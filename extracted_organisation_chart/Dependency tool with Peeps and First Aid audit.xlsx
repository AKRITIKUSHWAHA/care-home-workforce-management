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urshaKrishan\Desktop\Tracker\"/>
    </mc:Choice>
  </mc:AlternateContent>
  <xr:revisionPtr revIDLastSave="0" documentId="8_{C4018922-48FD-4F87-B181-FB6469279457}" xr6:coauthVersionLast="47" xr6:coauthVersionMax="47" xr10:uidLastSave="{00000000-0000-0000-0000-000000000000}"/>
  <bookViews>
    <workbookView xWindow="-110" yWindow="-110" windowWidth="19420" windowHeight="11500" activeTab="3" xr2:uid="{00000000-000D-0000-FFFF-FFFF00000000}"/>
  </bookViews>
  <sheets>
    <sheet name="Lists" sheetId="1" r:id="rId1"/>
    <sheet name="Dashboard" sheetId="2" r:id="rId2"/>
    <sheet name="Floor Plan Zones" sheetId="3" r:id="rId3"/>
    <sheet name="January Dependency" sheetId="4" r:id="rId4"/>
    <sheet name="January PEEP Bag" sheetId="5" r:id="rId5"/>
    <sheet name="January First Aid" sheetId="6" r:id="rId6"/>
    <sheet name="January Emollients" sheetId="7" r:id="rId7"/>
    <sheet name="February Dependency" sheetId="8" r:id="rId8"/>
    <sheet name="February PEEP Bag" sheetId="9" r:id="rId9"/>
    <sheet name="February First Aid" sheetId="10" r:id="rId10"/>
    <sheet name="February Emollients" sheetId="11" r:id="rId11"/>
    <sheet name="March Dependency" sheetId="12" r:id="rId12"/>
    <sheet name="March PEEP Bag" sheetId="13" r:id="rId13"/>
    <sheet name="March First Aid" sheetId="14" r:id="rId14"/>
    <sheet name="March Emollients" sheetId="15" r:id="rId15"/>
    <sheet name="April Dependency" sheetId="16" r:id="rId16"/>
    <sheet name="April PEEP Bag" sheetId="17" r:id="rId17"/>
    <sheet name="April First Aid" sheetId="18" r:id="rId18"/>
    <sheet name="April Emollients" sheetId="19" r:id="rId19"/>
    <sheet name="May Dependency" sheetId="20" r:id="rId20"/>
    <sheet name="May PEEP Bag" sheetId="21" r:id="rId21"/>
    <sheet name="May First Aid" sheetId="22" r:id="rId22"/>
    <sheet name="May Emollients" sheetId="23" r:id="rId23"/>
    <sheet name="June Dependency" sheetId="24" r:id="rId24"/>
    <sheet name="June PEEP Bag" sheetId="25" r:id="rId25"/>
    <sheet name="June First Aid" sheetId="26" r:id="rId26"/>
    <sheet name="June Emollients" sheetId="27" r:id="rId27"/>
    <sheet name="July Dependency" sheetId="28" r:id="rId28"/>
    <sheet name="July PEEP Bag" sheetId="29" r:id="rId29"/>
    <sheet name="July First Aid" sheetId="30" r:id="rId30"/>
    <sheet name="July Emollients" sheetId="31" r:id="rId31"/>
    <sheet name="August Dependency" sheetId="32" r:id="rId32"/>
    <sheet name="August PEEP Bag" sheetId="33" r:id="rId33"/>
    <sheet name="August First Aid" sheetId="34" r:id="rId34"/>
    <sheet name="August Emollients" sheetId="35" r:id="rId35"/>
    <sheet name="September Dependency" sheetId="36" r:id="rId36"/>
    <sheet name="September PEEP Bag" sheetId="37" r:id="rId37"/>
    <sheet name="September First Aid" sheetId="38" r:id="rId38"/>
    <sheet name="September Emollients" sheetId="39" r:id="rId39"/>
    <sheet name="October Dependency" sheetId="40" r:id="rId40"/>
    <sheet name="October PEEP Bag" sheetId="41" r:id="rId41"/>
    <sheet name="October First Aid" sheetId="42" r:id="rId42"/>
    <sheet name="October Emollients" sheetId="43" r:id="rId43"/>
    <sheet name="November Dependency" sheetId="44" r:id="rId44"/>
    <sheet name="November PEEP Bag" sheetId="45" r:id="rId45"/>
    <sheet name="November First Aid" sheetId="46" r:id="rId46"/>
    <sheet name="November Emollients" sheetId="47" r:id="rId47"/>
    <sheet name="December Dependency" sheetId="48" r:id="rId48"/>
    <sheet name="December PEEP Bag" sheetId="49" r:id="rId49"/>
    <sheet name="December First Aid" sheetId="50" r:id="rId50"/>
    <sheet name="December Emollients" sheetId="51" r:id="rId5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3" i="51" l="1"/>
  <c r="O112" i="51"/>
  <c r="O111" i="51"/>
  <c r="O110" i="51"/>
  <c r="O109" i="51"/>
  <c r="O108" i="51"/>
  <c r="O107" i="51"/>
  <c r="O106" i="51"/>
  <c r="O105" i="51"/>
  <c r="O104" i="51"/>
  <c r="O103" i="51"/>
  <c r="O102" i="51"/>
  <c r="O101" i="51"/>
  <c r="O100" i="51"/>
  <c r="O99" i="51"/>
  <c r="O98" i="51"/>
  <c r="O97" i="51"/>
  <c r="O96" i="51"/>
  <c r="O95" i="51"/>
  <c r="O94" i="51"/>
  <c r="O93" i="51"/>
  <c r="O92" i="51"/>
  <c r="O91" i="51"/>
  <c r="O90" i="51"/>
  <c r="O89" i="51"/>
  <c r="O88" i="51"/>
  <c r="O87" i="51"/>
  <c r="O86" i="51"/>
  <c r="O85" i="51"/>
  <c r="O84" i="51"/>
  <c r="O83" i="51"/>
  <c r="O82" i="51"/>
  <c r="O81" i="51"/>
  <c r="O80" i="51"/>
  <c r="O79" i="51"/>
  <c r="O78" i="51"/>
  <c r="O77" i="51"/>
  <c r="O76" i="51"/>
  <c r="O75" i="51"/>
  <c r="O74" i="51"/>
  <c r="O73" i="51"/>
  <c r="O72" i="51"/>
  <c r="O71" i="51"/>
  <c r="O70" i="51"/>
  <c r="O69" i="51"/>
  <c r="O68" i="51"/>
  <c r="O67" i="51"/>
  <c r="O66" i="51"/>
  <c r="O65" i="51"/>
  <c r="O64" i="51"/>
  <c r="O63" i="51"/>
  <c r="O62" i="51"/>
  <c r="O61" i="51"/>
  <c r="O60" i="51"/>
  <c r="O59" i="51"/>
  <c r="O58" i="51"/>
  <c r="O57" i="51"/>
  <c r="O56" i="51"/>
  <c r="O55" i="51"/>
  <c r="O54" i="51"/>
  <c r="O53" i="51"/>
  <c r="O52" i="51"/>
  <c r="O51" i="51"/>
  <c r="O50" i="51"/>
  <c r="O49" i="51"/>
  <c r="O48" i="51"/>
  <c r="O47" i="51"/>
  <c r="O46" i="51"/>
  <c r="O45" i="51"/>
  <c r="O44" i="51"/>
  <c r="O43" i="51"/>
  <c r="O42" i="51"/>
  <c r="O41" i="51"/>
  <c r="O40" i="51"/>
  <c r="O39" i="51"/>
  <c r="O38" i="51"/>
  <c r="O37" i="51"/>
  <c r="O36" i="51"/>
  <c r="O35" i="51"/>
  <c r="O34" i="51"/>
  <c r="O33" i="51"/>
  <c r="O32" i="51"/>
  <c r="O31" i="51"/>
  <c r="O30" i="51"/>
  <c r="O29" i="51"/>
  <c r="O28" i="51"/>
  <c r="O27" i="51"/>
  <c r="O26" i="51"/>
  <c r="O25" i="51"/>
  <c r="O24" i="51"/>
  <c r="O23" i="51"/>
  <c r="O22" i="51"/>
  <c r="O21" i="51"/>
  <c r="O20" i="51"/>
  <c r="O19" i="51"/>
  <c r="O18" i="51"/>
  <c r="O17" i="51"/>
  <c r="O16" i="51"/>
  <c r="O15" i="51"/>
  <c r="O14" i="51"/>
  <c r="B9" i="51"/>
  <c r="B8" i="51"/>
  <c r="G35" i="50"/>
  <c r="G34" i="50"/>
  <c r="G33" i="50"/>
  <c r="G32" i="50"/>
  <c r="G31" i="50"/>
  <c r="G30" i="50"/>
  <c r="G29" i="50"/>
  <c r="G28" i="50"/>
  <c r="G27" i="50"/>
  <c r="G26" i="50"/>
  <c r="G25" i="50"/>
  <c r="G24" i="50"/>
  <c r="G23" i="50"/>
  <c r="G22" i="50"/>
  <c r="G21" i="50"/>
  <c r="G20" i="50"/>
  <c r="G19" i="50"/>
  <c r="G18" i="50"/>
  <c r="G17" i="50"/>
  <c r="G16" i="50"/>
  <c r="G15" i="50"/>
  <c r="G14" i="50"/>
  <c r="B8" i="50"/>
  <c r="H41" i="49"/>
  <c r="H40" i="49"/>
  <c r="H39" i="49"/>
  <c r="H38" i="49"/>
  <c r="H37" i="49"/>
  <c r="H36" i="49"/>
  <c r="H35" i="49"/>
  <c r="H34" i="49"/>
  <c r="H33" i="49"/>
  <c r="H32" i="49"/>
  <c r="H31" i="49"/>
  <c r="H30" i="49"/>
  <c r="H29" i="49"/>
  <c r="H28" i="49"/>
  <c r="H27" i="49"/>
  <c r="H26" i="49"/>
  <c r="H25" i="49"/>
  <c r="H24" i="49"/>
  <c r="H23" i="49"/>
  <c r="H22" i="49"/>
  <c r="H21" i="49"/>
  <c r="H20" i="49"/>
  <c r="H19" i="49"/>
  <c r="H18" i="49"/>
  <c r="H17" i="49"/>
  <c r="H16" i="49"/>
  <c r="H15" i="49"/>
  <c r="H14" i="49"/>
  <c r="B8" i="49"/>
  <c r="Z117" i="48"/>
  <c r="Z116" i="48"/>
  <c r="Z115" i="48"/>
  <c r="Z114" i="48"/>
  <c r="Z113" i="48"/>
  <c r="Z112" i="48"/>
  <c r="Z111" i="48"/>
  <c r="Z110" i="48"/>
  <c r="Z109" i="48"/>
  <c r="Z108" i="48"/>
  <c r="Z107" i="48"/>
  <c r="Z106" i="48"/>
  <c r="Z105" i="48"/>
  <c r="Z104" i="48"/>
  <c r="Z103" i="48"/>
  <c r="Z102" i="48"/>
  <c r="Z101" i="48"/>
  <c r="Z100" i="48"/>
  <c r="Z99" i="48"/>
  <c r="Z98" i="48"/>
  <c r="Z97" i="48"/>
  <c r="Z96" i="48"/>
  <c r="Z95" i="48"/>
  <c r="Z94" i="48"/>
  <c r="Z93" i="48"/>
  <c r="Z92" i="48"/>
  <c r="Z91" i="48"/>
  <c r="Z90" i="48"/>
  <c r="Z89" i="48"/>
  <c r="Z88" i="48"/>
  <c r="Z87" i="48"/>
  <c r="Z86" i="48"/>
  <c r="Z85" i="48"/>
  <c r="Z84" i="48"/>
  <c r="Z83" i="48"/>
  <c r="Z82" i="48"/>
  <c r="Z81" i="48"/>
  <c r="Z80" i="48"/>
  <c r="Z79" i="48"/>
  <c r="Z78" i="48"/>
  <c r="Z77" i="48"/>
  <c r="Z76" i="48"/>
  <c r="Z75" i="48"/>
  <c r="Z74" i="48"/>
  <c r="Z73" i="48"/>
  <c r="Z72" i="48"/>
  <c r="Z71" i="48"/>
  <c r="Z70" i="48"/>
  <c r="Z69" i="48"/>
  <c r="Z68" i="48"/>
  <c r="Z67" i="48"/>
  <c r="Z66" i="48"/>
  <c r="Z65" i="48"/>
  <c r="Z64" i="48"/>
  <c r="Z63" i="48"/>
  <c r="Z62" i="48"/>
  <c r="Z61" i="48"/>
  <c r="Z60" i="48"/>
  <c r="Z59" i="48"/>
  <c r="Z58" i="48"/>
  <c r="Z57" i="48"/>
  <c r="Z56" i="48"/>
  <c r="Z55" i="48"/>
  <c r="Z54" i="48"/>
  <c r="Z53" i="48"/>
  <c r="Z52" i="48"/>
  <c r="Z51" i="48"/>
  <c r="Z50" i="48"/>
  <c r="Z49" i="48"/>
  <c r="Z48" i="48"/>
  <c r="Z47" i="48"/>
  <c r="Z46" i="48"/>
  <c r="Z45" i="48"/>
  <c r="Z44" i="48"/>
  <c r="Z43" i="48"/>
  <c r="Z42" i="48"/>
  <c r="Z41" i="48"/>
  <c r="Z40" i="48"/>
  <c r="Z39" i="48"/>
  <c r="Z38" i="48"/>
  <c r="Z37" i="48"/>
  <c r="Z36" i="48"/>
  <c r="Z35" i="48"/>
  <c r="Z34" i="48"/>
  <c r="Z33" i="48"/>
  <c r="Z32" i="48"/>
  <c r="Z31" i="48"/>
  <c r="Z30" i="48"/>
  <c r="Z29" i="48"/>
  <c r="Z28" i="48"/>
  <c r="Z27" i="48"/>
  <c r="Z26" i="48"/>
  <c r="Z25" i="48"/>
  <c r="Z24" i="48"/>
  <c r="Z23" i="48"/>
  <c r="Z22" i="48"/>
  <c r="Z21" i="48"/>
  <c r="Z20" i="48"/>
  <c r="Z19" i="48"/>
  <c r="Z18" i="48"/>
  <c r="B13" i="48"/>
  <c r="B8" i="48"/>
  <c r="O113" i="47"/>
  <c r="O112" i="47"/>
  <c r="O111" i="47"/>
  <c r="O110" i="47"/>
  <c r="O109" i="47"/>
  <c r="O108" i="47"/>
  <c r="O107" i="47"/>
  <c r="O106" i="47"/>
  <c r="O105" i="47"/>
  <c r="O104" i="47"/>
  <c r="O103" i="47"/>
  <c r="O102" i="47"/>
  <c r="O101" i="47"/>
  <c r="O100" i="47"/>
  <c r="O99" i="47"/>
  <c r="O98" i="47"/>
  <c r="O97" i="47"/>
  <c r="O96" i="47"/>
  <c r="O95" i="47"/>
  <c r="O94" i="47"/>
  <c r="O93" i="47"/>
  <c r="O92" i="47"/>
  <c r="O91" i="47"/>
  <c r="O90" i="47"/>
  <c r="O89" i="47"/>
  <c r="O88" i="47"/>
  <c r="O87" i="47"/>
  <c r="O86" i="47"/>
  <c r="O85" i="47"/>
  <c r="O84" i="47"/>
  <c r="O83" i="47"/>
  <c r="O82" i="47"/>
  <c r="O81" i="47"/>
  <c r="O80" i="47"/>
  <c r="O79" i="47"/>
  <c r="O78" i="47"/>
  <c r="O77" i="47"/>
  <c r="O76" i="47"/>
  <c r="O75" i="47"/>
  <c r="O74" i="47"/>
  <c r="O73" i="47"/>
  <c r="O72" i="47"/>
  <c r="O71" i="47"/>
  <c r="O70" i="47"/>
  <c r="O69" i="47"/>
  <c r="O68" i="47"/>
  <c r="O67" i="47"/>
  <c r="O66" i="47"/>
  <c r="O65" i="47"/>
  <c r="O64" i="47"/>
  <c r="O63" i="47"/>
  <c r="O62" i="47"/>
  <c r="O61" i="47"/>
  <c r="O60" i="47"/>
  <c r="O59" i="47"/>
  <c r="O58" i="47"/>
  <c r="O57" i="47"/>
  <c r="O56" i="47"/>
  <c r="O55" i="47"/>
  <c r="O54" i="47"/>
  <c r="O53" i="47"/>
  <c r="O52" i="47"/>
  <c r="O51" i="47"/>
  <c r="O50" i="47"/>
  <c r="O49" i="47"/>
  <c r="O48" i="47"/>
  <c r="O47" i="47"/>
  <c r="O46" i="47"/>
  <c r="O45" i="47"/>
  <c r="O44" i="47"/>
  <c r="O43" i="47"/>
  <c r="O42" i="47"/>
  <c r="O41" i="47"/>
  <c r="O40" i="47"/>
  <c r="O39" i="47"/>
  <c r="O38" i="47"/>
  <c r="O37" i="47"/>
  <c r="O36" i="47"/>
  <c r="O35" i="47"/>
  <c r="O34" i="47"/>
  <c r="O33" i="47"/>
  <c r="O32" i="47"/>
  <c r="O31" i="47"/>
  <c r="O30" i="47"/>
  <c r="O29" i="47"/>
  <c r="O28" i="47"/>
  <c r="O27" i="47"/>
  <c r="O26" i="47"/>
  <c r="O25" i="47"/>
  <c r="O24" i="47"/>
  <c r="O23" i="47"/>
  <c r="O22" i="47"/>
  <c r="O21" i="47"/>
  <c r="O20" i="47"/>
  <c r="O19" i="47"/>
  <c r="O18" i="47"/>
  <c r="O17" i="47"/>
  <c r="O16" i="47"/>
  <c r="O15" i="47"/>
  <c r="O14" i="47"/>
  <c r="B9" i="47"/>
  <c r="B8" i="47"/>
  <c r="G35" i="46"/>
  <c r="G34" i="46"/>
  <c r="G33" i="46"/>
  <c r="G32" i="46"/>
  <c r="G31" i="46"/>
  <c r="G30" i="46"/>
  <c r="G29" i="46"/>
  <c r="G28" i="46"/>
  <c r="G27" i="46"/>
  <c r="G26" i="46"/>
  <c r="G25" i="46"/>
  <c r="G24" i="46"/>
  <c r="G23" i="46"/>
  <c r="G22" i="46"/>
  <c r="G21" i="46"/>
  <c r="G20" i="46"/>
  <c r="G19" i="46"/>
  <c r="G18" i="46"/>
  <c r="G17" i="46"/>
  <c r="G16" i="46"/>
  <c r="G15" i="46"/>
  <c r="G14" i="46"/>
  <c r="B9" i="46"/>
  <c r="B8" i="46"/>
  <c r="H41" i="45"/>
  <c r="H40" i="45"/>
  <c r="H39" i="45"/>
  <c r="H38" i="45"/>
  <c r="H37" i="45"/>
  <c r="H36" i="45"/>
  <c r="H35" i="45"/>
  <c r="H34" i="45"/>
  <c r="H33" i="45"/>
  <c r="H32" i="45"/>
  <c r="H31" i="45"/>
  <c r="H30" i="45"/>
  <c r="H29" i="45"/>
  <c r="H28" i="45"/>
  <c r="H27" i="45"/>
  <c r="H26" i="45"/>
  <c r="H25" i="45"/>
  <c r="H24" i="45"/>
  <c r="H23" i="45"/>
  <c r="H22" i="45"/>
  <c r="H21" i="45"/>
  <c r="H20" i="45"/>
  <c r="H19" i="45"/>
  <c r="H18" i="45"/>
  <c r="H17" i="45"/>
  <c r="H16" i="45"/>
  <c r="H15" i="45"/>
  <c r="H14" i="45"/>
  <c r="B9" i="45"/>
  <c r="B8" i="45"/>
  <c r="Z117" i="44"/>
  <c r="Z116" i="44"/>
  <c r="Z115" i="44"/>
  <c r="Z114" i="44"/>
  <c r="Z113" i="44"/>
  <c r="Z112" i="44"/>
  <c r="Z111" i="44"/>
  <c r="Z110" i="44"/>
  <c r="Z109" i="44"/>
  <c r="Z108" i="44"/>
  <c r="Z107" i="44"/>
  <c r="Z106" i="44"/>
  <c r="Z105" i="44"/>
  <c r="Z104" i="44"/>
  <c r="Z103" i="44"/>
  <c r="Z102" i="44"/>
  <c r="Z101" i="44"/>
  <c r="Z100" i="44"/>
  <c r="Z99" i="44"/>
  <c r="Z98" i="44"/>
  <c r="Z97" i="44"/>
  <c r="Z96" i="44"/>
  <c r="Z95" i="44"/>
  <c r="Z94" i="44"/>
  <c r="Z93" i="44"/>
  <c r="Z92" i="44"/>
  <c r="Z91" i="44"/>
  <c r="Z90" i="44"/>
  <c r="Z89" i="44"/>
  <c r="Z88" i="44"/>
  <c r="Z87" i="44"/>
  <c r="Z86" i="44"/>
  <c r="Z85" i="44"/>
  <c r="Z84" i="44"/>
  <c r="Z83" i="44"/>
  <c r="Z82" i="44"/>
  <c r="Z81" i="44"/>
  <c r="Z80" i="44"/>
  <c r="Z79" i="44"/>
  <c r="Z78" i="44"/>
  <c r="Z77" i="44"/>
  <c r="Z76" i="44"/>
  <c r="Z75" i="44"/>
  <c r="Z74" i="44"/>
  <c r="Z73" i="44"/>
  <c r="Z72" i="44"/>
  <c r="Z71" i="44"/>
  <c r="Z70" i="44"/>
  <c r="Z69" i="44"/>
  <c r="Z68" i="44"/>
  <c r="Z67" i="44"/>
  <c r="Z66" i="44"/>
  <c r="Z65" i="44"/>
  <c r="Z64" i="44"/>
  <c r="Z63" i="44"/>
  <c r="Z62" i="44"/>
  <c r="Z61" i="44"/>
  <c r="Z60" i="44"/>
  <c r="Z59" i="44"/>
  <c r="Z58" i="44"/>
  <c r="Z57" i="44"/>
  <c r="Z56" i="44"/>
  <c r="Z55" i="44"/>
  <c r="Z54" i="44"/>
  <c r="Z53" i="44"/>
  <c r="Z52" i="44"/>
  <c r="Z51" i="44"/>
  <c r="Z50" i="44"/>
  <c r="Z49" i="44"/>
  <c r="Z48" i="44"/>
  <c r="Z47" i="44"/>
  <c r="Z46" i="44"/>
  <c r="Z45" i="44"/>
  <c r="Z44" i="44"/>
  <c r="Z43" i="44"/>
  <c r="Z42" i="44"/>
  <c r="Z41" i="44"/>
  <c r="Z40" i="44"/>
  <c r="Z39" i="44"/>
  <c r="Z38" i="44"/>
  <c r="Z37" i="44"/>
  <c r="Z36" i="44"/>
  <c r="Z35" i="44"/>
  <c r="Z34" i="44"/>
  <c r="Z33" i="44"/>
  <c r="Z32" i="44"/>
  <c r="Z31" i="44"/>
  <c r="Z30" i="44"/>
  <c r="Z29" i="44"/>
  <c r="Z28" i="44"/>
  <c r="Z27" i="44"/>
  <c r="Z26" i="44"/>
  <c r="Z25" i="44"/>
  <c r="Z24" i="44"/>
  <c r="Z23" i="44"/>
  <c r="Z22" i="44"/>
  <c r="Z21" i="44"/>
  <c r="Z20" i="44"/>
  <c r="Z19" i="44"/>
  <c r="Z18" i="44"/>
  <c r="B13" i="44"/>
  <c r="B8" i="44"/>
  <c r="O113" i="43"/>
  <c r="O112" i="43"/>
  <c r="O111" i="43"/>
  <c r="O110" i="43"/>
  <c r="O109" i="43"/>
  <c r="O108" i="43"/>
  <c r="O107" i="43"/>
  <c r="O106" i="43"/>
  <c r="O105" i="43"/>
  <c r="O104" i="43"/>
  <c r="O103" i="43"/>
  <c r="O102" i="43"/>
  <c r="O101" i="43"/>
  <c r="O100" i="43"/>
  <c r="O99" i="43"/>
  <c r="O98" i="43"/>
  <c r="O97" i="43"/>
  <c r="O96" i="43"/>
  <c r="O95" i="43"/>
  <c r="O94" i="43"/>
  <c r="O93" i="43"/>
  <c r="O92" i="43"/>
  <c r="O91" i="43"/>
  <c r="O90" i="43"/>
  <c r="O89" i="43"/>
  <c r="O88" i="43"/>
  <c r="O87" i="43"/>
  <c r="O86" i="43"/>
  <c r="O85" i="43"/>
  <c r="O84" i="43"/>
  <c r="O83" i="43"/>
  <c r="O82" i="43"/>
  <c r="O81" i="43"/>
  <c r="O80" i="43"/>
  <c r="O79" i="43"/>
  <c r="O78" i="43"/>
  <c r="O77" i="43"/>
  <c r="O76" i="43"/>
  <c r="O75" i="43"/>
  <c r="O74" i="43"/>
  <c r="O73" i="43"/>
  <c r="O72" i="43"/>
  <c r="O71" i="43"/>
  <c r="O70" i="43"/>
  <c r="O69" i="43"/>
  <c r="O68" i="43"/>
  <c r="O67" i="43"/>
  <c r="O66" i="43"/>
  <c r="O65" i="43"/>
  <c r="O64" i="43"/>
  <c r="O63" i="43"/>
  <c r="O62" i="43"/>
  <c r="O61" i="43"/>
  <c r="O60" i="43"/>
  <c r="O59" i="43"/>
  <c r="O58" i="43"/>
  <c r="O57" i="43"/>
  <c r="O56" i="43"/>
  <c r="O55" i="43"/>
  <c r="O54" i="43"/>
  <c r="O53" i="43"/>
  <c r="O52" i="43"/>
  <c r="O51" i="43"/>
  <c r="O50" i="43"/>
  <c r="O49" i="43"/>
  <c r="O48" i="43"/>
  <c r="O47" i="43"/>
  <c r="O46" i="43"/>
  <c r="O45" i="43"/>
  <c r="O44" i="43"/>
  <c r="O43" i="43"/>
  <c r="O42" i="43"/>
  <c r="O41" i="43"/>
  <c r="O40" i="43"/>
  <c r="O39" i="43"/>
  <c r="O38" i="43"/>
  <c r="O37" i="43"/>
  <c r="O36" i="43"/>
  <c r="O35" i="43"/>
  <c r="O34" i="43"/>
  <c r="O33" i="43"/>
  <c r="O32" i="43"/>
  <c r="O31" i="43"/>
  <c r="O30" i="43"/>
  <c r="O29" i="43"/>
  <c r="O28" i="43"/>
  <c r="O27" i="43"/>
  <c r="O26" i="43"/>
  <c r="O25" i="43"/>
  <c r="O24" i="43"/>
  <c r="O23" i="43"/>
  <c r="O22" i="43"/>
  <c r="O21" i="43"/>
  <c r="O20" i="43"/>
  <c r="O19" i="43"/>
  <c r="O18" i="43"/>
  <c r="O17" i="43"/>
  <c r="O16" i="43"/>
  <c r="O15" i="43"/>
  <c r="O14" i="43"/>
  <c r="B9" i="43"/>
  <c r="B8" i="43"/>
  <c r="G35" i="42"/>
  <c r="G34" i="42"/>
  <c r="G33" i="42"/>
  <c r="G32" i="42"/>
  <c r="G31" i="42"/>
  <c r="G30" i="42"/>
  <c r="G29" i="42"/>
  <c r="G28" i="42"/>
  <c r="G27" i="42"/>
  <c r="G26" i="42"/>
  <c r="G25" i="42"/>
  <c r="G24" i="42"/>
  <c r="G23" i="42"/>
  <c r="G22" i="42"/>
  <c r="G21" i="42"/>
  <c r="G20" i="42"/>
  <c r="G19" i="42"/>
  <c r="G18" i="42"/>
  <c r="G17" i="42"/>
  <c r="G16" i="42"/>
  <c r="G15" i="42"/>
  <c r="G14" i="42"/>
  <c r="B9" i="42"/>
  <c r="B8" i="42"/>
  <c r="H41" i="41"/>
  <c r="H40" i="41"/>
  <c r="H39" i="41"/>
  <c r="H38" i="41"/>
  <c r="H37" i="41"/>
  <c r="H36" i="41"/>
  <c r="H35" i="41"/>
  <c r="H34" i="41"/>
  <c r="H33" i="41"/>
  <c r="H32" i="41"/>
  <c r="H31" i="41"/>
  <c r="H30" i="41"/>
  <c r="H29" i="41"/>
  <c r="H28" i="41"/>
  <c r="H27" i="41"/>
  <c r="H26" i="41"/>
  <c r="H25" i="41"/>
  <c r="H24" i="41"/>
  <c r="H23" i="41"/>
  <c r="H22" i="41"/>
  <c r="H21" i="41"/>
  <c r="H20" i="41"/>
  <c r="H19" i="41"/>
  <c r="H18" i="41"/>
  <c r="H17" i="41"/>
  <c r="H16" i="41"/>
  <c r="H15" i="41"/>
  <c r="H14" i="41"/>
  <c r="B9" i="41"/>
  <c r="B8" i="41"/>
  <c r="Z117" i="40"/>
  <c r="Z116" i="40"/>
  <c r="Z115" i="40"/>
  <c r="Z114" i="40"/>
  <c r="Z113" i="40"/>
  <c r="Z112" i="40"/>
  <c r="Z111" i="40"/>
  <c r="Z110" i="40"/>
  <c r="Z109" i="40"/>
  <c r="Z108" i="40"/>
  <c r="Z107" i="40"/>
  <c r="Z106" i="40"/>
  <c r="Z105" i="40"/>
  <c r="Z104" i="40"/>
  <c r="Z103" i="40"/>
  <c r="Z102" i="40"/>
  <c r="Z101" i="40"/>
  <c r="Z100" i="40"/>
  <c r="Z99" i="40"/>
  <c r="Z98" i="40"/>
  <c r="Z97" i="40"/>
  <c r="Z96" i="40"/>
  <c r="Z95" i="40"/>
  <c r="Z94" i="40"/>
  <c r="Z93" i="40"/>
  <c r="Z92" i="40"/>
  <c r="Z91" i="40"/>
  <c r="Z90" i="40"/>
  <c r="Z89" i="40"/>
  <c r="Z88" i="40"/>
  <c r="Z87" i="40"/>
  <c r="Z86" i="40"/>
  <c r="Z85" i="40"/>
  <c r="Z84" i="40"/>
  <c r="Z83" i="40"/>
  <c r="Z82" i="40"/>
  <c r="Z81" i="40"/>
  <c r="Z80" i="40"/>
  <c r="Z79" i="40"/>
  <c r="Z78" i="40"/>
  <c r="Z77" i="40"/>
  <c r="Z76" i="40"/>
  <c r="Z75" i="40"/>
  <c r="Z74" i="40"/>
  <c r="Z73" i="40"/>
  <c r="Z72" i="40"/>
  <c r="Z71" i="40"/>
  <c r="Z70" i="40"/>
  <c r="Z69" i="40"/>
  <c r="Z68" i="40"/>
  <c r="Z67" i="40"/>
  <c r="Z66" i="40"/>
  <c r="Z65" i="40"/>
  <c r="Z64" i="40"/>
  <c r="Z63" i="40"/>
  <c r="Z62" i="40"/>
  <c r="Z61" i="40"/>
  <c r="Z60" i="40"/>
  <c r="Z59" i="40"/>
  <c r="Z58" i="40"/>
  <c r="Z57" i="40"/>
  <c r="Z56" i="40"/>
  <c r="Z55" i="40"/>
  <c r="Z54" i="40"/>
  <c r="Z53" i="40"/>
  <c r="Z52" i="40"/>
  <c r="Z51" i="40"/>
  <c r="Z50" i="40"/>
  <c r="Z49" i="40"/>
  <c r="Z48" i="40"/>
  <c r="Z47" i="40"/>
  <c r="Z46" i="40"/>
  <c r="Z45" i="40"/>
  <c r="Z44" i="40"/>
  <c r="Z43" i="40"/>
  <c r="Z42" i="40"/>
  <c r="Z41" i="40"/>
  <c r="Z40" i="40"/>
  <c r="Z39" i="40"/>
  <c r="Z38" i="40"/>
  <c r="Z37" i="40"/>
  <c r="Z36" i="40"/>
  <c r="Z35" i="40"/>
  <c r="Z34" i="40"/>
  <c r="Z33" i="40"/>
  <c r="Z32" i="40"/>
  <c r="Z31" i="40"/>
  <c r="Z30" i="40"/>
  <c r="Z29" i="40"/>
  <c r="Z28" i="40"/>
  <c r="Z27" i="40"/>
  <c r="Z26" i="40"/>
  <c r="Z25" i="40"/>
  <c r="Z24" i="40"/>
  <c r="Z23" i="40"/>
  <c r="Z22" i="40"/>
  <c r="Z21" i="40"/>
  <c r="Z20" i="40"/>
  <c r="Z19" i="40"/>
  <c r="Z18" i="40"/>
  <c r="B13" i="40"/>
  <c r="B8" i="40"/>
  <c r="O113" i="39"/>
  <c r="O112" i="39"/>
  <c r="O111" i="39"/>
  <c r="O110" i="39"/>
  <c r="O109" i="39"/>
  <c r="O108" i="39"/>
  <c r="O107" i="39"/>
  <c r="O106" i="39"/>
  <c r="O105" i="39"/>
  <c r="O104" i="39"/>
  <c r="O103" i="39"/>
  <c r="O102" i="39"/>
  <c r="O101" i="39"/>
  <c r="O100" i="39"/>
  <c r="O99" i="39"/>
  <c r="O98" i="39"/>
  <c r="O97" i="39"/>
  <c r="O96" i="39"/>
  <c r="O95" i="39"/>
  <c r="O94" i="39"/>
  <c r="O93" i="39"/>
  <c r="O92" i="39"/>
  <c r="O91" i="39"/>
  <c r="O90" i="39"/>
  <c r="O89" i="39"/>
  <c r="O88" i="39"/>
  <c r="O87" i="39"/>
  <c r="O86" i="39"/>
  <c r="O85" i="39"/>
  <c r="O84" i="39"/>
  <c r="O83" i="39"/>
  <c r="O82" i="39"/>
  <c r="O81" i="39"/>
  <c r="O80" i="39"/>
  <c r="O79" i="39"/>
  <c r="O78" i="39"/>
  <c r="O77" i="39"/>
  <c r="O76" i="39"/>
  <c r="O75" i="39"/>
  <c r="O74" i="39"/>
  <c r="O73" i="39"/>
  <c r="O72" i="39"/>
  <c r="O71" i="39"/>
  <c r="O70" i="39"/>
  <c r="O69" i="39"/>
  <c r="O68" i="39"/>
  <c r="O67" i="39"/>
  <c r="O66" i="39"/>
  <c r="O65" i="39"/>
  <c r="O64" i="39"/>
  <c r="O63" i="39"/>
  <c r="O62" i="39"/>
  <c r="O61" i="39"/>
  <c r="O60" i="39"/>
  <c r="O59" i="39"/>
  <c r="O58" i="39"/>
  <c r="O57" i="39"/>
  <c r="O56" i="39"/>
  <c r="O55" i="39"/>
  <c r="O54" i="39"/>
  <c r="O53" i="39"/>
  <c r="O52" i="39"/>
  <c r="O51" i="39"/>
  <c r="O50" i="39"/>
  <c r="O49" i="39"/>
  <c r="O48" i="39"/>
  <c r="O47" i="39"/>
  <c r="O46" i="39"/>
  <c r="O45" i="39"/>
  <c r="O44" i="39"/>
  <c r="O43" i="39"/>
  <c r="O42" i="39"/>
  <c r="O41" i="39"/>
  <c r="O40" i="39"/>
  <c r="O39" i="39"/>
  <c r="O38" i="39"/>
  <c r="O37" i="39"/>
  <c r="O36" i="39"/>
  <c r="O35" i="39"/>
  <c r="O34" i="39"/>
  <c r="O33" i="39"/>
  <c r="O32" i="39"/>
  <c r="O31" i="39"/>
  <c r="O30" i="39"/>
  <c r="O29" i="39"/>
  <c r="O28" i="39"/>
  <c r="O27" i="39"/>
  <c r="O26" i="39"/>
  <c r="O25" i="39"/>
  <c r="O24" i="39"/>
  <c r="O23" i="39"/>
  <c r="O22" i="39"/>
  <c r="O21" i="39"/>
  <c r="O20" i="39"/>
  <c r="O19" i="39"/>
  <c r="O18" i="39"/>
  <c r="O17" i="39"/>
  <c r="O16" i="39"/>
  <c r="O15" i="39"/>
  <c r="O14" i="39"/>
  <c r="B8" i="39"/>
  <c r="G35" i="38"/>
  <c r="G34" i="38"/>
  <c r="G33" i="38"/>
  <c r="G32" i="38"/>
  <c r="G31" i="38"/>
  <c r="G30" i="38"/>
  <c r="G29" i="38"/>
  <c r="G28" i="38"/>
  <c r="G27" i="38"/>
  <c r="G26" i="38"/>
  <c r="G25" i="38"/>
  <c r="G24" i="38"/>
  <c r="G23" i="38"/>
  <c r="G22" i="38"/>
  <c r="G21" i="38"/>
  <c r="G20" i="38"/>
  <c r="G19" i="38"/>
  <c r="G18" i="38"/>
  <c r="G17" i="38"/>
  <c r="G16" i="38"/>
  <c r="G15" i="38"/>
  <c r="G14" i="38"/>
  <c r="B9" i="38"/>
  <c r="B8" i="38"/>
  <c r="H41" i="37"/>
  <c r="H40" i="37"/>
  <c r="H39" i="37"/>
  <c r="H38" i="37"/>
  <c r="H37" i="37"/>
  <c r="H36" i="37"/>
  <c r="H35" i="37"/>
  <c r="H34" i="37"/>
  <c r="H33" i="37"/>
  <c r="H32" i="37"/>
  <c r="H31" i="37"/>
  <c r="H30" i="37"/>
  <c r="H29" i="37"/>
  <c r="H28" i="37"/>
  <c r="H27" i="37"/>
  <c r="H26" i="37"/>
  <c r="H25" i="37"/>
  <c r="H24" i="37"/>
  <c r="H23" i="37"/>
  <c r="H22" i="37"/>
  <c r="H21" i="37"/>
  <c r="H20" i="37"/>
  <c r="H19" i="37"/>
  <c r="H18" i="37"/>
  <c r="H17" i="37"/>
  <c r="H16" i="37"/>
  <c r="H15" i="37"/>
  <c r="H14" i="37"/>
  <c r="B9" i="37"/>
  <c r="B8" i="37"/>
  <c r="Z117" i="36"/>
  <c r="Z116" i="36"/>
  <c r="Z115" i="36"/>
  <c r="Z114" i="36"/>
  <c r="Z113" i="36"/>
  <c r="Z112" i="36"/>
  <c r="Z111" i="36"/>
  <c r="Z110" i="36"/>
  <c r="Z109" i="36"/>
  <c r="Z108" i="36"/>
  <c r="Z107" i="36"/>
  <c r="Z106" i="36"/>
  <c r="Z105" i="36"/>
  <c r="Z104" i="36"/>
  <c r="Z103" i="36"/>
  <c r="Z102" i="36"/>
  <c r="Z101" i="36"/>
  <c r="Z100" i="36"/>
  <c r="Z99" i="36"/>
  <c r="Z98" i="36"/>
  <c r="Z97" i="36"/>
  <c r="Z96" i="36"/>
  <c r="Z95" i="36"/>
  <c r="Z94" i="36"/>
  <c r="Z93" i="36"/>
  <c r="Z92" i="36"/>
  <c r="Z91" i="36"/>
  <c r="Z90" i="36"/>
  <c r="Z89" i="36"/>
  <c r="Z88" i="36"/>
  <c r="Z87" i="36"/>
  <c r="Z86" i="36"/>
  <c r="Z85" i="36"/>
  <c r="Z84" i="36"/>
  <c r="Z83" i="36"/>
  <c r="Z82" i="36"/>
  <c r="Z81" i="36"/>
  <c r="Z80" i="36"/>
  <c r="Z79" i="36"/>
  <c r="Z78" i="36"/>
  <c r="Z77" i="36"/>
  <c r="Z76" i="36"/>
  <c r="Z75" i="36"/>
  <c r="Z74" i="36"/>
  <c r="Z73" i="36"/>
  <c r="Z72" i="36"/>
  <c r="Z71" i="36"/>
  <c r="Z70" i="36"/>
  <c r="Z69" i="36"/>
  <c r="Z68" i="36"/>
  <c r="Z67" i="36"/>
  <c r="Z66" i="36"/>
  <c r="Z65" i="36"/>
  <c r="Z64" i="36"/>
  <c r="Z63" i="36"/>
  <c r="Z62" i="36"/>
  <c r="Z61" i="36"/>
  <c r="Z60" i="36"/>
  <c r="Z59" i="36"/>
  <c r="Z58" i="36"/>
  <c r="Z57" i="36"/>
  <c r="Z56" i="36"/>
  <c r="Z55" i="36"/>
  <c r="Z54" i="36"/>
  <c r="Z53" i="36"/>
  <c r="Z52" i="36"/>
  <c r="Z51" i="36"/>
  <c r="Z50" i="36"/>
  <c r="Z49" i="36"/>
  <c r="Z48" i="36"/>
  <c r="Z47" i="36"/>
  <c r="Z46" i="36"/>
  <c r="Z45" i="36"/>
  <c r="Z44" i="36"/>
  <c r="Z43" i="36"/>
  <c r="Z42" i="36"/>
  <c r="Z41" i="36"/>
  <c r="Z40" i="36"/>
  <c r="Z39" i="36"/>
  <c r="Z38" i="36"/>
  <c r="Z37" i="36"/>
  <c r="Z36" i="36"/>
  <c r="Z35" i="36"/>
  <c r="Z34" i="36"/>
  <c r="Z33" i="36"/>
  <c r="Z32" i="36"/>
  <c r="Z31" i="36"/>
  <c r="Z30" i="36"/>
  <c r="Z29" i="36"/>
  <c r="Z28" i="36"/>
  <c r="Z27" i="36"/>
  <c r="Z26" i="36"/>
  <c r="Z25" i="36"/>
  <c r="Z24" i="36"/>
  <c r="Z23" i="36"/>
  <c r="Z22" i="36"/>
  <c r="Z21" i="36"/>
  <c r="Z20" i="36"/>
  <c r="Z19" i="36"/>
  <c r="Z18" i="36"/>
  <c r="B13" i="36"/>
  <c r="B8" i="36"/>
  <c r="O113" i="35"/>
  <c r="O112" i="35"/>
  <c r="O111" i="35"/>
  <c r="O110" i="35"/>
  <c r="O109" i="35"/>
  <c r="O108" i="35"/>
  <c r="O107" i="35"/>
  <c r="O106" i="35"/>
  <c r="O105" i="35"/>
  <c r="O104" i="35"/>
  <c r="O103" i="35"/>
  <c r="O102" i="35"/>
  <c r="O101" i="35"/>
  <c r="O100" i="35"/>
  <c r="O99" i="35"/>
  <c r="O98" i="35"/>
  <c r="O97" i="35"/>
  <c r="O96" i="35"/>
  <c r="O95" i="35"/>
  <c r="O94" i="35"/>
  <c r="O93" i="35"/>
  <c r="O92" i="35"/>
  <c r="O91" i="35"/>
  <c r="O90" i="35"/>
  <c r="O89" i="35"/>
  <c r="O88" i="35"/>
  <c r="O87" i="35"/>
  <c r="O86" i="35"/>
  <c r="O85" i="35"/>
  <c r="O84" i="35"/>
  <c r="O83" i="35"/>
  <c r="O82" i="35"/>
  <c r="O81" i="35"/>
  <c r="O80" i="35"/>
  <c r="O79" i="35"/>
  <c r="O78" i="35"/>
  <c r="O77" i="35"/>
  <c r="O76" i="35"/>
  <c r="O75" i="35"/>
  <c r="O74" i="35"/>
  <c r="O73" i="35"/>
  <c r="O72" i="35"/>
  <c r="O71" i="35"/>
  <c r="O70" i="35"/>
  <c r="O69" i="35"/>
  <c r="O68" i="35"/>
  <c r="O67" i="35"/>
  <c r="O66" i="35"/>
  <c r="O65" i="35"/>
  <c r="O64" i="35"/>
  <c r="O63" i="35"/>
  <c r="O62" i="35"/>
  <c r="O61" i="35"/>
  <c r="O60" i="35"/>
  <c r="O59" i="35"/>
  <c r="O58" i="35"/>
  <c r="O57" i="35"/>
  <c r="O56" i="35"/>
  <c r="O55" i="35"/>
  <c r="O54" i="35"/>
  <c r="O53" i="35"/>
  <c r="O52" i="35"/>
  <c r="O51" i="35"/>
  <c r="O50" i="35"/>
  <c r="O49" i="35"/>
  <c r="O48" i="35"/>
  <c r="O47" i="35"/>
  <c r="O46" i="35"/>
  <c r="O45" i="35"/>
  <c r="O44" i="35"/>
  <c r="O43" i="35"/>
  <c r="O42" i="35"/>
  <c r="O41" i="35"/>
  <c r="O40" i="35"/>
  <c r="O39" i="35"/>
  <c r="O38" i="35"/>
  <c r="O37" i="35"/>
  <c r="O36" i="35"/>
  <c r="O35" i="35"/>
  <c r="O34" i="35"/>
  <c r="O33" i="35"/>
  <c r="O32" i="35"/>
  <c r="O31" i="35"/>
  <c r="O30" i="35"/>
  <c r="O29" i="35"/>
  <c r="O28" i="35"/>
  <c r="O27" i="35"/>
  <c r="O26" i="35"/>
  <c r="O25" i="35"/>
  <c r="O24" i="35"/>
  <c r="O23" i="35"/>
  <c r="O22" i="35"/>
  <c r="O21" i="35"/>
  <c r="O20" i="35"/>
  <c r="O19" i="35"/>
  <c r="O18" i="35"/>
  <c r="O17" i="35"/>
  <c r="O16" i="35"/>
  <c r="O15" i="35"/>
  <c r="O14" i="35"/>
  <c r="B8" i="35"/>
  <c r="G35" i="34"/>
  <c r="G34" i="34"/>
  <c r="G33" i="34"/>
  <c r="G32" i="34"/>
  <c r="G31" i="34"/>
  <c r="G30" i="34"/>
  <c r="G29" i="34"/>
  <c r="G28" i="34"/>
  <c r="G27" i="34"/>
  <c r="G26" i="34"/>
  <c r="G25" i="34"/>
  <c r="G24" i="34"/>
  <c r="G23" i="34"/>
  <c r="G22" i="34"/>
  <c r="G21" i="34"/>
  <c r="G20" i="34"/>
  <c r="G19" i="34"/>
  <c r="G18" i="34"/>
  <c r="G17" i="34"/>
  <c r="G16" i="34"/>
  <c r="G15" i="34"/>
  <c r="G14" i="34"/>
  <c r="B9" i="34"/>
  <c r="B8" i="34"/>
  <c r="H41" i="33"/>
  <c r="H40" i="33"/>
  <c r="H39" i="33"/>
  <c r="H38" i="33"/>
  <c r="H37" i="33"/>
  <c r="H36" i="33"/>
  <c r="H35" i="33"/>
  <c r="H34" i="33"/>
  <c r="H33" i="33"/>
  <c r="H32" i="33"/>
  <c r="H31" i="33"/>
  <c r="H30" i="33"/>
  <c r="H29" i="33"/>
  <c r="H28" i="33"/>
  <c r="H27" i="33"/>
  <c r="H26" i="33"/>
  <c r="H25" i="33"/>
  <c r="H24" i="33"/>
  <c r="H23" i="33"/>
  <c r="H22" i="33"/>
  <c r="H21" i="33"/>
  <c r="H20" i="33"/>
  <c r="H19" i="33"/>
  <c r="H18" i="33"/>
  <c r="H17" i="33"/>
  <c r="H16" i="33"/>
  <c r="H15" i="33"/>
  <c r="H14" i="33"/>
  <c r="B8" i="33"/>
  <c r="Z117" i="32"/>
  <c r="Z116" i="32"/>
  <c r="Z115" i="32"/>
  <c r="Z114" i="32"/>
  <c r="Z113" i="32"/>
  <c r="Z112" i="32"/>
  <c r="Z111" i="32"/>
  <c r="Z110" i="32"/>
  <c r="Z109" i="32"/>
  <c r="Z108" i="32"/>
  <c r="Z107" i="32"/>
  <c r="Z106" i="32"/>
  <c r="Z105" i="32"/>
  <c r="Z104" i="32"/>
  <c r="Z103" i="32"/>
  <c r="Z102" i="32"/>
  <c r="Z101" i="32"/>
  <c r="Z100" i="32"/>
  <c r="Z99" i="32"/>
  <c r="Z98" i="32"/>
  <c r="Z97" i="32"/>
  <c r="Z96" i="32"/>
  <c r="Z95" i="32"/>
  <c r="Z94" i="32"/>
  <c r="Z93" i="32"/>
  <c r="Z92" i="32"/>
  <c r="Z91" i="32"/>
  <c r="Z90" i="32"/>
  <c r="Z89" i="32"/>
  <c r="Z88" i="32"/>
  <c r="Z87" i="32"/>
  <c r="Z86" i="32"/>
  <c r="Z85" i="32"/>
  <c r="Z84" i="32"/>
  <c r="Z83" i="32"/>
  <c r="Z82" i="32"/>
  <c r="Z81" i="32"/>
  <c r="Z80" i="32"/>
  <c r="Z79" i="32"/>
  <c r="Z78" i="32"/>
  <c r="Z77" i="32"/>
  <c r="Z76" i="32"/>
  <c r="Z75" i="32"/>
  <c r="Z74" i="32"/>
  <c r="Z73" i="32"/>
  <c r="Z72" i="32"/>
  <c r="Z71" i="32"/>
  <c r="Z70" i="32"/>
  <c r="Z69" i="32"/>
  <c r="Z68" i="32"/>
  <c r="Z67" i="32"/>
  <c r="Z66" i="32"/>
  <c r="Z65" i="32"/>
  <c r="Z64" i="32"/>
  <c r="Z63" i="32"/>
  <c r="Z62" i="32"/>
  <c r="Z61" i="32"/>
  <c r="Z60" i="32"/>
  <c r="Z59" i="32"/>
  <c r="Z58" i="32"/>
  <c r="Z57" i="32"/>
  <c r="Z56" i="32"/>
  <c r="Z55" i="32"/>
  <c r="Z54" i="32"/>
  <c r="Z53" i="32"/>
  <c r="Z52" i="32"/>
  <c r="Z51" i="32"/>
  <c r="Z50" i="32"/>
  <c r="Z49" i="32"/>
  <c r="Z48" i="32"/>
  <c r="Z47" i="32"/>
  <c r="Z46" i="32"/>
  <c r="Z45" i="32"/>
  <c r="Z44" i="32"/>
  <c r="Z43" i="32"/>
  <c r="Z42" i="32"/>
  <c r="Z41" i="32"/>
  <c r="Z40" i="32"/>
  <c r="Z39" i="32"/>
  <c r="Z38" i="32"/>
  <c r="Z37" i="32"/>
  <c r="Z36" i="32"/>
  <c r="Z35" i="32"/>
  <c r="Z34" i="32"/>
  <c r="Z33" i="32"/>
  <c r="Z32" i="32"/>
  <c r="Z31" i="32"/>
  <c r="Z30" i="32"/>
  <c r="Z29" i="32"/>
  <c r="Z28" i="32"/>
  <c r="Z27" i="32"/>
  <c r="Z26" i="32"/>
  <c r="Z25" i="32"/>
  <c r="Z24" i="32"/>
  <c r="Z23" i="32"/>
  <c r="Z22" i="32"/>
  <c r="Z21" i="32"/>
  <c r="Z20" i="32"/>
  <c r="Z19" i="32"/>
  <c r="Z18" i="32"/>
  <c r="B13" i="32"/>
  <c r="B8" i="32"/>
  <c r="O113" i="31"/>
  <c r="O112" i="31"/>
  <c r="O111" i="31"/>
  <c r="O110" i="31"/>
  <c r="O109" i="31"/>
  <c r="O108" i="31"/>
  <c r="O107" i="31"/>
  <c r="O106" i="31"/>
  <c r="O105" i="31"/>
  <c r="O104" i="31"/>
  <c r="O103" i="31"/>
  <c r="O102" i="31"/>
  <c r="O101" i="31"/>
  <c r="O100" i="31"/>
  <c r="O99" i="31"/>
  <c r="O98" i="31"/>
  <c r="O97" i="31"/>
  <c r="O96" i="31"/>
  <c r="O95" i="31"/>
  <c r="O94" i="31"/>
  <c r="O93" i="31"/>
  <c r="O92" i="31"/>
  <c r="O91" i="31"/>
  <c r="O90" i="31"/>
  <c r="O89" i="31"/>
  <c r="O88" i="31"/>
  <c r="O87" i="31"/>
  <c r="O86" i="31"/>
  <c r="O85" i="31"/>
  <c r="O84" i="31"/>
  <c r="O83" i="31"/>
  <c r="O82" i="31"/>
  <c r="O81" i="31"/>
  <c r="O80" i="31"/>
  <c r="O79" i="31"/>
  <c r="O78" i="31"/>
  <c r="O77" i="31"/>
  <c r="O76" i="31"/>
  <c r="O75" i="31"/>
  <c r="O74" i="31"/>
  <c r="O73" i="31"/>
  <c r="O72" i="31"/>
  <c r="O71" i="31"/>
  <c r="O70" i="31"/>
  <c r="O69" i="31"/>
  <c r="O68" i="31"/>
  <c r="O67" i="31"/>
  <c r="O66" i="31"/>
  <c r="O65" i="31"/>
  <c r="O64" i="31"/>
  <c r="O63" i="31"/>
  <c r="O62" i="31"/>
  <c r="O61" i="31"/>
  <c r="O60" i="31"/>
  <c r="O59" i="31"/>
  <c r="O58" i="31"/>
  <c r="O57" i="31"/>
  <c r="O56" i="31"/>
  <c r="O55" i="31"/>
  <c r="O54" i="31"/>
  <c r="O53" i="31"/>
  <c r="O52" i="31"/>
  <c r="O51" i="31"/>
  <c r="O50" i="31"/>
  <c r="O49" i="31"/>
  <c r="O48" i="31"/>
  <c r="O47" i="31"/>
  <c r="O46" i="31"/>
  <c r="O45" i="31"/>
  <c r="O44" i="31"/>
  <c r="O43" i="31"/>
  <c r="O42" i="31"/>
  <c r="O41" i="31"/>
  <c r="O40" i="31"/>
  <c r="O39" i="31"/>
  <c r="O38" i="31"/>
  <c r="O37" i="31"/>
  <c r="O36" i="31"/>
  <c r="O35" i="31"/>
  <c r="O34" i="31"/>
  <c r="O33" i="31"/>
  <c r="O32" i="31"/>
  <c r="O31" i="31"/>
  <c r="O30" i="31"/>
  <c r="O29" i="31"/>
  <c r="O28" i="31"/>
  <c r="O27" i="31"/>
  <c r="O26" i="31"/>
  <c r="O25" i="31"/>
  <c r="O24" i="31"/>
  <c r="O23" i="31"/>
  <c r="O22" i="31"/>
  <c r="O21" i="31"/>
  <c r="O20" i="31"/>
  <c r="O19" i="31"/>
  <c r="O18" i="31"/>
  <c r="O17" i="31"/>
  <c r="O16" i="31"/>
  <c r="O15" i="31"/>
  <c r="O14" i="31"/>
  <c r="B8" i="31"/>
  <c r="G35" i="30"/>
  <c r="G34" i="30"/>
  <c r="G33" i="30"/>
  <c r="G32" i="30"/>
  <c r="G31" i="30"/>
  <c r="G30" i="30"/>
  <c r="G29" i="30"/>
  <c r="G28" i="30"/>
  <c r="G27" i="30"/>
  <c r="G26" i="30"/>
  <c r="G25" i="30"/>
  <c r="G24" i="30"/>
  <c r="G23" i="30"/>
  <c r="G22" i="30"/>
  <c r="G21" i="30"/>
  <c r="G20" i="30"/>
  <c r="G19" i="30"/>
  <c r="G18" i="30"/>
  <c r="G17" i="30"/>
  <c r="G16" i="30"/>
  <c r="G15" i="30"/>
  <c r="G14" i="30"/>
  <c r="B9" i="30"/>
  <c r="B8" i="30"/>
  <c r="H41" i="29"/>
  <c r="H40" i="29"/>
  <c r="H39" i="29"/>
  <c r="H38" i="29"/>
  <c r="H37" i="29"/>
  <c r="H36" i="29"/>
  <c r="H35" i="29"/>
  <c r="H34" i="29"/>
  <c r="H33" i="29"/>
  <c r="H32" i="29"/>
  <c r="H31" i="29"/>
  <c r="H30" i="29"/>
  <c r="H29" i="29"/>
  <c r="H28" i="29"/>
  <c r="H27" i="29"/>
  <c r="H26" i="29"/>
  <c r="H25" i="29"/>
  <c r="H24" i="29"/>
  <c r="H23" i="29"/>
  <c r="H22" i="29"/>
  <c r="H21" i="29"/>
  <c r="H20" i="29"/>
  <c r="H19" i="29"/>
  <c r="H18" i="29"/>
  <c r="H17" i="29"/>
  <c r="H16" i="29"/>
  <c r="H15" i="29"/>
  <c r="H14" i="29"/>
  <c r="B8" i="29"/>
  <c r="Z117" i="28"/>
  <c r="Z116" i="28"/>
  <c r="Z115" i="28"/>
  <c r="Z114" i="28"/>
  <c r="Z113" i="28"/>
  <c r="Z112" i="28"/>
  <c r="Z111" i="28"/>
  <c r="Z110" i="28"/>
  <c r="Z109" i="28"/>
  <c r="Z108" i="28"/>
  <c r="Z107" i="28"/>
  <c r="Z106" i="28"/>
  <c r="Z105" i="28"/>
  <c r="Z104" i="28"/>
  <c r="Z103" i="28"/>
  <c r="Z102" i="28"/>
  <c r="Z101" i="28"/>
  <c r="Z100" i="28"/>
  <c r="Z99" i="28"/>
  <c r="Z98" i="28"/>
  <c r="Z97" i="28"/>
  <c r="Z96" i="28"/>
  <c r="Z95" i="28"/>
  <c r="Z94" i="28"/>
  <c r="Z93" i="28"/>
  <c r="Z92" i="28"/>
  <c r="Z91" i="28"/>
  <c r="Z90" i="28"/>
  <c r="Z89" i="28"/>
  <c r="Z88" i="28"/>
  <c r="Z87" i="28"/>
  <c r="Z86" i="28"/>
  <c r="Z85" i="28"/>
  <c r="Z84" i="28"/>
  <c r="Z83" i="28"/>
  <c r="Z82" i="28"/>
  <c r="Z81" i="28"/>
  <c r="Z80" i="28"/>
  <c r="Z79" i="28"/>
  <c r="Z78" i="28"/>
  <c r="Z77" i="28"/>
  <c r="Z76" i="28"/>
  <c r="Z75" i="28"/>
  <c r="Z74" i="28"/>
  <c r="Z73" i="28"/>
  <c r="Z72" i="28"/>
  <c r="Z71" i="28"/>
  <c r="Z70" i="28"/>
  <c r="Z69" i="28"/>
  <c r="Z68" i="28"/>
  <c r="Z67" i="28"/>
  <c r="Z66" i="28"/>
  <c r="Z65" i="28"/>
  <c r="Z64" i="28"/>
  <c r="Z63" i="28"/>
  <c r="Z62" i="28"/>
  <c r="Z61" i="28"/>
  <c r="Z60" i="28"/>
  <c r="Z59" i="28"/>
  <c r="Z58" i="28"/>
  <c r="Z57" i="28"/>
  <c r="Z56" i="28"/>
  <c r="Z55" i="28"/>
  <c r="Z54" i="28"/>
  <c r="Z53" i="28"/>
  <c r="Z52" i="28"/>
  <c r="Z51" i="28"/>
  <c r="Z50" i="28"/>
  <c r="Z49" i="28"/>
  <c r="Z48" i="28"/>
  <c r="Z47" i="28"/>
  <c r="Z46" i="28"/>
  <c r="Z45" i="28"/>
  <c r="Z44" i="28"/>
  <c r="Z43" i="28"/>
  <c r="Z42" i="28"/>
  <c r="Z41" i="28"/>
  <c r="Z40" i="28"/>
  <c r="Z39" i="28"/>
  <c r="Z38" i="28"/>
  <c r="Z37" i="28"/>
  <c r="Z36" i="28"/>
  <c r="Z35" i="28"/>
  <c r="Z34" i="28"/>
  <c r="Z33" i="28"/>
  <c r="Z32" i="28"/>
  <c r="Z31" i="28"/>
  <c r="Z30" i="28"/>
  <c r="Z29" i="28"/>
  <c r="Z28" i="28"/>
  <c r="Z27" i="28"/>
  <c r="Z26" i="28"/>
  <c r="Z25" i="28"/>
  <c r="Z24" i="28"/>
  <c r="Z23" i="28"/>
  <c r="Z22" i="28"/>
  <c r="Z21" i="28"/>
  <c r="Z20" i="28"/>
  <c r="Z19" i="28"/>
  <c r="Z18" i="28"/>
  <c r="B13" i="28"/>
  <c r="B12" i="28"/>
  <c r="B11" i="28"/>
  <c r="B10" i="28"/>
  <c r="B9" i="28"/>
  <c r="B8" i="28"/>
  <c r="O113" i="27"/>
  <c r="O112" i="27"/>
  <c r="O111" i="27"/>
  <c r="O110" i="27"/>
  <c r="O109" i="27"/>
  <c r="O108" i="27"/>
  <c r="O107" i="27"/>
  <c r="O106" i="27"/>
  <c r="O105" i="27"/>
  <c r="O104" i="27"/>
  <c r="O103" i="27"/>
  <c r="O102" i="27"/>
  <c r="O101" i="27"/>
  <c r="O100" i="27"/>
  <c r="O99" i="27"/>
  <c r="O98" i="27"/>
  <c r="O97" i="27"/>
  <c r="O96" i="27"/>
  <c r="O95" i="27"/>
  <c r="O94" i="27"/>
  <c r="O93" i="27"/>
  <c r="O92" i="27"/>
  <c r="O91" i="27"/>
  <c r="O90" i="27"/>
  <c r="O89" i="27"/>
  <c r="O88" i="27"/>
  <c r="O87" i="27"/>
  <c r="O86" i="27"/>
  <c r="O85" i="27"/>
  <c r="O84" i="27"/>
  <c r="O83" i="27"/>
  <c r="O82" i="27"/>
  <c r="O81" i="27"/>
  <c r="O80" i="27"/>
  <c r="O79" i="27"/>
  <c r="O78" i="27"/>
  <c r="O77" i="27"/>
  <c r="O76" i="27"/>
  <c r="O75" i="27"/>
  <c r="O74" i="27"/>
  <c r="O73" i="27"/>
  <c r="O72" i="27"/>
  <c r="O71" i="27"/>
  <c r="O70" i="27"/>
  <c r="O69" i="27"/>
  <c r="O68" i="27"/>
  <c r="O67" i="27"/>
  <c r="O66" i="27"/>
  <c r="O65" i="27"/>
  <c r="O64" i="27"/>
  <c r="O63" i="27"/>
  <c r="O62" i="27"/>
  <c r="O61" i="27"/>
  <c r="O60" i="27"/>
  <c r="O59" i="27"/>
  <c r="O58" i="27"/>
  <c r="O57" i="27"/>
  <c r="O56" i="27"/>
  <c r="O55" i="27"/>
  <c r="O54" i="27"/>
  <c r="O53" i="27"/>
  <c r="O52" i="27"/>
  <c r="O51" i="27"/>
  <c r="O50" i="27"/>
  <c r="O49" i="27"/>
  <c r="O48" i="27"/>
  <c r="O47" i="27"/>
  <c r="O46" i="27"/>
  <c r="O45" i="27"/>
  <c r="O44" i="27"/>
  <c r="O43" i="27"/>
  <c r="O42" i="27"/>
  <c r="O41" i="27"/>
  <c r="O40" i="27"/>
  <c r="O39" i="27"/>
  <c r="O38" i="27"/>
  <c r="O37" i="27"/>
  <c r="O36" i="27"/>
  <c r="O35" i="27"/>
  <c r="O34" i="27"/>
  <c r="O33" i="27"/>
  <c r="O32" i="27"/>
  <c r="O31" i="27"/>
  <c r="O30" i="27"/>
  <c r="O29" i="27"/>
  <c r="O28" i="27"/>
  <c r="O27" i="27"/>
  <c r="O26" i="27"/>
  <c r="O25" i="27"/>
  <c r="O24" i="27"/>
  <c r="O23" i="27"/>
  <c r="O22" i="27"/>
  <c r="O21" i="27"/>
  <c r="O20" i="27"/>
  <c r="O19" i="27"/>
  <c r="O18" i="27"/>
  <c r="O17" i="27"/>
  <c r="O16" i="27"/>
  <c r="O15" i="27"/>
  <c r="O14" i="27"/>
  <c r="B8" i="27"/>
  <c r="G35" i="26"/>
  <c r="G34" i="26"/>
  <c r="G33" i="26"/>
  <c r="G32" i="26"/>
  <c r="G31" i="26"/>
  <c r="G30" i="26"/>
  <c r="G29" i="26"/>
  <c r="G28" i="26"/>
  <c r="G27" i="26"/>
  <c r="G26" i="26"/>
  <c r="G25" i="26"/>
  <c r="G24" i="26"/>
  <c r="G23" i="26"/>
  <c r="G22" i="26"/>
  <c r="G21" i="26"/>
  <c r="G20" i="26"/>
  <c r="G19" i="26"/>
  <c r="G18" i="26"/>
  <c r="G17" i="26"/>
  <c r="G16" i="26"/>
  <c r="G15" i="26"/>
  <c r="G14" i="26"/>
  <c r="B8" i="26"/>
  <c r="H41" i="25"/>
  <c r="H40" i="25"/>
  <c r="H39" i="25"/>
  <c r="H38" i="25"/>
  <c r="H37" i="25"/>
  <c r="H36" i="25"/>
  <c r="H35" i="25"/>
  <c r="H34" i="25"/>
  <c r="H33" i="25"/>
  <c r="H32" i="25"/>
  <c r="H31" i="25"/>
  <c r="H30" i="25"/>
  <c r="H29" i="25"/>
  <c r="H28" i="25"/>
  <c r="H27" i="25"/>
  <c r="H26" i="25"/>
  <c r="H25" i="25"/>
  <c r="H24" i="25"/>
  <c r="H23" i="25"/>
  <c r="H22" i="25"/>
  <c r="H21" i="25"/>
  <c r="H20" i="25"/>
  <c r="H19" i="25"/>
  <c r="H18" i="25"/>
  <c r="H17" i="25"/>
  <c r="H16" i="25"/>
  <c r="H15" i="25"/>
  <c r="H14" i="25"/>
  <c r="B9" i="25"/>
  <c r="B8" i="25"/>
  <c r="Z117" i="24"/>
  <c r="Z116" i="24"/>
  <c r="Z115" i="24"/>
  <c r="Z114" i="24"/>
  <c r="Z113" i="24"/>
  <c r="Z112" i="24"/>
  <c r="Z111" i="24"/>
  <c r="Z110" i="24"/>
  <c r="Z109" i="24"/>
  <c r="Z108" i="24"/>
  <c r="Z107" i="24"/>
  <c r="Z106" i="24"/>
  <c r="Z105" i="24"/>
  <c r="Z104" i="24"/>
  <c r="Z103" i="24"/>
  <c r="Z102" i="24"/>
  <c r="Z101" i="24"/>
  <c r="Z100" i="24"/>
  <c r="Z99" i="24"/>
  <c r="Z98" i="24"/>
  <c r="Z97" i="24"/>
  <c r="Z96" i="24"/>
  <c r="Z95" i="24"/>
  <c r="Z94" i="24"/>
  <c r="Z93" i="24"/>
  <c r="Z92" i="24"/>
  <c r="Z91" i="24"/>
  <c r="Z90" i="24"/>
  <c r="Z89" i="24"/>
  <c r="Z88" i="24"/>
  <c r="Z87" i="24"/>
  <c r="Z86" i="24"/>
  <c r="Z85" i="24"/>
  <c r="Z84" i="24"/>
  <c r="Z83" i="24"/>
  <c r="Z82" i="24"/>
  <c r="Z81" i="24"/>
  <c r="Z80" i="24"/>
  <c r="Z79" i="24"/>
  <c r="Z78" i="24"/>
  <c r="Z77" i="24"/>
  <c r="Z76" i="24"/>
  <c r="Z75" i="24"/>
  <c r="Z74" i="24"/>
  <c r="Z73" i="24"/>
  <c r="Z72" i="24"/>
  <c r="Z71" i="24"/>
  <c r="Z70" i="24"/>
  <c r="Z69" i="24"/>
  <c r="Z68" i="24"/>
  <c r="Z67" i="24"/>
  <c r="Z66" i="24"/>
  <c r="Z65" i="24"/>
  <c r="Z64" i="24"/>
  <c r="Z63" i="24"/>
  <c r="Z62" i="24"/>
  <c r="Z61" i="24"/>
  <c r="Z60" i="24"/>
  <c r="Z59" i="24"/>
  <c r="Z58" i="24"/>
  <c r="Z57" i="24"/>
  <c r="Z56" i="24"/>
  <c r="Z55" i="24"/>
  <c r="Z54" i="24"/>
  <c r="Z53" i="24"/>
  <c r="Z52" i="24"/>
  <c r="Z51" i="24"/>
  <c r="Z50" i="24"/>
  <c r="Z49" i="24"/>
  <c r="Z48" i="24"/>
  <c r="Z47" i="24"/>
  <c r="Z46" i="24"/>
  <c r="Z45" i="24"/>
  <c r="Z44" i="24"/>
  <c r="Z43" i="24"/>
  <c r="Z42" i="24"/>
  <c r="Z41" i="24"/>
  <c r="Z40" i="24"/>
  <c r="Z39" i="24"/>
  <c r="Z38" i="24"/>
  <c r="Z37" i="24"/>
  <c r="Z36" i="24"/>
  <c r="Z35" i="24"/>
  <c r="Z34" i="24"/>
  <c r="Z33" i="24"/>
  <c r="Z32" i="24"/>
  <c r="Z31" i="24"/>
  <c r="Z30" i="24"/>
  <c r="Z29" i="24"/>
  <c r="Z28" i="24"/>
  <c r="Z27" i="24"/>
  <c r="Z26" i="24"/>
  <c r="Z25" i="24"/>
  <c r="Z24" i="24"/>
  <c r="Z23" i="24"/>
  <c r="Z22" i="24"/>
  <c r="Z21" i="24"/>
  <c r="Z20" i="24"/>
  <c r="Z19" i="24"/>
  <c r="Z18" i="24"/>
  <c r="B13" i="24"/>
  <c r="B8" i="24"/>
  <c r="O113" i="23"/>
  <c r="O112" i="23"/>
  <c r="O111" i="23"/>
  <c r="O110" i="23"/>
  <c r="O109" i="23"/>
  <c r="O108" i="23"/>
  <c r="O107" i="23"/>
  <c r="O106" i="23"/>
  <c r="O105" i="23"/>
  <c r="O104" i="23"/>
  <c r="O103" i="23"/>
  <c r="O102" i="23"/>
  <c r="O101" i="23"/>
  <c r="O100" i="23"/>
  <c r="O99" i="23"/>
  <c r="O98" i="23"/>
  <c r="O97" i="23"/>
  <c r="O96" i="23"/>
  <c r="O95" i="23"/>
  <c r="O94" i="23"/>
  <c r="O93" i="23"/>
  <c r="O92" i="23"/>
  <c r="O91" i="23"/>
  <c r="O90" i="23"/>
  <c r="O89" i="23"/>
  <c r="O88" i="23"/>
  <c r="O87" i="23"/>
  <c r="O86" i="23"/>
  <c r="O85" i="23"/>
  <c r="O84" i="23"/>
  <c r="O83" i="23"/>
  <c r="O82" i="23"/>
  <c r="O81" i="23"/>
  <c r="O80" i="23"/>
  <c r="O79" i="23"/>
  <c r="O78" i="23"/>
  <c r="O77" i="23"/>
  <c r="O76" i="23"/>
  <c r="O75" i="23"/>
  <c r="O74" i="23"/>
  <c r="O73" i="23"/>
  <c r="O72" i="23"/>
  <c r="O71" i="23"/>
  <c r="O70" i="23"/>
  <c r="O69" i="23"/>
  <c r="O68" i="23"/>
  <c r="O67" i="23"/>
  <c r="O66" i="23"/>
  <c r="O65" i="23"/>
  <c r="O64" i="23"/>
  <c r="O63" i="23"/>
  <c r="O62" i="23"/>
  <c r="O61" i="23"/>
  <c r="O60" i="23"/>
  <c r="O59" i="23"/>
  <c r="O58" i="23"/>
  <c r="O57" i="23"/>
  <c r="O56" i="23"/>
  <c r="O55" i="23"/>
  <c r="O54" i="23"/>
  <c r="O53" i="23"/>
  <c r="O52" i="23"/>
  <c r="O51" i="23"/>
  <c r="O50" i="23"/>
  <c r="O49" i="23"/>
  <c r="O48" i="23"/>
  <c r="O47" i="23"/>
  <c r="O46" i="23"/>
  <c r="O45" i="23"/>
  <c r="O44" i="23"/>
  <c r="O43" i="23"/>
  <c r="O42" i="23"/>
  <c r="O41" i="23"/>
  <c r="O40" i="23"/>
  <c r="O39" i="23"/>
  <c r="O38" i="23"/>
  <c r="O37" i="23"/>
  <c r="O36" i="23"/>
  <c r="O35" i="23"/>
  <c r="O34" i="23"/>
  <c r="O33" i="23"/>
  <c r="O32" i="23"/>
  <c r="O31" i="23"/>
  <c r="O30" i="23"/>
  <c r="O29" i="23"/>
  <c r="O28" i="23"/>
  <c r="O27" i="23"/>
  <c r="O26" i="23"/>
  <c r="O25" i="23"/>
  <c r="O24" i="23"/>
  <c r="O23" i="23"/>
  <c r="O22" i="23"/>
  <c r="O21" i="23"/>
  <c r="O20" i="23"/>
  <c r="O19" i="23"/>
  <c r="O18" i="23"/>
  <c r="O17" i="23"/>
  <c r="O16" i="23"/>
  <c r="O15" i="23"/>
  <c r="O14" i="23"/>
  <c r="B8" i="23"/>
  <c r="G35" i="22"/>
  <c r="G34" i="22"/>
  <c r="G33" i="22"/>
  <c r="G32" i="22"/>
  <c r="G31" i="22"/>
  <c r="G30" i="22"/>
  <c r="G29" i="22"/>
  <c r="G28" i="22"/>
  <c r="G27" i="22"/>
  <c r="G26" i="22"/>
  <c r="G25" i="22"/>
  <c r="G24" i="22"/>
  <c r="G23" i="22"/>
  <c r="G22" i="22"/>
  <c r="G21" i="22"/>
  <c r="G20" i="22"/>
  <c r="G19" i="22"/>
  <c r="G18" i="22"/>
  <c r="G17" i="22"/>
  <c r="G16" i="22"/>
  <c r="G15" i="22"/>
  <c r="G14" i="22"/>
  <c r="B8" i="22"/>
  <c r="H41" i="21"/>
  <c r="H40" i="21"/>
  <c r="H39" i="21"/>
  <c r="H38" i="21"/>
  <c r="H37" i="21"/>
  <c r="H36" i="21"/>
  <c r="H35" i="21"/>
  <c r="H34" i="21"/>
  <c r="H33" i="21"/>
  <c r="H32" i="21"/>
  <c r="H31" i="21"/>
  <c r="H30" i="21"/>
  <c r="H29" i="21"/>
  <c r="H28" i="21"/>
  <c r="H27" i="21"/>
  <c r="H26" i="21"/>
  <c r="H25" i="21"/>
  <c r="H24" i="21"/>
  <c r="H23" i="21"/>
  <c r="H22" i="21"/>
  <c r="H21" i="21"/>
  <c r="H20" i="21"/>
  <c r="H19" i="21"/>
  <c r="H18" i="21"/>
  <c r="H17" i="21"/>
  <c r="H16" i="21"/>
  <c r="H15" i="21"/>
  <c r="H14" i="21"/>
  <c r="B9" i="21"/>
  <c r="B8" i="21"/>
  <c r="Z117" i="20"/>
  <c r="Z116" i="20"/>
  <c r="Z115" i="20"/>
  <c r="Z114" i="20"/>
  <c r="Z113" i="20"/>
  <c r="Z112" i="20"/>
  <c r="Z111" i="20"/>
  <c r="Z110" i="20"/>
  <c r="Z109" i="20"/>
  <c r="Z108" i="20"/>
  <c r="Z107" i="20"/>
  <c r="Z106" i="20"/>
  <c r="Z105" i="20"/>
  <c r="Z104" i="20"/>
  <c r="Z103" i="20"/>
  <c r="Z102" i="20"/>
  <c r="Z101" i="20"/>
  <c r="Z100" i="20"/>
  <c r="Z99" i="20"/>
  <c r="Z98" i="20"/>
  <c r="Z97" i="20"/>
  <c r="Z96" i="20"/>
  <c r="Z95" i="20"/>
  <c r="Z94" i="20"/>
  <c r="Z93" i="20"/>
  <c r="Z92" i="20"/>
  <c r="Z91" i="20"/>
  <c r="Z90" i="20"/>
  <c r="Z89" i="20"/>
  <c r="Z88" i="20"/>
  <c r="Z87" i="20"/>
  <c r="Z86" i="20"/>
  <c r="Z85" i="20"/>
  <c r="Z84" i="20"/>
  <c r="Z83" i="20"/>
  <c r="Z82" i="20"/>
  <c r="Z81" i="20"/>
  <c r="Z80" i="20"/>
  <c r="Z79" i="20"/>
  <c r="Z78" i="20"/>
  <c r="Z77" i="20"/>
  <c r="Z76" i="20"/>
  <c r="Z75" i="20"/>
  <c r="Z74" i="20"/>
  <c r="Z73" i="20"/>
  <c r="Z72" i="20"/>
  <c r="Z71" i="20"/>
  <c r="Z70" i="20"/>
  <c r="Z69" i="20"/>
  <c r="Z68" i="20"/>
  <c r="Z67" i="20"/>
  <c r="Z66" i="20"/>
  <c r="Z65" i="20"/>
  <c r="Z64" i="20"/>
  <c r="Z63" i="20"/>
  <c r="Z62" i="20"/>
  <c r="Z61" i="20"/>
  <c r="Z60" i="20"/>
  <c r="Z59" i="20"/>
  <c r="Z58" i="20"/>
  <c r="Z57" i="20"/>
  <c r="Z56" i="20"/>
  <c r="Z55" i="20"/>
  <c r="Z54" i="20"/>
  <c r="Z53" i="20"/>
  <c r="Z52" i="20"/>
  <c r="Z51" i="20"/>
  <c r="Z50" i="20"/>
  <c r="Z49" i="20"/>
  <c r="Z48" i="20"/>
  <c r="Z47" i="20"/>
  <c r="Z46" i="20"/>
  <c r="Z45" i="20"/>
  <c r="Z44" i="20"/>
  <c r="Z43" i="20"/>
  <c r="Z42" i="20"/>
  <c r="Z41" i="20"/>
  <c r="Z40" i="20"/>
  <c r="Z39" i="20"/>
  <c r="Z38" i="20"/>
  <c r="Z37" i="20"/>
  <c r="Z36" i="20"/>
  <c r="Z35" i="20"/>
  <c r="Z34" i="20"/>
  <c r="Z33" i="20"/>
  <c r="Z32" i="20"/>
  <c r="Z31" i="20"/>
  <c r="Z30" i="20"/>
  <c r="Z29" i="20"/>
  <c r="Z28" i="20"/>
  <c r="Z27" i="20"/>
  <c r="Z26" i="20"/>
  <c r="Z25" i="20"/>
  <c r="Z24" i="20"/>
  <c r="Z23" i="20"/>
  <c r="Z22" i="20"/>
  <c r="Z21" i="20"/>
  <c r="Z20" i="20"/>
  <c r="Z19" i="20"/>
  <c r="Z18" i="20"/>
  <c r="B13" i="20"/>
  <c r="B12" i="20"/>
  <c r="B11" i="20"/>
  <c r="B10" i="20"/>
  <c r="B9" i="20"/>
  <c r="B8" i="20"/>
  <c r="O113" i="19"/>
  <c r="O112" i="19"/>
  <c r="O111" i="19"/>
  <c r="O110" i="19"/>
  <c r="O109" i="19"/>
  <c r="O108" i="19"/>
  <c r="O107" i="19"/>
  <c r="O106" i="19"/>
  <c r="O105" i="19"/>
  <c r="O104" i="19"/>
  <c r="O103" i="19"/>
  <c r="O102" i="19"/>
  <c r="O101" i="19"/>
  <c r="O100" i="19"/>
  <c r="O99" i="19"/>
  <c r="O98" i="19"/>
  <c r="O97" i="19"/>
  <c r="O96" i="19"/>
  <c r="O95" i="19"/>
  <c r="O94" i="19"/>
  <c r="O93" i="19"/>
  <c r="O92" i="19"/>
  <c r="O91" i="19"/>
  <c r="O90" i="19"/>
  <c r="O89" i="19"/>
  <c r="O88" i="19"/>
  <c r="O87" i="19"/>
  <c r="O86" i="19"/>
  <c r="O85" i="19"/>
  <c r="O84" i="19"/>
  <c r="O83" i="19"/>
  <c r="O82" i="19"/>
  <c r="O81" i="19"/>
  <c r="O80" i="19"/>
  <c r="O79" i="19"/>
  <c r="O78" i="19"/>
  <c r="O77" i="19"/>
  <c r="O76" i="19"/>
  <c r="O75" i="19"/>
  <c r="O74" i="19"/>
  <c r="O73" i="19"/>
  <c r="O72" i="19"/>
  <c r="O71" i="19"/>
  <c r="O70" i="19"/>
  <c r="O69" i="19"/>
  <c r="O68" i="19"/>
  <c r="O67" i="19"/>
  <c r="O66" i="19"/>
  <c r="O65" i="19"/>
  <c r="O64" i="19"/>
  <c r="O63" i="19"/>
  <c r="O62" i="19"/>
  <c r="O61" i="19"/>
  <c r="O60" i="19"/>
  <c r="O59" i="19"/>
  <c r="O58" i="19"/>
  <c r="O57" i="19"/>
  <c r="O56" i="19"/>
  <c r="O55" i="19"/>
  <c r="O54" i="19"/>
  <c r="O53" i="19"/>
  <c r="O52" i="19"/>
  <c r="O51" i="19"/>
  <c r="O50" i="19"/>
  <c r="O49" i="19"/>
  <c r="O48" i="19"/>
  <c r="O47" i="19"/>
  <c r="O46" i="19"/>
  <c r="O45" i="19"/>
  <c r="O44" i="19"/>
  <c r="O43" i="19"/>
  <c r="O42" i="19"/>
  <c r="O41" i="19"/>
  <c r="O40" i="19"/>
  <c r="O39" i="19"/>
  <c r="O38" i="19"/>
  <c r="O37" i="19"/>
  <c r="O36" i="19"/>
  <c r="O35" i="19"/>
  <c r="O34" i="19"/>
  <c r="O33" i="19"/>
  <c r="O32" i="19"/>
  <c r="O31" i="19"/>
  <c r="O30" i="19"/>
  <c r="O29" i="19"/>
  <c r="O28" i="19"/>
  <c r="O27" i="19"/>
  <c r="O26" i="19"/>
  <c r="O25" i="19"/>
  <c r="O24" i="19"/>
  <c r="O23" i="19"/>
  <c r="O22" i="19"/>
  <c r="O21" i="19"/>
  <c r="O20" i="19"/>
  <c r="O19" i="19"/>
  <c r="O18" i="19"/>
  <c r="O17" i="19"/>
  <c r="O16" i="19"/>
  <c r="O15" i="19"/>
  <c r="O14" i="19"/>
  <c r="B8" i="19"/>
  <c r="G35" i="18"/>
  <c r="G34" i="18"/>
  <c r="G33" i="18"/>
  <c r="G32" i="18"/>
  <c r="G31" i="18"/>
  <c r="G30" i="18"/>
  <c r="G29" i="18"/>
  <c r="G28" i="18"/>
  <c r="G27" i="18"/>
  <c r="G26" i="18"/>
  <c r="G25" i="18"/>
  <c r="G24" i="18"/>
  <c r="G23" i="18"/>
  <c r="G22" i="18"/>
  <c r="G21" i="18"/>
  <c r="G20" i="18"/>
  <c r="G19" i="18"/>
  <c r="G18" i="18"/>
  <c r="G17" i="18"/>
  <c r="G16" i="18"/>
  <c r="G15" i="18"/>
  <c r="G14" i="18"/>
  <c r="B9" i="18"/>
  <c r="B8" i="18"/>
  <c r="H41" i="17"/>
  <c r="H40" i="17"/>
  <c r="H39" i="17"/>
  <c r="H38" i="17"/>
  <c r="H37" i="17"/>
  <c r="H36" i="17"/>
  <c r="H35" i="17"/>
  <c r="H34" i="17"/>
  <c r="H33" i="17"/>
  <c r="H32" i="17"/>
  <c r="H31" i="17"/>
  <c r="H30" i="17"/>
  <c r="H29" i="17"/>
  <c r="H28" i="17"/>
  <c r="H27" i="17"/>
  <c r="H26" i="17"/>
  <c r="H25" i="17"/>
  <c r="H24" i="17"/>
  <c r="H23" i="17"/>
  <c r="H22" i="17"/>
  <c r="H21" i="17"/>
  <c r="H20" i="17"/>
  <c r="H19" i="17"/>
  <c r="H18" i="17"/>
  <c r="H17" i="17"/>
  <c r="H16" i="17"/>
  <c r="H15" i="17"/>
  <c r="H14" i="17"/>
  <c r="B8" i="17"/>
  <c r="Z117" i="16"/>
  <c r="Z116" i="16"/>
  <c r="Z115" i="16"/>
  <c r="Z114" i="16"/>
  <c r="Z113" i="16"/>
  <c r="Z112" i="16"/>
  <c r="Z111" i="16"/>
  <c r="Z110" i="16"/>
  <c r="Z109" i="16"/>
  <c r="Z108" i="16"/>
  <c r="Z107" i="16"/>
  <c r="Z106" i="16"/>
  <c r="Z105" i="16"/>
  <c r="Z104" i="16"/>
  <c r="Z103" i="16"/>
  <c r="Z102" i="16"/>
  <c r="Z101" i="16"/>
  <c r="Z100" i="16"/>
  <c r="Z99" i="16"/>
  <c r="Z98" i="16"/>
  <c r="Z97" i="16"/>
  <c r="Z96" i="16"/>
  <c r="Z95" i="16"/>
  <c r="Z94" i="16"/>
  <c r="Z93" i="16"/>
  <c r="Z92" i="16"/>
  <c r="Z91" i="16"/>
  <c r="Z90" i="16"/>
  <c r="Z89" i="16"/>
  <c r="Z88" i="16"/>
  <c r="Z87" i="16"/>
  <c r="Z86" i="16"/>
  <c r="Z85" i="16"/>
  <c r="Z84" i="16"/>
  <c r="Z83" i="16"/>
  <c r="Z82" i="16"/>
  <c r="Z81" i="16"/>
  <c r="Z80" i="16"/>
  <c r="Z79" i="16"/>
  <c r="Z78" i="16"/>
  <c r="Z77" i="16"/>
  <c r="Z76" i="16"/>
  <c r="Z75" i="16"/>
  <c r="Z74" i="16"/>
  <c r="Z73" i="16"/>
  <c r="Z72" i="16"/>
  <c r="Z71" i="16"/>
  <c r="Z70" i="16"/>
  <c r="Z69" i="16"/>
  <c r="Z68" i="16"/>
  <c r="Z67" i="16"/>
  <c r="Z66" i="16"/>
  <c r="Z65" i="16"/>
  <c r="Z64" i="16"/>
  <c r="Z63" i="16"/>
  <c r="Z62" i="16"/>
  <c r="Z61" i="16"/>
  <c r="Z60" i="16"/>
  <c r="Z59" i="16"/>
  <c r="Z58" i="16"/>
  <c r="Z57" i="16"/>
  <c r="Z56" i="16"/>
  <c r="Z55" i="16"/>
  <c r="Z54" i="16"/>
  <c r="Z53" i="16"/>
  <c r="Z52" i="16"/>
  <c r="Z51" i="16"/>
  <c r="Z50" i="16"/>
  <c r="Z49" i="16"/>
  <c r="Z48" i="16"/>
  <c r="Z47" i="16"/>
  <c r="Z46" i="16"/>
  <c r="Z45" i="16"/>
  <c r="Z44" i="16"/>
  <c r="Z43" i="16"/>
  <c r="Z42" i="16"/>
  <c r="Z41" i="16"/>
  <c r="Z40" i="16"/>
  <c r="Z39" i="16"/>
  <c r="Z38" i="16"/>
  <c r="Z37" i="16"/>
  <c r="Z36" i="16"/>
  <c r="Z35" i="16"/>
  <c r="Z34" i="16"/>
  <c r="Z33" i="16"/>
  <c r="Z32" i="16"/>
  <c r="Z31" i="16"/>
  <c r="Z30" i="16"/>
  <c r="Z29" i="16"/>
  <c r="Z28" i="16"/>
  <c r="Z27" i="16"/>
  <c r="Z26" i="16"/>
  <c r="Z25" i="16"/>
  <c r="Z24" i="16"/>
  <c r="Z23" i="16"/>
  <c r="Z22" i="16"/>
  <c r="Z21" i="16"/>
  <c r="Z20" i="16"/>
  <c r="Z19" i="16"/>
  <c r="Z18" i="16"/>
  <c r="B13" i="16"/>
  <c r="B8" i="16"/>
  <c r="O113" i="15"/>
  <c r="O112" i="15"/>
  <c r="O111" i="15"/>
  <c r="O110" i="15"/>
  <c r="O109" i="15"/>
  <c r="O108" i="15"/>
  <c r="O107" i="15"/>
  <c r="O106" i="15"/>
  <c r="O105" i="15"/>
  <c r="O104" i="15"/>
  <c r="O103" i="15"/>
  <c r="O102" i="15"/>
  <c r="O101" i="15"/>
  <c r="O100" i="15"/>
  <c r="O99" i="15"/>
  <c r="O98" i="15"/>
  <c r="O97" i="15"/>
  <c r="O96" i="15"/>
  <c r="O95" i="15"/>
  <c r="O94" i="15"/>
  <c r="O93" i="15"/>
  <c r="O92" i="15"/>
  <c r="O91" i="15"/>
  <c r="O90" i="15"/>
  <c r="O89" i="15"/>
  <c r="O88" i="15"/>
  <c r="O87" i="15"/>
  <c r="O86" i="15"/>
  <c r="O85" i="15"/>
  <c r="O84" i="15"/>
  <c r="O83" i="15"/>
  <c r="O82" i="15"/>
  <c r="O81" i="15"/>
  <c r="O80" i="15"/>
  <c r="O79" i="15"/>
  <c r="O78" i="15"/>
  <c r="O77" i="15"/>
  <c r="O76" i="15"/>
  <c r="O75" i="15"/>
  <c r="O74" i="15"/>
  <c r="O73" i="15"/>
  <c r="O72" i="15"/>
  <c r="O71" i="15"/>
  <c r="O70" i="15"/>
  <c r="O69" i="15"/>
  <c r="O68" i="15"/>
  <c r="O67" i="15"/>
  <c r="O66" i="15"/>
  <c r="O65" i="15"/>
  <c r="O64" i="15"/>
  <c r="O63" i="15"/>
  <c r="O62" i="15"/>
  <c r="O61" i="15"/>
  <c r="O60" i="15"/>
  <c r="O59" i="15"/>
  <c r="O58" i="15"/>
  <c r="O57" i="15"/>
  <c r="O56" i="15"/>
  <c r="O55" i="15"/>
  <c r="O54" i="15"/>
  <c r="O53" i="15"/>
  <c r="O52" i="15"/>
  <c r="O51" i="15"/>
  <c r="O50" i="15"/>
  <c r="O49" i="15"/>
  <c r="O48" i="15"/>
  <c r="O47" i="15"/>
  <c r="O46" i="15"/>
  <c r="O45" i="15"/>
  <c r="O44" i="15"/>
  <c r="O43" i="15"/>
  <c r="O42" i="15"/>
  <c r="O41" i="15"/>
  <c r="O40" i="15"/>
  <c r="O39" i="15"/>
  <c r="O38" i="15"/>
  <c r="O37" i="15"/>
  <c r="O36" i="15"/>
  <c r="O35" i="15"/>
  <c r="O34" i="15"/>
  <c r="O33" i="15"/>
  <c r="O32" i="15"/>
  <c r="O31" i="15"/>
  <c r="O30" i="15"/>
  <c r="O29" i="15"/>
  <c r="O28" i="15"/>
  <c r="O27" i="15"/>
  <c r="O26" i="15"/>
  <c r="O25" i="15"/>
  <c r="O24" i="15"/>
  <c r="O23" i="15"/>
  <c r="O22" i="15"/>
  <c r="O21" i="15"/>
  <c r="O20" i="15"/>
  <c r="O19" i="15"/>
  <c r="O18" i="15"/>
  <c r="O17" i="15"/>
  <c r="O16" i="15"/>
  <c r="O15" i="15"/>
  <c r="O14" i="15"/>
  <c r="B8" i="15"/>
  <c r="G35" i="14"/>
  <c r="G34" i="14"/>
  <c r="G33" i="14"/>
  <c r="G32" i="14"/>
  <c r="G31" i="14"/>
  <c r="G30" i="14"/>
  <c r="G29" i="14"/>
  <c r="G28" i="14"/>
  <c r="G27" i="14"/>
  <c r="G26" i="14"/>
  <c r="G25" i="14"/>
  <c r="G24" i="14"/>
  <c r="G23" i="14"/>
  <c r="G22" i="14"/>
  <c r="G21" i="14"/>
  <c r="G20" i="14"/>
  <c r="G19" i="14"/>
  <c r="G18" i="14"/>
  <c r="G17" i="14"/>
  <c r="G16" i="14"/>
  <c r="G15" i="14"/>
  <c r="G14" i="14"/>
  <c r="B8" i="14"/>
  <c r="H41" i="13"/>
  <c r="H40" i="13"/>
  <c r="H39" i="13"/>
  <c r="H38" i="13"/>
  <c r="H37" i="13"/>
  <c r="H36" i="13"/>
  <c r="H35" i="13"/>
  <c r="H34" i="13"/>
  <c r="H33" i="13"/>
  <c r="H32" i="13"/>
  <c r="H31" i="13"/>
  <c r="H30" i="13"/>
  <c r="H29" i="13"/>
  <c r="H28" i="13"/>
  <c r="H27" i="13"/>
  <c r="H26" i="13"/>
  <c r="H25" i="13"/>
  <c r="H24" i="13"/>
  <c r="H23" i="13"/>
  <c r="H22" i="13"/>
  <c r="H21" i="13"/>
  <c r="H20" i="13"/>
  <c r="H19" i="13"/>
  <c r="H18" i="13"/>
  <c r="H17" i="13"/>
  <c r="H16" i="13"/>
  <c r="H15" i="13"/>
  <c r="H14" i="13"/>
  <c r="B8" i="13"/>
  <c r="Z117" i="12"/>
  <c r="Z116" i="12"/>
  <c r="Z115" i="12"/>
  <c r="Z114" i="12"/>
  <c r="Z113" i="12"/>
  <c r="Z112" i="12"/>
  <c r="Z111" i="12"/>
  <c r="Z110" i="12"/>
  <c r="Z109" i="12"/>
  <c r="Z108" i="12"/>
  <c r="Z107" i="12"/>
  <c r="Z106" i="12"/>
  <c r="Z105" i="12"/>
  <c r="Z104" i="12"/>
  <c r="Z103" i="12"/>
  <c r="Z102" i="12"/>
  <c r="Z101" i="12"/>
  <c r="Z100" i="12"/>
  <c r="Z99" i="12"/>
  <c r="Z98" i="12"/>
  <c r="Z97" i="12"/>
  <c r="Z96" i="12"/>
  <c r="Z95" i="12"/>
  <c r="Z94" i="12"/>
  <c r="Z93" i="12"/>
  <c r="Z92" i="12"/>
  <c r="Z91" i="12"/>
  <c r="Z90" i="12"/>
  <c r="Z89" i="12"/>
  <c r="Z88" i="12"/>
  <c r="Z87" i="12"/>
  <c r="Z86" i="12"/>
  <c r="Z85" i="12"/>
  <c r="Z84" i="12"/>
  <c r="Z83" i="12"/>
  <c r="Z82" i="12"/>
  <c r="Z81" i="12"/>
  <c r="Z80" i="12"/>
  <c r="Z79" i="12"/>
  <c r="Z78" i="12"/>
  <c r="Z77" i="12"/>
  <c r="Z76" i="12"/>
  <c r="Z75" i="12"/>
  <c r="Z74" i="12"/>
  <c r="Z73" i="12"/>
  <c r="Z72" i="12"/>
  <c r="Z71" i="12"/>
  <c r="Z70" i="12"/>
  <c r="Z69" i="12"/>
  <c r="Z68" i="12"/>
  <c r="Z67" i="12"/>
  <c r="Z66" i="12"/>
  <c r="Z65" i="12"/>
  <c r="Z64" i="12"/>
  <c r="Z63" i="12"/>
  <c r="Z62" i="12"/>
  <c r="Z61" i="12"/>
  <c r="Z60" i="12"/>
  <c r="Z59" i="12"/>
  <c r="Z58" i="12"/>
  <c r="Z57" i="12"/>
  <c r="Z56" i="12"/>
  <c r="Z55" i="12"/>
  <c r="Z54" i="12"/>
  <c r="Z53" i="12"/>
  <c r="Z52" i="12"/>
  <c r="Z51" i="12"/>
  <c r="Z50" i="12"/>
  <c r="Z49" i="12"/>
  <c r="Z48" i="12"/>
  <c r="Z47" i="12"/>
  <c r="Z46" i="12"/>
  <c r="Z45" i="12"/>
  <c r="Z44" i="12"/>
  <c r="Z43" i="12"/>
  <c r="Z42" i="12"/>
  <c r="Z41" i="12"/>
  <c r="Z40" i="12"/>
  <c r="Z39" i="12"/>
  <c r="Z38" i="12"/>
  <c r="Z37" i="12"/>
  <c r="Z36" i="12"/>
  <c r="Z35" i="12"/>
  <c r="Z34" i="12"/>
  <c r="Z33" i="12"/>
  <c r="Z32" i="12"/>
  <c r="Z31" i="12"/>
  <c r="Z30" i="12"/>
  <c r="Z29" i="12"/>
  <c r="Z28" i="12"/>
  <c r="Z27" i="12"/>
  <c r="Z26" i="12"/>
  <c r="Z25" i="12"/>
  <c r="Z24" i="12"/>
  <c r="Z23" i="12"/>
  <c r="Z22" i="12"/>
  <c r="Z21" i="12"/>
  <c r="Z20" i="12"/>
  <c r="Z19" i="12"/>
  <c r="Z18" i="12"/>
  <c r="B13" i="12"/>
  <c r="B8" i="12"/>
  <c r="O113" i="11"/>
  <c r="O112" i="11"/>
  <c r="O111" i="11"/>
  <c r="O110" i="11"/>
  <c r="O109" i="11"/>
  <c r="O108" i="11"/>
  <c r="O107" i="11"/>
  <c r="O106" i="11"/>
  <c r="O105" i="11"/>
  <c r="O104" i="11"/>
  <c r="O103" i="11"/>
  <c r="O102" i="11"/>
  <c r="O101" i="11"/>
  <c r="O100" i="11"/>
  <c r="O99" i="11"/>
  <c r="O98" i="11"/>
  <c r="O97" i="11"/>
  <c r="O96" i="11"/>
  <c r="O95" i="11"/>
  <c r="O94" i="11"/>
  <c r="O93" i="11"/>
  <c r="O92" i="11"/>
  <c r="O91" i="11"/>
  <c r="O90" i="11"/>
  <c r="O89" i="11"/>
  <c r="O88" i="11"/>
  <c r="O87" i="11"/>
  <c r="O86" i="11"/>
  <c r="O85" i="11"/>
  <c r="O84" i="11"/>
  <c r="O83" i="11"/>
  <c r="O82" i="11"/>
  <c r="O81" i="11"/>
  <c r="O80" i="11"/>
  <c r="O79" i="11"/>
  <c r="O78" i="11"/>
  <c r="O77" i="11"/>
  <c r="O76" i="11"/>
  <c r="O75" i="11"/>
  <c r="O74" i="11"/>
  <c r="O73" i="11"/>
  <c r="O72" i="11"/>
  <c r="O71" i="11"/>
  <c r="O70" i="11"/>
  <c r="O69" i="11"/>
  <c r="O68" i="11"/>
  <c r="O67" i="11"/>
  <c r="O66" i="11"/>
  <c r="O65" i="11"/>
  <c r="O64" i="11"/>
  <c r="O63" i="11"/>
  <c r="O62" i="11"/>
  <c r="O61" i="11"/>
  <c r="O60" i="11"/>
  <c r="O59" i="11"/>
  <c r="O58" i="11"/>
  <c r="O57" i="11"/>
  <c r="O56" i="11"/>
  <c r="O55" i="11"/>
  <c r="O54" i="11"/>
  <c r="O53" i="11"/>
  <c r="O52" i="11"/>
  <c r="O51" i="11"/>
  <c r="O50" i="11"/>
  <c r="O49" i="11"/>
  <c r="O48" i="11"/>
  <c r="O47" i="11"/>
  <c r="O46" i="11"/>
  <c r="O45" i="11"/>
  <c r="O44" i="11"/>
  <c r="O43" i="11"/>
  <c r="O42" i="11"/>
  <c r="O41" i="11"/>
  <c r="O40" i="11"/>
  <c r="O39" i="11"/>
  <c r="O38" i="11"/>
  <c r="O37" i="11"/>
  <c r="O36" i="11"/>
  <c r="O35" i="11"/>
  <c r="O34" i="11"/>
  <c r="O33" i="11"/>
  <c r="O32" i="11"/>
  <c r="O31" i="11"/>
  <c r="O30" i="11"/>
  <c r="O29" i="11"/>
  <c r="O28" i="11"/>
  <c r="O27" i="11"/>
  <c r="O26" i="11"/>
  <c r="O25" i="11"/>
  <c r="O24" i="11"/>
  <c r="O23" i="11"/>
  <c r="O22" i="11"/>
  <c r="O21" i="11"/>
  <c r="O20" i="11"/>
  <c r="O19" i="11"/>
  <c r="O18" i="11"/>
  <c r="O17" i="11"/>
  <c r="O16" i="11"/>
  <c r="O15" i="11"/>
  <c r="O14" i="11"/>
  <c r="B8" i="11"/>
  <c r="G35" i="10"/>
  <c r="G34" i="10"/>
  <c r="G33" i="10"/>
  <c r="G32" i="10"/>
  <c r="G31" i="10"/>
  <c r="G30" i="10"/>
  <c r="G29" i="10"/>
  <c r="G28" i="10"/>
  <c r="G27" i="10"/>
  <c r="G26" i="10"/>
  <c r="G25" i="10"/>
  <c r="G24" i="10"/>
  <c r="G23" i="10"/>
  <c r="G22" i="10"/>
  <c r="G21" i="10"/>
  <c r="G20" i="10"/>
  <c r="G19" i="10"/>
  <c r="G18" i="10"/>
  <c r="G17" i="10"/>
  <c r="G16" i="10"/>
  <c r="G15" i="10"/>
  <c r="G14" i="10"/>
  <c r="B8" i="10"/>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B9" i="9"/>
  <c r="B8" i="9"/>
  <c r="Z117" i="8"/>
  <c r="Z116" i="8"/>
  <c r="Z115" i="8"/>
  <c r="Z114" i="8"/>
  <c r="Z113" i="8"/>
  <c r="Z112" i="8"/>
  <c r="Z111" i="8"/>
  <c r="Z110" i="8"/>
  <c r="Z109" i="8"/>
  <c r="Z108" i="8"/>
  <c r="Z107" i="8"/>
  <c r="Z106" i="8"/>
  <c r="Z105" i="8"/>
  <c r="Z104" i="8"/>
  <c r="Z103" i="8"/>
  <c r="Z102" i="8"/>
  <c r="Z101" i="8"/>
  <c r="Z100" i="8"/>
  <c r="Z99" i="8"/>
  <c r="Z98" i="8"/>
  <c r="Z97" i="8"/>
  <c r="Z96" i="8"/>
  <c r="Z95" i="8"/>
  <c r="Z94" i="8"/>
  <c r="Z93" i="8"/>
  <c r="Z92" i="8"/>
  <c r="Z91" i="8"/>
  <c r="Z90" i="8"/>
  <c r="Z89" i="8"/>
  <c r="Z88" i="8"/>
  <c r="Z87" i="8"/>
  <c r="Z86" i="8"/>
  <c r="Z85" i="8"/>
  <c r="Z84" i="8"/>
  <c r="Z83" i="8"/>
  <c r="Z82" i="8"/>
  <c r="Z81" i="8"/>
  <c r="Z80" i="8"/>
  <c r="Z79" i="8"/>
  <c r="Z78" i="8"/>
  <c r="Z77" i="8"/>
  <c r="Z76" i="8"/>
  <c r="Z75" i="8"/>
  <c r="Z74" i="8"/>
  <c r="Z73" i="8"/>
  <c r="Z72" i="8"/>
  <c r="Z71" i="8"/>
  <c r="Z70" i="8"/>
  <c r="Z69" i="8"/>
  <c r="Z68" i="8"/>
  <c r="Z67" i="8"/>
  <c r="Z66" i="8"/>
  <c r="Z65" i="8"/>
  <c r="Z64" i="8"/>
  <c r="Z63" i="8"/>
  <c r="Z62" i="8"/>
  <c r="Z61" i="8"/>
  <c r="Z60" i="8"/>
  <c r="Z59" i="8"/>
  <c r="Z58" i="8"/>
  <c r="Z57" i="8"/>
  <c r="Z56" i="8"/>
  <c r="Z55" i="8"/>
  <c r="Z54" i="8"/>
  <c r="Z53" i="8"/>
  <c r="Z52" i="8"/>
  <c r="Z51" i="8"/>
  <c r="Z50" i="8"/>
  <c r="Z49" i="8"/>
  <c r="Z48" i="8"/>
  <c r="Z47" i="8"/>
  <c r="Z46" i="8"/>
  <c r="Z45" i="8"/>
  <c r="Z44" i="8"/>
  <c r="Z43" i="8"/>
  <c r="Z42" i="8"/>
  <c r="Z41" i="8"/>
  <c r="Z40" i="8"/>
  <c r="Z39" i="8"/>
  <c r="Z38" i="8"/>
  <c r="Z37" i="8"/>
  <c r="Z36" i="8"/>
  <c r="Z35" i="8"/>
  <c r="Z34" i="8"/>
  <c r="Z33" i="8"/>
  <c r="Z32" i="8"/>
  <c r="Z31" i="8"/>
  <c r="Z30" i="8"/>
  <c r="Z29" i="8"/>
  <c r="Z28" i="8"/>
  <c r="Z27" i="8"/>
  <c r="Z26" i="8"/>
  <c r="Z25" i="8"/>
  <c r="Z24" i="8"/>
  <c r="Z23" i="8"/>
  <c r="Z22" i="8"/>
  <c r="Z21" i="8"/>
  <c r="Z20" i="8"/>
  <c r="Z19" i="8"/>
  <c r="Z18" i="8"/>
  <c r="B13" i="8"/>
  <c r="B8" i="8"/>
  <c r="O113" i="7"/>
  <c r="O112" i="7"/>
  <c r="O111" i="7"/>
  <c r="O110" i="7"/>
  <c r="O109" i="7"/>
  <c r="O108" i="7"/>
  <c r="O107" i="7"/>
  <c r="O106" i="7"/>
  <c r="O105" i="7"/>
  <c r="O104" i="7"/>
  <c r="O103" i="7"/>
  <c r="O102" i="7"/>
  <c r="O101" i="7"/>
  <c r="O100" i="7"/>
  <c r="O99" i="7"/>
  <c r="O98" i="7"/>
  <c r="O97" i="7"/>
  <c r="O96" i="7"/>
  <c r="O95" i="7"/>
  <c r="O94" i="7"/>
  <c r="O93" i="7"/>
  <c r="O92" i="7"/>
  <c r="O91" i="7"/>
  <c r="O90" i="7"/>
  <c r="O89" i="7"/>
  <c r="O88" i="7"/>
  <c r="O87" i="7"/>
  <c r="O86" i="7"/>
  <c r="O85" i="7"/>
  <c r="O84" i="7"/>
  <c r="O83" i="7"/>
  <c r="O82" i="7"/>
  <c r="O81" i="7"/>
  <c r="O80" i="7"/>
  <c r="O79" i="7"/>
  <c r="O78" i="7"/>
  <c r="O77" i="7"/>
  <c r="O76" i="7"/>
  <c r="O75" i="7"/>
  <c r="O74" i="7"/>
  <c r="O73" i="7"/>
  <c r="O72" i="7"/>
  <c r="O71" i="7"/>
  <c r="O70" i="7"/>
  <c r="O69" i="7"/>
  <c r="O68" i="7"/>
  <c r="O67" i="7"/>
  <c r="O66" i="7"/>
  <c r="O65" i="7"/>
  <c r="O64" i="7"/>
  <c r="O63" i="7"/>
  <c r="O62" i="7"/>
  <c r="O61" i="7"/>
  <c r="O60" i="7"/>
  <c r="O59" i="7"/>
  <c r="O58" i="7"/>
  <c r="O57" i="7"/>
  <c r="O56" i="7"/>
  <c r="O55" i="7"/>
  <c r="O54" i="7"/>
  <c r="O53" i="7"/>
  <c r="O52" i="7"/>
  <c r="O51" i="7"/>
  <c r="O50" i="7"/>
  <c r="O49" i="7"/>
  <c r="O48" i="7"/>
  <c r="O47" i="7"/>
  <c r="O46" i="7"/>
  <c r="O45" i="7"/>
  <c r="O44" i="7"/>
  <c r="O43" i="7"/>
  <c r="O42" i="7"/>
  <c r="O41" i="7"/>
  <c r="O40" i="7"/>
  <c r="O39" i="7"/>
  <c r="O38" i="7"/>
  <c r="O37" i="7"/>
  <c r="O36" i="7"/>
  <c r="O35" i="7"/>
  <c r="O34" i="7"/>
  <c r="O33" i="7"/>
  <c r="O32" i="7"/>
  <c r="O31" i="7"/>
  <c r="O30" i="7"/>
  <c r="O29" i="7"/>
  <c r="O28" i="7"/>
  <c r="O27" i="7"/>
  <c r="O26" i="7"/>
  <c r="O25" i="7"/>
  <c r="O24" i="7"/>
  <c r="O23" i="7"/>
  <c r="O22" i="7"/>
  <c r="O21" i="7"/>
  <c r="O20" i="7"/>
  <c r="O19" i="7"/>
  <c r="O18" i="7"/>
  <c r="O17" i="7"/>
  <c r="O16" i="7"/>
  <c r="O15" i="7"/>
  <c r="O14" i="7"/>
  <c r="B8" i="7"/>
  <c r="G35" i="6"/>
  <c r="G34" i="6"/>
  <c r="G33" i="6"/>
  <c r="G32" i="6"/>
  <c r="G31" i="6"/>
  <c r="G30" i="6"/>
  <c r="G29" i="6"/>
  <c r="G28" i="6"/>
  <c r="G27" i="6"/>
  <c r="G26" i="6"/>
  <c r="G25" i="6"/>
  <c r="G24" i="6"/>
  <c r="G23" i="6"/>
  <c r="G22" i="6"/>
  <c r="G21" i="6"/>
  <c r="G20" i="6"/>
  <c r="G19" i="6"/>
  <c r="G18" i="6"/>
  <c r="G17" i="6"/>
  <c r="G16" i="6"/>
  <c r="G15" i="6"/>
  <c r="G14" i="6"/>
  <c r="B8" i="6"/>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B8" i="5"/>
  <c r="Z117" i="4"/>
  <c r="Z116" i="4"/>
  <c r="Z115" i="4"/>
  <c r="Z114" i="4"/>
  <c r="Z113" i="4"/>
  <c r="Z112" i="4"/>
  <c r="Z111" i="4"/>
  <c r="Z110" i="4"/>
  <c r="Z109" i="4"/>
  <c r="Z108" i="4"/>
  <c r="Z107" i="4"/>
  <c r="Z106" i="4"/>
  <c r="Z105" i="4"/>
  <c r="Z104" i="4"/>
  <c r="Z103" i="4"/>
  <c r="Z102" i="4"/>
  <c r="Z101" i="4"/>
  <c r="Z100" i="4"/>
  <c r="Z99" i="4"/>
  <c r="Z98" i="4"/>
  <c r="Z97" i="4"/>
  <c r="Z96" i="4"/>
  <c r="Z95" i="4"/>
  <c r="Z94" i="4"/>
  <c r="Z93" i="4"/>
  <c r="Z92" i="4"/>
  <c r="Z91" i="4"/>
  <c r="Z90" i="4"/>
  <c r="Z89" i="4"/>
  <c r="Z88" i="4"/>
  <c r="Z87" i="4"/>
  <c r="Z86" i="4"/>
  <c r="Z85" i="4"/>
  <c r="Z84" i="4"/>
  <c r="Z83" i="4"/>
  <c r="Z82" i="4"/>
  <c r="Z81" i="4"/>
  <c r="Z80" i="4"/>
  <c r="Z79" i="4"/>
  <c r="Z78" i="4"/>
  <c r="Z77" i="4"/>
  <c r="Z76" i="4"/>
  <c r="Z75" i="4"/>
  <c r="Z74" i="4"/>
  <c r="Z73" i="4"/>
  <c r="Z72" i="4"/>
  <c r="Z71" i="4"/>
  <c r="Z70" i="4"/>
  <c r="Z69" i="4"/>
  <c r="Z68" i="4"/>
  <c r="Z67" i="4"/>
  <c r="Z66" i="4"/>
  <c r="Z65" i="4"/>
  <c r="Z64" i="4"/>
  <c r="Z63" i="4"/>
  <c r="Z62" i="4"/>
  <c r="Z61" i="4"/>
  <c r="Z60" i="4"/>
  <c r="Z59" i="4"/>
  <c r="Z58" i="4"/>
  <c r="Z57" i="4"/>
  <c r="Z56" i="4"/>
  <c r="Z55" i="4"/>
  <c r="Z54" i="4"/>
  <c r="Z53" i="4"/>
  <c r="Z52" i="4"/>
  <c r="Z51" i="4"/>
  <c r="Z50" i="4"/>
  <c r="Z49" i="4"/>
  <c r="Z48" i="4"/>
  <c r="Z47" i="4"/>
  <c r="Z46" i="4"/>
  <c r="Z45" i="4"/>
  <c r="Z44" i="4"/>
  <c r="Z43" i="4"/>
  <c r="Z42" i="4"/>
  <c r="Z41" i="4"/>
  <c r="Z40" i="4"/>
  <c r="Z39" i="4"/>
  <c r="Z38" i="4"/>
  <c r="Z37" i="4"/>
  <c r="Z36" i="4"/>
  <c r="Z35" i="4"/>
  <c r="Z34" i="4"/>
  <c r="Z33" i="4"/>
  <c r="Z32" i="4"/>
  <c r="Z31" i="4"/>
  <c r="Z30" i="4"/>
  <c r="Z29" i="4"/>
  <c r="Z28" i="4"/>
  <c r="Z27" i="4"/>
  <c r="Z26" i="4"/>
  <c r="Z25" i="4"/>
  <c r="Z24" i="4"/>
  <c r="Z23" i="4"/>
  <c r="Z22" i="4"/>
  <c r="Z21" i="4"/>
  <c r="Z20" i="4"/>
  <c r="Z19" i="4"/>
  <c r="Z18" i="4"/>
  <c r="B13" i="4"/>
  <c r="B8" i="4"/>
  <c r="K16" i="2"/>
  <c r="J16" i="2"/>
  <c r="I16" i="2"/>
  <c r="B16" i="2"/>
  <c r="A16" i="2"/>
  <c r="K15" i="2"/>
  <c r="J15" i="2"/>
  <c r="I15" i="2"/>
  <c r="B15" i="2"/>
  <c r="A15" i="2"/>
  <c r="K14" i="2"/>
  <c r="J14" i="2"/>
  <c r="I14" i="2"/>
  <c r="B14" i="2"/>
  <c r="A14" i="2"/>
  <c r="K13" i="2"/>
  <c r="J13" i="2"/>
  <c r="I13" i="2"/>
  <c r="B13" i="2"/>
  <c r="A13" i="2"/>
  <c r="K12" i="2"/>
  <c r="J12" i="2"/>
  <c r="I12" i="2"/>
  <c r="B12" i="2"/>
  <c r="A12" i="2"/>
  <c r="K11" i="2"/>
  <c r="J11" i="2"/>
  <c r="I11" i="2"/>
  <c r="B11" i="2"/>
  <c r="A11" i="2"/>
  <c r="K10" i="2"/>
  <c r="J10" i="2"/>
  <c r="I10" i="2"/>
  <c r="B10" i="2"/>
  <c r="A10" i="2"/>
  <c r="K9" i="2"/>
  <c r="J9" i="2"/>
  <c r="I9" i="2"/>
  <c r="B9" i="2"/>
  <c r="A9" i="2"/>
  <c r="K8" i="2"/>
  <c r="J8" i="2"/>
  <c r="I8" i="2"/>
  <c r="B8" i="2"/>
  <c r="A8" i="2"/>
  <c r="K7" i="2"/>
  <c r="J7" i="2"/>
  <c r="I7" i="2"/>
  <c r="B7" i="2"/>
  <c r="A7" i="2"/>
  <c r="K6" i="2"/>
  <c r="J6" i="2"/>
  <c r="I6" i="2"/>
  <c r="B6" i="2"/>
  <c r="A6" i="2"/>
  <c r="K5" i="2"/>
  <c r="J5" i="2"/>
  <c r="I5" i="2"/>
  <c r="H5" i="2"/>
  <c r="C5" i="2"/>
  <c r="B5" i="2"/>
  <c r="A5" i="2"/>
  <c r="B9" i="17" l="1"/>
  <c r="B9" i="33"/>
  <c r="B9" i="26"/>
  <c r="B9" i="14"/>
  <c r="B9" i="29"/>
  <c r="B9" i="6"/>
  <c r="B9" i="5"/>
  <c r="B9" i="13"/>
  <c r="H16" i="2"/>
  <c r="C16" i="2"/>
  <c r="B9" i="50"/>
  <c r="B12" i="32"/>
  <c r="B10" i="32"/>
  <c r="B9" i="32"/>
  <c r="B9" i="35"/>
  <c r="B11" i="32"/>
  <c r="B9" i="7"/>
  <c r="B9" i="23"/>
  <c r="B9" i="19"/>
  <c r="B9" i="22"/>
  <c r="B9" i="39"/>
  <c r="H14" i="2"/>
  <c r="C14" i="2"/>
  <c r="B9" i="15"/>
  <c r="AA33" i="12"/>
  <c r="B9" i="49"/>
  <c r="AC45" i="44"/>
  <c r="AB45" i="44"/>
  <c r="AA45" i="44"/>
  <c r="AB33" i="12"/>
  <c r="B9" i="11"/>
  <c r="AB66" i="40"/>
  <c r="AC59" i="40"/>
  <c r="B9" i="10"/>
  <c r="AC89" i="32"/>
  <c r="AC30" i="32"/>
  <c r="AA64" i="28"/>
  <c r="B9" i="31"/>
  <c r="AC74" i="28"/>
  <c r="AC33" i="12"/>
  <c r="B9" i="27"/>
  <c r="AC47" i="8"/>
  <c r="B12" i="8"/>
  <c r="B11" i="8"/>
  <c r="B10" i="8"/>
  <c r="B9" i="8"/>
  <c r="H8" i="2"/>
  <c r="C8" i="2"/>
  <c r="H7" i="2"/>
  <c r="C7" i="2"/>
  <c r="B10" i="51"/>
  <c r="B10" i="50"/>
  <c r="B10" i="49"/>
  <c r="AC117" i="48"/>
  <c r="AB117" i="48"/>
  <c r="AA117" i="48"/>
  <c r="AC116" i="48"/>
  <c r="AB116" i="48"/>
  <c r="AA116" i="48"/>
  <c r="AC115" i="48"/>
  <c r="AB115" i="48"/>
  <c r="AA115" i="48"/>
  <c r="AC114" i="48"/>
  <c r="AB114" i="48"/>
  <c r="AA114" i="48"/>
  <c r="AC113" i="48"/>
  <c r="AB113" i="48"/>
  <c r="AA113" i="48"/>
  <c r="AC112" i="48"/>
  <c r="AB112" i="48"/>
  <c r="AA112" i="48"/>
  <c r="AC111" i="48"/>
  <c r="AB111" i="48"/>
  <c r="AA111" i="48"/>
  <c r="AC110" i="48"/>
  <c r="AB110" i="48"/>
  <c r="AA110" i="48"/>
  <c r="AC109" i="48"/>
  <c r="AB109" i="48"/>
  <c r="AA109" i="48"/>
  <c r="AC108" i="48"/>
  <c r="AB108" i="48"/>
  <c r="AA108" i="48"/>
  <c r="AC107" i="48"/>
  <c r="AB107" i="48"/>
  <c r="AA107" i="48"/>
  <c r="AC106" i="48"/>
  <c r="AB106" i="48"/>
  <c r="AA106" i="48"/>
  <c r="AC105" i="48"/>
  <c r="AB105" i="48"/>
  <c r="AA105" i="48"/>
  <c r="AC104" i="48"/>
  <c r="AB104" i="48"/>
  <c r="AA104" i="48"/>
  <c r="AC103" i="48"/>
  <c r="AB103" i="48"/>
  <c r="AA103" i="48"/>
  <c r="AC102" i="48"/>
  <c r="AB102" i="48"/>
  <c r="AA102" i="48"/>
  <c r="AC101" i="48"/>
  <c r="AB101" i="48"/>
  <c r="AA101" i="48"/>
  <c r="AC100" i="48"/>
  <c r="AB100" i="48"/>
  <c r="AA100" i="48"/>
  <c r="AC99" i="48"/>
  <c r="AB99" i="48"/>
  <c r="AA99" i="48"/>
  <c r="AC98" i="48"/>
  <c r="AB98" i="48"/>
  <c r="AA98" i="48"/>
  <c r="AC97" i="48"/>
  <c r="AB97" i="48"/>
  <c r="AA97" i="48"/>
  <c r="AC96" i="48"/>
  <c r="AB96" i="48"/>
  <c r="AA96" i="48"/>
  <c r="AC95" i="48"/>
  <c r="AB95" i="48"/>
  <c r="AA95" i="48"/>
  <c r="AC94" i="48"/>
  <c r="AB94" i="48"/>
  <c r="AA94" i="48"/>
  <c r="AC93" i="48"/>
  <c r="AB93" i="48"/>
  <c r="AA93" i="48"/>
  <c r="AC92" i="48"/>
  <c r="AB92" i="48"/>
  <c r="AA92" i="48"/>
  <c r="AC91" i="48"/>
  <c r="AB91" i="48"/>
  <c r="AA91" i="48"/>
  <c r="AC90" i="48"/>
  <c r="AB90" i="48"/>
  <c r="AA90" i="48"/>
  <c r="AC89" i="48"/>
  <c r="AB89" i="48"/>
  <c r="AA89" i="48"/>
  <c r="AC88" i="48"/>
  <c r="AB88" i="48"/>
  <c r="AA88" i="48"/>
  <c r="AC87" i="48"/>
  <c r="AB87" i="48"/>
  <c r="AA87" i="48"/>
  <c r="AC86" i="48"/>
  <c r="AB86" i="48"/>
  <c r="AA86" i="48"/>
  <c r="AC85" i="48"/>
  <c r="AB85" i="48"/>
  <c r="AA85" i="48"/>
  <c r="AC84" i="48"/>
  <c r="AB84" i="48"/>
  <c r="AA84" i="48"/>
  <c r="AC83" i="48"/>
  <c r="AB83" i="48"/>
  <c r="AA83" i="48"/>
  <c r="AC82" i="48"/>
  <c r="AB82" i="48"/>
  <c r="AA82" i="48"/>
  <c r="AC81" i="48"/>
  <c r="AB81" i="48"/>
  <c r="AA81" i="48"/>
  <c r="AC80" i="48"/>
  <c r="AB80" i="48"/>
  <c r="AA80" i="48"/>
  <c r="AC79" i="48"/>
  <c r="AB79" i="48"/>
  <c r="AA79" i="48"/>
  <c r="AC78" i="48"/>
  <c r="AB78" i="48"/>
  <c r="AA78" i="48"/>
  <c r="AC77" i="48"/>
  <c r="AB77" i="48"/>
  <c r="AA77" i="48"/>
  <c r="AC76" i="48"/>
  <c r="AB76" i="48"/>
  <c r="AA76" i="48"/>
  <c r="AC75" i="48"/>
  <c r="AB75" i="48"/>
  <c r="AA75" i="48"/>
  <c r="AC74" i="48"/>
  <c r="AB74" i="48"/>
  <c r="AA74" i="48"/>
  <c r="AC73" i="48"/>
  <c r="AB73" i="48"/>
  <c r="AA73" i="48"/>
  <c r="AC72" i="48"/>
  <c r="AB72" i="48"/>
  <c r="AA72" i="48"/>
  <c r="AC71" i="48"/>
  <c r="AB71" i="48"/>
  <c r="AA71" i="48"/>
  <c r="AC70" i="48"/>
  <c r="AB70" i="48"/>
  <c r="AA70" i="48"/>
  <c r="AC69" i="48"/>
  <c r="AB69" i="48"/>
  <c r="AA69" i="48"/>
  <c r="AC68" i="48"/>
  <c r="AB68" i="48"/>
  <c r="AA68" i="48"/>
  <c r="AC67" i="48"/>
  <c r="AB67" i="48"/>
  <c r="AA67" i="48"/>
  <c r="AC66" i="48"/>
  <c r="AB66" i="48"/>
  <c r="AA66" i="48"/>
  <c r="AC65" i="48"/>
  <c r="AB65" i="48"/>
  <c r="AA65" i="48"/>
  <c r="AC64" i="48"/>
  <c r="AB64" i="48"/>
  <c r="AA64" i="48"/>
  <c r="AC63" i="48"/>
  <c r="AB63" i="48"/>
  <c r="AA63" i="48"/>
  <c r="AC62" i="48"/>
  <c r="AB62" i="48"/>
  <c r="AA62" i="48"/>
  <c r="AC61" i="48"/>
  <c r="AB61" i="48"/>
  <c r="AA61" i="48"/>
  <c r="AC60" i="48"/>
  <c r="AB60" i="48"/>
  <c r="AA60" i="48"/>
  <c r="AC59" i="48"/>
  <c r="AB59" i="48"/>
  <c r="AA59" i="48"/>
  <c r="AC58" i="48"/>
  <c r="AB58" i="48"/>
  <c r="AA58" i="48"/>
  <c r="AC57" i="48"/>
  <c r="AB57" i="48"/>
  <c r="AA57" i="48"/>
  <c r="AC56" i="48"/>
  <c r="AB56" i="48"/>
  <c r="AA56" i="48"/>
  <c r="AC55" i="48"/>
  <c r="AB55" i="48"/>
  <c r="AA55" i="48"/>
  <c r="AC54" i="48"/>
  <c r="AB54" i="48"/>
  <c r="AA54" i="48"/>
  <c r="AC53" i="48"/>
  <c r="AB53" i="48"/>
  <c r="AA53" i="48"/>
  <c r="AC52" i="48"/>
  <c r="AB52" i="48"/>
  <c r="AA52" i="48"/>
  <c r="AC51" i="48"/>
  <c r="AB51" i="48"/>
  <c r="AA51" i="48"/>
  <c r="AC50" i="48"/>
  <c r="AB50" i="48"/>
  <c r="AA50" i="48"/>
  <c r="AC49" i="48"/>
  <c r="AB49" i="48"/>
  <c r="AA49" i="48"/>
  <c r="AC48" i="48"/>
  <c r="AB48" i="48"/>
  <c r="AA48" i="48"/>
  <c r="AC47" i="48"/>
  <c r="AB47" i="48"/>
  <c r="AA47" i="48"/>
  <c r="AC46" i="48"/>
  <c r="AB46" i="48"/>
  <c r="AA46" i="48"/>
  <c r="AC45" i="48"/>
  <c r="AB45" i="48"/>
  <c r="AA45" i="48"/>
  <c r="AC44" i="48"/>
  <c r="AB44" i="48"/>
  <c r="AA44" i="48"/>
  <c r="AC43" i="48"/>
  <c r="AB43" i="48"/>
  <c r="AA43" i="48"/>
  <c r="AC42" i="48"/>
  <c r="AB42" i="48"/>
  <c r="AA42" i="48"/>
  <c r="AC41" i="48"/>
  <c r="AB41" i="48"/>
  <c r="AA41" i="48"/>
  <c r="AC40" i="48"/>
  <c r="AB40" i="48"/>
  <c r="AA40" i="48"/>
  <c r="AC39" i="48"/>
  <c r="AB39" i="48"/>
  <c r="AA39" i="48"/>
  <c r="AC38" i="48"/>
  <c r="AB38" i="48"/>
  <c r="AA38" i="48"/>
  <c r="AC37" i="48"/>
  <c r="AB37" i="48"/>
  <c r="AA37" i="48"/>
  <c r="AC36" i="48"/>
  <c r="AB36" i="48"/>
  <c r="AA36" i="48"/>
  <c r="AC35" i="48"/>
  <c r="AB35" i="48"/>
  <c r="AA35" i="48"/>
  <c r="AC34" i="48"/>
  <c r="AB34" i="48"/>
  <c r="AA34" i="48"/>
  <c r="AC33" i="48"/>
  <c r="AB33" i="48"/>
  <c r="AA33" i="48"/>
  <c r="AC32" i="48"/>
  <c r="AB32" i="48"/>
  <c r="AA32" i="48"/>
  <c r="AC31" i="48"/>
  <c r="AB31" i="48"/>
  <c r="AA31" i="48"/>
  <c r="AA77" i="36"/>
  <c r="AB76" i="36"/>
  <c r="AB74" i="36"/>
  <c r="AC90" i="32"/>
  <c r="AA87" i="32"/>
  <c r="AB86" i="32"/>
  <c r="AA85" i="32"/>
  <c r="AA81" i="32"/>
  <c r="AA80" i="32"/>
  <c r="AB79" i="32"/>
  <c r="AA77" i="32"/>
  <c r="AC76" i="32"/>
  <c r="AA73" i="32"/>
  <c r="AB72" i="32"/>
  <c r="AC69" i="32"/>
  <c r="AA68" i="32"/>
  <c r="AB67" i="32"/>
  <c r="AC66" i="32"/>
  <c r="AB65" i="32"/>
  <c r="AC64" i="32"/>
  <c r="AA60" i="32"/>
  <c r="AC59" i="32"/>
  <c r="AC56" i="32"/>
  <c r="AA55" i="32"/>
  <c r="AB54" i="32"/>
  <c r="AB51" i="32"/>
  <c r="AC47" i="32"/>
  <c r="AB46" i="32"/>
  <c r="AA44" i="32"/>
  <c r="AC43" i="32"/>
  <c r="AB42" i="32"/>
  <c r="AC41" i="32"/>
  <c r="AC40" i="32"/>
  <c r="AB39" i="32"/>
  <c r="AA38" i="32"/>
  <c r="AB36" i="32"/>
  <c r="AB35" i="32"/>
  <c r="AA33" i="32"/>
  <c r="AA32" i="32"/>
  <c r="AC31" i="32"/>
  <c r="AA30" i="32"/>
  <c r="AA29" i="32"/>
  <c r="AA28" i="32"/>
  <c r="AC27" i="32"/>
  <c r="AC26" i="32"/>
  <c r="AA26" i="32"/>
  <c r="AC25" i="32"/>
  <c r="AC24" i="32"/>
  <c r="AB23" i="32"/>
  <c r="AC19" i="32"/>
  <c r="AB18" i="32"/>
  <c r="AB113" i="28"/>
  <c r="AA110" i="28"/>
  <c r="AB109" i="28"/>
  <c r="AB108" i="28"/>
  <c r="AC107" i="28"/>
  <c r="AA106" i="28"/>
  <c r="AA105" i="28"/>
  <c r="AC104" i="28"/>
  <c r="AA104" i="28"/>
  <c r="AC103" i="28"/>
  <c r="AC102" i="28"/>
  <c r="AA101" i="28"/>
  <c r="AB100" i="28"/>
  <c r="AC99" i="28"/>
  <c r="AB98" i="28"/>
  <c r="AC97" i="28"/>
  <c r="AB96" i="28"/>
  <c r="AA94" i="28"/>
  <c r="AB93" i="28"/>
  <c r="AA89" i="28"/>
  <c r="AB88" i="28"/>
  <c r="AA87" i="28"/>
  <c r="AC86" i="28"/>
  <c r="AA85" i="28"/>
  <c r="AB84" i="28"/>
  <c r="AB68" i="28"/>
  <c r="AB67" i="28"/>
  <c r="AA67" i="28"/>
  <c r="AB66" i="28"/>
  <c r="AB64" i="28"/>
  <c r="AC62" i="28"/>
  <c r="AC61" i="28"/>
  <c r="AC57" i="28"/>
  <c r="AB56" i="28"/>
  <c r="AC55" i="28"/>
  <c r="AA54" i="28"/>
  <c r="AC53" i="28"/>
  <c r="AA53" i="28"/>
  <c r="AA48" i="28"/>
  <c r="AB47" i="28"/>
  <c r="AC46" i="28"/>
  <c r="AC45" i="28"/>
  <c r="AC44" i="28"/>
  <c r="AB43" i="28"/>
  <c r="AA40" i="28"/>
  <c r="AC39" i="28"/>
  <c r="AB38" i="28"/>
  <c r="AA36" i="28"/>
  <c r="AA35" i="28"/>
  <c r="AA34" i="28"/>
  <c r="AB33" i="28"/>
  <c r="AA32" i="28"/>
  <c r="AA30" i="28"/>
  <c r="AC29" i="28"/>
  <c r="AB28" i="28"/>
  <c r="AA26" i="28"/>
  <c r="AC25" i="28"/>
  <c r="AA24" i="28"/>
  <c r="AC23" i="28"/>
  <c r="AA22" i="28"/>
  <c r="AC21" i="28"/>
  <c r="AC20" i="28"/>
  <c r="AB117" i="24"/>
  <c r="B10" i="18"/>
  <c r="AA117" i="16"/>
  <c r="AA116" i="16"/>
  <c r="AA115" i="16"/>
  <c r="AC114" i="16"/>
  <c r="AC113" i="16"/>
  <c r="AC112" i="16"/>
  <c r="AC105" i="16"/>
  <c r="AC103" i="16"/>
  <c r="AB102" i="16"/>
  <c r="AC101" i="16"/>
  <c r="AB100" i="16"/>
  <c r="AB95" i="16"/>
  <c r="AA94" i="16"/>
  <c r="AA93" i="16"/>
  <c r="AB84" i="16"/>
  <c r="AB83" i="16"/>
  <c r="AB82" i="16"/>
  <c r="AB77" i="16"/>
  <c r="AA76" i="16"/>
  <c r="AC72" i="16"/>
  <c r="AC68" i="16"/>
  <c r="AB67" i="16"/>
  <c r="AA56" i="16"/>
  <c r="AC53" i="16"/>
  <c r="AC52" i="16"/>
  <c r="AC48" i="16"/>
  <c r="AA47" i="16"/>
  <c r="AC45" i="16"/>
  <c r="AC41" i="16"/>
  <c r="AC39" i="16"/>
  <c r="AA35" i="16"/>
  <c r="AB34" i="16"/>
  <c r="AC33" i="16"/>
  <c r="AA32" i="16"/>
  <c r="AB25" i="16"/>
  <c r="AB24" i="16"/>
  <c r="AC23" i="16"/>
  <c r="AA22" i="16"/>
  <c r="AA21" i="16"/>
  <c r="AA20" i="16"/>
  <c r="AC30" i="48"/>
  <c r="AB30" i="48"/>
  <c r="AA30" i="48"/>
  <c r="AC29" i="48"/>
  <c r="AB29" i="48"/>
  <c r="AA29" i="48"/>
  <c r="AC28" i="48"/>
  <c r="AB28" i="48"/>
  <c r="AA28" i="48"/>
  <c r="AC27" i="48"/>
  <c r="AB27" i="48"/>
  <c r="AA27" i="48"/>
  <c r="AC26" i="48"/>
  <c r="AB26" i="48"/>
  <c r="AA26" i="48"/>
  <c r="AC25" i="48"/>
  <c r="AB25" i="48"/>
  <c r="AA25" i="48"/>
  <c r="AC24" i="48"/>
  <c r="AB24" i="48"/>
  <c r="AA24" i="48"/>
  <c r="AC23" i="48"/>
  <c r="AB23" i="48"/>
  <c r="AA23" i="48"/>
  <c r="AC22" i="48"/>
  <c r="AB22" i="48"/>
  <c r="AA22" i="48"/>
  <c r="AC21" i="48"/>
  <c r="AB21" i="48"/>
  <c r="AA21" i="48"/>
  <c r="AC20" i="48"/>
  <c r="AB20" i="48"/>
  <c r="AA20" i="48"/>
  <c r="AC19" i="48"/>
  <c r="AB19" i="48"/>
  <c r="AA19" i="48"/>
  <c r="AC18" i="48"/>
  <c r="AB18" i="48"/>
  <c r="AA18" i="48"/>
  <c r="B12" i="48"/>
  <c r="G16" i="2" s="1"/>
  <c r="B11" i="48"/>
  <c r="F16" i="2" s="1"/>
  <c r="B10" i="48"/>
  <c r="E16" i="2" s="1"/>
  <c r="B9" i="48"/>
  <c r="D16" i="2" s="1"/>
  <c r="B10" i="47"/>
  <c r="B10" i="46"/>
  <c r="B10" i="45"/>
  <c r="AC117" i="44"/>
  <c r="AB117" i="44"/>
  <c r="AA117" i="44"/>
  <c r="AC116" i="44"/>
  <c r="AB116" i="44"/>
  <c r="AA116" i="44"/>
  <c r="AC115" i="44"/>
  <c r="AB115" i="44"/>
  <c r="AA115" i="44"/>
  <c r="AC114" i="44"/>
  <c r="AB114" i="44"/>
  <c r="AA114" i="44"/>
  <c r="AC113" i="44"/>
  <c r="AB113" i="44"/>
  <c r="AA113" i="44"/>
  <c r="AC112" i="44"/>
  <c r="AB112" i="44"/>
  <c r="AA112" i="44"/>
  <c r="AC111" i="44"/>
  <c r="AB111" i="44"/>
  <c r="AA111" i="44"/>
  <c r="AC110" i="44"/>
  <c r="AB110" i="44"/>
  <c r="AA110" i="44"/>
  <c r="AC109" i="44"/>
  <c r="AB109" i="44"/>
  <c r="AA109" i="44"/>
  <c r="AC108" i="44"/>
  <c r="AB108" i="44"/>
  <c r="AA108" i="44"/>
  <c r="AC107" i="44"/>
  <c r="AB107" i="44"/>
  <c r="AA107" i="44"/>
  <c r="AC106" i="44"/>
  <c r="AB106" i="44"/>
  <c r="AA106" i="44"/>
  <c r="AC105" i="44"/>
  <c r="AB105" i="44"/>
  <c r="AA105" i="44"/>
  <c r="AC104" i="44"/>
  <c r="AB104" i="44"/>
  <c r="AA104" i="44"/>
  <c r="AC103" i="44"/>
  <c r="AB103" i="44"/>
  <c r="AA103" i="44"/>
  <c r="AC102" i="44"/>
  <c r="AB102" i="44"/>
  <c r="AA102" i="44"/>
  <c r="AC101" i="44"/>
  <c r="AB101" i="44"/>
  <c r="AA101" i="44"/>
  <c r="AC100" i="44"/>
  <c r="AB100" i="44"/>
  <c r="AA100" i="44"/>
  <c r="AC99" i="44"/>
  <c r="AB99" i="44"/>
  <c r="AA99" i="44"/>
  <c r="AC98" i="44"/>
  <c r="AB98" i="44"/>
  <c r="AA98" i="44"/>
  <c r="AC97" i="44"/>
  <c r="AB97" i="44"/>
  <c r="AA97" i="44"/>
  <c r="AC96" i="44"/>
  <c r="AB96" i="44"/>
  <c r="AA96" i="44"/>
  <c r="AC95" i="44"/>
  <c r="AB95" i="44"/>
  <c r="AA95" i="44"/>
  <c r="AC94" i="44"/>
  <c r="AB94" i="44"/>
  <c r="AA94" i="44"/>
  <c r="AC93" i="44"/>
  <c r="AB93" i="44"/>
  <c r="AA93" i="44"/>
  <c r="AC92" i="44"/>
  <c r="AB92" i="44"/>
  <c r="AA92" i="44"/>
  <c r="AC91" i="44"/>
  <c r="AB91" i="44"/>
  <c r="AA91" i="44"/>
  <c r="AC90" i="44"/>
  <c r="AB90" i="44"/>
  <c r="AA90" i="44"/>
  <c r="AC89" i="44"/>
  <c r="AB89" i="44"/>
  <c r="AA89" i="44"/>
  <c r="AC88" i="44"/>
  <c r="AB88" i="44"/>
  <c r="AA88" i="44"/>
  <c r="AC87" i="44"/>
  <c r="AB87" i="44"/>
  <c r="AA87" i="44"/>
  <c r="AC86" i="44"/>
  <c r="AB86" i="44"/>
  <c r="AA86" i="44"/>
  <c r="AC85" i="44"/>
  <c r="AB85" i="44"/>
  <c r="AA85" i="44"/>
  <c r="AC84" i="44"/>
  <c r="AB84" i="44"/>
  <c r="AA84" i="44"/>
  <c r="AC83" i="44"/>
  <c r="AB83" i="44"/>
  <c r="AA83" i="44"/>
  <c r="AC82" i="44"/>
  <c r="AB82" i="44"/>
  <c r="AA82" i="44"/>
  <c r="AC81" i="44"/>
  <c r="AB81" i="44"/>
  <c r="AA81" i="44"/>
  <c r="AC80" i="44"/>
  <c r="AB80" i="44"/>
  <c r="AA80" i="44"/>
  <c r="AC79" i="44"/>
  <c r="AB79" i="44"/>
  <c r="AA79" i="44"/>
  <c r="AC78" i="44"/>
  <c r="AB78" i="44"/>
  <c r="AA78" i="44"/>
  <c r="AC77" i="44"/>
  <c r="AB77" i="44"/>
  <c r="AA77" i="44"/>
  <c r="AC76" i="44"/>
  <c r="AB76" i="44"/>
  <c r="AA76" i="44"/>
  <c r="AC75" i="44"/>
  <c r="AB75" i="44"/>
  <c r="AA75" i="44"/>
  <c r="AC74" i="44"/>
  <c r="AB74" i="44"/>
  <c r="AA74" i="44"/>
  <c r="AC73" i="44"/>
  <c r="AB73" i="44"/>
  <c r="AA73" i="44"/>
  <c r="AC72" i="44"/>
  <c r="AB72" i="44"/>
  <c r="AA72" i="44"/>
  <c r="AC71" i="44"/>
  <c r="AB71" i="44"/>
  <c r="AA71" i="44"/>
  <c r="AC70" i="44"/>
  <c r="AB70" i="44"/>
  <c r="AA70" i="44"/>
  <c r="AC69" i="44"/>
  <c r="AB69" i="44"/>
  <c r="AA69" i="44"/>
  <c r="AC68" i="44"/>
  <c r="AB68" i="44"/>
  <c r="AA68" i="44"/>
  <c r="AC67" i="44"/>
  <c r="AB67" i="44"/>
  <c r="AA67" i="44"/>
  <c r="AC66" i="44"/>
  <c r="AB66" i="44"/>
  <c r="AA66" i="44"/>
  <c r="AC65" i="44"/>
  <c r="AB65" i="44"/>
  <c r="AA65" i="44"/>
  <c r="AC64" i="44"/>
  <c r="AB64" i="44"/>
  <c r="AA64" i="44"/>
  <c r="AC63" i="44"/>
  <c r="AB63" i="44"/>
  <c r="AA63" i="44"/>
  <c r="AC62" i="44"/>
  <c r="AB62" i="44"/>
  <c r="AA62" i="44"/>
  <c r="AC61" i="44"/>
  <c r="AB61" i="44"/>
  <c r="AA61" i="44"/>
  <c r="AC60" i="44"/>
  <c r="AB60" i="44"/>
  <c r="AA60" i="44"/>
  <c r="AC59" i="44"/>
  <c r="AB59" i="44"/>
  <c r="AA59" i="44"/>
  <c r="AC58" i="44"/>
  <c r="AB58" i="44"/>
  <c r="AA58" i="44"/>
  <c r="AC57" i="44"/>
  <c r="AB57" i="44"/>
  <c r="AA57" i="44"/>
  <c r="AC56" i="44"/>
  <c r="AB56" i="44"/>
  <c r="AA56" i="44"/>
  <c r="AC55" i="44"/>
  <c r="AB55" i="44"/>
  <c r="AA55" i="44"/>
  <c r="AC54" i="44"/>
  <c r="AB54" i="44"/>
  <c r="AA54" i="44"/>
  <c r="AC53" i="44"/>
  <c r="AB53" i="44"/>
  <c r="AA53" i="44"/>
  <c r="AC52" i="44"/>
  <c r="AB52" i="44"/>
  <c r="AA52" i="44"/>
  <c r="AC51" i="44"/>
  <c r="AB51" i="44"/>
  <c r="AA51" i="44"/>
  <c r="AC50" i="44"/>
  <c r="AB50" i="44"/>
  <c r="AA50" i="44"/>
  <c r="AC49" i="44"/>
  <c r="AB49" i="44"/>
  <c r="AA49" i="44"/>
  <c r="AC48" i="44"/>
  <c r="AB48" i="44"/>
  <c r="AA48" i="44"/>
  <c r="AC47" i="44"/>
  <c r="AB47" i="44"/>
  <c r="AA47" i="44"/>
  <c r="AC46" i="44"/>
  <c r="AB46" i="44"/>
  <c r="AA46" i="44"/>
  <c r="AC115" i="40"/>
  <c r="AB115" i="40"/>
  <c r="AC113" i="40"/>
  <c r="AB113" i="40"/>
  <c r="AA113" i="40"/>
  <c r="AC112" i="40"/>
  <c r="AA112" i="40"/>
  <c r="AC111" i="40"/>
  <c r="AB111" i="40"/>
  <c r="AA111" i="40"/>
  <c r="AA110" i="40"/>
  <c r="AC109" i="40"/>
  <c r="AB109" i="40"/>
  <c r="AA109" i="40"/>
  <c r="AB108" i="40"/>
  <c r="AB107" i="40"/>
  <c r="AC106" i="40"/>
  <c r="AA106" i="40"/>
  <c r="AC105" i="40"/>
  <c r="AB105" i="40"/>
  <c r="AC102" i="40"/>
  <c r="AB102" i="40"/>
  <c r="AA102" i="40"/>
  <c r="AC101" i="40"/>
  <c r="AB101" i="40"/>
  <c r="AA101" i="40"/>
  <c r="AB100" i="40"/>
  <c r="AA100" i="40"/>
  <c r="AC99" i="40"/>
  <c r="AB99" i="40"/>
  <c r="AC98" i="40"/>
  <c r="AB98" i="40"/>
  <c r="AA98" i="40"/>
  <c r="AB97" i="40"/>
  <c r="AC96" i="40"/>
  <c r="AB95" i="40"/>
  <c r="AA94" i="40"/>
  <c r="AC93" i="40"/>
  <c r="AB93" i="40"/>
  <c r="AA93" i="40"/>
  <c r="AB92" i="40"/>
  <c r="AA91" i="40"/>
  <c r="AC90" i="40"/>
  <c r="AB90" i="40"/>
  <c r="AA90" i="40"/>
  <c r="AC87" i="40"/>
  <c r="AB87" i="40"/>
  <c r="AC83" i="40"/>
  <c r="AB83" i="40"/>
  <c r="AA83" i="40"/>
  <c r="AB82" i="40"/>
  <c r="AC81" i="40"/>
  <c r="AB81" i="40"/>
  <c r="AB80" i="40"/>
  <c r="AA79" i="40"/>
  <c r="AC78" i="40"/>
  <c r="AB78" i="40"/>
  <c r="AA78" i="40"/>
  <c r="AC77" i="40"/>
  <c r="AA76" i="40"/>
  <c r="AC75" i="40"/>
  <c r="AB75" i="40"/>
  <c r="AA75" i="40"/>
  <c r="AC74" i="40"/>
  <c r="AB74" i="40"/>
  <c r="AA74" i="40"/>
  <c r="AC73" i="40"/>
  <c r="AA73" i="40"/>
  <c r="AC72" i="40"/>
  <c r="AB72" i="40"/>
  <c r="AA72" i="40"/>
  <c r="AC69" i="40"/>
  <c r="AB69" i="40"/>
  <c r="AA69" i="40"/>
  <c r="AA68" i="40"/>
  <c r="AC67" i="40"/>
  <c r="AB67" i="40"/>
  <c r="AA67" i="40"/>
  <c r="AC66" i="40"/>
  <c r="AC75" i="36"/>
  <c r="AC74" i="36"/>
  <c r="AC91" i="32"/>
  <c r="AA90" i="32"/>
  <c r="AB89" i="32"/>
  <c r="AC88" i="32"/>
  <c r="AC87" i="32"/>
  <c r="AC86" i="32"/>
  <c r="AB84" i="32"/>
  <c r="AB82" i="32"/>
  <c r="AC80" i="32"/>
  <c r="AC79" i="32"/>
  <c r="AC78" i="32"/>
  <c r="AB77" i="32"/>
  <c r="AA75" i="32"/>
  <c r="AC74" i="32"/>
  <c r="AB73" i="32"/>
  <c r="AB71" i="32"/>
  <c r="AC70" i="32"/>
  <c r="AB68" i="32"/>
  <c r="AC67" i="32"/>
  <c r="AA66" i="32"/>
  <c r="AC65" i="32"/>
  <c r="AC63" i="32"/>
  <c r="AA63" i="32"/>
  <c r="AC62" i="32"/>
  <c r="AC61" i="32"/>
  <c r="AB60" i="32"/>
  <c r="AC58" i="32"/>
  <c r="AA57" i="32"/>
  <c r="AB56" i="32"/>
  <c r="AB55" i="32"/>
  <c r="AA53" i="32"/>
  <c r="AB52" i="32"/>
  <c r="AC51" i="32"/>
  <c r="AB50" i="32"/>
  <c r="AA50" i="32"/>
  <c r="AB49" i="32"/>
  <c r="AB48" i="32"/>
  <c r="AA47" i="32"/>
  <c r="AA46" i="32"/>
  <c r="AC45" i="32"/>
  <c r="AB44" i="32"/>
  <c r="AA42" i="32"/>
  <c r="AB41" i="32"/>
  <c r="AB38" i="32"/>
  <c r="AC37" i="32"/>
  <c r="AC36" i="32"/>
  <c r="AC35" i="32"/>
  <c r="AA34" i="32"/>
  <c r="AB33" i="32"/>
  <c r="AB32" i="32"/>
  <c r="AB31" i="32"/>
  <c r="AB29" i="32"/>
  <c r="AA27" i="32"/>
  <c r="AB26" i="32"/>
  <c r="AB22" i="32"/>
  <c r="AC21" i="32"/>
  <c r="AA20" i="32"/>
  <c r="AA19" i="32"/>
  <c r="AC18" i="32"/>
  <c r="AA18" i="32"/>
  <c r="B10" i="30"/>
  <c r="AB117" i="28"/>
  <c r="AC116" i="28"/>
  <c r="AB114" i="28"/>
  <c r="AA112" i="28"/>
  <c r="AA111" i="28"/>
  <c r="AC110" i="28"/>
  <c r="AC109" i="28"/>
  <c r="AC108" i="28"/>
  <c r="AC105" i="28"/>
  <c r="AB104" i="28"/>
  <c r="AB103" i="28"/>
  <c r="AC101" i="28"/>
  <c r="AA99" i="28"/>
  <c r="AA98" i="28"/>
  <c r="AA97" i="28"/>
  <c r="AC96" i="28"/>
  <c r="AA95" i="28"/>
  <c r="AC94" i="28"/>
  <c r="AB92" i="28"/>
  <c r="AB89" i="28"/>
  <c r="AC88" i="28"/>
  <c r="AA86" i="28"/>
  <c r="AB85" i="28"/>
  <c r="AC84" i="28"/>
  <c r="AC83" i="28"/>
  <c r="AA82" i="28"/>
  <c r="AB80" i="28"/>
  <c r="AA80" i="28"/>
  <c r="AC79" i="28"/>
  <c r="AC78" i="28"/>
  <c r="AB76" i="28"/>
  <c r="AB74" i="28"/>
  <c r="AC73" i="28"/>
  <c r="AA73" i="28"/>
  <c r="AA70" i="28"/>
  <c r="AC69" i="28"/>
  <c r="AA69" i="28"/>
  <c r="AC68" i="28"/>
  <c r="AC66" i="28"/>
  <c r="AA66" i="28"/>
  <c r="AC65" i="28"/>
  <c r="AA65" i="28"/>
  <c r="AC64" i="28"/>
  <c r="AB63" i="28"/>
  <c r="AA63" i="28"/>
  <c r="AB62" i="28"/>
  <c r="AA62" i="28"/>
  <c r="AB60" i="28"/>
  <c r="AA59" i="28"/>
  <c r="AB58" i="28"/>
  <c r="AC56" i="28"/>
  <c r="AA55" i="28"/>
  <c r="AB54" i="28"/>
  <c r="AA52" i="28"/>
  <c r="AC51" i="28"/>
  <c r="AA45" i="28"/>
  <c r="AB44" i="28"/>
  <c r="AC43" i="28"/>
  <c r="AA42" i="28"/>
  <c r="AC41" i="28"/>
  <c r="AB40" i="28"/>
  <c r="AB39" i="28"/>
  <c r="AC38" i="28"/>
  <c r="AB35" i="28"/>
  <c r="AB31" i="28"/>
  <c r="AA29" i="28"/>
  <c r="AA28" i="28"/>
  <c r="AC27" i="28"/>
  <c r="AA21" i="28"/>
  <c r="AB20" i="28"/>
  <c r="AC19" i="28"/>
  <c r="AB18" i="28"/>
  <c r="AB117" i="16"/>
  <c r="AB116" i="16"/>
  <c r="AB115" i="16"/>
  <c r="AA112" i="16"/>
  <c r="AA111" i="16"/>
  <c r="AB110" i="16"/>
  <c r="AC107" i="16"/>
  <c r="AB106" i="16"/>
  <c r="AC104" i="16"/>
  <c r="AB103" i="16"/>
  <c r="AC102" i="16"/>
  <c r="AC100" i="16"/>
  <c r="AC99" i="16"/>
  <c r="AC98" i="16"/>
  <c r="AA97" i="16"/>
  <c r="AC95" i="16"/>
  <c r="AC93" i="16"/>
  <c r="AA92" i="16"/>
  <c r="AB91" i="16"/>
  <c r="AA90" i="16"/>
  <c r="AC88" i="16"/>
  <c r="AA88" i="16"/>
  <c r="AC87" i="16"/>
  <c r="AB86" i="16"/>
  <c r="AB85" i="16"/>
  <c r="AC82" i="16"/>
  <c r="AA81" i="16"/>
  <c r="AB80" i="16"/>
  <c r="AC78" i="16"/>
  <c r="AA75" i="16"/>
  <c r="AB74" i="16"/>
  <c r="AC73" i="16"/>
  <c r="AA72" i="16"/>
  <c r="AB71" i="16"/>
  <c r="AC70" i="16"/>
  <c r="AA69" i="16"/>
  <c r="AA68" i="16"/>
  <c r="AA67" i="16"/>
  <c r="AB66" i="16"/>
  <c r="AC65" i="16"/>
  <c r="AC64" i="16"/>
  <c r="AC63" i="16"/>
  <c r="AA62" i="16"/>
  <c r="AB61" i="16"/>
  <c r="AC60" i="16"/>
  <c r="AA59" i="16"/>
  <c r="AA58" i="16"/>
  <c r="AA57" i="16"/>
  <c r="AC56" i="16"/>
  <c r="AC55" i="16"/>
  <c r="AB54" i="16"/>
  <c r="AA51" i="16"/>
  <c r="AC50" i="16"/>
  <c r="AC46" i="16"/>
  <c r="AC44" i="16"/>
  <c r="AC43" i="16"/>
  <c r="AA42" i="16"/>
  <c r="AA41" i="16"/>
  <c r="AC35" i="16"/>
  <c r="AA30" i="16"/>
  <c r="AA29" i="16"/>
  <c r="AC28" i="16"/>
  <c r="AC27" i="16"/>
  <c r="AB23" i="16"/>
  <c r="AC22" i="16"/>
  <c r="AA19" i="16"/>
  <c r="AC44" i="44"/>
  <c r="AB44" i="44"/>
  <c r="AA44" i="44"/>
  <c r="AC43" i="44"/>
  <c r="AB43" i="44"/>
  <c r="AA43" i="44"/>
  <c r="AC42" i="44"/>
  <c r="AB42" i="44"/>
  <c r="AA42" i="44"/>
  <c r="AC41" i="44"/>
  <c r="AB41" i="44"/>
  <c r="AA41" i="44"/>
  <c r="AC40" i="44"/>
  <c r="AB40" i="44"/>
  <c r="AA40" i="44"/>
  <c r="AC39" i="44"/>
  <c r="AB39" i="44"/>
  <c r="AA39" i="44"/>
  <c r="AC38" i="44"/>
  <c r="AB38" i="44"/>
  <c r="AA38" i="44"/>
  <c r="AC37" i="44"/>
  <c r="AB37" i="44"/>
  <c r="AA37" i="44"/>
  <c r="AC36" i="44"/>
  <c r="AB36" i="44"/>
  <c r="AA36" i="44"/>
  <c r="AC35" i="44"/>
  <c r="AB35" i="44"/>
  <c r="AA35" i="44"/>
  <c r="AC34" i="44"/>
  <c r="AB34" i="44"/>
  <c r="AA34" i="44"/>
  <c r="AC33" i="44"/>
  <c r="AB33" i="44"/>
  <c r="AA33" i="44"/>
  <c r="AC32" i="44"/>
  <c r="AB32" i="44"/>
  <c r="AA32" i="44"/>
  <c r="AC31" i="44"/>
  <c r="AB31" i="44"/>
  <c r="AA31" i="44"/>
  <c r="AC30" i="44"/>
  <c r="AB30" i="44"/>
  <c r="AA30" i="44"/>
  <c r="AC29" i="44"/>
  <c r="AB29" i="44"/>
  <c r="AA29" i="44"/>
  <c r="AC28" i="44"/>
  <c r="AB28" i="44"/>
  <c r="AA28" i="44"/>
  <c r="AC27" i="44"/>
  <c r="AB27" i="44"/>
  <c r="AA27" i="44"/>
  <c r="AC26" i="44"/>
  <c r="AB26" i="44"/>
  <c r="AA26" i="44"/>
  <c r="AC25" i="44"/>
  <c r="AB25" i="44"/>
  <c r="AA25" i="44"/>
  <c r="AC24" i="44"/>
  <c r="AB24" i="44"/>
  <c r="AA24" i="44"/>
  <c r="AC23" i="44"/>
  <c r="AB23" i="44"/>
  <c r="AA23" i="44"/>
  <c r="AC22" i="44"/>
  <c r="AB22" i="44"/>
  <c r="AA22" i="44"/>
  <c r="AC21" i="44"/>
  <c r="AB21" i="44"/>
  <c r="AA21" i="44"/>
  <c r="AC20" i="44"/>
  <c r="AB20" i="44"/>
  <c r="AA20" i="44"/>
  <c r="AC19" i="44"/>
  <c r="AB19" i="44"/>
  <c r="AA19" i="44"/>
  <c r="AC18" i="44"/>
  <c r="AB18" i="44"/>
  <c r="AA18" i="44"/>
  <c r="B12" i="44"/>
  <c r="G15" i="2" s="1"/>
  <c r="B11" i="44"/>
  <c r="F15" i="2" s="1"/>
  <c r="B10" i="44"/>
  <c r="E15" i="2" s="1"/>
  <c r="B9" i="44"/>
  <c r="D15" i="2" s="1"/>
  <c r="B10" i="43"/>
  <c r="B10" i="42"/>
  <c r="B10" i="41"/>
  <c r="AC117" i="40"/>
  <c r="AB117" i="40"/>
  <c r="AA117" i="40"/>
  <c r="AC116" i="40"/>
  <c r="AB116" i="40"/>
  <c r="AA116" i="40"/>
  <c r="AA115" i="40"/>
  <c r="AC114" i="40"/>
  <c r="AB114" i="40"/>
  <c r="AA114" i="40"/>
  <c r="AB112" i="40"/>
  <c r="AC110" i="40"/>
  <c r="AB110" i="40"/>
  <c r="AC108" i="40"/>
  <c r="AA108" i="40"/>
  <c r="AC107" i="40"/>
  <c r="AA107" i="40"/>
  <c r="AB106" i="40"/>
  <c r="AA105" i="40"/>
  <c r="AC104" i="40"/>
  <c r="AB104" i="40"/>
  <c r="AA104" i="40"/>
  <c r="AC103" i="40"/>
  <c r="AB103" i="40"/>
  <c r="AA103" i="40"/>
  <c r="AC100" i="40"/>
  <c r="AA99" i="40"/>
  <c r="AC97" i="40"/>
  <c r="AA97" i="40"/>
  <c r="AB96" i="40"/>
  <c r="AA96" i="40"/>
  <c r="AC95" i="40"/>
  <c r="AA95" i="40"/>
  <c r="AC94" i="40"/>
  <c r="AB94" i="40"/>
  <c r="AC92" i="40"/>
  <c r="AA92" i="40"/>
  <c r="AC91" i="40"/>
  <c r="AB91" i="40"/>
  <c r="AC89" i="40"/>
  <c r="AB89" i="40"/>
  <c r="AA89" i="40"/>
  <c r="AC88" i="40"/>
  <c r="AB88" i="40"/>
  <c r="AA88" i="40"/>
  <c r="AA87" i="40"/>
  <c r="AC86" i="40"/>
  <c r="AB86" i="40"/>
  <c r="AA86" i="40"/>
  <c r="AC85" i="40"/>
  <c r="AB85" i="40"/>
  <c r="AA85" i="40"/>
  <c r="AC84" i="40"/>
  <c r="AB84" i="40"/>
  <c r="AA84" i="40"/>
  <c r="AC82" i="40"/>
  <c r="AA82" i="40"/>
  <c r="AA81" i="40"/>
  <c r="AC80" i="40"/>
  <c r="AA80" i="40"/>
  <c r="AC79" i="40"/>
  <c r="AB79" i="40"/>
  <c r="AB77" i="40"/>
  <c r="AA77" i="40"/>
  <c r="AC76" i="40"/>
  <c r="AB76" i="40"/>
  <c r="AB73" i="40"/>
  <c r="AC71" i="40"/>
  <c r="AB71" i="40"/>
  <c r="AA71" i="40"/>
  <c r="AC70" i="40"/>
  <c r="AB70" i="40"/>
  <c r="AA70" i="40"/>
  <c r="AC68" i="40"/>
  <c r="AB68" i="40"/>
  <c r="AA66" i="40"/>
  <c r="AC65" i="40"/>
  <c r="AB65" i="40"/>
  <c r="AA65" i="40"/>
  <c r="AC64" i="40"/>
  <c r="AB64" i="40"/>
  <c r="AA64" i="40"/>
  <c r="AC63" i="40"/>
  <c r="AB63" i="40"/>
  <c r="AA63" i="40"/>
  <c r="AC62" i="40"/>
  <c r="AB62" i="40"/>
  <c r="AA62" i="40"/>
  <c r="AC61" i="40"/>
  <c r="AB61" i="40"/>
  <c r="AA61" i="40"/>
  <c r="AC60" i="40"/>
  <c r="AB60" i="40"/>
  <c r="AA60" i="40"/>
  <c r="AB80" i="36"/>
  <c r="AC79" i="36"/>
  <c r="AB79" i="36"/>
  <c r="AA79" i="36"/>
  <c r="AB78" i="36"/>
  <c r="AC76" i="36"/>
  <c r="AA76" i="36"/>
  <c r="AB75" i="36"/>
  <c r="AA75" i="36"/>
  <c r="AB91" i="32"/>
  <c r="AB90" i="32"/>
  <c r="AA88" i="32"/>
  <c r="AB87" i="32"/>
  <c r="AC85" i="32"/>
  <c r="AA84" i="32"/>
  <c r="AC83" i="32"/>
  <c r="AC82" i="32"/>
  <c r="AB81" i="32"/>
  <c r="AA79" i="32"/>
  <c r="AB78" i="32"/>
  <c r="AA76" i="32"/>
  <c r="AB75" i="32"/>
  <c r="AA74" i="32"/>
  <c r="AC73" i="32"/>
  <c r="AC72" i="32"/>
  <c r="AC71" i="32"/>
  <c r="AB70" i="32"/>
  <c r="AB69" i="32"/>
  <c r="AC68" i="32"/>
  <c r="AA67" i="32"/>
  <c r="AB66" i="32"/>
  <c r="AA64" i="32"/>
  <c r="AB63" i="32"/>
  <c r="AB59" i="32"/>
  <c r="AA58" i="32"/>
  <c r="AC57" i="32"/>
  <c r="AA54" i="32"/>
  <c r="AB53" i="32"/>
  <c r="AC52" i="32"/>
  <c r="AA51" i="32"/>
  <c r="AC50" i="32"/>
  <c r="AC48" i="32"/>
  <c r="AB45" i="32"/>
  <c r="AC44" i="32"/>
  <c r="AA41" i="32"/>
  <c r="AB40" i="32"/>
  <c r="AA39" i="32"/>
  <c r="AC38" i="32"/>
  <c r="AB37" i="32"/>
  <c r="AB34" i="32"/>
  <c r="AB30" i="32"/>
  <c r="AC29" i="32"/>
  <c r="AB28" i="32"/>
  <c r="AB25" i="32"/>
  <c r="AA23" i="32"/>
  <c r="AC22" i="32"/>
  <c r="AA21" i="32"/>
  <c r="AB20" i="32"/>
  <c r="AA115" i="28"/>
  <c r="AC114" i="28"/>
  <c r="AC113" i="28"/>
  <c r="AC112" i="28"/>
  <c r="AC111" i="28"/>
  <c r="AB110" i="28"/>
  <c r="AA108" i="28"/>
  <c r="AB107" i="28"/>
  <c r="AB106" i="28"/>
  <c r="AB102" i="28"/>
  <c r="AB95" i="28"/>
  <c r="AB94" i="28"/>
  <c r="AC93" i="28"/>
  <c r="AA92" i="28"/>
  <c r="AA91" i="28"/>
  <c r="AB90" i="28"/>
  <c r="AC89" i="28"/>
  <c r="AA88" i="28"/>
  <c r="AB87" i="28"/>
  <c r="AA83" i="28"/>
  <c r="AC82" i="28"/>
  <c r="AC81" i="28"/>
  <c r="AA79" i="28"/>
  <c r="AB77" i="28"/>
  <c r="AB75" i="28"/>
  <c r="AB72" i="28"/>
  <c r="AA72" i="28"/>
  <c r="AC71" i="28"/>
  <c r="AA71" i="28"/>
  <c r="AC70" i="28"/>
  <c r="AA68" i="28"/>
  <c r="AC67" i="28"/>
  <c r="AC63" i="28"/>
  <c r="AB61" i="28"/>
  <c r="AA61" i="28"/>
  <c r="AC60" i="28"/>
  <c r="AA60" i="28"/>
  <c r="AC59" i="28"/>
  <c r="AA58" i="28"/>
  <c r="AB57" i="28"/>
  <c r="AA56" i="28"/>
  <c r="AB55" i="28"/>
  <c r="AC52" i="28"/>
  <c r="AB51" i="28"/>
  <c r="AB50" i="28"/>
  <c r="AC49" i="28"/>
  <c r="AC48" i="28"/>
  <c r="AA47" i="28"/>
  <c r="AA46" i="28"/>
  <c r="AB45" i="28"/>
  <c r="AA43" i="28"/>
  <c r="AC42" i="28"/>
  <c r="AB41" i="28"/>
  <c r="AA37" i="28"/>
  <c r="AB36" i="28"/>
  <c r="AB34" i="28"/>
  <c r="AC33" i="28"/>
  <c r="AB32" i="28"/>
  <c r="AC31" i="28"/>
  <c r="AB30" i="28"/>
  <c r="AB29" i="28"/>
  <c r="AC28" i="28"/>
  <c r="AB27" i="28"/>
  <c r="AB26" i="28"/>
  <c r="AB25" i="28"/>
  <c r="AB24" i="28"/>
  <c r="AA23" i="28"/>
  <c r="AC22" i="28"/>
  <c r="AA19" i="28"/>
  <c r="AC18" i="28"/>
  <c r="AC117" i="16"/>
  <c r="AA114" i="16"/>
  <c r="AA113" i="16"/>
  <c r="AC109" i="16"/>
  <c r="AA108" i="16"/>
  <c r="AA107" i="16"/>
  <c r="AC106" i="16"/>
  <c r="AA105" i="16"/>
  <c r="AA104" i="16"/>
  <c r="AA103" i="16"/>
  <c r="AA102" i="16"/>
  <c r="AB101" i="16"/>
  <c r="AA100" i="16"/>
  <c r="AA99" i="16"/>
  <c r="AA98" i="16"/>
  <c r="AC97" i="16"/>
  <c r="AA96" i="16"/>
  <c r="AA95" i="16"/>
  <c r="AB94" i="16"/>
  <c r="AC92" i="16"/>
  <c r="AC90" i="16"/>
  <c r="AA89" i="16"/>
  <c r="AB88" i="16"/>
  <c r="AA87" i="16"/>
  <c r="AC80" i="16"/>
  <c r="AA79" i="16"/>
  <c r="AA78" i="16"/>
  <c r="AC76" i="16"/>
  <c r="AC75" i="16"/>
  <c r="AC71" i="16"/>
  <c r="AA52" i="16"/>
  <c r="AB51" i="16"/>
  <c r="AB50" i="16"/>
  <c r="AC49" i="16"/>
  <c r="AC47" i="16"/>
  <c r="AA44" i="16"/>
  <c r="AA43" i="16"/>
  <c r="AC42" i="16"/>
  <c r="AC40" i="16"/>
  <c r="AA38" i="16"/>
  <c r="AC37" i="16"/>
  <c r="AC36" i="16"/>
  <c r="AA34" i="16"/>
  <c r="AA33" i="16"/>
  <c r="AB32" i="16"/>
  <c r="AA31" i="16"/>
  <c r="AB30" i="16"/>
  <c r="AC29" i="16"/>
  <c r="AB28" i="16"/>
  <c r="AB27" i="16"/>
  <c r="AA26" i="16"/>
  <c r="AA25" i="16"/>
  <c r="AB20" i="16"/>
  <c r="AB19" i="16"/>
  <c r="AB59" i="40"/>
  <c r="AA59" i="40"/>
  <c r="AC58" i="40"/>
  <c r="AB58" i="40"/>
  <c r="AA58" i="40"/>
  <c r="AC57" i="40"/>
  <c r="AB57" i="40"/>
  <c r="AA57" i="40"/>
  <c r="AC56" i="40"/>
  <c r="AB56" i="40"/>
  <c r="AA56" i="40"/>
  <c r="AC55" i="40"/>
  <c r="AB55" i="40"/>
  <c r="AA55" i="40"/>
  <c r="AC54" i="40"/>
  <c r="AB54" i="40"/>
  <c r="AA54" i="40"/>
  <c r="AC53" i="40"/>
  <c r="AB53" i="40"/>
  <c r="AA53" i="40"/>
  <c r="AC52" i="40"/>
  <c r="AB52" i="40"/>
  <c r="AA52" i="40"/>
  <c r="AC51" i="40"/>
  <c r="AB51" i="40"/>
  <c r="AA51" i="40"/>
  <c r="AC50" i="40"/>
  <c r="AB50" i="40"/>
  <c r="AA50" i="40"/>
  <c r="AC49" i="40"/>
  <c r="AB49" i="40"/>
  <c r="AA49" i="40"/>
  <c r="AC48" i="40"/>
  <c r="AB48" i="40"/>
  <c r="AA48" i="40"/>
  <c r="AC47" i="40"/>
  <c r="AB47" i="40"/>
  <c r="AA47" i="40"/>
  <c r="AC46" i="40"/>
  <c r="AB46" i="40"/>
  <c r="AA46" i="40"/>
  <c r="AC45" i="40"/>
  <c r="AB45" i="40"/>
  <c r="AA45" i="40"/>
  <c r="AC44" i="40"/>
  <c r="AB44" i="40"/>
  <c r="AA44" i="40"/>
  <c r="AC43" i="40"/>
  <c r="AB43" i="40"/>
  <c r="AA43" i="40"/>
  <c r="AC42" i="40"/>
  <c r="AB42" i="40"/>
  <c r="AA42" i="40"/>
  <c r="AC41" i="40"/>
  <c r="AB41" i="40"/>
  <c r="AA41" i="40"/>
  <c r="AC40" i="40"/>
  <c r="AB40" i="40"/>
  <c r="AA40" i="40"/>
  <c r="AC39" i="40"/>
  <c r="AB39" i="40"/>
  <c r="AA39" i="40"/>
  <c r="AC38" i="40"/>
  <c r="AB38" i="40"/>
  <c r="AA38" i="40"/>
  <c r="AC37" i="40"/>
  <c r="AB37" i="40"/>
  <c r="AA37" i="40"/>
  <c r="AC36" i="40"/>
  <c r="AB36" i="40"/>
  <c r="AA36" i="40"/>
  <c r="AC35" i="40"/>
  <c r="AB35" i="40"/>
  <c r="AA35" i="40"/>
  <c r="AC34" i="40"/>
  <c r="AB34" i="40"/>
  <c r="AA34" i="40"/>
  <c r="AC33" i="40"/>
  <c r="AB33" i="40"/>
  <c r="AA33" i="40"/>
  <c r="AC32" i="40"/>
  <c r="AB32" i="40"/>
  <c r="AA32" i="40"/>
  <c r="AC31" i="40"/>
  <c r="AB31" i="40"/>
  <c r="AA31" i="40"/>
  <c r="AC30" i="40"/>
  <c r="AB30" i="40"/>
  <c r="AA30" i="40"/>
  <c r="AC29" i="40"/>
  <c r="AB29" i="40"/>
  <c r="AA29" i="40"/>
  <c r="AC28" i="40"/>
  <c r="AB28" i="40"/>
  <c r="AA28" i="40"/>
  <c r="AC27" i="40"/>
  <c r="AB27" i="40"/>
  <c r="AA27" i="40"/>
  <c r="AC26" i="40"/>
  <c r="AB26" i="40"/>
  <c r="AA26" i="40"/>
  <c r="AC25" i="40"/>
  <c r="AB25" i="40"/>
  <c r="AA25" i="40"/>
  <c r="AC24" i="40"/>
  <c r="AB24" i="40"/>
  <c r="AA24" i="40"/>
  <c r="AC23" i="40"/>
  <c r="AB23" i="40"/>
  <c r="AA23" i="40"/>
  <c r="AC22" i="40"/>
  <c r="AB22" i="40"/>
  <c r="AA22" i="40"/>
  <c r="AC21" i="40"/>
  <c r="AB21" i="40"/>
  <c r="AA21" i="40"/>
  <c r="AC20" i="40"/>
  <c r="AB20" i="40"/>
  <c r="AA20" i="40"/>
  <c r="AC19" i="40"/>
  <c r="AB19" i="40"/>
  <c r="AA19" i="40"/>
  <c r="AC18" i="40"/>
  <c r="AB18" i="40"/>
  <c r="AA18" i="40"/>
  <c r="B12" i="40"/>
  <c r="G14" i="2" s="1"/>
  <c r="B11" i="40"/>
  <c r="F14" i="2" s="1"/>
  <c r="B10" i="40"/>
  <c r="E14" i="2" s="1"/>
  <c r="B9" i="40"/>
  <c r="D14" i="2" s="1"/>
  <c r="B10" i="38"/>
  <c r="B10" i="37"/>
  <c r="AC117" i="36"/>
  <c r="AB117" i="36"/>
  <c r="AA117" i="36"/>
  <c r="AC116" i="36"/>
  <c r="AB116" i="36"/>
  <c r="AA116" i="36"/>
  <c r="AC115" i="36"/>
  <c r="AB115" i="36"/>
  <c r="AA115" i="36"/>
  <c r="AC114" i="36"/>
  <c r="AB114" i="36"/>
  <c r="AA114" i="36"/>
  <c r="AC113" i="36"/>
  <c r="AB113" i="36"/>
  <c r="AA113" i="36"/>
  <c r="AC112" i="36"/>
  <c r="AB112" i="36"/>
  <c r="AA112" i="36"/>
  <c r="AC111" i="36"/>
  <c r="AB111" i="36"/>
  <c r="AA111" i="36"/>
  <c r="AC110" i="36"/>
  <c r="AB110" i="36"/>
  <c r="AA110" i="36"/>
  <c r="AC109" i="36"/>
  <c r="AB109" i="36"/>
  <c r="AA109" i="36"/>
  <c r="AC108" i="36"/>
  <c r="AB108" i="36"/>
  <c r="AA108" i="36"/>
  <c r="AC107" i="36"/>
  <c r="AB107" i="36"/>
  <c r="AA107" i="36"/>
  <c r="AC106" i="36"/>
  <c r="AB106" i="36"/>
  <c r="AA106" i="36"/>
  <c r="AC105" i="36"/>
  <c r="AB105" i="36"/>
  <c r="AA105" i="36"/>
  <c r="AC104" i="36"/>
  <c r="AB104" i="36"/>
  <c r="AA104" i="36"/>
  <c r="AC103" i="36"/>
  <c r="AB103" i="36"/>
  <c r="AA103" i="36"/>
  <c r="AC102" i="36"/>
  <c r="AB102" i="36"/>
  <c r="AA102" i="36"/>
  <c r="AC101" i="36"/>
  <c r="AB101" i="36"/>
  <c r="AA101" i="36"/>
  <c r="AC100" i="36"/>
  <c r="AB100" i="36"/>
  <c r="AA100" i="36"/>
  <c r="AC99" i="36"/>
  <c r="AB99" i="36"/>
  <c r="AA99" i="36"/>
  <c r="AC98" i="36"/>
  <c r="AB98" i="36"/>
  <c r="AA98" i="36"/>
  <c r="AC97" i="36"/>
  <c r="AB97" i="36"/>
  <c r="AA97" i="36"/>
  <c r="AC96" i="36"/>
  <c r="AB96" i="36"/>
  <c r="AA96" i="36"/>
  <c r="AC95" i="36"/>
  <c r="AB95" i="36"/>
  <c r="AA95" i="36"/>
  <c r="AC94" i="36"/>
  <c r="AB94" i="36"/>
  <c r="AA94" i="36"/>
  <c r="AC93" i="36"/>
  <c r="AB93" i="36"/>
  <c r="AA93" i="36"/>
  <c r="AC92" i="36"/>
  <c r="AB92" i="36"/>
  <c r="AA92" i="36"/>
  <c r="AC91" i="36"/>
  <c r="AB91" i="36"/>
  <c r="AA91" i="36"/>
  <c r="AC90" i="36"/>
  <c r="AB90" i="36"/>
  <c r="AA90" i="36"/>
  <c r="AC89" i="36"/>
  <c r="AB89" i="36"/>
  <c r="AA89" i="36"/>
  <c r="AC88" i="36"/>
  <c r="AB88" i="36"/>
  <c r="AA88" i="36"/>
  <c r="AC87" i="36"/>
  <c r="AB87" i="36"/>
  <c r="AA87" i="36"/>
  <c r="AC86" i="36"/>
  <c r="AB86" i="36"/>
  <c r="AA86" i="36"/>
  <c r="AC85" i="36"/>
  <c r="AB85" i="36"/>
  <c r="AA85" i="36"/>
  <c r="AC84" i="36"/>
  <c r="AB84" i="36"/>
  <c r="AA84" i="36"/>
  <c r="AC83" i="36"/>
  <c r="AB83" i="36"/>
  <c r="AA83" i="36"/>
  <c r="AC82" i="36"/>
  <c r="AB82" i="36"/>
  <c r="AA82" i="36"/>
  <c r="AC81" i="36"/>
  <c r="AB81" i="36"/>
  <c r="AA81" i="36"/>
  <c r="AC80" i="36"/>
  <c r="AA80" i="36"/>
  <c r="AC78" i="36"/>
  <c r="AA78" i="36"/>
  <c r="AC77" i="36"/>
  <c r="AB77" i="36"/>
  <c r="AA74" i="36"/>
  <c r="AA70" i="32"/>
  <c r="AB64" i="32"/>
  <c r="AB62" i="32"/>
  <c r="AA61" i="32"/>
  <c r="AC49" i="32"/>
  <c r="AA45" i="32"/>
  <c r="AB43" i="32"/>
  <c r="AC42" i="32"/>
  <c r="AA37" i="32"/>
  <c r="AA117" i="28"/>
  <c r="AC115" i="28"/>
  <c r="AA114" i="28"/>
  <c r="AA100" i="28"/>
  <c r="AC98" i="28"/>
  <c r="AC95" i="28"/>
  <c r="AB91" i="28"/>
  <c r="AA90" i="28"/>
  <c r="AA81" i="28"/>
  <c r="AB79" i="28"/>
  <c r="AB78" i="28"/>
  <c r="AA77" i="28"/>
  <c r="AA76" i="28"/>
  <c r="AA75" i="28"/>
  <c r="AA74" i="28"/>
  <c r="AB73" i="28"/>
  <c r="AC72" i="28"/>
  <c r="AB71" i="28"/>
  <c r="AB70" i="28"/>
  <c r="AB69" i="28"/>
  <c r="AB65" i="28"/>
  <c r="AB52" i="28"/>
  <c r="AA50" i="28"/>
  <c r="AA49" i="28"/>
  <c r="AC37" i="28"/>
  <c r="AB23" i="28"/>
  <c r="AB22" i="28"/>
  <c r="AB21" i="28"/>
  <c r="AA117" i="24"/>
  <c r="AB104" i="16"/>
  <c r="AB96" i="16"/>
  <c r="AC94" i="16"/>
  <c r="AC91" i="16"/>
  <c r="AC89" i="16"/>
  <c r="AC85" i="16"/>
  <c r="AA84" i="16"/>
  <c r="AC83" i="16"/>
  <c r="AA80" i="16"/>
  <c r="AB79" i="16"/>
  <c r="AA77" i="16"/>
  <c r="AB76" i="16"/>
  <c r="AB75" i="16"/>
  <c r="AA74" i="16"/>
  <c r="AB73" i="16"/>
  <c r="AB69" i="16"/>
  <c r="AB68" i="16"/>
  <c r="AC67" i="16"/>
  <c r="AC66" i="16"/>
  <c r="AA65" i="16"/>
  <c r="AB64" i="16"/>
  <c r="AA63" i="16"/>
  <c r="AC62" i="16"/>
  <c r="AA61" i="16"/>
  <c r="AA60" i="16"/>
  <c r="AC59" i="16"/>
  <c r="AB58" i="16"/>
  <c r="AC57" i="16"/>
  <c r="AB56" i="16"/>
  <c r="AB55" i="16"/>
  <c r="AC54" i="16"/>
  <c r="AB53" i="16"/>
  <c r="AC51" i="16"/>
  <c r="AA50" i="16"/>
  <c r="AB49" i="16"/>
  <c r="AA48" i="16"/>
  <c r="AA46" i="16"/>
  <c r="AA45" i="16"/>
  <c r="AB41" i="16"/>
  <c r="AB40" i="16"/>
  <c r="AC38" i="16"/>
  <c r="AB37" i="16"/>
  <c r="AB36" i="16"/>
  <c r="AA36" i="16"/>
  <c r="AB33" i="16"/>
  <c r="AC31" i="16"/>
  <c r="AC30" i="16"/>
  <c r="AC24" i="16"/>
  <c r="AB22" i="16"/>
  <c r="AC19" i="16"/>
  <c r="AC73" i="36"/>
  <c r="AB73" i="36"/>
  <c r="AA73" i="36"/>
  <c r="AC72" i="36"/>
  <c r="AB72" i="36"/>
  <c r="AA72" i="36"/>
  <c r="AC71" i="36"/>
  <c r="AB71" i="36"/>
  <c r="AA71" i="36"/>
  <c r="AC70" i="36"/>
  <c r="AB70" i="36"/>
  <c r="AA70" i="36"/>
  <c r="AC69" i="36"/>
  <c r="AB69" i="36"/>
  <c r="AA69" i="36"/>
  <c r="AC68" i="36"/>
  <c r="AB68" i="36"/>
  <c r="AA68" i="36"/>
  <c r="AC67" i="36"/>
  <c r="AB67" i="36"/>
  <c r="AA67" i="36"/>
  <c r="AC66" i="36"/>
  <c r="AB66" i="36"/>
  <c r="AA66" i="36"/>
  <c r="AC65" i="36"/>
  <c r="AB65" i="36"/>
  <c r="AA65" i="36"/>
  <c r="AC64" i="36"/>
  <c r="AB64" i="36"/>
  <c r="AA64" i="36"/>
  <c r="AC63" i="36"/>
  <c r="AB63" i="36"/>
  <c r="AA63" i="36"/>
  <c r="AC62" i="36"/>
  <c r="AB62" i="36"/>
  <c r="AA62" i="36"/>
  <c r="AC61" i="36"/>
  <c r="AB61" i="36"/>
  <c r="AA61" i="36"/>
  <c r="AC60" i="36"/>
  <c r="AB60" i="36"/>
  <c r="AA60" i="36"/>
  <c r="AC59" i="36"/>
  <c r="AB59" i="36"/>
  <c r="AA59" i="36"/>
  <c r="AC58" i="36"/>
  <c r="AB58" i="36"/>
  <c r="AA58" i="36"/>
  <c r="AC57" i="36"/>
  <c r="AB57" i="36"/>
  <c r="AA57" i="36"/>
  <c r="AC56" i="36"/>
  <c r="AB56" i="36"/>
  <c r="AA56" i="36"/>
  <c r="AC55" i="36"/>
  <c r="AB55" i="36"/>
  <c r="AA55" i="36"/>
  <c r="AC54" i="36"/>
  <c r="AB54" i="36"/>
  <c r="AA54" i="36"/>
  <c r="AC53" i="36"/>
  <c r="AB53" i="36"/>
  <c r="AA53" i="36"/>
  <c r="AC52" i="36"/>
  <c r="AB52" i="36"/>
  <c r="AA52" i="36"/>
  <c r="AC51" i="36"/>
  <c r="AB51" i="36"/>
  <c r="AA51" i="36"/>
  <c r="AC50" i="36"/>
  <c r="AB50" i="36"/>
  <c r="AA50" i="36"/>
  <c r="AC49" i="36"/>
  <c r="AB49" i="36"/>
  <c r="AA49" i="36"/>
  <c r="AC48" i="36"/>
  <c r="AB48" i="36"/>
  <c r="AA48" i="36"/>
  <c r="AC47" i="36"/>
  <c r="AB47" i="36"/>
  <c r="AA47" i="36"/>
  <c r="AC46" i="36"/>
  <c r="AB46" i="36"/>
  <c r="AA46" i="36"/>
  <c r="AC45" i="36"/>
  <c r="AB45" i="36"/>
  <c r="AA45" i="36"/>
  <c r="AC44" i="36"/>
  <c r="AB44" i="36"/>
  <c r="AA44" i="36"/>
  <c r="AC43" i="36"/>
  <c r="AB43" i="36"/>
  <c r="AA43" i="36"/>
  <c r="AC42" i="36"/>
  <c r="AB42" i="36"/>
  <c r="AA42" i="36"/>
  <c r="AC41" i="36"/>
  <c r="AB41" i="36"/>
  <c r="AA41" i="36"/>
  <c r="AC40" i="36"/>
  <c r="AB40" i="36"/>
  <c r="AA40" i="36"/>
  <c r="AC39" i="36"/>
  <c r="AB39" i="36"/>
  <c r="AA39" i="36"/>
  <c r="AC38" i="36"/>
  <c r="AB38" i="36"/>
  <c r="AA38" i="36"/>
  <c r="AC37" i="36"/>
  <c r="AB37" i="36"/>
  <c r="AA37" i="36"/>
  <c r="AC36" i="36"/>
  <c r="AB36" i="36"/>
  <c r="AA36" i="36"/>
  <c r="AC35" i="36"/>
  <c r="AB35" i="36"/>
  <c r="AA35" i="36"/>
  <c r="AC34" i="36"/>
  <c r="AB34" i="36"/>
  <c r="AA34" i="36"/>
  <c r="AC33" i="36"/>
  <c r="AB33" i="36"/>
  <c r="AA33" i="36"/>
  <c r="AC32" i="36"/>
  <c r="AB32" i="36"/>
  <c r="AA32" i="36"/>
  <c r="AC31" i="36"/>
  <c r="AB31" i="36"/>
  <c r="AA31" i="36"/>
  <c r="AC30" i="36"/>
  <c r="AB30" i="36"/>
  <c r="AA30" i="36"/>
  <c r="AC29" i="36"/>
  <c r="AB29" i="36"/>
  <c r="AA29" i="36"/>
  <c r="AC28" i="36"/>
  <c r="AB28" i="36"/>
  <c r="AA28" i="36"/>
  <c r="AC27" i="36"/>
  <c r="AB27" i="36"/>
  <c r="AA27" i="36"/>
  <c r="AC26" i="36"/>
  <c r="AB26" i="36"/>
  <c r="AA26" i="36"/>
  <c r="AC25" i="36"/>
  <c r="AB25" i="36"/>
  <c r="AA25" i="36"/>
  <c r="AC24" i="36"/>
  <c r="AB24" i="36"/>
  <c r="AA24" i="36"/>
  <c r="AC23" i="36"/>
  <c r="AB23" i="36"/>
  <c r="AA23" i="36"/>
  <c r="AC22" i="36"/>
  <c r="AB22" i="36"/>
  <c r="AA22" i="36"/>
  <c r="AC21" i="36"/>
  <c r="AB21" i="36"/>
  <c r="AA21" i="36"/>
  <c r="AC20" i="36"/>
  <c r="AB20" i="36"/>
  <c r="AA20" i="36"/>
  <c r="AC19" i="36"/>
  <c r="AB19" i="36"/>
  <c r="AA19" i="36"/>
  <c r="AC18" i="36"/>
  <c r="AB18" i="36"/>
  <c r="AA18" i="36"/>
  <c r="B12" i="36"/>
  <c r="G13" i="2" s="1"/>
  <c r="B11" i="36"/>
  <c r="F13" i="2" s="1"/>
  <c r="B10" i="36"/>
  <c r="E13" i="2" s="1"/>
  <c r="B9" i="36"/>
  <c r="D13" i="2" s="1"/>
  <c r="B10" i="34"/>
  <c r="AC117" i="32"/>
  <c r="AB117" i="32"/>
  <c r="AA117" i="32"/>
  <c r="AC116" i="32"/>
  <c r="AB116" i="32"/>
  <c r="AA116" i="32"/>
  <c r="AC115" i="32"/>
  <c r="AB115" i="32"/>
  <c r="AA115" i="32"/>
  <c r="AC114" i="32"/>
  <c r="AB114" i="32"/>
  <c r="AA114" i="32"/>
  <c r="AC113" i="32"/>
  <c r="AB113" i="32"/>
  <c r="AA113" i="32"/>
  <c r="AC112" i="32"/>
  <c r="AB112" i="32"/>
  <c r="AA112" i="32"/>
  <c r="AC111" i="32"/>
  <c r="AB111" i="32"/>
  <c r="AA111" i="32"/>
  <c r="AC110" i="32"/>
  <c r="AB110" i="32"/>
  <c r="AA110" i="32"/>
  <c r="AC109" i="32"/>
  <c r="AB109" i="32"/>
  <c r="AA109" i="32"/>
  <c r="AC108" i="32"/>
  <c r="AB108" i="32"/>
  <c r="AA108" i="32"/>
  <c r="AC107" i="32"/>
  <c r="AB107" i="32"/>
  <c r="AA107" i="32"/>
  <c r="AC106" i="32"/>
  <c r="AB106" i="32"/>
  <c r="AA106" i="32"/>
  <c r="AC105" i="32"/>
  <c r="AB105" i="32"/>
  <c r="AA105" i="32"/>
  <c r="AC104" i="32"/>
  <c r="AB104" i="32"/>
  <c r="AA104" i="32"/>
  <c r="AC103" i="32"/>
  <c r="AB103" i="32"/>
  <c r="AA103" i="32"/>
  <c r="AC102" i="32"/>
  <c r="AB102" i="32"/>
  <c r="AA102" i="32"/>
  <c r="AC101" i="32"/>
  <c r="AB101" i="32"/>
  <c r="AA101" i="32"/>
  <c r="AC100" i="32"/>
  <c r="AB100" i="32"/>
  <c r="AA100" i="32"/>
  <c r="AC99" i="32"/>
  <c r="AB99" i="32"/>
  <c r="AA99" i="32"/>
  <c r="AC98" i="32"/>
  <c r="AB98" i="32"/>
  <c r="AA98" i="32"/>
  <c r="AC97" i="32"/>
  <c r="AB97" i="32"/>
  <c r="AA97" i="32"/>
  <c r="AC96" i="32"/>
  <c r="AB96" i="32"/>
  <c r="AA96" i="32"/>
  <c r="AC95" i="32"/>
  <c r="AB95" i="32"/>
  <c r="AA95" i="32"/>
  <c r="AC94" i="32"/>
  <c r="AB94" i="32"/>
  <c r="AA94" i="32"/>
  <c r="AC93" i="32"/>
  <c r="AB93" i="32"/>
  <c r="AA93" i="32"/>
  <c r="AC92" i="32"/>
  <c r="AB92" i="32"/>
  <c r="AA92" i="32"/>
  <c r="AA91" i="32"/>
  <c r="AA89" i="32"/>
  <c r="AB88" i="32"/>
  <c r="AA86" i="32"/>
  <c r="AB85" i="32"/>
  <c r="AC84" i="32"/>
  <c r="AB83" i="32"/>
  <c r="AA83" i="32"/>
  <c r="AA82" i="32"/>
  <c r="AC81" i="32"/>
  <c r="AB80" i="32"/>
  <c r="AA78" i="32"/>
  <c r="AC77" i="32"/>
  <c r="AB76" i="32"/>
  <c r="AC75" i="32"/>
  <c r="AB74" i="32"/>
  <c r="AA72" i="32"/>
  <c r="AA71" i="32"/>
  <c r="AA69" i="32"/>
  <c r="AA65" i="32"/>
  <c r="AA62" i="32"/>
  <c r="AB61" i="32"/>
  <c r="AC60" i="32"/>
  <c r="AA59" i="32"/>
  <c r="AB58" i="32"/>
  <c r="AB57" i="32"/>
  <c r="AA56" i="32"/>
  <c r="AC55" i="32"/>
  <c r="AC54" i="32"/>
  <c r="AC53" i="32"/>
  <c r="AA52" i="32"/>
  <c r="AA49" i="32"/>
  <c r="AA48" i="32"/>
  <c r="AB47" i="32"/>
  <c r="AC46" i="32"/>
  <c r="AA43" i="32"/>
  <c r="AA40" i="32"/>
  <c r="AC39" i="32"/>
  <c r="AA36" i="32"/>
  <c r="AA35" i="32"/>
  <c r="AC34" i="32"/>
  <c r="AC33" i="32"/>
  <c r="AC32" i="32"/>
  <c r="AA31" i="32"/>
  <c r="AC28" i="32"/>
  <c r="AB27" i="32"/>
  <c r="AA25" i="32"/>
  <c r="AB24" i="32"/>
  <c r="AA24" i="32"/>
  <c r="AC23" i="32"/>
  <c r="AA22" i="32"/>
  <c r="AB21" i="32"/>
  <c r="AC20" i="32"/>
  <c r="AB19" i="32"/>
  <c r="AC117" i="28"/>
  <c r="AB116" i="28"/>
  <c r="AA116" i="28"/>
  <c r="AB115" i="28"/>
  <c r="AA113" i="28"/>
  <c r="AB112" i="28"/>
  <c r="AB111" i="28"/>
  <c r="AA109" i="28"/>
  <c r="AA107" i="28"/>
  <c r="AC106" i="28"/>
  <c r="AB105" i="28"/>
  <c r="AA103" i="28"/>
  <c r="AA102" i="28"/>
  <c r="AB101" i="28"/>
  <c r="AC100" i="28"/>
  <c r="AB99" i="28"/>
  <c r="AB97" i="28"/>
  <c r="AA96" i="28"/>
  <c r="AA93" i="28"/>
  <c r="AC92" i="28"/>
  <c r="AC91" i="28"/>
  <c r="AC90" i="28"/>
  <c r="AC87" i="28"/>
  <c r="AB86" i="28"/>
  <c r="AC85" i="28"/>
  <c r="AA84" i="28"/>
  <c r="AB83" i="28"/>
  <c r="AB82" i="28"/>
  <c r="AB81" i="28"/>
  <c r="AC80" i="28"/>
  <c r="AA78" i="28"/>
  <c r="AC77" i="28"/>
  <c r="AC76" i="28"/>
  <c r="AC75" i="28"/>
  <c r="AB59" i="28"/>
  <c r="AC58" i="28"/>
  <c r="AA57" i="28"/>
  <c r="AC54" i="28"/>
  <c r="AB53" i="28"/>
  <c r="AA51" i="28"/>
  <c r="AC50" i="28"/>
  <c r="AB49" i="28"/>
  <c r="AB48" i="28"/>
  <c r="AC47" i="28"/>
  <c r="AB46" i="28"/>
  <c r="AA44" i="28"/>
  <c r="AB42" i="28"/>
  <c r="AA41" i="28"/>
  <c r="AC40" i="28"/>
  <c r="AA39" i="28"/>
  <c r="AA38" i="28"/>
  <c r="AB37" i="28"/>
  <c r="AC36" i="28"/>
  <c r="AC35" i="28"/>
  <c r="AC34" i="28"/>
  <c r="AA33" i="28"/>
  <c r="AC32" i="28"/>
  <c r="AA31" i="28"/>
  <c r="AC30" i="28"/>
  <c r="AA27" i="28"/>
  <c r="AC26" i="28"/>
  <c r="AA25" i="28"/>
  <c r="AC24" i="28"/>
  <c r="AA20" i="28"/>
  <c r="AB19" i="28"/>
  <c r="AA18" i="28"/>
  <c r="B10" i="25"/>
  <c r="AC117" i="24"/>
  <c r="AC116" i="16"/>
  <c r="AC115" i="16"/>
  <c r="AB114" i="16"/>
  <c r="AC111" i="16"/>
  <c r="AA110" i="16"/>
  <c r="AA109" i="16"/>
  <c r="AB108" i="16"/>
  <c r="AB107" i="16"/>
  <c r="AA106" i="16"/>
  <c r="AB105" i="16"/>
  <c r="AB92" i="16"/>
  <c r="AA91" i="16"/>
  <c r="AB90" i="16"/>
  <c r="AB89" i="16"/>
  <c r="AC86" i="16"/>
  <c r="AA85" i="16"/>
  <c r="AC81" i="16"/>
  <c r="AC79" i="16"/>
  <c r="AC77" i="16"/>
  <c r="AA73" i="16"/>
  <c r="AB72" i="16"/>
  <c r="AA71" i="16"/>
  <c r="AA70" i="16"/>
  <c r="AC69" i="16"/>
  <c r="AA66" i="16"/>
  <c r="AB65" i="16"/>
  <c r="AA64" i="16"/>
  <c r="AB63" i="16"/>
  <c r="AB62" i="16"/>
  <c r="AC61" i="16"/>
  <c r="AA54" i="16"/>
  <c r="AA53" i="16"/>
  <c r="AB52" i="16"/>
  <c r="AB46" i="16"/>
  <c r="AB44" i="16"/>
  <c r="AB43" i="16"/>
  <c r="AB42" i="16"/>
  <c r="AB39" i="16"/>
  <c r="AB31" i="16"/>
  <c r="AA27" i="16"/>
  <c r="AB26" i="16"/>
  <c r="AC25" i="16"/>
  <c r="AA24" i="16"/>
  <c r="AB21" i="16"/>
  <c r="AC116" i="24"/>
  <c r="AB116" i="24"/>
  <c r="AA116" i="24"/>
  <c r="AC115" i="24"/>
  <c r="AB115" i="24"/>
  <c r="AA115" i="24"/>
  <c r="AC114" i="24"/>
  <c r="AB114" i="24"/>
  <c r="AA114" i="24"/>
  <c r="AC113" i="24"/>
  <c r="AB113" i="24"/>
  <c r="AA113" i="24"/>
  <c r="AC112" i="24"/>
  <c r="AB112" i="24"/>
  <c r="AA112" i="24"/>
  <c r="AC111" i="24"/>
  <c r="AB111" i="24"/>
  <c r="AA111" i="24"/>
  <c r="AC110" i="24"/>
  <c r="AB110" i="24"/>
  <c r="AA110" i="24"/>
  <c r="AC109" i="24"/>
  <c r="AB109" i="24"/>
  <c r="AA109" i="24"/>
  <c r="AC108" i="24"/>
  <c r="AB108" i="24"/>
  <c r="AA108" i="24"/>
  <c r="AC107" i="24"/>
  <c r="AB107" i="24"/>
  <c r="AA107" i="24"/>
  <c r="AC106" i="24"/>
  <c r="AB106" i="24"/>
  <c r="AA106" i="24"/>
  <c r="AC105" i="24"/>
  <c r="AB105" i="24"/>
  <c r="AA105" i="24"/>
  <c r="AC104" i="24"/>
  <c r="AB104" i="24"/>
  <c r="AA104" i="24"/>
  <c r="AC103" i="24"/>
  <c r="AB103" i="24"/>
  <c r="AA103" i="24"/>
  <c r="AC102" i="24"/>
  <c r="AB102" i="24"/>
  <c r="AA102" i="24"/>
  <c r="AC101" i="24"/>
  <c r="AB101" i="24"/>
  <c r="AA101" i="24"/>
  <c r="AC100" i="24"/>
  <c r="AB100" i="24"/>
  <c r="AA100" i="24"/>
  <c r="AC99" i="24"/>
  <c r="AB99" i="24"/>
  <c r="AA99" i="24"/>
  <c r="AC98" i="24"/>
  <c r="AB98" i="24"/>
  <c r="AA98" i="24"/>
  <c r="AC97" i="24"/>
  <c r="AB97" i="24"/>
  <c r="AA97" i="24"/>
  <c r="AC96" i="24"/>
  <c r="AB96" i="24"/>
  <c r="AA96" i="24"/>
  <c r="AC95" i="24"/>
  <c r="AB95" i="24"/>
  <c r="AA95" i="24"/>
  <c r="AC94" i="24"/>
  <c r="AB94" i="24"/>
  <c r="AA94" i="24"/>
  <c r="AC93" i="24"/>
  <c r="AB93" i="24"/>
  <c r="AA93" i="24"/>
  <c r="AC92" i="24"/>
  <c r="AB92" i="24"/>
  <c r="AA92" i="24"/>
  <c r="AC91" i="24"/>
  <c r="AB91" i="24"/>
  <c r="AA91" i="24"/>
  <c r="AC90" i="24"/>
  <c r="AB90" i="24"/>
  <c r="AA90" i="24"/>
  <c r="AC89" i="24"/>
  <c r="AB89" i="24"/>
  <c r="AA89" i="24"/>
  <c r="AC88" i="24"/>
  <c r="AB88" i="24"/>
  <c r="AA88" i="24"/>
  <c r="AC87" i="24"/>
  <c r="AB87" i="24"/>
  <c r="AA87" i="24"/>
  <c r="AC86" i="24"/>
  <c r="AB86" i="24"/>
  <c r="AA86" i="24"/>
  <c r="AC85" i="24"/>
  <c r="AB85" i="24"/>
  <c r="AA85" i="24"/>
  <c r="AC84" i="24"/>
  <c r="AB84" i="24"/>
  <c r="AA84" i="24"/>
  <c r="AC83" i="24"/>
  <c r="AB83" i="24"/>
  <c r="AA83" i="24"/>
  <c r="AC82" i="24"/>
  <c r="AB82" i="24"/>
  <c r="AA82" i="24"/>
  <c r="AC81" i="24"/>
  <c r="AB81" i="24"/>
  <c r="AA81" i="24"/>
  <c r="AC80" i="24"/>
  <c r="AB80" i="24"/>
  <c r="AA80" i="24"/>
  <c r="AC79" i="24"/>
  <c r="AB79" i="24"/>
  <c r="AA79" i="24"/>
  <c r="AC78" i="24"/>
  <c r="AB78" i="24"/>
  <c r="AA78" i="24"/>
  <c r="AC77" i="24"/>
  <c r="AB77" i="24"/>
  <c r="AA77" i="24"/>
  <c r="AC76" i="24"/>
  <c r="AB76" i="24"/>
  <c r="AA76" i="24"/>
  <c r="AC75" i="24"/>
  <c r="AB75" i="24"/>
  <c r="AA75" i="24"/>
  <c r="AC74" i="24"/>
  <c r="AB74" i="24"/>
  <c r="AA74" i="24"/>
  <c r="AC73" i="24"/>
  <c r="AB73" i="24"/>
  <c r="AA73" i="24"/>
  <c r="AC72" i="24"/>
  <c r="AB72" i="24"/>
  <c r="AA72" i="24"/>
  <c r="AC71" i="24"/>
  <c r="AB71" i="24"/>
  <c r="AA71" i="24"/>
  <c r="AC70" i="24"/>
  <c r="AB70" i="24"/>
  <c r="AA70" i="24"/>
  <c r="AC69" i="24"/>
  <c r="AB69" i="24"/>
  <c r="AA69" i="24"/>
  <c r="AC68" i="24"/>
  <c r="AB68" i="24"/>
  <c r="AA68" i="24"/>
  <c r="AC67" i="24"/>
  <c r="AB67" i="24"/>
  <c r="AA67" i="24"/>
  <c r="AC66" i="24"/>
  <c r="AB66" i="24"/>
  <c r="AA66" i="24"/>
  <c r="AC65" i="24"/>
  <c r="AB65" i="24"/>
  <c r="AA65" i="24"/>
  <c r="AC64" i="24"/>
  <c r="AB64" i="24"/>
  <c r="AA64" i="24"/>
  <c r="AC63" i="24"/>
  <c r="AB63" i="24"/>
  <c r="AA63" i="24"/>
  <c r="AC62" i="24"/>
  <c r="AB62" i="24"/>
  <c r="AA62" i="24"/>
  <c r="AC61" i="24"/>
  <c r="AB61" i="24"/>
  <c r="AA61" i="24"/>
  <c r="AC60" i="24"/>
  <c r="AB60" i="24"/>
  <c r="AA60" i="24"/>
  <c r="AC59" i="24"/>
  <c r="AB59" i="24"/>
  <c r="AA59" i="24"/>
  <c r="AC58" i="24"/>
  <c r="AB58" i="24"/>
  <c r="AA58" i="24"/>
  <c r="AC57" i="24"/>
  <c r="AB57" i="24"/>
  <c r="AA57" i="24"/>
  <c r="AC56" i="24"/>
  <c r="AB56" i="24"/>
  <c r="AA56" i="24"/>
  <c r="AC55" i="24"/>
  <c r="AB55" i="24"/>
  <c r="AA55" i="24"/>
  <c r="AC54" i="24"/>
  <c r="AB54" i="24"/>
  <c r="AA54" i="24"/>
  <c r="AC53" i="24"/>
  <c r="AB53" i="24"/>
  <c r="AA53" i="24"/>
  <c r="AC52" i="24"/>
  <c r="AB52" i="24"/>
  <c r="AA52" i="24"/>
  <c r="AC51" i="24"/>
  <c r="AB51" i="24"/>
  <c r="AA51" i="24"/>
  <c r="AC50" i="24"/>
  <c r="AB50" i="24"/>
  <c r="AA50" i="24"/>
  <c r="AC49" i="24"/>
  <c r="AB49" i="24"/>
  <c r="AA49" i="24"/>
  <c r="AC48" i="24"/>
  <c r="AB48" i="24"/>
  <c r="AA48" i="24"/>
  <c r="AC47" i="24"/>
  <c r="AB47" i="24"/>
  <c r="AA47" i="24"/>
  <c r="AC46" i="24"/>
  <c r="AB46" i="24"/>
  <c r="AA46" i="24"/>
  <c r="AC45" i="24"/>
  <c r="AB45" i="24"/>
  <c r="AA45" i="24"/>
  <c r="AC44" i="24"/>
  <c r="AB44" i="24"/>
  <c r="AA44" i="24"/>
  <c r="AC43" i="24"/>
  <c r="AB43" i="24"/>
  <c r="AA43" i="24"/>
  <c r="AC42" i="24"/>
  <c r="AB42" i="24"/>
  <c r="AA42" i="24"/>
  <c r="AC41" i="24"/>
  <c r="AB41" i="24"/>
  <c r="AA41" i="24"/>
  <c r="AC40" i="24"/>
  <c r="AB40" i="24"/>
  <c r="AA40" i="24"/>
  <c r="AC39" i="24"/>
  <c r="AB39" i="24"/>
  <c r="AA39" i="24"/>
  <c r="AC38" i="24"/>
  <c r="AB38" i="24"/>
  <c r="AA38" i="24"/>
  <c r="AC37" i="24"/>
  <c r="AB37" i="24"/>
  <c r="AA37" i="24"/>
  <c r="AC36" i="24"/>
  <c r="AB36" i="24"/>
  <c r="AA36" i="24"/>
  <c r="AC35" i="24"/>
  <c r="AB35" i="24"/>
  <c r="AA35" i="24"/>
  <c r="AC34" i="24"/>
  <c r="AB34" i="24"/>
  <c r="AA34" i="24"/>
  <c r="AC33" i="24"/>
  <c r="AB33" i="24"/>
  <c r="AA33" i="24"/>
  <c r="AC32" i="24"/>
  <c r="AB32" i="24"/>
  <c r="AA32" i="24"/>
  <c r="AC31" i="24"/>
  <c r="AB31" i="24"/>
  <c r="AA31" i="24"/>
  <c r="AC30" i="24"/>
  <c r="AB30" i="24"/>
  <c r="AA30" i="24"/>
  <c r="AC29" i="24"/>
  <c r="AB29" i="24"/>
  <c r="AA29" i="24"/>
  <c r="AC28" i="24"/>
  <c r="AB28" i="24"/>
  <c r="AA28" i="24"/>
  <c r="AC27" i="24"/>
  <c r="AB27" i="24"/>
  <c r="AA27" i="24"/>
  <c r="AC26" i="24"/>
  <c r="AB26" i="24"/>
  <c r="AA26" i="24"/>
  <c r="AC25" i="24"/>
  <c r="AB25" i="24"/>
  <c r="AA25" i="24"/>
  <c r="AC24" i="24"/>
  <c r="AB24" i="24"/>
  <c r="AA24" i="24"/>
  <c r="AC23" i="24"/>
  <c r="AB23" i="24"/>
  <c r="AA23" i="24"/>
  <c r="AC22" i="24"/>
  <c r="AB22" i="24"/>
  <c r="AA22" i="24"/>
  <c r="AC21" i="24"/>
  <c r="AB21" i="24"/>
  <c r="AA21" i="24"/>
  <c r="AC20" i="24"/>
  <c r="AB20" i="24"/>
  <c r="AA20" i="24"/>
  <c r="AC19" i="24"/>
  <c r="AB19" i="24"/>
  <c r="AA19" i="24"/>
  <c r="AC18" i="24"/>
  <c r="AB18" i="24"/>
  <c r="AA18" i="24"/>
  <c r="B12" i="24"/>
  <c r="G10" i="2" s="1"/>
  <c r="B11" i="24"/>
  <c r="F10" i="2" s="1"/>
  <c r="B10" i="24"/>
  <c r="E10" i="2" s="1"/>
  <c r="B9" i="24"/>
  <c r="D10" i="2" s="1"/>
  <c r="B10" i="21"/>
  <c r="AC117" i="20"/>
  <c r="AB117" i="20"/>
  <c r="AA117" i="20"/>
  <c r="AC116" i="20"/>
  <c r="AB116" i="20"/>
  <c r="AA116" i="20"/>
  <c r="AC115" i="20"/>
  <c r="AB115" i="20"/>
  <c r="AA115" i="20"/>
  <c r="AC114" i="20"/>
  <c r="AB114" i="20"/>
  <c r="AA114" i="20"/>
  <c r="AC113" i="20"/>
  <c r="AB113" i="20"/>
  <c r="AA113" i="20"/>
  <c r="AC112" i="20"/>
  <c r="AB112" i="20"/>
  <c r="AA112" i="20"/>
  <c r="AC111" i="20"/>
  <c r="AB111" i="20"/>
  <c r="AA111" i="20"/>
  <c r="AC110" i="20"/>
  <c r="AB110" i="20"/>
  <c r="AA110" i="20"/>
  <c r="AC109" i="20"/>
  <c r="AB109" i="20"/>
  <c r="AA109" i="20"/>
  <c r="AC108" i="20"/>
  <c r="AB108" i="20"/>
  <c r="AA108" i="20"/>
  <c r="AC107" i="20"/>
  <c r="AB107" i="20"/>
  <c r="AA107" i="20"/>
  <c r="AC106" i="20"/>
  <c r="AB106" i="20"/>
  <c r="AA106" i="20"/>
  <c r="AC105" i="20"/>
  <c r="AB105" i="20"/>
  <c r="AA105" i="20"/>
  <c r="AC104" i="20"/>
  <c r="AB104" i="20"/>
  <c r="AA104" i="20"/>
  <c r="AC103" i="20"/>
  <c r="AB103" i="20"/>
  <c r="AA103" i="20"/>
  <c r="AC102" i="20"/>
  <c r="AB102" i="20"/>
  <c r="AA102" i="20"/>
  <c r="AC101" i="20"/>
  <c r="AB101" i="20"/>
  <c r="AA101" i="20"/>
  <c r="AC100" i="20"/>
  <c r="AB100" i="20"/>
  <c r="AA100" i="20"/>
  <c r="AC99" i="20"/>
  <c r="AB99" i="20"/>
  <c r="AA99" i="20"/>
  <c r="AC98" i="20"/>
  <c r="AB98" i="20"/>
  <c r="AA98" i="20"/>
  <c r="AC97" i="20"/>
  <c r="AB97" i="20"/>
  <c r="AA97" i="20"/>
  <c r="AC96" i="20"/>
  <c r="AB96" i="20"/>
  <c r="AA96" i="20"/>
  <c r="AC95" i="20"/>
  <c r="AB95" i="20"/>
  <c r="AA95" i="20"/>
  <c r="AC94" i="20"/>
  <c r="AB94" i="20"/>
  <c r="AA94" i="20"/>
  <c r="AC93" i="20"/>
  <c r="AB93" i="20"/>
  <c r="AA93" i="20"/>
  <c r="AC92" i="20"/>
  <c r="AB92" i="20"/>
  <c r="AA92" i="20"/>
  <c r="AC91" i="20"/>
  <c r="AB91" i="20"/>
  <c r="AA91" i="20"/>
  <c r="AC90" i="20"/>
  <c r="AB90" i="20"/>
  <c r="AA90" i="20"/>
  <c r="AC89" i="20"/>
  <c r="AB89" i="20"/>
  <c r="AA89" i="20"/>
  <c r="AC88" i="20"/>
  <c r="AB88" i="20"/>
  <c r="AA88" i="20"/>
  <c r="AC87" i="20"/>
  <c r="AB87" i="20"/>
  <c r="AA87" i="20"/>
  <c r="AC86" i="20"/>
  <c r="AB86" i="20"/>
  <c r="AA86" i="20"/>
  <c r="AC85" i="20"/>
  <c r="AB85" i="20"/>
  <c r="AA85" i="20"/>
  <c r="AC84" i="20"/>
  <c r="AB84" i="20"/>
  <c r="AA84" i="20"/>
  <c r="AC83" i="20"/>
  <c r="AB83" i="20"/>
  <c r="AA83" i="20"/>
  <c r="AC82" i="20"/>
  <c r="AB82" i="20"/>
  <c r="AA82" i="20"/>
  <c r="AC81" i="20"/>
  <c r="AB81" i="20"/>
  <c r="AA81" i="20"/>
  <c r="AC80" i="20"/>
  <c r="AB80" i="20"/>
  <c r="AA80" i="20"/>
  <c r="AC79" i="20"/>
  <c r="AB79" i="20"/>
  <c r="AA79" i="20"/>
  <c r="AC78" i="20"/>
  <c r="AB78" i="20"/>
  <c r="AA78" i="20"/>
  <c r="AC77" i="20"/>
  <c r="AB77" i="20"/>
  <c r="AA77" i="20"/>
  <c r="AC76" i="20"/>
  <c r="AB76" i="20"/>
  <c r="AA76" i="20"/>
  <c r="AC75" i="20"/>
  <c r="AB75" i="20"/>
  <c r="AA75" i="20"/>
  <c r="AC74" i="20"/>
  <c r="AB74" i="20"/>
  <c r="AA74" i="20"/>
  <c r="AC73" i="20"/>
  <c r="AB73" i="20"/>
  <c r="AA73" i="20"/>
  <c r="AC72" i="20"/>
  <c r="AB72" i="20"/>
  <c r="AA72" i="20"/>
  <c r="AC71" i="20"/>
  <c r="AB71" i="20"/>
  <c r="AA71" i="20"/>
  <c r="AC70" i="20"/>
  <c r="AB70" i="20"/>
  <c r="AA70" i="20"/>
  <c r="AC69" i="20"/>
  <c r="AB69" i="20"/>
  <c r="AA69" i="20"/>
  <c r="AC68" i="20"/>
  <c r="AB68" i="20"/>
  <c r="AA68" i="20"/>
  <c r="AC67" i="20"/>
  <c r="AB67" i="20"/>
  <c r="AA67" i="20"/>
  <c r="AC66" i="20"/>
  <c r="AB66" i="20"/>
  <c r="AA66" i="20"/>
  <c r="AC65" i="20"/>
  <c r="AB65" i="20"/>
  <c r="AA65" i="20"/>
  <c r="AC64" i="20"/>
  <c r="AB64" i="20"/>
  <c r="AA64" i="20"/>
  <c r="AC63" i="20"/>
  <c r="AB63" i="20"/>
  <c r="AA63" i="20"/>
  <c r="AC62" i="20"/>
  <c r="AB62" i="20"/>
  <c r="AA62" i="20"/>
  <c r="AC61" i="20"/>
  <c r="AB61" i="20"/>
  <c r="AA61" i="20"/>
  <c r="AC60" i="20"/>
  <c r="AB60" i="20"/>
  <c r="AA60" i="20"/>
  <c r="AC59" i="20"/>
  <c r="AB59" i="20"/>
  <c r="AA59" i="20"/>
  <c r="AC58" i="20"/>
  <c r="AB58" i="20"/>
  <c r="AA58" i="20"/>
  <c r="AC57" i="20"/>
  <c r="AB57" i="20"/>
  <c r="AA57" i="20"/>
  <c r="AC56" i="20"/>
  <c r="AB56" i="20"/>
  <c r="AA56" i="20"/>
  <c r="AC55" i="20"/>
  <c r="AB55" i="20"/>
  <c r="AA55" i="20"/>
  <c r="AC54" i="20"/>
  <c r="AB54" i="20"/>
  <c r="AA54" i="20"/>
  <c r="AC53" i="20"/>
  <c r="AB53" i="20"/>
  <c r="AA53" i="20"/>
  <c r="AC52" i="20"/>
  <c r="AB52" i="20"/>
  <c r="AA52" i="20"/>
  <c r="AC51" i="20"/>
  <c r="AB51" i="20"/>
  <c r="AA51" i="20"/>
  <c r="AC50" i="20"/>
  <c r="AB50" i="20"/>
  <c r="AA50" i="20"/>
  <c r="AC49" i="20"/>
  <c r="AB49" i="20"/>
  <c r="AA49" i="20"/>
  <c r="AC48" i="20"/>
  <c r="AB48" i="20"/>
  <c r="AA48" i="20"/>
  <c r="AC47" i="20"/>
  <c r="AB47" i="20"/>
  <c r="AA47" i="20"/>
  <c r="AC46" i="20"/>
  <c r="AB46" i="20"/>
  <c r="AA46" i="20"/>
  <c r="AC45" i="20"/>
  <c r="AB45" i="20"/>
  <c r="AA45" i="20"/>
  <c r="AC44" i="20"/>
  <c r="AB44" i="20"/>
  <c r="AA44" i="20"/>
  <c r="AC43" i="20"/>
  <c r="AB43" i="20"/>
  <c r="AA43" i="20"/>
  <c r="AC42" i="20"/>
  <c r="AB42" i="20"/>
  <c r="AA42" i="20"/>
  <c r="AC41" i="20"/>
  <c r="AB41" i="20"/>
  <c r="AA41" i="20"/>
  <c r="AC40" i="20"/>
  <c r="AB40" i="20"/>
  <c r="AA40" i="20"/>
  <c r="AC39" i="20"/>
  <c r="AB39" i="20"/>
  <c r="AA39" i="20"/>
  <c r="AC38" i="20"/>
  <c r="AB38" i="20"/>
  <c r="AA38" i="20"/>
  <c r="AC37" i="20"/>
  <c r="AB37" i="20"/>
  <c r="AA37" i="20"/>
  <c r="AC36" i="20"/>
  <c r="AB36" i="20"/>
  <c r="AA36" i="20"/>
  <c r="AC35" i="20"/>
  <c r="AB35" i="20"/>
  <c r="AA35" i="20"/>
  <c r="AC34" i="20"/>
  <c r="AB34" i="20"/>
  <c r="AA34" i="20"/>
  <c r="AC33" i="20"/>
  <c r="AB33" i="20"/>
  <c r="AA33" i="20"/>
  <c r="AC32" i="20"/>
  <c r="AB32" i="20"/>
  <c r="AA32" i="20"/>
  <c r="AC31" i="20"/>
  <c r="AB31" i="20"/>
  <c r="AA31" i="20"/>
  <c r="AC30" i="20"/>
  <c r="AB30" i="20"/>
  <c r="AA30" i="20"/>
  <c r="AC29" i="20"/>
  <c r="AB29" i="20"/>
  <c r="AA29" i="20"/>
  <c r="AC28" i="20"/>
  <c r="AB28" i="20"/>
  <c r="AA28" i="20"/>
  <c r="AC27" i="20"/>
  <c r="AB27" i="20"/>
  <c r="AA27" i="20"/>
  <c r="AC26" i="20"/>
  <c r="AB26" i="20"/>
  <c r="AA26" i="20"/>
  <c r="AC25" i="20"/>
  <c r="AB25" i="20"/>
  <c r="AA25" i="20"/>
  <c r="AC24" i="20"/>
  <c r="AB24" i="20"/>
  <c r="AA24" i="20"/>
  <c r="AC23" i="20"/>
  <c r="AB23" i="20"/>
  <c r="AA23" i="20"/>
  <c r="AC22" i="20"/>
  <c r="AB22" i="20"/>
  <c r="AA22" i="20"/>
  <c r="AC21" i="20"/>
  <c r="AB21" i="20"/>
  <c r="AA21" i="20"/>
  <c r="AC20" i="20"/>
  <c r="AB20" i="20"/>
  <c r="AA20" i="20"/>
  <c r="AC19" i="20"/>
  <c r="AB19" i="20"/>
  <c r="AA19" i="20"/>
  <c r="AC18" i="20"/>
  <c r="AB18" i="20"/>
  <c r="AA18" i="20"/>
  <c r="AB113" i="16"/>
  <c r="AB112" i="16"/>
  <c r="AB111" i="16"/>
  <c r="AC110" i="16"/>
  <c r="AB109" i="16"/>
  <c r="AC108" i="16"/>
  <c r="AA101" i="16"/>
  <c r="AB99" i="16"/>
  <c r="AB98" i="16"/>
  <c r="AB97" i="16"/>
  <c r="AC96" i="16"/>
  <c r="AB93" i="16"/>
  <c r="AB87" i="16"/>
  <c r="AA86" i="16"/>
  <c r="AC84" i="16"/>
  <c r="AA83" i="16"/>
  <c r="AA82" i="16"/>
  <c r="AB81" i="16"/>
  <c r="AB78" i="16"/>
  <c r="AC74" i="16"/>
  <c r="AB70" i="16"/>
  <c r="AB60" i="16"/>
  <c r="AB59" i="16"/>
  <c r="AC58" i="16"/>
  <c r="AB57" i="16"/>
  <c r="AA55" i="16"/>
  <c r="AA49" i="16"/>
  <c r="AB48" i="16"/>
  <c r="AB47" i="16"/>
  <c r="AB45" i="16"/>
  <c r="AA40" i="16"/>
  <c r="AA39" i="16"/>
  <c r="AB38" i="16"/>
  <c r="AA37" i="16"/>
  <c r="AB35" i="16"/>
  <c r="AC34" i="16"/>
  <c r="AC32" i="16"/>
  <c r="AB29" i="16"/>
  <c r="AA28" i="16"/>
  <c r="AC26" i="16"/>
  <c r="AA23" i="16"/>
  <c r="AC21" i="16"/>
  <c r="AC20" i="16"/>
  <c r="AC18" i="16"/>
  <c r="AB18" i="16"/>
  <c r="AA18" i="16"/>
  <c r="B12" i="16"/>
  <c r="G8" i="2" s="1"/>
  <c r="B11" i="16"/>
  <c r="F8" i="2" s="1"/>
  <c r="B10" i="16"/>
  <c r="E8" i="2" s="1"/>
  <c r="B9" i="16"/>
  <c r="D8" i="2" s="1"/>
  <c r="AC117" i="12"/>
  <c r="AB117" i="12"/>
  <c r="AA117" i="12"/>
  <c r="AC116" i="12"/>
  <c r="AB116" i="12"/>
  <c r="AA116" i="12"/>
  <c r="AC115" i="12"/>
  <c r="AB115" i="12"/>
  <c r="AA115" i="12"/>
  <c r="AC114" i="12"/>
  <c r="AB114" i="12"/>
  <c r="AA114" i="12"/>
  <c r="AC113" i="12"/>
  <c r="AB113" i="12"/>
  <c r="AA113" i="12"/>
  <c r="AC112" i="12"/>
  <c r="AB112" i="12"/>
  <c r="AA112" i="12"/>
  <c r="AC111" i="12"/>
  <c r="AB111" i="12"/>
  <c r="AA111" i="12"/>
  <c r="AC110" i="12"/>
  <c r="AB110" i="12"/>
  <c r="AA110" i="12"/>
  <c r="AC109" i="12"/>
  <c r="AB109" i="12"/>
  <c r="AA109" i="12"/>
  <c r="AC108" i="12"/>
  <c r="AB108" i="12"/>
  <c r="AA108" i="12"/>
  <c r="AC107" i="12"/>
  <c r="AB107" i="12"/>
  <c r="AA107" i="12"/>
  <c r="AC106" i="12"/>
  <c r="AB106" i="12"/>
  <c r="AA106" i="12"/>
  <c r="AC105" i="12"/>
  <c r="AB105" i="12"/>
  <c r="AA105" i="12"/>
  <c r="AC104" i="12"/>
  <c r="AB104" i="12"/>
  <c r="AA104" i="12"/>
  <c r="AC103" i="12"/>
  <c r="AB103" i="12"/>
  <c r="AA103" i="12"/>
  <c r="AC102" i="12"/>
  <c r="AB102" i="12"/>
  <c r="AA102" i="12"/>
  <c r="AC101" i="12"/>
  <c r="AB101" i="12"/>
  <c r="AA101" i="12"/>
  <c r="AC100" i="12"/>
  <c r="AB100" i="12"/>
  <c r="AA100" i="12"/>
  <c r="AC99" i="12"/>
  <c r="AB99" i="12"/>
  <c r="AA99" i="12"/>
  <c r="AC98" i="12"/>
  <c r="AB98" i="12"/>
  <c r="AA98" i="12"/>
  <c r="AC97" i="12"/>
  <c r="AB97" i="12"/>
  <c r="AA97" i="12"/>
  <c r="AC96" i="12"/>
  <c r="AB96" i="12"/>
  <c r="AA96" i="12"/>
  <c r="AC95" i="12"/>
  <c r="AB95" i="12"/>
  <c r="AA95" i="12"/>
  <c r="AC94" i="12"/>
  <c r="AB94" i="12"/>
  <c r="AA94" i="12"/>
  <c r="AC93" i="12"/>
  <c r="AB93" i="12"/>
  <c r="AA93" i="12"/>
  <c r="AC92" i="12"/>
  <c r="AB92" i="12"/>
  <c r="AA92" i="12"/>
  <c r="AC91" i="12"/>
  <c r="AB91" i="12"/>
  <c r="AA91" i="12"/>
  <c r="AC90" i="12"/>
  <c r="AB90" i="12"/>
  <c r="AA90" i="12"/>
  <c r="AC89" i="12"/>
  <c r="AB89" i="12"/>
  <c r="AA89" i="12"/>
  <c r="AC88" i="12"/>
  <c r="AB88" i="12"/>
  <c r="AA88" i="12"/>
  <c r="AC87" i="12"/>
  <c r="AB87" i="12"/>
  <c r="AA87" i="12"/>
  <c r="AC86" i="12"/>
  <c r="AB86" i="12"/>
  <c r="AA86" i="12"/>
  <c r="AC85" i="12"/>
  <c r="AB85" i="12"/>
  <c r="AA85" i="12"/>
  <c r="AC84" i="12"/>
  <c r="AB84" i="12"/>
  <c r="AA84" i="12"/>
  <c r="AC83" i="12"/>
  <c r="AB83" i="12"/>
  <c r="AA83" i="12"/>
  <c r="AC82" i="12"/>
  <c r="AB82" i="12"/>
  <c r="AA82" i="12"/>
  <c r="AC81" i="12"/>
  <c r="AB81" i="12"/>
  <c r="AA81" i="12"/>
  <c r="AC80" i="12"/>
  <c r="AB80" i="12"/>
  <c r="AA80" i="12"/>
  <c r="AC79" i="12"/>
  <c r="AB79" i="12"/>
  <c r="AA79" i="12"/>
  <c r="AC78" i="12"/>
  <c r="AB78" i="12"/>
  <c r="AA78" i="12"/>
  <c r="AC77" i="12"/>
  <c r="AB77" i="12"/>
  <c r="AA77" i="12"/>
  <c r="AC76" i="12"/>
  <c r="AB76" i="12"/>
  <c r="AA76" i="12"/>
  <c r="AC75" i="12"/>
  <c r="AB75" i="12"/>
  <c r="AA75" i="12"/>
  <c r="AC74" i="12"/>
  <c r="AB74" i="12"/>
  <c r="AA74" i="12"/>
  <c r="AC73" i="12"/>
  <c r="AB73" i="12"/>
  <c r="AA73" i="12"/>
  <c r="AC72" i="12"/>
  <c r="AB72" i="12"/>
  <c r="AA72" i="12"/>
  <c r="AC71" i="12"/>
  <c r="AB71" i="12"/>
  <c r="AA71" i="12"/>
  <c r="AC70" i="12"/>
  <c r="AB70" i="12"/>
  <c r="AA70" i="12"/>
  <c r="AC69" i="12"/>
  <c r="AB69" i="12"/>
  <c r="AA69" i="12"/>
  <c r="AC68" i="12"/>
  <c r="AB68" i="12"/>
  <c r="AA68" i="12"/>
  <c r="AC67" i="12"/>
  <c r="AB67" i="12"/>
  <c r="AA67" i="12"/>
  <c r="AC66" i="12"/>
  <c r="AB66" i="12"/>
  <c r="AA66" i="12"/>
  <c r="AC65" i="12"/>
  <c r="AB65" i="12"/>
  <c r="AA65" i="12"/>
  <c r="AC64" i="12"/>
  <c r="AB64" i="12"/>
  <c r="AA64" i="12"/>
  <c r="AC63" i="12"/>
  <c r="AB63" i="12"/>
  <c r="AA63" i="12"/>
  <c r="AC62" i="12"/>
  <c r="AB62" i="12"/>
  <c r="AA62" i="12"/>
  <c r="AC61" i="12"/>
  <c r="AB61" i="12"/>
  <c r="AA61" i="12"/>
  <c r="AC60" i="12"/>
  <c r="AB60" i="12"/>
  <c r="AA60" i="12"/>
  <c r="AC59" i="12"/>
  <c r="AB59" i="12"/>
  <c r="AA59" i="12"/>
  <c r="AC58" i="12"/>
  <c r="AB58" i="12"/>
  <c r="AA58" i="12"/>
  <c r="AC57" i="12"/>
  <c r="AB57" i="12"/>
  <c r="AA57" i="12"/>
  <c r="AC56" i="12"/>
  <c r="AB56" i="12"/>
  <c r="AA56" i="12"/>
  <c r="AC55" i="12"/>
  <c r="AB55" i="12"/>
  <c r="AA55" i="12"/>
  <c r="AC54" i="12"/>
  <c r="AB54" i="12"/>
  <c r="AA54" i="12"/>
  <c r="AC53" i="12"/>
  <c r="AB53" i="12"/>
  <c r="AA53" i="12"/>
  <c r="AC52" i="12"/>
  <c r="AB52" i="12"/>
  <c r="AA52" i="12"/>
  <c r="AC51" i="12"/>
  <c r="AB51" i="12"/>
  <c r="AA51" i="12"/>
  <c r="AC50" i="12"/>
  <c r="AB50" i="12"/>
  <c r="AA50" i="12"/>
  <c r="AC49" i="12"/>
  <c r="AB49" i="12"/>
  <c r="AA49" i="12"/>
  <c r="AC48" i="12"/>
  <c r="AB48" i="12"/>
  <c r="AA48" i="12"/>
  <c r="AC47" i="12"/>
  <c r="AB47" i="12"/>
  <c r="AA47" i="12"/>
  <c r="AC46" i="12"/>
  <c r="AB46" i="12"/>
  <c r="AA46" i="12"/>
  <c r="AC45" i="12"/>
  <c r="AB45" i="12"/>
  <c r="AA45" i="12"/>
  <c r="AC44" i="12"/>
  <c r="AB44" i="12"/>
  <c r="AA44" i="12"/>
  <c r="AC43" i="12"/>
  <c r="AB43" i="12"/>
  <c r="AA43" i="12"/>
  <c r="AC42" i="12"/>
  <c r="AB42" i="12"/>
  <c r="AA42" i="12"/>
  <c r="AC41" i="12"/>
  <c r="AB41" i="12"/>
  <c r="AA41" i="12"/>
  <c r="AC40" i="12"/>
  <c r="AB40" i="12"/>
  <c r="AA40" i="12"/>
  <c r="AC39" i="12"/>
  <c r="AB39" i="12"/>
  <c r="AA39" i="12"/>
  <c r="AC38" i="12"/>
  <c r="AB38" i="12"/>
  <c r="AA38" i="12"/>
  <c r="AC37" i="12"/>
  <c r="AB37" i="12"/>
  <c r="AA37" i="12"/>
  <c r="AC36" i="12"/>
  <c r="AB36" i="12"/>
  <c r="AA36" i="12"/>
  <c r="AC35" i="12"/>
  <c r="AB35" i="12"/>
  <c r="AA35" i="12"/>
  <c r="AC34" i="12"/>
  <c r="AB34" i="12"/>
  <c r="AA34" i="12"/>
  <c r="AB117" i="4"/>
  <c r="AC116" i="4"/>
  <c r="AB114" i="4"/>
  <c r="AC112" i="4"/>
  <c r="AC111" i="4"/>
  <c r="AB109" i="4"/>
  <c r="AC107" i="4"/>
  <c r="AB106" i="4"/>
  <c r="AB104" i="4"/>
  <c r="AC103" i="4"/>
  <c r="AA103" i="4"/>
  <c r="AB102" i="4"/>
  <c r="AC101" i="4"/>
  <c r="AA101" i="4"/>
  <c r="AC100" i="4"/>
  <c r="AC99" i="4"/>
  <c r="AB97" i="4"/>
  <c r="AB95" i="4"/>
  <c r="AC94" i="4"/>
  <c r="AB92" i="4"/>
  <c r="AB90" i="4"/>
  <c r="AA90" i="4"/>
  <c r="AB89" i="4"/>
  <c r="AC88" i="4"/>
  <c r="AB85" i="4"/>
  <c r="AA83" i="4"/>
  <c r="AC82" i="4"/>
  <c r="AB81" i="4"/>
  <c r="AC80" i="4"/>
  <c r="AB79" i="4"/>
  <c r="AA79" i="4"/>
  <c r="AB78" i="4"/>
  <c r="AB76" i="4"/>
  <c r="AA76" i="4"/>
  <c r="AC75" i="4"/>
  <c r="AC74" i="4"/>
  <c r="AC73" i="4"/>
  <c r="AC72" i="4"/>
  <c r="AC71" i="4"/>
  <c r="AA71" i="4"/>
  <c r="AC70" i="4"/>
  <c r="AA70" i="4"/>
  <c r="AB69" i="4"/>
  <c r="AC67" i="4"/>
  <c r="AC66" i="4"/>
  <c r="AC65" i="4"/>
  <c r="AA64" i="4"/>
  <c r="AB63" i="4"/>
  <c r="AA63" i="4"/>
  <c r="AB62" i="4"/>
  <c r="AC32" i="12"/>
  <c r="AB32" i="12"/>
  <c r="AA32" i="12"/>
  <c r="AC31" i="12"/>
  <c r="AB31" i="12"/>
  <c r="AA31" i="12"/>
  <c r="AC30" i="12"/>
  <c r="AB30" i="12"/>
  <c r="AA30" i="12"/>
  <c r="AC29" i="12"/>
  <c r="AB29" i="12"/>
  <c r="AA29" i="12"/>
  <c r="AC28" i="12"/>
  <c r="AB28" i="12"/>
  <c r="AA28" i="12"/>
  <c r="AC27" i="12"/>
  <c r="AB27" i="12"/>
  <c r="AA27" i="12"/>
  <c r="AC26" i="12"/>
  <c r="AB26" i="12"/>
  <c r="AA26" i="12"/>
  <c r="AC25" i="12"/>
  <c r="AB25" i="12"/>
  <c r="AA25" i="12"/>
  <c r="AC24" i="12"/>
  <c r="AB24" i="12"/>
  <c r="AA24" i="12"/>
  <c r="AC23" i="12"/>
  <c r="AB23" i="12"/>
  <c r="AA23" i="12"/>
  <c r="AC22" i="12"/>
  <c r="AB22" i="12"/>
  <c r="AA22" i="12"/>
  <c r="AC21" i="12"/>
  <c r="AB21" i="12"/>
  <c r="AA21" i="12"/>
  <c r="AC20" i="12"/>
  <c r="AB20" i="12"/>
  <c r="AA20" i="12"/>
  <c r="AC19" i="12"/>
  <c r="AB19" i="12"/>
  <c r="AA19" i="12"/>
  <c r="AC18" i="12"/>
  <c r="AB18" i="12"/>
  <c r="AA18" i="12"/>
  <c r="B12" i="12"/>
  <c r="G7" i="2" s="1"/>
  <c r="B11" i="12"/>
  <c r="F7" i="2" s="1"/>
  <c r="B10" i="12"/>
  <c r="E7" i="2" s="1"/>
  <c r="B9" i="12"/>
  <c r="D7" i="2" s="1"/>
  <c r="B10" i="9"/>
  <c r="AC117" i="8"/>
  <c r="AB117" i="8"/>
  <c r="AA117" i="8"/>
  <c r="AC116" i="8"/>
  <c r="AB116" i="8"/>
  <c r="AA116" i="8"/>
  <c r="AC115" i="8"/>
  <c r="AB115" i="8"/>
  <c r="AA115" i="8"/>
  <c r="AC114" i="8"/>
  <c r="AB114" i="8"/>
  <c r="AA114" i="8"/>
  <c r="AC113" i="8"/>
  <c r="AB113" i="8"/>
  <c r="AA113" i="8"/>
  <c r="AC112" i="8"/>
  <c r="AB112" i="8"/>
  <c r="AA112" i="8"/>
  <c r="AC111" i="8"/>
  <c r="AB111" i="8"/>
  <c r="AA111" i="8"/>
  <c r="AC110" i="8"/>
  <c r="AB110" i="8"/>
  <c r="AA110" i="8"/>
  <c r="AC109" i="8"/>
  <c r="AB109" i="8"/>
  <c r="AA109" i="8"/>
  <c r="AC108" i="8"/>
  <c r="AB108" i="8"/>
  <c r="AA108" i="8"/>
  <c r="AC107" i="8"/>
  <c r="AB107" i="8"/>
  <c r="AA107" i="8"/>
  <c r="AC106" i="8"/>
  <c r="AB106" i="8"/>
  <c r="AA106" i="8"/>
  <c r="AC105" i="8"/>
  <c r="AB105" i="8"/>
  <c r="AA105" i="8"/>
  <c r="AC104" i="8"/>
  <c r="AB104" i="8"/>
  <c r="AA104" i="8"/>
  <c r="AC103" i="8"/>
  <c r="AB103" i="8"/>
  <c r="AA103" i="8"/>
  <c r="AC102" i="8"/>
  <c r="AB102" i="8"/>
  <c r="AA102" i="8"/>
  <c r="AC101" i="8"/>
  <c r="AB101" i="8"/>
  <c r="AA101" i="8"/>
  <c r="AC100" i="8"/>
  <c r="AB100" i="8"/>
  <c r="AA100" i="8"/>
  <c r="AC99" i="8"/>
  <c r="AB99" i="8"/>
  <c r="AA99" i="8"/>
  <c r="AC98" i="8"/>
  <c r="AB98" i="8"/>
  <c r="AA98" i="8"/>
  <c r="AC97" i="8"/>
  <c r="AB97" i="8"/>
  <c r="AA97" i="8"/>
  <c r="AC96" i="8"/>
  <c r="AB96" i="8"/>
  <c r="AA96" i="8"/>
  <c r="AC95" i="8"/>
  <c r="AB95" i="8"/>
  <c r="AA95" i="8"/>
  <c r="AC94" i="8"/>
  <c r="AB94" i="8"/>
  <c r="AA94" i="8"/>
  <c r="AC93" i="8"/>
  <c r="AB93" i="8"/>
  <c r="AA93" i="8"/>
  <c r="AC92" i="8"/>
  <c r="AB92" i="8"/>
  <c r="AA92" i="8"/>
  <c r="AC91" i="8"/>
  <c r="AB91" i="8"/>
  <c r="AA91" i="8"/>
  <c r="AC90" i="8"/>
  <c r="AB90" i="8"/>
  <c r="AA90" i="8"/>
  <c r="AC89" i="8"/>
  <c r="AB89" i="8"/>
  <c r="AA89" i="8"/>
  <c r="AC88" i="8"/>
  <c r="AB88" i="8"/>
  <c r="AA88" i="8"/>
  <c r="AC87" i="8"/>
  <c r="AB87" i="8"/>
  <c r="AA87" i="8"/>
  <c r="AC86" i="8"/>
  <c r="AB86" i="8"/>
  <c r="AA86" i="8"/>
  <c r="AC85" i="8"/>
  <c r="AB85" i="8"/>
  <c r="AA85" i="8"/>
  <c r="AC84" i="8"/>
  <c r="AB84" i="8"/>
  <c r="AA84" i="8"/>
  <c r="AC83" i="8"/>
  <c r="AB83" i="8"/>
  <c r="AA83" i="8"/>
  <c r="AC82" i="8"/>
  <c r="AB82" i="8"/>
  <c r="AA82" i="8"/>
  <c r="AC81" i="8"/>
  <c r="AB81" i="8"/>
  <c r="AA81" i="8"/>
  <c r="AC80" i="8"/>
  <c r="AB80" i="8"/>
  <c r="AA80" i="8"/>
  <c r="AC79" i="8"/>
  <c r="AB79" i="8"/>
  <c r="AA79" i="8"/>
  <c r="AC78" i="8"/>
  <c r="AB78" i="8"/>
  <c r="AA78" i="8"/>
  <c r="AC77" i="8"/>
  <c r="AB77" i="8"/>
  <c r="AA77" i="8"/>
  <c r="AC76" i="8"/>
  <c r="AB76" i="8"/>
  <c r="AA76" i="8"/>
  <c r="AC75" i="8"/>
  <c r="AB75" i="8"/>
  <c r="AA75" i="8"/>
  <c r="AC74" i="8"/>
  <c r="AB74" i="8"/>
  <c r="AA74" i="8"/>
  <c r="AC73" i="8"/>
  <c r="AB73" i="8"/>
  <c r="AA73" i="8"/>
  <c r="AC72" i="8"/>
  <c r="AB72" i="8"/>
  <c r="AA72" i="8"/>
  <c r="AC71" i="8"/>
  <c r="AB71" i="8"/>
  <c r="AA71" i="8"/>
  <c r="AC70" i="8"/>
  <c r="AB70" i="8"/>
  <c r="AA70" i="8"/>
  <c r="AC69" i="8"/>
  <c r="AB69" i="8"/>
  <c r="AA69" i="8"/>
  <c r="AC68" i="8"/>
  <c r="AB68" i="8"/>
  <c r="AA68" i="8"/>
  <c r="AC67" i="8"/>
  <c r="AB67" i="8"/>
  <c r="AA67" i="8"/>
  <c r="AC66" i="8"/>
  <c r="AB66" i="8"/>
  <c r="AA66" i="8"/>
  <c r="AC65" i="8"/>
  <c r="AB65" i="8"/>
  <c r="AA65" i="8"/>
  <c r="AC64" i="8"/>
  <c r="AB64" i="8"/>
  <c r="AA64" i="8"/>
  <c r="AC63" i="8"/>
  <c r="AB63" i="8"/>
  <c r="AA63" i="8"/>
  <c r="AC62" i="8"/>
  <c r="AB62" i="8"/>
  <c r="AA62" i="8"/>
  <c r="AC61" i="8"/>
  <c r="AB61" i="8"/>
  <c r="AA61" i="8"/>
  <c r="AC60" i="8"/>
  <c r="AB60" i="8"/>
  <c r="AA60" i="8"/>
  <c r="AC59" i="8"/>
  <c r="AB59" i="8"/>
  <c r="AA59" i="8"/>
  <c r="AC58" i="8"/>
  <c r="AB58" i="8"/>
  <c r="AA58" i="8"/>
  <c r="AC57" i="8"/>
  <c r="AB57" i="8"/>
  <c r="AA57" i="8"/>
  <c r="AC56" i="8"/>
  <c r="AB56" i="8"/>
  <c r="AA56" i="8"/>
  <c r="AC55" i="8"/>
  <c r="AB55" i="8"/>
  <c r="AA55" i="8"/>
  <c r="AC54" i="8"/>
  <c r="AB54" i="8"/>
  <c r="AA54" i="8"/>
  <c r="AC53" i="8"/>
  <c r="AB53" i="8"/>
  <c r="AA53" i="8"/>
  <c r="AC52" i="8"/>
  <c r="AB52" i="8"/>
  <c r="AA52" i="8"/>
  <c r="AC51" i="8"/>
  <c r="AB51" i="8"/>
  <c r="AA51" i="8"/>
  <c r="AC50" i="8"/>
  <c r="AB50" i="8"/>
  <c r="AA50" i="8"/>
  <c r="AC49" i="8"/>
  <c r="AB49" i="8"/>
  <c r="AA49" i="8"/>
  <c r="AC48" i="8"/>
  <c r="AB48" i="8"/>
  <c r="AA48" i="8"/>
  <c r="AC18" i="8"/>
  <c r="AA18" i="8"/>
  <c r="AB115" i="4"/>
  <c r="AA115" i="4"/>
  <c r="AC114" i="4"/>
  <c r="AA114" i="4"/>
  <c r="AC113" i="4"/>
  <c r="AB113" i="4"/>
  <c r="AA113" i="4"/>
  <c r="AB112" i="4"/>
  <c r="AA112" i="4"/>
  <c r="AC110" i="4"/>
  <c r="AB108" i="4"/>
  <c r="AA108" i="4"/>
  <c r="AA107" i="4"/>
  <c r="AC106" i="4"/>
  <c r="AA106" i="4"/>
  <c r="AC105" i="4"/>
  <c r="AA105" i="4"/>
  <c r="AC102" i="4"/>
  <c r="AA102" i="4"/>
  <c r="AB100" i="4"/>
  <c r="AA100" i="4"/>
  <c r="AC98" i="4"/>
  <c r="AA98" i="4"/>
  <c r="AC97" i="4"/>
  <c r="AA97" i="4"/>
  <c r="AB96" i="4"/>
  <c r="AA96" i="4"/>
  <c r="AA95" i="4"/>
  <c r="AC93" i="4"/>
  <c r="AA93" i="4"/>
  <c r="AB91" i="4"/>
  <c r="AA91" i="4"/>
  <c r="AC89" i="4"/>
  <c r="AA89" i="4"/>
  <c r="AB87" i="4"/>
  <c r="AA87" i="4"/>
  <c r="AB86" i="4"/>
  <c r="AA86" i="4"/>
  <c r="AA85" i="4"/>
  <c r="AB84" i="4"/>
  <c r="AA84" i="4"/>
  <c r="AC83" i="4"/>
  <c r="AB83" i="4"/>
  <c r="AA82" i="4"/>
  <c r="AA81" i="4"/>
  <c r="AB80" i="4"/>
  <c r="AA80" i="4"/>
  <c r="AC78" i="4"/>
  <c r="AA78" i="4"/>
  <c r="AC77" i="4"/>
  <c r="AA77" i="4"/>
  <c r="AB75" i="4"/>
  <c r="AA75" i="4"/>
  <c r="AA74" i="4"/>
  <c r="AA73" i="4"/>
  <c r="AB72" i="4"/>
  <c r="AA72" i="4"/>
  <c r="AC69" i="4"/>
  <c r="AA69" i="4"/>
  <c r="AC68" i="4"/>
  <c r="AA68" i="4"/>
  <c r="AA65" i="4"/>
  <c r="AB64" i="4"/>
  <c r="AC62" i="4"/>
  <c r="AA62" i="4"/>
  <c r="AB47" i="8"/>
  <c r="AA47" i="8"/>
  <c r="AC46" i="8"/>
  <c r="AB46" i="8"/>
  <c r="AA46" i="8"/>
  <c r="AC45" i="8"/>
  <c r="AB45" i="8"/>
  <c r="AA45" i="8"/>
  <c r="AC44" i="8"/>
  <c r="AB44" i="8"/>
  <c r="AA44" i="8"/>
  <c r="AC43" i="8"/>
  <c r="AB43" i="8"/>
  <c r="AA43" i="8"/>
  <c r="AC42" i="8"/>
  <c r="AB42" i="8"/>
  <c r="AA42" i="8"/>
  <c r="AC41" i="8"/>
  <c r="AB41" i="8"/>
  <c r="AA41" i="8"/>
  <c r="AC40" i="8"/>
  <c r="AB40" i="8"/>
  <c r="AA40" i="8"/>
  <c r="AC39" i="8"/>
  <c r="AB39" i="8"/>
  <c r="AA39" i="8"/>
  <c r="AC38" i="8"/>
  <c r="AB38" i="8"/>
  <c r="AA38" i="8"/>
  <c r="AC37" i="8"/>
  <c r="AB37" i="8"/>
  <c r="AA37" i="8"/>
  <c r="AC36" i="8"/>
  <c r="AB36" i="8"/>
  <c r="AA36" i="8"/>
  <c r="AC35" i="8"/>
  <c r="AB35" i="8"/>
  <c r="AA35" i="8"/>
  <c r="AC34" i="8"/>
  <c r="AB34" i="8"/>
  <c r="AA34" i="8"/>
  <c r="AC33" i="8"/>
  <c r="AB33" i="8"/>
  <c r="AA33" i="8"/>
  <c r="AC32" i="8"/>
  <c r="AB32" i="8"/>
  <c r="AA32" i="8"/>
  <c r="AC31" i="8"/>
  <c r="AB31" i="8"/>
  <c r="AA31" i="8"/>
  <c r="AC30" i="8"/>
  <c r="AB30" i="8"/>
  <c r="AA30" i="8"/>
  <c r="AC29" i="8"/>
  <c r="AB29" i="8"/>
  <c r="AA29" i="8"/>
  <c r="AC28" i="8"/>
  <c r="AB28" i="8"/>
  <c r="AA28" i="8"/>
  <c r="AC27" i="8"/>
  <c r="AB27" i="8"/>
  <c r="AA27" i="8"/>
  <c r="AC26" i="8"/>
  <c r="AB26" i="8"/>
  <c r="AA26" i="8"/>
  <c r="AC25" i="8"/>
  <c r="AB25" i="8"/>
  <c r="AA25" i="8"/>
  <c r="AC24" i="8"/>
  <c r="AB24" i="8"/>
  <c r="AA24" i="8"/>
  <c r="AC23" i="8"/>
  <c r="AB23" i="8"/>
  <c r="AA23" i="8"/>
  <c r="AC22" i="8"/>
  <c r="AB22" i="8"/>
  <c r="AA22" i="8"/>
  <c r="AC21" i="8"/>
  <c r="AB21" i="8"/>
  <c r="AA21" i="8"/>
  <c r="AC20" i="8"/>
  <c r="AB20" i="8"/>
  <c r="AA20" i="8"/>
  <c r="AC19" i="8"/>
  <c r="AB19" i="8"/>
  <c r="AA19" i="8"/>
  <c r="AB18" i="8"/>
  <c r="AC117" i="4"/>
  <c r="AA117" i="4"/>
  <c r="AB116" i="4"/>
  <c r="AA116" i="4"/>
  <c r="AC115" i="4"/>
  <c r="AB111" i="4"/>
  <c r="AA111" i="4"/>
  <c r="AB110" i="4"/>
  <c r="AA110" i="4"/>
  <c r="AC109" i="4"/>
  <c r="AA109" i="4"/>
  <c r="AC108" i="4"/>
  <c r="AB107" i="4"/>
  <c r="AB105" i="4"/>
  <c r="AC104" i="4"/>
  <c r="AA104" i="4"/>
  <c r="AB103" i="4"/>
  <c r="AB101" i="4"/>
  <c r="AB99" i="4"/>
  <c r="AA99" i="4"/>
  <c r="AB98" i="4"/>
  <c r="AC96" i="4"/>
  <c r="AC95" i="4"/>
  <c r="AB94" i="4"/>
  <c r="AA94" i="4"/>
  <c r="AB93" i="4"/>
  <c r="AC92" i="4"/>
  <c r="AA92" i="4"/>
  <c r="AC91" i="4"/>
  <c r="AC90" i="4"/>
  <c r="AB88" i="4"/>
  <c r="AA88" i="4"/>
  <c r="AC87" i="4"/>
  <c r="AC86" i="4"/>
  <c r="AC85" i="4"/>
  <c r="AC84" i="4"/>
  <c r="AB82" i="4"/>
  <c r="AC81" i="4"/>
  <c r="AC79" i="4"/>
  <c r="AB77" i="4"/>
  <c r="AC76" i="4"/>
  <c r="AB74" i="4"/>
  <c r="AB73" i="4"/>
  <c r="AB71" i="4"/>
  <c r="AB70" i="4"/>
  <c r="AB68" i="4"/>
  <c r="AB67" i="4"/>
  <c r="AA67" i="4"/>
  <c r="AB66" i="4"/>
  <c r="AA66" i="4"/>
  <c r="AB65" i="4"/>
  <c r="AC64" i="4"/>
  <c r="AC63" i="4"/>
  <c r="AC61" i="4"/>
  <c r="AB61" i="4"/>
  <c r="AA61" i="4"/>
  <c r="AC60" i="4"/>
  <c r="AB60" i="4"/>
  <c r="AA60" i="4"/>
  <c r="AC59" i="4"/>
  <c r="AB59" i="4"/>
  <c r="AA59" i="4"/>
  <c r="AC58" i="4"/>
  <c r="AB58" i="4"/>
  <c r="AA58" i="4"/>
  <c r="AC57" i="4"/>
  <c r="AB57" i="4"/>
  <c r="AA57" i="4"/>
  <c r="AC56" i="4"/>
  <c r="AB56" i="4"/>
  <c r="AA56" i="4"/>
  <c r="AC55" i="4"/>
  <c r="AB55" i="4"/>
  <c r="AA55" i="4"/>
  <c r="AC54" i="4"/>
  <c r="AB54" i="4"/>
  <c r="AA54" i="4"/>
  <c r="AC53" i="4"/>
  <c r="AB53" i="4"/>
  <c r="AA53" i="4"/>
  <c r="AC52" i="4"/>
  <c r="AB52" i="4"/>
  <c r="AA52" i="4"/>
  <c r="AC51" i="4"/>
  <c r="AB51" i="4"/>
  <c r="AA51" i="4"/>
  <c r="AC50" i="4"/>
  <c r="AB50" i="4"/>
  <c r="AA50" i="4"/>
  <c r="AC49" i="4"/>
  <c r="AB49" i="4"/>
  <c r="AA49" i="4"/>
  <c r="AC48" i="4"/>
  <c r="AB48" i="4"/>
  <c r="AA48" i="4"/>
  <c r="AC47" i="4"/>
  <c r="AB47" i="4"/>
  <c r="AA47" i="4"/>
  <c r="AC46" i="4"/>
  <c r="AB46" i="4"/>
  <c r="AA46" i="4"/>
  <c r="AC45" i="4"/>
  <c r="AB45" i="4"/>
  <c r="AA45" i="4"/>
  <c r="AC44" i="4"/>
  <c r="AB44" i="4"/>
  <c r="AA44" i="4"/>
  <c r="AC43" i="4"/>
  <c r="AB43" i="4"/>
  <c r="AA43" i="4"/>
  <c r="AC42" i="4"/>
  <c r="AB42" i="4"/>
  <c r="AA42" i="4"/>
  <c r="AC41" i="4"/>
  <c r="AB41" i="4"/>
  <c r="AA41" i="4"/>
  <c r="AC40" i="4"/>
  <c r="AB40" i="4"/>
  <c r="AA40" i="4"/>
  <c r="AC39" i="4"/>
  <c r="AB39" i="4"/>
  <c r="AA39" i="4"/>
  <c r="AC38" i="4"/>
  <c r="AB38" i="4"/>
  <c r="AA38" i="4"/>
  <c r="AC37" i="4"/>
  <c r="AB37" i="4"/>
  <c r="AA37" i="4"/>
  <c r="AC36" i="4"/>
  <c r="AB36" i="4"/>
  <c r="AA36" i="4"/>
  <c r="AC35" i="4"/>
  <c r="AB35" i="4"/>
  <c r="AA35" i="4"/>
  <c r="AC34" i="4"/>
  <c r="AB34" i="4"/>
  <c r="AA34" i="4"/>
  <c r="AC33" i="4"/>
  <c r="AB33" i="4"/>
  <c r="AA33" i="4"/>
  <c r="AC32" i="4"/>
  <c r="AB32" i="4"/>
  <c r="AA32" i="4"/>
  <c r="AC31" i="4"/>
  <c r="AB31" i="4"/>
  <c r="AA31" i="4"/>
  <c r="AC30" i="4"/>
  <c r="AB30" i="4"/>
  <c r="AA30" i="4"/>
  <c r="AC29" i="4"/>
  <c r="AB29" i="4"/>
  <c r="AA29" i="4"/>
  <c r="AC28" i="4"/>
  <c r="AB28" i="4"/>
  <c r="AA28" i="4"/>
  <c r="AC27" i="4"/>
  <c r="AB27" i="4"/>
  <c r="AA27" i="4"/>
  <c r="AC26" i="4"/>
  <c r="AB26" i="4"/>
  <c r="AA26" i="4"/>
  <c r="AC25" i="4"/>
  <c r="AB25" i="4"/>
  <c r="AA25" i="4"/>
  <c r="AC24" i="4"/>
  <c r="AB24" i="4"/>
  <c r="AA24" i="4"/>
  <c r="AC23" i="4"/>
  <c r="AB23" i="4"/>
  <c r="AA23" i="4"/>
  <c r="AC22" i="4"/>
  <c r="AB22" i="4"/>
  <c r="AA22" i="4"/>
  <c r="AC21" i="4"/>
  <c r="AB21" i="4"/>
  <c r="AA21" i="4"/>
  <c r="AC20" i="4"/>
  <c r="AB20" i="4"/>
  <c r="AA20" i="4"/>
  <c r="AC19" i="4"/>
  <c r="AB19" i="4"/>
  <c r="AA19" i="4"/>
  <c r="AC18" i="4"/>
  <c r="AB18" i="4"/>
  <c r="AA18" i="4"/>
  <c r="B12" i="4"/>
  <c r="G5" i="2" s="1"/>
  <c r="B11" i="4"/>
  <c r="F5" i="2" s="1"/>
  <c r="B10" i="4"/>
  <c r="E5" i="2" s="1"/>
  <c r="B9" i="4"/>
  <c r="D5" i="2" s="1"/>
  <c r="H15" i="2"/>
  <c r="C15" i="2"/>
  <c r="H13" i="2"/>
  <c r="C13" i="2"/>
  <c r="H12" i="2"/>
  <c r="C12" i="2"/>
  <c r="H11" i="2"/>
  <c r="G11" i="2"/>
  <c r="F11" i="2"/>
  <c r="E11" i="2"/>
  <c r="D11" i="2"/>
  <c r="C11" i="2"/>
  <c r="H10" i="2"/>
  <c r="C10" i="2"/>
  <c r="H9" i="2"/>
  <c r="G9" i="2"/>
  <c r="F9" i="2"/>
  <c r="E9" i="2"/>
  <c r="D9" i="2"/>
  <c r="C9" i="2"/>
  <c r="H6" i="2"/>
  <c r="C6" i="2"/>
  <c r="B10" i="17" l="1"/>
  <c r="B10" i="33"/>
  <c r="G12" i="2"/>
  <c r="E12" i="2"/>
  <c r="D12" i="2"/>
  <c r="B10" i="29"/>
  <c r="B10" i="26"/>
  <c r="B10" i="19"/>
  <c r="B10" i="6"/>
  <c r="B10" i="5"/>
  <c r="B10" i="7"/>
  <c r="F12" i="2"/>
  <c r="B10" i="35"/>
  <c r="B10" i="23"/>
  <c r="B10" i="15"/>
  <c r="B10" i="14"/>
  <c r="B10" i="13"/>
  <c r="L5" i="2"/>
  <c r="B10" i="39"/>
  <c r="B10" i="22"/>
  <c r="B10" i="11"/>
  <c r="B10" i="10"/>
  <c r="L14" i="2"/>
  <c r="B10" i="27"/>
  <c r="B10" i="31"/>
  <c r="L7" i="2"/>
  <c r="G6" i="2"/>
  <c r="F6" i="2"/>
  <c r="E6" i="2"/>
  <c r="D6" i="2"/>
  <c r="H18" i="2"/>
  <c r="C18" i="2"/>
  <c r="L16" i="2"/>
  <c r="M16" i="2" s="1"/>
  <c r="L15" i="2"/>
  <c r="M15" i="2" s="1"/>
  <c r="L13" i="2"/>
  <c r="M13" i="2" s="1"/>
  <c r="L11" i="2"/>
  <c r="M11" i="2" s="1"/>
  <c r="L10" i="2"/>
  <c r="M10" i="2" s="1"/>
  <c r="L9" i="2"/>
  <c r="M9" i="2" s="1"/>
  <c r="L8" i="2"/>
  <c r="M8" i="2" s="1"/>
  <c r="G18" i="2" l="1"/>
  <c r="L12" i="2"/>
  <c r="M12" i="2" s="1"/>
  <c r="F18" i="2"/>
  <c r="E18" i="2"/>
  <c r="D18" i="2"/>
  <c r="M5" i="2"/>
  <c r="M14" i="2"/>
  <c r="M7" i="2"/>
  <c r="L6" i="2"/>
  <c r="M6" i="2" s="1"/>
</calcChain>
</file>

<file path=xl/sharedStrings.xml><?xml version="1.0" encoding="utf-8"?>
<sst xmlns="http://schemas.openxmlformats.org/spreadsheetml/2006/main" count="3677" uniqueCount="392">
  <si>
    <t>Dependency Level</t>
  </si>
  <si>
    <t>Yes/No/NA</t>
  </si>
  <si>
    <t>Floor</t>
  </si>
  <si>
    <t>Evacuation Equipment</t>
  </si>
  <si>
    <t>Audit Status</t>
  </si>
  <si>
    <t>Change Trigger</t>
  </si>
  <si>
    <t>Low</t>
  </si>
  <si>
    <t>Yes</t>
  </si>
  <si>
    <t>Ground</t>
  </si>
  <si>
    <t>Walks independently</t>
  </si>
  <si>
    <t>Complete</t>
  </si>
  <si>
    <t>Fall</t>
  </si>
  <si>
    <t>Medium</t>
  </si>
  <si>
    <t>No</t>
  </si>
  <si>
    <t>First</t>
  </si>
  <si>
    <t>Walking aid</t>
  </si>
  <si>
    <t>Incomplete</t>
  </si>
  <si>
    <t>Hospital admission/return</t>
  </si>
  <si>
    <t>High</t>
  </si>
  <si>
    <t>N/A</t>
  </si>
  <si>
    <t>Wheelchair</t>
  </si>
  <si>
    <t>Overdue</t>
  </si>
  <si>
    <t>Pressure damage</t>
  </si>
  <si>
    <t>Very High</t>
  </si>
  <si>
    <t>Ski sheet / evacuation sheet</t>
  </si>
  <si>
    <t>Mobility change</t>
  </si>
  <si>
    <t>Evacuation chair</t>
  </si>
  <si>
    <t>Room move</t>
  </si>
  <si>
    <t>Hoist then evacuation equipment</t>
  </si>
  <si>
    <t>Medication change</t>
  </si>
  <si>
    <t>Bariatric equipment required</t>
  </si>
  <si>
    <t>Behaviour change</t>
  </si>
  <si>
    <t>Oxygen evacuation consideration</t>
  </si>
  <si>
    <t>End of life</t>
  </si>
  <si>
    <t>Other specialist equipment</t>
  </si>
  <si>
    <t>New equipment</t>
  </si>
  <si>
    <t>Swan Care Home - Monthly Dependency &amp; Evacuation Dashboard</t>
  </si>
  <si>
    <t>Dependency tabs now include category definitions for Low, Medium, High and Very High. Complete monthly and whenever resident needs change.</t>
  </si>
  <si>
    <t>Month</t>
  </si>
  <si>
    <t>Dependency Complete</t>
  </si>
  <si>
    <t>Residents</t>
  </si>
  <si>
    <t>Resident Changes</t>
  </si>
  <si>
    <t>PEEP Bag</t>
  </si>
  <si>
    <t>First Aid</t>
  </si>
  <si>
    <t>Emollients</t>
  </si>
  <si>
    <t>Dependency RAG</t>
  </si>
  <si>
    <t>Overall Status</t>
  </si>
  <si>
    <t>Annual Totals</t>
  </si>
  <si>
    <t>Dependency Meaning</t>
  </si>
  <si>
    <t>Summary</t>
  </si>
  <si>
    <t>Mostly independent / prompting only</t>
  </si>
  <si>
    <t>Regular support or supervision</t>
  </si>
  <si>
    <t>Two staff, hoist, wheelchair, dementia/falls risk</t>
  </si>
  <si>
    <t>Fully dependent, complex, bariatric, oxygen, EOL or specialist evacuation</t>
  </si>
  <si>
    <t>Staffing</t>
  </si>
  <si>
    <t>Usually one staff supervision only</t>
  </si>
  <si>
    <t>One staff support often required</t>
  </si>
  <si>
    <t>Two staff or frequent support likely</t>
  </si>
  <si>
    <t>Two or more staff / manager review required</t>
  </si>
  <si>
    <t>Fire Evacuation</t>
  </si>
  <si>
    <t>Walks out with direction</t>
  </si>
  <si>
    <t>Walks with aid or wheelchair with support</t>
  </si>
  <si>
    <t>Evacuation sheet/chair or two staff support likely</t>
  </si>
  <si>
    <t>Individual specialist PEEP and equipment required</t>
  </si>
  <si>
    <t>Dashboard RED</t>
  </si>
  <si>
    <t>Any incomplete monthly review/audit or any Very High resident</t>
  </si>
  <si>
    <t>Dashboard AMBER</t>
  </si>
  <si>
    <t>Any High resident or resident change requiring management review</t>
  </si>
  <si>
    <t>When to update</t>
  </si>
  <si>
    <t>Monthly and immediately after fall, hospital return, pressure damage, room move, mobility change, behaviour change, new equipment, EOL or PEEP change</t>
  </si>
  <si>
    <t>Evidence</t>
  </si>
  <si>
    <t>Keep completed monthly sheets. Do not overwrite previous months.</t>
  </si>
  <si>
    <t>Horizontal Evacuation Floor Plan Zones</t>
  </si>
  <si>
    <t>Use with each resident PEEP and dependency assessment.</t>
  </si>
  <si>
    <t>Rooms/Area</t>
  </si>
  <si>
    <t>Zone</t>
  </si>
  <si>
    <t>Primary Evacuation Route</t>
  </si>
  <si>
    <t>Horizontal Holding/Next Safe Area</t>
  </si>
  <si>
    <t>Equipment Usually Required</t>
  </si>
  <si>
    <t>Notes</t>
  </si>
  <si>
    <t>Rooms 1-7 / Sluice / Toilet 2</t>
  </si>
  <si>
    <t>Ground Zone A</t>
  </si>
  <si>
    <t>Nearest safe fire exit / conservatory route / rear exit</t>
  </si>
  <si>
    <t>Next safe compartment or external assembly point</t>
  </si>
  <si>
    <t>Walking aid, wheelchair, evacuation sheet</t>
  </si>
  <si>
    <t>Confirm for each resident in PEEP</t>
  </si>
  <si>
    <t>Rooms 8-9 / office / clinic / laundry</t>
  </si>
  <si>
    <t>Ground Zone B</t>
  </si>
  <si>
    <t>Nearest safe exit / front or side route</t>
  </si>
  <si>
    <t>Wheelchair, evacuation sheet</t>
  </si>
  <si>
    <t>Lounge / Dining / Kitchen / Conservatory</t>
  </si>
  <si>
    <t>Ground Communal Zone</t>
  </si>
  <si>
    <t>Nearest safe exit</t>
  </si>
  <si>
    <t>External assembly point then Tillingham Church if needed</t>
  </si>
  <si>
    <t>Grab bag, wheelchairs, staff support</t>
  </si>
  <si>
    <t>Keep routes clear</t>
  </si>
  <si>
    <t>Rooms 10-14 / bathroom</t>
  </si>
  <si>
    <t>First Zone C</t>
  </si>
  <si>
    <t>Main staircase route where safe</t>
  </si>
  <si>
    <t>Next safe compartment then ground floor</t>
  </si>
  <si>
    <t>Evacuation chair, ski sheet / evacuation sheet</t>
  </si>
  <si>
    <t>No lift during fire</t>
  </si>
  <si>
    <t>Rooms 15-20 / sluice / toilet</t>
  </si>
  <si>
    <t>First Zone D</t>
  </si>
  <si>
    <t>Back staircase route where safe</t>
  </si>
  <si>
    <t>January Dependency Tool - Category-Based Day/Night Assessment</t>
  </si>
  <si>
    <t>Select Low/Medium/High/Very High in each category. Overall dependency is calculated automatically. Guidance notes are included on this tab.</t>
  </si>
  <si>
    <t>Review Month</t>
  </si>
  <si>
    <t>January</t>
  </si>
  <si>
    <t>Overall Dependency Rule</t>
  </si>
  <si>
    <t>Review Date</t>
  </si>
  <si>
    <t>All/mostly low risk; prompting only; walks with direction.</t>
  </si>
  <si>
    <t>Reviewed By</t>
  </si>
  <si>
    <t>Regular one staff support, supervision, reassurance or monitoring.</t>
  </si>
  <si>
    <t>Assessment Complete?</t>
  </si>
  <si>
    <t>Two staff, hoist/wheelchair, high falls/dementia/behaviour or assisted evacuation.</t>
  </si>
  <si>
    <t>Total Residents</t>
  </si>
  <si>
    <t>Fully dependent, complex clinical/EOL/bariatric/oxygen or specialist evacuation needs.</t>
  </si>
  <si>
    <t>Residents Changed This Month</t>
  </si>
  <si>
    <t>Manager Monthly Comment</t>
  </si>
  <si>
    <t>Resident Name</t>
  </si>
  <si>
    <t>Room</t>
  </si>
  <si>
    <t>PEEP Review Date</t>
  </si>
  <si>
    <t>Assessor</t>
  </si>
  <si>
    <t>Mobility</t>
  </si>
  <si>
    <t>Transfers</t>
  </si>
  <si>
    <t>Personal Care</t>
  </si>
  <si>
    <t>Washing &amp; Dressing</t>
  </si>
  <si>
    <t>Continence</t>
  </si>
  <si>
    <t>Nutrition &amp; Hydration</t>
  </si>
  <si>
    <t>Medication</t>
  </si>
  <si>
    <t>Skin Integrity</t>
  </si>
  <si>
    <t>Falls Risk</t>
  </si>
  <si>
    <t>Behaviour</t>
  </si>
  <si>
    <t>Cognition</t>
  </si>
  <si>
    <t>Communication</t>
  </si>
  <si>
    <t>Clinical Needs</t>
  </si>
  <si>
    <t>Mental Health</t>
  </si>
  <si>
    <t>Sleep/Night Needs</t>
  </si>
  <si>
    <t>Fire Evacuation Needs</t>
  </si>
  <si>
    <t>End of Life Care</t>
  </si>
  <si>
    <t>Infection Control</t>
  </si>
  <si>
    <t>Overall Dependency</t>
  </si>
  <si>
    <t>Day Staffing Note</t>
  </si>
  <si>
    <t>Night Staffing Note</t>
  </si>
  <si>
    <t>Change This Month?</t>
  </si>
  <si>
    <t>Date of Change</t>
  </si>
  <si>
    <t>What Happened / Impact</t>
  </si>
  <si>
    <t>Actions Taken</t>
  </si>
  <si>
    <t>Care Plan Updated?</t>
  </si>
  <si>
    <t>Risk Assessment Updated?</t>
  </si>
  <si>
    <t>PEEP Updated?</t>
  </si>
  <si>
    <t>Manager Initials</t>
  </si>
  <si>
    <t>Dependency Category Guidance - use these notes when selecting the resident rating</t>
  </si>
  <si>
    <t>Category</t>
  </si>
  <si>
    <t>Walks independently; may need verbal direction only.</t>
  </si>
  <si>
    <t>Uses walking aid or requires supervision/reassurance.</t>
  </si>
  <si>
    <t>Wheelchair user or requires one/two staff physical assistance.</t>
  </si>
  <si>
    <t>Bedbound, unable to mobilise, bariatric mobility or fully dependent.</t>
  </si>
  <si>
    <t>Independent transfers safely.</t>
  </si>
  <si>
    <t>Supervision, prompt or one staff light support.</t>
  </si>
  <si>
    <t>Two staff, stand aid, rotunda or high falls risk during transfer.</t>
  </si>
  <si>
    <t>Hoist, complex transfer, bariatric or unsafe without specialist plan.</t>
  </si>
  <si>
    <t>Independent or prompting only.</t>
  </si>
  <si>
    <t>Assistance with some washing, dressing or grooming.</t>
  </si>
  <si>
    <t>Full assistance from staff for most personal care.</t>
  </si>
  <si>
    <t>Total care, two staff or complex dignity/skin risks.</t>
  </si>
  <si>
    <t>Chooses clothes and completes tasks with little/no help.</t>
  </si>
  <si>
    <t>Prompting, setup or partial assistance.</t>
  </si>
  <si>
    <t>Requires staff to complete most tasks or two staff for safety.</t>
  </si>
  <si>
    <t>Fully dependent or distressed/resistive requiring planned approach.</t>
  </si>
  <si>
    <t>Continent and manages independently.</t>
  </si>
  <si>
    <t>Prompting, pad checks or occasional assistance.</t>
  </si>
  <si>
    <t>Double incontinence, regular toileting programme or staff-led care.</t>
  </si>
  <si>
    <t>Catheter/stoma/complex continence care or total continence support.</t>
  </si>
  <si>
    <t>Eats/drinks independently; normal diet.</t>
  </si>
  <si>
    <t>Prompting, monitoring, modified diet or encouragement.</t>
  </si>
  <si>
    <t>Requires physical assistance, high choking/weight loss/dehydration risk.</t>
  </si>
  <si>
    <t>PEG, total feeding assistance, severe dysphagia or complex monitoring.</t>
  </si>
  <si>
    <t>Routine administration with no additional monitoring concerns.</t>
  </si>
  <si>
    <t>Needs prompts/standard staff administration.</t>
  </si>
  <si>
    <t>Medication requires close monitoring or affects falls/behaviour/alertness.</t>
  </si>
  <si>
    <t>Complex medicines, oxygen, syringe driver, EOL or high-risk monitoring.</t>
  </si>
  <si>
    <t>Skin intact and low risk.</t>
  </si>
  <si>
    <t>At risk; pressure care prompts or cushion/mattress checks.</t>
  </si>
  <si>
    <t>Pressure damage risk, repositioning support or wound monitoring.</t>
  </si>
  <si>
    <t>Grade 3/4 pressure damage, complex wounds or intensive repositioning.</t>
  </si>
  <si>
    <t>Low falls risk; mobilises safely.</t>
  </si>
  <si>
    <t>Moderate risk; walking aid/supervision required.</t>
  </si>
  <si>
    <t>High risk, recent falls or poor safety awareness.</t>
  </si>
  <si>
    <t>Frequent falls, unwitnessed falls risk or needs close supervision.</t>
  </si>
  <si>
    <t>No behaviour affecting care or evacuation.</t>
  </si>
  <si>
    <t>Occasional anxiety, reassurance required.</t>
  </si>
  <si>
    <t>Wandering, exit seeking, distress or resistance affecting safety.</t>
  </si>
  <si>
    <t>Severe distress/aggression/continuous supervision affecting evacuation.</t>
  </si>
  <si>
    <t>Orientated and follows instructions.</t>
  </si>
  <si>
    <t>Mild impairment; needs reminders/reassurance.</t>
  </si>
  <si>
    <t>Dementia or confusion affecting risk awareness and evacuation.</t>
  </si>
  <si>
    <t>Severe dementia/delirium; unable to follow evacuation instructions.</t>
  </si>
  <si>
    <t>Communicates needs clearly.</t>
  </si>
  <si>
    <t>Hearing/visual/language support required.</t>
  </si>
  <si>
    <t>Limited communication; staff interpret needs from signs/behaviour.</t>
  </si>
  <si>
    <t>Non-verbal or unable to communicate distress/pain/evacuation needs.</t>
  </si>
  <si>
    <t>Routine residential care only.</t>
  </si>
  <si>
    <t>Regular monitoring for stable condition.</t>
  </si>
  <si>
    <t>Complex monitoring, diabetes, oxygen risk, wounds or deterioration risk.</t>
  </si>
  <si>
    <t>End of life, oxygen dependency, unstable condition or urgent escalation risk.</t>
  </si>
  <si>
    <t>Stable mood and engagement.</t>
  </si>
  <si>
    <t>Anxiety/low mood requiring reassurance.</t>
  </si>
  <si>
    <t>Significant distress, refusal of care or increased support needs.</t>
  </si>
  <si>
    <t>High risk presentation, continuous support or specialist plan required.</t>
  </si>
  <si>
    <t>Sleeps well; minimal checks only.</t>
  </si>
  <si>
    <t>May wake and need reassurance/toileting.</t>
  </si>
  <si>
    <t>Regular night support, falls risk, wandering or continence needs.</t>
  </si>
  <si>
    <t>Frequent night intervention, high risk or two staff support at night.</t>
  </si>
  <si>
    <t>Walks to safety with instruction.</t>
  </si>
  <si>
    <t>Walks with aid or wheelchair with one staff support.</t>
  </si>
  <si>
    <t>Evacuation sheet/chair, two staff or high reassurance required.</t>
  </si>
  <si>
    <t>Specialist evacuation plan, bariatric, bedbound, oxygen or multiple staff required.</t>
  </si>
  <si>
    <t>Not applicable / no EOL needs.</t>
  </si>
  <si>
    <t>Advanced care wishes noted; no active EOL care.</t>
  </si>
  <si>
    <t>Palliative support or increasing dependency.</t>
  </si>
  <si>
    <t>Active EOL care, syringe driver, bedbound or complex comfort care.</t>
  </si>
  <si>
    <t>No additional IPC needs.</t>
  </si>
  <si>
    <t>Standard precautions or minor isolation considerations.</t>
  </si>
  <si>
    <t>Isolation/cohorting or increased PPE/cleaning needs.</t>
  </si>
  <si>
    <t>Outbreak/high transmission risk or complex IPC affecting staffing/evacuation.</t>
  </si>
  <si>
    <t>January PEEP Grab Bag Monthly Audit</t>
  </si>
  <si>
    <t>Check required quantity, actual quantity, condition and actions. Linked to dashboard.</t>
  </si>
  <si>
    <t>Checked By</t>
  </si>
  <si>
    <t>Audit Complete?</t>
  </si>
  <si>
    <t>Total Items</t>
  </si>
  <si>
    <t>Items Failed / Short</t>
  </si>
  <si>
    <t>Item</t>
  </si>
  <si>
    <t>Required Quantity</t>
  </si>
  <si>
    <t>Actual Quantity</t>
  </si>
  <si>
    <t>Condition / Currency</t>
  </si>
  <si>
    <t>Expiry Date if Applicable</t>
  </si>
  <si>
    <t>Present?</t>
  </si>
  <si>
    <t>Action Required</t>
  </si>
  <si>
    <t>Pass/Fail</t>
  </si>
  <si>
    <t>Comments</t>
  </si>
  <si>
    <t>Resident PEEP folder</t>
  </si>
  <si>
    <t>Folder present, current and accessible</t>
  </si>
  <si>
    <t>Current resident list</t>
  </si>
  <si>
    <t>All residents included</t>
  </si>
  <si>
    <t>Current dependency summary</t>
  </si>
  <si>
    <t>Matches monthly dependency sheet</t>
  </si>
  <si>
    <t>Emergency contact list</t>
  </si>
  <si>
    <t>Current family/NOK and professionals</t>
  </si>
  <si>
    <t>Floor plans - ground and first floor</t>
  </si>
  <si>
    <t>Clear routes and exits</t>
  </si>
  <si>
    <t>Horizontal evacuation plan</t>
  </si>
  <si>
    <t>Current and signed off</t>
  </si>
  <si>
    <t>Business continuity plan extract</t>
  </si>
  <si>
    <t>Emergency accommodation and transport noted</t>
  </si>
  <si>
    <t>Fire action notices</t>
  </si>
  <si>
    <t>Clear staff instruction</t>
  </si>
  <si>
    <t>Master keys</t>
  </si>
  <si>
    <t>Full set present and labelled</t>
  </si>
  <si>
    <t>Door fobs/codes list</t>
  </si>
  <si>
    <t>Working and accessible</t>
  </si>
  <si>
    <t>Walkie-talkies</t>
  </si>
  <si>
    <t>Working and charged</t>
  </si>
  <si>
    <t>Spare radio batteries/chargers</t>
  </si>
  <si>
    <t>Working</t>
  </si>
  <si>
    <t>Torch</t>
  </si>
  <si>
    <t>Spare torch batteries</t>
  </si>
  <si>
    <t>In date/working</t>
  </si>
  <si>
    <t>High visibility vests</t>
  </si>
  <si>
    <t>Available</t>
  </si>
  <si>
    <t>Foil emergency blankets</t>
  </si>
  <si>
    <t>Sealed</t>
  </si>
  <si>
    <t>Whistles</t>
  </si>
  <si>
    <t>Clipboard</t>
  </si>
  <si>
    <t>Usable</t>
  </si>
  <si>
    <t>Pens</t>
  </si>
  <si>
    <t>Permanent markers</t>
  </si>
  <si>
    <t>Resident ID bands/tags</t>
  </si>
  <si>
    <t>Blank incident forms</t>
  </si>
  <si>
    <t>CQC emergency contact details</t>
  </si>
  <si>
    <t>Current</t>
  </si>
  <si>
    <t>Local authority contact details</t>
  </si>
  <si>
    <t>Utility emergency numbers</t>
  </si>
  <si>
    <t>Medication list / MAR summary</t>
  </si>
  <si>
    <t>Current where safe to hold</t>
  </si>
  <si>
    <t>DNACPR location list</t>
  </si>
  <si>
    <t>Current and confidential</t>
  </si>
  <si>
    <t>Evacuation equipment checklist</t>
  </si>
  <si>
    <t>January First Aid Monthly Audit</t>
  </si>
  <si>
    <t>Check quantity, expiry and actions. Linked to dashboard.</t>
  </si>
  <si>
    <t>Total Lines</t>
  </si>
  <si>
    <t>Lines Failed / Short</t>
  </si>
  <si>
    <t>Expiry Date</t>
  </si>
  <si>
    <t>In Date?</t>
  </si>
  <si>
    <t>Large sterile dressings</t>
  </si>
  <si>
    <t>Medium sterile dressings</t>
  </si>
  <si>
    <t>Small sterile dressings</t>
  </si>
  <si>
    <t>Eye dressings</t>
  </si>
  <si>
    <t>Triangular bandages</t>
  </si>
  <si>
    <t>Conforming bandages</t>
  </si>
  <si>
    <t>Finger dressings</t>
  </si>
  <si>
    <t>Burn dressings</t>
  </si>
  <si>
    <t>Burn gel sachets/dressings</t>
  </si>
  <si>
    <t>Microporous tape</t>
  </si>
  <si>
    <t>Disposable gloves - pairs</t>
  </si>
  <si>
    <t>CPR face shields</t>
  </si>
  <si>
    <t>Foil blankets</t>
  </si>
  <si>
    <t>Trauma shears/scissors</t>
  </si>
  <si>
    <t>Saline eye wash</t>
  </si>
  <si>
    <t>Clinical waste bags</t>
  </si>
  <si>
    <t>Accident book available</t>
  </si>
  <si>
    <t>First aid guidance leaflet</t>
  </si>
  <si>
    <t>Thermometer working</t>
  </si>
  <si>
    <t>Defibrillator checked if available</t>
  </si>
  <si>
    <t>AED pads in date if available</t>
  </si>
  <si>
    <t>AED battery ok if available</t>
  </si>
  <si>
    <t>January Emollient Monthly Audit</t>
  </si>
  <si>
    <t>Resident-level emollient audit with quantities, MAR/topical chart and fire risk. Linked to dashboard.</t>
  </si>
  <si>
    <t>Residents Audited</t>
  </si>
  <si>
    <t>Failed / Action Required</t>
  </si>
  <si>
    <t>Prescribed Emollient</t>
  </si>
  <si>
    <t>Opening Date Recorded?</t>
  </si>
  <si>
    <t>Tub Labelled?</t>
  </si>
  <si>
    <t>Stored Safely?</t>
  </si>
  <si>
    <t>MAR / Topical Chart Signed?</t>
  </si>
  <si>
    <t>Fire Risk Discussed?</t>
  </si>
  <si>
    <t>Cross Contamination Controlled?</t>
  </si>
  <si>
    <t>Status</t>
  </si>
  <si>
    <t>February Dependency Tool - Category-Based Day/Night Assessment</t>
  </si>
  <si>
    <t>February</t>
  </si>
  <si>
    <t>February PEEP Grab Bag Monthly Audit</t>
  </si>
  <si>
    <t>February First Aid Monthly Audit</t>
  </si>
  <si>
    <t>February Emollient Monthly Audit</t>
  </si>
  <si>
    <t>March Dependency Tool - Category-Based Day/Night Assessment</t>
  </si>
  <si>
    <t>March</t>
  </si>
  <si>
    <t>March PEEP Grab Bag Monthly Audit</t>
  </si>
  <si>
    <t>March First Aid Monthly Audit</t>
  </si>
  <si>
    <t>March Emollient Monthly Audit</t>
  </si>
  <si>
    <t>April Dependency Tool - Category-Based Day/Night Assessment</t>
  </si>
  <si>
    <t>April</t>
  </si>
  <si>
    <t>April PEEP Grab Bag Monthly Audit</t>
  </si>
  <si>
    <t>April First Aid Monthly Audit</t>
  </si>
  <si>
    <t>April Emollient Monthly Audit</t>
  </si>
  <si>
    <t>May Dependency Tool - Category-Based Day/Night Assessment</t>
  </si>
  <si>
    <t>May</t>
  </si>
  <si>
    <t>May PEEP Grab Bag Monthly Audit</t>
  </si>
  <si>
    <t>May First Aid Monthly Audit</t>
  </si>
  <si>
    <t>May Emollient Monthly Audit</t>
  </si>
  <si>
    <t>June Dependency Tool - Category-Based Day/Night Assessment</t>
  </si>
  <si>
    <t>June</t>
  </si>
  <si>
    <t>June PEEP Grab Bag Monthly Audit</t>
  </si>
  <si>
    <t>June First Aid Monthly Audit</t>
  </si>
  <si>
    <t>June Emollient Monthly Audit</t>
  </si>
  <si>
    <t>July Dependency Tool - Category-Based Day/Night Assessment</t>
  </si>
  <si>
    <t>July</t>
  </si>
  <si>
    <t>July PEEP Grab Bag Monthly Audit</t>
  </si>
  <si>
    <t>July First Aid Monthly Audit</t>
  </si>
  <si>
    <t>July Emollient Monthly Audit</t>
  </si>
  <si>
    <t>August Dependency Tool - Category-Based Day/Night Assessment</t>
  </si>
  <si>
    <t>August</t>
  </si>
  <si>
    <t>August PEEP Grab Bag Monthly Audit</t>
  </si>
  <si>
    <t>August First Aid Monthly Audit</t>
  </si>
  <si>
    <t>August Emollient Monthly Audit</t>
  </si>
  <si>
    <t>September Dependency Tool - Category-Based Day/Night Assessment</t>
  </si>
  <si>
    <t>September</t>
  </si>
  <si>
    <t>September PEEP Grab Bag Monthly Audit</t>
  </si>
  <si>
    <t>September First Aid Monthly Audit</t>
  </si>
  <si>
    <t>September Emollient Monthly Audit</t>
  </si>
  <si>
    <t>October Dependency Tool - Category-Based Day/Night Assessment</t>
  </si>
  <si>
    <t>October</t>
  </si>
  <si>
    <t>October PEEP Grab Bag Monthly Audit</t>
  </si>
  <si>
    <t>October First Aid Monthly Audit</t>
  </si>
  <si>
    <t>October Emollient Monthly Audit</t>
  </si>
  <si>
    <t>November Dependency Tool - Category-Based Day/Night Assessment</t>
  </si>
  <si>
    <t>November</t>
  </si>
  <si>
    <t>November PEEP Grab Bag Monthly Audit</t>
  </si>
  <si>
    <t>November First Aid Monthly Audit</t>
  </si>
  <si>
    <t>November Emollient Monthly Audit</t>
  </si>
  <si>
    <t>December Dependency Tool - Category-Based Day/Night Assessment</t>
  </si>
  <si>
    <t>December</t>
  </si>
  <si>
    <t>December PEEP Grab Bag Monthly Audit</t>
  </si>
  <si>
    <t>December First Aid Monthly Audit</t>
  </si>
  <si>
    <t>December Emollient Monthly Audit</t>
  </si>
  <si>
    <t>Low Dependency</t>
  </si>
  <si>
    <t>Resident is independent or requires minimal prompting with activities of daily living. Mobilises independently or with a walking stick/frame. Manages or requires minimal assistance with washing, dressing, toileting and continence. Eats and drinks independently. Medication needs are routine. Cognitively able to understand instructions. Low falls risk. Can evacuate independently with verbal guidance.</t>
  </si>
  <si>
    <t>Medium Dependency</t>
  </si>
  <si>
    <t>Resident requires regular assistance or supervision with one or more activities of daily living. May need assistance with washing, dressing, toileting, continence care or transfers. May require prompting or partial assistance with eating and drinking. Requires staff to administer medication. May have mild to moderate cognitive impairment, dementia or anxiety requiring reassurance. Moderate falls risk. Would require one member of staff during evacuation using a walking aid or wheelchair where appropriate.</t>
  </si>
  <si>
    <t>High Dependency</t>
  </si>
  <si>
    <t>Resident requires significant assistance with most aspects of personal care, including washing, dressing, toileting and continence management. May require assistance with eating and drinking or have modified diets. Requires two staff for transfers, personal care or repositioning and may use a hoist, stand aid or wheelchair. High falls risk and/or behaviours associated with dementia that affect safety. Requires regular clinical monitoring, pressure area care or complex medication. Would require two staff and specialist evacuation equipment (e.g. evacuation sheet, wheelchair or evacuation chair) in accordance with their PEEP.</t>
  </si>
  <si>
    <t>Very High Dependency</t>
  </si>
  <si>
    <t>Resident is fully dependent on staff for all activities of daily living, including personal care, toileting, continence management, repositioning, eating and drinking. May receive PEG feeding, oxygen therapy, end-of-life care or have complex clinical conditions requiring continuous monitoring. May be bariatric, bedbound or have severe cognitive impairment or behaviours requiring constant supervision. Requires specialist equipment, multiple staff and an individual evacuation strategy. Cannot evacuate without full staff assistance and appropriate evacuation equipment in accordance with their PEEP.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</si>
</sst>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b/>
      <sz val="16"/>
      <color rgb="FFFFFFFF"/>
      <name val="Carlito"/>
    </font>
    <font>
      <i/>
      <sz val="11"/>
      <name val="Carlito"/>
    </font>
    <font>
      <b/>
      <sz val="11"/>
      <name val="Carlito"/>
    </font>
  </fonts>
  <fills count="5">
    <fill>
      <patternFill patternType="none"/>
    </fill>
    <fill>
      <patternFill patternType="gray125"/>
    </fill>
    <fill>
      <patternFill patternType="solid">
        <fgColor rgb="FF0F6B4E"/>
      </patternFill>
    </fill>
    <fill>
      <patternFill patternType="solid">
        <fgColor rgb="FFEAF4EC"/>
      </patternFill>
    </fill>
    <fill>
      <patternFill patternType="solid">
        <fgColor rgb="FFFFF2CC"/>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4" fillId="3" borderId="0" xfId="0" applyFont="1" applyFill="1" applyAlignment="1">
      <alignment wrapText="1"/>
    </xf>
    <xf numFmtId="0" fontId="0" fillId="4" borderId="0" xfId="0" applyFill="1" applyAlignment="1">
      <alignment wrapText="1"/>
    </xf>
    <xf numFmtId="14" fontId="0" fillId="0" borderId="0" xfId="0" applyNumberFormat="1" applyAlignment="1">
      <alignment wrapText="1"/>
    </xf>
    <xf numFmtId="0" fontId="2" fillId="2" borderId="0" xfId="0" applyFont="1" applyFill="1" applyAlignment="1">
      <alignment horizontal="center" vertical="center"/>
    </xf>
    <xf numFmtId="0" fontId="0" fillId="0" borderId="0" xfId="0"/>
    <xf numFmtId="0" fontId="3" fillId="3" borderId="0" xfId="0" applyFont="1" applyFill="1" applyAlignment="1">
      <alignment wrapText="1"/>
    </xf>
    <xf numFmtId="0" fontId="1" fillId="2" borderId="0" xfId="0" applyFont="1" applyFill="1" applyAlignment="1">
      <alignment horizontal="center"/>
    </xf>
    <xf numFmtId="0" fontId="0" fillId="0" borderId="0" xfId="0" applyAlignment="1">
      <alignment vertical="center" wrapText="1"/>
    </xf>
    <xf numFmtId="0" fontId="4" fillId="0" borderId="0" xfId="0" applyFont="1" applyAlignment="1">
      <alignment vertical="center" wrapText="1"/>
    </xf>
  </cellXfs>
  <cellStyles count="1">
    <cellStyle name="Normal" xfId="0" builtinId="0"/>
  </cellStyles>
  <dxfs count="48">
    <dxf>
      <fill>
        <patternFill patternType="solid">
          <bgColor rgb="FFD9EAD3"/>
        </patternFill>
      </fill>
    </dxf>
    <dxf>
      <fill>
        <patternFill patternType="solid">
          <bgColor rgb="FFFFF2CC"/>
        </patternFill>
      </fill>
    </dxf>
    <dxf>
      <fill>
        <patternFill patternType="solid">
          <bgColor rgb="FFFCE4D6"/>
        </patternFill>
      </fill>
    </dxf>
    <dxf>
      <fill>
        <patternFill patternType="solid">
          <bgColor rgb="FFF4CCCC"/>
        </patternFill>
      </fill>
    </dxf>
    <dxf>
      <fill>
        <patternFill patternType="solid">
          <bgColor rgb="FFD9EAD3"/>
        </patternFill>
      </fill>
    </dxf>
    <dxf>
      <fill>
        <patternFill patternType="solid">
          <bgColor rgb="FFFFF2CC"/>
        </patternFill>
      </fill>
    </dxf>
    <dxf>
      <fill>
        <patternFill patternType="solid">
          <bgColor rgb="FFFCE4D6"/>
        </patternFill>
      </fill>
    </dxf>
    <dxf>
      <fill>
        <patternFill patternType="solid">
          <bgColor rgb="FFF4CCCC"/>
        </patternFill>
      </fill>
    </dxf>
    <dxf>
      <fill>
        <patternFill patternType="solid">
          <bgColor rgb="FFD9EAD3"/>
        </patternFill>
      </fill>
    </dxf>
    <dxf>
      <fill>
        <patternFill patternType="solid">
          <bgColor rgb="FFFFF2CC"/>
        </patternFill>
      </fill>
    </dxf>
    <dxf>
      <fill>
        <patternFill patternType="solid">
          <bgColor rgb="FFFCE4D6"/>
        </patternFill>
      </fill>
    </dxf>
    <dxf>
      <fill>
        <patternFill patternType="solid">
          <bgColor rgb="FFF4CCCC"/>
        </patternFill>
      </fill>
    </dxf>
    <dxf>
      <fill>
        <patternFill patternType="solid">
          <bgColor rgb="FFD9EAD3"/>
        </patternFill>
      </fill>
    </dxf>
    <dxf>
      <fill>
        <patternFill patternType="solid">
          <bgColor rgb="FFFFF2CC"/>
        </patternFill>
      </fill>
    </dxf>
    <dxf>
      <fill>
        <patternFill patternType="solid">
          <bgColor rgb="FFFCE4D6"/>
        </patternFill>
      </fill>
    </dxf>
    <dxf>
      <fill>
        <patternFill patternType="solid">
          <bgColor rgb="FFF4CCCC"/>
        </patternFill>
      </fill>
    </dxf>
    <dxf>
      <fill>
        <patternFill patternType="solid">
          <bgColor rgb="FFD9EAD3"/>
        </patternFill>
      </fill>
    </dxf>
    <dxf>
      <fill>
        <patternFill patternType="solid">
          <bgColor rgb="FFFFF2CC"/>
        </patternFill>
      </fill>
    </dxf>
    <dxf>
      <fill>
        <patternFill patternType="solid">
          <bgColor rgb="FFFCE4D6"/>
        </patternFill>
      </fill>
    </dxf>
    <dxf>
      <fill>
        <patternFill patternType="solid">
          <bgColor rgb="FFF4CCCC"/>
        </patternFill>
      </fill>
    </dxf>
    <dxf>
      <fill>
        <patternFill patternType="solid">
          <bgColor rgb="FFD9EAD3"/>
        </patternFill>
      </fill>
    </dxf>
    <dxf>
      <fill>
        <patternFill patternType="solid">
          <bgColor rgb="FFFFF2CC"/>
        </patternFill>
      </fill>
    </dxf>
    <dxf>
      <fill>
        <patternFill patternType="solid">
          <bgColor rgb="FFFCE4D6"/>
        </patternFill>
      </fill>
    </dxf>
    <dxf>
      <fill>
        <patternFill patternType="solid">
          <bgColor rgb="FFF4CCCC"/>
        </patternFill>
      </fill>
    </dxf>
    <dxf>
      <fill>
        <patternFill patternType="solid">
          <bgColor rgb="FFD9EAD3"/>
        </patternFill>
      </fill>
    </dxf>
    <dxf>
      <fill>
        <patternFill patternType="solid">
          <bgColor rgb="FFFFF2CC"/>
        </patternFill>
      </fill>
    </dxf>
    <dxf>
      <fill>
        <patternFill patternType="solid">
          <bgColor rgb="FFFCE4D6"/>
        </patternFill>
      </fill>
    </dxf>
    <dxf>
      <fill>
        <patternFill patternType="solid">
          <bgColor rgb="FFF4CCCC"/>
        </patternFill>
      </fill>
    </dxf>
    <dxf>
      <fill>
        <patternFill patternType="solid">
          <bgColor rgb="FFD9EAD3"/>
        </patternFill>
      </fill>
    </dxf>
    <dxf>
      <fill>
        <patternFill patternType="solid">
          <bgColor rgb="FFFFF2CC"/>
        </patternFill>
      </fill>
    </dxf>
    <dxf>
      <fill>
        <patternFill patternType="solid">
          <bgColor rgb="FFFCE4D6"/>
        </patternFill>
      </fill>
    </dxf>
    <dxf>
      <fill>
        <patternFill patternType="solid">
          <bgColor rgb="FFF4CCCC"/>
        </patternFill>
      </fill>
    </dxf>
    <dxf>
      <fill>
        <patternFill patternType="solid">
          <bgColor rgb="FFD9EAD3"/>
        </patternFill>
      </fill>
    </dxf>
    <dxf>
      <fill>
        <patternFill patternType="solid">
          <bgColor rgb="FFFFF2CC"/>
        </patternFill>
      </fill>
    </dxf>
    <dxf>
      <fill>
        <patternFill patternType="solid">
          <bgColor rgb="FFFCE4D6"/>
        </patternFill>
      </fill>
    </dxf>
    <dxf>
      <fill>
        <patternFill patternType="solid">
          <bgColor rgb="FFF4CCCC"/>
        </patternFill>
      </fill>
    </dxf>
    <dxf>
      <fill>
        <patternFill patternType="solid">
          <bgColor rgb="FFD9EAD3"/>
        </patternFill>
      </fill>
    </dxf>
    <dxf>
      <fill>
        <patternFill patternType="solid">
          <bgColor rgb="FFFFF2CC"/>
        </patternFill>
      </fill>
    </dxf>
    <dxf>
      <fill>
        <patternFill patternType="solid">
          <bgColor rgb="FFFCE4D6"/>
        </patternFill>
      </fill>
    </dxf>
    <dxf>
      <fill>
        <patternFill patternType="solid">
          <bgColor rgb="FFF4CCCC"/>
        </patternFill>
      </fill>
    </dxf>
    <dxf>
      <fill>
        <patternFill patternType="solid">
          <bgColor rgb="FFD9EAD3"/>
        </patternFill>
      </fill>
    </dxf>
    <dxf>
      <fill>
        <patternFill patternType="solid">
          <bgColor rgb="FFFFF2CC"/>
        </patternFill>
      </fill>
    </dxf>
    <dxf>
      <fill>
        <patternFill patternType="solid">
          <bgColor rgb="FFFCE4D6"/>
        </patternFill>
      </fill>
    </dxf>
    <dxf>
      <fill>
        <patternFill patternType="solid">
          <bgColor rgb="FFF4CCCC"/>
        </patternFill>
      </fill>
    </dxf>
    <dxf>
      <fill>
        <patternFill patternType="solid">
          <bgColor rgb="FFD9EAD3"/>
        </patternFill>
      </fill>
    </dxf>
    <dxf>
      <fill>
        <patternFill patternType="solid">
          <bgColor rgb="FFFFF2CC"/>
        </patternFill>
      </fill>
    </dxf>
    <dxf>
      <fill>
        <patternFill patternType="solid">
          <bgColor rgb="FFFCE4D6"/>
        </patternFill>
      </fill>
    </dxf>
    <dxf>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workbookViewId="0"/>
  </sheetViews>
  <sheetFormatPr defaultRowHeight="14"/>
  <cols>
    <col min="1" max="6" width="22" customWidth="1"/>
  </cols>
  <sheetData>
    <row r="1" spans="1:6">
      <c r="A1" s="1" t="s">
        <v>0</v>
      </c>
      <c r="B1" s="1" t="s">
        <v>1</v>
      </c>
      <c r="C1" s="1" t="s">
        <v>2</v>
      </c>
      <c r="D1" s="1" t="s">
        <v>3</v>
      </c>
      <c r="E1" s="1" t="s">
        <v>4</v>
      </c>
      <c r="F1" s="1" t="s">
        <v>5</v>
      </c>
    </row>
    <row r="2" spans="1:6">
      <c r="A2" t="s">
        <v>6</v>
      </c>
      <c r="B2" t="s">
        <v>7</v>
      </c>
      <c r="C2" t="s">
        <v>8</v>
      </c>
      <c r="D2" t="s">
        <v>9</v>
      </c>
      <c r="E2" t="s">
        <v>10</v>
      </c>
      <c r="F2" t="s">
        <v>11</v>
      </c>
    </row>
    <row r="3" spans="1:6">
      <c r="A3" t="s">
        <v>12</v>
      </c>
      <c r="B3" t="s">
        <v>13</v>
      </c>
      <c r="C3" t="s">
        <v>14</v>
      </c>
      <c r="D3" t="s">
        <v>15</v>
      </c>
      <c r="E3" t="s">
        <v>16</v>
      </c>
      <c r="F3" t="s">
        <v>17</v>
      </c>
    </row>
    <row r="4" spans="1:6">
      <c r="A4" t="s">
        <v>18</v>
      </c>
      <c r="B4" t="s">
        <v>19</v>
      </c>
      <c r="C4" t="s">
        <v>19</v>
      </c>
      <c r="D4" t="s">
        <v>20</v>
      </c>
      <c r="E4" t="s">
        <v>21</v>
      </c>
      <c r="F4" t="s">
        <v>22</v>
      </c>
    </row>
    <row r="5" spans="1:6">
      <c r="A5" t="s">
        <v>23</v>
      </c>
      <c r="D5" t="s">
        <v>24</v>
      </c>
      <c r="F5" t="s">
        <v>25</v>
      </c>
    </row>
    <row r="6" spans="1:6">
      <c r="D6" t="s">
        <v>26</v>
      </c>
      <c r="F6" t="s">
        <v>27</v>
      </c>
    </row>
    <row r="7" spans="1:6">
      <c r="D7" t="s">
        <v>28</v>
      </c>
      <c r="F7" t="s">
        <v>29</v>
      </c>
    </row>
    <row r="8" spans="1:6">
      <c r="D8" t="s">
        <v>30</v>
      </c>
      <c r="F8" t="s">
        <v>31</v>
      </c>
    </row>
    <row r="9" spans="1:6">
      <c r="D9" t="s">
        <v>32</v>
      </c>
      <c r="F9" t="s">
        <v>33</v>
      </c>
    </row>
    <row r="10" spans="1:6">
      <c r="D10" t="s">
        <v>34</v>
      </c>
      <c r="F10"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workbookViewId="0"/>
  </sheetViews>
  <sheetFormatPr defaultRowHeight="14"/>
  <cols>
    <col min="1" max="13" width="18" customWidth="1"/>
  </cols>
  <sheetData>
    <row r="1" spans="1:13" ht="20">
      <c r="A1" s="6" t="s">
        <v>36</v>
      </c>
      <c r="B1" s="7"/>
      <c r="C1" s="7"/>
      <c r="D1" s="7"/>
      <c r="E1" s="7"/>
      <c r="F1" s="7"/>
      <c r="G1" s="7"/>
      <c r="H1" s="7"/>
      <c r="I1" s="7"/>
      <c r="J1" s="7"/>
      <c r="K1" s="7"/>
      <c r="L1" s="7"/>
      <c r="M1" s="7"/>
    </row>
    <row r="2" spans="1:13" ht="14.5">
      <c r="A2" s="8" t="s">
        <v>37</v>
      </c>
      <c r="B2" s="7"/>
      <c r="C2" s="7"/>
      <c r="D2" s="7"/>
      <c r="E2" s="7"/>
      <c r="F2" s="7"/>
      <c r="G2" s="7"/>
      <c r="H2" s="7"/>
      <c r="I2" s="7"/>
      <c r="J2" s="7"/>
      <c r="K2" s="7"/>
      <c r="L2" s="7"/>
      <c r="M2" s="7"/>
    </row>
    <row r="4" spans="1:13" ht="28">
      <c r="A4" s="1" t="s">
        <v>38</v>
      </c>
      <c r="B4" s="1" t="s">
        <v>39</v>
      </c>
      <c r="C4" s="1" t="s">
        <v>40</v>
      </c>
      <c r="D4" s="1" t="s">
        <v>6</v>
      </c>
      <c r="E4" s="1" t="s">
        <v>12</v>
      </c>
      <c r="F4" s="1" t="s">
        <v>18</v>
      </c>
      <c r="G4" s="1" t="s">
        <v>23</v>
      </c>
      <c r="H4" s="1" t="s">
        <v>41</v>
      </c>
      <c r="I4" s="1" t="s">
        <v>42</v>
      </c>
      <c r="J4" s="1" t="s">
        <v>43</v>
      </c>
      <c r="K4" s="1" t="s">
        <v>44</v>
      </c>
      <c r="L4" s="1" t="s">
        <v>45</v>
      </c>
      <c r="M4" s="1" t="s">
        <v>46</v>
      </c>
    </row>
    <row r="5" spans="1:13">
      <c r="A5" t="str">
        <f>"January"</f>
        <v>January</v>
      </c>
      <c r="B5" t="str">
        <f>IF('January Dependency'!B7="Yes","Yes","No")</f>
        <v>No</v>
      </c>
      <c r="C5">
        <f>'January Dependency'!B8</f>
        <v>0</v>
      </c>
      <c r="D5">
        <f>'January Dependency'!B9</f>
        <v>0</v>
      </c>
      <c r="E5">
        <f>'January Dependency'!B10</f>
        <v>0</v>
      </c>
      <c r="F5">
        <f>'January Dependency'!B11</f>
        <v>0</v>
      </c>
      <c r="G5">
        <f>'January Dependency'!B12</f>
        <v>0</v>
      </c>
      <c r="H5">
        <f>'January Dependency'!B13</f>
        <v>0</v>
      </c>
      <c r="I5" t="str">
        <f>IF('January PEEP Bag'!B7="Yes","Complete","Incomplete")</f>
        <v>Incomplete</v>
      </c>
      <c r="J5" t="str">
        <f>IF('January First Aid'!B7="Yes","Complete","Incomplete")</f>
        <v>Incomplete</v>
      </c>
      <c r="K5" t="str">
        <f>IF('January Emollients'!B7="Yes","Complete","Incomplete")</f>
        <v>Incomplete</v>
      </c>
      <c r="L5" t="str">
        <f t="shared" ref="L5:L16" si="0">IF(G5&gt;0,"RED",IF(OR(F5&gt;0,H5&gt;0),"AMBER","GREEN"))</f>
        <v>GREEN</v>
      </c>
      <c r="M5" t="str">
        <f t="shared" ref="M5:M16" si="1">IF(OR(B5&lt;&gt;"Yes",I5&lt;&gt;"Complete",J5&lt;&gt;"Complete",K5&lt;&gt;"Complete",L5="RED"),"RED",IF(L5="AMBER","AMBER","GREEN"))</f>
        <v>RED</v>
      </c>
    </row>
    <row r="6" spans="1:13">
      <c r="A6" t="str">
        <f>"February"</f>
        <v>February</v>
      </c>
      <c r="B6" t="str">
        <f>IF('February Dependency'!B7="Yes","Yes","No")</f>
        <v>No</v>
      </c>
      <c r="C6">
        <f>'February Dependency'!B8</f>
        <v>0</v>
      </c>
      <c r="D6">
        <f>'February Dependency'!B9</f>
        <v>0</v>
      </c>
      <c r="E6">
        <f>'February Dependency'!B10</f>
        <v>0</v>
      </c>
      <c r="F6">
        <f>'February Dependency'!B11</f>
        <v>0</v>
      </c>
      <c r="G6">
        <f>'February Dependency'!B12</f>
        <v>0</v>
      </c>
      <c r="H6">
        <f>'February Dependency'!B13</f>
        <v>0</v>
      </c>
      <c r="I6" t="str">
        <f>IF('February PEEP Bag'!B7="Yes","Complete","Incomplete")</f>
        <v>Incomplete</v>
      </c>
      <c r="J6" t="str">
        <f>IF('February First Aid'!B7="Yes","Complete","Incomplete")</f>
        <v>Incomplete</v>
      </c>
      <c r="K6" t="str">
        <f>IF('February Emollients'!B7="Yes","Complete","Incomplete")</f>
        <v>Incomplete</v>
      </c>
      <c r="L6" t="str">
        <f t="shared" si="0"/>
        <v>GREEN</v>
      </c>
      <c r="M6" t="str">
        <f t="shared" si="1"/>
        <v>RED</v>
      </c>
    </row>
    <row r="7" spans="1:13">
      <c r="A7" t="str">
        <f>"March"</f>
        <v>March</v>
      </c>
      <c r="B7" t="str">
        <f>IF('March Dependency'!B7="Yes","Yes","No")</f>
        <v>No</v>
      </c>
      <c r="C7">
        <f>'March Dependency'!B8</f>
        <v>0</v>
      </c>
      <c r="D7">
        <f>'March Dependency'!B9</f>
        <v>0</v>
      </c>
      <c r="E7">
        <f>'March Dependency'!B10</f>
        <v>0</v>
      </c>
      <c r="F7">
        <f>'March Dependency'!B11</f>
        <v>0</v>
      </c>
      <c r="G7">
        <f>'March Dependency'!B12</f>
        <v>0</v>
      </c>
      <c r="H7">
        <f>'March Dependency'!B13</f>
        <v>0</v>
      </c>
      <c r="I7" t="str">
        <f>IF('March PEEP Bag'!B7="Yes","Complete","Incomplete")</f>
        <v>Incomplete</v>
      </c>
      <c r="J7" t="str">
        <f>IF('March First Aid'!B7="Yes","Complete","Incomplete")</f>
        <v>Incomplete</v>
      </c>
      <c r="K7" t="str">
        <f>IF('March Emollients'!B7="Yes","Complete","Incomplete")</f>
        <v>Incomplete</v>
      </c>
      <c r="L7" t="str">
        <f t="shared" si="0"/>
        <v>GREEN</v>
      </c>
      <c r="M7" t="str">
        <f t="shared" si="1"/>
        <v>RED</v>
      </c>
    </row>
    <row r="8" spans="1:13">
      <c r="A8" t="str">
        <f>"April"</f>
        <v>April</v>
      </c>
      <c r="B8" t="str">
        <f>IF('April Dependency'!B7="Yes","Yes","No")</f>
        <v>No</v>
      </c>
      <c r="C8">
        <f>'April Dependency'!B8</f>
        <v>0</v>
      </c>
      <c r="D8">
        <f>'April Dependency'!B9</f>
        <v>0</v>
      </c>
      <c r="E8">
        <f>'April Dependency'!B10</f>
        <v>0</v>
      </c>
      <c r="F8">
        <f>'April Dependency'!B11</f>
        <v>0</v>
      </c>
      <c r="G8">
        <f>'April Dependency'!B12</f>
        <v>0</v>
      </c>
      <c r="H8">
        <f>'April Dependency'!B13</f>
        <v>0</v>
      </c>
      <c r="I8" t="str">
        <f>IF('April PEEP Bag'!B7="Yes","Complete","Incomplete")</f>
        <v>Incomplete</v>
      </c>
      <c r="J8" t="str">
        <f>IF('April First Aid'!B7="Yes","Complete","Incomplete")</f>
        <v>Incomplete</v>
      </c>
      <c r="K8" t="str">
        <f>IF('April Emollients'!B7="Yes","Complete","Incomplete")</f>
        <v>Incomplete</v>
      </c>
      <c r="L8" t="str">
        <f t="shared" si="0"/>
        <v>GREEN</v>
      </c>
      <c r="M8" t="str">
        <f t="shared" si="1"/>
        <v>RED</v>
      </c>
    </row>
    <row r="9" spans="1:13">
      <c r="A9" t="str">
        <f>"May"</f>
        <v>May</v>
      </c>
      <c r="B9" t="str">
        <f>IF('May Dependency'!B7="Yes","Yes","No")</f>
        <v>No</v>
      </c>
      <c r="C9">
        <f>'May Dependency'!B8</f>
        <v>0</v>
      </c>
      <c r="D9">
        <f>'May Dependency'!B9</f>
        <v>0</v>
      </c>
      <c r="E9">
        <f>'May Dependency'!B10</f>
        <v>0</v>
      </c>
      <c r="F9">
        <f>'May Dependency'!B11</f>
        <v>0</v>
      </c>
      <c r="G9">
        <f>'May Dependency'!B12</f>
        <v>0</v>
      </c>
      <c r="H9">
        <f>'May Dependency'!B13</f>
        <v>0</v>
      </c>
      <c r="I9" t="str">
        <f>IF('May PEEP Bag'!B7="Yes","Complete","Incomplete")</f>
        <v>Incomplete</v>
      </c>
      <c r="J9" t="str">
        <f>IF('May First Aid'!B7="Yes","Complete","Incomplete")</f>
        <v>Incomplete</v>
      </c>
      <c r="K9" t="str">
        <f>IF('May Emollients'!B7="Yes","Complete","Incomplete")</f>
        <v>Incomplete</v>
      </c>
      <c r="L9" t="str">
        <f t="shared" si="0"/>
        <v>GREEN</v>
      </c>
      <c r="M9" t="str">
        <f t="shared" si="1"/>
        <v>RED</v>
      </c>
    </row>
    <row r="10" spans="1:13">
      <c r="A10" t="str">
        <f>"June"</f>
        <v>June</v>
      </c>
      <c r="B10" t="str">
        <f>IF('June Dependency'!B7="Yes","Yes","No")</f>
        <v>No</v>
      </c>
      <c r="C10">
        <f>'June Dependency'!B8</f>
        <v>0</v>
      </c>
      <c r="D10">
        <f>'June Dependency'!B9</f>
        <v>0</v>
      </c>
      <c r="E10">
        <f>'June Dependency'!B10</f>
        <v>0</v>
      </c>
      <c r="F10">
        <f>'June Dependency'!B11</f>
        <v>0</v>
      </c>
      <c r="G10">
        <f>'June Dependency'!B12</f>
        <v>0</v>
      </c>
      <c r="H10">
        <f>'June Dependency'!B13</f>
        <v>0</v>
      </c>
      <c r="I10" t="str">
        <f>IF('June PEEP Bag'!B7="Yes","Complete","Incomplete")</f>
        <v>Incomplete</v>
      </c>
      <c r="J10" t="str">
        <f>IF('June First Aid'!B7="Yes","Complete","Incomplete")</f>
        <v>Incomplete</v>
      </c>
      <c r="K10" t="str">
        <f>IF('June Emollients'!B7="Yes","Complete","Incomplete")</f>
        <v>Incomplete</v>
      </c>
      <c r="L10" t="str">
        <f t="shared" si="0"/>
        <v>GREEN</v>
      </c>
      <c r="M10" t="str">
        <f t="shared" si="1"/>
        <v>RED</v>
      </c>
    </row>
    <row r="11" spans="1:13">
      <c r="A11" t="str">
        <f>"July"</f>
        <v>July</v>
      </c>
      <c r="B11" t="str">
        <f>IF('July Dependency'!B7="Yes","Yes","No")</f>
        <v>No</v>
      </c>
      <c r="C11">
        <f>'July Dependency'!B8</f>
        <v>0</v>
      </c>
      <c r="D11">
        <f>'July Dependency'!B9</f>
        <v>0</v>
      </c>
      <c r="E11">
        <f>'July Dependency'!B10</f>
        <v>0</v>
      </c>
      <c r="F11">
        <f>'July Dependency'!B11</f>
        <v>0</v>
      </c>
      <c r="G11">
        <f>'July Dependency'!B12</f>
        <v>0</v>
      </c>
      <c r="H11">
        <f>'July Dependency'!B13</f>
        <v>0</v>
      </c>
      <c r="I11" t="str">
        <f>IF('July PEEP Bag'!B7="Yes","Complete","Incomplete")</f>
        <v>Incomplete</v>
      </c>
      <c r="J11" t="str">
        <f>IF('July First Aid'!B7="Yes","Complete","Incomplete")</f>
        <v>Incomplete</v>
      </c>
      <c r="K11" t="str">
        <f>IF('July Emollients'!B7="Yes","Complete","Incomplete")</f>
        <v>Incomplete</v>
      </c>
      <c r="L11" t="str">
        <f t="shared" si="0"/>
        <v>GREEN</v>
      </c>
      <c r="M11" t="str">
        <f t="shared" si="1"/>
        <v>RED</v>
      </c>
    </row>
    <row r="12" spans="1:13">
      <c r="A12" t="str">
        <f>"August"</f>
        <v>August</v>
      </c>
      <c r="B12" t="str">
        <f>IF('August Dependency'!B7="Yes","Yes","No")</f>
        <v>No</v>
      </c>
      <c r="C12">
        <f>'August Dependency'!B8</f>
        <v>0</v>
      </c>
      <c r="D12">
        <f>'August Dependency'!B9</f>
        <v>0</v>
      </c>
      <c r="E12">
        <f>'August Dependency'!B10</f>
        <v>0</v>
      </c>
      <c r="F12">
        <f>'August Dependency'!B11</f>
        <v>0</v>
      </c>
      <c r="G12">
        <f>'August Dependency'!B12</f>
        <v>0</v>
      </c>
      <c r="H12">
        <f>'August Dependency'!B13</f>
        <v>0</v>
      </c>
      <c r="I12" t="str">
        <f>IF('August PEEP Bag'!B7="Yes","Complete","Incomplete")</f>
        <v>Incomplete</v>
      </c>
      <c r="J12" t="str">
        <f>IF('August First Aid'!B7="Yes","Complete","Incomplete")</f>
        <v>Incomplete</v>
      </c>
      <c r="K12" t="str">
        <f>IF('August Emollients'!B7="Yes","Complete","Incomplete")</f>
        <v>Incomplete</v>
      </c>
      <c r="L12" t="str">
        <f t="shared" si="0"/>
        <v>GREEN</v>
      </c>
      <c r="M12" t="str">
        <f t="shared" si="1"/>
        <v>RED</v>
      </c>
    </row>
    <row r="13" spans="1:13">
      <c r="A13" t="str">
        <f>"September"</f>
        <v>September</v>
      </c>
      <c r="B13" t="str">
        <f>IF('September Dependency'!B7="Yes","Yes","No")</f>
        <v>No</v>
      </c>
      <c r="C13">
        <f>'September Dependency'!B8</f>
        <v>0</v>
      </c>
      <c r="D13">
        <f>'September Dependency'!B9</f>
        <v>0</v>
      </c>
      <c r="E13">
        <f>'September Dependency'!B10</f>
        <v>0</v>
      </c>
      <c r="F13">
        <f>'September Dependency'!B11</f>
        <v>0</v>
      </c>
      <c r="G13">
        <f>'September Dependency'!B12</f>
        <v>0</v>
      </c>
      <c r="H13">
        <f>'September Dependency'!B13</f>
        <v>0</v>
      </c>
      <c r="I13" t="str">
        <f>IF('September PEEP Bag'!B7="Yes","Complete","Incomplete")</f>
        <v>Incomplete</v>
      </c>
      <c r="J13" t="str">
        <f>IF('September First Aid'!B7="Yes","Complete","Incomplete")</f>
        <v>Incomplete</v>
      </c>
      <c r="K13" t="str">
        <f>IF('September Emollients'!B7="Yes","Complete","Incomplete")</f>
        <v>Incomplete</v>
      </c>
      <c r="L13" t="str">
        <f t="shared" si="0"/>
        <v>GREEN</v>
      </c>
      <c r="M13" t="str">
        <f t="shared" si="1"/>
        <v>RED</v>
      </c>
    </row>
    <row r="14" spans="1:13">
      <c r="A14" t="str">
        <f>"October"</f>
        <v>October</v>
      </c>
      <c r="B14" t="str">
        <f>IF('October Dependency'!B7="Yes","Yes","No")</f>
        <v>No</v>
      </c>
      <c r="C14">
        <f>'October Dependency'!B8</f>
        <v>0</v>
      </c>
      <c r="D14">
        <f>'October Dependency'!B9</f>
        <v>0</v>
      </c>
      <c r="E14">
        <f>'October Dependency'!B10</f>
        <v>0</v>
      </c>
      <c r="F14">
        <f>'October Dependency'!B11</f>
        <v>0</v>
      </c>
      <c r="G14">
        <f>'October Dependency'!B12</f>
        <v>0</v>
      </c>
      <c r="H14">
        <f>'October Dependency'!B13</f>
        <v>0</v>
      </c>
      <c r="I14" t="str">
        <f>IF('October PEEP Bag'!B7="Yes","Complete","Incomplete")</f>
        <v>Incomplete</v>
      </c>
      <c r="J14" t="str">
        <f>IF('October First Aid'!B7="Yes","Complete","Incomplete")</f>
        <v>Incomplete</v>
      </c>
      <c r="K14" t="str">
        <f>IF('October Emollients'!B7="Yes","Complete","Incomplete")</f>
        <v>Incomplete</v>
      </c>
      <c r="L14" t="str">
        <f t="shared" si="0"/>
        <v>GREEN</v>
      </c>
      <c r="M14" t="str">
        <f t="shared" si="1"/>
        <v>RED</v>
      </c>
    </row>
    <row r="15" spans="1:13">
      <c r="A15" t="str">
        <f>"November"</f>
        <v>November</v>
      </c>
      <c r="B15" t="str">
        <f>IF('November Dependency'!B7="Yes","Yes","No")</f>
        <v>No</v>
      </c>
      <c r="C15">
        <f>'November Dependency'!B8</f>
        <v>0</v>
      </c>
      <c r="D15">
        <f>'November Dependency'!B9</f>
        <v>0</v>
      </c>
      <c r="E15">
        <f>'November Dependency'!B10</f>
        <v>0</v>
      </c>
      <c r="F15">
        <f>'November Dependency'!B11</f>
        <v>0</v>
      </c>
      <c r="G15">
        <f>'November Dependency'!B12</f>
        <v>0</v>
      </c>
      <c r="H15">
        <f>'November Dependency'!B13</f>
        <v>0</v>
      </c>
      <c r="I15" t="str">
        <f>IF('November PEEP Bag'!B7="Yes","Complete","Incomplete")</f>
        <v>Incomplete</v>
      </c>
      <c r="J15" t="str">
        <f>IF('November First Aid'!B7="Yes","Complete","Incomplete")</f>
        <v>Incomplete</v>
      </c>
      <c r="K15" t="str">
        <f>IF('November Emollients'!B7="Yes","Complete","Incomplete")</f>
        <v>Incomplete</v>
      </c>
      <c r="L15" t="str">
        <f t="shared" si="0"/>
        <v>GREEN</v>
      </c>
      <c r="M15" t="str">
        <f t="shared" si="1"/>
        <v>RED</v>
      </c>
    </row>
    <row r="16" spans="1:13">
      <c r="A16" t="str">
        <f>"December"</f>
        <v>December</v>
      </c>
      <c r="B16" t="str">
        <f>IF('December Dependency'!B7="Yes","Yes","No")</f>
        <v>No</v>
      </c>
      <c r="C16">
        <f>'December Dependency'!B8</f>
        <v>0</v>
      </c>
      <c r="D16">
        <f>'December Dependency'!B9</f>
        <v>0</v>
      </c>
      <c r="E16">
        <f>'December Dependency'!B10</f>
        <v>0</v>
      </c>
      <c r="F16">
        <f>'December Dependency'!B11</f>
        <v>0</v>
      </c>
      <c r="G16">
        <f>'December Dependency'!B12</f>
        <v>0</v>
      </c>
      <c r="H16">
        <f>'December Dependency'!B13</f>
        <v>0</v>
      </c>
      <c r="I16" t="str">
        <f>IF('December PEEP Bag'!B7="Yes","Complete","Incomplete")</f>
        <v>Incomplete</v>
      </c>
      <c r="J16" t="str">
        <f>IF('December First Aid'!B7="Yes","Complete","Incomplete")</f>
        <v>Incomplete</v>
      </c>
      <c r="K16" t="str">
        <f>IF('December Emollients'!B7="Yes","Complete","Incomplete")</f>
        <v>Incomplete</v>
      </c>
      <c r="L16" t="str">
        <f t="shared" si="0"/>
        <v>GREEN</v>
      </c>
      <c r="M16" t="str">
        <f t="shared" si="1"/>
        <v>RED</v>
      </c>
    </row>
    <row r="18" spans="1:13">
      <c r="A18" s="1" t="s">
        <v>47</v>
      </c>
      <c r="B18" s="1"/>
      <c r="C18" s="1">
        <f t="shared" ref="C18:H18" si="2">SUM(C5:C16)</f>
        <v>0</v>
      </c>
      <c r="D18" s="1">
        <f t="shared" si="2"/>
        <v>0</v>
      </c>
      <c r="E18" s="1">
        <f t="shared" si="2"/>
        <v>0</v>
      </c>
      <c r="F18" s="1">
        <f t="shared" si="2"/>
        <v>0</v>
      </c>
      <c r="G18" s="1">
        <f t="shared" si="2"/>
        <v>0</v>
      </c>
      <c r="H18" s="1">
        <f t="shared" si="2"/>
        <v>0</v>
      </c>
      <c r="I18" s="1"/>
      <c r="J18" s="1"/>
      <c r="K18" s="1"/>
      <c r="L18" s="1"/>
      <c r="M18" s="1"/>
    </row>
    <row r="20" spans="1:13" ht="28">
      <c r="A20" s="1" t="s">
        <v>48</v>
      </c>
      <c r="B20" s="1" t="s">
        <v>6</v>
      </c>
      <c r="C20" s="1" t="s">
        <v>12</v>
      </c>
      <c r="D20" s="1" t="s">
        <v>18</v>
      </c>
      <c r="E20" s="1" t="s">
        <v>23</v>
      </c>
    </row>
    <row r="21" spans="1:13" ht="56">
      <c r="A21" s="2" t="s">
        <v>49</v>
      </c>
      <c r="B21" s="2" t="s">
        <v>50</v>
      </c>
      <c r="C21" s="2" t="s">
        <v>51</v>
      </c>
      <c r="D21" s="2" t="s">
        <v>52</v>
      </c>
      <c r="E21" s="2" t="s">
        <v>53</v>
      </c>
    </row>
    <row r="22" spans="1:13" ht="42">
      <c r="A22" s="2" t="s">
        <v>54</v>
      </c>
      <c r="B22" s="2" t="s">
        <v>55</v>
      </c>
      <c r="C22" s="2" t="s">
        <v>56</v>
      </c>
      <c r="D22" s="2" t="s">
        <v>57</v>
      </c>
      <c r="E22" s="2" t="s">
        <v>58</v>
      </c>
    </row>
    <row r="23" spans="1:13" ht="42">
      <c r="A23" s="2" t="s">
        <v>59</v>
      </c>
      <c r="B23" s="2" t="s">
        <v>60</v>
      </c>
      <c r="C23" s="2" t="s">
        <v>61</v>
      </c>
      <c r="D23" s="2" t="s">
        <v>62</v>
      </c>
      <c r="E23" s="2" t="s">
        <v>63</v>
      </c>
    </row>
    <row r="24" spans="1:13" ht="56">
      <c r="A24" s="2" t="s">
        <v>64</v>
      </c>
      <c r="B24" s="2" t="s">
        <v>65</v>
      </c>
      <c r="C24" s="2"/>
      <c r="D24" s="2"/>
      <c r="E24" s="2"/>
    </row>
    <row r="25" spans="1:13" ht="56">
      <c r="A25" s="2" t="s">
        <v>66</v>
      </c>
      <c r="B25" s="2" t="s">
        <v>67</v>
      </c>
      <c r="C25" s="2"/>
      <c r="D25" s="2"/>
      <c r="E25" s="2"/>
    </row>
    <row r="26" spans="1:13" ht="126">
      <c r="A26" s="2" t="s">
        <v>68</v>
      </c>
      <c r="B26" s="2" t="s">
        <v>69</v>
      </c>
      <c r="C26" s="2"/>
      <c r="D26" s="2"/>
      <c r="E26" s="2"/>
    </row>
    <row r="27" spans="1:13" ht="56">
      <c r="A27" s="2" t="s">
        <v>70</v>
      </c>
      <c r="B27" s="2" t="s">
        <v>71</v>
      </c>
      <c r="C27" s="2"/>
      <c r="D27" s="2"/>
      <c r="E27" s="2"/>
    </row>
  </sheetData>
  <mergeCells count="2">
    <mergeCell ref="A1:M1"/>
    <mergeCell ref="A2:M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
  <sheetViews>
    <sheetView workbookViewId="0"/>
  </sheetViews>
  <sheetFormatPr defaultRowHeight="14"/>
  <cols>
    <col min="1" max="7" width="23" customWidth="1"/>
  </cols>
  <sheetData>
    <row r="1" spans="1:7" ht="20">
      <c r="A1" s="6" t="s">
        <v>72</v>
      </c>
      <c r="B1" s="7"/>
      <c r="C1" s="7"/>
      <c r="D1" s="7"/>
      <c r="E1" s="7"/>
      <c r="F1" s="7"/>
      <c r="G1" s="7"/>
    </row>
    <row r="2" spans="1:7" ht="14.5">
      <c r="A2" s="8" t="s">
        <v>73</v>
      </c>
      <c r="B2" s="7"/>
      <c r="C2" s="7"/>
      <c r="D2" s="7"/>
      <c r="E2" s="7"/>
      <c r="F2" s="7"/>
      <c r="G2" s="7"/>
    </row>
    <row r="4" spans="1:7" ht="28">
      <c r="A4" s="1" t="s">
        <v>2</v>
      </c>
      <c r="B4" s="1" t="s">
        <v>74</v>
      </c>
      <c r="C4" s="1" t="s">
        <v>75</v>
      </c>
      <c r="D4" s="1" t="s">
        <v>76</v>
      </c>
      <c r="E4" s="1" t="s">
        <v>77</v>
      </c>
      <c r="F4" s="1" t="s">
        <v>78</v>
      </c>
      <c r="G4" s="1" t="s">
        <v>79</v>
      </c>
    </row>
    <row r="5" spans="1:7" ht="42">
      <c r="A5" s="2" t="s">
        <v>8</v>
      </c>
      <c r="B5" s="2" t="s">
        <v>80</v>
      </c>
      <c r="C5" s="2" t="s">
        <v>81</v>
      </c>
      <c r="D5" s="2" t="s">
        <v>82</v>
      </c>
      <c r="E5" s="2" t="s">
        <v>83</v>
      </c>
      <c r="F5" s="2" t="s">
        <v>84</v>
      </c>
      <c r="G5" s="2" t="s">
        <v>85</v>
      </c>
    </row>
    <row r="6" spans="1:7" ht="28">
      <c r="A6" s="2" t="s">
        <v>8</v>
      </c>
      <c r="B6" s="2" t="s">
        <v>86</v>
      </c>
      <c r="C6" s="2" t="s">
        <v>87</v>
      </c>
      <c r="D6" s="2" t="s">
        <v>88</v>
      </c>
      <c r="E6" s="2" t="s">
        <v>83</v>
      </c>
      <c r="F6" s="2" t="s">
        <v>89</v>
      </c>
      <c r="G6" s="2" t="s">
        <v>85</v>
      </c>
    </row>
    <row r="7" spans="1:7" ht="42">
      <c r="A7" s="2" t="s">
        <v>8</v>
      </c>
      <c r="B7" s="2" t="s">
        <v>90</v>
      </c>
      <c r="C7" s="2" t="s">
        <v>91</v>
      </c>
      <c r="D7" s="2" t="s">
        <v>92</v>
      </c>
      <c r="E7" s="2" t="s">
        <v>93</v>
      </c>
      <c r="F7" s="2" t="s">
        <v>94</v>
      </c>
      <c r="G7" s="2" t="s">
        <v>95</v>
      </c>
    </row>
    <row r="8" spans="1:7" ht="28">
      <c r="A8" s="2" t="s">
        <v>14</v>
      </c>
      <c r="B8" s="2" t="s">
        <v>96</v>
      </c>
      <c r="C8" s="2" t="s">
        <v>97</v>
      </c>
      <c r="D8" s="2" t="s">
        <v>98</v>
      </c>
      <c r="E8" s="2" t="s">
        <v>99</v>
      </c>
      <c r="F8" s="2" t="s">
        <v>100</v>
      </c>
      <c r="G8" s="2" t="s">
        <v>101</v>
      </c>
    </row>
    <row r="9" spans="1:7" ht="28">
      <c r="A9" s="2" t="s">
        <v>14</v>
      </c>
      <c r="B9" s="2" t="s">
        <v>102</v>
      </c>
      <c r="C9" s="2" t="s">
        <v>103</v>
      </c>
      <c r="D9" s="2" t="s">
        <v>104</v>
      </c>
      <c r="E9" s="2" t="s">
        <v>99</v>
      </c>
      <c r="F9" s="2" t="s">
        <v>100</v>
      </c>
      <c r="G9" s="2" t="s">
        <v>101</v>
      </c>
    </row>
    <row r="10" spans="1:7">
      <c r="A10" s="2"/>
      <c r="B10" s="2"/>
      <c r="C10" s="2"/>
      <c r="D10" s="2"/>
      <c r="E10" s="2"/>
      <c r="F10" s="2"/>
      <c r="G10" s="2"/>
    </row>
    <row r="11" spans="1:7">
      <c r="A11" s="2"/>
      <c r="B11" s="2"/>
      <c r="C11" s="2"/>
      <c r="D11" s="2"/>
      <c r="E11" s="2"/>
      <c r="F11" s="2"/>
      <c r="G11" s="2"/>
    </row>
    <row r="12" spans="1:7">
      <c r="A12" s="2"/>
      <c r="B12" s="2"/>
      <c r="C12" s="2"/>
      <c r="D12" s="2"/>
      <c r="E12" s="2"/>
      <c r="F12" s="2"/>
      <c r="G12" s="2"/>
    </row>
    <row r="13" spans="1:7">
      <c r="A13" s="2"/>
      <c r="B13" s="2"/>
      <c r="C13" s="2"/>
      <c r="D13" s="2"/>
      <c r="E13" s="2"/>
      <c r="F13" s="2"/>
      <c r="G13" s="2"/>
    </row>
    <row r="14" spans="1:7">
      <c r="A14" s="2"/>
      <c r="B14" s="2"/>
      <c r="C14" s="2"/>
      <c r="D14" s="2"/>
      <c r="E14" s="2"/>
      <c r="F14" s="2"/>
      <c r="G14" s="2"/>
    </row>
    <row r="15" spans="1:7">
      <c r="A15" s="2"/>
      <c r="B15" s="2"/>
      <c r="C15" s="2"/>
      <c r="D15" s="2"/>
      <c r="E15" s="2"/>
      <c r="F15" s="2"/>
      <c r="G15" s="2"/>
    </row>
    <row r="16" spans="1:7">
      <c r="A16" s="2"/>
      <c r="B16" s="2"/>
      <c r="C16" s="2"/>
      <c r="D16" s="2"/>
      <c r="E16" s="2"/>
      <c r="F16" s="2"/>
      <c r="G16" s="2"/>
    </row>
    <row r="17" spans="1:7">
      <c r="A17" s="2"/>
      <c r="B17" s="2"/>
      <c r="C17" s="2"/>
      <c r="D17" s="2"/>
      <c r="E17" s="2"/>
      <c r="F17" s="2"/>
      <c r="G17" s="2"/>
    </row>
    <row r="18" spans="1:7">
      <c r="A18" s="2"/>
      <c r="B18" s="2"/>
      <c r="C18" s="2"/>
      <c r="D18" s="2"/>
      <c r="E18" s="2"/>
      <c r="F18" s="2"/>
      <c r="G18" s="2"/>
    </row>
    <row r="19" spans="1:7">
      <c r="A19" s="2"/>
      <c r="B19" s="2"/>
      <c r="C19" s="2"/>
      <c r="D19" s="2"/>
      <c r="E19" s="2"/>
      <c r="F19" s="2"/>
      <c r="G19" s="2"/>
    </row>
    <row r="20" spans="1:7">
      <c r="A20" s="2"/>
      <c r="B20" s="2"/>
      <c r="C20" s="2"/>
      <c r="D20" s="2"/>
      <c r="E20" s="2"/>
      <c r="F20" s="2"/>
      <c r="G20" s="2"/>
    </row>
  </sheetData>
  <mergeCells count="2">
    <mergeCell ref="A1:G1"/>
    <mergeCell ref="A2:G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141"/>
  <sheetViews>
    <sheetView tabSelected="1" topLeftCell="C1" workbookViewId="0">
      <selection activeCell="D5" sqref="D5:E8"/>
    </sheetView>
  </sheetViews>
  <sheetFormatPr defaultRowHeight="14"/>
  <cols>
    <col min="1" max="5" width="28" customWidth="1"/>
    <col min="8" max="25" width="15" customWidth="1"/>
    <col min="26" max="35" width="20" customWidth="1"/>
  </cols>
  <sheetData>
    <row r="1" spans="1:35" ht="20">
      <c r="A1" s="6" t="s">
        <v>105</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ht="14.5">
      <c r="A2" s="8" t="s">
        <v>106</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row>
    <row r="4" spans="1:35">
      <c r="A4" s="3" t="s">
        <v>107</v>
      </c>
      <c r="B4" t="s">
        <v>108</v>
      </c>
      <c r="D4" s="9" t="s">
        <v>109</v>
      </c>
      <c r="E4" s="9"/>
      <c r="F4" s="9"/>
      <c r="G4" s="9"/>
      <c r="H4" s="9"/>
    </row>
    <row r="5" spans="1:35" ht="182">
      <c r="A5" s="3" t="s">
        <v>110</v>
      </c>
      <c r="D5" s="11" t="s">
        <v>384</v>
      </c>
      <c r="E5" s="10" t="s">
        <v>385</v>
      </c>
      <c r="F5" s="4"/>
      <c r="G5" s="4"/>
      <c r="H5" s="4"/>
    </row>
    <row r="6" spans="1:35" ht="238">
      <c r="A6" s="3" t="s">
        <v>112</v>
      </c>
      <c r="D6" s="11" t="s">
        <v>386</v>
      </c>
      <c r="E6" s="10" t="s">
        <v>387</v>
      </c>
      <c r="F6" s="4"/>
      <c r="G6" s="4"/>
      <c r="H6" s="4"/>
    </row>
    <row r="7" spans="1:35" ht="294">
      <c r="A7" s="3" t="s">
        <v>114</v>
      </c>
      <c r="D7" s="11" t="s">
        <v>388</v>
      </c>
      <c r="E7" s="10" t="s">
        <v>389</v>
      </c>
      <c r="F7" s="4"/>
      <c r="G7" s="4"/>
      <c r="H7" s="4"/>
    </row>
    <row r="8" spans="1:35" ht="280">
      <c r="A8" s="3" t="s">
        <v>116</v>
      </c>
      <c r="B8">
        <f>COUNTA(A18:A117)</f>
        <v>0</v>
      </c>
      <c r="D8" s="11" t="s">
        <v>390</v>
      </c>
      <c r="E8" s="10" t="s">
        <v>391</v>
      </c>
      <c r="F8" s="4"/>
      <c r="G8" s="4"/>
      <c r="H8" s="4"/>
    </row>
    <row r="9" spans="1:35">
      <c r="A9" s="3" t="s">
        <v>6</v>
      </c>
      <c r="B9">
        <f>COUNTIF(Z18:Z117,"Low")</f>
        <v>0</v>
      </c>
    </row>
    <row r="10" spans="1:35">
      <c r="A10" s="3" t="s">
        <v>12</v>
      </c>
      <c r="B10">
        <f>COUNTIF(Z18:Z117,"Medium")</f>
        <v>0</v>
      </c>
    </row>
    <row r="11" spans="1:35">
      <c r="A11" s="3" t="s">
        <v>18</v>
      </c>
      <c r="B11">
        <f>COUNTIF(Z18:Z117,"High")</f>
        <v>0</v>
      </c>
    </row>
    <row r="12" spans="1:35">
      <c r="A12" s="3" t="s">
        <v>23</v>
      </c>
      <c r="B12">
        <f>COUNTIF(Z18:Z117,"Very High")</f>
        <v>0</v>
      </c>
    </row>
    <row r="13" spans="1:35">
      <c r="A13" s="3" t="s">
        <v>118</v>
      </c>
      <c r="B13">
        <f>COUNTIF(AD18:AD117,"Yes")</f>
        <v>0</v>
      </c>
    </row>
    <row r="14" spans="1:35">
      <c r="A14" s="3" t="s">
        <v>119</v>
      </c>
    </row>
    <row r="17" spans="1:37" ht="28">
      <c r="A17" s="1" t="s">
        <v>120</v>
      </c>
      <c r="B17" s="1" t="s">
        <v>121</v>
      </c>
      <c r="C17" s="1" t="s">
        <v>2</v>
      </c>
      <c r="D17" s="1" t="s">
        <v>75</v>
      </c>
      <c r="E17" s="1" t="s">
        <v>122</v>
      </c>
      <c r="F17" s="1" t="s">
        <v>123</v>
      </c>
      <c r="G17" s="1" t="s">
        <v>110</v>
      </c>
      <c r="H17" s="1" t="s">
        <v>124</v>
      </c>
      <c r="I17" s="1" t="s">
        <v>125</v>
      </c>
      <c r="J17" s="1" t="s">
        <v>126</v>
      </c>
      <c r="K17" s="1" t="s">
        <v>127</v>
      </c>
      <c r="L17" s="1" t="s">
        <v>128</v>
      </c>
      <c r="M17" s="1" t="s">
        <v>129</v>
      </c>
      <c r="N17" s="1" t="s">
        <v>130</v>
      </c>
      <c r="O17" s="1" t="s">
        <v>131</v>
      </c>
      <c r="P17" s="1" t="s">
        <v>132</v>
      </c>
      <c r="Q17" s="1" t="s">
        <v>133</v>
      </c>
      <c r="R17" s="1" t="s">
        <v>134</v>
      </c>
      <c r="S17" s="1" t="s">
        <v>135</v>
      </c>
      <c r="T17" s="1" t="s">
        <v>136</v>
      </c>
      <c r="U17" s="1" t="s">
        <v>137</v>
      </c>
      <c r="V17" s="1" t="s">
        <v>138</v>
      </c>
      <c r="W17" s="1" t="s">
        <v>139</v>
      </c>
      <c r="X17" s="1" t="s">
        <v>140</v>
      </c>
      <c r="Y17" s="1" t="s">
        <v>141</v>
      </c>
      <c r="Z17" s="1" t="s">
        <v>142</v>
      </c>
      <c r="AA17" s="1" t="s">
        <v>143</v>
      </c>
      <c r="AB17" s="1" t="s">
        <v>144</v>
      </c>
      <c r="AC17" s="1" t="s">
        <v>3</v>
      </c>
      <c r="AD17" s="1" t="s">
        <v>145</v>
      </c>
      <c r="AE17" s="1" t="s">
        <v>146</v>
      </c>
      <c r="AF17" s="1" t="s">
        <v>147</v>
      </c>
      <c r="AG17" s="1" t="s">
        <v>148</v>
      </c>
      <c r="AH17" s="1" t="s">
        <v>149</v>
      </c>
      <c r="AI17" s="1" t="s">
        <v>150</v>
      </c>
      <c r="AJ17" t="s">
        <v>151</v>
      </c>
      <c r="AK17" t="s">
        <v>152</v>
      </c>
    </row>
    <row r="18" spans="1:37">
      <c r="A18" s="2"/>
      <c r="B18" s="2"/>
      <c r="C18" s="2"/>
      <c r="D18" s="2"/>
      <c r="E18" s="5"/>
      <c r="F18" s="2"/>
      <c r="G18" s="5"/>
      <c r="H18" s="2"/>
      <c r="I18" s="2"/>
      <c r="J18" s="2"/>
      <c r="K18" s="2"/>
      <c r="L18" s="2"/>
      <c r="M18" s="2"/>
      <c r="N18" s="2"/>
      <c r="O18" s="2"/>
      <c r="P18" s="2"/>
      <c r="Q18" s="2"/>
      <c r="R18" s="2"/>
      <c r="S18" s="2"/>
      <c r="T18" s="2"/>
      <c r="U18" s="2"/>
      <c r="V18" s="2"/>
      <c r="W18" s="2"/>
      <c r="X18" s="2"/>
      <c r="Y18" s="2"/>
      <c r="Z18" s="2" t="str">
        <f t="shared" ref="Z18:Z49" si="0">IF(COUNTA(H18:Y18)=0,"",IF(COUNTIF(H18:Y18,"Very High")&gt;0,"Very High",IF(COUNTIF(H18:Y18,"High")&gt;0,"High",IF(COUNTIF(H18:Y18,"Medium")&gt;0,"Medium","Low"))))</f>
        <v/>
      </c>
      <c r="AA18" s="2" t="str">
        <f t="shared" ref="AA18:AA49" si="1">IF(Z18="","",IF(Z18="Low","Routine planned support",IF(Z18="Medium","One staff support/supervision likely",IF(Z18="High","Two staff/review staffing and equipment","Manager review: multiple staff/specialist support"))))</f>
        <v/>
      </c>
      <c r="AB18" s="2" t="str">
        <f t="shared" ref="AB18:AB49" si="2">IF(Z18="","",IF(OR(Z18="High",Z18="Very High",W18="High",W18="Very High"),"Night staffing and evacuation review required","Routine night checks as per care plan"))</f>
        <v/>
      </c>
      <c r="AC18" s="2" t="str">
        <f t="shared" ref="AC18:AC49" si="3">IF(X18="Very High","Specialist PEEP / equipment",IF(OR(X18="High",Z18="High"),"Evacuation sheet/chair or wheelchair per PEEP",IF(OR(X18="Medium",Z18="Medium"),"Walking aid/wheelchair support per PEEP","Walks with direction")))</f>
        <v>Walks with direction</v>
      </c>
      <c r="AD18" s="2"/>
      <c r="AE18" s="5"/>
      <c r="AF18" s="2"/>
      <c r="AG18" s="2"/>
      <c r="AH18" s="2"/>
      <c r="AI18" s="2"/>
    </row>
    <row r="19" spans="1:37">
      <c r="A19" s="2"/>
      <c r="B19" s="2"/>
      <c r="C19" s="2"/>
      <c r="D19" s="2"/>
      <c r="E19" s="5"/>
      <c r="F19" s="2"/>
      <c r="G19" s="5"/>
      <c r="H19" s="2"/>
      <c r="I19" s="2"/>
      <c r="J19" s="2"/>
      <c r="K19" s="2"/>
      <c r="L19" s="2"/>
      <c r="M19" s="2"/>
      <c r="N19" s="2"/>
      <c r="O19" s="2"/>
      <c r="P19" s="2"/>
      <c r="Q19" s="2"/>
      <c r="R19" s="2"/>
      <c r="S19" s="2"/>
      <c r="T19" s="2"/>
      <c r="U19" s="2"/>
      <c r="V19" s="2"/>
      <c r="W19" s="2"/>
      <c r="X19" s="2"/>
      <c r="Y19" s="2"/>
      <c r="Z19" s="2" t="str">
        <f t="shared" si="0"/>
        <v/>
      </c>
      <c r="AA19" s="2" t="str">
        <f t="shared" si="1"/>
        <v/>
      </c>
      <c r="AB19" s="2" t="str">
        <f t="shared" si="2"/>
        <v/>
      </c>
      <c r="AC19" s="2" t="str">
        <f t="shared" si="3"/>
        <v>Walks with direction</v>
      </c>
      <c r="AD19" s="2"/>
      <c r="AE19" s="5"/>
      <c r="AF19" s="2"/>
      <c r="AG19" s="2"/>
      <c r="AH19" s="2"/>
      <c r="AI19" s="2"/>
    </row>
    <row r="20" spans="1:37">
      <c r="A20" s="2"/>
      <c r="B20" s="2"/>
      <c r="C20" s="2"/>
      <c r="D20" s="2"/>
      <c r="E20" s="5"/>
      <c r="F20" s="2"/>
      <c r="G20" s="5"/>
      <c r="H20" s="2"/>
      <c r="I20" s="2"/>
      <c r="J20" s="2"/>
      <c r="K20" s="2"/>
      <c r="L20" s="2"/>
      <c r="M20" s="2"/>
      <c r="N20" s="2"/>
      <c r="O20" s="2"/>
      <c r="P20" s="2"/>
      <c r="Q20" s="2"/>
      <c r="R20" s="2"/>
      <c r="S20" s="2"/>
      <c r="T20" s="2"/>
      <c r="U20" s="2"/>
      <c r="V20" s="2"/>
      <c r="W20" s="2"/>
      <c r="X20" s="2"/>
      <c r="Y20" s="2"/>
      <c r="Z20" s="2" t="str">
        <f t="shared" si="0"/>
        <v/>
      </c>
      <c r="AA20" s="2" t="str">
        <f t="shared" si="1"/>
        <v/>
      </c>
      <c r="AB20" s="2" t="str">
        <f t="shared" si="2"/>
        <v/>
      </c>
      <c r="AC20" s="2" t="str">
        <f t="shared" si="3"/>
        <v>Walks with direction</v>
      </c>
      <c r="AD20" s="2"/>
      <c r="AE20" s="5"/>
      <c r="AF20" s="2"/>
      <c r="AG20" s="2"/>
      <c r="AH20" s="2"/>
      <c r="AI20" s="2"/>
    </row>
    <row r="21" spans="1:37">
      <c r="A21" s="2"/>
      <c r="B21" s="2"/>
      <c r="C21" s="2"/>
      <c r="D21" s="2"/>
      <c r="E21" s="5"/>
      <c r="F21" s="2"/>
      <c r="G21" s="5"/>
      <c r="H21" s="2"/>
      <c r="I21" s="2"/>
      <c r="J21" s="2"/>
      <c r="K21" s="2"/>
      <c r="L21" s="2"/>
      <c r="M21" s="2"/>
      <c r="N21" s="2"/>
      <c r="O21" s="2"/>
      <c r="P21" s="2"/>
      <c r="Q21" s="2"/>
      <c r="R21" s="2"/>
      <c r="S21" s="2"/>
      <c r="T21" s="2"/>
      <c r="U21" s="2"/>
      <c r="V21" s="2"/>
      <c r="W21" s="2"/>
      <c r="X21" s="2"/>
      <c r="Y21" s="2"/>
      <c r="Z21" s="2" t="str">
        <f t="shared" si="0"/>
        <v/>
      </c>
      <c r="AA21" s="2" t="str">
        <f t="shared" si="1"/>
        <v/>
      </c>
      <c r="AB21" s="2" t="str">
        <f t="shared" si="2"/>
        <v/>
      </c>
      <c r="AC21" s="2" t="str">
        <f t="shared" si="3"/>
        <v>Walks with direction</v>
      </c>
      <c r="AD21" s="2"/>
      <c r="AE21" s="5"/>
      <c r="AF21" s="2"/>
      <c r="AG21" s="2"/>
      <c r="AH21" s="2"/>
      <c r="AI21" s="2"/>
    </row>
    <row r="22" spans="1:37">
      <c r="A22" s="2"/>
      <c r="B22" s="2"/>
      <c r="C22" s="2"/>
      <c r="D22" s="2"/>
      <c r="E22" s="5"/>
      <c r="F22" s="2"/>
      <c r="G22" s="5"/>
      <c r="H22" s="2"/>
      <c r="I22" s="2"/>
      <c r="J22" s="2"/>
      <c r="K22" s="2"/>
      <c r="L22" s="2"/>
      <c r="M22" s="2"/>
      <c r="N22" s="2"/>
      <c r="O22" s="2"/>
      <c r="P22" s="2"/>
      <c r="Q22" s="2"/>
      <c r="R22" s="2"/>
      <c r="S22" s="2"/>
      <c r="T22" s="2"/>
      <c r="U22" s="2"/>
      <c r="V22" s="2"/>
      <c r="W22" s="2"/>
      <c r="X22" s="2"/>
      <c r="Y22" s="2"/>
      <c r="Z22" s="2" t="str">
        <f t="shared" si="0"/>
        <v/>
      </c>
      <c r="AA22" s="2" t="str">
        <f t="shared" si="1"/>
        <v/>
      </c>
      <c r="AB22" s="2" t="str">
        <f t="shared" si="2"/>
        <v/>
      </c>
      <c r="AC22" s="2" t="str">
        <f t="shared" si="3"/>
        <v>Walks with direction</v>
      </c>
      <c r="AD22" s="2"/>
      <c r="AE22" s="5"/>
      <c r="AF22" s="2"/>
      <c r="AG22" s="2"/>
      <c r="AH22" s="2"/>
      <c r="AI22" s="2"/>
    </row>
    <row r="23" spans="1:37">
      <c r="A23" s="2"/>
      <c r="B23" s="2"/>
      <c r="C23" s="2"/>
      <c r="D23" s="2"/>
      <c r="E23" s="5"/>
      <c r="F23" s="2"/>
      <c r="G23" s="5"/>
      <c r="H23" s="2"/>
      <c r="I23" s="2"/>
      <c r="J23" s="2"/>
      <c r="K23" s="2"/>
      <c r="L23" s="2"/>
      <c r="M23" s="2"/>
      <c r="N23" s="2"/>
      <c r="O23" s="2"/>
      <c r="P23" s="2"/>
      <c r="Q23" s="2"/>
      <c r="R23" s="2"/>
      <c r="S23" s="2"/>
      <c r="T23" s="2"/>
      <c r="U23" s="2"/>
      <c r="V23" s="2"/>
      <c r="W23" s="2"/>
      <c r="X23" s="2"/>
      <c r="Y23" s="2"/>
      <c r="Z23" s="2" t="str">
        <f t="shared" si="0"/>
        <v/>
      </c>
      <c r="AA23" s="2" t="str">
        <f t="shared" si="1"/>
        <v/>
      </c>
      <c r="AB23" s="2" t="str">
        <f t="shared" si="2"/>
        <v/>
      </c>
      <c r="AC23" s="2" t="str">
        <f t="shared" si="3"/>
        <v>Walks with direction</v>
      </c>
      <c r="AD23" s="2"/>
      <c r="AE23" s="5"/>
      <c r="AF23" s="2"/>
      <c r="AG23" s="2"/>
      <c r="AH23" s="2"/>
      <c r="AI23" s="2"/>
    </row>
    <row r="24" spans="1:37">
      <c r="A24" s="2"/>
      <c r="B24" s="2"/>
      <c r="C24" s="2"/>
      <c r="D24" s="2"/>
      <c r="E24" s="5"/>
      <c r="F24" s="2"/>
      <c r="G24" s="5"/>
      <c r="H24" s="2"/>
      <c r="I24" s="2"/>
      <c r="J24" s="2"/>
      <c r="K24" s="2"/>
      <c r="L24" s="2"/>
      <c r="M24" s="2"/>
      <c r="N24" s="2"/>
      <c r="O24" s="2"/>
      <c r="P24" s="2"/>
      <c r="Q24" s="2"/>
      <c r="R24" s="2"/>
      <c r="S24" s="2"/>
      <c r="T24" s="2"/>
      <c r="U24" s="2"/>
      <c r="V24" s="2"/>
      <c r="W24" s="2"/>
      <c r="X24" s="2"/>
      <c r="Y24" s="2"/>
      <c r="Z24" s="2" t="str">
        <f t="shared" si="0"/>
        <v/>
      </c>
      <c r="AA24" s="2" t="str">
        <f t="shared" si="1"/>
        <v/>
      </c>
      <c r="AB24" s="2" t="str">
        <f t="shared" si="2"/>
        <v/>
      </c>
      <c r="AC24" s="2" t="str">
        <f t="shared" si="3"/>
        <v>Walks with direction</v>
      </c>
      <c r="AD24" s="2"/>
      <c r="AE24" s="5"/>
      <c r="AF24" s="2"/>
      <c r="AG24" s="2"/>
      <c r="AH24" s="2"/>
      <c r="AI24" s="2"/>
    </row>
    <row r="25" spans="1:37">
      <c r="A25" s="2"/>
      <c r="B25" s="2"/>
      <c r="C25" s="2"/>
      <c r="D25" s="2"/>
      <c r="E25" s="5"/>
      <c r="F25" s="2"/>
      <c r="G25" s="5"/>
      <c r="H25" s="2"/>
      <c r="I25" s="2"/>
      <c r="J25" s="2"/>
      <c r="K25" s="2"/>
      <c r="L25" s="2"/>
      <c r="M25" s="2"/>
      <c r="N25" s="2"/>
      <c r="O25" s="2"/>
      <c r="P25" s="2"/>
      <c r="Q25" s="2"/>
      <c r="R25" s="2"/>
      <c r="S25" s="2"/>
      <c r="T25" s="2"/>
      <c r="U25" s="2"/>
      <c r="V25" s="2"/>
      <c r="W25" s="2"/>
      <c r="X25" s="2"/>
      <c r="Y25" s="2"/>
      <c r="Z25" s="2" t="str">
        <f t="shared" si="0"/>
        <v/>
      </c>
      <c r="AA25" s="2" t="str">
        <f t="shared" si="1"/>
        <v/>
      </c>
      <c r="AB25" s="2" t="str">
        <f t="shared" si="2"/>
        <v/>
      </c>
      <c r="AC25" s="2" t="str">
        <f t="shared" si="3"/>
        <v>Walks with direction</v>
      </c>
      <c r="AD25" s="2"/>
      <c r="AE25" s="5"/>
      <c r="AF25" s="2"/>
      <c r="AG25" s="2"/>
      <c r="AH25" s="2"/>
      <c r="AI25" s="2"/>
    </row>
    <row r="26" spans="1:37">
      <c r="A26" s="2"/>
      <c r="B26" s="2"/>
      <c r="C26" s="2"/>
      <c r="D26" s="2"/>
      <c r="E26" s="5"/>
      <c r="F26" s="2"/>
      <c r="G26" s="5"/>
      <c r="H26" s="2"/>
      <c r="I26" s="2"/>
      <c r="J26" s="2"/>
      <c r="K26" s="2"/>
      <c r="L26" s="2"/>
      <c r="M26" s="2"/>
      <c r="N26" s="2"/>
      <c r="O26" s="2"/>
      <c r="P26" s="2"/>
      <c r="Q26" s="2"/>
      <c r="R26" s="2"/>
      <c r="S26" s="2"/>
      <c r="T26" s="2"/>
      <c r="U26" s="2"/>
      <c r="V26" s="2"/>
      <c r="W26" s="2"/>
      <c r="X26" s="2"/>
      <c r="Y26" s="2"/>
      <c r="Z26" s="2" t="str">
        <f t="shared" si="0"/>
        <v/>
      </c>
      <c r="AA26" s="2" t="str">
        <f t="shared" si="1"/>
        <v/>
      </c>
      <c r="AB26" s="2" t="str">
        <f t="shared" si="2"/>
        <v/>
      </c>
      <c r="AC26" s="2" t="str">
        <f t="shared" si="3"/>
        <v>Walks with direction</v>
      </c>
      <c r="AD26" s="2"/>
      <c r="AE26" s="5"/>
      <c r="AF26" s="2"/>
      <c r="AG26" s="2"/>
      <c r="AH26" s="2"/>
      <c r="AI26" s="2"/>
    </row>
    <row r="27" spans="1:37">
      <c r="A27" s="2"/>
      <c r="B27" s="2"/>
      <c r="C27" s="2"/>
      <c r="D27" s="2"/>
      <c r="E27" s="5"/>
      <c r="F27" s="2"/>
      <c r="G27" s="5"/>
      <c r="H27" s="2"/>
      <c r="I27" s="2"/>
      <c r="J27" s="2"/>
      <c r="K27" s="2"/>
      <c r="L27" s="2"/>
      <c r="M27" s="2"/>
      <c r="N27" s="2"/>
      <c r="O27" s="2"/>
      <c r="P27" s="2"/>
      <c r="Q27" s="2"/>
      <c r="R27" s="2"/>
      <c r="S27" s="2"/>
      <c r="T27" s="2"/>
      <c r="U27" s="2"/>
      <c r="V27" s="2"/>
      <c r="W27" s="2"/>
      <c r="X27" s="2"/>
      <c r="Y27" s="2"/>
      <c r="Z27" s="2" t="str">
        <f t="shared" si="0"/>
        <v/>
      </c>
      <c r="AA27" s="2" t="str">
        <f t="shared" si="1"/>
        <v/>
      </c>
      <c r="AB27" s="2" t="str">
        <f t="shared" si="2"/>
        <v/>
      </c>
      <c r="AC27" s="2" t="str">
        <f t="shared" si="3"/>
        <v>Walks with direction</v>
      </c>
      <c r="AD27" s="2"/>
      <c r="AE27" s="5"/>
      <c r="AF27" s="2"/>
      <c r="AG27" s="2"/>
      <c r="AH27" s="2"/>
      <c r="AI27" s="2"/>
    </row>
    <row r="28" spans="1:37">
      <c r="A28" s="2"/>
      <c r="B28" s="2"/>
      <c r="C28" s="2"/>
      <c r="D28" s="2"/>
      <c r="E28" s="5"/>
      <c r="F28" s="2"/>
      <c r="G28" s="5"/>
      <c r="H28" s="2"/>
      <c r="I28" s="2"/>
      <c r="J28" s="2"/>
      <c r="K28" s="2"/>
      <c r="L28" s="2"/>
      <c r="M28" s="2"/>
      <c r="N28" s="2"/>
      <c r="O28" s="2"/>
      <c r="P28" s="2"/>
      <c r="Q28" s="2"/>
      <c r="R28" s="2"/>
      <c r="S28" s="2"/>
      <c r="T28" s="2"/>
      <c r="U28" s="2"/>
      <c r="V28" s="2"/>
      <c r="W28" s="2"/>
      <c r="X28" s="2"/>
      <c r="Y28" s="2"/>
      <c r="Z28" s="2" t="str">
        <f t="shared" si="0"/>
        <v/>
      </c>
      <c r="AA28" s="2" t="str">
        <f t="shared" si="1"/>
        <v/>
      </c>
      <c r="AB28" s="2" t="str">
        <f t="shared" si="2"/>
        <v/>
      </c>
      <c r="AC28" s="2" t="str">
        <f t="shared" si="3"/>
        <v>Walks with direction</v>
      </c>
      <c r="AD28" s="2"/>
      <c r="AE28" s="5"/>
      <c r="AF28" s="2"/>
      <c r="AG28" s="2"/>
      <c r="AH28" s="2"/>
      <c r="AI28" s="2"/>
    </row>
    <row r="29" spans="1:37">
      <c r="A29" s="2"/>
      <c r="B29" s="2"/>
      <c r="C29" s="2"/>
      <c r="D29" s="2"/>
      <c r="E29" s="5"/>
      <c r="F29" s="2"/>
      <c r="G29" s="5"/>
      <c r="H29" s="2"/>
      <c r="I29" s="2"/>
      <c r="J29" s="2"/>
      <c r="K29" s="2"/>
      <c r="L29" s="2"/>
      <c r="M29" s="2"/>
      <c r="N29" s="2"/>
      <c r="O29" s="2"/>
      <c r="P29" s="2"/>
      <c r="Q29" s="2"/>
      <c r="R29" s="2"/>
      <c r="S29" s="2"/>
      <c r="T29" s="2"/>
      <c r="U29" s="2"/>
      <c r="V29" s="2"/>
      <c r="W29" s="2"/>
      <c r="X29" s="2"/>
      <c r="Y29" s="2"/>
      <c r="Z29" s="2" t="str">
        <f t="shared" si="0"/>
        <v/>
      </c>
      <c r="AA29" s="2" t="str">
        <f t="shared" si="1"/>
        <v/>
      </c>
      <c r="AB29" s="2" t="str">
        <f t="shared" si="2"/>
        <v/>
      </c>
      <c r="AC29" s="2" t="str">
        <f t="shared" si="3"/>
        <v>Walks with direction</v>
      </c>
      <c r="AD29" s="2"/>
      <c r="AE29" s="5"/>
      <c r="AF29" s="2"/>
      <c r="AG29" s="2"/>
      <c r="AH29" s="2"/>
      <c r="AI29" s="2"/>
    </row>
    <row r="30" spans="1:37">
      <c r="A30" s="2"/>
      <c r="B30" s="2"/>
      <c r="C30" s="2"/>
      <c r="D30" s="2"/>
      <c r="E30" s="5"/>
      <c r="F30" s="2"/>
      <c r="G30" s="5"/>
      <c r="H30" s="2"/>
      <c r="I30" s="2"/>
      <c r="J30" s="2"/>
      <c r="K30" s="2"/>
      <c r="L30" s="2"/>
      <c r="M30" s="2"/>
      <c r="N30" s="2"/>
      <c r="O30" s="2"/>
      <c r="P30" s="2"/>
      <c r="Q30" s="2"/>
      <c r="R30" s="2"/>
      <c r="S30" s="2"/>
      <c r="T30" s="2"/>
      <c r="U30" s="2"/>
      <c r="V30" s="2"/>
      <c r="W30" s="2"/>
      <c r="X30" s="2"/>
      <c r="Y30" s="2"/>
      <c r="Z30" s="2" t="str">
        <f t="shared" si="0"/>
        <v/>
      </c>
      <c r="AA30" s="2" t="str">
        <f t="shared" si="1"/>
        <v/>
      </c>
      <c r="AB30" s="2" t="str">
        <f t="shared" si="2"/>
        <v/>
      </c>
      <c r="AC30" s="2" t="str">
        <f t="shared" si="3"/>
        <v>Walks with direction</v>
      </c>
      <c r="AD30" s="2"/>
      <c r="AE30" s="5"/>
      <c r="AF30" s="2"/>
      <c r="AG30" s="2"/>
      <c r="AH30" s="2"/>
      <c r="AI30" s="2"/>
    </row>
    <row r="31" spans="1:37">
      <c r="A31" s="2"/>
      <c r="B31" s="2"/>
      <c r="C31" s="2"/>
      <c r="D31" s="2"/>
      <c r="E31" s="5"/>
      <c r="F31" s="2"/>
      <c r="G31" s="5"/>
      <c r="H31" s="2"/>
      <c r="I31" s="2"/>
      <c r="J31" s="2"/>
      <c r="K31" s="2"/>
      <c r="L31" s="2"/>
      <c r="M31" s="2"/>
      <c r="N31" s="2"/>
      <c r="O31" s="2"/>
      <c r="P31" s="2"/>
      <c r="Q31" s="2"/>
      <c r="R31" s="2"/>
      <c r="S31" s="2"/>
      <c r="T31" s="2"/>
      <c r="U31" s="2"/>
      <c r="V31" s="2"/>
      <c r="W31" s="2"/>
      <c r="X31" s="2"/>
      <c r="Y31" s="2"/>
      <c r="Z31" s="2" t="str">
        <f t="shared" si="0"/>
        <v/>
      </c>
      <c r="AA31" s="2" t="str">
        <f t="shared" si="1"/>
        <v/>
      </c>
      <c r="AB31" s="2" t="str">
        <f t="shared" si="2"/>
        <v/>
      </c>
      <c r="AC31" s="2" t="str">
        <f t="shared" si="3"/>
        <v>Walks with direction</v>
      </c>
      <c r="AD31" s="2"/>
      <c r="AE31" s="5"/>
      <c r="AF31" s="2"/>
      <c r="AG31" s="2"/>
      <c r="AH31" s="2"/>
      <c r="AI31" s="2"/>
    </row>
    <row r="32" spans="1:37">
      <c r="A32" s="2"/>
      <c r="B32" s="2"/>
      <c r="C32" s="2"/>
      <c r="D32" s="2"/>
      <c r="E32" s="5"/>
      <c r="F32" s="2"/>
      <c r="G32" s="5"/>
      <c r="H32" s="2"/>
      <c r="I32" s="2"/>
      <c r="J32" s="2"/>
      <c r="K32" s="2"/>
      <c r="L32" s="2"/>
      <c r="M32" s="2"/>
      <c r="N32" s="2"/>
      <c r="O32" s="2"/>
      <c r="P32" s="2"/>
      <c r="Q32" s="2"/>
      <c r="R32" s="2"/>
      <c r="S32" s="2"/>
      <c r="T32" s="2"/>
      <c r="U32" s="2"/>
      <c r="V32" s="2"/>
      <c r="W32" s="2"/>
      <c r="X32" s="2"/>
      <c r="Y32" s="2"/>
      <c r="Z32" s="2" t="str">
        <f t="shared" si="0"/>
        <v/>
      </c>
      <c r="AA32" s="2" t="str">
        <f t="shared" si="1"/>
        <v/>
      </c>
      <c r="AB32" s="2" t="str">
        <f t="shared" si="2"/>
        <v/>
      </c>
      <c r="AC32" s="2" t="str">
        <f t="shared" si="3"/>
        <v>Walks with direction</v>
      </c>
      <c r="AD32" s="2"/>
      <c r="AE32" s="5"/>
      <c r="AF32" s="2"/>
      <c r="AG32" s="2"/>
      <c r="AH32" s="2"/>
      <c r="AI32" s="2"/>
    </row>
    <row r="33" spans="1:35">
      <c r="A33" s="2"/>
      <c r="B33" s="2"/>
      <c r="C33" s="2"/>
      <c r="D33" s="2"/>
      <c r="E33" s="5"/>
      <c r="F33" s="2"/>
      <c r="G33" s="5"/>
      <c r="H33" s="2"/>
      <c r="I33" s="2"/>
      <c r="J33" s="2"/>
      <c r="K33" s="2"/>
      <c r="L33" s="2"/>
      <c r="M33" s="2"/>
      <c r="N33" s="2"/>
      <c r="O33" s="2"/>
      <c r="P33" s="2"/>
      <c r="Q33" s="2"/>
      <c r="R33" s="2"/>
      <c r="S33" s="2"/>
      <c r="T33" s="2"/>
      <c r="U33" s="2"/>
      <c r="V33" s="2"/>
      <c r="W33" s="2"/>
      <c r="X33" s="2"/>
      <c r="Y33" s="2"/>
      <c r="Z33" s="2" t="str">
        <f t="shared" si="0"/>
        <v/>
      </c>
      <c r="AA33" s="2" t="str">
        <f t="shared" si="1"/>
        <v/>
      </c>
      <c r="AB33" s="2" t="str">
        <f t="shared" si="2"/>
        <v/>
      </c>
      <c r="AC33" s="2" t="str">
        <f t="shared" si="3"/>
        <v>Walks with direction</v>
      </c>
      <c r="AD33" s="2"/>
      <c r="AE33" s="5"/>
      <c r="AF33" s="2"/>
      <c r="AG33" s="2"/>
      <c r="AH33" s="2"/>
      <c r="AI33" s="2"/>
    </row>
    <row r="34" spans="1:35">
      <c r="A34" s="2"/>
      <c r="B34" s="2"/>
      <c r="C34" s="2"/>
      <c r="D34" s="2"/>
      <c r="E34" s="5"/>
      <c r="F34" s="2"/>
      <c r="G34" s="5"/>
      <c r="H34" s="2"/>
      <c r="I34" s="2"/>
      <c r="J34" s="2"/>
      <c r="K34" s="2"/>
      <c r="L34" s="2"/>
      <c r="M34" s="2"/>
      <c r="N34" s="2"/>
      <c r="O34" s="2"/>
      <c r="P34" s="2"/>
      <c r="Q34" s="2"/>
      <c r="R34" s="2"/>
      <c r="S34" s="2"/>
      <c r="T34" s="2"/>
      <c r="U34" s="2"/>
      <c r="V34" s="2"/>
      <c r="W34" s="2"/>
      <c r="X34" s="2"/>
      <c r="Y34" s="2"/>
      <c r="Z34" s="2" t="str">
        <f t="shared" si="0"/>
        <v/>
      </c>
      <c r="AA34" s="2" t="str">
        <f t="shared" si="1"/>
        <v/>
      </c>
      <c r="AB34" s="2" t="str">
        <f t="shared" si="2"/>
        <v/>
      </c>
      <c r="AC34" s="2" t="str">
        <f t="shared" si="3"/>
        <v>Walks with direction</v>
      </c>
      <c r="AD34" s="2"/>
      <c r="AE34" s="5"/>
      <c r="AF34" s="2"/>
      <c r="AG34" s="2"/>
      <c r="AH34" s="2"/>
      <c r="AI34" s="2"/>
    </row>
    <row r="35" spans="1:35">
      <c r="A35" s="2"/>
      <c r="B35" s="2"/>
      <c r="C35" s="2"/>
      <c r="D35" s="2"/>
      <c r="E35" s="5"/>
      <c r="F35" s="2"/>
      <c r="G35" s="5"/>
      <c r="H35" s="2"/>
      <c r="I35" s="2"/>
      <c r="J35" s="2"/>
      <c r="K35" s="2"/>
      <c r="L35" s="2"/>
      <c r="M35" s="2"/>
      <c r="N35" s="2"/>
      <c r="O35" s="2"/>
      <c r="P35" s="2"/>
      <c r="Q35" s="2"/>
      <c r="R35" s="2"/>
      <c r="S35" s="2"/>
      <c r="T35" s="2"/>
      <c r="U35" s="2"/>
      <c r="V35" s="2"/>
      <c r="W35" s="2"/>
      <c r="X35" s="2"/>
      <c r="Y35" s="2"/>
      <c r="Z35" s="2" t="str">
        <f t="shared" si="0"/>
        <v/>
      </c>
      <c r="AA35" s="2" t="str">
        <f t="shared" si="1"/>
        <v/>
      </c>
      <c r="AB35" s="2" t="str">
        <f t="shared" si="2"/>
        <v/>
      </c>
      <c r="AC35" s="2" t="str">
        <f t="shared" si="3"/>
        <v>Walks with direction</v>
      </c>
      <c r="AD35" s="2"/>
      <c r="AE35" s="5"/>
      <c r="AF35" s="2"/>
      <c r="AG35" s="2"/>
      <c r="AH35" s="2"/>
      <c r="AI35" s="2"/>
    </row>
    <row r="36" spans="1:35">
      <c r="A36" s="2"/>
      <c r="B36" s="2"/>
      <c r="C36" s="2"/>
      <c r="D36" s="2"/>
      <c r="E36" s="5"/>
      <c r="F36" s="2"/>
      <c r="G36" s="5"/>
      <c r="H36" s="2"/>
      <c r="I36" s="2"/>
      <c r="J36" s="2"/>
      <c r="K36" s="2"/>
      <c r="L36" s="2"/>
      <c r="M36" s="2"/>
      <c r="N36" s="2"/>
      <c r="O36" s="2"/>
      <c r="P36" s="2"/>
      <c r="Q36" s="2"/>
      <c r="R36" s="2"/>
      <c r="S36" s="2"/>
      <c r="T36" s="2"/>
      <c r="U36" s="2"/>
      <c r="V36" s="2"/>
      <c r="W36" s="2"/>
      <c r="X36" s="2"/>
      <c r="Y36" s="2"/>
      <c r="Z36" s="2" t="str">
        <f t="shared" si="0"/>
        <v/>
      </c>
      <c r="AA36" s="2" t="str">
        <f t="shared" si="1"/>
        <v/>
      </c>
      <c r="AB36" s="2" t="str">
        <f t="shared" si="2"/>
        <v/>
      </c>
      <c r="AC36" s="2" t="str">
        <f t="shared" si="3"/>
        <v>Walks with direction</v>
      </c>
      <c r="AD36" s="2"/>
      <c r="AE36" s="5"/>
      <c r="AF36" s="2"/>
      <c r="AG36" s="2"/>
      <c r="AH36" s="2"/>
      <c r="AI36" s="2"/>
    </row>
    <row r="37" spans="1:35">
      <c r="A37" s="2"/>
      <c r="B37" s="2"/>
      <c r="C37" s="2"/>
      <c r="D37" s="2"/>
      <c r="E37" s="5"/>
      <c r="F37" s="2"/>
      <c r="G37" s="5"/>
      <c r="H37" s="2"/>
      <c r="I37" s="2"/>
      <c r="J37" s="2"/>
      <c r="K37" s="2"/>
      <c r="L37" s="2"/>
      <c r="M37" s="2"/>
      <c r="N37" s="2"/>
      <c r="O37" s="2"/>
      <c r="P37" s="2"/>
      <c r="Q37" s="2"/>
      <c r="R37" s="2"/>
      <c r="S37" s="2"/>
      <c r="T37" s="2"/>
      <c r="U37" s="2"/>
      <c r="V37" s="2"/>
      <c r="W37" s="2"/>
      <c r="X37" s="2"/>
      <c r="Y37" s="2"/>
      <c r="Z37" s="2" t="str">
        <f t="shared" si="0"/>
        <v/>
      </c>
      <c r="AA37" s="2" t="str">
        <f t="shared" si="1"/>
        <v/>
      </c>
      <c r="AB37" s="2" t="str">
        <f t="shared" si="2"/>
        <v/>
      </c>
      <c r="AC37" s="2" t="str">
        <f t="shared" si="3"/>
        <v>Walks with direction</v>
      </c>
      <c r="AD37" s="2"/>
      <c r="AE37" s="5"/>
      <c r="AF37" s="2"/>
      <c r="AG37" s="2"/>
      <c r="AH37" s="2"/>
      <c r="AI37" s="2"/>
    </row>
    <row r="38" spans="1:35">
      <c r="A38" s="2"/>
      <c r="B38" s="2"/>
      <c r="C38" s="2"/>
      <c r="D38" s="2"/>
      <c r="E38" s="5"/>
      <c r="F38" s="2"/>
      <c r="G38" s="5"/>
      <c r="H38" s="2"/>
      <c r="I38" s="2"/>
      <c r="J38" s="2"/>
      <c r="K38" s="2"/>
      <c r="L38" s="2"/>
      <c r="M38" s="2"/>
      <c r="N38" s="2"/>
      <c r="O38" s="2"/>
      <c r="P38" s="2"/>
      <c r="Q38" s="2"/>
      <c r="R38" s="2"/>
      <c r="S38" s="2"/>
      <c r="T38" s="2"/>
      <c r="U38" s="2"/>
      <c r="V38" s="2"/>
      <c r="W38" s="2"/>
      <c r="X38" s="2"/>
      <c r="Y38" s="2"/>
      <c r="Z38" s="2" t="str">
        <f t="shared" si="0"/>
        <v/>
      </c>
      <c r="AA38" s="2" t="str">
        <f t="shared" si="1"/>
        <v/>
      </c>
      <c r="AB38" s="2" t="str">
        <f t="shared" si="2"/>
        <v/>
      </c>
      <c r="AC38" s="2" t="str">
        <f t="shared" si="3"/>
        <v>Walks with direction</v>
      </c>
      <c r="AD38" s="2"/>
      <c r="AE38" s="5"/>
      <c r="AF38" s="2"/>
      <c r="AG38" s="2"/>
      <c r="AH38" s="2"/>
      <c r="AI38" s="2"/>
    </row>
    <row r="39" spans="1:35">
      <c r="A39" s="2"/>
      <c r="B39" s="2"/>
      <c r="C39" s="2"/>
      <c r="D39" s="2"/>
      <c r="E39" s="5"/>
      <c r="F39" s="2"/>
      <c r="G39" s="5"/>
      <c r="H39" s="2"/>
      <c r="I39" s="2"/>
      <c r="J39" s="2"/>
      <c r="K39" s="2"/>
      <c r="L39" s="2"/>
      <c r="M39" s="2"/>
      <c r="N39" s="2"/>
      <c r="O39" s="2"/>
      <c r="P39" s="2"/>
      <c r="Q39" s="2"/>
      <c r="R39" s="2"/>
      <c r="S39" s="2"/>
      <c r="T39" s="2"/>
      <c r="U39" s="2"/>
      <c r="V39" s="2"/>
      <c r="W39" s="2"/>
      <c r="X39" s="2"/>
      <c r="Y39" s="2"/>
      <c r="Z39" s="2" t="str">
        <f t="shared" si="0"/>
        <v/>
      </c>
      <c r="AA39" s="2" t="str">
        <f t="shared" si="1"/>
        <v/>
      </c>
      <c r="AB39" s="2" t="str">
        <f t="shared" si="2"/>
        <v/>
      </c>
      <c r="AC39" s="2" t="str">
        <f t="shared" si="3"/>
        <v>Walks with direction</v>
      </c>
      <c r="AD39" s="2"/>
      <c r="AE39" s="5"/>
      <c r="AF39" s="2"/>
      <c r="AG39" s="2"/>
      <c r="AH39" s="2"/>
      <c r="AI39" s="2"/>
    </row>
    <row r="40" spans="1:35">
      <c r="A40" s="2"/>
      <c r="B40" s="2"/>
      <c r="C40" s="2"/>
      <c r="D40" s="2"/>
      <c r="E40" s="5"/>
      <c r="F40" s="2"/>
      <c r="G40" s="5"/>
      <c r="H40" s="2"/>
      <c r="I40" s="2"/>
      <c r="J40" s="2"/>
      <c r="K40" s="2"/>
      <c r="L40" s="2"/>
      <c r="M40" s="2"/>
      <c r="N40" s="2"/>
      <c r="O40" s="2"/>
      <c r="P40" s="2"/>
      <c r="Q40" s="2"/>
      <c r="R40" s="2"/>
      <c r="S40" s="2"/>
      <c r="T40" s="2"/>
      <c r="U40" s="2"/>
      <c r="V40" s="2"/>
      <c r="W40" s="2"/>
      <c r="X40" s="2"/>
      <c r="Y40" s="2"/>
      <c r="Z40" s="2" t="str">
        <f t="shared" si="0"/>
        <v/>
      </c>
      <c r="AA40" s="2" t="str">
        <f t="shared" si="1"/>
        <v/>
      </c>
      <c r="AB40" s="2" t="str">
        <f t="shared" si="2"/>
        <v/>
      </c>
      <c r="AC40" s="2" t="str">
        <f t="shared" si="3"/>
        <v>Walks with direction</v>
      </c>
      <c r="AD40" s="2"/>
      <c r="AE40" s="5"/>
      <c r="AF40" s="2"/>
      <c r="AG40" s="2"/>
      <c r="AH40" s="2"/>
      <c r="AI40" s="2"/>
    </row>
    <row r="41" spans="1:35">
      <c r="A41" s="2"/>
      <c r="B41" s="2"/>
      <c r="C41" s="2"/>
      <c r="D41" s="2"/>
      <c r="E41" s="5"/>
      <c r="F41" s="2"/>
      <c r="G41" s="5"/>
      <c r="H41" s="2"/>
      <c r="I41" s="2"/>
      <c r="J41" s="2"/>
      <c r="K41" s="2"/>
      <c r="L41" s="2"/>
      <c r="M41" s="2"/>
      <c r="N41" s="2"/>
      <c r="O41" s="2"/>
      <c r="P41" s="2"/>
      <c r="Q41" s="2"/>
      <c r="R41" s="2"/>
      <c r="S41" s="2"/>
      <c r="T41" s="2"/>
      <c r="U41" s="2"/>
      <c r="V41" s="2"/>
      <c r="W41" s="2"/>
      <c r="X41" s="2"/>
      <c r="Y41" s="2"/>
      <c r="Z41" s="2" t="str">
        <f t="shared" si="0"/>
        <v/>
      </c>
      <c r="AA41" s="2" t="str">
        <f t="shared" si="1"/>
        <v/>
      </c>
      <c r="AB41" s="2" t="str">
        <f t="shared" si="2"/>
        <v/>
      </c>
      <c r="AC41" s="2" t="str">
        <f t="shared" si="3"/>
        <v>Walks with direction</v>
      </c>
      <c r="AD41" s="2"/>
      <c r="AE41" s="5"/>
      <c r="AF41" s="2"/>
      <c r="AG41" s="2"/>
      <c r="AH41" s="2"/>
      <c r="AI41" s="2"/>
    </row>
    <row r="42" spans="1:35">
      <c r="A42" s="2"/>
      <c r="B42" s="2"/>
      <c r="C42" s="2"/>
      <c r="D42" s="2"/>
      <c r="E42" s="5"/>
      <c r="F42" s="2"/>
      <c r="G42" s="5"/>
      <c r="H42" s="2"/>
      <c r="I42" s="2"/>
      <c r="J42" s="2"/>
      <c r="K42" s="2"/>
      <c r="L42" s="2"/>
      <c r="M42" s="2"/>
      <c r="N42" s="2"/>
      <c r="O42" s="2"/>
      <c r="P42" s="2"/>
      <c r="Q42" s="2"/>
      <c r="R42" s="2"/>
      <c r="S42" s="2"/>
      <c r="T42" s="2"/>
      <c r="U42" s="2"/>
      <c r="V42" s="2"/>
      <c r="W42" s="2"/>
      <c r="X42" s="2"/>
      <c r="Y42" s="2"/>
      <c r="Z42" s="2" t="str">
        <f t="shared" si="0"/>
        <v/>
      </c>
      <c r="AA42" s="2" t="str">
        <f t="shared" si="1"/>
        <v/>
      </c>
      <c r="AB42" s="2" t="str">
        <f t="shared" si="2"/>
        <v/>
      </c>
      <c r="AC42" s="2" t="str">
        <f t="shared" si="3"/>
        <v>Walks with direction</v>
      </c>
      <c r="AD42" s="2"/>
      <c r="AE42" s="5"/>
      <c r="AF42" s="2"/>
      <c r="AG42" s="2"/>
      <c r="AH42" s="2"/>
      <c r="AI42" s="2"/>
    </row>
    <row r="43" spans="1:35">
      <c r="A43" s="2"/>
      <c r="B43" s="2"/>
      <c r="C43" s="2"/>
      <c r="D43" s="2"/>
      <c r="E43" s="5"/>
      <c r="F43" s="2"/>
      <c r="G43" s="5"/>
      <c r="H43" s="2"/>
      <c r="I43" s="2"/>
      <c r="J43" s="2"/>
      <c r="K43" s="2"/>
      <c r="L43" s="2"/>
      <c r="M43" s="2"/>
      <c r="N43" s="2"/>
      <c r="O43" s="2"/>
      <c r="P43" s="2"/>
      <c r="Q43" s="2"/>
      <c r="R43" s="2"/>
      <c r="S43" s="2"/>
      <c r="T43" s="2"/>
      <c r="U43" s="2"/>
      <c r="V43" s="2"/>
      <c r="W43" s="2"/>
      <c r="X43" s="2"/>
      <c r="Y43" s="2"/>
      <c r="Z43" s="2" t="str">
        <f t="shared" si="0"/>
        <v/>
      </c>
      <c r="AA43" s="2" t="str">
        <f t="shared" si="1"/>
        <v/>
      </c>
      <c r="AB43" s="2" t="str">
        <f t="shared" si="2"/>
        <v/>
      </c>
      <c r="AC43" s="2" t="str">
        <f t="shared" si="3"/>
        <v>Walks with direction</v>
      </c>
      <c r="AD43" s="2"/>
      <c r="AE43" s="5"/>
      <c r="AF43" s="2"/>
      <c r="AG43" s="2"/>
      <c r="AH43" s="2"/>
      <c r="AI43" s="2"/>
    </row>
    <row r="44" spans="1:35">
      <c r="A44" s="2"/>
      <c r="B44" s="2"/>
      <c r="C44" s="2"/>
      <c r="D44" s="2"/>
      <c r="E44" s="5"/>
      <c r="F44" s="2"/>
      <c r="G44" s="5"/>
      <c r="H44" s="2"/>
      <c r="I44" s="2"/>
      <c r="J44" s="2"/>
      <c r="K44" s="2"/>
      <c r="L44" s="2"/>
      <c r="M44" s="2"/>
      <c r="N44" s="2"/>
      <c r="O44" s="2"/>
      <c r="P44" s="2"/>
      <c r="Q44" s="2"/>
      <c r="R44" s="2"/>
      <c r="S44" s="2"/>
      <c r="T44" s="2"/>
      <c r="U44" s="2"/>
      <c r="V44" s="2"/>
      <c r="W44" s="2"/>
      <c r="X44" s="2"/>
      <c r="Y44" s="2"/>
      <c r="Z44" s="2" t="str">
        <f t="shared" si="0"/>
        <v/>
      </c>
      <c r="AA44" s="2" t="str">
        <f t="shared" si="1"/>
        <v/>
      </c>
      <c r="AB44" s="2" t="str">
        <f t="shared" si="2"/>
        <v/>
      </c>
      <c r="AC44" s="2" t="str">
        <f t="shared" si="3"/>
        <v>Walks with direction</v>
      </c>
      <c r="AD44" s="2"/>
      <c r="AE44" s="5"/>
      <c r="AF44" s="2"/>
      <c r="AG44" s="2"/>
      <c r="AH44" s="2"/>
      <c r="AI44" s="2"/>
    </row>
    <row r="45" spans="1:35">
      <c r="A45" s="2"/>
      <c r="B45" s="2"/>
      <c r="C45" s="2"/>
      <c r="D45" s="2"/>
      <c r="E45" s="5"/>
      <c r="F45" s="2"/>
      <c r="G45" s="5"/>
      <c r="H45" s="2"/>
      <c r="I45" s="2"/>
      <c r="J45" s="2"/>
      <c r="K45" s="2"/>
      <c r="L45" s="2"/>
      <c r="M45" s="2"/>
      <c r="N45" s="2"/>
      <c r="O45" s="2"/>
      <c r="P45" s="2"/>
      <c r="Q45" s="2"/>
      <c r="R45" s="2"/>
      <c r="S45" s="2"/>
      <c r="T45" s="2"/>
      <c r="U45" s="2"/>
      <c r="V45" s="2"/>
      <c r="W45" s="2"/>
      <c r="X45" s="2"/>
      <c r="Y45" s="2"/>
      <c r="Z45" s="2" t="str">
        <f t="shared" si="0"/>
        <v/>
      </c>
      <c r="AA45" s="2" t="str">
        <f t="shared" si="1"/>
        <v/>
      </c>
      <c r="AB45" s="2" t="str">
        <f t="shared" si="2"/>
        <v/>
      </c>
      <c r="AC45" s="2" t="str">
        <f t="shared" si="3"/>
        <v>Walks with direction</v>
      </c>
      <c r="AD45" s="2"/>
      <c r="AE45" s="5"/>
      <c r="AF45" s="2"/>
      <c r="AG45" s="2"/>
      <c r="AH45" s="2"/>
      <c r="AI45" s="2"/>
    </row>
    <row r="46" spans="1:35">
      <c r="A46" s="2"/>
      <c r="B46" s="2"/>
      <c r="C46" s="2"/>
      <c r="D46" s="2"/>
      <c r="E46" s="5"/>
      <c r="F46" s="2"/>
      <c r="G46" s="5"/>
      <c r="H46" s="2"/>
      <c r="I46" s="2"/>
      <c r="J46" s="2"/>
      <c r="K46" s="2"/>
      <c r="L46" s="2"/>
      <c r="M46" s="2"/>
      <c r="N46" s="2"/>
      <c r="O46" s="2"/>
      <c r="P46" s="2"/>
      <c r="Q46" s="2"/>
      <c r="R46" s="2"/>
      <c r="S46" s="2"/>
      <c r="T46" s="2"/>
      <c r="U46" s="2"/>
      <c r="V46" s="2"/>
      <c r="W46" s="2"/>
      <c r="X46" s="2"/>
      <c r="Y46" s="2"/>
      <c r="Z46" s="2" t="str">
        <f t="shared" si="0"/>
        <v/>
      </c>
      <c r="AA46" s="2" t="str">
        <f t="shared" si="1"/>
        <v/>
      </c>
      <c r="AB46" s="2" t="str">
        <f t="shared" si="2"/>
        <v/>
      </c>
      <c r="AC46" s="2" t="str">
        <f t="shared" si="3"/>
        <v>Walks with direction</v>
      </c>
      <c r="AD46" s="2"/>
      <c r="AE46" s="5"/>
      <c r="AF46" s="2"/>
      <c r="AG46" s="2"/>
      <c r="AH46" s="2"/>
      <c r="AI46" s="2"/>
    </row>
    <row r="47" spans="1:35">
      <c r="A47" s="2"/>
      <c r="B47" s="2"/>
      <c r="C47" s="2"/>
      <c r="D47" s="2"/>
      <c r="E47" s="5"/>
      <c r="F47" s="2"/>
      <c r="G47" s="5"/>
      <c r="H47" s="2"/>
      <c r="I47" s="2"/>
      <c r="J47" s="2"/>
      <c r="K47" s="2"/>
      <c r="L47" s="2"/>
      <c r="M47" s="2"/>
      <c r="N47" s="2"/>
      <c r="O47" s="2"/>
      <c r="P47" s="2"/>
      <c r="Q47" s="2"/>
      <c r="R47" s="2"/>
      <c r="S47" s="2"/>
      <c r="T47" s="2"/>
      <c r="U47" s="2"/>
      <c r="V47" s="2"/>
      <c r="W47" s="2"/>
      <c r="X47" s="2"/>
      <c r="Y47" s="2"/>
      <c r="Z47" s="2" t="str">
        <f t="shared" si="0"/>
        <v/>
      </c>
      <c r="AA47" s="2" t="str">
        <f t="shared" si="1"/>
        <v/>
      </c>
      <c r="AB47" s="2" t="str">
        <f t="shared" si="2"/>
        <v/>
      </c>
      <c r="AC47" s="2" t="str">
        <f t="shared" si="3"/>
        <v>Walks with direction</v>
      </c>
      <c r="AD47" s="2"/>
      <c r="AE47" s="5"/>
      <c r="AF47" s="2"/>
      <c r="AG47" s="2"/>
      <c r="AH47" s="2"/>
      <c r="AI47" s="2"/>
    </row>
    <row r="48" spans="1:35">
      <c r="A48" s="2"/>
      <c r="B48" s="2"/>
      <c r="C48" s="2"/>
      <c r="D48" s="2"/>
      <c r="E48" s="5"/>
      <c r="F48" s="2"/>
      <c r="G48" s="5"/>
      <c r="H48" s="2"/>
      <c r="I48" s="2"/>
      <c r="J48" s="2"/>
      <c r="K48" s="2"/>
      <c r="L48" s="2"/>
      <c r="M48" s="2"/>
      <c r="N48" s="2"/>
      <c r="O48" s="2"/>
      <c r="P48" s="2"/>
      <c r="Q48" s="2"/>
      <c r="R48" s="2"/>
      <c r="S48" s="2"/>
      <c r="T48" s="2"/>
      <c r="U48" s="2"/>
      <c r="V48" s="2"/>
      <c r="W48" s="2"/>
      <c r="X48" s="2"/>
      <c r="Y48" s="2"/>
      <c r="Z48" s="2" t="str">
        <f t="shared" si="0"/>
        <v/>
      </c>
      <c r="AA48" s="2" t="str">
        <f t="shared" si="1"/>
        <v/>
      </c>
      <c r="AB48" s="2" t="str">
        <f t="shared" si="2"/>
        <v/>
      </c>
      <c r="AC48" s="2" t="str">
        <f t="shared" si="3"/>
        <v>Walks with direction</v>
      </c>
      <c r="AD48" s="2"/>
      <c r="AE48" s="5"/>
      <c r="AF48" s="2"/>
      <c r="AG48" s="2"/>
      <c r="AH48" s="2"/>
      <c r="AI48" s="2"/>
    </row>
    <row r="49" spans="1:35">
      <c r="A49" s="2"/>
      <c r="B49" s="2"/>
      <c r="C49" s="2"/>
      <c r="D49" s="2"/>
      <c r="E49" s="5"/>
      <c r="F49" s="2"/>
      <c r="G49" s="5"/>
      <c r="H49" s="2"/>
      <c r="I49" s="2"/>
      <c r="J49" s="2"/>
      <c r="K49" s="2"/>
      <c r="L49" s="2"/>
      <c r="M49" s="2"/>
      <c r="N49" s="2"/>
      <c r="O49" s="2"/>
      <c r="P49" s="2"/>
      <c r="Q49" s="2"/>
      <c r="R49" s="2"/>
      <c r="S49" s="2"/>
      <c r="T49" s="2"/>
      <c r="U49" s="2"/>
      <c r="V49" s="2"/>
      <c r="W49" s="2"/>
      <c r="X49" s="2"/>
      <c r="Y49" s="2"/>
      <c r="Z49" s="2" t="str">
        <f t="shared" si="0"/>
        <v/>
      </c>
      <c r="AA49" s="2" t="str">
        <f t="shared" si="1"/>
        <v/>
      </c>
      <c r="AB49" s="2" t="str">
        <f t="shared" si="2"/>
        <v/>
      </c>
      <c r="AC49" s="2" t="str">
        <f t="shared" si="3"/>
        <v>Walks with direction</v>
      </c>
      <c r="AD49" s="2"/>
      <c r="AE49" s="5"/>
      <c r="AF49" s="2"/>
      <c r="AG49" s="2"/>
      <c r="AH49" s="2"/>
      <c r="AI49" s="2"/>
    </row>
    <row r="50" spans="1:35">
      <c r="A50" s="2"/>
      <c r="B50" s="2"/>
      <c r="C50" s="2"/>
      <c r="D50" s="2"/>
      <c r="E50" s="5"/>
      <c r="F50" s="2"/>
      <c r="G50" s="5"/>
      <c r="H50" s="2"/>
      <c r="I50" s="2"/>
      <c r="J50" s="2"/>
      <c r="K50" s="2"/>
      <c r="L50" s="2"/>
      <c r="M50" s="2"/>
      <c r="N50" s="2"/>
      <c r="O50" s="2"/>
      <c r="P50" s="2"/>
      <c r="Q50" s="2"/>
      <c r="R50" s="2"/>
      <c r="S50" s="2"/>
      <c r="T50" s="2"/>
      <c r="U50" s="2"/>
      <c r="V50" s="2"/>
      <c r="W50" s="2"/>
      <c r="X50" s="2"/>
      <c r="Y50" s="2"/>
      <c r="Z50" s="2" t="str">
        <f t="shared" ref="Z50:Z81" si="4">IF(COUNTA(H50:Y50)=0,"",IF(COUNTIF(H50:Y50,"Very High")&gt;0,"Very High",IF(COUNTIF(H50:Y50,"High")&gt;0,"High",IF(COUNTIF(H50:Y50,"Medium")&gt;0,"Medium","Low"))))</f>
        <v/>
      </c>
      <c r="AA50" s="2" t="str">
        <f t="shared" ref="AA50:AA81" si="5">IF(Z50="","",IF(Z50="Low","Routine planned support",IF(Z50="Medium","One staff support/supervision likely",IF(Z50="High","Two staff/review staffing and equipment","Manager review: multiple staff/specialist support"))))</f>
        <v/>
      </c>
      <c r="AB50" s="2" t="str">
        <f t="shared" ref="AB50:AB81" si="6">IF(Z50="","",IF(OR(Z50="High",Z50="Very High",W50="High",W50="Very High"),"Night staffing and evacuation review required","Routine night checks as per care plan"))</f>
        <v/>
      </c>
      <c r="AC50" s="2" t="str">
        <f t="shared" ref="AC50:AC81" si="7">IF(X50="Very High","Specialist PEEP / equipment",IF(OR(X50="High",Z50="High"),"Evacuation sheet/chair or wheelchair per PEEP",IF(OR(X50="Medium",Z50="Medium"),"Walking aid/wheelchair support per PEEP","Walks with direction")))</f>
        <v>Walks with direction</v>
      </c>
      <c r="AD50" s="2"/>
      <c r="AE50" s="5"/>
      <c r="AF50" s="2"/>
      <c r="AG50" s="2"/>
      <c r="AH50" s="2"/>
      <c r="AI50" s="2"/>
    </row>
    <row r="51" spans="1:35">
      <c r="A51" s="2"/>
      <c r="B51" s="2"/>
      <c r="C51" s="2"/>
      <c r="D51" s="2"/>
      <c r="E51" s="5"/>
      <c r="F51" s="2"/>
      <c r="G51" s="5"/>
      <c r="H51" s="2"/>
      <c r="I51" s="2"/>
      <c r="J51" s="2"/>
      <c r="K51" s="2"/>
      <c r="L51" s="2"/>
      <c r="M51" s="2"/>
      <c r="N51" s="2"/>
      <c r="O51" s="2"/>
      <c r="P51" s="2"/>
      <c r="Q51" s="2"/>
      <c r="R51" s="2"/>
      <c r="S51" s="2"/>
      <c r="T51" s="2"/>
      <c r="U51" s="2"/>
      <c r="V51" s="2"/>
      <c r="W51" s="2"/>
      <c r="X51" s="2"/>
      <c r="Y51" s="2"/>
      <c r="Z51" s="2" t="str">
        <f t="shared" si="4"/>
        <v/>
      </c>
      <c r="AA51" s="2" t="str">
        <f t="shared" si="5"/>
        <v/>
      </c>
      <c r="AB51" s="2" t="str">
        <f t="shared" si="6"/>
        <v/>
      </c>
      <c r="AC51" s="2" t="str">
        <f t="shared" si="7"/>
        <v>Walks with direction</v>
      </c>
      <c r="AD51" s="2"/>
      <c r="AE51" s="5"/>
      <c r="AF51" s="2"/>
      <c r="AG51" s="2"/>
      <c r="AH51" s="2"/>
      <c r="AI51" s="2"/>
    </row>
    <row r="52" spans="1:35">
      <c r="A52" s="2"/>
      <c r="B52" s="2"/>
      <c r="C52" s="2"/>
      <c r="D52" s="2"/>
      <c r="E52" s="5"/>
      <c r="F52" s="2"/>
      <c r="G52" s="5"/>
      <c r="H52" s="2"/>
      <c r="I52" s="2"/>
      <c r="J52" s="2"/>
      <c r="K52" s="2"/>
      <c r="L52" s="2"/>
      <c r="M52" s="2"/>
      <c r="N52" s="2"/>
      <c r="O52" s="2"/>
      <c r="P52" s="2"/>
      <c r="Q52" s="2"/>
      <c r="R52" s="2"/>
      <c r="S52" s="2"/>
      <c r="T52" s="2"/>
      <c r="U52" s="2"/>
      <c r="V52" s="2"/>
      <c r="W52" s="2"/>
      <c r="X52" s="2"/>
      <c r="Y52" s="2"/>
      <c r="Z52" s="2" t="str">
        <f t="shared" si="4"/>
        <v/>
      </c>
      <c r="AA52" s="2" t="str">
        <f t="shared" si="5"/>
        <v/>
      </c>
      <c r="AB52" s="2" t="str">
        <f t="shared" si="6"/>
        <v/>
      </c>
      <c r="AC52" s="2" t="str">
        <f t="shared" si="7"/>
        <v>Walks with direction</v>
      </c>
      <c r="AD52" s="2"/>
      <c r="AE52" s="5"/>
      <c r="AF52" s="2"/>
      <c r="AG52" s="2"/>
      <c r="AH52" s="2"/>
      <c r="AI52" s="2"/>
    </row>
    <row r="53" spans="1:35">
      <c r="A53" s="2"/>
      <c r="B53" s="2"/>
      <c r="C53" s="2"/>
      <c r="D53" s="2"/>
      <c r="E53" s="5"/>
      <c r="F53" s="2"/>
      <c r="G53" s="5"/>
      <c r="H53" s="2"/>
      <c r="I53" s="2"/>
      <c r="J53" s="2"/>
      <c r="K53" s="2"/>
      <c r="L53" s="2"/>
      <c r="M53" s="2"/>
      <c r="N53" s="2"/>
      <c r="O53" s="2"/>
      <c r="P53" s="2"/>
      <c r="Q53" s="2"/>
      <c r="R53" s="2"/>
      <c r="S53" s="2"/>
      <c r="T53" s="2"/>
      <c r="U53" s="2"/>
      <c r="V53" s="2"/>
      <c r="W53" s="2"/>
      <c r="X53" s="2"/>
      <c r="Y53" s="2"/>
      <c r="Z53" s="2" t="str">
        <f t="shared" si="4"/>
        <v/>
      </c>
      <c r="AA53" s="2" t="str">
        <f t="shared" si="5"/>
        <v/>
      </c>
      <c r="AB53" s="2" t="str">
        <f t="shared" si="6"/>
        <v/>
      </c>
      <c r="AC53" s="2" t="str">
        <f t="shared" si="7"/>
        <v>Walks with direction</v>
      </c>
      <c r="AD53" s="2"/>
      <c r="AE53" s="5"/>
      <c r="AF53" s="2"/>
      <c r="AG53" s="2"/>
      <c r="AH53" s="2"/>
      <c r="AI53" s="2"/>
    </row>
    <row r="54" spans="1:35">
      <c r="A54" s="2"/>
      <c r="B54" s="2"/>
      <c r="C54" s="2"/>
      <c r="D54" s="2"/>
      <c r="E54" s="5"/>
      <c r="F54" s="2"/>
      <c r="G54" s="5"/>
      <c r="H54" s="2"/>
      <c r="I54" s="2"/>
      <c r="J54" s="2"/>
      <c r="K54" s="2"/>
      <c r="L54" s="2"/>
      <c r="M54" s="2"/>
      <c r="N54" s="2"/>
      <c r="O54" s="2"/>
      <c r="P54" s="2"/>
      <c r="Q54" s="2"/>
      <c r="R54" s="2"/>
      <c r="S54" s="2"/>
      <c r="T54" s="2"/>
      <c r="U54" s="2"/>
      <c r="V54" s="2"/>
      <c r="W54" s="2"/>
      <c r="X54" s="2"/>
      <c r="Y54" s="2"/>
      <c r="Z54" s="2" t="str">
        <f t="shared" si="4"/>
        <v/>
      </c>
      <c r="AA54" s="2" t="str">
        <f t="shared" si="5"/>
        <v/>
      </c>
      <c r="AB54" s="2" t="str">
        <f t="shared" si="6"/>
        <v/>
      </c>
      <c r="AC54" s="2" t="str">
        <f t="shared" si="7"/>
        <v>Walks with direction</v>
      </c>
      <c r="AD54" s="2"/>
      <c r="AE54" s="5"/>
      <c r="AF54" s="2"/>
      <c r="AG54" s="2"/>
      <c r="AH54" s="2"/>
      <c r="AI54" s="2"/>
    </row>
    <row r="55" spans="1:35">
      <c r="A55" s="2"/>
      <c r="B55" s="2"/>
      <c r="C55" s="2"/>
      <c r="D55" s="2"/>
      <c r="E55" s="5"/>
      <c r="F55" s="2"/>
      <c r="G55" s="5"/>
      <c r="H55" s="2"/>
      <c r="I55" s="2"/>
      <c r="J55" s="2"/>
      <c r="K55" s="2"/>
      <c r="L55" s="2"/>
      <c r="M55" s="2"/>
      <c r="N55" s="2"/>
      <c r="O55" s="2"/>
      <c r="P55" s="2"/>
      <c r="Q55" s="2"/>
      <c r="R55" s="2"/>
      <c r="S55" s="2"/>
      <c r="T55" s="2"/>
      <c r="U55" s="2"/>
      <c r="V55" s="2"/>
      <c r="W55" s="2"/>
      <c r="X55" s="2"/>
      <c r="Y55" s="2"/>
      <c r="Z55" s="2" t="str">
        <f t="shared" si="4"/>
        <v/>
      </c>
      <c r="AA55" s="2" t="str">
        <f t="shared" si="5"/>
        <v/>
      </c>
      <c r="AB55" s="2" t="str">
        <f t="shared" si="6"/>
        <v/>
      </c>
      <c r="AC55" s="2" t="str">
        <f t="shared" si="7"/>
        <v>Walks with direction</v>
      </c>
      <c r="AD55" s="2"/>
      <c r="AE55" s="5"/>
      <c r="AF55" s="2"/>
      <c r="AG55" s="2"/>
      <c r="AH55" s="2"/>
      <c r="AI55" s="2"/>
    </row>
    <row r="56" spans="1:35">
      <c r="A56" s="2"/>
      <c r="B56" s="2"/>
      <c r="C56" s="2"/>
      <c r="D56" s="2"/>
      <c r="E56" s="5"/>
      <c r="F56" s="2"/>
      <c r="G56" s="5"/>
      <c r="H56" s="2"/>
      <c r="I56" s="2"/>
      <c r="J56" s="2"/>
      <c r="K56" s="2"/>
      <c r="L56" s="2"/>
      <c r="M56" s="2"/>
      <c r="N56" s="2"/>
      <c r="O56" s="2"/>
      <c r="P56" s="2"/>
      <c r="Q56" s="2"/>
      <c r="R56" s="2"/>
      <c r="S56" s="2"/>
      <c r="T56" s="2"/>
      <c r="U56" s="2"/>
      <c r="V56" s="2"/>
      <c r="W56" s="2"/>
      <c r="X56" s="2"/>
      <c r="Y56" s="2"/>
      <c r="Z56" s="2" t="str">
        <f t="shared" si="4"/>
        <v/>
      </c>
      <c r="AA56" s="2" t="str">
        <f t="shared" si="5"/>
        <v/>
      </c>
      <c r="AB56" s="2" t="str">
        <f t="shared" si="6"/>
        <v/>
      </c>
      <c r="AC56" s="2" t="str">
        <f t="shared" si="7"/>
        <v>Walks with direction</v>
      </c>
      <c r="AD56" s="2"/>
      <c r="AE56" s="5"/>
      <c r="AF56" s="2"/>
      <c r="AG56" s="2"/>
      <c r="AH56" s="2"/>
      <c r="AI56" s="2"/>
    </row>
    <row r="57" spans="1:35">
      <c r="A57" s="2"/>
      <c r="B57" s="2"/>
      <c r="C57" s="2"/>
      <c r="D57" s="2"/>
      <c r="E57" s="5"/>
      <c r="F57" s="2"/>
      <c r="G57" s="5"/>
      <c r="H57" s="2"/>
      <c r="I57" s="2"/>
      <c r="J57" s="2"/>
      <c r="K57" s="2"/>
      <c r="L57" s="2"/>
      <c r="M57" s="2"/>
      <c r="N57" s="2"/>
      <c r="O57" s="2"/>
      <c r="P57" s="2"/>
      <c r="Q57" s="2"/>
      <c r="R57" s="2"/>
      <c r="S57" s="2"/>
      <c r="T57" s="2"/>
      <c r="U57" s="2"/>
      <c r="V57" s="2"/>
      <c r="W57" s="2"/>
      <c r="X57" s="2"/>
      <c r="Y57" s="2"/>
      <c r="Z57" s="2" t="str">
        <f t="shared" si="4"/>
        <v/>
      </c>
      <c r="AA57" s="2" t="str">
        <f t="shared" si="5"/>
        <v/>
      </c>
      <c r="AB57" s="2" t="str">
        <f t="shared" si="6"/>
        <v/>
      </c>
      <c r="AC57" s="2" t="str">
        <f t="shared" si="7"/>
        <v>Walks with direction</v>
      </c>
      <c r="AD57" s="2"/>
      <c r="AE57" s="5"/>
      <c r="AF57" s="2"/>
      <c r="AG57" s="2"/>
      <c r="AH57" s="2"/>
      <c r="AI57" s="2"/>
    </row>
    <row r="58" spans="1:35">
      <c r="A58" s="2"/>
      <c r="B58" s="2"/>
      <c r="C58" s="2"/>
      <c r="D58" s="2"/>
      <c r="E58" s="5"/>
      <c r="F58" s="2"/>
      <c r="G58" s="5"/>
      <c r="H58" s="2"/>
      <c r="I58" s="2"/>
      <c r="J58" s="2"/>
      <c r="K58" s="2"/>
      <c r="L58" s="2"/>
      <c r="M58" s="2"/>
      <c r="N58" s="2"/>
      <c r="O58" s="2"/>
      <c r="P58" s="2"/>
      <c r="Q58" s="2"/>
      <c r="R58" s="2"/>
      <c r="S58" s="2"/>
      <c r="T58" s="2"/>
      <c r="U58" s="2"/>
      <c r="V58" s="2"/>
      <c r="W58" s="2"/>
      <c r="X58" s="2"/>
      <c r="Y58" s="2"/>
      <c r="Z58" s="2" t="str">
        <f t="shared" si="4"/>
        <v/>
      </c>
      <c r="AA58" s="2" t="str">
        <f t="shared" si="5"/>
        <v/>
      </c>
      <c r="AB58" s="2" t="str">
        <f t="shared" si="6"/>
        <v/>
      </c>
      <c r="AC58" s="2" t="str">
        <f t="shared" si="7"/>
        <v>Walks with direction</v>
      </c>
      <c r="AD58" s="2"/>
      <c r="AE58" s="5"/>
      <c r="AF58" s="2"/>
      <c r="AG58" s="2"/>
      <c r="AH58" s="2"/>
      <c r="AI58" s="2"/>
    </row>
    <row r="59" spans="1:35">
      <c r="A59" s="2"/>
      <c r="B59" s="2"/>
      <c r="C59" s="2"/>
      <c r="D59" s="2"/>
      <c r="E59" s="5"/>
      <c r="F59" s="2"/>
      <c r="G59" s="5"/>
      <c r="H59" s="2"/>
      <c r="I59" s="2"/>
      <c r="J59" s="2"/>
      <c r="K59" s="2"/>
      <c r="L59" s="2"/>
      <c r="M59" s="2"/>
      <c r="N59" s="2"/>
      <c r="O59" s="2"/>
      <c r="P59" s="2"/>
      <c r="Q59" s="2"/>
      <c r="R59" s="2"/>
      <c r="S59" s="2"/>
      <c r="T59" s="2"/>
      <c r="U59" s="2"/>
      <c r="V59" s="2"/>
      <c r="W59" s="2"/>
      <c r="X59" s="2"/>
      <c r="Y59" s="2"/>
      <c r="Z59" s="2" t="str">
        <f t="shared" si="4"/>
        <v/>
      </c>
      <c r="AA59" s="2" t="str">
        <f t="shared" si="5"/>
        <v/>
      </c>
      <c r="AB59" s="2" t="str">
        <f t="shared" si="6"/>
        <v/>
      </c>
      <c r="AC59" s="2" t="str">
        <f t="shared" si="7"/>
        <v>Walks with direction</v>
      </c>
      <c r="AD59" s="2"/>
      <c r="AE59" s="5"/>
      <c r="AF59" s="2"/>
      <c r="AG59" s="2"/>
      <c r="AH59" s="2"/>
      <c r="AI59" s="2"/>
    </row>
    <row r="60" spans="1:35">
      <c r="A60" s="2"/>
      <c r="B60" s="2"/>
      <c r="C60" s="2"/>
      <c r="D60" s="2"/>
      <c r="E60" s="5"/>
      <c r="F60" s="2"/>
      <c r="G60" s="5"/>
      <c r="H60" s="2"/>
      <c r="I60" s="2"/>
      <c r="J60" s="2"/>
      <c r="K60" s="2"/>
      <c r="L60" s="2"/>
      <c r="M60" s="2"/>
      <c r="N60" s="2"/>
      <c r="O60" s="2"/>
      <c r="P60" s="2"/>
      <c r="Q60" s="2"/>
      <c r="R60" s="2"/>
      <c r="S60" s="2"/>
      <c r="T60" s="2"/>
      <c r="U60" s="2"/>
      <c r="V60" s="2"/>
      <c r="W60" s="2"/>
      <c r="X60" s="2"/>
      <c r="Y60" s="2"/>
      <c r="Z60" s="2" t="str">
        <f t="shared" si="4"/>
        <v/>
      </c>
      <c r="AA60" s="2" t="str">
        <f t="shared" si="5"/>
        <v/>
      </c>
      <c r="AB60" s="2" t="str">
        <f t="shared" si="6"/>
        <v/>
      </c>
      <c r="AC60" s="2" t="str">
        <f t="shared" si="7"/>
        <v>Walks with direction</v>
      </c>
      <c r="AD60" s="2"/>
      <c r="AE60" s="5"/>
      <c r="AF60" s="2"/>
      <c r="AG60" s="2"/>
      <c r="AH60" s="2"/>
      <c r="AI60" s="2"/>
    </row>
    <row r="61" spans="1:35">
      <c r="A61" s="2"/>
      <c r="B61" s="2"/>
      <c r="C61" s="2"/>
      <c r="D61" s="2"/>
      <c r="E61" s="5"/>
      <c r="F61" s="2"/>
      <c r="G61" s="5"/>
      <c r="H61" s="2"/>
      <c r="I61" s="2"/>
      <c r="J61" s="2"/>
      <c r="K61" s="2"/>
      <c r="L61" s="2"/>
      <c r="M61" s="2"/>
      <c r="N61" s="2"/>
      <c r="O61" s="2"/>
      <c r="P61" s="2"/>
      <c r="Q61" s="2"/>
      <c r="R61" s="2"/>
      <c r="S61" s="2"/>
      <c r="T61" s="2"/>
      <c r="U61" s="2"/>
      <c r="V61" s="2"/>
      <c r="W61" s="2"/>
      <c r="X61" s="2"/>
      <c r="Y61" s="2"/>
      <c r="Z61" s="2" t="str">
        <f t="shared" si="4"/>
        <v/>
      </c>
      <c r="AA61" s="2" t="str">
        <f t="shared" si="5"/>
        <v/>
      </c>
      <c r="AB61" s="2" t="str">
        <f t="shared" si="6"/>
        <v/>
      </c>
      <c r="AC61" s="2" t="str">
        <f t="shared" si="7"/>
        <v>Walks with direction</v>
      </c>
      <c r="AD61" s="2"/>
      <c r="AE61" s="5"/>
      <c r="AF61" s="2"/>
      <c r="AG61" s="2"/>
      <c r="AH61" s="2"/>
      <c r="AI61" s="2"/>
    </row>
    <row r="62" spans="1:35">
      <c r="A62" s="2"/>
      <c r="B62" s="2"/>
      <c r="C62" s="2"/>
      <c r="D62" s="2"/>
      <c r="E62" s="5"/>
      <c r="F62" s="2"/>
      <c r="G62" s="5"/>
      <c r="H62" s="2"/>
      <c r="I62" s="2"/>
      <c r="J62" s="2"/>
      <c r="K62" s="2"/>
      <c r="L62" s="2"/>
      <c r="M62" s="2"/>
      <c r="N62" s="2"/>
      <c r="O62" s="2"/>
      <c r="P62" s="2"/>
      <c r="Q62" s="2"/>
      <c r="R62" s="2"/>
      <c r="S62" s="2"/>
      <c r="T62" s="2"/>
      <c r="U62" s="2"/>
      <c r="V62" s="2"/>
      <c r="W62" s="2"/>
      <c r="X62" s="2"/>
      <c r="Y62" s="2"/>
      <c r="Z62" s="2" t="str">
        <f t="shared" si="4"/>
        <v/>
      </c>
      <c r="AA62" s="2" t="str">
        <f t="shared" si="5"/>
        <v/>
      </c>
      <c r="AB62" s="2" t="str">
        <f t="shared" si="6"/>
        <v/>
      </c>
      <c r="AC62" s="2" t="str">
        <f t="shared" si="7"/>
        <v>Walks with direction</v>
      </c>
      <c r="AD62" s="2"/>
      <c r="AE62" s="5"/>
      <c r="AF62" s="2"/>
      <c r="AG62" s="2"/>
      <c r="AH62" s="2"/>
      <c r="AI62" s="2"/>
    </row>
    <row r="63" spans="1:35">
      <c r="A63" s="2"/>
      <c r="B63" s="2"/>
      <c r="C63" s="2"/>
      <c r="D63" s="2"/>
      <c r="E63" s="5"/>
      <c r="F63" s="2"/>
      <c r="G63" s="5"/>
      <c r="H63" s="2"/>
      <c r="I63" s="2"/>
      <c r="J63" s="2"/>
      <c r="K63" s="2"/>
      <c r="L63" s="2"/>
      <c r="M63" s="2"/>
      <c r="N63" s="2"/>
      <c r="O63" s="2"/>
      <c r="P63" s="2"/>
      <c r="Q63" s="2"/>
      <c r="R63" s="2"/>
      <c r="S63" s="2"/>
      <c r="T63" s="2"/>
      <c r="U63" s="2"/>
      <c r="V63" s="2"/>
      <c r="W63" s="2"/>
      <c r="X63" s="2"/>
      <c r="Y63" s="2"/>
      <c r="Z63" s="2" t="str">
        <f t="shared" si="4"/>
        <v/>
      </c>
      <c r="AA63" s="2" t="str">
        <f t="shared" si="5"/>
        <v/>
      </c>
      <c r="AB63" s="2" t="str">
        <f t="shared" si="6"/>
        <v/>
      </c>
      <c r="AC63" s="2" t="str">
        <f t="shared" si="7"/>
        <v>Walks with direction</v>
      </c>
      <c r="AD63" s="2"/>
      <c r="AE63" s="5"/>
      <c r="AF63" s="2"/>
      <c r="AG63" s="2"/>
      <c r="AH63" s="2"/>
      <c r="AI63" s="2"/>
    </row>
    <row r="64" spans="1:35">
      <c r="A64" s="2"/>
      <c r="B64" s="2"/>
      <c r="C64" s="2"/>
      <c r="D64" s="2"/>
      <c r="E64" s="5"/>
      <c r="F64" s="2"/>
      <c r="G64" s="5"/>
      <c r="H64" s="2"/>
      <c r="I64" s="2"/>
      <c r="J64" s="2"/>
      <c r="K64" s="2"/>
      <c r="L64" s="2"/>
      <c r="M64" s="2"/>
      <c r="N64" s="2"/>
      <c r="O64" s="2"/>
      <c r="P64" s="2"/>
      <c r="Q64" s="2"/>
      <c r="R64" s="2"/>
      <c r="S64" s="2"/>
      <c r="T64" s="2"/>
      <c r="U64" s="2"/>
      <c r="V64" s="2"/>
      <c r="W64" s="2"/>
      <c r="X64" s="2"/>
      <c r="Y64" s="2"/>
      <c r="Z64" s="2" t="str">
        <f t="shared" si="4"/>
        <v/>
      </c>
      <c r="AA64" s="2" t="str">
        <f t="shared" si="5"/>
        <v/>
      </c>
      <c r="AB64" s="2" t="str">
        <f t="shared" si="6"/>
        <v/>
      </c>
      <c r="AC64" s="2" t="str">
        <f t="shared" si="7"/>
        <v>Walks with direction</v>
      </c>
      <c r="AD64" s="2"/>
      <c r="AE64" s="5"/>
      <c r="AF64" s="2"/>
      <c r="AG64" s="2"/>
      <c r="AH64" s="2"/>
      <c r="AI64" s="2"/>
    </row>
    <row r="65" spans="1:35">
      <c r="A65" s="2"/>
      <c r="B65" s="2"/>
      <c r="C65" s="2"/>
      <c r="D65" s="2"/>
      <c r="E65" s="5"/>
      <c r="F65" s="2"/>
      <c r="G65" s="5"/>
      <c r="H65" s="2"/>
      <c r="I65" s="2"/>
      <c r="J65" s="2"/>
      <c r="K65" s="2"/>
      <c r="L65" s="2"/>
      <c r="M65" s="2"/>
      <c r="N65" s="2"/>
      <c r="O65" s="2"/>
      <c r="P65" s="2"/>
      <c r="Q65" s="2"/>
      <c r="R65" s="2"/>
      <c r="S65" s="2"/>
      <c r="T65" s="2"/>
      <c r="U65" s="2"/>
      <c r="V65" s="2"/>
      <c r="W65" s="2"/>
      <c r="X65" s="2"/>
      <c r="Y65" s="2"/>
      <c r="Z65" s="2" t="str">
        <f t="shared" si="4"/>
        <v/>
      </c>
      <c r="AA65" s="2" t="str">
        <f t="shared" si="5"/>
        <v/>
      </c>
      <c r="AB65" s="2" t="str">
        <f t="shared" si="6"/>
        <v/>
      </c>
      <c r="AC65" s="2" t="str">
        <f t="shared" si="7"/>
        <v>Walks with direction</v>
      </c>
      <c r="AD65" s="2"/>
      <c r="AE65" s="5"/>
      <c r="AF65" s="2"/>
      <c r="AG65" s="2"/>
      <c r="AH65" s="2"/>
      <c r="AI65" s="2"/>
    </row>
    <row r="66" spans="1:35">
      <c r="A66" s="2"/>
      <c r="B66" s="2"/>
      <c r="C66" s="2"/>
      <c r="D66" s="2"/>
      <c r="E66" s="5"/>
      <c r="F66" s="2"/>
      <c r="G66" s="5"/>
      <c r="H66" s="2"/>
      <c r="I66" s="2"/>
      <c r="J66" s="2"/>
      <c r="K66" s="2"/>
      <c r="L66" s="2"/>
      <c r="M66" s="2"/>
      <c r="N66" s="2"/>
      <c r="O66" s="2"/>
      <c r="P66" s="2"/>
      <c r="Q66" s="2"/>
      <c r="R66" s="2"/>
      <c r="S66" s="2"/>
      <c r="T66" s="2"/>
      <c r="U66" s="2"/>
      <c r="V66" s="2"/>
      <c r="W66" s="2"/>
      <c r="X66" s="2"/>
      <c r="Y66" s="2"/>
      <c r="Z66" s="2" t="str">
        <f t="shared" si="4"/>
        <v/>
      </c>
      <c r="AA66" s="2" t="str">
        <f t="shared" si="5"/>
        <v/>
      </c>
      <c r="AB66" s="2" t="str">
        <f t="shared" si="6"/>
        <v/>
      </c>
      <c r="AC66" s="2" t="str">
        <f t="shared" si="7"/>
        <v>Walks with direction</v>
      </c>
      <c r="AD66" s="2"/>
      <c r="AE66" s="5"/>
      <c r="AF66" s="2"/>
      <c r="AG66" s="2"/>
      <c r="AH66" s="2"/>
      <c r="AI66" s="2"/>
    </row>
    <row r="67" spans="1:35">
      <c r="A67" s="2"/>
      <c r="B67" s="2"/>
      <c r="C67" s="2"/>
      <c r="D67" s="2"/>
      <c r="E67" s="5"/>
      <c r="F67" s="2"/>
      <c r="G67" s="5"/>
      <c r="H67" s="2"/>
      <c r="I67" s="2"/>
      <c r="J67" s="2"/>
      <c r="K67" s="2"/>
      <c r="L67" s="2"/>
      <c r="M67" s="2"/>
      <c r="N67" s="2"/>
      <c r="O67" s="2"/>
      <c r="P67" s="2"/>
      <c r="Q67" s="2"/>
      <c r="R67" s="2"/>
      <c r="S67" s="2"/>
      <c r="T67" s="2"/>
      <c r="U67" s="2"/>
      <c r="V67" s="2"/>
      <c r="W67" s="2"/>
      <c r="X67" s="2"/>
      <c r="Y67" s="2"/>
      <c r="Z67" s="2" t="str">
        <f t="shared" si="4"/>
        <v/>
      </c>
      <c r="AA67" s="2" t="str">
        <f t="shared" si="5"/>
        <v/>
      </c>
      <c r="AB67" s="2" t="str">
        <f t="shared" si="6"/>
        <v/>
      </c>
      <c r="AC67" s="2" t="str">
        <f t="shared" si="7"/>
        <v>Walks with direction</v>
      </c>
      <c r="AD67" s="2"/>
      <c r="AE67" s="5"/>
      <c r="AF67" s="2"/>
      <c r="AG67" s="2"/>
      <c r="AH67" s="2"/>
      <c r="AI67" s="2"/>
    </row>
    <row r="68" spans="1:35">
      <c r="A68" s="2"/>
      <c r="B68" s="2"/>
      <c r="C68" s="2"/>
      <c r="D68" s="2"/>
      <c r="E68" s="5"/>
      <c r="F68" s="2"/>
      <c r="G68" s="5"/>
      <c r="H68" s="2"/>
      <c r="I68" s="2"/>
      <c r="J68" s="2"/>
      <c r="K68" s="2"/>
      <c r="L68" s="2"/>
      <c r="M68" s="2"/>
      <c r="N68" s="2"/>
      <c r="O68" s="2"/>
      <c r="P68" s="2"/>
      <c r="Q68" s="2"/>
      <c r="R68" s="2"/>
      <c r="S68" s="2"/>
      <c r="T68" s="2"/>
      <c r="U68" s="2"/>
      <c r="V68" s="2"/>
      <c r="W68" s="2"/>
      <c r="X68" s="2"/>
      <c r="Y68" s="2"/>
      <c r="Z68" s="2" t="str">
        <f t="shared" si="4"/>
        <v/>
      </c>
      <c r="AA68" s="2" t="str">
        <f t="shared" si="5"/>
        <v/>
      </c>
      <c r="AB68" s="2" t="str">
        <f t="shared" si="6"/>
        <v/>
      </c>
      <c r="AC68" s="2" t="str">
        <f t="shared" si="7"/>
        <v>Walks with direction</v>
      </c>
      <c r="AD68" s="2"/>
      <c r="AE68" s="5"/>
      <c r="AF68" s="2"/>
      <c r="AG68" s="2"/>
      <c r="AH68" s="2"/>
      <c r="AI68" s="2"/>
    </row>
    <row r="69" spans="1:35">
      <c r="A69" s="2"/>
      <c r="B69" s="2"/>
      <c r="C69" s="2"/>
      <c r="D69" s="2"/>
      <c r="E69" s="5"/>
      <c r="F69" s="2"/>
      <c r="G69" s="5"/>
      <c r="H69" s="2"/>
      <c r="I69" s="2"/>
      <c r="J69" s="2"/>
      <c r="K69" s="2"/>
      <c r="L69" s="2"/>
      <c r="M69" s="2"/>
      <c r="N69" s="2"/>
      <c r="O69" s="2"/>
      <c r="P69" s="2"/>
      <c r="Q69" s="2"/>
      <c r="R69" s="2"/>
      <c r="S69" s="2"/>
      <c r="T69" s="2"/>
      <c r="U69" s="2"/>
      <c r="V69" s="2"/>
      <c r="W69" s="2"/>
      <c r="X69" s="2"/>
      <c r="Y69" s="2"/>
      <c r="Z69" s="2" t="str">
        <f t="shared" si="4"/>
        <v/>
      </c>
      <c r="AA69" s="2" t="str">
        <f t="shared" si="5"/>
        <v/>
      </c>
      <c r="AB69" s="2" t="str">
        <f t="shared" si="6"/>
        <v/>
      </c>
      <c r="AC69" s="2" t="str">
        <f t="shared" si="7"/>
        <v>Walks with direction</v>
      </c>
      <c r="AD69" s="2"/>
      <c r="AE69" s="5"/>
      <c r="AF69" s="2"/>
      <c r="AG69" s="2"/>
      <c r="AH69" s="2"/>
      <c r="AI69" s="2"/>
    </row>
    <row r="70" spans="1:35">
      <c r="A70" s="2"/>
      <c r="B70" s="2"/>
      <c r="C70" s="2"/>
      <c r="D70" s="2"/>
      <c r="E70" s="5"/>
      <c r="F70" s="2"/>
      <c r="G70" s="5"/>
      <c r="H70" s="2"/>
      <c r="I70" s="2"/>
      <c r="J70" s="2"/>
      <c r="K70" s="2"/>
      <c r="L70" s="2"/>
      <c r="M70" s="2"/>
      <c r="N70" s="2"/>
      <c r="O70" s="2"/>
      <c r="P70" s="2"/>
      <c r="Q70" s="2"/>
      <c r="R70" s="2"/>
      <c r="S70" s="2"/>
      <c r="T70" s="2"/>
      <c r="U70" s="2"/>
      <c r="V70" s="2"/>
      <c r="W70" s="2"/>
      <c r="X70" s="2"/>
      <c r="Y70" s="2"/>
      <c r="Z70" s="2" t="str">
        <f t="shared" si="4"/>
        <v/>
      </c>
      <c r="AA70" s="2" t="str">
        <f t="shared" si="5"/>
        <v/>
      </c>
      <c r="AB70" s="2" t="str">
        <f t="shared" si="6"/>
        <v/>
      </c>
      <c r="AC70" s="2" t="str">
        <f t="shared" si="7"/>
        <v>Walks with direction</v>
      </c>
      <c r="AD70" s="2"/>
      <c r="AE70" s="5"/>
      <c r="AF70" s="2"/>
      <c r="AG70" s="2"/>
      <c r="AH70" s="2"/>
      <c r="AI70" s="2"/>
    </row>
    <row r="71" spans="1:35">
      <c r="A71" s="2"/>
      <c r="B71" s="2"/>
      <c r="C71" s="2"/>
      <c r="D71" s="2"/>
      <c r="E71" s="5"/>
      <c r="F71" s="2"/>
      <c r="G71" s="5"/>
      <c r="H71" s="2"/>
      <c r="I71" s="2"/>
      <c r="J71" s="2"/>
      <c r="K71" s="2"/>
      <c r="L71" s="2"/>
      <c r="M71" s="2"/>
      <c r="N71" s="2"/>
      <c r="O71" s="2"/>
      <c r="P71" s="2"/>
      <c r="Q71" s="2"/>
      <c r="R71" s="2"/>
      <c r="S71" s="2"/>
      <c r="T71" s="2"/>
      <c r="U71" s="2"/>
      <c r="V71" s="2"/>
      <c r="W71" s="2"/>
      <c r="X71" s="2"/>
      <c r="Y71" s="2"/>
      <c r="Z71" s="2" t="str">
        <f t="shared" si="4"/>
        <v/>
      </c>
      <c r="AA71" s="2" t="str">
        <f t="shared" si="5"/>
        <v/>
      </c>
      <c r="AB71" s="2" t="str">
        <f t="shared" si="6"/>
        <v/>
      </c>
      <c r="AC71" s="2" t="str">
        <f t="shared" si="7"/>
        <v>Walks with direction</v>
      </c>
      <c r="AD71" s="2"/>
      <c r="AE71" s="5"/>
      <c r="AF71" s="2"/>
      <c r="AG71" s="2"/>
      <c r="AH71" s="2"/>
      <c r="AI71" s="2"/>
    </row>
    <row r="72" spans="1:35">
      <c r="A72" s="2"/>
      <c r="B72" s="2"/>
      <c r="C72" s="2"/>
      <c r="D72" s="2"/>
      <c r="E72" s="5"/>
      <c r="F72" s="2"/>
      <c r="G72" s="5"/>
      <c r="H72" s="2"/>
      <c r="I72" s="2"/>
      <c r="J72" s="2"/>
      <c r="K72" s="2"/>
      <c r="L72" s="2"/>
      <c r="M72" s="2"/>
      <c r="N72" s="2"/>
      <c r="O72" s="2"/>
      <c r="P72" s="2"/>
      <c r="Q72" s="2"/>
      <c r="R72" s="2"/>
      <c r="S72" s="2"/>
      <c r="T72" s="2"/>
      <c r="U72" s="2"/>
      <c r="V72" s="2"/>
      <c r="W72" s="2"/>
      <c r="X72" s="2"/>
      <c r="Y72" s="2"/>
      <c r="Z72" s="2" t="str">
        <f t="shared" si="4"/>
        <v/>
      </c>
      <c r="AA72" s="2" t="str">
        <f t="shared" si="5"/>
        <v/>
      </c>
      <c r="AB72" s="2" t="str">
        <f t="shared" si="6"/>
        <v/>
      </c>
      <c r="AC72" s="2" t="str">
        <f t="shared" si="7"/>
        <v>Walks with direction</v>
      </c>
      <c r="AD72" s="2"/>
      <c r="AE72" s="5"/>
      <c r="AF72" s="2"/>
      <c r="AG72" s="2"/>
      <c r="AH72" s="2"/>
      <c r="AI72" s="2"/>
    </row>
    <row r="73" spans="1:35">
      <c r="A73" s="2"/>
      <c r="B73" s="2"/>
      <c r="C73" s="2"/>
      <c r="D73" s="2"/>
      <c r="E73" s="5"/>
      <c r="F73" s="2"/>
      <c r="G73" s="5"/>
      <c r="H73" s="2"/>
      <c r="I73" s="2"/>
      <c r="J73" s="2"/>
      <c r="K73" s="2"/>
      <c r="L73" s="2"/>
      <c r="M73" s="2"/>
      <c r="N73" s="2"/>
      <c r="O73" s="2"/>
      <c r="P73" s="2"/>
      <c r="Q73" s="2"/>
      <c r="R73" s="2"/>
      <c r="S73" s="2"/>
      <c r="T73" s="2"/>
      <c r="U73" s="2"/>
      <c r="V73" s="2"/>
      <c r="W73" s="2"/>
      <c r="X73" s="2"/>
      <c r="Y73" s="2"/>
      <c r="Z73" s="2" t="str">
        <f t="shared" si="4"/>
        <v/>
      </c>
      <c r="AA73" s="2" t="str">
        <f t="shared" si="5"/>
        <v/>
      </c>
      <c r="AB73" s="2" t="str">
        <f t="shared" si="6"/>
        <v/>
      </c>
      <c r="AC73" s="2" t="str">
        <f t="shared" si="7"/>
        <v>Walks with direction</v>
      </c>
      <c r="AD73" s="2"/>
      <c r="AE73" s="5"/>
      <c r="AF73" s="2"/>
      <c r="AG73" s="2"/>
      <c r="AH73" s="2"/>
      <c r="AI73" s="2"/>
    </row>
    <row r="74" spans="1:35">
      <c r="A74" s="2"/>
      <c r="B74" s="2"/>
      <c r="C74" s="2"/>
      <c r="D74" s="2"/>
      <c r="E74" s="5"/>
      <c r="F74" s="2"/>
      <c r="G74" s="5"/>
      <c r="H74" s="2"/>
      <c r="I74" s="2"/>
      <c r="J74" s="2"/>
      <c r="K74" s="2"/>
      <c r="L74" s="2"/>
      <c r="M74" s="2"/>
      <c r="N74" s="2"/>
      <c r="O74" s="2"/>
      <c r="P74" s="2"/>
      <c r="Q74" s="2"/>
      <c r="R74" s="2"/>
      <c r="S74" s="2"/>
      <c r="T74" s="2"/>
      <c r="U74" s="2"/>
      <c r="V74" s="2"/>
      <c r="W74" s="2"/>
      <c r="X74" s="2"/>
      <c r="Y74" s="2"/>
      <c r="Z74" s="2" t="str">
        <f t="shared" si="4"/>
        <v/>
      </c>
      <c r="AA74" s="2" t="str">
        <f t="shared" si="5"/>
        <v/>
      </c>
      <c r="AB74" s="2" t="str">
        <f t="shared" si="6"/>
        <v/>
      </c>
      <c r="AC74" s="2" t="str">
        <f t="shared" si="7"/>
        <v>Walks with direction</v>
      </c>
      <c r="AD74" s="2"/>
      <c r="AE74" s="5"/>
      <c r="AF74" s="2"/>
      <c r="AG74" s="2"/>
      <c r="AH74" s="2"/>
      <c r="AI74" s="2"/>
    </row>
    <row r="75" spans="1:35">
      <c r="A75" s="2"/>
      <c r="B75" s="2"/>
      <c r="C75" s="2"/>
      <c r="D75" s="2"/>
      <c r="E75" s="5"/>
      <c r="F75" s="2"/>
      <c r="G75" s="5"/>
      <c r="H75" s="2"/>
      <c r="I75" s="2"/>
      <c r="J75" s="2"/>
      <c r="K75" s="2"/>
      <c r="L75" s="2"/>
      <c r="M75" s="2"/>
      <c r="N75" s="2"/>
      <c r="O75" s="2"/>
      <c r="P75" s="2"/>
      <c r="Q75" s="2"/>
      <c r="R75" s="2"/>
      <c r="S75" s="2"/>
      <c r="T75" s="2"/>
      <c r="U75" s="2"/>
      <c r="V75" s="2"/>
      <c r="W75" s="2"/>
      <c r="X75" s="2"/>
      <c r="Y75" s="2"/>
      <c r="Z75" s="2" t="str">
        <f t="shared" si="4"/>
        <v/>
      </c>
      <c r="AA75" s="2" t="str">
        <f t="shared" si="5"/>
        <v/>
      </c>
      <c r="AB75" s="2" t="str">
        <f t="shared" si="6"/>
        <v/>
      </c>
      <c r="AC75" s="2" t="str">
        <f t="shared" si="7"/>
        <v>Walks with direction</v>
      </c>
      <c r="AD75" s="2"/>
      <c r="AE75" s="5"/>
      <c r="AF75" s="2"/>
      <c r="AG75" s="2"/>
      <c r="AH75" s="2"/>
      <c r="AI75" s="2"/>
    </row>
    <row r="76" spans="1:35">
      <c r="A76" s="2"/>
      <c r="B76" s="2"/>
      <c r="C76" s="2"/>
      <c r="D76" s="2"/>
      <c r="E76" s="5"/>
      <c r="F76" s="2"/>
      <c r="G76" s="5"/>
      <c r="H76" s="2"/>
      <c r="I76" s="2"/>
      <c r="J76" s="2"/>
      <c r="K76" s="2"/>
      <c r="L76" s="2"/>
      <c r="M76" s="2"/>
      <c r="N76" s="2"/>
      <c r="O76" s="2"/>
      <c r="P76" s="2"/>
      <c r="Q76" s="2"/>
      <c r="R76" s="2"/>
      <c r="S76" s="2"/>
      <c r="T76" s="2"/>
      <c r="U76" s="2"/>
      <c r="V76" s="2"/>
      <c r="W76" s="2"/>
      <c r="X76" s="2"/>
      <c r="Y76" s="2"/>
      <c r="Z76" s="2" t="str">
        <f t="shared" si="4"/>
        <v/>
      </c>
      <c r="AA76" s="2" t="str">
        <f t="shared" si="5"/>
        <v/>
      </c>
      <c r="AB76" s="2" t="str">
        <f t="shared" si="6"/>
        <v/>
      </c>
      <c r="AC76" s="2" t="str">
        <f t="shared" si="7"/>
        <v>Walks with direction</v>
      </c>
      <c r="AD76" s="2"/>
      <c r="AE76" s="5"/>
      <c r="AF76" s="2"/>
      <c r="AG76" s="2"/>
      <c r="AH76" s="2"/>
      <c r="AI76" s="2"/>
    </row>
    <row r="77" spans="1:35">
      <c r="A77" s="2"/>
      <c r="B77" s="2"/>
      <c r="C77" s="2"/>
      <c r="D77" s="2"/>
      <c r="E77" s="5"/>
      <c r="F77" s="2"/>
      <c r="G77" s="5"/>
      <c r="H77" s="2"/>
      <c r="I77" s="2"/>
      <c r="J77" s="2"/>
      <c r="K77" s="2"/>
      <c r="L77" s="2"/>
      <c r="M77" s="2"/>
      <c r="N77" s="2"/>
      <c r="O77" s="2"/>
      <c r="P77" s="2"/>
      <c r="Q77" s="2"/>
      <c r="R77" s="2"/>
      <c r="S77" s="2"/>
      <c r="T77" s="2"/>
      <c r="U77" s="2"/>
      <c r="V77" s="2"/>
      <c r="W77" s="2"/>
      <c r="X77" s="2"/>
      <c r="Y77" s="2"/>
      <c r="Z77" s="2" t="str">
        <f t="shared" si="4"/>
        <v/>
      </c>
      <c r="AA77" s="2" t="str">
        <f t="shared" si="5"/>
        <v/>
      </c>
      <c r="AB77" s="2" t="str">
        <f t="shared" si="6"/>
        <v/>
      </c>
      <c r="AC77" s="2" t="str">
        <f t="shared" si="7"/>
        <v>Walks with direction</v>
      </c>
      <c r="AD77" s="2"/>
      <c r="AE77" s="5"/>
      <c r="AF77" s="2"/>
      <c r="AG77" s="2"/>
      <c r="AH77" s="2"/>
      <c r="AI77" s="2"/>
    </row>
    <row r="78" spans="1:35">
      <c r="A78" s="2"/>
      <c r="B78" s="2"/>
      <c r="C78" s="2"/>
      <c r="D78" s="2"/>
      <c r="E78" s="5"/>
      <c r="F78" s="2"/>
      <c r="G78" s="5"/>
      <c r="H78" s="2"/>
      <c r="I78" s="2"/>
      <c r="J78" s="2"/>
      <c r="K78" s="2"/>
      <c r="L78" s="2"/>
      <c r="M78" s="2"/>
      <c r="N78" s="2"/>
      <c r="O78" s="2"/>
      <c r="P78" s="2"/>
      <c r="Q78" s="2"/>
      <c r="R78" s="2"/>
      <c r="S78" s="2"/>
      <c r="T78" s="2"/>
      <c r="U78" s="2"/>
      <c r="V78" s="2"/>
      <c r="W78" s="2"/>
      <c r="X78" s="2"/>
      <c r="Y78" s="2"/>
      <c r="Z78" s="2" t="str">
        <f t="shared" si="4"/>
        <v/>
      </c>
      <c r="AA78" s="2" t="str">
        <f t="shared" si="5"/>
        <v/>
      </c>
      <c r="AB78" s="2" t="str">
        <f t="shared" si="6"/>
        <v/>
      </c>
      <c r="AC78" s="2" t="str">
        <f t="shared" si="7"/>
        <v>Walks with direction</v>
      </c>
      <c r="AD78" s="2"/>
      <c r="AE78" s="5"/>
      <c r="AF78" s="2"/>
      <c r="AG78" s="2"/>
      <c r="AH78" s="2"/>
      <c r="AI78" s="2"/>
    </row>
    <row r="79" spans="1:35">
      <c r="A79" s="2"/>
      <c r="B79" s="2"/>
      <c r="C79" s="2"/>
      <c r="D79" s="2"/>
      <c r="E79" s="5"/>
      <c r="F79" s="2"/>
      <c r="G79" s="5"/>
      <c r="H79" s="2"/>
      <c r="I79" s="2"/>
      <c r="J79" s="2"/>
      <c r="K79" s="2"/>
      <c r="L79" s="2"/>
      <c r="M79" s="2"/>
      <c r="N79" s="2"/>
      <c r="O79" s="2"/>
      <c r="P79" s="2"/>
      <c r="Q79" s="2"/>
      <c r="R79" s="2"/>
      <c r="S79" s="2"/>
      <c r="T79" s="2"/>
      <c r="U79" s="2"/>
      <c r="V79" s="2"/>
      <c r="W79" s="2"/>
      <c r="X79" s="2"/>
      <c r="Y79" s="2"/>
      <c r="Z79" s="2" t="str">
        <f t="shared" si="4"/>
        <v/>
      </c>
      <c r="AA79" s="2" t="str">
        <f t="shared" si="5"/>
        <v/>
      </c>
      <c r="AB79" s="2" t="str">
        <f t="shared" si="6"/>
        <v/>
      </c>
      <c r="AC79" s="2" t="str">
        <f t="shared" si="7"/>
        <v>Walks with direction</v>
      </c>
      <c r="AD79" s="2"/>
      <c r="AE79" s="5"/>
      <c r="AF79" s="2"/>
      <c r="AG79" s="2"/>
      <c r="AH79" s="2"/>
      <c r="AI79" s="2"/>
    </row>
    <row r="80" spans="1:35">
      <c r="A80" s="2"/>
      <c r="B80" s="2"/>
      <c r="C80" s="2"/>
      <c r="D80" s="2"/>
      <c r="E80" s="5"/>
      <c r="F80" s="2"/>
      <c r="G80" s="5"/>
      <c r="H80" s="2"/>
      <c r="I80" s="2"/>
      <c r="J80" s="2"/>
      <c r="K80" s="2"/>
      <c r="L80" s="2"/>
      <c r="M80" s="2"/>
      <c r="N80" s="2"/>
      <c r="O80" s="2"/>
      <c r="P80" s="2"/>
      <c r="Q80" s="2"/>
      <c r="R80" s="2"/>
      <c r="S80" s="2"/>
      <c r="T80" s="2"/>
      <c r="U80" s="2"/>
      <c r="V80" s="2"/>
      <c r="W80" s="2"/>
      <c r="X80" s="2"/>
      <c r="Y80" s="2"/>
      <c r="Z80" s="2" t="str">
        <f t="shared" si="4"/>
        <v/>
      </c>
      <c r="AA80" s="2" t="str">
        <f t="shared" si="5"/>
        <v/>
      </c>
      <c r="AB80" s="2" t="str">
        <f t="shared" si="6"/>
        <v/>
      </c>
      <c r="AC80" s="2" t="str">
        <f t="shared" si="7"/>
        <v>Walks with direction</v>
      </c>
      <c r="AD80" s="2"/>
      <c r="AE80" s="5"/>
      <c r="AF80" s="2"/>
      <c r="AG80" s="2"/>
      <c r="AH80" s="2"/>
      <c r="AI80" s="2"/>
    </row>
    <row r="81" spans="1:35">
      <c r="A81" s="2"/>
      <c r="B81" s="2"/>
      <c r="C81" s="2"/>
      <c r="D81" s="2"/>
      <c r="E81" s="5"/>
      <c r="F81" s="2"/>
      <c r="G81" s="5"/>
      <c r="H81" s="2"/>
      <c r="I81" s="2"/>
      <c r="J81" s="2"/>
      <c r="K81" s="2"/>
      <c r="L81" s="2"/>
      <c r="M81" s="2"/>
      <c r="N81" s="2"/>
      <c r="O81" s="2"/>
      <c r="P81" s="2"/>
      <c r="Q81" s="2"/>
      <c r="R81" s="2"/>
      <c r="S81" s="2"/>
      <c r="T81" s="2"/>
      <c r="U81" s="2"/>
      <c r="V81" s="2"/>
      <c r="W81" s="2"/>
      <c r="X81" s="2"/>
      <c r="Y81" s="2"/>
      <c r="Z81" s="2" t="str">
        <f t="shared" si="4"/>
        <v/>
      </c>
      <c r="AA81" s="2" t="str">
        <f t="shared" si="5"/>
        <v/>
      </c>
      <c r="AB81" s="2" t="str">
        <f t="shared" si="6"/>
        <v/>
      </c>
      <c r="AC81" s="2" t="str">
        <f t="shared" si="7"/>
        <v>Walks with direction</v>
      </c>
      <c r="AD81" s="2"/>
      <c r="AE81" s="5"/>
      <c r="AF81" s="2"/>
      <c r="AG81" s="2"/>
      <c r="AH81" s="2"/>
      <c r="AI81" s="2"/>
    </row>
    <row r="82" spans="1:35">
      <c r="A82" s="2"/>
      <c r="B82" s="2"/>
      <c r="C82" s="2"/>
      <c r="D82" s="2"/>
      <c r="E82" s="5"/>
      <c r="F82" s="2"/>
      <c r="G82" s="5"/>
      <c r="H82" s="2"/>
      <c r="I82" s="2"/>
      <c r="J82" s="2"/>
      <c r="K82" s="2"/>
      <c r="L82" s="2"/>
      <c r="M82" s="2"/>
      <c r="N82" s="2"/>
      <c r="O82" s="2"/>
      <c r="P82" s="2"/>
      <c r="Q82" s="2"/>
      <c r="R82" s="2"/>
      <c r="S82" s="2"/>
      <c r="T82" s="2"/>
      <c r="U82" s="2"/>
      <c r="V82" s="2"/>
      <c r="W82" s="2"/>
      <c r="X82" s="2"/>
      <c r="Y82" s="2"/>
      <c r="Z82" s="2" t="str">
        <f t="shared" ref="Z82:Z113" si="8">IF(COUNTA(H82:Y82)=0,"",IF(COUNTIF(H82:Y82,"Very High")&gt;0,"Very High",IF(COUNTIF(H82:Y82,"High")&gt;0,"High",IF(COUNTIF(H82:Y82,"Medium")&gt;0,"Medium","Low"))))</f>
        <v/>
      </c>
      <c r="AA82" s="2" t="str">
        <f t="shared" ref="AA82:AA113" si="9">IF(Z82="","",IF(Z82="Low","Routine planned support",IF(Z82="Medium","One staff support/supervision likely",IF(Z82="High","Two staff/review staffing and equipment","Manager review: multiple staff/specialist support"))))</f>
        <v/>
      </c>
      <c r="AB82" s="2" t="str">
        <f t="shared" ref="AB82:AB117" si="10">IF(Z82="","",IF(OR(Z82="High",Z82="Very High",W82="High",W82="Very High"),"Night staffing and evacuation review required","Routine night checks as per care plan"))</f>
        <v/>
      </c>
      <c r="AC82" s="2" t="str">
        <f t="shared" ref="AC82:AC117" si="11">IF(X82="Very High","Specialist PEEP / equipment",IF(OR(X82="High",Z82="High"),"Evacuation sheet/chair or wheelchair per PEEP",IF(OR(X82="Medium",Z82="Medium"),"Walking aid/wheelchair support per PEEP","Walks with direction")))</f>
        <v>Walks with direction</v>
      </c>
      <c r="AD82" s="2"/>
      <c r="AE82" s="5"/>
      <c r="AF82" s="2"/>
      <c r="AG82" s="2"/>
      <c r="AH82" s="2"/>
      <c r="AI82" s="2"/>
    </row>
    <row r="83" spans="1:35">
      <c r="A83" s="2"/>
      <c r="B83" s="2"/>
      <c r="C83" s="2"/>
      <c r="D83" s="2"/>
      <c r="E83" s="5"/>
      <c r="F83" s="2"/>
      <c r="G83" s="5"/>
      <c r="H83" s="2"/>
      <c r="I83" s="2"/>
      <c r="J83" s="2"/>
      <c r="K83" s="2"/>
      <c r="L83" s="2"/>
      <c r="M83" s="2"/>
      <c r="N83" s="2"/>
      <c r="O83" s="2"/>
      <c r="P83" s="2"/>
      <c r="Q83" s="2"/>
      <c r="R83" s="2"/>
      <c r="S83" s="2"/>
      <c r="T83" s="2"/>
      <c r="U83" s="2"/>
      <c r="V83" s="2"/>
      <c r="W83" s="2"/>
      <c r="X83" s="2"/>
      <c r="Y83" s="2"/>
      <c r="Z83" s="2" t="str">
        <f t="shared" si="8"/>
        <v/>
      </c>
      <c r="AA83" s="2" t="str">
        <f t="shared" si="9"/>
        <v/>
      </c>
      <c r="AB83" s="2" t="str">
        <f t="shared" si="10"/>
        <v/>
      </c>
      <c r="AC83" s="2" t="str">
        <f t="shared" si="11"/>
        <v>Walks with direction</v>
      </c>
      <c r="AD83" s="2"/>
      <c r="AE83" s="5"/>
      <c r="AF83" s="2"/>
      <c r="AG83" s="2"/>
      <c r="AH83" s="2"/>
      <c r="AI83" s="2"/>
    </row>
    <row r="84" spans="1:35">
      <c r="A84" s="2"/>
      <c r="B84" s="2"/>
      <c r="C84" s="2"/>
      <c r="D84" s="2"/>
      <c r="E84" s="5"/>
      <c r="F84" s="2"/>
      <c r="G84" s="5"/>
      <c r="H84" s="2"/>
      <c r="I84" s="2"/>
      <c r="J84" s="2"/>
      <c r="K84" s="2"/>
      <c r="L84" s="2"/>
      <c r="M84" s="2"/>
      <c r="N84" s="2"/>
      <c r="O84" s="2"/>
      <c r="P84" s="2"/>
      <c r="Q84" s="2"/>
      <c r="R84" s="2"/>
      <c r="S84" s="2"/>
      <c r="T84" s="2"/>
      <c r="U84" s="2"/>
      <c r="V84" s="2"/>
      <c r="W84" s="2"/>
      <c r="X84" s="2"/>
      <c r="Y84" s="2"/>
      <c r="Z84" s="2" t="str">
        <f t="shared" si="8"/>
        <v/>
      </c>
      <c r="AA84" s="2" t="str">
        <f t="shared" si="9"/>
        <v/>
      </c>
      <c r="AB84" s="2" t="str">
        <f t="shared" si="10"/>
        <v/>
      </c>
      <c r="AC84" s="2" t="str">
        <f t="shared" si="11"/>
        <v>Walks with direction</v>
      </c>
      <c r="AD84" s="2"/>
      <c r="AE84" s="5"/>
      <c r="AF84" s="2"/>
      <c r="AG84" s="2"/>
      <c r="AH84" s="2"/>
      <c r="AI84" s="2"/>
    </row>
    <row r="85" spans="1:35">
      <c r="A85" s="2"/>
      <c r="B85" s="2"/>
      <c r="C85" s="2"/>
      <c r="D85" s="2"/>
      <c r="E85" s="5"/>
      <c r="F85" s="2"/>
      <c r="G85" s="5"/>
      <c r="H85" s="2"/>
      <c r="I85" s="2"/>
      <c r="J85" s="2"/>
      <c r="K85" s="2"/>
      <c r="L85" s="2"/>
      <c r="M85" s="2"/>
      <c r="N85" s="2"/>
      <c r="O85" s="2"/>
      <c r="P85" s="2"/>
      <c r="Q85" s="2"/>
      <c r="R85" s="2"/>
      <c r="S85" s="2"/>
      <c r="T85" s="2"/>
      <c r="U85" s="2"/>
      <c r="V85" s="2"/>
      <c r="W85" s="2"/>
      <c r="X85" s="2"/>
      <c r="Y85" s="2"/>
      <c r="Z85" s="2" t="str">
        <f t="shared" si="8"/>
        <v/>
      </c>
      <c r="AA85" s="2" t="str">
        <f t="shared" si="9"/>
        <v/>
      </c>
      <c r="AB85" s="2" t="str">
        <f t="shared" si="10"/>
        <v/>
      </c>
      <c r="AC85" s="2" t="str">
        <f t="shared" si="11"/>
        <v>Walks with direction</v>
      </c>
      <c r="AD85" s="2"/>
      <c r="AE85" s="5"/>
      <c r="AF85" s="2"/>
      <c r="AG85" s="2"/>
      <c r="AH85" s="2"/>
      <c r="AI85" s="2"/>
    </row>
    <row r="86" spans="1:35">
      <c r="A86" s="2"/>
      <c r="B86" s="2"/>
      <c r="C86" s="2"/>
      <c r="D86" s="2"/>
      <c r="E86" s="5"/>
      <c r="F86" s="2"/>
      <c r="G86" s="5"/>
      <c r="H86" s="2"/>
      <c r="I86" s="2"/>
      <c r="J86" s="2"/>
      <c r="K86" s="2"/>
      <c r="L86" s="2"/>
      <c r="M86" s="2"/>
      <c r="N86" s="2"/>
      <c r="O86" s="2"/>
      <c r="P86" s="2"/>
      <c r="Q86" s="2"/>
      <c r="R86" s="2"/>
      <c r="S86" s="2"/>
      <c r="T86" s="2"/>
      <c r="U86" s="2"/>
      <c r="V86" s="2"/>
      <c r="W86" s="2"/>
      <c r="X86" s="2"/>
      <c r="Y86" s="2"/>
      <c r="Z86" s="2" t="str">
        <f t="shared" si="8"/>
        <v/>
      </c>
      <c r="AA86" s="2" t="str">
        <f t="shared" si="9"/>
        <v/>
      </c>
      <c r="AB86" s="2" t="str">
        <f t="shared" si="10"/>
        <v/>
      </c>
      <c r="AC86" s="2" t="str">
        <f t="shared" si="11"/>
        <v>Walks with direction</v>
      </c>
      <c r="AD86" s="2"/>
      <c r="AE86" s="5"/>
      <c r="AF86" s="2"/>
      <c r="AG86" s="2"/>
      <c r="AH86" s="2"/>
      <c r="AI86" s="2"/>
    </row>
    <row r="87" spans="1:35">
      <c r="A87" s="2"/>
      <c r="B87" s="2"/>
      <c r="C87" s="2"/>
      <c r="D87" s="2"/>
      <c r="E87" s="5"/>
      <c r="F87" s="2"/>
      <c r="G87" s="5"/>
      <c r="H87" s="2"/>
      <c r="I87" s="2"/>
      <c r="J87" s="2"/>
      <c r="K87" s="2"/>
      <c r="L87" s="2"/>
      <c r="M87" s="2"/>
      <c r="N87" s="2"/>
      <c r="O87" s="2"/>
      <c r="P87" s="2"/>
      <c r="Q87" s="2"/>
      <c r="R87" s="2"/>
      <c r="S87" s="2"/>
      <c r="T87" s="2"/>
      <c r="U87" s="2"/>
      <c r="V87" s="2"/>
      <c r="W87" s="2"/>
      <c r="X87" s="2"/>
      <c r="Y87" s="2"/>
      <c r="Z87" s="2" t="str">
        <f t="shared" si="8"/>
        <v/>
      </c>
      <c r="AA87" s="2" t="str">
        <f t="shared" si="9"/>
        <v/>
      </c>
      <c r="AB87" s="2" t="str">
        <f t="shared" si="10"/>
        <v/>
      </c>
      <c r="AC87" s="2" t="str">
        <f t="shared" si="11"/>
        <v>Walks with direction</v>
      </c>
      <c r="AD87" s="2"/>
      <c r="AE87" s="5"/>
      <c r="AF87" s="2"/>
      <c r="AG87" s="2"/>
      <c r="AH87" s="2"/>
      <c r="AI87" s="2"/>
    </row>
    <row r="88" spans="1:35">
      <c r="A88" s="2"/>
      <c r="B88" s="2"/>
      <c r="C88" s="2"/>
      <c r="D88" s="2"/>
      <c r="E88" s="5"/>
      <c r="F88" s="2"/>
      <c r="G88" s="5"/>
      <c r="H88" s="2"/>
      <c r="I88" s="2"/>
      <c r="J88" s="2"/>
      <c r="K88" s="2"/>
      <c r="L88" s="2"/>
      <c r="M88" s="2"/>
      <c r="N88" s="2"/>
      <c r="O88" s="2"/>
      <c r="P88" s="2"/>
      <c r="Q88" s="2"/>
      <c r="R88" s="2"/>
      <c r="S88" s="2"/>
      <c r="T88" s="2"/>
      <c r="U88" s="2"/>
      <c r="V88" s="2"/>
      <c r="W88" s="2"/>
      <c r="X88" s="2"/>
      <c r="Y88" s="2"/>
      <c r="Z88" s="2" t="str">
        <f t="shared" si="8"/>
        <v/>
      </c>
      <c r="AA88" s="2" t="str">
        <f t="shared" si="9"/>
        <v/>
      </c>
      <c r="AB88" s="2" t="str">
        <f t="shared" si="10"/>
        <v/>
      </c>
      <c r="AC88" s="2" t="str">
        <f t="shared" si="11"/>
        <v>Walks with direction</v>
      </c>
      <c r="AD88" s="2"/>
      <c r="AE88" s="5"/>
      <c r="AF88" s="2"/>
      <c r="AG88" s="2"/>
      <c r="AH88" s="2"/>
      <c r="AI88" s="2"/>
    </row>
    <row r="89" spans="1:35">
      <c r="A89" s="2"/>
      <c r="B89" s="2"/>
      <c r="C89" s="2"/>
      <c r="D89" s="2"/>
      <c r="E89" s="5"/>
      <c r="F89" s="2"/>
      <c r="G89" s="5"/>
      <c r="H89" s="2"/>
      <c r="I89" s="2"/>
      <c r="J89" s="2"/>
      <c r="K89" s="2"/>
      <c r="L89" s="2"/>
      <c r="M89" s="2"/>
      <c r="N89" s="2"/>
      <c r="O89" s="2"/>
      <c r="P89" s="2"/>
      <c r="Q89" s="2"/>
      <c r="R89" s="2"/>
      <c r="S89" s="2"/>
      <c r="T89" s="2"/>
      <c r="U89" s="2"/>
      <c r="V89" s="2"/>
      <c r="W89" s="2"/>
      <c r="X89" s="2"/>
      <c r="Y89" s="2"/>
      <c r="Z89" s="2" t="str">
        <f t="shared" si="8"/>
        <v/>
      </c>
      <c r="AA89" s="2" t="str">
        <f t="shared" si="9"/>
        <v/>
      </c>
      <c r="AB89" s="2" t="str">
        <f t="shared" si="10"/>
        <v/>
      </c>
      <c r="AC89" s="2" t="str">
        <f t="shared" si="11"/>
        <v>Walks with direction</v>
      </c>
      <c r="AD89" s="2"/>
      <c r="AE89" s="5"/>
      <c r="AF89" s="2"/>
      <c r="AG89" s="2"/>
      <c r="AH89" s="2"/>
      <c r="AI89" s="2"/>
    </row>
    <row r="90" spans="1:35">
      <c r="A90" s="2"/>
      <c r="B90" s="2"/>
      <c r="C90" s="2"/>
      <c r="D90" s="2"/>
      <c r="E90" s="5"/>
      <c r="F90" s="2"/>
      <c r="G90" s="5"/>
      <c r="H90" s="2"/>
      <c r="I90" s="2"/>
      <c r="J90" s="2"/>
      <c r="K90" s="2"/>
      <c r="L90" s="2"/>
      <c r="M90" s="2"/>
      <c r="N90" s="2"/>
      <c r="O90" s="2"/>
      <c r="P90" s="2"/>
      <c r="Q90" s="2"/>
      <c r="R90" s="2"/>
      <c r="S90" s="2"/>
      <c r="T90" s="2"/>
      <c r="U90" s="2"/>
      <c r="V90" s="2"/>
      <c r="W90" s="2"/>
      <c r="X90" s="2"/>
      <c r="Y90" s="2"/>
      <c r="Z90" s="2" t="str">
        <f t="shared" si="8"/>
        <v/>
      </c>
      <c r="AA90" s="2" t="str">
        <f t="shared" si="9"/>
        <v/>
      </c>
      <c r="AB90" s="2" t="str">
        <f t="shared" si="10"/>
        <v/>
      </c>
      <c r="AC90" s="2" t="str">
        <f t="shared" si="11"/>
        <v>Walks with direction</v>
      </c>
      <c r="AD90" s="2"/>
      <c r="AE90" s="5"/>
      <c r="AF90" s="2"/>
      <c r="AG90" s="2"/>
      <c r="AH90" s="2"/>
      <c r="AI90" s="2"/>
    </row>
    <row r="91" spans="1:35">
      <c r="A91" s="2"/>
      <c r="B91" s="2"/>
      <c r="C91" s="2"/>
      <c r="D91" s="2"/>
      <c r="E91" s="5"/>
      <c r="F91" s="2"/>
      <c r="G91" s="5"/>
      <c r="H91" s="2"/>
      <c r="I91" s="2"/>
      <c r="J91" s="2"/>
      <c r="K91" s="2"/>
      <c r="L91" s="2"/>
      <c r="M91" s="2"/>
      <c r="N91" s="2"/>
      <c r="O91" s="2"/>
      <c r="P91" s="2"/>
      <c r="Q91" s="2"/>
      <c r="R91" s="2"/>
      <c r="S91" s="2"/>
      <c r="T91" s="2"/>
      <c r="U91" s="2"/>
      <c r="V91" s="2"/>
      <c r="W91" s="2"/>
      <c r="X91" s="2"/>
      <c r="Y91" s="2"/>
      <c r="Z91" s="2" t="str">
        <f t="shared" si="8"/>
        <v/>
      </c>
      <c r="AA91" s="2" t="str">
        <f t="shared" si="9"/>
        <v/>
      </c>
      <c r="AB91" s="2" t="str">
        <f t="shared" si="10"/>
        <v/>
      </c>
      <c r="AC91" s="2" t="str">
        <f t="shared" si="11"/>
        <v>Walks with direction</v>
      </c>
      <c r="AD91" s="2"/>
      <c r="AE91" s="5"/>
      <c r="AF91" s="2"/>
      <c r="AG91" s="2"/>
      <c r="AH91" s="2"/>
      <c r="AI91" s="2"/>
    </row>
    <row r="92" spans="1:35">
      <c r="A92" s="2"/>
      <c r="B92" s="2"/>
      <c r="C92" s="2"/>
      <c r="D92" s="2"/>
      <c r="E92" s="5"/>
      <c r="F92" s="2"/>
      <c r="G92" s="5"/>
      <c r="H92" s="2"/>
      <c r="I92" s="2"/>
      <c r="J92" s="2"/>
      <c r="K92" s="2"/>
      <c r="L92" s="2"/>
      <c r="M92" s="2"/>
      <c r="N92" s="2"/>
      <c r="O92" s="2"/>
      <c r="P92" s="2"/>
      <c r="Q92" s="2"/>
      <c r="R92" s="2"/>
      <c r="S92" s="2"/>
      <c r="T92" s="2"/>
      <c r="U92" s="2"/>
      <c r="V92" s="2"/>
      <c r="W92" s="2"/>
      <c r="X92" s="2"/>
      <c r="Y92" s="2"/>
      <c r="Z92" s="2" t="str">
        <f t="shared" si="8"/>
        <v/>
      </c>
      <c r="AA92" s="2" t="str">
        <f t="shared" si="9"/>
        <v/>
      </c>
      <c r="AB92" s="2" t="str">
        <f t="shared" si="10"/>
        <v/>
      </c>
      <c r="AC92" s="2" t="str">
        <f t="shared" si="11"/>
        <v>Walks with direction</v>
      </c>
      <c r="AD92" s="2"/>
      <c r="AE92" s="5"/>
      <c r="AF92" s="2"/>
      <c r="AG92" s="2"/>
      <c r="AH92" s="2"/>
      <c r="AI92" s="2"/>
    </row>
    <row r="93" spans="1:35">
      <c r="A93" s="2"/>
      <c r="B93" s="2"/>
      <c r="C93" s="2"/>
      <c r="D93" s="2"/>
      <c r="E93" s="5"/>
      <c r="F93" s="2"/>
      <c r="G93" s="5"/>
      <c r="H93" s="2"/>
      <c r="I93" s="2"/>
      <c r="J93" s="2"/>
      <c r="K93" s="2"/>
      <c r="L93" s="2"/>
      <c r="M93" s="2"/>
      <c r="N93" s="2"/>
      <c r="O93" s="2"/>
      <c r="P93" s="2"/>
      <c r="Q93" s="2"/>
      <c r="R93" s="2"/>
      <c r="S93" s="2"/>
      <c r="T93" s="2"/>
      <c r="U93" s="2"/>
      <c r="V93" s="2"/>
      <c r="W93" s="2"/>
      <c r="X93" s="2"/>
      <c r="Y93" s="2"/>
      <c r="Z93" s="2" t="str">
        <f t="shared" si="8"/>
        <v/>
      </c>
      <c r="AA93" s="2" t="str">
        <f t="shared" si="9"/>
        <v/>
      </c>
      <c r="AB93" s="2" t="str">
        <f t="shared" si="10"/>
        <v/>
      </c>
      <c r="AC93" s="2" t="str">
        <f t="shared" si="11"/>
        <v>Walks with direction</v>
      </c>
      <c r="AD93" s="2"/>
      <c r="AE93" s="5"/>
      <c r="AF93" s="2"/>
      <c r="AG93" s="2"/>
      <c r="AH93" s="2"/>
      <c r="AI93" s="2"/>
    </row>
    <row r="94" spans="1:35">
      <c r="A94" s="2"/>
      <c r="B94" s="2"/>
      <c r="C94" s="2"/>
      <c r="D94" s="2"/>
      <c r="E94" s="5"/>
      <c r="F94" s="2"/>
      <c r="G94" s="5"/>
      <c r="H94" s="2"/>
      <c r="I94" s="2"/>
      <c r="J94" s="2"/>
      <c r="K94" s="2"/>
      <c r="L94" s="2"/>
      <c r="M94" s="2"/>
      <c r="N94" s="2"/>
      <c r="O94" s="2"/>
      <c r="P94" s="2"/>
      <c r="Q94" s="2"/>
      <c r="R94" s="2"/>
      <c r="S94" s="2"/>
      <c r="T94" s="2"/>
      <c r="U94" s="2"/>
      <c r="V94" s="2"/>
      <c r="W94" s="2"/>
      <c r="X94" s="2"/>
      <c r="Y94" s="2"/>
      <c r="Z94" s="2" t="str">
        <f t="shared" si="8"/>
        <v/>
      </c>
      <c r="AA94" s="2" t="str">
        <f t="shared" si="9"/>
        <v/>
      </c>
      <c r="AB94" s="2" t="str">
        <f t="shared" si="10"/>
        <v/>
      </c>
      <c r="AC94" s="2" t="str">
        <f t="shared" si="11"/>
        <v>Walks with direction</v>
      </c>
      <c r="AD94" s="2"/>
      <c r="AE94" s="5"/>
      <c r="AF94" s="2"/>
      <c r="AG94" s="2"/>
      <c r="AH94" s="2"/>
      <c r="AI94" s="2"/>
    </row>
    <row r="95" spans="1:35">
      <c r="A95" s="2"/>
      <c r="B95" s="2"/>
      <c r="C95" s="2"/>
      <c r="D95" s="2"/>
      <c r="E95" s="5"/>
      <c r="F95" s="2"/>
      <c r="G95" s="5"/>
      <c r="H95" s="2"/>
      <c r="I95" s="2"/>
      <c r="J95" s="2"/>
      <c r="K95" s="2"/>
      <c r="L95" s="2"/>
      <c r="M95" s="2"/>
      <c r="N95" s="2"/>
      <c r="O95" s="2"/>
      <c r="P95" s="2"/>
      <c r="Q95" s="2"/>
      <c r="R95" s="2"/>
      <c r="S95" s="2"/>
      <c r="T95" s="2"/>
      <c r="U95" s="2"/>
      <c r="V95" s="2"/>
      <c r="W95" s="2"/>
      <c r="X95" s="2"/>
      <c r="Y95" s="2"/>
      <c r="Z95" s="2" t="str">
        <f t="shared" si="8"/>
        <v/>
      </c>
      <c r="AA95" s="2" t="str">
        <f t="shared" si="9"/>
        <v/>
      </c>
      <c r="AB95" s="2" t="str">
        <f t="shared" si="10"/>
        <v/>
      </c>
      <c r="AC95" s="2" t="str">
        <f t="shared" si="11"/>
        <v>Walks with direction</v>
      </c>
      <c r="AD95" s="2"/>
      <c r="AE95" s="5"/>
      <c r="AF95" s="2"/>
      <c r="AG95" s="2"/>
      <c r="AH95" s="2"/>
      <c r="AI95" s="2"/>
    </row>
    <row r="96" spans="1:35">
      <c r="A96" s="2"/>
      <c r="B96" s="2"/>
      <c r="C96" s="2"/>
      <c r="D96" s="2"/>
      <c r="E96" s="5"/>
      <c r="F96" s="2"/>
      <c r="G96" s="5"/>
      <c r="H96" s="2"/>
      <c r="I96" s="2"/>
      <c r="J96" s="2"/>
      <c r="K96" s="2"/>
      <c r="L96" s="2"/>
      <c r="M96" s="2"/>
      <c r="N96" s="2"/>
      <c r="O96" s="2"/>
      <c r="P96" s="2"/>
      <c r="Q96" s="2"/>
      <c r="R96" s="2"/>
      <c r="S96" s="2"/>
      <c r="T96" s="2"/>
      <c r="U96" s="2"/>
      <c r="V96" s="2"/>
      <c r="W96" s="2"/>
      <c r="X96" s="2"/>
      <c r="Y96" s="2"/>
      <c r="Z96" s="2" t="str">
        <f t="shared" si="8"/>
        <v/>
      </c>
      <c r="AA96" s="2" t="str">
        <f t="shared" si="9"/>
        <v/>
      </c>
      <c r="AB96" s="2" t="str">
        <f t="shared" si="10"/>
        <v/>
      </c>
      <c r="AC96" s="2" t="str">
        <f t="shared" si="11"/>
        <v>Walks with direction</v>
      </c>
      <c r="AD96" s="2"/>
      <c r="AE96" s="5"/>
      <c r="AF96" s="2"/>
      <c r="AG96" s="2"/>
      <c r="AH96" s="2"/>
      <c r="AI96" s="2"/>
    </row>
    <row r="97" spans="1:35">
      <c r="A97" s="2"/>
      <c r="B97" s="2"/>
      <c r="C97" s="2"/>
      <c r="D97" s="2"/>
      <c r="E97" s="5"/>
      <c r="F97" s="2"/>
      <c r="G97" s="5"/>
      <c r="H97" s="2"/>
      <c r="I97" s="2"/>
      <c r="J97" s="2"/>
      <c r="K97" s="2"/>
      <c r="L97" s="2"/>
      <c r="M97" s="2"/>
      <c r="N97" s="2"/>
      <c r="O97" s="2"/>
      <c r="P97" s="2"/>
      <c r="Q97" s="2"/>
      <c r="R97" s="2"/>
      <c r="S97" s="2"/>
      <c r="T97" s="2"/>
      <c r="U97" s="2"/>
      <c r="V97" s="2"/>
      <c r="W97" s="2"/>
      <c r="X97" s="2"/>
      <c r="Y97" s="2"/>
      <c r="Z97" s="2" t="str">
        <f t="shared" si="8"/>
        <v/>
      </c>
      <c r="AA97" s="2" t="str">
        <f t="shared" si="9"/>
        <v/>
      </c>
      <c r="AB97" s="2" t="str">
        <f t="shared" si="10"/>
        <v/>
      </c>
      <c r="AC97" s="2" t="str">
        <f t="shared" si="11"/>
        <v>Walks with direction</v>
      </c>
      <c r="AD97" s="2"/>
      <c r="AE97" s="5"/>
      <c r="AF97" s="2"/>
      <c r="AG97" s="2"/>
      <c r="AH97" s="2"/>
      <c r="AI97" s="2"/>
    </row>
    <row r="98" spans="1:35">
      <c r="A98" s="2"/>
      <c r="B98" s="2"/>
      <c r="C98" s="2"/>
      <c r="D98" s="2"/>
      <c r="E98" s="5"/>
      <c r="F98" s="2"/>
      <c r="G98" s="5"/>
      <c r="H98" s="2"/>
      <c r="I98" s="2"/>
      <c r="J98" s="2"/>
      <c r="K98" s="2"/>
      <c r="L98" s="2"/>
      <c r="M98" s="2"/>
      <c r="N98" s="2"/>
      <c r="O98" s="2"/>
      <c r="P98" s="2"/>
      <c r="Q98" s="2"/>
      <c r="R98" s="2"/>
      <c r="S98" s="2"/>
      <c r="T98" s="2"/>
      <c r="U98" s="2"/>
      <c r="V98" s="2"/>
      <c r="W98" s="2"/>
      <c r="X98" s="2"/>
      <c r="Y98" s="2"/>
      <c r="Z98" s="2" t="str">
        <f t="shared" si="8"/>
        <v/>
      </c>
      <c r="AA98" s="2" t="str">
        <f t="shared" si="9"/>
        <v/>
      </c>
      <c r="AB98" s="2" t="str">
        <f t="shared" si="10"/>
        <v/>
      </c>
      <c r="AC98" s="2" t="str">
        <f t="shared" si="11"/>
        <v>Walks with direction</v>
      </c>
      <c r="AD98" s="2"/>
      <c r="AE98" s="5"/>
      <c r="AF98" s="2"/>
      <c r="AG98" s="2"/>
      <c r="AH98" s="2"/>
      <c r="AI98" s="2"/>
    </row>
    <row r="99" spans="1:35">
      <c r="A99" s="2"/>
      <c r="B99" s="2"/>
      <c r="C99" s="2"/>
      <c r="D99" s="2"/>
      <c r="E99" s="5"/>
      <c r="F99" s="2"/>
      <c r="G99" s="5"/>
      <c r="H99" s="2"/>
      <c r="I99" s="2"/>
      <c r="J99" s="2"/>
      <c r="K99" s="2"/>
      <c r="L99" s="2"/>
      <c r="M99" s="2"/>
      <c r="N99" s="2"/>
      <c r="O99" s="2"/>
      <c r="P99" s="2"/>
      <c r="Q99" s="2"/>
      <c r="R99" s="2"/>
      <c r="S99" s="2"/>
      <c r="T99" s="2"/>
      <c r="U99" s="2"/>
      <c r="V99" s="2"/>
      <c r="W99" s="2"/>
      <c r="X99" s="2"/>
      <c r="Y99" s="2"/>
      <c r="Z99" s="2" t="str">
        <f t="shared" si="8"/>
        <v/>
      </c>
      <c r="AA99" s="2" t="str">
        <f t="shared" si="9"/>
        <v/>
      </c>
      <c r="AB99" s="2" t="str">
        <f t="shared" si="10"/>
        <v/>
      </c>
      <c r="AC99" s="2" t="str">
        <f t="shared" si="11"/>
        <v>Walks with direction</v>
      </c>
      <c r="AD99" s="2"/>
      <c r="AE99" s="5"/>
      <c r="AF99" s="2"/>
      <c r="AG99" s="2"/>
      <c r="AH99" s="2"/>
      <c r="AI99" s="2"/>
    </row>
    <row r="100" spans="1:35">
      <c r="A100" s="2"/>
      <c r="B100" s="2"/>
      <c r="C100" s="2"/>
      <c r="D100" s="2"/>
      <c r="E100" s="5"/>
      <c r="F100" s="2"/>
      <c r="G100" s="5"/>
      <c r="H100" s="2"/>
      <c r="I100" s="2"/>
      <c r="J100" s="2"/>
      <c r="K100" s="2"/>
      <c r="L100" s="2"/>
      <c r="M100" s="2"/>
      <c r="N100" s="2"/>
      <c r="O100" s="2"/>
      <c r="P100" s="2"/>
      <c r="Q100" s="2"/>
      <c r="R100" s="2"/>
      <c r="S100" s="2"/>
      <c r="T100" s="2"/>
      <c r="U100" s="2"/>
      <c r="V100" s="2"/>
      <c r="W100" s="2"/>
      <c r="X100" s="2"/>
      <c r="Y100" s="2"/>
      <c r="Z100" s="2" t="str">
        <f t="shared" si="8"/>
        <v/>
      </c>
      <c r="AA100" s="2" t="str">
        <f t="shared" si="9"/>
        <v/>
      </c>
      <c r="AB100" s="2" t="str">
        <f t="shared" si="10"/>
        <v/>
      </c>
      <c r="AC100" s="2" t="str">
        <f t="shared" si="11"/>
        <v>Walks with direction</v>
      </c>
      <c r="AD100" s="2"/>
      <c r="AE100" s="5"/>
      <c r="AF100" s="2"/>
      <c r="AG100" s="2"/>
      <c r="AH100" s="2"/>
      <c r="AI100" s="2"/>
    </row>
    <row r="101" spans="1:35">
      <c r="A101" s="2"/>
      <c r="B101" s="2"/>
      <c r="C101" s="2"/>
      <c r="D101" s="2"/>
      <c r="E101" s="5"/>
      <c r="F101" s="2"/>
      <c r="G101" s="5"/>
      <c r="H101" s="2"/>
      <c r="I101" s="2"/>
      <c r="J101" s="2"/>
      <c r="K101" s="2"/>
      <c r="L101" s="2"/>
      <c r="M101" s="2"/>
      <c r="N101" s="2"/>
      <c r="O101" s="2"/>
      <c r="P101" s="2"/>
      <c r="Q101" s="2"/>
      <c r="R101" s="2"/>
      <c r="S101" s="2"/>
      <c r="T101" s="2"/>
      <c r="U101" s="2"/>
      <c r="V101" s="2"/>
      <c r="W101" s="2"/>
      <c r="X101" s="2"/>
      <c r="Y101" s="2"/>
      <c r="Z101" s="2" t="str">
        <f t="shared" si="8"/>
        <v/>
      </c>
      <c r="AA101" s="2" t="str">
        <f t="shared" si="9"/>
        <v/>
      </c>
      <c r="AB101" s="2" t="str">
        <f t="shared" si="10"/>
        <v/>
      </c>
      <c r="AC101" s="2" t="str">
        <f t="shared" si="11"/>
        <v>Walks with direction</v>
      </c>
      <c r="AD101" s="2"/>
      <c r="AE101" s="5"/>
      <c r="AF101" s="2"/>
      <c r="AG101" s="2"/>
      <c r="AH101" s="2"/>
      <c r="AI101" s="2"/>
    </row>
    <row r="102" spans="1:35">
      <c r="A102" s="2"/>
      <c r="B102" s="2"/>
      <c r="C102" s="2"/>
      <c r="D102" s="2"/>
      <c r="E102" s="5"/>
      <c r="F102" s="2"/>
      <c r="G102" s="5"/>
      <c r="H102" s="2"/>
      <c r="I102" s="2"/>
      <c r="J102" s="2"/>
      <c r="K102" s="2"/>
      <c r="L102" s="2"/>
      <c r="M102" s="2"/>
      <c r="N102" s="2"/>
      <c r="O102" s="2"/>
      <c r="P102" s="2"/>
      <c r="Q102" s="2"/>
      <c r="R102" s="2"/>
      <c r="S102" s="2"/>
      <c r="T102" s="2"/>
      <c r="U102" s="2"/>
      <c r="V102" s="2"/>
      <c r="W102" s="2"/>
      <c r="X102" s="2"/>
      <c r="Y102" s="2"/>
      <c r="Z102" s="2" t="str">
        <f t="shared" si="8"/>
        <v/>
      </c>
      <c r="AA102" s="2" t="str">
        <f t="shared" si="9"/>
        <v/>
      </c>
      <c r="AB102" s="2" t="str">
        <f t="shared" si="10"/>
        <v/>
      </c>
      <c r="AC102" s="2" t="str">
        <f t="shared" si="11"/>
        <v>Walks with direction</v>
      </c>
      <c r="AD102" s="2"/>
      <c r="AE102" s="5"/>
      <c r="AF102" s="2"/>
      <c r="AG102" s="2"/>
      <c r="AH102" s="2"/>
      <c r="AI102" s="2"/>
    </row>
    <row r="103" spans="1:35">
      <c r="A103" s="2"/>
      <c r="B103" s="2"/>
      <c r="C103" s="2"/>
      <c r="D103" s="2"/>
      <c r="E103" s="5"/>
      <c r="F103" s="2"/>
      <c r="G103" s="5"/>
      <c r="H103" s="2"/>
      <c r="I103" s="2"/>
      <c r="J103" s="2"/>
      <c r="K103" s="2"/>
      <c r="L103" s="2"/>
      <c r="M103" s="2"/>
      <c r="N103" s="2"/>
      <c r="O103" s="2"/>
      <c r="P103" s="2"/>
      <c r="Q103" s="2"/>
      <c r="R103" s="2"/>
      <c r="S103" s="2"/>
      <c r="T103" s="2"/>
      <c r="U103" s="2"/>
      <c r="V103" s="2"/>
      <c r="W103" s="2"/>
      <c r="X103" s="2"/>
      <c r="Y103" s="2"/>
      <c r="Z103" s="2" t="str">
        <f t="shared" si="8"/>
        <v/>
      </c>
      <c r="AA103" s="2" t="str">
        <f t="shared" si="9"/>
        <v/>
      </c>
      <c r="AB103" s="2" t="str">
        <f t="shared" si="10"/>
        <v/>
      </c>
      <c r="AC103" s="2" t="str">
        <f t="shared" si="11"/>
        <v>Walks with direction</v>
      </c>
      <c r="AD103" s="2"/>
      <c r="AE103" s="5"/>
      <c r="AF103" s="2"/>
      <c r="AG103" s="2"/>
      <c r="AH103" s="2"/>
      <c r="AI103" s="2"/>
    </row>
    <row r="104" spans="1:35">
      <c r="A104" s="2"/>
      <c r="B104" s="2"/>
      <c r="C104" s="2"/>
      <c r="D104" s="2"/>
      <c r="E104" s="5"/>
      <c r="F104" s="2"/>
      <c r="G104" s="5"/>
      <c r="H104" s="2"/>
      <c r="I104" s="2"/>
      <c r="J104" s="2"/>
      <c r="K104" s="2"/>
      <c r="L104" s="2"/>
      <c r="M104" s="2"/>
      <c r="N104" s="2"/>
      <c r="O104" s="2"/>
      <c r="P104" s="2"/>
      <c r="Q104" s="2"/>
      <c r="R104" s="2"/>
      <c r="S104" s="2"/>
      <c r="T104" s="2"/>
      <c r="U104" s="2"/>
      <c r="V104" s="2"/>
      <c r="W104" s="2"/>
      <c r="X104" s="2"/>
      <c r="Y104" s="2"/>
      <c r="Z104" s="2" t="str">
        <f t="shared" si="8"/>
        <v/>
      </c>
      <c r="AA104" s="2" t="str">
        <f t="shared" si="9"/>
        <v/>
      </c>
      <c r="AB104" s="2" t="str">
        <f t="shared" si="10"/>
        <v/>
      </c>
      <c r="AC104" s="2" t="str">
        <f t="shared" si="11"/>
        <v>Walks with direction</v>
      </c>
      <c r="AD104" s="2"/>
      <c r="AE104" s="5"/>
      <c r="AF104" s="2"/>
      <c r="AG104" s="2"/>
      <c r="AH104" s="2"/>
      <c r="AI104" s="2"/>
    </row>
    <row r="105" spans="1:35">
      <c r="A105" s="2"/>
      <c r="B105" s="2"/>
      <c r="C105" s="2"/>
      <c r="D105" s="2"/>
      <c r="E105" s="5"/>
      <c r="F105" s="2"/>
      <c r="G105" s="5"/>
      <c r="H105" s="2"/>
      <c r="I105" s="2"/>
      <c r="J105" s="2"/>
      <c r="K105" s="2"/>
      <c r="L105" s="2"/>
      <c r="M105" s="2"/>
      <c r="N105" s="2"/>
      <c r="O105" s="2"/>
      <c r="P105" s="2"/>
      <c r="Q105" s="2"/>
      <c r="R105" s="2"/>
      <c r="S105" s="2"/>
      <c r="T105" s="2"/>
      <c r="U105" s="2"/>
      <c r="V105" s="2"/>
      <c r="W105" s="2"/>
      <c r="X105" s="2"/>
      <c r="Y105" s="2"/>
      <c r="Z105" s="2" t="str">
        <f t="shared" si="8"/>
        <v/>
      </c>
      <c r="AA105" s="2" t="str">
        <f t="shared" si="9"/>
        <v/>
      </c>
      <c r="AB105" s="2" t="str">
        <f t="shared" si="10"/>
        <v/>
      </c>
      <c r="AC105" s="2" t="str">
        <f t="shared" si="11"/>
        <v>Walks with direction</v>
      </c>
      <c r="AD105" s="2"/>
      <c r="AE105" s="5"/>
      <c r="AF105" s="2"/>
      <c r="AG105" s="2"/>
      <c r="AH105" s="2"/>
      <c r="AI105" s="2"/>
    </row>
    <row r="106" spans="1:35">
      <c r="A106" s="2"/>
      <c r="B106" s="2"/>
      <c r="C106" s="2"/>
      <c r="D106" s="2"/>
      <c r="E106" s="5"/>
      <c r="F106" s="2"/>
      <c r="G106" s="5"/>
      <c r="H106" s="2"/>
      <c r="I106" s="2"/>
      <c r="J106" s="2"/>
      <c r="K106" s="2"/>
      <c r="L106" s="2"/>
      <c r="M106" s="2"/>
      <c r="N106" s="2"/>
      <c r="O106" s="2"/>
      <c r="P106" s="2"/>
      <c r="Q106" s="2"/>
      <c r="R106" s="2"/>
      <c r="S106" s="2"/>
      <c r="T106" s="2"/>
      <c r="U106" s="2"/>
      <c r="V106" s="2"/>
      <c r="W106" s="2"/>
      <c r="X106" s="2"/>
      <c r="Y106" s="2"/>
      <c r="Z106" s="2" t="str">
        <f t="shared" si="8"/>
        <v/>
      </c>
      <c r="AA106" s="2" t="str">
        <f t="shared" si="9"/>
        <v/>
      </c>
      <c r="AB106" s="2" t="str">
        <f t="shared" si="10"/>
        <v/>
      </c>
      <c r="AC106" s="2" t="str">
        <f t="shared" si="11"/>
        <v>Walks with direction</v>
      </c>
      <c r="AD106" s="2"/>
      <c r="AE106" s="5"/>
      <c r="AF106" s="2"/>
      <c r="AG106" s="2"/>
      <c r="AH106" s="2"/>
      <c r="AI106" s="2"/>
    </row>
    <row r="107" spans="1:35">
      <c r="A107" s="2"/>
      <c r="B107" s="2"/>
      <c r="C107" s="2"/>
      <c r="D107" s="2"/>
      <c r="E107" s="5"/>
      <c r="F107" s="2"/>
      <c r="G107" s="5"/>
      <c r="H107" s="2"/>
      <c r="I107" s="2"/>
      <c r="J107" s="2"/>
      <c r="K107" s="2"/>
      <c r="L107" s="2"/>
      <c r="M107" s="2"/>
      <c r="N107" s="2"/>
      <c r="O107" s="2"/>
      <c r="P107" s="2"/>
      <c r="Q107" s="2"/>
      <c r="R107" s="2"/>
      <c r="S107" s="2"/>
      <c r="T107" s="2"/>
      <c r="U107" s="2"/>
      <c r="V107" s="2"/>
      <c r="W107" s="2"/>
      <c r="X107" s="2"/>
      <c r="Y107" s="2"/>
      <c r="Z107" s="2" t="str">
        <f t="shared" si="8"/>
        <v/>
      </c>
      <c r="AA107" s="2" t="str">
        <f t="shared" si="9"/>
        <v/>
      </c>
      <c r="AB107" s="2" t="str">
        <f t="shared" si="10"/>
        <v/>
      </c>
      <c r="AC107" s="2" t="str">
        <f t="shared" si="11"/>
        <v>Walks with direction</v>
      </c>
      <c r="AD107" s="2"/>
      <c r="AE107" s="5"/>
      <c r="AF107" s="2"/>
      <c r="AG107" s="2"/>
      <c r="AH107" s="2"/>
      <c r="AI107" s="2"/>
    </row>
    <row r="108" spans="1:35">
      <c r="A108" s="2"/>
      <c r="B108" s="2"/>
      <c r="C108" s="2"/>
      <c r="D108" s="2"/>
      <c r="E108" s="5"/>
      <c r="F108" s="2"/>
      <c r="G108" s="5"/>
      <c r="H108" s="2"/>
      <c r="I108" s="2"/>
      <c r="J108" s="2"/>
      <c r="K108" s="2"/>
      <c r="L108" s="2"/>
      <c r="M108" s="2"/>
      <c r="N108" s="2"/>
      <c r="O108" s="2"/>
      <c r="P108" s="2"/>
      <c r="Q108" s="2"/>
      <c r="R108" s="2"/>
      <c r="S108" s="2"/>
      <c r="T108" s="2"/>
      <c r="U108" s="2"/>
      <c r="V108" s="2"/>
      <c r="W108" s="2"/>
      <c r="X108" s="2"/>
      <c r="Y108" s="2"/>
      <c r="Z108" s="2" t="str">
        <f t="shared" si="8"/>
        <v/>
      </c>
      <c r="AA108" s="2" t="str">
        <f t="shared" si="9"/>
        <v/>
      </c>
      <c r="AB108" s="2" t="str">
        <f t="shared" si="10"/>
        <v/>
      </c>
      <c r="AC108" s="2" t="str">
        <f t="shared" si="11"/>
        <v>Walks with direction</v>
      </c>
      <c r="AD108" s="2"/>
      <c r="AE108" s="5"/>
      <c r="AF108" s="2"/>
      <c r="AG108" s="2"/>
      <c r="AH108" s="2"/>
      <c r="AI108" s="2"/>
    </row>
    <row r="109" spans="1:35">
      <c r="A109" s="2"/>
      <c r="B109" s="2"/>
      <c r="C109" s="2"/>
      <c r="D109" s="2"/>
      <c r="E109" s="5"/>
      <c r="F109" s="2"/>
      <c r="G109" s="5"/>
      <c r="H109" s="2"/>
      <c r="I109" s="2"/>
      <c r="J109" s="2"/>
      <c r="K109" s="2"/>
      <c r="L109" s="2"/>
      <c r="M109" s="2"/>
      <c r="N109" s="2"/>
      <c r="O109" s="2"/>
      <c r="P109" s="2"/>
      <c r="Q109" s="2"/>
      <c r="R109" s="2"/>
      <c r="S109" s="2"/>
      <c r="T109" s="2"/>
      <c r="U109" s="2"/>
      <c r="V109" s="2"/>
      <c r="W109" s="2"/>
      <c r="X109" s="2"/>
      <c r="Y109" s="2"/>
      <c r="Z109" s="2" t="str">
        <f t="shared" si="8"/>
        <v/>
      </c>
      <c r="AA109" s="2" t="str">
        <f t="shared" si="9"/>
        <v/>
      </c>
      <c r="AB109" s="2" t="str">
        <f t="shared" si="10"/>
        <v/>
      </c>
      <c r="AC109" s="2" t="str">
        <f t="shared" si="11"/>
        <v>Walks with direction</v>
      </c>
      <c r="AD109" s="2"/>
      <c r="AE109" s="5"/>
      <c r="AF109" s="2"/>
      <c r="AG109" s="2"/>
      <c r="AH109" s="2"/>
      <c r="AI109" s="2"/>
    </row>
    <row r="110" spans="1:35">
      <c r="A110" s="2"/>
      <c r="B110" s="2"/>
      <c r="C110" s="2"/>
      <c r="D110" s="2"/>
      <c r="E110" s="5"/>
      <c r="F110" s="2"/>
      <c r="G110" s="5"/>
      <c r="H110" s="2"/>
      <c r="I110" s="2"/>
      <c r="J110" s="2"/>
      <c r="K110" s="2"/>
      <c r="L110" s="2"/>
      <c r="M110" s="2"/>
      <c r="N110" s="2"/>
      <c r="O110" s="2"/>
      <c r="P110" s="2"/>
      <c r="Q110" s="2"/>
      <c r="R110" s="2"/>
      <c r="S110" s="2"/>
      <c r="T110" s="2"/>
      <c r="U110" s="2"/>
      <c r="V110" s="2"/>
      <c r="W110" s="2"/>
      <c r="X110" s="2"/>
      <c r="Y110" s="2"/>
      <c r="Z110" s="2" t="str">
        <f t="shared" si="8"/>
        <v/>
      </c>
      <c r="AA110" s="2" t="str">
        <f t="shared" si="9"/>
        <v/>
      </c>
      <c r="AB110" s="2" t="str">
        <f t="shared" si="10"/>
        <v/>
      </c>
      <c r="AC110" s="2" t="str">
        <f t="shared" si="11"/>
        <v>Walks with direction</v>
      </c>
      <c r="AD110" s="2"/>
      <c r="AE110" s="5"/>
      <c r="AF110" s="2"/>
      <c r="AG110" s="2"/>
      <c r="AH110" s="2"/>
      <c r="AI110" s="2"/>
    </row>
    <row r="111" spans="1:35">
      <c r="A111" s="2"/>
      <c r="B111" s="2"/>
      <c r="C111" s="2"/>
      <c r="D111" s="2"/>
      <c r="E111" s="5"/>
      <c r="F111" s="2"/>
      <c r="G111" s="5"/>
      <c r="H111" s="2"/>
      <c r="I111" s="2"/>
      <c r="J111" s="2"/>
      <c r="K111" s="2"/>
      <c r="L111" s="2"/>
      <c r="M111" s="2"/>
      <c r="N111" s="2"/>
      <c r="O111" s="2"/>
      <c r="P111" s="2"/>
      <c r="Q111" s="2"/>
      <c r="R111" s="2"/>
      <c r="S111" s="2"/>
      <c r="T111" s="2"/>
      <c r="U111" s="2"/>
      <c r="V111" s="2"/>
      <c r="W111" s="2"/>
      <c r="X111" s="2"/>
      <c r="Y111" s="2"/>
      <c r="Z111" s="2" t="str">
        <f t="shared" si="8"/>
        <v/>
      </c>
      <c r="AA111" s="2" t="str">
        <f t="shared" si="9"/>
        <v/>
      </c>
      <c r="AB111" s="2" t="str">
        <f t="shared" si="10"/>
        <v/>
      </c>
      <c r="AC111" s="2" t="str">
        <f t="shared" si="11"/>
        <v>Walks with direction</v>
      </c>
      <c r="AD111" s="2"/>
      <c r="AE111" s="5"/>
      <c r="AF111" s="2"/>
      <c r="AG111" s="2"/>
      <c r="AH111" s="2"/>
      <c r="AI111" s="2"/>
    </row>
    <row r="112" spans="1:35">
      <c r="A112" s="2"/>
      <c r="B112" s="2"/>
      <c r="C112" s="2"/>
      <c r="D112" s="2"/>
      <c r="E112" s="5"/>
      <c r="F112" s="2"/>
      <c r="G112" s="5"/>
      <c r="H112" s="2"/>
      <c r="I112" s="2"/>
      <c r="J112" s="2"/>
      <c r="K112" s="2"/>
      <c r="L112" s="2"/>
      <c r="M112" s="2"/>
      <c r="N112" s="2"/>
      <c r="O112" s="2"/>
      <c r="P112" s="2"/>
      <c r="Q112" s="2"/>
      <c r="R112" s="2"/>
      <c r="S112" s="2"/>
      <c r="T112" s="2"/>
      <c r="U112" s="2"/>
      <c r="V112" s="2"/>
      <c r="W112" s="2"/>
      <c r="X112" s="2"/>
      <c r="Y112" s="2"/>
      <c r="Z112" s="2" t="str">
        <f t="shared" si="8"/>
        <v/>
      </c>
      <c r="AA112" s="2" t="str">
        <f t="shared" si="9"/>
        <v/>
      </c>
      <c r="AB112" s="2" t="str">
        <f t="shared" si="10"/>
        <v/>
      </c>
      <c r="AC112" s="2" t="str">
        <f t="shared" si="11"/>
        <v>Walks with direction</v>
      </c>
      <c r="AD112" s="2"/>
      <c r="AE112" s="5"/>
      <c r="AF112" s="2"/>
      <c r="AG112" s="2"/>
      <c r="AH112" s="2"/>
      <c r="AI112" s="2"/>
    </row>
    <row r="113" spans="1:35">
      <c r="A113" s="2"/>
      <c r="B113" s="2"/>
      <c r="C113" s="2"/>
      <c r="D113" s="2"/>
      <c r="E113" s="5"/>
      <c r="F113" s="2"/>
      <c r="G113" s="5"/>
      <c r="H113" s="2"/>
      <c r="I113" s="2"/>
      <c r="J113" s="2"/>
      <c r="K113" s="2"/>
      <c r="L113" s="2"/>
      <c r="M113" s="2"/>
      <c r="N113" s="2"/>
      <c r="O113" s="2"/>
      <c r="P113" s="2"/>
      <c r="Q113" s="2"/>
      <c r="R113" s="2"/>
      <c r="S113" s="2"/>
      <c r="T113" s="2"/>
      <c r="U113" s="2"/>
      <c r="V113" s="2"/>
      <c r="W113" s="2"/>
      <c r="X113" s="2"/>
      <c r="Y113" s="2"/>
      <c r="Z113" s="2" t="str">
        <f t="shared" si="8"/>
        <v/>
      </c>
      <c r="AA113" s="2" t="str">
        <f t="shared" si="9"/>
        <v/>
      </c>
      <c r="AB113" s="2" t="str">
        <f t="shared" si="10"/>
        <v/>
      </c>
      <c r="AC113" s="2" t="str">
        <f t="shared" si="11"/>
        <v>Walks with direction</v>
      </c>
      <c r="AD113" s="2"/>
      <c r="AE113" s="5"/>
      <c r="AF113" s="2"/>
      <c r="AG113" s="2"/>
      <c r="AH113" s="2"/>
      <c r="AI113" s="2"/>
    </row>
    <row r="114" spans="1:35">
      <c r="A114" s="2"/>
      <c r="B114" s="2"/>
      <c r="C114" s="2"/>
      <c r="D114" s="2"/>
      <c r="E114" s="5"/>
      <c r="F114" s="2"/>
      <c r="G114" s="5"/>
      <c r="H114" s="2"/>
      <c r="I114" s="2"/>
      <c r="J114" s="2"/>
      <c r="K114" s="2"/>
      <c r="L114" s="2"/>
      <c r="M114" s="2"/>
      <c r="N114" s="2"/>
      <c r="O114" s="2"/>
      <c r="P114" s="2"/>
      <c r="Q114" s="2"/>
      <c r="R114" s="2"/>
      <c r="S114" s="2"/>
      <c r="T114" s="2"/>
      <c r="U114" s="2"/>
      <c r="V114" s="2"/>
      <c r="W114" s="2"/>
      <c r="X114" s="2"/>
      <c r="Y114" s="2"/>
      <c r="Z114" s="2" t="str">
        <f t="shared" ref="Z114:Z145" si="12">IF(COUNTA(H114:Y114)=0,"",IF(COUNTIF(H114:Y114,"Very High")&gt;0,"Very High",IF(COUNTIF(H114:Y114,"High")&gt;0,"High",IF(COUNTIF(H114:Y114,"Medium")&gt;0,"Medium","Low"))))</f>
        <v/>
      </c>
      <c r="AA114" s="2" t="str">
        <f t="shared" ref="AA114:AA145" si="13">IF(Z114="","",IF(Z114="Low","Routine planned support",IF(Z114="Medium","One staff support/supervision likely",IF(Z114="High","Two staff/review staffing and equipment","Manager review: multiple staff/specialist support"))))</f>
        <v/>
      </c>
      <c r="AB114" s="2" t="str">
        <f t="shared" si="10"/>
        <v/>
      </c>
      <c r="AC114" s="2" t="str">
        <f t="shared" si="11"/>
        <v>Walks with direction</v>
      </c>
      <c r="AD114" s="2"/>
      <c r="AE114" s="5"/>
      <c r="AF114" s="2"/>
      <c r="AG114" s="2"/>
      <c r="AH114" s="2"/>
      <c r="AI114" s="2"/>
    </row>
    <row r="115" spans="1:35">
      <c r="A115" s="2"/>
      <c r="B115" s="2"/>
      <c r="C115" s="2"/>
      <c r="D115" s="2"/>
      <c r="E115" s="5"/>
      <c r="F115" s="2"/>
      <c r="G115" s="5"/>
      <c r="H115" s="2"/>
      <c r="I115" s="2"/>
      <c r="J115" s="2"/>
      <c r="K115" s="2"/>
      <c r="L115" s="2"/>
      <c r="M115" s="2"/>
      <c r="N115" s="2"/>
      <c r="O115" s="2"/>
      <c r="P115" s="2"/>
      <c r="Q115" s="2"/>
      <c r="R115" s="2"/>
      <c r="S115" s="2"/>
      <c r="T115" s="2"/>
      <c r="U115" s="2"/>
      <c r="V115" s="2"/>
      <c r="W115" s="2"/>
      <c r="X115" s="2"/>
      <c r="Y115" s="2"/>
      <c r="Z115" s="2" t="str">
        <f t="shared" si="12"/>
        <v/>
      </c>
      <c r="AA115" s="2" t="str">
        <f t="shared" si="13"/>
        <v/>
      </c>
      <c r="AB115" s="2" t="str">
        <f t="shared" si="10"/>
        <v/>
      </c>
      <c r="AC115" s="2" t="str">
        <f t="shared" si="11"/>
        <v>Walks with direction</v>
      </c>
      <c r="AD115" s="2"/>
      <c r="AE115" s="5"/>
      <c r="AF115" s="2"/>
      <c r="AG115" s="2"/>
      <c r="AH115" s="2"/>
      <c r="AI115" s="2"/>
    </row>
    <row r="116" spans="1:35">
      <c r="A116" s="2"/>
      <c r="B116" s="2"/>
      <c r="C116" s="2"/>
      <c r="D116" s="2"/>
      <c r="E116" s="5"/>
      <c r="F116" s="2"/>
      <c r="G116" s="5"/>
      <c r="H116" s="2"/>
      <c r="I116" s="2"/>
      <c r="J116" s="2"/>
      <c r="K116" s="2"/>
      <c r="L116" s="2"/>
      <c r="M116" s="2"/>
      <c r="N116" s="2"/>
      <c r="O116" s="2"/>
      <c r="P116" s="2"/>
      <c r="Q116" s="2"/>
      <c r="R116" s="2"/>
      <c r="S116" s="2"/>
      <c r="T116" s="2"/>
      <c r="U116" s="2"/>
      <c r="V116" s="2"/>
      <c r="W116" s="2"/>
      <c r="X116" s="2"/>
      <c r="Y116" s="2"/>
      <c r="Z116" s="2" t="str">
        <f t="shared" si="12"/>
        <v/>
      </c>
      <c r="AA116" s="2" t="str">
        <f t="shared" si="13"/>
        <v/>
      </c>
      <c r="AB116" s="2" t="str">
        <f t="shared" si="10"/>
        <v/>
      </c>
      <c r="AC116" s="2" t="str">
        <f t="shared" si="11"/>
        <v>Walks with direction</v>
      </c>
      <c r="AD116" s="2"/>
      <c r="AE116" s="5"/>
      <c r="AF116" s="2"/>
      <c r="AG116" s="2"/>
      <c r="AH116" s="2"/>
      <c r="AI116" s="2"/>
    </row>
    <row r="117" spans="1:35">
      <c r="A117" s="2"/>
      <c r="B117" s="2"/>
      <c r="C117" s="2"/>
      <c r="D117" s="2"/>
      <c r="E117" s="5"/>
      <c r="F117" s="2"/>
      <c r="G117" s="5"/>
      <c r="H117" s="2"/>
      <c r="I117" s="2"/>
      <c r="J117" s="2"/>
      <c r="K117" s="2"/>
      <c r="L117" s="2"/>
      <c r="M117" s="2"/>
      <c r="N117" s="2"/>
      <c r="O117" s="2"/>
      <c r="P117" s="2"/>
      <c r="Q117" s="2"/>
      <c r="R117" s="2"/>
      <c r="S117" s="2"/>
      <c r="T117" s="2"/>
      <c r="U117" s="2"/>
      <c r="V117" s="2"/>
      <c r="W117" s="2"/>
      <c r="X117" s="2"/>
      <c r="Y117" s="2"/>
      <c r="Z117" s="2" t="str">
        <f t="shared" si="12"/>
        <v/>
      </c>
      <c r="AA117" s="2" t="str">
        <f t="shared" si="13"/>
        <v/>
      </c>
      <c r="AB117" s="2" t="str">
        <f t="shared" si="10"/>
        <v/>
      </c>
      <c r="AC117" s="2" t="str">
        <f t="shared" si="11"/>
        <v>Walks with direction</v>
      </c>
      <c r="AD117" s="2"/>
      <c r="AE117" s="5"/>
      <c r="AF117" s="2"/>
      <c r="AG117" s="2"/>
      <c r="AH117" s="2"/>
      <c r="AI117" s="2"/>
    </row>
    <row r="122" spans="1:35">
      <c r="A122" s="9" t="s">
        <v>153</v>
      </c>
      <c r="B122" s="7"/>
      <c r="C122" s="7"/>
      <c r="D122" s="7"/>
      <c r="E122" s="7"/>
    </row>
    <row r="123" spans="1:35">
      <c r="A123" s="1" t="s">
        <v>154</v>
      </c>
      <c r="B123" s="1" t="s">
        <v>6</v>
      </c>
      <c r="C123" s="1" t="s">
        <v>12</v>
      </c>
      <c r="D123" s="1" t="s">
        <v>18</v>
      </c>
      <c r="E123" s="1" t="s">
        <v>23</v>
      </c>
    </row>
    <row r="124" spans="1:35" ht="42">
      <c r="A124" s="2" t="s">
        <v>124</v>
      </c>
      <c r="B124" s="2" t="s">
        <v>155</v>
      </c>
      <c r="C124" s="2" t="s">
        <v>156</v>
      </c>
      <c r="D124" s="2" t="s">
        <v>157</v>
      </c>
      <c r="E124" s="2" t="s">
        <v>158</v>
      </c>
    </row>
    <row r="125" spans="1:35" ht="28">
      <c r="A125" s="2" t="s">
        <v>125</v>
      </c>
      <c r="B125" s="2" t="s">
        <v>159</v>
      </c>
      <c r="C125" s="2" t="s">
        <v>160</v>
      </c>
      <c r="D125" s="2" t="s">
        <v>161</v>
      </c>
      <c r="E125" s="2" t="s">
        <v>162</v>
      </c>
    </row>
    <row r="126" spans="1:35" ht="28">
      <c r="A126" s="2" t="s">
        <v>126</v>
      </c>
      <c r="B126" s="2" t="s">
        <v>163</v>
      </c>
      <c r="C126" s="2" t="s">
        <v>164</v>
      </c>
      <c r="D126" s="2" t="s">
        <v>165</v>
      </c>
      <c r="E126" s="2" t="s">
        <v>166</v>
      </c>
    </row>
    <row r="127" spans="1:35" ht="42">
      <c r="A127" s="2" t="s">
        <v>127</v>
      </c>
      <c r="B127" s="2" t="s">
        <v>167</v>
      </c>
      <c r="C127" s="2" t="s">
        <v>168</v>
      </c>
      <c r="D127" s="2" t="s">
        <v>169</v>
      </c>
      <c r="E127" s="2" t="s">
        <v>170</v>
      </c>
    </row>
    <row r="128" spans="1:35" ht="42">
      <c r="A128" s="2" t="s">
        <v>128</v>
      </c>
      <c r="B128" s="2" t="s">
        <v>171</v>
      </c>
      <c r="C128" s="2" t="s">
        <v>172</v>
      </c>
      <c r="D128" s="2" t="s">
        <v>173</v>
      </c>
      <c r="E128" s="2" t="s">
        <v>174</v>
      </c>
    </row>
    <row r="129" spans="1:5" ht="42">
      <c r="A129" s="2" t="s">
        <v>129</v>
      </c>
      <c r="B129" s="2" t="s">
        <v>175</v>
      </c>
      <c r="C129" s="2" t="s">
        <v>176</v>
      </c>
      <c r="D129" s="2" t="s">
        <v>177</v>
      </c>
      <c r="E129" s="2" t="s">
        <v>178</v>
      </c>
    </row>
    <row r="130" spans="1:5" ht="42">
      <c r="A130" s="2" t="s">
        <v>130</v>
      </c>
      <c r="B130" s="2" t="s">
        <v>179</v>
      </c>
      <c r="C130" s="2" t="s">
        <v>180</v>
      </c>
      <c r="D130" s="2" t="s">
        <v>181</v>
      </c>
      <c r="E130" s="2" t="s">
        <v>182</v>
      </c>
    </row>
    <row r="131" spans="1:5" ht="42">
      <c r="A131" s="2" t="s">
        <v>131</v>
      </c>
      <c r="B131" s="2" t="s">
        <v>183</v>
      </c>
      <c r="C131" s="2" t="s">
        <v>184</v>
      </c>
      <c r="D131" s="2" t="s">
        <v>185</v>
      </c>
      <c r="E131" s="2" t="s">
        <v>186</v>
      </c>
    </row>
    <row r="132" spans="1:5" ht="28">
      <c r="A132" s="2" t="s">
        <v>132</v>
      </c>
      <c r="B132" s="2" t="s">
        <v>187</v>
      </c>
      <c r="C132" s="2" t="s">
        <v>188</v>
      </c>
      <c r="D132" s="2" t="s">
        <v>189</v>
      </c>
      <c r="E132" s="2" t="s">
        <v>190</v>
      </c>
    </row>
    <row r="133" spans="1:5" ht="42">
      <c r="A133" s="2" t="s">
        <v>133</v>
      </c>
      <c r="B133" s="2" t="s">
        <v>191</v>
      </c>
      <c r="C133" s="2" t="s">
        <v>192</v>
      </c>
      <c r="D133" s="2" t="s">
        <v>193</v>
      </c>
      <c r="E133" s="2" t="s">
        <v>194</v>
      </c>
    </row>
    <row r="134" spans="1:5" ht="28">
      <c r="A134" s="2" t="s">
        <v>134</v>
      </c>
      <c r="B134" s="2" t="s">
        <v>195</v>
      </c>
      <c r="C134" s="2" t="s">
        <v>196</v>
      </c>
      <c r="D134" s="2" t="s">
        <v>197</v>
      </c>
      <c r="E134" s="2" t="s">
        <v>198</v>
      </c>
    </row>
    <row r="135" spans="1:5" ht="42">
      <c r="A135" s="2" t="s">
        <v>135</v>
      </c>
      <c r="B135" s="2" t="s">
        <v>199</v>
      </c>
      <c r="C135" s="2" t="s">
        <v>200</v>
      </c>
      <c r="D135" s="2" t="s">
        <v>201</v>
      </c>
      <c r="E135" s="2" t="s">
        <v>202</v>
      </c>
    </row>
    <row r="136" spans="1:5" ht="42">
      <c r="A136" s="2" t="s">
        <v>136</v>
      </c>
      <c r="B136" s="2" t="s">
        <v>203</v>
      </c>
      <c r="C136" s="2" t="s">
        <v>204</v>
      </c>
      <c r="D136" s="2" t="s">
        <v>205</v>
      </c>
      <c r="E136" s="2" t="s">
        <v>206</v>
      </c>
    </row>
    <row r="137" spans="1:5" ht="42">
      <c r="A137" s="2" t="s">
        <v>137</v>
      </c>
      <c r="B137" s="2" t="s">
        <v>207</v>
      </c>
      <c r="C137" s="2" t="s">
        <v>208</v>
      </c>
      <c r="D137" s="2" t="s">
        <v>209</v>
      </c>
      <c r="E137" s="2" t="s">
        <v>210</v>
      </c>
    </row>
    <row r="138" spans="1:5" ht="28">
      <c r="A138" s="2" t="s">
        <v>138</v>
      </c>
      <c r="B138" s="2" t="s">
        <v>211</v>
      </c>
      <c r="C138" s="2" t="s">
        <v>212</v>
      </c>
      <c r="D138" s="2" t="s">
        <v>213</v>
      </c>
      <c r="E138" s="2" t="s">
        <v>214</v>
      </c>
    </row>
    <row r="139" spans="1:5" ht="42">
      <c r="A139" s="2" t="s">
        <v>139</v>
      </c>
      <c r="B139" s="2" t="s">
        <v>215</v>
      </c>
      <c r="C139" s="2" t="s">
        <v>216</v>
      </c>
      <c r="D139" s="2" t="s">
        <v>217</v>
      </c>
      <c r="E139" s="2" t="s">
        <v>218</v>
      </c>
    </row>
    <row r="140" spans="1:5" ht="42">
      <c r="A140" s="2" t="s">
        <v>140</v>
      </c>
      <c r="B140" s="2" t="s">
        <v>219</v>
      </c>
      <c r="C140" s="2" t="s">
        <v>220</v>
      </c>
      <c r="D140" s="2" t="s">
        <v>221</v>
      </c>
      <c r="E140" s="2" t="s">
        <v>222</v>
      </c>
    </row>
    <row r="141" spans="1:5" ht="42">
      <c r="A141" s="2" t="s">
        <v>141</v>
      </c>
      <c r="B141" s="2" t="s">
        <v>223</v>
      </c>
      <c r="C141" s="2" t="s">
        <v>224</v>
      </c>
      <c r="D141" s="2" t="s">
        <v>225</v>
      </c>
      <c r="E141" s="2" t="s">
        <v>226</v>
      </c>
    </row>
  </sheetData>
  <mergeCells count="4">
    <mergeCell ref="A1:AI1"/>
    <mergeCell ref="A2:AI2"/>
    <mergeCell ref="D4:H4"/>
    <mergeCell ref="A122:E122"/>
  </mergeCells>
  <conditionalFormatting sqref="Z18:Z117">
    <cfRule type="expression" dxfId="47" priority="1">
      <formula>Z18="Very High"</formula>
    </cfRule>
    <cfRule type="expression" dxfId="46" priority="2">
      <formula>Z18="High"</formula>
    </cfRule>
    <cfRule type="expression" dxfId="45" priority="3">
      <formula>Z18="Medium"</formula>
    </cfRule>
    <cfRule type="expression" dxfId="44" priority="4">
      <formula>Z18="Low"</formula>
    </cfRule>
  </conditionalFormatting>
  <dataValidations count="4">
    <dataValidation type="list" sqref="B7" xr:uid="{00000000-0002-0000-0300-000000000000}">
      <formula1>"Yes,No"</formula1>
    </dataValidation>
    <dataValidation type="list" sqref="C18:C117" xr:uid="{00000000-0002-0000-0300-000001000000}">
      <formula1>"Ground,First,N/A"</formula1>
    </dataValidation>
    <dataValidation type="list" sqref="H18:Y117" xr:uid="{00000000-0002-0000-0300-000002000000}">
      <formula1>"Low,Medium,High,Very High"</formula1>
    </dataValidation>
    <dataValidation type="list" sqref="AD18:AD117 AG18:AI117" xr:uid="{00000000-0002-0000-0300-000003000000}">
      <formula1>"Yes,No,N/A"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0"/>
  <sheetViews>
    <sheetView workbookViewId="0"/>
  </sheetViews>
  <sheetFormatPr defaultRowHeight="14"/>
  <cols>
    <col min="1" max="9" width="18" customWidth="1"/>
  </cols>
  <sheetData>
    <row r="1" spans="1:9" ht="20">
      <c r="A1" s="6" t="s">
        <v>227</v>
      </c>
      <c r="B1" s="7"/>
      <c r="C1" s="7"/>
      <c r="D1" s="7"/>
      <c r="E1" s="7"/>
      <c r="F1" s="7"/>
      <c r="G1" s="7"/>
      <c r="H1" s="7"/>
      <c r="I1" s="7"/>
    </row>
    <row r="2" spans="1:9" ht="14.5">
      <c r="A2" s="8" t="s">
        <v>228</v>
      </c>
      <c r="B2" s="7"/>
      <c r="C2" s="7"/>
      <c r="D2" s="7"/>
      <c r="E2" s="7"/>
      <c r="F2" s="7"/>
      <c r="G2" s="7"/>
      <c r="H2" s="7"/>
      <c r="I2" s="7"/>
    </row>
    <row r="4" spans="1:9">
      <c r="A4" s="3" t="s">
        <v>107</v>
      </c>
      <c r="B4" t="s">
        <v>108</v>
      </c>
    </row>
    <row r="5" spans="1:9">
      <c r="A5" s="3" t="s">
        <v>110</v>
      </c>
    </row>
    <row r="6" spans="1:9">
      <c r="A6" s="3" t="s">
        <v>229</v>
      </c>
    </row>
    <row r="7" spans="1:9">
      <c r="A7" s="3" t="s">
        <v>230</v>
      </c>
    </row>
    <row r="8" spans="1:9">
      <c r="A8" s="3" t="s">
        <v>231</v>
      </c>
      <c r="B8">
        <f>COUNTA(A14:A60)</f>
        <v>28</v>
      </c>
    </row>
    <row r="9" spans="1:9">
      <c r="A9" s="3" t="s">
        <v>232</v>
      </c>
      <c r="B9">
        <f>COUNTIF(H14:H60,"FAIL")</f>
        <v>28</v>
      </c>
    </row>
    <row r="10" spans="1:9">
      <c r="A10" s="3" t="s">
        <v>46</v>
      </c>
      <c r="B10" t="str">
        <f>IF(AND(B7="Yes",B9=0),"Complete","Incomplete")</f>
        <v>Incomplete</v>
      </c>
    </row>
    <row r="13" spans="1:9" ht="28">
      <c r="A13" s="1" t="s">
        <v>233</v>
      </c>
      <c r="B13" s="1" t="s">
        <v>234</v>
      </c>
      <c r="C13" s="1" t="s">
        <v>235</v>
      </c>
      <c r="D13" s="1" t="s">
        <v>236</v>
      </c>
      <c r="E13" s="1" t="s">
        <v>237</v>
      </c>
      <c r="F13" s="1" t="s">
        <v>238</v>
      </c>
      <c r="G13" s="1" t="s">
        <v>239</v>
      </c>
      <c r="H13" s="1" t="s">
        <v>240</v>
      </c>
      <c r="I13" s="1" t="s">
        <v>241</v>
      </c>
    </row>
    <row r="14" spans="1:9" ht="42">
      <c r="A14" s="2" t="s">
        <v>242</v>
      </c>
      <c r="B14" s="2">
        <v>1</v>
      </c>
      <c r="C14" s="2"/>
      <c r="D14" s="2" t="s">
        <v>243</v>
      </c>
      <c r="E14" s="2"/>
      <c r="F14" s="2"/>
      <c r="G14" s="2"/>
      <c r="H14" s="2" t="str">
        <f t="shared" ref="H14:H41" si="0">IF(OR(F14="No",C14&lt;B14),"FAIL","PASS")</f>
        <v>FAIL</v>
      </c>
      <c r="I14" s="2"/>
    </row>
    <row r="15" spans="1:9">
      <c r="A15" s="2" t="s">
        <v>244</v>
      </c>
      <c r="B15" s="2">
        <v>1</v>
      </c>
      <c r="C15" s="2"/>
      <c r="D15" s="2" t="s">
        <v>245</v>
      </c>
      <c r="E15" s="2"/>
      <c r="F15" s="2"/>
      <c r="G15" s="2"/>
      <c r="H15" s="2" t="str">
        <f t="shared" si="0"/>
        <v>FAIL</v>
      </c>
      <c r="I15" s="2"/>
    </row>
    <row r="16" spans="1:9" ht="28">
      <c r="A16" s="2" t="s">
        <v>246</v>
      </c>
      <c r="B16" s="2">
        <v>1</v>
      </c>
      <c r="C16" s="2"/>
      <c r="D16" s="2" t="s">
        <v>247</v>
      </c>
      <c r="E16" s="2"/>
      <c r="F16" s="2"/>
      <c r="G16" s="2"/>
      <c r="H16" s="2" t="str">
        <f t="shared" si="0"/>
        <v>FAIL</v>
      </c>
      <c r="I16" s="2"/>
    </row>
    <row r="17" spans="1:9" ht="28">
      <c r="A17" s="2" t="s">
        <v>248</v>
      </c>
      <c r="B17" s="2">
        <v>1</v>
      </c>
      <c r="C17" s="2"/>
      <c r="D17" s="2" t="s">
        <v>249</v>
      </c>
      <c r="E17" s="2"/>
      <c r="F17" s="2"/>
      <c r="G17" s="2"/>
      <c r="H17" s="2" t="str">
        <f t="shared" si="0"/>
        <v>FAIL</v>
      </c>
      <c r="I17" s="2"/>
    </row>
    <row r="18" spans="1:9" ht="28">
      <c r="A18" s="2" t="s">
        <v>250</v>
      </c>
      <c r="B18" s="2">
        <v>2</v>
      </c>
      <c r="C18" s="2"/>
      <c r="D18" s="2" t="s">
        <v>251</v>
      </c>
      <c r="E18" s="2"/>
      <c r="F18" s="2"/>
      <c r="G18" s="2"/>
      <c r="H18" s="2" t="str">
        <f t="shared" si="0"/>
        <v>FAIL</v>
      </c>
      <c r="I18" s="2"/>
    </row>
    <row r="19" spans="1:9" ht="28">
      <c r="A19" s="2" t="s">
        <v>252</v>
      </c>
      <c r="B19" s="2">
        <v>1</v>
      </c>
      <c r="C19" s="2"/>
      <c r="D19" s="2" t="s">
        <v>253</v>
      </c>
      <c r="E19" s="2"/>
      <c r="F19" s="2"/>
      <c r="G19" s="2"/>
      <c r="H19" s="2" t="str">
        <f t="shared" si="0"/>
        <v>FAIL</v>
      </c>
      <c r="I19" s="2"/>
    </row>
    <row r="20" spans="1:9" ht="42">
      <c r="A20" s="2" t="s">
        <v>254</v>
      </c>
      <c r="B20" s="2">
        <v>1</v>
      </c>
      <c r="C20" s="2"/>
      <c r="D20" s="2" t="s">
        <v>255</v>
      </c>
      <c r="E20" s="2"/>
      <c r="F20" s="2"/>
      <c r="G20" s="2"/>
      <c r="H20" s="2" t="str">
        <f t="shared" si="0"/>
        <v>FAIL</v>
      </c>
      <c r="I20" s="2"/>
    </row>
    <row r="21" spans="1:9">
      <c r="A21" s="2" t="s">
        <v>256</v>
      </c>
      <c r="B21" s="2">
        <v>2</v>
      </c>
      <c r="C21" s="2"/>
      <c r="D21" s="2" t="s">
        <v>257</v>
      </c>
      <c r="E21" s="2"/>
      <c r="F21" s="2"/>
      <c r="G21" s="2"/>
      <c r="H21" s="2" t="str">
        <f t="shared" si="0"/>
        <v>FAIL</v>
      </c>
      <c r="I21" s="2"/>
    </row>
    <row r="22" spans="1:9" ht="28">
      <c r="A22" s="2" t="s">
        <v>258</v>
      </c>
      <c r="B22" s="2">
        <v>1</v>
      </c>
      <c r="C22" s="2"/>
      <c r="D22" s="2" t="s">
        <v>259</v>
      </c>
      <c r="E22" s="2"/>
      <c r="F22" s="2"/>
      <c r="G22" s="2"/>
      <c r="H22" s="2" t="str">
        <f t="shared" si="0"/>
        <v>FAIL</v>
      </c>
      <c r="I22" s="2"/>
    </row>
    <row r="23" spans="1:9" ht="28">
      <c r="A23" s="2" t="s">
        <v>260</v>
      </c>
      <c r="B23" s="2">
        <v>2</v>
      </c>
      <c r="C23" s="2"/>
      <c r="D23" s="2" t="s">
        <v>261</v>
      </c>
      <c r="E23" s="2"/>
      <c r="F23" s="2"/>
      <c r="G23" s="2"/>
      <c r="H23" s="2" t="str">
        <f t="shared" si="0"/>
        <v>FAIL</v>
      </c>
      <c r="I23" s="2"/>
    </row>
    <row r="24" spans="1:9">
      <c r="A24" s="2" t="s">
        <v>262</v>
      </c>
      <c r="B24" s="2">
        <v>2</v>
      </c>
      <c r="C24" s="2"/>
      <c r="D24" s="2" t="s">
        <v>263</v>
      </c>
      <c r="E24" s="2"/>
      <c r="F24" s="2"/>
      <c r="G24" s="2"/>
      <c r="H24" s="2" t="str">
        <f t="shared" si="0"/>
        <v>FAIL</v>
      </c>
      <c r="I24" s="2"/>
    </row>
    <row r="25" spans="1:9" ht="28">
      <c r="A25" s="2" t="s">
        <v>264</v>
      </c>
      <c r="B25" s="2">
        <v>2</v>
      </c>
      <c r="C25" s="2"/>
      <c r="D25" s="2" t="s">
        <v>265</v>
      </c>
      <c r="E25" s="2"/>
      <c r="F25" s="2"/>
      <c r="G25" s="2"/>
      <c r="H25" s="2" t="str">
        <f t="shared" si="0"/>
        <v>FAIL</v>
      </c>
      <c r="I25" s="2"/>
    </row>
    <row r="26" spans="1:9">
      <c r="A26" s="2" t="s">
        <v>266</v>
      </c>
      <c r="B26" s="2">
        <v>2</v>
      </c>
      <c r="C26" s="2"/>
      <c r="D26" s="2" t="s">
        <v>265</v>
      </c>
      <c r="E26" s="2"/>
      <c r="F26" s="2"/>
      <c r="G26" s="2"/>
      <c r="H26" s="2" t="str">
        <f t="shared" si="0"/>
        <v>FAIL</v>
      </c>
      <c r="I26" s="2"/>
    </row>
    <row r="27" spans="1:9">
      <c r="A27" s="2" t="s">
        <v>267</v>
      </c>
      <c r="B27" s="2">
        <v>8</v>
      </c>
      <c r="C27" s="2"/>
      <c r="D27" s="2" t="s">
        <v>268</v>
      </c>
      <c r="E27" s="2"/>
      <c r="F27" s="2"/>
      <c r="G27" s="2"/>
      <c r="H27" s="2" t="str">
        <f t="shared" si="0"/>
        <v>FAIL</v>
      </c>
      <c r="I27" s="2"/>
    </row>
    <row r="28" spans="1:9">
      <c r="A28" s="2" t="s">
        <v>269</v>
      </c>
      <c r="B28" s="2">
        <v>4</v>
      </c>
      <c r="C28" s="2"/>
      <c r="D28" s="2" t="s">
        <v>270</v>
      </c>
      <c r="E28" s="2"/>
      <c r="F28" s="2"/>
      <c r="G28" s="2"/>
      <c r="H28" s="2" t="str">
        <f t="shared" si="0"/>
        <v>FAIL</v>
      </c>
      <c r="I28" s="2"/>
    </row>
    <row r="29" spans="1:9" ht="28">
      <c r="A29" s="2" t="s">
        <v>271</v>
      </c>
      <c r="B29" s="2">
        <v>20</v>
      </c>
      <c r="C29" s="2"/>
      <c r="D29" s="2" t="s">
        <v>272</v>
      </c>
      <c r="E29" s="2"/>
      <c r="F29" s="2"/>
      <c r="G29" s="2"/>
      <c r="H29" s="2" t="str">
        <f t="shared" si="0"/>
        <v>FAIL</v>
      </c>
      <c r="I29" s="2"/>
    </row>
    <row r="30" spans="1:9">
      <c r="A30" s="2" t="s">
        <v>273</v>
      </c>
      <c r="B30" s="2">
        <v>2</v>
      </c>
      <c r="C30" s="2"/>
      <c r="D30" s="2" t="s">
        <v>265</v>
      </c>
      <c r="E30" s="2"/>
      <c r="F30" s="2"/>
      <c r="G30" s="2"/>
      <c r="H30" s="2" t="str">
        <f t="shared" si="0"/>
        <v>FAIL</v>
      </c>
      <c r="I30" s="2"/>
    </row>
    <row r="31" spans="1:9">
      <c r="A31" s="2" t="s">
        <v>274</v>
      </c>
      <c r="B31" s="2">
        <v>1</v>
      </c>
      <c r="C31" s="2"/>
      <c r="D31" s="2" t="s">
        <v>275</v>
      </c>
      <c r="E31" s="2"/>
      <c r="F31" s="2"/>
      <c r="G31" s="2"/>
      <c r="H31" s="2" t="str">
        <f t="shared" si="0"/>
        <v>FAIL</v>
      </c>
      <c r="I31" s="2"/>
    </row>
    <row r="32" spans="1:9">
      <c r="A32" s="2" t="s">
        <v>276</v>
      </c>
      <c r="B32" s="2">
        <v>5</v>
      </c>
      <c r="C32" s="2"/>
      <c r="D32" s="2" t="s">
        <v>265</v>
      </c>
      <c r="E32" s="2"/>
      <c r="F32" s="2"/>
      <c r="G32" s="2"/>
      <c r="H32" s="2" t="str">
        <f t="shared" si="0"/>
        <v>FAIL</v>
      </c>
      <c r="I32" s="2"/>
    </row>
    <row r="33" spans="1:9">
      <c r="A33" s="2" t="s">
        <v>277</v>
      </c>
      <c r="B33" s="2">
        <v>2</v>
      </c>
      <c r="C33" s="2"/>
      <c r="D33" s="2" t="s">
        <v>265</v>
      </c>
      <c r="E33" s="2"/>
      <c r="F33" s="2"/>
      <c r="G33" s="2"/>
      <c r="H33" s="2" t="str">
        <f t="shared" si="0"/>
        <v>FAIL</v>
      </c>
      <c r="I33" s="2"/>
    </row>
    <row r="34" spans="1:9" ht="28">
      <c r="A34" s="2" t="s">
        <v>278</v>
      </c>
      <c r="B34" s="2">
        <v>20</v>
      </c>
      <c r="C34" s="2"/>
      <c r="D34" s="2" t="s">
        <v>270</v>
      </c>
      <c r="E34" s="2"/>
      <c r="F34" s="2"/>
      <c r="G34" s="2"/>
      <c r="H34" s="2" t="str">
        <f t="shared" si="0"/>
        <v>FAIL</v>
      </c>
      <c r="I34" s="2"/>
    </row>
    <row r="35" spans="1:9">
      <c r="A35" s="2" t="s">
        <v>279</v>
      </c>
      <c r="B35" s="2">
        <v>20</v>
      </c>
      <c r="C35" s="2"/>
      <c r="D35" s="2" t="s">
        <v>270</v>
      </c>
      <c r="E35" s="2"/>
      <c r="F35" s="2"/>
      <c r="G35" s="2"/>
      <c r="H35" s="2" t="str">
        <f t="shared" si="0"/>
        <v>FAIL</v>
      </c>
      <c r="I35" s="2"/>
    </row>
    <row r="36" spans="1:9" ht="28">
      <c r="A36" s="2" t="s">
        <v>280</v>
      </c>
      <c r="B36" s="2">
        <v>1</v>
      </c>
      <c r="C36" s="2"/>
      <c r="D36" s="2" t="s">
        <v>281</v>
      </c>
      <c r="E36" s="2"/>
      <c r="F36" s="2"/>
      <c r="G36" s="2"/>
      <c r="H36" s="2" t="str">
        <f t="shared" si="0"/>
        <v>FAIL</v>
      </c>
      <c r="I36" s="2"/>
    </row>
    <row r="37" spans="1:9" ht="28">
      <c r="A37" s="2" t="s">
        <v>282</v>
      </c>
      <c r="B37" s="2">
        <v>1</v>
      </c>
      <c r="C37" s="2"/>
      <c r="D37" s="2" t="s">
        <v>281</v>
      </c>
      <c r="E37" s="2"/>
      <c r="F37" s="2"/>
      <c r="G37" s="2"/>
      <c r="H37" s="2" t="str">
        <f t="shared" si="0"/>
        <v>FAIL</v>
      </c>
      <c r="I37" s="2"/>
    </row>
    <row r="38" spans="1:9" ht="28">
      <c r="A38" s="2" t="s">
        <v>283</v>
      </c>
      <c r="B38" s="2">
        <v>1</v>
      </c>
      <c r="C38" s="2"/>
      <c r="D38" s="2" t="s">
        <v>281</v>
      </c>
      <c r="E38" s="2"/>
      <c r="F38" s="2"/>
      <c r="G38" s="2"/>
      <c r="H38" s="2" t="str">
        <f t="shared" si="0"/>
        <v>FAIL</v>
      </c>
      <c r="I38" s="2"/>
    </row>
    <row r="39" spans="1:9" ht="28">
      <c r="A39" s="2" t="s">
        <v>284</v>
      </c>
      <c r="B39" s="2">
        <v>1</v>
      </c>
      <c r="C39" s="2"/>
      <c r="D39" s="2" t="s">
        <v>285</v>
      </c>
      <c r="E39" s="2"/>
      <c r="F39" s="2"/>
      <c r="G39" s="2"/>
      <c r="H39" s="2" t="str">
        <f t="shared" si="0"/>
        <v>FAIL</v>
      </c>
      <c r="I39" s="2"/>
    </row>
    <row r="40" spans="1:9" ht="28">
      <c r="A40" s="2" t="s">
        <v>286</v>
      </c>
      <c r="B40" s="2">
        <v>1</v>
      </c>
      <c r="C40" s="2"/>
      <c r="D40" s="2" t="s">
        <v>287</v>
      </c>
      <c r="E40" s="2"/>
      <c r="F40" s="2"/>
      <c r="G40" s="2"/>
      <c r="H40" s="2" t="str">
        <f t="shared" si="0"/>
        <v>FAIL</v>
      </c>
      <c r="I40" s="2"/>
    </row>
    <row r="41" spans="1:9" ht="28">
      <c r="A41" s="2" t="s">
        <v>288</v>
      </c>
      <c r="B41" s="2">
        <v>1</v>
      </c>
      <c r="C41" s="2"/>
      <c r="D41" s="2" t="s">
        <v>281</v>
      </c>
      <c r="E41" s="2"/>
      <c r="F41" s="2"/>
      <c r="G41" s="2"/>
      <c r="H41" s="2" t="str">
        <f t="shared" si="0"/>
        <v>FAIL</v>
      </c>
      <c r="I41" s="2"/>
    </row>
    <row r="42" spans="1:9">
      <c r="A42" s="2"/>
      <c r="B42" s="2"/>
      <c r="C42" s="2"/>
      <c r="D42" s="2"/>
      <c r="E42" s="2"/>
      <c r="F42" s="2"/>
      <c r="G42" s="2"/>
      <c r="H42" s="2"/>
      <c r="I42" s="2"/>
    </row>
    <row r="43" spans="1:9">
      <c r="A43" s="2"/>
      <c r="B43" s="2"/>
      <c r="C43" s="2"/>
      <c r="D43" s="2"/>
      <c r="E43" s="2"/>
      <c r="F43" s="2"/>
      <c r="G43" s="2"/>
      <c r="H43" s="2"/>
      <c r="I43" s="2"/>
    </row>
    <row r="44" spans="1:9">
      <c r="A44" s="2"/>
      <c r="B44" s="2"/>
      <c r="C44" s="2"/>
      <c r="D44" s="2"/>
      <c r="E44" s="2"/>
      <c r="F44" s="2"/>
      <c r="G44" s="2"/>
      <c r="H44" s="2"/>
      <c r="I44" s="2"/>
    </row>
    <row r="45" spans="1:9">
      <c r="A45" s="2"/>
      <c r="B45" s="2"/>
      <c r="C45" s="2"/>
      <c r="D45" s="2"/>
      <c r="E45" s="2"/>
      <c r="F45" s="2"/>
      <c r="G45" s="2"/>
      <c r="H45" s="2"/>
      <c r="I45" s="2"/>
    </row>
    <row r="46" spans="1:9">
      <c r="A46" s="2"/>
      <c r="B46" s="2"/>
      <c r="C46" s="2"/>
      <c r="D46" s="2"/>
      <c r="E46" s="2"/>
      <c r="F46" s="2"/>
      <c r="G46" s="2"/>
      <c r="H46" s="2"/>
      <c r="I46" s="2"/>
    </row>
    <row r="47" spans="1:9">
      <c r="A47" s="2"/>
      <c r="B47" s="2"/>
      <c r="C47" s="2"/>
      <c r="D47" s="2"/>
      <c r="E47" s="2"/>
      <c r="F47" s="2"/>
      <c r="G47" s="2"/>
      <c r="H47" s="2"/>
      <c r="I47" s="2"/>
    </row>
    <row r="48" spans="1:9">
      <c r="A48" s="2"/>
      <c r="B48" s="2"/>
      <c r="C48" s="2"/>
      <c r="D48" s="2"/>
      <c r="E48" s="2"/>
      <c r="F48" s="2"/>
      <c r="G48" s="2"/>
      <c r="H48" s="2"/>
      <c r="I48" s="2"/>
    </row>
    <row r="49" spans="1:9">
      <c r="A49" s="2"/>
      <c r="B49" s="2"/>
      <c r="C49" s="2"/>
      <c r="D49" s="2"/>
      <c r="E49" s="2"/>
      <c r="F49" s="2"/>
      <c r="G49" s="2"/>
      <c r="H49" s="2"/>
      <c r="I49" s="2"/>
    </row>
    <row r="50" spans="1:9">
      <c r="A50" s="2"/>
      <c r="B50" s="2"/>
      <c r="C50" s="2"/>
      <c r="D50" s="2"/>
      <c r="E50" s="2"/>
      <c r="F50" s="2"/>
      <c r="G50" s="2"/>
      <c r="H50" s="2"/>
      <c r="I50" s="2"/>
    </row>
    <row r="51" spans="1:9">
      <c r="A51" s="2"/>
      <c r="B51" s="2"/>
      <c r="C51" s="2"/>
      <c r="D51" s="2"/>
      <c r="E51" s="2"/>
      <c r="F51" s="2"/>
      <c r="G51" s="2"/>
      <c r="H51" s="2"/>
      <c r="I51" s="2"/>
    </row>
    <row r="52" spans="1:9">
      <c r="A52" s="2"/>
      <c r="B52" s="2"/>
      <c r="C52" s="2"/>
      <c r="D52" s="2"/>
      <c r="E52" s="2"/>
      <c r="F52" s="2"/>
      <c r="G52" s="2"/>
      <c r="H52" s="2"/>
      <c r="I52" s="2"/>
    </row>
    <row r="53" spans="1:9">
      <c r="A53" s="2"/>
      <c r="B53" s="2"/>
      <c r="C53" s="2"/>
      <c r="D53" s="2"/>
      <c r="E53" s="2"/>
      <c r="F53" s="2"/>
      <c r="G53" s="2"/>
      <c r="H53" s="2"/>
      <c r="I53" s="2"/>
    </row>
    <row r="54" spans="1:9">
      <c r="A54" s="2"/>
      <c r="B54" s="2"/>
      <c r="C54" s="2"/>
      <c r="D54" s="2"/>
      <c r="E54" s="2"/>
      <c r="F54" s="2"/>
      <c r="G54" s="2"/>
      <c r="H54" s="2"/>
      <c r="I54" s="2"/>
    </row>
    <row r="55" spans="1:9">
      <c r="A55" s="2"/>
      <c r="B55" s="2"/>
      <c r="C55" s="2"/>
      <c r="D55" s="2"/>
      <c r="E55" s="2"/>
      <c r="F55" s="2"/>
      <c r="G55" s="2"/>
      <c r="H55" s="2"/>
      <c r="I55" s="2"/>
    </row>
    <row r="56" spans="1:9">
      <c r="A56" s="2"/>
      <c r="B56" s="2"/>
      <c r="C56" s="2"/>
      <c r="D56" s="2"/>
      <c r="E56" s="2"/>
      <c r="F56" s="2"/>
      <c r="G56" s="2"/>
      <c r="H56" s="2"/>
      <c r="I56" s="2"/>
    </row>
    <row r="57" spans="1:9">
      <c r="A57" s="2"/>
      <c r="B57" s="2"/>
      <c r="C57" s="2"/>
      <c r="D57" s="2"/>
      <c r="E57" s="2"/>
      <c r="F57" s="2"/>
      <c r="G57" s="2"/>
      <c r="H57" s="2"/>
      <c r="I57" s="2"/>
    </row>
    <row r="58" spans="1:9">
      <c r="A58" s="2"/>
      <c r="B58" s="2"/>
      <c r="C58" s="2"/>
      <c r="D58" s="2"/>
      <c r="E58" s="2"/>
      <c r="F58" s="2"/>
      <c r="G58" s="2"/>
      <c r="H58" s="2"/>
      <c r="I58" s="2"/>
    </row>
    <row r="59" spans="1:9">
      <c r="A59" s="2"/>
      <c r="B59" s="2"/>
      <c r="C59" s="2"/>
      <c r="D59" s="2"/>
      <c r="E59" s="2"/>
      <c r="F59" s="2"/>
      <c r="G59" s="2"/>
      <c r="H59" s="2"/>
      <c r="I59" s="2"/>
    </row>
    <row r="60" spans="1:9">
      <c r="A60" s="2"/>
      <c r="B60" s="2"/>
      <c r="C60" s="2"/>
      <c r="D60" s="2"/>
      <c r="E60" s="2"/>
      <c r="F60" s="2"/>
      <c r="G60" s="2"/>
      <c r="H60" s="2"/>
      <c r="I60" s="2"/>
    </row>
  </sheetData>
  <mergeCells count="2">
    <mergeCell ref="A1:I1"/>
    <mergeCell ref="A2:I2"/>
  </mergeCells>
  <dataValidations count="2">
    <dataValidation type="list" sqref="B7" xr:uid="{00000000-0002-0000-0400-000000000000}">
      <formula1>"Yes,No"</formula1>
    </dataValidation>
    <dataValidation type="list" sqref="F14:F41" xr:uid="{00000000-0002-0000-0400-000001000000}">
      <formula1>"Yes,No,N/A"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0"/>
  <sheetViews>
    <sheetView workbookViewId="0"/>
  </sheetViews>
  <sheetFormatPr defaultRowHeight="14"/>
  <cols>
    <col min="1" max="8" width="18" customWidth="1"/>
  </cols>
  <sheetData>
    <row r="1" spans="1:8" ht="20">
      <c r="A1" s="6" t="s">
        <v>289</v>
      </c>
      <c r="B1" s="7"/>
      <c r="C1" s="7"/>
      <c r="D1" s="7"/>
      <c r="E1" s="7"/>
      <c r="F1" s="7"/>
      <c r="G1" s="7"/>
      <c r="H1" s="7"/>
    </row>
    <row r="2" spans="1:8" ht="14.5">
      <c r="A2" s="8" t="s">
        <v>290</v>
      </c>
      <c r="B2" s="7"/>
      <c r="C2" s="7"/>
      <c r="D2" s="7"/>
      <c r="E2" s="7"/>
      <c r="F2" s="7"/>
      <c r="G2" s="7"/>
      <c r="H2" s="7"/>
    </row>
    <row r="4" spans="1:8">
      <c r="A4" s="3" t="s">
        <v>107</v>
      </c>
      <c r="B4" t="s">
        <v>108</v>
      </c>
    </row>
    <row r="5" spans="1:8">
      <c r="A5" s="3" t="s">
        <v>110</v>
      </c>
    </row>
    <row r="6" spans="1:8">
      <c r="A6" s="3" t="s">
        <v>229</v>
      </c>
    </row>
    <row r="7" spans="1:8">
      <c r="A7" s="3" t="s">
        <v>230</v>
      </c>
    </row>
    <row r="8" spans="1:8">
      <c r="A8" s="3" t="s">
        <v>291</v>
      </c>
      <c r="B8">
        <f>COUNTA(A14:A60)</f>
        <v>22</v>
      </c>
    </row>
    <row r="9" spans="1:8">
      <c r="A9" s="3" t="s">
        <v>292</v>
      </c>
      <c r="B9">
        <f>COUNTIF(G14:G60,"FAIL")</f>
        <v>22</v>
      </c>
    </row>
    <row r="10" spans="1:8">
      <c r="A10" s="3" t="s">
        <v>46</v>
      </c>
      <c r="B10" t="str">
        <f>IF(AND(B7="Yes",B9=0),"Complete","Incomplete")</f>
        <v>Incomplete</v>
      </c>
    </row>
    <row r="13" spans="1:8">
      <c r="A13" s="1" t="s">
        <v>233</v>
      </c>
      <c r="B13" s="1" t="s">
        <v>234</v>
      </c>
      <c r="C13" s="1" t="s">
        <v>235</v>
      </c>
      <c r="D13" s="1" t="s">
        <v>293</v>
      </c>
      <c r="E13" s="1" t="s">
        <v>294</v>
      </c>
      <c r="F13" s="1" t="s">
        <v>239</v>
      </c>
      <c r="G13" s="1" t="s">
        <v>240</v>
      </c>
      <c r="H13" s="1" t="s">
        <v>241</v>
      </c>
    </row>
    <row r="14" spans="1:8" ht="28">
      <c r="A14" s="2" t="s">
        <v>295</v>
      </c>
      <c r="B14" s="2">
        <v>6</v>
      </c>
      <c r="C14" s="2"/>
      <c r="D14" s="2"/>
      <c r="E14" s="2"/>
      <c r="F14" s="2"/>
      <c r="G14" s="2" t="str">
        <f t="shared" ref="G14:G35" si="0">IF(OR(C14&lt;B14,E14="No"),"FAIL","PASS")</f>
        <v>FAIL</v>
      </c>
      <c r="H14" s="2"/>
    </row>
    <row r="15" spans="1:8" ht="28">
      <c r="A15" s="2" t="s">
        <v>296</v>
      </c>
      <c r="B15" s="2">
        <v>8</v>
      </c>
      <c r="C15" s="2"/>
      <c r="D15" s="2"/>
      <c r="E15" s="2"/>
      <c r="F15" s="2"/>
      <c r="G15" s="2" t="str">
        <f t="shared" si="0"/>
        <v>FAIL</v>
      </c>
      <c r="H15" s="2"/>
    </row>
    <row r="16" spans="1:8" ht="28">
      <c r="A16" s="2" t="s">
        <v>297</v>
      </c>
      <c r="B16" s="2">
        <v>10</v>
      </c>
      <c r="C16" s="2"/>
      <c r="D16" s="2"/>
      <c r="E16" s="2"/>
      <c r="F16" s="2"/>
      <c r="G16" s="2" t="str">
        <f t="shared" si="0"/>
        <v>FAIL</v>
      </c>
      <c r="H16" s="2"/>
    </row>
    <row r="17" spans="1:8">
      <c r="A17" s="2" t="s">
        <v>298</v>
      </c>
      <c r="B17" s="2">
        <v>4</v>
      </c>
      <c r="C17" s="2"/>
      <c r="D17" s="2"/>
      <c r="E17" s="2"/>
      <c r="F17" s="2"/>
      <c r="G17" s="2" t="str">
        <f t="shared" si="0"/>
        <v>FAIL</v>
      </c>
      <c r="H17" s="2"/>
    </row>
    <row r="18" spans="1:8">
      <c r="A18" s="2" t="s">
        <v>299</v>
      </c>
      <c r="B18" s="2">
        <v>6</v>
      </c>
      <c r="C18" s="2"/>
      <c r="D18" s="2"/>
      <c r="E18" s="2"/>
      <c r="F18" s="2"/>
      <c r="G18" s="2" t="str">
        <f t="shared" si="0"/>
        <v>FAIL</v>
      </c>
      <c r="H18" s="2"/>
    </row>
    <row r="19" spans="1:8" ht="28">
      <c r="A19" s="2" t="s">
        <v>300</v>
      </c>
      <c r="B19" s="2">
        <v>6</v>
      </c>
      <c r="C19" s="2"/>
      <c r="D19" s="2"/>
      <c r="E19" s="2"/>
      <c r="F19" s="2"/>
      <c r="G19" s="2" t="str">
        <f t="shared" si="0"/>
        <v>FAIL</v>
      </c>
      <c r="H19" s="2"/>
    </row>
    <row r="20" spans="1:8">
      <c r="A20" s="2" t="s">
        <v>301</v>
      </c>
      <c r="B20" s="2">
        <v>10</v>
      </c>
      <c r="C20" s="2"/>
      <c r="D20" s="2"/>
      <c r="E20" s="2"/>
      <c r="F20" s="2"/>
      <c r="G20" s="2" t="str">
        <f t="shared" si="0"/>
        <v>FAIL</v>
      </c>
      <c r="H20" s="2"/>
    </row>
    <row r="21" spans="1:8">
      <c r="A21" s="2" t="s">
        <v>302</v>
      </c>
      <c r="B21" s="2">
        <v>4</v>
      </c>
      <c r="C21" s="2"/>
      <c r="D21" s="2"/>
      <c r="E21" s="2"/>
      <c r="F21" s="2"/>
      <c r="G21" s="2" t="str">
        <f t="shared" si="0"/>
        <v>FAIL</v>
      </c>
      <c r="H21" s="2"/>
    </row>
    <row r="22" spans="1:8" ht="28">
      <c r="A22" s="2" t="s">
        <v>303</v>
      </c>
      <c r="B22" s="2">
        <v>4</v>
      </c>
      <c r="C22" s="2"/>
      <c r="D22" s="2"/>
      <c r="E22" s="2"/>
      <c r="F22" s="2"/>
      <c r="G22" s="2" t="str">
        <f t="shared" si="0"/>
        <v>FAIL</v>
      </c>
      <c r="H22" s="2"/>
    </row>
    <row r="23" spans="1:8">
      <c r="A23" s="2" t="s">
        <v>304</v>
      </c>
      <c r="B23" s="2">
        <v>2</v>
      </c>
      <c r="C23" s="2"/>
      <c r="D23" s="2"/>
      <c r="E23" s="2"/>
      <c r="F23" s="2"/>
      <c r="G23" s="2" t="str">
        <f t="shared" si="0"/>
        <v>FAIL</v>
      </c>
      <c r="H23" s="2"/>
    </row>
    <row r="24" spans="1:8" ht="28">
      <c r="A24" s="2" t="s">
        <v>305</v>
      </c>
      <c r="B24" s="2">
        <v>50</v>
      </c>
      <c r="C24" s="2"/>
      <c r="D24" s="2"/>
      <c r="E24" s="2"/>
      <c r="F24" s="2"/>
      <c r="G24" s="2" t="str">
        <f t="shared" si="0"/>
        <v>FAIL</v>
      </c>
      <c r="H24" s="2"/>
    </row>
    <row r="25" spans="1:8">
      <c r="A25" s="2" t="s">
        <v>306</v>
      </c>
      <c r="B25" s="2">
        <v>2</v>
      </c>
      <c r="C25" s="2"/>
      <c r="D25" s="2"/>
      <c r="E25" s="2"/>
      <c r="F25" s="2"/>
      <c r="G25" s="2" t="str">
        <f t="shared" si="0"/>
        <v>FAIL</v>
      </c>
      <c r="H25" s="2"/>
    </row>
    <row r="26" spans="1:8">
      <c r="A26" s="2" t="s">
        <v>307</v>
      </c>
      <c r="B26" s="2">
        <v>2</v>
      </c>
      <c r="C26" s="2"/>
      <c r="D26" s="2"/>
      <c r="E26" s="2"/>
      <c r="F26" s="2"/>
      <c r="G26" s="2" t="str">
        <f t="shared" si="0"/>
        <v>FAIL</v>
      </c>
      <c r="H26" s="2"/>
    </row>
    <row r="27" spans="1:8" ht="28">
      <c r="A27" s="2" t="s">
        <v>308</v>
      </c>
      <c r="B27" s="2">
        <v>2</v>
      </c>
      <c r="C27" s="2"/>
      <c r="D27" s="2"/>
      <c r="E27" s="2"/>
      <c r="F27" s="2"/>
      <c r="G27" s="2" t="str">
        <f t="shared" si="0"/>
        <v>FAIL</v>
      </c>
      <c r="H27" s="2"/>
    </row>
    <row r="28" spans="1:8">
      <c r="A28" s="2" t="s">
        <v>309</v>
      </c>
      <c r="B28" s="2">
        <v>4</v>
      </c>
      <c r="C28" s="2"/>
      <c r="D28" s="2"/>
      <c r="E28" s="2"/>
      <c r="F28" s="2"/>
      <c r="G28" s="2" t="str">
        <f t="shared" si="0"/>
        <v>FAIL</v>
      </c>
      <c r="H28" s="2"/>
    </row>
    <row r="29" spans="1:8">
      <c r="A29" s="2" t="s">
        <v>310</v>
      </c>
      <c r="B29" s="2">
        <v>20</v>
      </c>
      <c r="C29" s="2"/>
      <c r="D29" s="2"/>
      <c r="E29" s="2"/>
      <c r="F29" s="2"/>
      <c r="G29" s="2" t="str">
        <f t="shared" si="0"/>
        <v>FAIL</v>
      </c>
      <c r="H29" s="2"/>
    </row>
    <row r="30" spans="1:8" ht="28">
      <c r="A30" s="2" t="s">
        <v>311</v>
      </c>
      <c r="B30" s="2">
        <v>1</v>
      </c>
      <c r="C30" s="2"/>
      <c r="D30" s="2"/>
      <c r="E30" s="2"/>
      <c r="F30" s="2"/>
      <c r="G30" s="2" t="str">
        <f t="shared" si="0"/>
        <v>FAIL</v>
      </c>
      <c r="H30" s="2"/>
    </row>
    <row r="31" spans="1:8" ht="28">
      <c r="A31" s="2" t="s">
        <v>312</v>
      </c>
      <c r="B31" s="2">
        <v>1</v>
      </c>
      <c r="C31" s="2"/>
      <c r="D31" s="2"/>
      <c r="E31" s="2"/>
      <c r="F31" s="2"/>
      <c r="G31" s="2" t="str">
        <f t="shared" si="0"/>
        <v>FAIL</v>
      </c>
      <c r="H31" s="2"/>
    </row>
    <row r="32" spans="1:8" ht="28">
      <c r="A32" s="2" t="s">
        <v>313</v>
      </c>
      <c r="B32" s="2">
        <v>1</v>
      </c>
      <c r="C32" s="2"/>
      <c r="D32" s="2"/>
      <c r="E32" s="2"/>
      <c r="F32" s="2"/>
      <c r="G32" s="2" t="str">
        <f t="shared" si="0"/>
        <v>FAIL</v>
      </c>
      <c r="H32" s="2"/>
    </row>
    <row r="33" spans="1:8" ht="28">
      <c r="A33" s="2" t="s">
        <v>314</v>
      </c>
      <c r="B33" s="2">
        <v>1</v>
      </c>
      <c r="C33" s="2"/>
      <c r="D33" s="2"/>
      <c r="E33" s="2"/>
      <c r="F33" s="2"/>
      <c r="G33" s="2" t="str">
        <f t="shared" si="0"/>
        <v>FAIL</v>
      </c>
      <c r="H33" s="2"/>
    </row>
    <row r="34" spans="1:8" ht="28">
      <c r="A34" s="2" t="s">
        <v>315</v>
      </c>
      <c r="B34" s="2">
        <v>1</v>
      </c>
      <c r="C34" s="2"/>
      <c r="D34" s="2"/>
      <c r="E34" s="2"/>
      <c r="F34" s="2"/>
      <c r="G34" s="2" t="str">
        <f t="shared" si="0"/>
        <v>FAIL</v>
      </c>
      <c r="H34" s="2"/>
    </row>
    <row r="35" spans="1:8" ht="28">
      <c r="A35" s="2" t="s">
        <v>316</v>
      </c>
      <c r="B35" s="2">
        <v>1</v>
      </c>
      <c r="C35" s="2"/>
      <c r="D35" s="2"/>
      <c r="E35" s="2"/>
      <c r="F35" s="2"/>
      <c r="G35" s="2" t="str">
        <f t="shared" si="0"/>
        <v>FAIL</v>
      </c>
      <c r="H35" s="2"/>
    </row>
    <row r="36" spans="1:8">
      <c r="A36" s="2"/>
      <c r="B36" s="2"/>
      <c r="C36" s="2"/>
      <c r="D36" s="2"/>
      <c r="E36" s="2"/>
      <c r="F36" s="2"/>
      <c r="G36" s="2"/>
      <c r="H36" s="2"/>
    </row>
    <row r="37" spans="1:8">
      <c r="A37" s="2"/>
      <c r="B37" s="2"/>
      <c r="C37" s="2"/>
      <c r="D37" s="2"/>
      <c r="E37" s="2"/>
      <c r="F37" s="2"/>
      <c r="G37" s="2"/>
      <c r="H37" s="2"/>
    </row>
    <row r="38" spans="1:8">
      <c r="A38" s="2"/>
      <c r="B38" s="2"/>
      <c r="C38" s="2"/>
      <c r="D38" s="2"/>
      <c r="E38" s="2"/>
      <c r="F38" s="2"/>
      <c r="G38" s="2"/>
      <c r="H38" s="2"/>
    </row>
    <row r="39" spans="1:8">
      <c r="A39" s="2"/>
      <c r="B39" s="2"/>
      <c r="C39" s="2"/>
      <c r="D39" s="2"/>
      <c r="E39" s="2"/>
      <c r="F39" s="2"/>
      <c r="G39" s="2"/>
      <c r="H39" s="2"/>
    </row>
    <row r="40" spans="1:8">
      <c r="A40" s="2"/>
      <c r="B40" s="2"/>
      <c r="C40" s="2"/>
      <c r="D40" s="2"/>
      <c r="E40" s="2"/>
      <c r="F40" s="2"/>
      <c r="G40" s="2"/>
      <c r="H40" s="2"/>
    </row>
    <row r="41" spans="1:8">
      <c r="A41" s="2"/>
      <c r="B41" s="2"/>
      <c r="C41" s="2"/>
      <c r="D41" s="2"/>
      <c r="E41" s="2"/>
      <c r="F41" s="2"/>
      <c r="G41" s="2"/>
      <c r="H41" s="2"/>
    </row>
    <row r="42" spans="1:8">
      <c r="A42" s="2"/>
      <c r="B42" s="2"/>
      <c r="C42" s="2"/>
      <c r="D42" s="2"/>
      <c r="E42" s="2"/>
      <c r="F42" s="2"/>
      <c r="G42" s="2"/>
      <c r="H42" s="2"/>
    </row>
    <row r="43" spans="1:8">
      <c r="A43" s="2"/>
      <c r="B43" s="2"/>
      <c r="C43" s="2"/>
      <c r="D43" s="2"/>
      <c r="E43" s="2"/>
      <c r="F43" s="2"/>
      <c r="G43" s="2"/>
      <c r="H43" s="2"/>
    </row>
    <row r="44" spans="1:8">
      <c r="A44" s="2"/>
      <c r="B44" s="2"/>
      <c r="C44" s="2"/>
      <c r="D44" s="2"/>
      <c r="E44" s="2"/>
      <c r="F44" s="2"/>
      <c r="G44" s="2"/>
      <c r="H44" s="2"/>
    </row>
    <row r="45" spans="1:8">
      <c r="A45" s="2"/>
      <c r="B45" s="2"/>
      <c r="C45" s="2"/>
      <c r="D45" s="2"/>
      <c r="E45" s="2"/>
      <c r="F45" s="2"/>
      <c r="G45" s="2"/>
      <c r="H45" s="2"/>
    </row>
    <row r="46" spans="1:8">
      <c r="A46" s="2"/>
      <c r="B46" s="2"/>
      <c r="C46" s="2"/>
      <c r="D46" s="2"/>
      <c r="E46" s="2"/>
      <c r="F46" s="2"/>
      <c r="G46" s="2"/>
      <c r="H46" s="2"/>
    </row>
    <row r="47" spans="1:8">
      <c r="A47" s="2"/>
      <c r="B47" s="2"/>
      <c r="C47" s="2"/>
      <c r="D47" s="2"/>
      <c r="E47" s="2"/>
      <c r="F47" s="2"/>
      <c r="G47" s="2"/>
      <c r="H47" s="2"/>
    </row>
    <row r="48" spans="1:8">
      <c r="A48" s="2"/>
      <c r="B48" s="2"/>
      <c r="C48" s="2"/>
      <c r="D48" s="2"/>
      <c r="E48" s="2"/>
      <c r="F48" s="2"/>
      <c r="G48" s="2"/>
      <c r="H48" s="2"/>
    </row>
    <row r="49" spans="1:8">
      <c r="A49" s="2"/>
      <c r="B49" s="2"/>
      <c r="C49" s="2"/>
      <c r="D49" s="2"/>
      <c r="E49" s="2"/>
      <c r="F49" s="2"/>
      <c r="G49" s="2"/>
      <c r="H49" s="2"/>
    </row>
    <row r="50" spans="1:8">
      <c r="A50" s="2"/>
      <c r="B50" s="2"/>
      <c r="C50" s="2"/>
      <c r="D50" s="2"/>
      <c r="E50" s="2"/>
      <c r="F50" s="2"/>
      <c r="G50" s="2"/>
      <c r="H50" s="2"/>
    </row>
    <row r="51" spans="1:8">
      <c r="A51" s="2"/>
      <c r="B51" s="2"/>
      <c r="C51" s="2"/>
      <c r="D51" s="2"/>
      <c r="E51" s="2"/>
      <c r="F51" s="2"/>
      <c r="G51" s="2"/>
      <c r="H51" s="2"/>
    </row>
    <row r="52" spans="1:8">
      <c r="A52" s="2"/>
      <c r="B52" s="2"/>
      <c r="C52" s="2"/>
      <c r="D52" s="2"/>
      <c r="E52" s="2"/>
      <c r="F52" s="2"/>
      <c r="G52" s="2"/>
      <c r="H52" s="2"/>
    </row>
    <row r="53" spans="1:8">
      <c r="A53" s="2"/>
      <c r="B53" s="2"/>
      <c r="C53" s="2"/>
      <c r="D53" s="2"/>
      <c r="E53" s="2"/>
      <c r="F53" s="2"/>
      <c r="G53" s="2"/>
      <c r="H53" s="2"/>
    </row>
    <row r="54" spans="1:8">
      <c r="A54" s="2"/>
      <c r="B54" s="2"/>
      <c r="C54" s="2"/>
      <c r="D54" s="2"/>
      <c r="E54" s="2"/>
      <c r="F54" s="2"/>
      <c r="G54" s="2"/>
      <c r="H54" s="2"/>
    </row>
    <row r="55" spans="1:8">
      <c r="A55" s="2"/>
      <c r="B55" s="2"/>
      <c r="C55" s="2"/>
      <c r="D55" s="2"/>
      <c r="E55" s="2"/>
      <c r="F55" s="2"/>
      <c r="G55" s="2"/>
      <c r="H55" s="2"/>
    </row>
    <row r="56" spans="1:8">
      <c r="A56" s="2"/>
      <c r="B56" s="2"/>
      <c r="C56" s="2"/>
      <c r="D56" s="2"/>
      <c r="E56" s="2"/>
      <c r="F56" s="2"/>
      <c r="G56" s="2"/>
      <c r="H56" s="2"/>
    </row>
    <row r="57" spans="1:8">
      <c r="A57" s="2"/>
      <c r="B57" s="2"/>
      <c r="C57" s="2"/>
      <c r="D57" s="2"/>
      <c r="E57" s="2"/>
      <c r="F57" s="2"/>
      <c r="G57" s="2"/>
      <c r="H57" s="2"/>
    </row>
    <row r="58" spans="1:8">
      <c r="A58" s="2"/>
      <c r="B58" s="2"/>
      <c r="C58" s="2"/>
      <c r="D58" s="2"/>
      <c r="E58" s="2"/>
      <c r="F58" s="2"/>
      <c r="G58" s="2"/>
      <c r="H58" s="2"/>
    </row>
    <row r="59" spans="1:8">
      <c r="A59" s="2"/>
      <c r="B59" s="2"/>
      <c r="C59" s="2"/>
      <c r="D59" s="2"/>
      <c r="E59" s="2"/>
      <c r="F59" s="2"/>
      <c r="G59" s="2"/>
      <c r="H59" s="2"/>
    </row>
    <row r="60" spans="1:8">
      <c r="A60" s="2"/>
      <c r="B60" s="2"/>
      <c r="C60" s="2"/>
      <c r="D60" s="2"/>
      <c r="E60" s="2"/>
      <c r="F60" s="2"/>
      <c r="G60" s="2"/>
      <c r="H60" s="2"/>
    </row>
  </sheetData>
  <mergeCells count="2">
    <mergeCell ref="A1:H1"/>
    <mergeCell ref="A2:H2"/>
  </mergeCells>
  <dataValidations count="2">
    <dataValidation type="list" sqref="B7" xr:uid="{00000000-0002-0000-0500-000000000000}">
      <formula1>"Yes,No"</formula1>
    </dataValidation>
    <dataValidation type="list" sqref="E14:E35" xr:uid="{00000000-0002-0000-0500-000001000000}">
      <formula1>"Yes,No,N/A"</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13"/>
  <sheetViews>
    <sheetView workbookViewId="0"/>
  </sheetViews>
  <sheetFormatPr defaultRowHeight="14"/>
  <cols>
    <col min="1" max="2" width="17" customWidth="1"/>
    <col min="3" max="3" width="25" customWidth="1"/>
    <col min="4" max="13" width="17" customWidth="1"/>
    <col min="14" max="14" width="28" customWidth="1"/>
    <col min="15" max="15" width="17" customWidth="1"/>
  </cols>
  <sheetData>
    <row r="1" spans="1:15" ht="20">
      <c r="A1" s="6" t="s">
        <v>317</v>
      </c>
      <c r="B1" s="7"/>
      <c r="C1" s="7"/>
      <c r="D1" s="7"/>
      <c r="E1" s="7"/>
      <c r="F1" s="7"/>
      <c r="G1" s="7"/>
      <c r="H1" s="7"/>
      <c r="I1" s="7"/>
      <c r="J1" s="7"/>
      <c r="K1" s="7"/>
      <c r="L1" s="7"/>
      <c r="M1" s="7"/>
      <c r="N1" s="7"/>
      <c r="O1" s="7"/>
    </row>
    <row r="2" spans="1:15" ht="14.5">
      <c r="A2" s="8" t="s">
        <v>318</v>
      </c>
      <c r="B2" s="7"/>
      <c r="C2" s="7"/>
      <c r="D2" s="7"/>
      <c r="E2" s="7"/>
      <c r="F2" s="7"/>
      <c r="G2" s="7"/>
      <c r="H2" s="7"/>
      <c r="I2" s="7"/>
      <c r="J2" s="7"/>
      <c r="K2" s="7"/>
      <c r="L2" s="7"/>
      <c r="M2" s="7"/>
      <c r="N2" s="7"/>
      <c r="O2" s="7"/>
    </row>
    <row r="4" spans="1:15">
      <c r="A4" s="3" t="s">
        <v>107</v>
      </c>
      <c r="B4" t="s">
        <v>108</v>
      </c>
    </row>
    <row r="5" spans="1:15">
      <c r="A5" s="3" t="s">
        <v>110</v>
      </c>
    </row>
    <row r="6" spans="1:15">
      <c r="A6" s="3" t="s">
        <v>229</v>
      </c>
    </row>
    <row r="7" spans="1:15">
      <c r="A7" s="3" t="s">
        <v>230</v>
      </c>
    </row>
    <row r="8" spans="1:15">
      <c r="A8" s="3" t="s">
        <v>319</v>
      </c>
      <c r="B8">
        <f>COUNTA(A14:A113)</f>
        <v>0</v>
      </c>
    </row>
    <row r="9" spans="1:15" ht="28">
      <c r="A9" s="3" t="s">
        <v>320</v>
      </c>
      <c r="B9">
        <f>COUNTIF(O14:O113,"FAIL")</f>
        <v>0</v>
      </c>
    </row>
    <row r="10" spans="1:15">
      <c r="A10" s="3" t="s">
        <v>46</v>
      </c>
      <c r="B10" t="str">
        <f>IF(AND(B7="Yes",B9=0),"Complete","Incomplete")</f>
        <v>Incomplete</v>
      </c>
    </row>
    <row r="13" spans="1:15" ht="42">
      <c r="A13" s="1" t="s">
        <v>120</v>
      </c>
      <c r="B13" s="1" t="s">
        <v>121</v>
      </c>
      <c r="C13" s="1" t="s">
        <v>321</v>
      </c>
      <c r="D13" s="1" t="s">
        <v>234</v>
      </c>
      <c r="E13" s="1" t="s">
        <v>235</v>
      </c>
      <c r="F13" s="1" t="s">
        <v>294</v>
      </c>
      <c r="G13" s="1" t="s">
        <v>322</v>
      </c>
      <c r="H13" s="1" t="s">
        <v>323</v>
      </c>
      <c r="I13" s="1" t="s">
        <v>324</v>
      </c>
      <c r="J13" s="1" t="s">
        <v>149</v>
      </c>
      <c r="K13" s="1" t="s">
        <v>325</v>
      </c>
      <c r="L13" s="1" t="s">
        <v>326</v>
      </c>
      <c r="M13" s="1" t="s">
        <v>327</v>
      </c>
      <c r="N13" s="1" t="s">
        <v>239</v>
      </c>
      <c r="O13" s="1" t="s">
        <v>328</v>
      </c>
    </row>
    <row r="14" spans="1:15">
      <c r="A14" s="2"/>
      <c r="B14" s="2"/>
      <c r="C14" s="2"/>
      <c r="D14" s="2"/>
      <c r="E14" s="2"/>
      <c r="F14" s="2"/>
      <c r="G14" s="2"/>
      <c r="H14" s="2"/>
      <c r="I14" s="2"/>
      <c r="J14" s="2"/>
      <c r="K14" s="2"/>
      <c r="L14" s="2"/>
      <c r="M14" s="2"/>
      <c r="N14" s="2"/>
      <c r="O14" s="2" t="str">
        <f t="shared" ref="O14:O45" si="0">IF(OR(E14&lt;D14,F14="No",G14="No",H14="No",I14="No",J14="No",K14="No",L14="No",M14="No"),"FAIL","PASS")</f>
        <v>PASS</v>
      </c>
    </row>
    <row r="15" spans="1:15">
      <c r="A15" s="2"/>
      <c r="B15" s="2"/>
      <c r="C15" s="2"/>
      <c r="D15" s="2"/>
      <c r="E15" s="2"/>
      <c r="F15" s="2"/>
      <c r="G15" s="2"/>
      <c r="H15" s="2"/>
      <c r="I15" s="2"/>
      <c r="J15" s="2"/>
      <c r="K15" s="2"/>
      <c r="L15" s="2"/>
      <c r="M15" s="2"/>
      <c r="N15" s="2"/>
      <c r="O15" s="2" t="str">
        <f t="shared" si="0"/>
        <v>PASS</v>
      </c>
    </row>
    <row r="16" spans="1:15">
      <c r="A16" s="2"/>
      <c r="B16" s="2"/>
      <c r="C16" s="2"/>
      <c r="D16" s="2"/>
      <c r="E16" s="2"/>
      <c r="F16" s="2"/>
      <c r="G16" s="2"/>
      <c r="H16" s="2"/>
      <c r="I16" s="2"/>
      <c r="J16" s="2"/>
      <c r="K16" s="2"/>
      <c r="L16" s="2"/>
      <c r="M16" s="2"/>
      <c r="N16" s="2"/>
      <c r="O16" s="2" t="str">
        <f t="shared" si="0"/>
        <v>PASS</v>
      </c>
    </row>
    <row r="17" spans="1:15">
      <c r="A17" s="2"/>
      <c r="B17" s="2"/>
      <c r="C17" s="2"/>
      <c r="D17" s="2"/>
      <c r="E17" s="2"/>
      <c r="F17" s="2"/>
      <c r="G17" s="2"/>
      <c r="H17" s="2"/>
      <c r="I17" s="2"/>
      <c r="J17" s="2"/>
      <c r="K17" s="2"/>
      <c r="L17" s="2"/>
      <c r="M17" s="2"/>
      <c r="N17" s="2"/>
      <c r="O17" s="2" t="str">
        <f t="shared" si="0"/>
        <v>PASS</v>
      </c>
    </row>
    <row r="18" spans="1:15">
      <c r="A18" s="2"/>
      <c r="B18" s="2"/>
      <c r="C18" s="2"/>
      <c r="D18" s="2"/>
      <c r="E18" s="2"/>
      <c r="F18" s="2"/>
      <c r="G18" s="2"/>
      <c r="H18" s="2"/>
      <c r="I18" s="2"/>
      <c r="J18" s="2"/>
      <c r="K18" s="2"/>
      <c r="L18" s="2"/>
      <c r="M18" s="2"/>
      <c r="N18" s="2"/>
      <c r="O18" s="2" t="str">
        <f t="shared" si="0"/>
        <v>PASS</v>
      </c>
    </row>
    <row r="19" spans="1:15">
      <c r="A19" s="2"/>
      <c r="B19" s="2"/>
      <c r="C19" s="2"/>
      <c r="D19" s="2"/>
      <c r="E19" s="2"/>
      <c r="F19" s="2"/>
      <c r="G19" s="2"/>
      <c r="H19" s="2"/>
      <c r="I19" s="2"/>
      <c r="J19" s="2"/>
      <c r="K19" s="2"/>
      <c r="L19" s="2"/>
      <c r="M19" s="2"/>
      <c r="N19" s="2"/>
      <c r="O19" s="2" t="str">
        <f t="shared" si="0"/>
        <v>PASS</v>
      </c>
    </row>
    <row r="20" spans="1:15">
      <c r="A20" s="2"/>
      <c r="B20" s="2"/>
      <c r="C20" s="2"/>
      <c r="D20" s="2"/>
      <c r="E20" s="2"/>
      <c r="F20" s="2"/>
      <c r="G20" s="2"/>
      <c r="H20" s="2"/>
      <c r="I20" s="2"/>
      <c r="J20" s="2"/>
      <c r="K20" s="2"/>
      <c r="L20" s="2"/>
      <c r="M20" s="2"/>
      <c r="N20" s="2"/>
      <c r="O20" s="2" t="str">
        <f t="shared" si="0"/>
        <v>PASS</v>
      </c>
    </row>
    <row r="21" spans="1:15">
      <c r="A21" s="2"/>
      <c r="B21" s="2"/>
      <c r="C21" s="2"/>
      <c r="D21" s="2"/>
      <c r="E21" s="2"/>
      <c r="F21" s="2"/>
      <c r="G21" s="2"/>
      <c r="H21" s="2"/>
      <c r="I21" s="2"/>
      <c r="J21" s="2"/>
      <c r="K21" s="2"/>
      <c r="L21" s="2"/>
      <c r="M21" s="2"/>
      <c r="N21" s="2"/>
      <c r="O21" s="2" t="str">
        <f t="shared" si="0"/>
        <v>PASS</v>
      </c>
    </row>
    <row r="22" spans="1:15">
      <c r="A22" s="2"/>
      <c r="B22" s="2"/>
      <c r="C22" s="2"/>
      <c r="D22" s="2"/>
      <c r="E22" s="2"/>
      <c r="F22" s="2"/>
      <c r="G22" s="2"/>
      <c r="H22" s="2"/>
      <c r="I22" s="2"/>
      <c r="J22" s="2"/>
      <c r="K22" s="2"/>
      <c r="L22" s="2"/>
      <c r="M22" s="2"/>
      <c r="N22" s="2"/>
      <c r="O22" s="2" t="str">
        <f t="shared" si="0"/>
        <v>PASS</v>
      </c>
    </row>
    <row r="23" spans="1:15">
      <c r="A23" s="2"/>
      <c r="B23" s="2"/>
      <c r="C23" s="2"/>
      <c r="D23" s="2"/>
      <c r="E23" s="2"/>
      <c r="F23" s="2"/>
      <c r="G23" s="2"/>
      <c r="H23" s="2"/>
      <c r="I23" s="2"/>
      <c r="J23" s="2"/>
      <c r="K23" s="2"/>
      <c r="L23" s="2"/>
      <c r="M23" s="2"/>
      <c r="N23" s="2"/>
      <c r="O23" s="2" t="str">
        <f t="shared" si="0"/>
        <v>PASS</v>
      </c>
    </row>
    <row r="24" spans="1:15">
      <c r="A24" s="2"/>
      <c r="B24" s="2"/>
      <c r="C24" s="2"/>
      <c r="D24" s="2"/>
      <c r="E24" s="2"/>
      <c r="F24" s="2"/>
      <c r="G24" s="2"/>
      <c r="H24" s="2"/>
      <c r="I24" s="2"/>
      <c r="J24" s="2"/>
      <c r="K24" s="2"/>
      <c r="L24" s="2"/>
      <c r="M24" s="2"/>
      <c r="N24" s="2"/>
      <c r="O24" s="2" t="str">
        <f t="shared" si="0"/>
        <v>PASS</v>
      </c>
    </row>
    <row r="25" spans="1:15">
      <c r="A25" s="2"/>
      <c r="B25" s="2"/>
      <c r="C25" s="2"/>
      <c r="D25" s="2"/>
      <c r="E25" s="2"/>
      <c r="F25" s="2"/>
      <c r="G25" s="2"/>
      <c r="H25" s="2"/>
      <c r="I25" s="2"/>
      <c r="J25" s="2"/>
      <c r="K25" s="2"/>
      <c r="L25" s="2"/>
      <c r="M25" s="2"/>
      <c r="N25" s="2"/>
      <c r="O25" s="2" t="str">
        <f t="shared" si="0"/>
        <v>PASS</v>
      </c>
    </row>
    <row r="26" spans="1:15">
      <c r="A26" s="2"/>
      <c r="B26" s="2"/>
      <c r="C26" s="2"/>
      <c r="D26" s="2"/>
      <c r="E26" s="2"/>
      <c r="F26" s="2"/>
      <c r="G26" s="2"/>
      <c r="H26" s="2"/>
      <c r="I26" s="2"/>
      <c r="J26" s="2"/>
      <c r="K26" s="2"/>
      <c r="L26" s="2"/>
      <c r="M26" s="2"/>
      <c r="N26" s="2"/>
      <c r="O26" s="2" t="str">
        <f t="shared" si="0"/>
        <v>PASS</v>
      </c>
    </row>
    <row r="27" spans="1:15">
      <c r="A27" s="2"/>
      <c r="B27" s="2"/>
      <c r="C27" s="2"/>
      <c r="D27" s="2"/>
      <c r="E27" s="2"/>
      <c r="F27" s="2"/>
      <c r="G27" s="2"/>
      <c r="H27" s="2"/>
      <c r="I27" s="2"/>
      <c r="J27" s="2"/>
      <c r="K27" s="2"/>
      <c r="L27" s="2"/>
      <c r="M27" s="2"/>
      <c r="N27" s="2"/>
      <c r="O27" s="2" t="str">
        <f t="shared" si="0"/>
        <v>PASS</v>
      </c>
    </row>
    <row r="28" spans="1:15">
      <c r="A28" s="2"/>
      <c r="B28" s="2"/>
      <c r="C28" s="2"/>
      <c r="D28" s="2"/>
      <c r="E28" s="2"/>
      <c r="F28" s="2"/>
      <c r="G28" s="2"/>
      <c r="H28" s="2"/>
      <c r="I28" s="2"/>
      <c r="J28" s="2"/>
      <c r="K28" s="2"/>
      <c r="L28" s="2"/>
      <c r="M28" s="2"/>
      <c r="N28" s="2"/>
      <c r="O28" s="2" t="str">
        <f t="shared" si="0"/>
        <v>PASS</v>
      </c>
    </row>
    <row r="29" spans="1:15">
      <c r="A29" s="2"/>
      <c r="B29" s="2"/>
      <c r="C29" s="2"/>
      <c r="D29" s="2"/>
      <c r="E29" s="2"/>
      <c r="F29" s="2"/>
      <c r="G29" s="2"/>
      <c r="H29" s="2"/>
      <c r="I29" s="2"/>
      <c r="J29" s="2"/>
      <c r="K29" s="2"/>
      <c r="L29" s="2"/>
      <c r="M29" s="2"/>
      <c r="N29" s="2"/>
      <c r="O29" s="2" t="str">
        <f t="shared" si="0"/>
        <v>PASS</v>
      </c>
    </row>
    <row r="30" spans="1:15">
      <c r="A30" s="2"/>
      <c r="B30" s="2"/>
      <c r="C30" s="2"/>
      <c r="D30" s="2"/>
      <c r="E30" s="2"/>
      <c r="F30" s="2"/>
      <c r="G30" s="2"/>
      <c r="H30" s="2"/>
      <c r="I30" s="2"/>
      <c r="J30" s="2"/>
      <c r="K30" s="2"/>
      <c r="L30" s="2"/>
      <c r="M30" s="2"/>
      <c r="N30" s="2"/>
      <c r="O30" s="2" t="str">
        <f t="shared" si="0"/>
        <v>PASS</v>
      </c>
    </row>
    <row r="31" spans="1:15">
      <c r="A31" s="2"/>
      <c r="B31" s="2"/>
      <c r="C31" s="2"/>
      <c r="D31" s="2"/>
      <c r="E31" s="2"/>
      <c r="F31" s="2"/>
      <c r="G31" s="2"/>
      <c r="H31" s="2"/>
      <c r="I31" s="2"/>
      <c r="J31" s="2"/>
      <c r="K31" s="2"/>
      <c r="L31" s="2"/>
      <c r="M31" s="2"/>
      <c r="N31" s="2"/>
      <c r="O31" s="2" t="str">
        <f t="shared" si="0"/>
        <v>PASS</v>
      </c>
    </row>
    <row r="32" spans="1:15">
      <c r="A32" s="2"/>
      <c r="B32" s="2"/>
      <c r="C32" s="2"/>
      <c r="D32" s="2"/>
      <c r="E32" s="2"/>
      <c r="F32" s="2"/>
      <c r="G32" s="2"/>
      <c r="H32" s="2"/>
      <c r="I32" s="2"/>
      <c r="J32" s="2"/>
      <c r="K32" s="2"/>
      <c r="L32" s="2"/>
      <c r="M32" s="2"/>
      <c r="N32" s="2"/>
      <c r="O32" s="2" t="str">
        <f t="shared" si="0"/>
        <v>PASS</v>
      </c>
    </row>
    <row r="33" spans="1:15">
      <c r="A33" s="2"/>
      <c r="B33" s="2"/>
      <c r="C33" s="2"/>
      <c r="D33" s="2"/>
      <c r="E33" s="2"/>
      <c r="F33" s="2"/>
      <c r="G33" s="2"/>
      <c r="H33" s="2"/>
      <c r="I33" s="2"/>
      <c r="J33" s="2"/>
      <c r="K33" s="2"/>
      <c r="L33" s="2"/>
      <c r="M33" s="2"/>
      <c r="N33" s="2"/>
      <c r="O33" s="2" t="str">
        <f t="shared" si="0"/>
        <v>PASS</v>
      </c>
    </row>
    <row r="34" spans="1:15">
      <c r="A34" s="2"/>
      <c r="B34" s="2"/>
      <c r="C34" s="2"/>
      <c r="D34" s="2"/>
      <c r="E34" s="2"/>
      <c r="F34" s="2"/>
      <c r="G34" s="2"/>
      <c r="H34" s="2"/>
      <c r="I34" s="2"/>
      <c r="J34" s="2"/>
      <c r="K34" s="2"/>
      <c r="L34" s="2"/>
      <c r="M34" s="2"/>
      <c r="N34" s="2"/>
      <c r="O34" s="2" t="str">
        <f t="shared" si="0"/>
        <v>PASS</v>
      </c>
    </row>
    <row r="35" spans="1:15">
      <c r="A35" s="2"/>
      <c r="B35" s="2"/>
      <c r="C35" s="2"/>
      <c r="D35" s="2"/>
      <c r="E35" s="2"/>
      <c r="F35" s="2"/>
      <c r="G35" s="2"/>
      <c r="H35" s="2"/>
      <c r="I35" s="2"/>
      <c r="J35" s="2"/>
      <c r="K35" s="2"/>
      <c r="L35" s="2"/>
      <c r="M35" s="2"/>
      <c r="N35" s="2"/>
      <c r="O35" s="2" t="str">
        <f t="shared" si="0"/>
        <v>PASS</v>
      </c>
    </row>
    <row r="36" spans="1:15">
      <c r="A36" s="2"/>
      <c r="B36" s="2"/>
      <c r="C36" s="2"/>
      <c r="D36" s="2"/>
      <c r="E36" s="2"/>
      <c r="F36" s="2"/>
      <c r="G36" s="2"/>
      <c r="H36" s="2"/>
      <c r="I36" s="2"/>
      <c r="J36" s="2"/>
      <c r="K36" s="2"/>
      <c r="L36" s="2"/>
      <c r="M36" s="2"/>
      <c r="N36" s="2"/>
      <c r="O36" s="2" t="str">
        <f t="shared" si="0"/>
        <v>PASS</v>
      </c>
    </row>
    <row r="37" spans="1:15">
      <c r="A37" s="2"/>
      <c r="B37" s="2"/>
      <c r="C37" s="2"/>
      <c r="D37" s="2"/>
      <c r="E37" s="2"/>
      <c r="F37" s="2"/>
      <c r="G37" s="2"/>
      <c r="H37" s="2"/>
      <c r="I37" s="2"/>
      <c r="J37" s="2"/>
      <c r="K37" s="2"/>
      <c r="L37" s="2"/>
      <c r="M37" s="2"/>
      <c r="N37" s="2"/>
      <c r="O37" s="2" t="str">
        <f t="shared" si="0"/>
        <v>PASS</v>
      </c>
    </row>
    <row r="38" spans="1:15">
      <c r="A38" s="2"/>
      <c r="B38" s="2"/>
      <c r="C38" s="2"/>
      <c r="D38" s="2"/>
      <c r="E38" s="2"/>
      <c r="F38" s="2"/>
      <c r="G38" s="2"/>
      <c r="H38" s="2"/>
      <c r="I38" s="2"/>
      <c r="J38" s="2"/>
      <c r="K38" s="2"/>
      <c r="L38" s="2"/>
      <c r="M38" s="2"/>
      <c r="N38" s="2"/>
      <c r="O38" s="2" t="str">
        <f t="shared" si="0"/>
        <v>PASS</v>
      </c>
    </row>
    <row r="39" spans="1:15">
      <c r="A39" s="2"/>
      <c r="B39" s="2"/>
      <c r="C39" s="2"/>
      <c r="D39" s="2"/>
      <c r="E39" s="2"/>
      <c r="F39" s="2"/>
      <c r="G39" s="2"/>
      <c r="H39" s="2"/>
      <c r="I39" s="2"/>
      <c r="J39" s="2"/>
      <c r="K39" s="2"/>
      <c r="L39" s="2"/>
      <c r="M39" s="2"/>
      <c r="N39" s="2"/>
      <c r="O39" s="2" t="str">
        <f t="shared" si="0"/>
        <v>PASS</v>
      </c>
    </row>
    <row r="40" spans="1:15">
      <c r="A40" s="2"/>
      <c r="B40" s="2"/>
      <c r="C40" s="2"/>
      <c r="D40" s="2"/>
      <c r="E40" s="2"/>
      <c r="F40" s="2"/>
      <c r="G40" s="2"/>
      <c r="H40" s="2"/>
      <c r="I40" s="2"/>
      <c r="J40" s="2"/>
      <c r="K40" s="2"/>
      <c r="L40" s="2"/>
      <c r="M40" s="2"/>
      <c r="N40" s="2"/>
      <c r="O40" s="2" t="str">
        <f t="shared" si="0"/>
        <v>PASS</v>
      </c>
    </row>
    <row r="41" spans="1:15">
      <c r="A41" s="2"/>
      <c r="B41" s="2"/>
      <c r="C41" s="2"/>
      <c r="D41" s="2"/>
      <c r="E41" s="2"/>
      <c r="F41" s="2"/>
      <c r="G41" s="2"/>
      <c r="H41" s="2"/>
      <c r="I41" s="2"/>
      <c r="J41" s="2"/>
      <c r="K41" s="2"/>
      <c r="L41" s="2"/>
      <c r="M41" s="2"/>
      <c r="N41" s="2"/>
      <c r="O41" s="2" t="str">
        <f t="shared" si="0"/>
        <v>PASS</v>
      </c>
    </row>
    <row r="42" spans="1:15">
      <c r="A42" s="2"/>
      <c r="B42" s="2"/>
      <c r="C42" s="2"/>
      <c r="D42" s="2"/>
      <c r="E42" s="2"/>
      <c r="F42" s="2"/>
      <c r="G42" s="2"/>
      <c r="H42" s="2"/>
      <c r="I42" s="2"/>
      <c r="J42" s="2"/>
      <c r="K42" s="2"/>
      <c r="L42" s="2"/>
      <c r="M42" s="2"/>
      <c r="N42" s="2"/>
      <c r="O42" s="2" t="str">
        <f t="shared" si="0"/>
        <v>PASS</v>
      </c>
    </row>
    <row r="43" spans="1:15">
      <c r="A43" s="2"/>
      <c r="B43" s="2"/>
      <c r="C43" s="2"/>
      <c r="D43" s="2"/>
      <c r="E43" s="2"/>
      <c r="F43" s="2"/>
      <c r="G43" s="2"/>
      <c r="H43" s="2"/>
      <c r="I43" s="2"/>
      <c r="J43" s="2"/>
      <c r="K43" s="2"/>
      <c r="L43" s="2"/>
      <c r="M43" s="2"/>
      <c r="N43" s="2"/>
      <c r="O43" s="2" t="str">
        <f t="shared" si="0"/>
        <v>PASS</v>
      </c>
    </row>
    <row r="44" spans="1:15">
      <c r="A44" s="2"/>
      <c r="B44" s="2"/>
      <c r="C44" s="2"/>
      <c r="D44" s="2"/>
      <c r="E44" s="2"/>
      <c r="F44" s="2"/>
      <c r="G44" s="2"/>
      <c r="H44" s="2"/>
      <c r="I44" s="2"/>
      <c r="J44" s="2"/>
      <c r="K44" s="2"/>
      <c r="L44" s="2"/>
      <c r="M44" s="2"/>
      <c r="N44" s="2"/>
      <c r="O44" s="2" t="str">
        <f t="shared" si="0"/>
        <v>PASS</v>
      </c>
    </row>
    <row r="45" spans="1:15">
      <c r="A45" s="2"/>
      <c r="B45" s="2"/>
      <c r="C45" s="2"/>
      <c r="D45" s="2"/>
      <c r="E45" s="2"/>
      <c r="F45" s="2"/>
      <c r="G45" s="2"/>
      <c r="H45" s="2"/>
      <c r="I45" s="2"/>
      <c r="J45" s="2"/>
      <c r="K45" s="2"/>
      <c r="L45" s="2"/>
      <c r="M45" s="2"/>
      <c r="N45" s="2"/>
      <c r="O45" s="2" t="str">
        <f t="shared" si="0"/>
        <v>PASS</v>
      </c>
    </row>
    <row r="46" spans="1:15">
      <c r="A46" s="2"/>
      <c r="B46" s="2"/>
      <c r="C46" s="2"/>
      <c r="D46" s="2"/>
      <c r="E46" s="2"/>
      <c r="F46" s="2"/>
      <c r="G46" s="2"/>
      <c r="H46" s="2"/>
      <c r="I46" s="2"/>
      <c r="J46" s="2"/>
      <c r="K46" s="2"/>
      <c r="L46" s="2"/>
      <c r="M46" s="2"/>
      <c r="N46" s="2"/>
      <c r="O46" s="2" t="str">
        <f t="shared" ref="O46:O77" si="1">IF(OR(E46&lt;D46,F46="No",G46="No",H46="No",I46="No",J46="No",K46="No",L46="No",M46="No"),"FAIL","PASS")</f>
        <v>PASS</v>
      </c>
    </row>
    <row r="47" spans="1:15">
      <c r="A47" s="2"/>
      <c r="B47" s="2"/>
      <c r="C47" s="2"/>
      <c r="D47" s="2"/>
      <c r="E47" s="2"/>
      <c r="F47" s="2"/>
      <c r="G47" s="2"/>
      <c r="H47" s="2"/>
      <c r="I47" s="2"/>
      <c r="J47" s="2"/>
      <c r="K47" s="2"/>
      <c r="L47" s="2"/>
      <c r="M47" s="2"/>
      <c r="N47" s="2"/>
      <c r="O47" s="2" t="str">
        <f t="shared" si="1"/>
        <v>PASS</v>
      </c>
    </row>
    <row r="48" spans="1:15">
      <c r="A48" s="2"/>
      <c r="B48" s="2"/>
      <c r="C48" s="2"/>
      <c r="D48" s="2"/>
      <c r="E48" s="2"/>
      <c r="F48" s="2"/>
      <c r="G48" s="2"/>
      <c r="H48" s="2"/>
      <c r="I48" s="2"/>
      <c r="J48" s="2"/>
      <c r="K48" s="2"/>
      <c r="L48" s="2"/>
      <c r="M48" s="2"/>
      <c r="N48" s="2"/>
      <c r="O48" s="2" t="str">
        <f t="shared" si="1"/>
        <v>PASS</v>
      </c>
    </row>
    <row r="49" spans="1:15">
      <c r="A49" s="2"/>
      <c r="B49" s="2"/>
      <c r="C49" s="2"/>
      <c r="D49" s="2"/>
      <c r="E49" s="2"/>
      <c r="F49" s="2"/>
      <c r="G49" s="2"/>
      <c r="H49" s="2"/>
      <c r="I49" s="2"/>
      <c r="J49" s="2"/>
      <c r="K49" s="2"/>
      <c r="L49" s="2"/>
      <c r="M49" s="2"/>
      <c r="N49" s="2"/>
      <c r="O49" s="2" t="str">
        <f t="shared" si="1"/>
        <v>PASS</v>
      </c>
    </row>
    <row r="50" spans="1:15">
      <c r="A50" s="2"/>
      <c r="B50" s="2"/>
      <c r="C50" s="2"/>
      <c r="D50" s="2"/>
      <c r="E50" s="2"/>
      <c r="F50" s="2"/>
      <c r="G50" s="2"/>
      <c r="H50" s="2"/>
      <c r="I50" s="2"/>
      <c r="J50" s="2"/>
      <c r="K50" s="2"/>
      <c r="L50" s="2"/>
      <c r="M50" s="2"/>
      <c r="N50" s="2"/>
      <c r="O50" s="2" t="str">
        <f t="shared" si="1"/>
        <v>PASS</v>
      </c>
    </row>
    <row r="51" spans="1:15">
      <c r="A51" s="2"/>
      <c r="B51" s="2"/>
      <c r="C51" s="2"/>
      <c r="D51" s="2"/>
      <c r="E51" s="2"/>
      <c r="F51" s="2"/>
      <c r="G51" s="2"/>
      <c r="H51" s="2"/>
      <c r="I51" s="2"/>
      <c r="J51" s="2"/>
      <c r="K51" s="2"/>
      <c r="L51" s="2"/>
      <c r="M51" s="2"/>
      <c r="N51" s="2"/>
      <c r="O51" s="2" t="str">
        <f t="shared" si="1"/>
        <v>PASS</v>
      </c>
    </row>
    <row r="52" spans="1:15">
      <c r="A52" s="2"/>
      <c r="B52" s="2"/>
      <c r="C52" s="2"/>
      <c r="D52" s="2"/>
      <c r="E52" s="2"/>
      <c r="F52" s="2"/>
      <c r="G52" s="2"/>
      <c r="H52" s="2"/>
      <c r="I52" s="2"/>
      <c r="J52" s="2"/>
      <c r="K52" s="2"/>
      <c r="L52" s="2"/>
      <c r="M52" s="2"/>
      <c r="N52" s="2"/>
      <c r="O52" s="2" t="str">
        <f t="shared" si="1"/>
        <v>PASS</v>
      </c>
    </row>
    <row r="53" spans="1:15">
      <c r="A53" s="2"/>
      <c r="B53" s="2"/>
      <c r="C53" s="2"/>
      <c r="D53" s="2"/>
      <c r="E53" s="2"/>
      <c r="F53" s="2"/>
      <c r="G53" s="2"/>
      <c r="H53" s="2"/>
      <c r="I53" s="2"/>
      <c r="J53" s="2"/>
      <c r="K53" s="2"/>
      <c r="L53" s="2"/>
      <c r="M53" s="2"/>
      <c r="N53" s="2"/>
      <c r="O53" s="2" t="str">
        <f t="shared" si="1"/>
        <v>PASS</v>
      </c>
    </row>
    <row r="54" spans="1:15">
      <c r="A54" s="2"/>
      <c r="B54" s="2"/>
      <c r="C54" s="2"/>
      <c r="D54" s="2"/>
      <c r="E54" s="2"/>
      <c r="F54" s="2"/>
      <c r="G54" s="2"/>
      <c r="H54" s="2"/>
      <c r="I54" s="2"/>
      <c r="J54" s="2"/>
      <c r="K54" s="2"/>
      <c r="L54" s="2"/>
      <c r="M54" s="2"/>
      <c r="N54" s="2"/>
      <c r="O54" s="2" t="str">
        <f t="shared" si="1"/>
        <v>PASS</v>
      </c>
    </row>
    <row r="55" spans="1:15">
      <c r="A55" s="2"/>
      <c r="B55" s="2"/>
      <c r="C55" s="2"/>
      <c r="D55" s="2"/>
      <c r="E55" s="2"/>
      <c r="F55" s="2"/>
      <c r="G55" s="2"/>
      <c r="H55" s="2"/>
      <c r="I55" s="2"/>
      <c r="J55" s="2"/>
      <c r="K55" s="2"/>
      <c r="L55" s="2"/>
      <c r="M55" s="2"/>
      <c r="N55" s="2"/>
      <c r="O55" s="2" t="str">
        <f t="shared" si="1"/>
        <v>PASS</v>
      </c>
    </row>
    <row r="56" spans="1:15">
      <c r="A56" s="2"/>
      <c r="B56" s="2"/>
      <c r="C56" s="2"/>
      <c r="D56" s="2"/>
      <c r="E56" s="2"/>
      <c r="F56" s="2"/>
      <c r="G56" s="2"/>
      <c r="H56" s="2"/>
      <c r="I56" s="2"/>
      <c r="J56" s="2"/>
      <c r="K56" s="2"/>
      <c r="L56" s="2"/>
      <c r="M56" s="2"/>
      <c r="N56" s="2"/>
      <c r="O56" s="2" t="str">
        <f t="shared" si="1"/>
        <v>PASS</v>
      </c>
    </row>
    <row r="57" spans="1:15">
      <c r="A57" s="2"/>
      <c r="B57" s="2"/>
      <c r="C57" s="2"/>
      <c r="D57" s="2"/>
      <c r="E57" s="2"/>
      <c r="F57" s="2"/>
      <c r="G57" s="2"/>
      <c r="H57" s="2"/>
      <c r="I57" s="2"/>
      <c r="J57" s="2"/>
      <c r="K57" s="2"/>
      <c r="L57" s="2"/>
      <c r="M57" s="2"/>
      <c r="N57" s="2"/>
      <c r="O57" s="2" t="str">
        <f t="shared" si="1"/>
        <v>PASS</v>
      </c>
    </row>
    <row r="58" spans="1:15">
      <c r="A58" s="2"/>
      <c r="B58" s="2"/>
      <c r="C58" s="2"/>
      <c r="D58" s="2"/>
      <c r="E58" s="2"/>
      <c r="F58" s="2"/>
      <c r="G58" s="2"/>
      <c r="H58" s="2"/>
      <c r="I58" s="2"/>
      <c r="J58" s="2"/>
      <c r="K58" s="2"/>
      <c r="L58" s="2"/>
      <c r="M58" s="2"/>
      <c r="N58" s="2"/>
      <c r="O58" s="2" t="str">
        <f t="shared" si="1"/>
        <v>PASS</v>
      </c>
    </row>
    <row r="59" spans="1:15">
      <c r="A59" s="2"/>
      <c r="B59" s="2"/>
      <c r="C59" s="2"/>
      <c r="D59" s="2"/>
      <c r="E59" s="2"/>
      <c r="F59" s="2"/>
      <c r="G59" s="2"/>
      <c r="H59" s="2"/>
      <c r="I59" s="2"/>
      <c r="J59" s="2"/>
      <c r="K59" s="2"/>
      <c r="L59" s="2"/>
      <c r="M59" s="2"/>
      <c r="N59" s="2"/>
      <c r="O59" s="2" t="str">
        <f t="shared" si="1"/>
        <v>PASS</v>
      </c>
    </row>
    <row r="60" spans="1:15">
      <c r="A60" s="2"/>
      <c r="B60" s="2"/>
      <c r="C60" s="2"/>
      <c r="D60" s="2"/>
      <c r="E60" s="2"/>
      <c r="F60" s="2"/>
      <c r="G60" s="2"/>
      <c r="H60" s="2"/>
      <c r="I60" s="2"/>
      <c r="J60" s="2"/>
      <c r="K60" s="2"/>
      <c r="L60" s="2"/>
      <c r="M60" s="2"/>
      <c r="N60" s="2"/>
      <c r="O60" s="2" t="str">
        <f t="shared" si="1"/>
        <v>PASS</v>
      </c>
    </row>
    <row r="61" spans="1:15">
      <c r="A61" s="2"/>
      <c r="B61" s="2"/>
      <c r="C61" s="2"/>
      <c r="D61" s="2"/>
      <c r="E61" s="2"/>
      <c r="F61" s="2"/>
      <c r="G61" s="2"/>
      <c r="H61" s="2"/>
      <c r="I61" s="2"/>
      <c r="J61" s="2"/>
      <c r="K61" s="2"/>
      <c r="L61" s="2"/>
      <c r="M61" s="2"/>
      <c r="N61" s="2"/>
      <c r="O61" s="2" t="str">
        <f t="shared" si="1"/>
        <v>PASS</v>
      </c>
    </row>
    <row r="62" spans="1:15">
      <c r="A62" s="2"/>
      <c r="B62" s="2"/>
      <c r="C62" s="2"/>
      <c r="D62" s="2"/>
      <c r="E62" s="2"/>
      <c r="F62" s="2"/>
      <c r="G62" s="2"/>
      <c r="H62" s="2"/>
      <c r="I62" s="2"/>
      <c r="J62" s="2"/>
      <c r="K62" s="2"/>
      <c r="L62" s="2"/>
      <c r="M62" s="2"/>
      <c r="N62" s="2"/>
      <c r="O62" s="2" t="str">
        <f t="shared" si="1"/>
        <v>PASS</v>
      </c>
    </row>
    <row r="63" spans="1:15">
      <c r="A63" s="2"/>
      <c r="B63" s="2"/>
      <c r="C63" s="2"/>
      <c r="D63" s="2"/>
      <c r="E63" s="2"/>
      <c r="F63" s="2"/>
      <c r="G63" s="2"/>
      <c r="H63" s="2"/>
      <c r="I63" s="2"/>
      <c r="J63" s="2"/>
      <c r="K63" s="2"/>
      <c r="L63" s="2"/>
      <c r="M63" s="2"/>
      <c r="N63" s="2"/>
      <c r="O63" s="2" t="str">
        <f t="shared" si="1"/>
        <v>PASS</v>
      </c>
    </row>
    <row r="64" spans="1:15">
      <c r="A64" s="2"/>
      <c r="B64" s="2"/>
      <c r="C64" s="2"/>
      <c r="D64" s="2"/>
      <c r="E64" s="2"/>
      <c r="F64" s="2"/>
      <c r="G64" s="2"/>
      <c r="H64" s="2"/>
      <c r="I64" s="2"/>
      <c r="J64" s="2"/>
      <c r="K64" s="2"/>
      <c r="L64" s="2"/>
      <c r="M64" s="2"/>
      <c r="N64" s="2"/>
      <c r="O64" s="2" t="str">
        <f t="shared" si="1"/>
        <v>PASS</v>
      </c>
    </row>
    <row r="65" spans="1:15">
      <c r="A65" s="2"/>
      <c r="B65" s="2"/>
      <c r="C65" s="2"/>
      <c r="D65" s="2"/>
      <c r="E65" s="2"/>
      <c r="F65" s="2"/>
      <c r="G65" s="2"/>
      <c r="H65" s="2"/>
      <c r="I65" s="2"/>
      <c r="J65" s="2"/>
      <c r="K65" s="2"/>
      <c r="L65" s="2"/>
      <c r="M65" s="2"/>
      <c r="N65" s="2"/>
      <c r="O65" s="2" t="str">
        <f t="shared" si="1"/>
        <v>PASS</v>
      </c>
    </row>
    <row r="66" spans="1:15">
      <c r="A66" s="2"/>
      <c r="B66" s="2"/>
      <c r="C66" s="2"/>
      <c r="D66" s="2"/>
      <c r="E66" s="2"/>
      <c r="F66" s="2"/>
      <c r="G66" s="2"/>
      <c r="H66" s="2"/>
      <c r="I66" s="2"/>
      <c r="J66" s="2"/>
      <c r="K66" s="2"/>
      <c r="L66" s="2"/>
      <c r="M66" s="2"/>
      <c r="N66" s="2"/>
      <c r="O66" s="2" t="str">
        <f t="shared" si="1"/>
        <v>PASS</v>
      </c>
    </row>
    <row r="67" spans="1:15">
      <c r="A67" s="2"/>
      <c r="B67" s="2"/>
      <c r="C67" s="2"/>
      <c r="D67" s="2"/>
      <c r="E67" s="2"/>
      <c r="F67" s="2"/>
      <c r="G67" s="2"/>
      <c r="H67" s="2"/>
      <c r="I67" s="2"/>
      <c r="J67" s="2"/>
      <c r="K67" s="2"/>
      <c r="L67" s="2"/>
      <c r="M67" s="2"/>
      <c r="N67" s="2"/>
      <c r="O67" s="2" t="str">
        <f t="shared" si="1"/>
        <v>PASS</v>
      </c>
    </row>
    <row r="68" spans="1:15">
      <c r="A68" s="2"/>
      <c r="B68" s="2"/>
      <c r="C68" s="2"/>
      <c r="D68" s="2"/>
      <c r="E68" s="2"/>
      <c r="F68" s="2"/>
      <c r="G68" s="2"/>
      <c r="H68" s="2"/>
      <c r="I68" s="2"/>
      <c r="J68" s="2"/>
      <c r="K68" s="2"/>
      <c r="L68" s="2"/>
      <c r="M68" s="2"/>
      <c r="N68" s="2"/>
      <c r="O68" s="2" t="str">
        <f t="shared" si="1"/>
        <v>PASS</v>
      </c>
    </row>
    <row r="69" spans="1:15">
      <c r="A69" s="2"/>
      <c r="B69" s="2"/>
      <c r="C69" s="2"/>
      <c r="D69" s="2"/>
      <c r="E69" s="2"/>
      <c r="F69" s="2"/>
      <c r="G69" s="2"/>
      <c r="H69" s="2"/>
      <c r="I69" s="2"/>
      <c r="J69" s="2"/>
      <c r="K69" s="2"/>
      <c r="L69" s="2"/>
      <c r="M69" s="2"/>
      <c r="N69" s="2"/>
      <c r="O69" s="2" t="str">
        <f t="shared" si="1"/>
        <v>PASS</v>
      </c>
    </row>
    <row r="70" spans="1:15">
      <c r="A70" s="2"/>
      <c r="B70" s="2"/>
      <c r="C70" s="2"/>
      <c r="D70" s="2"/>
      <c r="E70" s="2"/>
      <c r="F70" s="2"/>
      <c r="G70" s="2"/>
      <c r="H70" s="2"/>
      <c r="I70" s="2"/>
      <c r="J70" s="2"/>
      <c r="K70" s="2"/>
      <c r="L70" s="2"/>
      <c r="M70" s="2"/>
      <c r="N70" s="2"/>
      <c r="O70" s="2" t="str">
        <f t="shared" si="1"/>
        <v>PASS</v>
      </c>
    </row>
    <row r="71" spans="1:15">
      <c r="A71" s="2"/>
      <c r="B71" s="2"/>
      <c r="C71" s="2"/>
      <c r="D71" s="2"/>
      <c r="E71" s="2"/>
      <c r="F71" s="2"/>
      <c r="G71" s="2"/>
      <c r="H71" s="2"/>
      <c r="I71" s="2"/>
      <c r="J71" s="2"/>
      <c r="K71" s="2"/>
      <c r="L71" s="2"/>
      <c r="M71" s="2"/>
      <c r="N71" s="2"/>
      <c r="O71" s="2" t="str">
        <f t="shared" si="1"/>
        <v>PASS</v>
      </c>
    </row>
    <row r="72" spans="1:15">
      <c r="A72" s="2"/>
      <c r="B72" s="2"/>
      <c r="C72" s="2"/>
      <c r="D72" s="2"/>
      <c r="E72" s="2"/>
      <c r="F72" s="2"/>
      <c r="G72" s="2"/>
      <c r="H72" s="2"/>
      <c r="I72" s="2"/>
      <c r="J72" s="2"/>
      <c r="K72" s="2"/>
      <c r="L72" s="2"/>
      <c r="M72" s="2"/>
      <c r="N72" s="2"/>
      <c r="O72" s="2" t="str">
        <f t="shared" si="1"/>
        <v>PASS</v>
      </c>
    </row>
    <row r="73" spans="1:15">
      <c r="A73" s="2"/>
      <c r="B73" s="2"/>
      <c r="C73" s="2"/>
      <c r="D73" s="2"/>
      <c r="E73" s="2"/>
      <c r="F73" s="2"/>
      <c r="G73" s="2"/>
      <c r="H73" s="2"/>
      <c r="I73" s="2"/>
      <c r="J73" s="2"/>
      <c r="K73" s="2"/>
      <c r="L73" s="2"/>
      <c r="M73" s="2"/>
      <c r="N73" s="2"/>
      <c r="O73" s="2" t="str">
        <f t="shared" si="1"/>
        <v>PASS</v>
      </c>
    </row>
    <row r="74" spans="1:15">
      <c r="A74" s="2"/>
      <c r="B74" s="2"/>
      <c r="C74" s="2"/>
      <c r="D74" s="2"/>
      <c r="E74" s="2"/>
      <c r="F74" s="2"/>
      <c r="G74" s="2"/>
      <c r="H74" s="2"/>
      <c r="I74" s="2"/>
      <c r="J74" s="2"/>
      <c r="K74" s="2"/>
      <c r="L74" s="2"/>
      <c r="M74" s="2"/>
      <c r="N74" s="2"/>
      <c r="O74" s="2" t="str">
        <f t="shared" si="1"/>
        <v>PASS</v>
      </c>
    </row>
    <row r="75" spans="1:15">
      <c r="A75" s="2"/>
      <c r="B75" s="2"/>
      <c r="C75" s="2"/>
      <c r="D75" s="2"/>
      <c r="E75" s="2"/>
      <c r="F75" s="2"/>
      <c r="G75" s="2"/>
      <c r="H75" s="2"/>
      <c r="I75" s="2"/>
      <c r="J75" s="2"/>
      <c r="K75" s="2"/>
      <c r="L75" s="2"/>
      <c r="M75" s="2"/>
      <c r="N75" s="2"/>
      <c r="O75" s="2" t="str">
        <f t="shared" si="1"/>
        <v>PASS</v>
      </c>
    </row>
    <row r="76" spans="1:15">
      <c r="A76" s="2"/>
      <c r="B76" s="2"/>
      <c r="C76" s="2"/>
      <c r="D76" s="2"/>
      <c r="E76" s="2"/>
      <c r="F76" s="2"/>
      <c r="G76" s="2"/>
      <c r="H76" s="2"/>
      <c r="I76" s="2"/>
      <c r="J76" s="2"/>
      <c r="K76" s="2"/>
      <c r="L76" s="2"/>
      <c r="M76" s="2"/>
      <c r="N76" s="2"/>
      <c r="O76" s="2" t="str">
        <f t="shared" si="1"/>
        <v>PASS</v>
      </c>
    </row>
    <row r="77" spans="1:15">
      <c r="A77" s="2"/>
      <c r="B77" s="2"/>
      <c r="C77" s="2"/>
      <c r="D77" s="2"/>
      <c r="E77" s="2"/>
      <c r="F77" s="2"/>
      <c r="G77" s="2"/>
      <c r="H77" s="2"/>
      <c r="I77" s="2"/>
      <c r="J77" s="2"/>
      <c r="K77" s="2"/>
      <c r="L77" s="2"/>
      <c r="M77" s="2"/>
      <c r="N77" s="2"/>
      <c r="O77" s="2" t="str">
        <f t="shared" si="1"/>
        <v>PASS</v>
      </c>
    </row>
    <row r="78" spans="1:15">
      <c r="A78" s="2"/>
      <c r="B78" s="2"/>
      <c r="C78" s="2"/>
      <c r="D78" s="2"/>
      <c r="E78" s="2"/>
      <c r="F78" s="2"/>
      <c r="G78" s="2"/>
      <c r="H78" s="2"/>
      <c r="I78" s="2"/>
      <c r="J78" s="2"/>
      <c r="K78" s="2"/>
      <c r="L78" s="2"/>
      <c r="M78" s="2"/>
      <c r="N78" s="2"/>
      <c r="O78" s="2" t="str">
        <f t="shared" ref="O78:O113" si="2">IF(OR(E78&lt;D78,F78="No",G78="No",H78="No",I78="No",J78="No",K78="No",L78="No",M78="No"),"FAIL","PASS")</f>
        <v>PASS</v>
      </c>
    </row>
    <row r="79" spans="1:15">
      <c r="A79" s="2"/>
      <c r="B79" s="2"/>
      <c r="C79" s="2"/>
      <c r="D79" s="2"/>
      <c r="E79" s="2"/>
      <c r="F79" s="2"/>
      <c r="G79" s="2"/>
      <c r="H79" s="2"/>
      <c r="I79" s="2"/>
      <c r="J79" s="2"/>
      <c r="K79" s="2"/>
      <c r="L79" s="2"/>
      <c r="M79" s="2"/>
      <c r="N79" s="2"/>
      <c r="O79" s="2" t="str">
        <f t="shared" si="2"/>
        <v>PASS</v>
      </c>
    </row>
    <row r="80" spans="1:15">
      <c r="A80" s="2"/>
      <c r="B80" s="2"/>
      <c r="C80" s="2"/>
      <c r="D80" s="2"/>
      <c r="E80" s="2"/>
      <c r="F80" s="2"/>
      <c r="G80" s="2"/>
      <c r="H80" s="2"/>
      <c r="I80" s="2"/>
      <c r="J80" s="2"/>
      <c r="K80" s="2"/>
      <c r="L80" s="2"/>
      <c r="M80" s="2"/>
      <c r="N80" s="2"/>
      <c r="O80" s="2" t="str">
        <f t="shared" si="2"/>
        <v>PASS</v>
      </c>
    </row>
    <row r="81" spans="1:15">
      <c r="A81" s="2"/>
      <c r="B81" s="2"/>
      <c r="C81" s="2"/>
      <c r="D81" s="2"/>
      <c r="E81" s="2"/>
      <c r="F81" s="2"/>
      <c r="G81" s="2"/>
      <c r="H81" s="2"/>
      <c r="I81" s="2"/>
      <c r="J81" s="2"/>
      <c r="K81" s="2"/>
      <c r="L81" s="2"/>
      <c r="M81" s="2"/>
      <c r="N81" s="2"/>
      <c r="O81" s="2" t="str">
        <f t="shared" si="2"/>
        <v>PASS</v>
      </c>
    </row>
    <row r="82" spans="1:15">
      <c r="A82" s="2"/>
      <c r="B82" s="2"/>
      <c r="C82" s="2"/>
      <c r="D82" s="2"/>
      <c r="E82" s="2"/>
      <c r="F82" s="2"/>
      <c r="G82" s="2"/>
      <c r="H82" s="2"/>
      <c r="I82" s="2"/>
      <c r="J82" s="2"/>
      <c r="K82" s="2"/>
      <c r="L82" s="2"/>
      <c r="M82" s="2"/>
      <c r="N82" s="2"/>
      <c r="O82" s="2" t="str">
        <f t="shared" si="2"/>
        <v>PASS</v>
      </c>
    </row>
    <row r="83" spans="1:15">
      <c r="A83" s="2"/>
      <c r="B83" s="2"/>
      <c r="C83" s="2"/>
      <c r="D83" s="2"/>
      <c r="E83" s="2"/>
      <c r="F83" s="2"/>
      <c r="G83" s="2"/>
      <c r="H83" s="2"/>
      <c r="I83" s="2"/>
      <c r="J83" s="2"/>
      <c r="K83" s="2"/>
      <c r="L83" s="2"/>
      <c r="M83" s="2"/>
      <c r="N83" s="2"/>
      <c r="O83" s="2" t="str">
        <f t="shared" si="2"/>
        <v>PASS</v>
      </c>
    </row>
    <row r="84" spans="1:15">
      <c r="A84" s="2"/>
      <c r="B84" s="2"/>
      <c r="C84" s="2"/>
      <c r="D84" s="2"/>
      <c r="E84" s="2"/>
      <c r="F84" s="2"/>
      <c r="G84" s="2"/>
      <c r="H84" s="2"/>
      <c r="I84" s="2"/>
      <c r="J84" s="2"/>
      <c r="K84" s="2"/>
      <c r="L84" s="2"/>
      <c r="M84" s="2"/>
      <c r="N84" s="2"/>
      <c r="O84" s="2" t="str">
        <f t="shared" si="2"/>
        <v>PASS</v>
      </c>
    </row>
    <row r="85" spans="1:15">
      <c r="A85" s="2"/>
      <c r="B85" s="2"/>
      <c r="C85" s="2"/>
      <c r="D85" s="2"/>
      <c r="E85" s="2"/>
      <c r="F85" s="2"/>
      <c r="G85" s="2"/>
      <c r="H85" s="2"/>
      <c r="I85" s="2"/>
      <c r="J85" s="2"/>
      <c r="K85" s="2"/>
      <c r="L85" s="2"/>
      <c r="M85" s="2"/>
      <c r="N85" s="2"/>
      <c r="O85" s="2" t="str">
        <f t="shared" si="2"/>
        <v>PASS</v>
      </c>
    </row>
    <row r="86" spans="1:15">
      <c r="A86" s="2"/>
      <c r="B86" s="2"/>
      <c r="C86" s="2"/>
      <c r="D86" s="2"/>
      <c r="E86" s="2"/>
      <c r="F86" s="2"/>
      <c r="G86" s="2"/>
      <c r="H86" s="2"/>
      <c r="I86" s="2"/>
      <c r="J86" s="2"/>
      <c r="K86" s="2"/>
      <c r="L86" s="2"/>
      <c r="M86" s="2"/>
      <c r="N86" s="2"/>
      <c r="O86" s="2" t="str">
        <f t="shared" si="2"/>
        <v>PASS</v>
      </c>
    </row>
    <row r="87" spans="1:15">
      <c r="A87" s="2"/>
      <c r="B87" s="2"/>
      <c r="C87" s="2"/>
      <c r="D87" s="2"/>
      <c r="E87" s="2"/>
      <c r="F87" s="2"/>
      <c r="G87" s="2"/>
      <c r="H87" s="2"/>
      <c r="I87" s="2"/>
      <c r="J87" s="2"/>
      <c r="K87" s="2"/>
      <c r="L87" s="2"/>
      <c r="M87" s="2"/>
      <c r="N87" s="2"/>
      <c r="O87" s="2" t="str">
        <f t="shared" si="2"/>
        <v>PASS</v>
      </c>
    </row>
    <row r="88" spans="1:15">
      <c r="A88" s="2"/>
      <c r="B88" s="2"/>
      <c r="C88" s="2"/>
      <c r="D88" s="2"/>
      <c r="E88" s="2"/>
      <c r="F88" s="2"/>
      <c r="G88" s="2"/>
      <c r="H88" s="2"/>
      <c r="I88" s="2"/>
      <c r="J88" s="2"/>
      <c r="K88" s="2"/>
      <c r="L88" s="2"/>
      <c r="M88" s="2"/>
      <c r="N88" s="2"/>
      <c r="O88" s="2" t="str">
        <f t="shared" si="2"/>
        <v>PASS</v>
      </c>
    </row>
    <row r="89" spans="1:15">
      <c r="A89" s="2"/>
      <c r="B89" s="2"/>
      <c r="C89" s="2"/>
      <c r="D89" s="2"/>
      <c r="E89" s="2"/>
      <c r="F89" s="2"/>
      <c r="G89" s="2"/>
      <c r="H89" s="2"/>
      <c r="I89" s="2"/>
      <c r="J89" s="2"/>
      <c r="K89" s="2"/>
      <c r="L89" s="2"/>
      <c r="M89" s="2"/>
      <c r="N89" s="2"/>
      <c r="O89" s="2" t="str">
        <f t="shared" si="2"/>
        <v>PASS</v>
      </c>
    </row>
    <row r="90" spans="1:15">
      <c r="A90" s="2"/>
      <c r="B90" s="2"/>
      <c r="C90" s="2"/>
      <c r="D90" s="2"/>
      <c r="E90" s="2"/>
      <c r="F90" s="2"/>
      <c r="G90" s="2"/>
      <c r="H90" s="2"/>
      <c r="I90" s="2"/>
      <c r="J90" s="2"/>
      <c r="K90" s="2"/>
      <c r="L90" s="2"/>
      <c r="M90" s="2"/>
      <c r="N90" s="2"/>
      <c r="O90" s="2" t="str">
        <f t="shared" si="2"/>
        <v>PASS</v>
      </c>
    </row>
    <row r="91" spans="1:15">
      <c r="A91" s="2"/>
      <c r="B91" s="2"/>
      <c r="C91" s="2"/>
      <c r="D91" s="2"/>
      <c r="E91" s="2"/>
      <c r="F91" s="2"/>
      <c r="G91" s="2"/>
      <c r="H91" s="2"/>
      <c r="I91" s="2"/>
      <c r="J91" s="2"/>
      <c r="K91" s="2"/>
      <c r="L91" s="2"/>
      <c r="M91" s="2"/>
      <c r="N91" s="2"/>
      <c r="O91" s="2" t="str">
        <f t="shared" si="2"/>
        <v>PASS</v>
      </c>
    </row>
    <row r="92" spans="1:15">
      <c r="A92" s="2"/>
      <c r="B92" s="2"/>
      <c r="C92" s="2"/>
      <c r="D92" s="2"/>
      <c r="E92" s="2"/>
      <c r="F92" s="2"/>
      <c r="G92" s="2"/>
      <c r="H92" s="2"/>
      <c r="I92" s="2"/>
      <c r="J92" s="2"/>
      <c r="K92" s="2"/>
      <c r="L92" s="2"/>
      <c r="M92" s="2"/>
      <c r="N92" s="2"/>
      <c r="O92" s="2" t="str">
        <f t="shared" si="2"/>
        <v>PASS</v>
      </c>
    </row>
    <row r="93" spans="1:15">
      <c r="A93" s="2"/>
      <c r="B93" s="2"/>
      <c r="C93" s="2"/>
      <c r="D93" s="2"/>
      <c r="E93" s="2"/>
      <c r="F93" s="2"/>
      <c r="G93" s="2"/>
      <c r="H93" s="2"/>
      <c r="I93" s="2"/>
      <c r="J93" s="2"/>
      <c r="K93" s="2"/>
      <c r="L93" s="2"/>
      <c r="M93" s="2"/>
      <c r="N93" s="2"/>
      <c r="O93" s="2" t="str">
        <f t="shared" si="2"/>
        <v>PASS</v>
      </c>
    </row>
    <row r="94" spans="1:15">
      <c r="A94" s="2"/>
      <c r="B94" s="2"/>
      <c r="C94" s="2"/>
      <c r="D94" s="2"/>
      <c r="E94" s="2"/>
      <c r="F94" s="2"/>
      <c r="G94" s="2"/>
      <c r="H94" s="2"/>
      <c r="I94" s="2"/>
      <c r="J94" s="2"/>
      <c r="K94" s="2"/>
      <c r="L94" s="2"/>
      <c r="M94" s="2"/>
      <c r="N94" s="2"/>
      <c r="O94" s="2" t="str">
        <f t="shared" si="2"/>
        <v>PASS</v>
      </c>
    </row>
    <row r="95" spans="1:15">
      <c r="A95" s="2"/>
      <c r="B95" s="2"/>
      <c r="C95" s="2"/>
      <c r="D95" s="2"/>
      <c r="E95" s="2"/>
      <c r="F95" s="2"/>
      <c r="G95" s="2"/>
      <c r="H95" s="2"/>
      <c r="I95" s="2"/>
      <c r="J95" s="2"/>
      <c r="K95" s="2"/>
      <c r="L95" s="2"/>
      <c r="M95" s="2"/>
      <c r="N95" s="2"/>
      <c r="O95" s="2" t="str">
        <f t="shared" si="2"/>
        <v>PASS</v>
      </c>
    </row>
    <row r="96" spans="1:15">
      <c r="A96" s="2"/>
      <c r="B96" s="2"/>
      <c r="C96" s="2"/>
      <c r="D96" s="2"/>
      <c r="E96" s="2"/>
      <c r="F96" s="2"/>
      <c r="G96" s="2"/>
      <c r="H96" s="2"/>
      <c r="I96" s="2"/>
      <c r="J96" s="2"/>
      <c r="K96" s="2"/>
      <c r="L96" s="2"/>
      <c r="M96" s="2"/>
      <c r="N96" s="2"/>
      <c r="O96" s="2" t="str">
        <f t="shared" si="2"/>
        <v>PASS</v>
      </c>
    </row>
    <row r="97" spans="1:15">
      <c r="A97" s="2"/>
      <c r="B97" s="2"/>
      <c r="C97" s="2"/>
      <c r="D97" s="2"/>
      <c r="E97" s="2"/>
      <c r="F97" s="2"/>
      <c r="G97" s="2"/>
      <c r="H97" s="2"/>
      <c r="I97" s="2"/>
      <c r="J97" s="2"/>
      <c r="K97" s="2"/>
      <c r="L97" s="2"/>
      <c r="M97" s="2"/>
      <c r="N97" s="2"/>
      <c r="O97" s="2" t="str">
        <f t="shared" si="2"/>
        <v>PASS</v>
      </c>
    </row>
    <row r="98" spans="1:15">
      <c r="A98" s="2"/>
      <c r="B98" s="2"/>
      <c r="C98" s="2"/>
      <c r="D98" s="2"/>
      <c r="E98" s="2"/>
      <c r="F98" s="2"/>
      <c r="G98" s="2"/>
      <c r="H98" s="2"/>
      <c r="I98" s="2"/>
      <c r="J98" s="2"/>
      <c r="K98" s="2"/>
      <c r="L98" s="2"/>
      <c r="M98" s="2"/>
      <c r="N98" s="2"/>
      <c r="O98" s="2" t="str">
        <f t="shared" si="2"/>
        <v>PASS</v>
      </c>
    </row>
    <row r="99" spans="1:15">
      <c r="A99" s="2"/>
      <c r="B99" s="2"/>
      <c r="C99" s="2"/>
      <c r="D99" s="2"/>
      <c r="E99" s="2"/>
      <c r="F99" s="2"/>
      <c r="G99" s="2"/>
      <c r="H99" s="2"/>
      <c r="I99" s="2"/>
      <c r="J99" s="2"/>
      <c r="K99" s="2"/>
      <c r="L99" s="2"/>
      <c r="M99" s="2"/>
      <c r="N99" s="2"/>
      <c r="O99" s="2" t="str">
        <f t="shared" si="2"/>
        <v>PASS</v>
      </c>
    </row>
    <row r="100" spans="1:15">
      <c r="A100" s="2"/>
      <c r="B100" s="2"/>
      <c r="C100" s="2"/>
      <c r="D100" s="2"/>
      <c r="E100" s="2"/>
      <c r="F100" s="2"/>
      <c r="G100" s="2"/>
      <c r="H100" s="2"/>
      <c r="I100" s="2"/>
      <c r="J100" s="2"/>
      <c r="K100" s="2"/>
      <c r="L100" s="2"/>
      <c r="M100" s="2"/>
      <c r="N100" s="2"/>
      <c r="O100" s="2" t="str">
        <f t="shared" si="2"/>
        <v>PASS</v>
      </c>
    </row>
    <row r="101" spans="1:15">
      <c r="A101" s="2"/>
      <c r="B101" s="2"/>
      <c r="C101" s="2"/>
      <c r="D101" s="2"/>
      <c r="E101" s="2"/>
      <c r="F101" s="2"/>
      <c r="G101" s="2"/>
      <c r="H101" s="2"/>
      <c r="I101" s="2"/>
      <c r="J101" s="2"/>
      <c r="K101" s="2"/>
      <c r="L101" s="2"/>
      <c r="M101" s="2"/>
      <c r="N101" s="2"/>
      <c r="O101" s="2" t="str">
        <f t="shared" si="2"/>
        <v>PASS</v>
      </c>
    </row>
    <row r="102" spans="1:15">
      <c r="A102" s="2"/>
      <c r="B102" s="2"/>
      <c r="C102" s="2"/>
      <c r="D102" s="2"/>
      <c r="E102" s="2"/>
      <c r="F102" s="2"/>
      <c r="G102" s="2"/>
      <c r="H102" s="2"/>
      <c r="I102" s="2"/>
      <c r="J102" s="2"/>
      <c r="K102" s="2"/>
      <c r="L102" s="2"/>
      <c r="M102" s="2"/>
      <c r="N102" s="2"/>
      <c r="O102" s="2" t="str">
        <f t="shared" si="2"/>
        <v>PASS</v>
      </c>
    </row>
    <row r="103" spans="1:15">
      <c r="A103" s="2"/>
      <c r="B103" s="2"/>
      <c r="C103" s="2"/>
      <c r="D103" s="2"/>
      <c r="E103" s="2"/>
      <c r="F103" s="2"/>
      <c r="G103" s="2"/>
      <c r="H103" s="2"/>
      <c r="I103" s="2"/>
      <c r="J103" s="2"/>
      <c r="K103" s="2"/>
      <c r="L103" s="2"/>
      <c r="M103" s="2"/>
      <c r="N103" s="2"/>
      <c r="O103" s="2" t="str">
        <f t="shared" si="2"/>
        <v>PASS</v>
      </c>
    </row>
    <row r="104" spans="1:15">
      <c r="A104" s="2"/>
      <c r="B104" s="2"/>
      <c r="C104" s="2"/>
      <c r="D104" s="2"/>
      <c r="E104" s="2"/>
      <c r="F104" s="2"/>
      <c r="G104" s="2"/>
      <c r="H104" s="2"/>
      <c r="I104" s="2"/>
      <c r="J104" s="2"/>
      <c r="K104" s="2"/>
      <c r="L104" s="2"/>
      <c r="M104" s="2"/>
      <c r="N104" s="2"/>
      <c r="O104" s="2" t="str">
        <f t="shared" si="2"/>
        <v>PASS</v>
      </c>
    </row>
    <row r="105" spans="1:15">
      <c r="A105" s="2"/>
      <c r="B105" s="2"/>
      <c r="C105" s="2"/>
      <c r="D105" s="2"/>
      <c r="E105" s="2"/>
      <c r="F105" s="2"/>
      <c r="G105" s="2"/>
      <c r="H105" s="2"/>
      <c r="I105" s="2"/>
      <c r="J105" s="2"/>
      <c r="K105" s="2"/>
      <c r="L105" s="2"/>
      <c r="M105" s="2"/>
      <c r="N105" s="2"/>
      <c r="O105" s="2" t="str">
        <f t="shared" si="2"/>
        <v>PASS</v>
      </c>
    </row>
    <row r="106" spans="1:15">
      <c r="A106" s="2"/>
      <c r="B106" s="2"/>
      <c r="C106" s="2"/>
      <c r="D106" s="2"/>
      <c r="E106" s="2"/>
      <c r="F106" s="2"/>
      <c r="G106" s="2"/>
      <c r="H106" s="2"/>
      <c r="I106" s="2"/>
      <c r="J106" s="2"/>
      <c r="K106" s="2"/>
      <c r="L106" s="2"/>
      <c r="M106" s="2"/>
      <c r="N106" s="2"/>
      <c r="O106" s="2" t="str">
        <f t="shared" si="2"/>
        <v>PASS</v>
      </c>
    </row>
    <row r="107" spans="1:15">
      <c r="A107" s="2"/>
      <c r="B107" s="2"/>
      <c r="C107" s="2"/>
      <c r="D107" s="2"/>
      <c r="E107" s="2"/>
      <c r="F107" s="2"/>
      <c r="G107" s="2"/>
      <c r="H107" s="2"/>
      <c r="I107" s="2"/>
      <c r="J107" s="2"/>
      <c r="K107" s="2"/>
      <c r="L107" s="2"/>
      <c r="M107" s="2"/>
      <c r="N107" s="2"/>
      <c r="O107" s="2" t="str">
        <f t="shared" si="2"/>
        <v>PASS</v>
      </c>
    </row>
    <row r="108" spans="1:15">
      <c r="A108" s="2"/>
      <c r="B108" s="2"/>
      <c r="C108" s="2"/>
      <c r="D108" s="2"/>
      <c r="E108" s="2"/>
      <c r="F108" s="2"/>
      <c r="G108" s="2"/>
      <c r="H108" s="2"/>
      <c r="I108" s="2"/>
      <c r="J108" s="2"/>
      <c r="K108" s="2"/>
      <c r="L108" s="2"/>
      <c r="M108" s="2"/>
      <c r="N108" s="2"/>
      <c r="O108" s="2" t="str">
        <f t="shared" si="2"/>
        <v>PASS</v>
      </c>
    </row>
    <row r="109" spans="1:15">
      <c r="A109" s="2"/>
      <c r="B109" s="2"/>
      <c r="C109" s="2"/>
      <c r="D109" s="2"/>
      <c r="E109" s="2"/>
      <c r="F109" s="2"/>
      <c r="G109" s="2"/>
      <c r="H109" s="2"/>
      <c r="I109" s="2"/>
      <c r="J109" s="2"/>
      <c r="K109" s="2"/>
      <c r="L109" s="2"/>
      <c r="M109" s="2"/>
      <c r="N109" s="2"/>
      <c r="O109" s="2" t="str">
        <f t="shared" si="2"/>
        <v>PASS</v>
      </c>
    </row>
    <row r="110" spans="1:15">
      <c r="A110" s="2"/>
      <c r="B110" s="2"/>
      <c r="C110" s="2"/>
      <c r="D110" s="2"/>
      <c r="E110" s="2"/>
      <c r="F110" s="2"/>
      <c r="G110" s="2"/>
      <c r="H110" s="2"/>
      <c r="I110" s="2"/>
      <c r="J110" s="2"/>
      <c r="K110" s="2"/>
      <c r="L110" s="2"/>
      <c r="M110" s="2"/>
      <c r="N110" s="2"/>
      <c r="O110" s="2" t="str">
        <f t="shared" si="2"/>
        <v>PASS</v>
      </c>
    </row>
    <row r="111" spans="1:15">
      <c r="A111" s="2"/>
      <c r="B111" s="2"/>
      <c r="C111" s="2"/>
      <c r="D111" s="2"/>
      <c r="E111" s="2"/>
      <c r="F111" s="2"/>
      <c r="G111" s="2"/>
      <c r="H111" s="2"/>
      <c r="I111" s="2"/>
      <c r="J111" s="2"/>
      <c r="K111" s="2"/>
      <c r="L111" s="2"/>
      <c r="M111" s="2"/>
      <c r="N111" s="2"/>
      <c r="O111" s="2" t="str">
        <f t="shared" si="2"/>
        <v>PASS</v>
      </c>
    </row>
    <row r="112" spans="1:15">
      <c r="A112" s="2"/>
      <c r="B112" s="2"/>
      <c r="C112" s="2"/>
      <c r="D112" s="2"/>
      <c r="E112" s="2"/>
      <c r="F112" s="2"/>
      <c r="G112" s="2"/>
      <c r="H112" s="2"/>
      <c r="I112" s="2"/>
      <c r="J112" s="2"/>
      <c r="K112" s="2"/>
      <c r="L112" s="2"/>
      <c r="M112" s="2"/>
      <c r="N112" s="2"/>
      <c r="O112" s="2" t="str">
        <f t="shared" si="2"/>
        <v>PASS</v>
      </c>
    </row>
    <row r="113" spans="1:15">
      <c r="A113" s="2"/>
      <c r="B113" s="2"/>
      <c r="C113" s="2"/>
      <c r="D113" s="2"/>
      <c r="E113" s="2"/>
      <c r="F113" s="2"/>
      <c r="G113" s="2"/>
      <c r="H113" s="2"/>
      <c r="I113" s="2"/>
      <c r="J113" s="2"/>
      <c r="K113" s="2"/>
      <c r="L113" s="2"/>
      <c r="M113" s="2"/>
      <c r="N113" s="2"/>
      <c r="O113" s="2" t="str">
        <f t="shared" si="2"/>
        <v>PASS</v>
      </c>
    </row>
  </sheetData>
  <mergeCells count="2">
    <mergeCell ref="A1:O1"/>
    <mergeCell ref="A2:O2"/>
  </mergeCells>
  <dataValidations count="2">
    <dataValidation type="list" sqref="B7" xr:uid="{00000000-0002-0000-0600-000000000000}">
      <formula1>"Yes,No"</formula1>
    </dataValidation>
    <dataValidation type="list" sqref="F14:M113" xr:uid="{00000000-0002-0000-0600-000001000000}">
      <formula1>"Yes,No,N/A"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141"/>
  <sheetViews>
    <sheetView workbookViewId="0"/>
  </sheetViews>
  <sheetFormatPr defaultRowHeight="14"/>
  <cols>
    <col min="1" max="5" width="28" customWidth="1"/>
    <col min="8" max="25" width="15" customWidth="1"/>
    <col min="26" max="35" width="20" customWidth="1"/>
  </cols>
  <sheetData>
    <row r="1" spans="1:35" ht="20">
      <c r="A1" s="6" t="s">
        <v>329</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ht="14.5">
      <c r="A2" s="8" t="s">
        <v>106</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row>
    <row r="4" spans="1:35">
      <c r="A4" s="3" t="s">
        <v>107</v>
      </c>
      <c r="B4" t="s">
        <v>330</v>
      </c>
      <c r="D4" s="9" t="s">
        <v>109</v>
      </c>
      <c r="E4" s="9"/>
      <c r="F4" s="9"/>
      <c r="G4" s="9"/>
      <c r="H4" s="9"/>
    </row>
    <row r="5" spans="1:35" ht="28">
      <c r="A5" s="3" t="s">
        <v>110</v>
      </c>
      <c r="D5" s="4" t="s">
        <v>6</v>
      </c>
      <c r="E5" s="4" t="s">
        <v>111</v>
      </c>
      <c r="F5" s="4"/>
      <c r="G5" s="4"/>
      <c r="H5" s="4"/>
    </row>
    <row r="6" spans="1:35" ht="42">
      <c r="A6" s="3" t="s">
        <v>112</v>
      </c>
      <c r="D6" s="4" t="s">
        <v>12</v>
      </c>
      <c r="E6" s="4" t="s">
        <v>113</v>
      </c>
      <c r="F6" s="4"/>
      <c r="G6" s="4"/>
      <c r="H6" s="4"/>
    </row>
    <row r="7" spans="1:35" ht="42">
      <c r="A7" s="3" t="s">
        <v>114</v>
      </c>
      <c r="D7" s="4" t="s">
        <v>18</v>
      </c>
      <c r="E7" s="4" t="s">
        <v>115</v>
      </c>
      <c r="F7" s="4"/>
      <c r="G7" s="4"/>
      <c r="H7" s="4"/>
    </row>
    <row r="8" spans="1:35" ht="42">
      <c r="A8" s="3" t="s">
        <v>116</v>
      </c>
      <c r="B8">
        <f>COUNTA(A18:A117)</f>
        <v>0</v>
      </c>
      <c r="D8" s="4" t="s">
        <v>23</v>
      </c>
      <c r="E8" s="4" t="s">
        <v>117</v>
      </c>
      <c r="F8" s="4"/>
      <c r="G8" s="4"/>
      <c r="H8" s="4"/>
    </row>
    <row r="9" spans="1:35">
      <c r="A9" s="3" t="s">
        <v>6</v>
      </c>
      <c r="B9">
        <f>COUNTIF(Z18:Z117,"Low")</f>
        <v>0</v>
      </c>
    </row>
    <row r="10" spans="1:35">
      <c r="A10" s="3" t="s">
        <v>12</v>
      </c>
      <c r="B10">
        <f>COUNTIF(Z18:Z117,"Medium")</f>
        <v>0</v>
      </c>
    </row>
    <row r="11" spans="1:35">
      <c r="A11" s="3" t="s">
        <v>18</v>
      </c>
      <c r="B11">
        <f>COUNTIF(Z18:Z117,"High")</f>
        <v>0</v>
      </c>
    </row>
    <row r="12" spans="1:35">
      <c r="A12" s="3" t="s">
        <v>23</v>
      </c>
      <c r="B12">
        <f>COUNTIF(Z18:Z117,"Very High")</f>
        <v>0</v>
      </c>
    </row>
    <row r="13" spans="1:35">
      <c r="A13" s="3" t="s">
        <v>118</v>
      </c>
      <c r="B13">
        <f>COUNTIF(AD18:AD117,"Yes")</f>
        <v>0</v>
      </c>
    </row>
    <row r="14" spans="1:35">
      <c r="A14" s="3" t="s">
        <v>119</v>
      </c>
    </row>
    <row r="17" spans="1:37" ht="28">
      <c r="A17" s="1" t="s">
        <v>120</v>
      </c>
      <c r="B17" s="1" t="s">
        <v>121</v>
      </c>
      <c r="C17" s="1" t="s">
        <v>2</v>
      </c>
      <c r="D17" s="1" t="s">
        <v>75</v>
      </c>
      <c r="E17" s="1" t="s">
        <v>122</v>
      </c>
      <c r="F17" s="1" t="s">
        <v>123</v>
      </c>
      <c r="G17" s="1" t="s">
        <v>110</v>
      </c>
      <c r="H17" s="1" t="s">
        <v>124</v>
      </c>
      <c r="I17" s="1" t="s">
        <v>125</v>
      </c>
      <c r="J17" s="1" t="s">
        <v>126</v>
      </c>
      <c r="K17" s="1" t="s">
        <v>127</v>
      </c>
      <c r="L17" s="1" t="s">
        <v>128</v>
      </c>
      <c r="M17" s="1" t="s">
        <v>129</v>
      </c>
      <c r="N17" s="1" t="s">
        <v>130</v>
      </c>
      <c r="O17" s="1" t="s">
        <v>131</v>
      </c>
      <c r="P17" s="1" t="s">
        <v>132</v>
      </c>
      <c r="Q17" s="1" t="s">
        <v>133</v>
      </c>
      <c r="R17" s="1" t="s">
        <v>134</v>
      </c>
      <c r="S17" s="1" t="s">
        <v>135</v>
      </c>
      <c r="T17" s="1" t="s">
        <v>136</v>
      </c>
      <c r="U17" s="1" t="s">
        <v>137</v>
      </c>
      <c r="V17" s="1" t="s">
        <v>138</v>
      </c>
      <c r="W17" s="1" t="s">
        <v>139</v>
      </c>
      <c r="X17" s="1" t="s">
        <v>140</v>
      </c>
      <c r="Y17" s="1" t="s">
        <v>141</v>
      </c>
      <c r="Z17" s="1" t="s">
        <v>142</v>
      </c>
      <c r="AA17" s="1" t="s">
        <v>143</v>
      </c>
      <c r="AB17" s="1" t="s">
        <v>144</v>
      </c>
      <c r="AC17" s="1" t="s">
        <v>3</v>
      </c>
      <c r="AD17" s="1" t="s">
        <v>145</v>
      </c>
      <c r="AE17" s="1" t="s">
        <v>146</v>
      </c>
      <c r="AF17" s="1" t="s">
        <v>147</v>
      </c>
      <c r="AG17" s="1" t="s">
        <v>148</v>
      </c>
      <c r="AH17" s="1" t="s">
        <v>149</v>
      </c>
      <c r="AI17" s="1" t="s">
        <v>150</v>
      </c>
      <c r="AJ17" t="s">
        <v>151</v>
      </c>
      <c r="AK17" t="s">
        <v>152</v>
      </c>
    </row>
    <row r="18" spans="1:37">
      <c r="A18" s="2"/>
      <c r="B18" s="2"/>
      <c r="C18" s="2"/>
      <c r="D18" s="2"/>
      <c r="E18" s="5"/>
      <c r="F18" s="2"/>
      <c r="G18" s="5"/>
      <c r="H18" s="2"/>
      <c r="I18" s="2"/>
      <c r="J18" s="2"/>
      <c r="K18" s="2"/>
      <c r="L18" s="2"/>
      <c r="M18" s="2"/>
      <c r="N18" s="2"/>
      <c r="O18" s="2"/>
      <c r="P18" s="2"/>
      <c r="Q18" s="2"/>
      <c r="R18" s="2"/>
      <c r="S18" s="2"/>
      <c r="T18" s="2"/>
      <c r="U18" s="2"/>
      <c r="V18" s="2"/>
      <c r="W18" s="2"/>
      <c r="X18" s="2"/>
      <c r="Y18" s="2"/>
      <c r="Z18" s="2" t="str">
        <f t="shared" ref="Z18:Z49" si="0">IF(COUNTA(H18:Y18)=0,"",IF(COUNTIF(H18:Y18,"Very High")&gt;0,"Very High",IF(COUNTIF(H18:Y18,"High")&gt;0,"High",IF(COUNTIF(H18:Y18,"Medium")&gt;0,"Medium","Low"))))</f>
        <v/>
      </c>
      <c r="AA18" s="2" t="str">
        <f t="shared" ref="AA18:AA49" si="1">IF(Z18="","",IF(Z18="Low","Routine planned support",IF(Z18="Medium","One staff support/supervision likely",IF(Z18="High","Two staff/review staffing and equipment","Manager review: multiple staff/specialist support"))))</f>
        <v/>
      </c>
      <c r="AB18" s="2" t="str">
        <f t="shared" ref="AB18:AB49" si="2">IF(Z18="","",IF(OR(Z18="High",Z18="Very High",W18="High",W18="Very High"),"Night staffing and evacuation review required","Routine night checks as per care plan"))</f>
        <v/>
      </c>
      <c r="AC18" s="2" t="str">
        <f t="shared" ref="AC18:AC49" si="3">IF(X18="Very High","Specialist PEEP / equipment",IF(OR(X18="High",Z18="High"),"Evacuation sheet/chair or wheelchair per PEEP",IF(OR(X18="Medium",Z18="Medium"),"Walking aid/wheelchair support per PEEP","Walks with direction")))</f>
        <v>Walks with direction</v>
      </c>
      <c r="AD18" s="2"/>
      <c r="AE18" s="5"/>
      <c r="AF18" s="2"/>
      <c r="AG18" s="2"/>
      <c r="AH18" s="2"/>
      <c r="AI18" s="2"/>
    </row>
    <row r="19" spans="1:37">
      <c r="A19" s="2"/>
      <c r="B19" s="2"/>
      <c r="C19" s="2"/>
      <c r="D19" s="2"/>
      <c r="E19" s="5"/>
      <c r="F19" s="2"/>
      <c r="G19" s="5"/>
      <c r="H19" s="2"/>
      <c r="I19" s="2"/>
      <c r="J19" s="2"/>
      <c r="K19" s="2"/>
      <c r="L19" s="2"/>
      <c r="M19" s="2"/>
      <c r="N19" s="2"/>
      <c r="O19" s="2"/>
      <c r="P19" s="2"/>
      <c r="Q19" s="2"/>
      <c r="R19" s="2"/>
      <c r="S19" s="2"/>
      <c r="T19" s="2"/>
      <c r="U19" s="2"/>
      <c r="V19" s="2"/>
      <c r="W19" s="2"/>
      <c r="X19" s="2"/>
      <c r="Y19" s="2"/>
      <c r="Z19" s="2" t="str">
        <f t="shared" si="0"/>
        <v/>
      </c>
      <c r="AA19" s="2" t="str">
        <f t="shared" si="1"/>
        <v/>
      </c>
      <c r="AB19" s="2" t="str">
        <f t="shared" si="2"/>
        <v/>
      </c>
      <c r="AC19" s="2" t="str">
        <f t="shared" si="3"/>
        <v>Walks with direction</v>
      </c>
      <c r="AD19" s="2"/>
      <c r="AE19" s="5"/>
      <c r="AF19" s="2"/>
      <c r="AG19" s="2"/>
      <c r="AH19" s="2"/>
      <c r="AI19" s="2"/>
    </row>
    <row r="20" spans="1:37">
      <c r="A20" s="2"/>
      <c r="B20" s="2"/>
      <c r="C20" s="2"/>
      <c r="D20" s="2"/>
      <c r="E20" s="5"/>
      <c r="F20" s="2"/>
      <c r="G20" s="5"/>
      <c r="H20" s="2"/>
      <c r="I20" s="2"/>
      <c r="J20" s="2"/>
      <c r="K20" s="2"/>
      <c r="L20" s="2"/>
      <c r="M20" s="2"/>
      <c r="N20" s="2"/>
      <c r="O20" s="2"/>
      <c r="P20" s="2"/>
      <c r="Q20" s="2"/>
      <c r="R20" s="2"/>
      <c r="S20" s="2"/>
      <c r="T20" s="2"/>
      <c r="U20" s="2"/>
      <c r="V20" s="2"/>
      <c r="W20" s="2"/>
      <c r="X20" s="2"/>
      <c r="Y20" s="2"/>
      <c r="Z20" s="2" t="str">
        <f t="shared" si="0"/>
        <v/>
      </c>
      <c r="AA20" s="2" t="str">
        <f t="shared" si="1"/>
        <v/>
      </c>
      <c r="AB20" s="2" t="str">
        <f t="shared" si="2"/>
        <v/>
      </c>
      <c r="AC20" s="2" t="str">
        <f t="shared" si="3"/>
        <v>Walks with direction</v>
      </c>
      <c r="AD20" s="2"/>
      <c r="AE20" s="5"/>
      <c r="AF20" s="2"/>
      <c r="AG20" s="2"/>
      <c r="AH20" s="2"/>
      <c r="AI20" s="2"/>
    </row>
    <row r="21" spans="1:37">
      <c r="A21" s="2"/>
      <c r="B21" s="2"/>
      <c r="C21" s="2"/>
      <c r="D21" s="2"/>
      <c r="E21" s="5"/>
      <c r="F21" s="2"/>
      <c r="G21" s="5"/>
      <c r="H21" s="2"/>
      <c r="I21" s="2"/>
      <c r="J21" s="2"/>
      <c r="K21" s="2"/>
      <c r="L21" s="2"/>
      <c r="M21" s="2"/>
      <c r="N21" s="2"/>
      <c r="O21" s="2"/>
      <c r="P21" s="2"/>
      <c r="Q21" s="2"/>
      <c r="R21" s="2"/>
      <c r="S21" s="2"/>
      <c r="T21" s="2"/>
      <c r="U21" s="2"/>
      <c r="V21" s="2"/>
      <c r="W21" s="2"/>
      <c r="X21" s="2"/>
      <c r="Y21" s="2"/>
      <c r="Z21" s="2" t="str">
        <f t="shared" si="0"/>
        <v/>
      </c>
      <c r="AA21" s="2" t="str">
        <f t="shared" si="1"/>
        <v/>
      </c>
      <c r="AB21" s="2" t="str">
        <f t="shared" si="2"/>
        <v/>
      </c>
      <c r="AC21" s="2" t="str">
        <f t="shared" si="3"/>
        <v>Walks with direction</v>
      </c>
      <c r="AD21" s="2"/>
      <c r="AE21" s="5"/>
      <c r="AF21" s="2"/>
      <c r="AG21" s="2"/>
      <c r="AH21" s="2"/>
      <c r="AI21" s="2"/>
    </row>
    <row r="22" spans="1:37">
      <c r="A22" s="2"/>
      <c r="B22" s="2"/>
      <c r="C22" s="2"/>
      <c r="D22" s="2"/>
      <c r="E22" s="5"/>
      <c r="F22" s="2"/>
      <c r="G22" s="5"/>
      <c r="H22" s="2"/>
      <c r="I22" s="2"/>
      <c r="J22" s="2"/>
      <c r="K22" s="2"/>
      <c r="L22" s="2"/>
      <c r="M22" s="2"/>
      <c r="N22" s="2"/>
      <c r="O22" s="2"/>
      <c r="P22" s="2"/>
      <c r="Q22" s="2"/>
      <c r="R22" s="2"/>
      <c r="S22" s="2"/>
      <c r="T22" s="2"/>
      <c r="U22" s="2"/>
      <c r="V22" s="2"/>
      <c r="W22" s="2"/>
      <c r="X22" s="2"/>
      <c r="Y22" s="2"/>
      <c r="Z22" s="2" t="str">
        <f t="shared" si="0"/>
        <v/>
      </c>
      <c r="AA22" s="2" t="str">
        <f t="shared" si="1"/>
        <v/>
      </c>
      <c r="AB22" s="2" t="str">
        <f t="shared" si="2"/>
        <v/>
      </c>
      <c r="AC22" s="2" t="str">
        <f t="shared" si="3"/>
        <v>Walks with direction</v>
      </c>
      <c r="AD22" s="2"/>
      <c r="AE22" s="5"/>
      <c r="AF22" s="2"/>
      <c r="AG22" s="2"/>
      <c r="AH22" s="2"/>
      <c r="AI22" s="2"/>
    </row>
    <row r="23" spans="1:37">
      <c r="A23" s="2"/>
      <c r="B23" s="2"/>
      <c r="C23" s="2"/>
      <c r="D23" s="2"/>
      <c r="E23" s="5"/>
      <c r="F23" s="2"/>
      <c r="G23" s="5"/>
      <c r="H23" s="2"/>
      <c r="I23" s="2"/>
      <c r="J23" s="2"/>
      <c r="K23" s="2"/>
      <c r="L23" s="2"/>
      <c r="M23" s="2"/>
      <c r="N23" s="2"/>
      <c r="O23" s="2"/>
      <c r="P23" s="2"/>
      <c r="Q23" s="2"/>
      <c r="R23" s="2"/>
      <c r="S23" s="2"/>
      <c r="T23" s="2"/>
      <c r="U23" s="2"/>
      <c r="V23" s="2"/>
      <c r="W23" s="2"/>
      <c r="X23" s="2"/>
      <c r="Y23" s="2"/>
      <c r="Z23" s="2" t="str">
        <f t="shared" si="0"/>
        <v/>
      </c>
      <c r="AA23" s="2" t="str">
        <f t="shared" si="1"/>
        <v/>
      </c>
      <c r="AB23" s="2" t="str">
        <f t="shared" si="2"/>
        <v/>
      </c>
      <c r="AC23" s="2" t="str">
        <f t="shared" si="3"/>
        <v>Walks with direction</v>
      </c>
      <c r="AD23" s="2"/>
      <c r="AE23" s="5"/>
      <c r="AF23" s="2"/>
      <c r="AG23" s="2"/>
      <c r="AH23" s="2"/>
      <c r="AI23" s="2"/>
    </row>
    <row r="24" spans="1:37">
      <c r="A24" s="2"/>
      <c r="B24" s="2"/>
      <c r="C24" s="2"/>
      <c r="D24" s="2"/>
      <c r="E24" s="5"/>
      <c r="F24" s="2"/>
      <c r="G24" s="5"/>
      <c r="H24" s="2"/>
      <c r="I24" s="2"/>
      <c r="J24" s="2"/>
      <c r="K24" s="2"/>
      <c r="L24" s="2"/>
      <c r="M24" s="2"/>
      <c r="N24" s="2"/>
      <c r="O24" s="2"/>
      <c r="P24" s="2"/>
      <c r="Q24" s="2"/>
      <c r="R24" s="2"/>
      <c r="S24" s="2"/>
      <c r="T24" s="2"/>
      <c r="U24" s="2"/>
      <c r="V24" s="2"/>
      <c r="W24" s="2"/>
      <c r="X24" s="2"/>
      <c r="Y24" s="2"/>
      <c r="Z24" s="2" t="str">
        <f t="shared" si="0"/>
        <v/>
      </c>
      <c r="AA24" s="2" t="str">
        <f t="shared" si="1"/>
        <v/>
      </c>
      <c r="AB24" s="2" t="str">
        <f t="shared" si="2"/>
        <v/>
      </c>
      <c r="AC24" s="2" t="str">
        <f t="shared" si="3"/>
        <v>Walks with direction</v>
      </c>
      <c r="AD24" s="2"/>
      <c r="AE24" s="5"/>
      <c r="AF24" s="2"/>
      <c r="AG24" s="2"/>
      <c r="AH24" s="2"/>
      <c r="AI24" s="2"/>
    </row>
    <row r="25" spans="1:37">
      <c r="A25" s="2"/>
      <c r="B25" s="2"/>
      <c r="C25" s="2"/>
      <c r="D25" s="2"/>
      <c r="E25" s="5"/>
      <c r="F25" s="2"/>
      <c r="G25" s="5"/>
      <c r="H25" s="2"/>
      <c r="I25" s="2"/>
      <c r="J25" s="2"/>
      <c r="K25" s="2"/>
      <c r="L25" s="2"/>
      <c r="M25" s="2"/>
      <c r="N25" s="2"/>
      <c r="O25" s="2"/>
      <c r="P25" s="2"/>
      <c r="Q25" s="2"/>
      <c r="R25" s="2"/>
      <c r="S25" s="2"/>
      <c r="T25" s="2"/>
      <c r="U25" s="2"/>
      <c r="V25" s="2"/>
      <c r="W25" s="2"/>
      <c r="X25" s="2"/>
      <c r="Y25" s="2"/>
      <c r="Z25" s="2" t="str">
        <f t="shared" si="0"/>
        <v/>
      </c>
      <c r="AA25" s="2" t="str">
        <f t="shared" si="1"/>
        <v/>
      </c>
      <c r="AB25" s="2" t="str">
        <f t="shared" si="2"/>
        <v/>
      </c>
      <c r="AC25" s="2" t="str">
        <f t="shared" si="3"/>
        <v>Walks with direction</v>
      </c>
      <c r="AD25" s="2"/>
      <c r="AE25" s="5"/>
      <c r="AF25" s="2"/>
      <c r="AG25" s="2"/>
      <c r="AH25" s="2"/>
      <c r="AI25" s="2"/>
    </row>
    <row r="26" spans="1:37">
      <c r="A26" s="2"/>
      <c r="B26" s="2"/>
      <c r="C26" s="2"/>
      <c r="D26" s="2"/>
      <c r="E26" s="5"/>
      <c r="F26" s="2"/>
      <c r="G26" s="5"/>
      <c r="H26" s="2"/>
      <c r="I26" s="2"/>
      <c r="J26" s="2"/>
      <c r="K26" s="2"/>
      <c r="L26" s="2"/>
      <c r="M26" s="2"/>
      <c r="N26" s="2"/>
      <c r="O26" s="2"/>
      <c r="P26" s="2"/>
      <c r="Q26" s="2"/>
      <c r="R26" s="2"/>
      <c r="S26" s="2"/>
      <c r="T26" s="2"/>
      <c r="U26" s="2"/>
      <c r="V26" s="2"/>
      <c r="W26" s="2"/>
      <c r="X26" s="2"/>
      <c r="Y26" s="2"/>
      <c r="Z26" s="2" t="str">
        <f t="shared" si="0"/>
        <v/>
      </c>
      <c r="AA26" s="2" t="str">
        <f t="shared" si="1"/>
        <v/>
      </c>
      <c r="AB26" s="2" t="str">
        <f t="shared" si="2"/>
        <v/>
      </c>
      <c r="AC26" s="2" t="str">
        <f t="shared" si="3"/>
        <v>Walks with direction</v>
      </c>
      <c r="AD26" s="2"/>
      <c r="AE26" s="5"/>
      <c r="AF26" s="2"/>
      <c r="AG26" s="2"/>
      <c r="AH26" s="2"/>
      <c r="AI26" s="2"/>
    </row>
    <row r="27" spans="1:37">
      <c r="A27" s="2"/>
      <c r="B27" s="2"/>
      <c r="C27" s="2"/>
      <c r="D27" s="2"/>
      <c r="E27" s="5"/>
      <c r="F27" s="2"/>
      <c r="G27" s="5"/>
      <c r="H27" s="2"/>
      <c r="I27" s="2"/>
      <c r="J27" s="2"/>
      <c r="K27" s="2"/>
      <c r="L27" s="2"/>
      <c r="M27" s="2"/>
      <c r="N27" s="2"/>
      <c r="O27" s="2"/>
      <c r="P27" s="2"/>
      <c r="Q27" s="2"/>
      <c r="R27" s="2"/>
      <c r="S27" s="2"/>
      <c r="T27" s="2"/>
      <c r="U27" s="2"/>
      <c r="V27" s="2"/>
      <c r="W27" s="2"/>
      <c r="X27" s="2"/>
      <c r="Y27" s="2"/>
      <c r="Z27" s="2" t="str">
        <f t="shared" si="0"/>
        <v/>
      </c>
      <c r="AA27" s="2" t="str">
        <f t="shared" si="1"/>
        <v/>
      </c>
      <c r="AB27" s="2" t="str">
        <f t="shared" si="2"/>
        <v/>
      </c>
      <c r="AC27" s="2" t="str">
        <f t="shared" si="3"/>
        <v>Walks with direction</v>
      </c>
      <c r="AD27" s="2"/>
      <c r="AE27" s="5"/>
      <c r="AF27" s="2"/>
      <c r="AG27" s="2"/>
      <c r="AH27" s="2"/>
      <c r="AI27" s="2"/>
    </row>
    <row r="28" spans="1:37">
      <c r="A28" s="2"/>
      <c r="B28" s="2"/>
      <c r="C28" s="2"/>
      <c r="D28" s="2"/>
      <c r="E28" s="5"/>
      <c r="F28" s="2"/>
      <c r="G28" s="5"/>
      <c r="H28" s="2"/>
      <c r="I28" s="2"/>
      <c r="J28" s="2"/>
      <c r="K28" s="2"/>
      <c r="L28" s="2"/>
      <c r="M28" s="2"/>
      <c r="N28" s="2"/>
      <c r="O28" s="2"/>
      <c r="P28" s="2"/>
      <c r="Q28" s="2"/>
      <c r="R28" s="2"/>
      <c r="S28" s="2"/>
      <c r="T28" s="2"/>
      <c r="U28" s="2"/>
      <c r="V28" s="2"/>
      <c r="W28" s="2"/>
      <c r="X28" s="2"/>
      <c r="Y28" s="2"/>
      <c r="Z28" s="2" t="str">
        <f t="shared" si="0"/>
        <v/>
      </c>
      <c r="AA28" s="2" t="str">
        <f t="shared" si="1"/>
        <v/>
      </c>
      <c r="AB28" s="2" t="str">
        <f t="shared" si="2"/>
        <v/>
      </c>
      <c r="AC28" s="2" t="str">
        <f t="shared" si="3"/>
        <v>Walks with direction</v>
      </c>
      <c r="AD28" s="2"/>
      <c r="AE28" s="5"/>
      <c r="AF28" s="2"/>
      <c r="AG28" s="2"/>
      <c r="AH28" s="2"/>
      <c r="AI28" s="2"/>
    </row>
    <row r="29" spans="1:37">
      <c r="A29" s="2"/>
      <c r="B29" s="2"/>
      <c r="C29" s="2"/>
      <c r="D29" s="2"/>
      <c r="E29" s="5"/>
      <c r="F29" s="2"/>
      <c r="G29" s="5"/>
      <c r="H29" s="2"/>
      <c r="I29" s="2"/>
      <c r="J29" s="2"/>
      <c r="K29" s="2"/>
      <c r="L29" s="2"/>
      <c r="M29" s="2"/>
      <c r="N29" s="2"/>
      <c r="O29" s="2"/>
      <c r="P29" s="2"/>
      <c r="Q29" s="2"/>
      <c r="R29" s="2"/>
      <c r="S29" s="2"/>
      <c r="T29" s="2"/>
      <c r="U29" s="2"/>
      <c r="V29" s="2"/>
      <c r="W29" s="2"/>
      <c r="X29" s="2"/>
      <c r="Y29" s="2"/>
      <c r="Z29" s="2" t="str">
        <f t="shared" si="0"/>
        <v/>
      </c>
      <c r="AA29" s="2" t="str">
        <f t="shared" si="1"/>
        <v/>
      </c>
      <c r="AB29" s="2" t="str">
        <f t="shared" si="2"/>
        <v/>
      </c>
      <c r="AC29" s="2" t="str">
        <f t="shared" si="3"/>
        <v>Walks with direction</v>
      </c>
      <c r="AD29" s="2"/>
      <c r="AE29" s="5"/>
      <c r="AF29" s="2"/>
      <c r="AG29" s="2"/>
      <c r="AH29" s="2"/>
      <c r="AI29" s="2"/>
    </row>
    <row r="30" spans="1:37">
      <c r="A30" s="2"/>
      <c r="B30" s="2"/>
      <c r="C30" s="2"/>
      <c r="D30" s="2"/>
      <c r="E30" s="5"/>
      <c r="F30" s="2"/>
      <c r="G30" s="5"/>
      <c r="H30" s="2"/>
      <c r="I30" s="2"/>
      <c r="J30" s="2"/>
      <c r="K30" s="2"/>
      <c r="L30" s="2"/>
      <c r="M30" s="2"/>
      <c r="N30" s="2"/>
      <c r="O30" s="2"/>
      <c r="P30" s="2"/>
      <c r="Q30" s="2"/>
      <c r="R30" s="2"/>
      <c r="S30" s="2"/>
      <c r="T30" s="2"/>
      <c r="U30" s="2"/>
      <c r="V30" s="2"/>
      <c r="W30" s="2"/>
      <c r="X30" s="2"/>
      <c r="Y30" s="2"/>
      <c r="Z30" s="2" t="str">
        <f t="shared" si="0"/>
        <v/>
      </c>
      <c r="AA30" s="2" t="str">
        <f t="shared" si="1"/>
        <v/>
      </c>
      <c r="AB30" s="2" t="str">
        <f t="shared" si="2"/>
        <v/>
      </c>
      <c r="AC30" s="2" t="str">
        <f t="shared" si="3"/>
        <v>Walks with direction</v>
      </c>
      <c r="AD30" s="2"/>
      <c r="AE30" s="5"/>
      <c r="AF30" s="2"/>
      <c r="AG30" s="2"/>
      <c r="AH30" s="2"/>
      <c r="AI30" s="2"/>
    </row>
    <row r="31" spans="1:37">
      <c r="A31" s="2"/>
      <c r="B31" s="2"/>
      <c r="C31" s="2"/>
      <c r="D31" s="2"/>
      <c r="E31" s="5"/>
      <c r="F31" s="2"/>
      <c r="G31" s="5"/>
      <c r="H31" s="2"/>
      <c r="I31" s="2"/>
      <c r="J31" s="2"/>
      <c r="K31" s="2"/>
      <c r="L31" s="2"/>
      <c r="M31" s="2"/>
      <c r="N31" s="2"/>
      <c r="O31" s="2"/>
      <c r="P31" s="2"/>
      <c r="Q31" s="2"/>
      <c r="R31" s="2"/>
      <c r="S31" s="2"/>
      <c r="T31" s="2"/>
      <c r="U31" s="2"/>
      <c r="V31" s="2"/>
      <c r="W31" s="2"/>
      <c r="X31" s="2"/>
      <c r="Y31" s="2"/>
      <c r="Z31" s="2" t="str">
        <f t="shared" si="0"/>
        <v/>
      </c>
      <c r="AA31" s="2" t="str">
        <f t="shared" si="1"/>
        <v/>
      </c>
      <c r="AB31" s="2" t="str">
        <f t="shared" si="2"/>
        <v/>
      </c>
      <c r="AC31" s="2" t="str">
        <f t="shared" si="3"/>
        <v>Walks with direction</v>
      </c>
      <c r="AD31" s="2"/>
      <c r="AE31" s="5"/>
      <c r="AF31" s="2"/>
      <c r="AG31" s="2"/>
      <c r="AH31" s="2"/>
      <c r="AI31" s="2"/>
    </row>
    <row r="32" spans="1:37">
      <c r="A32" s="2"/>
      <c r="B32" s="2"/>
      <c r="C32" s="2"/>
      <c r="D32" s="2"/>
      <c r="E32" s="5"/>
      <c r="F32" s="2"/>
      <c r="G32" s="5"/>
      <c r="H32" s="2"/>
      <c r="I32" s="2"/>
      <c r="J32" s="2"/>
      <c r="K32" s="2"/>
      <c r="L32" s="2"/>
      <c r="M32" s="2"/>
      <c r="N32" s="2"/>
      <c r="O32" s="2"/>
      <c r="P32" s="2"/>
      <c r="Q32" s="2"/>
      <c r="R32" s="2"/>
      <c r="S32" s="2"/>
      <c r="T32" s="2"/>
      <c r="U32" s="2"/>
      <c r="V32" s="2"/>
      <c r="W32" s="2"/>
      <c r="X32" s="2"/>
      <c r="Y32" s="2"/>
      <c r="Z32" s="2" t="str">
        <f t="shared" si="0"/>
        <v/>
      </c>
      <c r="AA32" s="2" t="str">
        <f t="shared" si="1"/>
        <v/>
      </c>
      <c r="AB32" s="2" t="str">
        <f t="shared" si="2"/>
        <v/>
      </c>
      <c r="AC32" s="2" t="str">
        <f t="shared" si="3"/>
        <v>Walks with direction</v>
      </c>
      <c r="AD32" s="2"/>
      <c r="AE32" s="5"/>
      <c r="AF32" s="2"/>
      <c r="AG32" s="2"/>
      <c r="AH32" s="2"/>
      <c r="AI32" s="2"/>
    </row>
    <row r="33" spans="1:35">
      <c r="A33" s="2"/>
      <c r="B33" s="2"/>
      <c r="C33" s="2"/>
      <c r="D33" s="2"/>
      <c r="E33" s="5"/>
      <c r="F33" s="2"/>
      <c r="G33" s="5"/>
      <c r="H33" s="2"/>
      <c r="I33" s="2"/>
      <c r="J33" s="2"/>
      <c r="K33" s="2"/>
      <c r="L33" s="2"/>
      <c r="M33" s="2"/>
      <c r="N33" s="2"/>
      <c r="O33" s="2"/>
      <c r="P33" s="2"/>
      <c r="Q33" s="2"/>
      <c r="R33" s="2"/>
      <c r="S33" s="2"/>
      <c r="T33" s="2"/>
      <c r="U33" s="2"/>
      <c r="V33" s="2"/>
      <c r="W33" s="2"/>
      <c r="X33" s="2"/>
      <c r="Y33" s="2"/>
      <c r="Z33" s="2" t="str">
        <f t="shared" si="0"/>
        <v/>
      </c>
      <c r="AA33" s="2" t="str">
        <f t="shared" si="1"/>
        <v/>
      </c>
      <c r="AB33" s="2" t="str">
        <f t="shared" si="2"/>
        <v/>
      </c>
      <c r="AC33" s="2" t="str">
        <f t="shared" si="3"/>
        <v>Walks with direction</v>
      </c>
      <c r="AD33" s="2"/>
      <c r="AE33" s="5"/>
      <c r="AF33" s="2"/>
      <c r="AG33" s="2"/>
      <c r="AH33" s="2"/>
      <c r="AI33" s="2"/>
    </row>
    <row r="34" spans="1:35">
      <c r="A34" s="2"/>
      <c r="B34" s="2"/>
      <c r="C34" s="2"/>
      <c r="D34" s="2"/>
      <c r="E34" s="5"/>
      <c r="F34" s="2"/>
      <c r="G34" s="5"/>
      <c r="H34" s="2"/>
      <c r="I34" s="2"/>
      <c r="J34" s="2"/>
      <c r="K34" s="2"/>
      <c r="L34" s="2"/>
      <c r="M34" s="2"/>
      <c r="N34" s="2"/>
      <c r="O34" s="2"/>
      <c r="P34" s="2"/>
      <c r="Q34" s="2"/>
      <c r="R34" s="2"/>
      <c r="S34" s="2"/>
      <c r="T34" s="2"/>
      <c r="U34" s="2"/>
      <c r="V34" s="2"/>
      <c r="W34" s="2"/>
      <c r="X34" s="2"/>
      <c r="Y34" s="2"/>
      <c r="Z34" s="2" t="str">
        <f t="shared" si="0"/>
        <v/>
      </c>
      <c r="AA34" s="2" t="str">
        <f t="shared" si="1"/>
        <v/>
      </c>
      <c r="AB34" s="2" t="str">
        <f t="shared" si="2"/>
        <v/>
      </c>
      <c r="AC34" s="2" t="str">
        <f t="shared" si="3"/>
        <v>Walks with direction</v>
      </c>
      <c r="AD34" s="2"/>
      <c r="AE34" s="5"/>
      <c r="AF34" s="2"/>
      <c r="AG34" s="2"/>
      <c r="AH34" s="2"/>
      <c r="AI34" s="2"/>
    </row>
    <row r="35" spans="1:35">
      <c r="A35" s="2"/>
      <c r="B35" s="2"/>
      <c r="C35" s="2"/>
      <c r="D35" s="2"/>
      <c r="E35" s="5"/>
      <c r="F35" s="2"/>
      <c r="G35" s="5"/>
      <c r="H35" s="2"/>
      <c r="I35" s="2"/>
      <c r="J35" s="2"/>
      <c r="K35" s="2"/>
      <c r="L35" s="2"/>
      <c r="M35" s="2"/>
      <c r="N35" s="2"/>
      <c r="O35" s="2"/>
      <c r="P35" s="2"/>
      <c r="Q35" s="2"/>
      <c r="R35" s="2"/>
      <c r="S35" s="2"/>
      <c r="T35" s="2"/>
      <c r="U35" s="2"/>
      <c r="V35" s="2"/>
      <c r="W35" s="2"/>
      <c r="X35" s="2"/>
      <c r="Y35" s="2"/>
      <c r="Z35" s="2" t="str">
        <f t="shared" si="0"/>
        <v/>
      </c>
      <c r="AA35" s="2" t="str">
        <f t="shared" si="1"/>
        <v/>
      </c>
      <c r="AB35" s="2" t="str">
        <f t="shared" si="2"/>
        <v/>
      </c>
      <c r="AC35" s="2" t="str">
        <f t="shared" si="3"/>
        <v>Walks with direction</v>
      </c>
      <c r="AD35" s="2"/>
      <c r="AE35" s="5"/>
      <c r="AF35" s="2"/>
      <c r="AG35" s="2"/>
      <c r="AH35" s="2"/>
      <c r="AI35" s="2"/>
    </row>
    <row r="36" spans="1:35">
      <c r="A36" s="2"/>
      <c r="B36" s="2"/>
      <c r="C36" s="2"/>
      <c r="D36" s="2"/>
      <c r="E36" s="5"/>
      <c r="F36" s="2"/>
      <c r="G36" s="5"/>
      <c r="H36" s="2"/>
      <c r="I36" s="2"/>
      <c r="J36" s="2"/>
      <c r="K36" s="2"/>
      <c r="L36" s="2"/>
      <c r="M36" s="2"/>
      <c r="N36" s="2"/>
      <c r="O36" s="2"/>
      <c r="P36" s="2"/>
      <c r="Q36" s="2"/>
      <c r="R36" s="2"/>
      <c r="S36" s="2"/>
      <c r="T36" s="2"/>
      <c r="U36" s="2"/>
      <c r="V36" s="2"/>
      <c r="W36" s="2"/>
      <c r="X36" s="2"/>
      <c r="Y36" s="2"/>
      <c r="Z36" s="2" t="str">
        <f t="shared" si="0"/>
        <v/>
      </c>
      <c r="AA36" s="2" t="str">
        <f t="shared" si="1"/>
        <v/>
      </c>
      <c r="AB36" s="2" t="str">
        <f t="shared" si="2"/>
        <v/>
      </c>
      <c r="AC36" s="2" t="str">
        <f t="shared" si="3"/>
        <v>Walks with direction</v>
      </c>
      <c r="AD36" s="2"/>
      <c r="AE36" s="5"/>
      <c r="AF36" s="2"/>
      <c r="AG36" s="2"/>
      <c r="AH36" s="2"/>
      <c r="AI36" s="2"/>
    </row>
    <row r="37" spans="1:35">
      <c r="A37" s="2"/>
      <c r="B37" s="2"/>
      <c r="C37" s="2"/>
      <c r="D37" s="2"/>
      <c r="E37" s="5"/>
      <c r="F37" s="2"/>
      <c r="G37" s="5"/>
      <c r="H37" s="2"/>
      <c r="I37" s="2"/>
      <c r="J37" s="2"/>
      <c r="K37" s="2"/>
      <c r="L37" s="2"/>
      <c r="M37" s="2"/>
      <c r="N37" s="2"/>
      <c r="O37" s="2"/>
      <c r="P37" s="2"/>
      <c r="Q37" s="2"/>
      <c r="R37" s="2"/>
      <c r="S37" s="2"/>
      <c r="T37" s="2"/>
      <c r="U37" s="2"/>
      <c r="V37" s="2"/>
      <c r="W37" s="2"/>
      <c r="X37" s="2"/>
      <c r="Y37" s="2"/>
      <c r="Z37" s="2" t="str">
        <f t="shared" si="0"/>
        <v/>
      </c>
      <c r="AA37" s="2" t="str">
        <f t="shared" si="1"/>
        <v/>
      </c>
      <c r="AB37" s="2" t="str">
        <f t="shared" si="2"/>
        <v/>
      </c>
      <c r="AC37" s="2" t="str">
        <f t="shared" si="3"/>
        <v>Walks with direction</v>
      </c>
      <c r="AD37" s="2"/>
      <c r="AE37" s="5"/>
      <c r="AF37" s="2"/>
      <c r="AG37" s="2"/>
      <c r="AH37" s="2"/>
      <c r="AI37" s="2"/>
    </row>
    <row r="38" spans="1:35">
      <c r="A38" s="2"/>
      <c r="B38" s="2"/>
      <c r="C38" s="2"/>
      <c r="D38" s="2"/>
      <c r="E38" s="5"/>
      <c r="F38" s="2"/>
      <c r="G38" s="5"/>
      <c r="H38" s="2"/>
      <c r="I38" s="2"/>
      <c r="J38" s="2"/>
      <c r="K38" s="2"/>
      <c r="L38" s="2"/>
      <c r="M38" s="2"/>
      <c r="N38" s="2"/>
      <c r="O38" s="2"/>
      <c r="P38" s="2"/>
      <c r="Q38" s="2"/>
      <c r="R38" s="2"/>
      <c r="S38" s="2"/>
      <c r="T38" s="2"/>
      <c r="U38" s="2"/>
      <c r="V38" s="2"/>
      <c r="W38" s="2"/>
      <c r="X38" s="2"/>
      <c r="Y38" s="2"/>
      <c r="Z38" s="2" t="str">
        <f t="shared" si="0"/>
        <v/>
      </c>
      <c r="AA38" s="2" t="str">
        <f t="shared" si="1"/>
        <v/>
      </c>
      <c r="AB38" s="2" t="str">
        <f t="shared" si="2"/>
        <v/>
      </c>
      <c r="AC38" s="2" t="str">
        <f t="shared" si="3"/>
        <v>Walks with direction</v>
      </c>
      <c r="AD38" s="2"/>
      <c r="AE38" s="5"/>
      <c r="AF38" s="2"/>
      <c r="AG38" s="2"/>
      <c r="AH38" s="2"/>
      <c r="AI38" s="2"/>
    </row>
    <row r="39" spans="1:35">
      <c r="A39" s="2"/>
      <c r="B39" s="2"/>
      <c r="C39" s="2"/>
      <c r="D39" s="2"/>
      <c r="E39" s="5"/>
      <c r="F39" s="2"/>
      <c r="G39" s="5"/>
      <c r="H39" s="2"/>
      <c r="I39" s="2"/>
      <c r="J39" s="2"/>
      <c r="K39" s="2"/>
      <c r="L39" s="2"/>
      <c r="M39" s="2"/>
      <c r="N39" s="2"/>
      <c r="O39" s="2"/>
      <c r="P39" s="2"/>
      <c r="Q39" s="2"/>
      <c r="R39" s="2"/>
      <c r="S39" s="2"/>
      <c r="T39" s="2"/>
      <c r="U39" s="2"/>
      <c r="V39" s="2"/>
      <c r="W39" s="2"/>
      <c r="X39" s="2"/>
      <c r="Y39" s="2"/>
      <c r="Z39" s="2" t="str">
        <f t="shared" si="0"/>
        <v/>
      </c>
      <c r="AA39" s="2" t="str">
        <f t="shared" si="1"/>
        <v/>
      </c>
      <c r="AB39" s="2" t="str">
        <f t="shared" si="2"/>
        <v/>
      </c>
      <c r="AC39" s="2" t="str">
        <f t="shared" si="3"/>
        <v>Walks with direction</v>
      </c>
      <c r="AD39" s="2"/>
      <c r="AE39" s="5"/>
      <c r="AF39" s="2"/>
      <c r="AG39" s="2"/>
      <c r="AH39" s="2"/>
      <c r="AI39" s="2"/>
    </row>
    <row r="40" spans="1:35">
      <c r="A40" s="2"/>
      <c r="B40" s="2"/>
      <c r="C40" s="2"/>
      <c r="D40" s="2"/>
      <c r="E40" s="5"/>
      <c r="F40" s="2"/>
      <c r="G40" s="5"/>
      <c r="H40" s="2"/>
      <c r="I40" s="2"/>
      <c r="J40" s="2"/>
      <c r="K40" s="2"/>
      <c r="L40" s="2"/>
      <c r="M40" s="2"/>
      <c r="N40" s="2"/>
      <c r="O40" s="2"/>
      <c r="P40" s="2"/>
      <c r="Q40" s="2"/>
      <c r="R40" s="2"/>
      <c r="S40" s="2"/>
      <c r="T40" s="2"/>
      <c r="U40" s="2"/>
      <c r="V40" s="2"/>
      <c r="W40" s="2"/>
      <c r="X40" s="2"/>
      <c r="Y40" s="2"/>
      <c r="Z40" s="2" t="str">
        <f t="shared" si="0"/>
        <v/>
      </c>
      <c r="AA40" s="2" t="str">
        <f t="shared" si="1"/>
        <v/>
      </c>
      <c r="AB40" s="2" t="str">
        <f t="shared" si="2"/>
        <v/>
      </c>
      <c r="AC40" s="2" t="str">
        <f t="shared" si="3"/>
        <v>Walks with direction</v>
      </c>
      <c r="AD40" s="2"/>
      <c r="AE40" s="5"/>
      <c r="AF40" s="2"/>
      <c r="AG40" s="2"/>
      <c r="AH40" s="2"/>
      <c r="AI40" s="2"/>
    </row>
    <row r="41" spans="1:35">
      <c r="A41" s="2"/>
      <c r="B41" s="2"/>
      <c r="C41" s="2"/>
      <c r="D41" s="2"/>
      <c r="E41" s="5"/>
      <c r="F41" s="2"/>
      <c r="G41" s="5"/>
      <c r="H41" s="2"/>
      <c r="I41" s="2"/>
      <c r="J41" s="2"/>
      <c r="K41" s="2"/>
      <c r="L41" s="2"/>
      <c r="M41" s="2"/>
      <c r="N41" s="2"/>
      <c r="O41" s="2"/>
      <c r="P41" s="2"/>
      <c r="Q41" s="2"/>
      <c r="R41" s="2"/>
      <c r="S41" s="2"/>
      <c r="T41" s="2"/>
      <c r="U41" s="2"/>
      <c r="V41" s="2"/>
      <c r="W41" s="2"/>
      <c r="X41" s="2"/>
      <c r="Y41" s="2"/>
      <c r="Z41" s="2" t="str">
        <f t="shared" si="0"/>
        <v/>
      </c>
      <c r="AA41" s="2" t="str">
        <f t="shared" si="1"/>
        <v/>
      </c>
      <c r="AB41" s="2" t="str">
        <f t="shared" si="2"/>
        <v/>
      </c>
      <c r="AC41" s="2" t="str">
        <f t="shared" si="3"/>
        <v>Walks with direction</v>
      </c>
      <c r="AD41" s="2"/>
      <c r="AE41" s="5"/>
      <c r="AF41" s="2"/>
      <c r="AG41" s="2"/>
      <c r="AH41" s="2"/>
      <c r="AI41" s="2"/>
    </row>
    <row r="42" spans="1:35">
      <c r="A42" s="2"/>
      <c r="B42" s="2"/>
      <c r="C42" s="2"/>
      <c r="D42" s="2"/>
      <c r="E42" s="5"/>
      <c r="F42" s="2"/>
      <c r="G42" s="5"/>
      <c r="H42" s="2"/>
      <c r="I42" s="2"/>
      <c r="J42" s="2"/>
      <c r="K42" s="2"/>
      <c r="L42" s="2"/>
      <c r="M42" s="2"/>
      <c r="N42" s="2"/>
      <c r="O42" s="2"/>
      <c r="P42" s="2"/>
      <c r="Q42" s="2"/>
      <c r="R42" s="2"/>
      <c r="S42" s="2"/>
      <c r="T42" s="2"/>
      <c r="U42" s="2"/>
      <c r="V42" s="2"/>
      <c r="W42" s="2"/>
      <c r="X42" s="2"/>
      <c r="Y42" s="2"/>
      <c r="Z42" s="2" t="str">
        <f t="shared" si="0"/>
        <v/>
      </c>
      <c r="AA42" s="2" t="str">
        <f t="shared" si="1"/>
        <v/>
      </c>
      <c r="AB42" s="2" t="str">
        <f t="shared" si="2"/>
        <v/>
      </c>
      <c r="AC42" s="2" t="str">
        <f t="shared" si="3"/>
        <v>Walks with direction</v>
      </c>
      <c r="AD42" s="2"/>
      <c r="AE42" s="5"/>
      <c r="AF42" s="2"/>
      <c r="AG42" s="2"/>
      <c r="AH42" s="2"/>
      <c r="AI42" s="2"/>
    </row>
    <row r="43" spans="1:35">
      <c r="A43" s="2"/>
      <c r="B43" s="2"/>
      <c r="C43" s="2"/>
      <c r="D43" s="2"/>
      <c r="E43" s="5"/>
      <c r="F43" s="2"/>
      <c r="G43" s="5"/>
      <c r="H43" s="2"/>
      <c r="I43" s="2"/>
      <c r="J43" s="2"/>
      <c r="K43" s="2"/>
      <c r="L43" s="2"/>
      <c r="M43" s="2"/>
      <c r="N43" s="2"/>
      <c r="O43" s="2"/>
      <c r="P43" s="2"/>
      <c r="Q43" s="2"/>
      <c r="R43" s="2"/>
      <c r="S43" s="2"/>
      <c r="T43" s="2"/>
      <c r="U43" s="2"/>
      <c r="V43" s="2"/>
      <c r="W43" s="2"/>
      <c r="X43" s="2"/>
      <c r="Y43" s="2"/>
      <c r="Z43" s="2" t="str">
        <f t="shared" si="0"/>
        <v/>
      </c>
      <c r="AA43" s="2" t="str">
        <f t="shared" si="1"/>
        <v/>
      </c>
      <c r="AB43" s="2" t="str">
        <f t="shared" si="2"/>
        <v/>
      </c>
      <c r="AC43" s="2" t="str">
        <f t="shared" si="3"/>
        <v>Walks with direction</v>
      </c>
      <c r="AD43" s="2"/>
      <c r="AE43" s="5"/>
      <c r="AF43" s="2"/>
      <c r="AG43" s="2"/>
      <c r="AH43" s="2"/>
      <c r="AI43" s="2"/>
    </row>
    <row r="44" spans="1:35">
      <c r="A44" s="2"/>
      <c r="B44" s="2"/>
      <c r="C44" s="2"/>
      <c r="D44" s="2"/>
      <c r="E44" s="5"/>
      <c r="F44" s="2"/>
      <c r="G44" s="5"/>
      <c r="H44" s="2"/>
      <c r="I44" s="2"/>
      <c r="J44" s="2"/>
      <c r="K44" s="2"/>
      <c r="L44" s="2"/>
      <c r="M44" s="2"/>
      <c r="N44" s="2"/>
      <c r="O44" s="2"/>
      <c r="P44" s="2"/>
      <c r="Q44" s="2"/>
      <c r="R44" s="2"/>
      <c r="S44" s="2"/>
      <c r="T44" s="2"/>
      <c r="U44" s="2"/>
      <c r="V44" s="2"/>
      <c r="W44" s="2"/>
      <c r="X44" s="2"/>
      <c r="Y44" s="2"/>
      <c r="Z44" s="2" t="str">
        <f t="shared" si="0"/>
        <v/>
      </c>
      <c r="AA44" s="2" t="str">
        <f t="shared" si="1"/>
        <v/>
      </c>
      <c r="AB44" s="2" t="str">
        <f t="shared" si="2"/>
        <v/>
      </c>
      <c r="AC44" s="2" t="str">
        <f t="shared" si="3"/>
        <v>Walks with direction</v>
      </c>
      <c r="AD44" s="2"/>
      <c r="AE44" s="5"/>
      <c r="AF44" s="2"/>
      <c r="AG44" s="2"/>
      <c r="AH44" s="2"/>
      <c r="AI44" s="2"/>
    </row>
    <row r="45" spans="1:35">
      <c r="A45" s="2"/>
      <c r="B45" s="2"/>
      <c r="C45" s="2"/>
      <c r="D45" s="2"/>
      <c r="E45" s="5"/>
      <c r="F45" s="2"/>
      <c r="G45" s="5"/>
      <c r="H45" s="2"/>
      <c r="I45" s="2"/>
      <c r="J45" s="2"/>
      <c r="K45" s="2"/>
      <c r="L45" s="2"/>
      <c r="M45" s="2"/>
      <c r="N45" s="2"/>
      <c r="O45" s="2"/>
      <c r="P45" s="2"/>
      <c r="Q45" s="2"/>
      <c r="R45" s="2"/>
      <c r="S45" s="2"/>
      <c r="T45" s="2"/>
      <c r="U45" s="2"/>
      <c r="V45" s="2"/>
      <c r="W45" s="2"/>
      <c r="X45" s="2"/>
      <c r="Y45" s="2"/>
      <c r="Z45" s="2" t="str">
        <f t="shared" si="0"/>
        <v/>
      </c>
      <c r="AA45" s="2" t="str">
        <f t="shared" si="1"/>
        <v/>
      </c>
      <c r="AB45" s="2" t="str">
        <f t="shared" si="2"/>
        <v/>
      </c>
      <c r="AC45" s="2" t="str">
        <f t="shared" si="3"/>
        <v>Walks with direction</v>
      </c>
      <c r="AD45" s="2"/>
      <c r="AE45" s="5"/>
      <c r="AF45" s="2"/>
      <c r="AG45" s="2"/>
      <c r="AH45" s="2"/>
      <c r="AI45" s="2"/>
    </row>
    <row r="46" spans="1:35">
      <c r="A46" s="2"/>
      <c r="B46" s="2"/>
      <c r="C46" s="2"/>
      <c r="D46" s="2"/>
      <c r="E46" s="5"/>
      <c r="F46" s="2"/>
      <c r="G46" s="5"/>
      <c r="H46" s="2"/>
      <c r="I46" s="2"/>
      <c r="J46" s="2"/>
      <c r="K46" s="2"/>
      <c r="L46" s="2"/>
      <c r="M46" s="2"/>
      <c r="N46" s="2"/>
      <c r="O46" s="2"/>
      <c r="P46" s="2"/>
      <c r="Q46" s="2"/>
      <c r="R46" s="2"/>
      <c r="S46" s="2"/>
      <c r="T46" s="2"/>
      <c r="U46" s="2"/>
      <c r="V46" s="2"/>
      <c r="W46" s="2"/>
      <c r="X46" s="2"/>
      <c r="Y46" s="2"/>
      <c r="Z46" s="2" t="str">
        <f t="shared" si="0"/>
        <v/>
      </c>
      <c r="AA46" s="2" t="str">
        <f t="shared" si="1"/>
        <v/>
      </c>
      <c r="AB46" s="2" t="str">
        <f t="shared" si="2"/>
        <v/>
      </c>
      <c r="AC46" s="2" t="str">
        <f t="shared" si="3"/>
        <v>Walks with direction</v>
      </c>
      <c r="AD46" s="2"/>
      <c r="AE46" s="5"/>
      <c r="AF46" s="2"/>
      <c r="AG46" s="2"/>
      <c r="AH46" s="2"/>
      <c r="AI46" s="2"/>
    </row>
    <row r="47" spans="1:35">
      <c r="A47" s="2"/>
      <c r="B47" s="2"/>
      <c r="C47" s="2"/>
      <c r="D47" s="2"/>
      <c r="E47" s="5"/>
      <c r="F47" s="2"/>
      <c r="G47" s="5"/>
      <c r="H47" s="2"/>
      <c r="I47" s="2"/>
      <c r="J47" s="2"/>
      <c r="K47" s="2"/>
      <c r="L47" s="2"/>
      <c r="M47" s="2"/>
      <c r="N47" s="2"/>
      <c r="O47" s="2"/>
      <c r="P47" s="2"/>
      <c r="Q47" s="2"/>
      <c r="R47" s="2"/>
      <c r="S47" s="2"/>
      <c r="T47" s="2"/>
      <c r="U47" s="2"/>
      <c r="V47" s="2"/>
      <c r="W47" s="2"/>
      <c r="X47" s="2"/>
      <c r="Y47" s="2"/>
      <c r="Z47" s="2" t="str">
        <f t="shared" si="0"/>
        <v/>
      </c>
      <c r="AA47" s="2" t="str">
        <f t="shared" si="1"/>
        <v/>
      </c>
      <c r="AB47" s="2" t="str">
        <f t="shared" si="2"/>
        <v/>
      </c>
      <c r="AC47" s="2" t="str">
        <f t="shared" si="3"/>
        <v>Walks with direction</v>
      </c>
      <c r="AD47" s="2"/>
      <c r="AE47" s="5"/>
      <c r="AF47" s="2"/>
      <c r="AG47" s="2"/>
      <c r="AH47" s="2"/>
      <c r="AI47" s="2"/>
    </row>
    <row r="48" spans="1:35">
      <c r="A48" s="2"/>
      <c r="B48" s="2"/>
      <c r="C48" s="2"/>
      <c r="D48" s="2"/>
      <c r="E48" s="5"/>
      <c r="F48" s="2"/>
      <c r="G48" s="5"/>
      <c r="H48" s="2"/>
      <c r="I48" s="2"/>
      <c r="J48" s="2"/>
      <c r="K48" s="2"/>
      <c r="L48" s="2"/>
      <c r="M48" s="2"/>
      <c r="N48" s="2"/>
      <c r="O48" s="2"/>
      <c r="P48" s="2"/>
      <c r="Q48" s="2"/>
      <c r="R48" s="2"/>
      <c r="S48" s="2"/>
      <c r="T48" s="2"/>
      <c r="U48" s="2"/>
      <c r="V48" s="2"/>
      <c r="W48" s="2"/>
      <c r="X48" s="2"/>
      <c r="Y48" s="2"/>
      <c r="Z48" s="2" t="str">
        <f t="shared" si="0"/>
        <v/>
      </c>
      <c r="AA48" s="2" t="str">
        <f t="shared" si="1"/>
        <v/>
      </c>
      <c r="AB48" s="2" t="str">
        <f t="shared" si="2"/>
        <v/>
      </c>
      <c r="AC48" s="2" t="str">
        <f t="shared" si="3"/>
        <v>Walks with direction</v>
      </c>
      <c r="AD48" s="2"/>
      <c r="AE48" s="5"/>
      <c r="AF48" s="2"/>
      <c r="AG48" s="2"/>
      <c r="AH48" s="2"/>
      <c r="AI48" s="2"/>
    </row>
    <row r="49" spans="1:35">
      <c r="A49" s="2"/>
      <c r="B49" s="2"/>
      <c r="C49" s="2"/>
      <c r="D49" s="2"/>
      <c r="E49" s="5"/>
      <c r="F49" s="2"/>
      <c r="G49" s="5"/>
      <c r="H49" s="2"/>
      <c r="I49" s="2"/>
      <c r="J49" s="2"/>
      <c r="K49" s="2"/>
      <c r="L49" s="2"/>
      <c r="M49" s="2"/>
      <c r="N49" s="2"/>
      <c r="O49" s="2"/>
      <c r="P49" s="2"/>
      <c r="Q49" s="2"/>
      <c r="R49" s="2"/>
      <c r="S49" s="2"/>
      <c r="T49" s="2"/>
      <c r="U49" s="2"/>
      <c r="V49" s="2"/>
      <c r="W49" s="2"/>
      <c r="X49" s="2"/>
      <c r="Y49" s="2"/>
      <c r="Z49" s="2" t="str">
        <f t="shared" si="0"/>
        <v/>
      </c>
      <c r="AA49" s="2" t="str">
        <f t="shared" si="1"/>
        <v/>
      </c>
      <c r="AB49" s="2" t="str">
        <f t="shared" si="2"/>
        <v/>
      </c>
      <c r="AC49" s="2" t="str">
        <f t="shared" si="3"/>
        <v>Walks with direction</v>
      </c>
      <c r="AD49" s="2"/>
      <c r="AE49" s="5"/>
      <c r="AF49" s="2"/>
      <c r="AG49" s="2"/>
      <c r="AH49" s="2"/>
      <c r="AI49" s="2"/>
    </row>
    <row r="50" spans="1:35">
      <c r="A50" s="2"/>
      <c r="B50" s="2"/>
      <c r="C50" s="2"/>
      <c r="D50" s="2"/>
      <c r="E50" s="5"/>
      <c r="F50" s="2"/>
      <c r="G50" s="5"/>
      <c r="H50" s="2"/>
      <c r="I50" s="2"/>
      <c r="J50" s="2"/>
      <c r="K50" s="2"/>
      <c r="L50" s="2"/>
      <c r="M50" s="2"/>
      <c r="N50" s="2"/>
      <c r="O50" s="2"/>
      <c r="P50" s="2"/>
      <c r="Q50" s="2"/>
      <c r="R50" s="2"/>
      <c r="S50" s="2"/>
      <c r="T50" s="2"/>
      <c r="U50" s="2"/>
      <c r="V50" s="2"/>
      <c r="W50" s="2"/>
      <c r="X50" s="2"/>
      <c r="Y50" s="2"/>
      <c r="Z50" s="2" t="str">
        <f t="shared" ref="Z50:Z81" si="4">IF(COUNTA(H50:Y50)=0,"",IF(COUNTIF(H50:Y50,"Very High")&gt;0,"Very High",IF(COUNTIF(H50:Y50,"High")&gt;0,"High",IF(COUNTIF(H50:Y50,"Medium")&gt;0,"Medium","Low"))))</f>
        <v/>
      </c>
      <c r="AA50" s="2" t="str">
        <f t="shared" ref="AA50:AA81" si="5">IF(Z50="","",IF(Z50="Low","Routine planned support",IF(Z50="Medium","One staff support/supervision likely",IF(Z50="High","Two staff/review staffing and equipment","Manager review: multiple staff/specialist support"))))</f>
        <v/>
      </c>
      <c r="AB50" s="2" t="str">
        <f t="shared" ref="AB50:AB81" si="6">IF(Z50="","",IF(OR(Z50="High",Z50="Very High",W50="High",W50="Very High"),"Night staffing and evacuation review required","Routine night checks as per care plan"))</f>
        <v/>
      </c>
      <c r="AC50" s="2" t="str">
        <f t="shared" ref="AC50:AC81" si="7">IF(X50="Very High","Specialist PEEP / equipment",IF(OR(X50="High",Z50="High"),"Evacuation sheet/chair or wheelchair per PEEP",IF(OR(X50="Medium",Z50="Medium"),"Walking aid/wheelchair support per PEEP","Walks with direction")))</f>
        <v>Walks with direction</v>
      </c>
      <c r="AD50" s="2"/>
      <c r="AE50" s="5"/>
      <c r="AF50" s="2"/>
      <c r="AG50" s="2"/>
      <c r="AH50" s="2"/>
      <c r="AI50" s="2"/>
    </row>
    <row r="51" spans="1:35">
      <c r="A51" s="2"/>
      <c r="B51" s="2"/>
      <c r="C51" s="2"/>
      <c r="D51" s="2"/>
      <c r="E51" s="5"/>
      <c r="F51" s="2"/>
      <c r="G51" s="5"/>
      <c r="H51" s="2"/>
      <c r="I51" s="2"/>
      <c r="J51" s="2"/>
      <c r="K51" s="2"/>
      <c r="L51" s="2"/>
      <c r="M51" s="2"/>
      <c r="N51" s="2"/>
      <c r="O51" s="2"/>
      <c r="P51" s="2"/>
      <c r="Q51" s="2"/>
      <c r="R51" s="2"/>
      <c r="S51" s="2"/>
      <c r="T51" s="2"/>
      <c r="U51" s="2"/>
      <c r="V51" s="2"/>
      <c r="W51" s="2"/>
      <c r="X51" s="2"/>
      <c r="Y51" s="2"/>
      <c r="Z51" s="2" t="str">
        <f t="shared" si="4"/>
        <v/>
      </c>
      <c r="AA51" s="2" t="str">
        <f t="shared" si="5"/>
        <v/>
      </c>
      <c r="AB51" s="2" t="str">
        <f t="shared" si="6"/>
        <v/>
      </c>
      <c r="AC51" s="2" t="str">
        <f t="shared" si="7"/>
        <v>Walks with direction</v>
      </c>
      <c r="AD51" s="2"/>
      <c r="AE51" s="5"/>
      <c r="AF51" s="2"/>
      <c r="AG51" s="2"/>
      <c r="AH51" s="2"/>
      <c r="AI51" s="2"/>
    </row>
    <row r="52" spans="1:35">
      <c r="A52" s="2"/>
      <c r="B52" s="2"/>
      <c r="C52" s="2"/>
      <c r="D52" s="2"/>
      <c r="E52" s="5"/>
      <c r="F52" s="2"/>
      <c r="G52" s="5"/>
      <c r="H52" s="2"/>
      <c r="I52" s="2"/>
      <c r="J52" s="2"/>
      <c r="K52" s="2"/>
      <c r="L52" s="2"/>
      <c r="M52" s="2"/>
      <c r="N52" s="2"/>
      <c r="O52" s="2"/>
      <c r="P52" s="2"/>
      <c r="Q52" s="2"/>
      <c r="R52" s="2"/>
      <c r="S52" s="2"/>
      <c r="T52" s="2"/>
      <c r="U52" s="2"/>
      <c r="V52" s="2"/>
      <c r="W52" s="2"/>
      <c r="X52" s="2"/>
      <c r="Y52" s="2"/>
      <c r="Z52" s="2" t="str">
        <f t="shared" si="4"/>
        <v/>
      </c>
      <c r="AA52" s="2" t="str">
        <f t="shared" si="5"/>
        <v/>
      </c>
      <c r="AB52" s="2" t="str">
        <f t="shared" si="6"/>
        <v/>
      </c>
      <c r="AC52" s="2" t="str">
        <f t="shared" si="7"/>
        <v>Walks with direction</v>
      </c>
      <c r="AD52" s="2"/>
      <c r="AE52" s="5"/>
      <c r="AF52" s="2"/>
      <c r="AG52" s="2"/>
      <c r="AH52" s="2"/>
      <c r="AI52" s="2"/>
    </row>
    <row r="53" spans="1:35">
      <c r="A53" s="2"/>
      <c r="B53" s="2"/>
      <c r="C53" s="2"/>
      <c r="D53" s="2"/>
      <c r="E53" s="5"/>
      <c r="F53" s="2"/>
      <c r="G53" s="5"/>
      <c r="H53" s="2"/>
      <c r="I53" s="2"/>
      <c r="J53" s="2"/>
      <c r="K53" s="2"/>
      <c r="L53" s="2"/>
      <c r="M53" s="2"/>
      <c r="N53" s="2"/>
      <c r="O53" s="2"/>
      <c r="P53" s="2"/>
      <c r="Q53" s="2"/>
      <c r="R53" s="2"/>
      <c r="S53" s="2"/>
      <c r="T53" s="2"/>
      <c r="U53" s="2"/>
      <c r="V53" s="2"/>
      <c r="W53" s="2"/>
      <c r="X53" s="2"/>
      <c r="Y53" s="2"/>
      <c r="Z53" s="2" t="str">
        <f t="shared" si="4"/>
        <v/>
      </c>
      <c r="AA53" s="2" t="str">
        <f t="shared" si="5"/>
        <v/>
      </c>
      <c r="AB53" s="2" t="str">
        <f t="shared" si="6"/>
        <v/>
      </c>
      <c r="AC53" s="2" t="str">
        <f t="shared" si="7"/>
        <v>Walks with direction</v>
      </c>
      <c r="AD53" s="2"/>
      <c r="AE53" s="5"/>
      <c r="AF53" s="2"/>
      <c r="AG53" s="2"/>
      <c r="AH53" s="2"/>
      <c r="AI53" s="2"/>
    </row>
    <row r="54" spans="1:35">
      <c r="A54" s="2"/>
      <c r="B54" s="2"/>
      <c r="C54" s="2"/>
      <c r="D54" s="2"/>
      <c r="E54" s="5"/>
      <c r="F54" s="2"/>
      <c r="G54" s="5"/>
      <c r="H54" s="2"/>
      <c r="I54" s="2"/>
      <c r="J54" s="2"/>
      <c r="K54" s="2"/>
      <c r="L54" s="2"/>
      <c r="M54" s="2"/>
      <c r="N54" s="2"/>
      <c r="O54" s="2"/>
      <c r="P54" s="2"/>
      <c r="Q54" s="2"/>
      <c r="R54" s="2"/>
      <c r="S54" s="2"/>
      <c r="T54" s="2"/>
      <c r="U54" s="2"/>
      <c r="V54" s="2"/>
      <c r="W54" s="2"/>
      <c r="X54" s="2"/>
      <c r="Y54" s="2"/>
      <c r="Z54" s="2" t="str">
        <f t="shared" si="4"/>
        <v/>
      </c>
      <c r="AA54" s="2" t="str">
        <f t="shared" si="5"/>
        <v/>
      </c>
      <c r="AB54" s="2" t="str">
        <f t="shared" si="6"/>
        <v/>
      </c>
      <c r="AC54" s="2" t="str">
        <f t="shared" si="7"/>
        <v>Walks with direction</v>
      </c>
      <c r="AD54" s="2"/>
      <c r="AE54" s="5"/>
      <c r="AF54" s="2"/>
      <c r="AG54" s="2"/>
      <c r="AH54" s="2"/>
      <c r="AI54" s="2"/>
    </row>
    <row r="55" spans="1:35">
      <c r="A55" s="2"/>
      <c r="B55" s="2"/>
      <c r="C55" s="2"/>
      <c r="D55" s="2"/>
      <c r="E55" s="5"/>
      <c r="F55" s="2"/>
      <c r="G55" s="5"/>
      <c r="H55" s="2"/>
      <c r="I55" s="2"/>
      <c r="J55" s="2"/>
      <c r="K55" s="2"/>
      <c r="L55" s="2"/>
      <c r="M55" s="2"/>
      <c r="N55" s="2"/>
      <c r="O55" s="2"/>
      <c r="P55" s="2"/>
      <c r="Q55" s="2"/>
      <c r="R55" s="2"/>
      <c r="S55" s="2"/>
      <c r="T55" s="2"/>
      <c r="U55" s="2"/>
      <c r="V55" s="2"/>
      <c r="W55" s="2"/>
      <c r="X55" s="2"/>
      <c r="Y55" s="2"/>
      <c r="Z55" s="2" t="str">
        <f t="shared" si="4"/>
        <v/>
      </c>
      <c r="AA55" s="2" t="str">
        <f t="shared" si="5"/>
        <v/>
      </c>
      <c r="AB55" s="2" t="str">
        <f t="shared" si="6"/>
        <v/>
      </c>
      <c r="AC55" s="2" t="str">
        <f t="shared" si="7"/>
        <v>Walks with direction</v>
      </c>
      <c r="AD55" s="2"/>
      <c r="AE55" s="5"/>
      <c r="AF55" s="2"/>
      <c r="AG55" s="2"/>
      <c r="AH55" s="2"/>
      <c r="AI55" s="2"/>
    </row>
    <row r="56" spans="1:35">
      <c r="A56" s="2"/>
      <c r="B56" s="2"/>
      <c r="C56" s="2"/>
      <c r="D56" s="2"/>
      <c r="E56" s="5"/>
      <c r="F56" s="2"/>
      <c r="G56" s="5"/>
      <c r="H56" s="2"/>
      <c r="I56" s="2"/>
      <c r="J56" s="2"/>
      <c r="K56" s="2"/>
      <c r="L56" s="2"/>
      <c r="M56" s="2"/>
      <c r="N56" s="2"/>
      <c r="O56" s="2"/>
      <c r="P56" s="2"/>
      <c r="Q56" s="2"/>
      <c r="R56" s="2"/>
      <c r="S56" s="2"/>
      <c r="T56" s="2"/>
      <c r="U56" s="2"/>
      <c r="V56" s="2"/>
      <c r="W56" s="2"/>
      <c r="X56" s="2"/>
      <c r="Y56" s="2"/>
      <c r="Z56" s="2" t="str">
        <f t="shared" si="4"/>
        <v/>
      </c>
      <c r="AA56" s="2" t="str">
        <f t="shared" si="5"/>
        <v/>
      </c>
      <c r="AB56" s="2" t="str">
        <f t="shared" si="6"/>
        <v/>
      </c>
      <c r="AC56" s="2" t="str">
        <f t="shared" si="7"/>
        <v>Walks with direction</v>
      </c>
      <c r="AD56" s="2"/>
      <c r="AE56" s="5"/>
      <c r="AF56" s="2"/>
      <c r="AG56" s="2"/>
      <c r="AH56" s="2"/>
      <c r="AI56" s="2"/>
    </row>
    <row r="57" spans="1:35">
      <c r="A57" s="2"/>
      <c r="B57" s="2"/>
      <c r="C57" s="2"/>
      <c r="D57" s="2"/>
      <c r="E57" s="5"/>
      <c r="F57" s="2"/>
      <c r="G57" s="5"/>
      <c r="H57" s="2"/>
      <c r="I57" s="2"/>
      <c r="J57" s="2"/>
      <c r="K57" s="2"/>
      <c r="L57" s="2"/>
      <c r="M57" s="2"/>
      <c r="N57" s="2"/>
      <c r="O57" s="2"/>
      <c r="P57" s="2"/>
      <c r="Q57" s="2"/>
      <c r="R57" s="2"/>
      <c r="S57" s="2"/>
      <c r="T57" s="2"/>
      <c r="U57" s="2"/>
      <c r="V57" s="2"/>
      <c r="W57" s="2"/>
      <c r="X57" s="2"/>
      <c r="Y57" s="2"/>
      <c r="Z57" s="2" t="str">
        <f t="shared" si="4"/>
        <v/>
      </c>
      <c r="AA57" s="2" t="str">
        <f t="shared" si="5"/>
        <v/>
      </c>
      <c r="AB57" s="2" t="str">
        <f t="shared" si="6"/>
        <v/>
      </c>
      <c r="AC57" s="2" t="str">
        <f t="shared" si="7"/>
        <v>Walks with direction</v>
      </c>
      <c r="AD57" s="2"/>
      <c r="AE57" s="5"/>
      <c r="AF57" s="2"/>
      <c r="AG57" s="2"/>
      <c r="AH57" s="2"/>
      <c r="AI57" s="2"/>
    </row>
    <row r="58" spans="1:35">
      <c r="A58" s="2"/>
      <c r="B58" s="2"/>
      <c r="C58" s="2"/>
      <c r="D58" s="2"/>
      <c r="E58" s="5"/>
      <c r="F58" s="2"/>
      <c r="G58" s="5"/>
      <c r="H58" s="2"/>
      <c r="I58" s="2"/>
      <c r="J58" s="2"/>
      <c r="K58" s="2"/>
      <c r="L58" s="2"/>
      <c r="M58" s="2"/>
      <c r="N58" s="2"/>
      <c r="O58" s="2"/>
      <c r="P58" s="2"/>
      <c r="Q58" s="2"/>
      <c r="R58" s="2"/>
      <c r="S58" s="2"/>
      <c r="T58" s="2"/>
      <c r="U58" s="2"/>
      <c r="V58" s="2"/>
      <c r="W58" s="2"/>
      <c r="X58" s="2"/>
      <c r="Y58" s="2"/>
      <c r="Z58" s="2" t="str">
        <f t="shared" si="4"/>
        <v/>
      </c>
      <c r="AA58" s="2" t="str">
        <f t="shared" si="5"/>
        <v/>
      </c>
      <c r="AB58" s="2" t="str">
        <f t="shared" si="6"/>
        <v/>
      </c>
      <c r="AC58" s="2" t="str">
        <f t="shared" si="7"/>
        <v>Walks with direction</v>
      </c>
      <c r="AD58" s="2"/>
      <c r="AE58" s="5"/>
      <c r="AF58" s="2"/>
      <c r="AG58" s="2"/>
      <c r="AH58" s="2"/>
      <c r="AI58" s="2"/>
    </row>
    <row r="59" spans="1:35">
      <c r="A59" s="2"/>
      <c r="B59" s="2"/>
      <c r="C59" s="2"/>
      <c r="D59" s="2"/>
      <c r="E59" s="5"/>
      <c r="F59" s="2"/>
      <c r="G59" s="5"/>
      <c r="H59" s="2"/>
      <c r="I59" s="2"/>
      <c r="J59" s="2"/>
      <c r="K59" s="2"/>
      <c r="L59" s="2"/>
      <c r="M59" s="2"/>
      <c r="N59" s="2"/>
      <c r="O59" s="2"/>
      <c r="P59" s="2"/>
      <c r="Q59" s="2"/>
      <c r="R59" s="2"/>
      <c r="S59" s="2"/>
      <c r="T59" s="2"/>
      <c r="U59" s="2"/>
      <c r="V59" s="2"/>
      <c r="W59" s="2"/>
      <c r="X59" s="2"/>
      <c r="Y59" s="2"/>
      <c r="Z59" s="2" t="str">
        <f t="shared" si="4"/>
        <v/>
      </c>
      <c r="AA59" s="2" t="str">
        <f t="shared" si="5"/>
        <v/>
      </c>
      <c r="AB59" s="2" t="str">
        <f t="shared" si="6"/>
        <v/>
      </c>
      <c r="AC59" s="2" t="str">
        <f t="shared" si="7"/>
        <v>Walks with direction</v>
      </c>
      <c r="AD59" s="2"/>
      <c r="AE59" s="5"/>
      <c r="AF59" s="2"/>
      <c r="AG59" s="2"/>
      <c r="AH59" s="2"/>
      <c r="AI59" s="2"/>
    </row>
    <row r="60" spans="1:35">
      <c r="A60" s="2"/>
      <c r="B60" s="2"/>
      <c r="C60" s="2"/>
      <c r="D60" s="2"/>
      <c r="E60" s="5"/>
      <c r="F60" s="2"/>
      <c r="G60" s="5"/>
      <c r="H60" s="2"/>
      <c r="I60" s="2"/>
      <c r="J60" s="2"/>
      <c r="K60" s="2"/>
      <c r="L60" s="2"/>
      <c r="M60" s="2"/>
      <c r="N60" s="2"/>
      <c r="O60" s="2"/>
      <c r="P60" s="2"/>
      <c r="Q60" s="2"/>
      <c r="R60" s="2"/>
      <c r="S60" s="2"/>
      <c r="T60" s="2"/>
      <c r="U60" s="2"/>
      <c r="V60" s="2"/>
      <c r="W60" s="2"/>
      <c r="X60" s="2"/>
      <c r="Y60" s="2"/>
      <c r="Z60" s="2" t="str">
        <f t="shared" si="4"/>
        <v/>
      </c>
      <c r="AA60" s="2" t="str">
        <f t="shared" si="5"/>
        <v/>
      </c>
      <c r="AB60" s="2" t="str">
        <f t="shared" si="6"/>
        <v/>
      </c>
      <c r="AC60" s="2" t="str">
        <f t="shared" si="7"/>
        <v>Walks with direction</v>
      </c>
      <c r="AD60" s="2"/>
      <c r="AE60" s="5"/>
      <c r="AF60" s="2"/>
      <c r="AG60" s="2"/>
      <c r="AH60" s="2"/>
      <c r="AI60" s="2"/>
    </row>
    <row r="61" spans="1:35">
      <c r="A61" s="2"/>
      <c r="B61" s="2"/>
      <c r="C61" s="2"/>
      <c r="D61" s="2"/>
      <c r="E61" s="5"/>
      <c r="F61" s="2"/>
      <c r="G61" s="5"/>
      <c r="H61" s="2"/>
      <c r="I61" s="2"/>
      <c r="J61" s="2"/>
      <c r="K61" s="2"/>
      <c r="L61" s="2"/>
      <c r="M61" s="2"/>
      <c r="N61" s="2"/>
      <c r="O61" s="2"/>
      <c r="P61" s="2"/>
      <c r="Q61" s="2"/>
      <c r="R61" s="2"/>
      <c r="S61" s="2"/>
      <c r="T61" s="2"/>
      <c r="U61" s="2"/>
      <c r="V61" s="2"/>
      <c r="W61" s="2"/>
      <c r="X61" s="2"/>
      <c r="Y61" s="2"/>
      <c r="Z61" s="2" t="str">
        <f t="shared" si="4"/>
        <v/>
      </c>
      <c r="AA61" s="2" t="str">
        <f t="shared" si="5"/>
        <v/>
      </c>
      <c r="AB61" s="2" t="str">
        <f t="shared" si="6"/>
        <v/>
      </c>
      <c r="AC61" s="2" t="str">
        <f t="shared" si="7"/>
        <v>Walks with direction</v>
      </c>
      <c r="AD61" s="2"/>
      <c r="AE61" s="5"/>
      <c r="AF61" s="2"/>
      <c r="AG61" s="2"/>
      <c r="AH61" s="2"/>
      <c r="AI61" s="2"/>
    </row>
    <row r="62" spans="1:35">
      <c r="A62" s="2"/>
      <c r="B62" s="2"/>
      <c r="C62" s="2"/>
      <c r="D62" s="2"/>
      <c r="E62" s="5"/>
      <c r="F62" s="2"/>
      <c r="G62" s="5"/>
      <c r="H62" s="2"/>
      <c r="I62" s="2"/>
      <c r="J62" s="2"/>
      <c r="K62" s="2"/>
      <c r="L62" s="2"/>
      <c r="M62" s="2"/>
      <c r="N62" s="2"/>
      <c r="O62" s="2"/>
      <c r="P62" s="2"/>
      <c r="Q62" s="2"/>
      <c r="R62" s="2"/>
      <c r="S62" s="2"/>
      <c r="T62" s="2"/>
      <c r="U62" s="2"/>
      <c r="V62" s="2"/>
      <c r="W62" s="2"/>
      <c r="X62" s="2"/>
      <c r="Y62" s="2"/>
      <c r="Z62" s="2" t="str">
        <f t="shared" si="4"/>
        <v/>
      </c>
      <c r="AA62" s="2" t="str">
        <f t="shared" si="5"/>
        <v/>
      </c>
      <c r="AB62" s="2" t="str">
        <f t="shared" si="6"/>
        <v/>
      </c>
      <c r="AC62" s="2" t="str">
        <f t="shared" si="7"/>
        <v>Walks with direction</v>
      </c>
      <c r="AD62" s="2"/>
      <c r="AE62" s="5"/>
      <c r="AF62" s="2"/>
      <c r="AG62" s="2"/>
      <c r="AH62" s="2"/>
      <c r="AI62" s="2"/>
    </row>
    <row r="63" spans="1:35">
      <c r="A63" s="2"/>
      <c r="B63" s="2"/>
      <c r="C63" s="2"/>
      <c r="D63" s="2"/>
      <c r="E63" s="5"/>
      <c r="F63" s="2"/>
      <c r="G63" s="5"/>
      <c r="H63" s="2"/>
      <c r="I63" s="2"/>
      <c r="J63" s="2"/>
      <c r="K63" s="2"/>
      <c r="L63" s="2"/>
      <c r="M63" s="2"/>
      <c r="N63" s="2"/>
      <c r="O63" s="2"/>
      <c r="P63" s="2"/>
      <c r="Q63" s="2"/>
      <c r="R63" s="2"/>
      <c r="S63" s="2"/>
      <c r="T63" s="2"/>
      <c r="U63" s="2"/>
      <c r="V63" s="2"/>
      <c r="W63" s="2"/>
      <c r="X63" s="2"/>
      <c r="Y63" s="2"/>
      <c r="Z63" s="2" t="str">
        <f t="shared" si="4"/>
        <v/>
      </c>
      <c r="AA63" s="2" t="str">
        <f t="shared" si="5"/>
        <v/>
      </c>
      <c r="AB63" s="2" t="str">
        <f t="shared" si="6"/>
        <v/>
      </c>
      <c r="AC63" s="2" t="str">
        <f t="shared" si="7"/>
        <v>Walks with direction</v>
      </c>
      <c r="AD63" s="2"/>
      <c r="AE63" s="5"/>
      <c r="AF63" s="2"/>
      <c r="AG63" s="2"/>
      <c r="AH63" s="2"/>
      <c r="AI63" s="2"/>
    </row>
    <row r="64" spans="1:35">
      <c r="A64" s="2"/>
      <c r="B64" s="2"/>
      <c r="C64" s="2"/>
      <c r="D64" s="2"/>
      <c r="E64" s="5"/>
      <c r="F64" s="2"/>
      <c r="G64" s="5"/>
      <c r="H64" s="2"/>
      <c r="I64" s="2"/>
      <c r="J64" s="2"/>
      <c r="K64" s="2"/>
      <c r="L64" s="2"/>
      <c r="M64" s="2"/>
      <c r="N64" s="2"/>
      <c r="O64" s="2"/>
      <c r="P64" s="2"/>
      <c r="Q64" s="2"/>
      <c r="R64" s="2"/>
      <c r="S64" s="2"/>
      <c r="T64" s="2"/>
      <c r="U64" s="2"/>
      <c r="V64" s="2"/>
      <c r="W64" s="2"/>
      <c r="X64" s="2"/>
      <c r="Y64" s="2"/>
      <c r="Z64" s="2" t="str">
        <f t="shared" si="4"/>
        <v/>
      </c>
      <c r="AA64" s="2" t="str">
        <f t="shared" si="5"/>
        <v/>
      </c>
      <c r="AB64" s="2" t="str">
        <f t="shared" si="6"/>
        <v/>
      </c>
      <c r="AC64" s="2" t="str">
        <f t="shared" si="7"/>
        <v>Walks with direction</v>
      </c>
      <c r="AD64" s="2"/>
      <c r="AE64" s="5"/>
      <c r="AF64" s="2"/>
      <c r="AG64" s="2"/>
      <c r="AH64" s="2"/>
      <c r="AI64" s="2"/>
    </row>
    <row r="65" spans="1:35">
      <c r="A65" s="2"/>
      <c r="B65" s="2"/>
      <c r="C65" s="2"/>
      <c r="D65" s="2"/>
      <c r="E65" s="5"/>
      <c r="F65" s="2"/>
      <c r="G65" s="5"/>
      <c r="H65" s="2"/>
      <c r="I65" s="2"/>
      <c r="J65" s="2"/>
      <c r="K65" s="2"/>
      <c r="L65" s="2"/>
      <c r="M65" s="2"/>
      <c r="N65" s="2"/>
      <c r="O65" s="2"/>
      <c r="P65" s="2"/>
      <c r="Q65" s="2"/>
      <c r="R65" s="2"/>
      <c r="S65" s="2"/>
      <c r="T65" s="2"/>
      <c r="U65" s="2"/>
      <c r="V65" s="2"/>
      <c r="W65" s="2"/>
      <c r="X65" s="2"/>
      <c r="Y65" s="2"/>
      <c r="Z65" s="2" t="str">
        <f t="shared" si="4"/>
        <v/>
      </c>
      <c r="AA65" s="2" t="str">
        <f t="shared" si="5"/>
        <v/>
      </c>
      <c r="AB65" s="2" t="str">
        <f t="shared" si="6"/>
        <v/>
      </c>
      <c r="AC65" s="2" t="str">
        <f t="shared" si="7"/>
        <v>Walks with direction</v>
      </c>
      <c r="AD65" s="2"/>
      <c r="AE65" s="5"/>
      <c r="AF65" s="2"/>
      <c r="AG65" s="2"/>
      <c r="AH65" s="2"/>
      <c r="AI65" s="2"/>
    </row>
    <row r="66" spans="1:35">
      <c r="A66" s="2"/>
      <c r="B66" s="2"/>
      <c r="C66" s="2"/>
      <c r="D66" s="2"/>
      <c r="E66" s="5"/>
      <c r="F66" s="2"/>
      <c r="G66" s="5"/>
      <c r="H66" s="2"/>
      <c r="I66" s="2"/>
      <c r="J66" s="2"/>
      <c r="K66" s="2"/>
      <c r="L66" s="2"/>
      <c r="M66" s="2"/>
      <c r="N66" s="2"/>
      <c r="O66" s="2"/>
      <c r="P66" s="2"/>
      <c r="Q66" s="2"/>
      <c r="R66" s="2"/>
      <c r="S66" s="2"/>
      <c r="T66" s="2"/>
      <c r="U66" s="2"/>
      <c r="V66" s="2"/>
      <c r="W66" s="2"/>
      <c r="X66" s="2"/>
      <c r="Y66" s="2"/>
      <c r="Z66" s="2" t="str">
        <f t="shared" si="4"/>
        <v/>
      </c>
      <c r="AA66" s="2" t="str">
        <f t="shared" si="5"/>
        <v/>
      </c>
      <c r="AB66" s="2" t="str">
        <f t="shared" si="6"/>
        <v/>
      </c>
      <c r="AC66" s="2" t="str">
        <f t="shared" si="7"/>
        <v>Walks with direction</v>
      </c>
      <c r="AD66" s="2"/>
      <c r="AE66" s="5"/>
      <c r="AF66" s="2"/>
      <c r="AG66" s="2"/>
      <c r="AH66" s="2"/>
      <c r="AI66" s="2"/>
    </row>
    <row r="67" spans="1:35">
      <c r="A67" s="2"/>
      <c r="B67" s="2"/>
      <c r="C67" s="2"/>
      <c r="D67" s="2"/>
      <c r="E67" s="5"/>
      <c r="F67" s="2"/>
      <c r="G67" s="5"/>
      <c r="H67" s="2"/>
      <c r="I67" s="2"/>
      <c r="J67" s="2"/>
      <c r="K67" s="2"/>
      <c r="L67" s="2"/>
      <c r="M67" s="2"/>
      <c r="N67" s="2"/>
      <c r="O67" s="2"/>
      <c r="P67" s="2"/>
      <c r="Q67" s="2"/>
      <c r="R67" s="2"/>
      <c r="S67" s="2"/>
      <c r="T67" s="2"/>
      <c r="U67" s="2"/>
      <c r="V67" s="2"/>
      <c r="W67" s="2"/>
      <c r="X67" s="2"/>
      <c r="Y67" s="2"/>
      <c r="Z67" s="2" t="str">
        <f t="shared" si="4"/>
        <v/>
      </c>
      <c r="AA67" s="2" t="str">
        <f t="shared" si="5"/>
        <v/>
      </c>
      <c r="AB67" s="2" t="str">
        <f t="shared" si="6"/>
        <v/>
      </c>
      <c r="AC67" s="2" t="str">
        <f t="shared" si="7"/>
        <v>Walks with direction</v>
      </c>
      <c r="AD67" s="2"/>
      <c r="AE67" s="5"/>
      <c r="AF67" s="2"/>
      <c r="AG67" s="2"/>
      <c r="AH67" s="2"/>
      <c r="AI67" s="2"/>
    </row>
    <row r="68" spans="1:35">
      <c r="A68" s="2"/>
      <c r="B68" s="2"/>
      <c r="C68" s="2"/>
      <c r="D68" s="2"/>
      <c r="E68" s="5"/>
      <c r="F68" s="2"/>
      <c r="G68" s="5"/>
      <c r="H68" s="2"/>
      <c r="I68" s="2"/>
      <c r="J68" s="2"/>
      <c r="K68" s="2"/>
      <c r="L68" s="2"/>
      <c r="M68" s="2"/>
      <c r="N68" s="2"/>
      <c r="O68" s="2"/>
      <c r="P68" s="2"/>
      <c r="Q68" s="2"/>
      <c r="R68" s="2"/>
      <c r="S68" s="2"/>
      <c r="T68" s="2"/>
      <c r="U68" s="2"/>
      <c r="V68" s="2"/>
      <c r="W68" s="2"/>
      <c r="X68" s="2"/>
      <c r="Y68" s="2"/>
      <c r="Z68" s="2" t="str">
        <f t="shared" si="4"/>
        <v/>
      </c>
      <c r="AA68" s="2" t="str">
        <f t="shared" si="5"/>
        <v/>
      </c>
      <c r="AB68" s="2" t="str">
        <f t="shared" si="6"/>
        <v/>
      </c>
      <c r="AC68" s="2" t="str">
        <f t="shared" si="7"/>
        <v>Walks with direction</v>
      </c>
      <c r="AD68" s="2"/>
      <c r="AE68" s="5"/>
      <c r="AF68" s="2"/>
      <c r="AG68" s="2"/>
      <c r="AH68" s="2"/>
      <c r="AI68" s="2"/>
    </row>
    <row r="69" spans="1:35">
      <c r="A69" s="2"/>
      <c r="B69" s="2"/>
      <c r="C69" s="2"/>
      <c r="D69" s="2"/>
      <c r="E69" s="5"/>
      <c r="F69" s="2"/>
      <c r="G69" s="5"/>
      <c r="H69" s="2"/>
      <c r="I69" s="2"/>
      <c r="J69" s="2"/>
      <c r="K69" s="2"/>
      <c r="L69" s="2"/>
      <c r="M69" s="2"/>
      <c r="N69" s="2"/>
      <c r="O69" s="2"/>
      <c r="P69" s="2"/>
      <c r="Q69" s="2"/>
      <c r="R69" s="2"/>
      <c r="S69" s="2"/>
      <c r="T69" s="2"/>
      <c r="U69" s="2"/>
      <c r="V69" s="2"/>
      <c r="W69" s="2"/>
      <c r="X69" s="2"/>
      <c r="Y69" s="2"/>
      <c r="Z69" s="2" t="str">
        <f t="shared" si="4"/>
        <v/>
      </c>
      <c r="AA69" s="2" t="str">
        <f t="shared" si="5"/>
        <v/>
      </c>
      <c r="AB69" s="2" t="str">
        <f t="shared" si="6"/>
        <v/>
      </c>
      <c r="AC69" s="2" t="str">
        <f t="shared" si="7"/>
        <v>Walks with direction</v>
      </c>
      <c r="AD69" s="2"/>
      <c r="AE69" s="5"/>
      <c r="AF69" s="2"/>
      <c r="AG69" s="2"/>
      <c r="AH69" s="2"/>
      <c r="AI69" s="2"/>
    </row>
    <row r="70" spans="1:35">
      <c r="A70" s="2"/>
      <c r="B70" s="2"/>
      <c r="C70" s="2"/>
      <c r="D70" s="2"/>
      <c r="E70" s="5"/>
      <c r="F70" s="2"/>
      <c r="G70" s="5"/>
      <c r="H70" s="2"/>
      <c r="I70" s="2"/>
      <c r="J70" s="2"/>
      <c r="K70" s="2"/>
      <c r="L70" s="2"/>
      <c r="M70" s="2"/>
      <c r="N70" s="2"/>
      <c r="O70" s="2"/>
      <c r="P70" s="2"/>
      <c r="Q70" s="2"/>
      <c r="R70" s="2"/>
      <c r="S70" s="2"/>
      <c r="T70" s="2"/>
      <c r="U70" s="2"/>
      <c r="V70" s="2"/>
      <c r="W70" s="2"/>
      <c r="X70" s="2"/>
      <c r="Y70" s="2"/>
      <c r="Z70" s="2" t="str">
        <f t="shared" si="4"/>
        <v/>
      </c>
      <c r="AA70" s="2" t="str">
        <f t="shared" si="5"/>
        <v/>
      </c>
      <c r="AB70" s="2" t="str">
        <f t="shared" si="6"/>
        <v/>
      </c>
      <c r="AC70" s="2" t="str">
        <f t="shared" si="7"/>
        <v>Walks with direction</v>
      </c>
      <c r="AD70" s="2"/>
      <c r="AE70" s="5"/>
      <c r="AF70" s="2"/>
      <c r="AG70" s="2"/>
      <c r="AH70" s="2"/>
      <c r="AI70" s="2"/>
    </row>
    <row r="71" spans="1:35">
      <c r="A71" s="2"/>
      <c r="B71" s="2"/>
      <c r="C71" s="2"/>
      <c r="D71" s="2"/>
      <c r="E71" s="5"/>
      <c r="F71" s="2"/>
      <c r="G71" s="5"/>
      <c r="H71" s="2"/>
      <c r="I71" s="2"/>
      <c r="J71" s="2"/>
      <c r="K71" s="2"/>
      <c r="L71" s="2"/>
      <c r="M71" s="2"/>
      <c r="N71" s="2"/>
      <c r="O71" s="2"/>
      <c r="P71" s="2"/>
      <c r="Q71" s="2"/>
      <c r="R71" s="2"/>
      <c r="S71" s="2"/>
      <c r="T71" s="2"/>
      <c r="U71" s="2"/>
      <c r="V71" s="2"/>
      <c r="W71" s="2"/>
      <c r="X71" s="2"/>
      <c r="Y71" s="2"/>
      <c r="Z71" s="2" t="str">
        <f t="shared" si="4"/>
        <v/>
      </c>
      <c r="AA71" s="2" t="str">
        <f t="shared" si="5"/>
        <v/>
      </c>
      <c r="AB71" s="2" t="str">
        <f t="shared" si="6"/>
        <v/>
      </c>
      <c r="AC71" s="2" t="str">
        <f t="shared" si="7"/>
        <v>Walks with direction</v>
      </c>
      <c r="AD71" s="2"/>
      <c r="AE71" s="5"/>
      <c r="AF71" s="2"/>
      <c r="AG71" s="2"/>
      <c r="AH71" s="2"/>
      <c r="AI71" s="2"/>
    </row>
    <row r="72" spans="1:35">
      <c r="A72" s="2"/>
      <c r="B72" s="2"/>
      <c r="C72" s="2"/>
      <c r="D72" s="2"/>
      <c r="E72" s="5"/>
      <c r="F72" s="2"/>
      <c r="G72" s="5"/>
      <c r="H72" s="2"/>
      <c r="I72" s="2"/>
      <c r="J72" s="2"/>
      <c r="K72" s="2"/>
      <c r="L72" s="2"/>
      <c r="M72" s="2"/>
      <c r="N72" s="2"/>
      <c r="O72" s="2"/>
      <c r="P72" s="2"/>
      <c r="Q72" s="2"/>
      <c r="R72" s="2"/>
      <c r="S72" s="2"/>
      <c r="T72" s="2"/>
      <c r="U72" s="2"/>
      <c r="V72" s="2"/>
      <c r="W72" s="2"/>
      <c r="X72" s="2"/>
      <c r="Y72" s="2"/>
      <c r="Z72" s="2" t="str">
        <f t="shared" si="4"/>
        <v/>
      </c>
      <c r="AA72" s="2" t="str">
        <f t="shared" si="5"/>
        <v/>
      </c>
      <c r="AB72" s="2" t="str">
        <f t="shared" si="6"/>
        <v/>
      </c>
      <c r="AC72" s="2" t="str">
        <f t="shared" si="7"/>
        <v>Walks with direction</v>
      </c>
      <c r="AD72" s="2"/>
      <c r="AE72" s="5"/>
      <c r="AF72" s="2"/>
      <c r="AG72" s="2"/>
      <c r="AH72" s="2"/>
      <c r="AI72" s="2"/>
    </row>
    <row r="73" spans="1:35">
      <c r="A73" s="2"/>
      <c r="B73" s="2"/>
      <c r="C73" s="2"/>
      <c r="D73" s="2"/>
      <c r="E73" s="5"/>
      <c r="F73" s="2"/>
      <c r="G73" s="5"/>
      <c r="H73" s="2"/>
      <c r="I73" s="2"/>
      <c r="J73" s="2"/>
      <c r="K73" s="2"/>
      <c r="L73" s="2"/>
      <c r="M73" s="2"/>
      <c r="N73" s="2"/>
      <c r="O73" s="2"/>
      <c r="P73" s="2"/>
      <c r="Q73" s="2"/>
      <c r="R73" s="2"/>
      <c r="S73" s="2"/>
      <c r="T73" s="2"/>
      <c r="U73" s="2"/>
      <c r="V73" s="2"/>
      <c r="W73" s="2"/>
      <c r="X73" s="2"/>
      <c r="Y73" s="2"/>
      <c r="Z73" s="2" t="str">
        <f t="shared" si="4"/>
        <v/>
      </c>
      <c r="AA73" s="2" t="str">
        <f t="shared" si="5"/>
        <v/>
      </c>
      <c r="AB73" s="2" t="str">
        <f t="shared" si="6"/>
        <v/>
      </c>
      <c r="AC73" s="2" t="str">
        <f t="shared" si="7"/>
        <v>Walks with direction</v>
      </c>
      <c r="AD73" s="2"/>
      <c r="AE73" s="5"/>
      <c r="AF73" s="2"/>
      <c r="AG73" s="2"/>
      <c r="AH73" s="2"/>
      <c r="AI73" s="2"/>
    </row>
    <row r="74" spans="1:35">
      <c r="A74" s="2"/>
      <c r="B74" s="2"/>
      <c r="C74" s="2"/>
      <c r="D74" s="2"/>
      <c r="E74" s="5"/>
      <c r="F74" s="2"/>
      <c r="G74" s="5"/>
      <c r="H74" s="2"/>
      <c r="I74" s="2"/>
      <c r="J74" s="2"/>
      <c r="K74" s="2"/>
      <c r="L74" s="2"/>
      <c r="M74" s="2"/>
      <c r="N74" s="2"/>
      <c r="O74" s="2"/>
      <c r="P74" s="2"/>
      <c r="Q74" s="2"/>
      <c r="R74" s="2"/>
      <c r="S74" s="2"/>
      <c r="T74" s="2"/>
      <c r="U74" s="2"/>
      <c r="V74" s="2"/>
      <c r="W74" s="2"/>
      <c r="X74" s="2"/>
      <c r="Y74" s="2"/>
      <c r="Z74" s="2" t="str">
        <f t="shared" si="4"/>
        <v/>
      </c>
      <c r="AA74" s="2" t="str">
        <f t="shared" si="5"/>
        <v/>
      </c>
      <c r="AB74" s="2" t="str">
        <f t="shared" si="6"/>
        <v/>
      </c>
      <c r="AC74" s="2" t="str">
        <f t="shared" si="7"/>
        <v>Walks with direction</v>
      </c>
      <c r="AD74" s="2"/>
      <c r="AE74" s="5"/>
      <c r="AF74" s="2"/>
      <c r="AG74" s="2"/>
      <c r="AH74" s="2"/>
      <c r="AI74" s="2"/>
    </row>
    <row r="75" spans="1:35">
      <c r="A75" s="2"/>
      <c r="B75" s="2"/>
      <c r="C75" s="2"/>
      <c r="D75" s="2"/>
      <c r="E75" s="5"/>
      <c r="F75" s="2"/>
      <c r="G75" s="5"/>
      <c r="H75" s="2"/>
      <c r="I75" s="2"/>
      <c r="J75" s="2"/>
      <c r="K75" s="2"/>
      <c r="L75" s="2"/>
      <c r="M75" s="2"/>
      <c r="N75" s="2"/>
      <c r="O75" s="2"/>
      <c r="P75" s="2"/>
      <c r="Q75" s="2"/>
      <c r="R75" s="2"/>
      <c r="S75" s="2"/>
      <c r="T75" s="2"/>
      <c r="U75" s="2"/>
      <c r="V75" s="2"/>
      <c r="W75" s="2"/>
      <c r="X75" s="2"/>
      <c r="Y75" s="2"/>
      <c r="Z75" s="2" t="str">
        <f t="shared" si="4"/>
        <v/>
      </c>
      <c r="AA75" s="2" t="str">
        <f t="shared" si="5"/>
        <v/>
      </c>
      <c r="AB75" s="2" t="str">
        <f t="shared" si="6"/>
        <v/>
      </c>
      <c r="AC75" s="2" t="str">
        <f t="shared" si="7"/>
        <v>Walks with direction</v>
      </c>
      <c r="AD75" s="2"/>
      <c r="AE75" s="5"/>
      <c r="AF75" s="2"/>
      <c r="AG75" s="2"/>
      <c r="AH75" s="2"/>
      <c r="AI75" s="2"/>
    </row>
    <row r="76" spans="1:35">
      <c r="A76" s="2"/>
      <c r="B76" s="2"/>
      <c r="C76" s="2"/>
      <c r="D76" s="2"/>
      <c r="E76" s="5"/>
      <c r="F76" s="2"/>
      <c r="G76" s="5"/>
      <c r="H76" s="2"/>
      <c r="I76" s="2"/>
      <c r="J76" s="2"/>
      <c r="K76" s="2"/>
      <c r="L76" s="2"/>
      <c r="M76" s="2"/>
      <c r="N76" s="2"/>
      <c r="O76" s="2"/>
      <c r="P76" s="2"/>
      <c r="Q76" s="2"/>
      <c r="R76" s="2"/>
      <c r="S76" s="2"/>
      <c r="T76" s="2"/>
      <c r="U76" s="2"/>
      <c r="V76" s="2"/>
      <c r="W76" s="2"/>
      <c r="X76" s="2"/>
      <c r="Y76" s="2"/>
      <c r="Z76" s="2" t="str">
        <f t="shared" si="4"/>
        <v/>
      </c>
      <c r="AA76" s="2" t="str">
        <f t="shared" si="5"/>
        <v/>
      </c>
      <c r="AB76" s="2" t="str">
        <f t="shared" si="6"/>
        <v/>
      </c>
      <c r="AC76" s="2" t="str">
        <f t="shared" si="7"/>
        <v>Walks with direction</v>
      </c>
      <c r="AD76" s="2"/>
      <c r="AE76" s="5"/>
      <c r="AF76" s="2"/>
      <c r="AG76" s="2"/>
      <c r="AH76" s="2"/>
      <c r="AI76" s="2"/>
    </row>
    <row r="77" spans="1:35">
      <c r="A77" s="2"/>
      <c r="B77" s="2"/>
      <c r="C77" s="2"/>
      <c r="D77" s="2"/>
      <c r="E77" s="5"/>
      <c r="F77" s="2"/>
      <c r="G77" s="5"/>
      <c r="H77" s="2"/>
      <c r="I77" s="2"/>
      <c r="J77" s="2"/>
      <c r="K77" s="2"/>
      <c r="L77" s="2"/>
      <c r="M77" s="2"/>
      <c r="N77" s="2"/>
      <c r="O77" s="2"/>
      <c r="P77" s="2"/>
      <c r="Q77" s="2"/>
      <c r="R77" s="2"/>
      <c r="S77" s="2"/>
      <c r="T77" s="2"/>
      <c r="U77" s="2"/>
      <c r="V77" s="2"/>
      <c r="W77" s="2"/>
      <c r="X77" s="2"/>
      <c r="Y77" s="2"/>
      <c r="Z77" s="2" t="str">
        <f t="shared" si="4"/>
        <v/>
      </c>
      <c r="AA77" s="2" t="str">
        <f t="shared" si="5"/>
        <v/>
      </c>
      <c r="AB77" s="2" t="str">
        <f t="shared" si="6"/>
        <v/>
      </c>
      <c r="AC77" s="2" t="str">
        <f t="shared" si="7"/>
        <v>Walks with direction</v>
      </c>
      <c r="AD77" s="2"/>
      <c r="AE77" s="5"/>
      <c r="AF77" s="2"/>
      <c r="AG77" s="2"/>
      <c r="AH77" s="2"/>
      <c r="AI77" s="2"/>
    </row>
    <row r="78" spans="1:35">
      <c r="A78" s="2"/>
      <c r="B78" s="2"/>
      <c r="C78" s="2"/>
      <c r="D78" s="2"/>
      <c r="E78" s="5"/>
      <c r="F78" s="2"/>
      <c r="G78" s="5"/>
      <c r="H78" s="2"/>
      <c r="I78" s="2"/>
      <c r="J78" s="2"/>
      <c r="K78" s="2"/>
      <c r="L78" s="2"/>
      <c r="M78" s="2"/>
      <c r="N78" s="2"/>
      <c r="O78" s="2"/>
      <c r="P78" s="2"/>
      <c r="Q78" s="2"/>
      <c r="R78" s="2"/>
      <c r="S78" s="2"/>
      <c r="T78" s="2"/>
      <c r="U78" s="2"/>
      <c r="V78" s="2"/>
      <c r="W78" s="2"/>
      <c r="X78" s="2"/>
      <c r="Y78" s="2"/>
      <c r="Z78" s="2" t="str">
        <f t="shared" si="4"/>
        <v/>
      </c>
      <c r="AA78" s="2" t="str">
        <f t="shared" si="5"/>
        <v/>
      </c>
      <c r="AB78" s="2" t="str">
        <f t="shared" si="6"/>
        <v/>
      </c>
      <c r="AC78" s="2" t="str">
        <f t="shared" si="7"/>
        <v>Walks with direction</v>
      </c>
      <c r="AD78" s="2"/>
      <c r="AE78" s="5"/>
      <c r="AF78" s="2"/>
      <c r="AG78" s="2"/>
      <c r="AH78" s="2"/>
      <c r="AI78" s="2"/>
    </row>
    <row r="79" spans="1:35">
      <c r="A79" s="2"/>
      <c r="B79" s="2"/>
      <c r="C79" s="2"/>
      <c r="D79" s="2"/>
      <c r="E79" s="5"/>
      <c r="F79" s="2"/>
      <c r="G79" s="5"/>
      <c r="H79" s="2"/>
      <c r="I79" s="2"/>
      <c r="J79" s="2"/>
      <c r="K79" s="2"/>
      <c r="L79" s="2"/>
      <c r="M79" s="2"/>
      <c r="N79" s="2"/>
      <c r="O79" s="2"/>
      <c r="P79" s="2"/>
      <c r="Q79" s="2"/>
      <c r="R79" s="2"/>
      <c r="S79" s="2"/>
      <c r="T79" s="2"/>
      <c r="U79" s="2"/>
      <c r="V79" s="2"/>
      <c r="W79" s="2"/>
      <c r="X79" s="2"/>
      <c r="Y79" s="2"/>
      <c r="Z79" s="2" t="str">
        <f t="shared" si="4"/>
        <v/>
      </c>
      <c r="AA79" s="2" t="str">
        <f t="shared" si="5"/>
        <v/>
      </c>
      <c r="AB79" s="2" t="str">
        <f t="shared" si="6"/>
        <v/>
      </c>
      <c r="AC79" s="2" t="str">
        <f t="shared" si="7"/>
        <v>Walks with direction</v>
      </c>
      <c r="AD79" s="2"/>
      <c r="AE79" s="5"/>
      <c r="AF79" s="2"/>
      <c r="AG79" s="2"/>
      <c r="AH79" s="2"/>
      <c r="AI79" s="2"/>
    </row>
    <row r="80" spans="1:35">
      <c r="A80" s="2"/>
      <c r="B80" s="2"/>
      <c r="C80" s="2"/>
      <c r="D80" s="2"/>
      <c r="E80" s="5"/>
      <c r="F80" s="2"/>
      <c r="G80" s="5"/>
      <c r="H80" s="2"/>
      <c r="I80" s="2"/>
      <c r="J80" s="2"/>
      <c r="K80" s="2"/>
      <c r="L80" s="2"/>
      <c r="M80" s="2"/>
      <c r="N80" s="2"/>
      <c r="O80" s="2"/>
      <c r="P80" s="2"/>
      <c r="Q80" s="2"/>
      <c r="R80" s="2"/>
      <c r="S80" s="2"/>
      <c r="T80" s="2"/>
      <c r="U80" s="2"/>
      <c r="V80" s="2"/>
      <c r="W80" s="2"/>
      <c r="X80" s="2"/>
      <c r="Y80" s="2"/>
      <c r="Z80" s="2" t="str">
        <f t="shared" si="4"/>
        <v/>
      </c>
      <c r="AA80" s="2" t="str">
        <f t="shared" si="5"/>
        <v/>
      </c>
      <c r="AB80" s="2" t="str">
        <f t="shared" si="6"/>
        <v/>
      </c>
      <c r="AC80" s="2" t="str">
        <f t="shared" si="7"/>
        <v>Walks with direction</v>
      </c>
      <c r="AD80" s="2"/>
      <c r="AE80" s="5"/>
      <c r="AF80" s="2"/>
      <c r="AG80" s="2"/>
      <c r="AH80" s="2"/>
      <c r="AI80" s="2"/>
    </row>
    <row r="81" spans="1:35">
      <c r="A81" s="2"/>
      <c r="B81" s="2"/>
      <c r="C81" s="2"/>
      <c r="D81" s="2"/>
      <c r="E81" s="5"/>
      <c r="F81" s="2"/>
      <c r="G81" s="5"/>
      <c r="H81" s="2"/>
      <c r="I81" s="2"/>
      <c r="J81" s="2"/>
      <c r="K81" s="2"/>
      <c r="L81" s="2"/>
      <c r="M81" s="2"/>
      <c r="N81" s="2"/>
      <c r="O81" s="2"/>
      <c r="P81" s="2"/>
      <c r="Q81" s="2"/>
      <c r="R81" s="2"/>
      <c r="S81" s="2"/>
      <c r="T81" s="2"/>
      <c r="U81" s="2"/>
      <c r="V81" s="2"/>
      <c r="W81" s="2"/>
      <c r="X81" s="2"/>
      <c r="Y81" s="2"/>
      <c r="Z81" s="2" t="str">
        <f t="shared" si="4"/>
        <v/>
      </c>
      <c r="AA81" s="2" t="str">
        <f t="shared" si="5"/>
        <v/>
      </c>
      <c r="AB81" s="2" t="str">
        <f t="shared" si="6"/>
        <v/>
      </c>
      <c r="AC81" s="2" t="str">
        <f t="shared" si="7"/>
        <v>Walks with direction</v>
      </c>
      <c r="AD81" s="2"/>
      <c r="AE81" s="5"/>
      <c r="AF81" s="2"/>
      <c r="AG81" s="2"/>
      <c r="AH81" s="2"/>
      <c r="AI81" s="2"/>
    </row>
    <row r="82" spans="1:35">
      <c r="A82" s="2"/>
      <c r="B82" s="2"/>
      <c r="C82" s="2"/>
      <c r="D82" s="2"/>
      <c r="E82" s="5"/>
      <c r="F82" s="2"/>
      <c r="G82" s="5"/>
      <c r="H82" s="2"/>
      <c r="I82" s="2"/>
      <c r="J82" s="2"/>
      <c r="K82" s="2"/>
      <c r="L82" s="2"/>
      <c r="M82" s="2"/>
      <c r="N82" s="2"/>
      <c r="O82" s="2"/>
      <c r="P82" s="2"/>
      <c r="Q82" s="2"/>
      <c r="R82" s="2"/>
      <c r="S82" s="2"/>
      <c r="T82" s="2"/>
      <c r="U82" s="2"/>
      <c r="V82" s="2"/>
      <c r="W82" s="2"/>
      <c r="X82" s="2"/>
      <c r="Y82" s="2"/>
      <c r="Z82" s="2" t="str">
        <f t="shared" ref="Z82:Z113" si="8">IF(COUNTA(H82:Y82)=0,"",IF(COUNTIF(H82:Y82,"Very High")&gt;0,"Very High",IF(COUNTIF(H82:Y82,"High")&gt;0,"High",IF(COUNTIF(H82:Y82,"Medium")&gt;0,"Medium","Low"))))</f>
        <v/>
      </c>
      <c r="AA82" s="2" t="str">
        <f t="shared" ref="AA82:AA113" si="9">IF(Z82="","",IF(Z82="Low","Routine planned support",IF(Z82="Medium","One staff support/supervision likely",IF(Z82="High","Two staff/review staffing and equipment","Manager review: multiple staff/specialist support"))))</f>
        <v/>
      </c>
      <c r="AB82" s="2" t="str">
        <f t="shared" ref="AB82:AB117" si="10">IF(Z82="","",IF(OR(Z82="High",Z82="Very High",W82="High",W82="Very High"),"Night staffing and evacuation review required","Routine night checks as per care plan"))</f>
        <v/>
      </c>
      <c r="AC82" s="2" t="str">
        <f t="shared" ref="AC82:AC117" si="11">IF(X82="Very High","Specialist PEEP / equipment",IF(OR(X82="High",Z82="High"),"Evacuation sheet/chair or wheelchair per PEEP",IF(OR(X82="Medium",Z82="Medium"),"Walking aid/wheelchair support per PEEP","Walks with direction")))</f>
        <v>Walks with direction</v>
      </c>
      <c r="AD82" s="2"/>
      <c r="AE82" s="5"/>
      <c r="AF82" s="2"/>
      <c r="AG82" s="2"/>
      <c r="AH82" s="2"/>
      <c r="AI82" s="2"/>
    </row>
    <row r="83" spans="1:35">
      <c r="A83" s="2"/>
      <c r="B83" s="2"/>
      <c r="C83" s="2"/>
      <c r="D83" s="2"/>
      <c r="E83" s="5"/>
      <c r="F83" s="2"/>
      <c r="G83" s="5"/>
      <c r="H83" s="2"/>
      <c r="I83" s="2"/>
      <c r="J83" s="2"/>
      <c r="K83" s="2"/>
      <c r="L83" s="2"/>
      <c r="M83" s="2"/>
      <c r="N83" s="2"/>
      <c r="O83" s="2"/>
      <c r="P83" s="2"/>
      <c r="Q83" s="2"/>
      <c r="R83" s="2"/>
      <c r="S83" s="2"/>
      <c r="T83" s="2"/>
      <c r="U83" s="2"/>
      <c r="V83" s="2"/>
      <c r="W83" s="2"/>
      <c r="X83" s="2"/>
      <c r="Y83" s="2"/>
      <c r="Z83" s="2" t="str">
        <f t="shared" si="8"/>
        <v/>
      </c>
      <c r="AA83" s="2" t="str">
        <f t="shared" si="9"/>
        <v/>
      </c>
      <c r="AB83" s="2" t="str">
        <f t="shared" si="10"/>
        <v/>
      </c>
      <c r="AC83" s="2" t="str">
        <f t="shared" si="11"/>
        <v>Walks with direction</v>
      </c>
      <c r="AD83" s="2"/>
      <c r="AE83" s="5"/>
      <c r="AF83" s="2"/>
      <c r="AG83" s="2"/>
      <c r="AH83" s="2"/>
      <c r="AI83" s="2"/>
    </row>
    <row r="84" spans="1:35">
      <c r="A84" s="2"/>
      <c r="B84" s="2"/>
      <c r="C84" s="2"/>
      <c r="D84" s="2"/>
      <c r="E84" s="5"/>
      <c r="F84" s="2"/>
      <c r="G84" s="5"/>
      <c r="H84" s="2"/>
      <c r="I84" s="2"/>
      <c r="J84" s="2"/>
      <c r="K84" s="2"/>
      <c r="L84" s="2"/>
      <c r="M84" s="2"/>
      <c r="N84" s="2"/>
      <c r="O84" s="2"/>
      <c r="P84" s="2"/>
      <c r="Q84" s="2"/>
      <c r="R84" s="2"/>
      <c r="S84" s="2"/>
      <c r="T84" s="2"/>
      <c r="U84" s="2"/>
      <c r="V84" s="2"/>
      <c r="W84" s="2"/>
      <c r="X84" s="2"/>
      <c r="Y84" s="2"/>
      <c r="Z84" s="2" t="str">
        <f t="shared" si="8"/>
        <v/>
      </c>
      <c r="AA84" s="2" t="str">
        <f t="shared" si="9"/>
        <v/>
      </c>
      <c r="AB84" s="2" t="str">
        <f t="shared" si="10"/>
        <v/>
      </c>
      <c r="AC84" s="2" t="str">
        <f t="shared" si="11"/>
        <v>Walks with direction</v>
      </c>
      <c r="AD84" s="2"/>
      <c r="AE84" s="5"/>
      <c r="AF84" s="2"/>
      <c r="AG84" s="2"/>
      <c r="AH84" s="2"/>
      <c r="AI84" s="2"/>
    </row>
    <row r="85" spans="1:35">
      <c r="A85" s="2"/>
      <c r="B85" s="2"/>
      <c r="C85" s="2"/>
      <c r="D85" s="2"/>
      <c r="E85" s="5"/>
      <c r="F85" s="2"/>
      <c r="G85" s="5"/>
      <c r="H85" s="2"/>
      <c r="I85" s="2"/>
      <c r="J85" s="2"/>
      <c r="K85" s="2"/>
      <c r="L85" s="2"/>
      <c r="M85" s="2"/>
      <c r="N85" s="2"/>
      <c r="O85" s="2"/>
      <c r="P85" s="2"/>
      <c r="Q85" s="2"/>
      <c r="R85" s="2"/>
      <c r="S85" s="2"/>
      <c r="T85" s="2"/>
      <c r="U85" s="2"/>
      <c r="V85" s="2"/>
      <c r="W85" s="2"/>
      <c r="X85" s="2"/>
      <c r="Y85" s="2"/>
      <c r="Z85" s="2" t="str">
        <f t="shared" si="8"/>
        <v/>
      </c>
      <c r="AA85" s="2" t="str">
        <f t="shared" si="9"/>
        <v/>
      </c>
      <c r="AB85" s="2" t="str">
        <f t="shared" si="10"/>
        <v/>
      </c>
      <c r="AC85" s="2" t="str">
        <f t="shared" si="11"/>
        <v>Walks with direction</v>
      </c>
      <c r="AD85" s="2"/>
      <c r="AE85" s="5"/>
      <c r="AF85" s="2"/>
      <c r="AG85" s="2"/>
      <c r="AH85" s="2"/>
      <c r="AI85" s="2"/>
    </row>
    <row r="86" spans="1:35">
      <c r="A86" s="2"/>
      <c r="B86" s="2"/>
      <c r="C86" s="2"/>
      <c r="D86" s="2"/>
      <c r="E86" s="5"/>
      <c r="F86" s="2"/>
      <c r="G86" s="5"/>
      <c r="H86" s="2"/>
      <c r="I86" s="2"/>
      <c r="J86" s="2"/>
      <c r="K86" s="2"/>
      <c r="L86" s="2"/>
      <c r="M86" s="2"/>
      <c r="N86" s="2"/>
      <c r="O86" s="2"/>
      <c r="P86" s="2"/>
      <c r="Q86" s="2"/>
      <c r="R86" s="2"/>
      <c r="S86" s="2"/>
      <c r="T86" s="2"/>
      <c r="U86" s="2"/>
      <c r="V86" s="2"/>
      <c r="W86" s="2"/>
      <c r="X86" s="2"/>
      <c r="Y86" s="2"/>
      <c r="Z86" s="2" t="str">
        <f t="shared" si="8"/>
        <v/>
      </c>
      <c r="AA86" s="2" t="str">
        <f t="shared" si="9"/>
        <v/>
      </c>
      <c r="AB86" s="2" t="str">
        <f t="shared" si="10"/>
        <v/>
      </c>
      <c r="AC86" s="2" t="str">
        <f t="shared" si="11"/>
        <v>Walks with direction</v>
      </c>
      <c r="AD86" s="2"/>
      <c r="AE86" s="5"/>
      <c r="AF86" s="2"/>
      <c r="AG86" s="2"/>
      <c r="AH86" s="2"/>
      <c r="AI86" s="2"/>
    </row>
    <row r="87" spans="1:35">
      <c r="A87" s="2"/>
      <c r="B87" s="2"/>
      <c r="C87" s="2"/>
      <c r="D87" s="2"/>
      <c r="E87" s="5"/>
      <c r="F87" s="2"/>
      <c r="G87" s="5"/>
      <c r="H87" s="2"/>
      <c r="I87" s="2"/>
      <c r="J87" s="2"/>
      <c r="K87" s="2"/>
      <c r="L87" s="2"/>
      <c r="M87" s="2"/>
      <c r="N87" s="2"/>
      <c r="O87" s="2"/>
      <c r="P87" s="2"/>
      <c r="Q87" s="2"/>
      <c r="R87" s="2"/>
      <c r="S87" s="2"/>
      <c r="T87" s="2"/>
      <c r="U87" s="2"/>
      <c r="V87" s="2"/>
      <c r="W87" s="2"/>
      <c r="X87" s="2"/>
      <c r="Y87" s="2"/>
      <c r="Z87" s="2" t="str">
        <f t="shared" si="8"/>
        <v/>
      </c>
      <c r="AA87" s="2" t="str">
        <f t="shared" si="9"/>
        <v/>
      </c>
      <c r="AB87" s="2" t="str">
        <f t="shared" si="10"/>
        <v/>
      </c>
      <c r="AC87" s="2" t="str">
        <f t="shared" si="11"/>
        <v>Walks with direction</v>
      </c>
      <c r="AD87" s="2"/>
      <c r="AE87" s="5"/>
      <c r="AF87" s="2"/>
      <c r="AG87" s="2"/>
      <c r="AH87" s="2"/>
      <c r="AI87" s="2"/>
    </row>
    <row r="88" spans="1:35">
      <c r="A88" s="2"/>
      <c r="B88" s="2"/>
      <c r="C88" s="2"/>
      <c r="D88" s="2"/>
      <c r="E88" s="5"/>
      <c r="F88" s="2"/>
      <c r="G88" s="5"/>
      <c r="H88" s="2"/>
      <c r="I88" s="2"/>
      <c r="J88" s="2"/>
      <c r="K88" s="2"/>
      <c r="L88" s="2"/>
      <c r="M88" s="2"/>
      <c r="N88" s="2"/>
      <c r="O88" s="2"/>
      <c r="P88" s="2"/>
      <c r="Q88" s="2"/>
      <c r="R88" s="2"/>
      <c r="S88" s="2"/>
      <c r="T88" s="2"/>
      <c r="U88" s="2"/>
      <c r="V88" s="2"/>
      <c r="W88" s="2"/>
      <c r="X88" s="2"/>
      <c r="Y88" s="2"/>
      <c r="Z88" s="2" t="str">
        <f t="shared" si="8"/>
        <v/>
      </c>
      <c r="AA88" s="2" t="str">
        <f t="shared" si="9"/>
        <v/>
      </c>
      <c r="AB88" s="2" t="str">
        <f t="shared" si="10"/>
        <v/>
      </c>
      <c r="AC88" s="2" t="str">
        <f t="shared" si="11"/>
        <v>Walks with direction</v>
      </c>
      <c r="AD88" s="2"/>
      <c r="AE88" s="5"/>
      <c r="AF88" s="2"/>
      <c r="AG88" s="2"/>
      <c r="AH88" s="2"/>
      <c r="AI88" s="2"/>
    </row>
    <row r="89" spans="1:35">
      <c r="A89" s="2"/>
      <c r="B89" s="2"/>
      <c r="C89" s="2"/>
      <c r="D89" s="2"/>
      <c r="E89" s="5"/>
      <c r="F89" s="2"/>
      <c r="G89" s="5"/>
      <c r="H89" s="2"/>
      <c r="I89" s="2"/>
      <c r="J89" s="2"/>
      <c r="K89" s="2"/>
      <c r="L89" s="2"/>
      <c r="M89" s="2"/>
      <c r="N89" s="2"/>
      <c r="O89" s="2"/>
      <c r="P89" s="2"/>
      <c r="Q89" s="2"/>
      <c r="R89" s="2"/>
      <c r="S89" s="2"/>
      <c r="T89" s="2"/>
      <c r="U89" s="2"/>
      <c r="V89" s="2"/>
      <c r="W89" s="2"/>
      <c r="X89" s="2"/>
      <c r="Y89" s="2"/>
      <c r="Z89" s="2" t="str">
        <f t="shared" si="8"/>
        <v/>
      </c>
      <c r="AA89" s="2" t="str">
        <f t="shared" si="9"/>
        <v/>
      </c>
      <c r="AB89" s="2" t="str">
        <f t="shared" si="10"/>
        <v/>
      </c>
      <c r="AC89" s="2" t="str">
        <f t="shared" si="11"/>
        <v>Walks with direction</v>
      </c>
      <c r="AD89" s="2"/>
      <c r="AE89" s="5"/>
      <c r="AF89" s="2"/>
      <c r="AG89" s="2"/>
      <c r="AH89" s="2"/>
      <c r="AI89" s="2"/>
    </row>
    <row r="90" spans="1:35">
      <c r="A90" s="2"/>
      <c r="B90" s="2"/>
      <c r="C90" s="2"/>
      <c r="D90" s="2"/>
      <c r="E90" s="5"/>
      <c r="F90" s="2"/>
      <c r="G90" s="5"/>
      <c r="H90" s="2"/>
      <c r="I90" s="2"/>
      <c r="J90" s="2"/>
      <c r="K90" s="2"/>
      <c r="L90" s="2"/>
      <c r="M90" s="2"/>
      <c r="N90" s="2"/>
      <c r="O90" s="2"/>
      <c r="P90" s="2"/>
      <c r="Q90" s="2"/>
      <c r="R90" s="2"/>
      <c r="S90" s="2"/>
      <c r="T90" s="2"/>
      <c r="U90" s="2"/>
      <c r="V90" s="2"/>
      <c r="W90" s="2"/>
      <c r="X90" s="2"/>
      <c r="Y90" s="2"/>
      <c r="Z90" s="2" t="str">
        <f t="shared" si="8"/>
        <v/>
      </c>
      <c r="AA90" s="2" t="str">
        <f t="shared" si="9"/>
        <v/>
      </c>
      <c r="AB90" s="2" t="str">
        <f t="shared" si="10"/>
        <v/>
      </c>
      <c r="AC90" s="2" t="str">
        <f t="shared" si="11"/>
        <v>Walks with direction</v>
      </c>
      <c r="AD90" s="2"/>
      <c r="AE90" s="5"/>
      <c r="AF90" s="2"/>
      <c r="AG90" s="2"/>
      <c r="AH90" s="2"/>
      <c r="AI90" s="2"/>
    </row>
    <row r="91" spans="1:35">
      <c r="A91" s="2"/>
      <c r="B91" s="2"/>
      <c r="C91" s="2"/>
      <c r="D91" s="2"/>
      <c r="E91" s="5"/>
      <c r="F91" s="2"/>
      <c r="G91" s="5"/>
      <c r="H91" s="2"/>
      <c r="I91" s="2"/>
      <c r="J91" s="2"/>
      <c r="K91" s="2"/>
      <c r="L91" s="2"/>
      <c r="M91" s="2"/>
      <c r="N91" s="2"/>
      <c r="O91" s="2"/>
      <c r="P91" s="2"/>
      <c r="Q91" s="2"/>
      <c r="R91" s="2"/>
      <c r="S91" s="2"/>
      <c r="T91" s="2"/>
      <c r="U91" s="2"/>
      <c r="V91" s="2"/>
      <c r="W91" s="2"/>
      <c r="X91" s="2"/>
      <c r="Y91" s="2"/>
      <c r="Z91" s="2" t="str">
        <f t="shared" si="8"/>
        <v/>
      </c>
      <c r="AA91" s="2" t="str">
        <f t="shared" si="9"/>
        <v/>
      </c>
      <c r="AB91" s="2" t="str">
        <f t="shared" si="10"/>
        <v/>
      </c>
      <c r="AC91" s="2" t="str">
        <f t="shared" si="11"/>
        <v>Walks with direction</v>
      </c>
      <c r="AD91" s="2"/>
      <c r="AE91" s="5"/>
      <c r="AF91" s="2"/>
      <c r="AG91" s="2"/>
      <c r="AH91" s="2"/>
      <c r="AI91" s="2"/>
    </row>
    <row r="92" spans="1:35">
      <c r="A92" s="2"/>
      <c r="B92" s="2"/>
      <c r="C92" s="2"/>
      <c r="D92" s="2"/>
      <c r="E92" s="5"/>
      <c r="F92" s="2"/>
      <c r="G92" s="5"/>
      <c r="H92" s="2"/>
      <c r="I92" s="2"/>
      <c r="J92" s="2"/>
      <c r="K92" s="2"/>
      <c r="L92" s="2"/>
      <c r="M92" s="2"/>
      <c r="N92" s="2"/>
      <c r="O92" s="2"/>
      <c r="P92" s="2"/>
      <c r="Q92" s="2"/>
      <c r="R92" s="2"/>
      <c r="S92" s="2"/>
      <c r="T92" s="2"/>
      <c r="U92" s="2"/>
      <c r="V92" s="2"/>
      <c r="W92" s="2"/>
      <c r="X92" s="2"/>
      <c r="Y92" s="2"/>
      <c r="Z92" s="2" t="str">
        <f t="shared" si="8"/>
        <v/>
      </c>
      <c r="AA92" s="2" t="str">
        <f t="shared" si="9"/>
        <v/>
      </c>
      <c r="AB92" s="2" t="str">
        <f t="shared" si="10"/>
        <v/>
      </c>
      <c r="AC92" s="2" t="str">
        <f t="shared" si="11"/>
        <v>Walks with direction</v>
      </c>
      <c r="AD92" s="2"/>
      <c r="AE92" s="5"/>
      <c r="AF92" s="2"/>
      <c r="AG92" s="2"/>
      <c r="AH92" s="2"/>
      <c r="AI92" s="2"/>
    </row>
    <row r="93" spans="1:35">
      <c r="A93" s="2"/>
      <c r="B93" s="2"/>
      <c r="C93" s="2"/>
      <c r="D93" s="2"/>
      <c r="E93" s="5"/>
      <c r="F93" s="2"/>
      <c r="G93" s="5"/>
      <c r="H93" s="2"/>
      <c r="I93" s="2"/>
      <c r="J93" s="2"/>
      <c r="K93" s="2"/>
      <c r="L93" s="2"/>
      <c r="M93" s="2"/>
      <c r="N93" s="2"/>
      <c r="O93" s="2"/>
      <c r="P93" s="2"/>
      <c r="Q93" s="2"/>
      <c r="R93" s="2"/>
      <c r="S93" s="2"/>
      <c r="T93" s="2"/>
      <c r="U93" s="2"/>
      <c r="V93" s="2"/>
      <c r="W93" s="2"/>
      <c r="X93" s="2"/>
      <c r="Y93" s="2"/>
      <c r="Z93" s="2" t="str">
        <f t="shared" si="8"/>
        <v/>
      </c>
      <c r="AA93" s="2" t="str">
        <f t="shared" si="9"/>
        <v/>
      </c>
      <c r="AB93" s="2" t="str">
        <f t="shared" si="10"/>
        <v/>
      </c>
      <c r="AC93" s="2" t="str">
        <f t="shared" si="11"/>
        <v>Walks with direction</v>
      </c>
      <c r="AD93" s="2"/>
      <c r="AE93" s="5"/>
      <c r="AF93" s="2"/>
      <c r="AG93" s="2"/>
      <c r="AH93" s="2"/>
      <c r="AI93" s="2"/>
    </row>
    <row r="94" spans="1:35">
      <c r="A94" s="2"/>
      <c r="B94" s="2"/>
      <c r="C94" s="2"/>
      <c r="D94" s="2"/>
      <c r="E94" s="5"/>
      <c r="F94" s="2"/>
      <c r="G94" s="5"/>
      <c r="H94" s="2"/>
      <c r="I94" s="2"/>
      <c r="J94" s="2"/>
      <c r="K94" s="2"/>
      <c r="L94" s="2"/>
      <c r="M94" s="2"/>
      <c r="N94" s="2"/>
      <c r="O94" s="2"/>
      <c r="P94" s="2"/>
      <c r="Q94" s="2"/>
      <c r="R94" s="2"/>
      <c r="S94" s="2"/>
      <c r="T94" s="2"/>
      <c r="U94" s="2"/>
      <c r="V94" s="2"/>
      <c r="W94" s="2"/>
      <c r="X94" s="2"/>
      <c r="Y94" s="2"/>
      <c r="Z94" s="2" t="str">
        <f t="shared" si="8"/>
        <v/>
      </c>
      <c r="AA94" s="2" t="str">
        <f t="shared" si="9"/>
        <v/>
      </c>
      <c r="AB94" s="2" t="str">
        <f t="shared" si="10"/>
        <v/>
      </c>
      <c r="AC94" s="2" t="str">
        <f t="shared" si="11"/>
        <v>Walks with direction</v>
      </c>
      <c r="AD94" s="2"/>
      <c r="AE94" s="5"/>
      <c r="AF94" s="2"/>
      <c r="AG94" s="2"/>
      <c r="AH94" s="2"/>
      <c r="AI94" s="2"/>
    </row>
    <row r="95" spans="1:35">
      <c r="A95" s="2"/>
      <c r="B95" s="2"/>
      <c r="C95" s="2"/>
      <c r="D95" s="2"/>
      <c r="E95" s="5"/>
      <c r="F95" s="2"/>
      <c r="G95" s="5"/>
      <c r="H95" s="2"/>
      <c r="I95" s="2"/>
      <c r="J95" s="2"/>
      <c r="K95" s="2"/>
      <c r="L95" s="2"/>
      <c r="M95" s="2"/>
      <c r="N95" s="2"/>
      <c r="O95" s="2"/>
      <c r="P95" s="2"/>
      <c r="Q95" s="2"/>
      <c r="R95" s="2"/>
      <c r="S95" s="2"/>
      <c r="T95" s="2"/>
      <c r="U95" s="2"/>
      <c r="V95" s="2"/>
      <c r="W95" s="2"/>
      <c r="X95" s="2"/>
      <c r="Y95" s="2"/>
      <c r="Z95" s="2" t="str">
        <f t="shared" si="8"/>
        <v/>
      </c>
      <c r="AA95" s="2" t="str">
        <f t="shared" si="9"/>
        <v/>
      </c>
      <c r="AB95" s="2" t="str">
        <f t="shared" si="10"/>
        <v/>
      </c>
      <c r="AC95" s="2" t="str">
        <f t="shared" si="11"/>
        <v>Walks with direction</v>
      </c>
      <c r="AD95" s="2"/>
      <c r="AE95" s="5"/>
      <c r="AF95" s="2"/>
      <c r="AG95" s="2"/>
      <c r="AH95" s="2"/>
      <c r="AI95" s="2"/>
    </row>
    <row r="96" spans="1:35">
      <c r="A96" s="2"/>
      <c r="B96" s="2"/>
      <c r="C96" s="2"/>
      <c r="D96" s="2"/>
      <c r="E96" s="5"/>
      <c r="F96" s="2"/>
      <c r="G96" s="5"/>
      <c r="H96" s="2"/>
      <c r="I96" s="2"/>
      <c r="J96" s="2"/>
      <c r="K96" s="2"/>
      <c r="L96" s="2"/>
      <c r="M96" s="2"/>
      <c r="N96" s="2"/>
      <c r="O96" s="2"/>
      <c r="P96" s="2"/>
      <c r="Q96" s="2"/>
      <c r="R96" s="2"/>
      <c r="S96" s="2"/>
      <c r="T96" s="2"/>
      <c r="U96" s="2"/>
      <c r="V96" s="2"/>
      <c r="W96" s="2"/>
      <c r="X96" s="2"/>
      <c r="Y96" s="2"/>
      <c r="Z96" s="2" t="str">
        <f t="shared" si="8"/>
        <v/>
      </c>
      <c r="AA96" s="2" t="str">
        <f t="shared" si="9"/>
        <v/>
      </c>
      <c r="AB96" s="2" t="str">
        <f t="shared" si="10"/>
        <v/>
      </c>
      <c r="AC96" s="2" t="str">
        <f t="shared" si="11"/>
        <v>Walks with direction</v>
      </c>
      <c r="AD96" s="2"/>
      <c r="AE96" s="5"/>
      <c r="AF96" s="2"/>
      <c r="AG96" s="2"/>
      <c r="AH96" s="2"/>
      <c r="AI96" s="2"/>
    </row>
    <row r="97" spans="1:35">
      <c r="A97" s="2"/>
      <c r="B97" s="2"/>
      <c r="C97" s="2"/>
      <c r="D97" s="2"/>
      <c r="E97" s="5"/>
      <c r="F97" s="2"/>
      <c r="G97" s="5"/>
      <c r="H97" s="2"/>
      <c r="I97" s="2"/>
      <c r="J97" s="2"/>
      <c r="K97" s="2"/>
      <c r="L97" s="2"/>
      <c r="M97" s="2"/>
      <c r="N97" s="2"/>
      <c r="O97" s="2"/>
      <c r="P97" s="2"/>
      <c r="Q97" s="2"/>
      <c r="R97" s="2"/>
      <c r="S97" s="2"/>
      <c r="T97" s="2"/>
      <c r="U97" s="2"/>
      <c r="V97" s="2"/>
      <c r="W97" s="2"/>
      <c r="X97" s="2"/>
      <c r="Y97" s="2"/>
      <c r="Z97" s="2" t="str">
        <f t="shared" si="8"/>
        <v/>
      </c>
      <c r="AA97" s="2" t="str">
        <f t="shared" si="9"/>
        <v/>
      </c>
      <c r="AB97" s="2" t="str">
        <f t="shared" si="10"/>
        <v/>
      </c>
      <c r="AC97" s="2" t="str">
        <f t="shared" si="11"/>
        <v>Walks with direction</v>
      </c>
      <c r="AD97" s="2"/>
      <c r="AE97" s="5"/>
      <c r="AF97" s="2"/>
      <c r="AG97" s="2"/>
      <c r="AH97" s="2"/>
      <c r="AI97" s="2"/>
    </row>
    <row r="98" spans="1:35">
      <c r="A98" s="2"/>
      <c r="B98" s="2"/>
      <c r="C98" s="2"/>
      <c r="D98" s="2"/>
      <c r="E98" s="5"/>
      <c r="F98" s="2"/>
      <c r="G98" s="5"/>
      <c r="H98" s="2"/>
      <c r="I98" s="2"/>
      <c r="J98" s="2"/>
      <c r="K98" s="2"/>
      <c r="L98" s="2"/>
      <c r="M98" s="2"/>
      <c r="N98" s="2"/>
      <c r="O98" s="2"/>
      <c r="P98" s="2"/>
      <c r="Q98" s="2"/>
      <c r="R98" s="2"/>
      <c r="S98" s="2"/>
      <c r="T98" s="2"/>
      <c r="U98" s="2"/>
      <c r="V98" s="2"/>
      <c r="W98" s="2"/>
      <c r="X98" s="2"/>
      <c r="Y98" s="2"/>
      <c r="Z98" s="2" t="str">
        <f t="shared" si="8"/>
        <v/>
      </c>
      <c r="AA98" s="2" t="str">
        <f t="shared" si="9"/>
        <v/>
      </c>
      <c r="AB98" s="2" t="str">
        <f t="shared" si="10"/>
        <v/>
      </c>
      <c r="AC98" s="2" t="str">
        <f t="shared" si="11"/>
        <v>Walks with direction</v>
      </c>
      <c r="AD98" s="2"/>
      <c r="AE98" s="5"/>
      <c r="AF98" s="2"/>
      <c r="AG98" s="2"/>
      <c r="AH98" s="2"/>
      <c r="AI98" s="2"/>
    </row>
    <row r="99" spans="1:35">
      <c r="A99" s="2"/>
      <c r="B99" s="2"/>
      <c r="C99" s="2"/>
      <c r="D99" s="2"/>
      <c r="E99" s="5"/>
      <c r="F99" s="2"/>
      <c r="G99" s="5"/>
      <c r="H99" s="2"/>
      <c r="I99" s="2"/>
      <c r="J99" s="2"/>
      <c r="K99" s="2"/>
      <c r="L99" s="2"/>
      <c r="M99" s="2"/>
      <c r="N99" s="2"/>
      <c r="O99" s="2"/>
      <c r="P99" s="2"/>
      <c r="Q99" s="2"/>
      <c r="R99" s="2"/>
      <c r="S99" s="2"/>
      <c r="T99" s="2"/>
      <c r="U99" s="2"/>
      <c r="V99" s="2"/>
      <c r="W99" s="2"/>
      <c r="X99" s="2"/>
      <c r="Y99" s="2"/>
      <c r="Z99" s="2" t="str">
        <f t="shared" si="8"/>
        <v/>
      </c>
      <c r="AA99" s="2" t="str">
        <f t="shared" si="9"/>
        <v/>
      </c>
      <c r="AB99" s="2" t="str">
        <f t="shared" si="10"/>
        <v/>
      </c>
      <c r="AC99" s="2" t="str">
        <f t="shared" si="11"/>
        <v>Walks with direction</v>
      </c>
      <c r="AD99" s="2"/>
      <c r="AE99" s="5"/>
      <c r="AF99" s="2"/>
      <c r="AG99" s="2"/>
      <c r="AH99" s="2"/>
      <c r="AI99" s="2"/>
    </row>
    <row r="100" spans="1:35">
      <c r="A100" s="2"/>
      <c r="B100" s="2"/>
      <c r="C100" s="2"/>
      <c r="D100" s="2"/>
      <c r="E100" s="5"/>
      <c r="F100" s="2"/>
      <c r="G100" s="5"/>
      <c r="H100" s="2"/>
      <c r="I100" s="2"/>
      <c r="J100" s="2"/>
      <c r="K100" s="2"/>
      <c r="L100" s="2"/>
      <c r="M100" s="2"/>
      <c r="N100" s="2"/>
      <c r="O100" s="2"/>
      <c r="P100" s="2"/>
      <c r="Q100" s="2"/>
      <c r="R100" s="2"/>
      <c r="S100" s="2"/>
      <c r="T100" s="2"/>
      <c r="U100" s="2"/>
      <c r="V100" s="2"/>
      <c r="W100" s="2"/>
      <c r="X100" s="2"/>
      <c r="Y100" s="2"/>
      <c r="Z100" s="2" t="str">
        <f t="shared" si="8"/>
        <v/>
      </c>
      <c r="AA100" s="2" t="str">
        <f t="shared" si="9"/>
        <v/>
      </c>
      <c r="AB100" s="2" t="str">
        <f t="shared" si="10"/>
        <v/>
      </c>
      <c r="AC100" s="2" t="str">
        <f t="shared" si="11"/>
        <v>Walks with direction</v>
      </c>
      <c r="AD100" s="2"/>
      <c r="AE100" s="5"/>
      <c r="AF100" s="2"/>
      <c r="AG100" s="2"/>
      <c r="AH100" s="2"/>
      <c r="AI100" s="2"/>
    </row>
    <row r="101" spans="1:35">
      <c r="A101" s="2"/>
      <c r="B101" s="2"/>
      <c r="C101" s="2"/>
      <c r="D101" s="2"/>
      <c r="E101" s="5"/>
      <c r="F101" s="2"/>
      <c r="G101" s="5"/>
      <c r="H101" s="2"/>
      <c r="I101" s="2"/>
      <c r="J101" s="2"/>
      <c r="K101" s="2"/>
      <c r="L101" s="2"/>
      <c r="M101" s="2"/>
      <c r="N101" s="2"/>
      <c r="O101" s="2"/>
      <c r="P101" s="2"/>
      <c r="Q101" s="2"/>
      <c r="R101" s="2"/>
      <c r="S101" s="2"/>
      <c r="T101" s="2"/>
      <c r="U101" s="2"/>
      <c r="V101" s="2"/>
      <c r="W101" s="2"/>
      <c r="X101" s="2"/>
      <c r="Y101" s="2"/>
      <c r="Z101" s="2" t="str">
        <f t="shared" si="8"/>
        <v/>
      </c>
      <c r="AA101" s="2" t="str">
        <f t="shared" si="9"/>
        <v/>
      </c>
      <c r="AB101" s="2" t="str">
        <f t="shared" si="10"/>
        <v/>
      </c>
      <c r="AC101" s="2" t="str">
        <f t="shared" si="11"/>
        <v>Walks with direction</v>
      </c>
      <c r="AD101" s="2"/>
      <c r="AE101" s="5"/>
      <c r="AF101" s="2"/>
      <c r="AG101" s="2"/>
      <c r="AH101" s="2"/>
      <c r="AI101" s="2"/>
    </row>
    <row r="102" spans="1:35">
      <c r="A102" s="2"/>
      <c r="B102" s="2"/>
      <c r="C102" s="2"/>
      <c r="D102" s="2"/>
      <c r="E102" s="5"/>
      <c r="F102" s="2"/>
      <c r="G102" s="5"/>
      <c r="H102" s="2"/>
      <c r="I102" s="2"/>
      <c r="J102" s="2"/>
      <c r="K102" s="2"/>
      <c r="L102" s="2"/>
      <c r="M102" s="2"/>
      <c r="N102" s="2"/>
      <c r="O102" s="2"/>
      <c r="P102" s="2"/>
      <c r="Q102" s="2"/>
      <c r="R102" s="2"/>
      <c r="S102" s="2"/>
      <c r="T102" s="2"/>
      <c r="U102" s="2"/>
      <c r="V102" s="2"/>
      <c r="W102" s="2"/>
      <c r="X102" s="2"/>
      <c r="Y102" s="2"/>
      <c r="Z102" s="2" t="str">
        <f t="shared" si="8"/>
        <v/>
      </c>
      <c r="AA102" s="2" t="str">
        <f t="shared" si="9"/>
        <v/>
      </c>
      <c r="AB102" s="2" t="str">
        <f t="shared" si="10"/>
        <v/>
      </c>
      <c r="AC102" s="2" t="str">
        <f t="shared" si="11"/>
        <v>Walks with direction</v>
      </c>
      <c r="AD102" s="2"/>
      <c r="AE102" s="5"/>
      <c r="AF102" s="2"/>
      <c r="AG102" s="2"/>
      <c r="AH102" s="2"/>
      <c r="AI102" s="2"/>
    </row>
    <row r="103" spans="1:35">
      <c r="A103" s="2"/>
      <c r="B103" s="2"/>
      <c r="C103" s="2"/>
      <c r="D103" s="2"/>
      <c r="E103" s="5"/>
      <c r="F103" s="2"/>
      <c r="G103" s="5"/>
      <c r="H103" s="2"/>
      <c r="I103" s="2"/>
      <c r="J103" s="2"/>
      <c r="K103" s="2"/>
      <c r="L103" s="2"/>
      <c r="M103" s="2"/>
      <c r="N103" s="2"/>
      <c r="O103" s="2"/>
      <c r="P103" s="2"/>
      <c r="Q103" s="2"/>
      <c r="R103" s="2"/>
      <c r="S103" s="2"/>
      <c r="T103" s="2"/>
      <c r="U103" s="2"/>
      <c r="V103" s="2"/>
      <c r="W103" s="2"/>
      <c r="X103" s="2"/>
      <c r="Y103" s="2"/>
      <c r="Z103" s="2" t="str">
        <f t="shared" si="8"/>
        <v/>
      </c>
      <c r="AA103" s="2" t="str">
        <f t="shared" si="9"/>
        <v/>
      </c>
      <c r="AB103" s="2" t="str">
        <f t="shared" si="10"/>
        <v/>
      </c>
      <c r="AC103" s="2" t="str">
        <f t="shared" si="11"/>
        <v>Walks with direction</v>
      </c>
      <c r="AD103" s="2"/>
      <c r="AE103" s="5"/>
      <c r="AF103" s="2"/>
      <c r="AG103" s="2"/>
      <c r="AH103" s="2"/>
      <c r="AI103" s="2"/>
    </row>
    <row r="104" spans="1:35">
      <c r="A104" s="2"/>
      <c r="B104" s="2"/>
      <c r="C104" s="2"/>
      <c r="D104" s="2"/>
      <c r="E104" s="5"/>
      <c r="F104" s="2"/>
      <c r="G104" s="5"/>
      <c r="H104" s="2"/>
      <c r="I104" s="2"/>
      <c r="J104" s="2"/>
      <c r="K104" s="2"/>
      <c r="L104" s="2"/>
      <c r="M104" s="2"/>
      <c r="N104" s="2"/>
      <c r="O104" s="2"/>
      <c r="P104" s="2"/>
      <c r="Q104" s="2"/>
      <c r="R104" s="2"/>
      <c r="S104" s="2"/>
      <c r="T104" s="2"/>
      <c r="U104" s="2"/>
      <c r="V104" s="2"/>
      <c r="W104" s="2"/>
      <c r="X104" s="2"/>
      <c r="Y104" s="2"/>
      <c r="Z104" s="2" t="str">
        <f t="shared" si="8"/>
        <v/>
      </c>
      <c r="AA104" s="2" t="str">
        <f t="shared" si="9"/>
        <v/>
      </c>
      <c r="AB104" s="2" t="str">
        <f t="shared" si="10"/>
        <v/>
      </c>
      <c r="AC104" s="2" t="str">
        <f t="shared" si="11"/>
        <v>Walks with direction</v>
      </c>
      <c r="AD104" s="2"/>
      <c r="AE104" s="5"/>
      <c r="AF104" s="2"/>
      <c r="AG104" s="2"/>
      <c r="AH104" s="2"/>
      <c r="AI104" s="2"/>
    </row>
    <row r="105" spans="1:35">
      <c r="A105" s="2"/>
      <c r="B105" s="2"/>
      <c r="C105" s="2"/>
      <c r="D105" s="2"/>
      <c r="E105" s="5"/>
      <c r="F105" s="2"/>
      <c r="G105" s="5"/>
      <c r="H105" s="2"/>
      <c r="I105" s="2"/>
      <c r="J105" s="2"/>
      <c r="K105" s="2"/>
      <c r="L105" s="2"/>
      <c r="M105" s="2"/>
      <c r="N105" s="2"/>
      <c r="O105" s="2"/>
      <c r="P105" s="2"/>
      <c r="Q105" s="2"/>
      <c r="R105" s="2"/>
      <c r="S105" s="2"/>
      <c r="T105" s="2"/>
      <c r="U105" s="2"/>
      <c r="V105" s="2"/>
      <c r="W105" s="2"/>
      <c r="X105" s="2"/>
      <c r="Y105" s="2"/>
      <c r="Z105" s="2" t="str">
        <f t="shared" si="8"/>
        <v/>
      </c>
      <c r="AA105" s="2" t="str">
        <f t="shared" si="9"/>
        <v/>
      </c>
      <c r="AB105" s="2" t="str">
        <f t="shared" si="10"/>
        <v/>
      </c>
      <c r="AC105" s="2" t="str">
        <f t="shared" si="11"/>
        <v>Walks with direction</v>
      </c>
      <c r="AD105" s="2"/>
      <c r="AE105" s="5"/>
      <c r="AF105" s="2"/>
      <c r="AG105" s="2"/>
      <c r="AH105" s="2"/>
      <c r="AI105" s="2"/>
    </row>
    <row r="106" spans="1:35">
      <c r="A106" s="2"/>
      <c r="B106" s="2"/>
      <c r="C106" s="2"/>
      <c r="D106" s="2"/>
      <c r="E106" s="5"/>
      <c r="F106" s="2"/>
      <c r="G106" s="5"/>
      <c r="H106" s="2"/>
      <c r="I106" s="2"/>
      <c r="J106" s="2"/>
      <c r="K106" s="2"/>
      <c r="L106" s="2"/>
      <c r="M106" s="2"/>
      <c r="N106" s="2"/>
      <c r="O106" s="2"/>
      <c r="P106" s="2"/>
      <c r="Q106" s="2"/>
      <c r="R106" s="2"/>
      <c r="S106" s="2"/>
      <c r="T106" s="2"/>
      <c r="U106" s="2"/>
      <c r="V106" s="2"/>
      <c r="W106" s="2"/>
      <c r="X106" s="2"/>
      <c r="Y106" s="2"/>
      <c r="Z106" s="2" t="str">
        <f t="shared" si="8"/>
        <v/>
      </c>
      <c r="AA106" s="2" t="str">
        <f t="shared" si="9"/>
        <v/>
      </c>
      <c r="AB106" s="2" t="str">
        <f t="shared" si="10"/>
        <v/>
      </c>
      <c r="AC106" s="2" t="str">
        <f t="shared" si="11"/>
        <v>Walks with direction</v>
      </c>
      <c r="AD106" s="2"/>
      <c r="AE106" s="5"/>
      <c r="AF106" s="2"/>
      <c r="AG106" s="2"/>
      <c r="AH106" s="2"/>
      <c r="AI106" s="2"/>
    </row>
    <row r="107" spans="1:35">
      <c r="A107" s="2"/>
      <c r="B107" s="2"/>
      <c r="C107" s="2"/>
      <c r="D107" s="2"/>
      <c r="E107" s="5"/>
      <c r="F107" s="2"/>
      <c r="G107" s="5"/>
      <c r="H107" s="2"/>
      <c r="I107" s="2"/>
      <c r="J107" s="2"/>
      <c r="K107" s="2"/>
      <c r="L107" s="2"/>
      <c r="M107" s="2"/>
      <c r="N107" s="2"/>
      <c r="O107" s="2"/>
      <c r="P107" s="2"/>
      <c r="Q107" s="2"/>
      <c r="R107" s="2"/>
      <c r="S107" s="2"/>
      <c r="T107" s="2"/>
      <c r="U107" s="2"/>
      <c r="V107" s="2"/>
      <c r="W107" s="2"/>
      <c r="X107" s="2"/>
      <c r="Y107" s="2"/>
      <c r="Z107" s="2" t="str">
        <f t="shared" si="8"/>
        <v/>
      </c>
      <c r="AA107" s="2" t="str">
        <f t="shared" si="9"/>
        <v/>
      </c>
      <c r="AB107" s="2" t="str">
        <f t="shared" si="10"/>
        <v/>
      </c>
      <c r="AC107" s="2" t="str">
        <f t="shared" si="11"/>
        <v>Walks with direction</v>
      </c>
      <c r="AD107" s="2"/>
      <c r="AE107" s="5"/>
      <c r="AF107" s="2"/>
      <c r="AG107" s="2"/>
      <c r="AH107" s="2"/>
      <c r="AI107" s="2"/>
    </row>
    <row r="108" spans="1:35">
      <c r="A108" s="2"/>
      <c r="B108" s="2"/>
      <c r="C108" s="2"/>
      <c r="D108" s="2"/>
      <c r="E108" s="5"/>
      <c r="F108" s="2"/>
      <c r="G108" s="5"/>
      <c r="H108" s="2"/>
      <c r="I108" s="2"/>
      <c r="J108" s="2"/>
      <c r="K108" s="2"/>
      <c r="L108" s="2"/>
      <c r="M108" s="2"/>
      <c r="N108" s="2"/>
      <c r="O108" s="2"/>
      <c r="P108" s="2"/>
      <c r="Q108" s="2"/>
      <c r="R108" s="2"/>
      <c r="S108" s="2"/>
      <c r="T108" s="2"/>
      <c r="U108" s="2"/>
      <c r="V108" s="2"/>
      <c r="W108" s="2"/>
      <c r="X108" s="2"/>
      <c r="Y108" s="2"/>
      <c r="Z108" s="2" t="str">
        <f t="shared" si="8"/>
        <v/>
      </c>
      <c r="AA108" s="2" t="str">
        <f t="shared" si="9"/>
        <v/>
      </c>
      <c r="AB108" s="2" t="str">
        <f t="shared" si="10"/>
        <v/>
      </c>
      <c r="AC108" s="2" t="str">
        <f t="shared" si="11"/>
        <v>Walks with direction</v>
      </c>
      <c r="AD108" s="2"/>
      <c r="AE108" s="5"/>
      <c r="AF108" s="2"/>
      <c r="AG108" s="2"/>
      <c r="AH108" s="2"/>
      <c r="AI108" s="2"/>
    </row>
    <row r="109" spans="1:35">
      <c r="A109" s="2"/>
      <c r="B109" s="2"/>
      <c r="C109" s="2"/>
      <c r="D109" s="2"/>
      <c r="E109" s="5"/>
      <c r="F109" s="2"/>
      <c r="G109" s="5"/>
      <c r="H109" s="2"/>
      <c r="I109" s="2"/>
      <c r="J109" s="2"/>
      <c r="K109" s="2"/>
      <c r="L109" s="2"/>
      <c r="M109" s="2"/>
      <c r="N109" s="2"/>
      <c r="O109" s="2"/>
      <c r="P109" s="2"/>
      <c r="Q109" s="2"/>
      <c r="R109" s="2"/>
      <c r="S109" s="2"/>
      <c r="T109" s="2"/>
      <c r="U109" s="2"/>
      <c r="V109" s="2"/>
      <c r="W109" s="2"/>
      <c r="X109" s="2"/>
      <c r="Y109" s="2"/>
      <c r="Z109" s="2" t="str">
        <f t="shared" si="8"/>
        <v/>
      </c>
      <c r="AA109" s="2" t="str">
        <f t="shared" si="9"/>
        <v/>
      </c>
      <c r="AB109" s="2" t="str">
        <f t="shared" si="10"/>
        <v/>
      </c>
      <c r="AC109" s="2" t="str">
        <f t="shared" si="11"/>
        <v>Walks with direction</v>
      </c>
      <c r="AD109" s="2"/>
      <c r="AE109" s="5"/>
      <c r="AF109" s="2"/>
      <c r="AG109" s="2"/>
      <c r="AH109" s="2"/>
      <c r="AI109" s="2"/>
    </row>
    <row r="110" spans="1:35">
      <c r="A110" s="2"/>
      <c r="B110" s="2"/>
      <c r="C110" s="2"/>
      <c r="D110" s="2"/>
      <c r="E110" s="5"/>
      <c r="F110" s="2"/>
      <c r="G110" s="5"/>
      <c r="H110" s="2"/>
      <c r="I110" s="2"/>
      <c r="J110" s="2"/>
      <c r="K110" s="2"/>
      <c r="L110" s="2"/>
      <c r="M110" s="2"/>
      <c r="N110" s="2"/>
      <c r="O110" s="2"/>
      <c r="P110" s="2"/>
      <c r="Q110" s="2"/>
      <c r="R110" s="2"/>
      <c r="S110" s="2"/>
      <c r="T110" s="2"/>
      <c r="U110" s="2"/>
      <c r="V110" s="2"/>
      <c r="W110" s="2"/>
      <c r="X110" s="2"/>
      <c r="Y110" s="2"/>
      <c r="Z110" s="2" t="str">
        <f t="shared" si="8"/>
        <v/>
      </c>
      <c r="AA110" s="2" t="str">
        <f t="shared" si="9"/>
        <v/>
      </c>
      <c r="AB110" s="2" t="str">
        <f t="shared" si="10"/>
        <v/>
      </c>
      <c r="AC110" s="2" t="str">
        <f t="shared" si="11"/>
        <v>Walks with direction</v>
      </c>
      <c r="AD110" s="2"/>
      <c r="AE110" s="5"/>
      <c r="AF110" s="2"/>
      <c r="AG110" s="2"/>
      <c r="AH110" s="2"/>
      <c r="AI110" s="2"/>
    </row>
    <row r="111" spans="1:35">
      <c r="A111" s="2"/>
      <c r="B111" s="2"/>
      <c r="C111" s="2"/>
      <c r="D111" s="2"/>
      <c r="E111" s="5"/>
      <c r="F111" s="2"/>
      <c r="G111" s="5"/>
      <c r="H111" s="2"/>
      <c r="I111" s="2"/>
      <c r="J111" s="2"/>
      <c r="K111" s="2"/>
      <c r="L111" s="2"/>
      <c r="M111" s="2"/>
      <c r="N111" s="2"/>
      <c r="O111" s="2"/>
      <c r="P111" s="2"/>
      <c r="Q111" s="2"/>
      <c r="R111" s="2"/>
      <c r="S111" s="2"/>
      <c r="T111" s="2"/>
      <c r="U111" s="2"/>
      <c r="V111" s="2"/>
      <c r="W111" s="2"/>
      <c r="X111" s="2"/>
      <c r="Y111" s="2"/>
      <c r="Z111" s="2" t="str">
        <f t="shared" si="8"/>
        <v/>
      </c>
      <c r="AA111" s="2" t="str">
        <f t="shared" si="9"/>
        <v/>
      </c>
      <c r="AB111" s="2" t="str">
        <f t="shared" si="10"/>
        <v/>
      </c>
      <c r="AC111" s="2" t="str">
        <f t="shared" si="11"/>
        <v>Walks with direction</v>
      </c>
      <c r="AD111" s="2"/>
      <c r="AE111" s="5"/>
      <c r="AF111" s="2"/>
      <c r="AG111" s="2"/>
      <c r="AH111" s="2"/>
      <c r="AI111" s="2"/>
    </row>
    <row r="112" spans="1:35">
      <c r="A112" s="2"/>
      <c r="B112" s="2"/>
      <c r="C112" s="2"/>
      <c r="D112" s="2"/>
      <c r="E112" s="5"/>
      <c r="F112" s="2"/>
      <c r="G112" s="5"/>
      <c r="H112" s="2"/>
      <c r="I112" s="2"/>
      <c r="J112" s="2"/>
      <c r="K112" s="2"/>
      <c r="L112" s="2"/>
      <c r="M112" s="2"/>
      <c r="N112" s="2"/>
      <c r="O112" s="2"/>
      <c r="P112" s="2"/>
      <c r="Q112" s="2"/>
      <c r="R112" s="2"/>
      <c r="S112" s="2"/>
      <c r="T112" s="2"/>
      <c r="U112" s="2"/>
      <c r="V112" s="2"/>
      <c r="W112" s="2"/>
      <c r="X112" s="2"/>
      <c r="Y112" s="2"/>
      <c r="Z112" s="2" t="str">
        <f t="shared" si="8"/>
        <v/>
      </c>
      <c r="AA112" s="2" t="str">
        <f t="shared" si="9"/>
        <v/>
      </c>
      <c r="AB112" s="2" t="str">
        <f t="shared" si="10"/>
        <v/>
      </c>
      <c r="AC112" s="2" t="str">
        <f t="shared" si="11"/>
        <v>Walks with direction</v>
      </c>
      <c r="AD112" s="2"/>
      <c r="AE112" s="5"/>
      <c r="AF112" s="2"/>
      <c r="AG112" s="2"/>
      <c r="AH112" s="2"/>
      <c r="AI112" s="2"/>
    </row>
    <row r="113" spans="1:35">
      <c r="A113" s="2"/>
      <c r="B113" s="2"/>
      <c r="C113" s="2"/>
      <c r="D113" s="2"/>
      <c r="E113" s="5"/>
      <c r="F113" s="2"/>
      <c r="G113" s="5"/>
      <c r="H113" s="2"/>
      <c r="I113" s="2"/>
      <c r="J113" s="2"/>
      <c r="K113" s="2"/>
      <c r="L113" s="2"/>
      <c r="M113" s="2"/>
      <c r="N113" s="2"/>
      <c r="O113" s="2"/>
      <c r="P113" s="2"/>
      <c r="Q113" s="2"/>
      <c r="R113" s="2"/>
      <c r="S113" s="2"/>
      <c r="T113" s="2"/>
      <c r="U113" s="2"/>
      <c r="V113" s="2"/>
      <c r="W113" s="2"/>
      <c r="X113" s="2"/>
      <c r="Y113" s="2"/>
      <c r="Z113" s="2" t="str">
        <f t="shared" si="8"/>
        <v/>
      </c>
      <c r="AA113" s="2" t="str">
        <f t="shared" si="9"/>
        <v/>
      </c>
      <c r="AB113" s="2" t="str">
        <f t="shared" si="10"/>
        <v/>
      </c>
      <c r="AC113" s="2" t="str">
        <f t="shared" si="11"/>
        <v>Walks with direction</v>
      </c>
      <c r="AD113" s="2"/>
      <c r="AE113" s="5"/>
      <c r="AF113" s="2"/>
      <c r="AG113" s="2"/>
      <c r="AH113" s="2"/>
      <c r="AI113" s="2"/>
    </row>
    <row r="114" spans="1:35">
      <c r="A114" s="2"/>
      <c r="B114" s="2"/>
      <c r="C114" s="2"/>
      <c r="D114" s="2"/>
      <c r="E114" s="5"/>
      <c r="F114" s="2"/>
      <c r="G114" s="5"/>
      <c r="H114" s="2"/>
      <c r="I114" s="2"/>
      <c r="J114" s="2"/>
      <c r="K114" s="2"/>
      <c r="L114" s="2"/>
      <c r="M114" s="2"/>
      <c r="N114" s="2"/>
      <c r="O114" s="2"/>
      <c r="P114" s="2"/>
      <c r="Q114" s="2"/>
      <c r="R114" s="2"/>
      <c r="S114" s="2"/>
      <c r="T114" s="2"/>
      <c r="U114" s="2"/>
      <c r="V114" s="2"/>
      <c r="W114" s="2"/>
      <c r="X114" s="2"/>
      <c r="Y114" s="2"/>
      <c r="Z114" s="2" t="str">
        <f t="shared" ref="Z114:Z145" si="12">IF(COUNTA(H114:Y114)=0,"",IF(COUNTIF(H114:Y114,"Very High")&gt;0,"Very High",IF(COUNTIF(H114:Y114,"High")&gt;0,"High",IF(COUNTIF(H114:Y114,"Medium")&gt;0,"Medium","Low"))))</f>
        <v/>
      </c>
      <c r="AA114" s="2" t="str">
        <f t="shared" ref="AA114:AA145" si="13">IF(Z114="","",IF(Z114="Low","Routine planned support",IF(Z114="Medium","One staff support/supervision likely",IF(Z114="High","Two staff/review staffing and equipment","Manager review: multiple staff/specialist support"))))</f>
        <v/>
      </c>
      <c r="AB114" s="2" t="str">
        <f t="shared" si="10"/>
        <v/>
      </c>
      <c r="AC114" s="2" t="str">
        <f t="shared" si="11"/>
        <v>Walks with direction</v>
      </c>
      <c r="AD114" s="2"/>
      <c r="AE114" s="5"/>
      <c r="AF114" s="2"/>
      <c r="AG114" s="2"/>
      <c r="AH114" s="2"/>
      <c r="AI114" s="2"/>
    </row>
    <row r="115" spans="1:35">
      <c r="A115" s="2"/>
      <c r="B115" s="2"/>
      <c r="C115" s="2"/>
      <c r="D115" s="2"/>
      <c r="E115" s="5"/>
      <c r="F115" s="2"/>
      <c r="G115" s="5"/>
      <c r="H115" s="2"/>
      <c r="I115" s="2"/>
      <c r="J115" s="2"/>
      <c r="K115" s="2"/>
      <c r="L115" s="2"/>
      <c r="M115" s="2"/>
      <c r="N115" s="2"/>
      <c r="O115" s="2"/>
      <c r="P115" s="2"/>
      <c r="Q115" s="2"/>
      <c r="R115" s="2"/>
      <c r="S115" s="2"/>
      <c r="T115" s="2"/>
      <c r="U115" s="2"/>
      <c r="V115" s="2"/>
      <c r="W115" s="2"/>
      <c r="X115" s="2"/>
      <c r="Y115" s="2"/>
      <c r="Z115" s="2" t="str">
        <f t="shared" si="12"/>
        <v/>
      </c>
      <c r="AA115" s="2" t="str">
        <f t="shared" si="13"/>
        <v/>
      </c>
      <c r="AB115" s="2" t="str">
        <f t="shared" si="10"/>
        <v/>
      </c>
      <c r="AC115" s="2" t="str">
        <f t="shared" si="11"/>
        <v>Walks with direction</v>
      </c>
      <c r="AD115" s="2"/>
      <c r="AE115" s="5"/>
      <c r="AF115" s="2"/>
      <c r="AG115" s="2"/>
      <c r="AH115" s="2"/>
      <c r="AI115" s="2"/>
    </row>
    <row r="116" spans="1:35">
      <c r="A116" s="2"/>
      <c r="B116" s="2"/>
      <c r="C116" s="2"/>
      <c r="D116" s="2"/>
      <c r="E116" s="5"/>
      <c r="F116" s="2"/>
      <c r="G116" s="5"/>
      <c r="H116" s="2"/>
      <c r="I116" s="2"/>
      <c r="J116" s="2"/>
      <c r="K116" s="2"/>
      <c r="L116" s="2"/>
      <c r="M116" s="2"/>
      <c r="N116" s="2"/>
      <c r="O116" s="2"/>
      <c r="P116" s="2"/>
      <c r="Q116" s="2"/>
      <c r="R116" s="2"/>
      <c r="S116" s="2"/>
      <c r="T116" s="2"/>
      <c r="U116" s="2"/>
      <c r="V116" s="2"/>
      <c r="W116" s="2"/>
      <c r="X116" s="2"/>
      <c r="Y116" s="2"/>
      <c r="Z116" s="2" t="str">
        <f t="shared" si="12"/>
        <v/>
      </c>
      <c r="AA116" s="2" t="str">
        <f t="shared" si="13"/>
        <v/>
      </c>
      <c r="AB116" s="2" t="str">
        <f t="shared" si="10"/>
        <v/>
      </c>
      <c r="AC116" s="2" t="str">
        <f t="shared" si="11"/>
        <v>Walks with direction</v>
      </c>
      <c r="AD116" s="2"/>
      <c r="AE116" s="5"/>
      <c r="AF116" s="2"/>
      <c r="AG116" s="2"/>
      <c r="AH116" s="2"/>
      <c r="AI116" s="2"/>
    </row>
    <row r="117" spans="1:35">
      <c r="A117" s="2"/>
      <c r="B117" s="2"/>
      <c r="C117" s="2"/>
      <c r="D117" s="2"/>
      <c r="E117" s="5"/>
      <c r="F117" s="2"/>
      <c r="G117" s="5"/>
      <c r="H117" s="2"/>
      <c r="I117" s="2"/>
      <c r="J117" s="2"/>
      <c r="K117" s="2"/>
      <c r="L117" s="2"/>
      <c r="M117" s="2"/>
      <c r="N117" s="2"/>
      <c r="O117" s="2"/>
      <c r="P117" s="2"/>
      <c r="Q117" s="2"/>
      <c r="R117" s="2"/>
      <c r="S117" s="2"/>
      <c r="T117" s="2"/>
      <c r="U117" s="2"/>
      <c r="V117" s="2"/>
      <c r="W117" s="2"/>
      <c r="X117" s="2"/>
      <c r="Y117" s="2"/>
      <c r="Z117" s="2" t="str">
        <f t="shared" si="12"/>
        <v/>
      </c>
      <c r="AA117" s="2" t="str">
        <f t="shared" si="13"/>
        <v/>
      </c>
      <c r="AB117" s="2" t="str">
        <f t="shared" si="10"/>
        <v/>
      </c>
      <c r="AC117" s="2" t="str">
        <f t="shared" si="11"/>
        <v>Walks with direction</v>
      </c>
      <c r="AD117" s="2"/>
      <c r="AE117" s="5"/>
      <c r="AF117" s="2"/>
      <c r="AG117" s="2"/>
      <c r="AH117" s="2"/>
      <c r="AI117" s="2"/>
    </row>
    <row r="122" spans="1:35">
      <c r="A122" s="9" t="s">
        <v>153</v>
      </c>
      <c r="B122" s="7"/>
      <c r="C122" s="7"/>
      <c r="D122" s="7"/>
      <c r="E122" s="7"/>
    </row>
    <row r="123" spans="1:35">
      <c r="A123" s="1" t="s">
        <v>154</v>
      </c>
      <c r="B123" s="1" t="s">
        <v>6</v>
      </c>
      <c r="C123" s="1" t="s">
        <v>12</v>
      </c>
      <c r="D123" s="1" t="s">
        <v>18</v>
      </c>
      <c r="E123" s="1" t="s">
        <v>23</v>
      </c>
    </row>
    <row r="124" spans="1:35" ht="42">
      <c r="A124" s="2" t="s">
        <v>124</v>
      </c>
      <c r="B124" s="2" t="s">
        <v>155</v>
      </c>
      <c r="C124" s="2" t="s">
        <v>156</v>
      </c>
      <c r="D124" s="2" t="s">
        <v>157</v>
      </c>
      <c r="E124" s="2" t="s">
        <v>158</v>
      </c>
    </row>
    <row r="125" spans="1:35" ht="28">
      <c r="A125" s="2" t="s">
        <v>125</v>
      </c>
      <c r="B125" s="2" t="s">
        <v>159</v>
      </c>
      <c r="C125" s="2" t="s">
        <v>160</v>
      </c>
      <c r="D125" s="2" t="s">
        <v>161</v>
      </c>
      <c r="E125" s="2" t="s">
        <v>162</v>
      </c>
    </row>
    <row r="126" spans="1:35" ht="28">
      <c r="A126" s="2" t="s">
        <v>126</v>
      </c>
      <c r="B126" s="2" t="s">
        <v>163</v>
      </c>
      <c r="C126" s="2" t="s">
        <v>164</v>
      </c>
      <c r="D126" s="2" t="s">
        <v>165</v>
      </c>
      <c r="E126" s="2" t="s">
        <v>166</v>
      </c>
    </row>
    <row r="127" spans="1:35" ht="42">
      <c r="A127" s="2" t="s">
        <v>127</v>
      </c>
      <c r="B127" s="2" t="s">
        <v>167</v>
      </c>
      <c r="C127" s="2" t="s">
        <v>168</v>
      </c>
      <c r="D127" s="2" t="s">
        <v>169</v>
      </c>
      <c r="E127" s="2" t="s">
        <v>170</v>
      </c>
    </row>
    <row r="128" spans="1:35" ht="42">
      <c r="A128" s="2" t="s">
        <v>128</v>
      </c>
      <c r="B128" s="2" t="s">
        <v>171</v>
      </c>
      <c r="C128" s="2" t="s">
        <v>172</v>
      </c>
      <c r="D128" s="2" t="s">
        <v>173</v>
      </c>
      <c r="E128" s="2" t="s">
        <v>174</v>
      </c>
    </row>
    <row r="129" spans="1:5" ht="42">
      <c r="A129" s="2" t="s">
        <v>129</v>
      </c>
      <c r="B129" s="2" t="s">
        <v>175</v>
      </c>
      <c r="C129" s="2" t="s">
        <v>176</v>
      </c>
      <c r="D129" s="2" t="s">
        <v>177</v>
      </c>
      <c r="E129" s="2" t="s">
        <v>178</v>
      </c>
    </row>
    <row r="130" spans="1:5" ht="42">
      <c r="A130" s="2" t="s">
        <v>130</v>
      </c>
      <c r="B130" s="2" t="s">
        <v>179</v>
      </c>
      <c r="C130" s="2" t="s">
        <v>180</v>
      </c>
      <c r="D130" s="2" t="s">
        <v>181</v>
      </c>
      <c r="E130" s="2" t="s">
        <v>182</v>
      </c>
    </row>
    <row r="131" spans="1:5" ht="42">
      <c r="A131" s="2" t="s">
        <v>131</v>
      </c>
      <c r="B131" s="2" t="s">
        <v>183</v>
      </c>
      <c r="C131" s="2" t="s">
        <v>184</v>
      </c>
      <c r="D131" s="2" t="s">
        <v>185</v>
      </c>
      <c r="E131" s="2" t="s">
        <v>186</v>
      </c>
    </row>
    <row r="132" spans="1:5" ht="28">
      <c r="A132" s="2" t="s">
        <v>132</v>
      </c>
      <c r="B132" s="2" t="s">
        <v>187</v>
      </c>
      <c r="C132" s="2" t="s">
        <v>188</v>
      </c>
      <c r="D132" s="2" t="s">
        <v>189</v>
      </c>
      <c r="E132" s="2" t="s">
        <v>190</v>
      </c>
    </row>
    <row r="133" spans="1:5" ht="42">
      <c r="A133" s="2" t="s">
        <v>133</v>
      </c>
      <c r="B133" s="2" t="s">
        <v>191</v>
      </c>
      <c r="C133" s="2" t="s">
        <v>192</v>
      </c>
      <c r="D133" s="2" t="s">
        <v>193</v>
      </c>
      <c r="E133" s="2" t="s">
        <v>194</v>
      </c>
    </row>
    <row r="134" spans="1:5" ht="28">
      <c r="A134" s="2" t="s">
        <v>134</v>
      </c>
      <c r="B134" s="2" t="s">
        <v>195</v>
      </c>
      <c r="C134" s="2" t="s">
        <v>196</v>
      </c>
      <c r="D134" s="2" t="s">
        <v>197</v>
      </c>
      <c r="E134" s="2" t="s">
        <v>198</v>
      </c>
    </row>
    <row r="135" spans="1:5" ht="42">
      <c r="A135" s="2" t="s">
        <v>135</v>
      </c>
      <c r="B135" s="2" t="s">
        <v>199</v>
      </c>
      <c r="C135" s="2" t="s">
        <v>200</v>
      </c>
      <c r="D135" s="2" t="s">
        <v>201</v>
      </c>
      <c r="E135" s="2" t="s">
        <v>202</v>
      </c>
    </row>
    <row r="136" spans="1:5" ht="42">
      <c r="A136" s="2" t="s">
        <v>136</v>
      </c>
      <c r="B136" s="2" t="s">
        <v>203</v>
      </c>
      <c r="C136" s="2" t="s">
        <v>204</v>
      </c>
      <c r="D136" s="2" t="s">
        <v>205</v>
      </c>
      <c r="E136" s="2" t="s">
        <v>206</v>
      </c>
    </row>
    <row r="137" spans="1:5" ht="42">
      <c r="A137" s="2" t="s">
        <v>137</v>
      </c>
      <c r="B137" s="2" t="s">
        <v>207</v>
      </c>
      <c r="C137" s="2" t="s">
        <v>208</v>
      </c>
      <c r="D137" s="2" t="s">
        <v>209</v>
      </c>
      <c r="E137" s="2" t="s">
        <v>210</v>
      </c>
    </row>
    <row r="138" spans="1:5" ht="28">
      <c r="A138" s="2" t="s">
        <v>138</v>
      </c>
      <c r="B138" s="2" t="s">
        <v>211</v>
      </c>
      <c r="C138" s="2" t="s">
        <v>212</v>
      </c>
      <c r="D138" s="2" t="s">
        <v>213</v>
      </c>
      <c r="E138" s="2" t="s">
        <v>214</v>
      </c>
    </row>
    <row r="139" spans="1:5" ht="42">
      <c r="A139" s="2" t="s">
        <v>139</v>
      </c>
      <c r="B139" s="2" t="s">
        <v>215</v>
      </c>
      <c r="C139" s="2" t="s">
        <v>216</v>
      </c>
      <c r="D139" s="2" t="s">
        <v>217</v>
      </c>
      <c r="E139" s="2" t="s">
        <v>218</v>
      </c>
    </row>
    <row r="140" spans="1:5" ht="42">
      <c r="A140" s="2" t="s">
        <v>140</v>
      </c>
      <c r="B140" s="2" t="s">
        <v>219</v>
      </c>
      <c r="C140" s="2" t="s">
        <v>220</v>
      </c>
      <c r="D140" s="2" t="s">
        <v>221</v>
      </c>
      <c r="E140" s="2" t="s">
        <v>222</v>
      </c>
    </row>
    <row r="141" spans="1:5" ht="42">
      <c r="A141" s="2" t="s">
        <v>141</v>
      </c>
      <c r="B141" s="2" t="s">
        <v>223</v>
      </c>
      <c r="C141" s="2" t="s">
        <v>224</v>
      </c>
      <c r="D141" s="2" t="s">
        <v>225</v>
      </c>
      <c r="E141" s="2" t="s">
        <v>226</v>
      </c>
    </row>
  </sheetData>
  <mergeCells count="4">
    <mergeCell ref="A1:AI1"/>
    <mergeCell ref="A2:AI2"/>
    <mergeCell ref="D4:H4"/>
    <mergeCell ref="A122:E122"/>
  </mergeCells>
  <conditionalFormatting sqref="Z18:Z117">
    <cfRule type="expression" dxfId="43" priority="1">
      <formula>Z18="Very High"</formula>
    </cfRule>
    <cfRule type="expression" dxfId="42" priority="2">
      <formula>Z18="High"</formula>
    </cfRule>
    <cfRule type="expression" dxfId="41" priority="3">
      <formula>Z18="Medium"</formula>
    </cfRule>
    <cfRule type="expression" dxfId="40" priority="4">
      <formula>Z18="Low"</formula>
    </cfRule>
  </conditionalFormatting>
  <dataValidations count="4">
    <dataValidation type="list" sqref="B7" xr:uid="{00000000-0002-0000-0700-000000000000}">
      <formula1>"Yes,No"</formula1>
    </dataValidation>
    <dataValidation type="list" sqref="C18:C117" xr:uid="{00000000-0002-0000-0700-000001000000}">
      <formula1>"Ground,First,N/A"</formula1>
    </dataValidation>
    <dataValidation type="list" sqref="H18:Y117" xr:uid="{00000000-0002-0000-0700-000002000000}">
      <formula1>"Low,Medium,High,Very High"</formula1>
    </dataValidation>
    <dataValidation type="list" sqref="AD18:AD117 AG18:AI117" xr:uid="{00000000-0002-0000-0700-000003000000}">
      <formula1>"Yes,No,N/A"</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60"/>
  <sheetViews>
    <sheetView workbookViewId="0"/>
  </sheetViews>
  <sheetFormatPr defaultRowHeight="14"/>
  <cols>
    <col min="1" max="9" width="18" customWidth="1"/>
  </cols>
  <sheetData>
    <row r="1" spans="1:9" ht="20">
      <c r="A1" s="6" t="s">
        <v>331</v>
      </c>
      <c r="B1" s="7"/>
      <c r="C1" s="7"/>
      <c r="D1" s="7"/>
      <c r="E1" s="7"/>
      <c r="F1" s="7"/>
      <c r="G1" s="7"/>
      <c r="H1" s="7"/>
      <c r="I1" s="7"/>
    </row>
    <row r="2" spans="1:9" ht="14.5">
      <c r="A2" s="8" t="s">
        <v>228</v>
      </c>
      <c r="B2" s="7"/>
      <c r="C2" s="7"/>
      <c r="D2" s="7"/>
      <c r="E2" s="7"/>
      <c r="F2" s="7"/>
      <c r="G2" s="7"/>
      <c r="H2" s="7"/>
      <c r="I2" s="7"/>
    </row>
    <row r="4" spans="1:9">
      <c r="A4" s="3" t="s">
        <v>107</v>
      </c>
      <c r="B4" t="s">
        <v>330</v>
      </c>
    </row>
    <row r="5" spans="1:9">
      <c r="A5" s="3" t="s">
        <v>110</v>
      </c>
    </row>
    <row r="6" spans="1:9">
      <c r="A6" s="3" t="s">
        <v>229</v>
      </c>
    </row>
    <row r="7" spans="1:9">
      <c r="A7" s="3" t="s">
        <v>230</v>
      </c>
    </row>
    <row r="8" spans="1:9">
      <c r="A8" s="3" t="s">
        <v>231</v>
      </c>
      <c r="B8">
        <f>COUNTA(A14:A60)</f>
        <v>28</v>
      </c>
    </row>
    <row r="9" spans="1:9">
      <c r="A9" s="3" t="s">
        <v>232</v>
      </c>
      <c r="B9">
        <f>COUNTIF(H14:H60,"FAIL")</f>
        <v>28</v>
      </c>
    </row>
    <row r="10" spans="1:9">
      <c r="A10" s="3" t="s">
        <v>46</v>
      </c>
      <c r="B10" t="str">
        <f>IF(AND(B7="Yes",B9=0),"Complete","Incomplete")</f>
        <v>Incomplete</v>
      </c>
    </row>
    <row r="13" spans="1:9" ht="28">
      <c r="A13" s="1" t="s">
        <v>233</v>
      </c>
      <c r="B13" s="1" t="s">
        <v>234</v>
      </c>
      <c r="C13" s="1" t="s">
        <v>235</v>
      </c>
      <c r="D13" s="1" t="s">
        <v>236</v>
      </c>
      <c r="E13" s="1" t="s">
        <v>237</v>
      </c>
      <c r="F13" s="1" t="s">
        <v>238</v>
      </c>
      <c r="G13" s="1" t="s">
        <v>239</v>
      </c>
      <c r="H13" s="1" t="s">
        <v>240</v>
      </c>
      <c r="I13" s="1" t="s">
        <v>241</v>
      </c>
    </row>
    <row r="14" spans="1:9" ht="42">
      <c r="A14" s="2" t="s">
        <v>242</v>
      </c>
      <c r="B14" s="2">
        <v>1</v>
      </c>
      <c r="C14" s="2"/>
      <c r="D14" s="2" t="s">
        <v>243</v>
      </c>
      <c r="E14" s="2"/>
      <c r="F14" s="2"/>
      <c r="G14" s="2"/>
      <c r="H14" s="2" t="str">
        <f t="shared" ref="H14:H41" si="0">IF(OR(F14="No",C14&lt;B14),"FAIL","PASS")</f>
        <v>FAIL</v>
      </c>
      <c r="I14" s="2"/>
    </row>
    <row r="15" spans="1:9">
      <c r="A15" s="2" t="s">
        <v>244</v>
      </c>
      <c r="B15" s="2">
        <v>1</v>
      </c>
      <c r="C15" s="2"/>
      <c r="D15" s="2" t="s">
        <v>245</v>
      </c>
      <c r="E15" s="2"/>
      <c r="F15" s="2"/>
      <c r="G15" s="2"/>
      <c r="H15" s="2" t="str">
        <f t="shared" si="0"/>
        <v>FAIL</v>
      </c>
      <c r="I15" s="2"/>
    </row>
    <row r="16" spans="1:9" ht="28">
      <c r="A16" s="2" t="s">
        <v>246</v>
      </c>
      <c r="B16" s="2">
        <v>1</v>
      </c>
      <c r="C16" s="2"/>
      <c r="D16" s="2" t="s">
        <v>247</v>
      </c>
      <c r="E16" s="2"/>
      <c r="F16" s="2"/>
      <c r="G16" s="2"/>
      <c r="H16" s="2" t="str">
        <f t="shared" si="0"/>
        <v>FAIL</v>
      </c>
      <c r="I16" s="2"/>
    </row>
    <row r="17" spans="1:9" ht="28">
      <c r="A17" s="2" t="s">
        <v>248</v>
      </c>
      <c r="B17" s="2">
        <v>1</v>
      </c>
      <c r="C17" s="2"/>
      <c r="D17" s="2" t="s">
        <v>249</v>
      </c>
      <c r="E17" s="2"/>
      <c r="F17" s="2"/>
      <c r="G17" s="2"/>
      <c r="H17" s="2" t="str">
        <f t="shared" si="0"/>
        <v>FAIL</v>
      </c>
      <c r="I17" s="2"/>
    </row>
    <row r="18" spans="1:9" ht="28">
      <c r="A18" s="2" t="s">
        <v>250</v>
      </c>
      <c r="B18" s="2">
        <v>2</v>
      </c>
      <c r="C18" s="2"/>
      <c r="D18" s="2" t="s">
        <v>251</v>
      </c>
      <c r="E18" s="2"/>
      <c r="F18" s="2"/>
      <c r="G18" s="2"/>
      <c r="H18" s="2" t="str">
        <f t="shared" si="0"/>
        <v>FAIL</v>
      </c>
      <c r="I18" s="2"/>
    </row>
    <row r="19" spans="1:9" ht="28">
      <c r="A19" s="2" t="s">
        <v>252</v>
      </c>
      <c r="B19" s="2">
        <v>1</v>
      </c>
      <c r="C19" s="2"/>
      <c r="D19" s="2" t="s">
        <v>253</v>
      </c>
      <c r="E19" s="2"/>
      <c r="F19" s="2"/>
      <c r="G19" s="2"/>
      <c r="H19" s="2" t="str">
        <f t="shared" si="0"/>
        <v>FAIL</v>
      </c>
      <c r="I19" s="2"/>
    </row>
    <row r="20" spans="1:9" ht="42">
      <c r="A20" s="2" t="s">
        <v>254</v>
      </c>
      <c r="B20" s="2">
        <v>1</v>
      </c>
      <c r="C20" s="2"/>
      <c r="D20" s="2" t="s">
        <v>255</v>
      </c>
      <c r="E20" s="2"/>
      <c r="F20" s="2"/>
      <c r="G20" s="2"/>
      <c r="H20" s="2" t="str">
        <f t="shared" si="0"/>
        <v>FAIL</v>
      </c>
      <c r="I20" s="2"/>
    </row>
    <row r="21" spans="1:9">
      <c r="A21" s="2" t="s">
        <v>256</v>
      </c>
      <c r="B21" s="2">
        <v>2</v>
      </c>
      <c r="C21" s="2"/>
      <c r="D21" s="2" t="s">
        <v>257</v>
      </c>
      <c r="E21" s="2"/>
      <c r="F21" s="2"/>
      <c r="G21" s="2"/>
      <c r="H21" s="2" t="str">
        <f t="shared" si="0"/>
        <v>FAIL</v>
      </c>
      <c r="I21" s="2"/>
    </row>
    <row r="22" spans="1:9" ht="28">
      <c r="A22" s="2" t="s">
        <v>258</v>
      </c>
      <c r="B22" s="2">
        <v>1</v>
      </c>
      <c r="C22" s="2"/>
      <c r="D22" s="2" t="s">
        <v>259</v>
      </c>
      <c r="E22" s="2"/>
      <c r="F22" s="2"/>
      <c r="G22" s="2"/>
      <c r="H22" s="2" t="str">
        <f t="shared" si="0"/>
        <v>FAIL</v>
      </c>
      <c r="I22" s="2"/>
    </row>
    <row r="23" spans="1:9" ht="28">
      <c r="A23" s="2" t="s">
        <v>260</v>
      </c>
      <c r="B23" s="2">
        <v>2</v>
      </c>
      <c r="C23" s="2"/>
      <c r="D23" s="2" t="s">
        <v>261</v>
      </c>
      <c r="E23" s="2"/>
      <c r="F23" s="2"/>
      <c r="G23" s="2"/>
      <c r="H23" s="2" t="str">
        <f t="shared" si="0"/>
        <v>FAIL</v>
      </c>
      <c r="I23" s="2"/>
    </row>
    <row r="24" spans="1:9">
      <c r="A24" s="2" t="s">
        <v>262</v>
      </c>
      <c r="B24" s="2">
        <v>2</v>
      </c>
      <c r="C24" s="2"/>
      <c r="D24" s="2" t="s">
        <v>263</v>
      </c>
      <c r="E24" s="2"/>
      <c r="F24" s="2"/>
      <c r="G24" s="2"/>
      <c r="H24" s="2" t="str">
        <f t="shared" si="0"/>
        <v>FAIL</v>
      </c>
      <c r="I24" s="2"/>
    </row>
    <row r="25" spans="1:9" ht="28">
      <c r="A25" s="2" t="s">
        <v>264</v>
      </c>
      <c r="B25" s="2">
        <v>2</v>
      </c>
      <c r="C25" s="2"/>
      <c r="D25" s="2" t="s">
        <v>265</v>
      </c>
      <c r="E25" s="2"/>
      <c r="F25" s="2"/>
      <c r="G25" s="2"/>
      <c r="H25" s="2" t="str">
        <f t="shared" si="0"/>
        <v>FAIL</v>
      </c>
      <c r="I25" s="2"/>
    </row>
    <row r="26" spans="1:9">
      <c r="A26" s="2" t="s">
        <v>266</v>
      </c>
      <c r="B26" s="2">
        <v>2</v>
      </c>
      <c r="C26" s="2"/>
      <c r="D26" s="2" t="s">
        <v>265</v>
      </c>
      <c r="E26" s="2"/>
      <c r="F26" s="2"/>
      <c r="G26" s="2"/>
      <c r="H26" s="2" t="str">
        <f t="shared" si="0"/>
        <v>FAIL</v>
      </c>
      <c r="I26" s="2"/>
    </row>
    <row r="27" spans="1:9">
      <c r="A27" s="2" t="s">
        <v>267</v>
      </c>
      <c r="B27" s="2">
        <v>8</v>
      </c>
      <c r="C27" s="2"/>
      <c r="D27" s="2" t="s">
        <v>268</v>
      </c>
      <c r="E27" s="2"/>
      <c r="F27" s="2"/>
      <c r="G27" s="2"/>
      <c r="H27" s="2" t="str">
        <f t="shared" si="0"/>
        <v>FAIL</v>
      </c>
      <c r="I27" s="2"/>
    </row>
    <row r="28" spans="1:9">
      <c r="A28" s="2" t="s">
        <v>269</v>
      </c>
      <c r="B28" s="2">
        <v>4</v>
      </c>
      <c r="C28" s="2"/>
      <c r="D28" s="2" t="s">
        <v>270</v>
      </c>
      <c r="E28" s="2"/>
      <c r="F28" s="2"/>
      <c r="G28" s="2"/>
      <c r="H28" s="2" t="str">
        <f t="shared" si="0"/>
        <v>FAIL</v>
      </c>
      <c r="I28" s="2"/>
    </row>
    <row r="29" spans="1:9" ht="28">
      <c r="A29" s="2" t="s">
        <v>271</v>
      </c>
      <c r="B29" s="2">
        <v>20</v>
      </c>
      <c r="C29" s="2"/>
      <c r="D29" s="2" t="s">
        <v>272</v>
      </c>
      <c r="E29" s="2"/>
      <c r="F29" s="2"/>
      <c r="G29" s="2"/>
      <c r="H29" s="2" t="str">
        <f t="shared" si="0"/>
        <v>FAIL</v>
      </c>
      <c r="I29" s="2"/>
    </row>
    <row r="30" spans="1:9">
      <c r="A30" s="2" t="s">
        <v>273</v>
      </c>
      <c r="B30" s="2">
        <v>2</v>
      </c>
      <c r="C30" s="2"/>
      <c r="D30" s="2" t="s">
        <v>265</v>
      </c>
      <c r="E30" s="2"/>
      <c r="F30" s="2"/>
      <c r="G30" s="2"/>
      <c r="H30" s="2" t="str">
        <f t="shared" si="0"/>
        <v>FAIL</v>
      </c>
      <c r="I30" s="2"/>
    </row>
    <row r="31" spans="1:9">
      <c r="A31" s="2" t="s">
        <v>274</v>
      </c>
      <c r="B31" s="2">
        <v>1</v>
      </c>
      <c r="C31" s="2"/>
      <c r="D31" s="2" t="s">
        <v>275</v>
      </c>
      <c r="E31" s="2"/>
      <c r="F31" s="2"/>
      <c r="G31" s="2"/>
      <c r="H31" s="2" t="str">
        <f t="shared" si="0"/>
        <v>FAIL</v>
      </c>
      <c r="I31" s="2"/>
    </row>
    <row r="32" spans="1:9">
      <c r="A32" s="2" t="s">
        <v>276</v>
      </c>
      <c r="B32" s="2">
        <v>5</v>
      </c>
      <c r="C32" s="2"/>
      <c r="D32" s="2" t="s">
        <v>265</v>
      </c>
      <c r="E32" s="2"/>
      <c r="F32" s="2"/>
      <c r="G32" s="2"/>
      <c r="H32" s="2" t="str">
        <f t="shared" si="0"/>
        <v>FAIL</v>
      </c>
      <c r="I32" s="2"/>
    </row>
    <row r="33" spans="1:9">
      <c r="A33" s="2" t="s">
        <v>277</v>
      </c>
      <c r="B33" s="2">
        <v>2</v>
      </c>
      <c r="C33" s="2"/>
      <c r="D33" s="2" t="s">
        <v>265</v>
      </c>
      <c r="E33" s="2"/>
      <c r="F33" s="2"/>
      <c r="G33" s="2"/>
      <c r="H33" s="2" t="str">
        <f t="shared" si="0"/>
        <v>FAIL</v>
      </c>
      <c r="I33" s="2"/>
    </row>
    <row r="34" spans="1:9" ht="28">
      <c r="A34" s="2" t="s">
        <v>278</v>
      </c>
      <c r="B34" s="2">
        <v>20</v>
      </c>
      <c r="C34" s="2"/>
      <c r="D34" s="2" t="s">
        <v>270</v>
      </c>
      <c r="E34" s="2"/>
      <c r="F34" s="2"/>
      <c r="G34" s="2"/>
      <c r="H34" s="2" t="str">
        <f t="shared" si="0"/>
        <v>FAIL</v>
      </c>
      <c r="I34" s="2"/>
    </row>
    <row r="35" spans="1:9">
      <c r="A35" s="2" t="s">
        <v>279</v>
      </c>
      <c r="B35" s="2">
        <v>20</v>
      </c>
      <c r="C35" s="2"/>
      <c r="D35" s="2" t="s">
        <v>270</v>
      </c>
      <c r="E35" s="2"/>
      <c r="F35" s="2"/>
      <c r="G35" s="2"/>
      <c r="H35" s="2" t="str">
        <f t="shared" si="0"/>
        <v>FAIL</v>
      </c>
      <c r="I35" s="2"/>
    </row>
    <row r="36" spans="1:9" ht="28">
      <c r="A36" s="2" t="s">
        <v>280</v>
      </c>
      <c r="B36" s="2">
        <v>1</v>
      </c>
      <c r="C36" s="2"/>
      <c r="D36" s="2" t="s">
        <v>281</v>
      </c>
      <c r="E36" s="2"/>
      <c r="F36" s="2"/>
      <c r="G36" s="2"/>
      <c r="H36" s="2" t="str">
        <f t="shared" si="0"/>
        <v>FAIL</v>
      </c>
      <c r="I36" s="2"/>
    </row>
    <row r="37" spans="1:9" ht="28">
      <c r="A37" s="2" t="s">
        <v>282</v>
      </c>
      <c r="B37" s="2">
        <v>1</v>
      </c>
      <c r="C37" s="2"/>
      <c r="D37" s="2" t="s">
        <v>281</v>
      </c>
      <c r="E37" s="2"/>
      <c r="F37" s="2"/>
      <c r="G37" s="2"/>
      <c r="H37" s="2" t="str">
        <f t="shared" si="0"/>
        <v>FAIL</v>
      </c>
      <c r="I37" s="2"/>
    </row>
    <row r="38" spans="1:9" ht="28">
      <c r="A38" s="2" t="s">
        <v>283</v>
      </c>
      <c r="B38" s="2">
        <v>1</v>
      </c>
      <c r="C38" s="2"/>
      <c r="D38" s="2" t="s">
        <v>281</v>
      </c>
      <c r="E38" s="2"/>
      <c r="F38" s="2"/>
      <c r="G38" s="2"/>
      <c r="H38" s="2" t="str">
        <f t="shared" si="0"/>
        <v>FAIL</v>
      </c>
      <c r="I38" s="2"/>
    </row>
    <row r="39" spans="1:9" ht="28">
      <c r="A39" s="2" t="s">
        <v>284</v>
      </c>
      <c r="B39" s="2">
        <v>1</v>
      </c>
      <c r="C39" s="2"/>
      <c r="D39" s="2" t="s">
        <v>285</v>
      </c>
      <c r="E39" s="2"/>
      <c r="F39" s="2"/>
      <c r="G39" s="2"/>
      <c r="H39" s="2" t="str">
        <f t="shared" si="0"/>
        <v>FAIL</v>
      </c>
      <c r="I39" s="2"/>
    </row>
    <row r="40" spans="1:9" ht="28">
      <c r="A40" s="2" t="s">
        <v>286</v>
      </c>
      <c r="B40" s="2">
        <v>1</v>
      </c>
      <c r="C40" s="2"/>
      <c r="D40" s="2" t="s">
        <v>287</v>
      </c>
      <c r="E40" s="2"/>
      <c r="F40" s="2"/>
      <c r="G40" s="2"/>
      <c r="H40" s="2" t="str">
        <f t="shared" si="0"/>
        <v>FAIL</v>
      </c>
      <c r="I40" s="2"/>
    </row>
    <row r="41" spans="1:9" ht="28">
      <c r="A41" s="2" t="s">
        <v>288</v>
      </c>
      <c r="B41" s="2">
        <v>1</v>
      </c>
      <c r="C41" s="2"/>
      <c r="D41" s="2" t="s">
        <v>281</v>
      </c>
      <c r="E41" s="2"/>
      <c r="F41" s="2"/>
      <c r="G41" s="2"/>
      <c r="H41" s="2" t="str">
        <f t="shared" si="0"/>
        <v>FAIL</v>
      </c>
      <c r="I41" s="2"/>
    </row>
    <row r="42" spans="1:9">
      <c r="A42" s="2"/>
      <c r="B42" s="2"/>
      <c r="C42" s="2"/>
      <c r="D42" s="2"/>
      <c r="E42" s="2"/>
      <c r="F42" s="2"/>
      <c r="G42" s="2"/>
      <c r="H42" s="2"/>
      <c r="I42" s="2"/>
    </row>
    <row r="43" spans="1:9">
      <c r="A43" s="2"/>
      <c r="B43" s="2"/>
      <c r="C43" s="2"/>
      <c r="D43" s="2"/>
      <c r="E43" s="2"/>
      <c r="F43" s="2"/>
      <c r="G43" s="2"/>
      <c r="H43" s="2"/>
      <c r="I43" s="2"/>
    </row>
    <row r="44" spans="1:9">
      <c r="A44" s="2"/>
      <c r="B44" s="2"/>
      <c r="C44" s="2"/>
      <c r="D44" s="2"/>
      <c r="E44" s="2"/>
      <c r="F44" s="2"/>
      <c r="G44" s="2"/>
      <c r="H44" s="2"/>
      <c r="I44" s="2"/>
    </row>
    <row r="45" spans="1:9">
      <c r="A45" s="2"/>
      <c r="B45" s="2"/>
      <c r="C45" s="2"/>
      <c r="D45" s="2"/>
      <c r="E45" s="2"/>
      <c r="F45" s="2"/>
      <c r="G45" s="2"/>
      <c r="H45" s="2"/>
      <c r="I45" s="2"/>
    </row>
    <row r="46" spans="1:9">
      <c r="A46" s="2"/>
      <c r="B46" s="2"/>
      <c r="C46" s="2"/>
      <c r="D46" s="2"/>
      <c r="E46" s="2"/>
      <c r="F46" s="2"/>
      <c r="G46" s="2"/>
      <c r="H46" s="2"/>
      <c r="I46" s="2"/>
    </row>
    <row r="47" spans="1:9">
      <c r="A47" s="2"/>
      <c r="B47" s="2"/>
      <c r="C47" s="2"/>
      <c r="D47" s="2"/>
      <c r="E47" s="2"/>
      <c r="F47" s="2"/>
      <c r="G47" s="2"/>
      <c r="H47" s="2"/>
      <c r="I47" s="2"/>
    </row>
    <row r="48" spans="1:9">
      <c r="A48" s="2"/>
      <c r="B48" s="2"/>
      <c r="C48" s="2"/>
      <c r="D48" s="2"/>
      <c r="E48" s="2"/>
      <c r="F48" s="2"/>
      <c r="G48" s="2"/>
      <c r="H48" s="2"/>
      <c r="I48" s="2"/>
    </row>
    <row r="49" spans="1:9">
      <c r="A49" s="2"/>
      <c r="B49" s="2"/>
      <c r="C49" s="2"/>
      <c r="D49" s="2"/>
      <c r="E49" s="2"/>
      <c r="F49" s="2"/>
      <c r="G49" s="2"/>
      <c r="H49" s="2"/>
      <c r="I49" s="2"/>
    </row>
    <row r="50" spans="1:9">
      <c r="A50" s="2"/>
      <c r="B50" s="2"/>
      <c r="C50" s="2"/>
      <c r="D50" s="2"/>
      <c r="E50" s="2"/>
      <c r="F50" s="2"/>
      <c r="G50" s="2"/>
      <c r="H50" s="2"/>
      <c r="I50" s="2"/>
    </row>
    <row r="51" spans="1:9">
      <c r="A51" s="2"/>
      <c r="B51" s="2"/>
      <c r="C51" s="2"/>
      <c r="D51" s="2"/>
      <c r="E51" s="2"/>
      <c r="F51" s="2"/>
      <c r="G51" s="2"/>
      <c r="H51" s="2"/>
      <c r="I51" s="2"/>
    </row>
    <row r="52" spans="1:9">
      <c r="A52" s="2"/>
      <c r="B52" s="2"/>
      <c r="C52" s="2"/>
      <c r="D52" s="2"/>
      <c r="E52" s="2"/>
      <c r="F52" s="2"/>
      <c r="G52" s="2"/>
      <c r="H52" s="2"/>
      <c r="I52" s="2"/>
    </row>
    <row r="53" spans="1:9">
      <c r="A53" s="2"/>
      <c r="B53" s="2"/>
      <c r="C53" s="2"/>
      <c r="D53" s="2"/>
      <c r="E53" s="2"/>
      <c r="F53" s="2"/>
      <c r="G53" s="2"/>
      <c r="H53" s="2"/>
      <c r="I53" s="2"/>
    </row>
    <row r="54" spans="1:9">
      <c r="A54" s="2"/>
      <c r="B54" s="2"/>
      <c r="C54" s="2"/>
      <c r="D54" s="2"/>
      <c r="E54" s="2"/>
      <c r="F54" s="2"/>
      <c r="G54" s="2"/>
      <c r="H54" s="2"/>
      <c r="I54" s="2"/>
    </row>
    <row r="55" spans="1:9">
      <c r="A55" s="2"/>
      <c r="B55" s="2"/>
      <c r="C55" s="2"/>
      <c r="D55" s="2"/>
      <c r="E55" s="2"/>
      <c r="F55" s="2"/>
      <c r="G55" s="2"/>
      <c r="H55" s="2"/>
      <c r="I55" s="2"/>
    </row>
    <row r="56" spans="1:9">
      <c r="A56" s="2"/>
      <c r="B56" s="2"/>
      <c r="C56" s="2"/>
      <c r="D56" s="2"/>
      <c r="E56" s="2"/>
      <c r="F56" s="2"/>
      <c r="G56" s="2"/>
      <c r="H56" s="2"/>
      <c r="I56" s="2"/>
    </row>
    <row r="57" spans="1:9">
      <c r="A57" s="2"/>
      <c r="B57" s="2"/>
      <c r="C57" s="2"/>
      <c r="D57" s="2"/>
      <c r="E57" s="2"/>
      <c r="F57" s="2"/>
      <c r="G57" s="2"/>
      <c r="H57" s="2"/>
      <c r="I57" s="2"/>
    </row>
    <row r="58" spans="1:9">
      <c r="A58" s="2"/>
      <c r="B58" s="2"/>
      <c r="C58" s="2"/>
      <c r="D58" s="2"/>
      <c r="E58" s="2"/>
      <c r="F58" s="2"/>
      <c r="G58" s="2"/>
      <c r="H58" s="2"/>
      <c r="I58" s="2"/>
    </row>
    <row r="59" spans="1:9">
      <c r="A59" s="2"/>
      <c r="B59" s="2"/>
      <c r="C59" s="2"/>
      <c r="D59" s="2"/>
      <c r="E59" s="2"/>
      <c r="F59" s="2"/>
      <c r="G59" s="2"/>
      <c r="H59" s="2"/>
      <c r="I59" s="2"/>
    </row>
    <row r="60" spans="1:9">
      <c r="A60" s="2"/>
      <c r="B60" s="2"/>
      <c r="C60" s="2"/>
      <c r="D60" s="2"/>
      <c r="E60" s="2"/>
      <c r="F60" s="2"/>
      <c r="G60" s="2"/>
      <c r="H60" s="2"/>
      <c r="I60" s="2"/>
    </row>
  </sheetData>
  <mergeCells count="2">
    <mergeCell ref="A1:I1"/>
    <mergeCell ref="A2:I2"/>
  </mergeCells>
  <dataValidations count="2">
    <dataValidation type="list" sqref="B7" xr:uid="{00000000-0002-0000-0800-000000000000}">
      <formula1>"Yes,No"</formula1>
    </dataValidation>
    <dataValidation type="list" sqref="F14:F41" xr:uid="{00000000-0002-0000-0800-000001000000}">
      <formula1>"Yes,No,N/A"</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0"/>
  <sheetViews>
    <sheetView workbookViewId="0"/>
  </sheetViews>
  <sheetFormatPr defaultRowHeight="14"/>
  <cols>
    <col min="1" max="8" width="18" customWidth="1"/>
  </cols>
  <sheetData>
    <row r="1" spans="1:8" ht="20">
      <c r="A1" s="6" t="s">
        <v>332</v>
      </c>
      <c r="B1" s="7"/>
      <c r="C1" s="7"/>
      <c r="D1" s="7"/>
      <c r="E1" s="7"/>
      <c r="F1" s="7"/>
      <c r="G1" s="7"/>
      <c r="H1" s="7"/>
    </row>
    <row r="2" spans="1:8" ht="14.5">
      <c r="A2" s="8" t="s">
        <v>290</v>
      </c>
      <c r="B2" s="7"/>
      <c r="C2" s="7"/>
      <c r="D2" s="7"/>
      <c r="E2" s="7"/>
      <c r="F2" s="7"/>
      <c r="G2" s="7"/>
      <c r="H2" s="7"/>
    </row>
    <row r="4" spans="1:8">
      <c r="A4" s="3" t="s">
        <v>107</v>
      </c>
      <c r="B4" t="s">
        <v>330</v>
      </c>
    </row>
    <row r="5" spans="1:8">
      <c r="A5" s="3" t="s">
        <v>110</v>
      </c>
    </row>
    <row r="6" spans="1:8">
      <c r="A6" s="3" t="s">
        <v>229</v>
      </c>
    </row>
    <row r="7" spans="1:8">
      <c r="A7" s="3" t="s">
        <v>230</v>
      </c>
    </row>
    <row r="8" spans="1:8">
      <c r="A8" s="3" t="s">
        <v>291</v>
      </c>
      <c r="B8">
        <f>COUNTA(A14:A60)</f>
        <v>22</v>
      </c>
    </row>
    <row r="9" spans="1:8">
      <c r="A9" s="3" t="s">
        <v>292</v>
      </c>
      <c r="B9">
        <f>COUNTIF(G14:G60,"FAIL")</f>
        <v>22</v>
      </c>
    </row>
    <row r="10" spans="1:8">
      <c r="A10" s="3" t="s">
        <v>46</v>
      </c>
      <c r="B10" t="str">
        <f>IF(AND(B7="Yes",B9=0),"Complete","Incomplete")</f>
        <v>Incomplete</v>
      </c>
    </row>
    <row r="13" spans="1:8">
      <c r="A13" s="1" t="s">
        <v>233</v>
      </c>
      <c r="B13" s="1" t="s">
        <v>234</v>
      </c>
      <c r="C13" s="1" t="s">
        <v>235</v>
      </c>
      <c r="D13" s="1" t="s">
        <v>293</v>
      </c>
      <c r="E13" s="1" t="s">
        <v>294</v>
      </c>
      <c r="F13" s="1" t="s">
        <v>239</v>
      </c>
      <c r="G13" s="1" t="s">
        <v>240</v>
      </c>
      <c r="H13" s="1" t="s">
        <v>241</v>
      </c>
    </row>
    <row r="14" spans="1:8" ht="28">
      <c r="A14" s="2" t="s">
        <v>295</v>
      </c>
      <c r="B14" s="2">
        <v>6</v>
      </c>
      <c r="C14" s="2"/>
      <c r="D14" s="2"/>
      <c r="E14" s="2"/>
      <c r="F14" s="2"/>
      <c r="G14" s="2" t="str">
        <f t="shared" ref="G14:G35" si="0">IF(OR(C14&lt;B14,E14="No"),"FAIL","PASS")</f>
        <v>FAIL</v>
      </c>
      <c r="H14" s="2"/>
    </row>
    <row r="15" spans="1:8" ht="28">
      <c r="A15" s="2" t="s">
        <v>296</v>
      </c>
      <c r="B15" s="2">
        <v>8</v>
      </c>
      <c r="C15" s="2"/>
      <c r="D15" s="2"/>
      <c r="E15" s="2"/>
      <c r="F15" s="2"/>
      <c r="G15" s="2" t="str">
        <f t="shared" si="0"/>
        <v>FAIL</v>
      </c>
      <c r="H15" s="2"/>
    </row>
    <row r="16" spans="1:8" ht="28">
      <c r="A16" s="2" t="s">
        <v>297</v>
      </c>
      <c r="B16" s="2">
        <v>10</v>
      </c>
      <c r="C16" s="2"/>
      <c r="D16" s="2"/>
      <c r="E16" s="2"/>
      <c r="F16" s="2"/>
      <c r="G16" s="2" t="str">
        <f t="shared" si="0"/>
        <v>FAIL</v>
      </c>
      <c r="H16" s="2"/>
    </row>
    <row r="17" spans="1:8">
      <c r="A17" s="2" t="s">
        <v>298</v>
      </c>
      <c r="B17" s="2">
        <v>4</v>
      </c>
      <c r="C17" s="2"/>
      <c r="D17" s="2"/>
      <c r="E17" s="2"/>
      <c r="F17" s="2"/>
      <c r="G17" s="2" t="str">
        <f t="shared" si="0"/>
        <v>FAIL</v>
      </c>
      <c r="H17" s="2"/>
    </row>
    <row r="18" spans="1:8">
      <c r="A18" s="2" t="s">
        <v>299</v>
      </c>
      <c r="B18" s="2">
        <v>6</v>
      </c>
      <c r="C18" s="2"/>
      <c r="D18" s="2"/>
      <c r="E18" s="2"/>
      <c r="F18" s="2"/>
      <c r="G18" s="2" t="str">
        <f t="shared" si="0"/>
        <v>FAIL</v>
      </c>
      <c r="H18" s="2"/>
    </row>
    <row r="19" spans="1:8" ht="28">
      <c r="A19" s="2" t="s">
        <v>300</v>
      </c>
      <c r="B19" s="2">
        <v>6</v>
      </c>
      <c r="C19" s="2"/>
      <c r="D19" s="2"/>
      <c r="E19" s="2"/>
      <c r="F19" s="2"/>
      <c r="G19" s="2" t="str">
        <f t="shared" si="0"/>
        <v>FAIL</v>
      </c>
      <c r="H19" s="2"/>
    </row>
    <row r="20" spans="1:8">
      <c r="A20" s="2" t="s">
        <v>301</v>
      </c>
      <c r="B20" s="2">
        <v>10</v>
      </c>
      <c r="C20" s="2"/>
      <c r="D20" s="2"/>
      <c r="E20" s="2"/>
      <c r="F20" s="2"/>
      <c r="G20" s="2" t="str">
        <f t="shared" si="0"/>
        <v>FAIL</v>
      </c>
      <c r="H20" s="2"/>
    </row>
    <row r="21" spans="1:8">
      <c r="A21" s="2" t="s">
        <v>302</v>
      </c>
      <c r="B21" s="2">
        <v>4</v>
      </c>
      <c r="C21" s="2"/>
      <c r="D21" s="2"/>
      <c r="E21" s="2"/>
      <c r="F21" s="2"/>
      <c r="G21" s="2" t="str">
        <f t="shared" si="0"/>
        <v>FAIL</v>
      </c>
      <c r="H21" s="2"/>
    </row>
    <row r="22" spans="1:8" ht="28">
      <c r="A22" s="2" t="s">
        <v>303</v>
      </c>
      <c r="B22" s="2">
        <v>4</v>
      </c>
      <c r="C22" s="2"/>
      <c r="D22" s="2"/>
      <c r="E22" s="2"/>
      <c r="F22" s="2"/>
      <c r="G22" s="2" t="str">
        <f t="shared" si="0"/>
        <v>FAIL</v>
      </c>
      <c r="H22" s="2"/>
    </row>
    <row r="23" spans="1:8">
      <c r="A23" s="2" t="s">
        <v>304</v>
      </c>
      <c r="B23" s="2">
        <v>2</v>
      </c>
      <c r="C23" s="2"/>
      <c r="D23" s="2"/>
      <c r="E23" s="2"/>
      <c r="F23" s="2"/>
      <c r="G23" s="2" t="str">
        <f t="shared" si="0"/>
        <v>FAIL</v>
      </c>
      <c r="H23" s="2"/>
    </row>
    <row r="24" spans="1:8" ht="28">
      <c r="A24" s="2" t="s">
        <v>305</v>
      </c>
      <c r="B24" s="2">
        <v>50</v>
      </c>
      <c r="C24" s="2"/>
      <c r="D24" s="2"/>
      <c r="E24" s="2"/>
      <c r="F24" s="2"/>
      <c r="G24" s="2" t="str">
        <f t="shared" si="0"/>
        <v>FAIL</v>
      </c>
      <c r="H24" s="2"/>
    </row>
    <row r="25" spans="1:8">
      <c r="A25" s="2" t="s">
        <v>306</v>
      </c>
      <c r="B25" s="2">
        <v>2</v>
      </c>
      <c r="C25" s="2"/>
      <c r="D25" s="2"/>
      <c r="E25" s="2"/>
      <c r="F25" s="2"/>
      <c r="G25" s="2" t="str">
        <f t="shared" si="0"/>
        <v>FAIL</v>
      </c>
      <c r="H25" s="2"/>
    </row>
    <row r="26" spans="1:8">
      <c r="A26" s="2" t="s">
        <v>307</v>
      </c>
      <c r="B26" s="2">
        <v>2</v>
      </c>
      <c r="C26" s="2"/>
      <c r="D26" s="2"/>
      <c r="E26" s="2"/>
      <c r="F26" s="2"/>
      <c r="G26" s="2" t="str">
        <f t="shared" si="0"/>
        <v>FAIL</v>
      </c>
      <c r="H26" s="2"/>
    </row>
    <row r="27" spans="1:8" ht="28">
      <c r="A27" s="2" t="s">
        <v>308</v>
      </c>
      <c r="B27" s="2">
        <v>2</v>
      </c>
      <c r="C27" s="2"/>
      <c r="D27" s="2"/>
      <c r="E27" s="2"/>
      <c r="F27" s="2"/>
      <c r="G27" s="2" t="str">
        <f t="shared" si="0"/>
        <v>FAIL</v>
      </c>
      <c r="H27" s="2"/>
    </row>
    <row r="28" spans="1:8">
      <c r="A28" s="2" t="s">
        <v>309</v>
      </c>
      <c r="B28" s="2">
        <v>4</v>
      </c>
      <c r="C28" s="2"/>
      <c r="D28" s="2"/>
      <c r="E28" s="2"/>
      <c r="F28" s="2"/>
      <c r="G28" s="2" t="str">
        <f t="shared" si="0"/>
        <v>FAIL</v>
      </c>
      <c r="H28" s="2"/>
    </row>
    <row r="29" spans="1:8">
      <c r="A29" s="2" t="s">
        <v>310</v>
      </c>
      <c r="B29" s="2">
        <v>20</v>
      </c>
      <c r="C29" s="2"/>
      <c r="D29" s="2"/>
      <c r="E29" s="2"/>
      <c r="F29" s="2"/>
      <c r="G29" s="2" t="str">
        <f t="shared" si="0"/>
        <v>FAIL</v>
      </c>
      <c r="H29" s="2"/>
    </row>
    <row r="30" spans="1:8" ht="28">
      <c r="A30" s="2" t="s">
        <v>311</v>
      </c>
      <c r="B30" s="2">
        <v>1</v>
      </c>
      <c r="C30" s="2"/>
      <c r="D30" s="2"/>
      <c r="E30" s="2"/>
      <c r="F30" s="2"/>
      <c r="G30" s="2" t="str">
        <f t="shared" si="0"/>
        <v>FAIL</v>
      </c>
      <c r="H30" s="2"/>
    </row>
    <row r="31" spans="1:8" ht="28">
      <c r="A31" s="2" t="s">
        <v>312</v>
      </c>
      <c r="B31" s="2">
        <v>1</v>
      </c>
      <c r="C31" s="2"/>
      <c r="D31" s="2"/>
      <c r="E31" s="2"/>
      <c r="F31" s="2"/>
      <c r="G31" s="2" t="str">
        <f t="shared" si="0"/>
        <v>FAIL</v>
      </c>
      <c r="H31" s="2"/>
    </row>
    <row r="32" spans="1:8" ht="28">
      <c r="A32" s="2" t="s">
        <v>313</v>
      </c>
      <c r="B32" s="2">
        <v>1</v>
      </c>
      <c r="C32" s="2"/>
      <c r="D32" s="2"/>
      <c r="E32" s="2"/>
      <c r="F32" s="2"/>
      <c r="G32" s="2" t="str">
        <f t="shared" si="0"/>
        <v>FAIL</v>
      </c>
      <c r="H32" s="2"/>
    </row>
    <row r="33" spans="1:8" ht="28">
      <c r="A33" s="2" t="s">
        <v>314</v>
      </c>
      <c r="B33" s="2">
        <v>1</v>
      </c>
      <c r="C33" s="2"/>
      <c r="D33" s="2"/>
      <c r="E33" s="2"/>
      <c r="F33" s="2"/>
      <c r="G33" s="2" t="str">
        <f t="shared" si="0"/>
        <v>FAIL</v>
      </c>
      <c r="H33" s="2"/>
    </row>
    <row r="34" spans="1:8" ht="28">
      <c r="A34" s="2" t="s">
        <v>315</v>
      </c>
      <c r="B34" s="2">
        <v>1</v>
      </c>
      <c r="C34" s="2"/>
      <c r="D34" s="2"/>
      <c r="E34" s="2"/>
      <c r="F34" s="2"/>
      <c r="G34" s="2" t="str">
        <f t="shared" si="0"/>
        <v>FAIL</v>
      </c>
      <c r="H34" s="2"/>
    </row>
    <row r="35" spans="1:8" ht="28">
      <c r="A35" s="2" t="s">
        <v>316</v>
      </c>
      <c r="B35" s="2">
        <v>1</v>
      </c>
      <c r="C35" s="2"/>
      <c r="D35" s="2"/>
      <c r="E35" s="2"/>
      <c r="F35" s="2"/>
      <c r="G35" s="2" t="str">
        <f t="shared" si="0"/>
        <v>FAIL</v>
      </c>
      <c r="H35" s="2"/>
    </row>
    <row r="36" spans="1:8">
      <c r="A36" s="2"/>
      <c r="B36" s="2"/>
      <c r="C36" s="2"/>
      <c r="D36" s="2"/>
      <c r="E36" s="2"/>
      <c r="F36" s="2"/>
      <c r="G36" s="2"/>
      <c r="H36" s="2"/>
    </row>
    <row r="37" spans="1:8">
      <c r="A37" s="2"/>
      <c r="B37" s="2"/>
      <c r="C37" s="2"/>
      <c r="D37" s="2"/>
      <c r="E37" s="2"/>
      <c r="F37" s="2"/>
      <c r="G37" s="2"/>
      <c r="H37" s="2"/>
    </row>
    <row r="38" spans="1:8">
      <c r="A38" s="2"/>
      <c r="B38" s="2"/>
      <c r="C38" s="2"/>
      <c r="D38" s="2"/>
      <c r="E38" s="2"/>
      <c r="F38" s="2"/>
      <c r="G38" s="2"/>
      <c r="H38" s="2"/>
    </row>
    <row r="39" spans="1:8">
      <c r="A39" s="2"/>
      <c r="B39" s="2"/>
      <c r="C39" s="2"/>
      <c r="D39" s="2"/>
      <c r="E39" s="2"/>
      <c r="F39" s="2"/>
      <c r="G39" s="2"/>
      <c r="H39" s="2"/>
    </row>
    <row r="40" spans="1:8">
      <c r="A40" s="2"/>
      <c r="B40" s="2"/>
      <c r="C40" s="2"/>
      <c r="D40" s="2"/>
      <c r="E40" s="2"/>
      <c r="F40" s="2"/>
      <c r="G40" s="2"/>
      <c r="H40" s="2"/>
    </row>
    <row r="41" spans="1:8">
      <c r="A41" s="2"/>
      <c r="B41" s="2"/>
      <c r="C41" s="2"/>
      <c r="D41" s="2"/>
      <c r="E41" s="2"/>
      <c r="F41" s="2"/>
      <c r="G41" s="2"/>
      <c r="H41" s="2"/>
    </row>
    <row r="42" spans="1:8">
      <c r="A42" s="2"/>
      <c r="B42" s="2"/>
      <c r="C42" s="2"/>
      <c r="D42" s="2"/>
      <c r="E42" s="2"/>
      <c r="F42" s="2"/>
      <c r="G42" s="2"/>
      <c r="H42" s="2"/>
    </row>
    <row r="43" spans="1:8">
      <c r="A43" s="2"/>
      <c r="B43" s="2"/>
      <c r="C43" s="2"/>
      <c r="D43" s="2"/>
      <c r="E43" s="2"/>
      <c r="F43" s="2"/>
      <c r="G43" s="2"/>
      <c r="H43" s="2"/>
    </row>
    <row r="44" spans="1:8">
      <c r="A44" s="2"/>
      <c r="B44" s="2"/>
      <c r="C44" s="2"/>
      <c r="D44" s="2"/>
      <c r="E44" s="2"/>
      <c r="F44" s="2"/>
      <c r="G44" s="2"/>
      <c r="H44" s="2"/>
    </row>
    <row r="45" spans="1:8">
      <c r="A45" s="2"/>
      <c r="B45" s="2"/>
      <c r="C45" s="2"/>
      <c r="D45" s="2"/>
      <c r="E45" s="2"/>
      <c r="F45" s="2"/>
      <c r="G45" s="2"/>
      <c r="H45" s="2"/>
    </row>
    <row r="46" spans="1:8">
      <c r="A46" s="2"/>
      <c r="B46" s="2"/>
      <c r="C46" s="2"/>
      <c r="D46" s="2"/>
      <c r="E46" s="2"/>
      <c r="F46" s="2"/>
      <c r="G46" s="2"/>
      <c r="H46" s="2"/>
    </row>
    <row r="47" spans="1:8">
      <c r="A47" s="2"/>
      <c r="B47" s="2"/>
      <c r="C47" s="2"/>
      <c r="D47" s="2"/>
      <c r="E47" s="2"/>
      <c r="F47" s="2"/>
      <c r="G47" s="2"/>
      <c r="H47" s="2"/>
    </row>
    <row r="48" spans="1:8">
      <c r="A48" s="2"/>
      <c r="B48" s="2"/>
      <c r="C48" s="2"/>
      <c r="D48" s="2"/>
      <c r="E48" s="2"/>
      <c r="F48" s="2"/>
      <c r="G48" s="2"/>
      <c r="H48" s="2"/>
    </row>
    <row r="49" spans="1:8">
      <c r="A49" s="2"/>
      <c r="B49" s="2"/>
      <c r="C49" s="2"/>
      <c r="D49" s="2"/>
      <c r="E49" s="2"/>
      <c r="F49" s="2"/>
      <c r="G49" s="2"/>
      <c r="H49" s="2"/>
    </row>
    <row r="50" spans="1:8">
      <c r="A50" s="2"/>
      <c r="B50" s="2"/>
      <c r="C50" s="2"/>
      <c r="D50" s="2"/>
      <c r="E50" s="2"/>
      <c r="F50" s="2"/>
      <c r="G50" s="2"/>
      <c r="H50" s="2"/>
    </row>
    <row r="51" spans="1:8">
      <c r="A51" s="2"/>
      <c r="B51" s="2"/>
      <c r="C51" s="2"/>
      <c r="D51" s="2"/>
      <c r="E51" s="2"/>
      <c r="F51" s="2"/>
      <c r="G51" s="2"/>
      <c r="H51" s="2"/>
    </row>
    <row r="52" spans="1:8">
      <c r="A52" s="2"/>
      <c r="B52" s="2"/>
      <c r="C52" s="2"/>
      <c r="D52" s="2"/>
      <c r="E52" s="2"/>
      <c r="F52" s="2"/>
      <c r="G52" s="2"/>
      <c r="H52" s="2"/>
    </row>
    <row r="53" spans="1:8">
      <c r="A53" s="2"/>
      <c r="B53" s="2"/>
      <c r="C53" s="2"/>
      <c r="D53" s="2"/>
      <c r="E53" s="2"/>
      <c r="F53" s="2"/>
      <c r="G53" s="2"/>
      <c r="H53" s="2"/>
    </row>
    <row r="54" spans="1:8">
      <c r="A54" s="2"/>
      <c r="B54" s="2"/>
      <c r="C54" s="2"/>
      <c r="D54" s="2"/>
      <c r="E54" s="2"/>
      <c r="F54" s="2"/>
      <c r="G54" s="2"/>
      <c r="H54" s="2"/>
    </row>
    <row r="55" spans="1:8">
      <c r="A55" s="2"/>
      <c r="B55" s="2"/>
      <c r="C55" s="2"/>
      <c r="D55" s="2"/>
      <c r="E55" s="2"/>
      <c r="F55" s="2"/>
      <c r="G55" s="2"/>
      <c r="H55" s="2"/>
    </row>
    <row r="56" spans="1:8">
      <c r="A56" s="2"/>
      <c r="B56" s="2"/>
      <c r="C56" s="2"/>
      <c r="D56" s="2"/>
      <c r="E56" s="2"/>
      <c r="F56" s="2"/>
      <c r="G56" s="2"/>
      <c r="H56" s="2"/>
    </row>
    <row r="57" spans="1:8">
      <c r="A57" s="2"/>
      <c r="B57" s="2"/>
      <c r="C57" s="2"/>
      <c r="D57" s="2"/>
      <c r="E57" s="2"/>
      <c r="F57" s="2"/>
      <c r="G57" s="2"/>
      <c r="H57" s="2"/>
    </row>
    <row r="58" spans="1:8">
      <c r="A58" s="2"/>
      <c r="B58" s="2"/>
      <c r="C58" s="2"/>
      <c r="D58" s="2"/>
      <c r="E58" s="2"/>
      <c r="F58" s="2"/>
      <c r="G58" s="2"/>
      <c r="H58" s="2"/>
    </row>
    <row r="59" spans="1:8">
      <c r="A59" s="2"/>
      <c r="B59" s="2"/>
      <c r="C59" s="2"/>
      <c r="D59" s="2"/>
      <c r="E59" s="2"/>
      <c r="F59" s="2"/>
      <c r="G59" s="2"/>
      <c r="H59" s="2"/>
    </row>
    <row r="60" spans="1:8">
      <c r="A60" s="2"/>
      <c r="B60" s="2"/>
      <c r="C60" s="2"/>
      <c r="D60" s="2"/>
      <c r="E60" s="2"/>
      <c r="F60" s="2"/>
      <c r="G60" s="2"/>
      <c r="H60" s="2"/>
    </row>
  </sheetData>
  <mergeCells count="2">
    <mergeCell ref="A1:H1"/>
    <mergeCell ref="A2:H2"/>
  </mergeCells>
  <dataValidations count="2">
    <dataValidation type="list" sqref="B7" xr:uid="{00000000-0002-0000-0900-000000000000}">
      <formula1>"Yes,No"</formula1>
    </dataValidation>
    <dataValidation type="list" sqref="E14:E35" xr:uid="{00000000-0002-0000-0900-000001000000}">
      <formula1>"Yes,No,N/A"</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3"/>
  <sheetViews>
    <sheetView workbookViewId="0"/>
  </sheetViews>
  <sheetFormatPr defaultRowHeight="14"/>
  <cols>
    <col min="1" max="2" width="17" customWidth="1"/>
    <col min="3" max="3" width="25" customWidth="1"/>
    <col min="4" max="13" width="17" customWidth="1"/>
    <col min="14" max="14" width="28" customWidth="1"/>
    <col min="15" max="15" width="17" customWidth="1"/>
  </cols>
  <sheetData>
    <row r="1" spans="1:15" ht="20">
      <c r="A1" s="6" t="s">
        <v>333</v>
      </c>
      <c r="B1" s="7"/>
      <c r="C1" s="7"/>
      <c r="D1" s="7"/>
      <c r="E1" s="7"/>
      <c r="F1" s="7"/>
      <c r="G1" s="7"/>
      <c r="H1" s="7"/>
      <c r="I1" s="7"/>
      <c r="J1" s="7"/>
      <c r="K1" s="7"/>
      <c r="L1" s="7"/>
      <c r="M1" s="7"/>
      <c r="N1" s="7"/>
      <c r="O1" s="7"/>
    </row>
    <row r="2" spans="1:15" ht="14.5">
      <c r="A2" s="8" t="s">
        <v>318</v>
      </c>
      <c r="B2" s="7"/>
      <c r="C2" s="7"/>
      <c r="D2" s="7"/>
      <c r="E2" s="7"/>
      <c r="F2" s="7"/>
      <c r="G2" s="7"/>
      <c r="H2" s="7"/>
      <c r="I2" s="7"/>
      <c r="J2" s="7"/>
      <c r="K2" s="7"/>
      <c r="L2" s="7"/>
      <c r="M2" s="7"/>
      <c r="N2" s="7"/>
      <c r="O2" s="7"/>
    </row>
    <row r="4" spans="1:15">
      <c r="A4" s="3" t="s">
        <v>107</v>
      </c>
      <c r="B4" t="s">
        <v>330</v>
      </c>
    </row>
    <row r="5" spans="1:15">
      <c r="A5" s="3" t="s">
        <v>110</v>
      </c>
    </row>
    <row r="6" spans="1:15">
      <c r="A6" s="3" t="s">
        <v>229</v>
      </c>
    </row>
    <row r="7" spans="1:15">
      <c r="A7" s="3" t="s">
        <v>230</v>
      </c>
    </row>
    <row r="8" spans="1:15">
      <c r="A8" s="3" t="s">
        <v>319</v>
      </c>
      <c r="B8">
        <f>COUNTA(A14:A113)</f>
        <v>0</v>
      </c>
    </row>
    <row r="9" spans="1:15" ht="28">
      <c r="A9" s="3" t="s">
        <v>320</v>
      </c>
      <c r="B9">
        <f>COUNTIF(O14:O113,"FAIL")</f>
        <v>0</v>
      </c>
    </row>
    <row r="10" spans="1:15">
      <c r="A10" s="3" t="s">
        <v>46</v>
      </c>
      <c r="B10" t="str">
        <f>IF(AND(B7="Yes",B9=0),"Complete","Incomplete")</f>
        <v>Incomplete</v>
      </c>
    </row>
    <row r="13" spans="1:15" ht="42">
      <c r="A13" s="1" t="s">
        <v>120</v>
      </c>
      <c r="B13" s="1" t="s">
        <v>121</v>
      </c>
      <c r="C13" s="1" t="s">
        <v>321</v>
      </c>
      <c r="D13" s="1" t="s">
        <v>234</v>
      </c>
      <c r="E13" s="1" t="s">
        <v>235</v>
      </c>
      <c r="F13" s="1" t="s">
        <v>294</v>
      </c>
      <c r="G13" s="1" t="s">
        <v>322</v>
      </c>
      <c r="H13" s="1" t="s">
        <v>323</v>
      </c>
      <c r="I13" s="1" t="s">
        <v>324</v>
      </c>
      <c r="J13" s="1" t="s">
        <v>149</v>
      </c>
      <c r="K13" s="1" t="s">
        <v>325</v>
      </c>
      <c r="L13" s="1" t="s">
        <v>326</v>
      </c>
      <c r="M13" s="1" t="s">
        <v>327</v>
      </c>
      <c r="N13" s="1" t="s">
        <v>239</v>
      </c>
      <c r="O13" s="1" t="s">
        <v>328</v>
      </c>
    </row>
    <row r="14" spans="1:15">
      <c r="A14" s="2"/>
      <c r="B14" s="2"/>
      <c r="C14" s="2"/>
      <c r="D14" s="2"/>
      <c r="E14" s="2"/>
      <c r="F14" s="2"/>
      <c r="G14" s="2"/>
      <c r="H14" s="2"/>
      <c r="I14" s="2"/>
      <c r="J14" s="2"/>
      <c r="K14" s="2"/>
      <c r="L14" s="2"/>
      <c r="M14" s="2"/>
      <c r="N14" s="2"/>
      <c r="O14" s="2" t="str">
        <f t="shared" ref="O14:O45" si="0">IF(OR(E14&lt;D14,F14="No",G14="No",H14="No",I14="No",J14="No",K14="No",L14="No",M14="No"),"FAIL","PASS")</f>
        <v>PASS</v>
      </c>
    </row>
    <row r="15" spans="1:15">
      <c r="A15" s="2"/>
      <c r="B15" s="2"/>
      <c r="C15" s="2"/>
      <c r="D15" s="2"/>
      <c r="E15" s="2"/>
      <c r="F15" s="2"/>
      <c r="G15" s="2"/>
      <c r="H15" s="2"/>
      <c r="I15" s="2"/>
      <c r="J15" s="2"/>
      <c r="K15" s="2"/>
      <c r="L15" s="2"/>
      <c r="M15" s="2"/>
      <c r="N15" s="2"/>
      <c r="O15" s="2" t="str">
        <f t="shared" si="0"/>
        <v>PASS</v>
      </c>
    </row>
    <row r="16" spans="1:15">
      <c r="A16" s="2"/>
      <c r="B16" s="2"/>
      <c r="C16" s="2"/>
      <c r="D16" s="2"/>
      <c r="E16" s="2"/>
      <c r="F16" s="2"/>
      <c r="G16" s="2"/>
      <c r="H16" s="2"/>
      <c r="I16" s="2"/>
      <c r="J16" s="2"/>
      <c r="K16" s="2"/>
      <c r="L16" s="2"/>
      <c r="M16" s="2"/>
      <c r="N16" s="2"/>
      <c r="O16" s="2" t="str">
        <f t="shared" si="0"/>
        <v>PASS</v>
      </c>
    </row>
    <row r="17" spans="1:15">
      <c r="A17" s="2"/>
      <c r="B17" s="2"/>
      <c r="C17" s="2"/>
      <c r="D17" s="2"/>
      <c r="E17" s="2"/>
      <c r="F17" s="2"/>
      <c r="G17" s="2"/>
      <c r="H17" s="2"/>
      <c r="I17" s="2"/>
      <c r="J17" s="2"/>
      <c r="K17" s="2"/>
      <c r="L17" s="2"/>
      <c r="M17" s="2"/>
      <c r="N17" s="2"/>
      <c r="O17" s="2" t="str">
        <f t="shared" si="0"/>
        <v>PASS</v>
      </c>
    </row>
    <row r="18" spans="1:15">
      <c r="A18" s="2"/>
      <c r="B18" s="2"/>
      <c r="C18" s="2"/>
      <c r="D18" s="2"/>
      <c r="E18" s="2"/>
      <c r="F18" s="2"/>
      <c r="G18" s="2"/>
      <c r="H18" s="2"/>
      <c r="I18" s="2"/>
      <c r="J18" s="2"/>
      <c r="K18" s="2"/>
      <c r="L18" s="2"/>
      <c r="M18" s="2"/>
      <c r="N18" s="2"/>
      <c r="O18" s="2" t="str">
        <f t="shared" si="0"/>
        <v>PASS</v>
      </c>
    </row>
    <row r="19" spans="1:15">
      <c r="A19" s="2"/>
      <c r="B19" s="2"/>
      <c r="C19" s="2"/>
      <c r="D19" s="2"/>
      <c r="E19" s="2"/>
      <c r="F19" s="2"/>
      <c r="G19" s="2"/>
      <c r="H19" s="2"/>
      <c r="I19" s="2"/>
      <c r="J19" s="2"/>
      <c r="K19" s="2"/>
      <c r="L19" s="2"/>
      <c r="M19" s="2"/>
      <c r="N19" s="2"/>
      <c r="O19" s="2" t="str">
        <f t="shared" si="0"/>
        <v>PASS</v>
      </c>
    </row>
    <row r="20" spans="1:15">
      <c r="A20" s="2"/>
      <c r="B20" s="2"/>
      <c r="C20" s="2"/>
      <c r="D20" s="2"/>
      <c r="E20" s="2"/>
      <c r="F20" s="2"/>
      <c r="G20" s="2"/>
      <c r="H20" s="2"/>
      <c r="I20" s="2"/>
      <c r="J20" s="2"/>
      <c r="K20" s="2"/>
      <c r="L20" s="2"/>
      <c r="M20" s="2"/>
      <c r="N20" s="2"/>
      <c r="O20" s="2" t="str">
        <f t="shared" si="0"/>
        <v>PASS</v>
      </c>
    </row>
    <row r="21" spans="1:15">
      <c r="A21" s="2"/>
      <c r="B21" s="2"/>
      <c r="C21" s="2"/>
      <c r="D21" s="2"/>
      <c r="E21" s="2"/>
      <c r="F21" s="2"/>
      <c r="G21" s="2"/>
      <c r="H21" s="2"/>
      <c r="I21" s="2"/>
      <c r="J21" s="2"/>
      <c r="K21" s="2"/>
      <c r="L21" s="2"/>
      <c r="M21" s="2"/>
      <c r="N21" s="2"/>
      <c r="O21" s="2" t="str">
        <f t="shared" si="0"/>
        <v>PASS</v>
      </c>
    </row>
    <row r="22" spans="1:15">
      <c r="A22" s="2"/>
      <c r="B22" s="2"/>
      <c r="C22" s="2"/>
      <c r="D22" s="2"/>
      <c r="E22" s="2"/>
      <c r="F22" s="2"/>
      <c r="G22" s="2"/>
      <c r="H22" s="2"/>
      <c r="I22" s="2"/>
      <c r="J22" s="2"/>
      <c r="K22" s="2"/>
      <c r="L22" s="2"/>
      <c r="M22" s="2"/>
      <c r="N22" s="2"/>
      <c r="O22" s="2" t="str">
        <f t="shared" si="0"/>
        <v>PASS</v>
      </c>
    </row>
    <row r="23" spans="1:15">
      <c r="A23" s="2"/>
      <c r="B23" s="2"/>
      <c r="C23" s="2"/>
      <c r="D23" s="2"/>
      <c r="E23" s="2"/>
      <c r="F23" s="2"/>
      <c r="G23" s="2"/>
      <c r="H23" s="2"/>
      <c r="I23" s="2"/>
      <c r="J23" s="2"/>
      <c r="K23" s="2"/>
      <c r="L23" s="2"/>
      <c r="M23" s="2"/>
      <c r="N23" s="2"/>
      <c r="O23" s="2" t="str">
        <f t="shared" si="0"/>
        <v>PASS</v>
      </c>
    </row>
    <row r="24" spans="1:15">
      <c r="A24" s="2"/>
      <c r="B24" s="2"/>
      <c r="C24" s="2"/>
      <c r="D24" s="2"/>
      <c r="E24" s="2"/>
      <c r="F24" s="2"/>
      <c r="G24" s="2"/>
      <c r="H24" s="2"/>
      <c r="I24" s="2"/>
      <c r="J24" s="2"/>
      <c r="K24" s="2"/>
      <c r="L24" s="2"/>
      <c r="M24" s="2"/>
      <c r="N24" s="2"/>
      <c r="O24" s="2" t="str">
        <f t="shared" si="0"/>
        <v>PASS</v>
      </c>
    </row>
    <row r="25" spans="1:15">
      <c r="A25" s="2"/>
      <c r="B25" s="2"/>
      <c r="C25" s="2"/>
      <c r="D25" s="2"/>
      <c r="E25" s="2"/>
      <c r="F25" s="2"/>
      <c r="G25" s="2"/>
      <c r="H25" s="2"/>
      <c r="I25" s="2"/>
      <c r="J25" s="2"/>
      <c r="K25" s="2"/>
      <c r="L25" s="2"/>
      <c r="M25" s="2"/>
      <c r="N25" s="2"/>
      <c r="O25" s="2" t="str">
        <f t="shared" si="0"/>
        <v>PASS</v>
      </c>
    </row>
    <row r="26" spans="1:15">
      <c r="A26" s="2"/>
      <c r="B26" s="2"/>
      <c r="C26" s="2"/>
      <c r="D26" s="2"/>
      <c r="E26" s="2"/>
      <c r="F26" s="2"/>
      <c r="G26" s="2"/>
      <c r="H26" s="2"/>
      <c r="I26" s="2"/>
      <c r="J26" s="2"/>
      <c r="K26" s="2"/>
      <c r="L26" s="2"/>
      <c r="M26" s="2"/>
      <c r="N26" s="2"/>
      <c r="O26" s="2" t="str">
        <f t="shared" si="0"/>
        <v>PASS</v>
      </c>
    </row>
    <row r="27" spans="1:15">
      <c r="A27" s="2"/>
      <c r="B27" s="2"/>
      <c r="C27" s="2"/>
      <c r="D27" s="2"/>
      <c r="E27" s="2"/>
      <c r="F27" s="2"/>
      <c r="G27" s="2"/>
      <c r="H27" s="2"/>
      <c r="I27" s="2"/>
      <c r="J27" s="2"/>
      <c r="K27" s="2"/>
      <c r="L27" s="2"/>
      <c r="M27" s="2"/>
      <c r="N27" s="2"/>
      <c r="O27" s="2" t="str">
        <f t="shared" si="0"/>
        <v>PASS</v>
      </c>
    </row>
    <row r="28" spans="1:15">
      <c r="A28" s="2"/>
      <c r="B28" s="2"/>
      <c r="C28" s="2"/>
      <c r="D28" s="2"/>
      <c r="E28" s="2"/>
      <c r="F28" s="2"/>
      <c r="G28" s="2"/>
      <c r="H28" s="2"/>
      <c r="I28" s="2"/>
      <c r="J28" s="2"/>
      <c r="K28" s="2"/>
      <c r="L28" s="2"/>
      <c r="M28" s="2"/>
      <c r="N28" s="2"/>
      <c r="O28" s="2" t="str">
        <f t="shared" si="0"/>
        <v>PASS</v>
      </c>
    </row>
    <row r="29" spans="1:15">
      <c r="A29" s="2"/>
      <c r="B29" s="2"/>
      <c r="C29" s="2"/>
      <c r="D29" s="2"/>
      <c r="E29" s="2"/>
      <c r="F29" s="2"/>
      <c r="G29" s="2"/>
      <c r="H29" s="2"/>
      <c r="I29" s="2"/>
      <c r="J29" s="2"/>
      <c r="K29" s="2"/>
      <c r="L29" s="2"/>
      <c r="M29" s="2"/>
      <c r="N29" s="2"/>
      <c r="O29" s="2" t="str">
        <f t="shared" si="0"/>
        <v>PASS</v>
      </c>
    </row>
    <row r="30" spans="1:15">
      <c r="A30" s="2"/>
      <c r="B30" s="2"/>
      <c r="C30" s="2"/>
      <c r="D30" s="2"/>
      <c r="E30" s="2"/>
      <c r="F30" s="2"/>
      <c r="G30" s="2"/>
      <c r="H30" s="2"/>
      <c r="I30" s="2"/>
      <c r="J30" s="2"/>
      <c r="K30" s="2"/>
      <c r="L30" s="2"/>
      <c r="M30" s="2"/>
      <c r="N30" s="2"/>
      <c r="O30" s="2" t="str">
        <f t="shared" si="0"/>
        <v>PASS</v>
      </c>
    </row>
    <row r="31" spans="1:15">
      <c r="A31" s="2"/>
      <c r="B31" s="2"/>
      <c r="C31" s="2"/>
      <c r="D31" s="2"/>
      <c r="E31" s="2"/>
      <c r="F31" s="2"/>
      <c r="G31" s="2"/>
      <c r="H31" s="2"/>
      <c r="I31" s="2"/>
      <c r="J31" s="2"/>
      <c r="K31" s="2"/>
      <c r="L31" s="2"/>
      <c r="M31" s="2"/>
      <c r="N31" s="2"/>
      <c r="O31" s="2" t="str">
        <f t="shared" si="0"/>
        <v>PASS</v>
      </c>
    </row>
    <row r="32" spans="1:15">
      <c r="A32" s="2"/>
      <c r="B32" s="2"/>
      <c r="C32" s="2"/>
      <c r="D32" s="2"/>
      <c r="E32" s="2"/>
      <c r="F32" s="2"/>
      <c r="G32" s="2"/>
      <c r="H32" s="2"/>
      <c r="I32" s="2"/>
      <c r="J32" s="2"/>
      <c r="K32" s="2"/>
      <c r="L32" s="2"/>
      <c r="M32" s="2"/>
      <c r="N32" s="2"/>
      <c r="O32" s="2" t="str">
        <f t="shared" si="0"/>
        <v>PASS</v>
      </c>
    </row>
    <row r="33" spans="1:15">
      <c r="A33" s="2"/>
      <c r="B33" s="2"/>
      <c r="C33" s="2"/>
      <c r="D33" s="2"/>
      <c r="E33" s="2"/>
      <c r="F33" s="2"/>
      <c r="G33" s="2"/>
      <c r="H33" s="2"/>
      <c r="I33" s="2"/>
      <c r="J33" s="2"/>
      <c r="K33" s="2"/>
      <c r="L33" s="2"/>
      <c r="M33" s="2"/>
      <c r="N33" s="2"/>
      <c r="O33" s="2" t="str">
        <f t="shared" si="0"/>
        <v>PASS</v>
      </c>
    </row>
    <row r="34" spans="1:15">
      <c r="A34" s="2"/>
      <c r="B34" s="2"/>
      <c r="C34" s="2"/>
      <c r="D34" s="2"/>
      <c r="E34" s="2"/>
      <c r="F34" s="2"/>
      <c r="G34" s="2"/>
      <c r="H34" s="2"/>
      <c r="I34" s="2"/>
      <c r="J34" s="2"/>
      <c r="K34" s="2"/>
      <c r="L34" s="2"/>
      <c r="M34" s="2"/>
      <c r="N34" s="2"/>
      <c r="O34" s="2" t="str">
        <f t="shared" si="0"/>
        <v>PASS</v>
      </c>
    </row>
    <row r="35" spans="1:15">
      <c r="A35" s="2"/>
      <c r="B35" s="2"/>
      <c r="C35" s="2"/>
      <c r="D35" s="2"/>
      <c r="E35" s="2"/>
      <c r="F35" s="2"/>
      <c r="G35" s="2"/>
      <c r="H35" s="2"/>
      <c r="I35" s="2"/>
      <c r="J35" s="2"/>
      <c r="K35" s="2"/>
      <c r="L35" s="2"/>
      <c r="M35" s="2"/>
      <c r="N35" s="2"/>
      <c r="O35" s="2" t="str">
        <f t="shared" si="0"/>
        <v>PASS</v>
      </c>
    </row>
    <row r="36" spans="1:15">
      <c r="A36" s="2"/>
      <c r="B36" s="2"/>
      <c r="C36" s="2"/>
      <c r="D36" s="2"/>
      <c r="E36" s="2"/>
      <c r="F36" s="2"/>
      <c r="G36" s="2"/>
      <c r="H36" s="2"/>
      <c r="I36" s="2"/>
      <c r="J36" s="2"/>
      <c r="K36" s="2"/>
      <c r="L36" s="2"/>
      <c r="M36" s="2"/>
      <c r="N36" s="2"/>
      <c r="O36" s="2" t="str">
        <f t="shared" si="0"/>
        <v>PASS</v>
      </c>
    </row>
    <row r="37" spans="1:15">
      <c r="A37" s="2"/>
      <c r="B37" s="2"/>
      <c r="C37" s="2"/>
      <c r="D37" s="2"/>
      <c r="E37" s="2"/>
      <c r="F37" s="2"/>
      <c r="G37" s="2"/>
      <c r="H37" s="2"/>
      <c r="I37" s="2"/>
      <c r="J37" s="2"/>
      <c r="K37" s="2"/>
      <c r="L37" s="2"/>
      <c r="M37" s="2"/>
      <c r="N37" s="2"/>
      <c r="O37" s="2" t="str">
        <f t="shared" si="0"/>
        <v>PASS</v>
      </c>
    </row>
    <row r="38" spans="1:15">
      <c r="A38" s="2"/>
      <c r="B38" s="2"/>
      <c r="C38" s="2"/>
      <c r="D38" s="2"/>
      <c r="E38" s="2"/>
      <c r="F38" s="2"/>
      <c r="G38" s="2"/>
      <c r="H38" s="2"/>
      <c r="I38" s="2"/>
      <c r="J38" s="2"/>
      <c r="K38" s="2"/>
      <c r="L38" s="2"/>
      <c r="M38" s="2"/>
      <c r="N38" s="2"/>
      <c r="O38" s="2" t="str">
        <f t="shared" si="0"/>
        <v>PASS</v>
      </c>
    </row>
    <row r="39" spans="1:15">
      <c r="A39" s="2"/>
      <c r="B39" s="2"/>
      <c r="C39" s="2"/>
      <c r="D39" s="2"/>
      <c r="E39" s="2"/>
      <c r="F39" s="2"/>
      <c r="G39" s="2"/>
      <c r="H39" s="2"/>
      <c r="I39" s="2"/>
      <c r="J39" s="2"/>
      <c r="K39" s="2"/>
      <c r="L39" s="2"/>
      <c r="M39" s="2"/>
      <c r="N39" s="2"/>
      <c r="O39" s="2" t="str">
        <f t="shared" si="0"/>
        <v>PASS</v>
      </c>
    </row>
    <row r="40" spans="1:15">
      <c r="A40" s="2"/>
      <c r="B40" s="2"/>
      <c r="C40" s="2"/>
      <c r="D40" s="2"/>
      <c r="E40" s="2"/>
      <c r="F40" s="2"/>
      <c r="G40" s="2"/>
      <c r="H40" s="2"/>
      <c r="I40" s="2"/>
      <c r="J40" s="2"/>
      <c r="K40" s="2"/>
      <c r="L40" s="2"/>
      <c r="M40" s="2"/>
      <c r="N40" s="2"/>
      <c r="O40" s="2" t="str">
        <f t="shared" si="0"/>
        <v>PASS</v>
      </c>
    </row>
    <row r="41" spans="1:15">
      <c r="A41" s="2"/>
      <c r="B41" s="2"/>
      <c r="C41" s="2"/>
      <c r="D41" s="2"/>
      <c r="E41" s="2"/>
      <c r="F41" s="2"/>
      <c r="G41" s="2"/>
      <c r="H41" s="2"/>
      <c r="I41" s="2"/>
      <c r="J41" s="2"/>
      <c r="K41" s="2"/>
      <c r="L41" s="2"/>
      <c r="M41" s="2"/>
      <c r="N41" s="2"/>
      <c r="O41" s="2" t="str">
        <f t="shared" si="0"/>
        <v>PASS</v>
      </c>
    </row>
    <row r="42" spans="1:15">
      <c r="A42" s="2"/>
      <c r="B42" s="2"/>
      <c r="C42" s="2"/>
      <c r="D42" s="2"/>
      <c r="E42" s="2"/>
      <c r="F42" s="2"/>
      <c r="G42" s="2"/>
      <c r="H42" s="2"/>
      <c r="I42" s="2"/>
      <c r="J42" s="2"/>
      <c r="K42" s="2"/>
      <c r="L42" s="2"/>
      <c r="M42" s="2"/>
      <c r="N42" s="2"/>
      <c r="O42" s="2" t="str">
        <f t="shared" si="0"/>
        <v>PASS</v>
      </c>
    </row>
    <row r="43" spans="1:15">
      <c r="A43" s="2"/>
      <c r="B43" s="2"/>
      <c r="C43" s="2"/>
      <c r="D43" s="2"/>
      <c r="E43" s="2"/>
      <c r="F43" s="2"/>
      <c r="G43" s="2"/>
      <c r="H43" s="2"/>
      <c r="I43" s="2"/>
      <c r="J43" s="2"/>
      <c r="K43" s="2"/>
      <c r="L43" s="2"/>
      <c r="M43" s="2"/>
      <c r="N43" s="2"/>
      <c r="O43" s="2" t="str">
        <f t="shared" si="0"/>
        <v>PASS</v>
      </c>
    </row>
    <row r="44" spans="1:15">
      <c r="A44" s="2"/>
      <c r="B44" s="2"/>
      <c r="C44" s="2"/>
      <c r="D44" s="2"/>
      <c r="E44" s="2"/>
      <c r="F44" s="2"/>
      <c r="G44" s="2"/>
      <c r="H44" s="2"/>
      <c r="I44" s="2"/>
      <c r="J44" s="2"/>
      <c r="K44" s="2"/>
      <c r="L44" s="2"/>
      <c r="M44" s="2"/>
      <c r="N44" s="2"/>
      <c r="O44" s="2" t="str">
        <f t="shared" si="0"/>
        <v>PASS</v>
      </c>
    </row>
    <row r="45" spans="1:15">
      <c r="A45" s="2"/>
      <c r="B45" s="2"/>
      <c r="C45" s="2"/>
      <c r="D45" s="2"/>
      <c r="E45" s="2"/>
      <c r="F45" s="2"/>
      <c r="G45" s="2"/>
      <c r="H45" s="2"/>
      <c r="I45" s="2"/>
      <c r="J45" s="2"/>
      <c r="K45" s="2"/>
      <c r="L45" s="2"/>
      <c r="M45" s="2"/>
      <c r="N45" s="2"/>
      <c r="O45" s="2" t="str">
        <f t="shared" si="0"/>
        <v>PASS</v>
      </c>
    </row>
    <row r="46" spans="1:15">
      <c r="A46" s="2"/>
      <c r="B46" s="2"/>
      <c r="C46" s="2"/>
      <c r="D46" s="2"/>
      <c r="E46" s="2"/>
      <c r="F46" s="2"/>
      <c r="G46" s="2"/>
      <c r="H46" s="2"/>
      <c r="I46" s="2"/>
      <c r="J46" s="2"/>
      <c r="K46" s="2"/>
      <c r="L46" s="2"/>
      <c r="M46" s="2"/>
      <c r="N46" s="2"/>
      <c r="O46" s="2" t="str">
        <f t="shared" ref="O46:O77" si="1">IF(OR(E46&lt;D46,F46="No",G46="No",H46="No",I46="No",J46="No",K46="No",L46="No",M46="No"),"FAIL","PASS")</f>
        <v>PASS</v>
      </c>
    </row>
    <row r="47" spans="1:15">
      <c r="A47" s="2"/>
      <c r="B47" s="2"/>
      <c r="C47" s="2"/>
      <c r="D47" s="2"/>
      <c r="E47" s="2"/>
      <c r="F47" s="2"/>
      <c r="G47" s="2"/>
      <c r="H47" s="2"/>
      <c r="I47" s="2"/>
      <c r="J47" s="2"/>
      <c r="K47" s="2"/>
      <c r="L47" s="2"/>
      <c r="M47" s="2"/>
      <c r="N47" s="2"/>
      <c r="O47" s="2" t="str">
        <f t="shared" si="1"/>
        <v>PASS</v>
      </c>
    </row>
    <row r="48" spans="1:15">
      <c r="A48" s="2"/>
      <c r="B48" s="2"/>
      <c r="C48" s="2"/>
      <c r="D48" s="2"/>
      <c r="E48" s="2"/>
      <c r="F48" s="2"/>
      <c r="G48" s="2"/>
      <c r="H48" s="2"/>
      <c r="I48" s="2"/>
      <c r="J48" s="2"/>
      <c r="K48" s="2"/>
      <c r="L48" s="2"/>
      <c r="M48" s="2"/>
      <c r="N48" s="2"/>
      <c r="O48" s="2" t="str">
        <f t="shared" si="1"/>
        <v>PASS</v>
      </c>
    </row>
    <row r="49" spans="1:15">
      <c r="A49" s="2"/>
      <c r="B49" s="2"/>
      <c r="C49" s="2"/>
      <c r="D49" s="2"/>
      <c r="E49" s="2"/>
      <c r="F49" s="2"/>
      <c r="G49" s="2"/>
      <c r="H49" s="2"/>
      <c r="I49" s="2"/>
      <c r="J49" s="2"/>
      <c r="K49" s="2"/>
      <c r="L49" s="2"/>
      <c r="M49" s="2"/>
      <c r="N49" s="2"/>
      <c r="O49" s="2" t="str">
        <f t="shared" si="1"/>
        <v>PASS</v>
      </c>
    </row>
    <row r="50" spans="1:15">
      <c r="A50" s="2"/>
      <c r="B50" s="2"/>
      <c r="C50" s="2"/>
      <c r="D50" s="2"/>
      <c r="E50" s="2"/>
      <c r="F50" s="2"/>
      <c r="G50" s="2"/>
      <c r="H50" s="2"/>
      <c r="I50" s="2"/>
      <c r="J50" s="2"/>
      <c r="K50" s="2"/>
      <c r="L50" s="2"/>
      <c r="M50" s="2"/>
      <c r="N50" s="2"/>
      <c r="O50" s="2" t="str">
        <f t="shared" si="1"/>
        <v>PASS</v>
      </c>
    </row>
    <row r="51" spans="1:15">
      <c r="A51" s="2"/>
      <c r="B51" s="2"/>
      <c r="C51" s="2"/>
      <c r="D51" s="2"/>
      <c r="E51" s="2"/>
      <c r="F51" s="2"/>
      <c r="G51" s="2"/>
      <c r="H51" s="2"/>
      <c r="I51" s="2"/>
      <c r="J51" s="2"/>
      <c r="K51" s="2"/>
      <c r="L51" s="2"/>
      <c r="M51" s="2"/>
      <c r="N51" s="2"/>
      <c r="O51" s="2" t="str">
        <f t="shared" si="1"/>
        <v>PASS</v>
      </c>
    </row>
    <row r="52" spans="1:15">
      <c r="A52" s="2"/>
      <c r="B52" s="2"/>
      <c r="C52" s="2"/>
      <c r="D52" s="2"/>
      <c r="E52" s="2"/>
      <c r="F52" s="2"/>
      <c r="G52" s="2"/>
      <c r="H52" s="2"/>
      <c r="I52" s="2"/>
      <c r="J52" s="2"/>
      <c r="K52" s="2"/>
      <c r="L52" s="2"/>
      <c r="M52" s="2"/>
      <c r="N52" s="2"/>
      <c r="O52" s="2" t="str">
        <f t="shared" si="1"/>
        <v>PASS</v>
      </c>
    </row>
    <row r="53" spans="1:15">
      <c r="A53" s="2"/>
      <c r="B53" s="2"/>
      <c r="C53" s="2"/>
      <c r="D53" s="2"/>
      <c r="E53" s="2"/>
      <c r="F53" s="2"/>
      <c r="G53" s="2"/>
      <c r="H53" s="2"/>
      <c r="I53" s="2"/>
      <c r="J53" s="2"/>
      <c r="K53" s="2"/>
      <c r="L53" s="2"/>
      <c r="M53" s="2"/>
      <c r="N53" s="2"/>
      <c r="O53" s="2" t="str">
        <f t="shared" si="1"/>
        <v>PASS</v>
      </c>
    </row>
    <row r="54" spans="1:15">
      <c r="A54" s="2"/>
      <c r="B54" s="2"/>
      <c r="C54" s="2"/>
      <c r="D54" s="2"/>
      <c r="E54" s="2"/>
      <c r="F54" s="2"/>
      <c r="G54" s="2"/>
      <c r="H54" s="2"/>
      <c r="I54" s="2"/>
      <c r="J54" s="2"/>
      <c r="K54" s="2"/>
      <c r="L54" s="2"/>
      <c r="M54" s="2"/>
      <c r="N54" s="2"/>
      <c r="O54" s="2" t="str">
        <f t="shared" si="1"/>
        <v>PASS</v>
      </c>
    </row>
    <row r="55" spans="1:15">
      <c r="A55" s="2"/>
      <c r="B55" s="2"/>
      <c r="C55" s="2"/>
      <c r="D55" s="2"/>
      <c r="E55" s="2"/>
      <c r="F55" s="2"/>
      <c r="G55" s="2"/>
      <c r="H55" s="2"/>
      <c r="I55" s="2"/>
      <c r="J55" s="2"/>
      <c r="K55" s="2"/>
      <c r="L55" s="2"/>
      <c r="M55" s="2"/>
      <c r="N55" s="2"/>
      <c r="O55" s="2" t="str">
        <f t="shared" si="1"/>
        <v>PASS</v>
      </c>
    </row>
    <row r="56" spans="1:15">
      <c r="A56" s="2"/>
      <c r="B56" s="2"/>
      <c r="C56" s="2"/>
      <c r="D56" s="2"/>
      <c r="E56" s="2"/>
      <c r="F56" s="2"/>
      <c r="G56" s="2"/>
      <c r="H56" s="2"/>
      <c r="I56" s="2"/>
      <c r="J56" s="2"/>
      <c r="K56" s="2"/>
      <c r="L56" s="2"/>
      <c r="M56" s="2"/>
      <c r="N56" s="2"/>
      <c r="O56" s="2" t="str">
        <f t="shared" si="1"/>
        <v>PASS</v>
      </c>
    </row>
    <row r="57" spans="1:15">
      <c r="A57" s="2"/>
      <c r="B57" s="2"/>
      <c r="C57" s="2"/>
      <c r="D57" s="2"/>
      <c r="E57" s="2"/>
      <c r="F57" s="2"/>
      <c r="G57" s="2"/>
      <c r="H57" s="2"/>
      <c r="I57" s="2"/>
      <c r="J57" s="2"/>
      <c r="K57" s="2"/>
      <c r="L57" s="2"/>
      <c r="M57" s="2"/>
      <c r="N57" s="2"/>
      <c r="O57" s="2" t="str">
        <f t="shared" si="1"/>
        <v>PASS</v>
      </c>
    </row>
    <row r="58" spans="1:15">
      <c r="A58" s="2"/>
      <c r="B58" s="2"/>
      <c r="C58" s="2"/>
      <c r="D58" s="2"/>
      <c r="E58" s="2"/>
      <c r="F58" s="2"/>
      <c r="G58" s="2"/>
      <c r="H58" s="2"/>
      <c r="I58" s="2"/>
      <c r="J58" s="2"/>
      <c r="K58" s="2"/>
      <c r="L58" s="2"/>
      <c r="M58" s="2"/>
      <c r="N58" s="2"/>
      <c r="O58" s="2" t="str">
        <f t="shared" si="1"/>
        <v>PASS</v>
      </c>
    </row>
    <row r="59" spans="1:15">
      <c r="A59" s="2"/>
      <c r="B59" s="2"/>
      <c r="C59" s="2"/>
      <c r="D59" s="2"/>
      <c r="E59" s="2"/>
      <c r="F59" s="2"/>
      <c r="G59" s="2"/>
      <c r="H59" s="2"/>
      <c r="I59" s="2"/>
      <c r="J59" s="2"/>
      <c r="K59" s="2"/>
      <c r="L59" s="2"/>
      <c r="M59" s="2"/>
      <c r="N59" s="2"/>
      <c r="O59" s="2" t="str">
        <f t="shared" si="1"/>
        <v>PASS</v>
      </c>
    </row>
    <row r="60" spans="1:15">
      <c r="A60" s="2"/>
      <c r="B60" s="2"/>
      <c r="C60" s="2"/>
      <c r="D60" s="2"/>
      <c r="E60" s="2"/>
      <c r="F60" s="2"/>
      <c r="G60" s="2"/>
      <c r="H60" s="2"/>
      <c r="I60" s="2"/>
      <c r="J60" s="2"/>
      <c r="K60" s="2"/>
      <c r="L60" s="2"/>
      <c r="M60" s="2"/>
      <c r="N60" s="2"/>
      <c r="O60" s="2" t="str">
        <f t="shared" si="1"/>
        <v>PASS</v>
      </c>
    </row>
    <row r="61" spans="1:15">
      <c r="A61" s="2"/>
      <c r="B61" s="2"/>
      <c r="C61" s="2"/>
      <c r="D61" s="2"/>
      <c r="E61" s="2"/>
      <c r="F61" s="2"/>
      <c r="G61" s="2"/>
      <c r="H61" s="2"/>
      <c r="I61" s="2"/>
      <c r="J61" s="2"/>
      <c r="K61" s="2"/>
      <c r="L61" s="2"/>
      <c r="M61" s="2"/>
      <c r="N61" s="2"/>
      <c r="O61" s="2" t="str">
        <f t="shared" si="1"/>
        <v>PASS</v>
      </c>
    </row>
    <row r="62" spans="1:15">
      <c r="A62" s="2"/>
      <c r="B62" s="2"/>
      <c r="C62" s="2"/>
      <c r="D62" s="2"/>
      <c r="E62" s="2"/>
      <c r="F62" s="2"/>
      <c r="G62" s="2"/>
      <c r="H62" s="2"/>
      <c r="I62" s="2"/>
      <c r="J62" s="2"/>
      <c r="K62" s="2"/>
      <c r="L62" s="2"/>
      <c r="M62" s="2"/>
      <c r="N62" s="2"/>
      <c r="O62" s="2" t="str">
        <f t="shared" si="1"/>
        <v>PASS</v>
      </c>
    </row>
    <row r="63" spans="1:15">
      <c r="A63" s="2"/>
      <c r="B63" s="2"/>
      <c r="C63" s="2"/>
      <c r="D63" s="2"/>
      <c r="E63" s="2"/>
      <c r="F63" s="2"/>
      <c r="G63" s="2"/>
      <c r="H63" s="2"/>
      <c r="I63" s="2"/>
      <c r="J63" s="2"/>
      <c r="K63" s="2"/>
      <c r="L63" s="2"/>
      <c r="M63" s="2"/>
      <c r="N63" s="2"/>
      <c r="O63" s="2" t="str">
        <f t="shared" si="1"/>
        <v>PASS</v>
      </c>
    </row>
    <row r="64" spans="1:15">
      <c r="A64" s="2"/>
      <c r="B64" s="2"/>
      <c r="C64" s="2"/>
      <c r="D64" s="2"/>
      <c r="E64" s="2"/>
      <c r="F64" s="2"/>
      <c r="G64" s="2"/>
      <c r="H64" s="2"/>
      <c r="I64" s="2"/>
      <c r="J64" s="2"/>
      <c r="K64" s="2"/>
      <c r="L64" s="2"/>
      <c r="M64" s="2"/>
      <c r="N64" s="2"/>
      <c r="O64" s="2" t="str">
        <f t="shared" si="1"/>
        <v>PASS</v>
      </c>
    </row>
    <row r="65" spans="1:15">
      <c r="A65" s="2"/>
      <c r="B65" s="2"/>
      <c r="C65" s="2"/>
      <c r="D65" s="2"/>
      <c r="E65" s="2"/>
      <c r="F65" s="2"/>
      <c r="G65" s="2"/>
      <c r="H65" s="2"/>
      <c r="I65" s="2"/>
      <c r="J65" s="2"/>
      <c r="K65" s="2"/>
      <c r="L65" s="2"/>
      <c r="M65" s="2"/>
      <c r="N65" s="2"/>
      <c r="O65" s="2" t="str">
        <f t="shared" si="1"/>
        <v>PASS</v>
      </c>
    </row>
    <row r="66" spans="1:15">
      <c r="A66" s="2"/>
      <c r="B66" s="2"/>
      <c r="C66" s="2"/>
      <c r="D66" s="2"/>
      <c r="E66" s="2"/>
      <c r="F66" s="2"/>
      <c r="G66" s="2"/>
      <c r="H66" s="2"/>
      <c r="I66" s="2"/>
      <c r="J66" s="2"/>
      <c r="K66" s="2"/>
      <c r="L66" s="2"/>
      <c r="M66" s="2"/>
      <c r="N66" s="2"/>
      <c r="O66" s="2" t="str">
        <f t="shared" si="1"/>
        <v>PASS</v>
      </c>
    </row>
    <row r="67" spans="1:15">
      <c r="A67" s="2"/>
      <c r="B67" s="2"/>
      <c r="C67" s="2"/>
      <c r="D67" s="2"/>
      <c r="E67" s="2"/>
      <c r="F67" s="2"/>
      <c r="G67" s="2"/>
      <c r="H67" s="2"/>
      <c r="I67" s="2"/>
      <c r="J67" s="2"/>
      <c r="K67" s="2"/>
      <c r="L67" s="2"/>
      <c r="M67" s="2"/>
      <c r="N67" s="2"/>
      <c r="O67" s="2" t="str">
        <f t="shared" si="1"/>
        <v>PASS</v>
      </c>
    </row>
    <row r="68" spans="1:15">
      <c r="A68" s="2"/>
      <c r="B68" s="2"/>
      <c r="C68" s="2"/>
      <c r="D68" s="2"/>
      <c r="E68" s="2"/>
      <c r="F68" s="2"/>
      <c r="G68" s="2"/>
      <c r="H68" s="2"/>
      <c r="I68" s="2"/>
      <c r="J68" s="2"/>
      <c r="K68" s="2"/>
      <c r="L68" s="2"/>
      <c r="M68" s="2"/>
      <c r="N68" s="2"/>
      <c r="O68" s="2" t="str">
        <f t="shared" si="1"/>
        <v>PASS</v>
      </c>
    </row>
    <row r="69" spans="1:15">
      <c r="A69" s="2"/>
      <c r="B69" s="2"/>
      <c r="C69" s="2"/>
      <c r="D69" s="2"/>
      <c r="E69" s="2"/>
      <c r="F69" s="2"/>
      <c r="G69" s="2"/>
      <c r="H69" s="2"/>
      <c r="I69" s="2"/>
      <c r="J69" s="2"/>
      <c r="K69" s="2"/>
      <c r="L69" s="2"/>
      <c r="M69" s="2"/>
      <c r="N69" s="2"/>
      <c r="O69" s="2" t="str">
        <f t="shared" si="1"/>
        <v>PASS</v>
      </c>
    </row>
    <row r="70" spans="1:15">
      <c r="A70" s="2"/>
      <c r="B70" s="2"/>
      <c r="C70" s="2"/>
      <c r="D70" s="2"/>
      <c r="E70" s="2"/>
      <c r="F70" s="2"/>
      <c r="G70" s="2"/>
      <c r="H70" s="2"/>
      <c r="I70" s="2"/>
      <c r="J70" s="2"/>
      <c r="K70" s="2"/>
      <c r="L70" s="2"/>
      <c r="M70" s="2"/>
      <c r="N70" s="2"/>
      <c r="O70" s="2" t="str">
        <f t="shared" si="1"/>
        <v>PASS</v>
      </c>
    </row>
    <row r="71" spans="1:15">
      <c r="A71" s="2"/>
      <c r="B71" s="2"/>
      <c r="C71" s="2"/>
      <c r="D71" s="2"/>
      <c r="E71" s="2"/>
      <c r="F71" s="2"/>
      <c r="G71" s="2"/>
      <c r="H71" s="2"/>
      <c r="I71" s="2"/>
      <c r="J71" s="2"/>
      <c r="K71" s="2"/>
      <c r="L71" s="2"/>
      <c r="M71" s="2"/>
      <c r="N71" s="2"/>
      <c r="O71" s="2" t="str">
        <f t="shared" si="1"/>
        <v>PASS</v>
      </c>
    </row>
    <row r="72" spans="1:15">
      <c r="A72" s="2"/>
      <c r="B72" s="2"/>
      <c r="C72" s="2"/>
      <c r="D72" s="2"/>
      <c r="E72" s="2"/>
      <c r="F72" s="2"/>
      <c r="G72" s="2"/>
      <c r="H72" s="2"/>
      <c r="I72" s="2"/>
      <c r="J72" s="2"/>
      <c r="K72" s="2"/>
      <c r="L72" s="2"/>
      <c r="M72" s="2"/>
      <c r="N72" s="2"/>
      <c r="O72" s="2" t="str">
        <f t="shared" si="1"/>
        <v>PASS</v>
      </c>
    </row>
    <row r="73" spans="1:15">
      <c r="A73" s="2"/>
      <c r="B73" s="2"/>
      <c r="C73" s="2"/>
      <c r="D73" s="2"/>
      <c r="E73" s="2"/>
      <c r="F73" s="2"/>
      <c r="G73" s="2"/>
      <c r="H73" s="2"/>
      <c r="I73" s="2"/>
      <c r="J73" s="2"/>
      <c r="K73" s="2"/>
      <c r="L73" s="2"/>
      <c r="M73" s="2"/>
      <c r="N73" s="2"/>
      <c r="O73" s="2" t="str">
        <f t="shared" si="1"/>
        <v>PASS</v>
      </c>
    </row>
    <row r="74" spans="1:15">
      <c r="A74" s="2"/>
      <c r="B74" s="2"/>
      <c r="C74" s="2"/>
      <c r="D74" s="2"/>
      <c r="E74" s="2"/>
      <c r="F74" s="2"/>
      <c r="G74" s="2"/>
      <c r="H74" s="2"/>
      <c r="I74" s="2"/>
      <c r="J74" s="2"/>
      <c r="K74" s="2"/>
      <c r="L74" s="2"/>
      <c r="M74" s="2"/>
      <c r="N74" s="2"/>
      <c r="O74" s="2" t="str">
        <f t="shared" si="1"/>
        <v>PASS</v>
      </c>
    </row>
    <row r="75" spans="1:15">
      <c r="A75" s="2"/>
      <c r="B75" s="2"/>
      <c r="C75" s="2"/>
      <c r="D75" s="2"/>
      <c r="E75" s="2"/>
      <c r="F75" s="2"/>
      <c r="G75" s="2"/>
      <c r="H75" s="2"/>
      <c r="I75" s="2"/>
      <c r="J75" s="2"/>
      <c r="K75" s="2"/>
      <c r="L75" s="2"/>
      <c r="M75" s="2"/>
      <c r="N75" s="2"/>
      <c r="O75" s="2" t="str">
        <f t="shared" si="1"/>
        <v>PASS</v>
      </c>
    </row>
    <row r="76" spans="1:15">
      <c r="A76" s="2"/>
      <c r="B76" s="2"/>
      <c r="C76" s="2"/>
      <c r="D76" s="2"/>
      <c r="E76" s="2"/>
      <c r="F76" s="2"/>
      <c r="G76" s="2"/>
      <c r="H76" s="2"/>
      <c r="I76" s="2"/>
      <c r="J76" s="2"/>
      <c r="K76" s="2"/>
      <c r="L76" s="2"/>
      <c r="M76" s="2"/>
      <c r="N76" s="2"/>
      <c r="O76" s="2" t="str">
        <f t="shared" si="1"/>
        <v>PASS</v>
      </c>
    </row>
    <row r="77" spans="1:15">
      <c r="A77" s="2"/>
      <c r="B77" s="2"/>
      <c r="C77" s="2"/>
      <c r="D77" s="2"/>
      <c r="E77" s="2"/>
      <c r="F77" s="2"/>
      <c r="G77" s="2"/>
      <c r="H77" s="2"/>
      <c r="I77" s="2"/>
      <c r="J77" s="2"/>
      <c r="K77" s="2"/>
      <c r="L77" s="2"/>
      <c r="M77" s="2"/>
      <c r="N77" s="2"/>
      <c r="O77" s="2" t="str">
        <f t="shared" si="1"/>
        <v>PASS</v>
      </c>
    </row>
    <row r="78" spans="1:15">
      <c r="A78" s="2"/>
      <c r="B78" s="2"/>
      <c r="C78" s="2"/>
      <c r="D78" s="2"/>
      <c r="E78" s="2"/>
      <c r="F78" s="2"/>
      <c r="G78" s="2"/>
      <c r="H78" s="2"/>
      <c r="I78" s="2"/>
      <c r="J78" s="2"/>
      <c r="K78" s="2"/>
      <c r="L78" s="2"/>
      <c r="M78" s="2"/>
      <c r="N78" s="2"/>
      <c r="O78" s="2" t="str">
        <f t="shared" ref="O78:O113" si="2">IF(OR(E78&lt;D78,F78="No",G78="No",H78="No",I78="No",J78="No",K78="No",L78="No",M78="No"),"FAIL","PASS")</f>
        <v>PASS</v>
      </c>
    </row>
    <row r="79" spans="1:15">
      <c r="A79" s="2"/>
      <c r="B79" s="2"/>
      <c r="C79" s="2"/>
      <c r="D79" s="2"/>
      <c r="E79" s="2"/>
      <c r="F79" s="2"/>
      <c r="G79" s="2"/>
      <c r="H79" s="2"/>
      <c r="I79" s="2"/>
      <c r="J79" s="2"/>
      <c r="K79" s="2"/>
      <c r="L79" s="2"/>
      <c r="M79" s="2"/>
      <c r="N79" s="2"/>
      <c r="O79" s="2" t="str">
        <f t="shared" si="2"/>
        <v>PASS</v>
      </c>
    </row>
    <row r="80" spans="1:15">
      <c r="A80" s="2"/>
      <c r="B80" s="2"/>
      <c r="C80" s="2"/>
      <c r="D80" s="2"/>
      <c r="E80" s="2"/>
      <c r="F80" s="2"/>
      <c r="G80" s="2"/>
      <c r="H80" s="2"/>
      <c r="I80" s="2"/>
      <c r="J80" s="2"/>
      <c r="K80" s="2"/>
      <c r="L80" s="2"/>
      <c r="M80" s="2"/>
      <c r="N80" s="2"/>
      <c r="O80" s="2" t="str">
        <f t="shared" si="2"/>
        <v>PASS</v>
      </c>
    </row>
    <row r="81" spans="1:15">
      <c r="A81" s="2"/>
      <c r="B81" s="2"/>
      <c r="C81" s="2"/>
      <c r="D81" s="2"/>
      <c r="E81" s="2"/>
      <c r="F81" s="2"/>
      <c r="G81" s="2"/>
      <c r="H81" s="2"/>
      <c r="I81" s="2"/>
      <c r="J81" s="2"/>
      <c r="K81" s="2"/>
      <c r="L81" s="2"/>
      <c r="M81" s="2"/>
      <c r="N81" s="2"/>
      <c r="O81" s="2" t="str">
        <f t="shared" si="2"/>
        <v>PASS</v>
      </c>
    </row>
    <row r="82" spans="1:15">
      <c r="A82" s="2"/>
      <c r="B82" s="2"/>
      <c r="C82" s="2"/>
      <c r="D82" s="2"/>
      <c r="E82" s="2"/>
      <c r="F82" s="2"/>
      <c r="G82" s="2"/>
      <c r="H82" s="2"/>
      <c r="I82" s="2"/>
      <c r="J82" s="2"/>
      <c r="K82" s="2"/>
      <c r="L82" s="2"/>
      <c r="M82" s="2"/>
      <c r="N82" s="2"/>
      <c r="O82" s="2" t="str">
        <f t="shared" si="2"/>
        <v>PASS</v>
      </c>
    </row>
    <row r="83" spans="1:15">
      <c r="A83" s="2"/>
      <c r="B83" s="2"/>
      <c r="C83" s="2"/>
      <c r="D83" s="2"/>
      <c r="E83" s="2"/>
      <c r="F83" s="2"/>
      <c r="G83" s="2"/>
      <c r="H83" s="2"/>
      <c r="I83" s="2"/>
      <c r="J83" s="2"/>
      <c r="K83" s="2"/>
      <c r="L83" s="2"/>
      <c r="M83" s="2"/>
      <c r="N83" s="2"/>
      <c r="O83" s="2" t="str">
        <f t="shared" si="2"/>
        <v>PASS</v>
      </c>
    </row>
    <row r="84" spans="1:15">
      <c r="A84" s="2"/>
      <c r="B84" s="2"/>
      <c r="C84" s="2"/>
      <c r="D84" s="2"/>
      <c r="E84" s="2"/>
      <c r="F84" s="2"/>
      <c r="G84" s="2"/>
      <c r="H84" s="2"/>
      <c r="I84" s="2"/>
      <c r="J84" s="2"/>
      <c r="K84" s="2"/>
      <c r="L84" s="2"/>
      <c r="M84" s="2"/>
      <c r="N84" s="2"/>
      <c r="O84" s="2" t="str">
        <f t="shared" si="2"/>
        <v>PASS</v>
      </c>
    </row>
    <row r="85" spans="1:15">
      <c r="A85" s="2"/>
      <c r="B85" s="2"/>
      <c r="C85" s="2"/>
      <c r="D85" s="2"/>
      <c r="E85" s="2"/>
      <c r="F85" s="2"/>
      <c r="G85" s="2"/>
      <c r="H85" s="2"/>
      <c r="I85" s="2"/>
      <c r="J85" s="2"/>
      <c r="K85" s="2"/>
      <c r="L85" s="2"/>
      <c r="M85" s="2"/>
      <c r="N85" s="2"/>
      <c r="O85" s="2" t="str">
        <f t="shared" si="2"/>
        <v>PASS</v>
      </c>
    </row>
    <row r="86" spans="1:15">
      <c r="A86" s="2"/>
      <c r="B86" s="2"/>
      <c r="C86" s="2"/>
      <c r="D86" s="2"/>
      <c r="E86" s="2"/>
      <c r="F86" s="2"/>
      <c r="G86" s="2"/>
      <c r="H86" s="2"/>
      <c r="I86" s="2"/>
      <c r="J86" s="2"/>
      <c r="K86" s="2"/>
      <c r="L86" s="2"/>
      <c r="M86" s="2"/>
      <c r="N86" s="2"/>
      <c r="O86" s="2" t="str">
        <f t="shared" si="2"/>
        <v>PASS</v>
      </c>
    </row>
    <row r="87" spans="1:15">
      <c r="A87" s="2"/>
      <c r="B87" s="2"/>
      <c r="C87" s="2"/>
      <c r="D87" s="2"/>
      <c r="E87" s="2"/>
      <c r="F87" s="2"/>
      <c r="G87" s="2"/>
      <c r="H87" s="2"/>
      <c r="I87" s="2"/>
      <c r="J87" s="2"/>
      <c r="K87" s="2"/>
      <c r="L87" s="2"/>
      <c r="M87" s="2"/>
      <c r="N87" s="2"/>
      <c r="O87" s="2" t="str">
        <f t="shared" si="2"/>
        <v>PASS</v>
      </c>
    </row>
    <row r="88" spans="1:15">
      <c r="A88" s="2"/>
      <c r="B88" s="2"/>
      <c r="C88" s="2"/>
      <c r="D88" s="2"/>
      <c r="E88" s="2"/>
      <c r="F88" s="2"/>
      <c r="G88" s="2"/>
      <c r="H88" s="2"/>
      <c r="I88" s="2"/>
      <c r="J88" s="2"/>
      <c r="K88" s="2"/>
      <c r="L88" s="2"/>
      <c r="M88" s="2"/>
      <c r="N88" s="2"/>
      <c r="O88" s="2" t="str">
        <f t="shared" si="2"/>
        <v>PASS</v>
      </c>
    </row>
    <row r="89" spans="1:15">
      <c r="A89" s="2"/>
      <c r="B89" s="2"/>
      <c r="C89" s="2"/>
      <c r="D89" s="2"/>
      <c r="E89" s="2"/>
      <c r="F89" s="2"/>
      <c r="G89" s="2"/>
      <c r="H89" s="2"/>
      <c r="I89" s="2"/>
      <c r="J89" s="2"/>
      <c r="K89" s="2"/>
      <c r="L89" s="2"/>
      <c r="M89" s="2"/>
      <c r="N89" s="2"/>
      <c r="O89" s="2" t="str">
        <f t="shared" si="2"/>
        <v>PASS</v>
      </c>
    </row>
    <row r="90" spans="1:15">
      <c r="A90" s="2"/>
      <c r="B90" s="2"/>
      <c r="C90" s="2"/>
      <c r="D90" s="2"/>
      <c r="E90" s="2"/>
      <c r="F90" s="2"/>
      <c r="G90" s="2"/>
      <c r="H90" s="2"/>
      <c r="I90" s="2"/>
      <c r="J90" s="2"/>
      <c r="K90" s="2"/>
      <c r="L90" s="2"/>
      <c r="M90" s="2"/>
      <c r="N90" s="2"/>
      <c r="O90" s="2" t="str">
        <f t="shared" si="2"/>
        <v>PASS</v>
      </c>
    </row>
    <row r="91" spans="1:15">
      <c r="A91" s="2"/>
      <c r="B91" s="2"/>
      <c r="C91" s="2"/>
      <c r="D91" s="2"/>
      <c r="E91" s="2"/>
      <c r="F91" s="2"/>
      <c r="G91" s="2"/>
      <c r="H91" s="2"/>
      <c r="I91" s="2"/>
      <c r="J91" s="2"/>
      <c r="K91" s="2"/>
      <c r="L91" s="2"/>
      <c r="M91" s="2"/>
      <c r="N91" s="2"/>
      <c r="O91" s="2" t="str">
        <f t="shared" si="2"/>
        <v>PASS</v>
      </c>
    </row>
    <row r="92" spans="1:15">
      <c r="A92" s="2"/>
      <c r="B92" s="2"/>
      <c r="C92" s="2"/>
      <c r="D92" s="2"/>
      <c r="E92" s="2"/>
      <c r="F92" s="2"/>
      <c r="G92" s="2"/>
      <c r="H92" s="2"/>
      <c r="I92" s="2"/>
      <c r="J92" s="2"/>
      <c r="K92" s="2"/>
      <c r="L92" s="2"/>
      <c r="M92" s="2"/>
      <c r="N92" s="2"/>
      <c r="O92" s="2" t="str">
        <f t="shared" si="2"/>
        <v>PASS</v>
      </c>
    </row>
    <row r="93" spans="1:15">
      <c r="A93" s="2"/>
      <c r="B93" s="2"/>
      <c r="C93" s="2"/>
      <c r="D93" s="2"/>
      <c r="E93" s="2"/>
      <c r="F93" s="2"/>
      <c r="G93" s="2"/>
      <c r="H93" s="2"/>
      <c r="I93" s="2"/>
      <c r="J93" s="2"/>
      <c r="K93" s="2"/>
      <c r="L93" s="2"/>
      <c r="M93" s="2"/>
      <c r="N93" s="2"/>
      <c r="O93" s="2" t="str">
        <f t="shared" si="2"/>
        <v>PASS</v>
      </c>
    </row>
    <row r="94" spans="1:15">
      <c r="A94" s="2"/>
      <c r="B94" s="2"/>
      <c r="C94" s="2"/>
      <c r="D94" s="2"/>
      <c r="E94" s="2"/>
      <c r="F94" s="2"/>
      <c r="G94" s="2"/>
      <c r="H94" s="2"/>
      <c r="I94" s="2"/>
      <c r="J94" s="2"/>
      <c r="K94" s="2"/>
      <c r="L94" s="2"/>
      <c r="M94" s="2"/>
      <c r="N94" s="2"/>
      <c r="O94" s="2" t="str">
        <f t="shared" si="2"/>
        <v>PASS</v>
      </c>
    </row>
    <row r="95" spans="1:15">
      <c r="A95" s="2"/>
      <c r="B95" s="2"/>
      <c r="C95" s="2"/>
      <c r="D95" s="2"/>
      <c r="E95" s="2"/>
      <c r="F95" s="2"/>
      <c r="G95" s="2"/>
      <c r="H95" s="2"/>
      <c r="I95" s="2"/>
      <c r="J95" s="2"/>
      <c r="K95" s="2"/>
      <c r="L95" s="2"/>
      <c r="M95" s="2"/>
      <c r="N95" s="2"/>
      <c r="O95" s="2" t="str">
        <f t="shared" si="2"/>
        <v>PASS</v>
      </c>
    </row>
    <row r="96" spans="1:15">
      <c r="A96" s="2"/>
      <c r="B96" s="2"/>
      <c r="C96" s="2"/>
      <c r="D96" s="2"/>
      <c r="E96" s="2"/>
      <c r="F96" s="2"/>
      <c r="G96" s="2"/>
      <c r="H96" s="2"/>
      <c r="I96" s="2"/>
      <c r="J96" s="2"/>
      <c r="K96" s="2"/>
      <c r="L96" s="2"/>
      <c r="M96" s="2"/>
      <c r="N96" s="2"/>
      <c r="O96" s="2" t="str">
        <f t="shared" si="2"/>
        <v>PASS</v>
      </c>
    </row>
    <row r="97" spans="1:15">
      <c r="A97" s="2"/>
      <c r="B97" s="2"/>
      <c r="C97" s="2"/>
      <c r="D97" s="2"/>
      <c r="E97" s="2"/>
      <c r="F97" s="2"/>
      <c r="G97" s="2"/>
      <c r="H97" s="2"/>
      <c r="I97" s="2"/>
      <c r="J97" s="2"/>
      <c r="K97" s="2"/>
      <c r="L97" s="2"/>
      <c r="M97" s="2"/>
      <c r="N97" s="2"/>
      <c r="O97" s="2" t="str">
        <f t="shared" si="2"/>
        <v>PASS</v>
      </c>
    </row>
    <row r="98" spans="1:15">
      <c r="A98" s="2"/>
      <c r="B98" s="2"/>
      <c r="C98" s="2"/>
      <c r="D98" s="2"/>
      <c r="E98" s="2"/>
      <c r="F98" s="2"/>
      <c r="G98" s="2"/>
      <c r="H98" s="2"/>
      <c r="I98" s="2"/>
      <c r="J98" s="2"/>
      <c r="K98" s="2"/>
      <c r="L98" s="2"/>
      <c r="M98" s="2"/>
      <c r="N98" s="2"/>
      <c r="O98" s="2" t="str">
        <f t="shared" si="2"/>
        <v>PASS</v>
      </c>
    </row>
    <row r="99" spans="1:15">
      <c r="A99" s="2"/>
      <c r="B99" s="2"/>
      <c r="C99" s="2"/>
      <c r="D99" s="2"/>
      <c r="E99" s="2"/>
      <c r="F99" s="2"/>
      <c r="G99" s="2"/>
      <c r="H99" s="2"/>
      <c r="I99" s="2"/>
      <c r="J99" s="2"/>
      <c r="K99" s="2"/>
      <c r="L99" s="2"/>
      <c r="M99" s="2"/>
      <c r="N99" s="2"/>
      <c r="O99" s="2" t="str">
        <f t="shared" si="2"/>
        <v>PASS</v>
      </c>
    </row>
    <row r="100" spans="1:15">
      <c r="A100" s="2"/>
      <c r="B100" s="2"/>
      <c r="C100" s="2"/>
      <c r="D100" s="2"/>
      <c r="E100" s="2"/>
      <c r="F100" s="2"/>
      <c r="G100" s="2"/>
      <c r="H100" s="2"/>
      <c r="I100" s="2"/>
      <c r="J100" s="2"/>
      <c r="K100" s="2"/>
      <c r="L100" s="2"/>
      <c r="M100" s="2"/>
      <c r="N100" s="2"/>
      <c r="O100" s="2" t="str">
        <f t="shared" si="2"/>
        <v>PASS</v>
      </c>
    </row>
    <row r="101" spans="1:15">
      <c r="A101" s="2"/>
      <c r="B101" s="2"/>
      <c r="C101" s="2"/>
      <c r="D101" s="2"/>
      <c r="E101" s="2"/>
      <c r="F101" s="2"/>
      <c r="G101" s="2"/>
      <c r="H101" s="2"/>
      <c r="I101" s="2"/>
      <c r="J101" s="2"/>
      <c r="K101" s="2"/>
      <c r="L101" s="2"/>
      <c r="M101" s="2"/>
      <c r="N101" s="2"/>
      <c r="O101" s="2" t="str">
        <f t="shared" si="2"/>
        <v>PASS</v>
      </c>
    </row>
    <row r="102" spans="1:15">
      <c r="A102" s="2"/>
      <c r="B102" s="2"/>
      <c r="C102" s="2"/>
      <c r="D102" s="2"/>
      <c r="E102" s="2"/>
      <c r="F102" s="2"/>
      <c r="G102" s="2"/>
      <c r="H102" s="2"/>
      <c r="I102" s="2"/>
      <c r="J102" s="2"/>
      <c r="K102" s="2"/>
      <c r="L102" s="2"/>
      <c r="M102" s="2"/>
      <c r="N102" s="2"/>
      <c r="O102" s="2" t="str">
        <f t="shared" si="2"/>
        <v>PASS</v>
      </c>
    </row>
    <row r="103" spans="1:15">
      <c r="A103" s="2"/>
      <c r="B103" s="2"/>
      <c r="C103" s="2"/>
      <c r="D103" s="2"/>
      <c r="E103" s="2"/>
      <c r="F103" s="2"/>
      <c r="G103" s="2"/>
      <c r="H103" s="2"/>
      <c r="I103" s="2"/>
      <c r="J103" s="2"/>
      <c r="K103" s="2"/>
      <c r="L103" s="2"/>
      <c r="M103" s="2"/>
      <c r="N103" s="2"/>
      <c r="O103" s="2" t="str">
        <f t="shared" si="2"/>
        <v>PASS</v>
      </c>
    </row>
    <row r="104" spans="1:15">
      <c r="A104" s="2"/>
      <c r="B104" s="2"/>
      <c r="C104" s="2"/>
      <c r="D104" s="2"/>
      <c r="E104" s="2"/>
      <c r="F104" s="2"/>
      <c r="G104" s="2"/>
      <c r="H104" s="2"/>
      <c r="I104" s="2"/>
      <c r="J104" s="2"/>
      <c r="K104" s="2"/>
      <c r="L104" s="2"/>
      <c r="M104" s="2"/>
      <c r="N104" s="2"/>
      <c r="O104" s="2" t="str">
        <f t="shared" si="2"/>
        <v>PASS</v>
      </c>
    </row>
    <row r="105" spans="1:15">
      <c r="A105" s="2"/>
      <c r="B105" s="2"/>
      <c r="C105" s="2"/>
      <c r="D105" s="2"/>
      <c r="E105" s="2"/>
      <c r="F105" s="2"/>
      <c r="G105" s="2"/>
      <c r="H105" s="2"/>
      <c r="I105" s="2"/>
      <c r="J105" s="2"/>
      <c r="K105" s="2"/>
      <c r="L105" s="2"/>
      <c r="M105" s="2"/>
      <c r="N105" s="2"/>
      <c r="O105" s="2" t="str">
        <f t="shared" si="2"/>
        <v>PASS</v>
      </c>
    </row>
    <row r="106" spans="1:15">
      <c r="A106" s="2"/>
      <c r="B106" s="2"/>
      <c r="C106" s="2"/>
      <c r="D106" s="2"/>
      <c r="E106" s="2"/>
      <c r="F106" s="2"/>
      <c r="G106" s="2"/>
      <c r="H106" s="2"/>
      <c r="I106" s="2"/>
      <c r="J106" s="2"/>
      <c r="K106" s="2"/>
      <c r="L106" s="2"/>
      <c r="M106" s="2"/>
      <c r="N106" s="2"/>
      <c r="O106" s="2" t="str">
        <f t="shared" si="2"/>
        <v>PASS</v>
      </c>
    </row>
    <row r="107" spans="1:15">
      <c r="A107" s="2"/>
      <c r="B107" s="2"/>
      <c r="C107" s="2"/>
      <c r="D107" s="2"/>
      <c r="E107" s="2"/>
      <c r="F107" s="2"/>
      <c r="G107" s="2"/>
      <c r="H107" s="2"/>
      <c r="I107" s="2"/>
      <c r="J107" s="2"/>
      <c r="K107" s="2"/>
      <c r="L107" s="2"/>
      <c r="M107" s="2"/>
      <c r="N107" s="2"/>
      <c r="O107" s="2" t="str">
        <f t="shared" si="2"/>
        <v>PASS</v>
      </c>
    </row>
    <row r="108" spans="1:15">
      <c r="A108" s="2"/>
      <c r="B108" s="2"/>
      <c r="C108" s="2"/>
      <c r="D108" s="2"/>
      <c r="E108" s="2"/>
      <c r="F108" s="2"/>
      <c r="G108" s="2"/>
      <c r="H108" s="2"/>
      <c r="I108" s="2"/>
      <c r="J108" s="2"/>
      <c r="K108" s="2"/>
      <c r="L108" s="2"/>
      <c r="M108" s="2"/>
      <c r="N108" s="2"/>
      <c r="O108" s="2" t="str">
        <f t="shared" si="2"/>
        <v>PASS</v>
      </c>
    </row>
    <row r="109" spans="1:15">
      <c r="A109" s="2"/>
      <c r="B109" s="2"/>
      <c r="C109" s="2"/>
      <c r="D109" s="2"/>
      <c r="E109" s="2"/>
      <c r="F109" s="2"/>
      <c r="G109" s="2"/>
      <c r="H109" s="2"/>
      <c r="I109" s="2"/>
      <c r="J109" s="2"/>
      <c r="K109" s="2"/>
      <c r="L109" s="2"/>
      <c r="M109" s="2"/>
      <c r="N109" s="2"/>
      <c r="O109" s="2" t="str">
        <f t="shared" si="2"/>
        <v>PASS</v>
      </c>
    </row>
    <row r="110" spans="1:15">
      <c r="A110" s="2"/>
      <c r="B110" s="2"/>
      <c r="C110" s="2"/>
      <c r="D110" s="2"/>
      <c r="E110" s="2"/>
      <c r="F110" s="2"/>
      <c r="G110" s="2"/>
      <c r="H110" s="2"/>
      <c r="I110" s="2"/>
      <c r="J110" s="2"/>
      <c r="K110" s="2"/>
      <c r="L110" s="2"/>
      <c r="M110" s="2"/>
      <c r="N110" s="2"/>
      <c r="O110" s="2" t="str">
        <f t="shared" si="2"/>
        <v>PASS</v>
      </c>
    </row>
    <row r="111" spans="1:15">
      <c r="A111" s="2"/>
      <c r="B111" s="2"/>
      <c r="C111" s="2"/>
      <c r="D111" s="2"/>
      <c r="E111" s="2"/>
      <c r="F111" s="2"/>
      <c r="G111" s="2"/>
      <c r="H111" s="2"/>
      <c r="I111" s="2"/>
      <c r="J111" s="2"/>
      <c r="K111" s="2"/>
      <c r="L111" s="2"/>
      <c r="M111" s="2"/>
      <c r="N111" s="2"/>
      <c r="O111" s="2" t="str">
        <f t="shared" si="2"/>
        <v>PASS</v>
      </c>
    </row>
    <row r="112" spans="1:15">
      <c r="A112" s="2"/>
      <c r="B112" s="2"/>
      <c r="C112" s="2"/>
      <c r="D112" s="2"/>
      <c r="E112" s="2"/>
      <c r="F112" s="2"/>
      <c r="G112" s="2"/>
      <c r="H112" s="2"/>
      <c r="I112" s="2"/>
      <c r="J112" s="2"/>
      <c r="K112" s="2"/>
      <c r="L112" s="2"/>
      <c r="M112" s="2"/>
      <c r="N112" s="2"/>
      <c r="O112" s="2" t="str">
        <f t="shared" si="2"/>
        <v>PASS</v>
      </c>
    </row>
    <row r="113" spans="1:15">
      <c r="A113" s="2"/>
      <c r="B113" s="2"/>
      <c r="C113" s="2"/>
      <c r="D113" s="2"/>
      <c r="E113" s="2"/>
      <c r="F113" s="2"/>
      <c r="G113" s="2"/>
      <c r="H113" s="2"/>
      <c r="I113" s="2"/>
      <c r="J113" s="2"/>
      <c r="K113" s="2"/>
      <c r="L113" s="2"/>
      <c r="M113" s="2"/>
      <c r="N113" s="2"/>
      <c r="O113" s="2" t="str">
        <f t="shared" si="2"/>
        <v>PASS</v>
      </c>
    </row>
  </sheetData>
  <mergeCells count="2">
    <mergeCell ref="A1:O1"/>
    <mergeCell ref="A2:O2"/>
  </mergeCells>
  <dataValidations count="2">
    <dataValidation type="list" sqref="B7" xr:uid="{00000000-0002-0000-0A00-000000000000}">
      <formula1>"Yes,No"</formula1>
    </dataValidation>
    <dataValidation type="list" sqref="F14:M113" xr:uid="{00000000-0002-0000-0A00-000001000000}">
      <formula1>"Yes,No,N/A"</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141"/>
  <sheetViews>
    <sheetView workbookViewId="0"/>
  </sheetViews>
  <sheetFormatPr defaultRowHeight="14"/>
  <cols>
    <col min="1" max="5" width="28" customWidth="1"/>
    <col min="8" max="25" width="15" customWidth="1"/>
    <col min="26" max="35" width="20" customWidth="1"/>
  </cols>
  <sheetData>
    <row r="1" spans="1:35" ht="20">
      <c r="A1" s="6" t="s">
        <v>334</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ht="14.5">
      <c r="A2" s="8" t="s">
        <v>106</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row>
    <row r="4" spans="1:35">
      <c r="A4" s="3" t="s">
        <v>107</v>
      </c>
      <c r="B4" t="s">
        <v>335</v>
      </c>
      <c r="D4" s="9" t="s">
        <v>109</v>
      </c>
      <c r="E4" s="9"/>
      <c r="F4" s="9"/>
      <c r="G4" s="9"/>
      <c r="H4" s="9"/>
    </row>
    <row r="5" spans="1:35" ht="28">
      <c r="A5" s="3" t="s">
        <v>110</v>
      </c>
      <c r="D5" s="4" t="s">
        <v>6</v>
      </c>
      <c r="E5" s="4" t="s">
        <v>111</v>
      </c>
      <c r="F5" s="4"/>
      <c r="G5" s="4"/>
      <c r="H5" s="4"/>
    </row>
    <row r="6" spans="1:35" ht="42">
      <c r="A6" s="3" t="s">
        <v>112</v>
      </c>
      <c r="D6" s="4" t="s">
        <v>12</v>
      </c>
      <c r="E6" s="4" t="s">
        <v>113</v>
      </c>
      <c r="F6" s="4"/>
      <c r="G6" s="4"/>
      <c r="H6" s="4"/>
    </row>
    <row r="7" spans="1:35" ht="42">
      <c r="A7" s="3" t="s">
        <v>114</v>
      </c>
      <c r="D7" s="4" t="s">
        <v>18</v>
      </c>
      <c r="E7" s="4" t="s">
        <v>115</v>
      </c>
      <c r="F7" s="4"/>
      <c r="G7" s="4"/>
      <c r="H7" s="4"/>
    </row>
    <row r="8" spans="1:35" ht="42">
      <c r="A8" s="3" t="s">
        <v>116</v>
      </c>
      <c r="B8">
        <f>COUNTA(A18:A117)</f>
        <v>0</v>
      </c>
      <c r="D8" s="4" t="s">
        <v>23</v>
      </c>
      <c r="E8" s="4" t="s">
        <v>117</v>
      </c>
      <c r="F8" s="4"/>
      <c r="G8" s="4"/>
      <c r="H8" s="4"/>
    </row>
    <row r="9" spans="1:35">
      <c r="A9" s="3" t="s">
        <v>6</v>
      </c>
      <c r="B9">
        <f>COUNTIF(Z18:Z117,"Low")</f>
        <v>0</v>
      </c>
    </row>
    <row r="10" spans="1:35">
      <c r="A10" s="3" t="s">
        <v>12</v>
      </c>
      <c r="B10">
        <f>COUNTIF(Z18:Z117,"Medium")</f>
        <v>0</v>
      </c>
    </row>
    <row r="11" spans="1:35">
      <c r="A11" s="3" t="s">
        <v>18</v>
      </c>
      <c r="B11">
        <f>COUNTIF(Z18:Z117,"High")</f>
        <v>0</v>
      </c>
    </row>
    <row r="12" spans="1:35">
      <c r="A12" s="3" t="s">
        <v>23</v>
      </c>
      <c r="B12">
        <f>COUNTIF(Z18:Z117,"Very High")</f>
        <v>0</v>
      </c>
    </row>
    <row r="13" spans="1:35">
      <c r="A13" s="3" t="s">
        <v>118</v>
      </c>
      <c r="B13">
        <f>COUNTIF(AD18:AD117,"Yes")</f>
        <v>0</v>
      </c>
    </row>
    <row r="14" spans="1:35">
      <c r="A14" s="3" t="s">
        <v>119</v>
      </c>
    </row>
    <row r="17" spans="1:37" ht="28">
      <c r="A17" s="1" t="s">
        <v>120</v>
      </c>
      <c r="B17" s="1" t="s">
        <v>121</v>
      </c>
      <c r="C17" s="1" t="s">
        <v>2</v>
      </c>
      <c r="D17" s="1" t="s">
        <v>75</v>
      </c>
      <c r="E17" s="1" t="s">
        <v>122</v>
      </c>
      <c r="F17" s="1" t="s">
        <v>123</v>
      </c>
      <c r="G17" s="1" t="s">
        <v>110</v>
      </c>
      <c r="H17" s="1" t="s">
        <v>124</v>
      </c>
      <c r="I17" s="1" t="s">
        <v>125</v>
      </c>
      <c r="J17" s="1" t="s">
        <v>126</v>
      </c>
      <c r="K17" s="1" t="s">
        <v>127</v>
      </c>
      <c r="L17" s="1" t="s">
        <v>128</v>
      </c>
      <c r="M17" s="1" t="s">
        <v>129</v>
      </c>
      <c r="N17" s="1" t="s">
        <v>130</v>
      </c>
      <c r="O17" s="1" t="s">
        <v>131</v>
      </c>
      <c r="P17" s="1" t="s">
        <v>132</v>
      </c>
      <c r="Q17" s="1" t="s">
        <v>133</v>
      </c>
      <c r="R17" s="1" t="s">
        <v>134</v>
      </c>
      <c r="S17" s="1" t="s">
        <v>135</v>
      </c>
      <c r="T17" s="1" t="s">
        <v>136</v>
      </c>
      <c r="U17" s="1" t="s">
        <v>137</v>
      </c>
      <c r="V17" s="1" t="s">
        <v>138</v>
      </c>
      <c r="W17" s="1" t="s">
        <v>139</v>
      </c>
      <c r="X17" s="1" t="s">
        <v>140</v>
      </c>
      <c r="Y17" s="1" t="s">
        <v>141</v>
      </c>
      <c r="Z17" s="1" t="s">
        <v>142</v>
      </c>
      <c r="AA17" s="1" t="s">
        <v>143</v>
      </c>
      <c r="AB17" s="1" t="s">
        <v>144</v>
      </c>
      <c r="AC17" s="1" t="s">
        <v>3</v>
      </c>
      <c r="AD17" s="1" t="s">
        <v>145</v>
      </c>
      <c r="AE17" s="1" t="s">
        <v>146</v>
      </c>
      <c r="AF17" s="1" t="s">
        <v>147</v>
      </c>
      <c r="AG17" s="1" t="s">
        <v>148</v>
      </c>
      <c r="AH17" s="1" t="s">
        <v>149</v>
      </c>
      <c r="AI17" s="1" t="s">
        <v>150</v>
      </c>
      <c r="AJ17" t="s">
        <v>151</v>
      </c>
      <c r="AK17" t="s">
        <v>152</v>
      </c>
    </row>
    <row r="18" spans="1:37">
      <c r="A18" s="2"/>
      <c r="B18" s="2"/>
      <c r="C18" s="2"/>
      <c r="D18" s="2"/>
      <c r="E18" s="5"/>
      <c r="F18" s="2"/>
      <c r="G18" s="5"/>
      <c r="H18" s="2"/>
      <c r="I18" s="2"/>
      <c r="J18" s="2"/>
      <c r="K18" s="2"/>
      <c r="L18" s="2"/>
      <c r="M18" s="2"/>
      <c r="N18" s="2"/>
      <c r="O18" s="2"/>
      <c r="P18" s="2"/>
      <c r="Q18" s="2"/>
      <c r="R18" s="2"/>
      <c r="S18" s="2"/>
      <c r="T18" s="2"/>
      <c r="U18" s="2"/>
      <c r="V18" s="2"/>
      <c r="W18" s="2"/>
      <c r="X18" s="2"/>
      <c r="Y18" s="2"/>
      <c r="Z18" s="2" t="str">
        <f t="shared" ref="Z18:Z49" si="0">IF(COUNTA(H18:Y18)=0,"",IF(COUNTIF(H18:Y18,"Very High")&gt;0,"Very High",IF(COUNTIF(H18:Y18,"High")&gt;0,"High",IF(COUNTIF(H18:Y18,"Medium")&gt;0,"Medium","Low"))))</f>
        <v/>
      </c>
      <c r="AA18" s="2" t="str">
        <f t="shared" ref="AA18:AA49" si="1">IF(Z18="","",IF(Z18="Low","Routine planned support",IF(Z18="Medium","One staff support/supervision likely",IF(Z18="High","Two staff/review staffing and equipment","Manager review: multiple staff/specialist support"))))</f>
        <v/>
      </c>
      <c r="AB18" s="2" t="str">
        <f t="shared" ref="AB18:AB49" si="2">IF(Z18="","",IF(OR(Z18="High",Z18="Very High",W18="High",W18="Very High"),"Night staffing and evacuation review required","Routine night checks as per care plan"))</f>
        <v/>
      </c>
      <c r="AC18" s="2" t="str">
        <f t="shared" ref="AC18:AC49" si="3">IF(X18="Very High","Specialist PEEP / equipment",IF(OR(X18="High",Z18="High"),"Evacuation sheet/chair or wheelchair per PEEP",IF(OR(X18="Medium",Z18="Medium"),"Walking aid/wheelchair support per PEEP","Walks with direction")))</f>
        <v>Walks with direction</v>
      </c>
      <c r="AD18" s="2"/>
      <c r="AE18" s="5"/>
      <c r="AF18" s="2"/>
      <c r="AG18" s="2"/>
      <c r="AH18" s="2"/>
      <c r="AI18" s="2"/>
    </row>
    <row r="19" spans="1:37">
      <c r="A19" s="2"/>
      <c r="B19" s="2"/>
      <c r="C19" s="2"/>
      <c r="D19" s="2"/>
      <c r="E19" s="5"/>
      <c r="F19" s="2"/>
      <c r="G19" s="5"/>
      <c r="H19" s="2"/>
      <c r="I19" s="2"/>
      <c r="J19" s="2"/>
      <c r="K19" s="2"/>
      <c r="L19" s="2"/>
      <c r="M19" s="2"/>
      <c r="N19" s="2"/>
      <c r="O19" s="2"/>
      <c r="P19" s="2"/>
      <c r="Q19" s="2"/>
      <c r="R19" s="2"/>
      <c r="S19" s="2"/>
      <c r="T19" s="2"/>
      <c r="U19" s="2"/>
      <c r="V19" s="2"/>
      <c r="W19" s="2"/>
      <c r="X19" s="2"/>
      <c r="Y19" s="2"/>
      <c r="Z19" s="2" t="str">
        <f t="shared" si="0"/>
        <v/>
      </c>
      <c r="AA19" s="2" t="str">
        <f t="shared" si="1"/>
        <v/>
      </c>
      <c r="AB19" s="2" t="str">
        <f t="shared" si="2"/>
        <v/>
      </c>
      <c r="AC19" s="2" t="str">
        <f t="shared" si="3"/>
        <v>Walks with direction</v>
      </c>
      <c r="AD19" s="2"/>
      <c r="AE19" s="5"/>
      <c r="AF19" s="2"/>
      <c r="AG19" s="2"/>
      <c r="AH19" s="2"/>
      <c r="AI19" s="2"/>
    </row>
    <row r="20" spans="1:37">
      <c r="A20" s="2"/>
      <c r="B20" s="2"/>
      <c r="C20" s="2"/>
      <c r="D20" s="2"/>
      <c r="E20" s="5"/>
      <c r="F20" s="2"/>
      <c r="G20" s="5"/>
      <c r="H20" s="2"/>
      <c r="I20" s="2"/>
      <c r="J20" s="2"/>
      <c r="K20" s="2"/>
      <c r="L20" s="2"/>
      <c r="M20" s="2"/>
      <c r="N20" s="2"/>
      <c r="O20" s="2"/>
      <c r="P20" s="2"/>
      <c r="Q20" s="2"/>
      <c r="R20" s="2"/>
      <c r="S20" s="2"/>
      <c r="T20" s="2"/>
      <c r="U20" s="2"/>
      <c r="V20" s="2"/>
      <c r="W20" s="2"/>
      <c r="X20" s="2"/>
      <c r="Y20" s="2"/>
      <c r="Z20" s="2" t="str">
        <f t="shared" si="0"/>
        <v/>
      </c>
      <c r="AA20" s="2" t="str">
        <f t="shared" si="1"/>
        <v/>
      </c>
      <c r="AB20" s="2" t="str">
        <f t="shared" si="2"/>
        <v/>
      </c>
      <c r="AC20" s="2" t="str">
        <f t="shared" si="3"/>
        <v>Walks with direction</v>
      </c>
      <c r="AD20" s="2"/>
      <c r="AE20" s="5"/>
      <c r="AF20" s="2"/>
      <c r="AG20" s="2"/>
      <c r="AH20" s="2"/>
      <c r="AI20" s="2"/>
    </row>
    <row r="21" spans="1:37">
      <c r="A21" s="2"/>
      <c r="B21" s="2"/>
      <c r="C21" s="2"/>
      <c r="D21" s="2"/>
      <c r="E21" s="5"/>
      <c r="F21" s="2"/>
      <c r="G21" s="5"/>
      <c r="H21" s="2"/>
      <c r="I21" s="2"/>
      <c r="J21" s="2"/>
      <c r="K21" s="2"/>
      <c r="L21" s="2"/>
      <c r="M21" s="2"/>
      <c r="N21" s="2"/>
      <c r="O21" s="2"/>
      <c r="P21" s="2"/>
      <c r="Q21" s="2"/>
      <c r="R21" s="2"/>
      <c r="S21" s="2"/>
      <c r="T21" s="2"/>
      <c r="U21" s="2"/>
      <c r="V21" s="2"/>
      <c r="W21" s="2"/>
      <c r="X21" s="2"/>
      <c r="Y21" s="2"/>
      <c r="Z21" s="2" t="str">
        <f t="shared" si="0"/>
        <v/>
      </c>
      <c r="AA21" s="2" t="str">
        <f t="shared" si="1"/>
        <v/>
      </c>
      <c r="AB21" s="2" t="str">
        <f t="shared" si="2"/>
        <v/>
      </c>
      <c r="AC21" s="2" t="str">
        <f t="shared" si="3"/>
        <v>Walks with direction</v>
      </c>
      <c r="AD21" s="2"/>
      <c r="AE21" s="5"/>
      <c r="AF21" s="2"/>
      <c r="AG21" s="2"/>
      <c r="AH21" s="2"/>
      <c r="AI21" s="2"/>
    </row>
    <row r="22" spans="1:37">
      <c r="A22" s="2"/>
      <c r="B22" s="2"/>
      <c r="C22" s="2"/>
      <c r="D22" s="2"/>
      <c r="E22" s="5"/>
      <c r="F22" s="2"/>
      <c r="G22" s="5"/>
      <c r="H22" s="2"/>
      <c r="I22" s="2"/>
      <c r="J22" s="2"/>
      <c r="K22" s="2"/>
      <c r="L22" s="2"/>
      <c r="M22" s="2"/>
      <c r="N22" s="2"/>
      <c r="O22" s="2"/>
      <c r="P22" s="2"/>
      <c r="Q22" s="2"/>
      <c r="R22" s="2"/>
      <c r="S22" s="2"/>
      <c r="T22" s="2"/>
      <c r="U22" s="2"/>
      <c r="V22" s="2"/>
      <c r="W22" s="2"/>
      <c r="X22" s="2"/>
      <c r="Y22" s="2"/>
      <c r="Z22" s="2" t="str">
        <f t="shared" si="0"/>
        <v/>
      </c>
      <c r="AA22" s="2" t="str">
        <f t="shared" si="1"/>
        <v/>
      </c>
      <c r="AB22" s="2" t="str">
        <f t="shared" si="2"/>
        <v/>
      </c>
      <c r="AC22" s="2" t="str">
        <f t="shared" si="3"/>
        <v>Walks with direction</v>
      </c>
      <c r="AD22" s="2"/>
      <c r="AE22" s="5"/>
      <c r="AF22" s="2"/>
      <c r="AG22" s="2"/>
      <c r="AH22" s="2"/>
      <c r="AI22" s="2"/>
    </row>
    <row r="23" spans="1:37">
      <c r="A23" s="2"/>
      <c r="B23" s="2"/>
      <c r="C23" s="2"/>
      <c r="D23" s="2"/>
      <c r="E23" s="5"/>
      <c r="F23" s="2"/>
      <c r="G23" s="5"/>
      <c r="H23" s="2"/>
      <c r="I23" s="2"/>
      <c r="J23" s="2"/>
      <c r="K23" s="2"/>
      <c r="L23" s="2"/>
      <c r="M23" s="2"/>
      <c r="N23" s="2"/>
      <c r="O23" s="2"/>
      <c r="P23" s="2"/>
      <c r="Q23" s="2"/>
      <c r="R23" s="2"/>
      <c r="S23" s="2"/>
      <c r="T23" s="2"/>
      <c r="U23" s="2"/>
      <c r="V23" s="2"/>
      <c r="W23" s="2"/>
      <c r="X23" s="2"/>
      <c r="Y23" s="2"/>
      <c r="Z23" s="2" t="str">
        <f t="shared" si="0"/>
        <v/>
      </c>
      <c r="AA23" s="2" t="str">
        <f t="shared" si="1"/>
        <v/>
      </c>
      <c r="AB23" s="2" t="str">
        <f t="shared" si="2"/>
        <v/>
      </c>
      <c r="AC23" s="2" t="str">
        <f t="shared" si="3"/>
        <v>Walks with direction</v>
      </c>
      <c r="AD23" s="2"/>
      <c r="AE23" s="5"/>
      <c r="AF23" s="2"/>
      <c r="AG23" s="2"/>
      <c r="AH23" s="2"/>
      <c r="AI23" s="2"/>
    </row>
    <row r="24" spans="1:37">
      <c r="A24" s="2"/>
      <c r="B24" s="2"/>
      <c r="C24" s="2"/>
      <c r="D24" s="2"/>
      <c r="E24" s="5"/>
      <c r="F24" s="2"/>
      <c r="G24" s="5"/>
      <c r="H24" s="2"/>
      <c r="I24" s="2"/>
      <c r="J24" s="2"/>
      <c r="K24" s="2"/>
      <c r="L24" s="2"/>
      <c r="M24" s="2"/>
      <c r="N24" s="2"/>
      <c r="O24" s="2"/>
      <c r="P24" s="2"/>
      <c r="Q24" s="2"/>
      <c r="R24" s="2"/>
      <c r="S24" s="2"/>
      <c r="T24" s="2"/>
      <c r="U24" s="2"/>
      <c r="V24" s="2"/>
      <c r="W24" s="2"/>
      <c r="X24" s="2"/>
      <c r="Y24" s="2"/>
      <c r="Z24" s="2" t="str">
        <f t="shared" si="0"/>
        <v/>
      </c>
      <c r="AA24" s="2" t="str">
        <f t="shared" si="1"/>
        <v/>
      </c>
      <c r="AB24" s="2" t="str">
        <f t="shared" si="2"/>
        <v/>
      </c>
      <c r="AC24" s="2" t="str">
        <f t="shared" si="3"/>
        <v>Walks with direction</v>
      </c>
      <c r="AD24" s="2"/>
      <c r="AE24" s="5"/>
      <c r="AF24" s="2"/>
      <c r="AG24" s="2"/>
      <c r="AH24" s="2"/>
      <c r="AI24" s="2"/>
    </row>
    <row r="25" spans="1:37">
      <c r="A25" s="2"/>
      <c r="B25" s="2"/>
      <c r="C25" s="2"/>
      <c r="D25" s="2"/>
      <c r="E25" s="5"/>
      <c r="F25" s="2"/>
      <c r="G25" s="5"/>
      <c r="H25" s="2"/>
      <c r="I25" s="2"/>
      <c r="J25" s="2"/>
      <c r="K25" s="2"/>
      <c r="L25" s="2"/>
      <c r="M25" s="2"/>
      <c r="N25" s="2"/>
      <c r="O25" s="2"/>
      <c r="P25" s="2"/>
      <c r="Q25" s="2"/>
      <c r="R25" s="2"/>
      <c r="S25" s="2"/>
      <c r="T25" s="2"/>
      <c r="U25" s="2"/>
      <c r="V25" s="2"/>
      <c r="W25" s="2"/>
      <c r="X25" s="2"/>
      <c r="Y25" s="2"/>
      <c r="Z25" s="2" t="str">
        <f t="shared" si="0"/>
        <v/>
      </c>
      <c r="AA25" s="2" t="str">
        <f t="shared" si="1"/>
        <v/>
      </c>
      <c r="AB25" s="2" t="str">
        <f t="shared" si="2"/>
        <v/>
      </c>
      <c r="AC25" s="2" t="str">
        <f t="shared" si="3"/>
        <v>Walks with direction</v>
      </c>
      <c r="AD25" s="2"/>
      <c r="AE25" s="5"/>
      <c r="AF25" s="2"/>
      <c r="AG25" s="2"/>
      <c r="AH25" s="2"/>
      <c r="AI25" s="2"/>
    </row>
    <row r="26" spans="1:37">
      <c r="A26" s="2"/>
      <c r="B26" s="2"/>
      <c r="C26" s="2"/>
      <c r="D26" s="2"/>
      <c r="E26" s="5"/>
      <c r="F26" s="2"/>
      <c r="G26" s="5"/>
      <c r="H26" s="2"/>
      <c r="I26" s="2"/>
      <c r="J26" s="2"/>
      <c r="K26" s="2"/>
      <c r="L26" s="2"/>
      <c r="M26" s="2"/>
      <c r="N26" s="2"/>
      <c r="O26" s="2"/>
      <c r="P26" s="2"/>
      <c r="Q26" s="2"/>
      <c r="R26" s="2"/>
      <c r="S26" s="2"/>
      <c r="T26" s="2"/>
      <c r="U26" s="2"/>
      <c r="V26" s="2"/>
      <c r="W26" s="2"/>
      <c r="X26" s="2"/>
      <c r="Y26" s="2"/>
      <c r="Z26" s="2" t="str">
        <f t="shared" si="0"/>
        <v/>
      </c>
      <c r="AA26" s="2" t="str">
        <f t="shared" si="1"/>
        <v/>
      </c>
      <c r="AB26" s="2" t="str">
        <f t="shared" si="2"/>
        <v/>
      </c>
      <c r="AC26" s="2" t="str">
        <f t="shared" si="3"/>
        <v>Walks with direction</v>
      </c>
      <c r="AD26" s="2"/>
      <c r="AE26" s="5"/>
      <c r="AF26" s="2"/>
      <c r="AG26" s="2"/>
      <c r="AH26" s="2"/>
      <c r="AI26" s="2"/>
    </row>
    <row r="27" spans="1:37">
      <c r="A27" s="2"/>
      <c r="B27" s="2"/>
      <c r="C27" s="2"/>
      <c r="D27" s="2"/>
      <c r="E27" s="5"/>
      <c r="F27" s="2"/>
      <c r="G27" s="5"/>
      <c r="H27" s="2"/>
      <c r="I27" s="2"/>
      <c r="J27" s="2"/>
      <c r="K27" s="2"/>
      <c r="L27" s="2"/>
      <c r="M27" s="2"/>
      <c r="N27" s="2"/>
      <c r="O27" s="2"/>
      <c r="P27" s="2"/>
      <c r="Q27" s="2"/>
      <c r="R27" s="2"/>
      <c r="S27" s="2"/>
      <c r="T27" s="2"/>
      <c r="U27" s="2"/>
      <c r="V27" s="2"/>
      <c r="W27" s="2"/>
      <c r="X27" s="2"/>
      <c r="Y27" s="2"/>
      <c r="Z27" s="2" t="str">
        <f t="shared" si="0"/>
        <v/>
      </c>
      <c r="AA27" s="2" t="str">
        <f t="shared" si="1"/>
        <v/>
      </c>
      <c r="AB27" s="2" t="str">
        <f t="shared" si="2"/>
        <v/>
      </c>
      <c r="AC27" s="2" t="str">
        <f t="shared" si="3"/>
        <v>Walks with direction</v>
      </c>
      <c r="AD27" s="2"/>
      <c r="AE27" s="5"/>
      <c r="AF27" s="2"/>
      <c r="AG27" s="2"/>
      <c r="AH27" s="2"/>
      <c r="AI27" s="2"/>
    </row>
    <row r="28" spans="1:37">
      <c r="A28" s="2"/>
      <c r="B28" s="2"/>
      <c r="C28" s="2"/>
      <c r="D28" s="2"/>
      <c r="E28" s="5"/>
      <c r="F28" s="2"/>
      <c r="G28" s="5"/>
      <c r="H28" s="2"/>
      <c r="I28" s="2"/>
      <c r="J28" s="2"/>
      <c r="K28" s="2"/>
      <c r="L28" s="2"/>
      <c r="M28" s="2"/>
      <c r="N28" s="2"/>
      <c r="O28" s="2"/>
      <c r="P28" s="2"/>
      <c r="Q28" s="2"/>
      <c r="R28" s="2"/>
      <c r="S28" s="2"/>
      <c r="T28" s="2"/>
      <c r="U28" s="2"/>
      <c r="V28" s="2"/>
      <c r="W28" s="2"/>
      <c r="X28" s="2"/>
      <c r="Y28" s="2"/>
      <c r="Z28" s="2" t="str">
        <f t="shared" si="0"/>
        <v/>
      </c>
      <c r="AA28" s="2" t="str">
        <f t="shared" si="1"/>
        <v/>
      </c>
      <c r="AB28" s="2" t="str">
        <f t="shared" si="2"/>
        <v/>
      </c>
      <c r="AC28" s="2" t="str">
        <f t="shared" si="3"/>
        <v>Walks with direction</v>
      </c>
      <c r="AD28" s="2"/>
      <c r="AE28" s="5"/>
      <c r="AF28" s="2"/>
      <c r="AG28" s="2"/>
      <c r="AH28" s="2"/>
      <c r="AI28" s="2"/>
    </row>
    <row r="29" spans="1:37">
      <c r="A29" s="2"/>
      <c r="B29" s="2"/>
      <c r="C29" s="2"/>
      <c r="D29" s="2"/>
      <c r="E29" s="5"/>
      <c r="F29" s="2"/>
      <c r="G29" s="5"/>
      <c r="H29" s="2"/>
      <c r="I29" s="2"/>
      <c r="J29" s="2"/>
      <c r="K29" s="2"/>
      <c r="L29" s="2"/>
      <c r="M29" s="2"/>
      <c r="N29" s="2"/>
      <c r="O29" s="2"/>
      <c r="P29" s="2"/>
      <c r="Q29" s="2"/>
      <c r="R29" s="2"/>
      <c r="S29" s="2"/>
      <c r="T29" s="2"/>
      <c r="U29" s="2"/>
      <c r="V29" s="2"/>
      <c r="W29" s="2"/>
      <c r="X29" s="2"/>
      <c r="Y29" s="2"/>
      <c r="Z29" s="2" t="str">
        <f t="shared" si="0"/>
        <v/>
      </c>
      <c r="AA29" s="2" t="str">
        <f t="shared" si="1"/>
        <v/>
      </c>
      <c r="AB29" s="2" t="str">
        <f t="shared" si="2"/>
        <v/>
      </c>
      <c r="AC29" s="2" t="str">
        <f t="shared" si="3"/>
        <v>Walks with direction</v>
      </c>
      <c r="AD29" s="2"/>
      <c r="AE29" s="5"/>
      <c r="AF29" s="2"/>
      <c r="AG29" s="2"/>
      <c r="AH29" s="2"/>
      <c r="AI29" s="2"/>
    </row>
    <row r="30" spans="1:37">
      <c r="A30" s="2"/>
      <c r="B30" s="2"/>
      <c r="C30" s="2"/>
      <c r="D30" s="2"/>
      <c r="E30" s="5"/>
      <c r="F30" s="2"/>
      <c r="G30" s="5"/>
      <c r="H30" s="2"/>
      <c r="I30" s="2"/>
      <c r="J30" s="2"/>
      <c r="K30" s="2"/>
      <c r="L30" s="2"/>
      <c r="M30" s="2"/>
      <c r="N30" s="2"/>
      <c r="O30" s="2"/>
      <c r="P30" s="2"/>
      <c r="Q30" s="2"/>
      <c r="R30" s="2"/>
      <c r="S30" s="2"/>
      <c r="T30" s="2"/>
      <c r="U30" s="2"/>
      <c r="V30" s="2"/>
      <c r="W30" s="2"/>
      <c r="X30" s="2"/>
      <c r="Y30" s="2"/>
      <c r="Z30" s="2" t="str">
        <f t="shared" si="0"/>
        <v/>
      </c>
      <c r="AA30" s="2" t="str">
        <f t="shared" si="1"/>
        <v/>
      </c>
      <c r="AB30" s="2" t="str">
        <f t="shared" si="2"/>
        <v/>
      </c>
      <c r="AC30" s="2" t="str">
        <f t="shared" si="3"/>
        <v>Walks with direction</v>
      </c>
      <c r="AD30" s="2"/>
      <c r="AE30" s="5"/>
      <c r="AF30" s="2"/>
      <c r="AG30" s="2"/>
      <c r="AH30" s="2"/>
      <c r="AI30" s="2"/>
    </row>
    <row r="31" spans="1:37">
      <c r="A31" s="2"/>
      <c r="B31" s="2"/>
      <c r="C31" s="2"/>
      <c r="D31" s="2"/>
      <c r="E31" s="5"/>
      <c r="F31" s="2"/>
      <c r="G31" s="5"/>
      <c r="H31" s="2"/>
      <c r="I31" s="2"/>
      <c r="J31" s="2"/>
      <c r="K31" s="2"/>
      <c r="L31" s="2"/>
      <c r="M31" s="2"/>
      <c r="N31" s="2"/>
      <c r="O31" s="2"/>
      <c r="P31" s="2"/>
      <c r="Q31" s="2"/>
      <c r="R31" s="2"/>
      <c r="S31" s="2"/>
      <c r="T31" s="2"/>
      <c r="U31" s="2"/>
      <c r="V31" s="2"/>
      <c r="W31" s="2"/>
      <c r="X31" s="2"/>
      <c r="Y31" s="2"/>
      <c r="Z31" s="2" t="str">
        <f t="shared" si="0"/>
        <v/>
      </c>
      <c r="AA31" s="2" t="str">
        <f t="shared" si="1"/>
        <v/>
      </c>
      <c r="AB31" s="2" t="str">
        <f t="shared" si="2"/>
        <v/>
      </c>
      <c r="AC31" s="2" t="str">
        <f t="shared" si="3"/>
        <v>Walks with direction</v>
      </c>
      <c r="AD31" s="2"/>
      <c r="AE31" s="5"/>
      <c r="AF31" s="2"/>
      <c r="AG31" s="2"/>
      <c r="AH31" s="2"/>
      <c r="AI31" s="2"/>
    </row>
    <row r="32" spans="1:37">
      <c r="A32" s="2"/>
      <c r="B32" s="2"/>
      <c r="C32" s="2"/>
      <c r="D32" s="2"/>
      <c r="E32" s="5"/>
      <c r="F32" s="2"/>
      <c r="G32" s="5"/>
      <c r="H32" s="2"/>
      <c r="I32" s="2"/>
      <c r="J32" s="2"/>
      <c r="K32" s="2"/>
      <c r="L32" s="2"/>
      <c r="M32" s="2"/>
      <c r="N32" s="2"/>
      <c r="O32" s="2"/>
      <c r="P32" s="2"/>
      <c r="Q32" s="2"/>
      <c r="R32" s="2"/>
      <c r="S32" s="2"/>
      <c r="T32" s="2"/>
      <c r="U32" s="2"/>
      <c r="V32" s="2"/>
      <c r="W32" s="2"/>
      <c r="X32" s="2"/>
      <c r="Y32" s="2"/>
      <c r="Z32" s="2" t="str">
        <f t="shared" si="0"/>
        <v/>
      </c>
      <c r="AA32" s="2" t="str">
        <f t="shared" si="1"/>
        <v/>
      </c>
      <c r="AB32" s="2" t="str">
        <f t="shared" si="2"/>
        <v/>
      </c>
      <c r="AC32" s="2" t="str">
        <f t="shared" si="3"/>
        <v>Walks with direction</v>
      </c>
      <c r="AD32" s="2"/>
      <c r="AE32" s="5"/>
      <c r="AF32" s="2"/>
      <c r="AG32" s="2"/>
      <c r="AH32" s="2"/>
      <c r="AI32" s="2"/>
    </row>
    <row r="33" spans="1:35">
      <c r="A33" s="2"/>
      <c r="B33" s="2"/>
      <c r="C33" s="2"/>
      <c r="D33" s="2"/>
      <c r="E33" s="5"/>
      <c r="F33" s="2"/>
      <c r="G33" s="5"/>
      <c r="H33" s="2"/>
      <c r="I33" s="2"/>
      <c r="J33" s="2"/>
      <c r="K33" s="2"/>
      <c r="L33" s="2"/>
      <c r="M33" s="2"/>
      <c r="N33" s="2"/>
      <c r="O33" s="2"/>
      <c r="P33" s="2"/>
      <c r="Q33" s="2"/>
      <c r="R33" s="2"/>
      <c r="S33" s="2"/>
      <c r="T33" s="2"/>
      <c r="U33" s="2"/>
      <c r="V33" s="2"/>
      <c r="W33" s="2"/>
      <c r="X33" s="2"/>
      <c r="Y33" s="2"/>
      <c r="Z33" s="2" t="str">
        <f t="shared" si="0"/>
        <v/>
      </c>
      <c r="AA33" s="2" t="str">
        <f t="shared" si="1"/>
        <v/>
      </c>
      <c r="AB33" s="2" t="str">
        <f t="shared" si="2"/>
        <v/>
      </c>
      <c r="AC33" s="2" t="str">
        <f t="shared" si="3"/>
        <v>Walks with direction</v>
      </c>
      <c r="AD33" s="2"/>
      <c r="AE33" s="5"/>
      <c r="AF33" s="2"/>
      <c r="AG33" s="2"/>
      <c r="AH33" s="2"/>
      <c r="AI33" s="2"/>
    </row>
    <row r="34" spans="1:35">
      <c r="A34" s="2"/>
      <c r="B34" s="2"/>
      <c r="C34" s="2"/>
      <c r="D34" s="2"/>
      <c r="E34" s="5"/>
      <c r="F34" s="2"/>
      <c r="G34" s="5"/>
      <c r="H34" s="2"/>
      <c r="I34" s="2"/>
      <c r="J34" s="2"/>
      <c r="K34" s="2"/>
      <c r="L34" s="2"/>
      <c r="M34" s="2"/>
      <c r="N34" s="2"/>
      <c r="O34" s="2"/>
      <c r="P34" s="2"/>
      <c r="Q34" s="2"/>
      <c r="R34" s="2"/>
      <c r="S34" s="2"/>
      <c r="T34" s="2"/>
      <c r="U34" s="2"/>
      <c r="V34" s="2"/>
      <c r="W34" s="2"/>
      <c r="X34" s="2"/>
      <c r="Y34" s="2"/>
      <c r="Z34" s="2" t="str">
        <f t="shared" si="0"/>
        <v/>
      </c>
      <c r="AA34" s="2" t="str">
        <f t="shared" si="1"/>
        <v/>
      </c>
      <c r="AB34" s="2" t="str">
        <f t="shared" si="2"/>
        <v/>
      </c>
      <c r="AC34" s="2" t="str">
        <f t="shared" si="3"/>
        <v>Walks with direction</v>
      </c>
      <c r="AD34" s="2"/>
      <c r="AE34" s="5"/>
      <c r="AF34" s="2"/>
      <c r="AG34" s="2"/>
      <c r="AH34" s="2"/>
      <c r="AI34" s="2"/>
    </row>
    <row r="35" spans="1:35">
      <c r="A35" s="2"/>
      <c r="B35" s="2"/>
      <c r="C35" s="2"/>
      <c r="D35" s="2"/>
      <c r="E35" s="5"/>
      <c r="F35" s="2"/>
      <c r="G35" s="5"/>
      <c r="H35" s="2"/>
      <c r="I35" s="2"/>
      <c r="J35" s="2"/>
      <c r="K35" s="2"/>
      <c r="L35" s="2"/>
      <c r="M35" s="2"/>
      <c r="N35" s="2"/>
      <c r="O35" s="2"/>
      <c r="P35" s="2"/>
      <c r="Q35" s="2"/>
      <c r="R35" s="2"/>
      <c r="S35" s="2"/>
      <c r="T35" s="2"/>
      <c r="U35" s="2"/>
      <c r="V35" s="2"/>
      <c r="W35" s="2"/>
      <c r="X35" s="2"/>
      <c r="Y35" s="2"/>
      <c r="Z35" s="2" t="str">
        <f t="shared" si="0"/>
        <v/>
      </c>
      <c r="AA35" s="2" t="str">
        <f t="shared" si="1"/>
        <v/>
      </c>
      <c r="AB35" s="2" t="str">
        <f t="shared" si="2"/>
        <v/>
      </c>
      <c r="AC35" s="2" t="str">
        <f t="shared" si="3"/>
        <v>Walks with direction</v>
      </c>
      <c r="AD35" s="2"/>
      <c r="AE35" s="5"/>
      <c r="AF35" s="2"/>
      <c r="AG35" s="2"/>
      <c r="AH35" s="2"/>
      <c r="AI35" s="2"/>
    </row>
    <row r="36" spans="1:35">
      <c r="A36" s="2"/>
      <c r="B36" s="2"/>
      <c r="C36" s="2"/>
      <c r="D36" s="2"/>
      <c r="E36" s="5"/>
      <c r="F36" s="2"/>
      <c r="G36" s="5"/>
      <c r="H36" s="2"/>
      <c r="I36" s="2"/>
      <c r="J36" s="2"/>
      <c r="K36" s="2"/>
      <c r="L36" s="2"/>
      <c r="M36" s="2"/>
      <c r="N36" s="2"/>
      <c r="O36" s="2"/>
      <c r="P36" s="2"/>
      <c r="Q36" s="2"/>
      <c r="R36" s="2"/>
      <c r="S36" s="2"/>
      <c r="T36" s="2"/>
      <c r="U36" s="2"/>
      <c r="V36" s="2"/>
      <c r="W36" s="2"/>
      <c r="X36" s="2"/>
      <c r="Y36" s="2"/>
      <c r="Z36" s="2" t="str">
        <f t="shared" si="0"/>
        <v/>
      </c>
      <c r="AA36" s="2" t="str">
        <f t="shared" si="1"/>
        <v/>
      </c>
      <c r="AB36" s="2" t="str">
        <f t="shared" si="2"/>
        <v/>
      </c>
      <c r="AC36" s="2" t="str">
        <f t="shared" si="3"/>
        <v>Walks with direction</v>
      </c>
      <c r="AD36" s="2"/>
      <c r="AE36" s="5"/>
      <c r="AF36" s="2"/>
      <c r="AG36" s="2"/>
      <c r="AH36" s="2"/>
      <c r="AI36" s="2"/>
    </row>
    <row r="37" spans="1:35">
      <c r="A37" s="2"/>
      <c r="B37" s="2"/>
      <c r="C37" s="2"/>
      <c r="D37" s="2"/>
      <c r="E37" s="5"/>
      <c r="F37" s="2"/>
      <c r="G37" s="5"/>
      <c r="H37" s="2"/>
      <c r="I37" s="2"/>
      <c r="J37" s="2"/>
      <c r="K37" s="2"/>
      <c r="L37" s="2"/>
      <c r="M37" s="2"/>
      <c r="N37" s="2"/>
      <c r="O37" s="2"/>
      <c r="P37" s="2"/>
      <c r="Q37" s="2"/>
      <c r="R37" s="2"/>
      <c r="S37" s="2"/>
      <c r="T37" s="2"/>
      <c r="U37" s="2"/>
      <c r="V37" s="2"/>
      <c r="W37" s="2"/>
      <c r="X37" s="2"/>
      <c r="Y37" s="2"/>
      <c r="Z37" s="2" t="str">
        <f t="shared" si="0"/>
        <v/>
      </c>
      <c r="AA37" s="2" t="str">
        <f t="shared" si="1"/>
        <v/>
      </c>
      <c r="AB37" s="2" t="str">
        <f t="shared" si="2"/>
        <v/>
      </c>
      <c r="AC37" s="2" t="str">
        <f t="shared" si="3"/>
        <v>Walks with direction</v>
      </c>
      <c r="AD37" s="2"/>
      <c r="AE37" s="5"/>
      <c r="AF37" s="2"/>
      <c r="AG37" s="2"/>
      <c r="AH37" s="2"/>
      <c r="AI37" s="2"/>
    </row>
    <row r="38" spans="1:35">
      <c r="A38" s="2"/>
      <c r="B38" s="2"/>
      <c r="C38" s="2"/>
      <c r="D38" s="2"/>
      <c r="E38" s="5"/>
      <c r="F38" s="2"/>
      <c r="G38" s="5"/>
      <c r="H38" s="2"/>
      <c r="I38" s="2"/>
      <c r="J38" s="2"/>
      <c r="K38" s="2"/>
      <c r="L38" s="2"/>
      <c r="M38" s="2"/>
      <c r="N38" s="2"/>
      <c r="O38" s="2"/>
      <c r="P38" s="2"/>
      <c r="Q38" s="2"/>
      <c r="R38" s="2"/>
      <c r="S38" s="2"/>
      <c r="T38" s="2"/>
      <c r="U38" s="2"/>
      <c r="V38" s="2"/>
      <c r="W38" s="2"/>
      <c r="X38" s="2"/>
      <c r="Y38" s="2"/>
      <c r="Z38" s="2" t="str">
        <f t="shared" si="0"/>
        <v/>
      </c>
      <c r="AA38" s="2" t="str">
        <f t="shared" si="1"/>
        <v/>
      </c>
      <c r="AB38" s="2" t="str">
        <f t="shared" si="2"/>
        <v/>
      </c>
      <c r="AC38" s="2" t="str">
        <f t="shared" si="3"/>
        <v>Walks with direction</v>
      </c>
      <c r="AD38" s="2"/>
      <c r="AE38" s="5"/>
      <c r="AF38" s="2"/>
      <c r="AG38" s="2"/>
      <c r="AH38" s="2"/>
      <c r="AI38" s="2"/>
    </row>
    <row r="39" spans="1:35">
      <c r="A39" s="2"/>
      <c r="B39" s="2"/>
      <c r="C39" s="2"/>
      <c r="D39" s="2"/>
      <c r="E39" s="5"/>
      <c r="F39" s="2"/>
      <c r="G39" s="5"/>
      <c r="H39" s="2"/>
      <c r="I39" s="2"/>
      <c r="J39" s="2"/>
      <c r="K39" s="2"/>
      <c r="L39" s="2"/>
      <c r="M39" s="2"/>
      <c r="N39" s="2"/>
      <c r="O39" s="2"/>
      <c r="P39" s="2"/>
      <c r="Q39" s="2"/>
      <c r="R39" s="2"/>
      <c r="S39" s="2"/>
      <c r="T39" s="2"/>
      <c r="U39" s="2"/>
      <c r="V39" s="2"/>
      <c r="W39" s="2"/>
      <c r="X39" s="2"/>
      <c r="Y39" s="2"/>
      <c r="Z39" s="2" t="str">
        <f t="shared" si="0"/>
        <v/>
      </c>
      <c r="AA39" s="2" t="str">
        <f t="shared" si="1"/>
        <v/>
      </c>
      <c r="AB39" s="2" t="str">
        <f t="shared" si="2"/>
        <v/>
      </c>
      <c r="AC39" s="2" t="str">
        <f t="shared" si="3"/>
        <v>Walks with direction</v>
      </c>
      <c r="AD39" s="2"/>
      <c r="AE39" s="5"/>
      <c r="AF39" s="2"/>
      <c r="AG39" s="2"/>
      <c r="AH39" s="2"/>
      <c r="AI39" s="2"/>
    </row>
    <row r="40" spans="1:35">
      <c r="A40" s="2"/>
      <c r="B40" s="2"/>
      <c r="C40" s="2"/>
      <c r="D40" s="2"/>
      <c r="E40" s="5"/>
      <c r="F40" s="2"/>
      <c r="G40" s="5"/>
      <c r="H40" s="2"/>
      <c r="I40" s="2"/>
      <c r="J40" s="2"/>
      <c r="K40" s="2"/>
      <c r="L40" s="2"/>
      <c r="M40" s="2"/>
      <c r="N40" s="2"/>
      <c r="O40" s="2"/>
      <c r="P40" s="2"/>
      <c r="Q40" s="2"/>
      <c r="R40" s="2"/>
      <c r="S40" s="2"/>
      <c r="T40" s="2"/>
      <c r="U40" s="2"/>
      <c r="V40" s="2"/>
      <c r="W40" s="2"/>
      <c r="X40" s="2"/>
      <c r="Y40" s="2"/>
      <c r="Z40" s="2" t="str">
        <f t="shared" si="0"/>
        <v/>
      </c>
      <c r="AA40" s="2" t="str">
        <f t="shared" si="1"/>
        <v/>
      </c>
      <c r="AB40" s="2" t="str">
        <f t="shared" si="2"/>
        <v/>
      </c>
      <c r="AC40" s="2" t="str">
        <f t="shared" si="3"/>
        <v>Walks with direction</v>
      </c>
      <c r="AD40" s="2"/>
      <c r="AE40" s="5"/>
      <c r="AF40" s="2"/>
      <c r="AG40" s="2"/>
      <c r="AH40" s="2"/>
      <c r="AI40" s="2"/>
    </row>
    <row r="41" spans="1:35">
      <c r="A41" s="2"/>
      <c r="B41" s="2"/>
      <c r="C41" s="2"/>
      <c r="D41" s="2"/>
      <c r="E41" s="5"/>
      <c r="F41" s="2"/>
      <c r="G41" s="5"/>
      <c r="H41" s="2"/>
      <c r="I41" s="2"/>
      <c r="J41" s="2"/>
      <c r="K41" s="2"/>
      <c r="L41" s="2"/>
      <c r="M41" s="2"/>
      <c r="N41" s="2"/>
      <c r="O41" s="2"/>
      <c r="P41" s="2"/>
      <c r="Q41" s="2"/>
      <c r="R41" s="2"/>
      <c r="S41" s="2"/>
      <c r="T41" s="2"/>
      <c r="U41" s="2"/>
      <c r="V41" s="2"/>
      <c r="W41" s="2"/>
      <c r="X41" s="2"/>
      <c r="Y41" s="2"/>
      <c r="Z41" s="2" t="str">
        <f t="shared" si="0"/>
        <v/>
      </c>
      <c r="AA41" s="2" t="str">
        <f t="shared" si="1"/>
        <v/>
      </c>
      <c r="AB41" s="2" t="str">
        <f t="shared" si="2"/>
        <v/>
      </c>
      <c r="AC41" s="2" t="str">
        <f t="shared" si="3"/>
        <v>Walks with direction</v>
      </c>
      <c r="AD41" s="2"/>
      <c r="AE41" s="5"/>
      <c r="AF41" s="2"/>
      <c r="AG41" s="2"/>
      <c r="AH41" s="2"/>
      <c r="AI41" s="2"/>
    </row>
    <row r="42" spans="1:35">
      <c r="A42" s="2"/>
      <c r="B42" s="2"/>
      <c r="C42" s="2"/>
      <c r="D42" s="2"/>
      <c r="E42" s="5"/>
      <c r="F42" s="2"/>
      <c r="G42" s="5"/>
      <c r="H42" s="2"/>
      <c r="I42" s="2"/>
      <c r="J42" s="2"/>
      <c r="K42" s="2"/>
      <c r="L42" s="2"/>
      <c r="M42" s="2"/>
      <c r="N42" s="2"/>
      <c r="O42" s="2"/>
      <c r="P42" s="2"/>
      <c r="Q42" s="2"/>
      <c r="R42" s="2"/>
      <c r="S42" s="2"/>
      <c r="T42" s="2"/>
      <c r="U42" s="2"/>
      <c r="V42" s="2"/>
      <c r="W42" s="2"/>
      <c r="X42" s="2"/>
      <c r="Y42" s="2"/>
      <c r="Z42" s="2" t="str">
        <f t="shared" si="0"/>
        <v/>
      </c>
      <c r="AA42" s="2" t="str">
        <f t="shared" si="1"/>
        <v/>
      </c>
      <c r="AB42" s="2" t="str">
        <f t="shared" si="2"/>
        <v/>
      </c>
      <c r="AC42" s="2" t="str">
        <f t="shared" si="3"/>
        <v>Walks with direction</v>
      </c>
      <c r="AD42" s="2"/>
      <c r="AE42" s="5"/>
      <c r="AF42" s="2"/>
      <c r="AG42" s="2"/>
      <c r="AH42" s="2"/>
      <c r="AI42" s="2"/>
    </row>
    <row r="43" spans="1:35">
      <c r="A43" s="2"/>
      <c r="B43" s="2"/>
      <c r="C43" s="2"/>
      <c r="D43" s="2"/>
      <c r="E43" s="5"/>
      <c r="F43" s="2"/>
      <c r="G43" s="5"/>
      <c r="H43" s="2"/>
      <c r="I43" s="2"/>
      <c r="J43" s="2"/>
      <c r="K43" s="2"/>
      <c r="L43" s="2"/>
      <c r="M43" s="2"/>
      <c r="N43" s="2"/>
      <c r="O43" s="2"/>
      <c r="P43" s="2"/>
      <c r="Q43" s="2"/>
      <c r="R43" s="2"/>
      <c r="S43" s="2"/>
      <c r="T43" s="2"/>
      <c r="U43" s="2"/>
      <c r="V43" s="2"/>
      <c r="W43" s="2"/>
      <c r="X43" s="2"/>
      <c r="Y43" s="2"/>
      <c r="Z43" s="2" t="str">
        <f t="shared" si="0"/>
        <v/>
      </c>
      <c r="AA43" s="2" t="str">
        <f t="shared" si="1"/>
        <v/>
      </c>
      <c r="AB43" s="2" t="str">
        <f t="shared" si="2"/>
        <v/>
      </c>
      <c r="AC43" s="2" t="str">
        <f t="shared" si="3"/>
        <v>Walks with direction</v>
      </c>
      <c r="AD43" s="2"/>
      <c r="AE43" s="5"/>
      <c r="AF43" s="2"/>
      <c r="AG43" s="2"/>
      <c r="AH43" s="2"/>
      <c r="AI43" s="2"/>
    </row>
    <row r="44" spans="1:35">
      <c r="A44" s="2"/>
      <c r="B44" s="2"/>
      <c r="C44" s="2"/>
      <c r="D44" s="2"/>
      <c r="E44" s="5"/>
      <c r="F44" s="2"/>
      <c r="G44" s="5"/>
      <c r="H44" s="2"/>
      <c r="I44" s="2"/>
      <c r="J44" s="2"/>
      <c r="K44" s="2"/>
      <c r="L44" s="2"/>
      <c r="M44" s="2"/>
      <c r="N44" s="2"/>
      <c r="O44" s="2"/>
      <c r="P44" s="2"/>
      <c r="Q44" s="2"/>
      <c r="R44" s="2"/>
      <c r="S44" s="2"/>
      <c r="T44" s="2"/>
      <c r="U44" s="2"/>
      <c r="V44" s="2"/>
      <c r="W44" s="2"/>
      <c r="X44" s="2"/>
      <c r="Y44" s="2"/>
      <c r="Z44" s="2" t="str">
        <f t="shared" si="0"/>
        <v/>
      </c>
      <c r="AA44" s="2" t="str">
        <f t="shared" si="1"/>
        <v/>
      </c>
      <c r="AB44" s="2" t="str">
        <f t="shared" si="2"/>
        <v/>
      </c>
      <c r="AC44" s="2" t="str">
        <f t="shared" si="3"/>
        <v>Walks with direction</v>
      </c>
      <c r="AD44" s="2"/>
      <c r="AE44" s="5"/>
      <c r="AF44" s="2"/>
      <c r="AG44" s="2"/>
      <c r="AH44" s="2"/>
      <c r="AI44" s="2"/>
    </row>
    <row r="45" spans="1:35">
      <c r="A45" s="2"/>
      <c r="B45" s="2"/>
      <c r="C45" s="2"/>
      <c r="D45" s="2"/>
      <c r="E45" s="5"/>
      <c r="F45" s="2"/>
      <c r="G45" s="5"/>
      <c r="H45" s="2"/>
      <c r="I45" s="2"/>
      <c r="J45" s="2"/>
      <c r="K45" s="2"/>
      <c r="L45" s="2"/>
      <c r="M45" s="2"/>
      <c r="N45" s="2"/>
      <c r="O45" s="2"/>
      <c r="P45" s="2"/>
      <c r="Q45" s="2"/>
      <c r="R45" s="2"/>
      <c r="S45" s="2"/>
      <c r="T45" s="2"/>
      <c r="U45" s="2"/>
      <c r="V45" s="2"/>
      <c r="W45" s="2"/>
      <c r="X45" s="2"/>
      <c r="Y45" s="2"/>
      <c r="Z45" s="2" t="str">
        <f t="shared" si="0"/>
        <v/>
      </c>
      <c r="AA45" s="2" t="str">
        <f t="shared" si="1"/>
        <v/>
      </c>
      <c r="AB45" s="2" t="str">
        <f t="shared" si="2"/>
        <v/>
      </c>
      <c r="AC45" s="2" t="str">
        <f t="shared" si="3"/>
        <v>Walks with direction</v>
      </c>
      <c r="AD45" s="2"/>
      <c r="AE45" s="5"/>
      <c r="AF45" s="2"/>
      <c r="AG45" s="2"/>
      <c r="AH45" s="2"/>
      <c r="AI45" s="2"/>
    </row>
    <row r="46" spans="1:35">
      <c r="A46" s="2"/>
      <c r="B46" s="2"/>
      <c r="C46" s="2"/>
      <c r="D46" s="2"/>
      <c r="E46" s="5"/>
      <c r="F46" s="2"/>
      <c r="G46" s="5"/>
      <c r="H46" s="2"/>
      <c r="I46" s="2"/>
      <c r="J46" s="2"/>
      <c r="K46" s="2"/>
      <c r="L46" s="2"/>
      <c r="M46" s="2"/>
      <c r="N46" s="2"/>
      <c r="O46" s="2"/>
      <c r="P46" s="2"/>
      <c r="Q46" s="2"/>
      <c r="R46" s="2"/>
      <c r="S46" s="2"/>
      <c r="T46" s="2"/>
      <c r="U46" s="2"/>
      <c r="V46" s="2"/>
      <c r="W46" s="2"/>
      <c r="X46" s="2"/>
      <c r="Y46" s="2"/>
      <c r="Z46" s="2" t="str">
        <f t="shared" si="0"/>
        <v/>
      </c>
      <c r="AA46" s="2" t="str">
        <f t="shared" si="1"/>
        <v/>
      </c>
      <c r="AB46" s="2" t="str">
        <f t="shared" si="2"/>
        <v/>
      </c>
      <c r="AC46" s="2" t="str">
        <f t="shared" si="3"/>
        <v>Walks with direction</v>
      </c>
      <c r="AD46" s="2"/>
      <c r="AE46" s="5"/>
      <c r="AF46" s="2"/>
      <c r="AG46" s="2"/>
      <c r="AH46" s="2"/>
      <c r="AI46" s="2"/>
    </row>
    <row r="47" spans="1:35">
      <c r="A47" s="2"/>
      <c r="B47" s="2"/>
      <c r="C47" s="2"/>
      <c r="D47" s="2"/>
      <c r="E47" s="5"/>
      <c r="F47" s="2"/>
      <c r="G47" s="5"/>
      <c r="H47" s="2"/>
      <c r="I47" s="2"/>
      <c r="J47" s="2"/>
      <c r="K47" s="2"/>
      <c r="L47" s="2"/>
      <c r="M47" s="2"/>
      <c r="N47" s="2"/>
      <c r="O47" s="2"/>
      <c r="P47" s="2"/>
      <c r="Q47" s="2"/>
      <c r="R47" s="2"/>
      <c r="S47" s="2"/>
      <c r="T47" s="2"/>
      <c r="U47" s="2"/>
      <c r="V47" s="2"/>
      <c r="W47" s="2"/>
      <c r="X47" s="2"/>
      <c r="Y47" s="2"/>
      <c r="Z47" s="2" t="str">
        <f t="shared" si="0"/>
        <v/>
      </c>
      <c r="AA47" s="2" t="str">
        <f t="shared" si="1"/>
        <v/>
      </c>
      <c r="AB47" s="2" t="str">
        <f t="shared" si="2"/>
        <v/>
      </c>
      <c r="AC47" s="2" t="str">
        <f t="shared" si="3"/>
        <v>Walks with direction</v>
      </c>
      <c r="AD47" s="2"/>
      <c r="AE47" s="5"/>
      <c r="AF47" s="2"/>
      <c r="AG47" s="2"/>
      <c r="AH47" s="2"/>
      <c r="AI47" s="2"/>
    </row>
    <row r="48" spans="1:35">
      <c r="A48" s="2"/>
      <c r="B48" s="2"/>
      <c r="C48" s="2"/>
      <c r="D48" s="2"/>
      <c r="E48" s="5"/>
      <c r="F48" s="2"/>
      <c r="G48" s="5"/>
      <c r="H48" s="2"/>
      <c r="I48" s="2"/>
      <c r="J48" s="2"/>
      <c r="K48" s="2"/>
      <c r="L48" s="2"/>
      <c r="M48" s="2"/>
      <c r="N48" s="2"/>
      <c r="O48" s="2"/>
      <c r="P48" s="2"/>
      <c r="Q48" s="2"/>
      <c r="R48" s="2"/>
      <c r="S48" s="2"/>
      <c r="T48" s="2"/>
      <c r="U48" s="2"/>
      <c r="V48" s="2"/>
      <c r="W48" s="2"/>
      <c r="X48" s="2"/>
      <c r="Y48" s="2"/>
      <c r="Z48" s="2" t="str">
        <f t="shared" si="0"/>
        <v/>
      </c>
      <c r="AA48" s="2" t="str">
        <f t="shared" si="1"/>
        <v/>
      </c>
      <c r="AB48" s="2" t="str">
        <f t="shared" si="2"/>
        <v/>
      </c>
      <c r="AC48" s="2" t="str">
        <f t="shared" si="3"/>
        <v>Walks with direction</v>
      </c>
      <c r="AD48" s="2"/>
      <c r="AE48" s="5"/>
      <c r="AF48" s="2"/>
      <c r="AG48" s="2"/>
      <c r="AH48" s="2"/>
      <c r="AI48" s="2"/>
    </row>
    <row r="49" spans="1:35">
      <c r="A49" s="2"/>
      <c r="B49" s="2"/>
      <c r="C49" s="2"/>
      <c r="D49" s="2"/>
      <c r="E49" s="5"/>
      <c r="F49" s="2"/>
      <c r="G49" s="5"/>
      <c r="H49" s="2"/>
      <c r="I49" s="2"/>
      <c r="J49" s="2"/>
      <c r="K49" s="2"/>
      <c r="L49" s="2"/>
      <c r="M49" s="2"/>
      <c r="N49" s="2"/>
      <c r="O49" s="2"/>
      <c r="P49" s="2"/>
      <c r="Q49" s="2"/>
      <c r="R49" s="2"/>
      <c r="S49" s="2"/>
      <c r="T49" s="2"/>
      <c r="U49" s="2"/>
      <c r="V49" s="2"/>
      <c r="W49" s="2"/>
      <c r="X49" s="2"/>
      <c r="Y49" s="2"/>
      <c r="Z49" s="2" t="str">
        <f t="shared" si="0"/>
        <v/>
      </c>
      <c r="AA49" s="2" t="str">
        <f t="shared" si="1"/>
        <v/>
      </c>
      <c r="AB49" s="2" t="str">
        <f t="shared" si="2"/>
        <v/>
      </c>
      <c r="AC49" s="2" t="str">
        <f t="shared" si="3"/>
        <v>Walks with direction</v>
      </c>
      <c r="AD49" s="2"/>
      <c r="AE49" s="5"/>
      <c r="AF49" s="2"/>
      <c r="AG49" s="2"/>
      <c r="AH49" s="2"/>
      <c r="AI49" s="2"/>
    </row>
    <row r="50" spans="1:35">
      <c r="A50" s="2"/>
      <c r="B50" s="2"/>
      <c r="C50" s="2"/>
      <c r="D50" s="2"/>
      <c r="E50" s="5"/>
      <c r="F50" s="2"/>
      <c r="G50" s="5"/>
      <c r="H50" s="2"/>
      <c r="I50" s="2"/>
      <c r="J50" s="2"/>
      <c r="K50" s="2"/>
      <c r="L50" s="2"/>
      <c r="M50" s="2"/>
      <c r="N50" s="2"/>
      <c r="O50" s="2"/>
      <c r="P50" s="2"/>
      <c r="Q50" s="2"/>
      <c r="R50" s="2"/>
      <c r="S50" s="2"/>
      <c r="T50" s="2"/>
      <c r="U50" s="2"/>
      <c r="V50" s="2"/>
      <c r="W50" s="2"/>
      <c r="X50" s="2"/>
      <c r="Y50" s="2"/>
      <c r="Z50" s="2" t="str">
        <f t="shared" ref="Z50:Z81" si="4">IF(COUNTA(H50:Y50)=0,"",IF(COUNTIF(H50:Y50,"Very High")&gt;0,"Very High",IF(COUNTIF(H50:Y50,"High")&gt;0,"High",IF(COUNTIF(H50:Y50,"Medium")&gt;0,"Medium","Low"))))</f>
        <v/>
      </c>
      <c r="AA50" s="2" t="str">
        <f t="shared" ref="AA50:AA81" si="5">IF(Z50="","",IF(Z50="Low","Routine planned support",IF(Z50="Medium","One staff support/supervision likely",IF(Z50="High","Two staff/review staffing and equipment","Manager review: multiple staff/specialist support"))))</f>
        <v/>
      </c>
      <c r="AB50" s="2" t="str">
        <f t="shared" ref="AB50:AB81" si="6">IF(Z50="","",IF(OR(Z50="High",Z50="Very High",W50="High",W50="Very High"),"Night staffing and evacuation review required","Routine night checks as per care plan"))</f>
        <v/>
      </c>
      <c r="AC50" s="2" t="str">
        <f t="shared" ref="AC50:AC81" si="7">IF(X50="Very High","Specialist PEEP / equipment",IF(OR(X50="High",Z50="High"),"Evacuation sheet/chair or wheelchair per PEEP",IF(OR(X50="Medium",Z50="Medium"),"Walking aid/wheelchair support per PEEP","Walks with direction")))</f>
        <v>Walks with direction</v>
      </c>
      <c r="AD50" s="2"/>
      <c r="AE50" s="5"/>
      <c r="AF50" s="2"/>
      <c r="AG50" s="2"/>
      <c r="AH50" s="2"/>
      <c r="AI50" s="2"/>
    </row>
    <row r="51" spans="1:35">
      <c r="A51" s="2"/>
      <c r="B51" s="2"/>
      <c r="C51" s="2"/>
      <c r="D51" s="2"/>
      <c r="E51" s="5"/>
      <c r="F51" s="2"/>
      <c r="G51" s="5"/>
      <c r="H51" s="2"/>
      <c r="I51" s="2"/>
      <c r="J51" s="2"/>
      <c r="K51" s="2"/>
      <c r="L51" s="2"/>
      <c r="M51" s="2"/>
      <c r="N51" s="2"/>
      <c r="O51" s="2"/>
      <c r="P51" s="2"/>
      <c r="Q51" s="2"/>
      <c r="R51" s="2"/>
      <c r="S51" s="2"/>
      <c r="T51" s="2"/>
      <c r="U51" s="2"/>
      <c r="V51" s="2"/>
      <c r="W51" s="2"/>
      <c r="X51" s="2"/>
      <c r="Y51" s="2"/>
      <c r="Z51" s="2" t="str">
        <f t="shared" si="4"/>
        <v/>
      </c>
      <c r="AA51" s="2" t="str">
        <f t="shared" si="5"/>
        <v/>
      </c>
      <c r="AB51" s="2" t="str">
        <f t="shared" si="6"/>
        <v/>
      </c>
      <c r="AC51" s="2" t="str">
        <f t="shared" si="7"/>
        <v>Walks with direction</v>
      </c>
      <c r="AD51" s="2"/>
      <c r="AE51" s="5"/>
      <c r="AF51" s="2"/>
      <c r="AG51" s="2"/>
      <c r="AH51" s="2"/>
      <c r="AI51" s="2"/>
    </row>
    <row r="52" spans="1:35">
      <c r="A52" s="2"/>
      <c r="B52" s="2"/>
      <c r="C52" s="2"/>
      <c r="D52" s="2"/>
      <c r="E52" s="5"/>
      <c r="F52" s="2"/>
      <c r="G52" s="5"/>
      <c r="H52" s="2"/>
      <c r="I52" s="2"/>
      <c r="J52" s="2"/>
      <c r="K52" s="2"/>
      <c r="L52" s="2"/>
      <c r="M52" s="2"/>
      <c r="N52" s="2"/>
      <c r="O52" s="2"/>
      <c r="P52" s="2"/>
      <c r="Q52" s="2"/>
      <c r="R52" s="2"/>
      <c r="S52" s="2"/>
      <c r="T52" s="2"/>
      <c r="U52" s="2"/>
      <c r="V52" s="2"/>
      <c r="W52" s="2"/>
      <c r="X52" s="2"/>
      <c r="Y52" s="2"/>
      <c r="Z52" s="2" t="str">
        <f t="shared" si="4"/>
        <v/>
      </c>
      <c r="AA52" s="2" t="str">
        <f t="shared" si="5"/>
        <v/>
      </c>
      <c r="AB52" s="2" t="str">
        <f t="shared" si="6"/>
        <v/>
      </c>
      <c r="AC52" s="2" t="str">
        <f t="shared" si="7"/>
        <v>Walks with direction</v>
      </c>
      <c r="AD52" s="2"/>
      <c r="AE52" s="5"/>
      <c r="AF52" s="2"/>
      <c r="AG52" s="2"/>
      <c r="AH52" s="2"/>
      <c r="AI52" s="2"/>
    </row>
    <row r="53" spans="1:35">
      <c r="A53" s="2"/>
      <c r="B53" s="2"/>
      <c r="C53" s="2"/>
      <c r="D53" s="2"/>
      <c r="E53" s="5"/>
      <c r="F53" s="2"/>
      <c r="G53" s="5"/>
      <c r="H53" s="2"/>
      <c r="I53" s="2"/>
      <c r="J53" s="2"/>
      <c r="K53" s="2"/>
      <c r="L53" s="2"/>
      <c r="M53" s="2"/>
      <c r="N53" s="2"/>
      <c r="O53" s="2"/>
      <c r="P53" s="2"/>
      <c r="Q53" s="2"/>
      <c r="R53" s="2"/>
      <c r="S53" s="2"/>
      <c r="T53" s="2"/>
      <c r="U53" s="2"/>
      <c r="V53" s="2"/>
      <c r="W53" s="2"/>
      <c r="X53" s="2"/>
      <c r="Y53" s="2"/>
      <c r="Z53" s="2" t="str">
        <f t="shared" si="4"/>
        <v/>
      </c>
      <c r="AA53" s="2" t="str">
        <f t="shared" si="5"/>
        <v/>
      </c>
      <c r="AB53" s="2" t="str">
        <f t="shared" si="6"/>
        <v/>
      </c>
      <c r="AC53" s="2" t="str">
        <f t="shared" si="7"/>
        <v>Walks with direction</v>
      </c>
      <c r="AD53" s="2"/>
      <c r="AE53" s="5"/>
      <c r="AF53" s="2"/>
      <c r="AG53" s="2"/>
      <c r="AH53" s="2"/>
      <c r="AI53" s="2"/>
    </row>
    <row r="54" spans="1:35">
      <c r="A54" s="2"/>
      <c r="B54" s="2"/>
      <c r="C54" s="2"/>
      <c r="D54" s="2"/>
      <c r="E54" s="5"/>
      <c r="F54" s="2"/>
      <c r="G54" s="5"/>
      <c r="H54" s="2"/>
      <c r="I54" s="2"/>
      <c r="J54" s="2"/>
      <c r="K54" s="2"/>
      <c r="L54" s="2"/>
      <c r="M54" s="2"/>
      <c r="N54" s="2"/>
      <c r="O54" s="2"/>
      <c r="P54" s="2"/>
      <c r="Q54" s="2"/>
      <c r="R54" s="2"/>
      <c r="S54" s="2"/>
      <c r="T54" s="2"/>
      <c r="U54" s="2"/>
      <c r="V54" s="2"/>
      <c r="W54" s="2"/>
      <c r="X54" s="2"/>
      <c r="Y54" s="2"/>
      <c r="Z54" s="2" t="str">
        <f t="shared" si="4"/>
        <v/>
      </c>
      <c r="AA54" s="2" t="str">
        <f t="shared" si="5"/>
        <v/>
      </c>
      <c r="AB54" s="2" t="str">
        <f t="shared" si="6"/>
        <v/>
      </c>
      <c r="AC54" s="2" t="str">
        <f t="shared" si="7"/>
        <v>Walks with direction</v>
      </c>
      <c r="AD54" s="2"/>
      <c r="AE54" s="5"/>
      <c r="AF54" s="2"/>
      <c r="AG54" s="2"/>
      <c r="AH54" s="2"/>
      <c r="AI54" s="2"/>
    </row>
    <row r="55" spans="1:35">
      <c r="A55" s="2"/>
      <c r="B55" s="2"/>
      <c r="C55" s="2"/>
      <c r="D55" s="2"/>
      <c r="E55" s="5"/>
      <c r="F55" s="2"/>
      <c r="G55" s="5"/>
      <c r="H55" s="2"/>
      <c r="I55" s="2"/>
      <c r="J55" s="2"/>
      <c r="K55" s="2"/>
      <c r="L55" s="2"/>
      <c r="M55" s="2"/>
      <c r="N55" s="2"/>
      <c r="O55" s="2"/>
      <c r="P55" s="2"/>
      <c r="Q55" s="2"/>
      <c r="R55" s="2"/>
      <c r="S55" s="2"/>
      <c r="T55" s="2"/>
      <c r="U55" s="2"/>
      <c r="V55" s="2"/>
      <c r="W55" s="2"/>
      <c r="X55" s="2"/>
      <c r="Y55" s="2"/>
      <c r="Z55" s="2" t="str">
        <f t="shared" si="4"/>
        <v/>
      </c>
      <c r="AA55" s="2" t="str">
        <f t="shared" si="5"/>
        <v/>
      </c>
      <c r="AB55" s="2" t="str">
        <f t="shared" si="6"/>
        <v/>
      </c>
      <c r="AC55" s="2" t="str">
        <f t="shared" si="7"/>
        <v>Walks with direction</v>
      </c>
      <c r="AD55" s="2"/>
      <c r="AE55" s="5"/>
      <c r="AF55" s="2"/>
      <c r="AG55" s="2"/>
      <c r="AH55" s="2"/>
      <c r="AI55" s="2"/>
    </row>
    <row r="56" spans="1:35">
      <c r="A56" s="2"/>
      <c r="B56" s="2"/>
      <c r="C56" s="2"/>
      <c r="D56" s="2"/>
      <c r="E56" s="5"/>
      <c r="F56" s="2"/>
      <c r="G56" s="5"/>
      <c r="H56" s="2"/>
      <c r="I56" s="2"/>
      <c r="J56" s="2"/>
      <c r="K56" s="2"/>
      <c r="L56" s="2"/>
      <c r="M56" s="2"/>
      <c r="N56" s="2"/>
      <c r="O56" s="2"/>
      <c r="P56" s="2"/>
      <c r="Q56" s="2"/>
      <c r="R56" s="2"/>
      <c r="S56" s="2"/>
      <c r="T56" s="2"/>
      <c r="U56" s="2"/>
      <c r="V56" s="2"/>
      <c r="W56" s="2"/>
      <c r="X56" s="2"/>
      <c r="Y56" s="2"/>
      <c r="Z56" s="2" t="str">
        <f t="shared" si="4"/>
        <v/>
      </c>
      <c r="AA56" s="2" t="str">
        <f t="shared" si="5"/>
        <v/>
      </c>
      <c r="AB56" s="2" t="str">
        <f t="shared" si="6"/>
        <v/>
      </c>
      <c r="AC56" s="2" t="str">
        <f t="shared" si="7"/>
        <v>Walks with direction</v>
      </c>
      <c r="AD56" s="2"/>
      <c r="AE56" s="5"/>
      <c r="AF56" s="2"/>
      <c r="AG56" s="2"/>
      <c r="AH56" s="2"/>
      <c r="AI56" s="2"/>
    </row>
    <row r="57" spans="1:35">
      <c r="A57" s="2"/>
      <c r="B57" s="2"/>
      <c r="C57" s="2"/>
      <c r="D57" s="2"/>
      <c r="E57" s="5"/>
      <c r="F57" s="2"/>
      <c r="G57" s="5"/>
      <c r="H57" s="2"/>
      <c r="I57" s="2"/>
      <c r="J57" s="2"/>
      <c r="K57" s="2"/>
      <c r="L57" s="2"/>
      <c r="M57" s="2"/>
      <c r="N57" s="2"/>
      <c r="O57" s="2"/>
      <c r="P57" s="2"/>
      <c r="Q57" s="2"/>
      <c r="R57" s="2"/>
      <c r="S57" s="2"/>
      <c r="T57" s="2"/>
      <c r="U57" s="2"/>
      <c r="V57" s="2"/>
      <c r="W57" s="2"/>
      <c r="X57" s="2"/>
      <c r="Y57" s="2"/>
      <c r="Z57" s="2" t="str">
        <f t="shared" si="4"/>
        <v/>
      </c>
      <c r="AA57" s="2" t="str">
        <f t="shared" si="5"/>
        <v/>
      </c>
      <c r="AB57" s="2" t="str">
        <f t="shared" si="6"/>
        <v/>
      </c>
      <c r="AC57" s="2" t="str">
        <f t="shared" si="7"/>
        <v>Walks with direction</v>
      </c>
      <c r="AD57" s="2"/>
      <c r="AE57" s="5"/>
      <c r="AF57" s="2"/>
      <c r="AG57" s="2"/>
      <c r="AH57" s="2"/>
      <c r="AI57" s="2"/>
    </row>
    <row r="58" spans="1:35">
      <c r="A58" s="2"/>
      <c r="B58" s="2"/>
      <c r="C58" s="2"/>
      <c r="D58" s="2"/>
      <c r="E58" s="5"/>
      <c r="F58" s="2"/>
      <c r="G58" s="5"/>
      <c r="H58" s="2"/>
      <c r="I58" s="2"/>
      <c r="J58" s="2"/>
      <c r="K58" s="2"/>
      <c r="L58" s="2"/>
      <c r="M58" s="2"/>
      <c r="N58" s="2"/>
      <c r="O58" s="2"/>
      <c r="P58" s="2"/>
      <c r="Q58" s="2"/>
      <c r="R58" s="2"/>
      <c r="S58" s="2"/>
      <c r="T58" s="2"/>
      <c r="U58" s="2"/>
      <c r="V58" s="2"/>
      <c r="W58" s="2"/>
      <c r="X58" s="2"/>
      <c r="Y58" s="2"/>
      <c r="Z58" s="2" t="str">
        <f t="shared" si="4"/>
        <v/>
      </c>
      <c r="AA58" s="2" t="str">
        <f t="shared" si="5"/>
        <v/>
      </c>
      <c r="AB58" s="2" t="str">
        <f t="shared" si="6"/>
        <v/>
      </c>
      <c r="AC58" s="2" t="str">
        <f t="shared" si="7"/>
        <v>Walks with direction</v>
      </c>
      <c r="AD58" s="2"/>
      <c r="AE58" s="5"/>
      <c r="AF58" s="2"/>
      <c r="AG58" s="2"/>
      <c r="AH58" s="2"/>
      <c r="AI58" s="2"/>
    </row>
    <row r="59" spans="1:35">
      <c r="A59" s="2"/>
      <c r="B59" s="2"/>
      <c r="C59" s="2"/>
      <c r="D59" s="2"/>
      <c r="E59" s="5"/>
      <c r="F59" s="2"/>
      <c r="G59" s="5"/>
      <c r="H59" s="2"/>
      <c r="I59" s="2"/>
      <c r="J59" s="2"/>
      <c r="K59" s="2"/>
      <c r="L59" s="2"/>
      <c r="M59" s="2"/>
      <c r="N59" s="2"/>
      <c r="O59" s="2"/>
      <c r="P59" s="2"/>
      <c r="Q59" s="2"/>
      <c r="R59" s="2"/>
      <c r="S59" s="2"/>
      <c r="T59" s="2"/>
      <c r="U59" s="2"/>
      <c r="V59" s="2"/>
      <c r="W59" s="2"/>
      <c r="X59" s="2"/>
      <c r="Y59" s="2"/>
      <c r="Z59" s="2" t="str">
        <f t="shared" si="4"/>
        <v/>
      </c>
      <c r="AA59" s="2" t="str">
        <f t="shared" si="5"/>
        <v/>
      </c>
      <c r="AB59" s="2" t="str">
        <f t="shared" si="6"/>
        <v/>
      </c>
      <c r="AC59" s="2" t="str">
        <f t="shared" si="7"/>
        <v>Walks with direction</v>
      </c>
      <c r="AD59" s="2"/>
      <c r="AE59" s="5"/>
      <c r="AF59" s="2"/>
      <c r="AG59" s="2"/>
      <c r="AH59" s="2"/>
      <c r="AI59" s="2"/>
    </row>
    <row r="60" spans="1:35">
      <c r="A60" s="2"/>
      <c r="B60" s="2"/>
      <c r="C60" s="2"/>
      <c r="D60" s="2"/>
      <c r="E60" s="5"/>
      <c r="F60" s="2"/>
      <c r="G60" s="5"/>
      <c r="H60" s="2"/>
      <c r="I60" s="2"/>
      <c r="J60" s="2"/>
      <c r="K60" s="2"/>
      <c r="L60" s="2"/>
      <c r="M60" s="2"/>
      <c r="N60" s="2"/>
      <c r="O60" s="2"/>
      <c r="P60" s="2"/>
      <c r="Q60" s="2"/>
      <c r="R60" s="2"/>
      <c r="S60" s="2"/>
      <c r="T60" s="2"/>
      <c r="U60" s="2"/>
      <c r="V60" s="2"/>
      <c r="W60" s="2"/>
      <c r="X60" s="2"/>
      <c r="Y60" s="2"/>
      <c r="Z60" s="2" t="str">
        <f t="shared" si="4"/>
        <v/>
      </c>
      <c r="AA60" s="2" t="str">
        <f t="shared" si="5"/>
        <v/>
      </c>
      <c r="AB60" s="2" t="str">
        <f t="shared" si="6"/>
        <v/>
      </c>
      <c r="AC60" s="2" t="str">
        <f t="shared" si="7"/>
        <v>Walks with direction</v>
      </c>
      <c r="AD60" s="2"/>
      <c r="AE60" s="5"/>
      <c r="AF60" s="2"/>
      <c r="AG60" s="2"/>
      <c r="AH60" s="2"/>
      <c r="AI60" s="2"/>
    </row>
    <row r="61" spans="1:35">
      <c r="A61" s="2"/>
      <c r="B61" s="2"/>
      <c r="C61" s="2"/>
      <c r="D61" s="2"/>
      <c r="E61" s="5"/>
      <c r="F61" s="2"/>
      <c r="G61" s="5"/>
      <c r="H61" s="2"/>
      <c r="I61" s="2"/>
      <c r="J61" s="2"/>
      <c r="K61" s="2"/>
      <c r="L61" s="2"/>
      <c r="M61" s="2"/>
      <c r="N61" s="2"/>
      <c r="O61" s="2"/>
      <c r="P61" s="2"/>
      <c r="Q61" s="2"/>
      <c r="R61" s="2"/>
      <c r="S61" s="2"/>
      <c r="T61" s="2"/>
      <c r="U61" s="2"/>
      <c r="V61" s="2"/>
      <c r="W61" s="2"/>
      <c r="X61" s="2"/>
      <c r="Y61" s="2"/>
      <c r="Z61" s="2" t="str">
        <f t="shared" si="4"/>
        <v/>
      </c>
      <c r="AA61" s="2" t="str">
        <f t="shared" si="5"/>
        <v/>
      </c>
      <c r="AB61" s="2" t="str">
        <f t="shared" si="6"/>
        <v/>
      </c>
      <c r="AC61" s="2" t="str">
        <f t="shared" si="7"/>
        <v>Walks with direction</v>
      </c>
      <c r="AD61" s="2"/>
      <c r="AE61" s="5"/>
      <c r="AF61" s="2"/>
      <c r="AG61" s="2"/>
      <c r="AH61" s="2"/>
      <c r="AI61" s="2"/>
    </row>
    <row r="62" spans="1:35">
      <c r="A62" s="2"/>
      <c r="B62" s="2"/>
      <c r="C62" s="2"/>
      <c r="D62" s="2"/>
      <c r="E62" s="5"/>
      <c r="F62" s="2"/>
      <c r="G62" s="5"/>
      <c r="H62" s="2"/>
      <c r="I62" s="2"/>
      <c r="J62" s="2"/>
      <c r="K62" s="2"/>
      <c r="L62" s="2"/>
      <c r="M62" s="2"/>
      <c r="N62" s="2"/>
      <c r="O62" s="2"/>
      <c r="P62" s="2"/>
      <c r="Q62" s="2"/>
      <c r="R62" s="2"/>
      <c r="S62" s="2"/>
      <c r="T62" s="2"/>
      <c r="U62" s="2"/>
      <c r="V62" s="2"/>
      <c r="W62" s="2"/>
      <c r="X62" s="2"/>
      <c r="Y62" s="2"/>
      <c r="Z62" s="2" t="str">
        <f t="shared" si="4"/>
        <v/>
      </c>
      <c r="AA62" s="2" t="str">
        <f t="shared" si="5"/>
        <v/>
      </c>
      <c r="AB62" s="2" t="str">
        <f t="shared" si="6"/>
        <v/>
      </c>
      <c r="AC62" s="2" t="str">
        <f t="shared" si="7"/>
        <v>Walks with direction</v>
      </c>
      <c r="AD62" s="2"/>
      <c r="AE62" s="5"/>
      <c r="AF62" s="2"/>
      <c r="AG62" s="2"/>
      <c r="AH62" s="2"/>
      <c r="AI62" s="2"/>
    </row>
    <row r="63" spans="1:35">
      <c r="A63" s="2"/>
      <c r="B63" s="2"/>
      <c r="C63" s="2"/>
      <c r="D63" s="2"/>
      <c r="E63" s="5"/>
      <c r="F63" s="2"/>
      <c r="G63" s="5"/>
      <c r="H63" s="2"/>
      <c r="I63" s="2"/>
      <c r="J63" s="2"/>
      <c r="K63" s="2"/>
      <c r="L63" s="2"/>
      <c r="M63" s="2"/>
      <c r="N63" s="2"/>
      <c r="O63" s="2"/>
      <c r="P63" s="2"/>
      <c r="Q63" s="2"/>
      <c r="R63" s="2"/>
      <c r="S63" s="2"/>
      <c r="T63" s="2"/>
      <c r="U63" s="2"/>
      <c r="V63" s="2"/>
      <c r="W63" s="2"/>
      <c r="X63" s="2"/>
      <c r="Y63" s="2"/>
      <c r="Z63" s="2" t="str">
        <f t="shared" si="4"/>
        <v/>
      </c>
      <c r="AA63" s="2" t="str">
        <f t="shared" si="5"/>
        <v/>
      </c>
      <c r="AB63" s="2" t="str">
        <f t="shared" si="6"/>
        <v/>
      </c>
      <c r="AC63" s="2" t="str">
        <f t="shared" si="7"/>
        <v>Walks with direction</v>
      </c>
      <c r="AD63" s="2"/>
      <c r="AE63" s="5"/>
      <c r="AF63" s="2"/>
      <c r="AG63" s="2"/>
      <c r="AH63" s="2"/>
      <c r="AI63" s="2"/>
    </row>
    <row r="64" spans="1:35">
      <c r="A64" s="2"/>
      <c r="B64" s="2"/>
      <c r="C64" s="2"/>
      <c r="D64" s="2"/>
      <c r="E64" s="5"/>
      <c r="F64" s="2"/>
      <c r="G64" s="5"/>
      <c r="H64" s="2"/>
      <c r="I64" s="2"/>
      <c r="J64" s="2"/>
      <c r="K64" s="2"/>
      <c r="L64" s="2"/>
      <c r="M64" s="2"/>
      <c r="N64" s="2"/>
      <c r="O64" s="2"/>
      <c r="P64" s="2"/>
      <c r="Q64" s="2"/>
      <c r="R64" s="2"/>
      <c r="S64" s="2"/>
      <c r="T64" s="2"/>
      <c r="U64" s="2"/>
      <c r="V64" s="2"/>
      <c r="W64" s="2"/>
      <c r="X64" s="2"/>
      <c r="Y64" s="2"/>
      <c r="Z64" s="2" t="str">
        <f t="shared" si="4"/>
        <v/>
      </c>
      <c r="AA64" s="2" t="str">
        <f t="shared" si="5"/>
        <v/>
      </c>
      <c r="AB64" s="2" t="str">
        <f t="shared" si="6"/>
        <v/>
      </c>
      <c r="AC64" s="2" t="str">
        <f t="shared" si="7"/>
        <v>Walks with direction</v>
      </c>
      <c r="AD64" s="2"/>
      <c r="AE64" s="5"/>
      <c r="AF64" s="2"/>
      <c r="AG64" s="2"/>
      <c r="AH64" s="2"/>
      <c r="AI64" s="2"/>
    </row>
    <row r="65" spans="1:35">
      <c r="A65" s="2"/>
      <c r="B65" s="2"/>
      <c r="C65" s="2"/>
      <c r="D65" s="2"/>
      <c r="E65" s="5"/>
      <c r="F65" s="2"/>
      <c r="G65" s="5"/>
      <c r="H65" s="2"/>
      <c r="I65" s="2"/>
      <c r="J65" s="2"/>
      <c r="K65" s="2"/>
      <c r="L65" s="2"/>
      <c r="M65" s="2"/>
      <c r="N65" s="2"/>
      <c r="O65" s="2"/>
      <c r="P65" s="2"/>
      <c r="Q65" s="2"/>
      <c r="R65" s="2"/>
      <c r="S65" s="2"/>
      <c r="T65" s="2"/>
      <c r="U65" s="2"/>
      <c r="V65" s="2"/>
      <c r="W65" s="2"/>
      <c r="X65" s="2"/>
      <c r="Y65" s="2"/>
      <c r="Z65" s="2" t="str">
        <f t="shared" si="4"/>
        <v/>
      </c>
      <c r="AA65" s="2" t="str">
        <f t="shared" si="5"/>
        <v/>
      </c>
      <c r="AB65" s="2" t="str">
        <f t="shared" si="6"/>
        <v/>
      </c>
      <c r="AC65" s="2" t="str">
        <f t="shared" si="7"/>
        <v>Walks with direction</v>
      </c>
      <c r="AD65" s="2"/>
      <c r="AE65" s="5"/>
      <c r="AF65" s="2"/>
      <c r="AG65" s="2"/>
      <c r="AH65" s="2"/>
      <c r="AI65" s="2"/>
    </row>
    <row r="66" spans="1:35">
      <c r="A66" s="2"/>
      <c r="B66" s="2"/>
      <c r="C66" s="2"/>
      <c r="D66" s="2"/>
      <c r="E66" s="5"/>
      <c r="F66" s="2"/>
      <c r="G66" s="5"/>
      <c r="H66" s="2"/>
      <c r="I66" s="2"/>
      <c r="J66" s="2"/>
      <c r="K66" s="2"/>
      <c r="L66" s="2"/>
      <c r="M66" s="2"/>
      <c r="N66" s="2"/>
      <c r="O66" s="2"/>
      <c r="P66" s="2"/>
      <c r="Q66" s="2"/>
      <c r="R66" s="2"/>
      <c r="S66" s="2"/>
      <c r="T66" s="2"/>
      <c r="U66" s="2"/>
      <c r="V66" s="2"/>
      <c r="W66" s="2"/>
      <c r="X66" s="2"/>
      <c r="Y66" s="2"/>
      <c r="Z66" s="2" t="str">
        <f t="shared" si="4"/>
        <v/>
      </c>
      <c r="AA66" s="2" t="str">
        <f t="shared" si="5"/>
        <v/>
      </c>
      <c r="AB66" s="2" t="str">
        <f t="shared" si="6"/>
        <v/>
      </c>
      <c r="AC66" s="2" t="str">
        <f t="shared" si="7"/>
        <v>Walks with direction</v>
      </c>
      <c r="AD66" s="2"/>
      <c r="AE66" s="5"/>
      <c r="AF66" s="2"/>
      <c r="AG66" s="2"/>
      <c r="AH66" s="2"/>
      <c r="AI66" s="2"/>
    </row>
    <row r="67" spans="1:35">
      <c r="A67" s="2"/>
      <c r="B67" s="2"/>
      <c r="C67" s="2"/>
      <c r="D67" s="2"/>
      <c r="E67" s="5"/>
      <c r="F67" s="2"/>
      <c r="G67" s="5"/>
      <c r="H67" s="2"/>
      <c r="I67" s="2"/>
      <c r="J67" s="2"/>
      <c r="K67" s="2"/>
      <c r="L67" s="2"/>
      <c r="M67" s="2"/>
      <c r="N67" s="2"/>
      <c r="O67" s="2"/>
      <c r="P67" s="2"/>
      <c r="Q67" s="2"/>
      <c r="R67" s="2"/>
      <c r="S67" s="2"/>
      <c r="T67" s="2"/>
      <c r="U67" s="2"/>
      <c r="V67" s="2"/>
      <c r="W67" s="2"/>
      <c r="X67" s="2"/>
      <c r="Y67" s="2"/>
      <c r="Z67" s="2" t="str">
        <f t="shared" si="4"/>
        <v/>
      </c>
      <c r="AA67" s="2" t="str">
        <f t="shared" si="5"/>
        <v/>
      </c>
      <c r="AB67" s="2" t="str">
        <f t="shared" si="6"/>
        <v/>
      </c>
      <c r="AC67" s="2" t="str">
        <f t="shared" si="7"/>
        <v>Walks with direction</v>
      </c>
      <c r="AD67" s="2"/>
      <c r="AE67" s="5"/>
      <c r="AF67" s="2"/>
      <c r="AG67" s="2"/>
      <c r="AH67" s="2"/>
      <c r="AI67" s="2"/>
    </row>
    <row r="68" spans="1:35">
      <c r="A68" s="2"/>
      <c r="B68" s="2"/>
      <c r="C68" s="2"/>
      <c r="D68" s="2"/>
      <c r="E68" s="5"/>
      <c r="F68" s="2"/>
      <c r="G68" s="5"/>
      <c r="H68" s="2"/>
      <c r="I68" s="2"/>
      <c r="J68" s="2"/>
      <c r="K68" s="2"/>
      <c r="L68" s="2"/>
      <c r="M68" s="2"/>
      <c r="N68" s="2"/>
      <c r="O68" s="2"/>
      <c r="P68" s="2"/>
      <c r="Q68" s="2"/>
      <c r="R68" s="2"/>
      <c r="S68" s="2"/>
      <c r="T68" s="2"/>
      <c r="U68" s="2"/>
      <c r="V68" s="2"/>
      <c r="W68" s="2"/>
      <c r="X68" s="2"/>
      <c r="Y68" s="2"/>
      <c r="Z68" s="2" t="str">
        <f t="shared" si="4"/>
        <v/>
      </c>
      <c r="AA68" s="2" t="str">
        <f t="shared" si="5"/>
        <v/>
      </c>
      <c r="AB68" s="2" t="str">
        <f t="shared" si="6"/>
        <v/>
      </c>
      <c r="AC68" s="2" t="str">
        <f t="shared" si="7"/>
        <v>Walks with direction</v>
      </c>
      <c r="AD68" s="2"/>
      <c r="AE68" s="5"/>
      <c r="AF68" s="2"/>
      <c r="AG68" s="2"/>
      <c r="AH68" s="2"/>
      <c r="AI68" s="2"/>
    </row>
    <row r="69" spans="1:35">
      <c r="A69" s="2"/>
      <c r="B69" s="2"/>
      <c r="C69" s="2"/>
      <c r="D69" s="2"/>
      <c r="E69" s="5"/>
      <c r="F69" s="2"/>
      <c r="G69" s="5"/>
      <c r="H69" s="2"/>
      <c r="I69" s="2"/>
      <c r="J69" s="2"/>
      <c r="K69" s="2"/>
      <c r="L69" s="2"/>
      <c r="M69" s="2"/>
      <c r="N69" s="2"/>
      <c r="O69" s="2"/>
      <c r="P69" s="2"/>
      <c r="Q69" s="2"/>
      <c r="R69" s="2"/>
      <c r="S69" s="2"/>
      <c r="T69" s="2"/>
      <c r="U69" s="2"/>
      <c r="V69" s="2"/>
      <c r="W69" s="2"/>
      <c r="X69" s="2"/>
      <c r="Y69" s="2"/>
      <c r="Z69" s="2" t="str">
        <f t="shared" si="4"/>
        <v/>
      </c>
      <c r="AA69" s="2" t="str">
        <f t="shared" si="5"/>
        <v/>
      </c>
      <c r="AB69" s="2" t="str">
        <f t="shared" si="6"/>
        <v/>
      </c>
      <c r="AC69" s="2" t="str">
        <f t="shared" si="7"/>
        <v>Walks with direction</v>
      </c>
      <c r="AD69" s="2"/>
      <c r="AE69" s="5"/>
      <c r="AF69" s="2"/>
      <c r="AG69" s="2"/>
      <c r="AH69" s="2"/>
      <c r="AI69" s="2"/>
    </row>
    <row r="70" spans="1:35">
      <c r="A70" s="2"/>
      <c r="B70" s="2"/>
      <c r="C70" s="2"/>
      <c r="D70" s="2"/>
      <c r="E70" s="5"/>
      <c r="F70" s="2"/>
      <c r="G70" s="5"/>
      <c r="H70" s="2"/>
      <c r="I70" s="2"/>
      <c r="J70" s="2"/>
      <c r="K70" s="2"/>
      <c r="L70" s="2"/>
      <c r="M70" s="2"/>
      <c r="N70" s="2"/>
      <c r="O70" s="2"/>
      <c r="P70" s="2"/>
      <c r="Q70" s="2"/>
      <c r="R70" s="2"/>
      <c r="S70" s="2"/>
      <c r="T70" s="2"/>
      <c r="U70" s="2"/>
      <c r="V70" s="2"/>
      <c r="W70" s="2"/>
      <c r="X70" s="2"/>
      <c r="Y70" s="2"/>
      <c r="Z70" s="2" t="str">
        <f t="shared" si="4"/>
        <v/>
      </c>
      <c r="AA70" s="2" t="str">
        <f t="shared" si="5"/>
        <v/>
      </c>
      <c r="AB70" s="2" t="str">
        <f t="shared" si="6"/>
        <v/>
      </c>
      <c r="AC70" s="2" t="str">
        <f t="shared" si="7"/>
        <v>Walks with direction</v>
      </c>
      <c r="AD70" s="2"/>
      <c r="AE70" s="5"/>
      <c r="AF70" s="2"/>
      <c r="AG70" s="2"/>
      <c r="AH70" s="2"/>
      <c r="AI70" s="2"/>
    </row>
    <row r="71" spans="1:35">
      <c r="A71" s="2"/>
      <c r="B71" s="2"/>
      <c r="C71" s="2"/>
      <c r="D71" s="2"/>
      <c r="E71" s="5"/>
      <c r="F71" s="2"/>
      <c r="G71" s="5"/>
      <c r="H71" s="2"/>
      <c r="I71" s="2"/>
      <c r="J71" s="2"/>
      <c r="K71" s="2"/>
      <c r="L71" s="2"/>
      <c r="M71" s="2"/>
      <c r="N71" s="2"/>
      <c r="O71" s="2"/>
      <c r="P71" s="2"/>
      <c r="Q71" s="2"/>
      <c r="R71" s="2"/>
      <c r="S71" s="2"/>
      <c r="T71" s="2"/>
      <c r="U71" s="2"/>
      <c r="V71" s="2"/>
      <c r="W71" s="2"/>
      <c r="X71" s="2"/>
      <c r="Y71" s="2"/>
      <c r="Z71" s="2" t="str">
        <f t="shared" si="4"/>
        <v/>
      </c>
      <c r="AA71" s="2" t="str">
        <f t="shared" si="5"/>
        <v/>
      </c>
      <c r="AB71" s="2" t="str">
        <f t="shared" si="6"/>
        <v/>
      </c>
      <c r="AC71" s="2" t="str">
        <f t="shared" si="7"/>
        <v>Walks with direction</v>
      </c>
      <c r="AD71" s="2"/>
      <c r="AE71" s="5"/>
      <c r="AF71" s="2"/>
      <c r="AG71" s="2"/>
      <c r="AH71" s="2"/>
      <c r="AI71" s="2"/>
    </row>
    <row r="72" spans="1:35">
      <c r="A72" s="2"/>
      <c r="B72" s="2"/>
      <c r="C72" s="2"/>
      <c r="D72" s="2"/>
      <c r="E72" s="5"/>
      <c r="F72" s="2"/>
      <c r="G72" s="5"/>
      <c r="H72" s="2"/>
      <c r="I72" s="2"/>
      <c r="J72" s="2"/>
      <c r="K72" s="2"/>
      <c r="L72" s="2"/>
      <c r="M72" s="2"/>
      <c r="N72" s="2"/>
      <c r="O72" s="2"/>
      <c r="P72" s="2"/>
      <c r="Q72" s="2"/>
      <c r="R72" s="2"/>
      <c r="S72" s="2"/>
      <c r="T72" s="2"/>
      <c r="U72" s="2"/>
      <c r="V72" s="2"/>
      <c r="W72" s="2"/>
      <c r="X72" s="2"/>
      <c r="Y72" s="2"/>
      <c r="Z72" s="2" t="str">
        <f t="shared" si="4"/>
        <v/>
      </c>
      <c r="AA72" s="2" t="str">
        <f t="shared" si="5"/>
        <v/>
      </c>
      <c r="AB72" s="2" t="str">
        <f t="shared" si="6"/>
        <v/>
      </c>
      <c r="AC72" s="2" t="str">
        <f t="shared" si="7"/>
        <v>Walks with direction</v>
      </c>
      <c r="AD72" s="2"/>
      <c r="AE72" s="5"/>
      <c r="AF72" s="2"/>
      <c r="AG72" s="2"/>
      <c r="AH72" s="2"/>
      <c r="AI72" s="2"/>
    </row>
    <row r="73" spans="1:35">
      <c r="A73" s="2"/>
      <c r="B73" s="2"/>
      <c r="C73" s="2"/>
      <c r="D73" s="2"/>
      <c r="E73" s="5"/>
      <c r="F73" s="2"/>
      <c r="G73" s="5"/>
      <c r="H73" s="2"/>
      <c r="I73" s="2"/>
      <c r="J73" s="2"/>
      <c r="K73" s="2"/>
      <c r="L73" s="2"/>
      <c r="M73" s="2"/>
      <c r="N73" s="2"/>
      <c r="O73" s="2"/>
      <c r="P73" s="2"/>
      <c r="Q73" s="2"/>
      <c r="R73" s="2"/>
      <c r="S73" s="2"/>
      <c r="T73" s="2"/>
      <c r="U73" s="2"/>
      <c r="V73" s="2"/>
      <c r="W73" s="2"/>
      <c r="X73" s="2"/>
      <c r="Y73" s="2"/>
      <c r="Z73" s="2" t="str">
        <f t="shared" si="4"/>
        <v/>
      </c>
      <c r="AA73" s="2" t="str">
        <f t="shared" si="5"/>
        <v/>
      </c>
      <c r="AB73" s="2" t="str">
        <f t="shared" si="6"/>
        <v/>
      </c>
      <c r="AC73" s="2" t="str">
        <f t="shared" si="7"/>
        <v>Walks with direction</v>
      </c>
      <c r="AD73" s="2"/>
      <c r="AE73" s="5"/>
      <c r="AF73" s="2"/>
      <c r="AG73" s="2"/>
      <c r="AH73" s="2"/>
      <c r="AI73" s="2"/>
    </row>
    <row r="74" spans="1:35">
      <c r="A74" s="2"/>
      <c r="B74" s="2"/>
      <c r="C74" s="2"/>
      <c r="D74" s="2"/>
      <c r="E74" s="5"/>
      <c r="F74" s="2"/>
      <c r="G74" s="5"/>
      <c r="H74" s="2"/>
      <c r="I74" s="2"/>
      <c r="J74" s="2"/>
      <c r="K74" s="2"/>
      <c r="L74" s="2"/>
      <c r="M74" s="2"/>
      <c r="N74" s="2"/>
      <c r="O74" s="2"/>
      <c r="P74" s="2"/>
      <c r="Q74" s="2"/>
      <c r="R74" s="2"/>
      <c r="S74" s="2"/>
      <c r="T74" s="2"/>
      <c r="U74" s="2"/>
      <c r="V74" s="2"/>
      <c r="W74" s="2"/>
      <c r="X74" s="2"/>
      <c r="Y74" s="2"/>
      <c r="Z74" s="2" t="str">
        <f t="shared" si="4"/>
        <v/>
      </c>
      <c r="AA74" s="2" t="str">
        <f t="shared" si="5"/>
        <v/>
      </c>
      <c r="AB74" s="2" t="str">
        <f t="shared" si="6"/>
        <v/>
      </c>
      <c r="AC74" s="2" t="str">
        <f t="shared" si="7"/>
        <v>Walks with direction</v>
      </c>
      <c r="AD74" s="2"/>
      <c r="AE74" s="5"/>
      <c r="AF74" s="2"/>
      <c r="AG74" s="2"/>
      <c r="AH74" s="2"/>
      <c r="AI74" s="2"/>
    </row>
    <row r="75" spans="1:35">
      <c r="A75" s="2"/>
      <c r="B75" s="2"/>
      <c r="C75" s="2"/>
      <c r="D75" s="2"/>
      <c r="E75" s="5"/>
      <c r="F75" s="2"/>
      <c r="G75" s="5"/>
      <c r="H75" s="2"/>
      <c r="I75" s="2"/>
      <c r="J75" s="2"/>
      <c r="K75" s="2"/>
      <c r="L75" s="2"/>
      <c r="M75" s="2"/>
      <c r="N75" s="2"/>
      <c r="O75" s="2"/>
      <c r="P75" s="2"/>
      <c r="Q75" s="2"/>
      <c r="R75" s="2"/>
      <c r="S75" s="2"/>
      <c r="T75" s="2"/>
      <c r="U75" s="2"/>
      <c r="V75" s="2"/>
      <c r="W75" s="2"/>
      <c r="X75" s="2"/>
      <c r="Y75" s="2"/>
      <c r="Z75" s="2" t="str">
        <f t="shared" si="4"/>
        <v/>
      </c>
      <c r="AA75" s="2" t="str">
        <f t="shared" si="5"/>
        <v/>
      </c>
      <c r="AB75" s="2" t="str">
        <f t="shared" si="6"/>
        <v/>
      </c>
      <c r="AC75" s="2" t="str">
        <f t="shared" si="7"/>
        <v>Walks with direction</v>
      </c>
      <c r="AD75" s="2"/>
      <c r="AE75" s="5"/>
      <c r="AF75" s="2"/>
      <c r="AG75" s="2"/>
      <c r="AH75" s="2"/>
      <c r="AI75" s="2"/>
    </row>
    <row r="76" spans="1:35">
      <c r="A76" s="2"/>
      <c r="B76" s="2"/>
      <c r="C76" s="2"/>
      <c r="D76" s="2"/>
      <c r="E76" s="5"/>
      <c r="F76" s="2"/>
      <c r="G76" s="5"/>
      <c r="H76" s="2"/>
      <c r="I76" s="2"/>
      <c r="J76" s="2"/>
      <c r="K76" s="2"/>
      <c r="L76" s="2"/>
      <c r="M76" s="2"/>
      <c r="N76" s="2"/>
      <c r="O76" s="2"/>
      <c r="P76" s="2"/>
      <c r="Q76" s="2"/>
      <c r="R76" s="2"/>
      <c r="S76" s="2"/>
      <c r="T76" s="2"/>
      <c r="U76" s="2"/>
      <c r="V76" s="2"/>
      <c r="W76" s="2"/>
      <c r="X76" s="2"/>
      <c r="Y76" s="2"/>
      <c r="Z76" s="2" t="str">
        <f t="shared" si="4"/>
        <v/>
      </c>
      <c r="AA76" s="2" t="str">
        <f t="shared" si="5"/>
        <v/>
      </c>
      <c r="AB76" s="2" t="str">
        <f t="shared" si="6"/>
        <v/>
      </c>
      <c r="AC76" s="2" t="str">
        <f t="shared" si="7"/>
        <v>Walks with direction</v>
      </c>
      <c r="AD76" s="2"/>
      <c r="AE76" s="5"/>
      <c r="AF76" s="2"/>
      <c r="AG76" s="2"/>
      <c r="AH76" s="2"/>
      <c r="AI76" s="2"/>
    </row>
    <row r="77" spans="1:35">
      <c r="A77" s="2"/>
      <c r="B77" s="2"/>
      <c r="C77" s="2"/>
      <c r="D77" s="2"/>
      <c r="E77" s="5"/>
      <c r="F77" s="2"/>
      <c r="G77" s="5"/>
      <c r="H77" s="2"/>
      <c r="I77" s="2"/>
      <c r="J77" s="2"/>
      <c r="K77" s="2"/>
      <c r="L77" s="2"/>
      <c r="M77" s="2"/>
      <c r="N77" s="2"/>
      <c r="O77" s="2"/>
      <c r="P77" s="2"/>
      <c r="Q77" s="2"/>
      <c r="R77" s="2"/>
      <c r="S77" s="2"/>
      <c r="T77" s="2"/>
      <c r="U77" s="2"/>
      <c r="V77" s="2"/>
      <c r="W77" s="2"/>
      <c r="X77" s="2"/>
      <c r="Y77" s="2"/>
      <c r="Z77" s="2" t="str">
        <f t="shared" si="4"/>
        <v/>
      </c>
      <c r="AA77" s="2" t="str">
        <f t="shared" si="5"/>
        <v/>
      </c>
      <c r="AB77" s="2" t="str">
        <f t="shared" si="6"/>
        <v/>
      </c>
      <c r="AC77" s="2" t="str">
        <f t="shared" si="7"/>
        <v>Walks with direction</v>
      </c>
      <c r="AD77" s="2"/>
      <c r="AE77" s="5"/>
      <c r="AF77" s="2"/>
      <c r="AG77" s="2"/>
      <c r="AH77" s="2"/>
      <c r="AI77" s="2"/>
    </row>
    <row r="78" spans="1:35">
      <c r="A78" s="2"/>
      <c r="B78" s="2"/>
      <c r="C78" s="2"/>
      <c r="D78" s="2"/>
      <c r="E78" s="5"/>
      <c r="F78" s="2"/>
      <c r="G78" s="5"/>
      <c r="H78" s="2"/>
      <c r="I78" s="2"/>
      <c r="J78" s="2"/>
      <c r="K78" s="2"/>
      <c r="L78" s="2"/>
      <c r="M78" s="2"/>
      <c r="N78" s="2"/>
      <c r="O78" s="2"/>
      <c r="P78" s="2"/>
      <c r="Q78" s="2"/>
      <c r="R78" s="2"/>
      <c r="S78" s="2"/>
      <c r="T78" s="2"/>
      <c r="U78" s="2"/>
      <c r="V78" s="2"/>
      <c r="W78" s="2"/>
      <c r="X78" s="2"/>
      <c r="Y78" s="2"/>
      <c r="Z78" s="2" t="str">
        <f t="shared" si="4"/>
        <v/>
      </c>
      <c r="AA78" s="2" t="str">
        <f t="shared" si="5"/>
        <v/>
      </c>
      <c r="AB78" s="2" t="str">
        <f t="shared" si="6"/>
        <v/>
      </c>
      <c r="AC78" s="2" t="str">
        <f t="shared" si="7"/>
        <v>Walks with direction</v>
      </c>
      <c r="AD78" s="2"/>
      <c r="AE78" s="5"/>
      <c r="AF78" s="2"/>
      <c r="AG78" s="2"/>
      <c r="AH78" s="2"/>
      <c r="AI78" s="2"/>
    </row>
    <row r="79" spans="1:35">
      <c r="A79" s="2"/>
      <c r="B79" s="2"/>
      <c r="C79" s="2"/>
      <c r="D79" s="2"/>
      <c r="E79" s="5"/>
      <c r="F79" s="2"/>
      <c r="G79" s="5"/>
      <c r="H79" s="2"/>
      <c r="I79" s="2"/>
      <c r="J79" s="2"/>
      <c r="K79" s="2"/>
      <c r="L79" s="2"/>
      <c r="M79" s="2"/>
      <c r="N79" s="2"/>
      <c r="O79" s="2"/>
      <c r="P79" s="2"/>
      <c r="Q79" s="2"/>
      <c r="R79" s="2"/>
      <c r="S79" s="2"/>
      <c r="T79" s="2"/>
      <c r="U79" s="2"/>
      <c r="V79" s="2"/>
      <c r="W79" s="2"/>
      <c r="X79" s="2"/>
      <c r="Y79" s="2"/>
      <c r="Z79" s="2" t="str">
        <f t="shared" si="4"/>
        <v/>
      </c>
      <c r="AA79" s="2" t="str">
        <f t="shared" si="5"/>
        <v/>
      </c>
      <c r="AB79" s="2" t="str">
        <f t="shared" si="6"/>
        <v/>
      </c>
      <c r="AC79" s="2" t="str">
        <f t="shared" si="7"/>
        <v>Walks with direction</v>
      </c>
      <c r="AD79" s="2"/>
      <c r="AE79" s="5"/>
      <c r="AF79" s="2"/>
      <c r="AG79" s="2"/>
      <c r="AH79" s="2"/>
      <c r="AI79" s="2"/>
    </row>
    <row r="80" spans="1:35">
      <c r="A80" s="2"/>
      <c r="B80" s="2"/>
      <c r="C80" s="2"/>
      <c r="D80" s="2"/>
      <c r="E80" s="5"/>
      <c r="F80" s="2"/>
      <c r="G80" s="5"/>
      <c r="H80" s="2"/>
      <c r="I80" s="2"/>
      <c r="J80" s="2"/>
      <c r="K80" s="2"/>
      <c r="L80" s="2"/>
      <c r="M80" s="2"/>
      <c r="N80" s="2"/>
      <c r="O80" s="2"/>
      <c r="P80" s="2"/>
      <c r="Q80" s="2"/>
      <c r="R80" s="2"/>
      <c r="S80" s="2"/>
      <c r="T80" s="2"/>
      <c r="U80" s="2"/>
      <c r="V80" s="2"/>
      <c r="W80" s="2"/>
      <c r="X80" s="2"/>
      <c r="Y80" s="2"/>
      <c r="Z80" s="2" t="str">
        <f t="shared" si="4"/>
        <v/>
      </c>
      <c r="AA80" s="2" t="str">
        <f t="shared" si="5"/>
        <v/>
      </c>
      <c r="AB80" s="2" t="str">
        <f t="shared" si="6"/>
        <v/>
      </c>
      <c r="AC80" s="2" t="str">
        <f t="shared" si="7"/>
        <v>Walks with direction</v>
      </c>
      <c r="AD80" s="2"/>
      <c r="AE80" s="5"/>
      <c r="AF80" s="2"/>
      <c r="AG80" s="2"/>
      <c r="AH80" s="2"/>
      <c r="AI80" s="2"/>
    </row>
    <row r="81" spans="1:35">
      <c r="A81" s="2"/>
      <c r="B81" s="2"/>
      <c r="C81" s="2"/>
      <c r="D81" s="2"/>
      <c r="E81" s="5"/>
      <c r="F81" s="2"/>
      <c r="G81" s="5"/>
      <c r="H81" s="2"/>
      <c r="I81" s="2"/>
      <c r="J81" s="2"/>
      <c r="K81" s="2"/>
      <c r="L81" s="2"/>
      <c r="M81" s="2"/>
      <c r="N81" s="2"/>
      <c r="O81" s="2"/>
      <c r="P81" s="2"/>
      <c r="Q81" s="2"/>
      <c r="R81" s="2"/>
      <c r="S81" s="2"/>
      <c r="T81" s="2"/>
      <c r="U81" s="2"/>
      <c r="V81" s="2"/>
      <c r="W81" s="2"/>
      <c r="X81" s="2"/>
      <c r="Y81" s="2"/>
      <c r="Z81" s="2" t="str">
        <f t="shared" si="4"/>
        <v/>
      </c>
      <c r="AA81" s="2" t="str">
        <f t="shared" si="5"/>
        <v/>
      </c>
      <c r="AB81" s="2" t="str">
        <f t="shared" si="6"/>
        <v/>
      </c>
      <c r="AC81" s="2" t="str">
        <f t="shared" si="7"/>
        <v>Walks with direction</v>
      </c>
      <c r="AD81" s="2"/>
      <c r="AE81" s="5"/>
      <c r="AF81" s="2"/>
      <c r="AG81" s="2"/>
      <c r="AH81" s="2"/>
      <c r="AI81" s="2"/>
    </row>
    <row r="82" spans="1:35">
      <c r="A82" s="2"/>
      <c r="B82" s="2"/>
      <c r="C82" s="2"/>
      <c r="D82" s="2"/>
      <c r="E82" s="5"/>
      <c r="F82" s="2"/>
      <c r="G82" s="5"/>
      <c r="H82" s="2"/>
      <c r="I82" s="2"/>
      <c r="J82" s="2"/>
      <c r="K82" s="2"/>
      <c r="L82" s="2"/>
      <c r="M82" s="2"/>
      <c r="N82" s="2"/>
      <c r="O82" s="2"/>
      <c r="P82" s="2"/>
      <c r="Q82" s="2"/>
      <c r="R82" s="2"/>
      <c r="S82" s="2"/>
      <c r="T82" s="2"/>
      <c r="U82" s="2"/>
      <c r="V82" s="2"/>
      <c r="W82" s="2"/>
      <c r="X82" s="2"/>
      <c r="Y82" s="2"/>
      <c r="Z82" s="2" t="str">
        <f t="shared" ref="Z82:Z113" si="8">IF(COUNTA(H82:Y82)=0,"",IF(COUNTIF(H82:Y82,"Very High")&gt;0,"Very High",IF(COUNTIF(H82:Y82,"High")&gt;0,"High",IF(COUNTIF(H82:Y82,"Medium")&gt;0,"Medium","Low"))))</f>
        <v/>
      </c>
      <c r="AA82" s="2" t="str">
        <f t="shared" ref="AA82:AA113" si="9">IF(Z82="","",IF(Z82="Low","Routine planned support",IF(Z82="Medium","One staff support/supervision likely",IF(Z82="High","Two staff/review staffing and equipment","Manager review: multiple staff/specialist support"))))</f>
        <v/>
      </c>
      <c r="AB82" s="2" t="str">
        <f t="shared" ref="AB82:AB117" si="10">IF(Z82="","",IF(OR(Z82="High",Z82="Very High",W82="High",W82="Very High"),"Night staffing and evacuation review required","Routine night checks as per care plan"))</f>
        <v/>
      </c>
      <c r="AC82" s="2" t="str">
        <f t="shared" ref="AC82:AC117" si="11">IF(X82="Very High","Specialist PEEP / equipment",IF(OR(X82="High",Z82="High"),"Evacuation sheet/chair or wheelchair per PEEP",IF(OR(X82="Medium",Z82="Medium"),"Walking aid/wheelchair support per PEEP","Walks with direction")))</f>
        <v>Walks with direction</v>
      </c>
      <c r="AD82" s="2"/>
      <c r="AE82" s="5"/>
      <c r="AF82" s="2"/>
      <c r="AG82" s="2"/>
      <c r="AH82" s="2"/>
      <c r="AI82" s="2"/>
    </row>
    <row r="83" spans="1:35">
      <c r="A83" s="2"/>
      <c r="B83" s="2"/>
      <c r="C83" s="2"/>
      <c r="D83" s="2"/>
      <c r="E83" s="5"/>
      <c r="F83" s="2"/>
      <c r="G83" s="5"/>
      <c r="H83" s="2"/>
      <c r="I83" s="2"/>
      <c r="J83" s="2"/>
      <c r="K83" s="2"/>
      <c r="L83" s="2"/>
      <c r="M83" s="2"/>
      <c r="N83" s="2"/>
      <c r="O83" s="2"/>
      <c r="P83" s="2"/>
      <c r="Q83" s="2"/>
      <c r="R83" s="2"/>
      <c r="S83" s="2"/>
      <c r="T83" s="2"/>
      <c r="U83" s="2"/>
      <c r="V83" s="2"/>
      <c r="W83" s="2"/>
      <c r="X83" s="2"/>
      <c r="Y83" s="2"/>
      <c r="Z83" s="2" t="str">
        <f t="shared" si="8"/>
        <v/>
      </c>
      <c r="AA83" s="2" t="str">
        <f t="shared" si="9"/>
        <v/>
      </c>
      <c r="AB83" s="2" t="str">
        <f t="shared" si="10"/>
        <v/>
      </c>
      <c r="AC83" s="2" t="str">
        <f t="shared" si="11"/>
        <v>Walks with direction</v>
      </c>
      <c r="AD83" s="2"/>
      <c r="AE83" s="5"/>
      <c r="AF83" s="2"/>
      <c r="AG83" s="2"/>
      <c r="AH83" s="2"/>
      <c r="AI83" s="2"/>
    </row>
    <row r="84" spans="1:35">
      <c r="A84" s="2"/>
      <c r="B84" s="2"/>
      <c r="C84" s="2"/>
      <c r="D84" s="2"/>
      <c r="E84" s="5"/>
      <c r="F84" s="2"/>
      <c r="G84" s="5"/>
      <c r="H84" s="2"/>
      <c r="I84" s="2"/>
      <c r="J84" s="2"/>
      <c r="K84" s="2"/>
      <c r="L84" s="2"/>
      <c r="M84" s="2"/>
      <c r="N84" s="2"/>
      <c r="O84" s="2"/>
      <c r="P84" s="2"/>
      <c r="Q84" s="2"/>
      <c r="R84" s="2"/>
      <c r="S84" s="2"/>
      <c r="T84" s="2"/>
      <c r="U84" s="2"/>
      <c r="V84" s="2"/>
      <c r="W84" s="2"/>
      <c r="X84" s="2"/>
      <c r="Y84" s="2"/>
      <c r="Z84" s="2" t="str">
        <f t="shared" si="8"/>
        <v/>
      </c>
      <c r="AA84" s="2" t="str">
        <f t="shared" si="9"/>
        <v/>
      </c>
      <c r="AB84" s="2" t="str">
        <f t="shared" si="10"/>
        <v/>
      </c>
      <c r="AC84" s="2" t="str">
        <f t="shared" si="11"/>
        <v>Walks with direction</v>
      </c>
      <c r="AD84" s="2"/>
      <c r="AE84" s="5"/>
      <c r="AF84" s="2"/>
      <c r="AG84" s="2"/>
      <c r="AH84" s="2"/>
      <c r="AI84" s="2"/>
    </row>
    <row r="85" spans="1:35">
      <c r="A85" s="2"/>
      <c r="B85" s="2"/>
      <c r="C85" s="2"/>
      <c r="D85" s="2"/>
      <c r="E85" s="5"/>
      <c r="F85" s="2"/>
      <c r="G85" s="5"/>
      <c r="H85" s="2"/>
      <c r="I85" s="2"/>
      <c r="J85" s="2"/>
      <c r="K85" s="2"/>
      <c r="L85" s="2"/>
      <c r="M85" s="2"/>
      <c r="N85" s="2"/>
      <c r="O85" s="2"/>
      <c r="P85" s="2"/>
      <c r="Q85" s="2"/>
      <c r="R85" s="2"/>
      <c r="S85" s="2"/>
      <c r="T85" s="2"/>
      <c r="U85" s="2"/>
      <c r="V85" s="2"/>
      <c r="W85" s="2"/>
      <c r="X85" s="2"/>
      <c r="Y85" s="2"/>
      <c r="Z85" s="2" t="str">
        <f t="shared" si="8"/>
        <v/>
      </c>
      <c r="AA85" s="2" t="str">
        <f t="shared" si="9"/>
        <v/>
      </c>
      <c r="AB85" s="2" t="str">
        <f t="shared" si="10"/>
        <v/>
      </c>
      <c r="AC85" s="2" t="str">
        <f t="shared" si="11"/>
        <v>Walks with direction</v>
      </c>
      <c r="AD85" s="2"/>
      <c r="AE85" s="5"/>
      <c r="AF85" s="2"/>
      <c r="AG85" s="2"/>
      <c r="AH85" s="2"/>
      <c r="AI85" s="2"/>
    </row>
    <row r="86" spans="1:35">
      <c r="A86" s="2"/>
      <c r="B86" s="2"/>
      <c r="C86" s="2"/>
      <c r="D86" s="2"/>
      <c r="E86" s="5"/>
      <c r="F86" s="2"/>
      <c r="G86" s="5"/>
      <c r="H86" s="2"/>
      <c r="I86" s="2"/>
      <c r="J86" s="2"/>
      <c r="K86" s="2"/>
      <c r="L86" s="2"/>
      <c r="M86" s="2"/>
      <c r="N86" s="2"/>
      <c r="O86" s="2"/>
      <c r="P86" s="2"/>
      <c r="Q86" s="2"/>
      <c r="R86" s="2"/>
      <c r="S86" s="2"/>
      <c r="T86" s="2"/>
      <c r="U86" s="2"/>
      <c r="V86" s="2"/>
      <c r="W86" s="2"/>
      <c r="X86" s="2"/>
      <c r="Y86" s="2"/>
      <c r="Z86" s="2" t="str">
        <f t="shared" si="8"/>
        <v/>
      </c>
      <c r="AA86" s="2" t="str">
        <f t="shared" si="9"/>
        <v/>
      </c>
      <c r="AB86" s="2" t="str">
        <f t="shared" si="10"/>
        <v/>
      </c>
      <c r="AC86" s="2" t="str">
        <f t="shared" si="11"/>
        <v>Walks with direction</v>
      </c>
      <c r="AD86" s="2"/>
      <c r="AE86" s="5"/>
      <c r="AF86" s="2"/>
      <c r="AG86" s="2"/>
      <c r="AH86" s="2"/>
      <c r="AI86" s="2"/>
    </row>
    <row r="87" spans="1:35">
      <c r="A87" s="2"/>
      <c r="B87" s="2"/>
      <c r="C87" s="2"/>
      <c r="D87" s="2"/>
      <c r="E87" s="5"/>
      <c r="F87" s="2"/>
      <c r="G87" s="5"/>
      <c r="H87" s="2"/>
      <c r="I87" s="2"/>
      <c r="J87" s="2"/>
      <c r="K87" s="2"/>
      <c r="L87" s="2"/>
      <c r="M87" s="2"/>
      <c r="N87" s="2"/>
      <c r="O87" s="2"/>
      <c r="P87" s="2"/>
      <c r="Q87" s="2"/>
      <c r="R87" s="2"/>
      <c r="S87" s="2"/>
      <c r="T87" s="2"/>
      <c r="U87" s="2"/>
      <c r="V87" s="2"/>
      <c r="W87" s="2"/>
      <c r="X87" s="2"/>
      <c r="Y87" s="2"/>
      <c r="Z87" s="2" t="str">
        <f t="shared" si="8"/>
        <v/>
      </c>
      <c r="AA87" s="2" t="str">
        <f t="shared" si="9"/>
        <v/>
      </c>
      <c r="AB87" s="2" t="str">
        <f t="shared" si="10"/>
        <v/>
      </c>
      <c r="AC87" s="2" t="str">
        <f t="shared" si="11"/>
        <v>Walks with direction</v>
      </c>
      <c r="AD87" s="2"/>
      <c r="AE87" s="5"/>
      <c r="AF87" s="2"/>
      <c r="AG87" s="2"/>
      <c r="AH87" s="2"/>
      <c r="AI87" s="2"/>
    </row>
    <row r="88" spans="1:35">
      <c r="A88" s="2"/>
      <c r="B88" s="2"/>
      <c r="C88" s="2"/>
      <c r="D88" s="2"/>
      <c r="E88" s="5"/>
      <c r="F88" s="2"/>
      <c r="G88" s="5"/>
      <c r="H88" s="2"/>
      <c r="I88" s="2"/>
      <c r="J88" s="2"/>
      <c r="K88" s="2"/>
      <c r="L88" s="2"/>
      <c r="M88" s="2"/>
      <c r="N88" s="2"/>
      <c r="O88" s="2"/>
      <c r="P88" s="2"/>
      <c r="Q88" s="2"/>
      <c r="R88" s="2"/>
      <c r="S88" s="2"/>
      <c r="T88" s="2"/>
      <c r="U88" s="2"/>
      <c r="V88" s="2"/>
      <c r="W88" s="2"/>
      <c r="X88" s="2"/>
      <c r="Y88" s="2"/>
      <c r="Z88" s="2" t="str">
        <f t="shared" si="8"/>
        <v/>
      </c>
      <c r="AA88" s="2" t="str">
        <f t="shared" si="9"/>
        <v/>
      </c>
      <c r="AB88" s="2" t="str">
        <f t="shared" si="10"/>
        <v/>
      </c>
      <c r="AC88" s="2" t="str">
        <f t="shared" si="11"/>
        <v>Walks with direction</v>
      </c>
      <c r="AD88" s="2"/>
      <c r="AE88" s="5"/>
      <c r="AF88" s="2"/>
      <c r="AG88" s="2"/>
      <c r="AH88" s="2"/>
      <c r="AI88" s="2"/>
    </row>
    <row r="89" spans="1:35">
      <c r="A89" s="2"/>
      <c r="B89" s="2"/>
      <c r="C89" s="2"/>
      <c r="D89" s="2"/>
      <c r="E89" s="5"/>
      <c r="F89" s="2"/>
      <c r="G89" s="5"/>
      <c r="H89" s="2"/>
      <c r="I89" s="2"/>
      <c r="J89" s="2"/>
      <c r="K89" s="2"/>
      <c r="L89" s="2"/>
      <c r="M89" s="2"/>
      <c r="N89" s="2"/>
      <c r="O89" s="2"/>
      <c r="P89" s="2"/>
      <c r="Q89" s="2"/>
      <c r="R89" s="2"/>
      <c r="S89" s="2"/>
      <c r="T89" s="2"/>
      <c r="U89" s="2"/>
      <c r="V89" s="2"/>
      <c r="W89" s="2"/>
      <c r="X89" s="2"/>
      <c r="Y89" s="2"/>
      <c r="Z89" s="2" t="str">
        <f t="shared" si="8"/>
        <v/>
      </c>
      <c r="AA89" s="2" t="str">
        <f t="shared" si="9"/>
        <v/>
      </c>
      <c r="AB89" s="2" t="str">
        <f t="shared" si="10"/>
        <v/>
      </c>
      <c r="AC89" s="2" t="str">
        <f t="shared" si="11"/>
        <v>Walks with direction</v>
      </c>
      <c r="AD89" s="2"/>
      <c r="AE89" s="5"/>
      <c r="AF89" s="2"/>
      <c r="AG89" s="2"/>
      <c r="AH89" s="2"/>
      <c r="AI89" s="2"/>
    </row>
    <row r="90" spans="1:35">
      <c r="A90" s="2"/>
      <c r="B90" s="2"/>
      <c r="C90" s="2"/>
      <c r="D90" s="2"/>
      <c r="E90" s="5"/>
      <c r="F90" s="2"/>
      <c r="G90" s="5"/>
      <c r="H90" s="2"/>
      <c r="I90" s="2"/>
      <c r="J90" s="2"/>
      <c r="K90" s="2"/>
      <c r="L90" s="2"/>
      <c r="M90" s="2"/>
      <c r="N90" s="2"/>
      <c r="O90" s="2"/>
      <c r="P90" s="2"/>
      <c r="Q90" s="2"/>
      <c r="R90" s="2"/>
      <c r="S90" s="2"/>
      <c r="T90" s="2"/>
      <c r="U90" s="2"/>
      <c r="V90" s="2"/>
      <c r="W90" s="2"/>
      <c r="X90" s="2"/>
      <c r="Y90" s="2"/>
      <c r="Z90" s="2" t="str">
        <f t="shared" si="8"/>
        <v/>
      </c>
      <c r="AA90" s="2" t="str">
        <f t="shared" si="9"/>
        <v/>
      </c>
      <c r="AB90" s="2" t="str">
        <f t="shared" si="10"/>
        <v/>
      </c>
      <c r="AC90" s="2" t="str">
        <f t="shared" si="11"/>
        <v>Walks with direction</v>
      </c>
      <c r="AD90" s="2"/>
      <c r="AE90" s="5"/>
      <c r="AF90" s="2"/>
      <c r="AG90" s="2"/>
      <c r="AH90" s="2"/>
      <c r="AI90" s="2"/>
    </row>
    <row r="91" spans="1:35">
      <c r="A91" s="2"/>
      <c r="B91" s="2"/>
      <c r="C91" s="2"/>
      <c r="D91" s="2"/>
      <c r="E91" s="5"/>
      <c r="F91" s="2"/>
      <c r="G91" s="5"/>
      <c r="H91" s="2"/>
      <c r="I91" s="2"/>
      <c r="J91" s="2"/>
      <c r="K91" s="2"/>
      <c r="L91" s="2"/>
      <c r="M91" s="2"/>
      <c r="N91" s="2"/>
      <c r="O91" s="2"/>
      <c r="P91" s="2"/>
      <c r="Q91" s="2"/>
      <c r="R91" s="2"/>
      <c r="S91" s="2"/>
      <c r="T91" s="2"/>
      <c r="U91" s="2"/>
      <c r="V91" s="2"/>
      <c r="W91" s="2"/>
      <c r="X91" s="2"/>
      <c r="Y91" s="2"/>
      <c r="Z91" s="2" t="str">
        <f t="shared" si="8"/>
        <v/>
      </c>
      <c r="AA91" s="2" t="str">
        <f t="shared" si="9"/>
        <v/>
      </c>
      <c r="AB91" s="2" t="str">
        <f t="shared" si="10"/>
        <v/>
      </c>
      <c r="AC91" s="2" t="str">
        <f t="shared" si="11"/>
        <v>Walks with direction</v>
      </c>
      <c r="AD91" s="2"/>
      <c r="AE91" s="5"/>
      <c r="AF91" s="2"/>
      <c r="AG91" s="2"/>
      <c r="AH91" s="2"/>
      <c r="AI91" s="2"/>
    </row>
    <row r="92" spans="1:35">
      <c r="A92" s="2"/>
      <c r="B92" s="2"/>
      <c r="C92" s="2"/>
      <c r="D92" s="2"/>
      <c r="E92" s="5"/>
      <c r="F92" s="2"/>
      <c r="G92" s="5"/>
      <c r="H92" s="2"/>
      <c r="I92" s="2"/>
      <c r="J92" s="2"/>
      <c r="K92" s="2"/>
      <c r="L92" s="2"/>
      <c r="M92" s="2"/>
      <c r="N92" s="2"/>
      <c r="O92" s="2"/>
      <c r="P92" s="2"/>
      <c r="Q92" s="2"/>
      <c r="R92" s="2"/>
      <c r="S92" s="2"/>
      <c r="T92" s="2"/>
      <c r="U92" s="2"/>
      <c r="V92" s="2"/>
      <c r="W92" s="2"/>
      <c r="X92" s="2"/>
      <c r="Y92" s="2"/>
      <c r="Z92" s="2" t="str">
        <f t="shared" si="8"/>
        <v/>
      </c>
      <c r="AA92" s="2" t="str">
        <f t="shared" si="9"/>
        <v/>
      </c>
      <c r="AB92" s="2" t="str">
        <f t="shared" si="10"/>
        <v/>
      </c>
      <c r="AC92" s="2" t="str">
        <f t="shared" si="11"/>
        <v>Walks with direction</v>
      </c>
      <c r="AD92" s="2"/>
      <c r="AE92" s="5"/>
      <c r="AF92" s="2"/>
      <c r="AG92" s="2"/>
      <c r="AH92" s="2"/>
      <c r="AI92" s="2"/>
    </row>
    <row r="93" spans="1:35">
      <c r="A93" s="2"/>
      <c r="B93" s="2"/>
      <c r="C93" s="2"/>
      <c r="D93" s="2"/>
      <c r="E93" s="5"/>
      <c r="F93" s="2"/>
      <c r="G93" s="5"/>
      <c r="H93" s="2"/>
      <c r="I93" s="2"/>
      <c r="J93" s="2"/>
      <c r="K93" s="2"/>
      <c r="L93" s="2"/>
      <c r="M93" s="2"/>
      <c r="N93" s="2"/>
      <c r="O93" s="2"/>
      <c r="P93" s="2"/>
      <c r="Q93" s="2"/>
      <c r="R93" s="2"/>
      <c r="S93" s="2"/>
      <c r="T93" s="2"/>
      <c r="U93" s="2"/>
      <c r="V93" s="2"/>
      <c r="W93" s="2"/>
      <c r="X93" s="2"/>
      <c r="Y93" s="2"/>
      <c r="Z93" s="2" t="str">
        <f t="shared" si="8"/>
        <v/>
      </c>
      <c r="AA93" s="2" t="str">
        <f t="shared" si="9"/>
        <v/>
      </c>
      <c r="AB93" s="2" t="str">
        <f t="shared" si="10"/>
        <v/>
      </c>
      <c r="AC93" s="2" t="str">
        <f t="shared" si="11"/>
        <v>Walks with direction</v>
      </c>
      <c r="AD93" s="2"/>
      <c r="AE93" s="5"/>
      <c r="AF93" s="2"/>
      <c r="AG93" s="2"/>
      <c r="AH93" s="2"/>
      <c r="AI93" s="2"/>
    </row>
    <row r="94" spans="1:35">
      <c r="A94" s="2"/>
      <c r="B94" s="2"/>
      <c r="C94" s="2"/>
      <c r="D94" s="2"/>
      <c r="E94" s="5"/>
      <c r="F94" s="2"/>
      <c r="G94" s="5"/>
      <c r="H94" s="2"/>
      <c r="I94" s="2"/>
      <c r="J94" s="2"/>
      <c r="K94" s="2"/>
      <c r="L94" s="2"/>
      <c r="M94" s="2"/>
      <c r="N94" s="2"/>
      <c r="O94" s="2"/>
      <c r="P94" s="2"/>
      <c r="Q94" s="2"/>
      <c r="R94" s="2"/>
      <c r="S94" s="2"/>
      <c r="T94" s="2"/>
      <c r="U94" s="2"/>
      <c r="V94" s="2"/>
      <c r="W94" s="2"/>
      <c r="X94" s="2"/>
      <c r="Y94" s="2"/>
      <c r="Z94" s="2" t="str">
        <f t="shared" si="8"/>
        <v/>
      </c>
      <c r="AA94" s="2" t="str">
        <f t="shared" si="9"/>
        <v/>
      </c>
      <c r="AB94" s="2" t="str">
        <f t="shared" si="10"/>
        <v/>
      </c>
      <c r="AC94" s="2" t="str">
        <f t="shared" si="11"/>
        <v>Walks with direction</v>
      </c>
      <c r="AD94" s="2"/>
      <c r="AE94" s="5"/>
      <c r="AF94" s="2"/>
      <c r="AG94" s="2"/>
      <c r="AH94" s="2"/>
      <c r="AI94" s="2"/>
    </row>
    <row r="95" spans="1:35">
      <c r="A95" s="2"/>
      <c r="B95" s="2"/>
      <c r="C95" s="2"/>
      <c r="D95" s="2"/>
      <c r="E95" s="5"/>
      <c r="F95" s="2"/>
      <c r="G95" s="5"/>
      <c r="H95" s="2"/>
      <c r="I95" s="2"/>
      <c r="J95" s="2"/>
      <c r="K95" s="2"/>
      <c r="L95" s="2"/>
      <c r="M95" s="2"/>
      <c r="N95" s="2"/>
      <c r="O95" s="2"/>
      <c r="P95" s="2"/>
      <c r="Q95" s="2"/>
      <c r="R95" s="2"/>
      <c r="S95" s="2"/>
      <c r="T95" s="2"/>
      <c r="U95" s="2"/>
      <c r="V95" s="2"/>
      <c r="W95" s="2"/>
      <c r="X95" s="2"/>
      <c r="Y95" s="2"/>
      <c r="Z95" s="2" t="str">
        <f t="shared" si="8"/>
        <v/>
      </c>
      <c r="AA95" s="2" t="str">
        <f t="shared" si="9"/>
        <v/>
      </c>
      <c r="AB95" s="2" t="str">
        <f t="shared" si="10"/>
        <v/>
      </c>
      <c r="AC95" s="2" t="str">
        <f t="shared" si="11"/>
        <v>Walks with direction</v>
      </c>
      <c r="AD95" s="2"/>
      <c r="AE95" s="5"/>
      <c r="AF95" s="2"/>
      <c r="AG95" s="2"/>
      <c r="AH95" s="2"/>
      <c r="AI95" s="2"/>
    </row>
    <row r="96" spans="1:35">
      <c r="A96" s="2"/>
      <c r="B96" s="2"/>
      <c r="C96" s="2"/>
      <c r="D96" s="2"/>
      <c r="E96" s="5"/>
      <c r="F96" s="2"/>
      <c r="G96" s="5"/>
      <c r="H96" s="2"/>
      <c r="I96" s="2"/>
      <c r="J96" s="2"/>
      <c r="K96" s="2"/>
      <c r="L96" s="2"/>
      <c r="M96" s="2"/>
      <c r="N96" s="2"/>
      <c r="O96" s="2"/>
      <c r="P96" s="2"/>
      <c r="Q96" s="2"/>
      <c r="R96" s="2"/>
      <c r="S96" s="2"/>
      <c r="T96" s="2"/>
      <c r="U96" s="2"/>
      <c r="V96" s="2"/>
      <c r="W96" s="2"/>
      <c r="X96" s="2"/>
      <c r="Y96" s="2"/>
      <c r="Z96" s="2" t="str">
        <f t="shared" si="8"/>
        <v/>
      </c>
      <c r="AA96" s="2" t="str">
        <f t="shared" si="9"/>
        <v/>
      </c>
      <c r="AB96" s="2" t="str">
        <f t="shared" si="10"/>
        <v/>
      </c>
      <c r="AC96" s="2" t="str">
        <f t="shared" si="11"/>
        <v>Walks with direction</v>
      </c>
      <c r="AD96" s="2"/>
      <c r="AE96" s="5"/>
      <c r="AF96" s="2"/>
      <c r="AG96" s="2"/>
      <c r="AH96" s="2"/>
      <c r="AI96" s="2"/>
    </row>
    <row r="97" spans="1:35">
      <c r="A97" s="2"/>
      <c r="B97" s="2"/>
      <c r="C97" s="2"/>
      <c r="D97" s="2"/>
      <c r="E97" s="5"/>
      <c r="F97" s="2"/>
      <c r="G97" s="5"/>
      <c r="H97" s="2"/>
      <c r="I97" s="2"/>
      <c r="J97" s="2"/>
      <c r="K97" s="2"/>
      <c r="L97" s="2"/>
      <c r="M97" s="2"/>
      <c r="N97" s="2"/>
      <c r="O97" s="2"/>
      <c r="P97" s="2"/>
      <c r="Q97" s="2"/>
      <c r="R97" s="2"/>
      <c r="S97" s="2"/>
      <c r="T97" s="2"/>
      <c r="U97" s="2"/>
      <c r="V97" s="2"/>
      <c r="W97" s="2"/>
      <c r="X97" s="2"/>
      <c r="Y97" s="2"/>
      <c r="Z97" s="2" t="str">
        <f t="shared" si="8"/>
        <v/>
      </c>
      <c r="AA97" s="2" t="str">
        <f t="shared" si="9"/>
        <v/>
      </c>
      <c r="AB97" s="2" t="str">
        <f t="shared" si="10"/>
        <v/>
      </c>
      <c r="AC97" s="2" t="str">
        <f t="shared" si="11"/>
        <v>Walks with direction</v>
      </c>
      <c r="AD97" s="2"/>
      <c r="AE97" s="5"/>
      <c r="AF97" s="2"/>
      <c r="AG97" s="2"/>
      <c r="AH97" s="2"/>
      <c r="AI97" s="2"/>
    </row>
    <row r="98" spans="1:35">
      <c r="A98" s="2"/>
      <c r="B98" s="2"/>
      <c r="C98" s="2"/>
      <c r="D98" s="2"/>
      <c r="E98" s="5"/>
      <c r="F98" s="2"/>
      <c r="G98" s="5"/>
      <c r="H98" s="2"/>
      <c r="I98" s="2"/>
      <c r="J98" s="2"/>
      <c r="K98" s="2"/>
      <c r="L98" s="2"/>
      <c r="M98" s="2"/>
      <c r="N98" s="2"/>
      <c r="O98" s="2"/>
      <c r="P98" s="2"/>
      <c r="Q98" s="2"/>
      <c r="R98" s="2"/>
      <c r="S98" s="2"/>
      <c r="T98" s="2"/>
      <c r="U98" s="2"/>
      <c r="V98" s="2"/>
      <c r="W98" s="2"/>
      <c r="X98" s="2"/>
      <c r="Y98" s="2"/>
      <c r="Z98" s="2" t="str">
        <f t="shared" si="8"/>
        <v/>
      </c>
      <c r="AA98" s="2" t="str">
        <f t="shared" si="9"/>
        <v/>
      </c>
      <c r="AB98" s="2" t="str">
        <f t="shared" si="10"/>
        <v/>
      </c>
      <c r="AC98" s="2" t="str">
        <f t="shared" si="11"/>
        <v>Walks with direction</v>
      </c>
      <c r="AD98" s="2"/>
      <c r="AE98" s="5"/>
      <c r="AF98" s="2"/>
      <c r="AG98" s="2"/>
      <c r="AH98" s="2"/>
      <c r="AI98" s="2"/>
    </row>
    <row r="99" spans="1:35">
      <c r="A99" s="2"/>
      <c r="B99" s="2"/>
      <c r="C99" s="2"/>
      <c r="D99" s="2"/>
      <c r="E99" s="5"/>
      <c r="F99" s="2"/>
      <c r="G99" s="5"/>
      <c r="H99" s="2"/>
      <c r="I99" s="2"/>
      <c r="J99" s="2"/>
      <c r="K99" s="2"/>
      <c r="L99" s="2"/>
      <c r="M99" s="2"/>
      <c r="N99" s="2"/>
      <c r="O99" s="2"/>
      <c r="P99" s="2"/>
      <c r="Q99" s="2"/>
      <c r="R99" s="2"/>
      <c r="S99" s="2"/>
      <c r="T99" s="2"/>
      <c r="U99" s="2"/>
      <c r="V99" s="2"/>
      <c r="W99" s="2"/>
      <c r="X99" s="2"/>
      <c r="Y99" s="2"/>
      <c r="Z99" s="2" t="str">
        <f t="shared" si="8"/>
        <v/>
      </c>
      <c r="AA99" s="2" t="str">
        <f t="shared" si="9"/>
        <v/>
      </c>
      <c r="AB99" s="2" t="str">
        <f t="shared" si="10"/>
        <v/>
      </c>
      <c r="AC99" s="2" t="str">
        <f t="shared" si="11"/>
        <v>Walks with direction</v>
      </c>
      <c r="AD99" s="2"/>
      <c r="AE99" s="5"/>
      <c r="AF99" s="2"/>
      <c r="AG99" s="2"/>
      <c r="AH99" s="2"/>
      <c r="AI99" s="2"/>
    </row>
    <row r="100" spans="1:35">
      <c r="A100" s="2"/>
      <c r="B100" s="2"/>
      <c r="C100" s="2"/>
      <c r="D100" s="2"/>
      <c r="E100" s="5"/>
      <c r="F100" s="2"/>
      <c r="G100" s="5"/>
      <c r="H100" s="2"/>
      <c r="I100" s="2"/>
      <c r="J100" s="2"/>
      <c r="K100" s="2"/>
      <c r="L100" s="2"/>
      <c r="M100" s="2"/>
      <c r="N100" s="2"/>
      <c r="O100" s="2"/>
      <c r="P100" s="2"/>
      <c r="Q100" s="2"/>
      <c r="R100" s="2"/>
      <c r="S100" s="2"/>
      <c r="T100" s="2"/>
      <c r="U100" s="2"/>
      <c r="V100" s="2"/>
      <c r="W100" s="2"/>
      <c r="X100" s="2"/>
      <c r="Y100" s="2"/>
      <c r="Z100" s="2" t="str">
        <f t="shared" si="8"/>
        <v/>
      </c>
      <c r="AA100" s="2" t="str">
        <f t="shared" si="9"/>
        <v/>
      </c>
      <c r="AB100" s="2" t="str">
        <f t="shared" si="10"/>
        <v/>
      </c>
      <c r="AC100" s="2" t="str">
        <f t="shared" si="11"/>
        <v>Walks with direction</v>
      </c>
      <c r="AD100" s="2"/>
      <c r="AE100" s="5"/>
      <c r="AF100" s="2"/>
      <c r="AG100" s="2"/>
      <c r="AH100" s="2"/>
      <c r="AI100" s="2"/>
    </row>
    <row r="101" spans="1:35">
      <c r="A101" s="2"/>
      <c r="B101" s="2"/>
      <c r="C101" s="2"/>
      <c r="D101" s="2"/>
      <c r="E101" s="5"/>
      <c r="F101" s="2"/>
      <c r="G101" s="5"/>
      <c r="H101" s="2"/>
      <c r="I101" s="2"/>
      <c r="J101" s="2"/>
      <c r="K101" s="2"/>
      <c r="L101" s="2"/>
      <c r="M101" s="2"/>
      <c r="N101" s="2"/>
      <c r="O101" s="2"/>
      <c r="P101" s="2"/>
      <c r="Q101" s="2"/>
      <c r="R101" s="2"/>
      <c r="S101" s="2"/>
      <c r="T101" s="2"/>
      <c r="U101" s="2"/>
      <c r="V101" s="2"/>
      <c r="W101" s="2"/>
      <c r="X101" s="2"/>
      <c r="Y101" s="2"/>
      <c r="Z101" s="2" t="str">
        <f t="shared" si="8"/>
        <v/>
      </c>
      <c r="AA101" s="2" t="str">
        <f t="shared" si="9"/>
        <v/>
      </c>
      <c r="AB101" s="2" t="str">
        <f t="shared" si="10"/>
        <v/>
      </c>
      <c r="AC101" s="2" t="str">
        <f t="shared" si="11"/>
        <v>Walks with direction</v>
      </c>
      <c r="AD101" s="2"/>
      <c r="AE101" s="5"/>
      <c r="AF101" s="2"/>
      <c r="AG101" s="2"/>
      <c r="AH101" s="2"/>
      <c r="AI101" s="2"/>
    </row>
    <row r="102" spans="1:35">
      <c r="A102" s="2"/>
      <c r="B102" s="2"/>
      <c r="C102" s="2"/>
      <c r="D102" s="2"/>
      <c r="E102" s="5"/>
      <c r="F102" s="2"/>
      <c r="G102" s="5"/>
      <c r="H102" s="2"/>
      <c r="I102" s="2"/>
      <c r="J102" s="2"/>
      <c r="K102" s="2"/>
      <c r="L102" s="2"/>
      <c r="M102" s="2"/>
      <c r="N102" s="2"/>
      <c r="O102" s="2"/>
      <c r="P102" s="2"/>
      <c r="Q102" s="2"/>
      <c r="R102" s="2"/>
      <c r="S102" s="2"/>
      <c r="T102" s="2"/>
      <c r="U102" s="2"/>
      <c r="V102" s="2"/>
      <c r="W102" s="2"/>
      <c r="X102" s="2"/>
      <c r="Y102" s="2"/>
      <c r="Z102" s="2" t="str">
        <f t="shared" si="8"/>
        <v/>
      </c>
      <c r="AA102" s="2" t="str">
        <f t="shared" si="9"/>
        <v/>
      </c>
      <c r="AB102" s="2" t="str">
        <f t="shared" si="10"/>
        <v/>
      </c>
      <c r="AC102" s="2" t="str">
        <f t="shared" si="11"/>
        <v>Walks with direction</v>
      </c>
      <c r="AD102" s="2"/>
      <c r="AE102" s="5"/>
      <c r="AF102" s="2"/>
      <c r="AG102" s="2"/>
      <c r="AH102" s="2"/>
      <c r="AI102" s="2"/>
    </row>
    <row r="103" spans="1:35">
      <c r="A103" s="2"/>
      <c r="B103" s="2"/>
      <c r="C103" s="2"/>
      <c r="D103" s="2"/>
      <c r="E103" s="5"/>
      <c r="F103" s="2"/>
      <c r="G103" s="5"/>
      <c r="H103" s="2"/>
      <c r="I103" s="2"/>
      <c r="J103" s="2"/>
      <c r="K103" s="2"/>
      <c r="L103" s="2"/>
      <c r="M103" s="2"/>
      <c r="N103" s="2"/>
      <c r="O103" s="2"/>
      <c r="P103" s="2"/>
      <c r="Q103" s="2"/>
      <c r="R103" s="2"/>
      <c r="S103" s="2"/>
      <c r="T103" s="2"/>
      <c r="U103" s="2"/>
      <c r="V103" s="2"/>
      <c r="W103" s="2"/>
      <c r="X103" s="2"/>
      <c r="Y103" s="2"/>
      <c r="Z103" s="2" t="str">
        <f t="shared" si="8"/>
        <v/>
      </c>
      <c r="AA103" s="2" t="str">
        <f t="shared" si="9"/>
        <v/>
      </c>
      <c r="AB103" s="2" t="str">
        <f t="shared" si="10"/>
        <v/>
      </c>
      <c r="AC103" s="2" t="str">
        <f t="shared" si="11"/>
        <v>Walks with direction</v>
      </c>
      <c r="AD103" s="2"/>
      <c r="AE103" s="5"/>
      <c r="AF103" s="2"/>
      <c r="AG103" s="2"/>
      <c r="AH103" s="2"/>
      <c r="AI103" s="2"/>
    </row>
    <row r="104" spans="1:35">
      <c r="A104" s="2"/>
      <c r="B104" s="2"/>
      <c r="C104" s="2"/>
      <c r="D104" s="2"/>
      <c r="E104" s="5"/>
      <c r="F104" s="2"/>
      <c r="G104" s="5"/>
      <c r="H104" s="2"/>
      <c r="I104" s="2"/>
      <c r="J104" s="2"/>
      <c r="K104" s="2"/>
      <c r="L104" s="2"/>
      <c r="M104" s="2"/>
      <c r="N104" s="2"/>
      <c r="O104" s="2"/>
      <c r="P104" s="2"/>
      <c r="Q104" s="2"/>
      <c r="R104" s="2"/>
      <c r="S104" s="2"/>
      <c r="T104" s="2"/>
      <c r="U104" s="2"/>
      <c r="V104" s="2"/>
      <c r="W104" s="2"/>
      <c r="X104" s="2"/>
      <c r="Y104" s="2"/>
      <c r="Z104" s="2" t="str">
        <f t="shared" si="8"/>
        <v/>
      </c>
      <c r="AA104" s="2" t="str">
        <f t="shared" si="9"/>
        <v/>
      </c>
      <c r="AB104" s="2" t="str">
        <f t="shared" si="10"/>
        <v/>
      </c>
      <c r="AC104" s="2" t="str">
        <f t="shared" si="11"/>
        <v>Walks with direction</v>
      </c>
      <c r="AD104" s="2"/>
      <c r="AE104" s="5"/>
      <c r="AF104" s="2"/>
      <c r="AG104" s="2"/>
      <c r="AH104" s="2"/>
      <c r="AI104" s="2"/>
    </row>
    <row r="105" spans="1:35">
      <c r="A105" s="2"/>
      <c r="B105" s="2"/>
      <c r="C105" s="2"/>
      <c r="D105" s="2"/>
      <c r="E105" s="5"/>
      <c r="F105" s="2"/>
      <c r="G105" s="5"/>
      <c r="H105" s="2"/>
      <c r="I105" s="2"/>
      <c r="J105" s="2"/>
      <c r="K105" s="2"/>
      <c r="L105" s="2"/>
      <c r="M105" s="2"/>
      <c r="N105" s="2"/>
      <c r="O105" s="2"/>
      <c r="P105" s="2"/>
      <c r="Q105" s="2"/>
      <c r="R105" s="2"/>
      <c r="S105" s="2"/>
      <c r="T105" s="2"/>
      <c r="U105" s="2"/>
      <c r="V105" s="2"/>
      <c r="W105" s="2"/>
      <c r="X105" s="2"/>
      <c r="Y105" s="2"/>
      <c r="Z105" s="2" t="str">
        <f t="shared" si="8"/>
        <v/>
      </c>
      <c r="AA105" s="2" t="str">
        <f t="shared" si="9"/>
        <v/>
      </c>
      <c r="AB105" s="2" t="str">
        <f t="shared" si="10"/>
        <v/>
      </c>
      <c r="AC105" s="2" t="str">
        <f t="shared" si="11"/>
        <v>Walks with direction</v>
      </c>
      <c r="AD105" s="2"/>
      <c r="AE105" s="5"/>
      <c r="AF105" s="2"/>
      <c r="AG105" s="2"/>
      <c r="AH105" s="2"/>
      <c r="AI105" s="2"/>
    </row>
    <row r="106" spans="1:35">
      <c r="A106" s="2"/>
      <c r="B106" s="2"/>
      <c r="C106" s="2"/>
      <c r="D106" s="2"/>
      <c r="E106" s="5"/>
      <c r="F106" s="2"/>
      <c r="G106" s="5"/>
      <c r="H106" s="2"/>
      <c r="I106" s="2"/>
      <c r="J106" s="2"/>
      <c r="K106" s="2"/>
      <c r="L106" s="2"/>
      <c r="M106" s="2"/>
      <c r="N106" s="2"/>
      <c r="O106" s="2"/>
      <c r="P106" s="2"/>
      <c r="Q106" s="2"/>
      <c r="R106" s="2"/>
      <c r="S106" s="2"/>
      <c r="T106" s="2"/>
      <c r="U106" s="2"/>
      <c r="V106" s="2"/>
      <c r="W106" s="2"/>
      <c r="X106" s="2"/>
      <c r="Y106" s="2"/>
      <c r="Z106" s="2" t="str">
        <f t="shared" si="8"/>
        <v/>
      </c>
      <c r="AA106" s="2" t="str">
        <f t="shared" si="9"/>
        <v/>
      </c>
      <c r="AB106" s="2" t="str">
        <f t="shared" si="10"/>
        <v/>
      </c>
      <c r="AC106" s="2" t="str">
        <f t="shared" si="11"/>
        <v>Walks with direction</v>
      </c>
      <c r="AD106" s="2"/>
      <c r="AE106" s="5"/>
      <c r="AF106" s="2"/>
      <c r="AG106" s="2"/>
      <c r="AH106" s="2"/>
      <c r="AI106" s="2"/>
    </row>
    <row r="107" spans="1:35">
      <c r="A107" s="2"/>
      <c r="B107" s="2"/>
      <c r="C107" s="2"/>
      <c r="D107" s="2"/>
      <c r="E107" s="5"/>
      <c r="F107" s="2"/>
      <c r="G107" s="5"/>
      <c r="H107" s="2"/>
      <c r="I107" s="2"/>
      <c r="J107" s="2"/>
      <c r="K107" s="2"/>
      <c r="L107" s="2"/>
      <c r="M107" s="2"/>
      <c r="N107" s="2"/>
      <c r="O107" s="2"/>
      <c r="P107" s="2"/>
      <c r="Q107" s="2"/>
      <c r="R107" s="2"/>
      <c r="S107" s="2"/>
      <c r="T107" s="2"/>
      <c r="U107" s="2"/>
      <c r="V107" s="2"/>
      <c r="W107" s="2"/>
      <c r="X107" s="2"/>
      <c r="Y107" s="2"/>
      <c r="Z107" s="2" t="str">
        <f t="shared" si="8"/>
        <v/>
      </c>
      <c r="AA107" s="2" t="str">
        <f t="shared" si="9"/>
        <v/>
      </c>
      <c r="AB107" s="2" t="str">
        <f t="shared" si="10"/>
        <v/>
      </c>
      <c r="AC107" s="2" t="str">
        <f t="shared" si="11"/>
        <v>Walks with direction</v>
      </c>
      <c r="AD107" s="2"/>
      <c r="AE107" s="5"/>
      <c r="AF107" s="2"/>
      <c r="AG107" s="2"/>
      <c r="AH107" s="2"/>
      <c r="AI107" s="2"/>
    </row>
    <row r="108" spans="1:35">
      <c r="A108" s="2"/>
      <c r="B108" s="2"/>
      <c r="C108" s="2"/>
      <c r="D108" s="2"/>
      <c r="E108" s="5"/>
      <c r="F108" s="2"/>
      <c r="G108" s="5"/>
      <c r="H108" s="2"/>
      <c r="I108" s="2"/>
      <c r="J108" s="2"/>
      <c r="K108" s="2"/>
      <c r="L108" s="2"/>
      <c r="M108" s="2"/>
      <c r="N108" s="2"/>
      <c r="O108" s="2"/>
      <c r="P108" s="2"/>
      <c r="Q108" s="2"/>
      <c r="R108" s="2"/>
      <c r="S108" s="2"/>
      <c r="T108" s="2"/>
      <c r="U108" s="2"/>
      <c r="V108" s="2"/>
      <c r="W108" s="2"/>
      <c r="X108" s="2"/>
      <c r="Y108" s="2"/>
      <c r="Z108" s="2" t="str">
        <f t="shared" si="8"/>
        <v/>
      </c>
      <c r="AA108" s="2" t="str">
        <f t="shared" si="9"/>
        <v/>
      </c>
      <c r="AB108" s="2" t="str">
        <f t="shared" si="10"/>
        <v/>
      </c>
      <c r="AC108" s="2" t="str">
        <f t="shared" si="11"/>
        <v>Walks with direction</v>
      </c>
      <c r="AD108" s="2"/>
      <c r="AE108" s="5"/>
      <c r="AF108" s="2"/>
      <c r="AG108" s="2"/>
      <c r="AH108" s="2"/>
      <c r="AI108" s="2"/>
    </row>
    <row r="109" spans="1:35">
      <c r="A109" s="2"/>
      <c r="B109" s="2"/>
      <c r="C109" s="2"/>
      <c r="D109" s="2"/>
      <c r="E109" s="5"/>
      <c r="F109" s="2"/>
      <c r="G109" s="5"/>
      <c r="H109" s="2"/>
      <c r="I109" s="2"/>
      <c r="J109" s="2"/>
      <c r="K109" s="2"/>
      <c r="L109" s="2"/>
      <c r="M109" s="2"/>
      <c r="N109" s="2"/>
      <c r="O109" s="2"/>
      <c r="P109" s="2"/>
      <c r="Q109" s="2"/>
      <c r="R109" s="2"/>
      <c r="S109" s="2"/>
      <c r="T109" s="2"/>
      <c r="U109" s="2"/>
      <c r="V109" s="2"/>
      <c r="W109" s="2"/>
      <c r="X109" s="2"/>
      <c r="Y109" s="2"/>
      <c r="Z109" s="2" t="str">
        <f t="shared" si="8"/>
        <v/>
      </c>
      <c r="AA109" s="2" t="str">
        <f t="shared" si="9"/>
        <v/>
      </c>
      <c r="AB109" s="2" t="str">
        <f t="shared" si="10"/>
        <v/>
      </c>
      <c r="AC109" s="2" t="str">
        <f t="shared" si="11"/>
        <v>Walks with direction</v>
      </c>
      <c r="AD109" s="2"/>
      <c r="AE109" s="5"/>
      <c r="AF109" s="2"/>
      <c r="AG109" s="2"/>
      <c r="AH109" s="2"/>
      <c r="AI109" s="2"/>
    </row>
    <row r="110" spans="1:35">
      <c r="A110" s="2"/>
      <c r="B110" s="2"/>
      <c r="C110" s="2"/>
      <c r="D110" s="2"/>
      <c r="E110" s="5"/>
      <c r="F110" s="2"/>
      <c r="G110" s="5"/>
      <c r="H110" s="2"/>
      <c r="I110" s="2"/>
      <c r="J110" s="2"/>
      <c r="K110" s="2"/>
      <c r="L110" s="2"/>
      <c r="M110" s="2"/>
      <c r="N110" s="2"/>
      <c r="O110" s="2"/>
      <c r="P110" s="2"/>
      <c r="Q110" s="2"/>
      <c r="R110" s="2"/>
      <c r="S110" s="2"/>
      <c r="T110" s="2"/>
      <c r="U110" s="2"/>
      <c r="V110" s="2"/>
      <c r="W110" s="2"/>
      <c r="X110" s="2"/>
      <c r="Y110" s="2"/>
      <c r="Z110" s="2" t="str">
        <f t="shared" si="8"/>
        <v/>
      </c>
      <c r="AA110" s="2" t="str">
        <f t="shared" si="9"/>
        <v/>
      </c>
      <c r="AB110" s="2" t="str">
        <f t="shared" si="10"/>
        <v/>
      </c>
      <c r="AC110" s="2" t="str">
        <f t="shared" si="11"/>
        <v>Walks with direction</v>
      </c>
      <c r="AD110" s="2"/>
      <c r="AE110" s="5"/>
      <c r="AF110" s="2"/>
      <c r="AG110" s="2"/>
      <c r="AH110" s="2"/>
      <c r="AI110" s="2"/>
    </row>
    <row r="111" spans="1:35">
      <c r="A111" s="2"/>
      <c r="B111" s="2"/>
      <c r="C111" s="2"/>
      <c r="D111" s="2"/>
      <c r="E111" s="5"/>
      <c r="F111" s="2"/>
      <c r="G111" s="5"/>
      <c r="H111" s="2"/>
      <c r="I111" s="2"/>
      <c r="J111" s="2"/>
      <c r="K111" s="2"/>
      <c r="L111" s="2"/>
      <c r="M111" s="2"/>
      <c r="N111" s="2"/>
      <c r="O111" s="2"/>
      <c r="P111" s="2"/>
      <c r="Q111" s="2"/>
      <c r="R111" s="2"/>
      <c r="S111" s="2"/>
      <c r="T111" s="2"/>
      <c r="U111" s="2"/>
      <c r="V111" s="2"/>
      <c r="W111" s="2"/>
      <c r="X111" s="2"/>
      <c r="Y111" s="2"/>
      <c r="Z111" s="2" t="str">
        <f t="shared" si="8"/>
        <v/>
      </c>
      <c r="AA111" s="2" t="str">
        <f t="shared" si="9"/>
        <v/>
      </c>
      <c r="AB111" s="2" t="str">
        <f t="shared" si="10"/>
        <v/>
      </c>
      <c r="AC111" s="2" t="str">
        <f t="shared" si="11"/>
        <v>Walks with direction</v>
      </c>
      <c r="AD111" s="2"/>
      <c r="AE111" s="5"/>
      <c r="AF111" s="2"/>
      <c r="AG111" s="2"/>
      <c r="AH111" s="2"/>
      <c r="AI111" s="2"/>
    </row>
    <row r="112" spans="1:35">
      <c r="A112" s="2"/>
      <c r="B112" s="2"/>
      <c r="C112" s="2"/>
      <c r="D112" s="2"/>
      <c r="E112" s="5"/>
      <c r="F112" s="2"/>
      <c r="G112" s="5"/>
      <c r="H112" s="2"/>
      <c r="I112" s="2"/>
      <c r="J112" s="2"/>
      <c r="K112" s="2"/>
      <c r="L112" s="2"/>
      <c r="M112" s="2"/>
      <c r="N112" s="2"/>
      <c r="O112" s="2"/>
      <c r="P112" s="2"/>
      <c r="Q112" s="2"/>
      <c r="R112" s="2"/>
      <c r="S112" s="2"/>
      <c r="T112" s="2"/>
      <c r="U112" s="2"/>
      <c r="V112" s="2"/>
      <c r="W112" s="2"/>
      <c r="X112" s="2"/>
      <c r="Y112" s="2"/>
      <c r="Z112" s="2" t="str">
        <f t="shared" si="8"/>
        <v/>
      </c>
      <c r="AA112" s="2" t="str">
        <f t="shared" si="9"/>
        <v/>
      </c>
      <c r="AB112" s="2" t="str">
        <f t="shared" si="10"/>
        <v/>
      </c>
      <c r="AC112" s="2" t="str">
        <f t="shared" si="11"/>
        <v>Walks with direction</v>
      </c>
      <c r="AD112" s="2"/>
      <c r="AE112" s="5"/>
      <c r="AF112" s="2"/>
      <c r="AG112" s="2"/>
      <c r="AH112" s="2"/>
      <c r="AI112" s="2"/>
    </row>
    <row r="113" spans="1:35">
      <c r="A113" s="2"/>
      <c r="B113" s="2"/>
      <c r="C113" s="2"/>
      <c r="D113" s="2"/>
      <c r="E113" s="5"/>
      <c r="F113" s="2"/>
      <c r="G113" s="5"/>
      <c r="H113" s="2"/>
      <c r="I113" s="2"/>
      <c r="J113" s="2"/>
      <c r="K113" s="2"/>
      <c r="L113" s="2"/>
      <c r="M113" s="2"/>
      <c r="N113" s="2"/>
      <c r="O113" s="2"/>
      <c r="P113" s="2"/>
      <c r="Q113" s="2"/>
      <c r="R113" s="2"/>
      <c r="S113" s="2"/>
      <c r="T113" s="2"/>
      <c r="U113" s="2"/>
      <c r="V113" s="2"/>
      <c r="W113" s="2"/>
      <c r="X113" s="2"/>
      <c r="Y113" s="2"/>
      <c r="Z113" s="2" t="str">
        <f t="shared" si="8"/>
        <v/>
      </c>
      <c r="AA113" s="2" t="str">
        <f t="shared" si="9"/>
        <v/>
      </c>
      <c r="AB113" s="2" t="str">
        <f t="shared" si="10"/>
        <v/>
      </c>
      <c r="AC113" s="2" t="str">
        <f t="shared" si="11"/>
        <v>Walks with direction</v>
      </c>
      <c r="AD113" s="2"/>
      <c r="AE113" s="5"/>
      <c r="AF113" s="2"/>
      <c r="AG113" s="2"/>
      <c r="AH113" s="2"/>
      <c r="AI113" s="2"/>
    </row>
    <row r="114" spans="1:35">
      <c r="A114" s="2"/>
      <c r="B114" s="2"/>
      <c r="C114" s="2"/>
      <c r="D114" s="2"/>
      <c r="E114" s="5"/>
      <c r="F114" s="2"/>
      <c r="G114" s="5"/>
      <c r="H114" s="2"/>
      <c r="I114" s="2"/>
      <c r="J114" s="2"/>
      <c r="K114" s="2"/>
      <c r="L114" s="2"/>
      <c r="M114" s="2"/>
      <c r="N114" s="2"/>
      <c r="O114" s="2"/>
      <c r="P114" s="2"/>
      <c r="Q114" s="2"/>
      <c r="R114" s="2"/>
      <c r="S114" s="2"/>
      <c r="T114" s="2"/>
      <c r="U114" s="2"/>
      <c r="V114" s="2"/>
      <c r="W114" s="2"/>
      <c r="X114" s="2"/>
      <c r="Y114" s="2"/>
      <c r="Z114" s="2" t="str">
        <f t="shared" ref="Z114:Z145" si="12">IF(COUNTA(H114:Y114)=0,"",IF(COUNTIF(H114:Y114,"Very High")&gt;0,"Very High",IF(COUNTIF(H114:Y114,"High")&gt;0,"High",IF(COUNTIF(H114:Y114,"Medium")&gt;0,"Medium","Low"))))</f>
        <v/>
      </c>
      <c r="AA114" s="2" t="str">
        <f t="shared" ref="AA114:AA145" si="13">IF(Z114="","",IF(Z114="Low","Routine planned support",IF(Z114="Medium","One staff support/supervision likely",IF(Z114="High","Two staff/review staffing and equipment","Manager review: multiple staff/specialist support"))))</f>
        <v/>
      </c>
      <c r="AB114" s="2" t="str">
        <f t="shared" si="10"/>
        <v/>
      </c>
      <c r="AC114" s="2" t="str">
        <f t="shared" si="11"/>
        <v>Walks with direction</v>
      </c>
      <c r="AD114" s="2"/>
      <c r="AE114" s="5"/>
      <c r="AF114" s="2"/>
      <c r="AG114" s="2"/>
      <c r="AH114" s="2"/>
      <c r="AI114" s="2"/>
    </row>
    <row r="115" spans="1:35">
      <c r="A115" s="2"/>
      <c r="B115" s="2"/>
      <c r="C115" s="2"/>
      <c r="D115" s="2"/>
      <c r="E115" s="5"/>
      <c r="F115" s="2"/>
      <c r="G115" s="5"/>
      <c r="H115" s="2"/>
      <c r="I115" s="2"/>
      <c r="J115" s="2"/>
      <c r="K115" s="2"/>
      <c r="L115" s="2"/>
      <c r="M115" s="2"/>
      <c r="N115" s="2"/>
      <c r="O115" s="2"/>
      <c r="P115" s="2"/>
      <c r="Q115" s="2"/>
      <c r="R115" s="2"/>
      <c r="S115" s="2"/>
      <c r="T115" s="2"/>
      <c r="U115" s="2"/>
      <c r="V115" s="2"/>
      <c r="W115" s="2"/>
      <c r="X115" s="2"/>
      <c r="Y115" s="2"/>
      <c r="Z115" s="2" t="str">
        <f t="shared" si="12"/>
        <v/>
      </c>
      <c r="AA115" s="2" t="str">
        <f t="shared" si="13"/>
        <v/>
      </c>
      <c r="AB115" s="2" t="str">
        <f t="shared" si="10"/>
        <v/>
      </c>
      <c r="AC115" s="2" t="str">
        <f t="shared" si="11"/>
        <v>Walks with direction</v>
      </c>
      <c r="AD115" s="2"/>
      <c r="AE115" s="5"/>
      <c r="AF115" s="2"/>
      <c r="AG115" s="2"/>
      <c r="AH115" s="2"/>
      <c r="AI115" s="2"/>
    </row>
    <row r="116" spans="1:35">
      <c r="A116" s="2"/>
      <c r="B116" s="2"/>
      <c r="C116" s="2"/>
      <c r="D116" s="2"/>
      <c r="E116" s="5"/>
      <c r="F116" s="2"/>
      <c r="G116" s="5"/>
      <c r="H116" s="2"/>
      <c r="I116" s="2"/>
      <c r="J116" s="2"/>
      <c r="K116" s="2"/>
      <c r="L116" s="2"/>
      <c r="M116" s="2"/>
      <c r="N116" s="2"/>
      <c r="O116" s="2"/>
      <c r="P116" s="2"/>
      <c r="Q116" s="2"/>
      <c r="R116" s="2"/>
      <c r="S116" s="2"/>
      <c r="T116" s="2"/>
      <c r="U116" s="2"/>
      <c r="V116" s="2"/>
      <c r="W116" s="2"/>
      <c r="X116" s="2"/>
      <c r="Y116" s="2"/>
      <c r="Z116" s="2" t="str">
        <f t="shared" si="12"/>
        <v/>
      </c>
      <c r="AA116" s="2" t="str">
        <f t="shared" si="13"/>
        <v/>
      </c>
      <c r="AB116" s="2" t="str">
        <f t="shared" si="10"/>
        <v/>
      </c>
      <c r="AC116" s="2" t="str">
        <f t="shared" si="11"/>
        <v>Walks with direction</v>
      </c>
      <c r="AD116" s="2"/>
      <c r="AE116" s="5"/>
      <c r="AF116" s="2"/>
      <c r="AG116" s="2"/>
      <c r="AH116" s="2"/>
      <c r="AI116" s="2"/>
    </row>
    <row r="117" spans="1:35">
      <c r="A117" s="2"/>
      <c r="B117" s="2"/>
      <c r="C117" s="2"/>
      <c r="D117" s="2"/>
      <c r="E117" s="5"/>
      <c r="F117" s="2"/>
      <c r="G117" s="5"/>
      <c r="H117" s="2"/>
      <c r="I117" s="2"/>
      <c r="J117" s="2"/>
      <c r="K117" s="2"/>
      <c r="L117" s="2"/>
      <c r="M117" s="2"/>
      <c r="N117" s="2"/>
      <c r="O117" s="2"/>
      <c r="P117" s="2"/>
      <c r="Q117" s="2"/>
      <c r="R117" s="2"/>
      <c r="S117" s="2"/>
      <c r="T117" s="2"/>
      <c r="U117" s="2"/>
      <c r="V117" s="2"/>
      <c r="W117" s="2"/>
      <c r="X117" s="2"/>
      <c r="Y117" s="2"/>
      <c r="Z117" s="2" t="str">
        <f t="shared" si="12"/>
        <v/>
      </c>
      <c r="AA117" s="2" t="str">
        <f t="shared" si="13"/>
        <v/>
      </c>
      <c r="AB117" s="2" t="str">
        <f t="shared" si="10"/>
        <v/>
      </c>
      <c r="AC117" s="2" t="str">
        <f t="shared" si="11"/>
        <v>Walks with direction</v>
      </c>
      <c r="AD117" s="2"/>
      <c r="AE117" s="5"/>
      <c r="AF117" s="2"/>
      <c r="AG117" s="2"/>
      <c r="AH117" s="2"/>
      <c r="AI117" s="2"/>
    </row>
    <row r="122" spans="1:35">
      <c r="A122" s="9" t="s">
        <v>153</v>
      </c>
      <c r="B122" s="7"/>
      <c r="C122" s="7"/>
      <c r="D122" s="7"/>
      <c r="E122" s="7"/>
    </row>
    <row r="123" spans="1:35">
      <c r="A123" s="1" t="s">
        <v>154</v>
      </c>
      <c r="B123" s="1" t="s">
        <v>6</v>
      </c>
      <c r="C123" s="1" t="s">
        <v>12</v>
      </c>
      <c r="D123" s="1" t="s">
        <v>18</v>
      </c>
      <c r="E123" s="1" t="s">
        <v>23</v>
      </c>
    </row>
    <row r="124" spans="1:35" ht="42">
      <c r="A124" s="2" t="s">
        <v>124</v>
      </c>
      <c r="B124" s="2" t="s">
        <v>155</v>
      </c>
      <c r="C124" s="2" t="s">
        <v>156</v>
      </c>
      <c r="D124" s="2" t="s">
        <v>157</v>
      </c>
      <c r="E124" s="2" t="s">
        <v>158</v>
      </c>
    </row>
    <row r="125" spans="1:35" ht="28">
      <c r="A125" s="2" t="s">
        <v>125</v>
      </c>
      <c r="B125" s="2" t="s">
        <v>159</v>
      </c>
      <c r="C125" s="2" t="s">
        <v>160</v>
      </c>
      <c r="D125" s="2" t="s">
        <v>161</v>
      </c>
      <c r="E125" s="2" t="s">
        <v>162</v>
      </c>
    </row>
    <row r="126" spans="1:35" ht="28">
      <c r="A126" s="2" t="s">
        <v>126</v>
      </c>
      <c r="B126" s="2" t="s">
        <v>163</v>
      </c>
      <c r="C126" s="2" t="s">
        <v>164</v>
      </c>
      <c r="D126" s="2" t="s">
        <v>165</v>
      </c>
      <c r="E126" s="2" t="s">
        <v>166</v>
      </c>
    </row>
    <row r="127" spans="1:35" ht="42">
      <c r="A127" s="2" t="s">
        <v>127</v>
      </c>
      <c r="B127" s="2" t="s">
        <v>167</v>
      </c>
      <c r="C127" s="2" t="s">
        <v>168</v>
      </c>
      <c r="D127" s="2" t="s">
        <v>169</v>
      </c>
      <c r="E127" s="2" t="s">
        <v>170</v>
      </c>
    </row>
    <row r="128" spans="1:35" ht="42">
      <c r="A128" s="2" t="s">
        <v>128</v>
      </c>
      <c r="B128" s="2" t="s">
        <v>171</v>
      </c>
      <c r="C128" s="2" t="s">
        <v>172</v>
      </c>
      <c r="D128" s="2" t="s">
        <v>173</v>
      </c>
      <c r="E128" s="2" t="s">
        <v>174</v>
      </c>
    </row>
    <row r="129" spans="1:5" ht="42">
      <c r="A129" s="2" t="s">
        <v>129</v>
      </c>
      <c r="B129" s="2" t="s">
        <v>175</v>
      </c>
      <c r="C129" s="2" t="s">
        <v>176</v>
      </c>
      <c r="D129" s="2" t="s">
        <v>177</v>
      </c>
      <c r="E129" s="2" t="s">
        <v>178</v>
      </c>
    </row>
    <row r="130" spans="1:5" ht="42">
      <c r="A130" s="2" t="s">
        <v>130</v>
      </c>
      <c r="B130" s="2" t="s">
        <v>179</v>
      </c>
      <c r="C130" s="2" t="s">
        <v>180</v>
      </c>
      <c r="D130" s="2" t="s">
        <v>181</v>
      </c>
      <c r="E130" s="2" t="s">
        <v>182</v>
      </c>
    </row>
    <row r="131" spans="1:5" ht="42">
      <c r="A131" s="2" t="s">
        <v>131</v>
      </c>
      <c r="B131" s="2" t="s">
        <v>183</v>
      </c>
      <c r="C131" s="2" t="s">
        <v>184</v>
      </c>
      <c r="D131" s="2" t="s">
        <v>185</v>
      </c>
      <c r="E131" s="2" t="s">
        <v>186</v>
      </c>
    </row>
    <row r="132" spans="1:5" ht="28">
      <c r="A132" s="2" t="s">
        <v>132</v>
      </c>
      <c r="B132" s="2" t="s">
        <v>187</v>
      </c>
      <c r="C132" s="2" t="s">
        <v>188</v>
      </c>
      <c r="D132" s="2" t="s">
        <v>189</v>
      </c>
      <c r="E132" s="2" t="s">
        <v>190</v>
      </c>
    </row>
    <row r="133" spans="1:5" ht="42">
      <c r="A133" s="2" t="s">
        <v>133</v>
      </c>
      <c r="B133" s="2" t="s">
        <v>191</v>
      </c>
      <c r="C133" s="2" t="s">
        <v>192</v>
      </c>
      <c r="D133" s="2" t="s">
        <v>193</v>
      </c>
      <c r="E133" s="2" t="s">
        <v>194</v>
      </c>
    </row>
    <row r="134" spans="1:5" ht="28">
      <c r="A134" s="2" t="s">
        <v>134</v>
      </c>
      <c r="B134" s="2" t="s">
        <v>195</v>
      </c>
      <c r="C134" s="2" t="s">
        <v>196</v>
      </c>
      <c r="D134" s="2" t="s">
        <v>197</v>
      </c>
      <c r="E134" s="2" t="s">
        <v>198</v>
      </c>
    </row>
    <row r="135" spans="1:5" ht="42">
      <c r="A135" s="2" t="s">
        <v>135</v>
      </c>
      <c r="B135" s="2" t="s">
        <v>199</v>
      </c>
      <c r="C135" s="2" t="s">
        <v>200</v>
      </c>
      <c r="D135" s="2" t="s">
        <v>201</v>
      </c>
      <c r="E135" s="2" t="s">
        <v>202</v>
      </c>
    </row>
    <row r="136" spans="1:5" ht="42">
      <c r="A136" s="2" t="s">
        <v>136</v>
      </c>
      <c r="B136" s="2" t="s">
        <v>203</v>
      </c>
      <c r="C136" s="2" t="s">
        <v>204</v>
      </c>
      <c r="D136" s="2" t="s">
        <v>205</v>
      </c>
      <c r="E136" s="2" t="s">
        <v>206</v>
      </c>
    </row>
    <row r="137" spans="1:5" ht="42">
      <c r="A137" s="2" t="s">
        <v>137</v>
      </c>
      <c r="B137" s="2" t="s">
        <v>207</v>
      </c>
      <c r="C137" s="2" t="s">
        <v>208</v>
      </c>
      <c r="D137" s="2" t="s">
        <v>209</v>
      </c>
      <c r="E137" s="2" t="s">
        <v>210</v>
      </c>
    </row>
    <row r="138" spans="1:5" ht="28">
      <c r="A138" s="2" t="s">
        <v>138</v>
      </c>
      <c r="B138" s="2" t="s">
        <v>211</v>
      </c>
      <c r="C138" s="2" t="s">
        <v>212</v>
      </c>
      <c r="D138" s="2" t="s">
        <v>213</v>
      </c>
      <c r="E138" s="2" t="s">
        <v>214</v>
      </c>
    </row>
    <row r="139" spans="1:5" ht="42">
      <c r="A139" s="2" t="s">
        <v>139</v>
      </c>
      <c r="B139" s="2" t="s">
        <v>215</v>
      </c>
      <c r="C139" s="2" t="s">
        <v>216</v>
      </c>
      <c r="D139" s="2" t="s">
        <v>217</v>
      </c>
      <c r="E139" s="2" t="s">
        <v>218</v>
      </c>
    </row>
    <row r="140" spans="1:5" ht="42">
      <c r="A140" s="2" t="s">
        <v>140</v>
      </c>
      <c r="B140" s="2" t="s">
        <v>219</v>
      </c>
      <c r="C140" s="2" t="s">
        <v>220</v>
      </c>
      <c r="D140" s="2" t="s">
        <v>221</v>
      </c>
      <c r="E140" s="2" t="s">
        <v>222</v>
      </c>
    </row>
    <row r="141" spans="1:5" ht="42">
      <c r="A141" s="2" t="s">
        <v>141</v>
      </c>
      <c r="B141" s="2" t="s">
        <v>223</v>
      </c>
      <c r="C141" s="2" t="s">
        <v>224</v>
      </c>
      <c r="D141" s="2" t="s">
        <v>225</v>
      </c>
      <c r="E141" s="2" t="s">
        <v>226</v>
      </c>
    </row>
  </sheetData>
  <mergeCells count="4">
    <mergeCell ref="A1:AI1"/>
    <mergeCell ref="A2:AI2"/>
    <mergeCell ref="D4:H4"/>
    <mergeCell ref="A122:E122"/>
  </mergeCells>
  <conditionalFormatting sqref="Z18:Z117">
    <cfRule type="expression" dxfId="39" priority="1">
      <formula>Z18="Very High"</formula>
    </cfRule>
    <cfRule type="expression" dxfId="38" priority="2">
      <formula>Z18="High"</formula>
    </cfRule>
    <cfRule type="expression" dxfId="37" priority="3">
      <formula>Z18="Medium"</formula>
    </cfRule>
    <cfRule type="expression" dxfId="36" priority="4">
      <formula>Z18="Low"</formula>
    </cfRule>
  </conditionalFormatting>
  <dataValidations count="4">
    <dataValidation type="list" sqref="B7" xr:uid="{00000000-0002-0000-0B00-000000000000}">
      <formula1>"Yes,No"</formula1>
    </dataValidation>
    <dataValidation type="list" sqref="C18:C117" xr:uid="{00000000-0002-0000-0B00-000001000000}">
      <formula1>"Ground,First,N/A"</formula1>
    </dataValidation>
    <dataValidation type="list" sqref="H18:Y117" xr:uid="{00000000-0002-0000-0B00-000002000000}">
      <formula1>"Low,Medium,High,Very High"</formula1>
    </dataValidation>
    <dataValidation type="list" sqref="AD18:AD117 AG18:AI117" xr:uid="{00000000-0002-0000-0B00-000003000000}">
      <formula1>"Yes,No,N/A"</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60"/>
  <sheetViews>
    <sheetView workbookViewId="0"/>
  </sheetViews>
  <sheetFormatPr defaultRowHeight="14"/>
  <cols>
    <col min="1" max="9" width="18" customWidth="1"/>
  </cols>
  <sheetData>
    <row r="1" spans="1:9" ht="20">
      <c r="A1" s="6" t="s">
        <v>336</v>
      </c>
      <c r="B1" s="7"/>
      <c r="C1" s="7"/>
      <c r="D1" s="7"/>
      <c r="E1" s="7"/>
      <c r="F1" s="7"/>
      <c r="G1" s="7"/>
      <c r="H1" s="7"/>
      <c r="I1" s="7"/>
    </row>
    <row r="2" spans="1:9" ht="14.5">
      <c r="A2" s="8" t="s">
        <v>228</v>
      </c>
      <c r="B2" s="7"/>
      <c r="C2" s="7"/>
      <c r="D2" s="7"/>
      <c r="E2" s="7"/>
      <c r="F2" s="7"/>
      <c r="G2" s="7"/>
      <c r="H2" s="7"/>
      <c r="I2" s="7"/>
    </row>
    <row r="4" spans="1:9">
      <c r="A4" s="3" t="s">
        <v>107</v>
      </c>
      <c r="B4" t="s">
        <v>335</v>
      </c>
    </row>
    <row r="5" spans="1:9">
      <c r="A5" s="3" t="s">
        <v>110</v>
      </c>
    </row>
    <row r="6" spans="1:9">
      <c r="A6" s="3" t="s">
        <v>229</v>
      </c>
    </row>
    <row r="7" spans="1:9">
      <c r="A7" s="3" t="s">
        <v>230</v>
      </c>
    </row>
    <row r="8" spans="1:9">
      <c r="A8" s="3" t="s">
        <v>231</v>
      </c>
      <c r="B8">
        <f>COUNTA(A14:A60)</f>
        <v>28</v>
      </c>
    </row>
    <row r="9" spans="1:9">
      <c r="A9" s="3" t="s">
        <v>232</v>
      </c>
      <c r="B9">
        <f>COUNTIF(H14:H60,"FAIL")</f>
        <v>28</v>
      </c>
    </row>
    <row r="10" spans="1:9">
      <c r="A10" s="3" t="s">
        <v>46</v>
      </c>
      <c r="B10" t="str">
        <f>IF(AND(B7="Yes",B9=0),"Complete","Incomplete")</f>
        <v>Incomplete</v>
      </c>
    </row>
    <row r="13" spans="1:9" ht="28">
      <c r="A13" s="1" t="s">
        <v>233</v>
      </c>
      <c r="B13" s="1" t="s">
        <v>234</v>
      </c>
      <c r="C13" s="1" t="s">
        <v>235</v>
      </c>
      <c r="D13" s="1" t="s">
        <v>236</v>
      </c>
      <c r="E13" s="1" t="s">
        <v>237</v>
      </c>
      <c r="F13" s="1" t="s">
        <v>238</v>
      </c>
      <c r="G13" s="1" t="s">
        <v>239</v>
      </c>
      <c r="H13" s="1" t="s">
        <v>240</v>
      </c>
      <c r="I13" s="1" t="s">
        <v>241</v>
      </c>
    </row>
    <row r="14" spans="1:9" ht="42">
      <c r="A14" s="2" t="s">
        <v>242</v>
      </c>
      <c r="B14" s="2">
        <v>1</v>
      </c>
      <c r="C14" s="2"/>
      <c r="D14" s="2" t="s">
        <v>243</v>
      </c>
      <c r="E14" s="2"/>
      <c r="F14" s="2"/>
      <c r="G14" s="2"/>
      <c r="H14" s="2" t="str">
        <f t="shared" ref="H14:H41" si="0">IF(OR(F14="No",C14&lt;B14),"FAIL","PASS")</f>
        <v>FAIL</v>
      </c>
      <c r="I14" s="2"/>
    </row>
    <row r="15" spans="1:9">
      <c r="A15" s="2" t="s">
        <v>244</v>
      </c>
      <c r="B15" s="2">
        <v>1</v>
      </c>
      <c r="C15" s="2"/>
      <c r="D15" s="2" t="s">
        <v>245</v>
      </c>
      <c r="E15" s="2"/>
      <c r="F15" s="2"/>
      <c r="G15" s="2"/>
      <c r="H15" s="2" t="str">
        <f t="shared" si="0"/>
        <v>FAIL</v>
      </c>
      <c r="I15" s="2"/>
    </row>
    <row r="16" spans="1:9" ht="28">
      <c r="A16" s="2" t="s">
        <v>246</v>
      </c>
      <c r="B16" s="2">
        <v>1</v>
      </c>
      <c r="C16" s="2"/>
      <c r="D16" s="2" t="s">
        <v>247</v>
      </c>
      <c r="E16" s="2"/>
      <c r="F16" s="2"/>
      <c r="G16" s="2"/>
      <c r="H16" s="2" t="str">
        <f t="shared" si="0"/>
        <v>FAIL</v>
      </c>
      <c r="I16" s="2"/>
    </row>
    <row r="17" spans="1:9" ht="28">
      <c r="A17" s="2" t="s">
        <v>248</v>
      </c>
      <c r="B17" s="2">
        <v>1</v>
      </c>
      <c r="C17" s="2"/>
      <c r="D17" s="2" t="s">
        <v>249</v>
      </c>
      <c r="E17" s="2"/>
      <c r="F17" s="2"/>
      <c r="G17" s="2"/>
      <c r="H17" s="2" t="str">
        <f t="shared" si="0"/>
        <v>FAIL</v>
      </c>
      <c r="I17" s="2"/>
    </row>
    <row r="18" spans="1:9" ht="28">
      <c r="A18" s="2" t="s">
        <v>250</v>
      </c>
      <c r="B18" s="2">
        <v>2</v>
      </c>
      <c r="C18" s="2"/>
      <c r="D18" s="2" t="s">
        <v>251</v>
      </c>
      <c r="E18" s="2"/>
      <c r="F18" s="2"/>
      <c r="G18" s="2"/>
      <c r="H18" s="2" t="str">
        <f t="shared" si="0"/>
        <v>FAIL</v>
      </c>
      <c r="I18" s="2"/>
    </row>
    <row r="19" spans="1:9" ht="28">
      <c r="A19" s="2" t="s">
        <v>252</v>
      </c>
      <c r="B19" s="2">
        <v>1</v>
      </c>
      <c r="C19" s="2"/>
      <c r="D19" s="2" t="s">
        <v>253</v>
      </c>
      <c r="E19" s="2"/>
      <c r="F19" s="2"/>
      <c r="G19" s="2"/>
      <c r="H19" s="2" t="str">
        <f t="shared" si="0"/>
        <v>FAIL</v>
      </c>
      <c r="I19" s="2"/>
    </row>
    <row r="20" spans="1:9" ht="42">
      <c r="A20" s="2" t="s">
        <v>254</v>
      </c>
      <c r="B20" s="2">
        <v>1</v>
      </c>
      <c r="C20" s="2"/>
      <c r="D20" s="2" t="s">
        <v>255</v>
      </c>
      <c r="E20" s="2"/>
      <c r="F20" s="2"/>
      <c r="G20" s="2"/>
      <c r="H20" s="2" t="str">
        <f t="shared" si="0"/>
        <v>FAIL</v>
      </c>
      <c r="I20" s="2"/>
    </row>
    <row r="21" spans="1:9">
      <c r="A21" s="2" t="s">
        <v>256</v>
      </c>
      <c r="B21" s="2">
        <v>2</v>
      </c>
      <c r="C21" s="2"/>
      <c r="D21" s="2" t="s">
        <v>257</v>
      </c>
      <c r="E21" s="2"/>
      <c r="F21" s="2"/>
      <c r="G21" s="2"/>
      <c r="H21" s="2" t="str">
        <f t="shared" si="0"/>
        <v>FAIL</v>
      </c>
      <c r="I21" s="2"/>
    </row>
    <row r="22" spans="1:9" ht="28">
      <c r="A22" s="2" t="s">
        <v>258</v>
      </c>
      <c r="B22" s="2">
        <v>1</v>
      </c>
      <c r="C22" s="2"/>
      <c r="D22" s="2" t="s">
        <v>259</v>
      </c>
      <c r="E22" s="2"/>
      <c r="F22" s="2"/>
      <c r="G22" s="2"/>
      <c r="H22" s="2" t="str">
        <f t="shared" si="0"/>
        <v>FAIL</v>
      </c>
      <c r="I22" s="2"/>
    </row>
    <row r="23" spans="1:9" ht="28">
      <c r="A23" s="2" t="s">
        <v>260</v>
      </c>
      <c r="B23" s="2">
        <v>2</v>
      </c>
      <c r="C23" s="2"/>
      <c r="D23" s="2" t="s">
        <v>261</v>
      </c>
      <c r="E23" s="2"/>
      <c r="F23" s="2"/>
      <c r="G23" s="2"/>
      <c r="H23" s="2" t="str">
        <f t="shared" si="0"/>
        <v>FAIL</v>
      </c>
      <c r="I23" s="2"/>
    </row>
    <row r="24" spans="1:9">
      <c r="A24" s="2" t="s">
        <v>262</v>
      </c>
      <c r="B24" s="2">
        <v>2</v>
      </c>
      <c r="C24" s="2"/>
      <c r="D24" s="2" t="s">
        <v>263</v>
      </c>
      <c r="E24" s="2"/>
      <c r="F24" s="2"/>
      <c r="G24" s="2"/>
      <c r="H24" s="2" t="str">
        <f t="shared" si="0"/>
        <v>FAIL</v>
      </c>
      <c r="I24" s="2"/>
    </row>
    <row r="25" spans="1:9" ht="28">
      <c r="A25" s="2" t="s">
        <v>264</v>
      </c>
      <c r="B25" s="2">
        <v>2</v>
      </c>
      <c r="C25" s="2"/>
      <c r="D25" s="2" t="s">
        <v>265</v>
      </c>
      <c r="E25" s="2"/>
      <c r="F25" s="2"/>
      <c r="G25" s="2"/>
      <c r="H25" s="2" t="str">
        <f t="shared" si="0"/>
        <v>FAIL</v>
      </c>
      <c r="I25" s="2"/>
    </row>
    <row r="26" spans="1:9">
      <c r="A26" s="2" t="s">
        <v>266</v>
      </c>
      <c r="B26" s="2">
        <v>2</v>
      </c>
      <c r="C26" s="2"/>
      <c r="D26" s="2" t="s">
        <v>265</v>
      </c>
      <c r="E26" s="2"/>
      <c r="F26" s="2"/>
      <c r="G26" s="2"/>
      <c r="H26" s="2" t="str">
        <f t="shared" si="0"/>
        <v>FAIL</v>
      </c>
      <c r="I26" s="2"/>
    </row>
    <row r="27" spans="1:9">
      <c r="A27" s="2" t="s">
        <v>267</v>
      </c>
      <c r="B27" s="2">
        <v>8</v>
      </c>
      <c r="C27" s="2"/>
      <c r="D27" s="2" t="s">
        <v>268</v>
      </c>
      <c r="E27" s="2"/>
      <c r="F27" s="2"/>
      <c r="G27" s="2"/>
      <c r="H27" s="2" t="str">
        <f t="shared" si="0"/>
        <v>FAIL</v>
      </c>
      <c r="I27" s="2"/>
    </row>
    <row r="28" spans="1:9">
      <c r="A28" s="2" t="s">
        <v>269</v>
      </c>
      <c r="B28" s="2">
        <v>4</v>
      </c>
      <c r="C28" s="2"/>
      <c r="D28" s="2" t="s">
        <v>270</v>
      </c>
      <c r="E28" s="2"/>
      <c r="F28" s="2"/>
      <c r="G28" s="2"/>
      <c r="H28" s="2" t="str">
        <f t="shared" si="0"/>
        <v>FAIL</v>
      </c>
      <c r="I28" s="2"/>
    </row>
    <row r="29" spans="1:9" ht="28">
      <c r="A29" s="2" t="s">
        <v>271</v>
      </c>
      <c r="B29" s="2">
        <v>20</v>
      </c>
      <c r="C29" s="2"/>
      <c r="D29" s="2" t="s">
        <v>272</v>
      </c>
      <c r="E29" s="2"/>
      <c r="F29" s="2"/>
      <c r="G29" s="2"/>
      <c r="H29" s="2" t="str">
        <f t="shared" si="0"/>
        <v>FAIL</v>
      </c>
      <c r="I29" s="2"/>
    </row>
    <row r="30" spans="1:9">
      <c r="A30" s="2" t="s">
        <v>273</v>
      </c>
      <c r="B30" s="2">
        <v>2</v>
      </c>
      <c r="C30" s="2"/>
      <c r="D30" s="2" t="s">
        <v>265</v>
      </c>
      <c r="E30" s="2"/>
      <c r="F30" s="2"/>
      <c r="G30" s="2"/>
      <c r="H30" s="2" t="str">
        <f t="shared" si="0"/>
        <v>FAIL</v>
      </c>
      <c r="I30" s="2"/>
    </row>
    <row r="31" spans="1:9">
      <c r="A31" s="2" t="s">
        <v>274</v>
      </c>
      <c r="B31" s="2">
        <v>1</v>
      </c>
      <c r="C31" s="2"/>
      <c r="D31" s="2" t="s">
        <v>275</v>
      </c>
      <c r="E31" s="2"/>
      <c r="F31" s="2"/>
      <c r="G31" s="2"/>
      <c r="H31" s="2" t="str">
        <f t="shared" si="0"/>
        <v>FAIL</v>
      </c>
      <c r="I31" s="2"/>
    </row>
    <row r="32" spans="1:9">
      <c r="A32" s="2" t="s">
        <v>276</v>
      </c>
      <c r="B32" s="2">
        <v>5</v>
      </c>
      <c r="C32" s="2"/>
      <c r="D32" s="2" t="s">
        <v>265</v>
      </c>
      <c r="E32" s="2"/>
      <c r="F32" s="2"/>
      <c r="G32" s="2"/>
      <c r="H32" s="2" t="str">
        <f t="shared" si="0"/>
        <v>FAIL</v>
      </c>
      <c r="I32" s="2"/>
    </row>
    <row r="33" spans="1:9">
      <c r="A33" s="2" t="s">
        <v>277</v>
      </c>
      <c r="B33" s="2">
        <v>2</v>
      </c>
      <c r="C33" s="2"/>
      <c r="D33" s="2" t="s">
        <v>265</v>
      </c>
      <c r="E33" s="2"/>
      <c r="F33" s="2"/>
      <c r="G33" s="2"/>
      <c r="H33" s="2" t="str">
        <f t="shared" si="0"/>
        <v>FAIL</v>
      </c>
      <c r="I33" s="2"/>
    </row>
    <row r="34" spans="1:9" ht="28">
      <c r="A34" s="2" t="s">
        <v>278</v>
      </c>
      <c r="B34" s="2">
        <v>20</v>
      </c>
      <c r="C34" s="2"/>
      <c r="D34" s="2" t="s">
        <v>270</v>
      </c>
      <c r="E34" s="2"/>
      <c r="F34" s="2"/>
      <c r="G34" s="2"/>
      <c r="H34" s="2" t="str">
        <f t="shared" si="0"/>
        <v>FAIL</v>
      </c>
      <c r="I34" s="2"/>
    </row>
    <row r="35" spans="1:9">
      <c r="A35" s="2" t="s">
        <v>279</v>
      </c>
      <c r="B35" s="2">
        <v>20</v>
      </c>
      <c r="C35" s="2"/>
      <c r="D35" s="2" t="s">
        <v>270</v>
      </c>
      <c r="E35" s="2"/>
      <c r="F35" s="2"/>
      <c r="G35" s="2"/>
      <c r="H35" s="2" t="str">
        <f t="shared" si="0"/>
        <v>FAIL</v>
      </c>
      <c r="I35" s="2"/>
    </row>
    <row r="36" spans="1:9" ht="28">
      <c r="A36" s="2" t="s">
        <v>280</v>
      </c>
      <c r="B36" s="2">
        <v>1</v>
      </c>
      <c r="C36" s="2"/>
      <c r="D36" s="2" t="s">
        <v>281</v>
      </c>
      <c r="E36" s="2"/>
      <c r="F36" s="2"/>
      <c r="G36" s="2"/>
      <c r="H36" s="2" t="str">
        <f t="shared" si="0"/>
        <v>FAIL</v>
      </c>
      <c r="I36" s="2"/>
    </row>
    <row r="37" spans="1:9" ht="28">
      <c r="A37" s="2" t="s">
        <v>282</v>
      </c>
      <c r="B37" s="2">
        <v>1</v>
      </c>
      <c r="C37" s="2"/>
      <c r="D37" s="2" t="s">
        <v>281</v>
      </c>
      <c r="E37" s="2"/>
      <c r="F37" s="2"/>
      <c r="G37" s="2"/>
      <c r="H37" s="2" t="str">
        <f t="shared" si="0"/>
        <v>FAIL</v>
      </c>
      <c r="I37" s="2"/>
    </row>
    <row r="38" spans="1:9" ht="28">
      <c r="A38" s="2" t="s">
        <v>283</v>
      </c>
      <c r="B38" s="2">
        <v>1</v>
      </c>
      <c r="C38" s="2"/>
      <c r="D38" s="2" t="s">
        <v>281</v>
      </c>
      <c r="E38" s="2"/>
      <c r="F38" s="2"/>
      <c r="G38" s="2"/>
      <c r="H38" s="2" t="str">
        <f t="shared" si="0"/>
        <v>FAIL</v>
      </c>
      <c r="I38" s="2"/>
    </row>
    <row r="39" spans="1:9" ht="28">
      <c r="A39" s="2" t="s">
        <v>284</v>
      </c>
      <c r="B39" s="2">
        <v>1</v>
      </c>
      <c r="C39" s="2"/>
      <c r="D39" s="2" t="s">
        <v>285</v>
      </c>
      <c r="E39" s="2"/>
      <c r="F39" s="2"/>
      <c r="G39" s="2"/>
      <c r="H39" s="2" t="str">
        <f t="shared" si="0"/>
        <v>FAIL</v>
      </c>
      <c r="I39" s="2"/>
    </row>
    <row r="40" spans="1:9" ht="28">
      <c r="A40" s="2" t="s">
        <v>286</v>
      </c>
      <c r="B40" s="2">
        <v>1</v>
      </c>
      <c r="C40" s="2"/>
      <c r="D40" s="2" t="s">
        <v>287</v>
      </c>
      <c r="E40" s="2"/>
      <c r="F40" s="2"/>
      <c r="G40" s="2"/>
      <c r="H40" s="2" t="str">
        <f t="shared" si="0"/>
        <v>FAIL</v>
      </c>
      <c r="I40" s="2"/>
    </row>
    <row r="41" spans="1:9" ht="28">
      <c r="A41" s="2" t="s">
        <v>288</v>
      </c>
      <c r="B41" s="2">
        <v>1</v>
      </c>
      <c r="C41" s="2"/>
      <c r="D41" s="2" t="s">
        <v>281</v>
      </c>
      <c r="E41" s="2"/>
      <c r="F41" s="2"/>
      <c r="G41" s="2"/>
      <c r="H41" s="2" t="str">
        <f t="shared" si="0"/>
        <v>FAIL</v>
      </c>
      <c r="I41" s="2"/>
    </row>
    <row r="42" spans="1:9">
      <c r="A42" s="2"/>
      <c r="B42" s="2"/>
      <c r="C42" s="2"/>
      <c r="D42" s="2"/>
      <c r="E42" s="2"/>
      <c r="F42" s="2"/>
      <c r="G42" s="2"/>
      <c r="H42" s="2"/>
      <c r="I42" s="2"/>
    </row>
    <row r="43" spans="1:9">
      <c r="A43" s="2"/>
      <c r="B43" s="2"/>
      <c r="C43" s="2"/>
      <c r="D43" s="2"/>
      <c r="E43" s="2"/>
      <c r="F43" s="2"/>
      <c r="G43" s="2"/>
      <c r="H43" s="2"/>
      <c r="I43" s="2"/>
    </row>
    <row r="44" spans="1:9">
      <c r="A44" s="2"/>
      <c r="B44" s="2"/>
      <c r="C44" s="2"/>
      <c r="D44" s="2"/>
      <c r="E44" s="2"/>
      <c r="F44" s="2"/>
      <c r="G44" s="2"/>
      <c r="H44" s="2"/>
      <c r="I44" s="2"/>
    </row>
    <row r="45" spans="1:9">
      <c r="A45" s="2"/>
      <c r="B45" s="2"/>
      <c r="C45" s="2"/>
      <c r="D45" s="2"/>
      <c r="E45" s="2"/>
      <c r="F45" s="2"/>
      <c r="G45" s="2"/>
      <c r="H45" s="2"/>
      <c r="I45" s="2"/>
    </row>
    <row r="46" spans="1:9">
      <c r="A46" s="2"/>
      <c r="B46" s="2"/>
      <c r="C46" s="2"/>
      <c r="D46" s="2"/>
      <c r="E46" s="2"/>
      <c r="F46" s="2"/>
      <c r="G46" s="2"/>
      <c r="H46" s="2"/>
      <c r="I46" s="2"/>
    </row>
    <row r="47" spans="1:9">
      <c r="A47" s="2"/>
      <c r="B47" s="2"/>
      <c r="C47" s="2"/>
      <c r="D47" s="2"/>
      <c r="E47" s="2"/>
      <c r="F47" s="2"/>
      <c r="G47" s="2"/>
      <c r="H47" s="2"/>
      <c r="I47" s="2"/>
    </row>
    <row r="48" spans="1:9">
      <c r="A48" s="2"/>
      <c r="B48" s="2"/>
      <c r="C48" s="2"/>
      <c r="D48" s="2"/>
      <c r="E48" s="2"/>
      <c r="F48" s="2"/>
      <c r="G48" s="2"/>
      <c r="H48" s="2"/>
      <c r="I48" s="2"/>
    </row>
    <row r="49" spans="1:9">
      <c r="A49" s="2"/>
      <c r="B49" s="2"/>
      <c r="C49" s="2"/>
      <c r="D49" s="2"/>
      <c r="E49" s="2"/>
      <c r="F49" s="2"/>
      <c r="G49" s="2"/>
      <c r="H49" s="2"/>
      <c r="I49" s="2"/>
    </row>
    <row r="50" spans="1:9">
      <c r="A50" s="2"/>
      <c r="B50" s="2"/>
      <c r="C50" s="2"/>
      <c r="D50" s="2"/>
      <c r="E50" s="2"/>
      <c r="F50" s="2"/>
      <c r="G50" s="2"/>
      <c r="H50" s="2"/>
      <c r="I50" s="2"/>
    </row>
    <row r="51" spans="1:9">
      <c r="A51" s="2"/>
      <c r="B51" s="2"/>
      <c r="C51" s="2"/>
      <c r="D51" s="2"/>
      <c r="E51" s="2"/>
      <c r="F51" s="2"/>
      <c r="G51" s="2"/>
      <c r="H51" s="2"/>
      <c r="I51" s="2"/>
    </row>
    <row r="52" spans="1:9">
      <c r="A52" s="2"/>
      <c r="B52" s="2"/>
      <c r="C52" s="2"/>
      <c r="D52" s="2"/>
      <c r="E52" s="2"/>
      <c r="F52" s="2"/>
      <c r="G52" s="2"/>
      <c r="H52" s="2"/>
      <c r="I52" s="2"/>
    </row>
    <row r="53" spans="1:9">
      <c r="A53" s="2"/>
      <c r="B53" s="2"/>
      <c r="C53" s="2"/>
      <c r="D53" s="2"/>
      <c r="E53" s="2"/>
      <c r="F53" s="2"/>
      <c r="G53" s="2"/>
      <c r="H53" s="2"/>
      <c r="I53" s="2"/>
    </row>
    <row r="54" spans="1:9">
      <c r="A54" s="2"/>
      <c r="B54" s="2"/>
      <c r="C54" s="2"/>
      <c r="D54" s="2"/>
      <c r="E54" s="2"/>
      <c r="F54" s="2"/>
      <c r="G54" s="2"/>
      <c r="H54" s="2"/>
      <c r="I54" s="2"/>
    </row>
    <row r="55" spans="1:9">
      <c r="A55" s="2"/>
      <c r="B55" s="2"/>
      <c r="C55" s="2"/>
      <c r="D55" s="2"/>
      <c r="E55" s="2"/>
      <c r="F55" s="2"/>
      <c r="G55" s="2"/>
      <c r="H55" s="2"/>
      <c r="I55" s="2"/>
    </row>
    <row r="56" spans="1:9">
      <c r="A56" s="2"/>
      <c r="B56" s="2"/>
      <c r="C56" s="2"/>
      <c r="D56" s="2"/>
      <c r="E56" s="2"/>
      <c r="F56" s="2"/>
      <c r="G56" s="2"/>
      <c r="H56" s="2"/>
      <c r="I56" s="2"/>
    </row>
    <row r="57" spans="1:9">
      <c r="A57" s="2"/>
      <c r="B57" s="2"/>
      <c r="C57" s="2"/>
      <c r="D57" s="2"/>
      <c r="E57" s="2"/>
      <c r="F57" s="2"/>
      <c r="G57" s="2"/>
      <c r="H57" s="2"/>
      <c r="I57" s="2"/>
    </row>
    <row r="58" spans="1:9">
      <c r="A58" s="2"/>
      <c r="B58" s="2"/>
      <c r="C58" s="2"/>
      <c r="D58" s="2"/>
      <c r="E58" s="2"/>
      <c r="F58" s="2"/>
      <c r="G58" s="2"/>
      <c r="H58" s="2"/>
      <c r="I58" s="2"/>
    </row>
    <row r="59" spans="1:9">
      <c r="A59" s="2"/>
      <c r="B59" s="2"/>
      <c r="C59" s="2"/>
      <c r="D59" s="2"/>
      <c r="E59" s="2"/>
      <c r="F59" s="2"/>
      <c r="G59" s="2"/>
      <c r="H59" s="2"/>
      <c r="I59" s="2"/>
    </row>
    <row r="60" spans="1:9">
      <c r="A60" s="2"/>
      <c r="B60" s="2"/>
      <c r="C60" s="2"/>
      <c r="D60" s="2"/>
      <c r="E60" s="2"/>
      <c r="F60" s="2"/>
      <c r="G60" s="2"/>
      <c r="H60" s="2"/>
      <c r="I60" s="2"/>
    </row>
  </sheetData>
  <mergeCells count="2">
    <mergeCell ref="A1:I1"/>
    <mergeCell ref="A2:I2"/>
  </mergeCells>
  <dataValidations count="2">
    <dataValidation type="list" sqref="B7" xr:uid="{00000000-0002-0000-0C00-000000000000}">
      <formula1>"Yes,No"</formula1>
    </dataValidation>
    <dataValidation type="list" sqref="F14:F41" xr:uid="{00000000-0002-0000-0C00-000001000000}">
      <formula1>"Yes,No,N/A"</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60"/>
  <sheetViews>
    <sheetView workbookViewId="0"/>
  </sheetViews>
  <sheetFormatPr defaultRowHeight="14"/>
  <cols>
    <col min="1" max="8" width="18" customWidth="1"/>
  </cols>
  <sheetData>
    <row r="1" spans="1:8" ht="20">
      <c r="A1" s="6" t="s">
        <v>337</v>
      </c>
      <c r="B1" s="7"/>
      <c r="C1" s="7"/>
      <c r="D1" s="7"/>
      <c r="E1" s="7"/>
      <c r="F1" s="7"/>
      <c r="G1" s="7"/>
      <c r="H1" s="7"/>
    </row>
    <row r="2" spans="1:8" ht="14.5">
      <c r="A2" s="8" t="s">
        <v>290</v>
      </c>
      <c r="B2" s="7"/>
      <c r="C2" s="7"/>
      <c r="D2" s="7"/>
      <c r="E2" s="7"/>
      <c r="F2" s="7"/>
      <c r="G2" s="7"/>
      <c r="H2" s="7"/>
    </row>
    <row r="4" spans="1:8">
      <c r="A4" s="3" t="s">
        <v>107</v>
      </c>
      <c r="B4" t="s">
        <v>335</v>
      </c>
    </row>
    <row r="5" spans="1:8">
      <c r="A5" s="3" t="s">
        <v>110</v>
      </c>
    </row>
    <row r="6" spans="1:8">
      <c r="A6" s="3" t="s">
        <v>229</v>
      </c>
    </row>
    <row r="7" spans="1:8">
      <c r="A7" s="3" t="s">
        <v>230</v>
      </c>
    </row>
    <row r="8" spans="1:8">
      <c r="A8" s="3" t="s">
        <v>291</v>
      </c>
      <c r="B8">
        <f>COUNTA(A14:A60)</f>
        <v>22</v>
      </c>
    </row>
    <row r="9" spans="1:8">
      <c r="A9" s="3" t="s">
        <v>292</v>
      </c>
      <c r="B9">
        <f>COUNTIF(G14:G60,"FAIL")</f>
        <v>22</v>
      </c>
    </row>
    <row r="10" spans="1:8">
      <c r="A10" s="3" t="s">
        <v>46</v>
      </c>
      <c r="B10" t="str">
        <f>IF(AND(B7="Yes",B9=0),"Complete","Incomplete")</f>
        <v>Incomplete</v>
      </c>
    </row>
    <row r="13" spans="1:8">
      <c r="A13" s="1" t="s">
        <v>233</v>
      </c>
      <c r="B13" s="1" t="s">
        <v>234</v>
      </c>
      <c r="C13" s="1" t="s">
        <v>235</v>
      </c>
      <c r="D13" s="1" t="s">
        <v>293</v>
      </c>
      <c r="E13" s="1" t="s">
        <v>294</v>
      </c>
      <c r="F13" s="1" t="s">
        <v>239</v>
      </c>
      <c r="G13" s="1" t="s">
        <v>240</v>
      </c>
      <c r="H13" s="1" t="s">
        <v>241</v>
      </c>
    </row>
    <row r="14" spans="1:8" ht="28">
      <c r="A14" s="2" t="s">
        <v>295</v>
      </c>
      <c r="B14" s="2">
        <v>6</v>
      </c>
      <c r="C14" s="2"/>
      <c r="D14" s="2"/>
      <c r="E14" s="2"/>
      <c r="F14" s="2"/>
      <c r="G14" s="2" t="str">
        <f t="shared" ref="G14:G35" si="0">IF(OR(C14&lt;B14,E14="No"),"FAIL","PASS")</f>
        <v>FAIL</v>
      </c>
      <c r="H14" s="2"/>
    </row>
    <row r="15" spans="1:8" ht="28">
      <c r="A15" s="2" t="s">
        <v>296</v>
      </c>
      <c r="B15" s="2">
        <v>8</v>
      </c>
      <c r="C15" s="2"/>
      <c r="D15" s="2"/>
      <c r="E15" s="2"/>
      <c r="F15" s="2"/>
      <c r="G15" s="2" t="str">
        <f t="shared" si="0"/>
        <v>FAIL</v>
      </c>
      <c r="H15" s="2"/>
    </row>
    <row r="16" spans="1:8" ht="28">
      <c r="A16" s="2" t="s">
        <v>297</v>
      </c>
      <c r="B16" s="2">
        <v>10</v>
      </c>
      <c r="C16" s="2"/>
      <c r="D16" s="2"/>
      <c r="E16" s="2"/>
      <c r="F16" s="2"/>
      <c r="G16" s="2" t="str">
        <f t="shared" si="0"/>
        <v>FAIL</v>
      </c>
      <c r="H16" s="2"/>
    </row>
    <row r="17" spans="1:8">
      <c r="A17" s="2" t="s">
        <v>298</v>
      </c>
      <c r="B17" s="2">
        <v>4</v>
      </c>
      <c r="C17" s="2"/>
      <c r="D17" s="2"/>
      <c r="E17" s="2"/>
      <c r="F17" s="2"/>
      <c r="G17" s="2" t="str">
        <f t="shared" si="0"/>
        <v>FAIL</v>
      </c>
      <c r="H17" s="2"/>
    </row>
    <row r="18" spans="1:8">
      <c r="A18" s="2" t="s">
        <v>299</v>
      </c>
      <c r="B18" s="2">
        <v>6</v>
      </c>
      <c r="C18" s="2"/>
      <c r="D18" s="2"/>
      <c r="E18" s="2"/>
      <c r="F18" s="2"/>
      <c r="G18" s="2" t="str">
        <f t="shared" si="0"/>
        <v>FAIL</v>
      </c>
      <c r="H18" s="2"/>
    </row>
    <row r="19" spans="1:8" ht="28">
      <c r="A19" s="2" t="s">
        <v>300</v>
      </c>
      <c r="B19" s="2">
        <v>6</v>
      </c>
      <c r="C19" s="2"/>
      <c r="D19" s="2"/>
      <c r="E19" s="2"/>
      <c r="F19" s="2"/>
      <c r="G19" s="2" t="str">
        <f t="shared" si="0"/>
        <v>FAIL</v>
      </c>
      <c r="H19" s="2"/>
    </row>
    <row r="20" spans="1:8">
      <c r="A20" s="2" t="s">
        <v>301</v>
      </c>
      <c r="B20" s="2">
        <v>10</v>
      </c>
      <c r="C20" s="2"/>
      <c r="D20" s="2"/>
      <c r="E20" s="2"/>
      <c r="F20" s="2"/>
      <c r="G20" s="2" t="str">
        <f t="shared" si="0"/>
        <v>FAIL</v>
      </c>
      <c r="H20" s="2"/>
    </row>
    <row r="21" spans="1:8">
      <c r="A21" s="2" t="s">
        <v>302</v>
      </c>
      <c r="B21" s="2">
        <v>4</v>
      </c>
      <c r="C21" s="2"/>
      <c r="D21" s="2"/>
      <c r="E21" s="2"/>
      <c r="F21" s="2"/>
      <c r="G21" s="2" t="str">
        <f t="shared" si="0"/>
        <v>FAIL</v>
      </c>
      <c r="H21" s="2"/>
    </row>
    <row r="22" spans="1:8" ht="28">
      <c r="A22" s="2" t="s">
        <v>303</v>
      </c>
      <c r="B22" s="2">
        <v>4</v>
      </c>
      <c r="C22" s="2"/>
      <c r="D22" s="2"/>
      <c r="E22" s="2"/>
      <c r="F22" s="2"/>
      <c r="G22" s="2" t="str">
        <f t="shared" si="0"/>
        <v>FAIL</v>
      </c>
      <c r="H22" s="2"/>
    </row>
    <row r="23" spans="1:8">
      <c r="A23" s="2" t="s">
        <v>304</v>
      </c>
      <c r="B23" s="2">
        <v>2</v>
      </c>
      <c r="C23" s="2"/>
      <c r="D23" s="2"/>
      <c r="E23" s="2"/>
      <c r="F23" s="2"/>
      <c r="G23" s="2" t="str">
        <f t="shared" si="0"/>
        <v>FAIL</v>
      </c>
      <c r="H23" s="2"/>
    </row>
    <row r="24" spans="1:8" ht="28">
      <c r="A24" s="2" t="s">
        <v>305</v>
      </c>
      <c r="B24" s="2">
        <v>50</v>
      </c>
      <c r="C24" s="2"/>
      <c r="D24" s="2"/>
      <c r="E24" s="2"/>
      <c r="F24" s="2"/>
      <c r="G24" s="2" t="str">
        <f t="shared" si="0"/>
        <v>FAIL</v>
      </c>
      <c r="H24" s="2"/>
    </row>
    <row r="25" spans="1:8">
      <c r="A25" s="2" t="s">
        <v>306</v>
      </c>
      <c r="B25" s="2">
        <v>2</v>
      </c>
      <c r="C25" s="2"/>
      <c r="D25" s="2"/>
      <c r="E25" s="2"/>
      <c r="F25" s="2"/>
      <c r="G25" s="2" t="str">
        <f t="shared" si="0"/>
        <v>FAIL</v>
      </c>
      <c r="H25" s="2"/>
    </row>
    <row r="26" spans="1:8">
      <c r="A26" s="2" t="s">
        <v>307</v>
      </c>
      <c r="B26" s="2">
        <v>2</v>
      </c>
      <c r="C26" s="2"/>
      <c r="D26" s="2"/>
      <c r="E26" s="2"/>
      <c r="F26" s="2"/>
      <c r="G26" s="2" t="str">
        <f t="shared" si="0"/>
        <v>FAIL</v>
      </c>
      <c r="H26" s="2"/>
    </row>
    <row r="27" spans="1:8" ht="28">
      <c r="A27" s="2" t="s">
        <v>308</v>
      </c>
      <c r="B27" s="2">
        <v>2</v>
      </c>
      <c r="C27" s="2"/>
      <c r="D27" s="2"/>
      <c r="E27" s="2"/>
      <c r="F27" s="2"/>
      <c r="G27" s="2" t="str">
        <f t="shared" si="0"/>
        <v>FAIL</v>
      </c>
      <c r="H27" s="2"/>
    </row>
    <row r="28" spans="1:8">
      <c r="A28" s="2" t="s">
        <v>309</v>
      </c>
      <c r="B28" s="2">
        <v>4</v>
      </c>
      <c r="C28" s="2"/>
      <c r="D28" s="2"/>
      <c r="E28" s="2"/>
      <c r="F28" s="2"/>
      <c r="G28" s="2" t="str">
        <f t="shared" si="0"/>
        <v>FAIL</v>
      </c>
      <c r="H28" s="2"/>
    </row>
    <row r="29" spans="1:8">
      <c r="A29" s="2" t="s">
        <v>310</v>
      </c>
      <c r="B29" s="2">
        <v>20</v>
      </c>
      <c r="C29" s="2"/>
      <c r="D29" s="2"/>
      <c r="E29" s="2"/>
      <c r="F29" s="2"/>
      <c r="G29" s="2" t="str">
        <f t="shared" si="0"/>
        <v>FAIL</v>
      </c>
      <c r="H29" s="2"/>
    </row>
    <row r="30" spans="1:8" ht="28">
      <c r="A30" s="2" t="s">
        <v>311</v>
      </c>
      <c r="B30" s="2">
        <v>1</v>
      </c>
      <c r="C30" s="2"/>
      <c r="D30" s="2"/>
      <c r="E30" s="2"/>
      <c r="F30" s="2"/>
      <c r="G30" s="2" t="str">
        <f t="shared" si="0"/>
        <v>FAIL</v>
      </c>
      <c r="H30" s="2"/>
    </row>
    <row r="31" spans="1:8" ht="28">
      <c r="A31" s="2" t="s">
        <v>312</v>
      </c>
      <c r="B31" s="2">
        <v>1</v>
      </c>
      <c r="C31" s="2"/>
      <c r="D31" s="2"/>
      <c r="E31" s="2"/>
      <c r="F31" s="2"/>
      <c r="G31" s="2" t="str">
        <f t="shared" si="0"/>
        <v>FAIL</v>
      </c>
      <c r="H31" s="2"/>
    </row>
    <row r="32" spans="1:8" ht="28">
      <c r="A32" s="2" t="s">
        <v>313</v>
      </c>
      <c r="B32" s="2">
        <v>1</v>
      </c>
      <c r="C32" s="2"/>
      <c r="D32" s="2"/>
      <c r="E32" s="2"/>
      <c r="F32" s="2"/>
      <c r="G32" s="2" t="str">
        <f t="shared" si="0"/>
        <v>FAIL</v>
      </c>
      <c r="H32" s="2"/>
    </row>
    <row r="33" spans="1:8" ht="28">
      <c r="A33" s="2" t="s">
        <v>314</v>
      </c>
      <c r="B33" s="2">
        <v>1</v>
      </c>
      <c r="C33" s="2"/>
      <c r="D33" s="2"/>
      <c r="E33" s="2"/>
      <c r="F33" s="2"/>
      <c r="G33" s="2" t="str">
        <f t="shared" si="0"/>
        <v>FAIL</v>
      </c>
      <c r="H33" s="2"/>
    </row>
    <row r="34" spans="1:8" ht="28">
      <c r="A34" s="2" t="s">
        <v>315</v>
      </c>
      <c r="B34" s="2">
        <v>1</v>
      </c>
      <c r="C34" s="2"/>
      <c r="D34" s="2"/>
      <c r="E34" s="2"/>
      <c r="F34" s="2"/>
      <c r="G34" s="2" t="str">
        <f t="shared" si="0"/>
        <v>FAIL</v>
      </c>
      <c r="H34" s="2"/>
    </row>
    <row r="35" spans="1:8" ht="28">
      <c r="A35" s="2" t="s">
        <v>316</v>
      </c>
      <c r="B35" s="2">
        <v>1</v>
      </c>
      <c r="C35" s="2"/>
      <c r="D35" s="2"/>
      <c r="E35" s="2"/>
      <c r="F35" s="2"/>
      <c r="G35" s="2" t="str">
        <f t="shared" si="0"/>
        <v>FAIL</v>
      </c>
      <c r="H35" s="2"/>
    </row>
    <row r="36" spans="1:8">
      <c r="A36" s="2"/>
      <c r="B36" s="2"/>
      <c r="C36" s="2"/>
      <c r="D36" s="2"/>
      <c r="E36" s="2"/>
      <c r="F36" s="2"/>
      <c r="G36" s="2"/>
      <c r="H36" s="2"/>
    </row>
    <row r="37" spans="1:8">
      <c r="A37" s="2"/>
      <c r="B37" s="2"/>
      <c r="C37" s="2"/>
      <c r="D37" s="2"/>
      <c r="E37" s="2"/>
      <c r="F37" s="2"/>
      <c r="G37" s="2"/>
      <c r="H37" s="2"/>
    </row>
    <row r="38" spans="1:8">
      <c r="A38" s="2"/>
      <c r="B38" s="2"/>
      <c r="C38" s="2"/>
      <c r="D38" s="2"/>
      <c r="E38" s="2"/>
      <c r="F38" s="2"/>
      <c r="G38" s="2"/>
      <c r="H38" s="2"/>
    </row>
    <row r="39" spans="1:8">
      <c r="A39" s="2"/>
      <c r="B39" s="2"/>
      <c r="C39" s="2"/>
      <c r="D39" s="2"/>
      <c r="E39" s="2"/>
      <c r="F39" s="2"/>
      <c r="G39" s="2"/>
      <c r="H39" s="2"/>
    </row>
    <row r="40" spans="1:8">
      <c r="A40" s="2"/>
      <c r="B40" s="2"/>
      <c r="C40" s="2"/>
      <c r="D40" s="2"/>
      <c r="E40" s="2"/>
      <c r="F40" s="2"/>
      <c r="G40" s="2"/>
      <c r="H40" s="2"/>
    </row>
    <row r="41" spans="1:8">
      <c r="A41" s="2"/>
      <c r="B41" s="2"/>
      <c r="C41" s="2"/>
      <c r="D41" s="2"/>
      <c r="E41" s="2"/>
      <c r="F41" s="2"/>
      <c r="G41" s="2"/>
      <c r="H41" s="2"/>
    </row>
    <row r="42" spans="1:8">
      <c r="A42" s="2"/>
      <c r="B42" s="2"/>
      <c r="C42" s="2"/>
      <c r="D42" s="2"/>
      <c r="E42" s="2"/>
      <c r="F42" s="2"/>
      <c r="G42" s="2"/>
      <c r="H42" s="2"/>
    </row>
    <row r="43" spans="1:8">
      <c r="A43" s="2"/>
      <c r="B43" s="2"/>
      <c r="C43" s="2"/>
      <c r="D43" s="2"/>
      <c r="E43" s="2"/>
      <c r="F43" s="2"/>
      <c r="G43" s="2"/>
      <c r="H43" s="2"/>
    </row>
    <row r="44" spans="1:8">
      <c r="A44" s="2"/>
      <c r="B44" s="2"/>
      <c r="C44" s="2"/>
      <c r="D44" s="2"/>
      <c r="E44" s="2"/>
      <c r="F44" s="2"/>
      <c r="G44" s="2"/>
      <c r="H44" s="2"/>
    </row>
    <row r="45" spans="1:8">
      <c r="A45" s="2"/>
      <c r="B45" s="2"/>
      <c r="C45" s="2"/>
      <c r="D45" s="2"/>
      <c r="E45" s="2"/>
      <c r="F45" s="2"/>
      <c r="G45" s="2"/>
      <c r="H45" s="2"/>
    </row>
    <row r="46" spans="1:8">
      <c r="A46" s="2"/>
      <c r="B46" s="2"/>
      <c r="C46" s="2"/>
      <c r="D46" s="2"/>
      <c r="E46" s="2"/>
      <c r="F46" s="2"/>
      <c r="G46" s="2"/>
      <c r="H46" s="2"/>
    </row>
    <row r="47" spans="1:8">
      <c r="A47" s="2"/>
      <c r="B47" s="2"/>
      <c r="C47" s="2"/>
      <c r="D47" s="2"/>
      <c r="E47" s="2"/>
      <c r="F47" s="2"/>
      <c r="G47" s="2"/>
      <c r="H47" s="2"/>
    </row>
    <row r="48" spans="1:8">
      <c r="A48" s="2"/>
      <c r="B48" s="2"/>
      <c r="C48" s="2"/>
      <c r="D48" s="2"/>
      <c r="E48" s="2"/>
      <c r="F48" s="2"/>
      <c r="G48" s="2"/>
      <c r="H48" s="2"/>
    </row>
    <row r="49" spans="1:8">
      <c r="A49" s="2"/>
      <c r="B49" s="2"/>
      <c r="C49" s="2"/>
      <c r="D49" s="2"/>
      <c r="E49" s="2"/>
      <c r="F49" s="2"/>
      <c r="G49" s="2"/>
      <c r="H49" s="2"/>
    </row>
    <row r="50" spans="1:8">
      <c r="A50" s="2"/>
      <c r="B50" s="2"/>
      <c r="C50" s="2"/>
      <c r="D50" s="2"/>
      <c r="E50" s="2"/>
      <c r="F50" s="2"/>
      <c r="G50" s="2"/>
      <c r="H50" s="2"/>
    </row>
    <row r="51" spans="1:8">
      <c r="A51" s="2"/>
      <c r="B51" s="2"/>
      <c r="C51" s="2"/>
      <c r="D51" s="2"/>
      <c r="E51" s="2"/>
      <c r="F51" s="2"/>
      <c r="G51" s="2"/>
      <c r="H51" s="2"/>
    </row>
    <row r="52" spans="1:8">
      <c r="A52" s="2"/>
      <c r="B52" s="2"/>
      <c r="C52" s="2"/>
      <c r="D52" s="2"/>
      <c r="E52" s="2"/>
      <c r="F52" s="2"/>
      <c r="G52" s="2"/>
      <c r="H52" s="2"/>
    </row>
    <row r="53" spans="1:8">
      <c r="A53" s="2"/>
      <c r="B53" s="2"/>
      <c r="C53" s="2"/>
      <c r="D53" s="2"/>
      <c r="E53" s="2"/>
      <c r="F53" s="2"/>
      <c r="G53" s="2"/>
      <c r="H53" s="2"/>
    </row>
    <row r="54" spans="1:8">
      <c r="A54" s="2"/>
      <c r="B54" s="2"/>
      <c r="C54" s="2"/>
      <c r="D54" s="2"/>
      <c r="E54" s="2"/>
      <c r="F54" s="2"/>
      <c r="G54" s="2"/>
      <c r="H54" s="2"/>
    </row>
    <row r="55" spans="1:8">
      <c r="A55" s="2"/>
      <c r="B55" s="2"/>
      <c r="C55" s="2"/>
      <c r="D55" s="2"/>
      <c r="E55" s="2"/>
      <c r="F55" s="2"/>
      <c r="G55" s="2"/>
      <c r="H55" s="2"/>
    </row>
    <row r="56" spans="1:8">
      <c r="A56" s="2"/>
      <c r="B56" s="2"/>
      <c r="C56" s="2"/>
      <c r="D56" s="2"/>
      <c r="E56" s="2"/>
      <c r="F56" s="2"/>
      <c r="G56" s="2"/>
      <c r="H56" s="2"/>
    </row>
    <row r="57" spans="1:8">
      <c r="A57" s="2"/>
      <c r="B57" s="2"/>
      <c r="C57" s="2"/>
      <c r="D57" s="2"/>
      <c r="E57" s="2"/>
      <c r="F57" s="2"/>
      <c r="G57" s="2"/>
      <c r="H57" s="2"/>
    </row>
    <row r="58" spans="1:8">
      <c r="A58" s="2"/>
      <c r="B58" s="2"/>
      <c r="C58" s="2"/>
      <c r="D58" s="2"/>
      <c r="E58" s="2"/>
      <c r="F58" s="2"/>
      <c r="G58" s="2"/>
      <c r="H58" s="2"/>
    </row>
    <row r="59" spans="1:8">
      <c r="A59" s="2"/>
      <c r="B59" s="2"/>
      <c r="C59" s="2"/>
      <c r="D59" s="2"/>
      <c r="E59" s="2"/>
      <c r="F59" s="2"/>
      <c r="G59" s="2"/>
      <c r="H59" s="2"/>
    </row>
    <row r="60" spans="1:8">
      <c r="A60" s="2"/>
      <c r="B60" s="2"/>
      <c r="C60" s="2"/>
      <c r="D60" s="2"/>
      <c r="E60" s="2"/>
      <c r="F60" s="2"/>
      <c r="G60" s="2"/>
      <c r="H60" s="2"/>
    </row>
  </sheetData>
  <mergeCells count="2">
    <mergeCell ref="A1:H1"/>
    <mergeCell ref="A2:H2"/>
  </mergeCells>
  <dataValidations count="2">
    <dataValidation type="list" sqref="B7" xr:uid="{00000000-0002-0000-0D00-000000000000}">
      <formula1>"Yes,No"</formula1>
    </dataValidation>
    <dataValidation type="list" sqref="E14:E35" xr:uid="{00000000-0002-0000-0D00-000001000000}">
      <formula1>"Yes,No,N/A"</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113"/>
  <sheetViews>
    <sheetView workbookViewId="0"/>
  </sheetViews>
  <sheetFormatPr defaultRowHeight="14"/>
  <cols>
    <col min="1" max="2" width="17" customWidth="1"/>
    <col min="3" max="3" width="25" customWidth="1"/>
    <col min="4" max="13" width="17" customWidth="1"/>
    <col min="14" max="14" width="28" customWidth="1"/>
    <col min="15" max="15" width="17" customWidth="1"/>
  </cols>
  <sheetData>
    <row r="1" spans="1:15" ht="20">
      <c r="A1" s="6" t="s">
        <v>338</v>
      </c>
      <c r="B1" s="7"/>
      <c r="C1" s="7"/>
      <c r="D1" s="7"/>
      <c r="E1" s="7"/>
      <c r="F1" s="7"/>
      <c r="G1" s="7"/>
      <c r="H1" s="7"/>
      <c r="I1" s="7"/>
      <c r="J1" s="7"/>
      <c r="K1" s="7"/>
      <c r="L1" s="7"/>
      <c r="M1" s="7"/>
      <c r="N1" s="7"/>
      <c r="O1" s="7"/>
    </row>
    <row r="2" spans="1:15" ht="14.5">
      <c r="A2" s="8" t="s">
        <v>318</v>
      </c>
      <c r="B2" s="7"/>
      <c r="C2" s="7"/>
      <c r="D2" s="7"/>
      <c r="E2" s="7"/>
      <c r="F2" s="7"/>
      <c r="G2" s="7"/>
      <c r="H2" s="7"/>
      <c r="I2" s="7"/>
      <c r="J2" s="7"/>
      <c r="K2" s="7"/>
      <c r="L2" s="7"/>
      <c r="M2" s="7"/>
      <c r="N2" s="7"/>
      <c r="O2" s="7"/>
    </row>
    <row r="4" spans="1:15">
      <c r="A4" s="3" t="s">
        <v>107</v>
      </c>
      <c r="B4" t="s">
        <v>335</v>
      </c>
    </row>
    <row r="5" spans="1:15">
      <c r="A5" s="3" t="s">
        <v>110</v>
      </c>
    </row>
    <row r="6" spans="1:15">
      <c r="A6" s="3" t="s">
        <v>229</v>
      </c>
    </row>
    <row r="7" spans="1:15">
      <c r="A7" s="3" t="s">
        <v>230</v>
      </c>
    </row>
    <row r="8" spans="1:15">
      <c r="A8" s="3" t="s">
        <v>319</v>
      </c>
      <c r="B8">
        <f>COUNTA(A14:A113)</f>
        <v>0</v>
      </c>
    </row>
    <row r="9" spans="1:15" ht="28">
      <c r="A9" s="3" t="s">
        <v>320</v>
      </c>
      <c r="B9">
        <f>COUNTIF(O14:O113,"FAIL")</f>
        <v>0</v>
      </c>
    </row>
    <row r="10" spans="1:15">
      <c r="A10" s="3" t="s">
        <v>46</v>
      </c>
      <c r="B10" t="str">
        <f>IF(AND(B7="Yes",B9=0),"Complete","Incomplete")</f>
        <v>Incomplete</v>
      </c>
    </row>
    <row r="13" spans="1:15" ht="42">
      <c r="A13" s="1" t="s">
        <v>120</v>
      </c>
      <c r="B13" s="1" t="s">
        <v>121</v>
      </c>
      <c r="C13" s="1" t="s">
        <v>321</v>
      </c>
      <c r="D13" s="1" t="s">
        <v>234</v>
      </c>
      <c r="E13" s="1" t="s">
        <v>235</v>
      </c>
      <c r="F13" s="1" t="s">
        <v>294</v>
      </c>
      <c r="G13" s="1" t="s">
        <v>322</v>
      </c>
      <c r="H13" s="1" t="s">
        <v>323</v>
      </c>
      <c r="I13" s="1" t="s">
        <v>324</v>
      </c>
      <c r="J13" s="1" t="s">
        <v>149</v>
      </c>
      <c r="K13" s="1" t="s">
        <v>325</v>
      </c>
      <c r="L13" s="1" t="s">
        <v>326</v>
      </c>
      <c r="M13" s="1" t="s">
        <v>327</v>
      </c>
      <c r="N13" s="1" t="s">
        <v>239</v>
      </c>
      <c r="O13" s="1" t="s">
        <v>328</v>
      </c>
    </row>
    <row r="14" spans="1:15">
      <c r="A14" s="2"/>
      <c r="B14" s="2"/>
      <c r="C14" s="2"/>
      <c r="D14" s="2"/>
      <c r="E14" s="2"/>
      <c r="F14" s="2"/>
      <c r="G14" s="2"/>
      <c r="H14" s="2"/>
      <c r="I14" s="2"/>
      <c r="J14" s="2"/>
      <c r="K14" s="2"/>
      <c r="L14" s="2"/>
      <c r="M14" s="2"/>
      <c r="N14" s="2"/>
      <c r="O14" s="2" t="str">
        <f t="shared" ref="O14:O45" si="0">IF(OR(E14&lt;D14,F14="No",G14="No",H14="No",I14="No",J14="No",K14="No",L14="No",M14="No"),"FAIL","PASS")</f>
        <v>PASS</v>
      </c>
    </row>
    <row r="15" spans="1:15">
      <c r="A15" s="2"/>
      <c r="B15" s="2"/>
      <c r="C15" s="2"/>
      <c r="D15" s="2"/>
      <c r="E15" s="2"/>
      <c r="F15" s="2"/>
      <c r="G15" s="2"/>
      <c r="H15" s="2"/>
      <c r="I15" s="2"/>
      <c r="J15" s="2"/>
      <c r="K15" s="2"/>
      <c r="L15" s="2"/>
      <c r="M15" s="2"/>
      <c r="N15" s="2"/>
      <c r="O15" s="2" t="str">
        <f t="shared" si="0"/>
        <v>PASS</v>
      </c>
    </row>
    <row r="16" spans="1:15">
      <c r="A16" s="2"/>
      <c r="B16" s="2"/>
      <c r="C16" s="2"/>
      <c r="D16" s="2"/>
      <c r="E16" s="2"/>
      <c r="F16" s="2"/>
      <c r="G16" s="2"/>
      <c r="H16" s="2"/>
      <c r="I16" s="2"/>
      <c r="J16" s="2"/>
      <c r="K16" s="2"/>
      <c r="L16" s="2"/>
      <c r="M16" s="2"/>
      <c r="N16" s="2"/>
      <c r="O16" s="2" t="str">
        <f t="shared" si="0"/>
        <v>PASS</v>
      </c>
    </row>
    <row r="17" spans="1:15">
      <c r="A17" s="2"/>
      <c r="B17" s="2"/>
      <c r="C17" s="2"/>
      <c r="D17" s="2"/>
      <c r="E17" s="2"/>
      <c r="F17" s="2"/>
      <c r="G17" s="2"/>
      <c r="H17" s="2"/>
      <c r="I17" s="2"/>
      <c r="J17" s="2"/>
      <c r="K17" s="2"/>
      <c r="L17" s="2"/>
      <c r="M17" s="2"/>
      <c r="N17" s="2"/>
      <c r="O17" s="2" t="str">
        <f t="shared" si="0"/>
        <v>PASS</v>
      </c>
    </row>
    <row r="18" spans="1:15">
      <c r="A18" s="2"/>
      <c r="B18" s="2"/>
      <c r="C18" s="2"/>
      <c r="D18" s="2"/>
      <c r="E18" s="2"/>
      <c r="F18" s="2"/>
      <c r="G18" s="2"/>
      <c r="H18" s="2"/>
      <c r="I18" s="2"/>
      <c r="J18" s="2"/>
      <c r="K18" s="2"/>
      <c r="L18" s="2"/>
      <c r="M18" s="2"/>
      <c r="N18" s="2"/>
      <c r="O18" s="2" t="str">
        <f t="shared" si="0"/>
        <v>PASS</v>
      </c>
    </row>
    <row r="19" spans="1:15">
      <c r="A19" s="2"/>
      <c r="B19" s="2"/>
      <c r="C19" s="2"/>
      <c r="D19" s="2"/>
      <c r="E19" s="2"/>
      <c r="F19" s="2"/>
      <c r="G19" s="2"/>
      <c r="H19" s="2"/>
      <c r="I19" s="2"/>
      <c r="J19" s="2"/>
      <c r="K19" s="2"/>
      <c r="L19" s="2"/>
      <c r="M19" s="2"/>
      <c r="N19" s="2"/>
      <c r="O19" s="2" t="str">
        <f t="shared" si="0"/>
        <v>PASS</v>
      </c>
    </row>
    <row r="20" spans="1:15">
      <c r="A20" s="2"/>
      <c r="B20" s="2"/>
      <c r="C20" s="2"/>
      <c r="D20" s="2"/>
      <c r="E20" s="2"/>
      <c r="F20" s="2"/>
      <c r="G20" s="2"/>
      <c r="H20" s="2"/>
      <c r="I20" s="2"/>
      <c r="J20" s="2"/>
      <c r="K20" s="2"/>
      <c r="L20" s="2"/>
      <c r="M20" s="2"/>
      <c r="N20" s="2"/>
      <c r="O20" s="2" t="str">
        <f t="shared" si="0"/>
        <v>PASS</v>
      </c>
    </row>
    <row r="21" spans="1:15">
      <c r="A21" s="2"/>
      <c r="B21" s="2"/>
      <c r="C21" s="2"/>
      <c r="D21" s="2"/>
      <c r="E21" s="2"/>
      <c r="F21" s="2"/>
      <c r="G21" s="2"/>
      <c r="H21" s="2"/>
      <c r="I21" s="2"/>
      <c r="J21" s="2"/>
      <c r="K21" s="2"/>
      <c r="L21" s="2"/>
      <c r="M21" s="2"/>
      <c r="N21" s="2"/>
      <c r="O21" s="2" t="str">
        <f t="shared" si="0"/>
        <v>PASS</v>
      </c>
    </row>
    <row r="22" spans="1:15">
      <c r="A22" s="2"/>
      <c r="B22" s="2"/>
      <c r="C22" s="2"/>
      <c r="D22" s="2"/>
      <c r="E22" s="2"/>
      <c r="F22" s="2"/>
      <c r="G22" s="2"/>
      <c r="H22" s="2"/>
      <c r="I22" s="2"/>
      <c r="J22" s="2"/>
      <c r="K22" s="2"/>
      <c r="L22" s="2"/>
      <c r="M22" s="2"/>
      <c r="N22" s="2"/>
      <c r="O22" s="2" t="str">
        <f t="shared" si="0"/>
        <v>PASS</v>
      </c>
    </row>
    <row r="23" spans="1:15">
      <c r="A23" s="2"/>
      <c r="B23" s="2"/>
      <c r="C23" s="2"/>
      <c r="D23" s="2"/>
      <c r="E23" s="2"/>
      <c r="F23" s="2"/>
      <c r="G23" s="2"/>
      <c r="H23" s="2"/>
      <c r="I23" s="2"/>
      <c r="J23" s="2"/>
      <c r="K23" s="2"/>
      <c r="L23" s="2"/>
      <c r="M23" s="2"/>
      <c r="N23" s="2"/>
      <c r="O23" s="2" t="str">
        <f t="shared" si="0"/>
        <v>PASS</v>
      </c>
    </row>
    <row r="24" spans="1:15">
      <c r="A24" s="2"/>
      <c r="B24" s="2"/>
      <c r="C24" s="2"/>
      <c r="D24" s="2"/>
      <c r="E24" s="2"/>
      <c r="F24" s="2"/>
      <c r="G24" s="2"/>
      <c r="H24" s="2"/>
      <c r="I24" s="2"/>
      <c r="J24" s="2"/>
      <c r="K24" s="2"/>
      <c r="L24" s="2"/>
      <c r="M24" s="2"/>
      <c r="N24" s="2"/>
      <c r="O24" s="2" t="str">
        <f t="shared" si="0"/>
        <v>PASS</v>
      </c>
    </row>
    <row r="25" spans="1:15">
      <c r="A25" s="2"/>
      <c r="B25" s="2"/>
      <c r="C25" s="2"/>
      <c r="D25" s="2"/>
      <c r="E25" s="2"/>
      <c r="F25" s="2"/>
      <c r="G25" s="2"/>
      <c r="H25" s="2"/>
      <c r="I25" s="2"/>
      <c r="J25" s="2"/>
      <c r="K25" s="2"/>
      <c r="L25" s="2"/>
      <c r="M25" s="2"/>
      <c r="N25" s="2"/>
      <c r="O25" s="2" t="str">
        <f t="shared" si="0"/>
        <v>PASS</v>
      </c>
    </row>
    <row r="26" spans="1:15">
      <c r="A26" s="2"/>
      <c r="B26" s="2"/>
      <c r="C26" s="2"/>
      <c r="D26" s="2"/>
      <c r="E26" s="2"/>
      <c r="F26" s="2"/>
      <c r="G26" s="2"/>
      <c r="H26" s="2"/>
      <c r="I26" s="2"/>
      <c r="J26" s="2"/>
      <c r="K26" s="2"/>
      <c r="L26" s="2"/>
      <c r="M26" s="2"/>
      <c r="N26" s="2"/>
      <c r="O26" s="2" t="str">
        <f t="shared" si="0"/>
        <v>PASS</v>
      </c>
    </row>
    <row r="27" spans="1:15">
      <c r="A27" s="2"/>
      <c r="B27" s="2"/>
      <c r="C27" s="2"/>
      <c r="D27" s="2"/>
      <c r="E27" s="2"/>
      <c r="F27" s="2"/>
      <c r="G27" s="2"/>
      <c r="H27" s="2"/>
      <c r="I27" s="2"/>
      <c r="J27" s="2"/>
      <c r="K27" s="2"/>
      <c r="L27" s="2"/>
      <c r="M27" s="2"/>
      <c r="N27" s="2"/>
      <c r="O27" s="2" t="str">
        <f t="shared" si="0"/>
        <v>PASS</v>
      </c>
    </row>
    <row r="28" spans="1:15">
      <c r="A28" s="2"/>
      <c r="B28" s="2"/>
      <c r="C28" s="2"/>
      <c r="D28" s="2"/>
      <c r="E28" s="2"/>
      <c r="F28" s="2"/>
      <c r="G28" s="2"/>
      <c r="H28" s="2"/>
      <c r="I28" s="2"/>
      <c r="J28" s="2"/>
      <c r="K28" s="2"/>
      <c r="L28" s="2"/>
      <c r="M28" s="2"/>
      <c r="N28" s="2"/>
      <c r="O28" s="2" t="str">
        <f t="shared" si="0"/>
        <v>PASS</v>
      </c>
    </row>
    <row r="29" spans="1:15">
      <c r="A29" s="2"/>
      <c r="B29" s="2"/>
      <c r="C29" s="2"/>
      <c r="D29" s="2"/>
      <c r="E29" s="2"/>
      <c r="F29" s="2"/>
      <c r="G29" s="2"/>
      <c r="H29" s="2"/>
      <c r="I29" s="2"/>
      <c r="J29" s="2"/>
      <c r="K29" s="2"/>
      <c r="L29" s="2"/>
      <c r="M29" s="2"/>
      <c r="N29" s="2"/>
      <c r="O29" s="2" t="str">
        <f t="shared" si="0"/>
        <v>PASS</v>
      </c>
    </row>
    <row r="30" spans="1:15">
      <c r="A30" s="2"/>
      <c r="B30" s="2"/>
      <c r="C30" s="2"/>
      <c r="D30" s="2"/>
      <c r="E30" s="2"/>
      <c r="F30" s="2"/>
      <c r="G30" s="2"/>
      <c r="H30" s="2"/>
      <c r="I30" s="2"/>
      <c r="J30" s="2"/>
      <c r="K30" s="2"/>
      <c r="L30" s="2"/>
      <c r="M30" s="2"/>
      <c r="N30" s="2"/>
      <c r="O30" s="2" t="str">
        <f t="shared" si="0"/>
        <v>PASS</v>
      </c>
    </row>
    <row r="31" spans="1:15">
      <c r="A31" s="2"/>
      <c r="B31" s="2"/>
      <c r="C31" s="2"/>
      <c r="D31" s="2"/>
      <c r="E31" s="2"/>
      <c r="F31" s="2"/>
      <c r="G31" s="2"/>
      <c r="H31" s="2"/>
      <c r="I31" s="2"/>
      <c r="J31" s="2"/>
      <c r="K31" s="2"/>
      <c r="L31" s="2"/>
      <c r="M31" s="2"/>
      <c r="N31" s="2"/>
      <c r="O31" s="2" t="str">
        <f t="shared" si="0"/>
        <v>PASS</v>
      </c>
    </row>
    <row r="32" spans="1:15">
      <c r="A32" s="2"/>
      <c r="B32" s="2"/>
      <c r="C32" s="2"/>
      <c r="D32" s="2"/>
      <c r="E32" s="2"/>
      <c r="F32" s="2"/>
      <c r="G32" s="2"/>
      <c r="H32" s="2"/>
      <c r="I32" s="2"/>
      <c r="J32" s="2"/>
      <c r="K32" s="2"/>
      <c r="L32" s="2"/>
      <c r="M32" s="2"/>
      <c r="N32" s="2"/>
      <c r="O32" s="2" t="str">
        <f t="shared" si="0"/>
        <v>PASS</v>
      </c>
    </row>
    <row r="33" spans="1:15">
      <c r="A33" s="2"/>
      <c r="B33" s="2"/>
      <c r="C33" s="2"/>
      <c r="D33" s="2"/>
      <c r="E33" s="2"/>
      <c r="F33" s="2"/>
      <c r="G33" s="2"/>
      <c r="H33" s="2"/>
      <c r="I33" s="2"/>
      <c r="J33" s="2"/>
      <c r="K33" s="2"/>
      <c r="L33" s="2"/>
      <c r="M33" s="2"/>
      <c r="N33" s="2"/>
      <c r="O33" s="2" t="str">
        <f t="shared" si="0"/>
        <v>PASS</v>
      </c>
    </row>
    <row r="34" spans="1:15">
      <c r="A34" s="2"/>
      <c r="B34" s="2"/>
      <c r="C34" s="2"/>
      <c r="D34" s="2"/>
      <c r="E34" s="2"/>
      <c r="F34" s="2"/>
      <c r="G34" s="2"/>
      <c r="H34" s="2"/>
      <c r="I34" s="2"/>
      <c r="J34" s="2"/>
      <c r="K34" s="2"/>
      <c r="L34" s="2"/>
      <c r="M34" s="2"/>
      <c r="N34" s="2"/>
      <c r="O34" s="2" t="str">
        <f t="shared" si="0"/>
        <v>PASS</v>
      </c>
    </row>
    <row r="35" spans="1:15">
      <c r="A35" s="2"/>
      <c r="B35" s="2"/>
      <c r="C35" s="2"/>
      <c r="D35" s="2"/>
      <c r="E35" s="2"/>
      <c r="F35" s="2"/>
      <c r="G35" s="2"/>
      <c r="H35" s="2"/>
      <c r="I35" s="2"/>
      <c r="J35" s="2"/>
      <c r="K35" s="2"/>
      <c r="L35" s="2"/>
      <c r="M35" s="2"/>
      <c r="N35" s="2"/>
      <c r="O35" s="2" t="str">
        <f t="shared" si="0"/>
        <v>PASS</v>
      </c>
    </row>
    <row r="36" spans="1:15">
      <c r="A36" s="2"/>
      <c r="B36" s="2"/>
      <c r="C36" s="2"/>
      <c r="D36" s="2"/>
      <c r="E36" s="2"/>
      <c r="F36" s="2"/>
      <c r="G36" s="2"/>
      <c r="H36" s="2"/>
      <c r="I36" s="2"/>
      <c r="J36" s="2"/>
      <c r="K36" s="2"/>
      <c r="L36" s="2"/>
      <c r="M36" s="2"/>
      <c r="N36" s="2"/>
      <c r="O36" s="2" t="str">
        <f t="shared" si="0"/>
        <v>PASS</v>
      </c>
    </row>
    <row r="37" spans="1:15">
      <c r="A37" s="2"/>
      <c r="B37" s="2"/>
      <c r="C37" s="2"/>
      <c r="D37" s="2"/>
      <c r="E37" s="2"/>
      <c r="F37" s="2"/>
      <c r="G37" s="2"/>
      <c r="H37" s="2"/>
      <c r="I37" s="2"/>
      <c r="J37" s="2"/>
      <c r="K37" s="2"/>
      <c r="L37" s="2"/>
      <c r="M37" s="2"/>
      <c r="N37" s="2"/>
      <c r="O37" s="2" t="str">
        <f t="shared" si="0"/>
        <v>PASS</v>
      </c>
    </row>
    <row r="38" spans="1:15">
      <c r="A38" s="2"/>
      <c r="B38" s="2"/>
      <c r="C38" s="2"/>
      <c r="D38" s="2"/>
      <c r="E38" s="2"/>
      <c r="F38" s="2"/>
      <c r="G38" s="2"/>
      <c r="H38" s="2"/>
      <c r="I38" s="2"/>
      <c r="J38" s="2"/>
      <c r="K38" s="2"/>
      <c r="L38" s="2"/>
      <c r="M38" s="2"/>
      <c r="N38" s="2"/>
      <c r="O38" s="2" t="str">
        <f t="shared" si="0"/>
        <v>PASS</v>
      </c>
    </row>
    <row r="39" spans="1:15">
      <c r="A39" s="2"/>
      <c r="B39" s="2"/>
      <c r="C39" s="2"/>
      <c r="D39" s="2"/>
      <c r="E39" s="2"/>
      <c r="F39" s="2"/>
      <c r="G39" s="2"/>
      <c r="H39" s="2"/>
      <c r="I39" s="2"/>
      <c r="J39" s="2"/>
      <c r="K39" s="2"/>
      <c r="L39" s="2"/>
      <c r="M39" s="2"/>
      <c r="N39" s="2"/>
      <c r="O39" s="2" t="str">
        <f t="shared" si="0"/>
        <v>PASS</v>
      </c>
    </row>
    <row r="40" spans="1:15">
      <c r="A40" s="2"/>
      <c r="B40" s="2"/>
      <c r="C40" s="2"/>
      <c r="D40" s="2"/>
      <c r="E40" s="2"/>
      <c r="F40" s="2"/>
      <c r="G40" s="2"/>
      <c r="H40" s="2"/>
      <c r="I40" s="2"/>
      <c r="J40" s="2"/>
      <c r="K40" s="2"/>
      <c r="L40" s="2"/>
      <c r="M40" s="2"/>
      <c r="N40" s="2"/>
      <c r="O40" s="2" t="str">
        <f t="shared" si="0"/>
        <v>PASS</v>
      </c>
    </row>
    <row r="41" spans="1:15">
      <c r="A41" s="2"/>
      <c r="B41" s="2"/>
      <c r="C41" s="2"/>
      <c r="D41" s="2"/>
      <c r="E41" s="2"/>
      <c r="F41" s="2"/>
      <c r="G41" s="2"/>
      <c r="H41" s="2"/>
      <c r="I41" s="2"/>
      <c r="J41" s="2"/>
      <c r="K41" s="2"/>
      <c r="L41" s="2"/>
      <c r="M41" s="2"/>
      <c r="N41" s="2"/>
      <c r="O41" s="2" t="str">
        <f t="shared" si="0"/>
        <v>PASS</v>
      </c>
    </row>
    <row r="42" spans="1:15">
      <c r="A42" s="2"/>
      <c r="B42" s="2"/>
      <c r="C42" s="2"/>
      <c r="D42" s="2"/>
      <c r="E42" s="2"/>
      <c r="F42" s="2"/>
      <c r="G42" s="2"/>
      <c r="H42" s="2"/>
      <c r="I42" s="2"/>
      <c r="J42" s="2"/>
      <c r="K42" s="2"/>
      <c r="L42" s="2"/>
      <c r="M42" s="2"/>
      <c r="N42" s="2"/>
      <c r="O42" s="2" t="str">
        <f t="shared" si="0"/>
        <v>PASS</v>
      </c>
    </row>
    <row r="43" spans="1:15">
      <c r="A43" s="2"/>
      <c r="B43" s="2"/>
      <c r="C43" s="2"/>
      <c r="D43" s="2"/>
      <c r="E43" s="2"/>
      <c r="F43" s="2"/>
      <c r="G43" s="2"/>
      <c r="H43" s="2"/>
      <c r="I43" s="2"/>
      <c r="J43" s="2"/>
      <c r="K43" s="2"/>
      <c r="L43" s="2"/>
      <c r="M43" s="2"/>
      <c r="N43" s="2"/>
      <c r="O43" s="2" t="str">
        <f t="shared" si="0"/>
        <v>PASS</v>
      </c>
    </row>
    <row r="44" spans="1:15">
      <c r="A44" s="2"/>
      <c r="B44" s="2"/>
      <c r="C44" s="2"/>
      <c r="D44" s="2"/>
      <c r="E44" s="2"/>
      <c r="F44" s="2"/>
      <c r="G44" s="2"/>
      <c r="H44" s="2"/>
      <c r="I44" s="2"/>
      <c r="J44" s="2"/>
      <c r="K44" s="2"/>
      <c r="L44" s="2"/>
      <c r="M44" s="2"/>
      <c r="N44" s="2"/>
      <c r="O44" s="2" t="str">
        <f t="shared" si="0"/>
        <v>PASS</v>
      </c>
    </row>
    <row r="45" spans="1:15">
      <c r="A45" s="2"/>
      <c r="B45" s="2"/>
      <c r="C45" s="2"/>
      <c r="D45" s="2"/>
      <c r="E45" s="2"/>
      <c r="F45" s="2"/>
      <c r="G45" s="2"/>
      <c r="H45" s="2"/>
      <c r="I45" s="2"/>
      <c r="J45" s="2"/>
      <c r="K45" s="2"/>
      <c r="L45" s="2"/>
      <c r="M45" s="2"/>
      <c r="N45" s="2"/>
      <c r="O45" s="2" t="str">
        <f t="shared" si="0"/>
        <v>PASS</v>
      </c>
    </row>
    <row r="46" spans="1:15">
      <c r="A46" s="2"/>
      <c r="B46" s="2"/>
      <c r="C46" s="2"/>
      <c r="D46" s="2"/>
      <c r="E46" s="2"/>
      <c r="F46" s="2"/>
      <c r="G46" s="2"/>
      <c r="H46" s="2"/>
      <c r="I46" s="2"/>
      <c r="J46" s="2"/>
      <c r="K46" s="2"/>
      <c r="L46" s="2"/>
      <c r="M46" s="2"/>
      <c r="N46" s="2"/>
      <c r="O46" s="2" t="str">
        <f t="shared" ref="O46:O77" si="1">IF(OR(E46&lt;D46,F46="No",G46="No",H46="No",I46="No",J46="No",K46="No",L46="No",M46="No"),"FAIL","PASS")</f>
        <v>PASS</v>
      </c>
    </row>
    <row r="47" spans="1:15">
      <c r="A47" s="2"/>
      <c r="B47" s="2"/>
      <c r="C47" s="2"/>
      <c r="D47" s="2"/>
      <c r="E47" s="2"/>
      <c r="F47" s="2"/>
      <c r="G47" s="2"/>
      <c r="H47" s="2"/>
      <c r="I47" s="2"/>
      <c r="J47" s="2"/>
      <c r="K47" s="2"/>
      <c r="L47" s="2"/>
      <c r="M47" s="2"/>
      <c r="N47" s="2"/>
      <c r="O47" s="2" t="str">
        <f t="shared" si="1"/>
        <v>PASS</v>
      </c>
    </row>
    <row r="48" spans="1:15">
      <c r="A48" s="2"/>
      <c r="B48" s="2"/>
      <c r="C48" s="2"/>
      <c r="D48" s="2"/>
      <c r="E48" s="2"/>
      <c r="F48" s="2"/>
      <c r="G48" s="2"/>
      <c r="H48" s="2"/>
      <c r="I48" s="2"/>
      <c r="J48" s="2"/>
      <c r="K48" s="2"/>
      <c r="L48" s="2"/>
      <c r="M48" s="2"/>
      <c r="N48" s="2"/>
      <c r="O48" s="2" t="str">
        <f t="shared" si="1"/>
        <v>PASS</v>
      </c>
    </row>
    <row r="49" spans="1:15">
      <c r="A49" s="2"/>
      <c r="B49" s="2"/>
      <c r="C49" s="2"/>
      <c r="D49" s="2"/>
      <c r="E49" s="2"/>
      <c r="F49" s="2"/>
      <c r="G49" s="2"/>
      <c r="H49" s="2"/>
      <c r="I49" s="2"/>
      <c r="J49" s="2"/>
      <c r="K49" s="2"/>
      <c r="L49" s="2"/>
      <c r="M49" s="2"/>
      <c r="N49" s="2"/>
      <c r="O49" s="2" t="str">
        <f t="shared" si="1"/>
        <v>PASS</v>
      </c>
    </row>
    <row r="50" spans="1:15">
      <c r="A50" s="2"/>
      <c r="B50" s="2"/>
      <c r="C50" s="2"/>
      <c r="D50" s="2"/>
      <c r="E50" s="2"/>
      <c r="F50" s="2"/>
      <c r="G50" s="2"/>
      <c r="H50" s="2"/>
      <c r="I50" s="2"/>
      <c r="J50" s="2"/>
      <c r="K50" s="2"/>
      <c r="L50" s="2"/>
      <c r="M50" s="2"/>
      <c r="N50" s="2"/>
      <c r="O50" s="2" t="str">
        <f t="shared" si="1"/>
        <v>PASS</v>
      </c>
    </row>
    <row r="51" spans="1:15">
      <c r="A51" s="2"/>
      <c r="B51" s="2"/>
      <c r="C51" s="2"/>
      <c r="D51" s="2"/>
      <c r="E51" s="2"/>
      <c r="F51" s="2"/>
      <c r="G51" s="2"/>
      <c r="H51" s="2"/>
      <c r="I51" s="2"/>
      <c r="J51" s="2"/>
      <c r="K51" s="2"/>
      <c r="L51" s="2"/>
      <c r="M51" s="2"/>
      <c r="N51" s="2"/>
      <c r="O51" s="2" t="str">
        <f t="shared" si="1"/>
        <v>PASS</v>
      </c>
    </row>
    <row r="52" spans="1:15">
      <c r="A52" s="2"/>
      <c r="B52" s="2"/>
      <c r="C52" s="2"/>
      <c r="D52" s="2"/>
      <c r="E52" s="2"/>
      <c r="F52" s="2"/>
      <c r="G52" s="2"/>
      <c r="H52" s="2"/>
      <c r="I52" s="2"/>
      <c r="J52" s="2"/>
      <c r="K52" s="2"/>
      <c r="L52" s="2"/>
      <c r="M52" s="2"/>
      <c r="N52" s="2"/>
      <c r="O52" s="2" t="str">
        <f t="shared" si="1"/>
        <v>PASS</v>
      </c>
    </row>
    <row r="53" spans="1:15">
      <c r="A53" s="2"/>
      <c r="B53" s="2"/>
      <c r="C53" s="2"/>
      <c r="D53" s="2"/>
      <c r="E53" s="2"/>
      <c r="F53" s="2"/>
      <c r="G53" s="2"/>
      <c r="H53" s="2"/>
      <c r="I53" s="2"/>
      <c r="J53" s="2"/>
      <c r="K53" s="2"/>
      <c r="L53" s="2"/>
      <c r="M53" s="2"/>
      <c r="N53" s="2"/>
      <c r="O53" s="2" t="str">
        <f t="shared" si="1"/>
        <v>PASS</v>
      </c>
    </row>
    <row r="54" spans="1:15">
      <c r="A54" s="2"/>
      <c r="B54" s="2"/>
      <c r="C54" s="2"/>
      <c r="D54" s="2"/>
      <c r="E54" s="2"/>
      <c r="F54" s="2"/>
      <c r="G54" s="2"/>
      <c r="H54" s="2"/>
      <c r="I54" s="2"/>
      <c r="J54" s="2"/>
      <c r="K54" s="2"/>
      <c r="L54" s="2"/>
      <c r="M54" s="2"/>
      <c r="N54" s="2"/>
      <c r="O54" s="2" t="str">
        <f t="shared" si="1"/>
        <v>PASS</v>
      </c>
    </row>
    <row r="55" spans="1:15">
      <c r="A55" s="2"/>
      <c r="B55" s="2"/>
      <c r="C55" s="2"/>
      <c r="D55" s="2"/>
      <c r="E55" s="2"/>
      <c r="F55" s="2"/>
      <c r="G55" s="2"/>
      <c r="H55" s="2"/>
      <c r="I55" s="2"/>
      <c r="J55" s="2"/>
      <c r="K55" s="2"/>
      <c r="L55" s="2"/>
      <c r="M55" s="2"/>
      <c r="N55" s="2"/>
      <c r="O55" s="2" t="str">
        <f t="shared" si="1"/>
        <v>PASS</v>
      </c>
    </row>
    <row r="56" spans="1:15">
      <c r="A56" s="2"/>
      <c r="B56" s="2"/>
      <c r="C56" s="2"/>
      <c r="D56" s="2"/>
      <c r="E56" s="2"/>
      <c r="F56" s="2"/>
      <c r="G56" s="2"/>
      <c r="H56" s="2"/>
      <c r="I56" s="2"/>
      <c r="J56" s="2"/>
      <c r="K56" s="2"/>
      <c r="L56" s="2"/>
      <c r="M56" s="2"/>
      <c r="N56" s="2"/>
      <c r="O56" s="2" t="str">
        <f t="shared" si="1"/>
        <v>PASS</v>
      </c>
    </row>
    <row r="57" spans="1:15">
      <c r="A57" s="2"/>
      <c r="B57" s="2"/>
      <c r="C57" s="2"/>
      <c r="D57" s="2"/>
      <c r="E57" s="2"/>
      <c r="F57" s="2"/>
      <c r="G57" s="2"/>
      <c r="H57" s="2"/>
      <c r="I57" s="2"/>
      <c r="J57" s="2"/>
      <c r="K57" s="2"/>
      <c r="L57" s="2"/>
      <c r="M57" s="2"/>
      <c r="N57" s="2"/>
      <c r="O57" s="2" t="str">
        <f t="shared" si="1"/>
        <v>PASS</v>
      </c>
    </row>
    <row r="58" spans="1:15">
      <c r="A58" s="2"/>
      <c r="B58" s="2"/>
      <c r="C58" s="2"/>
      <c r="D58" s="2"/>
      <c r="E58" s="2"/>
      <c r="F58" s="2"/>
      <c r="G58" s="2"/>
      <c r="H58" s="2"/>
      <c r="I58" s="2"/>
      <c r="J58" s="2"/>
      <c r="K58" s="2"/>
      <c r="L58" s="2"/>
      <c r="M58" s="2"/>
      <c r="N58" s="2"/>
      <c r="O58" s="2" t="str">
        <f t="shared" si="1"/>
        <v>PASS</v>
      </c>
    </row>
    <row r="59" spans="1:15">
      <c r="A59" s="2"/>
      <c r="B59" s="2"/>
      <c r="C59" s="2"/>
      <c r="D59" s="2"/>
      <c r="E59" s="2"/>
      <c r="F59" s="2"/>
      <c r="G59" s="2"/>
      <c r="H59" s="2"/>
      <c r="I59" s="2"/>
      <c r="J59" s="2"/>
      <c r="K59" s="2"/>
      <c r="L59" s="2"/>
      <c r="M59" s="2"/>
      <c r="N59" s="2"/>
      <c r="O59" s="2" t="str">
        <f t="shared" si="1"/>
        <v>PASS</v>
      </c>
    </row>
    <row r="60" spans="1:15">
      <c r="A60" s="2"/>
      <c r="B60" s="2"/>
      <c r="C60" s="2"/>
      <c r="D60" s="2"/>
      <c r="E60" s="2"/>
      <c r="F60" s="2"/>
      <c r="G60" s="2"/>
      <c r="H60" s="2"/>
      <c r="I60" s="2"/>
      <c r="J60" s="2"/>
      <c r="K60" s="2"/>
      <c r="L60" s="2"/>
      <c r="M60" s="2"/>
      <c r="N60" s="2"/>
      <c r="O60" s="2" t="str">
        <f t="shared" si="1"/>
        <v>PASS</v>
      </c>
    </row>
    <row r="61" spans="1:15">
      <c r="A61" s="2"/>
      <c r="B61" s="2"/>
      <c r="C61" s="2"/>
      <c r="D61" s="2"/>
      <c r="E61" s="2"/>
      <c r="F61" s="2"/>
      <c r="G61" s="2"/>
      <c r="H61" s="2"/>
      <c r="I61" s="2"/>
      <c r="J61" s="2"/>
      <c r="K61" s="2"/>
      <c r="L61" s="2"/>
      <c r="M61" s="2"/>
      <c r="N61" s="2"/>
      <c r="O61" s="2" t="str">
        <f t="shared" si="1"/>
        <v>PASS</v>
      </c>
    </row>
    <row r="62" spans="1:15">
      <c r="A62" s="2"/>
      <c r="B62" s="2"/>
      <c r="C62" s="2"/>
      <c r="D62" s="2"/>
      <c r="E62" s="2"/>
      <c r="F62" s="2"/>
      <c r="G62" s="2"/>
      <c r="H62" s="2"/>
      <c r="I62" s="2"/>
      <c r="J62" s="2"/>
      <c r="K62" s="2"/>
      <c r="L62" s="2"/>
      <c r="M62" s="2"/>
      <c r="N62" s="2"/>
      <c r="O62" s="2" t="str">
        <f t="shared" si="1"/>
        <v>PASS</v>
      </c>
    </row>
    <row r="63" spans="1:15">
      <c r="A63" s="2"/>
      <c r="B63" s="2"/>
      <c r="C63" s="2"/>
      <c r="D63" s="2"/>
      <c r="E63" s="2"/>
      <c r="F63" s="2"/>
      <c r="G63" s="2"/>
      <c r="H63" s="2"/>
      <c r="I63" s="2"/>
      <c r="J63" s="2"/>
      <c r="K63" s="2"/>
      <c r="L63" s="2"/>
      <c r="M63" s="2"/>
      <c r="N63" s="2"/>
      <c r="O63" s="2" t="str">
        <f t="shared" si="1"/>
        <v>PASS</v>
      </c>
    </row>
    <row r="64" spans="1:15">
      <c r="A64" s="2"/>
      <c r="B64" s="2"/>
      <c r="C64" s="2"/>
      <c r="D64" s="2"/>
      <c r="E64" s="2"/>
      <c r="F64" s="2"/>
      <c r="G64" s="2"/>
      <c r="H64" s="2"/>
      <c r="I64" s="2"/>
      <c r="J64" s="2"/>
      <c r="K64" s="2"/>
      <c r="L64" s="2"/>
      <c r="M64" s="2"/>
      <c r="N64" s="2"/>
      <c r="O64" s="2" t="str">
        <f t="shared" si="1"/>
        <v>PASS</v>
      </c>
    </row>
    <row r="65" spans="1:15">
      <c r="A65" s="2"/>
      <c r="B65" s="2"/>
      <c r="C65" s="2"/>
      <c r="D65" s="2"/>
      <c r="E65" s="2"/>
      <c r="F65" s="2"/>
      <c r="G65" s="2"/>
      <c r="H65" s="2"/>
      <c r="I65" s="2"/>
      <c r="J65" s="2"/>
      <c r="K65" s="2"/>
      <c r="L65" s="2"/>
      <c r="M65" s="2"/>
      <c r="N65" s="2"/>
      <c r="O65" s="2" t="str">
        <f t="shared" si="1"/>
        <v>PASS</v>
      </c>
    </row>
    <row r="66" spans="1:15">
      <c r="A66" s="2"/>
      <c r="B66" s="2"/>
      <c r="C66" s="2"/>
      <c r="D66" s="2"/>
      <c r="E66" s="2"/>
      <c r="F66" s="2"/>
      <c r="G66" s="2"/>
      <c r="H66" s="2"/>
      <c r="I66" s="2"/>
      <c r="J66" s="2"/>
      <c r="K66" s="2"/>
      <c r="L66" s="2"/>
      <c r="M66" s="2"/>
      <c r="N66" s="2"/>
      <c r="O66" s="2" t="str">
        <f t="shared" si="1"/>
        <v>PASS</v>
      </c>
    </row>
    <row r="67" spans="1:15">
      <c r="A67" s="2"/>
      <c r="B67" s="2"/>
      <c r="C67" s="2"/>
      <c r="D67" s="2"/>
      <c r="E67" s="2"/>
      <c r="F67" s="2"/>
      <c r="G67" s="2"/>
      <c r="H67" s="2"/>
      <c r="I67" s="2"/>
      <c r="J67" s="2"/>
      <c r="K67" s="2"/>
      <c r="L67" s="2"/>
      <c r="M67" s="2"/>
      <c r="N67" s="2"/>
      <c r="O67" s="2" t="str">
        <f t="shared" si="1"/>
        <v>PASS</v>
      </c>
    </row>
    <row r="68" spans="1:15">
      <c r="A68" s="2"/>
      <c r="B68" s="2"/>
      <c r="C68" s="2"/>
      <c r="D68" s="2"/>
      <c r="E68" s="2"/>
      <c r="F68" s="2"/>
      <c r="G68" s="2"/>
      <c r="H68" s="2"/>
      <c r="I68" s="2"/>
      <c r="J68" s="2"/>
      <c r="K68" s="2"/>
      <c r="L68" s="2"/>
      <c r="M68" s="2"/>
      <c r="N68" s="2"/>
      <c r="O68" s="2" t="str">
        <f t="shared" si="1"/>
        <v>PASS</v>
      </c>
    </row>
    <row r="69" spans="1:15">
      <c r="A69" s="2"/>
      <c r="B69" s="2"/>
      <c r="C69" s="2"/>
      <c r="D69" s="2"/>
      <c r="E69" s="2"/>
      <c r="F69" s="2"/>
      <c r="G69" s="2"/>
      <c r="H69" s="2"/>
      <c r="I69" s="2"/>
      <c r="J69" s="2"/>
      <c r="K69" s="2"/>
      <c r="L69" s="2"/>
      <c r="M69" s="2"/>
      <c r="N69" s="2"/>
      <c r="O69" s="2" t="str">
        <f t="shared" si="1"/>
        <v>PASS</v>
      </c>
    </row>
    <row r="70" spans="1:15">
      <c r="A70" s="2"/>
      <c r="B70" s="2"/>
      <c r="C70" s="2"/>
      <c r="D70" s="2"/>
      <c r="E70" s="2"/>
      <c r="F70" s="2"/>
      <c r="G70" s="2"/>
      <c r="H70" s="2"/>
      <c r="I70" s="2"/>
      <c r="J70" s="2"/>
      <c r="K70" s="2"/>
      <c r="L70" s="2"/>
      <c r="M70" s="2"/>
      <c r="N70" s="2"/>
      <c r="O70" s="2" t="str">
        <f t="shared" si="1"/>
        <v>PASS</v>
      </c>
    </row>
    <row r="71" spans="1:15">
      <c r="A71" s="2"/>
      <c r="B71" s="2"/>
      <c r="C71" s="2"/>
      <c r="D71" s="2"/>
      <c r="E71" s="2"/>
      <c r="F71" s="2"/>
      <c r="G71" s="2"/>
      <c r="H71" s="2"/>
      <c r="I71" s="2"/>
      <c r="J71" s="2"/>
      <c r="K71" s="2"/>
      <c r="L71" s="2"/>
      <c r="M71" s="2"/>
      <c r="N71" s="2"/>
      <c r="O71" s="2" t="str">
        <f t="shared" si="1"/>
        <v>PASS</v>
      </c>
    </row>
    <row r="72" spans="1:15">
      <c r="A72" s="2"/>
      <c r="B72" s="2"/>
      <c r="C72" s="2"/>
      <c r="D72" s="2"/>
      <c r="E72" s="2"/>
      <c r="F72" s="2"/>
      <c r="G72" s="2"/>
      <c r="H72" s="2"/>
      <c r="I72" s="2"/>
      <c r="J72" s="2"/>
      <c r="K72" s="2"/>
      <c r="L72" s="2"/>
      <c r="M72" s="2"/>
      <c r="N72" s="2"/>
      <c r="O72" s="2" t="str">
        <f t="shared" si="1"/>
        <v>PASS</v>
      </c>
    </row>
    <row r="73" spans="1:15">
      <c r="A73" s="2"/>
      <c r="B73" s="2"/>
      <c r="C73" s="2"/>
      <c r="D73" s="2"/>
      <c r="E73" s="2"/>
      <c r="F73" s="2"/>
      <c r="G73" s="2"/>
      <c r="H73" s="2"/>
      <c r="I73" s="2"/>
      <c r="J73" s="2"/>
      <c r="K73" s="2"/>
      <c r="L73" s="2"/>
      <c r="M73" s="2"/>
      <c r="N73" s="2"/>
      <c r="O73" s="2" t="str">
        <f t="shared" si="1"/>
        <v>PASS</v>
      </c>
    </row>
    <row r="74" spans="1:15">
      <c r="A74" s="2"/>
      <c r="B74" s="2"/>
      <c r="C74" s="2"/>
      <c r="D74" s="2"/>
      <c r="E74" s="2"/>
      <c r="F74" s="2"/>
      <c r="G74" s="2"/>
      <c r="H74" s="2"/>
      <c r="I74" s="2"/>
      <c r="J74" s="2"/>
      <c r="K74" s="2"/>
      <c r="L74" s="2"/>
      <c r="M74" s="2"/>
      <c r="N74" s="2"/>
      <c r="O74" s="2" t="str">
        <f t="shared" si="1"/>
        <v>PASS</v>
      </c>
    </row>
    <row r="75" spans="1:15">
      <c r="A75" s="2"/>
      <c r="B75" s="2"/>
      <c r="C75" s="2"/>
      <c r="D75" s="2"/>
      <c r="E75" s="2"/>
      <c r="F75" s="2"/>
      <c r="G75" s="2"/>
      <c r="H75" s="2"/>
      <c r="I75" s="2"/>
      <c r="J75" s="2"/>
      <c r="K75" s="2"/>
      <c r="L75" s="2"/>
      <c r="M75" s="2"/>
      <c r="N75" s="2"/>
      <c r="O75" s="2" t="str">
        <f t="shared" si="1"/>
        <v>PASS</v>
      </c>
    </row>
    <row r="76" spans="1:15">
      <c r="A76" s="2"/>
      <c r="B76" s="2"/>
      <c r="C76" s="2"/>
      <c r="D76" s="2"/>
      <c r="E76" s="2"/>
      <c r="F76" s="2"/>
      <c r="G76" s="2"/>
      <c r="H76" s="2"/>
      <c r="I76" s="2"/>
      <c r="J76" s="2"/>
      <c r="K76" s="2"/>
      <c r="L76" s="2"/>
      <c r="M76" s="2"/>
      <c r="N76" s="2"/>
      <c r="O76" s="2" t="str">
        <f t="shared" si="1"/>
        <v>PASS</v>
      </c>
    </row>
    <row r="77" spans="1:15">
      <c r="A77" s="2"/>
      <c r="B77" s="2"/>
      <c r="C77" s="2"/>
      <c r="D77" s="2"/>
      <c r="E77" s="2"/>
      <c r="F77" s="2"/>
      <c r="G77" s="2"/>
      <c r="H77" s="2"/>
      <c r="I77" s="2"/>
      <c r="J77" s="2"/>
      <c r="K77" s="2"/>
      <c r="L77" s="2"/>
      <c r="M77" s="2"/>
      <c r="N77" s="2"/>
      <c r="O77" s="2" t="str">
        <f t="shared" si="1"/>
        <v>PASS</v>
      </c>
    </row>
    <row r="78" spans="1:15">
      <c r="A78" s="2"/>
      <c r="B78" s="2"/>
      <c r="C78" s="2"/>
      <c r="D78" s="2"/>
      <c r="E78" s="2"/>
      <c r="F78" s="2"/>
      <c r="G78" s="2"/>
      <c r="H78" s="2"/>
      <c r="I78" s="2"/>
      <c r="J78" s="2"/>
      <c r="K78" s="2"/>
      <c r="L78" s="2"/>
      <c r="M78" s="2"/>
      <c r="N78" s="2"/>
      <c r="O78" s="2" t="str">
        <f t="shared" ref="O78:O113" si="2">IF(OR(E78&lt;D78,F78="No",G78="No",H78="No",I78="No",J78="No",K78="No",L78="No",M78="No"),"FAIL","PASS")</f>
        <v>PASS</v>
      </c>
    </row>
    <row r="79" spans="1:15">
      <c r="A79" s="2"/>
      <c r="B79" s="2"/>
      <c r="C79" s="2"/>
      <c r="D79" s="2"/>
      <c r="E79" s="2"/>
      <c r="F79" s="2"/>
      <c r="G79" s="2"/>
      <c r="H79" s="2"/>
      <c r="I79" s="2"/>
      <c r="J79" s="2"/>
      <c r="K79" s="2"/>
      <c r="L79" s="2"/>
      <c r="M79" s="2"/>
      <c r="N79" s="2"/>
      <c r="O79" s="2" t="str">
        <f t="shared" si="2"/>
        <v>PASS</v>
      </c>
    </row>
    <row r="80" spans="1:15">
      <c r="A80" s="2"/>
      <c r="B80" s="2"/>
      <c r="C80" s="2"/>
      <c r="D80" s="2"/>
      <c r="E80" s="2"/>
      <c r="F80" s="2"/>
      <c r="G80" s="2"/>
      <c r="H80" s="2"/>
      <c r="I80" s="2"/>
      <c r="J80" s="2"/>
      <c r="K80" s="2"/>
      <c r="L80" s="2"/>
      <c r="M80" s="2"/>
      <c r="N80" s="2"/>
      <c r="O80" s="2" t="str">
        <f t="shared" si="2"/>
        <v>PASS</v>
      </c>
    </row>
    <row r="81" spans="1:15">
      <c r="A81" s="2"/>
      <c r="B81" s="2"/>
      <c r="C81" s="2"/>
      <c r="D81" s="2"/>
      <c r="E81" s="2"/>
      <c r="F81" s="2"/>
      <c r="G81" s="2"/>
      <c r="H81" s="2"/>
      <c r="I81" s="2"/>
      <c r="J81" s="2"/>
      <c r="K81" s="2"/>
      <c r="L81" s="2"/>
      <c r="M81" s="2"/>
      <c r="N81" s="2"/>
      <c r="O81" s="2" t="str">
        <f t="shared" si="2"/>
        <v>PASS</v>
      </c>
    </row>
    <row r="82" spans="1:15">
      <c r="A82" s="2"/>
      <c r="B82" s="2"/>
      <c r="C82" s="2"/>
      <c r="D82" s="2"/>
      <c r="E82" s="2"/>
      <c r="F82" s="2"/>
      <c r="G82" s="2"/>
      <c r="H82" s="2"/>
      <c r="I82" s="2"/>
      <c r="J82" s="2"/>
      <c r="K82" s="2"/>
      <c r="L82" s="2"/>
      <c r="M82" s="2"/>
      <c r="N82" s="2"/>
      <c r="O82" s="2" t="str">
        <f t="shared" si="2"/>
        <v>PASS</v>
      </c>
    </row>
    <row r="83" spans="1:15">
      <c r="A83" s="2"/>
      <c r="B83" s="2"/>
      <c r="C83" s="2"/>
      <c r="D83" s="2"/>
      <c r="E83" s="2"/>
      <c r="F83" s="2"/>
      <c r="G83" s="2"/>
      <c r="H83" s="2"/>
      <c r="I83" s="2"/>
      <c r="J83" s="2"/>
      <c r="K83" s="2"/>
      <c r="L83" s="2"/>
      <c r="M83" s="2"/>
      <c r="N83" s="2"/>
      <c r="O83" s="2" t="str">
        <f t="shared" si="2"/>
        <v>PASS</v>
      </c>
    </row>
    <row r="84" spans="1:15">
      <c r="A84" s="2"/>
      <c r="B84" s="2"/>
      <c r="C84" s="2"/>
      <c r="D84" s="2"/>
      <c r="E84" s="2"/>
      <c r="F84" s="2"/>
      <c r="G84" s="2"/>
      <c r="H84" s="2"/>
      <c r="I84" s="2"/>
      <c r="J84" s="2"/>
      <c r="K84" s="2"/>
      <c r="L84" s="2"/>
      <c r="M84" s="2"/>
      <c r="N84" s="2"/>
      <c r="O84" s="2" t="str">
        <f t="shared" si="2"/>
        <v>PASS</v>
      </c>
    </row>
    <row r="85" spans="1:15">
      <c r="A85" s="2"/>
      <c r="B85" s="2"/>
      <c r="C85" s="2"/>
      <c r="D85" s="2"/>
      <c r="E85" s="2"/>
      <c r="F85" s="2"/>
      <c r="G85" s="2"/>
      <c r="H85" s="2"/>
      <c r="I85" s="2"/>
      <c r="J85" s="2"/>
      <c r="K85" s="2"/>
      <c r="L85" s="2"/>
      <c r="M85" s="2"/>
      <c r="N85" s="2"/>
      <c r="O85" s="2" t="str">
        <f t="shared" si="2"/>
        <v>PASS</v>
      </c>
    </row>
    <row r="86" spans="1:15">
      <c r="A86" s="2"/>
      <c r="B86" s="2"/>
      <c r="C86" s="2"/>
      <c r="D86" s="2"/>
      <c r="E86" s="2"/>
      <c r="F86" s="2"/>
      <c r="G86" s="2"/>
      <c r="H86" s="2"/>
      <c r="I86" s="2"/>
      <c r="J86" s="2"/>
      <c r="K86" s="2"/>
      <c r="L86" s="2"/>
      <c r="M86" s="2"/>
      <c r="N86" s="2"/>
      <c r="O86" s="2" t="str">
        <f t="shared" si="2"/>
        <v>PASS</v>
      </c>
    </row>
    <row r="87" spans="1:15">
      <c r="A87" s="2"/>
      <c r="B87" s="2"/>
      <c r="C87" s="2"/>
      <c r="D87" s="2"/>
      <c r="E87" s="2"/>
      <c r="F87" s="2"/>
      <c r="G87" s="2"/>
      <c r="H87" s="2"/>
      <c r="I87" s="2"/>
      <c r="J87" s="2"/>
      <c r="K87" s="2"/>
      <c r="L87" s="2"/>
      <c r="M87" s="2"/>
      <c r="N87" s="2"/>
      <c r="O87" s="2" t="str">
        <f t="shared" si="2"/>
        <v>PASS</v>
      </c>
    </row>
    <row r="88" spans="1:15">
      <c r="A88" s="2"/>
      <c r="B88" s="2"/>
      <c r="C88" s="2"/>
      <c r="D88" s="2"/>
      <c r="E88" s="2"/>
      <c r="F88" s="2"/>
      <c r="G88" s="2"/>
      <c r="H88" s="2"/>
      <c r="I88" s="2"/>
      <c r="J88" s="2"/>
      <c r="K88" s="2"/>
      <c r="L88" s="2"/>
      <c r="M88" s="2"/>
      <c r="N88" s="2"/>
      <c r="O88" s="2" t="str">
        <f t="shared" si="2"/>
        <v>PASS</v>
      </c>
    </row>
    <row r="89" spans="1:15">
      <c r="A89" s="2"/>
      <c r="B89" s="2"/>
      <c r="C89" s="2"/>
      <c r="D89" s="2"/>
      <c r="E89" s="2"/>
      <c r="F89" s="2"/>
      <c r="G89" s="2"/>
      <c r="H89" s="2"/>
      <c r="I89" s="2"/>
      <c r="J89" s="2"/>
      <c r="K89" s="2"/>
      <c r="L89" s="2"/>
      <c r="M89" s="2"/>
      <c r="N89" s="2"/>
      <c r="O89" s="2" t="str">
        <f t="shared" si="2"/>
        <v>PASS</v>
      </c>
    </row>
    <row r="90" spans="1:15">
      <c r="A90" s="2"/>
      <c r="B90" s="2"/>
      <c r="C90" s="2"/>
      <c r="D90" s="2"/>
      <c r="E90" s="2"/>
      <c r="F90" s="2"/>
      <c r="G90" s="2"/>
      <c r="H90" s="2"/>
      <c r="I90" s="2"/>
      <c r="J90" s="2"/>
      <c r="K90" s="2"/>
      <c r="L90" s="2"/>
      <c r="M90" s="2"/>
      <c r="N90" s="2"/>
      <c r="O90" s="2" t="str">
        <f t="shared" si="2"/>
        <v>PASS</v>
      </c>
    </row>
    <row r="91" spans="1:15">
      <c r="A91" s="2"/>
      <c r="B91" s="2"/>
      <c r="C91" s="2"/>
      <c r="D91" s="2"/>
      <c r="E91" s="2"/>
      <c r="F91" s="2"/>
      <c r="G91" s="2"/>
      <c r="H91" s="2"/>
      <c r="I91" s="2"/>
      <c r="J91" s="2"/>
      <c r="K91" s="2"/>
      <c r="L91" s="2"/>
      <c r="M91" s="2"/>
      <c r="N91" s="2"/>
      <c r="O91" s="2" t="str">
        <f t="shared" si="2"/>
        <v>PASS</v>
      </c>
    </row>
    <row r="92" spans="1:15">
      <c r="A92" s="2"/>
      <c r="B92" s="2"/>
      <c r="C92" s="2"/>
      <c r="D92" s="2"/>
      <c r="E92" s="2"/>
      <c r="F92" s="2"/>
      <c r="G92" s="2"/>
      <c r="H92" s="2"/>
      <c r="I92" s="2"/>
      <c r="J92" s="2"/>
      <c r="K92" s="2"/>
      <c r="L92" s="2"/>
      <c r="M92" s="2"/>
      <c r="N92" s="2"/>
      <c r="O92" s="2" t="str">
        <f t="shared" si="2"/>
        <v>PASS</v>
      </c>
    </row>
    <row r="93" spans="1:15">
      <c r="A93" s="2"/>
      <c r="B93" s="2"/>
      <c r="C93" s="2"/>
      <c r="D93" s="2"/>
      <c r="E93" s="2"/>
      <c r="F93" s="2"/>
      <c r="G93" s="2"/>
      <c r="H93" s="2"/>
      <c r="I93" s="2"/>
      <c r="J93" s="2"/>
      <c r="K93" s="2"/>
      <c r="L93" s="2"/>
      <c r="M93" s="2"/>
      <c r="N93" s="2"/>
      <c r="O93" s="2" t="str">
        <f t="shared" si="2"/>
        <v>PASS</v>
      </c>
    </row>
    <row r="94" spans="1:15">
      <c r="A94" s="2"/>
      <c r="B94" s="2"/>
      <c r="C94" s="2"/>
      <c r="D94" s="2"/>
      <c r="E94" s="2"/>
      <c r="F94" s="2"/>
      <c r="G94" s="2"/>
      <c r="H94" s="2"/>
      <c r="I94" s="2"/>
      <c r="J94" s="2"/>
      <c r="K94" s="2"/>
      <c r="L94" s="2"/>
      <c r="M94" s="2"/>
      <c r="N94" s="2"/>
      <c r="O94" s="2" t="str">
        <f t="shared" si="2"/>
        <v>PASS</v>
      </c>
    </row>
    <row r="95" spans="1:15">
      <c r="A95" s="2"/>
      <c r="B95" s="2"/>
      <c r="C95" s="2"/>
      <c r="D95" s="2"/>
      <c r="E95" s="2"/>
      <c r="F95" s="2"/>
      <c r="G95" s="2"/>
      <c r="H95" s="2"/>
      <c r="I95" s="2"/>
      <c r="J95" s="2"/>
      <c r="K95" s="2"/>
      <c r="L95" s="2"/>
      <c r="M95" s="2"/>
      <c r="N95" s="2"/>
      <c r="O95" s="2" t="str">
        <f t="shared" si="2"/>
        <v>PASS</v>
      </c>
    </row>
    <row r="96" spans="1:15">
      <c r="A96" s="2"/>
      <c r="B96" s="2"/>
      <c r="C96" s="2"/>
      <c r="D96" s="2"/>
      <c r="E96" s="2"/>
      <c r="F96" s="2"/>
      <c r="G96" s="2"/>
      <c r="H96" s="2"/>
      <c r="I96" s="2"/>
      <c r="J96" s="2"/>
      <c r="K96" s="2"/>
      <c r="L96" s="2"/>
      <c r="M96" s="2"/>
      <c r="N96" s="2"/>
      <c r="O96" s="2" t="str">
        <f t="shared" si="2"/>
        <v>PASS</v>
      </c>
    </row>
    <row r="97" spans="1:15">
      <c r="A97" s="2"/>
      <c r="B97" s="2"/>
      <c r="C97" s="2"/>
      <c r="D97" s="2"/>
      <c r="E97" s="2"/>
      <c r="F97" s="2"/>
      <c r="G97" s="2"/>
      <c r="H97" s="2"/>
      <c r="I97" s="2"/>
      <c r="J97" s="2"/>
      <c r="K97" s="2"/>
      <c r="L97" s="2"/>
      <c r="M97" s="2"/>
      <c r="N97" s="2"/>
      <c r="O97" s="2" t="str">
        <f t="shared" si="2"/>
        <v>PASS</v>
      </c>
    </row>
    <row r="98" spans="1:15">
      <c r="A98" s="2"/>
      <c r="B98" s="2"/>
      <c r="C98" s="2"/>
      <c r="D98" s="2"/>
      <c r="E98" s="2"/>
      <c r="F98" s="2"/>
      <c r="G98" s="2"/>
      <c r="H98" s="2"/>
      <c r="I98" s="2"/>
      <c r="J98" s="2"/>
      <c r="K98" s="2"/>
      <c r="L98" s="2"/>
      <c r="M98" s="2"/>
      <c r="N98" s="2"/>
      <c r="O98" s="2" t="str">
        <f t="shared" si="2"/>
        <v>PASS</v>
      </c>
    </row>
    <row r="99" spans="1:15">
      <c r="A99" s="2"/>
      <c r="B99" s="2"/>
      <c r="C99" s="2"/>
      <c r="D99" s="2"/>
      <c r="E99" s="2"/>
      <c r="F99" s="2"/>
      <c r="G99" s="2"/>
      <c r="H99" s="2"/>
      <c r="I99" s="2"/>
      <c r="J99" s="2"/>
      <c r="K99" s="2"/>
      <c r="L99" s="2"/>
      <c r="M99" s="2"/>
      <c r="N99" s="2"/>
      <c r="O99" s="2" t="str">
        <f t="shared" si="2"/>
        <v>PASS</v>
      </c>
    </row>
    <row r="100" spans="1:15">
      <c r="A100" s="2"/>
      <c r="B100" s="2"/>
      <c r="C100" s="2"/>
      <c r="D100" s="2"/>
      <c r="E100" s="2"/>
      <c r="F100" s="2"/>
      <c r="G100" s="2"/>
      <c r="H100" s="2"/>
      <c r="I100" s="2"/>
      <c r="J100" s="2"/>
      <c r="K100" s="2"/>
      <c r="L100" s="2"/>
      <c r="M100" s="2"/>
      <c r="N100" s="2"/>
      <c r="O100" s="2" t="str">
        <f t="shared" si="2"/>
        <v>PASS</v>
      </c>
    </row>
    <row r="101" spans="1:15">
      <c r="A101" s="2"/>
      <c r="B101" s="2"/>
      <c r="C101" s="2"/>
      <c r="D101" s="2"/>
      <c r="E101" s="2"/>
      <c r="F101" s="2"/>
      <c r="G101" s="2"/>
      <c r="H101" s="2"/>
      <c r="I101" s="2"/>
      <c r="J101" s="2"/>
      <c r="K101" s="2"/>
      <c r="L101" s="2"/>
      <c r="M101" s="2"/>
      <c r="N101" s="2"/>
      <c r="O101" s="2" t="str">
        <f t="shared" si="2"/>
        <v>PASS</v>
      </c>
    </row>
    <row r="102" spans="1:15">
      <c r="A102" s="2"/>
      <c r="B102" s="2"/>
      <c r="C102" s="2"/>
      <c r="D102" s="2"/>
      <c r="E102" s="2"/>
      <c r="F102" s="2"/>
      <c r="G102" s="2"/>
      <c r="H102" s="2"/>
      <c r="I102" s="2"/>
      <c r="J102" s="2"/>
      <c r="K102" s="2"/>
      <c r="L102" s="2"/>
      <c r="M102" s="2"/>
      <c r="N102" s="2"/>
      <c r="O102" s="2" t="str">
        <f t="shared" si="2"/>
        <v>PASS</v>
      </c>
    </row>
    <row r="103" spans="1:15">
      <c r="A103" s="2"/>
      <c r="B103" s="2"/>
      <c r="C103" s="2"/>
      <c r="D103" s="2"/>
      <c r="E103" s="2"/>
      <c r="F103" s="2"/>
      <c r="G103" s="2"/>
      <c r="H103" s="2"/>
      <c r="I103" s="2"/>
      <c r="J103" s="2"/>
      <c r="K103" s="2"/>
      <c r="L103" s="2"/>
      <c r="M103" s="2"/>
      <c r="N103" s="2"/>
      <c r="O103" s="2" t="str">
        <f t="shared" si="2"/>
        <v>PASS</v>
      </c>
    </row>
    <row r="104" spans="1:15">
      <c r="A104" s="2"/>
      <c r="B104" s="2"/>
      <c r="C104" s="2"/>
      <c r="D104" s="2"/>
      <c r="E104" s="2"/>
      <c r="F104" s="2"/>
      <c r="G104" s="2"/>
      <c r="H104" s="2"/>
      <c r="I104" s="2"/>
      <c r="J104" s="2"/>
      <c r="K104" s="2"/>
      <c r="L104" s="2"/>
      <c r="M104" s="2"/>
      <c r="N104" s="2"/>
      <c r="O104" s="2" t="str">
        <f t="shared" si="2"/>
        <v>PASS</v>
      </c>
    </row>
    <row r="105" spans="1:15">
      <c r="A105" s="2"/>
      <c r="B105" s="2"/>
      <c r="C105" s="2"/>
      <c r="D105" s="2"/>
      <c r="E105" s="2"/>
      <c r="F105" s="2"/>
      <c r="G105" s="2"/>
      <c r="H105" s="2"/>
      <c r="I105" s="2"/>
      <c r="J105" s="2"/>
      <c r="K105" s="2"/>
      <c r="L105" s="2"/>
      <c r="M105" s="2"/>
      <c r="N105" s="2"/>
      <c r="O105" s="2" t="str">
        <f t="shared" si="2"/>
        <v>PASS</v>
      </c>
    </row>
    <row r="106" spans="1:15">
      <c r="A106" s="2"/>
      <c r="B106" s="2"/>
      <c r="C106" s="2"/>
      <c r="D106" s="2"/>
      <c r="E106" s="2"/>
      <c r="F106" s="2"/>
      <c r="G106" s="2"/>
      <c r="H106" s="2"/>
      <c r="I106" s="2"/>
      <c r="J106" s="2"/>
      <c r="K106" s="2"/>
      <c r="L106" s="2"/>
      <c r="M106" s="2"/>
      <c r="N106" s="2"/>
      <c r="O106" s="2" t="str">
        <f t="shared" si="2"/>
        <v>PASS</v>
      </c>
    </row>
    <row r="107" spans="1:15">
      <c r="A107" s="2"/>
      <c r="B107" s="2"/>
      <c r="C107" s="2"/>
      <c r="D107" s="2"/>
      <c r="E107" s="2"/>
      <c r="F107" s="2"/>
      <c r="G107" s="2"/>
      <c r="H107" s="2"/>
      <c r="I107" s="2"/>
      <c r="J107" s="2"/>
      <c r="K107" s="2"/>
      <c r="L107" s="2"/>
      <c r="M107" s="2"/>
      <c r="N107" s="2"/>
      <c r="O107" s="2" t="str">
        <f t="shared" si="2"/>
        <v>PASS</v>
      </c>
    </row>
    <row r="108" spans="1:15">
      <c r="A108" s="2"/>
      <c r="B108" s="2"/>
      <c r="C108" s="2"/>
      <c r="D108" s="2"/>
      <c r="E108" s="2"/>
      <c r="F108" s="2"/>
      <c r="G108" s="2"/>
      <c r="H108" s="2"/>
      <c r="I108" s="2"/>
      <c r="J108" s="2"/>
      <c r="K108" s="2"/>
      <c r="L108" s="2"/>
      <c r="M108" s="2"/>
      <c r="N108" s="2"/>
      <c r="O108" s="2" t="str">
        <f t="shared" si="2"/>
        <v>PASS</v>
      </c>
    </row>
    <row r="109" spans="1:15">
      <c r="A109" s="2"/>
      <c r="B109" s="2"/>
      <c r="C109" s="2"/>
      <c r="D109" s="2"/>
      <c r="E109" s="2"/>
      <c r="F109" s="2"/>
      <c r="G109" s="2"/>
      <c r="H109" s="2"/>
      <c r="I109" s="2"/>
      <c r="J109" s="2"/>
      <c r="K109" s="2"/>
      <c r="L109" s="2"/>
      <c r="M109" s="2"/>
      <c r="N109" s="2"/>
      <c r="O109" s="2" t="str">
        <f t="shared" si="2"/>
        <v>PASS</v>
      </c>
    </row>
    <row r="110" spans="1:15">
      <c r="A110" s="2"/>
      <c r="B110" s="2"/>
      <c r="C110" s="2"/>
      <c r="D110" s="2"/>
      <c r="E110" s="2"/>
      <c r="F110" s="2"/>
      <c r="G110" s="2"/>
      <c r="H110" s="2"/>
      <c r="I110" s="2"/>
      <c r="J110" s="2"/>
      <c r="K110" s="2"/>
      <c r="L110" s="2"/>
      <c r="M110" s="2"/>
      <c r="N110" s="2"/>
      <c r="O110" s="2" t="str">
        <f t="shared" si="2"/>
        <v>PASS</v>
      </c>
    </row>
    <row r="111" spans="1:15">
      <c r="A111" s="2"/>
      <c r="B111" s="2"/>
      <c r="C111" s="2"/>
      <c r="D111" s="2"/>
      <c r="E111" s="2"/>
      <c r="F111" s="2"/>
      <c r="G111" s="2"/>
      <c r="H111" s="2"/>
      <c r="I111" s="2"/>
      <c r="J111" s="2"/>
      <c r="K111" s="2"/>
      <c r="L111" s="2"/>
      <c r="M111" s="2"/>
      <c r="N111" s="2"/>
      <c r="O111" s="2" t="str">
        <f t="shared" si="2"/>
        <v>PASS</v>
      </c>
    </row>
    <row r="112" spans="1:15">
      <c r="A112" s="2"/>
      <c r="B112" s="2"/>
      <c r="C112" s="2"/>
      <c r="D112" s="2"/>
      <c r="E112" s="2"/>
      <c r="F112" s="2"/>
      <c r="G112" s="2"/>
      <c r="H112" s="2"/>
      <c r="I112" s="2"/>
      <c r="J112" s="2"/>
      <c r="K112" s="2"/>
      <c r="L112" s="2"/>
      <c r="M112" s="2"/>
      <c r="N112" s="2"/>
      <c r="O112" s="2" t="str">
        <f t="shared" si="2"/>
        <v>PASS</v>
      </c>
    </row>
    <row r="113" spans="1:15">
      <c r="A113" s="2"/>
      <c r="B113" s="2"/>
      <c r="C113" s="2"/>
      <c r="D113" s="2"/>
      <c r="E113" s="2"/>
      <c r="F113" s="2"/>
      <c r="G113" s="2"/>
      <c r="H113" s="2"/>
      <c r="I113" s="2"/>
      <c r="J113" s="2"/>
      <c r="K113" s="2"/>
      <c r="L113" s="2"/>
      <c r="M113" s="2"/>
      <c r="N113" s="2"/>
      <c r="O113" s="2" t="str">
        <f t="shared" si="2"/>
        <v>PASS</v>
      </c>
    </row>
  </sheetData>
  <mergeCells count="2">
    <mergeCell ref="A1:O1"/>
    <mergeCell ref="A2:O2"/>
  </mergeCells>
  <dataValidations count="2">
    <dataValidation type="list" sqref="B7" xr:uid="{00000000-0002-0000-0E00-000000000000}">
      <formula1>"Yes,No"</formula1>
    </dataValidation>
    <dataValidation type="list" sqref="F14:M113" xr:uid="{00000000-0002-0000-0E00-000001000000}">
      <formula1>"Yes,No,N/A"</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K141"/>
  <sheetViews>
    <sheetView workbookViewId="0"/>
  </sheetViews>
  <sheetFormatPr defaultRowHeight="14"/>
  <cols>
    <col min="1" max="5" width="28" customWidth="1"/>
    <col min="8" max="25" width="15" customWidth="1"/>
    <col min="26" max="35" width="20" customWidth="1"/>
  </cols>
  <sheetData>
    <row r="1" spans="1:35" ht="20">
      <c r="A1" s="6" t="s">
        <v>339</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ht="14.5">
      <c r="A2" s="8" t="s">
        <v>106</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row>
    <row r="4" spans="1:35">
      <c r="A4" s="3" t="s">
        <v>107</v>
      </c>
      <c r="B4" t="s">
        <v>340</v>
      </c>
      <c r="D4" s="9" t="s">
        <v>109</v>
      </c>
      <c r="E4" s="9"/>
      <c r="F4" s="9"/>
      <c r="G4" s="9"/>
      <c r="H4" s="9"/>
    </row>
    <row r="5" spans="1:35" ht="28">
      <c r="A5" s="3" t="s">
        <v>110</v>
      </c>
      <c r="D5" s="4" t="s">
        <v>6</v>
      </c>
      <c r="E5" s="4" t="s">
        <v>111</v>
      </c>
      <c r="F5" s="4"/>
      <c r="G5" s="4"/>
      <c r="H5" s="4"/>
    </row>
    <row r="6" spans="1:35" ht="42">
      <c r="A6" s="3" t="s">
        <v>112</v>
      </c>
      <c r="D6" s="4" t="s">
        <v>12</v>
      </c>
      <c r="E6" s="4" t="s">
        <v>113</v>
      </c>
      <c r="F6" s="4"/>
      <c r="G6" s="4"/>
      <c r="H6" s="4"/>
    </row>
    <row r="7" spans="1:35" ht="42">
      <c r="A7" s="3" t="s">
        <v>114</v>
      </c>
      <c r="D7" s="4" t="s">
        <v>18</v>
      </c>
      <c r="E7" s="4" t="s">
        <v>115</v>
      </c>
      <c r="F7" s="4"/>
      <c r="G7" s="4"/>
      <c r="H7" s="4"/>
    </row>
    <row r="8" spans="1:35" ht="42">
      <c r="A8" s="3" t="s">
        <v>116</v>
      </c>
      <c r="B8">
        <f>COUNTA(A18:A117)</f>
        <v>0</v>
      </c>
      <c r="D8" s="4" t="s">
        <v>23</v>
      </c>
      <c r="E8" s="4" t="s">
        <v>117</v>
      </c>
      <c r="F8" s="4"/>
      <c r="G8" s="4"/>
      <c r="H8" s="4"/>
    </row>
    <row r="9" spans="1:35">
      <c r="A9" s="3" t="s">
        <v>6</v>
      </c>
      <c r="B9">
        <f>COUNTIF(Z18:Z117,"Low")</f>
        <v>0</v>
      </c>
    </row>
    <row r="10" spans="1:35">
      <c r="A10" s="3" t="s">
        <v>12</v>
      </c>
      <c r="B10">
        <f>COUNTIF(Z18:Z117,"Medium")</f>
        <v>0</v>
      </c>
    </row>
    <row r="11" spans="1:35">
      <c r="A11" s="3" t="s">
        <v>18</v>
      </c>
      <c r="B11">
        <f>COUNTIF(Z18:Z117,"High")</f>
        <v>0</v>
      </c>
    </row>
    <row r="12" spans="1:35">
      <c r="A12" s="3" t="s">
        <v>23</v>
      </c>
      <c r="B12">
        <f>COUNTIF(Z18:Z117,"Very High")</f>
        <v>0</v>
      </c>
    </row>
    <row r="13" spans="1:35">
      <c r="A13" s="3" t="s">
        <v>118</v>
      </c>
      <c r="B13">
        <f>COUNTIF(AD18:AD117,"Yes")</f>
        <v>0</v>
      </c>
    </row>
    <row r="14" spans="1:35">
      <c r="A14" s="3" t="s">
        <v>119</v>
      </c>
    </row>
    <row r="17" spans="1:37" ht="28">
      <c r="A17" s="1" t="s">
        <v>120</v>
      </c>
      <c r="B17" s="1" t="s">
        <v>121</v>
      </c>
      <c r="C17" s="1" t="s">
        <v>2</v>
      </c>
      <c r="D17" s="1" t="s">
        <v>75</v>
      </c>
      <c r="E17" s="1" t="s">
        <v>122</v>
      </c>
      <c r="F17" s="1" t="s">
        <v>123</v>
      </c>
      <c r="G17" s="1" t="s">
        <v>110</v>
      </c>
      <c r="H17" s="1" t="s">
        <v>124</v>
      </c>
      <c r="I17" s="1" t="s">
        <v>125</v>
      </c>
      <c r="J17" s="1" t="s">
        <v>126</v>
      </c>
      <c r="K17" s="1" t="s">
        <v>127</v>
      </c>
      <c r="L17" s="1" t="s">
        <v>128</v>
      </c>
      <c r="M17" s="1" t="s">
        <v>129</v>
      </c>
      <c r="N17" s="1" t="s">
        <v>130</v>
      </c>
      <c r="O17" s="1" t="s">
        <v>131</v>
      </c>
      <c r="P17" s="1" t="s">
        <v>132</v>
      </c>
      <c r="Q17" s="1" t="s">
        <v>133</v>
      </c>
      <c r="R17" s="1" t="s">
        <v>134</v>
      </c>
      <c r="S17" s="1" t="s">
        <v>135</v>
      </c>
      <c r="T17" s="1" t="s">
        <v>136</v>
      </c>
      <c r="U17" s="1" t="s">
        <v>137</v>
      </c>
      <c r="V17" s="1" t="s">
        <v>138</v>
      </c>
      <c r="W17" s="1" t="s">
        <v>139</v>
      </c>
      <c r="X17" s="1" t="s">
        <v>140</v>
      </c>
      <c r="Y17" s="1" t="s">
        <v>141</v>
      </c>
      <c r="Z17" s="1" t="s">
        <v>142</v>
      </c>
      <c r="AA17" s="1" t="s">
        <v>143</v>
      </c>
      <c r="AB17" s="1" t="s">
        <v>144</v>
      </c>
      <c r="AC17" s="1" t="s">
        <v>3</v>
      </c>
      <c r="AD17" s="1" t="s">
        <v>145</v>
      </c>
      <c r="AE17" s="1" t="s">
        <v>146</v>
      </c>
      <c r="AF17" s="1" t="s">
        <v>147</v>
      </c>
      <c r="AG17" s="1" t="s">
        <v>148</v>
      </c>
      <c r="AH17" s="1" t="s">
        <v>149</v>
      </c>
      <c r="AI17" s="1" t="s">
        <v>150</v>
      </c>
      <c r="AJ17" t="s">
        <v>151</v>
      </c>
      <c r="AK17" t="s">
        <v>152</v>
      </c>
    </row>
    <row r="18" spans="1:37">
      <c r="A18" s="2"/>
      <c r="B18" s="2"/>
      <c r="C18" s="2"/>
      <c r="D18" s="2"/>
      <c r="E18" s="5"/>
      <c r="F18" s="2"/>
      <c r="G18" s="5"/>
      <c r="H18" s="2"/>
      <c r="I18" s="2"/>
      <c r="J18" s="2"/>
      <c r="K18" s="2"/>
      <c r="L18" s="2"/>
      <c r="M18" s="2"/>
      <c r="N18" s="2"/>
      <c r="O18" s="2"/>
      <c r="P18" s="2"/>
      <c r="Q18" s="2"/>
      <c r="R18" s="2"/>
      <c r="S18" s="2"/>
      <c r="T18" s="2"/>
      <c r="U18" s="2"/>
      <c r="V18" s="2"/>
      <c r="W18" s="2"/>
      <c r="X18" s="2"/>
      <c r="Y18" s="2"/>
      <c r="Z18" s="2" t="str">
        <f t="shared" ref="Z18:Z49" si="0">IF(COUNTA(H18:Y18)=0,"",IF(COUNTIF(H18:Y18,"Very High")&gt;0,"Very High",IF(COUNTIF(H18:Y18,"High")&gt;0,"High",IF(COUNTIF(H18:Y18,"Medium")&gt;0,"Medium","Low"))))</f>
        <v/>
      </c>
      <c r="AA18" s="2" t="str">
        <f t="shared" ref="AA18:AA49" si="1">IF(Z18="","",IF(Z18="Low","Routine planned support",IF(Z18="Medium","One staff support/supervision likely",IF(Z18="High","Two staff/review staffing and equipment","Manager review: multiple staff/specialist support"))))</f>
        <v/>
      </c>
      <c r="AB18" s="2" t="str">
        <f t="shared" ref="AB18:AB49" si="2">IF(Z18="","",IF(OR(Z18="High",Z18="Very High",W18="High",W18="Very High"),"Night staffing and evacuation review required","Routine night checks as per care plan"))</f>
        <v/>
      </c>
      <c r="AC18" s="2" t="str">
        <f t="shared" ref="AC18:AC49" si="3">IF(X18="Very High","Specialist PEEP / equipment",IF(OR(X18="High",Z18="High"),"Evacuation sheet/chair or wheelchair per PEEP",IF(OR(X18="Medium",Z18="Medium"),"Walking aid/wheelchair support per PEEP","Walks with direction")))</f>
        <v>Walks with direction</v>
      </c>
      <c r="AD18" s="2"/>
      <c r="AE18" s="5"/>
      <c r="AF18" s="2"/>
      <c r="AG18" s="2"/>
      <c r="AH18" s="2"/>
      <c r="AI18" s="2"/>
    </row>
    <row r="19" spans="1:37">
      <c r="A19" s="2"/>
      <c r="B19" s="2"/>
      <c r="C19" s="2"/>
      <c r="D19" s="2"/>
      <c r="E19" s="5"/>
      <c r="F19" s="2"/>
      <c r="G19" s="5"/>
      <c r="H19" s="2"/>
      <c r="I19" s="2"/>
      <c r="J19" s="2"/>
      <c r="K19" s="2"/>
      <c r="L19" s="2"/>
      <c r="M19" s="2"/>
      <c r="N19" s="2"/>
      <c r="O19" s="2"/>
      <c r="P19" s="2"/>
      <c r="Q19" s="2"/>
      <c r="R19" s="2"/>
      <c r="S19" s="2"/>
      <c r="T19" s="2"/>
      <c r="U19" s="2"/>
      <c r="V19" s="2"/>
      <c r="W19" s="2"/>
      <c r="X19" s="2"/>
      <c r="Y19" s="2"/>
      <c r="Z19" s="2" t="str">
        <f t="shared" si="0"/>
        <v/>
      </c>
      <c r="AA19" s="2" t="str">
        <f t="shared" si="1"/>
        <v/>
      </c>
      <c r="AB19" s="2" t="str">
        <f t="shared" si="2"/>
        <v/>
      </c>
      <c r="AC19" s="2" t="str">
        <f t="shared" si="3"/>
        <v>Walks with direction</v>
      </c>
      <c r="AD19" s="2"/>
      <c r="AE19" s="5"/>
      <c r="AF19" s="2"/>
      <c r="AG19" s="2"/>
      <c r="AH19" s="2"/>
      <c r="AI19" s="2"/>
    </row>
    <row r="20" spans="1:37">
      <c r="A20" s="2"/>
      <c r="B20" s="2"/>
      <c r="C20" s="2"/>
      <c r="D20" s="2"/>
      <c r="E20" s="5"/>
      <c r="F20" s="2"/>
      <c r="G20" s="5"/>
      <c r="H20" s="2"/>
      <c r="I20" s="2"/>
      <c r="J20" s="2"/>
      <c r="K20" s="2"/>
      <c r="L20" s="2"/>
      <c r="M20" s="2"/>
      <c r="N20" s="2"/>
      <c r="O20" s="2"/>
      <c r="P20" s="2"/>
      <c r="Q20" s="2"/>
      <c r="R20" s="2"/>
      <c r="S20" s="2"/>
      <c r="T20" s="2"/>
      <c r="U20" s="2"/>
      <c r="V20" s="2"/>
      <c r="W20" s="2"/>
      <c r="X20" s="2"/>
      <c r="Y20" s="2"/>
      <c r="Z20" s="2" t="str">
        <f t="shared" si="0"/>
        <v/>
      </c>
      <c r="AA20" s="2" t="str">
        <f t="shared" si="1"/>
        <v/>
      </c>
      <c r="AB20" s="2" t="str">
        <f t="shared" si="2"/>
        <v/>
      </c>
      <c r="AC20" s="2" t="str">
        <f t="shared" si="3"/>
        <v>Walks with direction</v>
      </c>
      <c r="AD20" s="2"/>
      <c r="AE20" s="5"/>
      <c r="AF20" s="2"/>
      <c r="AG20" s="2"/>
      <c r="AH20" s="2"/>
      <c r="AI20" s="2"/>
    </row>
    <row r="21" spans="1:37">
      <c r="A21" s="2"/>
      <c r="B21" s="2"/>
      <c r="C21" s="2"/>
      <c r="D21" s="2"/>
      <c r="E21" s="5"/>
      <c r="F21" s="2"/>
      <c r="G21" s="5"/>
      <c r="H21" s="2"/>
      <c r="I21" s="2"/>
      <c r="J21" s="2"/>
      <c r="K21" s="2"/>
      <c r="L21" s="2"/>
      <c r="M21" s="2"/>
      <c r="N21" s="2"/>
      <c r="O21" s="2"/>
      <c r="P21" s="2"/>
      <c r="Q21" s="2"/>
      <c r="R21" s="2"/>
      <c r="S21" s="2"/>
      <c r="T21" s="2"/>
      <c r="U21" s="2"/>
      <c r="V21" s="2"/>
      <c r="W21" s="2"/>
      <c r="X21" s="2"/>
      <c r="Y21" s="2"/>
      <c r="Z21" s="2" t="str">
        <f t="shared" si="0"/>
        <v/>
      </c>
      <c r="AA21" s="2" t="str">
        <f t="shared" si="1"/>
        <v/>
      </c>
      <c r="AB21" s="2" t="str">
        <f t="shared" si="2"/>
        <v/>
      </c>
      <c r="AC21" s="2" t="str">
        <f t="shared" si="3"/>
        <v>Walks with direction</v>
      </c>
      <c r="AD21" s="2"/>
      <c r="AE21" s="5"/>
      <c r="AF21" s="2"/>
      <c r="AG21" s="2"/>
      <c r="AH21" s="2"/>
      <c r="AI21" s="2"/>
    </row>
    <row r="22" spans="1:37">
      <c r="A22" s="2"/>
      <c r="B22" s="2"/>
      <c r="C22" s="2"/>
      <c r="D22" s="2"/>
      <c r="E22" s="5"/>
      <c r="F22" s="2"/>
      <c r="G22" s="5"/>
      <c r="H22" s="2"/>
      <c r="I22" s="2"/>
      <c r="J22" s="2"/>
      <c r="K22" s="2"/>
      <c r="L22" s="2"/>
      <c r="M22" s="2"/>
      <c r="N22" s="2"/>
      <c r="O22" s="2"/>
      <c r="P22" s="2"/>
      <c r="Q22" s="2"/>
      <c r="R22" s="2"/>
      <c r="S22" s="2"/>
      <c r="T22" s="2"/>
      <c r="U22" s="2"/>
      <c r="V22" s="2"/>
      <c r="W22" s="2"/>
      <c r="X22" s="2"/>
      <c r="Y22" s="2"/>
      <c r="Z22" s="2" t="str">
        <f t="shared" si="0"/>
        <v/>
      </c>
      <c r="AA22" s="2" t="str">
        <f t="shared" si="1"/>
        <v/>
      </c>
      <c r="AB22" s="2" t="str">
        <f t="shared" si="2"/>
        <v/>
      </c>
      <c r="AC22" s="2" t="str">
        <f t="shared" si="3"/>
        <v>Walks with direction</v>
      </c>
      <c r="AD22" s="2"/>
      <c r="AE22" s="5"/>
      <c r="AF22" s="2"/>
      <c r="AG22" s="2"/>
      <c r="AH22" s="2"/>
      <c r="AI22" s="2"/>
    </row>
    <row r="23" spans="1:37">
      <c r="A23" s="2"/>
      <c r="B23" s="2"/>
      <c r="C23" s="2"/>
      <c r="D23" s="2"/>
      <c r="E23" s="5"/>
      <c r="F23" s="2"/>
      <c r="G23" s="5"/>
      <c r="H23" s="2"/>
      <c r="I23" s="2"/>
      <c r="J23" s="2"/>
      <c r="K23" s="2"/>
      <c r="L23" s="2"/>
      <c r="M23" s="2"/>
      <c r="N23" s="2"/>
      <c r="O23" s="2"/>
      <c r="P23" s="2"/>
      <c r="Q23" s="2"/>
      <c r="R23" s="2"/>
      <c r="S23" s="2"/>
      <c r="T23" s="2"/>
      <c r="U23" s="2"/>
      <c r="V23" s="2"/>
      <c r="W23" s="2"/>
      <c r="X23" s="2"/>
      <c r="Y23" s="2"/>
      <c r="Z23" s="2" t="str">
        <f t="shared" si="0"/>
        <v/>
      </c>
      <c r="AA23" s="2" t="str">
        <f t="shared" si="1"/>
        <v/>
      </c>
      <c r="AB23" s="2" t="str">
        <f t="shared" si="2"/>
        <v/>
      </c>
      <c r="AC23" s="2" t="str">
        <f t="shared" si="3"/>
        <v>Walks with direction</v>
      </c>
      <c r="AD23" s="2"/>
      <c r="AE23" s="5"/>
      <c r="AF23" s="2"/>
      <c r="AG23" s="2"/>
      <c r="AH23" s="2"/>
      <c r="AI23" s="2"/>
    </row>
    <row r="24" spans="1:37">
      <c r="A24" s="2"/>
      <c r="B24" s="2"/>
      <c r="C24" s="2"/>
      <c r="D24" s="2"/>
      <c r="E24" s="5"/>
      <c r="F24" s="2"/>
      <c r="G24" s="5"/>
      <c r="H24" s="2"/>
      <c r="I24" s="2"/>
      <c r="J24" s="2"/>
      <c r="K24" s="2"/>
      <c r="L24" s="2"/>
      <c r="M24" s="2"/>
      <c r="N24" s="2"/>
      <c r="O24" s="2"/>
      <c r="P24" s="2"/>
      <c r="Q24" s="2"/>
      <c r="R24" s="2"/>
      <c r="S24" s="2"/>
      <c r="T24" s="2"/>
      <c r="U24" s="2"/>
      <c r="V24" s="2"/>
      <c r="W24" s="2"/>
      <c r="X24" s="2"/>
      <c r="Y24" s="2"/>
      <c r="Z24" s="2" t="str">
        <f t="shared" si="0"/>
        <v/>
      </c>
      <c r="AA24" s="2" t="str">
        <f t="shared" si="1"/>
        <v/>
      </c>
      <c r="AB24" s="2" t="str">
        <f t="shared" si="2"/>
        <v/>
      </c>
      <c r="AC24" s="2" t="str">
        <f t="shared" si="3"/>
        <v>Walks with direction</v>
      </c>
      <c r="AD24" s="2"/>
      <c r="AE24" s="5"/>
      <c r="AF24" s="2"/>
      <c r="AG24" s="2"/>
      <c r="AH24" s="2"/>
      <c r="AI24" s="2"/>
    </row>
    <row r="25" spans="1:37">
      <c r="A25" s="2"/>
      <c r="B25" s="2"/>
      <c r="C25" s="2"/>
      <c r="D25" s="2"/>
      <c r="E25" s="5"/>
      <c r="F25" s="2"/>
      <c r="G25" s="5"/>
      <c r="H25" s="2"/>
      <c r="I25" s="2"/>
      <c r="J25" s="2"/>
      <c r="K25" s="2"/>
      <c r="L25" s="2"/>
      <c r="M25" s="2"/>
      <c r="N25" s="2"/>
      <c r="O25" s="2"/>
      <c r="P25" s="2"/>
      <c r="Q25" s="2"/>
      <c r="R25" s="2"/>
      <c r="S25" s="2"/>
      <c r="T25" s="2"/>
      <c r="U25" s="2"/>
      <c r="V25" s="2"/>
      <c r="W25" s="2"/>
      <c r="X25" s="2"/>
      <c r="Y25" s="2"/>
      <c r="Z25" s="2" t="str">
        <f t="shared" si="0"/>
        <v/>
      </c>
      <c r="AA25" s="2" t="str">
        <f t="shared" si="1"/>
        <v/>
      </c>
      <c r="AB25" s="2" t="str">
        <f t="shared" si="2"/>
        <v/>
      </c>
      <c r="AC25" s="2" t="str">
        <f t="shared" si="3"/>
        <v>Walks with direction</v>
      </c>
      <c r="AD25" s="2"/>
      <c r="AE25" s="5"/>
      <c r="AF25" s="2"/>
      <c r="AG25" s="2"/>
      <c r="AH25" s="2"/>
      <c r="AI25" s="2"/>
    </row>
    <row r="26" spans="1:37">
      <c r="A26" s="2"/>
      <c r="B26" s="2"/>
      <c r="C26" s="2"/>
      <c r="D26" s="2"/>
      <c r="E26" s="5"/>
      <c r="F26" s="2"/>
      <c r="G26" s="5"/>
      <c r="H26" s="2"/>
      <c r="I26" s="2"/>
      <c r="J26" s="2"/>
      <c r="K26" s="2"/>
      <c r="L26" s="2"/>
      <c r="M26" s="2"/>
      <c r="N26" s="2"/>
      <c r="O26" s="2"/>
      <c r="P26" s="2"/>
      <c r="Q26" s="2"/>
      <c r="R26" s="2"/>
      <c r="S26" s="2"/>
      <c r="T26" s="2"/>
      <c r="U26" s="2"/>
      <c r="V26" s="2"/>
      <c r="W26" s="2"/>
      <c r="X26" s="2"/>
      <c r="Y26" s="2"/>
      <c r="Z26" s="2" t="str">
        <f t="shared" si="0"/>
        <v/>
      </c>
      <c r="AA26" s="2" t="str">
        <f t="shared" si="1"/>
        <v/>
      </c>
      <c r="AB26" s="2" t="str">
        <f t="shared" si="2"/>
        <v/>
      </c>
      <c r="AC26" s="2" t="str">
        <f t="shared" si="3"/>
        <v>Walks with direction</v>
      </c>
      <c r="AD26" s="2"/>
      <c r="AE26" s="5"/>
      <c r="AF26" s="2"/>
      <c r="AG26" s="2"/>
      <c r="AH26" s="2"/>
      <c r="AI26" s="2"/>
    </row>
    <row r="27" spans="1:37">
      <c r="A27" s="2"/>
      <c r="B27" s="2"/>
      <c r="C27" s="2"/>
      <c r="D27" s="2"/>
      <c r="E27" s="5"/>
      <c r="F27" s="2"/>
      <c r="G27" s="5"/>
      <c r="H27" s="2"/>
      <c r="I27" s="2"/>
      <c r="J27" s="2"/>
      <c r="K27" s="2"/>
      <c r="L27" s="2"/>
      <c r="M27" s="2"/>
      <c r="N27" s="2"/>
      <c r="O27" s="2"/>
      <c r="P27" s="2"/>
      <c r="Q27" s="2"/>
      <c r="R27" s="2"/>
      <c r="S27" s="2"/>
      <c r="T27" s="2"/>
      <c r="U27" s="2"/>
      <c r="V27" s="2"/>
      <c r="W27" s="2"/>
      <c r="X27" s="2"/>
      <c r="Y27" s="2"/>
      <c r="Z27" s="2" t="str">
        <f t="shared" si="0"/>
        <v/>
      </c>
      <c r="AA27" s="2" t="str">
        <f t="shared" si="1"/>
        <v/>
      </c>
      <c r="AB27" s="2" t="str">
        <f t="shared" si="2"/>
        <v/>
      </c>
      <c r="AC27" s="2" t="str">
        <f t="shared" si="3"/>
        <v>Walks with direction</v>
      </c>
      <c r="AD27" s="2"/>
      <c r="AE27" s="5"/>
      <c r="AF27" s="2"/>
      <c r="AG27" s="2"/>
      <c r="AH27" s="2"/>
      <c r="AI27" s="2"/>
    </row>
    <row r="28" spans="1:37">
      <c r="A28" s="2"/>
      <c r="B28" s="2"/>
      <c r="C28" s="2"/>
      <c r="D28" s="2"/>
      <c r="E28" s="5"/>
      <c r="F28" s="2"/>
      <c r="G28" s="5"/>
      <c r="H28" s="2"/>
      <c r="I28" s="2"/>
      <c r="J28" s="2"/>
      <c r="K28" s="2"/>
      <c r="L28" s="2"/>
      <c r="M28" s="2"/>
      <c r="N28" s="2"/>
      <c r="O28" s="2"/>
      <c r="P28" s="2"/>
      <c r="Q28" s="2"/>
      <c r="R28" s="2"/>
      <c r="S28" s="2"/>
      <c r="T28" s="2"/>
      <c r="U28" s="2"/>
      <c r="V28" s="2"/>
      <c r="W28" s="2"/>
      <c r="X28" s="2"/>
      <c r="Y28" s="2"/>
      <c r="Z28" s="2" t="str">
        <f t="shared" si="0"/>
        <v/>
      </c>
      <c r="AA28" s="2" t="str">
        <f t="shared" si="1"/>
        <v/>
      </c>
      <c r="AB28" s="2" t="str">
        <f t="shared" si="2"/>
        <v/>
      </c>
      <c r="AC28" s="2" t="str">
        <f t="shared" si="3"/>
        <v>Walks with direction</v>
      </c>
      <c r="AD28" s="2"/>
      <c r="AE28" s="5"/>
      <c r="AF28" s="2"/>
      <c r="AG28" s="2"/>
      <c r="AH28" s="2"/>
      <c r="AI28" s="2"/>
    </row>
    <row r="29" spans="1:37">
      <c r="A29" s="2"/>
      <c r="B29" s="2"/>
      <c r="C29" s="2"/>
      <c r="D29" s="2"/>
      <c r="E29" s="5"/>
      <c r="F29" s="2"/>
      <c r="G29" s="5"/>
      <c r="H29" s="2"/>
      <c r="I29" s="2"/>
      <c r="J29" s="2"/>
      <c r="K29" s="2"/>
      <c r="L29" s="2"/>
      <c r="M29" s="2"/>
      <c r="N29" s="2"/>
      <c r="O29" s="2"/>
      <c r="P29" s="2"/>
      <c r="Q29" s="2"/>
      <c r="R29" s="2"/>
      <c r="S29" s="2"/>
      <c r="T29" s="2"/>
      <c r="U29" s="2"/>
      <c r="V29" s="2"/>
      <c r="W29" s="2"/>
      <c r="X29" s="2"/>
      <c r="Y29" s="2"/>
      <c r="Z29" s="2" t="str">
        <f t="shared" si="0"/>
        <v/>
      </c>
      <c r="AA29" s="2" t="str">
        <f t="shared" si="1"/>
        <v/>
      </c>
      <c r="AB29" s="2" t="str">
        <f t="shared" si="2"/>
        <v/>
      </c>
      <c r="AC29" s="2" t="str">
        <f t="shared" si="3"/>
        <v>Walks with direction</v>
      </c>
      <c r="AD29" s="2"/>
      <c r="AE29" s="5"/>
      <c r="AF29" s="2"/>
      <c r="AG29" s="2"/>
      <c r="AH29" s="2"/>
      <c r="AI29" s="2"/>
    </row>
    <row r="30" spans="1:37">
      <c r="A30" s="2"/>
      <c r="B30" s="2"/>
      <c r="C30" s="2"/>
      <c r="D30" s="2"/>
      <c r="E30" s="5"/>
      <c r="F30" s="2"/>
      <c r="G30" s="5"/>
      <c r="H30" s="2"/>
      <c r="I30" s="2"/>
      <c r="J30" s="2"/>
      <c r="K30" s="2"/>
      <c r="L30" s="2"/>
      <c r="M30" s="2"/>
      <c r="N30" s="2"/>
      <c r="O30" s="2"/>
      <c r="P30" s="2"/>
      <c r="Q30" s="2"/>
      <c r="R30" s="2"/>
      <c r="S30" s="2"/>
      <c r="T30" s="2"/>
      <c r="U30" s="2"/>
      <c r="V30" s="2"/>
      <c r="W30" s="2"/>
      <c r="X30" s="2"/>
      <c r="Y30" s="2"/>
      <c r="Z30" s="2" t="str">
        <f t="shared" si="0"/>
        <v/>
      </c>
      <c r="AA30" s="2" t="str">
        <f t="shared" si="1"/>
        <v/>
      </c>
      <c r="AB30" s="2" t="str">
        <f t="shared" si="2"/>
        <v/>
      </c>
      <c r="AC30" s="2" t="str">
        <f t="shared" si="3"/>
        <v>Walks with direction</v>
      </c>
      <c r="AD30" s="2"/>
      <c r="AE30" s="5"/>
      <c r="AF30" s="2"/>
      <c r="AG30" s="2"/>
      <c r="AH30" s="2"/>
      <c r="AI30" s="2"/>
    </row>
    <row r="31" spans="1:37">
      <c r="A31" s="2"/>
      <c r="B31" s="2"/>
      <c r="C31" s="2"/>
      <c r="D31" s="2"/>
      <c r="E31" s="5"/>
      <c r="F31" s="2"/>
      <c r="G31" s="5"/>
      <c r="H31" s="2"/>
      <c r="I31" s="2"/>
      <c r="J31" s="2"/>
      <c r="K31" s="2"/>
      <c r="L31" s="2"/>
      <c r="M31" s="2"/>
      <c r="N31" s="2"/>
      <c r="O31" s="2"/>
      <c r="P31" s="2"/>
      <c r="Q31" s="2"/>
      <c r="R31" s="2"/>
      <c r="S31" s="2"/>
      <c r="T31" s="2"/>
      <c r="U31" s="2"/>
      <c r="V31" s="2"/>
      <c r="W31" s="2"/>
      <c r="X31" s="2"/>
      <c r="Y31" s="2"/>
      <c r="Z31" s="2" t="str">
        <f t="shared" si="0"/>
        <v/>
      </c>
      <c r="AA31" s="2" t="str">
        <f t="shared" si="1"/>
        <v/>
      </c>
      <c r="AB31" s="2" t="str">
        <f t="shared" si="2"/>
        <v/>
      </c>
      <c r="AC31" s="2" t="str">
        <f t="shared" si="3"/>
        <v>Walks with direction</v>
      </c>
      <c r="AD31" s="2"/>
      <c r="AE31" s="5"/>
      <c r="AF31" s="2"/>
      <c r="AG31" s="2"/>
      <c r="AH31" s="2"/>
      <c r="AI31" s="2"/>
    </row>
    <row r="32" spans="1:37">
      <c r="A32" s="2"/>
      <c r="B32" s="2"/>
      <c r="C32" s="2"/>
      <c r="D32" s="2"/>
      <c r="E32" s="5"/>
      <c r="F32" s="2"/>
      <c r="G32" s="5"/>
      <c r="H32" s="2"/>
      <c r="I32" s="2"/>
      <c r="J32" s="2"/>
      <c r="K32" s="2"/>
      <c r="L32" s="2"/>
      <c r="M32" s="2"/>
      <c r="N32" s="2"/>
      <c r="O32" s="2"/>
      <c r="P32" s="2"/>
      <c r="Q32" s="2"/>
      <c r="R32" s="2"/>
      <c r="S32" s="2"/>
      <c r="T32" s="2"/>
      <c r="U32" s="2"/>
      <c r="V32" s="2"/>
      <c r="W32" s="2"/>
      <c r="X32" s="2"/>
      <c r="Y32" s="2"/>
      <c r="Z32" s="2" t="str">
        <f t="shared" si="0"/>
        <v/>
      </c>
      <c r="AA32" s="2" t="str">
        <f t="shared" si="1"/>
        <v/>
      </c>
      <c r="AB32" s="2" t="str">
        <f t="shared" si="2"/>
        <v/>
      </c>
      <c r="AC32" s="2" t="str">
        <f t="shared" si="3"/>
        <v>Walks with direction</v>
      </c>
      <c r="AD32" s="2"/>
      <c r="AE32" s="5"/>
      <c r="AF32" s="2"/>
      <c r="AG32" s="2"/>
      <c r="AH32" s="2"/>
      <c r="AI32" s="2"/>
    </row>
    <row r="33" spans="1:35">
      <c r="A33" s="2"/>
      <c r="B33" s="2"/>
      <c r="C33" s="2"/>
      <c r="D33" s="2"/>
      <c r="E33" s="5"/>
      <c r="F33" s="2"/>
      <c r="G33" s="5"/>
      <c r="H33" s="2"/>
      <c r="I33" s="2"/>
      <c r="J33" s="2"/>
      <c r="K33" s="2"/>
      <c r="L33" s="2"/>
      <c r="M33" s="2"/>
      <c r="N33" s="2"/>
      <c r="O33" s="2"/>
      <c r="P33" s="2"/>
      <c r="Q33" s="2"/>
      <c r="R33" s="2"/>
      <c r="S33" s="2"/>
      <c r="T33" s="2"/>
      <c r="U33" s="2"/>
      <c r="V33" s="2"/>
      <c r="W33" s="2"/>
      <c r="X33" s="2"/>
      <c r="Y33" s="2"/>
      <c r="Z33" s="2" t="str">
        <f t="shared" si="0"/>
        <v/>
      </c>
      <c r="AA33" s="2" t="str">
        <f t="shared" si="1"/>
        <v/>
      </c>
      <c r="AB33" s="2" t="str">
        <f t="shared" si="2"/>
        <v/>
      </c>
      <c r="AC33" s="2" t="str">
        <f t="shared" si="3"/>
        <v>Walks with direction</v>
      </c>
      <c r="AD33" s="2"/>
      <c r="AE33" s="5"/>
      <c r="AF33" s="2"/>
      <c r="AG33" s="2"/>
      <c r="AH33" s="2"/>
      <c r="AI33" s="2"/>
    </row>
    <row r="34" spans="1:35">
      <c r="A34" s="2"/>
      <c r="B34" s="2"/>
      <c r="C34" s="2"/>
      <c r="D34" s="2"/>
      <c r="E34" s="5"/>
      <c r="F34" s="2"/>
      <c r="G34" s="5"/>
      <c r="H34" s="2"/>
      <c r="I34" s="2"/>
      <c r="J34" s="2"/>
      <c r="K34" s="2"/>
      <c r="L34" s="2"/>
      <c r="M34" s="2"/>
      <c r="N34" s="2"/>
      <c r="O34" s="2"/>
      <c r="P34" s="2"/>
      <c r="Q34" s="2"/>
      <c r="R34" s="2"/>
      <c r="S34" s="2"/>
      <c r="T34" s="2"/>
      <c r="U34" s="2"/>
      <c r="V34" s="2"/>
      <c r="W34" s="2"/>
      <c r="X34" s="2"/>
      <c r="Y34" s="2"/>
      <c r="Z34" s="2" t="str">
        <f t="shared" si="0"/>
        <v/>
      </c>
      <c r="AA34" s="2" t="str">
        <f t="shared" si="1"/>
        <v/>
      </c>
      <c r="AB34" s="2" t="str">
        <f t="shared" si="2"/>
        <v/>
      </c>
      <c r="AC34" s="2" t="str">
        <f t="shared" si="3"/>
        <v>Walks with direction</v>
      </c>
      <c r="AD34" s="2"/>
      <c r="AE34" s="5"/>
      <c r="AF34" s="2"/>
      <c r="AG34" s="2"/>
      <c r="AH34" s="2"/>
      <c r="AI34" s="2"/>
    </row>
    <row r="35" spans="1:35">
      <c r="A35" s="2"/>
      <c r="B35" s="2"/>
      <c r="C35" s="2"/>
      <c r="D35" s="2"/>
      <c r="E35" s="5"/>
      <c r="F35" s="2"/>
      <c r="G35" s="5"/>
      <c r="H35" s="2"/>
      <c r="I35" s="2"/>
      <c r="J35" s="2"/>
      <c r="K35" s="2"/>
      <c r="L35" s="2"/>
      <c r="M35" s="2"/>
      <c r="N35" s="2"/>
      <c r="O35" s="2"/>
      <c r="P35" s="2"/>
      <c r="Q35" s="2"/>
      <c r="R35" s="2"/>
      <c r="S35" s="2"/>
      <c r="T35" s="2"/>
      <c r="U35" s="2"/>
      <c r="V35" s="2"/>
      <c r="W35" s="2"/>
      <c r="X35" s="2"/>
      <c r="Y35" s="2"/>
      <c r="Z35" s="2" t="str">
        <f t="shared" si="0"/>
        <v/>
      </c>
      <c r="AA35" s="2" t="str">
        <f t="shared" si="1"/>
        <v/>
      </c>
      <c r="AB35" s="2" t="str">
        <f t="shared" si="2"/>
        <v/>
      </c>
      <c r="AC35" s="2" t="str">
        <f t="shared" si="3"/>
        <v>Walks with direction</v>
      </c>
      <c r="AD35" s="2"/>
      <c r="AE35" s="5"/>
      <c r="AF35" s="2"/>
      <c r="AG35" s="2"/>
      <c r="AH35" s="2"/>
      <c r="AI35" s="2"/>
    </row>
    <row r="36" spans="1:35">
      <c r="A36" s="2"/>
      <c r="B36" s="2"/>
      <c r="C36" s="2"/>
      <c r="D36" s="2"/>
      <c r="E36" s="5"/>
      <c r="F36" s="2"/>
      <c r="G36" s="5"/>
      <c r="H36" s="2"/>
      <c r="I36" s="2"/>
      <c r="J36" s="2"/>
      <c r="K36" s="2"/>
      <c r="L36" s="2"/>
      <c r="M36" s="2"/>
      <c r="N36" s="2"/>
      <c r="O36" s="2"/>
      <c r="P36" s="2"/>
      <c r="Q36" s="2"/>
      <c r="R36" s="2"/>
      <c r="S36" s="2"/>
      <c r="T36" s="2"/>
      <c r="U36" s="2"/>
      <c r="V36" s="2"/>
      <c r="W36" s="2"/>
      <c r="X36" s="2"/>
      <c r="Y36" s="2"/>
      <c r="Z36" s="2" t="str">
        <f t="shared" si="0"/>
        <v/>
      </c>
      <c r="AA36" s="2" t="str">
        <f t="shared" si="1"/>
        <v/>
      </c>
      <c r="AB36" s="2" t="str">
        <f t="shared" si="2"/>
        <v/>
      </c>
      <c r="AC36" s="2" t="str">
        <f t="shared" si="3"/>
        <v>Walks with direction</v>
      </c>
      <c r="AD36" s="2"/>
      <c r="AE36" s="5"/>
      <c r="AF36" s="2"/>
      <c r="AG36" s="2"/>
      <c r="AH36" s="2"/>
      <c r="AI36" s="2"/>
    </row>
    <row r="37" spans="1:35">
      <c r="A37" s="2"/>
      <c r="B37" s="2"/>
      <c r="C37" s="2"/>
      <c r="D37" s="2"/>
      <c r="E37" s="5"/>
      <c r="F37" s="2"/>
      <c r="G37" s="5"/>
      <c r="H37" s="2"/>
      <c r="I37" s="2"/>
      <c r="J37" s="2"/>
      <c r="K37" s="2"/>
      <c r="L37" s="2"/>
      <c r="M37" s="2"/>
      <c r="N37" s="2"/>
      <c r="O37" s="2"/>
      <c r="P37" s="2"/>
      <c r="Q37" s="2"/>
      <c r="R37" s="2"/>
      <c r="S37" s="2"/>
      <c r="T37" s="2"/>
      <c r="U37" s="2"/>
      <c r="V37" s="2"/>
      <c r="W37" s="2"/>
      <c r="X37" s="2"/>
      <c r="Y37" s="2"/>
      <c r="Z37" s="2" t="str">
        <f t="shared" si="0"/>
        <v/>
      </c>
      <c r="AA37" s="2" t="str">
        <f t="shared" si="1"/>
        <v/>
      </c>
      <c r="AB37" s="2" t="str">
        <f t="shared" si="2"/>
        <v/>
      </c>
      <c r="AC37" s="2" t="str">
        <f t="shared" si="3"/>
        <v>Walks with direction</v>
      </c>
      <c r="AD37" s="2"/>
      <c r="AE37" s="5"/>
      <c r="AF37" s="2"/>
      <c r="AG37" s="2"/>
      <c r="AH37" s="2"/>
      <c r="AI37" s="2"/>
    </row>
    <row r="38" spans="1:35">
      <c r="A38" s="2"/>
      <c r="B38" s="2"/>
      <c r="C38" s="2"/>
      <c r="D38" s="2"/>
      <c r="E38" s="5"/>
      <c r="F38" s="2"/>
      <c r="G38" s="5"/>
      <c r="H38" s="2"/>
      <c r="I38" s="2"/>
      <c r="J38" s="2"/>
      <c r="K38" s="2"/>
      <c r="L38" s="2"/>
      <c r="M38" s="2"/>
      <c r="N38" s="2"/>
      <c r="O38" s="2"/>
      <c r="P38" s="2"/>
      <c r="Q38" s="2"/>
      <c r="R38" s="2"/>
      <c r="S38" s="2"/>
      <c r="T38" s="2"/>
      <c r="U38" s="2"/>
      <c r="V38" s="2"/>
      <c r="W38" s="2"/>
      <c r="X38" s="2"/>
      <c r="Y38" s="2"/>
      <c r="Z38" s="2" t="str">
        <f t="shared" si="0"/>
        <v/>
      </c>
      <c r="AA38" s="2" t="str">
        <f t="shared" si="1"/>
        <v/>
      </c>
      <c r="AB38" s="2" t="str">
        <f t="shared" si="2"/>
        <v/>
      </c>
      <c r="AC38" s="2" t="str">
        <f t="shared" si="3"/>
        <v>Walks with direction</v>
      </c>
      <c r="AD38" s="2"/>
      <c r="AE38" s="5"/>
      <c r="AF38" s="2"/>
      <c r="AG38" s="2"/>
      <c r="AH38" s="2"/>
      <c r="AI38" s="2"/>
    </row>
    <row r="39" spans="1:35">
      <c r="A39" s="2"/>
      <c r="B39" s="2"/>
      <c r="C39" s="2"/>
      <c r="D39" s="2"/>
      <c r="E39" s="5"/>
      <c r="F39" s="2"/>
      <c r="G39" s="5"/>
      <c r="H39" s="2"/>
      <c r="I39" s="2"/>
      <c r="J39" s="2"/>
      <c r="K39" s="2"/>
      <c r="L39" s="2"/>
      <c r="M39" s="2"/>
      <c r="N39" s="2"/>
      <c r="O39" s="2"/>
      <c r="P39" s="2"/>
      <c r="Q39" s="2"/>
      <c r="R39" s="2"/>
      <c r="S39" s="2"/>
      <c r="T39" s="2"/>
      <c r="U39" s="2"/>
      <c r="V39" s="2"/>
      <c r="W39" s="2"/>
      <c r="X39" s="2"/>
      <c r="Y39" s="2"/>
      <c r="Z39" s="2" t="str">
        <f t="shared" si="0"/>
        <v/>
      </c>
      <c r="AA39" s="2" t="str">
        <f t="shared" si="1"/>
        <v/>
      </c>
      <c r="AB39" s="2" t="str">
        <f t="shared" si="2"/>
        <v/>
      </c>
      <c r="AC39" s="2" t="str">
        <f t="shared" si="3"/>
        <v>Walks with direction</v>
      </c>
      <c r="AD39" s="2"/>
      <c r="AE39" s="5"/>
      <c r="AF39" s="2"/>
      <c r="AG39" s="2"/>
      <c r="AH39" s="2"/>
      <c r="AI39" s="2"/>
    </row>
    <row r="40" spans="1:35">
      <c r="A40" s="2"/>
      <c r="B40" s="2"/>
      <c r="C40" s="2"/>
      <c r="D40" s="2"/>
      <c r="E40" s="5"/>
      <c r="F40" s="2"/>
      <c r="G40" s="5"/>
      <c r="H40" s="2"/>
      <c r="I40" s="2"/>
      <c r="J40" s="2"/>
      <c r="K40" s="2"/>
      <c r="L40" s="2"/>
      <c r="M40" s="2"/>
      <c r="N40" s="2"/>
      <c r="O40" s="2"/>
      <c r="P40" s="2"/>
      <c r="Q40" s="2"/>
      <c r="R40" s="2"/>
      <c r="S40" s="2"/>
      <c r="T40" s="2"/>
      <c r="U40" s="2"/>
      <c r="V40" s="2"/>
      <c r="W40" s="2"/>
      <c r="X40" s="2"/>
      <c r="Y40" s="2"/>
      <c r="Z40" s="2" t="str">
        <f t="shared" si="0"/>
        <v/>
      </c>
      <c r="AA40" s="2" t="str">
        <f t="shared" si="1"/>
        <v/>
      </c>
      <c r="AB40" s="2" t="str">
        <f t="shared" si="2"/>
        <v/>
      </c>
      <c r="AC40" s="2" t="str">
        <f t="shared" si="3"/>
        <v>Walks with direction</v>
      </c>
      <c r="AD40" s="2"/>
      <c r="AE40" s="5"/>
      <c r="AF40" s="2"/>
      <c r="AG40" s="2"/>
      <c r="AH40" s="2"/>
      <c r="AI40" s="2"/>
    </row>
    <row r="41" spans="1:35">
      <c r="A41" s="2"/>
      <c r="B41" s="2"/>
      <c r="C41" s="2"/>
      <c r="D41" s="2"/>
      <c r="E41" s="5"/>
      <c r="F41" s="2"/>
      <c r="G41" s="5"/>
      <c r="H41" s="2"/>
      <c r="I41" s="2"/>
      <c r="J41" s="2"/>
      <c r="K41" s="2"/>
      <c r="L41" s="2"/>
      <c r="M41" s="2"/>
      <c r="N41" s="2"/>
      <c r="O41" s="2"/>
      <c r="P41" s="2"/>
      <c r="Q41" s="2"/>
      <c r="R41" s="2"/>
      <c r="S41" s="2"/>
      <c r="T41" s="2"/>
      <c r="U41" s="2"/>
      <c r="V41" s="2"/>
      <c r="W41" s="2"/>
      <c r="X41" s="2"/>
      <c r="Y41" s="2"/>
      <c r="Z41" s="2" t="str">
        <f t="shared" si="0"/>
        <v/>
      </c>
      <c r="AA41" s="2" t="str">
        <f t="shared" si="1"/>
        <v/>
      </c>
      <c r="AB41" s="2" t="str">
        <f t="shared" si="2"/>
        <v/>
      </c>
      <c r="AC41" s="2" t="str">
        <f t="shared" si="3"/>
        <v>Walks with direction</v>
      </c>
      <c r="AD41" s="2"/>
      <c r="AE41" s="5"/>
      <c r="AF41" s="2"/>
      <c r="AG41" s="2"/>
      <c r="AH41" s="2"/>
      <c r="AI41" s="2"/>
    </row>
    <row r="42" spans="1:35">
      <c r="A42" s="2"/>
      <c r="B42" s="2"/>
      <c r="C42" s="2"/>
      <c r="D42" s="2"/>
      <c r="E42" s="5"/>
      <c r="F42" s="2"/>
      <c r="G42" s="5"/>
      <c r="H42" s="2"/>
      <c r="I42" s="2"/>
      <c r="J42" s="2"/>
      <c r="K42" s="2"/>
      <c r="L42" s="2"/>
      <c r="M42" s="2"/>
      <c r="N42" s="2"/>
      <c r="O42" s="2"/>
      <c r="P42" s="2"/>
      <c r="Q42" s="2"/>
      <c r="R42" s="2"/>
      <c r="S42" s="2"/>
      <c r="T42" s="2"/>
      <c r="U42" s="2"/>
      <c r="V42" s="2"/>
      <c r="W42" s="2"/>
      <c r="X42" s="2"/>
      <c r="Y42" s="2"/>
      <c r="Z42" s="2" t="str">
        <f t="shared" si="0"/>
        <v/>
      </c>
      <c r="AA42" s="2" t="str">
        <f t="shared" si="1"/>
        <v/>
      </c>
      <c r="AB42" s="2" t="str">
        <f t="shared" si="2"/>
        <v/>
      </c>
      <c r="AC42" s="2" t="str">
        <f t="shared" si="3"/>
        <v>Walks with direction</v>
      </c>
      <c r="AD42" s="2"/>
      <c r="AE42" s="5"/>
      <c r="AF42" s="2"/>
      <c r="AG42" s="2"/>
      <c r="AH42" s="2"/>
      <c r="AI42" s="2"/>
    </row>
    <row r="43" spans="1:35">
      <c r="A43" s="2"/>
      <c r="B43" s="2"/>
      <c r="C43" s="2"/>
      <c r="D43" s="2"/>
      <c r="E43" s="5"/>
      <c r="F43" s="2"/>
      <c r="G43" s="5"/>
      <c r="H43" s="2"/>
      <c r="I43" s="2"/>
      <c r="J43" s="2"/>
      <c r="K43" s="2"/>
      <c r="L43" s="2"/>
      <c r="M43" s="2"/>
      <c r="N43" s="2"/>
      <c r="O43" s="2"/>
      <c r="P43" s="2"/>
      <c r="Q43" s="2"/>
      <c r="R43" s="2"/>
      <c r="S43" s="2"/>
      <c r="T43" s="2"/>
      <c r="U43" s="2"/>
      <c r="V43" s="2"/>
      <c r="W43" s="2"/>
      <c r="X43" s="2"/>
      <c r="Y43" s="2"/>
      <c r="Z43" s="2" t="str">
        <f t="shared" si="0"/>
        <v/>
      </c>
      <c r="AA43" s="2" t="str">
        <f t="shared" si="1"/>
        <v/>
      </c>
      <c r="AB43" s="2" t="str">
        <f t="shared" si="2"/>
        <v/>
      </c>
      <c r="AC43" s="2" t="str">
        <f t="shared" si="3"/>
        <v>Walks with direction</v>
      </c>
      <c r="AD43" s="2"/>
      <c r="AE43" s="5"/>
      <c r="AF43" s="2"/>
      <c r="AG43" s="2"/>
      <c r="AH43" s="2"/>
      <c r="AI43" s="2"/>
    </row>
    <row r="44" spans="1:35">
      <c r="A44" s="2"/>
      <c r="B44" s="2"/>
      <c r="C44" s="2"/>
      <c r="D44" s="2"/>
      <c r="E44" s="5"/>
      <c r="F44" s="2"/>
      <c r="G44" s="5"/>
      <c r="H44" s="2"/>
      <c r="I44" s="2"/>
      <c r="J44" s="2"/>
      <c r="K44" s="2"/>
      <c r="L44" s="2"/>
      <c r="M44" s="2"/>
      <c r="N44" s="2"/>
      <c r="O44" s="2"/>
      <c r="P44" s="2"/>
      <c r="Q44" s="2"/>
      <c r="R44" s="2"/>
      <c r="S44" s="2"/>
      <c r="T44" s="2"/>
      <c r="U44" s="2"/>
      <c r="V44" s="2"/>
      <c r="W44" s="2"/>
      <c r="X44" s="2"/>
      <c r="Y44" s="2"/>
      <c r="Z44" s="2" t="str">
        <f t="shared" si="0"/>
        <v/>
      </c>
      <c r="AA44" s="2" t="str">
        <f t="shared" si="1"/>
        <v/>
      </c>
      <c r="AB44" s="2" t="str">
        <f t="shared" si="2"/>
        <v/>
      </c>
      <c r="AC44" s="2" t="str">
        <f t="shared" si="3"/>
        <v>Walks with direction</v>
      </c>
      <c r="AD44" s="2"/>
      <c r="AE44" s="5"/>
      <c r="AF44" s="2"/>
      <c r="AG44" s="2"/>
      <c r="AH44" s="2"/>
      <c r="AI44" s="2"/>
    </row>
    <row r="45" spans="1:35">
      <c r="A45" s="2"/>
      <c r="B45" s="2"/>
      <c r="C45" s="2"/>
      <c r="D45" s="2"/>
      <c r="E45" s="5"/>
      <c r="F45" s="2"/>
      <c r="G45" s="5"/>
      <c r="H45" s="2"/>
      <c r="I45" s="2"/>
      <c r="J45" s="2"/>
      <c r="K45" s="2"/>
      <c r="L45" s="2"/>
      <c r="M45" s="2"/>
      <c r="N45" s="2"/>
      <c r="O45" s="2"/>
      <c r="P45" s="2"/>
      <c r="Q45" s="2"/>
      <c r="R45" s="2"/>
      <c r="S45" s="2"/>
      <c r="T45" s="2"/>
      <c r="U45" s="2"/>
      <c r="V45" s="2"/>
      <c r="W45" s="2"/>
      <c r="X45" s="2"/>
      <c r="Y45" s="2"/>
      <c r="Z45" s="2" t="str">
        <f t="shared" si="0"/>
        <v/>
      </c>
      <c r="AA45" s="2" t="str">
        <f t="shared" si="1"/>
        <v/>
      </c>
      <c r="AB45" s="2" t="str">
        <f t="shared" si="2"/>
        <v/>
      </c>
      <c r="AC45" s="2" t="str">
        <f t="shared" si="3"/>
        <v>Walks with direction</v>
      </c>
      <c r="AD45" s="2"/>
      <c r="AE45" s="5"/>
      <c r="AF45" s="2"/>
      <c r="AG45" s="2"/>
      <c r="AH45" s="2"/>
      <c r="AI45" s="2"/>
    </row>
    <row r="46" spans="1:35">
      <c r="A46" s="2"/>
      <c r="B46" s="2"/>
      <c r="C46" s="2"/>
      <c r="D46" s="2"/>
      <c r="E46" s="5"/>
      <c r="F46" s="2"/>
      <c r="G46" s="5"/>
      <c r="H46" s="2"/>
      <c r="I46" s="2"/>
      <c r="J46" s="2"/>
      <c r="K46" s="2"/>
      <c r="L46" s="2"/>
      <c r="M46" s="2"/>
      <c r="N46" s="2"/>
      <c r="O46" s="2"/>
      <c r="P46" s="2"/>
      <c r="Q46" s="2"/>
      <c r="R46" s="2"/>
      <c r="S46" s="2"/>
      <c r="T46" s="2"/>
      <c r="U46" s="2"/>
      <c r="V46" s="2"/>
      <c r="W46" s="2"/>
      <c r="X46" s="2"/>
      <c r="Y46" s="2"/>
      <c r="Z46" s="2" t="str">
        <f t="shared" si="0"/>
        <v/>
      </c>
      <c r="AA46" s="2" t="str">
        <f t="shared" si="1"/>
        <v/>
      </c>
      <c r="AB46" s="2" t="str">
        <f t="shared" si="2"/>
        <v/>
      </c>
      <c r="AC46" s="2" t="str">
        <f t="shared" si="3"/>
        <v>Walks with direction</v>
      </c>
      <c r="AD46" s="2"/>
      <c r="AE46" s="5"/>
      <c r="AF46" s="2"/>
      <c r="AG46" s="2"/>
      <c r="AH46" s="2"/>
      <c r="AI46" s="2"/>
    </row>
    <row r="47" spans="1:35">
      <c r="A47" s="2"/>
      <c r="B47" s="2"/>
      <c r="C47" s="2"/>
      <c r="D47" s="2"/>
      <c r="E47" s="5"/>
      <c r="F47" s="2"/>
      <c r="G47" s="5"/>
      <c r="H47" s="2"/>
      <c r="I47" s="2"/>
      <c r="J47" s="2"/>
      <c r="K47" s="2"/>
      <c r="L47" s="2"/>
      <c r="M47" s="2"/>
      <c r="N47" s="2"/>
      <c r="O47" s="2"/>
      <c r="P47" s="2"/>
      <c r="Q47" s="2"/>
      <c r="R47" s="2"/>
      <c r="S47" s="2"/>
      <c r="T47" s="2"/>
      <c r="U47" s="2"/>
      <c r="V47" s="2"/>
      <c r="W47" s="2"/>
      <c r="X47" s="2"/>
      <c r="Y47" s="2"/>
      <c r="Z47" s="2" t="str">
        <f t="shared" si="0"/>
        <v/>
      </c>
      <c r="AA47" s="2" t="str">
        <f t="shared" si="1"/>
        <v/>
      </c>
      <c r="AB47" s="2" t="str">
        <f t="shared" si="2"/>
        <v/>
      </c>
      <c r="AC47" s="2" t="str">
        <f t="shared" si="3"/>
        <v>Walks with direction</v>
      </c>
      <c r="AD47" s="2"/>
      <c r="AE47" s="5"/>
      <c r="AF47" s="2"/>
      <c r="AG47" s="2"/>
      <c r="AH47" s="2"/>
      <c r="AI47" s="2"/>
    </row>
    <row r="48" spans="1:35">
      <c r="A48" s="2"/>
      <c r="B48" s="2"/>
      <c r="C48" s="2"/>
      <c r="D48" s="2"/>
      <c r="E48" s="5"/>
      <c r="F48" s="2"/>
      <c r="G48" s="5"/>
      <c r="H48" s="2"/>
      <c r="I48" s="2"/>
      <c r="J48" s="2"/>
      <c r="K48" s="2"/>
      <c r="L48" s="2"/>
      <c r="M48" s="2"/>
      <c r="N48" s="2"/>
      <c r="O48" s="2"/>
      <c r="P48" s="2"/>
      <c r="Q48" s="2"/>
      <c r="R48" s="2"/>
      <c r="S48" s="2"/>
      <c r="T48" s="2"/>
      <c r="U48" s="2"/>
      <c r="V48" s="2"/>
      <c r="W48" s="2"/>
      <c r="X48" s="2"/>
      <c r="Y48" s="2"/>
      <c r="Z48" s="2" t="str">
        <f t="shared" si="0"/>
        <v/>
      </c>
      <c r="AA48" s="2" t="str">
        <f t="shared" si="1"/>
        <v/>
      </c>
      <c r="AB48" s="2" t="str">
        <f t="shared" si="2"/>
        <v/>
      </c>
      <c r="AC48" s="2" t="str">
        <f t="shared" si="3"/>
        <v>Walks with direction</v>
      </c>
      <c r="AD48" s="2"/>
      <c r="AE48" s="5"/>
      <c r="AF48" s="2"/>
      <c r="AG48" s="2"/>
      <c r="AH48" s="2"/>
      <c r="AI48" s="2"/>
    </row>
    <row r="49" spans="1:35">
      <c r="A49" s="2"/>
      <c r="B49" s="2"/>
      <c r="C49" s="2"/>
      <c r="D49" s="2"/>
      <c r="E49" s="5"/>
      <c r="F49" s="2"/>
      <c r="G49" s="5"/>
      <c r="H49" s="2"/>
      <c r="I49" s="2"/>
      <c r="J49" s="2"/>
      <c r="K49" s="2"/>
      <c r="L49" s="2"/>
      <c r="M49" s="2"/>
      <c r="N49" s="2"/>
      <c r="O49" s="2"/>
      <c r="P49" s="2"/>
      <c r="Q49" s="2"/>
      <c r="R49" s="2"/>
      <c r="S49" s="2"/>
      <c r="T49" s="2"/>
      <c r="U49" s="2"/>
      <c r="V49" s="2"/>
      <c r="W49" s="2"/>
      <c r="X49" s="2"/>
      <c r="Y49" s="2"/>
      <c r="Z49" s="2" t="str">
        <f t="shared" si="0"/>
        <v/>
      </c>
      <c r="AA49" s="2" t="str">
        <f t="shared" si="1"/>
        <v/>
      </c>
      <c r="AB49" s="2" t="str">
        <f t="shared" si="2"/>
        <v/>
      </c>
      <c r="AC49" s="2" t="str">
        <f t="shared" si="3"/>
        <v>Walks with direction</v>
      </c>
      <c r="AD49" s="2"/>
      <c r="AE49" s="5"/>
      <c r="AF49" s="2"/>
      <c r="AG49" s="2"/>
      <c r="AH49" s="2"/>
      <c r="AI49" s="2"/>
    </row>
    <row r="50" spans="1:35">
      <c r="A50" s="2"/>
      <c r="B50" s="2"/>
      <c r="C50" s="2"/>
      <c r="D50" s="2"/>
      <c r="E50" s="5"/>
      <c r="F50" s="2"/>
      <c r="G50" s="5"/>
      <c r="H50" s="2"/>
      <c r="I50" s="2"/>
      <c r="J50" s="2"/>
      <c r="K50" s="2"/>
      <c r="L50" s="2"/>
      <c r="M50" s="2"/>
      <c r="N50" s="2"/>
      <c r="O50" s="2"/>
      <c r="P50" s="2"/>
      <c r="Q50" s="2"/>
      <c r="R50" s="2"/>
      <c r="S50" s="2"/>
      <c r="T50" s="2"/>
      <c r="U50" s="2"/>
      <c r="V50" s="2"/>
      <c r="W50" s="2"/>
      <c r="X50" s="2"/>
      <c r="Y50" s="2"/>
      <c r="Z50" s="2" t="str">
        <f t="shared" ref="Z50:Z81" si="4">IF(COUNTA(H50:Y50)=0,"",IF(COUNTIF(H50:Y50,"Very High")&gt;0,"Very High",IF(COUNTIF(H50:Y50,"High")&gt;0,"High",IF(COUNTIF(H50:Y50,"Medium")&gt;0,"Medium","Low"))))</f>
        <v/>
      </c>
      <c r="AA50" s="2" t="str">
        <f t="shared" ref="AA50:AA81" si="5">IF(Z50="","",IF(Z50="Low","Routine planned support",IF(Z50="Medium","One staff support/supervision likely",IF(Z50="High","Two staff/review staffing and equipment","Manager review: multiple staff/specialist support"))))</f>
        <v/>
      </c>
      <c r="AB50" s="2" t="str">
        <f t="shared" ref="AB50:AB81" si="6">IF(Z50="","",IF(OR(Z50="High",Z50="Very High",W50="High",W50="Very High"),"Night staffing and evacuation review required","Routine night checks as per care plan"))</f>
        <v/>
      </c>
      <c r="AC50" s="2" t="str">
        <f t="shared" ref="AC50:AC81" si="7">IF(X50="Very High","Specialist PEEP / equipment",IF(OR(X50="High",Z50="High"),"Evacuation sheet/chair or wheelchair per PEEP",IF(OR(X50="Medium",Z50="Medium"),"Walking aid/wheelchair support per PEEP","Walks with direction")))</f>
        <v>Walks with direction</v>
      </c>
      <c r="AD50" s="2"/>
      <c r="AE50" s="5"/>
      <c r="AF50" s="2"/>
      <c r="AG50" s="2"/>
      <c r="AH50" s="2"/>
      <c r="AI50" s="2"/>
    </row>
    <row r="51" spans="1:35">
      <c r="A51" s="2"/>
      <c r="B51" s="2"/>
      <c r="C51" s="2"/>
      <c r="D51" s="2"/>
      <c r="E51" s="5"/>
      <c r="F51" s="2"/>
      <c r="G51" s="5"/>
      <c r="H51" s="2"/>
      <c r="I51" s="2"/>
      <c r="J51" s="2"/>
      <c r="K51" s="2"/>
      <c r="L51" s="2"/>
      <c r="M51" s="2"/>
      <c r="N51" s="2"/>
      <c r="O51" s="2"/>
      <c r="P51" s="2"/>
      <c r="Q51" s="2"/>
      <c r="R51" s="2"/>
      <c r="S51" s="2"/>
      <c r="T51" s="2"/>
      <c r="U51" s="2"/>
      <c r="V51" s="2"/>
      <c r="W51" s="2"/>
      <c r="X51" s="2"/>
      <c r="Y51" s="2"/>
      <c r="Z51" s="2" t="str">
        <f t="shared" si="4"/>
        <v/>
      </c>
      <c r="AA51" s="2" t="str">
        <f t="shared" si="5"/>
        <v/>
      </c>
      <c r="AB51" s="2" t="str">
        <f t="shared" si="6"/>
        <v/>
      </c>
      <c r="AC51" s="2" t="str">
        <f t="shared" si="7"/>
        <v>Walks with direction</v>
      </c>
      <c r="AD51" s="2"/>
      <c r="AE51" s="5"/>
      <c r="AF51" s="2"/>
      <c r="AG51" s="2"/>
      <c r="AH51" s="2"/>
      <c r="AI51" s="2"/>
    </row>
    <row r="52" spans="1:35">
      <c r="A52" s="2"/>
      <c r="B52" s="2"/>
      <c r="C52" s="2"/>
      <c r="D52" s="2"/>
      <c r="E52" s="5"/>
      <c r="F52" s="2"/>
      <c r="G52" s="5"/>
      <c r="H52" s="2"/>
      <c r="I52" s="2"/>
      <c r="J52" s="2"/>
      <c r="K52" s="2"/>
      <c r="L52" s="2"/>
      <c r="M52" s="2"/>
      <c r="N52" s="2"/>
      <c r="O52" s="2"/>
      <c r="P52" s="2"/>
      <c r="Q52" s="2"/>
      <c r="R52" s="2"/>
      <c r="S52" s="2"/>
      <c r="T52" s="2"/>
      <c r="U52" s="2"/>
      <c r="V52" s="2"/>
      <c r="W52" s="2"/>
      <c r="X52" s="2"/>
      <c r="Y52" s="2"/>
      <c r="Z52" s="2" t="str">
        <f t="shared" si="4"/>
        <v/>
      </c>
      <c r="AA52" s="2" t="str">
        <f t="shared" si="5"/>
        <v/>
      </c>
      <c r="AB52" s="2" t="str">
        <f t="shared" si="6"/>
        <v/>
      </c>
      <c r="AC52" s="2" t="str">
        <f t="shared" si="7"/>
        <v>Walks with direction</v>
      </c>
      <c r="AD52" s="2"/>
      <c r="AE52" s="5"/>
      <c r="AF52" s="2"/>
      <c r="AG52" s="2"/>
      <c r="AH52" s="2"/>
      <c r="AI52" s="2"/>
    </row>
    <row r="53" spans="1:35">
      <c r="A53" s="2"/>
      <c r="B53" s="2"/>
      <c r="C53" s="2"/>
      <c r="D53" s="2"/>
      <c r="E53" s="5"/>
      <c r="F53" s="2"/>
      <c r="G53" s="5"/>
      <c r="H53" s="2"/>
      <c r="I53" s="2"/>
      <c r="J53" s="2"/>
      <c r="K53" s="2"/>
      <c r="L53" s="2"/>
      <c r="M53" s="2"/>
      <c r="N53" s="2"/>
      <c r="O53" s="2"/>
      <c r="P53" s="2"/>
      <c r="Q53" s="2"/>
      <c r="R53" s="2"/>
      <c r="S53" s="2"/>
      <c r="T53" s="2"/>
      <c r="U53" s="2"/>
      <c r="V53" s="2"/>
      <c r="W53" s="2"/>
      <c r="X53" s="2"/>
      <c r="Y53" s="2"/>
      <c r="Z53" s="2" t="str">
        <f t="shared" si="4"/>
        <v/>
      </c>
      <c r="AA53" s="2" t="str">
        <f t="shared" si="5"/>
        <v/>
      </c>
      <c r="AB53" s="2" t="str">
        <f t="shared" si="6"/>
        <v/>
      </c>
      <c r="AC53" s="2" t="str">
        <f t="shared" si="7"/>
        <v>Walks with direction</v>
      </c>
      <c r="AD53" s="2"/>
      <c r="AE53" s="5"/>
      <c r="AF53" s="2"/>
      <c r="AG53" s="2"/>
      <c r="AH53" s="2"/>
      <c r="AI53" s="2"/>
    </row>
    <row r="54" spans="1:35">
      <c r="A54" s="2"/>
      <c r="B54" s="2"/>
      <c r="C54" s="2"/>
      <c r="D54" s="2"/>
      <c r="E54" s="5"/>
      <c r="F54" s="2"/>
      <c r="G54" s="5"/>
      <c r="H54" s="2"/>
      <c r="I54" s="2"/>
      <c r="J54" s="2"/>
      <c r="K54" s="2"/>
      <c r="L54" s="2"/>
      <c r="M54" s="2"/>
      <c r="N54" s="2"/>
      <c r="O54" s="2"/>
      <c r="P54" s="2"/>
      <c r="Q54" s="2"/>
      <c r="R54" s="2"/>
      <c r="S54" s="2"/>
      <c r="T54" s="2"/>
      <c r="U54" s="2"/>
      <c r="V54" s="2"/>
      <c r="W54" s="2"/>
      <c r="X54" s="2"/>
      <c r="Y54" s="2"/>
      <c r="Z54" s="2" t="str">
        <f t="shared" si="4"/>
        <v/>
      </c>
      <c r="AA54" s="2" t="str">
        <f t="shared" si="5"/>
        <v/>
      </c>
      <c r="AB54" s="2" t="str">
        <f t="shared" si="6"/>
        <v/>
      </c>
      <c r="AC54" s="2" t="str">
        <f t="shared" si="7"/>
        <v>Walks with direction</v>
      </c>
      <c r="AD54" s="2"/>
      <c r="AE54" s="5"/>
      <c r="AF54" s="2"/>
      <c r="AG54" s="2"/>
      <c r="AH54" s="2"/>
      <c r="AI54" s="2"/>
    </row>
    <row r="55" spans="1:35">
      <c r="A55" s="2"/>
      <c r="B55" s="2"/>
      <c r="C55" s="2"/>
      <c r="D55" s="2"/>
      <c r="E55" s="5"/>
      <c r="F55" s="2"/>
      <c r="G55" s="5"/>
      <c r="H55" s="2"/>
      <c r="I55" s="2"/>
      <c r="J55" s="2"/>
      <c r="K55" s="2"/>
      <c r="L55" s="2"/>
      <c r="M55" s="2"/>
      <c r="N55" s="2"/>
      <c r="O55" s="2"/>
      <c r="P55" s="2"/>
      <c r="Q55" s="2"/>
      <c r="R55" s="2"/>
      <c r="S55" s="2"/>
      <c r="T55" s="2"/>
      <c r="U55" s="2"/>
      <c r="V55" s="2"/>
      <c r="W55" s="2"/>
      <c r="X55" s="2"/>
      <c r="Y55" s="2"/>
      <c r="Z55" s="2" t="str">
        <f t="shared" si="4"/>
        <v/>
      </c>
      <c r="AA55" s="2" t="str">
        <f t="shared" si="5"/>
        <v/>
      </c>
      <c r="AB55" s="2" t="str">
        <f t="shared" si="6"/>
        <v/>
      </c>
      <c r="AC55" s="2" t="str">
        <f t="shared" si="7"/>
        <v>Walks with direction</v>
      </c>
      <c r="AD55" s="2"/>
      <c r="AE55" s="5"/>
      <c r="AF55" s="2"/>
      <c r="AG55" s="2"/>
      <c r="AH55" s="2"/>
      <c r="AI55" s="2"/>
    </row>
    <row r="56" spans="1:35">
      <c r="A56" s="2"/>
      <c r="B56" s="2"/>
      <c r="C56" s="2"/>
      <c r="D56" s="2"/>
      <c r="E56" s="5"/>
      <c r="F56" s="2"/>
      <c r="G56" s="5"/>
      <c r="H56" s="2"/>
      <c r="I56" s="2"/>
      <c r="J56" s="2"/>
      <c r="K56" s="2"/>
      <c r="L56" s="2"/>
      <c r="M56" s="2"/>
      <c r="N56" s="2"/>
      <c r="O56" s="2"/>
      <c r="P56" s="2"/>
      <c r="Q56" s="2"/>
      <c r="R56" s="2"/>
      <c r="S56" s="2"/>
      <c r="T56" s="2"/>
      <c r="U56" s="2"/>
      <c r="V56" s="2"/>
      <c r="W56" s="2"/>
      <c r="X56" s="2"/>
      <c r="Y56" s="2"/>
      <c r="Z56" s="2" t="str">
        <f t="shared" si="4"/>
        <v/>
      </c>
      <c r="AA56" s="2" t="str">
        <f t="shared" si="5"/>
        <v/>
      </c>
      <c r="AB56" s="2" t="str">
        <f t="shared" si="6"/>
        <v/>
      </c>
      <c r="AC56" s="2" t="str">
        <f t="shared" si="7"/>
        <v>Walks with direction</v>
      </c>
      <c r="AD56" s="2"/>
      <c r="AE56" s="5"/>
      <c r="AF56" s="2"/>
      <c r="AG56" s="2"/>
      <c r="AH56" s="2"/>
      <c r="AI56" s="2"/>
    </row>
    <row r="57" spans="1:35">
      <c r="A57" s="2"/>
      <c r="B57" s="2"/>
      <c r="C57" s="2"/>
      <c r="D57" s="2"/>
      <c r="E57" s="5"/>
      <c r="F57" s="2"/>
      <c r="G57" s="5"/>
      <c r="H57" s="2"/>
      <c r="I57" s="2"/>
      <c r="J57" s="2"/>
      <c r="K57" s="2"/>
      <c r="L57" s="2"/>
      <c r="M57" s="2"/>
      <c r="N57" s="2"/>
      <c r="O57" s="2"/>
      <c r="P57" s="2"/>
      <c r="Q57" s="2"/>
      <c r="R57" s="2"/>
      <c r="S57" s="2"/>
      <c r="T57" s="2"/>
      <c r="U57" s="2"/>
      <c r="V57" s="2"/>
      <c r="W57" s="2"/>
      <c r="X57" s="2"/>
      <c r="Y57" s="2"/>
      <c r="Z57" s="2" t="str">
        <f t="shared" si="4"/>
        <v/>
      </c>
      <c r="AA57" s="2" t="str">
        <f t="shared" si="5"/>
        <v/>
      </c>
      <c r="AB57" s="2" t="str">
        <f t="shared" si="6"/>
        <v/>
      </c>
      <c r="AC57" s="2" t="str">
        <f t="shared" si="7"/>
        <v>Walks with direction</v>
      </c>
      <c r="AD57" s="2"/>
      <c r="AE57" s="5"/>
      <c r="AF57" s="2"/>
      <c r="AG57" s="2"/>
      <c r="AH57" s="2"/>
      <c r="AI57" s="2"/>
    </row>
    <row r="58" spans="1:35">
      <c r="A58" s="2"/>
      <c r="B58" s="2"/>
      <c r="C58" s="2"/>
      <c r="D58" s="2"/>
      <c r="E58" s="5"/>
      <c r="F58" s="2"/>
      <c r="G58" s="5"/>
      <c r="H58" s="2"/>
      <c r="I58" s="2"/>
      <c r="J58" s="2"/>
      <c r="K58" s="2"/>
      <c r="L58" s="2"/>
      <c r="M58" s="2"/>
      <c r="N58" s="2"/>
      <c r="O58" s="2"/>
      <c r="P58" s="2"/>
      <c r="Q58" s="2"/>
      <c r="R58" s="2"/>
      <c r="S58" s="2"/>
      <c r="T58" s="2"/>
      <c r="U58" s="2"/>
      <c r="V58" s="2"/>
      <c r="W58" s="2"/>
      <c r="X58" s="2"/>
      <c r="Y58" s="2"/>
      <c r="Z58" s="2" t="str">
        <f t="shared" si="4"/>
        <v/>
      </c>
      <c r="AA58" s="2" t="str">
        <f t="shared" si="5"/>
        <v/>
      </c>
      <c r="AB58" s="2" t="str">
        <f t="shared" si="6"/>
        <v/>
      </c>
      <c r="AC58" s="2" t="str">
        <f t="shared" si="7"/>
        <v>Walks with direction</v>
      </c>
      <c r="AD58" s="2"/>
      <c r="AE58" s="5"/>
      <c r="AF58" s="2"/>
      <c r="AG58" s="2"/>
      <c r="AH58" s="2"/>
      <c r="AI58" s="2"/>
    </row>
    <row r="59" spans="1:35">
      <c r="A59" s="2"/>
      <c r="B59" s="2"/>
      <c r="C59" s="2"/>
      <c r="D59" s="2"/>
      <c r="E59" s="5"/>
      <c r="F59" s="2"/>
      <c r="G59" s="5"/>
      <c r="H59" s="2"/>
      <c r="I59" s="2"/>
      <c r="J59" s="2"/>
      <c r="K59" s="2"/>
      <c r="L59" s="2"/>
      <c r="M59" s="2"/>
      <c r="N59" s="2"/>
      <c r="O59" s="2"/>
      <c r="P59" s="2"/>
      <c r="Q59" s="2"/>
      <c r="R59" s="2"/>
      <c r="S59" s="2"/>
      <c r="T59" s="2"/>
      <c r="U59" s="2"/>
      <c r="V59" s="2"/>
      <c r="W59" s="2"/>
      <c r="X59" s="2"/>
      <c r="Y59" s="2"/>
      <c r="Z59" s="2" t="str">
        <f t="shared" si="4"/>
        <v/>
      </c>
      <c r="AA59" s="2" t="str">
        <f t="shared" si="5"/>
        <v/>
      </c>
      <c r="AB59" s="2" t="str">
        <f t="shared" si="6"/>
        <v/>
      </c>
      <c r="AC59" s="2" t="str">
        <f t="shared" si="7"/>
        <v>Walks with direction</v>
      </c>
      <c r="AD59" s="2"/>
      <c r="AE59" s="5"/>
      <c r="AF59" s="2"/>
      <c r="AG59" s="2"/>
      <c r="AH59" s="2"/>
      <c r="AI59" s="2"/>
    </row>
    <row r="60" spans="1:35">
      <c r="A60" s="2"/>
      <c r="B60" s="2"/>
      <c r="C60" s="2"/>
      <c r="D60" s="2"/>
      <c r="E60" s="5"/>
      <c r="F60" s="2"/>
      <c r="G60" s="5"/>
      <c r="H60" s="2"/>
      <c r="I60" s="2"/>
      <c r="J60" s="2"/>
      <c r="K60" s="2"/>
      <c r="L60" s="2"/>
      <c r="M60" s="2"/>
      <c r="N60" s="2"/>
      <c r="O60" s="2"/>
      <c r="P60" s="2"/>
      <c r="Q60" s="2"/>
      <c r="R60" s="2"/>
      <c r="S60" s="2"/>
      <c r="T60" s="2"/>
      <c r="U60" s="2"/>
      <c r="V60" s="2"/>
      <c r="W60" s="2"/>
      <c r="X60" s="2"/>
      <c r="Y60" s="2"/>
      <c r="Z60" s="2" t="str">
        <f t="shared" si="4"/>
        <v/>
      </c>
      <c r="AA60" s="2" t="str">
        <f t="shared" si="5"/>
        <v/>
      </c>
      <c r="AB60" s="2" t="str">
        <f t="shared" si="6"/>
        <v/>
      </c>
      <c r="AC60" s="2" t="str">
        <f t="shared" si="7"/>
        <v>Walks with direction</v>
      </c>
      <c r="AD60" s="2"/>
      <c r="AE60" s="5"/>
      <c r="AF60" s="2"/>
      <c r="AG60" s="2"/>
      <c r="AH60" s="2"/>
      <c r="AI60" s="2"/>
    </row>
    <row r="61" spans="1:35">
      <c r="A61" s="2"/>
      <c r="B61" s="2"/>
      <c r="C61" s="2"/>
      <c r="D61" s="2"/>
      <c r="E61" s="5"/>
      <c r="F61" s="2"/>
      <c r="G61" s="5"/>
      <c r="H61" s="2"/>
      <c r="I61" s="2"/>
      <c r="J61" s="2"/>
      <c r="K61" s="2"/>
      <c r="L61" s="2"/>
      <c r="M61" s="2"/>
      <c r="N61" s="2"/>
      <c r="O61" s="2"/>
      <c r="P61" s="2"/>
      <c r="Q61" s="2"/>
      <c r="R61" s="2"/>
      <c r="S61" s="2"/>
      <c r="T61" s="2"/>
      <c r="U61" s="2"/>
      <c r="V61" s="2"/>
      <c r="W61" s="2"/>
      <c r="X61" s="2"/>
      <c r="Y61" s="2"/>
      <c r="Z61" s="2" t="str">
        <f t="shared" si="4"/>
        <v/>
      </c>
      <c r="AA61" s="2" t="str">
        <f t="shared" si="5"/>
        <v/>
      </c>
      <c r="AB61" s="2" t="str">
        <f t="shared" si="6"/>
        <v/>
      </c>
      <c r="AC61" s="2" t="str">
        <f t="shared" si="7"/>
        <v>Walks with direction</v>
      </c>
      <c r="AD61" s="2"/>
      <c r="AE61" s="5"/>
      <c r="AF61" s="2"/>
      <c r="AG61" s="2"/>
      <c r="AH61" s="2"/>
      <c r="AI61" s="2"/>
    </row>
    <row r="62" spans="1:35">
      <c r="A62" s="2"/>
      <c r="B62" s="2"/>
      <c r="C62" s="2"/>
      <c r="D62" s="2"/>
      <c r="E62" s="5"/>
      <c r="F62" s="2"/>
      <c r="G62" s="5"/>
      <c r="H62" s="2"/>
      <c r="I62" s="2"/>
      <c r="J62" s="2"/>
      <c r="K62" s="2"/>
      <c r="L62" s="2"/>
      <c r="M62" s="2"/>
      <c r="N62" s="2"/>
      <c r="O62" s="2"/>
      <c r="P62" s="2"/>
      <c r="Q62" s="2"/>
      <c r="R62" s="2"/>
      <c r="S62" s="2"/>
      <c r="T62" s="2"/>
      <c r="U62" s="2"/>
      <c r="V62" s="2"/>
      <c r="W62" s="2"/>
      <c r="X62" s="2"/>
      <c r="Y62" s="2"/>
      <c r="Z62" s="2" t="str">
        <f t="shared" si="4"/>
        <v/>
      </c>
      <c r="AA62" s="2" t="str">
        <f t="shared" si="5"/>
        <v/>
      </c>
      <c r="AB62" s="2" t="str">
        <f t="shared" si="6"/>
        <v/>
      </c>
      <c r="AC62" s="2" t="str">
        <f t="shared" si="7"/>
        <v>Walks with direction</v>
      </c>
      <c r="AD62" s="2"/>
      <c r="AE62" s="5"/>
      <c r="AF62" s="2"/>
      <c r="AG62" s="2"/>
      <c r="AH62" s="2"/>
      <c r="AI62" s="2"/>
    </row>
    <row r="63" spans="1:35">
      <c r="A63" s="2"/>
      <c r="B63" s="2"/>
      <c r="C63" s="2"/>
      <c r="D63" s="2"/>
      <c r="E63" s="5"/>
      <c r="F63" s="2"/>
      <c r="G63" s="5"/>
      <c r="H63" s="2"/>
      <c r="I63" s="2"/>
      <c r="J63" s="2"/>
      <c r="K63" s="2"/>
      <c r="L63" s="2"/>
      <c r="M63" s="2"/>
      <c r="N63" s="2"/>
      <c r="O63" s="2"/>
      <c r="P63" s="2"/>
      <c r="Q63" s="2"/>
      <c r="R63" s="2"/>
      <c r="S63" s="2"/>
      <c r="T63" s="2"/>
      <c r="U63" s="2"/>
      <c r="V63" s="2"/>
      <c r="W63" s="2"/>
      <c r="X63" s="2"/>
      <c r="Y63" s="2"/>
      <c r="Z63" s="2" t="str">
        <f t="shared" si="4"/>
        <v/>
      </c>
      <c r="AA63" s="2" t="str">
        <f t="shared" si="5"/>
        <v/>
      </c>
      <c r="AB63" s="2" t="str">
        <f t="shared" si="6"/>
        <v/>
      </c>
      <c r="AC63" s="2" t="str">
        <f t="shared" si="7"/>
        <v>Walks with direction</v>
      </c>
      <c r="AD63" s="2"/>
      <c r="AE63" s="5"/>
      <c r="AF63" s="2"/>
      <c r="AG63" s="2"/>
      <c r="AH63" s="2"/>
      <c r="AI63" s="2"/>
    </row>
    <row r="64" spans="1:35">
      <c r="A64" s="2"/>
      <c r="B64" s="2"/>
      <c r="C64" s="2"/>
      <c r="D64" s="2"/>
      <c r="E64" s="5"/>
      <c r="F64" s="2"/>
      <c r="G64" s="5"/>
      <c r="H64" s="2"/>
      <c r="I64" s="2"/>
      <c r="J64" s="2"/>
      <c r="K64" s="2"/>
      <c r="L64" s="2"/>
      <c r="M64" s="2"/>
      <c r="N64" s="2"/>
      <c r="O64" s="2"/>
      <c r="P64" s="2"/>
      <c r="Q64" s="2"/>
      <c r="R64" s="2"/>
      <c r="S64" s="2"/>
      <c r="T64" s="2"/>
      <c r="U64" s="2"/>
      <c r="V64" s="2"/>
      <c r="W64" s="2"/>
      <c r="X64" s="2"/>
      <c r="Y64" s="2"/>
      <c r="Z64" s="2" t="str">
        <f t="shared" si="4"/>
        <v/>
      </c>
      <c r="AA64" s="2" t="str">
        <f t="shared" si="5"/>
        <v/>
      </c>
      <c r="AB64" s="2" t="str">
        <f t="shared" si="6"/>
        <v/>
      </c>
      <c r="AC64" s="2" t="str">
        <f t="shared" si="7"/>
        <v>Walks with direction</v>
      </c>
      <c r="AD64" s="2"/>
      <c r="AE64" s="5"/>
      <c r="AF64" s="2"/>
      <c r="AG64" s="2"/>
      <c r="AH64" s="2"/>
      <c r="AI64" s="2"/>
    </row>
    <row r="65" spans="1:35">
      <c r="A65" s="2"/>
      <c r="B65" s="2"/>
      <c r="C65" s="2"/>
      <c r="D65" s="2"/>
      <c r="E65" s="5"/>
      <c r="F65" s="2"/>
      <c r="G65" s="5"/>
      <c r="H65" s="2"/>
      <c r="I65" s="2"/>
      <c r="J65" s="2"/>
      <c r="K65" s="2"/>
      <c r="L65" s="2"/>
      <c r="M65" s="2"/>
      <c r="N65" s="2"/>
      <c r="O65" s="2"/>
      <c r="P65" s="2"/>
      <c r="Q65" s="2"/>
      <c r="R65" s="2"/>
      <c r="S65" s="2"/>
      <c r="T65" s="2"/>
      <c r="U65" s="2"/>
      <c r="V65" s="2"/>
      <c r="W65" s="2"/>
      <c r="X65" s="2"/>
      <c r="Y65" s="2"/>
      <c r="Z65" s="2" t="str">
        <f t="shared" si="4"/>
        <v/>
      </c>
      <c r="AA65" s="2" t="str">
        <f t="shared" si="5"/>
        <v/>
      </c>
      <c r="AB65" s="2" t="str">
        <f t="shared" si="6"/>
        <v/>
      </c>
      <c r="AC65" s="2" t="str">
        <f t="shared" si="7"/>
        <v>Walks with direction</v>
      </c>
      <c r="AD65" s="2"/>
      <c r="AE65" s="5"/>
      <c r="AF65" s="2"/>
      <c r="AG65" s="2"/>
      <c r="AH65" s="2"/>
      <c r="AI65" s="2"/>
    </row>
    <row r="66" spans="1:35">
      <c r="A66" s="2"/>
      <c r="B66" s="2"/>
      <c r="C66" s="2"/>
      <c r="D66" s="2"/>
      <c r="E66" s="5"/>
      <c r="F66" s="2"/>
      <c r="G66" s="5"/>
      <c r="H66" s="2"/>
      <c r="I66" s="2"/>
      <c r="J66" s="2"/>
      <c r="K66" s="2"/>
      <c r="L66" s="2"/>
      <c r="M66" s="2"/>
      <c r="N66" s="2"/>
      <c r="O66" s="2"/>
      <c r="P66" s="2"/>
      <c r="Q66" s="2"/>
      <c r="R66" s="2"/>
      <c r="S66" s="2"/>
      <c r="T66" s="2"/>
      <c r="U66" s="2"/>
      <c r="V66" s="2"/>
      <c r="W66" s="2"/>
      <c r="X66" s="2"/>
      <c r="Y66" s="2"/>
      <c r="Z66" s="2" t="str">
        <f t="shared" si="4"/>
        <v/>
      </c>
      <c r="AA66" s="2" t="str">
        <f t="shared" si="5"/>
        <v/>
      </c>
      <c r="AB66" s="2" t="str">
        <f t="shared" si="6"/>
        <v/>
      </c>
      <c r="AC66" s="2" t="str">
        <f t="shared" si="7"/>
        <v>Walks with direction</v>
      </c>
      <c r="AD66" s="2"/>
      <c r="AE66" s="5"/>
      <c r="AF66" s="2"/>
      <c r="AG66" s="2"/>
      <c r="AH66" s="2"/>
      <c r="AI66" s="2"/>
    </row>
    <row r="67" spans="1:35">
      <c r="A67" s="2"/>
      <c r="B67" s="2"/>
      <c r="C67" s="2"/>
      <c r="D67" s="2"/>
      <c r="E67" s="5"/>
      <c r="F67" s="2"/>
      <c r="G67" s="5"/>
      <c r="H67" s="2"/>
      <c r="I67" s="2"/>
      <c r="J67" s="2"/>
      <c r="K67" s="2"/>
      <c r="L67" s="2"/>
      <c r="M67" s="2"/>
      <c r="N67" s="2"/>
      <c r="O67" s="2"/>
      <c r="P67" s="2"/>
      <c r="Q67" s="2"/>
      <c r="R67" s="2"/>
      <c r="S67" s="2"/>
      <c r="T67" s="2"/>
      <c r="U67" s="2"/>
      <c r="V67" s="2"/>
      <c r="W67" s="2"/>
      <c r="X67" s="2"/>
      <c r="Y67" s="2"/>
      <c r="Z67" s="2" t="str">
        <f t="shared" si="4"/>
        <v/>
      </c>
      <c r="AA67" s="2" t="str">
        <f t="shared" si="5"/>
        <v/>
      </c>
      <c r="AB67" s="2" t="str">
        <f t="shared" si="6"/>
        <v/>
      </c>
      <c r="AC67" s="2" t="str">
        <f t="shared" si="7"/>
        <v>Walks with direction</v>
      </c>
      <c r="AD67" s="2"/>
      <c r="AE67" s="5"/>
      <c r="AF67" s="2"/>
      <c r="AG67" s="2"/>
      <c r="AH67" s="2"/>
      <c r="AI67" s="2"/>
    </row>
    <row r="68" spans="1:35">
      <c r="A68" s="2"/>
      <c r="B68" s="2"/>
      <c r="C68" s="2"/>
      <c r="D68" s="2"/>
      <c r="E68" s="5"/>
      <c r="F68" s="2"/>
      <c r="G68" s="5"/>
      <c r="H68" s="2"/>
      <c r="I68" s="2"/>
      <c r="J68" s="2"/>
      <c r="K68" s="2"/>
      <c r="L68" s="2"/>
      <c r="M68" s="2"/>
      <c r="N68" s="2"/>
      <c r="O68" s="2"/>
      <c r="P68" s="2"/>
      <c r="Q68" s="2"/>
      <c r="R68" s="2"/>
      <c r="S68" s="2"/>
      <c r="T68" s="2"/>
      <c r="U68" s="2"/>
      <c r="V68" s="2"/>
      <c r="W68" s="2"/>
      <c r="X68" s="2"/>
      <c r="Y68" s="2"/>
      <c r="Z68" s="2" t="str">
        <f t="shared" si="4"/>
        <v/>
      </c>
      <c r="AA68" s="2" t="str">
        <f t="shared" si="5"/>
        <v/>
      </c>
      <c r="AB68" s="2" t="str">
        <f t="shared" si="6"/>
        <v/>
      </c>
      <c r="AC68" s="2" t="str">
        <f t="shared" si="7"/>
        <v>Walks with direction</v>
      </c>
      <c r="AD68" s="2"/>
      <c r="AE68" s="5"/>
      <c r="AF68" s="2"/>
      <c r="AG68" s="2"/>
      <c r="AH68" s="2"/>
      <c r="AI68" s="2"/>
    </row>
    <row r="69" spans="1:35">
      <c r="A69" s="2"/>
      <c r="B69" s="2"/>
      <c r="C69" s="2"/>
      <c r="D69" s="2"/>
      <c r="E69" s="5"/>
      <c r="F69" s="2"/>
      <c r="G69" s="5"/>
      <c r="H69" s="2"/>
      <c r="I69" s="2"/>
      <c r="J69" s="2"/>
      <c r="K69" s="2"/>
      <c r="L69" s="2"/>
      <c r="M69" s="2"/>
      <c r="N69" s="2"/>
      <c r="O69" s="2"/>
      <c r="P69" s="2"/>
      <c r="Q69" s="2"/>
      <c r="R69" s="2"/>
      <c r="S69" s="2"/>
      <c r="T69" s="2"/>
      <c r="U69" s="2"/>
      <c r="V69" s="2"/>
      <c r="W69" s="2"/>
      <c r="X69" s="2"/>
      <c r="Y69" s="2"/>
      <c r="Z69" s="2" t="str">
        <f t="shared" si="4"/>
        <v/>
      </c>
      <c r="AA69" s="2" t="str">
        <f t="shared" si="5"/>
        <v/>
      </c>
      <c r="AB69" s="2" t="str">
        <f t="shared" si="6"/>
        <v/>
      </c>
      <c r="AC69" s="2" t="str">
        <f t="shared" si="7"/>
        <v>Walks with direction</v>
      </c>
      <c r="AD69" s="2"/>
      <c r="AE69" s="5"/>
      <c r="AF69" s="2"/>
      <c r="AG69" s="2"/>
      <c r="AH69" s="2"/>
      <c r="AI69" s="2"/>
    </row>
    <row r="70" spans="1:35">
      <c r="A70" s="2"/>
      <c r="B70" s="2"/>
      <c r="C70" s="2"/>
      <c r="D70" s="2"/>
      <c r="E70" s="5"/>
      <c r="F70" s="2"/>
      <c r="G70" s="5"/>
      <c r="H70" s="2"/>
      <c r="I70" s="2"/>
      <c r="J70" s="2"/>
      <c r="K70" s="2"/>
      <c r="L70" s="2"/>
      <c r="M70" s="2"/>
      <c r="N70" s="2"/>
      <c r="O70" s="2"/>
      <c r="P70" s="2"/>
      <c r="Q70" s="2"/>
      <c r="R70" s="2"/>
      <c r="S70" s="2"/>
      <c r="T70" s="2"/>
      <c r="U70" s="2"/>
      <c r="V70" s="2"/>
      <c r="W70" s="2"/>
      <c r="X70" s="2"/>
      <c r="Y70" s="2"/>
      <c r="Z70" s="2" t="str">
        <f t="shared" si="4"/>
        <v/>
      </c>
      <c r="AA70" s="2" t="str">
        <f t="shared" si="5"/>
        <v/>
      </c>
      <c r="AB70" s="2" t="str">
        <f t="shared" si="6"/>
        <v/>
      </c>
      <c r="AC70" s="2" t="str">
        <f t="shared" si="7"/>
        <v>Walks with direction</v>
      </c>
      <c r="AD70" s="2"/>
      <c r="AE70" s="5"/>
      <c r="AF70" s="2"/>
      <c r="AG70" s="2"/>
      <c r="AH70" s="2"/>
      <c r="AI70" s="2"/>
    </row>
    <row r="71" spans="1:35">
      <c r="A71" s="2"/>
      <c r="B71" s="2"/>
      <c r="C71" s="2"/>
      <c r="D71" s="2"/>
      <c r="E71" s="5"/>
      <c r="F71" s="2"/>
      <c r="G71" s="5"/>
      <c r="H71" s="2"/>
      <c r="I71" s="2"/>
      <c r="J71" s="2"/>
      <c r="K71" s="2"/>
      <c r="L71" s="2"/>
      <c r="M71" s="2"/>
      <c r="N71" s="2"/>
      <c r="O71" s="2"/>
      <c r="P71" s="2"/>
      <c r="Q71" s="2"/>
      <c r="R71" s="2"/>
      <c r="S71" s="2"/>
      <c r="T71" s="2"/>
      <c r="U71" s="2"/>
      <c r="V71" s="2"/>
      <c r="W71" s="2"/>
      <c r="X71" s="2"/>
      <c r="Y71" s="2"/>
      <c r="Z71" s="2" t="str">
        <f t="shared" si="4"/>
        <v/>
      </c>
      <c r="AA71" s="2" t="str">
        <f t="shared" si="5"/>
        <v/>
      </c>
      <c r="AB71" s="2" t="str">
        <f t="shared" si="6"/>
        <v/>
      </c>
      <c r="AC71" s="2" t="str">
        <f t="shared" si="7"/>
        <v>Walks with direction</v>
      </c>
      <c r="AD71" s="2"/>
      <c r="AE71" s="5"/>
      <c r="AF71" s="2"/>
      <c r="AG71" s="2"/>
      <c r="AH71" s="2"/>
      <c r="AI71" s="2"/>
    </row>
    <row r="72" spans="1:35">
      <c r="A72" s="2"/>
      <c r="B72" s="2"/>
      <c r="C72" s="2"/>
      <c r="D72" s="2"/>
      <c r="E72" s="5"/>
      <c r="F72" s="2"/>
      <c r="G72" s="5"/>
      <c r="H72" s="2"/>
      <c r="I72" s="2"/>
      <c r="J72" s="2"/>
      <c r="K72" s="2"/>
      <c r="L72" s="2"/>
      <c r="M72" s="2"/>
      <c r="N72" s="2"/>
      <c r="O72" s="2"/>
      <c r="P72" s="2"/>
      <c r="Q72" s="2"/>
      <c r="R72" s="2"/>
      <c r="S72" s="2"/>
      <c r="T72" s="2"/>
      <c r="U72" s="2"/>
      <c r="V72" s="2"/>
      <c r="W72" s="2"/>
      <c r="X72" s="2"/>
      <c r="Y72" s="2"/>
      <c r="Z72" s="2" t="str">
        <f t="shared" si="4"/>
        <v/>
      </c>
      <c r="AA72" s="2" t="str">
        <f t="shared" si="5"/>
        <v/>
      </c>
      <c r="AB72" s="2" t="str">
        <f t="shared" si="6"/>
        <v/>
      </c>
      <c r="AC72" s="2" t="str">
        <f t="shared" si="7"/>
        <v>Walks with direction</v>
      </c>
      <c r="AD72" s="2"/>
      <c r="AE72" s="5"/>
      <c r="AF72" s="2"/>
      <c r="AG72" s="2"/>
      <c r="AH72" s="2"/>
      <c r="AI72" s="2"/>
    </row>
    <row r="73" spans="1:35">
      <c r="A73" s="2"/>
      <c r="B73" s="2"/>
      <c r="C73" s="2"/>
      <c r="D73" s="2"/>
      <c r="E73" s="5"/>
      <c r="F73" s="2"/>
      <c r="G73" s="5"/>
      <c r="H73" s="2"/>
      <c r="I73" s="2"/>
      <c r="J73" s="2"/>
      <c r="K73" s="2"/>
      <c r="L73" s="2"/>
      <c r="M73" s="2"/>
      <c r="N73" s="2"/>
      <c r="O73" s="2"/>
      <c r="P73" s="2"/>
      <c r="Q73" s="2"/>
      <c r="R73" s="2"/>
      <c r="S73" s="2"/>
      <c r="T73" s="2"/>
      <c r="U73" s="2"/>
      <c r="V73" s="2"/>
      <c r="W73" s="2"/>
      <c r="X73" s="2"/>
      <c r="Y73" s="2"/>
      <c r="Z73" s="2" t="str">
        <f t="shared" si="4"/>
        <v/>
      </c>
      <c r="AA73" s="2" t="str">
        <f t="shared" si="5"/>
        <v/>
      </c>
      <c r="AB73" s="2" t="str">
        <f t="shared" si="6"/>
        <v/>
      </c>
      <c r="AC73" s="2" t="str">
        <f t="shared" si="7"/>
        <v>Walks with direction</v>
      </c>
      <c r="AD73" s="2"/>
      <c r="AE73" s="5"/>
      <c r="AF73" s="2"/>
      <c r="AG73" s="2"/>
      <c r="AH73" s="2"/>
      <c r="AI73" s="2"/>
    </row>
    <row r="74" spans="1:35">
      <c r="A74" s="2"/>
      <c r="B74" s="2"/>
      <c r="C74" s="2"/>
      <c r="D74" s="2"/>
      <c r="E74" s="5"/>
      <c r="F74" s="2"/>
      <c r="G74" s="5"/>
      <c r="H74" s="2"/>
      <c r="I74" s="2"/>
      <c r="J74" s="2"/>
      <c r="K74" s="2"/>
      <c r="L74" s="2"/>
      <c r="M74" s="2"/>
      <c r="N74" s="2"/>
      <c r="O74" s="2"/>
      <c r="P74" s="2"/>
      <c r="Q74" s="2"/>
      <c r="R74" s="2"/>
      <c r="S74" s="2"/>
      <c r="T74" s="2"/>
      <c r="U74" s="2"/>
      <c r="V74" s="2"/>
      <c r="W74" s="2"/>
      <c r="X74" s="2"/>
      <c r="Y74" s="2"/>
      <c r="Z74" s="2" t="str">
        <f t="shared" si="4"/>
        <v/>
      </c>
      <c r="AA74" s="2" t="str">
        <f t="shared" si="5"/>
        <v/>
      </c>
      <c r="AB74" s="2" t="str">
        <f t="shared" si="6"/>
        <v/>
      </c>
      <c r="AC74" s="2" t="str">
        <f t="shared" si="7"/>
        <v>Walks with direction</v>
      </c>
      <c r="AD74" s="2"/>
      <c r="AE74" s="5"/>
      <c r="AF74" s="2"/>
      <c r="AG74" s="2"/>
      <c r="AH74" s="2"/>
      <c r="AI74" s="2"/>
    </row>
    <row r="75" spans="1:35">
      <c r="A75" s="2"/>
      <c r="B75" s="2"/>
      <c r="C75" s="2"/>
      <c r="D75" s="2"/>
      <c r="E75" s="5"/>
      <c r="F75" s="2"/>
      <c r="G75" s="5"/>
      <c r="H75" s="2"/>
      <c r="I75" s="2"/>
      <c r="J75" s="2"/>
      <c r="K75" s="2"/>
      <c r="L75" s="2"/>
      <c r="M75" s="2"/>
      <c r="N75" s="2"/>
      <c r="O75" s="2"/>
      <c r="P75" s="2"/>
      <c r="Q75" s="2"/>
      <c r="R75" s="2"/>
      <c r="S75" s="2"/>
      <c r="T75" s="2"/>
      <c r="U75" s="2"/>
      <c r="V75" s="2"/>
      <c r="W75" s="2"/>
      <c r="X75" s="2"/>
      <c r="Y75" s="2"/>
      <c r="Z75" s="2" t="str">
        <f t="shared" si="4"/>
        <v/>
      </c>
      <c r="AA75" s="2" t="str">
        <f t="shared" si="5"/>
        <v/>
      </c>
      <c r="AB75" s="2" t="str">
        <f t="shared" si="6"/>
        <v/>
      </c>
      <c r="AC75" s="2" t="str">
        <f t="shared" si="7"/>
        <v>Walks with direction</v>
      </c>
      <c r="AD75" s="2"/>
      <c r="AE75" s="5"/>
      <c r="AF75" s="2"/>
      <c r="AG75" s="2"/>
      <c r="AH75" s="2"/>
      <c r="AI75" s="2"/>
    </row>
    <row r="76" spans="1:35">
      <c r="A76" s="2"/>
      <c r="B76" s="2"/>
      <c r="C76" s="2"/>
      <c r="D76" s="2"/>
      <c r="E76" s="5"/>
      <c r="F76" s="2"/>
      <c r="G76" s="5"/>
      <c r="H76" s="2"/>
      <c r="I76" s="2"/>
      <c r="J76" s="2"/>
      <c r="K76" s="2"/>
      <c r="L76" s="2"/>
      <c r="M76" s="2"/>
      <c r="N76" s="2"/>
      <c r="O76" s="2"/>
      <c r="P76" s="2"/>
      <c r="Q76" s="2"/>
      <c r="R76" s="2"/>
      <c r="S76" s="2"/>
      <c r="T76" s="2"/>
      <c r="U76" s="2"/>
      <c r="V76" s="2"/>
      <c r="W76" s="2"/>
      <c r="X76" s="2"/>
      <c r="Y76" s="2"/>
      <c r="Z76" s="2" t="str">
        <f t="shared" si="4"/>
        <v/>
      </c>
      <c r="AA76" s="2" t="str">
        <f t="shared" si="5"/>
        <v/>
      </c>
      <c r="AB76" s="2" t="str">
        <f t="shared" si="6"/>
        <v/>
      </c>
      <c r="AC76" s="2" t="str">
        <f t="shared" si="7"/>
        <v>Walks with direction</v>
      </c>
      <c r="AD76" s="2"/>
      <c r="AE76" s="5"/>
      <c r="AF76" s="2"/>
      <c r="AG76" s="2"/>
      <c r="AH76" s="2"/>
      <c r="AI76" s="2"/>
    </row>
    <row r="77" spans="1:35">
      <c r="A77" s="2"/>
      <c r="B77" s="2"/>
      <c r="C77" s="2"/>
      <c r="D77" s="2"/>
      <c r="E77" s="5"/>
      <c r="F77" s="2"/>
      <c r="G77" s="5"/>
      <c r="H77" s="2"/>
      <c r="I77" s="2"/>
      <c r="J77" s="2"/>
      <c r="K77" s="2"/>
      <c r="L77" s="2"/>
      <c r="M77" s="2"/>
      <c r="N77" s="2"/>
      <c r="O77" s="2"/>
      <c r="P77" s="2"/>
      <c r="Q77" s="2"/>
      <c r="R77" s="2"/>
      <c r="S77" s="2"/>
      <c r="T77" s="2"/>
      <c r="U77" s="2"/>
      <c r="V77" s="2"/>
      <c r="W77" s="2"/>
      <c r="X77" s="2"/>
      <c r="Y77" s="2"/>
      <c r="Z77" s="2" t="str">
        <f t="shared" si="4"/>
        <v/>
      </c>
      <c r="AA77" s="2" t="str">
        <f t="shared" si="5"/>
        <v/>
      </c>
      <c r="AB77" s="2" t="str">
        <f t="shared" si="6"/>
        <v/>
      </c>
      <c r="AC77" s="2" t="str">
        <f t="shared" si="7"/>
        <v>Walks with direction</v>
      </c>
      <c r="AD77" s="2"/>
      <c r="AE77" s="5"/>
      <c r="AF77" s="2"/>
      <c r="AG77" s="2"/>
      <c r="AH77" s="2"/>
      <c r="AI77" s="2"/>
    </row>
    <row r="78" spans="1:35">
      <c r="A78" s="2"/>
      <c r="B78" s="2"/>
      <c r="C78" s="2"/>
      <c r="D78" s="2"/>
      <c r="E78" s="5"/>
      <c r="F78" s="2"/>
      <c r="G78" s="5"/>
      <c r="H78" s="2"/>
      <c r="I78" s="2"/>
      <c r="J78" s="2"/>
      <c r="K78" s="2"/>
      <c r="L78" s="2"/>
      <c r="M78" s="2"/>
      <c r="N78" s="2"/>
      <c r="O78" s="2"/>
      <c r="P78" s="2"/>
      <c r="Q78" s="2"/>
      <c r="R78" s="2"/>
      <c r="S78" s="2"/>
      <c r="T78" s="2"/>
      <c r="U78" s="2"/>
      <c r="V78" s="2"/>
      <c r="W78" s="2"/>
      <c r="X78" s="2"/>
      <c r="Y78" s="2"/>
      <c r="Z78" s="2" t="str">
        <f t="shared" si="4"/>
        <v/>
      </c>
      <c r="AA78" s="2" t="str">
        <f t="shared" si="5"/>
        <v/>
      </c>
      <c r="AB78" s="2" t="str">
        <f t="shared" si="6"/>
        <v/>
      </c>
      <c r="AC78" s="2" t="str">
        <f t="shared" si="7"/>
        <v>Walks with direction</v>
      </c>
      <c r="AD78" s="2"/>
      <c r="AE78" s="5"/>
      <c r="AF78" s="2"/>
      <c r="AG78" s="2"/>
      <c r="AH78" s="2"/>
      <c r="AI78" s="2"/>
    </row>
    <row r="79" spans="1:35">
      <c r="A79" s="2"/>
      <c r="B79" s="2"/>
      <c r="C79" s="2"/>
      <c r="D79" s="2"/>
      <c r="E79" s="5"/>
      <c r="F79" s="2"/>
      <c r="G79" s="5"/>
      <c r="H79" s="2"/>
      <c r="I79" s="2"/>
      <c r="J79" s="2"/>
      <c r="K79" s="2"/>
      <c r="L79" s="2"/>
      <c r="M79" s="2"/>
      <c r="N79" s="2"/>
      <c r="O79" s="2"/>
      <c r="P79" s="2"/>
      <c r="Q79" s="2"/>
      <c r="R79" s="2"/>
      <c r="S79" s="2"/>
      <c r="T79" s="2"/>
      <c r="U79" s="2"/>
      <c r="V79" s="2"/>
      <c r="W79" s="2"/>
      <c r="X79" s="2"/>
      <c r="Y79" s="2"/>
      <c r="Z79" s="2" t="str">
        <f t="shared" si="4"/>
        <v/>
      </c>
      <c r="AA79" s="2" t="str">
        <f t="shared" si="5"/>
        <v/>
      </c>
      <c r="AB79" s="2" t="str">
        <f t="shared" si="6"/>
        <v/>
      </c>
      <c r="AC79" s="2" t="str">
        <f t="shared" si="7"/>
        <v>Walks with direction</v>
      </c>
      <c r="AD79" s="2"/>
      <c r="AE79" s="5"/>
      <c r="AF79" s="2"/>
      <c r="AG79" s="2"/>
      <c r="AH79" s="2"/>
      <c r="AI79" s="2"/>
    </row>
    <row r="80" spans="1:35">
      <c r="A80" s="2"/>
      <c r="B80" s="2"/>
      <c r="C80" s="2"/>
      <c r="D80" s="2"/>
      <c r="E80" s="5"/>
      <c r="F80" s="2"/>
      <c r="G80" s="5"/>
      <c r="H80" s="2"/>
      <c r="I80" s="2"/>
      <c r="J80" s="2"/>
      <c r="K80" s="2"/>
      <c r="L80" s="2"/>
      <c r="M80" s="2"/>
      <c r="N80" s="2"/>
      <c r="O80" s="2"/>
      <c r="P80" s="2"/>
      <c r="Q80" s="2"/>
      <c r="R80" s="2"/>
      <c r="S80" s="2"/>
      <c r="T80" s="2"/>
      <c r="U80" s="2"/>
      <c r="V80" s="2"/>
      <c r="W80" s="2"/>
      <c r="X80" s="2"/>
      <c r="Y80" s="2"/>
      <c r="Z80" s="2" t="str">
        <f t="shared" si="4"/>
        <v/>
      </c>
      <c r="AA80" s="2" t="str">
        <f t="shared" si="5"/>
        <v/>
      </c>
      <c r="AB80" s="2" t="str">
        <f t="shared" si="6"/>
        <v/>
      </c>
      <c r="AC80" s="2" t="str">
        <f t="shared" si="7"/>
        <v>Walks with direction</v>
      </c>
      <c r="AD80" s="2"/>
      <c r="AE80" s="5"/>
      <c r="AF80" s="2"/>
      <c r="AG80" s="2"/>
      <c r="AH80" s="2"/>
      <c r="AI80" s="2"/>
    </row>
    <row r="81" spans="1:35">
      <c r="A81" s="2"/>
      <c r="B81" s="2"/>
      <c r="C81" s="2"/>
      <c r="D81" s="2"/>
      <c r="E81" s="5"/>
      <c r="F81" s="2"/>
      <c r="G81" s="5"/>
      <c r="H81" s="2"/>
      <c r="I81" s="2"/>
      <c r="J81" s="2"/>
      <c r="K81" s="2"/>
      <c r="L81" s="2"/>
      <c r="M81" s="2"/>
      <c r="N81" s="2"/>
      <c r="O81" s="2"/>
      <c r="P81" s="2"/>
      <c r="Q81" s="2"/>
      <c r="R81" s="2"/>
      <c r="S81" s="2"/>
      <c r="T81" s="2"/>
      <c r="U81" s="2"/>
      <c r="V81" s="2"/>
      <c r="W81" s="2"/>
      <c r="X81" s="2"/>
      <c r="Y81" s="2"/>
      <c r="Z81" s="2" t="str">
        <f t="shared" si="4"/>
        <v/>
      </c>
      <c r="AA81" s="2" t="str">
        <f t="shared" si="5"/>
        <v/>
      </c>
      <c r="AB81" s="2" t="str">
        <f t="shared" si="6"/>
        <v/>
      </c>
      <c r="AC81" s="2" t="str">
        <f t="shared" si="7"/>
        <v>Walks with direction</v>
      </c>
      <c r="AD81" s="2"/>
      <c r="AE81" s="5"/>
      <c r="AF81" s="2"/>
      <c r="AG81" s="2"/>
      <c r="AH81" s="2"/>
      <c r="AI81" s="2"/>
    </row>
    <row r="82" spans="1:35">
      <c r="A82" s="2"/>
      <c r="B82" s="2"/>
      <c r="C82" s="2"/>
      <c r="D82" s="2"/>
      <c r="E82" s="5"/>
      <c r="F82" s="2"/>
      <c r="G82" s="5"/>
      <c r="H82" s="2"/>
      <c r="I82" s="2"/>
      <c r="J82" s="2"/>
      <c r="K82" s="2"/>
      <c r="L82" s="2"/>
      <c r="M82" s="2"/>
      <c r="N82" s="2"/>
      <c r="O82" s="2"/>
      <c r="P82" s="2"/>
      <c r="Q82" s="2"/>
      <c r="R82" s="2"/>
      <c r="S82" s="2"/>
      <c r="T82" s="2"/>
      <c r="U82" s="2"/>
      <c r="V82" s="2"/>
      <c r="W82" s="2"/>
      <c r="X82" s="2"/>
      <c r="Y82" s="2"/>
      <c r="Z82" s="2" t="str">
        <f t="shared" ref="Z82:Z113" si="8">IF(COUNTA(H82:Y82)=0,"",IF(COUNTIF(H82:Y82,"Very High")&gt;0,"Very High",IF(COUNTIF(H82:Y82,"High")&gt;0,"High",IF(COUNTIF(H82:Y82,"Medium")&gt;0,"Medium","Low"))))</f>
        <v/>
      </c>
      <c r="AA82" s="2" t="str">
        <f t="shared" ref="AA82:AA113" si="9">IF(Z82="","",IF(Z82="Low","Routine planned support",IF(Z82="Medium","One staff support/supervision likely",IF(Z82="High","Two staff/review staffing and equipment","Manager review: multiple staff/specialist support"))))</f>
        <v/>
      </c>
      <c r="AB82" s="2" t="str">
        <f t="shared" ref="AB82:AB117" si="10">IF(Z82="","",IF(OR(Z82="High",Z82="Very High",W82="High",W82="Very High"),"Night staffing and evacuation review required","Routine night checks as per care plan"))</f>
        <v/>
      </c>
      <c r="AC82" s="2" t="str">
        <f t="shared" ref="AC82:AC117" si="11">IF(X82="Very High","Specialist PEEP / equipment",IF(OR(X82="High",Z82="High"),"Evacuation sheet/chair or wheelchair per PEEP",IF(OR(X82="Medium",Z82="Medium"),"Walking aid/wheelchair support per PEEP","Walks with direction")))</f>
        <v>Walks with direction</v>
      </c>
      <c r="AD82" s="2"/>
      <c r="AE82" s="5"/>
      <c r="AF82" s="2"/>
      <c r="AG82" s="2"/>
      <c r="AH82" s="2"/>
      <c r="AI82" s="2"/>
    </row>
    <row r="83" spans="1:35">
      <c r="A83" s="2"/>
      <c r="B83" s="2"/>
      <c r="C83" s="2"/>
      <c r="D83" s="2"/>
      <c r="E83" s="5"/>
      <c r="F83" s="2"/>
      <c r="G83" s="5"/>
      <c r="H83" s="2"/>
      <c r="I83" s="2"/>
      <c r="J83" s="2"/>
      <c r="K83" s="2"/>
      <c r="L83" s="2"/>
      <c r="M83" s="2"/>
      <c r="N83" s="2"/>
      <c r="O83" s="2"/>
      <c r="P83" s="2"/>
      <c r="Q83" s="2"/>
      <c r="R83" s="2"/>
      <c r="S83" s="2"/>
      <c r="T83" s="2"/>
      <c r="U83" s="2"/>
      <c r="V83" s="2"/>
      <c r="W83" s="2"/>
      <c r="X83" s="2"/>
      <c r="Y83" s="2"/>
      <c r="Z83" s="2" t="str">
        <f t="shared" si="8"/>
        <v/>
      </c>
      <c r="AA83" s="2" t="str">
        <f t="shared" si="9"/>
        <v/>
      </c>
      <c r="AB83" s="2" t="str">
        <f t="shared" si="10"/>
        <v/>
      </c>
      <c r="AC83" s="2" t="str">
        <f t="shared" si="11"/>
        <v>Walks with direction</v>
      </c>
      <c r="AD83" s="2"/>
      <c r="AE83" s="5"/>
      <c r="AF83" s="2"/>
      <c r="AG83" s="2"/>
      <c r="AH83" s="2"/>
      <c r="AI83" s="2"/>
    </row>
    <row r="84" spans="1:35">
      <c r="A84" s="2"/>
      <c r="B84" s="2"/>
      <c r="C84" s="2"/>
      <c r="D84" s="2"/>
      <c r="E84" s="5"/>
      <c r="F84" s="2"/>
      <c r="G84" s="5"/>
      <c r="H84" s="2"/>
      <c r="I84" s="2"/>
      <c r="J84" s="2"/>
      <c r="K84" s="2"/>
      <c r="L84" s="2"/>
      <c r="M84" s="2"/>
      <c r="N84" s="2"/>
      <c r="O84" s="2"/>
      <c r="P84" s="2"/>
      <c r="Q84" s="2"/>
      <c r="R84" s="2"/>
      <c r="S84" s="2"/>
      <c r="T84" s="2"/>
      <c r="U84" s="2"/>
      <c r="V84" s="2"/>
      <c r="W84" s="2"/>
      <c r="X84" s="2"/>
      <c r="Y84" s="2"/>
      <c r="Z84" s="2" t="str">
        <f t="shared" si="8"/>
        <v/>
      </c>
      <c r="AA84" s="2" t="str">
        <f t="shared" si="9"/>
        <v/>
      </c>
      <c r="AB84" s="2" t="str">
        <f t="shared" si="10"/>
        <v/>
      </c>
      <c r="AC84" s="2" t="str">
        <f t="shared" si="11"/>
        <v>Walks with direction</v>
      </c>
      <c r="AD84" s="2"/>
      <c r="AE84" s="5"/>
      <c r="AF84" s="2"/>
      <c r="AG84" s="2"/>
      <c r="AH84" s="2"/>
      <c r="AI84" s="2"/>
    </row>
    <row r="85" spans="1:35">
      <c r="A85" s="2"/>
      <c r="B85" s="2"/>
      <c r="C85" s="2"/>
      <c r="D85" s="2"/>
      <c r="E85" s="5"/>
      <c r="F85" s="2"/>
      <c r="G85" s="5"/>
      <c r="H85" s="2"/>
      <c r="I85" s="2"/>
      <c r="J85" s="2"/>
      <c r="K85" s="2"/>
      <c r="L85" s="2"/>
      <c r="M85" s="2"/>
      <c r="N85" s="2"/>
      <c r="O85" s="2"/>
      <c r="P85" s="2"/>
      <c r="Q85" s="2"/>
      <c r="R85" s="2"/>
      <c r="S85" s="2"/>
      <c r="T85" s="2"/>
      <c r="U85" s="2"/>
      <c r="V85" s="2"/>
      <c r="W85" s="2"/>
      <c r="X85" s="2"/>
      <c r="Y85" s="2"/>
      <c r="Z85" s="2" t="str">
        <f t="shared" si="8"/>
        <v/>
      </c>
      <c r="AA85" s="2" t="str">
        <f t="shared" si="9"/>
        <v/>
      </c>
      <c r="AB85" s="2" t="str">
        <f t="shared" si="10"/>
        <v/>
      </c>
      <c r="AC85" s="2" t="str">
        <f t="shared" si="11"/>
        <v>Walks with direction</v>
      </c>
      <c r="AD85" s="2"/>
      <c r="AE85" s="5"/>
      <c r="AF85" s="2"/>
      <c r="AG85" s="2"/>
      <c r="AH85" s="2"/>
      <c r="AI85" s="2"/>
    </row>
    <row r="86" spans="1:35">
      <c r="A86" s="2"/>
      <c r="B86" s="2"/>
      <c r="C86" s="2"/>
      <c r="D86" s="2"/>
      <c r="E86" s="5"/>
      <c r="F86" s="2"/>
      <c r="G86" s="5"/>
      <c r="H86" s="2"/>
      <c r="I86" s="2"/>
      <c r="J86" s="2"/>
      <c r="K86" s="2"/>
      <c r="L86" s="2"/>
      <c r="M86" s="2"/>
      <c r="N86" s="2"/>
      <c r="O86" s="2"/>
      <c r="P86" s="2"/>
      <c r="Q86" s="2"/>
      <c r="R86" s="2"/>
      <c r="S86" s="2"/>
      <c r="T86" s="2"/>
      <c r="U86" s="2"/>
      <c r="V86" s="2"/>
      <c r="W86" s="2"/>
      <c r="X86" s="2"/>
      <c r="Y86" s="2"/>
      <c r="Z86" s="2" t="str">
        <f t="shared" si="8"/>
        <v/>
      </c>
      <c r="AA86" s="2" t="str">
        <f t="shared" si="9"/>
        <v/>
      </c>
      <c r="AB86" s="2" t="str">
        <f t="shared" si="10"/>
        <v/>
      </c>
      <c r="AC86" s="2" t="str">
        <f t="shared" si="11"/>
        <v>Walks with direction</v>
      </c>
      <c r="AD86" s="2"/>
      <c r="AE86" s="5"/>
      <c r="AF86" s="2"/>
      <c r="AG86" s="2"/>
      <c r="AH86" s="2"/>
      <c r="AI86" s="2"/>
    </row>
    <row r="87" spans="1:35">
      <c r="A87" s="2"/>
      <c r="B87" s="2"/>
      <c r="C87" s="2"/>
      <c r="D87" s="2"/>
      <c r="E87" s="5"/>
      <c r="F87" s="2"/>
      <c r="G87" s="5"/>
      <c r="H87" s="2"/>
      <c r="I87" s="2"/>
      <c r="J87" s="2"/>
      <c r="K87" s="2"/>
      <c r="L87" s="2"/>
      <c r="M87" s="2"/>
      <c r="N87" s="2"/>
      <c r="O87" s="2"/>
      <c r="P87" s="2"/>
      <c r="Q87" s="2"/>
      <c r="R87" s="2"/>
      <c r="S87" s="2"/>
      <c r="T87" s="2"/>
      <c r="U87" s="2"/>
      <c r="V87" s="2"/>
      <c r="W87" s="2"/>
      <c r="X87" s="2"/>
      <c r="Y87" s="2"/>
      <c r="Z87" s="2" t="str">
        <f t="shared" si="8"/>
        <v/>
      </c>
      <c r="AA87" s="2" t="str">
        <f t="shared" si="9"/>
        <v/>
      </c>
      <c r="AB87" s="2" t="str">
        <f t="shared" si="10"/>
        <v/>
      </c>
      <c r="AC87" s="2" t="str">
        <f t="shared" si="11"/>
        <v>Walks with direction</v>
      </c>
      <c r="AD87" s="2"/>
      <c r="AE87" s="5"/>
      <c r="AF87" s="2"/>
      <c r="AG87" s="2"/>
      <c r="AH87" s="2"/>
      <c r="AI87" s="2"/>
    </row>
    <row r="88" spans="1:35">
      <c r="A88" s="2"/>
      <c r="B88" s="2"/>
      <c r="C88" s="2"/>
      <c r="D88" s="2"/>
      <c r="E88" s="5"/>
      <c r="F88" s="2"/>
      <c r="G88" s="5"/>
      <c r="H88" s="2"/>
      <c r="I88" s="2"/>
      <c r="J88" s="2"/>
      <c r="K88" s="2"/>
      <c r="L88" s="2"/>
      <c r="M88" s="2"/>
      <c r="N88" s="2"/>
      <c r="O88" s="2"/>
      <c r="P88" s="2"/>
      <c r="Q88" s="2"/>
      <c r="R88" s="2"/>
      <c r="S88" s="2"/>
      <c r="T88" s="2"/>
      <c r="U88" s="2"/>
      <c r="V88" s="2"/>
      <c r="W88" s="2"/>
      <c r="X88" s="2"/>
      <c r="Y88" s="2"/>
      <c r="Z88" s="2" t="str">
        <f t="shared" si="8"/>
        <v/>
      </c>
      <c r="AA88" s="2" t="str">
        <f t="shared" si="9"/>
        <v/>
      </c>
      <c r="AB88" s="2" t="str">
        <f t="shared" si="10"/>
        <v/>
      </c>
      <c r="AC88" s="2" t="str">
        <f t="shared" si="11"/>
        <v>Walks with direction</v>
      </c>
      <c r="AD88" s="2"/>
      <c r="AE88" s="5"/>
      <c r="AF88" s="2"/>
      <c r="AG88" s="2"/>
      <c r="AH88" s="2"/>
      <c r="AI88" s="2"/>
    </row>
    <row r="89" spans="1:35">
      <c r="A89" s="2"/>
      <c r="B89" s="2"/>
      <c r="C89" s="2"/>
      <c r="D89" s="2"/>
      <c r="E89" s="5"/>
      <c r="F89" s="2"/>
      <c r="G89" s="5"/>
      <c r="H89" s="2"/>
      <c r="I89" s="2"/>
      <c r="J89" s="2"/>
      <c r="K89" s="2"/>
      <c r="L89" s="2"/>
      <c r="M89" s="2"/>
      <c r="N89" s="2"/>
      <c r="O89" s="2"/>
      <c r="P89" s="2"/>
      <c r="Q89" s="2"/>
      <c r="R89" s="2"/>
      <c r="S89" s="2"/>
      <c r="T89" s="2"/>
      <c r="U89" s="2"/>
      <c r="V89" s="2"/>
      <c r="W89" s="2"/>
      <c r="X89" s="2"/>
      <c r="Y89" s="2"/>
      <c r="Z89" s="2" t="str">
        <f t="shared" si="8"/>
        <v/>
      </c>
      <c r="AA89" s="2" t="str">
        <f t="shared" si="9"/>
        <v/>
      </c>
      <c r="AB89" s="2" t="str">
        <f t="shared" si="10"/>
        <v/>
      </c>
      <c r="AC89" s="2" t="str">
        <f t="shared" si="11"/>
        <v>Walks with direction</v>
      </c>
      <c r="AD89" s="2"/>
      <c r="AE89" s="5"/>
      <c r="AF89" s="2"/>
      <c r="AG89" s="2"/>
      <c r="AH89" s="2"/>
      <c r="AI89" s="2"/>
    </row>
    <row r="90" spans="1:35">
      <c r="A90" s="2"/>
      <c r="B90" s="2"/>
      <c r="C90" s="2"/>
      <c r="D90" s="2"/>
      <c r="E90" s="5"/>
      <c r="F90" s="2"/>
      <c r="G90" s="5"/>
      <c r="H90" s="2"/>
      <c r="I90" s="2"/>
      <c r="J90" s="2"/>
      <c r="K90" s="2"/>
      <c r="L90" s="2"/>
      <c r="M90" s="2"/>
      <c r="N90" s="2"/>
      <c r="O90" s="2"/>
      <c r="P90" s="2"/>
      <c r="Q90" s="2"/>
      <c r="R90" s="2"/>
      <c r="S90" s="2"/>
      <c r="T90" s="2"/>
      <c r="U90" s="2"/>
      <c r="V90" s="2"/>
      <c r="W90" s="2"/>
      <c r="X90" s="2"/>
      <c r="Y90" s="2"/>
      <c r="Z90" s="2" t="str">
        <f t="shared" si="8"/>
        <v/>
      </c>
      <c r="AA90" s="2" t="str">
        <f t="shared" si="9"/>
        <v/>
      </c>
      <c r="AB90" s="2" t="str">
        <f t="shared" si="10"/>
        <v/>
      </c>
      <c r="AC90" s="2" t="str">
        <f t="shared" si="11"/>
        <v>Walks with direction</v>
      </c>
      <c r="AD90" s="2"/>
      <c r="AE90" s="5"/>
      <c r="AF90" s="2"/>
      <c r="AG90" s="2"/>
      <c r="AH90" s="2"/>
      <c r="AI90" s="2"/>
    </row>
    <row r="91" spans="1:35">
      <c r="A91" s="2"/>
      <c r="B91" s="2"/>
      <c r="C91" s="2"/>
      <c r="D91" s="2"/>
      <c r="E91" s="5"/>
      <c r="F91" s="2"/>
      <c r="G91" s="5"/>
      <c r="H91" s="2"/>
      <c r="I91" s="2"/>
      <c r="J91" s="2"/>
      <c r="K91" s="2"/>
      <c r="L91" s="2"/>
      <c r="M91" s="2"/>
      <c r="N91" s="2"/>
      <c r="O91" s="2"/>
      <c r="P91" s="2"/>
      <c r="Q91" s="2"/>
      <c r="R91" s="2"/>
      <c r="S91" s="2"/>
      <c r="T91" s="2"/>
      <c r="U91" s="2"/>
      <c r="V91" s="2"/>
      <c r="W91" s="2"/>
      <c r="X91" s="2"/>
      <c r="Y91" s="2"/>
      <c r="Z91" s="2" t="str">
        <f t="shared" si="8"/>
        <v/>
      </c>
      <c r="AA91" s="2" t="str">
        <f t="shared" si="9"/>
        <v/>
      </c>
      <c r="AB91" s="2" t="str">
        <f t="shared" si="10"/>
        <v/>
      </c>
      <c r="AC91" s="2" t="str">
        <f t="shared" si="11"/>
        <v>Walks with direction</v>
      </c>
      <c r="AD91" s="2"/>
      <c r="AE91" s="5"/>
      <c r="AF91" s="2"/>
      <c r="AG91" s="2"/>
      <c r="AH91" s="2"/>
      <c r="AI91" s="2"/>
    </row>
    <row r="92" spans="1:35">
      <c r="A92" s="2"/>
      <c r="B92" s="2"/>
      <c r="C92" s="2"/>
      <c r="D92" s="2"/>
      <c r="E92" s="5"/>
      <c r="F92" s="2"/>
      <c r="G92" s="5"/>
      <c r="H92" s="2"/>
      <c r="I92" s="2"/>
      <c r="J92" s="2"/>
      <c r="K92" s="2"/>
      <c r="L92" s="2"/>
      <c r="M92" s="2"/>
      <c r="N92" s="2"/>
      <c r="O92" s="2"/>
      <c r="P92" s="2"/>
      <c r="Q92" s="2"/>
      <c r="R92" s="2"/>
      <c r="S92" s="2"/>
      <c r="T92" s="2"/>
      <c r="U92" s="2"/>
      <c r="V92" s="2"/>
      <c r="W92" s="2"/>
      <c r="X92" s="2"/>
      <c r="Y92" s="2"/>
      <c r="Z92" s="2" t="str">
        <f t="shared" si="8"/>
        <v/>
      </c>
      <c r="AA92" s="2" t="str">
        <f t="shared" si="9"/>
        <v/>
      </c>
      <c r="AB92" s="2" t="str">
        <f t="shared" si="10"/>
        <v/>
      </c>
      <c r="AC92" s="2" t="str">
        <f t="shared" si="11"/>
        <v>Walks with direction</v>
      </c>
      <c r="AD92" s="2"/>
      <c r="AE92" s="5"/>
      <c r="AF92" s="2"/>
      <c r="AG92" s="2"/>
      <c r="AH92" s="2"/>
      <c r="AI92" s="2"/>
    </row>
    <row r="93" spans="1:35">
      <c r="A93" s="2"/>
      <c r="B93" s="2"/>
      <c r="C93" s="2"/>
      <c r="D93" s="2"/>
      <c r="E93" s="5"/>
      <c r="F93" s="2"/>
      <c r="G93" s="5"/>
      <c r="H93" s="2"/>
      <c r="I93" s="2"/>
      <c r="J93" s="2"/>
      <c r="K93" s="2"/>
      <c r="L93" s="2"/>
      <c r="M93" s="2"/>
      <c r="N93" s="2"/>
      <c r="O93" s="2"/>
      <c r="P93" s="2"/>
      <c r="Q93" s="2"/>
      <c r="R93" s="2"/>
      <c r="S93" s="2"/>
      <c r="T93" s="2"/>
      <c r="U93" s="2"/>
      <c r="V93" s="2"/>
      <c r="W93" s="2"/>
      <c r="X93" s="2"/>
      <c r="Y93" s="2"/>
      <c r="Z93" s="2" t="str">
        <f t="shared" si="8"/>
        <v/>
      </c>
      <c r="AA93" s="2" t="str">
        <f t="shared" si="9"/>
        <v/>
      </c>
      <c r="AB93" s="2" t="str">
        <f t="shared" si="10"/>
        <v/>
      </c>
      <c r="AC93" s="2" t="str">
        <f t="shared" si="11"/>
        <v>Walks with direction</v>
      </c>
      <c r="AD93" s="2"/>
      <c r="AE93" s="5"/>
      <c r="AF93" s="2"/>
      <c r="AG93" s="2"/>
      <c r="AH93" s="2"/>
      <c r="AI93" s="2"/>
    </row>
    <row r="94" spans="1:35">
      <c r="A94" s="2"/>
      <c r="B94" s="2"/>
      <c r="C94" s="2"/>
      <c r="D94" s="2"/>
      <c r="E94" s="5"/>
      <c r="F94" s="2"/>
      <c r="G94" s="5"/>
      <c r="H94" s="2"/>
      <c r="I94" s="2"/>
      <c r="J94" s="2"/>
      <c r="K94" s="2"/>
      <c r="L94" s="2"/>
      <c r="M94" s="2"/>
      <c r="N94" s="2"/>
      <c r="O94" s="2"/>
      <c r="P94" s="2"/>
      <c r="Q94" s="2"/>
      <c r="R94" s="2"/>
      <c r="S94" s="2"/>
      <c r="T94" s="2"/>
      <c r="U94" s="2"/>
      <c r="V94" s="2"/>
      <c r="W94" s="2"/>
      <c r="X94" s="2"/>
      <c r="Y94" s="2"/>
      <c r="Z94" s="2" t="str">
        <f t="shared" si="8"/>
        <v/>
      </c>
      <c r="AA94" s="2" t="str">
        <f t="shared" si="9"/>
        <v/>
      </c>
      <c r="AB94" s="2" t="str">
        <f t="shared" si="10"/>
        <v/>
      </c>
      <c r="AC94" s="2" t="str">
        <f t="shared" si="11"/>
        <v>Walks with direction</v>
      </c>
      <c r="AD94" s="2"/>
      <c r="AE94" s="5"/>
      <c r="AF94" s="2"/>
      <c r="AG94" s="2"/>
      <c r="AH94" s="2"/>
      <c r="AI94" s="2"/>
    </row>
    <row r="95" spans="1:35">
      <c r="A95" s="2"/>
      <c r="B95" s="2"/>
      <c r="C95" s="2"/>
      <c r="D95" s="2"/>
      <c r="E95" s="5"/>
      <c r="F95" s="2"/>
      <c r="G95" s="5"/>
      <c r="H95" s="2"/>
      <c r="I95" s="2"/>
      <c r="J95" s="2"/>
      <c r="K95" s="2"/>
      <c r="L95" s="2"/>
      <c r="M95" s="2"/>
      <c r="N95" s="2"/>
      <c r="O95" s="2"/>
      <c r="P95" s="2"/>
      <c r="Q95" s="2"/>
      <c r="R95" s="2"/>
      <c r="S95" s="2"/>
      <c r="T95" s="2"/>
      <c r="U95" s="2"/>
      <c r="V95" s="2"/>
      <c r="W95" s="2"/>
      <c r="X95" s="2"/>
      <c r="Y95" s="2"/>
      <c r="Z95" s="2" t="str">
        <f t="shared" si="8"/>
        <v/>
      </c>
      <c r="AA95" s="2" t="str">
        <f t="shared" si="9"/>
        <v/>
      </c>
      <c r="AB95" s="2" t="str">
        <f t="shared" si="10"/>
        <v/>
      </c>
      <c r="AC95" s="2" t="str">
        <f t="shared" si="11"/>
        <v>Walks with direction</v>
      </c>
      <c r="AD95" s="2"/>
      <c r="AE95" s="5"/>
      <c r="AF95" s="2"/>
      <c r="AG95" s="2"/>
      <c r="AH95" s="2"/>
      <c r="AI95" s="2"/>
    </row>
    <row r="96" spans="1:35">
      <c r="A96" s="2"/>
      <c r="B96" s="2"/>
      <c r="C96" s="2"/>
      <c r="D96" s="2"/>
      <c r="E96" s="5"/>
      <c r="F96" s="2"/>
      <c r="G96" s="5"/>
      <c r="H96" s="2"/>
      <c r="I96" s="2"/>
      <c r="J96" s="2"/>
      <c r="K96" s="2"/>
      <c r="L96" s="2"/>
      <c r="M96" s="2"/>
      <c r="N96" s="2"/>
      <c r="O96" s="2"/>
      <c r="P96" s="2"/>
      <c r="Q96" s="2"/>
      <c r="R96" s="2"/>
      <c r="S96" s="2"/>
      <c r="T96" s="2"/>
      <c r="U96" s="2"/>
      <c r="V96" s="2"/>
      <c r="W96" s="2"/>
      <c r="X96" s="2"/>
      <c r="Y96" s="2"/>
      <c r="Z96" s="2" t="str">
        <f t="shared" si="8"/>
        <v/>
      </c>
      <c r="AA96" s="2" t="str">
        <f t="shared" si="9"/>
        <v/>
      </c>
      <c r="AB96" s="2" t="str">
        <f t="shared" si="10"/>
        <v/>
      </c>
      <c r="AC96" s="2" t="str">
        <f t="shared" si="11"/>
        <v>Walks with direction</v>
      </c>
      <c r="AD96" s="2"/>
      <c r="AE96" s="5"/>
      <c r="AF96" s="2"/>
      <c r="AG96" s="2"/>
      <c r="AH96" s="2"/>
      <c r="AI96" s="2"/>
    </row>
    <row r="97" spans="1:35">
      <c r="A97" s="2"/>
      <c r="B97" s="2"/>
      <c r="C97" s="2"/>
      <c r="D97" s="2"/>
      <c r="E97" s="5"/>
      <c r="F97" s="2"/>
      <c r="G97" s="5"/>
      <c r="H97" s="2"/>
      <c r="I97" s="2"/>
      <c r="J97" s="2"/>
      <c r="K97" s="2"/>
      <c r="L97" s="2"/>
      <c r="M97" s="2"/>
      <c r="N97" s="2"/>
      <c r="O97" s="2"/>
      <c r="P97" s="2"/>
      <c r="Q97" s="2"/>
      <c r="R97" s="2"/>
      <c r="S97" s="2"/>
      <c r="T97" s="2"/>
      <c r="U97" s="2"/>
      <c r="V97" s="2"/>
      <c r="W97" s="2"/>
      <c r="X97" s="2"/>
      <c r="Y97" s="2"/>
      <c r="Z97" s="2" t="str">
        <f t="shared" si="8"/>
        <v/>
      </c>
      <c r="AA97" s="2" t="str">
        <f t="shared" si="9"/>
        <v/>
      </c>
      <c r="AB97" s="2" t="str">
        <f t="shared" si="10"/>
        <v/>
      </c>
      <c r="AC97" s="2" t="str">
        <f t="shared" si="11"/>
        <v>Walks with direction</v>
      </c>
      <c r="AD97" s="2"/>
      <c r="AE97" s="5"/>
      <c r="AF97" s="2"/>
      <c r="AG97" s="2"/>
      <c r="AH97" s="2"/>
      <c r="AI97" s="2"/>
    </row>
    <row r="98" spans="1:35">
      <c r="A98" s="2"/>
      <c r="B98" s="2"/>
      <c r="C98" s="2"/>
      <c r="D98" s="2"/>
      <c r="E98" s="5"/>
      <c r="F98" s="2"/>
      <c r="G98" s="5"/>
      <c r="H98" s="2"/>
      <c r="I98" s="2"/>
      <c r="J98" s="2"/>
      <c r="K98" s="2"/>
      <c r="L98" s="2"/>
      <c r="M98" s="2"/>
      <c r="N98" s="2"/>
      <c r="O98" s="2"/>
      <c r="P98" s="2"/>
      <c r="Q98" s="2"/>
      <c r="R98" s="2"/>
      <c r="S98" s="2"/>
      <c r="T98" s="2"/>
      <c r="U98" s="2"/>
      <c r="V98" s="2"/>
      <c r="W98" s="2"/>
      <c r="X98" s="2"/>
      <c r="Y98" s="2"/>
      <c r="Z98" s="2" t="str">
        <f t="shared" si="8"/>
        <v/>
      </c>
      <c r="AA98" s="2" t="str">
        <f t="shared" si="9"/>
        <v/>
      </c>
      <c r="AB98" s="2" t="str">
        <f t="shared" si="10"/>
        <v/>
      </c>
      <c r="AC98" s="2" t="str">
        <f t="shared" si="11"/>
        <v>Walks with direction</v>
      </c>
      <c r="AD98" s="2"/>
      <c r="AE98" s="5"/>
      <c r="AF98" s="2"/>
      <c r="AG98" s="2"/>
      <c r="AH98" s="2"/>
      <c r="AI98" s="2"/>
    </row>
    <row r="99" spans="1:35">
      <c r="A99" s="2"/>
      <c r="B99" s="2"/>
      <c r="C99" s="2"/>
      <c r="D99" s="2"/>
      <c r="E99" s="5"/>
      <c r="F99" s="2"/>
      <c r="G99" s="5"/>
      <c r="H99" s="2"/>
      <c r="I99" s="2"/>
      <c r="J99" s="2"/>
      <c r="K99" s="2"/>
      <c r="L99" s="2"/>
      <c r="M99" s="2"/>
      <c r="N99" s="2"/>
      <c r="O99" s="2"/>
      <c r="P99" s="2"/>
      <c r="Q99" s="2"/>
      <c r="R99" s="2"/>
      <c r="S99" s="2"/>
      <c r="T99" s="2"/>
      <c r="U99" s="2"/>
      <c r="V99" s="2"/>
      <c r="W99" s="2"/>
      <c r="X99" s="2"/>
      <c r="Y99" s="2"/>
      <c r="Z99" s="2" t="str">
        <f t="shared" si="8"/>
        <v/>
      </c>
      <c r="AA99" s="2" t="str">
        <f t="shared" si="9"/>
        <v/>
      </c>
      <c r="AB99" s="2" t="str">
        <f t="shared" si="10"/>
        <v/>
      </c>
      <c r="AC99" s="2" t="str">
        <f t="shared" si="11"/>
        <v>Walks with direction</v>
      </c>
      <c r="AD99" s="2"/>
      <c r="AE99" s="5"/>
      <c r="AF99" s="2"/>
      <c r="AG99" s="2"/>
      <c r="AH99" s="2"/>
      <c r="AI99" s="2"/>
    </row>
    <row r="100" spans="1:35">
      <c r="A100" s="2"/>
      <c r="B100" s="2"/>
      <c r="C100" s="2"/>
      <c r="D100" s="2"/>
      <c r="E100" s="5"/>
      <c r="F100" s="2"/>
      <c r="G100" s="5"/>
      <c r="H100" s="2"/>
      <c r="I100" s="2"/>
      <c r="J100" s="2"/>
      <c r="K100" s="2"/>
      <c r="L100" s="2"/>
      <c r="M100" s="2"/>
      <c r="N100" s="2"/>
      <c r="O100" s="2"/>
      <c r="P100" s="2"/>
      <c r="Q100" s="2"/>
      <c r="R100" s="2"/>
      <c r="S100" s="2"/>
      <c r="T100" s="2"/>
      <c r="U100" s="2"/>
      <c r="V100" s="2"/>
      <c r="W100" s="2"/>
      <c r="X100" s="2"/>
      <c r="Y100" s="2"/>
      <c r="Z100" s="2" t="str">
        <f t="shared" si="8"/>
        <v/>
      </c>
      <c r="AA100" s="2" t="str">
        <f t="shared" si="9"/>
        <v/>
      </c>
      <c r="AB100" s="2" t="str">
        <f t="shared" si="10"/>
        <v/>
      </c>
      <c r="AC100" s="2" t="str">
        <f t="shared" si="11"/>
        <v>Walks with direction</v>
      </c>
      <c r="AD100" s="2"/>
      <c r="AE100" s="5"/>
      <c r="AF100" s="2"/>
      <c r="AG100" s="2"/>
      <c r="AH100" s="2"/>
      <c r="AI100" s="2"/>
    </row>
    <row r="101" spans="1:35">
      <c r="A101" s="2"/>
      <c r="B101" s="2"/>
      <c r="C101" s="2"/>
      <c r="D101" s="2"/>
      <c r="E101" s="5"/>
      <c r="F101" s="2"/>
      <c r="G101" s="5"/>
      <c r="H101" s="2"/>
      <c r="I101" s="2"/>
      <c r="J101" s="2"/>
      <c r="K101" s="2"/>
      <c r="L101" s="2"/>
      <c r="M101" s="2"/>
      <c r="N101" s="2"/>
      <c r="O101" s="2"/>
      <c r="P101" s="2"/>
      <c r="Q101" s="2"/>
      <c r="R101" s="2"/>
      <c r="S101" s="2"/>
      <c r="T101" s="2"/>
      <c r="U101" s="2"/>
      <c r="V101" s="2"/>
      <c r="W101" s="2"/>
      <c r="X101" s="2"/>
      <c r="Y101" s="2"/>
      <c r="Z101" s="2" t="str">
        <f t="shared" si="8"/>
        <v/>
      </c>
      <c r="AA101" s="2" t="str">
        <f t="shared" si="9"/>
        <v/>
      </c>
      <c r="AB101" s="2" t="str">
        <f t="shared" si="10"/>
        <v/>
      </c>
      <c r="AC101" s="2" t="str">
        <f t="shared" si="11"/>
        <v>Walks with direction</v>
      </c>
      <c r="AD101" s="2"/>
      <c r="AE101" s="5"/>
      <c r="AF101" s="2"/>
      <c r="AG101" s="2"/>
      <c r="AH101" s="2"/>
      <c r="AI101" s="2"/>
    </row>
    <row r="102" spans="1:35">
      <c r="A102" s="2"/>
      <c r="B102" s="2"/>
      <c r="C102" s="2"/>
      <c r="D102" s="2"/>
      <c r="E102" s="5"/>
      <c r="F102" s="2"/>
      <c r="G102" s="5"/>
      <c r="H102" s="2"/>
      <c r="I102" s="2"/>
      <c r="J102" s="2"/>
      <c r="K102" s="2"/>
      <c r="L102" s="2"/>
      <c r="M102" s="2"/>
      <c r="N102" s="2"/>
      <c r="O102" s="2"/>
      <c r="P102" s="2"/>
      <c r="Q102" s="2"/>
      <c r="R102" s="2"/>
      <c r="S102" s="2"/>
      <c r="T102" s="2"/>
      <c r="U102" s="2"/>
      <c r="V102" s="2"/>
      <c r="W102" s="2"/>
      <c r="X102" s="2"/>
      <c r="Y102" s="2"/>
      <c r="Z102" s="2" t="str">
        <f t="shared" si="8"/>
        <v/>
      </c>
      <c r="AA102" s="2" t="str">
        <f t="shared" si="9"/>
        <v/>
      </c>
      <c r="AB102" s="2" t="str">
        <f t="shared" si="10"/>
        <v/>
      </c>
      <c r="AC102" s="2" t="str">
        <f t="shared" si="11"/>
        <v>Walks with direction</v>
      </c>
      <c r="AD102" s="2"/>
      <c r="AE102" s="5"/>
      <c r="AF102" s="2"/>
      <c r="AG102" s="2"/>
      <c r="AH102" s="2"/>
      <c r="AI102" s="2"/>
    </row>
    <row r="103" spans="1:35">
      <c r="A103" s="2"/>
      <c r="B103" s="2"/>
      <c r="C103" s="2"/>
      <c r="D103" s="2"/>
      <c r="E103" s="5"/>
      <c r="F103" s="2"/>
      <c r="G103" s="5"/>
      <c r="H103" s="2"/>
      <c r="I103" s="2"/>
      <c r="J103" s="2"/>
      <c r="K103" s="2"/>
      <c r="L103" s="2"/>
      <c r="M103" s="2"/>
      <c r="N103" s="2"/>
      <c r="O103" s="2"/>
      <c r="P103" s="2"/>
      <c r="Q103" s="2"/>
      <c r="R103" s="2"/>
      <c r="S103" s="2"/>
      <c r="T103" s="2"/>
      <c r="U103" s="2"/>
      <c r="V103" s="2"/>
      <c r="W103" s="2"/>
      <c r="X103" s="2"/>
      <c r="Y103" s="2"/>
      <c r="Z103" s="2" t="str">
        <f t="shared" si="8"/>
        <v/>
      </c>
      <c r="AA103" s="2" t="str">
        <f t="shared" si="9"/>
        <v/>
      </c>
      <c r="AB103" s="2" t="str">
        <f t="shared" si="10"/>
        <v/>
      </c>
      <c r="AC103" s="2" t="str">
        <f t="shared" si="11"/>
        <v>Walks with direction</v>
      </c>
      <c r="AD103" s="2"/>
      <c r="AE103" s="5"/>
      <c r="AF103" s="2"/>
      <c r="AG103" s="2"/>
      <c r="AH103" s="2"/>
      <c r="AI103" s="2"/>
    </row>
    <row r="104" spans="1:35">
      <c r="A104" s="2"/>
      <c r="B104" s="2"/>
      <c r="C104" s="2"/>
      <c r="D104" s="2"/>
      <c r="E104" s="5"/>
      <c r="F104" s="2"/>
      <c r="G104" s="5"/>
      <c r="H104" s="2"/>
      <c r="I104" s="2"/>
      <c r="J104" s="2"/>
      <c r="K104" s="2"/>
      <c r="L104" s="2"/>
      <c r="M104" s="2"/>
      <c r="N104" s="2"/>
      <c r="O104" s="2"/>
      <c r="P104" s="2"/>
      <c r="Q104" s="2"/>
      <c r="R104" s="2"/>
      <c r="S104" s="2"/>
      <c r="T104" s="2"/>
      <c r="U104" s="2"/>
      <c r="V104" s="2"/>
      <c r="W104" s="2"/>
      <c r="X104" s="2"/>
      <c r="Y104" s="2"/>
      <c r="Z104" s="2" t="str">
        <f t="shared" si="8"/>
        <v/>
      </c>
      <c r="AA104" s="2" t="str">
        <f t="shared" si="9"/>
        <v/>
      </c>
      <c r="AB104" s="2" t="str">
        <f t="shared" si="10"/>
        <v/>
      </c>
      <c r="AC104" s="2" t="str">
        <f t="shared" si="11"/>
        <v>Walks with direction</v>
      </c>
      <c r="AD104" s="2"/>
      <c r="AE104" s="5"/>
      <c r="AF104" s="2"/>
      <c r="AG104" s="2"/>
      <c r="AH104" s="2"/>
      <c r="AI104" s="2"/>
    </row>
    <row r="105" spans="1:35">
      <c r="A105" s="2"/>
      <c r="B105" s="2"/>
      <c r="C105" s="2"/>
      <c r="D105" s="2"/>
      <c r="E105" s="5"/>
      <c r="F105" s="2"/>
      <c r="G105" s="5"/>
      <c r="H105" s="2"/>
      <c r="I105" s="2"/>
      <c r="J105" s="2"/>
      <c r="K105" s="2"/>
      <c r="L105" s="2"/>
      <c r="M105" s="2"/>
      <c r="N105" s="2"/>
      <c r="O105" s="2"/>
      <c r="P105" s="2"/>
      <c r="Q105" s="2"/>
      <c r="R105" s="2"/>
      <c r="S105" s="2"/>
      <c r="T105" s="2"/>
      <c r="U105" s="2"/>
      <c r="V105" s="2"/>
      <c r="W105" s="2"/>
      <c r="X105" s="2"/>
      <c r="Y105" s="2"/>
      <c r="Z105" s="2" t="str">
        <f t="shared" si="8"/>
        <v/>
      </c>
      <c r="AA105" s="2" t="str">
        <f t="shared" si="9"/>
        <v/>
      </c>
      <c r="AB105" s="2" t="str">
        <f t="shared" si="10"/>
        <v/>
      </c>
      <c r="AC105" s="2" t="str">
        <f t="shared" si="11"/>
        <v>Walks with direction</v>
      </c>
      <c r="AD105" s="2"/>
      <c r="AE105" s="5"/>
      <c r="AF105" s="2"/>
      <c r="AG105" s="2"/>
      <c r="AH105" s="2"/>
      <c r="AI105" s="2"/>
    </row>
    <row r="106" spans="1:35">
      <c r="A106" s="2"/>
      <c r="B106" s="2"/>
      <c r="C106" s="2"/>
      <c r="D106" s="2"/>
      <c r="E106" s="5"/>
      <c r="F106" s="2"/>
      <c r="G106" s="5"/>
      <c r="H106" s="2"/>
      <c r="I106" s="2"/>
      <c r="J106" s="2"/>
      <c r="K106" s="2"/>
      <c r="L106" s="2"/>
      <c r="M106" s="2"/>
      <c r="N106" s="2"/>
      <c r="O106" s="2"/>
      <c r="P106" s="2"/>
      <c r="Q106" s="2"/>
      <c r="R106" s="2"/>
      <c r="S106" s="2"/>
      <c r="T106" s="2"/>
      <c r="U106" s="2"/>
      <c r="V106" s="2"/>
      <c r="W106" s="2"/>
      <c r="X106" s="2"/>
      <c r="Y106" s="2"/>
      <c r="Z106" s="2" t="str">
        <f t="shared" si="8"/>
        <v/>
      </c>
      <c r="AA106" s="2" t="str">
        <f t="shared" si="9"/>
        <v/>
      </c>
      <c r="AB106" s="2" t="str">
        <f t="shared" si="10"/>
        <v/>
      </c>
      <c r="AC106" s="2" t="str">
        <f t="shared" si="11"/>
        <v>Walks with direction</v>
      </c>
      <c r="AD106" s="2"/>
      <c r="AE106" s="5"/>
      <c r="AF106" s="2"/>
      <c r="AG106" s="2"/>
      <c r="AH106" s="2"/>
      <c r="AI106" s="2"/>
    </row>
    <row r="107" spans="1:35">
      <c r="A107" s="2"/>
      <c r="B107" s="2"/>
      <c r="C107" s="2"/>
      <c r="D107" s="2"/>
      <c r="E107" s="5"/>
      <c r="F107" s="2"/>
      <c r="G107" s="5"/>
      <c r="H107" s="2"/>
      <c r="I107" s="2"/>
      <c r="J107" s="2"/>
      <c r="K107" s="2"/>
      <c r="L107" s="2"/>
      <c r="M107" s="2"/>
      <c r="N107" s="2"/>
      <c r="O107" s="2"/>
      <c r="P107" s="2"/>
      <c r="Q107" s="2"/>
      <c r="R107" s="2"/>
      <c r="S107" s="2"/>
      <c r="T107" s="2"/>
      <c r="U107" s="2"/>
      <c r="V107" s="2"/>
      <c r="W107" s="2"/>
      <c r="X107" s="2"/>
      <c r="Y107" s="2"/>
      <c r="Z107" s="2" t="str">
        <f t="shared" si="8"/>
        <v/>
      </c>
      <c r="AA107" s="2" t="str">
        <f t="shared" si="9"/>
        <v/>
      </c>
      <c r="AB107" s="2" t="str">
        <f t="shared" si="10"/>
        <v/>
      </c>
      <c r="AC107" s="2" t="str">
        <f t="shared" si="11"/>
        <v>Walks with direction</v>
      </c>
      <c r="AD107" s="2"/>
      <c r="AE107" s="5"/>
      <c r="AF107" s="2"/>
      <c r="AG107" s="2"/>
      <c r="AH107" s="2"/>
      <c r="AI107" s="2"/>
    </row>
    <row r="108" spans="1:35">
      <c r="A108" s="2"/>
      <c r="B108" s="2"/>
      <c r="C108" s="2"/>
      <c r="D108" s="2"/>
      <c r="E108" s="5"/>
      <c r="F108" s="2"/>
      <c r="G108" s="5"/>
      <c r="H108" s="2"/>
      <c r="I108" s="2"/>
      <c r="J108" s="2"/>
      <c r="K108" s="2"/>
      <c r="L108" s="2"/>
      <c r="M108" s="2"/>
      <c r="N108" s="2"/>
      <c r="O108" s="2"/>
      <c r="P108" s="2"/>
      <c r="Q108" s="2"/>
      <c r="R108" s="2"/>
      <c r="S108" s="2"/>
      <c r="T108" s="2"/>
      <c r="U108" s="2"/>
      <c r="V108" s="2"/>
      <c r="W108" s="2"/>
      <c r="X108" s="2"/>
      <c r="Y108" s="2"/>
      <c r="Z108" s="2" t="str">
        <f t="shared" si="8"/>
        <v/>
      </c>
      <c r="AA108" s="2" t="str">
        <f t="shared" si="9"/>
        <v/>
      </c>
      <c r="AB108" s="2" t="str">
        <f t="shared" si="10"/>
        <v/>
      </c>
      <c r="AC108" s="2" t="str">
        <f t="shared" si="11"/>
        <v>Walks with direction</v>
      </c>
      <c r="AD108" s="2"/>
      <c r="AE108" s="5"/>
      <c r="AF108" s="2"/>
      <c r="AG108" s="2"/>
      <c r="AH108" s="2"/>
      <c r="AI108" s="2"/>
    </row>
    <row r="109" spans="1:35">
      <c r="A109" s="2"/>
      <c r="B109" s="2"/>
      <c r="C109" s="2"/>
      <c r="D109" s="2"/>
      <c r="E109" s="5"/>
      <c r="F109" s="2"/>
      <c r="G109" s="5"/>
      <c r="H109" s="2"/>
      <c r="I109" s="2"/>
      <c r="J109" s="2"/>
      <c r="K109" s="2"/>
      <c r="L109" s="2"/>
      <c r="M109" s="2"/>
      <c r="N109" s="2"/>
      <c r="O109" s="2"/>
      <c r="P109" s="2"/>
      <c r="Q109" s="2"/>
      <c r="R109" s="2"/>
      <c r="S109" s="2"/>
      <c r="T109" s="2"/>
      <c r="U109" s="2"/>
      <c r="V109" s="2"/>
      <c r="W109" s="2"/>
      <c r="X109" s="2"/>
      <c r="Y109" s="2"/>
      <c r="Z109" s="2" t="str">
        <f t="shared" si="8"/>
        <v/>
      </c>
      <c r="AA109" s="2" t="str">
        <f t="shared" si="9"/>
        <v/>
      </c>
      <c r="AB109" s="2" t="str">
        <f t="shared" si="10"/>
        <v/>
      </c>
      <c r="AC109" s="2" t="str">
        <f t="shared" si="11"/>
        <v>Walks with direction</v>
      </c>
      <c r="AD109" s="2"/>
      <c r="AE109" s="5"/>
      <c r="AF109" s="2"/>
      <c r="AG109" s="2"/>
      <c r="AH109" s="2"/>
      <c r="AI109" s="2"/>
    </row>
    <row r="110" spans="1:35">
      <c r="A110" s="2"/>
      <c r="B110" s="2"/>
      <c r="C110" s="2"/>
      <c r="D110" s="2"/>
      <c r="E110" s="5"/>
      <c r="F110" s="2"/>
      <c r="G110" s="5"/>
      <c r="H110" s="2"/>
      <c r="I110" s="2"/>
      <c r="J110" s="2"/>
      <c r="K110" s="2"/>
      <c r="L110" s="2"/>
      <c r="M110" s="2"/>
      <c r="N110" s="2"/>
      <c r="O110" s="2"/>
      <c r="P110" s="2"/>
      <c r="Q110" s="2"/>
      <c r="R110" s="2"/>
      <c r="S110" s="2"/>
      <c r="T110" s="2"/>
      <c r="U110" s="2"/>
      <c r="V110" s="2"/>
      <c r="W110" s="2"/>
      <c r="X110" s="2"/>
      <c r="Y110" s="2"/>
      <c r="Z110" s="2" t="str">
        <f t="shared" si="8"/>
        <v/>
      </c>
      <c r="AA110" s="2" t="str">
        <f t="shared" si="9"/>
        <v/>
      </c>
      <c r="AB110" s="2" t="str">
        <f t="shared" si="10"/>
        <v/>
      </c>
      <c r="AC110" s="2" t="str">
        <f t="shared" si="11"/>
        <v>Walks with direction</v>
      </c>
      <c r="AD110" s="2"/>
      <c r="AE110" s="5"/>
      <c r="AF110" s="2"/>
      <c r="AG110" s="2"/>
      <c r="AH110" s="2"/>
      <c r="AI110" s="2"/>
    </row>
    <row r="111" spans="1:35">
      <c r="A111" s="2"/>
      <c r="B111" s="2"/>
      <c r="C111" s="2"/>
      <c r="D111" s="2"/>
      <c r="E111" s="5"/>
      <c r="F111" s="2"/>
      <c r="G111" s="5"/>
      <c r="H111" s="2"/>
      <c r="I111" s="2"/>
      <c r="J111" s="2"/>
      <c r="K111" s="2"/>
      <c r="L111" s="2"/>
      <c r="M111" s="2"/>
      <c r="N111" s="2"/>
      <c r="O111" s="2"/>
      <c r="P111" s="2"/>
      <c r="Q111" s="2"/>
      <c r="R111" s="2"/>
      <c r="S111" s="2"/>
      <c r="T111" s="2"/>
      <c r="U111" s="2"/>
      <c r="V111" s="2"/>
      <c r="W111" s="2"/>
      <c r="X111" s="2"/>
      <c r="Y111" s="2"/>
      <c r="Z111" s="2" t="str">
        <f t="shared" si="8"/>
        <v/>
      </c>
      <c r="AA111" s="2" t="str">
        <f t="shared" si="9"/>
        <v/>
      </c>
      <c r="AB111" s="2" t="str">
        <f t="shared" si="10"/>
        <v/>
      </c>
      <c r="AC111" s="2" t="str">
        <f t="shared" si="11"/>
        <v>Walks with direction</v>
      </c>
      <c r="AD111" s="2"/>
      <c r="AE111" s="5"/>
      <c r="AF111" s="2"/>
      <c r="AG111" s="2"/>
      <c r="AH111" s="2"/>
      <c r="AI111" s="2"/>
    </row>
    <row r="112" spans="1:35">
      <c r="A112" s="2"/>
      <c r="B112" s="2"/>
      <c r="C112" s="2"/>
      <c r="D112" s="2"/>
      <c r="E112" s="5"/>
      <c r="F112" s="2"/>
      <c r="G112" s="5"/>
      <c r="H112" s="2"/>
      <c r="I112" s="2"/>
      <c r="J112" s="2"/>
      <c r="K112" s="2"/>
      <c r="L112" s="2"/>
      <c r="M112" s="2"/>
      <c r="N112" s="2"/>
      <c r="O112" s="2"/>
      <c r="P112" s="2"/>
      <c r="Q112" s="2"/>
      <c r="R112" s="2"/>
      <c r="S112" s="2"/>
      <c r="T112" s="2"/>
      <c r="U112" s="2"/>
      <c r="V112" s="2"/>
      <c r="W112" s="2"/>
      <c r="X112" s="2"/>
      <c r="Y112" s="2"/>
      <c r="Z112" s="2" t="str">
        <f t="shared" si="8"/>
        <v/>
      </c>
      <c r="AA112" s="2" t="str">
        <f t="shared" si="9"/>
        <v/>
      </c>
      <c r="AB112" s="2" t="str">
        <f t="shared" si="10"/>
        <v/>
      </c>
      <c r="AC112" s="2" t="str">
        <f t="shared" si="11"/>
        <v>Walks with direction</v>
      </c>
      <c r="AD112" s="2"/>
      <c r="AE112" s="5"/>
      <c r="AF112" s="2"/>
      <c r="AG112" s="2"/>
      <c r="AH112" s="2"/>
      <c r="AI112" s="2"/>
    </row>
    <row r="113" spans="1:35">
      <c r="A113" s="2"/>
      <c r="B113" s="2"/>
      <c r="C113" s="2"/>
      <c r="D113" s="2"/>
      <c r="E113" s="5"/>
      <c r="F113" s="2"/>
      <c r="G113" s="5"/>
      <c r="H113" s="2"/>
      <c r="I113" s="2"/>
      <c r="J113" s="2"/>
      <c r="K113" s="2"/>
      <c r="L113" s="2"/>
      <c r="M113" s="2"/>
      <c r="N113" s="2"/>
      <c r="O113" s="2"/>
      <c r="P113" s="2"/>
      <c r="Q113" s="2"/>
      <c r="R113" s="2"/>
      <c r="S113" s="2"/>
      <c r="T113" s="2"/>
      <c r="U113" s="2"/>
      <c r="V113" s="2"/>
      <c r="W113" s="2"/>
      <c r="X113" s="2"/>
      <c r="Y113" s="2"/>
      <c r="Z113" s="2" t="str">
        <f t="shared" si="8"/>
        <v/>
      </c>
      <c r="AA113" s="2" t="str">
        <f t="shared" si="9"/>
        <v/>
      </c>
      <c r="AB113" s="2" t="str">
        <f t="shared" si="10"/>
        <v/>
      </c>
      <c r="AC113" s="2" t="str">
        <f t="shared" si="11"/>
        <v>Walks with direction</v>
      </c>
      <c r="AD113" s="2"/>
      <c r="AE113" s="5"/>
      <c r="AF113" s="2"/>
      <c r="AG113" s="2"/>
      <c r="AH113" s="2"/>
      <c r="AI113" s="2"/>
    </row>
    <row r="114" spans="1:35">
      <c r="A114" s="2"/>
      <c r="B114" s="2"/>
      <c r="C114" s="2"/>
      <c r="D114" s="2"/>
      <c r="E114" s="5"/>
      <c r="F114" s="2"/>
      <c r="G114" s="5"/>
      <c r="H114" s="2"/>
      <c r="I114" s="2"/>
      <c r="J114" s="2"/>
      <c r="K114" s="2"/>
      <c r="L114" s="2"/>
      <c r="M114" s="2"/>
      <c r="N114" s="2"/>
      <c r="O114" s="2"/>
      <c r="P114" s="2"/>
      <c r="Q114" s="2"/>
      <c r="R114" s="2"/>
      <c r="S114" s="2"/>
      <c r="T114" s="2"/>
      <c r="U114" s="2"/>
      <c r="V114" s="2"/>
      <c r="W114" s="2"/>
      <c r="X114" s="2"/>
      <c r="Y114" s="2"/>
      <c r="Z114" s="2" t="str">
        <f t="shared" ref="Z114:Z145" si="12">IF(COUNTA(H114:Y114)=0,"",IF(COUNTIF(H114:Y114,"Very High")&gt;0,"Very High",IF(COUNTIF(H114:Y114,"High")&gt;0,"High",IF(COUNTIF(H114:Y114,"Medium")&gt;0,"Medium","Low"))))</f>
        <v/>
      </c>
      <c r="AA114" s="2" t="str">
        <f t="shared" ref="AA114:AA145" si="13">IF(Z114="","",IF(Z114="Low","Routine planned support",IF(Z114="Medium","One staff support/supervision likely",IF(Z114="High","Two staff/review staffing and equipment","Manager review: multiple staff/specialist support"))))</f>
        <v/>
      </c>
      <c r="AB114" s="2" t="str">
        <f t="shared" si="10"/>
        <v/>
      </c>
      <c r="AC114" s="2" t="str">
        <f t="shared" si="11"/>
        <v>Walks with direction</v>
      </c>
      <c r="AD114" s="2"/>
      <c r="AE114" s="5"/>
      <c r="AF114" s="2"/>
      <c r="AG114" s="2"/>
      <c r="AH114" s="2"/>
      <c r="AI114" s="2"/>
    </row>
    <row r="115" spans="1:35">
      <c r="A115" s="2"/>
      <c r="B115" s="2"/>
      <c r="C115" s="2"/>
      <c r="D115" s="2"/>
      <c r="E115" s="5"/>
      <c r="F115" s="2"/>
      <c r="G115" s="5"/>
      <c r="H115" s="2"/>
      <c r="I115" s="2"/>
      <c r="J115" s="2"/>
      <c r="K115" s="2"/>
      <c r="L115" s="2"/>
      <c r="M115" s="2"/>
      <c r="N115" s="2"/>
      <c r="O115" s="2"/>
      <c r="P115" s="2"/>
      <c r="Q115" s="2"/>
      <c r="R115" s="2"/>
      <c r="S115" s="2"/>
      <c r="T115" s="2"/>
      <c r="U115" s="2"/>
      <c r="V115" s="2"/>
      <c r="W115" s="2"/>
      <c r="X115" s="2"/>
      <c r="Y115" s="2"/>
      <c r="Z115" s="2" t="str">
        <f t="shared" si="12"/>
        <v/>
      </c>
      <c r="AA115" s="2" t="str">
        <f t="shared" si="13"/>
        <v/>
      </c>
      <c r="AB115" s="2" t="str">
        <f t="shared" si="10"/>
        <v/>
      </c>
      <c r="AC115" s="2" t="str">
        <f t="shared" si="11"/>
        <v>Walks with direction</v>
      </c>
      <c r="AD115" s="2"/>
      <c r="AE115" s="5"/>
      <c r="AF115" s="2"/>
      <c r="AG115" s="2"/>
      <c r="AH115" s="2"/>
      <c r="AI115" s="2"/>
    </row>
    <row r="116" spans="1:35">
      <c r="A116" s="2"/>
      <c r="B116" s="2"/>
      <c r="C116" s="2"/>
      <c r="D116" s="2"/>
      <c r="E116" s="5"/>
      <c r="F116" s="2"/>
      <c r="G116" s="5"/>
      <c r="H116" s="2"/>
      <c r="I116" s="2"/>
      <c r="J116" s="2"/>
      <c r="K116" s="2"/>
      <c r="L116" s="2"/>
      <c r="M116" s="2"/>
      <c r="N116" s="2"/>
      <c r="O116" s="2"/>
      <c r="P116" s="2"/>
      <c r="Q116" s="2"/>
      <c r="R116" s="2"/>
      <c r="S116" s="2"/>
      <c r="T116" s="2"/>
      <c r="U116" s="2"/>
      <c r="V116" s="2"/>
      <c r="W116" s="2"/>
      <c r="X116" s="2"/>
      <c r="Y116" s="2"/>
      <c r="Z116" s="2" t="str">
        <f t="shared" si="12"/>
        <v/>
      </c>
      <c r="AA116" s="2" t="str">
        <f t="shared" si="13"/>
        <v/>
      </c>
      <c r="AB116" s="2" t="str">
        <f t="shared" si="10"/>
        <v/>
      </c>
      <c r="AC116" s="2" t="str">
        <f t="shared" si="11"/>
        <v>Walks with direction</v>
      </c>
      <c r="AD116" s="2"/>
      <c r="AE116" s="5"/>
      <c r="AF116" s="2"/>
      <c r="AG116" s="2"/>
      <c r="AH116" s="2"/>
      <c r="AI116" s="2"/>
    </row>
    <row r="117" spans="1:35">
      <c r="A117" s="2"/>
      <c r="B117" s="2"/>
      <c r="C117" s="2"/>
      <c r="D117" s="2"/>
      <c r="E117" s="5"/>
      <c r="F117" s="2"/>
      <c r="G117" s="5"/>
      <c r="H117" s="2"/>
      <c r="I117" s="2"/>
      <c r="J117" s="2"/>
      <c r="K117" s="2"/>
      <c r="L117" s="2"/>
      <c r="M117" s="2"/>
      <c r="N117" s="2"/>
      <c r="O117" s="2"/>
      <c r="P117" s="2"/>
      <c r="Q117" s="2"/>
      <c r="R117" s="2"/>
      <c r="S117" s="2"/>
      <c r="T117" s="2"/>
      <c r="U117" s="2"/>
      <c r="V117" s="2"/>
      <c r="W117" s="2"/>
      <c r="X117" s="2"/>
      <c r="Y117" s="2"/>
      <c r="Z117" s="2" t="str">
        <f t="shared" si="12"/>
        <v/>
      </c>
      <c r="AA117" s="2" t="str">
        <f t="shared" si="13"/>
        <v/>
      </c>
      <c r="AB117" s="2" t="str">
        <f t="shared" si="10"/>
        <v/>
      </c>
      <c r="AC117" s="2" t="str">
        <f t="shared" si="11"/>
        <v>Walks with direction</v>
      </c>
      <c r="AD117" s="2"/>
      <c r="AE117" s="5"/>
      <c r="AF117" s="2"/>
      <c r="AG117" s="2"/>
      <c r="AH117" s="2"/>
      <c r="AI117" s="2"/>
    </row>
    <row r="122" spans="1:35">
      <c r="A122" s="9" t="s">
        <v>153</v>
      </c>
      <c r="B122" s="7"/>
      <c r="C122" s="7"/>
      <c r="D122" s="7"/>
      <c r="E122" s="7"/>
    </row>
    <row r="123" spans="1:35">
      <c r="A123" s="1" t="s">
        <v>154</v>
      </c>
      <c r="B123" s="1" t="s">
        <v>6</v>
      </c>
      <c r="C123" s="1" t="s">
        <v>12</v>
      </c>
      <c r="D123" s="1" t="s">
        <v>18</v>
      </c>
      <c r="E123" s="1" t="s">
        <v>23</v>
      </c>
    </row>
    <row r="124" spans="1:35" ht="42">
      <c r="A124" s="2" t="s">
        <v>124</v>
      </c>
      <c r="B124" s="2" t="s">
        <v>155</v>
      </c>
      <c r="C124" s="2" t="s">
        <v>156</v>
      </c>
      <c r="D124" s="2" t="s">
        <v>157</v>
      </c>
      <c r="E124" s="2" t="s">
        <v>158</v>
      </c>
    </row>
    <row r="125" spans="1:35" ht="28">
      <c r="A125" s="2" t="s">
        <v>125</v>
      </c>
      <c r="B125" s="2" t="s">
        <v>159</v>
      </c>
      <c r="C125" s="2" t="s">
        <v>160</v>
      </c>
      <c r="D125" s="2" t="s">
        <v>161</v>
      </c>
      <c r="E125" s="2" t="s">
        <v>162</v>
      </c>
    </row>
    <row r="126" spans="1:35" ht="28">
      <c r="A126" s="2" t="s">
        <v>126</v>
      </c>
      <c r="B126" s="2" t="s">
        <v>163</v>
      </c>
      <c r="C126" s="2" t="s">
        <v>164</v>
      </c>
      <c r="D126" s="2" t="s">
        <v>165</v>
      </c>
      <c r="E126" s="2" t="s">
        <v>166</v>
      </c>
    </row>
    <row r="127" spans="1:35" ht="42">
      <c r="A127" s="2" t="s">
        <v>127</v>
      </c>
      <c r="B127" s="2" t="s">
        <v>167</v>
      </c>
      <c r="C127" s="2" t="s">
        <v>168</v>
      </c>
      <c r="D127" s="2" t="s">
        <v>169</v>
      </c>
      <c r="E127" s="2" t="s">
        <v>170</v>
      </c>
    </row>
    <row r="128" spans="1:35" ht="42">
      <c r="A128" s="2" t="s">
        <v>128</v>
      </c>
      <c r="B128" s="2" t="s">
        <v>171</v>
      </c>
      <c r="C128" s="2" t="s">
        <v>172</v>
      </c>
      <c r="D128" s="2" t="s">
        <v>173</v>
      </c>
      <c r="E128" s="2" t="s">
        <v>174</v>
      </c>
    </row>
    <row r="129" spans="1:5" ht="42">
      <c r="A129" s="2" t="s">
        <v>129</v>
      </c>
      <c r="B129" s="2" t="s">
        <v>175</v>
      </c>
      <c r="C129" s="2" t="s">
        <v>176</v>
      </c>
      <c r="D129" s="2" t="s">
        <v>177</v>
      </c>
      <c r="E129" s="2" t="s">
        <v>178</v>
      </c>
    </row>
    <row r="130" spans="1:5" ht="42">
      <c r="A130" s="2" t="s">
        <v>130</v>
      </c>
      <c r="B130" s="2" t="s">
        <v>179</v>
      </c>
      <c r="C130" s="2" t="s">
        <v>180</v>
      </c>
      <c r="D130" s="2" t="s">
        <v>181</v>
      </c>
      <c r="E130" s="2" t="s">
        <v>182</v>
      </c>
    </row>
    <row r="131" spans="1:5" ht="42">
      <c r="A131" s="2" t="s">
        <v>131</v>
      </c>
      <c r="B131" s="2" t="s">
        <v>183</v>
      </c>
      <c r="C131" s="2" t="s">
        <v>184</v>
      </c>
      <c r="D131" s="2" t="s">
        <v>185</v>
      </c>
      <c r="E131" s="2" t="s">
        <v>186</v>
      </c>
    </row>
    <row r="132" spans="1:5" ht="28">
      <c r="A132" s="2" t="s">
        <v>132</v>
      </c>
      <c r="B132" s="2" t="s">
        <v>187</v>
      </c>
      <c r="C132" s="2" t="s">
        <v>188</v>
      </c>
      <c r="D132" s="2" t="s">
        <v>189</v>
      </c>
      <c r="E132" s="2" t="s">
        <v>190</v>
      </c>
    </row>
    <row r="133" spans="1:5" ht="42">
      <c r="A133" s="2" t="s">
        <v>133</v>
      </c>
      <c r="B133" s="2" t="s">
        <v>191</v>
      </c>
      <c r="C133" s="2" t="s">
        <v>192</v>
      </c>
      <c r="D133" s="2" t="s">
        <v>193</v>
      </c>
      <c r="E133" s="2" t="s">
        <v>194</v>
      </c>
    </row>
    <row r="134" spans="1:5" ht="28">
      <c r="A134" s="2" t="s">
        <v>134</v>
      </c>
      <c r="B134" s="2" t="s">
        <v>195</v>
      </c>
      <c r="C134" s="2" t="s">
        <v>196</v>
      </c>
      <c r="D134" s="2" t="s">
        <v>197</v>
      </c>
      <c r="E134" s="2" t="s">
        <v>198</v>
      </c>
    </row>
    <row r="135" spans="1:5" ht="42">
      <c r="A135" s="2" t="s">
        <v>135</v>
      </c>
      <c r="B135" s="2" t="s">
        <v>199</v>
      </c>
      <c r="C135" s="2" t="s">
        <v>200</v>
      </c>
      <c r="D135" s="2" t="s">
        <v>201</v>
      </c>
      <c r="E135" s="2" t="s">
        <v>202</v>
      </c>
    </row>
    <row r="136" spans="1:5" ht="42">
      <c r="A136" s="2" t="s">
        <v>136</v>
      </c>
      <c r="B136" s="2" t="s">
        <v>203</v>
      </c>
      <c r="C136" s="2" t="s">
        <v>204</v>
      </c>
      <c r="D136" s="2" t="s">
        <v>205</v>
      </c>
      <c r="E136" s="2" t="s">
        <v>206</v>
      </c>
    </row>
    <row r="137" spans="1:5" ht="42">
      <c r="A137" s="2" t="s">
        <v>137</v>
      </c>
      <c r="B137" s="2" t="s">
        <v>207</v>
      </c>
      <c r="C137" s="2" t="s">
        <v>208</v>
      </c>
      <c r="D137" s="2" t="s">
        <v>209</v>
      </c>
      <c r="E137" s="2" t="s">
        <v>210</v>
      </c>
    </row>
    <row r="138" spans="1:5" ht="28">
      <c r="A138" s="2" t="s">
        <v>138</v>
      </c>
      <c r="B138" s="2" t="s">
        <v>211</v>
      </c>
      <c r="C138" s="2" t="s">
        <v>212</v>
      </c>
      <c r="D138" s="2" t="s">
        <v>213</v>
      </c>
      <c r="E138" s="2" t="s">
        <v>214</v>
      </c>
    </row>
    <row r="139" spans="1:5" ht="42">
      <c r="A139" s="2" t="s">
        <v>139</v>
      </c>
      <c r="B139" s="2" t="s">
        <v>215</v>
      </c>
      <c r="C139" s="2" t="s">
        <v>216</v>
      </c>
      <c r="D139" s="2" t="s">
        <v>217</v>
      </c>
      <c r="E139" s="2" t="s">
        <v>218</v>
      </c>
    </row>
    <row r="140" spans="1:5" ht="42">
      <c r="A140" s="2" t="s">
        <v>140</v>
      </c>
      <c r="B140" s="2" t="s">
        <v>219</v>
      </c>
      <c r="C140" s="2" t="s">
        <v>220</v>
      </c>
      <c r="D140" s="2" t="s">
        <v>221</v>
      </c>
      <c r="E140" s="2" t="s">
        <v>222</v>
      </c>
    </row>
    <row r="141" spans="1:5" ht="42">
      <c r="A141" s="2" t="s">
        <v>141</v>
      </c>
      <c r="B141" s="2" t="s">
        <v>223</v>
      </c>
      <c r="C141" s="2" t="s">
        <v>224</v>
      </c>
      <c r="D141" s="2" t="s">
        <v>225</v>
      </c>
      <c r="E141" s="2" t="s">
        <v>226</v>
      </c>
    </row>
  </sheetData>
  <mergeCells count="4">
    <mergeCell ref="A1:AI1"/>
    <mergeCell ref="A2:AI2"/>
    <mergeCell ref="D4:H4"/>
    <mergeCell ref="A122:E122"/>
  </mergeCells>
  <conditionalFormatting sqref="Z18:Z117">
    <cfRule type="expression" dxfId="35" priority="1">
      <formula>Z18="Very High"</formula>
    </cfRule>
    <cfRule type="expression" dxfId="34" priority="2">
      <formula>Z18="High"</formula>
    </cfRule>
    <cfRule type="expression" dxfId="33" priority="3">
      <formula>Z18="Medium"</formula>
    </cfRule>
    <cfRule type="expression" dxfId="32" priority="4">
      <formula>Z18="Low"</formula>
    </cfRule>
  </conditionalFormatting>
  <dataValidations count="4">
    <dataValidation type="list" sqref="B7" xr:uid="{00000000-0002-0000-0F00-000000000000}">
      <formula1>"Yes,No"</formula1>
    </dataValidation>
    <dataValidation type="list" sqref="C18:C117" xr:uid="{00000000-0002-0000-0F00-000001000000}">
      <formula1>"Ground,First,N/A"</formula1>
    </dataValidation>
    <dataValidation type="list" sqref="H18:Y117" xr:uid="{00000000-0002-0000-0F00-000002000000}">
      <formula1>"Low,Medium,High,Very High"</formula1>
    </dataValidation>
    <dataValidation type="list" sqref="AD18:AD117 AG18:AI117" xr:uid="{00000000-0002-0000-0F00-000003000000}">
      <formula1>"Yes,No,N/A"</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60"/>
  <sheetViews>
    <sheetView workbookViewId="0"/>
  </sheetViews>
  <sheetFormatPr defaultRowHeight="14"/>
  <cols>
    <col min="1" max="9" width="18" customWidth="1"/>
  </cols>
  <sheetData>
    <row r="1" spans="1:9" ht="20">
      <c r="A1" s="6" t="s">
        <v>341</v>
      </c>
      <c r="B1" s="7"/>
      <c r="C1" s="7"/>
      <c r="D1" s="7"/>
      <c r="E1" s="7"/>
      <c r="F1" s="7"/>
      <c r="G1" s="7"/>
      <c r="H1" s="7"/>
      <c r="I1" s="7"/>
    </row>
    <row r="2" spans="1:9" ht="14.5">
      <c r="A2" s="8" t="s">
        <v>228</v>
      </c>
      <c r="B2" s="7"/>
      <c r="C2" s="7"/>
      <c r="D2" s="7"/>
      <c r="E2" s="7"/>
      <c r="F2" s="7"/>
      <c r="G2" s="7"/>
      <c r="H2" s="7"/>
      <c r="I2" s="7"/>
    </row>
    <row r="4" spans="1:9">
      <c r="A4" s="3" t="s">
        <v>107</v>
      </c>
      <c r="B4" t="s">
        <v>340</v>
      </c>
    </row>
    <row r="5" spans="1:9">
      <c r="A5" s="3" t="s">
        <v>110</v>
      </c>
    </row>
    <row r="6" spans="1:9">
      <c r="A6" s="3" t="s">
        <v>229</v>
      </c>
    </row>
    <row r="7" spans="1:9">
      <c r="A7" s="3" t="s">
        <v>230</v>
      </c>
    </row>
    <row r="8" spans="1:9">
      <c r="A8" s="3" t="s">
        <v>231</v>
      </c>
      <c r="B8">
        <f>COUNTA(A14:A60)</f>
        <v>28</v>
      </c>
    </row>
    <row r="9" spans="1:9">
      <c r="A9" s="3" t="s">
        <v>232</v>
      </c>
      <c r="B9">
        <f>COUNTIF(H14:H60,"FAIL")</f>
        <v>28</v>
      </c>
    </row>
    <row r="10" spans="1:9">
      <c r="A10" s="3" t="s">
        <v>46</v>
      </c>
      <c r="B10" t="str">
        <f>IF(AND(B7="Yes",B9=0),"Complete","Incomplete")</f>
        <v>Incomplete</v>
      </c>
    </row>
    <row r="13" spans="1:9" ht="28">
      <c r="A13" s="1" t="s">
        <v>233</v>
      </c>
      <c r="B13" s="1" t="s">
        <v>234</v>
      </c>
      <c r="C13" s="1" t="s">
        <v>235</v>
      </c>
      <c r="D13" s="1" t="s">
        <v>236</v>
      </c>
      <c r="E13" s="1" t="s">
        <v>237</v>
      </c>
      <c r="F13" s="1" t="s">
        <v>238</v>
      </c>
      <c r="G13" s="1" t="s">
        <v>239</v>
      </c>
      <c r="H13" s="1" t="s">
        <v>240</v>
      </c>
      <c r="I13" s="1" t="s">
        <v>241</v>
      </c>
    </row>
    <row r="14" spans="1:9" ht="42">
      <c r="A14" s="2" t="s">
        <v>242</v>
      </c>
      <c r="B14" s="2">
        <v>1</v>
      </c>
      <c r="C14" s="2"/>
      <c r="D14" s="2" t="s">
        <v>243</v>
      </c>
      <c r="E14" s="2"/>
      <c r="F14" s="2"/>
      <c r="G14" s="2"/>
      <c r="H14" s="2" t="str">
        <f t="shared" ref="H14:H41" si="0">IF(OR(F14="No",C14&lt;B14),"FAIL","PASS")</f>
        <v>FAIL</v>
      </c>
      <c r="I14" s="2"/>
    </row>
    <row r="15" spans="1:9">
      <c r="A15" s="2" t="s">
        <v>244</v>
      </c>
      <c r="B15" s="2">
        <v>1</v>
      </c>
      <c r="C15" s="2"/>
      <c r="D15" s="2" t="s">
        <v>245</v>
      </c>
      <c r="E15" s="2"/>
      <c r="F15" s="2"/>
      <c r="G15" s="2"/>
      <c r="H15" s="2" t="str">
        <f t="shared" si="0"/>
        <v>FAIL</v>
      </c>
      <c r="I15" s="2"/>
    </row>
    <row r="16" spans="1:9" ht="28">
      <c r="A16" s="2" t="s">
        <v>246</v>
      </c>
      <c r="B16" s="2">
        <v>1</v>
      </c>
      <c r="C16" s="2"/>
      <c r="D16" s="2" t="s">
        <v>247</v>
      </c>
      <c r="E16" s="2"/>
      <c r="F16" s="2"/>
      <c r="G16" s="2"/>
      <c r="H16" s="2" t="str">
        <f t="shared" si="0"/>
        <v>FAIL</v>
      </c>
      <c r="I16" s="2"/>
    </row>
    <row r="17" spans="1:9" ht="28">
      <c r="A17" s="2" t="s">
        <v>248</v>
      </c>
      <c r="B17" s="2">
        <v>1</v>
      </c>
      <c r="C17" s="2"/>
      <c r="D17" s="2" t="s">
        <v>249</v>
      </c>
      <c r="E17" s="2"/>
      <c r="F17" s="2"/>
      <c r="G17" s="2"/>
      <c r="H17" s="2" t="str">
        <f t="shared" si="0"/>
        <v>FAIL</v>
      </c>
      <c r="I17" s="2"/>
    </row>
    <row r="18" spans="1:9" ht="28">
      <c r="A18" s="2" t="s">
        <v>250</v>
      </c>
      <c r="B18" s="2">
        <v>2</v>
      </c>
      <c r="C18" s="2"/>
      <c r="D18" s="2" t="s">
        <v>251</v>
      </c>
      <c r="E18" s="2"/>
      <c r="F18" s="2"/>
      <c r="G18" s="2"/>
      <c r="H18" s="2" t="str">
        <f t="shared" si="0"/>
        <v>FAIL</v>
      </c>
      <c r="I18" s="2"/>
    </row>
    <row r="19" spans="1:9" ht="28">
      <c r="A19" s="2" t="s">
        <v>252</v>
      </c>
      <c r="B19" s="2">
        <v>1</v>
      </c>
      <c r="C19" s="2"/>
      <c r="D19" s="2" t="s">
        <v>253</v>
      </c>
      <c r="E19" s="2"/>
      <c r="F19" s="2"/>
      <c r="G19" s="2"/>
      <c r="H19" s="2" t="str">
        <f t="shared" si="0"/>
        <v>FAIL</v>
      </c>
      <c r="I19" s="2"/>
    </row>
    <row r="20" spans="1:9" ht="42">
      <c r="A20" s="2" t="s">
        <v>254</v>
      </c>
      <c r="B20" s="2">
        <v>1</v>
      </c>
      <c r="C20" s="2"/>
      <c r="D20" s="2" t="s">
        <v>255</v>
      </c>
      <c r="E20" s="2"/>
      <c r="F20" s="2"/>
      <c r="G20" s="2"/>
      <c r="H20" s="2" t="str">
        <f t="shared" si="0"/>
        <v>FAIL</v>
      </c>
      <c r="I20" s="2"/>
    </row>
    <row r="21" spans="1:9">
      <c r="A21" s="2" t="s">
        <v>256</v>
      </c>
      <c r="B21" s="2">
        <v>2</v>
      </c>
      <c r="C21" s="2"/>
      <c r="D21" s="2" t="s">
        <v>257</v>
      </c>
      <c r="E21" s="2"/>
      <c r="F21" s="2"/>
      <c r="G21" s="2"/>
      <c r="H21" s="2" t="str">
        <f t="shared" si="0"/>
        <v>FAIL</v>
      </c>
      <c r="I21" s="2"/>
    </row>
    <row r="22" spans="1:9" ht="28">
      <c r="A22" s="2" t="s">
        <v>258</v>
      </c>
      <c r="B22" s="2">
        <v>1</v>
      </c>
      <c r="C22" s="2"/>
      <c r="D22" s="2" t="s">
        <v>259</v>
      </c>
      <c r="E22" s="2"/>
      <c r="F22" s="2"/>
      <c r="G22" s="2"/>
      <c r="H22" s="2" t="str">
        <f t="shared" si="0"/>
        <v>FAIL</v>
      </c>
      <c r="I22" s="2"/>
    </row>
    <row r="23" spans="1:9" ht="28">
      <c r="A23" s="2" t="s">
        <v>260</v>
      </c>
      <c r="B23" s="2">
        <v>2</v>
      </c>
      <c r="C23" s="2"/>
      <c r="D23" s="2" t="s">
        <v>261</v>
      </c>
      <c r="E23" s="2"/>
      <c r="F23" s="2"/>
      <c r="G23" s="2"/>
      <c r="H23" s="2" t="str">
        <f t="shared" si="0"/>
        <v>FAIL</v>
      </c>
      <c r="I23" s="2"/>
    </row>
    <row r="24" spans="1:9">
      <c r="A24" s="2" t="s">
        <v>262</v>
      </c>
      <c r="B24" s="2">
        <v>2</v>
      </c>
      <c r="C24" s="2"/>
      <c r="D24" s="2" t="s">
        <v>263</v>
      </c>
      <c r="E24" s="2"/>
      <c r="F24" s="2"/>
      <c r="G24" s="2"/>
      <c r="H24" s="2" t="str">
        <f t="shared" si="0"/>
        <v>FAIL</v>
      </c>
      <c r="I24" s="2"/>
    </row>
    <row r="25" spans="1:9" ht="28">
      <c r="A25" s="2" t="s">
        <v>264</v>
      </c>
      <c r="B25" s="2">
        <v>2</v>
      </c>
      <c r="C25" s="2"/>
      <c r="D25" s="2" t="s">
        <v>265</v>
      </c>
      <c r="E25" s="2"/>
      <c r="F25" s="2"/>
      <c r="G25" s="2"/>
      <c r="H25" s="2" t="str">
        <f t="shared" si="0"/>
        <v>FAIL</v>
      </c>
      <c r="I25" s="2"/>
    </row>
    <row r="26" spans="1:9">
      <c r="A26" s="2" t="s">
        <v>266</v>
      </c>
      <c r="B26" s="2">
        <v>2</v>
      </c>
      <c r="C26" s="2"/>
      <c r="D26" s="2" t="s">
        <v>265</v>
      </c>
      <c r="E26" s="2"/>
      <c r="F26" s="2"/>
      <c r="G26" s="2"/>
      <c r="H26" s="2" t="str">
        <f t="shared" si="0"/>
        <v>FAIL</v>
      </c>
      <c r="I26" s="2"/>
    </row>
    <row r="27" spans="1:9">
      <c r="A27" s="2" t="s">
        <v>267</v>
      </c>
      <c r="B27" s="2">
        <v>8</v>
      </c>
      <c r="C27" s="2"/>
      <c r="D27" s="2" t="s">
        <v>268</v>
      </c>
      <c r="E27" s="2"/>
      <c r="F27" s="2"/>
      <c r="G27" s="2"/>
      <c r="H27" s="2" t="str">
        <f t="shared" si="0"/>
        <v>FAIL</v>
      </c>
      <c r="I27" s="2"/>
    </row>
    <row r="28" spans="1:9">
      <c r="A28" s="2" t="s">
        <v>269</v>
      </c>
      <c r="B28" s="2">
        <v>4</v>
      </c>
      <c r="C28" s="2"/>
      <c r="D28" s="2" t="s">
        <v>270</v>
      </c>
      <c r="E28" s="2"/>
      <c r="F28" s="2"/>
      <c r="G28" s="2"/>
      <c r="H28" s="2" t="str">
        <f t="shared" si="0"/>
        <v>FAIL</v>
      </c>
      <c r="I28" s="2"/>
    </row>
    <row r="29" spans="1:9" ht="28">
      <c r="A29" s="2" t="s">
        <v>271</v>
      </c>
      <c r="B29" s="2">
        <v>20</v>
      </c>
      <c r="C29" s="2"/>
      <c r="D29" s="2" t="s">
        <v>272</v>
      </c>
      <c r="E29" s="2"/>
      <c r="F29" s="2"/>
      <c r="G29" s="2"/>
      <c r="H29" s="2" t="str">
        <f t="shared" si="0"/>
        <v>FAIL</v>
      </c>
      <c r="I29" s="2"/>
    </row>
    <row r="30" spans="1:9">
      <c r="A30" s="2" t="s">
        <v>273</v>
      </c>
      <c r="B30" s="2">
        <v>2</v>
      </c>
      <c r="C30" s="2"/>
      <c r="D30" s="2" t="s">
        <v>265</v>
      </c>
      <c r="E30" s="2"/>
      <c r="F30" s="2"/>
      <c r="G30" s="2"/>
      <c r="H30" s="2" t="str">
        <f t="shared" si="0"/>
        <v>FAIL</v>
      </c>
      <c r="I30" s="2"/>
    </row>
    <row r="31" spans="1:9">
      <c r="A31" s="2" t="s">
        <v>274</v>
      </c>
      <c r="B31" s="2">
        <v>1</v>
      </c>
      <c r="C31" s="2"/>
      <c r="D31" s="2" t="s">
        <v>275</v>
      </c>
      <c r="E31" s="2"/>
      <c r="F31" s="2"/>
      <c r="G31" s="2"/>
      <c r="H31" s="2" t="str">
        <f t="shared" si="0"/>
        <v>FAIL</v>
      </c>
      <c r="I31" s="2"/>
    </row>
    <row r="32" spans="1:9">
      <c r="A32" s="2" t="s">
        <v>276</v>
      </c>
      <c r="B32" s="2">
        <v>5</v>
      </c>
      <c r="C32" s="2"/>
      <c r="D32" s="2" t="s">
        <v>265</v>
      </c>
      <c r="E32" s="2"/>
      <c r="F32" s="2"/>
      <c r="G32" s="2"/>
      <c r="H32" s="2" t="str">
        <f t="shared" si="0"/>
        <v>FAIL</v>
      </c>
      <c r="I32" s="2"/>
    </row>
    <row r="33" spans="1:9">
      <c r="A33" s="2" t="s">
        <v>277</v>
      </c>
      <c r="B33" s="2">
        <v>2</v>
      </c>
      <c r="C33" s="2"/>
      <c r="D33" s="2" t="s">
        <v>265</v>
      </c>
      <c r="E33" s="2"/>
      <c r="F33" s="2"/>
      <c r="G33" s="2"/>
      <c r="H33" s="2" t="str">
        <f t="shared" si="0"/>
        <v>FAIL</v>
      </c>
      <c r="I33" s="2"/>
    </row>
    <row r="34" spans="1:9" ht="28">
      <c r="A34" s="2" t="s">
        <v>278</v>
      </c>
      <c r="B34" s="2">
        <v>20</v>
      </c>
      <c r="C34" s="2"/>
      <c r="D34" s="2" t="s">
        <v>270</v>
      </c>
      <c r="E34" s="2"/>
      <c r="F34" s="2"/>
      <c r="G34" s="2"/>
      <c r="H34" s="2" t="str">
        <f t="shared" si="0"/>
        <v>FAIL</v>
      </c>
      <c r="I34" s="2"/>
    </row>
    <row r="35" spans="1:9">
      <c r="A35" s="2" t="s">
        <v>279</v>
      </c>
      <c r="B35" s="2">
        <v>20</v>
      </c>
      <c r="C35" s="2"/>
      <c r="D35" s="2" t="s">
        <v>270</v>
      </c>
      <c r="E35" s="2"/>
      <c r="F35" s="2"/>
      <c r="G35" s="2"/>
      <c r="H35" s="2" t="str">
        <f t="shared" si="0"/>
        <v>FAIL</v>
      </c>
      <c r="I35" s="2"/>
    </row>
    <row r="36" spans="1:9" ht="28">
      <c r="A36" s="2" t="s">
        <v>280</v>
      </c>
      <c r="B36" s="2">
        <v>1</v>
      </c>
      <c r="C36" s="2"/>
      <c r="D36" s="2" t="s">
        <v>281</v>
      </c>
      <c r="E36" s="2"/>
      <c r="F36" s="2"/>
      <c r="G36" s="2"/>
      <c r="H36" s="2" t="str">
        <f t="shared" si="0"/>
        <v>FAIL</v>
      </c>
      <c r="I36" s="2"/>
    </row>
    <row r="37" spans="1:9" ht="28">
      <c r="A37" s="2" t="s">
        <v>282</v>
      </c>
      <c r="B37" s="2">
        <v>1</v>
      </c>
      <c r="C37" s="2"/>
      <c r="D37" s="2" t="s">
        <v>281</v>
      </c>
      <c r="E37" s="2"/>
      <c r="F37" s="2"/>
      <c r="G37" s="2"/>
      <c r="H37" s="2" t="str">
        <f t="shared" si="0"/>
        <v>FAIL</v>
      </c>
      <c r="I37" s="2"/>
    </row>
    <row r="38" spans="1:9" ht="28">
      <c r="A38" s="2" t="s">
        <v>283</v>
      </c>
      <c r="B38" s="2">
        <v>1</v>
      </c>
      <c r="C38" s="2"/>
      <c r="D38" s="2" t="s">
        <v>281</v>
      </c>
      <c r="E38" s="2"/>
      <c r="F38" s="2"/>
      <c r="G38" s="2"/>
      <c r="H38" s="2" t="str">
        <f t="shared" si="0"/>
        <v>FAIL</v>
      </c>
      <c r="I38" s="2"/>
    </row>
    <row r="39" spans="1:9" ht="28">
      <c r="A39" s="2" t="s">
        <v>284</v>
      </c>
      <c r="B39" s="2">
        <v>1</v>
      </c>
      <c r="C39" s="2"/>
      <c r="D39" s="2" t="s">
        <v>285</v>
      </c>
      <c r="E39" s="2"/>
      <c r="F39" s="2"/>
      <c r="G39" s="2"/>
      <c r="H39" s="2" t="str">
        <f t="shared" si="0"/>
        <v>FAIL</v>
      </c>
      <c r="I39" s="2"/>
    </row>
    <row r="40" spans="1:9" ht="28">
      <c r="A40" s="2" t="s">
        <v>286</v>
      </c>
      <c r="B40" s="2">
        <v>1</v>
      </c>
      <c r="C40" s="2"/>
      <c r="D40" s="2" t="s">
        <v>287</v>
      </c>
      <c r="E40" s="2"/>
      <c r="F40" s="2"/>
      <c r="G40" s="2"/>
      <c r="H40" s="2" t="str">
        <f t="shared" si="0"/>
        <v>FAIL</v>
      </c>
      <c r="I40" s="2"/>
    </row>
    <row r="41" spans="1:9" ht="28">
      <c r="A41" s="2" t="s">
        <v>288</v>
      </c>
      <c r="B41" s="2">
        <v>1</v>
      </c>
      <c r="C41" s="2"/>
      <c r="D41" s="2" t="s">
        <v>281</v>
      </c>
      <c r="E41" s="2"/>
      <c r="F41" s="2"/>
      <c r="G41" s="2"/>
      <c r="H41" s="2" t="str">
        <f t="shared" si="0"/>
        <v>FAIL</v>
      </c>
      <c r="I41" s="2"/>
    </row>
    <row r="42" spans="1:9">
      <c r="A42" s="2"/>
      <c r="B42" s="2"/>
      <c r="C42" s="2"/>
      <c r="D42" s="2"/>
      <c r="E42" s="2"/>
      <c r="F42" s="2"/>
      <c r="G42" s="2"/>
      <c r="H42" s="2"/>
      <c r="I42" s="2"/>
    </row>
    <row r="43" spans="1:9">
      <c r="A43" s="2"/>
      <c r="B43" s="2"/>
      <c r="C43" s="2"/>
      <c r="D43" s="2"/>
      <c r="E43" s="2"/>
      <c r="F43" s="2"/>
      <c r="G43" s="2"/>
      <c r="H43" s="2"/>
      <c r="I43" s="2"/>
    </row>
    <row r="44" spans="1:9">
      <c r="A44" s="2"/>
      <c r="B44" s="2"/>
      <c r="C44" s="2"/>
      <c r="D44" s="2"/>
      <c r="E44" s="2"/>
      <c r="F44" s="2"/>
      <c r="G44" s="2"/>
      <c r="H44" s="2"/>
      <c r="I44" s="2"/>
    </row>
    <row r="45" spans="1:9">
      <c r="A45" s="2"/>
      <c r="B45" s="2"/>
      <c r="C45" s="2"/>
      <c r="D45" s="2"/>
      <c r="E45" s="2"/>
      <c r="F45" s="2"/>
      <c r="G45" s="2"/>
      <c r="H45" s="2"/>
      <c r="I45" s="2"/>
    </row>
    <row r="46" spans="1:9">
      <c r="A46" s="2"/>
      <c r="B46" s="2"/>
      <c r="C46" s="2"/>
      <c r="D46" s="2"/>
      <c r="E46" s="2"/>
      <c r="F46" s="2"/>
      <c r="G46" s="2"/>
      <c r="H46" s="2"/>
      <c r="I46" s="2"/>
    </row>
    <row r="47" spans="1:9">
      <c r="A47" s="2"/>
      <c r="B47" s="2"/>
      <c r="C47" s="2"/>
      <c r="D47" s="2"/>
      <c r="E47" s="2"/>
      <c r="F47" s="2"/>
      <c r="G47" s="2"/>
      <c r="H47" s="2"/>
      <c r="I47" s="2"/>
    </row>
    <row r="48" spans="1:9">
      <c r="A48" s="2"/>
      <c r="B48" s="2"/>
      <c r="C48" s="2"/>
      <c r="D48" s="2"/>
      <c r="E48" s="2"/>
      <c r="F48" s="2"/>
      <c r="G48" s="2"/>
      <c r="H48" s="2"/>
      <c r="I48" s="2"/>
    </row>
    <row r="49" spans="1:9">
      <c r="A49" s="2"/>
      <c r="B49" s="2"/>
      <c r="C49" s="2"/>
      <c r="D49" s="2"/>
      <c r="E49" s="2"/>
      <c r="F49" s="2"/>
      <c r="G49" s="2"/>
      <c r="H49" s="2"/>
      <c r="I49" s="2"/>
    </row>
    <row r="50" spans="1:9">
      <c r="A50" s="2"/>
      <c r="B50" s="2"/>
      <c r="C50" s="2"/>
      <c r="D50" s="2"/>
      <c r="E50" s="2"/>
      <c r="F50" s="2"/>
      <c r="G50" s="2"/>
      <c r="H50" s="2"/>
      <c r="I50" s="2"/>
    </row>
    <row r="51" spans="1:9">
      <c r="A51" s="2"/>
      <c r="B51" s="2"/>
      <c r="C51" s="2"/>
      <c r="D51" s="2"/>
      <c r="E51" s="2"/>
      <c r="F51" s="2"/>
      <c r="G51" s="2"/>
      <c r="H51" s="2"/>
      <c r="I51" s="2"/>
    </row>
    <row r="52" spans="1:9">
      <c r="A52" s="2"/>
      <c r="B52" s="2"/>
      <c r="C52" s="2"/>
      <c r="D52" s="2"/>
      <c r="E52" s="2"/>
      <c r="F52" s="2"/>
      <c r="G52" s="2"/>
      <c r="H52" s="2"/>
      <c r="I52" s="2"/>
    </row>
    <row r="53" spans="1:9">
      <c r="A53" s="2"/>
      <c r="B53" s="2"/>
      <c r="C53" s="2"/>
      <c r="D53" s="2"/>
      <c r="E53" s="2"/>
      <c r="F53" s="2"/>
      <c r="G53" s="2"/>
      <c r="H53" s="2"/>
      <c r="I53" s="2"/>
    </row>
    <row r="54" spans="1:9">
      <c r="A54" s="2"/>
      <c r="B54" s="2"/>
      <c r="C54" s="2"/>
      <c r="D54" s="2"/>
      <c r="E54" s="2"/>
      <c r="F54" s="2"/>
      <c r="G54" s="2"/>
      <c r="H54" s="2"/>
      <c r="I54" s="2"/>
    </row>
    <row r="55" spans="1:9">
      <c r="A55" s="2"/>
      <c r="B55" s="2"/>
      <c r="C55" s="2"/>
      <c r="D55" s="2"/>
      <c r="E55" s="2"/>
      <c r="F55" s="2"/>
      <c r="G55" s="2"/>
      <c r="H55" s="2"/>
      <c r="I55" s="2"/>
    </row>
    <row r="56" spans="1:9">
      <c r="A56" s="2"/>
      <c r="B56" s="2"/>
      <c r="C56" s="2"/>
      <c r="D56" s="2"/>
      <c r="E56" s="2"/>
      <c r="F56" s="2"/>
      <c r="G56" s="2"/>
      <c r="H56" s="2"/>
      <c r="I56" s="2"/>
    </row>
    <row r="57" spans="1:9">
      <c r="A57" s="2"/>
      <c r="B57" s="2"/>
      <c r="C57" s="2"/>
      <c r="D57" s="2"/>
      <c r="E57" s="2"/>
      <c r="F57" s="2"/>
      <c r="G57" s="2"/>
      <c r="H57" s="2"/>
      <c r="I57" s="2"/>
    </row>
    <row r="58" spans="1:9">
      <c r="A58" s="2"/>
      <c r="B58" s="2"/>
      <c r="C58" s="2"/>
      <c r="D58" s="2"/>
      <c r="E58" s="2"/>
      <c r="F58" s="2"/>
      <c r="G58" s="2"/>
      <c r="H58" s="2"/>
      <c r="I58" s="2"/>
    </row>
    <row r="59" spans="1:9">
      <c r="A59" s="2"/>
      <c r="B59" s="2"/>
      <c r="C59" s="2"/>
      <c r="D59" s="2"/>
      <c r="E59" s="2"/>
      <c r="F59" s="2"/>
      <c r="G59" s="2"/>
      <c r="H59" s="2"/>
      <c r="I59" s="2"/>
    </row>
    <row r="60" spans="1:9">
      <c r="A60" s="2"/>
      <c r="B60" s="2"/>
      <c r="C60" s="2"/>
      <c r="D60" s="2"/>
      <c r="E60" s="2"/>
      <c r="F60" s="2"/>
      <c r="G60" s="2"/>
      <c r="H60" s="2"/>
      <c r="I60" s="2"/>
    </row>
  </sheetData>
  <mergeCells count="2">
    <mergeCell ref="A1:I1"/>
    <mergeCell ref="A2:I2"/>
  </mergeCells>
  <dataValidations count="2">
    <dataValidation type="list" sqref="B7" xr:uid="{00000000-0002-0000-1000-000000000000}">
      <formula1>"Yes,No"</formula1>
    </dataValidation>
    <dataValidation type="list" sqref="F14:F41" xr:uid="{00000000-0002-0000-1000-000001000000}">
      <formula1>"Yes,No,N/A"</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60"/>
  <sheetViews>
    <sheetView workbookViewId="0"/>
  </sheetViews>
  <sheetFormatPr defaultRowHeight="14"/>
  <cols>
    <col min="1" max="8" width="18" customWidth="1"/>
  </cols>
  <sheetData>
    <row r="1" spans="1:8" ht="20">
      <c r="A1" s="6" t="s">
        <v>342</v>
      </c>
      <c r="B1" s="7"/>
      <c r="C1" s="7"/>
      <c r="D1" s="7"/>
      <c r="E1" s="7"/>
      <c r="F1" s="7"/>
      <c r="G1" s="7"/>
      <c r="H1" s="7"/>
    </row>
    <row r="2" spans="1:8" ht="14.5">
      <c r="A2" s="8" t="s">
        <v>290</v>
      </c>
      <c r="B2" s="7"/>
      <c r="C2" s="7"/>
      <c r="D2" s="7"/>
      <c r="E2" s="7"/>
      <c r="F2" s="7"/>
      <c r="G2" s="7"/>
      <c r="H2" s="7"/>
    </row>
    <row r="4" spans="1:8">
      <c r="A4" s="3" t="s">
        <v>107</v>
      </c>
      <c r="B4" t="s">
        <v>340</v>
      </c>
    </row>
    <row r="5" spans="1:8">
      <c r="A5" s="3" t="s">
        <v>110</v>
      </c>
    </row>
    <row r="6" spans="1:8">
      <c r="A6" s="3" t="s">
        <v>229</v>
      </c>
    </row>
    <row r="7" spans="1:8">
      <c r="A7" s="3" t="s">
        <v>230</v>
      </c>
    </row>
    <row r="8" spans="1:8">
      <c r="A8" s="3" t="s">
        <v>291</v>
      </c>
      <c r="B8">
        <f>COUNTA(A14:A60)</f>
        <v>22</v>
      </c>
    </row>
    <row r="9" spans="1:8">
      <c r="A9" s="3" t="s">
        <v>292</v>
      </c>
      <c r="B9">
        <f>COUNTIF(G14:G60,"FAIL")</f>
        <v>22</v>
      </c>
    </row>
    <row r="10" spans="1:8">
      <c r="A10" s="3" t="s">
        <v>46</v>
      </c>
      <c r="B10" t="str">
        <f>IF(AND(B7="Yes",B9=0),"Complete","Incomplete")</f>
        <v>Incomplete</v>
      </c>
    </row>
    <row r="13" spans="1:8">
      <c r="A13" s="1" t="s">
        <v>233</v>
      </c>
      <c r="B13" s="1" t="s">
        <v>234</v>
      </c>
      <c r="C13" s="1" t="s">
        <v>235</v>
      </c>
      <c r="D13" s="1" t="s">
        <v>293</v>
      </c>
      <c r="E13" s="1" t="s">
        <v>294</v>
      </c>
      <c r="F13" s="1" t="s">
        <v>239</v>
      </c>
      <c r="G13" s="1" t="s">
        <v>240</v>
      </c>
      <c r="H13" s="1" t="s">
        <v>241</v>
      </c>
    </row>
    <row r="14" spans="1:8" ht="28">
      <c r="A14" s="2" t="s">
        <v>295</v>
      </c>
      <c r="B14" s="2">
        <v>6</v>
      </c>
      <c r="C14" s="2"/>
      <c r="D14" s="2"/>
      <c r="E14" s="2"/>
      <c r="F14" s="2"/>
      <c r="G14" s="2" t="str">
        <f t="shared" ref="G14:G35" si="0">IF(OR(C14&lt;B14,E14="No"),"FAIL","PASS")</f>
        <v>FAIL</v>
      </c>
      <c r="H14" s="2"/>
    </row>
    <row r="15" spans="1:8" ht="28">
      <c r="A15" s="2" t="s">
        <v>296</v>
      </c>
      <c r="B15" s="2">
        <v>8</v>
      </c>
      <c r="C15" s="2"/>
      <c r="D15" s="2"/>
      <c r="E15" s="2"/>
      <c r="F15" s="2"/>
      <c r="G15" s="2" t="str">
        <f t="shared" si="0"/>
        <v>FAIL</v>
      </c>
      <c r="H15" s="2"/>
    </row>
    <row r="16" spans="1:8" ht="28">
      <c r="A16" s="2" t="s">
        <v>297</v>
      </c>
      <c r="B16" s="2">
        <v>10</v>
      </c>
      <c r="C16" s="2"/>
      <c r="D16" s="2"/>
      <c r="E16" s="2"/>
      <c r="F16" s="2"/>
      <c r="G16" s="2" t="str">
        <f t="shared" si="0"/>
        <v>FAIL</v>
      </c>
      <c r="H16" s="2"/>
    </row>
    <row r="17" spans="1:8">
      <c r="A17" s="2" t="s">
        <v>298</v>
      </c>
      <c r="B17" s="2">
        <v>4</v>
      </c>
      <c r="C17" s="2"/>
      <c r="D17" s="2"/>
      <c r="E17" s="2"/>
      <c r="F17" s="2"/>
      <c r="G17" s="2" t="str">
        <f t="shared" si="0"/>
        <v>FAIL</v>
      </c>
      <c r="H17" s="2"/>
    </row>
    <row r="18" spans="1:8">
      <c r="A18" s="2" t="s">
        <v>299</v>
      </c>
      <c r="B18" s="2">
        <v>6</v>
      </c>
      <c r="C18" s="2"/>
      <c r="D18" s="2"/>
      <c r="E18" s="2"/>
      <c r="F18" s="2"/>
      <c r="G18" s="2" t="str">
        <f t="shared" si="0"/>
        <v>FAIL</v>
      </c>
      <c r="H18" s="2"/>
    </row>
    <row r="19" spans="1:8" ht="28">
      <c r="A19" s="2" t="s">
        <v>300</v>
      </c>
      <c r="B19" s="2">
        <v>6</v>
      </c>
      <c r="C19" s="2"/>
      <c r="D19" s="2"/>
      <c r="E19" s="2"/>
      <c r="F19" s="2"/>
      <c r="G19" s="2" t="str">
        <f t="shared" si="0"/>
        <v>FAIL</v>
      </c>
      <c r="H19" s="2"/>
    </row>
    <row r="20" spans="1:8">
      <c r="A20" s="2" t="s">
        <v>301</v>
      </c>
      <c r="B20" s="2">
        <v>10</v>
      </c>
      <c r="C20" s="2"/>
      <c r="D20" s="2"/>
      <c r="E20" s="2"/>
      <c r="F20" s="2"/>
      <c r="G20" s="2" t="str">
        <f t="shared" si="0"/>
        <v>FAIL</v>
      </c>
      <c r="H20" s="2"/>
    </row>
    <row r="21" spans="1:8">
      <c r="A21" s="2" t="s">
        <v>302</v>
      </c>
      <c r="B21" s="2">
        <v>4</v>
      </c>
      <c r="C21" s="2"/>
      <c r="D21" s="2"/>
      <c r="E21" s="2"/>
      <c r="F21" s="2"/>
      <c r="G21" s="2" t="str">
        <f t="shared" si="0"/>
        <v>FAIL</v>
      </c>
      <c r="H21" s="2"/>
    </row>
    <row r="22" spans="1:8" ht="28">
      <c r="A22" s="2" t="s">
        <v>303</v>
      </c>
      <c r="B22" s="2">
        <v>4</v>
      </c>
      <c r="C22" s="2"/>
      <c r="D22" s="2"/>
      <c r="E22" s="2"/>
      <c r="F22" s="2"/>
      <c r="G22" s="2" t="str">
        <f t="shared" si="0"/>
        <v>FAIL</v>
      </c>
      <c r="H22" s="2"/>
    </row>
    <row r="23" spans="1:8">
      <c r="A23" s="2" t="s">
        <v>304</v>
      </c>
      <c r="B23" s="2">
        <v>2</v>
      </c>
      <c r="C23" s="2"/>
      <c r="D23" s="2"/>
      <c r="E23" s="2"/>
      <c r="F23" s="2"/>
      <c r="G23" s="2" t="str">
        <f t="shared" si="0"/>
        <v>FAIL</v>
      </c>
      <c r="H23" s="2"/>
    </row>
    <row r="24" spans="1:8" ht="28">
      <c r="A24" s="2" t="s">
        <v>305</v>
      </c>
      <c r="B24" s="2">
        <v>50</v>
      </c>
      <c r="C24" s="2"/>
      <c r="D24" s="2"/>
      <c r="E24" s="2"/>
      <c r="F24" s="2"/>
      <c r="G24" s="2" t="str">
        <f t="shared" si="0"/>
        <v>FAIL</v>
      </c>
      <c r="H24" s="2"/>
    </row>
    <row r="25" spans="1:8">
      <c r="A25" s="2" t="s">
        <v>306</v>
      </c>
      <c r="B25" s="2">
        <v>2</v>
      </c>
      <c r="C25" s="2"/>
      <c r="D25" s="2"/>
      <c r="E25" s="2"/>
      <c r="F25" s="2"/>
      <c r="G25" s="2" t="str">
        <f t="shared" si="0"/>
        <v>FAIL</v>
      </c>
      <c r="H25" s="2"/>
    </row>
    <row r="26" spans="1:8">
      <c r="A26" s="2" t="s">
        <v>307</v>
      </c>
      <c r="B26" s="2">
        <v>2</v>
      </c>
      <c r="C26" s="2"/>
      <c r="D26" s="2"/>
      <c r="E26" s="2"/>
      <c r="F26" s="2"/>
      <c r="G26" s="2" t="str">
        <f t="shared" si="0"/>
        <v>FAIL</v>
      </c>
      <c r="H26" s="2"/>
    </row>
    <row r="27" spans="1:8" ht="28">
      <c r="A27" s="2" t="s">
        <v>308</v>
      </c>
      <c r="B27" s="2">
        <v>2</v>
      </c>
      <c r="C27" s="2"/>
      <c r="D27" s="2"/>
      <c r="E27" s="2"/>
      <c r="F27" s="2"/>
      <c r="G27" s="2" t="str">
        <f t="shared" si="0"/>
        <v>FAIL</v>
      </c>
      <c r="H27" s="2"/>
    </row>
    <row r="28" spans="1:8">
      <c r="A28" s="2" t="s">
        <v>309</v>
      </c>
      <c r="B28" s="2">
        <v>4</v>
      </c>
      <c r="C28" s="2"/>
      <c r="D28" s="2"/>
      <c r="E28" s="2"/>
      <c r="F28" s="2"/>
      <c r="G28" s="2" t="str">
        <f t="shared" si="0"/>
        <v>FAIL</v>
      </c>
      <c r="H28" s="2"/>
    </row>
    <row r="29" spans="1:8">
      <c r="A29" s="2" t="s">
        <v>310</v>
      </c>
      <c r="B29" s="2">
        <v>20</v>
      </c>
      <c r="C29" s="2"/>
      <c r="D29" s="2"/>
      <c r="E29" s="2"/>
      <c r="F29" s="2"/>
      <c r="G29" s="2" t="str">
        <f t="shared" si="0"/>
        <v>FAIL</v>
      </c>
      <c r="H29" s="2"/>
    </row>
    <row r="30" spans="1:8" ht="28">
      <c r="A30" s="2" t="s">
        <v>311</v>
      </c>
      <c r="B30" s="2">
        <v>1</v>
      </c>
      <c r="C30" s="2"/>
      <c r="D30" s="2"/>
      <c r="E30" s="2"/>
      <c r="F30" s="2"/>
      <c r="G30" s="2" t="str">
        <f t="shared" si="0"/>
        <v>FAIL</v>
      </c>
      <c r="H30" s="2"/>
    </row>
    <row r="31" spans="1:8" ht="28">
      <c r="A31" s="2" t="s">
        <v>312</v>
      </c>
      <c r="B31" s="2">
        <v>1</v>
      </c>
      <c r="C31" s="2"/>
      <c r="D31" s="2"/>
      <c r="E31" s="2"/>
      <c r="F31" s="2"/>
      <c r="G31" s="2" t="str">
        <f t="shared" si="0"/>
        <v>FAIL</v>
      </c>
      <c r="H31" s="2"/>
    </row>
    <row r="32" spans="1:8" ht="28">
      <c r="A32" s="2" t="s">
        <v>313</v>
      </c>
      <c r="B32" s="2">
        <v>1</v>
      </c>
      <c r="C32" s="2"/>
      <c r="D32" s="2"/>
      <c r="E32" s="2"/>
      <c r="F32" s="2"/>
      <c r="G32" s="2" t="str">
        <f t="shared" si="0"/>
        <v>FAIL</v>
      </c>
      <c r="H32" s="2"/>
    </row>
    <row r="33" spans="1:8" ht="28">
      <c r="A33" s="2" t="s">
        <v>314</v>
      </c>
      <c r="B33" s="2">
        <v>1</v>
      </c>
      <c r="C33" s="2"/>
      <c r="D33" s="2"/>
      <c r="E33" s="2"/>
      <c r="F33" s="2"/>
      <c r="G33" s="2" t="str">
        <f t="shared" si="0"/>
        <v>FAIL</v>
      </c>
      <c r="H33" s="2"/>
    </row>
    <row r="34" spans="1:8" ht="28">
      <c r="A34" s="2" t="s">
        <v>315</v>
      </c>
      <c r="B34" s="2">
        <v>1</v>
      </c>
      <c r="C34" s="2"/>
      <c r="D34" s="2"/>
      <c r="E34" s="2"/>
      <c r="F34" s="2"/>
      <c r="G34" s="2" t="str">
        <f t="shared" si="0"/>
        <v>FAIL</v>
      </c>
      <c r="H34" s="2"/>
    </row>
    <row r="35" spans="1:8" ht="28">
      <c r="A35" s="2" t="s">
        <v>316</v>
      </c>
      <c r="B35" s="2">
        <v>1</v>
      </c>
      <c r="C35" s="2"/>
      <c r="D35" s="2"/>
      <c r="E35" s="2"/>
      <c r="F35" s="2"/>
      <c r="G35" s="2" t="str">
        <f t="shared" si="0"/>
        <v>FAIL</v>
      </c>
      <c r="H35" s="2"/>
    </row>
    <row r="36" spans="1:8">
      <c r="A36" s="2"/>
      <c r="B36" s="2"/>
      <c r="C36" s="2"/>
      <c r="D36" s="2"/>
      <c r="E36" s="2"/>
      <c r="F36" s="2"/>
      <c r="G36" s="2"/>
      <c r="H36" s="2"/>
    </row>
    <row r="37" spans="1:8">
      <c r="A37" s="2"/>
      <c r="B37" s="2"/>
      <c r="C37" s="2"/>
      <c r="D37" s="2"/>
      <c r="E37" s="2"/>
      <c r="F37" s="2"/>
      <c r="G37" s="2"/>
      <c r="H37" s="2"/>
    </row>
    <row r="38" spans="1:8">
      <c r="A38" s="2"/>
      <c r="B38" s="2"/>
      <c r="C38" s="2"/>
      <c r="D38" s="2"/>
      <c r="E38" s="2"/>
      <c r="F38" s="2"/>
      <c r="G38" s="2"/>
      <c r="H38" s="2"/>
    </row>
    <row r="39" spans="1:8">
      <c r="A39" s="2"/>
      <c r="B39" s="2"/>
      <c r="C39" s="2"/>
      <c r="D39" s="2"/>
      <c r="E39" s="2"/>
      <c r="F39" s="2"/>
      <c r="G39" s="2"/>
      <c r="H39" s="2"/>
    </row>
    <row r="40" spans="1:8">
      <c r="A40" s="2"/>
      <c r="B40" s="2"/>
      <c r="C40" s="2"/>
      <c r="D40" s="2"/>
      <c r="E40" s="2"/>
      <c r="F40" s="2"/>
      <c r="G40" s="2"/>
      <c r="H40" s="2"/>
    </row>
    <row r="41" spans="1:8">
      <c r="A41" s="2"/>
      <c r="B41" s="2"/>
      <c r="C41" s="2"/>
      <c r="D41" s="2"/>
      <c r="E41" s="2"/>
      <c r="F41" s="2"/>
      <c r="G41" s="2"/>
      <c r="H41" s="2"/>
    </row>
    <row r="42" spans="1:8">
      <c r="A42" s="2"/>
      <c r="B42" s="2"/>
      <c r="C42" s="2"/>
      <c r="D42" s="2"/>
      <c r="E42" s="2"/>
      <c r="F42" s="2"/>
      <c r="G42" s="2"/>
      <c r="H42" s="2"/>
    </row>
    <row r="43" spans="1:8">
      <c r="A43" s="2"/>
      <c r="B43" s="2"/>
      <c r="C43" s="2"/>
      <c r="D43" s="2"/>
      <c r="E43" s="2"/>
      <c r="F43" s="2"/>
      <c r="G43" s="2"/>
      <c r="H43" s="2"/>
    </row>
    <row r="44" spans="1:8">
      <c r="A44" s="2"/>
      <c r="B44" s="2"/>
      <c r="C44" s="2"/>
      <c r="D44" s="2"/>
      <c r="E44" s="2"/>
      <c r="F44" s="2"/>
      <c r="G44" s="2"/>
      <c r="H44" s="2"/>
    </row>
    <row r="45" spans="1:8">
      <c r="A45" s="2"/>
      <c r="B45" s="2"/>
      <c r="C45" s="2"/>
      <c r="D45" s="2"/>
      <c r="E45" s="2"/>
      <c r="F45" s="2"/>
      <c r="G45" s="2"/>
      <c r="H45" s="2"/>
    </row>
    <row r="46" spans="1:8">
      <c r="A46" s="2"/>
      <c r="B46" s="2"/>
      <c r="C46" s="2"/>
      <c r="D46" s="2"/>
      <c r="E46" s="2"/>
      <c r="F46" s="2"/>
      <c r="G46" s="2"/>
      <c r="H46" s="2"/>
    </row>
    <row r="47" spans="1:8">
      <c r="A47" s="2"/>
      <c r="B47" s="2"/>
      <c r="C47" s="2"/>
      <c r="D47" s="2"/>
      <c r="E47" s="2"/>
      <c r="F47" s="2"/>
      <c r="G47" s="2"/>
      <c r="H47" s="2"/>
    </row>
    <row r="48" spans="1:8">
      <c r="A48" s="2"/>
      <c r="B48" s="2"/>
      <c r="C48" s="2"/>
      <c r="D48" s="2"/>
      <c r="E48" s="2"/>
      <c r="F48" s="2"/>
      <c r="G48" s="2"/>
      <c r="H48" s="2"/>
    </row>
    <row r="49" spans="1:8">
      <c r="A49" s="2"/>
      <c r="B49" s="2"/>
      <c r="C49" s="2"/>
      <c r="D49" s="2"/>
      <c r="E49" s="2"/>
      <c r="F49" s="2"/>
      <c r="G49" s="2"/>
      <c r="H49" s="2"/>
    </row>
    <row r="50" spans="1:8">
      <c r="A50" s="2"/>
      <c r="B50" s="2"/>
      <c r="C50" s="2"/>
      <c r="D50" s="2"/>
      <c r="E50" s="2"/>
      <c r="F50" s="2"/>
      <c r="G50" s="2"/>
      <c r="H50" s="2"/>
    </row>
    <row r="51" spans="1:8">
      <c r="A51" s="2"/>
      <c r="B51" s="2"/>
      <c r="C51" s="2"/>
      <c r="D51" s="2"/>
      <c r="E51" s="2"/>
      <c r="F51" s="2"/>
      <c r="G51" s="2"/>
      <c r="H51" s="2"/>
    </row>
    <row r="52" spans="1:8">
      <c r="A52" s="2"/>
      <c r="B52" s="2"/>
      <c r="C52" s="2"/>
      <c r="D52" s="2"/>
      <c r="E52" s="2"/>
      <c r="F52" s="2"/>
      <c r="G52" s="2"/>
      <c r="H52" s="2"/>
    </row>
    <row r="53" spans="1:8">
      <c r="A53" s="2"/>
      <c r="B53" s="2"/>
      <c r="C53" s="2"/>
      <c r="D53" s="2"/>
      <c r="E53" s="2"/>
      <c r="F53" s="2"/>
      <c r="G53" s="2"/>
      <c r="H53" s="2"/>
    </row>
    <row r="54" spans="1:8">
      <c r="A54" s="2"/>
      <c r="B54" s="2"/>
      <c r="C54" s="2"/>
      <c r="D54" s="2"/>
      <c r="E54" s="2"/>
      <c r="F54" s="2"/>
      <c r="G54" s="2"/>
      <c r="H54" s="2"/>
    </row>
    <row r="55" spans="1:8">
      <c r="A55" s="2"/>
      <c r="B55" s="2"/>
      <c r="C55" s="2"/>
      <c r="D55" s="2"/>
      <c r="E55" s="2"/>
      <c r="F55" s="2"/>
      <c r="G55" s="2"/>
      <c r="H55" s="2"/>
    </row>
    <row r="56" spans="1:8">
      <c r="A56" s="2"/>
      <c r="B56" s="2"/>
      <c r="C56" s="2"/>
      <c r="D56" s="2"/>
      <c r="E56" s="2"/>
      <c r="F56" s="2"/>
      <c r="G56" s="2"/>
      <c r="H56" s="2"/>
    </row>
    <row r="57" spans="1:8">
      <c r="A57" s="2"/>
      <c r="B57" s="2"/>
      <c r="C57" s="2"/>
      <c r="D57" s="2"/>
      <c r="E57" s="2"/>
      <c r="F57" s="2"/>
      <c r="G57" s="2"/>
      <c r="H57" s="2"/>
    </row>
    <row r="58" spans="1:8">
      <c r="A58" s="2"/>
      <c r="B58" s="2"/>
      <c r="C58" s="2"/>
      <c r="D58" s="2"/>
      <c r="E58" s="2"/>
      <c r="F58" s="2"/>
      <c r="G58" s="2"/>
      <c r="H58" s="2"/>
    </row>
    <row r="59" spans="1:8">
      <c r="A59" s="2"/>
      <c r="B59" s="2"/>
      <c r="C59" s="2"/>
      <c r="D59" s="2"/>
      <c r="E59" s="2"/>
      <c r="F59" s="2"/>
      <c r="G59" s="2"/>
      <c r="H59" s="2"/>
    </row>
    <row r="60" spans="1:8">
      <c r="A60" s="2"/>
      <c r="B60" s="2"/>
      <c r="C60" s="2"/>
      <c r="D60" s="2"/>
      <c r="E60" s="2"/>
      <c r="F60" s="2"/>
      <c r="G60" s="2"/>
      <c r="H60" s="2"/>
    </row>
  </sheetData>
  <mergeCells count="2">
    <mergeCell ref="A1:H1"/>
    <mergeCell ref="A2:H2"/>
  </mergeCells>
  <dataValidations count="2">
    <dataValidation type="list" sqref="B7" xr:uid="{00000000-0002-0000-1100-000000000000}">
      <formula1>"Yes,No"</formula1>
    </dataValidation>
    <dataValidation type="list" sqref="E14:E35" xr:uid="{00000000-0002-0000-1100-000001000000}">
      <formula1>"Yes,No,N/A"</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113"/>
  <sheetViews>
    <sheetView workbookViewId="0"/>
  </sheetViews>
  <sheetFormatPr defaultRowHeight="14"/>
  <cols>
    <col min="1" max="2" width="17" customWidth="1"/>
    <col min="3" max="3" width="25" customWidth="1"/>
    <col min="4" max="13" width="17" customWidth="1"/>
    <col min="14" max="14" width="28" customWidth="1"/>
    <col min="15" max="15" width="17" customWidth="1"/>
  </cols>
  <sheetData>
    <row r="1" spans="1:15" ht="20">
      <c r="A1" s="6" t="s">
        <v>343</v>
      </c>
      <c r="B1" s="7"/>
      <c r="C1" s="7"/>
      <c r="D1" s="7"/>
      <c r="E1" s="7"/>
      <c r="F1" s="7"/>
      <c r="G1" s="7"/>
      <c r="H1" s="7"/>
      <c r="I1" s="7"/>
      <c r="J1" s="7"/>
      <c r="K1" s="7"/>
      <c r="L1" s="7"/>
      <c r="M1" s="7"/>
      <c r="N1" s="7"/>
      <c r="O1" s="7"/>
    </row>
    <row r="2" spans="1:15" ht="14.5">
      <c r="A2" s="8" t="s">
        <v>318</v>
      </c>
      <c r="B2" s="7"/>
      <c r="C2" s="7"/>
      <c r="D2" s="7"/>
      <c r="E2" s="7"/>
      <c r="F2" s="7"/>
      <c r="G2" s="7"/>
      <c r="H2" s="7"/>
      <c r="I2" s="7"/>
      <c r="J2" s="7"/>
      <c r="K2" s="7"/>
      <c r="L2" s="7"/>
      <c r="M2" s="7"/>
      <c r="N2" s="7"/>
      <c r="O2" s="7"/>
    </row>
    <row r="4" spans="1:15">
      <c r="A4" s="3" t="s">
        <v>107</v>
      </c>
      <c r="B4" t="s">
        <v>340</v>
      </c>
    </row>
    <row r="5" spans="1:15">
      <c r="A5" s="3" t="s">
        <v>110</v>
      </c>
    </row>
    <row r="6" spans="1:15">
      <c r="A6" s="3" t="s">
        <v>229</v>
      </c>
    </row>
    <row r="7" spans="1:15">
      <c r="A7" s="3" t="s">
        <v>230</v>
      </c>
    </row>
    <row r="8" spans="1:15">
      <c r="A8" s="3" t="s">
        <v>319</v>
      </c>
      <c r="B8">
        <f>COUNTA(A14:A113)</f>
        <v>0</v>
      </c>
    </row>
    <row r="9" spans="1:15" ht="28">
      <c r="A9" s="3" t="s">
        <v>320</v>
      </c>
      <c r="B9">
        <f>COUNTIF(O14:O113,"FAIL")</f>
        <v>0</v>
      </c>
    </row>
    <row r="10" spans="1:15">
      <c r="A10" s="3" t="s">
        <v>46</v>
      </c>
      <c r="B10" t="str">
        <f>IF(AND(B7="Yes",B9=0),"Complete","Incomplete")</f>
        <v>Incomplete</v>
      </c>
    </row>
    <row r="13" spans="1:15" ht="42">
      <c r="A13" s="1" t="s">
        <v>120</v>
      </c>
      <c r="B13" s="1" t="s">
        <v>121</v>
      </c>
      <c r="C13" s="1" t="s">
        <v>321</v>
      </c>
      <c r="D13" s="1" t="s">
        <v>234</v>
      </c>
      <c r="E13" s="1" t="s">
        <v>235</v>
      </c>
      <c r="F13" s="1" t="s">
        <v>294</v>
      </c>
      <c r="G13" s="1" t="s">
        <v>322</v>
      </c>
      <c r="H13" s="1" t="s">
        <v>323</v>
      </c>
      <c r="I13" s="1" t="s">
        <v>324</v>
      </c>
      <c r="J13" s="1" t="s">
        <v>149</v>
      </c>
      <c r="K13" s="1" t="s">
        <v>325</v>
      </c>
      <c r="L13" s="1" t="s">
        <v>326</v>
      </c>
      <c r="M13" s="1" t="s">
        <v>327</v>
      </c>
      <c r="N13" s="1" t="s">
        <v>239</v>
      </c>
      <c r="O13" s="1" t="s">
        <v>328</v>
      </c>
    </row>
    <row r="14" spans="1:15">
      <c r="A14" s="2"/>
      <c r="B14" s="2"/>
      <c r="C14" s="2"/>
      <c r="D14" s="2"/>
      <c r="E14" s="2"/>
      <c r="F14" s="2"/>
      <c r="G14" s="2"/>
      <c r="H14" s="2"/>
      <c r="I14" s="2"/>
      <c r="J14" s="2"/>
      <c r="K14" s="2"/>
      <c r="L14" s="2"/>
      <c r="M14" s="2"/>
      <c r="N14" s="2"/>
      <c r="O14" s="2" t="str">
        <f t="shared" ref="O14:O45" si="0">IF(OR(E14&lt;D14,F14="No",G14="No",H14="No",I14="No",J14="No",K14="No",L14="No",M14="No"),"FAIL","PASS")</f>
        <v>PASS</v>
      </c>
    </row>
    <row r="15" spans="1:15">
      <c r="A15" s="2"/>
      <c r="B15" s="2"/>
      <c r="C15" s="2"/>
      <c r="D15" s="2"/>
      <c r="E15" s="2"/>
      <c r="F15" s="2"/>
      <c r="G15" s="2"/>
      <c r="H15" s="2"/>
      <c r="I15" s="2"/>
      <c r="J15" s="2"/>
      <c r="K15" s="2"/>
      <c r="L15" s="2"/>
      <c r="M15" s="2"/>
      <c r="N15" s="2"/>
      <c r="O15" s="2" t="str">
        <f t="shared" si="0"/>
        <v>PASS</v>
      </c>
    </row>
    <row r="16" spans="1:15">
      <c r="A16" s="2"/>
      <c r="B16" s="2"/>
      <c r="C16" s="2"/>
      <c r="D16" s="2"/>
      <c r="E16" s="2"/>
      <c r="F16" s="2"/>
      <c r="G16" s="2"/>
      <c r="H16" s="2"/>
      <c r="I16" s="2"/>
      <c r="J16" s="2"/>
      <c r="K16" s="2"/>
      <c r="L16" s="2"/>
      <c r="M16" s="2"/>
      <c r="N16" s="2"/>
      <c r="O16" s="2" t="str">
        <f t="shared" si="0"/>
        <v>PASS</v>
      </c>
    </row>
    <row r="17" spans="1:15">
      <c r="A17" s="2"/>
      <c r="B17" s="2"/>
      <c r="C17" s="2"/>
      <c r="D17" s="2"/>
      <c r="E17" s="2"/>
      <c r="F17" s="2"/>
      <c r="G17" s="2"/>
      <c r="H17" s="2"/>
      <c r="I17" s="2"/>
      <c r="J17" s="2"/>
      <c r="K17" s="2"/>
      <c r="L17" s="2"/>
      <c r="M17" s="2"/>
      <c r="N17" s="2"/>
      <c r="O17" s="2" t="str">
        <f t="shared" si="0"/>
        <v>PASS</v>
      </c>
    </row>
    <row r="18" spans="1:15">
      <c r="A18" s="2"/>
      <c r="B18" s="2"/>
      <c r="C18" s="2"/>
      <c r="D18" s="2"/>
      <c r="E18" s="2"/>
      <c r="F18" s="2"/>
      <c r="G18" s="2"/>
      <c r="H18" s="2"/>
      <c r="I18" s="2"/>
      <c r="J18" s="2"/>
      <c r="K18" s="2"/>
      <c r="L18" s="2"/>
      <c r="M18" s="2"/>
      <c r="N18" s="2"/>
      <c r="O18" s="2" t="str">
        <f t="shared" si="0"/>
        <v>PASS</v>
      </c>
    </row>
    <row r="19" spans="1:15">
      <c r="A19" s="2"/>
      <c r="B19" s="2"/>
      <c r="C19" s="2"/>
      <c r="D19" s="2"/>
      <c r="E19" s="2"/>
      <c r="F19" s="2"/>
      <c r="G19" s="2"/>
      <c r="H19" s="2"/>
      <c r="I19" s="2"/>
      <c r="J19" s="2"/>
      <c r="K19" s="2"/>
      <c r="L19" s="2"/>
      <c r="M19" s="2"/>
      <c r="N19" s="2"/>
      <c r="O19" s="2" t="str">
        <f t="shared" si="0"/>
        <v>PASS</v>
      </c>
    </row>
    <row r="20" spans="1:15">
      <c r="A20" s="2"/>
      <c r="B20" s="2"/>
      <c r="C20" s="2"/>
      <c r="D20" s="2"/>
      <c r="E20" s="2"/>
      <c r="F20" s="2"/>
      <c r="G20" s="2"/>
      <c r="H20" s="2"/>
      <c r="I20" s="2"/>
      <c r="J20" s="2"/>
      <c r="K20" s="2"/>
      <c r="L20" s="2"/>
      <c r="M20" s="2"/>
      <c r="N20" s="2"/>
      <c r="O20" s="2" t="str">
        <f t="shared" si="0"/>
        <v>PASS</v>
      </c>
    </row>
    <row r="21" spans="1:15">
      <c r="A21" s="2"/>
      <c r="B21" s="2"/>
      <c r="C21" s="2"/>
      <c r="D21" s="2"/>
      <c r="E21" s="2"/>
      <c r="F21" s="2"/>
      <c r="G21" s="2"/>
      <c r="H21" s="2"/>
      <c r="I21" s="2"/>
      <c r="J21" s="2"/>
      <c r="K21" s="2"/>
      <c r="L21" s="2"/>
      <c r="M21" s="2"/>
      <c r="N21" s="2"/>
      <c r="O21" s="2" t="str">
        <f t="shared" si="0"/>
        <v>PASS</v>
      </c>
    </row>
    <row r="22" spans="1:15">
      <c r="A22" s="2"/>
      <c r="B22" s="2"/>
      <c r="C22" s="2"/>
      <c r="D22" s="2"/>
      <c r="E22" s="2"/>
      <c r="F22" s="2"/>
      <c r="G22" s="2"/>
      <c r="H22" s="2"/>
      <c r="I22" s="2"/>
      <c r="J22" s="2"/>
      <c r="K22" s="2"/>
      <c r="L22" s="2"/>
      <c r="M22" s="2"/>
      <c r="N22" s="2"/>
      <c r="O22" s="2" t="str">
        <f t="shared" si="0"/>
        <v>PASS</v>
      </c>
    </row>
    <row r="23" spans="1:15">
      <c r="A23" s="2"/>
      <c r="B23" s="2"/>
      <c r="C23" s="2"/>
      <c r="D23" s="2"/>
      <c r="E23" s="2"/>
      <c r="F23" s="2"/>
      <c r="G23" s="2"/>
      <c r="H23" s="2"/>
      <c r="I23" s="2"/>
      <c r="J23" s="2"/>
      <c r="K23" s="2"/>
      <c r="L23" s="2"/>
      <c r="M23" s="2"/>
      <c r="N23" s="2"/>
      <c r="O23" s="2" t="str">
        <f t="shared" si="0"/>
        <v>PASS</v>
      </c>
    </row>
    <row r="24" spans="1:15">
      <c r="A24" s="2"/>
      <c r="B24" s="2"/>
      <c r="C24" s="2"/>
      <c r="D24" s="2"/>
      <c r="E24" s="2"/>
      <c r="F24" s="2"/>
      <c r="G24" s="2"/>
      <c r="H24" s="2"/>
      <c r="I24" s="2"/>
      <c r="J24" s="2"/>
      <c r="K24" s="2"/>
      <c r="L24" s="2"/>
      <c r="M24" s="2"/>
      <c r="N24" s="2"/>
      <c r="O24" s="2" t="str">
        <f t="shared" si="0"/>
        <v>PASS</v>
      </c>
    </row>
    <row r="25" spans="1:15">
      <c r="A25" s="2"/>
      <c r="B25" s="2"/>
      <c r="C25" s="2"/>
      <c r="D25" s="2"/>
      <c r="E25" s="2"/>
      <c r="F25" s="2"/>
      <c r="G25" s="2"/>
      <c r="H25" s="2"/>
      <c r="I25" s="2"/>
      <c r="J25" s="2"/>
      <c r="K25" s="2"/>
      <c r="L25" s="2"/>
      <c r="M25" s="2"/>
      <c r="N25" s="2"/>
      <c r="O25" s="2" t="str">
        <f t="shared" si="0"/>
        <v>PASS</v>
      </c>
    </row>
    <row r="26" spans="1:15">
      <c r="A26" s="2"/>
      <c r="B26" s="2"/>
      <c r="C26" s="2"/>
      <c r="D26" s="2"/>
      <c r="E26" s="2"/>
      <c r="F26" s="2"/>
      <c r="G26" s="2"/>
      <c r="H26" s="2"/>
      <c r="I26" s="2"/>
      <c r="J26" s="2"/>
      <c r="K26" s="2"/>
      <c r="L26" s="2"/>
      <c r="M26" s="2"/>
      <c r="N26" s="2"/>
      <c r="O26" s="2" t="str">
        <f t="shared" si="0"/>
        <v>PASS</v>
      </c>
    </row>
    <row r="27" spans="1:15">
      <c r="A27" s="2"/>
      <c r="B27" s="2"/>
      <c r="C27" s="2"/>
      <c r="D27" s="2"/>
      <c r="E27" s="2"/>
      <c r="F27" s="2"/>
      <c r="G27" s="2"/>
      <c r="H27" s="2"/>
      <c r="I27" s="2"/>
      <c r="J27" s="2"/>
      <c r="K27" s="2"/>
      <c r="L27" s="2"/>
      <c r="M27" s="2"/>
      <c r="N27" s="2"/>
      <c r="O27" s="2" t="str">
        <f t="shared" si="0"/>
        <v>PASS</v>
      </c>
    </row>
    <row r="28" spans="1:15">
      <c r="A28" s="2"/>
      <c r="B28" s="2"/>
      <c r="C28" s="2"/>
      <c r="D28" s="2"/>
      <c r="E28" s="2"/>
      <c r="F28" s="2"/>
      <c r="G28" s="2"/>
      <c r="H28" s="2"/>
      <c r="I28" s="2"/>
      <c r="J28" s="2"/>
      <c r="K28" s="2"/>
      <c r="L28" s="2"/>
      <c r="M28" s="2"/>
      <c r="N28" s="2"/>
      <c r="O28" s="2" t="str">
        <f t="shared" si="0"/>
        <v>PASS</v>
      </c>
    </row>
    <row r="29" spans="1:15">
      <c r="A29" s="2"/>
      <c r="B29" s="2"/>
      <c r="C29" s="2"/>
      <c r="D29" s="2"/>
      <c r="E29" s="2"/>
      <c r="F29" s="2"/>
      <c r="G29" s="2"/>
      <c r="H29" s="2"/>
      <c r="I29" s="2"/>
      <c r="J29" s="2"/>
      <c r="K29" s="2"/>
      <c r="L29" s="2"/>
      <c r="M29" s="2"/>
      <c r="N29" s="2"/>
      <c r="O29" s="2" t="str">
        <f t="shared" si="0"/>
        <v>PASS</v>
      </c>
    </row>
    <row r="30" spans="1:15">
      <c r="A30" s="2"/>
      <c r="B30" s="2"/>
      <c r="C30" s="2"/>
      <c r="D30" s="2"/>
      <c r="E30" s="2"/>
      <c r="F30" s="2"/>
      <c r="G30" s="2"/>
      <c r="H30" s="2"/>
      <c r="I30" s="2"/>
      <c r="J30" s="2"/>
      <c r="K30" s="2"/>
      <c r="L30" s="2"/>
      <c r="M30" s="2"/>
      <c r="N30" s="2"/>
      <c r="O30" s="2" t="str">
        <f t="shared" si="0"/>
        <v>PASS</v>
      </c>
    </row>
    <row r="31" spans="1:15">
      <c r="A31" s="2"/>
      <c r="B31" s="2"/>
      <c r="C31" s="2"/>
      <c r="D31" s="2"/>
      <c r="E31" s="2"/>
      <c r="F31" s="2"/>
      <c r="G31" s="2"/>
      <c r="H31" s="2"/>
      <c r="I31" s="2"/>
      <c r="J31" s="2"/>
      <c r="K31" s="2"/>
      <c r="L31" s="2"/>
      <c r="M31" s="2"/>
      <c r="N31" s="2"/>
      <c r="O31" s="2" t="str">
        <f t="shared" si="0"/>
        <v>PASS</v>
      </c>
    </row>
    <row r="32" spans="1:15">
      <c r="A32" s="2"/>
      <c r="B32" s="2"/>
      <c r="C32" s="2"/>
      <c r="D32" s="2"/>
      <c r="E32" s="2"/>
      <c r="F32" s="2"/>
      <c r="G32" s="2"/>
      <c r="H32" s="2"/>
      <c r="I32" s="2"/>
      <c r="J32" s="2"/>
      <c r="K32" s="2"/>
      <c r="L32" s="2"/>
      <c r="M32" s="2"/>
      <c r="N32" s="2"/>
      <c r="O32" s="2" t="str">
        <f t="shared" si="0"/>
        <v>PASS</v>
      </c>
    </row>
    <row r="33" spans="1:15">
      <c r="A33" s="2"/>
      <c r="B33" s="2"/>
      <c r="C33" s="2"/>
      <c r="D33" s="2"/>
      <c r="E33" s="2"/>
      <c r="F33" s="2"/>
      <c r="G33" s="2"/>
      <c r="H33" s="2"/>
      <c r="I33" s="2"/>
      <c r="J33" s="2"/>
      <c r="K33" s="2"/>
      <c r="L33" s="2"/>
      <c r="M33" s="2"/>
      <c r="N33" s="2"/>
      <c r="O33" s="2" t="str">
        <f t="shared" si="0"/>
        <v>PASS</v>
      </c>
    </row>
    <row r="34" spans="1:15">
      <c r="A34" s="2"/>
      <c r="B34" s="2"/>
      <c r="C34" s="2"/>
      <c r="D34" s="2"/>
      <c r="E34" s="2"/>
      <c r="F34" s="2"/>
      <c r="G34" s="2"/>
      <c r="H34" s="2"/>
      <c r="I34" s="2"/>
      <c r="J34" s="2"/>
      <c r="K34" s="2"/>
      <c r="L34" s="2"/>
      <c r="M34" s="2"/>
      <c r="N34" s="2"/>
      <c r="O34" s="2" t="str">
        <f t="shared" si="0"/>
        <v>PASS</v>
      </c>
    </row>
    <row r="35" spans="1:15">
      <c r="A35" s="2"/>
      <c r="B35" s="2"/>
      <c r="C35" s="2"/>
      <c r="D35" s="2"/>
      <c r="E35" s="2"/>
      <c r="F35" s="2"/>
      <c r="G35" s="2"/>
      <c r="H35" s="2"/>
      <c r="I35" s="2"/>
      <c r="J35" s="2"/>
      <c r="K35" s="2"/>
      <c r="L35" s="2"/>
      <c r="M35" s="2"/>
      <c r="N35" s="2"/>
      <c r="O35" s="2" t="str">
        <f t="shared" si="0"/>
        <v>PASS</v>
      </c>
    </row>
    <row r="36" spans="1:15">
      <c r="A36" s="2"/>
      <c r="B36" s="2"/>
      <c r="C36" s="2"/>
      <c r="D36" s="2"/>
      <c r="E36" s="2"/>
      <c r="F36" s="2"/>
      <c r="G36" s="2"/>
      <c r="H36" s="2"/>
      <c r="I36" s="2"/>
      <c r="J36" s="2"/>
      <c r="K36" s="2"/>
      <c r="L36" s="2"/>
      <c r="M36" s="2"/>
      <c r="N36" s="2"/>
      <c r="O36" s="2" t="str">
        <f t="shared" si="0"/>
        <v>PASS</v>
      </c>
    </row>
    <row r="37" spans="1:15">
      <c r="A37" s="2"/>
      <c r="B37" s="2"/>
      <c r="C37" s="2"/>
      <c r="D37" s="2"/>
      <c r="E37" s="2"/>
      <c r="F37" s="2"/>
      <c r="G37" s="2"/>
      <c r="H37" s="2"/>
      <c r="I37" s="2"/>
      <c r="J37" s="2"/>
      <c r="K37" s="2"/>
      <c r="L37" s="2"/>
      <c r="M37" s="2"/>
      <c r="N37" s="2"/>
      <c r="O37" s="2" t="str">
        <f t="shared" si="0"/>
        <v>PASS</v>
      </c>
    </row>
    <row r="38" spans="1:15">
      <c r="A38" s="2"/>
      <c r="B38" s="2"/>
      <c r="C38" s="2"/>
      <c r="D38" s="2"/>
      <c r="E38" s="2"/>
      <c r="F38" s="2"/>
      <c r="G38" s="2"/>
      <c r="H38" s="2"/>
      <c r="I38" s="2"/>
      <c r="J38" s="2"/>
      <c r="K38" s="2"/>
      <c r="L38" s="2"/>
      <c r="M38" s="2"/>
      <c r="N38" s="2"/>
      <c r="O38" s="2" t="str">
        <f t="shared" si="0"/>
        <v>PASS</v>
      </c>
    </row>
    <row r="39" spans="1:15">
      <c r="A39" s="2"/>
      <c r="B39" s="2"/>
      <c r="C39" s="2"/>
      <c r="D39" s="2"/>
      <c r="E39" s="2"/>
      <c r="F39" s="2"/>
      <c r="G39" s="2"/>
      <c r="H39" s="2"/>
      <c r="I39" s="2"/>
      <c r="J39" s="2"/>
      <c r="K39" s="2"/>
      <c r="L39" s="2"/>
      <c r="M39" s="2"/>
      <c r="N39" s="2"/>
      <c r="O39" s="2" t="str">
        <f t="shared" si="0"/>
        <v>PASS</v>
      </c>
    </row>
    <row r="40" spans="1:15">
      <c r="A40" s="2"/>
      <c r="B40" s="2"/>
      <c r="C40" s="2"/>
      <c r="D40" s="2"/>
      <c r="E40" s="2"/>
      <c r="F40" s="2"/>
      <c r="G40" s="2"/>
      <c r="H40" s="2"/>
      <c r="I40" s="2"/>
      <c r="J40" s="2"/>
      <c r="K40" s="2"/>
      <c r="L40" s="2"/>
      <c r="M40" s="2"/>
      <c r="N40" s="2"/>
      <c r="O40" s="2" t="str">
        <f t="shared" si="0"/>
        <v>PASS</v>
      </c>
    </row>
    <row r="41" spans="1:15">
      <c r="A41" s="2"/>
      <c r="B41" s="2"/>
      <c r="C41" s="2"/>
      <c r="D41" s="2"/>
      <c r="E41" s="2"/>
      <c r="F41" s="2"/>
      <c r="G41" s="2"/>
      <c r="H41" s="2"/>
      <c r="I41" s="2"/>
      <c r="J41" s="2"/>
      <c r="K41" s="2"/>
      <c r="L41" s="2"/>
      <c r="M41" s="2"/>
      <c r="N41" s="2"/>
      <c r="O41" s="2" t="str">
        <f t="shared" si="0"/>
        <v>PASS</v>
      </c>
    </row>
    <row r="42" spans="1:15">
      <c r="A42" s="2"/>
      <c r="B42" s="2"/>
      <c r="C42" s="2"/>
      <c r="D42" s="2"/>
      <c r="E42" s="2"/>
      <c r="F42" s="2"/>
      <c r="G42" s="2"/>
      <c r="H42" s="2"/>
      <c r="I42" s="2"/>
      <c r="J42" s="2"/>
      <c r="K42" s="2"/>
      <c r="L42" s="2"/>
      <c r="M42" s="2"/>
      <c r="N42" s="2"/>
      <c r="O42" s="2" t="str">
        <f t="shared" si="0"/>
        <v>PASS</v>
      </c>
    </row>
    <row r="43" spans="1:15">
      <c r="A43" s="2"/>
      <c r="B43" s="2"/>
      <c r="C43" s="2"/>
      <c r="D43" s="2"/>
      <c r="E43" s="2"/>
      <c r="F43" s="2"/>
      <c r="G43" s="2"/>
      <c r="H43" s="2"/>
      <c r="I43" s="2"/>
      <c r="J43" s="2"/>
      <c r="K43" s="2"/>
      <c r="L43" s="2"/>
      <c r="M43" s="2"/>
      <c r="N43" s="2"/>
      <c r="O43" s="2" t="str">
        <f t="shared" si="0"/>
        <v>PASS</v>
      </c>
    </row>
    <row r="44" spans="1:15">
      <c r="A44" s="2"/>
      <c r="B44" s="2"/>
      <c r="C44" s="2"/>
      <c r="D44" s="2"/>
      <c r="E44" s="2"/>
      <c r="F44" s="2"/>
      <c r="G44" s="2"/>
      <c r="H44" s="2"/>
      <c r="I44" s="2"/>
      <c r="J44" s="2"/>
      <c r="K44" s="2"/>
      <c r="L44" s="2"/>
      <c r="M44" s="2"/>
      <c r="N44" s="2"/>
      <c r="O44" s="2" t="str">
        <f t="shared" si="0"/>
        <v>PASS</v>
      </c>
    </row>
    <row r="45" spans="1:15">
      <c r="A45" s="2"/>
      <c r="B45" s="2"/>
      <c r="C45" s="2"/>
      <c r="D45" s="2"/>
      <c r="E45" s="2"/>
      <c r="F45" s="2"/>
      <c r="G45" s="2"/>
      <c r="H45" s="2"/>
      <c r="I45" s="2"/>
      <c r="J45" s="2"/>
      <c r="K45" s="2"/>
      <c r="L45" s="2"/>
      <c r="M45" s="2"/>
      <c r="N45" s="2"/>
      <c r="O45" s="2" t="str">
        <f t="shared" si="0"/>
        <v>PASS</v>
      </c>
    </row>
    <row r="46" spans="1:15">
      <c r="A46" s="2"/>
      <c r="B46" s="2"/>
      <c r="C46" s="2"/>
      <c r="D46" s="2"/>
      <c r="E46" s="2"/>
      <c r="F46" s="2"/>
      <c r="G46" s="2"/>
      <c r="H46" s="2"/>
      <c r="I46" s="2"/>
      <c r="J46" s="2"/>
      <c r="K46" s="2"/>
      <c r="L46" s="2"/>
      <c r="M46" s="2"/>
      <c r="N46" s="2"/>
      <c r="O46" s="2" t="str">
        <f t="shared" ref="O46:O77" si="1">IF(OR(E46&lt;D46,F46="No",G46="No",H46="No",I46="No",J46="No",K46="No",L46="No",M46="No"),"FAIL","PASS")</f>
        <v>PASS</v>
      </c>
    </row>
    <row r="47" spans="1:15">
      <c r="A47" s="2"/>
      <c r="B47" s="2"/>
      <c r="C47" s="2"/>
      <c r="D47" s="2"/>
      <c r="E47" s="2"/>
      <c r="F47" s="2"/>
      <c r="G47" s="2"/>
      <c r="H47" s="2"/>
      <c r="I47" s="2"/>
      <c r="J47" s="2"/>
      <c r="K47" s="2"/>
      <c r="L47" s="2"/>
      <c r="M47" s="2"/>
      <c r="N47" s="2"/>
      <c r="O47" s="2" t="str">
        <f t="shared" si="1"/>
        <v>PASS</v>
      </c>
    </row>
    <row r="48" spans="1:15">
      <c r="A48" s="2"/>
      <c r="B48" s="2"/>
      <c r="C48" s="2"/>
      <c r="D48" s="2"/>
      <c r="E48" s="2"/>
      <c r="F48" s="2"/>
      <c r="G48" s="2"/>
      <c r="H48" s="2"/>
      <c r="I48" s="2"/>
      <c r="J48" s="2"/>
      <c r="K48" s="2"/>
      <c r="L48" s="2"/>
      <c r="M48" s="2"/>
      <c r="N48" s="2"/>
      <c r="O48" s="2" t="str">
        <f t="shared" si="1"/>
        <v>PASS</v>
      </c>
    </row>
    <row r="49" spans="1:15">
      <c r="A49" s="2"/>
      <c r="B49" s="2"/>
      <c r="C49" s="2"/>
      <c r="D49" s="2"/>
      <c r="E49" s="2"/>
      <c r="F49" s="2"/>
      <c r="G49" s="2"/>
      <c r="H49" s="2"/>
      <c r="I49" s="2"/>
      <c r="J49" s="2"/>
      <c r="K49" s="2"/>
      <c r="L49" s="2"/>
      <c r="M49" s="2"/>
      <c r="N49" s="2"/>
      <c r="O49" s="2" t="str">
        <f t="shared" si="1"/>
        <v>PASS</v>
      </c>
    </row>
    <row r="50" spans="1:15">
      <c r="A50" s="2"/>
      <c r="B50" s="2"/>
      <c r="C50" s="2"/>
      <c r="D50" s="2"/>
      <c r="E50" s="2"/>
      <c r="F50" s="2"/>
      <c r="G50" s="2"/>
      <c r="H50" s="2"/>
      <c r="I50" s="2"/>
      <c r="J50" s="2"/>
      <c r="K50" s="2"/>
      <c r="L50" s="2"/>
      <c r="M50" s="2"/>
      <c r="N50" s="2"/>
      <c r="O50" s="2" t="str">
        <f t="shared" si="1"/>
        <v>PASS</v>
      </c>
    </row>
    <row r="51" spans="1:15">
      <c r="A51" s="2"/>
      <c r="B51" s="2"/>
      <c r="C51" s="2"/>
      <c r="D51" s="2"/>
      <c r="E51" s="2"/>
      <c r="F51" s="2"/>
      <c r="G51" s="2"/>
      <c r="H51" s="2"/>
      <c r="I51" s="2"/>
      <c r="J51" s="2"/>
      <c r="K51" s="2"/>
      <c r="L51" s="2"/>
      <c r="M51" s="2"/>
      <c r="N51" s="2"/>
      <c r="O51" s="2" t="str">
        <f t="shared" si="1"/>
        <v>PASS</v>
      </c>
    </row>
    <row r="52" spans="1:15">
      <c r="A52" s="2"/>
      <c r="B52" s="2"/>
      <c r="C52" s="2"/>
      <c r="D52" s="2"/>
      <c r="E52" s="2"/>
      <c r="F52" s="2"/>
      <c r="G52" s="2"/>
      <c r="H52" s="2"/>
      <c r="I52" s="2"/>
      <c r="J52" s="2"/>
      <c r="K52" s="2"/>
      <c r="L52" s="2"/>
      <c r="M52" s="2"/>
      <c r="N52" s="2"/>
      <c r="O52" s="2" t="str">
        <f t="shared" si="1"/>
        <v>PASS</v>
      </c>
    </row>
    <row r="53" spans="1:15">
      <c r="A53" s="2"/>
      <c r="B53" s="2"/>
      <c r="C53" s="2"/>
      <c r="D53" s="2"/>
      <c r="E53" s="2"/>
      <c r="F53" s="2"/>
      <c r="G53" s="2"/>
      <c r="H53" s="2"/>
      <c r="I53" s="2"/>
      <c r="J53" s="2"/>
      <c r="K53" s="2"/>
      <c r="L53" s="2"/>
      <c r="M53" s="2"/>
      <c r="N53" s="2"/>
      <c r="O53" s="2" t="str">
        <f t="shared" si="1"/>
        <v>PASS</v>
      </c>
    </row>
    <row r="54" spans="1:15">
      <c r="A54" s="2"/>
      <c r="B54" s="2"/>
      <c r="C54" s="2"/>
      <c r="D54" s="2"/>
      <c r="E54" s="2"/>
      <c r="F54" s="2"/>
      <c r="G54" s="2"/>
      <c r="H54" s="2"/>
      <c r="I54" s="2"/>
      <c r="J54" s="2"/>
      <c r="K54" s="2"/>
      <c r="L54" s="2"/>
      <c r="M54" s="2"/>
      <c r="N54" s="2"/>
      <c r="O54" s="2" t="str">
        <f t="shared" si="1"/>
        <v>PASS</v>
      </c>
    </row>
    <row r="55" spans="1:15">
      <c r="A55" s="2"/>
      <c r="B55" s="2"/>
      <c r="C55" s="2"/>
      <c r="D55" s="2"/>
      <c r="E55" s="2"/>
      <c r="F55" s="2"/>
      <c r="G55" s="2"/>
      <c r="H55" s="2"/>
      <c r="I55" s="2"/>
      <c r="J55" s="2"/>
      <c r="K55" s="2"/>
      <c r="L55" s="2"/>
      <c r="M55" s="2"/>
      <c r="N55" s="2"/>
      <c r="O55" s="2" t="str">
        <f t="shared" si="1"/>
        <v>PASS</v>
      </c>
    </row>
    <row r="56" spans="1:15">
      <c r="A56" s="2"/>
      <c r="B56" s="2"/>
      <c r="C56" s="2"/>
      <c r="D56" s="2"/>
      <c r="E56" s="2"/>
      <c r="F56" s="2"/>
      <c r="G56" s="2"/>
      <c r="H56" s="2"/>
      <c r="I56" s="2"/>
      <c r="J56" s="2"/>
      <c r="K56" s="2"/>
      <c r="L56" s="2"/>
      <c r="M56" s="2"/>
      <c r="N56" s="2"/>
      <c r="O56" s="2" t="str">
        <f t="shared" si="1"/>
        <v>PASS</v>
      </c>
    </row>
    <row r="57" spans="1:15">
      <c r="A57" s="2"/>
      <c r="B57" s="2"/>
      <c r="C57" s="2"/>
      <c r="D57" s="2"/>
      <c r="E57" s="2"/>
      <c r="F57" s="2"/>
      <c r="G57" s="2"/>
      <c r="H57" s="2"/>
      <c r="I57" s="2"/>
      <c r="J57" s="2"/>
      <c r="K57" s="2"/>
      <c r="L57" s="2"/>
      <c r="M57" s="2"/>
      <c r="N57" s="2"/>
      <c r="O57" s="2" t="str">
        <f t="shared" si="1"/>
        <v>PASS</v>
      </c>
    </row>
    <row r="58" spans="1:15">
      <c r="A58" s="2"/>
      <c r="B58" s="2"/>
      <c r="C58" s="2"/>
      <c r="D58" s="2"/>
      <c r="E58" s="2"/>
      <c r="F58" s="2"/>
      <c r="G58" s="2"/>
      <c r="H58" s="2"/>
      <c r="I58" s="2"/>
      <c r="J58" s="2"/>
      <c r="K58" s="2"/>
      <c r="L58" s="2"/>
      <c r="M58" s="2"/>
      <c r="N58" s="2"/>
      <c r="O58" s="2" t="str">
        <f t="shared" si="1"/>
        <v>PASS</v>
      </c>
    </row>
    <row r="59" spans="1:15">
      <c r="A59" s="2"/>
      <c r="B59" s="2"/>
      <c r="C59" s="2"/>
      <c r="D59" s="2"/>
      <c r="E59" s="2"/>
      <c r="F59" s="2"/>
      <c r="G59" s="2"/>
      <c r="H59" s="2"/>
      <c r="I59" s="2"/>
      <c r="J59" s="2"/>
      <c r="K59" s="2"/>
      <c r="L59" s="2"/>
      <c r="M59" s="2"/>
      <c r="N59" s="2"/>
      <c r="O59" s="2" t="str">
        <f t="shared" si="1"/>
        <v>PASS</v>
      </c>
    </row>
    <row r="60" spans="1:15">
      <c r="A60" s="2"/>
      <c r="B60" s="2"/>
      <c r="C60" s="2"/>
      <c r="D60" s="2"/>
      <c r="E60" s="2"/>
      <c r="F60" s="2"/>
      <c r="G60" s="2"/>
      <c r="H60" s="2"/>
      <c r="I60" s="2"/>
      <c r="J60" s="2"/>
      <c r="K60" s="2"/>
      <c r="L60" s="2"/>
      <c r="M60" s="2"/>
      <c r="N60" s="2"/>
      <c r="O60" s="2" t="str">
        <f t="shared" si="1"/>
        <v>PASS</v>
      </c>
    </row>
    <row r="61" spans="1:15">
      <c r="A61" s="2"/>
      <c r="B61" s="2"/>
      <c r="C61" s="2"/>
      <c r="D61" s="2"/>
      <c r="E61" s="2"/>
      <c r="F61" s="2"/>
      <c r="G61" s="2"/>
      <c r="H61" s="2"/>
      <c r="I61" s="2"/>
      <c r="J61" s="2"/>
      <c r="K61" s="2"/>
      <c r="L61" s="2"/>
      <c r="M61" s="2"/>
      <c r="N61" s="2"/>
      <c r="O61" s="2" t="str">
        <f t="shared" si="1"/>
        <v>PASS</v>
      </c>
    </row>
    <row r="62" spans="1:15">
      <c r="A62" s="2"/>
      <c r="B62" s="2"/>
      <c r="C62" s="2"/>
      <c r="D62" s="2"/>
      <c r="E62" s="2"/>
      <c r="F62" s="2"/>
      <c r="G62" s="2"/>
      <c r="H62" s="2"/>
      <c r="I62" s="2"/>
      <c r="J62" s="2"/>
      <c r="K62" s="2"/>
      <c r="L62" s="2"/>
      <c r="M62" s="2"/>
      <c r="N62" s="2"/>
      <c r="O62" s="2" t="str">
        <f t="shared" si="1"/>
        <v>PASS</v>
      </c>
    </row>
    <row r="63" spans="1:15">
      <c r="A63" s="2"/>
      <c r="B63" s="2"/>
      <c r="C63" s="2"/>
      <c r="D63" s="2"/>
      <c r="E63" s="2"/>
      <c r="F63" s="2"/>
      <c r="G63" s="2"/>
      <c r="H63" s="2"/>
      <c r="I63" s="2"/>
      <c r="J63" s="2"/>
      <c r="K63" s="2"/>
      <c r="L63" s="2"/>
      <c r="M63" s="2"/>
      <c r="N63" s="2"/>
      <c r="O63" s="2" t="str">
        <f t="shared" si="1"/>
        <v>PASS</v>
      </c>
    </row>
    <row r="64" spans="1:15">
      <c r="A64" s="2"/>
      <c r="B64" s="2"/>
      <c r="C64" s="2"/>
      <c r="D64" s="2"/>
      <c r="E64" s="2"/>
      <c r="F64" s="2"/>
      <c r="G64" s="2"/>
      <c r="H64" s="2"/>
      <c r="I64" s="2"/>
      <c r="J64" s="2"/>
      <c r="K64" s="2"/>
      <c r="L64" s="2"/>
      <c r="M64" s="2"/>
      <c r="N64" s="2"/>
      <c r="O64" s="2" t="str">
        <f t="shared" si="1"/>
        <v>PASS</v>
      </c>
    </row>
    <row r="65" spans="1:15">
      <c r="A65" s="2"/>
      <c r="B65" s="2"/>
      <c r="C65" s="2"/>
      <c r="D65" s="2"/>
      <c r="E65" s="2"/>
      <c r="F65" s="2"/>
      <c r="G65" s="2"/>
      <c r="H65" s="2"/>
      <c r="I65" s="2"/>
      <c r="J65" s="2"/>
      <c r="K65" s="2"/>
      <c r="L65" s="2"/>
      <c r="M65" s="2"/>
      <c r="N65" s="2"/>
      <c r="O65" s="2" t="str">
        <f t="shared" si="1"/>
        <v>PASS</v>
      </c>
    </row>
    <row r="66" spans="1:15">
      <c r="A66" s="2"/>
      <c r="B66" s="2"/>
      <c r="C66" s="2"/>
      <c r="D66" s="2"/>
      <c r="E66" s="2"/>
      <c r="F66" s="2"/>
      <c r="G66" s="2"/>
      <c r="H66" s="2"/>
      <c r="I66" s="2"/>
      <c r="J66" s="2"/>
      <c r="K66" s="2"/>
      <c r="L66" s="2"/>
      <c r="M66" s="2"/>
      <c r="N66" s="2"/>
      <c r="O66" s="2" t="str">
        <f t="shared" si="1"/>
        <v>PASS</v>
      </c>
    </row>
    <row r="67" spans="1:15">
      <c r="A67" s="2"/>
      <c r="B67" s="2"/>
      <c r="C67" s="2"/>
      <c r="D67" s="2"/>
      <c r="E67" s="2"/>
      <c r="F67" s="2"/>
      <c r="G67" s="2"/>
      <c r="H67" s="2"/>
      <c r="I67" s="2"/>
      <c r="J67" s="2"/>
      <c r="K67" s="2"/>
      <c r="L67" s="2"/>
      <c r="M67" s="2"/>
      <c r="N67" s="2"/>
      <c r="O67" s="2" t="str">
        <f t="shared" si="1"/>
        <v>PASS</v>
      </c>
    </row>
    <row r="68" spans="1:15">
      <c r="A68" s="2"/>
      <c r="B68" s="2"/>
      <c r="C68" s="2"/>
      <c r="D68" s="2"/>
      <c r="E68" s="2"/>
      <c r="F68" s="2"/>
      <c r="G68" s="2"/>
      <c r="H68" s="2"/>
      <c r="I68" s="2"/>
      <c r="J68" s="2"/>
      <c r="K68" s="2"/>
      <c r="L68" s="2"/>
      <c r="M68" s="2"/>
      <c r="N68" s="2"/>
      <c r="O68" s="2" t="str">
        <f t="shared" si="1"/>
        <v>PASS</v>
      </c>
    </row>
    <row r="69" spans="1:15">
      <c r="A69" s="2"/>
      <c r="B69" s="2"/>
      <c r="C69" s="2"/>
      <c r="D69" s="2"/>
      <c r="E69" s="2"/>
      <c r="F69" s="2"/>
      <c r="G69" s="2"/>
      <c r="H69" s="2"/>
      <c r="I69" s="2"/>
      <c r="J69" s="2"/>
      <c r="K69" s="2"/>
      <c r="L69" s="2"/>
      <c r="M69" s="2"/>
      <c r="N69" s="2"/>
      <c r="O69" s="2" t="str">
        <f t="shared" si="1"/>
        <v>PASS</v>
      </c>
    </row>
    <row r="70" spans="1:15">
      <c r="A70" s="2"/>
      <c r="B70" s="2"/>
      <c r="C70" s="2"/>
      <c r="D70" s="2"/>
      <c r="E70" s="2"/>
      <c r="F70" s="2"/>
      <c r="G70" s="2"/>
      <c r="H70" s="2"/>
      <c r="I70" s="2"/>
      <c r="J70" s="2"/>
      <c r="K70" s="2"/>
      <c r="L70" s="2"/>
      <c r="M70" s="2"/>
      <c r="N70" s="2"/>
      <c r="O70" s="2" t="str">
        <f t="shared" si="1"/>
        <v>PASS</v>
      </c>
    </row>
    <row r="71" spans="1:15">
      <c r="A71" s="2"/>
      <c r="B71" s="2"/>
      <c r="C71" s="2"/>
      <c r="D71" s="2"/>
      <c r="E71" s="2"/>
      <c r="F71" s="2"/>
      <c r="G71" s="2"/>
      <c r="H71" s="2"/>
      <c r="I71" s="2"/>
      <c r="J71" s="2"/>
      <c r="K71" s="2"/>
      <c r="L71" s="2"/>
      <c r="M71" s="2"/>
      <c r="N71" s="2"/>
      <c r="O71" s="2" t="str">
        <f t="shared" si="1"/>
        <v>PASS</v>
      </c>
    </row>
    <row r="72" spans="1:15">
      <c r="A72" s="2"/>
      <c r="B72" s="2"/>
      <c r="C72" s="2"/>
      <c r="D72" s="2"/>
      <c r="E72" s="2"/>
      <c r="F72" s="2"/>
      <c r="G72" s="2"/>
      <c r="H72" s="2"/>
      <c r="I72" s="2"/>
      <c r="J72" s="2"/>
      <c r="K72" s="2"/>
      <c r="L72" s="2"/>
      <c r="M72" s="2"/>
      <c r="N72" s="2"/>
      <c r="O72" s="2" t="str">
        <f t="shared" si="1"/>
        <v>PASS</v>
      </c>
    </row>
    <row r="73" spans="1:15">
      <c r="A73" s="2"/>
      <c r="B73" s="2"/>
      <c r="C73" s="2"/>
      <c r="D73" s="2"/>
      <c r="E73" s="2"/>
      <c r="F73" s="2"/>
      <c r="G73" s="2"/>
      <c r="H73" s="2"/>
      <c r="I73" s="2"/>
      <c r="J73" s="2"/>
      <c r="K73" s="2"/>
      <c r="L73" s="2"/>
      <c r="M73" s="2"/>
      <c r="N73" s="2"/>
      <c r="O73" s="2" t="str">
        <f t="shared" si="1"/>
        <v>PASS</v>
      </c>
    </row>
    <row r="74" spans="1:15">
      <c r="A74" s="2"/>
      <c r="B74" s="2"/>
      <c r="C74" s="2"/>
      <c r="D74" s="2"/>
      <c r="E74" s="2"/>
      <c r="F74" s="2"/>
      <c r="G74" s="2"/>
      <c r="H74" s="2"/>
      <c r="I74" s="2"/>
      <c r="J74" s="2"/>
      <c r="K74" s="2"/>
      <c r="L74" s="2"/>
      <c r="M74" s="2"/>
      <c r="N74" s="2"/>
      <c r="O74" s="2" t="str">
        <f t="shared" si="1"/>
        <v>PASS</v>
      </c>
    </row>
    <row r="75" spans="1:15">
      <c r="A75" s="2"/>
      <c r="B75" s="2"/>
      <c r="C75" s="2"/>
      <c r="D75" s="2"/>
      <c r="E75" s="2"/>
      <c r="F75" s="2"/>
      <c r="G75" s="2"/>
      <c r="H75" s="2"/>
      <c r="I75" s="2"/>
      <c r="J75" s="2"/>
      <c r="K75" s="2"/>
      <c r="L75" s="2"/>
      <c r="M75" s="2"/>
      <c r="N75" s="2"/>
      <c r="O75" s="2" t="str">
        <f t="shared" si="1"/>
        <v>PASS</v>
      </c>
    </row>
    <row r="76" spans="1:15">
      <c r="A76" s="2"/>
      <c r="B76" s="2"/>
      <c r="C76" s="2"/>
      <c r="D76" s="2"/>
      <c r="E76" s="2"/>
      <c r="F76" s="2"/>
      <c r="G76" s="2"/>
      <c r="H76" s="2"/>
      <c r="I76" s="2"/>
      <c r="J76" s="2"/>
      <c r="K76" s="2"/>
      <c r="L76" s="2"/>
      <c r="M76" s="2"/>
      <c r="N76" s="2"/>
      <c r="O76" s="2" t="str">
        <f t="shared" si="1"/>
        <v>PASS</v>
      </c>
    </row>
    <row r="77" spans="1:15">
      <c r="A77" s="2"/>
      <c r="B77" s="2"/>
      <c r="C77" s="2"/>
      <c r="D77" s="2"/>
      <c r="E77" s="2"/>
      <c r="F77" s="2"/>
      <c r="G77" s="2"/>
      <c r="H77" s="2"/>
      <c r="I77" s="2"/>
      <c r="J77" s="2"/>
      <c r="K77" s="2"/>
      <c r="L77" s="2"/>
      <c r="M77" s="2"/>
      <c r="N77" s="2"/>
      <c r="O77" s="2" t="str">
        <f t="shared" si="1"/>
        <v>PASS</v>
      </c>
    </row>
    <row r="78" spans="1:15">
      <c r="A78" s="2"/>
      <c r="B78" s="2"/>
      <c r="C78" s="2"/>
      <c r="D78" s="2"/>
      <c r="E78" s="2"/>
      <c r="F78" s="2"/>
      <c r="G78" s="2"/>
      <c r="H78" s="2"/>
      <c r="I78" s="2"/>
      <c r="J78" s="2"/>
      <c r="K78" s="2"/>
      <c r="L78" s="2"/>
      <c r="M78" s="2"/>
      <c r="N78" s="2"/>
      <c r="O78" s="2" t="str">
        <f t="shared" ref="O78:O113" si="2">IF(OR(E78&lt;D78,F78="No",G78="No",H78="No",I78="No",J78="No",K78="No",L78="No",M78="No"),"FAIL","PASS")</f>
        <v>PASS</v>
      </c>
    </row>
    <row r="79" spans="1:15">
      <c r="A79" s="2"/>
      <c r="B79" s="2"/>
      <c r="C79" s="2"/>
      <c r="D79" s="2"/>
      <c r="E79" s="2"/>
      <c r="F79" s="2"/>
      <c r="G79" s="2"/>
      <c r="H79" s="2"/>
      <c r="I79" s="2"/>
      <c r="J79" s="2"/>
      <c r="K79" s="2"/>
      <c r="L79" s="2"/>
      <c r="M79" s="2"/>
      <c r="N79" s="2"/>
      <c r="O79" s="2" t="str">
        <f t="shared" si="2"/>
        <v>PASS</v>
      </c>
    </row>
    <row r="80" spans="1:15">
      <c r="A80" s="2"/>
      <c r="B80" s="2"/>
      <c r="C80" s="2"/>
      <c r="D80" s="2"/>
      <c r="E80" s="2"/>
      <c r="F80" s="2"/>
      <c r="G80" s="2"/>
      <c r="H80" s="2"/>
      <c r="I80" s="2"/>
      <c r="J80" s="2"/>
      <c r="K80" s="2"/>
      <c r="L80" s="2"/>
      <c r="M80" s="2"/>
      <c r="N80" s="2"/>
      <c r="O80" s="2" t="str">
        <f t="shared" si="2"/>
        <v>PASS</v>
      </c>
    </row>
    <row r="81" spans="1:15">
      <c r="A81" s="2"/>
      <c r="B81" s="2"/>
      <c r="C81" s="2"/>
      <c r="D81" s="2"/>
      <c r="E81" s="2"/>
      <c r="F81" s="2"/>
      <c r="G81" s="2"/>
      <c r="H81" s="2"/>
      <c r="I81" s="2"/>
      <c r="J81" s="2"/>
      <c r="K81" s="2"/>
      <c r="L81" s="2"/>
      <c r="M81" s="2"/>
      <c r="N81" s="2"/>
      <c r="O81" s="2" t="str">
        <f t="shared" si="2"/>
        <v>PASS</v>
      </c>
    </row>
    <row r="82" spans="1:15">
      <c r="A82" s="2"/>
      <c r="B82" s="2"/>
      <c r="C82" s="2"/>
      <c r="D82" s="2"/>
      <c r="E82" s="2"/>
      <c r="F82" s="2"/>
      <c r="G82" s="2"/>
      <c r="H82" s="2"/>
      <c r="I82" s="2"/>
      <c r="J82" s="2"/>
      <c r="K82" s="2"/>
      <c r="L82" s="2"/>
      <c r="M82" s="2"/>
      <c r="N82" s="2"/>
      <c r="O82" s="2" t="str">
        <f t="shared" si="2"/>
        <v>PASS</v>
      </c>
    </row>
    <row r="83" spans="1:15">
      <c r="A83" s="2"/>
      <c r="B83" s="2"/>
      <c r="C83" s="2"/>
      <c r="D83" s="2"/>
      <c r="E83" s="2"/>
      <c r="F83" s="2"/>
      <c r="G83" s="2"/>
      <c r="H83" s="2"/>
      <c r="I83" s="2"/>
      <c r="J83" s="2"/>
      <c r="K83" s="2"/>
      <c r="L83" s="2"/>
      <c r="M83" s="2"/>
      <c r="N83" s="2"/>
      <c r="O83" s="2" t="str">
        <f t="shared" si="2"/>
        <v>PASS</v>
      </c>
    </row>
    <row r="84" spans="1:15">
      <c r="A84" s="2"/>
      <c r="B84" s="2"/>
      <c r="C84" s="2"/>
      <c r="D84" s="2"/>
      <c r="E84" s="2"/>
      <c r="F84" s="2"/>
      <c r="G84" s="2"/>
      <c r="H84" s="2"/>
      <c r="I84" s="2"/>
      <c r="J84" s="2"/>
      <c r="K84" s="2"/>
      <c r="L84" s="2"/>
      <c r="M84" s="2"/>
      <c r="N84" s="2"/>
      <c r="O84" s="2" t="str">
        <f t="shared" si="2"/>
        <v>PASS</v>
      </c>
    </row>
    <row r="85" spans="1:15">
      <c r="A85" s="2"/>
      <c r="B85" s="2"/>
      <c r="C85" s="2"/>
      <c r="D85" s="2"/>
      <c r="E85" s="2"/>
      <c r="F85" s="2"/>
      <c r="G85" s="2"/>
      <c r="H85" s="2"/>
      <c r="I85" s="2"/>
      <c r="J85" s="2"/>
      <c r="K85" s="2"/>
      <c r="L85" s="2"/>
      <c r="M85" s="2"/>
      <c r="N85" s="2"/>
      <c r="O85" s="2" t="str">
        <f t="shared" si="2"/>
        <v>PASS</v>
      </c>
    </row>
    <row r="86" spans="1:15">
      <c r="A86" s="2"/>
      <c r="B86" s="2"/>
      <c r="C86" s="2"/>
      <c r="D86" s="2"/>
      <c r="E86" s="2"/>
      <c r="F86" s="2"/>
      <c r="G86" s="2"/>
      <c r="H86" s="2"/>
      <c r="I86" s="2"/>
      <c r="J86" s="2"/>
      <c r="K86" s="2"/>
      <c r="L86" s="2"/>
      <c r="M86" s="2"/>
      <c r="N86" s="2"/>
      <c r="O86" s="2" t="str">
        <f t="shared" si="2"/>
        <v>PASS</v>
      </c>
    </row>
    <row r="87" spans="1:15">
      <c r="A87" s="2"/>
      <c r="B87" s="2"/>
      <c r="C87" s="2"/>
      <c r="D87" s="2"/>
      <c r="E87" s="2"/>
      <c r="F87" s="2"/>
      <c r="G87" s="2"/>
      <c r="H87" s="2"/>
      <c r="I87" s="2"/>
      <c r="J87" s="2"/>
      <c r="K87" s="2"/>
      <c r="L87" s="2"/>
      <c r="M87" s="2"/>
      <c r="N87" s="2"/>
      <c r="O87" s="2" t="str">
        <f t="shared" si="2"/>
        <v>PASS</v>
      </c>
    </row>
    <row r="88" spans="1:15">
      <c r="A88" s="2"/>
      <c r="B88" s="2"/>
      <c r="C88" s="2"/>
      <c r="D88" s="2"/>
      <c r="E88" s="2"/>
      <c r="F88" s="2"/>
      <c r="G88" s="2"/>
      <c r="H88" s="2"/>
      <c r="I88" s="2"/>
      <c r="J88" s="2"/>
      <c r="K88" s="2"/>
      <c r="L88" s="2"/>
      <c r="M88" s="2"/>
      <c r="N88" s="2"/>
      <c r="O88" s="2" t="str">
        <f t="shared" si="2"/>
        <v>PASS</v>
      </c>
    </row>
    <row r="89" spans="1:15">
      <c r="A89" s="2"/>
      <c r="B89" s="2"/>
      <c r="C89" s="2"/>
      <c r="D89" s="2"/>
      <c r="E89" s="2"/>
      <c r="F89" s="2"/>
      <c r="G89" s="2"/>
      <c r="H89" s="2"/>
      <c r="I89" s="2"/>
      <c r="J89" s="2"/>
      <c r="K89" s="2"/>
      <c r="L89" s="2"/>
      <c r="M89" s="2"/>
      <c r="N89" s="2"/>
      <c r="O89" s="2" t="str">
        <f t="shared" si="2"/>
        <v>PASS</v>
      </c>
    </row>
    <row r="90" spans="1:15">
      <c r="A90" s="2"/>
      <c r="B90" s="2"/>
      <c r="C90" s="2"/>
      <c r="D90" s="2"/>
      <c r="E90" s="2"/>
      <c r="F90" s="2"/>
      <c r="G90" s="2"/>
      <c r="H90" s="2"/>
      <c r="I90" s="2"/>
      <c r="J90" s="2"/>
      <c r="K90" s="2"/>
      <c r="L90" s="2"/>
      <c r="M90" s="2"/>
      <c r="N90" s="2"/>
      <c r="O90" s="2" t="str">
        <f t="shared" si="2"/>
        <v>PASS</v>
      </c>
    </row>
    <row r="91" spans="1:15">
      <c r="A91" s="2"/>
      <c r="B91" s="2"/>
      <c r="C91" s="2"/>
      <c r="D91" s="2"/>
      <c r="E91" s="2"/>
      <c r="F91" s="2"/>
      <c r="G91" s="2"/>
      <c r="H91" s="2"/>
      <c r="I91" s="2"/>
      <c r="J91" s="2"/>
      <c r="K91" s="2"/>
      <c r="L91" s="2"/>
      <c r="M91" s="2"/>
      <c r="N91" s="2"/>
      <c r="O91" s="2" t="str">
        <f t="shared" si="2"/>
        <v>PASS</v>
      </c>
    </row>
    <row r="92" spans="1:15">
      <c r="A92" s="2"/>
      <c r="B92" s="2"/>
      <c r="C92" s="2"/>
      <c r="D92" s="2"/>
      <c r="E92" s="2"/>
      <c r="F92" s="2"/>
      <c r="G92" s="2"/>
      <c r="H92" s="2"/>
      <c r="I92" s="2"/>
      <c r="J92" s="2"/>
      <c r="K92" s="2"/>
      <c r="L92" s="2"/>
      <c r="M92" s="2"/>
      <c r="N92" s="2"/>
      <c r="O92" s="2" t="str">
        <f t="shared" si="2"/>
        <v>PASS</v>
      </c>
    </row>
    <row r="93" spans="1:15">
      <c r="A93" s="2"/>
      <c r="B93" s="2"/>
      <c r="C93" s="2"/>
      <c r="D93" s="2"/>
      <c r="E93" s="2"/>
      <c r="F93" s="2"/>
      <c r="G93" s="2"/>
      <c r="H93" s="2"/>
      <c r="I93" s="2"/>
      <c r="J93" s="2"/>
      <c r="K93" s="2"/>
      <c r="L93" s="2"/>
      <c r="M93" s="2"/>
      <c r="N93" s="2"/>
      <c r="O93" s="2" t="str">
        <f t="shared" si="2"/>
        <v>PASS</v>
      </c>
    </row>
    <row r="94" spans="1:15">
      <c r="A94" s="2"/>
      <c r="B94" s="2"/>
      <c r="C94" s="2"/>
      <c r="D94" s="2"/>
      <c r="E94" s="2"/>
      <c r="F94" s="2"/>
      <c r="G94" s="2"/>
      <c r="H94" s="2"/>
      <c r="I94" s="2"/>
      <c r="J94" s="2"/>
      <c r="K94" s="2"/>
      <c r="L94" s="2"/>
      <c r="M94" s="2"/>
      <c r="N94" s="2"/>
      <c r="O94" s="2" t="str">
        <f t="shared" si="2"/>
        <v>PASS</v>
      </c>
    </row>
    <row r="95" spans="1:15">
      <c r="A95" s="2"/>
      <c r="B95" s="2"/>
      <c r="C95" s="2"/>
      <c r="D95" s="2"/>
      <c r="E95" s="2"/>
      <c r="F95" s="2"/>
      <c r="G95" s="2"/>
      <c r="H95" s="2"/>
      <c r="I95" s="2"/>
      <c r="J95" s="2"/>
      <c r="K95" s="2"/>
      <c r="L95" s="2"/>
      <c r="M95" s="2"/>
      <c r="N95" s="2"/>
      <c r="O95" s="2" t="str">
        <f t="shared" si="2"/>
        <v>PASS</v>
      </c>
    </row>
    <row r="96" spans="1:15">
      <c r="A96" s="2"/>
      <c r="B96" s="2"/>
      <c r="C96" s="2"/>
      <c r="D96" s="2"/>
      <c r="E96" s="2"/>
      <c r="F96" s="2"/>
      <c r="G96" s="2"/>
      <c r="H96" s="2"/>
      <c r="I96" s="2"/>
      <c r="J96" s="2"/>
      <c r="K96" s="2"/>
      <c r="L96" s="2"/>
      <c r="M96" s="2"/>
      <c r="N96" s="2"/>
      <c r="O96" s="2" t="str">
        <f t="shared" si="2"/>
        <v>PASS</v>
      </c>
    </row>
    <row r="97" spans="1:15">
      <c r="A97" s="2"/>
      <c r="B97" s="2"/>
      <c r="C97" s="2"/>
      <c r="D97" s="2"/>
      <c r="E97" s="2"/>
      <c r="F97" s="2"/>
      <c r="G97" s="2"/>
      <c r="H97" s="2"/>
      <c r="I97" s="2"/>
      <c r="J97" s="2"/>
      <c r="K97" s="2"/>
      <c r="L97" s="2"/>
      <c r="M97" s="2"/>
      <c r="N97" s="2"/>
      <c r="O97" s="2" t="str">
        <f t="shared" si="2"/>
        <v>PASS</v>
      </c>
    </row>
    <row r="98" spans="1:15">
      <c r="A98" s="2"/>
      <c r="B98" s="2"/>
      <c r="C98" s="2"/>
      <c r="D98" s="2"/>
      <c r="E98" s="2"/>
      <c r="F98" s="2"/>
      <c r="G98" s="2"/>
      <c r="H98" s="2"/>
      <c r="I98" s="2"/>
      <c r="J98" s="2"/>
      <c r="K98" s="2"/>
      <c r="L98" s="2"/>
      <c r="M98" s="2"/>
      <c r="N98" s="2"/>
      <c r="O98" s="2" t="str">
        <f t="shared" si="2"/>
        <v>PASS</v>
      </c>
    </row>
    <row r="99" spans="1:15">
      <c r="A99" s="2"/>
      <c r="B99" s="2"/>
      <c r="C99" s="2"/>
      <c r="D99" s="2"/>
      <c r="E99" s="2"/>
      <c r="F99" s="2"/>
      <c r="G99" s="2"/>
      <c r="H99" s="2"/>
      <c r="I99" s="2"/>
      <c r="J99" s="2"/>
      <c r="K99" s="2"/>
      <c r="L99" s="2"/>
      <c r="M99" s="2"/>
      <c r="N99" s="2"/>
      <c r="O99" s="2" t="str">
        <f t="shared" si="2"/>
        <v>PASS</v>
      </c>
    </row>
    <row r="100" spans="1:15">
      <c r="A100" s="2"/>
      <c r="B100" s="2"/>
      <c r="C100" s="2"/>
      <c r="D100" s="2"/>
      <c r="E100" s="2"/>
      <c r="F100" s="2"/>
      <c r="G100" s="2"/>
      <c r="H100" s="2"/>
      <c r="I100" s="2"/>
      <c r="J100" s="2"/>
      <c r="K100" s="2"/>
      <c r="L100" s="2"/>
      <c r="M100" s="2"/>
      <c r="N100" s="2"/>
      <c r="O100" s="2" t="str">
        <f t="shared" si="2"/>
        <v>PASS</v>
      </c>
    </row>
    <row r="101" spans="1:15">
      <c r="A101" s="2"/>
      <c r="B101" s="2"/>
      <c r="C101" s="2"/>
      <c r="D101" s="2"/>
      <c r="E101" s="2"/>
      <c r="F101" s="2"/>
      <c r="G101" s="2"/>
      <c r="H101" s="2"/>
      <c r="I101" s="2"/>
      <c r="J101" s="2"/>
      <c r="K101" s="2"/>
      <c r="L101" s="2"/>
      <c r="M101" s="2"/>
      <c r="N101" s="2"/>
      <c r="O101" s="2" t="str">
        <f t="shared" si="2"/>
        <v>PASS</v>
      </c>
    </row>
    <row r="102" spans="1:15">
      <c r="A102" s="2"/>
      <c r="B102" s="2"/>
      <c r="C102" s="2"/>
      <c r="D102" s="2"/>
      <c r="E102" s="2"/>
      <c r="F102" s="2"/>
      <c r="G102" s="2"/>
      <c r="H102" s="2"/>
      <c r="I102" s="2"/>
      <c r="J102" s="2"/>
      <c r="K102" s="2"/>
      <c r="L102" s="2"/>
      <c r="M102" s="2"/>
      <c r="N102" s="2"/>
      <c r="O102" s="2" t="str">
        <f t="shared" si="2"/>
        <v>PASS</v>
      </c>
    </row>
    <row r="103" spans="1:15">
      <c r="A103" s="2"/>
      <c r="B103" s="2"/>
      <c r="C103" s="2"/>
      <c r="D103" s="2"/>
      <c r="E103" s="2"/>
      <c r="F103" s="2"/>
      <c r="G103" s="2"/>
      <c r="H103" s="2"/>
      <c r="I103" s="2"/>
      <c r="J103" s="2"/>
      <c r="K103" s="2"/>
      <c r="L103" s="2"/>
      <c r="M103" s="2"/>
      <c r="N103" s="2"/>
      <c r="O103" s="2" t="str">
        <f t="shared" si="2"/>
        <v>PASS</v>
      </c>
    </row>
    <row r="104" spans="1:15">
      <c r="A104" s="2"/>
      <c r="B104" s="2"/>
      <c r="C104" s="2"/>
      <c r="D104" s="2"/>
      <c r="E104" s="2"/>
      <c r="F104" s="2"/>
      <c r="G104" s="2"/>
      <c r="H104" s="2"/>
      <c r="I104" s="2"/>
      <c r="J104" s="2"/>
      <c r="K104" s="2"/>
      <c r="L104" s="2"/>
      <c r="M104" s="2"/>
      <c r="N104" s="2"/>
      <c r="O104" s="2" t="str">
        <f t="shared" si="2"/>
        <v>PASS</v>
      </c>
    </row>
    <row r="105" spans="1:15">
      <c r="A105" s="2"/>
      <c r="B105" s="2"/>
      <c r="C105" s="2"/>
      <c r="D105" s="2"/>
      <c r="E105" s="2"/>
      <c r="F105" s="2"/>
      <c r="G105" s="2"/>
      <c r="H105" s="2"/>
      <c r="I105" s="2"/>
      <c r="J105" s="2"/>
      <c r="K105" s="2"/>
      <c r="L105" s="2"/>
      <c r="M105" s="2"/>
      <c r="N105" s="2"/>
      <c r="O105" s="2" t="str">
        <f t="shared" si="2"/>
        <v>PASS</v>
      </c>
    </row>
    <row r="106" spans="1:15">
      <c r="A106" s="2"/>
      <c r="B106" s="2"/>
      <c r="C106" s="2"/>
      <c r="D106" s="2"/>
      <c r="E106" s="2"/>
      <c r="F106" s="2"/>
      <c r="G106" s="2"/>
      <c r="H106" s="2"/>
      <c r="I106" s="2"/>
      <c r="J106" s="2"/>
      <c r="K106" s="2"/>
      <c r="L106" s="2"/>
      <c r="M106" s="2"/>
      <c r="N106" s="2"/>
      <c r="O106" s="2" t="str">
        <f t="shared" si="2"/>
        <v>PASS</v>
      </c>
    </row>
    <row r="107" spans="1:15">
      <c r="A107" s="2"/>
      <c r="B107" s="2"/>
      <c r="C107" s="2"/>
      <c r="D107" s="2"/>
      <c r="E107" s="2"/>
      <c r="F107" s="2"/>
      <c r="G107" s="2"/>
      <c r="H107" s="2"/>
      <c r="I107" s="2"/>
      <c r="J107" s="2"/>
      <c r="K107" s="2"/>
      <c r="L107" s="2"/>
      <c r="M107" s="2"/>
      <c r="N107" s="2"/>
      <c r="O107" s="2" t="str">
        <f t="shared" si="2"/>
        <v>PASS</v>
      </c>
    </row>
    <row r="108" spans="1:15">
      <c r="A108" s="2"/>
      <c r="B108" s="2"/>
      <c r="C108" s="2"/>
      <c r="D108" s="2"/>
      <c r="E108" s="2"/>
      <c r="F108" s="2"/>
      <c r="G108" s="2"/>
      <c r="H108" s="2"/>
      <c r="I108" s="2"/>
      <c r="J108" s="2"/>
      <c r="K108" s="2"/>
      <c r="L108" s="2"/>
      <c r="M108" s="2"/>
      <c r="N108" s="2"/>
      <c r="O108" s="2" t="str">
        <f t="shared" si="2"/>
        <v>PASS</v>
      </c>
    </row>
    <row r="109" spans="1:15">
      <c r="A109" s="2"/>
      <c r="B109" s="2"/>
      <c r="C109" s="2"/>
      <c r="D109" s="2"/>
      <c r="E109" s="2"/>
      <c r="F109" s="2"/>
      <c r="G109" s="2"/>
      <c r="H109" s="2"/>
      <c r="I109" s="2"/>
      <c r="J109" s="2"/>
      <c r="K109" s="2"/>
      <c r="L109" s="2"/>
      <c r="M109" s="2"/>
      <c r="N109" s="2"/>
      <c r="O109" s="2" t="str">
        <f t="shared" si="2"/>
        <v>PASS</v>
      </c>
    </row>
    <row r="110" spans="1:15">
      <c r="A110" s="2"/>
      <c r="B110" s="2"/>
      <c r="C110" s="2"/>
      <c r="D110" s="2"/>
      <c r="E110" s="2"/>
      <c r="F110" s="2"/>
      <c r="G110" s="2"/>
      <c r="H110" s="2"/>
      <c r="I110" s="2"/>
      <c r="J110" s="2"/>
      <c r="K110" s="2"/>
      <c r="L110" s="2"/>
      <c r="M110" s="2"/>
      <c r="N110" s="2"/>
      <c r="O110" s="2" t="str">
        <f t="shared" si="2"/>
        <v>PASS</v>
      </c>
    </row>
    <row r="111" spans="1:15">
      <c r="A111" s="2"/>
      <c r="B111" s="2"/>
      <c r="C111" s="2"/>
      <c r="D111" s="2"/>
      <c r="E111" s="2"/>
      <c r="F111" s="2"/>
      <c r="G111" s="2"/>
      <c r="H111" s="2"/>
      <c r="I111" s="2"/>
      <c r="J111" s="2"/>
      <c r="K111" s="2"/>
      <c r="L111" s="2"/>
      <c r="M111" s="2"/>
      <c r="N111" s="2"/>
      <c r="O111" s="2" t="str">
        <f t="shared" si="2"/>
        <v>PASS</v>
      </c>
    </row>
    <row r="112" spans="1:15">
      <c r="A112" s="2"/>
      <c r="B112" s="2"/>
      <c r="C112" s="2"/>
      <c r="D112" s="2"/>
      <c r="E112" s="2"/>
      <c r="F112" s="2"/>
      <c r="G112" s="2"/>
      <c r="H112" s="2"/>
      <c r="I112" s="2"/>
      <c r="J112" s="2"/>
      <c r="K112" s="2"/>
      <c r="L112" s="2"/>
      <c r="M112" s="2"/>
      <c r="N112" s="2"/>
      <c r="O112" s="2" t="str">
        <f t="shared" si="2"/>
        <v>PASS</v>
      </c>
    </row>
    <row r="113" spans="1:15">
      <c r="A113" s="2"/>
      <c r="B113" s="2"/>
      <c r="C113" s="2"/>
      <c r="D113" s="2"/>
      <c r="E113" s="2"/>
      <c r="F113" s="2"/>
      <c r="G113" s="2"/>
      <c r="H113" s="2"/>
      <c r="I113" s="2"/>
      <c r="J113" s="2"/>
      <c r="K113" s="2"/>
      <c r="L113" s="2"/>
      <c r="M113" s="2"/>
      <c r="N113" s="2"/>
      <c r="O113" s="2" t="str">
        <f t="shared" si="2"/>
        <v>PASS</v>
      </c>
    </row>
  </sheetData>
  <mergeCells count="2">
    <mergeCell ref="A1:O1"/>
    <mergeCell ref="A2:O2"/>
  </mergeCells>
  <dataValidations count="2">
    <dataValidation type="list" sqref="B7" xr:uid="{00000000-0002-0000-1200-000000000000}">
      <formula1>"Yes,No"</formula1>
    </dataValidation>
    <dataValidation type="list" sqref="F14:M113" xr:uid="{00000000-0002-0000-1200-000001000000}">
      <formula1>"Yes,No,N/A"</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K141"/>
  <sheetViews>
    <sheetView workbookViewId="0"/>
  </sheetViews>
  <sheetFormatPr defaultRowHeight="14"/>
  <cols>
    <col min="1" max="5" width="28" customWidth="1"/>
    <col min="8" max="25" width="15" customWidth="1"/>
    <col min="26" max="35" width="20" customWidth="1"/>
  </cols>
  <sheetData>
    <row r="1" spans="1:35" ht="20">
      <c r="A1" s="6" t="s">
        <v>344</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ht="14.5">
      <c r="A2" s="8" t="s">
        <v>106</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row>
    <row r="4" spans="1:35">
      <c r="A4" s="3" t="s">
        <v>107</v>
      </c>
      <c r="B4" t="s">
        <v>345</v>
      </c>
      <c r="D4" s="9" t="s">
        <v>109</v>
      </c>
      <c r="E4" s="9"/>
      <c r="F4" s="9"/>
      <c r="G4" s="9"/>
      <c r="H4" s="9"/>
    </row>
    <row r="5" spans="1:35" ht="28">
      <c r="A5" s="3" t="s">
        <v>110</v>
      </c>
      <c r="D5" s="4" t="s">
        <v>6</v>
      </c>
      <c r="E5" s="4" t="s">
        <v>111</v>
      </c>
      <c r="F5" s="4"/>
      <c r="G5" s="4"/>
      <c r="H5" s="4"/>
    </row>
    <row r="6" spans="1:35" ht="42">
      <c r="A6" s="3" t="s">
        <v>112</v>
      </c>
      <c r="D6" s="4" t="s">
        <v>12</v>
      </c>
      <c r="E6" s="4" t="s">
        <v>113</v>
      </c>
      <c r="F6" s="4"/>
      <c r="G6" s="4"/>
      <c r="H6" s="4"/>
    </row>
    <row r="7" spans="1:35" ht="42">
      <c r="A7" s="3" t="s">
        <v>114</v>
      </c>
      <c r="D7" s="4" t="s">
        <v>18</v>
      </c>
      <c r="E7" s="4" t="s">
        <v>115</v>
      </c>
      <c r="F7" s="4"/>
      <c r="G7" s="4"/>
      <c r="H7" s="4"/>
    </row>
    <row r="8" spans="1:35" ht="42">
      <c r="A8" s="3" t="s">
        <v>116</v>
      </c>
      <c r="B8">
        <f>COUNTA(A18:A117)</f>
        <v>0</v>
      </c>
      <c r="D8" s="4" t="s">
        <v>23</v>
      </c>
      <c r="E8" s="4" t="s">
        <v>117</v>
      </c>
      <c r="F8" s="4"/>
      <c r="G8" s="4"/>
      <c r="H8" s="4"/>
    </row>
    <row r="9" spans="1:35">
      <c r="A9" s="3" t="s">
        <v>6</v>
      </c>
      <c r="B9">
        <f>COUNTIF(Z18:Z117,"Low")</f>
        <v>0</v>
      </c>
    </row>
    <row r="10" spans="1:35">
      <c r="A10" s="3" t="s">
        <v>12</v>
      </c>
      <c r="B10">
        <f>COUNTIF(Z18:Z117,"Medium")</f>
        <v>0</v>
      </c>
    </row>
    <row r="11" spans="1:35">
      <c r="A11" s="3" t="s">
        <v>18</v>
      </c>
      <c r="B11">
        <f>COUNTIF(Z18:Z117,"High")</f>
        <v>0</v>
      </c>
    </row>
    <row r="12" spans="1:35">
      <c r="A12" s="3" t="s">
        <v>23</v>
      </c>
      <c r="B12">
        <f>COUNTIF(Z18:Z117,"Very High")</f>
        <v>0</v>
      </c>
    </row>
    <row r="13" spans="1:35">
      <c r="A13" s="3" t="s">
        <v>118</v>
      </c>
      <c r="B13">
        <f>COUNTIF(AD18:AD117,"Yes")</f>
        <v>0</v>
      </c>
    </row>
    <row r="14" spans="1:35">
      <c r="A14" s="3" t="s">
        <v>119</v>
      </c>
    </row>
    <row r="17" spans="1:37" ht="28">
      <c r="A17" s="1" t="s">
        <v>120</v>
      </c>
      <c r="B17" s="1" t="s">
        <v>121</v>
      </c>
      <c r="C17" s="1" t="s">
        <v>2</v>
      </c>
      <c r="D17" s="1" t="s">
        <v>75</v>
      </c>
      <c r="E17" s="1" t="s">
        <v>122</v>
      </c>
      <c r="F17" s="1" t="s">
        <v>123</v>
      </c>
      <c r="G17" s="1" t="s">
        <v>110</v>
      </c>
      <c r="H17" s="1" t="s">
        <v>124</v>
      </c>
      <c r="I17" s="1" t="s">
        <v>125</v>
      </c>
      <c r="J17" s="1" t="s">
        <v>126</v>
      </c>
      <c r="K17" s="1" t="s">
        <v>127</v>
      </c>
      <c r="L17" s="1" t="s">
        <v>128</v>
      </c>
      <c r="M17" s="1" t="s">
        <v>129</v>
      </c>
      <c r="N17" s="1" t="s">
        <v>130</v>
      </c>
      <c r="O17" s="1" t="s">
        <v>131</v>
      </c>
      <c r="P17" s="1" t="s">
        <v>132</v>
      </c>
      <c r="Q17" s="1" t="s">
        <v>133</v>
      </c>
      <c r="R17" s="1" t="s">
        <v>134</v>
      </c>
      <c r="S17" s="1" t="s">
        <v>135</v>
      </c>
      <c r="T17" s="1" t="s">
        <v>136</v>
      </c>
      <c r="U17" s="1" t="s">
        <v>137</v>
      </c>
      <c r="V17" s="1" t="s">
        <v>138</v>
      </c>
      <c r="W17" s="1" t="s">
        <v>139</v>
      </c>
      <c r="X17" s="1" t="s">
        <v>140</v>
      </c>
      <c r="Y17" s="1" t="s">
        <v>141</v>
      </c>
      <c r="Z17" s="1" t="s">
        <v>142</v>
      </c>
      <c r="AA17" s="1" t="s">
        <v>143</v>
      </c>
      <c r="AB17" s="1" t="s">
        <v>144</v>
      </c>
      <c r="AC17" s="1" t="s">
        <v>3</v>
      </c>
      <c r="AD17" s="1" t="s">
        <v>145</v>
      </c>
      <c r="AE17" s="1" t="s">
        <v>146</v>
      </c>
      <c r="AF17" s="1" t="s">
        <v>147</v>
      </c>
      <c r="AG17" s="1" t="s">
        <v>148</v>
      </c>
      <c r="AH17" s="1" t="s">
        <v>149</v>
      </c>
      <c r="AI17" s="1" t="s">
        <v>150</v>
      </c>
      <c r="AJ17" t="s">
        <v>151</v>
      </c>
      <c r="AK17" t="s">
        <v>152</v>
      </c>
    </row>
    <row r="18" spans="1:37">
      <c r="A18" s="2"/>
      <c r="B18" s="2"/>
      <c r="C18" s="2"/>
      <c r="D18" s="2"/>
      <c r="E18" s="5"/>
      <c r="F18" s="2"/>
      <c r="G18" s="5"/>
      <c r="H18" s="2"/>
      <c r="I18" s="2"/>
      <c r="J18" s="2"/>
      <c r="K18" s="2"/>
      <c r="L18" s="2"/>
      <c r="M18" s="2"/>
      <c r="N18" s="2"/>
      <c r="O18" s="2"/>
      <c r="P18" s="2"/>
      <c r="Q18" s="2"/>
      <c r="R18" s="2"/>
      <c r="S18" s="2"/>
      <c r="T18" s="2"/>
      <c r="U18" s="2"/>
      <c r="V18" s="2"/>
      <c r="W18" s="2"/>
      <c r="X18" s="2"/>
      <c r="Y18" s="2"/>
      <c r="Z18" s="2" t="str">
        <f t="shared" ref="Z18:Z49" si="0">IF(COUNTA(H18:Y18)=0,"",IF(COUNTIF(H18:Y18,"Very High")&gt;0,"Very High",IF(COUNTIF(H18:Y18,"High")&gt;0,"High",IF(COUNTIF(H18:Y18,"Medium")&gt;0,"Medium","Low"))))</f>
        <v/>
      </c>
      <c r="AA18" s="2" t="str">
        <f t="shared" ref="AA18:AA49" si="1">IF(Z18="","",IF(Z18="Low","Routine planned support",IF(Z18="Medium","One staff support/supervision likely",IF(Z18="High","Two staff/review staffing and equipment","Manager review: multiple staff/specialist support"))))</f>
        <v/>
      </c>
      <c r="AB18" s="2" t="str">
        <f t="shared" ref="AB18:AB49" si="2">IF(Z18="","",IF(OR(Z18="High",Z18="Very High",W18="High",W18="Very High"),"Night staffing and evacuation review required","Routine night checks as per care plan"))</f>
        <v/>
      </c>
      <c r="AC18" s="2" t="str">
        <f t="shared" ref="AC18:AC49" si="3">IF(X18="Very High","Specialist PEEP / equipment",IF(OR(X18="High",Z18="High"),"Evacuation sheet/chair or wheelchair per PEEP",IF(OR(X18="Medium",Z18="Medium"),"Walking aid/wheelchair support per PEEP","Walks with direction")))</f>
        <v>Walks with direction</v>
      </c>
      <c r="AD18" s="2"/>
      <c r="AE18" s="5"/>
      <c r="AF18" s="2"/>
      <c r="AG18" s="2"/>
      <c r="AH18" s="2"/>
      <c r="AI18" s="2"/>
    </row>
    <row r="19" spans="1:37">
      <c r="A19" s="2"/>
      <c r="B19" s="2"/>
      <c r="C19" s="2"/>
      <c r="D19" s="2"/>
      <c r="E19" s="5"/>
      <c r="F19" s="2"/>
      <c r="G19" s="5"/>
      <c r="H19" s="2"/>
      <c r="I19" s="2"/>
      <c r="J19" s="2"/>
      <c r="K19" s="2"/>
      <c r="L19" s="2"/>
      <c r="M19" s="2"/>
      <c r="N19" s="2"/>
      <c r="O19" s="2"/>
      <c r="P19" s="2"/>
      <c r="Q19" s="2"/>
      <c r="R19" s="2"/>
      <c r="S19" s="2"/>
      <c r="T19" s="2"/>
      <c r="U19" s="2"/>
      <c r="V19" s="2"/>
      <c r="W19" s="2"/>
      <c r="X19" s="2"/>
      <c r="Y19" s="2"/>
      <c r="Z19" s="2" t="str">
        <f t="shared" si="0"/>
        <v/>
      </c>
      <c r="AA19" s="2" t="str">
        <f t="shared" si="1"/>
        <v/>
      </c>
      <c r="AB19" s="2" t="str">
        <f t="shared" si="2"/>
        <v/>
      </c>
      <c r="AC19" s="2" t="str">
        <f t="shared" si="3"/>
        <v>Walks with direction</v>
      </c>
      <c r="AD19" s="2"/>
      <c r="AE19" s="5"/>
      <c r="AF19" s="2"/>
      <c r="AG19" s="2"/>
      <c r="AH19" s="2"/>
      <c r="AI19" s="2"/>
    </row>
    <row r="20" spans="1:37">
      <c r="A20" s="2"/>
      <c r="B20" s="2"/>
      <c r="C20" s="2"/>
      <c r="D20" s="2"/>
      <c r="E20" s="5"/>
      <c r="F20" s="2"/>
      <c r="G20" s="5"/>
      <c r="H20" s="2"/>
      <c r="I20" s="2"/>
      <c r="J20" s="2"/>
      <c r="K20" s="2"/>
      <c r="L20" s="2"/>
      <c r="M20" s="2"/>
      <c r="N20" s="2"/>
      <c r="O20" s="2"/>
      <c r="P20" s="2"/>
      <c r="Q20" s="2"/>
      <c r="R20" s="2"/>
      <c r="S20" s="2"/>
      <c r="T20" s="2"/>
      <c r="U20" s="2"/>
      <c r="V20" s="2"/>
      <c r="W20" s="2"/>
      <c r="X20" s="2"/>
      <c r="Y20" s="2"/>
      <c r="Z20" s="2" t="str">
        <f t="shared" si="0"/>
        <v/>
      </c>
      <c r="AA20" s="2" t="str">
        <f t="shared" si="1"/>
        <v/>
      </c>
      <c r="AB20" s="2" t="str">
        <f t="shared" si="2"/>
        <v/>
      </c>
      <c r="AC20" s="2" t="str">
        <f t="shared" si="3"/>
        <v>Walks with direction</v>
      </c>
      <c r="AD20" s="2"/>
      <c r="AE20" s="5"/>
      <c r="AF20" s="2"/>
      <c r="AG20" s="2"/>
      <c r="AH20" s="2"/>
      <c r="AI20" s="2"/>
    </row>
    <row r="21" spans="1:37">
      <c r="A21" s="2"/>
      <c r="B21" s="2"/>
      <c r="C21" s="2"/>
      <c r="D21" s="2"/>
      <c r="E21" s="5"/>
      <c r="F21" s="2"/>
      <c r="G21" s="5"/>
      <c r="H21" s="2"/>
      <c r="I21" s="2"/>
      <c r="J21" s="2"/>
      <c r="K21" s="2"/>
      <c r="L21" s="2"/>
      <c r="M21" s="2"/>
      <c r="N21" s="2"/>
      <c r="O21" s="2"/>
      <c r="P21" s="2"/>
      <c r="Q21" s="2"/>
      <c r="R21" s="2"/>
      <c r="S21" s="2"/>
      <c r="T21" s="2"/>
      <c r="U21" s="2"/>
      <c r="V21" s="2"/>
      <c r="W21" s="2"/>
      <c r="X21" s="2"/>
      <c r="Y21" s="2"/>
      <c r="Z21" s="2" t="str">
        <f t="shared" si="0"/>
        <v/>
      </c>
      <c r="AA21" s="2" t="str">
        <f t="shared" si="1"/>
        <v/>
      </c>
      <c r="AB21" s="2" t="str">
        <f t="shared" si="2"/>
        <v/>
      </c>
      <c r="AC21" s="2" t="str">
        <f t="shared" si="3"/>
        <v>Walks with direction</v>
      </c>
      <c r="AD21" s="2"/>
      <c r="AE21" s="5"/>
      <c r="AF21" s="2"/>
      <c r="AG21" s="2"/>
      <c r="AH21" s="2"/>
      <c r="AI21" s="2"/>
    </row>
    <row r="22" spans="1:37">
      <c r="A22" s="2"/>
      <c r="B22" s="2"/>
      <c r="C22" s="2"/>
      <c r="D22" s="2"/>
      <c r="E22" s="5"/>
      <c r="F22" s="2"/>
      <c r="G22" s="5"/>
      <c r="H22" s="2"/>
      <c r="I22" s="2"/>
      <c r="J22" s="2"/>
      <c r="K22" s="2"/>
      <c r="L22" s="2"/>
      <c r="M22" s="2"/>
      <c r="N22" s="2"/>
      <c r="O22" s="2"/>
      <c r="P22" s="2"/>
      <c r="Q22" s="2"/>
      <c r="R22" s="2"/>
      <c r="S22" s="2"/>
      <c r="T22" s="2"/>
      <c r="U22" s="2"/>
      <c r="V22" s="2"/>
      <c r="W22" s="2"/>
      <c r="X22" s="2"/>
      <c r="Y22" s="2"/>
      <c r="Z22" s="2" t="str">
        <f t="shared" si="0"/>
        <v/>
      </c>
      <c r="AA22" s="2" t="str">
        <f t="shared" si="1"/>
        <v/>
      </c>
      <c r="AB22" s="2" t="str">
        <f t="shared" si="2"/>
        <v/>
      </c>
      <c r="AC22" s="2" t="str">
        <f t="shared" si="3"/>
        <v>Walks with direction</v>
      </c>
      <c r="AD22" s="2"/>
      <c r="AE22" s="5"/>
      <c r="AF22" s="2"/>
      <c r="AG22" s="2"/>
      <c r="AH22" s="2"/>
      <c r="AI22" s="2"/>
    </row>
    <row r="23" spans="1:37">
      <c r="A23" s="2"/>
      <c r="B23" s="2"/>
      <c r="C23" s="2"/>
      <c r="D23" s="2"/>
      <c r="E23" s="5"/>
      <c r="F23" s="2"/>
      <c r="G23" s="5"/>
      <c r="H23" s="2"/>
      <c r="I23" s="2"/>
      <c r="J23" s="2"/>
      <c r="K23" s="2"/>
      <c r="L23" s="2"/>
      <c r="M23" s="2"/>
      <c r="N23" s="2"/>
      <c r="O23" s="2"/>
      <c r="P23" s="2"/>
      <c r="Q23" s="2"/>
      <c r="R23" s="2"/>
      <c r="S23" s="2"/>
      <c r="T23" s="2"/>
      <c r="U23" s="2"/>
      <c r="V23" s="2"/>
      <c r="W23" s="2"/>
      <c r="X23" s="2"/>
      <c r="Y23" s="2"/>
      <c r="Z23" s="2" t="str">
        <f t="shared" si="0"/>
        <v/>
      </c>
      <c r="AA23" s="2" t="str">
        <f t="shared" si="1"/>
        <v/>
      </c>
      <c r="AB23" s="2" t="str">
        <f t="shared" si="2"/>
        <v/>
      </c>
      <c r="AC23" s="2" t="str">
        <f t="shared" si="3"/>
        <v>Walks with direction</v>
      </c>
      <c r="AD23" s="2"/>
      <c r="AE23" s="5"/>
      <c r="AF23" s="2"/>
      <c r="AG23" s="2"/>
      <c r="AH23" s="2"/>
      <c r="AI23" s="2"/>
    </row>
    <row r="24" spans="1:37">
      <c r="A24" s="2"/>
      <c r="B24" s="2"/>
      <c r="C24" s="2"/>
      <c r="D24" s="2"/>
      <c r="E24" s="5"/>
      <c r="F24" s="2"/>
      <c r="G24" s="5"/>
      <c r="H24" s="2"/>
      <c r="I24" s="2"/>
      <c r="J24" s="2"/>
      <c r="K24" s="2"/>
      <c r="L24" s="2"/>
      <c r="M24" s="2"/>
      <c r="N24" s="2"/>
      <c r="O24" s="2"/>
      <c r="P24" s="2"/>
      <c r="Q24" s="2"/>
      <c r="R24" s="2"/>
      <c r="S24" s="2"/>
      <c r="T24" s="2"/>
      <c r="U24" s="2"/>
      <c r="V24" s="2"/>
      <c r="W24" s="2"/>
      <c r="X24" s="2"/>
      <c r="Y24" s="2"/>
      <c r="Z24" s="2" t="str">
        <f t="shared" si="0"/>
        <v/>
      </c>
      <c r="AA24" s="2" t="str">
        <f t="shared" si="1"/>
        <v/>
      </c>
      <c r="AB24" s="2" t="str">
        <f t="shared" si="2"/>
        <v/>
      </c>
      <c r="AC24" s="2" t="str">
        <f t="shared" si="3"/>
        <v>Walks with direction</v>
      </c>
      <c r="AD24" s="2"/>
      <c r="AE24" s="5"/>
      <c r="AF24" s="2"/>
      <c r="AG24" s="2"/>
      <c r="AH24" s="2"/>
      <c r="AI24" s="2"/>
    </row>
    <row r="25" spans="1:37">
      <c r="A25" s="2"/>
      <c r="B25" s="2"/>
      <c r="C25" s="2"/>
      <c r="D25" s="2"/>
      <c r="E25" s="5"/>
      <c r="F25" s="2"/>
      <c r="G25" s="5"/>
      <c r="H25" s="2"/>
      <c r="I25" s="2"/>
      <c r="J25" s="2"/>
      <c r="K25" s="2"/>
      <c r="L25" s="2"/>
      <c r="M25" s="2"/>
      <c r="N25" s="2"/>
      <c r="O25" s="2"/>
      <c r="P25" s="2"/>
      <c r="Q25" s="2"/>
      <c r="R25" s="2"/>
      <c r="S25" s="2"/>
      <c r="T25" s="2"/>
      <c r="U25" s="2"/>
      <c r="V25" s="2"/>
      <c r="W25" s="2"/>
      <c r="X25" s="2"/>
      <c r="Y25" s="2"/>
      <c r="Z25" s="2" t="str">
        <f t="shared" si="0"/>
        <v/>
      </c>
      <c r="AA25" s="2" t="str">
        <f t="shared" si="1"/>
        <v/>
      </c>
      <c r="AB25" s="2" t="str">
        <f t="shared" si="2"/>
        <v/>
      </c>
      <c r="AC25" s="2" t="str">
        <f t="shared" si="3"/>
        <v>Walks with direction</v>
      </c>
      <c r="AD25" s="2"/>
      <c r="AE25" s="5"/>
      <c r="AF25" s="2"/>
      <c r="AG25" s="2"/>
      <c r="AH25" s="2"/>
      <c r="AI25" s="2"/>
    </row>
    <row r="26" spans="1:37">
      <c r="A26" s="2"/>
      <c r="B26" s="2"/>
      <c r="C26" s="2"/>
      <c r="D26" s="2"/>
      <c r="E26" s="5"/>
      <c r="F26" s="2"/>
      <c r="G26" s="5"/>
      <c r="H26" s="2"/>
      <c r="I26" s="2"/>
      <c r="J26" s="2"/>
      <c r="K26" s="2"/>
      <c r="L26" s="2"/>
      <c r="M26" s="2"/>
      <c r="N26" s="2"/>
      <c r="O26" s="2"/>
      <c r="P26" s="2"/>
      <c r="Q26" s="2"/>
      <c r="R26" s="2"/>
      <c r="S26" s="2"/>
      <c r="T26" s="2"/>
      <c r="U26" s="2"/>
      <c r="V26" s="2"/>
      <c r="W26" s="2"/>
      <c r="X26" s="2"/>
      <c r="Y26" s="2"/>
      <c r="Z26" s="2" t="str">
        <f t="shared" si="0"/>
        <v/>
      </c>
      <c r="AA26" s="2" t="str">
        <f t="shared" si="1"/>
        <v/>
      </c>
      <c r="AB26" s="2" t="str">
        <f t="shared" si="2"/>
        <v/>
      </c>
      <c r="AC26" s="2" t="str">
        <f t="shared" si="3"/>
        <v>Walks with direction</v>
      </c>
      <c r="AD26" s="2"/>
      <c r="AE26" s="5"/>
      <c r="AF26" s="2"/>
      <c r="AG26" s="2"/>
      <c r="AH26" s="2"/>
      <c r="AI26" s="2"/>
    </row>
    <row r="27" spans="1:37">
      <c r="A27" s="2"/>
      <c r="B27" s="2"/>
      <c r="C27" s="2"/>
      <c r="D27" s="2"/>
      <c r="E27" s="5"/>
      <c r="F27" s="2"/>
      <c r="G27" s="5"/>
      <c r="H27" s="2"/>
      <c r="I27" s="2"/>
      <c r="J27" s="2"/>
      <c r="K27" s="2"/>
      <c r="L27" s="2"/>
      <c r="M27" s="2"/>
      <c r="N27" s="2"/>
      <c r="O27" s="2"/>
      <c r="P27" s="2"/>
      <c r="Q27" s="2"/>
      <c r="R27" s="2"/>
      <c r="S27" s="2"/>
      <c r="T27" s="2"/>
      <c r="U27" s="2"/>
      <c r="V27" s="2"/>
      <c r="W27" s="2"/>
      <c r="X27" s="2"/>
      <c r="Y27" s="2"/>
      <c r="Z27" s="2" t="str">
        <f t="shared" si="0"/>
        <v/>
      </c>
      <c r="AA27" s="2" t="str">
        <f t="shared" si="1"/>
        <v/>
      </c>
      <c r="AB27" s="2" t="str">
        <f t="shared" si="2"/>
        <v/>
      </c>
      <c r="AC27" s="2" t="str">
        <f t="shared" si="3"/>
        <v>Walks with direction</v>
      </c>
      <c r="AD27" s="2"/>
      <c r="AE27" s="5"/>
      <c r="AF27" s="2"/>
      <c r="AG27" s="2"/>
      <c r="AH27" s="2"/>
      <c r="AI27" s="2"/>
    </row>
    <row r="28" spans="1:37">
      <c r="A28" s="2"/>
      <c r="B28" s="2"/>
      <c r="C28" s="2"/>
      <c r="D28" s="2"/>
      <c r="E28" s="5"/>
      <c r="F28" s="2"/>
      <c r="G28" s="5"/>
      <c r="H28" s="2"/>
      <c r="I28" s="2"/>
      <c r="J28" s="2"/>
      <c r="K28" s="2"/>
      <c r="L28" s="2"/>
      <c r="M28" s="2"/>
      <c r="N28" s="2"/>
      <c r="O28" s="2"/>
      <c r="P28" s="2"/>
      <c r="Q28" s="2"/>
      <c r="R28" s="2"/>
      <c r="S28" s="2"/>
      <c r="T28" s="2"/>
      <c r="U28" s="2"/>
      <c r="V28" s="2"/>
      <c r="W28" s="2"/>
      <c r="X28" s="2"/>
      <c r="Y28" s="2"/>
      <c r="Z28" s="2" t="str">
        <f t="shared" si="0"/>
        <v/>
      </c>
      <c r="AA28" s="2" t="str">
        <f t="shared" si="1"/>
        <v/>
      </c>
      <c r="AB28" s="2" t="str">
        <f t="shared" si="2"/>
        <v/>
      </c>
      <c r="AC28" s="2" t="str">
        <f t="shared" si="3"/>
        <v>Walks with direction</v>
      </c>
      <c r="AD28" s="2"/>
      <c r="AE28" s="5"/>
      <c r="AF28" s="2"/>
      <c r="AG28" s="2"/>
      <c r="AH28" s="2"/>
      <c r="AI28" s="2"/>
    </row>
    <row r="29" spans="1:37">
      <c r="A29" s="2"/>
      <c r="B29" s="2"/>
      <c r="C29" s="2"/>
      <c r="D29" s="2"/>
      <c r="E29" s="5"/>
      <c r="F29" s="2"/>
      <c r="G29" s="5"/>
      <c r="H29" s="2"/>
      <c r="I29" s="2"/>
      <c r="J29" s="2"/>
      <c r="K29" s="2"/>
      <c r="L29" s="2"/>
      <c r="M29" s="2"/>
      <c r="N29" s="2"/>
      <c r="O29" s="2"/>
      <c r="P29" s="2"/>
      <c r="Q29" s="2"/>
      <c r="R29" s="2"/>
      <c r="S29" s="2"/>
      <c r="T29" s="2"/>
      <c r="U29" s="2"/>
      <c r="V29" s="2"/>
      <c r="W29" s="2"/>
      <c r="X29" s="2"/>
      <c r="Y29" s="2"/>
      <c r="Z29" s="2" t="str">
        <f t="shared" si="0"/>
        <v/>
      </c>
      <c r="AA29" s="2" t="str">
        <f t="shared" si="1"/>
        <v/>
      </c>
      <c r="AB29" s="2" t="str">
        <f t="shared" si="2"/>
        <v/>
      </c>
      <c r="AC29" s="2" t="str">
        <f t="shared" si="3"/>
        <v>Walks with direction</v>
      </c>
      <c r="AD29" s="2"/>
      <c r="AE29" s="5"/>
      <c r="AF29" s="2"/>
      <c r="AG29" s="2"/>
      <c r="AH29" s="2"/>
      <c r="AI29" s="2"/>
    </row>
    <row r="30" spans="1:37">
      <c r="A30" s="2"/>
      <c r="B30" s="2"/>
      <c r="C30" s="2"/>
      <c r="D30" s="2"/>
      <c r="E30" s="5"/>
      <c r="F30" s="2"/>
      <c r="G30" s="5"/>
      <c r="H30" s="2"/>
      <c r="I30" s="2"/>
      <c r="J30" s="2"/>
      <c r="K30" s="2"/>
      <c r="L30" s="2"/>
      <c r="M30" s="2"/>
      <c r="N30" s="2"/>
      <c r="O30" s="2"/>
      <c r="P30" s="2"/>
      <c r="Q30" s="2"/>
      <c r="R30" s="2"/>
      <c r="S30" s="2"/>
      <c r="T30" s="2"/>
      <c r="U30" s="2"/>
      <c r="V30" s="2"/>
      <c r="W30" s="2"/>
      <c r="X30" s="2"/>
      <c r="Y30" s="2"/>
      <c r="Z30" s="2" t="str">
        <f t="shared" si="0"/>
        <v/>
      </c>
      <c r="AA30" s="2" t="str">
        <f t="shared" si="1"/>
        <v/>
      </c>
      <c r="AB30" s="2" t="str">
        <f t="shared" si="2"/>
        <v/>
      </c>
      <c r="AC30" s="2" t="str">
        <f t="shared" si="3"/>
        <v>Walks with direction</v>
      </c>
      <c r="AD30" s="2"/>
      <c r="AE30" s="5"/>
      <c r="AF30" s="2"/>
      <c r="AG30" s="2"/>
      <c r="AH30" s="2"/>
      <c r="AI30" s="2"/>
    </row>
    <row r="31" spans="1:37">
      <c r="A31" s="2"/>
      <c r="B31" s="2"/>
      <c r="C31" s="2"/>
      <c r="D31" s="2"/>
      <c r="E31" s="5"/>
      <c r="F31" s="2"/>
      <c r="G31" s="5"/>
      <c r="H31" s="2"/>
      <c r="I31" s="2"/>
      <c r="J31" s="2"/>
      <c r="K31" s="2"/>
      <c r="L31" s="2"/>
      <c r="M31" s="2"/>
      <c r="N31" s="2"/>
      <c r="O31" s="2"/>
      <c r="P31" s="2"/>
      <c r="Q31" s="2"/>
      <c r="R31" s="2"/>
      <c r="S31" s="2"/>
      <c r="T31" s="2"/>
      <c r="U31" s="2"/>
      <c r="V31" s="2"/>
      <c r="W31" s="2"/>
      <c r="X31" s="2"/>
      <c r="Y31" s="2"/>
      <c r="Z31" s="2" t="str">
        <f t="shared" si="0"/>
        <v/>
      </c>
      <c r="AA31" s="2" t="str">
        <f t="shared" si="1"/>
        <v/>
      </c>
      <c r="AB31" s="2" t="str">
        <f t="shared" si="2"/>
        <v/>
      </c>
      <c r="AC31" s="2" t="str">
        <f t="shared" si="3"/>
        <v>Walks with direction</v>
      </c>
      <c r="AD31" s="2"/>
      <c r="AE31" s="5"/>
      <c r="AF31" s="2"/>
      <c r="AG31" s="2"/>
      <c r="AH31" s="2"/>
      <c r="AI31" s="2"/>
    </row>
    <row r="32" spans="1:37">
      <c r="A32" s="2"/>
      <c r="B32" s="2"/>
      <c r="C32" s="2"/>
      <c r="D32" s="2"/>
      <c r="E32" s="5"/>
      <c r="F32" s="2"/>
      <c r="G32" s="5"/>
      <c r="H32" s="2"/>
      <c r="I32" s="2"/>
      <c r="J32" s="2"/>
      <c r="K32" s="2"/>
      <c r="L32" s="2"/>
      <c r="M32" s="2"/>
      <c r="N32" s="2"/>
      <c r="O32" s="2"/>
      <c r="P32" s="2"/>
      <c r="Q32" s="2"/>
      <c r="R32" s="2"/>
      <c r="S32" s="2"/>
      <c r="T32" s="2"/>
      <c r="U32" s="2"/>
      <c r="V32" s="2"/>
      <c r="W32" s="2"/>
      <c r="X32" s="2"/>
      <c r="Y32" s="2"/>
      <c r="Z32" s="2" t="str">
        <f t="shared" si="0"/>
        <v/>
      </c>
      <c r="AA32" s="2" t="str">
        <f t="shared" si="1"/>
        <v/>
      </c>
      <c r="AB32" s="2" t="str">
        <f t="shared" si="2"/>
        <v/>
      </c>
      <c r="AC32" s="2" t="str">
        <f t="shared" si="3"/>
        <v>Walks with direction</v>
      </c>
      <c r="AD32" s="2"/>
      <c r="AE32" s="5"/>
      <c r="AF32" s="2"/>
      <c r="AG32" s="2"/>
      <c r="AH32" s="2"/>
      <c r="AI32" s="2"/>
    </row>
    <row r="33" spans="1:35">
      <c r="A33" s="2"/>
      <c r="B33" s="2"/>
      <c r="C33" s="2"/>
      <c r="D33" s="2"/>
      <c r="E33" s="5"/>
      <c r="F33" s="2"/>
      <c r="G33" s="5"/>
      <c r="H33" s="2"/>
      <c r="I33" s="2"/>
      <c r="J33" s="2"/>
      <c r="K33" s="2"/>
      <c r="L33" s="2"/>
      <c r="M33" s="2"/>
      <c r="N33" s="2"/>
      <c r="O33" s="2"/>
      <c r="P33" s="2"/>
      <c r="Q33" s="2"/>
      <c r="R33" s="2"/>
      <c r="S33" s="2"/>
      <c r="T33" s="2"/>
      <c r="U33" s="2"/>
      <c r="V33" s="2"/>
      <c r="W33" s="2"/>
      <c r="X33" s="2"/>
      <c r="Y33" s="2"/>
      <c r="Z33" s="2" t="str">
        <f t="shared" si="0"/>
        <v/>
      </c>
      <c r="AA33" s="2" t="str">
        <f t="shared" si="1"/>
        <v/>
      </c>
      <c r="AB33" s="2" t="str">
        <f t="shared" si="2"/>
        <v/>
      </c>
      <c r="AC33" s="2" t="str">
        <f t="shared" si="3"/>
        <v>Walks with direction</v>
      </c>
      <c r="AD33" s="2"/>
      <c r="AE33" s="5"/>
      <c r="AF33" s="2"/>
      <c r="AG33" s="2"/>
      <c r="AH33" s="2"/>
      <c r="AI33" s="2"/>
    </row>
    <row r="34" spans="1:35">
      <c r="A34" s="2"/>
      <c r="B34" s="2"/>
      <c r="C34" s="2"/>
      <c r="D34" s="2"/>
      <c r="E34" s="5"/>
      <c r="F34" s="2"/>
      <c r="G34" s="5"/>
      <c r="H34" s="2"/>
      <c r="I34" s="2"/>
      <c r="J34" s="2"/>
      <c r="K34" s="2"/>
      <c r="L34" s="2"/>
      <c r="M34" s="2"/>
      <c r="N34" s="2"/>
      <c r="O34" s="2"/>
      <c r="P34" s="2"/>
      <c r="Q34" s="2"/>
      <c r="R34" s="2"/>
      <c r="S34" s="2"/>
      <c r="T34" s="2"/>
      <c r="U34" s="2"/>
      <c r="V34" s="2"/>
      <c r="W34" s="2"/>
      <c r="X34" s="2"/>
      <c r="Y34" s="2"/>
      <c r="Z34" s="2" t="str">
        <f t="shared" si="0"/>
        <v/>
      </c>
      <c r="AA34" s="2" t="str">
        <f t="shared" si="1"/>
        <v/>
      </c>
      <c r="AB34" s="2" t="str">
        <f t="shared" si="2"/>
        <v/>
      </c>
      <c r="AC34" s="2" t="str">
        <f t="shared" si="3"/>
        <v>Walks with direction</v>
      </c>
      <c r="AD34" s="2"/>
      <c r="AE34" s="5"/>
      <c r="AF34" s="2"/>
      <c r="AG34" s="2"/>
      <c r="AH34" s="2"/>
      <c r="AI34" s="2"/>
    </row>
    <row r="35" spans="1:35">
      <c r="A35" s="2"/>
      <c r="B35" s="2"/>
      <c r="C35" s="2"/>
      <c r="D35" s="2"/>
      <c r="E35" s="5"/>
      <c r="F35" s="2"/>
      <c r="G35" s="5"/>
      <c r="H35" s="2"/>
      <c r="I35" s="2"/>
      <c r="J35" s="2"/>
      <c r="K35" s="2"/>
      <c r="L35" s="2"/>
      <c r="M35" s="2"/>
      <c r="N35" s="2"/>
      <c r="O35" s="2"/>
      <c r="P35" s="2"/>
      <c r="Q35" s="2"/>
      <c r="R35" s="2"/>
      <c r="S35" s="2"/>
      <c r="T35" s="2"/>
      <c r="U35" s="2"/>
      <c r="V35" s="2"/>
      <c r="W35" s="2"/>
      <c r="X35" s="2"/>
      <c r="Y35" s="2"/>
      <c r="Z35" s="2" t="str">
        <f t="shared" si="0"/>
        <v/>
      </c>
      <c r="AA35" s="2" t="str">
        <f t="shared" si="1"/>
        <v/>
      </c>
      <c r="AB35" s="2" t="str">
        <f t="shared" si="2"/>
        <v/>
      </c>
      <c r="AC35" s="2" t="str">
        <f t="shared" si="3"/>
        <v>Walks with direction</v>
      </c>
      <c r="AD35" s="2"/>
      <c r="AE35" s="5"/>
      <c r="AF35" s="2"/>
      <c r="AG35" s="2"/>
      <c r="AH35" s="2"/>
      <c r="AI35" s="2"/>
    </row>
    <row r="36" spans="1:35">
      <c r="A36" s="2"/>
      <c r="B36" s="2"/>
      <c r="C36" s="2"/>
      <c r="D36" s="2"/>
      <c r="E36" s="5"/>
      <c r="F36" s="2"/>
      <c r="G36" s="5"/>
      <c r="H36" s="2"/>
      <c r="I36" s="2"/>
      <c r="J36" s="2"/>
      <c r="K36" s="2"/>
      <c r="L36" s="2"/>
      <c r="M36" s="2"/>
      <c r="N36" s="2"/>
      <c r="O36" s="2"/>
      <c r="P36" s="2"/>
      <c r="Q36" s="2"/>
      <c r="R36" s="2"/>
      <c r="S36" s="2"/>
      <c r="T36" s="2"/>
      <c r="U36" s="2"/>
      <c r="V36" s="2"/>
      <c r="W36" s="2"/>
      <c r="X36" s="2"/>
      <c r="Y36" s="2"/>
      <c r="Z36" s="2" t="str">
        <f t="shared" si="0"/>
        <v/>
      </c>
      <c r="AA36" s="2" t="str">
        <f t="shared" si="1"/>
        <v/>
      </c>
      <c r="AB36" s="2" t="str">
        <f t="shared" si="2"/>
        <v/>
      </c>
      <c r="AC36" s="2" t="str">
        <f t="shared" si="3"/>
        <v>Walks with direction</v>
      </c>
      <c r="AD36" s="2"/>
      <c r="AE36" s="5"/>
      <c r="AF36" s="2"/>
      <c r="AG36" s="2"/>
      <c r="AH36" s="2"/>
      <c r="AI36" s="2"/>
    </row>
    <row r="37" spans="1:35">
      <c r="A37" s="2"/>
      <c r="B37" s="2"/>
      <c r="C37" s="2"/>
      <c r="D37" s="2"/>
      <c r="E37" s="5"/>
      <c r="F37" s="2"/>
      <c r="G37" s="5"/>
      <c r="H37" s="2"/>
      <c r="I37" s="2"/>
      <c r="J37" s="2"/>
      <c r="K37" s="2"/>
      <c r="L37" s="2"/>
      <c r="M37" s="2"/>
      <c r="N37" s="2"/>
      <c r="O37" s="2"/>
      <c r="P37" s="2"/>
      <c r="Q37" s="2"/>
      <c r="R37" s="2"/>
      <c r="S37" s="2"/>
      <c r="T37" s="2"/>
      <c r="U37" s="2"/>
      <c r="V37" s="2"/>
      <c r="W37" s="2"/>
      <c r="X37" s="2"/>
      <c r="Y37" s="2"/>
      <c r="Z37" s="2" t="str">
        <f t="shared" si="0"/>
        <v/>
      </c>
      <c r="AA37" s="2" t="str">
        <f t="shared" si="1"/>
        <v/>
      </c>
      <c r="AB37" s="2" t="str">
        <f t="shared" si="2"/>
        <v/>
      </c>
      <c r="AC37" s="2" t="str">
        <f t="shared" si="3"/>
        <v>Walks with direction</v>
      </c>
      <c r="AD37" s="2"/>
      <c r="AE37" s="5"/>
      <c r="AF37" s="2"/>
      <c r="AG37" s="2"/>
      <c r="AH37" s="2"/>
      <c r="AI37" s="2"/>
    </row>
    <row r="38" spans="1:35">
      <c r="A38" s="2"/>
      <c r="B38" s="2"/>
      <c r="C38" s="2"/>
      <c r="D38" s="2"/>
      <c r="E38" s="5"/>
      <c r="F38" s="2"/>
      <c r="G38" s="5"/>
      <c r="H38" s="2"/>
      <c r="I38" s="2"/>
      <c r="J38" s="2"/>
      <c r="K38" s="2"/>
      <c r="L38" s="2"/>
      <c r="M38" s="2"/>
      <c r="N38" s="2"/>
      <c r="O38" s="2"/>
      <c r="P38" s="2"/>
      <c r="Q38" s="2"/>
      <c r="R38" s="2"/>
      <c r="S38" s="2"/>
      <c r="T38" s="2"/>
      <c r="U38" s="2"/>
      <c r="V38" s="2"/>
      <c r="W38" s="2"/>
      <c r="X38" s="2"/>
      <c r="Y38" s="2"/>
      <c r="Z38" s="2" t="str">
        <f t="shared" si="0"/>
        <v/>
      </c>
      <c r="AA38" s="2" t="str">
        <f t="shared" si="1"/>
        <v/>
      </c>
      <c r="AB38" s="2" t="str">
        <f t="shared" si="2"/>
        <v/>
      </c>
      <c r="AC38" s="2" t="str">
        <f t="shared" si="3"/>
        <v>Walks with direction</v>
      </c>
      <c r="AD38" s="2"/>
      <c r="AE38" s="5"/>
      <c r="AF38" s="2"/>
      <c r="AG38" s="2"/>
      <c r="AH38" s="2"/>
      <c r="AI38" s="2"/>
    </row>
    <row r="39" spans="1:35">
      <c r="A39" s="2"/>
      <c r="B39" s="2"/>
      <c r="C39" s="2"/>
      <c r="D39" s="2"/>
      <c r="E39" s="5"/>
      <c r="F39" s="2"/>
      <c r="G39" s="5"/>
      <c r="H39" s="2"/>
      <c r="I39" s="2"/>
      <c r="J39" s="2"/>
      <c r="K39" s="2"/>
      <c r="L39" s="2"/>
      <c r="M39" s="2"/>
      <c r="N39" s="2"/>
      <c r="O39" s="2"/>
      <c r="P39" s="2"/>
      <c r="Q39" s="2"/>
      <c r="R39" s="2"/>
      <c r="S39" s="2"/>
      <c r="T39" s="2"/>
      <c r="U39" s="2"/>
      <c r="V39" s="2"/>
      <c r="W39" s="2"/>
      <c r="X39" s="2"/>
      <c r="Y39" s="2"/>
      <c r="Z39" s="2" t="str">
        <f t="shared" si="0"/>
        <v/>
      </c>
      <c r="AA39" s="2" t="str">
        <f t="shared" si="1"/>
        <v/>
      </c>
      <c r="AB39" s="2" t="str">
        <f t="shared" si="2"/>
        <v/>
      </c>
      <c r="AC39" s="2" t="str">
        <f t="shared" si="3"/>
        <v>Walks with direction</v>
      </c>
      <c r="AD39" s="2"/>
      <c r="AE39" s="5"/>
      <c r="AF39" s="2"/>
      <c r="AG39" s="2"/>
      <c r="AH39" s="2"/>
      <c r="AI39" s="2"/>
    </row>
    <row r="40" spans="1:35">
      <c r="A40" s="2"/>
      <c r="B40" s="2"/>
      <c r="C40" s="2"/>
      <c r="D40" s="2"/>
      <c r="E40" s="5"/>
      <c r="F40" s="2"/>
      <c r="G40" s="5"/>
      <c r="H40" s="2"/>
      <c r="I40" s="2"/>
      <c r="J40" s="2"/>
      <c r="K40" s="2"/>
      <c r="L40" s="2"/>
      <c r="M40" s="2"/>
      <c r="N40" s="2"/>
      <c r="O40" s="2"/>
      <c r="P40" s="2"/>
      <c r="Q40" s="2"/>
      <c r="R40" s="2"/>
      <c r="S40" s="2"/>
      <c r="T40" s="2"/>
      <c r="U40" s="2"/>
      <c r="V40" s="2"/>
      <c r="W40" s="2"/>
      <c r="X40" s="2"/>
      <c r="Y40" s="2"/>
      <c r="Z40" s="2" t="str">
        <f t="shared" si="0"/>
        <v/>
      </c>
      <c r="AA40" s="2" t="str">
        <f t="shared" si="1"/>
        <v/>
      </c>
      <c r="AB40" s="2" t="str">
        <f t="shared" si="2"/>
        <v/>
      </c>
      <c r="AC40" s="2" t="str">
        <f t="shared" si="3"/>
        <v>Walks with direction</v>
      </c>
      <c r="AD40" s="2"/>
      <c r="AE40" s="5"/>
      <c r="AF40" s="2"/>
      <c r="AG40" s="2"/>
      <c r="AH40" s="2"/>
      <c r="AI40" s="2"/>
    </row>
    <row r="41" spans="1:35">
      <c r="A41" s="2"/>
      <c r="B41" s="2"/>
      <c r="C41" s="2"/>
      <c r="D41" s="2"/>
      <c r="E41" s="5"/>
      <c r="F41" s="2"/>
      <c r="G41" s="5"/>
      <c r="H41" s="2"/>
      <c r="I41" s="2"/>
      <c r="J41" s="2"/>
      <c r="K41" s="2"/>
      <c r="L41" s="2"/>
      <c r="M41" s="2"/>
      <c r="N41" s="2"/>
      <c r="O41" s="2"/>
      <c r="P41" s="2"/>
      <c r="Q41" s="2"/>
      <c r="R41" s="2"/>
      <c r="S41" s="2"/>
      <c r="T41" s="2"/>
      <c r="U41" s="2"/>
      <c r="V41" s="2"/>
      <c r="W41" s="2"/>
      <c r="X41" s="2"/>
      <c r="Y41" s="2"/>
      <c r="Z41" s="2" t="str">
        <f t="shared" si="0"/>
        <v/>
      </c>
      <c r="AA41" s="2" t="str">
        <f t="shared" si="1"/>
        <v/>
      </c>
      <c r="AB41" s="2" t="str">
        <f t="shared" si="2"/>
        <v/>
      </c>
      <c r="AC41" s="2" t="str">
        <f t="shared" si="3"/>
        <v>Walks with direction</v>
      </c>
      <c r="AD41" s="2"/>
      <c r="AE41" s="5"/>
      <c r="AF41" s="2"/>
      <c r="AG41" s="2"/>
      <c r="AH41" s="2"/>
      <c r="AI41" s="2"/>
    </row>
    <row r="42" spans="1:35">
      <c r="A42" s="2"/>
      <c r="B42" s="2"/>
      <c r="C42" s="2"/>
      <c r="D42" s="2"/>
      <c r="E42" s="5"/>
      <c r="F42" s="2"/>
      <c r="G42" s="5"/>
      <c r="H42" s="2"/>
      <c r="I42" s="2"/>
      <c r="J42" s="2"/>
      <c r="K42" s="2"/>
      <c r="L42" s="2"/>
      <c r="M42" s="2"/>
      <c r="N42" s="2"/>
      <c r="O42" s="2"/>
      <c r="P42" s="2"/>
      <c r="Q42" s="2"/>
      <c r="R42" s="2"/>
      <c r="S42" s="2"/>
      <c r="T42" s="2"/>
      <c r="U42" s="2"/>
      <c r="V42" s="2"/>
      <c r="W42" s="2"/>
      <c r="X42" s="2"/>
      <c r="Y42" s="2"/>
      <c r="Z42" s="2" t="str">
        <f t="shared" si="0"/>
        <v/>
      </c>
      <c r="AA42" s="2" t="str">
        <f t="shared" si="1"/>
        <v/>
      </c>
      <c r="AB42" s="2" t="str">
        <f t="shared" si="2"/>
        <v/>
      </c>
      <c r="AC42" s="2" t="str">
        <f t="shared" si="3"/>
        <v>Walks with direction</v>
      </c>
      <c r="AD42" s="2"/>
      <c r="AE42" s="5"/>
      <c r="AF42" s="2"/>
      <c r="AG42" s="2"/>
      <c r="AH42" s="2"/>
      <c r="AI42" s="2"/>
    </row>
    <row r="43" spans="1:35">
      <c r="A43" s="2"/>
      <c r="B43" s="2"/>
      <c r="C43" s="2"/>
      <c r="D43" s="2"/>
      <c r="E43" s="5"/>
      <c r="F43" s="2"/>
      <c r="G43" s="5"/>
      <c r="H43" s="2"/>
      <c r="I43" s="2"/>
      <c r="J43" s="2"/>
      <c r="K43" s="2"/>
      <c r="L43" s="2"/>
      <c r="M43" s="2"/>
      <c r="N43" s="2"/>
      <c r="O43" s="2"/>
      <c r="P43" s="2"/>
      <c r="Q43" s="2"/>
      <c r="R43" s="2"/>
      <c r="S43" s="2"/>
      <c r="T43" s="2"/>
      <c r="U43" s="2"/>
      <c r="V43" s="2"/>
      <c r="W43" s="2"/>
      <c r="X43" s="2"/>
      <c r="Y43" s="2"/>
      <c r="Z43" s="2" t="str">
        <f t="shared" si="0"/>
        <v/>
      </c>
      <c r="AA43" s="2" t="str">
        <f t="shared" si="1"/>
        <v/>
      </c>
      <c r="AB43" s="2" t="str">
        <f t="shared" si="2"/>
        <v/>
      </c>
      <c r="AC43" s="2" t="str">
        <f t="shared" si="3"/>
        <v>Walks with direction</v>
      </c>
      <c r="AD43" s="2"/>
      <c r="AE43" s="5"/>
      <c r="AF43" s="2"/>
      <c r="AG43" s="2"/>
      <c r="AH43" s="2"/>
      <c r="AI43" s="2"/>
    </row>
    <row r="44" spans="1:35">
      <c r="A44" s="2"/>
      <c r="B44" s="2"/>
      <c r="C44" s="2"/>
      <c r="D44" s="2"/>
      <c r="E44" s="5"/>
      <c r="F44" s="2"/>
      <c r="G44" s="5"/>
      <c r="H44" s="2"/>
      <c r="I44" s="2"/>
      <c r="J44" s="2"/>
      <c r="K44" s="2"/>
      <c r="L44" s="2"/>
      <c r="M44" s="2"/>
      <c r="N44" s="2"/>
      <c r="O44" s="2"/>
      <c r="P44" s="2"/>
      <c r="Q44" s="2"/>
      <c r="R44" s="2"/>
      <c r="S44" s="2"/>
      <c r="T44" s="2"/>
      <c r="U44" s="2"/>
      <c r="V44" s="2"/>
      <c r="W44" s="2"/>
      <c r="X44" s="2"/>
      <c r="Y44" s="2"/>
      <c r="Z44" s="2" t="str">
        <f t="shared" si="0"/>
        <v/>
      </c>
      <c r="AA44" s="2" t="str">
        <f t="shared" si="1"/>
        <v/>
      </c>
      <c r="AB44" s="2" t="str">
        <f t="shared" si="2"/>
        <v/>
      </c>
      <c r="AC44" s="2" t="str">
        <f t="shared" si="3"/>
        <v>Walks with direction</v>
      </c>
      <c r="AD44" s="2"/>
      <c r="AE44" s="5"/>
      <c r="AF44" s="2"/>
      <c r="AG44" s="2"/>
      <c r="AH44" s="2"/>
      <c r="AI44" s="2"/>
    </row>
    <row r="45" spans="1:35">
      <c r="A45" s="2"/>
      <c r="B45" s="2"/>
      <c r="C45" s="2"/>
      <c r="D45" s="2"/>
      <c r="E45" s="5"/>
      <c r="F45" s="2"/>
      <c r="G45" s="5"/>
      <c r="H45" s="2"/>
      <c r="I45" s="2"/>
      <c r="J45" s="2"/>
      <c r="K45" s="2"/>
      <c r="L45" s="2"/>
      <c r="M45" s="2"/>
      <c r="N45" s="2"/>
      <c r="O45" s="2"/>
      <c r="P45" s="2"/>
      <c r="Q45" s="2"/>
      <c r="R45" s="2"/>
      <c r="S45" s="2"/>
      <c r="T45" s="2"/>
      <c r="U45" s="2"/>
      <c r="V45" s="2"/>
      <c r="W45" s="2"/>
      <c r="X45" s="2"/>
      <c r="Y45" s="2"/>
      <c r="Z45" s="2" t="str">
        <f t="shared" si="0"/>
        <v/>
      </c>
      <c r="AA45" s="2" t="str">
        <f t="shared" si="1"/>
        <v/>
      </c>
      <c r="AB45" s="2" t="str">
        <f t="shared" si="2"/>
        <v/>
      </c>
      <c r="AC45" s="2" t="str">
        <f t="shared" si="3"/>
        <v>Walks with direction</v>
      </c>
      <c r="AD45" s="2"/>
      <c r="AE45" s="5"/>
      <c r="AF45" s="2"/>
      <c r="AG45" s="2"/>
      <c r="AH45" s="2"/>
      <c r="AI45" s="2"/>
    </row>
    <row r="46" spans="1:35">
      <c r="A46" s="2"/>
      <c r="B46" s="2"/>
      <c r="C46" s="2"/>
      <c r="D46" s="2"/>
      <c r="E46" s="5"/>
      <c r="F46" s="2"/>
      <c r="G46" s="5"/>
      <c r="H46" s="2"/>
      <c r="I46" s="2"/>
      <c r="J46" s="2"/>
      <c r="K46" s="2"/>
      <c r="L46" s="2"/>
      <c r="M46" s="2"/>
      <c r="N46" s="2"/>
      <c r="O46" s="2"/>
      <c r="P46" s="2"/>
      <c r="Q46" s="2"/>
      <c r="R46" s="2"/>
      <c r="S46" s="2"/>
      <c r="T46" s="2"/>
      <c r="U46" s="2"/>
      <c r="V46" s="2"/>
      <c r="W46" s="2"/>
      <c r="X46" s="2"/>
      <c r="Y46" s="2"/>
      <c r="Z46" s="2" t="str">
        <f t="shared" si="0"/>
        <v/>
      </c>
      <c r="AA46" s="2" t="str">
        <f t="shared" si="1"/>
        <v/>
      </c>
      <c r="AB46" s="2" t="str">
        <f t="shared" si="2"/>
        <v/>
      </c>
      <c r="AC46" s="2" t="str">
        <f t="shared" si="3"/>
        <v>Walks with direction</v>
      </c>
      <c r="AD46" s="2"/>
      <c r="AE46" s="5"/>
      <c r="AF46" s="2"/>
      <c r="AG46" s="2"/>
      <c r="AH46" s="2"/>
      <c r="AI46" s="2"/>
    </row>
    <row r="47" spans="1:35">
      <c r="A47" s="2"/>
      <c r="B47" s="2"/>
      <c r="C47" s="2"/>
      <c r="D47" s="2"/>
      <c r="E47" s="5"/>
      <c r="F47" s="2"/>
      <c r="G47" s="5"/>
      <c r="H47" s="2"/>
      <c r="I47" s="2"/>
      <c r="J47" s="2"/>
      <c r="K47" s="2"/>
      <c r="L47" s="2"/>
      <c r="M47" s="2"/>
      <c r="N47" s="2"/>
      <c r="O47" s="2"/>
      <c r="P47" s="2"/>
      <c r="Q47" s="2"/>
      <c r="R47" s="2"/>
      <c r="S47" s="2"/>
      <c r="T47" s="2"/>
      <c r="U47" s="2"/>
      <c r="V47" s="2"/>
      <c r="W47" s="2"/>
      <c r="X47" s="2"/>
      <c r="Y47" s="2"/>
      <c r="Z47" s="2" t="str">
        <f t="shared" si="0"/>
        <v/>
      </c>
      <c r="AA47" s="2" t="str">
        <f t="shared" si="1"/>
        <v/>
      </c>
      <c r="AB47" s="2" t="str">
        <f t="shared" si="2"/>
        <v/>
      </c>
      <c r="AC47" s="2" t="str">
        <f t="shared" si="3"/>
        <v>Walks with direction</v>
      </c>
      <c r="AD47" s="2"/>
      <c r="AE47" s="5"/>
      <c r="AF47" s="2"/>
      <c r="AG47" s="2"/>
      <c r="AH47" s="2"/>
      <c r="AI47" s="2"/>
    </row>
    <row r="48" spans="1:35">
      <c r="A48" s="2"/>
      <c r="B48" s="2"/>
      <c r="C48" s="2"/>
      <c r="D48" s="2"/>
      <c r="E48" s="5"/>
      <c r="F48" s="2"/>
      <c r="G48" s="5"/>
      <c r="H48" s="2"/>
      <c r="I48" s="2"/>
      <c r="J48" s="2"/>
      <c r="K48" s="2"/>
      <c r="L48" s="2"/>
      <c r="M48" s="2"/>
      <c r="N48" s="2"/>
      <c r="O48" s="2"/>
      <c r="P48" s="2"/>
      <c r="Q48" s="2"/>
      <c r="R48" s="2"/>
      <c r="S48" s="2"/>
      <c r="T48" s="2"/>
      <c r="U48" s="2"/>
      <c r="V48" s="2"/>
      <c r="W48" s="2"/>
      <c r="X48" s="2"/>
      <c r="Y48" s="2"/>
      <c r="Z48" s="2" t="str">
        <f t="shared" si="0"/>
        <v/>
      </c>
      <c r="AA48" s="2" t="str">
        <f t="shared" si="1"/>
        <v/>
      </c>
      <c r="AB48" s="2" t="str">
        <f t="shared" si="2"/>
        <v/>
      </c>
      <c r="AC48" s="2" t="str">
        <f t="shared" si="3"/>
        <v>Walks with direction</v>
      </c>
      <c r="AD48" s="2"/>
      <c r="AE48" s="5"/>
      <c r="AF48" s="2"/>
      <c r="AG48" s="2"/>
      <c r="AH48" s="2"/>
      <c r="AI48" s="2"/>
    </row>
    <row r="49" spans="1:35">
      <c r="A49" s="2"/>
      <c r="B49" s="2"/>
      <c r="C49" s="2"/>
      <c r="D49" s="2"/>
      <c r="E49" s="5"/>
      <c r="F49" s="2"/>
      <c r="G49" s="5"/>
      <c r="H49" s="2"/>
      <c r="I49" s="2"/>
      <c r="J49" s="2"/>
      <c r="K49" s="2"/>
      <c r="L49" s="2"/>
      <c r="M49" s="2"/>
      <c r="N49" s="2"/>
      <c r="O49" s="2"/>
      <c r="P49" s="2"/>
      <c r="Q49" s="2"/>
      <c r="R49" s="2"/>
      <c r="S49" s="2"/>
      <c r="T49" s="2"/>
      <c r="U49" s="2"/>
      <c r="V49" s="2"/>
      <c r="W49" s="2"/>
      <c r="X49" s="2"/>
      <c r="Y49" s="2"/>
      <c r="Z49" s="2" t="str">
        <f t="shared" si="0"/>
        <v/>
      </c>
      <c r="AA49" s="2" t="str">
        <f t="shared" si="1"/>
        <v/>
      </c>
      <c r="AB49" s="2" t="str">
        <f t="shared" si="2"/>
        <v/>
      </c>
      <c r="AC49" s="2" t="str">
        <f t="shared" si="3"/>
        <v>Walks with direction</v>
      </c>
      <c r="AD49" s="2"/>
      <c r="AE49" s="5"/>
      <c r="AF49" s="2"/>
      <c r="AG49" s="2"/>
      <c r="AH49" s="2"/>
      <c r="AI49" s="2"/>
    </row>
    <row r="50" spans="1:35">
      <c r="A50" s="2"/>
      <c r="B50" s="2"/>
      <c r="C50" s="2"/>
      <c r="D50" s="2"/>
      <c r="E50" s="5"/>
      <c r="F50" s="2"/>
      <c r="G50" s="5"/>
      <c r="H50" s="2"/>
      <c r="I50" s="2"/>
      <c r="J50" s="2"/>
      <c r="K50" s="2"/>
      <c r="L50" s="2"/>
      <c r="M50" s="2"/>
      <c r="N50" s="2"/>
      <c r="O50" s="2"/>
      <c r="P50" s="2"/>
      <c r="Q50" s="2"/>
      <c r="R50" s="2"/>
      <c r="S50" s="2"/>
      <c r="T50" s="2"/>
      <c r="U50" s="2"/>
      <c r="V50" s="2"/>
      <c r="W50" s="2"/>
      <c r="X50" s="2"/>
      <c r="Y50" s="2"/>
      <c r="Z50" s="2" t="str">
        <f t="shared" ref="Z50:Z81" si="4">IF(COUNTA(H50:Y50)=0,"",IF(COUNTIF(H50:Y50,"Very High")&gt;0,"Very High",IF(COUNTIF(H50:Y50,"High")&gt;0,"High",IF(COUNTIF(H50:Y50,"Medium")&gt;0,"Medium","Low"))))</f>
        <v/>
      </c>
      <c r="AA50" s="2" t="str">
        <f t="shared" ref="AA50:AA81" si="5">IF(Z50="","",IF(Z50="Low","Routine planned support",IF(Z50="Medium","One staff support/supervision likely",IF(Z50="High","Two staff/review staffing and equipment","Manager review: multiple staff/specialist support"))))</f>
        <v/>
      </c>
      <c r="AB50" s="2" t="str">
        <f t="shared" ref="AB50:AB81" si="6">IF(Z50="","",IF(OR(Z50="High",Z50="Very High",W50="High",W50="Very High"),"Night staffing and evacuation review required","Routine night checks as per care plan"))</f>
        <v/>
      </c>
      <c r="AC50" s="2" t="str">
        <f t="shared" ref="AC50:AC81" si="7">IF(X50="Very High","Specialist PEEP / equipment",IF(OR(X50="High",Z50="High"),"Evacuation sheet/chair or wheelchair per PEEP",IF(OR(X50="Medium",Z50="Medium"),"Walking aid/wheelchair support per PEEP","Walks with direction")))</f>
        <v>Walks with direction</v>
      </c>
      <c r="AD50" s="2"/>
      <c r="AE50" s="5"/>
      <c r="AF50" s="2"/>
      <c r="AG50" s="2"/>
      <c r="AH50" s="2"/>
      <c r="AI50" s="2"/>
    </row>
    <row r="51" spans="1:35">
      <c r="A51" s="2"/>
      <c r="B51" s="2"/>
      <c r="C51" s="2"/>
      <c r="D51" s="2"/>
      <c r="E51" s="5"/>
      <c r="F51" s="2"/>
      <c r="G51" s="5"/>
      <c r="H51" s="2"/>
      <c r="I51" s="2"/>
      <c r="J51" s="2"/>
      <c r="K51" s="2"/>
      <c r="L51" s="2"/>
      <c r="M51" s="2"/>
      <c r="N51" s="2"/>
      <c r="O51" s="2"/>
      <c r="P51" s="2"/>
      <c r="Q51" s="2"/>
      <c r="R51" s="2"/>
      <c r="S51" s="2"/>
      <c r="T51" s="2"/>
      <c r="U51" s="2"/>
      <c r="V51" s="2"/>
      <c r="W51" s="2"/>
      <c r="X51" s="2"/>
      <c r="Y51" s="2"/>
      <c r="Z51" s="2" t="str">
        <f t="shared" si="4"/>
        <v/>
      </c>
      <c r="AA51" s="2" t="str">
        <f t="shared" si="5"/>
        <v/>
      </c>
      <c r="AB51" s="2" t="str">
        <f t="shared" si="6"/>
        <v/>
      </c>
      <c r="AC51" s="2" t="str">
        <f t="shared" si="7"/>
        <v>Walks with direction</v>
      </c>
      <c r="AD51" s="2"/>
      <c r="AE51" s="5"/>
      <c r="AF51" s="2"/>
      <c r="AG51" s="2"/>
      <c r="AH51" s="2"/>
      <c r="AI51" s="2"/>
    </row>
    <row r="52" spans="1:35">
      <c r="A52" s="2"/>
      <c r="B52" s="2"/>
      <c r="C52" s="2"/>
      <c r="D52" s="2"/>
      <c r="E52" s="5"/>
      <c r="F52" s="2"/>
      <c r="G52" s="5"/>
      <c r="H52" s="2"/>
      <c r="I52" s="2"/>
      <c r="J52" s="2"/>
      <c r="K52" s="2"/>
      <c r="L52" s="2"/>
      <c r="M52" s="2"/>
      <c r="N52" s="2"/>
      <c r="O52" s="2"/>
      <c r="P52" s="2"/>
      <c r="Q52" s="2"/>
      <c r="R52" s="2"/>
      <c r="S52" s="2"/>
      <c r="T52" s="2"/>
      <c r="U52" s="2"/>
      <c r="V52" s="2"/>
      <c r="W52" s="2"/>
      <c r="X52" s="2"/>
      <c r="Y52" s="2"/>
      <c r="Z52" s="2" t="str">
        <f t="shared" si="4"/>
        <v/>
      </c>
      <c r="AA52" s="2" t="str">
        <f t="shared" si="5"/>
        <v/>
      </c>
      <c r="AB52" s="2" t="str">
        <f t="shared" si="6"/>
        <v/>
      </c>
      <c r="AC52" s="2" t="str">
        <f t="shared" si="7"/>
        <v>Walks with direction</v>
      </c>
      <c r="AD52" s="2"/>
      <c r="AE52" s="5"/>
      <c r="AF52" s="2"/>
      <c r="AG52" s="2"/>
      <c r="AH52" s="2"/>
      <c r="AI52" s="2"/>
    </row>
    <row r="53" spans="1:35">
      <c r="A53" s="2"/>
      <c r="B53" s="2"/>
      <c r="C53" s="2"/>
      <c r="D53" s="2"/>
      <c r="E53" s="5"/>
      <c r="F53" s="2"/>
      <c r="G53" s="5"/>
      <c r="H53" s="2"/>
      <c r="I53" s="2"/>
      <c r="J53" s="2"/>
      <c r="K53" s="2"/>
      <c r="L53" s="2"/>
      <c r="M53" s="2"/>
      <c r="N53" s="2"/>
      <c r="O53" s="2"/>
      <c r="P53" s="2"/>
      <c r="Q53" s="2"/>
      <c r="R53" s="2"/>
      <c r="S53" s="2"/>
      <c r="T53" s="2"/>
      <c r="U53" s="2"/>
      <c r="V53" s="2"/>
      <c r="W53" s="2"/>
      <c r="X53" s="2"/>
      <c r="Y53" s="2"/>
      <c r="Z53" s="2" t="str">
        <f t="shared" si="4"/>
        <v/>
      </c>
      <c r="AA53" s="2" t="str">
        <f t="shared" si="5"/>
        <v/>
      </c>
      <c r="AB53" s="2" t="str">
        <f t="shared" si="6"/>
        <v/>
      </c>
      <c r="AC53" s="2" t="str">
        <f t="shared" si="7"/>
        <v>Walks with direction</v>
      </c>
      <c r="AD53" s="2"/>
      <c r="AE53" s="5"/>
      <c r="AF53" s="2"/>
      <c r="AG53" s="2"/>
      <c r="AH53" s="2"/>
      <c r="AI53" s="2"/>
    </row>
    <row r="54" spans="1:35">
      <c r="A54" s="2"/>
      <c r="B54" s="2"/>
      <c r="C54" s="2"/>
      <c r="D54" s="2"/>
      <c r="E54" s="5"/>
      <c r="F54" s="2"/>
      <c r="G54" s="5"/>
      <c r="H54" s="2"/>
      <c r="I54" s="2"/>
      <c r="J54" s="2"/>
      <c r="K54" s="2"/>
      <c r="L54" s="2"/>
      <c r="M54" s="2"/>
      <c r="N54" s="2"/>
      <c r="O54" s="2"/>
      <c r="P54" s="2"/>
      <c r="Q54" s="2"/>
      <c r="R54" s="2"/>
      <c r="S54" s="2"/>
      <c r="T54" s="2"/>
      <c r="U54" s="2"/>
      <c r="V54" s="2"/>
      <c r="W54" s="2"/>
      <c r="X54" s="2"/>
      <c r="Y54" s="2"/>
      <c r="Z54" s="2" t="str">
        <f t="shared" si="4"/>
        <v/>
      </c>
      <c r="AA54" s="2" t="str">
        <f t="shared" si="5"/>
        <v/>
      </c>
      <c r="AB54" s="2" t="str">
        <f t="shared" si="6"/>
        <v/>
      </c>
      <c r="AC54" s="2" t="str">
        <f t="shared" si="7"/>
        <v>Walks with direction</v>
      </c>
      <c r="AD54" s="2"/>
      <c r="AE54" s="5"/>
      <c r="AF54" s="2"/>
      <c r="AG54" s="2"/>
      <c r="AH54" s="2"/>
      <c r="AI54" s="2"/>
    </row>
    <row r="55" spans="1:35">
      <c r="A55" s="2"/>
      <c r="B55" s="2"/>
      <c r="C55" s="2"/>
      <c r="D55" s="2"/>
      <c r="E55" s="5"/>
      <c r="F55" s="2"/>
      <c r="G55" s="5"/>
      <c r="H55" s="2"/>
      <c r="I55" s="2"/>
      <c r="J55" s="2"/>
      <c r="K55" s="2"/>
      <c r="L55" s="2"/>
      <c r="M55" s="2"/>
      <c r="N55" s="2"/>
      <c r="O55" s="2"/>
      <c r="P55" s="2"/>
      <c r="Q55" s="2"/>
      <c r="R55" s="2"/>
      <c r="S55" s="2"/>
      <c r="T55" s="2"/>
      <c r="U55" s="2"/>
      <c r="V55" s="2"/>
      <c r="W55" s="2"/>
      <c r="X55" s="2"/>
      <c r="Y55" s="2"/>
      <c r="Z55" s="2" t="str">
        <f t="shared" si="4"/>
        <v/>
      </c>
      <c r="AA55" s="2" t="str">
        <f t="shared" si="5"/>
        <v/>
      </c>
      <c r="AB55" s="2" t="str">
        <f t="shared" si="6"/>
        <v/>
      </c>
      <c r="AC55" s="2" t="str">
        <f t="shared" si="7"/>
        <v>Walks with direction</v>
      </c>
      <c r="AD55" s="2"/>
      <c r="AE55" s="5"/>
      <c r="AF55" s="2"/>
      <c r="AG55" s="2"/>
      <c r="AH55" s="2"/>
      <c r="AI55" s="2"/>
    </row>
    <row r="56" spans="1:35">
      <c r="A56" s="2"/>
      <c r="B56" s="2"/>
      <c r="C56" s="2"/>
      <c r="D56" s="2"/>
      <c r="E56" s="5"/>
      <c r="F56" s="2"/>
      <c r="G56" s="5"/>
      <c r="H56" s="2"/>
      <c r="I56" s="2"/>
      <c r="J56" s="2"/>
      <c r="K56" s="2"/>
      <c r="L56" s="2"/>
      <c r="M56" s="2"/>
      <c r="N56" s="2"/>
      <c r="O56" s="2"/>
      <c r="P56" s="2"/>
      <c r="Q56" s="2"/>
      <c r="R56" s="2"/>
      <c r="S56" s="2"/>
      <c r="T56" s="2"/>
      <c r="U56" s="2"/>
      <c r="V56" s="2"/>
      <c r="W56" s="2"/>
      <c r="X56" s="2"/>
      <c r="Y56" s="2"/>
      <c r="Z56" s="2" t="str">
        <f t="shared" si="4"/>
        <v/>
      </c>
      <c r="AA56" s="2" t="str">
        <f t="shared" si="5"/>
        <v/>
      </c>
      <c r="AB56" s="2" t="str">
        <f t="shared" si="6"/>
        <v/>
      </c>
      <c r="AC56" s="2" t="str">
        <f t="shared" si="7"/>
        <v>Walks with direction</v>
      </c>
      <c r="AD56" s="2"/>
      <c r="AE56" s="5"/>
      <c r="AF56" s="2"/>
      <c r="AG56" s="2"/>
      <c r="AH56" s="2"/>
      <c r="AI56" s="2"/>
    </row>
    <row r="57" spans="1:35">
      <c r="A57" s="2"/>
      <c r="B57" s="2"/>
      <c r="C57" s="2"/>
      <c r="D57" s="2"/>
      <c r="E57" s="5"/>
      <c r="F57" s="2"/>
      <c r="G57" s="5"/>
      <c r="H57" s="2"/>
      <c r="I57" s="2"/>
      <c r="J57" s="2"/>
      <c r="K57" s="2"/>
      <c r="L57" s="2"/>
      <c r="M57" s="2"/>
      <c r="N57" s="2"/>
      <c r="O57" s="2"/>
      <c r="P57" s="2"/>
      <c r="Q57" s="2"/>
      <c r="R57" s="2"/>
      <c r="S57" s="2"/>
      <c r="T57" s="2"/>
      <c r="U57" s="2"/>
      <c r="V57" s="2"/>
      <c r="W57" s="2"/>
      <c r="X57" s="2"/>
      <c r="Y57" s="2"/>
      <c r="Z57" s="2" t="str">
        <f t="shared" si="4"/>
        <v/>
      </c>
      <c r="AA57" s="2" t="str">
        <f t="shared" si="5"/>
        <v/>
      </c>
      <c r="AB57" s="2" t="str">
        <f t="shared" si="6"/>
        <v/>
      </c>
      <c r="AC57" s="2" t="str">
        <f t="shared" si="7"/>
        <v>Walks with direction</v>
      </c>
      <c r="AD57" s="2"/>
      <c r="AE57" s="5"/>
      <c r="AF57" s="2"/>
      <c r="AG57" s="2"/>
      <c r="AH57" s="2"/>
      <c r="AI57" s="2"/>
    </row>
    <row r="58" spans="1:35">
      <c r="A58" s="2"/>
      <c r="B58" s="2"/>
      <c r="C58" s="2"/>
      <c r="D58" s="2"/>
      <c r="E58" s="5"/>
      <c r="F58" s="2"/>
      <c r="G58" s="5"/>
      <c r="H58" s="2"/>
      <c r="I58" s="2"/>
      <c r="J58" s="2"/>
      <c r="K58" s="2"/>
      <c r="L58" s="2"/>
      <c r="M58" s="2"/>
      <c r="N58" s="2"/>
      <c r="O58" s="2"/>
      <c r="P58" s="2"/>
      <c r="Q58" s="2"/>
      <c r="R58" s="2"/>
      <c r="S58" s="2"/>
      <c r="T58" s="2"/>
      <c r="U58" s="2"/>
      <c r="V58" s="2"/>
      <c r="W58" s="2"/>
      <c r="X58" s="2"/>
      <c r="Y58" s="2"/>
      <c r="Z58" s="2" t="str">
        <f t="shared" si="4"/>
        <v/>
      </c>
      <c r="AA58" s="2" t="str">
        <f t="shared" si="5"/>
        <v/>
      </c>
      <c r="AB58" s="2" t="str">
        <f t="shared" si="6"/>
        <v/>
      </c>
      <c r="AC58" s="2" t="str">
        <f t="shared" si="7"/>
        <v>Walks with direction</v>
      </c>
      <c r="AD58" s="2"/>
      <c r="AE58" s="5"/>
      <c r="AF58" s="2"/>
      <c r="AG58" s="2"/>
      <c r="AH58" s="2"/>
      <c r="AI58" s="2"/>
    </row>
    <row r="59" spans="1:35">
      <c r="A59" s="2"/>
      <c r="B59" s="2"/>
      <c r="C59" s="2"/>
      <c r="D59" s="2"/>
      <c r="E59" s="5"/>
      <c r="F59" s="2"/>
      <c r="G59" s="5"/>
      <c r="H59" s="2"/>
      <c r="I59" s="2"/>
      <c r="J59" s="2"/>
      <c r="K59" s="2"/>
      <c r="L59" s="2"/>
      <c r="M59" s="2"/>
      <c r="N59" s="2"/>
      <c r="O59" s="2"/>
      <c r="P59" s="2"/>
      <c r="Q59" s="2"/>
      <c r="R59" s="2"/>
      <c r="S59" s="2"/>
      <c r="T59" s="2"/>
      <c r="U59" s="2"/>
      <c r="V59" s="2"/>
      <c r="W59" s="2"/>
      <c r="X59" s="2"/>
      <c r="Y59" s="2"/>
      <c r="Z59" s="2" t="str">
        <f t="shared" si="4"/>
        <v/>
      </c>
      <c r="AA59" s="2" t="str">
        <f t="shared" si="5"/>
        <v/>
      </c>
      <c r="AB59" s="2" t="str">
        <f t="shared" si="6"/>
        <v/>
      </c>
      <c r="AC59" s="2" t="str">
        <f t="shared" si="7"/>
        <v>Walks with direction</v>
      </c>
      <c r="AD59" s="2"/>
      <c r="AE59" s="5"/>
      <c r="AF59" s="2"/>
      <c r="AG59" s="2"/>
      <c r="AH59" s="2"/>
      <c r="AI59" s="2"/>
    </row>
    <row r="60" spans="1:35">
      <c r="A60" s="2"/>
      <c r="B60" s="2"/>
      <c r="C60" s="2"/>
      <c r="D60" s="2"/>
      <c r="E60" s="5"/>
      <c r="F60" s="2"/>
      <c r="G60" s="5"/>
      <c r="H60" s="2"/>
      <c r="I60" s="2"/>
      <c r="J60" s="2"/>
      <c r="K60" s="2"/>
      <c r="L60" s="2"/>
      <c r="M60" s="2"/>
      <c r="N60" s="2"/>
      <c r="O60" s="2"/>
      <c r="P60" s="2"/>
      <c r="Q60" s="2"/>
      <c r="R60" s="2"/>
      <c r="S60" s="2"/>
      <c r="T60" s="2"/>
      <c r="U60" s="2"/>
      <c r="V60" s="2"/>
      <c r="W60" s="2"/>
      <c r="X60" s="2"/>
      <c r="Y60" s="2"/>
      <c r="Z60" s="2" t="str">
        <f t="shared" si="4"/>
        <v/>
      </c>
      <c r="AA60" s="2" t="str">
        <f t="shared" si="5"/>
        <v/>
      </c>
      <c r="AB60" s="2" t="str">
        <f t="shared" si="6"/>
        <v/>
      </c>
      <c r="AC60" s="2" t="str">
        <f t="shared" si="7"/>
        <v>Walks with direction</v>
      </c>
      <c r="AD60" s="2"/>
      <c r="AE60" s="5"/>
      <c r="AF60" s="2"/>
      <c r="AG60" s="2"/>
      <c r="AH60" s="2"/>
      <c r="AI60" s="2"/>
    </row>
    <row r="61" spans="1:35">
      <c r="A61" s="2"/>
      <c r="B61" s="2"/>
      <c r="C61" s="2"/>
      <c r="D61" s="2"/>
      <c r="E61" s="5"/>
      <c r="F61" s="2"/>
      <c r="G61" s="5"/>
      <c r="H61" s="2"/>
      <c r="I61" s="2"/>
      <c r="J61" s="2"/>
      <c r="K61" s="2"/>
      <c r="L61" s="2"/>
      <c r="M61" s="2"/>
      <c r="N61" s="2"/>
      <c r="O61" s="2"/>
      <c r="P61" s="2"/>
      <c r="Q61" s="2"/>
      <c r="R61" s="2"/>
      <c r="S61" s="2"/>
      <c r="T61" s="2"/>
      <c r="U61" s="2"/>
      <c r="V61" s="2"/>
      <c r="W61" s="2"/>
      <c r="X61" s="2"/>
      <c r="Y61" s="2"/>
      <c r="Z61" s="2" t="str">
        <f t="shared" si="4"/>
        <v/>
      </c>
      <c r="AA61" s="2" t="str">
        <f t="shared" si="5"/>
        <v/>
      </c>
      <c r="AB61" s="2" t="str">
        <f t="shared" si="6"/>
        <v/>
      </c>
      <c r="AC61" s="2" t="str">
        <f t="shared" si="7"/>
        <v>Walks with direction</v>
      </c>
      <c r="AD61" s="2"/>
      <c r="AE61" s="5"/>
      <c r="AF61" s="2"/>
      <c r="AG61" s="2"/>
      <c r="AH61" s="2"/>
      <c r="AI61" s="2"/>
    </row>
    <row r="62" spans="1:35">
      <c r="A62" s="2"/>
      <c r="B62" s="2"/>
      <c r="C62" s="2"/>
      <c r="D62" s="2"/>
      <c r="E62" s="5"/>
      <c r="F62" s="2"/>
      <c r="G62" s="5"/>
      <c r="H62" s="2"/>
      <c r="I62" s="2"/>
      <c r="J62" s="2"/>
      <c r="K62" s="2"/>
      <c r="L62" s="2"/>
      <c r="M62" s="2"/>
      <c r="N62" s="2"/>
      <c r="O62" s="2"/>
      <c r="P62" s="2"/>
      <c r="Q62" s="2"/>
      <c r="R62" s="2"/>
      <c r="S62" s="2"/>
      <c r="T62" s="2"/>
      <c r="U62" s="2"/>
      <c r="V62" s="2"/>
      <c r="W62" s="2"/>
      <c r="X62" s="2"/>
      <c r="Y62" s="2"/>
      <c r="Z62" s="2" t="str">
        <f t="shared" si="4"/>
        <v/>
      </c>
      <c r="AA62" s="2" t="str">
        <f t="shared" si="5"/>
        <v/>
      </c>
      <c r="AB62" s="2" t="str">
        <f t="shared" si="6"/>
        <v/>
      </c>
      <c r="AC62" s="2" t="str">
        <f t="shared" si="7"/>
        <v>Walks with direction</v>
      </c>
      <c r="AD62" s="2"/>
      <c r="AE62" s="5"/>
      <c r="AF62" s="2"/>
      <c r="AG62" s="2"/>
      <c r="AH62" s="2"/>
      <c r="AI62" s="2"/>
    </row>
    <row r="63" spans="1:35">
      <c r="A63" s="2"/>
      <c r="B63" s="2"/>
      <c r="C63" s="2"/>
      <c r="D63" s="2"/>
      <c r="E63" s="5"/>
      <c r="F63" s="2"/>
      <c r="G63" s="5"/>
      <c r="H63" s="2"/>
      <c r="I63" s="2"/>
      <c r="J63" s="2"/>
      <c r="K63" s="2"/>
      <c r="L63" s="2"/>
      <c r="M63" s="2"/>
      <c r="N63" s="2"/>
      <c r="O63" s="2"/>
      <c r="P63" s="2"/>
      <c r="Q63" s="2"/>
      <c r="R63" s="2"/>
      <c r="S63" s="2"/>
      <c r="T63" s="2"/>
      <c r="U63" s="2"/>
      <c r="V63" s="2"/>
      <c r="W63" s="2"/>
      <c r="X63" s="2"/>
      <c r="Y63" s="2"/>
      <c r="Z63" s="2" t="str">
        <f t="shared" si="4"/>
        <v/>
      </c>
      <c r="AA63" s="2" t="str">
        <f t="shared" si="5"/>
        <v/>
      </c>
      <c r="AB63" s="2" t="str">
        <f t="shared" si="6"/>
        <v/>
      </c>
      <c r="AC63" s="2" t="str">
        <f t="shared" si="7"/>
        <v>Walks with direction</v>
      </c>
      <c r="AD63" s="2"/>
      <c r="AE63" s="5"/>
      <c r="AF63" s="2"/>
      <c r="AG63" s="2"/>
      <c r="AH63" s="2"/>
      <c r="AI63" s="2"/>
    </row>
    <row r="64" spans="1:35">
      <c r="A64" s="2"/>
      <c r="B64" s="2"/>
      <c r="C64" s="2"/>
      <c r="D64" s="2"/>
      <c r="E64" s="5"/>
      <c r="F64" s="2"/>
      <c r="G64" s="5"/>
      <c r="H64" s="2"/>
      <c r="I64" s="2"/>
      <c r="J64" s="2"/>
      <c r="K64" s="2"/>
      <c r="L64" s="2"/>
      <c r="M64" s="2"/>
      <c r="N64" s="2"/>
      <c r="O64" s="2"/>
      <c r="P64" s="2"/>
      <c r="Q64" s="2"/>
      <c r="R64" s="2"/>
      <c r="S64" s="2"/>
      <c r="T64" s="2"/>
      <c r="U64" s="2"/>
      <c r="V64" s="2"/>
      <c r="W64" s="2"/>
      <c r="X64" s="2"/>
      <c r="Y64" s="2"/>
      <c r="Z64" s="2" t="str">
        <f t="shared" si="4"/>
        <v/>
      </c>
      <c r="AA64" s="2" t="str">
        <f t="shared" si="5"/>
        <v/>
      </c>
      <c r="AB64" s="2" t="str">
        <f t="shared" si="6"/>
        <v/>
      </c>
      <c r="AC64" s="2" t="str">
        <f t="shared" si="7"/>
        <v>Walks with direction</v>
      </c>
      <c r="AD64" s="2"/>
      <c r="AE64" s="5"/>
      <c r="AF64" s="2"/>
      <c r="AG64" s="2"/>
      <c r="AH64" s="2"/>
      <c r="AI64" s="2"/>
    </row>
    <row r="65" spans="1:35">
      <c r="A65" s="2"/>
      <c r="B65" s="2"/>
      <c r="C65" s="2"/>
      <c r="D65" s="2"/>
      <c r="E65" s="5"/>
      <c r="F65" s="2"/>
      <c r="G65" s="5"/>
      <c r="H65" s="2"/>
      <c r="I65" s="2"/>
      <c r="J65" s="2"/>
      <c r="K65" s="2"/>
      <c r="L65" s="2"/>
      <c r="M65" s="2"/>
      <c r="N65" s="2"/>
      <c r="O65" s="2"/>
      <c r="P65" s="2"/>
      <c r="Q65" s="2"/>
      <c r="R65" s="2"/>
      <c r="S65" s="2"/>
      <c r="T65" s="2"/>
      <c r="U65" s="2"/>
      <c r="V65" s="2"/>
      <c r="W65" s="2"/>
      <c r="X65" s="2"/>
      <c r="Y65" s="2"/>
      <c r="Z65" s="2" t="str">
        <f t="shared" si="4"/>
        <v/>
      </c>
      <c r="AA65" s="2" t="str">
        <f t="shared" si="5"/>
        <v/>
      </c>
      <c r="AB65" s="2" t="str">
        <f t="shared" si="6"/>
        <v/>
      </c>
      <c r="AC65" s="2" t="str">
        <f t="shared" si="7"/>
        <v>Walks with direction</v>
      </c>
      <c r="AD65" s="2"/>
      <c r="AE65" s="5"/>
      <c r="AF65" s="2"/>
      <c r="AG65" s="2"/>
      <c r="AH65" s="2"/>
      <c r="AI65" s="2"/>
    </row>
    <row r="66" spans="1:35">
      <c r="A66" s="2"/>
      <c r="B66" s="2"/>
      <c r="C66" s="2"/>
      <c r="D66" s="2"/>
      <c r="E66" s="5"/>
      <c r="F66" s="2"/>
      <c r="G66" s="5"/>
      <c r="H66" s="2"/>
      <c r="I66" s="2"/>
      <c r="J66" s="2"/>
      <c r="K66" s="2"/>
      <c r="L66" s="2"/>
      <c r="M66" s="2"/>
      <c r="N66" s="2"/>
      <c r="O66" s="2"/>
      <c r="P66" s="2"/>
      <c r="Q66" s="2"/>
      <c r="R66" s="2"/>
      <c r="S66" s="2"/>
      <c r="T66" s="2"/>
      <c r="U66" s="2"/>
      <c r="V66" s="2"/>
      <c r="W66" s="2"/>
      <c r="X66" s="2"/>
      <c r="Y66" s="2"/>
      <c r="Z66" s="2" t="str">
        <f t="shared" si="4"/>
        <v/>
      </c>
      <c r="AA66" s="2" t="str">
        <f t="shared" si="5"/>
        <v/>
      </c>
      <c r="AB66" s="2" t="str">
        <f t="shared" si="6"/>
        <v/>
      </c>
      <c r="AC66" s="2" t="str">
        <f t="shared" si="7"/>
        <v>Walks with direction</v>
      </c>
      <c r="AD66" s="2"/>
      <c r="AE66" s="5"/>
      <c r="AF66" s="2"/>
      <c r="AG66" s="2"/>
      <c r="AH66" s="2"/>
      <c r="AI66" s="2"/>
    </row>
    <row r="67" spans="1:35">
      <c r="A67" s="2"/>
      <c r="B67" s="2"/>
      <c r="C67" s="2"/>
      <c r="D67" s="2"/>
      <c r="E67" s="5"/>
      <c r="F67" s="2"/>
      <c r="G67" s="5"/>
      <c r="H67" s="2"/>
      <c r="I67" s="2"/>
      <c r="J67" s="2"/>
      <c r="K67" s="2"/>
      <c r="L67" s="2"/>
      <c r="M67" s="2"/>
      <c r="N67" s="2"/>
      <c r="O67" s="2"/>
      <c r="P67" s="2"/>
      <c r="Q67" s="2"/>
      <c r="R67" s="2"/>
      <c r="S67" s="2"/>
      <c r="T67" s="2"/>
      <c r="U67" s="2"/>
      <c r="V67" s="2"/>
      <c r="W67" s="2"/>
      <c r="X67" s="2"/>
      <c r="Y67" s="2"/>
      <c r="Z67" s="2" t="str">
        <f t="shared" si="4"/>
        <v/>
      </c>
      <c r="AA67" s="2" t="str">
        <f t="shared" si="5"/>
        <v/>
      </c>
      <c r="AB67" s="2" t="str">
        <f t="shared" si="6"/>
        <v/>
      </c>
      <c r="AC67" s="2" t="str">
        <f t="shared" si="7"/>
        <v>Walks with direction</v>
      </c>
      <c r="AD67" s="2"/>
      <c r="AE67" s="5"/>
      <c r="AF67" s="2"/>
      <c r="AG67" s="2"/>
      <c r="AH67" s="2"/>
      <c r="AI67" s="2"/>
    </row>
    <row r="68" spans="1:35">
      <c r="A68" s="2"/>
      <c r="B68" s="2"/>
      <c r="C68" s="2"/>
      <c r="D68" s="2"/>
      <c r="E68" s="5"/>
      <c r="F68" s="2"/>
      <c r="G68" s="5"/>
      <c r="H68" s="2"/>
      <c r="I68" s="2"/>
      <c r="J68" s="2"/>
      <c r="K68" s="2"/>
      <c r="L68" s="2"/>
      <c r="M68" s="2"/>
      <c r="N68" s="2"/>
      <c r="O68" s="2"/>
      <c r="P68" s="2"/>
      <c r="Q68" s="2"/>
      <c r="R68" s="2"/>
      <c r="S68" s="2"/>
      <c r="T68" s="2"/>
      <c r="U68" s="2"/>
      <c r="V68" s="2"/>
      <c r="W68" s="2"/>
      <c r="X68" s="2"/>
      <c r="Y68" s="2"/>
      <c r="Z68" s="2" t="str">
        <f t="shared" si="4"/>
        <v/>
      </c>
      <c r="AA68" s="2" t="str">
        <f t="shared" si="5"/>
        <v/>
      </c>
      <c r="AB68" s="2" t="str">
        <f t="shared" si="6"/>
        <v/>
      </c>
      <c r="AC68" s="2" t="str">
        <f t="shared" si="7"/>
        <v>Walks with direction</v>
      </c>
      <c r="AD68" s="2"/>
      <c r="AE68" s="5"/>
      <c r="AF68" s="2"/>
      <c r="AG68" s="2"/>
      <c r="AH68" s="2"/>
      <c r="AI68" s="2"/>
    </row>
    <row r="69" spans="1:35">
      <c r="A69" s="2"/>
      <c r="B69" s="2"/>
      <c r="C69" s="2"/>
      <c r="D69" s="2"/>
      <c r="E69" s="5"/>
      <c r="F69" s="2"/>
      <c r="G69" s="5"/>
      <c r="H69" s="2"/>
      <c r="I69" s="2"/>
      <c r="J69" s="2"/>
      <c r="K69" s="2"/>
      <c r="L69" s="2"/>
      <c r="M69" s="2"/>
      <c r="N69" s="2"/>
      <c r="O69" s="2"/>
      <c r="P69" s="2"/>
      <c r="Q69" s="2"/>
      <c r="R69" s="2"/>
      <c r="S69" s="2"/>
      <c r="T69" s="2"/>
      <c r="U69" s="2"/>
      <c r="V69" s="2"/>
      <c r="W69" s="2"/>
      <c r="X69" s="2"/>
      <c r="Y69" s="2"/>
      <c r="Z69" s="2" t="str">
        <f t="shared" si="4"/>
        <v/>
      </c>
      <c r="AA69" s="2" t="str">
        <f t="shared" si="5"/>
        <v/>
      </c>
      <c r="AB69" s="2" t="str">
        <f t="shared" si="6"/>
        <v/>
      </c>
      <c r="AC69" s="2" t="str">
        <f t="shared" si="7"/>
        <v>Walks with direction</v>
      </c>
      <c r="AD69" s="2"/>
      <c r="AE69" s="5"/>
      <c r="AF69" s="2"/>
      <c r="AG69" s="2"/>
      <c r="AH69" s="2"/>
      <c r="AI69" s="2"/>
    </row>
    <row r="70" spans="1:35">
      <c r="A70" s="2"/>
      <c r="B70" s="2"/>
      <c r="C70" s="2"/>
      <c r="D70" s="2"/>
      <c r="E70" s="5"/>
      <c r="F70" s="2"/>
      <c r="G70" s="5"/>
      <c r="H70" s="2"/>
      <c r="I70" s="2"/>
      <c r="J70" s="2"/>
      <c r="K70" s="2"/>
      <c r="L70" s="2"/>
      <c r="M70" s="2"/>
      <c r="N70" s="2"/>
      <c r="O70" s="2"/>
      <c r="P70" s="2"/>
      <c r="Q70" s="2"/>
      <c r="R70" s="2"/>
      <c r="S70" s="2"/>
      <c r="T70" s="2"/>
      <c r="U70" s="2"/>
      <c r="V70" s="2"/>
      <c r="W70" s="2"/>
      <c r="X70" s="2"/>
      <c r="Y70" s="2"/>
      <c r="Z70" s="2" t="str">
        <f t="shared" si="4"/>
        <v/>
      </c>
      <c r="AA70" s="2" t="str">
        <f t="shared" si="5"/>
        <v/>
      </c>
      <c r="AB70" s="2" t="str">
        <f t="shared" si="6"/>
        <v/>
      </c>
      <c r="AC70" s="2" t="str">
        <f t="shared" si="7"/>
        <v>Walks with direction</v>
      </c>
      <c r="AD70" s="2"/>
      <c r="AE70" s="5"/>
      <c r="AF70" s="2"/>
      <c r="AG70" s="2"/>
      <c r="AH70" s="2"/>
      <c r="AI70" s="2"/>
    </row>
    <row r="71" spans="1:35">
      <c r="A71" s="2"/>
      <c r="B71" s="2"/>
      <c r="C71" s="2"/>
      <c r="D71" s="2"/>
      <c r="E71" s="5"/>
      <c r="F71" s="2"/>
      <c r="G71" s="5"/>
      <c r="H71" s="2"/>
      <c r="I71" s="2"/>
      <c r="J71" s="2"/>
      <c r="K71" s="2"/>
      <c r="L71" s="2"/>
      <c r="M71" s="2"/>
      <c r="N71" s="2"/>
      <c r="O71" s="2"/>
      <c r="P71" s="2"/>
      <c r="Q71" s="2"/>
      <c r="R71" s="2"/>
      <c r="S71" s="2"/>
      <c r="T71" s="2"/>
      <c r="U71" s="2"/>
      <c r="V71" s="2"/>
      <c r="W71" s="2"/>
      <c r="X71" s="2"/>
      <c r="Y71" s="2"/>
      <c r="Z71" s="2" t="str">
        <f t="shared" si="4"/>
        <v/>
      </c>
      <c r="AA71" s="2" t="str">
        <f t="shared" si="5"/>
        <v/>
      </c>
      <c r="AB71" s="2" t="str">
        <f t="shared" si="6"/>
        <v/>
      </c>
      <c r="AC71" s="2" t="str">
        <f t="shared" si="7"/>
        <v>Walks with direction</v>
      </c>
      <c r="AD71" s="2"/>
      <c r="AE71" s="5"/>
      <c r="AF71" s="2"/>
      <c r="AG71" s="2"/>
      <c r="AH71" s="2"/>
      <c r="AI71" s="2"/>
    </row>
    <row r="72" spans="1:35">
      <c r="A72" s="2"/>
      <c r="B72" s="2"/>
      <c r="C72" s="2"/>
      <c r="D72" s="2"/>
      <c r="E72" s="5"/>
      <c r="F72" s="2"/>
      <c r="G72" s="5"/>
      <c r="H72" s="2"/>
      <c r="I72" s="2"/>
      <c r="J72" s="2"/>
      <c r="K72" s="2"/>
      <c r="L72" s="2"/>
      <c r="M72" s="2"/>
      <c r="N72" s="2"/>
      <c r="O72" s="2"/>
      <c r="P72" s="2"/>
      <c r="Q72" s="2"/>
      <c r="R72" s="2"/>
      <c r="S72" s="2"/>
      <c r="T72" s="2"/>
      <c r="U72" s="2"/>
      <c r="V72" s="2"/>
      <c r="W72" s="2"/>
      <c r="X72" s="2"/>
      <c r="Y72" s="2"/>
      <c r="Z72" s="2" t="str">
        <f t="shared" si="4"/>
        <v/>
      </c>
      <c r="AA72" s="2" t="str">
        <f t="shared" si="5"/>
        <v/>
      </c>
      <c r="AB72" s="2" t="str">
        <f t="shared" si="6"/>
        <v/>
      </c>
      <c r="AC72" s="2" t="str">
        <f t="shared" si="7"/>
        <v>Walks with direction</v>
      </c>
      <c r="AD72" s="2"/>
      <c r="AE72" s="5"/>
      <c r="AF72" s="2"/>
      <c r="AG72" s="2"/>
      <c r="AH72" s="2"/>
      <c r="AI72" s="2"/>
    </row>
    <row r="73" spans="1:35">
      <c r="A73" s="2"/>
      <c r="B73" s="2"/>
      <c r="C73" s="2"/>
      <c r="D73" s="2"/>
      <c r="E73" s="5"/>
      <c r="F73" s="2"/>
      <c r="G73" s="5"/>
      <c r="H73" s="2"/>
      <c r="I73" s="2"/>
      <c r="J73" s="2"/>
      <c r="K73" s="2"/>
      <c r="L73" s="2"/>
      <c r="M73" s="2"/>
      <c r="N73" s="2"/>
      <c r="O73" s="2"/>
      <c r="P73" s="2"/>
      <c r="Q73" s="2"/>
      <c r="R73" s="2"/>
      <c r="S73" s="2"/>
      <c r="T73" s="2"/>
      <c r="U73" s="2"/>
      <c r="V73" s="2"/>
      <c r="W73" s="2"/>
      <c r="X73" s="2"/>
      <c r="Y73" s="2"/>
      <c r="Z73" s="2" t="str">
        <f t="shared" si="4"/>
        <v/>
      </c>
      <c r="AA73" s="2" t="str">
        <f t="shared" si="5"/>
        <v/>
      </c>
      <c r="AB73" s="2" t="str">
        <f t="shared" si="6"/>
        <v/>
      </c>
      <c r="AC73" s="2" t="str">
        <f t="shared" si="7"/>
        <v>Walks with direction</v>
      </c>
      <c r="AD73" s="2"/>
      <c r="AE73" s="5"/>
      <c r="AF73" s="2"/>
      <c r="AG73" s="2"/>
      <c r="AH73" s="2"/>
      <c r="AI73" s="2"/>
    </row>
    <row r="74" spans="1:35">
      <c r="A74" s="2"/>
      <c r="B74" s="2"/>
      <c r="C74" s="2"/>
      <c r="D74" s="2"/>
      <c r="E74" s="5"/>
      <c r="F74" s="2"/>
      <c r="G74" s="5"/>
      <c r="H74" s="2"/>
      <c r="I74" s="2"/>
      <c r="J74" s="2"/>
      <c r="K74" s="2"/>
      <c r="L74" s="2"/>
      <c r="M74" s="2"/>
      <c r="N74" s="2"/>
      <c r="O74" s="2"/>
      <c r="P74" s="2"/>
      <c r="Q74" s="2"/>
      <c r="R74" s="2"/>
      <c r="S74" s="2"/>
      <c r="T74" s="2"/>
      <c r="U74" s="2"/>
      <c r="V74" s="2"/>
      <c r="W74" s="2"/>
      <c r="X74" s="2"/>
      <c r="Y74" s="2"/>
      <c r="Z74" s="2" t="str">
        <f t="shared" si="4"/>
        <v/>
      </c>
      <c r="AA74" s="2" t="str">
        <f t="shared" si="5"/>
        <v/>
      </c>
      <c r="AB74" s="2" t="str">
        <f t="shared" si="6"/>
        <v/>
      </c>
      <c r="AC74" s="2" t="str">
        <f t="shared" si="7"/>
        <v>Walks with direction</v>
      </c>
      <c r="AD74" s="2"/>
      <c r="AE74" s="5"/>
      <c r="AF74" s="2"/>
      <c r="AG74" s="2"/>
      <c r="AH74" s="2"/>
      <c r="AI74" s="2"/>
    </row>
    <row r="75" spans="1:35">
      <c r="A75" s="2"/>
      <c r="B75" s="2"/>
      <c r="C75" s="2"/>
      <c r="D75" s="2"/>
      <c r="E75" s="5"/>
      <c r="F75" s="2"/>
      <c r="G75" s="5"/>
      <c r="H75" s="2"/>
      <c r="I75" s="2"/>
      <c r="J75" s="2"/>
      <c r="K75" s="2"/>
      <c r="L75" s="2"/>
      <c r="M75" s="2"/>
      <c r="N75" s="2"/>
      <c r="O75" s="2"/>
      <c r="P75" s="2"/>
      <c r="Q75" s="2"/>
      <c r="R75" s="2"/>
      <c r="S75" s="2"/>
      <c r="T75" s="2"/>
      <c r="U75" s="2"/>
      <c r="V75" s="2"/>
      <c r="W75" s="2"/>
      <c r="X75" s="2"/>
      <c r="Y75" s="2"/>
      <c r="Z75" s="2" t="str">
        <f t="shared" si="4"/>
        <v/>
      </c>
      <c r="AA75" s="2" t="str">
        <f t="shared" si="5"/>
        <v/>
      </c>
      <c r="AB75" s="2" t="str">
        <f t="shared" si="6"/>
        <v/>
      </c>
      <c r="AC75" s="2" t="str">
        <f t="shared" si="7"/>
        <v>Walks with direction</v>
      </c>
      <c r="AD75" s="2"/>
      <c r="AE75" s="5"/>
      <c r="AF75" s="2"/>
      <c r="AG75" s="2"/>
      <c r="AH75" s="2"/>
      <c r="AI75" s="2"/>
    </row>
    <row r="76" spans="1:35">
      <c r="A76" s="2"/>
      <c r="B76" s="2"/>
      <c r="C76" s="2"/>
      <c r="D76" s="2"/>
      <c r="E76" s="5"/>
      <c r="F76" s="2"/>
      <c r="G76" s="5"/>
      <c r="H76" s="2"/>
      <c r="I76" s="2"/>
      <c r="J76" s="2"/>
      <c r="K76" s="2"/>
      <c r="L76" s="2"/>
      <c r="M76" s="2"/>
      <c r="N76" s="2"/>
      <c r="O76" s="2"/>
      <c r="P76" s="2"/>
      <c r="Q76" s="2"/>
      <c r="R76" s="2"/>
      <c r="S76" s="2"/>
      <c r="T76" s="2"/>
      <c r="U76" s="2"/>
      <c r="V76" s="2"/>
      <c r="W76" s="2"/>
      <c r="X76" s="2"/>
      <c r="Y76" s="2"/>
      <c r="Z76" s="2" t="str">
        <f t="shared" si="4"/>
        <v/>
      </c>
      <c r="AA76" s="2" t="str">
        <f t="shared" si="5"/>
        <v/>
      </c>
      <c r="AB76" s="2" t="str">
        <f t="shared" si="6"/>
        <v/>
      </c>
      <c r="AC76" s="2" t="str">
        <f t="shared" si="7"/>
        <v>Walks with direction</v>
      </c>
      <c r="AD76" s="2"/>
      <c r="AE76" s="5"/>
      <c r="AF76" s="2"/>
      <c r="AG76" s="2"/>
      <c r="AH76" s="2"/>
      <c r="AI76" s="2"/>
    </row>
    <row r="77" spans="1:35">
      <c r="A77" s="2"/>
      <c r="B77" s="2"/>
      <c r="C77" s="2"/>
      <c r="D77" s="2"/>
      <c r="E77" s="5"/>
      <c r="F77" s="2"/>
      <c r="G77" s="5"/>
      <c r="H77" s="2"/>
      <c r="I77" s="2"/>
      <c r="J77" s="2"/>
      <c r="K77" s="2"/>
      <c r="L77" s="2"/>
      <c r="M77" s="2"/>
      <c r="N77" s="2"/>
      <c r="O77" s="2"/>
      <c r="P77" s="2"/>
      <c r="Q77" s="2"/>
      <c r="R77" s="2"/>
      <c r="S77" s="2"/>
      <c r="T77" s="2"/>
      <c r="U77" s="2"/>
      <c r="V77" s="2"/>
      <c r="W77" s="2"/>
      <c r="X77" s="2"/>
      <c r="Y77" s="2"/>
      <c r="Z77" s="2" t="str">
        <f t="shared" si="4"/>
        <v/>
      </c>
      <c r="AA77" s="2" t="str">
        <f t="shared" si="5"/>
        <v/>
      </c>
      <c r="AB77" s="2" t="str">
        <f t="shared" si="6"/>
        <v/>
      </c>
      <c r="AC77" s="2" t="str">
        <f t="shared" si="7"/>
        <v>Walks with direction</v>
      </c>
      <c r="AD77" s="2"/>
      <c r="AE77" s="5"/>
      <c r="AF77" s="2"/>
      <c r="AG77" s="2"/>
      <c r="AH77" s="2"/>
      <c r="AI77" s="2"/>
    </row>
    <row r="78" spans="1:35">
      <c r="A78" s="2"/>
      <c r="B78" s="2"/>
      <c r="C78" s="2"/>
      <c r="D78" s="2"/>
      <c r="E78" s="5"/>
      <c r="F78" s="2"/>
      <c r="G78" s="5"/>
      <c r="H78" s="2"/>
      <c r="I78" s="2"/>
      <c r="J78" s="2"/>
      <c r="K78" s="2"/>
      <c r="L78" s="2"/>
      <c r="M78" s="2"/>
      <c r="N78" s="2"/>
      <c r="O78" s="2"/>
      <c r="P78" s="2"/>
      <c r="Q78" s="2"/>
      <c r="R78" s="2"/>
      <c r="S78" s="2"/>
      <c r="T78" s="2"/>
      <c r="U78" s="2"/>
      <c r="V78" s="2"/>
      <c r="W78" s="2"/>
      <c r="X78" s="2"/>
      <c r="Y78" s="2"/>
      <c r="Z78" s="2" t="str">
        <f t="shared" si="4"/>
        <v/>
      </c>
      <c r="AA78" s="2" t="str">
        <f t="shared" si="5"/>
        <v/>
      </c>
      <c r="AB78" s="2" t="str">
        <f t="shared" si="6"/>
        <v/>
      </c>
      <c r="AC78" s="2" t="str">
        <f t="shared" si="7"/>
        <v>Walks with direction</v>
      </c>
      <c r="AD78" s="2"/>
      <c r="AE78" s="5"/>
      <c r="AF78" s="2"/>
      <c r="AG78" s="2"/>
      <c r="AH78" s="2"/>
      <c r="AI78" s="2"/>
    </row>
    <row r="79" spans="1:35">
      <c r="A79" s="2"/>
      <c r="B79" s="2"/>
      <c r="C79" s="2"/>
      <c r="D79" s="2"/>
      <c r="E79" s="5"/>
      <c r="F79" s="2"/>
      <c r="G79" s="5"/>
      <c r="H79" s="2"/>
      <c r="I79" s="2"/>
      <c r="J79" s="2"/>
      <c r="K79" s="2"/>
      <c r="L79" s="2"/>
      <c r="M79" s="2"/>
      <c r="N79" s="2"/>
      <c r="O79" s="2"/>
      <c r="P79" s="2"/>
      <c r="Q79" s="2"/>
      <c r="R79" s="2"/>
      <c r="S79" s="2"/>
      <c r="T79" s="2"/>
      <c r="U79" s="2"/>
      <c r="V79" s="2"/>
      <c r="W79" s="2"/>
      <c r="X79" s="2"/>
      <c r="Y79" s="2"/>
      <c r="Z79" s="2" t="str">
        <f t="shared" si="4"/>
        <v/>
      </c>
      <c r="AA79" s="2" t="str">
        <f t="shared" si="5"/>
        <v/>
      </c>
      <c r="AB79" s="2" t="str">
        <f t="shared" si="6"/>
        <v/>
      </c>
      <c r="AC79" s="2" t="str">
        <f t="shared" si="7"/>
        <v>Walks with direction</v>
      </c>
      <c r="AD79" s="2"/>
      <c r="AE79" s="5"/>
      <c r="AF79" s="2"/>
      <c r="AG79" s="2"/>
      <c r="AH79" s="2"/>
      <c r="AI79" s="2"/>
    </row>
    <row r="80" spans="1:35">
      <c r="A80" s="2"/>
      <c r="B80" s="2"/>
      <c r="C80" s="2"/>
      <c r="D80" s="2"/>
      <c r="E80" s="5"/>
      <c r="F80" s="2"/>
      <c r="G80" s="5"/>
      <c r="H80" s="2"/>
      <c r="I80" s="2"/>
      <c r="J80" s="2"/>
      <c r="K80" s="2"/>
      <c r="L80" s="2"/>
      <c r="M80" s="2"/>
      <c r="N80" s="2"/>
      <c r="O80" s="2"/>
      <c r="P80" s="2"/>
      <c r="Q80" s="2"/>
      <c r="R80" s="2"/>
      <c r="S80" s="2"/>
      <c r="T80" s="2"/>
      <c r="U80" s="2"/>
      <c r="V80" s="2"/>
      <c r="W80" s="2"/>
      <c r="X80" s="2"/>
      <c r="Y80" s="2"/>
      <c r="Z80" s="2" t="str">
        <f t="shared" si="4"/>
        <v/>
      </c>
      <c r="AA80" s="2" t="str">
        <f t="shared" si="5"/>
        <v/>
      </c>
      <c r="AB80" s="2" t="str">
        <f t="shared" si="6"/>
        <v/>
      </c>
      <c r="AC80" s="2" t="str">
        <f t="shared" si="7"/>
        <v>Walks with direction</v>
      </c>
      <c r="AD80" s="2"/>
      <c r="AE80" s="5"/>
      <c r="AF80" s="2"/>
      <c r="AG80" s="2"/>
      <c r="AH80" s="2"/>
      <c r="AI80" s="2"/>
    </row>
    <row r="81" spans="1:35">
      <c r="A81" s="2"/>
      <c r="B81" s="2"/>
      <c r="C81" s="2"/>
      <c r="D81" s="2"/>
      <c r="E81" s="5"/>
      <c r="F81" s="2"/>
      <c r="G81" s="5"/>
      <c r="H81" s="2"/>
      <c r="I81" s="2"/>
      <c r="J81" s="2"/>
      <c r="K81" s="2"/>
      <c r="L81" s="2"/>
      <c r="M81" s="2"/>
      <c r="N81" s="2"/>
      <c r="O81" s="2"/>
      <c r="P81" s="2"/>
      <c r="Q81" s="2"/>
      <c r="R81" s="2"/>
      <c r="S81" s="2"/>
      <c r="T81" s="2"/>
      <c r="U81" s="2"/>
      <c r="V81" s="2"/>
      <c r="W81" s="2"/>
      <c r="X81" s="2"/>
      <c r="Y81" s="2"/>
      <c r="Z81" s="2" t="str">
        <f t="shared" si="4"/>
        <v/>
      </c>
      <c r="AA81" s="2" t="str">
        <f t="shared" si="5"/>
        <v/>
      </c>
      <c r="AB81" s="2" t="str">
        <f t="shared" si="6"/>
        <v/>
      </c>
      <c r="AC81" s="2" t="str">
        <f t="shared" si="7"/>
        <v>Walks with direction</v>
      </c>
      <c r="AD81" s="2"/>
      <c r="AE81" s="5"/>
      <c r="AF81" s="2"/>
      <c r="AG81" s="2"/>
      <c r="AH81" s="2"/>
      <c r="AI81" s="2"/>
    </row>
    <row r="82" spans="1:35">
      <c r="A82" s="2"/>
      <c r="B82" s="2"/>
      <c r="C82" s="2"/>
      <c r="D82" s="2"/>
      <c r="E82" s="5"/>
      <c r="F82" s="2"/>
      <c r="G82" s="5"/>
      <c r="H82" s="2"/>
      <c r="I82" s="2"/>
      <c r="J82" s="2"/>
      <c r="K82" s="2"/>
      <c r="L82" s="2"/>
      <c r="M82" s="2"/>
      <c r="N82" s="2"/>
      <c r="O82" s="2"/>
      <c r="P82" s="2"/>
      <c r="Q82" s="2"/>
      <c r="R82" s="2"/>
      <c r="S82" s="2"/>
      <c r="T82" s="2"/>
      <c r="U82" s="2"/>
      <c r="V82" s="2"/>
      <c r="W82" s="2"/>
      <c r="X82" s="2"/>
      <c r="Y82" s="2"/>
      <c r="Z82" s="2" t="str">
        <f t="shared" ref="Z82:Z113" si="8">IF(COUNTA(H82:Y82)=0,"",IF(COUNTIF(H82:Y82,"Very High")&gt;0,"Very High",IF(COUNTIF(H82:Y82,"High")&gt;0,"High",IF(COUNTIF(H82:Y82,"Medium")&gt;0,"Medium","Low"))))</f>
        <v/>
      </c>
      <c r="AA82" s="2" t="str">
        <f t="shared" ref="AA82:AA113" si="9">IF(Z82="","",IF(Z82="Low","Routine planned support",IF(Z82="Medium","One staff support/supervision likely",IF(Z82="High","Two staff/review staffing and equipment","Manager review: multiple staff/specialist support"))))</f>
        <v/>
      </c>
      <c r="AB82" s="2" t="str">
        <f t="shared" ref="AB82:AB117" si="10">IF(Z82="","",IF(OR(Z82="High",Z82="Very High",W82="High",W82="Very High"),"Night staffing and evacuation review required","Routine night checks as per care plan"))</f>
        <v/>
      </c>
      <c r="AC82" s="2" t="str">
        <f t="shared" ref="AC82:AC117" si="11">IF(X82="Very High","Specialist PEEP / equipment",IF(OR(X82="High",Z82="High"),"Evacuation sheet/chair or wheelchair per PEEP",IF(OR(X82="Medium",Z82="Medium"),"Walking aid/wheelchair support per PEEP","Walks with direction")))</f>
        <v>Walks with direction</v>
      </c>
      <c r="AD82" s="2"/>
      <c r="AE82" s="5"/>
      <c r="AF82" s="2"/>
      <c r="AG82" s="2"/>
      <c r="AH82" s="2"/>
      <c r="AI82" s="2"/>
    </row>
    <row r="83" spans="1:35">
      <c r="A83" s="2"/>
      <c r="B83" s="2"/>
      <c r="C83" s="2"/>
      <c r="D83" s="2"/>
      <c r="E83" s="5"/>
      <c r="F83" s="2"/>
      <c r="G83" s="5"/>
      <c r="H83" s="2"/>
      <c r="I83" s="2"/>
      <c r="J83" s="2"/>
      <c r="K83" s="2"/>
      <c r="L83" s="2"/>
      <c r="M83" s="2"/>
      <c r="N83" s="2"/>
      <c r="O83" s="2"/>
      <c r="P83" s="2"/>
      <c r="Q83" s="2"/>
      <c r="R83" s="2"/>
      <c r="S83" s="2"/>
      <c r="T83" s="2"/>
      <c r="U83" s="2"/>
      <c r="V83" s="2"/>
      <c r="W83" s="2"/>
      <c r="X83" s="2"/>
      <c r="Y83" s="2"/>
      <c r="Z83" s="2" t="str">
        <f t="shared" si="8"/>
        <v/>
      </c>
      <c r="AA83" s="2" t="str">
        <f t="shared" si="9"/>
        <v/>
      </c>
      <c r="AB83" s="2" t="str">
        <f t="shared" si="10"/>
        <v/>
      </c>
      <c r="AC83" s="2" t="str">
        <f t="shared" si="11"/>
        <v>Walks with direction</v>
      </c>
      <c r="AD83" s="2"/>
      <c r="AE83" s="5"/>
      <c r="AF83" s="2"/>
      <c r="AG83" s="2"/>
      <c r="AH83" s="2"/>
      <c r="AI83" s="2"/>
    </row>
    <row r="84" spans="1:35">
      <c r="A84" s="2"/>
      <c r="B84" s="2"/>
      <c r="C84" s="2"/>
      <c r="D84" s="2"/>
      <c r="E84" s="5"/>
      <c r="F84" s="2"/>
      <c r="G84" s="5"/>
      <c r="H84" s="2"/>
      <c r="I84" s="2"/>
      <c r="J84" s="2"/>
      <c r="K84" s="2"/>
      <c r="L84" s="2"/>
      <c r="M84" s="2"/>
      <c r="N84" s="2"/>
      <c r="O84" s="2"/>
      <c r="P84" s="2"/>
      <c r="Q84" s="2"/>
      <c r="R84" s="2"/>
      <c r="S84" s="2"/>
      <c r="T84" s="2"/>
      <c r="U84" s="2"/>
      <c r="V84" s="2"/>
      <c r="W84" s="2"/>
      <c r="X84" s="2"/>
      <c r="Y84" s="2"/>
      <c r="Z84" s="2" t="str">
        <f t="shared" si="8"/>
        <v/>
      </c>
      <c r="AA84" s="2" t="str">
        <f t="shared" si="9"/>
        <v/>
      </c>
      <c r="AB84" s="2" t="str">
        <f t="shared" si="10"/>
        <v/>
      </c>
      <c r="AC84" s="2" t="str">
        <f t="shared" si="11"/>
        <v>Walks with direction</v>
      </c>
      <c r="AD84" s="2"/>
      <c r="AE84" s="5"/>
      <c r="AF84" s="2"/>
      <c r="AG84" s="2"/>
      <c r="AH84" s="2"/>
      <c r="AI84" s="2"/>
    </row>
    <row r="85" spans="1:35">
      <c r="A85" s="2"/>
      <c r="B85" s="2"/>
      <c r="C85" s="2"/>
      <c r="D85" s="2"/>
      <c r="E85" s="5"/>
      <c r="F85" s="2"/>
      <c r="G85" s="5"/>
      <c r="H85" s="2"/>
      <c r="I85" s="2"/>
      <c r="J85" s="2"/>
      <c r="K85" s="2"/>
      <c r="L85" s="2"/>
      <c r="M85" s="2"/>
      <c r="N85" s="2"/>
      <c r="O85" s="2"/>
      <c r="P85" s="2"/>
      <c r="Q85" s="2"/>
      <c r="R85" s="2"/>
      <c r="S85" s="2"/>
      <c r="T85" s="2"/>
      <c r="U85" s="2"/>
      <c r="V85" s="2"/>
      <c r="W85" s="2"/>
      <c r="X85" s="2"/>
      <c r="Y85" s="2"/>
      <c r="Z85" s="2" t="str">
        <f t="shared" si="8"/>
        <v/>
      </c>
      <c r="AA85" s="2" t="str">
        <f t="shared" si="9"/>
        <v/>
      </c>
      <c r="AB85" s="2" t="str">
        <f t="shared" si="10"/>
        <v/>
      </c>
      <c r="AC85" s="2" t="str">
        <f t="shared" si="11"/>
        <v>Walks with direction</v>
      </c>
      <c r="AD85" s="2"/>
      <c r="AE85" s="5"/>
      <c r="AF85" s="2"/>
      <c r="AG85" s="2"/>
      <c r="AH85" s="2"/>
      <c r="AI85" s="2"/>
    </row>
    <row r="86" spans="1:35">
      <c r="A86" s="2"/>
      <c r="B86" s="2"/>
      <c r="C86" s="2"/>
      <c r="D86" s="2"/>
      <c r="E86" s="5"/>
      <c r="F86" s="2"/>
      <c r="G86" s="5"/>
      <c r="H86" s="2"/>
      <c r="I86" s="2"/>
      <c r="J86" s="2"/>
      <c r="K86" s="2"/>
      <c r="L86" s="2"/>
      <c r="M86" s="2"/>
      <c r="N86" s="2"/>
      <c r="O86" s="2"/>
      <c r="P86" s="2"/>
      <c r="Q86" s="2"/>
      <c r="R86" s="2"/>
      <c r="S86" s="2"/>
      <c r="T86" s="2"/>
      <c r="U86" s="2"/>
      <c r="V86" s="2"/>
      <c r="W86" s="2"/>
      <c r="X86" s="2"/>
      <c r="Y86" s="2"/>
      <c r="Z86" s="2" t="str">
        <f t="shared" si="8"/>
        <v/>
      </c>
      <c r="AA86" s="2" t="str">
        <f t="shared" si="9"/>
        <v/>
      </c>
      <c r="AB86" s="2" t="str">
        <f t="shared" si="10"/>
        <v/>
      </c>
      <c r="AC86" s="2" t="str">
        <f t="shared" si="11"/>
        <v>Walks with direction</v>
      </c>
      <c r="AD86" s="2"/>
      <c r="AE86" s="5"/>
      <c r="AF86" s="2"/>
      <c r="AG86" s="2"/>
      <c r="AH86" s="2"/>
      <c r="AI86" s="2"/>
    </row>
    <row r="87" spans="1:35">
      <c r="A87" s="2"/>
      <c r="B87" s="2"/>
      <c r="C87" s="2"/>
      <c r="D87" s="2"/>
      <c r="E87" s="5"/>
      <c r="F87" s="2"/>
      <c r="G87" s="5"/>
      <c r="H87" s="2"/>
      <c r="I87" s="2"/>
      <c r="J87" s="2"/>
      <c r="K87" s="2"/>
      <c r="L87" s="2"/>
      <c r="M87" s="2"/>
      <c r="N87" s="2"/>
      <c r="O87" s="2"/>
      <c r="P87" s="2"/>
      <c r="Q87" s="2"/>
      <c r="R87" s="2"/>
      <c r="S87" s="2"/>
      <c r="T87" s="2"/>
      <c r="U87" s="2"/>
      <c r="V87" s="2"/>
      <c r="W87" s="2"/>
      <c r="X87" s="2"/>
      <c r="Y87" s="2"/>
      <c r="Z87" s="2" t="str">
        <f t="shared" si="8"/>
        <v/>
      </c>
      <c r="AA87" s="2" t="str">
        <f t="shared" si="9"/>
        <v/>
      </c>
      <c r="AB87" s="2" t="str">
        <f t="shared" si="10"/>
        <v/>
      </c>
      <c r="AC87" s="2" t="str">
        <f t="shared" si="11"/>
        <v>Walks with direction</v>
      </c>
      <c r="AD87" s="2"/>
      <c r="AE87" s="5"/>
      <c r="AF87" s="2"/>
      <c r="AG87" s="2"/>
      <c r="AH87" s="2"/>
      <c r="AI87" s="2"/>
    </row>
    <row r="88" spans="1:35">
      <c r="A88" s="2"/>
      <c r="B88" s="2"/>
      <c r="C88" s="2"/>
      <c r="D88" s="2"/>
      <c r="E88" s="5"/>
      <c r="F88" s="2"/>
      <c r="G88" s="5"/>
      <c r="H88" s="2"/>
      <c r="I88" s="2"/>
      <c r="J88" s="2"/>
      <c r="K88" s="2"/>
      <c r="L88" s="2"/>
      <c r="M88" s="2"/>
      <c r="N88" s="2"/>
      <c r="O88" s="2"/>
      <c r="P88" s="2"/>
      <c r="Q88" s="2"/>
      <c r="R88" s="2"/>
      <c r="S88" s="2"/>
      <c r="T88" s="2"/>
      <c r="U88" s="2"/>
      <c r="V88" s="2"/>
      <c r="W88" s="2"/>
      <c r="X88" s="2"/>
      <c r="Y88" s="2"/>
      <c r="Z88" s="2" t="str">
        <f t="shared" si="8"/>
        <v/>
      </c>
      <c r="AA88" s="2" t="str">
        <f t="shared" si="9"/>
        <v/>
      </c>
      <c r="AB88" s="2" t="str">
        <f t="shared" si="10"/>
        <v/>
      </c>
      <c r="AC88" s="2" t="str">
        <f t="shared" si="11"/>
        <v>Walks with direction</v>
      </c>
      <c r="AD88" s="2"/>
      <c r="AE88" s="5"/>
      <c r="AF88" s="2"/>
      <c r="AG88" s="2"/>
      <c r="AH88" s="2"/>
      <c r="AI88" s="2"/>
    </row>
    <row r="89" spans="1:35">
      <c r="A89" s="2"/>
      <c r="B89" s="2"/>
      <c r="C89" s="2"/>
      <c r="D89" s="2"/>
      <c r="E89" s="5"/>
      <c r="F89" s="2"/>
      <c r="G89" s="5"/>
      <c r="H89" s="2"/>
      <c r="I89" s="2"/>
      <c r="J89" s="2"/>
      <c r="K89" s="2"/>
      <c r="L89" s="2"/>
      <c r="M89" s="2"/>
      <c r="N89" s="2"/>
      <c r="O89" s="2"/>
      <c r="P89" s="2"/>
      <c r="Q89" s="2"/>
      <c r="R89" s="2"/>
      <c r="S89" s="2"/>
      <c r="T89" s="2"/>
      <c r="U89" s="2"/>
      <c r="V89" s="2"/>
      <c r="W89" s="2"/>
      <c r="X89" s="2"/>
      <c r="Y89" s="2"/>
      <c r="Z89" s="2" t="str">
        <f t="shared" si="8"/>
        <v/>
      </c>
      <c r="AA89" s="2" t="str">
        <f t="shared" si="9"/>
        <v/>
      </c>
      <c r="AB89" s="2" t="str">
        <f t="shared" si="10"/>
        <v/>
      </c>
      <c r="AC89" s="2" t="str">
        <f t="shared" si="11"/>
        <v>Walks with direction</v>
      </c>
      <c r="AD89" s="2"/>
      <c r="AE89" s="5"/>
      <c r="AF89" s="2"/>
      <c r="AG89" s="2"/>
      <c r="AH89" s="2"/>
      <c r="AI89" s="2"/>
    </row>
    <row r="90" spans="1:35">
      <c r="A90" s="2"/>
      <c r="B90" s="2"/>
      <c r="C90" s="2"/>
      <c r="D90" s="2"/>
      <c r="E90" s="5"/>
      <c r="F90" s="2"/>
      <c r="G90" s="5"/>
      <c r="H90" s="2"/>
      <c r="I90" s="2"/>
      <c r="J90" s="2"/>
      <c r="K90" s="2"/>
      <c r="L90" s="2"/>
      <c r="M90" s="2"/>
      <c r="N90" s="2"/>
      <c r="O90" s="2"/>
      <c r="P90" s="2"/>
      <c r="Q90" s="2"/>
      <c r="R90" s="2"/>
      <c r="S90" s="2"/>
      <c r="T90" s="2"/>
      <c r="U90" s="2"/>
      <c r="V90" s="2"/>
      <c r="W90" s="2"/>
      <c r="X90" s="2"/>
      <c r="Y90" s="2"/>
      <c r="Z90" s="2" t="str">
        <f t="shared" si="8"/>
        <v/>
      </c>
      <c r="AA90" s="2" t="str">
        <f t="shared" si="9"/>
        <v/>
      </c>
      <c r="AB90" s="2" t="str">
        <f t="shared" si="10"/>
        <v/>
      </c>
      <c r="AC90" s="2" t="str">
        <f t="shared" si="11"/>
        <v>Walks with direction</v>
      </c>
      <c r="AD90" s="2"/>
      <c r="AE90" s="5"/>
      <c r="AF90" s="2"/>
      <c r="AG90" s="2"/>
      <c r="AH90" s="2"/>
      <c r="AI90" s="2"/>
    </row>
    <row r="91" spans="1:35">
      <c r="A91" s="2"/>
      <c r="B91" s="2"/>
      <c r="C91" s="2"/>
      <c r="D91" s="2"/>
      <c r="E91" s="5"/>
      <c r="F91" s="2"/>
      <c r="G91" s="5"/>
      <c r="H91" s="2"/>
      <c r="I91" s="2"/>
      <c r="J91" s="2"/>
      <c r="K91" s="2"/>
      <c r="L91" s="2"/>
      <c r="M91" s="2"/>
      <c r="N91" s="2"/>
      <c r="O91" s="2"/>
      <c r="P91" s="2"/>
      <c r="Q91" s="2"/>
      <c r="R91" s="2"/>
      <c r="S91" s="2"/>
      <c r="T91" s="2"/>
      <c r="U91" s="2"/>
      <c r="V91" s="2"/>
      <c r="W91" s="2"/>
      <c r="X91" s="2"/>
      <c r="Y91" s="2"/>
      <c r="Z91" s="2" t="str">
        <f t="shared" si="8"/>
        <v/>
      </c>
      <c r="AA91" s="2" t="str">
        <f t="shared" si="9"/>
        <v/>
      </c>
      <c r="AB91" s="2" t="str">
        <f t="shared" si="10"/>
        <v/>
      </c>
      <c r="AC91" s="2" t="str">
        <f t="shared" si="11"/>
        <v>Walks with direction</v>
      </c>
      <c r="AD91" s="2"/>
      <c r="AE91" s="5"/>
      <c r="AF91" s="2"/>
      <c r="AG91" s="2"/>
      <c r="AH91" s="2"/>
      <c r="AI91" s="2"/>
    </row>
    <row r="92" spans="1:35">
      <c r="A92" s="2"/>
      <c r="B92" s="2"/>
      <c r="C92" s="2"/>
      <c r="D92" s="2"/>
      <c r="E92" s="5"/>
      <c r="F92" s="2"/>
      <c r="G92" s="5"/>
      <c r="H92" s="2"/>
      <c r="I92" s="2"/>
      <c r="J92" s="2"/>
      <c r="K92" s="2"/>
      <c r="L92" s="2"/>
      <c r="M92" s="2"/>
      <c r="N92" s="2"/>
      <c r="O92" s="2"/>
      <c r="P92" s="2"/>
      <c r="Q92" s="2"/>
      <c r="R92" s="2"/>
      <c r="S92" s="2"/>
      <c r="T92" s="2"/>
      <c r="U92" s="2"/>
      <c r="V92" s="2"/>
      <c r="W92" s="2"/>
      <c r="X92" s="2"/>
      <c r="Y92" s="2"/>
      <c r="Z92" s="2" t="str">
        <f t="shared" si="8"/>
        <v/>
      </c>
      <c r="AA92" s="2" t="str">
        <f t="shared" si="9"/>
        <v/>
      </c>
      <c r="AB92" s="2" t="str">
        <f t="shared" si="10"/>
        <v/>
      </c>
      <c r="AC92" s="2" t="str">
        <f t="shared" si="11"/>
        <v>Walks with direction</v>
      </c>
      <c r="AD92" s="2"/>
      <c r="AE92" s="5"/>
      <c r="AF92" s="2"/>
      <c r="AG92" s="2"/>
      <c r="AH92" s="2"/>
      <c r="AI92" s="2"/>
    </row>
    <row r="93" spans="1:35">
      <c r="A93" s="2"/>
      <c r="B93" s="2"/>
      <c r="C93" s="2"/>
      <c r="D93" s="2"/>
      <c r="E93" s="5"/>
      <c r="F93" s="2"/>
      <c r="G93" s="5"/>
      <c r="H93" s="2"/>
      <c r="I93" s="2"/>
      <c r="J93" s="2"/>
      <c r="K93" s="2"/>
      <c r="L93" s="2"/>
      <c r="M93" s="2"/>
      <c r="N93" s="2"/>
      <c r="O93" s="2"/>
      <c r="P93" s="2"/>
      <c r="Q93" s="2"/>
      <c r="R93" s="2"/>
      <c r="S93" s="2"/>
      <c r="T93" s="2"/>
      <c r="U93" s="2"/>
      <c r="V93" s="2"/>
      <c r="W93" s="2"/>
      <c r="X93" s="2"/>
      <c r="Y93" s="2"/>
      <c r="Z93" s="2" t="str">
        <f t="shared" si="8"/>
        <v/>
      </c>
      <c r="AA93" s="2" t="str">
        <f t="shared" si="9"/>
        <v/>
      </c>
      <c r="AB93" s="2" t="str">
        <f t="shared" si="10"/>
        <v/>
      </c>
      <c r="AC93" s="2" t="str">
        <f t="shared" si="11"/>
        <v>Walks with direction</v>
      </c>
      <c r="AD93" s="2"/>
      <c r="AE93" s="5"/>
      <c r="AF93" s="2"/>
      <c r="AG93" s="2"/>
      <c r="AH93" s="2"/>
      <c r="AI93" s="2"/>
    </row>
    <row r="94" spans="1:35">
      <c r="A94" s="2"/>
      <c r="B94" s="2"/>
      <c r="C94" s="2"/>
      <c r="D94" s="2"/>
      <c r="E94" s="5"/>
      <c r="F94" s="2"/>
      <c r="G94" s="5"/>
      <c r="H94" s="2"/>
      <c r="I94" s="2"/>
      <c r="J94" s="2"/>
      <c r="K94" s="2"/>
      <c r="L94" s="2"/>
      <c r="M94" s="2"/>
      <c r="N94" s="2"/>
      <c r="O94" s="2"/>
      <c r="P94" s="2"/>
      <c r="Q94" s="2"/>
      <c r="R94" s="2"/>
      <c r="S94" s="2"/>
      <c r="T94" s="2"/>
      <c r="U94" s="2"/>
      <c r="V94" s="2"/>
      <c r="W94" s="2"/>
      <c r="X94" s="2"/>
      <c r="Y94" s="2"/>
      <c r="Z94" s="2" t="str">
        <f t="shared" si="8"/>
        <v/>
      </c>
      <c r="AA94" s="2" t="str">
        <f t="shared" si="9"/>
        <v/>
      </c>
      <c r="AB94" s="2" t="str">
        <f t="shared" si="10"/>
        <v/>
      </c>
      <c r="AC94" s="2" t="str">
        <f t="shared" si="11"/>
        <v>Walks with direction</v>
      </c>
      <c r="AD94" s="2"/>
      <c r="AE94" s="5"/>
      <c r="AF94" s="2"/>
      <c r="AG94" s="2"/>
      <c r="AH94" s="2"/>
      <c r="AI94" s="2"/>
    </row>
    <row r="95" spans="1:35">
      <c r="A95" s="2"/>
      <c r="B95" s="2"/>
      <c r="C95" s="2"/>
      <c r="D95" s="2"/>
      <c r="E95" s="5"/>
      <c r="F95" s="2"/>
      <c r="G95" s="5"/>
      <c r="H95" s="2"/>
      <c r="I95" s="2"/>
      <c r="J95" s="2"/>
      <c r="K95" s="2"/>
      <c r="L95" s="2"/>
      <c r="M95" s="2"/>
      <c r="N95" s="2"/>
      <c r="O95" s="2"/>
      <c r="P95" s="2"/>
      <c r="Q95" s="2"/>
      <c r="R95" s="2"/>
      <c r="S95" s="2"/>
      <c r="T95" s="2"/>
      <c r="U95" s="2"/>
      <c r="V95" s="2"/>
      <c r="W95" s="2"/>
      <c r="X95" s="2"/>
      <c r="Y95" s="2"/>
      <c r="Z95" s="2" t="str">
        <f t="shared" si="8"/>
        <v/>
      </c>
      <c r="AA95" s="2" t="str">
        <f t="shared" si="9"/>
        <v/>
      </c>
      <c r="AB95" s="2" t="str">
        <f t="shared" si="10"/>
        <v/>
      </c>
      <c r="AC95" s="2" t="str">
        <f t="shared" si="11"/>
        <v>Walks with direction</v>
      </c>
      <c r="AD95" s="2"/>
      <c r="AE95" s="5"/>
      <c r="AF95" s="2"/>
      <c r="AG95" s="2"/>
      <c r="AH95" s="2"/>
      <c r="AI95" s="2"/>
    </row>
    <row r="96" spans="1:35">
      <c r="A96" s="2"/>
      <c r="B96" s="2"/>
      <c r="C96" s="2"/>
      <c r="D96" s="2"/>
      <c r="E96" s="5"/>
      <c r="F96" s="2"/>
      <c r="G96" s="5"/>
      <c r="H96" s="2"/>
      <c r="I96" s="2"/>
      <c r="J96" s="2"/>
      <c r="K96" s="2"/>
      <c r="L96" s="2"/>
      <c r="M96" s="2"/>
      <c r="N96" s="2"/>
      <c r="O96" s="2"/>
      <c r="P96" s="2"/>
      <c r="Q96" s="2"/>
      <c r="R96" s="2"/>
      <c r="S96" s="2"/>
      <c r="T96" s="2"/>
      <c r="U96" s="2"/>
      <c r="V96" s="2"/>
      <c r="W96" s="2"/>
      <c r="X96" s="2"/>
      <c r="Y96" s="2"/>
      <c r="Z96" s="2" t="str">
        <f t="shared" si="8"/>
        <v/>
      </c>
      <c r="AA96" s="2" t="str">
        <f t="shared" si="9"/>
        <v/>
      </c>
      <c r="AB96" s="2" t="str">
        <f t="shared" si="10"/>
        <v/>
      </c>
      <c r="AC96" s="2" t="str">
        <f t="shared" si="11"/>
        <v>Walks with direction</v>
      </c>
      <c r="AD96" s="2"/>
      <c r="AE96" s="5"/>
      <c r="AF96" s="2"/>
      <c r="AG96" s="2"/>
      <c r="AH96" s="2"/>
      <c r="AI96" s="2"/>
    </row>
    <row r="97" spans="1:35">
      <c r="A97" s="2"/>
      <c r="B97" s="2"/>
      <c r="C97" s="2"/>
      <c r="D97" s="2"/>
      <c r="E97" s="5"/>
      <c r="F97" s="2"/>
      <c r="G97" s="5"/>
      <c r="H97" s="2"/>
      <c r="I97" s="2"/>
      <c r="J97" s="2"/>
      <c r="K97" s="2"/>
      <c r="L97" s="2"/>
      <c r="M97" s="2"/>
      <c r="N97" s="2"/>
      <c r="O97" s="2"/>
      <c r="P97" s="2"/>
      <c r="Q97" s="2"/>
      <c r="R97" s="2"/>
      <c r="S97" s="2"/>
      <c r="T97" s="2"/>
      <c r="U97" s="2"/>
      <c r="V97" s="2"/>
      <c r="W97" s="2"/>
      <c r="X97" s="2"/>
      <c r="Y97" s="2"/>
      <c r="Z97" s="2" t="str">
        <f t="shared" si="8"/>
        <v/>
      </c>
      <c r="AA97" s="2" t="str">
        <f t="shared" si="9"/>
        <v/>
      </c>
      <c r="AB97" s="2" t="str">
        <f t="shared" si="10"/>
        <v/>
      </c>
      <c r="AC97" s="2" t="str">
        <f t="shared" si="11"/>
        <v>Walks with direction</v>
      </c>
      <c r="AD97" s="2"/>
      <c r="AE97" s="5"/>
      <c r="AF97" s="2"/>
      <c r="AG97" s="2"/>
      <c r="AH97" s="2"/>
      <c r="AI97" s="2"/>
    </row>
    <row r="98" spans="1:35">
      <c r="A98" s="2"/>
      <c r="B98" s="2"/>
      <c r="C98" s="2"/>
      <c r="D98" s="2"/>
      <c r="E98" s="5"/>
      <c r="F98" s="2"/>
      <c r="G98" s="5"/>
      <c r="H98" s="2"/>
      <c r="I98" s="2"/>
      <c r="J98" s="2"/>
      <c r="K98" s="2"/>
      <c r="L98" s="2"/>
      <c r="M98" s="2"/>
      <c r="N98" s="2"/>
      <c r="O98" s="2"/>
      <c r="P98" s="2"/>
      <c r="Q98" s="2"/>
      <c r="R98" s="2"/>
      <c r="S98" s="2"/>
      <c r="T98" s="2"/>
      <c r="U98" s="2"/>
      <c r="V98" s="2"/>
      <c r="W98" s="2"/>
      <c r="X98" s="2"/>
      <c r="Y98" s="2"/>
      <c r="Z98" s="2" t="str">
        <f t="shared" si="8"/>
        <v/>
      </c>
      <c r="AA98" s="2" t="str">
        <f t="shared" si="9"/>
        <v/>
      </c>
      <c r="AB98" s="2" t="str">
        <f t="shared" si="10"/>
        <v/>
      </c>
      <c r="AC98" s="2" t="str">
        <f t="shared" si="11"/>
        <v>Walks with direction</v>
      </c>
      <c r="AD98" s="2"/>
      <c r="AE98" s="5"/>
      <c r="AF98" s="2"/>
      <c r="AG98" s="2"/>
      <c r="AH98" s="2"/>
      <c r="AI98" s="2"/>
    </row>
    <row r="99" spans="1:35">
      <c r="A99" s="2"/>
      <c r="B99" s="2"/>
      <c r="C99" s="2"/>
      <c r="D99" s="2"/>
      <c r="E99" s="5"/>
      <c r="F99" s="2"/>
      <c r="G99" s="5"/>
      <c r="H99" s="2"/>
      <c r="I99" s="2"/>
      <c r="J99" s="2"/>
      <c r="K99" s="2"/>
      <c r="L99" s="2"/>
      <c r="M99" s="2"/>
      <c r="N99" s="2"/>
      <c r="O99" s="2"/>
      <c r="P99" s="2"/>
      <c r="Q99" s="2"/>
      <c r="R99" s="2"/>
      <c r="S99" s="2"/>
      <c r="T99" s="2"/>
      <c r="U99" s="2"/>
      <c r="V99" s="2"/>
      <c r="W99" s="2"/>
      <c r="X99" s="2"/>
      <c r="Y99" s="2"/>
      <c r="Z99" s="2" t="str">
        <f t="shared" si="8"/>
        <v/>
      </c>
      <c r="AA99" s="2" t="str">
        <f t="shared" si="9"/>
        <v/>
      </c>
      <c r="AB99" s="2" t="str">
        <f t="shared" si="10"/>
        <v/>
      </c>
      <c r="AC99" s="2" t="str">
        <f t="shared" si="11"/>
        <v>Walks with direction</v>
      </c>
      <c r="AD99" s="2"/>
      <c r="AE99" s="5"/>
      <c r="AF99" s="2"/>
      <c r="AG99" s="2"/>
      <c r="AH99" s="2"/>
      <c r="AI99" s="2"/>
    </row>
    <row r="100" spans="1:35">
      <c r="A100" s="2"/>
      <c r="B100" s="2"/>
      <c r="C100" s="2"/>
      <c r="D100" s="2"/>
      <c r="E100" s="5"/>
      <c r="F100" s="2"/>
      <c r="G100" s="5"/>
      <c r="H100" s="2"/>
      <c r="I100" s="2"/>
      <c r="J100" s="2"/>
      <c r="K100" s="2"/>
      <c r="L100" s="2"/>
      <c r="M100" s="2"/>
      <c r="N100" s="2"/>
      <c r="O100" s="2"/>
      <c r="P100" s="2"/>
      <c r="Q100" s="2"/>
      <c r="R100" s="2"/>
      <c r="S100" s="2"/>
      <c r="T100" s="2"/>
      <c r="U100" s="2"/>
      <c r="V100" s="2"/>
      <c r="W100" s="2"/>
      <c r="X100" s="2"/>
      <c r="Y100" s="2"/>
      <c r="Z100" s="2" t="str">
        <f t="shared" si="8"/>
        <v/>
      </c>
      <c r="AA100" s="2" t="str">
        <f t="shared" si="9"/>
        <v/>
      </c>
      <c r="AB100" s="2" t="str">
        <f t="shared" si="10"/>
        <v/>
      </c>
      <c r="AC100" s="2" t="str">
        <f t="shared" si="11"/>
        <v>Walks with direction</v>
      </c>
      <c r="AD100" s="2"/>
      <c r="AE100" s="5"/>
      <c r="AF100" s="2"/>
      <c r="AG100" s="2"/>
      <c r="AH100" s="2"/>
      <c r="AI100" s="2"/>
    </row>
    <row r="101" spans="1:35">
      <c r="A101" s="2"/>
      <c r="B101" s="2"/>
      <c r="C101" s="2"/>
      <c r="D101" s="2"/>
      <c r="E101" s="5"/>
      <c r="F101" s="2"/>
      <c r="G101" s="5"/>
      <c r="H101" s="2"/>
      <c r="I101" s="2"/>
      <c r="J101" s="2"/>
      <c r="K101" s="2"/>
      <c r="L101" s="2"/>
      <c r="M101" s="2"/>
      <c r="N101" s="2"/>
      <c r="O101" s="2"/>
      <c r="P101" s="2"/>
      <c r="Q101" s="2"/>
      <c r="R101" s="2"/>
      <c r="S101" s="2"/>
      <c r="T101" s="2"/>
      <c r="U101" s="2"/>
      <c r="V101" s="2"/>
      <c r="W101" s="2"/>
      <c r="X101" s="2"/>
      <c r="Y101" s="2"/>
      <c r="Z101" s="2" t="str">
        <f t="shared" si="8"/>
        <v/>
      </c>
      <c r="AA101" s="2" t="str">
        <f t="shared" si="9"/>
        <v/>
      </c>
      <c r="AB101" s="2" t="str">
        <f t="shared" si="10"/>
        <v/>
      </c>
      <c r="AC101" s="2" t="str">
        <f t="shared" si="11"/>
        <v>Walks with direction</v>
      </c>
      <c r="AD101" s="2"/>
      <c r="AE101" s="5"/>
      <c r="AF101" s="2"/>
      <c r="AG101" s="2"/>
      <c r="AH101" s="2"/>
      <c r="AI101" s="2"/>
    </row>
    <row r="102" spans="1:35">
      <c r="A102" s="2"/>
      <c r="B102" s="2"/>
      <c r="C102" s="2"/>
      <c r="D102" s="2"/>
      <c r="E102" s="5"/>
      <c r="F102" s="2"/>
      <c r="G102" s="5"/>
      <c r="H102" s="2"/>
      <c r="I102" s="2"/>
      <c r="J102" s="2"/>
      <c r="K102" s="2"/>
      <c r="L102" s="2"/>
      <c r="M102" s="2"/>
      <c r="N102" s="2"/>
      <c r="O102" s="2"/>
      <c r="P102" s="2"/>
      <c r="Q102" s="2"/>
      <c r="R102" s="2"/>
      <c r="S102" s="2"/>
      <c r="T102" s="2"/>
      <c r="U102" s="2"/>
      <c r="V102" s="2"/>
      <c r="W102" s="2"/>
      <c r="X102" s="2"/>
      <c r="Y102" s="2"/>
      <c r="Z102" s="2" t="str">
        <f t="shared" si="8"/>
        <v/>
      </c>
      <c r="AA102" s="2" t="str">
        <f t="shared" si="9"/>
        <v/>
      </c>
      <c r="AB102" s="2" t="str">
        <f t="shared" si="10"/>
        <v/>
      </c>
      <c r="AC102" s="2" t="str">
        <f t="shared" si="11"/>
        <v>Walks with direction</v>
      </c>
      <c r="AD102" s="2"/>
      <c r="AE102" s="5"/>
      <c r="AF102" s="2"/>
      <c r="AG102" s="2"/>
      <c r="AH102" s="2"/>
      <c r="AI102" s="2"/>
    </row>
    <row r="103" spans="1:35">
      <c r="A103" s="2"/>
      <c r="B103" s="2"/>
      <c r="C103" s="2"/>
      <c r="D103" s="2"/>
      <c r="E103" s="5"/>
      <c r="F103" s="2"/>
      <c r="G103" s="5"/>
      <c r="H103" s="2"/>
      <c r="I103" s="2"/>
      <c r="J103" s="2"/>
      <c r="K103" s="2"/>
      <c r="L103" s="2"/>
      <c r="M103" s="2"/>
      <c r="N103" s="2"/>
      <c r="O103" s="2"/>
      <c r="P103" s="2"/>
      <c r="Q103" s="2"/>
      <c r="R103" s="2"/>
      <c r="S103" s="2"/>
      <c r="T103" s="2"/>
      <c r="U103" s="2"/>
      <c r="V103" s="2"/>
      <c r="W103" s="2"/>
      <c r="X103" s="2"/>
      <c r="Y103" s="2"/>
      <c r="Z103" s="2" t="str">
        <f t="shared" si="8"/>
        <v/>
      </c>
      <c r="AA103" s="2" t="str">
        <f t="shared" si="9"/>
        <v/>
      </c>
      <c r="AB103" s="2" t="str">
        <f t="shared" si="10"/>
        <v/>
      </c>
      <c r="AC103" s="2" t="str">
        <f t="shared" si="11"/>
        <v>Walks with direction</v>
      </c>
      <c r="AD103" s="2"/>
      <c r="AE103" s="5"/>
      <c r="AF103" s="2"/>
      <c r="AG103" s="2"/>
      <c r="AH103" s="2"/>
      <c r="AI103" s="2"/>
    </row>
    <row r="104" spans="1:35">
      <c r="A104" s="2"/>
      <c r="B104" s="2"/>
      <c r="C104" s="2"/>
      <c r="D104" s="2"/>
      <c r="E104" s="5"/>
      <c r="F104" s="2"/>
      <c r="G104" s="5"/>
      <c r="H104" s="2"/>
      <c r="I104" s="2"/>
      <c r="J104" s="2"/>
      <c r="K104" s="2"/>
      <c r="L104" s="2"/>
      <c r="M104" s="2"/>
      <c r="N104" s="2"/>
      <c r="O104" s="2"/>
      <c r="P104" s="2"/>
      <c r="Q104" s="2"/>
      <c r="R104" s="2"/>
      <c r="S104" s="2"/>
      <c r="T104" s="2"/>
      <c r="U104" s="2"/>
      <c r="V104" s="2"/>
      <c r="W104" s="2"/>
      <c r="X104" s="2"/>
      <c r="Y104" s="2"/>
      <c r="Z104" s="2" t="str">
        <f t="shared" si="8"/>
        <v/>
      </c>
      <c r="AA104" s="2" t="str">
        <f t="shared" si="9"/>
        <v/>
      </c>
      <c r="AB104" s="2" t="str">
        <f t="shared" si="10"/>
        <v/>
      </c>
      <c r="AC104" s="2" t="str">
        <f t="shared" si="11"/>
        <v>Walks with direction</v>
      </c>
      <c r="AD104" s="2"/>
      <c r="AE104" s="5"/>
      <c r="AF104" s="2"/>
      <c r="AG104" s="2"/>
      <c r="AH104" s="2"/>
      <c r="AI104" s="2"/>
    </row>
    <row r="105" spans="1:35">
      <c r="A105" s="2"/>
      <c r="B105" s="2"/>
      <c r="C105" s="2"/>
      <c r="D105" s="2"/>
      <c r="E105" s="5"/>
      <c r="F105" s="2"/>
      <c r="G105" s="5"/>
      <c r="H105" s="2"/>
      <c r="I105" s="2"/>
      <c r="J105" s="2"/>
      <c r="K105" s="2"/>
      <c r="L105" s="2"/>
      <c r="M105" s="2"/>
      <c r="N105" s="2"/>
      <c r="O105" s="2"/>
      <c r="P105" s="2"/>
      <c r="Q105" s="2"/>
      <c r="R105" s="2"/>
      <c r="S105" s="2"/>
      <c r="T105" s="2"/>
      <c r="U105" s="2"/>
      <c r="V105" s="2"/>
      <c r="W105" s="2"/>
      <c r="X105" s="2"/>
      <c r="Y105" s="2"/>
      <c r="Z105" s="2" t="str">
        <f t="shared" si="8"/>
        <v/>
      </c>
      <c r="AA105" s="2" t="str">
        <f t="shared" si="9"/>
        <v/>
      </c>
      <c r="AB105" s="2" t="str">
        <f t="shared" si="10"/>
        <v/>
      </c>
      <c r="AC105" s="2" t="str">
        <f t="shared" si="11"/>
        <v>Walks with direction</v>
      </c>
      <c r="AD105" s="2"/>
      <c r="AE105" s="5"/>
      <c r="AF105" s="2"/>
      <c r="AG105" s="2"/>
      <c r="AH105" s="2"/>
      <c r="AI105" s="2"/>
    </row>
    <row r="106" spans="1:35">
      <c r="A106" s="2"/>
      <c r="B106" s="2"/>
      <c r="C106" s="2"/>
      <c r="D106" s="2"/>
      <c r="E106" s="5"/>
      <c r="F106" s="2"/>
      <c r="G106" s="5"/>
      <c r="H106" s="2"/>
      <c r="I106" s="2"/>
      <c r="J106" s="2"/>
      <c r="K106" s="2"/>
      <c r="L106" s="2"/>
      <c r="M106" s="2"/>
      <c r="N106" s="2"/>
      <c r="O106" s="2"/>
      <c r="P106" s="2"/>
      <c r="Q106" s="2"/>
      <c r="R106" s="2"/>
      <c r="S106" s="2"/>
      <c r="T106" s="2"/>
      <c r="U106" s="2"/>
      <c r="V106" s="2"/>
      <c r="W106" s="2"/>
      <c r="X106" s="2"/>
      <c r="Y106" s="2"/>
      <c r="Z106" s="2" t="str">
        <f t="shared" si="8"/>
        <v/>
      </c>
      <c r="AA106" s="2" t="str">
        <f t="shared" si="9"/>
        <v/>
      </c>
      <c r="AB106" s="2" t="str">
        <f t="shared" si="10"/>
        <v/>
      </c>
      <c r="AC106" s="2" t="str">
        <f t="shared" si="11"/>
        <v>Walks with direction</v>
      </c>
      <c r="AD106" s="2"/>
      <c r="AE106" s="5"/>
      <c r="AF106" s="2"/>
      <c r="AG106" s="2"/>
      <c r="AH106" s="2"/>
      <c r="AI106" s="2"/>
    </row>
    <row r="107" spans="1:35">
      <c r="A107" s="2"/>
      <c r="B107" s="2"/>
      <c r="C107" s="2"/>
      <c r="D107" s="2"/>
      <c r="E107" s="5"/>
      <c r="F107" s="2"/>
      <c r="G107" s="5"/>
      <c r="H107" s="2"/>
      <c r="I107" s="2"/>
      <c r="J107" s="2"/>
      <c r="K107" s="2"/>
      <c r="L107" s="2"/>
      <c r="M107" s="2"/>
      <c r="N107" s="2"/>
      <c r="O107" s="2"/>
      <c r="P107" s="2"/>
      <c r="Q107" s="2"/>
      <c r="R107" s="2"/>
      <c r="S107" s="2"/>
      <c r="T107" s="2"/>
      <c r="U107" s="2"/>
      <c r="V107" s="2"/>
      <c r="W107" s="2"/>
      <c r="X107" s="2"/>
      <c r="Y107" s="2"/>
      <c r="Z107" s="2" t="str">
        <f t="shared" si="8"/>
        <v/>
      </c>
      <c r="AA107" s="2" t="str">
        <f t="shared" si="9"/>
        <v/>
      </c>
      <c r="AB107" s="2" t="str">
        <f t="shared" si="10"/>
        <v/>
      </c>
      <c r="AC107" s="2" t="str">
        <f t="shared" si="11"/>
        <v>Walks with direction</v>
      </c>
      <c r="AD107" s="2"/>
      <c r="AE107" s="5"/>
      <c r="AF107" s="2"/>
      <c r="AG107" s="2"/>
      <c r="AH107" s="2"/>
      <c r="AI107" s="2"/>
    </row>
    <row r="108" spans="1:35">
      <c r="A108" s="2"/>
      <c r="B108" s="2"/>
      <c r="C108" s="2"/>
      <c r="D108" s="2"/>
      <c r="E108" s="5"/>
      <c r="F108" s="2"/>
      <c r="G108" s="5"/>
      <c r="H108" s="2"/>
      <c r="I108" s="2"/>
      <c r="J108" s="2"/>
      <c r="K108" s="2"/>
      <c r="L108" s="2"/>
      <c r="M108" s="2"/>
      <c r="N108" s="2"/>
      <c r="O108" s="2"/>
      <c r="P108" s="2"/>
      <c r="Q108" s="2"/>
      <c r="R108" s="2"/>
      <c r="S108" s="2"/>
      <c r="T108" s="2"/>
      <c r="U108" s="2"/>
      <c r="V108" s="2"/>
      <c r="W108" s="2"/>
      <c r="X108" s="2"/>
      <c r="Y108" s="2"/>
      <c r="Z108" s="2" t="str">
        <f t="shared" si="8"/>
        <v/>
      </c>
      <c r="AA108" s="2" t="str">
        <f t="shared" si="9"/>
        <v/>
      </c>
      <c r="AB108" s="2" t="str">
        <f t="shared" si="10"/>
        <v/>
      </c>
      <c r="AC108" s="2" t="str">
        <f t="shared" si="11"/>
        <v>Walks with direction</v>
      </c>
      <c r="AD108" s="2"/>
      <c r="AE108" s="5"/>
      <c r="AF108" s="2"/>
      <c r="AG108" s="2"/>
      <c r="AH108" s="2"/>
      <c r="AI108" s="2"/>
    </row>
    <row r="109" spans="1:35">
      <c r="A109" s="2"/>
      <c r="B109" s="2"/>
      <c r="C109" s="2"/>
      <c r="D109" s="2"/>
      <c r="E109" s="5"/>
      <c r="F109" s="2"/>
      <c r="G109" s="5"/>
      <c r="H109" s="2"/>
      <c r="I109" s="2"/>
      <c r="J109" s="2"/>
      <c r="K109" s="2"/>
      <c r="L109" s="2"/>
      <c r="M109" s="2"/>
      <c r="N109" s="2"/>
      <c r="O109" s="2"/>
      <c r="P109" s="2"/>
      <c r="Q109" s="2"/>
      <c r="R109" s="2"/>
      <c r="S109" s="2"/>
      <c r="T109" s="2"/>
      <c r="U109" s="2"/>
      <c r="V109" s="2"/>
      <c r="W109" s="2"/>
      <c r="X109" s="2"/>
      <c r="Y109" s="2"/>
      <c r="Z109" s="2" t="str">
        <f t="shared" si="8"/>
        <v/>
      </c>
      <c r="AA109" s="2" t="str">
        <f t="shared" si="9"/>
        <v/>
      </c>
      <c r="AB109" s="2" t="str">
        <f t="shared" si="10"/>
        <v/>
      </c>
      <c r="AC109" s="2" t="str">
        <f t="shared" si="11"/>
        <v>Walks with direction</v>
      </c>
      <c r="AD109" s="2"/>
      <c r="AE109" s="5"/>
      <c r="AF109" s="2"/>
      <c r="AG109" s="2"/>
      <c r="AH109" s="2"/>
      <c r="AI109" s="2"/>
    </row>
    <row r="110" spans="1:35">
      <c r="A110" s="2"/>
      <c r="B110" s="2"/>
      <c r="C110" s="2"/>
      <c r="D110" s="2"/>
      <c r="E110" s="5"/>
      <c r="F110" s="2"/>
      <c r="G110" s="5"/>
      <c r="H110" s="2"/>
      <c r="I110" s="2"/>
      <c r="J110" s="2"/>
      <c r="K110" s="2"/>
      <c r="L110" s="2"/>
      <c r="M110" s="2"/>
      <c r="N110" s="2"/>
      <c r="O110" s="2"/>
      <c r="P110" s="2"/>
      <c r="Q110" s="2"/>
      <c r="R110" s="2"/>
      <c r="S110" s="2"/>
      <c r="T110" s="2"/>
      <c r="U110" s="2"/>
      <c r="V110" s="2"/>
      <c r="W110" s="2"/>
      <c r="X110" s="2"/>
      <c r="Y110" s="2"/>
      <c r="Z110" s="2" t="str">
        <f t="shared" si="8"/>
        <v/>
      </c>
      <c r="AA110" s="2" t="str">
        <f t="shared" si="9"/>
        <v/>
      </c>
      <c r="AB110" s="2" t="str">
        <f t="shared" si="10"/>
        <v/>
      </c>
      <c r="AC110" s="2" t="str">
        <f t="shared" si="11"/>
        <v>Walks with direction</v>
      </c>
      <c r="AD110" s="2"/>
      <c r="AE110" s="5"/>
      <c r="AF110" s="2"/>
      <c r="AG110" s="2"/>
      <c r="AH110" s="2"/>
      <c r="AI110" s="2"/>
    </row>
    <row r="111" spans="1:35">
      <c r="A111" s="2"/>
      <c r="B111" s="2"/>
      <c r="C111" s="2"/>
      <c r="D111" s="2"/>
      <c r="E111" s="5"/>
      <c r="F111" s="2"/>
      <c r="G111" s="5"/>
      <c r="H111" s="2"/>
      <c r="I111" s="2"/>
      <c r="J111" s="2"/>
      <c r="K111" s="2"/>
      <c r="L111" s="2"/>
      <c r="M111" s="2"/>
      <c r="N111" s="2"/>
      <c r="O111" s="2"/>
      <c r="P111" s="2"/>
      <c r="Q111" s="2"/>
      <c r="R111" s="2"/>
      <c r="S111" s="2"/>
      <c r="T111" s="2"/>
      <c r="U111" s="2"/>
      <c r="V111" s="2"/>
      <c r="W111" s="2"/>
      <c r="X111" s="2"/>
      <c r="Y111" s="2"/>
      <c r="Z111" s="2" t="str">
        <f t="shared" si="8"/>
        <v/>
      </c>
      <c r="AA111" s="2" t="str">
        <f t="shared" si="9"/>
        <v/>
      </c>
      <c r="AB111" s="2" t="str">
        <f t="shared" si="10"/>
        <v/>
      </c>
      <c r="AC111" s="2" t="str">
        <f t="shared" si="11"/>
        <v>Walks with direction</v>
      </c>
      <c r="AD111" s="2"/>
      <c r="AE111" s="5"/>
      <c r="AF111" s="2"/>
      <c r="AG111" s="2"/>
      <c r="AH111" s="2"/>
      <c r="AI111" s="2"/>
    </row>
    <row r="112" spans="1:35">
      <c r="A112" s="2"/>
      <c r="B112" s="2"/>
      <c r="C112" s="2"/>
      <c r="D112" s="2"/>
      <c r="E112" s="5"/>
      <c r="F112" s="2"/>
      <c r="G112" s="5"/>
      <c r="H112" s="2"/>
      <c r="I112" s="2"/>
      <c r="J112" s="2"/>
      <c r="K112" s="2"/>
      <c r="L112" s="2"/>
      <c r="M112" s="2"/>
      <c r="N112" s="2"/>
      <c r="O112" s="2"/>
      <c r="P112" s="2"/>
      <c r="Q112" s="2"/>
      <c r="R112" s="2"/>
      <c r="S112" s="2"/>
      <c r="T112" s="2"/>
      <c r="U112" s="2"/>
      <c r="V112" s="2"/>
      <c r="W112" s="2"/>
      <c r="X112" s="2"/>
      <c r="Y112" s="2"/>
      <c r="Z112" s="2" t="str">
        <f t="shared" si="8"/>
        <v/>
      </c>
      <c r="AA112" s="2" t="str">
        <f t="shared" si="9"/>
        <v/>
      </c>
      <c r="AB112" s="2" t="str">
        <f t="shared" si="10"/>
        <v/>
      </c>
      <c r="AC112" s="2" t="str">
        <f t="shared" si="11"/>
        <v>Walks with direction</v>
      </c>
      <c r="AD112" s="2"/>
      <c r="AE112" s="5"/>
      <c r="AF112" s="2"/>
      <c r="AG112" s="2"/>
      <c r="AH112" s="2"/>
      <c r="AI112" s="2"/>
    </row>
    <row r="113" spans="1:35">
      <c r="A113" s="2"/>
      <c r="B113" s="2"/>
      <c r="C113" s="2"/>
      <c r="D113" s="2"/>
      <c r="E113" s="5"/>
      <c r="F113" s="2"/>
      <c r="G113" s="5"/>
      <c r="H113" s="2"/>
      <c r="I113" s="2"/>
      <c r="J113" s="2"/>
      <c r="K113" s="2"/>
      <c r="L113" s="2"/>
      <c r="M113" s="2"/>
      <c r="N113" s="2"/>
      <c r="O113" s="2"/>
      <c r="P113" s="2"/>
      <c r="Q113" s="2"/>
      <c r="R113" s="2"/>
      <c r="S113" s="2"/>
      <c r="T113" s="2"/>
      <c r="U113" s="2"/>
      <c r="V113" s="2"/>
      <c r="W113" s="2"/>
      <c r="X113" s="2"/>
      <c r="Y113" s="2"/>
      <c r="Z113" s="2" t="str">
        <f t="shared" si="8"/>
        <v/>
      </c>
      <c r="AA113" s="2" t="str">
        <f t="shared" si="9"/>
        <v/>
      </c>
      <c r="AB113" s="2" t="str">
        <f t="shared" si="10"/>
        <v/>
      </c>
      <c r="AC113" s="2" t="str">
        <f t="shared" si="11"/>
        <v>Walks with direction</v>
      </c>
      <c r="AD113" s="2"/>
      <c r="AE113" s="5"/>
      <c r="AF113" s="2"/>
      <c r="AG113" s="2"/>
      <c r="AH113" s="2"/>
      <c r="AI113" s="2"/>
    </row>
    <row r="114" spans="1:35">
      <c r="A114" s="2"/>
      <c r="B114" s="2"/>
      <c r="C114" s="2"/>
      <c r="D114" s="2"/>
      <c r="E114" s="5"/>
      <c r="F114" s="2"/>
      <c r="G114" s="5"/>
      <c r="H114" s="2"/>
      <c r="I114" s="2"/>
      <c r="J114" s="2"/>
      <c r="K114" s="2"/>
      <c r="L114" s="2"/>
      <c r="M114" s="2"/>
      <c r="N114" s="2"/>
      <c r="O114" s="2"/>
      <c r="P114" s="2"/>
      <c r="Q114" s="2"/>
      <c r="R114" s="2"/>
      <c r="S114" s="2"/>
      <c r="T114" s="2"/>
      <c r="U114" s="2"/>
      <c r="V114" s="2"/>
      <c r="W114" s="2"/>
      <c r="X114" s="2"/>
      <c r="Y114" s="2"/>
      <c r="Z114" s="2" t="str">
        <f t="shared" ref="Z114:Z145" si="12">IF(COUNTA(H114:Y114)=0,"",IF(COUNTIF(H114:Y114,"Very High")&gt;0,"Very High",IF(COUNTIF(H114:Y114,"High")&gt;0,"High",IF(COUNTIF(H114:Y114,"Medium")&gt;0,"Medium","Low"))))</f>
        <v/>
      </c>
      <c r="AA114" s="2" t="str">
        <f t="shared" ref="AA114:AA145" si="13">IF(Z114="","",IF(Z114="Low","Routine planned support",IF(Z114="Medium","One staff support/supervision likely",IF(Z114="High","Two staff/review staffing and equipment","Manager review: multiple staff/specialist support"))))</f>
        <v/>
      </c>
      <c r="AB114" s="2" t="str">
        <f t="shared" si="10"/>
        <v/>
      </c>
      <c r="AC114" s="2" t="str">
        <f t="shared" si="11"/>
        <v>Walks with direction</v>
      </c>
      <c r="AD114" s="2"/>
      <c r="AE114" s="5"/>
      <c r="AF114" s="2"/>
      <c r="AG114" s="2"/>
      <c r="AH114" s="2"/>
      <c r="AI114" s="2"/>
    </row>
    <row r="115" spans="1:35">
      <c r="A115" s="2"/>
      <c r="B115" s="2"/>
      <c r="C115" s="2"/>
      <c r="D115" s="2"/>
      <c r="E115" s="5"/>
      <c r="F115" s="2"/>
      <c r="G115" s="5"/>
      <c r="H115" s="2"/>
      <c r="I115" s="2"/>
      <c r="J115" s="2"/>
      <c r="K115" s="2"/>
      <c r="L115" s="2"/>
      <c r="M115" s="2"/>
      <c r="N115" s="2"/>
      <c r="O115" s="2"/>
      <c r="P115" s="2"/>
      <c r="Q115" s="2"/>
      <c r="R115" s="2"/>
      <c r="S115" s="2"/>
      <c r="T115" s="2"/>
      <c r="U115" s="2"/>
      <c r="V115" s="2"/>
      <c r="W115" s="2"/>
      <c r="X115" s="2"/>
      <c r="Y115" s="2"/>
      <c r="Z115" s="2" t="str">
        <f t="shared" si="12"/>
        <v/>
      </c>
      <c r="AA115" s="2" t="str">
        <f t="shared" si="13"/>
        <v/>
      </c>
      <c r="AB115" s="2" t="str">
        <f t="shared" si="10"/>
        <v/>
      </c>
      <c r="AC115" s="2" t="str">
        <f t="shared" si="11"/>
        <v>Walks with direction</v>
      </c>
      <c r="AD115" s="2"/>
      <c r="AE115" s="5"/>
      <c r="AF115" s="2"/>
      <c r="AG115" s="2"/>
      <c r="AH115" s="2"/>
      <c r="AI115" s="2"/>
    </row>
    <row r="116" spans="1:35">
      <c r="A116" s="2"/>
      <c r="B116" s="2"/>
      <c r="C116" s="2"/>
      <c r="D116" s="2"/>
      <c r="E116" s="5"/>
      <c r="F116" s="2"/>
      <c r="G116" s="5"/>
      <c r="H116" s="2"/>
      <c r="I116" s="2"/>
      <c r="J116" s="2"/>
      <c r="K116" s="2"/>
      <c r="L116" s="2"/>
      <c r="M116" s="2"/>
      <c r="N116" s="2"/>
      <c r="O116" s="2"/>
      <c r="P116" s="2"/>
      <c r="Q116" s="2"/>
      <c r="R116" s="2"/>
      <c r="S116" s="2"/>
      <c r="T116" s="2"/>
      <c r="U116" s="2"/>
      <c r="V116" s="2"/>
      <c r="W116" s="2"/>
      <c r="X116" s="2"/>
      <c r="Y116" s="2"/>
      <c r="Z116" s="2" t="str">
        <f t="shared" si="12"/>
        <v/>
      </c>
      <c r="AA116" s="2" t="str">
        <f t="shared" si="13"/>
        <v/>
      </c>
      <c r="AB116" s="2" t="str">
        <f t="shared" si="10"/>
        <v/>
      </c>
      <c r="AC116" s="2" t="str">
        <f t="shared" si="11"/>
        <v>Walks with direction</v>
      </c>
      <c r="AD116" s="2"/>
      <c r="AE116" s="5"/>
      <c r="AF116" s="2"/>
      <c r="AG116" s="2"/>
      <c r="AH116" s="2"/>
      <c r="AI116" s="2"/>
    </row>
    <row r="117" spans="1:35">
      <c r="A117" s="2"/>
      <c r="B117" s="2"/>
      <c r="C117" s="2"/>
      <c r="D117" s="2"/>
      <c r="E117" s="5"/>
      <c r="F117" s="2"/>
      <c r="G117" s="5"/>
      <c r="H117" s="2"/>
      <c r="I117" s="2"/>
      <c r="J117" s="2"/>
      <c r="K117" s="2"/>
      <c r="L117" s="2"/>
      <c r="M117" s="2"/>
      <c r="N117" s="2"/>
      <c r="O117" s="2"/>
      <c r="P117" s="2"/>
      <c r="Q117" s="2"/>
      <c r="R117" s="2"/>
      <c r="S117" s="2"/>
      <c r="T117" s="2"/>
      <c r="U117" s="2"/>
      <c r="V117" s="2"/>
      <c r="W117" s="2"/>
      <c r="X117" s="2"/>
      <c r="Y117" s="2"/>
      <c r="Z117" s="2" t="str">
        <f t="shared" si="12"/>
        <v/>
      </c>
      <c r="AA117" s="2" t="str">
        <f t="shared" si="13"/>
        <v/>
      </c>
      <c r="AB117" s="2" t="str">
        <f t="shared" si="10"/>
        <v/>
      </c>
      <c r="AC117" s="2" t="str">
        <f t="shared" si="11"/>
        <v>Walks with direction</v>
      </c>
      <c r="AD117" s="2"/>
      <c r="AE117" s="5"/>
      <c r="AF117" s="2"/>
      <c r="AG117" s="2"/>
      <c r="AH117" s="2"/>
      <c r="AI117" s="2"/>
    </row>
    <row r="122" spans="1:35">
      <c r="A122" s="9" t="s">
        <v>153</v>
      </c>
      <c r="B122" s="7"/>
      <c r="C122" s="7"/>
      <c r="D122" s="7"/>
      <c r="E122" s="7"/>
    </row>
    <row r="123" spans="1:35">
      <c r="A123" s="1" t="s">
        <v>154</v>
      </c>
      <c r="B123" s="1" t="s">
        <v>6</v>
      </c>
      <c r="C123" s="1" t="s">
        <v>12</v>
      </c>
      <c r="D123" s="1" t="s">
        <v>18</v>
      </c>
      <c r="E123" s="1" t="s">
        <v>23</v>
      </c>
    </row>
    <row r="124" spans="1:35" ht="42">
      <c r="A124" s="2" t="s">
        <v>124</v>
      </c>
      <c r="B124" s="2" t="s">
        <v>155</v>
      </c>
      <c r="C124" s="2" t="s">
        <v>156</v>
      </c>
      <c r="D124" s="2" t="s">
        <v>157</v>
      </c>
      <c r="E124" s="2" t="s">
        <v>158</v>
      </c>
    </row>
    <row r="125" spans="1:35" ht="28">
      <c r="A125" s="2" t="s">
        <v>125</v>
      </c>
      <c r="B125" s="2" t="s">
        <v>159</v>
      </c>
      <c r="C125" s="2" t="s">
        <v>160</v>
      </c>
      <c r="D125" s="2" t="s">
        <v>161</v>
      </c>
      <c r="E125" s="2" t="s">
        <v>162</v>
      </c>
    </row>
    <row r="126" spans="1:35" ht="28">
      <c r="A126" s="2" t="s">
        <v>126</v>
      </c>
      <c r="B126" s="2" t="s">
        <v>163</v>
      </c>
      <c r="C126" s="2" t="s">
        <v>164</v>
      </c>
      <c r="D126" s="2" t="s">
        <v>165</v>
      </c>
      <c r="E126" s="2" t="s">
        <v>166</v>
      </c>
    </row>
    <row r="127" spans="1:35" ht="42">
      <c r="A127" s="2" t="s">
        <v>127</v>
      </c>
      <c r="B127" s="2" t="s">
        <v>167</v>
      </c>
      <c r="C127" s="2" t="s">
        <v>168</v>
      </c>
      <c r="D127" s="2" t="s">
        <v>169</v>
      </c>
      <c r="E127" s="2" t="s">
        <v>170</v>
      </c>
    </row>
    <row r="128" spans="1:35" ht="42">
      <c r="A128" s="2" t="s">
        <v>128</v>
      </c>
      <c r="B128" s="2" t="s">
        <v>171</v>
      </c>
      <c r="C128" s="2" t="s">
        <v>172</v>
      </c>
      <c r="D128" s="2" t="s">
        <v>173</v>
      </c>
      <c r="E128" s="2" t="s">
        <v>174</v>
      </c>
    </row>
    <row r="129" spans="1:5" ht="42">
      <c r="A129" s="2" t="s">
        <v>129</v>
      </c>
      <c r="B129" s="2" t="s">
        <v>175</v>
      </c>
      <c r="C129" s="2" t="s">
        <v>176</v>
      </c>
      <c r="D129" s="2" t="s">
        <v>177</v>
      </c>
      <c r="E129" s="2" t="s">
        <v>178</v>
      </c>
    </row>
    <row r="130" spans="1:5" ht="42">
      <c r="A130" s="2" t="s">
        <v>130</v>
      </c>
      <c r="B130" s="2" t="s">
        <v>179</v>
      </c>
      <c r="C130" s="2" t="s">
        <v>180</v>
      </c>
      <c r="D130" s="2" t="s">
        <v>181</v>
      </c>
      <c r="E130" s="2" t="s">
        <v>182</v>
      </c>
    </row>
    <row r="131" spans="1:5" ht="42">
      <c r="A131" s="2" t="s">
        <v>131</v>
      </c>
      <c r="B131" s="2" t="s">
        <v>183</v>
      </c>
      <c r="C131" s="2" t="s">
        <v>184</v>
      </c>
      <c r="D131" s="2" t="s">
        <v>185</v>
      </c>
      <c r="E131" s="2" t="s">
        <v>186</v>
      </c>
    </row>
    <row r="132" spans="1:5" ht="28">
      <c r="A132" s="2" t="s">
        <v>132</v>
      </c>
      <c r="B132" s="2" t="s">
        <v>187</v>
      </c>
      <c r="C132" s="2" t="s">
        <v>188</v>
      </c>
      <c r="D132" s="2" t="s">
        <v>189</v>
      </c>
      <c r="E132" s="2" t="s">
        <v>190</v>
      </c>
    </row>
    <row r="133" spans="1:5" ht="42">
      <c r="A133" s="2" t="s">
        <v>133</v>
      </c>
      <c r="B133" s="2" t="s">
        <v>191</v>
      </c>
      <c r="C133" s="2" t="s">
        <v>192</v>
      </c>
      <c r="D133" s="2" t="s">
        <v>193</v>
      </c>
      <c r="E133" s="2" t="s">
        <v>194</v>
      </c>
    </row>
    <row r="134" spans="1:5" ht="28">
      <c r="A134" s="2" t="s">
        <v>134</v>
      </c>
      <c r="B134" s="2" t="s">
        <v>195</v>
      </c>
      <c r="C134" s="2" t="s">
        <v>196</v>
      </c>
      <c r="D134" s="2" t="s">
        <v>197</v>
      </c>
      <c r="E134" s="2" t="s">
        <v>198</v>
      </c>
    </row>
    <row r="135" spans="1:5" ht="42">
      <c r="A135" s="2" t="s">
        <v>135</v>
      </c>
      <c r="B135" s="2" t="s">
        <v>199</v>
      </c>
      <c r="C135" s="2" t="s">
        <v>200</v>
      </c>
      <c r="D135" s="2" t="s">
        <v>201</v>
      </c>
      <c r="E135" s="2" t="s">
        <v>202</v>
      </c>
    </row>
    <row r="136" spans="1:5" ht="42">
      <c r="A136" s="2" t="s">
        <v>136</v>
      </c>
      <c r="B136" s="2" t="s">
        <v>203</v>
      </c>
      <c r="C136" s="2" t="s">
        <v>204</v>
      </c>
      <c r="D136" s="2" t="s">
        <v>205</v>
      </c>
      <c r="E136" s="2" t="s">
        <v>206</v>
      </c>
    </row>
    <row r="137" spans="1:5" ht="42">
      <c r="A137" s="2" t="s">
        <v>137</v>
      </c>
      <c r="B137" s="2" t="s">
        <v>207</v>
      </c>
      <c r="C137" s="2" t="s">
        <v>208</v>
      </c>
      <c r="D137" s="2" t="s">
        <v>209</v>
      </c>
      <c r="E137" s="2" t="s">
        <v>210</v>
      </c>
    </row>
    <row r="138" spans="1:5" ht="28">
      <c r="A138" s="2" t="s">
        <v>138</v>
      </c>
      <c r="B138" s="2" t="s">
        <v>211</v>
      </c>
      <c r="C138" s="2" t="s">
        <v>212</v>
      </c>
      <c r="D138" s="2" t="s">
        <v>213</v>
      </c>
      <c r="E138" s="2" t="s">
        <v>214</v>
      </c>
    </row>
    <row r="139" spans="1:5" ht="42">
      <c r="A139" s="2" t="s">
        <v>139</v>
      </c>
      <c r="B139" s="2" t="s">
        <v>215</v>
      </c>
      <c r="C139" s="2" t="s">
        <v>216</v>
      </c>
      <c r="D139" s="2" t="s">
        <v>217</v>
      </c>
      <c r="E139" s="2" t="s">
        <v>218</v>
      </c>
    </row>
    <row r="140" spans="1:5" ht="42">
      <c r="A140" s="2" t="s">
        <v>140</v>
      </c>
      <c r="B140" s="2" t="s">
        <v>219</v>
      </c>
      <c r="C140" s="2" t="s">
        <v>220</v>
      </c>
      <c r="D140" s="2" t="s">
        <v>221</v>
      </c>
      <c r="E140" s="2" t="s">
        <v>222</v>
      </c>
    </row>
    <row r="141" spans="1:5" ht="42">
      <c r="A141" s="2" t="s">
        <v>141</v>
      </c>
      <c r="B141" s="2" t="s">
        <v>223</v>
      </c>
      <c r="C141" s="2" t="s">
        <v>224</v>
      </c>
      <c r="D141" s="2" t="s">
        <v>225</v>
      </c>
      <c r="E141" s="2" t="s">
        <v>226</v>
      </c>
    </row>
  </sheetData>
  <mergeCells count="4">
    <mergeCell ref="A1:AI1"/>
    <mergeCell ref="A2:AI2"/>
    <mergeCell ref="D4:H4"/>
    <mergeCell ref="A122:E122"/>
  </mergeCells>
  <conditionalFormatting sqref="Z18:Z117">
    <cfRule type="expression" dxfId="31" priority="1">
      <formula>Z18="Very High"</formula>
    </cfRule>
    <cfRule type="expression" dxfId="30" priority="2">
      <formula>Z18="High"</formula>
    </cfRule>
    <cfRule type="expression" dxfId="29" priority="3">
      <formula>Z18="Medium"</formula>
    </cfRule>
    <cfRule type="expression" dxfId="28" priority="4">
      <formula>Z18="Low"</formula>
    </cfRule>
  </conditionalFormatting>
  <dataValidations count="4">
    <dataValidation type="list" sqref="B7" xr:uid="{00000000-0002-0000-1300-000000000000}">
      <formula1>"Yes,No"</formula1>
    </dataValidation>
    <dataValidation type="list" sqref="C18:C117" xr:uid="{00000000-0002-0000-1300-000001000000}">
      <formula1>"Ground,First,N/A"</formula1>
    </dataValidation>
    <dataValidation type="list" sqref="H18:Y117" xr:uid="{00000000-0002-0000-1300-000002000000}">
      <formula1>"Low,Medium,High,Very High"</formula1>
    </dataValidation>
    <dataValidation type="list" sqref="AD18:AD117 AG18:AI117" xr:uid="{00000000-0002-0000-1300-000003000000}">
      <formula1>"Yes,No,N/A"</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60"/>
  <sheetViews>
    <sheetView workbookViewId="0"/>
  </sheetViews>
  <sheetFormatPr defaultRowHeight="14"/>
  <cols>
    <col min="1" max="9" width="18" customWidth="1"/>
  </cols>
  <sheetData>
    <row r="1" spans="1:9" ht="20">
      <c r="A1" s="6" t="s">
        <v>346</v>
      </c>
      <c r="B1" s="7"/>
      <c r="C1" s="7"/>
      <c r="D1" s="7"/>
      <c r="E1" s="7"/>
      <c r="F1" s="7"/>
      <c r="G1" s="7"/>
      <c r="H1" s="7"/>
      <c r="I1" s="7"/>
    </row>
    <row r="2" spans="1:9" ht="14.5">
      <c r="A2" s="8" t="s">
        <v>228</v>
      </c>
      <c r="B2" s="7"/>
      <c r="C2" s="7"/>
      <c r="D2" s="7"/>
      <c r="E2" s="7"/>
      <c r="F2" s="7"/>
      <c r="G2" s="7"/>
      <c r="H2" s="7"/>
      <c r="I2" s="7"/>
    </row>
    <row r="4" spans="1:9">
      <c r="A4" s="3" t="s">
        <v>107</v>
      </c>
      <c r="B4" t="s">
        <v>345</v>
      </c>
    </row>
    <row r="5" spans="1:9">
      <c r="A5" s="3" t="s">
        <v>110</v>
      </c>
    </row>
    <row r="6" spans="1:9">
      <c r="A6" s="3" t="s">
        <v>229</v>
      </c>
    </row>
    <row r="7" spans="1:9">
      <c r="A7" s="3" t="s">
        <v>230</v>
      </c>
    </row>
    <row r="8" spans="1:9">
      <c r="A8" s="3" t="s">
        <v>231</v>
      </c>
      <c r="B8">
        <f>COUNTA(A14:A60)</f>
        <v>28</v>
      </c>
    </row>
    <row r="9" spans="1:9">
      <c r="A9" s="3" t="s">
        <v>232</v>
      </c>
      <c r="B9">
        <f>COUNTIF(H14:H60,"FAIL")</f>
        <v>28</v>
      </c>
    </row>
    <row r="10" spans="1:9">
      <c r="A10" s="3" t="s">
        <v>46</v>
      </c>
      <c r="B10" t="str">
        <f>IF(AND(B7="Yes",B9=0),"Complete","Incomplete")</f>
        <v>Incomplete</v>
      </c>
    </row>
    <row r="13" spans="1:9" ht="28">
      <c r="A13" s="1" t="s">
        <v>233</v>
      </c>
      <c r="B13" s="1" t="s">
        <v>234</v>
      </c>
      <c r="C13" s="1" t="s">
        <v>235</v>
      </c>
      <c r="D13" s="1" t="s">
        <v>236</v>
      </c>
      <c r="E13" s="1" t="s">
        <v>237</v>
      </c>
      <c r="F13" s="1" t="s">
        <v>238</v>
      </c>
      <c r="G13" s="1" t="s">
        <v>239</v>
      </c>
      <c r="H13" s="1" t="s">
        <v>240</v>
      </c>
      <c r="I13" s="1" t="s">
        <v>241</v>
      </c>
    </row>
    <row r="14" spans="1:9" ht="42">
      <c r="A14" s="2" t="s">
        <v>242</v>
      </c>
      <c r="B14" s="2">
        <v>1</v>
      </c>
      <c r="C14" s="2"/>
      <c r="D14" s="2" t="s">
        <v>243</v>
      </c>
      <c r="E14" s="2"/>
      <c r="F14" s="2"/>
      <c r="G14" s="2"/>
      <c r="H14" s="2" t="str">
        <f t="shared" ref="H14:H41" si="0">IF(OR(F14="No",C14&lt;B14),"FAIL","PASS")</f>
        <v>FAIL</v>
      </c>
      <c r="I14" s="2"/>
    </row>
    <row r="15" spans="1:9">
      <c r="A15" s="2" t="s">
        <v>244</v>
      </c>
      <c r="B15" s="2">
        <v>1</v>
      </c>
      <c r="C15" s="2"/>
      <c r="D15" s="2" t="s">
        <v>245</v>
      </c>
      <c r="E15" s="2"/>
      <c r="F15" s="2"/>
      <c r="G15" s="2"/>
      <c r="H15" s="2" t="str">
        <f t="shared" si="0"/>
        <v>FAIL</v>
      </c>
      <c r="I15" s="2"/>
    </row>
    <row r="16" spans="1:9" ht="28">
      <c r="A16" s="2" t="s">
        <v>246</v>
      </c>
      <c r="B16" s="2">
        <v>1</v>
      </c>
      <c r="C16" s="2"/>
      <c r="D16" s="2" t="s">
        <v>247</v>
      </c>
      <c r="E16" s="2"/>
      <c r="F16" s="2"/>
      <c r="G16" s="2"/>
      <c r="H16" s="2" t="str">
        <f t="shared" si="0"/>
        <v>FAIL</v>
      </c>
      <c r="I16" s="2"/>
    </row>
    <row r="17" spans="1:9" ht="28">
      <c r="A17" s="2" t="s">
        <v>248</v>
      </c>
      <c r="B17" s="2">
        <v>1</v>
      </c>
      <c r="C17" s="2"/>
      <c r="D17" s="2" t="s">
        <v>249</v>
      </c>
      <c r="E17" s="2"/>
      <c r="F17" s="2"/>
      <c r="G17" s="2"/>
      <c r="H17" s="2" t="str">
        <f t="shared" si="0"/>
        <v>FAIL</v>
      </c>
      <c r="I17" s="2"/>
    </row>
    <row r="18" spans="1:9" ht="28">
      <c r="A18" s="2" t="s">
        <v>250</v>
      </c>
      <c r="B18" s="2">
        <v>2</v>
      </c>
      <c r="C18" s="2"/>
      <c r="D18" s="2" t="s">
        <v>251</v>
      </c>
      <c r="E18" s="2"/>
      <c r="F18" s="2"/>
      <c r="G18" s="2"/>
      <c r="H18" s="2" t="str">
        <f t="shared" si="0"/>
        <v>FAIL</v>
      </c>
      <c r="I18" s="2"/>
    </row>
    <row r="19" spans="1:9" ht="28">
      <c r="A19" s="2" t="s">
        <v>252</v>
      </c>
      <c r="B19" s="2">
        <v>1</v>
      </c>
      <c r="C19" s="2"/>
      <c r="D19" s="2" t="s">
        <v>253</v>
      </c>
      <c r="E19" s="2"/>
      <c r="F19" s="2"/>
      <c r="G19" s="2"/>
      <c r="H19" s="2" t="str">
        <f t="shared" si="0"/>
        <v>FAIL</v>
      </c>
      <c r="I19" s="2"/>
    </row>
    <row r="20" spans="1:9" ht="42">
      <c r="A20" s="2" t="s">
        <v>254</v>
      </c>
      <c r="B20" s="2">
        <v>1</v>
      </c>
      <c r="C20" s="2"/>
      <c r="D20" s="2" t="s">
        <v>255</v>
      </c>
      <c r="E20" s="2"/>
      <c r="F20" s="2"/>
      <c r="G20" s="2"/>
      <c r="H20" s="2" t="str">
        <f t="shared" si="0"/>
        <v>FAIL</v>
      </c>
      <c r="I20" s="2"/>
    </row>
    <row r="21" spans="1:9">
      <c r="A21" s="2" t="s">
        <v>256</v>
      </c>
      <c r="B21" s="2">
        <v>2</v>
      </c>
      <c r="C21" s="2"/>
      <c r="D21" s="2" t="s">
        <v>257</v>
      </c>
      <c r="E21" s="2"/>
      <c r="F21" s="2"/>
      <c r="G21" s="2"/>
      <c r="H21" s="2" t="str">
        <f t="shared" si="0"/>
        <v>FAIL</v>
      </c>
      <c r="I21" s="2"/>
    </row>
    <row r="22" spans="1:9" ht="28">
      <c r="A22" s="2" t="s">
        <v>258</v>
      </c>
      <c r="B22" s="2">
        <v>1</v>
      </c>
      <c r="C22" s="2"/>
      <c r="D22" s="2" t="s">
        <v>259</v>
      </c>
      <c r="E22" s="2"/>
      <c r="F22" s="2"/>
      <c r="G22" s="2"/>
      <c r="H22" s="2" t="str">
        <f t="shared" si="0"/>
        <v>FAIL</v>
      </c>
      <c r="I22" s="2"/>
    </row>
    <row r="23" spans="1:9" ht="28">
      <c r="A23" s="2" t="s">
        <v>260</v>
      </c>
      <c r="B23" s="2">
        <v>2</v>
      </c>
      <c r="C23" s="2"/>
      <c r="D23" s="2" t="s">
        <v>261</v>
      </c>
      <c r="E23" s="2"/>
      <c r="F23" s="2"/>
      <c r="G23" s="2"/>
      <c r="H23" s="2" t="str">
        <f t="shared" si="0"/>
        <v>FAIL</v>
      </c>
      <c r="I23" s="2"/>
    </row>
    <row r="24" spans="1:9">
      <c r="A24" s="2" t="s">
        <v>262</v>
      </c>
      <c r="B24" s="2">
        <v>2</v>
      </c>
      <c r="C24" s="2"/>
      <c r="D24" s="2" t="s">
        <v>263</v>
      </c>
      <c r="E24" s="2"/>
      <c r="F24" s="2"/>
      <c r="G24" s="2"/>
      <c r="H24" s="2" t="str">
        <f t="shared" si="0"/>
        <v>FAIL</v>
      </c>
      <c r="I24" s="2"/>
    </row>
    <row r="25" spans="1:9" ht="28">
      <c r="A25" s="2" t="s">
        <v>264</v>
      </c>
      <c r="B25" s="2">
        <v>2</v>
      </c>
      <c r="C25" s="2"/>
      <c r="D25" s="2" t="s">
        <v>265</v>
      </c>
      <c r="E25" s="2"/>
      <c r="F25" s="2"/>
      <c r="G25" s="2"/>
      <c r="H25" s="2" t="str">
        <f t="shared" si="0"/>
        <v>FAIL</v>
      </c>
      <c r="I25" s="2"/>
    </row>
    <row r="26" spans="1:9">
      <c r="A26" s="2" t="s">
        <v>266</v>
      </c>
      <c r="B26" s="2">
        <v>2</v>
      </c>
      <c r="C26" s="2"/>
      <c r="D26" s="2" t="s">
        <v>265</v>
      </c>
      <c r="E26" s="2"/>
      <c r="F26" s="2"/>
      <c r="G26" s="2"/>
      <c r="H26" s="2" t="str">
        <f t="shared" si="0"/>
        <v>FAIL</v>
      </c>
      <c r="I26" s="2"/>
    </row>
    <row r="27" spans="1:9">
      <c r="A27" s="2" t="s">
        <v>267</v>
      </c>
      <c r="B27" s="2">
        <v>8</v>
      </c>
      <c r="C27" s="2"/>
      <c r="D27" s="2" t="s">
        <v>268</v>
      </c>
      <c r="E27" s="2"/>
      <c r="F27" s="2"/>
      <c r="G27" s="2"/>
      <c r="H27" s="2" t="str">
        <f t="shared" si="0"/>
        <v>FAIL</v>
      </c>
      <c r="I27" s="2"/>
    </row>
    <row r="28" spans="1:9">
      <c r="A28" s="2" t="s">
        <v>269</v>
      </c>
      <c r="B28" s="2">
        <v>4</v>
      </c>
      <c r="C28" s="2"/>
      <c r="D28" s="2" t="s">
        <v>270</v>
      </c>
      <c r="E28" s="2"/>
      <c r="F28" s="2"/>
      <c r="G28" s="2"/>
      <c r="H28" s="2" t="str">
        <f t="shared" si="0"/>
        <v>FAIL</v>
      </c>
      <c r="I28" s="2"/>
    </row>
    <row r="29" spans="1:9" ht="28">
      <c r="A29" s="2" t="s">
        <v>271</v>
      </c>
      <c r="B29" s="2">
        <v>20</v>
      </c>
      <c r="C29" s="2"/>
      <c r="D29" s="2" t="s">
        <v>272</v>
      </c>
      <c r="E29" s="2"/>
      <c r="F29" s="2"/>
      <c r="G29" s="2"/>
      <c r="H29" s="2" t="str">
        <f t="shared" si="0"/>
        <v>FAIL</v>
      </c>
      <c r="I29" s="2"/>
    </row>
    <row r="30" spans="1:9">
      <c r="A30" s="2" t="s">
        <v>273</v>
      </c>
      <c r="B30" s="2">
        <v>2</v>
      </c>
      <c r="C30" s="2"/>
      <c r="D30" s="2" t="s">
        <v>265</v>
      </c>
      <c r="E30" s="2"/>
      <c r="F30" s="2"/>
      <c r="G30" s="2"/>
      <c r="H30" s="2" t="str">
        <f t="shared" si="0"/>
        <v>FAIL</v>
      </c>
      <c r="I30" s="2"/>
    </row>
    <row r="31" spans="1:9">
      <c r="A31" s="2" t="s">
        <v>274</v>
      </c>
      <c r="B31" s="2">
        <v>1</v>
      </c>
      <c r="C31" s="2"/>
      <c r="D31" s="2" t="s">
        <v>275</v>
      </c>
      <c r="E31" s="2"/>
      <c r="F31" s="2"/>
      <c r="G31" s="2"/>
      <c r="H31" s="2" t="str">
        <f t="shared" si="0"/>
        <v>FAIL</v>
      </c>
      <c r="I31" s="2"/>
    </row>
    <row r="32" spans="1:9">
      <c r="A32" s="2" t="s">
        <v>276</v>
      </c>
      <c r="B32" s="2">
        <v>5</v>
      </c>
      <c r="C32" s="2"/>
      <c r="D32" s="2" t="s">
        <v>265</v>
      </c>
      <c r="E32" s="2"/>
      <c r="F32" s="2"/>
      <c r="G32" s="2"/>
      <c r="H32" s="2" t="str">
        <f t="shared" si="0"/>
        <v>FAIL</v>
      </c>
      <c r="I32" s="2"/>
    </row>
    <row r="33" spans="1:9">
      <c r="A33" s="2" t="s">
        <v>277</v>
      </c>
      <c r="B33" s="2">
        <v>2</v>
      </c>
      <c r="C33" s="2"/>
      <c r="D33" s="2" t="s">
        <v>265</v>
      </c>
      <c r="E33" s="2"/>
      <c r="F33" s="2"/>
      <c r="G33" s="2"/>
      <c r="H33" s="2" t="str">
        <f t="shared" si="0"/>
        <v>FAIL</v>
      </c>
      <c r="I33" s="2"/>
    </row>
    <row r="34" spans="1:9" ht="28">
      <c r="A34" s="2" t="s">
        <v>278</v>
      </c>
      <c r="B34" s="2">
        <v>20</v>
      </c>
      <c r="C34" s="2"/>
      <c r="D34" s="2" t="s">
        <v>270</v>
      </c>
      <c r="E34" s="2"/>
      <c r="F34" s="2"/>
      <c r="G34" s="2"/>
      <c r="H34" s="2" t="str">
        <f t="shared" si="0"/>
        <v>FAIL</v>
      </c>
      <c r="I34" s="2"/>
    </row>
    <row r="35" spans="1:9">
      <c r="A35" s="2" t="s">
        <v>279</v>
      </c>
      <c r="B35" s="2">
        <v>20</v>
      </c>
      <c r="C35" s="2"/>
      <c r="D35" s="2" t="s">
        <v>270</v>
      </c>
      <c r="E35" s="2"/>
      <c r="F35" s="2"/>
      <c r="G35" s="2"/>
      <c r="H35" s="2" t="str">
        <f t="shared" si="0"/>
        <v>FAIL</v>
      </c>
      <c r="I35" s="2"/>
    </row>
    <row r="36" spans="1:9" ht="28">
      <c r="A36" s="2" t="s">
        <v>280</v>
      </c>
      <c r="B36" s="2">
        <v>1</v>
      </c>
      <c r="C36" s="2"/>
      <c r="D36" s="2" t="s">
        <v>281</v>
      </c>
      <c r="E36" s="2"/>
      <c r="F36" s="2"/>
      <c r="G36" s="2"/>
      <c r="H36" s="2" t="str">
        <f t="shared" si="0"/>
        <v>FAIL</v>
      </c>
      <c r="I36" s="2"/>
    </row>
    <row r="37" spans="1:9" ht="28">
      <c r="A37" s="2" t="s">
        <v>282</v>
      </c>
      <c r="B37" s="2">
        <v>1</v>
      </c>
      <c r="C37" s="2"/>
      <c r="D37" s="2" t="s">
        <v>281</v>
      </c>
      <c r="E37" s="2"/>
      <c r="F37" s="2"/>
      <c r="G37" s="2"/>
      <c r="H37" s="2" t="str">
        <f t="shared" si="0"/>
        <v>FAIL</v>
      </c>
      <c r="I37" s="2"/>
    </row>
    <row r="38" spans="1:9" ht="28">
      <c r="A38" s="2" t="s">
        <v>283</v>
      </c>
      <c r="B38" s="2">
        <v>1</v>
      </c>
      <c r="C38" s="2"/>
      <c r="D38" s="2" t="s">
        <v>281</v>
      </c>
      <c r="E38" s="2"/>
      <c r="F38" s="2"/>
      <c r="G38" s="2"/>
      <c r="H38" s="2" t="str">
        <f t="shared" si="0"/>
        <v>FAIL</v>
      </c>
      <c r="I38" s="2"/>
    </row>
    <row r="39" spans="1:9" ht="28">
      <c r="A39" s="2" t="s">
        <v>284</v>
      </c>
      <c r="B39" s="2">
        <v>1</v>
      </c>
      <c r="C39" s="2"/>
      <c r="D39" s="2" t="s">
        <v>285</v>
      </c>
      <c r="E39" s="2"/>
      <c r="F39" s="2"/>
      <c r="G39" s="2"/>
      <c r="H39" s="2" t="str">
        <f t="shared" si="0"/>
        <v>FAIL</v>
      </c>
      <c r="I39" s="2"/>
    </row>
    <row r="40" spans="1:9" ht="28">
      <c r="A40" s="2" t="s">
        <v>286</v>
      </c>
      <c r="B40" s="2">
        <v>1</v>
      </c>
      <c r="C40" s="2"/>
      <c r="D40" s="2" t="s">
        <v>287</v>
      </c>
      <c r="E40" s="2"/>
      <c r="F40" s="2"/>
      <c r="G40" s="2"/>
      <c r="H40" s="2" t="str">
        <f t="shared" si="0"/>
        <v>FAIL</v>
      </c>
      <c r="I40" s="2"/>
    </row>
    <row r="41" spans="1:9" ht="28">
      <c r="A41" s="2" t="s">
        <v>288</v>
      </c>
      <c r="B41" s="2">
        <v>1</v>
      </c>
      <c r="C41" s="2"/>
      <c r="D41" s="2" t="s">
        <v>281</v>
      </c>
      <c r="E41" s="2"/>
      <c r="F41" s="2"/>
      <c r="G41" s="2"/>
      <c r="H41" s="2" t="str">
        <f t="shared" si="0"/>
        <v>FAIL</v>
      </c>
      <c r="I41" s="2"/>
    </row>
    <row r="42" spans="1:9">
      <c r="A42" s="2"/>
      <c r="B42" s="2"/>
      <c r="C42" s="2"/>
      <c r="D42" s="2"/>
      <c r="E42" s="2"/>
      <c r="F42" s="2"/>
      <c r="G42" s="2"/>
      <c r="H42" s="2"/>
      <c r="I42" s="2"/>
    </row>
    <row r="43" spans="1:9">
      <c r="A43" s="2"/>
      <c r="B43" s="2"/>
      <c r="C43" s="2"/>
      <c r="D43" s="2"/>
      <c r="E43" s="2"/>
      <c r="F43" s="2"/>
      <c r="G43" s="2"/>
      <c r="H43" s="2"/>
      <c r="I43" s="2"/>
    </row>
    <row r="44" spans="1:9">
      <c r="A44" s="2"/>
      <c r="B44" s="2"/>
      <c r="C44" s="2"/>
      <c r="D44" s="2"/>
      <c r="E44" s="2"/>
      <c r="F44" s="2"/>
      <c r="G44" s="2"/>
      <c r="H44" s="2"/>
      <c r="I44" s="2"/>
    </row>
    <row r="45" spans="1:9">
      <c r="A45" s="2"/>
      <c r="B45" s="2"/>
      <c r="C45" s="2"/>
      <c r="D45" s="2"/>
      <c r="E45" s="2"/>
      <c r="F45" s="2"/>
      <c r="G45" s="2"/>
      <c r="H45" s="2"/>
      <c r="I45" s="2"/>
    </row>
    <row r="46" spans="1:9">
      <c r="A46" s="2"/>
      <c r="B46" s="2"/>
      <c r="C46" s="2"/>
      <c r="D46" s="2"/>
      <c r="E46" s="2"/>
      <c r="F46" s="2"/>
      <c r="G46" s="2"/>
      <c r="H46" s="2"/>
      <c r="I46" s="2"/>
    </row>
    <row r="47" spans="1:9">
      <c r="A47" s="2"/>
      <c r="B47" s="2"/>
      <c r="C47" s="2"/>
      <c r="D47" s="2"/>
      <c r="E47" s="2"/>
      <c r="F47" s="2"/>
      <c r="G47" s="2"/>
      <c r="H47" s="2"/>
      <c r="I47" s="2"/>
    </row>
    <row r="48" spans="1:9">
      <c r="A48" s="2"/>
      <c r="B48" s="2"/>
      <c r="C48" s="2"/>
      <c r="D48" s="2"/>
      <c r="E48" s="2"/>
      <c r="F48" s="2"/>
      <c r="G48" s="2"/>
      <c r="H48" s="2"/>
      <c r="I48" s="2"/>
    </row>
    <row r="49" spans="1:9">
      <c r="A49" s="2"/>
      <c r="B49" s="2"/>
      <c r="C49" s="2"/>
      <c r="D49" s="2"/>
      <c r="E49" s="2"/>
      <c r="F49" s="2"/>
      <c r="G49" s="2"/>
      <c r="H49" s="2"/>
      <c r="I49" s="2"/>
    </row>
    <row r="50" spans="1:9">
      <c r="A50" s="2"/>
      <c r="B50" s="2"/>
      <c r="C50" s="2"/>
      <c r="D50" s="2"/>
      <c r="E50" s="2"/>
      <c r="F50" s="2"/>
      <c r="G50" s="2"/>
      <c r="H50" s="2"/>
      <c r="I50" s="2"/>
    </row>
    <row r="51" spans="1:9">
      <c r="A51" s="2"/>
      <c r="B51" s="2"/>
      <c r="C51" s="2"/>
      <c r="D51" s="2"/>
      <c r="E51" s="2"/>
      <c r="F51" s="2"/>
      <c r="G51" s="2"/>
      <c r="H51" s="2"/>
      <c r="I51" s="2"/>
    </row>
    <row r="52" spans="1:9">
      <c r="A52" s="2"/>
      <c r="B52" s="2"/>
      <c r="C52" s="2"/>
      <c r="D52" s="2"/>
      <c r="E52" s="2"/>
      <c r="F52" s="2"/>
      <c r="G52" s="2"/>
      <c r="H52" s="2"/>
      <c r="I52" s="2"/>
    </row>
    <row r="53" spans="1:9">
      <c r="A53" s="2"/>
      <c r="B53" s="2"/>
      <c r="C53" s="2"/>
      <c r="D53" s="2"/>
      <c r="E53" s="2"/>
      <c r="F53" s="2"/>
      <c r="G53" s="2"/>
      <c r="H53" s="2"/>
      <c r="I53" s="2"/>
    </row>
    <row r="54" spans="1:9">
      <c r="A54" s="2"/>
      <c r="B54" s="2"/>
      <c r="C54" s="2"/>
      <c r="D54" s="2"/>
      <c r="E54" s="2"/>
      <c r="F54" s="2"/>
      <c r="G54" s="2"/>
      <c r="H54" s="2"/>
      <c r="I54" s="2"/>
    </row>
    <row r="55" spans="1:9">
      <c r="A55" s="2"/>
      <c r="B55" s="2"/>
      <c r="C55" s="2"/>
      <c r="D55" s="2"/>
      <c r="E55" s="2"/>
      <c r="F55" s="2"/>
      <c r="G55" s="2"/>
      <c r="H55" s="2"/>
      <c r="I55" s="2"/>
    </row>
    <row r="56" spans="1:9">
      <c r="A56" s="2"/>
      <c r="B56" s="2"/>
      <c r="C56" s="2"/>
      <c r="D56" s="2"/>
      <c r="E56" s="2"/>
      <c r="F56" s="2"/>
      <c r="G56" s="2"/>
      <c r="H56" s="2"/>
      <c r="I56" s="2"/>
    </row>
    <row r="57" spans="1:9">
      <c r="A57" s="2"/>
      <c r="B57" s="2"/>
      <c r="C57" s="2"/>
      <c r="D57" s="2"/>
      <c r="E57" s="2"/>
      <c r="F57" s="2"/>
      <c r="G57" s="2"/>
      <c r="H57" s="2"/>
      <c r="I57" s="2"/>
    </row>
    <row r="58" spans="1:9">
      <c r="A58" s="2"/>
      <c r="B58" s="2"/>
      <c r="C58" s="2"/>
      <c r="D58" s="2"/>
      <c r="E58" s="2"/>
      <c r="F58" s="2"/>
      <c r="G58" s="2"/>
      <c r="H58" s="2"/>
      <c r="I58" s="2"/>
    </row>
    <row r="59" spans="1:9">
      <c r="A59" s="2"/>
      <c r="B59" s="2"/>
      <c r="C59" s="2"/>
      <c r="D59" s="2"/>
      <c r="E59" s="2"/>
      <c r="F59" s="2"/>
      <c r="G59" s="2"/>
      <c r="H59" s="2"/>
      <c r="I59" s="2"/>
    </row>
    <row r="60" spans="1:9">
      <c r="A60" s="2"/>
      <c r="B60" s="2"/>
      <c r="C60" s="2"/>
      <c r="D60" s="2"/>
      <c r="E60" s="2"/>
      <c r="F60" s="2"/>
      <c r="G60" s="2"/>
      <c r="H60" s="2"/>
      <c r="I60" s="2"/>
    </row>
  </sheetData>
  <mergeCells count="2">
    <mergeCell ref="A1:I1"/>
    <mergeCell ref="A2:I2"/>
  </mergeCells>
  <dataValidations count="2">
    <dataValidation type="list" sqref="B7" xr:uid="{00000000-0002-0000-1400-000000000000}">
      <formula1>"Yes,No"</formula1>
    </dataValidation>
    <dataValidation type="list" sqref="F14:F41" xr:uid="{00000000-0002-0000-1400-000001000000}">
      <formula1>"Yes,No,N/A"</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60"/>
  <sheetViews>
    <sheetView workbookViewId="0"/>
  </sheetViews>
  <sheetFormatPr defaultRowHeight="14"/>
  <cols>
    <col min="1" max="8" width="18" customWidth="1"/>
  </cols>
  <sheetData>
    <row r="1" spans="1:8" ht="20">
      <c r="A1" s="6" t="s">
        <v>347</v>
      </c>
      <c r="B1" s="7"/>
      <c r="C1" s="7"/>
      <c r="D1" s="7"/>
      <c r="E1" s="7"/>
      <c r="F1" s="7"/>
      <c r="G1" s="7"/>
      <c r="H1" s="7"/>
    </row>
    <row r="2" spans="1:8" ht="14.5">
      <c r="A2" s="8" t="s">
        <v>290</v>
      </c>
      <c r="B2" s="7"/>
      <c r="C2" s="7"/>
      <c r="D2" s="7"/>
      <c r="E2" s="7"/>
      <c r="F2" s="7"/>
      <c r="G2" s="7"/>
      <c r="H2" s="7"/>
    </row>
    <row r="4" spans="1:8">
      <c r="A4" s="3" t="s">
        <v>107</v>
      </c>
      <c r="B4" t="s">
        <v>345</v>
      </c>
    </row>
    <row r="5" spans="1:8">
      <c r="A5" s="3" t="s">
        <v>110</v>
      </c>
    </row>
    <row r="6" spans="1:8">
      <c r="A6" s="3" t="s">
        <v>229</v>
      </c>
    </row>
    <row r="7" spans="1:8">
      <c r="A7" s="3" t="s">
        <v>230</v>
      </c>
    </row>
    <row r="8" spans="1:8">
      <c r="A8" s="3" t="s">
        <v>291</v>
      </c>
      <c r="B8">
        <f>COUNTA(A14:A60)</f>
        <v>22</v>
      </c>
    </row>
    <row r="9" spans="1:8">
      <c r="A9" s="3" t="s">
        <v>292</v>
      </c>
      <c r="B9">
        <f>COUNTIF(G14:G60,"FAIL")</f>
        <v>22</v>
      </c>
    </row>
    <row r="10" spans="1:8">
      <c r="A10" s="3" t="s">
        <v>46</v>
      </c>
      <c r="B10" t="str">
        <f>IF(AND(B7="Yes",B9=0),"Complete","Incomplete")</f>
        <v>Incomplete</v>
      </c>
    </row>
    <row r="13" spans="1:8">
      <c r="A13" s="1" t="s">
        <v>233</v>
      </c>
      <c r="B13" s="1" t="s">
        <v>234</v>
      </c>
      <c r="C13" s="1" t="s">
        <v>235</v>
      </c>
      <c r="D13" s="1" t="s">
        <v>293</v>
      </c>
      <c r="E13" s="1" t="s">
        <v>294</v>
      </c>
      <c r="F13" s="1" t="s">
        <v>239</v>
      </c>
      <c r="G13" s="1" t="s">
        <v>240</v>
      </c>
      <c r="H13" s="1" t="s">
        <v>241</v>
      </c>
    </row>
    <row r="14" spans="1:8" ht="28">
      <c r="A14" s="2" t="s">
        <v>295</v>
      </c>
      <c r="B14" s="2">
        <v>6</v>
      </c>
      <c r="C14" s="2"/>
      <c r="D14" s="2"/>
      <c r="E14" s="2"/>
      <c r="F14" s="2"/>
      <c r="G14" s="2" t="str">
        <f t="shared" ref="G14:G35" si="0">IF(OR(C14&lt;B14,E14="No"),"FAIL","PASS")</f>
        <v>FAIL</v>
      </c>
      <c r="H14" s="2"/>
    </row>
    <row r="15" spans="1:8" ht="28">
      <c r="A15" s="2" t="s">
        <v>296</v>
      </c>
      <c r="B15" s="2">
        <v>8</v>
      </c>
      <c r="C15" s="2"/>
      <c r="D15" s="2"/>
      <c r="E15" s="2"/>
      <c r="F15" s="2"/>
      <c r="G15" s="2" t="str">
        <f t="shared" si="0"/>
        <v>FAIL</v>
      </c>
      <c r="H15" s="2"/>
    </row>
    <row r="16" spans="1:8" ht="28">
      <c r="A16" s="2" t="s">
        <v>297</v>
      </c>
      <c r="B16" s="2">
        <v>10</v>
      </c>
      <c r="C16" s="2"/>
      <c r="D16" s="2"/>
      <c r="E16" s="2"/>
      <c r="F16" s="2"/>
      <c r="G16" s="2" t="str">
        <f t="shared" si="0"/>
        <v>FAIL</v>
      </c>
      <c r="H16" s="2"/>
    </row>
    <row r="17" spans="1:8">
      <c r="A17" s="2" t="s">
        <v>298</v>
      </c>
      <c r="B17" s="2">
        <v>4</v>
      </c>
      <c r="C17" s="2"/>
      <c r="D17" s="2"/>
      <c r="E17" s="2"/>
      <c r="F17" s="2"/>
      <c r="G17" s="2" t="str">
        <f t="shared" si="0"/>
        <v>FAIL</v>
      </c>
      <c r="H17" s="2"/>
    </row>
    <row r="18" spans="1:8">
      <c r="A18" s="2" t="s">
        <v>299</v>
      </c>
      <c r="B18" s="2">
        <v>6</v>
      </c>
      <c r="C18" s="2"/>
      <c r="D18" s="2"/>
      <c r="E18" s="2"/>
      <c r="F18" s="2"/>
      <c r="G18" s="2" t="str">
        <f t="shared" si="0"/>
        <v>FAIL</v>
      </c>
      <c r="H18" s="2"/>
    </row>
    <row r="19" spans="1:8" ht="28">
      <c r="A19" s="2" t="s">
        <v>300</v>
      </c>
      <c r="B19" s="2">
        <v>6</v>
      </c>
      <c r="C19" s="2"/>
      <c r="D19" s="2"/>
      <c r="E19" s="2"/>
      <c r="F19" s="2"/>
      <c r="G19" s="2" t="str">
        <f t="shared" si="0"/>
        <v>FAIL</v>
      </c>
      <c r="H19" s="2"/>
    </row>
    <row r="20" spans="1:8">
      <c r="A20" s="2" t="s">
        <v>301</v>
      </c>
      <c r="B20" s="2">
        <v>10</v>
      </c>
      <c r="C20" s="2"/>
      <c r="D20" s="2"/>
      <c r="E20" s="2"/>
      <c r="F20" s="2"/>
      <c r="G20" s="2" t="str">
        <f t="shared" si="0"/>
        <v>FAIL</v>
      </c>
      <c r="H20" s="2"/>
    </row>
    <row r="21" spans="1:8">
      <c r="A21" s="2" t="s">
        <v>302</v>
      </c>
      <c r="B21" s="2">
        <v>4</v>
      </c>
      <c r="C21" s="2"/>
      <c r="D21" s="2"/>
      <c r="E21" s="2"/>
      <c r="F21" s="2"/>
      <c r="G21" s="2" t="str">
        <f t="shared" si="0"/>
        <v>FAIL</v>
      </c>
      <c r="H21" s="2"/>
    </row>
    <row r="22" spans="1:8" ht="28">
      <c r="A22" s="2" t="s">
        <v>303</v>
      </c>
      <c r="B22" s="2">
        <v>4</v>
      </c>
      <c r="C22" s="2"/>
      <c r="D22" s="2"/>
      <c r="E22" s="2"/>
      <c r="F22" s="2"/>
      <c r="G22" s="2" t="str">
        <f t="shared" si="0"/>
        <v>FAIL</v>
      </c>
      <c r="H22" s="2"/>
    </row>
    <row r="23" spans="1:8">
      <c r="A23" s="2" t="s">
        <v>304</v>
      </c>
      <c r="B23" s="2">
        <v>2</v>
      </c>
      <c r="C23" s="2"/>
      <c r="D23" s="2"/>
      <c r="E23" s="2"/>
      <c r="F23" s="2"/>
      <c r="G23" s="2" t="str">
        <f t="shared" si="0"/>
        <v>FAIL</v>
      </c>
      <c r="H23" s="2"/>
    </row>
    <row r="24" spans="1:8" ht="28">
      <c r="A24" s="2" t="s">
        <v>305</v>
      </c>
      <c r="B24" s="2">
        <v>50</v>
      </c>
      <c r="C24" s="2"/>
      <c r="D24" s="2"/>
      <c r="E24" s="2"/>
      <c r="F24" s="2"/>
      <c r="G24" s="2" t="str">
        <f t="shared" si="0"/>
        <v>FAIL</v>
      </c>
      <c r="H24" s="2"/>
    </row>
    <row r="25" spans="1:8">
      <c r="A25" s="2" t="s">
        <v>306</v>
      </c>
      <c r="B25" s="2">
        <v>2</v>
      </c>
      <c r="C25" s="2"/>
      <c r="D25" s="2"/>
      <c r="E25" s="2"/>
      <c r="F25" s="2"/>
      <c r="G25" s="2" t="str">
        <f t="shared" si="0"/>
        <v>FAIL</v>
      </c>
      <c r="H25" s="2"/>
    </row>
    <row r="26" spans="1:8">
      <c r="A26" s="2" t="s">
        <v>307</v>
      </c>
      <c r="B26" s="2">
        <v>2</v>
      </c>
      <c r="C26" s="2"/>
      <c r="D26" s="2"/>
      <c r="E26" s="2"/>
      <c r="F26" s="2"/>
      <c r="G26" s="2" t="str">
        <f t="shared" si="0"/>
        <v>FAIL</v>
      </c>
      <c r="H26" s="2"/>
    </row>
    <row r="27" spans="1:8" ht="28">
      <c r="A27" s="2" t="s">
        <v>308</v>
      </c>
      <c r="B27" s="2">
        <v>2</v>
      </c>
      <c r="C27" s="2"/>
      <c r="D27" s="2"/>
      <c r="E27" s="2"/>
      <c r="F27" s="2"/>
      <c r="G27" s="2" t="str">
        <f t="shared" si="0"/>
        <v>FAIL</v>
      </c>
      <c r="H27" s="2"/>
    </row>
    <row r="28" spans="1:8">
      <c r="A28" s="2" t="s">
        <v>309</v>
      </c>
      <c r="B28" s="2">
        <v>4</v>
      </c>
      <c r="C28" s="2"/>
      <c r="D28" s="2"/>
      <c r="E28" s="2"/>
      <c r="F28" s="2"/>
      <c r="G28" s="2" t="str">
        <f t="shared" si="0"/>
        <v>FAIL</v>
      </c>
      <c r="H28" s="2"/>
    </row>
    <row r="29" spans="1:8">
      <c r="A29" s="2" t="s">
        <v>310</v>
      </c>
      <c r="B29" s="2">
        <v>20</v>
      </c>
      <c r="C29" s="2"/>
      <c r="D29" s="2"/>
      <c r="E29" s="2"/>
      <c r="F29" s="2"/>
      <c r="G29" s="2" t="str">
        <f t="shared" si="0"/>
        <v>FAIL</v>
      </c>
      <c r="H29" s="2"/>
    </row>
    <row r="30" spans="1:8" ht="28">
      <c r="A30" s="2" t="s">
        <v>311</v>
      </c>
      <c r="B30" s="2">
        <v>1</v>
      </c>
      <c r="C30" s="2"/>
      <c r="D30" s="2"/>
      <c r="E30" s="2"/>
      <c r="F30" s="2"/>
      <c r="G30" s="2" t="str">
        <f t="shared" si="0"/>
        <v>FAIL</v>
      </c>
      <c r="H30" s="2"/>
    </row>
    <row r="31" spans="1:8" ht="28">
      <c r="A31" s="2" t="s">
        <v>312</v>
      </c>
      <c r="B31" s="2">
        <v>1</v>
      </c>
      <c r="C31" s="2"/>
      <c r="D31" s="2"/>
      <c r="E31" s="2"/>
      <c r="F31" s="2"/>
      <c r="G31" s="2" t="str">
        <f t="shared" si="0"/>
        <v>FAIL</v>
      </c>
      <c r="H31" s="2"/>
    </row>
    <row r="32" spans="1:8" ht="28">
      <c r="A32" s="2" t="s">
        <v>313</v>
      </c>
      <c r="B32" s="2">
        <v>1</v>
      </c>
      <c r="C32" s="2"/>
      <c r="D32" s="2"/>
      <c r="E32" s="2"/>
      <c r="F32" s="2"/>
      <c r="G32" s="2" t="str">
        <f t="shared" si="0"/>
        <v>FAIL</v>
      </c>
      <c r="H32" s="2"/>
    </row>
    <row r="33" spans="1:8" ht="28">
      <c r="A33" s="2" t="s">
        <v>314</v>
      </c>
      <c r="B33" s="2">
        <v>1</v>
      </c>
      <c r="C33" s="2"/>
      <c r="D33" s="2"/>
      <c r="E33" s="2"/>
      <c r="F33" s="2"/>
      <c r="G33" s="2" t="str">
        <f t="shared" si="0"/>
        <v>FAIL</v>
      </c>
      <c r="H33" s="2"/>
    </row>
    <row r="34" spans="1:8" ht="28">
      <c r="A34" s="2" t="s">
        <v>315</v>
      </c>
      <c r="B34" s="2">
        <v>1</v>
      </c>
      <c r="C34" s="2"/>
      <c r="D34" s="2"/>
      <c r="E34" s="2"/>
      <c r="F34" s="2"/>
      <c r="G34" s="2" t="str">
        <f t="shared" si="0"/>
        <v>FAIL</v>
      </c>
      <c r="H34" s="2"/>
    </row>
    <row r="35" spans="1:8" ht="28">
      <c r="A35" s="2" t="s">
        <v>316</v>
      </c>
      <c r="B35" s="2">
        <v>1</v>
      </c>
      <c r="C35" s="2"/>
      <c r="D35" s="2"/>
      <c r="E35" s="2"/>
      <c r="F35" s="2"/>
      <c r="G35" s="2" t="str">
        <f t="shared" si="0"/>
        <v>FAIL</v>
      </c>
      <c r="H35" s="2"/>
    </row>
    <row r="36" spans="1:8">
      <c r="A36" s="2"/>
      <c r="B36" s="2"/>
      <c r="C36" s="2"/>
      <c r="D36" s="2"/>
      <c r="E36" s="2"/>
      <c r="F36" s="2"/>
      <c r="G36" s="2"/>
      <c r="H36" s="2"/>
    </row>
    <row r="37" spans="1:8">
      <c r="A37" s="2"/>
      <c r="B37" s="2"/>
      <c r="C37" s="2"/>
      <c r="D37" s="2"/>
      <c r="E37" s="2"/>
      <c r="F37" s="2"/>
      <c r="G37" s="2"/>
      <c r="H37" s="2"/>
    </row>
    <row r="38" spans="1:8">
      <c r="A38" s="2"/>
      <c r="B38" s="2"/>
      <c r="C38" s="2"/>
      <c r="D38" s="2"/>
      <c r="E38" s="2"/>
      <c r="F38" s="2"/>
      <c r="G38" s="2"/>
      <c r="H38" s="2"/>
    </row>
    <row r="39" spans="1:8">
      <c r="A39" s="2"/>
      <c r="B39" s="2"/>
      <c r="C39" s="2"/>
      <c r="D39" s="2"/>
      <c r="E39" s="2"/>
      <c r="F39" s="2"/>
      <c r="G39" s="2"/>
      <c r="H39" s="2"/>
    </row>
    <row r="40" spans="1:8">
      <c r="A40" s="2"/>
      <c r="B40" s="2"/>
      <c r="C40" s="2"/>
      <c r="D40" s="2"/>
      <c r="E40" s="2"/>
      <c r="F40" s="2"/>
      <c r="G40" s="2"/>
      <c r="H40" s="2"/>
    </row>
    <row r="41" spans="1:8">
      <c r="A41" s="2"/>
      <c r="B41" s="2"/>
      <c r="C41" s="2"/>
      <c r="D41" s="2"/>
      <c r="E41" s="2"/>
      <c r="F41" s="2"/>
      <c r="G41" s="2"/>
      <c r="H41" s="2"/>
    </row>
    <row r="42" spans="1:8">
      <c r="A42" s="2"/>
      <c r="B42" s="2"/>
      <c r="C42" s="2"/>
      <c r="D42" s="2"/>
      <c r="E42" s="2"/>
      <c r="F42" s="2"/>
      <c r="G42" s="2"/>
      <c r="H42" s="2"/>
    </row>
    <row r="43" spans="1:8">
      <c r="A43" s="2"/>
      <c r="B43" s="2"/>
      <c r="C43" s="2"/>
      <c r="D43" s="2"/>
      <c r="E43" s="2"/>
      <c r="F43" s="2"/>
      <c r="G43" s="2"/>
      <c r="H43" s="2"/>
    </row>
    <row r="44" spans="1:8">
      <c r="A44" s="2"/>
      <c r="B44" s="2"/>
      <c r="C44" s="2"/>
      <c r="D44" s="2"/>
      <c r="E44" s="2"/>
      <c r="F44" s="2"/>
      <c r="G44" s="2"/>
      <c r="H44" s="2"/>
    </row>
    <row r="45" spans="1:8">
      <c r="A45" s="2"/>
      <c r="B45" s="2"/>
      <c r="C45" s="2"/>
      <c r="D45" s="2"/>
      <c r="E45" s="2"/>
      <c r="F45" s="2"/>
      <c r="G45" s="2"/>
      <c r="H45" s="2"/>
    </row>
    <row r="46" spans="1:8">
      <c r="A46" s="2"/>
      <c r="B46" s="2"/>
      <c r="C46" s="2"/>
      <c r="D46" s="2"/>
      <c r="E46" s="2"/>
      <c r="F46" s="2"/>
      <c r="G46" s="2"/>
      <c r="H46" s="2"/>
    </row>
    <row r="47" spans="1:8">
      <c r="A47" s="2"/>
      <c r="B47" s="2"/>
      <c r="C47" s="2"/>
      <c r="D47" s="2"/>
      <c r="E47" s="2"/>
      <c r="F47" s="2"/>
      <c r="G47" s="2"/>
      <c r="H47" s="2"/>
    </row>
    <row r="48" spans="1:8">
      <c r="A48" s="2"/>
      <c r="B48" s="2"/>
      <c r="C48" s="2"/>
      <c r="D48" s="2"/>
      <c r="E48" s="2"/>
      <c r="F48" s="2"/>
      <c r="G48" s="2"/>
      <c r="H48" s="2"/>
    </row>
    <row r="49" spans="1:8">
      <c r="A49" s="2"/>
      <c r="B49" s="2"/>
      <c r="C49" s="2"/>
      <c r="D49" s="2"/>
      <c r="E49" s="2"/>
      <c r="F49" s="2"/>
      <c r="G49" s="2"/>
      <c r="H49" s="2"/>
    </row>
    <row r="50" spans="1:8">
      <c r="A50" s="2"/>
      <c r="B50" s="2"/>
      <c r="C50" s="2"/>
      <c r="D50" s="2"/>
      <c r="E50" s="2"/>
      <c r="F50" s="2"/>
      <c r="G50" s="2"/>
      <c r="H50" s="2"/>
    </row>
    <row r="51" spans="1:8">
      <c r="A51" s="2"/>
      <c r="B51" s="2"/>
      <c r="C51" s="2"/>
      <c r="D51" s="2"/>
      <c r="E51" s="2"/>
      <c r="F51" s="2"/>
      <c r="G51" s="2"/>
      <c r="H51" s="2"/>
    </row>
    <row r="52" spans="1:8">
      <c r="A52" s="2"/>
      <c r="B52" s="2"/>
      <c r="C52" s="2"/>
      <c r="D52" s="2"/>
      <c r="E52" s="2"/>
      <c r="F52" s="2"/>
      <c r="G52" s="2"/>
      <c r="H52" s="2"/>
    </row>
    <row r="53" spans="1:8">
      <c r="A53" s="2"/>
      <c r="B53" s="2"/>
      <c r="C53" s="2"/>
      <c r="D53" s="2"/>
      <c r="E53" s="2"/>
      <c r="F53" s="2"/>
      <c r="G53" s="2"/>
      <c r="H53" s="2"/>
    </row>
    <row r="54" spans="1:8">
      <c r="A54" s="2"/>
      <c r="B54" s="2"/>
      <c r="C54" s="2"/>
      <c r="D54" s="2"/>
      <c r="E54" s="2"/>
      <c r="F54" s="2"/>
      <c r="G54" s="2"/>
      <c r="H54" s="2"/>
    </row>
    <row r="55" spans="1:8">
      <c r="A55" s="2"/>
      <c r="B55" s="2"/>
      <c r="C55" s="2"/>
      <c r="D55" s="2"/>
      <c r="E55" s="2"/>
      <c r="F55" s="2"/>
      <c r="G55" s="2"/>
      <c r="H55" s="2"/>
    </row>
    <row r="56" spans="1:8">
      <c r="A56" s="2"/>
      <c r="B56" s="2"/>
      <c r="C56" s="2"/>
      <c r="D56" s="2"/>
      <c r="E56" s="2"/>
      <c r="F56" s="2"/>
      <c r="G56" s="2"/>
      <c r="H56" s="2"/>
    </row>
    <row r="57" spans="1:8">
      <c r="A57" s="2"/>
      <c r="B57" s="2"/>
      <c r="C57" s="2"/>
      <c r="D57" s="2"/>
      <c r="E57" s="2"/>
      <c r="F57" s="2"/>
      <c r="G57" s="2"/>
      <c r="H57" s="2"/>
    </row>
    <row r="58" spans="1:8">
      <c r="A58" s="2"/>
      <c r="B58" s="2"/>
      <c r="C58" s="2"/>
      <c r="D58" s="2"/>
      <c r="E58" s="2"/>
      <c r="F58" s="2"/>
      <c r="G58" s="2"/>
      <c r="H58" s="2"/>
    </row>
    <row r="59" spans="1:8">
      <c r="A59" s="2"/>
      <c r="B59" s="2"/>
      <c r="C59" s="2"/>
      <c r="D59" s="2"/>
      <c r="E59" s="2"/>
      <c r="F59" s="2"/>
      <c r="G59" s="2"/>
      <c r="H59" s="2"/>
    </row>
    <row r="60" spans="1:8">
      <c r="A60" s="2"/>
      <c r="B60" s="2"/>
      <c r="C60" s="2"/>
      <c r="D60" s="2"/>
      <c r="E60" s="2"/>
      <c r="F60" s="2"/>
      <c r="G60" s="2"/>
      <c r="H60" s="2"/>
    </row>
  </sheetData>
  <mergeCells count="2">
    <mergeCell ref="A1:H1"/>
    <mergeCell ref="A2:H2"/>
  </mergeCells>
  <dataValidations count="2">
    <dataValidation type="list" sqref="B7" xr:uid="{00000000-0002-0000-1500-000000000000}">
      <formula1>"Yes,No"</formula1>
    </dataValidation>
    <dataValidation type="list" sqref="E14:E35" xr:uid="{00000000-0002-0000-1500-000001000000}">
      <formula1>"Yes,No,N/A"</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113"/>
  <sheetViews>
    <sheetView workbookViewId="0"/>
  </sheetViews>
  <sheetFormatPr defaultRowHeight="14"/>
  <cols>
    <col min="1" max="2" width="17" customWidth="1"/>
    <col min="3" max="3" width="25" customWidth="1"/>
    <col min="4" max="13" width="17" customWidth="1"/>
    <col min="14" max="14" width="28" customWidth="1"/>
    <col min="15" max="15" width="17" customWidth="1"/>
  </cols>
  <sheetData>
    <row r="1" spans="1:15" ht="20">
      <c r="A1" s="6" t="s">
        <v>348</v>
      </c>
      <c r="B1" s="7"/>
      <c r="C1" s="7"/>
      <c r="D1" s="7"/>
      <c r="E1" s="7"/>
      <c r="F1" s="7"/>
      <c r="G1" s="7"/>
      <c r="H1" s="7"/>
      <c r="I1" s="7"/>
      <c r="J1" s="7"/>
      <c r="K1" s="7"/>
      <c r="L1" s="7"/>
      <c r="M1" s="7"/>
      <c r="N1" s="7"/>
      <c r="O1" s="7"/>
    </row>
    <row r="2" spans="1:15" ht="14.5">
      <c r="A2" s="8" t="s">
        <v>318</v>
      </c>
      <c r="B2" s="7"/>
      <c r="C2" s="7"/>
      <c r="D2" s="7"/>
      <c r="E2" s="7"/>
      <c r="F2" s="7"/>
      <c r="G2" s="7"/>
      <c r="H2" s="7"/>
      <c r="I2" s="7"/>
      <c r="J2" s="7"/>
      <c r="K2" s="7"/>
      <c r="L2" s="7"/>
      <c r="M2" s="7"/>
      <c r="N2" s="7"/>
      <c r="O2" s="7"/>
    </row>
    <row r="4" spans="1:15">
      <c r="A4" s="3" t="s">
        <v>107</v>
      </c>
      <c r="B4" t="s">
        <v>345</v>
      </c>
    </row>
    <row r="5" spans="1:15">
      <c r="A5" s="3" t="s">
        <v>110</v>
      </c>
    </row>
    <row r="6" spans="1:15">
      <c r="A6" s="3" t="s">
        <v>229</v>
      </c>
    </row>
    <row r="7" spans="1:15">
      <c r="A7" s="3" t="s">
        <v>230</v>
      </c>
    </row>
    <row r="8" spans="1:15">
      <c r="A8" s="3" t="s">
        <v>319</v>
      </c>
      <c r="B8">
        <f>COUNTA(A14:A113)</f>
        <v>0</v>
      </c>
    </row>
    <row r="9" spans="1:15" ht="28">
      <c r="A9" s="3" t="s">
        <v>320</v>
      </c>
      <c r="B9">
        <f>COUNTIF(O14:O113,"FAIL")</f>
        <v>0</v>
      </c>
    </row>
    <row r="10" spans="1:15">
      <c r="A10" s="3" t="s">
        <v>46</v>
      </c>
      <c r="B10" t="str">
        <f>IF(AND(B7="Yes",B9=0),"Complete","Incomplete")</f>
        <v>Incomplete</v>
      </c>
    </row>
    <row r="13" spans="1:15" ht="42">
      <c r="A13" s="1" t="s">
        <v>120</v>
      </c>
      <c r="B13" s="1" t="s">
        <v>121</v>
      </c>
      <c r="C13" s="1" t="s">
        <v>321</v>
      </c>
      <c r="D13" s="1" t="s">
        <v>234</v>
      </c>
      <c r="E13" s="1" t="s">
        <v>235</v>
      </c>
      <c r="F13" s="1" t="s">
        <v>294</v>
      </c>
      <c r="G13" s="1" t="s">
        <v>322</v>
      </c>
      <c r="H13" s="1" t="s">
        <v>323</v>
      </c>
      <c r="I13" s="1" t="s">
        <v>324</v>
      </c>
      <c r="J13" s="1" t="s">
        <v>149</v>
      </c>
      <c r="K13" s="1" t="s">
        <v>325</v>
      </c>
      <c r="L13" s="1" t="s">
        <v>326</v>
      </c>
      <c r="M13" s="1" t="s">
        <v>327</v>
      </c>
      <c r="N13" s="1" t="s">
        <v>239</v>
      </c>
      <c r="O13" s="1" t="s">
        <v>328</v>
      </c>
    </row>
    <row r="14" spans="1:15">
      <c r="A14" s="2"/>
      <c r="B14" s="2"/>
      <c r="C14" s="2"/>
      <c r="D14" s="2"/>
      <c r="E14" s="2"/>
      <c r="F14" s="2"/>
      <c r="G14" s="2"/>
      <c r="H14" s="2"/>
      <c r="I14" s="2"/>
      <c r="J14" s="2"/>
      <c r="K14" s="2"/>
      <c r="L14" s="2"/>
      <c r="M14" s="2"/>
      <c r="N14" s="2"/>
      <c r="O14" s="2" t="str">
        <f t="shared" ref="O14:O45" si="0">IF(OR(E14&lt;D14,F14="No",G14="No",H14="No",I14="No",J14="No",K14="No",L14="No",M14="No"),"FAIL","PASS")</f>
        <v>PASS</v>
      </c>
    </row>
    <row r="15" spans="1:15">
      <c r="A15" s="2"/>
      <c r="B15" s="2"/>
      <c r="C15" s="2"/>
      <c r="D15" s="2"/>
      <c r="E15" s="2"/>
      <c r="F15" s="2"/>
      <c r="G15" s="2"/>
      <c r="H15" s="2"/>
      <c r="I15" s="2"/>
      <c r="J15" s="2"/>
      <c r="K15" s="2"/>
      <c r="L15" s="2"/>
      <c r="M15" s="2"/>
      <c r="N15" s="2"/>
      <c r="O15" s="2" t="str">
        <f t="shared" si="0"/>
        <v>PASS</v>
      </c>
    </row>
    <row r="16" spans="1:15">
      <c r="A16" s="2"/>
      <c r="B16" s="2"/>
      <c r="C16" s="2"/>
      <c r="D16" s="2"/>
      <c r="E16" s="2"/>
      <c r="F16" s="2"/>
      <c r="G16" s="2"/>
      <c r="H16" s="2"/>
      <c r="I16" s="2"/>
      <c r="J16" s="2"/>
      <c r="K16" s="2"/>
      <c r="L16" s="2"/>
      <c r="M16" s="2"/>
      <c r="N16" s="2"/>
      <c r="O16" s="2" t="str">
        <f t="shared" si="0"/>
        <v>PASS</v>
      </c>
    </row>
    <row r="17" spans="1:15">
      <c r="A17" s="2"/>
      <c r="B17" s="2"/>
      <c r="C17" s="2"/>
      <c r="D17" s="2"/>
      <c r="E17" s="2"/>
      <c r="F17" s="2"/>
      <c r="G17" s="2"/>
      <c r="H17" s="2"/>
      <c r="I17" s="2"/>
      <c r="J17" s="2"/>
      <c r="K17" s="2"/>
      <c r="L17" s="2"/>
      <c r="M17" s="2"/>
      <c r="N17" s="2"/>
      <c r="O17" s="2" t="str">
        <f t="shared" si="0"/>
        <v>PASS</v>
      </c>
    </row>
    <row r="18" spans="1:15">
      <c r="A18" s="2"/>
      <c r="B18" s="2"/>
      <c r="C18" s="2"/>
      <c r="D18" s="2"/>
      <c r="E18" s="2"/>
      <c r="F18" s="2"/>
      <c r="G18" s="2"/>
      <c r="H18" s="2"/>
      <c r="I18" s="2"/>
      <c r="J18" s="2"/>
      <c r="K18" s="2"/>
      <c r="L18" s="2"/>
      <c r="M18" s="2"/>
      <c r="N18" s="2"/>
      <c r="O18" s="2" t="str">
        <f t="shared" si="0"/>
        <v>PASS</v>
      </c>
    </row>
    <row r="19" spans="1:15">
      <c r="A19" s="2"/>
      <c r="B19" s="2"/>
      <c r="C19" s="2"/>
      <c r="D19" s="2"/>
      <c r="E19" s="2"/>
      <c r="F19" s="2"/>
      <c r="G19" s="2"/>
      <c r="H19" s="2"/>
      <c r="I19" s="2"/>
      <c r="J19" s="2"/>
      <c r="K19" s="2"/>
      <c r="L19" s="2"/>
      <c r="M19" s="2"/>
      <c r="N19" s="2"/>
      <c r="O19" s="2" t="str">
        <f t="shared" si="0"/>
        <v>PASS</v>
      </c>
    </row>
    <row r="20" spans="1:15">
      <c r="A20" s="2"/>
      <c r="B20" s="2"/>
      <c r="C20" s="2"/>
      <c r="D20" s="2"/>
      <c r="E20" s="2"/>
      <c r="F20" s="2"/>
      <c r="G20" s="2"/>
      <c r="H20" s="2"/>
      <c r="I20" s="2"/>
      <c r="J20" s="2"/>
      <c r="K20" s="2"/>
      <c r="L20" s="2"/>
      <c r="M20" s="2"/>
      <c r="N20" s="2"/>
      <c r="O20" s="2" t="str">
        <f t="shared" si="0"/>
        <v>PASS</v>
      </c>
    </row>
    <row r="21" spans="1:15">
      <c r="A21" s="2"/>
      <c r="B21" s="2"/>
      <c r="C21" s="2"/>
      <c r="D21" s="2"/>
      <c r="E21" s="2"/>
      <c r="F21" s="2"/>
      <c r="G21" s="2"/>
      <c r="H21" s="2"/>
      <c r="I21" s="2"/>
      <c r="J21" s="2"/>
      <c r="K21" s="2"/>
      <c r="L21" s="2"/>
      <c r="M21" s="2"/>
      <c r="N21" s="2"/>
      <c r="O21" s="2" t="str">
        <f t="shared" si="0"/>
        <v>PASS</v>
      </c>
    </row>
    <row r="22" spans="1:15">
      <c r="A22" s="2"/>
      <c r="B22" s="2"/>
      <c r="C22" s="2"/>
      <c r="D22" s="2"/>
      <c r="E22" s="2"/>
      <c r="F22" s="2"/>
      <c r="G22" s="2"/>
      <c r="H22" s="2"/>
      <c r="I22" s="2"/>
      <c r="J22" s="2"/>
      <c r="K22" s="2"/>
      <c r="L22" s="2"/>
      <c r="M22" s="2"/>
      <c r="N22" s="2"/>
      <c r="O22" s="2" t="str">
        <f t="shared" si="0"/>
        <v>PASS</v>
      </c>
    </row>
    <row r="23" spans="1:15">
      <c r="A23" s="2"/>
      <c r="B23" s="2"/>
      <c r="C23" s="2"/>
      <c r="D23" s="2"/>
      <c r="E23" s="2"/>
      <c r="F23" s="2"/>
      <c r="G23" s="2"/>
      <c r="H23" s="2"/>
      <c r="I23" s="2"/>
      <c r="J23" s="2"/>
      <c r="K23" s="2"/>
      <c r="L23" s="2"/>
      <c r="M23" s="2"/>
      <c r="N23" s="2"/>
      <c r="O23" s="2" t="str">
        <f t="shared" si="0"/>
        <v>PASS</v>
      </c>
    </row>
    <row r="24" spans="1:15">
      <c r="A24" s="2"/>
      <c r="B24" s="2"/>
      <c r="C24" s="2"/>
      <c r="D24" s="2"/>
      <c r="E24" s="2"/>
      <c r="F24" s="2"/>
      <c r="G24" s="2"/>
      <c r="H24" s="2"/>
      <c r="I24" s="2"/>
      <c r="J24" s="2"/>
      <c r="K24" s="2"/>
      <c r="L24" s="2"/>
      <c r="M24" s="2"/>
      <c r="N24" s="2"/>
      <c r="O24" s="2" t="str">
        <f t="shared" si="0"/>
        <v>PASS</v>
      </c>
    </row>
    <row r="25" spans="1:15">
      <c r="A25" s="2"/>
      <c r="B25" s="2"/>
      <c r="C25" s="2"/>
      <c r="D25" s="2"/>
      <c r="E25" s="2"/>
      <c r="F25" s="2"/>
      <c r="G25" s="2"/>
      <c r="H25" s="2"/>
      <c r="I25" s="2"/>
      <c r="J25" s="2"/>
      <c r="K25" s="2"/>
      <c r="L25" s="2"/>
      <c r="M25" s="2"/>
      <c r="N25" s="2"/>
      <c r="O25" s="2" t="str">
        <f t="shared" si="0"/>
        <v>PASS</v>
      </c>
    </row>
    <row r="26" spans="1:15">
      <c r="A26" s="2"/>
      <c r="B26" s="2"/>
      <c r="C26" s="2"/>
      <c r="D26" s="2"/>
      <c r="E26" s="2"/>
      <c r="F26" s="2"/>
      <c r="G26" s="2"/>
      <c r="H26" s="2"/>
      <c r="I26" s="2"/>
      <c r="J26" s="2"/>
      <c r="K26" s="2"/>
      <c r="L26" s="2"/>
      <c r="M26" s="2"/>
      <c r="N26" s="2"/>
      <c r="O26" s="2" t="str">
        <f t="shared" si="0"/>
        <v>PASS</v>
      </c>
    </row>
    <row r="27" spans="1:15">
      <c r="A27" s="2"/>
      <c r="B27" s="2"/>
      <c r="C27" s="2"/>
      <c r="D27" s="2"/>
      <c r="E27" s="2"/>
      <c r="F27" s="2"/>
      <c r="G27" s="2"/>
      <c r="H27" s="2"/>
      <c r="I27" s="2"/>
      <c r="J27" s="2"/>
      <c r="K27" s="2"/>
      <c r="L27" s="2"/>
      <c r="M27" s="2"/>
      <c r="N27" s="2"/>
      <c r="O27" s="2" t="str">
        <f t="shared" si="0"/>
        <v>PASS</v>
      </c>
    </row>
    <row r="28" spans="1:15">
      <c r="A28" s="2"/>
      <c r="B28" s="2"/>
      <c r="C28" s="2"/>
      <c r="D28" s="2"/>
      <c r="E28" s="2"/>
      <c r="F28" s="2"/>
      <c r="G28" s="2"/>
      <c r="H28" s="2"/>
      <c r="I28" s="2"/>
      <c r="J28" s="2"/>
      <c r="K28" s="2"/>
      <c r="L28" s="2"/>
      <c r="M28" s="2"/>
      <c r="N28" s="2"/>
      <c r="O28" s="2" t="str">
        <f t="shared" si="0"/>
        <v>PASS</v>
      </c>
    </row>
    <row r="29" spans="1:15">
      <c r="A29" s="2"/>
      <c r="B29" s="2"/>
      <c r="C29" s="2"/>
      <c r="D29" s="2"/>
      <c r="E29" s="2"/>
      <c r="F29" s="2"/>
      <c r="G29" s="2"/>
      <c r="H29" s="2"/>
      <c r="I29" s="2"/>
      <c r="J29" s="2"/>
      <c r="K29" s="2"/>
      <c r="L29" s="2"/>
      <c r="M29" s="2"/>
      <c r="N29" s="2"/>
      <c r="O29" s="2" t="str">
        <f t="shared" si="0"/>
        <v>PASS</v>
      </c>
    </row>
    <row r="30" spans="1:15">
      <c r="A30" s="2"/>
      <c r="B30" s="2"/>
      <c r="C30" s="2"/>
      <c r="D30" s="2"/>
      <c r="E30" s="2"/>
      <c r="F30" s="2"/>
      <c r="G30" s="2"/>
      <c r="H30" s="2"/>
      <c r="I30" s="2"/>
      <c r="J30" s="2"/>
      <c r="K30" s="2"/>
      <c r="L30" s="2"/>
      <c r="M30" s="2"/>
      <c r="N30" s="2"/>
      <c r="O30" s="2" t="str">
        <f t="shared" si="0"/>
        <v>PASS</v>
      </c>
    </row>
    <row r="31" spans="1:15">
      <c r="A31" s="2"/>
      <c r="B31" s="2"/>
      <c r="C31" s="2"/>
      <c r="D31" s="2"/>
      <c r="E31" s="2"/>
      <c r="F31" s="2"/>
      <c r="G31" s="2"/>
      <c r="H31" s="2"/>
      <c r="I31" s="2"/>
      <c r="J31" s="2"/>
      <c r="K31" s="2"/>
      <c r="L31" s="2"/>
      <c r="M31" s="2"/>
      <c r="N31" s="2"/>
      <c r="O31" s="2" t="str">
        <f t="shared" si="0"/>
        <v>PASS</v>
      </c>
    </row>
    <row r="32" spans="1:15">
      <c r="A32" s="2"/>
      <c r="B32" s="2"/>
      <c r="C32" s="2"/>
      <c r="D32" s="2"/>
      <c r="E32" s="2"/>
      <c r="F32" s="2"/>
      <c r="G32" s="2"/>
      <c r="H32" s="2"/>
      <c r="I32" s="2"/>
      <c r="J32" s="2"/>
      <c r="K32" s="2"/>
      <c r="L32" s="2"/>
      <c r="M32" s="2"/>
      <c r="N32" s="2"/>
      <c r="O32" s="2" t="str">
        <f t="shared" si="0"/>
        <v>PASS</v>
      </c>
    </row>
    <row r="33" spans="1:15">
      <c r="A33" s="2"/>
      <c r="B33" s="2"/>
      <c r="C33" s="2"/>
      <c r="D33" s="2"/>
      <c r="E33" s="2"/>
      <c r="F33" s="2"/>
      <c r="G33" s="2"/>
      <c r="H33" s="2"/>
      <c r="I33" s="2"/>
      <c r="J33" s="2"/>
      <c r="K33" s="2"/>
      <c r="L33" s="2"/>
      <c r="M33" s="2"/>
      <c r="N33" s="2"/>
      <c r="O33" s="2" t="str">
        <f t="shared" si="0"/>
        <v>PASS</v>
      </c>
    </row>
    <row r="34" spans="1:15">
      <c r="A34" s="2"/>
      <c r="B34" s="2"/>
      <c r="C34" s="2"/>
      <c r="D34" s="2"/>
      <c r="E34" s="2"/>
      <c r="F34" s="2"/>
      <c r="G34" s="2"/>
      <c r="H34" s="2"/>
      <c r="I34" s="2"/>
      <c r="J34" s="2"/>
      <c r="K34" s="2"/>
      <c r="L34" s="2"/>
      <c r="M34" s="2"/>
      <c r="N34" s="2"/>
      <c r="O34" s="2" t="str">
        <f t="shared" si="0"/>
        <v>PASS</v>
      </c>
    </row>
    <row r="35" spans="1:15">
      <c r="A35" s="2"/>
      <c r="B35" s="2"/>
      <c r="C35" s="2"/>
      <c r="D35" s="2"/>
      <c r="E35" s="2"/>
      <c r="F35" s="2"/>
      <c r="G35" s="2"/>
      <c r="H35" s="2"/>
      <c r="I35" s="2"/>
      <c r="J35" s="2"/>
      <c r="K35" s="2"/>
      <c r="L35" s="2"/>
      <c r="M35" s="2"/>
      <c r="N35" s="2"/>
      <c r="O35" s="2" t="str">
        <f t="shared" si="0"/>
        <v>PASS</v>
      </c>
    </row>
    <row r="36" spans="1:15">
      <c r="A36" s="2"/>
      <c r="B36" s="2"/>
      <c r="C36" s="2"/>
      <c r="D36" s="2"/>
      <c r="E36" s="2"/>
      <c r="F36" s="2"/>
      <c r="G36" s="2"/>
      <c r="H36" s="2"/>
      <c r="I36" s="2"/>
      <c r="J36" s="2"/>
      <c r="K36" s="2"/>
      <c r="L36" s="2"/>
      <c r="M36" s="2"/>
      <c r="N36" s="2"/>
      <c r="O36" s="2" t="str">
        <f t="shared" si="0"/>
        <v>PASS</v>
      </c>
    </row>
    <row r="37" spans="1:15">
      <c r="A37" s="2"/>
      <c r="B37" s="2"/>
      <c r="C37" s="2"/>
      <c r="D37" s="2"/>
      <c r="E37" s="2"/>
      <c r="F37" s="2"/>
      <c r="G37" s="2"/>
      <c r="H37" s="2"/>
      <c r="I37" s="2"/>
      <c r="J37" s="2"/>
      <c r="K37" s="2"/>
      <c r="L37" s="2"/>
      <c r="M37" s="2"/>
      <c r="N37" s="2"/>
      <c r="O37" s="2" t="str">
        <f t="shared" si="0"/>
        <v>PASS</v>
      </c>
    </row>
    <row r="38" spans="1:15">
      <c r="A38" s="2"/>
      <c r="B38" s="2"/>
      <c r="C38" s="2"/>
      <c r="D38" s="2"/>
      <c r="E38" s="2"/>
      <c r="F38" s="2"/>
      <c r="G38" s="2"/>
      <c r="H38" s="2"/>
      <c r="I38" s="2"/>
      <c r="J38" s="2"/>
      <c r="K38" s="2"/>
      <c r="L38" s="2"/>
      <c r="M38" s="2"/>
      <c r="N38" s="2"/>
      <c r="O38" s="2" t="str">
        <f t="shared" si="0"/>
        <v>PASS</v>
      </c>
    </row>
    <row r="39" spans="1:15">
      <c r="A39" s="2"/>
      <c r="B39" s="2"/>
      <c r="C39" s="2"/>
      <c r="D39" s="2"/>
      <c r="E39" s="2"/>
      <c r="F39" s="2"/>
      <c r="G39" s="2"/>
      <c r="H39" s="2"/>
      <c r="I39" s="2"/>
      <c r="J39" s="2"/>
      <c r="K39" s="2"/>
      <c r="L39" s="2"/>
      <c r="M39" s="2"/>
      <c r="N39" s="2"/>
      <c r="O39" s="2" t="str">
        <f t="shared" si="0"/>
        <v>PASS</v>
      </c>
    </row>
    <row r="40" spans="1:15">
      <c r="A40" s="2"/>
      <c r="B40" s="2"/>
      <c r="C40" s="2"/>
      <c r="D40" s="2"/>
      <c r="E40" s="2"/>
      <c r="F40" s="2"/>
      <c r="G40" s="2"/>
      <c r="H40" s="2"/>
      <c r="I40" s="2"/>
      <c r="J40" s="2"/>
      <c r="K40" s="2"/>
      <c r="L40" s="2"/>
      <c r="M40" s="2"/>
      <c r="N40" s="2"/>
      <c r="O40" s="2" t="str">
        <f t="shared" si="0"/>
        <v>PASS</v>
      </c>
    </row>
    <row r="41" spans="1:15">
      <c r="A41" s="2"/>
      <c r="B41" s="2"/>
      <c r="C41" s="2"/>
      <c r="D41" s="2"/>
      <c r="E41" s="2"/>
      <c r="F41" s="2"/>
      <c r="G41" s="2"/>
      <c r="H41" s="2"/>
      <c r="I41" s="2"/>
      <c r="J41" s="2"/>
      <c r="K41" s="2"/>
      <c r="L41" s="2"/>
      <c r="M41" s="2"/>
      <c r="N41" s="2"/>
      <c r="O41" s="2" t="str">
        <f t="shared" si="0"/>
        <v>PASS</v>
      </c>
    </row>
    <row r="42" spans="1:15">
      <c r="A42" s="2"/>
      <c r="B42" s="2"/>
      <c r="C42" s="2"/>
      <c r="D42" s="2"/>
      <c r="E42" s="2"/>
      <c r="F42" s="2"/>
      <c r="G42" s="2"/>
      <c r="H42" s="2"/>
      <c r="I42" s="2"/>
      <c r="J42" s="2"/>
      <c r="K42" s="2"/>
      <c r="L42" s="2"/>
      <c r="M42" s="2"/>
      <c r="N42" s="2"/>
      <c r="O42" s="2" t="str">
        <f t="shared" si="0"/>
        <v>PASS</v>
      </c>
    </row>
    <row r="43" spans="1:15">
      <c r="A43" s="2"/>
      <c r="B43" s="2"/>
      <c r="C43" s="2"/>
      <c r="D43" s="2"/>
      <c r="E43" s="2"/>
      <c r="F43" s="2"/>
      <c r="G43" s="2"/>
      <c r="H43" s="2"/>
      <c r="I43" s="2"/>
      <c r="J43" s="2"/>
      <c r="K43" s="2"/>
      <c r="L43" s="2"/>
      <c r="M43" s="2"/>
      <c r="N43" s="2"/>
      <c r="O43" s="2" t="str">
        <f t="shared" si="0"/>
        <v>PASS</v>
      </c>
    </row>
    <row r="44" spans="1:15">
      <c r="A44" s="2"/>
      <c r="B44" s="2"/>
      <c r="C44" s="2"/>
      <c r="D44" s="2"/>
      <c r="E44" s="2"/>
      <c r="F44" s="2"/>
      <c r="G44" s="2"/>
      <c r="H44" s="2"/>
      <c r="I44" s="2"/>
      <c r="J44" s="2"/>
      <c r="K44" s="2"/>
      <c r="L44" s="2"/>
      <c r="M44" s="2"/>
      <c r="N44" s="2"/>
      <c r="O44" s="2" t="str">
        <f t="shared" si="0"/>
        <v>PASS</v>
      </c>
    </row>
    <row r="45" spans="1:15">
      <c r="A45" s="2"/>
      <c r="B45" s="2"/>
      <c r="C45" s="2"/>
      <c r="D45" s="2"/>
      <c r="E45" s="2"/>
      <c r="F45" s="2"/>
      <c r="G45" s="2"/>
      <c r="H45" s="2"/>
      <c r="I45" s="2"/>
      <c r="J45" s="2"/>
      <c r="K45" s="2"/>
      <c r="L45" s="2"/>
      <c r="M45" s="2"/>
      <c r="N45" s="2"/>
      <c r="O45" s="2" t="str">
        <f t="shared" si="0"/>
        <v>PASS</v>
      </c>
    </row>
    <row r="46" spans="1:15">
      <c r="A46" s="2"/>
      <c r="B46" s="2"/>
      <c r="C46" s="2"/>
      <c r="D46" s="2"/>
      <c r="E46" s="2"/>
      <c r="F46" s="2"/>
      <c r="G46" s="2"/>
      <c r="H46" s="2"/>
      <c r="I46" s="2"/>
      <c r="J46" s="2"/>
      <c r="K46" s="2"/>
      <c r="L46" s="2"/>
      <c r="M46" s="2"/>
      <c r="N46" s="2"/>
      <c r="O46" s="2" t="str">
        <f t="shared" ref="O46:O77" si="1">IF(OR(E46&lt;D46,F46="No",G46="No",H46="No",I46="No",J46="No",K46="No",L46="No",M46="No"),"FAIL","PASS")</f>
        <v>PASS</v>
      </c>
    </row>
    <row r="47" spans="1:15">
      <c r="A47" s="2"/>
      <c r="B47" s="2"/>
      <c r="C47" s="2"/>
      <c r="D47" s="2"/>
      <c r="E47" s="2"/>
      <c r="F47" s="2"/>
      <c r="G47" s="2"/>
      <c r="H47" s="2"/>
      <c r="I47" s="2"/>
      <c r="J47" s="2"/>
      <c r="K47" s="2"/>
      <c r="L47" s="2"/>
      <c r="M47" s="2"/>
      <c r="N47" s="2"/>
      <c r="O47" s="2" t="str">
        <f t="shared" si="1"/>
        <v>PASS</v>
      </c>
    </row>
    <row r="48" spans="1:15">
      <c r="A48" s="2"/>
      <c r="B48" s="2"/>
      <c r="C48" s="2"/>
      <c r="D48" s="2"/>
      <c r="E48" s="2"/>
      <c r="F48" s="2"/>
      <c r="G48" s="2"/>
      <c r="H48" s="2"/>
      <c r="I48" s="2"/>
      <c r="J48" s="2"/>
      <c r="K48" s="2"/>
      <c r="L48" s="2"/>
      <c r="M48" s="2"/>
      <c r="N48" s="2"/>
      <c r="O48" s="2" t="str">
        <f t="shared" si="1"/>
        <v>PASS</v>
      </c>
    </row>
    <row r="49" spans="1:15">
      <c r="A49" s="2"/>
      <c r="B49" s="2"/>
      <c r="C49" s="2"/>
      <c r="D49" s="2"/>
      <c r="E49" s="2"/>
      <c r="F49" s="2"/>
      <c r="G49" s="2"/>
      <c r="H49" s="2"/>
      <c r="I49" s="2"/>
      <c r="J49" s="2"/>
      <c r="K49" s="2"/>
      <c r="L49" s="2"/>
      <c r="M49" s="2"/>
      <c r="N49" s="2"/>
      <c r="O49" s="2" t="str">
        <f t="shared" si="1"/>
        <v>PASS</v>
      </c>
    </row>
    <row r="50" spans="1:15">
      <c r="A50" s="2"/>
      <c r="B50" s="2"/>
      <c r="C50" s="2"/>
      <c r="D50" s="2"/>
      <c r="E50" s="2"/>
      <c r="F50" s="2"/>
      <c r="G50" s="2"/>
      <c r="H50" s="2"/>
      <c r="I50" s="2"/>
      <c r="J50" s="2"/>
      <c r="K50" s="2"/>
      <c r="L50" s="2"/>
      <c r="M50" s="2"/>
      <c r="N50" s="2"/>
      <c r="O50" s="2" t="str">
        <f t="shared" si="1"/>
        <v>PASS</v>
      </c>
    </row>
    <row r="51" spans="1:15">
      <c r="A51" s="2"/>
      <c r="B51" s="2"/>
      <c r="C51" s="2"/>
      <c r="D51" s="2"/>
      <c r="E51" s="2"/>
      <c r="F51" s="2"/>
      <c r="G51" s="2"/>
      <c r="H51" s="2"/>
      <c r="I51" s="2"/>
      <c r="J51" s="2"/>
      <c r="K51" s="2"/>
      <c r="L51" s="2"/>
      <c r="M51" s="2"/>
      <c r="N51" s="2"/>
      <c r="O51" s="2" t="str">
        <f t="shared" si="1"/>
        <v>PASS</v>
      </c>
    </row>
    <row r="52" spans="1:15">
      <c r="A52" s="2"/>
      <c r="B52" s="2"/>
      <c r="C52" s="2"/>
      <c r="D52" s="2"/>
      <c r="E52" s="2"/>
      <c r="F52" s="2"/>
      <c r="G52" s="2"/>
      <c r="H52" s="2"/>
      <c r="I52" s="2"/>
      <c r="J52" s="2"/>
      <c r="K52" s="2"/>
      <c r="L52" s="2"/>
      <c r="M52" s="2"/>
      <c r="N52" s="2"/>
      <c r="O52" s="2" t="str">
        <f t="shared" si="1"/>
        <v>PASS</v>
      </c>
    </row>
    <row r="53" spans="1:15">
      <c r="A53" s="2"/>
      <c r="B53" s="2"/>
      <c r="C53" s="2"/>
      <c r="D53" s="2"/>
      <c r="E53" s="2"/>
      <c r="F53" s="2"/>
      <c r="G53" s="2"/>
      <c r="H53" s="2"/>
      <c r="I53" s="2"/>
      <c r="J53" s="2"/>
      <c r="K53" s="2"/>
      <c r="L53" s="2"/>
      <c r="M53" s="2"/>
      <c r="N53" s="2"/>
      <c r="O53" s="2" t="str">
        <f t="shared" si="1"/>
        <v>PASS</v>
      </c>
    </row>
    <row r="54" spans="1:15">
      <c r="A54" s="2"/>
      <c r="B54" s="2"/>
      <c r="C54" s="2"/>
      <c r="D54" s="2"/>
      <c r="E54" s="2"/>
      <c r="F54" s="2"/>
      <c r="G54" s="2"/>
      <c r="H54" s="2"/>
      <c r="I54" s="2"/>
      <c r="J54" s="2"/>
      <c r="K54" s="2"/>
      <c r="L54" s="2"/>
      <c r="M54" s="2"/>
      <c r="N54" s="2"/>
      <c r="O54" s="2" t="str">
        <f t="shared" si="1"/>
        <v>PASS</v>
      </c>
    </row>
    <row r="55" spans="1:15">
      <c r="A55" s="2"/>
      <c r="B55" s="2"/>
      <c r="C55" s="2"/>
      <c r="D55" s="2"/>
      <c r="E55" s="2"/>
      <c r="F55" s="2"/>
      <c r="G55" s="2"/>
      <c r="H55" s="2"/>
      <c r="I55" s="2"/>
      <c r="J55" s="2"/>
      <c r="K55" s="2"/>
      <c r="L55" s="2"/>
      <c r="M55" s="2"/>
      <c r="N55" s="2"/>
      <c r="O55" s="2" t="str">
        <f t="shared" si="1"/>
        <v>PASS</v>
      </c>
    </row>
    <row r="56" spans="1:15">
      <c r="A56" s="2"/>
      <c r="B56" s="2"/>
      <c r="C56" s="2"/>
      <c r="D56" s="2"/>
      <c r="E56" s="2"/>
      <c r="F56" s="2"/>
      <c r="G56" s="2"/>
      <c r="H56" s="2"/>
      <c r="I56" s="2"/>
      <c r="J56" s="2"/>
      <c r="K56" s="2"/>
      <c r="L56" s="2"/>
      <c r="M56" s="2"/>
      <c r="N56" s="2"/>
      <c r="O56" s="2" t="str">
        <f t="shared" si="1"/>
        <v>PASS</v>
      </c>
    </row>
    <row r="57" spans="1:15">
      <c r="A57" s="2"/>
      <c r="B57" s="2"/>
      <c r="C57" s="2"/>
      <c r="D57" s="2"/>
      <c r="E57" s="2"/>
      <c r="F57" s="2"/>
      <c r="G57" s="2"/>
      <c r="H57" s="2"/>
      <c r="I57" s="2"/>
      <c r="J57" s="2"/>
      <c r="K57" s="2"/>
      <c r="L57" s="2"/>
      <c r="M57" s="2"/>
      <c r="N57" s="2"/>
      <c r="O57" s="2" t="str">
        <f t="shared" si="1"/>
        <v>PASS</v>
      </c>
    </row>
    <row r="58" spans="1:15">
      <c r="A58" s="2"/>
      <c r="B58" s="2"/>
      <c r="C58" s="2"/>
      <c r="D58" s="2"/>
      <c r="E58" s="2"/>
      <c r="F58" s="2"/>
      <c r="G58" s="2"/>
      <c r="H58" s="2"/>
      <c r="I58" s="2"/>
      <c r="J58" s="2"/>
      <c r="K58" s="2"/>
      <c r="L58" s="2"/>
      <c r="M58" s="2"/>
      <c r="N58" s="2"/>
      <c r="O58" s="2" t="str">
        <f t="shared" si="1"/>
        <v>PASS</v>
      </c>
    </row>
    <row r="59" spans="1:15">
      <c r="A59" s="2"/>
      <c r="B59" s="2"/>
      <c r="C59" s="2"/>
      <c r="D59" s="2"/>
      <c r="E59" s="2"/>
      <c r="F59" s="2"/>
      <c r="G59" s="2"/>
      <c r="H59" s="2"/>
      <c r="I59" s="2"/>
      <c r="J59" s="2"/>
      <c r="K59" s="2"/>
      <c r="L59" s="2"/>
      <c r="M59" s="2"/>
      <c r="N59" s="2"/>
      <c r="O59" s="2" t="str">
        <f t="shared" si="1"/>
        <v>PASS</v>
      </c>
    </row>
    <row r="60" spans="1:15">
      <c r="A60" s="2"/>
      <c r="B60" s="2"/>
      <c r="C60" s="2"/>
      <c r="D60" s="2"/>
      <c r="E60" s="2"/>
      <c r="F60" s="2"/>
      <c r="G60" s="2"/>
      <c r="H60" s="2"/>
      <c r="I60" s="2"/>
      <c r="J60" s="2"/>
      <c r="K60" s="2"/>
      <c r="L60" s="2"/>
      <c r="M60" s="2"/>
      <c r="N60" s="2"/>
      <c r="O60" s="2" t="str">
        <f t="shared" si="1"/>
        <v>PASS</v>
      </c>
    </row>
    <row r="61" spans="1:15">
      <c r="A61" s="2"/>
      <c r="B61" s="2"/>
      <c r="C61" s="2"/>
      <c r="D61" s="2"/>
      <c r="E61" s="2"/>
      <c r="F61" s="2"/>
      <c r="G61" s="2"/>
      <c r="H61" s="2"/>
      <c r="I61" s="2"/>
      <c r="J61" s="2"/>
      <c r="K61" s="2"/>
      <c r="L61" s="2"/>
      <c r="M61" s="2"/>
      <c r="N61" s="2"/>
      <c r="O61" s="2" t="str">
        <f t="shared" si="1"/>
        <v>PASS</v>
      </c>
    </row>
    <row r="62" spans="1:15">
      <c r="A62" s="2"/>
      <c r="B62" s="2"/>
      <c r="C62" s="2"/>
      <c r="D62" s="2"/>
      <c r="E62" s="2"/>
      <c r="F62" s="2"/>
      <c r="G62" s="2"/>
      <c r="H62" s="2"/>
      <c r="I62" s="2"/>
      <c r="J62" s="2"/>
      <c r="K62" s="2"/>
      <c r="L62" s="2"/>
      <c r="M62" s="2"/>
      <c r="N62" s="2"/>
      <c r="O62" s="2" t="str">
        <f t="shared" si="1"/>
        <v>PASS</v>
      </c>
    </row>
    <row r="63" spans="1:15">
      <c r="A63" s="2"/>
      <c r="B63" s="2"/>
      <c r="C63" s="2"/>
      <c r="D63" s="2"/>
      <c r="E63" s="2"/>
      <c r="F63" s="2"/>
      <c r="G63" s="2"/>
      <c r="H63" s="2"/>
      <c r="I63" s="2"/>
      <c r="J63" s="2"/>
      <c r="K63" s="2"/>
      <c r="L63" s="2"/>
      <c r="M63" s="2"/>
      <c r="N63" s="2"/>
      <c r="O63" s="2" t="str">
        <f t="shared" si="1"/>
        <v>PASS</v>
      </c>
    </row>
    <row r="64" spans="1:15">
      <c r="A64" s="2"/>
      <c r="B64" s="2"/>
      <c r="C64" s="2"/>
      <c r="D64" s="2"/>
      <c r="E64" s="2"/>
      <c r="F64" s="2"/>
      <c r="G64" s="2"/>
      <c r="H64" s="2"/>
      <c r="I64" s="2"/>
      <c r="J64" s="2"/>
      <c r="K64" s="2"/>
      <c r="L64" s="2"/>
      <c r="M64" s="2"/>
      <c r="N64" s="2"/>
      <c r="O64" s="2" t="str">
        <f t="shared" si="1"/>
        <v>PASS</v>
      </c>
    </row>
    <row r="65" spans="1:15">
      <c r="A65" s="2"/>
      <c r="B65" s="2"/>
      <c r="C65" s="2"/>
      <c r="D65" s="2"/>
      <c r="E65" s="2"/>
      <c r="F65" s="2"/>
      <c r="G65" s="2"/>
      <c r="H65" s="2"/>
      <c r="I65" s="2"/>
      <c r="J65" s="2"/>
      <c r="K65" s="2"/>
      <c r="L65" s="2"/>
      <c r="M65" s="2"/>
      <c r="N65" s="2"/>
      <c r="O65" s="2" t="str">
        <f t="shared" si="1"/>
        <v>PASS</v>
      </c>
    </row>
    <row r="66" spans="1:15">
      <c r="A66" s="2"/>
      <c r="B66" s="2"/>
      <c r="C66" s="2"/>
      <c r="D66" s="2"/>
      <c r="E66" s="2"/>
      <c r="F66" s="2"/>
      <c r="G66" s="2"/>
      <c r="H66" s="2"/>
      <c r="I66" s="2"/>
      <c r="J66" s="2"/>
      <c r="K66" s="2"/>
      <c r="L66" s="2"/>
      <c r="M66" s="2"/>
      <c r="N66" s="2"/>
      <c r="O66" s="2" t="str">
        <f t="shared" si="1"/>
        <v>PASS</v>
      </c>
    </row>
    <row r="67" spans="1:15">
      <c r="A67" s="2"/>
      <c r="B67" s="2"/>
      <c r="C67" s="2"/>
      <c r="D67" s="2"/>
      <c r="E67" s="2"/>
      <c r="F67" s="2"/>
      <c r="G67" s="2"/>
      <c r="H67" s="2"/>
      <c r="I67" s="2"/>
      <c r="J67" s="2"/>
      <c r="K67" s="2"/>
      <c r="L67" s="2"/>
      <c r="M67" s="2"/>
      <c r="N67" s="2"/>
      <c r="O67" s="2" t="str">
        <f t="shared" si="1"/>
        <v>PASS</v>
      </c>
    </row>
    <row r="68" spans="1:15">
      <c r="A68" s="2"/>
      <c r="B68" s="2"/>
      <c r="C68" s="2"/>
      <c r="D68" s="2"/>
      <c r="E68" s="2"/>
      <c r="F68" s="2"/>
      <c r="G68" s="2"/>
      <c r="H68" s="2"/>
      <c r="I68" s="2"/>
      <c r="J68" s="2"/>
      <c r="K68" s="2"/>
      <c r="L68" s="2"/>
      <c r="M68" s="2"/>
      <c r="N68" s="2"/>
      <c r="O68" s="2" t="str">
        <f t="shared" si="1"/>
        <v>PASS</v>
      </c>
    </row>
    <row r="69" spans="1:15">
      <c r="A69" s="2"/>
      <c r="B69" s="2"/>
      <c r="C69" s="2"/>
      <c r="D69" s="2"/>
      <c r="E69" s="2"/>
      <c r="F69" s="2"/>
      <c r="G69" s="2"/>
      <c r="H69" s="2"/>
      <c r="I69" s="2"/>
      <c r="J69" s="2"/>
      <c r="K69" s="2"/>
      <c r="L69" s="2"/>
      <c r="M69" s="2"/>
      <c r="N69" s="2"/>
      <c r="O69" s="2" t="str">
        <f t="shared" si="1"/>
        <v>PASS</v>
      </c>
    </row>
    <row r="70" spans="1:15">
      <c r="A70" s="2"/>
      <c r="B70" s="2"/>
      <c r="C70" s="2"/>
      <c r="D70" s="2"/>
      <c r="E70" s="2"/>
      <c r="F70" s="2"/>
      <c r="G70" s="2"/>
      <c r="H70" s="2"/>
      <c r="I70" s="2"/>
      <c r="J70" s="2"/>
      <c r="K70" s="2"/>
      <c r="L70" s="2"/>
      <c r="M70" s="2"/>
      <c r="N70" s="2"/>
      <c r="O70" s="2" t="str">
        <f t="shared" si="1"/>
        <v>PASS</v>
      </c>
    </row>
    <row r="71" spans="1:15">
      <c r="A71" s="2"/>
      <c r="B71" s="2"/>
      <c r="C71" s="2"/>
      <c r="D71" s="2"/>
      <c r="E71" s="2"/>
      <c r="F71" s="2"/>
      <c r="G71" s="2"/>
      <c r="H71" s="2"/>
      <c r="I71" s="2"/>
      <c r="J71" s="2"/>
      <c r="K71" s="2"/>
      <c r="L71" s="2"/>
      <c r="M71" s="2"/>
      <c r="N71" s="2"/>
      <c r="O71" s="2" t="str">
        <f t="shared" si="1"/>
        <v>PASS</v>
      </c>
    </row>
    <row r="72" spans="1:15">
      <c r="A72" s="2"/>
      <c r="B72" s="2"/>
      <c r="C72" s="2"/>
      <c r="D72" s="2"/>
      <c r="E72" s="2"/>
      <c r="F72" s="2"/>
      <c r="G72" s="2"/>
      <c r="H72" s="2"/>
      <c r="I72" s="2"/>
      <c r="J72" s="2"/>
      <c r="K72" s="2"/>
      <c r="L72" s="2"/>
      <c r="M72" s="2"/>
      <c r="N72" s="2"/>
      <c r="O72" s="2" t="str">
        <f t="shared" si="1"/>
        <v>PASS</v>
      </c>
    </row>
    <row r="73" spans="1:15">
      <c r="A73" s="2"/>
      <c r="B73" s="2"/>
      <c r="C73" s="2"/>
      <c r="D73" s="2"/>
      <c r="E73" s="2"/>
      <c r="F73" s="2"/>
      <c r="G73" s="2"/>
      <c r="H73" s="2"/>
      <c r="I73" s="2"/>
      <c r="J73" s="2"/>
      <c r="K73" s="2"/>
      <c r="L73" s="2"/>
      <c r="M73" s="2"/>
      <c r="N73" s="2"/>
      <c r="O73" s="2" t="str">
        <f t="shared" si="1"/>
        <v>PASS</v>
      </c>
    </row>
    <row r="74" spans="1:15">
      <c r="A74" s="2"/>
      <c r="B74" s="2"/>
      <c r="C74" s="2"/>
      <c r="D74" s="2"/>
      <c r="E74" s="2"/>
      <c r="F74" s="2"/>
      <c r="G74" s="2"/>
      <c r="H74" s="2"/>
      <c r="I74" s="2"/>
      <c r="J74" s="2"/>
      <c r="K74" s="2"/>
      <c r="L74" s="2"/>
      <c r="M74" s="2"/>
      <c r="N74" s="2"/>
      <c r="O74" s="2" t="str">
        <f t="shared" si="1"/>
        <v>PASS</v>
      </c>
    </row>
    <row r="75" spans="1:15">
      <c r="A75" s="2"/>
      <c r="B75" s="2"/>
      <c r="C75" s="2"/>
      <c r="D75" s="2"/>
      <c r="E75" s="2"/>
      <c r="F75" s="2"/>
      <c r="G75" s="2"/>
      <c r="H75" s="2"/>
      <c r="I75" s="2"/>
      <c r="J75" s="2"/>
      <c r="K75" s="2"/>
      <c r="L75" s="2"/>
      <c r="M75" s="2"/>
      <c r="N75" s="2"/>
      <c r="O75" s="2" t="str">
        <f t="shared" si="1"/>
        <v>PASS</v>
      </c>
    </row>
    <row r="76" spans="1:15">
      <c r="A76" s="2"/>
      <c r="B76" s="2"/>
      <c r="C76" s="2"/>
      <c r="D76" s="2"/>
      <c r="E76" s="2"/>
      <c r="F76" s="2"/>
      <c r="G76" s="2"/>
      <c r="H76" s="2"/>
      <c r="I76" s="2"/>
      <c r="J76" s="2"/>
      <c r="K76" s="2"/>
      <c r="L76" s="2"/>
      <c r="M76" s="2"/>
      <c r="N76" s="2"/>
      <c r="O76" s="2" t="str">
        <f t="shared" si="1"/>
        <v>PASS</v>
      </c>
    </row>
    <row r="77" spans="1:15">
      <c r="A77" s="2"/>
      <c r="B77" s="2"/>
      <c r="C77" s="2"/>
      <c r="D77" s="2"/>
      <c r="E77" s="2"/>
      <c r="F77" s="2"/>
      <c r="G77" s="2"/>
      <c r="H77" s="2"/>
      <c r="I77" s="2"/>
      <c r="J77" s="2"/>
      <c r="K77" s="2"/>
      <c r="L77" s="2"/>
      <c r="M77" s="2"/>
      <c r="N77" s="2"/>
      <c r="O77" s="2" t="str">
        <f t="shared" si="1"/>
        <v>PASS</v>
      </c>
    </row>
    <row r="78" spans="1:15">
      <c r="A78" s="2"/>
      <c r="B78" s="2"/>
      <c r="C78" s="2"/>
      <c r="D78" s="2"/>
      <c r="E78" s="2"/>
      <c r="F78" s="2"/>
      <c r="G78" s="2"/>
      <c r="H78" s="2"/>
      <c r="I78" s="2"/>
      <c r="J78" s="2"/>
      <c r="K78" s="2"/>
      <c r="L78" s="2"/>
      <c r="M78" s="2"/>
      <c r="N78" s="2"/>
      <c r="O78" s="2" t="str">
        <f t="shared" ref="O78:O113" si="2">IF(OR(E78&lt;D78,F78="No",G78="No",H78="No",I78="No",J78="No",K78="No",L78="No",M78="No"),"FAIL","PASS")</f>
        <v>PASS</v>
      </c>
    </row>
    <row r="79" spans="1:15">
      <c r="A79" s="2"/>
      <c r="B79" s="2"/>
      <c r="C79" s="2"/>
      <c r="D79" s="2"/>
      <c r="E79" s="2"/>
      <c r="F79" s="2"/>
      <c r="G79" s="2"/>
      <c r="H79" s="2"/>
      <c r="I79" s="2"/>
      <c r="J79" s="2"/>
      <c r="K79" s="2"/>
      <c r="L79" s="2"/>
      <c r="M79" s="2"/>
      <c r="N79" s="2"/>
      <c r="O79" s="2" t="str">
        <f t="shared" si="2"/>
        <v>PASS</v>
      </c>
    </row>
    <row r="80" spans="1:15">
      <c r="A80" s="2"/>
      <c r="B80" s="2"/>
      <c r="C80" s="2"/>
      <c r="D80" s="2"/>
      <c r="E80" s="2"/>
      <c r="F80" s="2"/>
      <c r="G80" s="2"/>
      <c r="H80" s="2"/>
      <c r="I80" s="2"/>
      <c r="J80" s="2"/>
      <c r="K80" s="2"/>
      <c r="L80" s="2"/>
      <c r="M80" s="2"/>
      <c r="N80" s="2"/>
      <c r="O80" s="2" t="str">
        <f t="shared" si="2"/>
        <v>PASS</v>
      </c>
    </row>
    <row r="81" spans="1:15">
      <c r="A81" s="2"/>
      <c r="B81" s="2"/>
      <c r="C81" s="2"/>
      <c r="D81" s="2"/>
      <c r="E81" s="2"/>
      <c r="F81" s="2"/>
      <c r="G81" s="2"/>
      <c r="H81" s="2"/>
      <c r="I81" s="2"/>
      <c r="J81" s="2"/>
      <c r="K81" s="2"/>
      <c r="L81" s="2"/>
      <c r="M81" s="2"/>
      <c r="N81" s="2"/>
      <c r="O81" s="2" t="str">
        <f t="shared" si="2"/>
        <v>PASS</v>
      </c>
    </row>
    <row r="82" spans="1:15">
      <c r="A82" s="2"/>
      <c r="B82" s="2"/>
      <c r="C82" s="2"/>
      <c r="D82" s="2"/>
      <c r="E82" s="2"/>
      <c r="F82" s="2"/>
      <c r="G82" s="2"/>
      <c r="H82" s="2"/>
      <c r="I82" s="2"/>
      <c r="J82" s="2"/>
      <c r="K82" s="2"/>
      <c r="L82" s="2"/>
      <c r="M82" s="2"/>
      <c r="N82" s="2"/>
      <c r="O82" s="2" t="str">
        <f t="shared" si="2"/>
        <v>PASS</v>
      </c>
    </row>
    <row r="83" spans="1:15">
      <c r="A83" s="2"/>
      <c r="B83" s="2"/>
      <c r="C83" s="2"/>
      <c r="D83" s="2"/>
      <c r="E83" s="2"/>
      <c r="F83" s="2"/>
      <c r="G83" s="2"/>
      <c r="H83" s="2"/>
      <c r="I83" s="2"/>
      <c r="J83" s="2"/>
      <c r="K83" s="2"/>
      <c r="L83" s="2"/>
      <c r="M83" s="2"/>
      <c r="N83" s="2"/>
      <c r="O83" s="2" t="str">
        <f t="shared" si="2"/>
        <v>PASS</v>
      </c>
    </row>
    <row r="84" spans="1:15">
      <c r="A84" s="2"/>
      <c r="B84" s="2"/>
      <c r="C84" s="2"/>
      <c r="D84" s="2"/>
      <c r="E84" s="2"/>
      <c r="F84" s="2"/>
      <c r="G84" s="2"/>
      <c r="H84" s="2"/>
      <c r="I84" s="2"/>
      <c r="J84" s="2"/>
      <c r="K84" s="2"/>
      <c r="L84" s="2"/>
      <c r="M84" s="2"/>
      <c r="N84" s="2"/>
      <c r="O84" s="2" t="str">
        <f t="shared" si="2"/>
        <v>PASS</v>
      </c>
    </row>
    <row r="85" spans="1:15">
      <c r="A85" s="2"/>
      <c r="B85" s="2"/>
      <c r="C85" s="2"/>
      <c r="D85" s="2"/>
      <c r="E85" s="2"/>
      <c r="F85" s="2"/>
      <c r="G85" s="2"/>
      <c r="H85" s="2"/>
      <c r="I85" s="2"/>
      <c r="J85" s="2"/>
      <c r="K85" s="2"/>
      <c r="L85" s="2"/>
      <c r="M85" s="2"/>
      <c r="N85" s="2"/>
      <c r="O85" s="2" t="str">
        <f t="shared" si="2"/>
        <v>PASS</v>
      </c>
    </row>
    <row r="86" spans="1:15">
      <c r="A86" s="2"/>
      <c r="B86" s="2"/>
      <c r="C86" s="2"/>
      <c r="D86" s="2"/>
      <c r="E86" s="2"/>
      <c r="F86" s="2"/>
      <c r="G86" s="2"/>
      <c r="H86" s="2"/>
      <c r="I86" s="2"/>
      <c r="J86" s="2"/>
      <c r="K86" s="2"/>
      <c r="L86" s="2"/>
      <c r="M86" s="2"/>
      <c r="N86" s="2"/>
      <c r="O86" s="2" t="str">
        <f t="shared" si="2"/>
        <v>PASS</v>
      </c>
    </row>
    <row r="87" spans="1:15">
      <c r="A87" s="2"/>
      <c r="B87" s="2"/>
      <c r="C87" s="2"/>
      <c r="D87" s="2"/>
      <c r="E87" s="2"/>
      <c r="F87" s="2"/>
      <c r="G87" s="2"/>
      <c r="H87" s="2"/>
      <c r="I87" s="2"/>
      <c r="J87" s="2"/>
      <c r="K87" s="2"/>
      <c r="L87" s="2"/>
      <c r="M87" s="2"/>
      <c r="N87" s="2"/>
      <c r="O87" s="2" t="str">
        <f t="shared" si="2"/>
        <v>PASS</v>
      </c>
    </row>
    <row r="88" spans="1:15">
      <c r="A88" s="2"/>
      <c r="B88" s="2"/>
      <c r="C88" s="2"/>
      <c r="D88" s="2"/>
      <c r="E88" s="2"/>
      <c r="F88" s="2"/>
      <c r="G88" s="2"/>
      <c r="H88" s="2"/>
      <c r="I88" s="2"/>
      <c r="J88" s="2"/>
      <c r="K88" s="2"/>
      <c r="L88" s="2"/>
      <c r="M88" s="2"/>
      <c r="N88" s="2"/>
      <c r="O88" s="2" t="str">
        <f t="shared" si="2"/>
        <v>PASS</v>
      </c>
    </row>
    <row r="89" spans="1:15">
      <c r="A89" s="2"/>
      <c r="B89" s="2"/>
      <c r="C89" s="2"/>
      <c r="D89" s="2"/>
      <c r="E89" s="2"/>
      <c r="F89" s="2"/>
      <c r="G89" s="2"/>
      <c r="H89" s="2"/>
      <c r="I89" s="2"/>
      <c r="J89" s="2"/>
      <c r="K89" s="2"/>
      <c r="L89" s="2"/>
      <c r="M89" s="2"/>
      <c r="N89" s="2"/>
      <c r="O89" s="2" t="str">
        <f t="shared" si="2"/>
        <v>PASS</v>
      </c>
    </row>
    <row r="90" spans="1:15">
      <c r="A90" s="2"/>
      <c r="B90" s="2"/>
      <c r="C90" s="2"/>
      <c r="D90" s="2"/>
      <c r="E90" s="2"/>
      <c r="F90" s="2"/>
      <c r="G90" s="2"/>
      <c r="H90" s="2"/>
      <c r="I90" s="2"/>
      <c r="J90" s="2"/>
      <c r="K90" s="2"/>
      <c r="L90" s="2"/>
      <c r="M90" s="2"/>
      <c r="N90" s="2"/>
      <c r="O90" s="2" t="str">
        <f t="shared" si="2"/>
        <v>PASS</v>
      </c>
    </row>
    <row r="91" spans="1:15">
      <c r="A91" s="2"/>
      <c r="B91" s="2"/>
      <c r="C91" s="2"/>
      <c r="D91" s="2"/>
      <c r="E91" s="2"/>
      <c r="F91" s="2"/>
      <c r="G91" s="2"/>
      <c r="H91" s="2"/>
      <c r="I91" s="2"/>
      <c r="J91" s="2"/>
      <c r="K91" s="2"/>
      <c r="L91" s="2"/>
      <c r="M91" s="2"/>
      <c r="N91" s="2"/>
      <c r="O91" s="2" t="str">
        <f t="shared" si="2"/>
        <v>PASS</v>
      </c>
    </row>
    <row r="92" spans="1:15">
      <c r="A92" s="2"/>
      <c r="B92" s="2"/>
      <c r="C92" s="2"/>
      <c r="D92" s="2"/>
      <c r="E92" s="2"/>
      <c r="F92" s="2"/>
      <c r="G92" s="2"/>
      <c r="H92" s="2"/>
      <c r="I92" s="2"/>
      <c r="J92" s="2"/>
      <c r="K92" s="2"/>
      <c r="L92" s="2"/>
      <c r="M92" s="2"/>
      <c r="N92" s="2"/>
      <c r="O92" s="2" t="str">
        <f t="shared" si="2"/>
        <v>PASS</v>
      </c>
    </row>
    <row r="93" spans="1:15">
      <c r="A93" s="2"/>
      <c r="B93" s="2"/>
      <c r="C93" s="2"/>
      <c r="D93" s="2"/>
      <c r="E93" s="2"/>
      <c r="F93" s="2"/>
      <c r="G93" s="2"/>
      <c r="H93" s="2"/>
      <c r="I93" s="2"/>
      <c r="J93" s="2"/>
      <c r="K93" s="2"/>
      <c r="L93" s="2"/>
      <c r="M93" s="2"/>
      <c r="N93" s="2"/>
      <c r="O93" s="2" t="str">
        <f t="shared" si="2"/>
        <v>PASS</v>
      </c>
    </row>
    <row r="94" spans="1:15">
      <c r="A94" s="2"/>
      <c r="B94" s="2"/>
      <c r="C94" s="2"/>
      <c r="D94" s="2"/>
      <c r="E94" s="2"/>
      <c r="F94" s="2"/>
      <c r="G94" s="2"/>
      <c r="H94" s="2"/>
      <c r="I94" s="2"/>
      <c r="J94" s="2"/>
      <c r="K94" s="2"/>
      <c r="L94" s="2"/>
      <c r="M94" s="2"/>
      <c r="N94" s="2"/>
      <c r="O94" s="2" t="str">
        <f t="shared" si="2"/>
        <v>PASS</v>
      </c>
    </row>
    <row r="95" spans="1:15">
      <c r="A95" s="2"/>
      <c r="B95" s="2"/>
      <c r="C95" s="2"/>
      <c r="D95" s="2"/>
      <c r="E95" s="2"/>
      <c r="F95" s="2"/>
      <c r="G95" s="2"/>
      <c r="H95" s="2"/>
      <c r="I95" s="2"/>
      <c r="J95" s="2"/>
      <c r="K95" s="2"/>
      <c r="L95" s="2"/>
      <c r="M95" s="2"/>
      <c r="N95" s="2"/>
      <c r="O95" s="2" t="str">
        <f t="shared" si="2"/>
        <v>PASS</v>
      </c>
    </row>
    <row r="96" spans="1:15">
      <c r="A96" s="2"/>
      <c r="B96" s="2"/>
      <c r="C96" s="2"/>
      <c r="D96" s="2"/>
      <c r="E96" s="2"/>
      <c r="F96" s="2"/>
      <c r="G96" s="2"/>
      <c r="H96" s="2"/>
      <c r="I96" s="2"/>
      <c r="J96" s="2"/>
      <c r="K96" s="2"/>
      <c r="L96" s="2"/>
      <c r="M96" s="2"/>
      <c r="N96" s="2"/>
      <c r="O96" s="2" t="str">
        <f t="shared" si="2"/>
        <v>PASS</v>
      </c>
    </row>
    <row r="97" spans="1:15">
      <c r="A97" s="2"/>
      <c r="B97" s="2"/>
      <c r="C97" s="2"/>
      <c r="D97" s="2"/>
      <c r="E97" s="2"/>
      <c r="F97" s="2"/>
      <c r="G97" s="2"/>
      <c r="H97" s="2"/>
      <c r="I97" s="2"/>
      <c r="J97" s="2"/>
      <c r="K97" s="2"/>
      <c r="L97" s="2"/>
      <c r="M97" s="2"/>
      <c r="N97" s="2"/>
      <c r="O97" s="2" t="str">
        <f t="shared" si="2"/>
        <v>PASS</v>
      </c>
    </row>
    <row r="98" spans="1:15">
      <c r="A98" s="2"/>
      <c r="B98" s="2"/>
      <c r="C98" s="2"/>
      <c r="D98" s="2"/>
      <c r="E98" s="2"/>
      <c r="F98" s="2"/>
      <c r="G98" s="2"/>
      <c r="H98" s="2"/>
      <c r="I98" s="2"/>
      <c r="J98" s="2"/>
      <c r="K98" s="2"/>
      <c r="L98" s="2"/>
      <c r="M98" s="2"/>
      <c r="N98" s="2"/>
      <c r="O98" s="2" t="str">
        <f t="shared" si="2"/>
        <v>PASS</v>
      </c>
    </row>
    <row r="99" spans="1:15">
      <c r="A99" s="2"/>
      <c r="B99" s="2"/>
      <c r="C99" s="2"/>
      <c r="D99" s="2"/>
      <c r="E99" s="2"/>
      <c r="F99" s="2"/>
      <c r="G99" s="2"/>
      <c r="H99" s="2"/>
      <c r="I99" s="2"/>
      <c r="J99" s="2"/>
      <c r="K99" s="2"/>
      <c r="L99" s="2"/>
      <c r="M99" s="2"/>
      <c r="N99" s="2"/>
      <c r="O99" s="2" t="str">
        <f t="shared" si="2"/>
        <v>PASS</v>
      </c>
    </row>
    <row r="100" spans="1:15">
      <c r="A100" s="2"/>
      <c r="B100" s="2"/>
      <c r="C100" s="2"/>
      <c r="D100" s="2"/>
      <c r="E100" s="2"/>
      <c r="F100" s="2"/>
      <c r="G100" s="2"/>
      <c r="H100" s="2"/>
      <c r="I100" s="2"/>
      <c r="J100" s="2"/>
      <c r="K100" s="2"/>
      <c r="L100" s="2"/>
      <c r="M100" s="2"/>
      <c r="N100" s="2"/>
      <c r="O100" s="2" t="str">
        <f t="shared" si="2"/>
        <v>PASS</v>
      </c>
    </row>
    <row r="101" spans="1:15">
      <c r="A101" s="2"/>
      <c r="B101" s="2"/>
      <c r="C101" s="2"/>
      <c r="D101" s="2"/>
      <c r="E101" s="2"/>
      <c r="F101" s="2"/>
      <c r="G101" s="2"/>
      <c r="H101" s="2"/>
      <c r="I101" s="2"/>
      <c r="J101" s="2"/>
      <c r="K101" s="2"/>
      <c r="L101" s="2"/>
      <c r="M101" s="2"/>
      <c r="N101" s="2"/>
      <c r="O101" s="2" t="str">
        <f t="shared" si="2"/>
        <v>PASS</v>
      </c>
    </row>
    <row r="102" spans="1:15">
      <c r="A102" s="2"/>
      <c r="B102" s="2"/>
      <c r="C102" s="2"/>
      <c r="D102" s="2"/>
      <c r="E102" s="2"/>
      <c r="F102" s="2"/>
      <c r="G102" s="2"/>
      <c r="H102" s="2"/>
      <c r="I102" s="2"/>
      <c r="J102" s="2"/>
      <c r="K102" s="2"/>
      <c r="L102" s="2"/>
      <c r="M102" s="2"/>
      <c r="N102" s="2"/>
      <c r="O102" s="2" t="str">
        <f t="shared" si="2"/>
        <v>PASS</v>
      </c>
    </row>
    <row r="103" spans="1:15">
      <c r="A103" s="2"/>
      <c r="B103" s="2"/>
      <c r="C103" s="2"/>
      <c r="D103" s="2"/>
      <c r="E103" s="2"/>
      <c r="F103" s="2"/>
      <c r="G103" s="2"/>
      <c r="H103" s="2"/>
      <c r="I103" s="2"/>
      <c r="J103" s="2"/>
      <c r="K103" s="2"/>
      <c r="L103" s="2"/>
      <c r="M103" s="2"/>
      <c r="N103" s="2"/>
      <c r="O103" s="2" t="str">
        <f t="shared" si="2"/>
        <v>PASS</v>
      </c>
    </row>
    <row r="104" spans="1:15">
      <c r="A104" s="2"/>
      <c r="B104" s="2"/>
      <c r="C104" s="2"/>
      <c r="D104" s="2"/>
      <c r="E104" s="2"/>
      <c r="F104" s="2"/>
      <c r="G104" s="2"/>
      <c r="H104" s="2"/>
      <c r="I104" s="2"/>
      <c r="J104" s="2"/>
      <c r="K104" s="2"/>
      <c r="L104" s="2"/>
      <c r="M104" s="2"/>
      <c r="N104" s="2"/>
      <c r="O104" s="2" t="str">
        <f t="shared" si="2"/>
        <v>PASS</v>
      </c>
    </row>
    <row r="105" spans="1:15">
      <c r="A105" s="2"/>
      <c r="B105" s="2"/>
      <c r="C105" s="2"/>
      <c r="D105" s="2"/>
      <c r="E105" s="2"/>
      <c r="F105" s="2"/>
      <c r="G105" s="2"/>
      <c r="H105" s="2"/>
      <c r="I105" s="2"/>
      <c r="J105" s="2"/>
      <c r="K105" s="2"/>
      <c r="L105" s="2"/>
      <c r="M105" s="2"/>
      <c r="N105" s="2"/>
      <c r="O105" s="2" t="str">
        <f t="shared" si="2"/>
        <v>PASS</v>
      </c>
    </row>
    <row r="106" spans="1:15">
      <c r="A106" s="2"/>
      <c r="B106" s="2"/>
      <c r="C106" s="2"/>
      <c r="D106" s="2"/>
      <c r="E106" s="2"/>
      <c r="F106" s="2"/>
      <c r="G106" s="2"/>
      <c r="H106" s="2"/>
      <c r="I106" s="2"/>
      <c r="J106" s="2"/>
      <c r="K106" s="2"/>
      <c r="L106" s="2"/>
      <c r="M106" s="2"/>
      <c r="N106" s="2"/>
      <c r="O106" s="2" t="str">
        <f t="shared" si="2"/>
        <v>PASS</v>
      </c>
    </row>
    <row r="107" spans="1:15">
      <c r="A107" s="2"/>
      <c r="B107" s="2"/>
      <c r="C107" s="2"/>
      <c r="D107" s="2"/>
      <c r="E107" s="2"/>
      <c r="F107" s="2"/>
      <c r="G107" s="2"/>
      <c r="H107" s="2"/>
      <c r="I107" s="2"/>
      <c r="J107" s="2"/>
      <c r="K107" s="2"/>
      <c r="L107" s="2"/>
      <c r="M107" s="2"/>
      <c r="N107" s="2"/>
      <c r="O107" s="2" t="str">
        <f t="shared" si="2"/>
        <v>PASS</v>
      </c>
    </row>
    <row r="108" spans="1:15">
      <c r="A108" s="2"/>
      <c r="B108" s="2"/>
      <c r="C108" s="2"/>
      <c r="D108" s="2"/>
      <c r="E108" s="2"/>
      <c r="F108" s="2"/>
      <c r="G108" s="2"/>
      <c r="H108" s="2"/>
      <c r="I108" s="2"/>
      <c r="J108" s="2"/>
      <c r="K108" s="2"/>
      <c r="L108" s="2"/>
      <c r="M108" s="2"/>
      <c r="N108" s="2"/>
      <c r="O108" s="2" t="str">
        <f t="shared" si="2"/>
        <v>PASS</v>
      </c>
    </row>
    <row r="109" spans="1:15">
      <c r="A109" s="2"/>
      <c r="B109" s="2"/>
      <c r="C109" s="2"/>
      <c r="D109" s="2"/>
      <c r="E109" s="2"/>
      <c r="F109" s="2"/>
      <c r="G109" s="2"/>
      <c r="H109" s="2"/>
      <c r="I109" s="2"/>
      <c r="J109" s="2"/>
      <c r="K109" s="2"/>
      <c r="L109" s="2"/>
      <c r="M109" s="2"/>
      <c r="N109" s="2"/>
      <c r="O109" s="2" t="str">
        <f t="shared" si="2"/>
        <v>PASS</v>
      </c>
    </row>
    <row r="110" spans="1:15">
      <c r="A110" s="2"/>
      <c r="B110" s="2"/>
      <c r="C110" s="2"/>
      <c r="D110" s="2"/>
      <c r="E110" s="2"/>
      <c r="F110" s="2"/>
      <c r="G110" s="2"/>
      <c r="H110" s="2"/>
      <c r="I110" s="2"/>
      <c r="J110" s="2"/>
      <c r="K110" s="2"/>
      <c r="L110" s="2"/>
      <c r="M110" s="2"/>
      <c r="N110" s="2"/>
      <c r="O110" s="2" t="str">
        <f t="shared" si="2"/>
        <v>PASS</v>
      </c>
    </row>
    <row r="111" spans="1:15">
      <c r="A111" s="2"/>
      <c r="B111" s="2"/>
      <c r="C111" s="2"/>
      <c r="D111" s="2"/>
      <c r="E111" s="2"/>
      <c r="F111" s="2"/>
      <c r="G111" s="2"/>
      <c r="H111" s="2"/>
      <c r="I111" s="2"/>
      <c r="J111" s="2"/>
      <c r="K111" s="2"/>
      <c r="L111" s="2"/>
      <c r="M111" s="2"/>
      <c r="N111" s="2"/>
      <c r="O111" s="2" t="str">
        <f t="shared" si="2"/>
        <v>PASS</v>
      </c>
    </row>
    <row r="112" spans="1:15">
      <c r="A112" s="2"/>
      <c r="B112" s="2"/>
      <c r="C112" s="2"/>
      <c r="D112" s="2"/>
      <c r="E112" s="2"/>
      <c r="F112" s="2"/>
      <c r="G112" s="2"/>
      <c r="H112" s="2"/>
      <c r="I112" s="2"/>
      <c r="J112" s="2"/>
      <c r="K112" s="2"/>
      <c r="L112" s="2"/>
      <c r="M112" s="2"/>
      <c r="N112" s="2"/>
      <c r="O112" s="2" t="str">
        <f t="shared" si="2"/>
        <v>PASS</v>
      </c>
    </row>
    <row r="113" spans="1:15">
      <c r="A113" s="2"/>
      <c r="B113" s="2"/>
      <c r="C113" s="2"/>
      <c r="D113" s="2"/>
      <c r="E113" s="2"/>
      <c r="F113" s="2"/>
      <c r="G113" s="2"/>
      <c r="H113" s="2"/>
      <c r="I113" s="2"/>
      <c r="J113" s="2"/>
      <c r="K113" s="2"/>
      <c r="L113" s="2"/>
      <c r="M113" s="2"/>
      <c r="N113" s="2"/>
      <c r="O113" s="2" t="str">
        <f t="shared" si="2"/>
        <v>PASS</v>
      </c>
    </row>
  </sheetData>
  <mergeCells count="2">
    <mergeCell ref="A1:O1"/>
    <mergeCell ref="A2:O2"/>
  </mergeCells>
  <dataValidations count="2">
    <dataValidation type="list" sqref="B7" xr:uid="{00000000-0002-0000-1600-000000000000}">
      <formula1>"Yes,No"</formula1>
    </dataValidation>
    <dataValidation type="list" sqref="F14:M113" xr:uid="{00000000-0002-0000-1600-000001000000}">
      <formula1>"Yes,No,N/A"</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K141"/>
  <sheetViews>
    <sheetView workbookViewId="0"/>
  </sheetViews>
  <sheetFormatPr defaultRowHeight="14"/>
  <cols>
    <col min="1" max="5" width="28" customWidth="1"/>
    <col min="8" max="25" width="15" customWidth="1"/>
    <col min="26" max="35" width="20" customWidth="1"/>
  </cols>
  <sheetData>
    <row r="1" spans="1:35" ht="20">
      <c r="A1" s="6" t="s">
        <v>349</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ht="14.5">
      <c r="A2" s="8" t="s">
        <v>106</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row>
    <row r="4" spans="1:35">
      <c r="A4" s="3" t="s">
        <v>107</v>
      </c>
      <c r="B4" t="s">
        <v>350</v>
      </c>
      <c r="D4" s="9" t="s">
        <v>109</v>
      </c>
      <c r="E4" s="9"/>
      <c r="F4" s="9"/>
      <c r="G4" s="9"/>
      <c r="H4" s="9"/>
    </row>
    <row r="5" spans="1:35" ht="28">
      <c r="A5" s="3" t="s">
        <v>110</v>
      </c>
      <c r="D5" s="4" t="s">
        <v>6</v>
      </c>
      <c r="E5" s="4" t="s">
        <v>111</v>
      </c>
      <c r="F5" s="4"/>
      <c r="G5" s="4"/>
      <c r="H5" s="4"/>
    </row>
    <row r="6" spans="1:35" ht="42">
      <c r="A6" s="3" t="s">
        <v>112</v>
      </c>
      <c r="D6" s="4" t="s">
        <v>12</v>
      </c>
      <c r="E6" s="4" t="s">
        <v>113</v>
      </c>
      <c r="F6" s="4"/>
      <c r="G6" s="4"/>
      <c r="H6" s="4"/>
    </row>
    <row r="7" spans="1:35" ht="42">
      <c r="A7" s="3" t="s">
        <v>114</v>
      </c>
      <c r="D7" s="4" t="s">
        <v>18</v>
      </c>
      <c r="E7" s="4" t="s">
        <v>115</v>
      </c>
      <c r="F7" s="4"/>
      <c r="G7" s="4"/>
      <c r="H7" s="4"/>
    </row>
    <row r="8" spans="1:35" ht="42">
      <c r="A8" s="3" t="s">
        <v>116</v>
      </c>
      <c r="B8">
        <f>COUNTA(A18:A117)</f>
        <v>0</v>
      </c>
      <c r="D8" s="4" t="s">
        <v>23</v>
      </c>
      <c r="E8" s="4" t="s">
        <v>117</v>
      </c>
      <c r="F8" s="4"/>
      <c r="G8" s="4"/>
      <c r="H8" s="4"/>
    </row>
    <row r="9" spans="1:35">
      <c r="A9" s="3" t="s">
        <v>6</v>
      </c>
      <c r="B9">
        <f>COUNTIF(Z18:Z117,"Low")</f>
        <v>0</v>
      </c>
    </row>
    <row r="10" spans="1:35">
      <c r="A10" s="3" t="s">
        <v>12</v>
      </c>
      <c r="B10">
        <f>COUNTIF(Z18:Z117,"Medium")</f>
        <v>0</v>
      </c>
    </row>
    <row r="11" spans="1:35">
      <c r="A11" s="3" t="s">
        <v>18</v>
      </c>
      <c r="B11">
        <f>COUNTIF(Z18:Z117,"High")</f>
        <v>0</v>
      </c>
    </row>
    <row r="12" spans="1:35">
      <c r="A12" s="3" t="s">
        <v>23</v>
      </c>
      <c r="B12">
        <f>COUNTIF(Z18:Z117,"Very High")</f>
        <v>0</v>
      </c>
    </row>
    <row r="13" spans="1:35">
      <c r="A13" s="3" t="s">
        <v>118</v>
      </c>
      <c r="B13">
        <f>COUNTIF(AD18:AD117,"Yes")</f>
        <v>0</v>
      </c>
    </row>
    <row r="14" spans="1:35">
      <c r="A14" s="3" t="s">
        <v>119</v>
      </c>
    </row>
    <row r="17" spans="1:37" ht="28">
      <c r="A17" s="1" t="s">
        <v>120</v>
      </c>
      <c r="B17" s="1" t="s">
        <v>121</v>
      </c>
      <c r="C17" s="1" t="s">
        <v>2</v>
      </c>
      <c r="D17" s="1" t="s">
        <v>75</v>
      </c>
      <c r="E17" s="1" t="s">
        <v>122</v>
      </c>
      <c r="F17" s="1" t="s">
        <v>123</v>
      </c>
      <c r="G17" s="1" t="s">
        <v>110</v>
      </c>
      <c r="H17" s="1" t="s">
        <v>124</v>
      </c>
      <c r="I17" s="1" t="s">
        <v>125</v>
      </c>
      <c r="J17" s="1" t="s">
        <v>126</v>
      </c>
      <c r="K17" s="1" t="s">
        <v>127</v>
      </c>
      <c r="L17" s="1" t="s">
        <v>128</v>
      </c>
      <c r="M17" s="1" t="s">
        <v>129</v>
      </c>
      <c r="N17" s="1" t="s">
        <v>130</v>
      </c>
      <c r="O17" s="1" t="s">
        <v>131</v>
      </c>
      <c r="P17" s="1" t="s">
        <v>132</v>
      </c>
      <c r="Q17" s="1" t="s">
        <v>133</v>
      </c>
      <c r="R17" s="1" t="s">
        <v>134</v>
      </c>
      <c r="S17" s="1" t="s">
        <v>135</v>
      </c>
      <c r="T17" s="1" t="s">
        <v>136</v>
      </c>
      <c r="U17" s="1" t="s">
        <v>137</v>
      </c>
      <c r="V17" s="1" t="s">
        <v>138</v>
      </c>
      <c r="W17" s="1" t="s">
        <v>139</v>
      </c>
      <c r="X17" s="1" t="s">
        <v>140</v>
      </c>
      <c r="Y17" s="1" t="s">
        <v>141</v>
      </c>
      <c r="Z17" s="1" t="s">
        <v>142</v>
      </c>
      <c r="AA17" s="1" t="s">
        <v>143</v>
      </c>
      <c r="AB17" s="1" t="s">
        <v>144</v>
      </c>
      <c r="AC17" s="1" t="s">
        <v>3</v>
      </c>
      <c r="AD17" s="1" t="s">
        <v>145</v>
      </c>
      <c r="AE17" s="1" t="s">
        <v>146</v>
      </c>
      <c r="AF17" s="1" t="s">
        <v>147</v>
      </c>
      <c r="AG17" s="1" t="s">
        <v>148</v>
      </c>
      <c r="AH17" s="1" t="s">
        <v>149</v>
      </c>
      <c r="AI17" s="1" t="s">
        <v>150</v>
      </c>
      <c r="AJ17" t="s">
        <v>151</v>
      </c>
      <c r="AK17" t="s">
        <v>152</v>
      </c>
    </row>
    <row r="18" spans="1:37">
      <c r="A18" s="2"/>
      <c r="B18" s="2"/>
      <c r="C18" s="2"/>
      <c r="D18" s="2"/>
      <c r="E18" s="5"/>
      <c r="F18" s="2"/>
      <c r="G18" s="5"/>
      <c r="H18" s="2"/>
      <c r="I18" s="2"/>
      <c r="J18" s="2"/>
      <c r="K18" s="2"/>
      <c r="L18" s="2"/>
      <c r="M18" s="2"/>
      <c r="N18" s="2"/>
      <c r="O18" s="2"/>
      <c r="P18" s="2"/>
      <c r="Q18" s="2"/>
      <c r="R18" s="2"/>
      <c r="S18" s="2"/>
      <c r="T18" s="2"/>
      <c r="U18" s="2"/>
      <c r="V18" s="2"/>
      <c r="W18" s="2"/>
      <c r="X18" s="2"/>
      <c r="Y18" s="2"/>
      <c r="Z18" s="2" t="str">
        <f t="shared" ref="Z18:Z49" si="0">IF(COUNTA(H18:Y18)=0,"",IF(COUNTIF(H18:Y18,"Very High")&gt;0,"Very High",IF(COUNTIF(H18:Y18,"High")&gt;0,"High",IF(COUNTIF(H18:Y18,"Medium")&gt;0,"Medium","Low"))))</f>
        <v/>
      </c>
      <c r="AA18" s="2" t="str">
        <f t="shared" ref="AA18:AA49" si="1">IF(Z18="","",IF(Z18="Low","Routine planned support",IF(Z18="Medium","One staff support/supervision likely",IF(Z18="High","Two staff/review staffing and equipment","Manager review: multiple staff/specialist support"))))</f>
        <v/>
      </c>
      <c r="AB18" s="2" t="str">
        <f t="shared" ref="AB18:AB49" si="2">IF(Z18="","",IF(OR(Z18="High",Z18="Very High",W18="High",W18="Very High"),"Night staffing and evacuation review required","Routine night checks as per care plan"))</f>
        <v/>
      </c>
      <c r="AC18" s="2" t="str">
        <f t="shared" ref="AC18:AC49" si="3">IF(X18="Very High","Specialist PEEP / equipment",IF(OR(X18="High",Z18="High"),"Evacuation sheet/chair or wheelchair per PEEP",IF(OR(X18="Medium",Z18="Medium"),"Walking aid/wheelchair support per PEEP","Walks with direction")))</f>
        <v>Walks with direction</v>
      </c>
      <c r="AD18" s="2"/>
      <c r="AE18" s="5"/>
      <c r="AF18" s="2"/>
      <c r="AG18" s="2"/>
      <c r="AH18" s="2"/>
      <c r="AI18" s="2"/>
    </row>
    <row r="19" spans="1:37">
      <c r="A19" s="2"/>
      <c r="B19" s="2"/>
      <c r="C19" s="2"/>
      <c r="D19" s="2"/>
      <c r="E19" s="5"/>
      <c r="F19" s="2"/>
      <c r="G19" s="5"/>
      <c r="H19" s="2"/>
      <c r="I19" s="2"/>
      <c r="J19" s="2"/>
      <c r="K19" s="2"/>
      <c r="L19" s="2"/>
      <c r="M19" s="2"/>
      <c r="N19" s="2"/>
      <c r="O19" s="2"/>
      <c r="P19" s="2"/>
      <c r="Q19" s="2"/>
      <c r="R19" s="2"/>
      <c r="S19" s="2"/>
      <c r="T19" s="2"/>
      <c r="U19" s="2"/>
      <c r="V19" s="2"/>
      <c r="W19" s="2"/>
      <c r="X19" s="2"/>
      <c r="Y19" s="2"/>
      <c r="Z19" s="2" t="str">
        <f t="shared" si="0"/>
        <v/>
      </c>
      <c r="AA19" s="2" t="str">
        <f t="shared" si="1"/>
        <v/>
      </c>
      <c r="AB19" s="2" t="str">
        <f t="shared" si="2"/>
        <v/>
      </c>
      <c r="AC19" s="2" t="str">
        <f t="shared" si="3"/>
        <v>Walks with direction</v>
      </c>
      <c r="AD19" s="2"/>
      <c r="AE19" s="5"/>
      <c r="AF19" s="2"/>
      <c r="AG19" s="2"/>
      <c r="AH19" s="2"/>
      <c r="AI19" s="2"/>
    </row>
    <row r="20" spans="1:37">
      <c r="A20" s="2"/>
      <c r="B20" s="2"/>
      <c r="C20" s="2"/>
      <c r="D20" s="2"/>
      <c r="E20" s="5"/>
      <c r="F20" s="2"/>
      <c r="G20" s="5"/>
      <c r="H20" s="2"/>
      <c r="I20" s="2"/>
      <c r="J20" s="2"/>
      <c r="K20" s="2"/>
      <c r="L20" s="2"/>
      <c r="M20" s="2"/>
      <c r="N20" s="2"/>
      <c r="O20" s="2"/>
      <c r="P20" s="2"/>
      <c r="Q20" s="2"/>
      <c r="R20" s="2"/>
      <c r="S20" s="2"/>
      <c r="T20" s="2"/>
      <c r="U20" s="2"/>
      <c r="V20" s="2"/>
      <c r="W20" s="2"/>
      <c r="X20" s="2"/>
      <c r="Y20" s="2"/>
      <c r="Z20" s="2" t="str">
        <f t="shared" si="0"/>
        <v/>
      </c>
      <c r="AA20" s="2" t="str">
        <f t="shared" si="1"/>
        <v/>
      </c>
      <c r="AB20" s="2" t="str">
        <f t="shared" si="2"/>
        <v/>
      </c>
      <c r="AC20" s="2" t="str">
        <f t="shared" si="3"/>
        <v>Walks with direction</v>
      </c>
      <c r="AD20" s="2"/>
      <c r="AE20" s="5"/>
      <c r="AF20" s="2"/>
      <c r="AG20" s="2"/>
      <c r="AH20" s="2"/>
      <c r="AI20" s="2"/>
    </row>
    <row r="21" spans="1:37">
      <c r="A21" s="2"/>
      <c r="B21" s="2"/>
      <c r="C21" s="2"/>
      <c r="D21" s="2"/>
      <c r="E21" s="5"/>
      <c r="F21" s="2"/>
      <c r="G21" s="5"/>
      <c r="H21" s="2"/>
      <c r="I21" s="2"/>
      <c r="J21" s="2"/>
      <c r="K21" s="2"/>
      <c r="L21" s="2"/>
      <c r="M21" s="2"/>
      <c r="N21" s="2"/>
      <c r="O21" s="2"/>
      <c r="P21" s="2"/>
      <c r="Q21" s="2"/>
      <c r="R21" s="2"/>
      <c r="S21" s="2"/>
      <c r="T21" s="2"/>
      <c r="U21" s="2"/>
      <c r="V21" s="2"/>
      <c r="W21" s="2"/>
      <c r="X21" s="2"/>
      <c r="Y21" s="2"/>
      <c r="Z21" s="2" t="str">
        <f t="shared" si="0"/>
        <v/>
      </c>
      <c r="AA21" s="2" t="str">
        <f t="shared" si="1"/>
        <v/>
      </c>
      <c r="AB21" s="2" t="str">
        <f t="shared" si="2"/>
        <v/>
      </c>
      <c r="AC21" s="2" t="str">
        <f t="shared" si="3"/>
        <v>Walks with direction</v>
      </c>
      <c r="AD21" s="2"/>
      <c r="AE21" s="5"/>
      <c r="AF21" s="2"/>
      <c r="AG21" s="2"/>
      <c r="AH21" s="2"/>
      <c r="AI21" s="2"/>
    </row>
    <row r="22" spans="1:37">
      <c r="A22" s="2"/>
      <c r="B22" s="2"/>
      <c r="C22" s="2"/>
      <c r="D22" s="2"/>
      <c r="E22" s="5"/>
      <c r="F22" s="2"/>
      <c r="G22" s="5"/>
      <c r="H22" s="2"/>
      <c r="I22" s="2"/>
      <c r="J22" s="2"/>
      <c r="K22" s="2"/>
      <c r="L22" s="2"/>
      <c r="M22" s="2"/>
      <c r="N22" s="2"/>
      <c r="O22" s="2"/>
      <c r="P22" s="2"/>
      <c r="Q22" s="2"/>
      <c r="R22" s="2"/>
      <c r="S22" s="2"/>
      <c r="T22" s="2"/>
      <c r="U22" s="2"/>
      <c r="V22" s="2"/>
      <c r="W22" s="2"/>
      <c r="X22" s="2"/>
      <c r="Y22" s="2"/>
      <c r="Z22" s="2" t="str">
        <f t="shared" si="0"/>
        <v/>
      </c>
      <c r="AA22" s="2" t="str">
        <f t="shared" si="1"/>
        <v/>
      </c>
      <c r="AB22" s="2" t="str">
        <f t="shared" si="2"/>
        <v/>
      </c>
      <c r="AC22" s="2" t="str">
        <f t="shared" si="3"/>
        <v>Walks with direction</v>
      </c>
      <c r="AD22" s="2"/>
      <c r="AE22" s="5"/>
      <c r="AF22" s="2"/>
      <c r="AG22" s="2"/>
      <c r="AH22" s="2"/>
      <c r="AI22" s="2"/>
    </row>
    <row r="23" spans="1:37">
      <c r="A23" s="2"/>
      <c r="B23" s="2"/>
      <c r="C23" s="2"/>
      <c r="D23" s="2"/>
      <c r="E23" s="5"/>
      <c r="F23" s="2"/>
      <c r="G23" s="5"/>
      <c r="H23" s="2"/>
      <c r="I23" s="2"/>
      <c r="J23" s="2"/>
      <c r="K23" s="2"/>
      <c r="L23" s="2"/>
      <c r="M23" s="2"/>
      <c r="N23" s="2"/>
      <c r="O23" s="2"/>
      <c r="P23" s="2"/>
      <c r="Q23" s="2"/>
      <c r="R23" s="2"/>
      <c r="S23" s="2"/>
      <c r="T23" s="2"/>
      <c r="U23" s="2"/>
      <c r="V23" s="2"/>
      <c r="W23" s="2"/>
      <c r="X23" s="2"/>
      <c r="Y23" s="2"/>
      <c r="Z23" s="2" t="str">
        <f t="shared" si="0"/>
        <v/>
      </c>
      <c r="AA23" s="2" t="str">
        <f t="shared" si="1"/>
        <v/>
      </c>
      <c r="AB23" s="2" t="str">
        <f t="shared" si="2"/>
        <v/>
      </c>
      <c r="AC23" s="2" t="str">
        <f t="shared" si="3"/>
        <v>Walks with direction</v>
      </c>
      <c r="AD23" s="2"/>
      <c r="AE23" s="5"/>
      <c r="AF23" s="2"/>
      <c r="AG23" s="2"/>
      <c r="AH23" s="2"/>
      <c r="AI23" s="2"/>
    </row>
    <row r="24" spans="1:37">
      <c r="A24" s="2"/>
      <c r="B24" s="2"/>
      <c r="C24" s="2"/>
      <c r="D24" s="2"/>
      <c r="E24" s="5"/>
      <c r="F24" s="2"/>
      <c r="G24" s="5"/>
      <c r="H24" s="2"/>
      <c r="I24" s="2"/>
      <c r="J24" s="2"/>
      <c r="K24" s="2"/>
      <c r="L24" s="2"/>
      <c r="M24" s="2"/>
      <c r="N24" s="2"/>
      <c r="O24" s="2"/>
      <c r="P24" s="2"/>
      <c r="Q24" s="2"/>
      <c r="R24" s="2"/>
      <c r="S24" s="2"/>
      <c r="T24" s="2"/>
      <c r="U24" s="2"/>
      <c r="V24" s="2"/>
      <c r="W24" s="2"/>
      <c r="X24" s="2"/>
      <c r="Y24" s="2"/>
      <c r="Z24" s="2" t="str">
        <f t="shared" si="0"/>
        <v/>
      </c>
      <c r="AA24" s="2" t="str">
        <f t="shared" si="1"/>
        <v/>
      </c>
      <c r="AB24" s="2" t="str">
        <f t="shared" si="2"/>
        <v/>
      </c>
      <c r="AC24" s="2" t="str">
        <f t="shared" si="3"/>
        <v>Walks with direction</v>
      </c>
      <c r="AD24" s="2"/>
      <c r="AE24" s="5"/>
      <c r="AF24" s="2"/>
      <c r="AG24" s="2"/>
      <c r="AH24" s="2"/>
      <c r="AI24" s="2"/>
    </row>
    <row r="25" spans="1:37">
      <c r="A25" s="2"/>
      <c r="B25" s="2"/>
      <c r="C25" s="2"/>
      <c r="D25" s="2"/>
      <c r="E25" s="5"/>
      <c r="F25" s="2"/>
      <c r="G25" s="5"/>
      <c r="H25" s="2"/>
      <c r="I25" s="2"/>
      <c r="J25" s="2"/>
      <c r="K25" s="2"/>
      <c r="L25" s="2"/>
      <c r="M25" s="2"/>
      <c r="N25" s="2"/>
      <c r="O25" s="2"/>
      <c r="P25" s="2"/>
      <c r="Q25" s="2"/>
      <c r="R25" s="2"/>
      <c r="S25" s="2"/>
      <c r="T25" s="2"/>
      <c r="U25" s="2"/>
      <c r="V25" s="2"/>
      <c r="W25" s="2"/>
      <c r="X25" s="2"/>
      <c r="Y25" s="2"/>
      <c r="Z25" s="2" t="str">
        <f t="shared" si="0"/>
        <v/>
      </c>
      <c r="AA25" s="2" t="str">
        <f t="shared" si="1"/>
        <v/>
      </c>
      <c r="AB25" s="2" t="str">
        <f t="shared" si="2"/>
        <v/>
      </c>
      <c r="AC25" s="2" t="str">
        <f t="shared" si="3"/>
        <v>Walks with direction</v>
      </c>
      <c r="AD25" s="2"/>
      <c r="AE25" s="5"/>
      <c r="AF25" s="2"/>
      <c r="AG25" s="2"/>
      <c r="AH25" s="2"/>
      <c r="AI25" s="2"/>
    </row>
    <row r="26" spans="1:37">
      <c r="A26" s="2"/>
      <c r="B26" s="2"/>
      <c r="C26" s="2"/>
      <c r="D26" s="2"/>
      <c r="E26" s="5"/>
      <c r="F26" s="2"/>
      <c r="G26" s="5"/>
      <c r="H26" s="2"/>
      <c r="I26" s="2"/>
      <c r="J26" s="2"/>
      <c r="K26" s="2"/>
      <c r="L26" s="2"/>
      <c r="M26" s="2"/>
      <c r="N26" s="2"/>
      <c r="O26" s="2"/>
      <c r="P26" s="2"/>
      <c r="Q26" s="2"/>
      <c r="R26" s="2"/>
      <c r="S26" s="2"/>
      <c r="T26" s="2"/>
      <c r="U26" s="2"/>
      <c r="V26" s="2"/>
      <c r="W26" s="2"/>
      <c r="X26" s="2"/>
      <c r="Y26" s="2"/>
      <c r="Z26" s="2" t="str">
        <f t="shared" si="0"/>
        <v/>
      </c>
      <c r="AA26" s="2" t="str">
        <f t="shared" si="1"/>
        <v/>
      </c>
      <c r="AB26" s="2" t="str">
        <f t="shared" si="2"/>
        <v/>
      </c>
      <c r="AC26" s="2" t="str">
        <f t="shared" si="3"/>
        <v>Walks with direction</v>
      </c>
      <c r="AD26" s="2"/>
      <c r="AE26" s="5"/>
      <c r="AF26" s="2"/>
      <c r="AG26" s="2"/>
      <c r="AH26" s="2"/>
      <c r="AI26" s="2"/>
    </row>
    <row r="27" spans="1:37">
      <c r="A27" s="2"/>
      <c r="B27" s="2"/>
      <c r="C27" s="2"/>
      <c r="D27" s="2"/>
      <c r="E27" s="5"/>
      <c r="F27" s="2"/>
      <c r="G27" s="5"/>
      <c r="H27" s="2"/>
      <c r="I27" s="2"/>
      <c r="J27" s="2"/>
      <c r="K27" s="2"/>
      <c r="L27" s="2"/>
      <c r="M27" s="2"/>
      <c r="N27" s="2"/>
      <c r="O27" s="2"/>
      <c r="P27" s="2"/>
      <c r="Q27" s="2"/>
      <c r="R27" s="2"/>
      <c r="S27" s="2"/>
      <c r="T27" s="2"/>
      <c r="U27" s="2"/>
      <c r="V27" s="2"/>
      <c r="W27" s="2"/>
      <c r="X27" s="2"/>
      <c r="Y27" s="2"/>
      <c r="Z27" s="2" t="str">
        <f t="shared" si="0"/>
        <v/>
      </c>
      <c r="AA27" s="2" t="str">
        <f t="shared" si="1"/>
        <v/>
      </c>
      <c r="AB27" s="2" t="str">
        <f t="shared" si="2"/>
        <v/>
      </c>
      <c r="AC27" s="2" t="str">
        <f t="shared" si="3"/>
        <v>Walks with direction</v>
      </c>
      <c r="AD27" s="2"/>
      <c r="AE27" s="5"/>
      <c r="AF27" s="2"/>
      <c r="AG27" s="2"/>
      <c r="AH27" s="2"/>
      <c r="AI27" s="2"/>
    </row>
    <row r="28" spans="1:37">
      <c r="A28" s="2"/>
      <c r="B28" s="2"/>
      <c r="C28" s="2"/>
      <c r="D28" s="2"/>
      <c r="E28" s="5"/>
      <c r="F28" s="2"/>
      <c r="G28" s="5"/>
      <c r="H28" s="2"/>
      <c r="I28" s="2"/>
      <c r="J28" s="2"/>
      <c r="K28" s="2"/>
      <c r="L28" s="2"/>
      <c r="M28" s="2"/>
      <c r="N28" s="2"/>
      <c r="O28" s="2"/>
      <c r="P28" s="2"/>
      <c r="Q28" s="2"/>
      <c r="R28" s="2"/>
      <c r="S28" s="2"/>
      <c r="T28" s="2"/>
      <c r="U28" s="2"/>
      <c r="V28" s="2"/>
      <c r="W28" s="2"/>
      <c r="X28" s="2"/>
      <c r="Y28" s="2"/>
      <c r="Z28" s="2" t="str">
        <f t="shared" si="0"/>
        <v/>
      </c>
      <c r="AA28" s="2" t="str">
        <f t="shared" si="1"/>
        <v/>
      </c>
      <c r="AB28" s="2" t="str">
        <f t="shared" si="2"/>
        <v/>
      </c>
      <c r="AC28" s="2" t="str">
        <f t="shared" si="3"/>
        <v>Walks with direction</v>
      </c>
      <c r="AD28" s="2"/>
      <c r="AE28" s="5"/>
      <c r="AF28" s="2"/>
      <c r="AG28" s="2"/>
      <c r="AH28" s="2"/>
      <c r="AI28" s="2"/>
    </row>
    <row r="29" spans="1:37">
      <c r="A29" s="2"/>
      <c r="B29" s="2"/>
      <c r="C29" s="2"/>
      <c r="D29" s="2"/>
      <c r="E29" s="5"/>
      <c r="F29" s="2"/>
      <c r="G29" s="5"/>
      <c r="H29" s="2"/>
      <c r="I29" s="2"/>
      <c r="J29" s="2"/>
      <c r="K29" s="2"/>
      <c r="L29" s="2"/>
      <c r="M29" s="2"/>
      <c r="N29" s="2"/>
      <c r="O29" s="2"/>
      <c r="P29" s="2"/>
      <c r="Q29" s="2"/>
      <c r="R29" s="2"/>
      <c r="S29" s="2"/>
      <c r="T29" s="2"/>
      <c r="U29" s="2"/>
      <c r="V29" s="2"/>
      <c r="W29" s="2"/>
      <c r="X29" s="2"/>
      <c r="Y29" s="2"/>
      <c r="Z29" s="2" t="str">
        <f t="shared" si="0"/>
        <v/>
      </c>
      <c r="AA29" s="2" t="str">
        <f t="shared" si="1"/>
        <v/>
      </c>
      <c r="AB29" s="2" t="str">
        <f t="shared" si="2"/>
        <v/>
      </c>
      <c r="AC29" s="2" t="str">
        <f t="shared" si="3"/>
        <v>Walks with direction</v>
      </c>
      <c r="AD29" s="2"/>
      <c r="AE29" s="5"/>
      <c r="AF29" s="2"/>
      <c r="AG29" s="2"/>
      <c r="AH29" s="2"/>
      <c r="AI29" s="2"/>
    </row>
    <row r="30" spans="1:37">
      <c r="A30" s="2"/>
      <c r="B30" s="2"/>
      <c r="C30" s="2"/>
      <c r="D30" s="2"/>
      <c r="E30" s="5"/>
      <c r="F30" s="2"/>
      <c r="G30" s="5"/>
      <c r="H30" s="2"/>
      <c r="I30" s="2"/>
      <c r="J30" s="2"/>
      <c r="K30" s="2"/>
      <c r="L30" s="2"/>
      <c r="M30" s="2"/>
      <c r="N30" s="2"/>
      <c r="O30" s="2"/>
      <c r="P30" s="2"/>
      <c r="Q30" s="2"/>
      <c r="R30" s="2"/>
      <c r="S30" s="2"/>
      <c r="T30" s="2"/>
      <c r="U30" s="2"/>
      <c r="V30" s="2"/>
      <c r="W30" s="2"/>
      <c r="X30" s="2"/>
      <c r="Y30" s="2"/>
      <c r="Z30" s="2" t="str">
        <f t="shared" si="0"/>
        <v/>
      </c>
      <c r="AA30" s="2" t="str">
        <f t="shared" si="1"/>
        <v/>
      </c>
      <c r="AB30" s="2" t="str">
        <f t="shared" si="2"/>
        <v/>
      </c>
      <c r="AC30" s="2" t="str">
        <f t="shared" si="3"/>
        <v>Walks with direction</v>
      </c>
      <c r="AD30" s="2"/>
      <c r="AE30" s="5"/>
      <c r="AF30" s="2"/>
      <c r="AG30" s="2"/>
      <c r="AH30" s="2"/>
      <c r="AI30" s="2"/>
    </row>
    <row r="31" spans="1:37">
      <c r="A31" s="2"/>
      <c r="B31" s="2"/>
      <c r="C31" s="2"/>
      <c r="D31" s="2"/>
      <c r="E31" s="5"/>
      <c r="F31" s="2"/>
      <c r="G31" s="5"/>
      <c r="H31" s="2"/>
      <c r="I31" s="2"/>
      <c r="J31" s="2"/>
      <c r="K31" s="2"/>
      <c r="L31" s="2"/>
      <c r="M31" s="2"/>
      <c r="N31" s="2"/>
      <c r="O31" s="2"/>
      <c r="P31" s="2"/>
      <c r="Q31" s="2"/>
      <c r="R31" s="2"/>
      <c r="S31" s="2"/>
      <c r="T31" s="2"/>
      <c r="U31" s="2"/>
      <c r="V31" s="2"/>
      <c r="W31" s="2"/>
      <c r="X31" s="2"/>
      <c r="Y31" s="2"/>
      <c r="Z31" s="2" t="str">
        <f t="shared" si="0"/>
        <v/>
      </c>
      <c r="AA31" s="2" t="str">
        <f t="shared" si="1"/>
        <v/>
      </c>
      <c r="AB31" s="2" t="str">
        <f t="shared" si="2"/>
        <v/>
      </c>
      <c r="AC31" s="2" t="str">
        <f t="shared" si="3"/>
        <v>Walks with direction</v>
      </c>
      <c r="AD31" s="2"/>
      <c r="AE31" s="5"/>
      <c r="AF31" s="2"/>
      <c r="AG31" s="2"/>
      <c r="AH31" s="2"/>
      <c r="AI31" s="2"/>
    </row>
    <row r="32" spans="1:37">
      <c r="A32" s="2"/>
      <c r="B32" s="2"/>
      <c r="C32" s="2"/>
      <c r="D32" s="2"/>
      <c r="E32" s="5"/>
      <c r="F32" s="2"/>
      <c r="G32" s="5"/>
      <c r="H32" s="2"/>
      <c r="I32" s="2"/>
      <c r="J32" s="2"/>
      <c r="K32" s="2"/>
      <c r="L32" s="2"/>
      <c r="M32" s="2"/>
      <c r="N32" s="2"/>
      <c r="O32" s="2"/>
      <c r="P32" s="2"/>
      <c r="Q32" s="2"/>
      <c r="R32" s="2"/>
      <c r="S32" s="2"/>
      <c r="T32" s="2"/>
      <c r="U32" s="2"/>
      <c r="V32" s="2"/>
      <c r="W32" s="2"/>
      <c r="X32" s="2"/>
      <c r="Y32" s="2"/>
      <c r="Z32" s="2" t="str">
        <f t="shared" si="0"/>
        <v/>
      </c>
      <c r="AA32" s="2" t="str">
        <f t="shared" si="1"/>
        <v/>
      </c>
      <c r="AB32" s="2" t="str">
        <f t="shared" si="2"/>
        <v/>
      </c>
      <c r="AC32" s="2" t="str">
        <f t="shared" si="3"/>
        <v>Walks with direction</v>
      </c>
      <c r="AD32" s="2"/>
      <c r="AE32" s="5"/>
      <c r="AF32" s="2"/>
      <c r="AG32" s="2"/>
      <c r="AH32" s="2"/>
      <c r="AI32" s="2"/>
    </row>
    <row r="33" spans="1:35">
      <c r="A33" s="2"/>
      <c r="B33" s="2"/>
      <c r="C33" s="2"/>
      <c r="D33" s="2"/>
      <c r="E33" s="5"/>
      <c r="F33" s="2"/>
      <c r="G33" s="5"/>
      <c r="H33" s="2"/>
      <c r="I33" s="2"/>
      <c r="J33" s="2"/>
      <c r="K33" s="2"/>
      <c r="L33" s="2"/>
      <c r="M33" s="2"/>
      <c r="N33" s="2"/>
      <c r="O33" s="2"/>
      <c r="P33" s="2"/>
      <c r="Q33" s="2"/>
      <c r="R33" s="2"/>
      <c r="S33" s="2"/>
      <c r="T33" s="2"/>
      <c r="U33" s="2"/>
      <c r="V33" s="2"/>
      <c r="W33" s="2"/>
      <c r="X33" s="2"/>
      <c r="Y33" s="2"/>
      <c r="Z33" s="2" t="str">
        <f t="shared" si="0"/>
        <v/>
      </c>
      <c r="AA33" s="2" t="str">
        <f t="shared" si="1"/>
        <v/>
      </c>
      <c r="AB33" s="2" t="str">
        <f t="shared" si="2"/>
        <v/>
      </c>
      <c r="AC33" s="2" t="str">
        <f t="shared" si="3"/>
        <v>Walks with direction</v>
      </c>
      <c r="AD33" s="2"/>
      <c r="AE33" s="5"/>
      <c r="AF33" s="2"/>
      <c r="AG33" s="2"/>
      <c r="AH33" s="2"/>
      <c r="AI33" s="2"/>
    </row>
    <row r="34" spans="1:35">
      <c r="A34" s="2"/>
      <c r="B34" s="2"/>
      <c r="C34" s="2"/>
      <c r="D34" s="2"/>
      <c r="E34" s="5"/>
      <c r="F34" s="2"/>
      <c r="G34" s="5"/>
      <c r="H34" s="2"/>
      <c r="I34" s="2"/>
      <c r="J34" s="2"/>
      <c r="K34" s="2"/>
      <c r="L34" s="2"/>
      <c r="M34" s="2"/>
      <c r="N34" s="2"/>
      <c r="O34" s="2"/>
      <c r="P34" s="2"/>
      <c r="Q34" s="2"/>
      <c r="R34" s="2"/>
      <c r="S34" s="2"/>
      <c r="T34" s="2"/>
      <c r="U34" s="2"/>
      <c r="V34" s="2"/>
      <c r="W34" s="2"/>
      <c r="X34" s="2"/>
      <c r="Y34" s="2"/>
      <c r="Z34" s="2" t="str">
        <f t="shared" si="0"/>
        <v/>
      </c>
      <c r="AA34" s="2" t="str">
        <f t="shared" si="1"/>
        <v/>
      </c>
      <c r="AB34" s="2" t="str">
        <f t="shared" si="2"/>
        <v/>
      </c>
      <c r="AC34" s="2" t="str">
        <f t="shared" si="3"/>
        <v>Walks with direction</v>
      </c>
      <c r="AD34" s="2"/>
      <c r="AE34" s="5"/>
      <c r="AF34" s="2"/>
      <c r="AG34" s="2"/>
      <c r="AH34" s="2"/>
      <c r="AI34" s="2"/>
    </row>
    <row r="35" spans="1:35">
      <c r="A35" s="2"/>
      <c r="B35" s="2"/>
      <c r="C35" s="2"/>
      <c r="D35" s="2"/>
      <c r="E35" s="5"/>
      <c r="F35" s="2"/>
      <c r="G35" s="5"/>
      <c r="H35" s="2"/>
      <c r="I35" s="2"/>
      <c r="J35" s="2"/>
      <c r="K35" s="2"/>
      <c r="L35" s="2"/>
      <c r="M35" s="2"/>
      <c r="N35" s="2"/>
      <c r="O35" s="2"/>
      <c r="P35" s="2"/>
      <c r="Q35" s="2"/>
      <c r="R35" s="2"/>
      <c r="S35" s="2"/>
      <c r="T35" s="2"/>
      <c r="U35" s="2"/>
      <c r="V35" s="2"/>
      <c r="W35" s="2"/>
      <c r="X35" s="2"/>
      <c r="Y35" s="2"/>
      <c r="Z35" s="2" t="str">
        <f t="shared" si="0"/>
        <v/>
      </c>
      <c r="AA35" s="2" t="str">
        <f t="shared" si="1"/>
        <v/>
      </c>
      <c r="AB35" s="2" t="str">
        <f t="shared" si="2"/>
        <v/>
      </c>
      <c r="AC35" s="2" t="str">
        <f t="shared" si="3"/>
        <v>Walks with direction</v>
      </c>
      <c r="AD35" s="2"/>
      <c r="AE35" s="5"/>
      <c r="AF35" s="2"/>
      <c r="AG35" s="2"/>
      <c r="AH35" s="2"/>
      <c r="AI35" s="2"/>
    </row>
    <row r="36" spans="1:35">
      <c r="A36" s="2"/>
      <c r="B36" s="2"/>
      <c r="C36" s="2"/>
      <c r="D36" s="2"/>
      <c r="E36" s="5"/>
      <c r="F36" s="2"/>
      <c r="G36" s="5"/>
      <c r="H36" s="2"/>
      <c r="I36" s="2"/>
      <c r="J36" s="2"/>
      <c r="K36" s="2"/>
      <c r="L36" s="2"/>
      <c r="M36" s="2"/>
      <c r="N36" s="2"/>
      <c r="O36" s="2"/>
      <c r="P36" s="2"/>
      <c r="Q36" s="2"/>
      <c r="R36" s="2"/>
      <c r="S36" s="2"/>
      <c r="T36" s="2"/>
      <c r="U36" s="2"/>
      <c r="V36" s="2"/>
      <c r="W36" s="2"/>
      <c r="X36" s="2"/>
      <c r="Y36" s="2"/>
      <c r="Z36" s="2" t="str">
        <f t="shared" si="0"/>
        <v/>
      </c>
      <c r="AA36" s="2" t="str">
        <f t="shared" si="1"/>
        <v/>
      </c>
      <c r="AB36" s="2" t="str">
        <f t="shared" si="2"/>
        <v/>
      </c>
      <c r="AC36" s="2" t="str">
        <f t="shared" si="3"/>
        <v>Walks with direction</v>
      </c>
      <c r="AD36" s="2"/>
      <c r="AE36" s="5"/>
      <c r="AF36" s="2"/>
      <c r="AG36" s="2"/>
      <c r="AH36" s="2"/>
      <c r="AI36" s="2"/>
    </row>
    <row r="37" spans="1:35">
      <c r="A37" s="2"/>
      <c r="B37" s="2"/>
      <c r="C37" s="2"/>
      <c r="D37" s="2"/>
      <c r="E37" s="5"/>
      <c r="F37" s="2"/>
      <c r="G37" s="5"/>
      <c r="H37" s="2"/>
      <c r="I37" s="2"/>
      <c r="J37" s="2"/>
      <c r="K37" s="2"/>
      <c r="L37" s="2"/>
      <c r="M37" s="2"/>
      <c r="N37" s="2"/>
      <c r="O37" s="2"/>
      <c r="P37" s="2"/>
      <c r="Q37" s="2"/>
      <c r="R37" s="2"/>
      <c r="S37" s="2"/>
      <c r="T37" s="2"/>
      <c r="U37" s="2"/>
      <c r="V37" s="2"/>
      <c r="W37" s="2"/>
      <c r="X37" s="2"/>
      <c r="Y37" s="2"/>
      <c r="Z37" s="2" t="str">
        <f t="shared" si="0"/>
        <v/>
      </c>
      <c r="AA37" s="2" t="str">
        <f t="shared" si="1"/>
        <v/>
      </c>
      <c r="AB37" s="2" t="str">
        <f t="shared" si="2"/>
        <v/>
      </c>
      <c r="AC37" s="2" t="str">
        <f t="shared" si="3"/>
        <v>Walks with direction</v>
      </c>
      <c r="AD37" s="2"/>
      <c r="AE37" s="5"/>
      <c r="AF37" s="2"/>
      <c r="AG37" s="2"/>
      <c r="AH37" s="2"/>
      <c r="AI37" s="2"/>
    </row>
    <row r="38" spans="1:35">
      <c r="A38" s="2"/>
      <c r="B38" s="2"/>
      <c r="C38" s="2"/>
      <c r="D38" s="2"/>
      <c r="E38" s="5"/>
      <c r="F38" s="2"/>
      <c r="G38" s="5"/>
      <c r="H38" s="2"/>
      <c r="I38" s="2"/>
      <c r="J38" s="2"/>
      <c r="K38" s="2"/>
      <c r="L38" s="2"/>
      <c r="M38" s="2"/>
      <c r="N38" s="2"/>
      <c r="O38" s="2"/>
      <c r="P38" s="2"/>
      <c r="Q38" s="2"/>
      <c r="R38" s="2"/>
      <c r="S38" s="2"/>
      <c r="T38" s="2"/>
      <c r="U38" s="2"/>
      <c r="V38" s="2"/>
      <c r="W38" s="2"/>
      <c r="X38" s="2"/>
      <c r="Y38" s="2"/>
      <c r="Z38" s="2" t="str">
        <f t="shared" si="0"/>
        <v/>
      </c>
      <c r="AA38" s="2" t="str">
        <f t="shared" si="1"/>
        <v/>
      </c>
      <c r="AB38" s="2" t="str">
        <f t="shared" si="2"/>
        <v/>
      </c>
      <c r="AC38" s="2" t="str">
        <f t="shared" si="3"/>
        <v>Walks with direction</v>
      </c>
      <c r="AD38" s="2"/>
      <c r="AE38" s="5"/>
      <c r="AF38" s="2"/>
      <c r="AG38" s="2"/>
      <c r="AH38" s="2"/>
      <c r="AI38" s="2"/>
    </row>
    <row r="39" spans="1:35">
      <c r="A39" s="2"/>
      <c r="B39" s="2"/>
      <c r="C39" s="2"/>
      <c r="D39" s="2"/>
      <c r="E39" s="5"/>
      <c r="F39" s="2"/>
      <c r="G39" s="5"/>
      <c r="H39" s="2"/>
      <c r="I39" s="2"/>
      <c r="J39" s="2"/>
      <c r="K39" s="2"/>
      <c r="L39" s="2"/>
      <c r="M39" s="2"/>
      <c r="N39" s="2"/>
      <c r="O39" s="2"/>
      <c r="P39" s="2"/>
      <c r="Q39" s="2"/>
      <c r="R39" s="2"/>
      <c r="S39" s="2"/>
      <c r="T39" s="2"/>
      <c r="U39" s="2"/>
      <c r="V39" s="2"/>
      <c r="W39" s="2"/>
      <c r="X39" s="2"/>
      <c r="Y39" s="2"/>
      <c r="Z39" s="2" t="str">
        <f t="shared" si="0"/>
        <v/>
      </c>
      <c r="AA39" s="2" t="str">
        <f t="shared" si="1"/>
        <v/>
      </c>
      <c r="AB39" s="2" t="str">
        <f t="shared" si="2"/>
        <v/>
      </c>
      <c r="AC39" s="2" t="str">
        <f t="shared" si="3"/>
        <v>Walks with direction</v>
      </c>
      <c r="AD39" s="2"/>
      <c r="AE39" s="5"/>
      <c r="AF39" s="2"/>
      <c r="AG39" s="2"/>
      <c r="AH39" s="2"/>
      <c r="AI39" s="2"/>
    </row>
    <row r="40" spans="1:35">
      <c r="A40" s="2"/>
      <c r="B40" s="2"/>
      <c r="C40" s="2"/>
      <c r="D40" s="2"/>
      <c r="E40" s="5"/>
      <c r="F40" s="2"/>
      <c r="G40" s="5"/>
      <c r="H40" s="2"/>
      <c r="I40" s="2"/>
      <c r="J40" s="2"/>
      <c r="K40" s="2"/>
      <c r="L40" s="2"/>
      <c r="M40" s="2"/>
      <c r="N40" s="2"/>
      <c r="O40" s="2"/>
      <c r="P40" s="2"/>
      <c r="Q40" s="2"/>
      <c r="R40" s="2"/>
      <c r="S40" s="2"/>
      <c r="T40" s="2"/>
      <c r="U40" s="2"/>
      <c r="V40" s="2"/>
      <c r="W40" s="2"/>
      <c r="X40" s="2"/>
      <c r="Y40" s="2"/>
      <c r="Z40" s="2" t="str">
        <f t="shared" si="0"/>
        <v/>
      </c>
      <c r="AA40" s="2" t="str">
        <f t="shared" si="1"/>
        <v/>
      </c>
      <c r="AB40" s="2" t="str">
        <f t="shared" si="2"/>
        <v/>
      </c>
      <c r="AC40" s="2" t="str">
        <f t="shared" si="3"/>
        <v>Walks with direction</v>
      </c>
      <c r="AD40" s="2"/>
      <c r="AE40" s="5"/>
      <c r="AF40" s="2"/>
      <c r="AG40" s="2"/>
      <c r="AH40" s="2"/>
      <c r="AI40" s="2"/>
    </row>
    <row r="41" spans="1:35">
      <c r="A41" s="2"/>
      <c r="B41" s="2"/>
      <c r="C41" s="2"/>
      <c r="D41" s="2"/>
      <c r="E41" s="5"/>
      <c r="F41" s="2"/>
      <c r="G41" s="5"/>
      <c r="H41" s="2"/>
      <c r="I41" s="2"/>
      <c r="J41" s="2"/>
      <c r="K41" s="2"/>
      <c r="L41" s="2"/>
      <c r="M41" s="2"/>
      <c r="N41" s="2"/>
      <c r="O41" s="2"/>
      <c r="P41" s="2"/>
      <c r="Q41" s="2"/>
      <c r="R41" s="2"/>
      <c r="S41" s="2"/>
      <c r="T41" s="2"/>
      <c r="U41" s="2"/>
      <c r="V41" s="2"/>
      <c r="W41" s="2"/>
      <c r="X41" s="2"/>
      <c r="Y41" s="2"/>
      <c r="Z41" s="2" t="str">
        <f t="shared" si="0"/>
        <v/>
      </c>
      <c r="AA41" s="2" t="str">
        <f t="shared" si="1"/>
        <v/>
      </c>
      <c r="AB41" s="2" t="str">
        <f t="shared" si="2"/>
        <v/>
      </c>
      <c r="AC41" s="2" t="str">
        <f t="shared" si="3"/>
        <v>Walks with direction</v>
      </c>
      <c r="AD41" s="2"/>
      <c r="AE41" s="5"/>
      <c r="AF41" s="2"/>
      <c r="AG41" s="2"/>
      <c r="AH41" s="2"/>
      <c r="AI41" s="2"/>
    </row>
    <row r="42" spans="1:35">
      <c r="A42" s="2"/>
      <c r="B42" s="2"/>
      <c r="C42" s="2"/>
      <c r="D42" s="2"/>
      <c r="E42" s="5"/>
      <c r="F42" s="2"/>
      <c r="G42" s="5"/>
      <c r="H42" s="2"/>
      <c r="I42" s="2"/>
      <c r="J42" s="2"/>
      <c r="K42" s="2"/>
      <c r="L42" s="2"/>
      <c r="M42" s="2"/>
      <c r="N42" s="2"/>
      <c r="O42" s="2"/>
      <c r="P42" s="2"/>
      <c r="Q42" s="2"/>
      <c r="R42" s="2"/>
      <c r="S42" s="2"/>
      <c r="T42" s="2"/>
      <c r="U42" s="2"/>
      <c r="V42" s="2"/>
      <c r="W42" s="2"/>
      <c r="X42" s="2"/>
      <c r="Y42" s="2"/>
      <c r="Z42" s="2" t="str">
        <f t="shared" si="0"/>
        <v/>
      </c>
      <c r="AA42" s="2" t="str">
        <f t="shared" si="1"/>
        <v/>
      </c>
      <c r="AB42" s="2" t="str">
        <f t="shared" si="2"/>
        <v/>
      </c>
      <c r="AC42" s="2" t="str">
        <f t="shared" si="3"/>
        <v>Walks with direction</v>
      </c>
      <c r="AD42" s="2"/>
      <c r="AE42" s="5"/>
      <c r="AF42" s="2"/>
      <c r="AG42" s="2"/>
      <c r="AH42" s="2"/>
      <c r="AI42" s="2"/>
    </row>
    <row r="43" spans="1:35">
      <c r="A43" s="2"/>
      <c r="B43" s="2"/>
      <c r="C43" s="2"/>
      <c r="D43" s="2"/>
      <c r="E43" s="5"/>
      <c r="F43" s="2"/>
      <c r="G43" s="5"/>
      <c r="H43" s="2"/>
      <c r="I43" s="2"/>
      <c r="J43" s="2"/>
      <c r="K43" s="2"/>
      <c r="L43" s="2"/>
      <c r="M43" s="2"/>
      <c r="N43" s="2"/>
      <c r="O43" s="2"/>
      <c r="P43" s="2"/>
      <c r="Q43" s="2"/>
      <c r="R43" s="2"/>
      <c r="S43" s="2"/>
      <c r="T43" s="2"/>
      <c r="U43" s="2"/>
      <c r="V43" s="2"/>
      <c r="W43" s="2"/>
      <c r="X43" s="2"/>
      <c r="Y43" s="2"/>
      <c r="Z43" s="2" t="str">
        <f t="shared" si="0"/>
        <v/>
      </c>
      <c r="AA43" s="2" t="str">
        <f t="shared" si="1"/>
        <v/>
      </c>
      <c r="AB43" s="2" t="str">
        <f t="shared" si="2"/>
        <v/>
      </c>
      <c r="AC43" s="2" t="str">
        <f t="shared" si="3"/>
        <v>Walks with direction</v>
      </c>
      <c r="AD43" s="2"/>
      <c r="AE43" s="5"/>
      <c r="AF43" s="2"/>
      <c r="AG43" s="2"/>
      <c r="AH43" s="2"/>
      <c r="AI43" s="2"/>
    </row>
    <row r="44" spans="1:35">
      <c r="A44" s="2"/>
      <c r="B44" s="2"/>
      <c r="C44" s="2"/>
      <c r="D44" s="2"/>
      <c r="E44" s="5"/>
      <c r="F44" s="2"/>
      <c r="G44" s="5"/>
      <c r="H44" s="2"/>
      <c r="I44" s="2"/>
      <c r="J44" s="2"/>
      <c r="K44" s="2"/>
      <c r="L44" s="2"/>
      <c r="M44" s="2"/>
      <c r="N44" s="2"/>
      <c r="O44" s="2"/>
      <c r="P44" s="2"/>
      <c r="Q44" s="2"/>
      <c r="R44" s="2"/>
      <c r="S44" s="2"/>
      <c r="T44" s="2"/>
      <c r="U44" s="2"/>
      <c r="V44" s="2"/>
      <c r="W44" s="2"/>
      <c r="X44" s="2"/>
      <c r="Y44" s="2"/>
      <c r="Z44" s="2" t="str">
        <f t="shared" si="0"/>
        <v/>
      </c>
      <c r="AA44" s="2" t="str">
        <f t="shared" si="1"/>
        <v/>
      </c>
      <c r="AB44" s="2" t="str">
        <f t="shared" si="2"/>
        <v/>
      </c>
      <c r="AC44" s="2" t="str">
        <f t="shared" si="3"/>
        <v>Walks with direction</v>
      </c>
      <c r="AD44" s="2"/>
      <c r="AE44" s="5"/>
      <c r="AF44" s="2"/>
      <c r="AG44" s="2"/>
      <c r="AH44" s="2"/>
      <c r="AI44" s="2"/>
    </row>
    <row r="45" spans="1:35">
      <c r="A45" s="2"/>
      <c r="B45" s="2"/>
      <c r="C45" s="2"/>
      <c r="D45" s="2"/>
      <c r="E45" s="5"/>
      <c r="F45" s="2"/>
      <c r="G45" s="5"/>
      <c r="H45" s="2"/>
      <c r="I45" s="2"/>
      <c r="J45" s="2"/>
      <c r="K45" s="2"/>
      <c r="L45" s="2"/>
      <c r="M45" s="2"/>
      <c r="N45" s="2"/>
      <c r="O45" s="2"/>
      <c r="P45" s="2"/>
      <c r="Q45" s="2"/>
      <c r="R45" s="2"/>
      <c r="S45" s="2"/>
      <c r="T45" s="2"/>
      <c r="U45" s="2"/>
      <c r="V45" s="2"/>
      <c r="W45" s="2"/>
      <c r="X45" s="2"/>
      <c r="Y45" s="2"/>
      <c r="Z45" s="2" t="str">
        <f t="shared" si="0"/>
        <v/>
      </c>
      <c r="AA45" s="2" t="str">
        <f t="shared" si="1"/>
        <v/>
      </c>
      <c r="AB45" s="2" t="str">
        <f t="shared" si="2"/>
        <v/>
      </c>
      <c r="AC45" s="2" t="str">
        <f t="shared" si="3"/>
        <v>Walks with direction</v>
      </c>
      <c r="AD45" s="2"/>
      <c r="AE45" s="5"/>
      <c r="AF45" s="2"/>
      <c r="AG45" s="2"/>
      <c r="AH45" s="2"/>
      <c r="AI45" s="2"/>
    </row>
    <row r="46" spans="1:35">
      <c r="A46" s="2"/>
      <c r="B46" s="2"/>
      <c r="C46" s="2"/>
      <c r="D46" s="2"/>
      <c r="E46" s="5"/>
      <c r="F46" s="2"/>
      <c r="G46" s="5"/>
      <c r="H46" s="2"/>
      <c r="I46" s="2"/>
      <c r="J46" s="2"/>
      <c r="K46" s="2"/>
      <c r="L46" s="2"/>
      <c r="M46" s="2"/>
      <c r="N46" s="2"/>
      <c r="O46" s="2"/>
      <c r="P46" s="2"/>
      <c r="Q46" s="2"/>
      <c r="R46" s="2"/>
      <c r="S46" s="2"/>
      <c r="T46" s="2"/>
      <c r="U46" s="2"/>
      <c r="V46" s="2"/>
      <c r="W46" s="2"/>
      <c r="X46" s="2"/>
      <c r="Y46" s="2"/>
      <c r="Z46" s="2" t="str">
        <f t="shared" si="0"/>
        <v/>
      </c>
      <c r="AA46" s="2" t="str">
        <f t="shared" si="1"/>
        <v/>
      </c>
      <c r="AB46" s="2" t="str">
        <f t="shared" si="2"/>
        <v/>
      </c>
      <c r="AC46" s="2" t="str">
        <f t="shared" si="3"/>
        <v>Walks with direction</v>
      </c>
      <c r="AD46" s="2"/>
      <c r="AE46" s="5"/>
      <c r="AF46" s="2"/>
      <c r="AG46" s="2"/>
      <c r="AH46" s="2"/>
      <c r="AI46" s="2"/>
    </row>
    <row r="47" spans="1:35">
      <c r="A47" s="2"/>
      <c r="B47" s="2"/>
      <c r="C47" s="2"/>
      <c r="D47" s="2"/>
      <c r="E47" s="5"/>
      <c r="F47" s="2"/>
      <c r="G47" s="5"/>
      <c r="H47" s="2"/>
      <c r="I47" s="2"/>
      <c r="J47" s="2"/>
      <c r="K47" s="2"/>
      <c r="L47" s="2"/>
      <c r="M47" s="2"/>
      <c r="N47" s="2"/>
      <c r="O47" s="2"/>
      <c r="P47" s="2"/>
      <c r="Q47" s="2"/>
      <c r="R47" s="2"/>
      <c r="S47" s="2"/>
      <c r="T47" s="2"/>
      <c r="U47" s="2"/>
      <c r="V47" s="2"/>
      <c r="W47" s="2"/>
      <c r="X47" s="2"/>
      <c r="Y47" s="2"/>
      <c r="Z47" s="2" t="str">
        <f t="shared" si="0"/>
        <v/>
      </c>
      <c r="AA47" s="2" t="str">
        <f t="shared" si="1"/>
        <v/>
      </c>
      <c r="AB47" s="2" t="str">
        <f t="shared" si="2"/>
        <v/>
      </c>
      <c r="AC47" s="2" t="str">
        <f t="shared" si="3"/>
        <v>Walks with direction</v>
      </c>
      <c r="AD47" s="2"/>
      <c r="AE47" s="5"/>
      <c r="AF47" s="2"/>
      <c r="AG47" s="2"/>
      <c r="AH47" s="2"/>
      <c r="AI47" s="2"/>
    </row>
    <row r="48" spans="1:35">
      <c r="A48" s="2"/>
      <c r="B48" s="2"/>
      <c r="C48" s="2"/>
      <c r="D48" s="2"/>
      <c r="E48" s="5"/>
      <c r="F48" s="2"/>
      <c r="G48" s="5"/>
      <c r="H48" s="2"/>
      <c r="I48" s="2"/>
      <c r="J48" s="2"/>
      <c r="K48" s="2"/>
      <c r="L48" s="2"/>
      <c r="M48" s="2"/>
      <c r="N48" s="2"/>
      <c r="O48" s="2"/>
      <c r="P48" s="2"/>
      <c r="Q48" s="2"/>
      <c r="R48" s="2"/>
      <c r="S48" s="2"/>
      <c r="T48" s="2"/>
      <c r="U48" s="2"/>
      <c r="V48" s="2"/>
      <c r="W48" s="2"/>
      <c r="X48" s="2"/>
      <c r="Y48" s="2"/>
      <c r="Z48" s="2" t="str">
        <f t="shared" si="0"/>
        <v/>
      </c>
      <c r="AA48" s="2" t="str">
        <f t="shared" si="1"/>
        <v/>
      </c>
      <c r="AB48" s="2" t="str">
        <f t="shared" si="2"/>
        <v/>
      </c>
      <c r="AC48" s="2" t="str">
        <f t="shared" si="3"/>
        <v>Walks with direction</v>
      </c>
      <c r="AD48" s="2"/>
      <c r="AE48" s="5"/>
      <c r="AF48" s="2"/>
      <c r="AG48" s="2"/>
      <c r="AH48" s="2"/>
      <c r="AI48" s="2"/>
    </row>
    <row r="49" spans="1:35">
      <c r="A49" s="2"/>
      <c r="B49" s="2"/>
      <c r="C49" s="2"/>
      <c r="D49" s="2"/>
      <c r="E49" s="5"/>
      <c r="F49" s="2"/>
      <c r="G49" s="5"/>
      <c r="H49" s="2"/>
      <c r="I49" s="2"/>
      <c r="J49" s="2"/>
      <c r="K49" s="2"/>
      <c r="L49" s="2"/>
      <c r="M49" s="2"/>
      <c r="N49" s="2"/>
      <c r="O49" s="2"/>
      <c r="P49" s="2"/>
      <c r="Q49" s="2"/>
      <c r="R49" s="2"/>
      <c r="S49" s="2"/>
      <c r="T49" s="2"/>
      <c r="U49" s="2"/>
      <c r="V49" s="2"/>
      <c r="W49" s="2"/>
      <c r="X49" s="2"/>
      <c r="Y49" s="2"/>
      <c r="Z49" s="2" t="str">
        <f t="shared" si="0"/>
        <v/>
      </c>
      <c r="AA49" s="2" t="str">
        <f t="shared" si="1"/>
        <v/>
      </c>
      <c r="AB49" s="2" t="str">
        <f t="shared" si="2"/>
        <v/>
      </c>
      <c r="AC49" s="2" t="str">
        <f t="shared" si="3"/>
        <v>Walks with direction</v>
      </c>
      <c r="AD49" s="2"/>
      <c r="AE49" s="5"/>
      <c r="AF49" s="2"/>
      <c r="AG49" s="2"/>
      <c r="AH49" s="2"/>
      <c r="AI49" s="2"/>
    </row>
    <row r="50" spans="1:35">
      <c r="A50" s="2"/>
      <c r="B50" s="2"/>
      <c r="C50" s="2"/>
      <c r="D50" s="2"/>
      <c r="E50" s="5"/>
      <c r="F50" s="2"/>
      <c r="G50" s="5"/>
      <c r="H50" s="2"/>
      <c r="I50" s="2"/>
      <c r="J50" s="2"/>
      <c r="K50" s="2"/>
      <c r="L50" s="2"/>
      <c r="M50" s="2"/>
      <c r="N50" s="2"/>
      <c r="O50" s="2"/>
      <c r="P50" s="2"/>
      <c r="Q50" s="2"/>
      <c r="R50" s="2"/>
      <c r="S50" s="2"/>
      <c r="T50" s="2"/>
      <c r="U50" s="2"/>
      <c r="V50" s="2"/>
      <c r="W50" s="2"/>
      <c r="X50" s="2"/>
      <c r="Y50" s="2"/>
      <c r="Z50" s="2" t="str">
        <f t="shared" ref="Z50:Z81" si="4">IF(COUNTA(H50:Y50)=0,"",IF(COUNTIF(H50:Y50,"Very High")&gt;0,"Very High",IF(COUNTIF(H50:Y50,"High")&gt;0,"High",IF(COUNTIF(H50:Y50,"Medium")&gt;0,"Medium","Low"))))</f>
        <v/>
      </c>
      <c r="AA50" s="2" t="str">
        <f t="shared" ref="AA50:AA81" si="5">IF(Z50="","",IF(Z50="Low","Routine planned support",IF(Z50="Medium","One staff support/supervision likely",IF(Z50="High","Two staff/review staffing and equipment","Manager review: multiple staff/specialist support"))))</f>
        <v/>
      </c>
      <c r="AB50" s="2" t="str">
        <f t="shared" ref="AB50:AB81" si="6">IF(Z50="","",IF(OR(Z50="High",Z50="Very High",W50="High",W50="Very High"),"Night staffing and evacuation review required","Routine night checks as per care plan"))</f>
        <v/>
      </c>
      <c r="AC50" s="2" t="str">
        <f t="shared" ref="AC50:AC81" si="7">IF(X50="Very High","Specialist PEEP / equipment",IF(OR(X50="High",Z50="High"),"Evacuation sheet/chair or wheelchair per PEEP",IF(OR(X50="Medium",Z50="Medium"),"Walking aid/wheelchair support per PEEP","Walks with direction")))</f>
        <v>Walks with direction</v>
      </c>
      <c r="AD50" s="2"/>
      <c r="AE50" s="5"/>
      <c r="AF50" s="2"/>
      <c r="AG50" s="2"/>
      <c r="AH50" s="2"/>
      <c r="AI50" s="2"/>
    </row>
    <row r="51" spans="1:35">
      <c r="A51" s="2"/>
      <c r="B51" s="2"/>
      <c r="C51" s="2"/>
      <c r="D51" s="2"/>
      <c r="E51" s="5"/>
      <c r="F51" s="2"/>
      <c r="G51" s="5"/>
      <c r="H51" s="2"/>
      <c r="I51" s="2"/>
      <c r="J51" s="2"/>
      <c r="K51" s="2"/>
      <c r="L51" s="2"/>
      <c r="M51" s="2"/>
      <c r="N51" s="2"/>
      <c r="O51" s="2"/>
      <c r="P51" s="2"/>
      <c r="Q51" s="2"/>
      <c r="R51" s="2"/>
      <c r="S51" s="2"/>
      <c r="T51" s="2"/>
      <c r="U51" s="2"/>
      <c r="V51" s="2"/>
      <c r="W51" s="2"/>
      <c r="X51" s="2"/>
      <c r="Y51" s="2"/>
      <c r="Z51" s="2" t="str">
        <f t="shared" si="4"/>
        <v/>
      </c>
      <c r="AA51" s="2" t="str">
        <f t="shared" si="5"/>
        <v/>
      </c>
      <c r="AB51" s="2" t="str">
        <f t="shared" si="6"/>
        <v/>
      </c>
      <c r="AC51" s="2" t="str">
        <f t="shared" si="7"/>
        <v>Walks with direction</v>
      </c>
      <c r="AD51" s="2"/>
      <c r="AE51" s="5"/>
      <c r="AF51" s="2"/>
      <c r="AG51" s="2"/>
      <c r="AH51" s="2"/>
      <c r="AI51" s="2"/>
    </row>
    <row r="52" spans="1:35">
      <c r="A52" s="2"/>
      <c r="B52" s="2"/>
      <c r="C52" s="2"/>
      <c r="D52" s="2"/>
      <c r="E52" s="5"/>
      <c r="F52" s="2"/>
      <c r="G52" s="5"/>
      <c r="H52" s="2"/>
      <c r="I52" s="2"/>
      <c r="J52" s="2"/>
      <c r="K52" s="2"/>
      <c r="L52" s="2"/>
      <c r="M52" s="2"/>
      <c r="N52" s="2"/>
      <c r="O52" s="2"/>
      <c r="P52" s="2"/>
      <c r="Q52" s="2"/>
      <c r="R52" s="2"/>
      <c r="S52" s="2"/>
      <c r="T52" s="2"/>
      <c r="U52" s="2"/>
      <c r="V52" s="2"/>
      <c r="W52" s="2"/>
      <c r="X52" s="2"/>
      <c r="Y52" s="2"/>
      <c r="Z52" s="2" t="str">
        <f t="shared" si="4"/>
        <v/>
      </c>
      <c r="AA52" s="2" t="str">
        <f t="shared" si="5"/>
        <v/>
      </c>
      <c r="AB52" s="2" t="str">
        <f t="shared" si="6"/>
        <v/>
      </c>
      <c r="AC52" s="2" t="str">
        <f t="shared" si="7"/>
        <v>Walks with direction</v>
      </c>
      <c r="AD52" s="2"/>
      <c r="AE52" s="5"/>
      <c r="AF52" s="2"/>
      <c r="AG52" s="2"/>
      <c r="AH52" s="2"/>
      <c r="AI52" s="2"/>
    </row>
    <row r="53" spans="1:35">
      <c r="A53" s="2"/>
      <c r="B53" s="2"/>
      <c r="C53" s="2"/>
      <c r="D53" s="2"/>
      <c r="E53" s="5"/>
      <c r="F53" s="2"/>
      <c r="G53" s="5"/>
      <c r="H53" s="2"/>
      <c r="I53" s="2"/>
      <c r="J53" s="2"/>
      <c r="K53" s="2"/>
      <c r="L53" s="2"/>
      <c r="M53" s="2"/>
      <c r="N53" s="2"/>
      <c r="O53" s="2"/>
      <c r="P53" s="2"/>
      <c r="Q53" s="2"/>
      <c r="R53" s="2"/>
      <c r="S53" s="2"/>
      <c r="T53" s="2"/>
      <c r="U53" s="2"/>
      <c r="V53" s="2"/>
      <c r="W53" s="2"/>
      <c r="X53" s="2"/>
      <c r="Y53" s="2"/>
      <c r="Z53" s="2" t="str">
        <f t="shared" si="4"/>
        <v/>
      </c>
      <c r="AA53" s="2" t="str">
        <f t="shared" si="5"/>
        <v/>
      </c>
      <c r="AB53" s="2" t="str">
        <f t="shared" si="6"/>
        <v/>
      </c>
      <c r="AC53" s="2" t="str">
        <f t="shared" si="7"/>
        <v>Walks with direction</v>
      </c>
      <c r="AD53" s="2"/>
      <c r="AE53" s="5"/>
      <c r="AF53" s="2"/>
      <c r="AG53" s="2"/>
      <c r="AH53" s="2"/>
      <c r="AI53" s="2"/>
    </row>
    <row r="54" spans="1:35">
      <c r="A54" s="2"/>
      <c r="B54" s="2"/>
      <c r="C54" s="2"/>
      <c r="D54" s="2"/>
      <c r="E54" s="5"/>
      <c r="F54" s="2"/>
      <c r="G54" s="5"/>
      <c r="H54" s="2"/>
      <c r="I54" s="2"/>
      <c r="J54" s="2"/>
      <c r="K54" s="2"/>
      <c r="L54" s="2"/>
      <c r="M54" s="2"/>
      <c r="N54" s="2"/>
      <c r="O54" s="2"/>
      <c r="P54" s="2"/>
      <c r="Q54" s="2"/>
      <c r="R54" s="2"/>
      <c r="S54" s="2"/>
      <c r="T54" s="2"/>
      <c r="U54" s="2"/>
      <c r="V54" s="2"/>
      <c r="W54" s="2"/>
      <c r="X54" s="2"/>
      <c r="Y54" s="2"/>
      <c r="Z54" s="2" t="str">
        <f t="shared" si="4"/>
        <v/>
      </c>
      <c r="AA54" s="2" t="str">
        <f t="shared" si="5"/>
        <v/>
      </c>
      <c r="AB54" s="2" t="str">
        <f t="shared" si="6"/>
        <v/>
      </c>
      <c r="AC54" s="2" t="str">
        <f t="shared" si="7"/>
        <v>Walks with direction</v>
      </c>
      <c r="AD54" s="2"/>
      <c r="AE54" s="5"/>
      <c r="AF54" s="2"/>
      <c r="AG54" s="2"/>
      <c r="AH54" s="2"/>
      <c r="AI54" s="2"/>
    </row>
    <row r="55" spans="1:35">
      <c r="A55" s="2"/>
      <c r="B55" s="2"/>
      <c r="C55" s="2"/>
      <c r="D55" s="2"/>
      <c r="E55" s="5"/>
      <c r="F55" s="2"/>
      <c r="G55" s="5"/>
      <c r="H55" s="2"/>
      <c r="I55" s="2"/>
      <c r="J55" s="2"/>
      <c r="K55" s="2"/>
      <c r="L55" s="2"/>
      <c r="M55" s="2"/>
      <c r="N55" s="2"/>
      <c r="O55" s="2"/>
      <c r="P55" s="2"/>
      <c r="Q55" s="2"/>
      <c r="R55" s="2"/>
      <c r="S55" s="2"/>
      <c r="T55" s="2"/>
      <c r="U55" s="2"/>
      <c r="V55" s="2"/>
      <c r="W55" s="2"/>
      <c r="X55" s="2"/>
      <c r="Y55" s="2"/>
      <c r="Z55" s="2" t="str">
        <f t="shared" si="4"/>
        <v/>
      </c>
      <c r="AA55" s="2" t="str">
        <f t="shared" si="5"/>
        <v/>
      </c>
      <c r="AB55" s="2" t="str">
        <f t="shared" si="6"/>
        <v/>
      </c>
      <c r="AC55" s="2" t="str">
        <f t="shared" si="7"/>
        <v>Walks with direction</v>
      </c>
      <c r="AD55" s="2"/>
      <c r="AE55" s="5"/>
      <c r="AF55" s="2"/>
      <c r="AG55" s="2"/>
      <c r="AH55" s="2"/>
      <c r="AI55" s="2"/>
    </row>
    <row r="56" spans="1:35">
      <c r="A56" s="2"/>
      <c r="B56" s="2"/>
      <c r="C56" s="2"/>
      <c r="D56" s="2"/>
      <c r="E56" s="5"/>
      <c r="F56" s="2"/>
      <c r="G56" s="5"/>
      <c r="H56" s="2"/>
      <c r="I56" s="2"/>
      <c r="J56" s="2"/>
      <c r="K56" s="2"/>
      <c r="L56" s="2"/>
      <c r="M56" s="2"/>
      <c r="N56" s="2"/>
      <c r="O56" s="2"/>
      <c r="P56" s="2"/>
      <c r="Q56" s="2"/>
      <c r="R56" s="2"/>
      <c r="S56" s="2"/>
      <c r="T56" s="2"/>
      <c r="U56" s="2"/>
      <c r="V56" s="2"/>
      <c r="W56" s="2"/>
      <c r="X56" s="2"/>
      <c r="Y56" s="2"/>
      <c r="Z56" s="2" t="str">
        <f t="shared" si="4"/>
        <v/>
      </c>
      <c r="AA56" s="2" t="str">
        <f t="shared" si="5"/>
        <v/>
      </c>
      <c r="AB56" s="2" t="str">
        <f t="shared" si="6"/>
        <v/>
      </c>
      <c r="AC56" s="2" t="str">
        <f t="shared" si="7"/>
        <v>Walks with direction</v>
      </c>
      <c r="AD56" s="2"/>
      <c r="AE56" s="5"/>
      <c r="AF56" s="2"/>
      <c r="AG56" s="2"/>
      <c r="AH56" s="2"/>
      <c r="AI56" s="2"/>
    </row>
    <row r="57" spans="1:35">
      <c r="A57" s="2"/>
      <c r="B57" s="2"/>
      <c r="C57" s="2"/>
      <c r="D57" s="2"/>
      <c r="E57" s="5"/>
      <c r="F57" s="2"/>
      <c r="G57" s="5"/>
      <c r="H57" s="2"/>
      <c r="I57" s="2"/>
      <c r="J57" s="2"/>
      <c r="K57" s="2"/>
      <c r="L57" s="2"/>
      <c r="M57" s="2"/>
      <c r="N57" s="2"/>
      <c r="O57" s="2"/>
      <c r="P57" s="2"/>
      <c r="Q57" s="2"/>
      <c r="R57" s="2"/>
      <c r="S57" s="2"/>
      <c r="T57" s="2"/>
      <c r="U57" s="2"/>
      <c r="V57" s="2"/>
      <c r="W57" s="2"/>
      <c r="X57" s="2"/>
      <c r="Y57" s="2"/>
      <c r="Z57" s="2" t="str">
        <f t="shared" si="4"/>
        <v/>
      </c>
      <c r="AA57" s="2" t="str">
        <f t="shared" si="5"/>
        <v/>
      </c>
      <c r="AB57" s="2" t="str">
        <f t="shared" si="6"/>
        <v/>
      </c>
      <c r="AC57" s="2" t="str">
        <f t="shared" si="7"/>
        <v>Walks with direction</v>
      </c>
      <c r="AD57" s="2"/>
      <c r="AE57" s="5"/>
      <c r="AF57" s="2"/>
      <c r="AG57" s="2"/>
      <c r="AH57" s="2"/>
      <c r="AI57" s="2"/>
    </row>
    <row r="58" spans="1:35">
      <c r="A58" s="2"/>
      <c r="B58" s="2"/>
      <c r="C58" s="2"/>
      <c r="D58" s="2"/>
      <c r="E58" s="5"/>
      <c r="F58" s="2"/>
      <c r="G58" s="5"/>
      <c r="H58" s="2"/>
      <c r="I58" s="2"/>
      <c r="J58" s="2"/>
      <c r="K58" s="2"/>
      <c r="L58" s="2"/>
      <c r="M58" s="2"/>
      <c r="N58" s="2"/>
      <c r="O58" s="2"/>
      <c r="P58" s="2"/>
      <c r="Q58" s="2"/>
      <c r="R58" s="2"/>
      <c r="S58" s="2"/>
      <c r="T58" s="2"/>
      <c r="U58" s="2"/>
      <c r="V58" s="2"/>
      <c r="W58" s="2"/>
      <c r="X58" s="2"/>
      <c r="Y58" s="2"/>
      <c r="Z58" s="2" t="str">
        <f t="shared" si="4"/>
        <v/>
      </c>
      <c r="AA58" s="2" t="str">
        <f t="shared" si="5"/>
        <v/>
      </c>
      <c r="AB58" s="2" t="str">
        <f t="shared" si="6"/>
        <v/>
      </c>
      <c r="AC58" s="2" t="str">
        <f t="shared" si="7"/>
        <v>Walks with direction</v>
      </c>
      <c r="AD58" s="2"/>
      <c r="AE58" s="5"/>
      <c r="AF58" s="2"/>
      <c r="AG58" s="2"/>
      <c r="AH58" s="2"/>
      <c r="AI58" s="2"/>
    </row>
    <row r="59" spans="1:35">
      <c r="A59" s="2"/>
      <c r="B59" s="2"/>
      <c r="C59" s="2"/>
      <c r="D59" s="2"/>
      <c r="E59" s="5"/>
      <c r="F59" s="2"/>
      <c r="G59" s="5"/>
      <c r="H59" s="2"/>
      <c r="I59" s="2"/>
      <c r="J59" s="2"/>
      <c r="K59" s="2"/>
      <c r="L59" s="2"/>
      <c r="M59" s="2"/>
      <c r="N59" s="2"/>
      <c r="O59" s="2"/>
      <c r="P59" s="2"/>
      <c r="Q59" s="2"/>
      <c r="R59" s="2"/>
      <c r="S59" s="2"/>
      <c r="T59" s="2"/>
      <c r="U59" s="2"/>
      <c r="V59" s="2"/>
      <c r="W59" s="2"/>
      <c r="X59" s="2"/>
      <c r="Y59" s="2"/>
      <c r="Z59" s="2" t="str">
        <f t="shared" si="4"/>
        <v/>
      </c>
      <c r="AA59" s="2" t="str">
        <f t="shared" si="5"/>
        <v/>
      </c>
      <c r="AB59" s="2" t="str">
        <f t="shared" si="6"/>
        <v/>
      </c>
      <c r="AC59" s="2" t="str">
        <f t="shared" si="7"/>
        <v>Walks with direction</v>
      </c>
      <c r="AD59" s="2"/>
      <c r="AE59" s="5"/>
      <c r="AF59" s="2"/>
      <c r="AG59" s="2"/>
      <c r="AH59" s="2"/>
      <c r="AI59" s="2"/>
    </row>
    <row r="60" spans="1:35">
      <c r="A60" s="2"/>
      <c r="B60" s="2"/>
      <c r="C60" s="2"/>
      <c r="D60" s="2"/>
      <c r="E60" s="5"/>
      <c r="F60" s="2"/>
      <c r="G60" s="5"/>
      <c r="H60" s="2"/>
      <c r="I60" s="2"/>
      <c r="J60" s="2"/>
      <c r="K60" s="2"/>
      <c r="L60" s="2"/>
      <c r="M60" s="2"/>
      <c r="N60" s="2"/>
      <c r="O60" s="2"/>
      <c r="P60" s="2"/>
      <c r="Q60" s="2"/>
      <c r="R60" s="2"/>
      <c r="S60" s="2"/>
      <c r="T60" s="2"/>
      <c r="U60" s="2"/>
      <c r="V60" s="2"/>
      <c r="W60" s="2"/>
      <c r="X60" s="2"/>
      <c r="Y60" s="2"/>
      <c r="Z60" s="2" t="str">
        <f t="shared" si="4"/>
        <v/>
      </c>
      <c r="AA60" s="2" t="str">
        <f t="shared" si="5"/>
        <v/>
      </c>
      <c r="AB60" s="2" t="str">
        <f t="shared" si="6"/>
        <v/>
      </c>
      <c r="AC60" s="2" t="str">
        <f t="shared" si="7"/>
        <v>Walks with direction</v>
      </c>
      <c r="AD60" s="2"/>
      <c r="AE60" s="5"/>
      <c r="AF60" s="2"/>
      <c r="AG60" s="2"/>
      <c r="AH60" s="2"/>
      <c r="AI60" s="2"/>
    </row>
    <row r="61" spans="1:35">
      <c r="A61" s="2"/>
      <c r="B61" s="2"/>
      <c r="C61" s="2"/>
      <c r="D61" s="2"/>
      <c r="E61" s="5"/>
      <c r="F61" s="2"/>
      <c r="G61" s="5"/>
      <c r="H61" s="2"/>
      <c r="I61" s="2"/>
      <c r="J61" s="2"/>
      <c r="K61" s="2"/>
      <c r="L61" s="2"/>
      <c r="M61" s="2"/>
      <c r="N61" s="2"/>
      <c r="O61" s="2"/>
      <c r="P61" s="2"/>
      <c r="Q61" s="2"/>
      <c r="R61" s="2"/>
      <c r="S61" s="2"/>
      <c r="T61" s="2"/>
      <c r="U61" s="2"/>
      <c r="V61" s="2"/>
      <c r="W61" s="2"/>
      <c r="X61" s="2"/>
      <c r="Y61" s="2"/>
      <c r="Z61" s="2" t="str">
        <f t="shared" si="4"/>
        <v/>
      </c>
      <c r="AA61" s="2" t="str">
        <f t="shared" si="5"/>
        <v/>
      </c>
      <c r="AB61" s="2" t="str">
        <f t="shared" si="6"/>
        <v/>
      </c>
      <c r="AC61" s="2" t="str">
        <f t="shared" si="7"/>
        <v>Walks with direction</v>
      </c>
      <c r="AD61" s="2"/>
      <c r="AE61" s="5"/>
      <c r="AF61" s="2"/>
      <c r="AG61" s="2"/>
      <c r="AH61" s="2"/>
      <c r="AI61" s="2"/>
    </row>
    <row r="62" spans="1:35">
      <c r="A62" s="2"/>
      <c r="B62" s="2"/>
      <c r="C62" s="2"/>
      <c r="D62" s="2"/>
      <c r="E62" s="5"/>
      <c r="F62" s="2"/>
      <c r="G62" s="5"/>
      <c r="H62" s="2"/>
      <c r="I62" s="2"/>
      <c r="J62" s="2"/>
      <c r="K62" s="2"/>
      <c r="L62" s="2"/>
      <c r="M62" s="2"/>
      <c r="N62" s="2"/>
      <c r="O62" s="2"/>
      <c r="P62" s="2"/>
      <c r="Q62" s="2"/>
      <c r="R62" s="2"/>
      <c r="S62" s="2"/>
      <c r="T62" s="2"/>
      <c r="U62" s="2"/>
      <c r="V62" s="2"/>
      <c r="W62" s="2"/>
      <c r="X62" s="2"/>
      <c r="Y62" s="2"/>
      <c r="Z62" s="2" t="str">
        <f t="shared" si="4"/>
        <v/>
      </c>
      <c r="AA62" s="2" t="str">
        <f t="shared" si="5"/>
        <v/>
      </c>
      <c r="AB62" s="2" t="str">
        <f t="shared" si="6"/>
        <v/>
      </c>
      <c r="AC62" s="2" t="str">
        <f t="shared" si="7"/>
        <v>Walks with direction</v>
      </c>
      <c r="AD62" s="2"/>
      <c r="AE62" s="5"/>
      <c r="AF62" s="2"/>
      <c r="AG62" s="2"/>
      <c r="AH62" s="2"/>
      <c r="AI62" s="2"/>
    </row>
    <row r="63" spans="1:35">
      <c r="A63" s="2"/>
      <c r="B63" s="2"/>
      <c r="C63" s="2"/>
      <c r="D63" s="2"/>
      <c r="E63" s="5"/>
      <c r="F63" s="2"/>
      <c r="G63" s="5"/>
      <c r="H63" s="2"/>
      <c r="I63" s="2"/>
      <c r="J63" s="2"/>
      <c r="K63" s="2"/>
      <c r="L63" s="2"/>
      <c r="M63" s="2"/>
      <c r="N63" s="2"/>
      <c r="O63" s="2"/>
      <c r="P63" s="2"/>
      <c r="Q63" s="2"/>
      <c r="R63" s="2"/>
      <c r="S63" s="2"/>
      <c r="T63" s="2"/>
      <c r="U63" s="2"/>
      <c r="V63" s="2"/>
      <c r="W63" s="2"/>
      <c r="X63" s="2"/>
      <c r="Y63" s="2"/>
      <c r="Z63" s="2" t="str">
        <f t="shared" si="4"/>
        <v/>
      </c>
      <c r="AA63" s="2" t="str">
        <f t="shared" si="5"/>
        <v/>
      </c>
      <c r="AB63" s="2" t="str">
        <f t="shared" si="6"/>
        <v/>
      </c>
      <c r="AC63" s="2" t="str">
        <f t="shared" si="7"/>
        <v>Walks with direction</v>
      </c>
      <c r="AD63" s="2"/>
      <c r="AE63" s="5"/>
      <c r="AF63" s="2"/>
      <c r="AG63" s="2"/>
      <c r="AH63" s="2"/>
      <c r="AI63" s="2"/>
    </row>
    <row r="64" spans="1:35">
      <c r="A64" s="2"/>
      <c r="B64" s="2"/>
      <c r="C64" s="2"/>
      <c r="D64" s="2"/>
      <c r="E64" s="5"/>
      <c r="F64" s="2"/>
      <c r="G64" s="5"/>
      <c r="H64" s="2"/>
      <c r="I64" s="2"/>
      <c r="J64" s="2"/>
      <c r="K64" s="2"/>
      <c r="L64" s="2"/>
      <c r="M64" s="2"/>
      <c r="N64" s="2"/>
      <c r="O64" s="2"/>
      <c r="P64" s="2"/>
      <c r="Q64" s="2"/>
      <c r="R64" s="2"/>
      <c r="S64" s="2"/>
      <c r="T64" s="2"/>
      <c r="U64" s="2"/>
      <c r="V64" s="2"/>
      <c r="W64" s="2"/>
      <c r="X64" s="2"/>
      <c r="Y64" s="2"/>
      <c r="Z64" s="2" t="str">
        <f t="shared" si="4"/>
        <v/>
      </c>
      <c r="AA64" s="2" t="str">
        <f t="shared" si="5"/>
        <v/>
      </c>
      <c r="AB64" s="2" t="str">
        <f t="shared" si="6"/>
        <v/>
      </c>
      <c r="AC64" s="2" t="str">
        <f t="shared" si="7"/>
        <v>Walks with direction</v>
      </c>
      <c r="AD64" s="2"/>
      <c r="AE64" s="5"/>
      <c r="AF64" s="2"/>
      <c r="AG64" s="2"/>
      <c r="AH64" s="2"/>
      <c r="AI64" s="2"/>
    </row>
    <row r="65" spans="1:35">
      <c r="A65" s="2"/>
      <c r="B65" s="2"/>
      <c r="C65" s="2"/>
      <c r="D65" s="2"/>
      <c r="E65" s="5"/>
      <c r="F65" s="2"/>
      <c r="G65" s="5"/>
      <c r="H65" s="2"/>
      <c r="I65" s="2"/>
      <c r="J65" s="2"/>
      <c r="K65" s="2"/>
      <c r="L65" s="2"/>
      <c r="M65" s="2"/>
      <c r="N65" s="2"/>
      <c r="O65" s="2"/>
      <c r="P65" s="2"/>
      <c r="Q65" s="2"/>
      <c r="R65" s="2"/>
      <c r="S65" s="2"/>
      <c r="T65" s="2"/>
      <c r="U65" s="2"/>
      <c r="V65" s="2"/>
      <c r="W65" s="2"/>
      <c r="X65" s="2"/>
      <c r="Y65" s="2"/>
      <c r="Z65" s="2" t="str">
        <f t="shared" si="4"/>
        <v/>
      </c>
      <c r="AA65" s="2" t="str">
        <f t="shared" si="5"/>
        <v/>
      </c>
      <c r="AB65" s="2" t="str">
        <f t="shared" si="6"/>
        <v/>
      </c>
      <c r="AC65" s="2" t="str">
        <f t="shared" si="7"/>
        <v>Walks with direction</v>
      </c>
      <c r="AD65" s="2"/>
      <c r="AE65" s="5"/>
      <c r="AF65" s="2"/>
      <c r="AG65" s="2"/>
      <c r="AH65" s="2"/>
      <c r="AI65" s="2"/>
    </row>
    <row r="66" spans="1:35">
      <c r="A66" s="2"/>
      <c r="B66" s="2"/>
      <c r="C66" s="2"/>
      <c r="D66" s="2"/>
      <c r="E66" s="5"/>
      <c r="F66" s="2"/>
      <c r="G66" s="5"/>
      <c r="H66" s="2"/>
      <c r="I66" s="2"/>
      <c r="J66" s="2"/>
      <c r="K66" s="2"/>
      <c r="L66" s="2"/>
      <c r="M66" s="2"/>
      <c r="N66" s="2"/>
      <c r="O66" s="2"/>
      <c r="P66" s="2"/>
      <c r="Q66" s="2"/>
      <c r="R66" s="2"/>
      <c r="S66" s="2"/>
      <c r="T66" s="2"/>
      <c r="U66" s="2"/>
      <c r="V66" s="2"/>
      <c r="W66" s="2"/>
      <c r="X66" s="2"/>
      <c r="Y66" s="2"/>
      <c r="Z66" s="2" t="str">
        <f t="shared" si="4"/>
        <v/>
      </c>
      <c r="AA66" s="2" t="str">
        <f t="shared" si="5"/>
        <v/>
      </c>
      <c r="AB66" s="2" t="str">
        <f t="shared" si="6"/>
        <v/>
      </c>
      <c r="AC66" s="2" t="str">
        <f t="shared" si="7"/>
        <v>Walks with direction</v>
      </c>
      <c r="AD66" s="2"/>
      <c r="AE66" s="5"/>
      <c r="AF66" s="2"/>
      <c r="AG66" s="2"/>
      <c r="AH66" s="2"/>
      <c r="AI66" s="2"/>
    </row>
    <row r="67" spans="1:35">
      <c r="A67" s="2"/>
      <c r="B67" s="2"/>
      <c r="C67" s="2"/>
      <c r="D67" s="2"/>
      <c r="E67" s="5"/>
      <c r="F67" s="2"/>
      <c r="G67" s="5"/>
      <c r="H67" s="2"/>
      <c r="I67" s="2"/>
      <c r="J67" s="2"/>
      <c r="K67" s="2"/>
      <c r="L67" s="2"/>
      <c r="M67" s="2"/>
      <c r="N67" s="2"/>
      <c r="O67" s="2"/>
      <c r="P67" s="2"/>
      <c r="Q67" s="2"/>
      <c r="R67" s="2"/>
      <c r="S67" s="2"/>
      <c r="T67" s="2"/>
      <c r="U67" s="2"/>
      <c r="V67" s="2"/>
      <c r="W67" s="2"/>
      <c r="X67" s="2"/>
      <c r="Y67" s="2"/>
      <c r="Z67" s="2" t="str">
        <f t="shared" si="4"/>
        <v/>
      </c>
      <c r="AA67" s="2" t="str">
        <f t="shared" si="5"/>
        <v/>
      </c>
      <c r="AB67" s="2" t="str">
        <f t="shared" si="6"/>
        <v/>
      </c>
      <c r="AC67" s="2" t="str">
        <f t="shared" si="7"/>
        <v>Walks with direction</v>
      </c>
      <c r="AD67" s="2"/>
      <c r="AE67" s="5"/>
      <c r="AF67" s="2"/>
      <c r="AG67" s="2"/>
      <c r="AH67" s="2"/>
      <c r="AI67" s="2"/>
    </row>
    <row r="68" spans="1:35">
      <c r="A68" s="2"/>
      <c r="B68" s="2"/>
      <c r="C68" s="2"/>
      <c r="D68" s="2"/>
      <c r="E68" s="5"/>
      <c r="F68" s="2"/>
      <c r="G68" s="5"/>
      <c r="H68" s="2"/>
      <c r="I68" s="2"/>
      <c r="J68" s="2"/>
      <c r="K68" s="2"/>
      <c r="L68" s="2"/>
      <c r="M68" s="2"/>
      <c r="N68" s="2"/>
      <c r="O68" s="2"/>
      <c r="P68" s="2"/>
      <c r="Q68" s="2"/>
      <c r="R68" s="2"/>
      <c r="S68" s="2"/>
      <c r="T68" s="2"/>
      <c r="U68" s="2"/>
      <c r="V68" s="2"/>
      <c r="W68" s="2"/>
      <c r="X68" s="2"/>
      <c r="Y68" s="2"/>
      <c r="Z68" s="2" t="str">
        <f t="shared" si="4"/>
        <v/>
      </c>
      <c r="AA68" s="2" t="str">
        <f t="shared" si="5"/>
        <v/>
      </c>
      <c r="AB68" s="2" t="str">
        <f t="shared" si="6"/>
        <v/>
      </c>
      <c r="AC68" s="2" t="str">
        <f t="shared" si="7"/>
        <v>Walks with direction</v>
      </c>
      <c r="AD68" s="2"/>
      <c r="AE68" s="5"/>
      <c r="AF68" s="2"/>
      <c r="AG68" s="2"/>
      <c r="AH68" s="2"/>
      <c r="AI68" s="2"/>
    </row>
    <row r="69" spans="1:35">
      <c r="A69" s="2"/>
      <c r="B69" s="2"/>
      <c r="C69" s="2"/>
      <c r="D69" s="2"/>
      <c r="E69" s="5"/>
      <c r="F69" s="2"/>
      <c r="G69" s="5"/>
      <c r="H69" s="2"/>
      <c r="I69" s="2"/>
      <c r="J69" s="2"/>
      <c r="K69" s="2"/>
      <c r="L69" s="2"/>
      <c r="M69" s="2"/>
      <c r="N69" s="2"/>
      <c r="O69" s="2"/>
      <c r="P69" s="2"/>
      <c r="Q69" s="2"/>
      <c r="R69" s="2"/>
      <c r="S69" s="2"/>
      <c r="T69" s="2"/>
      <c r="U69" s="2"/>
      <c r="V69" s="2"/>
      <c r="W69" s="2"/>
      <c r="X69" s="2"/>
      <c r="Y69" s="2"/>
      <c r="Z69" s="2" t="str">
        <f t="shared" si="4"/>
        <v/>
      </c>
      <c r="AA69" s="2" t="str">
        <f t="shared" si="5"/>
        <v/>
      </c>
      <c r="AB69" s="2" t="str">
        <f t="shared" si="6"/>
        <v/>
      </c>
      <c r="AC69" s="2" t="str">
        <f t="shared" si="7"/>
        <v>Walks with direction</v>
      </c>
      <c r="AD69" s="2"/>
      <c r="AE69" s="5"/>
      <c r="AF69" s="2"/>
      <c r="AG69" s="2"/>
      <c r="AH69" s="2"/>
      <c r="AI69" s="2"/>
    </row>
    <row r="70" spans="1:35">
      <c r="A70" s="2"/>
      <c r="B70" s="2"/>
      <c r="C70" s="2"/>
      <c r="D70" s="2"/>
      <c r="E70" s="5"/>
      <c r="F70" s="2"/>
      <c r="G70" s="5"/>
      <c r="H70" s="2"/>
      <c r="I70" s="2"/>
      <c r="J70" s="2"/>
      <c r="K70" s="2"/>
      <c r="L70" s="2"/>
      <c r="M70" s="2"/>
      <c r="N70" s="2"/>
      <c r="O70" s="2"/>
      <c r="P70" s="2"/>
      <c r="Q70" s="2"/>
      <c r="R70" s="2"/>
      <c r="S70" s="2"/>
      <c r="T70" s="2"/>
      <c r="U70" s="2"/>
      <c r="V70" s="2"/>
      <c r="W70" s="2"/>
      <c r="X70" s="2"/>
      <c r="Y70" s="2"/>
      <c r="Z70" s="2" t="str">
        <f t="shared" si="4"/>
        <v/>
      </c>
      <c r="AA70" s="2" t="str">
        <f t="shared" si="5"/>
        <v/>
      </c>
      <c r="AB70" s="2" t="str">
        <f t="shared" si="6"/>
        <v/>
      </c>
      <c r="AC70" s="2" t="str">
        <f t="shared" si="7"/>
        <v>Walks with direction</v>
      </c>
      <c r="AD70" s="2"/>
      <c r="AE70" s="5"/>
      <c r="AF70" s="2"/>
      <c r="AG70" s="2"/>
      <c r="AH70" s="2"/>
      <c r="AI70" s="2"/>
    </row>
    <row r="71" spans="1:35">
      <c r="A71" s="2"/>
      <c r="B71" s="2"/>
      <c r="C71" s="2"/>
      <c r="D71" s="2"/>
      <c r="E71" s="5"/>
      <c r="F71" s="2"/>
      <c r="G71" s="5"/>
      <c r="H71" s="2"/>
      <c r="I71" s="2"/>
      <c r="J71" s="2"/>
      <c r="K71" s="2"/>
      <c r="L71" s="2"/>
      <c r="M71" s="2"/>
      <c r="N71" s="2"/>
      <c r="O71" s="2"/>
      <c r="P71" s="2"/>
      <c r="Q71" s="2"/>
      <c r="R71" s="2"/>
      <c r="S71" s="2"/>
      <c r="T71" s="2"/>
      <c r="U71" s="2"/>
      <c r="V71" s="2"/>
      <c r="W71" s="2"/>
      <c r="X71" s="2"/>
      <c r="Y71" s="2"/>
      <c r="Z71" s="2" t="str">
        <f t="shared" si="4"/>
        <v/>
      </c>
      <c r="AA71" s="2" t="str">
        <f t="shared" si="5"/>
        <v/>
      </c>
      <c r="AB71" s="2" t="str">
        <f t="shared" si="6"/>
        <v/>
      </c>
      <c r="AC71" s="2" t="str">
        <f t="shared" si="7"/>
        <v>Walks with direction</v>
      </c>
      <c r="AD71" s="2"/>
      <c r="AE71" s="5"/>
      <c r="AF71" s="2"/>
      <c r="AG71" s="2"/>
      <c r="AH71" s="2"/>
      <c r="AI71" s="2"/>
    </row>
    <row r="72" spans="1:35">
      <c r="A72" s="2"/>
      <c r="B72" s="2"/>
      <c r="C72" s="2"/>
      <c r="D72" s="2"/>
      <c r="E72" s="5"/>
      <c r="F72" s="2"/>
      <c r="G72" s="5"/>
      <c r="H72" s="2"/>
      <c r="I72" s="2"/>
      <c r="J72" s="2"/>
      <c r="K72" s="2"/>
      <c r="L72" s="2"/>
      <c r="M72" s="2"/>
      <c r="N72" s="2"/>
      <c r="O72" s="2"/>
      <c r="P72" s="2"/>
      <c r="Q72" s="2"/>
      <c r="R72" s="2"/>
      <c r="S72" s="2"/>
      <c r="T72" s="2"/>
      <c r="U72" s="2"/>
      <c r="V72" s="2"/>
      <c r="W72" s="2"/>
      <c r="X72" s="2"/>
      <c r="Y72" s="2"/>
      <c r="Z72" s="2" t="str">
        <f t="shared" si="4"/>
        <v/>
      </c>
      <c r="AA72" s="2" t="str">
        <f t="shared" si="5"/>
        <v/>
      </c>
      <c r="AB72" s="2" t="str">
        <f t="shared" si="6"/>
        <v/>
      </c>
      <c r="AC72" s="2" t="str">
        <f t="shared" si="7"/>
        <v>Walks with direction</v>
      </c>
      <c r="AD72" s="2"/>
      <c r="AE72" s="5"/>
      <c r="AF72" s="2"/>
      <c r="AG72" s="2"/>
      <c r="AH72" s="2"/>
      <c r="AI72" s="2"/>
    </row>
    <row r="73" spans="1:35">
      <c r="A73" s="2"/>
      <c r="B73" s="2"/>
      <c r="C73" s="2"/>
      <c r="D73" s="2"/>
      <c r="E73" s="5"/>
      <c r="F73" s="2"/>
      <c r="G73" s="5"/>
      <c r="H73" s="2"/>
      <c r="I73" s="2"/>
      <c r="J73" s="2"/>
      <c r="K73" s="2"/>
      <c r="L73" s="2"/>
      <c r="M73" s="2"/>
      <c r="N73" s="2"/>
      <c r="O73" s="2"/>
      <c r="P73" s="2"/>
      <c r="Q73" s="2"/>
      <c r="R73" s="2"/>
      <c r="S73" s="2"/>
      <c r="T73" s="2"/>
      <c r="U73" s="2"/>
      <c r="V73" s="2"/>
      <c r="W73" s="2"/>
      <c r="X73" s="2"/>
      <c r="Y73" s="2"/>
      <c r="Z73" s="2" t="str">
        <f t="shared" si="4"/>
        <v/>
      </c>
      <c r="AA73" s="2" t="str">
        <f t="shared" si="5"/>
        <v/>
      </c>
      <c r="AB73" s="2" t="str">
        <f t="shared" si="6"/>
        <v/>
      </c>
      <c r="AC73" s="2" t="str">
        <f t="shared" si="7"/>
        <v>Walks with direction</v>
      </c>
      <c r="AD73" s="2"/>
      <c r="AE73" s="5"/>
      <c r="AF73" s="2"/>
      <c r="AG73" s="2"/>
      <c r="AH73" s="2"/>
      <c r="AI73" s="2"/>
    </row>
    <row r="74" spans="1:35">
      <c r="A74" s="2"/>
      <c r="B74" s="2"/>
      <c r="C74" s="2"/>
      <c r="D74" s="2"/>
      <c r="E74" s="5"/>
      <c r="F74" s="2"/>
      <c r="G74" s="5"/>
      <c r="H74" s="2"/>
      <c r="I74" s="2"/>
      <c r="J74" s="2"/>
      <c r="K74" s="2"/>
      <c r="L74" s="2"/>
      <c r="M74" s="2"/>
      <c r="N74" s="2"/>
      <c r="O74" s="2"/>
      <c r="P74" s="2"/>
      <c r="Q74" s="2"/>
      <c r="R74" s="2"/>
      <c r="S74" s="2"/>
      <c r="T74" s="2"/>
      <c r="U74" s="2"/>
      <c r="V74" s="2"/>
      <c r="W74" s="2"/>
      <c r="X74" s="2"/>
      <c r="Y74" s="2"/>
      <c r="Z74" s="2" t="str">
        <f t="shared" si="4"/>
        <v/>
      </c>
      <c r="AA74" s="2" t="str">
        <f t="shared" si="5"/>
        <v/>
      </c>
      <c r="AB74" s="2" t="str">
        <f t="shared" si="6"/>
        <v/>
      </c>
      <c r="AC74" s="2" t="str">
        <f t="shared" si="7"/>
        <v>Walks with direction</v>
      </c>
      <c r="AD74" s="2"/>
      <c r="AE74" s="5"/>
      <c r="AF74" s="2"/>
      <c r="AG74" s="2"/>
      <c r="AH74" s="2"/>
      <c r="AI74" s="2"/>
    </row>
    <row r="75" spans="1:35">
      <c r="A75" s="2"/>
      <c r="B75" s="2"/>
      <c r="C75" s="2"/>
      <c r="D75" s="2"/>
      <c r="E75" s="5"/>
      <c r="F75" s="2"/>
      <c r="G75" s="5"/>
      <c r="H75" s="2"/>
      <c r="I75" s="2"/>
      <c r="J75" s="2"/>
      <c r="K75" s="2"/>
      <c r="L75" s="2"/>
      <c r="M75" s="2"/>
      <c r="N75" s="2"/>
      <c r="O75" s="2"/>
      <c r="P75" s="2"/>
      <c r="Q75" s="2"/>
      <c r="R75" s="2"/>
      <c r="S75" s="2"/>
      <c r="T75" s="2"/>
      <c r="U75" s="2"/>
      <c r="V75" s="2"/>
      <c r="W75" s="2"/>
      <c r="X75" s="2"/>
      <c r="Y75" s="2"/>
      <c r="Z75" s="2" t="str">
        <f t="shared" si="4"/>
        <v/>
      </c>
      <c r="AA75" s="2" t="str">
        <f t="shared" si="5"/>
        <v/>
      </c>
      <c r="AB75" s="2" t="str">
        <f t="shared" si="6"/>
        <v/>
      </c>
      <c r="AC75" s="2" t="str">
        <f t="shared" si="7"/>
        <v>Walks with direction</v>
      </c>
      <c r="AD75" s="2"/>
      <c r="AE75" s="5"/>
      <c r="AF75" s="2"/>
      <c r="AG75" s="2"/>
      <c r="AH75" s="2"/>
      <c r="AI75" s="2"/>
    </row>
    <row r="76" spans="1:35">
      <c r="A76" s="2"/>
      <c r="B76" s="2"/>
      <c r="C76" s="2"/>
      <c r="D76" s="2"/>
      <c r="E76" s="5"/>
      <c r="F76" s="2"/>
      <c r="G76" s="5"/>
      <c r="H76" s="2"/>
      <c r="I76" s="2"/>
      <c r="J76" s="2"/>
      <c r="K76" s="2"/>
      <c r="L76" s="2"/>
      <c r="M76" s="2"/>
      <c r="N76" s="2"/>
      <c r="O76" s="2"/>
      <c r="P76" s="2"/>
      <c r="Q76" s="2"/>
      <c r="R76" s="2"/>
      <c r="S76" s="2"/>
      <c r="T76" s="2"/>
      <c r="U76" s="2"/>
      <c r="V76" s="2"/>
      <c r="W76" s="2"/>
      <c r="X76" s="2"/>
      <c r="Y76" s="2"/>
      <c r="Z76" s="2" t="str">
        <f t="shared" si="4"/>
        <v/>
      </c>
      <c r="AA76" s="2" t="str">
        <f t="shared" si="5"/>
        <v/>
      </c>
      <c r="AB76" s="2" t="str">
        <f t="shared" si="6"/>
        <v/>
      </c>
      <c r="AC76" s="2" t="str">
        <f t="shared" si="7"/>
        <v>Walks with direction</v>
      </c>
      <c r="AD76" s="2"/>
      <c r="AE76" s="5"/>
      <c r="AF76" s="2"/>
      <c r="AG76" s="2"/>
      <c r="AH76" s="2"/>
      <c r="AI76" s="2"/>
    </row>
    <row r="77" spans="1:35">
      <c r="A77" s="2"/>
      <c r="B77" s="2"/>
      <c r="C77" s="2"/>
      <c r="D77" s="2"/>
      <c r="E77" s="5"/>
      <c r="F77" s="2"/>
      <c r="G77" s="5"/>
      <c r="H77" s="2"/>
      <c r="I77" s="2"/>
      <c r="J77" s="2"/>
      <c r="K77" s="2"/>
      <c r="L77" s="2"/>
      <c r="M77" s="2"/>
      <c r="N77" s="2"/>
      <c r="O77" s="2"/>
      <c r="P77" s="2"/>
      <c r="Q77" s="2"/>
      <c r="R77" s="2"/>
      <c r="S77" s="2"/>
      <c r="T77" s="2"/>
      <c r="U77" s="2"/>
      <c r="V77" s="2"/>
      <c r="W77" s="2"/>
      <c r="X77" s="2"/>
      <c r="Y77" s="2"/>
      <c r="Z77" s="2" t="str">
        <f t="shared" si="4"/>
        <v/>
      </c>
      <c r="AA77" s="2" t="str">
        <f t="shared" si="5"/>
        <v/>
      </c>
      <c r="AB77" s="2" t="str">
        <f t="shared" si="6"/>
        <v/>
      </c>
      <c r="AC77" s="2" t="str">
        <f t="shared" si="7"/>
        <v>Walks with direction</v>
      </c>
      <c r="AD77" s="2"/>
      <c r="AE77" s="5"/>
      <c r="AF77" s="2"/>
      <c r="AG77" s="2"/>
      <c r="AH77" s="2"/>
      <c r="AI77" s="2"/>
    </row>
    <row r="78" spans="1:35">
      <c r="A78" s="2"/>
      <c r="B78" s="2"/>
      <c r="C78" s="2"/>
      <c r="D78" s="2"/>
      <c r="E78" s="5"/>
      <c r="F78" s="2"/>
      <c r="G78" s="5"/>
      <c r="H78" s="2"/>
      <c r="I78" s="2"/>
      <c r="J78" s="2"/>
      <c r="K78" s="2"/>
      <c r="L78" s="2"/>
      <c r="M78" s="2"/>
      <c r="N78" s="2"/>
      <c r="O78" s="2"/>
      <c r="P78" s="2"/>
      <c r="Q78" s="2"/>
      <c r="R78" s="2"/>
      <c r="S78" s="2"/>
      <c r="T78" s="2"/>
      <c r="U78" s="2"/>
      <c r="V78" s="2"/>
      <c r="W78" s="2"/>
      <c r="X78" s="2"/>
      <c r="Y78" s="2"/>
      <c r="Z78" s="2" t="str">
        <f t="shared" si="4"/>
        <v/>
      </c>
      <c r="AA78" s="2" t="str">
        <f t="shared" si="5"/>
        <v/>
      </c>
      <c r="AB78" s="2" t="str">
        <f t="shared" si="6"/>
        <v/>
      </c>
      <c r="AC78" s="2" t="str">
        <f t="shared" si="7"/>
        <v>Walks with direction</v>
      </c>
      <c r="AD78" s="2"/>
      <c r="AE78" s="5"/>
      <c r="AF78" s="2"/>
      <c r="AG78" s="2"/>
      <c r="AH78" s="2"/>
      <c r="AI78" s="2"/>
    </row>
    <row r="79" spans="1:35">
      <c r="A79" s="2"/>
      <c r="B79" s="2"/>
      <c r="C79" s="2"/>
      <c r="D79" s="2"/>
      <c r="E79" s="5"/>
      <c r="F79" s="2"/>
      <c r="G79" s="5"/>
      <c r="H79" s="2"/>
      <c r="I79" s="2"/>
      <c r="J79" s="2"/>
      <c r="K79" s="2"/>
      <c r="L79" s="2"/>
      <c r="M79" s="2"/>
      <c r="N79" s="2"/>
      <c r="O79" s="2"/>
      <c r="P79" s="2"/>
      <c r="Q79" s="2"/>
      <c r="R79" s="2"/>
      <c r="S79" s="2"/>
      <c r="T79" s="2"/>
      <c r="U79" s="2"/>
      <c r="V79" s="2"/>
      <c r="W79" s="2"/>
      <c r="X79" s="2"/>
      <c r="Y79" s="2"/>
      <c r="Z79" s="2" t="str">
        <f t="shared" si="4"/>
        <v/>
      </c>
      <c r="AA79" s="2" t="str">
        <f t="shared" si="5"/>
        <v/>
      </c>
      <c r="AB79" s="2" t="str">
        <f t="shared" si="6"/>
        <v/>
      </c>
      <c r="AC79" s="2" t="str">
        <f t="shared" si="7"/>
        <v>Walks with direction</v>
      </c>
      <c r="AD79" s="2"/>
      <c r="AE79" s="5"/>
      <c r="AF79" s="2"/>
      <c r="AG79" s="2"/>
      <c r="AH79" s="2"/>
      <c r="AI79" s="2"/>
    </row>
    <row r="80" spans="1:35">
      <c r="A80" s="2"/>
      <c r="B80" s="2"/>
      <c r="C80" s="2"/>
      <c r="D80" s="2"/>
      <c r="E80" s="5"/>
      <c r="F80" s="2"/>
      <c r="G80" s="5"/>
      <c r="H80" s="2"/>
      <c r="I80" s="2"/>
      <c r="J80" s="2"/>
      <c r="K80" s="2"/>
      <c r="L80" s="2"/>
      <c r="M80" s="2"/>
      <c r="N80" s="2"/>
      <c r="O80" s="2"/>
      <c r="P80" s="2"/>
      <c r="Q80" s="2"/>
      <c r="R80" s="2"/>
      <c r="S80" s="2"/>
      <c r="T80" s="2"/>
      <c r="U80" s="2"/>
      <c r="V80" s="2"/>
      <c r="W80" s="2"/>
      <c r="X80" s="2"/>
      <c r="Y80" s="2"/>
      <c r="Z80" s="2" t="str">
        <f t="shared" si="4"/>
        <v/>
      </c>
      <c r="AA80" s="2" t="str">
        <f t="shared" si="5"/>
        <v/>
      </c>
      <c r="AB80" s="2" t="str">
        <f t="shared" si="6"/>
        <v/>
      </c>
      <c r="AC80" s="2" t="str">
        <f t="shared" si="7"/>
        <v>Walks with direction</v>
      </c>
      <c r="AD80" s="2"/>
      <c r="AE80" s="5"/>
      <c r="AF80" s="2"/>
      <c r="AG80" s="2"/>
      <c r="AH80" s="2"/>
      <c r="AI80" s="2"/>
    </row>
    <row r="81" spans="1:35">
      <c r="A81" s="2"/>
      <c r="B81" s="2"/>
      <c r="C81" s="2"/>
      <c r="D81" s="2"/>
      <c r="E81" s="5"/>
      <c r="F81" s="2"/>
      <c r="G81" s="5"/>
      <c r="H81" s="2"/>
      <c r="I81" s="2"/>
      <c r="J81" s="2"/>
      <c r="K81" s="2"/>
      <c r="L81" s="2"/>
      <c r="M81" s="2"/>
      <c r="N81" s="2"/>
      <c r="O81" s="2"/>
      <c r="P81" s="2"/>
      <c r="Q81" s="2"/>
      <c r="R81" s="2"/>
      <c r="S81" s="2"/>
      <c r="T81" s="2"/>
      <c r="U81" s="2"/>
      <c r="V81" s="2"/>
      <c r="W81" s="2"/>
      <c r="X81" s="2"/>
      <c r="Y81" s="2"/>
      <c r="Z81" s="2" t="str">
        <f t="shared" si="4"/>
        <v/>
      </c>
      <c r="AA81" s="2" t="str">
        <f t="shared" si="5"/>
        <v/>
      </c>
      <c r="AB81" s="2" t="str">
        <f t="shared" si="6"/>
        <v/>
      </c>
      <c r="AC81" s="2" t="str">
        <f t="shared" si="7"/>
        <v>Walks with direction</v>
      </c>
      <c r="AD81" s="2"/>
      <c r="AE81" s="5"/>
      <c r="AF81" s="2"/>
      <c r="AG81" s="2"/>
      <c r="AH81" s="2"/>
      <c r="AI81" s="2"/>
    </row>
    <row r="82" spans="1:35">
      <c r="A82" s="2"/>
      <c r="B82" s="2"/>
      <c r="C82" s="2"/>
      <c r="D82" s="2"/>
      <c r="E82" s="5"/>
      <c r="F82" s="2"/>
      <c r="G82" s="5"/>
      <c r="H82" s="2"/>
      <c r="I82" s="2"/>
      <c r="J82" s="2"/>
      <c r="K82" s="2"/>
      <c r="L82" s="2"/>
      <c r="M82" s="2"/>
      <c r="N82" s="2"/>
      <c r="O82" s="2"/>
      <c r="P82" s="2"/>
      <c r="Q82" s="2"/>
      <c r="R82" s="2"/>
      <c r="S82" s="2"/>
      <c r="T82" s="2"/>
      <c r="U82" s="2"/>
      <c r="V82" s="2"/>
      <c r="W82" s="2"/>
      <c r="X82" s="2"/>
      <c r="Y82" s="2"/>
      <c r="Z82" s="2" t="str">
        <f t="shared" ref="Z82:Z113" si="8">IF(COUNTA(H82:Y82)=0,"",IF(COUNTIF(H82:Y82,"Very High")&gt;0,"Very High",IF(COUNTIF(H82:Y82,"High")&gt;0,"High",IF(COUNTIF(H82:Y82,"Medium")&gt;0,"Medium","Low"))))</f>
        <v/>
      </c>
      <c r="AA82" s="2" t="str">
        <f t="shared" ref="AA82:AA113" si="9">IF(Z82="","",IF(Z82="Low","Routine planned support",IF(Z82="Medium","One staff support/supervision likely",IF(Z82="High","Two staff/review staffing and equipment","Manager review: multiple staff/specialist support"))))</f>
        <v/>
      </c>
      <c r="AB82" s="2" t="str">
        <f t="shared" ref="AB82:AB117" si="10">IF(Z82="","",IF(OR(Z82="High",Z82="Very High",W82="High",W82="Very High"),"Night staffing and evacuation review required","Routine night checks as per care plan"))</f>
        <v/>
      </c>
      <c r="AC82" s="2" t="str">
        <f t="shared" ref="AC82:AC117" si="11">IF(X82="Very High","Specialist PEEP / equipment",IF(OR(X82="High",Z82="High"),"Evacuation sheet/chair or wheelchair per PEEP",IF(OR(X82="Medium",Z82="Medium"),"Walking aid/wheelchair support per PEEP","Walks with direction")))</f>
        <v>Walks with direction</v>
      </c>
      <c r="AD82" s="2"/>
      <c r="AE82" s="5"/>
      <c r="AF82" s="2"/>
      <c r="AG82" s="2"/>
      <c r="AH82" s="2"/>
      <c r="AI82" s="2"/>
    </row>
    <row r="83" spans="1:35">
      <c r="A83" s="2"/>
      <c r="B83" s="2"/>
      <c r="C83" s="2"/>
      <c r="D83" s="2"/>
      <c r="E83" s="5"/>
      <c r="F83" s="2"/>
      <c r="G83" s="5"/>
      <c r="H83" s="2"/>
      <c r="I83" s="2"/>
      <c r="J83" s="2"/>
      <c r="K83" s="2"/>
      <c r="L83" s="2"/>
      <c r="M83" s="2"/>
      <c r="N83" s="2"/>
      <c r="O83" s="2"/>
      <c r="P83" s="2"/>
      <c r="Q83" s="2"/>
      <c r="R83" s="2"/>
      <c r="S83" s="2"/>
      <c r="T83" s="2"/>
      <c r="U83" s="2"/>
      <c r="V83" s="2"/>
      <c r="W83" s="2"/>
      <c r="X83" s="2"/>
      <c r="Y83" s="2"/>
      <c r="Z83" s="2" t="str">
        <f t="shared" si="8"/>
        <v/>
      </c>
      <c r="AA83" s="2" t="str">
        <f t="shared" si="9"/>
        <v/>
      </c>
      <c r="AB83" s="2" t="str">
        <f t="shared" si="10"/>
        <v/>
      </c>
      <c r="AC83" s="2" t="str">
        <f t="shared" si="11"/>
        <v>Walks with direction</v>
      </c>
      <c r="AD83" s="2"/>
      <c r="AE83" s="5"/>
      <c r="AF83" s="2"/>
      <c r="AG83" s="2"/>
      <c r="AH83" s="2"/>
      <c r="AI83" s="2"/>
    </row>
    <row r="84" spans="1:35">
      <c r="A84" s="2"/>
      <c r="B84" s="2"/>
      <c r="C84" s="2"/>
      <c r="D84" s="2"/>
      <c r="E84" s="5"/>
      <c r="F84" s="2"/>
      <c r="G84" s="5"/>
      <c r="H84" s="2"/>
      <c r="I84" s="2"/>
      <c r="J84" s="2"/>
      <c r="K84" s="2"/>
      <c r="L84" s="2"/>
      <c r="M84" s="2"/>
      <c r="N84" s="2"/>
      <c r="O84" s="2"/>
      <c r="P84" s="2"/>
      <c r="Q84" s="2"/>
      <c r="R84" s="2"/>
      <c r="S84" s="2"/>
      <c r="T84" s="2"/>
      <c r="U84" s="2"/>
      <c r="V84" s="2"/>
      <c r="W84" s="2"/>
      <c r="X84" s="2"/>
      <c r="Y84" s="2"/>
      <c r="Z84" s="2" t="str">
        <f t="shared" si="8"/>
        <v/>
      </c>
      <c r="AA84" s="2" t="str">
        <f t="shared" si="9"/>
        <v/>
      </c>
      <c r="AB84" s="2" t="str">
        <f t="shared" si="10"/>
        <v/>
      </c>
      <c r="AC84" s="2" t="str">
        <f t="shared" si="11"/>
        <v>Walks with direction</v>
      </c>
      <c r="AD84" s="2"/>
      <c r="AE84" s="5"/>
      <c r="AF84" s="2"/>
      <c r="AG84" s="2"/>
      <c r="AH84" s="2"/>
      <c r="AI84" s="2"/>
    </row>
    <row r="85" spans="1:35">
      <c r="A85" s="2"/>
      <c r="B85" s="2"/>
      <c r="C85" s="2"/>
      <c r="D85" s="2"/>
      <c r="E85" s="5"/>
      <c r="F85" s="2"/>
      <c r="G85" s="5"/>
      <c r="H85" s="2"/>
      <c r="I85" s="2"/>
      <c r="J85" s="2"/>
      <c r="K85" s="2"/>
      <c r="L85" s="2"/>
      <c r="M85" s="2"/>
      <c r="N85" s="2"/>
      <c r="O85" s="2"/>
      <c r="P85" s="2"/>
      <c r="Q85" s="2"/>
      <c r="R85" s="2"/>
      <c r="S85" s="2"/>
      <c r="T85" s="2"/>
      <c r="U85" s="2"/>
      <c r="V85" s="2"/>
      <c r="W85" s="2"/>
      <c r="X85" s="2"/>
      <c r="Y85" s="2"/>
      <c r="Z85" s="2" t="str">
        <f t="shared" si="8"/>
        <v/>
      </c>
      <c r="AA85" s="2" t="str">
        <f t="shared" si="9"/>
        <v/>
      </c>
      <c r="AB85" s="2" t="str">
        <f t="shared" si="10"/>
        <v/>
      </c>
      <c r="AC85" s="2" t="str">
        <f t="shared" si="11"/>
        <v>Walks with direction</v>
      </c>
      <c r="AD85" s="2"/>
      <c r="AE85" s="5"/>
      <c r="AF85" s="2"/>
      <c r="AG85" s="2"/>
      <c r="AH85" s="2"/>
      <c r="AI85" s="2"/>
    </row>
    <row r="86" spans="1:35">
      <c r="A86" s="2"/>
      <c r="B86" s="2"/>
      <c r="C86" s="2"/>
      <c r="D86" s="2"/>
      <c r="E86" s="5"/>
      <c r="F86" s="2"/>
      <c r="G86" s="5"/>
      <c r="H86" s="2"/>
      <c r="I86" s="2"/>
      <c r="J86" s="2"/>
      <c r="K86" s="2"/>
      <c r="L86" s="2"/>
      <c r="M86" s="2"/>
      <c r="N86" s="2"/>
      <c r="O86" s="2"/>
      <c r="P86" s="2"/>
      <c r="Q86" s="2"/>
      <c r="R86" s="2"/>
      <c r="S86" s="2"/>
      <c r="T86" s="2"/>
      <c r="U86" s="2"/>
      <c r="V86" s="2"/>
      <c r="W86" s="2"/>
      <c r="X86" s="2"/>
      <c r="Y86" s="2"/>
      <c r="Z86" s="2" t="str">
        <f t="shared" si="8"/>
        <v/>
      </c>
      <c r="AA86" s="2" t="str">
        <f t="shared" si="9"/>
        <v/>
      </c>
      <c r="AB86" s="2" t="str">
        <f t="shared" si="10"/>
        <v/>
      </c>
      <c r="AC86" s="2" t="str">
        <f t="shared" si="11"/>
        <v>Walks with direction</v>
      </c>
      <c r="AD86" s="2"/>
      <c r="AE86" s="5"/>
      <c r="AF86" s="2"/>
      <c r="AG86" s="2"/>
      <c r="AH86" s="2"/>
      <c r="AI86" s="2"/>
    </row>
    <row r="87" spans="1:35">
      <c r="A87" s="2"/>
      <c r="B87" s="2"/>
      <c r="C87" s="2"/>
      <c r="D87" s="2"/>
      <c r="E87" s="5"/>
      <c r="F87" s="2"/>
      <c r="G87" s="5"/>
      <c r="H87" s="2"/>
      <c r="I87" s="2"/>
      <c r="J87" s="2"/>
      <c r="K87" s="2"/>
      <c r="L87" s="2"/>
      <c r="M87" s="2"/>
      <c r="N87" s="2"/>
      <c r="O87" s="2"/>
      <c r="P87" s="2"/>
      <c r="Q87" s="2"/>
      <c r="R87" s="2"/>
      <c r="S87" s="2"/>
      <c r="T87" s="2"/>
      <c r="U87" s="2"/>
      <c r="V87" s="2"/>
      <c r="W87" s="2"/>
      <c r="X87" s="2"/>
      <c r="Y87" s="2"/>
      <c r="Z87" s="2" t="str">
        <f t="shared" si="8"/>
        <v/>
      </c>
      <c r="AA87" s="2" t="str">
        <f t="shared" si="9"/>
        <v/>
      </c>
      <c r="AB87" s="2" t="str">
        <f t="shared" si="10"/>
        <v/>
      </c>
      <c r="AC87" s="2" t="str">
        <f t="shared" si="11"/>
        <v>Walks with direction</v>
      </c>
      <c r="AD87" s="2"/>
      <c r="AE87" s="5"/>
      <c r="AF87" s="2"/>
      <c r="AG87" s="2"/>
      <c r="AH87" s="2"/>
      <c r="AI87" s="2"/>
    </row>
    <row r="88" spans="1:35">
      <c r="A88" s="2"/>
      <c r="B88" s="2"/>
      <c r="C88" s="2"/>
      <c r="D88" s="2"/>
      <c r="E88" s="5"/>
      <c r="F88" s="2"/>
      <c r="G88" s="5"/>
      <c r="H88" s="2"/>
      <c r="I88" s="2"/>
      <c r="J88" s="2"/>
      <c r="K88" s="2"/>
      <c r="L88" s="2"/>
      <c r="M88" s="2"/>
      <c r="N88" s="2"/>
      <c r="O88" s="2"/>
      <c r="P88" s="2"/>
      <c r="Q88" s="2"/>
      <c r="R88" s="2"/>
      <c r="S88" s="2"/>
      <c r="T88" s="2"/>
      <c r="U88" s="2"/>
      <c r="V88" s="2"/>
      <c r="W88" s="2"/>
      <c r="X88" s="2"/>
      <c r="Y88" s="2"/>
      <c r="Z88" s="2" t="str">
        <f t="shared" si="8"/>
        <v/>
      </c>
      <c r="AA88" s="2" t="str">
        <f t="shared" si="9"/>
        <v/>
      </c>
      <c r="AB88" s="2" t="str">
        <f t="shared" si="10"/>
        <v/>
      </c>
      <c r="AC88" s="2" t="str">
        <f t="shared" si="11"/>
        <v>Walks with direction</v>
      </c>
      <c r="AD88" s="2"/>
      <c r="AE88" s="5"/>
      <c r="AF88" s="2"/>
      <c r="AG88" s="2"/>
      <c r="AH88" s="2"/>
      <c r="AI88" s="2"/>
    </row>
    <row r="89" spans="1:35">
      <c r="A89" s="2"/>
      <c r="B89" s="2"/>
      <c r="C89" s="2"/>
      <c r="D89" s="2"/>
      <c r="E89" s="5"/>
      <c r="F89" s="2"/>
      <c r="G89" s="5"/>
      <c r="H89" s="2"/>
      <c r="I89" s="2"/>
      <c r="J89" s="2"/>
      <c r="K89" s="2"/>
      <c r="L89" s="2"/>
      <c r="M89" s="2"/>
      <c r="N89" s="2"/>
      <c r="O89" s="2"/>
      <c r="P89" s="2"/>
      <c r="Q89" s="2"/>
      <c r="R89" s="2"/>
      <c r="S89" s="2"/>
      <c r="T89" s="2"/>
      <c r="U89" s="2"/>
      <c r="V89" s="2"/>
      <c r="W89" s="2"/>
      <c r="X89" s="2"/>
      <c r="Y89" s="2"/>
      <c r="Z89" s="2" t="str">
        <f t="shared" si="8"/>
        <v/>
      </c>
      <c r="AA89" s="2" t="str">
        <f t="shared" si="9"/>
        <v/>
      </c>
      <c r="AB89" s="2" t="str">
        <f t="shared" si="10"/>
        <v/>
      </c>
      <c r="AC89" s="2" t="str">
        <f t="shared" si="11"/>
        <v>Walks with direction</v>
      </c>
      <c r="AD89" s="2"/>
      <c r="AE89" s="5"/>
      <c r="AF89" s="2"/>
      <c r="AG89" s="2"/>
      <c r="AH89" s="2"/>
      <c r="AI89" s="2"/>
    </row>
    <row r="90" spans="1:35">
      <c r="A90" s="2"/>
      <c r="B90" s="2"/>
      <c r="C90" s="2"/>
      <c r="D90" s="2"/>
      <c r="E90" s="5"/>
      <c r="F90" s="2"/>
      <c r="G90" s="5"/>
      <c r="H90" s="2"/>
      <c r="I90" s="2"/>
      <c r="J90" s="2"/>
      <c r="K90" s="2"/>
      <c r="L90" s="2"/>
      <c r="M90" s="2"/>
      <c r="N90" s="2"/>
      <c r="O90" s="2"/>
      <c r="P90" s="2"/>
      <c r="Q90" s="2"/>
      <c r="R90" s="2"/>
      <c r="S90" s="2"/>
      <c r="T90" s="2"/>
      <c r="U90" s="2"/>
      <c r="V90" s="2"/>
      <c r="W90" s="2"/>
      <c r="X90" s="2"/>
      <c r="Y90" s="2"/>
      <c r="Z90" s="2" t="str">
        <f t="shared" si="8"/>
        <v/>
      </c>
      <c r="AA90" s="2" t="str">
        <f t="shared" si="9"/>
        <v/>
      </c>
      <c r="AB90" s="2" t="str">
        <f t="shared" si="10"/>
        <v/>
      </c>
      <c r="AC90" s="2" t="str">
        <f t="shared" si="11"/>
        <v>Walks with direction</v>
      </c>
      <c r="AD90" s="2"/>
      <c r="AE90" s="5"/>
      <c r="AF90" s="2"/>
      <c r="AG90" s="2"/>
      <c r="AH90" s="2"/>
      <c r="AI90" s="2"/>
    </row>
    <row r="91" spans="1:35">
      <c r="A91" s="2"/>
      <c r="B91" s="2"/>
      <c r="C91" s="2"/>
      <c r="D91" s="2"/>
      <c r="E91" s="5"/>
      <c r="F91" s="2"/>
      <c r="G91" s="5"/>
      <c r="H91" s="2"/>
      <c r="I91" s="2"/>
      <c r="J91" s="2"/>
      <c r="K91" s="2"/>
      <c r="L91" s="2"/>
      <c r="M91" s="2"/>
      <c r="N91" s="2"/>
      <c r="O91" s="2"/>
      <c r="P91" s="2"/>
      <c r="Q91" s="2"/>
      <c r="R91" s="2"/>
      <c r="S91" s="2"/>
      <c r="T91" s="2"/>
      <c r="U91" s="2"/>
      <c r="V91" s="2"/>
      <c r="W91" s="2"/>
      <c r="X91" s="2"/>
      <c r="Y91" s="2"/>
      <c r="Z91" s="2" t="str">
        <f t="shared" si="8"/>
        <v/>
      </c>
      <c r="AA91" s="2" t="str">
        <f t="shared" si="9"/>
        <v/>
      </c>
      <c r="AB91" s="2" t="str">
        <f t="shared" si="10"/>
        <v/>
      </c>
      <c r="AC91" s="2" t="str">
        <f t="shared" si="11"/>
        <v>Walks with direction</v>
      </c>
      <c r="AD91" s="2"/>
      <c r="AE91" s="5"/>
      <c r="AF91" s="2"/>
      <c r="AG91" s="2"/>
      <c r="AH91" s="2"/>
      <c r="AI91" s="2"/>
    </row>
    <row r="92" spans="1:35">
      <c r="A92" s="2"/>
      <c r="B92" s="2"/>
      <c r="C92" s="2"/>
      <c r="D92" s="2"/>
      <c r="E92" s="5"/>
      <c r="F92" s="2"/>
      <c r="G92" s="5"/>
      <c r="H92" s="2"/>
      <c r="I92" s="2"/>
      <c r="J92" s="2"/>
      <c r="K92" s="2"/>
      <c r="L92" s="2"/>
      <c r="M92" s="2"/>
      <c r="N92" s="2"/>
      <c r="O92" s="2"/>
      <c r="P92" s="2"/>
      <c r="Q92" s="2"/>
      <c r="R92" s="2"/>
      <c r="S92" s="2"/>
      <c r="T92" s="2"/>
      <c r="U92" s="2"/>
      <c r="V92" s="2"/>
      <c r="W92" s="2"/>
      <c r="X92" s="2"/>
      <c r="Y92" s="2"/>
      <c r="Z92" s="2" t="str">
        <f t="shared" si="8"/>
        <v/>
      </c>
      <c r="AA92" s="2" t="str">
        <f t="shared" si="9"/>
        <v/>
      </c>
      <c r="AB92" s="2" t="str">
        <f t="shared" si="10"/>
        <v/>
      </c>
      <c r="AC92" s="2" t="str">
        <f t="shared" si="11"/>
        <v>Walks with direction</v>
      </c>
      <c r="AD92" s="2"/>
      <c r="AE92" s="5"/>
      <c r="AF92" s="2"/>
      <c r="AG92" s="2"/>
      <c r="AH92" s="2"/>
      <c r="AI92" s="2"/>
    </row>
    <row r="93" spans="1:35">
      <c r="A93" s="2"/>
      <c r="B93" s="2"/>
      <c r="C93" s="2"/>
      <c r="D93" s="2"/>
      <c r="E93" s="5"/>
      <c r="F93" s="2"/>
      <c r="G93" s="5"/>
      <c r="H93" s="2"/>
      <c r="I93" s="2"/>
      <c r="J93" s="2"/>
      <c r="K93" s="2"/>
      <c r="L93" s="2"/>
      <c r="M93" s="2"/>
      <c r="N93" s="2"/>
      <c r="O93" s="2"/>
      <c r="P93" s="2"/>
      <c r="Q93" s="2"/>
      <c r="R93" s="2"/>
      <c r="S93" s="2"/>
      <c r="T93" s="2"/>
      <c r="U93" s="2"/>
      <c r="V93" s="2"/>
      <c r="W93" s="2"/>
      <c r="X93" s="2"/>
      <c r="Y93" s="2"/>
      <c r="Z93" s="2" t="str">
        <f t="shared" si="8"/>
        <v/>
      </c>
      <c r="AA93" s="2" t="str">
        <f t="shared" si="9"/>
        <v/>
      </c>
      <c r="AB93" s="2" t="str">
        <f t="shared" si="10"/>
        <v/>
      </c>
      <c r="AC93" s="2" t="str">
        <f t="shared" si="11"/>
        <v>Walks with direction</v>
      </c>
      <c r="AD93" s="2"/>
      <c r="AE93" s="5"/>
      <c r="AF93" s="2"/>
      <c r="AG93" s="2"/>
      <c r="AH93" s="2"/>
      <c r="AI93" s="2"/>
    </row>
    <row r="94" spans="1:35">
      <c r="A94" s="2"/>
      <c r="B94" s="2"/>
      <c r="C94" s="2"/>
      <c r="D94" s="2"/>
      <c r="E94" s="5"/>
      <c r="F94" s="2"/>
      <c r="G94" s="5"/>
      <c r="H94" s="2"/>
      <c r="I94" s="2"/>
      <c r="J94" s="2"/>
      <c r="K94" s="2"/>
      <c r="L94" s="2"/>
      <c r="M94" s="2"/>
      <c r="N94" s="2"/>
      <c r="O94" s="2"/>
      <c r="P94" s="2"/>
      <c r="Q94" s="2"/>
      <c r="R94" s="2"/>
      <c r="S94" s="2"/>
      <c r="T94" s="2"/>
      <c r="U94" s="2"/>
      <c r="V94" s="2"/>
      <c r="W94" s="2"/>
      <c r="X94" s="2"/>
      <c r="Y94" s="2"/>
      <c r="Z94" s="2" t="str">
        <f t="shared" si="8"/>
        <v/>
      </c>
      <c r="AA94" s="2" t="str">
        <f t="shared" si="9"/>
        <v/>
      </c>
      <c r="AB94" s="2" t="str">
        <f t="shared" si="10"/>
        <v/>
      </c>
      <c r="AC94" s="2" t="str">
        <f t="shared" si="11"/>
        <v>Walks with direction</v>
      </c>
      <c r="AD94" s="2"/>
      <c r="AE94" s="5"/>
      <c r="AF94" s="2"/>
      <c r="AG94" s="2"/>
      <c r="AH94" s="2"/>
      <c r="AI94" s="2"/>
    </row>
    <row r="95" spans="1:35">
      <c r="A95" s="2"/>
      <c r="B95" s="2"/>
      <c r="C95" s="2"/>
      <c r="D95" s="2"/>
      <c r="E95" s="5"/>
      <c r="F95" s="2"/>
      <c r="G95" s="5"/>
      <c r="H95" s="2"/>
      <c r="I95" s="2"/>
      <c r="J95" s="2"/>
      <c r="K95" s="2"/>
      <c r="L95" s="2"/>
      <c r="M95" s="2"/>
      <c r="N95" s="2"/>
      <c r="O95" s="2"/>
      <c r="P95" s="2"/>
      <c r="Q95" s="2"/>
      <c r="R95" s="2"/>
      <c r="S95" s="2"/>
      <c r="T95" s="2"/>
      <c r="U95" s="2"/>
      <c r="V95" s="2"/>
      <c r="W95" s="2"/>
      <c r="X95" s="2"/>
      <c r="Y95" s="2"/>
      <c r="Z95" s="2" t="str">
        <f t="shared" si="8"/>
        <v/>
      </c>
      <c r="AA95" s="2" t="str">
        <f t="shared" si="9"/>
        <v/>
      </c>
      <c r="AB95" s="2" t="str">
        <f t="shared" si="10"/>
        <v/>
      </c>
      <c r="AC95" s="2" t="str">
        <f t="shared" si="11"/>
        <v>Walks with direction</v>
      </c>
      <c r="AD95" s="2"/>
      <c r="AE95" s="5"/>
      <c r="AF95" s="2"/>
      <c r="AG95" s="2"/>
      <c r="AH95" s="2"/>
      <c r="AI95" s="2"/>
    </row>
    <row r="96" spans="1:35">
      <c r="A96" s="2"/>
      <c r="B96" s="2"/>
      <c r="C96" s="2"/>
      <c r="D96" s="2"/>
      <c r="E96" s="5"/>
      <c r="F96" s="2"/>
      <c r="G96" s="5"/>
      <c r="H96" s="2"/>
      <c r="I96" s="2"/>
      <c r="J96" s="2"/>
      <c r="K96" s="2"/>
      <c r="L96" s="2"/>
      <c r="M96" s="2"/>
      <c r="N96" s="2"/>
      <c r="O96" s="2"/>
      <c r="P96" s="2"/>
      <c r="Q96" s="2"/>
      <c r="R96" s="2"/>
      <c r="S96" s="2"/>
      <c r="T96" s="2"/>
      <c r="U96" s="2"/>
      <c r="V96" s="2"/>
      <c r="W96" s="2"/>
      <c r="X96" s="2"/>
      <c r="Y96" s="2"/>
      <c r="Z96" s="2" t="str">
        <f t="shared" si="8"/>
        <v/>
      </c>
      <c r="AA96" s="2" t="str">
        <f t="shared" si="9"/>
        <v/>
      </c>
      <c r="AB96" s="2" t="str">
        <f t="shared" si="10"/>
        <v/>
      </c>
      <c r="AC96" s="2" t="str">
        <f t="shared" si="11"/>
        <v>Walks with direction</v>
      </c>
      <c r="AD96" s="2"/>
      <c r="AE96" s="5"/>
      <c r="AF96" s="2"/>
      <c r="AG96" s="2"/>
      <c r="AH96" s="2"/>
      <c r="AI96" s="2"/>
    </row>
    <row r="97" spans="1:35">
      <c r="A97" s="2"/>
      <c r="B97" s="2"/>
      <c r="C97" s="2"/>
      <c r="D97" s="2"/>
      <c r="E97" s="5"/>
      <c r="F97" s="2"/>
      <c r="G97" s="5"/>
      <c r="H97" s="2"/>
      <c r="I97" s="2"/>
      <c r="J97" s="2"/>
      <c r="K97" s="2"/>
      <c r="L97" s="2"/>
      <c r="M97" s="2"/>
      <c r="N97" s="2"/>
      <c r="O97" s="2"/>
      <c r="P97" s="2"/>
      <c r="Q97" s="2"/>
      <c r="R97" s="2"/>
      <c r="S97" s="2"/>
      <c r="T97" s="2"/>
      <c r="U97" s="2"/>
      <c r="V97" s="2"/>
      <c r="W97" s="2"/>
      <c r="X97" s="2"/>
      <c r="Y97" s="2"/>
      <c r="Z97" s="2" t="str">
        <f t="shared" si="8"/>
        <v/>
      </c>
      <c r="AA97" s="2" t="str">
        <f t="shared" si="9"/>
        <v/>
      </c>
      <c r="AB97" s="2" t="str">
        <f t="shared" si="10"/>
        <v/>
      </c>
      <c r="AC97" s="2" t="str">
        <f t="shared" si="11"/>
        <v>Walks with direction</v>
      </c>
      <c r="AD97" s="2"/>
      <c r="AE97" s="5"/>
      <c r="AF97" s="2"/>
      <c r="AG97" s="2"/>
      <c r="AH97" s="2"/>
      <c r="AI97" s="2"/>
    </row>
    <row r="98" spans="1:35">
      <c r="A98" s="2"/>
      <c r="B98" s="2"/>
      <c r="C98" s="2"/>
      <c r="D98" s="2"/>
      <c r="E98" s="5"/>
      <c r="F98" s="2"/>
      <c r="G98" s="5"/>
      <c r="H98" s="2"/>
      <c r="I98" s="2"/>
      <c r="J98" s="2"/>
      <c r="K98" s="2"/>
      <c r="L98" s="2"/>
      <c r="M98" s="2"/>
      <c r="N98" s="2"/>
      <c r="O98" s="2"/>
      <c r="P98" s="2"/>
      <c r="Q98" s="2"/>
      <c r="R98" s="2"/>
      <c r="S98" s="2"/>
      <c r="T98" s="2"/>
      <c r="U98" s="2"/>
      <c r="V98" s="2"/>
      <c r="W98" s="2"/>
      <c r="X98" s="2"/>
      <c r="Y98" s="2"/>
      <c r="Z98" s="2" t="str">
        <f t="shared" si="8"/>
        <v/>
      </c>
      <c r="AA98" s="2" t="str">
        <f t="shared" si="9"/>
        <v/>
      </c>
      <c r="AB98" s="2" t="str">
        <f t="shared" si="10"/>
        <v/>
      </c>
      <c r="AC98" s="2" t="str">
        <f t="shared" si="11"/>
        <v>Walks with direction</v>
      </c>
      <c r="AD98" s="2"/>
      <c r="AE98" s="5"/>
      <c r="AF98" s="2"/>
      <c r="AG98" s="2"/>
      <c r="AH98" s="2"/>
      <c r="AI98" s="2"/>
    </row>
    <row r="99" spans="1:35">
      <c r="A99" s="2"/>
      <c r="B99" s="2"/>
      <c r="C99" s="2"/>
      <c r="D99" s="2"/>
      <c r="E99" s="5"/>
      <c r="F99" s="2"/>
      <c r="G99" s="5"/>
      <c r="H99" s="2"/>
      <c r="I99" s="2"/>
      <c r="J99" s="2"/>
      <c r="K99" s="2"/>
      <c r="L99" s="2"/>
      <c r="M99" s="2"/>
      <c r="N99" s="2"/>
      <c r="O99" s="2"/>
      <c r="P99" s="2"/>
      <c r="Q99" s="2"/>
      <c r="R99" s="2"/>
      <c r="S99" s="2"/>
      <c r="T99" s="2"/>
      <c r="U99" s="2"/>
      <c r="V99" s="2"/>
      <c r="W99" s="2"/>
      <c r="X99" s="2"/>
      <c r="Y99" s="2"/>
      <c r="Z99" s="2" t="str">
        <f t="shared" si="8"/>
        <v/>
      </c>
      <c r="AA99" s="2" t="str">
        <f t="shared" si="9"/>
        <v/>
      </c>
      <c r="AB99" s="2" t="str">
        <f t="shared" si="10"/>
        <v/>
      </c>
      <c r="AC99" s="2" t="str">
        <f t="shared" si="11"/>
        <v>Walks with direction</v>
      </c>
      <c r="AD99" s="2"/>
      <c r="AE99" s="5"/>
      <c r="AF99" s="2"/>
      <c r="AG99" s="2"/>
      <c r="AH99" s="2"/>
      <c r="AI99" s="2"/>
    </row>
    <row r="100" spans="1:35">
      <c r="A100" s="2"/>
      <c r="B100" s="2"/>
      <c r="C100" s="2"/>
      <c r="D100" s="2"/>
      <c r="E100" s="5"/>
      <c r="F100" s="2"/>
      <c r="G100" s="5"/>
      <c r="H100" s="2"/>
      <c r="I100" s="2"/>
      <c r="J100" s="2"/>
      <c r="K100" s="2"/>
      <c r="L100" s="2"/>
      <c r="M100" s="2"/>
      <c r="N100" s="2"/>
      <c r="O100" s="2"/>
      <c r="P100" s="2"/>
      <c r="Q100" s="2"/>
      <c r="R100" s="2"/>
      <c r="S100" s="2"/>
      <c r="T100" s="2"/>
      <c r="U100" s="2"/>
      <c r="V100" s="2"/>
      <c r="W100" s="2"/>
      <c r="X100" s="2"/>
      <c r="Y100" s="2"/>
      <c r="Z100" s="2" t="str">
        <f t="shared" si="8"/>
        <v/>
      </c>
      <c r="AA100" s="2" t="str">
        <f t="shared" si="9"/>
        <v/>
      </c>
      <c r="AB100" s="2" t="str">
        <f t="shared" si="10"/>
        <v/>
      </c>
      <c r="AC100" s="2" t="str">
        <f t="shared" si="11"/>
        <v>Walks with direction</v>
      </c>
      <c r="AD100" s="2"/>
      <c r="AE100" s="5"/>
      <c r="AF100" s="2"/>
      <c r="AG100" s="2"/>
      <c r="AH100" s="2"/>
      <c r="AI100" s="2"/>
    </row>
    <row r="101" spans="1:35">
      <c r="A101" s="2"/>
      <c r="B101" s="2"/>
      <c r="C101" s="2"/>
      <c r="D101" s="2"/>
      <c r="E101" s="5"/>
      <c r="F101" s="2"/>
      <c r="G101" s="5"/>
      <c r="H101" s="2"/>
      <c r="I101" s="2"/>
      <c r="J101" s="2"/>
      <c r="K101" s="2"/>
      <c r="L101" s="2"/>
      <c r="M101" s="2"/>
      <c r="N101" s="2"/>
      <c r="O101" s="2"/>
      <c r="P101" s="2"/>
      <c r="Q101" s="2"/>
      <c r="R101" s="2"/>
      <c r="S101" s="2"/>
      <c r="T101" s="2"/>
      <c r="U101" s="2"/>
      <c r="V101" s="2"/>
      <c r="W101" s="2"/>
      <c r="X101" s="2"/>
      <c r="Y101" s="2"/>
      <c r="Z101" s="2" t="str">
        <f t="shared" si="8"/>
        <v/>
      </c>
      <c r="AA101" s="2" t="str">
        <f t="shared" si="9"/>
        <v/>
      </c>
      <c r="AB101" s="2" t="str">
        <f t="shared" si="10"/>
        <v/>
      </c>
      <c r="AC101" s="2" t="str">
        <f t="shared" si="11"/>
        <v>Walks with direction</v>
      </c>
      <c r="AD101" s="2"/>
      <c r="AE101" s="5"/>
      <c r="AF101" s="2"/>
      <c r="AG101" s="2"/>
      <c r="AH101" s="2"/>
      <c r="AI101" s="2"/>
    </row>
    <row r="102" spans="1:35">
      <c r="A102" s="2"/>
      <c r="B102" s="2"/>
      <c r="C102" s="2"/>
      <c r="D102" s="2"/>
      <c r="E102" s="5"/>
      <c r="F102" s="2"/>
      <c r="G102" s="5"/>
      <c r="H102" s="2"/>
      <c r="I102" s="2"/>
      <c r="J102" s="2"/>
      <c r="K102" s="2"/>
      <c r="L102" s="2"/>
      <c r="M102" s="2"/>
      <c r="N102" s="2"/>
      <c r="O102" s="2"/>
      <c r="P102" s="2"/>
      <c r="Q102" s="2"/>
      <c r="R102" s="2"/>
      <c r="S102" s="2"/>
      <c r="T102" s="2"/>
      <c r="U102" s="2"/>
      <c r="V102" s="2"/>
      <c r="W102" s="2"/>
      <c r="X102" s="2"/>
      <c r="Y102" s="2"/>
      <c r="Z102" s="2" t="str">
        <f t="shared" si="8"/>
        <v/>
      </c>
      <c r="AA102" s="2" t="str">
        <f t="shared" si="9"/>
        <v/>
      </c>
      <c r="AB102" s="2" t="str">
        <f t="shared" si="10"/>
        <v/>
      </c>
      <c r="AC102" s="2" t="str">
        <f t="shared" si="11"/>
        <v>Walks with direction</v>
      </c>
      <c r="AD102" s="2"/>
      <c r="AE102" s="5"/>
      <c r="AF102" s="2"/>
      <c r="AG102" s="2"/>
      <c r="AH102" s="2"/>
      <c r="AI102" s="2"/>
    </row>
    <row r="103" spans="1:35">
      <c r="A103" s="2"/>
      <c r="B103" s="2"/>
      <c r="C103" s="2"/>
      <c r="D103" s="2"/>
      <c r="E103" s="5"/>
      <c r="F103" s="2"/>
      <c r="G103" s="5"/>
      <c r="H103" s="2"/>
      <c r="I103" s="2"/>
      <c r="J103" s="2"/>
      <c r="K103" s="2"/>
      <c r="L103" s="2"/>
      <c r="M103" s="2"/>
      <c r="N103" s="2"/>
      <c r="O103" s="2"/>
      <c r="P103" s="2"/>
      <c r="Q103" s="2"/>
      <c r="R103" s="2"/>
      <c r="S103" s="2"/>
      <c r="T103" s="2"/>
      <c r="U103" s="2"/>
      <c r="V103" s="2"/>
      <c r="W103" s="2"/>
      <c r="X103" s="2"/>
      <c r="Y103" s="2"/>
      <c r="Z103" s="2" t="str">
        <f t="shared" si="8"/>
        <v/>
      </c>
      <c r="AA103" s="2" t="str">
        <f t="shared" si="9"/>
        <v/>
      </c>
      <c r="AB103" s="2" t="str">
        <f t="shared" si="10"/>
        <v/>
      </c>
      <c r="AC103" s="2" t="str">
        <f t="shared" si="11"/>
        <v>Walks with direction</v>
      </c>
      <c r="AD103" s="2"/>
      <c r="AE103" s="5"/>
      <c r="AF103" s="2"/>
      <c r="AG103" s="2"/>
      <c r="AH103" s="2"/>
      <c r="AI103" s="2"/>
    </row>
    <row r="104" spans="1:35">
      <c r="A104" s="2"/>
      <c r="B104" s="2"/>
      <c r="C104" s="2"/>
      <c r="D104" s="2"/>
      <c r="E104" s="5"/>
      <c r="F104" s="2"/>
      <c r="G104" s="5"/>
      <c r="H104" s="2"/>
      <c r="I104" s="2"/>
      <c r="J104" s="2"/>
      <c r="K104" s="2"/>
      <c r="L104" s="2"/>
      <c r="M104" s="2"/>
      <c r="N104" s="2"/>
      <c r="O104" s="2"/>
      <c r="P104" s="2"/>
      <c r="Q104" s="2"/>
      <c r="R104" s="2"/>
      <c r="S104" s="2"/>
      <c r="T104" s="2"/>
      <c r="U104" s="2"/>
      <c r="V104" s="2"/>
      <c r="W104" s="2"/>
      <c r="X104" s="2"/>
      <c r="Y104" s="2"/>
      <c r="Z104" s="2" t="str">
        <f t="shared" si="8"/>
        <v/>
      </c>
      <c r="AA104" s="2" t="str">
        <f t="shared" si="9"/>
        <v/>
      </c>
      <c r="AB104" s="2" t="str">
        <f t="shared" si="10"/>
        <v/>
      </c>
      <c r="AC104" s="2" t="str">
        <f t="shared" si="11"/>
        <v>Walks with direction</v>
      </c>
      <c r="AD104" s="2"/>
      <c r="AE104" s="5"/>
      <c r="AF104" s="2"/>
      <c r="AG104" s="2"/>
      <c r="AH104" s="2"/>
      <c r="AI104" s="2"/>
    </row>
    <row r="105" spans="1:35">
      <c r="A105" s="2"/>
      <c r="B105" s="2"/>
      <c r="C105" s="2"/>
      <c r="D105" s="2"/>
      <c r="E105" s="5"/>
      <c r="F105" s="2"/>
      <c r="G105" s="5"/>
      <c r="H105" s="2"/>
      <c r="I105" s="2"/>
      <c r="J105" s="2"/>
      <c r="K105" s="2"/>
      <c r="L105" s="2"/>
      <c r="M105" s="2"/>
      <c r="N105" s="2"/>
      <c r="O105" s="2"/>
      <c r="P105" s="2"/>
      <c r="Q105" s="2"/>
      <c r="R105" s="2"/>
      <c r="S105" s="2"/>
      <c r="T105" s="2"/>
      <c r="U105" s="2"/>
      <c r="V105" s="2"/>
      <c r="W105" s="2"/>
      <c r="X105" s="2"/>
      <c r="Y105" s="2"/>
      <c r="Z105" s="2" t="str">
        <f t="shared" si="8"/>
        <v/>
      </c>
      <c r="AA105" s="2" t="str">
        <f t="shared" si="9"/>
        <v/>
      </c>
      <c r="AB105" s="2" t="str">
        <f t="shared" si="10"/>
        <v/>
      </c>
      <c r="AC105" s="2" t="str">
        <f t="shared" si="11"/>
        <v>Walks with direction</v>
      </c>
      <c r="AD105" s="2"/>
      <c r="AE105" s="5"/>
      <c r="AF105" s="2"/>
      <c r="AG105" s="2"/>
      <c r="AH105" s="2"/>
      <c r="AI105" s="2"/>
    </row>
    <row r="106" spans="1:35">
      <c r="A106" s="2"/>
      <c r="B106" s="2"/>
      <c r="C106" s="2"/>
      <c r="D106" s="2"/>
      <c r="E106" s="5"/>
      <c r="F106" s="2"/>
      <c r="G106" s="5"/>
      <c r="H106" s="2"/>
      <c r="I106" s="2"/>
      <c r="J106" s="2"/>
      <c r="K106" s="2"/>
      <c r="L106" s="2"/>
      <c r="M106" s="2"/>
      <c r="N106" s="2"/>
      <c r="O106" s="2"/>
      <c r="P106" s="2"/>
      <c r="Q106" s="2"/>
      <c r="R106" s="2"/>
      <c r="S106" s="2"/>
      <c r="T106" s="2"/>
      <c r="U106" s="2"/>
      <c r="V106" s="2"/>
      <c r="W106" s="2"/>
      <c r="X106" s="2"/>
      <c r="Y106" s="2"/>
      <c r="Z106" s="2" t="str">
        <f t="shared" si="8"/>
        <v/>
      </c>
      <c r="AA106" s="2" t="str">
        <f t="shared" si="9"/>
        <v/>
      </c>
      <c r="AB106" s="2" t="str">
        <f t="shared" si="10"/>
        <v/>
      </c>
      <c r="AC106" s="2" t="str">
        <f t="shared" si="11"/>
        <v>Walks with direction</v>
      </c>
      <c r="AD106" s="2"/>
      <c r="AE106" s="5"/>
      <c r="AF106" s="2"/>
      <c r="AG106" s="2"/>
      <c r="AH106" s="2"/>
      <c r="AI106" s="2"/>
    </row>
    <row r="107" spans="1:35">
      <c r="A107" s="2"/>
      <c r="B107" s="2"/>
      <c r="C107" s="2"/>
      <c r="D107" s="2"/>
      <c r="E107" s="5"/>
      <c r="F107" s="2"/>
      <c r="G107" s="5"/>
      <c r="H107" s="2"/>
      <c r="I107" s="2"/>
      <c r="J107" s="2"/>
      <c r="K107" s="2"/>
      <c r="L107" s="2"/>
      <c r="M107" s="2"/>
      <c r="N107" s="2"/>
      <c r="O107" s="2"/>
      <c r="P107" s="2"/>
      <c r="Q107" s="2"/>
      <c r="R107" s="2"/>
      <c r="S107" s="2"/>
      <c r="T107" s="2"/>
      <c r="U107" s="2"/>
      <c r="V107" s="2"/>
      <c r="W107" s="2"/>
      <c r="X107" s="2"/>
      <c r="Y107" s="2"/>
      <c r="Z107" s="2" t="str">
        <f t="shared" si="8"/>
        <v/>
      </c>
      <c r="AA107" s="2" t="str">
        <f t="shared" si="9"/>
        <v/>
      </c>
      <c r="AB107" s="2" t="str">
        <f t="shared" si="10"/>
        <v/>
      </c>
      <c r="AC107" s="2" t="str">
        <f t="shared" si="11"/>
        <v>Walks with direction</v>
      </c>
      <c r="AD107" s="2"/>
      <c r="AE107" s="5"/>
      <c r="AF107" s="2"/>
      <c r="AG107" s="2"/>
      <c r="AH107" s="2"/>
      <c r="AI107" s="2"/>
    </row>
    <row r="108" spans="1:35">
      <c r="A108" s="2"/>
      <c r="B108" s="2"/>
      <c r="C108" s="2"/>
      <c r="D108" s="2"/>
      <c r="E108" s="5"/>
      <c r="F108" s="2"/>
      <c r="G108" s="5"/>
      <c r="H108" s="2"/>
      <c r="I108" s="2"/>
      <c r="J108" s="2"/>
      <c r="K108" s="2"/>
      <c r="L108" s="2"/>
      <c r="M108" s="2"/>
      <c r="N108" s="2"/>
      <c r="O108" s="2"/>
      <c r="P108" s="2"/>
      <c r="Q108" s="2"/>
      <c r="R108" s="2"/>
      <c r="S108" s="2"/>
      <c r="T108" s="2"/>
      <c r="U108" s="2"/>
      <c r="V108" s="2"/>
      <c r="W108" s="2"/>
      <c r="X108" s="2"/>
      <c r="Y108" s="2"/>
      <c r="Z108" s="2" t="str">
        <f t="shared" si="8"/>
        <v/>
      </c>
      <c r="AA108" s="2" t="str">
        <f t="shared" si="9"/>
        <v/>
      </c>
      <c r="AB108" s="2" t="str">
        <f t="shared" si="10"/>
        <v/>
      </c>
      <c r="AC108" s="2" t="str">
        <f t="shared" si="11"/>
        <v>Walks with direction</v>
      </c>
      <c r="AD108" s="2"/>
      <c r="AE108" s="5"/>
      <c r="AF108" s="2"/>
      <c r="AG108" s="2"/>
      <c r="AH108" s="2"/>
      <c r="AI108" s="2"/>
    </row>
    <row r="109" spans="1:35">
      <c r="A109" s="2"/>
      <c r="B109" s="2"/>
      <c r="C109" s="2"/>
      <c r="D109" s="2"/>
      <c r="E109" s="5"/>
      <c r="F109" s="2"/>
      <c r="G109" s="5"/>
      <c r="H109" s="2"/>
      <c r="I109" s="2"/>
      <c r="J109" s="2"/>
      <c r="K109" s="2"/>
      <c r="L109" s="2"/>
      <c r="M109" s="2"/>
      <c r="N109" s="2"/>
      <c r="O109" s="2"/>
      <c r="P109" s="2"/>
      <c r="Q109" s="2"/>
      <c r="R109" s="2"/>
      <c r="S109" s="2"/>
      <c r="T109" s="2"/>
      <c r="U109" s="2"/>
      <c r="V109" s="2"/>
      <c r="W109" s="2"/>
      <c r="X109" s="2"/>
      <c r="Y109" s="2"/>
      <c r="Z109" s="2" t="str">
        <f t="shared" si="8"/>
        <v/>
      </c>
      <c r="AA109" s="2" t="str">
        <f t="shared" si="9"/>
        <v/>
      </c>
      <c r="AB109" s="2" t="str">
        <f t="shared" si="10"/>
        <v/>
      </c>
      <c r="AC109" s="2" t="str">
        <f t="shared" si="11"/>
        <v>Walks with direction</v>
      </c>
      <c r="AD109" s="2"/>
      <c r="AE109" s="5"/>
      <c r="AF109" s="2"/>
      <c r="AG109" s="2"/>
      <c r="AH109" s="2"/>
      <c r="AI109" s="2"/>
    </row>
    <row r="110" spans="1:35">
      <c r="A110" s="2"/>
      <c r="B110" s="2"/>
      <c r="C110" s="2"/>
      <c r="D110" s="2"/>
      <c r="E110" s="5"/>
      <c r="F110" s="2"/>
      <c r="G110" s="5"/>
      <c r="H110" s="2"/>
      <c r="I110" s="2"/>
      <c r="J110" s="2"/>
      <c r="K110" s="2"/>
      <c r="L110" s="2"/>
      <c r="M110" s="2"/>
      <c r="N110" s="2"/>
      <c r="O110" s="2"/>
      <c r="P110" s="2"/>
      <c r="Q110" s="2"/>
      <c r="R110" s="2"/>
      <c r="S110" s="2"/>
      <c r="T110" s="2"/>
      <c r="U110" s="2"/>
      <c r="V110" s="2"/>
      <c r="W110" s="2"/>
      <c r="X110" s="2"/>
      <c r="Y110" s="2"/>
      <c r="Z110" s="2" t="str">
        <f t="shared" si="8"/>
        <v/>
      </c>
      <c r="AA110" s="2" t="str">
        <f t="shared" si="9"/>
        <v/>
      </c>
      <c r="AB110" s="2" t="str">
        <f t="shared" si="10"/>
        <v/>
      </c>
      <c r="AC110" s="2" t="str">
        <f t="shared" si="11"/>
        <v>Walks with direction</v>
      </c>
      <c r="AD110" s="2"/>
      <c r="AE110" s="5"/>
      <c r="AF110" s="2"/>
      <c r="AG110" s="2"/>
      <c r="AH110" s="2"/>
      <c r="AI110" s="2"/>
    </row>
    <row r="111" spans="1:35">
      <c r="A111" s="2"/>
      <c r="B111" s="2"/>
      <c r="C111" s="2"/>
      <c r="D111" s="2"/>
      <c r="E111" s="5"/>
      <c r="F111" s="2"/>
      <c r="G111" s="5"/>
      <c r="H111" s="2"/>
      <c r="I111" s="2"/>
      <c r="J111" s="2"/>
      <c r="K111" s="2"/>
      <c r="L111" s="2"/>
      <c r="M111" s="2"/>
      <c r="N111" s="2"/>
      <c r="O111" s="2"/>
      <c r="P111" s="2"/>
      <c r="Q111" s="2"/>
      <c r="R111" s="2"/>
      <c r="S111" s="2"/>
      <c r="T111" s="2"/>
      <c r="U111" s="2"/>
      <c r="V111" s="2"/>
      <c r="W111" s="2"/>
      <c r="X111" s="2"/>
      <c r="Y111" s="2"/>
      <c r="Z111" s="2" t="str">
        <f t="shared" si="8"/>
        <v/>
      </c>
      <c r="AA111" s="2" t="str">
        <f t="shared" si="9"/>
        <v/>
      </c>
      <c r="AB111" s="2" t="str">
        <f t="shared" si="10"/>
        <v/>
      </c>
      <c r="AC111" s="2" t="str">
        <f t="shared" si="11"/>
        <v>Walks with direction</v>
      </c>
      <c r="AD111" s="2"/>
      <c r="AE111" s="5"/>
      <c r="AF111" s="2"/>
      <c r="AG111" s="2"/>
      <c r="AH111" s="2"/>
      <c r="AI111" s="2"/>
    </row>
    <row r="112" spans="1:35">
      <c r="A112" s="2"/>
      <c r="B112" s="2"/>
      <c r="C112" s="2"/>
      <c r="D112" s="2"/>
      <c r="E112" s="5"/>
      <c r="F112" s="2"/>
      <c r="G112" s="5"/>
      <c r="H112" s="2"/>
      <c r="I112" s="2"/>
      <c r="J112" s="2"/>
      <c r="K112" s="2"/>
      <c r="L112" s="2"/>
      <c r="M112" s="2"/>
      <c r="N112" s="2"/>
      <c r="O112" s="2"/>
      <c r="P112" s="2"/>
      <c r="Q112" s="2"/>
      <c r="R112" s="2"/>
      <c r="S112" s="2"/>
      <c r="T112" s="2"/>
      <c r="U112" s="2"/>
      <c r="V112" s="2"/>
      <c r="W112" s="2"/>
      <c r="X112" s="2"/>
      <c r="Y112" s="2"/>
      <c r="Z112" s="2" t="str">
        <f t="shared" si="8"/>
        <v/>
      </c>
      <c r="AA112" s="2" t="str">
        <f t="shared" si="9"/>
        <v/>
      </c>
      <c r="AB112" s="2" t="str">
        <f t="shared" si="10"/>
        <v/>
      </c>
      <c r="AC112" s="2" t="str">
        <f t="shared" si="11"/>
        <v>Walks with direction</v>
      </c>
      <c r="AD112" s="2"/>
      <c r="AE112" s="5"/>
      <c r="AF112" s="2"/>
      <c r="AG112" s="2"/>
      <c r="AH112" s="2"/>
      <c r="AI112" s="2"/>
    </row>
    <row r="113" spans="1:35">
      <c r="A113" s="2"/>
      <c r="B113" s="2"/>
      <c r="C113" s="2"/>
      <c r="D113" s="2"/>
      <c r="E113" s="5"/>
      <c r="F113" s="2"/>
      <c r="G113" s="5"/>
      <c r="H113" s="2"/>
      <c r="I113" s="2"/>
      <c r="J113" s="2"/>
      <c r="K113" s="2"/>
      <c r="L113" s="2"/>
      <c r="M113" s="2"/>
      <c r="N113" s="2"/>
      <c r="O113" s="2"/>
      <c r="P113" s="2"/>
      <c r="Q113" s="2"/>
      <c r="R113" s="2"/>
      <c r="S113" s="2"/>
      <c r="T113" s="2"/>
      <c r="U113" s="2"/>
      <c r="V113" s="2"/>
      <c r="W113" s="2"/>
      <c r="X113" s="2"/>
      <c r="Y113" s="2"/>
      <c r="Z113" s="2" t="str">
        <f t="shared" si="8"/>
        <v/>
      </c>
      <c r="AA113" s="2" t="str">
        <f t="shared" si="9"/>
        <v/>
      </c>
      <c r="AB113" s="2" t="str">
        <f t="shared" si="10"/>
        <v/>
      </c>
      <c r="AC113" s="2" t="str">
        <f t="shared" si="11"/>
        <v>Walks with direction</v>
      </c>
      <c r="AD113" s="2"/>
      <c r="AE113" s="5"/>
      <c r="AF113" s="2"/>
      <c r="AG113" s="2"/>
      <c r="AH113" s="2"/>
      <c r="AI113" s="2"/>
    </row>
    <row r="114" spans="1:35">
      <c r="A114" s="2"/>
      <c r="B114" s="2"/>
      <c r="C114" s="2"/>
      <c r="D114" s="2"/>
      <c r="E114" s="5"/>
      <c r="F114" s="2"/>
      <c r="G114" s="5"/>
      <c r="H114" s="2"/>
      <c r="I114" s="2"/>
      <c r="J114" s="2"/>
      <c r="K114" s="2"/>
      <c r="L114" s="2"/>
      <c r="M114" s="2"/>
      <c r="N114" s="2"/>
      <c r="O114" s="2"/>
      <c r="P114" s="2"/>
      <c r="Q114" s="2"/>
      <c r="R114" s="2"/>
      <c r="S114" s="2"/>
      <c r="T114" s="2"/>
      <c r="U114" s="2"/>
      <c r="V114" s="2"/>
      <c r="W114" s="2"/>
      <c r="X114" s="2"/>
      <c r="Y114" s="2"/>
      <c r="Z114" s="2" t="str">
        <f t="shared" ref="Z114:Z145" si="12">IF(COUNTA(H114:Y114)=0,"",IF(COUNTIF(H114:Y114,"Very High")&gt;0,"Very High",IF(COUNTIF(H114:Y114,"High")&gt;0,"High",IF(COUNTIF(H114:Y114,"Medium")&gt;0,"Medium","Low"))))</f>
        <v/>
      </c>
      <c r="AA114" s="2" t="str">
        <f t="shared" ref="AA114:AA145" si="13">IF(Z114="","",IF(Z114="Low","Routine planned support",IF(Z114="Medium","One staff support/supervision likely",IF(Z114="High","Two staff/review staffing and equipment","Manager review: multiple staff/specialist support"))))</f>
        <v/>
      </c>
      <c r="AB114" s="2" t="str">
        <f t="shared" si="10"/>
        <v/>
      </c>
      <c r="AC114" s="2" t="str">
        <f t="shared" si="11"/>
        <v>Walks with direction</v>
      </c>
      <c r="AD114" s="2"/>
      <c r="AE114" s="5"/>
      <c r="AF114" s="2"/>
      <c r="AG114" s="2"/>
      <c r="AH114" s="2"/>
      <c r="AI114" s="2"/>
    </row>
    <row r="115" spans="1:35">
      <c r="A115" s="2"/>
      <c r="B115" s="2"/>
      <c r="C115" s="2"/>
      <c r="D115" s="2"/>
      <c r="E115" s="5"/>
      <c r="F115" s="2"/>
      <c r="G115" s="5"/>
      <c r="H115" s="2"/>
      <c r="I115" s="2"/>
      <c r="J115" s="2"/>
      <c r="K115" s="2"/>
      <c r="L115" s="2"/>
      <c r="M115" s="2"/>
      <c r="N115" s="2"/>
      <c r="O115" s="2"/>
      <c r="P115" s="2"/>
      <c r="Q115" s="2"/>
      <c r="R115" s="2"/>
      <c r="S115" s="2"/>
      <c r="T115" s="2"/>
      <c r="U115" s="2"/>
      <c r="V115" s="2"/>
      <c r="W115" s="2"/>
      <c r="X115" s="2"/>
      <c r="Y115" s="2"/>
      <c r="Z115" s="2" t="str">
        <f t="shared" si="12"/>
        <v/>
      </c>
      <c r="AA115" s="2" t="str">
        <f t="shared" si="13"/>
        <v/>
      </c>
      <c r="AB115" s="2" t="str">
        <f t="shared" si="10"/>
        <v/>
      </c>
      <c r="AC115" s="2" t="str">
        <f t="shared" si="11"/>
        <v>Walks with direction</v>
      </c>
      <c r="AD115" s="2"/>
      <c r="AE115" s="5"/>
      <c r="AF115" s="2"/>
      <c r="AG115" s="2"/>
      <c r="AH115" s="2"/>
      <c r="AI115" s="2"/>
    </row>
    <row r="116" spans="1:35">
      <c r="A116" s="2"/>
      <c r="B116" s="2"/>
      <c r="C116" s="2"/>
      <c r="D116" s="2"/>
      <c r="E116" s="5"/>
      <c r="F116" s="2"/>
      <c r="G116" s="5"/>
      <c r="H116" s="2"/>
      <c r="I116" s="2"/>
      <c r="J116" s="2"/>
      <c r="K116" s="2"/>
      <c r="L116" s="2"/>
      <c r="M116" s="2"/>
      <c r="N116" s="2"/>
      <c r="O116" s="2"/>
      <c r="P116" s="2"/>
      <c r="Q116" s="2"/>
      <c r="R116" s="2"/>
      <c r="S116" s="2"/>
      <c r="T116" s="2"/>
      <c r="U116" s="2"/>
      <c r="V116" s="2"/>
      <c r="W116" s="2"/>
      <c r="X116" s="2"/>
      <c r="Y116" s="2"/>
      <c r="Z116" s="2" t="str">
        <f t="shared" si="12"/>
        <v/>
      </c>
      <c r="AA116" s="2" t="str">
        <f t="shared" si="13"/>
        <v/>
      </c>
      <c r="AB116" s="2" t="str">
        <f t="shared" si="10"/>
        <v/>
      </c>
      <c r="AC116" s="2" t="str">
        <f t="shared" si="11"/>
        <v>Walks with direction</v>
      </c>
      <c r="AD116" s="2"/>
      <c r="AE116" s="5"/>
      <c r="AF116" s="2"/>
      <c r="AG116" s="2"/>
      <c r="AH116" s="2"/>
      <c r="AI116" s="2"/>
    </row>
    <row r="117" spans="1:35">
      <c r="A117" s="2"/>
      <c r="B117" s="2"/>
      <c r="C117" s="2"/>
      <c r="D117" s="2"/>
      <c r="E117" s="5"/>
      <c r="F117" s="2"/>
      <c r="G117" s="5"/>
      <c r="H117" s="2"/>
      <c r="I117" s="2"/>
      <c r="J117" s="2"/>
      <c r="K117" s="2"/>
      <c r="L117" s="2"/>
      <c r="M117" s="2"/>
      <c r="N117" s="2"/>
      <c r="O117" s="2"/>
      <c r="P117" s="2"/>
      <c r="Q117" s="2"/>
      <c r="R117" s="2"/>
      <c r="S117" s="2"/>
      <c r="T117" s="2"/>
      <c r="U117" s="2"/>
      <c r="V117" s="2"/>
      <c r="W117" s="2"/>
      <c r="X117" s="2"/>
      <c r="Y117" s="2"/>
      <c r="Z117" s="2" t="str">
        <f t="shared" si="12"/>
        <v/>
      </c>
      <c r="AA117" s="2" t="str">
        <f t="shared" si="13"/>
        <v/>
      </c>
      <c r="AB117" s="2" t="str">
        <f t="shared" si="10"/>
        <v/>
      </c>
      <c r="AC117" s="2" t="str">
        <f t="shared" si="11"/>
        <v>Walks with direction</v>
      </c>
      <c r="AD117" s="2"/>
      <c r="AE117" s="5"/>
      <c r="AF117" s="2"/>
      <c r="AG117" s="2"/>
      <c r="AH117" s="2"/>
      <c r="AI117" s="2"/>
    </row>
    <row r="122" spans="1:35">
      <c r="A122" s="9" t="s">
        <v>153</v>
      </c>
      <c r="B122" s="7"/>
      <c r="C122" s="7"/>
      <c r="D122" s="7"/>
      <c r="E122" s="7"/>
    </row>
    <row r="123" spans="1:35">
      <c r="A123" s="1" t="s">
        <v>154</v>
      </c>
      <c r="B123" s="1" t="s">
        <v>6</v>
      </c>
      <c r="C123" s="1" t="s">
        <v>12</v>
      </c>
      <c r="D123" s="1" t="s">
        <v>18</v>
      </c>
      <c r="E123" s="1" t="s">
        <v>23</v>
      </c>
    </row>
    <row r="124" spans="1:35" ht="42">
      <c r="A124" s="2" t="s">
        <v>124</v>
      </c>
      <c r="B124" s="2" t="s">
        <v>155</v>
      </c>
      <c r="C124" s="2" t="s">
        <v>156</v>
      </c>
      <c r="D124" s="2" t="s">
        <v>157</v>
      </c>
      <c r="E124" s="2" t="s">
        <v>158</v>
      </c>
    </row>
    <row r="125" spans="1:35" ht="28">
      <c r="A125" s="2" t="s">
        <v>125</v>
      </c>
      <c r="B125" s="2" t="s">
        <v>159</v>
      </c>
      <c r="C125" s="2" t="s">
        <v>160</v>
      </c>
      <c r="D125" s="2" t="s">
        <v>161</v>
      </c>
      <c r="E125" s="2" t="s">
        <v>162</v>
      </c>
    </row>
    <row r="126" spans="1:35" ht="28">
      <c r="A126" s="2" t="s">
        <v>126</v>
      </c>
      <c r="B126" s="2" t="s">
        <v>163</v>
      </c>
      <c r="C126" s="2" t="s">
        <v>164</v>
      </c>
      <c r="D126" s="2" t="s">
        <v>165</v>
      </c>
      <c r="E126" s="2" t="s">
        <v>166</v>
      </c>
    </row>
    <row r="127" spans="1:35" ht="42">
      <c r="A127" s="2" t="s">
        <v>127</v>
      </c>
      <c r="B127" s="2" t="s">
        <v>167</v>
      </c>
      <c r="C127" s="2" t="s">
        <v>168</v>
      </c>
      <c r="D127" s="2" t="s">
        <v>169</v>
      </c>
      <c r="E127" s="2" t="s">
        <v>170</v>
      </c>
    </row>
    <row r="128" spans="1:35" ht="42">
      <c r="A128" s="2" t="s">
        <v>128</v>
      </c>
      <c r="B128" s="2" t="s">
        <v>171</v>
      </c>
      <c r="C128" s="2" t="s">
        <v>172</v>
      </c>
      <c r="D128" s="2" t="s">
        <v>173</v>
      </c>
      <c r="E128" s="2" t="s">
        <v>174</v>
      </c>
    </row>
    <row r="129" spans="1:5" ht="42">
      <c r="A129" s="2" t="s">
        <v>129</v>
      </c>
      <c r="B129" s="2" t="s">
        <v>175</v>
      </c>
      <c r="C129" s="2" t="s">
        <v>176</v>
      </c>
      <c r="D129" s="2" t="s">
        <v>177</v>
      </c>
      <c r="E129" s="2" t="s">
        <v>178</v>
      </c>
    </row>
    <row r="130" spans="1:5" ht="42">
      <c r="A130" s="2" t="s">
        <v>130</v>
      </c>
      <c r="B130" s="2" t="s">
        <v>179</v>
      </c>
      <c r="C130" s="2" t="s">
        <v>180</v>
      </c>
      <c r="D130" s="2" t="s">
        <v>181</v>
      </c>
      <c r="E130" s="2" t="s">
        <v>182</v>
      </c>
    </row>
    <row r="131" spans="1:5" ht="42">
      <c r="A131" s="2" t="s">
        <v>131</v>
      </c>
      <c r="B131" s="2" t="s">
        <v>183</v>
      </c>
      <c r="C131" s="2" t="s">
        <v>184</v>
      </c>
      <c r="D131" s="2" t="s">
        <v>185</v>
      </c>
      <c r="E131" s="2" t="s">
        <v>186</v>
      </c>
    </row>
    <row r="132" spans="1:5" ht="28">
      <c r="A132" s="2" t="s">
        <v>132</v>
      </c>
      <c r="B132" s="2" t="s">
        <v>187</v>
      </c>
      <c r="C132" s="2" t="s">
        <v>188</v>
      </c>
      <c r="D132" s="2" t="s">
        <v>189</v>
      </c>
      <c r="E132" s="2" t="s">
        <v>190</v>
      </c>
    </row>
    <row r="133" spans="1:5" ht="42">
      <c r="A133" s="2" t="s">
        <v>133</v>
      </c>
      <c r="B133" s="2" t="s">
        <v>191</v>
      </c>
      <c r="C133" s="2" t="s">
        <v>192</v>
      </c>
      <c r="D133" s="2" t="s">
        <v>193</v>
      </c>
      <c r="E133" s="2" t="s">
        <v>194</v>
      </c>
    </row>
    <row r="134" spans="1:5" ht="28">
      <c r="A134" s="2" t="s">
        <v>134</v>
      </c>
      <c r="B134" s="2" t="s">
        <v>195</v>
      </c>
      <c r="C134" s="2" t="s">
        <v>196</v>
      </c>
      <c r="D134" s="2" t="s">
        <v>197</v>
      </c>
      <c r="E134" s="2" t="s">
        <v>198</v>
      </c>
    </row>
    <row r="135" spans="1:5" ht="42">
      <c r="A135" s="2" t="s">
        <v>135</v>
      </c>
      <c r="B135" s="2" t="s">
        <v>199</v>
      </c>
      <c r="C135" s="2" t="s">
        <v>200</v>
      </c>
      <c r="D135" s="2" t="s">
        <v>201</v>
      </c>
      <c r="E135" s="2" t="s">
        <v>202</v>
      </c>
    </row>
    <row r="136" spans="1:5" ht="42">
      <c r="A136" s="2" t="s">
        <v>136</v>
      </c>
      <c r="B136" s="2" t="s">
        <v>203</v>
      </c>
      <c r="C136" s="2" t="s">
        <v>204</v>
      </c>
      <c r="D136" s="2" t="s">
        <v>205</v>
      </c>
      <c r="E136" s="2" t="s">
        <v>206</v>
      </c>
    </row>
    <row r="137" spans="1:5" ht="42">
      <c r="A137" s="2" t="s">
        <v>137</v>
      </c>
      <c r="B137" s="2" t="s">
        <v>207</v>
      </c>
      <c r="C137" s="2" t="s">
        <v>208</v>
      </c>
      <c r="D137" s="2" t="s">
        <v>209</v>
      </c>
      <c r="E137" s="2" t="s">
        <v>210</v>
      </c>
    </row>
    <row r="138" spans="1:5" ht="28">
      <c r="A138" s="2" t="s">
        <v>138</v>
      </c>
      <c r="B138" s="2" t="s">
        <v>211</v>
      </c>
      <c r="C138" s="2" t="s">
        <v>212</v>
      </c>
      <c r="D138" s="2" t="s">
        <v>213</v>
      </c>
      <c r="E138" s="2" t="s">
        <v>214</v>
      </c>
    </row>
    <row r="139" spans="1:5" ht="42">
      <c r="A139" s="2" t="s">
        <v>139</v>
      </c>
      <c r="B139" s="2" t="s">
        <v>215</v>
      </c>
      <c r="C139" s="2" t="s">
        <v>216</v>
      </c>
      <c r="D139" s="2" t="s">
        <v>217</v>
      </c>
      <c r="E139" s="2" t="s">
        <v>218</v>
      </c>
    </row>
    <row r="140" spans="1:5" ht="42">
      <c r="A140" s="2" t="s">
        <v>140</v>
      </c>
      <c r="B140" s="2" t="s">
        <v>219</v>
      </c>
      <c r="C140" s="2" t="s">
        <v>220</v>
      </c>
      <c r="D140" s="2" t="s">
        <v>221</v>
      </c>
      <c r="E140" s="2" t="s">
        <v>222</v>
      </c>
    </row>
    <row r="141" spans="1:5" ht="42">
      <c r="A141" s="2" t="s">
        <v>141</v>
      </c>
      <c r="B141" s="2" t="s">
        <v>223</v>
      </c>
      <c r="C141" s="2" t="s">
        <v>224</v>
      </c>
      <c r="D141" s="2" t="s">
        <v>225</v>
      </c>
      <c r="E141" s="2" t="s">
        <v>226</v>
      </c>
    </row>
  </sheetData>
  <mergeCells count="4">
    <mergeCell ref="A1:AI1"/>
    <mergeCell ref="A2:AI2"/>
    <mergeCell ref="D4:H4"/>
    <mergeCell ref="A122:E122"/>
  </mergeCells>
  <conditionalFormatting sqref="Z18:Z117">
    <cfRule type="expression" dxfId="27" priority="1">
      <formula>Z18="Very High"</formula>
    </cfRule>
    <cfRule type="expression" dxfId="26" priority="2">
      <formula>Z18="High"</formula>
    </cfRule>
    <cfRule type="expression" dxfId="25" priority="3">
      <formula>Z18="Medium"</formula>
    </cfRule>
    <cfRule type="expression" dxfId="24" priority="4">
      <formula>Z18="Low"</formula>
    </cfRule>
  </conditionalFormatting>
  <dataValidations count="4">
    <dataValidation type="list" sqref="B7" xr:uid="{00000000-0002-0000-1700-000000000000}">
      <formula1>"Yes,No"</formula1>
    </dataValidation>
    <dataValidation type="list" sqref="C18:C117" xr:uid="{00000000-0002-0000-1700-000001000000}">
      <formula1>"Ground,First,N/A"</formula1>
    </dataValidation>
    <dataValidation type="list" sqref="H18:Y117" xr:uid="{00000000-0002-0000-1700-000002000000}">
      <formula1>"Low,Medium,High,Very High"</formula1>
    </dataValidation>
    <dataValidation type="list" sqref="AD18:AD117 AG18:AI117" xr:uid="{00000000-0002-0000-1700-000003000000}">
      <formula1>"Yes,No,N/A"</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60"/>
  <sheetViews>
    <sheetView workbookViewId="0"/>
  </sheetViews>
  <sheetFormatPr defaultRowHeight="14"/>
  <cols>
    <col min="1" max="9" width="18" customWidth="1"/>
  </cols>
  <sheetData>
    <row r="1" spans="1:9" ht="20">
      <c r="A1" s="6" t="s">
        <v>351</v>
      </c>
      <c r="B1" s="7"/>
      <c r="C1" s="7"/>
      <c r="D1" s="7"/>
      <c r="E1" s="7"/>
      <c r="F1" s="7"/>
      <c r="G1" s="7"/>
      <c r="H1" s="7"/>
      <c r="I1" s="7"/>
    </row>
    <row r="2" spans="1:9" ht="14.5">
      <c r="A2" s="8" t="s">
        <v>228</v>
      </c>
      <c r="B2" s="7"/>
      <c r="C2" s="7"/>
      <c r="D2" s="7"/>
      <c r="E2" s="7"/>
      <c r="F2" s="7"/>
      <c r="G2" s="7"/>
      <c r="H2" s="7"/>
      <c r="I2" s="7"/>
    </row>
    <row r="4" spans="1:9">
      <c r="A4" s="3" t="s">
        <v>107</v>
      </c>
      <c r="B4" t="s">
        <v>350</v>
      </c>
    </row>
    <row r="5" spans="1:9">
      <c r="A5" s="3" t="s">
        <v>110</v>
      </c>
    </row>
    <row r="6" spans="1:9">
      <c r="A6" s="3" t="s">
        <v>229</v>
      </c>
    </row>
    <row r="7" spans="1:9">
      <c r="A7" s="3" t="s">
        <v>230</v>
      </c>
    </row>
    <row r="8" spans="1:9">
      <c r="A8" s="3" t="s">
        <v>231</v>
      </c>
      <c r="B8">
        <f>COUNTA(A14:A60)</f>
        <v>28</v>
      </c>
    </row>
    <row r="9" spans="1:9">
      <c r="A9" s="3" t="s">
        <v>232</v>
      </c>
      <c r="B9">
        <f>COUNTIF(H14:H60,"FAIL")</f>
        <v>28</v>
      </c>
    </row>
    <row r="10" spans="1:9">
      <c r="A10" s="3" t="s">
        <v>46</v>
      </c>
      <c r="B10" t="str">
        <f>IF(AND(B7="Yes",B9=0),"Complete","Incomplete")</f>
        <v>Incomplete</v>
      </c>
    </row>
    <row r="13" spans="1:9" ht="28">
      <c r="A13" s="1" t="s">
        <v>233</v>
      </c>
      <c r="B13" s="1" t="s">
        <v>234</v>
      </c>
      <c r="C13" s="1" t="s">
        <v>235</v>
      </c>
      <c r="D13" s="1" t="s">
        <v>236</v>
      </c>
      <c r="E13" s="1" t="s">
        <v>237</v>
      </c>
      <c r="F13" s="1" t="s">
        <v>238</v>
      </c>
      <c r="G13" s="1" t="s">
        <v>239</v>
      </c>
      <c r="H13" s="1" t="s">
        <v>240</v>
      </c>
      <c r="I13" s="1" t="s">
        <v>241</v>
      </c>
    </row>
    <row r="14" spans="1:9" ht="42">
      <c r="A14" s="2" t="s">
        <v>242</v>
      </c>
      <c r="B14" s="2">
        <v>1</v>
      </c>
      <c r="C14" s="2"/>
      <c r="D14" s="2" t="s">
        <v>243</v>
      </c>
      <c r="E14" s="2"/>
      <c r="F14" s="2"/>
      <c r="G14" s="2"/>
      <c r="H14" s="2" t="str">
        <f t="shared" ref="H14:H41" si="0">IF(OR(F14="No",C14&lt;B14),"FAIL","PASS")</f>
        <v>FAIL</v>
      </c>
      <c r="I14" s="2"/>
    </row>
    <row r="15" spans="1:9">
      <c r="A15" s="2" t="s">
        <v>244</v>
      </c>
      <c r="B15" s="2">
        <v>1</v>
      </c>
      <c r="C15" s="2"/>
      <c r="D15" s="2" t="s">
        <v>245</v>
      </c>
      <c r="E15" s="2"/>
      <c r="F15" s="2"/>
      <c r="G15" s="2"/>
      <c r="H15" s="2" t="str">
        <f t="shared" si="0"/>
        <v>FAIL</v>
      </c>
      <c r="I15" s="2"/>
    </row>
    <row r="16" spans="1:9" ht="28">
      <c r="A16" s="2" t="s">
        <v>246</v>
      </c>
      <c r="B16" s="2">
        <v>1</v>
      </c>
      <c r="C16" s="2"/>
      <c r="D16" s="2" t="s">
        <v>247</v>
      </c>
      <c r="E16" s="2"/>
      <c r="F16" s="2"/>
      <c r="G16" s="2"/>
      <c r="H16" s="2" t="str">
        <f t="shared" si="0"/>
        <v>FAIL</v>
      </c>
      <c r="I16" s="2"/>
    </row>
    <row r="17" spans="1:9" ht="28">
      <c r="A17" s="2" t="s">
        <v>248</v>
      </c>
      <c r="B17" s="2">
        <v>1</v>
      </c>
      <c r="C17" s="2"/>
      <c r="D17" s="2" t="s">
        <v>249</v>
      </c>
      <c r="E17" s="2"/>
      <c r="F17" s="2"/>
      <c r="G17" s="2"/>
      <c r="H17" s="2" t="str">
        <f t="shared" si="0"/>
        <v>FAIL</v>
      </c>
      <c r="I17" s="2"/>
    </row>
    <row r="18" spans="1:9" ht="28">
      <c r="A18" s="2" t="s">
        <v>250</v>
      </c>
      <c r="B18" s="2">
        <v>2</v>
      </c>
      <c r="C18" s="2"/>
      <c r="D18" s="2" t="s">
        <v>251</v>
      </c>
      <c r="E18" s="2"/>
      <c r="F18" s="2"/>
      <c r="G18" s="2"/>
      <c r="H18" s="2" t="str">
        <f t="shared" si="0"/>
        <v>FAIL</v>
      </c>
      <c r="I18" s="2"/>
    </row>
    <row r="19" spans="1:9" ht="28">
      <c r="A19" s="2" t="s">
        <v>252</v>
      </c>
      <c r="B19" s="2">
        <v>1</v>
      </c>
      <c r="C19" s="2"/>
      <c r="D19" s="2" t="s">
        <v>253</v>
      </c>
      <c r="E19" s="2"/>
      <c r="F19" s="2"/>
      <c r="G19" s="2"/>
      <c r="H19" s="2" t="str">
        <f t="shared" si="0"/>
        <v>FAIL</v>
      </c>
      <c r="I19" s="2"/>
    </row>
    <row r="20" spans="1:9" ht="42">
      <c r="A20" s="2" t="s">
        <v>254</v>
      </c>
      <c r="B20" s="2">
        <v>1</v>
      </c>
      <c r="C20" s="2"/>
      <c r="D20" s="2" t="s">
        <v>255</v>
      </c>
      <c r="E20" s="2"/>
      <c r="F20" s="2"/>
      <c r="G20" s="2"/>
      <c r="H20" s="2" t="str">
        <f t="shared" si="0"/>
        <v>FAIL</v>
      </c>
      <c r="I20" s="2"/>
    </row>
    <row r="21" spans="1:9">
      <c r="A21" s="2" t="s">
        <v>256</v>
      </c>
      <c r="B21" s="2">
        <v>2</v>
      </c>
      <c r="C21" s="2"/>
      <c r="D21" s="2" t="s">
        <v>257</v>
      </c>
      <c r="E21" s="2"/>
      <c r="F21" s="2"/>
      <c r="G21" s="2"/>
      <c r="H21" s="2" t="str">
        <f t="shared" si="0"/>
        <v>FAIL</v>
      </c>
      <c r="I21" s="2"/>
    </row>
    <row r="22" spans="1:9" ht="28">
      <c r="A22" s="2" t="s">
        <v>258</v>
      </c>
      <c r="B22" s="2">
        <v>1</v>
      </c>
      <c r="C22" s="2"/>
      <c r="D22" s="2" t="s">
        <v>259</v>
      </c>
      <c r="E22" s="2"/>
      <c r="F22" s="2"/>
      <c r="G22" s="2"/>
      <c r="H22" s="2" t="str">
        <f t="shared" si="0"/>
        <v>FAIL</v>
      </c>
      <c r="I22" s="2"/>
    </row>
    <row r="23" spans="1:9" ht="28">
      <c r="A23" s="2" t="s">
        <v>260</v>
      </c>
      <c r="B23" s="2">
        <v>2</v>
      </c>
      <c r="C23" s="2"/>
      <c r="D23" s="2" t="s">
        <v>261</v>
      </c>
      <c r="E23" s="2"/>
      <c r="F23" s="2"/>
      <c r="G23" s="2"/>
      <c r="H23" s="2" t="str">
        <f t="shared" si="0"/>
        <v>FAIL</v>
      </c>
      <c r="I23" s="2"/>
    </row>
    <row r="24" spans="1:9">
      <c r="A24" s="2" t="s">
        <v>262</v>
      </c>
      <c r="B24" s="2">
        <v>2</v>
      </c>
      <c r="C24" s="2"/>
      <c r="D24" s="2" t="s">
        <v>263</v>
      </c>
      <c r="E24" s="2"/>
      <c r="F24" s="2"/>
      <c r="G24" s="2"/>
      <c r="H24" s="2" t="str">
        <f t="shared" si="0"/>
        <v>FAIL</v>
      </c>
      <c r="I24" s="2"/>
    </row>
    <row r="25" spans="1:9" ht="28">
      <c r="A25" s="2" t="s">
        <v>264</v>
      </c>
      <c r="B25" s="2">
        <v>2</v>
      </c>
      <c r="C25" s="2"/>
      <c r="D25" s="2" t="s">
        <v>265</v>
      </c>
      <c r="E25" s="2"/>
      <c r="F25" s="2"/>
      <c r="G25" s="2"/>
      <c r="H25" s="2" t="str">
        <f t="shared" si="0"/>
        <v>FAIL</v>
      </c>
      <c r="I25" s="2"/>
    </row>
    <row r="26" spans="1:9">
      <c r="A26" s="2" t="s">
        <v>266</v>
      </c>
      <c r="B26" s="2">
        <v>2</v>
      </c>
      <c r="C26" s="2"/>
      <c r="D26" s="2" t="s">
        <v>265</v>
      </c>
      <c r="E26" s="2"/>
      <c r="F26" s="2"/>
      <c r="G26" s="2"/>
      <c r="H26" s="2" t="str">
        <f t="shared" si="0"/>
        <v>FAIL</v>
      </c>
      <c r="I26" s="2"/>
    </row>
    <row r="27" spans="1:9">
      <c r="A27" s="2" t="s">
        <v>267</v>
      </c>
      <c r="B27" s="2">
        <v>8</v>
      </c>
      <c r="C27" s="2"/>
      <c r="D27" s="2" t="s">
        <v>268</v>
      </c>
      <c r="E27" s="2"/>
      <c r="F27" s="2"/>
      <c r="G27" s="2"/>
      <c r="H27" s="2" t="str">
        <f t="shared" si="0"/>
        <v>FAIL</v>
      </c>
      <c r="I27" s="2"/>
    </row>
    <row r="28" spans="1:9">
      <c r="A28" s="2" t="s">
        <v>269</v>
      </c>
      <c r="B28" s="2">
        <v>4</v>
      </c>
      <c r="C28" s="2"/>
      <c r="D28" s="2" t="s">
        <v>270</v>
      </c>
      <c r="E28" s="2"/>
      <c r="F28" s="2"/>
      <c r="G28" s="2"/>
      <c r="H28" s="2" t="str">
        <f t="shared" si="0"/>
        <v>FAIL</v>
      </c>
      <c r="I28" s="2"/>
    </row>
    <row r="29" spans="1:9" ht="28">
      <c r="A29" s="2" t="s">
        <v>271</v>
      </c>
      <c r="B29" s="2">
        <v>20</v>
      </c>
      <c r="C29" s="2"/>
      <c r="D29" s="2" t="s">
        <v>272</v>
      </c>
      <c r="E29" s="2"/>
      <c r="F29" s="2"/>
      <c r="G29" s="2"/>
      <c r="H29" s="2" t="str">
        <f t="shared" si="0"/>
        <v>FAIL</v>
      </c>
      <c r="I29" s="2"/>
    </row>
    <row r="30" spans="1:9">
      <c r="A30" s="2" t="s">
        <v>273</v>
      </c>
      <c r="B30" s="2">
        <v>2</v>
      </c>
      <c r="C30" s="2"/>
      <c r="D30" s="2" t="s">
        <v>265</v>
      </c>
      <c r="E30" s="2"/>
      <c r="F30" s="2"/>
      <c r="G30" s="2"/>
      <c r="H30" s="2" t="str">
        <f t="shared" si="0"/>
        <v>FAIL</v>
      </c>
      <c r="I30" s="2"/>
    </row>
    <row r="31" spans="1:9">
      <c r="A31" s="2" t="s">
        <v>274</v>
      </c>
      <c r="B31" s="2">
        <v>1</v>
      </c>
      <c r="C31" s="2"/>
      <c r="D31" s="2" t="s">
        <v>275</v>
      </c>
      <c r="E31" s="2"/>
      <c r="F31" s="2"/>
      <c r="G31" s="2"/>
      <c r="H31" s="2" t="str">
        <f t="shared" si="0"/>
        <v>FAIL</v>
      </c>
      <c r="I31" s="2"/>
    </row>
    <row r="32" spans="1:9">
      <c r="A32" s="2" t="s">
        <v>276</v>
      </c>
      <c r="B32" s="2">
        <v>5</v>
      </c>
      <c r="C32" s="2"/>
      <c r="D32" s="2" t="s">
        <v>265</v>
      </c>
      <c r="E32" s="2"/>
      <c r="F32" s="2"/>
      <c r="G32" s="2"/>
      <c r="H32" s="2" t="str">
        <f t="shared" si="0"/>
        <v>FAIL</v>
      </c>
      <c r="I32" s="2"/>
    </row>
    <row r="33" spans="1:9">
      <c r="A33" s="2" t="s">
        <v>277</v>
      </c>
      <c r="B33" s="2">
        <v>2</v>
      </c>
      <c r="C33" s="2"/>
      <c r="D33" s="2" t="s">
        <v>265</v>
      </c>
      <c r="E33" s="2"/>
      <c r="F33" s="2"/>
      <c r="G33" s="2"/>
      <c r="H33" s="2" t="str">
        <f t="shared" si="0"/>
        <v>FAIL</v>
      </c>
      <c r="I33" s="2"/>
    </row>
    <row r="34" spans="1:9" ht="28">
      <c r="A34" s="2" t="s">
        <v>278</v>
      </c>
      <c r="B34" s="2">
        <v>20</v>
      </c>
      <c r="C34" s="2"/>
      <c r="D34" s="2" t="s">
        <v>270</v>
      </c>
      <c r="E34" s="2"/>
      <c r="F34" s="2"/>
      <c r="G34" s="2"/>
      <c r="H34" s="2" t="str">
        <f t="shared" si="0"/>
        <v>FAIL</v>
      </c>
      <c r="I34" s="2"/>
    </row>
    <row r="35" spans="1:9">
      <c r="A35" s="2" t="s">
        <v>279</v>
      </c>
      <c r="B35" s="2">
        <v>20</v>
      </c>
      <c r="C35" s="2"/>
      <c r="D35" s="2" t="s">
        <v>270</v>
      </c>
      <c r="E35" s="2"/>
      <c r="F35" s="2"/>
      <c r="G35" s="2"/>
      <c r="H35" s="2" t="str">
        <f t="shared" si="0"/>
        <v>FAIL</v>
      </c>
      <c r="I35" s="2"/>
    </row>
    <row r="36" spans="1:9" ht="28">
      <c r="A36" s="2" t="s">
        <v>280</v>
      </c>
      <c r="B36" s="2">
        <v>1</v>
      </c>
      <c r="C36" s="2"/>
      <c r="D36" s="2" t="s">
        <v>281</v>
      </c>
      <c r="E36" s="2"/>
      <c r="F36" s="2"/>
      <c r="G36" s="2"/>
      <c r="H36" s="2" t="str">
        <f t="shared" si="0"/>
        <v>FAIL</v>
      </c>
      <c r="I36" s="2"/>
    </row>
    <row r="37" spans="1:9" ht="28">
      <c r="A37" s="2" t="s">
        <v>282</v>
      </c>
      <c r="B37" s="2">
        <v>1</v>
      </c>
      <c r="C37" s="2"/>
      <c r="D37" s="2" t="s">
        <v>281</v>
      </c>
      <c r="E37" s="2"/>
      <c r="F37" s="2"/>
      <c r="G37" s="2"/>
      <c r="H37" s="2" t="str">
        <f t="shared" si="0"/>
        <v>FAIL</v>
      </c>
      <c r="I37" s="2"/>
    </row>
    <row r="38" spans="1:9" ht="28">
      <c r="A38" s="2" t="s">
        <v>283</v>
      </c>
      <c r="B38" s="2">
        <v>1</v>
      </c>
      <c r="C38" s="2"/>
      <c r="D38" s="2" t="s">
        <v>281</v>
      </c>
      <c r="E38" s="2"/>
      <c r="F38" s="2"/>
      <c r="G38" s="2"/>
      <c r="H38" s="2" t="str">
        <f t="shared" si="0"/>
        <v>FAIL</v>
      </c>
      <c r="I38" s="2"/>
    </row>
    <row r="39" spans="1:9" ht="28">
      <c r="A39" s="2" t="s">
        <v>284</v>
      </c>
      <c r="B39" s="2">
        <v>1</v>
      </c>
      <c r="C39" s="2"/>
      <c r="D39" s="2" t="s">
        <v>285</v>
      </c>
      <c r="E39" s="2"/>
      <c r="F39" s="2"/>
      <c r="G39" s="2"/>
      <c r="H39" s="2" t="str">
        <f t="shared" si="0"/>
        <v>FAIL</v>
      </c>
      <c r="I39" s="2"/>
    </row>
    <row r="40" spans="1:9" ht="28">
      <c r="A40" s="2" t="s">
        <v>286</v>
      </c>
      <c r="B40" s="2">
        <v>1</v>
      </c>
      <c r="C40" s="2"/>
      <c r="D40" s="2" t="s">
        <v>287</v>
      </c>
      <c r="E40" s="2"/>
      <c r="F40" s="2"/>
      <c r="G40" s="2"/>
      <c r="H40" s="2" t="str">
        <f t="shared" si="0"/>
        <v>FAIL</v>
      </c>
      <c r="I40" s="2"/>
    </row>
    <row r="41" spans="1:9" ht="28">
      <c r="A41" s="2" t="s">
        <v>288</v>
      </c>
      <c r="B41" s="2">
        <v>1</v>
      </c>
      <c r="C41" s="2"/>
      <c r="D41" s="2" t="s">
        <v>281</v>
      </c>
      <c r="E41" s="2"/>
      <c r="F41" s="2"/>
      <c r="G41" s="2"/>
      <c r="H41" s="2" t="str">
        <f t="shared" si="0"/>
        <v>FAIL</v>
      </c>
      <c r="I41" s="2"/>
    </row>
    <row r="42" spans="1:9">
      <c r="A42" s="2"/>
      <c r="B42" s="2"/>
      <c r="C42" s="2"/>
      <c r="D42" s="2"/>
      <c r="E42" s="2"/>
      <c r="F42" s="2"/>
      <c r="G42" s="2"/>
      <c r="H42" s="2"/>
      <c r="I42" s="2"/>
    </row>
    <row r="43" spans="1:9">
      <c r="A43" s="2"/>
      <c r="B43" s="2"/>
      <c r="C43" s="2"/>
      <c r="D43" s="2"/>
      <c r="E43" s="2"/>
      <c r="F43" s="2"/>
      <c r="G43" s="2"/>
      <c r="H43" s="2"/>
      <c r="I43" s="2"/>
    </row>
    <row r="44" spans="1:9">
      <c r="A44" s="2"/>
      <c r="B44" s="2"/>
      <c r="C44" s="2"/>
      <c r="D44" s="2"/>
      <c r="E44" s="2"/>
      <c r="F44" s="2"/>
      <c r="G44" s="2"/>
      <c r="H44" s="2"/>
      <c r="I44" s="2"/>
    </row>
    <row r="45" spans="1:9">
      <c r="A45" s="2"/>
      <c r="B45" s="2"/>
      <c r="C45" s="2"/>
      <c r="D45" s="2"/>
      <c r="E45" s="2"/>
      <c r="F45" s="2"/>
      <c r="G45" s="2"/>
      <c r="H45" s="2"/>
      <c r="I45" s="2"/>
    </row>
    <row r="46" spans="1:9">
      <c r="A46" s="2"/>
      <c r="B46" s="2"/>
      <c r="C46" s="2"/>
      <c r="D46" s="2"/>
      <c r="E46" s="2"/>
      <c r="F46" s="2"/>
      <c r="G46" s="2"/>
      <c r="H46" s="2"/>
      <c r="I46" s="2"/>
    </row>
    <row r="47" spans="1:9">
      <c r="A47" s="2"/>
      <c r="B47" s="2"/>
      <c r="C47" s="2"/>
      <c r="D47" s="2"/>
      <c r="E47" s="2"/>
      <c r="F47" s="2"/>
      <c r="G47" s="2"/>
      <c r="H47" s="2"/>
      <c r="I47" s="2"/>
    </row>
    <row r="48" spans="1:9">
      <c r="A48" s="2"/>
      <c r="B48" s="2"/>
      <c r="C48" s="2"/>
      <c r="D48" s="2"/>
      <c r="E48" s="2"/>
      <c r="F48" s="2"/>
      <c r="G48" s="2"/>
      <c r="H48" s="2"/>
      <c r="I48" s="2"/>
    </row>
    <row r="49" spans="1:9">
      <c r="A49" s="2"/>
      <c r="B49" s="2"/>
      <c r="C49" s="2"/>
      <c r="D49" s="2"/>
      <c r="E49" s="2"/>
      <c r="F49" s="2"/>
      <c r="G49" s="2"/>
      <c r="H49" s="2"/>
      <c r="I49" s="2"/>
    </row>
    <row r="50" spans="1:9">
      <c r="A50" s="2"/>
      <c r="B50" s="2"/>
      <c r="C50" s="2"/>
      <c r="D50" s="2"/>
      <c r="E50" s="2"/>
      <c r="F50" s="2"/>
      <c r="G50" s="2"/>
      <c r="H50" s="2"/>
      <c r="I50" s="2"/>
    </row>
    <row r="51" spans="1:9">
      <c r="A51" s="2"/>
      <c r="B51" s="2"/>
      <c r="C51" s="2"/>
      <c r="D51" s="2"/>
      <c r="E51" s="2"/>
      <c r="F51" s="2"/>
      <c r="G51" s="2"/>
      <c r="H51" s="2"/>
      <c r="I51" s="2"/>
    </row>
    <row r="52" spans="1:9">
      <c r="A52" s="2"/>
      <c r="B52" s="2"/>
      <c r="C52" s="2"/>
      <c r="D52" s="2"/>
      <c r="E52" s="2"/>
      <c r="F52" s="2"/>
      <c r="G52" s="2"/>
      <c r="H52" s="2"/>
      <c r="I52" s="2"/>
    </row>
    <row r="53" spans="1:9">
      <c r="A53" s="2"/>
      <c r="B53" s="2"/>
      <c r="C53" s="2"/>
      <c r="D53" s="2"/>
      <c r="E53" s="2"/>
      <c r="F53" s="2"/>
      <c r="G53" s="2"/>
      <c r="H53" s="2"/>
      <c r="I53" s="2"/>
    </row>
    <row r="54" spans="1:9">
      <c r="A54" s="2"/>
      <c r="B54" s="2"/>
      <c r="C54" s="2"/>
      <c r="D54" s="2"/>
      <c r="E54" s="2"/>
      <c r="F54" s="2"/>
      <c r="G54" s="2"/>
      <c r="H54" s="2"/>
      <c r="I54" s="2"/>
    </row>
    <row r="55" spans="1:9">
      <c r="A55" s="2"/>
      <c r="B55" s="2"/>
      <c r="C55" s="2"/>
      <c r="D55" s="2"/>
      <c r="E55" s="2"/>
      <c r="F55" s="2"/>
      <c r="G55" s="2"/>
      <c r="H55" s="2"/>
      <c r="I55" s="2"/>
    </row>
    <row r="56" spans="1:9">
      <c r="A56" s="2"/>
      <c r="B56" s="2"/>
      <c r="C56" s="2"/>
      <c r="D56" s="2"/>
      <c r="E56" s="2"/>
      <c r="F56" s="2"/>
      <c r="G56" s="2"/>
      <c r="H56" s="2"/>
      <c r="I56" s="2"/>
    </row>
    <row r="57" spans="1:9">
      <c r="A57" s="2"/>
      <c r="B57" s="2"/>
      <c r="C57" s="2"/>
      <c r="D57" s="2"/>
      <c r="E57" s="2"/>
      <c r="F57" s="2"/>
      <c r="G57" s="2"/>
      <c r="H57" s="2"/>
      <c r="I57" s="2"/>
    </row>
    <row r="58" spans="1:9">
      <c r="A58" s="2"/>
      <c r="B58" s="2"/>
      <c r="C58" s="2"/>
      <c r="D58" s="2"/>
      <c r="E58" s="2"/>
      <c r="F58" s="2"/>
      <c r="G58" s="2"/>
      <c r="H58" s="2"/>
      <c r="I58" s="2"/>
    </row>
    <row r="59" spans="1:9">
      <c r="A59" s="2"/>
      <c r="B59" s="2"/>
      <c r="C59" s="2"/>
      <c r="D59" s="2"/>
      <c r="E59" s="2"/>
      <c r="F59" s="2"/>
      <c r="G59" s="2"/>
      <c r="H59" s="2"/>
      <c r="I59" s="2"/>
    </row>
    <row r="60" spans="1:9">
      <c r="A60" s="2"/>
      <c r="B60" s="2"/>
      <c r="C60" s="2"/>
      <c r="D60" s="2"/>
      <c r="E60" s="2"/>
      <c r="F60" s="2"/>
      <c r="G60" s="2"/>
      <c r="H60" s="2"/>
      <c r="I60" s="2"/>
    </row>
  </sheetData>
  <mergeCells count="2">
    <mergeCell ref="A1:I1"/>
    <mergeCell ref="A2:I2"/>
  </mergeCells>
  <dataValidations count="2">
    <dataValidation type="list" sqref="B7" xr:uid="{00000000-0002-0000-1800-000000000000}">
      <formula1>"Yes,No"</formula1>
    </dataValidation>
    <dataValidation type="list" sqref="F14:F41" xr:uid="{00000000-0002-0000-1800-000001000000}">
      <formula1>"Yes,No,N/A"</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60"/>
  <sheetViews>
    <sheetView workbookViewId="0"/>
  </sheetViews>
  <sheetFormatPr defaultRowHeight="14"/>
  <cols>
    <col min="1" max="8" width="18" customWidth="1"/>
  </cols>
  <sheetData>
    <row r="1" spans="1:8" ht="20">
      <c r="A1" s="6" t="s">
        <v>352</v>
      </c>
      <c r="B1" s="7"/>
      <c r="C1" s="7"/>
      <c r="D1" s="7"/>
      <c r="E1" s="7"/>
      <c r="F1" s="7"/>
      <c r="G1" s="7"/>
      <c r="H1" s="7"/>
    </row>
    <row r="2" spans="1:8" ht="14.5">
      <c r="A2" s="8" t="s">
        <v>290</v>
      </c>
      <c r="B2" s="7"/>
      <c r="C2" s="7"/>
      <c r="D2" s="7"/>
      <c r="E2" s="7"/>
      <c r="F2" s="7"/>
      <c r="G2" s="7"/>
      <c r="H2" s="7"/>
    </row>
    <row r="4" spans="1:8">
      <c r="A4" s="3" t="s">
        <v>107</v>
      </c>
      <c r="B4" t="s">
        <v>350</v>
      </c>
    </row>
    <row r="5" spans="1:8">
      <c r="A5" s="3" t="s">
        <v>110</v>
      </c>
    </row>
    <row r="6" spans="1:8">
      <c r="A6" s="3" t="s">
        <v>229</v>
      </c>
    </row>
    <row r="7" spans="1:8">
      <c r="A7" s="3" t="s">
        <v>230</v>
      </c>
    </row>
    <row r="8" spans="1:8">
      <c r="A8" s="3" t="s">
        <v>291</v>
      </c>
      <c r="B8">
        <f>COUNTA(A14:A60)</f>
        <v>22</v>
      </c>
    </row>
    <row r="9" spans="1:8">
      <c r="A9" s="3" t="s">
        <v>292</v>
      </c>
      <c r="B9">
        <f>COUNTIF(G14:G60,"FAIL")</f>
        <v>22</v>
      </c>
    </row>
    <row r="10" spans="1:8">
      <c r="A10" s="3" t="s">
        <v>46</v>
      </c>
      <c r="B10" t="str">
        <f>IF(AND(B7="Yes",B9=0),"Complete","Incomplete")</f>
        <v>Incomplete</v>
      </c>
    </row>
    <row r="13" spans="1:8">
      <c r="A13" s="1" t="s">
        <v>233</v>
      </c>
      <c r="B13" s="1" t="s">
        <v>234</v>
      </c>
      <c r="C13" s="1" t="s">
        <v>235</v>
      </c>
      <c r="D13" s="1" t="s">
        <v>293</v>
      </c>
      <c r="E13" s="1" t="s">
        <v>294</v>
      </c>
      <c r="F13" s="1" t="s">
        <v>239</v>
      </c>
      <c r="G13" s="1" t="s">
        <v>240</v>
      </c>
      <c r="H13" s="1" t="s">
        <v>241</v>
      </c>
    </row>
    <row r="14" spans="1:8" ht="28">
      <c r="A14" s="2" t="s">
        <v>295</v>
      </c>
      <c r="B14" s="2">
        <v>6</v>
      </c>
      <c r="C14" s="2"/>
      <c r="D14" s="2"/>
      <c r="E14" s="2"/>
      <c r="F14" s="2"/>
      <c r="G14" s="2" t="str">
        <f t="shared" ref="G14:G35" si="0">IF(OR(C14&lt;B14,E14="No"),"FAIL","PASS")</f>
        <v>FAIL</v>
      </c>
      <c r="H14" s="2"/>
    </row>
    <row r="15" spans="1:8" ht="28">
      <c r="A15" s="2" t="s">
        <v>296</v>
      </c>
      <c r="B15" s="2">
        <v>8</v>
      </c>
      <c r="C15" s="2"/>
      <c r="D15" s="2"/>
      <c r="E15" s="2"/>
      <c r="F15" s="2"/>
      <c r="G15" s="2" t="str">
        <f t="shared" si="0"/>
        <v>FAIL</v>
      </c>
      <c r="H15" s="2"/>
    </row>
    <row r="16" spans="1:8" ht="28">
      <c r="A16" s="2" t="s">
        <v>297</v>
      </c>
      <c r="B16" s="2">
        <v>10</v>
      </c>
      <c r="C16" s="2"/>
      <c r="D16" s="2"/>
      <c r="E16" s="2"/>
      <c r="F16" s="2"/>
      <c r="G16" s="2" t="str">
        <f t="shared" si="0"/>
        <v>FAIL</v>
      </c>
      <c r="H16" s="2"/>
    </row>
    <row r="17" spans="1:8">
      <c r="A17" s="2" t="s">
        <v>298</v>
      </c>
      <c r="B17" s="2">
        <v>4</v>
      </c>
      <c r="C17" s="2"/>
      <c r="D17" s="2"/>
      <c r="E17" s="2"/>
      <c r="F17" s="2"/>
      <c r="G17" s="2" t="str">
        <f t="shared" si="0"/>
        <v>FAIL</v>
      </c>
      <c r="H17" s="2"/>
    </row>
    <row r="18" spans="1:8">
      <c r="A18" s="2" t="s">
        <v>299</v>
      </c>
      <c r="B18" s="2">
        <v>6</v>
      </c>
      <c r="C18" s="2"/>
      <c r="D18" s="2"/>
      <c r="E18" s="2"/>
      <c r="F18" s="2"/>
      <c r="G18" s="2" t="str">
        <f t="shared" si="0"/>
        <v>FAIL</v>
      </c>
      <c r="H18" s="2"/>
    </row>
    <row r="19" spans="1:8" ht="28">
      <c r="A19" s="2" t="s">
        <v>300</v>
      </c>
      <c r="B19" s="2">
        <v>6</v>
      </c>
      <c r="C19" s="2"/>
      <c r="D19" s="2"/>
      <c r="E19" s="2"/>
      <c r="F19" s="2"/>
      <c r="G19" s="2" t="str">
        <f t="shared" si="0"/>
        <v>FAIL</v>
      </c>
      <c r="H19" s="2"/>
    </row>
    <row r="20" spans="1:8">
      <c r="A20" s="2" t="s">
        <v>301</v>
      </c>
      <c r="B20" s="2">
        <v>10</v>
      </c>
      <c r="C20" s="2"/>
      <c r="D20" s="2"/>
      <c r="E20" s="2"/>
      <c r="F20" s="2"/>
      <c r="G20" s="2" t="str">
        <f t="shared" si="0"/>
        <v>FAIL</v>
      </c>
      <c r="H20" s="2"/>
    </row>
    <row r="21" spans="1:8">
      <c r="A21" s="2" t="s">
        <v>302</v>
      </c>
      <c r="B21" s="2">
        <v>4</v>
      </c>
      <c r="C21" s="2"/>
      <c r="D21" s="2"/>
      <c r="E21" s="2"/>
      <c r="F21" s="2"/>
      <c r="G21" s="2" t="str">
        <f t="shared" si="0"/>
        <v>FAIL</v>
      </c>
      <c r="H21" s="2"/>
    </row>
    <row r="22" spans="1:8" ht="28">
      <c r="A22" s="2" t="s">
        <v>303</v>
      </c>
      <c r="B22" s="2">
        <v>4</v>
      </c>
      <c r="C22" s="2"/>
      <c r="D22" s="2"/>
      <c r="E22" s="2"/>
      <c r="F22" s="2"/>
      <c r="G22" s="2" t="str">
        <f t="shared" si="0"/>
        <v>FAIL</v>
      </c>
      <c r="H22" s="2"/>
    </row>
    <row r="23" spans="1:8">
      <c r="A23" s="2" t="s">
        <v>304</v>
      </c>
      <c r="B23" s="2">
        <v>2</v>
      </c>
      <c r="C23" s="2"/>
      <c r="D23" s="2"/>
      <c r="E23" s="2"/>
      <c r="F23" s="2"/>
      <c r="G23" s="2" t="str">
        <f t="shared" si="0"/>
        <v>FAIL</v>
      </c>
      <c r="H23" s="2"/>
    </row>
    <row r="24" spans="1:8" ht="28">
      <c r="A24" s="2" t="s">
        <v>305</v>
      </c>
      <c r="B24" s="2">
        <v>50</v>
      </c>
      <c r="C24" s="2"/>
      <c r="D24" s="2"/>
      <c r="E24" s="2"/>
      <c r="F24" s="2"/>
      <c r="G24" s="2" t="str">
        <f t="shared" si="0"/>
        <v>FAIL</v>
      </c>
      <c r="H24" s="2"/>
    </row>
    <row r="25" spans="1:8">
      <c r="A25" s="2" t="s">
        <v>306</v>
      </c>
      <c r="B25" s="2">
        <v>2</v>
      </c>
      <c r="C25" s="2"/>
      <c r="D25" s="2"/>
      <c r="E25" s="2"/>
      <c r="F25" s="2"/>
      <c r="G25" s="2" t="str">
        <f t="shared" si="0"/>
        <v>FAIL</v>
      </c>
      <c r="H25" s="2"/>
    </row>
    <row r="26" spans="1:8">
      <c r="A26" s="2" t="s">
        <v>307</v>
      </c>
      <c r="B26" s="2">
        <v>2</v>
      </c>
      <c r="C26" s="2"/>
      <c r="D26" s="2"/>
      <c r="E26" s="2"/>
      <c r="F26" s="2"/>
      <c r="G26" s="2" t="str">
        <f t="shared" si="0"/>
        <v>FAIL</v>
      </c>
      <c r="H26" s="2"/>
    </row>
    <row r="27" spans="1:8" ht="28">
      <c r="A27" s="2" t="s">
        <v>308</v>
      </c>
      <c r="B27" s="2">
        <v>2</v>
      </c>
      <c r="C27" s="2"/>
      <c r="D27" s="2"/>
      <c r="E27" s="2"/>
      <c r="F27" s="2"/>
      <c r="G27" s="2" t="str">
        <f t="shared" si="0"/>
        <v>FAIL</v>
      </c>
      <c r="H27" s="2"/>
    </row>
    <row r="28" spans="1:8">
      <c r="A28" s="2" t="s">
        <v>309</v>
      </c>
      <c r="B28" s="2">
        <v>4</v>
      </c>
      <c r="C28" s="2"/>
      <c r="D28" s="2"/>
      <c r="E28" s="2"/>
      <c r="F28" s="2"/>
      <c r="G28" s="2" t="str">
        <f t="shared" si="0"/>
        <v>FAIL</v>
      </c>
      <c r="H28" s="2"/>
    </row>
    <row r="29" spans="1:8">
      <c r="A29" s="2" t="s">
        <v>310</v>
      </c>
      <c r="B29" s="2">
        <v>20</v>
      </c>
      <c r="C29" s="2"/>
      <c r="D29" s="2"/>
      <c r="E29" s="2"/>
      <c r="F29" s="2"/>
      <c r="G29" s="2" t="str">
        <f t="shared" si="0"/>
        <v>FAIL</v>
      </c>
      <c r="H29" s="2"/>
    </row>
    <row r="30" spans="1:8" ht="28">
      <c r="A30" s="2" t="s">
        <v>311</v>
      </c>
      <c r="B30" s="2">
        <v>1</v>
      </c>
      <c r="C30" s="2"/>
      <c r="D30" s="2"/>
      <c r="E30" s="2"/>
      <c r="F30" s="2"/>
      <c r="G30" s="2" t="str">
        <f t="shared" si="0"/>
        <v>FAIL</v>
      </c>
      <c r="H30" s="2"/>
    </row>
    <row r="31" spans="1:8" ht="28">
      <c r="A31" s="2" t="s">
        <v>312</v>
      </c>
      <c r="B31" s="2">
        <v>1</v>
      </c>
      <c r="C31" s="2"/>
      <c r="D31" s="2"/>
      <c r="E31" s="2"/>
      <c r="F31" s="2"/>
      <c r="G31" s="2" t="str">
        <f t="shared" si="0"/>
        <v>FAIL</v>
      </c>
      <c r="H31" s="2"/>
    </row>
    <row r="32" spans="1:8" ht="28">
      <c r="A32" s="2" t="s">
        <v>313</v>
      </c>
      <c r="B32" s="2">
        <v>1</v>
      </c>
      <c r="C32" s="2"/>
      <c r="D32" s="2"/>
      <c r="E32" s="2"/>
      <c r="F32" s="2"/>
      <c r="G32" s="2" t="str">
        <f t="shared" si="0"/>
        <v>FAIL</v>
      </c>
      <c r="H32" s="2"/>
    </row>
    <row r="33" spans="1:8" ht="28">
      <c r="A33" s="2" t="s">
        <v>314</v>
      </c>
      <c r="B33" s="2">
        <v>1</v>
      </c>
      <c r="C33" s="2"/>
      <c r="D33" s="2"/>
      <c r="E33" s="2"/>
      <c r="F33" s="2"/>
      <c r="G33" s="2" t="str">
        <f t="shared" si="0"/>
        <v>FAIL</v>
      </c>
      <c r="H33" s="2"/>
    </row>
    <row r="34" spans="1:8" ht="28">
      <c r="A34" s="2" t="s">
        <v>315</v>
      </c>
      <c r="B34" s="2">
        <v>1</v>
      </c>
      <c r="C34" s="2"/>
      <c r="D34" s="2"/>
      <c r="E34" s="2"/>
      <c r="F34" s="2"/>
      <c r="G34" s="2" t="str">
        <f t="shared" si="0"/>
        <v>FAIL</v>
      </c>
      <c r="H34" s="2"/>
    </row>
    <row r="35" spans="1:8" ht="28">
      <c r="A35" s="2" t="s">
        <v>316</v>
      </c>
      <c r="B35" s="2">
        <v>1</v>
      </c>
      <c r="C35" s="2"/>
      <c r="D35" s="2"/>
      <c r="E35" s="2"/>
      <c r="F35" s="2"/>
      <c r="G35" s="2" t="str">
        <f t="shared" si="0"/>
        <v>FAIL</v>
      </c>
      <c r="H35" s="2"/>
    </row>
    <row r="36" spans="1:8">
      <c r="A36" s="2"/>
      <c r="B36" s="2"/>
      <c r="C36" s="2"/>
      <c r="D36" s="2"/>
      <c r="E36" s="2"/>
      <c r="F36" s="2"/>
      <c r="G36" s="2"/>
      <c r="H36" s="2"/>
    </row>
    <row r="37" spans="1:8">
      <c r="A37" s="2"/>
      <c r="B37" s="2"/>
      <c r="C37" s="2"/>
      <c r="D37" s="2"/>
      <c r="E37" s="2"/>
      <c r="F37" s="2"/>
      <c r="G37" s="2"/>
      <c r="H37" s="2"/>
    </row>
    <row r="38" spans="1:8">
      <c r="A38" s="2"/>
      <c r="B38" s="2"/>
      <c r="C38" s="2"/>
      <c r="D38" s="2"/>
      <c r="E38" s="2"/>
      <c r="F38" s="2"/>
      <c r="G38" s="2"/>
      <c r="H38" s="2"/>
    </row>
    <row r="39" spans="1:8">
      <c r="A39" s="2"/>
      <c r="B39" s="2"/>
      <c r="C39" s="2"/>
      <c r="D39" s="2"/>
      <c r="E39" s="2"/>
      <c r="F39" s="2"/>
      <c r="G39" s="2"/>
      <c r="H39" s="2"/>
    </row>
    <row r="40" spans="1:8">
      <c r="A40" s="2"/>
      <c r="B40" s="2"/>
      <c r="C40" s="2"/>
      <c r="D40" s="2"/>
      <c r="E40" s="2"/>
      <c r="F40" s="2"/>
      <c r="G40" s="2"/>
      <c r="H40" s="2"/>
    </row>
    <row r="41" spans="1:8">
      <c r="A41" s="2"/>
      <c r="B41" s="2"/>
      <c r="C41" s="2"/>
      <c r="D41" s="2"/>
      <c r="E41" s="2"/>
      <c r="F41" s="2"/>
      <c r="G41" s="2"/>
      <c r="H41" s="2"/>
    </row>
    <row r="42" spans="1:8">
      <c r="A42" s="2"/>
      <c r="B42" s="2"/>
      <c r="C42" s="2"/>
      <c r="D42" s="2"/>
      <c r="E42" s="2"/>
      <c r="F42" s="2"/>
      <c r="G42" s="2"/>
      <c r="H42" s="2"/>
    </row>
    <row r="43" spans="1:8">
      <c r="A43" s="2"/>
      <c r="B43" s="2"/>
      <c r="C43" s="2"/>
      <c r="D43" s="2"/>
      <c r="E43" s="2"/>
      <c r="F43" s="2"/>
      <c r="G43" s="2"/>
      <c r="H43" s="2"/>
    </row>
    <row r="44" spans="1:8">
      <c r="A44" s="2"/>
      <c r="B44" s="2"/>
      <c r="C44" s="2"/>
      <c r="D44" s="2"/>
      <c r="E44" s="2"/>
      <c r="F44" s="2"/>
      <c r="G44" s="2"/>
      <c r="H44" s="2"/>
    </row>
    <row r="45" spans="1:8">
      <c r="A45" s="2"/>
      <c r="B45" s="2"/>
      <c r="C45" s="2"/>
      <c r="D45" s="2"/>
      <c r="E45" s="2"/>
      <c r="F45" s="2"/>
      <c r="G45" s="2"/>
      <c r="H45" s="2"/>
    </row>
    <row r="46" spans="1:8">
      <c r="A46" s="2"/>
      <c r="B46" s="2"/>
      <c r="C46" s="2"/>
      <c r="D46" s="2"/>
      <c r="E46" s="2"/>
      <c r="F46" s="2"/>
      <c r="G46" s="2"/>
      <c r="H46" s="2"/>
    </row>
    <row r="47" spans="1:8">
      <c r="A47" s="2"/>
      <c r="B47" s="2"/>
      <c r="C47" s="2"/>
      <c r="D47" s="2"/>
      <c r="E47" s="2"/>
      <c r="F47" s="2"/>
      <c r="G47" s="2"/>
      <c r="H47" s="2"/>
    </row>
    <row r="48" spans="1:8">
      <c r="A48" s="2"/>
      <c r="B48" s="2"/>
      <c r="C48" s="2"/>
      <c r="D48" s="2"/>
      <c r="E48" s="2"/>
      <c r="F48" s="2"/>
      <c r="G48" s="2"/>
      <c r="H48" s="2"/>
    </row>
    <row r="49" spans="1:8">
      <c r="A49" s="2"/>
      <c r="B49" s="2"/>
      <c r="C49" s="2"/>
      <c r="D49" s="2"/>
      <c r="E49" s="2"/>
      <c r="F49" s="2"/>
      <c r="G49" s="2"/>
      <c r="H49" s="2"/>
    </row>
    <row r="50" spans="1:8">
      <c r="A50" s="2"/>
      <c r="B50" s="2"/>
      <c r="C50" s="2"/>
      <c r="D50" s="2"/>
      <c r="E50" s="2"/>
      <c r="F50" s="2"/>
      <c r="G50" s="2"/>
      <c r="H50" s="2"/>
    </row>
    <row r="51" spans="1:8">
      <c r="A51" s="2"/>
      <c r="B51" s="2"/>
      <c r="C51" s="2"/>
      <c r="D51" s="2"/>
      <c r="E51" s="2"/>
      <c r="F51" s="2"/>
      <c r="G51" s="2"/>
      <c r="H51" s="2"/>
    </row>
    <row r="52" spans="1:8">
      <c r="A52" s="2"/>
      <c r="B52" s="2"/>
      <c r="C52" s="2"/>
      <c r="D52" s="2"/>
      <c r="E52" s="2"/>
      <c r="F52" s="2"/>
      <c r="G52" s="2"/>
      <c r="H52" s="2"/>
    </row>
    <row r="53" spans="1:8">
      <c r="A53" s="2"/>
      <c r="B53" s="2"/>
      <c r="C53" s="2"/>
      <c r="D53" s="2"/>
      <c r="E53" s="2"/>
      <c r="F53" s="2"/>
      <c r="G53" s="2"/>
      <c r="H53" s="2"/>
    </row>
    <row r="54" spans="1:8">
      <c r="A54" s="2"/>
      <c r="B54" s="2"/>
      <c r="C54" s="2"/>
      <c r="D54" s="2"/>
      <c r="E54" s="2"/>
      <c r="F54" s="2"/>
      <c r="G54" s="2"/>
      <c r="H54" s="2"/>
    </row>
    <row r="55" spans="1:8">
      <c r="A55" s="2"/>
      <c r="B55" s="2"/>
      <c r="C55" s="2"/>
      <c r="D55" s="2"/>
      <c r="E55" s="2"/>
      <c r="F55" s="2"/>
      <c r="G55" s="2"/>
      <c r="H55" s="2"/>
    </row>
    <row r="56" spans="1:8">
      <c r="A56" s="2"/>
      <c r="B56" s="2"/>
      <c r="C56" s="2"/>
      <c r="D56" s="2"/>
      <c r="E56" s="2"/>
      <c r="F56" s="2"/>
      <c r="G56" s="2"/>
      <c r="H56" s="2"/>
    </row>
    <row r="57" spans="1:8">
      <c r="A57" s="2"/>
      <c r="B57" s="2"/>
      <c r="C57" s="2"/>
      <c r="D57" s="2"/>
      <c r="E57" s="2"/>
      <c r="F57" s="2"/>
      <c r="G57" s="2"/>
      <c r="H57" s="2"/>
    </row>
    <row r="58" spans="1:8">
      <c r="A58" s="2"/>
      <c r="B58" s="2"/>
      <c r="C58" s="2"/>
      <c r="D58" s="2"/>
      <c r="E58" s="2"/>
      <c r="F58" s="2"/>
      <c r="G58" s="2"/>
      <c r="H58" s="2"/>
    </row>
    <row r="59" spans="1:8">
      <c r="A59" s="2"/>
      <c r="B59" s="2"/>
      <c r="C59" s="2"/>
      <c r="D59" s="2"/>
      <c r="E59" s="2"/>
      <c r="F59" s="2"/>
      <c r="G59" s="2"/>
      <c r="H59" s="2"/>
    </row>
    <row r="60" spans="1:8">
      <c r="A60" s="2"/>
      <c r="B60" s="2"/>
      <c r="C60" s="2"/>
      <c r="D60" s="2"/>
      <c r="E60" s="2"/>
      <c r="F60" s="2"/>
      <c r="G60" s="2"/>
      <c r="H60" s="2"/>
    </row>
  </sheetData>
  <mergeCells count="2">
    <mergeCell ref="A1:H1"/>
    <mergeCell ref="A2:H2"/>
  </mergeCells>
  <dataValidations count="2">
    <dataValidation type="list" sqref="B7" xr:uid="{00000000-0002-0000-1900-000000000000}">
      <formula1>"Yes,No"</formula1>
    </dataValidation>
    <dataValidation type="list" sqref="E14:E35" xr:uid="{00000000-0002-0000-1900-000001000000}">
      <formula1>"Yes,No,N/A"</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O113"/>
  <sheetViews>
    <sheetView workbookViewId="0"/>
  </sheetViews>
  <sheetFormatPr defaultRowHeight="14"/>
  <cols>
    <col min="1" max="2" width="17" customWidth="1"/>
    <col min="3" max="3" width="25" customWidth="1"/>
    <col min="4" max="13" width="17" customWidth="1"/>
    <col min="14" max="14" width="28" customWidth="1"/>
    <col min="15" max="15" width="17" customWidth="1"/>
  </cols>
  <sheetData>
    <row r="1" spans="1:15" ht="20">
      <c r="A1" s="6" t="s">
        <v>353</v>
      </c>
      <c r="B1" s="7"/>
      <c r="C1" s="7"/>
      <c r="D1" s="7"/>
      <c r="E1" s="7"/>
      <c r="F1" s="7"/>
      <c r="G1" s="7"/>
      <c r="H1" s="7"/>
      <c r="I1" s="7"/>
      <c r="J1" s="7"/>
      <c r="K1" s="7"/>
      <c r="L1" s="7"/>
      <c r="M1" s="7"/>
      <c r="N1" s="7"/>
      <c r="O1" s="7"/>
    </row>
    <row r="2" spans="1:15" ht="14.5">
      <c r="A2" s="8" t="s">
        <v>318</v>
      </c>
      <c r="B2" s="7"/>
      <c r="C2" s="7"/>
      <c r="D2" s="7"/>
      <c r="E2" s="7"/>
      <c r="F2" s="7"/>
      <c r="G2" s="7"/>
      <c r="H2" s="7"/>
      <c r="I2" s="7"/>
      <c r="J2" s="7"/>
      <c r="K2" s="7"/>
      <c r="L2" s="7"/>
      <c r="M2" s="7"/>
      <c r="N2" s="7"/>
      <c r="O2" s="7"/>
    </row>
    <row r="4" spans="1:15">
      <c r="A4" s="3" t="s">
        <v>107</v>
      </c>
      <c r="B4" t="s">
        <v>350</v>
      </c>
    </row>
    <row r="5" spans="1:15">
      <c r="A5" s="3" t="s">
        <v>110</v>
      </c>
    </row>
    <row r="6" spans="1:15">
      <c r="A6" s="3" t="s">
        <v>229</v>
      </c>
    </row>
    <row r="7" spans="1:15">
      <c r="A7" s="3" t="s">
        <v>230</v>
      </c>
    </row>
    <row r="8" spans="1:15">
      <c r="A8" s="3" t="s">
        <v>319</v>
      </c>
      <c r="B8">
        <f>COUNTA(A14:A113)</f>
        <v>0</v>
      </c>
    </row>
    <row r="9" spans="1:15" ht="28">
      <c r="A9" s="3" t="s">
        <v>320</v>
      </c>
      <c r="B9">
        <f>COUNTIF(O14:O113,"FAIL")</f>
        <v>0</v>
      </c>
    </row>
    <row r="10" spans="1:15">
      <c r="A10" s="3" t="s">
        <v>46</v>
      </c>
      <c r="B10" t="str">
        <f>IF(AND(B7="Yes",B9=0),"Complete","Incomplete")</f>
        <v>Incomplete</v>
      </c>
    </row>
    <row r="13" spans="1:15" ht="42">
      <c r="A13" s="1" t="s">
        <v>120</v>
      </c>
      <c r="B13" s="1" t="s">
        <v>121</v>
      </c>
      <c r="C13" s="1" t="s">
        <v>321</v>
      </c>
      <c r="D13" s="1" t="s">
        <v>234</v>
      </c>
      <c r="E13" s="1" t="s">
        <v>235</v>
      </c>
      <c r="F13" s="1" t="s">
        <v>294</v>
      </c>
      <c r="G13" s="1" t="s">
        <v>322</v>
      </c>
      <c r="H13" s="1" t="s">
        <v>323</v>
      </c>
      <c r="I13" s="1" t="s">
        <v>324</v>
      </c>
      <c r="J13" s="1" t="s">
        <v>149</v>
      </c>
      <c r="K13" s="1" t="s">
        <v>325</v>
      </c>
      <c r="L13" s="1" t="s">
        <v>326</v>
      </c>
      <c r="M13" s="1" t="s">
        <v>327</v>
      </c>
      <c r="N13" s="1" t="s">
        <v>239</v>
      </c>
      <c r="O13" s="1" t="s">
        <v>328</v>
      </c>
    </row>
    <row r="14" spans="1:15">
      <c r="A14" s="2"/>
      <c r="B14" s="2"/>
      <c r="C14" s="2"/>
      <c r="D14" s="2"/>
      <c r="E14" s="2"/>
      <c r="F14" s="2"/>
      <c r="G14" s="2"/>
      <c r="H14" s="2"/>
      <c r="I14" s="2"/>
      <c r="J14" s="2"/>
      <c r="K14" s="2"/>
      <c r="L14" s="2"/>
      <c r="M14" s="2"/>
      <c r="N14" s="2"/>
      <c r="O14" s="2" t="str">
        <f t="shared" ref="O14:O45" si="0">IF(OR(E14&lt;D14,F14="No",G14="No",H14="No",I14="No",J14="No",K14="No",L14="No",M14="No"),"FAIL","PASS")</f>
        <v>PASS</v>
      </c>
    </row>
    <row r="15" spans="1:15">
      <c r="A15" s="2"/>
      <c r="B15" s="2"/>
      <c r="C15" s="2"/>
      <c r="D15" s="2"/>
      <c r="E15" s="2"/>
      <c r="F15" s="2"/>
      <c r="G15" s="2"/>
      <c r="H15" s="2"/>
      <c r="I15" s="2"/>
      <c r="J15" s="2"/>
      <c r="K15" s="2"/>
      <c r="L15" s="2"/>
      <c r="M15" s="2"/>
      <c r="N15" s="2"/>
      <c r="O15" s="2" t="str">
        <f t="shared" si="0"/>
        <v>PASS</v>
      </c>
    </row>
    <row r="16" spans="1:15">
      <c r="A16" s="2"/>
      <c r="B16" s="2"/>
      <c r="C16" s="2"/>
      <c r="D16" s="2"/>
      <c r="E16" s="2"/>
      <c r="F16" s="2"/>
      <c r="G16" s="2"/>
      <c r="H16" s="2"/>
      <c r="I16" s="2"/>
      <c r="J16" s="2"/>
      <c r="K16" s="2"/>
      <c r="L16" s="2"/>
      <c r="M16" s="2"/>
      <c r="N16" s="2"/>
      <c r="O16" s="2" t="str">
        <f t="shared" si="0"/>
        <v>PASS</v>
      </c>
    </row>
    <row r="17" spans="1:15">
      <c r="A17" s="2"/>
      <c r="B17" s="2"/>
      <c r="C17" s="2"/>
      <c r="D17" s="2"/>
      <c r="E17" s="2"/>
      <c r="F17" s="2"/>
      <c r="G17" s="2"/>
      <c r="H17" s="2"/>
      <c r="I17" s="2"/>
      <c r="J17" s="2"/>
      <c r="K17" s="2"/>
      <c r="L17" s="2"/>
      <c r="M17" s="2"/>
      <c r="N17" s="2"/>
      <c r="O17" s="2" t="str">
        <f t="shared" si="0"/>
        <v>PASS</v>
      </c>
    </row>
    <row r="18" spans="1:15">
      <c r="A18" s="2"/>
      <c r="B18" s="2"/>
      <c r="C18" s="2"/>
      <c r="D18" s="2"/>
      <c r="E18" s="2"/>
      <c r="F18" s="2"/>
      <c r="G18" s="2"/>
      <c r="H18" s="2"/>
      <c r="I18" s="2"/>
      <c r="J18" s="2"/>
      <c r="K18" s="2"/>
      <c r="L18" s="2"/>
      <c r="M18" s="2"/>
      <c r="N18" s="2"/>
      <c r="O18" s="2" t="str">
        <f t="shared" si="0"/>
        <v>PASS</v>
      </c>
    </row>
    <row r="19" spans="1:15">
      <c r="A19" s="2"/>
      <c r="B19" s="2"/>
      <c r="C19" s="2"/>
      <c r="D19" s="2"/>
      <c r="E19" s="2"/>
      <c r="F19" s="2"/>
      <c r="G19" s="2"/>
      <c r="H19" s="2"/>
      <c r="I19" s="2"/>
      <c r="J19" s="2"/>
      <c r="K19" s="2"/>
      <c r="L19" s="2"/>
      <c r="M19" s="2"/>
      <c r="N19" s="2"/>
      <c r="O19" s="2" t="str">
        <f t="shared" si="0"/>
        <v>PASS</v>
      </c>
    </row>
    <row r="20" spans="1:15">
      <c r="A20" s="2"/>
      <c r="B20" s="2"/>
      <c r="C20" s="2"/>
      <c r="D20" s="2"/>
      <c r="E20" s="2"/>
      <c r="F20" s="2"/>
      <c r="G20" s="2"/>
      <c r="H20" s="2"/>
      <c r="I20" s="2"/>
      <c r="J20" s="2"/>
      <c r="K20" s="2"/>
      <c r="L20" s="2"/>
      <c r="M20" s="2"/>
      <c r="N20" s="2"/>
      <c r="O20" s="2" t="str">
        <f t="shared" si="0"/>
        <v>PASS</v>
      </c>
    </row>
    <row r="21" spans="1:15">
      <c r="A21" s="2"/>
      <c r="B21" s="2"/>
      <c r="C21" s="2"/>
      <c r="D21" s="2"/>
      <c r="E21" s="2"/>
      <c r="F21" s="2"/>
      <c r="G21" s="2"/>
      <c r="H21" s="2"/>
      <c r="I21" s="2"/>
      <c r="J21" s="2"/>
      <c r="K21" s="2"/>
      <c r="L21" s="2"/>
      <c r="M21" s="2"/>
      <c r="N21" s="2"/>
      <c r="O21" s="2" t="str">
        <f t="shared" si="0"/>
        <v>PASS</v>
      </c>
    </row>
    <row r="22" spans="1:15">
      <c r="A22" s="2"/>
      <c r="B22" s="2"/>
      <c r="C22" s="2"/>
      <c r="D22" s="2"/>
      <c r="E22" s="2"/>
      <c r="F22" s="2"/>
      <c r="G22" s="2"/>
      <c r="H22" s="2"/>
      <c r="I22" s="2"/>
      <c r="J22" s="2"/>
      <c r="K22" s="2"/>
      <c r="L22" s="2"/>
      <c r="M22" s="2"/>
      <c r="N22" s="2"/>
      <c r="O22" s="2" t="str">
        <f t="shared" si="0"/>
        <v>PASS</v>
      </c>
    </row>
    <row r="23" spans="1:15">
      <c r="A23" s="2"/>
      <c r="B23" s="2"/>
      <c r="C23" s="2"/>
      <c r="D23" s="2"/>
      <c r="E23" s="2"/>
      <c r="F23" s="2"/>
      <c r="G23" s="2"/>
      <c r="H23" s="2"/>
      <c r="I23" s="2"/>
      <c r="J23" s="2"/>
      <c r="K23" s="2"/>
      <c r="L23" s="2"/>
      <c r="M23" s="2"/>
      <c r="N23" s="2"/>
      <c r="O23" s="2" t="str">
        <f t="shared" si="0"/>
        <v>PASS</v>
      </c>
    </row>
    <row r="24" spans="1:15">
      <c r="A24" s="2"/>
      <c r="B24" s="2"/>
      <c r="C24" s="2"/>
      <c r="D24" s="2"/>
      <c r="E24" s="2"/>
      <c r="F24" s="2"/>
      <c r="G24" s="2"/>
      <c r="H24" s="2"/>
      <c r="I24" s="2"/>
      <c r="J24" s="2"/>
      <c r="K24" s="2"/>
      <c r="L24" s="2"/>
      <c r="M24" s="2"/>
      <c r="N24" s="2"/>
      <c r="O24" s="2" t="str">
        <f t="shared" si="0"/>
        <v>PASS</v>
      </c>
    </row>
    <row r="25" spans="1:15">
      <c r="A25" s="2"/>
      <c r="B25" s="2"/>
      <c r="C25" s="2"/>
      <c r="D25" s="2"/>
      <c r="E25" s="2"/>
      <c r="F25" s="2"/>
      <c r="G25" s="2"/>
      <c r="H25" s="2"/>
      <c r="I25" s="2"/>
      <c r="J25" s="2"/>
      <c r="K25" s="2"/>
      <c r="L25" s="2"/>
      <c r="M25" s="2"/>
      <c r="N25" s="2"/>
      <c r="O25" s="2" t="str">
        <f t="shared" si="0"/>
        <v>PASS</v>
      </c>
    </row>
    <row r="26" spans="1:15">
      <c r="A26" s="2"/>
      <c r="B26" s="2"/>
      <c r="C26" s="2"/>
      <c r="D26" s="2"/>
      <c r="E26" s="2"/>
      <c r="F26" s="2"/>
      <c r="G26" s="2"/>
      <c r="H26" s="2"/>
      <c r="I26" s="2"/>
      <c r="J26" s="2"/>
      <c r="K26" s="2"/>
      <c r="L26" s="2"/>
      <c r="M26" s="2"/>
      <c r="N26" s="2"/>
      <c r="O26" s="2" t="str">
        <f t="shared" si="0"/>
        <v>PASS</v>
      </c>
    </row>
    <row r="27" spans="1:15">
      <c r="A27" s="2"/>
      <c r="B27" s="2"/>
      <c r="C27" s="2"/>
      <c r="D27" s="2"/>
      <c r="E27" s="2"/>
      <c r="F27" s="2"/>
      <c r="G27" s="2"/>
      <c r="H27" s="2"/>
      <c r="I27" s="2"/>
      <c r="J27" s="2"/>
      <c r="K27" s="2"/>
      <c r="L27" s="2"/>
      <c r="M27" s="2"/>
      <c r="N27" s="2"/>
      <c r="O27" s="2" t="str">
        <f t="shared" si="0"/>
        <v>PASS</v>
      </c>
    </row>
    <row r="28" spans="1:15">
      <c r="A28" s="2"/>
      <c r="B28" s="2"/>
      <c r="C28" s="2"/>
      <c r="D28" s="2"/>
      <c r="E28" s="2"/>
      <c r="F28" s="2"/>
      <c r="G28" s="2"/>
      <c r="H28" s="2"/>
      <c r="I28" s="2"/>
      <c r="J28" s="2"/>
      <c r="K28" s="2"/>
      <c r="L28" s="2"/>
      <c r="M28" s="2"/>
      <c r="N28" s="2"/>
      <c r="O28" s="2" t="str">
        <f t="shared" si="0"/>
        <v>PASS</v>
      </c>
    </row>
    <row r="29" spans="1:15">
      <c r="A29" s="2"/>
      <c r="B29" s="2"/>
      <c r="C29" s="2"/>
      <c r="D29" s="2"/>
      <c r="E29" s="2"/>
      <c r="F29" s="2"/>
      <c r="G29" s="2"/>
      <c r="H29" s="2"/>
      <c r="I29" s="2"/>
      <c r="J29" s="2"/>
      <c r="K29" s="2"/>
      <c r="L29" s="2"/>
      <c r="M29" s="2"/>
      <c r="N29" s="2"/>
      <c r="O29" s="2" t="str">
        <f t="shared" si="0"/>
        <v>PASS</v>
      </c>
    </row>
    <row r="30" spans="1:15">
      <c r="A30" s="2"/>
      <c r="B30" s="2"/>
      <c r="C30" s="2"/>
      <c r="D30" s="2"/>
      <c r="E30" s="2"/>
      <c r="F30" s="2"/>
      <c r="G30" s="2"/>
      <c r="H30" s="2"/>
      <c r="I30" s="2"/>
      <c r="J30" s="2"/>
      <c r="K30" s="2"/>
      <c r="L30" s="2"/>
      <c r="M30" s="2"/>
      <c r="N30" s="2"/>
      <c r="O30" s="2" t="str">
        <f t="shared" si="0"/>
        <v>PASS</v>
      </c>
    </row>
    <row r="31" spans="1:15">
      <c r="A31" s="2"/>
      <c r="B31" s="2"/>
      <c r="C31" s="2"/>
      <c r="D31" s="2"/>
      <c r="E31" s="2"/>
      <c r="F31" s="2"/>
      <c r="G31" s="2"/>
      <c r="H31" s="2"/>
      <c r="I31" s="2"/>
      <c r="J31" s="2"/>
      <c r="K31" s="2"/>
      <c r="L31" s="2"/>
      <c r="M31" s="2"/>
      <c r="N31" s="2"/>
      <c r="O31" s="2" t="str">
        <f t="shared" si="0"/>
        <v>PASS</v>
      </c>
    </row>
    <row r="32" spans="1:15">
      <c r="A32" s="2"/>
      <c r="B32" s="2"/>
      <c r="C32" s="2"/>
      <c r="D32" s="2"/>
      <c r="E32" s="2"/>
      <c r="F32" s="2"/>
      <c r="G32" s="2"/>
      <c r="H32" s="2"/>
      <c r="I32" s="2"/>
      <c r="J32" s="2"/>
      <c r="K32" s="2"/>
      <c r="L32" s="2"/>
      <c r="M32" s="2"/>
      <c r="N32" s="2"/>
      <c r="O32" s="2" t="str">
        <f t="shared" si="0"/>
        <v>PASS</v>
      </c>
    </row>
    <row r="33" spans="1:15">
      <c r="A33" s="2"/>
      <c r="B33" s="2"/>
      <c r="C33" s="2"/>
      <c r="D33" s="2"/>
      <c r="E33" s="2"/>
      <c r="F33" s="2"/>
      <c r="G33" s="2"/>
      <c r="H33" s="2"/>
      <c r="I33" s="2"/>
      <c r="J33" s="2"/>
      <c r="K33" s="2"/>
      <c r="L33" s="2"/>
      <c r="M33" s="2"/>
      <c r="N33" s="2"/>
      <c r="O33" s="2" t="str">
        <f t="shared" si="0"/>
        <v>PASS</v>
      </c>
    </row>
    <row r="34" spans="1:15">
      <c r="A34" s="2"/>
      <c r="B34" s="2"/>
      <c r="C34" s="2"/>
      <c r="D34" s="2"/>
      <c r="E34" s="2"/>
      <c r="F34" s="2"/>
      <c r="G34" s="2"/>
      <c r="H34" s="2"/>
      <c r="I34" s="2"/>
      <c r="J34" s="2"/>
      <c r="K34" s="2"/>
      <c r="L34" s="2"/>
      <c r="M34" s="2"/>
      <c r="N34" s="2"/>
      <c r="O34" s="2" t="str">
        <f t="shared" si="0"/>
        <v>PASS</v>
      </c>
    </row>
    <row r="35" spans="1:15">
      <c r="A35" s="2"/>
      <c r="B35" s="2"/>
      <c r="C35" s="2"/>
      <c r="D35" s="2"/>
      <c r="E35" s="2"/>
      <c r="F35" s="2"/>
      <c r="G35" s="2"/>
      <c r="H35" s="2"/>
      <c r="I35" s="2"/>
      <c r="J35" s="2"/>
      <c r="K35" s="2"/>
      <c r="L35" s="2"/>
      <c r="M35" s="2"/>
      <c r="N35" s="2"/>
      <c r="O35" s="2" t="str">
        <f t="shared" si="0"/>
        <v>PASS</v>
      </c>
    </row>
    <row r="36" spans="1:15">
      <c r="A36" s="2"/>
      <c r="B36" s="2"/>
      <c r="C36" s="2"/>
      <c r="D36" s="2"/>
      <c r="E36" s="2"/>
      <c r="F36" s="2"/>
      <c r="G36" s="2"/>
      <c r="H36" s="2"/>
      <c r="I36" s="2"/>
      <c r="J36" s="2"/>
      <c r="K36" s="2"/>
      <c r="L36" s="2"/>
      <c r="M36" s="2"/>
      <c r="N36" s="2"/>
      <c r="O36" s="2" t="str">
        <f t="shared" si="0"/>
        <v>PASS</v>
      </c>
    </row>
    <row r="37" spans="1:15">
      <c r="A37" s="2"/>
      <c r="B37" s="2"/>
      <c r="C37" s="2"/>
      <c r="D37" s="2"/>
      <c r="E37" s="2"/>
      <c r="F37" s="2"/>
      <c r="G37" s="2"/>
      <c r="H37" s="2"/>
      <c r="I37" s="2"/>
      <c r="J37" s="2"/>
      <c r="K37" s="2"/>
      <c r="L37" s="2"/>
      <c r="M37" s="2"/>
      <c r="N37" s="2"/>
      <c r="O37" s="2" t="str">
        <f t="shared" si="0"/>
        <v>PASS</v>
      </c>
    </row>
    <row r="38" spans="1:15">
      <c r="A38" s="2"/>
      <c r="B38" s="2"/>
      <c r="C38" s="2"/>
      <c r="D38" s="2"/>
      <c r="E38" s="2"/>
      <c r="F38" s="2"/>
      <c r="G38" s="2"/>
      <c r="H38" s="2"/>
      <c r="I38" s="2"/>
      <c r="J38" s="2"/>
      <c r="K38" s="2"/>
      <c r="L38" s="2"/>
      <c r="M38" s="2"/>
      <c r="N38" s="2"/>
      <c r="O38" s="2" t="str">
        <f t="shared" si="0"/>
        <v>PASS</v>
      </c>
    </row>
    <row r="39" spans="1:15">
      <c r="A39" s="2"/>
      <c r="B39" s="2"/>
      <c r="C39" s="2"/>
      <c r="D39" s="2"/>
      <c r="E39" s="2"/>
      <c r="F39" s="2"/>
      <c r="G39" s="2"/>
      <c r="H39" s="2"/>
      <c r="I39" s="2"/>
      <c r="J39" s="2"/>
      <c r="K39" s="2"/>
      <c r="L39" s="2"/>
      <c r="M39" s="2"/>
      <c r="N39" s="2"/>
      <c r="O39" s="2" t="str">
        <f t="shared" si="0"/>
        <v>PASS</v>
      </c>
    </row>
    <row r="40" spans="1:15">
      <c r="A40" s="2"/>
      <c r="B40" s="2"/>
      <c r="C40" s="2"/>
      <c r="D40" s="2"/>
      <c r="E40" s="2"/>
      <c r="F40" s="2"/>
      <c r="G40" s="2"/>
      <c r="H40" s="2"/>
      <c r="I40" s="2"/>
      <c r="J40" s="2"/>
      <c r="K40" s="2"/>
      <c r="L40" s="2"/>
      <c r="M40" s="2"/>
      <c r="N40" s="2"/>
      <c r="O40" s="2" t="str">
        <f t="shared" si="0"/>
        <v>PASS</v>
      </c>
    </row>
    <row r="41" spans="1:15">
      <c r="A41" s="2"/>
      <c r="B41" s="2"/>
      <c r="C41" s="2"/>
      <c r="D41" s="2"/>
      <c r="E41" s="2"/>
      <c r="F41" s="2"/>
      <c r="G41" s="2"/>
      <c r="H41" s="2"/>
      <c r="I41" s="2"/>
      <c r="J41" s="2"/>
      <c r="K41" s="2"/>
      <c r="L41" s="2"/>
      <c r="M41" s="2"/>
      <c r="N41" s="2"/>
      <c r="O41" s="2" t="str">
        <f t="shared" si="0"/>
        <v>PASS</v>
      </c>
    </row>
    <row r="42" spans="1:15">
      <c r="A42" s="2"/>
      <c r="B42" s="2"/>
      <c r="C42" s="2"/>
      <c r="D42" s="2"/>
      <c r="E42" s="2"/>
      <c r="F42" s="2"/>
      <c r="G42" s="2"/>
      <c r="H42" s="2"/>
      <c r="I42" s="2"/>
      <c r="J42" s="2"/>
      <c r="K42" s="2"/>
      <c r="L42" s="2"/>
      <c r="M42" s="2"/>
      <c r="N42" s="2"/>
      <c r="O42" s="2" t="str">
        <f t="shared" si="0"/>
        <v>PASS</v>
      </c>
    </row>
    <row r="43" spans="1:15">
      <c r="A43" s="2"/>
      <c r="B43" s="2"/>
      <c r="C43" s="2"/>
      <c r="D43" s="2"/>
      <c r="E43" s="2"/>
      <c r="F43" s="2"/>
      <c r="G43" s="2"/>
      <c r="H43" s="2"/>
      <c r="I43" s="2"/>
      <c r="J43" s="2"/>
      <c r="K43" s="2"/>
      <c r="L43" s="2"/>
      <c r="M43" s="2"/>
      <c r="N43" s="2"/>
      <c r="O43" s="2" t="str">
        <f t="shared" si="0"/>
        <v>PASS</v>
      </c>
    </row>
    <row r="44" spans="1:15">
      <c r="A44" s="2"/>
      <c r="B44" s="2"/>
      <c r="C44" s="2"/>
      <c r="D44" s="2"/>
      <c r="E44" s="2"/>
      <c r="F44" s="2"/>
      <c r="G44" s="2"/>
      <c r="H44" s="2"/>
      <c r="I44" s="2"/>
      <c r="J44" s="2"/>
      <c r="K44" s="2"/>
      <c r="L44" s="2"/>
      <c r="M44" s="2"/>
      <c r="N44" s="2"/>
      <c r="O44" s="2" t="str">
        <f t="shared" si="0"/>
        <v>PASS</v>
      </c>
    </row>
    <row r="45" spans="1:15">
      <c r="A45" s="2"/>
      <c r="B45" s="2"/>
      <c r="C45" s="2"/>
      <c r="D45" s="2"/>
      <c r="E45" s="2"/>
      <c r="F45" s="2"/>
      <c r="G45" s="2"/>
      <c r="H45" s="2"/>
      <c r="I45" s="2"/>
      <c r="J45" s="2"/>
      <c r="K45" s="2"/>
      <c r="L45" s="2"/>
      <c r="M45" s="2"/>
      <c r="N45" s="2"/>
      <c r="O45" s="2" t="str">
        <f t="shared" si="0"/>
        <v>PASS</v>
      </c>
    </row>
    <row r="46" spans="1:15">
      <c r="A46" s="2"/>
      <c r="B46" s="2"/>
      <c r="C46" s="2"/>
      <c r="D46" s="2"/>
      <c r="E46" s="2"/>
      <c r="F46" s="2"/>
      <c r="G46" s="2"/>
      <c r="H46" s="2"/>
      <c r="I46" s="2"/>
      <c r="J46" s="2"/>
      <c r="K46" s="2"/>
      <c r="L46" s="2"/>
      <c r="M46" s="2"/>
      <c r="N46" s="2"/>
      <c r="O46" s="2" t="str">
        <f t="shared" ref="O46:O77" si="1">IF(OR(E46&lt;D46,F46="No",G46="No",H46="No",I46="No",J46="No",K46="No",L46="No",M46="No"),"FAIL","PASS")</f>
        <v>PASS</v>
      </c>
    </row>
    <row r="47" spans="1:15">
      <c r="A47" s="2"/>
      <c r="B47" s="2"/>
      <c r="C47" s="2"/>
      <c r="D47" s="2"/>
      <c r="E47" s="2"/>
      <c r="F47" s="2"/>
      <c r="G47" s="2"/>
      <c r="H47" s="2"/>
      <c r="I47" s="2"/>
      <c r="J47" s="2"/>
      <c r="K47" s="2"/>
      <c r="L47" s="2"/>
      <c r="M47" s="2"/>
      <c r="N47" s="2"/>
      <c r="O47" s="2" t="str">
        <f t="shared" si="1"/>
        <v>PASS</v>
      </c>
    </row>
    <row r="48" spans="1:15">
      <c r="A48" s="2"/>
      <c r="B48" s="2"/>
      <c r="C48" s="2"/>
      <c r="D48" s="2"/>
      <c r="E48" s="2"/>
      <c r="F48" s="2"/>
      <c r="G48" s="2"/>
      <c r="H48" s="2"/>
      <c r="I48" s="2"/>
      <c r="J48" s="2"/>
      <c r="K48" s="2"/>
      <c r="L48" s="2"/>
      <c r="M48" s="2"/>
      <c r="N48" s="2"/>
      <c r="O48" s="2" t="str">
        <f t="shared" si="1"/>
        <v>PASS</v>
      </c>
    </row>
    <row r="49" spans="1:15">
      <c r="A49" s="2"/>
      <c r="B49" s="2"/>
      <c r="C49" s="2"/>
      <c r="D49" s="2"/>
      <c r="E49" s="2"/>
      <c r="F49" s="2"/>
      <c r="G49" s="2"/>
      <c r="H49" s="2"/>
      <c r="I49" s="2"/>
      <c r="J49" s="2"/>
      <c r="K49" s="2"/>
      <c r="L49" s="2"/>
      <c r="M49" s="2"/>
      <c r="N49" s="2"/>
      <c r="O49" s="2" t="str">
        <f t="shared" si="1"/>
        <v>PASS</v>
      </c>
    </row>
    <row r="50" spans="1:15">
      <c r="A50" s="2"/>
      <c r="B50" s="2"/>
      <c r="C50" s="2"/>
      <c r="D50" s="2"/>
      <c r="E50" s="2"/>
      <c r="F50" s="2"/>
      <c r="G50" s="2"/>
      <c r="H50" s="2"/>
      <c r="I50" s="2"/>
      <c r="J50" s="2"/>
      <c r="K50" s="2"/>
      <c r="L50" s="2"/>
      <c r="M50" s="2"/>
      <c r="N50" s="2"/>
      <c r="O50" s="2" t="str">
        <f t="shared" si="1"/>
        <v>PASS</v>
      </c>
    </row>
    <row r="51" spans="1:15">
      <c r="A51" s="2"/>
      <c r="B51" s="2"/>
      <c r="C51" s="2"/>
      <c r="D51" s="2"/>
      <c r="E51" s="2"/>
      <c r="F51" s="2"/>
      <c r="G51" s="2"/>
      <c r="H51" s="2"/>
      <c r="I51" s="2"/>
      <c r="J51" s="2"/>
      <c r="K51" s="2"/>
      <c r="L51" s="2"/>
      <c r="M51" s="2"/>
      <c r="N51" s="2"/>
      <c r="O51" s="2" t="str">
        <f t="shared" si="1"/>
        <v>PASS</v>
      </c>
    </row>
    <row r="52" spans="1:15">
      <c r="A52" s="2"/>
      <c r="B52" s="2"/>
      <c r="C52" s="2"/>
      <c r="D52" s="2"/>
      <c r="E52" s="2"/>
      <c r="F52" s="2"/>
      <c r="G52" s="2"/>
      <c r="H52" s="2"/>
      <c r="I52" s="2"/>
      <c r="J52" s="2"/>
      <c r="K52" s="2"/>
      <c r="L52" s="2"/>
      <c r="M52" s="2"/>
      <c r="N52" s="2"/>
      <c r="O52" s="2" t="str">
        <f t="shared" si="1"/>
        <v>PASS</v>
      </c>
    </row>
    <row r="53" spans="1:15">
      <c r="A53" s="2"/>
      <c r="B53" s="2"/>
      <c r="C53" s="2"/>
      <c r="D53" s="2"/>
      <c r="E53" s="2"/>
      <c r="F53" s="2"/>
      <c r="G53" s="2"/>
      <c r="H53" s="2"/>
      <c r="I53" s="2"/>
      <c r="J53" s="2"/>
      <c r="K53" s="2"/>
      <c r="L53" s="2"/>
      <c r="M53" s="2"/>
      <c r="N53" s="2"/>
      <c r="O53" s="2" t="str">
        <f t="shared" si="1"/>
        <v>PASS</v>
      </c>
    </row>
    <row r="54" spans="1:15">
      <c r="A54" s="2"/>
      <c r="B54" s="2"/>
      <c r="C54" s="2"/>
      <c r="D54" s="2"/>
      <c r="E54" s="2"/>
      <c r="F54" s="2"/>
      <c r="G54" s="2"/>
      <c r="H54" s="2"/>
      <c r="I54" s="2"/>
      <c r="J54" s="2"/>
      <c r="K54" s="2"/>
      <c r="L54" s="2"/>
      <c r="M54" s="2"/>
      <c r="N54" s="2"/>
      <c r="O54" s="2" t="str">
        <f t="shared" si="1"/>
        <v>PASS</v>
      </c>
    </row>
    <row r="55" spans="1:15">
      <c r="A55" s="2"/>
      <c r="B55" s="2"/>
      <c r="C55" s="2"/>
      <c r="D55" s="2"/>
      <c r="E55" s="2"/>
      <c r="F55" s="2"/>
      <c r="G55" s="2"/>
      <c r="H55" s="2"/>
      <c r="I55" s="2"/>
      <c r="J55" s="2"/>
      <c r="K55" s="2"/>
      <c r="L55" s="2"/>
      <c r="M55" s="2"/>
      <c r="N55" s="2"/>
      <c r="O55" s="2" t="str">
        <f t="shared" si="1"/>
        <v>PASS</v>
      </c>
    </row>
    <row r="56" spans="1:15">
      <c r="A56" s="2"/>
      <c r="B56" s="2"/>
      <c r="C56" s="2"/>
      <c r="D56" s="2"/>
      <c r="E56" s="2"/>
      <c r="F56" s="2"/>
      <c r="G56" s="2"/>
      <c r="H56" s="2"/>
      <c r="I56" s="2"/>
      <c r="J56" s="2"/>
      <c r="K56" s="2"/>
      <c r="L56" s="2"/>
      <c r="M56" s="2"/>
      <c r="N56" s="2"/>
      <c r="O56" s="2" t="str">
        <f t="shared" si="1"/>
        <v>PASS</v>
      </c>
    </row>
    <row r="57" spans="1:15">
      <c r="A57" s="2"/>
      <c r="B57" s="2"/>
      <c r="C57" s="2"/>
      <c r="D57" s="2"/>
      <c r="E57" s="2"/>
      <c r="F57" s="2"/>
      <c r="G57" s="2"/>
      <c r="H57" s="2"/>
      <c r="I57" s="2"/>
      <c r="J57" s="2"/>
      <c r="K57" s="2"/>
      <c r="L57" s="2"/>
      <c r="M57" s="2"/>
      <c r="N57" s="2"/>
      <c r="O57" s="2" t="str">
        <f t="shared" si="1"/>
        <v>PASS</v>
      </c>
    </row>
    <row r="58" spans="1:15">
      <c r="A58" s="2"/>
      <c r="B58" s="2"/>
      <c r="C58" s="2"/>
      <c r="D58" s="2"/>
      <c r="E58" s="2"/>
      <c r="F58" s="2"/>
      <c r="G58" s="2"/>
      <c r="H58" s="2"/>
      <c r="I58" s="2"/>
      <c r="J58" s="2"/>
      <c r="K58" s="2"/>
      <c r="L58" s="2"/>
      <c r="M58" s="2"/>
      <c r="N58" s="2"/>
      <c r="O58" s="2" t="str">
        <f t="shared" si="1"/>
        <v>PASS</v>
      </c>
    </row>
    <row r="59" spans="1:15">
      <c r="A59" s="2"/>
      <c r="B59" s="2"/>
      <c r="C59" s="2"/>
      <c r="D59" s="2"/>
      <c r="E59" s="2"/>
      <c r="F59" s="2"/>
      <c r="G59" s="2"/>
      <c r="H59" s="2"/>
      <c r="I59" s="2"/>
      <c r="J59" s="2"/>
      <c r="K59" s="2"/>
      <c r="L59" s="2"/>
      <c r="M59" s="2"/>
      <c r="N59" s="2"/>
      <c r="O59" s="2" t="str">
        <f t="shared" si="1"/>
        <v>PASS</v>
      </c>
    </row>
    <row r="60" spans="1:15">
      <c r="A60" s="2"/>
      <c r="B60" s="2"/>
      <c r="C60" s="2"/>
      <c r="D60" s="2"/>
      <c r="E60" s="2"/>
      <c r="F60" s="2"/>
      <c r="G60" s="2"/>
      <c r="H60" s="2"/>
      <c r="I60" s="2"/>
      <c r="J60" s="2"/>
      <c r="K60" s="2"/>
      <c r="L60" s="2"/>
      <c r="M60" s="2"/>
      <c r="N60" s="2"/>
      <c r="O60" s="2" t="str">
        <f t="shared" si="1"/>
        <v>PASS</v>
      </c>
    </row>
    <row r="61" spans="1:15">
      <c r="A61" s="2"/>
      <c r="B61" s="2"/>
      <c r="C61" s="2"/>
      <c r="D61" s="2"/>
      <c r="E61" s="2"/>
      <c r="F61" s="2"/>
      <c r="G61" s="2"/>
      <c r="H61" s="2"/>
      <c r="I61" s="2"/>
      <c r="J61" s="2"/>
      <c r="K61" s="2"/>
      <c r="L61" s="2"/>
      <c r="M61" s="2"/>
      <c r="N61" s="2"/>
      <c r="O61" s="2" t="str">
        <f t="shared" si="1"/>
        <v>PASS</v>
      </c>
    </row>
    <row r="62" spans="1:15">
      <c r="A62" s="2"/>
      <c r="B62" s="2"/>
      <c r="C62" s="2"/>
      <c r="D62" s="2"/>
      <c r="E62" s="2"/>
      <c r="F62" s="2"/>
      <c r="G62" s="2"/>
      <c r="H62" s="2"/>
      <c r="I62" s="2"/>
      <c r="J62" s="2"/>
      <c r="K62" s="2"/>
      <c r="L62" s="2"/>
      <c r="M62" s="2"/>
      <c r="N62" s="2"/>
      <c r="O62" s="2" t="str">
        <f t="shared" si="1"/>
        <v>PASS</v>
      </c>
    </row>
    <row r="63" spans="1:15">
      <c r="A63" s="2"/>
      <c r="B63" s="2"/>
      <c r="C63" s="2"/>
      <c r="D63" s="2"/>
      <c r="E63" s="2"/>
      <c r="F63" s="2"/>
      <c r="G63" s="2"/>
      <c r="H63" s="2"/>
      <c r="I63" s="2"/>
      <c r="J63" s="2"/>
      <c r="K63" s="2"/>
      <c r="L63" s="2"/>
      <c r="M63" s="2"/>
      <c r="N63" s="2"/>
      <c r="O63" s="2" t="str">
        <f t="shared" si="1"/>
        <v>PASS</v>
      </c>
    </row>
    <row r="64" spans="1:15">
      <c r="A64" s="2"/>
      <c r="B64" s="2"/>
      <c r="C64" s="2"/>
      <c r="D64" s="2"/>
      <c r="E64" s="2"/>
      <c r="F64" s="2"/>
      <c r="G64" s="2"/>
      <c r="H64" s="2"/>
      <c r="I64" s="2"/>
      <c r="J64" s="2"/>
      <c r="K64" s="2"/>
      <c r="L64" s="2"/>
      <c r="M64" s="2"/>
      <c r="N64" s="2"/>
      <c r="O64" s="2" t="str">
        <f t="shared" si="1"/>
        <v>PASS</v>
      </c>
    </row>
    <row r="65" spans="1:15">
      <c r="A65" s="2"/>
      <c r="B65" s="2"/>
      <c r="C65" s="2"/>
      <c r="D65" s="2"/>
      <c r="E65" s="2"/>
      <c r="F65" s="2"/>
      <c r="G65" s="2"/>
      <c r="H65" s="2"/>
      <c r="I65" s="2"/>
      <c r="J65" s="2"/>
      <c r="K65" s="2"/>
      <c r="L65" s="2"/>
      <c r="M65" s="2"/>
      <c r="N65" s="2"/>
      <c r="O65" s="2" t="str">
        <f t="shared" si="1"/>
        <v>PASS</v>
      </c>
    </row>
    <row r="66" spans="1:15">
      <c r="A66" s="2"/>
      <c r="B66" s="2"/>
      <c r="C66" s="2"/>
      <c r="D66" s="2"/>
      <c r="E66" s="2"/>
      <c r="F66" s="2"/>
      <c r="G66" s="2"/>
      <c r="H66" s="2"/>
      <c r="I66" s="2"/>
      <c r="J66" s="2"/>
      <c r="K66" s="2"/>
      <c r="L66" s="2"/>
      <c r="M66" s="2"/>
      <c r="N66" s="2"/>
      <c r="O66" s="2" t="str">
        <f t="shared" si="1"/>
        <v>PASS</v>
      </c>
    </row>
    <row r="67" spans="1:15">
      <c r="A67" s="2"/>
      <c r="B67" s="2"/>
      <c r="C67" s="2"/>
      <c r="D67" s="2"/>
      <c r="E67" s="2"/>
      <c r="F67" s="2"/>
      <c r="G67" s="2"/>
      <c r="H67" s="2"/>
      <c r="I67" s="2"/>
      <c r="J67" s="2"/>
      <c r="K67" s="2"/>
      <c r="L67" s="2"/>
      <c r="M67" s="2"/>
      <c r="N67" s="2"/>
      <c r="O67" s="2" t="str">
        <f t="shared" si="1"/>
        <v>PASS</v>
      </c>
    </row>
    <row r="68" spans="1:15">
      <c r="A68" s="2"/>
      <c r="B68" s="2"/>
      <c r="C68" s="2"/>
      <c r="D68" s="2"/>
      <c r="E68" s="2"/>
      <c r="F68" s="2"/>
      <c r="G68" s="2"/>
      <c r="H68" s="2"/>
      <c r="I68" s="2"/>
      <c r="J68" s="2"/>
      <c r="K68" s="2"/>
      <c r="L68" s="2"/>
      <c r="M68" s="2"/>
      <c r="N68" s="2"/>
      <c r="O68" s="2" t="str">
        <f t="shared" si="1"/>
        <v>PASS</v>
      </c>
    </row>
    <row r="69" spans="1:15">
      <c r="A69" s="2"/>
      <c r="B69" s="2"/>
      <c r="C69" s="2"/>
      <c r="D69" s="2"/>
      <c r="E69" s="2"/>
      <c r="F69" s="2"/>
      <c r="G69" s="2"/>
      <c r="H69" s="2"/>
      <c r="I69" s="2"/>
      <c r="J69" s="2"/>
      <c r="K69" s="2"/>
      <c r="L69" s="2"/>
      <c r="M69" s="2"/>
      <c r="N69" s="2"/>
      <c r="O69" s="2" t="str">
        <f t="shared" si="1"/>
        <v>PASS</v>
      </c>
    </row>
    <row r="70" spans="1:15">
      <c r="A70" s="2"/>
      <c r="B70" s="2"/>
      <c r="C70" s="2"/>
      <c r="D70" s="2"/>
      <c r="E70" s="2"/>
      <c r="F70" s="2"/>
      <c r="G70" s="2"/>
      <c r="H70" s="2"/>
      <c r="I70" s="2"/>
      <c r="J70" s="2"/>
      <c r="K70" s="2"/>
      <c r="L70" s="2"/>
      <c r="M70" s="2"/>
      <c r="N70" s="2"/>
      <c r="O70" s="2" t="str">
        <f t="shared" si="1"/>
        <v>PASS</v>
      </c>
    </row>
    <row r="71" spans="1:15">
      <c r="A71" s="2"/>
      <c r="B71" s="2"/>
      <c r="C71" s="2"/>
      <c r="D71" s="2"/>
      <c r="E71" s="2"/>
      <c r="F71" s="2"/>
      <c r="G71" s="2"/>
      <c r="H71" s="2"/>
      <c r="I71" s="2"/>
      <c r="J71" s="2"/>
      <c r="K71" s="2"/>
      <c r="L71" s="2"/>
      <c r="M71" s="2"/>
      <c r="N71" s="2"/>
      <c r="O71" s="2" t="str">
        <f t="shared" si="1"/>
        <v>PASS</v>
      </c>
    </row>
    <row r="72" spans="1:15">
      <c r="A72" s="2"/>
      <c r="B72" s="2"/>
      <c r="C72" s="2"/>
      <c r="D72" s="2"/>
      <c r="E72" s="2"/>
      <c r="F72" s="2"/>
      <c r="G72" s="2"/>
      <c r="H72" s="2"/>
      <c r="I72" s="2"/>
      <c r="J72" s="2"/>
      <c r="K72" s="2"/>
      <c r="L72" s="2"/>
      <c r="M72" s="2"/>
      <c r="N72" s="2"/>
      <c r="O72" s="2" t="str">
        <f t="shared" si="1"/>
        <v>PASS</v>
      </c>
    </row>
    <row r="73" spans="1:15">
      <c r="A73" s="2"/>
      <c r="B73" s="2"/>
      <c r="C73" s="2"/>
      <c r="D73" s="2"/>
      <c r="E73" s="2"/>
      <c r="F73" s="2"/>
      <c r="G73" s="2"/>
      <c r="H73" s="2"/>
      <c r="I73" s="2"/>
      <c r="J73" s="2"/>
      <c r="K73" s="2"/>
      <c r="L73" s="2"/>
      <c r="M73" s="2"/>
      <c r="N73" s="2"/>
      <c r="O73" s="2" t="str">
        <f t="shared" si="1"/>
        <v>PASS</v>
      </c>
    </row>
    <row r="74" spans="1:15">
      <c r="A74" s="2"/>
      <c r="B74" s="2"/>
      <c r="C74" s="2"/>
      <c r="D74" s="2"/>
      <c r="E74" s="2"/>
      <c r="F74" s="2"/>
      <c r="G74" s="2"/>
      <c r="H74" s="2"/>
      <c r="I74" s="2"/>
      <c r="J74" s="2"/>
      <c r="K74" s="2"/>
      <c r="L74" s="2"/>
      <c r="M74" s="2"/>
      <c r="N74" s="2"/>
      <c r="O74" s="2" t="str">
        <f t="shared" si="1"/>
        <v>PASS</v>
      </c>
    </row>
    <row r="75" spans="1:15">
      <c r="A75" s="2"/>
      <c r="B75" s="2"/>
      <c r="C75" s="2"/>
      <c r="D75" s="2"/>
      <c r="E75" s="2"/>
      <c r="F75" s="2"/>
      <c r="G75" s="2"/>
      <c r="H75" s="2"/>
      <c r="I75" s="2"/>
      <c r="J75" s="2"/>
      <c r="K75" s="2"/>
      <c r="L75" s="2"/>
      <c r="M75" s="2"/>
      <c r="N75" s="2"/>
      <c r="O75" s="2" t="str">
        <f t="shared" si="1"/>
        <v>PASS</v>
      </c>
    </row>
    <row r="76" spans="1:15">
      <c r="A76" s="2"/>
      <c r="B76" s="2"/>
      <c r="C76" s="2"/>
      <c r="D76" s="2"/>
      <c r="E76" s="2"/>
      <c r="F76" s="2"/>
      <c r="G76" s="2"/>
      <c r="H76" s="2"/>
      <c r="I76" s="2"/>
      <c r="J76" s="2"/>
      <c r="K76" s="2"/>
      <c r="L76" s="2"/>
      <c r="M76" s="2"/>
      <c r="N76" s="2"/>
      <c r="O76" s="2" t="str">
        <f t="shared" si="1"/>
        <v>PASS</v>
      </c>
    </row>
    <row r="77" spans="1:15">
      <c r="A77" s="2"/>
      <c r="B77" s="2"/>
      <c r="C77" s="2"/>
      <c r="D77" s="2"/>
      <c r="E77" s="2"/>
      <c r="F77" s="2"/>
      <c r="G77" s="2"/>
      <c r="H77" s="2"/>
      <c r="I77" s="2"/>
      <c r="J77" s="2"/>
      <c r="K77" s="2"/>
      <c r="L77" s="2"/>
      <c r="M77" s="2"/>
      <c r="N77" s="2"/>
      <c r="O77" s="2" t="str">
        <f t="shared" si="1"/>
        <v>PASS</v>
      </c>
    </row>
    <row r="78" spans="1:15">
      <c r="A78" s="2"/>
      <c r="B78" s="2"/>
      <c r="C78" s="2"/>
      <c r="D78" s="2"/>
      <c r="E78" s="2"/>
      <c r="F78" s="2"/>
      <c r="G78" s="2"/>
      <c r="H78" s="2"/>
      <c r="I78" s="2"/>
      <c r="J78" s="2"/>
      <c r="K78" s="2"/>
      <c r="L78" s="2"/>
      <c r="M78" s="2"/>
      <c r="N78" s="2"/>
      <c r="O78" s="2" t="str">
        <f t="shared" ref="O78:O113" si="2">IF(OR(E78&lt;D78,F78="No",G78="No",H78="No",I78="No",J78="No",K78="No",L78="No",M78="No"),"FAIL","PASS")</f>
        <v>PASS</v>
      </c>
    </row>
    <row r="79" spans="1:15">
      <c r="A79" s="2"/>
      <c r="B79" s="2"/>
      <c r="C79" s="2"/>
      <c r="D79" s="2"/>
      <c r="E79" s="2"/>
      <c r="F79" s="2"/>
      <c r="G79" s="2"/>
      <c r="H79" s="2"/>
      <c r="I79" s="2"/>
      <c r="J79" s="2"/>
      <c r="K79" s="2"/>
      <c r="L79" s="2"/>
      <c r="M79" s="2"/>
      <c r="N79" s="2"/>
      <c r="O79" s="2" t="str">
        <f t="shared" si="2"/>
        <v>PASS</v>
      </c>
    </row>
    <row r="80" spans="1:15">
      <c r="A80" s="2"/>
      <c r="B80" s="2"/>
      <c r="C80" s="2"/>
      <c r="D80" s="2"/>
      <c r="E80" s="2"/>
      <c r="F80" s="2"/>
      <c r="G80" s="2"/>
      <c r="H80" s="2"/>
      <c r="I80" s="2"/>
      <c r="J80" s="2"/>
      <c r="K80" s="2"/>
      <c r="L80" s="2"/>
      <c r="M80" s="2"/>
      <c r="N80" s="2"/>
      <c r="O80" s="2" t="str">
        <f t="shared" si="2"/>
        <v>PASS</v>
      </c>
    </row>
    <row r="81" spans="1:15">
      <c r="A81" s="2"/>
      <c r="B81" s="2"/>
      <c r="C81" s="2"/>
      <c r="D81" s="2"/>
      <c r="E81" s="2"/>
      <c r="F81" s="2"/>
      <c r="G81" s="2"/>
      <c r="H81" s="2"/>
      <c r="I81" s="2"/>
      <c r="J81" s="2"/>
      <c r="K81" s="2"/>
      <c r="L81" s="2"/>
      <c r="M81" s="2"/>
      <c r="N81" s="2"/>
      <c r="O81" s="2" t="str">
        <f t="shared" si="2"/>
        <v>PASS</v>
      </c>
    </row>
    <row r="82" spans="1:15">
      <c r="A82" s="2"/>
      <c r="B82" s="2"/>
      <c r="C82" s="2"/>
      <c r="D82" s="2"/>
      <c r="E82" s="2"/>
      <c r="F82" s="2"/>
      <c r="G82" s="2"/>
      <c r="H82" s="2"/>
      <c r="I82" s="2"/>
      <c r="J82" s="2"/>
      <c r="K82" s="2"/>
      <c r="L82" s="2"/>
      <c r="M82" s="2"/>
      <c r="N82" s="2"/>
      <c r="O82" s="2" t="str">
        <f t="shared" si="2"/>
        <v>PASS</v>
      </c>
    </row>
    <row r="83" spans="1:15">
      <c r="A83" s="2"/>
      <c r="B83" s="2"/>
      <c r="C83" s="2"/>
      <c r="D83" s="2"/>
      <c r="E83" s="2"/>
      <c r="F83" s="2"/>
      <c r="G83" s="2"/>
      <c r="H83" s="2"/>
      <c r="I83" s="2"/>
      <c r="J83" s="2"/>
      <c r="K83" s="2"/>
      <c r="L83" s="2"/>
      <c r="M83" s="2"/>
      <c r="N83" s="2"/>
      <c r="O83" s="2" t="str">
        <f t="shared" si="2"/>
        <v>PASS</v>
      </c>
    </row>
    <row r="84" spans="1:15">
      <c r="A84" s="2"/>
      <c r="B84" s="2"/>
      <c r="C84" s="2"/>
      <c r="D84" s="2"/>
      <c r="E84" s="2"/>
      <c r="F84" s="2"/>
      <c r="G84" s="2"/>
      <c r="H84" s="2"/>
      <c r="I84" s="2"/>
      <c r="J84" s="2"/>
      <c r="K84" s="2"/>
      <c r="L84" s="2"/>
      <c r="M84" s="2"/>
      <c r="N84" s="2"/>
      <c r="O84" s="2" t="str">
        <f t="shared" si="2"/>
        <v>PASS</v>
      </c>
    </row>
    <row r="85" spans="1:15">
      <c r="A85" s="2"/>
      <c r="B85" s="2"/>
      <c r="C85" s="2"/>
      <c r="D85" s="2"/>
      <c r="E85" s="2"/>
      <c r="F85" s="2"/>
      <c r="G85" s="2"/>
      <c r="H85" s="2"/>
      <c r="I85" s="2"/>
      <c r="J85" s="2"/>
      <c r="K85" s="2"/>
      <c r="L85" s="2"/>
      <c r="M85" s="2"/>
      <c r="N85" s="2"/>
      <c r="O85" s="2" t="str">
        <f t="shared" si="2"/>
        <v>PASS</v>
      </c>
    </row>
    <row r="86" spans="1:15">
      <c r="A86" s="2"/>
      <c r="B86" s="2"/>
      <c r="C86" s="2"/>
      <c r="D86" s="2"/>
      <c r="E86" s="2"/>
      <c r="F86" s="2"/>
      <c r="G86" s="2"/>
      <c r="H86" s="2"/>
      <c r="I86" s="2"/>
      <c r="J86" s="2"/>
      <c r="K86" s="2"/>
      <c r="L86" s="2"/>
      <c r="M86" s="2"/>
      <c r="N86" s="2"/>
      <c r="O86" s="2" t="str">
        <f t="shared" si="2"/>
        <v>PASS</v>
      </c>
    </row>
    <row r="87" spans="1:15">
      <c r="A87" s="2"/>
      <c r="B87" s="2"/>
      <c r="C87" s="2"/>
      <c r="D87" s="2"/>
      <c r="E87" s="2"/>
      <c r="F87" s="2"/>
      <c r="G87" s="2"/>
      <c r="H87" s="2"/>
      <c r="I87" s="2"/>
      <c r="J87" s="2"/>
      <c r="K87" s="2"/>
      <c r="L87" s="2"/>
      <c r="M87" s="2"/>
      <c r="N87" s="2"/>
      <c r="O87" s="2" t="str">
        <f t="shared" si="2"/>
        <v>PASS</v>
      </c>
    </row>
    <row r="88" spans="1:15">
      <c r="A88" s="2"/>
      <c r="B88" s="2"/>
      <c r="C88" s="2"/>
      <c r="D88" s="2"/>
      <c r="E88" s="2"/>
      <c r="F88" s="2"/>
      <c r="G88" s="2"/>
      <c r="H88" s="2"/>
      <c r="I88" s="2"/>
      <c r="J88" s="2"/>
      <c r="K88" s="2"/>
      <c r="L88" s="2"/>
      <c r="M88" s="2"/>
      <c r="N88" s="2"/>
      <c r="O88" s="2" t="str">
        <f t="shared" si="2"/>
        <v>PASS</v>
      </c>
    </row>
    <row r="89" spans="1:15">
      <c r="A89" s="2"/>
      <c r="B89" s="2"/>
      <c r="C89" s="2"/>
      <c r="D89" s="2"/>
      <c r="E89" s="2"/>
      <c r="F89" s="2"/>
      <c r="G89" s="2"/>
      <c r="H89" s="2"/>
      <c r="I89" s="2"/>
      <c r="J89" s="2"/>
      <c r="K89" s="2"/>
      <c r="L89" s="2"/>
      <c r="M89" s="2"/>
      <c r="N89" s="2"/>
      <c r="O89" s="2" t="str">
        <f t="shared" si="2"/>
        <v>PASS</v>
      </c>
    </row>
    <row r="90" spans="1:15">
      <c r="A90" s="2"/>
      <c r="B90" s="2"/>
      <c r="C90" s="2"/>
      <c r="D90" s="2"/>
      <c r="E90" s="2"/>
      <c r="F90" s="2"/>
      <c r="G90" s="2"/>
      <c r="H90" s="2"/>
      <c r="I90" s="2"/>
      <c r="J90" s="2"/>
      <c r="K90" s="2"/>
      <c r="L90" s="2"/>
      <c r="M90" s="2"/>
      <c r="N90" s="2"/>
      <c r="O90" s="2" t="str">
        <f t="shared" si="2"/>
        <v>PASS</v>
      </c>
    </row>
    <row r="91" spans="1:15">
      <c r="A91" s="2"/>
      <c r="B91" s="2"/>
      <c r="C91" s="2"/>
      <c r="D91" s="2"/>
      <c r="E91" s="2"/>
      <c r="F91" s="2"/>
      <c r="G91" s="2"/>
      <c r="H91" s="2"/>
      <c r="I91" s="2"/>
      <c r="J91" s="2"/>
      <c r="K91" s="2"/>
      <c r="L91" s="2"/>
      <c r="M91" s="2"/>
      <c r="N91" s="2"/>
      <c r="O91" s="2" t="str">
        <f t="shared" si="2"/>
        <v>PASS</v>
      </c>
    </row>
    <row r="92" spans="1:15">
      <c r="A92" s="2"/>
      <c r="B92" s="2"/>
      <c r="C92" s="2"/>
      <c r="D92" s="2"/>
      <c r="E92" s="2"/>
      <c r="F92" s="2"/>
      <c r="G92" s="2"/>
      <c r="H92" s="2"/>
      <c r="I92" s="2"/>
      <c r="J92" s="2"/>
      <c r="K92" s="2"/>
      <c r="L92" s="2"/>
      <c r="M92" s="2"/>
      <c r="N92" s="2"/>
      <c r="O92" s="2" t="str">
        <f t="shared" si="2"/>
        <v>PASS</v>
      </c>
    </row>
    <row r="93" spans="1:15">
      <c r="A93" s="2"/>
      <c r="B93" s="2"/>
      <c r="C93" s="2"/>
      <c r="D93" s="2"/>
      <c r="E93" s="2"/>
      <c r="F93" s="2"/>
      <c r="G93" s="2"/>
      <c r="H93" s="2"/>
      <c r="I93" s="2"/>
      <c r="J93" s="2"/>
      <c r="K93" s="2"/>
      <c r="L93" s="2"/>
      <c r="M93" s="2"/>
      <c r="N93" s="2"/>
      <c r="O93" s="2" t="str">
        <f t="shared" si="2"/>
        <v>PASS</v>
      </c>
    </row>
    <row r="94" spans="1:15">
      <c r="A94" s="2"/>
      <c r="B94" s="2"/>
      <c r="C94" s="2"/>
      <c r="D94" s="2"/>
      <c r="E94" s="2"/>
      <c r="F94" s="2"/>
      <c r="G94" s="2"/>
      <c r="H94" s="2"/>
      <c r="I94" s="2"/>
      <c r="J94" s="2"/>
      <c r="K94" s="2"/>
      <c r="L94" s="2"/>
      <c r="M94" s="2"/>
      <c r="N94" s="2"/>
      <c r="O94" s="2" t="str">
        <f t="shared" si="2"/>
        <v>PASS</v>
      </c>
    </row>
    <row r="95" spans="1:15">
      <c r="A95" s="2"/>
      <c r="B95" s="2"/>
      <c r="C95" s="2"/>
      <c r="D95" s="2"/>
      <c r="E95" s="2"/>
      <c r="F95" s="2"/>
      <c r="G95" s="2"/>
      <c r="H95" s="2"/>
      <c r="I95" s="2"/>
      <c r="J95" s="2"/>
      <c r="K95" s="2"/>
      <c r="L95" s="2"/>
      <c r="M95" s="2"/>
      <c r="N95" s="2"/>
      <c r="O95" s="2" t="str">
        <f t="shared" si="2"/>
        <v>PASS</v>
      </c>
    </row>
    <row r="96" spans="1:15">
      <c r="A96" s="2"/>
      <c r="B96" s="2"/>
      <c r="C96" s="2"/>
      <c r="D96" s="2"/>
      <c r="E96" s="2"/>
      <c r="F96" s="2"/>
      <c r="G96" s="2"/>
      <c r="H96" s="2"/>
      <c r="I96" s="2"/>
      <c r="J96" s="2"/>
      <c r="K96" s="2"/>
      <c r="L96" s="2"/>
      <c r="M96" s="2"/>
      <c r="N96" s="2"/>
      <c r="O96" s="2" t="str">
        <f t="shared" si="2"/>
        <v>PASS</v>
      </c>
    </row>
    <row r="97" spans="1:15">
      <c r="A97" s="2"/>
      <c r="B97" s="2"/>
      <c r="C97" s="2"/>
      <c r="D97" s="2"/>
      <c r="E97" s="2"/>
      <c r="F97" s="2"/>
      <c r="G97" s="2"/>
      <c r="H97" s="2"/>
      <c r="I97" s="2"/>
      <c r="J97" s="2"/>
      <c r="K97" s="2"/>
      <c r="L97" s="2"/>
      <c r="M97" s="2"/>
      <c r="N97" s="2"/>
      <c r="O97" s="2" t="str">
        <f t="shared" si="2"/>
        <v>PASS</v>
      </c>
    </row>
    <row r="98" spans="1:15">
      <c r="A98" s="2"/>
      <c r="B98" s="2"/>
      <c r="C98" s="2"/>
      <c r="D98" s="2"/>
      <c r="E98" s="2"/>
      <c r="F98" s="2"/>
      <c r="G98" s="2"/>
      <c r="H98" s="2"/>
      <c r="I98" s="2"/>
      <c r="J98" s="2"/>
      <c r="K98" s="2"/>
      <c r="L98" s="2"/>
      <c r="M98" s="2"/>
      <c r="N98" s="2"/>
      <c r="O98" s="2" t="str">
        <f t="shared" si="2"/>
        <v>PASS</v>
      </c>
    </row>
    <row r="99" spans="1:15">
      <c r="A99" s="2"/>
      <c r="B99" s="2"/>
      <c r="C99" s="2"/>
      <c r="D99" s="2"/>
      <c r="E99" s="2"/>
      <c r="F99" s="2"/>
      <c r="G99" s="2"/>
      <c r="H99" s="2"/>
      <c r="I99" s="2"/>
      <c r="J99" s="2"/>
      <c r="K99" s="2"/>
      <c r="L99" s="2"/>
      <c r="M99" s="2"/>
      <c r="N99" s="2"/>
      <c r="O99" s="2" t="str">
        <f t="shared" si="2"/>
        <v>PASS</v>
      </c>
    </row>
    <row r="100" spans="1:15">
      <c r="A100" s="2"/>
      <c r="B100" s="2"/>
      <c r="C100" s="2"/>
      <c r="D100" s="2"/>
      <c r="E100" s="2"/>
      <c r="F100" s="2"/>
      <c r="G100" s="2"/>
      <c r="H100" s="2"/>
      <c r="I100" s="2"/>
      <c r="J100" s="2"/>
      <c r="K100" s="2"/>
      <c r="L100" s="2"/>
      <c r="M100" s="2"/>
      <c r="N100" s="2"/>
      <c r="O100" s="2" t="str">
        <f t="shared" si="2"/>
        <v>PASS</v>
      </c>
    </row>
    <row r="101" spans="1:15">
      <c r="A101" s="2"/>
      <c r="B101" s="2"/>
      <c r="C101" s="2"/>
      <c r="D101" s="2"/>
      <c r="E101" s="2"/>
      <c r="F101" s="2"/>
      <c r="G101" s="2"/>
      <c r="H101" s="2"/>
      <c r="I101" s="2"/>
      <c r="J101" s="2"/>
      <c r="K101" s="2"/>
      <c r="L101" s="2"/>
      <c r="M101" s="2"/>
      <c r="N101" s="2"/>
      <c r="O101" s="2" t="str">
        <f t="shared" si="2"/>
        <v>PASS</v>
      </c>
    </row>
    <row r="102" spans="1:15">
      <c r="A102" s="2"/>
      <c r="B102" s="2"/>
      <c r="C102" s="2"/>
      <c r="D102" s="2"/>
      <c r="E102" s="2"/>
      <c r="F102" s="2"/>
      <c r="G102" s="2"/>
      <c r="H102" s="2"/>
      <c r="I102" s="2"/>
      <c r="J102" s="2"/>
      <c r="K102" s="2"/>
      <c r="L102" s="2"/>
      <c r="M102" s="2"/>
      <c r="N102" s="2"/>
      <c r="O102" s="2" t="str">
        <f t="shared" si="2"/>
        <v>PASS</v>
      </c>
    </row>
    <row r="103" spans="1:15">
      <c r="A103" s="2"/>
      <c r="B103" s="2"/>
      <c r="C103" s="2"/>
      <c r="D103" s="2"/>
      <c r="E103" s="2"/>
      <c r="F103" s="2"/>
      <c r="G103" s="2"/>
      <c r="H103" s="2"/>
      <c r="I103" s="2"/>
      <c r="J103" s="2"/>
      <c r="K103" s="2"/>
      <c r="L103" s="2"/>
      <c r="M103" s="2"/>
      <c r="N103" s="2"/>
      <c r="O103" s="2" t="str">
        <f t="shared" si="2"/>
        <v>PASS</v>
      </c>
    </row>
    <row r="104" spans="1:15">
      <c r="A104" s="2"/>
      <c r="B104" s="2"/>
      <c r="C104" s="2"/>
      <c r="D104" s="2"/>
      <c r="E104" s="2"/>
      <c r="F104" s="2"/>
      <c r="G104" s="2"/>
      <c r="H104" s="2"/>
      <c r="I104" s="2"/>
      <c r="J104" s="2"/>
      <c r="K104" s="2"/>
      <c r="L104" s="2"/>
      <c r="M104" s="2"/>
      <c r="N104" s="2"/>
      <c r="O104" s="2" t="str">
        <f t="shared" si="2"/>
        <v>PASS</v>
      </c>
    </row>
    <row r="105" spans="1:15">
      <c r="A105" s="2"/>
      <c r="B105" s="2"/>
      <c r="C105" s="2"/>
      <c r="D105" s="2"/>
      <c r="E105" s="2"/>
      <c r="F105" s="2"/>
      <c r="G105" s="2"/>
      <c r="H105" s="2"/>
      <c r="I105" s="2"/>
      <c r="J105" s="2"/>
      <c r="K105" s="2"/>
      <c r="L105" s="2"/>
      <c r="M105" s="2"/>
      <c r="N105" s="2"/>
      <c r="O105" s="2" t="str">
        <f t="shared" si="2"/>
        <v>PASS</v>
      </c>
    </row>
    <row r="106" spans="1:15">
      <c r="A106" s="2"/>
      <c r="B106" s="2"/>
      <c r="C106" s="2"/>
      <c r="D106" s="2"/>
      <c r="E106" s="2"/>
      <c r="F106" s="2"/>
      <c r="G106" s="2"/>
      <c r="H106" s="2"/>
      <c r="I106" s="2"/>
      <c r="J106" s="2"/>
      <c r="K106" s="2"/>
      <c r="L106" s="2"/>
      <c r="M106" s="2"/>
      <c r="N106" s="2"/>
      <c r="O106" s="2" t="str">
        <f t="shared" si="2"/>
        <v>PASS</v>
      </c>
    </row>
    <row r="107" spans="1:15">
      <c r="A107" s="2"/>
      <c r="B107" s="2"/>
      <c r="C107" s="2"/>
      <c r="D107" s="2"/>
      <c r="E107" s="2"/>
      <c r="F107" s="2"/>
      <c r="G107" s="2"/>
      <c r="H107" s="2"/>
      <c r="I107" s="2"/>
      <c r="J107" s="2"/>
      <c r="K107" s="2"/>
      <c r="L107" s="2"/>
      <c r="M107" s="2"/>
      <c r="N107" s="2"/>
      <c r="O107" s="2" t="str">
        <f t="shared" si="2"/>
        <v>PASS</v>
      </c>
    </row>
    <row r="108" spans="1:15">
      <c r="A108" s="2"/>
      <c r="B108" s="2"/>
      <c r="C108" s="2"/>
      <c r="D108" s="2"/>
      <c r="E108" s="2"/>
      <c r="F108" s="2"/>
      <c r="G108" s="2"/>
      <c r="H108" s="2"/>
      <c r="I108" s="2"/>
      <c r="J108" s="2"/>
      <c r="K108" s="2"/>
      <c r="L108" s="2"/>
      <c r="M108" s="2"/>
      <c r="N108" s="2"/>
      <c r="O108" s="2" t="str">
        <f t="shared" si="2"/>
        <v>PASS</v>
      </c>
    </row>
    <row r="109" spans="1:15">
      <c r="A109" s="2"/>
      <c r="B109" s="2"/>
      <c r="C109" s="2"/>
      <c r="D109" s="2"/>
      <c r="E109" s="2"/>
      <c r="F109" s="2"/>
      <c r="G109" s="2"/>
      <c r="H109" s="2"/>
      <c r="I109" s="2"/>
      <c r="J109" s="2"/>
      <c r="K109" s="2"/>
      <c r="L109" s="2"/>
      <c r="M109" s="2"/>
      <c r="N109" s="2"/>
      <c r="O109" s="2" t="str">
        <f t="shared" si="2"/>
        <v>PASS</v>
      </c>
    </row>
    <row r="110" spans="1:15">
      <c r="A110" s="2"/>
      <c r="B110" s="2"/>
      <c r="C110" s="2"/>
      <c r="D110" s="2"/>
      <c r="E110" s="2"/>
      <c r="F110" s="2"/>
      <c r="G110" s="2"/>
      <c r="H110" s="2"/>
      <c r="I110" s="2"/>
      <c r="J110" s="2"/>
      <c r="K110" s="2"/>
      <c r="L110" s="2"/>
      <c r="M110" s="2"/>
      <c r="N110" s="2"/>
      <c r="O110" s="2" t="str">
        <f t="shared" si="2"/>
        <v>PASS</v>
      </c>
    </row>
    <row r="111" spans="1:15">
      <c r="A111" s="2"/>
      <c r="B111" s="2"/>
      <c r="C111" s="2"/>
      <c r="D111" s="2"/>
      <c r="E111" s="2"/>
      <c r="F111" s="2"/>
      <c r="G111" s="2"/>
      <c r="H111" s="2"/>
      <c r="I111" s="2"/>
      <c r="J111" s="2"/>
      <c r="K111" s="2"/>
      <c r="L111" s="2"/>
      <c r="M111" s="2"/>
      <c r="N111" s="2"/>
      <c r="O111" s="2" t="str">
        <f t="shared" si="2"/>
        <v>PASS</v>
      </c>
    </row>
    <row r="112" spans="1:15">
      <c r="A112" s="2"/>
      <c r="B112" s="2"/>
      <c r="C112" s="2"/>
      <c r="D112" s="2"/>
      <c r="E112" s="2"/>
      <c r="F112" s="2"/>
      <c r="G112" s="2"/>
      <c r="H112" s="2"/>
      <c r="I112" s="2"/>
      <c r="J112" s="2"/>
      <c r="K112" s="2"/>
      <c r="L112" s="2"/>
      <c r="M112" s="2"/>
      <c r="N112" s="2"/>
      <c r="O112" s="2" t="str">
        <f t="shared" si="2"/>
        <v>PASS</v>
      </c>
    </row>
    <row r="113" spans="1:15">
      <c r="A113" s="2"/>
      <c r="B113" s="2"/>
      <c r="C113" s="2"/>
      <c r="D113" s="2"/>
      <c r="E113" s="2"/>
      <c r="F113" s="2"/>
      <c r="G113" s="2"/>
      <c r="H113" s="2"/>
      <c r="I113" s="2"/>
      <c r="J113" s="2"/>
      <c r="K113" s="2"/>
      <c r="L113" s="2"/>
      <c r="M113" s="2"/>
      <c r="N113" s="2"/>
      <c r="O113" s="2" t="str">
        <f t="shared" si="2"/>
        <v>PASS</v>
      </c>
    </row>
  </sheetData>
  <mergeCells count="2">
    <mergeCell ref="A1:O1"/>
    <mergeCell ref="A2:O2"/>
  </mergeCells>
  <dataValidations count="2">
    <dataValidation type="list" sqref="B7" xr:uid="{00000000-0002-0000-1A00-000000000000}">
      <formula1>"Yes,No"</formula1>
    </dataValidation>
    <dataValidation type="list" sqref="F14:M113" xr:uid="{00000000-0002-0000-1A00-000001000000}">
      <formula1>"Yes,No,N/A"</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K141"/>
  <sheetViews>
    <sheetView workbookViewId="0"/>
  </sheetViews>
  <sheetFormatPr defaultRowHeight="14"/>
  <cols>
    <col min="1" max="5" width="28" customWidth="1"/>
    <col min="8" max="25" width="15" customWidth="1"/>
    <col min="26" max="35" width="20" customWidth="1"/>
  </cols>
  <sheetData>
    <row r="1" spans="1:35" ht="20">
      <c r="A1" s="6" t="s">
        <v>354</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ht="14.5">
      <c r="A2" s="8" t="s">
        <v>106</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row>
    <row r="4" spans="1:35">
      <c r="A4" s="3" t="s">
        <v>107</v>
      </c>
      <c r="B4" t="s">
        <v>355</v>
      </c>
      <c r="D4" s="9" t="s">
        <v>109</v>
      </c>
      <c r="E4" s="9"/>
      <c r="F4" s="9"/>
      <c r="G4" s="9"/>
      <c r="H4" s="9"/>
    </row>
    <row r="5" spans="1:35" ht="28">
      <c r="A5" s="3" t="s">
        <v>110</v>
      </c>
      <c r="D5" s="4" t="s">
        <v>6</v>
      </c>
      <c r="E5" s="4" t="s">
        <v>111</v>
      </c>
      <c r="F5" s="4"/>
      <c r="G5" s="4"/>
      <c r="H5" s="4"/>
    </row>
    <row r="6" spans="1:35" ht="42">
      <c r="A6" s="3" t="s">
        <v>112</v>
      </c>
      <c r="D6" s="4" t="s">
        <v>12</v>
      </c>
      <c r="E6" s="4" t="s">
        <v>113</v>
      </c>
      <c r="F6" s="4"/>
      <c r="G6" s="4"/>
      <c r="H6" s="4"/>
    </row>
    <row r="7" spans="1:35" ht="42">
      <c r="A7" s="3" t="s">
        <v>114</v>
      </c>
      <c r="D7" s="4" t="s">
        <v>18</v>
      </c>
      <c r="E7" s="4" t="s">
        <v>115</v>
      </c>
      <c r="F7" s="4"/>
      <c r="G7" s="4"/>
      <c r="H7" s="4"/>
    </row>
    <row r="8" spans="1:35" ht="42">
      <c r="A8" s="3" t="s">
        <v>116</v>
      </c>
      <c r="B8">
        <f>COUNTA(A18:A117)</f>
        <v>0</v>
      </c>
      <c r="D8" s="4" t="s">
        <v>23</v>
      </c>
      <c r="E8" s="4" t="s">
        <v>117</v>
      </c>
      <c r="F8" s="4"/>
      <c r="G8" s="4"/>
      <c r="H8" s="4"/>
    </row>
    <row r="9" spans="1:35">
      <c r="A9" s="3" t="s">
        <v>6</v>
      </c>
      <c r="B9">
        <f>COUNTIF(Z18:Z117,"Low")</f>
        <v>0</v>
      </c>
    </row>
    <row r="10" spans="1:35">
      <c r="A10" s="3" t="s">
        <v>12</v>
      </c>
      <c r="B10">
        <f>COUNTIF(Z18:Z117,"Medium")</f>
        <v>0</v>
      </c>
    </row>
    <row r="11" spans="1:35">
      <c r="A11" s="3" t="s">
        <v>18</v>
      </c>
      <c r="B11">
        <f>COUNTIF(Z18:Z117,"High")</f>
        <v>0</v>
      </c>
    </row>
    <row r="12" spans="1:35">
      <c r="A12" s="3" t="s">
        <v>23</v>
      </c>
      <c r="B12">
        <f>COUNTIF(Z18:Z117,"Very High")</f>
        <v>0</v>
      </c>
    </row>
    <row r="13" spans="1:35">
      <c r="A13" s="3" t="s">
        <v>118</v>
      </c>
      <c r="B13">
        <f>COUNTIF(AD18:AD117,"Yes")</f>
        <v>0</v>
      </c>
    </row>
    <row r="14" spans="1:35">
      <c r="A14" s="3" t="s">
        <v>119</v>
      </c>
    </row>
    <row r="17" spans="1:37" ht="28">
      <c r="A17" s="1" t="s">
        <v>120</v>
      </c>
      <c r="B17" s="1" t="s">
        <v>121</v>
      </c>
      <c r="C17" s="1" t="s">
        <v>2</v>
      </c>
      <c r="D17" s="1" t="s">
        <v>75</v>
      </c>
      <c r="E17" s="1" t="s">
        <v>122</v>
      </c>
      <c r="F17" s="1" t="s">
        <v>123</v>
      </c>
      <c r="G17" s="1" t="s">
        <v>110</v>
      </c>
      <c r="H17" s="1" t="s">
        <v>124</v>
      </c>
      <c r="I17" s="1" t="s">
        <v>125</v>
      </c>
      <c r="J17" s="1" t="s">
        <v>126</v>
      </c>
      <c r="K17" s="1" t="s">
        <v>127</v>
      </c>
      <c r="L17" s="1" t="s">
        <v>128</v>
      </c>
      <c r="M17" s="1" t="s">
        <v>129</v>
      </c>
      <c r="N17" s="1" t="s">
        <v>130</v>
      </c>
      <c r="O17" s="1" t="s">
        <v>131</v>
      </c>
      <c r="P17" s="1" t="s">
        <v>132</v>
      </c>
      <c r="Q17" s="1" t="s">
        <v>133</v>
      </c>
      <c r="R17" s="1" t="s">
        <v>134</v>
      </c>
      <c r="S17" s="1" t="s">
        <v>135</v>
      </c>
      <c r="T17" s="1" t="s">
        <v>136</v>
      </c>
      <c r="U17" s="1" t="s">
        <v>137</v>
      </c>
      <c r="V17" s="1" t="s">
        <v>138</v>
      </c>
      <c r="W17" s="1" t="s">
        <v>139</v>
      </c>
      <c r="X17" s="1" t="s">
        <v>140</v>
      </c>
      <c r="Y17" s="1" t="s">
        <v>141</v>
      </c>
      <c r="Z17" s="1" t="s">
        <v>142</v>
      </c>
      <c r="AA17" s="1" t="s">
        <v>143</v>
      </c>
      <c r="AB17" s="1" t="s">
        <v>144</v>
      </c>
      <c r="AC17" s="1" t="s">
        <v>3</v>
      </c>
      <c r="AD17" s="1" t="s">
        <v>145</v>
      </c>
      <c r="AE17" s="1" t="s">
        <v>146</v>
      </c>
      <c r="AF17" s="1" t="s">
        <v>147</v>
      </c>
      <c r="AG17" s="1" t="s">
        <v>148</v>
      </c>
      <c r="AH17" s="1" t="s">
        <v>149</v>
      </c>
      <c r="AI17" s="1" t="s">
        <v>150</v>
      </c>
      <c r="AJ17" t="s">
        <v>151</v>
      </c>
      <c r="AK17" t="s">
        <v>152</v>
      </c>
    </row>
    <row r="18" spans="1:37">
      <c r="A18" s="2"/>
      <c r="B18" s="2"/>
      <c r="C18" s="2"/>
      <c r="D18" s="2"/>
      <c r="E18" s="5"/>
      <c r="F18" s="2"/>
      <c r="G18" s="5"/>
      <c r="H18" s="2"/>
      <c r="I18" s="2"/>
      <c r="J18" s="2"/>
      <c r="K18" s="2"/>
      <c r="L18" s="2"/>
      <c r="M18" s="2"/>
      <c r="N18" s="2"/>
      <c r="O18" s="2"/>
      <c r="P18" s="2"/>
      <c r="Q18" s="2"/>
      <c r="R18" s="2"/>
      <c r="S18" s="2"/>
      <c r="T18" s="2"/>
      <c r="U18" s="2"/>
      <c r="V18" s="2"/>
      <c r="W18" s="2"/>
      <c r="X18" s="2"/>
      <c r="Y18" s="2"/>
      <c r="Z18" s="2" t="str">
        <f t="shared" ref="Z18:Z49" si="0">IF(COUNTA(H18:Y18)=0,"",IF(COUNTIF(H18:Y18,"Very High")&gt;0,"Very High",IF(COUNTIF(H18:Y18,"High")&gt;0,"High",IF(COUNTIF(H18:Y18,"Medium")&gt;0,"Medium","Low"))))</f>
        <v/>
      </c>
      <c r="AA18" s="2" t="str">
        <f t="shared" ref="AA18:AA49" si="1">IF(Z18="","",IF(Z18="Low","Routine planned support",IF(Z18="Medium","One staff support/supervision likely",IF(Z18="High","Two staff/review staffing and equipment","Manager review: multiple staff/specialist support"))))</f>
        <v/>
      </c>
      <c r="AB18" s="2" t="str">
        <f t="shared" ref="AB18:AB49" si="2">IF(Z18="","",IF(OR(Z18="High",Z18="Very High",W18="High",W18="Very High"),"Night staffing and evacuation review required","Routine night checks as per care plan"))</f>
        <v/>
      </c>
      <c r="AC18" s="2" t="str">
        <f t="shared" ref="AC18:AC49" si="3">IF(X18="Very High","Specialist PEEP / equipment",IF(OR(X18="High",Z18="High"),"Evacuation sheet/chair or wheelchair per PEEP",IF(OR(X18="Medium",Z18="Medium"),"Walking aid/wheelchair support per PEEP","Walks with direction")))</f>
        <v>Walks with direction</v>
      </c>
      <c r="AD18" s="2"/>
      <c r="AE18" s="5"/>
      <c r="AF18" s="2"/>
      <c r="AG18" s="2"/>
      <c r="AH18" s="2"/>
      <c r="AI18" s="2"/>
    </row>
    <row r="19" spans="1:37">
      <c r="A19" s="2"/>
      <c r="B19" s="2"/>
      <c r="C19" s="2"/>
      <c r="D19" s="2"/>
      <c r="E19" s="5"/>
      <c r="F19" s="2"/>
      <c r="G19" s="5"/>
      <c r="H19" s="2"/>
      <c r="I19" s="2"/>
      <c r="J19" s="2"/>
      <c r="K19" s="2"/>
      <c r="L19" s="2"/>
      <c r="M19" s="2"/>
      <c r="N19" s="2"/>
      <c r="O19" s="2"/>
      <c r="P19" s="2"/>
      <c r="Q19" s="2"/>
      <c r="R19" s="2"/>
      <c r="S19" s="2"/>
      <c r="T19" s="2"/>
      <c r="U19" s="2"/>
      <c r="V19" s="2"/>
      <c r="W19" s="2"/>
      <c r="X19" s="2"/>
      <c r="Y19" s="2"/>
      <c r="Z19" s="2" t="str">
        <f t="shared" si="0"/>
        <v/>
      </c>
      <c r="AA19" s="2" t="str">
        <f t="shared" si="1"/>
        <v/>
      </c>
      <c r="AB19" s="2" t="str">
        <f t="shared" si="2"/>
        <v/>
      </c>
      <c r="AC19" s="2" t="str">
        <f t="shared" si="3"/>
        <v>Walks with direction</v>
      </c>
      <c r="AD19" s="2"/>
      <c r="AE19" s="5"/>
      <c r="AF19" s="2"/>
      <c r="AG19" s="2"/>
      <c r="AH19" s="2"/>
      <c r="AI19" s="2"/>
    </row>
    <row r="20" spans="1:37">
      <c r="A20" s="2"/>
      <c r="B20" s="2"/>
      <c r="C20" s="2"/>
      <c r="D20" s="2"/>
      <c r="E20" s="5"/>
      <c r="F20" s="2"/>
      <c r="G20" s="5"/>
      <c r="H20" s="2"/>
      <c r="I20" s="2"/>
      <c r="J20" s="2"/>
      <c r="K20" s="2"/>
      <c r="L20" s="2"/>
      <c r="M20" s="2"/>
      <c r="N20" s="2"/>
      <c r="O20" s="2"/>
      <c r="P20" s="2"/>
      <c r="Q20" s="2"/>
      <c r="R20" s="2"/>
      <c r="S20" s="2"/>
      <c r="T20" s="2"/>
      <c r="U20" s="2"/>
      <c r="V20" s="2"/>
      <c r="W20" s="2"/>
      <c r="X20" s="2"/>
      <c r="Y20" s="2"/>
      <c r="Z20" s="2" t="str">
        <f t="shared" si="0"/>
        <v/>
      </c>
      <c r="AA20" s="2" t="str">
        <f t="shared" si="1"/>
        <v/>
      </c>
      <c r="AB20" s="2" t="str">
        <f t="shared" si="2"/>
        <v/>
      </c>
      <c r="AC20" s="2" t="str">
        <f t="shared" si="3"/>
        <v>Walks with direction</v>
      </c>
      <c r="AD20" s="2"/>
      <c r="AE20" s="5"/>
      <c r="AF20" s="2"/>
      <c r="AG20" s="2"/>
      <c r="AH20" s="2"/>
      <c r="AI20" s="2"/>
    </row>
    <row r="21" spans="1:37">
      <c r="A21" s="2"/>
      <c r="B21" s="2"/>
      <c r="C21" s="2"/>
      <c r="D21" s="2"/>
      <c r="E21" s="5"/>
      <c r="F21" s="2"/>
      <c r="G21" s="5"/>
      <c r="H21" s="2"/>
      <c r="I21" s="2"/>
      <c r="J21" s="2"/>
      <c r="K21" s="2"/>
      <c r="L21" s="2"/>
      <c r="M21" s="2"/>
      <c r="N21" s="2"/>
      <c r="O21" s="2"/>
      <c r="P21" s="2"/>
      <c r="Q21" s="2"/>
      <c r="R21" s="2"/>
      <c r="S21" s="2"/>
      <c r="T21" s="2"/>
      <c r="U21" s="2"/>
      <c r="V21" s="2"/>
      <c r="W21" s="2"/>
      <c r="X21" s="2"/>
      <c r="Y21" s="2"/>
      <c r="Z21" s="2" t="str">
        <f t="shared" si="0"/>
        <v/>
      </c>
      <c r="AA21" s="2" t="str">
        <f t="shared" si="1"/>
        <v/>
      </c>
      <c r="AB21" s="2" t="str">
        <f t="shared" si="2"/>
        <v/>
      </c>
      <c r="AC21" s="2" t="str">
        <f t="shared" si="3"/>
        <v>Walks with direction</v>
      </c>
      <c r="AD21" s="2"/>
      <c r="AE21" s="5"/>
      <c r="AF21" s="2"/>
      <c r="AG21" s="2"/>
      <c r="AH21" s="2"/>
      <c r="AI21" s="2"/>
    </row>
    <row r="22" spans="1:37">
      <c r="A22" s="2"/>
      <c r="B22" s="2"/>
      <c r="C22" s="2"/>
      <c r="D22" s="2"/>
      <c r="E22" s="5"/>
      <c r="F22" s="2"/>
      <c r="G22" s="5"/>
      <c r="H22" s="2"/>
      <c r="I22" s="2"/>
      <c r="J22" s="2"/>
      <c r="K22" s="2"/>
      <c r="L22" s="2"/>
      <c r="M22" s="2"/>
      <c r="N22" s="2"/>
      <c r="O22" s="2"/>
      <c r="P22" s="2"/>
      <c r="Q22" s="2"/>
      <c r="R22" s="2"/>
      <c r="S22" s="2"/>
      <c r="T22" s="2"/>
      <c r="U22" s="2"/>
      <c r="V22" s="2"/>
      <c r="W22" s="2"/>
      <c r="X22" s="2"/>
      <c r="Y22" s="2"/>
      <c r="Z22" s="2" t="str">
        <f t="shared" si="0"/>
        <v/>
      </c>
      <c r="AA22" s="2" t="str">
        <f t="shared" si="1"/>
        <v/>
      </c>
      <c r="AB22" s="2" t="str">
        <f t="shared" si="2"/>
        <v/>
      </c>
      <c r="AC22" s="2" t="str">
        <f t="shared" si="3"/>
        <v>Walks with direction</v>
      </c>
      <c r="AD22" s="2"/>
      <c r="AE22" s="5"/>
      <c r="AF22" s="2"/>
      <c r="AG22" s="2"/>
      <c r="AH22" s="2"/>
      <c r="AI22" s="2"/>
    </row>
    <row r="23" spans="1:37">
      <c r="A23" s="2"/>
      <c r="B23" s="2"/>
      <c r="C23" s="2"/>
      <c r="D23" s="2"/>
      <c r="E23" s="5"/>
      <c r="F23" s="2"/>
      <c r="G23" s="5"/>
      <c r="H23" s="2"/>
      <c r="I23" s="2"/>
      <c r="J23" s="2"/>
      <c r="K23" s="2"/>
      <c r="L23" s="2"/>
      <c r="M23" s="2"/>
      <c r="N23" s="2"/>
      <c r="O23" s="2"/>
      <c r="P23" s="2"/>
      <c r="Q23" s="2"/>
      <c r="R23" s="2"/>
      <c r="S23" s="2"/>
      <c r="T23" s="2"/>
      <c r="U23" s="2"/>
      <c r="V23" s="2"/>
      <c r="W23" s="2"/>
      <c r="X23" s="2"/>
      <c r="Y23" s="2"/>
      <c r="Z23" s="2" t="str">
        <f t="shared" si="0"/>
        <v/>
      </c>
      <c r="AA23" s="2" t="str">
        <f t="shared" si="1"/>
        <v/>
      </c>
      <c r="AB23" s="2" t="str">
        <f t="shared" si="2"/>
        <v/>
      </c>
      <c r="AC23" s="2" t="str">
        <f t="shared" si="3"/>
        <v>Walks with direction</v>
      </c>
      <c r="AD23" s="2"/>
      <c r="AE23" s="5"/>
      <c r="AF23" s="2"/>
      <c r="AG23" s="2"/>
      <c r="AH23" s="2"/>
      <c r="AI23" s="2"/>
    </row>
    <row r="24" spans="1:37">
      <c r="A24" s="2"/>
      <c r="B24" s="2"/>
      <c r="C24" s="2"/>
      <c r="D24" s="2"/>
      <c r="E24" s="5"/>
      <c r="F24" s="2"/>
      <c r="G24" s="5"/>
      <c r="H24" s="2"/>
      <c r="I24" s="2"/>
      <c r="J24" s="2"/>
      <c r="K24" s="2"/>
      <c r="L24" s="2"/>
      <c r="M24" s="2"/>
      <c r="N24" s="2"/>
      <c r="O24" s="2"/>
      <c r="P24" s="2"/>
      <c r="Q24" s="2"/>
      <c r="R24" s="2"/>
      <c r="S24" s="2"/>
      <c r="T24" s="2"/>
      <c r="U24" s="2"/>
      <c r="V24" s="2"/>
      <c r="W24" s="2"/>
      <c r="X24" s="2"/>
      <c r="Y24" s="2"/>
      <c r="Z24" s="2" t="str">
        <f t="shared" si="0"/>
        <v/>
      </c>
      <c r="AA24" s="2" t="str">
        <f t="shared" si="1"/>
        <v/>
      </c>
      <c r="AB24" s="2" t="str">
        <f t="shared" si="2"/>
        <v/>
      </c>
      <c r="AC24" s="2" t="str">
        <f t="shared" si="3"/>
        <v>Walks with direction</v>
      </c>
      <c r="AD24" s="2"/>
      <c r="AE24" s="5"/>
      <c r="AF24" s="2"/>
      <c r="AG24" s="2"/>
      <c r="AH24" s="2"/>
      <c r="AI24" s="2"/>
    </row>
    <row r="25" spans="1:37">
      <c r="A25" s="2"/>
      <c r="B25" s="2"/>
      <c r="C25" s="2"/>
      <c r="D25" s="2"/>
      <c r="E25" s="5"/>
      <c r="F25" s="2"/>
      <c r="G25" s="5"/>
      <c r="H25" s="2"/>
      <c r="I25" s="2"/>
      <c r="J25" s="2"/>
      <c r="K25" s="2"/>
      <c r="L25" s="2"/>
      <c r="M25" s="2"/>
      <c r="N25" s="2"/>
      <c r="O25" s="2"/>
      <c r="P25" s="2"/>
      <c r="Q25" s="2"/>
      <c r="R25" s="2"/>
      <c r="S25" s="2"/>
      <c r="T25" s="2"/>
      <c r="U25" s="2"/>
      <c r="V25" s="2"/>
      <c r="W25" s="2"/>
      <c r="X25" s="2"/>
      <c r="Y25" s="2"/>
      <c r="Z25" s="2" t="str">
        <f t="shared" si="0"/>
        <v/>
      </c>
      <c r="AA25" s="2" t="str">
        <f t="shared" si="1"/>
        <v/>
      </c>
      <c r="AB25" s="2" t="str">
        <f t="shared" si="2"/>
        <v/>
      </c>
      <c r="AC25" s="2" t="str">
        <f t="shared" si="3"/>
        <v>Walks with direction</v>
      </c>
      <c r="AD25" s="2"/>
      <c r="AE25" s="5"/>
      <c r="AF25" s="2"/>
      <c r="AG25" s="2"/>
      <c r="AH25" s="2"/>
      <c r="AI25" s="2"/>
    </row>
    <row r="26" spans="1:37">
      <c r="A26" s="2"/>
      <c r="B26" s="2"/>
      <c r="C26" s="2"/>
      <c r="D26" s="2"/>
      <c r="E26" s="5"/>
      <c r="F26" s="2"/>
      <c r="G26" s="5"/>
      <c r="H26" s="2"/>
      <c r="I26" s="2"/>
      <c r="J26" s="2"/>
      <c r="K26" s="2"/>
      <c r="L26" s="2"/>
      <c r="M26" s="2"/>
      <c r="N26" s="2"/>
      <c r="O26" s="2"/>
      <c r="P26" s="2"/>
      <c r="Q26" s="2"/>
      <c r="R26" s="2"/>
      <c r="S26" s="2"/>
      <c r="T26" s="2"/>
      <c r="U26" s="2"/>
      <c r="V26" s="2"/>
      <c r="W26" s="2"/>
      <c r="X26" s="2"/>
      <c r="Y26" s="2"/>
      <c r="Z26" s="2" t="str">
        <f t="shared" si="0"/>
        <v/>
      </c>
      <c r="AA26" s="2" t="str">
        <f t="shared" si="1"/>
        <v/>
      </c>
      <c r="AB26" s="2" t="str">
        <f t="shared" si="2"/>
        <v/>
      </c>
      <c r="AC26" s="2" t="str">
        <f t="shared" si="3"/>
        <v>Walks with direction</v>
      </c>
      <c r="AD26" s="2"/>
      <c r="AE26" s="5"/>
      <c r="AF26" s="2"/>
      <c r="AG26" s="2"/>
      <c r="AH26" s="2"/>
      <c r="AI26" s="2"/>
    </row>
    <row r="27" spans="1:37">
      <c r="A27" s="2"/>
      <c r="B27" s="2"/>
      <c r="C27" s="2"/>
      <c r="D27" s="2"/>
      <c r="E27" s="5"/>
      <c r="F27" s="2"/>
      <c r="G27" s="5"/>
      <c r="H27" s="2"/>
      <c r="I27" s="2"/>
      <c r="J27" s="2"/>
      <c r="K27" s="2"/>
      <c r="L27" s="2"/>
      <c r="M27" s="2"/>
      <c r="N27" s="2"/>
      <c r="O27" s="2"/>
      <c r="P27" s="2"/>
      <c r="Q27" s="2"/>
      <c r="R27" s="2"/>
      <c r="S27" s="2"/>
      <c r="T27" s="2"/>
      <c r="U27" s="2"/>
      <c r="V27" s="2"/>
      <c r="W27" s="2"/>
      <c r="X27" s="2"/>
      <c r="Y27" s="2"/>
      <c r="Z27" s="2" t="str">
        <f t="shared" si="0"/>
        <v/>
      </c>
      <c r="AA27" s="2" t="str">
        <f t="shared" si="1"/>
        <v/>
      </c>
      <c r="AB27" s="2" t="str">
        <f t="shared" si="2"/>
        <v/>
      </c>
      <c r="AC27" s="2" t="str">
        <f t="shared" si="3"/>
        <v>Walks with direction</v>
      </c>
      <c r="AD27" s="2"/>
      <c r="AE27" s="5"/>
      <c r="AF27" s="2"/>
      <c r="AG27" s="2"/>
      <c r="AH27" s="2"/>
      <c r="AI27" s="2"/>
    </row>
    <row r="28" spans="1:37">
      <c r="A28" s="2"/>
      <c r="B28" s="2"/>
      <c r="C28" s="2"/>
      <c r="D28" s="2"/>
      <c r="E28" s="5"/>
      <c r="F28" s="2"/>
      <c r="G28" s="5"/>
      <c r="H28" s="2"/>
      <c r="I28" s="2"/>
      <c r="J28" s="2"/>
      <c r="K28" s="2"/>
      <c r="L28" s="2"/>
      <c r="M28" s="2"/>
      <c r="N28" s="2"/>
      <c r="O28" s="2"/>
      <c r="P28" s="2"/>
      <c r="Q28" s="2"/>
      <c r="R28" s="2"/>
      <c r="S28" s="2"/>
      <c r="T28" s="2"/>
      <c r="U28" s="2"/>
      <c r="V28" s="2"/>
      <c r="W28" s="2"/>
      <c r="X28" s="2"/>
      <c r="Y28" s="2"/>
      <c r="Z28" s="2" t="str">
        <f t="shared" si="0"/>
        <v/>
      </c>
      <c r="AA28" s="2" t="str">
        <f t="shared" si="1"/>
        <v/>
      </c>
      <c r="AB28" s="2" t="str">
        <f t="shared" si="2"/>
        <v/>
      </c>
      <c r="AC28" s="2" t="str">
        <f t="shared" si="3"/>
        <v>Walks with direction</v>
      </c>
      <c r="AD28" s="2"/>
      <c r="AE28" s="5"/>
      <c r="AF28" s="2"/>
      <c r="AG28" s="2"/>
      <c r="AH28" s="2"/>
      <c r="AI28" s="2"/>
    </row>
    <row r="29" spans="1:37">
      <c r="A29" s="2"/>
      <c r="B29" s="2"/>
      <c r="C29" s="2"/>
      <c r="D29" s="2"/>
      <c r="E29" s="5"/>
      <c r="F29" s="2"/>
      <c r="G29" s="5"/>
      <c r="H29" s="2"/>
      <c r="I29" s="2"/>
      <c r="J29" s="2"/>
      <c r="K29" s="2"/>
      <c r="L29" s="2"/>
      <c r="M29" s="2"/>
      <c r="N29" s="2"/>
      <c r="O29" s="2"/>
      <c r="P29" s="2"/>
      <c r="Q29" s="2"/>
      <c r="R29" s="2"/>
      <c r="S29" s="2"/>
      <c r="T29" s="2"/>
      <c r="U29" s="2"/>
      <c r="V29" s="2"/>
      <c r="W29" s="2"/>
      <c r="X29" s="2"/>
      <c r="Y29" s="2"/>
      <c r="Z29" s="2" t="str">
        <f t="shared" si="0"/>
        <v/>
      </c>
      <c r="AA29" s="2" t="str">
        <f t="shared" si="1"/>
        <v/>
      </c>
      <c r="AB29" s="2" t="str">
        <f t="shared" si="2"/>
        <v/>
      </c>
      <c r="AC29" s="2" t="str">
        <f t="shared" si="3"/>
        <v>Walks with direction</v>
      </c>
      <c r="AD29" s="2"/>
      <c r="AE29" s="5"/>
      <c r="AF29" s="2"/>
      <c r="AG29" s="2"/>
      <c r="AH29" s="2"/>
      <c r="AI29" s="2"/>
    </row>
    <row r="30" spans="1:37">
      <c r="A30" s="2"/>
      <c r="B30" s="2"/>
      <c r="C30" s="2"/>
      <c r="D30" s="2"/>
      <c r="E30" s="5"/>
      <c r="F30" s="2"/>
      <c r="G30" s="5"/>
      <c r="H30" s="2"/>
      <c r="I30" s="2"/>
      <c r="J30" s="2"/>
      <c r="K30" s="2"/>
      <c r="L30" s="2"/>
      <c r="M30" s="2"/>
      <c r="N30" s="2"/>
      <c r="O30" s="2"/>
      <c r="P30" s="2"/>
      <c r="Q30" s="2"/>
      <c r="R30" s="2"/>
      <c r="S30" s="2"/>
      <c r="T30" s="2"/>
      <c r="U30" s="2"/>
      <c r="V30" s="2"/>
      <c r="W30" s="2"/>
      <c r="X30" s="2"/>
      <c r="Y30" s="2"/>
      <c r="Z30" s="2" t="str">
        <f t="shared" si="0"/>
        <v/>
      </c>
      <c r="AA30" s="2" t="str">
        <f t="shared" si="1"/>
        <v/>
      </c>
      <c r="AB30" s="2" t="str">
        <f t="shared" si="2"/>
        <v/>
      </c>
      <c r="AC30" s="2" t="str">
        <f t="shared" si="3"/>
        <v>Walks with direction</v>
      </c>
      <c r="AD30" s="2"/>
      <c r="AE30" s="5"/>
      <c r="AF30" s="2"/>
      <c r="AG30" s="2"/>
      <c r="AH30" s="2"/>
      <c r="AI30" s="2"/>
    </row>
    <row r="31" spans="1:37">
      <c r="A31" s="2"/>
      <c r="B31" s="2"/>
      <c r="C31" s="2"/>
      <c r="D31" s="2"/>
      <c r="E31" s="5"/>
      <c r="F31" s="2"/>
      <c r="G31" s="5"/>
      <c r="H31" s="2"/>
      <c r="I31" s="2"/>
      <c r="J31" s="2"/>
      <c r="K31" s="2"/>
      <c r="L31" s="2"/>
      <c r="M31" s="2"/>
      <c r="N31" s="2"/>
      <c r="O31" s="2"/>
      <c r="P31" s="2"/>
      <c r="Q31" s="2"/>
      <c r="R31" s="2"/>
      <c r="S31" s="2"/>
      <c r="T31" s="2"/>
      <c r="U31" s="2"/>
      <c r="V31" s="2"/>
      <c r="W31" s="2"/>
      <c r="X31" s="2"/>
      <c r="Y31" s="2"/>
      <c r="Z31" s="2" t="str">
        <f t="shared" si="0"/>
        <v/>
      </c>
      <c r="AA31" s="2" t="str">
        <f t="shared" si="1"/>
        <v/>
      </c>
      <c r="AB31" s="2" t="str">
        <f t="shared" si="2"/>
        <v/>
      </c>
      <c r="AC31" s="2" t="str">
        <f t="shared" si="3"/>
        <v>Walks with direction</v>
      </c>
      <c r="AD31" s="2"/>
      <c r="AE31" s="5"/>
      <c r="AF31" s="2"/>
      <c r="AG31" s="2"/>
      <c r="AH31" s="2"/>
      <c r="AI31" s="2"/>
    </row>
    <row r="32" spans="1:37">
      <c r="A32" s="2"/>
      <c r="B32" s="2"/>
      <c r="C32" s="2"/>
      <c r="D32" s="2"/>
      <c r="E32" s="5"/>
      <c r="F32" s="2"/>
      <c r="G32" s="5"/>
      <c r="H32" s="2"/>
      <c r="I32" s="2"/>
      <c r="J32" s="2"/>
      <c r="K32" s="2"/>
      <c r="L32" s="2"/>
      <c r="M32" s="2"/>
      <c r="N32" s="2"/>
      <c r="O32" s="2"/>
      <c r="P32" s="2"/>
      <c r="Q32" s="2"/>
      <c r="R32" s="2"/>
      <c r="S32" s="2"/>
      <c r="T32" s="2"/>
      <c r="U32" s="2"/>
      <c r="V32" s="2"/>
      <c r="W32" s="2"/>
      <c r="X32" s="2"/>
      <c r="Y32" s="2"/>
      <c r="Z32" s="2" t="str">
        <f t="shared" si="0"/>
        <v/>
      </c>
      <c r="AA32" s="2" t="str">
        <f t="shared" si="1"/>
        <v/>
      </c>
      <c r="AB32" s="2" t="str">
        <f t="shared" si="2"/>
        <v/>
      </c>
      <c r="AC32" s="2" t="str">
        <f t="shared" si="3"/>
        <v>Walks with direction</v>
      </c>
      <c r="AD32" s="2"/>
      <c r="AE32" s="5"/>
      <c r="AF32" s="2"/>
      <c r="AG32" s="2"/>
      <c r="AH32" s="2"/>
      <c r="AI32" s="2"/>
    </row>
    <row r="33" spans="1:35">
      <c r="A33" s="2"/>
      <c r="B33" s="2"/>
      <c r="C33" s="2"/>
      <c r="D33" s="2"/>
      <c r="E33" s="5"/>
      <c r="F33" s="2"/>
      <c r="G33" s="5"/>
      <c r="H33" s="2"/>
      <c r="I33" s="2"/>
      <c r="J33" s="2"/>
      <c r="K33" s="2"/>
      <c r="L33" s="2"/>
      <c r="M33" s="2"/>
      <c r="N33" s="2"/>
      <c r="O33" s="2"/>
      <c r="P33" s="2"/>
      <c r="Q33" s="2"/>
      <c r="R33" s="2"/>
      <c r="S33" s="2"/>
      <c r="T33" s="2"/>
      <c r="U33" s="2"/>
      <c r="V33" s="2"/>
      <c r="W33" s="2"/>
      <c r="X33" s="2"/>
      <c r="Y33" s="2"/>
      <c r="Z33" s="2" t="str">
        <f t="shared" si="0"/>
        <v/>
      </c>
      <c r="AA33" s="2" t="str">
        <f t="shared" si="1"/>
        <v/>
      </c>
      <c r="AB33" s="2" t="str">
        <f t="shared" si="2"/>
        <v/>
      </c>
      <c r="AC33" s="2" t="str">
        <f t="shared" si="3"/>
        <v>Walks with direction</v>
      </c>
      <c r="AD33" s="2"/>
      <c r="AE33" s="5"/>
      <c r="AF33" s="2"/>
      <c r="AG33" s="2"/>
      <c r="AH33" s="2"/>
      <c r="AI33" s="2"/>
    </row>
    <row r="34" spans="1:35">
      <c r="A34" s="2"/>
      <c r="B34" s="2"/>
      <c r="C34" s="2"/>
      <c r="D34" s="2"/>
      <c r="E34" s="5"/>
      <c r="F34" s="2"/>
      <c r="G34" s="5"/>
      <c r="H34" s="2"/>
      <c r="I34" s="2"/>
      <c r="J34" s="2"/>
      <c r="K34" s="2"/>
      <c r="L34" s="2"/>
      <c r="M34" s="2"/>
      <c r="N34" s="2"/>
      <c r="O34" s="2"/>
      <c r="P34" s="2"/>
      <c r="Q34" s="2"/>
      <c r="R34" s="2"/>
      <c r="S34" s="2"/>
      <c r="T34" s="2"/>
      <c r="U34" s="2"/>
      <c r="V34" s="2"/>
      <c r="W34" s="2"/>
      <c r="X34" s="2"/>
      <c r="Y34" s="2"/>
      <c r="Z34" s="2" t="str">
        <f t="shared" si="0"/>
        <v/>
      </c>
      <c r="AA34" s="2" t="str">
        <f t="shared" si="1"/>
        <v/>
      </c>
      <c r="AB34" s="2" t="str">
        <f t="shared" si="2"/>
        <v/>
      </c>
      <c r="AC34" s="2" t="str">
        <f t="shared" si="3"/>
        <v>Walks with direction</v>
      </c>
      <c r="AD34" s="2"/>
      <c r="AE34" s="5"/>
      <c r="AF34" s="2"/>
      <c r="AG34" s="2"/>
      <c r="AH34" s="2"/>
      <c r="AI34" s="2"/>
    </row>
    <row r="35" spans="1:35">
      <c r="A35" s="2"/>
      <c r="B35" s="2"/>
      <c r="C35" s="2"/>
      <c r="D35" s="2"/>
      <c r="E35" s="5"/>
      <c r="F35" s="2"/>
      <c r="G35" s="5"/>
      <c r="H35" s="2"/>
      <c r="I35" s="2"/>
      <c r="J35" s="2"/>
      <c r="K35" s="2"/>
      <c r="L35" s="2"/>
      <c r="M35" s="2"/>
      <c r="N35" s="2"/>
      <c r="O35" s="2"/>
      <c r="P35" s="2"/>
      <c r="Q35" s="2"/>
      <c r="R35" s="2"/>
      <c r="S35" s="2"/>
      <c r="T35" s="2"/>
      <c r="U35" s="2"/>
      <c r="V35" s="2"/>
      <c r="W35" s="2"/>
      <c r="X35" s="2"/>
      <c r="Y35" s="2"/>
      <c r="Z35" s="2" t="str">
        <f t="shared" si="0"/>
        <v/>
      </c>
      <c r="AA35" s="2" t="str">
        <f t="shared" si="1"/>
        <v/>
      </c>
      <c r="AB35" s="2" t="str">
        <f t="shared" si="2"/>
        <v/>
      </c>
      <c r="AC35" s="2" t="str">
        <f t="shared" si="3"/>
        <v>Walks with direction</v>
      </c>
      <c r="AD35" s="2"/>
      <c r="AE35" s="5"/>
      <c r="AF35" s="2"/>
      <c r="AG35" s="2"/>
      <c r="AH35" s="2"/>
      <c r="AI35" s="2"/>
    </row>
    <row r="36" spans="1:35">
      <c r="A36" s="2"/>
      <c r="B36" s="2"/>
      <c r="C36" s="2"/>
      <c r="D36" s="2"/>
      <c r="E36" s="5"/>
      <c r="F36" s="2"/>
      <c r="G36" s="5"/>
      <c r="H36" s="2"/>
      <c r="I36" s="2"/>
      <c r="J36" s="2"/>
      <c r="K36" s="2"/>
      <c r="L36" s="2"/>
      <c r="M36" s="2"/>
      <c r="N36" s="2"/>
      <c r="O36" s="2"/>
      <c r="P36" s="2"/>
      <c r="Q36" s="2"/>
      <c r="R36" s="2"/>
      <c r="S36" s="2"/>
      <c r="T36" s="2"/>
      <c r="U36" s="2"/>
      <c r="V36" s="2"/>
      <c r="W36" s="2"/>
      <c r="X36" s="2"/>
      <c r="Y36" s="2"/>
      <c r="Z36" s="2" t="str">
        <f t="shared" si="0"/>
        <v/>
      </c>
      <c r="AA36" s="2" t="str">
        <f t="shared" si="1"/>
        <v/>
      </c>
      <c r="AB36" s="2" t="str">
        <f t="shared" si="2"/>
        <v/>
      </c>
      <c r="AC36" s="2" t="str">
        <f t="shared" si="3"/>
        <v>Walks with direction</v>
      </c>
      <c r="AD36" s="2"/>
      <c r="AE36" s="5"/>
      <c r="AF36" s="2"/>
      <c r="AG36" s="2"/>
      <c r="AH36" s="2"/>
      <c r="AI36" s="2"/>
    </row>
    <row r="37" spans="1:35">
      <c r="A37" s="2"/>
      <c r="B37" s="2"/>
      <c r="C37" s="2"/>
      <c r="D37" s="2"/>
      <c r="E37" s="5"/>
      <c r="F37" s="2"/>
      <c r="G37" s="5"/>
      <c r="H37" s="2"/>
      <c r="I37" s="2"/>
      <c r="J37" s="2"/>
      <c r="K37" s="2"/>
      <c r="L37" s="2"/>
      <c r="M37" s="2"/>
      <c r="N37" s="2"/>
      <c r="O37" s="2"/>
      <c r="P37" s="2"/>
      <c r="Q37" s="2"/>
      <c r="R37" s="2"/>
      <c r="S37" s="2"/>
      <c r="T37" s="2"/>
      <c r="U37" s="2"/>
      <c r="V37" s="2"/>
      <c r="W37" s="2"/>
      <c r="X37" s="2"/>
      <c r="Y37" s="2"/>
      <c r="Z37" s="2" t="str">
        <f t="shared" si="0"/>
        <v/>
      </c>
      <c r="AA37" s="2" t="str">
        <f t="shared" si="1"/>
        <v/>
      </c>
      <c r="AB37" s="2" t="str">
        <f t="shared" si="2"/>
        <v/>
      </c>
      <c r="AC37" s="2" t="str">
        <f t="shared" si="3"/>
        <v>Walks with direction</v>
      </c>
      <c r="AD37" s="2"/>
      <c r="AE37" s="5"/>
      <c r="AF37" s="2"/>
      <c r="AG37" s="2"/>
      <c r="AH37" s="2"/>
      <c r="AI37" s="2"/>
    </row>
    <row r="38" spans="1:35">
      <c r="A38" s="2"/>
      <c r="B38" s="2"/>
      <c r="C38" s="2"/>
      <c r="D38" s="2"/>
      <c r="E38" s="5"/>
      <c r="F38" s="2"/>
      <c r="G38" s="5"/>
      <c r="H38" s="2"/>
      <c r="I38" s="2"/>
      <c r="J38" s="2"/>
      <c r="K38" s="2"/>
      <c r="L38" s="2"/>
      <c r="M38" s="2"/>
      <c r="N38" s="2"/>
      <c r="O38" s="2"/>
      <c r="P38" s="2"/>
      <c r="Q38" s="2"/>
      <c r="R38" s="2"/>
      <c r="S38" s="2"/>
      <c r="T38" s="2"/>
      <c r="U38" s="2"/>
      <c r="V38" s="2"/>
      <c r="W38" s="2"/>
      <c r="X38" s="2"/>
      <c r="Y38" s="2"/>
      <c r="Z38" s="2" t="str">
        <f t="shared" si="0"/>
        <v/>
      </c>
      <c r="AA38" s="2" t="str">
        <f t="shared" si="1"/>
        <v/>
      </c>
      <c r="AB38" s="2" t="str">
        <f t="shared" si="2"/>
        <v/>
      </c>
      <c r="AC38" s="2" t="str">
        <f t="shared" si="3"/>
        <v>Walks with direction</v>
      </c>
      <c r="AD38" s="2"/>
      <c r="AE38" s="5"/>
      <c r="AF38" s="2"/>
      <c r="AG38" s="2"/>
      <c r="AH38" s="2"/>
      <c r="AI38" s="2"/>
    </row>
    <row r="39" spans="1:35">
      <c r="A39" s="2"/>
      <c r="B39" s="2"/>
      <c r="C39" s="2"/>
      <c r="D39" s="2"/>
      <c r="E39" s="5"/>
      <c r="F39" s="2"/>
      <c r="G39" s="5"/>
      <c r="H39" s="2"/>
      <c r="I39" s="2"/>
      <c r="J39" s="2"/>
      <c r="K39" s="2"/>
      <c r="L39" s="2"/>
      <c r="M39" s="2"/>
      <c r="N39" s="2"/>
      <c r="O39" s="2"/>
      <c r="P39" s="2"/>
      <c r="Q39" s="2"/>
      <c r="R39" s="2"/>
      <c r="S39" s="2"/>
      <c r="T39" s="2"/>
      <c r="U39" s="2"/>
      <c r="V39" s="2"/>
      <c r="W39" s="2"/>
      <c r="X39" s="2"/>
      <c r="Y39" s="2"/>
      <c r="Z39" s="2" t="str">
        <f t="shared" si="0"/>
        <v/>
      </c>
      <c r="AA39" s="2" t="str">
        <f t="shared" si="1"/>
        <v/>
      </c>
      <c r="AB39" s="2" t="str">
        <f t="shared" si="2"/>
        <v/>
      </c>
      <c r="AC39" s="2" t="str">
        <f t="shared" si="3"/>
        <v>Walks with direction</v>
      </c>
      <c r="AD39" s="2"/>
      <c r="AE39" s="5"/>
      <c r="AF39" s="2"/>
      <c r="AG39" s="2"/>
      <c r="AH39" s="2"/>
      <c r="AI39" s="2"/>
    </row>
    <row r="40" spans="1:35">
      <c r="A40" s="2"/>
      <c r="B40" s="2"/>
      <c r="C40" s="2"/>
      <c r="D40" s="2"/>
      <c r="E40" s="5"/>
      <c r="F40" s="2"/>
      <c r="G40" s="5"/>
      <c r="H40" s="2"/>
      <c r="I40" s="2"/>
      <c r="J40" s="2"/>
      <c r="K40" s="2"/>
      <c r="L40" s="2"/>
      <c r="M40" s="2"/>
      <c r="N40" s="2"/>
      <c r="O40" s="2"/>
      <c r="P40" s="2"/>
      <c r="Q40" s="2"/>
      <c r="R40" s="2"/>
      <c r="S40" s="2"/>
      <c r="T40" s="2"/>
      <c r="U40" s="2"/>
      <c r="V40" s="2"/>
      <c r="W40" s="2"/>
      <c r="X40" s="2"/>
      <c r="Y40" s="2"/>
      <c r="Z40" s="2" t="str">
        <f t="shared" si="0"/>
        <v/>
      </c>
      <c r="AA40" s="2" t="str">
        <f t="shared" si="1"/>
        <v/>
      </c>
      <c r="AB40" s="2" t="str">
        <f t="shared" si="2"/>
        <v/>
      </c>
      <c r="AC40" s="2" t="str">
        <f t="shared" si="3"/>
        <v>Walks with direction</v>
      </c>
      <c r="AD40" s="2"/>
      <c r="AE40" s="5"/>
      <c r="AF40" s="2"/>
      <c r="AG40" s="2"/>
      <c r="AH40" s="2"/>
      <c r="AI40" s="2"/>
    </row>
    <row r="41" spans="1:35">
      <c r="A41" s="2"/>
      <c r="B41" s="2"/>
      <c r="C41" s="2"/>
      <c r="D41" s="2"/>
      <c r="E41" s="5"/>
      <c r="F41" s="2"/>
      <c r="G41" s="5"/>
      <c r="H41" s="2"/>
      <c r="I41" s="2"/>
      <c r="J41" s="2"/>
      <c r="K41" s="2"/>
      <c r="L41" s="2"/>
      <c r="M41" s="2"/>
      <c r="N41" s="2"/>
      <c r="O41" s="2"/>
      <c r="P41" s="2"/>
      <c r="Q41" s="2"/>
      <c r="R41" s="2"/>
      <c r="S41" s="2"/>
      <c r="T41" s="2"/>
      <c r="U41" s="2"/>
      <c r="V41" s="2"/>
      <c r="W41" s="2"/>
      <c r="X41" s="2"/>
      <c r="Y41" s="2"/>
      <c r="Z41" s="2" t="str">
        <f t="shared" si="0"/>
        <v/>
      </c>
      <c r="AA41" s="2" t="str">
        <f t="shared" si="1"/>
        <v/>
      </c>
      <c r="AB41" s="2" t="str">
        <f t="shared" si="2"/>
        <v/>
      </c>
      <c r="AC41" s="2" t="str">
        <f t="shared" si="3"/>
        <v>Walks with direction</v>
      </c>
      <c r="AD41" s="2"/>
      <c r="AE41" s="5"/>
      <c r="AF41" s="2"/>
      <c r="AG41" s="2"/>
      <c r="AH41" s="2"/>
      <c r="AI41" s="2"/>
    </row>
    <row r="42" spans="1:35">
      <c r="A42" s="2"/>
      <c r="B42" s="2"/>
      <c r="C42" s="2"/>
      <c r="D42" s="2"/>
      <c r="E42" s="5"/>
      <c r="F42" s="2"/>
      <c r="G42" s="5"/>
      <c r="H42" s="2"/>
      <c r="I42" s="2"/>
      <c r="J42" s="2"/>
      <c r="K42" s="2"/>
      <c r="L42" s="2"/>
      <c r="M42" s="2"/>
      <c r="N42" s="2"/>
      <c r="O42" s="2"/>
      <c r="P42" s="2"/>
      <c r="Q42" s="2"/>
      <c r="R42" s="2"/>
      <c r="S42" s="2"/>
      <c r="T42" s="2"/>
      <c r="U42" s="2"/>
      <c r="V42" s="2"/>
      <c r="W42" s="2"/>
      <c r="X42" s="2"/>
      <c r="Y42" s="2"/>
      <c r="Z42" s="2" t="str">
        <f t="shared" si="0"/>
        <v/>
      </c>
      <c r="AA42" s="2" t="str">
        <f t="shared" si="1"/>
        <v/>
      </c>
      <c r="AB42" s="2" t="str">
        <f t="shared" si="2"/>
        <v/>
      </c>
      <c r="AC42" s="2" t="str">
        <f t="shared" si="3"/>
        <v>Walks with direction</v>
      </c>
      <c r="AD42" s="2"/>
      <c r="AE42" s="5"/>
      <c r="AF42" s="2"/>
      <c r="AG42" s="2"/>
      <c r="AH42" s="2"/>
      <c r="AI42" s="2"/>
    </row>
    <row r="43" spans="1:35">
      <c r="A43" s="2"/>
      <c r="B43" s="2"/>
      <c r="C43" s="2"/>
      <c r="D43" s="2"/>
      <c r="E43" s="5"/>
      <c r="F43" s="2"/>
      <c r="G43" s="5"/>
      <c r="H43" s="2"/>
      <c r="I43" s="2"/>
      <c r="J43" s="2"/>
      <c r="K43" s="2"/>
      <c r="L43" s="2"/>
      <c r="M43" s="2"/>
      <c r="N43" s="2"/>
      <c r="O43" s="2"/>
      <c r="P43" s="2"/>
      <c r="Q43" s="2"/>
      <c r="R43" s="2"/>
      <c r="S43" s="2"/>
      <c r="T43" s="2"/>
      <c r="U43" s="2"/>
      <c r="V43" s="2"/>
      <c r="W43" s="2"/>
      <c r="X43" s="2"/>
      <c r="Y43" s="2"/>
      <c r="Z43" s="2" t="str">
        <f t="shared" si="0"/>
        <v/>
      </c>
      <c r="AA43" s="2" t="str">
        <f t="shared" si="1"/>
        <v/>
      </c>
      <c r="AB43" s="2" t="str">
        <f t="shared" si="2"/>
        <v/>
      </c>
      <c r="AC43" s="2" t="str">
        <f t="shared" si="3"/>
        <v>Walks with direction</v>
      </c>
      <c r="AD43" s="2"/>
      <c r="AE43" s="5"/>
      <c r="AF43" s="2"/>
      <c r="AG43" s="2"/>
      <c r="AH43" s="2"/>
      <c r="AI43" s="2"/>
    </row>
    <row r="44" spans="1:35">
      <c r="A44" s="2"/>
      <c r="B44" s="2"/>
      <c r="C44" s="2"/>
      <c r="D44" s="2"/>
      <c r="E44" s="5"/>
      <c r="F44" s="2"/>
      <c r="G44" s="5"/>
      <c r="H44" s="2"/>
      <c r="I44" s="2"/>
      <c r="J44" s="2"/>
      <c r="K44" s="2"/>
      <c r="L44" s="2"/>
      <c r="M44" s="2"/>
      <c r="N44" s="2"/>
      <c r="O44" s="2"/>
      <c r="P44" s="2"/>
      <c r="Q44" s="2"/>
      <c r="R44" s="2"/>
      <c r="S44" s="2"/>
      <c r="T44" s="2"/>
      <c r="U44" s="2"/>
      <c r="V44" s="2"/>
      <c r="W44" s="2"/>
      <c r="X44" s="2"/>
      <c r="Y44" s="2"/>
      <c r="Z44" s="2" t="str">
        <f t="shared" si="0"/>
        <v/>
      </c>
      <c r="AA44" s="2" t="str">
        <f t="shared" si="1"/>
        <v/>
      </c>
      <c r="AB44" s="2" t="str">
        <f t="shared" si="2"/>
        <v/>
      </c>
      <c r="AC44" s="2" t="str">
        <f t="shared" si="3"/>
        <v>Walks with direction</v>
      </c>
      <c r="AD44" s="2"/>
      <c r="AE44" s="5"/>
      <c r="AF44" s="2"/>
      <c r="AG44" s="2"/>
      <c r="AH44" s="2"/>
      <c r="AI44" s="2"/>
    </row>
    <row r="45" spans="1:35">
      <c r="A45" s="2"/>
      <c r="B45" s="2"/>
      <c r="C45" s="2"/>
      <c r="D45" s="2"/>
      <c r="E45" s="5"/>
      <c r="F45" s="2"/>
      <c r="G45" s="5"/>
      <c r="H45" s="2"/>
      <c r="I45" s="2"/>
      <c r="J45" s="2"/>
      <c r="K45" s="2"/>
      <c r="L45" s="2"/>
      <c r="M45" s="2"/>
      <c r="N45" s="2"/>
      <c r="O45" s="2"/>
      <c r="P45" s="2"/>
      <c r="Q45" s="2"/>
      <c r="R45" s="2"/>
      <c r="S45" s="2"/>
      <c r="T45" s="2"/>
      <c r="U45" s="2"/>
      <c r="V45" s="2"/>
      <c r="W45" s="2"/>
      <c r="X45" s="2"/>
      <c r="Y45" s="2"/>
      <c r="Z45" s="2" t="str">
        <f t="shared" si="0"/>
        <v/>
      </c>
      <c r="AA45" s="2" t="str">
        <f t="shared" si="1"/>
        <v/>
      </c>
      <c r="AB45" s="2" t="str">
        <f t="shared" si="2"/>
        <v/>
      </c>
      <c r="AC45" s="2" t="str">
        <f t="shared" si="3"/>
        <v>Walks with direction</v>
      </c>
      <c r="AD45" s="2"/>
      <c r="AE45" s="5"/>
      <c r="AF45" s="2"/>
      <c r="AG45" s="2"/>
      <c r="AH45" s="2"/>
      <c r="AI45" s="2"/>
    </row>
    <row r="46" spans="1:35">
      <c r="A46" s="2"/>
      <c r="B46" s="2"/>
      <c r="C46" s="2"/>
      <c r="D46" s="2"/>
      <c r="E46" s="5"/>
      <c r="F46" s="2"/>
      <c r="G46" s="5"/>
      <c r="H46" s="2"/>
      <c r="I46" s="2"/>
      <c r="J46" s="2"/>
      <c r="K46" s="2"/>
      <c r="L46" s="2"/>
      <c r="M46" s="2"/>
      <c r="N46" s="2"/>
      <c r="O46" s="2"/>
      <c r="P46" s="2"/>
      <c r="Q46" s="2"/>
      <c r="R46" s="2"/>
      <c r="S46" s="2"/>
      <c r="T46" s="2"/>
      <c r="U46" s="2"/>
      <c r="V46" s="2"/>
      <c r="W46" s="2"/>
      <c r="X46" s="2"/>
      <c r="Y46" s="2"/>
      <c r="Z46" s="2" t="str">
        <f t="shared" si="0"/>
        <v/>
      </c>
      <c r="AA46" s="2" t="str">
        <f t="shared" si="1"/>
        <v/>
      </c>
      <c r="AB46" s="2" t="str">
        <f t="shared" si="2"/>
        <v/>
      </c>
      <c r="AC46" s="2" t="str">
        <f t="shared" si="3"/>
        <v>Walks with direction</v>
      </c>
      <c r="AD46" s="2"/>
      <c r="AE46" s="5"/>
      <c r="AF46" s="2"/>
      <c r="AG46" s="2"/>
      <c r="AH46" s="2"/>
      <c r="AI46" s="2"/>
    </row>
    <row r="47" spans="1:35">
      <c r="A47" s="2"/>
      <c r="B47" s="2"/>
      <c r="C47" s="2"/>
      <c r="D47" s="2"/>
      <c r="E47" s="5"/>
      <c r="F47" s="2"/>
      <c r="G47" s="5"/>
      <c r="H47" s="2"/>
      <c r="I47" s="2"/>
      <c r="J47" s="2"/>
      <c r="K47" s="2"/>
      <c r="L47" s="2"/>
      <c r="M47" s="2"/>
      <c r="N47" s="2"/>
      <c r="O47" s="2"/>
      <c r="P47" s="2"/>
      <c r="Q47" s="2"/>
      <c r="R47" s="2"/>
      <c r="S47" s="2"/>
      <c r="T47" s="2"/>
      <c r="U47" s="2"/>
      <c r="V47" s="2"/>
      <c r="W47" s="2"/>
      <c r="X47" s="2"/>
      <c r="Y47" s="2"/>
      <c r="Z47" s="2" t="str">
        <f t="shared" si="0"/>
        <v/>
      </c>
      <c r="AA47" s="2" t="str">
        <f t="shared" si="1"/>
        <v/>
      </c>
      <c r="AB47" s="2" t="str">
        <f t="shared" si="2"/>
        <v/>
      </c>
      <c r="AC47" s="2" t="str">
        <f t="shared" si="3"/>
        <v>Walks with direction</v>
      </c>
      <c r="AD47" s="2"/>
      <c r="AE47" s="5"/>
      <c r="AF47" s="2"/>
      <c r="AG47" s="2"/>
      <c r="AH47" s="2"/>
      <c r="AI47" s="2"/>
    </row>
    <row r="48" spans="1:35">
      <c r="A48" s="2"/>
      <c r="B48" s="2"/>
      <c r="C48" s="2"/>
      <c r="D48" s="2"/>
      <c r="E48" s="5"/>
      <c r="F48" s="2"/>
      <c r="G48" s="5"/>
      <c r="H48" s="2"/>
      <c r="I48" s="2"/>
      <c r="J48" s="2"/>
      <c r="K48" s="2"/>
      <c r="L48" s="2"/>
      <c r="M48" s="2"/>
      <c r="N48" s="2"/>
      <c r="O48" s="2"/>
      <c r="P48" s="2"/>
      <c r="Q48" s="2"/>
      <c r="R48" s="2"/>
      <c r="S48" s="2"/>
      <c r="T48" s="2"/>
      <c r="U48" s="2"/>
      <c r="V48" s="2"/>
      <c r="W48" s="2"/>
      <c r="X48" s="2"/>
      <c r="Y48" s="2"/>
      <c r="Z48" s="2" t="str">
        <f t="shared" si="0"/>
        <v/>
      </c>
      <c r="AA48" s="2" t="str">
        <f t="shared" si="1"/>
        <v/>
      </c>
      <c r="AB48" s="2" t="str">
        <f t="shared" si="2"/>
        <v/>
      </c>
      <c r="AC48" s="2" t="str">
        <f t="shared" si="3"/>
        <v>Walks with direction</v>
      </c>
      <c r="AD48" s="2"/>
      <c r="AE48" s="5"/>
      <c r="AF48" s="2"/>
      <c r="AG48" s="2"/>
      <c r="AH48" s="2"/>
      <c r="AI48" s="2"/>
    </row>
    <row r="49" spans="1:35">
      <c r="A49" s="2"/>
      <c r="B49" s="2"/>
      <c r="C49" s="2"/>
      <c r="D49" s="2"/>
      <c r="E49" s="5"/>
      <c r="F49" s="2"/>
      <c r="G49" s="5"/>
      <c r="H49" s="2"/>
      <c r="I49" s="2"/>
      <c r="J49" s="2"/>
      <c r="K49" s="2"/>
      <c r="L49" s="2"/>
      <c r="M49" s="2"/>
      <c r="N49" s="2"/>
      <c r="O49" s="2"/>
      <c r="P49" s="2"/>
      <c r="Q49" s="2"/>
      <c r="R49" s="2"/>
      <c r="S49" s="2"/>
      <c r="T49" s="2"/>
      <c r="U49" s="2"/>
      <c r="V49" s="2"/>
      <c r="W49" s="2"/>
      <c r="X49" s="2"/>
      <c r="Y49" s="2"/>
      <c r="Z49" s="2" t="str">
        <f t="shared" si="0"/>
        <v/>
      </c>
      <c r="AA49" s="2" t="str">
        <f t="shared" si="1"/>
        <v/>
      </c>
      <c r="AB49" s="2" t="str">
        <f t="shared" si="2"/>
        <v/>
      </c>
      <c r="AC49" s="2" t="str">
        <f t="shared" si="3"/>
        <v>Walks with direction</v>
      </c>
      <c r="AD49" s="2"/>
      <c r="AE49" s="5"/>
      <c r="AF49" s="2"/>
      <c r="AG49" s="2"/>
      <c r="AH49" s="2"/>
      <c r="AI49" s="2"/>
    </row>
    <row r="50" spans="1:35">
      <c r="A50" s="2"/>
      <c r="B50" s="2"/>
      <c r="C50" s="2"/>
      <c r="D50" s="2"/>
      <c r="E50" s="5"/>
      <c r="F50" s="2"/>
      <c r="G50" s="5"/>
      <c r="H50" s="2"/>
      <c r="I50" s="2"/>
      <c r="J50" s="2"/>
      <c r="K50" s="2"/>
      <c r="L50" s="2"/>
      <c r="M50" s="2"/>
      <c r="N50" s="2"/>
      <c r="O50" s="2"/>
      <c r="P50" s="2"/>
      <c r="Q50" s="2"/>
      <c r="R50" s="2"/>
      <c r="S50" s="2"/>
      <c r="T50" s="2"/>
      <c r="U50" s="2"/>
      <c r="V50" s="2"/>
      <c r="W50" s="2"/>
      <c r="X50" s="2"/>
      <c r="Y50" s="2"/>
      <c r="Z50" s="2" t="str">
        <f t="shared" ref="Z50:Z81" si="4">IF(COUNTA(H50:Y50)=0,"",IF(COUNTIF(H50:Y50,"Very High")&gt;0,"Very High",IF(COUNTIF(H50:Y50,"High")&gt;0,"High",IF(COUNTIF(H50:Y50,"Medium")&gt;0,"Medium","Low"))))</f>
        <v/>
      </c>
      <c r="AA50" s="2" t="str">
        <f t="shared" ref="AA50:AA81" si="5">IF(Z50="","",IF(Z50="Low","Routine planned support",IF(Z50="Medium","One staff support/supervision likely",IF(Z50="High","Two staff/review staffing and equipment","Manager review: multiple staff/specialist support"))))</f>
        <v/>
      </c>
      <c r="AB50" s="2" t="str">
        <f t="shared" ref="AB50:AB81" si="6">IF(Z50="","",IF(OR(Z50="High",Z50="Very High",W50="High",W50="Very High"),"Night staffing and evacuation review required","Routine night checks as per care plan"))</f>
        <v/>
      </c>
      <c r="AC50" s="2" t="str">
        <f t="shared" ref="AC50:AC81" si="7">IF(X50="Very High","Specialist PEEP / equipment",IF(OR(X50="High",Z50="High"),"Evacuation sheet/chair or wheelchair per PEEP",IF(OR(X50="Medium",Z50="Medium"),"Walking aid/wheelchair support per PEEP","Walks with direction")))</f>
        <v>Walks with direction</v>
      </c>
      <c r="AD50" s="2"/>
      <c r="AE50" s="5"/>
      <c r="AF50" s="2"/>
      <c r="AG50" s="2"/>
      <c r="AH50" s="2"/>
      <c r="AI50" s="2"/>
    </row>
    <row r="51" spans="1:35">
      <c r="A51" s="2"/>
      <c r="B51" s="2"/>
      <c r="C51" s="2"/>
      <c r="D51" s="2"/>
      <c r="E51" s="5"/>
      <c r="F51" s="2"/>
      <c r="G51" s="5"/>
      <c r="H51" s="2"/>
      <c r="I51" s="2"/>
      <c r="J51" s="2"/>
      <c r="K51" s="2"/>
      <c r="L51" s="2"/>
      <c r="M51" s="2"/>
      <c r="N51" s="2"/>
      <c r="O51" s="2"/>
      <c r="P51" s="2"/>
      <c r="Q51" s="2"/>
      <c r="R51" s="2"/>
      <c r="S51" s="2"/>
      <c r="T51" s="2"/>
      <c r="U51" s="2"/>
      <c r="V51" s="2"/>
      <c r="W51" s="2"/>
      <c r="X51" s="2"/>
      <c r="Y51" s="2"/>
      <c r="Z51" s="2" t="str">
        <f t="shared" si="4"/>
        <v/>
      </c>
      <c r="AA51" s="2" t="str">
        <f t="shared" si="5"/>
        <v/>
      </c>
      <c r="AB51" s="2" t="str">
        <f t="shared" si="6"/>
        <v/>
      </c>
      <c r="AC51" s="2" t="str">
        <f t="shared" si="7"/>
        <v>Walks with direction</v>
      </c>
      <c r="AD51" s="2"/>
      <c r="AE51" s="5"/>
      <c r="AF51" s="2"/>
      <c r="AG51" s="2"/>
      <c r="AH51" s="2"/>
      <c r="AI51" s="2"/>
    </row>
    <row r="52" spans="1:35">
      <c r="A52" s="2"/>
      <c r="B52" s="2"/>
      <c r="C52" s="2"/>
      <c r="D52" s="2"/>
      <c r="E52" s="5"/>
      <c r="F52" s="2"/>
      <c r="G52" s="5"/>
      <c r="H52" s="2"/>
      <c r="I52" s="2"/>
      <c r="J52" s="2"/>
      <c r="K52" s="2"/>
      <c r="L52" s="2"/>
      <c r="M52" s="2"/>
      <c r="N52" s="2"/>
      <c r="O52" s="2"/>
      <c r="P52" s="2"/>
      <c r="Q52" s="2"/>
      <c r="R52" s="2"/>
      <c r="S52" s="2"/>
      <c r="T52" s="2"/>
      <c r="U52" s="2"/>
      <c r="V52" s="2"/>
      <c r="W52" s="2"/>
      <c r="X52" s="2"/>
      <c r="Y52" s="2"/>
      <c r="Z52" s="2" t="str">
        <f t="shared" si="4"/>
        <v/>
      </c>
      <c r="AA52" s="2" t="str">
        <f t="shared" si="5"/>
        <v/>
      </c>
      <c r="AB52" s="2" t="str">
        <f t="shared" si="6"/>
        <v/>
      </c>
      <c r="AC52" s="2" t="str">
        <f t="shared" si="7"/>
        <v>Walks with direction</v>
      </c>
      <c r="AD52" s="2"/>
      <c r="AE52" s="5"/>
      <c r="AF52" s="2"/>
      <c r="AG52" s="2"/>
      <c r="AH52" s="2"/>
      <c r="AI52" s="2"/>
    </row>
    <row r="53" spans="1:35">
      <c r="A53" s="2"/>
      <c r="B53" s="2"/>
      <c r="C53" s="2"/>
      <c r="D53" s="2"/>
      <c r="E53" s="5"/>
      <c r="F53" s="2"/>
      <c r="G53" s="5"/>
      <c r="H53" s="2"/>
      <c r="I53" s="2"/>
      <c r="J53" s="2"/>
      <c r="K53" s="2"/>
      <c r="L53" s="2"/>
      <c r="M53" s="2"/>
      <c r="N53" s="2"/>
      <c r="O53" s="2"/>
      <c r="P53" s="2"/>
      <c r="Q53" s="2"/>
      <c r="R53" s="2"/>
      <c r="S53" s="2"/>
      <c r="T53" s="2"/>
      <c r="U53" s="2"/>
      <c r="V53" s="2"/>
      <c r="W53" s="2"/>
      <c r="X53" s="2"/>
      <c r="Y53" s="2"/>
      <c r="Z53" s="2" t="str">
        <f t="shared" si="4"/>
        <v/>
      </c>
      <c r="AA53" s="2" t="str">
        <f t="shared" si="5"/>
        <v/>
      </c>
      <c r="AB53" s="2" t="str">
        <f t="shared" si="6"/>
        <v/>
      </c>
      <c r="AC53" s="2" t="str">
        <f t="shared" si="7"/>
        <v>Walks with direction</v>
      </c>
      <c r="AD53" s="2"/>
      <c r="AE53" s="5"/>
      <c r="AF53" s="2"/>
      <c r="AG53" s="2"/>
      <c r="AH53" s="2"/>
      <c r="AI53" s="2"/>
    </row>
    <row r="54" spans="1:35">
      <c r="A54" s="2"/>
      <c r="B54" s="2"/>
      <c r="C54" s="2"/>
      <c r="D54" s="2"/>
      <c r="E54" s="5"/>
      <c r="F54" s="2"/>
      <c r="G54" s="5"/>
      <c r="H54" s="2"/>
      <c r="I54" s="2"/>
      <c r="J54" s="2"/>
      <c r="K54" s="2"/>
      <c r="L54" s="2"/>
      <c r="M54" s="2"/>
      <c r="N54" s="2"/>
      <c r="O54" s="2"/>
      <c r="P54" s="2"/>
      <c r="Q54" s="2"/>
      <c r="R54" s="2"/>
      <c r="S54" s="2"/>
      <c r="T54" s="2"/>
      <c r="U54" s="2"/>
      <c r="V54" s="2"/>
      <c r="W54" s="2"/>
      <c r="X54" s="2"/>
      <c r="Y54" s="2"/>
      <c r="Z54" s="2" t="str">
        <f t="shared" si="4"/>
        <v/>
      </c>
      <c r="AA54" s="2" t="str">
        <f t="shared" si="5"/>
        <v/>
      </c>
      <c r="AB54" s="2" t="str">
        <f t="shared" si="6"/>
        <v/>
      </c>
      <c r="AC54" s="2" t="str">
        <f t="shared" si="7"/>
        <v>Walks with direction</v>
      </c>
      <c r="AD54" s="2"/>
      <c r="AE54" s="5"/>
      <c r="AF54" s="2"/>
      <c r="AG54" s="2"/>
      <c r="AH54" s="2"/>
      <c r="AI54" s="2"/>
    </row>
    <row r="55" spans="1:35">
      <c r="A55" s="2"/>
      <c r="B55" s="2"/>
      <c r="C55" s="2"/>
      <c r="D55" s="2"/>
      <c r="E55" s="5"/>
      <c r="F55" s="2"/>
      <c r="G55" s="5"/>
      <c r="H55" s="2"/>
      <c r="I55" s="2"/>
      <c r="J55" s="2"/>
      <c r="K55" s="2"/>
      <c r="L55" s="2"/>
      <c r="M55" s="2"/>
      <c r="N55" s="2"/>
      <c r="O55" s="2"/>
      <c r="P55" s="2"/>
      <c r="Q55" s="2"/>
      <c r="R55" s="2"/>
      <c r="S55" s="2"/>
      <c r="T55" s="2"/>
      <c r="U55" s="2"/>
      <c r="V55" s="2"/>
      <c r="W55" s="2"/>
      <c r="X55" s="2"/>
      <c r="Y55" s="2"/>
      <c r="Z55" s="2" t="str">
        <f t="shared" si="4"/>
        <v/>
      </c>
      <c r="AA55" s="2" t="str">
        <f t="shared" si="5"/>
        <v/>
      </c>
      <c r="AB55" s="2" t="str">
        <f t="shared" si="6"/>
        <v/>
      </c>
      <c r="AC55" s="2" t="str">
        <f t="shared" si="7"/>
        <v>Walks with direction</v>
      </c>
      <c r="AD55" s="2"/>
      <c r="AE55" s="5"/>
      <c r="AF55" s="2"/>
      <c r="AG55" s="2"/>
      <c r="AH55" s="2"/>
      <c r="AI55" s="2"/>
    </row>
    <row r="56" spans="1:35">
      <c r="A56" s="2"/>
      <c r="B56" s="2"/>
      <c r="C56" s="2"/>
      <c r="D56" s="2"/>
      <c r="E56" s="5"/>
      <c r="F56" s="2"/>
      <c r="G56" s="5"/>
      <c r="H56" s="2"/>
      <c r="I56" s="2"/>
      <c r="J56" s="2"/>
      <c r="K56" s="2"/>
      <c r="L56" s="2"/>
      <c r="M56" s="2"/>
      <c r="N56" s="2"/>
      <c r="O56" s="2"/>
      <c r="P56" s="2"/>
      <c r="Q56" s="2"/>
      <c r="R56" s="2"/>
      <c r="S56" s="2"/>
      <c r="T56" s="2"/>
      <c r="U56" s="2"/>
      <c r="V56" s="2"/>
      <c r="W56" s="2"/>
      <c r="X56" s="2"/>
      <c r="Y56" s="2"/>
      <c r="Z56" s="2" t="str">
        <f t="shared" si="4"/>
        <v/>
      </c>
      <c r="AA56" s="2" t="str">
        <f t="shared" si="5"/>
        <v/>
      </c>
      <c r="AB56" s="2" t="str">
        <f t="shared" si="6"/>
        <v/>
      </c>
      <c r="AC56" s="2" t="str">
        <f t="shared" si="7"/>
        <v>Walks with direction</v>
      </c>
      <c r="AD56" s="2"/>
      <c r="AE56" s="5"/>
      <c r="AF56" s="2"/>
      <c r="AG56" s="2"/>
      <c r="AH56" s="2"/>
      <c r="AI56" s="2"/>
    </row>
    <row r="57" spans="1:35">
      <c r="A57" s="2"/>
      <c r="B57" s="2"/>
      <c r="C57" s="2"/>
      <c r="D57" s="2"/>
      <c r="E57" s="5"/>
      <c r="F57" s="2"/>
      <c r="G57" s="5"/>
      <c r="H57" s="2"/>
      <c r="I57" s="2"/>
      <c r="J57" s="2"/>
      <c r="K57" s="2"/>
      <c r="L57" s="2"/>
      <c r="M57" s="2"/>
      <c r="N57" s="2"/>
      <c r="O57" s="2"/>
      <c r="P57" s="2"/>
      <c r="Q57" s="2"/>
      <c r="R57" s="2"/>
      <c r="S57" s="2"/>
      <c r="T57" s="2"/>
      <c r="U57" s="2"/>
      <c r="V57" s="2"/>
      <c r="W57" s="2"/>
      <c r="X57" s="2"/>
      <c r="Y57" s="2"/>
      <c r="Z57" s="2" t="str">
        <f t="shared" si="4"/>
        <v/>
      </c>
      <c r="AA57" s="2" t="str">
        <f t="shared" si="5"/>
        <v/>
      </c>
      <c r="AB57" s="2" t="str">
        <f t="shared" si="6"/>
        <v/>
      </c>
      <c r="AC57" s="2" t="str">
        <f t="shared" si="7"/>
        <v>Walks with direction</v>
      </c>
      <c r="AD57" s="2"/>
      <c r="AE57" s="5"/>
      <c r="AF57" s="2"/>
      <c r="AG57" s="2"/>
      <c r="AH57" s="2"/>
      <c r="AI57" s="2"/>
    </row>
    <row r="58" spans="1:35">
      <c r="A58" s="2"/>
      <c r="B58" s="2"/>
      <c r="C58" s="2"/>
      <c r="D58" s="2"/>
      <c r="E58" s="5"/>
      <c r="F58" s="2"/>
      <c r="G58" s="5"/>
      <c r="H58" s="2"/>
      <c r="I58" s="2"/>
      <c r="J58" s="2"/>
      <c r="K58" s="2"/>
      <c r="L58" s="2"/>
      <c r="M58" s="2"/>
      <c r="N58" s="2"/>
      <c r="O58" s="2"/>
      <c r="P58" s="2"/>
      <c r="Q58" s="2"/>
      <c r="R58" s="2"/>
      <c r="S58" s="2"/>
      <c r="T58" s="2"/>
      <c r="U58" s="2"/>
      <c r="V58" s="2"/>
      <c r="W58" s="2"/>
      <c r="X58" s="2"/>
      <c r="Y58" s="2"/>
      <c r="Z58" s="2" t="str">
        <f t="shared" si="4"/>
        <v/>
      </c>
      <c r="AA58" s="2" t="str">
        <f t="shared" si="5"/>
        <v/>
      </c>
      <c r="AB58" s="2" t="str">
        <f t="shared" si="6"/>
        <v/>
      </c>
      <c r="AC58" s="2" t="str">
        <f t="shared" si="7"/>
        <v>Walks with direction</v>
      </c>
      <c r="AD58" s="2"/>
      <c r="AE58" s="5"/>
      <c r="AF58" s="2"/>
      <c r="AG58" s="2"/>
      <c r="AH58" s="2"/>
      <c r="AI58" s="2"/>
    </row>
    <row r="59" spans="1:35">
      <c r="A59" s="2"/>
      <c r="B59" s="2"/>
      <c r="C59" s="2"/>
      <c r="D59" s="2"/>
      <c r="E59" s="5"/>
      <c r="F59" s="2"/>
      <c r="G59" s="5"/>
      <c r="H59" s="2"/>
      <c r="I59" s="2"/>
      <c r="J59" s="2"/>
      <c r="K59" s="2"/>
      <c r="L59" s="2"/>
      <c r="M59" s="2"/>
      <c r="N59" s="2"/>
      <c r="O59" s="2"/>
      <c r="P59" s="2"/>
      <c r="Q59" s="2"/>
      <c r="R59" s="2"/>
      <c r="S59" s="2"/>
      <c r="T59" s="2"/>
      <c r="U59" s="2"/>
      <c r="V59" s="2"/>
      <c r="W59" s="2"/>
      <c r="X59" s="2"/>
      <c r="Y59" s="2"/>
      <c r="Z59" s="2" t="str">
        <f t="shared" si="4"/>
        <v/>
      </c>
      <c r="AA59" s="2" t="str">
        <f t="shared" si="5"/>
        <v/>
      </c>
      <c r="AB59" s="2" t="str">
        <f t="shared" si="6"/>
        <v/>
      </c>
      <c r="AC59" s="2" t="str">
        <f t="shared" si="7"/>
        <v>Walks with direction</v>
      </c>
      <c r="AD59" s="2"/>
      <c r="AE59" s="5"/>
      <c r="AF59" s="2"/>
      <c r="AG59" s="2"/>
      <c r="AH59" s="2"/>
      <c r="AI59" s="2"/>
    </row>
    <row r="60" spans="1:35">
      <c r="A60" s="2"/>
      <c r="B60" s="2"/>
      <c r="C60" s="2"/>
      <c r="D60" s="2"/>
      <c r="E60" s="5"/>
      <c r="F60" s="2"/>
      <c r="G60" s="5"/>
      <c r="H60" s="2"/>
      <c r="I60" s="2"/>
      <c r="J60" s="2"/>
      <c r="K60" s="2"/>
      <c r="L60" s="2"/>
      <c r="M60" s="2"/>
      <c r="N60" s="2"/>
      <c r="O60" s="2"/>
      <c r="P60" s="2"/>
      <c r="Q60" s="2"/>
      <c r="R60" s="2"/>
      <c r="S60" s="2"/>
      <c r="T60" s="2"/>
      <c r="U60" s="2"/>
      <c r="V60" s="2"/>
      <c r="W60" s="2"/>
      <c r="X60" s="2"/>
      <c r="Y60" s="2"/>
      <c r="Z60" s="2" t="str">
        <f t="shared" si="4"/>
        <v/>
      </c>
      <c r="AA60" s="2" t="str">
        <f t="shared" si="5"/>
        <v/>
      </c>
      <c r="AB60" s="2" t="str">
        <f t="shared" si="6"/>
        <v/>
      </c>
      <c r="AC60" s="2" t="str">
        <f t="shared" si="7"/>
        <v>Walks with direction</v>
      </c>
      <c r="AD60" s="2"/>
      <c r="AE60" s="5"/>
      <c r="AF60" s="2"/>
      <c r="AG60" s="2"/>
      <c r="AH60" s="2"/>
      <c r="AI60" s="2"/>
    </row>
    <row r="61" spans="1:35">
      <c r="A61" s="2"/>
      <c r="B61" s="2"/>
      <c r="C61" s="2"/>
      <c r="D61" s="2"/>
      <c r="E61" s="5"/>
      <c r="F61" s="2"/>
      <c r="G61" s="5"/>
      <c r="H61" s="2"/>
      <c r="I61" s="2"/>
      <c r="J61" s="2"/>
      <c r="K61" s="2"/>
      <c r="L61" s="2"/>
      <c r="M61" s="2"/>
      <c r="N61" s="2"/>
      <c r="O61" s="2"/>
      <c r="P61" s="2"/>
      <c r="Q61" s="2"/>
      <c r="R61" s="2"/>
      <c r="S61" s="2"/>
      <c r="T61" s="2"/>
      <c r="U61" s="2"/>
      <c r="V61" s="2"/>
      <c r="W61" s="2"/>
      <c r="X61" s="2"/>
      <c r="Y61" s="2"/>
      <c r="Z61" s="2" t="str">
        <f t="shared" si="4"/>
        <v/>
      </c>
      <c r="AA61" s="2" t="str">
        <f t="shared" si="5"/>
        <v/>
      </c>
      <c r="AB61" s="2" t="str">
        <f t="shared" si="6"/>
        <v/>
      </c>
      <c r="AC61" s="2" t="str">
        <f t="shared" si="7"/>
        <v>Walks with direction</v>
      </c>
      <c r="AD61" s="2"/>
      <c r="AE61" s="5"/>
      <c r="AF61" s="2"/>
      <c r="AG61" s="2"/>
      <c r="AH61" s="2"/>
      <c r="AI61" s="2"/>
    </row>
    <row r="62" spans="1:35">
      <c r="A62" s="2"/>
      <c r="B62" s="2"/>
      <c r="C62" s="2"/>
      <c r="D62" s="2"/>
      <c r="E62" s="5"/>
      <c r="F62" s="2"/>
      <c r="G62" s="5"/>
      <c r="H62" s="2"/>
      <c r="I62" s="2"/>
      <c r="J62" s="2"/>
      <c r="K62" s="2"/>
      <c r="L62" s="2"/>
      <c r="M62" s="2"/>
      <c r="N62" s="2"/>
      <c r="O62" s="2"/>
      <c r="P62" s="2"/>
      <c r="Q62" s="2"/>
      <c r="R62" s="2"/>
      <c r="S62" s="2"/>
      <c r="T62" s="2"/>
      <c r="U62" s="2"/>
      <c r="V62" s="2"/>
      <c r="W62" s="2"/>
      <c r="X62" s="2"/>
      <c r="Y62" s="2"/>
      <c r="Z62" s="2" t="str">
        <f t="shared" si="4"/>
        <v/>
      </c>
      <c r="AA62" s="2" t="str">
        <f t="shared" si="5"/>
        <v/>
      </c>
      <c r="AB62" s="2" t="str">
        <f t="shared" si="6"/>
        <v/>
      </c>
      <c r="AC62" s="2" t="str">
        <f t="shared" si="7"/>
        <v>Walks with direction</v>
      </c>
      <c r="AD62" s="2"/>
      <c r="AE62" s="5"/>
      <c r="AF62" s="2"/>
      <c r="AG62" s="2"/>
      <c r="AH62" s="2"/>
      <c r="AI62" s="2"/>
    </row>
    <row r="63" spans="1:35">
      <c r="A63" s="2"/>
      <c r="B63" s="2"/>
      <c r="C63" s="2"/>
      <c r="D63" s="2"/>
      <c r="E63" s="5"/>
      <c r="F63" s="2"/>
      <c r="G63" s="5"/>
      <c r="H63" s="2"/>
      <c r="I63" s="2"/>
      <c r="J63" s="2"/>
      <c r="K63" s="2"/>
      <c r="L63" s="2"/>
      <c r="M63" s="2"/>
      <c r="N63" s="2"/>
      <c r="O63" s="2"/>
      <c r="P63" s="2"/>
      <c r="Q63" s="2"/>
      <c r="R63" s="2"/>
      <c r="S63" s="2"/>
      <c r="T63" s="2"/>
      <c r="U63" s="2"/>
      <c r="V63" s="2"/>
      <c r="W63" s="2"/>
      <c r="X63" s="2"/>
      <c r="Y63" s="2"/>
      <c r="Z63" s="2" t="str">
        <f t="shared" si="4"/>
        <v/>
      </c>
      <c r="AA63" s="2" t="str">
        <f t="shared" si="5"/>
        <v/>
      </c>
      <c r="AB63" s="2" t="str">
        <f t="shared" si="6"/>
        <v/>
      </c>
      <c r="AC63" s="2" t="str">
        <f t="shared" si="7"/>
        <v>Walks with direction</v>
      </c>
      <c r="AD63" s="2"/>
      <c r="AE63" s="5"/>
      <c r="AF63" s="2"/>
      <c r="AG63" s="2"/>
      <c r="AH63" s="2"/>
      <c r="AI63" s="2"/>
    </row>
    <row r="64" spans="1:35">
      <c r="A64" s="2"/>
      <c r="B64" s="2"/>
      <c r="C64" s="2"/>
      <c r="D64" s="2"/>
      <c r="E64" s="5"/>
      <c r="F64" s="2"/>
      <c r="G64" s="5"/>
      <c r="H64" s="2"/>
      <c r="I64" s="2"/>
      <c r="J64" s="2"/>
      <c r="K64" s="2"/>
      <c r="L64" s="2"/>
      <c r="M64" s="2"/>
      <c r="N64" s="2"/>
      <c r="O64" s="2"/>
      <c r="P64" s="2"/>
      <c r="Q64" s="2"/>
      <c r="R64" s="2"/>
      <c r="S64" s="2"/>
      <c r="T64" s="2"/>
      <c r="U64" s="2"/>
      <c r="V64" s="2"/>
      <c r="W64" s="2"/>
      <c r="X64" s="2"/>
      <c r="Y64" s="2"/>
      <c r="Z64" s="2" t="str">
        <f t="shared" si="4"/>
        <v/>
      </c>
      <c r="AA64" s="2" t="str">
        <f t="shared" si="5"/>
        <v/>
      </c>
      <c r="AB64" s="2" t="str">
        <f t="shared" si="6"/>
        <v/>
      </c>
      <c r="AC64" s="2" t="str">
        <f t="shared" si="7"/>
        <v>Walks with direction</v>
      </c>
      <c r="AD64" s="2"/>
      <c r="AE64" s="5"/>
      <c r="AF64" s="2"/>
      <c r="AG64" s="2"/>
      <c r="AH64" s="2"/>
      <c r="AI64" s="2"/>
    </row>
    <row r="65" spans="1:35">
      <c r="A65" s="2"/>
      <c r="B65" s="2"/>
      <c r="C65" s="2"/>
      <c r="D65" s="2"/>
      <c r="E65" s="5"/>
      <c r="F65" s="2"/>
      <c r="G65" s="5"/>
      <c r="H65" s="2"/>
      <c r="I65" s="2"/>
      <c r="J65" s="2"/>
      <c r="K65" s="2"/>
      <c r="L65" s="2"/>
      <c r="M65" s="2"/>
      <c r="N65" s="2"/>
      <c r="O65" s="2"/>
      <c r="P65" s="2"/>
      <c r="Q65" s="2"/>
      <c r="R65" s="2"/>
      <c r="S65" s="2"/>
      <c r="T65" s="2"/>
      <c r="U65" s="2"/>
      <c r="V65" s="2"/>
      <c r="W65" s="2"/>
      <c r="X65" s="2"/>
      <c r="Y65" s="2"/>
      <c r="Z65" s="2" t="str">
        <f t="shared" si="4"/>
        <v/>
      </c>
      <c r="AA65" s="2" t="str">
        <f t="shared" si="5"/>
        <v/>
      </c>
      <c r="AB65" s="2" t="str">
        <f t="shared" si="6"/>
        <v/>
      </c>
      <c r="AC65" s="2" t="str">
        <f t="shared" si="7"/>
        <v>Walks with direction</v>
      </c>
      <c r="AD65" s="2"/>
      <c r="AE65" s="5"/>
      <c r="AF65" s="2"/>
      <c r="AG65" s="2"/>
      <c r="AH65" s="2"/>
      <c r="AI65" s="2"/>
    </row>
    <row r="66" spans="1:35">
      <c r="A66" s="2"/>
      <c r="B66" s="2"/>
      <c r="C66" s="2"/>
      <c r="D66" s="2"/>
      <c r="E66" s="5"/>
      <c r="F66" s="2"/>
      <c r="G66" s="5"/>
      <c r="H66" s="2"/>
      <c r="I66" s="2"/>
      <c r="J66" s="2"/>
      <c r="K66" s="2"/>
      <c r="L66" s="2"/>
      <c r="M66" s="2"/>
      <c r="N66" s="2"/>
      <c r="O66" s="2"/>
      <c r="P66" s="2"/>
      <c r="Q66" s="2"/>
      <c r="R66" s="2"/>
      <c r="S66" s="2"/>
      <c r="T66" s="2"/>
      <c r="U66" s="2"/>
      <c r="V66" s="2"/>
      <c r="W66" s="2"/>
      <c r="X66" s="2"/>
      <c r="Y66" s="2"/>
      <c r="Z66" s="2" t="str">
        <f t="shared" si="4"/>
        <v/>
      </c>
      <c r="AA66" s="2" t="str">
        <f t="shared" si="5"/>
        <v/>
      </c>
      <c r="AB66" s="2" t="str">
        <f t="shared" si="6"/>
        <v/>
      </c>
      <c r="AC66" s="2" t="str">
        <f t="shared" si="7"/>
        <v>Walks with direction</v>
      </c>
      <c r="AD66" s="2"/>
      <c r="AE66" s="5"/>
      <c r="AF66" s="2"/>
      <c r="AG66" s="2"/>
      <c r="AH66" s="2"/>
      <c r="AI66" s="2"/>
    </row>
    <row r="67" spans="1:35">
      <c r="A67" s="2"/>
      <c r="B67" s="2"/>
      <c r="C67" s="2"/>
      <c r="D67" s="2"/>
      <c r="E67" s="5"/>
      <c r="F67" s="2"/>
      <c r="G67" s="5"/>
      <c r="H67" s="2"/>
      <c r="I67" s="2"/>
      <c r="J67" s="2"/>
      <c r="K67" s="2"/>
      <c r="L67" s="2"/>
      <c r="M67" s="2"/>
      <c r="N67" s="2"/>
      <c r="O67" s="2"/>
      <c r="P67" s="2"/>
      <c r="Q67" s="2"/>
      <c r="R67" s="2"/>
      <c r="S67" s="2"/>
      <c r="T67" s="2"/>
      <c r="U67" s="2"/>
      <c r="V67" s="2"/>
      <c r="W67" s="2"/>
      <c r="X67" s="2"/>
      <c r="Y67" s="2"/>
      <c r="Z67" s="2" t="str">
        <f t="shared" si="4"/>
        <v/>
      </c>
      <c r="AA67" s="2" t="str">
        <f t="shared" si="5"/>
        <v/>
      </c>
      <c r="AB67" s="2" t="str">
        <f t="shared" si="6"/>
        <v/>
      </c>
      <c r="AC67" s="2" t="str">
        <f t="shared" si="7"/>
        <v>Walks with direction</v>
      </c>
      <c r="AD67" s="2"/>
      <c r="AE67" s="5"/>
      <c r="AF67" s="2"/>
      <c r="AG67" s="2"/>
      <c r="AH67" s="2"/>
      <c r="AI67" s="2"/>
    </row>
    <row r="68" spans="1:35">
      <c r="A68" s="2"/>
      <c r="B68" s="2"/>
      <c r="C68" s="2"/>
      <c r="D68" s="2"/>
      <c r="E68" s="5"/>
      <c r="F68" s="2"/>
      <c r="G68" s="5"/>
      <c r="H68" s="2"/>
      <c r="I68" s="2"/>
      <c r="J68" s="2"/>
      <c r="K68" s="2"/>
      <c r="L68" s="2"/>
      <c r="M68" s="2"/>
      <c r="N68" s="2"/>
      <c r="O68" s="2"/>
      <c r="P68" s="2"/>
      <c r="Q68" s="2"/>
      <c r="R68" s="2"/>
      <c r="S68" s="2"/>
      <c r="T68" s="2"/>
      <c r="U68" s="2"/>
      <c r="V68" s="2"/>
      <c r="W68" s="2"/>
      <c r="X68" s="2"/>
      <c r="Y68" s="2"/>
      <c r="Z68" s="2" t="str">
        <f t="shared" si="4"/>
        <v/>
      </c>
      <c r="AA68" s="2" t="str">
        <f t="shared" si="5"/>
        <v/>
      </c>
      <c r="AB68" s="2" t="str">
        <f t="shared" si="6"/>
        <v/>
      </c>
      <c r="AC68" s="2" t="str">
        <f t="shared" si="7"/>
        <v>Walks with direction</v>
      </c>
      <c r="AD68" s="2"/>
      <c r="AE68" s="5"/>
      <c r="AF68" s="2"/>
      <c r="AG68" s="2"/>
      <c r="AH68" s="2"/>
      <c r="AI68" s="2"/>
    </row>
    <row r="69" spans="1:35">
      <c r="A69" s="2"/>
      <c r="B69" s="2"/>
      <c r="C69" s="2"/>
      <c r="D69" s="2"/>
      <c r="E69" s="5"/>
      <c r="F69" s="2"/>
      <c r="G69" s="5"/>
      <c r="H69" s="2"/>
      <c r="I69" s="2"/>
      <c r="J69" s="2"/>
      <c r="K69" s="2"/>
      <c r="L69" s="2"/>
      <c r="M69" s="2"/>
      <c r="N69" s="2"/>
      <c r="O69" s="2"/>
      <c r="P69" s="2"/>
      <c r="Q69" s="2"/>
      <c r="R69" s="2"/>
      <c r="S69" s="2"/>
      <c r="T69" s="2"/>
      <c r="U69" s="2"/>
      <c r="V69" s="2"/>
      <c r="W69" s="2"/>
      <c r="X69" s="2"/>
      <c r="Y69" s="2"/>
      <c r="Z69" s="2" t="str">
        <f t="shared" si="4"/>
        <v/>
      </c>
      <c r="AA69" s="2" t="str">
        <f t="shared" si="5"/>
        <v/>
      </c>
      <c r="AB69" s="2" t="str">
        <f t="shared" si="6"/>
        <v/>
      </c>
      <c r="AC69" s="2" t="str">
        <f t="shared" si="7"/>
        <v>Walks with direction</v>
      </c>
      <c r="AD69" s="2"/>
      <c r="AE69" s="5"/>
      <c r="AF69" s="2"/>
      <c r="AG69" s="2"/>
      <c r="AH69" s="2"/>
      <c r="AI69" s="2"/>
    </row>
    <row r="70" spans="1:35">
      <c r="A70" s="2"/>
      <c r="B70" s="2"/>
      <c r="C70" s="2"/>
      <c r="D70" s="2"/>
      <c r="E70" s="5"/>
      <c r="F70" s="2"/>
      <c r="G70" s="5"/>
      <c r="H70" s="2"/>
      <c r="I70" s="2"/>
      <c r="J70" s="2"/>
      <c r="K70" s="2"/>
      <c r="L70" s="2"/>
      <c r="M70" s="2"/>
      <c r="N70" s="2"/>
      <c r="O70" s="2"/>
      <c r="P70" s="2"/>
      <c r="Q70" s="2"/>
      <c r="R70" s="2"/>
      <c r="S70" s="2"/>
      <c r="T70" s="2"/>
      <c r="U70" s="2"/>
      <c r="V70" s="2"/>
      <c r="W70" s="2"/>
      <c r="X70" s="2"/>
      <c r="Y70" s="2"/>
      <c r="Z70" s="2" t="str">
        <f t="shared" si="4"/>
        <v/>
      </c>
      <c r="AA70" s="2" t="str">
        <f t="shared" si="5"/>
        <v/>
      </c>
      <c r="AB70" s="2" t="str">
        <f t="shared" si="6"/>
        <v/>
      </c>
      <c r="AC70" s="2" t="str">
        <f t="shared" si="7"/>
        <v>Walks with direction</v>
      </c>
      <c r="AD70" s="2"/>
      <c r="AE70" s="5"/>
      <c r="AF70" s="2"/>
      <c r="AG70" s="2"/>
      <c r="AH70" s="2"/>
      <c r="AI70" s="2"/>
    </row>
    <row r="71" spans="1:35">
      <c r="A71" s="2"/>
      <c r="B71" s="2"/>
      <c r="C71" s="2"/>
      <c r="D71" s="2"/>
      <c r="E71" s="5"/>
      <c r="F71" s="2"/>
      <c r="G71" s="5"/>
      <c r="H71" s="2"/>
      <c r="I71" s="2"/>
      <c r="J71" s="2"/>
      <c r="K71" s="2"/>
      <c r="L71" s="2"/>
      <c r="M71" s="2"/>
      <c r="N71" s="2"/>
      <c r="O71" s="2"/>
      <c r="P71" s="2"/>
      <c r="Q71" s="2"/>
      <c r="R71" s="2"/>
      <c r="S71" s="2"/>
      <c r="T71" s="2"/>
      <c r="U71" s="2"/>
      <c r="V71" s="2"/>
      <c r="W71" s="2"/>
      <c r="X71" s="2"/>
      <c r="Y71" s="2"/>
      <c r="Z71" s="2" t="str">
        <f t="shared" si="4"/>
        <v/>
      </c>
      <c r="AA71" s="2" t="str">
        <f t="shared" si="5"/>
        <v/>
      </c>
      <c r="AB71" s="2" t="str">
        <f t="shared" si="6"/>
        <v/>
      </c>
      <c r="AC71" s="2" t="str">
        <f t="shared" si="7"/>
        <v>Walks with direction</v>
      </c>
      <c r="AD71" s="2"/>
      <c r="AE71" s="5"/>
      <c r="AF71" s="2"/>
      <c r="AG71" s="2"/>
      <c r="AH71" s="2"/>
      <c r="AI71" s="2"/>
    </row>
    <row r="72" spans="1:35">
      <c r="A72" s="2"/>
      <c r="B72" s="2"/>
      <c r="C72" s="2"/>
      <c r="D72" s="2"/>
      <c r="E72" s="5"/>
      <c r="F72" s="2"/>
      <c r="G72" s="5"/>
      <c r="H72" s="2"/>
      <c r="I72" s="2"/>
      <c r="J72" s="2"/>
      <c r="K72" s="2"/>
      <c r="L72" s="2"/>
      <c r="M72" s="2"/>
      <c r="N72" s="2"/>
      <c r="O72" s="2"/>
      <c r="P72" s="2"/>
      <c r="Q72" s="2"/>
      <c r="R72" s="2"/>
      <c r="S72" s="2"/>
      <c r="T72" s="2"/>
      <c r="U72" s="2"/>
      <c r="V72" s="2"/>
      <c r="W72" s="2"/>
      <c r="X72" s="2"/>
      <c r="Y72" s="2"/>
      <c r="Z72" s="2" t="str">
        <f t="shared" si="4"/>
        <v/>
      </c>
      <c r="AA72" s="2" t="str">
        <f t="shared" si="5"/>
        <v/>
      </c>
      <c r="AB72" s="2" t="str">
        <f t="shared" si="6"/>
        <v/>
      </c>
      <c r="AC72" s="2" t="str">
        <f t="shared" si="7"/>
        <v>Walks with direction</v>
      </c>
      <c r="AD72" s="2"/>
      <c r="AE72" s="5"/>
      <c r="AF72" s="2"/>
      <c r="AG72" s="2"/>
      <c r="AH72" s="2"/>
      <c r="AI72" s="2"/>
    </row>
    <row r="73" spans="1:35">
      <c r="A73" s="2"/>
      <c r="B73" s="2"/>
      <c r="C73" s="2"/>
      <c r="D73" s="2"/>
      <c r="E73" s="5"/>
      <c r="F73" s="2"/>
      <c r="G73" s="5"/>
      <c r="H73" s="2"/>
      <c r="I73" s="2"/>
      <c r="J73" s="2"/>
      <c r="K73" s="2"/>
      <c r="L73" s="2"/>
      <c r="M73" s="2"/>
      <c r="N73" s="2"/>
      <c r="O73" s="2"/>
      <c r="P73" s="2"/>
      <c r="Q73" s="2"/>
      <c r="R73" s="2"/>
      <c r="S73" s="2"/>
      <c r="T73" s="2"/>
      <c r="U73" s="2"/>
      <c r="V73" s="2"/>
      <c r="W73" s="2"/>
      <c r="X73" s="2"/>
      <c r="Y73" s="2"/>
      <c r="Z73" s="2" t="str">
        <f t="shared" si="4"/>
        <v/>
      </c>
      <c r="AA73" s="2" t="str">
        <f t="shared" si="5"/>
        <v/>
      </c>
      <c r="AB73" s="2" t="str">
        <f t="shared" si="6"/>
        <v/>
      </c>
      <c r="AC73" s="2" t="str">
        <f t="shared" si="7"/>
        <v>Walks with direction</v>
      </c>
      <c r="AD73" s="2"/>
      <c r="AE73" s="5"/>
      <c r="AF73" s="2"/>
      <c r="AG73" s="2"/>
      <c r="AH73" s="2"/>
      <c r="AI73" s="2"/>
    </row>
    <row r="74" spans="1:35">
      <c r="A74" s="2"/>
      <c r="B74" s="2"/>
      <c r="C74" s="2"/>
      <c r="D74" s="2"/>
      <c r="E74" s="5"/>
      <c r="F74" s="2"/>
      <c r="G74" s="5"/>
      <c r="H74" s="2"/>
      <c r="I74" s="2"/>
      <c r="J74" s="2"/>
      <c r="K74" s="2"/>
      <c r="L74" s="2"/>
      <c r="M74" s="2"/>
      <c r="N74" s="2"/>
      <c r="O74" s="2"/>
      <c r="P74" s="2"/>
      <c r="Q74" s="2"/>
      <c r="R74" s="2"/>
      <c r="S74" s="2"/>
      <c r="T74" s="2"/>
      <c r="U74" s="2"/>
      <c r="V74" s="2"/>
      <c r="W74" s="2"/>
      <c r="X74" s="2"/>
      <c r="Y74" s="2"/>
      <c r="Z74" s="2" t="str">
        <f t="shared" si="4"/>
        <v/>
      </c>
      <c r="AA74" s="2" t="str">
        <f t="shared" si="5"/>
        <v/>
      </c>
      <c r="AB74" s="2" t="str">
        <f t="shared" si="6"/>
        <v/>
      </c>
      <c r="AC74" s="2" t="str">
        <f t="shared" si="7"/>
        <v>Walks with direction</v>
      </c>
      <c r="AD74" s="2"/>
      <c r="AE74" s="5"/>
      <c r="AF74" s="2"/>
      <c r="AG74" s="2"/>
      <c r="AH74" s="2"/>
      <c r="AI74" s="2"/>
    </row>
    <row r="75" spans="1:35">
      <c r="A75" s="2"/>
      <c r="B75" s="2"/>
      <c r="C75" s="2"/>
      <c r="D75" s="2"/>
      <c r="E75" s="5"/>
      <c r="F75" s="2"/>
      <c r="G75" s="5"/>
      <c r="H75" s="2"/>
      <c r="I75" s="2"/>
      <c r="J75" s="2"/>
      <c r="K75" s="2"/>
      <c r="L75" s="2"/>
      <c r="M75" s="2"/>
      <c r="N75" s="2"/>
      <c r="O75" s="2"/>
      <c r="P75" s="2"/>
      <c r="Q75" s="2"/>
      <c r="R75" s="2"/>
      <c r="S75" s="2"/>
      <c r="T75" s="2"/>
      <c r="U75" s="2"/>
      <c r="V75" s="2"/>
      <c r="W75" s="2"/>
      <c r="X75" s="2"/>
      <c r="Y75" s="2"/>
      <c r="Z75" s="2" t="str">
        <f t="shared" si="4"/>
        <v/>
      </c>
      <c r="AA75" s="2" t="str">
        <f t="shared" si="5"/>
        <v/>
      </c>
      <c r="AB75" s="2" t="str">
        <f t="shared" si="6"/>
        <v/>
      </c>
      <c r="AC75" s="2" t="str">
        <f t="shared" si="7"/>
        <v>Walks with direction</v>
      </c>
      <c r="AD75" s="2"/>
      <c r="AE75" s="5"/>
      <c r="AF75" s="2"/>
      <c r="AG75" s="2"/>
      <c r="AH75" s="2"/>
      <c r="AI75" s="2"/>
    </row>
    <row r="76" spans="1:35">
      <c r="A76" s="2"/>
      <c r="B76" s="2"/>
      <c r="C76" s="2"/>
      <c r="D76" s="2"/>
      <c r="E76" s="5"/>
      <c r="F76" s="2"/>
      <c r="G76" s="5"/>
      <c r="H76" s="2"/>
      <c r="I76" s="2"/>
      <c r="J76" s="2"/>
      <c r="K76" s="2"/>
      <c r="L76" s="2"/>
      <c r="M76" s="2"/>
      <c r="N76" s="2"/>
      <c r="O76" s="2"/>
      <c r="P76" s="2"/>
      <c r="Q76" s="2"/>
      <c r="R76" s="2"/>
      <c r="S76" s="2"/>
      <c r="T76" s="2"/>
      <c r="U76" s="2"/>
      <c r="V76" s="2"/>
      <c r="W76" s="2"/>
      <c r="X76" s="2"/>
      <c r="Y76" s="2"/>
      <c r="Z76" s="2" t="str">
        <f t="shared" si="4"/>
        <v/>
      </c>
      <c r="AA76" s="2" t="str">
        <f t="shared" si="5"/>
        <v/>
      </c>
      <c r="AB76" s="2" t="str">
        <f t="shared" si="6"/>
        <v/>
      </c>
      <c r="AC76" s="2" t="str">
        <f t="shared" si="7"/>
        <v>Walks with direction</v>
      </c>
      <c r="AD76" s="2"/>
      <c r="AE76" s="5"/>
      <c r="AF76" s="2"/>
      <c r="AG76" s="2"/>
      <c r="AH76" s="2"/>
      <c r="AI76" s="2"/>
    </row>
    <row r="77" spans="1:35">
      <c r="A77" s="2"/>
      <c r="B77" s="2"/>
      <c r="C77" s="2"/>
      <c r="D77" s="2"/>
      <c r="E77" s="5"/>
      <c r="F77" s="2"/>
      <c r="G77" s="5"/>
      <c r="H77" s="2"/>
      <c r="I77" s="2"/>
      <c r="J77" s="2"/>
      <c r="K77" s="2"/>
      <c r="L77" s="2"/>
      <c r="M77" s="2"/>
      <c r="N77" s="2"/>
      <c r="O77" s="2"/>
      <c r="P77" s="2"/>
      <c r="Q77" s="2"/>
      <c r="R77" s="2"/>
      <c r="S77" s="2"/>
      <c r="T77" s="2"/>
      <c r="U77" s="2"/>
      <c r="V77" s="2"/>
      <c r="W77" s="2"/>
      <c r="X77" s="2"/>
      <c r="Y77" s="2"/>
      <c r="Z77" s="2" t="str">
        <f t="shared" si="4"/>
        <v/>
      </c>
      <c r="AA77" s="2" t="str">
        <f t="shared" si="5"/>
        <v/>
      </c>
      <c r="AB77" s="2" t="str">
        <f t="shared" si="6"/>
        <v/>
      </c>
      <c r="AC77" s="2" t="str">
        <f t="shared" si="7"/>
        <v>Walks with direction</v>
      </c>
      <c r="AD77" s="2"/>
      <c r="AE77" s="5"/>
      <c r="AF77" s="2"/>
      <c r="AG77" s="2"/>
      <c r="AH77" s="2"/>
      <c r="AI77" s="2"/>
    </row>
    <row r="78" spans="1:35">
      <c r="A78" s="2"/>
      <c r="B78" s="2"/>
      <c r="C78" s="2"/>
      <c r="D78" s="2"/>
      <c r="E78" s="5"/>
      <c r="F78" s="2"/>
      <c r="G78" s="5"/>
      <c r="H78" s="2"/>
      <c r="I78" s="2"/>
      <c r="J78" s="2"/>
      <c r="K78" s="2"/>
      <c r="L78" s="2"/>
      <c r="M78" s="2"/>
      <c r="N78" s="2"/>
      <c r="O78" s="2"/>
      <c r="P78" s="2"/>
      <c r="Q78" s="2"/>
      <c r="R78" s="2"/>
      <c r="S78" s="2"/>
      <c r="T78" s="2"/>
      <c r="U78" s="2"/>
      <c r="V78" s="2"/>
      <c r="W78" s="2"/>
      <c r="X78" s="2"/>
      <c r="Y78" s="2"/>
      <c r="Z78" s="2" t="str">
        <f t="shared" si="4"/>
        <v/>
      </c>
      <c r="AA78" s="2" t="str">
        <f t="shared" si="5"/>
        <v/>
      </c>
      <c r="AB78" s="2" t="str">
        <f t="shared" si="6"/>
        <v/>
      </c>
      <c r="AC78" s="2" t="str">
        <f t="shared" si="7"/>
        <v>Walks with direction</v>
      </c>
      <c r="AD78" s="2"/>
      <c r="AE78" s="5"/>
      <c r="AF78" s="2"/>
      <c r="AG78" s="2"/>
      <c r="AH78" s="2"/>
      <c r="AI78" s="2"/>
    </row>
    <row r="79" spans="1:35">
      <c r="A79" s="2"/>
      <c r="B79" s="2"/>
      <c r="C79" s="2"/>
      <c r="D79" s="2"/>
      <c r="E79" s="5"/>
      <c r="F79" s="2"/>
      <c r="G79" s="5"/>
      <c r="H79" s="2"/>
      <c r="I79" s="2"/>
      <c r="J79" s="2"/>
      <c r="K79" s="2"/>
      <c r="L79" s="2"/>
      <c r="M79" s="2"/>
      <c r="N79" s="2"/>
      <c r="O79" s="2"/>
      <c r="P79" s="2"/>
      <c r="Q79" s="2"/>
      <c r="R79" s="2"/>
      <c r="S79" s="2"/>
      <c r="T79" s="2"/>
      <c r="U79" s="2"/>
      <c r="V79" s="2"/>
      <c r="W79" s="2"/>
      <c r="X79" s="2"/>
      <c r="Y79" s="2"/>
      <c r="Z79" s="2" t="str">
        <f t="shared" si="4"/>
        <v/>
      </c>
      <c r="AA79" s="2" t="str">
        <f t="shared" si="5"/>
        <v/>
      </c>
      <c r="AB79" s="2" t="str">
        <f t="shared" si="6"/>
        <v/>
      </c>
      <c r="AC79" s="2" t="str">
        <f t="shared" si="7"/>
        <v>Walks with direction</v>
      </c>
      <c r="AD79" s="2"/>
      <c r="AE79" s="5"/>
      <c r="AF79" s="2"/>
      <c r="AG79" s="2"/>
      <c r="AH79" s="2"/>
      <c r="AI79" s="2"/>
    </row>
    <row r="80" spans="1:35">
      <c r="A80" s="2"/>
      <c r="B80" s="2"/>
      <c r="C80" s="2"/>
      <c r="D80" s="2"/>
      <c r="E80" s="5"/>
      <c r="F80" s="2"/>
      <c r="G80" s="5"/>
      <c r="H80" s="2"/>
      <c r="I80" s="2"/>
      <c r="J80" s="2"/>
      <c r="K80" s="2"/>
      <c r="L80" s="2"/>
      <c r="M80" s="2"/>
      <c r="N80" s="2"/>
      <c r="O80" s="2"/>
      <c r="P80" s="2"/>
      <c r="Q80" s="2"/>
      <c r="R80" s="2"/>
      <c r="S80" s="2"/>
      <c r="T80" s="2"/>
      <c r="U80" s="2"/>
      <c r="V80" s="2"/>
      <c r="W80" s="2"/>
      <c r="X80" s="2"/>
      <c r="Y80" s="2"/>
      <c r="Z80" s="2" t="str">
        <f t="shared" si="4"/>
        <v/>
      </c>
      <c r="AA80" s="2" t="str">
        <f t="shared" si="5"/>
        <v/>
      </c>
      <c r="AB80" s="2" t="str">
        <f t="shared" si="6"/>
        <v/>
      </c>
      <c r="AC80" s="2" t="str">
        <f t="shared" si="7"/>
        <v>Walks with direction</v>
      </c>
      <c r="AD80" s="2"/>
      <c r="AE80" s="5"/>
      <c r="AF80" s="2"/>
      <c r="AG80" s="2"/>
      <c r="AH80" s="2"/>
      <c r="AI80" s="2"/>
    </row>
    <row r="81" spans="1:35">
      <c r="A81" s="2"/>
      <c r="B81" s="2"/>
      <c r="C81" s="2"/>
      <c r="D81" s="2"/>
      <c r="E81" s="5"/>
      <c r="F81" s="2"/>
      <c r="G81" s="5"/>
      <c r="H81" s="2"/>
      <c r="I81" s="2"/>
      <c r="J81" s="2"/>
      <c r="K81" s="2"/>
      <c r="L81" s="2"/>
      <c r="M81" s="2"/>
      <c r="N81" s="2"/>
      <c r="O81" s="2"/>
      <c r="P81" s="2"/>
      <c r="Q81" s="2"/>
      <c r="R81" s="2"/>
      <c r="S81" s="2"/>
      <c r="T81" s="2"/>
      <c r="U81" s="2"/>
      <c r="V81" s="2"/>
      <c r="W81" s="2"/>
      <c r="X81" s="2"/>
      <c r="Y81" s="2"/>
      <c r="Z81" s="2" t="str">
        <f t="shared" si="4"/>
        <v/>
      </c>
      <c r="AA81" s="2" t="str">
        <f t="shared" si="5"/>
        <v/>
      </c>
      <c r="AB81" s="2" t="str">
        <f t="shared" si="6"/>
        <v/>
      </c>
      <c r="AC81" s="2" t="str">
        <f t="shared" si="7"/>
        <v>Walks with direction</v>
      </c>
      <c r="AD81" s="2"/>
      <c r="AE81" s="5"/>
      <c r="AF81" s="2"/>
      <c r="AG81" s="2"/>
      <c r="AH81" s="2"/>
      <c r="AI81" s="2"/>
    </row>
    <row r="82" spans="1:35">
      <c r="A82" s="2"/>
      <c r="B82" s="2"/>
      <c r="C82" s="2"/>
      <c r="D82" s="2"/>
      <c r="E82" s="5"/>
      <c r="F82" s="2"/>
      <c r="G82" s="5"/>
      <c r="H82" s="2"/>
      <c r="I82" s="2"/>
      <c r="J82" s="2"/>
      <c r="K82" s="2"/>
      <c r="L82" s="2"/>
      <c r="M82" s="2"/>
      <c r="N82" s="2"/>
      <c r="O82" s="2"/>
      <c r="P82" s="2"/>
      <c r="Q82" s="2"/>
      <c r="R82" s="2"/>
      <c r="S82" s="2"/>
      <c r="T82" s="2"/>
      <c r="U82" s="2"/>
      <c r="V82" s="2"/>
      <c r="W82" s="2"/>
      <c r="X82" s="2"/>
      <c r="Y82" s="2"/>
      <c r="Z82" s="2" t="str">
        <f t="shared" ref="Z82:Z113" si="8">IF(COUNTA(H82:Y82)=0,"",IF(COUNTIF(H82:Y82,"Very High")&gt;0,"Very High",IF(COUNTIF(H82:Y82,"High")&gt;0,"High",IF(COUNTIF(H82:Y82,"Medium")&gt;0,"Medium","Low"))))</f>
        <v/>
      </c>
      <c r="AA82" s="2" t="str">
        <f t="shared" ref="AA82:AA113" si="9">IF(Z82="","",IF(Z82="Low","Routine planned support",IF(Z82="Medium","One staff support/supervision likely",IF(Z82="High","Two staff/review staffing and equipment","Manager review: multiple staff/specialist support"))))</f>
        <v/>
      </c>
      <c r="AB82" s="2" t="str">
        <f t="shared" ref="AB82:AB117" si="10">IF(Z82="","",IF(OR(Z82="High",Z82="Very High",W82="High",W82="Very High"),"Night staffing and evacuation review required","Routine night checks as per care plan"))</f>
        <v/>
      </c>
      <c r="AC82" s="2" t="str">
        <f t="shared" ref="AC82:AC117" si="11">IF(X82="Very High","Specialist PEEP / equipment",IF(OR(X82="High",Z82="High"),"Evacuation sheet/chair or wheelchair per PEEP",IF(OR(X82="Medium",Z82="Medium"),"Walking aid/wheelchair support per PEEP","Walks with direction")))</f>
        <v>Walks with direction</v>
      </c>
      <c r="AD82" s="2"/>
      <c r="AE82" s="5"/>
      <c r="AF82" s="2"/>
      <c r="AG82" s="2"/>
      <c r="AH82" s="2"/>
      <c r="AI82" s="2"/>
    </row>
    <row r="83" spans="1:35">
      <c r="A83" s="2"/>
      <c r="B83" s="2"/>
      <c r="C83" s="2"/>
      <c r="D83" s="2"/>
      <c r="E83" s="5"/>
      <c r="F83" s="2"/>
      <c r="G83" s="5"/>
      <c r="H83" s="2"/>
      <c r="I83" s="2"/>
      <c r="J83" s="2"/>
      <c r="K83" s="2"/>
      <c r="L83" s="2"/>
      <c r="M83" s="2"/>
      <c r="N83" s="2"/>
      <c r="O83" s="2"/>
      <c r="P83" s="2"/>
      <c r="Q83" s="2"/>
      <c r="R83" s="2"/>
      <c r="S83" s="2"/>
      <c r="T83" s="2"/>
      <c r="U83" s="2"/>
      <c r="V83" s="2"/>
      <c r="W83" s="2"/>
      <c r="X83" s="2"/>
      <c r="Y83" s="2"/>
      <c r="Z83" s="2" t="str">
        <f t="shared" si="8"/>
        <v/>
      </c>
      <c r="AA83" s="2" t="str">
        <f t="shared" si="9"/>
        <v/>
      </c>
      <c r="AB83" s="2" t="str">
        <f t="shared" si="10"/>
        <v/>
      </c>
      <c r="AC83" s="2" t="str">
        <f t="shared" si="11"/>
        <v>Walks with direction</v>
      </c>
      <c r="AD83" s="2"/>
      <c r="AE83" s="5"/>
      <c r="AF83" s="2"/>
      <c r="AG83" s="2"/>
      <c r="AH83" s="2"/>
      <c r="AI83" s="2"/>
    </row>
    <row r="84" spans="1:35">
      <c r="A84" s="2"/>
      <c r="B84" s="2"/>
      <c r="C84" s="2"/>
      <c r="D84" s="2"/>
      <c r="E84" s="5"/>
      <c r="F84" s="2"/>
      <c r="G84" s="5"/>
      <c r="H84" s="2"/>
      <c r="I84" s="2"/>
      <c r="J84" s="2"/>
      <c r="K84" s="2"/>
      <c r="L84" s="2"/>
      <c r="M84" s="2"/>
      <c r="N84" s="2"/>
      <c r="O84" s="2"/>
      <c r="P84" s="2"/>
      <c r="Q84" s="2"/>
      <c r="R84" s="2"/>
      <c r="S84" s="2"/>
      <c r="T84" s="2"/>
      <c r="U84" s="2"/>
      <c r="V84" s="2"/>
      <c r="W84" s="2"/>
      <c r="X84" s="2"/>
      <c r="Y84" s="2"/>
      <c r="Z84" s="2" t="str">
        <f t="shared" si="8"/>
        <v/>
      </c>
      <c r="AA84" s="2" t="str">
        <f t="shared" si="9"/>
        <v/>
      </c>
      <c r="AB84" s="2" t="str">
        <f t="shared" si="10"/>
        <v/>
      </c>
      <c r="AC84" s="2" t="str">
        <f t="shared" si="11"/>
        <v>Walks with direction</v>
      </c>
      <c r="AD84" s="2"/>
      <c r="AE84" s="5"/>
      <c r="AF84" s="2"/>
      <c r="AG84" s="2"/>
      <c r="AH84" s="2"/>
      <c r="AI84" s="2"/>
    </row>
    <row r="85" spans="1:35">
      <c r="A85" s="2"/>
      <c r="B85" s="2"/>
      <c r="C85" s="2"/>
      <c r="D85" s="2"/>
      <c r="E85" s="5"/>
      <c r="F85" s="2"/>
      <c r="G85" s="5"/>
      <c r="H85" s="2"/>
      <c r="I85" s="2"/>
      <c r="J85" s="2"/>
      <c r="K85" s="2"/>
      <c r="L85" s="2"/>
      <c r="M85" s="2"/>
      <c r="N85" s="2"/>
      <c r="O85" s="2"/>
      <c r="P85" s="2"/>
      <c r="Q85" s="2"/>
      <c r="R85" s="2"/>
      <c r="S85" s="2"/>
      <c r="T85" s="2"/>
      <c r="U85" s="2"/>
      <c r="V85" s="2"/>
      <c r="W85" s="2"/>
      <c r="X85" s="2"/>
      <c r="Y85" s="2"/>
      <c r="Z85" s="2" t="str">
        <f t="shared" si="8"/>
        <v/>
      </c>
      <c r="AA85" s="2" t="str">
        <f t="shared" si="9"/>
        <v/>
      </c>
      <c r="AB85" s="2" t="str">
        <f t="shared" si="10"/>
        <v/>
      </c>
      <c r="AC85" s="2" t="str">
        <f t="shared" si="11"/>
        <v>Walks with direction</v>
      </c>
      <c r="AD85" s="2"/>
      <c r="AE85" s="5"/>
      <c r="AF85" s="2"/>
      <c r="AG85" s="2"/>
      <c r="AH85" s="2"/>
      <c r="AI85" s="2"/>
    </row>
    <row r="86" spans="1:35">
      <c r="A86" s="2"/>
      <c r="B86" s="2"/>
      <c r="C86" s="2"/>
      <c r="D86" s="2"/>
      <c r="E86" s="5"/>
      <c r="F86" s="2"/>
      <c r="G86" s="5"/>
      <c r="H86" s="2"/>
      <c r="I86" s="2"/>
      <c r="J86" s="2"/>
      <c r="K86" s="2"/>
      <c r="L86" s="2"/>
      <c r="M86" s="2"/>
      <c r="N86" s="2"/>
      <c r="O86" s="2"/>
      <c r="P86" s="2"/>
      <c r="Q86" s="2"/>
      <c r="R86" s="2"/>
      <c r="S86" s="2"/>
      <c r="T86" s="2"/>
      <c r="U86" s="2"/>
      <c r="V86" s="2"/>
      <c r="W86" s="2"/>
      <c r="X86" s="2"/>
      <c r="Y86" s="2"/>
      <c r="Z86" s="2" t="str">
        <f t="shared" si="8"/>
        <v/>
      </c>
      <c r="AA86" s="2" t="str">
        <f t="shared" si="9"/>
        <v/>
      </c>
      <c r="AB86" s="2" t="str">
        <f t="shared" si="10"/>
        <v/>
      </c>
      <c r="AC86" s="2" t="str">
        <f t="shared" si="11"/>
        <v>Walks with direction</v>
      </c>
      <c r="AD86" s="2"/>
      <c r="AE86" s="5"/>
      <c r="AF86" s="2"/>
      <c r="AG86" s="2"/>
      <c r="AH86" s="2"/>
      <c r="AI86" s="2"/>
    </row>
    <row r="87" spans="1:35">
      <c r="A87" s="2"/>
      <c r="B87" s="2"/>
      <c r="C87" s="2"/>
      <c r="D87" s="2"/>
      <c r="E87" s="5"/>
      <c r="F87" s="2"/>
      <c r="G87" s="5"/>
      <c r="H87" s="2"/>
      <c r="I87" s="2"/>
      <c r="J87" s="2"/>
      <c r="K87" s="2"/>
      <c r="L87" s="2"/>
      <c r="M87" s="2"/>
      <c r="N87" s="2"/>
      <c r="O87" s="2"/>
      <c r="P87" s="2"/>
      <c r="Q87" s="2"/>
      <c r="R87" s="2"/>
      <c r="S87" s="2"/>
      <c r="T87" s="2"/>
      <c r="U87" s="2"/>
      <c r="V87" s="2"/>
      <c r="W87" s="2"/>
      <c r="X87" s="2"/>
      <c r="Y87" s="2"/>
      <c r="Z87" s="2" t="str">
        <f t="shared" si="8"/>
        <v/>
      </c>
      <c r="AA87" s="2" t="str">
        <f t="shared" si="9"/>
        <v/>
      </c>
      <c r="AB87" s="2" t="str">
        <f t="shared" si="10"/>
        <v/>
      </c>
      <c r="AC87" s="2" t="str">
        <f t="shared" si="11"/>
        <v>Walks with direction</v>
      </c>
      <c r="AD87" s="2"/>
      <c r="AE87" s="5"/>
      <c r="AF87" s="2"/>
      <c r="AG87" s="2"/>
      <c r="AH87" s="2"/>
      <c r="AI87" s="2"/>
    </row>
    <row r="88" spans="1:35">
      <c r="A88" s="2"/>
      <c r="B88" s="2"/>
      <c r="C88" s="2"/>
      <c r="D88" s="2"/>
      <c r="E88" s="5"/>
      <c r="F88" s="2"/>
      <c r="G88" s="5"/>
      <c r="H88" s="2"/>
      <c r="I88" s="2"/>
      <c r="J88" s="2"/>
      <c r="K88" s="2"/>
      <c r="L88" s="2"/>
      <c r="M88" s="2"/>
      <c r="N88" s="2"/>
      <c r="O88" s="2"/>
      <c r="P88" s="2"/>
      <c r="Q88" s="2"/>
      <c r="R88" s="2"/>
      <c r="S88" s="2"/>
      <c r="T88" s="2"/>
      <c r="U88" s="2"/>
      <c r="V88" s="2"/>
      <c r="W88" s="2"/>
      <c r="X88" s="2"/>
      <c r="Y88" s="2"/>
      <c r="Z88" s="2" t="str">
        <f t="shared" si="8"/>
        <v/>
      </c>
      <c r="AA88" s="2" t="str">
        <f t="shared" si="9"/>
        <v/>
      </c>
      <c r="AB88" s="2" t="str">
        <f t="shared" si="10"/>
        <v/>
      </c>
      <c r="AC88" s="2" t="str">
        <f t="shared" si="11"/>
        <v>Walks with direction</v>
      </c>
      <c r="AD88" s="2"/>
      <c r="AE88" s="5"/>
      <c r="AF88" s="2"/>
      <c r="AG88" s="2"/>
      <c r="AH88" s="2"/>
      <c r="AI88" s="2"/>
    </row>
    <row r="89" spans="1:35">
      <c r="A89" s="2"/>
      <c r="B89" s="2"/>
      <c r="C89" s="2"/>
      <c r="D89" s="2"/>
      <c r="E89" s="5"/>
      <c r="F89" s="2"/>
      <c r="G89" s="5"/>
      <c r="H89" s="2"/>
      <c r="I89" s="2"/>
      <c r="J89" s="2"/>
      <c r="K89" s="2"/>
      <c r="L89" s="2"/>
      <c r="M89" s="2"/>
      <c r="N89" s="2"/>
      <c r="O89" s="2"/>
      <c r="P89" s="2"/>
      <c r="Q89" s="2"/>
      <c r="R89" s="2"/>
      <c r="S89" s="2"/>
      <c r="T89" s="2"/>
      <c r="U89" s="2"/>
      <c r="V89" s="2"/>
      <c r="W89" s="2"/>
      <c r="X89" s="2"/>
      <c r="Y89" s="2"/>
      <c r="Z89" s="2" t="str">
        <f t="shared" si="8"/>
        <v/>
      </c>
      <c r="AA89" s="2" t="str">
        <f t="shared" si="9"/>
        <v/>
      </c>
      <c r="AB89" s="2" t="str">
        <f t="shared" si="10"/>
        <v/>
      </c>
      <c r="AC89" s="2" t="str">
        <f t="shared" si="11"/>
        <v>Walks with direction</v>
      </c>
      <c r="AD89" s="2"/>
      <c r="AE89" s="5"/>
      <c r="AF89" s="2"/>
      <c r="AG89" s="2"/>
      <c r="AH89" s="2"/>
      <c r="AI89" s="2"/>
    </row>
    <row r="90" spans="1:35">
      <c r="A90" s="2"/>
      <c r="B90" s="2"/>
      <c r="C90" s="2"/>
      <c r="D90" s="2"/>
      <c r="E90" s="5"/>
      <c r="F90" s="2"/>
      <c r="G90" s="5"/>
      <c r="H90" s="2"/>
      <c r="I90" s="2"/>
      <c r="J90" s="2"/>
      <c r="K90" s="2"/>
      <c r="L90" s="2"/>
      <c r="M90" s="2"/>
      <c r="N90" s="2"/>
      <c r="O90" s="2"/>
      <c r="P90" s="2"/>
      <c r="Q90" s="2"/>
      <c r="R90" s="2"/>
      <c r="S90" s="2"/>
      <c r="T90" s="2"/>
      <c r="U90" s="2"/>
      <c r="V90" s="2"/>
      <c r="W90" s="2"/>
      <c r="X90" s="2"/>
      <c r="Y90" s="2"/>
      <c r="Z90" s="2" t="str">
        <f t="shared" si="8"/>
        <v/>
      </c>
      <c r="AA90" s="2" t="str">
        <f t="shared" si="9"/>
        <v/>
      </c>
      <c r="AB90" s="2" t="str">
        <f t="shared" si="10"/>
        <v/>
      </c>
      <c r="AC90" s="2" t="str">
        <f t="shared" si="11"/>
        <v>Walks with direction</v>
      </c>
      <c r="AD90" s="2"/>
      <c r="AE90" s="5"/>
      <c r="AF90" s="2"/>
      <c r="AG90" s="2"/>
      <c r="AH90" s="2"/>
      <c r="AI90" s="2"/>
    </row>
    <row r="91" spans="1:35">
      <c r="A91" s="2"/>
      <c r="B91" s="2"/>
      <c r="C91" s="2"/>
      <c r="D91" s="2"/>
      <c r="E91" s="5"/>
      <c r="F91" s="2"/>
      <c r="G91" s="5"/>
      <c r="H91" s="2"/>
      <c r="I91" s="2"/>
      <c r="J91" s="2"/>
      <c r="K91" s="2"/>
      <c r="L91" s="2"/>
      <c r="M91" s="2"/>
      <c r="N91" s="2"/>
      <c r="O91" s="2"/>
      <c r="P91" s="2"/>
      <c r="Q91" s="2"/>
      <c r="R91" s="2"/>
      <c r="S91" s="2"/>
      <c r="T91" s="2"/>
      <c r="U91" s="2"/>
      <c r="V91" s="2"/>
      <c r="W91" s="2"/>
      <c r="X91" s="2"/>
      <c r="Y91" s="2"/>
      <c r="Z91" s="2" t="str">
        <f t="shared" si="8"/>
        <v/>
      </c>
      <c r="AA91" s="2" t="str">
        <f t="shared" si="9"/>
        <v/>
      </c>
      <c r="AB91" s="2" t="str">
        <f t="shared" si="10"/>
        <v/>
      </c>
      <c r="AC91" s="2" t="str">
        <f t="shared" si="11"/>
        <v>Walks with direction</v>
      </c>
      <c r="AD91" s="2"/>
      <c r="AE91" s="5"/>
      <c r="AF91" s="2"/>
      <c r="AG91" s="2"/>
      <c r="AH91" s="2"/>
      <c r="AI91" s="2"/>
    </row>
    <row r="92" spans="1:35">
      <c r="A92" s="2"/>
      <c r="B92" s="2"/>
      <c r="C92" s="2"/>
      <c r="D92" s="2"/>
      <c r="E92" s="5"/>
      <c r="F92" s="2"/>
      <c r="G92" s="5"/>
      <c r="H92" s="2"/>
      <c r="I92" s="2"/>
      <c r="J92" s="2"/>
      <c r="K92" s="2"/>
      <c r="L92" s="2"/>
      <c r="M92" s="2"/>
      <c r="N92" s="2"/>
      <c r="O92" s="2"/>
      <c r="P92" s="2"/>
      <c r="Q92" s="2"/>
      <c r="R92" s="2"/>
      <c r="S92" s="2"/>
      <c r="T92" s="2"/>
      <c r="U92" s="2"/>
      <c r="V92" s="2"/>
      <c r="W92" s="2"/>
      <c r="X92" s="2"/>
      <c r="Y92" s="2"/>
      <c r="Z92" s="2" t="str">
        <f t="shared" si="8"/>
        <v/>
      </c>
      <c r="AA92" s="2" t="str">
        <f t="shared" si="9"/>
        <v/>
      </c>
      <c r="AB92" s="2" t="str">
        <f t="shared" si="10"/>
        <v/>
      </c>
      <c r="AC92" s="2" t="str">
        <f t="shared" si="11"/>
        <v>Walks with direction</v>
      </c>
      <c r="AD92" s="2"/>
      <c r="AE92" s="5"/>
      <c r="AF92" s="2"/>
      <c r="AG92" s="2"/>
      <c r="AH92" s="2"/>
      <c r="AI92" s="2"/>
    </row>
    <row r="93" spans="1:35">
      <c r="A93" s="2"/>
      <c r="B93" s="2"/>
      <c r="C93" s="2"/>
      <c r="D93" s="2"/>
      <c r="E93" s="5"/>
      <c r="F93" s="2"/>
      <c r="G93" s="5"/>
      <c r="H93" s="2"/>
      <c r="I93" s="2"/>
      <c r="J93" s="2"/>
      <c r="K93" s="2"/>
      <c r="L93" s="2"/>
      <c r="M93" s="2"/>
      <c r="N93" s="2"/>
      <c r="O93" s="2"/>
      <c r="P93" s="2"/>
      <c r="Q93" s="2"/>
      <c r="R93" s="2"/>
      <c r="S93" s="2"/>
      <c r="T93" s="2"/>
      <c r="U93" s="2"/>
      <c r="V93" s="2"/>
      <c r="W93" s="2"/>
      <c r="X93" s="2"/>
      <c r="Y93" s="2"/>
      <c r="Z93" s="2" t="str">
        <f t="shared" si="8"/>
        <v/>
      </c>
      <c r="AA93" s="2" t="str">
        <f t="shared" si="9"/>
        <v/>
      </c>
      <c r="AB93" s="2" t="str">
        <f t="shared" si="10"/>
        <v/>
      </c>
      <c r="AC93" s="2" t="str">
        <f t="shared" si="11"/>
        <v>Walks with direction</v>
      </c>
      <c r="AD93" s="2"/>
      <c r="AE93" s="5"/>
      <c r="AF93" s="2"/>
      <c r="AG93" s="2"/>
      <c r="AH93" s="2"/>
      <c r="AI93" s="2"/>
    </row>
    <row r="94" spans="1:35">
      <c r="A94" s="2"/>
      <c r="B94" s="2"/>
      <c r="C94" s="2"/>
      <c r="D94" s="2"/>
      <c r="E94" s="5"/>
      <c r="F94" s="2"/>
      <c r="G94" s="5"/>
      <c r="H94" s="2"/>
      <c r="I94" s="2"/>
      <c r="J94" s="2"/>
      <c r="K94" s="2"/>
      <c r="L94" s="2"/>
      <c r="M94" s="2"/>
      <c r="N94" s="2"/>
      <c r="O94" s="2"/>
      <c r="P94" s="2"/>
      <c r="Q94" s="2"/>
      <c r="R94" s="2"/>
      <c r="S94" s="2"/>
      <c r="T94" s="2"/>
      <c r="U94" s="2"/>
      <c r="V94" s="2"/>
      <c r="W94" s="2"/>
      <c r="X94" s="2"/>
      <c r="Y94" s="2"/>
      <c r="Z94" s="2" t="str">
        <f t="shared" si="8"/>
        <v/>
      </c>
      <c r="AA94" s="2" t="str">
        <f t="shared" si="9"/>
        <v/>
      </c>
      <c r="AB94" s="2" t="str">
        <f t="shared" si="10"/>
        <v/>
      </c>
      <c r="AC94" s="2" t="str">
        <f t="shared" si="11"/>
        <v>Walks with direction</v>
      </c>
      <c r="AD94" s="2"/>
      <c r="AE94" s="5"/>
      <c r="AF94" s="2"/>
      <c r="AG94" s="2"/>
      <c r="AH94" s="2"/>
      <c r="AI94" s="2"/>
    </row>
    <row r="95" spans="1:35">
      <c r="A95" s="2"/>
      <c r="B95" s="2"/>
      <c r="C95" s="2"/>
      <c r="D95" s="2"/>
      <c r="E95" s="5"/>
      <c r="F95" s="2"/>
      <c r="G95" s="5"/>
      <c r="H95" s="2"/>
      <c r="I95" s="2"/>
      <c r="J95" s="2"/>
      <c r="K95" s="2"/>
      <c r="L95" s="2"/>
      <c r="M95" s="2"/>
      <c r="N95" s="2"/>
      <c r="O95" s="2"/>
      <c r="P95" s="2"/>
      <c r="Q95" s="2"/>
      <c r="R95" s="2"/>
      <c r="S95" s="2"/>
      <c r="T95" s="2"/>
      <c r="U95" s="2"/>
      <c r="V95" s="2"/>
      <c r="W95" s="2"/>
      <c r="X95" s="2"/>
      <c r="Y95" s="2"/>
      <c r="Z95" s="2" t="str">
        <f t="shared" si="8"/>
        <v/>
      </c>
      <c r="AA95" s="2" t="str">
        <f t="shared" si="9"/>
        <v/>
      </c>
      <c r="AB95" s="2" t="str">
        <f t="shared" si="10"/>
        <v/>
      </c>
      <c r="AC95" s="2" t="str">
        <f t="shared" si="11"/>
        <v>Walks with direction</v>
      </c>
      <c r="AD95" s="2"/>
      <c r="AE95" s="5"/>
      <c r="AF95" s="2"/>
      <c r="AG95" s="2"/>
      <c r="AH95" s="2"/>
      <c r="AI95" s="2"/>
    </row>
    <row r="96" spans="1:35">
      <c r="A96" s="2"/>
      <c r="B96" s="2"/>
      <c r="C96" s="2"/>
      <c r="D96" s="2"/>
      <c r="E96" s="5"/>
      <c r="F96" s="2"/>
      <c r="G96" s="5"/>
      <c r="H96" s="2"/>
      <c r="I96" s="2"/>
      <c r="J96" s="2"/>
      <c r="K96" s="2"/>
      <c r="L96" s="2"/>
      <c r="M96" s="2"/>
      <c r="N96" s="2"/>
      <c r="O96" s="2"/>
      <c r="P96" s="2"/>
      <c r="Q96" s="2"/>
      <c r="R96" s="2"/>
      <c r="S96" s="2"/>
      <c r="T96" s="2"/>
      <c r="U96" s="2"/>
      <c r="V96" s="2"/>
      <c r="W96" s="2"/>
      <c r="X96" s="2"/>
      <c r="Y96" s="2"/>
      <c r="Z96" s="2" t="str">
        <f t="shared" si="8"/>
        <v/>
      </c>
      <c r="AA96" s="2" t="str">
        <f t="shared" si="9"/>
        <v/>
      </c>
      <c r="AB96" s="2" t="str">
        <f t="shared" si="10"/>
        <v/>
      </c>
      <c r="AC96" s="2" t="str">
        <f t="shared" si="11"/>
        <v>Walks with direction</v>
      </c>
      <c r="AD96" s="2"/>
      <c r="AE96" s="5"/>
      <c r="AF96" s="2"/>
      <c r="AG96" s="2"/>
      <c r="AH96" s="2"/>
      <c r="AI96" s="2"/>
    </row>
    <row r="97" spans="1:35">
      <c r="A97" s="2"/>
      <c r="B97" s="2"/>
      <c r="C97" s="2"/>
      <c r="D97" s="2"/>
      <c r="E97" s="5"/>
      <c r="F97" s="2"/>
      <c r="G97" s="5"/>
      <c r="H97" s="2"/>
      <c r="I97" s="2"/>
      <c r="J97" s="2"/>
      <c r="K97" s="2"/>
      <c r="L97" s="2"/>
      <c r="M97" s="2"/>
      <c r="N97" s="2"/>
      <c r="O97" s="2"/>
      <c r="P97" s="2"/>
      <c r="Q97" s="2"/>
      <c r="R97" s="2"/>
      <c r="S97" s="2"/>
      <c r="T97" s="2"/>
      <c r="U97" s="2"/>
      <c r="V97" s="2"/>
      <c r="W97" s="2"/>
      <c r="X97" s="2"/>
      <c r="Y97" s="2"/>
      <c r="Z97" s="2" t="str">
        <f t="shared" si="8"/>
        <v/>
      </c>
      <c r="AA97" s="2" t="str">
        <f t="shared" si="9"/>
        <v/>
      </c>
      <c r="AB97" s="2" t="str">
        <f t="shared" si="10"/>
        <v/>
      </c>
      <c r="AC97" s="2" t="str">
        <f t="shared" si="11"/>
        <v>Walks with direction</v>
      </c>
      <c r="AD97" s="2"/>
      <c r="AE97" s="5"/>
      <c r="AF97" s="2"/>
      <c r="AG97" s="2"/>
      <c r="AH97" s="2"/>
      <c r="AI97" s="2"/>
    </row>
    <row r="98" spans="1:35">
      <c r="A98" s="2"/>
      <c r="B98" s="2"/>
      <c r="C98" s="2"/>
      <c r="D98" s="2"/>
      <c r="E98" s="5"/>
      <c r="F98" s="2"/>
      <c r="G98" s="5"/>
      <c r="H98" s="2"/>
      <c r="I98" s="2"/>
      <c r="J98" s="2"/>
      <c r="K98" s="2"/>
      <c r="L98" s="2"/>
      <c r="M98" s="2"/>
      <c r="N98" s="2"/>
      <c r="O98" s="2"/>
      <c r="P98" s="2"/>
      <c r="Q98" s="2"/>
      <c r="R98" s="2"/>
      <c r="S98" s="2"/>
      <c r="T98" s="2"/>
      <c r="U98" s="2"/>
      <c r="V98" s="2"/>
      <c r="W98" s="2"/>
      <c r="X98" s="2"/>
      <c r="Y98" s="2"/>
      <c r="Z98" s="2" t="str">
        <f t="shared" si="8"/>
        <v/>
      </c>
      <c r="AA98" s="2" t="str">
        <f t="shared" si="9"/>
        <v/>
      </c>
      <c r="AB98" s="2" t="str">
        <f t="shared" si="10"/>
        <v/>
      </c>
      <c r="AC98" s="2" t="str">
        <f t="shared" si="11"/>
        <v>Walks with direction</v>
      </c>
      <c r="AD98" s="2"/>
      <c r="AE98" s="5"/>
      <c r="AF98" s="2"/>
      <c r="AG98" s="2"/>
      <c r="AH98" s="2"/>
      <c r="AI98" s="2"/>
    </row>
    <row r="99" spans="1:35">
      <c r="A99" s="2"/>
      <c r="B99" s="2"/>
      <c r="C99" s="2"/>
      <c r="D99" s="2"/>
      <c r="E99" s="5"/>
      <c r="F99" s="2"/>
      <c r="G99" s="5"/>
      <c r="H99" s="2"/>
      <c r="I99" s="2"/>
      <c r="J99" s="2"/>
      <c r="K99" s="2"/>
      <c r="L99" s="2"/>
      <c r="M99" s="2"/>
      <c r="N99" s="2"/>
      <c r="O99" s="2"/>
      <c r="P99" s="2"/>
      <c r="Q99" s="2"/>
      <c r="R99" s="2"/>
      <c r="S99" s="2"/>
      <c r="T99" s="2"/>
      <c r="U99" s="2"/>
      <c r="V99" s="2"/>
      <c r="W99" s="2"/>
      <c r="X99" s="2"/>
      <c r="Y99" s="2"/>
      <c r="Z99" s="2" t="str">
        <f t="shared" si="8"/>
        <v/>
      </c>
      <c r="AA99" s="2" t="str">
        <f t="shared" si="9"/>
        <v/>
      </c>
      <c r="AB99" s="2" t="str">
        <f t="shared" si="10"/>
        <v/>
      </c>
      <c r="AC99" s="2" t="str">
        <f t="shared" si="11"/>
        <v>Walks with direction</v>
      </c>
      <c r="AD99" s="2"/>
      <c r="AE99" s="5"/>
      <c r="AF99" s="2"/>
      <c r="AG99" s="2"/>
      <c r="AH99" s="2"/>
      <c r="AI99" s="2"/>
    </row>
    <row r="100" spans="1:35">
      <c r="A100" s="2"/>
      <c r="B100" s="2"/>
      <c r="C100" s="2"/>
      <c r="D100" s="2"/>
      <c r="E100" s="5"/>
      <c r="F100" s="2"/>
      <c r="G100" s="5"/>
      <c r="H100" s="2"/>
      <c r="I100" s="2"/>
      <c r="J100" s="2"/>
      <c r="K100" s="2"/>
      <c r="L100" s="2"/>
      <c r="M100" s="2"/>
      <c r="N100" s="2"/>
      <c r="O100" s="2"/>
      <c r="P100" s="2"/>
      <c r="Q100" s="2"/>
      <c r="R100" s="2"/>
      <c r="S100" s="2"/>
      <c r="T100" s="2"/>
      <c r="U100" s="2"/>
      <c r="V100" s="2"/>
      <c r="W100" s="2"/>
      <c r="X100" s="2"/>
      <c r="Y100" s="2"/>
      <c r="Z100" s="2" t="str">
        <f t="shared" si="8"/>
        <v/>
      </c>
      <c r="AA100" s="2" t="str">
        <f t="shared" si="9"/>
        <v/>
      </c>
      <c r="AB100" s="2" t="str">
        <f t="shared" si="10"/>
        <v/>
      </c>
      <c r="AC100" s="2" t="str">
        <f t="shared" si="11"/>
        <v>Walks with direction</v>
      </c>
      <c r="AD100" s="2"/>
      <c r="AE100" s="5"/>
      <c r="AF100" s="2"/>
      <c r="AG100" s="2"/>
      <c r="AH100" s="2"/>
      <c r="AI100" s="2"/>
    </row>
    <row r="101" spans="1:35">
      <c r="A101" s="2"/>
      <c r="B101" s="2"/>
      <c r="C101" s="2"/>
      <c r="D101" s="2"/>
      <c r="E101" s="5"/>
      <c r="F101" s="2"/>
      <c r="G101" s="5"/>
      <c r="H101" s="2"/>
      <c r="I101" s="2"/>
      <c r="J101" s="2"/>
      <c r="K101" s="2"/>
      <c r="L101" s="2"/>
      <c r="M101" s="2"/>
      <c r="N101" s="2"/>
      <c r="O101" s="2"/>
      <c r="P101" s="2"/>
      <c r="Q101" s="2"/>
      <c r="R101" s="2"/>
      <c r="S101" s="2"/>
      <c r="T101" s="2"/>
      <c r="U101" s="2"/>
      <c r="V101" s="2"/>
      <c r="W101" s="2"/>
      <c r="X101" s="2"/>
      <c r="Y101" s="2"/>
      <c r="Z101" s="2" t="str">
        <f t="shared" si="8"/>
        <v/>
      </c>
      <c r="AA101" s="2" t="str">
        <f t="shared" si="9"/>
        <v/>
      </c>
      <c r="AB101" s="2" t="str">
        <f t="shared" si="10"/>
        <v/>
      </c>
      <c r="AC101" s="2" t="str">
        <f t="shared" si="11"/>
        <v>Walks with direction</v>
      </c>
      <c r="AD101" s="2"/>
      <c r="AE101" s="5"/>
      <c r="AF101" s="2"/>
      <c r="AG101" s="2"/>
      <c r="AH101" s="2"/>
      <c r="AI101" s="2"/>
    </row>
    <row r="102" spans="1:35">
      <c r="A102" s="2"/>
      <c r="B102" s="2"/>
      <c r="C102" s="2"/>
      <c r="D102" s="2"/>
      <c r="E102" s="5"/>
      <c r="F102" s="2"/>
      <c r="G102" s="5"/>
      <c r="H102" s="2"/>
      <c r="I102" s="2"/>
      <c r="J102" s="2"/>
      <c r="K102" s="2"/>
      <c r="L102" s="2"/>
      <c r="M102" s="2"/>
      <c r="N102" s="2"/>
      <c r="O102" s="2"/>
      <c r="P102" s="2"/>
      <c r="Q102" s="2"/>
      <c r="R102" s="2"/>
      <c r="S102" s="2"/>
      <c r="T102" s="2"/>
      <c r="U102" s="2"/>
      <c r="V102" s="2"/>
      <c r="W102" s="2"/>
      <c r="X102" s="2"/>
      <c r="Y102" s="2"/>
      <c r="Z102" s="2" t="str">
        <f t="shared" si="8"/>
        <v/>
      </c>
      <c r="AA102" s="2" t="str">
        <f t="shared" si="9"/>
        <v/>
      </c>
      <c r="AB102" s="2" t="str">
        <f t="shared" si="10"/>
        <v/>
      </c>
      <c r="AC102" s="2" t="str">
        <f t="shared" si="11"/>
        <v>Walks with direction</v>
      </c>
      <c r="AD102" s="2"/>
      <c r="AE102" s="5"/>
      <c r="AF102" s="2"/>
      <c r="AG102" s="2"/>
      <c r="AH102" s="2"/>
      <c r="AI102" s="2"/>
    </row>
    <row r="103" spans="1:35">
      <c r="A103" s="2"/>
      <c r="B103" s="2"/>
      <c r="C103" s="2"/>
      <c r="D103" s="2"/>
      <c r="E103" s="5"/>
      <c r="F103" s="2"/>
      <c r="G103" s="5"/>
      <c r="H103" s="2"/>
      <c r="I103" s="2"/>
      <c r="J103" s="2"/>
      <c r="K103" s="2"/>
      <c r="L103" s="2"/>
      <c r="M103" s="2"/>
      <c r="N103" s="2"/>
      <c r="O103" s="2"/>
      <c r="P103" s="2"/>
      <c r="Q103" s="2"/>
      <c r="R103" s="2"/>
      <c r="S103" s="2"/>
      <c r="T103" s="2"/>
      <c r="U103" s="2"/>
      <c r="V103" s="2"/>
      <c r="W103" s="2"/>
      <c r="X103" s="2"/>
      <c r="Y103" s="2"/>
      <c r="Z103" s="2" t="str">
        <f t="shared" si="8"/>
        <v/>
      </c>
      <c r="AA103" s="2" t="str">
        <f t="shared" si="9"/>
        <v/>
      </c>
      <c r="AB103" s="2" t="str">
        <f t="shared" si="10"/>
        <v/>
      </c>
      <c r="AC103" s="2" t="str">
        <f t="shared" si="11"/>
        <v>Walks with direction</v>
      </c>
      <c r="AD103" s="2"/>
      <c r="AE103" s="5"/>
      <c r="AF103" s="2"/>
      <c r="AG103" s="2"/>
      <c r="AH103" s="2"/>
      <c r="AI103" s="2"/>
    </row>
    <row r="104" spans="1:35">
      <c r="A104" s="2"/>
      <c r="B104" s="2"/>
      <c r="C104" s="2"/>
      <c r="D104" s="2"/>
      <c r="E104" s="5"/>
      <c r="F104" s="2"/>
      <c r="G104" s="5"/>
      <c r="H104" s="2"/>
      <c r="I104" s="2"/>
      <c r="J104" s="2"/>
      <c r="K104" s="2"/>
      <c r="L104" s="2"/>
      <c r="M104" s="2"/>
      <c r="N104" s="2"/>
      <c r="O104" s="2"/>
      <c r="P104" s="2"/>
      <c r="Q104" s="2"/>
      <c r="R104" s="2"/>
      <c r="S104" s="2"/>
      <c r="T104" s="2"/>
      <c r="U104" s="2"/>
      <c r="V104" s="2"/>
      <c r="W104" s="2"/>
      <c r="X104" s="2"/>
      <c r="Y104" s="2"/>
      <c r="Z104" s="2" t="str">
        <f t="shared" si="8"/>
        <v/>
      </c>
      <c r="AA104" s="2" t="str">
        <f t="shared" si="9"/>
        <v/>
      </c>
      <c r="AB104" s="2" t="str">
        <f t="shared" si="10"/>
        <v/>
      </c>
      <c r="AC104" s="2" t="str">
        <f t="shared" si="11"/>
        <v>Walks with direction</v>
      </c>
      <c r="AD104" s="2"/>
      <c r="AE104" s="5"/>
      <c r="AF104" s="2"/>
      <c r="AG104" s="2"/>
      <c r="AH104" s="2"/>
      <c r="AI104" s="2"/>
    </row>
    <row r="105" spans="1:35">
      <c r="A105" s="2"/>
      <c r="B105" s="2"/>
      <c r="C105" s="2"/>
      <c r="D105" s="2"/>
      <c r="E105" s="5"/>
      <c r="F105" s="2"/>
      <c r="G105" s="5"/>
      <c r="H105" s="2"/>
      <c r="I105" s="2"/>
      <c r="J105" s="2"/>
      <c r="K105" s="2"/>
      <c r="L105" s="2"/>
      <c r="M105" s="2"/>
      <c r="N105" s="2"/>
      <c r="O105" s="2"/>
      <c r="P105" s="2"/>
      <c r="Q105" s="2"/>
      <c r="R105" s="2"/>
      <c r="S105" s="2"/>
      <c r="T105" s="2"/>
      <c r="U105" s="2"/>
      <c r="V105" s="2"/>
      <c r="W105" s="2"/>
      <c r="X105" s="2"/>
      <c r="Y105" s="2"/>
      <c r="Z105" s="2" t="str">
        <f t="shared" si="8"/>
        <v/>
      </c>
      <c r="AA105" s="2" t="str">
        <f t="shared" si="9"/>
        <v/>
      </c>
      <c r="AB105" s="2" t="str">
        <f t="shared" si="10"/>
        <v/>
      </c>
      <c r="AC105" s="2" t="str">
        <f t="shared" si="11"/>
        <v>Walks with direction</v>
      </c>
      <c r="AD105" s="2"/>
      <c r="AE105" s="5"/>
      <c r="AF105" s="2"/>
      <c r="AG105" s="2"/>
      <c r="AH105" s="2"/>
      <c r="AI105" s="2"/>
    </row>
    <row r="106" spans="1:35">
      <c r="A106" s="2"/>
      <c r="B106" s="2"/>
      <c r="C106" s="2"/>
      <c r="D106" s="2"/>
      <c r="E106" s="5"/>
      <c r="F106" s="2"/>
      <c r="G106" s="5"/>
      <c r="H106" s="2"/>
      <c r="I106" s="2"/>
      <c r="J106" s="2"/>
      <c r="K106" s="2"/>
      <c r="L106" s="2"/>
      <c r="M106" s="2"/>
      <c r="N106" s="2"/>
      <c r="O106" s="2"/>
      <c r="P106" s="2"/>
      <c r="Q106" s="2"/>
      <c r="R106" s="2"/>
      <c r="S106" s="2"/>
      <c r="T106" s="2"/>
      <c r="U106" s="2"/>
      <c r="V106" s="2"/>
      <c r="W106" s="2"/>
      <c r="X106" s="2"/>
      <c r="Y106" s="2"/>
      <c r="Z106" s="2" t="str">
        <f t="shared" si="8"/>
        <v/>
      </c>
      <c r="AA106" s="2" t="str">
        <f t="shared" si="9"/>
        <v/>
      </c>
      <c r="AB106" s="2" t="str">
        <f t="shared" si="10"/>
        <v/>
      </c>
      <c r="AC106" s="2" t="str">
        <f t="shared" si="11"/>
        <v>Walks with direction</v>
      </c>
      <c r="AD106" s="2"/>
      <c r="AE106" s="5"/>
      <c r="AF106" s="2"/>
      <c r="AG106" s="2"/>
      <c r="AH106" s="2"/>
      <c r="AI106" s="2"/>
    </row>
    <row r="107" spans="1:35">
      <c r="A107" s="2"/>
      <c r="B107" s="2"/>
      <c r="C107" s="2"/>
      <c r="D107" s="2"/>
      <c r="E107" s="5"/>
      <c r="F107" s="2"/>
      <c r="G107" s="5"/>
      <c r="H107" s="2"/>
      <c r="I107" s="2"/>
      <c r="J107" s="2"/>
      <c r="K107" s="2"/>
      <c r="L107" s="2"/>
      <c r="M107" s="2"/>
      <c r="N107" s="2"/>
      <c r="O107" s="2"/>
      <c r="P107" s="2"/>
      <c r="Q107" s="2"/>
      <c r="R107" s="2"/>
      <c r="S107" s="2"/>
      <c r="T107" s="2"/>
      <c r="U107" s="2"/>
      <c r="V107" s="2"/>
      <c r="W107" s="2"/>
      <c r="X107" s="2"/>
      <c r="Y107" s="2"/>
      <c r="Z107" s="2" t="str">
        <f t="shared" si="8"/>
        <v/>
      </c>
      <c r="AA107" s="2" t="str">
        <f t="shared" si="9"/>
        <v/>
      </c>
      <c r="AB107" s="2" t="str">
        <f t="shared" si="10"/>
        <v/>
      </c>
      <c r="AC107" s="2" t="str">
        <f t="shared" si="11"/>
        <v>Walks with direction</v>
      </c>
      <c r="AD107" s="2"/>
      <c r="AE107" s="5"/>
      <c r="AF107" s="2"/>
      <c r="AG107" s="2"/>
      <c r="AH107" s="2"/>
      <c r="AI107" s="2"/>
    </row>
    <row r="108" spans="1:35">
      <c r="A108" s="2"/>
      <c r="B108" s="2"/>
      <c r="C108" s="2"/>
      <c r="D108" s="2"/>
      <c r="E108" s="5"/>
      <c r="F108" s="2"/>
      <c r="G108" s="5"/>
      <c r="H108" s="2"/>
      <c r="I108" s="2"/>
      <c r="J108" s="2"/>
      <c r="K108" s="2"/>
      <c r="L108" s="2"/>
      <c r="M108" s="2"/>
      <c r="N108" s="2"/>
      <c r="O108" s="2"/>
      <c r="P108" s="2"/>
      <c r="Q108" s="2"/>
      <c r="R108" s="2"/>
      <c r="S108" s="2"/>
      <c r="T108" s="2"/>
      <c r="U108" s="2"/>
      <c r="V108" s="2"/>
      <c r="W108" s="2"/>
      <c r="X108" s="2"/>
      <c r="Y108" s="2"/>
      <c r="Z108" s="2" t="str">
        <f t="shared" si="8"/>
        <v/>
      </c>
      <c r="AA108" s="2" t="str">
        <f t="shared" si="9"/>
        <v/>
      </c>
      <c r="AB108" s="2" t="str">
        <f t="shared" si="10"/>
        <v/>
      </c>
      <c r="AC108" s="2" t="str">
        <f t="shared" si="11"/>
        <v>Walks with direction</v>
      </c>
      <c r="AD108" s="2"/>
      <c r="AE108" s="5"/>
      <c r="AF108" s="2"/>
      <c r="AG108" s="2"/>
      <c r="AH108" s="2"/>
      <c r="AI108" s="2"/>
    </row>
    <row r="109" spans="1:35">
      <c r="A109" s="2"/>
      <c r="B109" s="2"/>
      <c r="C109" s="2"/>
      <c r="D109" s="2"/>
      <c r="E109" s="5"/>
      <c r="F109" s="2"/>
      <c r="G109" s="5"/>
      <c r="H109" s="2"/>
      <c r="I109" s="2"/>
      <c r="J109" s="2"/>
      <c r="K109" s="2"/>
      <c r="L109" s="2"/>
      <c r="M109" s="2"/>
      <c r="N109" s="2"/>
      <c r="O109" s="2"/>
      <c r="P109" s="2"/>
      <c r="Q109" s="2"/>
      <c r="R109" s="2"/>
      <c r="S109" s="2"/>
      <c r="T109" s="2"/>
      <c r="U109" s="2"/>
      <c r="V109" s="2"/>
      <c r="W109" s="2"/>
      <c r="X109" s="2"/>
      <c r="Y109" s="2"/>
      <c r="Z109" s="2" t="str">
        <f t="shared" si="8"/>
        <v/>
      </c>
      <c r="AA109" s="2" t="str">
        <f t="shared" si="9"/>
        <v/>
      </c>
      <c r="AB109" s="2" t="str">
        <f t="shared" si="10"/>
        <v/>
      </c>
      <c r="AC109" s="2" t="str">
        <f t="shared" si="11"/>
        <v>Walks with direction</v>
      </c>
      <c r="AD109" s="2"/>
      <c r="AE109" s="5"/>
      <c r="AF109" s="2"/>
      <c r="AG109" s="2"/>
      <c r="AH109" s="2"/>
      <c r="AI109" s="2"/>
    </row>
    <row r="110" spans="1:35">
      <c r="A110" s="2"/>
      <c r="B110" s="2"/>
      <c r="C110" s="2"/>
      <c r="D110" s="2"/>
      <c r="E110" s="5"/>
      <c r="F110" s="2"/>
      <c r="G110" s="5"/>
      <c r="H110" s="2"/>
      <c r="I110" s="2"/>
      <c r="J110" s="2"/>
      <c r="K110" s="2"/>
      <c r="L110" s="2"/>
      <c r="M110" s="2"/>
      <c r="N110" s="2"/>
      <c r="O110" s="2"/>
      <c r="P110" s="2"/>
      <c r="Q110" s="2"/>
      <c r="R110" s="2"/>
      <c r="S110" s="2"/>
      <c r="T110" s="2"/>
      <c r="U110" s="2"/>
      <c r="V110" s="2"/>
      <c r="W110" s="2"/>
      <c r="X110" s="2"/>
      <c r="Y110" s="2"/>
      <c r="Z110" s="2" t="str">
        <f t="shared" si="8"/>
        <v/>
      </c>
      <c r="AA110" s="2" t="str">
        <f t="shared" si="9"/>
        <v/>
      </c>
      <c r="AB110" s="2" t="str">
        <f t="shared" si="10"/>
        <v/>
      </c>
      <c r="AC110" s="2" t="str">
        <f t="shared" si="11"/>
        <v>Walks with direction</v>
      </c>
      <c r="AD110" s="2"/>
      <c r="AE110" s="5"/>
      <c r="AF110" s="2"/>
      <c r="AG110" s="2"/>
      <c r="AH110" s="2"/>
      <c r="AI110" s="2"/>
    </row>
    <row r="111" spans="1:35">
      <c r="A111" s="2"/>
      <c r="B111" s="2"/>
      <c r="C111" s="2"/>
      <c r="D111" s="2"/>
      <c r="E111" s="5"/>
      <c r="F111" s="2"/>
      <c r="G111" s="5"/>
      <c r="H111" s="2"/>
      <c r="I111" s="2"/>
      <c r="J111" s="2"/>
      <c r="K111" s="2"/>
      <c r="L111" s="2"/>
      <c r="M111" s="2"/>
      <c r="N111" s="2"/>
      <c r="O111" s="2"/>
      <c r="P111" s="2"/>
      <c r="Q111" s="2"/>
      <c r="R111" s="2"/>
      <c r="S111" s="2"/>
      <c r="T111" s="2"/>
      <c r="U111" s="2"/>
      <c r="V111" s="2"/>
      <c r="W111" s="2"/>
      <c r="X111" s="2"/>
      <c r="Y111" s="2"/>
      <c r="Z111" s="2" t="str">
        <f t="shared" si="8"/>
        <v/>
      </c>
      <c r="AA111" s="2" t="str">
        <f t="shared" si="9"/>
        <v/>
      </c>
      <c r="AB111" s="2" t="str">
        <f t="shared" si="10"/>
        <v/>
      </c>
      <c r="AC111" s="2" t="str">
        <f t="shared" si="11"/>
        <v>Walks with direction</v>
      </c>
      <c r="AD111" s="2"/>
      <c r="AE111" s="5"/>
      <c r="AF111" s="2"/>
      <c r="AG111" s="2"/>
      <c r="AH111" s="2"/>
      <c r="AI111" s="2"/>
    </row>
    <row r="112" spans="1:35">
      <c r="A112" s="2"/>
      <c r="B112" s="2"/>
      <c r="C112" s="2"/>
      <c r="D112" s="2"/>
      <c r="E112" s="5"/>
      <c r="F112" s="2"/>
      <c r="G112" s="5"/>
      <c r="H112" s="2"/>
      <c r="I112" s="2"/>
      <c r="J112" s="2"/>
      <c r="K112" s="2"/>
      <c r="L112" s="2"/>
      <c r="M112" s="2"/>
      <c r="N112" s="2"/>
      <c r="O112" s="2"/>
      <c r="P112" s="2"/>
      <c r="Q112" s="2"/>
      <c r="R112" s="2"/>
      <c r="S112" s="2"/>
      <c r="T112" s="2"/>
      <c r="U112" s="2"/>
      <c r="V112" s="2"/>
      <c r="W112" s="2"/>
      <c r="X112" s="2"/>
      <c r="Y112" s="2"/>
      <c r="Z112" s="2" t="str">
        <f t="shared" si="8"/>
        <v/>
      </c>
      <c r="AA112" s="2" t="str">
        <f t="shared" si="9"/>
        <v/>
      </c>
      <c r="AB112" s="2" t="str">
        <f t="shared" si="10"/>
        <v/>
      </c>
      <c r="AC112" s="2" t="str">
        <f t="shared" si="11"/>
        <v>Walks with direction</v>
      </c>
      <c r="AD112" s="2"/>
      <c r="AE112" s="5"/>
      <c r="AF112" s="2"/>
      <c r="AG112" s="2"/>
      <c r="AH112" s="2"/>
      <c r="AI112" s="2"/>
    </row>
    <row r="113" spans="1:35">
      <c r="A113" s="2"/>
      <c r="B113" s="2"/>
      <c r="C113" s="2"/>
      <c r="D113" s="2"/>
      <c r="E113" s="5"/>
      <c r="F113" s="2"/>
      <c r="G113" s="5"/>
      <c r="H113" s="2"/>
      <c r="I113" s="2"/>
      <c r="J113" s="2"/>
      <c r="K113" s="2"/>
      <c r="L113" s="2"/>
      <c r="M113" s="2"/>
      <c r="N113" s="2"/>
      <c r="O113" s="2"/>
      <c r="P113" s="2"/>
      <c r="Q113" s="2"/>
      <c r="R113" s="2"/>
      <c r="S113" s="2"/>
      <c r="T113" s="2"/>
      <c r="U113" s="2"/>
      <c r="V113" s="2"/>
      <c r="W113" s="2"/>
      <c r="X113" s="2"/>
      <c r="Y113" s="2"/>
      <c r="Z113" s="2" t="str">
        <f t="shared" si="8"/>
        <v/>
      </c>
      <c r="AA113" s="2" t="str">
        <f t="shared" si="9"/>
        <v/>
      </c>
      <c r="AB113" s="2" t="str">
        <f t="shared" si="10"/>
        <v/>
      </c>
      <c r="AC113" s="2" t="str">
        <f t="shared" si="11"/>
        <v>Walks with direction</v>
      </c>
      <c r="AD113" s="2"/>
      <c r="AE113" s="5"/>
      <c r="AF113" s="2"/>
      <c r="AG113" s="2"/>
      <c r="AH113" s="2"/>
      <c r="AI113" s="2"/>
    </row>
    <row r="114" spans="1:35">
      <c r="A114" s="2"/>
      <c r="B114" s="2"/>
      <c r="C114" s="2"/>
      <c r="D114" s="2"/>
      <c r="E114" s="5"/>
      <c r="F114" s="2"/>
      <c r="G114" s="5"/>
      <c r="H114" s="2"/>
      <c r="I114" s="2"/>
      <c r="J114" s="2"/>
      <c r="K114" s="2"/>
      <c r="L114" s="2"/>
      <c r="M114" s="2"/>
      <c r="N114" s="2"/>
      <c r="O114" s="2"/>
      <c r="P114" s="2"/>
      <c r="Q114" s="2"/>
      <c r="R114" s="2"/>
      <c r="S114" s="2"/>
      <c r="T114" s="2"/>
      <c r="U114" s="2"/>
      <c r="V114" s="2"/>
      <c r="W114" s="2"/>
      <c r="X114" s="2"/>
      <c r="Y114" s="2"/>
      <c r="Z114" s="2" t="str">
        <f t="shared" ref="Z114:Z145" si="12">IF(COUNTA(H114:Y114)=0,"",IF(COUNTIF(H114:Y114,"Very High")&gt;0,"Very High",IF(COUNTIF(H114:Y114,"High")&gt;0,"High",IF(COUNTIF(H114:Y114,"Medium")&gt;0,"Medium","Low"))))</f>
        <v/>
      </c>
      <c r="AA114" s="2" t="str">
        <f t="shared" ref="AA114:AA145" si="13">IF(Z114="","",IF(Z114="Low","Routine planned support",IF(Z114="Medium","One staff support/supervision likely",IF(Z114="High","Two staff/review staffing and equipment","Manager review: multiple staff/specialist support"))))</f>
        <v/>
      </c>
      <c r="AB114" s="2" t="str">
        <f t="shared" si="10"/>
        <v/>
      </c>
      <c r="AC114" s="2" t="str">
        <f t="shared" si="11"/>
        <v>Walks with direction</v>
      </c>
      <c r="AD114" s="2"/>
      <c r="AE114" s="5"/>
      <c r="AF114" s="2"/>
      <c r="AG114" s="2"/>
      <c r="AH114" s="2"/>
      <c r="AI114" s="2"/>
    </row>
    <row r="115" spans="1:35">
      <c r="A115" s="2"/>
      <c r="B115" s="2"/>
      <c r="C115" s="2"/>
      <c r="D115" s="2"/>
      <c r="E115" s="5"/>
      <c r="F115" s="2"/>
      <c r="G115" s="5"/>
      <c r="H115" s="2"/>
      <c r="I115" s="2"/>
      <c r="J115" s="2"/>
      <c r="K115" s="2"/>
      <c r="L115" s="2"/>
      <c r="M115" s="2"/>
      <c r="N115" s="2"/>
      <c r="O115" s="2"/>
      <c r="P115" s="2"/>
      <c r="Q115" s="2"/>
      <c r="R115" s="2"/>
      <c r="S115" s="2"/>
      <c r="T115" s="2"/>
      <c r="U115" s="2"/>
      <c r="V115" s="2"/>
      <c r="W115" s="2"/>
      <c r="X115" s="2"/>
      <c r="Y115" s="2"/>
      <c r="Z115" s="2" t="str">
        <f t="shared" si="12"/>
        <v/>
      </c>
      <c r="AA115" s="2" t="str">
        <f t="shared" si="13"/>
        <v/>
      </c>
      <c r="AB115" s="2" t="str">
        <f t="shared" si="10"/>
        <v/>
      </c>
      <c r="AC115" s="2" t="str">
        <f t="shared" si="11"/>
        <v>Walks with direction</v>
      </c>
      <c r="AD115" s="2"/>
      <c r="AE115" s="5"/>
      <c r="AF115" s="2"/>
      <c r="AG115" s="2"/>
      <c r="AH115" s="2"/>
      <c r="AI115" s="2"/>
    </row>
    <row r="116" spans="1:35">
      <c r="A116" s="2"/>
      <c r="B116" s="2"/>
      <c r="C116" s="2"/>
      <c r="D116" s="2"/>
      <c r="E116" s="5"/>
      <c r="F116" s="2"/>
      <c r="G116" s="5"/>
      <c r="H116" s="2"/>
      <c r="I116" s="2"/>
      <c r="J116" s="2"/>
      <c r="K116" s="2"/>
      <c r="L116" s="2"/>
      <c r="M116" s="2"/>
      <c r="N116" s="2"/>
      <c r="O116" s="2"/>
      <c r="P116" s="2"/>
      <c r="Q116" s="2"/>
      <c r="R116" s="2"/>
      <c r="S116" s="2"/>
      <c r="T116" s="2"/>
      <c r="U116" s="2"/>
      <c r="V116" s="2"/>
      <c r="W116" s="2"/>
      <c r="X116" s="2"/>
      <c r="Y116" s="2"/>
      <c r="Z116" s="2" t="str">
        <f t="shared" si="12"/>
        <v/>
      </c>
      <c r="AA116" s="2" t="str">
        <f t="shared" si="13"/>
        <v/>
      </c>
      <c r="AB116" s="2" t="str">
        <f t="shared" si="10"/>
        <v/>
      </c>
      <c r="AC116" s="2" t="str">
        <f t="shared" si="11"/>
        <v>Walks with direction</v>
      </c>
      <c r="AD116" s="2"/>
      <c r="AE116" s="5"/>
      <c r="AF116" s="2"/>
      <c r="AG116" s="2"/>
      <c r="AH116" s="2"/>
      <c r="AI116" s="2"/>
    </row>
    <row r="117" spans="1:35">
      <c r="A117" s="2"/>
      <c r="B117" s="2"/>
      <c r="C117" s="2"/>
      <c r="D117" s="2"/>
      <c r="E117" s="5"/>
      <c r="F117" s="2"/>
      <c r="G117" s="5"/>
      <c r="H117" s="2"/>
      <c r="I117" s="2"/>
      <c r="J117" s="2"/>
      <c r="K117" s="2"/>
      <c r="L117" s="2"/>
      <c r="M117" s="2"/>
      <c r="N117" s="2"/>
      <c r="O117" s="2"/>
      <c r="P117" s="2"/>
      <c r="Q117" s="2"/>
      <c r="R117" s="2"/>
      <c r="S117" s="2"/>
      <c r="T117" s="2"/>
      <c r="U117" s="2"/>
      <c r="V117" s="2"/>
      <c r="W117" s="2"/>
      <c r="X117" s="2"/>
      <c r="Y117" s="2"/>
      <c r="Z117" s="2" t="str">
        <f t="shared" si="12"/>
        <v/>
      </c>
      <c r="AA117" s="2" t="str">
        <f t="shared" si="13"/>
        <v/>
      </c>
      <c r="AB117" s="2" t="str">
        <f t="shared" si="10"/>
        <v/>
      </c>
      <c r="AC117" s="2" t="str">
        <f t="shared" si="11"/>
        <v>Walks with direction</v>
      </c>
      <c r="AD117" s="2"/>
      <c r="AE117" s="5"/>
      <c r="AF117" s="2"/>
      <c r="AG117" s="2"/>
      <c r="AH117" s="2"/>
      <c r="AI117" s="2"/>
    </row>
    <row r="122" spans="1:35">
      <c r="A122" s="9" t="s">
        <v>153</v>
      </c>
      <c r="B122" s="7"/>
      <c r="C122" s="7"/>
      <c r="D122" s="7"/>
      <c r="E122" s="7"/>
    </row>
    <row r="123" spans="1:35">
      <c r="A123" s="1" t="s">
        <v>154</v>
      </c>
      <c r="B123" s="1" t="s">
        <v>6</v>
      </c>
      <c r="C123" s="1" t="s">
        <v>12</v>
      </c>
      <c r="D123" s="1" t="s">
        <v>18</v>
      </c>
      <c r="E123" s="1" t="s">
        <v>23</v>
      </c>
    </row>
    <row r="124" spans="1:35" ht="42">
      <c r="A124" s="2" t="s">
        <v>124</v>
      </c>
      <c r="B124" s="2" t="s">
        <v>155</v>
      </c>
      <c r="C124" s="2" t="s">
        <v>156</v>
      </c>
      <c r="D124" s="2" t="s">
        <v>157</v>
      </c>
      <c r="E124" s="2" t="s">
        <v>158</v>
      </c>
    </row>
    <row r="125" spans="1:35" ht="28">
      <c r="A125" s="2" t="s">
        <v>125</v>
      </c>
      <c r="B125" s="2" t="s">
        <v>159</v>
      </c>
      <c r="C125" s="2" t="s">
        <v>160</v>
      </c>
      <c r="D125" s="2" t="s">
        <v>161</v>
      </c>
      <c r="E125" s="2" t="s">
        <v>162</v>
      </c>
    </row>
    <row r="126" spans="1:35" ht="28">
      <c r="A126" s="2" t="s">
        <v>126</v>
      </c>
      <c r="B126" s="2" t="s">
        <v>163</v>
      </c>
      <c r="C126" s="2" t="s">
        <v>164</v>
      </c>
      <c r="D126" s="2" t="s">
        <v>165</v>
      </c>
      <c r="E126" s="2" t="s">
        <v>166</v>
      </c>
    </row>
    <row r="127" spans="1:35" ht="42">
      <c r="A127" s="2" t="s">
        <v>127</v>
      </c>
      <c r="B127" s="2" t="s">
        <v>167</v>
      </c>
      <c r="C127" s="2" t="s">
        <v>168</v>
      </c>
      <c r="D127" s="2" t="s">
        <v>169</v>
      </c>
      <c r="E127" s="2" t="s">
        <v>170</v>
      </c>
    </row>
    <row r="128" spans="1:35" ht="42">
      <c r="A128" s="2" t="s">
        <v>128</v>
      </c>
      <c r="B128" s="2" t="s">
        <v>171</v>
      </c>
      <c r="C128" s="2" t="s">
        <v>172</v>
      </c>
      <c r="D128" s="2" t="s">
        <v>173</v>
      </c>
      <c r="E128" s="2" t="s">
        <v>174</v>
      </c>
    </row>
    <row r="129" spans="1:5" ht="42">
      <c r="A129" s="2" t="s">
        <v>129</v>
      </c>
      <c r="B129" s="2" t="s">
        <v>175</v>
      </c>
      <c r="C129" s="2" t="s">
        <v>176</v>
      </c>
      <c r="D129" s="2" t="s">
        <v>177</v>
      </c>
      <c r="E129" s="2" t="s">
        <v>178</v>
      </c>
    </row>
    <row r="130" spans="1:5" ht="42">
      <c r="A130" s="2" t="s">
        <v>130</v>
      </c>
      <c r="B130" s="2" t="s">
        <v>179</v>
      </c>
      <c r="C130" s="2" t="s">
        <v>180</v>
      </c>
      <c r="D130" s="2" t="s">
        <v>181</v>
      </c>
      <c r="E130" s="2" t="s">
        <v>182</v>
      </c>
    </row>
    <row r="131" spans="1:5" ht="42">
      <c r="A131" s="2" t="s">
        <v>131</v>
      </c>
      <c r="B131" s="2" t="s">
        <v>183</v>
      </c>
      <c r="C131" s="2" t="s">
        <v>184</v>
      </c>
      <c r="D131" s="2" t="s">
        <v>185</v>
      </c>
      <c r="E131" s="2" t="s">
        <v>186</v>
      </c>
    </row>
    <row r="132" spans="1:5" ht="28">
      <c r="A132" s="2" t="s">
        <v>132</v>
      </c>
      <c r="B132" s="2" t="s">
        <v>187</v>
      </c>
      <c r="C132" s="2" t="s">
        <v>188</v>
      </c>
      <c r="D132" s="2" t="s">
        <v>189</v>
      </c>
      <c r="E132" s="2" t="s">
        <v>190</v>
      </c>
    </row>
    <row r="133" spans="1:5" ht="42">
      <c r="A133" s="2" t="s">
        <v>133</v>
      </c>
      <c r="B133" s="2" t="s">
        <v>191</v>
      </c>
      <c r="C133" s="2" t="s">
        <v>192</v>
      </c>
      <c r="D133" s="2" t="s">
        <v>193</v>
      </c>
      <c r="E133" s="2" t="s">
        <v>194</v>
      </c>
    </row>
    <row r="134" spans="1:5" ht="28">
      <c r="A134" s="2" t="s">
        <v>134</v>
      </c>
      <c r="B134" s="2" t="s">
        <v>195</v>
      </c>
      <c r="C134" s="2" t="s">
        <v>196</v>
      </c>
      <c r="D134" s="2" t="s">
        <v>197</v>
      </c>
      <c r="E134" s="2" t="s">
        <v>198</v>
      </c>
    </row>
    <row r="135" spans="1:5" ht="42">
      <c r="A135" s="2" t="s">
        <v>135</v>
      </c>
      <c r="B135" s="2" t="s">
        <v>199</v>
      </c>
      <c r="C135" s="2" t="s">
        <v>200</v>
      </c>
      <c r="D135" s="2" t="s">
        <v>201</v>
      </c>
      <c r="E135" s="2" t="s">
        <v>202</v>
      </c>
    </row>
    <row r="136" spans="1:5" ht="42">
      <c r="A136" s="2" t="s">
        <v>136</v>
      </c>
      <c r="B136" s="2" t="s">
        <v>203</v>
      </c>
      <c r="C136" s="2" t="s">
        <v>204</v>
      </c>
      <c r="D136" s="2" t="s">
        <v>205</v>
      </c>
      <c r="E136" s="2" t="s">
        <v>206</v>
      </c>
    </row>
    <row r="137" spans="1:5" ht="42">
      <c r="A137" s="2" t="s">
        <v>137</v>
      </c>
      <c r="B137" s="2" t="s">
        <v>207</v>
      </c>
      <c r="C137" s="2" t="s">
        <v>208</v>
      </c>
      <c r="D137" s="2" t="s">
        <v>209</v>
      </c>
      <c r="E137" s="2" t="s">
        <v>210</v>
      </c>
    </row>
    <row r="138" spans="1:5" ht="28">
      <c r="A138" s="2" t="s">
        <v>138</v>
      </c>
      <c r="B138" s="2" t="s">
        <v>211</v>
      </c>
      <c r="C138" s="2" t="s">
        <v>212</v>
      </c>
      <c r="D138" s="2" t="s">
        <v>213</v>
      </c>
      <c r="E138" s="2" t="s">
        <v>214</v>
      </c>
    </row>
    <row r="139" spans="1:5" ht="42">
      <c r="A139" s="2" t="s">
        <v>139</v>
      </c>
      <c r="B139" s="2" t="s">
        <v>215</v>
      </c>
      <c r="C139" s="2" t="s">
        <v>216</v>
      </c>
      <c r="D139" s="2" t="s">
        <v>217</v>
      </c>
      <c r="E139" s="2" t="s">
        <v>218</v>
      </c>
    </row>
    <row r="140" spans="1:5" ht="42">
      <c r="A140" s="2" t="s">
        <v>140</v>
      </c>
      <c r="B140" s="2" t="s">
        <v>219</v>
      </c>
      <c r="C140" s="2" t="s">
        <v>220</v>
      </c>
      <c r="D140" s="2" t="s">
        <v>221</v>
      </c>
      <c r="E140" s="2" t="s">
        <v>222</v>
      </c>
    </row>
    <row r="141" spans="1:5" ht="42">
      <c r="A141" s="2" t="s">
        <v>141</v>
      </c>
      <c r="B141" s="2" t="s">
        <v>223</v>
      </c>
      <c r="C141" s="2" t="s">
        <v>224</v>
      </c>
      <c r="D141" s="2" t="s">
        <v>225</v>
      </c>
      <c r="E141" s="2" t="s">
        <v>226</v>
      </c>
    </row>
  </sheetData>
  <mergeCells count="4">
    <mergeCell ref="A1:AI1"/>
    <mergeCell ref="A2:AI2"/>
    <mergeCell ref="D4:H4"/>
    <mergeCell ref="A122:E122"/>
  </mergeCells>
  <conditionalFormatting sqref="Z18:Z117">
    <cfRule type="expression" dxfId="23" priority="1">
      <formula>Z18="Very High"</formula>
    </cfRule>
    <cfRule type="expression" dxfId="22" priority="2">
      <formula>Z18="High"</formula>
    </cfRule>
    <cfRule type="expression" dxfId="21" priority="3">
      <formula>Z18="Medium"</formula>
    </cfRule>
    <cfRule type="expression" dxfId="20" priority="4">
      <formula>Z18="Low"</formula>
    </cfRule>
  </conditionalFormatting>
  <dataValidations count="4">
    <dataValidation type="list" sqref="B7" xr:uid="{00000000-0002-0000-1B00-000000000000}">
      <formula1>"Yes,No"</formula1>
    </dataValidation>
    <dataValidation type="list" sqref="C18:C117" xr:uid="{00000000-0002-0000-1B00-000001000000}">
      <formula1>"Ground,First,N/A"</formula1>
    </dataValidation>
    <dataValidation type="list" sqref="H18:Y117" xr:uid="{00000000-0002-0000-1B00-000002000000}">
      <formula1>"Low,Medium,High,Very High"</formula1>
    </dataValidation>
    <dataValidation type="list" sqref="AD18:AD117 AG18:AI117" xr:uid="{00000000-0002-0000-1B00-000003000000}">
      <formula1>"Yes,No,N/A"</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60"/>
  <sheetViews>
    <sheetView workbookViewId="0"/>
  </sheetViews>
  <sheetFormatPr defaultRowHeight="14"/>
  <cols>
    <col min="1" max="9" width="18" customWidth="1"/>
  </cols>
  <sheetData>
    <row r="1" spans="1:9" ht="20">
      <c r="A1" s="6" t="s">
        <v>356</v>
      </c>
      <c r="B1" s="7"/>
      <c r="C1" s="7"/>
      <c r="D1" s="7"/>
      <c r="E1" s="7"/>
      <c r="F1" s="7"/>
      <c r="G1" s="7"/>
      <c r="H1" s="7"/>
      <c r="I1" s="7"/>
    </row>
    <row r="2" spans="1:9" ht="14.5">
      <c r="A2" s="8" t="s">
        <v>228</v>
      </c>
      <c r="B2" s="7"/>
      <c r="C2" s="7"/>
      <c r="D2" s="7"/>
      <c r="E2" s="7"/>
      <c r="F2" s="7"/>
      <c r="G2" s="7"/>
      <c r="H2" s="7"/>
      <c r="I2" s="7"/>
    </row>
    <row r="4" spans="1:9">
      <c r="A4" s="3" t="s">
        <v>107</v>
      </c>
      <c r="B4" t="s">
        <v>355</v>
      </c>
    </row>
    <row r="5" spans="1:9">
      <c r="A5" s="3" t="s">
        <v>110</v>
      </c>
    </row>
    <row r="6" spans="1:9">
      <c r="A6" s="3" t="s">
        <v>229</v>
      </c>
    </row>
    <row r="7" spans="1:9">
      <c r="A7" s="3" t="s">
        <v>230</v>
      </c>
    </row>
    <row r="8" spans="1:9">
      <c r="A8" s="3" t="s">
        <v>231</v>
      </c>
      <c r="B8">
        <f>COUNTA(A14:A60)</f>
        <v>28</v>
      </c>
    </row>
    <row r="9" spans="1:9">
      <c r="A9" s="3" t="s">
        <v>232</v>
      </c>
      <c r="B9">
        <f>COUNTIF(H14:H60,"FAIL")</f>
        <v>28</v>
      </c>
    </row>
    <row r="10" spans="1:9">
      <c r="A10" s="3" t="s">
        <v>46</v>
      </c>
      <c r="B10" t="str">
        <f>IF(AND(B7="Yes",B9=0),"Complete","Incomplete")</f>
        <v>Incomplete</v>
      </c>
    </row>
    <row r="13" spans="1:9" ht="28">
      <c r="A13" s="1" t="s">
        <v>233</v>
      </c>
      <c r="B13" s="1" t="s">
        <v>234</v>
      </c>
      <c r="C13" s="1" t="s">
        <v>235</v>
      </c>
      <c r="D13" s="1" t="s">
        <v>236</v>
      </c>
      <c r="E13" s="1" t="s">
        <v>237</v>
      </c>
      <c r="F13" s="1" t="s">
        <v>238</v>
      </c>
      <c r="G13" s="1" t="s">
        <v>239</v>
      </c>
      <c r="H13" s="1" t="s">
        <v>240</v>
      </c>
      <c r="I13" s="1" t="s">
        <v>241</v>
      </c>
    </row>
    <row r="14" spans="1:9" ht="42">
      <c r="A14" s="2" t="s">
        <v>242</v>
      </c>
      <c r="B14" s="2">
        <v>1</v>
      </c>
      <c r="C14" s="2"/>
      <c r="D14" s="2" t="s">
        <v>243</v>
      </c>
      <c r="E14" s="2"/>
      <c r="F14" s="2"/>
      <c r="G14" s="2"/>
      <c r="H14" s="2" t="str">
        <f t="shared" ref="H14:H41" si="0">IF(OR(F14="No",C14&lt;B14),"FAIL","PASS")</f>
        <v>FAIL</v>
      </c>
      <c r="I14" s="2"/>
    </row>
    <row r="15" spans="1:9">
      <c r="A15" s="2" t="s">
        <v>244</v>
      </c>
      <c r="B15" s="2">
        <v>1</v>
      </c>
      <c r="C15" s="2"/>
      <c r="D15" s="2" t="s">
        <v>245</v>
      </c>
      <c r="E15" s="2"/>
      <c r="F15" s="2"/>
      <c r="G15" s="2"/>
      <c r="H15" s="2" t="str">
        <f t="shared" si="0"/>
        <v>FAIL</v>
      </c>
      <c r="I15" s="2"/>
    </row>
    <row r="16" spans="1:9" ht="28">
      <c r="A16" s="2" t="s">
        <v>246</v>
      </c>
      <c r="B16" s="2">
        <v>1</v>
      </c>
      <c r="C16" s="2"/>
      <c r="D16" s="2" t="s">
        <v>247</v>
      </c>
      <c r="E16" s="2"/>
      <c r="F16" s="2"/>
      <c r="G16" s="2"/>
      <c r="H16" s="2" t="str">
        <f t="shared" si="0"/>
        <v>FAIL</v>
      </c>
      <c r="I16" s="2"/>
    </row>
    <row r="17" spans="1:9" ht="28">
      <c r="A17" s="2" t="s">
        <v>248</v>
      </c>
      <c r="B17" s="2">
        <v>1</v>
      </c>
      <c r="C17" s="2"/>
      <c r="D17" s="2" t="s">
        <v>249</v>
      </c>
      <c r="E17" s="2"/>
      <c r="F17" s="2"/>
      <c r="G17" s="2"/>
      <c r="H17" s="2" t="str">
        <f t="shared" si="0"/>
        <v>FAIL</v>
      </c>
      <c r="I17" s="2"/>
    </row>
    <row r="18" spans="1:9" ht="28">
      <c r="A18" s="2" t="s">
        <v>250</v>
      </c>
      <c r="B18" s="2">
        <v>2</v>
      </c>
      <c r="C18" s="2"/>
      <c r="D18" s="2" t="s">
        <v>251</v>
      </c>
      <c r="E18" s="2"/>
      <c r="F18" s="2"/>
      <c r="G18" s="2"/>
      <c r="H18" s="2" t="str">
        <f t="shared" si="0"/>
        <v>FAIL</v>
      </c>
      <c r="I18" s="2"/>
    </row>
    <row r="19" spans="1:9" ht="28">
      <c r="A19" s="2" t="s">
        <v>252</v>
      </c>
      <c r="B19" s="2">
        <v>1</v>
      </c>
      <c r="C19" s="2"/>
      <c r="D19" s="2" t="s">
        <v>253</v>
      </c>
      <c r="E19" s="2"/>
      <c r="F19" s="2"/>
      <c r="G19" s="2"/>
      <c r="H19" s="2" t="str">
        <f t="shared" si="0"/>
        <v>FAIL</v>
      </c>
      <c r="I19" s="2"/>
    </row>
    <row r="20" spans="1:9" ht="42">
      <c r="A20" s="2" t="s">
        <v>254</v>
      </c>
      <c r="B20" s="2">
        <v>1</v>
      </c>
      <c r="C20" s="2"/>
      <c r="D20" s="2" t="s">
        <v>255</v>
      </c>
      <c r="E20" s="2"/>
      <c r="F20" s="2"/>
      <c r="G20" s="2"/>
      <c r="H20" s="2" t="str">
        <f t="shared" si="0"/>
        <v>FAIL</v>
      </c>
      <c r="I20" s="2"/>
    </row>
    <row r="21" spans="1:9">
      <c r="A21" s="2" t="s">
        <v>256</v>
      </c>
      <c r="B21" s="2">
        <v>2</v>
      </c>
      <c r="C21" s="2"/>
      <c r="D21" s="2" t="s">
        <v>257</v>
      </c>
      <c r="E21" s="2"/>
      <c r="F21" s="2"/>
      <c r="G21" s="2"/>
      <c r="H21" s="2" t="str">
        <f t="shared" si="0"/>
        <v>FAIL</v>
      </c>
      <c r="I21" s="2"/>
    </row>
    <row r="22" spans="1:9" ht="28">
      <c r="A22" s="2" t="s">
        <v>258</v>
      </c>
      <c r="B22" s="2">
        <v>1</v>
      </c>
      <c r="C22" s="2"/>
      <c r="D22" s="2" t="s">
        <v>259</v>
      </c>
      <c r="E22" s="2"/>
      <c r="F22" s="2"/>
      <c r="G22" s="2"/>
      <c r="H22" s="2" t="str">
        <f t="shared" si="0"/>
        <v>FAIL</v>
      </c>
      <c r="I22" s="2"/>
    </row>
    <row r="23" spans="1:9" ht="28">
      <c r="A23" s="2" t="s">
        <v>260</v>
      </c>
      <c r="B23" s="2">
        <v>2</v>
      </c>
      <c r="C23" s="2"/>
      <c r="D23" s="2" t="s">
        <v>261</v>
      </c>
      <c r="E23" s="2"/>
      <c r="F23" s="2"/>
      <c r="G23" s="2"/>
      <c r="H23" s="2" t="str">
        <f t="shared" si="0"/>
        <v>FAIL</v>
      </c>
      <c r="I23" s="2"/>
    </row>
    <row r="24" spans="1:9">
      <c r="A24" s="2" t="s">
        <v>262</v>
      </c>
      <c r="B24" s="2">
        <v>2</v>
      </c>
      <c r="C24" s="2"/>
      <c r="D24" s="2" t="s">
        <v>263</v>
      </c>
      <c r="E24" s="2"/>
      <c r="F24" s="2"/>
      <c r="G24" s="2"/>
      <c r="H24" s="2" t="str">
        <f t="shared" si="0"/>
        <v>FAIL</v>
      </c>
      <c r="I24" s="2"/>
    </row>
    <row r="25" spans="1:9" ht="28">
      <c r="A25" s="2" t="s">
        <v>264</v>
      </c>
      <c r="B25" s="2">
        <v>2</v>
      </c>
      <c r="C25" s="2"/>
      <c r="D25" s="2" t="s">
        <v>265</v>
      </c>
      <c r="E25" s="2"/>
      <c r="F25" s="2"/>
      <c r="G25" s="2"/>
      <c r="H25" s="2" t="str">
        <f t="shared" si="0"/>
        <v>FAIL</v>
      </c>
      <c r="I25" s="2"/>
    </row>
    <row r="26" spans="1:9">
      <c r="A26" s="2" t="s">
        <v>266</v>
      </c>
      <c r="B26" s="2">
        <v>2</v>
      </c>
      <c r="C26" s="2"/>
      <c r="D26" s="2" t="s">
        <v>265</v>
      </c>
      <c r="E26" s="2"/>
      <c r="F26" s="2"/>
      <c r="G26" s="2"/>
      <c r="H26" s="2" t="str">
        <f t="shared" si="0"/>
        <v>FAIL</v>
      </c>
      <c r="I26" s="2"/>
    </row>
    <row r="27" spans="1:9">
      <c r="A27" s="2" t="s">
        <v>267</v>
      </c>
      <c r="B27" s="2">
        <v>8</v>
      </c>
      <c r="C27" s="2"/>
      <c r="D27" s="2" t="s">
        <v>268</v>
      </c>
      <c r="E27" s="2"/>
      <c r="F27" s="2"/>
      <c r="G27" s="2"/>
      <c r="H27" s="2" t="str">
        <f t="shared" si="0"/>
        <v>FAIL</v>
      </c>
      <c r="I27" s="2"/>
    </row>
    <row r="28" spans="1:9">
      <c r="A28" s="2" t="s">
        <v>269</v>
      </c>
      <c r="B28" s="2">
        <v>4</v>
      </c>
      <c r="C28" s="2"/>
      <c r="D28" s="2" t="s">
        <v>270</v>
      </c>
      <c r="E28" s="2"/>
      <c r="F28" s="2"/>
      <c r="G28" s="2"/>
      <c r="H28" s="2" t="str">
        <f t="shared" si="0"/>
        <v>FAIL</v>
      </c>
      <c r="I28" s="2"/>
    </row>
    <row r="29" spans="1:9" ht="28">
      <c r="A29" s="2" t="s">
        <v>271</v>
      </c>
      <c r="B29" s="2">
        <v>20</v>
      </c>
      <c r="C29" s="2"/>
      <c r="D29" s="2" t="s">
        <v>272</v>
      </c>
      <c r="E29" s="2"/>
      <c r="F29" s="2"/>
      <c r="G29" s="2"/>
      <c r="H29" s="2" t="str">
        <f t="shared" si="0"/>
        <v>FAIL</v>
      </c>
      <c r="I29" s="2"/>
    </row>
    <row r="30" spans="1:9">
      <c r="A30" s="2" t="s">
        <v>273</v>
      </c>
      <c r="B30" s="2">
        <v>2</v>
      </c>
      <c r="C30" s="2"/>
      <c r="D30" s="2" t="s">
        <v>265</v>
      </c>
      <c r="E30" s="2"/>
      <c r="F30" s="2"/>
      <c r="G30" s="2"/>
      <c r="H30" s="2" t="str">
        <f t="shared" si="0"/>
        <v>FAIL</v>
      </c>
      <c r="I30" s="2"/>
    </row>
    <row r="31" spans="1:9">
      <c r="A31" s="2" t="s">
        <v>274</v>
      </c>
      <c r="B31" s="2">
        <v>1</v>
      </c>
      <c r="C31" s="2"/>
      <c r="D31" s="2" t="s">
        <v>275</v>
      </c>
      <c r="E31" s="2"/>
      <c r="F31" s="2"/>
      <c r="G31" s="2"/>
      <c r="H31" s="2" t="str">
        <f t="shared" si="0"/>
        <v>FAIL</v>
      </c>
      <c r="I31" s="2"/>
    </row>
    <row r="32" spans="1:9">
      <c r="A32" s="2" t="s">
        <v>276</v>
      </c>
      <c r="B32" s="2">
        <v>5</v>
      </c>
      <c r="C32" s="2"/>
      <c r="D32" s="2" t="s">
        <v>265</v>
      </c>
      <c r="E32" s="2"/>
      <c r="F32" s="2"/>
      <c r="G32" s="2"/>
      <c r="H32" s="2" t="str">
        <f t="shared" si="0"/>
        <v>FAIL</v>
      </c>
      <c r="I32" s="2"/>
    </row>
    <row r="33" spans="1:9">
      <c r="A33" s="2" t="s">
        <v>277</v>
      </c>
      <c r="B33" s="2">
        <v>2</v>
      </c>
      <c r="C33" s="2"/>
      <c r="D33" s="2" t="s">
        <v>265</v>
      </c>
      <c r="E33" s="2"/>
      <c r="F33" s="2"/>
      <c r="G33" s="2"/>
      <c r="H33" s="2" t="str">
        <f t="shared" si="0"/>
        <v>FAIL</v>
      </c>
      <c r="I33" s="2"/>
    </row>
    <row r="34" spans="1:9" ht="28">
      <c r="A34" s="2" t="s">
        <v>278</v>
      </c>
      <c r="B34" s="2">
        <v>20</v>
      </c>
      <c r="C34" s="2"/>
      <c r="D34" s="2" t="s">
        <v>270</v>
      </c>
      <c r="E34" s="2"/>
      <c r="F34" s="2"/>
      <c r="G34" s="2"/>
      <c r="H34" s="2" t="str">
        <f t="shared" si="0"/>
        <v>FAIL</v>
      </c>
      <c r="I34" s="2"/>
    </row>
    <row r="35" spans="1:9">
      <c r="A35" s="2" t="s">
        <v>279</v>
      </c>
      <c r="B35" s="2">
        <v>20</v>
      </c>
      <c r="C35" s="2"/>
      <c r="D35" s="2" t="s">
        <v>270</v>
      </c>
      <c r="E35" s="2"/>
      <c r="F35" s="2"/>
      <c r="G35" s="2"/>
      <c r="H35" s="2" t="str">
        <f t="shared" si="0"/>
        <v>FAIL</v>
      </c>
      <c r="I35" s="2"/>
    </row>
    <row r="36" spans="1:9" ht="28">
      <c r="A36" s="2" t="s">
        <v>280</v>
      </c>
      <c r="B36" s="2">
        <v>1</v>
      </c>
      <c r="C36" s="2"/>
      <c r="D36" s="2" t="s">
        <v>281</v>
      </c>
      <c r="E36" s="2"/>
      <c r="F36" s="2"/>
      <c r="G36" s="2"/>
      <c r="H36" s="2" t="str">
        <f t="shared" si="0"/>
        <v>FAIL</v>
      </c>
      <c r="I36" s="2"/>
    </row>
    <row r="37" spans="1:9" ht="28">
      <c r="A37" s="2" t="s">
        <v>282</v>
      </c>
      <c r="B37" s="2">
        <v>1</v>
      </c>
      <c r="C37" s="2"/>
      <c r="D37" s="2" t="s">
        <v>281</v>
      </c>
      <c r="E37" s="2"/>
      <c r="F37" s="2"/>
      <c r="G37" s="2"/>
      <c r="H37" s="2" t="str">
        <f t="shared" si="0"/>
        <v>FAIL</v>
      </c>
      <c r="I37" s="2"/>
    </row>
    <row r="38" spans="1:9" ht="28">
      <c r="A38" s="2" t="s">
        <v>283</v>
      </c>
      <c r="B38" s="2">
        <v>1</v>
      </c>
      <c r="C38" s="2"/>
      <c r="D38" s="2" t="s">
        <v>281</v>
      </c>
      <c r="E38" s="2"/>
      <c r="F38" s="2"/>
      <c r="G38" s="2"/>
      <c r="H38" s="2" t="str">
        <f t="shared" si="0"/>
        <v>FAIL</v>
      </c>
      <c r="I38" s="2"/>
    </row>
    <row r="39" spans="1:9" ht="28">
      <c r="A39" s="2" t="s">
        <v>284</v>
      </c>
      <c r="B39" s="2">
        <v>1</v>
      </c>
      <c r="C39" s="2"/>
      <c r="D39" s="2" t="s">
        <v>285</v>
      </c>
      <c r="E39" s="2"/>
      <c r="F39" s="2"/>
      <c r="G39" s="2"/>
      <c r="H39" s="2" t="str">
        <f t="shared" si="0"/>
        <v>FAIL</v>
      </c>
      <c r="I39" s="2"/>
    </row>
    <row r="40" spans="1:9" ht="28">
      <c r="A40" s="2" t="s">
        <v>286</v>
      </c>
      <c r="B40" s="2">
        <v>1</v>
      </c>
      <c r="C40" s="2"/>
      <c r="D40" s="2" t="s">
        <v>287</v>
      </c>
      <c r="E40" s="2"/>
      <c r="F40" s="2"/>
      <c r="G40" s="2"/>
      <c r="H40" s="2" t="str">
        <f t="shared" si="0"/>
        <v>FAIL</v>
      </c>
      <c r="I40" s="2"/>
    </row>
    <row r="41" spans="1:9" ht="28">
      <c r="A41" s="2" t="s">
        <v>288</v>
      </c>
      <c r="B41" s="2">
        <v>1</v>
      </c>
      <c r="C41" s="2"/>
      <c r="D41" s="2" t="s">
        <v>281</v>
      </c>
      <c r="E41" s="2"/>
      <c r="F41" s="2"/>
      <c r="G41" s="2"/>
      <c r="H41" s="2" t="str">
        <f t="shared" si="0"/>
        <v>FAIL</v>
      </c>
      <c r="I41" s="2"/>
    </row>
    <row r="42" spans="1:9">
      <c r="A42" s="2"/>
      <c r="B42" s="2"/>
      <c r="C42" s="2"/>
      <c r="D42" s="2"/>
      <c r="E42" s="2"/>
      <c r="F42" s="2"/>
      <c r="G42" s="2"/>
      <c r="H42" s="2"/>
      <c r="I42" s="2"/>
    </row>
    <row r="43" spans="1:9">
      <c r="A43" s="2"/>
      <c r="B43" s="2"/>
      <c r="C43" s="2"/>
      <c r="D43" s="2"/>
      <c r="E43" s="2"/>
      <c r="F43" s="2"/>
      <c r="G43" s="2"/>
      <c r="H43" s="2"/>
      <c r="I43" s="2"/>
    </row>
    <row r="44" spans="1:9">
      <c r="A44" s="2"/>
      <c r="B44" s="2"/>
      <c r="C44" s="2"/>
      <c r="D44" s="2"/>
      <c r="E44" s="2"/>
      <c r="F44" s="2"/>
      <c r="G44" s="2"/>
      <c r="H44" s="2"/>
      <c r="I44" s="2"/>
    </row>
    <row r="45" spans="1:9">
      <c r="A45" s="2"/>
      <c r="B45" s="2"/>
      <c r="C45" s="2"/>
      <c r="D45" s="2"/>
      <c r="E45" s="2"/>
      <c r="F45" s="2"/>
      <c r="G45" s="2"/>
      <c r="H45" s="2"/>
      <c r="I45" s="2"/>
    </row>
    <row r="46" spans="1:9">
      <c r="A46" s="2"/>
      <c r="B46" s="2"/>
      <c r="C46" s="2"/>
      <c r="D46" s="2"/>
      <c r="E46" s="2"/>
      <c r="F46" s="2"/>
      <c r="G46" s="2"/>
      <c r="H46" s="2"/>
      <c r="I46" s="2"/>
    </row>
    <row r="47" spans="1:9">
      <c r="A47" s="2"/>
      <c r="B47" s="2"/>
      <c r="C47" s="2"/>
      <c r="D47" s="2"/>
      <c r="E47" s="2"/>
      <c r="F47" s="2"/>
      <c r="G47" s="2"/>
      <c r="H47" s="2"/>
      <c r="I47" s="2"/>
    </row>
    <row r="48" spans="1:9">
      <c r="A48" s="2"/>
      <c r="B48" s="2"/>
      <c r="C48" s="2"/>
      <c r="D48" s="2"/>
      <c r="E48" s="2"/>
      <c r="F48" s="2"/>
      <c r="G48" s="2"/>
      <c r="H48" s="2"/>
      <c r="I48" s="2"/>
    </row>
    <row r="49" spans="1:9">
      <c r="A49" s="2"/>
      <c r="B49" s="2"/>
      <c r="C49" s="2"/>
      <c r="D49" s="2"/>
      <c r="E49" s="2"/>
      <c r="F49" s="2"/>
      <c r="G49" s="2"/>
      <c r="H49" s="2"/>
      <c r="I49" s="2"/>
    </row>
    <row r="50" spans="1:9">
      <c r="A50" s="2"/>
      <c r="B50" s="2"/>
      <c r="C50" s="2"/>
      <c r="D50" s="2"/>
      <c r="E50" s="2"/>
      <c r="F50" s="2"/>
      <c r="G50" s="2"/>
      <c r="H50" s="2"/>
      <c r="I50" s="2"/>
    </row>
    <row r="51" spans="1:9">
      <c r="A51" s="2"/>
      <c r="B51" s="2"/>
      <c r="C51" s="2"/>
      <c r="D51" s="2"/>
      <c r="E51" s="2"/>
      <c r="F51" s="2"/>
      <c r="G51" s="2"/>
      <c r="H51" s="2"/>
      <c r="I51" s="2"/>
    </row>
    <row r="52" spans="1:9">
      <c r="A52" s="2"/>
      <c r="B52" s="2"/>
      <c r="C52" s="2"/>
      <c r="D52" s="2"/>
      <c r="E52" s="2"/>
      <c r="F52" s="2"/>
      <c r="G52" s="2"/>
      <c r="H52" s="2"/>
      <c r="I52" s="2"/>
    </row>
    <row r="53" spans="1:9">
      <c r="A53" s="2"/>
      <c r="B53" s="2"/>
      <c r="C53" s="2"/>
      <c r="D53" s="2"/>
      <c r="E53" s="2"/>
      <c r="F53" s="2"/>
      <c r="G53" s="2"/>
      <c r="H53" s="2"/>
      <c r="I53" s="2"/>
    </row>
    <row r="54" spans="1:9">
      <c r="A54" s="2"/>
      <c r="B54" s="2"/>
      <c r="C54" s="2"/>
      <c r="D54" s="2"/>
      <c r="E54" s="2"/>
      <c r="F54" s="2"/>
      <c r="G54" s="2"/>
      <c r="H54" s="2"/>
      <c r="I54" s="2"/>
    </row>
    <row r="55" spans="1:9">
      <c r="A55" s="2"/>
      <c r="B55" s="2"/>
      <c r="C55" s="2"/>
      <c r="D55" s="2"/>
      <c r="E55" s="2"/>
      <c r="F55" s="2"/>
      <c r="G55" s="2"/>
      <c r="H55" s="2"/>
      <c r="I55" s="2"/>
    </row>
    <row r="56" spans="1:9">
      <c r="A56" s="2"/>
      <c r="B56" s="2"/>
      <c r="C56" s="2"/>
      <c r="D56" s="2"/>
      <c r="E56" s="2"/>
      <c r="F56" s="2"/>
      <c r="G56" s="2"/>
      <c r="H56" s="2"/>
      <c r="I56" s="2"/>
    </row>
    <row r="57" spans="1:9">
      <c r="A57" s="2"/>
      <c r="B57" s="2"/>
      <c r="C57" s="2"/>
      <c r="D57" s="2"/>
      <c r="E57" s="2"/>
      <c r="F57" s="2"/>
      <c r="G57" s="2"/>
      <c r="H57" s="2"/>
      <c r="I57" s="2"/>
    </row>
    <row r="58" spans="1:9">
      <c r="A58" s="2"/>
      <c r="B58" s="2"/>
      <c r="C58" s="2"/>
      <c r="D58" s="2"/>
      <c r="E58" s="2"/>
      <c r="F58" s="2"/>
      <c r="G58" s="2"/>
      <c r="H58" s="2"/>
      <c r="I58" s="2"/>
    </row>
    <row r="59" spans="1:9">
      <c r="A59" s="2"/>
      <c r="B59" s="2"/>
      <c r="C59" s="2"/>
      <c r="D59" s="2"/>
      <c r="E59" s="2"/>
      <c r="F59" s="2"/>
      <c r="G59" s="2"/>
      <c r="H59" s="2"/>
      <c r="I59" s="2"/>
    </row>
    <row r="60" spans="1:9">
      <c r="A60" s="2"/>
      <c r="B60" s="2"/>
      <c r="C60" s="2"/>
      <c r="D60" s="2"/>
      <c r="E60" s="2"/>
      <c r="F60" s="2"/>
      <c r="G60" s="2"/>
      <c r="H60" s="2"/>
      <c r="I60" s="2"/>
    </row>
  </sheetData>
  <mergeCells count="2">
    <mergeCell ref="A1:I1"/>
    <mergeCell ref="A2:I2"/>
  </mergeCells>
  <dataValidations count="2">
    <dataValidation type="list" sqref="B7" xr:uid="{00000000-0002-0000-1C00-000000000000}">
      <formula1>"Yes,No"</formula1>
    </dataValidation>
    <dataValidation type="list" sqref="F14:F41" xr:uid="{00000000-0002-0000-1C00-000001000000}">
      <formula1>"Yes,No,N/A"</formula1>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60"/>
  <sheetViews>
    <sheetView workbookViewId="0"/>
  </sheetViews>
  <sheetFormatPr defaultRowHeight="14"/>
  <cols>
    <col min="1" max="8" width="18" customWidth="1"/>
  </cols>
  <sheetData>
    <row r="1" spans="1:8" ht="20">
      <c r="A1" s="6" t="s">
        <v>357</v>
      </c>
      <c r="B1" s="7"/>
      <c r="C1" s="7"/>
      <c r="D1" s="7"/>
      <c r="E1" s="7"/>
      <c r="F1" s="7"/>
      <c r="G1" s="7"/>
      <c r="H1" s="7"/>
    </row>
    <row r="2" spans="1:8" ht="14.5">
      <c r="A2" s="8" t="s">
        <v>290</v>
      </c>
      <c r="B2" s="7"/>
      <c r="C2" s="7"/>
      <c r="D2" s="7"/>
      <c r="E2" s="7"/>
      <c r="F2" s="7"/>
      <c r="G2" s="7"/>
      <c r="H2" s="7"/>
    </row>
    <row r="4" spans="1:8">
      <c r="A4" s="3" t="s">
        <v>107</v>
      </c>
      <c r="B4" t="s">
        <v>355</v>
      </c>
    </row>
    <row r="5" spans="1:8">
      <c r="A5" s="3" t="s">
        <v>110</v>
      </c>
    </row>
    <row r="6" spans="1:8">
      <c r="A6" s="3" t="s">
        <v>229</v>
      </c>
    </row>
    <row r="7" spans="1:8">
      <c r="A7" s="3" t="s">
        <v>230</v>
      </c>
    </row>
    <row r="8" spans="1:8">
      <c r="A8" s="3" t="s">
        <v>291</v>
      </c>
      <c r="B8">
        <f>COUNTA(A14:A60)</f>
        <v>22</v>
      </c>
    </row>
    <row r="9" spans="1:8">
      <c r="A9" s="3" t="s">
        <v>292</v>
      </c>
      <c r="B9">
        <f>COUNTIF(G14:G60,"FAIL")</f>
        <v>22</v>
      </c>
    </row>
    <row r="10" spans="1:8">
      <c r="A10" s="3" t="s">
        <v>46</v>
      </c>
      <c r="B10" t="str">
        <f>IF(AND(B7="Yes",B9=0),"Complete","Incomplete")</f>
        <v>Incomplete</v>
      </c>
    </row>
    <row r="13" spans="1:8">
      <c r="A13" s="1" t="s">
        <v>233</v>
      </c>
      <c r="B13" s="1" t="s">
        <v>234</v>
      </c>
      <c r="C13" s="1" t="s">
        <v>235</v>
      </c>
      <c r="D13" s="1" t="s">
        <v>293</v>
      </c>
      <c r="E13" s="1" t="s">
        <v>294</v>
      </c>
      <c r="F13" s="1" t="s">
        <v>239</v>
      </c>
      <c r="G13" s="1" t="s">
        <v>240</v>
      </c>
      <c r="H13" s="1" t="s">
        <v>241</v>
      </c>
    </row>
    <row r="14" spans="1:8" ht="28">
      <c r="A14" s="2" t="s">
        <v>295</v>
      </c>
      <c r="B14" s="2">
        <v>6</v>
      </c>
      <c r="C14" s="2"/>
      <c r="D14" s="2"/>
      <c r="E14" s="2"/>
      <c r="F14" s="2"/>
      <c r="G14" s="2" t="str">
        <f t="shared" ref="G14:G35" si="0">IF(OR(C14&lt;B14,E14="No"),"FAIL","PASS")</f>
        <v>FAIL</v>
      </c>
      <c r="H14" s="2"/>
    </row>
    <row r="15" spans="1:8" ht="28">
      <c r="A15" s="2" t="s">
        <v>296</v>
      </c>
      <c r="B15" s="2">
        <v>8</v>
      </c>
      <c r="C15" s="2"/>
      <c r="D15" s="2"/>
      <c r="E15" s="2"/>
      <c r="F15" s="2"/>
      <c r="G15" s="2" t="str">
        <f t="shared" si="0"/>
        <v>FAIL</v>
      </c>
      <c r="H15" s="2"/>
    </row>
    <row r="16" spans="1:8" ht="28">
      <c r="A16" s="2" t="s">
        <v>297</v>
      </c>
      <c r="B16" s="2">
        <v>10</v>
      </c>
      <c r="C16" s="2"/>
      <c r="D16" s="2"/>
      <c r="E16" s="2"/>
      <c r="F16" s="2"/>
      <c r="G16" s="2" t="str">
        <f t="shared" si="0"/>
        <v>FAIL</v>
      </c>
      <c r="H16" s="2"/>
    </row>
    <row r="17" spans="1:8">
      <c r="A17" s="2" t="s">
        <v>298</v>
      </c>
      <c r="B17" s="2">
        <v>4</v>
      </c>
      <c r="C17" s="2"/>
      <c r="D17" s="2"/>
      <c r="E17" s="2"/>
      <c r="F17" s="2"/>
      <c r="G17" s="2" t="str">
        <f t="shared" si="0"/>
        <v>FAIL</v>
      </c>
      <c r="H17" s="2"/>
    </row>
    <row r="18" spans="1:8">
      <c r="A18" s="2" t="s">
        <v>299</v>
      </c>
      <c r="B18" s="2">
        <v>6</v>
      </c>
      <c r="C18" s="2"/>
      <c r="D18" s="2"/>
      <c r="E18" s="2"/>
      <c r="F18" s="2"/>
      <c r="G18" s="2" t="str">
        <f t="shared" si="0"/>
        <v>FAIL</v>
      </c>
      <c r="H18" s="2"/>
    </row>
    <row r="19" spans="1:8" ht="28">
      <c r="A19" s="2" t="s">
        <v>300</v>
      </c>
      <c r="B19" s="2">
        <v>6</v>
      </c>
      <c r="C19" s="2"/>
      <c r="D19" s="2"/>
      <c r="E19" s="2"/>
      <c r="F19" s="2"/>
      <c r="G19" s="2" t="str">
        <f t="shared" si="0"/>
        <v>FAIL</v>
      </c>
      <c r="H19" s="2"/>
    </row>
    <row r="20" spans="1:8">
      <c r="A20" s="2" t="s">
        <v>301</v>
      </c>
      <c r="B20" s="2">
        <v>10</v>
      </c>
      <c r="C20" s="2"/>
      <c r="D20" s="2"/>
      <c r="E20" s="2"/>
      <c r="F20" s="2"/>
      <c r="G20" s="2" t="str">
        <f t="shared" si="0"/>
        <v>FAIL</v>
      </c>
      <c r="H20" s="2"/>
    </row>
    <row r="21" spans="1:8">
      <c r="A21" s="2" t="s">
        <v>302</v>
      </c>
      <c r="B21" s="2">
        <v>4</v>
      </c>
      <c r="C21" s="2"/>
      <c r="D21" s="2"/>
      <c r="E21" s="2"/>
      <c r="F21" s="2"/>
      <c r="G21" s="2" t="str">
        <f t="shared" si="0"/>
        <v>FAIL</v>
      </c>
      <c r="H21" s="2"/>
    </row>
    <row r="22" spans="1:8" ht="28">
      <c r="A22" s="2" t="s">
        <v>303</v>
      </c>
      <c r="B22" s="2">
        <v>4</v>
      </c>
      <c r="C22" s="2"/>
      <c r="D22" s="2"/>
      <c r="E22" s="2"/>
      <c r="F22" s="2"/>
      <c r="G22" s="2" t="str">
        <f t="shared" si="0"/>
        <v>FAIL</v>
      </c>
      <c r="H22" s="2"/>
    </row>
    <row r="23" spans="1:8">
      <c r="A23" s="2" t="s">
        <v>304</v>
      </c>
      <c r="B23" s="2">
        <v>2</v>
      </c>
      <c r="C23" s="2"/>
      <c r="D23" s="2"/>
      <c r="E23" s="2"/>
      <c r="F23" s="2"/>
      <c r="G23" s="2" t="str">
        <f t="shared" si="0"/>
        <v>FAIL</v>
      </c>
      <c r="H23" s="2"/>
    </row>
    <row r="24" spans="1:8" ht="28">
      <c r="A24" s="2" t="s">
        <v>305</v>
      </c>
      <c r="B24" s="2">
        <v>50</v>
      </c>
      <c r="C24" s="2"/>
      <c r="D24" s="2"/>
      <c r="E24" s="2"/>
      <c r="F24" s="2"/>
      <c r="G24" s="2" t="str">
        <f t="shared" si="0"/>
        <v>FAIL</v>
      </c>
      <c r="H24" s="2"/>
    </row>
    <row r="25" spans="1:8">
      <c r="A25" s="2" t="s">
        <v>306</v>
      </c>
      <c r="B25" s="2">
        <v>2</v>
      </c>
      <c r="C25" s="2"/>
      <c r="D25" s="2"/>
      <c r="E25" s="2"/>
      <c r="F25" s="2"/>
      <c r="G25" s="2" t="str">
        <f t="shared" si="0"/>
        <v>FAIL</v>
      </c>
      <c r="H25" s="2"/>
    </row>
    <row r="26" spans="1:8">
      <c r="A26" s="2" t="s">
        <v>307</v>
      </c>
      <c r="B26" s="2">
        <v>2</v>
      </c>
      <c r="C26" s="2"/>
      <c r="D26" s="2"/>
      <c r="E26" s="2"/>
      <c r="F26" s="2"/>
      <c r="G26" s="2" t="str">
        <f t="shared" si="0"/>
        <v>FAIL</v>
      </c>
      <c r="H26" s="2"/>
    </row>
    <row r="27" spans="1:8" ht="28">
      <c r="A27" s="2" t="s">
        <v>308</v>
      </c>
      <c r="B27" s="2">
        <v>2</v>
      </c>
      <c r="C27" s="2"/>
      <c r="D27" s="2"/>
      <c r="E27" s="2"/>
      <c r="F27" s="2"/>
      <c r="G27" s="2" t="str">
        <f t="shared" si="0"/>
        <v>FAIL</v>
      </c>
      <c r="H27" s="2"/>
    </row>
    <row r="28" spans="1:8">
      <c r="A28" s="2" t="s">
        <v>309</v>
      </c>
      <c r="B28" s="2">
        <v>4</v>
      </c>
      <c r="C28" s="2"/>
      <c r="D28" s="2"/>
      <c r="E28" s="2"/>
      <c r="F28" s="2"/>
      <c r="G28" s="2" t="str">
        <f t="shared" si="0"/>
        <v>FAIL</v>
      </c>
      <c r="H28" s="2"/>
    </row>
    <row r="29" spans="1:8">
      <c r="A29" s="2" t="s">
        <v>310</v>
      </c>
      <c r="B29" s="2">
        <v>20</v>
      </c>
      <c r="C29" s="2"/>
      <c r="D29" s="2"/>
      <c r="E29" s="2"/>
      <c r="F29" s="2"/>
      <c r="G29" s="2" t="str">
        <f t="shared" si="0"/>
        <v>FAIL</v>
      </c>
      <c r="H29" s="2"/>
    </row>
    <row r="30" spans="1:8" ht="28">
      <c r="A30" s="2" t="s">
        <v>311</v>
      </c>
      <c r="B30" s="2">
        <v>1</v>
      </c>
      <c r="C30" s="2"/>
      <c r="D30" s="2"/>
      <c r="E30" s="2"/>
      <c r="F30" s="2"/>
      <c r="G30" s="2" t="str">
        <f t="shared" si="0"/>
        <v>FAIL</v>
      </c>
      <c r="H30" s="2"/>
    </row>
    <row r="31" spans="1:8" ht="28">
      <c r="A31" s="2" t="s">
        <v>312</v>
      </c>
      <c r="B31" s="2">
        <v>1</v>
      </c>
      <c r="C31" s="2"/>
      <c r="D31" s="2"/>
      <c r="E31" s="2"/>
      <c r="F31" s="2"/>
      <c r="G31" s="2" t="str">
        <f t="shared" si="0"/>
        <v>FAIL</v>
      </c>
      <c r="H31" s="2"/>
    </row>
    <row r="32" spans="1:8" ht="28">
      <c r="A32" s="2" t="s">
        <v>313</v>
      </c>
      <c r="B32" s="2">
        <v>1</v>
      </c>
      <c r="C32" s="2"/>
      <c r="D32" s="2"/>
      <c r="E32" s="2"/>
      <c r="F32" s="2"/>
      <c r="G32" s="2" t="str">
        <f t="shared" si="0"/>
        <v>FAIL</v>
      </c>
      <c r="H32" s="2"/>
    </row>
    <row r="33" spans="1:8" ht="28">
      <c r="A33" s="2" t="s">
        <v>314</v>
      </c>
      <c r="B33" s="2">
        <v>1</v>
      </c>
      <c r="C33" s="2"/>
      <c r="D33" s="2"/>
      <c r="E33" s="2"/>
      <c r="F33" s="2"/>
      <c r="G33" s="2" t="str">
        <f t="shared" si="0"/>
        <v>FAIL</v>
      </c>
      <c r="H33" s="2"/>
    </row>
    <row r="34" spans="1:8" ht="28">
      <c r="A34" s="2" t="s">
        <v>315</v>
      </c>
      <c r="B34" s="2">
        <v>1</v>
      </c>
      <c r="C34" s="2"/>
      <c r="D34" s="2"/>
      <c r="E34" s="2"/>
      <c r="F34" s="2"/>
      <c r="G34" s="2" t="str">
        <f t="shared" si="0"/>
        <v>FAIL</v>
      </c>
      <c r="H34" s="2"/>
    </row>
    <row r="35" spans="1:8" ht="28">
      <c r="A35" s="2" t="s">
        <v>316</v>
      </c>
      <c r="B35" s="2">
        <v>1</v>
      </c>
      <c r="C35" s="2"/>
      <c r="D35" s="2"/>
      <c r="E35" s="2"/>
      <c r="F35" s="2"/>
      <c r="G35" s="2" t="str">
        <f t="shared" si="0"/>
        <v>FAIL</v>
      </c>
      <c r="H35" s="2"/>
    </row>
    <row r="36" spans="1:8">
      <c r="A36" s="2"/>
      <c r="B36" s="2"/>
      <c r="C36" s="2"/>
      <c r="D36" s="2"/>
      <c r="E36" s="2"/>
      <c r="F36" s="2"/>
      <c r="G36" s="2"/>
      <c r="H36" s="2"/>
    </row>
    <row r="37" spans="1:8">
      <c r="A37" s="2"/>
      <c r="B37" s="2"/>
      <c r="C37" s="2"/>
      <c r="D37" s="2"/>
      <c r="E37" s="2"/>
      <c r="F37" s="2"/>
      <c r="G37" s="2"/>
      <c r="H37" s="2"/>
    </row>
    <row r="38" spans="1:8">
      <c r="A38" s="2"/>
      <c r="B38" s="2"/>
      <c r="C38" s="2"/>
      <c r="D38" s="2"/>
      <c r="E38" s="2"/>
      <c r="F38" s="2"/>
      <c r="G38" s="2"/>
      <c r="H38" s="2"/>
    </row>
    <row r="39" spans="1:8">
      <c r="A39" s="2"/>
      <c r="B39" s="2"/>
      <c r="C39" s="2"/>
      <c r="D39" s="2"/>
      <c r="E39" s="2"/>
      <c r="F39" s="2"/>
      <c r="G39" s="2"/>
      <c r="H39" s="2"/>
    </row>
    <row r="40" spans="1:8">
      <c r="A40" s="2"/>
      <c r="B40" s="2"/>
      <c r="C40" s="2"/>
      <c r="D40" s="2"/>
      <c r="E40" s="2"/>
      <c r="F40" s="2"/>
      <c r="G40" s="2"/>
      <c r="H40" s="2"/>
    </row>
    <row r="41" spans="1:8">
      <c r="A41" s="2"/>
      <c r="B41" s="2"/>
      <c r="C41" s="2"/>
      <c r="D41" s="2"/>
      <c r="E41" s="2"/>
      <c r="F41" s="2"/>
      <c r="G41" s="2"/>
      <c r="H41" s="2"/>
    </row>
    <row r="42" spans="1:8">
      <c r="A42" s="2"/>
      <c r="B42" s="2"/>
      <c r="C42" s="2"/>
      <c r="D42" s="2"/>
      <c r="E42" s="2"/>
      <c r="F42" s="2"/>
      <c r="G42" s="2"/>
      <c r="H42" s="2"/>
    </row>
    <row r="43" spans="1:8">
      <c r="A43" s="2"/>
      <c r="B43" s="2"/>
      <c r="C43" s="2"/>
      <c r="D43" s="2"/>
      <c r="E43" s="2"/>
      <c r="F43" s="2"/>
      <c r="G43" s="2"/>
      <c r="H43" s="2"/>
    </row>
    <row r="44" spans="1:8">
      <c r="A44" s="2"/>
      <c r="B44" s="2"/>
      <c r="C44" s="2"/>
      <c r="D44" s="2"/>
      <c r="E44" s="2"/>
      <c r="F44" s="2"/>
      <c r="G44" s="2"/>
      <c r="H44" s="2"/>
    </row>
    <row r="45" spans="1:8">
      <c r="A45" s="2"/>
      <c r="B45" s="2"/>
      <c r="C45" s="2"/>
      <c r="D45" s="2"/>
      <c r="E45" s="2"/>
      <c r="F45" s="2"/>
      <c r="G45" s="2"/>
      <c r="H45" s="2"/>
    </row>
    <row r="46" spans="1:8">
      <c r="A46" s="2"/>
      <c r="B46" s="2"/>
      <c r="C46" s="2"/>
      <c r="D46" s="2"/>
      <c r="E46" s="2"/>
      <c r="F46" s="2"/>
      <c r="G46" s="2"/>
      <c r="H46" s="2"/>
    </row>
    <row r="47" spans="1:8">
      <c r="A47" s="2"/>
      <c r="B47" s="2"/>
      <c r="C47" s="2"/>
      <c r="D47" s="2"/>
      <c r="E47" s="2"/>
      <c r="F47" s="2"/>
      <c r="G47" s="2"/>
      <c r="H47" s="2"/>
    </row>
    <row r="48" spans="1:8">
      <c r="A48" s="2"/>
      <c r="B48" s="2"/>
      <c r="C48" s="2"/>
      <c r="D48" s="2"/>
      <c r="E48" s="2"/>
      <c r="F48" s="2"/>
      <c r="G48" s="2"/>
      <c r="H48" s="2"/>
    </row>
    <row r="49" spans="1:8">
      <c r="A49" s="2"/>
      <c r="B49" s="2"/>
      <c r="C49" s="2"/>
      <c r="D49" s="2"/>
      <c r="E49" s="2"/>
      <c r="F49" s="2"/>
      <c r="G49" s="2"/>
      <c r="H49" s="2"/>
    </row>
    <row r="50" spans="1:8">
      <c r="A50" s="2"/>
      <c r="B50" s="2"/>
      <c r="C50" s="2"/>
      <c r="D50" s="2"/>
      <c r="E50" s="2"/>
      <c r="F50" s="2"/>
      <c r="G50" s="2"/>
      <c r="H50" s="2"/>
    </row>
    <row r="51" spans="1:8">
      <c r="A51" s="2"/>
      <c r="B51" s="2"/>
      <c r="C51" s="2"/>
      <c r="D51" s="2"/>
      <c r="E51" s="2"/>
      <c r="F51" s="2"/>
      <c r="G51" s="2"/>
      <c r="H51" s="2"/>
    </row>
    <row r="52" spans="1:8">
      <c r="A52" s="2"/>
      <c r="B52" s="2"/>
      <c r="C52" s="2"/>
      <c r="D52" s="2"/>
      <c r="E52" s="2"/>
      <c r="F52" s="2"/>
      <c r="G52" s="2"/>
      <c r="H52" s="2"/>
    </row>
    <row r="53" spans="1:8">
      <c r="A53" s="2"/>
      <c r="B53" s="2"/>
      <c r="C53" s="2"/>
      <c r="D53" s="2"/>
      <c r="E53" s="2"/>
      <c r="F53" s="2"/>
      <c r="G53" s="2"/>
      <c r="H53" s="2"/>
    </row>
    <row r="54" spans="1:8">
      <c r="A54" s="2"/>
      <c r="B54" s="2"/>
      <c r="C54" s="2"/>
      <c r="D54" s="2"/>
      <c r="E54" s="2"/>
      <c r="F54" s="2"/>
      <c r="G54" s="2"/>
      <c r="H54" s="2"/>
    </row>
    <row r="55" spans="1:8">
      <c r="A55" s="2"/>
      <c r="B55" s="2"/>
      <c r="C55" s="2"/>
      <c r="D55" s="2"/>
      <c r="E55" s="2"/>
      <c r="F55" s="2"/>
      <c r="G55" s="2"/>
      <c r="H55" s="2"/>
    </row>
    <row r="56" spans="1:8">
      <c r="A56" s="2"/>
      <c r="B56" s="2"/>
      <c r="C56" s="2"/>
      <c r="D56" s="2"/>
      <c r="E56" s="2"/>
      <c r="F56" s="2"/>
      <c r="G56" s="2"/>
      <c r="H56" s="2"/>
    </row>
    <row r="57" spans="1:8">
      <c r="A57" s="2"/>
      <c r="B57" s="2"/>
      <c r="C57" s="2"/>
      <c r="D57" s="2"/>
      <c r="E57" s="2"/>
      <c r="F57" s="2"/>
      <c r="G57" s="2"/>
      <c r="H57" s="2"/>
    </row>
    <row r="58" spans="1:8">
      <c r="A58" s="2"/>
      <c r="B58" s="2"/>
      <c r="C58" s="2"/>
      <c r="D58" s="2"/>
      <c r="E58" s="2"/>
      <c r="F58" s="2"/>
      <c r="G58" s="2"/>
      <c r="H58" s="2"/>
    </row>
    <row r="59" spans="1:8">
      <c r="A59" s="2"/>
      <c r="B59" s="2"/>
      <c r="C59" s="2"/>
      <c r="D59" s="2"/>
      <c r="E59" s="2"/>
      <c r="F59" s="2"/>
      <c r="G59" s="2"/>
      <c r="H59" s="2"/>
    </row>
    <row r="60" spans="1:8">
      <c r="A60" s="2"/>
      <c r="B60" s="2"/>
      <c r="C60" s="2"/>
      <c r="D60" s="2"/>
      <c r="E60" s="2"/>
      <c r="F60" s="2"/>
      <c r="G60" s="2"/>
      <c r="H60" s="2"/>
    </row>
  </sheetData>
  <mergeCells count="2">
    <mergeCell ref="A1:H1"/>
    <mergeCell ref="A2:H2"/>
  </mergeCells>
  <dataValidations count="2">
    <dataValidation type="list" sqref="B7" xr:uid="{00000000-0002-0000-1D00-000000000000}">
      <formula1>"Yes,No"</formula1>
    </dataValidation>
    <dataValidation type="list" sqref="E14:E35" xr:uid="{00000000-0002-0000-1D00-000001000000}">
      <formula1>"Yes,No,N/A"</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O113"/>
  <sheetViews>
    <sheetView workbookViewId="0"/>
  </sheetViews>
  <sheetFormatPr defaultRowHeight="14"/>
  <cols>
    <col min="1" max="2" width="17" customWidth="1"/>
    <col min="3" max="3" width="25" customWidth="1"/>
    <col min="4" max="13" width="17" customWidth="1"/>
    <col min="14" max="14" width="28" customWidth="1"/>
    <col min="15" max="15" width="17" customWidth="1"/>
  </cols>
  <sheetData>
    <row r="1" spans="1:15" ht="20">
      <c r="A1" s="6" t="s">
        <v>358</v>
      </c>
      <c r="B1" s="7"/>
      <c r="C1" s="7"/>
      <c r="D1" s="7"/>
      <c r="E1" s="7"/>
      <c r="F1" s="7"/>
      <c r="G1" s="7"/>
      <c r="H1" s="7"/>
      <c r="I1" s="7"/>
      <c r="J1" s="7"/>
      <c r="K1" s="7"/>
      <c r="L1" s="7"/>
      <c r="M1" s="7"/>
      <c r="N1" s="7"/>
      <c r="O1" s="7"/>
    </row>
    <row r="2" spans="1:15" ht="14.5">
      <c r="A2" s="8" t="s">
        <v>318</v>
      </c>
      <c r="B2" s="7"/>
      <c r="C2" s="7"/>
      <c r="D2" s="7"/>
      <c r="E2" s="7"/>
      <c r="F2" s="7"/>
      <c r="G2" s="7"/>
      <c r="H2" s="7"/>
      <c r="I2" s="7"/>
      <c r="J2" s="7"/>
      <c r="K2" s="7"/>
      <c r="L2" s="7"/>
      <c r="M2" s="7"/>
      <c r="N2" s="7"/>
      <c r="O2" s="7"/>
    </row>
    <row r="4" spans="1:15">
      <c r="A4" s="3" t="s">
        <v>107</v>
      </c>
      <c r="B4" t="s">
        <v>355</v>
      </c>
    </row>
    <row r="5" spans="1:15">
      <c r="A5" s="3" t="s">
        <v>110</v>
      </c>
    </row>
    <row r="6" spans="1:15">
      <c r="A6" s="3" t="s">
        <v>229</v>
      </c>
    </row>
    <row r="7" spans="1:15">
      <c r="A7" s="3" t="s">
        <v>230</v>
      </c>
    </row>
    <row r="8" spans="1:15">
      <c r="A8" s="3" t="s">
        <v>319</v>
      </c>
      <c r="B8">
        <f>COUNTA(A14:A113)</f>
        <v>0</v>
      </c>
    </row>
    <row r="9" spans="1:15" ht="28">
      <c r="A9" s="3" t="s">
        <v>320</v>
      </c>
      <c r="B9">
        <f>COUNTIF(O14:O113,"FAIL")</f>
        <v>0</v>
      </c>
    </row>
    <row r="10" spans="1:15">
      <c r="A10" s="3" t="s">
        <v>46</v>
      </c>
      <c r="B10" t="str">
        <f>IF(AND(B7="Yes",B9=0),"Complete","Incomplete")</f>
        <v>Incomplete</v>
      </c>
    </row>
    <row r="13" spans="1:15" ht="42">
      <c r="A13" s="1" t="s">
        <v>120</v>
      </c>
      <c r="B13" s="1" t="s">
        <v>121</v>
      </c>
      <c r="C13" s="1" t="s">
        <v>321</v>
      </c>
      <c r="D13" s="1" t="s">
        <v>234</v>
      </c>
      <c r="E13" s="1" t="s">
        <v>235</v>
      </c>
      <c r="F13" s="1" t="s">
        <v>294</v>
      </c>
      <c r="G13" s="1" t="s">
        <v>322</v>
      </c>
      <c r="H13" s="1" t="s">
        <v>323</v>
      </c>
      <c r="I13" s="1" t="s">
        <v>324</v>
      </c>
      <c r="J13" s="1" t="s">
        <v>149</v>
      </c>
      <c r="K13" s="1" t="s">
        <v>325</v>
      </c>
      <c r="L13" s="1" t="s">
        <v>326</v>
      </c>
      <c r="M13" s="1" t="s">
        <v>327</v>
      </c>
      <c r="N13" s="1" t="s">
        <v>239</v>
      </c>
      <c r="O13" s="1" t="s">
        <v>328</v>
      </c>
    </row>
    <row r="14" spans="1:15">
      <c r="A14" s="2"/>
      <c r="B14" s="2"/>
      <c r="C14" s="2"/>
      <c r="D14" s="2"/>
      <c r="E14" s="2"/>
      <c r="F14" s="2"/>
      <c r="G14" s="2"/>
      <c r="H14" s="2"/>
      <c r="I14" s="2"/>
      <c r="J14" s="2"/>
      <c r="K14" s="2"/>
      <c r="L14" s="2"/>
      <c r="M14" s="2"/>
      <c r="N14" s="2"/>
      <c r="O14" s="2" t="str">
        <f t="shared" ref="O14:O45" si="0">IF(OR(E14&lt;D14,F14="No",G14="No",H14="No",I14="No",J14="No",K14="No",L14="No",M14="No"),"FAIL","PASS")</f>
        <v>PASS</v>
      </c>
    </row>
    <row r="15" spans="1:15">
      <c r="A15" s="2"/>
      <c r="B15" s="2"/>
      <c r="C15" s="2"/>
      <c r="D15" s="2"/>
      <c r="E15" s="2"/>
      <c r="F15" s="2"/>
      <c r="G15" s="2"/>
      <c r="H15" s="2"/>
      <c r="I15" s="2"/>
      <c r="J15" s="2"/>
      <c r="K15" s="2"/>
      <c r="L15" s="2"/>
      <c r="M15" s="2"/>
      <c r="N15" s="2"/>
      <c r="O15" s="2" t="str">
        <f t="shared" si="0"/>
        <v>PASS</v>
      </c>
    </row>
    <row r="16" spans="1:15">
      <c r="A16" s="2"/>
      <c r="B16" s="2"/>
      <c r="C16" s="2"/>
      <c r="D16" s="2"/>
      <c r="E16" s="2"/>
      <c r="F16" s="2"/>
      <c r="G16" s="2"/>
      <c r="H16" s="2"/>
      <c r="I16" s="2"/>
      <c r="J16" s="2"/>
      <c r="K16" s="2"/>
      <c r="L16" s="2"/>
      <c r="M16" s="2"/>
      <c r="N16" s="2"/>
      <c r="O16" s="2" t="str">
        <f t="shared" si="0"/>
        <v>PASS</v>
      </c>
    </row>
    <row r="17" spans="1:15">
      <c r="A17" s="2"/>
      <c r="B17" s="2"/>
      <c r="C17" s="2"/>
      <c r="D17" s="2"/>
      <c r="E17" s="2"/>
      <c r="F17" s="2"/>
      <c r="G17" s="2"/>
      <c r="H17" s="2"/>
      <c r="I17" s="2"/>
      <c r="J17" s="2"/>
      <c r="K17" s="2"/>
      <c r="L17" s="2"/>
      <c r="M17" s="2"/>
      <c r="N17" s="2"/>
      <c r="O17" s="2" t="str">
        <f t="shared" si="0"/>
        <v>PASS</v>
      </c>
    </row>
    <row r="18" spans="1:15">
      <c r="A18" s="2"/>
      <c r="B18" s="2"/>
      <c r="C18" s="2"/>
      <c r="D18" s="2"/>
      <c r="E18" s="2"/>
      <c r="F18" s="2"/>
      <c r="G18" s="2"/>
      <c r="H18" s="2"/>
      <c r="I18" s="2"/>
      <c r="J18" s="2"/>
      <c r="K18" s="2"/>
      <c r="L18" s="2"/>
      <c r="M18" s="2"/>
      <c r="N18" s="2"/>
      <c r="O18" s="2" t="str">
        <f t="shared" si="0"/>
        <v>PASS</v>
      </c>
    </row>
    <row r="19" spans="1:15">
      <c r="A19" s="2"/>
      <c r="B19" s="2"/>
      <c r="C19" s="2"/>
      <c r="D19" s="2"/>
      <c r="E19" s="2"/>
      <c r="F19" s="2"/>
      <c r="G19" s="2"/>
      <c r="H19" s="2"/>
      <c r="I19" s="2"/>
      <c r="J19" s="2"/>
      <c r="K19" s="2"/>
      <c r="L19" s="2"/>
      <c r="M19" s="2"/>
      <c r="N19" s="2"/>
      <c r="O19" s="2" t="str">
        <f t="shared" si="0"/>
        <v>PASS</v>
      </c>
    </row>
    <row r="20" spans="1:15">
      <c r="A20" s="2"/>
      <c r="B20" s="2"/>
      <c r="C20" s="2"/>
      <c r="D20" s="2"/>
      <c r="E20" s="2"/>
      <c r="F20" s="2"/>
      <c r="G20" s="2"/>
      <c r="H20" s="2"/>
      <c r="I20" s="2"/>
      <c r="J20" s="2"/>
      <c r="K20" s="2"/>
      <c r="L20" s="2"/>
      <c r="M20" s="2"/>
      <c r="N20" s="2"/>
      <c r="O20" s="2" t="str">
        <f t="shared" si="0"/>
        <v>PASS</v>
      </c>
    </row>
    <row r="21" spans="1:15">
      <c r="A21" s="2"/>
      <c r="B21" s="2"/>
      <c r="C21" s="2"/>
      <c r="D21" s="2"/>
      <c r="E21" s="2"/>
      <c r="F21" s="2"/>
      <c r="G21" s="2"/>
      <c r="H21" s="2"/>
      <c r="I21" s="2"/>
      <c r="J21" s="2"/>
      <c r="K21" s="2"/>
      <c r="L21" s="2"/>
      <c r="M21" s="2"/>
      <c r="N21" s="2"/>
      <c r="O21" s="2" t="str">
        <f t="shared" si="0"/>
        <v>PASS</v>
      </c>
    </row>
    <row r="22" spans="1:15">
      <c r="A22" s="2"/>
      <c r="B22" s="2"/>
      <c r="C22" s="2"/>
      <c r="D22" s="2"/>
      <c r="E22" s="2"/>
      <c r="F22" s="2"/>
      <c r="G22" s="2"/>
      <c r="H22" s="2"/>
      <c r="I22" s="2"/>
      <c r="J22" s="2"/>
      <c r="K22" s="2"/>
      <c r="L22" s="2"/>
      <c r="M22" s="2"/>
      <c r="N22" s="2"/>
      <c r="O22" s="2" t="str">
        <f t="shared" si="0"/>
        <v>PASS</v>
      </c>
    </row>
    <row r="23" spans="1:15">
      <c r="A23" s="2"/>
      <c r="B23" s="2"/>
      <c r="C23" s="2"/>
      <c r="D23" s="2"/>
      <c r="E23" s="2"/>
      <c r="F23" s="2"/>
      <c r="G23" s="2"/>
      <c r="H23" s="2"/>
      <c r="I23" s="2"/>
      <c r="J23" s="2"/>
      <c r="K23" s="2"/>
      <c r="L23" s="2"/>
      <c r="M23" s="2"/>
      <c r="N23" s="2"/>
      <c r="O23" s="2" t="str">
        <f t="shared" si="0"/>
        <v>PASS</v>
      </c>
    </row>
    <row r="24" spans="1:15">
      <c r="A24" s="2"/>
      <c r="B24" s="2"/>
      <c r="C24" s="2"/>
      <c r="D24" s="2"/>
      <c r="E24" s="2"/>
      <c r="F24" s="2"/>
      <c r="G24" s="2"/>
      <c r="H24" s="2"/>
      <c r="I24" s="2"/>
      <c r="J24" s="2"/>
      <c r="K24" s="2"/>
      <c r="L24" s="2"/>
      <c r="M24" s="2"/>
      <c r="N24" s="2"/>
      <c r="O24" s="2" t="str">
        <f t="shared" si="0"/>
        <v>PASS</v>
      </c>
    </row>
    <row r="25" spans="1:15">
      <c r="A25" s="2"/>
      <c r="B25" s="2"/>
      <c r="C25" s="2"/>
      <c r="D25" s="2"/>
      <c r="E25" s="2"/>
      <c r="F25" s="2"/>
      <c r="G25" s="2"/>
      <c r="H25" s="2"/>
      <c r="I25" s="2"/>
      <c r="J25" s="2"/>
      <c r="K25" s="2"/>
      <c r="L25" s="2"/>
      <c r="M25" s="2"/>
      <c r="N25" s="2"/>
      <c r="O25" s="2" t="str">
        <f t="shared" si="0"/>
        <v>PASS</v>
      </c>
    </row>
    <row r="26" spans="1:15">
      <c r="A26" s="2"/>
      <c r="B26" s="2"/>
      <c r="C26" s="2"/>
      <c r="D26" s="2"/>
      <c r="E26" s="2"/>
      <c r="F26" s="2"/>
      <c r="G26" s="2"/>
      <c r="H26" s="2"/>
      <c r="I26" s="2"/>
      <c r="J26" s="2"/>
      <c r="K26" s="2"/>
      <c r="L26" s="2"/>
      <c r="M26" s="2"/>
      <c r="N26" s="2"/>
      <c r="O26" s="2" t="str">
        <f t="shared" si="0"/>
        <v>PASS</v>
      </c>
    </row>
    <row r="27" spans="1:15">
      <c r="A27" s="2"/>
      <c r="B27" s="2"/>
      <c r="C27" s="2"/>
      <c r="D27" s="2"/>
      <c r="E27" s="2"/>
      <c r="F27" s="2"/>
      <c r="G27" s="2"/>
      <c r="H27" s="2"/>
      <c r="I27" s="2"/>
      <c r="J27" s="2"/>
      <c r="K27" s="2"/>
      <c r="L27" s="2"/>
      <c r="M27" s="2"/>
      <c r="N27" s="2"/>
      <c r="O27" s="2" t="str">
        <f t="shared" si="0"/>
        <v>PASS</v>
      </c>
    </row>
    <row r="28" spans="1:15">
      <c r="A28" s="2"/>
      <c r="B28" s="2"/>
      <c r="C28" s="2"/>
      <c r="D28" s="2"/>
      <c r="E28" s="2"/>
      <c r="F28" s="2"/>
      <c r="G28" s="2"/>
      <c r="H28" s="2"/>
      <c r="I28" s="2"/>
      <c r="J28" s="2"/>
      <c r="K28" s="2"/>
      <c r="L28" s="2"/>
      <c r="M28" s="2"/>
      <c r="N28" s="2"/>
      <c r="O28" s="2" t="str">
        <f t="shared" si="0"/>
        <v>PASS</v>
      </c>
    </row>
    <row r="29" spans="1:15">
      <c r="A29" s="2"/>
      <c r="B29" s="2"/>
      <c r="C29" s="2"/>
      <c r="D29" s="2"/>
      <c r="E29" s="2"/>
      <c r="F29" s="2"/>
      <c r="G29" s="2"/>
      <c r="H29" s="2"/>
      <c r="I29" s="2"/>
      <c r="J29" s="2"/>
      <c r="K29" s="2"/>
      <c r="L29" s="2"/>
      <c r="M29" s="2"/>
      <c r="N29" s="2"/>
      <c r="O29" s="2" t="str">
        <f t="shared" si="0"/>
        <v>PASS</v>
      </c>
    </row>
    <row r="30" spans="1:15">
      <c r="A30" s="2"/>
      <c r="B30" s="2"/>
      <c r="C30" s="2"/>
      <c r="D30" s="2"/>
      <c r="E30" s="2"/>
      <c r="F30" s="2"/>
      <c r="G30" s="2"/>
      <c r="H30" s="2"/>
      <c r="I30" s="2"/>
      <c r="J30" s="2"/>
      <c r="K30" s="2"/>
      <c r="L30" s="2"/>
      <c r="M30" s="2"/>
      <c r="N30" s="2"/>
      <c r="O30" s="2" t="str">
        <f t="shared" si="0"/>
        <v>PASS</v>
      </c>
    </row>
    <row r="31" spans="1:15">
      <c r="A31" s="2"/>
      <c r="B31" s="2"/>
      <c r="C31" s="2"/>
      <c r="D31" s="2"/>
      <c r="E31" s="2"/>
      <c r="F31" s="2"/>
      <c r="G31" s="2"/>
      <c r="H31" s="2"/>
      <c r="I31" s="2"/>
      <c r="J31" s="2"/>
      <c r="K31" s="2"/>
      <c r="L31" s="2"/>
      <c r="M31" s="2"/>
      <c r="N31" s="2"/>
      <c r="O31" s="2" t="str">
        <f t="shared" si="0"/>
        <v>PASS</v>
      </c>
    </row>
    <row r="32" spans="1:15">
      <c r="A32" s="2"/>
      <c r="B32" s="2"/>
      <c r="C32" s="2"/>
      <c r="D32" s="2"/>
      <c r="E32" s="2"/>
      <c r="F32" s="2"/>
      <c r="G32" s="2"/>
      <c r="H32" s="2"/>
      <c r="I32" s="2"/>
      <c r="J32" s="2"/>
      <c r="K32" s="2"/>
      <c r="L32" s="2"/>
      <c r="M32" s="2"/>
      <c r="N32" s="2"/>
      <c r="O32" s="2" t="str">
        <f t="shared" si="0"/>
        <v>PASS</v>
      </c>
    </row>
    <row r="33" spans="1:15">
      <c r="A33" s="2"/>
      <c r="B33" s="2"/>
      <c r="C33" s="2"/>
      <c r="D33" s="2"/>
      <c r="E33" s="2"/>
      <c r="F33" s="2"/>
      <c r="G33" s="2"/>
      <c r="H33" s="2"/>
      <c r="I33" s="2"/>
      <c r="J33" s="2"/>
      <c r="K33" s="2"/>
      <c r="L33" s="2"/>
      <c r="M33" s="2"/>
      <c r="N33" s="2"/>
      <c r="O33" s="2" t="str">
        <f t="shared" si="0"/>
        <v>PASS</v>
      </c>
    </row>
    <row r="34" spans="1:15">
      <c r="A34" s="2"/>
      <c r="B34" s="2"/>
      <c r="C34" s="2"/>
      <c r="D34" s="2"/>
      <c r="E34" s="2"/>
      <c r="F34" s="2"/>
      <c r="G34" s="2"/>
      <c r="H34" s="2"/>
      <c r="I34" s="2"/>
      <c r="J34" s="2"/>
      <c r="K34" s="2"/>
      <c r="L34" s="2"/>
      <c r="M34" s="2"/>
      <c r="N34" s="2"/>
      <c r="O34" s="2" t="str">
        <f t="shared" si="0"/>
        <v>PASS</v>
      </c>
    </row>
    <row r="35" spans="1:15">
      <c r="A35" s="2"/>
      <c r="B35" s="2"/>
      <c r="C35" s="2"/>
      <c r="D35" s="2"/>
      <c r="E35" s="2"/>
      <c r="F35" s="2"/>
      <c r="G35" s="2"/>
      <c r="H35" s="2"/>
      <c r="I35" s="2"/>
      <c r="J35" s="2"/>
      <c r="K35" s="2"/>
      <c r="L35" s="2"/>
      <c r="M35" s="2"/>
      <c r="N35" s="2"/>
      <c r="O35" s="2" t="str">
        <f t="shared" si="0"/>
        <v>PASS</v>
      </c>
    </row>
    <row r="36" spans="1:15">
      <c r="A36" s="2"/>
      <c r="B36" s="2"/>
      <c r="C36" s="2"/>
      <c r="D36" s="2"/>
      <c r="E36" s="2"/>
      <c r="F36" s="2"/>
      <c r="G36" s="2"/>
      <c r="H36" s="2"/>
      <c r="I36" s="2"/>
      <c r="J36" s="2"/>
      <c r="K36" s="2"/>
      <c r="L36" s="2"/>
      <c r="M36" s="2"/>
      <c r="N36" s="2"/>
      <c r="O36" s="2" t="str">
        <f t="shared" si="0"/>
        <v>PASS</v>
      </c>
    </row>
    <row r="37" spans="1:15">
      <c r="A37" s="2"/>
      <c r="B37" s="2"/>
      <c r="C37" s="2"/>
      <c r="D37" s="2"/>
      <c r="E37" s="2"/>
      <c r="F37" s="2"/>
      <c r="G37" s="2"/>
      <c r="H37" s="2"/>
      <c r="I37" s="2"/>
      <c r="J37" s="2"/>
      <c r="K37" s="2"/>
      <c r="L37" s="2"/>
      <c r="M37" s="2"/>
      <c r="N37" s="2"/>
      <c r="O37" s="2" t="str">
        <f t="shared" si="0"/>
        <v>PASS</v>
      </c>
    </row>
    <row r="38" spans="1:15">
      <c r="A38" s="2"/>
      <c r="B38" s="2"/>
      <c r="C38" s="2"/>
      <c r="D38" s="2"/>
      <c r="E38" s="2"/>
      <c r="F38" s="2"/>
      <c r="G38" s="2"/>
      <c r="H38" s="2"/>
      <c r="I38" s="2"/>
      <c r="J38" s="2"/>
      <c r="K38" s="2"/>
      <c r="L38" s="2"/>
      <c r="M38" s="2"/>
      <c r="N38" s="2"/>
      <c r="O38" s="2" t="str">
        <f t="shared" si="0"/>
        <v>PASS</v>
      </c>
    </row>
    <row r="39" spans="1:15">
      <c r="A39" s="2"/>
      <c r="B39" s="2"/>
      <c r="C39" s="2"/>
      <c r="D39" s="2"/>
      <c r="E39" s="2"/>
      <c r="F39" s="2"/>
      <c r="G39" s="2"/>
      <c r="H39" s="2"/>
      <c r="I39" s="2"/>
      <c r="J39" s="2"/>
      <c r="K39" s="2"/>
      <c r="L39" s="2"/>
      <c r="M39" s="2"/>
      <c r="N39" s="2"/>
      <c r="O39" s="2" t="str">
        <f t="shared" si="0"/>
        <v>PASS</v>
      </c>
    </row>
    <row r="40" spans="1:15">
      <c r="A40" s="2"/>
      <c r="B40" s="2"/>
      <c r="C40" s="2"/>
      <c r="D40" s="2"/>
      <c r="E40" s="2"/>
      <c r="F40" s="2"/>
      <c r="G40" s="2"/>
      <c r="H40" s="2"/>
      <c r="I40" s="2"/>
      <c r="J40" s="2"/>
      <c r="K40" s="2"/>
      <c r="L40" s="2"/>
      <c r="M40" s="2"/>
      <c r="N40" s="2"/>
      <c r="O40" s="2" t="str">
        <f t="shared" si="0"/>
        <v>PASS</v>
      </c>
    </row>
    <row r="41" spans="1:15">
      <c r="A41" s="2"/>
      <c r="B41" s="2"/>
      <c r="C41" s="2"/>
      <c r="D41" s="2"/>
      <c r="E41" s="2"/>
      <c r="F41" s="2"/>
      <c r="G41" s="2"/>
      <c r="H41" s="2"/>
      <c r="I41" s="2"/>
      <c r="J41" s="2"/>
      <c r="K41" s="2"/>
      <c r="L41" s="2"/>
      <c r="M41" s="2"/>
      <c r="N41" s="2"/>
      <c r="O41" s="2" t="str">
        <f t="shared" si="0"/>
        <v>PASS</v>
      </c>
    </row>
    <row r="42" spans="1:15">
      <c r="A42" s="2"/>
      <c r="B42" s="2"/>
      <c r="C42" s="2"/>
      <c r="D42" s="2"/>
      <c r="E42" s="2"/>
      <c r="F42" s="2"/>
      <c r="G42" s="2"/>
      <c r="H42" s="2"/>
      <c r="I42" s="2"/>
      <c r="J42" s="2"/>
      <c r="K42" s="2"/>
      <c r="L42" s="2"/>
      <c r="M42" s="2"/>
      <c r="N42" s="2"/>
      <c r="O42" s="2" t="str">
        <f t="shared" si="0"/>
        <v>PASS</v>
      </c>
    </row>
    <row r="43" spans="1:15">
      <c r="A43" s="2"/>
      <c r="B43" s="2"/>
      <c r="C43" s="2"/>
      <c r="D43" s="2"/>
      <c r="E43" s="2"/>
      <c r="F43" s="2"/>
      <c r="G43" s="2"/>
      <c r="H43" s="2"/>
      <c r="I43" s="2"/>
      <c r="J43" s="2"/>
      <c r="K43" s="2"/>
      <c r="L43" s="2"/>
      <c r="M43" s="2"/>
      <c r="N43" s="2"/>
      <c r="O43" s="2" t="str">
        <f t="shared" si="0"/>
        <v>PASS</v>
      </c>
    </row>
    <row r="44" spans="1:15">
      <c r="A44" s="2"/>
      <c r="B44" s="2"/>
      <c r="C44" s="2"/>
      <c r="D44" s="2"/>
      <c r="E44" s="2"/>
      <c r="F44" s="2"/>
      <c r="G44" s="2"/>
      <c r="H44" s="2"/>
      <c r="I44" s="2"/>
      <c r="J44" s="2"/>
      <c r="K44" s="2"/>
      <c r="L44" s="2"/>
      <c r="M44" s="2"/>
      <c r="N44" s="2"/>
      <c r="O44" s="2" t="str">
        <f t="shared" si="0"/>
        <v>PASS</v>
      </c>
    </row>
    <row r="45" spans="1:15">
      <c r="A45" s="2"/>
      <c r="B45" s="2"/>
      <c r="C45" s="2"/>
      <c r="D45" s="2"/>
      <c r="E45" s="2"/>
      <c r="F45" s="2"/>
      <c r="G45" s="2"/>
      <c r="H45" s="2"/>
      <c r="I45" s="2"/>
      <c r="J45" s="2"/>
      <c r="K45" s="2"/>
      <c r="L45" s="2"/>
      <c r="M45" s="2"/>
      <c r="N45" s="2"/>
      <c r="O45" s="2" t="str">
        <f t="shared" si="0"/>
        <v>PASS</v>
      </c>
    </row>
    <row r="46" spans="1:15">
      <c r="A46" s="2"/>
      <c r="B46" s="2"/>
      <c r="C46" s="2"/>
      <c r="D46" s="2"/>
      <c r="E46" s="2"/>
      <c r="F46" s="2"/>
      <c r="G46" s="2"/>
      <c r="H46" s="2"/>
      <c r="I46" s="2"/>
      <c r="J46" s="2"/>
      <c r="K46" s="2"/>
      <c r="L46" s="2"/>
      <c r="M46" s="2"/>
      <c r="N46" s="2"/>
      <c r="O46" s="2" t="str">
        <f t="shared" ref="O46:O77" si="1">IF(OR(E46&lt;D46,F46="No",G46="No",H46="No",I46="No",J46="No",K46="No",L46="No",M46="No"),"FAIL","PASS")</f>
        <v>PASS</v>
      </c>
    </row>
    <row r="47" spans="1:15">
      <c r="A47" s="2"/>
      <c r="B47" s="2"/>
      <c r="C47" s="2"/>
      <c r="D47" s="2"/>
      <c r="E47" s="2"/>
      <c r="F47" s="2"/>
      <c r="G47" s="2"/>
      <c r="H47" s="2"/>
      <c r="I47" s="2"/>
      <c r="J47" s="2"/>
      <c r="K47" s="2"/>
      <c r="L47" s="2"/>
      <c r="M47" s="2"/>
      <c r="N47" s="2"/>
      <c r="O47" s="2" t="str">
        <f t="shared" si="1"/>
        <v>PASS</v>
      </c>
    </row>
    <row r="48" spans="1:15">
      <c r="A48" s="2"/>
      <c r="B48" s="2"/>
      <c r="C48" s="2"/>
      <c r="D48" s="2"/>
      <c r="E48" s="2"/>
      <c r="F48" s="2"/>
      <c r="G48" s="2"/>
      <c r="H48" s="2"/>
      <c r="I48" s="2"/>
      <c r="J48" s="2"/>
      <c r="K48" s="2"/>
      <c r="L48" s="2"/>
      <c r="M48" s="2"/>
      <c r="N48" s="2"/>
      <c r="O48" s="2" t="str">
        <f t="shared" si="1"/>
        <v>PASS</v>
      </c>
    </row>
    <row r="49" spans="1:15">
      <c r="A49" s="2"/>
      <c r="B49" s="2"/>
      <c r="C49" s="2"/>
      <c r="D49" s="2"/>
      <c r="E49" s="2"/>
      <c r="F49" s="2"/>
      <c r="G49" s="2"/>
      <c r="H49" s="2"/>
      <c r="I49" s="2"/>
      <c r="J49" s="2"/>
      <c r="K49" s="2"/>
      <c r="L49" s="2"/>
      <c r="M49" s="2"/>
      <c r="N49" s="2"/>
      <c r="O49" s="2" t="str">
        <f t="shared" si="1"/>
        <v>PASS</v>
      </c>
    </row>
    <row r="50" spans="1:15">
      <c r="A50" s="2"/>
      <c r="B50" s="2"/>
      <c r="C50" s="2"/>
      <c r="D50" s="2"/>
      <c r="E50" s="2"/>
      <c r="F50" s="2"/>
      <c r="G50" s="2"/>
      <c r="H50" s="2"/>
      <c r="I50" s="2"/>
      <c r="J50" s="2"/>
      <c r="K50" s="2"/>
      <c r="L50" s="2"/>
      <c r="M50" s="2"/>
      <c r="N50" s="2"/>
      <c r="O50" s="2" t="str">
        <f t="shared" si="1"/>
        <v>PASS</v>
      </c>
    </row>
    <row r="51" spans="1:15">
      <c r="A51" s="2"/>
      <c r="B51" s="2"/>
      <c r="C51" s="2"/>
      <c r="D51" s="2"/>
      <c r="E51" s="2"/>
      <c r="F51" s="2"/>
      <c r="G51" s="2"/>
      <c r="H51" s="2"/>
      <c r="I51" s="2"/>
      <c r="J51" s="2"/>
      <c r="K51" s="2"/>
      <c r="L51" s="2"/>
      <c r="M51" s="2"/>
      <c r="N51" s="2"/>
      <c r="O51" s="2" t="str">
        <f t="shared" si="1"/>
        <v>PASS</v>
      </c>
    </row>
    <row r="52" spans="1:15">
      <c r="A52" s="2"/>
      <c r="B52" s="2"/>
      <c r="C52" s="2"/>
      <c r="D52" s="2"/>
      <c r="E52" s="2"/>
      <c r="F52" s="2"/>
      <c r="G52" s="2"/>
      <c r="H52" s="2"/>
      <c r="I52" s="2"/>
      <c r="J52" s="2"/>
      <c r="K52" s="2"/>
      <c r="L52" s="2"/>
      <c r="M52" s="2"/>
      <c r="N52" s="2"/>
      <c r="O52" s="2" t="str">
        <f t="shared" si="1"/>
        <v>PASS</v>
      </c>
    </row>
    <row r="53" spans="1:15">
      <c r="A53" s="2"/>
      <c r="B53" s="2"/>
      <c r="C53" s="2"/>
      <c r="D53" s="2"/>
      <c r="E53" s="2"/>
      <c r="F53" s="2"/>
      <c r="G53" s="2"/>
      <c r="H53" s="2"/>
      <c r="I53" s="2"/>
      <c r="J53" s="2"/>
      <c r="K53" s="2"/>
      <c r="L53" s="2"/>
      <c r="M53" s="2"/>
      <c r="N53" s="2"/>
      <c r="O53" s="2" t="str">
        <f t="shared" si="1"/>
        <v>PASS</v>
      </c>
    </row>
    <row r="54" spans="1:15">
      <c r="A54" s="2"/>
      <c r="B54" s="2"/>
      <c r="C54" s="2"/>
      <c r="D54" s="2"/>
      <c r="E54" s="2"/>
      <c r="F54" s="2"/>
      <c r="G54" s="2"/>
      <c r="H54" s="2"/>
      <c r="I54" s="2"/>
      <c r="J54" s="2"/>
      <c r="K54" s="2"/>
      <c r="L54" s="2"/>
      <c r="M54" s="2"/>
      <c r="N54" s="2"/>
      <c r="O54" s="2" t="str">
        <f t="shared" si="1"/>
        <v>PASS</v>
      </c>
    </row>
    <row r="55" spans="1:15">
      <c r="A55" s="2"/>
      <c r="B55" s="2"/>
      <c r="C55" s="2"/>
      <c r="D55" s="2"/>
      <c r="E55" s="2"/>
      <c r="F55" s="2"/>
      <c r="G55" s="2"/>
      <c r="H55" s="2"/>
      <c r="I55" s="2"/>
      <c r="J55" s="2"/>
      <c r="K55" s="2"/>
      <c r="L55" s="2"/>
      <c r="M55" s="2"/>
      <c r="N55" s="2"/>
      <c r="O55" s="2" t="str">
        <f t="shared" si="1"/>
        <v>PASS</v>
      </c>
    </row>
    <row r="56" spans="1:15">
      <c r="A56" s="2"/>
      <c r="B56" s="2"/>
      <c r="C56" s="2"/>
      <c r="D56" s="2"/>
      <c r="E56" s="2"/>
      <c r="F56" s="2"/>
      <c r="G56" s="2"/>
      <c r="H56" s="2"/>
      <c r="I56" s="2"/>
      <c r="J56" s="2"/>
      <c r="K56" s="2"/>
      <c r="L56" s="2"/>
      <c r="M56" s="2"/>
      <c r="N56" s="2"/>
      <c r="O56" s="2" t="str">
        <f t="shared" si="1"/>
        <v>PASS</v>
      </c>
    </row>
    <row r="57" spans="1:15">
      <c r="A57" s="2"/>
      <c r="B57" s="2"/>
      <c r="C57" s="2"/>
      <c r="D57" s="2"/>
      <c r="E57" s="2"/>
      <c r="F57" s="2"/>
      <c r="G57" s="2"/>
      <c r="H57" s="2"/>
      <c r="I57" s="2"/>
      <c r="J57" s="2"/>
      <c r="K57" s="2"/>
      <c r="L57" s="2"/>
      <c r="M57" s="2"/>
      <c r="N57" s="2"/>
      <c r="O57" s="2" t="str">
        <f t="shared" si="1"/>
        <v>PASS</v>
      </c>
    </row>
    <row r="58" spans="1:15">
      <c r="A58" s="2"/>
      <c r="B58" s="2"/>
      <c r="C58" s="2"/>
      <c r="D58" s="2"/>
      <c r="E58" s="2"/>
      <c r="F58" s="2"/>
      <c r="G58" s="2"/>
      <c r="H58" s="2"/>
      <c r="I58" s="2"/>
      <c r="J58" s="2"/>
      <c r="K58" s="2"/>
      <c r="L58" s="2"/>
      <c r="M58" s="2"/>
      <c r="N58" s="2"/>
      <c r="O58" s="2" t="str">
        <f t="shared" si="1"/>
        <v>PASS</v>
      </c>
    </row>
    <row r="59" spans="1:15">
      <c r="A59" s="2"/>
      <c r="B59" s="2"/>
      <c r="C59" s="2"/>
      <c r="D59" s="2"/>
      <c r="E59" s="2"/>
      <c r="F59" s="2"/>
      <c r="G59" s="2"/>
      <c r="H59" s="2"/>
      <c r="I59" s="2"/>
      <c r="J59" s="2"/>
      <c r="K59" s="2"/>
      <c r="L59" s="2"/>
      <c r="M59" s="2"/>
      <c r="N59" s="2"/>
      <c r="O59" s="2" t="str">
        <f t="shared" si="1"/>
        <v>PASS</v>
      </c>
    </row>
    <row r="60" spans="1:15">
      <c r="A60" s="2"/>
      <c r="B60" s="2"/>
      <c r="C60" s="2"/>
      <c r="D60" s="2"/>
      <c r="E60" s="2"/>
      <c r="F60" s="2"/>
      <c r="G60" s="2"/>
      <c r="H60" s="2"/>
      <c r="I60" s="2"/>
      <c r="J60" s="2"/>
      <c r="K60" s="2"/>
      <c r="L60" s="2"/>
      <c r="M60" s="2"/>
      <c r="N60" s="2"/>
      <c r="O60" s="2" t="str">
        <f t="shared" si="1"/>
        <v>PASS</v>
      </c>
    </row>
    <row r="61" spans="1:15">
      <c r="A61" s="2"/>
      <c r="B61" s="2"/>
      <c r="C61" s="2"/>
      <c r="D61" s="2"/>
      <c r="E61" s="2"/>
      <c r="F61" s="2"/>
      <c r="G61" s="2"/>
      <c r="H61" s="2"/>
      <c r="I61" s="2"/>
      <c r="J61" s="2"/>
      <c r="K61" s="2"/>
      <c r="L61" s="2"/>
      <c r="M61" s="2"/>
      <c r="N61" s="2"/>
      <c r="O61" s="2" t="str">
        <f t="shared" si="1"/>
        <v>PASS</v>
      </c>
    </row>
    <row r="62" spans="1:15">
      <c r="A62" s="2"/>
      <c r="B62" s="2"/>
      <c r="C62" s="2"/>
      <c r="D62" s="2"/>
      <c r="E62" s="2"/>
      <c r="F62" s="2"/>
      <c r="G62" s="2"/>
      <c r="H62" s="2"/>
      <c r="I62" s="2"/>
      <c r="J62" s="2"/>
      <c r="K62" s="2"/>
      <c r="L62" s="2"/>
      <c r="M62" s="2"/>
      <c r="N62" s="2"/>
      <c r="O62" s="2" t="str">
        <f t="shared" si="1"/>
        <v>PASS</v>
      </c>
    </row>
    <row r="63" spans="1:15">
      <c r="A63" s="2"/>
      <c r="B63" s="2"/>
      <c r="C63" s="2"/>
      <c r="D63" s="2"/>
      <c r="E63" s="2"/>
      <c r="F63" s="2"/>
      <c r="G63" s="2"/>
      <c r="H63" s="2"/>
      <c r="I63" s="2"/>
      <c r="J63" s="2"/>
      <c r="K63" s="2"/>
      <c r="L63" s="2"/>
      <c r="M63" s="2"/>
      <c r="N63" s="2"/>
      <c r="O63" s="2" t="str">
        <f t="shared" si="1"/>
        <v>PASS</v>
      </c>
    </row>
    <row r="64" spans="1:15">
      <c r="A64" s="2"/>
      <c r="B64" s="2"/>
      <c r="C64" s="2"/>
      <c r="D64" s="2"/>
      <c r="E64" s="2"/>
      <c r="F64" s="2"/>
      <c r="G64" s="2"/>
      <c r="H64" s="2"/>
      <c r="I64" s="2"/>
      <c r="J64" s="2"/>
      <c r="K64" s="2"/>
      <c r="L64" s="2"/>
      <c r="M64" s="2"/>
      <c r="N64" s="2"/>
      <c r="O64" s="2" t="str">
        <f t="shared" si="1"/>
        <v>PASS</v>
      </c>
    </row>
    <row r="65" spans="1:15">
      <c r="A65" s="2"/>
      <c r="B65" s="2"/>
      <c r="C65" s="2"/>
      <c r="D65" s="2"/>
      <c r="E65" s="2"/>
      <c r="F65" s="2"/>
      <c r="G65" s="2"/>
      <c r="H65" s="2"/>
      <c r="I65" s="2"/>
      <c r="J65" s="2"/>
      <c r="K65" s="2"/>
      <c r="L65" s="2"/>
      <c r="M65" s="2"/>
      <c r="N65" s="2"/>
      <c r="O65" s="2" t="str">
        <f t="shared" si="1"/>
        <v>PASS</v>
      </c>
    </row>
    <row r="66" spans="1:15">
      <c r="A66" s="2"/>
      <c r="B66" s="2"/>
      <c r="C66" s="2"/>
      <c r="D66" s="2"/>
      <c r="E66" s="2"/>
      <c r="F66" s="2"/>
      <c r="G66" s="2"/>
      <c r="H66" s="2"/>
      <c r="I66" s="2"/>
      <c r="J66" s="2"/>
      <c r="K66" s="2"/>
      <c r="L66" s="2"/>
      <c r="M66" s="2"/>
      <c r="N66" s="2"/>
      <c r="O66" s="2" t="str">
        <f t="shared" si="1"/>
        <v>PASS</v>
      </c>
    </row>
    <row r="67" spans="1:15">
      <c r="A67" s="2"/>
      <c r="B67" s="2"/>
      <c r="C67" s="2"/>
      <c r="D67" s="2"/>
      <c r="E67" s="2"/>
      <c r="F67" s="2"/>
      <c r="G67" s="2"/>
      <c r="H67" s="2"/>
      <c r="I67" s="2"/>
      <c r="J67" s="2"/>
      <c r="K67" s="2"/>
      <c r="L67" s="2"/>
      <c r="M67" s="2"/>
      <c r="N67" s="2"/>
      <c r="O67" s="2" t="str">
        <f t="shared" si="1"/>
        <v>PASS</v>
      </c>
    </row>
    <row r="68" spans="1:15">
      <c r="A68" s="2"/>
      <c r="B68" s="2"/>
      <c r="C68" s="2"/>
      <c r="D68" s="2"/>
      <c r="E68" s="2"/>
      <c r="F68" s="2"/>
      <c r="G68" s="2"/>
      <c r="H68" s="2"/>
      <c r="I68" s="2"/>
      <c r="J68" s="2"/>
      <c r="K68" s="2"/>
      <c r="L68" s="2"/>
      <c r="M68" s="2"/>
      <c r="N68" s="2"/>
      <c r="O68" s="2" t="str">
        <f t="shared" si="1"/>
        <v>PASS</v>
      </c>
    </row>
    <row r="69" spans="1:15">
      <c r="A69" s="2"/>
      <c r="B69" s="2"/>
      <c r="C69" s="2"/>
      <c r="D69" s="2"/>
      <c r="E69" s="2"/>
      <c r="F69" s="2"/>
      <c r="G69" s="2"/>
      <c r="H69" s="2"/>
      <c r="I69" s="2"/>
      <c r="J69" s="2"/>
      <c r="K69" s="2"/>
      <c r="L69" s="2"/>
      <c r="M69" s="2"/>
      <c r="N69" s="2"/>
      <c r="O69" s="2" t="str">
        <f t="shared" si="1"/>
        <v>PASS</v>
      </c>
    </row>
    <row r="70" spans="1:15">
      <c r="A70" s="2"/>
      <c r="B70" s="2"/>
      <c r="C70" s="2"/>
      <c r="D70" s="2"/>
      <c r="E70" s="2"/>
      <c r="F70" s="2"/>
      <c r="G70" s="2"/>
      <c r="H70" s="2"/>
      <c r="I70" s="2"/>
      <c r="J70" s="2"/>
      <c r="K70" s="2"/>
      <c r="L70" s="2"/>
      <c r="M70" s="2"/>
      <c r="N70" s="2"/>
      <c r="O70" s="2" t="str">
        <f t="shared" si="1"/>
        <v>PASS</v>
      </c>
    </row>
    <row r="71" spans="1:15">
      <c r="A71" s="2"/>
      <c r="B71" s="2"/>
      <c r="C71" s="2"/>
      <c r="D71" s="2"/>
      <c r="E71" s="2"/>
      <c r="F71" s="2"/>
      <c r="G71" s="2"/>
      <c r="H71" s="2"/>
      <c r="I71" s="2"/>
      <c r="J71" s="2"/>
      <c r="K71" s="2"/>
      <c r="L71" s="2"/>
      <c r="M71" s="2"/>
      <c r="N71" s="2"/>
      <c r="O71" s="2" t="str">
        <f t="shared" si="1"/>
        <v>PASS</v>
      </c>
    </row>
    <row r="72" spans="1:15">
      <c r="A72" s="2"/>
      <c r="B72" s="2"/>
      <c r="C72" s="2"/>
      <c r="D72" s="2"/>
      <c r="E72" s="2"/>
      <c r="F72" s="2"/>
      <c r="G72" s="2"/>
      <c r="H72" s="2"/>
      <c r="I72" s="2"/>
      <c r="J72" s="2"/>
      <c r="K72" s="2"/>
      <c r="L72" s="2"/>
      <c r="M72" s="2"/>
      <c r="N72" s="2"/>
      <c r="O72" s="2" t="str">
        <f t="shared" si="1"/>
        <v>PASS</v>
      </c>
    </row>
    <row r="73" spans="1:15">
      <c r="A73" s="2"/>
      <c r="B73" s="2"/>
      <c r="C73" s="2"/>
      <c r="D73" s="2"/>
      <c r="E73" s="2"/>
      <c r="F73" s="2"/>
      <c r="G73" s="2"/>
      <c r="H73" s="2"/>
      <c r="I73" s="2"/>
      <c r="J73" s="2"/>
      <c r="K73" s="2"/>
      <c r="L73" s="2"/>
      <c r="M73" s="2"/>
      <c r="N73" s="2"/>
      <c r="O73" s="2" t="str">
        <f t="shared" si="1"/>
        <v>PASS</v>
      </c>
    </row>
    <row r="74" spans="1:15">
      <c r="A74" s="2"/>
      <c r="B74" s="2"/>
      <c r="C74" s="2"/>
      <c r="D74" s="2"/>
      <c r="E74" s="2"/>
      <c r="F74" s="2"/>
      <c r="G74" s="2"/>
      <c r="H74" s="2"/>
      <c r="I74" s="2"/>
      <c r="J74" s="2"/>
      <c r="K74" s="2"/>
      <c r="L74" s="2"/>
      <c r="M74" s="2"/>
      <c r="N74" s="2"/>
      <c r="O74" s="2" t="str">
        <f t="shared" si="1"/>
        <v>PASS</v>
      </c>
    </row>
    <row r="75" spans="1:15">
      <c r="A75" s="2"/>
      <c r="B75" s="2"/>
      <c r="C75" s="2"/>
      <c r="D75" s="2"/>
      <c r="E75" s="2"/>
      <c r="F75" s="2"/>
      <c r="G75" s="2"/>
      <c r="H75" s="2"/>
      <c r="I75" s="2"/>
      <c r="J75" s="2"/>
      <c r="K75" s="2"/>
      <c r="L75" s="2"/>
      <c r="M75" s="2"/>
      <c r="N75" s="2"/>
      <c r="O75" s="2" t="str">
        <f t="shared" si="1"/>
        <v>PASS</v>
      </c>
    </row>
    <row r="76" spans="1:15">
      <c r="A76" s="2"/>
      <c r="B76" s="2"/>
      <c r="C76" s="2"/>
      <c r="D76" s="2"/>
      <c r="E76" s="2"/>
      <c r="F76" s="2"/>
      <c r="G76" s="2"/>
      <c r="H76" s="2"/>
      <c r="I76" s="2"/>
      <c r="J76" s="2"/>
      <c r="K76" s="2"/>
      <c r="L76" s="2"/>
      <c r="M76" s="2"/>
      <c r="N76" s="2"/>
      <c r="O76" s="2" t="str">
        <f t="shared" si="1"/>
        <v>PASS</v>
      </c>
    </row>
    <row r="77" spans="1:15">
      <c r="A77" s="2"/>
      <c r="B77" s="2"/>
      <c r="C77" s="2"/>
      <c r="D77" s="2"/>
      <c r="E77" s="2"/>
      <c r="F77" s="2"/>
      <c r="G77" s="2"/>
      <c r="H77" s="2"/>
      <c r="I77" s="2"/>
      <c r="J77" s="2"/>
      <c r="K77" s="2"/>
      <c r="L77" s="2"/>
      <c r="M77" s="2"/>
      <c r="N77" s="2"/>
      <c r="O77" s="2" t="str">
        <f t="shared" si="1"/>
        <v>PASS</v>
      </c>
    </row>
    <row r="78" spans="1:15">
      <c r="A78" s="2"/>
      <c r="B78" s="2"/>
      <c r="C78" s="2"/>
      <c r="D78" s="2"/>
      <c r="E78" s="2"/>
      <c r="F78" s="2"/>
      <c r="G78" s="2"/>
      <c r="H78" s="2"/>
      <c r="I78" s="2"/>
      <c r="J78" s="2"/>
      <c r="K78" s="2"/>
      <c r="L78" s="2"/>
      <c r="M78" s="2"/>
      <c r="N78" s="2"/>
      <c r="O78" s="2" t="str">
        <f t="shared" ref="O78:O113" si="2">IF(OR(E78&lt;D78,F78="No",G78="No",H78="No",I78="No",J78="No",K78="No",L78="No",M78="No"),"FAIL","PASS")</f>
        <v>PASS</v>
      </c>
    </row>
    <row r="79" spans="1:15">
      <c r="A79" s="2"/>
      <c r="B79" s="2"/>
      <c r="C79" s="2"/>
      <c r="D79" s="2"/>
      <c r="E79" s="2"/>
      <c r="F79" s="2"/>
      <c r="G79" s="2"/>
      <c r="H79" s="2"/>
      <c r="I79" s="2"/>
      <c r="J79" s="2"/>
      <c r="K79" s="2"/>
      <c r="L79" s="2"/>
      <c r="M79" s="2"/>
      <c r="N79" s="2"/>
      <c r="O79" s="2" t="str">
        <f t="shared" si="2"/>
        <v>PASS</v>
      </c>
    </row>
    <row r="80" spans="1:15">
      <c r="A80" s="2"/>
      <c r="B80" s="2"/>
      <c r="C80" s="2"/>
      <c r="D80" s="2"/>
      <c r="E80" s="2"/>
      <c r="F80" s="2"/>
      <c r="G80" s="2"/>
      <c r="H80" s="2"/>
      <c r="I80" s="2"/>
      <c r="J80" s="2"/>
      <c r="K80" s="2"/>
      <c r="L80" s="2"/>
      <c r="M80" s="2"/>
      <c r="N80" s="2"/>
      <c r="O80" s="2" t="str">
        <f t="shared" si="2"/>
        <v>PASS</v>
      </c>
    </row>
    <row r="81" spans="1:15">
      <c r="A81" s="2"/>
      <c r="B81" s="2"/>
      <c r="C81" s="2"/>
      <c r="D81" s="2"/>
      <c r="E81" s="2"/>
      <c r="F81" s="2"/>
      <c r="G81" s="2"/>
      <c r="H81" s="2"/>
      <c r="I81" s="2"/>
      <c r="J81" s="2"/>
      <c r="K81" s="2"/>
      <c r="L81" s="2"/>
      <c r="M81" s="2"/>
      <c r="N81" s="2"/>
      <c r="O81" s="2" t="str">
        <f t="shared" si="2"/>
        <v>PASS</v>
      </c>
    </row>
    <row r="82" spans="1:15">
      <c r="A82" s="2"/>
      <c r="B82" s="2"/>
      <c r="C82" s="2"/>
      <c r="D82" s="2"/>
      <c r="E82" s="2"/>
      <c r="F82" s="2"/>
      <c r="G82" s="2"/>
      <c r="H82" s="2"/>
      <c r="I82" s="2"/>
      <c r="J82" s="2"/>
      <c r="K82" s="2"/>
      <c r="L82" s="2"/>
      <c r="M82" s="2"/>
      <c r="N82" s="2"/>
      <c r="O82" s="2" t="str">
        <f t="shared" si="2"/>
        <v>PASS</v>
      </c>
    </row>
    <row r="83" spans="1:15">
      <c r="A83" s="2"/>
      <c r="B83" s="2"/>
      <c r="C83" s="2"/>
      <c r="D83" s="2"/>
      <c r="E83" s="2"/>
      <c r="F83" s="2"/>
      <c r="G83" s="2"/>
      <c r="H83" s="2"/>
      <c r="I83" s="2"/>
      <c r="J83" s="2"/>
      <c r="K83" s="2"/>
      <c r="L83" s="2"/>
      <c r="M83" s="2"/>
      <c r="N83" s="2"/>
      <c r="O83" s="2" t="str">
        <f t="shared" si="2"/>
        <v>PASS</v>
      </c>
    </row>
    <row r="84" spans="1:15">
      <c r="A84" s="2"/>
      <c r="B84" s="2"/>
      <c r="C84" s="2"/>
      <c r="D84" s="2"/>
      <c r="E84" s="2"/>
      <c r="F84" s="2"/>
      <c r="G84" s="2"/>
      <c r="H84" s="2"/>
      <c r="I84" s="2"/>
      <c r="J84" s="2"/>
      <c r="K84" s="2"/>
      <c r="L84" s="2"/>
      <c r="M84" s="2"/>
      <c r="N84" s="2"/>
      <c r="O84" s="2" t="str">
        <f t="shared" si="2"/>
        <v>PASS</v>
      </c>
    </row>
    <row r="85" spans="1:15">
      <c r="A85" s="2"/>
      <c r="B85" s="2"/>
      <c r="C85" s="2"/>
      <c r="D85" s="2"/>
      <c r="E85" s="2"/>
      <c r="F85" s="2"/>
      <c r="G85" s="2"/>
      <c r="H85" s="2"/>
      <c r="I85" s="2"/>
      <c r="J85" s="2"/>
      <c r="K85" s="2"/>
      <c r="L85" s="2"/>
      <c r="M85" s="2"/>
      <c r="N85" s="2"/>
      <c r="O85" s="2" t="str">
        <f t="shared" si="2"/>
        <v>PASS</v>
      </c>
    </row>
    <row r="86" spans="1:15">
      <c r="A86" s="2"/>
      <c r="B86" s="2"/>
      <c r="C86" s="2"/>
      <c r="D86" s="2"/>
      <c r="E86" s="2"/>
      <c r="F86" s="2"/>
      <c r="G86" s="2"/>
      <c r="H86" s="2"/>
      <c r="I86" s="2"/>
      <c r="J86" s="2"/>
      <c r="K86" s="2"/>
      <c r="L86" s="2"/>
      <c r="M86" s="2"/>
      <c r="N86" s="2"/>
      <c r="O86" s="2" t="str">
        <f t="shared" si="2"/>
        <v>PASS</v>
      </c>
    </row>
    <row r="87" spans="1:15">
      <c r="A87" s="2"/>
      <c r="B87" s="2"/>
      <c r="C87" s="2"/>
      <c r="D87" s="2"/>
      <c r="E87" s="2"/>
      <c r="F87" s="2"/>
      <c r="G87" s="2"/>
      <c r="H87" s="2"/>
      <c r="I87" s="2"/>
      <c r="J87" s="2"/>
      <c r="K87" s="2"/>
      <c r="L87" s="2"/>
      <c r="M87" s="2"/>
      <c r="N87" s="2"/>
      <c r="O87" s="2" t="str">
        <f t="shared" si="2"/>
        <v>PASS</v>
      </c>
    </row>
    <row r="88" spans="1:15">
      <c r="A88" s="2"/>
      <c r="B88" s="2"/>
      <c r="C88" s="2"/>
      <c r="D88" s="2"/>
      <c r="E88" s="2"/>
      <c r="F88" s="2"/>
      <c r="G88" s="2"/>
      <c r="H88" s="2"/>
      <c r="I88" s="2"/>
      <c r="J88" s="2"/>
      <c r="K88" s="2"/>
      <c r="L88" s="2"/>
      <c r="M88" s="2"/>
      <c r="N88" s="2"/>
      <c r="O88" s="2" t="str">
        <f t="shared" si="2"/>
        <v>PASS</v>
      </c>
    </row>
    <row r="89" spans="1:15">
      <c r="A89" s="2"/>
      <c r="B89" s="2"/>
      <c r="C89" s="2"/>
      <c r="D89" s="2"/>
      <c r="E89" s="2"/>
      <c r="F89" s="2"/>
      <c r="G89" s="2"/>
      <c r="H89" s="2"/>
      <c r="I89" s="2"/>
      <c r="J89" s="2"/>
      <c r="K89" s="2"/>
      <c r="L89" s="2"/>
      <c r="M89" s="2"/>
      <c r="N89" s="2"/>
      <c r="O89" s="2" t="str">
        <f t="shared" si="2"/>
        <v>PASS</v>
      </c>
    </row>
    <row r="90" spans="1:15">
      <c r="A90" s="2"/>
      <c r="B90" s="2"/>
      <c r="C90" s="2"/>
      <c r="D90" s="2"/>
      <c r="E90" s="2"/>
      <c r="F90" s="2"/>
      <c r="G90" s="2"/>
      <c r="H90" s="2"/>
      <c r="I90" s="2"/>
      <c r="J90" s="2"/>
      <c r="K90" s="2"/>
      <c r="L90" s="2"/>
      <c r="M90" s="2"/>
      <c r="N90" s="2"/>
      <c r="O90" s="2" t="str">
        <f t="shared" si="2"/>
        <v>PASS</v>
      </c>
    </row>
    <row r="91" spans="1:15">
      <c r="A91" s="2"/>
      <c r="B91" s="2"/>
      <c r="C91" s="2"/>
      <c r="D91" s="2"/>
      <c r="E91" s="2"/>
      <c r="F91" s="2"/>
      <c r="G91" s="2"/>
      <c r="H91" s="2"/>
      <c r="I91" s="2"/>
      <c r="J91" s="2"/>
      <c r="K91" s="2"/>
      <c r="L91" s="2"/>
      <c r="M91" s="2"/>
      <c r="N91" s="2"/>
      <c r="O91" s="2" t="str">
        <f t="shared" si="2"/>
        <v>PASS</v>
      </c>
    </row>
    <row r="92" spans="1:15">
      <c r="A92" s="2"/>
      <c r="B92" s="2"/>
      <c r="C92" s="2"/>
      <c r="D92" s="2"/>
      <c r="E92" s="2"/>
      <c r="F92" s="2"/>
      <c r="G92" s="2"/>
      <c r="H92" s="2"/>
      <c r="I92" s="2"/>
      <c r="J92" s="2"/>
      <c r="K92" s="2"/>
      <c r="L92" s="2"/>
      <c r="M92" s="2"/>
      <c r="N92" s="2"/>
      <c r="O92" s="2" t="str">
        <f t="shared" si="2"/>
        <v>PASS</v>
      </c>
    </row>
    <row r="93" spans="1:15">
      <c r="A93" s="2"/>
      <c r="B93" s="2"/>
      <c r="C93" s="2"/>
      <c r="D93" s="2"/>
      <c r="E93" s="2"/>
      <c r="F93" s="2"/>
      <c r="G93" s="2"/>
      <c r="H93" s="2"/>
      <c r="I93" s="2"/>
      <c r="J93" s="2"/>
      <c r="K93" s="2"/>
      <c r="L93" s="2"/>
      <c r="M93" s="2"/>
      <c r="N93" s="2"/>
      <c r="O93" s="2" t="str">
        <f t="shared" si="2"/>
        <v>PASS</v>
      </c>
    </row>
    <row r="94" spans="1:15">
      <c r="A94" s="2"/>
      <c r="B94" s="2"/>
      <c r="C94" s="2"/>
      <c r="D94" s="2"/>
      <c r="E94" s="2"/>
      <c r="F94" s="2"/>
      <c r="G94" s="2"/>
      <c r="H94" s="2"/>
      <c r="I94" s="2"/>
      <c r="J94" s="2"/>
      <c r="K94" s="2"/>
      <c r="L94" s="2"/>
      <c r="M94" s="2"/>
      <c r="N94" s="2"/>
      <c r="O94" s="2" t="str">
        <f t="shared" si="2"/>
        <v>PASS</v>
      </c>
    </row>
    <row r="95" spans="1:15">
      <c r="A95" s="2"/>
      <c r="B95" s="2"/>
      <c r="C95" s="2"/>
      <c r="D95" s="2"/>
      <c r="E95" s="2"/>
      <c r="F95" s="2"/>
      <c r="G95" s="2"/>
      <c r="H95" s="2"/>
      <c r="I95" s="2"/>
      <c r="J95" s="2"/>
      <c r="K95" s="2"/>
      <c r="L95" s="2"/>
      <c r="M95" s="2"/>
      <c r="N95" s="2"/>
      <c r="O95" s="2" t="str">
        <f t="shared" si="2"/>
        <v>PASS</v>
      </c>
    </row>
    <row r="96" spans="1:15">
      <c r="A96" s="2"/>
      <c r="B96" s="2"/>
      <c r="C96" s="2"/>
      <c r="D96" s="2"/>
      <c r="E96" s="2"/>
      <c r="F96" s="2"/>
      <c r="G96" s="2"/>
      <c r="H96" s="2"/>
      <c r="I96" s="2"/>
      <c r="J96" s="2"/>
      <c r="K96" s="2"/>
      <c r="L96" s="2"/>
      <c r="M96" s="2"/>
      <c r="N96" s="2"/>
      <c r="O96" s="2" t="str">
        <f t="shared" si="2"/>
        <v>PASS</v>
      </c>
    </row>
    <row r="97" spans="1:15">
      <c r="A97" s="2"/>
      <c r="B97" s="2"/>
      <c r="C97" s="2"/>
      <c r="D97" s="2"/>
      <c r="E97" s="2"/>
      <c r="F97" s="2"/>
      <c r="G97" s="2"/>
      <c r="H97" s="2"/>
      <c r="I97" s="2"/>
      <c r="J97" s="2"/>
      <c r="K97" s="2"/>
      <c r="L97" s="2"/>
      <c r="M97" s="2"/>
      <c r="N97" s="2"/>
      <c r="O97" s="2" t="str">
        <f t="shared" si="2"/>
        <v>PASS</v>
      </c>
    </row>
    <row r="98" spans="1:15">
      <c r="A98" s="2"/>
      <c r="B98" s="2"/>
      <c r="C98" s="2"/>
      <c r="D98" s="2"/>
      <c r="E98" s="2"/>
      <c r="F98" s="2"/>
      <c r="G98" s="2"/>
      <c r="H98" s="2"/>
      <c r="I98" s="2"/>
      <c r="J98" s="2"/>
      <c r="K98" s="2"/>
      <c r="L98" s="2"/>
      <c r="M98" s="2"/>
      <c r="N98" s="2"/>
      <c r="O98" s="2" t="str">
        <f t="shared" si="2"/>
        <v>PASS</v>
      </c>
    </row>
    <row r="99" spans="1:15">
      <c r="A99" s="2"/>
      <c r="B99" s="2"/>
      <c r="C99" s="2"/>
      <c r="D99" s="2"/>
      <c r="E99" s="2"/>
      <c r="F99" s="2"/>
      <c r="G99" s="2"/>
      <c r="H99" s="2"/>
      <c r="I99" s="2"/>
      <c r="J99" s="2"/>
      <c r="K99" s="2"/>
      <c r="L99" s="2"/>
      <c r="M99" s="2"/>
      <c r="N99" s="2"/>
      <c r="O99" s="2" t="str">
        <f t="shared" si="2"/>
        <v>PASS</v>
      </c>
    </row>
    <row r="100" spans="1:15">
      <c r="A100" s="2"/>
      <c r="B100" s="2"/>
      <c r="C100" s="2"/>
      <c r="D100" s="2"/>
      <c r="E100" s="2"/>
      <c r="F100" s="2"/>
      <c r="G100" s="2"/>
      <c r="H100" s="2"/>
      <c r="I100" s="2"/>
      <c r="J100" s="2"/>
      <c r="K100" s="2"/>
      <c r="L100" s="2"/>
      <c r="M100" s="2"/>
      <c r="N100" s="2"/>
      <c r="O100" s="2" t="str">
        <f t="shared" si="2"/>
        <v>PASS</v>
      </c>
    </row>
    <row r="101" spans="1:15">
      <c r="A101" s="2"/>
      <c r="B101" s="2"/>
      <c r="C101" s="2"/>
      <c r="D101" s="2"/>
      <c r="E101" s="2"/>
      <c r="F101" s="2"/>
      <c r="G101" s="2"/>
      <c r="H101" s="2"/>
      <c r="I101" s="2"/>
      <c r="J101" s="2"/>
      <c r="K101" s="2"/>
      <c r="L101" s="2"/>
      <c r="M101" s="2"/>
      <c r="N101" s="2"/>
      <c r="O101" s="2" t="str">
        <f t="shared" si="2"/>
        <v>PASS</v>
      </c>
    </row>
    <row r="102" spans="1:15">
      <c r="A102" s="2"/>
      <c r="B102" s="2"/>
      <c r="C102" s="2"/>
      <c r="D102" s="2"/>
      <c r="E102" s="2"/>
      <c r="F102" s="2"/>
      <c r="G102" s="2"/>
      <c r="H102" s="2"/>
      <c r="I102" s="2"/>
      <c r="J102" s="2"/>
      <c r="K102" s="2"/>
      <c r="L102" s="2"/>
      <c r="M102" s="2"/>
      <c r="N102" s="2"/>
      <c r="O102" s="2" t="str">
        <f t="shared" si="2"/>
        <v>PASS</v>
      </c>
    </row>
    <row r="103" spans="1:15">
      <c r="A103" s="2"/>
      <c r="B103" s="2"/>
      <c r="C103" s="2"/>
      <c r="D103" s="2"/>
      <c r="E103" s="2"/>
      <c r="F103" s="2"/>
      <c r="G103" s="2"/>
      <c r="H103" s="2"/>
      <c r="I103" s="2"/>
      <c r="J103" s="2"/>
      <c r="K103" s="2"/>
      <c r="L103" s="2"/>
      <c r="M103" s="2"/>
      <c r="N103" s="2"/>
      <c r="O103" s="2" t="str">
        <f t="shared" si="2"/>
        <v>PASS</v>
      </c>
    </row>
    <row r="104" spans="1:15">
      <c r="A104" s="2"/>
      <c r="B104" s="2"/>
      <c r="C104" s="2"/>
      <c r="D104" s="2"/>
      <c r="E104" s="2"/>
      <c r="F104" s="2"/>
      <c r="G104" s="2"/>
      <c r="H104" s="2"/>
      <c r="I104" s="2"/>
      <c r="J104" s="2"/>
      <c r="K104" s="2"/>
      <c r="L104" s="2"/>
      <c r="M104" s="2"/>
      <c r="N104" s="2"/>
      <c r="O104" s="2" t="str">
        <f t="shared" si="2"/>
        <v>PASS</v>
      </c>
    </row>
    <row r="105" spans="1:15">
      <c r="A105" s="2"/>
      <c r="B105" s="2"/>
      <c r="C105" s="2"/>
      <c r="D105" s="2"/>
      <c r="E105" s="2"/>
      <c r="F105" s="2"/>
      <c r="G105" s="2"/>
      <c r="H105" s="2"/>
      <c r="I105" s="2"/>
      <c r="J105" s="2"/>
      <c r="K105" s="2"/>
      <c r="L105" s="2"/>
      <c r="M105" s="2"/>
      <c r="N105" s="2"/>
      <c r="O105" s="2" t="str">
        <f t="shared" si="2"/>
        <v>PASS</v>
      </c>
    </row>
    <row r="106" spans="1:15">
      <c r="A106" s="2"/>
      <c r="B106" s="2"/>
      <c r="C106" s="2"/>
      <c r="D106" s="2"/>
      <c r="E106" s="2"/>
      <c r="F106" s="2"/>
      <c r="G106" s="2"/>
      <c r="H106" s="2"/>
      <c r="I106" s="2"/>
      <c r="J106" s="2"/>
      <c r="K106" s="2"/>
      <c r="L106" s="2"/>
      <c r="M106" s="2"/>
      <c r="N106" s="2"/>
      <c r="O106" s="2" t="str">
        <f t="shared" si="2"/>
        <v>PASS</v>
      </c>
    </row>
    <row r="107" spans="1:15">
      <c r="A107" s="2"/>
      <c r="B107" s="2"/>
      <c r="C107" s="2"/>
      <c r="D107" s="2"/>
      <c r="E107" s="2"/>
      <c r="F107" s="2"/>
      <c r="G107" s="2"/>
      <c r="H107" s="2"/>
      <c r="I107" s="2"/>
      <c r="J107" s="2"/>
      <c r="K107" s="2"/>
      <c r="L107" s="2"/>
      <c r="M107" s="2"/>
      <c r="N107" s="2"/>
      <c r="O107" s="2" t="str">
        <f t="shared" si="2"/>
        <v>PASS</v>
      </c>
    </row>
    <row r="108" spans="1:15">
      <c r="A108" s="2"/>
      <c r="B108" s="2"/>
      <c r="C108" s="2"/>
      <c r="D108" s="2"/>
      <c r="E108" s="2"/>
      <c r="F108" s="2"/>
      <c r="G108" s="2"/>
      <c r="H108" s="2"/>
      <c r="I108" s="2"/>
      <c r="J108" s="2"/>
      <c r="K108" s="2"/>
      <c r="L108" s="2"/>
      <c r="M108" s="2"/>
      <c r="N108" s="2"/>
      <c r="O108" s="2" t="str">
        <f t="shared" si="2"/>
        <v>PASS</v>
      </c>
    </row>
    <row r="109" spans="1:15">
      <c r="A109" s="2"/>
      <c r="B109" s="2"/>
      <c r="C109" s="2"/>
      <c r="D109" s="2"/>
      <c r="E109" s="2"/>
      <c r="F109" s="2"/>
      <c r="G109" s="2"/>
      <c r="H109" s="2"/>
      <c r="I109" s="2"/>
      <c r="J109" s="2"/>
      <c r="K109" s="2"/>
      <c r="L109" s="2"/>
      <c r="M109" s="2"/>
      <c r="N109" s="2"/>
      <c r="O109" s="2" t="str">
        <f t="shared" si="2"/>
        <v>PASS</v>
      </c>
    </row>
    <row r="110" spans="1:15">
      <c r="A110" s="2"/>
      <c r="B110" s="2"/>
      <c r="C110" s="2"/>
      <c r="D110" s="2"/>
      <c r="E110" s="2"/>
      <c r="F110" s="2"/>
      <c r="G110" s="2"/>
      <c r="H110" s="2"/>
      <c r="I110" s="2"/>
      <c r="J110" s="2"/>
      <c r="K110" s="2"/>
      <c r="L110" s="2"/>
      <c r="M110" s="2"/>
      <c r="N110" s="2"/>
      <c r="O110" s="2" t="str">
        <f t="shared" si="2"/>
        <v>PASS</v>
      </c>
    </row>
    <row r="111" spans="1:15">
      <c r="A111" s="2"/>
      <c r="B111" s="2"/>
      <c r="C111" s="2"/>
      <c r="D111" s="2"/>
      <c r="E111" s="2"/>
      <c r="F111" s="2"/>
      <c r="G111" s="2"/>
      <c r="H111" s="2"/>
      <c r="I111" s="2"/>
      <c r="J111" s="2"/>
      <c r="K111" s="2"/>
      <c r="L111" s="2"/>
      <c r="M111" s="2"/>
      <c r="N111" s="2"/>
      <c r="O111" s="2" t="str">
        <f t="shared" si="2"/>
        <v>PASS</v>
      </c>
    </row>
    <row r="112" spans="1:15">
      <c r="A112" s="2"/>
      <c r="B112" s="2"/>
      <c r="C112" s="2"/>
      <c r="D112" s="2"/>
      <c r="E112" s="2"/>
      <c r="F112" s="2"/>
      <c r="G112" s="2"/>
      <c r="H112" s="2"/>
      <c r="I112" s="2"/>
      <c r="J112" s="2"/>
      <c r="K112" s="2"/>
      <c r="L112" s="2"/>
      <c r="M112" s="2"/>
      <c r="N112" s="2"/>
      <c r="O112" s="2" t="str">
        <f t="shared" si="2"/>
        <v>PASS</v>
      </c>
    </row>
    <row r="113" spans="1:15">
      <c r="A113" s="2"/>
      <c r="B113" s="2"/>
      <c r="C113" s="2"/>
      <c r="D113" s="2"/>
      <c r="E113" s="2"/>
      <c r="F113" s="2"/>
      <c r="G113" s="2"/>
      <c r="H113" s="2"/>
      <c r="I113" s="2"/>
      <c r="J113" s="2"/>
      <c r="K113" s="2"/>
      <c r="L113" s="2"/>
      <c r="M113" s="2"/>
      <c r="N113" s="2"/>
      <c r="O113" s="2" t="str">
        <f t="shared" si="2"/>
        <v>PASS</v>
      </c>
    </row>
  </sheetData>
  <mergeCells count="2">
    <mergeCell ref="A1:O1"/>
    <mergeCell ref="A2:O2"/>
  </mergeCells>
  <dataValidations count="2">
    <dataValidation type="list" sqref="B7" xr:uid="{00000000-0002-0000-1E00-000000000000}">
      <formula1>"Yes,No"</formula1>
    </dataValidation>
    <dataValidation type="list" sqref="F14:M113" xr:uid="{00000000-0002-0000-1E00-000001000000}">
      <formula1>"Yes,No,N/A"</formula1>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K141"/>
  <sheetViews>
    <sheetView workbookViewId="0"/>
  </sheetViews>
  <sheetFormatPr defaultRowHeight="14"/>
  <cols>
    <col min="1" max="5" width="28" customWidth="1"/>
    <col min="8" max="25" width="15" customWidth="1"/>
    <col min="26" max="35" width="20" customWidth="1"/>
  </cols>
  <sheetData>
    <row r="1" spans="1:35" ht="20">
      <c r="A1" s="6" t="s">
        <v>359</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ht="14.5">
      <c r="A2" s="8" t="s">
        <v>106</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row>
    <row r="4" spans="1:35">
      <c r="A4" s="3" t="s">
        <v>107</v>
      </c>
      <c r="B4" t="s">
        <v>360</v>
      </c>
      <c r="D4" s="9" t="s">
        <v>109</v>
      </c>
      <c r="E4" s="9"/>
      <c r="F4" s="9"/>
      <c r="G4" s="9"/>
      <c r="H4" s="9"/>
    </row>
    <row r="5" spans="1:35" ht="28">
      <c r="A5" s="3" t="s">
        <v>110</v>
      </c>
      <c r="D5" s="4" t="s">
        <v>6</v>
      </c>
      <c r="E5" s="4" t="s">
        <v>111</v>
      </c>
      <c r="F5" s="4"/>
      <c r="G5" s="4"/>
      <c r="H5" s="4"/>
    </row>
    <row r="6" spans="1:35" ht="42">
      <c r="A6" s="3" t="s">
        <v>112</v>
      </c>
      <c r="D6" s="4" t="s">
        <v>12</v>
      </c>
      <c r="E6" s="4" t="s">
        <v>113</v>
      </c>
      <c r="F6" s="4"/>
      <c r="G6" s="4"/>
      <c r="H6" s="4"/>
    </row>
    <row r="7" spans="1:35" ht="42">
      <c r="A7" s="3" t="s">
        <v>114</v>
      </c>
      <c r="D7" s="4" t="s">
        <v>18</v>
      </c>
      <c r="E7" s="4" t="s">
        <v>115</v>
      </c>
      <c r="F7" s="4"/>
      <c r="G7" s="4"/>
      <c r="H7" s="4"/>
    </row>
    <row r="8" spans="1:35" ht="42">
      <c r="A8" s="3" t="s">
        <v>116</v>
      </c>
      <c r="B8">
        <f>COUNTA(A18:A117)</f>
        <v>0</v>
      </c>
      <c r="D8" s="4" t="s">
        <v>23</v>
      </c>
      <c r="E8" s="4" t="s">
        <v>117</v>
      </c>
      <c r="F8" s="4"/>
      <c r="G8" s="4"/>
      <c r="H8" s="4"/>
    </row>
    <row r="9" spans="1:35">
      <c r="A9" s="3" t="s">
        <v>6</v>
      </c>
      <c r="B9">
        <f>COUNTIF(Z18:Z117,"Low")</f>
        <v>0</v>
      </c>
    </row>
    <row r="10" spans="1:35">
      <c r="A10" s="3" t="s">
        <v>12</v>
      </c>
      <c r="B10">
        <f>COUNTIF(Z18:Z117,"Medium")</f>
        <v>0</v>
      </c>
    </row>
    <row r="11" spans="1:35">
      <c r="A11" s="3" t="s">
        <v>18</v>
      </c>
      <c r="B11">
        <f>COUNTIF(Z18:Z117,"High")</f>
        <v>0</v>
      </c>
    </row>
    <row r="12" spans="1:35">
      <c r="A12" s="3" t="s">
        <v>23</v>
      </c>
      <c r="B12">
        <f>COUNTIF(Z18:Z117,"Very High")</f>
        <v>0</v>
      </c>
    </row>
    <row r="13" spans="1:35">
      <c r="A13" s="3" t="s">
        <v>118</v>
      </c>
      <c r="B13">
        <f>COUNTIF(AD18:AD117,"Yes")</f>
        <v>0</v>
      </c>
    </row>
    <row r="14" spans="1:35">
      <c r="A14" s="3" t="s">
        <v>119</v>
      </c>
    </row>
    <row r="17" spans="1:37" ht="28">
      <c r="A17" s="1" t="s">
        <v>120</v>
      </c>
      <c r="B17" s="1" t="s">
        <v>121</v>
      </c>
      <c r="C17" s="1" t="s">
        <v>2</v>
      </c>
      <c r="D17" s="1" t="s">
        <v>75</v>
      </c>
      <c r="E17" s="1" t="s">
        <v>122</v>
      </c>
      <c r="F17" s="1" t="s">
        <v>123</v>
      </c>
      <c r="G17" s="1" t="s">
        <v>110</v>
      </c>
      <c r="H17" s="1" t="s">
        <v>124</v>
      </c>
      <c r="I17" s="1" t="s">
        <v>125</v>
      </c>
      <c r="J17" s="1" t="s">
        <v>126</v>
      </c>
      <c r="K17" s="1" t="s">
        <v>127</v>
      </c>
      <c r="L17" s="1" t="s">
        <v>128</v>
      </c>
      <c r="M17" s="1" t="s">
        <v>129</v>
      </c>
      <c r="N17" s="1" t="s">
        <v>130</v>
      </c>
      <c r="O17" s="1" t="s">
        <v>131</v>
      </c>
      <c r="P17" s="1" t="s">
        <v>132</v>
      </c>
      <c r="Q17" s="1" t="s">
        <v>133</v>
      </c>
      <c r="R17" s="1" t="s">
        <v>134</v>
      </c>
      <c r="S17" s="1" t="s">
        <v>135</v>
      </c>
      <c r="T17" s="1" t="s">
        <v>136</v>
      </c>
      <c r="U17" s="1" t="s">
        <v>137</v>
      </c>
      <c r="V17" s="1" t="s">
        <v>138</v>
      </c>
      <c r="W17" s="1" t="s">
        <v>139</v>
      </c>
      <c r="X17" s="1" t="s">
        <v>140</v>
      </c>
      <c r="Y17" s="1" t="s">
        <v>141</v>
      </c>
      <c r="Z17" s="1" t="s">
        <v>142</v>
      </c>
      <c r="AA17" s="1" t="s">
        <v>143</v>
      </c>
      <c r="AB17" s="1" t="s">
        <v>144</v>
      </c>
      <c r="AC17" s="1" t="s">
        <v>3</v>
      </c>
      <c r="AD17" s="1" t="s">
        <v>145</v>
      </c>
      <c r="AE17" s="1" t="s">
        <v>146</v>
      </c>
      <c r="AF17" s="1" t="s">
        <v>147</v>
      </c>
      <c r="AG17" s="1" t="s">
        <v>148</v>
      </c>
      <c r="AH17" s="1" t="s">
        <v>149</v>
      </c>
      <c r="AI17" s="1" t="s">
        <v>150</v>
      </c>
      <c r="AJ17" t="s">
        <v>151</v>
      </c>
      <c r="AK17" t="s">
        <v>152</v>
      </c>
    </row>
    <row r="18" spans="1:37">
      <c r="A18" s="2"/>
      <c r="B18" s="2"/>
      <c r="C18" s="2"/>
      <c r="D18" s="2"/>
      <c r="E18" s="5"/>
      <c r="F18" s="2"/>
      <c r="G18" s="5"/>
      <c r="H18" s="2"/>
      <c r="I18" s="2"/>
      <c r="J18" s="2"/>
      <c r="K18" s="2"/>
      <c r="L18" s="2"/>
      <c r="M18" s="2"/>
      <c r="N18" s="2"/>
      <c r="O18" s="2"/>
      <c r="P18" s="2"/>
      <c r="Q18" s="2"/>
      <c r="R18" s="2"/>
      <c r="S18" s="2"/>
      <c r="T18" s="2"/>
      <c r="U18" s="2"/>
      <c r="V18" s="2"/>
      <c r="W18" s="2"/>
      <c r="X18" s="2"/>
      <c r="Y18" s="2"/>
      <c r="Z18" s="2" t="str">
        <f t="shared" ref="Z18:Z49" si="0">IF(COUNTA(H18:Y18)=0,"",IF(COUNTIF(H18:Y18,"Very High")&gt;0,"Very High",IF(COUNTIF(H18:Y18,"High")&gt;0,"High",IF(COUNTIF(H18:Y18,"Medium")&gt;0,"Medium","Low"))))</f>
        <v/>
      </c>
      <c r="AA18" s="2" t="str">
        <f t="shared" ref="AA18:AA49" si="1">IF(Z18="","",IF(Z18="Low","Routine planned support",IF(Z18="Medium","One staff support/supervision likely",IF(Z18="High","Two staff/review staffing and equipment","Manager review: multiple staff/specialist support"))))</f>
        <v/>
      </c>
      <c r="AB18" s="2" t="str">
        <f t="shared" ref="AB18:AB49" si="2">IF(Z18="","",IF(OR(Z18="High",Z18="Very High",W18="High",W18="Very High"),"Night staffing and evacuation review required","Routine night checks as per care plan"))</f>
        <v/>
      </c>
      <c r="AC18" s="2" t="str">
        <f t="shared" ref="AC18:AC49" si="3">IF(X18="Very High","Specialist PEEP / equipment",IF(OR(X18="High",Z18="High"),"Evacuation sheet/chair or wheelchair per PEEP",IF(OR(X18="Medium",Z18="Medium"),"Walking aid/wheelchair support per PEEP","Walks with direction")))</f>
        <v>Walks with direction</v>
      </c>
      <c r="AD18" s="2"/>
      <c r="AE18" s="5"/>
      <c r="AF18" s="2"/>
      <c r="AG18" s="2"/>
      <c r="AH18" s="2"/>
      <c r="AI18" s="2"/>
    </row>
    <row r="19" spans="1:37">
      <c r="A19" s="2"/>
      <c r="B19" s="2"/>
      <c r="C19" s="2"/>
      <c r="D19" s="2"/>
      <c r="E19" s="5"/>
      <c r="F19" s="2"/>
      <c r="G19" s="5"/>
      <c r="H19" s="2"/>
      <c r="I19" s="2"/>
      <c r="J19" s="2"/>
      <c r="K19" s="2"/>
      <c r="L19" s="2"/>
      <c r="M19" s="2"/>
      <c r="N19" s="2"/>
      <c r="O19" s="2"/>
      <c r="P19" s="2"/>
      <c r="Q19" s="2"/>
      <c r="R19" s="2"/>
      <c r="S19" s="2"/>
      <c r="T19" s="2"/>
      <c r="U19" s="2"/>
      <c r="V19" s="2"/>
      <c r="W19" s="2"/>
      <c r="X19" s="2"/>
      <c r="Y19" s="2"/>
      <c r="Z19" s="2" t="str">
        <f t="shared" si="0"/>
        <v/>
      </c>
      <c r="AA19" s="2" t="str">
        <f t="shared" si="1"/>
        <v/>
      </c>
      <c r="AB19" s="2" t="str">
        <f t="shared" si="2"/>
        <v/>
      </c>
      <c r="AC19" s="2" t="str">
        <f t="shared" si="3"/>
        <v>Walks with direction</v>
      </c>
      <c r="AD19" s="2"/>
      <c r="AE19" s="5"/>
      <c r="AF19" s="2"/>
      <c r="AG19" s="2"/>
      <c r="AH19" s="2"/>
      <c r="AI19" s="2"/>
    </row>
    <row r="20" spans="1:37">
      <c r="A20" s="2"/>
      <c r="B20" s="2"/>
      <c r="C20" s="2"/>
      <c r="D20" s="2"/>
      <c r="E20" s="5"/>
      <c r="F20" s="2"/>
      <c r="G20" s="5"/>
      <c r="H20" s="2"/>
      <c r="I20" s="2"/>
      <c r="J20" s="2"/>
      <c r="K20" s="2"/>
      <c r="L20" s="2"/>
      <c r="M20" s="2"/>
      <c r="N20" s="2"/>
      <c r="O20" s="2"/>
      <c r="P20" s="2"/>
      <c r="Q20" s="2"/>
      <c r="R20" s="2"/>
      <c r="S20" s="2"/>
      <c r="T20" s="2"/>
      <c r="U20" s="2"/>
      <c r="V20" s="2"/>
      <c r="W20" s="2"/>
      <c r="X20" s="2"/>
      <c r="Y20" s="2"/>
      <c r="Z20" s="2" t="str">
        <f t="shared" si="0"/>
        <v/>
      </c>
      <c r="AA20" s="2" t="str">
        <f t="shared" si="1"/>
        <v/>
      </c>
      <c r="AB20" s="2" t="str">
        <f t="shared" si="2"/>
        <v/>
      </c>
      <c r="AC20" s="2" t="str">
        <f t="shared" si="3"/>
        <v>Walks with direction</v>
      </c>
      <c r="AD20" s="2"/>
      <c r="AE20" s="5"/>
      <c r="AF20" s="2"/>
      <c r="AG20" s="2"/>
      <c r="AH20" s="2"/>
      <c r="AI20" s="2"/>
    </row>
    <row r="21" spans="1:37">
      <c r="A21" s="2"/>
      <c r="B21" s="2"/>
      <c r="C21" s="2"/>
      <c r="D21" s="2"/>
      <c r="E21" s="5"/>
      <c r="F21" s="2"/>
      <c r="G21" s="5"/>
      <c r="H21" s="2"/>
      <c r="I21" s="2"/>
      <c r="J21" s="2"/>
      <c r="K21" s="2"/>
      <c r="L21" s="2"/>
      <c r="M21" s="2"/>
      <c r="N21" s="2"/>
      <c r="O21" s="2"/>
      <c r="P21" s="2"/>
      <c r="Q21" s="2"/>
      <c r="R21" s="2"/>
      <c r="S21" s="2"/>
      <c r="T21" s="2"/>
      <c r="U21" s="2"/>
      <c r="V21" s="2"/>
      <c r="W21" s="2"/>
      <c r="X21" s="2"/>
      <c r="Y21" s="2"/>
      <c r="Z21" s="2" t="str">
        <f t="shared" si="0"/>
        <v/>
      </c>
      <c r="AA21" s="2" t="str">
        <f t="shared" si="1"/>
        <v/>
      </c>
      <c r="AB21" s="2" t="str">
        <f t="shared" si="2"/>
        <v/>
      </c>
      <c r="AC21" s="2" t="str">
        <f t="shared" si="3"/>
        <v>Walks with direction</v>
      </c>
      <c r="AD21" s="2"/>
      <c r="AE21" s="5"/>
      <c r="AF21" s="2"/>
      <c r="AG21" s="2"/>
      <c r="AH21" s="2"/>
      <c r="AI21" s="2"/>
    </row>
    <row r="22" spans="1:37">
      <c r="A22" s="2"/>
      <c r="B22" s="2"/>
      <c r="C22" s="2"/>
      <c r="D22" s="2"/>
      <c r="E22" s="5"/>
      <c r="F22" s="2"/>
      <c r="G22" s="5"/>
      <c r="H22" s="2"/>
      <c r="I22" s="2"/>
      <c r="J22" s="2"/>
      <c r="K22" s="2"/>
      <c r="L22" s="2"/>
      <c r="M22" s="2"/>
      <c r="N22" s="2"/>
      <c r="O22" s="2"/>
      <c r="P22" s="2"/>
      <c r="Q22" s="2"/>
      <c r="R22" s="2"/>
      <c r="S22" s="2"/>
      <c r="T22" s="2"/>
      <c r="U22" s="2"/>
      <c r="V22" s="2"/>
      <c r="W22" s="2"/>
      <c r="X22" s="2"/>
      <c r="Y22" s="2"/>
      <c r="Z22" s="2" t="str">
        <f t="shared" si="0"/>
        <v/>
      </c>
      <c r="AA22" s="2" t="str">
        <f t="shared" si="1"/>
        <v/>
      </c>
      <c r="AB22" s="2" t="str">
        <f t="shared" si="2"/>
        <v/>
      </c>
      <c r="AC22" s="2" t="str">
        <f t="shared" si="3"/>
        <v>Walks with direction</v>
      </c>
      <c r="AD22" s="2"/>
      <c r="AE22" s="5"/>
      <c r="AF22" s="2"/>
      <c r="AG22" s="2"/>
      <c r="AH22" s="2"/>
      <c r="AI22" s="2"/>
    </row>
    <row r="23" spans="1:37">
      <c r="A23" s="2"/>
      <c r="B23" s="2"/>
      <c r="C23" s="2"/>
      <c r="D23" s="2"/>
      <c r="E23" s="5"/>
      <c r="F23" s="2"/>
      <c r="G23" s="5"/>
      <c r="H23" s="2"/>
      <c r="I23" s="2"/>
      <c r="J23" s="2"/>
      <c r="K23" s="2"/>
      <c r="L23" s="2"/>
      <c r="M23" s="2"/>
      <c r="N23" s="2"/>
      <c r="O23" s="2"/>
      <c r="P23" s="2"/>
      <c r="Q23" s="2"/>
      <c r="R23" s="2"/>
      <c r="S23" s="2"/>
      <c r="T23" s="2"/>
      <c r="U23" s="2"/>
      <c r="V23" s="2"/>
      <c r="W23" s="2"/>
      <c r="X23" s="2"/>
      <c r="Y23" s="2"/>
      <c r="Z23" s="2" t="str">
        <f t="shared" si="0"/>
        <v/>
      </c>
      <c r="AA23" s="2" t="str">
        <f t="shared" si="1"/>
        <v/>
      </c>
      <c r="AB23" s="2" t="str">
        <f t="shared" si="2"/>
        <v/>
      </c>
      <c r="AC23" s="2" t="str">
        <f t="shared" si="3"/>
        <v>Walks with direction</v>
      </c>
      <c r="AD23" s="2"/>
      <c r="AE23" s="5"/>
      <c r="AF23" s="2"/>
      <c r="AG23" s="2"/>
      <c r="AH23" s="2"/>
      <c r="AI23" s="2"/>
    </row>
    <row r="24" spans="1:37">
      <c r="A24" s="2"/>
      <c r="B24" s="2"/>
      <c r="C24" s="2"/>
      <c r="D24" s="2"/>
      <c r="E24" s="5"/>
      <c r="F24" s="2"/>
      <c r="G24" s="5"/>
      <c r="H24" s="2"/>
      <c r="I24" s="2"/>
      <c r="J24" s="2"/>
      <c r="K24" s="2"/>
      <c r="L24" s="2"/>
      <c r="M24" s="2"/>
      <c r="N24" s="2"/>
      <c r="O24" s="2"/>
      <c r="P24" s="2"/>
      <c r="Q24" s="2"/>
      <c r="R24" s="2"/>
      <c r="S24" s="2"/>
      <c r="T24" s="2"/>
      <c r="U24" s="2"/>
      <c r="V24" s="2"/>
      <c r="W24" s="2"/>
      <c r="X24" s="2"/>
      <c r="Y24" s="2"/>
      <c r="Z24" s="2" t="str">
        <f t="shared" si="0"/>
        <v/>
      </c>
      <c r="AA24" s="2" t="str">
        <f t="shared" si="1"/>
        <v/>
      </c>
      <c r="AB24" s="2" t="str">
        <f t="shared" si="2"/>
        <v/>
      </c>
      <c r="AC24" s="2" t="str">
        <f t="shared" si="3"/>
        <v>Walks with direction</v>
      </c>
      <c r="AD24" s="2"/>
      <c r="AE24" s="5"/>
      <c r="AF24" s="2"/>
      <c r="AG24" s="2"/>
      <c r="AH24" s="2"/>
      <c r="AI24" s="2"/>
    </row>
    <row r="25" spans="1:37">
      <c r="A25" s="2"/>
      <c r="B25" s="2"/>
      <c r="C25" s="2"/>
      <c r="D25" s="2"/>
      <c r="E25" s="5"/>
      <c r="F25" s="2"/>
      <c r="G25" s="5"/>
      <c r="H25" s="2"/>
      <c r="I25" s="2"/>
      <c r="J25" s="2"/>
      <c r="K25" s="2"/>
      <c r="L25" s="2"/>
      <c r="M25" s="2"/>
      <c r="N25" s="2"/>
      <c r="O25" s="2"/>
      <c r="P25" s="2"/>
      <c r="Q25" s="2"/>
      <c r="R25" s="2"/>
      <c r="S25" s="2"/>
      <c r="T25" s="2"/>
      <c r="U25" s="2"/>
      <c r="V25" s="2"/>
      <c r="W25" s="2"/>
      <c r="X25" s="2"/>
      <c r="Y25" s="2"/>
      <c r="Z25" s="2" t="str">
        <f t="shared" si="0"/>
        <v/>
      </c>
      <c r="AA25" s="2" t="str">
        <f t="shared" si="1"/>
        <v/>
      </c>
      <c r="AB25" s="2" t="str">
        <f t="shared" si="2"/>
        <v/>
      </c>
      <c r="AC25" s="2" t="str">
        <f t="shared" si="3"/>
        <v>Walks with direction</v>
      </c>
      <c r="AD25" s="2"/>
      <c r="AE25" s="5"/>
      <c r="AF25" s="2"/>
      <c r="AG25" s="2"/>
      <c r="AH25" s="2"/>
      <c r="AI25" s="2"/>
    </row>
    <row r="26" spans="1:37">
      <c r="A26" s="2"/>
      <c r="B26" s="2"/>
      <c r="C26" s="2"/>
      <c r="D26" s="2"/>
      <c r="E26" s="5"/>
      <c r="F26" s="2"/>
      <c r="G26" s="5"/>
      <c r="H26" s="2"/>
      <c r="I26" s="2"/>
      <c r="J26" s="2"/>
      <c r="K26" s="2"/>
      <c r="L26" s="2"/>
      <c r="M26" s="2"/>
      <c r="N26" s="2"/>
      <c r="O26" s="2"/>
      <c r="P26" s="2"/>
      <c r="Q26" s="2"/>
      <c r="R26" s="2"/>
      <c r="S26" s="2"/>
      <c r="T26" s="2"/>
      <c r="U26" s="2"/>
      <c r="V26" s="2"/>
      <c r="W26" s="2"/>
      <c r="X26" s="2"/>
      <c r="Y26" s="2"/>
      <c r="Z26" s="2" t="str">
        <f t="shared" si="0"/>
        <v/>
      </c>
      <c r="AA26" s="2" t="str">
        <f t="shared" si="1"/>
        <v/>
      </c>
      <c r="AB26" s="2" t="str">
        <f t="shared" si="2"/>
        <v/>
      </c>
      <c r="AC26" s="2" t="str">
        <f t="shared" si="3"/>
        <v>Walks with direction</v>
      </c>
      <c r="AD26" s="2"/>
      <c r="AE26" s="5"/>
      <c r="AF26" s="2"/>
      <c r="AG26" s="2"/>
      <c r="AH26" s="2"/>
      <c r="AI26" s="2"/>
    </row>
    <row r="27" spans="1:37">
      <c r="A27" s="2"/>
      <c r="B27" s="2"/>
      <c r="C27" s="2"/>
      <c r="D27" s="2"/>
      <c r="E27" s="5"/>
      <c r="F27" s="2"/>
      <c r="G27" s="5"/>
      <c r="H27" s="2"/>
      <c r="I27" s="2"/>
      <c r="J27" s="2"/>
      <c r="K27" s="2"/>
      <c r="L27" s="2"/>
      <c r="M27" s="2"/>
      <c r="N27" s="2"/>
      <c r="O27" s="2"/>
      <c r="P27" s="2"/>
      <c r="Q27" s="2"/>
      <c r="R27" s="2"/>
      <c r="S27" s="2"/>
      <c r="T27" s="2"/>
      <c r="U27" s="2"/>
      <c r="V27" s="2"/>
      <c r="W27" s="2"/>
      <c r="X27" s="2"/>
      <c r="Y27" s="2"/>
      <c r="Z27" s="2" t="str">
        <f t="shared" si="0"/>
        <v/>
      </c>
      <c r="AA27" s="2" t="str">
        <f t="shared" si="1"/>
        <v/>
      </c>
      <c r="AB27" s="2" t="str">
        <f t="shared" si="2"/>
        <v/>
      </c>
      <c r="AC27" s="2" t="str">
        <f t="shared" si="3"/>
        <v>Walks with direction</v>
      </c>
      <c r="AD27" s="2"/>
      <c r="AE27" s="5"/>
      <c r="AF27" s="2"/>
      <c r="AG27" s="2"/>
      <c r="AH27" s="2"/>
      <c r="AI27" s="2"/>
    </row>
    <row r="28" spans="1:37">
      <c r="A28" s="2"/>
      <c r="B28" s="2"/>
      <c r="C28" s="2"/>
      <c r="D28" s="2"/>
      <c r="E28" s="5"/>
      <c r="F28" s="2"/>
      <c r="G28" s="5"/>
      <c r="H28" s="2"/>
      <c r="I28" s="2"/>
      <c r="J28" s="2"/>
      <c r="K28" s="2"/>
      <c r="L28" s="2"/>
      <c r="M28" s="2"/>
      <c r="N28" s="2"/>
      <c r="O28" s="2"/>
      <c r="P28" s="2"/>
      <c r="Q28" s="2"/>
      <c r="R28" s="2"/>
      <c r="S28" s="2"/>
      <c r="T28" s="2"/>
      <c r="U28" s="2"/>
      <c r="V28" s="2"/>
      <c r="W28" s="2"/>
      <c r="X28" s="2"/>
      <c r="Y28" s="2"/>
      <c r="Z28" s="2" t="str">
        <f t="shared" si="0"/>
        <v/>
      </c>
      <c r="AA28" s="2" t="str">
        <f t="shared" si="1"/>
        <v/>
      </c>
      <c r="AB28" s="2" t="str">
        <f t="shared" si="2"/>
        <v/>
      </c>
      <c r="AC28" s="2" t="str">
        <f t="shared" si="3"/>
        <v>Walks with direction</v>
      </c>
      <c r="AD28" s="2"/>
      <c r="AE28" s="5"/>
      <c r="AF28" s="2"/>
      <c r="AG28" s="2"/>
      <c r="AH28" s="2"/>
      <c r="AI28" s="2"/>
    </row>
    <row r="29" spans="1:37">
      <c r="A29" s="2"/>
      <c r="B29" s="2"/>
      <c r="C29" s="2"/>
      <c r="D29" s="2"/>
      <c r="E29" s="5"/>
      <c r="F29" s="2"/>
      <c r="G29" s="5"/>
      <c r="H29" s="2"/>
      <c r="I29" s="2"/>
      <c r="J29" s="2"/>
      <c r="K29" s="2"/>
      <c r="L29" s="2"/>
      <c r="M29" s="2"/>
      <c r="N29" s="2"/>
      <c r="O29" s="2"/>
      <c r="P29" s="2"/>
      <c r="Q29" s="2"/>
      <c r="R29" s="2"/>
      <c r="S29" s="2"/>
      <c r="T29" s="2"/>
      <c r="U29" s="2"/>
      <c r="V29" s="2"/>
      <c r="W29" s="2"/>
      <c r="X29" s="2"/>
      <c r="Y29" s="2"/>
      <c r="Z29" s="2" t="str">
        <f t="shared" si="0"/>
        <v/>
      </c>
      <c r="AA29" s="2" t="str">
        <f t="shared" si="1"/>
        <v/>
      </c>
      <c r="AB29" s="2" t="str">
        <f t="shared" si="2"/>
        <v/>
      </c>
      <c r="AC29" s="2" t="str">
        <f t="shared" si="3"/>
        <v>Walks with direction</v>
      </c>
      <c r="AD29" s="2"/>
      <c r="AE29" s="5"/>
      <c r="AF29" s="2"/>
      <c r="AG29" s="2"/>
      <c r="AH29" s="2"/>
      <c r="AI29" s="2"/>
    </row>
    <row r="30" spans="1:37">
      <c r="A30" s="2"/>
      <c r="B30" s="2"/>
      <c r="C30" s="2"/>
      <c r="D30" s="2"/>
      <c r="E30" s="5"/>
      <c r="F30" s="2"/>
      <c r="G30" s="5"/>
      <c r="H30" s="2"/>
      <c r="I30" s="2"/>
      <c r="J30" s="2"/>
      <c r="K30" s="2"/>
      <c r="L30" s="2"/>
      <c r="M30" s="2"/>
      <c r="N30" s="2"/>
      <c r="O30" s="2"/>
      <c r="P30" s="2"/>
      <c r="Q30" s="2"/>
      <c r="R30" s="2"/>
      <c r="S30" s="2"/>
      <c r="T30" s="2"/>
      <c r="U30" s="2"/>
      <c r="V30" s="2"/>
      <c r="W30" s="2"/>
      <c r="X30" s="2"/>
      <c r="Y30" s="2"/>
      <c r="Z30" s="2" t="str">
        <f t="shared" si="0"/>
        <v/>
      </c>
      <c r="AA30" s="2" t="str">
        <f t="shared" si="1"/>
        <v/>
      </c>
      <c r="AB30" s="2" t="str">
        <f t="shared" si="2"/>
        <v/>
      </c>
      <c r="AC30" s="2" t="str">
        <f t="shared" si="3"/>
        <v>Walks with direction</v>
      </c>
      <c r="AD30" s="2"/>
      <c r="AE30" s="5"/>
      <c r="AF30" s="2"/>
      <c r="AG30" s="2"/>
      <c r="AH30" s="2"/>
      <c r="AI30" s="2"/>
    </row>
    <row r="31" spans="1:37">
      <c r="A31" s="2"/>
      <c r="B31" s="2"/>
      <c r="C31" s="2"/>
      <c r="D31" s="2"/>
      <c r="E31" s="5"/>
      <c r="F31" s="2"/>
      <c r="G31" s="5"/>
      <c r="H31" s="2"/>
      <c r="I31" s="2"/>
      <c r="J31" s="2"/>
      <c r="K31" s="2"/>
      <c r="L31" s="2"/>
      <c r="M31" s="2"/>
      <c r="N31" s="2"/>
      <c r="O31" s="2"/>
      <c r="P31" s="2"/>
      <c r="Q31" s="2"/>
      <c r="R31" s="2"/>
      <c r="S31" s="2"/>
      <c r="T31" s="2"/>
      <c r="U31" s="2"/>
      <c r="V31" s="2"/>
      <c r="W31" s="2"/>
      <c r="X31" s="2"/>
      <c r="Y31" s="2"/>
      <c r="Z31" s="2" t="str">
        <f t="shared" si="0"/>
        <v/>
      </c>
      <c r="AA31" s="2" t="str">
        <f t="shared" si="1"/>
        <v/>
      </c>
      <c r="AB31" s="2" t="str">
        <f t="shared" si="2"/>
        <v/>
      </c>
      <c r="AC31" s="2" t="str">
        <f t="shared" si="3"/>
        <v>Walks with direction</v>
      </c>
      <c r="AD31" s="2"/>
      <c r="AE31" s="5"/>
      <c r="AF31" s="2"/>
      <c r="AG31" s="2"/>
      <c r="AH31" s="2"/>
      <c r="AI31" s="2"/>
    </row>
    <row r="32" spans="1:37">
      <c r="A32" s="2"/>
      <c r="B32" s="2"/>
      <c r="C32" s="2"/>
      <c r="D32" s="2"/>
      <c r="E32" s="5"/>
      <c r="F32" s="2"/>
      <c r="G32" s="5"/>
      <c r="H32" s="2"/>
      <c r="I32" s="2"/>
      <c r="J32" s="2"/>
      <c r="K32" s="2"/>
      <c r="L32" s="2"/>
      <c r="M32" s="2"/>
      <c r="N32" s="2"/>
      <c r="O32" s="2"/>
      <c r="P32" s="2"/>
      <c r="Q32" s="2"/>
      <c r="R32" s="2"/>
      <c r="S32" s="2"/>
      <c r="T32" s="2"/>
      <c r="U32" s="2"/>
      <c r="V32" s="2"/>
      <c r="W32" s="2"/>
      <c r="X32" s="2"/>
      <c r="Y32" s="2"/>
      <c r="Z32" s="2" t="str">
        <f t="shared" si="0"/>
        <v/>
      </c>
      <c r="AA32" s="2" t="str">
        <f t="shared" si="1"/>
        <v/>
      </c>
      <c r="AB32" s="2" t="str">
        <f t="shared" si="2"/>
        <v/>
      </c>
      <c r="AC32" s="2" t="str">
        <f t="shared" si="3"/>
        <v>Walks with direction</v>
      </c>
      <c r="AD32" s="2"/>
      <c r="AE32" s="5"/>
      <c r="AF32" s="2"/>
      <c r="AG32" s="2"/>
      <c r="AH32" s="2"/>
      <c r="AI32" s="2"/>
    </row>
    <row r="33" spans="1:35">
      <c r="A33" s="2"/>
      <c r="B33" s="2"/>
      <c r="C33" s="2"/>
      <c r="D33" s="2"/>
      <c r="E33" s="5"/>
      <c r="F33" s="2"/>
      <c r="G33" s="5"/>
      <c r="H33" s="2"/>
      <c r="I33" s="2"/>
      <c r="J33" s="2"/>
      <c r="K33" s="2"/>
      <c r="L33" s="2"/>
      <c r="M33" s="2"/>
      <c r="N33" s="2"/>
      <c r="O33" s="2"/>
      <c r="P33" s="2"/>
      <c r="Q33" s="2"/>
      <c r="R33" s="2"/>
      <c r="S33" s="2"/>
      <c r="T33" s="2"/>
      <c r="U33" s="2"/>
      <c r="V33" s="2"/>
      <c r="W33" s="2"/>
      <c r="X33" s="2"/>
      <c r="Y33" s="2"/>
      <c r="Z33" s="2" t="str">
        <f t="shared" si="0"/>
        <v/>
      </c>
      <c r="AA33" s="2" t="str">
        <f t="shared" si="1"/>
        <v/>
      </c>
      <c r="AB33" s="2" t="str">
        <f t="shared" si="2"/>
        <v/>
      </c>
      <c r="AC33" s="2" t="str">
        <f t="shared" si="3"/>
        <v>Walks with direction</v>
      </c>
      <c r="AD33" s="2"/>
      <c r="AE33" s="5"/>
      <c r="AF33" s="2"/>
      <c r="AG33" s="2"/>
      <c r="AH33" s="2"/>
      <c r="AI33" s="2"/>
    </row>
    <row r="34" spans="1:35">
      <c r="A34" s="2"/>
      <c r="B34" s="2"/>
      <c r="C34" s="2"/>
      <c r="D34" s="2"/>
      <c r="E34" s="5"/>
      <c r="F34" s="2"/>
      <c r="G34" s="5"/>
      <c r="H34" s="2"/>
      <c r="I34" s="2"/>
      <c r="J34" s="2"/>
      <c r="K34" s="2"/>
      <c r="L34" s="2"/>
      <c r="M34" s="2"/>
      <c r="N34" s="2"/>
      <c r="O34" s="2"/>
      <c r="P34" s="2"/>
      <c r="Q34" s="2"/>
      <c r="R34" s="2"/>
      <c r="S34" s="2"/>
      <c r="T34" s="2"/>
      <c r="U34" s="2"/>
      <c r="V34" s="2"/>
      <c r="W34" s="2"/>
      <c r="X34" s="2"/>
      <c r="Y34" s="2"/>
      <c r="Z34" s="2" t="str">
        <f t="shared" si="0"/>
        <v/>
      </c>
      <c r="AA34" s="2" t="str">
        <f t="shared" si="1"/>
        <v/>
      </c>
      <c r="AB34" s="2" t="str">
        <f t="shared" si="2"/>
        <v/>
      </c>
      <c r="AC34" s="2" t="str">
        <f t="shared" si="3"/>
        <v>Walks with direction</v>
      </c>
      <c r="AD34" s="2"/>
      <c r="AE34" s="5"/>
      <c r="AF34" s="2"/>
      <c r="AG34" s="2"/>
      <c r="AH34" s="2"/>
      <c r="AI34" s="2"/>
    </row>
    <row r="35" spans="1:35">
      <c r="A35" s="2"/>
      <c r="B35" s="2"/>
      <c r="C35" s="2"/>
      <c r="D35" s="2"/>
      <c r="E35" s="5"/>
      <c r="F35" s="2"/>
      <c r="G35" s="5"/>
      <c r="H35" s="2"/>
      <c r="I35" s="2"/>
      <c r="J35" s="2"/>
      <c r="K35" s="2"/>
      <c r="L35" s="2"/>
      <c r="M35" s="2"/>
      <c r="N35" s="2"/>
      <c r="O35" s="2"/>
      <c r="P35" s="2"/>
      <c r="Q35" s="2"/>
      <c r="R35" s="2"/>
      <c r="S35" s="2"/>
      <c r="T35" s="2"/>
      <c r="U35" s="2"/>
      <c r="V35" s="2"/>
      <c r="W35" s="2"/>
      <c r="X35" s="2"/>
      <c r="Y35" s="2"/>
      <c r="Z35" s="2" t="str">
        <f t="shared" si="0"/>
        <v/>
      </c>
      <c r="AA35" s="2" t="str">
        <f t="shared" si="1"/>
        <v/>
      </c>
      <c r="AB35" s="2" t="str">
        <f t="shared" si="2"/>
        <v/>
      </c>
      <c r="AC35" s="2" t="str">
        <f t="shared" si="3"/>
        <v>Walks with direction</v>
      </c>
      <c r="AD35" s="2"/>
      <c r="AE35" s="5"/>
      <c r="AF35" s="2"/>
      <c r="AG35" s="2"/>
      <c r="AH35" s="2"/>
      <c r="AI35" s="2"/>
    </row>
    <row r="36" spans="1:35">
      <c r="A36" s="2"/>
      <c r="B36" s="2"/>
      <c r="C36" s="2"/>
      <c r="D36" s="2"/>
      <c r="E36" s="5"/>
      <c r="F36" s="2"/>
      <c r="G36" s="5"/>
      <c r="H36" s="2"/>
      <c r="I36" s="2"/>
      <c r="J36" s="2"/>
      <c r="K36" s="2"/>
      <c r="L36" s="2"/>
      <c r="M36" s="2"/>
      <c r="N36" s="2"/>
      <c r="O36" s="2"/>
      <c r="P36" s="2"/>
      <c r="Q36" s="2"/>
      <c r="R36" s="2"/>
      <c r="S36" s="2"/>
      <c r="T36" s="2"/>
      <c r="U36" s="2"/>
      <c r="V36" s="2"/>
      <c r="W36" s="2"/>
      <c r="X36" s="2"/>
      <c r="Y36" s="2"/>
      <c r="Z36" s="2" t="str">
        <f t="shared" si="0"/>
        <v/>
      </c>
      <c r="AA36" s="2" t="str">
        <f t="shared" si="1"/>
        <v/>
      </c>
      <c r="AB36" s="2" t="str">
        <f t="shared" si="2"/>
        <v/>
      </c>
      <c r="AC36" s="2" t="str">
        <f t="shared" si="3"/>
        <v>Walks with direction</v>
      </c>
      <c r="AD36" s="2"/>
      <c r="AE36" s="5"/>
      <c r="AF36" s="2"/>
      <c r="AG36" s="2"/>
      <c r="AH36" s="2"/>
      <c r="AI36" s="2"/>
    </row>
    <row r="37" spans="1:35">
      <c r="A37" s="2"/>
      <c r="B37" s="2"/>
      <c r="C37" s="2"/>
      <c r="D37" s="2"/>
      <c r="E37" s="5"/>
      <c r="F37" s="2"/>
      <c r="G37" s="5"/>
      <c r="H37" s="2"/>
      <c r="I37" s="2"/>
      <c r="J37" s="2"/>
      <c r="K37" s="2"/>
      <c r="L37" s="2"/>
      <c r="M37" s="2"/>
      <c r="N37" s="2"/>
      <c r="O37" s="2"/>
      <c r="P37" s="2"/>
      <c r="Q37" s="2"/>
      <c r="R37" s="2"/>
      <c r="S37" s="2"/>
      <c r="T37" s="2"/>
      <c r="U37" s="2"/>
      <c r="V37" s="2"/>
      <c r="W37" s="2"/>
      <c r="X37" s="2"/>
      <c r="Y37" s="2"/>
      <c r="Z37" s="2" t="str">
        <f t="shared" si="0"/>
        <v/>
      </c>
      <c r="AA37" s="2" t="str">
        <f t="shared" si="1"/>
        <v/>
      </c>
      <c r="AB37" s="2" t="str">
        <f t="shared" si="2"/>
        <v/>
      </c>
      <c r="AC37" s="2" t="str">
        <f t="shared" si="3"/>
        <v>Walks with direction</v>
      </c>
      <c r="AD37" s="2"/>
      <c r="AE37" s="5"/>
      <c r="AF37" s="2"/>
      <c r="AG37" s="2"/>
      <c r="AH37" s="2"/>
      <c r="AI37" s="2"/>
    </row>
    <row r="38" spans="1:35">
      <c r="A38" s="2"/>
      <c r="B38" s="2"/>
      <c r="C38" s="2"/>
      <c r="D38" s="2"/>
      <c r="E38" s="5"/>
      <c r="F38" s="2"/>
      <c r="G38" s="5"/>
      <c r="H38" s="2"/>
      <c r="I38" s="2"/>
      <c r="J38" s="2"/>
      <c r="K38" s="2"/>
      <c r="L38" s="2"/>
      <c r="M38" s="2"/>
      <c r="N38" s="2"/>
      <c r="O38" s="2"/>
      <c r="P38" s="2"/>
      <c r="Q38" s="2"/>
      <c r="R38" s="2"/>
      <c r="S38" s="2"/>
      <c r="T38" s="2"/>
      <c r="U38" s="2"/>
      <c r="V38" s="2"/>
      <c r="W38" s="2"/>
      <c r="X38" s="2"/>
      <c r="Y38" s="2"/>
      <c r="Z38" s="2" t="str">
        <f t="shared" si="0"/>
        <v/>
      </c>
      <c r="AA38" s="2" t="str">
        <f t="shared" si="1"/>
        <v/>
      </c>
      <c r="AB38" s="2" t="str">
        <f t="shared" si="2"/>
        <v/>
      </c>
      <c r="AC38" s="2" t="str">
        <f t="shared" si="3"/>
        <v>Walks with direction</v>
      </c>
      <c r="AD38" s="2"/>
      <c r="AE38" s="5"/>
      <c r="AF38" s="2"/>
      <c r="AG38" s="2"/>
      <c r="AH38" s="2"/>
      <c r="AI38" s="2"/>
    </row>
    <row r="39" spans="1:35">
      <c r="A39" s="2"/>
      <c r="B39" s="2"/>
      <c r="C39" s="2"/>
      <c r="D39" s="2"/>
      <c r="E39" s="5"/>
      <c r="F39" s="2"/>
      <c r="G39" s="5"/>
      <c r="H39" s="2"/>
      <c r="I39" s="2"/>
      <c r="J39" s="2"/>
      <c r="K39" s="2"/>
      <c r="L39" s="2"/>
      <c r="M39" s="2"/>
      <c r="N39" s="2"/>
      <c r="O39" s="2"/>
      <c r="P39" s="2"/>
      <c r="Q39" s="2"/>
      <c r="R39" s="2"/>
      <c r="S39" s="2"/>
      <c r="T39" s="2"/>
      <c r="U39" s="2"/>
      <c r="V39" s="2"/>
      <c r="W39" s="2"/>
      <c r="X39" s="2"/>
      <c r="Y39" s="2"/>
      <c r="Z39" s="2" t="str">
        <f t="shared" si="0"/>
        <v/>
      </c>
      <c r="AA39" s="2" t="str">
        <f t="shared" si="1"/>
        <v/>
      </c>
      <c r="AB39" s="2" t="str">
        <f t="shared" si="2"/>
        <v/>
      </c>
      <c r="AC39" s="2" t="str">
        <f t="shared" si="3"/>
        <v>Walks with direction</v>
      </c>
      <c r="AD39" s="2"/>
      <c r="AE39" s="5"/>
      <c r="AF39" s="2"/>
      <c r="AG39" s="2"/>
      <c r="AH39" s="2"/>
      <c r="AI39" s="2"/>
    </row>
    <row r="40" spans="1:35">
      <c r="A40" s="2"/>
      <c r="B40" s="2"/>
      <c r="C40" s="2"/>
      <c r="D40" s="2"/>
      <c r="E40" s="5"/>
      <c r="F40" s="2"/>
      <c r="G40" s="5"/>
      <c r="H40" s="2"/>
      <c r="I40" s="2"/>
      <c r="J40" s="2"/>
      <c r="K40" s="2"/>
      <c r="L40" s="2"/>
      <c r="M40" s="2"/>
      <c r="N40" s="2"/>
      <c r="O40" s="2"/>
      <c r="P40" s="2"/>
      <c r="Q40" s="2"/>
      <c r="R40" s="2"/>
      <c r="S40" s="2"/>
      <c r="T40" s="2"/>
      <c r="U40" s="2"/>
      <c r="V40" s="2"/>
      <c r="W40" s="2"/>
      <c r="X40" s="2"/>
      <c r="Y40" s="2"/>
      <c r="Z40" s="2" t="str">
        <f t="shared" si="0"/>
        <v/>
      </c>
      <c r="AA40" s="2" t="str">
        <f t="shared" si="1"/>
        <v/>
      </c>
      <c r="AB40" s="2" t="str">
        <f t="shared" si="2"/>
        <v/>
      </c>
      <c r="AC40" s="2" t="str">
        <f t="shared" si="3"/>
        <v>Walks with direction</v>
      </c>
      <c r="AD40" s="2"/>
      <c r="AE40" s="5"/>
      <c r="AF40" s="2"/>
      <c r="AG40" s="2"/>
      <c r="AH40" s="2"/>
      <c r="AI40" s="2"/>
    </row>
    <row r="41" spans="1:35">
      <c r="A41" s="2"/>
      <c r="B41" s="2"/>
      <c r="C41" s="2"/>
      <c r="D41" s="2"/>
      <c r="E41" s="5"/>
      <c r="F41" s="2"/>
      <c r="G41" s="5"/>
      <c r="H41" s="2"/>
      <c r="I41" s="2"/>
      <c r="J41" s="2"/>
      <c r="K41" s="2"/>
      <c r="L41" s="2"/>
      <c r="M41" s="2"/>
      <c r="N41" s="2"/>
      <c r="O41" s="2"/>
      <c r="P41" s="2"/>
      <c r="Q41" s="2"/>
      <c r="R41" s="2"/>
      <c r="S41" s="2"/>
      <c r="T41" s="2"/>
      <c r="U41" s="2"/>
      <c r="V41" s="2"/>
      <c r="W41" s="2"/>
      <c r="X41" s="2"/>
      <c r="Y41" s="2"/>
      <c r="Z41" s="2" t="str">
        <f t="shared" si="0"/>
        <v/>
      </c>
      <c r="AA41" s="2" t="str">
        <f t="shared" si="1"/>
        <v/>
      </c>
      <c r="AB41" s="2" t="str">
        <f t="shared" si="2"/>
        <v/>
      </c>
      <c r="AC41" s="2" t="str">
        <f t="shared" si="3"/>
        <v>Walks with direction</v>
      </c>
      <c r="AD41" s="2"/>
      <c r="AE41" s="5"/>
      <c r="AF41" s="2"/>
      <c r="AG41" s="2"/>
      <c r="AH41" s="2"/>
      <c r="AI41" s="2"/>
    </row>
    <row r="42" spans="1:35">
      <c r="A42" s="2"/>
      <c r="B42" s="2"/>
      <c r="C42" s="2"/>
      <c r="D42" s="2"/>
      <c r="E42" s="5"/>
      <c r="F42" s="2"/>
      <c r="G42" s="5"/>
      <c r="H42" s="2"/>
      <c r="I42" s="2"/>
      <c r="J42" s="2"/>
      <c r="K42" s="2"/>
      <c r="L42" s="2"/>
      <c r="M42" s="2"/>
      <c r="N42" s="2"/>
      <c r="O42" s="2"/>
      <c r="P42" s="2"/>
      <c r="Q42" s="2"/>
      <c r="R42" s="2"/>
      <c r="S42" s="2"/>
      <c r="T42" s="2"/>
      <c r="U42" s="2"/>
      <c r="V42" s="2"/>
      <c r="W42" s="2"/>
      <c r="X42" s="2"/>
      <c r="Y42" s="2"/>
      <c r="Z42" s="2" t="str">
        <f t="shared" si="0"/>
        <v/>
      </c>
      <c r="AA42" s="2" t="str">
        <f t="shared" si="1"/>
        <v/>
      </c>
      <c r="AB42" s="2" t="str">
        <f t="shared" si="2"/>
        <v/>
      </c>
      <c r="AC42" s="2" t="str">
        <f t="shared" si="3"/>
        <v>Walks with direction</v>
      </c>
      <c r="AD42" s="2"/>
      <c r="AE42" s="5"/>
      <c r="AF42" s="2"/>
      <c r="AG42" s="2"/>
      <c r="AH42" s="2"/>
      <c r="AI42" s="2"/>
    </row>
    <row r="43" spans="1:35">
      <c r="A43" s="2"/>
      <c r="B43" s="2"/>
      <c r="C43" s="2"/>
      <c r="D43" s="2"/>
      <c r="E43" s="5"/>
      <c r="F43" s="2"/>
      <c r="G43" s="5"/>
      <c r="H43" s="2"/>
      <c r="I43" s="2"/>
      <c r="J43" s="2"/>
      <c r="K43" s="2"/>
      <c r="L43" s="2"/>
      <c r="M43" s="2"/>
      <c r="N43" s="2"/>
      <c r="O43" s="2"/>
      <c r="P43" s="2"/>
      <c r="Q43" s="2"/>
      <c r="R43" s="2"/>
      <c r="S43" s="2"/>
      <c r="T43" s="2"/>
      <c r="U43" s="2"/>
      <c r="V43" s="2"/>
      <c r="W43" s="2"/>
      <c r="X43" s="2"/>
      <c r="Y43" s="2"/>
      <c r="Z43" s="2" t="str">
        <f t="shared" si="0"/>
        <v/>
      </c>
      <c r="AA43" s="2" t="str">
        <f t="shared" si="1"/>
        <v/>
      </c>
      <c r="AB43" s="2" t="str">
        <f t="shared" si="2"/>
        <v/>
      </c>
      <c r="AC43" s="2" t="str">
        <f t="shared" si="3"/>
        <v>Walks with direction</v>
      </c>
      <c r="AD43" s="2"/>
      <c r="AE43" s="5"/>
      <c r="AF43" s="2"/>
      <c r="AG43" s="2"/>
      <c r="AH43" s="2"/>
      <c r="AI43" s="2"/>
    </row>
    <row r="44" spans="1:35">
      <c r="A44" s="2"/>
      <c r="B44" s="2"/>
      <c r="C44" s="2"/>
      <c r="D44" s="2"/>
      <c r="E44" s="5"/>
      <c r="F44" s="2"/>
      <c r="G44" s="5"/>
      <c r="H44" s="2"/>
      <c r="I44" s="2"/>
      <c r="J44" s="2"/>
      <c r="K44" s="2"/>
      <c r="L44" s="2"/>
      <c r="M44" s="2"/>
      <c r="N44" s="2"/>
      <c r="O44" s="2"/>
      <c r="P44" s="2"/>
      <c r="Q44" s="2"/>
      <c r="R44" s="2"/>
      <c r="S44" s="2"/>
      <c r="T44" s="2"/>
      <c r="U44" s="2"/>
      <c r="V44" s="2"/>
      <c r="W44" s="2"/>
      <c r="X44" s="2"/>
      <c r="Y44" s="2"/>
      <c r="Z44" s="2" t="str">
        <f t="shared" si="0"/>
        <v/>
      </c>
      <c r="AA44" s="2" t="str">
        <f t="shared" si="1"/>
        <v/>
      </c>
      <c r="AB44" s="2" t="str">
        <f t="shared" si="2"/>
        <v/>
      </c>
      <c r="AC44" s="2" t="str">
        <f t="shared" si="3"/>
        <v>Walks with direction</v>
      </c>
      <c r="AD44" s="2"/>
      <c r="AE44" s="5"/>
      <c r="AF44" s="2"/>
      <c r="AG44" s="2"/>
      <c r="AH44" s="2"/>
      <c r="AI44" s="2"/>
    </row>
    <row r="45" spans="1:35">
      <c r="A45" s="2"/>
      <c r="B45" s="2"/>
      <c r="C45" s="2"/>
      <c r="D45" s="2"/>
      <c r="E45" s="5"/>
      <c r="F45" s="2"/>
      <c r="G45" s="5"/>
      <c r="H45" s="2"/>
      <c r="I45" s="2"/>
      <c r="J45" s="2"/>
      <c r="K45" s="2"/>
      <c r="L45" s="2"/>
      <c r="M45" s="2"/>
      <c r="N45" s="2"/>
      <c r="O45" s="2"/>
      <c r="P45" s="2"/>
      <c r="Q45" s="2"/>
      <c r="R45" s="2"/>
      <c r="S45" s="2"/>
      <c r="T45" s="2"/>
      <c r="U45" s="2"/>
      <c r="V45" s="2"/>
      <c r="W45" s="2"/>
      <c r="X45" s="2"/>
      <c r="Y45" s="2"/>
      <c r="Z45" s="2" t="str">
        <f t="shared" si="0"/>
        <v/>
      </c>
      <c r="AA45" s="2" t="str">
        <f t="shared" si="1"/>
        <v/>
      </c>
      <c r="AB45" s="2" t="str">
        <f t="shared" si="2"/>
        <v/>
      </c>
      <c r="AC45" s="2" t="str">
        <f t="shared" si="3"/>
        <v>Walks with direction</v>
      </c>
      <c r="AD45" s="2"/>
      <c r="AE45" s="5"/>
      <c r="AF45" s="2"/>
      <c r="AG45" s="2"/>
      <c r="AH45" s="2"/>
      <c r="AI45" s="2"/>
    </row>
    <row r="46" spans="1:35">
      <c r="A46" s="2"/>
      <c r="B46" s="2"/>
      <c r="C46" s="2"/>
      <c r="D46" s="2"/>
      <c r="E46" s="5"/>
      <c r="F46" s="2"/>
      <c r="G46" s="5"/>
      <c r="H46" s="2"/>
      <c r="I46" s="2"/>
      <c r="J46" s="2"/>
      <c r="K46" s="2"/>
      <c r="L46" s="2"/>
      <c r="M46" s="2"/>
      <c r="N46" s="2"/>
      <c r="O46" s="2"/>
      <c r="P46" s="2"/>
      <c r="Q46" s="2"/>
      <c r="R46" s="2"/>
      <c r="S46" s="2"/>
      <c r="T46" s="2"/>
      <c r="U46" s="2"/>
      <c r="V46" s="2"/>
      <c r="W46" s="2"/>
      <c r="X46" s="2"/>
      <c r="Y46" s="2"/>
      <c r="Z46" s="2" t="str">
        <f t="shared" si="0"/>
        <v/>
      </c>
      <c r="AA46" s="2" t="str">
        <f t="shared" si="1"/>
        <v/>
      </c>
      <c r="AB46" s="2" t="str">
        <f t="shared" si="2"/>
        <v/>
      </c>
      <c r="AC46" s="2" t="str">
        <f t="shared" si="3"/>
        <v>Walks with direction</v>
      </c>
      <c r="AD46" s="2"/>
      <c r="AE46" s="5"/>
      <c r="AF46" s="2"/>
      <c r="AG46" s="2"/>
      <c r="AH46" s="2"/>
      <c r="AI46" s="2"/>
    </row>
    <row r="47" spans="1:35">
      <c r="A47" s="2"/>
      <c r="B47" s="2"/>
      <c r="C47" s="2"/>
      <c r="D47" s="2"/>
      <c r="E47" s="5"/>
      <c r="F47" s="2"/>
      <c r="G47" s="5"/>
      <c r="H47" s="2"/>
      <c r="I47" s="2"/>
      <c r="J47" s="2"/>
      <c r="K47" s="2"/>
      <c r="L47" s="2"/>
      <c r="M47" s="2"/>
      <c r="N47" s="2"/>
      <c r="O47" s="2"/>
      <c r="P47" s="2"/>
      <c r="Q47" s="2"/>
      <c r="R47" s="2"/>
      <c r="S47" s="2"/>
      <c r="T47" s="2"/>
      <c r="U47" s="2"/>
      <c r="V47" s="2"/>
      <c r="W47" s="2"/>
      <c r="X47" s="2"/>
      <c r="Y47" s="2"/>
      <c r="Z47" s="2" t="str">
        <f t="shared" si="0"/>
        <v/>
      </c>
      <c r="AA47" s="2" t="str">
        <f t="shared" si="1"/>
        <v/>
      </c>
      <c r="AB47" s="2" t="str">
        <f t="shared" si="2"/>
        <v/>
      </c>
      <c r="AC47" s="2" t="str">
        <f t="shared" si="3"/>
        <v>Walks with direction</v>
      </c>
      <c r="AD47" s="2"/>
      <c r="AE47" s="5"/>
      <c r="AF47" s="2"/>
      <c r="AG47" s="2"/>
      <c r="AH47" s="2"/>
      <c r="AI47" s="2"/>
    </row>
    <row r="48" spans="1:35">
      <c r="A48" s="2"/>
      <c r="B48" s="2"/>
      <c r="C48" s="2"/>
      <c r="D48" s="2"/>
      <c r="E48" s="5"/>
      <c r="F48" s="2"/>
      <c r="G48" s="5"/>
      <c r="H48" s="2"/>
      <c r="I48" s="2"/>
      <c r="J48" s="2"/>
      <c r="K48" s="2"/>
      <c r="L48" s="2"/>
      <c r="M48" s="2"/>
      <c r="N48" s="2"/>
      <c r="O48" s="2"/>
      <c r="P48" s="2"/>
      <c r="Q48" s="2"/>
      <c r="R48" s="2"/>
      <c r="S48" s="2"/>
      <c r="T48" s="2"/>
      <c r="U48" s="2"/>
      <c r="V48" s="2"/>
      <c r="W48" s="2"/>
      <c r="X48" s="2"/>
      <c r="Y48" s="2"/>
      <c r="Z48" s="2" t="str">
        <f t="shared" si="0"/>
        <v/>
      </c>
      <c r="AA48" s="2" t="str">
        <f t="shared" si="1"/>
        <v/>
      </c>
      <c r="AB48" s="2" t="str">
        <f t="shared" si="2"/>
        <v/>
      </c>
      <c r="AC48" s="2" t="str">
        <f t="shared" si="3"/>
        <v>Walks with direction</v>
      </c>
      <c r="AD48" s="2"/>
      <c r="AE48" s="5"/>
      <c r="AF48" s="2"/>
      <c r="AG48" s="2"/>
      <c r="AH48" s="2"/>
      <c r="AI48" s="2"/>
    </row>
    <row r="49" spans="1:35">
      <c r="A49" s="2"/>
      <c r="B49" s="2"/>
      <c r="C49" s="2"/>
      <c r="D49" s="2"/>
      <c r="E49" s="5"/>
      <c r="F49" s="2"/>
      <c r="G49" s="5"/>
      <c r="H49" s="2"/>
      <c r="I49" s="2"/>
      <c r="J49" s="2"/>
      <c r="K49" s="2"/>
      <c r="L49" s="2"/>
      <c r="M49" s="2"/>
      <c r="N49" s="2"/>
      <c r="O49" s="2"/>
      <c r="P49" s="2"/>
      <c r="Q49" s="2"/>
      <c r="R49" s="2"/>
      <c r="S49" s="2"/>
      <c r="T49" s="2"/>
      <c r="U49" s="2"/>
      <c r="V49" s="2"/>
      <c r="W49" s="2"/>
      <c r="X49" s="2"/>
      <c r="Y49" s="2"/>
      <c r="Z49" s="2" t="str">
        <f t="shared" si="0"/>
        <v/>
      </c>
      <c r="AA49" s="2" t="str">
        <f t="shared" si="1"/>
        <v/>
      </c>
      <c r="AB49" s="2" t="str">
        <f t="shared" si="2"/>
        <v/>
      </c>
      <c r="AC49" s="2" t="str">
        <f t="shared" si="3"/>
        <v>Walks with direction</v>
      </c>
      <c r="AD49" s="2"/>
      <c r="AE49" s="5"/>
      <c r="AF49" s="2"/>
      <c r="AG49" s="2"/>
      <c r="AH49" s="2"/>
      <c r="AI49" s="2"/>
    </row>
    <row r="50" spans="1:35">
      <c r="A50" s="2"/>
      <c r="B50" s="2"/>
      <c r="C50" s="2"/>
      <c r="D50" s="2"/>
      <c r="E50" s="5"/>
      <c r="F50" s="2"/>
      <c r="G50" s="5"/>
      <c r="H50" s="2"/>
      <c r="I50" s="2"/>
      <c r="J50" s="2"/>
      <c r="K50" s="2"/>
      <c r="L50" s="2"/>
      <c r="M50" s="2"/>
      <c r="N50" s="2"/>
      <c r="O50" s="2"/>
      <c r="P50" s="2"/>
      <c r="Q50" s="2"/>
      <c r="R50" s="2"/>
      <c r="S50" s="2"/>
      <c r="T50" s="2"/>
      <c r="U50" s="2"/>
      <c r="V50" s="2"/>
      <c r="W50" s="2"/>
      <c r="X50" s="2"/>
      <c r="Y50" s="2"/>
      <c r="Z50" s="2" t="str">
        <f t="shared" ref="Z50:Z81" si="4">IF(COUNTA(H50:Y50)=0,"",IF(COUNTIF(H50:Y50,"Very High")&gt;0,"Very High",IF(COUNTIF(H50:Y50,"High")&gt;0,"High",IF(COUNTIF(H50:Y50,"Medium")&gt;0,"Medium","Low"))))</f>
        <v/>
      </c>
      <c r="AA50" s="2" t="str">
        <f t="shared" ref="AA50:AA81" si="5">IF(Z50="","",IF(Z50="Low","Routine planned support",IF(Z50="Medium","One staff support/supervision likely",IF(Z50="High","Two staff/review staffing and equipment","Manager review: multiple staff/specialist support"))))</f>
        <v/>
      </c>
      <c r="AB50" s="2" t="str">
        <f t="shared" ref="AB50:AB81" si="6">IF(Z50="","",IF(OR(Z50="High",Z50="Very High",W50="High",W50="Very High"),"Night staffing and evacuation review required","Routine night checks as per care plan"))</f>
        <v/>
      </c>
      <c r="AC50" s="2" t="str">
        <f t="shared" ref="AC50:AC81" si="7">IF(X50="Very High","Specialist PEEP / equipment",IF(OR(X50="High",Z50="High"),"Evacuation sheet/chair or wheelchair per PEEP",IF(OR(X50="Medium",Z50="Medium"),"Walking aid/wheelchair support per PEEP","Walks with direction")))</f>
        <v>Walks with direction</v>
      </c>
      <c r="AD50" s="2"/>
      <c r="AE50" s="5"/>
      <c r="AF50" s="2"/>
      <c r="AG50" s="2"/>
      <c r="AH50" s="2"/>
      <c r="AI50" s="2"/>
    </row>
    <row r="51" spans="1:35">
      <c r="A51" s="2"/>
      <c r="B51" s="2"/>
      <c r="C51" s="2"/>
      <c r="D51" s="2"/>
      <c r="E51" s="5"/>
      <c r="F51" s="2"/>
      <c r="G51" s="5"/>
      <c r="H51" s="2"/>
      <c r="I51" s="2"/>
      <c r="J51" s="2"/>
      <c r="K51" s="2"/>
      <c r="L51" s="2"/>
      <c r="M51" s="2"/>
      <c r="N51" s="2"/>
      <c r="O51" s="2"/>
      <c r="P51" s="2"/>
      <c r="Q51" s="2"/>
      <c r="R51" s="2"/>
      <c r="S51" s="2"/>
      <c r="T51" s="2"/>
      <c r="U51" s="2"/>
      <c r="V51" s="2"/>
      <c r="W51" s="2"/>
      <c r="X51" s="2"/>
      <c r="Y51" s="2"/>
      <c r="Z51" s="2" t="str">
        <f t="shared" si="4"/>
        <v/>
      </c>
      <c r="AA51" s="2" t="str">
        <f t="shared" si="5"/>
        <v/>
      </c>
      <c r="AB51" s="2" t="str">
        <f t="shared" si="6"/>
        <v/>
      </c>
      <c r="AC51" s="2" t="str">
        <f t="shared" si="7"/>
        <v>Walks with direction</v>
      </c>
      <c r="AD51" s="2"/>
      <c r="AE51" s="5"/>
      <c r="AF51" s="2"/>
      <c r="AG51" s="2"/>
      <c r="AH51" s="2"/>
      <c r="AI51" s="2"/>
    </row>
    <row r="52" spans="1:35">
      <c r="A52" s="2"/>
      <c r="B52" s="2"/>
      <c r="C52" s="2"/>
      <c r="D52" s="2"/>
      <c r="E52" s="5"/>
      <c r="F52" s="2"/>
      <c r="G52" s="5"/>
      <c r="H52" s="2"/>
      <c r="I52" s="2"/>
      <c r="J52" s="2"/>
      <c r="K52" s="2"/>
      <c r="L52" s="2"/>
      <c r="M52" s="2"/>
      <c r="N52" s="2"/>
      <c r="O52" s="2"/>
      <c r="P52" s="2"/>
      <c r="Q52" s="2"/>
      <c r="R52" s="2"/>
      <c r="S52" s="2"/>
      <c r="T52" s="2"/>
      <c r="U52" s="2"/>
      <c r="V52" s="2"/>
      <c r="W52" s="2"/>
      <c r="X52" s="2"/>
      <c r="Y52" s="2"/>
      <c r="Z52" s="2" t="str">
        <f t="shared" si="4"/>
        <v/>
      </c>
      <c r="AA52" s="2" t="str">
        <f t="shared" si="5"/>
        <v/>
      </c>
      <c r="AB52" s="2" t="str">
        <f t="shared" si="6"/>
        <v/>
      </c>
      <c r="AC52" s="2" t="str">
        <f t="shared" si="7"/>
        <v>Walks with direction</v>
      </c>
      <c r="AD52" s="2"/>
      <c r="AE52" s="5"/>
      <c r="AF52" s="2"/>
      <c r="AG52" s="2"/>
      <c r="AH52" s="2"/>
      <c r="AI52" s="2"/>
    </row>
    <row r="53" spans="1:35">
      <c r="A53" s="2"/>
      <c r="B53" s="2"/>
      <c r="C53" s="2"/>
      <c r="D53" s="2"/>
      <c r="E53" s="5"/>
      <c r="F53" s="2"/>
      <c r="G53" s="5"/>
      <c r="H53" s="2"/>
      <c r="I53" s="2"/>
      <c r="J53" s="2"/>
      <c r="K53" s="2"/>
      <c r="L53" s="2"/>
      <c r="M53" s="2"/>
      <c r="N53" s="2"/>
      <c r="O53" s="2"/>
      <c r="P53" s="2"/>
      <c r="Q53" s="2"/>
      <c r="R53" s="2"/>
      <c r="S53" s="2"/>
      <c r="T53" s="2"/>
      <c r="U53" s="2"/>
      <c r="V53" s="2"/>
      <c r="W53" s="2"/>
      <c r="X53" s="2"/>
      <c r="Y53" s="2"/>
      <c r="Z53" s="2" t="str">
        <f t="shared" si="4"/>
        <v/>
      </c>
      <c r="AA53" s="2" t="str">
        <f t="shared" si="5"/>
        <v/>
      </c>
      <c r="AB53" s="2" t="str">
        <f t="shared" si="6"/>
        <v/>
      </c>
      <c r="AC53" s="2" t="str">
        <f t="shared" si="7"/>
        <v>Walks with direction</v>
      </c>
      <c r="AD53" s="2"/>
      <c r="AE53" s="5"/>
      <c r="AF53" s="2"/>
      <c r="AG53" s="2"/>
      <c r="AH53" s="2"/>
      <c r="AI53" s="2"/>
    </row>
    <row r="54" spans="1:35">
      <c r="A54" s="2"/>
      <c r="B54" s="2"/>
      <c r="C54" s="2"/>
      <c r="D54" s="2"/>
      <c r="E54" s="5"/>
      <c r="F54" s="2"/>
      <c r="G54" s="5"/>
      <c r="H54" s="2"/>
      <c r="I54" s="2"/>
      <c r="J54" s="2"/>
      <c r="K54" s="2"/>
      <c r="L54" s="2"/>
      <c r="M54" s="2"/>
      <c r="N54" s="2"/>
      <c r="O54" s="2"/>
      <c r="P54" s="2"/>
      <c r="Q54" s="2"/>
      <c r="R54" s="2"/>
      <c r="S54" s="2"/>
      <c r="T54" s="2"/>
      <c r="U54" s="2"/>
      <c r="V54" s="2"/>
      <c r="W54" s="2"/>
      <c r="X54" s="2"/>
      <c r="Y54" s="2"/>
      <c r="Z54" s="2" t="str">
        <f t="shared" si="4"/>
        <v/>
      </c>
      <c r="AA54" s="2" t="str">
        <f t="shared" si="5"/>
        <v/>
      </c>
      <c r="AB54" s="2" t="str">
        <f t="shared" si="6"/>
        <v/>
      </c>
      <c r="AC54" s="2" t="str">
        <f t="shared" si="7"/>
        <v>Walks with direction</v>
      </c>
      <c r="AD54" s="2"/>
      <c r="AE54" s="5"/>
      <c r="AF54" s="2"/>
      <c r="AG54" s="2"/>
      <c r="AH54" s="2"/>
      <c r="AI54" s="2"/>
    </row>
    <row r="55" spans="1:35">
      <c r="A55" s="2"/>
      <c r="B55" s="2"/>
      <c r="C55" s="2"/>
      <c r="D55" s="2"/>
      <c r="E55" s="5"/>
      <c r="F55" s="2"/>
      <c r="G55" s="5"/>
      <c r="H55" s="2"/>
      <c r="I55" s="2"/>
      <c r="J55" s="2"/>
      <c r="K55" s="2"/>
      <c r="L55" s="2"/>
      <c r="M55" s="2"/>
      <c r="N55" s="2"/>
      <c r="O55" s="2"/>
      <c r="P55" s="2"/>
      <c r="Q55" s="2"/>
      <c r="R55" s="2"/>
      <c r="S55" s="2"/>
      <c r="T55" s="2"/>
      <c r="U55" s="2"/>
      <c r="V55" s="2"/>
      <c r="W55" s="2"/>
      <c r="X55" s="2"/>
      <c r="Y55" s="2"/>
      <c r="Z55" s="2" t="str">
        <f t="shared" si="4"/>
        <v/>
      </c>
      <c r="AA55" s="2" t="str">
        <f t="shared" si="5"/>
        <v/>
      </c>
      <c r="AB55" s="2" t="str">
        <f t="shared" si="6"/>
        <v/>
      </c>
      <c r="AC55" s="2" t="str">
        <f t="shared" si="7"/>
        <v>Walks with direction</v>
      </c>
      <c r="AD55" s="2"/>
      <c r="AE55" s="5"/>
      <c r="AF55" s="2"/>
      <c r="AG55" s="2"/>
      <c r="AH55" s="2"/>
      <c r="AI55" s="2"/>
    </row>
    <row r="56" spans="1:35">
      <c r="A56" s="2"/>
      <c r="B56" s="2"/>
      <c r="C56" s="2"/>
      <c r="D56" s="2"/>
      <c r="E56" s="5"/>
      <c r="F56" s="2"/>
      <c r="G56" s="5"/>
      <c r="H56" s="2"/>
      <c r="I56" s="2"/>
      <c r="J56" s="2"/>
      <c r="K56" s="2"/>
      <c r="L56" s="2"/>
      <c r="M56" s="2"/>
      <c r="N56" s="2"/>
      <c r="O56" s="2"/>
      <c r="P56" s="2"/>
      <c r="Q56" s="2"/>
      <c r="R56" s="2"/>
      <c r="S56" s="2"/>
      <c r="T56" s="2"/>
      <c r="U56" s="2"/>
      <c r="V56" s="2"/>
      <c r="W56" s="2"/>
      <c r="X56" s="2"/>
      <c r="Y56" s="2"/>
      <c r="Z56" s="2" t="str">
        <f t="shared" si="4"/>
        <v/>
      </c>
      <c r="AA56" s="2" t="str">
        <f t="shared" si="5"/>
        <v/>
      </c>
      <c r="AB56" s="2" t="str">
        <f t="shared" si="6"/>
        <v/>
      </c>
      <c r="AC56" s="2" t="str">
        <f t="shared" si="7"/>
        <v>Walks with direction</v>
      </c>
      <c r="AD56" s="2"/>
      <c r="AE56" s="5"/>
      <c r="AF56" s="2"/>
      <c r="AG56" s="2"/>
      <c r="AH56" s="2"/>
      <c r="AI56" s="2"/>
    </row>
    <row r="57" spans="1:35">
      <c r="A57" s="2"/>
      <c r="B57" s="2"/>
      <c r="C57" s="2"/>
      <c r="D57" s="2"/>
      <c r="E57" s="5"/>
      <c r="F57" s="2"/>
      <c r="G57" s="5"/>
      <c r="H57" s="2"/>
      <c r="I57" s="2"/>
      <c r="J57" s="2"/>
      <c r="K57" s="2"/>
      <c r="L57" s="2"/>
      <c r="M57" s="2"/>
      <c r="N57" s="2"/>
      <c r="O57" s="2"/>
      <c r="P57" s="2"/>
      <c r="Q57" s="2"/>
      <c r="R57" s="2"/>
      <c r="S57" s="2"/>
      <c r="T57" s="2"/>
      <c r="U57" s="2"/>
      <c r="V57" s="2"/>
      <c r="W57" s="2"/>
      <c r="X57" s="2"/>
      <c r="Y57" s="2"/>
      <c r="Z57" s="2" t="str">
        <f t="shared" si="4"/>
        <v/>
      </c>
      <c r="AA57" s="2" t="str">
        <f t="shared" si="5"/>
        <v/>
      </c>
      <c r="AB57" s="2" t="str">
        <f t="shared" si="6"/>
        <v/>
      </c>
      <c r="AC57" s="2" t="str">
        <f t="shared" si="7"/>
        <v>Walks with direction</v>
      </c>
      <c r="AD57" s="2"/>
      <c r="AE57" s="5"/>
      <c r="AF57" s="2"/>
      <c r="AG57" s="2"/>
      <c r="AH57" s="2"/>
      <c r="AI57" s="2"/>
    </row>
    <row r="58" spans="1:35">
      <c r="A58" s="2"/>
      <c r="B58" s="2"/>
      <c r="C58" s="2"/>
      <c r="D58" s="2"/>
      <c r="E58" s="5"/>
      <c r="F58" s="2"/>
      <c r="G58" s="5"/>
      <c r="H58" s="2"/>
      <c r="I58" s="2"/>
      <c r="J58" s="2"/>
      <c r="K58" s="2"/>
      <c r="L58" s="2"/>
      <c r="M58" s="2"/>
      <c r="N58" s="2"/>
      <c r="O58" s="2"/>
      <c r="P58" s="2"/>
      <c r="Q58" s="2"/>
      <c r="R58" s="2"/>
      <c r="S58" s="2"/>
      <c r="T58" s="2"/>
      <c r="U58" s="2"/>
      <c r="V58" s="2"/>
      <c r="W58" s="2"/>
      <c r="X58" s="2"/>
      <c r="Y58" s="2"/>
      <c r="Z58" s="2" t="str">
        <f t="shared" si="4"/>
        <v/>
      </c>
      <c r="AA58" s="2" t="str">
        <f t="shared" si="5"/>
        <v/>
      </c>
      <c r="AB58" s="2" t="str">
        <f t="shared" si="6"/>
        <v/>
      </c>
      <c r="AC58" s="2" t="str">
        <f t="shared" si="7"/>
        <v>Walks with direction</v>
      </c>
      <c r="AD58" s="2"/>
      <c r="AE58" s="5"/>
      <c r="AF58" s="2"/>
      <c r="AG58" s="2"/>
      <c r="AH58" s="2"/>
      <c r="AI58" s="2"/>
    </row>
    <row r="59" spans="1:35">
      <c r="A59" s="2"/>
      <c r="B59" s="2"/>
      <c r="C59" s="2"/>
      <c r="D59" s="2"/>
      <c r="E59" s="5"/>
      <c r="F59" s="2"/>
      <c r="G59" s="5"/>
      <c r="H59" s="2"/>
      <c r="I59" s="2"/>
      <c r="J59" s="2"/>
      <c r="K59" s="2"/>
      <c r="L59" s="2"/>
      <c r="M59" s="2"/>
      <c r="N59" s="2"/>
      <c r="O59" s="2"/>
      <c r="P59" s="2"/>
      <c r="Q59" s="2"/>
      <c r="R59" s="2"/>
      <c r="S59" s="2"/>
      <c r="T59" s="2"/>
      <c r="U59" s="2"/>
      <c r="V59" s="2"/>
      <c r="W59" s="2"/>
      <c r="X59" s="2"/>
      <c r="Y59" s="2"/>
      <c r="Z59" s="2" t="str">
        <f t="shared" si="4"/>
        <v/>
      </c>
      <c r="AA59" s="2" t="str">
        <f t="shared" si="5"/>
        <v/>
      </c>
      <c r="AB59" s="2" t="str">
        <f t="shared" si="6"/>
        <v/>
      </c>
      <c r="AC59" s="2" t="str">
        <f t="shared" si="7"/>
        <v>Walks with direction</v>
      </c>
      <c r="AD59" s="2"/>
      <c r="AE59" s="5"/>
      <c r="AF59" s="2"/>
      <c r="AG59" s="2"/>
      <c r="AH59" s="2"/>
      <c r="AI59" s="2"/>
    </row>
    <row r="60" spans="1:35">
      <c r="A60" s="2"/>
      <c r="B60" s="2"/>
      <c r="C60" s="2"/>
      <c r="D60" s="2"/>
      <c r="E60" s="5"/>
      <c r="F60" s="2"/>
      <c r="G60" s="5"/>
      <c r="H60" s="2"/>
      <c r="I60" s="2"/>
      <c r="J60" s="2"/>
      <c r="K60" s="2"/>
      <c r="L60" s="2"/>
      <c r="M60" s="2"/>
      <c r="N60" s="2"/>
      <c r="O60" s="2"/>
      <c r="P60" s="2"/>
      <c r="Q60" s="2"/>
      <c r="R60" s="2"/>
      <c r="S60" s="2"/>
      <c r="T60" s="2"/>
      <c r="U60" s="2"/>
      <c r="V60" s="2"/>
      <c r="W60" s="2"/>
      <c r="X60" s="2"/>
      <c r="Y60" s="2"/>
      <c r="Z60" s="2" t="str">
        <f t="shared" si="4"/>
        <v/>
      </c>
      <c r="AA60" s="2" t="str">
        <f t="shared" si="5"/>
        <v/>
      </c>
      <c r="AB60" s="2" t="str">
        <f t="shared" si="6"/>
        <v/>
      </c>
      <c r="AC60" s="2" t="str">
        <f t="shared" si="7"/>
        <v>Walks with direction</v>
      </c>
      <c r="AD60" s="2"/>
      <c r="AE60" s="5"/>
      <c r="AF60" s="2"/>
      <c r="AG60" s="2"/>
      <c r="AH60" s="2"/>
      <c r="AI60" s="2"/>
    </row>
    <row r="61" spans="1:35">
      <c r="A61" s="2"/>
      <c r="B61" s="2"/>
      <c r="C61" s="2"/>
      <c r="D61" s="2"/>
      <c r="E61" s="5"/>
      <c r="F61" s="2"/>
      <c r="G61" s="5"/>
      <c r="H61" s="2"/>
      <c r="I61" s="2"/>
      <c r="J61" s="2"/>
      <c r="K61" s="2"/>
      <c r="L61" s="2"/>
      <c r="M61" s="2"/>
      <c r="N61" s="2"/>
      <c r="O61" s="2"/>
      <c r="P61" s="2"/>
      <c r="Q61" s="2"/>
      <c r="R61" s="2"/>
      <c r="S61" s="2"/>
      <c r="T61" s="2"/>
      <c r="U61" s="2"/>
      <c r="V61" s="2"/>
      <c r="W61" s="2"/>
      <c r="X61" s="2"/>
      <c r="Y61" s="2"/>
      <c r="Z61" s="2" t="str">
        <f t="shared" si="4"/>
        <v/>
      </c>
      <c r="AA61" s="2" t="str">
        <f t="shared" si="5"/>
        <v/>
      </c>
      <c r="AB61" s="2" t="str">
        <f t="shared" si="6"/>
        <v/>
      </c>
      <c r="AC61" s="2" t="str">
        <f t="shared" si="7"/>
        <v>Walks with direction</v>
      </c>
      <c r="AD61" s="2"/>
      <c r="AE61" s="5"/>
      <c r="AF61" s="2"/>
      <c r="AG61" s="2"/>
      <c r="AH61" s="2"/>
      <c r="AI61" s="2"/>
    </row>
    <row r="62" spans="1:35">
      <c r="A62" s="2"/>
      <c r="B62" s="2"/>
      <c r="C62" s="2"/>
      <c r="D62" s="2"/>
      <c r="E62" s="5"/>
      <c r="F62" s="2"/>
      <c r="G62" s="5"/>
      <c r="H62" s="2"/>
      <c r="I62" s="2"/>
      <c r="J62" s="2"/>
      <c r="K62" s="2"/>
      <c r="L62" s="2"/>
      <c r="M62" s="2"/>
      <c r="N62" s="2"/>
      <c r="O62" s="2"/>
      <c r="P62" s="2"/>
      <c r="Q62" s="2"/>
      <c r="R62" s="2"/>
      <c r="S62" s="2"/>
      <c r="T62" s="2"/>
      <c r="U62" s="2"/>
      <c r="V62" s="2"/>
      <c r="W62" s="2"/>
      <c r="X62" s="2"/>
      <c r="Y62" s="2"/>
      <c r="Z62" s="2" t="str">
        <f t="shared" si="4"/>
        <v/>
      </c>
      <c r="AA62" s="2" t="str">
        <f t="shared" si="5"/>
        <v/>
      </c>
      <c r="AB62" s="2" t="str">
        <f t="shared" si="6"/>
        <v/>
      </c>
      <c r="AC62" s="2" t="str">
        <f t="shared" si="7"/>
        <v>Walks with direction</v>
      </c>
      <c r="AD62" s="2"/>
      <c r="AE62" s="5"/>
      <c r="AF62" s="2"/>
      <c r="AG62" s="2"/>
      <c r="AH62" s="2"/>
      <c r="AI62" s="2"/>
    </row>
    <row r="63" spans="1:35">
      <c r="A63" s="2"/>
      <c r="B63" s="2"/>
      <c r="C63" s="2"/>
      <c r="D63" s="2"/>
      <c r="E63" s="5"/>
      <c r="F63" s="2"/>
      <c r="G63" s="5"/>
      <c r="H63" s="2"/>
      <c r="I63" s="2"/>
      <c r="J63" s="2"/>
      <c r="K63" s="2"/>
      <c r="L63" s="2"/>
      <c r="M63" s="2"/>
      <c r="N63" s="2"/>
      <c r="O63" s="2"/>
      <c r="P63" s="2"/>
      <c r="Q63" s="2"/>
      <c r="R63" s="2"/>
      <c r="S63" s="2"/>
      <c r="T63" s="2"/>
      <c r="U63" s="2"/>
      <c r="V63" s="2"/>
      <c r="W63" s="2"/>
      <c r="X63" s="2"/>
      <c r="Y63" s="2"/>
      <c r="Z63" s="2" t="str">
        <f t="shared" si="4"/>
        <v/>
      </c>
      <c r="AA63" s="2" t="str">
        <f t="shared" si="5"/>
        <v/>
      </c>
      <c r="AB63" s="2" t="str">
        <f t="shared" si="6"/>
        <v/>
      </c>
      <c r="AC63" s="2" t="str">
        <f t="shared" si="7"/>
        <v>Walks with direction</v>
      </c>
      <c r="AD63" s="2"/>
      <c r="AE63" s="5"/>
      <c r="AF63" s="2"/>
      <c r="AG63" s="2"/>
      <c r="AH63" s="2"/>
      <c r="AI63" s="2"/>
    </row>
    <row r="64" spans="1:35">
      <c r="A64" s="2"/>
      <c r="B64" s="2"/>
      <c r="C64" s="2"/>
      <c r="D64" s="2"/>
      <c r="E64" s="5"/>
      <c r="F64" s="2"/>
      <c r="G64" s="5"/>
      <c r="H64" s="2"/>
      <c r="I64" s="2"/>
      <c r="J64" s="2"/>
      <c r="K64" s="2"/>
      <c r="L64" s="2"/>
      <c r="M64" s="2"/>
      <c r="N64" s="2"/>
      <c r="O64" s="2"/>
      <c r="P64" s="2"/>
      <c r="Q64" s="2"/>
      <c r="R64" s="2"/>
      <c r="S64" s="2"/>
      <c r="T64" s="2"/>
      <c r="U64" s="2"/>
      <c r="V64" s="2"/>
      <c r="W64" s="2"/>
      <c r="X64" s="2"/>
      <c r="Y64" s="2"/>
      <c r="Z64" s="2" t="str">
        <f t="shared" si="4"/>
        <v/>
      </c>
      <c r="AA64" s="2" t="str">
        <f t="shared" si="5"/>
        <v/>
      </c>
      <c r="AB64" s="2" t="str">
        <f t="shared" si="6"/>
        <v/>
      </c>
      <c r="AC64" s="2" t="str">
        <f t="shared" si="7"/>
        <v>Walks with direction</v>
      </c>
      <c r="AD64" s="2"/>
      <c r="AE64" s="5"/>
      <c r="AF64" s="2"/>
      <c r="AG64" s="2"/>
      <c r="AH64" s="2"/>
      <c r="AI64" s="2"/>
    </row>
    <row r="65" spans="1:35">
      <c r="A65" s="2"/>
      <c r="B65" s="2"/>
      <c r="C65" s="2"/>
      <c r="D65" s="2"/>
      <c r="E65" s="5"/>
      <c r="F65" s="2"/>
      <c r="G65" s="5"/>
      <c r="H65" s="2"/>
      <c r="I65" s="2"/>
      <c r="J65" s="2"/>
      <c r="K65" s="2"/>
      <c r="L65" s="2"/>
      <c r="M65" s="2"/>
      <c r="N65" s="2"/>
      <c r="O65" s="2"/>
      <c r="P65" s="2"/>
      <c r="Q65" s="2"/>
      <c r="R65" s="2"/>
      <c r="S65" s="2"/>
      <c r="T65" s="2"/>
      <c r="U65" s="2"/>
      <c r="V65" s="2"/>
      <c r="W65" s="2"/>
      <c r="X65" s="2"/>
      <c r="Y65" s="2"/>
      <c r="Z65" s="2" t="str">
        <f t="shared" si="4"/>
        <v/>
      </c>
      <c r="AA65" s="2" t="str">
        <f t="shared" si="5"/>
        <v/>
      </c>
      <c r="AB65" s="2" t="str">
        <f t="shared" si="6"/>
        <v/>
      </c>
      <c r="AC65" s="2" t="str">
        <f t="shared" si="7"/>
        <v>Walks with direction</v>
      </c>
      <c r="AD65" s="2"/>
      <c r="AE65" s="5"/>
      <c r="AF65" s="2"/>
      <c r="AG65" s="2"/>
      <c r="AH65" s="2"/>
      <c r="AI65" s="2"/>
    </row>
    <row r="66" spans="1:35">
      <c r="A66" s="2"/>
      <c r="B66" s="2"/>
      <c r="C66" s="2"/>
      <c r="D66" s="2"/>
      <c r="E66" s="5"/>
      <c r="F66" s="2"/>
      <c r="G66" s="5"/>
      <c r="H66" s="2"/>
      <c r="I66" s="2"/>
      <c r="J66" s="2"/>
      <c r="K66" s="2"/>
      <c r="L66" s="2"/>
      <c r="M66" s="2"/>
      <c r="N66" s="2"/>
      <c r="O66" s="2"/>
      <c r="P66" s="2"/>
      <c r="Q66" s="2"/>
      <c r="R66" s="2"/>
      <c r="S66" s="2"/>
      <c r="T66" s="2"/>
      <c r="U66" s="2"/>
      <c r="V66" s="2"/>
      <c r="W66" s="2"/>
      <c r="X66" s="2"/>
      <c r="Y66" s="2"/>
      <c r="Z66" s="2" t="str">
        <f t="shared" si="4"/>
        <v/>
      </c>
      <c r="AA66" s="2" t="str">
        <f t="shared" si="5"/>
        <v/>
      </c>
      <c r="AB66" s="2" t="str">
        <f t="shared" si="6"/>
        <v/>
      </c>
      <c r="AC66" s="2" t="str">
        <f t="shared" si="7"/>
        <v>Walks with direction</v>
      </c>
      <c r="AD66" s="2"/>
      <c r="AE66" s="5"/>
      <c r="AF66" s="2"/>
      <c r="AG66" s="2"/>
      <c r="AH66" s="2"/>
      <c r="AI66" s="2"/>
    </row>
    <row r="67" spans="1:35">
      <c r="A67" s="2"/>
      <c r="B67" s="2"/>
      <c r="C67" s="2"/>
      <c r="D67" s="2"/>
      <c r="E67" s="5"/>
      <c r="F67" s="2"/>
      <c r="G67" s="5"/>
      <c r="H67" s="2"/>
      <c r="I67" s="2"/>
      <c r="J67" s="2"/>
      <c r="K67" s="2"/>
      <c r="L67" s="2"/>
      <c r="M67" s="2"/>
      <c r="N67" s="2"/>
      <c r="O67" s="2"/>
      <c r="P67" s="2"/>
      <c r="Q67" s="2"/>
      <c r="R67" s="2"/>
      <c r="S67" s="2"/>
      <c r="T67" s="2"/>
      <c r="U67" s="2"/>
      <c r="V67" s="2"/>
      <c r="W67" s="2"/>
      <c r="X67" s="2"/>
      <c r="Y67" s="2"/>
      <c r="Z67" s="2" t="str">
        <f t="shared" si="4"/>
        <v/>
      </c>
      <c r="AA67" s="2" t="str">
        <f t="shared" si="5"/>
        <v/>
      </c>
      <c r="AB67" s="2" t="str">
        <f t="shared" si="6"/>
        <v/>
      </c>
      <c r="AC67" s="2" t="str">
        <f t="shared" si="7"/>
        <v>Walks with direction</v>
      </c>
      <c r="AD67" s="2"/>
      <c r="AE67" s="5"/>
      <c r="AF67" s="2"/>
      <c r="AG67" s="2"/>
      <c r="AH67" s="2"/>
      <c r="AI67" s="2"/>
    </row>
    <row r="68" spans="1:35">
      <c r="A68" s="2"/>
      <c r="B68" s="2"/>
      <c r="C68" s="2"/>
      <c r="D68" s="2"/>
      <c r="E68" s="5"/>
      <c r="F68" s="2"/>
      <c r="G68" s="5"/>
      <c r="H68" s="2"/>
      <c r="I68" s="2"/>
      <c r="J68" s="2"/>
      <c r="K68" s="2"/>
      <c r="L68" s="2"/>
      <c r="M68" s="2"/>
      <c r="N68" s="2"/>
      <c r="O68" s="2"/>
      <c r="P68" s="2"/>
      <c r="Q68" s="2"/>
      <c r="R68" s="2"/>
      <c r="S68" s="2"/>
      <c r="T68" s="2"/>
      <c r="U68" s="2"/>
      <c r="V68" s="2"/>
      <c r="W68" s="2"/>
      <c r="X68" s="2"/>
      <c r="Y68" s="2"/>
      <c r="Z68" s="2" t="str">
        <f t="shared" si="4"/>
        <v/>
      </c>
      <c r="AA68" s="2" t="str">
        <f t="shared" si="5"/>
        <v/>
      </c>
      <c r="AB68" s="2" t="str">
        <f t="shared" si="6"/>
        <v/>
      </c>
      <c r="AC68" s="2" t="str">
        <f t="shared" si="7"/>
        <v>Walks with direction</v>
      </c>
      <c r="AD68" s="2"/>
      <c r="AE68" s="5"/>
      <c r="AF68" s="2"/>
      <c r="AG68" s="2"/>
      <c r="AH68" s="2"/>
      <c r="AI68" s="2"/>
    </row>
    <row r="69" spans="1:35">
      <c r="A69" s="2"/>
      <c r="B69" s="2"/>
      <c r="C69" s="2"/>
      <c r="D69" s="2"/>
      <c r="E69" s="5"/>
      <c r="F69" s="2"/>
      <c r="G69" s="5"/>
      <c r="H69" s="2"/>
      <c r="I69" s="2"/>
      <c r="J69" s="2"/>
      <c r="K69" s="2"/>
      <c r="L69" s="2"/>
      <c r="M69" s="2"/>
      <c r="N69" s="2"/>
      <c r="O69" s="2"/>
      <c r="P69" s="2"/>
      <c r="Q69" s="2"/>
      <c r="R69" s="2"/>
      <c r="S69" s="2"/>
      <c r="T69" s="2"/>
      <c r="U69" s="2"/>
      <c r="V69" s="2"/>
      <c r="W69" s="2"/>
      <c r="X69" s="2"/>
      <c r="Y69" s="2"/>
      <c r="Z69" s="2" t="str">
        <f t="shared" si="4"/>
        <v/>
      </c>
      <c r="AA69" s="2" t="str">
        <f t="shared" si="5"/>
        <v/>
      </c>
      <c r="AB69" s="2" t="str">
        <f t="shared" si="6"/>
        <v/>
      </c>
      <c r="AC69" s="2" t="str">
        <f t="shared" si="7"/>
        <v>Walks with direction</v>
      </c>
      <c r="AD69" s="2"/>
      <c r="AE69" s="5"/>
      <c r="AF69" s="2"/>
      <c r="AG69" s="2"/>
      <c r="AH69" s="2"/>
      <c r="AI69" s="2"/>
    </row>
    <row r="70" spans="1:35">
      <c r="A70" s="2"/>
      <c r="B70" s="2"/>
      <c r="C70" s="2"/>
      <c r="D70" s="2"/>
      <c r="E70" s="5"/>
      <c r="F70" s="2"/>
      <c r="G70" s="5"/>
      <c r="H70" s="2"/>
      <c r="I70" s="2"/>
      <c r="J70" s="2"/>
      <c r="K70" s="2"/>
      <c r="L70" s="2"/>
      <c r="M70" s="2"/>
      <c r="N70" s="2"/>
      <c r="O70" s="2"/>
      <c r="P70" s="2"/>
      <c r="Q70" s="2"/>
      <c r="R70" s="2"/>
      <c r="S70" s="2"/>
      <c r="T70" s="2"/>
      <c r="U70" s="2"/>
      <c r="V70" s="2"/>
      <c r="W70" s="2"/>
      <c r="X70" s="2"/>
      <c r="Y70" s="2"/>
      <c r="Z70" s="2" t="str">
        <f t="shared" si="4"/>
        <v/>
      </c>
      <c r="AA70" s="2" t="str">
        <f t="shared" si="5"/>
        <v/>
      </c>
      <c r="AB70" s="2" t="str">
        <f t="shared" si="6"/>
        <v/>
      </c>
      <c r="AC70" s="2" t="str">
        <f t="shared" si="7"/>
        <v>Walks with direction</v>
      </c>
      <c r="AD70" s="2"/>
      <c r="AE70" s="5"/>
      <c r="AF70" s="2"/>
      <c r="AG70" s="2"/>
      <c r="AH70" s="2"/>
      <c r="AI70" s="2"/>
    </row>
    <row r="71" spans="1:35">
      <c r="A71" s="2"/>
      <c r="B71" s="2"/>
      <c r="C71" s="2"/>
      <c r="D71" s="2"/>
      <c r="E71" s="5"/>
      <c r="F71" s="2"/>
      <c r="G71" s="5"/>
      <c r="H71" s="2"/>
      <c r="I71" s="2"/>
      <c r="J71" s="2"/>
      <c r="K71" s="2"/>
      <c r="L71" s="2"/>
      <c r="M71" s="2"/>
      <c r="N71" s="2"/>
      <c r="O71" s="2"/>
      <c r="P71" s="2"/>
      <c r="Q71" s="2"/>
      <c r="R71" s="2"/>
      <c r="S71" s="2"/>
      <c r="T71" s="2"/>
      <c r="U71" s="2"/>
      <c r="V71" s="2"/>
      <c r="W71" s="2"/>
      <c r="X71" s="2"/>
      <c r="Y71" s="2"/>
      <c r="Z71" s="2" t="str">
        <f t="shared" si="4"/>
        <v/>
      </c>
      <c r="AA71" s="2" t="str">
        <f t="shared" si="5"/>
        <v/>
      </c>
      <c r="AB71" s="2" t="str">
        <f t="shared" si="6"/>
        <v/>
      </c>
      <c r="AC71" s="2" t="str">
        <f t="shared" si="7"/>
        <v>Walks with direction</v>
      </c>
      <c r="AD71" s="2"/>
      <c r="AE71" s="5"/>
      <c r="AF71" s="2"/>
      <c r="AG71" s="2"/>
      <c r="AH71" s="2"/>
      <c r="AI71" s="2"/>
    </row>
    <row r="72" spans="1:35">
      <c r="A72" s="2"/>
      <c r="B72" s="2"/>
      <c r="C72" s="2"/>
      <c r="D72" s="2"/>
      <c r="E72" s="5"/>
      <c r="F72" s="2"/>
      <c r="G72" s="5"/>
      <c r="H72" s="2"/>
      <c r="I72" s="2"/>
      <c r="J72" s="2"/>
      <c r="K72" s="2"/>
      <c r="L72" s="2"/>
      <c r="M72" s="2"/>
      <c r="N72" s="2"/>
      <c r="O72" s="2"/>
      <c r="P72" s="2"/>
      <c r="Q72" s="2"/>
      <c r="R72" s="2"/>
      <c r="S72" s="2"/>
      <c r="T72" s="2"/>
      <c r="U72" s="2"/>
      <c r="V72" s="2"/>
      <c r="W72" s="2"/>
      <c r="X72" s="2"/>
      <c r="Y72" s="2"/>
      <c r="Z72" s="2" t="str">
        <f t="shared" si="4"/>
        <v/>
      </c>
      <c r="AA72" s="2" t="str">
        <f t="shared" si="5"/>
        <v/>
      </c>
      <c r="AB72" s="2" t="str">
        <f t="shared" si="6"/>
        <v/>
      </c>
      <c r="AC72" s="2" t="str">
        <f t="shared" si="7"/>
        <v>Walks with direction</v>
      </c>
      <c r="AD72" s="2"/>
      <c r="AE72" s="5"/>
      <c r="AF72" s="2"/>
      <c r="AG72" s="2"/>
      <c r="AH72" s="2"/>
      <c r="AI72" s="2"/>
    </row>
    <row r="73" spans="1:35">
      <c r="A73" s="2"/>
      <c r="B73" s="2"/>
      <c r="C73" s="2"/>
      <c r="D73" s="2"/>
      <c r="E73" s="5"/>
      <c r="F73" s="2"/>
      <c r="G73" s="5"/>
      <c r="H73" s="2"/>
      <c r="I73" s="2"/>
      <c r="J73" s="2"/>
      <c r="K73" s="2"/>
      <c r="L73" s="2"/>
      <c r="M73" s="2"/>
      <c r="N73" s="2"/>
      <c r="O73" s="2"/>
      <c r="P73" s="2"/>
      <c r="Q73" s="2"/>
      <c r="R73" s="2"/>
      <c r="S73" s="2"/>
      <c r="T73" s="2"/>
      <c r="U73" s="2"/>
      <c r="V73" s="2"/>
      <c r="W73" s="2"/>
      <c r="X73" s="2"/>
      <c r="Y73" s="2"/>
      <c r="Z73" s="2" t="str">
        <f t="shared" si="4"/>
        <v/>
      </c>
      <c r="AA73" s="2" t="str">
        <f t="shared" si="5"/>
        <v/>
      </c>
      <c r="AB73" s="2" t="str">
        <f t="shared" si="6"/>
        <v/>
      </c>
      <c r="AC73" s="2" t="str">
        <f t="shared" si="7"/>
        <v>Walks with direction</v>
      </c>
      <c r="AD73" s="2"/>
      <c r="AE73" s="5"/>
      <c r="AF73" s="2"/>
      <c r="AG73" s="2"/>
      <c r="AH73" s="2"/>
      <c r="AI73" s="2"/>
    </row>
    <row r="74" spans="1:35">
      <c r="A74" s="2"/>
      <c r="B74" s="2"/>
      <c r="C74" s="2"/>
      <c r="D74" s="2"/>
      <c r="E74" s="5"/>
      <c r="F74" s="2"/>
      <c r="G74" s="5"/>
      <c r="H74" s="2"/>
      <c r="I74" s="2"/>
      <c r="J74" s="2"/>
      <c r="K74" s="2"/>
      <c r="L74" s="2"/>
      <c r="M74" s="2"/>
      <c r="N74" s="2"/>
      <c r="O74" s="2"/>
      <c r="P74" s="2"/>
      <c r="Q74" s="2"/>
      <c r="R74" s="2"/>
      <c r="S74" s="2"/>
      <c r="T74" s="2"/>
      <c r="U74" s="2"/>
      <c r="V74" s="2"/>
      <c r="W74" s="2"/>
      <c r="X74" s="2"/>
      <c r="Y74" s="2"/>
      <c r="Z74" s="2" t="str">
        <f t="shared" si="4"/>
        <v/>
      </c>
      <c r="AA74" s="2" t="str">
        <f t="shared" si="5"/>
        <v/>
      </c>
      <c r="AB74" s="2" t="str">
        <f t="shared" si="6"/>
        <v/>
      </c>
      <c r="AC74" s="2" t="str">
        <f t="shared" si="7"/>
        <v>Walks with direction</v>
      </c>
      <c r="AD74" s="2"/>
      <c r="AE74" s="5"/>
      <c r="AF74" s="2"/>
      <c r="AG74" s="2"/>
      <c r="AH74" s="2"/>
      <c r="AI74" s="2"/>
    </row>
    <row r="75" spans="1:35">
      <c r="A75" s="2"/>
      <c r="B75" s="2"/>
      <c r="C75" s="2"/>
      <c r="D75" s="2"/>
      <c r="E75" s="5"/>
      <c r="F75" s="2"/>
      <c r="G75" s="5"/>
      <c r="H75" s="2"/>
      <c r="I75" s="2"/>
      <c r="J75" s="2"/>
      <c r="K75" s="2"/>
      <c r="L75" s="2"/>
      <c r="M75" s="2"/>
      <c r="N75" s="2"/>
      <c r="O75" s="2"/>
      <c r="P75" s="2"/>
      <c r="Q75" s="2"/>
      <c r="R75" s="2"/>
      <c r="S75" s="2"/>
      <c r="T75" s="2"/>
      <c r="U75" s="2"/>
      <c r="V75" s="2"/>
      <c r="W75" s="2"/>
      <c r="X75" s="2"/>
      <c r="Y75" s="2"/>
      <c r="Z75" s="2" t="str">
        <f t="shared" si="4"/>
        <v/>
      </c>
      <c r="AA75" s="2" t="str">
        <f t="shared" si="5"/>
        <v/>
      </c>
      <c r="AB75" s="2" t="str">
        <f t="shared" si="6"/>
        <v/>
      </c>
      <c r="AC75" s="2" t="str">
        <f t="shared" si="7"/>
        <v>Walks with direction</v>
      </c>
      <c r="AD75" s="2"/>
      <c r="AE75" s="5"/>
      <c r="AF75" s="2"/>
      <c r="AG75" s="2"/>
      <c r="AH75" s="2"/>
      <c r="AI75" s="2"/>
    </row>
    <row r="76" spans="1:35">
      <c r="A76" s="2"/>
      <c r="B76" s="2"/>
      <c r="C76" s="2"/>
      <c r="D76" s="2"/>
      <c r="E76" s="5"/>
      <c r="F76" s="2"/>
      <c r="G76" s="5"/>
      <c r="H76" s="2"/>
      <c r="I76" s="2"/>
      <c r="J76" s="2"/>
      <c r="K76" s="2"/>
      <c r="L76" s="2"/>
      <c r="M76" s="2"/>
      <c r="N76" s="2"/>
      <c r="O76" s="2"/>
      <c r="P76" s="2"/>
      <c r="Q76" s="2"/>
      <c r="R76" s="2"/>
      <c r="S76" s="2"/>
      <c r="T76" s="2"/>
      <c r="U76" s="2"/>
      <c r="V76" s="2"/>
      <c r="W76" s="2"/>
      <c r="X76" s="2"/>
      <c r="Y76" s="2"/>
      <c r="Z76" s="2" t="str">
        <f t="shared" si="4"/>
        <v/>
      </c>
      <c r="AA76" s="2" t="str">
        <f t="shared" si="5"/>
        <v/>
      </c>
      <c r="AB76" s="2" t="str">
        <f t="shared" si="6"/>
        <v/>
      </c>
      <c r="AC76" s="2" t="str">
        <f t="shared" si="7"/>
        <v>Walks with direction</v>
      </c>
      <c r="AD76" s="2"/>
      <c r="AE76" s="5"/>
      <c r="AF76" s="2"/>
      <c r="AG76" s="2"/>
      <c r="AH76" s="2"/>
      <c r="AI76" s="2"/>
    </row>
    <row r="77" spans="1:35">
      <c r="A77" s="2"/>
      <c r="B77" s="2"/>
      <c r="C77" s="2"/>
      <c r="D77" s="2"/>
      <c r="E77" s="5"/>
      <c r="F77" s="2"/>
      <c r="G77" s="5"/>
      <c r="H77" s="2"/>
      <c r="I77" s="2"/>
      <c r="J77" s="2"/>
      <c r="K77" s="2"/>
      <c r="L77" s="2"/>
      <c r="M77" s="2"/>
      <c r="N77" s="2"/>
      <c r="O77" s="2"/>
      <c r="P77" s="2"/>
      <c r="Q77" s="2"/>
      <c r="R77" s="2"/>
      <c r="S77" s="2"/>
      <c r="T77" s="2"/>
      <c r="U77" s="2"/>
      <c r="V77" s="2"/>
      <c r="W77" s="2"/>
      <c r="X77" s="2"/>
      <c r="Y77" s="2"/>
      <c r="Z77" s="2" t="str">
        <f t="shared" si="4"/>
        <v/>
      </c>
      <c r="AA77" s="2" t="str">
        <f t="shared" si="5"/>
        <v/>
      </c>
      <c r="AB77" s="2" t="str">
        <f t="shared" si="6"/>
        <v/>
      </c>
      <c r="AC77" s="2" t="str">
        <f t="shared" si="7"/>
        <v>Walks with direction</v>
      </c>
      <c r="AD77" s="2"/>
      <c r="AE77" s="5"/>
      <c r="AF77" s="2"/>
      <c r="AG77" s="2"/>
      <c r="AH77" s="2"/>
      <c r="AI77" s="2"/>
    </row>
    <row r="78" spans="1:35">
      <c r="A78" s="2"/>
      <c r="B78" s="2"/>
      <c r="C78" s="2"/>
      <c r="D78" s="2"/>
      <c r="E78" s="5"/>
      <c r="F78" s="2"/>
      <c r="G78" s="5"/>
      <c r="H78" s="2"/>
      <c r="I78" s="2"/>
      <c r="J78" s="2"/>
      <c r="K78" s="2"/>
      <c r="L78" s="2"/>
      <c r="M78" s="2"/>
      <c r="N78" s="2"/>
      <c r="O78" s="2"/>
      <c r="P78" s="2"/>
      <c r="Q78" s="2"/>
      <c r="R78" s="2"/>
      <c r="S78" s="2"/>
      <c r="T78" s="2"/>
      <c r="U78" s="2"/>
      <c r="V78" s="2"/>
      <c r="W78" s="2"/>
      <c r="X78" s="2"/>
      <c r="Y78" s="2"/>
      <c r="Z78" s="2" t="str">
        <f t="shared" si="4"/>
        <v/>
      </c>
      <c r="AA78" s="2" t="str">
        <f t="shared" si="5"/>
        <v/>
      </c>
      <c r="AB78" s="2" t="str">
        <f t="shared" si="6"/>
        <v/>
      </c>
      <c r="AC78" s="2" t="str">
        <f t="shared" si="7"/>
        <v>Walks with direction</v>
      </c>
      <c r="AD78" s="2"/>
      <c r="AE78" s="5"/>
      <c r="AF78" s="2"/>
      <c r="AG78" s="2"/>
      <c r="AH78" s="2"/>
      <c r="AI78" s="2"/>
    </row>
    <row r="79" spans="1:35">
      <c r="A79" s="2"/>
      <c r="B79" s="2"/>
      <c r="C79" s="2"/>
      <c r="D79" s="2"/>
      <c r="E79" s="5"/>
      <c r="F79" s="2"/>
      <c r="G79" s="5"/>
      <c r="H79" s="2"/>
      <c r="I79" s="2"/>
      <c r="J79" s="2"/>
      <c r="K79" s="2"/>
      <c r="L79" s="2"/>
      <c r="M79" s="2"/>
      <c r="N79" s="2"/>
      <c r="O79" s="2"/>
      <c r="P79" s="2"/>
      <c r="Q79" s="2"/>
      <c r="R79" s="2"/>
      <c r="S79" s="2"/>
      <c r="T79" s="2"/>
      <c r="U79" s="2"/>
      <c r="V79" s="2"/>
      <c r="W79" s="2"/>
      <c r="X79" s="2"/>
      <c r="Y79" s="2"/>
      <c r="Z79" s="2" t="str">
        <f t="shared" si="4"/>
        <v/>
      </c>
      <c r="AA79" s="2" t="str">
        <f t="shared" si="5"/>
        <v/>
      </c>
      <c r="AB79" s="2" t="str">
        <f t="shared" si="6"/>
        <v/>
      </c>
      <c r="AC79" s="2" t="str">
        <f t="shared" si="7"/>
        <v>Walks with direction</v>
      </c>
      <c r="AD79" s="2"/>
      <c r="AE79" s="5"/>
      <c r="AF79" s="2"/>
      <c r="AG79" s="2"/>
      <c r="AH79" s="2"/>
      <c r="AI79" s="2"/>
    </row>
    <row r="80" spans="1:35">
      <c r="A80" s="2"/>
      <c r="B80" s="2"/>
      <c r="C80" s="2"/>
      <c r="D80" s="2"/>
      <c r="E80" s="5"/>
      <c r="F80" s="2"/>
      <c r="G80" s="5"/>
      <c r="H80" s="2"/>
      <c r="I80" s="2"/>
      <c r="J80" s="2"/>
      <c r="K80" s="2"/>
      <c r="L80" s="2"/>
      <c r="M80" s="2"/>
      <c r="N80" s="2"/>
      <c r="O80" s="2"/>
      <c r="P80" s="2"/>
      <c r="Q80" s="2"/>
      <c r="R80" s="2"/>
      <c r="S80" s="2"/>
      <c r="T80" s="2"/>
      <c r="U80" s="2"/>
      <c r="V80" s="2"/>
      <c r="W80" s="2"/>
      <c r="X80" s="2"/>
      <c r="Y80" s="2"/>
      <c r="Z80" s="2" t="str">
        <f t="shared" si="4"/>
        <v/>
      </c>
      <c r="AA80" s="2" t="str">
        <f t="shared" si="5"/>
        <v/>
      </c>
      <c r="AB80" s="2" t="str">
        <f t="shared" si="6"/>
        <v/>
      </c>
      <c r="AC80" s="2" t="str">
        <f t="shared" si="7"/>
        <v>Walks with direction</v>
      </c>
      <c r="AD80" s="2"/>
      <c r="AE80" s="5"/>
      <c r="AF80" s="2"/>
      <c r="AG80" s="2"/>
      <c r="AH80" s="2"/>
      <c r="AI80" s="2"/>
    </row>
    <row r="81" spans="1:35">
      <c r="A81" s="2"/>
      <c r="B81" s="2"/>
      <c r="C81" s="2"/>
      <c r="D81" s="2"/>
      <c r="E81" s="5"/>
      <c r="F81" s="2"/>
      <c r="G81" s="5"/>
      <c r="H81" s="2"/>
      <c r="I81" s="2"/>
      <c r="J81" s="2"/>
      <c r="K81" s="2"/>
      <c r="L81" s="2"/>
      <c r="M81" s="2"/>
      <c r="N81" s="2"/>
      <c r="O81" s="2"/>
      <c r="P81" s="2"/>
      <c r="Q81" s="2"/>
      <c r="R81" s="2"/>
      <c r="S81" s="2"/>
      <c r="T81" s="2"/>
      <c r="U81" s="2"/>
      <c r="V81" s="2"/>
      <c r="W81" s="2"/>
      <c r="X81" s="2"/>
      <c r="Y81" s="2"/>
      <c r="Z81" s="2" t="str">
        <f t="shared" si="4"/>
        <v/>
      </c>
      <c r="AA81" s="2" t="str">
        <f t="shared" si="5"/>
        <v/>
      </c>
      <c r="AB81" s="2" t="str">
        <f t="shared" si="6"/>
        <v/>
      </c>
      <c r="AC81" s="2" t="str">
        <f t="shared" si="7"/>
        <v>Walks with direction</v>
      </c>
      <c r="AD81" s="2"/>
      <c r="AE81" s="5"/>
      <c r="AF81" s="2"/>
      <c r="AG81" s="2"/>
      <c r="AH81" s="2"/>
      <c r="AI81" s="2"/>
    </row>
    <row r="82" spans="1:35">
      <c r="A82" s="2"/>
      <c r="B82" s="2"/>
      <c r="C82" s="2"/>
      <c r="D82" s="2"/>
      <c r="E82" s="5"/>
      <c r="F82" s="2"/>
      <c r="G82" s="5"/>
      <c r="H82" s="2"/>
      <c r="I82" s="2"/>
      <c r="J82" s="2"/>
      <c r="K82" s="2"/>
      <c r="L82" s="2"/>
      <c r="M82" s="2"/>
      <c r="N82" s="2"/>
      <c r="O82" s="2"/>
      <c r="P82" s="2"/>
      <c r="Q82" s="2"/>
      <c r="R82" s="2"/>
      <c r="S82" s="2"/>
      <c r="T82" s="2"/>
      <c r="U82" s="2"/>
      <c r="V82" s="2"/>
      <c r="W82" s="2"/>
      <c r="X82" s="2"/>
      <c r="Y82" s="2"/>
      <c r="Z82" s="2" t="str">
        <f t="shared" ref="Z82:Z113" si="8">IF(COUNTA(H82:Y82)=0,"",IF(COUNTIF(H82:Y82,"Very High")&gt;0,"Very High",IF(COUNTIF(H82:Y82,"High")&gt;0,"High",IF(COUNTIF(H82:Y82,"Medium")&gt;0,"Medium","Low"))))</f>
        <v/>
      </c>
      <c r="AA82" s="2" t="str">
        <f t="shared" ref="AA82:AA113" si="9">IF(Z82="","",IF(Z82="Low","Routine planned support",IF(Z82="Medium","One staff support/supervision likely",IF(Z82="High","Two staff/review staffing and equipment","Manager review: multiple staff/specialist support"))))</f>
        <v/>
      </c>
      <c r="AB82" s="2" t="str">
        <f t="shared" ref="AB82:AB117" si="10">IF(Z82="","",IF(OR(Z82="High",Z82="Very High",W82="High",W82="Very High"),"Night staffing and evacuation review required","Routine night checks as per care plan"))</f>
        <v/>
      </c>
      <c r="AC82" s="2" t="str">
        <f t="shared" ref="AC82:AC117" si="11">IF(X82="Very High","Specialist PEEP / equipment",IF(OR(X82="High",Z82="High"),"Evacuation sheet/chair or wheelchair per PEEP",IF(OR(X82="Medium",Z82="Medium"),"Walking aid/wheelchair support per PEEP","Walks with direction")))</f>
        <v>Walks with direction</v>
      </c>
      <c r="AD82" s="2"/>
      <c r="AE82" s="5"/>
      <c r="AF82" s="2"/>
      <c r="AG82" s="2"/>
      <c r="AH82" s="2"/>
      <c r="AI82" s="2"/>
    </row>
    <row r="83" spans="1:35">
      <c r="A83" s="2"/>
      <c r="B83" s="2"/>
      <c r="C83" s="2"/>
      <c r="D83" s="2"/>
      <c r="E83" s="5"/>
      <c r="F83" s="2"/>
      <c r="G83" s="5"/>
      <c r="H83" s="2"/>
      <c r="I83" s="2"/>
      <c r="J83" s="2"/>
      <c r="K83" s="2"/>
      <c r="L83" s="2"/>
      <c r="M83" s="2"/>
      <c r="N83" s="2"/>
      <c r="O83" s="2"/>
      <c r="P83" s="2"/>
      <c r="Q83" s="2"/>
      <c r="R83" s="2"/>
      <c r="S83" s="2"/>
      <c r="T83" s="2"/>
      <c r="U83" s="2"/>
      <c r="V83" s="2"/>
      <c r="W83" s="2"/>
      <c r="X83" s="2"/>
      <c r="Y83" s="2"/>
      <c r="Z83" s="2" t="str">
        <f t="shared" si="8"/>
        <v/>
      </c>
      <c r="AA83" s="2" t="str">
        <f t="shared" si="9"/>
        <v/>
      </c>
      <c r="AB83" s="2" t="str">
        <f t="shared" si="10"/>
        <v/>
      </c>
      <c r="AC83" s="2" t="str">
        <f t="shared" si="11"/>
        <v>Walks with direction</v>
      </c>
      <c r="AD83" s="2"/>
      <c r="AE83" s="5"/>
      <c r="AF83" s="2"/>
      <c r="AG83" s="2"/>
      <c r="AH83" s="2"/>
      <c r="AI83" s="2"/>
    </row>
    <row r="84" spans="1:35">
      <c r="A84" s="2"/>
      <c r="B84" s="2"/>
      <c r="C84" s="2"/>
      <c r="D84" s="2"/>
      <c r="E84" s="5"/>
      <c r="F84" s="2"/>
      <c r="G84" s="5"/>
      <c r="H84" s="2"/>
      <c r="I84" s="2"/>
      <c r="J84" s="2"/>
      <c r="K84" s="2"/>
      <c r="L84" s="2"/>
      <c r="M84" s="2"/>
      <c r="N84" s="2"/>
      <c r="O84" s="2"/>
      <c r="P84" s="2"/>
      <c r="Q84" s="2"/>
      <c r="R84" s="2"/>
      <c r="S84" s="2"/>
      <c r="T84" s="2"/>
      <c r="U84" s="2"/>
      <c r="V84" s="2"/>
      <c r="W84" s="2"/>
      <c r="X84" s="2"/>
      <c r="Y84" s="2"/>
      <c r="Z84" s="2" t="str">
        <f t="shared" si="8"/>
        <v/>
      </c>
      <c r="AA84" s="2" t="str">
        <f t="shared" si="9"/>
        <v/>
      </c>
      <c r="AB84" s="2" t="str">
        <f t="shared" si="10"/>
        <v/>
      </c>
      <c r="AC84" s="2" t="str">
        <f t="shared" si="11"/>
        <v>Walks with direction</v>
      </c>
      <c r="AD84" s="2"/>
      <c r="AE84" s="5"/>
      <c r="AF84" s="2"/>
      <c r="AG84" s="2"/>
      <c r="AH84" s="2"/>
      <c r="AI84" s="2"/>
    </row>
    <row r="85" spans="1:35">
      <c r="A85" s="2"/>
      <c r="B85" s="2"/>
      <c r="C85" s="2"/>
      <c r="D85" s="2"/>
      <c r="E85" s="5"/>
      <c r="F85" s="2"/>
      <c r="G85" s="5"/>
      <c r="H85" s="2"/>
      <c r="I85" s="2"/>
      <c r="J85" s="2"/>
      <c r="K85" s="2"/>
      <c r="L85" s="2"/>
      <c r="M85" s="2"/>
      <c r="N85" s="2"/>
      <c r="O85" s="2"/>
      <c r="P85" s="2"/>
      <c r="Q85" s="2"/>
      <c r="R85" s="2"/>
      <c r="S85" s="2"/>
      <c r="T85" s="2"/>
      <c r="U85" s="2"/>
      <c r="V85" s="2"/>
      <c r="W85" s="2"/>
      <c r="X85" s="2"/>
      <c r="Y85" s="2"/>
      <c r="Z85" s="2" t="str">
        <f t="shared" si="8"/>
        <v/>
      </c>
      <c r="AA85" s="2" t="str">
        <f t="shared" si="9"/>
        <v/>
      </c>
      <c r="AB85" s="2" t="str">
        <f t="shared" si="10"/>
        <v/>
      </c>
      <c r="AC85" s="2" t="str">
        <f t="shared" si="11"/>
        <v>Walks with direction</v>
      </c>
      <c r="AD85" s="2"/>
      <c r="AE85" s="5"/>
      <c r="AF85" s="2"/>
      <c r="AG85" s="2"/>
      <c r="AH85" s="2"/>
      <c r="AI85" s="2"/>
    </row>
    <row r="86" spans="1:35">
      <c r="A86" s="2"/>
      <c r="B86" s="2"/>
      <c r="C86" s="2"/>
      <c r="D86" s="2"/>
      <c r="E86" s="5"/>
      <c r="F86" s="2"/>
      <c r="G86" s="5"/>
      <c r="H86" s="2"/>
      <c r="I86" s="2"/>
      <c r="J86" s="2"/>
      <c r="K86" s="2"/>
      <c r="L86" s="2"/>
      <c r="M86" s="2"/>
      <c r="N86" s="2"/>
      <c r="O86" s="2"/>
      <c r="P86" s="2"/>
      <c r="Q86" s="2"/>
      <c r="R86" s="2"/>
      <c r="S86" s="2"/>
      <c r="T86" s="2"/>
      <c r="U86" s="2"/>
      <c r="V86" s="2"/>
      <c r="W86" s="2"/>
      <c r="X86" s="2"/>
      <c r="Y86" s="2"/>
      <c r="Z86" s="2" t="str">
        <f t="shared" si="8"/>
        <v/>
      </c>
      <c r="AA86" s="2" t="str">
        <f t="shared" si="9"/>
        <v/>
      </c>
      <c r="AB86" s="2" t="str">
        <f t="shared" si="10"/>
        <v/>
      </c>
      <c r="AC86" s="2" t="str">
        <f t="shared" si="11"/>
        <v>Walks with direction</v>
      </c>
      <c r="AD86" s="2"/>
      <c r="AE86" s="5"/>
      <c r="AF86" s="2"/>
      <c r="AG86" s="2"/>
      <c r="AH86" s="2"/>
      <c r="AI86" s="2"/>
    </row>
    <row r="87" spans="1:35">
      <c r="A87" s="2"/>
      <c r="B87" s="2"/>
      <c r="C87" s="2"/>
      <c r="D87" s="2"/>
      <c r="E87" s="5"/>
      <c r="F87" s="2"/>
      <c r="G87" s="5"/>
      <c r="H87" s="2"/>
      <c r="I87" s="2"/>
      <c r="J87" s="2"/>
      <c r="K87" s="2"/>
      <c r="L87" s="2"/>
      <c r="M87" s="2"/>
      <c r="N87" s="2"/>
      <c r="O87" s="2"/>
      <c r="P87" s="2"/>
      <c r="Q87" s="2"/>
      <c r="R87" s="2"/>
      <c r="S87" s="2"/>
      <c r="T87" s="2"/>
      <c r="U87" s="2"/>
      <c r="V87" s="2"/>
      <c r="W87" s="2"/>
      <c r="X87" s="2"/>
      <c r="Y87" s="2"/>
      <c r="Z87" s="2" t="str">
        <f t="shared" si="8"/>
        <v/>
      </c>
      <c r="AA87" s="2" t="str">
        <f t="shared" si="9"/>
        <v/>
      </c>
      <c r="AB87" s="2" t="str">
        <f t="shared" si="10"/>
        <v/>
      </c>
      <c r="AC87" s="2" t="str">
        <f t="shared" si="11"/>
        <v>Walks with direction</v>
      </c>
      <c r="AD87" s="2"/>
      <c r="AE87" s="5"/>
      <c r="AF87" s="2"/>
      <c r="AG87" s="2"/>
      <c r="AH87" s="2"/>
      <c r="AI87" s="2"/>
    </row>
    <row r="88" spans="1:35">
      <c r="A88" s="2"/>
      <c r="B88" s="2"/>
      <c r="C88" s="2"/>
      <c r="D88" s="2"/>
      <c r="E88" s="5"/>
      <c r="F88" s="2"/>
      <c r="G88" s="5"/>
      <c r="H88" s="2"/>
      <c r="I88" s="2"/>
      <c r="J88" s="2"/>
      <c r="K88" s="2"/>
      <c r="L88" s="2"/>
      <c r="M88" s="2"/>
      <c r="N88" s="2"/>
      <c r="O88" s="2"/>
      <c r="P88" s="2"/>
      <c r="Q88" s="2"/>
      <c r="R88" s="2"/>
      <c r="S88" s="2"/>
      <c r="T88" s="2"/>
      <c r="U88" s="2"/>
      <c r="V88" s="2"/>
      <c r="W88" s="2"/>
      <c r="X88" s="2"/>
      <c r="Y88" s="2"/>
      <c r="Z88" s="2" t="str">
        <f t="shared" si="8"/>
        <v/>
      </c>
      <c r="AA88" s="2" t="str">
        <f t="shared" si="9"/>
        <v/>
      </c>
      <c r="AB88" s="2" t="str">
        <f t="shared" si="10"/>
        <v/>
      </c>
      <c r="AC88" s="2" t="str">
        <f t="shared" si="11"/>
        <v>Walks with direction</v>
      </c>
      <c r="AD88" s="2"/>
      <c r="AE88" s="5"/>
      <c r="AF88" s="2"/>
      <c r="AG88" s="2"/>
      <c r="AH88" s="2"/>
      <c r="AI88" s="2"/>
    </row>
    <row r="89" spans="1:35">
      <c r="A89" s="2"/>
      <c r="B89" s="2"/>
      <c r="C89" s="2"/>
      <c r="D89" s="2"/>
      <c r="E89" s="5"/>
      <c r="F89" s="2"/>
      <c r="G89" s="5"/>
      <c r="H89" s="2"/>
      <c r="I89" s="2"/>
      <c r="J89" s="2"/>
      <c r="K89" s="2"/>
      <c r="L89" s="2"/>
      <c r="M89" s="2"/>
      <c r="N89" s="2"/>
      <c r="O89" s="2"/>
      <c r="P89" s="2"/>
      <c r="Q89" s="2"/>
      <c r="R89" s="2"/>
      <c r="S89" s="2"/>
      <c r="T89" s="2"/>
      <c r="U89" s="2"/>
      <c r="V89" s="2"/>
      <c r="W89" s="2"/>
      <c r="X89" s="2"/>
      <c r="Y89" s="2"/>
      <c r="Z89" s="2" t="str">
        <f t="shared" si="8"/>
        <v/>
      </c>
      <c r="AA89" s="2" t="str">
        <f t="shared" si="9"/>
        <v/>
      </c>
      <c r="AB89" s="2" t="str">
        <f t="shared" si="10"/>
        <v/>
      </c>
      <c r="AC89" s="2" t="str">
        <f t="shared" si="11"/>
        <v>Walks with direction</v>
      </c>
      <c r="AD89" s="2"/>
      <c r="AE89" s="5"/>
      <c r="AF89" s="2"/>
      <c r="AG89" s="2"/>
      <c r="AH89" s="2"/>
      <c r="AI89" s="2"/>
    </row>
    <row r="90" spans="1:35">
      <c r="A90" s="2"/>
      <c r="B90" s="2"/>
      <c r="C90" s="2"/>
      <c r="D90" s="2"/>
      <c r="E90" s="5"/>
      <c r="F90" s="2"/>
      <c r="G90" s="5"/>
      <c r="H90" s="2"/>
      <c r="I90" s="2"/>
      <c r="J90" s="2"/>
      <c r="K90" s="2"/>
      <c r="L90" s="2"/>
      <c r="M90" s="2"/>
      <c r="N90" s="2"/>
      <c r="O90" s="2"/>
      <c r="P90" s="2"/>
      <c r="Q90" s="2"/>
      <c r="R90" s="2"/>
      <c r="S90" s="2"/>
      <c r="T90" s="2"/>
      <c r="U90" s="2"/>
      <c r="V90" s="2"/>
      <c r="W90" s="2"/>
      <c r="X90" s="2"/>
      <c r="Y90" s="2"/>
      <c r="Z90" s="2" t="str">
        <f t="shared" si="8"/>
        <v/>
      </c>
      <c r="AA90" s="2" t="str">
        <f t="shared" si="9"/>
        <v/>
      </c>
      <c r="AB90" s="2" t="str">
        <f t="shared" si="10"/>
        <v/>
      </c>
      <c r="AC90" s="2" t="str">
        <f t="shared" si="11"/>
        <v>Walks with direction</v>
      </c>
      <c r="AD90" s="2"/>
      <c r="AE90" s="5"/>
      <c r="AF90" s="2"/>
      <c r="AG90" s="2"/>
      <c r="AH90" s="2"/>
      <c r="AI90" s="2"/>
    </row>
    <row r="91" spans="1:35">
      <c r="A91" s="2"/>
      <c r="B91" s="2"/>
      <c r="C91" s="2"/>
      <c r="D91" s="2"/>
      <c r="E91" s="5"/>
      <c r="F91" s="2"/>
      <c r="G91" s="5"/>
      <c r="H91" s="2"/>
      <c r="I91" s="2"/>
      <c r="J91" s="2"/>
      <c r="K91" s="2"/>
      <c r="L91" s="2"/>
      <c r="M91" s="2"/>
      <c r="N91" s="2"/>
      <c r="O91" s="2"/>
      <c r="P91" s="2"/>
      <c r="Q91" s="2"/>
      <c r="R91" s="2"/>
      <c r="S91" s="2"/>
      <c r="T91" s="2"/>
      <c r="U91" s="2"/>
      <c r="V91" s="2"/>
      <c r="W91" s="2"/>
      <c r="X91" s="2"/>
      <c r="Y91" s="2"/>
      <c r="Z91" s="2" t="str">
        <f t="shared" si="8"/>
        <v/>
      </c>
      <c r="AA91" s="2" t="str">
        <f t="shared" si="9"/>
        <v/>
      </c>
      <c r="AB91" s="2" t="str">
        <f t="shared" si="10"/>
        <v/>
      </c>
      <c r="AC91" s="2" t="str">
        <f t="shared" si="11"/>
        <v>Walks with direction</v>
      </c>
      <c r="AD91" s="2"/>
      <c r="AE91" s="5"/>
      <c r="AF91" s="2"/>
      <c r="AG91" s="2"/>
      <c r="AH91" s="2"/>
      <c r="AI91" s="2"/>
    </row>
    <row r="92" spans="1:35">
      <c r="A92" s="2"/>
      <c r="B92" s="2"/>
      <c r="C92" s="2"/>
      <c r="D92" s="2"/>
      <c r="E92" s="5"/>
      <c r="F92" s="2"/>
      <c r="G92" s="5"/>
      <c r="H92" s="2"/>
      <c r="I92" s="2"/>
      <c r="J92" s="2"/>
      <c r="K92" s="2"/>
      <c r="L92" s="2"/>
      <c r="M92" s="2"/>
      <c r="N92" s="2"/>
      <c r="O92" s="2"/>
      <c r="P92" s="2"/>
      <c r="Q92" s="2"/>
      <c r="R92" s="2"/>
      <c r="S92" s="2"/>
      <c r="T92" s="2"/>
      <c r="U92" s="2"/>
      <c r="V92" s="2"/>
      <c r="W92" s="2"/>
      <c r="X92" s="2"/>
      <c r="Y92" s="2"/>
      <c r="Z92" s="2" t="str">
        <f t="shared" si="8"/>
        <v/>
      </c>
      <c r="AA92" s="2" t="str">
        <f t="shared" si="9"/>
        <v/>
      </c>
      <c r="AB92" s="2" t="str">
        <f t="shared" si="10"/>
        <v/>
      </c>
      <c r="AC92" s="2" t="str">
        <f t="shared" si="11"/>
        <v>Walks with direction</v>
      </c>
      <c r="AD92" s="2"/>
      <c r="AE92" s="5"/>
      <c r="AF92" s="2"/>
      <c r="AG92" s="2"/>
      <c r="AH92" s="2"/>
      <c r="AI92" s="2"/>
    </row>
    <row r="93" spans="1:35">
      <c r="A93" s="2"/>
      <c r="B93" s="2"/>
      <c r="C93" s="2"/>
      <c r="D93" s="2"/>
      <c r="E93" s="5"/>
      <c r="F93" s="2"/>
      <c r="G93" s="5"/>
      <c r="H93" s="2"/>
      <c r="I93" s="2"/>
      <c r="J93" s="2"/>
      <c r="K93" s="2"/>
      <c r="L93" s="2"/>
      <c r="M93" s="2"/>
      <c r="N93" s="2"/>
      <c r="O93" s="2"/>
      <c r="P93" s="2"/>
      <c r="Q93" s="2"/>
      <c r="R93" s="2"/>
      <c r="S93" s="2"/>
      <c r="T93" s="2"/>
      <c r="U93" s="2"/>
      <c r="V93" s="2"/>
      <c r="W93" s="2"/>
      <c r="X93" s="2"/>
      <c r="Y93" s="2"/>
      <c r="Z93" s="2" t="str">
        <f t="shared" si="8"/>
        <v/>
      </c>
      <c r="AA93" s="2" t="str">
        <f t="shared" si="9"/>
        <v/>
      </c>
      <c r="AB93" s="2" t="str">
        <f t="shared" si="10"/>
        <v/>
      </c>
      <c r="AC93" s="2" t="str">
        <f t="shared" si="11"/>
        <v>Walks with direction</v>
      </c>
      <c r="AD93" s="2"/>
      <c r="AE93" s="5"/>
      <c r="AF93" s="2"/>
      <c r="AG93" s="2"/>
      <c r="AH93" s="2"/>
      <c r="AI93" s="2"/>
    </row>
    <row r="94" spans="1:35">
      <c r="A94" s="2"/>
      <c r="B94" s="2"/>
      <c r="C94" s="2"/>
      <c r="D94" s="2"/>
      <c r="E94" s="5"/>
      <c r="F94" s="2"/>
      <c r="G94" s="5"/>
      <c r="H94" s="2"/>
      <c r="I94" s="2"/>
      <c r="J94" s="2"/>
      <c r="K94" s="2"/>
      <c r="L94" s="2"/>
      <c r="M94" s="2"/>
      <c r="N94" s="2"/>
      <c r="O94" s="2"/>
      <c r="P94" s="2"/>
      <c r="Q94" s="2"/>
      <c r="R94" s="2"/>
      <c r="S94" s="2"/>
      <c r="T94" s="2"/>
      <c r="U94" s="2"/>
      <c r="V94" s="2"/>
      <c r="W94" s="2"/>
      <c r="X94" s="2"/>
      <c r="Y94" s="2"/>
      <c r="Z94" s="2" t="str">
        <f t="shared" si="8"/>
        <v/>
      </c>
      <c r="AA94" s="2" t="str">
        <f t="shared" si="9"/>
        <v/>
      </c>
      <c r="AB94" s="2" t="str">
        <f t="shared" si="10"/>
        <v/>
      </c>
      <c r="AC94" s="2" t="str">
        <f t="shared" si="11"/>
        <v>Walks with direction</v>
      </c>
      <c r="AD94" s="2"/>
      <c r="AE94" s="5"/>
      <c r="AF94" s="2"/>
      <c r="AG94" s="2"/>
      <c r="AH94" s="2"/>
      <c r="AI94" s="2"/>
    </row>
    <row r="95" spans="1:35">
      <c r="A95" s="2"/>
      <c r="B95" s="2"/>
      <c r="C95" s="2"/>
      <c r="D95" s="2"/>
      <c r="E95" s="5"/>
      <c r="F95" s="2"/>
      <c r="G95" s="5"/>
      <c r="H95" s="2"/>
      <c r="I95" s="2"/>
      <c r="J95" s="2"/>
      <c r="K95" s="2"/>
      <c r="L95" s="2"/>
      <c r="M95" s="2"/>
      <c r="N95" s="2"/>
      <c r="O95" s="2"/>
      <c r="P95" s="2"/>
      <c r="Q95" s="2"/>
      <c r="R95" s="2"/>
      <c r="S95" s="2"/>
      <c r="T95" s="2"/>
      <c r="U95" s="2"/>
      <c r="V95" s="2"/>
      <c r="W95" s="2"/>
      <c r="X95" s="2"/>
      <c r="Y95" s="2"/>
      <c r="Z95" s="2" t="str">
        <f t="shared" si="8"/>
        <v/>
      </c>
      <c r="AA95" s="2" t="str">
        <f t="shared" si="9"/>
        <v/>
      </c>
      <c r="AB95" s="2" t="str">
        <f t="shared" si="10"/>
        <v/>
      </c>
      <c r="AC95" s="2" t="str">
        <f t="shared" si="11"/>
        <v>Walks with direction</v>
      </c>
      <c r="AD95" s="2"/>
      <c r="AE95" s="5"/>
      <c r="AF95" s="2"/>
      <c r="AG95" s="2"/>
      <c r="AH95" s="2"/>
      <c r="AI95" s="2"/>
    </row>
    <row r="96" spans="1:35">
      <c r="A96" s="2"/>
      <c r="B96" s="2"/>
      <c r="C96" s="2"/>
      <c r="D96" s="2"/>
      <c r="E96" s="5"/>
      <c r="F96" s="2"/>
      <c r="G96" s="5"/>
      <c r="H96" s="2"/>
      <c r="I96" s="2"/>
      <c r="J96" s="2"/>
      <c r="K96" s="2"/>
      <c r="L96" s="2"/>
      <c r="M96" s="2"/>
      <c r="N96" s="2"/>
      <c r="O96" s="2"/>
      <c r="P96" s="2"/>
      <c r="Q96" s="2"/>
      <c r="R96" s="2"/>
      <c r="S96" s="2"/>
      <c r="T96" s="2"/>
      <c r="U96" s="2"/>
      <c r="V96" s="2"/>
      <c r="W96" s="2"/>
      <c r="X96" s="2"/>
      <c r="Y96" s="2"/>
      <c r="Z96" s="2" t="str">
        <f t="shared" si="8"/>
        <v/>
      </c>
      <c r="AA96" s="2" t="str">
        <f t="shared" si="9"/>
        <v/>
      </c>
      <c r="AB96" s="2" t="str">
        <f t="shared" si="10"/>
        <v/>
      </c>
      <c r="AC96" s="2" t="str">
        <f t="shared" si="11"/>
        <v>Walks with direction</v>
      </c>
      <c r="AD96" s="2"/>
      <c r="AE96" s="5"/>
      <c r="AF96" s="2"/>
      <c r="AG96" s="2"/>
      <c r="AH96" s="2"/>
      <c r="AI96" s="2"/>
    </row>
    <row r="97" spans="1:35">
      <c r="A97" s="2"/>
      <c r="B97" s="2"/>
      <c r="C97" s="2"/>
      <c r="D97" s="2"/>
      <c r="E97" s="5"/>
      <c r="F97" s="2"/>
      <c r="G97" s="5"/>
      <c r="H97" s="2"/>
      <c r="I97" s="2"/>
      <c r="J97" s="2"/>
      <c r="K97" s="2"/>
      <c r="L97" s="2"/>
      <c r="M97" s="2"/>
      <c r="N97" s="2"/>
      <c r="O97" s="2"/>
      <c r="P97" s="2"/>
      <c r="Q97" s="2"/>
      <c r="R97" s="2"/>
      <c r="S97" s="2"/>
      <c r="T97" s="2"/>
      <c r="U97" s="2"/>
      <c r="V97" s="2"/>
      <c r="W97" s="2"/>
      <c r="X97" s="2"/>
      <c r="Y97" s="2"/>
      <c r="Z97" s="2" t="str">
        <f t="shared" si="8"/>
        <v/>
      </c>
      <c r="AA97" s="2" t="str">
        <f t="shared" si="9"/>
        <v/>
      </c>
      <c r="AB97" s="2" t="str">
        <f t="shared" si="10"/>
        <v/>
      </c>
      <c r="AC97" s="2" t="str">
        <f t="shared" si="11"/>
        <v>Walks with direction</v>
      </c>
      <c r="AD97" s="2"/>
      <c r="AE97" s="5"/>
      <c r="AF97" s="2"/>
      <c r="AG97" s="2"/>
      <c r="AH97" s="2"/>
      <c r="AI97" s="2"/>
    </row>
    <row r="98" spans="1:35">
      <c r="A98" s="2"/>
      <c r="B98" s="2"/>
      <c r="C98" s="2"/>
      <c r="D98" s="2"/>
      <c r="E98" s="5"/>
      <c r="F98" s="2"/>
      <c r="G98" s="5"/>
      <c r="H98" s="2"/>
      <c r="I98" s="2"/>
      <c r="J98" s="2"/>
      <c r="K98" s="2"/>
      <c r="L98" s="2"/>
      <c r="M98" s="2"/>
      <c r="N98" s="2"/>
      <c r="O98" s="2"/>
      <c r="P98" s="2"/>
      <c r="Q98" s="2"/>
      <c r="R98" s="2"/>
      <c r="S98" s="2"/>
      <c r="T98" s="2"/>
      <c r="U98" s="2"/>
      <c r="V98" s="2"/>
      <c r="W98" s="2"/>
      <c r="X98" s="2"/>
      <c r="Y98" s="2"/>
      <c r="Z98" s="2" t="str">
        <f t="shared" si="8"/>
        <v/>
      </c>
      <c r="AA98" s="2" t="str">
        <f t="shared" si="9"/>
        <v/>
      </c>
      <c r="AB98" s="2" t="str">
        <f t="shared" si="10"/>
        <v/>
      </c>
      <c r="AC98" s="2" t="str">
        <f t="shared" si="11"/>
        <v>Walks with direction</v>
      </c>
      <c r="AD98" s="2"/>
      <c r="AE98" s="5"/>
      <c r="AF98" s="2"/>
      <c r="AG98" s="2"/>
      <c r="AH98" s="2"/>
      <c r="AI98" s="2"/>
    </row>
    <row r="99" spans="1:35">
      <c r="A99" s="2"/>
      <c r="B99" s="2"/>
      <c r="C99" s="2"/>
      <c r="D99" s="2"/>
      <c r="E99" s="5"/>
      <c r="F99" s="2"/>
      <c r="G99" s="5"/>
      <c r="H99" s="2"/>
      <c r="I99" s="2"/>
      <c r="J99" s="2"/>
      <c r="K99" s="2"/>
      <c r="L99" s="2"/>
      <c r="M99" s="2"/>
      <c r="N99" s="2"/>
      <c r="O99" s="2"/>
      <c r="P99" s="2"/>
      <c r="Q99" s="2"/>
      <c r="R99" s="2"/>
      <c r="S99" s="2"/>
      <c r="T99" s="2"/>
      <c r="U99" s="2"/>
      <c r="V99" s="2"/>
      <c r="W99" s="2"/>
      <c r="X99" s="2"/>
      <c r="Y99" s="2"/>
      <c r="Z99" s="2" t="str">
        <f t="shared" si="8"/>
        <v/>
      </c>
      <c r="AA99" s="2" t="str">
        <f t="shared" si="9"/>
        <v/>
      </c>
      <c r="AB99" s="2" t="str">
        <f t="shared" si="10"/>
        <v/>
      </c>
      <c r="AC99" s="2" t="str">
        <f t="shared" si="11"/>
        <v>Walks with direction</v>
      </c>
      <c r="AD99" s="2"/>
      <c r="AE99" s="5"/>
      <c r="AF99" s="2"/>
      <c r="AG99" s="2"/>
      <c r="AH99" s="2"/>
      <c r="AI99" s="2"/>
    </row>
    <row r="100" spans="1:35">
      <c r="A100" s="2"/>
      <c r="B100" s="2"/>
      <c r="C100" s="2"/>
      <c r="D100" s="2"/>
      <c r="E100" s="5"/>
      <c r="F100" s="2"/>
      <c r="G100" s="5"/>
      <c r="H100" s="2"/>
      <c r="I100" s="2"/>
      <c r="J100" s="2"/>
      <c r="K100" s="2"/>
      <c r="L100" s="2"/>
      <c r="M100" s="2"/>
      <c r="N100" s="2"/>
      <c r="O100" s="2"/>
      <c r="P100" s="2"/>
      <c r="Q100" s="2"/>
      <c r="R100" s="2"/>
      <c r="S100" s="2"/>
      <c r="T100" s="2"/>
      <c r="U100" s="2"/>
      <c r="V100" s="2"/>
      <c r="W100" s="2"/>
      <c r="X100" s="2"/>
      <c r="Y100" s="2"/>
      <c r="Z100" s="2" t="str">
        <f t="shared" si="8"/>
        <v/>
      </c>
      <c r="AA100" s="2" t="str">
        <f t="shared" si="9"/>
        <v/>
      </c>
      <c r="AB100" s="2" t="str">
        <f t="shared" si="10"/>
        <v/>
      </c>
      <c r="AC100" s="2" t="str">
        <f t="shared" si="11"/>
        <v>Walks with direction</v>
      </c>
      <c r="AD100" s="2"/>
      <c r="AE100" s="5"/>
      <c r="AF100" s="2"/>
      <c r="AG100" s="2"/>
      <c r="AH100" s="2"/>
      <c r="AI100" s="2"/>
    </row>
    <row r="101" spans="1:35">
      <c r="A101" s="2"/>
      <c r="B101" s="2"/>
      <c r="C101" s="2"/>
      <c r="D101" s="2"/>
      <c r="E101" s="5"/>
      <c r="F101" s="2"/>
      <c r="G101" s="5"/>
      <c r="H101" s="2"/>
      <c r="I101" s="2"/>
      <c r="J101" s="2"/>
      <c r="K101" s="2"/>
      <c r="L101" s="2"/>
      <c r="M101" s="2"/>
      <c r="N101" s="2"/>
      <c r="O101" s="2"/>
      <c r="P101" s="2"/>
      <c r="Q101" s="2"/>
      <c r="R101" s="2"/>
      <c r="S101" s="2"/>
      <c r="T101" s="2"/>
      <c r="U101" s="2"/>
      <c r="V101" s="2"/>
      <c r="W101" s="2"/>
      <c r="X101" s="2"/>
      <c r="Y101" s="2"/>
      <c r="Z101" s="2" t="str">
        <f t="shared" si="8"/>
        <v/>
      </c>
      <c r="AA101" s="2" t="str">
        <f t="shared" si="9"/>
        <v/>
      </c>
      <c r="AB101" s="2" t="str">
        <f t="shared" si="10"/>
        <v/>
      </c>
      <c r="AC101" s="2" t="str">
        <f t="shared" si="11"/>
        <v>Walks with direction</v>
      </c>
      <c r="AD101" s="2"/>
      <c r="AE101" s="5"/>
      <c r="AF101" s="2"/>
      <c r="AG101" s="2"/>
      <c r="AH101" s="2"/>
      <c r="AI101" s="2"/>
    </row>
    <row r="102" spans="1:35">
      <c r="A102" s="2"/>
      <c r="B102" s="2"/>
      <c r="C102" s="2"/>
      <c r="D102" s="2"/>
      <c r="E102" s="5"/>
      <c r="F102" s="2"/>
      <c r="G102" s="5"/>
      <c r="H102" s="2"/>
      <c r="I102" s="2"/>
      <c r="J102" s="2"/>
      <c r="K102" s="2"/>
      <c r="L102" s="2"/>
      <c r="M102" s="2"/>
      <c r="N102" s="2"/>
      <c r="O102" s="2"/>
      <c r="P102" s="2"/>
      <c r="Q102" s="2"/>
      <c r="R102" s="2"/>
      <c r="S102" s="2"/>
      <c r="T102" s="2"/>
      <c r="U102" s="2"/>
      <c r="V102" s="2"/>
      <c r="W102" s="2"/>
      <c r="X102" s="2"/>
      <c r="Y102" s="2"/>
      <c r="Z102" s="2" t="str">
        <f t="shared" si="8"/>
        <v/>
      </c>
      <c r="AA102" s="2" t="str">
        <f t="shared" si="9"/>
        <v/>
      </c>
      <c r="AB102" s="2" t="str">
        <f t="shared" si="10"/>
        <v/>
      </c>
      <c r="AC102" s="2" t="str">
        <f t="shared" si="11"/>
        <v>Walks with direction</v>
      </c>
      <c r="AD102" s="2"/>
      <c r="AE102" s="5"/>
      <c r="AF102" s="2"/>
      <c r="AG102" s="2"/>
      <c r="AH102" s="2"/>
      <c r="AI102" s="2"/>
    </row>
    <row r="103" spans="1:35">
      <c r="A103" s="2"/>
      <c r="B103" s="2"/>
      <c r="C103" s="2"/>
      <c r="D103" s="2"/>
      <c r="E103" s="5"/>
      <c r="F103" s="2"/>
      <c r="G103" s="5"/>
      <c r="H103" s="2"/>
      <c r="I103" s="2"/>
      <c r="J103" s="2"/>
      <c r="K103" s="2"/>
      <c r="L103" s="2"/>
      <c r="M103" s="2"/>
      <c r="N103" s="2"/>
      <c r="O103" s="2"/>
      <c r="P103" s="2"/>
      <c r="Q103" s="2"/>
      <c r="R103" s="2"/>
      <c r="S103" s="2"/>
      <c r="T103" s="2"/>
      <c r="U103" s="2"/>
      <c r="V103" s="2"/>
      <c r="W103" s="2"/>
      <c r="X103" s="2"/>
      <c r="Y103" s="2"/>
      <c r="Z103" s="2" t="str">
        <f t="shared" si="8"/>
        <v/>
      </c>
      <c r="AA103" s="2" t="str">
        <f t="shared" si="9"/>
        <v/>
      </c>
      <c r="AB103" s="2" t="str">
        <f t="shared" si="10"/>
        <v/>
      </c>
      <c r="AC103" s="2" t="str">
        <f t="shared" si="11"/>
        <v>Walks with direction</v>
      </c>
      <c r="AD103" s="2"/>
      <c r="AE103" s="5"/>
      <c r="AF103" s="2"/>
      <c r="AG103" s="2"/>
      <c r="AH103" s="2"/>
      <c r="AI103" s="2"/>
    </row>
    <row r="104" spans="1:35">
      <c r="A104" s="2"/>
      <c r="B104" s="2"/>
      <c r="C104" s="2"/>
      <c r="D104" s="2"/>
      <c r="E104" s="5"/>
      <c r="F104" s="2"/>
      <c r="G104" s="5"/>
      <c r="H104" s="2"/>
      <c r="I104" s="2"/>
      <c r="J104" s="2"/>
      <c r="K104" s="2"/>
      <c r="L104" s="2"/>
      <c r="M104" s="2"/>
      <c r="N104" s="2"/>
      <c r="O104" s="2"/>
      <c r="P104" s="2"/>
      <c r="Q104" s="2"/>
      <c r="R104" s="2"/>
      <c r="S104" s="2"/>
      <c r="T104" s="2"/>
      <c r="U104" s="2"/>
      <c r="V104" s="2"/>
      <c r="W104" s="2"/>
      <c r="X104" s="2"/>
      <c r="Y104" s="2"/>
      <c r="Z104" s="2" t="str">
        <f t="shared" si="8"/>
        <v/>
      </c>
      <c r="AA104" s="2" t="str">
        <f t="shared" si="9"/>
        <v/>
      </c>
      <c r="AB104" s="2" t="str">
        <f t="shared" si="10"/>
        <v/>
      </c>
      <c r="AC104" s="2" t="str">
        <f t="shared" si="11"/>
        <v>Walks with direction</v>
      </c>
      <c r="AD104" s="2"/>
      <c r="AE104" s="5"/>
      <c r="AF104" s="2"/>
      <c r="AG104" s="2"/>
      <c r="AH104" s="2"/>
      <c r="AI104" s="2"/>
    </row>
    <row r="105" spans="1:35">
      <c r="A105" s="2"/>
      <c r="B105" s="2"/>
      <c r="C105" s="2"/>
      <c r="D105" s="2"/>
      <c r="E105" s="5"/>
      <c r="F105" s="2"/>
      <c r="G105" s="5"/>
      <c r="H105" s="2"/>
      <c r="I105" s="2"/>
      <c r="J105" s="2"/>
      <c r="K105" s="2"/>
      <c r="L105" s="2"/>
      <c r="M105" s="2"/>
      <c r="N105" s="2"/>
      <c r="O105" s="2"/>
      <c r="P105" s="2"/>
      <c r="Q105" s="2"/>
      <c r="R105" s="2"/>
      <c r="S105" s="2"/>
      <c r="T105" s="2"/>
      <c r="U105" s="2"/>
      <c r="V105" s="2"/>
      <c r="W105" s="2"/>
      <c r="X105" s="2"/>
      <c r="Y105" s="2"/>
      <c r="Z105" s="2" t="str">
        <f t="shared" si="8"/>
        <v/>
      </c>
      <c r="AA105" s="2" t="str">
        <f t="shared" si="9"/>
        <v/>
      </c>
      <c r="AB105" s="2" t="str">
        <f t="shared" si="10"/>
        <v/>
      </c>
      <c r="AC105" s="2" t="str">
        <f t="shared" si="11"/>
        <v>Walks with direction</v>
      </c>
      <c r="AD105" s="2"/>
      <c r="AE105" s="5"/>
      <c r="AF105" s="2"/>
      <c r="AG105" s="2"/>
      <c r="AH105" s="2"/>
      <c r="AI105" s="2"/>
    </row>
    <row r="106" spans="1:35">
      <c r="A106" s="2"/>
      <c r="B106" s="2"/>
      <c r="C106" s="2"/>
      <c r="D106" s="2"/>
      <c r="E106" s="5"/>
      <c r="F106" s="2"/>
      <c r="G106" s="5"/>
      <c r="H106" s="2"/>
      <c r="I106" s="2"/>
      <c r="J106" s="2"/>
      <c r="K106" s="2"/>
      <c r="L106" s="2"/>
      <c r="M106" s="2"/>
      <c r="N106" s="2"/>
      <c r="O106" s="2"/>
      <c r="P106" s="2"/>
      <c r="Q106" s="2"/>
      <c r="R106" s="2"/>
      <c r="S106" s="2"/>
      <c r="T106" s="2"/>
      <c r="U106" s="2"/>
      <c r="V106" s="2"/>
      <c r="W106" s="2"/>
      <c r="X106" s="2"/>
      <c r="Y106" s="2"/>
      <c r="Z106" s="2" t="str">
        <f t="shared" si="8"/>
        <v/>
      </c>
      <c r="AA106" s="2" t="str">
        <f t="shared" si="9"/>
        <v/>
      </c>
      <c r="AB106" s="2" t="str">
        <f t="shared" si="10"/>
        <v/>
      </c>
      <c r="AC106" s="2" t="str">
        <f t="shared" si="11"/>
        <v>Walks with direction</v>
      </c>
      <c r="AD106" s="2"/>
      <c r="AE106" s="5"/>
      <c r="AF106" s="2"/>
      <c r="AG106" s="2"/>
      <c r="AH106" s="2"/>
      <c r="AI106" s="2"/>
    </row>
    <row r="107" spans="1:35">
      <c r="A107" s="2"/>
      <c r="B107" s="2"/>
      <c r="C107" s="2"/>
      <c r="D107" s="2"/>
      <c r="E107" s="5"/>
      <c r="F107" s="2"/>
      <c r="G107" s="5"/>
      <c r="H107" s="2"/>
      <c r="I107" s="2"/>
      <c r="J107" s="2"/>
      <c r="K107" s="2"/>
      <c r="L107" s="2"/>
      <c r="M107" s="2"/>
      <c r="N107" s="2"/>
      <c r="O107" s="2"/>
      <c r="P107" s="2"/>
      <c r="Q107" s="2"/>
      <c r="R107" s="2"/>
      <c r="S107" s="2"/>
      <c r="T107" s="2"/>
      <c r="U107" s="2"/>
      <c r="V107" s="2"/>
      <c r="W107" s="2"/>
      <c r="X107" s="2"/>
      <c r="Y107" s="2"/>
      <c r="Z107" s="2" t="str">
        <f t="shared" si="8"/>
        <v/>
      </c>
      <c r="AA107" s="2" t="str">
        <f t="shared" si="9"/>
        <v/>
      </c>
      <c r="AB107" s="2" t="str">
        <f t="shared" si="10"/>
        <v/>
      </c>
      <c r="AC107" s="2" t="str">
        <f t="shared" si="11"/>
        <v>Walks with direction</v>
      </c>
      <c r="AD107" s="2"/>
      <c r="AE107" s="5"/>
      <c r="AF107" s="2"/>
      <c r="AG107" s="2"/>
      <c r="AH107" s="2"/>
      <c r="AI107" s="2"/>
    </row>
    <row r="108" spans="1:35">
      <c r="A108" s="2"/>
      <c r="B108" s="2"/>
      <c r="C108" s="2"/>
      <c r="D108" s="2"/>
      <c r="E108" s="5"/>
      <c r="F108" s="2"/>
      <c r="G108" s="5"/>
      <c r="H108" s="2"/>
      <c r="I108" s="2"/>
      <c r="J108" s="2"/>
      <c r="K108" s="2"/>
      <c r="L108" s="2"/>
      <c r="M108" s="2"/>
      <c r="N108" s="2"/>
      <c r="O108" s="2"/>
      <c r="P108" s="2"/>
      <c r="Q108" s="2"/>
      <c r="R108" s="2"/>
      <c r="S108" s="2"/>
      <c r="T108" s="2"/>
      <c r="U108" s="2"/>
      <c r="V108" s="2"/>
      <c r="W108" s="2"/>
      <c r="X108" s="2"/>
      <c r="Y108" s="2"/>
      <c r="Z108" s="2" t="str">
        <f t="shared" si="8"/>
        <v/>
      </c>
      <c r="AA108" s="2" t="str">
        <f t="shared" si="9"/>
        <v/>
      </c>
      <c r="AB108" s="2" t="str">
        <f t="shared" si="10"/>
        <v/>
      </c>
      <c r="AC108" s="2" t="str">
        <f t="shared" si="11"/>
        <v>Walks with direction</v>
      </c>
      <c r="AD108" s="2"/>
      <c r="AE108" s="5"/>
      <c r="AF108" s="2"/>
      <c r="AG108" s="2"/>
      <c r="AH108" s="2"/>
      <c r="AI108" s="2"/>
    </row>
    <row r="109" spans="1:35">
      <c r="A109" s="2"/>
      <c r="B109" s="2"/>
      <c r="C109" s="2"/>
      <c r="D109" s="2"/>
      <c r="E109" s="5"/>
      <c r="F109" s="2"/>
      <c r="G109" s="5"/>
      <c r="H109" s="2"/>
      <c r="I109" s="2"/>
      <c r="J109" s="2"/>
      <c r="K109" s="2"/>
      <c r="L109" s="2"/>
      <c r="M109" s="2"/>
      <c r="N109" s="2"/>
      <c r="O109" s="2"/>
      <c r="P109" s="2"/>
      <c r="Q109" s="2"/>
      <c r="R109" s="2"/>
      <c r="S109" s="2"/>
      <c r="T109" s="2"/>
      <c r="U109" s="2"/>
      <c r="V109" s="2"/>
      <c r="W109" s="2"/>
      <c r="X109" s="2"/>
      <c r="Y109" s="2"/>
      <c r="Z109" s="2" t="str">
        <f t="shared" si="8"/>
        <v/>
      </c>
      <c r="AA109" s="2" t="str">
        <f t="shared" si="9"/>
        <v/>
      </c>
      <c r="AB109" s="2" t="str">
        <f t="shared" si="10"/>
        <v/>
      </c>
      <c r="AC109" s="2" t="str">
        <f t="shared" si="11"/>
        <v>Walks with direction</v>
      </c>
      <c r="AD109" s="2"/>
      <c r="AE109" s="5"/>
      <c r="AF109" s="2"/>
      <c r="AG109" s="2"/>
      <c r="AH109" s="2"/>
      <c r="AI109" s="2"/>
    </row>
    <row r="110" spans="1:35">
      <c r="A110" s="2"/>
      <c r="B110" s="2"/>
      <c r="C110" s="2"/>
      <c r="D110" s="2"/>
      <c r="E110" s="5"/>
      <c r="F110" s="2"/>
      <c r="G110" s="5"/>
      <c r="H110" s="2"/>
      <c r="I110" s="2"/>
      <c r="J110" s="2"/>
      <c r="K110" s="2"/>
      <c r="L110" s="2"/>
      <c r="M110" s="2"/>
      <c r="N110" s="2"/>
      <c r="O110" s="2"/>
      <c r="P110" s="2"/>
      <c r="Q110" s="2"/>
      <c r="R110" s="2"/>
      <c r="S110" s="2"/>
      <c r="T110" s="2"/>
      <c r="U110" s="2"/>
      <c r="V110" s="2"/>
      <c r="W110" s="2"/>
      <c r="X110" s="2"/>
      <c r="Y110" s="2"/>
      <c r="Z110" s="2" t="str">
        <f t="shared" si="8"/>
        <v/>
      </c>
      <c r="AA110" s="2" t="str">
        <f t="shared" si="9"/>
        <v/>
      </c>
      <c r="AB110" s="2" t="str">
        <f t="shared" si="10"/>
        <v/>
      </c>
      <c r="AC110" s="2" t="str">
        <f t="shared" si="11"/>
        <v>Walks with direction</v>
      </c>
      <c r="AD110" s="2"/>
      <c r="AE110" s="5"/>
      <c r="AF110" s="2"/>
      <c r="AG110" s="2"/>
      <c r="AH110" s="2"/>
      <c r="AI110" s="2"/>
    </row>
    <row r="111" spans="1:35">
      <c r="A111" s="2"/>
      <c r="B111" s="2"/>
      <c r="C111" s="2"/>
      <c r="D111" s="2"/>
      <c r="E111" s="5"/>
      <c r="F111" s="2"/>
      <c r="G111" s="5"/>
      <c r="H111" s="2"/>
      <c r="I111" s="2"/>
      <c r="J111" s="2"/>
      <c r="K111" s="2"/>
      <c r="L111" s="2"/>
      <c r="M111" s="2"/>
      <c r="N111" s="2"/>
      <c r="O111" s="2"/>
      <c r="P111" s="2"/>
      <c r="Q111" s="2"/>
      <c r="R111" s="2"/>
      <c r="S111" s="2"/>
      <c r="T111" s="2"/>
      <c r="U111" s="2"/>
      <c r="V111" s="2"/>
      <c r="W111" s="2"/>
      <c r="X111" s="2"/>
      <c r="Y111" s="2"/>
      <c r="Z111" s="2" t="str">
        <f t="shared" si="8"/>
        <v/>
      </c>
      <c r="AA111" s="2" t="str">
        <f t="shared" si="9"/>
        <v/>
      </c>
      <c r="AB111" s="2" t="str">
        <f t="shared" si="10"/>
        <v/>
      </c>
      <c r="AC111" s="2" t="str">
        <f t="shared" si="11"/>
        <v>Walks with direction</v>
      </c>
      <c r="AD111" s="2"/>
      <c r="AE111" s="5"/>
      <c r="AF111" s="2"/>
      <c r="AG111" s="2"/>
      <c r="AH111" s="2"/>
      <c r="AI111" s="2"/>
    </row>
    <row r="112" spans="1:35">
      <c r="A112" s="2"/>
      <c r="B112" s="2"/>
      <c r="C112" s="2"/>
      <c r="D112" s="2"/>
      <c r="E112" s="5"/>
      <c r="F112" s="2"/>
      <c r="G112" s="5"/>
      <c r="H112" s="2"/>
      <c r="I112" s="2"/>
      <c r="J112" s="2"/>
      <c r="K112" s="2"/>
      <c r="L112" s="2"/>
      <c r="M112" s="2"/>
      <c r="N112" s="2"/>
      <c r="O112" s="2"/>
      <c r="P112" s="2"/>
      <c r="Q112" s="2"/>
      <c r="R112" s="2"/>
      <c r="S112" s="2"/>
      <c r="T112" s="2"/>
      <c r="U112" s="2"/>
      <c r="V112" s="2"/>
      <c r="W112" s="2"/>
      <c r="X112" s="2"/>
      <c r="Y112" s="2"/>
      <c r="Z112" s="2" t="str">
        <f t="shared" si="8"/>
        <v/>
      </c>
      <c r="AA112" s="2" t="str">
        <f t="shared" si="9"/>
        <v/>
      </c>
      <c r="AB112" s="2" t="str">
        <f t="shared" si="10"/>
        <v/>
      </c>
      <c r="AC112" s="2" t="str">
        <f t="shared" si="11"/>
        <v>Walks with direction</v>
      </c>
      <c r="AD112" s="2"/>
      <c r="AE112" s="5"/>
      <c r="AF112" s="2"/>
      <c r="AG112" s="2"/>
      <c r="AH112" s="2"/>
      <c r="AI112" s="2"/>
    </row>
    <row r="113" spans="1:35">
      <c r="A113" s="2"/>
      <c r="B113" s="2"/>
      <c r="C113" s="2"/>
      <c r="D113" s="2"/>
      <c r="E113" s="5"/>
      <c r="F113" s="2"/>
      <c r="G113" s="5"/>
      <c r="H113" s="2"/>
      <c r="I113" s="2"/>
      <c r="J113" s="2"/>
      <c r="K113" s="2"/>
      <c r="L113" s="2"/>
      <c r="M113" s="2"/>
      <c r="N113" s="2"/>
      <c r="O113" s="2"/>
      <c r="P113" s="2"/>
      <c r="Q113" s="2"/>
      <c r="R113" s="2"/>
      <c r="S113" s="2"/>
      <c r="T113" s="2"/>
      <c r="U113" s="2"/>
      <c r="V113" s="2"/>
      <c r="W113" s="2"/>
      <c r="X113" s="2"/>
      <c r="Y113" s="2"/>
      <c r="Z113" s="2" t="str">
        <f t="shared" si="8"/>
        <v/>
      </c>
      <c r="AA113" s="2" t="str">
        <f t="shared" si="9"/>
        <v/>
      </c>
      <c r="AB113" s="2" t="str">
        <f t="shared" si="10"/>
        <v/>
      </c>
      <c r="AC113" s="2" t="str">
        <f t="shared" si="11"/>
        <v>Walks with direction</v>
      </c>
      <c r="AD113" s="2"/>
      <c r="AE113" s="5"/>
      <c r="AF113" s="2"/>
      <c r="AG113" s="2"/>
      <c r="AH113" s="2"/>
      <c r="AI113" s="2"/>
    </row>
    <row r="114" spans="1:35">
      <c r="A114" s="2"/>
      <c r="B114" s="2"/>
      <c r="C114" s="2"/>
      <c r="D114" s="2"/>
      <c r="E114" s="5"/>
      <c r="F114" s="2"/>
      <c r="G114" s="5"/>
      <c r="H114" s="2"/>
      <c r="I114" s="2"/>
      <c r="J114" s="2"/>
      <c r="K114" s="2"/>
      <c r="L114" s="2"/>
      <c r="M114" s="2"/>
      <c r="N114" s="2"/>
      <c r="O114" s="2"/>
      <c r="P114" s="2"/>
      <c r="Q114" s="2"/>
      <c r="R114" s="2"/>
      <c r="S114" s="2"/>
      <c r="T114" s="2"/>
      <c r="U114" s="2"/>
      <c r="V114" s="2"/>
      <c r="W114" s="2"/>
      <c r="X114" s="2"/>
      <c r="Y114" s="2"/>
      <c r="Z114" s="2" t="str">
        <f t="shared" ref="Z114:Z145" si="12">IF(COUNTA(H114:Y114)=0,"",IF(COUNTIF(H114:Y114,"Very High")&gt;0,"Very High",IF(COUNTIF(H114:Y114,"High")&gt;0,"High",IF(COUNTIF(H114:Y114,"Medium")&gt;0,"Medium","Low"))))</f>
        <v/>
      </c>
      <c r="AA114" s="2" t="str">
        <f t="shared" ref="AA114:AA145" si="13">IF(Z114="","",IF(Z114="Low","Routine planned support",IF(Z114="Medium","One staff support/supervision likely",IF(Z114="High","Two staff/review staffing and equipment","Manager review: multiple staff/specialist support"))))</f>
        <v/>
      </c>
      <c r="AB114" s="2" t="str">
        <f t="shared" si="10"/>
        <v/>
      </c>
      <c r="AC114" s="2" t="str">
        <f t="shared" si="11"/>
        <v>Walks with direction</v>
      </c>
      <c r="AD114" s="2"/>
      <c r="AE114" s="5"/>
      <c r="AF114" s="2"/>
      <c r="AG114" s="2"/>
      <c r="AH114" s="2"/>
      <c r="AI114" s="2"/>
    </row>
    <row r="115" spans="1:35">
      <c r="A115" s="2"/>
      <c r="B115" s="2"/>
      <c r="C115" s="2"/>
      <c r="D115" s="2"/>
      <c r="E115" s="5"/>
      <c r="F115" s="2"/>
      <c r="G115" s="5"/>
      <c r="H115" s="2"/>
      <c r="I115" s="2"/>
      <c r="J115" s="2"/>
      <c r="K115" s="2"/>
      <c r="L115" s="2"/>
      <c r="M115" s="2"/>
      <c r="N115" s="2"/>
      <c r="O115" s="2"/>
      <c r="P115" s="2"/>
      <c r="Q115" s="2"/>
      <c r="R115" s="2"/>
      <c r="S115" s="2"/>
      <c r="T115" s="2"/>
      <c r="U115" s="2"/>
      <c r="V115" s="2"/>
      <c r="W115" s="2"/>
      <c r="X115" s="2"/>
      <c r="Y115" s="2"/>
      <c r="Z115" s="2" t="str">
        <f t="shared" si="12"/>
        <v/>
      </c>
      <c r="AA115" s="2" t="str">
        <f t="shared" si="13"/>
        <v/>
      </c>
      <c r="AB115" s="2" t="str">
        <f t="shared" si="10"/>
        <v/>
      </c>
      <c r="AC115" s="2" t="str">
        <f t="shared" si="11"/>
        <v>Walks with direction</v>
      </c>
      <c r="AD115" s="2"/>
      <c r="AE115" s="5"/>
      <c r="AF115" s="2"/>
      <c r="AG115" s="2"/>
      <c r="AH115" s="2"/>
      <c r="AI115" s="2"/>
    </row>
    <row r="116" spans="1:35">
      <c r="A116" s="2"/>
      <c r="B116" s="2"/>
      <c r="C116" s="2"/>
      <c r="D116" s="2"/>
      <c r="E116" s="5"/>
      <c r="F116" s="2"/>
      <c r="G116" s="5"/>
      <c r="H116" s="2"/>
      <c r="I116" s="2"/>
      <c r="J116" s="2"/>
      <c r="K116" s="2"/>
      <c r="L116" s="2"/>
      <c r="M116" s="2"/>
      <c r="N116" s="2"/>
      <c r="O116" s="2"/>
      <c r="P116" s="2"/>
      <c r="Q116" s="2"/>
      <c r="R116" s="2"/>
      <c r="S116" s="2"/>
      <c r="T116" s="2"/>
      <c r="U116" s="2"/>
      <c r="V116" s="2"/>
      <c r="W116" s="2"/>
      <c r="X116" s="2"/>
      <c r="Y116" s="2"/>
      <c r="Z116" s="2" t="str">
        <f t="shared" si="12"/>
        <v/>
      </c>
      <c r="AA116" s="2" t="str">
        <f t="shared" si="13"/>
        <v/>
      </c>
      <c r="AB116" s="2" t="str">
        <f t="shared" si="10"/>
        <v/>
      </c>
      <c r="AC116" s="2" t="str">
        <f t="shared" si="11"/>
        <v>Walks with direction</v>
      </c>
      <c r="AD116" s="2"/>
      <c r="AE116" s="5"/>
      <c r="AF116" s="2"/>
      <c r="AG116" s="2"/>
      <c r="AH116" s="2"/>
      <c r="AI116" s="2"/>
    </row>
    <row r="117" spans="1:35">
      <c r="A117" s="2"/>
      <c r="B117" s="2"/>
      <c r="C117" s="2"/>
      <c r="D117" s="2"/>
      <c r="E117" s="5"/>
      <c r="F117" s="2"/>
      <c r="G117" s="5"/>
      <c r="H117" s="2"/>
      <c r="I117" s="2"/>
      <c r="J117" s="2"/>
      <c r="K117" s="2"/>
      <c r="L117" s="2"/>
      <c r="M117" s="2"/>
      <c r="N117" s="2"/>
      <c r="O117" s="2"/>
      <c r="P117" s="2"/>
      <c r="Q117" s="2"/>
      <c r="R117" s="2"/>
      <c r="S117" s="2"/>
      <c r="T117" s="2"/>
      <c r="U117" s="2"/>
      <c r="V117" s="2"/>
      <c r="W117" s="2"/>
      <c r="X117" s="2"/>
      <c r="Y117" s="2"/>
      <c r="Z117" s="2" t="str">
        <f t="shared" si="12"/>
        <v/>
      </c>
      <c r="AA117" s="2" t="str">
        <f t="shared" si="13"/>
        <v/>
      </c>
      <c r="AB117" s="2" t="str">
        <f t="shared" si="10"/>
        <v/>
      </c>
      <c r="AC117" s="2" t="str">
        <f t="shared" si="11"/>
        <v>Walks with direction</v>
      </c>
      <c r="AD117" s="2"/>
      <c r="AE117" s="5"/>
      <c r="AF117" s="2"/>
      <c r="AG117" s="2"/>
      <c r="AH117" s="2"/>
      <c r="AI117" s="2"/>
    </row>
    <row r="122" spans="1:35">
      <c r="A122" s="9" t="s">
        <v>153</v>
      </c>
      <c r="B122" s="7"/>
      <c r="C122" s="7"/>
      <c r="D122" s="7"/>
      <c r="E122" s="7"/>
    </row>
    <row r="123" spans="1:35">
      <c r="A123" s="1" t="s">
        <v>154</v>
      </c>
      <c r="B123" s="1" t="s">
        <v>6</v>
      </c>
      <c r="C123" s="1" t="s">
        <v>12</v>
      </c>
      <c r="D123" s="1" t="s">
        <v>18</v>
      </c>
      <c r="E123" s="1" t="s">
        <v>23</v>
      </c>
    </row>
    <row r="124" spans="1:35" ht="42">
      <c r="A124" s="2" t="s">
        <v>124</v>
      </c>
      <c r="B124" s="2" t="s">
        <v>155</v>
      </c>
      <c r="C124" s="2" t="s">
        <v>156</v>
      </c>
      <c r="D124" s="2" t="s">
        <v>157</v>
      </c>
      <c r="E124" s="2" t="s">
        <v>158</v>
      </c>
    </row>
    <row r="125" spans="1:35" ht="28">
      <c r="A125" s="2" t="s">
        <v>125</v>
      </c>
      <c r="B125" s="2" t="s">
        <v>159</v>
      </c>
      <c r="C125" s="2" t="s">
        <v>160</v>
      </c>
      <c r="D125" s="2" t="s">
        <v>161</v>
      </c>
      <c r="E125" s="2" t="s">
        <v>162</v>
      </c>
    </row>
    <row r="126" spans="1:35" ht="28">
      <c r="A126" s="2" t="s">
        <v>126</v>
      </c>
      <c r="B126" s="2" t="s">
        <v>163</v>
      </c>
      <c r="C126" s="2" t="s">
        <v>164</v>
      </c>
      <c r="D126" s="2" t="s">
        <v>165</v>
      </c>
      <c r="E126" s="2" t="s">
        <v>166</v>
      </c>
    </row>
    <row r="127" spans="1:35" ht="42">
      <c r="A127" s="2" t="s">
        <v>127</v>
      </c>
      <c r="B127" s="2" t="s">
        <v>167</v>
      </c>
      <c r="C127" s="2" t="s">
        <v>168</v>
      </c>
      <c r="D127" s="2" t="s">
        <v>169</v>
      </c>
      <c r="E127" s="2" t="s">
        <v>170</v>
      </c>
    </row>
    <row r="128" spans="1:35" ht="42">
      <c r="A128" s="2" t="s">
        <v>128</v>
      </c>
      <c r="B128" s="2" t="s">
        <v>171</v>
      </c>
      <c r="C128" s="2" t="s">
        <v>172</v>
      </c>
      <c r="D128" s="2" t="s">
        <v>173</v>
      </c>
      <c r="E128" s="2" t="s">
        <v>174</v>
      </c>
    </row>
    <row r="129" spans="1:5" ht="42">
      <c r="A129" s="2" t="s">
        <v>129</v>
      </c>
      <c r="B129" s="2" t="s">
        <v>175</v>
      </c>
      <c r="C129" s="2" t="s">
        <v>176</v>
      </c>
      <c r="D129" s="2" t="s">
        <v>177</v>
      </c>
      <c r="E129" s="2" t="s">
        <v>178</v>
      </c>
    </row>
    <row r="130" spans="1:5" ht="42">
      <c r="A130" s="2" t="s">
        <v>130</v>
      </c>
      <c r="B130" s="2" t="s">
        <v>179</v>
      </c>
      <c r="C130" s="2" t="s">
        <v>180</v>
      </c>
      <c r="D130" s="2" t="s">
        <v>181</v>
      </c>
      <c r="E130" s="2" t="s">
        <v>182</v>
      </c>
    </row>
    <row r="131" spans="1:5" ht="42">
      <c r="A131" s="2" t="s">
        <v>131</v>
      </c>
      <c r="B131" s="2" t="s">
        <v>183</v>
      </c>
      <c r="C131" s="2" t="s">
        <v>184</v>
      </c>
      <c r="D131" s="2" t="s">
        <v>185</v>
      </c>
      <c r="E131" s="2" t="s">
        <v>186</v>
      </c>
    </row>
    <row r="132" spans="1:5" ht="28">
      <c r="A132" s="2" t="s">
        <v>132</v>
      </c>
      <c r="B132" s="2" t="s">
        <v>187</v>
      </c>
      <c r="C132" s="2" t="s">
        <v>188</v>
      </c>
      <c r="D132" s="2" t="s">
        <v>189</v>
      </c>
      <c r="E132" s="2" t="s">
        <v>190</v>
      </c>
    </row>
    <row r="133" spans="1:5" ht="42">
      <c r="A133" s="2" t="s">
        <v>133</v>
      </c>
      <c r="B133" s="2" t="s">
        <v>191</v>
      </c>
      <c r="C133" s="2" t="s">
        <v>192</v>
      </c>
      <c r="D133" s="2" t="s">
        <v>193</v>
      </c>
      <c r="E133" s="2" t="s">
        <v>194</v>
      </c>
    </row>
    <row r="134" spans="1:5" ht="28">
      <c r="A134" s="2" t="s">
        <v>134</v>
      </c>
      <c r="B134" s="2" t="s">
        <v>195</v>
      </c>
      <c r="C134" s="2" t="s">
        <v>196</v>
      </c>
      <c r="D134" s="2" t="s">
        <v>197</v>
      </c>
      <c r="E134" s="2" t="s">
        <v>198</v>
      </c>
    </row>
    <row r="135" spans="1:5" ht="42">
      <c r="A135" s="2" t="s">
        <v>135</v>
      </c>
      <c r="B135" s="2" t="s">
        <v>199</v>
      </c>
      <c r="C135" s="2" t="s">
        <v>200</v>
      </c>
      <c r="D135" s="2" t="s">
        <v>201</v>
      </c>
      <c r="E135" s="2" t="s">
        <v>202</v>
      </c>
    </row>
    <row r="136" spans="1:5" ht="42">
      <c r="A136" s="2" t="s">
        <v>136</v>
      </c>
      <c r="B136" s="2" t="s">
        <v>203</v>
      </c>
      <c r="C136" s="2" t="s">
        <v>204</v>
      </c>
      <c r="D136" s="2" t="s">
        <v>205</v>
      </c>
      <c r="E136" s="2" t="s">
        <v>206</v>
      </c>
    </row>
    <row r="137" spans="1:5" ht="42">
      <c r="A137" s="2" t="s">
        <v>137</v>
      </c>
      <c r="B137" s="2" t="s">
        <v>207</v>
      </c>
      <c r="C137" s="2" t="s">
        <v>208</v>
      </c>
      <c r="D137" s="2" t="s">
        <v>209</v>
      </c>
      <c r="E137" s="2" t="s">
        <v>210</v>
      </c>
    </row>
    <row r="138" spans="1:5" ht="28">
      <c r="A138" s="2" t="s">
        <v>138</v>
      </c>
      <c r="B138" s="2" t="s">
        <v>211</v>
      </c>
      <c r="C138" s="2" t="s">
        <v>212</v>
      </c>
      <c r="D138" s="2" t="s">
        <v>213</v>
      </c>
      <c r="E138" s="2" t="s">
        <v>214</v>
      </c>
    </row>
    <row r="139" spans="1:5" ht="42">
      <c r="A139" s="2" t="s">
        <v>139</v>
      </c>
      <c r="B139" s="2" t="s">
        <v>215</v>
      </c>
      <c r="C139" s="2" t="s">
        <v>216</v>
      </c>
      <c r="D139" s="2" t="s">
        <v>217</v>
      </c>
      <c r="E139" s="2" t="s">
        <v>218</v>
      </c>
    </row>
    <row r="140" spans="1:5" ht="42">
      <c r="A140" s="2" t="s">
        <v>140</v>
      </c>
      <c r="B140" s="2" t="s">
        <v>219</v>
      </c>
      <c r="C140" s="2" t="s">
        <v>220</v>
      </c>
      <c r="D140" s="2" t="s">
        <v>221</v>
      </c>
      <c r="E140" s="2" t="s">
        <v>222</v>
      </c>
    </row>
    <row r="141" spans="1:5" ht="42">
      <c r="A141" s="2" t="s">
        <v>141</v>
      </c>
      <c r="B141" s="2" t="s">
        <v>223</v>
      </c>
      <c r="C141" s="2" t="s">
        <v>224</v>
      </c>
      <c r="D141" s="2" t="s">
        <v>225</v>
      </c>
      <c r="E141" s="2" t="s">
        <v>226</v>
      </c>
    </row>
  </sheetData>
  <mergeCells count="4">
    <mergeCell ref="A1:AI1"/>
    <mergeCell ref="A2:AI2"/>
    <mergeCell ref="D4:H4"/>
    <mergeCell ref="A122:E122"/>
  </mergeCells>
  <conditionalFormatting sqref="Z18:Z117">
    <cfRule type="expression" dxfId="19" priority="1">
      <formula>Z18="Very High"</formula>
    </cfRule>
    <cfRule type="expression" dxfId="18" priority="2">
      <formula>Z18="High"</formula>
    </cfRule>
    <cfRule type="expression" dxfId="17" priority="3">
      <formula>Z18="Medium"</formula>
    </cfRule>
    <cfRule type="expression" dxfId="16" priority="4">
      <formula>Z18="Low"</formula>
    </cfRule>
  </conditionalFormatting>
  <dataValidations count="4">
    <dataValidation type="list" sqref="B7" xr:uid="{00000000-0002-0000-1F00-000000000000}">
      <formula1>"Yes,No"</formula1>
    </dataValidation>
    <dataValidation type="list" sqref="C18:C117" xr:uid="{00000000-0002-0000-1F00-000001000000}">
      <formula1>"Ground,First,N/A"</formula1>
    </dataValidation>
    <dataValidation type="list" sqref="H18:Y117" xr:uid="{00000000-0002-0000-1F00-000002000000}">
      <formula1>"Low,Medium,High,Very High"</formula1>
    </dataValidation>
    <dataValidation type="list" sqref="AD18:AD117 AG18:AI117" xr:uid="{00000000-0002-0000-1F00-000003000000}">
      <formula1>"Yes,No,N/A"</formula1>
    </dataValidation>
  </dataValidation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0"/>
  <sheetViews>
    <sheetView workbookViewId="0"/>
  </sheetViews>
  <sheetFormatPr defaultRowHeight="14"/>
  <cols>
    <col min="1" max="9" width="18" customWidth="1"/>
  </cols>
  <sheetData>
    <row r="1" spans="1:9" ht="20">
      <c r="A1" s="6" t="s">
        <v>361</v>
      </c>
      <c r="B1" s="7"/>
      <c r="C1" s="7"/>
      <c r="D1" s="7"/>
      <c r="E1" s="7"/>
      <c r="F1" s="7"/>
      <c r="G1" s="7"/>
      <c r="H1" s="7"/>
      <c r="I1" s="7"/>
    </row>
    <row r="2" spans="1:9" ht="14.5">
      <c r="A2" s="8" t="s">
        <v>228</v>
      </c>
      <c r="B2" s="7"/>
      <c r="C2" s="7"/>
      <c r="D2" s="7"/>
      <c r="E2" s="7"/>
      <c r="F2" s="7"/>
      <c r="G2" s="7"/>
      <c r="H2" s="7"/>
      <c r="I2" s="7"/>
    </row>
    <row r="4" spans="1:9">
      <c r="A4" s="3" t="s">
        <v>107</v>
      </c>
      <c r="B4" t="s">
        <v>360</v>
      </c>
    </row>
    <row r="5" spans="1:9">
      <c r="A5" s="3" t="s">
        <v>110</v>
      </c>
    </row>
    <row r="6" spans="1:9">
      <c r="A6" s="3" t="s">
        <v>229</v>
      </c>
    </row>
    <row r="7" spans="1:9">
      <c r="A7" s="3" t="s">
        <v>230</v>
      </c>
    </row>
    <row r="8" spans="1:9">
      <c r="A8" s="3" t="s">
        <v>231</v>
      </c>
      <c r="B8">
        <f>COUNTA(A14:A60)</f>
        <v>28</v>
      </c>
    </row>
    <row r="9" spans="1:9">
      <c r="A9" s="3" t="s">
        <v>232</v>
      </c>
      <c r="B9">
        <f>COUNTIF(H14:H60,"FAIL")</f>
        <v>28</v>
      </c>
    </row>
    <row r="10" spans="1:9">
      <c r="A10" s="3" t="s">
        <v>46</v>
      </c>
      <c r="B10" t="str">
        <f>IF(AND(B7="Yes",B9=0),"Complete","Incomplete")</f>
        <v>Incomplete</v>
      </c>
    </row>
    <row r="13" spans="1:9" ht="28">
      <c r="A13" s="1" t="s">
        <v>233</v>
      </c>
      <c r="B13" s="1" t="s">
        <v>234</v>
      </c>
      <c r="C13" s="1" t="s">
        <v>235</v>
      </c>
      <c r="D13" s="1" t="s">
        <v>236</v>
      </c>
      <c r="E13" s="1" t="s">
        <v>237</v>
      </c>
      <c r="F13" s="1" t="s">
        <v>238</v>
      </c>
      <c r="G13" s="1" t="s">
        <v>239</v>
      </c>
      <c r="H13" s="1" t="s">
        <v>240</v>
      </c>
      <c r="I13" s="1" t="s">
        <v>241</v>
      </c>
    </row>
    <row r="14" spans="1:9" ht="42">
      <c r="A14" s="2" t="s">
        <v>242</v>
      </c>
      <c r="B14" s="2">
        <v>1</v>
      </c>
      <c r="C14" s="2"/>
      <c r="D14" s="2" t="s">
        <v>243</v>
      </c>
      <c r="E14" s="2"/>
      <c r="F14" s="2"/>
      <c r="G14" s="2"/>
      <c r="H14" s="2" t="str">
        <f t="shared" ref="H14:H41" si="0">IF(OR(F14="No",C14&lt;B14),"FAIL","PASS")</f>
        <v>FAIL</v>
      </c>
      <c r="I14" s="2"/>
    </row>
    <row r="15" spans="1:9">
      <c r="A15" s="2" t="s">
        <v>244</v>
      </c>
      <c r="B15" s="2">
        <v>1</v>
      </c>
      <c r="C15" s="2"/>
      <c r="D15" s="2" t="s">
        <v>245</v>
      </c>
      <c r="E15" s="2"/>
      <c r="F15" s="2"/>
      <c r="G15" s="2"/>
      <c r="H15" s="2" t="str">
        <f t="shared" si="0"/>
        <v>FAIL</v>
      </c>
      <c r="I15" s="2"/>
    </row>
    <row r="16" spans="1:9" ht="28">
      <c r="A16" s="2" t="s">
        <v>246</v>
      </c>
      <c r="B16" s="2">
        <v>1</v>
      </c>
      <c r="C16" s="2"/>
      <c r="D16" s="2" t="s">
        <v>247</v>
      </c>
      <c r="E16" s="2"/>
      <c r="F16" s="2"/>
      <c r="G16" s="2"/>
      <c r="H16" s="2" t="str">
        <f t="shared" si="0"/>
        <v>FAIL</v>
      </c>
      <c r="I16" s="2"/>
    </row>
    <row r="17" spans="1:9" ht="28">
      <c r="A17" s="2" t="s">
        <v>248</v>
      </c>
      <c r="B17" s="2">
        <v>1</v>
      </c>
      <c r="C17" s="2"/>
      <c r="D17" s="2" t="s">
        <v>249</v>
      </c>
      <c r="E17" s="2"/>
      <c r="F17" s="2"/>
      <c r="G17" s="2"/>
      <c r="H17" s="2" t="str">
        <f t="shared" si="0"/>
        <v>FAIL</v>
      </c>
      <c r="I17" s="2"/>
    </row>
    <row r="18" spans="1:9" ht="28">
      <c r="A18" s="2" t="s">
        <v>250</v>
      </c>
      <c r="B18" s="2">
        <v>2</v>
      </c>
      <c r="C18" s="2"/>
      <c r="D18" s="2" t="s">
        <v>251</v>
      </c>
      <c r="E18" s="2"/>
      <c r="F18" s="2"/>
      <c r="G18" s="2"/>
      <c r="H18" s="2" t="str">
        <f t="shared" si="0"/>
        <v>FAIL</v>
      </c>
      <c r="I18" s="2"/>
    </row>
    <row r="19" spans="1:9" ht="28">
      <c r="A19" s="2" t="s">
        <v>252</v>
      </c>
      <c r="B19" s="2">
        <v>1</v>
      </c>
      <c r="C19" s="2"/>
      <c r="D19" s="2" t="s">
        <v>253</v>
      </c>
      <c r="E19" s="2"/>
      <c r="F19" s="2"/>
      <c r="G19" s="2"/>
      <c r="H19" s="2" t="str">
        <f t="shared" si="0"/>
        <v>FAIL</v>
      </c>
      <c r="I19" s="2"/>
    </row>
    <row r="20" spans="1:9" ht="42">
      <c r="A20" s="2" t="s">
        <v>254</v>
      </c>
      <c r="B20" s="2">
        <v>1</v>
      </c>
      <c r="C20" s="2"/>
      <c r="D20" s="2" t="s">
        <v>255</v>
      </c>
      <c r="E20" s="2"/>
      <c r="F20" s="2"/>
      <c r="G20" s="2"/>
      <c r="H20" s="2" t="str">
        <f t="shared" si="0"/>
        <v>FAIL</v>
      </c>
      <c r="I20" s="2"/>
    </row>
    <row r="21" spans="1:9">
      <c r="A21" s="2" t="s">
        <v>256</v>
      </c>
      <c r="B21" s="2">
        <v>2</v>
      </c>
      <c r="C21" s="2"/>
      <c r="D21" s="2" t="s">
        <v>257</v>
      </c>
      <c r="E21" s="2"/>
      <c r="F21" s="2"/>
      <c r="G21" s="2"/>
      <c r="H21" s="2" t="str">
        <f t="shared" si="0"/>
        <v>FAIL</v>
      </c>
      <c r="I21" s="2"/>
    </row>
    <row r="22" spans="1:9" ht="28">
      <c r="A22" s="2" t="s">
        <v>258</v>
      </c>
      <c r="B22" s="2">
        <v>1</v>
      </c>
      <c r="C22" s="2"/>
      <c r="D22" s="2" t="s">
        <v>259</v>
      </c>
      <c r="E22" s="2"/>
      <c r="F22" s="2"/>
      <c r="G22" s="2"/>
      <c r="H22" s="2" t="str">
        <f t="shared" si="0"/>
        <v>FAIL</v>
      </c>
      <c r="I22" s="2"/>
    </row>
    <row r="23" spans="1:9" ht="28">
      <c r="A23" s="2" t="s">
        <v>260</v>
      </c>
      <c r="B23" s="2">
        <v>2</v>
      </c>
      <c r="C23" s="2"/>
      <c r="D23" s="2" t="s">
        <v>261</v>
      </c>
      <c r="E23" s="2"/>
      <c r="F23" s="2"/>
      <c r="G23" s="2"/>
      <c r="H23" s="2" t="str">
        <f t="shared" si="0"/>
        <v>FAIL</v>
      </c>
      <c r="I23" s="2"/>
    </row>
    <row r="24" spans="1:9">
      <c r="A24" s="2" t="s">
        <v>262</v>
      </c>
      <c r="B24" s="2">
        <v>2</v>
      </c>
      <c r="C24" s="2"/>
      <c r="D24" s="2" t="s">
        <v>263</v>
      </c>
      <c r="E24" s="2"/>
      <c r="F24" s="2"/>
      <c r="G24" s="2"/>
      <c r="H24" s="2" t="str">
        <f t="shared" si="0"/>
        <v>FAIL</v>
      </c>
      <c r="I24" s="2"/>
    </row>
    <row r="25" spans="1:9" ht="28">
      <c r="A25" s="2" t="s">
        <v>264</v>
      </c>
      <c r="B25" s="2">
        <v>2</v>
      </c>
      <c r="C25" s="2"/>
      <c r="D25" s="2" t="s">
        <v>265</v>
      </c>
      <c r="E25" s="2"/>
      <c r="F25" s="2"/>
      <c r="G25" s="2"/>
      <c r="H25" s="2" t="str">
        <f t="shared" si="0"/>
        <v>FAIL</v>
      </c>
      <c r="I25" s="2"/>
    </row>
    <row r="26" spans="1:9">
      <c r="A26" s="2" t="s">
        <v>266</v>
      </c>
      <c r="B26" s="2">
        <v>2</v>
      </c>
      <c r="C26" s="2"/>
      <c r="D26" s="2" t="s">
        <v>265</v>
      </c>
      <c r="E26" s="2"/>
      <c r="F26" s="2"/>
      <c r="G26" s="2"/>
      <c r="H26" s="2" t="str">
        <f t="shared" si="0"/>
        <v>FAIL</v>
      </c>
      <c r="I26" s="2"/>
    </row>
    <row r="27" spans="1:9">
      <c r="A27" s="2" t="s">
        <v>267</v>
      </c>
      <c r="B27" s="2">
        <v>8</v>
      </c>
      <c r="C27" s="2"/>
      <c r="D27" s="2" t="s">
        <v>268</v>
      </c>
      <c r="E27" s="2"/>
      <c r="F27" s="2"/>
      <c r="G27" s="2"/>
      <c r="H27" s="2" t="str">
        <f t="shared" si="0"/>
        <v>FAIL</v>
      </c>
      <c r="I27" s="2"/>
    </row>
    <row r="28" spans="1:9">
      <c r="A28" s="2" t="s">
        <v>269</v>
      </c>
      <c r="B28" s="2">
        <v>4</v>
      </c>
      <c r="C28" s="2"/>
      <c r="D28" s="2" t="s">
        <v>270</v>
      </c>
      <c r="E28" s="2"/>
      <c r="F28" s="2"/>
      <c r="G28" s="2"/>
      <c r="H28" s="2" t="str">
        <f t="shared" si="0"/>
        <v>FAIL</v>
      </c>
      <c r="I28" s="2"/>
    </row>
    <row r="29" spans="1:9" ht="28">
      <c r="A29" s="2" t="s">
        <v>271</v>
      </c>
      <c r="B29" s="2">
        <v>20</v>
      </c>
      <c r="C29" s="2"/>
      <c r="D29" s="2" t="s">
        <v>272</v>
      </c>
      <c r="E29" s="2"/>
      <c r="F29" s="2"/>
      <c r="G29" s="2"/>
      <c r="H29" s="2" t="str">
        <f t="shared" si="0"/>
        <v>FAIL</v>
      </c>
      <c r="I29" s="2"/>
    </row>
    <row r="30" spans="1:9">
      <c r="A30" s="2" t="s">
        <v>273</v>
      </c>
      <c r="B30" s="2">
        <v>2</v>
      </c>
      <c r="C30" s="2"/>
      <c r="D30" s="2" t="s">
        <v>265</v>
      </c>
      <c r="E30" s="2"/>
      <c r="F30" s="2"/>
      <c r="G30" s="2"/>
      <c r="H30" s="2" t="str">
        <f t="shared" si="0"/>
        <v>FAIL</v>
      </c>
      <c r="I30" s="2"/>
    </row>
    <row r="31" spans="1:9">
      <c r="A31" s="2" t="s">
        <v>274</v>
      </c>
      <c r="B31" s="2">
        <v>1</v>
      </c>
      <c r="C31" s="2"/>
      <c r="D31" s="2" t="s">
        <v>275</v>
      </c>
      <c r="E31" s="2"/>
      <c r="F31" s="2"/>
      <c r="G31" s="2"/>
      <c r="H31" s="2" t="str">
        <f t="shared" si="0"/>
        <v>FAIL</v>
      </c>
      <c r="I31" s="2"/>
    </row>
    <row r="32" spans="1:9">
      <c r="A32" s="2" t="s">
        <v>276</v>
      </c>
      <c r="B32" s="2">
        <v>5</v>
      </c>
      <c r="C32" s="2"/>
      <c r="D32" s="2" t="s">
        <v>265</v>
      </c>
      <c r="E32" s="2"/>
      <c r="F32" s="2"/>
      <c r="G32" s="2"/>
      <c r="H32" s="2" t="str">
        <f t="shared" si="0"/>
        <v>FAIL</v>
      </c>
      <c r="I32" s="2"/>
    </row>
    <row r="33" spans="1:9">
      <c r="A33" s="2" t="s">
        <v>277</v>
      </c>
      <c r="B33" s="2">
        <v>2</v>
      </c>
      <c r="C33" s="2"/>
      <c r="D33" s="2" t="s">
        <v>265</v>
      </c>
      <c r="E33" s="2"/>
      <c r="F33" s="2"/>
      <c r="G33" s="2"/>
      <c r="H33" s="2" t="str">
        <f t="shared" si="0"/>
        <v>FAIL</v>
      </c>
      <c r="I33" s="2"/>
    </row>
    <row r="34" spans="1:9" ht="28">
      <c r="A34" s="2" t="s">
        <v>278</v>
      </c>
      <c r="B34" s="2">
        <v>20</v>
      </c>
      <c r="C34" s="2"/>
      <c r="D34" s="2" t="s">
        <v>270</v>
      </c>
      <c r="E34" s="2"/>
      <c r="F34" s="2"/>
      <c r="G34" s="2"/>
      <c r="H34" s="2" t="str">
        <f t="shared" si="0"/>
        <v>FAIL</v>
      </c>
      <c r="I34" s="2"/>
    </row>
    <row r="35" spans="1:9">
      <c r="A35" s="2" t="s">
        <v>279</v>
      </c>
      <c r="B35" s="2">
        <v>20</v>
      </c>
      <c r="C35" s="2"/>
      <c r="D35" s="2" t="s">
        <v>270</v>
      </c>
      <c r="E35" s="2"/>
      <c r="F35" s="2"/>
      <c r="G35" s="2"/>
      <c r="H35" s="2" t="str">
        <f t="shared" si="0"/>
        <v>FAIL</v>
      </c>
      <c r="I35" s="2"/>
    </row>
    <row r="36" spans="1:9" ht="28">
      <c r="A36" s="2" t="s">
        <v>280</v>
      </c>
      <c r="B36" s="2">
        <v>1</v>
      </c>
      <c r="C36" s="2"/>
      <c r="D36" s="2" t="s">
        <v>281</v>
      </c>
      <c r="E36" s="2"/>
      <c r="F36" s="2"/>
      <c r="G36" s="2"/>
      <c r="H36" s="2" t="str">
        <f t="shared" si="0"/>
        <v>FAIL</v>
      </c>
      <c r="I36" s="2"/>
    </row>
    <row r="37" spans="1:9" ht="28">
      <c r="A37" s="2" t="s">
        <v>282</v>
      </c>
      <c r="B37" s="2">
        <v>1</v>
      </c>
      <c r="C37" s="2"/>
      <c r="D37" s="2" t="s">
        <v>281</v>
      </c>
      <c r="E37" s="2"/>
      <c r="F37" s="2"/>
      <c r="G37" s="2"/>
      <c r="H37" s="2" t="str">
        <f t="shared" si="0"/>
        <v>FAIL</v>
      </c>
      <c r="I37" s="2"/>
    </row>
    <row r="38" spans="1:9" ht="28">
      <c r="A38" s="2" t="s">
        <v>283</v>
      </c>
      <c r="B38" s="2">
        <v>1</v>
      </c>
      <c r="C38" s="2"/>
      <c r="D38" s="2" t="s">
        <v>281</v>
      </c>
      <c r="E38" s="2"/>
      <c r="F38" s="2"/>
      <c r="G38" s="2"/>
      <c r="H38" s="2" t="str">
        <f t="shared" si="0"/>
        <v>FAIL</v>
      </c>
      <c r="I38" s="2"/>
    </row>
    <row r="39" spans="1:9" ht="28">
      <c r="A39" s="2" t="s">
        <v>284</v>
      </c>
      <c r="B39" s="2">
        <v>1</v>
      </c>
      <c r="C39" s="2"/>
      <c r="D39" s="2" t="s">
        <v>285</v>
      </c>
      <c r="E39" s="2"/>
      <c r="F39" s="2"/>
      <c r="G39" s="2"/>
      <c r="H39" s="2" t="str">
        <f t="shared" si="0"/>
        <v>FAIL</v>
      </c>
      <c r="I39" s="2"/>
    </row>
    <row r="40" spans="1:9" ht="28">
      <c r="A40" s="2" t="s">
        <v>286</v>
      </c>
      <c r="B40" s="2">
        <v>1</v>
      </c>
      <c r="C40" s="2"/>
      <c r="D40" s="2" t="s">
        <v>287</v>
      </c>
      <c r="E40" s="2"/>
      <c r="F40" s="2"/>
      <c r="G40" s="2"/>
      <c r="H40" s="2" t="str">
        <f t="shared" si="0"/>
        <v>FAIL</v>
      </c>
      <c r="I40" s="2"/>
    </row>
    <row r="41" spans="1:9" ht="28">
      <c r="A41" s="2" t="s">
        <v>288</v>
      </c>
      <c r="B41" s="2">
        <v>1</v>
      </c>
      <c r="C41" s="2"/>
      <c r="D41" s="2" t="s">
        <v>281</v>
      </c>
      <c r="E41" s="2"/>
      <c r="F41" s="2"/>
      <c r="G41" s="2"/>
      <c r="H41" s="2" t="str">
        <f t="shared" si="0"/>
        <v>FAIL</v>
      </c>
      <c r="I41" s="2"/>
    </row>
    <row r="42" spans="1:9">
      <c r="A42" s="2"/>
      <c r="B42" s="2"/>
      <c r="C42" s="2"/>
      <c r="D42" s="2"/>
      <c r="E42" s="2"/>
      <c r="F42" s="2"/>
      <c r="G42" s="2"/>
      <c r="H42" s="2"/>
      <c r="I42" s="2"/>
    </row>
    <row r="43" spans="1:9">
      <c r="A43" s="2"/>
      <c r="B43" s="2"/>
      <c r="C43" s="2"/>
      <c r="D43" s="2"/>
      <c r="E43" s="2"/>
      <c r="F43" s="2"/>
      <c r="G43" s="2"/>
      <c r="H43" s="2"/>
      <c r="I43" s="2"/>
    </row>
    <row r="44" spans="1:9">
      <c r="A44" s="2"/>
      <c r="B44" s="2"/>
      <c r="C44" s="2"/>
      <c r="D44" s="2"/>
      <c r="E44" s="2"/>
      <c r="F44" s="2"/>
      <c r="G44" s="2"/>
      <c r="H44" s="2"/>
      <c r="I44" s="2"/>
    </row>
    <row r="45" spans="1:9">
      <c r="A45" s="2"/>
      <c r="B45" s="2"/>
      <c r="C45" s="2"/>
      <c r="D45" s="2"/>
      <c r="E45" s="2"/>
      <c r="F45" s="2"/>
      <c r="G45" s="2"/>
      <c r="H45" s="2"/>
      <c r="I45" s="2"/>
    </row>
    <row r="46" spans="1:9">
      <c r="A46" s="2"/>
      <c r="B46" s="2"/>
      <c r="C46" s="2"/>
      <c r="D46" s="2"/>
      <c r="E46" s="2"/>
      <c r="F46" s="2"/>
      <c r="G46" s="2"/>
      <c r="H46" s="2"/>
      <c r="I46" s="2"/>
    </row>
    <row r="47" spans="1:9">
      <c r="A47" s="2"/>
      <c r="B47" s="2"/>
      <c r="C47" s="2"/>
      <c r="D47" s="2"/>
      <c r="E47" s="2"/>
      <c r="F47" s="2"/>
      <c r="G47" s="2"/>
      <c r="H47" s="2"/>
      <c r="I47" s="2"/>
    </row>
    <row r="48" spans="1:9">
      <c r="A48" s="2"/>
      <c r="B48" s="2"/>
      <c r="C48" s="2"/>
      <c r="D48" s="2"/>
      <c r="E48" s="2"/>
      <c r="F48" s="2"/>
      <c r="G48" s="2"/>
      <c r="H48" s="2"/>
      <c r="I48" s="2"/>
    </row>
    <row r="49" spans="1:9">
      <c r="A49" s="2"/>
      <c r="B49" s="2"/>
      <c r="C49" s="2"/>
      <c r="D49" s="2"/>
      <c r="E49" s="2"/>
      <c r="F49" s="2"/>
      <c r="G49" s="2"/>
      <c r="H49" s="2"/>
      <c r="I49" s="2"/>
    </row>
    <row r="50" spans="1:9">
      <c r="A50" s="2"/>
      <c r="B50" s="2"/>
      <c r="C50" s="2"/>
      <c r="D50" s="2"/>
      <c r="E50" s="2"/>
      <c r="F50" s="2"/>
      <c r="G50" s="2"/>
      <c r="H50" s="2"/>
      <c r="I50" s="2"/>
    </row>
    <row r="51" spans="1:9">
      <c r="A51" s="2"/>
      <c r="B51" s="2"/>
      <c r="C51" s="2"/>
      <c r="D51" s="2"/>
      <c r="E51" s="2"/>
      <c r="F51" s="2"/>
      <c r="G51" s="2"/>
      <c r="H51" s="2"/>
      <c r="I51" s="2"/>
    </row>
    <row r="52" spans="1:9">
      <c r="A52" s="2"/>
      <c r="B52" s="2"/>
      <c r="C52" s="2"/>
      <c r="D52" s="2"/>
      <c r="E52" s="2"/>
      <c r="F52" s="2"/>
      <c r="G52" s="2"/>
      <c r="H52" s="2"/>
      <c r="I52" s="2"/>
    </row>
    <row r="53" spans="1:9">
      <c r="A53" s="2"/>
      <c r="B53" s="2"/>
      <c r="C53" s="2"/>
      <c r="D53" s="2"/>
      <c r="E53" s="2"/>
      <c r="F53" s="2"/>
      <c r="G53" s="2"/>
      <c r="H53" s="2"/>
      <c r="I53" s="2"/>
    </row>
    <row r="54" spans="1:9">
      <c r="A54" s="2"/>
      <c r="B54" s="2"/>
      <c r="C54" s="2"/>
      <c r="D54" s="2"/>
      <c r="E54" s="2"/>
      <c r="F54" s="2"/>
      <c r="G54" s="2"/>
      <c r="H54" s="2"/>
      <c r="I54" s="2"/>
    </row>
    <row r="55" spans="1:9">
      <c r="A55" s="2"/>
      <c r="B55" s="2"/>
      <c r="C55" s="2"/>
      <c r="D55" s="2"/>
      <c r="E55" s="2"/>
      <c r="F55" s="2"/>
      <c r="G55" s="2"/>
      <c r="H55" s="2"/>
      <c r="I55" s="2"/>
    </row>
    <row r="56" spans="1:9">
      <c r="A56" s="2"/>
      <c r="B56" s="2"/>
      <c r="C56" s="2"/>
      <c r="D56" s="2"/>
      <c r="E56" s="2"/>
      <c r="F56" s="2"/>
      <c r="G56" s="2"/>
      <c r="H56" s="2"/>
      <c r="I56" s="2"/>
    </row>
    <row r="57" spans="1:9">
      <c r="A57" s="2"/>
      <c r="B57" s="2"/>
      <c r="C57" s="2"/>
      <c r="D57" s="2"/>
      <c r="E57" s="2"/>
      <c r="F57" s="2"/>
      <c r="G57" s="2"/>
      <c r="H57" s="2"/>
      <c r="I57" s="2"/>
    </row>
    <row r="58" spans="1:9">
      <c r="A58" s="2"/>
      <c r="B58" s="2"/>
      <c r="C58" s="2"/>
      <c r="D58" s="2"/>
      <c r="E58" s="2"/>
      <c r="F58" s="2"/>
      <c r="G58" s="2"/>
      <c r="H58" s="2"/>
      <c r="I58" s="2"/>
    </row>
    <row r="59" spans="1:9">
      <c r="A59" s="2"/>
      <c r="B59" s="2"/>
      <c r="C59" s="2"/>
      <c r="D59" s="2"/>
      <c r="E59" s="2"/>
      <c r="F59" s="2"/>
      <c r="G59" s="2"/>
      <c r="H59" s="2"/>
      <c r="I59" s="2"/>
    </row>
    <row r="60" spans="1:9">
      <c r="A60" s="2"/>
      <c r="B60" s="2"/>
      <c r="C60" s="2"/>
      <c r="D60" s="2"/>
      <c r="E60" s="2"/>
      <c r="F60" s="2"/>
      <c r="G60" s="2"/>
      <c r="H60" s="2"/>
      <c r="I60" s="2"/>
    </row>
  </sheetData>
  <mergeCells count="2">
    <mergeCell ref="A1:I1"/>
    <mergeCell ref="A2:I2"/>
  </mergeCells>
  <dataValidations count="2">
    <dataValidation type="list" sqref="B7" xr:uid="{00000000-0002-0000-2000-000000000000}">
      <formula1>"Yes,No"</formula1>
    </dataValidation>
    <dataValidation type="list" sqref="F14:F41" xr:uid="{00000000-0002-0000-2000-000001000000}">
      <formula1>"Yes,No,N/A"</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60"/>
  <sheetViews>
    <sheetView workbookViewId="0"/>
  </sheetViews>
  <sheetFormatPr defaultRowHeight="14"/>
  <cols>
    <col min="1" max="8" width="18" customWidth="1"/>
  </cols>
  <sheetData>
    <row r="1" spans="1:8" ht="20">
      <c r="A1" s="6" t="s">
        <v>362</v>
      </c>
      <c r="B1" s="7"/>
      <c r="C1" s="7"/>
      <c r="D1" s="7"/>
      <c r="E1" s="7"/>
      <c r="F1" s="7"/>
      <c r="G1" s="7"/>
      <c r="H1" s="7"/>
    </row>
    <row r="2" spans="1:8" ht="14.5">
      <c r="A2" s="8" t="s">
        <v>290</v>
      </c>
      <c r="B2" s="7"/>
      <c r="C2" s="7"/>
      <c r="D2" s="7"/>
      <c r="E2" s="7"/>
      <c r="F2" s="7"/>
      <c r="G2" s="7"/>
      <c r="H2" s="7"/>
    </row>
    <row r="4" spans="1:8">
      <c r="A4" s="3" t="s">
        <v>107</v>
      </c>
      <c r="B4" t="s">
        <v>360</v>
      </c>
    </row>
    <row r="5" spans="1:8">
      <c r="A5" s="3" t="s">
        <v>110</v>
      </c>
    </row>
    <row r="6" spans="1:8">
      <c r="A6" s="3" t="s">
        <v>229</v>
      </c>
    </row>
    <row r="7" spans="1:8">
      <c r="A7" s="3" t="s">
        <v>230</v>
      </c>
    </row>
    <row r="8" spans="1:8">
      <c r="A8" s="3" t="s">
        <v>291</v>
      </c>
      <c r="B8">
        <f>COUNTA(A14:A60)</f>
        <v>22</v>
      </c>
    </row>
    <row r="9" spans="1:8">
      <c r="A9" s="3" t="s">
        <v>292</v>
      </c>
      <c r="B9">
        <f>COUNTIF(G14:G60,"FAIL")</f>
        <v>22</v>
      </c>
    </row>
    <row r="10" spans="1:8">
      <c r="A10" s="3" t="s">
        <v>46</v>
      </c>
      <c r="B10" t="str">
        <f>IF(AND(B7="Yes",B9=0),"Complete","Incomplete")</f>
        <v>Incomplete</v>
      </c>
    </row>
    <row r="13" spans="1:8">
      <c r="A13" s="1" t="s">
        <v>233</v>
      </c>
      <c r="B13" s="1" t="s">
        <v>234</v>
      </c>
      <c r="C13" s="1" t="s">
        <v>235</v>
      </c>
      <c r="D13" s="1" t="s">
        <v>293</v>
      </c>
      <c r="E13" s="1" t="s">
        <v>294</v>
      </c>
      <c r="F13" s="1" t="s">
        <v>239</v>
      </c>
      <c r="G13" s="1" t="s">
        <v>240</v>
      </c>
      <c r="H13" s="1" t="s">
        <v>241</v>
      </c>
    </row>
    <row r="14" spans="1:8" ht="28">
      <c r="A14" s="2" t="s">
        <v>295</v>
      </c>
      <c r="B14" s="2">
        <v>6</v>
      </c>
      <c r="C14" s="2"/>
      <c r="D14" s="2"/>
      <c r="E14" s="2"/>
      <c r="F14" s="2"/>
      <c r="G14" s="2" t="str">
        <f t="shared" ref="G14:G35" si="0">IF(OR(C14&lt;B14,E14="No"),"FAIL","PASS")</f>
        <v>FAIL</v>
      </c>
      <c r="H14" s="2"/>
    </row>
    <row r="15" spans="1:8" ht="28">
      <c r="A15" s="2" t="s">
        <v>296</v>
      </c>
      <c r="B15" s="2">
        <v>8</v>
      </c>
      <c r="C15" s="2"/>
      <c r="D15" s="2"/>
      <c r="E15" s="2"/>
      <c r="F15" s="2"/>
      <c r="G15" s="2" t="str">
        <f t="shared" si="0"/>
        <v>FAIL</v>
      </c>
      <c r="H15" s="2"/>
    </row>
    <row r="16" spans="1:8" ht="28">
      <c r="A16" s="2" t="s">
        <v>297</v>
      </c>
      <c r="B16" s="2">
        <v>10</v>
      </c>
      <c r="C16" s="2"/>
      <c r="D16" s="2"/>
      <c r="E16" s="2"/>
      <c r="F16" s="2"/>
      <c r="G16" s="2" t="str">
        <f t="shared" si="0"/>
        <v>FAIL</v>
      </c>
      <c r="H16" s="2"/>
    </row>
    <row r="17" spans="1:8">
      <c r="A17" s="2" t="s">
        <v>298</v>
      </c>
      <c r="B17" s="2">
        <v>4</v>
      </c>
      <c r="C17" s="2"/>
      <c r="D17" s="2"/>
      <c r="E17" s="2"/>
      <c r="F17" s="2"/>
      <c r="G17" s="2" t="str">
        <f t="shared" si="0"/>
        <v>FAIL</v>
      </c>
      <c r="H17" s="2"/>
    </row>
    <row r="18" spans="1:8">
      <c r="A18" s="2" t="s">
        <v>299</v>
      </c>
      <c r="B18" s="2">
        <v>6</v>
      </c>
      <c r="C18" s="2"/>
      <c r="D18" s="2"/>
      <c r="E18" s="2"/>
      <c r="F18" s="2"/>
      <c r="G18" s="2" t="str">
        <f t="shared" si="0"/>
        <v>FAIL</v>
      </c>
      <c r="H18" s="2"/>
    </row>
    <row r="19" spans="1:8" ht="28">
      <c r="A19" s="2" t="s">
        <v>300</v>
      </c>
      <c r="B19" s="2">
        <v>6</v>
      </c>
      <c r="C19" s="2"/>
      <c r="D19" s="2"/>
      <c r="E19" s="2"/>
      <c r="F19" s="2"/>
      <c r="G19" s="2" t="str">
        <f t="shared" si="0"/>
        <v>FAIL</v>
      </c>
      <c r="H19" s="2"/>
    </row>
    <row r="20" spans="1:8">
      <c r="A20" s="2" t="s">
        <v>301</v>
      </c>
      <c r="B20" s="2">
        <v>10</v>
      </c>
      <c r="C20" s="2"/>
      <c r="D20" s="2"/>
      <c r="E20" s="2"/>
      <c r="F20" s="2"/>
      <c r="G20" s="2" t="str">
        <f t="shared" si="0"/>
        <v>FAIL</v>
      </c>
      <c r="H20" s="2"/>
    </row>
    <row r="21" spans="1:8">
      <c r="A21" s="2" t="s">
        <v>302</v>
      </c>
      <c r="B21" s="2">
        <v>4</v>
      </c>
      <c r="C21" s="2"/>
      <c r="D21" s="2"/>
      <c r="E21" s="2"/>
      <c r="F21" s="2"/>
      <c r="G21" s="2" t="str">
        <f t="shared" si="0"/>
        <v>FAIL</v>
      </c>
      <c r="H21" s="2"/>
    </row>
    <row r="22" spans="1:8" ht="28">
      <c r="A22" s="2" t="s">
        <v>303</v>
      </c>
      <c r="B22" s="2">
        <v>4</v>
      </c>
      <c r="C22" s="2"/>
      <c r="D22" s="2"/>
      <c r="E22" s="2"/>
      <c r="F22" s="2"/>
      <c r="G22" s="2" t="str">
        <f t="shared" si="0"/>
        <v>FAIL</v>
      </c>
      <c r="H22" s="2"/>
    </row>
    <row r="23" spans="1:8">
      <c r="A23" s="2" t="s">
        <v>304</v>
      </c>
      <c r="B23" s="2">
        <v>2</v>
      </c>
      <c r="C23" s="2"/>
      <c r="D23" s="2"/>
      <c r="E23" s="2"/>
      <c r="F23" s="2"/>
      <c r="G23" s="2" t="str">
        <f t="shared" si="0"/>
        <v>FAIL</v>
      </c>
      <c r="H23" s="2"/>
    </row>
    <row r="24" spans="1:8" ht="28">
      <c r="A24" s="2" t="s">
        <v>305</v>
      </c>
      <c r="B24" s="2">
        <v>50</v>
      </c>
      <c r="C24" s="2"/>
      <c r="D24" s="2"/>
      <c r="E24" s="2"/>
      <c r="F24" s="2"/>
      <c r="G24" s="2" t="str">
        <f t="shared" si="0"/>
        <v>FAIL</v>
      </c>
      <c r="H24" s="2"/>
    </row>
    <row r="25" spans="1:8">
      <c r="A25" s="2" t="s">
        <v>306</v>
      </c>
      <c r="B25" s="2">
        <v>2</v>
      </c>
      <c r="C25" s="2"/>
      <c r="D25" s="2"/>
      <c r="E25" s="2"/>
      <c r="F25" s="2"/>
      <c r="G25" s="2" t="str">
        <f t="shared" si="0"/>
        <v>FAIL</v>
      </c>
      <c r="H25" s="2"/>
    </row>
    <row r="26" spans="1:8">
      <c r="A26" s="2" t="s">
        <v>307</v>
      </c>
      <c r="B26" s="2">
        <v>2</v>
      </c>
      <c r="C26" s="2"/>
      <c r="D26" s="2"/>
      <c r="E26" s="2"/>
      <c r="F26" s="2"/>
      <c r="G26" s="2" t="str">
        <f t="shared" si="0"/>
        <v>FAIL</v>
      </c>
      <c r="H26" s="2"/>
    </row>
    <row r="27" spans="1:8" ht="28">
      <c r="A27" s="2" t="s">
        <v>308</v>
      </c>
      <c r="B27" s="2">
        <v>2</v>
      </c>
      <c r="C27" s="2"/>
      <c r="D27" s="2"/>
      <c r="E27" s="2"/>
      <c r="F27" s="2"/>
      <c r="G27" s="2" t="str">
        <f t="shared" si="0"/>
        <v>FAIL</v>
      </c>
      <c r="H27" s="2"/>
    </row>
    <row r="28" spans="1:8">
      <c r="A28" s="2" t="s">
        <v>309</v>
      </c>
      <c r="B28" s="2">
        <v>4</v>
      </c>
      <c r="C28" s="2"/>
      <c r="D28" s="2"/>
      <c r="E28" s="2"/>
      <c r="F28" s="2"/>
      <c r="G28" s="2" t="str">
        <f t="shared" si="0"/>
        <v>FAIL</v>
      </c>
      <c r="H28" s="2"/>
    </row>
    <row r="29" spans="1:8">
      <c r="A29" s="2" t="s">
        <v>310</v>
      </c>
      <c r="B29" s="2">
        <v>20</v>
      </c>
      <c r="C29" s="2"/>
      <c r="D29" s="2"/>
      <c r="E29" s="2"/>
      <c r="F29" s="2"/>
      <c r="G29" s="2" t="str">
        <f t="shared" si="0"/>
        <v>FAIL</v>
      </c>
      <c r="H29" s="2"/>
    </row>
    <row r="30" spans="1:8" ht="28">
      <c r="A30" s="2" t="s">
        <v>311</v>
      </c>
      <c r="B30" s="2">
        <v>1</v>
      </c>
      <c r="C30" s="2"/>
      <c r="D30" s="2"/>
      <c r="E30" s="2"/>
      <c r="F30" s="2"/>
      <c r="G30" s="2" t="str">
        <f t="shared" si="0"/>
        <v>FAIL</v>
      </c>
      <c r="H30" s="2"/>
    </row>
    <row r="31" spans="1:8" ht="28">
      <c r="A31" s="2" t="s">
        <v>312</v>
      </c>
      <c r="B31" s="2">
        <v>1</v>
      </c>
      <c r="C31" s="2"/>
      <c r="D31" s="2"/>
      <c r="E31" s="2"/>
      <c r="F31" s="2"/>
      <c r="G31" s="2" t="str">
        <f t="shared" si="0"/>
        <v>FAIL</v>
      </c>
      <c r="H31" s="2"/>
    </row>
    <row r="32" spans="1:8" ht="28">
      <c r="A32" s="2" t="s">
        <v>313</v>
      </c>
      <c r="B32" s="2">
        <v>1</v>
      </c>
      <c r="C32" s="2"/>
      <c r="D32" s="2"/>
      <c r="E32" s="2"/>
      <c r="F32" s="2"/>
      <c r="G32" s="2" t="str">
        <f t="shared" si="0"/>
        <v>FAIL</v>
      </c>
      <c r="H32" s="2"/>
    </row>
    <row r="33" spans="1:8" ht="28">
      <c r="A33" s="2" t="s">
        <v>314</v>
      </c>
      <c r="B33" s="2">
        <v>1</v>
      </c>
      <c r="C33" s="2"/>
      <c r="D33" s="2"/>
      <c r="E33" s="2"/>
      <c r="F33" s="2"/>
      <c r="G33" s="2" t="str">
        <f t="shared" si="0"/>
        <v>FAIL</v>
      </c>
      <c r="H33" s="2"/>
    </row>
    <row r="34" spans="1:8" ht="28">
      <c r="A34" s="2" t="s">
        <v>315</v>
      </c>
      <c r="B34" s="2">
        <v>1</v>
      </c>
      <c r="C34" s="2"/>
      <c r="D34" s="2"/>
      <c r="E34" s="2"/>
      <c r="F34" s="2"/>
      <c r="G34" s="2" t="str">
        <f t="shared" si="0"/>
        <v>FAIL</v>
      </c>
      <c r="H34" s="2"/>
    </row>
    <row r="35" spans="1:8" ht="28">
      <c r="A35" s="2" t="s">
        <v>316</v>
      </c>
      <c r="B35" s="2">
        <v>1</v>
      </c>
      <c r="C35" s="2"/>
      <c r="D35" s="2"/>
      <c r="E35" s="2"/>
      <c r="F35" s="2"/>
      <c r="G35" s="2" t="str">
        <f t="shared" si="0"/>
        <v>FAIL</v>
      </c>
      <c r="H35" s="2"/>
    </row>
    <row r="36" spans="1:8">
      <c r="A36" s="2"/>
      <c r="B36" s="2"/>
      <c r="C36" s="2"/>
      <c r="D36" s="2"/>
      <c r="E36" s="2"/>
      <c r="F36" s="2"/>
      <c r="G36" s="2"/>
      <c r="H36" s="2"/>
    </row>
    <row r="37" spans="1:8">
      <c r="A37" s="2"/>
      <c r="B37" s="2"/>
      <c r="C37" s="2"/>
      <c r="D37" s="2"/>
      <c r="E37" s="2"/>
      <c r="F37" s="2"/>
      <c r="G37" s="2"/>
      <c r="H37" s="2"/>
    </row>
    <row r="38" spans="1:8">
      <c r="A38" s="2"/>
      <c r="B38" s="2"/>
      <c r="C38" s="2"/>
      <c r="D38" s="2"/>
      <c r="E38" s="2"/>
      <c r="F38" s="2"/>
      <c r="G38" s="2"/>
      <c r="H38" s="2"/>
    </row>
    <row r="39" spans="1:8">
      <c r="A39" s="2"/>
      <c r="B39" s="2"/>
      <c r="C39" s="2"/>
      <c r="D39" s="2"/>
      <c r="E39" s="2"/>
      <c r="F39" s="2"/>
      <c r="G39" s="2"/>
      <c r="H39" s="2"/>
    </row>
    <row r="40" spans="1:8">
      <c r="A40" s="2"/>
      <c r="B40" s="2"/>
      <c r="C40" s="2"/>
      <c r="D40" s="2"/>
      <c r="E40" s="2"/>
      <c r="F40" s="2"/>
      <c r="G40" s="2"/>
      <c r="H40" s="2"/>
    </row>
    <row r="41" spans="1:8">
      <c r="A41" s="2"/>
      <c r="B41" s="2"/>
      <c r="C41" s="2"/>
      <c r="D41" s="2"/>
      <c r="E41" s="2"/>
      <c r="F41" s="2"/>
      <c r="G41" s="2"/>
      <c r="H41" s="2"/>
    </row>
    <row r="42" spans="1:8">
      <c r="A42" s="2"/>
      <c r="B42" s="2"/>
      <c r="C42" s="2"/>
      <c r="D42" s="2"/>
      <c r="E42" s="2"/>
      <c r="F42" s="2"/>
      <c r="G42" s="2"/>
      <c r="H42" s="2"/>
    </row>
    <row r="43" spans="1:8">
      <c r="A43" s="2"/>
      <c r="B43" s="2"/>
      <c r="C43" s="2"/>
      <c r="D43" s="2"/>
      <c r="E43" s="2"/>
      <c r="F43" s="2"/>
      <c r="G43" s="2"/>
      <c r="H43" s="2"/>
    </row>
    <row r="44" spans="1:8">
      <c r="A44" s="2"/>
      <c r="B44" s="2"/>
      <c r="C44" s="2"/>
      <c r="D44" s="2"/>
      <c r="E44" s="2"/>
      <c r="F44" s="2"/>
      <c r="G44" s="2"/>
      <c r="H44" s="2"/>
    </row>
    <row r="45" spans="1:8">
      <c r="A45" s="2"/>
      <c r="B45" s="2"/>
      <c r="C45" s="2"/>
      <c r="D45" s="2"/>
      <c r="E45" s="2"/>
      <c r="F45" s="2"/>
      <c r="G45" s="2"/>
      <c r="H45" s="2"/>
    </row>
    <row r="46" spans="1:8">
      <c r="A46" s="2"/>
      <c r="B46" s="2"/>
      <c r="C46" s="2"/>
      <c r="D46" s="2"/>
      <c r="E46" s="2"/>
      <c r="F46" s="2"/>
      <c r="G46" s="2"/>
      <c r="H46" s="2"/>
    </row>
    <row r="47" spans="1:8">
      <c r="A47" s="2"/>
      <c r="B47" s="2"/>
      <c r="C47" s="2"/>
      <c r="D47" s="2"/>
      <c r="E47" s="2"/>
      <c r="F47" s="2"/>
      <c r="G47" s="2"/>
      <c r="H47" s="2"/>
    </row>
    <row r="48" spans="1:8">
      <c r="A48" s="2"/>
      <c r="B48" s="2"/>
      <c r="C48" s="2"/>
      <c r="D48" s="2"/>
      <c r="E48" s="2"/>
      <c r="F48" s="2"/>
      <c r="G48" s="2"/>
      <c r="H48" s="2"/>
    </row>
    <row r="49" spans="1:8">
      <c r="A49" s="2"/>
      <c r="B49" s="2"/>
      <c r="C49" s="2"/>
      <c r="D49" s="2"/>
      <c r="E49" s="2"/>
      <c r="F49" s="2"/>
      <c r="G49" s="2"/>
      <c r="H49" s="2"/>
    </row>
    <row r="50" spans="1:8">
      <c r="A50" s="2"/>
      <c r="B50" s="2"/>
      <c r="C50" s="2"/>
      <c r="D50" s="2"/>
      <c r="E50" s="2"/>
      <c r="F50" s="2"/>
      <c r="G50" s="2"/>
      <c r="H50" s="2"/>
    </row>
    <row r="51" spans="1:8">
      <c r="A51" s="2"/>
      <c r="B51" s="2"/>
      <c r="C51" s="2"/>
      <c r="D51" s="2"/>
      <c r="E51" s="2"/>
      <c r="F51" s="2"/>
      <c r="G51" s="2"/>
      <c r="H51" s="2"/>
    </row>
    <row r="52" spans="1:8">
      <c r="A52" s="2"/>
      <c r="B52" s="2"/>
      <c r="C52" s="2"/>
      <c r="D52" s="2"/>
      <c r="E52" s="2"/>
      <c r="F52" s="2"/>
      <c r="G52" s="2"/>
      <c r="H52" s="2"/>
    </row>
    <row r="53" spans="1:8">
      <c r="A53" s="2"/>
      <c r="B53" s="2"/>
      <c r="C53" s="2"/>
      <c r="D53" s="2"/>
      <c r="E53" s="2"/>
      <c r="F53" s="2"/>
      <c r="G53" s="2"/>
      <c r="H53" s="2"/>
    </row>
    <row r="54" spans="1:8">
      <c r="A54" s="2"/>
      <c r="B54" s="2"/>
      <c r="C54" s="2"/>
      <c r="D54" s="2"/>
      <c r="E54" s="2"/>
      <c r="F54" s="2"/>
      <c r="G54" s="2"/>
      <c r="H54" s="2"/>
    </row>
    <row r="55" spans="1:8">
      <c r="A55" s="2"/>
      <c r="B55" s="2"/>
      <c r="C55" s="2"/>
      <c r="D55" s="2"/>
      <c r="E55" s="2"/>
      <c r="F55" s="2"/>
      <c r="G55" s="2"/>
      <c r="H55" s="2"/>
    </row>
    <row r="56" spans="1:8">
      <c r="A56" s="2"/>
      <c r="B56" s="2"/>
      <c r="C56" s="2"/>
      <c r="D56" s="2"/>
      <c r="E56" s="2"/>
      <c r="F56" s="2"/>
      <c r="G56" s="2"/>
      <c r="H56" s="2"/>
    </row>
    <row r="57" spans="1:8">
      <c r="A57" s="2"/>
      <c r="B57" s="2"/>
      <c r="C57" s="2"/>
      <c r="D57" s="2"/>
      <c r="E57" s="2"/>
      <c r="F57" s="2"/>
      <c r="G57" s="2"/>
      <c r="H57" s="2"/>
    </row>
    <row r="58" spans="1:8">
      <c r="A58" s="2"/>
      <c r="B58" s="2"/>
      <c r="C58" s="2"/>
      <c r="D58" s="2"/>
      <c r="E58" s="2"/>
      <c r="F58" s="2"/>
      <c r="G58" s="2"/>
      <c r="H58" s="2"/>
    </row>
    <row r="59" spans="1:8">
      <c r="A59" s="2"/>
      <c r="B59" s="2"/>
      <c r="C59" s="2"/>
      <c r="D59" s="2"/>
      <c r="E59" s="2"/>
      <c r="F59" s="2"/>
      <c r="G59" s="2"/>
      <c r="H59" s="2"/>
    </row>
    <row r="60" spans="1:8">
      <c r="A60" s="2"/>
      <c r="B60" s="2"/>
      <c r="C60" s="2"/>
      <c r="D60" s="2"/>
      <c r="E60" s="2"/>
      <c r="F60" s="2"/>
      <c r="G60" s="2"/>
      <c r="H60" s="2"/>
    </row>
  </sheetData>
  <mergeCells count="2">
    <mergeCell ref="A1:H1"/>
    <mergeCell ref="A2:H2"/>
  </mergeCells>
  <dataValidations count="2">
    <dataValidation type="list" sqref="B7" xr:uid="{00000000-0002-0000-2100-000000000000}">
      <formula1>"Yes,No"</formula1>
    </dataValidation>
    <dataValidation type="list" sqref="E14:E35" xr:uid="{00000000-0002-0000-2100-000001000000}">
      <formula1>"Yes,No,N/A"</formula1>
    </dataValidation>
  </dataValidation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O113"/>
  <sheetViews>
    <sheetView workbookViewId="0"/>
  </sheetViews>
  <sheetFormatPr defaultRowHeight="14"/>
  <cols>
    <col min="1" max="2" width="17" customWidth="1"/>
    <col min="3" max="3" width="25" customWidth="1"/>
    <col min="4" max="13" width="17" customWidth="1"/>
    <col min="14" max="14" width="28" customWidth="1"/>
    <col min="15" max="15" width="17" customWidth="1"/>
  </cols>
  <sheetData>
    <row r="1" spans="1:15" ht="20">
      <c r="A1" s="6" t="s">
        <v>363</v>
      </c>
      <c r="B1" s="7"/>
      <c r="C1" s="7"/>
      <c r="D1" s="7"/>
      <c r="E1" s="7"/>
      <c r="F1" s="7"/>
      <c r="G1" s="7"/>
      <c r="H1" s="7"/>
      <c r="I1" s="7"/>
      <c r="J1" s="7"/>
      <c r="K1" s="7"/>
      <c r="L1" s="7"/>
      <c r="M1" s="7"/>
      <c r="N1" s="7"/>
      <c r="O1" s="7"/>
    </row>
    <row r="2" spans="1:15" ht="14.5">
      <c r="A2" s="8" t="s">
        <v>318</v>
      </c>
      <c r="B2" s="7"/>
      <c r="C2" s="7"/>
      <c r="D2" s="7"/>
      <c r="E2" s="7"/>
      <c r="F2" s="7"/>
      <c r="G2" s="7"/>
      <c r="H2" s="7"/>
      <c r="I2" s="7"/>
      <c r="J2" s="7"/>
      <c r="K2" s="7"/>
      <c r="L2" s="7"/>
      <c r="M2" s="7"/>
      <c r="N2" s="7"/>
      <c r="O2" s="7"/>
    </row>
    <row r="4" spans="1:15">
      <c r="A4" s="3" t="s">
        <v>107</v>
      </c>
      <c r="B4" t="s">
        <v>360</v>
      </c>
    </row>
    <row r="5" spans="1:15">
      <c r="A5" s="3" t="s">
        <v>110</v>
      </c>
    </row>
    <row r="6" spans="1:15">
      <c r="A6" s="3" t="s">
        <v>229</v>
      </c>
    </row>
    <row r="7" spans="1:15">
      <c r="A7" s="3" t="s">
        <v>230</v>
      </c>
    </row>
    <row r="8" spans="1:15">
      <c r="A8" s="3" t="s">
        <v>319</v>
      </c>
      <c r="B8">
        <f>COUNTA(A14:A113)</f>
        <v>0</v>
      </c>
    </row>
    <row r="9" spans="1:15" ht="28">
      <c r="A9" s="3" t="s">
        <v>320</v>
      </c>
      <c r="B9">
        <f>COUNTIF(O14:O113,"FAIL")</f>
        <v>0</v>
      </c>
    </row>
    <row r="10" spans="1:15">
      <c r="A10" s="3" t="s">
        <v>46</v>
      </c>
      <c r="B10" t="str">
        <f>IF(AND(B7="Yes",B9=0),"Complete","Incomplete")</f>
        <v>Incomplete</v>
      </c>
    </row>
    <row r="13" spans="1:15" ht="42">
      <c r="A13" s="1" t="s">
        <v>120</v>
      </c>
      <c r="B13" s="1" t="s">
        <v>121</v>
      </c>
      <c r="C13" s="1" t="s">
        <v>321</v>
      </c>
      <c r="D13" s="1" t="s">
        <v>234</v>
      </c>
      <c r="E13" s="1" t="s">
        <v>235</v>
      </c>
      <c r="F13" s="1" t="s">
        <v>294</v>
      </c>
      <c r="G13" s="1" t="s">
        <v>322</v>
      </c>
      <c r="H13" s="1" t="s">
        <v>323</v>
      </c>
      <c r="I13" s="1" t="s">
        <v>324</v>
      </c>
      <c r="J13" s="1" t="s">
        <v>149</v>
      </c>
      <c r="K13" s="1" t="s">
        <v>325</v>
      </c>
      <c r="L13" s="1" t="s">
        <v>326</v>
      </c>
      <c r="M13" s="1" t="s">
        <v>327</v>
      </c>
      <c r="N13" s="1" t="s">
        <v>239</v>
      </c>
      <c r="O13" s="1" t="s">
        <v>328</v>
      </c>
    </row>
    <row r="14" spans="1:15">
      <c r="A14" s="2"/>
      <c r="B14" s="2"/>
      <c r="C14" s="2"/>
      <c r="D14" s="2"/>
      <c r="E14" s="2"/>
      <c r="F14" s="2"/>
      <c r="G14" s="2"/>
      <c r="H14" s="2"/>
      <c r="I14" s="2"/>
      <c r="J14" s="2"/>
      <c r="K14" s="2"/>
      <c r="L14" s="2"/>
      <c r="M14" s="2"/>
      <c r="N14" s="2"/>
      <c r="O14" s="2" t="str">
        <f t="shared" ref="O14:O45" si="0">IF(OR(E14&lt;D14,F14="No",G14="No",H14="No",I14="No",J14="No",K14="No",L14="No",M14="No"),"FAIL","PASS")</f>
        <v>PASS</v>
      </c>
    </row>
    <row r="15" spans="1:15">
      <c r="A15" s="2"/>
      <c r="B15" s="2"/>
      <c r="C15" s="2"/>
      <c r="D15" s="2"/>
      <c r="E15" s="2"/>
      <c r="F15" s="2"/>
      <c r="G15" s="2"/>
      <c r="H15" s="2"/>
      <c r="I15" s="2"/>
      <c r="J15" s="2"/>
      <c r="K15" s="2"/>
      <c r="L15" s="2"/>
      <c r="M15" s="2"/>
      <c r="N15" s="2"/>
      <c r="O15" s="2" t="str">
        <f t="shared" si="0"/>
        <v>PASS</v>
      </c>
    </row>
    <row r="16" spans="1:15">
      <c r="A16" s="2"/>
      <c r="B16" s="2"/>
      <c r="C16" s="2"/>
      <c r="D16" s="2"/>
      <c r="E16" s="2"/>
      <c r="F16" s="2"/>
      <c r="G16" s="2"/>
      <c r="H16" s="2"/>
      <c r="I16" s="2"/>
      <c r="J16" s="2"/>
      <c r="K16" s="2"/>
      <c r="L16" s="2"/>
      <c r="M16" s="2"/>
      <c r="N16" s="2"/>
      <c r="O16" s="2" t="str">
        <f t="shared" si="0"/>
        <v>PASS</v>
      </c>
    </row>
    <row r="17" spans="1:15">
      <c r="A17" s="2"/>
      <c r="B17" s="2"/>
      <c r="C17" s="2"/>
      <c r="D17" s="2"/>
      <c r="E17" s="2"/>
      <c r="F17" s="2"/>
      <c r="G17" s="2"/>
      <c r="H17" s="2"/>
      <c r="I17" s="2"/>
      <c r="J17" s="2"/>
      <c r="K17" s="2"/>
      <c r="L17" s="2"/>
      <c r="M17" s="2"/>
      <c r="N17" s="2"/>
      <c r="O17" s="2" t="str">
        <f t="shared" si="0"/>
        <v>PASS</v>
      </c>
    </row>
    <row r="18" spans="1:15">
      <c r="A18" s="2"/>
      <c r="B18" s="2"/>
      <c r="C18" s="2"/>
      <c r="D18" s="2"/>
      <c r="E18" s="2"/>
      <c r="F18" s="2"/>
      <c r="G18" s="2"/>
      <c r="H18" s="2"/>
      <c r="I18" s="2"/>
      <c r="J18" s="2"/>
      <c r="K18" s="2"/>
      <c r="L18" s="2"/>
      <c r="M18" s="2"/>
      <c r="N18" s="2"/>
      <c r="O18" s="2" t="str">
        <f t="shared" si="0"/>
        <v>PASS</v>
      </c>
    </row>
    <row r="19" spans="1:15">
      <c r="A19" s="2"/>
      <c r="B19" s="2"/>
      <c r="C19" s="2"/>
      <c r="D19" s="2"/>
      <c r="E19" s="2"/>
      <c r="F19" s="2"/>
      <c r="G19" s="2"/>
      <c r="H19" s="2"/>
      <c r="I19" s="2"/>
      <c r="J19" s="2"/>
      <c r="K19" s="2"/>
      <c r="L19" s="2"/>
      <c r="M19" s="2"/>
      <c r="N19" s="2"/>
      <c r="O19" s="2" t="str">
        <f t="shared" si="0"/>
        <v>PASS</v>
      </c>
    </row>
    <row r="20" spans="1:15">
      <c r="A20" s="2"/>
      <c r="B20" s="2"/>
      <c r="C20" s="2"/>
      <c r="D20" s="2"/>
      <c r="E20" s="2"/>
      <c r="F20" s="2"/>
      <c r="G20" s="2"/>
      <c r="H20" s="2"/>
      <c r="I20" s="2"/>
      <c r="J20" s="2"/>
      <c r="K20" s="2"/>
      <c r="L20" s="2"/>
      <c r="M20" s="2"/>
      <c r="N20" s="2"/>
      <c r="O20" s="2" t="str">
        <f t="shared" si="0"/>
        <v>PASS</v>
      </c>
    </row>
    <row r="21" spans="1:15">
      <c r="A21" s="2"/>
      <c r="B21" s="2"/>
      <c r="C21" s="2"/>
      <c r="D21" s="2"/>
      <c r="E21" s="2"/>
      <c r="F21" s="2"/>
      <c r="G21" s="2"/>
      <c r="H21" s="2"/>
      <c r="I21" s="2"/>
      <c r="J21" s="2"/>
      <c r="K21" s="2"/>
      <c r="L21" s="2"/>
      <c r="M21" s="2"/>
      <c r="N21" s="2"/>
      <c r="O21" s="2" t="str">
        <f t="shared" si="0"/>
        <v>PASS</v>
      </c>
    </row>
    <row r="22" spans="1:15">
      <c r="A22" s="2"/>
      <c r="B22" s="2"/>
      <c r="C22" s="2"/>
      <c r="D22" s="2"/>
      <c r="E22" s="2"/>
      <c r="F22" s="2"/>
      <c r="G22" s="2"/>
      <c r="H22" s="2"/>
      <c r="I22" s="2"/>
      <c r="J22" s="2"/>
      <c r="K22" s="2"/>
      <c r="L22" s="2"/>
      <c r="M22" s="2"/>
      <c r="N22" s="2"/>
      <c r="O22" s="2" t="str">
        <f t="shared" si="0"/>
        <v>PASS</v>
      </c>
    </row>
    <row r="23" spans="1:15">
      <c r="A23" s="2"/>
      <c r="B23" s="2"/>
      <c r="C23" s="2"/>
      <c r="D23" s="2"/>
      <c r="E23" s="2"/>
      <c r="F23" s="2"/>
      <c r="G23" s="2"/>
      <c r="H23" s="2"/>
      <c r="I23" s="2"/>
      <c r="J23" s="2"/>
      <c r="K23" s="2"/>
      <c r="L23" s="2"/>
      <c r="M23" s="2"/>
      <c r="N23" s="2"/>
      <c r="O23" s="2" t="str">
        <f t="shared" si="0"/>
        <v>PASS</v>
      </c>
    </row>
    <row r="24" spans="1:15">
      <c r="A24" s="2"/>
      <c r="B24" s="2"/>
      <c r="C24" s="2"/>
      <c r="D24" s="2"/>
      <c r="E24" s="2"/>
      <c r="F24" s="2"/>
      <c r="G24" s="2"/>
      <c r="H24" s="2"/>
      <c r="I24" s="2"/>
      <c r="J24" s="2"/>
      <c r="K24" s="2"/>
      <c r="L24" s="2"/>
      <c r="M24" s="2"/>
      <c r="N24" s="2"/>
      <c r="O24" s="2" t="str">
        <f t="shared" si="0"/>
        <v>PASS</v>
      </c>
    </row>
    <row r="25" spans="1:15">
      <c r="A25" s="2"/>
      <c r="B25" s="2"/>
      <c r="C25" s="2"/>
      <c r="D25" s="2"/>
      <c r="E25" s="2"/>
      <c r="F25" s="2"/>
      <c r="G25" s="2"/>
      <c r="H25" s="2"/>
      <c r="I25" s="2"/>
      <c r="J25" s="2"/>
      <c r="K25" s="2"/>
      <c r="L25" s="2"/>
      <c r="M25" s="2"/>
      <c r="N25" s="2"/>
      <c r="O25" s="2" t="str">
        <f t="shared" si="0"/>
        <v>PASS</v>
      </c>
    </row>
    <row r="26" spans="1:15">
      <c r="A26" s="2"/>
      <c r="B26" s="2"/>
      <c r="C26" s="2"/>
      <c r="D26" s="2"/>
      <c r="E26" s="2"/>
      <c r="F26" s="2"/>
      <c r="G26" s="2"/>
      <c r="H26" s="2"/>
      <c r="I26" s="2"/>
      <c r="J26" s="2"/>
      <c r="K26" s="2"/>
      <c r="L26" s="2"/>
      <c r="M26" s="2"/>
      <c r="N26" s="2"/>
      <c r="O26" s="2" t="str">
        <f t="shared" si="0"/>
        <v>PASS</v>
      </c>
    </row>
    <row r="27" spans="1:15">
      <c r="A27" s="2"/>
      <c r="B27" s="2"/>
      <c r="C27" s="2"/>
      <c r="D27" s="2"/>
      <c r="E27" s="2"/>
      <c r="F27" s="2"/>
      <c r="G27" s="2"/>
      <c r="H27" s="2"/>
      <c r="I27" s="2"/>
      <c r="J27" s="2"/>
      <c r="K27" s="2"/>
      <c r="L27" s="2"/>
      <c r="M27" s="2"/>
      <c r="N27" s="2"/>
      <c r="O27" s="2" t="str">
        <f t="shared" si="0"/>
        <v>PASS</v>
      </c>
    </row>
    <row r="28" spans="1:15">
      <c r="A28" s="2"/>
      <c r="B28" s="2"/>
      <c r="C28" s="2"/>
      <c r="D28" s="2"/>
      <c r="E28" s="2"/>
      <c r="F28" s="2"/>
      <c r="G28" s="2"/>
      <c r="H28" s="2"/>
      <c r="I28" s="2"/>
      <c r="J28" s="2"/>
      <c r="K28" s="2"/>
      <c r="L28" s="2"/>
      <c r="M28" s="2"/>
      <c r="N28" s="2"/>
      <c r="O28" s="2" t="str">
        <f t="shared" si="0"/>
        <v>PASS</v>
      </c>
    </row>
    <row r="29" spans="1:15">
      <c r="A29" s="2"/>
      <c r="B29" s="2"/>
      <c r="C29" s="2"/>
      <c r="D29" s="2"/>
      <c r="E29" s="2"/>
      <c r="F29" s="2"/>
      <c r="G29" s="2"/>
      <c r="H29" s="2"/>
      <c r="I29" s="2"/>
      <c r="J29" s="2"/>
      <c r="K29" s="2"/>
      <c r="L29" s="2"/>
      <c r="M29" s="2"/>
      <c r="N29" s="2"/>
      <c r="O29" s="2" t="str">
        <f t="shared" si="0"/>
        <v>PASS</v>
      </c>
    </row>
    <row r="30" spans="1:15">
      <c r="A30" s="2"/>
      <c r="B30" s="2"/>
      <c r="C30" s="2"/>
      <c r="D30" s="2"/>
      <c r="E30" s="2"/>
      <c r="F30" s="2"/>
      <c r="G30" s="2"/>
      <c r="H30" s="2"/>
      <c r="I30" s="2"/>
      <c r="J30" s="2"/>
      <c r="K30" s="2"/>
      <c r="L30" s="2"/>
      <c r="M30" s="2"/>
      <c r="N30" s="2"/>
      <c r="O30" s="2" t="str">
        <f t="shared" si="0"/>
        <v>PASS</v>
      </c>
    </row>
    <row r="31" spans="1:15">
      <c r="A31" s="2"/>
      <c r="B31" s="2"/>
      <c r="C31" s="2"/>
      <c r="D31" s="2"/>
      <c r="E31" s="2"/>
      <c r="F31" s="2"/>
      <c r="G31" s="2"/>
      <c r="H31" s="2"/>
      <c r="I31" s="2"/>
      <c r="J31" s="2"/>
      <c r="K31" s="2"/>
      <c r="L31" s="2"/>
      <c r="M31" s="2"/>
      <c r="N31" s="2"/>
      <c r="O31" s="2" t="str">
        <f t="shared" si="0"/>
        <v>PASS</v>
      </c>
    </row>
    <row r="32" spans="1:15">
      <c r="A32" s="2"/>
      <c r="B32" s="2"/>
      <c r="C32" s="2"/>
      <c r="D32" s="2"/>
      <c r="E32" s="2"/>
      <c r="F32" s="2"/>
      <c r="G32" s="2"/>
      <c r="H32" s="2"/>
      <c r="I32" s="2"/>
      <c r="J32" s="2"/>
      <c r="K32" s="2"/>
      <c r="L32" s="2"/>
      <c r="M32" s="2"/>
      <c r="N32" s="2"/>
      <c r="O32" s="2" t="str">
        <f t="shared" si="0"/>
        <v>PASS</v>
      </c>
    </row>
    <row r="33" spans="1:15">
      <c r="A33" s="2"/>
      <c r="B33" s="2"/>
      <c r="C33" s="2"/>
      <c r="D33" s="2"/>
      <c r="E33" s="2"/>
      <c r="F33" s="2"/>
      <c r="G33" s="2"/>
      <c r="H33" s="2"/>
      <c r="I33" s="2"/>
      <c r="J33" s="2"/>
      <c r="K33" s="2"/>
      <c r="L33" s="2"/>
      <c r="M33" s="2"/>
      <c r="N33" s="2"/>
      <c r="O33" s="2" t="str">
        <f t="shared" si="0"/>
        <v>PASS</v>
      </c>
    </row>
    <row r="34" spans="1:15">
      <c r="A34" s="2"/>
      <c r="B34" s="2"/>
      <c r="C34" s="2"/>
      <c r="D34" s="2"/>
      <c r="E34" s="2"/>
      <c r="F34" s="2"/>
      <c r="G34" s="2"/>
      <c r="H34" s="2"/>
      <c r="I34" s="2"/>
      <c r="J34" s="2"/>
      <c r="K34" s="2"/>
      <c r="L34" s="2"/>
      <c r="M34" s="2"/>
      <c r="N34" s="2"/>
      <c r="O34" s="2" t="str">
        <f t="shared" si="0"/>
        <v>PASS</v>
      </c>
    </row>
    <row r="35" spans="1:15">
      <c r="A35" s="2"/>
      <c r="B35" s="2"/>
      <c r="C35" s="2"/>
      <c r="D35" s="2"/>
      <c r="E35" s="2"/>
      <c r="F35" s="2"/>
      <c r="G35" s="2"/>
      <c r="H35" s="2"/>
      <c r="I35" s="2"/>
      <c r="J35" s="2"/>
      <c r="K35" s="2"/>
      <c r="L35" s="2"/>
      <c r="M35" s="2"/>
      <c r="N35" s="2"/>
      <c r="O35" s="2" t="str">
        <f t="shared" si="0"/>
        <v>PASS</v>
      </c>
    </row>
    <row r="36" spans="1:15">
      <c r="A36" s="2"/>
      <c r="B36" s="2"/>
      <c r="C36" s="2"/>
      <c r="D36" s="2"/>
      <c r="E36" s="2"/>
      <c r="F36" s="2"/>
      <c r="G36" s="2"/>
      <c r="H36" s="2"/>
      <c r="I36" s="2"/>
      <c r="J36" s="2"/>
      <c r="K36" s="2"/>
      <c r="L36" s="2"/>
      <c r="M36" s="2"/>
      <c r="N36" s="2"/>
      <c r="O36" s="2" t="str">
        <f t="shared" si="0"/>
        <v>PASS</v>
      </c>
    </row>
    <row r="37" spans="1:15">
      <c r="A37" s="2"/>
      <c r="B37" s="2"/>
      <c r="C37" s="2"/>
      <c r="D37" s="2"/>
      <c r="E37" s="2"/>
      <c r="F37" s="2"/>
      <c r="G37" s="2"/>
      <c r="H37" s="2"/>
      <c r="I37" s="2"/>
      <c r="J37" s="2"/>
      <c r="K37" s="2"/>
      <c r="L37" s="2"/>
      <c r="M37" s="2"/>
      <c r="N37" s="2"/>
      <c r="O37" s="2" t="str">
        <f t="shared" si="0"/>
        <v>PASS</v>
      </c>
    </row>
    <row r="38" spans="1:15">
      <c r="A38" s="2"/>
      <c r="B38" s="2"/>
      <c r="C38" s="2"/>
      <c r="D38" s="2"/>
      <c r="E38" s="2"/>
      <c r="F38" s="2"/>
      <c r="G38" s="2"/>
      <c r="H38" s="2"/>
      <c r="I38" s="2"/>
      <c r="J38" s="2"/>
      <c r="K38" s="2"/>
      <c r="L38" s="2"/>
      <c r="M38" s="2"/>
      <c r="N38" s="2"/>
      <c r="O38" s="2" t="str">
        <f t="shared" si="0"/>
        <v>PASS</v>
      </c>
    </row>
    <row r="39" spans="1:15">
      <c r="A39" s="2"/>
      <c r="B39" s="2"/>
      <c r="C39" s="2"/>
      <c r="D39" s="2"/>
      <c r="E39" s="2"/>
      <c r="F39" s="2"/>
      <c r="G39" s="2"/>
      <c r="H39" s="2"/>
      <c r="I39" s="2"/>
      <c r="J39" s="2"/>
      <c r="K39" s="2"/>
      <c r="L39" s="2"/>
      <c r="M39" s="2"/>
      <c r="N39" s="2"/>
      <c r="O39" s="2" t="str">
        <f t="shared" si="0"/>
        <v>PASS</v>
      </c>
    </row>
    <row r="40" spans="1:15">
      <c r="A40" s="2"/>
      <c r="B40" s="2"/>
      <c r="C40" s="2"/>
      <c r="D40" s="2"/>
      <c r="E40" s="2"/>
      <c r="F40" s="2"/>
      <c r="G40" s="2"/>
      <c r="H40" s="2"/>
      <c r="I40" s="2"/>
      <c r="J40" s="2"/>
      <c r="K40" s="2"/>
      <c r="L40" s="2"/>
      <c r="M40" s="2"/>
      <c r="N40" s="2"/>
      <c r="O40" s="2" t="str">
        <f t="shared" si="0"/>
        <v>PASS</v>
      </c>
    </row>
    <row r="41" spans="1:15">
      <c r="A41" s="2"/>
      <c r="B41" s="2"/>
      <c r="C41" s="2"/>
      <c r="D41" s="2"/>
      <c r="E41" s="2"/>
      <c r="F41" s="2"/>
      <c r="G41" s="2"/>
      <c r="H41" s="2"/>
      <c r="I41" s="2"/>
      <c r="J41" s="2"/>
      <c r="K41" s="2"/>
      <c r="L41" s="2"/>
      <c r="M41" s="2"/>
      <c r="N41" s="2"/>
      <c r="O41" s="2" t="str">
        <f t="shared" si="0"/>
        <v>PASS</v>
      </c>
    </row>
    <row r="42" spans="1:15">
      <c r="A42" s="2"/>
      <c r="B42" s="2"/>
      <c r="C42" s="2"/>
      <c r="D42" s="2"/>
      <c r="E42" s="2"/>
      <c r="F42" s="2"/>
      <c r="G42" s="2"/>
      <c r="H42" s="2"/>
      <c r="I42" s="2"/>
      <c r="J42" s="2"/>
      <c r="K42" s="2"/>
      <c r="L42" s="2"/>
      <c r="M42" s="2"/>
      <c r="N42" s="2"/>
      <c r="O42" s="2" t="str">
        <f t="shared" si="0"/>
        <v>PASS</v>
      </c>
    </row>
    <row r="43" spans="1:15">
      <c r="A43" s="2"/>
      <c r="B43" s="2"/>
      <c r="C43" s="2"/>
      <c r="D43" s="2"/>
      <c r="E43" s="2"/>
      <c r="F43" s="2"/>
      <c r="G43" s="2"/>
      <c r="H43" s="2"/>
      <c r="I43" s="2"/>
      <c r="J43" s="2"/>
      <c r="K43" s="2"/>
      <c r="L43" s="2"/>
      <c r="M43" s="2"/>
      <c r="N43" s="2"/>
      <c r="O43" s="2" t="str">
        <f t="shared" si="0"/>
        <v>PASS</v>
      </c>
    </row>
    <row r="44" spans="1:15">
      <c r="A44" s="2"/>
      <c r="B44" s="2"/>
      <c r="C44" s="2"/>
      <c r="D44" s="2"/>
      <c r="E44" s="2"/>
      <c r="F44" s="2"/>
      <c r="G44" s="2"/>
      <c r="H44" s="2"/>
      <c r="I44" s="2"/>
      <c r="J44" s="2"/>
      <c r="K44" s="2"/>
      <c r="L44" s="2"/>
      <c r="M44" s="2"/>
      <c r="N44" s="2"/>
      <c r="O44" s="2" t="str">
        <f t="shared" si="0"/>
        <v>PASS</v>
      </c>
    </row>
    <row r="45" spans="1:15">
      <c r="A45" s="2"/>
      <c r="B45" s="2"/>
      <c r="C45" s="2"/>
      <c r="D45" s="2"/>
      <c r="E45" s="2"/>
      <c r="F45" s="2"/>
      <c r="G45" s="2"/>
      <c r="H45" s="2"/>
      <c r="I45" s="2"/>
      <c r="J45" s="2"/>
      <c r="K45" s="2"/>
      <c r="L45" s="2"/>
      <c r="M45" s="2"/>
      <c r="N45" s="2"/>
      <c r="O45" s="2" t="str">
        <f t="shared" si="0"/>
        <v>PASS</v>
      </c>
    </row>
    <row r="46" spans="1:15">
      <c r="A46" s="2"/>
      <c r="B46" s="2"/>
      <c r="C46" s="2"/>
      <c r="D46" s="2"/>
      <c r="E46" s="2"/>
      <c r="F46" s="2"/>
      <c r="G46" s="2"/>
      <c r="H46" s="2"/>
      <c r="I46" s="2"/>
      <c r="J46" s="2"/>
      <c r="K46" s="2"/>
      <c r="L46" s="2"/>
      <c r="M46" s="2"/>
      <c r="N46" s="2"/>
      <c r="O46" s="2" t="str">
        <f t="shared" ref="O46:O77" si="1">IF(OR(E46&lt;D46,F46="No",G46="No",H46="No",I46="No",J46="No",K46="No",L46="No",M46="No"),"FAIL","PASS")</f>
        <v>PASS</v>
      </c>
    </row>
    <row r="47" spans="1:15">
      <c r="A47" s="2"/>
      <c r="B47" s="2"/>
      <c r="C47" s="2"/>
      <c r="D47" s="2"/>
      <c r="E47" s="2"/>
      <c r="F47" s="2"/>
      <c r="G47" s="2"/>
      <c r="H47" s="2"/>
      <c r="I47" s="2"/>
      <c r="J47" s="2"/>
      <c r="K47" s="2"/>
      <c r="L47" s="2"/>
      <c r="M47" s="2"/>
      <c r="N47" s="2"/>
      <c r="O47" s="2" t="str">
        <f t="shared" si="1"/>
        <v>PASS</v>
      </c>
    </row>
    <row r="48" spans="1:15">
      <c r="A48" s="2"/>
      <c r="B48" s="2"/>
      <c r="C48" s="2"/>
      <c r="D48" s="2"/>
      <c r="E48" s="2"/>
      <c r="F48" s="2"/>
      <c r="G48" s="2"/>
      <c r="H48" s="2"/>
      <c r="I48" s="2"/>
      <c r="J48" s="2"/>
      <c r="K48" s="2"/>
      <c r="L48" s="2"/>
      <c r="M48" s="2"/>
      <c r="N48" s="2"/>
      <c r="O48" s="2" t="str">
        <f t="shared" si="1"/>
        <v>PASS</v>
      </c>
    </row>
    <row r="49" spans="1:15">
      <c r="A49" s="2"/>
      <c r="B49" s="2"/>
      <c r="C49" s="2"/>
      <c r="D49" s="2"/>
      <c r="E49" s="2"/>
      <c r="F49" s="2"/>
      <c r="G49" s="2"/>
      <c r="H49" s="2"/>
      <c r="I49" s="2"/>
      <c r="J49" s="2"/>
      <c r="K49" s="2"/>
      <c r="L49" s="2"/>
      <c r="M49" s="2"/>
      <c r="N49" s="2"/>
      <c r="O49" s="2" t="str">
        <f t="shared" si="1"/>
        <v>PASS</v>
      </c>
    </row>
    <row r="50" spans="1:15">
      <c r="A50" s="2"/>
      <c r="B50" s="2"/>
      <c r="C50" s="2"/>
      <c r="D50" s="2"/>
      <c r="E50" s="2"/>
      <c r="F50" s="2"/>
      <c r="G50" s="2"/>
      <c r="H50" s="2"/>
      <c r="I50" s="2"/>
      <c r="J50" s="2"/>
      <c r="K50" s="2"/>
      <c r="L50" s="2"/>
      <c r="M50" s="2"/>
      <c r="N50" s="2"/>
      <c r="O50" s="2" t="str">
        <f t="shared" si="1"/>
        <v>PASS</v>
      </c>
    </row>
    <row r="51" spans="1:15">
      <c r="A51" s="2"/>
      <c r="B51" s="2"/>
      <c r="C51" s="2"/>
      <c r="D51" s="2"/>
      <c r="E51" s="2"/>
      <c r="F51" s="2"/>
      <c r="G51" s="2"/>
      <c r="H51" s="2"/>
      <c r="I51" s="2"/>
      <c r="J51" s="2"/>
      <c r="K51" s="2"/>
      <c r="L51" s="2"/>
      <c r="M51" s="2"/>
      <c r="N51" s="2"/>
      <c r="O51" s="2" t="str">
        <f t="shared" si="1"/>
        <v>PASS</v>
      </c>
    </row>
    <row r="52" spans="1:15">
      <c r="A52" s="2"/>
      <c r="B52" s="2"/>
      <c r="C52" s="2"/>
      <c r="D52" s="2"/>
      <c r="E52" s="2"/>
      <c r="F52" s="2"/>
      <c r="G52" s="2"/>
      <c r="H52" s="2"/>
      <c r="I52" s="2"/>
      <c r="J52" s="2"/>
      <c r="K52" s="2"/>
      <c r="L52" s="2"/>
      <c r="M52" s="2"/>
      <c r="N52" s="2"/>
      <c r="O52" s="2" t="str">
        <f t="shared" si="1"/>
        <v>PASS</v>
      </c>
    </row>
    <row r="53" spans="1:15">
      <c r="A53" s="2"/>
      <c r="B53" s="2"/>
      <c r="C53" s="2"/>
      <c r="D53" s="2"/>
      <c r="E53" s="2"/>
      <c r="F53" s="2"/>
      <c r="G53" s="2"/>
      <c r="H53" s="2"/>
      <c r="I53" s="2"/>
      <c r="J53" s="2"/>
      <c r="K53" s="2"/>
      <c r="L53" s="2"/>
      <c r="M53" s="2"/>
      <c r="N53" s="2"/>
      <c r="O53" s="2" t="str">
        <f t="shared" si="1"/>
        <v>PASS</v>
      </c>
    </row>
    <row r="54" spans="1:15">
      <c r="A54" s="2"/>
      <c r="B54" s="2"/>
      <c r="C54" s="2"/>
      <c r="D54" s="2"/>
      <c r="E54" s="2"/>
      <c r="F54" s="2"/>
      <c r="G54" s="2"/>
      <c r="H54" s="2"/>
      <c r="I54" s="2"/>
      <c r="J54" s="2"/>
      <c r="K54" s="2"/>
      <c r="L54" s="2"/>
      <c r="M54" s="2"/>
      <c r="N54" s="2"/>
      <c r="O54" s="2" t="str">
        <f t="shared" si="1"/>
        <v>PASS</v>
      </c>
    </row>
    <row r="55" spans="1:15">
      <c r="A55" s="2"/>
      <c r="B55" s="2"/>
      <c r="C55" s="2"/>
      <c r="D55" s="2"/>
      <c r="E55" s="2"/>
      <c r="F55" s="2"/>
      <c r="G55" s="2"/>
      <c r="H55" s="2"/>
      <c r="I55" s="2"/>
      <c r="J55" s="2"/>
      <c r="K55" s="2"/>
      <c r="L55" s="2"/>
      <c r="M55" s="2"/>
      <c r="N55" s="2"/>
      <c r="O55" s="2" t="str">
        <f t="shared" si="1"/>
        <v>PASS</v>
      </c>
    </row>
    <row r="56" spans="1:15">
      <c r="A56" s="2"/>
      <c r="B56" s="2"/>
      <c r="C56" s="2"/>
      <c r="D56" s="2"/>
      <c r="E56" s="2"/>
      <c r="F56" s="2"/>
      <c r="G56" s="2"/>
      <c r="H56" s="2"/>
      <c r="I56" s="2"/>
      <c r="J56" s="2"/>
      <c r="K56" s="2"/>
      <c r="L56" s="2"/>
      <c r="M56" s="2"/>
      <c r="N56" s="2"/>
      <c r="O56" s="2" t="str">
        <f t="shared" si="1"/>
        <v>PASS</v>
      </c>
    </row>
    <row r="57" spans="1:15">
      <c r="A57" s="2"/>
      <c r="B57" s="2"/>
      <c r="C57" s="2"/>
      <c r="D57" s="2"/>
      <c r="E57" s="2"/>
      <c r="F57" s="2"/>
      <c r="G57" s="2"/>
      <c r="H57" s="2"/>
      <c r="I57" s="2"/>
      <c r="J57" s="2"/>
      <c r="K57" s="2"/>
      <c r="L57" s="2"/>
      <c r="M57" s="2"/>
      <c r="N57" s="2"/>
      <c r="O57" s="2" t="str">
        <f t="shared" si="1"/>
        <v>PASS</v>
      </c>
    </row>
    <row r="58" spans="1:15">
      <c r="A58" s="2"/>
      <c r="B58" s="2"/>
      <c r="C58" s="2"/>
      <c r="D58" s="2"/>
      <c r="E58" s="2"/>
      <c r="F58" s="2"/>
      <c r="G58" s="2"/>
      <c r="H58" s="2"/>
      <c r="I58" s="2"/>
      <c r="J58" s="2"/>
      <c r="K58" s="2"/>
      <c r="L58" s="2"/>
      <c r="M58" s="2"/>
      <c r="N58" s="2"/>
      <c r="O58" s="2" t="str">
        <f t="shared" si="1"/>
        <v>PASS</v>
      </c>
    </row>
    <row r="59" spans="1:15">
      <c r="A59" s="2"/>
      <c r="B59" s="2"/>
      <c r="C59" s="2"/>
      <c r="D59" s="2"/>
      <c r="E59" s="2"/>
      <c r="F59" s="2"/>
      <c r="G59" s="2"/>
      <c r="H59" s="2"/>
      <c r="I59" s="2"/>
      <c r="J59" s="2"/>
      <c r="K59" s="2"/>
      <c r="L59" s="2"/>
      <c r="M59" s="2"/>
      <c r="N59" s="2"/>
      <c r="O59" s="2" t="str">
        <f t="shared" si="1"/>
        <v>PASS</v>
      </c>
    </row>
    <row r="60" spans="1:15">
      <c r="A60" s="2"/>
      <c r="B60" s="2"/>
      <c r="C60" s="2"/>
      <c r="D60" s="2"/>
      <c r="E60" s="2"/>
      <c r="F60" s="2"/>
      <c r="G60" s="2"/>
      <c r="H60" s="2"/>
      <c r="I60" s="2"/>
      <c r="J60" s="2"/>
      <c r="K60" s="2"/>
      <c r="L60" s="2"/>
      <c r="M60" s="2"/>
      <c r="N60" s="2"/>
      <c r="O60" s="2" t="str">
        <f t="shared" si="1"/>
        <v>PASS</v>
      </c>
    </row>
    <row r="61" spans="1:15">
      <c r="A61" s="2"/>
      <c r="B61" s="2"/>
      <c r="C61" s="2"/>
      <c r="D61" s="2"/>
      <c r="E61" s="2"/>
      <c r="F61" s="2"/>
      <c r="G61" s="2"/>
      <c r="H61" s="2"/>
      <c r="I61" s="2"/>
      <c r="J61" s="2"/>
      <c r="K61" s="2"/>
      <c r="L61" s="2"/>
      <c r="M61" s="2"/>
      <c r="N61" s="2"/>
      <c r="O61" s="2" t="str">
        <f t="shared" si="1"/>
        <v>PASS</v>
      </c>
    </row>
    <row r="62" spans="1:15">
      <c r="A62" s="2"/>
      <c r="B62" s="2"/>
      <c r="C62" s="2"/>
      <c r="D62" s="2"/>
      <c r="E62" s="2"/>
      <c r="F62" s="2"/>
      <c r="G62" s="2"/>
      <c r="H62" s="2"/>
      <c r="I62" s="2"/>
      <c r="J62" s="2"/>
      <c r="K62" s="2"/>
      <c r="L62" s="2"/>
      <c r="M62" s="2"/>
      <c r="N62" s="2"/>
      <c r="O62" s="2" t="str">
        <f t="shared" si="1"/>
        <v>PASS</v>
      </c>
    </row>
    <row r="63" spans="1:15">
      <c r="A63" s="2"/>
      <c r="B63" s="2"/>
      <c r="C63" s="2"/>
      <c r="D63" s="2"/>
      <c r="E63" s="2"/>
      <c r="F63" s="2"/>
      <c r="G63" s="2"/>
      <c r="H63" s="2"/>
      <c r="I63" s="2"/>
      <c r="J63" s="2"/>
      <c r="K63" s="2"/>
      <c r="L63" s="2"/>
      <c r="M63" s="2"/>
      <c r="N63" s="2"/>
      <c r="O63" s="2" t="str">
        <f t="shared" si="1"/>
        <v>PASS</v>
      </c>
    </row>
    <row r="64" spans="1:15">
      <c r="A64" s="2"/>
      <c r="B64" s="2"/>
      <c r="C64" s="2"/>
      <c r="D64" s="2"/>
      <c r="E64" s="2"/>
      <c r="F64" s="2"/>
      <c r="G64" s="2"/>
      <c r="H64" s="2"/>
      <c r="I64" s="2"/>
      <c r="J64" s="2"/>
      <c r="K64" s="2"/>
      <c r="L64" s="2"/>
      <c r="M64" s="2"/>
      <c r="N64" s="2"/>
      <c r="O64" s="2" t="str">
        <f t="shared" si="1"/>
        <v>PASS</v>
      </c>
    </row>
    <row r="65" spans="1:15">
      <c r="A65" s="2"/>
      <c r="B65" s="2"/>
      <c r="C65" s="2"/>
      <c r="D65" s="2"/>
      <c r="E65" s="2"/>
      <c r="F65" s="2"/>
      <c r="G65" s="2"/>
      <c r="H65" s="2"/>
      <c r="I65" s="2"/>
      <c r="J65" s="2"/>
      <c r="K65" s="2"/>
      <c r="L65" s="2"/>
      <c r="M65" s="2"/>
      <c r="N65" s="2"/>
      <c r="O65" s="2" t="str">
        <f t="shared" si="1"/>
        <v>PASS</v>
      </c>
    </row>
    <row r="66" spans="1:15">
      <c r="A66" s="2"/>
      <c r="B66" s="2"/>
      <c r="C66" s="2"/>
      <c r="D66" s="2"/>
      <c r="E66" s="2"/>
      <c r="F66" s="2"/>
      <c r="G66" s="2"/>
      <c r="H66" s="2"/>
      <c r="I66" s="2"/>
      <c r="J66" s="2"/>
      <c r="K66" s="2"/>
      <c r="L66" s="2"/>
      <c r="M66" s="2"/>
      <c r="N66" s="2"/>
      <c r="O66" s="2" t="str">
        <f t="shared" si="1"/>
        <v>PASS</v>
      </c>
    </row>
    <row r="67" spans="1:15">
      <c r="A67" s="2"/>
      <c r="B67" s="2"/>
      <c r="C67" s="2"/>
      <c r="D67" s="2"/>
      <c r="E67" s="2"/>
      <c r="F67" s="2"/>
      <c r="G67" s="2"/>
      <c r="H67" s="2"/>
      <c r="I67" s="2"/>
      <c r="J67" s="2"/>
      <c r="K67" s="2"/>
      <c r="L67" s="2"/>
      <c r="M67" s="2"/>
      <c r="N67" s="2"/>
      <c r="O67" s="2" t="str">
        <f t="shared" si="1"/>
        <v>PASS</v>
      </c>
    </row>
    <row r="68" spans="1:15">
      <c r="A68" s="2"/>
      <c r="B68" s="2"/>
      <c r="C68" s="2"/>
      <c r="D68" s="2"/>
      <c r="E68" s="2"/>
      <c r="F68" s="2"/>
      <c r="G68" s="2"/>
      <c r="H68" s="2"/>
      <c r="I68" s="2"/>
      <c r="J68" s="2"/>
      <c r="K68" s="2"/>
      <c r="L68" s="2"/>
      <c r="M68" s="2"/>
      <c r="N68" s="2"/>
      <c r="O68" s="2" t="str">
        <f t="shared" si="1"/>
        <v>PASS</v>
      </c>
    </row>
    <row r="69" spans="1:15">
      <c r="A69" s="2"/>
      <c r="B69" s="2"/>
      <c r="C69" s="2"/>
      <c r="D69" s="2"/>
      <c r="E69" s="2"/>
      <c r="F69" s="2"/>
      <c r="G69" s="2"/>
      <c r="H69" s="2"/>
      <c r="I69" s="2"/>
      <c r="J69" s="2"/>
      <c r="K69" s="2"/>
      <c r="L69" s="2"/>
      <c r="M69" s="2"/>
      <c r="N69" s="2"/>
      <c r="O69" s="2" t="str">
        <f t="shared" si="1"/>
        <v>PASS</v>
      </c>
    </row>
    <row r="70" spans="1:15">
      <c r="A70" s="2"/>
      <c r="B70" s="2"/>
      <c r="C70" s="2"/>
      <c r="D70" s="2"/>
      <c r="E70" s="2"/>
      <c r="F70" s="2"/>
      <c r="G70" s="2"/>
      <c r="H70" s="2"/>
      <c r="I70" s="2"/>
      <c r="J70" s="2"/>
      <c r="K70" s="2"/>
      <c r="L70" s="2"/>
      <c r="M70" s="2"/>
      <c r="N70" s="2"/>
      <c r="O70" s="2" t="str">
        <f t="shared" si="1"/>
        <v>PASS</v>
      </c>
    </row>
    <row r="71" spans="1:15">
      <c r="A71" s="2"/>
      <c r="B71" s="2"/>
      <c r="C71" s="2"/>
      <c r="D71" s="2"/>
      <c r="E71" s="2"/>
      <c r="F71" s="2"/>
      <c r="G71" s="2"/>
      <c r="H71" s="2"/>
      <c r="I71" s="2"/>
      <c r="J71" s="2"/>
      <c r="K71" s="2"/>
      <c r="L71" s="2"/>
      <c r="M71" s="2"/>
      <c r="N71" s="2"/>
      <c r="O71" s="2" t="str">
        <f t="shared" si="1"/>
        <v>PASS</v>
      </c>
    </row>
    <row r="72" spans="1:15">
      <c r="A72" s="2"/>
      <c r="B72" s="2"/>
      <c r="C72" s="2"/>
      <c r="D72" s="2"/>
      <c r="E72" s="2"/>
      <c r="F72" s="2"/>
      <c r="G72" s="2"/>
      <c r="H72" s="2"/>
      <c r="I72" s="2"/>
      <c r="J72" s="2"/>
      <c r="K72" s="2"/>
      <c r="L72" s="2"/>
      <c r="M72" s="2"/>
      <c r="N72" s="2"/>
      <c r="O72" s="2" t="str">
        <f t="shared" si="1"/>
        <v>PASS</v>
      </c>
    </row>
    <row r="73" spans="1:15">
      <c r="A73" s="2"/>
      <c r="B73" s="2"/>
      <c r="C73" s="2"/>
      <c r="D73" s="2"/>
      <c r="E73" s="2"/>
      <c r="F73" s="2"/>
      <c r="G73" s="2"/>
      <c r="H73" s="2"/>
      <c r="I73" s="2"/>
      <c r="J73" s="2"/>
      <c r="K73" s="2"/>
      <c r="L73" s="2"/>
      <c r="M73" s="2"/>
      <c r="N73" s="2"/>
      <c r="O73" s="2" t="str">
        <f t="shared" si="1"/>
        <v>PASS</v>
      </c>
    </row>
    <row r="74" spans="1:15">
      <c r="A74" s="2"/>
      <c r="B74" s="2"/>
      <c r="C74" s="2"/>
      <c r="D74" s="2"/>
      <c r="E74" s="2"/>
      <c r="F74" s="2"/>
      <c r="G74" s="2"/>
      <c r="H74" s="2"/>
      <c r="I74" s="2"/>
      <c r="J74" s="2"/>
      <c r="K74" s="2"/>
      <c r="L74" s="2"/>
      <c r="M74" s="2"/>
      <c r="N74" s="2"/>
      <c r="O74" s="2" t="str">
        <f t="shared" si="1"/>
        <v>PASS</v>
      </c>
    </row>
    <row r="75" spans="1:15">
      <c r="A75" s="2"/>
      <c r="B75" s="2"/>
      <c r="C75" s="2"/>
      <c r="D75" s="2"/>
      <c r="E75" s="2"/>
      <c r="F75" s="2"/>
      <c r="G75" s="2"/>
      <c r="H75" s="2"/>
      <c r="I75" s="2"/>
      <c r="J75" s="2"/>
      <c r="K75" s="2"/>
      <c r="L75" s="2"/>
      <c r="M75" s="2"/>
      <c r="N75" s="2"/>
      <c r="O75" s="2" t="str">
        <f t="shared" si="1"/>
        <v>PASS</v>
      </c>
    </row>
    <row r="76" spans="1:15">
      <c r="A76" s="2"/>
      <c r="B76" s="2"/>
      <c r="C76" s="2"/>
      <c r="D76" s="2"/>
      <c r="E76" s="2"/>
      <c r="F76" s="2"/>
      <c r="G76" s="2"/>
      <c r="H76" s="2"/>
      <c r="I76" s="2"/>
      <c r="J76" s="2"/>
      <c r="K76" s="2"/>
      <c r="L76" s="2"/>
      <c r="M76" s="2"/>
      <c r="N76" s="2"/>
      <c r="O76" s="2" t="str">
        <f t="shared" si="1"/>
        <v>PASS</v>
      </c>
    </row>
    <row r="77" spans="1:15">
      <c r="A77" s="2"/>
      <c r="B77" s="2"/>
      <c r="C77" s="2"/>
      <c r="D77" s="2"/>
      <c r="E77" s="2"/>
      <c r="F77" s="2"/>
      <c r="G77" s="2"/>
      <c r="H77" s="2"/>
      <c r="I77" s="2"/>
      <c r="J77" s="2"/>
      <c r="K77" s="2"/>
      <c r="L77" s="2"/>
      <c r="M77" s="2"/>
      <c r="N77" s="2"/>
      <c r="O77" s="2" t="str">
        <f t="shared" si="1"/>
        <v>PASS</v>
      </c>
    </row>
    <row r="78" spans="1:15">
      <c r="A78" s="2"/>
      <c r="B78" s="2"/>
      <c r="C78" s="2"/>
      <c r="D78" s="2"/>
      <c r="E78" s="2"/>
      <c r="F78" s="2"/>
      <c r="G78" s="2"/>
      <c r="H78" s="2"/>
      <c r="I78" s="2"/>
      <c r="J78" s="2"/>
      <c r="K78" s="2"/>
      <c r="L78" s="2"/>
      <c r="M78" s="2"/>
      <c r="N78" s="2"/>
      <c r="O78" s="2" t="str">
        <f t="shared" ref="O78:O113" si="2">IF(OR(E78&lt;D78,F78="No",G78="No",H78="No",I78="No",J78="No",K78="No",L78="No",M78="No"),"FAIL","PASS")</f>
        <v>PASS</v>
      </c>
    </row>
    <row r="79" spans="1:15">
      <c r="A79" s="2"/>
      <c r="B79" s="2"/>
      <c r="C79" s="2"/>
      <c r="D79" s="2"/>
      <c r="E79" s="2"/>
      <c r="F79" s="2"/>
      <c r="G79" s="2"/>
      <c r="H79" s="2"/>
      <c r="I79" s="2"/>
      <c r="J79" s="2"/>
      <c r="K79" s="2"/>
      <c r="L79" s="2"/>
      <c r="M79" s="2"/>
      <c r="N79" s="2"/>
      <c r="O79" s="2" t="str">
        <f t="shared" si="2"/>
        <v>PASS</v>
      </c>
    </row>
    <row r="80" spans="1:15">
      <c r="A80" s="2"/>
      <c r="B80" s="2"/>
      <c r="C80" s="2"/>
      <c r="D80" s="2"/>
      <c r="E80" s="2"/>
      <c r="F80" s="2"/>
      <c r="G80" s="2"/>
      <c r="H80" s="2"/>
      <c r="I80" s="2"/>
      <c r="J80" s="2"/>
      <c r="K80" s="2"/>
      <c r="L80" s="2"/>
      <c r="M80" s="2"/>
      <c r="N80" s="2"/>
      <c r="O80" s="2" t="str">
        <f t="shared" si="2"/>
        <v>PASS</v>
      </c>
    </row>
    <row r="81" spans="1:15">
      <c r="A81" s="2"/>
      <c r="B81" s="2"/>
      <c r="C81" s="2"/>
      <c r="D81" s="2"/>
      <c r="E81" s="2"/>
      <c r="F81" s="2"/>
      <c r="G81" s="2"/>
      <c r="H81" s="2"/>
      <c r="I81" s="2"/>
      <c r="J81" s="2"/>
      <c r="K81" s="2"/>
      <c r="L81" s="2"/>
      <c r="M81" s="2"/>
      <c r="N81" s="2"/>
      <c r="O81" s="2" t="str">
        <f t="shared" si="2"/>
        <v>PASS</v>
      </c>
    </row>
    <row r="82" spans="1:15">
      <c r="A82" s="2"/>
      <c r="B82" s="2"/>
      <c r="C82" s="2"/>
      <c r="D82" s="2"/>
      <c r="E82" s="2"/>
      <c r="F82" s="2"/>
      <c r="G82" s="2"/>
      <c r="H82" s="2"/>
      <c r="I82" s="2"/>
      <c r="J82" s="2"/>
      <c r="K82" s="2"/>
      <c r="L82" s="2"/>
      <c r="M82" s="2"/>
      <c r="N82" s="2"/>
      <c r="O82" s="2" t="str">
        <f t="shared" si="2"/>
        <v>PASS</v>
      </c>
    </row>
    <row r="83" spans="1:15">
      <c r="A83" s="2"/>
      <c r="B83" s="2"/>
      <c r="C83" s="2"/>
      <c r="D83" s="2"/>
      <c r="E83" s="2"/>
      <c r="F83" s="2"/>
      <c r="G83" s="2"/>
      <c r="H83" s="2"/>
      <c r="I83" s="2"/>
      <c r="J83" s="2"/>
      <c r="K83" s="2"/>
      <c r="L83" s="2"/>
      <c r="M83" s="2"/>
      <c r="N83" s="2"/>
      <c r="O83" s="2" t="str">
        <f t="shared" si="2"/>
        <v>PASS</v>
      </c>
    </row>
    <row r="84" spans="1:15">
      <c r="A84" s="2"/>
      <c r="B84" s="2"/>
      <c r="C84" s="2"/>
      <c r="D84" s="2"/>
      <c r="E84" s="2"/>
      <c r="F84" s="2"/>
      <c r="G84" s="2"/>
      <c r="H84" s="2"/>
      <c r="I84" s="2"/>
      <c r="J84" s="2"/>
      <c r="K84" s="2"/>
      <c r="L84" s="2"/>
      <c r="M84" s="2"/>
      <c r="N84" s="2"/>
      <c r="O84" s="2" t="str">
        <f t="shared" si="2"/>
        <v>PASS</v>
      </c>
    </row>
    <row r="85" spans="1:15">
      <c r="A85" s="2"/>
      <c r="B85" s="2"/>
      <c r="C85" s="2"/>
      <c r="D85" s="2"/>
      <c r="E85" s="2"/>
      <c r="F85" s="2"/>
      <c r="G85" s="2"/>
      <c r="H85" s="2"/>
      <c r="I85" s="2"/>
      <c r="J85" s="2"/>
      <c r="K85" s="2"/>
      <c r="L85" s="2"/>
      <c r="M85" s="2"/>
      <c r="N85" s="2"/>
      <c r="O85" s="2" t="str">
        <f t="shared" si="2"/>
        <v>PASS</v>
      </c>
    </row>
    <row r="86" spans="1:15">
      <c r="A86" s="2"/>
      <c r="B86" s="2"/>
      <c r="C86" s="2"/>
      <c r="D86" s="2"/>
      <c r="E86" s="2"/>
      <c r="F86" s="2"/>
      <c r="G86" s="2"/>
      <c r="H86" s="2"/>
      <c r="I86" s="2"/>
      <c r="J86" s="2"/>
      <c r="K86" s="2"/>
      <c r="L86" s="2"/>
      <c r="M86" s="2"/>
      <c r="N86" s="2"/>
      <c r="O86" s="2" t="str">
        <f t="shared" si="2"/>
        <v>PASS</v>
      </c>
    </row>
    <row r="87" spans="1:15">
      <c r="A87" s="2"/>
      <c r="B87" s="2"/>
      <c r="C87" s="2"/>
      <c r="D87" s="2"/>
      <c r="E87" s="2"/>
      <c r="F87" s="2"/>
      <c r="G87" s="2"/>
      <c r="H87" s="2"/>
      <c r="I87" s="2"/>
      <c r="J87" s="2"/>
      <c r="K87" s="2"/>
      <c r="L87" s="2"/>
      <c r="M87" s="2"/>
      <c r="N87" s="2"/>
      <c r="O87" s="2" t="str">
        <f t="shared" si="2"/>
        <v>PASS</v>
      </c>
    </row>
    <row r="88" spans="1:15">
      <c r="A88" s="2"/>
      <c r="B88" s="2"/>
      <c r="C88" s="2"/>
      <c r="D88" s="2"/>
      <c r="E88" s="2"/>
      <c r="F88" s="2"/>
      <c r="G88" s="2"/>
      <c r="H88" s="2"/>
      <c r="I88" s="2"/>
      <c r="J88" s="2"/>
      <c r="K88" s="2"/>
      <c r="L88" s="2"/>
      <c r="M88" s="2"/>
      <c r="N88" s="2"/>
      <c r="O88" s="2" t="str">
        <f t="shared" si="2"/>
        <v>PASS</v>
      </c>
    </row>
    <row r="89" spans="1:15">
      <c r="A89" s="2"/>
      <c r="B89" s="2"/>
      <c r="C89" s="2"/>
      <c r="D89" s="2"/>
      <c r="E89" s="2"/>
      <c r="F89" s="2"/>
      <c r="G89" s="2"/>
      <c r="H89" s="2"/>
      <c r="I89" s="2"/>
      <c r="J89" s="2"/>
      <c r="K89" s="2"/>
      <c r="L89" s="2"/>
      <c r="M89" s="2"/>
      <c r="N89" s="2"/>
      <c r="O89" s="2" t="str">
        <f t="shared" si="2"/>
        <v>PASS</v>
      </c>
    </row>
    <row r="90" spans="1:15">
      <c r="A90" s="2"/>
      <c r="B90" s="2"/>
      <c r="C90" s="2"/>
      <c r="D90" s="2"/>
      <c r="E90" s="2"/>
      <c r="F90" s="2"/>
      <c r="G90" s="2"/>
      <c r="H90" s="2"/>
      <c r="I90" s="2"/>
      <c r="J90" s="2"/>
      <c r="K90" s="2"/>
      <c r="L90" s="2"/>
      <c r="M90" s="2"/>
      <c r="N90" s="2"/>
      <c r="O90" s="2" t="str">
        <f t="shared" si="2"/>
        <v>PASS</v>
      </c>
    </row>
    <row r="91" spans="1:15">
      <c r="A91" s="2"/>
      <c r="B91" s="2"/>
      <c r="C91" s="2"/>
      <c r="D91" s="2"/>
      <c r="E91" s="2"/>
      <c r="F91" s="2"/>
      <c r="G91" s="2"/>
      <c r="H91" s="2"/>
      <c r="I91" s="2"/>
      <c r="J91" s="2"/>
      <c r="K91" s="2"/>
      <c r="L91" s="2"/>
      <c r="M91" s="2"/>
      <c r="N91" s="2"/>
      <c r="O91" s="2" t="str">
        <f t="shared" si="2"/>
        <v>PASS</v>
      </c>
    </row>
    <row r="92" spans="1:15">
      <c r="A92" s="2"/>
      <c r="B92" s="2"/>
      <c r="C92" s="2"/>
      <c r="D92" s="2"/>
      <c r="E92" s="2"/>
      <c r="F92" s="2"/>
      <c r="G92" s="2"/>
      <c r="H92" s="2"/>
      <c r="I92" s="2"/>
      <c r="J92" s="2"/>
      <c r="K92" s="2"/>
      <c r="L92" s="2"/>
      <c r="M92" s="2"/>
      <c r="N92" s="2"/>
      <c r="O92" s="2" t="str">
        <f t="shared" si="2"/>
        <v>PASS</v>
      </c>
    </row>
    <row r="93" spans="1:15">
      <c r="A93" s="2"/>
      <c r="B93" s="2"/>
      <c r="C93" s="2"/>
      <c r="D93" s="2"/>
      <c r="E93" s="2"/>
      <c r="F93" s="2"/>
      <c r="G93" s="2"/>
      <c r="H93" s="2"/>
      <c r="I93" s="2"/>
      <c r="J93" s="2"/>
      <c r="K93" s="2"/>
      <c r="L93" s="2"/>
      <c r="M93" s="2"/>
      <c r="N93" s="2"/>
      <c r="O93" s="2" t="str">
        <f t="shared" si="2"/>
        <v>PASS</v>
      </c>
    </row>
    <row r="94" spans="1:15">
      <c r="A94" s="2"/>
      <c r="B94" s="2"/>
      <c r="C94" s="2"/>
      <c r="D94" s="2"/>
      <c r="E94" s="2"/>
      <c r="F94" s="2"/>
      <c r="G94" s="2"/>
      <c r="H94" s="2"/>
      <c r="I94" s="2"/>
      <c r="J94" s="2"/>
      <c r="K94" s="2"/>
      <c r="L94" s="2"/>
      <c r="M94" s="2"/>
      <c r="N94" s="2"/>
      <c r="O94" s="2" t="str">
        <f t="shared" si="2"/>
        <v>PASS</v>
      </c>
    </row>
    <row r="95" spans="1:15">
      <c r="A95" s="2"/>
      <c r="B95" s="2"/>
      <c r="C95" s="2"/>
      <c r="D95" s="2"/>
      <c r="E95" s="2"/>
      <c r="F95" s="2"/>
      <c r="G95" s="2"/>
      <c r="H95" s="2"/>
      <c r="I95" s="2"/>
      <c r="J95" s="2"/>
      <c r="K95" s="2"/>
      <c r="L95" s="2"/>
      <c r="M95" s="2"/>
      <c r="N95" s="2"/>
      <c r="O95" s="2" t="str">
        <f t="shared" si="2"/>
        <v>PASS</v>
      </c>
    </row>
    <row r="96" spans="1:15">
      <c r="A96" s="2"/>
      <c r="B96" s="2"/>
      <c r="C96" s="2"/>
      <c r="D96" s="2"/>
      <c r="E96" s="2"/>
      <c r="F96" s="2"/>
      <c r="G96" s="2"/>
      <c r="H96" s="2"/>
      <c r="I96" s="2"/>
      <c r="J96" s="2"/>
      <c r="K96" s="2"/>
      <c r="L96" s="2"/>
      <c r="M96" s="2"/>
      <c r="N96" s="2"/>
      <c r="O96" s="2" t="str">
        <f t="shared" si="2"/>
        <v>PASS</v>
      </c>
    </row>
    <row r="97" spans="1:15">
      <c r="A97" s="2"/>
      <c r="B97" s="2"/>
      <c r="C97" s="2"/>
      <c r="D97" s="2"/>
      <c r="E97" s="2"/>
      <c r="F97" s="2"/>
      <c r="G97" s="2"/>
      <c r="H97" s="2"/>
      <c r="I97" s="2"/>
      <c r="J97" s="2"/>
      <c r="K97" s="2"/>
      <c r="L97" s="2"/>
      <c r="M97" s="2"/>
      <c r="N97" s="2"/>
      <c r="O97" s="2" t="str">
        <f t="shared" si="2"/>
        <v>PASS</v>
      </c>
    </row>
    <row r="98" spans="1:15">
      <c r="A98" s="2"/>
      <c r="B98" s="2"/>
      <c r="C98" s="2"/>
      <c r="D98" s="2"/>
      <c r="E98" s="2"/>
      <c r="F98" s="2"/>
      <c r="G98" s="2"/>
      <c r="H98" s="2"/>
      <c r="I98" s="2"/>
      <c r="J98" s="2"/>
      <c r="K98" s="2"/>
      <c r="L98" s="2"/>
      <c r="M98" s="2"/>
      <c r="N98" s="2"/>
      <c r="O98" s="2" t="str">
        <f t="shared" si="2"/>
        <v>PASS</v>
      </c>
    </row>
    <row r="99" spans="1:15">
      <c r="A99" s="2"/>
      <c r="B99" s="2"/>
      <c r="C99" s="2"/>
      <c r="D99" s="2"/>
      <c r="E99" s="2"/>
      <c r="F99" s="2"/>
      <c r="G99" s="2"/>
      <c r="H99" s="2"/>
      <c r="I99" s="2"/>
      <c r="J99" s="2"/>
      <c r="K99" s="2"/>
      <c r="L99" s="2"/>
      <c r="M99" s="2"/>
      <c r="N99" s="2"/>
      <c r="O99" s="2" t="str">
        <f t="shared" si="2"/>
        <v>PASS</v>
      </c>
    </row>
    <row r="100" spans="1:15">
      <c r="A100" s="2"/>
      <c r="B100" s="2"/>
      <c r="C100" s="2"/>
      <c r="D100" s="2"/>
      <c r="E100" s="2"/>
      <c r="F100" s="2"/>
      <c r="G100" s="2"/>
      <c r="H100" s="2"/>
      <c r="I100" s="2"/>
      <c r="J100" s="2"/>
      <c r="K100" s="2"/>
      <c r="L100" s="2"/>
      <c r="M100" s="2"/>
      <c r="N100" s="2"/>
      <c r="O100" s="2" t="str">
        <f t="shared" si="2"/>
        <v>PASS</v>
      </c>
    </row>
    <row r="101" spans="1:15">
      <c r="A101" s="2"/>
      <c r="B101" s="2"/>
      <c r="C101" s="2"/>
      <c r="D101" s="2"/>
      <c r="E101" s="2"/>
      <c r="F101" s="2"/>
      <c r="G101" s="2"/>
      <c r="H101" s="2"/>
      <c r="I101" s="2"/>
      <c r="J101" s="2"/>
      <c r="K101" s="2"/>
      <c r="L101" s="2"/>
      <c r="M101" s="2"/>
      <c r="N101" s="2"/>
      <c r="O101" s="2" t="str">
        <f t="shared" si="2"/>
        <v>PASS</v>
      </c>
    </row>
    <row r="102" spans="1:15">
      <c r="A102" s="2"/>
      <c r="B102" s="2"/>
      <c r="C102" s="2"/>
      <c r="D102" s="2"/>
      <c r="E102" s="2"/>
      <c r="F102" s="2"/>
      <c r="G102" s="2"/>
      <c r="H102" s="2"/>
      <c r="I102" s="2"/>
      <c r="J102" s="2"/>
      <c r="K102" s="2"/>
      <c r="L102" s="2"/>
      <c r="M102" s="2"/>
      <c r="N102" s="2"/>
      <c r="O102" s="2" t="str">
        <f t="shared" si="2"/>
        <v>PASS</v>
      </c>
    </row>
    <row r="103" spans="1:15">
      <c r="A103" s="2"/>
      <c r="B103" s="2"/>
      <c r="C103" s="2"/>
      <c r="D103" s="2"/>
      <c r="E103" s="2"/>
      <c r="F103" s="2"/>
      <c r="G103" s="2"/>
      <c r="H103" s="2"/>
      <c r="I103" s="2"/>
      <c r="J103" s="2"/>
      <c r="K103" s="2"/>
      <c r="L103" s="2"/>
      <c r="M103" s="2"/>
      <c r="N103" s="2"/>
      <c r="O103" s="2" t="str">
        <f t="shared" si="2"/>
        <v>PASS</v>
      </c>
    </row>
    <row r="104" spans="1:15">
      <c r="A104" s="2"/>
      <c r="B104" s="2"/>
      <c r="C104" s="2"/>
      <c r="D104" s="2"/>
      <c r="E104" s="2"/>
      <c r="F104" s="2"/>
      <c r="G104" s="2"/>
      <c r="H104" s="2"/>
      <c r="I104" s="2"/>
      <c r="J104" s="2"/>
      <c r="K104" s="2"/>
      <c r="L104" s="2"/>
      <c r="M104" s="2"/>
      <c r="N104" s="2"/>
      <c r="O104" s="2" t="str">
        <f t="shared" si="2"/>
        <v>PASS</v>
      </c>
    </row>
    <row r="105" spans="1:15">
      <c r="A105" s="2"/>
      <c r="B105" s="2"/>
      <c r="C105" s="2"/>
      <c r="D105" s="2"/>
      <c r="E105" s="2"/>
      <c r="F105" s="2"/>
      <c r="G105" s="2"/>
      <c r="H105" s="2"/>
      <c r="I105" s="2"/>
      <c r="J105" s="2"/>
      <c r="K105" s="2"/>
      <c r="L105" s="2"/>
      <c r="M105" s="2"/>
      <c r="N105" s="2"/>
      <c r="O105" s="2" t="str">
        <f t="shared" si="2"/>
        <v>PASS</v>
      </c>
    </row>
    <row r="106" spans="1:15">
      <c r="A106" s="2"/>
      <c r="B106" s="2"/>
      <c r="C106" s="2"/>
      <c r="D106" s="2"/>
      <c r="E106" s="2"/>
      <c r="F106" s="2"/>
      <c r="G106" s="2"/>
      <c r="H106" s="2"/>
      <c r="I106" s="2"/>
      <c r="J106" s="2"/>
      <c r="K106" s="2"/>
      <c r="L106" s="2"/>
      <c r="M106" s="2"/>
      <c r="N106" s="2"/>
      <c r="O106" s="2" t="str">
        <f t="shared" si="2"/>
        <v>PASS</v>
      </c>
    </row>
    <row r="107" spans="1:15">
      <c r="A107" s="2"/>
      <c r="B107" s="2"/>
      <c r="C107" s="2"/>
      <c r="D107" s="2"/>
      <c r="E107" s="2"/>
      <c r="F107" s="2"/>
      <c r="G107" s="2"/>
      <c r="H107" s="2"/>
      <c r="I107" s="2"/>
      <c r="J107" s="2"/>
      <c r="K107" s="2"/>
      <c r="L107" s="2"/>
      <c r="M107" s="2"/>
      <c r="N107" s="2"/>
      <c r="O107" s="2" t="str">
        <f t="shared" si="2"/>
        <v>PASS</v>
      </c>
    </row>
    <row r="108" spans="1:15">
      <c r="A108" s="2"/>
      <c r="B108" s="2"/>
      <c r="C108" s="2"/>
      <c r="D108" s="2"/>
      <c r="E108" s="2"/>
      <c r="F108" s="2"/>
      <c r="G108" s="2"/>
      <c r="H108" s="2"/>
      <c r="I108" s="2"/>
      <c r="J108" s="2"/>
      <c r="K108" s="2"/>
      <c r="L108" s="2"/>
      <c r="M108" s="2"/>
      <c r="N108" s="2"/>
      <c r="O108" s="2" t="str">
        <f t="shared" si="2"/>
        <v>PASS</v>
      </c>
    </row>
    <row r="109" spans="1:15">
      <c r="A109" s="2"/>
      <c r="B109" s="2"/>
      <c r="C109" s="2"/>
      <c r="D109" s="2"/>
      <c r="E109" s="2"/>
      <c r="F109" s="2"/>
      <c r="G109" s="2"/>
      <c r="H109" s="2"/>
      <c r="I109" s="2"/>
      <c r="J109" s="2"/>
      <c r="K109" s="2"/>
      <c r="L109" s="2"/>
      <c r="M109" s="2"/>
      <c r="N109" s="2"/>
      <c r="O109" s="2" t="str">
        <f t="shared" si="2"/>
        <v>PASS</v>
      </c>
    </row>
    <row r="110" spans="1:15">
      <c r="A110" s="2"/>
      <c r="B110" s="2"/>
      <c r="C110" s="2"/>
      <c r="D110" s="2"/>
      <c r="E110" s="2"/>
      <c r="F110" s="2"/>
      <c r="G110" s="2"/>
      <c r="H110" s="2"/>
      <c r="I110" s="2"/>
      <c r="J110" s="2"/>
      <c r="K110" s="2"/>
      <c r="L110" s="2"/>
      <c r="M110" s="2"/>
      <c r="N110" s="2"/>
      <c r="O110" s="2" t="str">
        <f t="shared" si="2"/>
        <v>PASS</v>
      </c>
    </row>
    <row r="111" spans="1:15">
      <c r="A111" s="2"/>
      <c r="B111" s="2"/>
      <c r="C111" s="2"/>
      <c r="D111" s="2"/>
      <c r="E111" s="2"/>
      <c r="F111" s="2"/>
      <c r="G111" s="2"/>
      <c r="H111" s="2"/>
      <c r="I111" s="2"/>
      <c r="J111" s="2"/>
      <c r="K111" s="2"/>
      <c r="L111" s="2"/>
      <c r="M111" s="2"/>
      <c r="N111" s="2"/>
      <c r="O111" s="2" t="str">
        <f t="shared" si="2"/>
        <v>PASS</v>
      </c>
    </row>
    <row r="112" spans="1:15">
      <c r="A112" s="2"/>
      <c r="B112" s="2"/>
      <c r="C112" s="2"/>
      <c r="D112" s="2"/>
      <c r="E112" s="2"/>
      <c r="F112" s="2"/>
      <c r="G112" s="2"/>
      <c r="H112" s="2"/>
      <c r="I112" s="2"/>
      <c r="J112" s="2"/>
      <c r="K112" s="2"/>
      <c r="L112" s="2"/>
      <c r="M112" s="2"/>
      <c r="N112" s="2"/>
      <c r="O112" s="2" t="str">
        <f t="shared" si="2"/>
        <v>PASS</v>
      </c>
    </row>
    <row r="113" spans="1:15">
      <c r="A113" s="2"/>
      <c r="B113" s="2"/>
      <c r="C113" s="2"/>
      <c r="D113" s="2"/>
      <c r="E113" s="2"/>
      <c r="F113" s="2"/>
      <c r="G113" s="2"/>
      <c r="H113" s="2"/>
      <c r="I113" s="2"/>
      <c r="J113" s="2"/>
      <c r="K113" s="2"/>
      <c r="L113" s="2"/>
      <c r="M113" s="2"/>
      <c r="N113" s="2"/>
      <c r="O113" s="2" t="str">
        <f t="shared" si="2"/>
        <v>PASS</v>
      </c>
    </row>
  </sheetData>
  <mergeCells count="2">
    <mergeCell ref="A1:O1"/>
    <mergeCell ref="A2:O2"/>
  </mergeCells>
  <dataValidations count="2">
    <dataValidation type="list" sqref="B7" xr:uid="{00000000-0002-0000-2200-000000000000}">
      <formula1>"Yes,No"</formula1>
    </dataValidation>
    <dataValidation type="list" sqref="F14:M113" xr:uid="{00000000-0002-0000-2200-000001000000}">
      <formula1>"Yes,No,N/A"</formula1>
    </dataValidation>
  </dataValidation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K141"/>
  <sheetViews>
    <sheetView workbookViewId="0"/>
  </sheetViews>
  <sheetFormatPr defaultRowHeight="14"/>
  <cols>
    <col min="1" max="5" width="28" customWidth="1"/>
    <col min="8" max="25" width="15" customWidth="1"/>
    <col min="26" max="35" width="20" customWidth="1"/>
  </cols>
  <sheetData>
    <row r="1" spans="1:35" ht="20">
      <c r="A1" s="6" t="s">
        <v>364</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ht="14.5">
      <c r="A2" s="8" t="s">
        <v>106</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row>
    <row r="4" spans="1:35">
      <c r="A4" s="3" t="s">
        <v>107</v>
      </c>
      <c r="B4" t="s">
        <v>365</v>
      </c>
      <c r="D4" s="9" t="s">
        <v>109</v>
      </c>
      <c r="E4" s="9"/>
      <c r="F4" s="9"/>
      <c r="G4" s="9"/>
      <c r="H4" s="9"/>
    </row>
    <row r="5" spans="1:35" ht="28">
      <c r="A5" s="3" t="s">
        <v>110</v>
      </c>
      <c r="D5" s="4" t="s">
        <v>6</v>
      </c>
      <c r="E5" s="4" t="s">
        <v>111</v>
      </c>
      <c r="F5" s="4"/>
      <c r="G5" s="4"/>
      <c r="H5" s="4"/>
    </row>
    <row r="6" spans="1:35" ht="42">
      <c r="A6" s="3" t="s">
        <v>112</v>
      </c>
      <c r="D6" s="4" t="s">
        <v>12</v>
      </c>
      <c r="E6" s="4" t="s">
        <v>113</v>
      </c>
      <c r="F6" s="4"/>
      <c r="G6" s="4"/>
      <c r="H6" s="4"/>
    </row>
    <row r="7" spans="1:35" ht="42">
      <c r="A7" s="3" t="s">
        <v>114</v>
      </c>
      <c r="D7" s="4" t="s">
        <v>18</v>
      </c>
      <c r="E7" s="4" t="s">
        <v>115</v>
      </c>
      <c r="F7" s="4"/>
      <c r="G7" s="4"/>
      <c r="H7" s="4"/>
    </row>
    <row r="8" spans="1:35" ht="42">
      <c r="A8" s="3" t="s">
        <v>116</v>
      </c>
      <c r="B8">
        <f>COUNTA(A18:A117)</f>
        <v>0</v>
      </c>
      <c r="D8" s="4" t="s">
        <v>23</v>
      </c>
      <c r="E8" s="4" t="s">
        <v>117</v>
      </c>
      <c r="F8" s="4"/>
      <c r="G8" s="4"/>
      <c r="H8" s="4"/>
    </row>
    <row r="9" spans="1:35">
      <c r="A9" s="3" t="s">
        <v>6</v>
      </c>
      <c r="B9">
        <f>COUNTIF(Z18:Z117,"Low")</f>
        <v>0</v>
      </c>
    </row>
    <row r="10" spans="1:35">
      <c r="A10" s="3" t="s">
        <v>12</v>
      </c>
      <c r="B10">
        <f>COUNTIF(Z18:Z117,"Medium")</f>
        <v>0</v>
      </c>
    </row>
    <row r="11" spans="1:35">
      <c r="A11" s="3" t="s">
        <v>18</v>
      </c>
      <c r="B11">
        <f>COUNTIF(Z18:Z117,"High")</f>
        <v>0</v>
      </c>
    </row>
    <row r="12" spans="1:35">
      <c r="A12" s="3" t="s">
        <v>23</v>
      </c>
      <c r="B12">
        <f>COUNTIF(Z18:Z117,"Very High")</f>
        <v>0</v>
      </c>
    </row>
    <row r="13" spans="1:35">
      <c r="A13" s="3" t="s">
        <v>118</v>
      </c>
      <c r="B13">
        <f>COUNTIF(AD18:AD117,"Yes")</f>
        <v>0</v>
      </c>
    </row>
    <row r="14" spans="1:35">
      <c r="A14" s="3" t="s">
        <v>119</v>
      </c>
    </row>
    <row r="17" spans="1:37" ht="28">
      <c r="A17" s="1" t="s">
        <v>120</v>
      </c>
      <c r="B17" s="1" t="s">
        <v>121</v>
      </c>
      <c r="C17" s="1" t="s">
        <v>2</v>
      </c>
      <c r="D17" s="1" t="s">
        <v>75</v>
      </c>
      <c r="E17" s="1" t="s">
        <v>122</v>
      </c>
      <c r="F17" s="1" t="s">
        <v>123</v>
      </c>
      <c r="G17" s="1" t="s">
        <v>110</v>
      </c>
      <c r="H17" s="1" t="s">
        <v>124</v>
      </c>
      <c r="I17" s="1" t="s">
        <v>125</v>
      </c>
      <c r="J17" s="1" t="s">
        <v>126</v>
      </c>
      <c r="K17" s="1" t="s">
        <v>127</v>
      </c>
      <c r="L17" s="1" t="s">
        <v>128</v>
      </c>
      <c r="M17" s="1" t="s">
        <v>129</v>
      </c>
      <c r="N17" s="1" t="s">
        <v>130</v>
      </c>
      <c r="O17" s="1" t="s">
        <v>131</v>
      </c>
      <c r="P17" s="1" t="s">
        <v>132</v>
      </c>
      <c r="Q17" s="1" t="s">
        <v>133</v>
      </c>
      <c r="R17" s="1" t="s">
        <v>134</v>
      </c>
      <c r="S17" s="1" t="s">
        <v>135</v>
      </c>
      <c r="T17" s="1" t="s">
        <v>136</v>
      </c>
      <c r="U17" s="1" t="s">
        <v>137</v>
      </c>
      <c r="V17" s="1" t="s">
        <v>138</v>
      </c>
      <c r="W17" s="1" t="s">
        <v>139</v>
      </c>
      <c r="X17" s="1" t="s">
        <v>140</v>
      </c>
      <c r="Y17" s="1" t="s">
        <v>141</v>
      </c>
      <c r="Z17" s="1" t="s">
        <v>142</v>
      </c>
      <c r="AA17" s="1" t="s">
        <v>143</v>
      </c>
      <c r="AB17" s="1" t="s">
        <v>144</v>
      </c>
      <c r="AC17" s="1" t="s">
        <v>3</v>
      </c>
      <c r="AD17" s="1" t="s">
        <v>145</v>
      </c>
      <c r="AE17" s="1" t="s">
        <v>146</v>
      </c>
      <c r="AF17" s="1" t="s">
        <v>147</v>
      </c>
      <c r="AG17" s="1" t="s">
        <v>148</v>
      </c>
      <c r="AH17" s="1" t="s">
        <v>149</v>
      </c>
      <c r="AI17" s="1" t="s">
        <v>150</v>
      </c>
      <c r="AJ17" t="s">
        <v>151</v>
      </c>
      <c r="AK17" t="s">
        <v>152</v>
      </c>
    </row>
    <row r="18" spans="1:37">
      <c r="A18" s="2"/>
      <c r="B18" s="2"/>
      <c r="C18" s="2"/>
      <c r="D18" s="2"/>
      <c r="E18" s="5"/>
      <c r="F18" s="2"/>
      <c r="G18" s="5"/>
      <c r="H18" s="2"/>
      <c r="I18" s="2"/>
      <c r="J18" s="2"/>
      <c r="K18" s="2"/>
      <c r="L18" s="2"/>
      <c r="M18" s="2"/>
      <c r="N18" s="2"/>
      <c r="O18" s="2"/>
      <c r="P18" s="2"/>
      <c r="Q18" s="2"/>
      <c r="R18" s="2"/>
      <c r="S18" s="2"/>
      <c r="T18" s="2"/>
      <c r="U18" s="2"/>
      <c r="V18" s="2"/>
      <c r="W18" s="2"/>
      <c r="X18" s="2"/>
      <c r="Y18" s="2"/>
      <c r="Z18" s="2" t="str">
        <f t="shared" ref="Z18:Z49" si="0">IF(COUNTA(H18:Y18)=0,"",IF(COUNTIF(H18:Y18,"Very High")&gt;0,"Very High",IF(COUNTIF(H18:Y18,"High")&gt;0,"High",IF(COUNTIF(H18:Y18,"Medium")&gt;0,"Medium","Low"))))</f>
        <v/>
      </c>
      <c r="AA18" s="2" t="str">
        <f t="shared" ref="AA18:AA49" si="1">IF(Z18="","",IF(Z18="Low","Routine planned support",IF(Z18="Medium","One staff support/supervision likely",IF(Z18="High","Two staff/review staffing and equipment","Manager review: multiple staff/specialist support"))))</f>
        <v/>
      </c>
      <c r="AB18" s="2" t="str">
        <f t="shared" ref="AB18:AB49" si="2">IF(Z18="","",IF(OR(Z18="High",Z18="Very High",W18="High",W18="Very High"),"Night staffing and evacuation review required","Routine night checks as per care plan"))</f>
        <v/>
      </c>
      <c r="AC18" s="2" t="str">
        <f t="shared" ref="AC18:AC49" si="3">IF(X18="Very High","Specialist PEEP / equipment",IF(OR(X18="High",Z18="High"),"Evacuation sheet/chair or wheelchair per PEEP",IF(OR(X18="Medium",Z18="Medium"),"Walking aid/wheelchair support per PEEP","Walks with direction")))</f>
        <v>Walks with direction</v>
      </c>
      <c r="AD18" s="2"/>
      <c r="AE18" s="5"/>
      <c r="AF18" s="2"/>
      <c r="AG18" s="2"/>
      <c r="AH18" s="2"/>
      <c r="AI18" s="2"/>
    </row>
    <row r="19" spans="1:37">
      <c r="A19" s="2"/>
      <c r="B19" s="2"/>
      <c r="C19" s="2"/>
      <c r="D19" s="2"/>
      <c r="E19" s="5"/>
      <c r="F19" s="2"/>
      <c r="G19" s="5"/>
      <c r="H19" s="2"/>
      <c r="I19" s="2"/>
      <c r="J19" s="2"/>
      <c r="K19" s="2"/>
      <c r="L19" s="2"/>
      <c r="M19" s="2"/>
      <c r="N19" s="2"/>
      <c r="O19" s="2"/>
      <c r="P19" s="2"/>
      <c r="Q19" s="2"/>
      <c r="R19" s="2"/>
      <c r="S19" s="2"/>
      <c r="T19" s="2"/>
      <c r="U19" s="2"/>
      <c r="V19" s="2"/>
      <c r="W19" s="2"/>
      <c r="X19" s="2"/>
      <c r="Y19" s="2"/>
      <c r="Z19" s="2" t="str">
        <f t="shared" si="0"/>
        <v/>
      </c>
      <c r="AA19" s="2" t="str">
        <f t="shared" si="1"/>
        <v/>
      </c>
      <c r="AB19" s="2" t="str">
        <f t="shared" si="2"/>
        <v/>
      </c>
      <c r="AC19" s="2" t="str">
        <f t="shared" si="3"/>
        <v>Walks with direction</v>
      </c>
      <c r="AD19" s="2"/>
      <c r="AE19" s="5"/>
      <c r="AF19" s="2"/>
      <c r="AG19" s="2"/>
      <c r="AH19" s="2"/>
      <c r="AI19" s="2"/>
    </row>
    <row r="20" spans="1:37">
      <c r="A20" s="2"/>
      <c r="B20" s="2"/>
      <c r="C20" s="2"/>
      <c r="D20" s="2"/>
      <c r="E20" s="5"/>
      <c r="F20" s="2"/>
      <c r="G20" s="5"/>
      <c r="H20" s="2"/>
      <c r="I20" s="2"/>
      <c r="J20" s="2"/>
      <c r="K20" s="2"/>
      <c r="L20" s="2"/>
      <c r="M20" s="2"/>
      <c r="N20" s="2"/>
      <c r="O20" s="2"/>
      <c r="P20" s="2"/>
      <c r="Q20" s="2"/>
      <c r="R20" s="2"/>
      <c r="S20" s="2"/>
      <c r="T20" s="2"/>
      <c r="U20" s="2"/>
      <c r="V20" s="2"/>
      <c r="W20" s="2"/>
      <c r="X20" s="2"/>
      <c r="Y20" s="2"/>
      <c r="Z20" s="2" t="str">
        <f t="shared" si="0"/>
        <v/>
      </c>
      <c r="AA20" s="2" t="str">
        <f t="shared" si="1"/>
        <v/>
      </c>
      <c r="AB20" s="2" t="str">
        <f t="shared" si="2"/>
        <v/>
      </c>
      <c r="AC20" s="2" t="str">
        <f t="shared" si="3"/>
        <v>Walks with direction</v>
      </c>
      <c r="AD20" s="2"/>
      <c r="AE20" s="5"/>
      <c r="AF20" s="2"/>
      <c r="AG20" s="2"/>
      <c r="AH20" s="2"/>
      <c r="AI20" s="2"/>
    </row>
    <row r="21" spans="1:37">
      <c r="A21" s="2"/>
      <c r="B21" s="2"/>
      <c r="C21" s="2"/>
      <c r="D21" s="2"/>
      <c r="E21" s="5"/>
      <c r="F21" s="2"/>
      <c r="G21" s="5"/>
      <c r="H21" s="2"/>
      <c r="I21" s="2"/>
      <c r="J21" s="2"/>
      <c r="K21" s="2"/>
      <c r="L21" s="2"/>
      <c r="M21" s="2"/>
      <c r="N21" s="2"/>
      <c r="O21" s="2"/>
      <c r="P21" s="2"/>
      <c r="Q21" s="2"/>
      <c r="R21" s="2"/>
      <c r="S21" s="2"/>
      <c r="T21" s="2"/>
      <c r="U21" s="2"/>
      <c r="V21" s="2"/>
      <c r="W21" s="2"/>
      <c r="X21" s="2"/>
      <c r="Y21" s="2"/>
      <c r="Z21" s="2" t="str">
        <f t="shared" si="0"/>
        <v/>
      </c>
      <c r="AA21" s="2" t="str">
        <f t="shared" si="1"/>
        <v/>
      </c>
      <c r="AB21" s="2" t="str">
        <f t="shared" si="2"/>
        <v/>
      </c>
      <c r="AC21" s="2" t="str">
        <f t="shared" si="3"/>
        <v>Walks with direction</v>
      </c>
      <c r="AD21" s="2"/>
      <c r="AE21" s="5"/>
      <c r="AF21" s="2"/>
      <c r="AG21" s="2"/>
      <c r="AH21" s="2"/>
      <c r="AI21" s="2"/>
    </row>
    <row r="22" spans="1:37">
      <c r="A22" s="2"/>
      <c r="B22" s="2"/>
      <c r="C22" s="2"/>
      <c r="D22" s="2"/>
      <c r="E22" s="5"/>
      <c r="F22" s="2"/>
      <c r="G22" s="5"/>
      <c r="H22" s="2"/>
      <c r="I22" s="2"/>
      <c r="J22" s="2"/>
      <c r="K22" s="2"/>
      <c r="L22" s="2"/>
      <c r="M22" s="2"/>
      <c r="N22" s="2"/>
      <c r="O22" s="2"/>
      <c r="P22" s="2"/>
      <c r="Q22" s="2"/>
      <c r="R22" s="2"/>
      <c r="S22" s="2"/>
      <c r="T22" s="2"/>
      <c r="U22" s="2"/>
      <c r="V22" s="2"/>
      <c r="W22" s="2"/>
      <c r="X22" s="2"/>
      <c r="Y22" s="2"/>
      <c r="Z22" s="2" t="str">
        <f t="shared" si="0"/>
        <v/>
      </c>
      <c r="AA22" s="2" t="str">
        <f t="shared" si="1"/>
        <v/>
      </c>
      <c r="AB22" s="2" t="str">
        <f t="shared" si="2"/>
        <v/>
      </c>
      <c r="AC22" s="2" t="str">
        <f t="shared" si="3"/>
        <v>Walks with direction</v>
      </c>
      <c r="AD22" s="2"/>
      <c r="AE22" s="5"/>
      <c r="AF22" s="2"/>
      <c r="AG22" s="2"/>
      <c r="AH22" s="2"/>
      <c r="AI22" s="2"/>
    </row>
    <row r="23" spans="1:37">
      <c r="A23" s="2"/>
      <c r="B23" s="2"/>
      <c r="C23" s="2"/>
      <c r="D23" s="2"/>
      <c r="E23" s="5"/>
      <c r="F23" s="2"/>
      <c r="G23" s="5"/>
      <c r="H23" s="2"/>
      <c r="I23" s="2"/>
      <c r="J23" s="2"/>
      <c r="K23" s="2"/>
      <c r="L23" s="2"/>
      <c r="M23" s="2"/>
      <c r="N23" s="2"/>
      <c r="O23" s="2"/>
      <c r="P23" s="2"/>
      <c r="Q23" s="2"/>
      <c r="R23" s="2"/>
      <c r="S23" s="2"/>
      <c r="T23" s="2"/>
      <c r="U23" s="2"/>
      <c r="V23" s="2"/>
      <c r="W23" s="2"/>
      <c r="X23" s="2"/>
      <c r="Y23" s="2"/>
      <c r="Z23" s="2" t="str">
        <f t="shared" si="0"/>
        <v/>
      </c>
      <c r="AA23" s="2" t="str">
        <f t="shared" si="1"/>
        <v/>
      </c>
      <c r="AB23" s="2" t="str">
        <f t="shared" si="2"/>
        <v/>
      </c>
      <c r="AC23" s="2" t="str">
        <f t="shared" si="3"/>
        <v>Walks with direction</v>
      </c>
      <c r="AD23" s="2"/>
      <c r="AE23" s="5"/>
      <c r="AF23" s="2"/>
      <c r="AG23" s="2"/>
      <c r="AH23" s="2"/>
      <c r="AI23" s="2"/>
    </row>
    <row r="24" spans="1:37">
      <c r="A24" s="2"/>
      <c r="B24" s="2"/>
      <c r="C24" s="2"/>
      <c r="D24" s="2"/>
      <c r="E24" s="5"/>
      <c r="F24" s="2"/>
      <c r="G24" s="5"/>
      <c r="H24" s="2"/>
      <c r="I24" s="2"/>
      <c r="J24" s="2"/>
      <c r="K24" s="2"/>
      <c r="L24" s="2"/>
      <c r="M24" s="2"/>
      <c r="N24" s="2"/>
      <c r="O24" s="2"/>
      <c r="P24" s="2"/>
      <c r="Q24" s="2"/>
      <c r="R24" s="2"/>
      <c r="S24" s="2"/>
      <c r="T24" s="2"/>
      <c r="U24" s="2"/>
      <c r="V24" s="2"/>
      <c r="W24" s="2"/>
      <c r="X24" s="2"/>
      <c r="Y24" s="2"/>
      <c r="Z24" s="2" t="str">
        <f t="shared" si="0"/>
        <v/>
      </c>
      <c r="AA24" s="2" t="str">
        <f t="shared" si="1"/>
        <v/>
      </c>
      <c r="AB24" s="2" t="str">
        <f t="shared" si="2"/>
        <v/>
      </c>
      <c r="AC24" s="2" t="str">
        <f t="shared" si="3"/>
        <v>Walks with direction</v>
      </c>
      <c r="AD24" s="2"/>
      <c r="AE24" s="5"/>
      <c r="AF24" s="2"/>
      <c r="AG24" s="2"/>
      <c r="AH24" s="2"/>
      <c r="AI24" s="2"/>
    </row>
    <row r="25" spans="1:37">
      <c r="A25" s="2"/>
      <c r="B25" s="2"/>
      <c r="C25" s="2"/>
      <c r="D25" s="2"/>
      <c r="E25" s="5"/>
      <c r="F25" s="2"/>
      <c r="G25" s="5"/>
      <c r="H25" s="2"/>
      <c r="I25" s="2"/>
      <c r="J25" s="2"/>
      <c r="K25" s="2"/>
      <c r="L25" s="2"/>
      <c r="M25" s="2"/>
      <c r="N25" s="2"/>
      <c r="O25" s="2"/>
      <c r="P25" s="2"/>
      <c r="Q25" s="2"/>
      <c r="R25" s="2"/>
      <c r="S25" s="2"/>
      <c r="T25" s="2"/>
      <c r="U25" s="2"/>
      <c r="V25" s="2"/>
      <c r="W25" s="2"/>
      <c r="X25" s="2"/>
      <c r="Y25" s="2"/>
      <c r="Z25" s="2" t="str">
        <f t="shared" si="0"/>
        <v/>
      </c>
      <c r="AA25" s="2" t="str">
        <f t="shared" si="1"/>
        <v/>
      </c>
      <c r="AB25" s="2" t="str">
        <f t="shared" si="2"/>
        <v/>
      </c>
      <c r="AC25" s="2" t="str">
        <f t="shared" si="3"/>
        <v>Walks with direction</v>
      </c>
      <c r="AD25" s="2"/>
      <c r="AE25" s="5"/>
      <c r="AF25" s="2"/>
      <c r="AG25" s="2"/>
      <c r="AH25" s="2"/>
      <c r="AI25" s="2"/>
    </row>
    <row r="26" spans="1:37">
      <c r="A26" s="2"/>
      <c r="B26" s="2"/>
      <c r="C26" s="2"/>
      <c r="D26" s="2"/>
      <c r="E26" s="5"/>
      <c r="F26" s="2"/>
      <c r="G26" s="5"/>
      <c r="H26" s="2"/>
      <c r="I26" s="2"/>
      <c r="J26" s="2"/>
      <c r="K26" s="2"/>
      <c r="L26" s="2"/>
      <c r="M26" s="2"/>
      <c r="N26" s="2"/>
      <c r="O26" s="2"/>
      <c r="P26" s="2"/>
      <c r="Q26" s="2"/>
      <c r="R26" s="2"/>
      <c r="S26" s="2"/>
      <c r="T26" s="2"/>
      <c r="U26" s="2"/>
      <c r="V26" s="2"/>
      <c r="W26" s="2"/>
      <c r="X26" s="2"/>
      <c r="Y26" s="2"/>
      <c r="Z26" s="2" t="str">
        <f t="shared" si="0"/>
        <v/>
      </c>
      <c r="AA26" s="2" t="str">
        <f t="shared" si="1"/>
        <v/>
      </c>
      <c r="AB26" s="2" t="str">
        <f t="shared" si="2"/>
        <v/>
      </c>
      <c r="AC26" s="2" t="str">
        <f t="shared" si="3"/>
        <v>Walks with direction</v>
      </c>
      <c r="AD26" s="2"/>
      <c r="AE26" s="5"/>
      <c r="AF26" s="2"/>
      <c r="AG26" s="2"/>
      <c r="AH26" s="2"/>
      <c r="AI26" s="2"/>
    </row>
    <row r="27" spans="1:37">
      <c r="A27" s="2"/>
      <c r="B27" s="2"/>
      <c r="C27" s="2"/>
      <c r="D27" s="2"/>
      <c r="E27" s="5"/>
      <c r="F27" s="2"/>
      <c r="G27" s="5"/>
      <c r="H27" s="2"/>
      <c r="I27" s="2"/>
      <c r="J27" s="2"/>
      <c r="K27" s="2"/>
      <c r="L27" s="2"/>
      <c r="M27" s="2"/>
      <c r="N27" s="2"/>
      <c r="O27" s="2"/>
      <c r="P27" s="2"/>
      <c r="Q27" s="2"/>
      <c r="R27" s="2"/>
      <c r="S27" s="2"/>
      <c r="T27" s="2"/>
      <c r="U27" s="2"/>
      <c r="V27" s="2"/>
      <c r="W27" s="2"/>
      <c r="X27" s="2"/>
      <c r="Y27" s="2"/>
      <c r="Z27" s="2" t="str">
        <f t="shared" si="0"/>
        <v/>
      </c>
      <c r="AA27" s="2" t="str">
        <f t="shared" si="1"/>
        <v/>
      </c>
      <c r="AB27" s="2" t="str">
        <f t="shared" si="2"/>
        <v/>
      </c>
      <c r="AC27" s="2" t="str">
        <f t="shared" si="3"/>
        <v>Walks with direction</v>
      </c>
      <c r="AD27" s="2"/>
      <c r="AE27" s="5"/>
      <c r="AF27" s="2"/>
      <c r="AG27" s="2"/>
      <c r="AH27" s="2"/>
      <c r="AI27" s="2"/>
    </row>
    <row r="28" spans="1:37">
      <c r="A28" s="2"/>
      <c r="B28" s="2"/>
      <c r="C28" s="2"/>
      <c r="D28" s="2"/>
      <c r="E28" s="5"/>
      <c r="F28" s="2"/>
      <c r="G28" s="5"/>
      <c r="H28" s="2"/>
      <c r="I28" s="2"/>
      <c r="J28" s="2"/>
      <c r="K28" s="2"/>
      <c r="L28" s="2"/>
      <c r="M28" s="2"/>
      <c r="N28" s="2"/>
      <c r="O28" s="2"/>
      <c r="P28" s="2"/>
      <c r="Q28" s="2"/>
      <c r="R28" s="2"/>
      <c r="S28" s="2"/>
      <c r="T28" s="2"/>
      <c r="U28" s="2"/>
      <c r="V28" s="2"/>
      <c r="W28" s="2"/>
      <c r="X28" s="2"/>
      <c r="Y28" s="2"/>
      <c r="Z28" s="2" t="str">
        <f t="shared" si="0"/>
        <v/>
      </c>
      <c r="AA28" s="2" t="str">
        <f t="shared" si="1"/>
        <v/>
      </c>
      <c r="AB28" s="2" t="str">
        <f t="shared" si="2"/>
        <v/>
      </c>
      <c r="AC28" s="2" t="str">
        <f t="shared" si="3"/>
        <v>Walks with direction</v>
      </c>
      <c r="AD28" s="2"/>
      <c r="AE28" s="5"/>
      <c r="AF28" s="2"/>
      <c r="AG28" s="2"/>
      <c r="AH28" s="2"/>
      <c r="AI28" s="2"/>
    </row>
    <row r="29" spans="1:37">
      <c r="A29" s="2"/>
      <c r="B29" s="2"/>
      <c r="C29" s="2"/>
      <c r="D29" s="2"/>
      <c r="E29" s="5"/>
      <c r="F29" s="2"/>
      <c r="G29" s="5"/>
      <c r="H29" s="2"/>
      <c r="I29" s="2"/>
      <c r="J29" s="2"/>
      <c r="K29" s="2"/>
      <c r="L29" s="2"/>
      <c r="M29" s="2"/>
      <c r="N29" s="2"/>
      <c r="O29" s="2"/>
      <c r="P29" s="2"/>
      <c r="Q29" s="2"/>
      <c r="R29" s="2"/>
      <c r="S29" s="2"/>
      <c r="T29" s="2"/>
      <c r="U29" s="2"/>
      <c r="V29" s="2"/>
      <c r="W29" s="2"/>
      <c r="X29" s="2"/>
      <c r="Y29" s="2"/>
      <c r="Z29" s="2" t="str">
        <f t="shared" si="0"/>
        <v/>
      </c>
      <c r="AA29" s="2" t="str">
        <f t="shared" si="1"/>
        <v/>
      </c>
      <c r="AB29" s="2" t="str">
        <f t="shared" si="2"/>
        <v/>
      </c>
      <c r="AC29" s="2" t="str">
        <f t="shared" si="3"/>
        <v>Walks with direction</v>
      </c>
      <c r="AD29" s="2"/>
      <c r="AE29" s="5"/>
      <c r="AF29" s="2"/>
      <c r="AG29" s="2"/>
      <c r="AH29" s="2"/>
      <c r="AI29" s="2"/>
    </row>
    <row r="30" spans="1:37">
      <c r="A30" s="2"/>
      <c r="B30" s="2"/>
      <c r="C30" s="2"/>
      <c r="D30" s="2"/>
      <c r="E30" s="5"/>
      <c r="F30" s="2"/>
      <c r="G30" s="5"/>
      <c r="H30" s="2"/>
      <c r="I30" s="2"/>
      <c r="J30" s="2"/>
      <c r="K30" s="2"/>
      <c r="L30" s="2"/>
      <c r="M30" s="2"/>
      <c r="N30" s="2"/>
      <c r="O30" s="2"/>
      <c r="P30" s="2"/>
      <c r="Q30" s="2"/>
      <c r="R30" s="2"/>
      <c r="S30" s="2"/>
      <c r="T30" s="2"/>
      <c r="U30" s="2"/>
      <c r="V30" s="2"/>
      <c r="W30" s="2"/>
      <c r="X30" s="2"/>
      <c r="Y30" s="2"/>
      <c r="Z30" s="2" t="str">
        <f t="shared" si="0"/>
        <v/>
      </c>
      <c r="AA30" s="2" t="str">
        <f t="shared" si="1"/>
        <v/>
      </c>
      <c r="AB30" s="2" t="str">
        <f t="shared" si="2"/>
        <v/>
      </c>
      <c r="AC30" s="2" t="str">
        <f t="shared" si="3"/>
        <v>Walks with direction</v>
      </c>
      <c r="AD30" s="2"/>
      <c r="AE30" s="5"/>
      <c r="AF30" s="2"/>
      <c r="AG30" s="2"/>
      <c r="AH30" s="2"/>
      <c r="AI30" s="2"/>
    </row>
    <row r="31" spans="1:37">
      <c r="A31" s="2"/>
      <c r="B31" s="2"/>
      <c r="C31" s="2"/>
      <c r="D31" s="2"/>
      <c r="E31" s="5"/>
      <c r="F31" s="2"/>
      <c r="G31" s="5"/>
      <c r="H31" s="2"/>
      <c r="I31" s="2"/>
      <c r="J31" s="2"/>
      <c r="K31" s="2"/>
      <c r="L31" s="2"/>
      <c r="M31" s="2"/>
      <c r="N31" s="2"/>
      <c r="O31" s="2"/>
      <c r="P31" s="2"/>
      <c r="Q31" s="2"/>
      <c r="R31" s="2"/>
      <c r="S31" s="2"/>
      <c r="T31" s="2"/>
      <c r="U31" s="2"/>
      <c r="V31" s="2"/>
      <c r="W31" s="2"/>
      <c r="X31" s="2"/>
      <c r="Y31" s="2"/>
      <c r="Z31" s="2" t="str">
        <f t="shared" si="0"/>
        <v/>
      </c>
      <c r="AA31" s="2" t="str">
        <f t="shared" si="1"/>
        <v/>
      </c>
      <c r="AB31" s="2" t="str">
        <f t="shared" si="2"/>
        <v/>
      </c>
      <c r="AC31" s="2" t="str">
        <f t="shared" si="3"/>
        <v>Walks with direction</v>
      </c>
      <c r="AD31" s="2"/>
      <c r="AE31" s="5"/>
      <c r="AF31" s="2"/>
      <c r="AG31" s="2"/>
      <c r="AH31" s="2"/>
      <c r="AI31" s="2"/>
    </row>
    <row r="32" spans="1:37">
      <c r="A32" s="2"/>
      <c r="B32" s="2"/>
      <c r="C32" s="2"/>
      <c r="D32" s="2"/>
      <c r="E32" s="5"/>
      <c r="F32" s="2"/>
      <c r="G32" s="5"/>
      <c r="H32" s="2"/>
      <c r="I32" s="2"/>
      <c r="J32" s="2"/>
      <c r="K32" s="2"/>
      <c r="L32" s="2"/>
      <c r="M32" s="2"/>
      <c r="N32" s="2"/>
      <c r="O32" s="2"/>
      <c r="P32" s="2"/>
      <c r="Q32" s="2"/>
      <c r="R32" s="2"/>
      <c r="S32" s="2"/>
      <c r="T32" s="2"/>
      <c r="U32" s="2"/>
      <c r="V32" s="2"/>
      <c r="W32" s="2"/>
      <c r="X32" s="2"/>
      <c r="Y32" s="2"/>
      <c r="Z32" s="2" t="str">
        <f t="shared" si="0"/>
        <v/>
      </c>
      <c r="AA32" s="2" t="str">
        <f t="shared" si="1"/>
        <v/>
      </c>
      <c r="AB32" s="2" t="str">
        <f t="shared" si="2"/>
        <v/>
      </c>
      <c r="AC32" s="2" t="str">
        <f t="shared" si="3"/>
        <v>Walks with direction</v>
      </c>
      <c r="AD32" s="2"/>
      <c r="AE32" s="5"/>
      <c r="AF32" s="2"/>
      <c r="AG32" s="2"/>
      <c r="AH32" s="2"/>
      <c r="AI32" s="2"/>
    </row>
    <row r="33" spans="1:35">
      <c r="A33" s="2"/>
      <c r="B33" s="2"/>
      <c r="C33" s="2"/>
      <c r="D33" s="2"/>
      <c r="E33" s="5"/>
      <c r="F33" s="2"/>
      <c r="G33" s="5"/>
      <c r="H33" s="2"/>
      <c r="I33" s="2"/>
      <c r="J33" s="2"/>
      <c r="K33" s="2"/>
      <c r="L33" s="2"/>
      <c r="M33" s="2"/>
      <c r="N33" s="2"/>
      <c r="O33" s="2"/>
      <c r="P33" s="2"/>
      <c r="Q33" s="2"/>
      <c r="R33" s="2"/>
      <c r="S33" s="2"/>
      <c r="T33" s="2"/>
      <c r="U33" s="2"/>
      <c r="V33" s="2"/>
      <c r="W33" s="2"/>
      <c r="X33" s="2"/>
      <c r="Y33" s="2"/>
      <c r="Z33" s="2" t="str">
        <f t="shared" si="0"/>
        <v/>
      </c>
      <c r="AA33" s="2" t="str">
        <f t="shared" si="1"/>
        <v/>
      </c>
      <c r="AB33" s="2" t="str">
        <f t="shared" si="2"/>
        <v/>
      </c>
      <c r="AC33" s="2" t="str">
        <f t="shared" si="3"/>
        <v>Walks with direction</v>
      </c>
      <c r="AD33" s="2"/>
      <c r="AE33" s="5"/>
      <c r="AF33" s="2"/>
      <c r="AG33" s="2"/>
      <c r="AH33" s="2"/>
      <c r="AI33" s="2"/>
    </row>
    <row r="34" spans="1:35">
      <c r="A34" s="2"/>
      <c r="B34" s="2"/>
      <c r="C34" s="2"/>
      <c r="D34" s="2"/>
      <c r="E34" s="5"/>
      <c r="F34" s="2"/>
      <c r="G34" s="5"/>
      <c r="H34" s="2"/>
      <c r="I34" s="2"/>
      <c r="J34" s="2"/>
      <c r="K34" s="2"/>
      <c r="L34" s="2"/>
      <c r="M34" s="2"/>
      <c r="N34" s="2"/>
      <c r="O34" s="2"/>
      <c r="P34" s="2"/>
      <c r="Q34" s="2"/>
      <c r="R34" s="2"/>
      <c r="S34" s="2"/>
      <c r="T34" s="2"/>
      <c r="U34" s="2"/>
      <c r="V34" s="2"/>
      <c r="W34" s="2"/>
      <c r="X34" s="2"/>
      <c r="Y34" s="2"/>
      <c r="Z34" s="2" t="str">
        <f t="shared" si="0"/>
        <v/>
      </c>
      <c r="AA34" s="2" t="str">
        <f t="shared" si="1"/>
        <v/>
      </c>
      <c r="AB34" s="2" t="str">
        <f t="shared" si="2"/>
        <v/>
      </c>
      <c r="AC34" s="2" t="str">
        <f t="shared" si="3"/>
        <v>Walks with direction</v>
      </c>
      <c r="AD34" s="2"/>
      <c r="AE34" s="5"/>
      <c r="AF34" s="2"/>
      <c r="AG34" s="2"/>
      <c r="AH34" s="2"/>
      <c r="AI34" s="2"/>
    </row>
    <row r="35" spans="1:35">
      <c r="A35" s="2"/>
      <c r="B35" s="2"/>
      <c r="C35" s="2"/>
      <c r="D35" s="2"/>
      <c r="E35" s="5"/>
      <c r="F35" s="2"/>
      <c r="G35" s="5"/>
      <c r="H35" s="2"/>
      <c r="I35" s="2"/>
      <c r="J35" s="2"/>
      <c r="K35" s="2"/>
      <c r="L35" s="2"/>
      <c r="M35" s="2"/>
      <c r="N35" s="2"/>
      <c r="O35" s="2"/>
      <c r="P35" s="2"/>
      <c r="Q35" s="2"/>
      <c r="R35" s="2"/>
      <c r="S35" s="2"/>
      <c r="T35" s="2"/>
      <c r="U35" s="2"/>
      <c r="V35" s="2"/>
      <c r="W35" s="2"/>
      <c r="X35" s="2"/>
      <c r="Y35" s="2"/>
      <c r="Z35" s="2" t="str">
        <f t="shared" si="0"/>
        <v/>
      </c>
      <c r="AA35" s="2" t="str">
        <f t="shared" si="1"/>
        <v/>
      </c>
      <c r="AB35" s="2" t="str">
        <f t="shared" si="2"/>
        <v/>
      </c>
      <c r="AC35" s="2" t="str">
        <f t="shared" si="3"/>
        <v>Walks with direction</v>
      </c>
      <c r="AD35" s="2"/>
      <c r="AE35" s="5"/>
      <c r="AF35" s="2"/>
      <c r="AG35" s="2"/>
      <c r="AH35" s="2"/>
      <c r="AI35" s="2"/>
    </row>
    <row r="36" spans="1:35">
      <c r="A36" s="2"/>
      <c r="B36" s="2"/>
      <c r="C36" s="2"/>
      <c r="D36" s="2"/>
      <c r="E36" s="5"/>
      <c r="F36" s="2"/>
      <c r="G36" s="5"/>
      <c r="H36" s="2"/>
      <c r="I36" s="2"/>
      <c r="J36" s="2"/>
      <c r="K36" s="2"/>
      <c r="L36" s="2"/>
      <c r="M36" s="2"/>
      <c r="N36" s="2"/>
      <c r="O36" s="2"/>
      <c r="P36" s="2"/>
      <c r="Q36" s="2"/>
      <c r="R36" s="2"/>
      <c r="S36" s="2"/>
      <c r="T36" s="2"/>
      <c r="U36" s="2"/>
      <c r="V36" s="2"/>
      <c r="W36" s="2"/>
      <c r="X36" s="2"/>
      <c r="Y36" s="2"/>
      <c r="Z36" s="2" t="str">
        <f t="shared" si="0"/>
        <v/>
      </c>
      <c r="AA36" s="2" t="str">
        <f t="shared" si="1"/>
        <v/>
      </c>
      <c r="AB36" s="2" t="str">
        <f t="shared" si="2"/>
        <v/>
      </c>
      <c r="AC36" s="2" t="str">
        <f t="shared" si="3"/>
        <v>Walks with direction</v>
      </c>
      <c r="AD36" s="2"/>
      <c r="AE36" s="5"/>
      <c r="AF36" s="2"/>
      <c r="AG36" s="2"/>
      <c r="AH36" s="2"/>
      <c r="AI36" s="2"/>
    </row>
    <row r="37" spans="1:35">
      <c r="A37" s="2"/>
      <c r="B37" s="2"/>
      <c r="C37" s="2"/>
      <c r="D37" s="2"/>
      <c r="E37" s="5"/>
      <c r="F37" s="2"/>
      <c r="G37" s="5"/>
      <c r="H37" s="2"/>
      <c r="I37" s="2"/>
      <c r="J37" s="2"/>
      <c r="K37" s="2"/>
      <c r="L37" s="2"/>
      <c r="M37" s="2"/>
      <c r="N37" s="2"/>
      <c r="O37" s="2"/>
      <c r="P37" s="2"/>
      <c r="Q37" s="2"/>
      <c r="R37" s="2"/>
      <c r="S37" s="2"/>
      <c r="T37" s="2"/>
      <c r="U37" s="2"/>
      <c r="V37" s="2"/>
      <c r="W37" s="2"/>
      <c r="X37" s="2"/>
      <c r="Y37" s="2"/>
      <c r="Z37" s="2" t="str">
        <f t="shared" si="0"/>
        <v/>
      </c>
      <c r="AA37" s="2" t="str">
        <f t="shared" si="1"/>
        <v/>
      </c>
      <c r="AB37" s="2" t="str">
        <f t="shared" si="2"/>
        <v/>
      </c>
      <c r="AC37" s="2" t="str">
        <f t="shared" si="3"/>
        <v>Walks with direction</v>
      </c>
      <c r="AD37" s="2"/>
      <c r="AE37" s="5"/>
      <c r="AF37" s="2"/>
      <c r="AG37" s="2"/>
      <c r="AH37" s="2"/>
      <c r="AI37" s="2"/>
    </row>
    <row r="38" spans="1:35">
      <c r="A38" s="2"/>
      <c r="B38" s="2"/>
      <c r="C38" s="2"/>
      <c r="D38" s="2"/>
      <c r="E38" s="5"/>
      <c r="F38" s="2"/>
      <c r="G38" s="5"/>
      <c r="H38" s="2"/>
      <c r="I38" s="2"/>
      <c r="J38" s="2"/>
      <c r="K38" s="2"/>
      <c r="L38" s="2"/>
      <c r="M38" s="2"/>
      <c r="N38" s="2"/>
      <c r="O38" s="2"/>
      <c r="P38" s="2"/>
      <c r="Q38" s="2"/>
      <c r="R38" s="2"/>
      <c r="S38" s="2"/>
      <c r="T38" s="2"/>
      <c r="U38" s="2"/>
      <c r="V38" s="2"/>
      <c r="W38" s="2"/>
      <c r="X38" s="2"/>
      <c r="Y38" s="2"/>
      <c r="Z38" s="2" t="str">
        <f t="shared" si="0"/>
        <v/>
      </c>
      <c r="AA38" s="2" t="str">
        <f t="shared" si="1"/>
        <v/>
      </c>
      <c r="AB38" s="2" t="str">
        <f t="shared" si="2"/>
        <v/>
      </c>
      <c r="AC38" s="2" t="str">
        <f t="shared" si="3"/>
        <v>Walks with direction</v>
      </c>
      <c r="AD38" s="2"/>
      <c r="AE38" s="5"/>
      <c r="AF38" s="2"/>
      <c r="AG38" s="2"/>
      <c r="AH38" s="2"/>
      <c r="AI38" s="2"/>
    </row>
    <row r="39" spans="1:35">
      <c r="A39" s="2"/>
      <c r="B39" s="2"/>
      <c r="C39" s="2"/>
      <c r="D39" s="2"/>
      <c r="E39" s="5"/>
      <c r="F39" s="2"/>
      <c r="G39" s="5"/>
      <c r="H39" s="2"/>
      <c r="I39" s="2"/>
      <c r="J39" s="2"/>
      <c r="K39" s="2"/>
      <c r="L39" s="2"/>
      <c r="M39" s="2"/>
      <c r="N39" s="2"/>
      <c r="O39" s="2"/>
      <c r="P39" s="2"/>
      <c r="Q39" s="2"/>
      <c r="R39" s="2"/>
      <c r="S39" s="2"/>
      <c r="T39" s="2"/>
      <c r="U39" s="2"/>
      <c r="V39" s="2"/>
      <c r="W39" s="2"/>
      <c r="X39" s="2"/>
      <c r="Y39" s="2"/>
      <c r="Z39" s="2" t="str">
        <f t="shared" si="0"/>
        <v/>
      </c>
      <c r="AA39" s="2" t="str">
        <f t="shared" si="1"/>
        <v/>
      </c>
      <c r="AB39" s="2" t="str">
        <f t="shared" si="2"/>
        <v/>
      </c>
      <c r="AC39" s="2" t="str">
        <f t="shared" si="3"/>
        <v>Walks with direction</v>
      </c>
      <c r="AD39" s="2"/>
      <c r="AE39" s="5"/>
      <c r="AF39" s="2"/>
      <c r="AG39" s="2"/>
      <c r="AH39" s="2"/>
      <c r="AI39" s="2"/>
    </row>
    <row r="40" spans="1:35">
      <c r="A40" s="2"/>
      <c r="B40" s="2"/>
      <c r="C40" s="2"/>
      <c r="D40" s="2"/>
      <c r="E40" s="5"/>
      <c r="F40" s="2"/>
      <c r="G40" s="5"/>
      <c r="H40" s="2"/>
      <c r="I40" s="2"/>
      <c r="J40" s="2"/>
      <c r="K40" s="2"/>
      <c r="L40" s="2"/>
      <c r="M40" s="2"/>
      <c r="N40" s="2"/>
      <c r="O40" s="2"/>
      <c r="P40" s="2"/>
      <c r="Q40" s="2"/>
      <c r="R40" s="2"/>
      <c r="S40" s="2"/>
      <c r="T40" s="2"/>
      <c r="U40" s="2"/>
      <c r="V40" s="2"/>
      <c r="W40" s="2"/>
      <c r="X40" s="2"/>
      <c r="Y40" s="2"/>
      <c r="Z40" s="2" t="str">
        <f t="shared" si="0"/>
        <v/>
      </c>
      <c r="AA40" s="2" t="str">
        <f t="shared" si="1"/>
        <v/>
      </c>
      <c r="AB40" s="2" t="str">
        <f t="shared" si="2"/>
        <v/>
      </c>
      <c r="AC40" s="2" t="str">
        <f t="shared" si="3"/>
        <v>Walks with direction</v>
      </c>
      <c r="AD40" s="2"/>
      <c r="AE40" s="5"/>
      <c r="AF40" s="2"/>
      <c r="AG40" s="2"/>
      <c r="AH40" s="2"/>
      <c r="AI40" s="2"/>
    </row>
    <row r="41" spans="1:35">
      <c r="A41" s="2"/>
      <c r="B41" s="2"/>
      <c r="C41" s="2"/>
      <c r="D41" s="2"/>
      <c r="E41" s="5"/>
      <c r="F41" s="2"/>
      <c r="G41" s="5"/>
      <c r="H41" s="2"/>
      <c r="I41" s="2"/>
      <c r="J41" s="2"/>
      <c r="K41" s="2"/>
      <c r="L41" s="2"/>
      <c r="M41" s="2"/>
      <c r="N41" s="2"/>
      <c r="O41" s="2"/>
      <c r="P41" s="2"/>
      <c r="Q41" s="2"/>
      <c r="R41" s="2"/>
      <c r="S41" s="2"/>
      <c r="T41" s="2"/>
      <c r="U41" s="2"/>
      <c r="V41" s="2"/>
      <c r="W41" s="2"/>
      <c r="X41" s="2"/>
      <c r="Y41" s="2"/>
      <c r="Z41" s="2" t="str">
        <f t="shared" si="0"/>
        <v/>
      </c>
      <c r="AA41" s="2" t="str">
        <f t="shared" si="1"/>
        <v/>
      </c>
      <c r="AB41" s="2" t="str">
        <f t="shared" si="2"/>
        <v/>
      </c>
      <c r="AC41" s="2" t="str">
        <f t="shared" si="3"/>
        <v>Walks with direction</v>
      </c>
      <c r="AD41" s="2"/>
      <c r="AE41" s="5"/>
      <c r="AF41" s="2"/>
      <c r="AG41" s="2"/>
      <c r="AH41" s="2"/>
      <c r="AI41" s="2"/>
    </row>
    <row r="42" spans="1:35">
      <c r="A42" s="2"/>
      <c r="B42" s="2"/>
      <c r="C42" s="2"/>
      <c r="D42" s="2"/>
      <c r="E42" s="5"/>
      <c r="F42" s="2"/>
      <c r="G42" s="5"/>
      <c r="H42" s="2"/>
      <c r="I42" s="2"/>
      <c r="J42" s="2"/>
      <c r="K42" s="2"/>
      <c r="L42" s="2"/>
      <c r="M42" s="2"/>
      <c r="N42" s="2"/>
      <c r="O42" s="2"/>
      <c r="P42" s="2"/>
      <c r="Q42" s="2"/>
      <c r="R42" s="2"/>
      <c r="S42" s="2"/>
      <c r="T42" s="2"/>
      <c r="U42" s="2"/>
      <c r="V42" s="2"/>
      <c r="W42" s="2"/>
      <c r="X42" s="2"/>
      <c r="Y42" s="2"/>
      <c r="Z42" s="2" t="str">
        <f t="shared" si="0"/>
        <v/>
      </c>
      <c r="AA42" s="2" t="str">
        <f t="shared" si="1"/>
        <v/>
      </c>
      <c r="AB42" s="2" t="str">
        <f t="shared" si="2"/>
        <v/>
      </c>
      <c r="AC42" s="2" t="str">
        <f t="shared" si="3"/>
        <v>Walks with direction</v>
      </c>
      <c r="AD42" s="2"/>
      <c r="AE42" s="5"/>
      <c r="AF42" s="2"/>
      <c r="AG42" s="2"/>
      <c r="AH42" s="2"/>
      <c r="AI42" s="2"/>
    </row>
    <row r="43" spans="1:35">
      <c r="A43" s="2"/>
      <c r="B43" s="2"/>
      <c r="C43" s="2"/>
      <c r="D43" s="2"/>
      <c r="E43" s="5"/>
      <c r="F43" s="2"/>
      <c r="G43" s="5"/>
      <c r="H43" s="2"/>
      <c r="I43" s="2"/>
      <c r="J43" s="2"/>
      <c r="K43" s="2"/>
      <c r="L43" s="2"/>
      <c r="M43" s="2"/>
      <c r="N43" s="2"/>
      <c r="O43" s="2"/>
      <c r="P43" s="2"/>
      <c r="Q43" s="2"/>
      <c r="R43" s="2"/>
      <c r="S43" s="2"/>
      <c r="T43" s="2"/>
      <c r="U43" s="2"/>
      <c r="V43" s="2"/>
      <c r="W43" s="2"/>
      <c r="X43" s="2"/>
      <c r="Y43" s="2"/>
      <c r="Z43" s="2" t="str">
        <f t="shared" si="0"/>
        <v/>
      </c>
      <c r="AA43" s="2" t="str">
        <f t="shared" si="1"/>
        <v/>
      </c>
      <c r="AB43" s="2" t="str">
        <f t="shared" si="2"/>
        <v/>
      </c>
      <c r="AC43" s="2" t="str">
        <f t="shared" si="3"/>
        <v>Walks with direction</v>
      </c>
      <c r="AD43" s="2"/>
      <c r="AE43" s="5"/>
      <c r="AF43" s="2"/>
      <c r="AG43" s="2"/>
      <c r="AH43" s="2"/>
      <c r="AI43" s="2"/>
    </row>
    <row r="44" spans="1:35">
      <c r="A44" s="2"/>
      <c r="B44" s="2"/>
      <c r="C44" s="2"/>
      <c r="D44" s="2"/>
      <c r="E44" s="5"/>
      <c r="F44" s="2"/>
      <c r="G44" s="5"/>
      <c r="H44" s="2"/>
      <c r="I44" s="2"/>
      <c r="J44" s="2"/>
      <c r="K44" s="2"/>
      <c r="L44" s="2"/>
      <c r="M44" s="2"/>
      <c r="N44" s="2"/>
      <c r="O44" s="2"/>
      <c r="P44" s="2"/>
      <c r="Q44" s="2"/>
      <c r="R44" s="2"/>
      <c r="S44" s="2"/>
      <c r="T44" s="2"/>
      <c r="U44" s="2"/>
      <c r="V44" s="2"/>
      <c r="W44" s="2"/>
      <c r="X44" s="2"/>
      <c r="Y44" s="2"/>
      <c r="Z44" s="2" t="str">
        <f t="shared" si="0"/>
        <v/>
      </c>
      <c r="AA44" s="2" t="str">
        <f t="shared" si="1"/>
        <v/>
      </c>
      <c r="AB44" s="2" t="str">
        <f t="shared" si="2"/>
        <v/>
      </c>
      <c r="AC44" s="2" t="str">
        <f t="shared" si="3"/>
        <v>Walks with direction</v>
      </c>
      <c r="AD44" s="2"/>
      <c r="AE44" s="5"/>
      <c r="AF44" s="2"/>
      <c r="AG44" s="2"/>
      <c r="AH44" s="2"/>
      <c r="AI44" s="2"/>
    </row>
    <row r="45" spans="1:35">
      <c r="A45" s="2"/>
      <c r="B45" s="2"/>
      <c r="C45" s="2"/>
      <c r="D45" s="2"/>
      <c r="E45" s="5"/>
      <c r="F45" s="2"/>
      <c r="G45" s="5"/>
      <c r="H45" s="2"/>
      <c r="I45" s="2"/>
      <c r="J45" s="2"/>
      <c r="K45" s="2"/>
      <c r="L45" s="2"/>
      <c r="M45" s="2"/>
      <c r="N45" s="2"/>
      <c r="O45" s="2"/>
      <c r="P45" s="2"/>
      <c r="Q45" s="2"/>
      <c r="R45" s="2"/>
      <c r="S45" s="2"/>
      <c r="T45" s="2"/>
      <c r="U45" s="2"/>
      <c r="V45" s="2"/>
      <c r="W45" s="2"/>
      <c r="X45" s="2"/>
      <c r="Y45" s="2"/>
      <c r="Z45" s="2" t="str">
        <f t="shared" si="0"/>
        <v/>
      </c>
      <c r="AA45" s="2" t="str">
        <f t="shared" si="1"/>
        <v/>
      </c>
      <c r="AB45" s="2" t="str">
        <f t="shared" si="2"/>
        <v/>
      </c>
      <c r="AC45" s="2" t="str">
        <f t="shared" si="3"/>
        <v>Walks with direction</v>
      </c>
      <c r="AD45" s="2"/>
      <c r="AE45" s="5"/>
      <c r="AF45" s="2"/>
      <c r="AG45" s="2"/>
      <c r="AH45" s="2"/>
      <c r="AI45" s="2"/>
    </row>
    <row r="46" spans="1:35">
      <c r="A46" s="2"/>
      <c r="B46" s="2"/>
      <c r="C46" s="2"/>
      <c r="D46" s="2"/>
      <c r="E46" s="5"/>
      <c r="F46" s="2"/>
      <c r="G46" s="5"/>
      <c r="H46" s="2"/>
      <c r="I46" s="2"/>
      <c r="J46" s="2"/>
      <c r="K46" s="2"/>
      <c r="L46" s="2"/>
      <c r="M46" s="2"/>
      <c r="N46" s="2"/>
      <c r="O46" s="2"/>
      <c r="P46" s="2"/>
      <c r="Q46" s="2"/>
      <c r="R46" s="2"/>
      <c r="S46" s="2"/>
      <c r="T46" s="2"/>
      <c r="U46" s="2"/>
      <c r="V46" s="2"/>
      <c r="W46" s="2"/>
      <c r="X46" s="2"/>
      <c r="Y46" s="2"/>
      <c r="Z46" s="2" t="str">
        <f t="shared" si="0"/>
        <v/>
      </c>
      <c r="AA46" s="2" t="str">
        <f t="shared" si="1"/>
        <v/>
      </c>
      <c r="AB46" s="2" t="str">
        <f t="shared" si="2"/>
        <v/>
      </c>
      <c r="AC46" s="2" t="str">
        <f t="shared" si="3"/>
        <v>Walks with direction</v>
      </c>
      <c r="AD46" s="2"/>
      <c r="AE46" s="5"/>
      <c r="AF46" s="2"/>
      <c r="AG46" s="2"/>
      <c r="AH46" s="2"/>
      <c r="AI46" s="2"/>
    </row>
    <row r="47" spans="1:35">
      <c r="A47" s="2"/>
      <c r="B47" s="2"/>
      <c r="C47" s="2"/>
      <c r="D47" s="2"/>
      <c r="E47" s="5"/>
      <c r="F47" s="2"/>
      <c r="G47" s="5"/>
      <c r="H47" s="2"/>
      <c r="I47" s="2"/>
      <c r="J47" s="2"/>
      <c r="K47" s="2"/>
      <c r="L47" s="2"/>
      <c r="M47" s="2"/>
      <c r="N47" s="2"/>
      <c r="O47" s="2"/>
      <c r="P47" s="2"/>
      <c r="Q47" s="2"/>
      <c r="R47" s="2"/>
      <c r="S47" s="2"/>
      <c r="T47" s="2"/>
      <c r="U47" s="2"/>
      <c r="V47" s="2"/>
      <c r="W47" s="2"/>
      <c r="X47" s="2"/>
      <c r="Y47" s="2"/>
      <c r="Z47" s="2" t="str">
        <f t="shared" si="0"/>
        <v/>
      </c>
      <c r="AA47" s="2" t="str">
        <f t="shared" si="1"/>
        <v/>
      </c>
      <c r="AB47" s="2" t="str">
        <f t="shared" si="2"/>
        <v/>
      </c>
      <c r="AC47" s="2" t="str">
        <f t="shared" si="3"/>
        <v>Walks with direction</v>
      </c>
      <c r="AD47" s="2"/>
      <c r="AE47" s="5"/>
      <c r="AF47" s="2"/>
      <c r="AG47" s="2"/>
      <c r="AH47" s="2"/>
      <c r="AI47" s="2"/>
    </row>
    <row r="48" spans="1:35">
      <c r="A48" s="2"/>
      <c r="B48" s="2"/>
      <c r="C48" s="2"/>
      <c r="D48" s="2"/>
      <c r="E48" s="5"/>
      <c r="F48" s="2"/>
      <c r="G48" s="5"/>
      <c r="H48" s="2"/>
      <c r="I48" s="2"/>
      <c r="J48" s="2"/>
      <c r="K48" s="2"/>
      <c r="L48" s="2"/>
      <c r="M48" s="2"/>
      <c r="N48" s="2"/>
      <c r="O48" s="2"/>
      <c r="P48" s="2"/>
      <c r="Q48" s="2"/>
      <c r="R48" s="2"/>
      <c r="S48" s="2"/>
      <c r="T48" s="2"/>
      <c r="U48" s="2"/>
      <c r="V48" s="2"/>
      <c r="W48" s="2"/>
      <c r="X48" s="2"/>
      <c r="Y48" s="2"/>
      <c r="Z48" s="2" t="str">
        <f t="shared" si="0"/>
        <v/>
      </c>
      <c r="AA48" s="2" t="str">
        <f t="shared" si="1"/>
        <v/>
      </c>
      <c r="AB48" s="2" t="str">
        <f t="shared" si="2"/>
        <v/>
      </c>
      <c r="AC48" s="2" t="str">
        <f t="shared" si="3"/>
        <v>Walks with direction</v>
      </c>
      <c r="AD48" s="2"/>
      <c r="AE48" s="5"/>
      <c r="AF48" s="2"/>
      <c r="AG48" s="2"/>
      <c r="AH48" s="2"/>
      <c r="AI48" s="2"/>
    </row>
    <row r="49" spans="1:35">
      <c r="A49" s="2"/>
      <c r="B49" s="2"/>
      <c r="C49" s="2"/>
      <c r="D49" s="2"/>
      <c r="E49" s="5"/>
      <c r="F49" s="2"/>
      <c r="G49" s="5"/>
      <c r="H49" s="2"/>
      <c r="I49" s="2"/>
      <c r="J49" s="2"/>
      <c r="K49" s="2"/>
      <c r="L49" s="2"/>
      <c r="M49" s="2"/>
      <c r="N49" s="2"/>
      <c r="O49" s="2"/>
      <c r="P49" s="2"/>
      <c r="Q49" s="2"/>
      <c r="R49" s="2"/>
      <c r="S49" s="2"/>
      <c r="T49" s="2"/>
      <c r="U49" s="2"/>
      <c r="V49" s="2"/>
      <c r="W49" s="2"/>
      <c r="X49" s="2"/>
      <c r="Y49" s="2"/>
      <c r="Z49" s="2" t="str">
        <f t="shared" si="0"/>
        <v/>
      </c>
      <c r="AA49" s="2" t="str">
        <f t="shared" si="1"/>
        <v/>
      </c>
      <c r="AB49" s="2" t="str">
        <f t="shared" si="2"/>
        <v/>
      </c>
      <c r="AC49" s="2" t="str">
        <f t="shared" si="3"/>
        <v>Walks with direction</v>
      </c>
      <c r="AD49" s="2"/>
      <c r="AE49" s="5"/>
      <c r="AF49" s="2"/>
      <c r="AG49" s="2"/>
      <c r="AH49" s="2"/>
      <c r="AI49" s="2"/>
    </row>
    <row r="50" spans="1:35">
      <c r="A50" s="2"/>
      <c r="B50" s="2"/>
      <c r="C50" s="2"/>
      <c r="D50" s="2"/>
      <c r="E50" s="5"/>
      <c r="F50" s="2"/>
      <c r="G50" s="5"/>
      <c r="H50" s="2"/>
      <c r="I50" s="2"/>
      <c r="J50" s="2"/>
      <c r="K50" s="2"/>
      <c r="L50" s="2"/>
      <c r="M50" s="2"/>
      <c r="N50" s="2"/>
      <c r="O50" s="2"/>
      <c r="P50" s="2"/>
      <c r="Q50" s="2"/>
      <c r="R50" s="2"/>
      <c r="S50" s="2"/>
      <c r="T50" s="2"/>
      <c r="U50" s="2"/>
      <c r="V50" s="2"/>
      <c r="W50" s="2"/>
      <c r="X50" s="2"/>
      <c r="Y50" s="2"/>
      <c r="Z50" s="2" t="str">
        <f t="shared" ref="Z50:Z81" si="4">IF(COUNTA(H50:Y50)=0,"",IF(COUNTIF(H50:Y50,"Very High")&gt;0,"Very High",IF(COUNTIF(H50:Y50,"High")&gt;0,"High",IF(COUNTIF(H50:Y50,"Medium")&gt;0,"Medium","Low"))))</f>
        <v/>
      </c>
      <c r="AA50" s="2" t="str">
        <f t="shared" ref="AA50:AA81" si="5">IF(Z50="","",IF(Z50="Low","Routine planned support",IF(Z50="Medium","One staff support/supervision likely",IF(Z50="High","Two staff/review staffing and equipment","Manager review: multiple staff/specialist support"))))</f>
        <v/>
      </c>
      <c r="AB50" s="2" t="str">
        <f t="shared" ref="AB50:AB81" si="6">IF(Z50="","",IF(OR(Z50="High",Z50="Very High",W50="High",W50="Very High"),"Night staffing and evacuation review required","Routine night checks as per care plan"))</f>
        <v/>
      </c>
      <c r="AC50" s="2" t="str">
        <f t="shared" ref="AC50:AC81" si="7">IF(X50="Very High","Specialist PEEP / equipment",IF(OR(X50="High",Z50="High"),"Evacuation sheet/chair or wheelchair per PEEP",IF(OR(X50="Medium",Z50="Medium"),"Walking aid/wheelchair support per PEEP","Walks with direction")))</f>
        <v>Walks with direction</v>
      </c>
      <c r="AD50" s="2"/>
      <c r="AE50" s="5"/>
      <c r="AF50" s="2"/>
      <c r="AG50" s="2"/>
      <c r="AH50" s="2"/>
      <c r="AI50" s="2"/>
    </row>
    <row r="51" spans="1:35">
      <c r="A51" s="2"/>
      <c r="B51" s="2"/>
      <c r="C51" s="2"/>
      <c r="D51" s="2"/>
      <c r="E51" s="5"/>
      <c r="F51" s="2"/>
      <c r="G51" s="5"/>
      <c r="H51" s="2"/>
      <c r="I51" s="2"/>
      <c r="J51" s="2"/>
      <c r="K51" s="2"/>
      <c r="L51" s="2"/>
      <c r="M51" s="2"/>
      <c r="N51" s="2"/>
      <c r="O51" s="2"/>
      <c r="P51" s="2"/>
      <c r="Q51" s="2"/>
      <c r="R51" s="2"/>
      <c r="S51" s="2"/>
      <c r="T51" s="2"/>
      <c r="U51" s="2"/>
      <c r="V51" s="2"/>
      <c r="W51" s="2"/>
      <c r="X51" s="2"/>
      <c r="Y51" s="2"/>
      <c r="Z51" s="2" t="str">
        <f t="shared" si="4"/>
        <v/>
      </c>
      <c r="AA51" s="2" t="str">
        <f t="shared" si="5"/>
        <v/>
      </c>
      <c r="AB51" s="2" t="str">
        <f t="shared" si="6"/>
        <v/>
      </c>
      <c r="AC51" s="2" t="str">
        <f t="shared" si="7"/>
        <v>Walks with direction</v>
      </c>
      <c r="AD51" s="2"/>
      <c r="AE51" s="5"/>
      <c r="AF51" s="2"/>
      <c r="AG51" s="2"/>
      <c r="AH51" s="2"/>
      <c r="AI51" s="2"/>
    </row>
    <row r="52" spans="1:35">
      <c r="A52" s="2"/>
      <c r="B52" s="2"/>
      <c r="C52" s="2"/>
      <c r="D52" s="2"/>
      <c r="E52" s="5"/>
      <c r="F52" s="2"/>
      <c r="G52" s="5"/>
      <c r="H52" s="2"/>
      <c r="I52" s="2"/>
      <c r="J52" s="2"/>
      <c r="K52" s="2"/>
      <c r="L52" s="2"/>
      <c r="M52" s="2"/>
      <c r="N52" s="2"/>
      <c r="O52" s="2"/>
      <c r="P52" s="2"/>
      <c r="Q52" s="2"/>
      <c r="R52" s="2"/>
      <c r="S52" s="2"/>
      <c r="T52" s="2"/>
      <c r="U52" s="2"/>
      <c r="V52" s="2"/>
      <c r="W52" s="2"/>
      <c r="X52" s="2"/>
      <c r="Y52" s="2"/>
      <c r="Z52" s="2" t="str">
        <f t="shared" si="4"/>
        <v/>
      </c>
      <c r="AA52" s="2" t="str">
        <f t="shared" si="5"/>
        <v/>
      </c>
      <c r="AB52" s="2" t="str">
        <f t="shared" si="6"/>
        <v/>
      </c>
      <c r="AC52" s="2" t="str">
        <f t="shared" si="7"/>
        <v>Walks with direction</v>
      </c>
      <c r="AD52" s="2"/>
      <c r="AE52" s="5"/>
      <c r="AF52" s="2"/>
      <c r="AG52" s="2"/>
      <c r="AH52" s="2"/>
      <c r="AI52" s="2"/>
    </row>
    <row r="53" spans="1:35">
      <c r="A53" s="2"/>
      <c r="B53" s="2"/>
      <c r="C53" s="2"/>
      <c r="D53" s="2"/>
      <c r="E53" s="5"/>
      <c r="F53" s="2"/>
      <c r="G53" s="5"/>
      <c r="H53" s="2"/>
      <c r="I53" s="2"/>
      <c r="J53" s="2"/>
      <c r="K53" s="2"/>
      <c r="L53" s="2"/>
      <c r="M53" s="2"/>
      <c r="N53" s="2"/>
      <c r="O53" s="2"/>
      <c r="P53" s="2"/>
      <c r="Q53" s="2"/>
      <c r="R53" s="2"/>
      <c r="S53" s="2"/>
      <c r="T53" s="2"/>
      <c r="U53" s="2"/>
      <c r="V53" s="2"/>
      <c r="W53" s="2"/>
      <c r="X53" s="2"/>
      <c r="Y53" s="2"/>
      <c r="Z53" s="2" t="str">
        <f t="shared" si="4"/>
        <v/>
      </c>
      <c r="AA53" s="2" t="str">
        <f t="shared" si="5"/>
        <v/>
      </c>
      <c r="AB53" s="2" t="str">
        <f t="shared" si="6"/>
        <v/>
      </c>
      <c r="AC53" s="2" t="str">
        <f t="shared" si="7"/>
        <v>Walks with direction</v>
      </c>
      <c r="AD53" s="2"/>
      <c r="AE53" s="5"/>
      <c r="AF53" s="2"/>
      <c r="AG53" s="2"/>
      <c r="AH53" s="2"/>
      <c r="AI53" s="2"/>
    </row>
    <row r="54" spans="1:35">
      <c r="A54" s="2"/>
      <c r="B54" s="2"/>
      <c r="C54" s="2"/>
      <c r="D54" s="2"/>
      <c r="E54" s="5"/>
      <c r="F54" s="2"/>
      <c r="G54" s="5"/>
      <c r="H54" s="2"/>
      <c r="I54" s="2"/>
      <c r="J54" s="2"/>
      <c r="K54" s="2"/>
      <c r="L54" s="2"/>
      <c r="M54" s="2"/>
      <c r="N54" s="2"/>
      <c r="O54" s="2"/>
      <c r="P54" s="2"/>
      <c r="Q54" s="2"/>
      <c r="R54" s="2"/>
      <c r="S54" s="2"/>
      <c r="T54" s="2"/>
      <c r="U54" s="2"/>
      <c r="V54" s="2"/>
      <c r="W54" s="2"/>
      <c r="X54" s="2"/>
      <c r="Y54" s="2"/>
      <c r="Z54" s="2" t="str">
        <f t="shared" si="4"/>
        <v/>
      </c>
      <c r="AA54" s="2" t="str">
        <f t="shared" si="5"/>
        <v/>
      </c>
      <c r="AB54" s="2" t="str">
        <f t="shared" si="6"/>
        <v/>
      </c>
      <c r="AC54" s="2" t="str">
        <f t="shared" si="7"/>
        <v>Walks with direction</v>
      </c>
      <c r="AD54" s="2"/>
      <c r="AE54" s="5"/>
      <c r="AF54" s="2"/>
      <c r="AG54" s="2"/>
      <c r="AH54" s="2"/>
      <c r="AI54" s="2"/>
    </row>
    <row r="55" spans="1:35">
      <c r="A55" s="2"/>
      <c r="B55" s="2"/>
      <c r="C55" s="2"/>
      <c r="D55" s="2"/>
      <c r="E55" s="5"/>
      <c r="F55" s="2"/>
      <c r="G55" s="5"/>
      <c r="H55" s="2"/>
      <c r="I55" s="2"/>
      <c r="J55" s="2"/>
      <c r="K55" s="2"/>
      <c r="L55" s="2"/>
      <c r="M55" s="2"/>
      <c r="N55" s="2"/>
      <c r="O55" s="2"/>
      <c r="P55" s="2"/>
      <c r="Q55" s="2"/>
      <c r="R55" s="2"/>
      <c r="S55" s="2"/>
      <c r="T55" s="2"/>
      <c r="U55" s="2"/>
      <c r="V55" s="2"/>
      <c r="W55" s="2"/>
      <c r="X55" s="2"/>
      <c r="Y55" s="2"/>
      <c r="Z55" s="2" t="str">
        <f t="shared" si="4"/>
        <v/>
      </c>
      <c r="AA55" s="2" t="str">
        <f t="shared" si="5"/>
        <v/>
      </c>
      <c r="AB55" s="2" t="str">
        <f t="shared" si="6"/>
        <v/>
      </c>
      <c r="AC55" s="2" t="str">
        <f t="shared" si="7"/>
        <v>Walks with direction</v>
      </c>
      <c r="AD55" s="2"/>
      <c r="AE55" s="5"/>
      <c r="AF55" s="2"/>
      <c r="AG55" s="2"/>
      <c r="AH55" s="2"/>
      <c r="AI55" s="2"/>
    </row>
    <row r="56" spans="1:35">
      <c r="A56" s="2"/>
      <c r="B56" s="2"/>
      <c r="C56" s="2"/>
      <c r="D56" s="2"/>
      <c r="E56" s="5"/>
      <c r="F56" s="2"/>
      <c r="G56" s="5"/>
      <c r="H56" s="2"/>
      <c r="I56" s="2"/>
      <c r="J56" s="2"/>
      <c r="K56" s="2"/>
      <c r="L56" s="2"/>
      <c r="M56" s="2"/>
      <c r="N56" s="2"/>
      <c r="O56" s="2"/>
      <c r="P56" s="2"/>
      <c r="Q56" s="2"/>
      <c r="R56" s="2"/>
      <c r="S56" s="2"/>
      <c r="T56" s="2"/>
      <c r="U56" s="2"/>
      <c r="V56" s="2"/>
      <c r="W56" s="2"/>
      <c r="X56" s="2"/>
      <c r="Y56" s="2"/>
      <c r="Z56" s="2" t="str">
        <f t="shared" si="4"/>
        <v/>
      </c>
      <c r="AA56" s="2" t="str">
        <f t="shared" si="5"/>
        <v/>
      </c>
      <c r="AB56" s="2" t="str">
        <f t="shared" si="6"/>
        <v/>
      </c>
      <c r="AC56" s="2" t="str">
        <f t="shared" si="7"/>
        <v>Walks with direction</v>
      </c>
      <c r="AD56" s="2"/>
      <c r="AE56" s="5"/>
      <c r="AF56" s="2"/>
      <c r="AG56" s="2"/>
      <c r="AH56" s="2"/>
      <c r="AI56" s="2"/>
    </row>
    <row r="57" spans="1:35">
      <c r="A57" s="2"/>
      <c r="B57" s="2"/>
      <c r="C57" s="2"/>
      <c r="D57" s="2"/>
      <c r="E57" s="5"/>
      <c r="F57" s="2"/>
      <c r="G57" s="5"/>
      <c r="H57" s="2"/>
      <c r="I57" s="2"/>
      <c r="J57" s="2"/>
      <c r="K57" s="2"/>
      <c r="L57" s="2"/>
      <c r="M57" s="2"/>
      <c r="N57" s="2"/>
      <c r="O57" s="2"/>
      <c r="P57" s="2"/>
      <c r="Q57" s="2"/>
      <c r="R57" s="2"/>
      <c r="S57" s="2"/>
      <c r="T57" s="2"/>
      <c r="U57" s="2"/>
      <c r="V57" s="2"/>
      <c r="W57" s="2"/>
      <c r="X57" s="2"/>
      <c r="Y57" s="2"/>
      <c r="Z57" s="2" t="str">
        <f t="shared" si="4"/>
        <v/>
      </c>
      <c r="AA57" s="2" t="str">
        <f t="shared" si="5"/>
        <v/>
      </c>
      <c r="AB57" s="2" t="str">
        <f t="shared" si="6"/>
        <v/>
      </c>
      <c r="AC57" s="2" t="str">
        <f t="shared" si="7"/>
        <v>Walks with direction</v>
      </c>
      <c r="AD57" s="2"/>
      <c r="AE57" s="5"/>
      <c r="AF57" s="2"/>
      <c r="AG57" s="2"/>
      <c r="AH57" s="2"/>
      <c r="AI57" s="2"/>
    </row>
    <row r="58" spans="1:35">
      <c r="A58" s="2"/>
      <c r="B58" s="2"/>
      <c r="C58" s="2"/>
      <c r="D58" s="2"/>
      <c r="E58" s="5"/>
      <c r="F58" s="2"/>
      <c r="G58" s="5"/>
      <c r="H58" s="2"/>
      <c r="I58" s="2"/>
      <c r="J58" s="2"/>
      <c r="K58" s="2"/>
      <c r="L58" s="2"/>
      <c r="M58" s="2"/>
      <c r="N58" s="2"/>
      <c r="O58" s="2"/>
      <c r="P58" s="2"/>
      <c r="Q58" s="2"/>
      <c r="R58" s="2"/>
      <c r="S58" s="2"/>
      <c r="T58" s="2"/>
      <c r="U58" s="2"/>
      <c r="V58" s="2"/>
      <c r="W58" s="2"/>
      <c r="X58" s="2"/>
      <c r="Y58" s="2"/>
      <c r="Z58" s="2" t="str">
        <f t="shared" si="4"/>
        <v/>
      </c>
      <c r="AA58" s="2" t="str">
        <f t="shared" si="5"/>
        <v/>
      </c>
      <c r="AB58" s="2" t="str">
        <f t="shared" si="6"/>
        <v/>
      </c>
      <c r="AC58" s="2" t="str">
        <f t="shared" si="7"/>
        <v>Walks with direction</v>
      </c>
      <c r="AD58" s="2"/>
      <c r="AE58" s="5"/>
      <c r="AF58" s="2"/>
      <c r="AG58" s="2"/>
      <c r="AH58" s="2"/>
      <c r="AI58" s="2"/>
    </row>
    <row r="59" spans="1:35">
      <c r="A59" s="2"/>
      <c r="B59" s="2"/>
      <c r="C59" s="2"/>
      <c r="D59" s="2"/>
      <c r="E59" s="5"/>
      <c r="F59" s="2"/>
      <c r="G59" s="5"/>
      <c r="H59" s="2"/>
      <c r="I59" s="2"/>
      <c r="J59" s="2"/>
      <c r="K59" s="2"/>
      <c r="L59" s="2"/>
      <c r="M59" s="2"/>
      <c r="N59" s="2"/>
      <c r="O59" s="2"/>
      <c r="P59" s="2"/>
      <c r="Q59" s="2"/>
      <c r="R59" s="2"/>
      <c r="S59" s="2"/>
      <c r="T59" s="2"/>
      <c r="U59" s="2"/>
      <c r="V59" s="2"/>
      <c r="W59" s="2"/>
      <c r="X59" s="2"/>
      <c r="Y59" s="2"/>
      <c r="Z59" s="2" t="str">
        <f t="shared" si="4"/>
        <v/>
      </c>
      <c r="AA59" s="2" t="str">
        <f t="shared" si="5"/>
        <v/>
      </c>
      <c r="AB59" s="2" t="str">
        <f t="shared" si="6"/>
        <v/>
      </c>
      <c r="AC59" s="2" t="str">
        <f t="shared" si="7"/>
        <v>Walks with direction</v>
      </c>
      <c r="AD59" s="2"/>
      <c r="AE59" s="5"/>
      <c r="AF59" s="2"/>
      <c r="AG59" s="2"/>
      <c r="AH59" s="2"/>
      <c r="AI59" s="2"/>
    </row>
    <row r="60" spans="1:35">
      <c r="A60" s="2"/>
      <c r="B60" s="2"/>
      <c r="C60" s="2"/>
      <c r="D60" s="2"/>
      <c r="E60" s="5"/>
      <c r="F60" s="2"/>
      <c r="G60" s="5"/>
      <c r="H60" s="2"/>
      <c r="I60" s="2"/>
      <c r="J60" s="2"/>
      <c r="K60" s="2"/>
      <c r="L60" s="2"/>
      <c r="M60" s="2"/>
      <c r="N60" s="2"/>
      <c r="O60" s="2"/>
      <c r="P60" s="2"/>
      <c r="Q60" s="2"/>
      <c r="R60" s="2"/>
      <c r="S60" s="2"/>
      <c r="T60" s="2"/>
      <c r="U60" s="2"/>
      <c r="V60" s="2"/>
      <c r="W60" s="2"/>
      <c r="X60" s="2"/>
      <c r="Y60" s="2"/>
      <c r="Z60" s="2" t="str">
        <f t="shared" si="4"/>
        <v/>
      </c>
      <c r="AA60" s="2" t="str">
        <f t="shared" si="5"/>
        <v/>
      </c>
      <c r="AB60" s="2" t="str">
        <f t="shared" si="6"/>
        <v/>
      </c>
      <c r="AC60" s="2" t="str">
        <f t="shared" si="7"/>
        <v>Walks with direction</v>
      </c>
      <c r="AD60" s="2"/>
      <c r="AE60" s="5"/>
      <c r="AF60" s="2"/>
      <c r="AG60" s="2"/>
      <c r="AH60" s="2"/>
      <c r="AI60" s="2"/>
    </row>
    <row r="61" spans="1:35">
      <c r="A61" s="2"/>
      <c r="B61" s="2"/>
      <c r="C61" s="2"/>
      <c r="D61" s="2"/>
      <c r="E61" s="5"/>
      <c r="F61" s="2"/>
      <c r="G61" s="5"/>
      <c r="H61" s="2"/>
      <c r="I61" s="2"/>
      <c r="J61" s="2"/>
      <c r="K61" s="2"/>
      <c r="L61" s="2"/>
      <c r="M61" s="2"/>
      <c r="N61" s="2"/>
      <c r="O61" s="2"/>
      <c r="P61" s="2"/>
      <c r="Q61" s="2"/>
      <c r="R61" s="2"/>
      <c r="S61" s="2"/>
      <c r="T61" s="2"/>
      <c r="U61" s="2"/>
      <c r="V61" s="2"/>
      <c r="W61" s="2"/>
      <c r="X61" s="2"/>
      <c r="Y61" s="2"/>
      <c r="Z61" s="2" t="str">
        <f t="shared" si="4"/>
        <v/>
      </c>
      <c r="AA61" s="2" t="str">
        <f t="shared" si="5"/>
        <v/>
      </c>
      <c r="AB61" s="2" t="str">
        <f t="shared" si="6"/>
        <v/>
      </c>
      <c r="AC61" s="2" t="str">
        <f t="shared" si="7"/>
        <v>Walks with direction</v>
      </c>
      <c r="AD61" s="2"/>
      <c r="AE61" s="5"/>
      <c r="AF61" s="2"/>
      <c r="AG61" s="2"/>
      <c r="AH61" s="2"/>
      <c r="AI61" s="2"/>
    </row>
    <row r="62" spans="1:35">
      <c r="A62" s="2"/>
      <c r="B62" s="2"/>
      <c r="C62" s="2"/>
      <c r="D62" s="2"/>
      <c r="E62" s="5"/>
      <c r="F62" s="2"/>
      <c r="G62" s="5"/>
      <c r="H62" s="2"/>
      <c r="I62" s="2"/>
      <c r="J62" s="2"/>
      <c r="K62" s="2"/>
      <c r="L62" s="2"/>
      <c r="M62" s="2"/>
      <c r="N62" s="2"/>
      <c r="O62" s="2"/>
      <c r="P62" s="2"/>
      <c r="Q62" s="2"/>
      <c r="R62" s="2"/>
      <c r="S62" s="2"/>
      <c r="T62" s="2"/>
      <c r="U62" s="2"/>
      <c r="V62" s="2"/>
      <c r="W62" s="2"/>
      <c r="X62" s="2"/>
      <c r="Y62" s="2"/>
      <c r="Z62" s="2" t="str">
        <f t="shared" si="4"/>
        <v/>
      </c>
      <c r="AA62" s="2" t="str">
        <f t="shared" si="5"/>
        <v/>
      </c>
      <c r="AB62" s="2" t="str">
        <f t="shared" si="6"/>
        <v/>
      </c>
      <c r="AC62" s="2" t="str">
        <f t="shared" si="7"/>
        <v>Walks with direction</v>
      </c>
      <c r="AD62" s="2"/>
      <c r="AE62" s="5"/>
      <c r="AF62" s="2"/>
      <c r="AG62" s="2"/>
      <c r="AH62" s="2"/>
      <c r="AI62" s="2"/>
    </row>
    <row r="63" spans="1:35">
      <c r="A63" s="2"/>
      <c r="B63" s="2"/>
      <c r="C63" s="2"/>
      <c r="D63" s="2"/>
      <c r="E63" s="5"/>
      <c r="F63" s="2"/>
      <c r="G63" s="5"/>
      <c r="H63" s="2"/>
      <c r="I63" s="2"/>
      <c r="J63" s="2"/>
      <c r="K63" s="2"/>
      <c r="L63" s="2"/>
      <c r="M63" s="2"/>
      <c r="N63" s="2"/>
      <c r="O63" s="2"/>
      <c r="P63" s="2"/>
      <c r="Q63" s="2"/>
      <c r="R63" s="2"/>
      <c r="S63" s="2"/>
      <c r="T63" s="2"/>
      <c r="U63" s="2"/>
      <c r="V63" s="2"/>
      <c r="W63" s="2"/>
      <c r="X63" s="2"/>
      <c r="Y63" s="2"/>
      <c r="Z63" s="2" t="str">
        <f t="shared" si="4"/>
        <v/>
      </c>
      <c r="AA63" s="2" t="str">
        <f t="shared" si="5"/>
        <v/>
      </c>
      <c r="AB63" s="2" t="str">
        <f t="shared" si="6"/>
        <v/>
      </c>
      <c r="AC63" s="2" t="str">
        <f t="shared" si="7"/>
        <v>Walks with direction</v>
      </c>
      <c r="AD63" s="2"/>
      <c r="AE63" s="5"/>
      <c r="AF63" s="2"/>
      <c r="AG63" s="2"/>
      <c r="AH63" s="2"/>
      <c r="AI63" s="2"/>
    </row>
    <row r="64" spans="1:35">
      <c r="A64" s="2"/>
      <c r="B64" s="2"/>
      <c r="C64" s="2"/>
      <c r="D64" s="2"/>
      <c r="E64" s="5"/>
      <c r="F64" s="2"/>
      <c r="G64" s="5"/>
      <c r="H64" s="2"/>
      <c r="I64" s="2"/>
      <c r="J64" s="2"/>
      <c r="K64" s="2"/>
      <c r="L64" s="2"/>
      <c r="M64" s="2"/>
      <c r="N64" s="2"/>
      <c r="O64" s="2"/>
      <c r="P64" s="2"/>
      <c r="Q64" s="2"/>
      <c r="R64" s="2"/>
      <c r="S64" s="2"/>
      <c r="T64" s="2"/>
      <c r="U64" s="2"/>
      <c r="V64" s="2"/>
      <c r="W64" s="2"/>
      <c r="X64" s="2"/>
      <c r="Y64" s="2"/>
      <c r="Z64" s="2" t="str">
        <f t="shared" si="4"/>
        <v/>
      </c>
      <c r="AA64" s="2" t="str">
        <f t="shared" si="5"/>
        <v/>
      </c>
      <c r="AB64" s="2" t="str">
        <f t="shared" si="6"/>
        <v/>
      </c>
      <c r="AC64" s="2" t="str">
        <f t="shared" si="7"/>
        <v>Walks with direction</v>
      </c>
      <c r="AD64" s="2"/>
      <c r="AE64" s="5"/>
      <c r="AF64" s="2"/>
      <c r="AG64" s="2"/>
      <c r="AH64" s="2"/>
      <c r="AI64" s="2"/>
    </row>
    <row r="65" spans="1:35">
      <c r="A65" s="2"/>
      <c r="B65" s="2"/>
      <c r="C65" s="2"/>
      <c r="D65" s="2"/>
      <c r="E65" s="5"/>
      <c r="F65" s="2"/>
      <c r="G65" s="5"/>
      <c r="H65" s="2"/>
      <c r="I65" s="2"/>
      <c r="J65" s="2"/>
      <c r="K65" s="2"/>
      <c r="L65" s="2"/>
      <c r="M65" s="2"/>
      <c r="N65" s="2"/>
      <c r="O65" s="2"/>
      <c r="P65" s="2"/>
      <c r="Q65" s="2"/>
      <c r="R65" s="2"/>
      <c r="S65" s="2"/>
      <c r="T65" s="2"/>
      <c r="U65" s="2"/>
      <c r="V65" s="2"/>
      <c r="W65" s="2"/>
      <c r="X65" s="2"/>
      <c r="Y65" s="2"/>
      <c r="Z65" s="2" t="str">
        <f t="shared" si="4"/>
        <v/>
      </c>
      <c r="AA65" s="2" t="str">
        <f t="shared" si="5"/>
        <v/>
      </c>
      <c r="AB65" s="2" t="str">
        <f t="shared" si="6"/>
        <v/>
      </c>
      <c r="AC65" s="2" t="str">
        <f t="shared" si="7"/>
        <v>Walks with direction</v>
      </c>
      <c r="AD65" s="2"/>
      <c r="AE65" s="5"/>
      <c r="AF65" s="2"/>
      <c r="AG65" s="2"/>
      <c r="AH65" s="2"/>
      <c r="AI65" s="2"/>
    </row>
    <row r="66" spans="1:35">
      <c r="A66" s="2"/>
      <c r="B66" s="2"/>
      <c r="C66" s="2"/>
      <c r="D66" s="2"/>
      <c r="E66" s="5"/>
      <c r="F66" s="2"/>
      <c r="G66" s="5"/>
      <c r="H66" s="2"/>
      <c r="I66" s="2"/>
      <c r="J66" s="2"/>
      <c r="K66" s="2"/>
      <c r="L66" s="2"/>
      <c r="M66" s="2"/>
      <c r="N66" s="2"/>
      <c r="O66" s="2"/>
      <c r="P66" s="2"/>
      <c r="Q66" s="2"/>
      <c r="R66" s="2"/>
      <c r="S66" s="2"/>
      <c r="T66" s="2"/>
      <c r="U66" s="2"/>
      <c r="V66" s="2"/>
      <c r="W66" s="2"/>
      <c r="X66" s="2"/>
      <c r="Y66" s="2"/>
      <c r="Z66" s="2" t="str">
        <f t="shared" si="4"/>
        <v/>
      </c>
      <c r="AA66" s="2" t="str">
        <f t="shared" si="5"/>
        <v/>
      </c>
      <c r="AB66" s="2" t="str">
        <f t="shared" si="6"/>
        <v/>
      </c>
      <c r="AC66" s="2" t="str">
        <f t="shared" si="7"/>
        <v>Walks with direction</v>
      </c>
      <c r="AD66" s="2"/>
      <c r="AE66" s="5"/>
      <c r="AF66" s="2"/>
      <c r="AG66" s="2"/>
      <c r="AH66" s="2"/>
      <c r="AI66" s="2"/>
    </row>
    <row r="67" spans="1:35">
      <c r="A67" s="2"/>
      <c r="B67" s="2"/>
      <c r="C67" s="2"/>
      <c r="D67" s="2"/>
      <c r="E67" s="5"/>
      <c r="F67" s="2"/>
      <c r="G67" s="5"/>
      <c r="H67" s="2"/>
      <c r="I67" s="2"/>
      <c r="J67" s="2"/>
      <c r="K67" s="2"/>
      <c r="L67" s="2"/>
      <c r="M67" s="2"/>
      <c r="N67" s="2"/>
      <c r="O67" s="2"/>
      <c r="P67" s="2"/>
      <c r="Q67" s="2"/>
      <c r="R67" s="2"/>
      <c r="S67" s="2"/>
      <c r="T67" s="2"/>
      <c r="U67" s="2"/>
      <c r="V67" s="2"/>
      <c r="W67" s="2"/>
      <c r="X67" s="2"/>
      <c r="Y67" s="2"/>
      <c r="Z67" s="2" t="str">
        <f t="shared" si="4"/>
        <v/>
      </c>
      <c r="AA67" s="2" t="str">
        <f t="shared" si="5"/>
        <v/>
      </c>
      <c r="AB67" s="2" t="str">
        <f t="shared" si="6"/>
        <v/>
      </c>
      <c r="AC67" s="2" t="str">
        <f t="shared" si="7"/>
        <v>Walks with direction</v>
      </c>
      <c r="AD67" s="2"/>
      <c r="AE67" s="5"/>
      <c r="AF67" s="2"/>
      <c r="AG67" s="2"/>
      <c r="AH67" s="2"/>
      <c r="AI67" s="2"/>
    </row>
    <row r="68" spans="1:35">
      <c r="A68" s="2"/>
      <c r="B68" s="2"/>
      <c r="C68" s="2"/>
      <c r="D68" s="2"/>
      <c r="E68" s="5"/>
      <c r="F68" s="2"/>
      <c r="G68" s="5"/>
      <c r="H68" s="2"/>
      <c r="I68" s="2"/>
      <c r="J68" s="2"/>
      <c r="K68" s="2"/>
      <c r="L68" s="2"/>
      <c r="M68" s="2"/>
      <c r="N68" s="2"/>
      <c r="O68" s="2"/>
      <c r="P68" s="2"/>
      <c r="Q68" s="2"/>
      <c r="R68" s="2"/>
      <c r="S68" s="2"/>
      <c r="T68" s="2"/>
      <c r="U68" s="2"/>
      <c r="V68" s="2"/>
      <c r="W68" s="2"/>
      <c r="X68" s="2"/>
      <c r="Y68" s="2"/>
      <c r="Z68" s="2" t="str">
        <f t="shared" si="4"/>
        <v/>
      </c>
      <c r="AA68" s="2" t="str">
        <f t="shared" si="5"/>
        <v/>
      </c>
      <c r="AB68" s="2" t="str">
        <f t="shared" si="6"/>
        <v/>
      </c>
      <c r="AC68" s="2" t="str">
        <f t="shared" si="7"/>
        <v>Walks with direction</v>
      </c>
      <c r="AD68" s="2"/>
      <c r="AE68" s="5"/>
      <c r="AF68" s="2"/>
      <c r="AG68" s="2"/>
      <c r="AH68" s="2"/>
      <c r="AI68" s="2"/>
    </row>
    <row r="69" spans="1:35">
      <c r="A69" s="2"/>
      <c r="B69" s="2"/>
      <c r="C69" s="2"/>
      <c r="D69" s="2"/>
      <c r="E69" s="5"/>
      <c r="F69" s="2"/>
      <c r="G69" s="5"/>
      <c r="H69" s="2"/>
      <c r="I69" s="2"/>
      <c r="J69" s="2"/>
      <c r="K69" s="2"/>
      <c r="L69" s="2"/>
      <c r="M69" s="2"/>
      <c r="N69" s="2"/>
      <c r="O69" s="2"/>
      <c r="P69" s="2"/>
      <c r="Q69" s="2"/>
      <c r="R69" s="2"/>
      <c r="S69" s="2"/>
      <c r="T69" s="2"/>
      <c r="U69" s="2"/>
      <c r="V69" s="2"/>
      <c r="W69" s="2"/>
      <c r="X69" s="2"/>
      <c r="Y69" s="2"/>
      <c r="Z69" s="2" t="str">
        <f t="shared" si="4"/>
        <v/>
      </c>
      <c r="AA69" s="2" t="str">
        <f t="shared" si="5"/>
        <v/>
      </c>
      <c r="AB69" s="2" t="str">
        <f t="shared" si="6"/>
        <v/>
      </c>
      <c r="AC69" s="2" t="str">
        <f t="shared" si="7"/>
        <v>Walks with direction</v>
      </c>
      <c r="AD69" s="2"/>
      <c r="AE69" s="5"/>
      <c r="AF69" s="2"/>
      <c r="AG69" s="2"/>
      <c r="AH69" s="2"/>
      <c r="AI69" s="2"/>
    </row>
    <row r="70" spans="1:35">
      <c r="A70" s="2"/>
      <c r="B70" s="2"/>
      <c r="C70" s="2"/>
      <c r="D70" s="2"/>
      <c r="E70" s="5"/>
      <c r="F70" s="2"/>
      <c r="G70" s="5"/>
      <c r="H70" s="2"/>
      <c r="I70" s="2"/>
      <c r="J70" s="2"/>
      <c r="K70" s="2"/>
      <c r="L70" s="2"/>
      <c r="M70" s="2"/>
      <c r="N70" s="2"/>
      <c r="O70" s="2"/>
      <c r="P70" s="2"/>
      <c r="Q70" s="2"/>
      <c r="R70" s="2"/>
      <c r="S70" s="2"/>
      <c r="T70" s="2"/>
      <c r="U70" s="2"/>
      <c r="V70" s="2"/>
      <c r="W70" s="2"/>
      <c r="X70" s="2"/>
      <c r="Y70" s="2"/>
      <c r="Z70" s="2" t="str">
        <f t="shared" si="4"/>
        <v/>
      </c>
      <c r="AA70" s="2" t="str">
        <f t="shared" si="5"/>
        <v/>
      </c>
      <c r="AB70" s="2" t="str">
        <f t="shared" si="6"/>
        <v/>
      </c>
      <c r="AC70" s="2" t="str">
        <f t="shared" si="7"/>
        <v>Walks with direction</v>
      </c>
      <c r="AD70" s="2"/>
      <c r="AE70" s="5"/>
      <c r="AF70" s="2"/>
      <c r="AG70" s="2"/>
      <c r="AH70" s="2"/>
      <c r="AI70" s="2"/>
    </row>
    <row r="71" spans="1:35">
      <c r="A71" s="2"/>
      <c r="B71" s="2"/>
      <c r="C71" s="2"/>
      <c r="D71" s="2"/>
      <c r="E71" s="5"/>
      <c r="F71" s="2"/>
      <c r="G71" s="5"/>
      <c r="H71" s="2"/>
      <c r="I71" s="2"/>
      <c r="J71" s="2"/>
      <c r="K71" s="2"/>
      <c r="L71" s="2"/>
      <c r="M71" s="2"/>
      <c r="N71" s="2"/>
      <c r="O71" s="2"/>
      <c r="P71" s="2"/>
      <c r="Q71" s="2"/>
      <c r="R71" s="2"/>
      <c r="S71" s="2"/>
      <c r="T71" s="2"/>
      <c r="U71" s="2"/>
      <c r="V71" s="2"/>
      <c r="W71" s="2"/>
      <c r="X71" s="2"/>
      <c r="Y71" s="2"/>
      <c r="Z71" s="2" t="str">
        <f t="shared" si="4"/>
        <v/>
      </c>
      <c r="AA71" s="2" t="str">
        <f t="shared" si="5"/>
        <v/>
      </c>
      <c r="AB71" s="2" t="str">
        <f t="shared" si="6"/>
        <v/>
      </c>
      <c r="AC71" s="2" t="str">
        <f t="shared" si="7"/>
        <v>Walks with direction</v>
      </c>
      <c r="AD71" s="2"/>
      <c r="AE71" s="5"/>
      <c r="AF71" s="2"/>
      <c r="AG71" s="2"/>
      <c r="AH71" s="2"/>
      <c r="AI71" s="2"/>
    </row>
    <row r="72" spans="1:35">
      <c r="A72" s="2"/>
      <c r="B72" s="2"/>
      <c r="C72" s="2"/>
      <c r="D72" s="2"/>
      <c r="E72" s="5"/>
      <c r="F72" s="2"/>
      <c r="G72" s="5"/>
      <c r="H72" s="2"/>
      <c r="I72" s="2"/>
      <c r="J72" s="2"/>
      <c r="K72" s="2"/>
      <c r="L72" s="2"/>
      <c r="M72" s="2"/>
      <c r="N72" s="2"/>
      <c r="O72" s="2"/>
      <c r="P72" s="2"/>
      <c r="Q72" s="2"/>
      <c r="R72" s="2"/>
      <c r="S72" s="2"/>
      <c r="T72" s="2"/>
      <c r="U72" s="2"/>
      <c r="V72" s="2"/>
      <c r="W72" s="2"/>
      <c r="X72" s="2"/>
      <c r="Y72" s="2"/>
      <c r="Z72" s="2" t="str">
        <f t="shared" si="4"/>
        <v/>
      </c>
      <c r="AA72" s="2" t="str">
        <f t="shared" si="5"/>
        <v/>
      </c>
      <c r="AB72" s="2" t="str">
        <f t="shared" si="6"/>
        <v/>
      </c>
      <c r="AC72" s="2" t="str">
        <f t="shared" si="7"/>
        <v>Walks with direction</v>
      </c>
      <c r="AD72" s="2"/>
      <c r="AE72" s="5"/>
      <c r="AF72" s="2"/>
      <c r="AG72" s="2"/>
      <c r="AH72" s="2"/>
      <c r="AI72" s="2"/>
    </row>
    <row r="73" spans="1:35">
      <c r="A73" s="2"/>
      <c r="B73" s="2"/>
      <c r="C73" s="2"/>
      <c r="D73" s="2"/>
      <c r="E73" s="5"/>
      <c r="F73" s="2"/>
      <c r="G73" s="5"/>
      <c r="H73" s="2"/>
      <c r="I73" s="2"/>
      <c r="J73" s="2"/>
      <c r="K73" s="2"/>
      <c r="L73" s="2"/>
      <c r="M73" s="2"/>
      <c r="N73" s="2"/>
      <c r="O73" s="2"/>
      <c r="P73" s="2"/>
      <c r="Q73" s="2"/>
      <c r="R73" s="2"/>
      <c r="S73" s="2"/>
      <c r="T73" s="2"/>
      <c r="U73" s="2"/>
      <c r="V73" s="2"/>
      <c r="W73" s="2"/>
      <c r="X73" s="2"/>
      <c r="Y73" s="2"/>
      <c r="Z73" s="2" t="str">
        <f t="shared" si="4"/>
        <v/>
      </c>
      <c r="AA73" s="2" t="str">
        <f t="shared" si="5"/>
        <v/>
      </c>
      <c r="AB73" s="2" t="str">
        <f t="shared" si="6"/>
        <v/>
      </c>
      <c r="AC73" s="2" t="str">
        <f t="shared" si="7"/>
        <v>Walks with direction</v>
      </c>
      <c r="AD73" s="2"/>
      <c r="AE73" s="5"/>
      <c r="AF73" s="2"/>
      <c r="AG73" s="2"/>
      <c r="AH73" s="2"/>
      <c r="AI73" s="2"/>
    </row>
    <row r="74" spans="1:35">
      <c r="A74" s="2"/>
      <c r="B74" s="2"/>
      <c r="C74" s="2"/>
      <c r="D74" s="2"/>
      <c r="E74" s="5"/>
      <c r="F74" s="2"/>
      <c r="G74" s="5"/>
      <c r="H74" s="2"/>
      <c r="I74" s="2"/>
      <c r="J74" s="2"/>
      <c r="K74" s="2"/>
      <c r="L74" s="2"/>
      <c r="M74" s="2"/>
      <c r="N74" s="2"/>
      <c r="O74" s="2"/>
      <c r="P74" s="2"/>
      <c r="Q74" s="2"/>
      <c r="R74" s="2"/>
      <c r="S74" s="2"/>
      <c r="T74" s="2"/>
      <c r="U74" s="2"/>
      <c r="V74" s="2"/>
      <c r="W74" s="2"/>
      <c r="X74" s="2"/>
      <c r="Y74" s="2"/>
      <c r="Z74" s="2" t="str">
        <f t="shared" si="4"/>
        <v/>
      </c>
      <c r="AA74" s="2" t="str">
        <f t="shared" si="5"/>
        <v/>
      </c>
      <c r="AB74" s="2" t="str">
        <f t="shared" si="6"/>
        <v/>
      </c>
      <c r="AC74" s="2" t="str">
        <f t="shared" si="7"/>
        <v>Walks with direction</v>
      </c>
      <c r="AD74" s="2"/>
      <c r="AE74" s="5"/>
      <c r="AF74" s="2"/>
      <c r="AG74" s="2"/>
      <c r="AH74" s="2"/>
      <c r="AI74" s="2"/>
    </row>
    <row r="75" spans="1:35">
      <c r="A75" s="2"/>
      <c r="B75" s="2"/>
      <c r="C75" s="2"/>
      <c r="D75" s="2"/>
      <c r="E75" s="5"/>
      <c r="F75" s="2"/>
      <c r="G75" s="5"/>
      <c r="H75" s="2"/>
      <c r="I75" s="2"/>
      <c r="J75" s="2"/>
      <c r="K75" s="2"/>
      <c r="L75" s="2"/>
      <c r="M75" s="2"/>
      <c r="N75" s="2"/>
      <c r="O75" s="2"/>
      <c r="P75" s="2"/>
      <c r="Q75" s="2"/>
      <c r="R75" s="2"/>
      <c r="S75" s="2"/>
      <c r="T75" s="2"/>
      <c r="U75" s="2"/>
      <c r="V75" s="2"/>
      <c r="W75" s="2"/>
      <c r="X75" s="2"/>
      <c r="Y75" s="2"/>
      <c r="Z75" s="2" t="str">
        <f t="shared" si="4"/>
        <v/>
      </c>
      <c r="AA75" s="2" t="str">
        <f t="shared" si="5"/>
        <v/>
      </c>
      <c r="AB75" s="2" t="str">
        <f t="shared" si="6"/>
        <v/>
      </c>
      <c r="AC75" s="2" t="str">
        <f t="shared" si="7"/>
        <v>Walks with direction</v>
      </c>
      <c r="AD75" s="2"/>
      <c r="AE75" s="5"/>
      <c r="AF75" s="2"/>
      <c r="AG75" s="2"/>
      <c r="AH75" s="2"/>
      <c r="AI75" s="2"/>
    </row>
    <row r="76" spans="1:35">
      <c r="A76" s="2"/>
      <c r="B76" s="2"/>
      <c r="C76" s="2"/>
      <c r="D76" s="2"/>
      <c r="E76" s="5"/>
      <c r="F76" s="2"/>
      <c r="G76" s="5"/>
      <c r="H76" s="2"/>
      <c r="I76" s="2"/>
      <c r="J76" s="2"/>
      <c r="K76" s="2"/>
      <c r="L76" s="2"/>
      <c r="M76" s="2"/>
      <c r="N76" s="2"/>
      <c r="O76" s="2"/>
      <c r="P76" s="2"/>
      <c r="Q76" s="2"/>
      <c r="R76" s="2"/>
      <c r="S76" s="2"/>
      <c r="T76" s="2"/>
      <c r="U76" s="2"/>
      <c r="V76" s="2"/>
      <c r="W76" s="2"/>
      <c r="X76" s="2"/>
      <c r="Y76" s="2"/>
      <c r="Z76" s="2" t="str">
        <f t="shared" si="4"/>
        <v/>
      </c>
      <c r="AA76" s="2" t="str">
        <f t="shared" si="5"/>
        <v/>
      </c>
      <c r="AB76" s="2" t="str">
        <f t="shared" si="6"/>
        <v/>
      </c>
      <c r="AC76" s="2" t="str">
        <f t="shared" si="7"/>
        <v>Walks with direction</v>
      </c>
      <c r="AD76" s="2"/>
      <c r="AE76" s="5"/>
      <c r="AF76" s="2"/>
      <c r="AG76" s="2"/>
      <c r="AH76" s="2"/>
      <c r="AI76" s="2"/>
    </row>
    <row r="77" spans="1:35">
      <c r="A77" s="2"/>
      <c r="B77" s="2"/>
      <c r="C77" s="2"/>
      <c r="D77" s="2"/>
      <c r="E77" s="5"/>
      <c r="F77" s="2"/>
      <c r="G77" s="5"/>
      <c r="H77" s="2"/>
      <c r="I77" s="2"/>
      <c r="J77" s="2"/>
      <c r="K77" s="2"/>
      <c r="L77" s="2"/>
      <c r="M77" s="2"/>
      <c r="N77" s="2"/>
      <c r="O77" s="2"/>
      <c r="P77" s="2"/>
      <c r="Q77" s="2"/>
      <c r="R77" s="2"/>
      <c r="S77" s="2"/>
      <c r="T77" s="2"/>
      <c r="U77" s="2"/>
      <c r="V77" s="2"/>
      <c r="W77" s="2"/>
      <c r="X77" s="2"/>
      <c r="Y77" s="2"/>
      <c r="Z77" s="2" t="str">
        <f t="shared" si="4"/>
        <v/>
      </c>
      <c r="AA77" s="2" t="str">
        <f t="shared" si="5"/>
        <v/>
      </c>
      <c r="AB77" s="2" t="str">
        <f t="shared" si="6"/>
        <v/>
      </c>
      <c r="AC77" s="2" t="str">
        <f t="shared" si="7"/>
        <v>Walks with direction</v>
      </c>
      <c r="AD77" s="2"/>
      <c r="AE77" s="5"/>
      <c r="AF77" s="2"/>
      <c r="AG77" s="2"/>
      <c r="AH77" s="2"/>
      <c r="AI77" s="2"/>
    </row>
    <row r="78" spans="1:35">
      <c r="A78" s="2"/>
      <c r="B78" s="2"/>
      <c r="C78" s="2"/>
      <c r="D78" s="2"/>
      <c r="E78" s="5"/>
      <c r="F78" s="2"/>
      <c r="G78" s="5"/>
      <c r="H78" s="2"/>
      <c r="I78" s="2"/>
      <c r="J78" s="2"/>
      <c r="K78" s="2"/>
      <c r="L78" s="2"/>
      <c r="M78" s="2"/>
      <c r="N78" s="2"/>
      <c r="O78" s="2"/>
      <c r="P78" s="2"/>
      <c r="Q78" s="2"/>
      <c r="R78" s="2"/>
      <c r="S78" s="2"/>
      <c r="T78" s="2"/>
      <c r="U78" s="2"/>
      <c r="V78" s="2"/>
      <c r="W78" s="2"/>
      <c r="X78" s="2"/>
      <c r="Y78" s="2"/>
      <c r="Z78" s="2" t="str">
        <f t="shared" si="4"/>
        <v/>
      </c>
      <c r="AA78" s="2" t="str">
        <f t="shared" si="5"/>
        <v/>
      </c>
      <c r="AB78" s="2" t="str">
        <f t="shared" si="6"/>
        <v/>
      </c>
      <c r="AC78" s="2" t="str">
        <f t="shared" si="7"/>
        <v>Walks with direction</v>
      </c>
      <c r="AD78" s="2"/>
      <c r="AE78" s="5"/>
      <c r="AF78" s="2"/>
      <c r="AG78" s="2"/>
      <c r="AH78" s="2"/>
      <c r="AI78" s="2"/>
    </row>
    <row r="79" spans="1:35">
      <c r="A79" s="2"/>
      <c r="B79" s="2"/>
      <c r="C79" s="2"/>
      <c r="D79" s="2"/>
      <c r="E79" s="5"/>
      <c r="F79" s="2"/>
      <c r="G79" s="5"/>
      <c r="H79" s="2"/>
      <c r="I79" s="2"/>
      <c r="J79" s="2"/>
      <c r="K79" s="2"/>
      <c r="L79" s="2"/>
      <c r="M79" s="2"/>
      <c r="N79" s="2"/>
      <c r="O79" s="2"/>
      <c r="P79" s="2"/>
      <c r="Q79" s="2"/>
      <c r="R79" s="2"/>
      <c r="S79" s="2"/>
      <c r="T79" s="2"/>
      <c r="U79" s="2"/>
      <c r="V79" s="2"/>
      <c r="W79" s="2"/>
      <c r="X79" s="2"/>
      <c r="Y79" s="2"/>
      <c r="Z79" s="2" t="str">
        <f t="shared" si="4"/>
        <v/>
      </c>
      <c r="AA79" s="2" t="str">
        <f t="shared" si="5"/>
        <v/>
      </c>
      <c r="AB79" s="2" t="str">
        <f t="shared" si="6"/>
        <v/>
      </c>
      <c r="AC79" s="2" t="str">
        <f t="shared" si="7"/>
        <v>Walks with direction</v>
      </c>
      <c r="AD79" s="2"/>
      <c r="AE79" s="5"/>
      <c r="AF79" s="2"/>
      <c r="AG79" s="2"/>
      <c r="AH79" s="2"/>
      <c r="AI79" s="2"/>
    </row>
    <row r="80" spans="1:35">
      <c r="A80" s="2"/>
      <c r="B80" s="2"/>
      <c r="C80" s="2"/>
      <c r="D80" s="2"/>
      <c r="E80" s="5"/>
      <c r="F80" s="2"/>
      <c r="G80" s="5"/>
      <c r="H80" s="2"/>
      <c r="I80" s="2"/>
      <c r="J80" s="2"/>
      <c r="K80" s="2"/>
      <c r="L80" s="2"/>
      <c r="M80" s="2"/>
      <c r="N80" s="2"/>
      <c r="O80" s="2"/>
      <c r="P80" s="2"/>
      <c r="Q80" s="2"/>
      <c r="R80" s="2"/>
      <c r="S80" s="2"/>
      <c r="T80" s="2"/>
      <c r="U80" s="2"/>
      <c r="V80" s="2"/>
      <c r="W80" s="2"/>
      <c r="X80" s="2"/>
      <c r="Y80" s="2"/>
      <c r="Z80" s="2" t="str">
        <f t="shared" si="4"/>
        <v/>
      </c>
      <c r="AA80" s="2" t="str">
        <f t="shared" si="5"/>
        <v/>
      </c>
      <c r="AB80" s="2" t="str">
        <f t="shared" si="6"/>
        <v/>
      </c>
      <c r="AC80" s="2" t="str">
        <f t="shared" si="7"/>
        <v>Walks with direction</v>
      </c>
      <c r="AD80" s="2"/>
      <c r="AE80" s="5"/>
      <c r="AF80" s="2"/>
      <c r="AG80" s="2"/>
      <c r="AH80" s="2"/>
      <c r="AI80" s="2"/>
    </row>
    <row r="81" spans="1:35">
      <c r="A81" s="2"/>
      <c r="B81" s="2"/>
      <c r="C81" s="2"/>
      <c r="D81" s="2"/>
      <c r="E81" s="5"/>
      <c r="F81" s="2"/>
      <c r="G81" s="5"/>
      <c r="H81" s="2"/>
      <c r="I81" s="2"/>
      <c r="J81" s="2"/>
      <c r="K81" s="2"/>
      <c r="L81" s="2"/>
      <c r="M81" s="2"/>
      <c r="N81" s="2"/>
      <c r="O81" s="2"/>
      <c r="P81" s="2"/>
      <c r="Q81" s="2"/>
      <c r="R81" s="2"/>
      <c r="S81" s="2"/>
      <c r="T81" s="2"/>
      <c r="U81" s="2"/>
      <c r="V81" s="2"/>
      <c r="W81" s="2"/>
      <c r="X81" s="2"/>
      <c r="Y81" s="2"/>
      <c r="Z81" s="2" t="str">
        <f t="shared" si="4"/>
        <v/>
      </c>
      <c r="AA81" s="2" t="str">
        <f t="shared" si="5"/>
        <v/>
      </c>
      <c r="AB81" s="2" t="str">
        <f t="shared" si="6"/>
        <v/>
      </c>
      <c r="AC81" s="2" t="str">
        <f t="shared" si="7"/>
        <v>Walks with direction</v>
      </c>
      <c r="AD81" s="2"/>
      <c r="AE81" s="5"/>
      <c r="AF81" s="2"/>
      <c r="AG81" s="2"/>
      <c r="AH81" s="2"/>
      <c r="AI81" s="2"/>
    </row>
    <row r="82" spans="1:35">
      <c r="A82" s="2"/>
      <c r="B82" s="2"/>
      <c r="C82" s="2"/>
      <c r="D82" s="2"/>
      <c r="E82" s="5"/>
      <c r="F82" s="2"/>
      <c r="G82" s="5"/>
      <c r="H82" s="2"/>
      <c r="I82" s="2"/>
      <c r="J82" s="2"/>
      <c r="K82" s="2"/>
      <c r="L82" s="2"/>
      <c r="M82" s="2"/>
      <c r="N82" s="2"/>
      <c r="O82" s="2"/>
      <c r="P82" s="2"/>
      <c r="Q82" s="2"/>
      <c r="R82" s="2"/>
      <c r="S82" s="2"/>
      <c r="T82" s="2"/>
      <c r="U82" s="2"/>
      <c r="V82" s="2"/>
      <c r="W82" s="2"/>
      <c r="X82" s="2"/>
      <c r="Y82" s="2"/>
      <c r="Z82" s="2" t="str">
        <f t="shared" ref="Z82:Z113" si="8">IF(COUNTA(H82:Y82)=0,"",IF(COUNTIF(H82:Y82,"Very High")&gt;0,"Very High",IF(COUNTIF(H82:Y82,"High")&gt;0,"High",IF(COUNTIF(H82:Y82,"Medium")&gt;0,"Medium","Low"))))</f>
        <v/>
      </c>
      <c r="AA82" s="2" t="str">
        <f t="shared" ref="AA82:AA113" si="9">IF(Z82="","",IF(Z82="Low","Routine planned support",IF(Z82="Medium","One staff support/supervision likely",IF(Z82="High","Two staff/review staffing and equipment","Manager review: multiple staff/specialist support"))))</f>
        <v/>
      </c>
      <c r="AB82" s="2" t="str">
        <f t="shared" ref="AB82:AB117" si="10">IF(Z82="","",IF(OR(Z82="High",Z82="Very High",W82="High",W82="Very High"),"Night staffing and evacuation review required","Routine night checks as per care plan"))</f>
        <v/>
      </c>
      <c r="AC82" s="2" t="str">
        <f t="shared" ref="AC82:AC117" si="11">IF(X82="Very High","Specialist PEEP / equipment",IF(OR(X82="High",Z82="High"),"Evacuation sheet/chair or wheelchair per PEEP",IF(OR(X82="Medium",Z82="Medium"),"Walking aid/wheelchair support per PEEP","Walks with direction")))</f>
        <v>Walks with direction</v>
      </c>
      <c r="AD82" s="2"/>
      <c r="AE82" s="5"/>
      <c r="AF82" s="2"/>
      <c r="AG82" s="2"/>
      <c r="AH82" s="2"/>
      <c r="AI82" s="2"/>
    </row>
    <row r="83" spans="1:35">
      <c r="A83" s="2"/>
      <c r="B83" s="2"/>
      <c r="C83" s="2"/>
      <c r="D83" s="2"/>
      <c r="E83" s="5"/>
      <c r="F83" s="2"/>
      <c r="G83" s="5"/>
      <c r="H83" s="2"/>
      <c r="I83" s="2"/>
      <c r="J83" s="2"/>
      <c r="K83" s="2"/>
      <c r="L83" s="2"/>
      <c r="M83" s="2"/>
      <c r="N83" s="2"/>
      <c r="O83" s="2"/>
      <c r="P83" s="2"/>
      <c r="Q83" s="2"/>
      <c r="R83" s="2"/>
      <c r="S83" s="2"/>
      <c r="T83" s="2"/>
      <c r="U83" s="2"/>
      <c r="V83" s="2"/>
      <c r="W83" s="2"/>
      <c r="X83" s="2"/>
      <c r="Y83" s="2"/>
      <c r="Z83" s="2" t="str">
        <f t="shared" si="8"/>
        <v/>
      </c>
      <c r="AA83" s="2" t="str">
        <f t="shared" si="9"/>
        <v/>
      </c>
      <c r="AB83" s="2" t="str">
        <f t="shared" si="10"/>
        <v/>
      </c>
      <c r="AC83" s="2" t="str">
        <f t="shared" si="11"/>
        <v>Walks with direction</v>
      </c>
      <c r="AD83" s="2"/>
      <c r="AE83" s="5"/>
      <c r="AF83" s="2"/>
      <c r="AG83" s="2"/>
      <c r="AH83" s="2"/>
      <c r="AI83" s="2"/>
    </row>
    <row r="84" spans="1:35">
      <c r="A84" s="2"/>
      <c r="B84" s="2"/>
      <c r="C84" s="2"/>
      <c r="D84" s="2"/>
      <c r="E84" s="5"/>
      <c r="F84" s="2"/>
      <c r="G84" s="5"/>
      <c r="H84" s="2"/>
      <c r="I84" s="2"/>
      <c r="J84" s="2"/>
      <c r="K84" s="2"/>
      <c r="L84" s="2"/>
      <c r="M84" s="2"/>
      <c r="N84" s="2"/>
      <c r="O84" s="2"/>
      <c r="P84" s="2"/>
      <c r="Q84" s="2"/>
      <c r="R84" s="2"/>
      <c r="S84" s="2"/>
      <c r="T84" s="2"/>
      <c r="U84" s="2"/>
      <c r="V84" s="2"/>
      <c r="W84" s="2"/>
      <c r="X84" s="2"/>
      <c r="Y84" s="2"/>
      <c r="Z84" s="2" t="str">
        <f t="shared" si="8"/>
        <v/>
      </c>
      <c r="AA84" s="2" t="str">
        <f t="shared" si="9"/>
        <v/>
      </c>
      <c r="AB84" s="2" t="str">
        <f t="shared" si="10"/>
        <v/>
      </c>
      <c r="AC84" s="2" t="str">
        <f t="shared" si="11"/>
        <v>Walks with direction</v>
      </c>
      <c r="AD84" s="2"/>
      <c r="AE84" s="5"/>
      <c r="AF84" s="2"/>
      <c r="AG84" s="2"/>
      <c r="AH84" s="2"/>
      <c r="AI84" s="2"/>
    </row>
    <row r="85" spans="1:35">
      <c r="A85" s="2"/>
      <c r="B85" s="2"/>
      <c r="C85" s="2"/>
      <c r="D85" s="2"/>
      <c r="E85" s="5"/>
      <c r="F85" s="2"/>
      <c r="G85" s="5"/>
      <c r="H85" s="2"/>
      <c r="I85" s="2"/>
      <c r="J85" s="2"/>
      <c r="K85" s="2"/>
      <c r="L85" s="2"/>
      <c r="M85" s="2"/>
      <c r="N85" s="2"/>
      <c r="O85" s="2"/>
      <c r="P85" s="2"/>
      <c r="Q85" s="2"/>
      <c r="R85" s="2"/>
      <c r="S85" s="2"/>
      <c r="T85" s="2"/>
      <c r="U85" s="2"/>
      <c r="V85" s="2"/>
      <c r="W85" s="2"/>
      <c r="X85" s="2"/>
      <c r="Y85" s="2"/>
      <c r="Z85" s="2" t="str">
        <f t="shared" si="8"/>
        <v/>
      </c>
      <c r="AA85" s="2" t="str">
        <f t="shared" si="9"/>
        <v/>
      </c>
      <c r="AB85" s="2" t="str">
        <f t="shared" si="10"/>
        <v/>
      </c>
      <c r="AC85" s="2" t="str">
        <f t="shared" si="11"/>
        <v>Walks with direction</v>
      </c>
      <c r="AD85" s="2"/>
      <c r="AE85" s="5"/>
      <c r="AF85" s="2"/>
      <c r="AG85" s="2"/>
      <c r="AH85" s="2"/>
      <c r="AI85" s="2"/>
    </row>
    <row r="86" spans="1:35">
      <c r="A86" s="2"/>
      <c r="B86" s="2"/>
      <c r="C86" s="2"/>
      <c r="D86" s="2"/>
      <c r="E86" s="5"/>
      <c r="F86" s="2"/>
      <c r="G86" s="5"/>
      <c r="H86" s="2"/>
      <c r="I86" s="2"/>
      <c r="J86" s="2"/>
      <c r="K86" s="2"/>
      <c r="L86" s="2"/>
      <c r="M86" s="2"/>
      <c r="N86" s="2"/>
      <c r="O86" s="2"/>
      <c r="P86" s="2"/>
      <c r="Q86" s="2"/>
      <c r="R86" s="2"/>
      <c r="S86" s="2"/>
      <c r="T86" s="2"/>
      <c r="U86" s="2"/>
      <c r="V86" s="2"/>
      <c r="W86" s="2"/>
      <c r="X86" s="2"/>
      <c r="Y86" s="2"/>
      <c r="Z86" s="2" t="str">
        <f t="shared" si="8"/>
        <v/>
      </c>
      <c r="AA86" s="2" t="str">
        <f t="shared" si="9"/>
        <v/>
      </c>
      <c r="AB86" s="2" t="str">
        <f t="shared" si="10"/>
        <v/>
      </c>
      <c r="AC86" s="2" t="str">
        <f t="shared" si="11"/>
        <v>Walks with direction</v>
      </c>
      <c r="AD86" s="2"/>
      <c r="AE86" s="5"/>
      <c r="AF86" s="2"/>
      <c r="AG86" s="2"/>
      <c r="AH86" s="2"/>
      <c r="AI86" s="2"/>
    </row>
    <row r="87" spans="1:35">
      <c r="A87" s="2"/>
      <c r="B87" s="2"/>
      <c r="C87" s="2"/>
      <c r="D87" s="2"/>
      <c r="E87" s="5"/>
      <c r="F87" s="2"/>
      <c r="G87" s="5"/>
      <c r="H87" s="2"/>
      <c r="I87" s="2"/>
      <c r="J87" s="2"/>
      <c r="K87" s="2"/>
      <c r="L87" s="2"/>
      <c r="M87" s="2"/>
      <c r="N87" s="2"/>
      <c r="O87" s="2"/>
      <c r="P87" s="2"/>
      <c r="Q87" s="2"/>
      <c r="R87" s="2"/>
      <c r="S87" s="2"/>
      <c r="T87" s="2"/>
      <c r="U87" s="2"/>
      <c r="V87" s="2"/>
      <c r="W87" s="2"/>
      <c r="X87" s="2"/>
      <c r="Y87" s="2"/>
      <c r="Z87" s="2" t="str">
        <f t="shared" si="8"/>
        <v/>
      </c>
      <c r="AA87" s="2" t="str">
        <f t="shared" si="9"/>
        <v/>
      </c>
      <c r="AB87" s="2" t="str">
        <f t="shared" si="10"/>
        <v/>
      </c>
      <c r="AC87" s="2" t="str">
        <f t="shared" si="11"/>
        <v>Walks with direction</v>
      </c>
      <c r="AD87" s="2"/>
      <c r="AE87" s="5"/>
      <c r="AF87" s="2"/>
      <c r="AG87" s="2"/>
      <c r="AH87" s="2"/>
      <c r="AI87" s="2"/>
    </row>
    <row r="88" spans="1:35">
      <c r="A88" s="2"/>
      <c r="B88" s="2"/>
      <c r="C88" s="2"/>
      <c r="D88" s="2"/>
      <c r="E88" s="5"/>
      <c r="F88" s="2"/>
      <c r="G88" s="5"/>
      <c r="H88" s="2"/>
      <c r="I88" s="2"/>
      <c r="J88" s="2"/>
      <c r="K88" s="2"/>
      <c r="L88" s="2"/>
      <c r="M88" s="2"/>
      <c r="N88" s="2"/>
      <c r="O88" s="2"/>
      <c r="P88" s="2"/>
      <c r="Q88" s="2"/>
      <c r="R88" s="2"/>
      <c r="S88" s="2"/>
      <c r="T88" s="2"/>
      <c r="U88" s="2"/>
      <c r="V88" s="2"/>
      <c r="W88" s="2"/>
      <c r="X88" s="2"/>
      <c r="Y88" s="2"/>
      <c r="Z88" s="2" t="str">
        <f t="shared" si="8"/>
        <v/>
      </c>
      <c r="AA88" s="2" t="str">
        <f t="shared" si="9"/>
        <v/>
      </c>
      <c r="AB88" s="2" t="str">
        <f t="shared" si="10"/>
        <v/>
      </c>
      <c r="AC88" s="2" t="str">
        <f t="shared" si="11"/>
        <v>Walks with direction</v>
      </c>
      <c r="AD88" s="2"/>
      <c r="AE88" s="5"/>
      <c r="AF88" s="2"/>
      <c r="AG88" s="2"/>
      <c r="AH88" s="2"/>
      <c r="AI88" s="2"/>
    </row>
    <row r="89" spans="1:35">
      <c r="A89" s="2"/>
      <c r="B89" s="2"/>
      <c r="C89" s="2"/>
      <c r="D89" s="2"/>
      <c r="E89" s="5"/>
      <c r="F89" s="2"/>
      <c r="G89" s="5"/>
      <c r="H89" s="2"/>
      <c r="I89" s="2"/>
      <c r="J89" s="2"/>
      <c r="K89" s="2"/>
      <c r="L89" s="2"/>
      <c r="M89" s="2"/>
      <c r="N89" s="2"/>
      <c r="O89" s="2"/>
      <c r="P89" s="2"/>
      <c r="Q89" s="2"/>
      <c r="R89" s="2"/>
      <c r="S89" s="2"/>
      <c r="T89" s="2"/>
      <c r="U89" s="2"/>
      <c r="V89" s="2"/>
      <c r="W89" s="2"/>
      <c r="X89" s="2"/>
      <c r="Y89" s="2"/>
      <c r="Z89" s="2" t="str">
        <f t="shared" si="8"/>
        <v/>
      </c>
      <c r="AA89" s="2" t="str">
        <f t="shared" si="9"/>
        <v/>
      </c>
      <c r="AB89" s="2" t="str">
        <f t="shared" si="10"/>
        <v/>
      </c>
      <c r="AC89" s="2" t="str">
        <f t="shared" si="11"/>
        <v>Walks with direction</v>
      </c>
      <c r="AD89" s="2"/>
      <c r="AE89" s="5"/>
      <c r="AF89" s="2"/>
      <c r="AG89" s="2"/>
      <c r="AH89" s="2"/>
      <c r="AI89" s="2"/>
    </row>
    <row r="90" spans="1:35">
      <c r="A90" s="2"/>
      <c r="B90" s="2"/>
      <c r="C90" s="2"/>
      <c r="D90" s="2"/>
      <c r="E90" s="5"/>
      <c r="F90" s="2"/>
      <c r="G90" s="5"/>
      <c r="H90" s="2"/>
      <c r="I90" s="2"/>
      <c r="J90" s="2"/>
      <c r="K90" s="2"/>
      <c r="L90" s="2"/>
      <c r="M90" s="2"/>
      <c r="N90" s="2"/>
      <c r="O90" s="2"/>
      <c r="P90" s="2"/>
      <c r="Q90" s="2"/>
      <c r="R90" s="2"/>
      <c r="S90" s="2"/>
      <c r="T90" s="2"/>
      <c r="U90" s="2"/>
      <c r="V90" s="2"/>
      <c r="W90" s="2"/>
      <c r="X90" s="2"/>
      <c r="Y90" s="2"/>
      <c r="Z90" s="2" t="str">
        <f t="shared" si="8"/>
        <v/>
      </c>
      <c r="AA90" s="2" t="str">
        <f t="shared" si="9"/>
        <v/>
      </c>
      <c r="AB90" s="2" t="str">
        <f t="shared" si="10"/>
        <v/>
      </c>
      <c r="AC90" s="2" t="str">
        <f t="shared" si="11"/>
        <v>Walks with direction</v>
      </c>
      <c r="AD90" s="2"/>
      <c r="AE90" s="5"/>
      <c r="AF90" s="2"/>
      <c r="AG90" s="2"/>
      <c r="AH90" s="2"/>
      <c r="AI90" s="2"/>
    </row>
    <row r="91" spans="1:35">
      <c r="A91" s="2"/>
      <c r="B91" s="2"/>
      <c r="C91" s="2"/>
      <c r="D91" s="2"/>
      <c r="E91" s="5"/>
      <c r="F91" s="2"/>
      <c r="G91" s="5"/>
      <c r="H91" s="2"/>
      <c r="I91" s="2"/>
      <c r="J91" s="2"/>
      <c r="K91" s="2"/>
      <c r="L91" s="2"/>
      <c r="M91" s="2"/>
      <c r="N91" s="2"/>
      <c r="O91" s="2"/>
      <c r="P91" s="2"/>
      <c r="Q91" s="2"/>
      <c r="R91" s="2"/>
      <c r="S91" s="2"/>
      <c r="T91" s="2"/>
      <c r="U91" s="2"/>
      <c r="V91" s="2"/>
      <c r="W91" s="2"/>
      <c r="X91" s="2"/>
      <c r="Y91" s="2"/>
      <c r="Z91" s="2" t="str">
        <f t="shared" si="8"/>
        <v/>
      </c>
      <c r="AA91" s="2" t="str">
        <f t="shared" si="9"/>
        <v/>
      </c>
      <c r="AB91" s="2" t="str">
        <f t="shared" si="10"/>
        <v/>
      </c>
      <c r="AC91" s="2" t="str">
        <f t="shared" si="11"/>
        <v>Walks with direction</v>
      </c>
      <c r="AD91" s="2"/>
      <c r="AE91" s="5"/>
      <c r="AF91" s="2"/>
      <c r="AG91" s="2"/>
      <c r="AH91" s="2"/>
      <c r="AI91" s="2"/>
    </row>
    <row r="92" spans="1:35">
      <c r="A92" s="2"/>
      <c r="B92" s="2"/>
      <c r="C92" s="2"/>
      <c r="D92" s="2"/>
      <c r="E92" s="5"/>
      <c r="F92" s="2"/>
      <c r="G92" s="5"/>
      <c r="H92" s="2"/>
      <c r="I92" s="2"/>
      <c r="J92" s="2"/>
      <c r="K92" s="2"/>
      <c r="L92" s="2"/>
      <c r="M92" s="2"/>
      <c r="N92" s="2"/>
      <c r="O92" s="2"/>
      <c r="P92" s="2"/>
      <c r="Q92" s="2"/>
      <c r="R92" s="2"/>
      <c r="S92" s="2"/>
      <c r="T92" s="2"/>
      <c r="U92" s="2"/>
      <c r="V92" s="2"/>
      <c r="W92" s="2"/>
      <c r="X92" s="2"/>
      <c r="Y92" s="2"/>
      <c r="Z92" s="2" t="str">
        <f t="shared" si="8"/>
        <v/>
      </c>
      <c r="AA92" s="2" t="str">
        <f t="shared" si="9"/>
        <v/>
      </c>
      <c r="AB92" s="2" t="str">
        <f t="shared" si="10"/>
        <v/>
      </c>
      <c r="AC92" s="2" t="str">
        <f t="shared" si="11"/>
        <v>Walks with direction</v>
      </c>
      <c r="AD92" s="2"/>
      <c r="AE92" s="5"/>
      <c r="AF92" s="2"/>
      <c r="AG92" s="2"/>
      <c r="AH92" s="2"/>
      <c r="AI92" s="2"/>
    </row>
    <row r="93" spans="1:35">
      <c r="A93" s="2"/>
      <c r="B93" s="2"/>
      <c r="C93" s="2"/>
      <c r="D93" s="2"/>
      <c r="E93" s="5"/>
      <c r="F93" s="2"/>
      <c r="G93" s="5"/>
      <c r="H93" s="2"/>
      <c r="I93" s="2"/>
      <c r="J93" s="2"/>
      <c r="K93" s="2"/>
      <c r="L93" s="2"/>
      <c r="M93" s="2"/>
      <c r="N93" s="2"/>
      <c r="O93" s="2"/>
      <c r="P93" s="2"/>
      <c r="Q93" s="2"/>
      <c r="R93" s="2"/>
      <c r="S93" s="2"/>
      <c r="T93" s="2"/>
      <c r="U93" s="2"/>
      <c r="V93" s="2"/>
      <c r="W93" s="2"/>
      <c r="X93" s="2"/>
      <c r="Y93" s="2"/>
      <c r="Z93" s="2" t="str">
        <f t="shared" si="8"/>
        <v/>
      </c>
      <c r="AA93" s="2" t="str">
        <f t="shared" si="9"/>
        <v/>
      </c>
      <c r="AB93" s="2" t="str">
        <f t="shared" si="10"/>
        <v/>
      </c>
      <c r="AC93" s="2" t="str">
        <f t="shared" si="11"/>
        <v>Walks with direction</v>
      </c>
      <c r="AD93" s="2"/>
      <c r="AE93" s="5"/>
      <c r="AF93" s="2"/>
      <c r="AG93" s="2"/>
      <c r="AH93" s="2"/>
      <c r="AI93" s="2"/>
    </row>
    <row r="94" spans="1:35">
      <c r="A94" s="2"/>
      <c r="B94" s="2"/>
      <c r="C94" s="2"/>
      <c r="D94" s="2"/>
      <c r="E94" s="5"/>
      <c r="F94" s="2"/>
      <c r="G94" s="5"/>
      <c r="H94" s="2"/>
      <c r="I94" s="2"/>
      <c r="J94" s="2"/>
      <c r="K94" s="2"/>
      <c r="L94" s="2"/>
      <c r="M94" s="2"/>
      <c r="N94" s="2"/>
      <c r="O94" s="2"/>
      <c r="P94" s="2"/>
      <c r="Q94" s="2"/>
      <c r="R94" s="2"/>
      <c r="S94" s="2"/>
      <c r="T94" s="2"/>
      <c r="U94" s="2"/>
      <c r="V94" s="2"/>
      <c r="W94" s="2"/>
      <c r="X94" s="2"/>
      <c r="Y94" s="2"/>
      <c r="Z94" s="2" t="str">
        <f t="shared" si="8"/>
        <v/>
      </c>
      <c r="AA94" s="2" t="str">
        <f t="shared" si="9"/>
        <v/>
      </c>
      <c r="AB94" s="2" t="str">
        <f t="shared" si="10"/>
        <v/>
      </c>
      <c r="AC94" s="2" t="str">
        <f t="shared" si="11"/>
        <v>Walks with direction</v>
      </c>
      <c r="AD94" s="2"/>
      <c r="AE94" s="5"/>
      <c r="AF94" s="2"/>
      <c r="AG94" s="2"/>
      <c r="AH94" s="2"/>
      <c r="AI94" s="2"/>
    </row>
    <row r="95" spans="1:35">
      <c r="A95" s="2"/>
      <c r="B95" s="2"/>
      <c r="C95" s="2"/>
      <c r="D95" s="2"/>
      <c r="E95" s="5"/>
      <c r="F95" s="2"/>
      <c r="G95" s="5"/>
      <c r="H95" s="2"/>
      <c r="I95" s="2"/>
      <c r="J95" s="2"/>
      <c r="K95" s="2"/>
      <c r="L95" s="2"/>
      <c r="M95" s="2"/>
      <c r="N95" s="2"/>
      <c r="O95" s="2"/>
      <c r="P95" s="2"/>
      <c r="Q95" s="2"/>
      <c r="R95" s="2"/>
      <c r="S95" s="2"/>
      <c r="T95" s="2"/>
      <c r="U95" s="2"/>
      <c r="V95" s="2"/>
      <c r="W95" s="2"/>
      <c r="X95" s="2"/>
      <c r="Y95" s="2"/>
      <c r="Z95" s="2" t="str">
        <f t="shared" si="8"/>
        <v/>
      </c>
      <c r="AA95" s="2" t="str">
        <f t="shared" si="9"/>
        <v/>
      </c>
      <c r="AB95" s="2" t="str">
        <f t="shared" si="10"/>
        <v/>
      </c>
      <c r="AC95" s="2" t="str">
        <f t="shared" si="11"/>
        <v>Walks with direction</v>
      </c>
      <c r="AD95" s="2"/>
      <c r="AE95" s="5"/>
      <c r="AF95" s="2"/>
      <c r="AG95" s="2"/>
      <c r="AH95" s="2"/>
      <c r="AI95" s="2"/>
    </row>
    <row r="96" spans="1:35">
      <c r="A96" s="2"/>
      <c r="B96" s="2"/>
      <c r="C96" s="2"/>
      <c r="D96" s="2"/>
      <c r="E96" s="5"/>
      <c r="F96" s="2"/>
      <c r="G96" s="5"/>
      <c r="H96" s="2"/>
      <c r="I96" s="2"/>
      <c r="J96" s="2"/>
      <c r="K96" s="2"/>
      <c r="L96" s="2"/>
      <c r="M96" s="2"/>
      <c r="N96" s="2"/>
      <c r="O96" s="2"/>
      <c r="P96" s="2"/>
      <c r="Q96" s="2"/>
      <c r="R96" s="2"/>
      <c r="S96" s="2"/>
      <c r="T96" s="2"/>
      <c r="U96" s="2"/>
      <c r="V96" s="2"/>
      <c r="W96" s="2"/>
      <c r="X96" s="2"/>
      <c r="Y96" s="2"/>
      <c r="Z96" s="2" t="str">
        <f t="shared" si="8"/>
        <v/>
      </c>
      <c r="AA96" s="2" t="str">
        <f t="shared" si="9"/>
        <v/>
      </c>
      <c r="AB96" s="2" t="str">
        <f t="shared" si="10"/>
        <v/>
      </c>
      <c r="AC96" s="2" t="str">
        <f t="shared" si="11"/>
        <v>Walks with direction</v>
      </c>
      <c r="AD96" s="2"/>
      <c r="AE96" s="5"/>
      <c r="AF96" s="2"/>
      <c r="AG96" s="2"/>
      <c r="AH96" s="2"/>
      <c r="AI96" s="2"/>
    </row>
    <row r="97" spans="1:35">
      <c r="A97" s="2"/>
      <c r="B97" s="2"/>
      <c r="C97" s="2"/>
      <c r="D97" s="2"/>
      <c r="E97" s="5"/>
      <c r="F97" s="2"/>
      <c r="G97" s="5"/>
      <c r="H97" s="2"/>
      <c r="I97" s="2"/>
      <c r="J97" s="2"/>
      <c r="K97" s="2"/>
      <c r="L97" s="2"/>
      <c r="M97" s="2"/>
      <c r="N97" s="2"/>
      <c r="O97" s="2"/>
      <c r="P97" s="2"/>
      <c r="Q97" s="2"/>
      <c r="R97" s="2"/>
      <c r="S97" s="2"/>
      <c r="T97" s="2"/>
      <c r="U97" s="2"/>
      <c r="V97" s="2"/>
      <c r="W97" s="2"/>
      <c r="X97" s="2"/>
      <c r="Y97" s="2"/>
      <c r="Z97" s="2" t="str">
        <f t="shared" si="8"/>
        <v/>
      </c>
      <c r="AA97" s="2" t="str">
        <f t="shared" si="9"/>
        <v/>
      </c>
      <c r="AB97" s="2" t="str">
        <f t="shared" si="10"/>
        <v/>
      </c>
      <c r="AC97" s="2" t="str">
        <f t="shared" si="11"/>
        <v>Walks with direction</v>
      </c>
      <c r="AD97" s="2"/>
      <c r="AE97" s="5"/>
      <c r="AF97" s="2"/>
      <c r="AG97" s="2"/>
      <c r="AH97" s="2"/>
      <c r="AI97" s="2"/>
    </row>
    <row r="98" spans="1:35">
      <c r="A98" s="2"/>
      <c r="B98" s="2"/>
      <c r="C98" s="2"/>
      <c r="D98" s="2"/>
      <c r="E98" s="5"/>
      <c r="F98" s="2"/>
      <c r="G98" s="5"/>
      <c r="H98" s="2"/>
      <c r="I98" s="2"/>
      <c r="J98" s="2"/>
      <c r="K98" s="2"/>
      <c r="L98" s="2"/>
      <c r="M98" s="2"/>
      <c r="N98" s="2"/>
      <c r="O98" s="2"/>
      <c r="P98" s="2"/>
      <c r="Q98" s="2"/>
      <c r="R98" s="2"/>
      <c r="S98" s="2"/>
      <c r="T98" s="2"/>
      <c r="U98" s="2"/>
      <c r="V98" s="2"/>
      <c r="W98" s="2"/>
      <c r="X98" s="2"/>
      <c r="Y98" s="2"/>
      <c r="Z98" s="2" t="str">
        <f t="shared" si="8"/>
        <v/>
      </c>
      <c r="AA98" s="2" t="str">
        <f t="shared" si="9"/>
        <v/>
      </c>
      <c r="AB98" s="2" t="str">
        <f t="shared" si="10"/>
        <v/>
      </c>
      <c r="AC98" s="2" t="str">
        <f t="shared" si="11"/>
        <v>Walks with direction</v>
      </c>
      <c r="AD98" s="2"/>
      <c r="AE98" s="5"/>
      <c r="AF98" s="2"/>
      <c r="AG98" s="2"/>
      <c r="AH98" s="2"/>
      <c r="AI98" s="2"/>
    </row>
    <row r="99" spans="1:35">
      <c r="A99" s="2"/>
      <c r="B99" s="2"/>
      <c r="C99" s="2"/>
      <c r="D99" s="2"/>
      <c r="E99" s="5"/>
      <c r="F99" s="2"/>
      <c r="G99" s="5"/>
      <c r="H99" s="2"/>
      <c r="I99" s="2"/>
      <c r="J99" s="2"/>
      <c r="K99" s="2"/>
      <c r="L99" s="2"/>
      <c r="M99" s="2"/>
      <c r="N99" s="2"/>
      <c r="O99" s="2"/>
      <c r="P99" s="2"/>
      <c r="Q99" s="2"/>
      <c r="R99" s="2"/>
      <c r="S99" s="2"/>
      <c r="T99" s="2"/>
      <c r="U99" s="2"/>
      <c r="V99" s="2"/>
      <c r="W99" s="2"/>
      <c r="X99" s="2"/>
      <c r="Y99" s="2"/>
      <c r="Z99" s="2" t="str">
        <f t="shared" si="8"/>
        <v/>
      </c>
      <c r="AA99" s="2" t="str">
        <f t="shared" si="9"/>
        <v/>
      </c>
      <c r="AB99" s="2" t="str">
        <f t="shared" si="10"/>
        <v/>
      </c>
      <c r="AC99" s="2" t="str">
        <f t="shared" si="11"/>
        <v>Walks with direction</v>
      </c>
      <c r="AD99" s="2"/>
      <c r="AE99" s="5"/>
      <c r="AF99" s="2"/>
      <c r="AG99" s="2"/>
      <c r="AH99" s="2"/>
      <c r="AI99" s="2"/>
    </row>
    <row r="100" spans="1:35">
      <c r="A100" s="2"/>
      <c r="B100" s="2"/>
      <c r="C100" s="2"/>
      <c r="D100" s="2"/>
      <c r="E100" s="5"/>
      <c r="F100" s="2"/>
      <c r="G100" s="5"/>
      <c r="H100" s="2"/>
      <c r="I100" s="2"/>
      <c r="J100" s="2"/>
      <c r="K100" s="2"/>
      <c r="L100" s="2"/>
      <c r="M100" s="2"/>
      <c r="N100" s="2"/>
      <c r="O100" s="2"/>
      <c r="P100" s="2"/>
      <c r="Q100" s="2"/>
      <c r="R100" s="2"/>
      <c r="S100" s="2"/>
      <c r="T100" s="2"/>
      <c r="U100" s="2"/>
      <c r="V100" s="2"/>
      <c r="W100" s="2"/>
      <c r="X100" s="2"/>
      <c r="Y100" s="2"/>
      <c r="Z100" s="2" t="str">
        <f t="shared" si="8"/>
        <v/>
      </c>
      <c r="AA100" s="2" t="str">
        <f t="shared" si="9"/>
        <v/>
      </c>
      <c r="AB100" s="2" t="str">
        <f t="shared" si="10"/>
        <v/>
      </c>
      <c r="AC100" s="2" t="str">
        <f t="shared" si="11"/>
        <v>Walks with direction</v>
      </c>
      <c r="AD100" s="2"/>
      <c r="AE100" s="5"/>
      <c r="AF100" s="2"/>
      <c r="AG100" s="2"/>
      <c r="AH100" s="2"/>
      <c r="AI100" s="2"/>
    </row>
    <row r="101" spans="1:35">
      <c r="A101" s="2"/>
      <c r="B101" s="2"/>
      <c r="C101" s="2"/>
      <c r="D101" s="2"/>
      <c r="E101" s="5"/>
      <c r="F101" s="2"/>
      <c r="G101" s="5"/>
      <c r="H101" s="2"/>
      <c r="I101" s="2"/>
      <c r="J101" s="2"/>
      <c r="K101" s="2"/>
      <c r="L101" s="2"/>
      <c r="M101" s="2"/>
      <c r="N101" s="2"/>
      <c r="O101" s="2"/>
      <c r="P101" s="2"/>
      <c r="Q101" s="2"/>
      <c r="R101" s="2"/>
      <c r="S101" s="2"/>
      <c r="T101" s="2"/>
      <c r="U101" s="2"/>
      <c r="V101" s="2"/>
      <c r="W101" s="2"/>
      <c r="X101" s="2"/>
      <c r="Y101" s="2"/>
      <c r="Z101" s="2" t="str">
        <f t="shared" si="8"/>
        <v/>
      </c>
      <c r="AA101" s="2" t="str">
        <f t="shared" si="9"/>
        <v/>
      </c>
      <c r="AB101" s="2" t="str">
        <f t="shared" si="10"/>
        <v/>
      </c>
      <c r="AC101" s="2" t="str">
        <f t="shared" si="11"/>
        <v>Walks with direction</v>
      </c>
      <c r="AD101" s="2"/>
      <c r="AE101" s="5"/>
      <c r="AF101" s="2"/>
      <c r="AG101" s="2"/>
      <c r="AH101" s="2"/>
      <c r="AI101" s="2"/>
    </row>
    <row r="102" spans="1:35">
      <c r="A102" s="2"/>
      <c r="B102" s="2"/>
      <c r="C102" s="2"/>
      <c r="D102" s="2"/>
      <c r="E102" s="5"/>
      <c r="F102" s="2"/>
      <c r="G102" s="5"/>
      <c r="H102" s="2"/>
      <c r="I102" s="2"/>
      <c r="J102" s="2"/>
      <c r="K102" s="2"/>
      <c r="L102" s="2"/>
      <c r="M102" s="2"/>
      <c r="N102" s="2"/>
      <c r="O102" s="2"/>
      <c r="P102" s="2"/>
      <c r="Q102" s="2"/>
      <c r="R102" s="2"/>
      <c r="S102" s="2"/>
      <c r="T102" s="2"/>
      <c r="U102" s="2"/>
      <c r="V102" s="2"/>
      <c r="W102" s="2"/>
      <c r="X102" s="2"/>
      <c r="Y102" s="2"/>
      <c r="Z102" s="2" t="str">
        <f t="shared" si="8"/>
        <v/>
      </c>
      <c r="AA102" s="2" t="str">
        <f t="shared" si="9"/>
        <v/>
      </c>
      <c r="AB102" s="2" t="str">
        <f t="shared" si="10"/>
        <v/>
      </c>
      <c r="AC102" s="2" t="str">
        <f t="shared" si="11"/>
        <v>Walks with direction</v>
      </c>
      <c r="AD102" s="2"/>
      <c r="AE102" s="5"/>
      <c r="AF102" s="2"/>
      <c r="AG102" s="2"/>
      <c r="AH102" s="2"/>
      <c r="AI102" s="2"/>
    </row>
    <row r="103" spans="1:35">
      <c r="A103" s="2"/>
      <c r="B103" s="2"/>
      <c r="C103" s="2"/>
      <c r="D103" s="2"/>
      <c r="E103" s="5"/>
      <c r="F103" s="2"/>
      <c r="G103" s="5"/>
      <c r="H103" s="2"/>
      <c r="I103" s="2"/>
      <c r="J103" s="2"/>
      <c r="K103" s="2"/>
      <c r="L103" s="2"/>
      <c r="M103" s="2"/>
      <c r="N103" s="2"/>
      <c r="O103" s="2"/>
      <c r="P103" s="2"/>
      <c r="Q103" s="2"/>
      <c r="R103" s="2"/>
      <c r="S103" s="2"/>
      <c r="T103" s="2"/>
      <c r="U103" s="2"/>
      <c r="V103" s="2"/>
      <c r="W103" s="2"/>
      <c r="X103" s="2"/>
      <c r="Y103" s="2"/>
      <c r="Z103" s="2" t="str">
        <f t="shared" si="8"/>
        <v/>
      </c>
      <c r="AA103" s="2" t="str">
        <f t="shared" si="9"/>
        <v/>
      </c>
      <c r="AB103" s="2" t="str">
        <f t="shared" si="10"/>
        <v/>
      </c>
      <c r="AC103" s="2" t="str">
        <f t="shared" si="11"/>
        <v>Walks with direction</v>
      </c>
      <c r="AD103" s="2"/>
      <c r="AE103" s="5"/>
      <c r="AF103" s="2"/>
      <c r="AG103" s="2"/>
      <c r="AH103" s="2"/>
      <c r="AI103" s="2"/>
    </row>
    <row r="104" spans="1:35">
      <c r="A104" s="2"/>
      <c r="B104" s="2"/>
      <c r="C104" s="2"/>
      <c r="D104" s="2"/>
      <c r="E104" s="5"/>
      <c r="F104" s="2"/>
      <c r="G104" s="5"/>
      <c r="H104" s="2"/>
      <c r="I104" s="2"/>
      <c r="J104" s="2"/>
      <c r="K104" s="2"/>
      <c r="L104" s="2"/>
      <c r="M104" s="2"/>
      <c r="N104" s="2"/>
      <c r="O104" s="2"/>
      <c r="P104" s="2"/>
      <c r="Q104" s="2"/>
      <c r="R104" s="2"/>
      <c r="S104" s="2"/>
      <c r="T104" s="2"/>
      <c r="U104" s="2"/>
      <c r="V104" s="2"/>
      <c r="W104" s="2"/>
      <c r="X104" s="2"/>
      <c r="Y104" s="2"/>
      <c r="Z104" s="2" t="str">
        <f t="shared" si="8"/>
        <v/>
      </c>
      <c r="AA104" s="2" t="str">
        <f t="shared" si="9"/>
        <v/>
      </c>
      <c r="AB104" s="2" t="str">
        <f t="shared" si="10"/>
        <v/>
      </c>
      <c r="AC104" s="2" t="str">
        <f t="shared" si="11"/>
        <v>Walks with direction</v>
      </c>
      <c r="AD104" s="2"/>
      <c r="AE104" s="5"/>
      <c r="AF104" s="2"/>
      <c r="AG104" s="2"/>
      <c r="AH104" s="2"/>
      <c r="AI104" s="2"/>
    </row>
    <row r="105" spans="1:35">
      <c r="A105" s="2"/>
      <c r="B105" s="2"/>
      <c r="C105" s="2"/>
      <c r="D105" s="2"/>
      <c r="E105" s="5"/>
      <c r="F105" s="2"/>
      <c r="G105" s="5"/>
      <c r="H105" s="2"/>
      <c r="I105" s="2"/>
      <c r="J105" s="2"/>
      <c r="K105" s="2"/>
      <c r="L105" s="2"/>
      <c r="M105" s="2"/>
      <c r="N105" s="2"/>
      <c r="O105" s="2"/>
      <c r="P105" s="2"/>
      <c r="Q105" s="2"/>
      <c r="R105" s="2"/>
      <c r="S105" s="2"/>
      <c r="T105" s="2"/>
      <c r="U105" s="2"/>
      <c r="V105" s="2"/>
      <c r="W105" s="2"/>
      <c r="X105" s="2"/>
      <c r="Y105" s="2"/>
      <c r="Z105" s="2" t="str">
        <f t="shared" si="8"/>
        <v/>
      </c>
      <c r="AA105" s="2" t="str">
        <f t="shared" si="9"/>
        <v/>
      </c>
      <c r="AB105" s="2" t="str">
        <f t="shared" si="10"/>
        <v/>
      </c>
      <c r="AC105" s="2" t="str">
        <f t="shared" si="11"/>
        <v>Walks with direction</v>
      </c>
      <c r="AD105" s="2"/>
      <c r="AE105" s="5"/>
      <c r="AF105" s="2"/>
      <c r="AG105" s="2"/>
      <c r="AH105" s="2"/>
      <c r="AI105" s="2"/>
    </row>
    <row r="106" spans="1:35">
      <c r="A106" s="2"/>
      <c r="B106" s="2"/>
      <c r="C106" s="2"/>
      <c r="D106" s="2"/>
      <c r="E106" s="5"/>
      <c r="F106" s="2"/>
      <c r="G106" s="5"/>
      <c r="H106" s="2"/>
      <c r="I106" s="2"/>
      <c r="J106" s="2"/>
      <c r="K106" s="2"/>
      <c r="L106" s="2"/>
      <c r="M106" s="2"/>
      <c r="N106" s="2"/>
      <c r="O106" s="2"/>
      <c r="P106" s="2"/>
      <c r="Q106" s="2"/>
      <c r="R106" s="2"/>
      <c r="S106" s="2"/>
      <c r="T106" s="2"/>
      <c r="U106" s="2"/>
      <c r="V106" s="2"/>
      <c r="W106" s="2"/>
      <c r="X106" s="2"/>
      <c r="Y106" s="2"/>
      <c r="Z106" s="2" t="str">
        <f t="shared" si="8"/>
        <v/>
      </c>
      <c r="AA106" s="2" t="str">
        <f t="shared" si="9"/>
        <v/>
      </c>
      <c r="AB106" s="2" t="str">
        <f t="shared" si="10"/>
        <v/>
      </c>
      <c r="AC106" s="2" t="str">
        <f t="shared" si="11"/>
        <v>Walks with direction</v>
      </c>
      <c r="AD106" s="2"/>
      <c r="AE106" s="5"/>
      <c r="AF106" s="2"/>
      <c r="AG106" s="2"/>
      <c r="AH106" s="2"/>
      <c r="AI106" s="2"/>
    </row>
    <row r="107" spans="1:35">
      <c r="A107" s="2"/>
      <c r="B107" s="2"/>
      <c r="C107" s="2"/>
      <c r="D107" s="2"/>
      <c r="E107" s="5"/>
      <c r="F107" s="2"/>
      <c r="G107" s="5"/>
      <c r="H107" s="2"/>
      <c r="I107" s="2"/>
      <c r="J107" s="2"/>
      <c r="K107" s="2"/>
      <c r="L107" s="2"/>
      <c r="M107" s="2"/>
      <c r="N107" s="2"/>
      <c r="O107" s="2"/>
      <c r="P107" s="2"/>
      <c r="Q107" s="2"/>
      <c r="R107" s="2"/>
      <c r="S107" s="2"/>
      <c r="T107" s="2"/>
      <c r="U107" s="2"/>
      <c r="V107" s="2"/>
      <c r="W107" s="2"/>
      <c r="X107" s="2"/>
      <c r="Y107" s="2"/>
      <c r="Z107" s="2" t="str">
        <f t="shared" si="8"/>
        <v/>
      </c>
      <c r="AA107" s="2" t="str">
        <f t="shared" si="9"/>
        <v/>
      </c>
      <c r="AB107" s="2" t="str">
        <f t="shared" si="10"/>
        <v/>
      </c>
      <c r="AC107" s="2" t="str">
        <f t="shared" si="11"/>
        <v>Walks with direction</v>
      </c>
      <c r="AD107" s="2"/>
      <c r="AE107" s="5"/>
      <c r="AF107" s="2"/>
      <c r="AG107" s="2"/>
      <c r="AH107" s="2"/>
      <c r="AI107" s="2"/>
    </row>
    <row r="108" spans="1:35">
      <c r="A108" s="2"/>
      <c r="B108" s="2"/>
      <c r="C108" s="2"/>
      <c r="D108" s="2"/>
      <c r="E108" s="5"/>
      <c r="F108" s="2"/>
      <c r="G108" s="5"/>
      <c r="H108" s="2"/>
      <c r="I108" s="2"/>
      <c r="J108" s="2"/>
      <c r="K108" s="2"/>
      <c r="L108" s="2"/>
      <c r="M108" s="2"/>
      <c r="N108" s="2"/>
      <c r="O108" s="2"/>
      <c r="P108" s="2"/>
      <c r="Q108" s="2"/>
      <c r="R108" s="2"/>
      <c r="S108" s="2"/>
      <c r="T108" s="2"/>
      <c r="U108" s="2"/>
      <c r="V108" s="2"/>
      <c r="W108" s="2"/>
      <c r="X108" s="2"/>
      <c r="Y108" s="2"/>
      <c r="Z108" s="2" t="str">
        <f t="shared" si="8"/>
        <v/>
      </c>
      <c r="AA108" s="2" t="str">
        <f t="shared" si="9"/>
        <v/>
      </c>
      <c r="AB108" s="2" t="str">
        <f t="shared" si="10"/>
        <v/>
      </c>
      <c r="AC108" s="2" t="str">
        <f t="shared" si="11"/>
        <v>Walks with direction</v>
      </c>
      <c r="AD108" s="2"/>
      <c r="AE108" s="5"/>
      <c r="AF108" s="2"/>
      <c r="AG108" s="2"/>
      <c r="AH108" s="2"/>
      <c r="AI108" s="2"/>
    </row>
    <row r="109" spans="1:35">
      <c r="A109" s="2"/>
      <c r="B109" s="2"/>
      <c r="C109" s="2"/>
      <c r="D109" s="2"/>
      <c r="E109" s="5"/>
      <c r="F109" s="2"/>
      <c r="G109" s="5"/>
      <c r="H109" s="2"/>
      <c r="I109" s="2"/>
      <c r="J109" s="2"/>
      <c r="K109" s="2"/>
      <c r="L109" s="2"/>
      <c r="M109" s="2"/>
      <c r="N109" s="2"/>
      <c r="O109" s="2"/>
      <c r="P109" s="2"/>
      <c r="Q109" s="2"/>
      <c r="R109" s="2"/>
      <c r="S109" s="2"/>
      <c r="T109" s="2"/>
      <c r="U109" s="2"/>
      <c r="V109" s="2"/>
      <c r="W109" s="2"/>
      <c r="X109" s="2"/>
      <c r="Y109" s="2"/>
      <c r="Z109" s="2" t="str">
        <f t="shared" si="8"/>
        <v/>
      </c>
      <c r="AA109" s="2" t="str">
        <f t="shared" si="9"/>
        <v/>
      </c>
      <c r="AB109" s="2" t="str">
        <f t="shared" si="10"/>
        <v/>
      </c>
      <c r="AC109" s="2" t="str">
        <f t="shared" si="11"/>
        <v>Walks with direction</v>
      </c>
      <c r="AD109" s="2"/>
      <c r="AE109" s="5"/>
      <c r="AF109" s="2"/>
      <c r="AG109" s="2"/>
      <c r="AH109" s="2"/>
      <c r="AI109" s="2"/>
    </row>
    <row r="110" spans="1:35">
      <c r="A110" s="2"/>
      <c r="B110" s="2"/>
      <c r="C110" s="2"/>
      <c r="D110" s="2"/>
      <c r="E110" s="5"/>
      <c r="F110" s="2"/>
      <c r="G110" s="5"/>
      <c r="H110" s="2"/>
      <c r="I110" s="2"/>
      <c r="J110" s="2"/>
      <c r="K110" s="2"/>
      <c r="L110" s="2"/>
      <c r="M110" s="2"/>
      <c r="N110" s="2"/>
      <c r="O110" s="2"/>
      <c r="P110" s="2"/>
      <c r="Q110" s="2"/>
      <c r="R110" s="2"/>
      <c r="S110" s="2"/>
      <c r="T110" s="2"/>
      <c r="U110" s="2"/>
      <c r="V110" s="2"/>
      <c r="W110" s="2"/>
      <c r="X110" s="2"/>
      <c r="Y110" s="2"/>
      <c r="Z110" s="2" t="str">
        <f t="shared" si="8"/>
        <v/>
      </c>
      <c r="AA110" s="2" t="str">
        <f t="shared" si="9"/>
        <v/>
      </c>
      <c r="AB110" s="2" t="str">
        <f t="shared" si="10"/>
        <v/>
      </c>
      <c r="AC110" s="2" t="str">
        <f t="shared" si="11"/>
        <v>Walks with direction</v>
      </c>
      <c r="AD110" s="2"/>
      <c r="AE110" s="5"/>
      <c r="AF110" s="2"/>
      <c r="AG110" s="2"/>
      <c r="AH110" s="2"/>
      <c r="AI110" s="2"/>
    </row>
    <row r="111" spans="1:35">
      <c r="A111" s="2"/>
      <c r="B111" s="2"/>
      <c r="C111" s="2"/>
      <c r="D111" s="2"/>
      <c r="E111" s="5"/>
      <c r="F111" s="2"/>
      <c r="G111" s="5"/>
      <c r="H111" s="2"/>
      <c r="I111" s="2"/>
      <c r="J111" s="2"/>
      <c r="K111" s="2"/>
      <c r="L111" s="2"/>
      <c r="M111" s="2"/>
      <c r="N111" s="2"/>
      <c r="O111" s="2"/>
      <c r="P111" s="2"/>
      <c r="Q111" s="2"/>
      <c r="R111" s="2"/>
      <c r="S111" s="2"/>
      <c r="T111" s="2"/>
      <c r="U111" s="2"/>
      <c r="V111" s="2"/>
      <c r="W111" s="2"/>
      <c r="X111" s="2"/>
      <c r="Y111" s="2"/>
      <c r="Z111" s="2" t="str">
        <f t="shared" si="8"/>
        <v/>
      </c>
      <c r="AA111" s="2" t="str">
        <f t="shared" si="9"/>
        <v/>
      </c>
      <c r="AB111" s="2" t="str">
        <f t="shared" si="10"/>
        <v/>
      </c>
      <c r="AC111" s="2" t="str">
        <f t="shared" si="11"/>
        <v>Walks with direction</v>
      </c>
      <c r="AD111" s="2"/>
      <c r="AE111" s="5"/>
      <c r="AF111" s="2"/>
      <c r="AG111" s="2"/>
      <c r="AH111" s="2"/>
      <c r="AI111" s="2"/>
    </row>
    <row r="112" spans="1:35">
      <c r="A112" s="2"/>
      <c r="B112" s="2"/>
      <c r="C112" s="2"/>
      <c r="D112" s="2"/>
      <c r="E112" s="5"/>
      <c r="F112" s="2"/>
      <c r="G112" s="5"/>
      <c r="H112" s="2"/>
      <c r="I112" s="2"/>
      <c r="J112" s="2"/>
      <c r="K112" s="2"/>
      <c r="L112" s="2"/>
      <c r="M112" s="2"/>
      <c r="N112" s="2"/>
      <c r="O112" s="2"/>
      <c r="P112" s="2"/>
      <c r="Q112" s="2"/>
      <c r="R112" s="2"/>
      <c r="S112" s="2"/>
      <c r="T112" s="2"/>
      <c r="U112" s="2"/>
      <c r="V112" s="2"/>
      <c r="W112" s="2"/>
      <c r="X112" s="2"/>
      <c r="Y112" s="2"/>
      <c r="Z112" s="2" t="str">
        <f t="shared" si="8"/>
        <v/>
      </c>
      <c r="AA112" s="2" t="str">
        <f t="shared" si="9"/>
        <v/>
      </c>
      <c r="AB112" s="2" t="str">
        <f t="shared" si="10"/>
        <v/>
      </c>
      <c r="AC112" s="2" t="str">
        <f t="shared" si="11"/>
        <v>Walks with direction</v>
      </c>
      <c r="AD112" s="2"/>
      <c r="AE112" s="5"/>
      <c r="AF112" s="2"/>
      <c r="AG112" s="2"/>
      <c r="AH112" s="2"/>
      <c r="AI112" s="2"/>
    </row>
    <row r="113" spans="1:35">
      <c r="A113" s="2"/>
      <c r="B113" s="2"/>
      <c r="C113" s="2"/>
      <c r="D113" s="2"/>
      <c r="E113" s="5"/>
      <c r="F113" s="2"/>
      <c r="G113" s="5"/>
      <c r="H113" s="2"/>
      <c r="I113" s="2"/>
      <c r="J113" s="2"/>
      <c r="K113" s="2"/>
      <c r="L113" s="2"/>
      <c r="M113" s="2"/>
      <c r="N113" s="2"/>
      <c r="O113" s="2"/>
      <c r="P113" s="2"/>
      <c r="Q113" s="2"/>
      <c r="R113" s="2"/>
      <c r="S113" s="2"/>
      <c r="T113" s="2"/>
      <c r="U113" s="2"/>
      <c r="V113" s="2"/>
      <c r="W113" s="2"/>
      <c r="X113" s="2"/>
      <c r="Y113" s="2"/>
      <c r="Z113" s="2" t="str">
        <f t="shared" si="8"/>
        <v/>
      </c>
      <c r="AA113" s="2" t="str">
        <f t="shared" si="9"/>
        <v/>
      </c>
      <c r="AB113" s="2" t="str">
        <f t="shared" si="10"/>
        <v/>
      </c>
      <c r="AC113" s="2" t="str">
        <f t="shared" si="11"/>
        <v>Walks with direction</v>
      </c>
      <c r="AD113" s="2"/>
      <c r="AE113" s="5"/>
      <c r="AF113" s="2"/>
      <c r="AG113" s="2"/>
      <c r="AH113" s="2"/>
      <c r="AI113" s="2"/>
    </row>
    <row r="114" spans="1:35">
      <c r="A114" s="2"/>
      <c r="B114" s="2"/>
      <c r="C114" s="2"/>
      <c r="D114" s="2"/>
      <c r="E114" s="5"/>
      <c r="F114" s="2"/>
      <c r="G114" s="5"/>
      <c r="H114" s="2"/>
      <c r="I114" s="2"/>
      <c r="J114" s="2"/>
      <c r="K114" s="2"/>
      <c r="L114" s="2"/>
      <c r="M114" s="2"/>
      <c r="N114" s="2"/>
      <c r="O114" s="2"/>
      <c r="P114" s="2"/>
      <c r="Q114" s="2"/>
      <c r="R114" s="2"/>
      <c r="S114" s="2"/>
      <c r="T114" s="2"/>
      <c r="U114" s="2"/>
      <c r="V114" s="2"/>
      <c r="W114" s="2"/>
      <c r="X114" s="2"/>
      <c r="Y114" s="2"/>
      <c r="Z114" s="2" t="str">
        <f t="shared" ref="Z114:Z145" si="12">IF(COUNTA(H114:Y114)=0,"",IF(COUNTIF(H114:Y114,"Very High")&gt;0,"Very High",IF(COUNTIF(H114:Y114,"High")&gt;0,"High",IF(COUNTIF(H114:Y114,"Medium")&gt;0,"Medium","Low"))))</f>
        <v/>
      </c>
      <c r="AA114" s="2" t="str">
        <f t="shared" ref="AA114:AA145" si="13">IF(Z114="","",IF(Z114="Low","Routine planned support",IF(Z114="Medium","One staff support/supervision likely",IF(Z114="High","Two staff/review staffing and equipment","Manager review: multiple staff/specialist support"))))</f>
        <v/>
      </c>
      <c r="AB114" s="2" t="str">
        <f t="shared" si="10"/>
        <v/>
      </c>
      <c r="AC114" s="2" t="str">
        <f t="shared" si="11"/>
        <v>Walks with direction</v>
      </c>
      <c r="AD114" s="2"/>
      <c r="AE114" s="5"/>
      <c r="AF114" s="2"/>
      <c r="AG114" s="2"/>
      <c r="AH114" s="2"/>
      <c r="AI114" s="2"/>
    </row>
    <row r="115" spans="1:35">
      <c r="A115" s="2"/>
      <c r="B115" s="2"/>
      <c r="C115" s="2"/>
      <c r="D115" s="2"/>
      <c r="E115" s="5"/>
      <c r="F115" s="2"/>
      <c r="G115" s="5"/>
      <c r="H115" s="2"/>
      <c r="I115" s="2"/>
      <c r="J115" s="2"/>
      <c r="K115" s="2"/>
      <c r="L115" s="2"/>
      <c r="M115" s="2"/>
      <c r="N115" s="2"/>
      <c r="O115" s="2"/>
      <c r="P115" s="2"/>
      <c r="Q115" s="2"/>
      <c r="R115" s="2"/>
      <c r="S115" s="2"/>
      <c r="T115" s="2"/>
      <c r="U115" s="2"/>
      <c r="V115" s="2"/>
      <c r="W115" s="2"/>
      <c r="X115" s="2"/>
      <c r="Y115" s="2"/>
      <c r="Z115" s="2" t="str">
        <f t="shared" si="12"/>
        <v/>
      </c>
      <c r="AA115" s="2" t="str">
        <f t="shared" si="13"/>
        <v/>
      </c>
      <c r="AB115" s="2" t="str">
        <f t="shared" si="10"/>
        <v/>
      </c>
      <c r="AC115" s="2" t="str">
        <f t="shared" si="11"/>
        <v>Walks with direction</v>
      </c>
      <c r="AD115" s="2"/>
      <c r="AE115" s="5"/>
      <c r="AF115" s="2"/>
      <c r="AG115" s="2"/>
      <c r="AH115" s="2"/>
      <c r="AI115" s="2"/>
    </row>
    <row r="116" spans="1:35">
      <c r="A116" s="2"/>
      <c r="B116" s="2"/>
      <c r="C116" s="2"/>
      <c r="D116" s="2"/>
      <c r="E116" s="5"/>
      <c r="F116" s="2"/>
      <c r="G116" s="5"/>
      <c r="H116" s="2"/>
      <c r="I116" s="2"/>
      <c r="J116" s="2"/>
      <c r="K116" s="2"/>
      <c r="L116" s="2"/>
      <c r="M116" s="2"/>
      <c r="N116" s="2"/>
      <c r="O116" s="2"/>
      <c r="P116" s="2"/>
      <c r="Q116" s="2"/>
      <c r="R116" s="2"/>
      <c r="S116" s="2"/>
      <c r="T116" s="2"/>
      <c r="U116" s="2"/>
      <c r="V116" s="2"/>
      <c r="W116" s="2"/>
      <c r="X116" s="2"/>
      <c r="Y116" s="2"/>
      <c r="Z116" s="2" t="str">
        <f t="shared" si="12"/>
        <v/>
      </c>
      <c r="AA116" s="2" t="str">
        <f t="shared" si="13"/>
        <v/>
      </c>
      <c r="AB116" s="2" t="str">
        <f t="shared" si="10"/>
        <v/>
      </c>
      <c r="AC116" s="2" t="str">
        <f t="shared" si="11"/>
        <v>Walks with direction</v>
      </c>
      <c r="AD116" s="2"/>
      <c r="AE116" s="5"/>
      <c r="AF116" s="2"/>
      <c r="AG116" s="2"/>
      <c r="AH116" s="2"/>
      <c r="AI116" s="2"/>
    </row>
    <row r="117" spans="1:35">
      <c r="A117" s="2"/>
      <c r="B117" s="2"/>
      <c r="C117" s="2"/>
      <c r="D117" s="2"/>
      <c r="E117" s="5"/>
      <c r="F117" s="2"/>
      <c r="G117" s="5"/>
      <c r="H117" s="2"/>
      <c r="I117" s="2"/>
      <c r="J117" s="2"/>
      <c r="K117" s="2"/>
      <c r="L117" s="2"/>
      <c r="M117" s="2"/>
      <c r="N117" s="2"/>
      <c r="O117" s="2"/>
      <c r="P117" s="2"/>
      <c r="Q117" s="2"/>
      <c r="R117" s="2"/>
      <c r="S117" s="2"/>
      <c r="T117" s="2"/>
      <c r="U117" s="2"/>
      <c r="V117" s="2"/>
      <c r="W117" s="2"/>
      <c r="X117" s="2"/>
      <c r="Y117" s="2"/>
      <c r="Z117" s="2" t="str">
        <f t="shared" si="12"/>
        <v/>
      </c>
      <c r="AA117" s="2" t="str">
        <f t="shared" si="13"/>
        <v/>
      </c>
      <c r="AB117" s="2" t="str">
        <f t="shared" si="10"/>
        <v/>
      </c>
      <c r="AC117" s="2" t="str">
        <f t="shared" si="11"/>
        <v>Walks with direction</v>
      </c>
      <c r="AD117" s="2"/>
      <c r="AE117" s="5"/>
      <c r="AF117" s="2"/>
      <c r="AG117" s="2"/>
      <c r="AH117" s="2"/>
      <c r="AI117" s="2"/>
    </row>
    <row r="122" spans="1:35">
      <c r="A122" s="9" t="s">
        <v>153</v>
      </c>
      <c r="B122" s="7"/>
      <c r="C122" s="7"/>
      <c r="D122" s="7"/>
      <c r="E122" s="7"/>
    </row>
    <row r="123" spans="1:35">
      <c r="A123" s="1" t="s">
        <v>154</v>
      </c>
      <c r="B123" s="1" t="s">
        <v>6</v>
      </c>
      <c r="C123" s="1" t="s">
        <v>12</v>
      </c>
      <c r="D123" s="1" t="s">
        <v>18</v>
      </c>
      <c r="E123" s="1" t="s">
        <v>23</v>
      </c>
    </row>
    <row r="124" spans="1:35" ht="42">
      <c r="A124" s="2" t="s">
        <v>124</v>
      </c>
      <c r="B124" s="2" t="s">
        <v>155</v>
      </c>
      <c r="C124" s="2" t="s">
        <v>156</v>
      </c>
      <c r="D124" s="2" t="s">
        <v>157</v>
      </c>
      <c r="E124" s="2" t="s">
        <v>158</v>
      </c>
    </row>
    <row r="125" spans="1:35" ht="28">
      <c r="A125" s="2" t="s">
        <v>125</v>
      </c>
      <c r="B125" s="2" t="s">
        <v>159</v>
      </c>
      <c r="C125" s="2" t="s">
        <v>160</v>
      </c>
      <c r="D125" s="2" t="s">
        <v>161</v>
      </c>
      <c r="E125" s="2" t="s">
        <v>162</v>
      </c>
    </row>
    <row r="126" spans="1:35" ht="28">
      <c r="A126" s="2" t="s">
        <v>126</v>
      </c>
      <c r="B126" s="2" t="s">
        <v>163</v>
      </c>
      <c r="C126" s="2" t="s">
        <v>164</v>
      </c>
      <c r="D126" s="2" t="s">
        <v>165</v>
      </c>
      <c r="E126" s="2" t="s">
        <v>166</v>
      </c>
    </row>
    <row r="127" spans="1:35" ht="42">
      <c r="A127" s="2" t="s">
        <v>127</v>
      </c>
      <c r="B127" s="2" t="s">
        <v>167</v>
      </c>
      <c r="C127" s="2" t="s">
        <v>168</v>
      </c>
      <c r="D127" s="2" t="s">
        <v>169</v>
      </c>
      <c r="E127" s="2" t="s">
        <v>170</v>
      </c>
    </row>
    <row r="128" spans="1:35" ht="42">
      <c r="A128" s="2" t="s">
        <v>128</v>
      </c>
      <c r="B128" s="2" t="s">
        <v>171</v>
      </c>
      <c r="C128" s="2" t="s">
        <v>172</v>
      </c>
      <c r="D128" s="2" t="s">
        <v>173</v>
      </c>
      <c r="E128" s="2" t="s">
        <v>174</v>
      </c>
    </row>
    <row r="129" spans="1:5" ht="42">
      <c r="A129" s="2" t="s">
        <v>129</v>
      </c>
      <c r="B129" s="2" t="s">
        <v>175</v>
      </c>
      <c r="C129" s="2" t="s">
        <v>176</v>
      </c>
      <c r="D129" s="2" t="s">
        <v>177</v>
      </c>
      <c r="E129" s="2" t="s">
        <v>178</v>
      </c>
    </row>
    <row r="130" spans="1:5" ht="42">
      <c r="A130" s="2" t="s">
        <v>130</v>
      </c>
      <c r="B130" s="2" t="s">
        <v>179</v>
      </c>
      <c r="C130" s="2" t="s">
        <v>180</v>
      </c>
      <c r="D130" s="2" t="s">
        <v>181</v>
      </c>
      <c r="E130" s="2" t="s">
        <v>182</v>
      </c>
    </row>
    <row r="131" spans="1:5" ht="42">
      <c r="A131" s="2" t="s">
        <v>131</v>
      </c>
      <c r="B131" s="2" t="s">
        <v>183</v>
      </c>
      <c r="C131" s="2" t="s">
        <v>184</v>
      </c>
      <c r="D131" s="2" t="s">
        <v>185</v>
      </c>
      <c r="E131" s="2" t="s">
        <v>186</v>
      </c>
    </row>
    <row r="132" spans="1:5" ht="28">
      <c r="A132" s="2" t="s">
        <v>132</v>
      </c>
      <c r="B132" s="2" t="s">
        <v>187</v>
      </c>
      <c r="C132" s="2" t="s">
        <v>188</v>
      </c>
      <c r="D132" s="2" t="s">
        <v>189</v>
      </c>
      <c r="E132" s="2" t="s">
        <v>190</v>
      </c>
    </row>
    <row r="133" spans="1:5" ht="42">
      <c r="A133" s="2" t="s">
        <v>133</v>
      </c>
      <c r="B133" s="2" t="s">
        <v>191</v>
      </c>
      <c r="C133" s="2" t="s">
        <v>192</v>
      </c>
      <c r="D133" s="2" t="s">
        <v>193</v>
      </c>
      <c r="E133" s="2" t="s">
        <v>194</v>
      </c>
    </row>
    <row r="134" spans="1:5" ht="28">
      <c r="A134" s="2" t="s">
        <v>134</v>
      </c>
      <c r="B134" s="2" t="s">
        <v>195</v>
      </c>
      <c r="C134" s="2" t="s">
        <v>196</v>
      </c>
      <c r="D134" s="2" t="s">
        <v>197</v>
      </c>
      <c r="E134" s="2" t="s">
        <v>198</v>
      </c>
    </row>
    <row r="135" spans="1:5" ht="42">
      <c r="A135" s="2" t="s">
        <v>135</v>
      </c>
      <c r="B135" s="2" t="s">
        <v>199</v>
      </c>
      <c r="C135" s="2" t="s">
        <v>200</v>
      </c>
      <c r="D135" s="2" t="s">
        <v>201</v>
      </c>
      <c r="E135" s="2" t="s">
        <v>202</v>
      </c>
    </row>
    <row r="136" spans="1:5" ht="42">
      <c r="A136" s="2" t="s">
        <v>136</v>
      </c>
      <c r="B136" s="2" t="s">
        <v>203</v>
      </c>
      <c r="C136" s="2" t="s">
        <v>204</v>
      </c>
      <c r="D136" s="2" t="s">
        <v>205</v>
      </c>
      <c r="E136" s="2" t="s">
        <v>206</v>
      </c>
    </row>
    <row r="137" spans="1:5" ht="42">
      <c r="A137" s="2" t="s">
        <v>137</v>
      </c>
      <c r="B137" s="2" t="s">
        <v>207</v>
      </c>
      <c r="C137" s="2" t="s">
        <v>208</v>
      </c>
      <c r="D137" s="2" t="s">
        <v>209</v>
      </c>
      <c r="E137" s="2" t="s">
        <v>210</v>
      </c>
    </row>
    <row r="138" spans="1:5" ht="28">
      <c r="A138" s="2" t="s">
        <v>138</v>
      </c>
      <c r="B138" s="2" t="s">
        <v>211</v>
      </c>
      <c r="C138" s="2" t="s">
        <v>212</v>
      </c>
      <c r="D138" s="2" t="s">
        <v>213</v>
      </c>
      <c r="E138" s="2" t="s">
        <v>214</v>
      </c>
    </row>
    <row r="139" spans="1:5" ht="42">
      <c r="A139" s="2" t="s">
        <v>139</v>
      </c>
      <c r="B139" s="2" t="s">
        <v>215</v>
      </c>
      <c r="C139" s="2" t="s">
        <v>216</v>
      </c>
      <c r="D139" s="2" t="s">
        <v>217</v>
      </c>
      <c r="E139" s="2" t="s">
        <v>218</v>
      </c>
    </row>
    <row r="140" spans="1:5" ht="42">
      <c r="A140" s="2" t="s">
        <v>140</v>
      </c>
      <c r="B140" s="2" t="s">
        <v>219</v>
      </c>
      <c r="C140" s="2" t="s">
        <v>220</v>
      </c>
      <c r="D140" s="2" t="s">
        <v>221</v>
      </c>
      <c r="E140" s="2" t="s">
        <v>222</v>
      </c>
    </row>
    <row r="141" spans="1:5" ht="42">
      <c r="A141" s="2" t="s">
        <v>141</v>
      </c>
      <c r="B141" s="2" t="s">
        <v>223</v>
      </c>
      <c r="C141" s="2" t="s">
        <v>224</v>
      </c>
      <c r="D141" s="2" t="s">
        <v>225</v>
      </c>
      <c r="E141" s="2" t="s">
        <v>226</v>
      </c>
    </row>
  </sheetData>
  <mergeCells count="4">
    <mergeCell ref="A1:AI1"/>
    <mergeCell ref="A2:AI2"/>
    <mergeCell ref="D4:H4"/>
    <mergeCell ref="A122:E122"/>
  </mergeCells>
  <conditionalFormatting sqref="Z18:Z117">
    <cfRule type="expression" dxfId="15" priority="1">
      <formula>Z18="Very High"</formula>
    </cfRule>
    <cfRule type="expression" dxfId="14" priority="2">
      <formula>Z18="High"</formula>
    </cfRule>
    <cfRule type="expression" dxfId="13" priority="3">
      <formula>Z18="Medium"</formula>
    </cfRule>
    <cfRule type="expression" dxfId="12" priority="4">
      <formula>Z18="Low"</formula>
    </cfRule>
  </conditionalFormatting>
  <dataValidations count="4">
    <dataValidation type="list" sqref="B7" xr:uid="{00000000-0002-0000-2300-000000000000}">
      <formula1>"Yes,No"</formula1>
    </dataValidation>
    <dataValidation type="list" sqref="C18:C117" xr:uid="{00000000-0002-0000-2300-000001000000}">
      <formula1>"Ground,First,N/A"</formula1>
    </dataValidation>
    <dataValidation type="list" sqref="H18:Y117" xr:uid="{00000000-0002-0000-2300-000002000000}">
      <formula1>"Low,Medium,High,Very High"</formula1>
    </dataValidation>
    <dataValidation type="list" sqref="AD18:AD117 AG18:AI117" xr:uid="{00000000-0002-0000-2300-000003000000}">
      <formula1>"Yes,No,N/A"</formula1>
    </dataValidation>
  </dataValidation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60"/>
  <sheetViews>
    <sheetView workbookViewId="0"/>
  </sheetViews>
  <sheetFormatPr defaultRowHeight="14"/>
  <cols>
    <col min="1" max="9" width="18" customWidth="1"/>
  </cols>
  <sheetData>
    <row r="1" spans="1:9" ht="20">
      <c r="A1" s="6" t="s">
        <v>366</v>
      </c>
      <c r="B1" s="7"/>
      <c r="C1" s="7"/>
      <c r="D1" s="7"/>
      <c r="E1" s="7"/>
      <c r="F1" s="7"/>
      <c r="G1" s="7"/>
      <c r="H1" s="7"/>
      <c r="I1" s="7"/>
    </row>
    <row r="2" spans="1:9" ht="14.5">
      <c r="A2" s="8" t="s">
        <v>228</v>
      </c>
      <c r="B2" s="7"/>
      <c r="C2" s="7"/>
      <c r="D2" s="7"/>
      <c r="E2" s="7"/>
      <c r="F2" s="7"/>
      <c r="G2" s="7"/>
      <c r="H2" s="7"/>
      <c r="I2" s="7"/>
    </row>
    <row r="4" spans="1:9">
      <c r="A4" s="3" t="s">
        <v>107</v>
      </c>
      <c r="B4" t="s">
        <v>365</v>
      </c>
    </row>
    <row r="5" spans="1:9">
      <c r="A5" s="3" t="s">
        <v>110</v>
      </c>
    </row>
    <row r="6" spans="1:9">
      <c r="A6" s="3" t="s">
        <v>229</v>
      </c>
    </row>
    <row r="7" spans="1:9">
      <c r="A7" s="3" t="s">
        <v>230</v>
      </c>
    </row>
    <row r="8" spans="1:9">
      <c r="A8" s="3" t="s">
        <v>231</v>
      </c>
      <c r="B8">
        <f>COUNTA(A14:A60)</f>
        <v>28</v>
      </c>
    </row>
    <row r="9" spans="1:9">
      <c r="A9" s="3" t="s">
        <v>232</v>
      </c>
      <c r="B9">
        <f>COUNTIF(H14:H60,"FAIL")</f>
        <v>28</v>
      </c>
    </row>
    <row r="10" spans="1:9">
      <c r="A10" s="3" t="s">
        <v>46</v>
      </c>
      <c r="B10" t="str">
        <f>IF(AND(B7="Yes",B9=0),"Complete","Incomplete")</f>
        <v>Incomplete</v>
      </c>
    </row>
    <row r="13" spans="1:9" ht="28">
      <c r="A13" s="1" t="s">
        <v>233</v>
      </c>
      <c r="B13" s="1" t="s">
        <v>234</v>
      </c>
      <c r="C13" s="1" t="s">
        <v>235</v>
      </c>
      <c r="D13" s="1" t="s">
        <v>236</v>
      </c>
      <c r="E13" s="1" t="s">
        <v>237</v>
      </c>
      <c r="F13" s="1" t="s">
        <v>238</v>
      </c>
      <c r="G13" s="1" t="s">
        <v>239</v>
      </c>
      <c r="H13" s="1" t="s">
        <v>240</v>
      </c>
      <c r="I13" s="1" t="s">
        <v>241</v>
      </c>
    </row>
    <row r="14" spans="1:9" ht="42">
      <c r="A14" s="2" t="s">
        <v>242</v>
      </c>
      <c r="B14" s="2">
        <v>1</v>
      </c>
      <c r="C14" s="2"/>
      <c r="D14" s="2" t="s">
        <v>243</v>
      </c>
      <c r="E14" s="2"/>
      <c r="F14" s="2"/>
      <c r="G14" s="2"/>
      <c r="H14" s="2" t="str">
        <f t="shared" ref="H14:H41" si="0">IF(OR(F14="No",C14&lt;B14),"FAIL","PASS")</f>
        <v>FAIL</v>
      </c>
      <c r="I14" s="2"/>
    </row>
    <row r="15" spans="1:9">
      <c r="A15" s="2" t="s">
        <v>244</v>
      </c>
      <c r="B15" s="2">
        <v>1</v>
      </c>
      <c r="C15" s="2"/>
      <c r="D15" s="2" t="s">
        <v>245</v>
      </c>
      <c r="E15" s="2"/>
      <c r="F15" s="2"/>
      <c r="G15" s="2"/>
      <c r="H15" s="2" t="str">
        <f t="shared" si="0"/>
        <v>FAIL</v>
      </c>
      <c r="I15" s="2"/>
    </row>
    <row r="16" spans="1:9" ht="28">
      <c r="A16" s="2" t="s">
        <v>246</v>
      </c>
      <c r="B16" s="2">
        <v>1</v>
      </c>
      <c r="C16" s="2"/>
      <c r="D16" s="2" t="s">
        <v>247</v>
      </c>
      <c r="E16" s="2"/>
      <c r="F16" s="2"/>
      <c r="G16" s="2"/>
      <c r="H16" s="2" t="str">
        <f t="shared" si="0"/>
        <v>FAIL</v>
      </c>
      <c r="I16" s="2"/>
    </row>
    <row r="17" spans="1:9" ht="28">
      <c r="A17" s="2" t="s">
        <v>248</v>
      </c>
      <c r="B17" s="2">
        <v>1</v>
      </c>
      <c r="C17" s="2"/>
      <c r="D17" s="2" t="s">
        <v>249</v>
      </c>
      <c r="E17" s="2"/>
      <c r="F17" s="2"/>
      <c r="G17" s="2"/>
      <c r="H17" s="2" t="str">
        <f t="shared" si="0"/>
        <v>FAIL</v>
      </c>
      <c r="I17" s="2"/>
    </row>
    <row r="18" spans="1:9" ht="28">
      <c r="A18" s="2" t="s">
        <v>250</v>
      </c>
      <c r="B18" s="2">
        <v>2</v>
      </c>
      <c r="C18" s="2"/>
      <c r="D18" s="2" t="s">
        <v>251</v>
      </c>
      <c r="E18" s="2"/>
      <c r="F18" s="2"/>
      <c r="G18" s="2"/>
      <c r="H18" s="2" t="str">
        <f t="shared" si="0"/>
        <v>FAIL</v>
      </c>
      <c r="I18" s="2"/>
    </row>
    <row r="19" spans="1:9" ht="28">
      <c r="A19" s="2" t="s">
        <v>252</v>
      </c>
      <c r="B19" s="2">
        <v>1</v>
      </c>
      <c r="C19" s="2"/>
      <c r="D19" s="2" t="s">
        <v>253</v>
      </c>
      <c r="E19" s="2"/>
      <c r="F19" s="2"/>
      <c r="G19" s="2"/>
      <c r="H19" s="2" t="str">
        <f t="shared" si="0"/>
        <v>FAIL</v>
      </c>
      <c r="I19" s="2"/>
    </row>
    <row r="20" spans="1:9" ht="42">
      <c r="A20" s="2" t="s">
        <v>254</v>
      </c>
      <c r="B20" s="2">
        <v>1</v>
      </c>
      <c r="C20" s="2"/>
      <c r="D20" s="2" t="s">
        <v>255</v>
      </c>
      <c r="E20" s="2"/>
      <c r="F20" s="2"/>
      <c r="G20" s="2"/>
      <c r="H20" s="2" t="str">
        <f t="shared" si="0"/>
        <v>FAIL</v>
      </c>
      <c r="I20" s="2"/>
    </row>
    <row r="21" spans="1:9">
      <c r="A21" s="2" t="s">
        <v>256</v>
      </c>
      <c r="B21" s="2">
        <v>2</v>
      </c>
      <c r="C21" s="2"/>
      <c r="D21" s="2" t="s">
        <v>257</v>
      </c>
      <c r="E21" s="2"/>
      <c r="F21" s="2"/>
      <c r="G21" s="2"/>
      <c r="H21" s="2" t="str">
        <f t="shared" si="0"/>
        <v>FAIL</v>
      </c>
      <c r="I21" s="2"/>
    </row>
    <row r="22" spans="1:9" ht="28">
      <c r="A22" s="2" t="s">
        <v>258</v>
      </c>
      <c r="B22" s="2">
        <v>1</v>
      </c>
      <c r="C22" s="2"/>
      <c r="D22" s="2" t="s">
        <v>259</v>
      </c>
      <c r="E22" s="2"/>
      <c r="F22" s="2"/>
      <c r="G22" s="2"/>
      <c r="H22" s="2" t="str">
        <f t="shared" si="0"/>
        <v>FAIL</v>
      </c>
      <c r="I22" s="2"/>
    </row>
    <row r="23" spans="1:9" ht="28">
      <c r="A23" s="2" t="s">
        <v>260</v>
      </c>
      <c r="B23" s="2">
        <v>2</v>
      </c>
      <c r="C23" s="2"/>
      <c r="D23" s="2" t="s">
        <v>261</v>
      </c>
      <c r="E23" s="2"/>
      <c r="F23" s="2"/>
      <c r="G23" s="2"/>
      <c r="H23" s="2" t="str">
        <f t="shared" si="0"/>
        <v>FAIL</v>
      </c>
      <c r="I23" s="2"/>
    </row>
    <row r="24" spans="1:9">
      <c r="A24" s="2" t="s">
        <v>262</v>
      </c>
      <c r="B24" s="2">
        <v>2</v>
      </c>
      <c r="C24" s="2"/>
      <c r="D24" s="2" t="s">
        <v>263</v>
      </c>
      <c r="E24" s="2"/>
      <c r="F24" s="2"/>
      <c r="G24" s="2"/>
      <c r="H24" s="2" t="str">
        <f t="shared" si="0"/>
        <v>FAIL</v>
      </c>
      <c r="I24" s="2"/>
    </row>
    <row r="25" spans="1:9" ht="28">
      <c r="A25" s="2" t="s">
        <v>264</v>
      </c>
      <c r="B25" s="2">
        <v>2</v>
      </c>
      <c r="C25" s="2"/>
      <c r="D25" s="2" t="s">
        <v>265</v>
      </c>
      <c r="E25" s="2"/>
      <c r="F25" s="2"/>
      <c r="G25" s="2"/>
      <c r="H25" s="2" t="str">
        <f t="shared" si="0"/>
        <v>FAIL</v>
      </c>
      <c r="I25" s="2"/>
    </row>
    <row r="26" spans="1:9">
      <c r="A26" s="2" t="s">
        <v>266</v>
      </c>
      <c r="B26" s="2">
        <v>2</v>
      </c>
      <c r="C26" s="2"/>
      <c r="D26" s="2" t="s">
        <v>265</v>
      </c>
      <c r="E26" s="2"/>
      <c r="F26" s="2"/>
      <c r="G26" s="2"/>
      <c r="H26" s="2" t="str">
        <f t="shared" si="0"/>
        <v>FAIL</v>
      </c>
      <c r="I26" s="2"/>
    </row>
    <row r="27" spans="1:9">
      <c r="A27" s="2" t="s">
        <v>267</v>
      </c>
      <c r="B27" s="2">
        <v>8</v>
      </c>
      <c r="C27" s="2"/>
      <c r="D27" s="2" t="s">
        <v>268</v>
      </c>
      <c r="E27" s="2"/>
      <c r="F27" s="2"/>
      <c r="G27" s="2"/>
      <c r="H27" s="2" t="str">
        <f t="shared" si="0"/>
        <v>FAIL</v>
      </c>
      <c r="I27" s="2"/>
    </row>
    <row r="28" spans="1:9">
      <c r="A28" s="2" t="s">
        <v>269</v>
      </c>
      <c r="B28" s="2">
        <v>4</v>
      </c>
      <c r="C28" s="2"/>
      <c r="D28" s="2" t="s">
        <v>270</v>
      </c>
      <c r="E28" s="2"/>
      <c r="F28" s="2"/>
      <c r="G28" s="2"/>
      <c r="H28" s="2" t="str">
        <f t="shared" si="0"/>
        <v>FAIL</v>
      </c>
      <c r="I28" s="2"/>
    </row>
    <row r="29" spans="1:9" ht="28">
      <c r="A29" s="2" t="s">
        <v>271</v>
      </c>
      <c r="B29" s="2">
        <v>20</v>
      </c>
      <c r="C29" s="2"/>
      <c r="D29" s="2" t="s">
        <v>272</v>
      </c>
      <c r="E29" s="2"/>
      <c r="F29" s="2"/>
      <c r="G29" s="2"/>
      <c r="H29" s="2" t="str">
        <f t="shared" si="0"/>
        <v>FAIL</v>
      </c>
      <c r="I29" s="2"/>
    </row>
    <row r="30" spans="1:9">
      <c r="A30" s="2" t="s">
        <v>273</v>
      </c>
      <c r="B30" s="2">
        <v>2</v>
      </c>
      <c r="C30" s="2"/>
      <c r="D30" s="2" t="s">
        <v>265</v>
      </c>
      <c r="E30" s="2"/>
      <c r="F30" s="2"/>
      <c r="G30" s="2"/>
      <c r="H30" s="2" t="str">
        <f t="shared" si="0"/>
        <v>FAIL</v>
      </c>
      <c r="I30" s="2"/>
    </row>
    <row r="31" spans="1:9">
      <c r="A31" s="2" t="s">
        <v>274</v>
      </c>
      <c r="B31" s="2">
        <v>1</v>
      </c>
      <c r="C31" s="2"/>
      <c r="D31" s="2" t="s">
        <v>275</v>
      </c>
      <c r="E31" s="2"/>
      <c r="F31" s="2"/>
      <c r="G31" s="2"/>
      <c r="H31" s="2" t="str">
        <f t="shared" si="0"/>
        <v>FAIL</v>
      </c>
      <c r="I31" s="2"/>
    </row>
    <row r="32" spans="1:9">
      <c r="A32" s="2" t="s">
        <v>276</v>
      </c>
      <c r="B32" s="2">
        <v>5</v>
      </c>
      <c r="C32" s="2"/>
      <c r="D32" s="2" t="s">
        <v>265</v>
      </c>
      <c r="E32" s="2"/>
      <c r="F32" s="2"/>
      <c r="G32" s="2"/>
      <c r="H32" s="2" t="str">
        <f t="shared" si="0"/>
        <v>FAIL</v>
      </c>
      <c r="I32" s="2"/>
    </row>
    <row r="33" spans="1:9">
      <c r="A33" s="2" t="s">
        <v>277</v>
      </c>
      <c r="B33" s="2">
        <v>2</v>
      </c>
      <c r="C33" s="2"/>
      <c r="D33" s="2" t="s">
        <v>265</v>
      </c>
      <c r="E33" s="2"/>
      <c r="F33" s="2"/>
      <c r="G33" s="2"/>
      <c r="H33" s="2" t="str">
        <f t="shared" si="0"/>
        <v>FAIL</v>
      </c>
      <c r="I33" s="2"/>
    </row>
    <row r="34" spans="1:9" ht="28">
      <c r="A34" s="2" t="s">
        <v>278</v>
      </c>
      <c r="B34" s="2">
        <v>20</v>
      </c>
      <c r="C34" s="2"/>
      <c r="D34" s="2" t="s">
        <v>270</v>
      </c>
      <c r="E34" s="2"/>
      <c r="F34" s="2"/>
      <c r="G34" s="2"/>
      <c r="H34" s="2" t="str">
        <f t="shared" si="0"/>
        <v>FAIL</v>
      </c>
      <c r="I34" s="2"/>
    </row>
    <row r="35" spans="1:9">
      <c r="A35" s="2" t="s">
        <v>279</v>
      </c>
      <c r="B35" s="2">
        <v>20</v>
      </c>
      <c r="C35" s="2"/>
      <c r="D35" s="2" t="s">
        <v>270</v>
      </c>
      <c r="E35" s="2"/>
      <c r="F35" s="2"/>
      <c r="G35" s="2"/>
      <c r="H35" s="2" t="str">
        <f t="shared" si="0"/>
        <v>FAIL</v>
      </c>
      <c r="I35" s="2"/>
    </row>
    <row r="36" spans="1:9" ht="28">
      <c r="A36" s="2" t="s">
        <v>280</v>
      </c>
      <c r="B36" s="2">
        <v>1</v>
      </c>
      <c r="C36" s="2"/>
      <c r="D36" s="2" t="s">
        <v>281</v>
      </c>
      <c r="E36" s="2"/>
      <c r="F36" s="2"/>
      <c r="G36" s="2"/>
      <c r="H36" s="2" t="str">
        <f t="shared" si="0"/>
        <v>FAIL</v>
      </c>
      <c r="I36" s="2"/>
    </row>
    <row r="37" spans="1:9" ht="28">
      <c r="A37" s="2" t="s">
        <v>282</v>
      </c>
      <c r="B37" s="2">
        <v>1</v>
      </c>
      <c r="C37" s="2"/>
      <c r="D37" s="2" t="s">
        <v>281</v>
      </c>
      <c r="E37" s="2"/>
      <c r="F37" s="2"/>
      <c r="G37" s="2"/>
      <c r="H37" s="2" t="str">
        <f t="shared" si="0"/>
        <v>FAIL</v>
      </c>
      <c r="I37" s="2"/>
    </row>
    <row r="38" spans="1:9" ht="28">
      <c r="A38" s="2" t="s">
        <v>283</v>
      </c>
      <c r="B38" s="2">
        <v>1</v>
      </c>
      <c r="C38" s="2"/>
      <c r="D38" s="2" t="s">
        <v>281</v>
      </c>
      <c r="E38" s="2"/>
      <c r="F38" s="2"/>
      <c r="G38" s="2"/>
      <c r="H38" s="2" t="str">
        <f t="shared" si="0"/>
        <v>FAIL</v>
      </c>
      <c r="I38" s="2"/>
    </row>
    <row r="39" spans="1:9" ht="28">
      <c r="A39" s="2" t="s">
        <v>284</v>
      </c>
      <c r="B39" s="2">
        <v>1</v>
      </c>
      <c r="C39" s="2"/>
      <c r="D39" s="2" t="s">
        <v>285</v>
      </c>
      <c r="E39" s="2"/>
      <c r="F39" s="2"/>
      <c r="G39" s="2"/>
      <c r="H39" s="2" t="str">
        <f t="shared" si="0"/>
        <v>FAIL</v>
      </c>
      <c r="I39" s="2"/>
    </row>
    <row r="40" spans="1:9" ht="28">
      <c r="A40" s="2" t="s">
        <v>286</v>
      </c>
      <c r="B40" s="2">
        <v>1</v>
      </c>
      <c r="C40" s="2"/>
      <c r="D40" s="2" t="s">
        <v>287</v>
      </c>
      <c r="E40" s="2"/>
      <c r="F40" s="2"/>
      <c r="G40" s="2"/>
      <c r="H40" s="2" t="str">
        <f t="shared" si="0"/>
        <v>FAIL</v>
      </c>
      <c r="I40" s="2"/>
    </row>
    <row r="41" spans="1:9" ht="28">
      <c r="A41" s="2" t="s">
        <v>288</v>
      </c>
      <c r="B41" s="2">
        <v>1</v>
      </c>
      <c r="C41" s="2"/>
      <c r="D41" s="2" t="s">
        <v>281</v>
      </c>
      <c r="E41" s="2"/>
      <c r="F41" s="2"/>
      <c r="G41" s="2"/>
      <c r="H41" s="2" t="str">
        <f t="shared" si="0"/>
        <v>FAIL</v>
      </c>
      <c r="I41" s="2"/>
    </row>
    <row r="42" spans="1:9">
      <c r="A42" s="2"/>
      <c r="B42" s="2"/>
      <c r="C42" s="2"/>
      <c r="D42" s="2"/>
      <c r="E42" s="2"/>
      <c r="F42" s="2"/>
      <c r="G42" s="2"/>
      <c r="H42" s="2"/>
      <c r="I42" s="2"/>
    </row>
    <row r="43" spans="1:9">
      <c r="A43" s="2"/>
      <c r="B43" s="2"/>
      <c r="C43" s="2"/>
      <c r="D43" s="2"/>
      <c r="E43" s="2"/>
      <c r="F43" s="2"/>
      <c r="G43" s="2"/>
      <c r="H43" s="2"/>
      <c r="I43" s="2"/>
    </row>
    <row r="44" spans="1:9">
      <c r="A44" s="2"/>
      <c r="B44" s="2"/>
      <c r="C44" s="2"/>
      <c r="D44" s="2"/>
      <c r="E44" s="2"/>
      <c r="F44" s="2"/>
      <c r="G44" s="2"/>
      <c r="H44" s="2"/>
      <c r="I44" s="2"/>
    </row>
    <row r="45" spans="1:9">
      <c r="A45" s="2"/>
      <c r="B45" s="2"/>
      <c r="C45" s="2"/>
      <c r="D45" s="2"/>
      <c r="E45" s="2"/>
      <c r="F45" s="2"/>
      <c r="G45" s="2"/>
      <c r="H45" s="2"/>
      <c r="I45" s="2"/>
    </row>
    <row r="46" spans="1:9">
      <c r="A46" s="2"/>
      <c r="B46" s="2"/>
      <c r="C46" s="2"/>
      <c r="D46" s="2"/>
      <c r="E46" s="2"/>
      <c r="F46" s="2"/>
      <c r="G46" s="2"/>
      <c r="H46" s="2"/>
      <c r="I46" s="2"/>
    </row>
    <row r="47" spans="1:9">
      <c r="A47" s="2"/>
      <c r="B47" s="2"/>
      <c r="C47" s="2"/>
      <c r="D47" s="2"/>
      <c r="E47" s="2"/>
      <c r="F47" s="2"/>
      <c r="G47" s="2"/>
      <c r="H47" s="2"/>
      <c r="I47" s="2"/>
    </row>
    <row r="48" spans="1:9">
      <c r="A48" s="2"/>
      <c r="B48" s="2"/>
      <c r="C48" s="2"/>
      <c r="D48" s="2"/>
      <c r="E48" s="2"/>
      <c r="F48" s="2"/>
      <c r="G48" s="2"/>
      <c r="H48" s="2"/>
      <c r="I48" s="2"/>
    </row>
    <row r="49" spans="1:9">
      <c r="A49" s="2"/>
      <c r="B49" s="2"/>
      <c r="C49" s="2"/>
      <c r="D49" s="2"/>
      <c r="E49" s="2"/>
      <c r="F49" s="2"/>
      <c r="G49" s="2"/>
      <c r="H49" s="2"/>
      <c r="I49" s="2"/>
    </row>
    <row r="50" spans="1:9">
      <c r="A50" s="2"/>
      <c r="B50" s="2"/>
      <c r="C50" s="2"/>
      <c r="D50" s="2"/>
      <c r="E50" s="2"/>
      <c r="F50" s="2"/>
      <c r="G50" s="2"/>
      <c r="H50" s="2"/>
      <c r="I50" s="2"/>
    </row>
    <row r="51" spans="1:9">
      <c r="A51" s="2"/>
      <c r="B51" s="2"/>
      <c r="C51" s="2"/>
      <c r="D51" s="2"/>
      <c r="E51" s="2"/>
      <c r="F51" s="2"/>
      <c r="G51" s="2"/>
      <c r="H51" s="2"/>
      <c r="I51" s="2"/>
    </row>
    <row r="52" spans="1:9">
      <c r="A52" s="2"/>
      <c r="B52" s="2"/>
      <c r="C52" s="2"/>
      <c r="D52" s="2"/>
      <c r="E52" s="2"/>
      <c r="F52" s="2"/>
      <c r="G52" s="2"/>
      <c r="H52" s="2"/>
      <c r="I52" s="2"/>
    </row>
    <row r="53" spans="1:9">
      <c r="A53" s="2"/>
      <c r="B53" s="2"/>
      <c r="C53" s="2"/>
      <c r="D53" s="2"/>
      <c r="E53" s="2"/>
      <c r="F53" s="2"/>
      <c r="G53" s="2"/>
      <c r="H53" s="2"/>
      <c r="I53" s="2"/>
    </row>
    <row r="54" spans="1:9">
      <c r="A54" s="2"/>
      <c r="B54" s="2"/>
      <c r="C54" s="2"/>
      <c r="D54" s="2"/>
      <c r="E54" s="2"/>
      <c r="F54" s="2"/>
      <c r="G54" s="2"/>
      <c r="H54" s="2"/>
      <c r="I54" s="2"/>
    </row>
    <row r="55" spans="1:9">
      <c r="A55" s="2"/>
      <c r="B55" s="2"/>
      <c r="C55" s="2"/>
      <c r="D55" s="2"/>
      <c r="E55" s="2"/>
      <c r="F55" s="2"/>
      <c r="G55" s="2"/>
      <c r="H55" s="2"/>
      <c r="I55" s="2"/>
    </row>
    <row r="56" spans="1:9">
      <c r="A56" s="2"/>
      <c r="B56" s="2"/>
      <c r="C56" s="2"/>
      <c r="D56" s="2"/>
      <c r="E56" s="2"/>
      <c r="F56" s="2"/>
      <c r="G56" s="2"/>
      <c r="H56" s="2"/>
      <c r="I56" s="2"/>
    </row>
    <row r="57" spans="1:9">
      <c r="A57" s="2"/>
      <c r="B57" s="2"/>
      <c r="C57" s="2"/>
      <c r="D57" s="2"/>
      <c r="E57" s="2"/>
      <c r="F57" s="2"/>
      <c r="G57" s="2"/>
      <c r="H57" s="2"/>
      <c r="I57" s="2"/>
    </row>
    <row r="58" spans="1:9">
      <c r="A58" s="2"/>
      <c r="B58" s="2"/>
      <c r="C58" s="2"/>
      <c r="D58" s="2"/>
      <c r="E58" s="2"/>
      <c r="F58" s="2"/>
      <c r="G58" s="2"/>
      <c r="H58" s="2"/>
      <c r="I58" s="2"/>
    </row>
    <row r="59" spans="1:9">
      <c r="A59" s="2"/>
      <c r="B59" s="2"/>
      <c r="C59" s="2"/>
      <c r="D59" s="2"/>
      <c r="E59" s="2"/>
      <c r="F59" s="2"/>
      <c r="G59" s="2"/>
      <c r="H59" s="2"/>
      <c r="I59" s="2"/>
    </row>
    <row r="60" spans="1:9">
      <c r="A60" s="2"/>
      <c r="B60" s="2"/>
      <c r="C60" s="2"/>
      <c r="D60" s="2"/>
      <c r="E60" s="2"/>
      <c r="F60" s="2"/>
      <c r="G60" s="2"/>
      <c r="H60" s="2"/>
      <c r="I60" s="2"/>
    </row>
  </sheetData>
  <mergeCells count="2">
    <mergeCell ref="A1:I1"/>
    <mergeCell ref="A2:I2"/>
  </mergeCells>
  <dataValidations count="2">
    <dataValidation type="list" sqref="B7" xr:uid="{00000000-0002-0000-2400-000000000000}">
      <formula1>"Yes,No"</formula1>
    </dataValidation>
    <dataValidation type="list" sqref="F14:F41" xr:uid="{00000000-0002-0000-2400-000001000000}">
      <formula1>"Yes,No,N/A"</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60"/>
  <sheetViews>
    <sheetView workbookViewId="0"/>
  </sheetViews>
  <sheetFormatPr defaultRowHeight="14"/>
  <cols>
    <col min="1" max="8" width="18" customWidth="1"/>
  </cols>
  <sheetData>
    <row r="1" spans="1:8" ht="20">
      <c r="A1" s="6" t="s">
        <v>367</v>
      </c>
      <c r="B1" s="7"/>
      <c r="C1" s="7"/>
      <c r="D1" s="7"/>
      <c r="E1" s="7"/>
      <c r="F1" s="7"/>
      <c r="G1" s="7"/>
      <c r="H1" s="7"/>
    </row>
    <row r="2" spans="1:8" ht="14.5">
      <c r="A2" s="8" t="s">
        <v>290</v>
      </c>
      <c r="B2" s="7"/>
      <c r="C2" s="7"/>
      <c r="D2" s="7"/>
      <c r="E2" s="7"/>
      <c r="F2" s="7"/>
      <c r="G2" s="7"/>
      <c r="H2" s="7"/>
    </row>
    <row r="4" spans="1:8">
      <c r="A4" s="3" t="s">
        <v>107</v>
      </c>
      <c r="B4" t="s">
        <v>365</v>
      </c>
    </row>
    <row r="5" spans="1:8">
      <c r="A5" s="3" t="s">
        <v>110</v>
      </c>
    </row>
    <row r="6" spans="1:8">
      <c r="A6" s="3" t="s">
        <v>229</v>
      </c>
    </row>
    <row r="7" spans="1:8">
      <c r="A7" s="3" t="s">
        <v>230</v>
      </c>
    </row>
    <row r="8" spans="1:8">
      <c r="A8" s="3" t="s">
        <v>291</v>
      </c>
      <c r="B8">
        <f>COUNTA(A14:A60)</f>
        <v>22</v>
      </c>
    </row>
    <row r="9" spans="1:8">
      <c r="A9" s="3" t="s">
        <v>292</v>
      </c>
      <c r="B9">
        <f>COUNTIF(G14:G60,"FAIL")</f>
        <v>22</v>
      </c>
    </row>
    <row r="10" spans="1:8">
      <c r="A10" s="3" t="s">
        <v>46</v>
      </c>
      <c r="B10" t="str">
        <f>IF(AND(B7="Yes",B9=0),"Complete","Incomplete")</f>
        <v>Incomplete</v>
      </c>
    </row>
    <row r="13" spans="1:8">
      <c r="A13" s="1" t="s">
        <v>233</v>
      </c>
      <c r="B13" s="1" t="s">
        <v>234</v>
      </c>
      <c r="C13" s="1" t="s">
        <v>235</v>
      </c>
      <c r="D13" s="1" t="s">
        <v>293</v>
      </c>
      <c r="E13" s="1" t="s">
        <v>294</v>
      </c>
      <c r="F13" s="1" t="s">
        <v>239</v>
      </c>
      <c r="G13" s="1" t="s">
        <v>240</v>
      </c>
      <c r="H13" s="1" t="s">
        <v>241</v>
      </c>
    </row>
    <row r="14" spans="1:8" ht="28">
      <c r="A14" s="2" t="s">
        <v>295</v>
      </c>
      <c r="B14" s="2">
        <v>6</v>
      </c>
      <c r="C14" s="2"/>
      <c r="D14" s="2"/>
      <c r="E14" s="2"/>
      <c r="F14" s="2"/>
      <c r="G14" s="2" t="str">
        <f t="shared" ref="G14:G35" si="0">IF(OR(C14&lt;B14,E14="No"),"FAIL","PASS")</f>
        <v>FAIL</v>
      </c>
      <c r="H14" s="2"/>
    </row>
    <row r="15" spans="1:8" ht="28">
      <c r="A15" s="2" t="s">
        <v>296</v>
      </c>
      <c r="B15" s="2">
        <v>8</v>
      </c>
      <c r="C15" s="2"/>
      <c r="D15" s="2"/>
      <c r="E15" s="2"/>
      <c r="F15" s="2"/>
      <c r="G15" s="2" t="str">
        <f t="shared" si="0"/>
        <v>FAIL</v>
      </c>
      <c r="H15" s="2"/>
    </row>
    <row r="16" spans="1:8" ht="28">
      <c r="A16" s="2" t="s">
        <v>297</v>
      </c>
      <c r="B16" s="2">
        <v>10</v>
      </c>
      <c r="C16" s="2"/>
      <c r="D16" s="2"/>
      <c r="E16" s="2"/>
      <c r="F16" s="2"/>
      <c r="G16" s="2" t="str">
        <f t="shared" si="0"/>
        <v>FAIL</v>
      </c>
      <c r="H16" s="2"/>
    </row>
    <row r="17" spans="1:8">
      <c r="A17" s="2" t="s">
        <v>298</v>
      </c>
      <c r="B17" s="2">
        <v>4</v>
      </c>
      <c r="C17" s="2"/>
      <c r="D17" s="2"/>
      <c r="E17" s="2"/>
      <c r="F17" s="2"/>
      <c r="G17" s="2" t="str">
        <f t="shared" si="0"/>
        <v>FAIL</v>
      </c>
      <c r="H17" s="2"/>
    </row>
    <row r="18" spans="1:8">
      <c r="A18" s="2" t="s">
        <v>299</v>
      </c>
      <c r="B18" s="2">
        <v>6</v>
      </c>
      <c r="C18" s="2"/>
      <c r="D18" s="2"/>
      <c r="E18" s="2"/>
      <c r="F18" s="2"/>
      <c r="G18" s="2" t="str">
        <f t="shared" si="0"/>
        <v>FAIL</v>
      </c>
      <c r="H18" s="2"/>
    </row>
    <row r="19" spans="1:8" ht="28">
      <c r="A19" s="2" t="s">
        <v>300</v>
      </c>
      <c r="B19" s="2">
        <v>6</v>
      </c>
      <c r="C19" s="2"/>
      <c r="D19" s="2"/>
      <c r="E19" s="2"/>
      <c r="F19" s="2"/>
      <c r="G19" s="2" t="str">
        <f t="shared" si="0"/>
        <v>FAIL</v>
      </c>
      <c r="H19" s="2"/>
    </row>
    <row r="20" spans="1:8">
      <c r="A20" s="2" t="s">
        <v>301</v>
      </c>
      <c r="B20" s="2">
        <v>10</v>
      </c>
      <c r="C20" s="2"/>
      <c r="D20" s="2"/>
      <c r="E20" s="2"/>
      <c r="F20" s="2"/>
      <c r="G20" s="2" t="str">
        <f t="shared" si="0"/>
        <v>FAIL</v>
      </c>
      <c r="H20" s="2"/>
    </row>
    <row r="21" spans="1:8">
      <c r="A21" s="2" t="s">
        <v>302</v>
      </c>
      <c r="B21" s="2">
        <v>4</v>
      </c>
      <c r="C21" s="2"/>
      <c r="D21" s="2"/>
      <c r="E21" s="2"/>
      <c r="F21" s="2"/>
      <c r="G21" s="2" t="str">
        <f t="shared" si="0"/>
        <v>FAIL</v>
      </c>
      <c r="H21" s="2"/>
    </row>
    <row r="22" spans="1:8" ht="28">
      <c r="A22" s="2" t="s">
        <v>303</v>
      </c>
      <c r="B22" s="2">
        <v>4</v>
      </c>
      <c r="C22" s="2"/>
      <c r="D22" s="2"/>
      <c r="E22" s="2"/>
      <c r="F22" s="2"/>
      <c r="G22" s="2" t="str">
        <f t="shared" si="0"/>
        <v>FAIL</v>
      </c>
      <c r="H22" s="2"/>
    </row>
    <row r="23" spans="1:8">
      <c r="A23" s="2" t="s">
        <v>304</v>
      </c>
      <c r="B23" s="2">
        <v>2</v>
      </c>
      <c r="C23" s="2"/>
      <c r="D23" s="2"/>
      <c r="E23" s="2"/>
      <c r="F23" s="2"/>
      <c r="G23" s="2" t="str">
        <f t="shared" si="0"/>
        <v>FAIL</v>
      </c>
      <c r="H23" s="2"/>
    </row>
    <row r="24" spans="1:8" ht="28">
      <c r="A24" s="2" t="s">
        <v>305</v>
      </c>
      <c r="B24" s="2">
        <v>50</v>
      </c>
      <c r="C24" s="2"/>
      <c r="D24" s="2"/>
      <c r="E24" s="2"/>
      <c r="F24" s="2"/>
      <c r="G24" s="2" t="str">
        <f t="shared" si="0"/>
        <v>FAIL</v>
      </c>
      <c r="H24" s="2"/>
    </row>
    <row r="25" spans="1:8">
      <c r="A25" s="2" t="s">
        <v>306</v>
      </c>
      <c r="B25" s="2">
        <v>2</v>
      </c>
      <c r="C25" s="2"/>
      <c r="D25" s="2"/>
      <c r="E25" s="2"/>
      <c r="F25" s="2"/>
      <c r="G25" s="2" t="str">
        <f t="shared" si="0"/>
        <v>FAIL</v>
      </c>
      <c r="H25" s="2"/>
    </row>
    <row r="26" spans="1:8">
      <c r="A26" s="2" t="s">
        <v>307</v>
      </c>
      <c r="B26" s="2">
        <v>2</v>
      </c>
      <c r="C26" s="2"/>
      <c r="D26" s="2"/>
      <c r="E26" s="2"/>
      <c r="F26" s="2"/>
      <c r="G26" s="2" t="str">
        <f t="shared" si="0"/>
        <v>FAIL</v>
      </c>
      <c r="H26" s="2"/>
    </row>
    <row r="27" spans="1:8" ht="28">
      <c r="A27" s="2" t="s">
        <v>308</v>
      </c>
      <c r="B27" s="2">
        <v>2</v>
      </c>
      <c r="C27" s="2"/>
      <c r="D27" s="2"/>
      <c r="E27" s="2"/>
      <c r="F27" s="2"/>
      <c r="G27" s="2" t="str">
        <f t="shared" si="0"/>
        <v>FAIL</v>
      </c>
      <c r="H27" s="2"/>
    </row>
    <row r="28" spans="1:8">
      <c r="A28" s="2" t="s">
        <v>309</v>
      </c>
      <c r="B28" s="2">
        <v>4</v>
      </c>
      <c r="C28" s="2"/>
      <c r="D28" s="2"/>
      <c r="E28" s="2"/>
      <c r="F28" s="2"/>
      <c r="G28" s="2" t="str">
        <f t="shared" si="0"/>
        <v>FAIL</v>
      </c>
      <c r="H28" s="2"/>
    </row>
    <row r="29" spans="1:8">
      <c r="A29" s="2" t="s">
        <v>310</v>
      </c>
      <c r="B29" s="2">
        <v>20</v>
      </c>
      <c r="C29" s="2"/>
      <c r="D29" s="2"/>
      <c r="E29" s="2"/>
      <c r="F29" s="2"/>
      <c r="G29" s="2" t="str">
        <f t="shared" si="0"/>
        <v>FAIL</v>
      </c>
      <c r="H29" s="2"/>
    </row>
    <row r="30" spans="1:8" ht="28">
      <c r="A30" s="2" t="s">
        <v>311</v>
      </c>
      <c r="B30" s="2">
        <v>1</v>
      </c>
      <c r="C30" s="2"/>
      <c r="D30" s="2"/>
      <c r="E30" s="2"/>
      <c r="F30" s="2"/>
      <c r="G30" s="2" t="str">
        <f t="shared" si="0"/>
        <v>FAIL</v>
      </c>
      <c r="H30" s="2"/>
    </row>
    <row r="31" spans="1:8" ht="28">
      <c r="A31" s="2" t="s">
        <v>312</v>
      </c>
      <c r="B31" s="2">
        <v>1</v>
      </c>
      <c r="C31" s="2"/>
      <c r="D31" s="2"/>
      <c r="E31" s="2"/>
      <c r="F31" s="2"/>
      <c r="G31" s="2" t="str">
        <f t="shared" si="0"/>
        <v>FAIL</v>
      </c>
      <c r="H31" s="2"/>
    </row>
    <row r="32" spans="1:8" ht="28">
      <c r="A32" s="2" t="s">
        <v>313</v>
      </c>
      <c r="B32" s="2">
        <v>1</v>
      </c>
      <c r="C32" s="2"/>
      <c r="D32" s="2"/>
      <c r="E32" s="2"/>
      <c r="F32" s="2"/>
      <c r="G32" s="2" t="str">
        <f t="shared" si="0"/>
        <v>FAIL</v>
      </c>
      <c r="H32" s="2"/>
    </row>
    <row r="33" spans="1:8" ht="28">
      <c r="A33" s="2" t="s">
        <v>314</v>
      </c>
      <c r="B33" s="2">
        <v>1</v>
      </c>
      <c r="C33" s="2"/>
      <c r="D33" s="2"/>
      <c r="E33" s="2"/>
      <c r="F33" s="2"/>
      <c r="G33" s="2" t="str">
        <f t="shared" si="0"/>
        <v>FAIL</v>
      </c>
      <c r="H33" s="2"/>
    </row>
    <row r="34" spans="1:8" ht="28">
      <c r="A34" s="2" t="s">
        <v>315</v>
      </c>
      <c r="B34" s="2">
        <v>1</v>
      </c>
      <c r="C34" s="2"/>
      <c r="D34" s="2"/>
      <c r="E34" s="2"/>
      <c r="F34" s="2"/>
      <c r="G34" s="2" t="str">
        <f t="shared" si="0"/>
        <v>FAIL</v>
      </c>
      <c r="H34" s="2"/>
    </row>
    <row r="35" spans="1:8" ht="28">
      <c r="A35" s="2" t="s">
        <v>316</v>
      </c>
      <c r="B35" s="2">
        <v>1</v>
      </c>
      <c r="C35" s="2"/>
      <c r="D35" s="2"/>
      <c r="E35" s="2"/>
      <c r="F35" s="2"/>
      <c r="G35" s="2" t="str">
        <f t="shared" si="0"/>
        <v>FAIL</v>
      </c>
      <c r="H35" s="2"/>
    </row>
    <row r="36" spans="1:8">
      <c r="A36" s="2"/>
      <c r="B36" s="2"/>
      <c r="C36" s="2"/>
      <c r="D36" s="2"/>
      <c r="E36" s="2"/>
      <c r="F36" s="2"/>
      <c r="G36" s="2"/>
      <c r="H36" s="2"/>
    </row>
    <row r="37" spans="1:8">
      <c r="A37" s="2"/>
      <c r="B37" s="2"/>
      <c r="C37" s="2"/>
      <c r="D37" s="2"/>
      <c r="E37" s="2"/>
      <c r="F37" s="2"/>
      <c r="G37" s="2"/>
      <c r="H37" s="2"/>
    </row>
    <row r="38" spans="1:8">
      <c r="A38" s="2"/>
      <c r="B38" s="2"/>
      <c r="C38" s="2"/>
      <c r="D38" s="2"/>
      <c r="E38" s="2"/>
      <c r="F38" s="2"/>
      <c r="G38" s="2"/>
      <c r="H38" s="2"/>
    </row>
    <row r="39" spans="1:8">
      <c r="A39" s="2"/>
      <c r="B39" s="2"/>
      <c r="C39" s="2"/>
      <c r="D39" s="2"/>
      <c r="E39" s="2"/>
      <c r="F39" s="2"/>
      <c r="G39" s="2"/>
      <c r="H39" s="2"/>
    </row>
    <row r="40" spans="1:8">
      <c r="A40" s="2"/>
      <c r="B40" s="2"/>
      <c r="C40" s="2"/>
      <c r="D40" s="2"/>
      <c r="E40" s="2"/>
      <c r="F40" s="2"/>
      <c r="G40" s="2"/>
      <c r="H40" s="2"/>
    </row>
    <row r="41" spans="1:8">
      <c r="A41" s="2"/>
      <c r="B41" s="2"/>
      <c r="C41" s="2"/>
      <c r="D41" s="2"/>
      <c r="E41" s="2"/>
      <c r="F41" s="2"/>
      <c r="G41" s="2"/>
      <c r="H41" s="2"/>
    </row>
    <row r="42" spans="1:8">
      <c r="A42" s="2"/>
      <c r="B42" s="2"/>
      <c r="C42" s="2"/>
      <c r="D42" s="2"/>
      <c r="E42" s="2"/>
      <c r="F42" s="2"/>
      <c r="G42" s="2"/>
      <c r="H42" s="2"/>
    </row>
    <row r="43" spans="1:8">
      <c r="A43" s="2"/>
      <c r="B43" s="2"/>
      <c r="C43" s="2"/>
      <c r="D43" s="2"/>
      <c r="E43" s="2"/>
      <c r="F43" s="2"/>
      <c r="G43" s="2"/>
      <c r="H43" s="2"/>
    </row>
    <row r="44" spans="1:8">
      <c r="A44" s="2"/>
      <c r="B44" s="2"/>
      <c r="C44" s="2"/>
      <c r="D44" s="2"/>
      <c r="E44" s="2"/>
      <c r="F44" s="2"/>
      <c r="G44" s="2"/>
      <c r="H44" s="2"/>
    </row>
    <row r="45" spans="1:8">
      <c r="A45" s="2"/>
      <c r="B45" s="2"/>
      <c r="C45" s="2"/>
      <c r="D45" s="2"/>
      <c r="E45" s="2"/>
      <c r="F45" s="2"/>
      <c r="G45" s="2"/>
      <c r="H45" s="2"/>
    </row>
    <row r="46" spans="1:8">
      <c r="A46" s="2"/>
      <c r="B46" s="2"/>
      <c r="C46" s="2"/>
      <c r="D46" s="2"/>
      <c r="E46" s="2"/>
      <c r="F46" s="2"/>
      <c r="G46" s="2"/>
      <c r="H46" s="2"/>
    </row>
    <row r="47" spans="1:8">
      <c r="A47" s="2"/>
      <c r="B47" s="2"/>
      <c r="C47" s="2"/>
      <c r="D47" s="2"/>
      <c r="E47" s="2"/>
      <c r="F47" s="2"/>
      <c r="G47" s="2"/>
      <c r="H47" s="2"/>
    </row>
    <row r="48" spans="1:8">
      <c r="A48" s="2"/>
      <c r="B48" s="2"/>
      <c r="C48" s="2"/>
      <c r="D48" s="2"/>
      <c r="E48" s="2"/>
      <c r="F48" s="2"/>
      <c r="G48" s="2"/>
      <c r="H48" s="2"/>
    </row>
    <row r="49" spans="1:8">
      <c r="A49" s="2"/>
      <c r="B49" s="2"/>
      <c r="C49" s="2"/>
      <c r="D49" s="2"/>
      <c r="E49" s="2"/>
      <c r="F49" s="2"/>
      <c r="G49" s="2"/>
      <c r="H49" s="2"/>
    </row>
    <row r="50" spans="1:8">
      <c r="A50" s="2"/>
      <c r="B50" s="2"/>
      <c r="C50" s="2"/>
      <c r="D50" s="2"/>
      <c r="E50" s="2"/>
      <c r="F50" s="2"/>
      <c r="G50" s="2"/>
      <c r="H50" s="2"/>
    </row>
    <row r="51" spans="1:8">
      <c r="A51" s="2"/>
      <c r="B51" s="2"/>
      <c r="C51" s="2"/>
      <c r="D51" s="2"/>
      <c r="E51" s="2"/>
      <c r="F51" s="2"/>
      <c r="G51" s="2"/>
      <c r="H51" s="2"/>
    </row>
    <row r="52" spans="1:8">
      <c r="A52" s="2"/>
      <c r="B52" s="2"/>
      <c r="C52" s="2"/>
      <c r="D52" s="2"/>
      <c r="E52" s="2"/>
      <c r="F52" s="2"/>
      <c r="G52" s="2"/>
      <c r="H52" s="2"/>
    </row>
    <row r="53" spans="1:8">
      <c r="A53" s="2"/>
      <c r="B53" s="2"/>
      <c r="C53" s="2"/>
      <c r="D53" s="2"/>
      <c r="E53" s="2"/>
      <c r="F53" s="2"/>
      <c r="G53" s="2"/>
      <c r="H53" s="2"/>
    </row>
    <row r="54" spans="1:8">
      <c r="A54" s="2"/>
      <c r="B54" s="2"/>
      <c r="C54" s="2"/>
      <c r="D54" s="2"/>
      <c r="E54" s="2"/>
      <c r="F54" s="2"/>
      <c r="G54" s="2"/>
      <c r="H54" s="2"/>
    </row>
    <row r="55" spans="1:8">
      <c r="A55" s="2"/>
      <c r="B55" s="2"/>
      <c r="C55" s="2"/>
      <c r="D55" s="2"/>
      <c r="E55" s="2"/>
      <c r="F55" s="2"/>
      <c r="G55" s="2"/>
      <c r="H55" s="2"/>
    </row>
    <row r="56" spans="1:8">
      <c r="A56" s="2"/>
      <c r="B56" s="2"/>
      <c r="C56" s="2"/>
      <c r="D56" s="2"/>
      <c r="E56" s="2"/>
      <c r="F56" s="2"/>
      <c r="G56" s="2"/>
      <c r="H56" s="2"/>
    </row>
    <row r="57" spans="1:8">
      <c r="A57" s="2"/>
      <c r="B57" s="2"/>
      <c r="C57" s="2"/>
      <c r="D57" s="2"/>
      <c r="E57" s="2"/>
      <c r="F57" s="2"/>
      <c r="G57" s="2"/>
      <c r="H57" s="2"/>
    </row>
    <row r="58" spans="1:8">
      <c r="A58" s="2"/>
      <c r="B58" s="2"/>
      <c r="C58" s="2"/>
      <c r="D58" s="2"/>
      <c r="E58" s="2"/>
      <c r="F58" s="2"/>
      <c r="G58" s="2"/>
      <c r="H58" s="2"/>
    </row>
    <row r="59" spans="1:8">
      <c r="A59" s="2"/>
      <c r="B59" s="2"/>
      <c r="C59" s="2"/>
      <c r="D59" s="2"/>
      <c r="E59" s="2"/>
      <c r="F59" s="2"/>
      <c r="G59" s="2"/>
      <c r="H59" s="2"/>
    </row>
    <row r="60" spans="1:8">
      <c r="A60" s="2"/>
      <c r="B60" s="2"/>
      <c r="C60" s="2"/>
      <c r="D60" s="2"/>
      <c r="E60" s="2"/>
      <c r="F60" s="2"/>
      <c r="G60" s="2"/>
      <c r="H60" s="2"/>
    </row>
  </sheetData>
  <mergeCells count="2">
    <mergeCell ref="A1:H1"/>
    <mergeCell ref="A2:H2"/>
  </mergeCells>
  <dataValidations count="2">
    <dataValidation type="list" sqref="B7" xr:uid="{00000000-0002-0000-2500-000000000000}">
      <formula1>"Yes,No"</formula1>
    </dataValidation>
    <dataValidation type="list" sqref="E14:E35" xr:uid="{00000000-0002-0000-2500-000001000000}">
      <formula1>"Yes,No,N/A"</formula1>
    </dataValidation>
  </dataValidation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O113"/>
  <sheetViews>
    <sheetView workbookViewId="0"/>
  </sheetViews>
  <sheetFormatPr defaultRowHeight="14"/>
  <cols>
    <col min="1" max="2" width="17" customWidth="1"/>
    <col min="3" max="3" width="25" customWidth="1"/>
    <col min="4" max="13" width="17" customWidth="1"/>
    <col min="14" max="14" width="28" customWidth="1"/>
    <col min="15" max="15" width="17" customWidth="1"/>
  </cols>
  <sheetData>
    <row r="1" spans="1:15" ht="20">
      <c r="A1" s="6" t="s">
        <v>368</v>
      </c>
      <c r="B1" s="7"/>
      <c r="C1" s="7"/>
      <c r="D1" s="7"/>
      <c r="E1" s="7"/>
      <c r="F1" s="7"/>
      <c r="G1" s="7"/>
      <c r="H1" s="7"/>
      <c r="I1" s="7"/>
      <c r="J1" s="7"/>
      <c r="K1" s="7"/>
      <c r="L1" s="7"/>
      <c r="M1" s="7"/>
      <c r="N1" s="7"/>
      <c r="O1" s="7"/>
    </row>
    <row r="2" spans="1:15" ht="14.5">
      <c r="A2" s="8" t="s">
        <v>318</v>
      </c>
      <c r="B2" s="7"/>
      <c r="C2" s="7"/>
      <c r="D2" s="7"/>
      <c r="E2" s="7"/>
      <c r="F2" s="7"/>
      <c r="G2" s="7"/>
      <c r="H2" s="7"/>
      <c r="I2" s="7"/>
      <c r="J2" s="7"/>
      <c r="K2" s="7"/>
      <c r="L2" s="7"/>
      <c r="M2" s="7"/>
      <c r="N2" s="7"/>
      <c r="O2" s="7"/>
    </row>
    <row r="4" spans="1:15">
      <c r="A4" s="3" t="s">
        <v>107</v>
      </c>
      <c r="B4" t="s">
        <v>365</v>
      </c>
    </row>
    <row r="5" spans="1:15">
      <c r="A5" s="3" t="s">
        <v>110</v>
      </c>
    </row>
    <row r="6" spans="1:15">
      <c r="A6" s="3" t="s">
        <v>229</v>
      </c>
    </row>
    <row r="7" spans="1:15">
      <c r="A7" s="3" t="s">
        <v>230</v>
      </c>
    </row>
    <row r="8" spans="1:15">
      <c r="A8" s="3" t="s">
        <v>319</v>
      </c>
      <c r="B8">
        <f>COUNTA(A14:A113)</f>
        <v>0</v>
      </c>
    </row>
    <row r="9" spans="1:15" ht="28">
      <c r="A9" s="3" t="s">
        <v>320</v>
      </c>
      <c r="B9">
        <f>COUNTIF(O14:O113,"FAIL")</f>
        <v>0</v>
      </c>
    </row>
    <row r="10" spans="1:15">
      <c r="A10" s="3" t="s">
        <v>46</v>
      </c>
      <c r="B10" t="str">
        <f>IF(AND(B7="Yes",B9=0),"Complete","Incomplete")</f>
        <v>Incomplete</v>
      </c>
    </row>
    <row r="13" spans="1:15" ht="42">
      <c r="A13" s="1" t="s">
        <v>120</v>
      </c>
      <c r="B13" s="1" t="s">
        <v>121</v>
      </c>
      <c r="C13" s="1" t="s">
        <v>321</v>
      </c>
      <c r="D13" s="1" t="s">
        <v>234</v>
      </c>
      <c r="E13" s="1" t="s">
        <v>235</v>
      </c>
      <c r="F13" s="1" t="s">
        <v>294</v>
      </c>
      <c r="G13" s="1" t="s">
        <v>322</v>
      </c>
      <c r="H13" s="1" t="s">
        <v>323</v>
      </c>
      <c r="I13" s="1" t="s">
        <v>324</v>
      </c>
      <c r="J13" s="1" t="s">
        <v>149</v>
      </c>
      <c r="K13" s="1" t="s">
        <v>325</v>
      </c>
      <c r="L13" s="1" t="s">
        <v>326</v>
      </c>
      <c r="M13" s="1" t="s">
        <v>327</v>
      </c>
      <c r="N13" s="1" t="s">
        <v>239</v>
      </c>
      <c r="O13" s="1" t="s">
        <v>328</v>
      </c>
    </row>
    <row r="14" spans="1:15">
      <c r="A14" s="2"/>
      <c r="B14" s="2"/>
      <c r="C14" s="2"/>
      <c r="D14" s="2"/>
      <c r="E14" s="2"/>
      <c r="F14" s="2"/>
      <c r="G14" s="2"/>
      <c r="H14" s="2"/>
      <c r="I14" s="2"/>
      <c r="J14" s="2"/>
      <c r="K14" s="2"/>
      <c r="L14" s="2"/>
      <c r="M14" s="2"/>
      <c r="N14" s="2"/>
      <c r="O14" s="2" t="str">
        <f t="shared" ref="O14:O45" si="0">IF(OR(E14&lt;D14,F14="No",G14="No",H14="No",I14="No",J14="No",K14="No",L14="No",M14="No"),"FAIL","PASS")</f>
        <v>PASS</v>
      </c>
    </row>
    <row r="15" spans="1:15">
      <c r="A15" s="2"/>
      <c r="B15" s="2"/>
      <c r="C15" s="2"/>
      <c r="D15" s="2"/>
      <c r="E15" s="2"/>
      <c r="F15" s="2"/>
      <c r="G15" s="2"/>
      <c r="H15" s="2"/>
      <c r="I15" s="2"/>
      <c r="J15" s="2"/>
      <c r="K15" s="2"/>
      <c r="L15" s="2"/>
      <c r="M15" s="2"/>
      <c r="N15" s="2"/>
      <c r="O15" s="2" t="str">
        <f t="shared" si="0"/>
        <v>PASS</v>
      </c>
    </row>
    <row r="16" spans="1:15">
      <c r="A16" s="2"/>
      <c r="B16" s="2"/>
      <c r="C16" s="2"/>
      <c r="D16" s="2"/>
      <c r="E16" s="2"/>
      <c r="F16" s="2"/>
      <c r="G16" s="2"/>
      <c r="H16" s="2"/>
      <c r="I16" s="2"/>
      <c r="J16" s="2"/>
      <c r="K16" s="2"/>
      <c r="L16" s="2"/>
      <c r="M16" s="2"/>
      <c r="N16" s="2"/>
      <c r="O16" s="2" t="str">
        <f t="shared" si="0"/>
        <v>PASS</v>
      </c>
    </row>
    <row r="17" spans="1:15">
      <c r="A17" s="2"/>
      <c r="B17" s="2"/>
      <c r="C17" s="2"/>
      <c r="D17" s="2"/>
      <c r="E17" s="2"/>
      <c r="F17" s="2"/>
      <c r="G17" s="2"/>
      <c r="H17" s="2"/>
      <c r="I17" s="2"/>
      <c r="J17" s="2"/>
      <c r="K17" s="2"/>
      <c r="L17" s="2"/>
      <c r="M17" s="2"/>
      <c r="N17" s="2"/>
      <c r="O17" s="2" t="str">
        <f t="shared" si="0"/>
        <v>PASS</v>
      </c>
    </row>
    <row r="18" spans="1:15">
      <c r="A18" s="2"/>
      <c r="B18" s="2"/>
      <c r="C18" s="2"/>
      <c r="D18" s="2"/>
      <c r="E18" s="2"/>
      <c r="F18" s="2"/>
      <c r="G18" s="2"/>
      <c r="H18" s="2"/>
      <c r="I18" s="2"/>
      <c r="J18" s="2"/>
      <c r="K18" s="2"/>
      <c r="L18" s="2"/>
      <c r="M18" s="2"/>
      <c r="N18" s="2"/>
      <c r="O18" s="2" t="str">
        <f t="shared" si="0"/>
        <v>PASS</v>
      </c>
    </row>
    <row r="19" spans="1:15">
      <c r="A19" s="2"/>
      <c r="B19" s="2"/>
      <c r="C19" s="2"/>
      <c r="D19" s="2"/>
      <c r="E19" s="2"/>
      <c r="F19" s="2"/>
      <c r="G19" s="2"/>
      <c r="H19" s="2"/>
      <c r="I19" s="2"/>
      <c r="J19" s="2"/>
      <c r="K19" s="2"/>
      <c r="L19" s="2"/>
      <c r="M19" s="2"/>
      <c r="N19" s="2"/>
      <c r="O19" s="2" t="str">
        <f t="shared" si="0"/>
        <v>PASS</v>
      </c>
    </row>
    <row r="20" spans="1:15">
      <c r="A20" s="2"/>
      <c r="B20" s="2"/>
      <c r="C20" s="2"/>
      <c r="D20" s="2"/>
      <c r="E20" s="2"/>
      <c r="F20" s="2"/>
      <c r="G20" s="2"/>
      <c r="H20" s="2"/>
      <c r="I20" s="2"/>
      <c r="J20" s="2"/>
      <c r="K20" s="2"/>
      <c r="L20" s="2"/>
      <c r="M20" s="2"/>
      <c r="N20" s="2"/>
      <c r="O20" s="2" t="str">
        <f t="shared" si="0"/>
        <v>PASS</v>
      </c>
    </row>
    <row r="21" spans="1:15">
      <c r="A21" s="2"/>
      <c r="B21" s="2"/>
      <c r="C21" s="2"/>
      <c r="D21" s="2"/>
      <c r="E21" s="2"/>
      <c r="F21" s="2"/>
      <c r="G21" s="2"/>
      <c r="H21" s="2"/>
      <c r="I21" s="2"/>
      <c r="J21" s="2"/>
      <c r="K21" s="2"/>
      <c r="L21" s="2"/>
      <c r="M21" s="2"/>
      <c r="N21" s="2"/>
      <c r="O21" s="2" t="str">
        <f t="shared" si="0"/>
        <v>PASS</v>
      </c>
    </row>
    <row r="22" spans="1:15">
      <c r="A22" s="2"/>
      <c r="B22" s="2"/>
      <c r="C22" s="2"/>
      <c r="D22" s="2"/>
      <c r="E22" s="2"/>
      <c r="F22" s="2"/>
      <c r="G22" s="2"/>
      <c r="H22" s="2"/>
      <c r="I22" s="2"/>
      <c r="J22" s="2"/>
      <c r="K22" s="2"/>
      <c r="L22" s="2"/>
      <c r="M22" s="2"/>
      <c r="N22" s="2"/>
      <c r="O22" s="2" t="str">
        <f t="shared" si="0"/>
        <v>PASS</v>
      </c>
    </row>
    <row r="23" spans="1:15">
      <c r="A23" s="2"/>
      <c r="B23" s="2"/>
      <c r="C23" s="2"/>
      <c r="D23" s="2"/>
      <c r="E23" s="2"/>
      <c r="F23" s="2"/>
      <c r="G23" s="2"/>
      <c r="H23" s="2"/>
      <c r="I23" s="2"/>
      <c r="J23" s="2"/>
      <c r="K23" s="2"/>
      <c r="L23" s="2"/>
      <c r="M23" s="2"/>
      <c r="N23" s="2"/>
      <c r="O23" s="2" t="str">
        <f t="shared" si="0"/>
        <v>PASS</v>
      </c>
    </row>
    <row r="24" spans="1:15">
      <c r="A24" s="2"/>
      <c r="B24" s="2"/>
      <c r="C24" s="2"/>
      <c r="D24" s="2"/>
      <c r="E24" s="2"/>
      <c r="F24" s="2"/>
      <c r="G24" s="2"/>
      <c r="H24" s="2"/>
      <c r="I24" s="2"/>
      <c r="J24" s="2"/>
      <c r="K24" s="2"/>
      <c r="L24" s="2"/>
      <c r="M24" s="2"/>
      <c r="N24" s="2"/>
      <c r="O24" s="2" t="str">
        <f t="shared" si="0"/>
        <v>PASS</v>
      </c>
    </row>
    <row r="25" spans="1:15">
      <c r="A25" s="2"/>
      <c r="B25" s="2"/>
      <c r="C25" s="2"/>
      <c r="D25" s="2"/>
      <c r="E25" s="2"/>
      <c r="F25" s="2"/>
      <c r="G25" s="2"/>
      <c r="H25" s="2"/>
      <c r="I25" s="2"/>
      <c r="J25" s="2"/>
      <c r="K25" s="2"/>
      <c r="L25" s="2"/>
      <c r="M25" s="2"/>
      <c r="N25" s="2"/>
      <c r="O25" s="2" t="str">
        <f t="shared" si="0"/>
        <v>PASS</v>
      </c>
    </row>
    <row r="26" spans="1:15">
      <c r="A26" s="2"/>
      <c r="B26" s="2"/>
      <c r="C26" s="2"/>
      <c r="D26" s="2"/>
      <c r="E26" s="2"/>
      <c r="F26" s="2"/>
      <c r="G26" s="2"/>
      <c r="H26" s="2"/>
      <c r="I26" s="2"/>
      <c r="J26" s="2"/>
      <c r="K26" s="2"/>
      <c r="L26" s="2"/>
      <c r="M26" s="2"/>
      <c r="N26" s="2"/>
      <c r="O26" s="2" t="str">
        <f t="shared" si="0"/>
        <v>PASS</v>
      </c>
    </row>
    <row r="27" spans="1:15">
      <c r="A27" s="2"/>
      <c r="B27" s="2"/>
      <c r="C27" s="2"/>
      <c r="D27" s="2"/>
      <c r="E27" s="2"/>
      <c r="F27" s="2"/>
      <c r="G27" s="2"/>
      <c r="H27" s="2"/>
      <c r="I27" s="2"/>
      <c r="J27" s="2"/>
      <c r="K27" s="2"/>
      <c r="L27" s="2"/>
      <c r="M27" s="2"/>
      <c r="N27" s="2"/>
      <c r="O27" s="2" t="str">
        <f t="shared" si="0"/>
        <v>PASS</v>
      </c>
    </row>
    <row r="28" spans="1:15">
      <c r="A28" s="2"/>
      <c r="B28" s="2"/>
      <c r="C28" s="2"/>
      <c r="D28" s="2"/>
      <c r="E28" s="2"/>
      <c r="F28" s="2"/>
      <c r="G28" s="2"/>
      <c r="H28" s="2"/>
      <c r="I28" s="2"/>
      <c r="J28" s="2"/>
      <c r="K28" s="2"/>
      <c r="L28" s="2"/>
      <c r="M28" s="2"/>
      <c r="N28" s="2"/>
      <c r="O28" s="2" t="str">
        <f t="shared" si="0"/>
        <v>PASS</v>
      </c>
    </row>
    <row r="29" spans="1:15">
      <c r="A29" s="2"/>
      <c r="B29" s="2"/>
      <c r="C29" s="2"/>
      <c r="D29" s="2"/>
      <c r="E29" s="2"/>
      <c r="F29" s="2"/>
      <c r="G29" s="2"/>
      <c r="H29" s="2"/>
      <c r="I29" s="2"/>
      <c r="J29" s="2"/>
      <c r="K29" s="2"/>
      <c r="L29" s="2"/>
      <c r="M29" s="2"/>
      <c r="N29" s="2"/>
      <c r="O29" s="2" t="str">
        <f t="shared" si="0"/>
        <v>PASS</v>
      </c>
    </row>
    <row r="30" spans="1:15">
      <c r="A30" s="2"/>
      <c r="B30" s="2"/>
      <c r="C30" s="2"/>
      <c r="D30" s="2"/>
      <c r="E30" s="2"/>
      <c r="F30" s="2"/>
      <c r="G30" s="2"/>
      <c r="H30" s="2"/>
      <c r="I30" s="2"/>
      <c r="J30" s="2"/>
      <c r="K30" s="2"/>
      <c r="L30" s="2"/>
      <c r="M30" s="2"/>
      <c r="N30" s="2"/>
      <c r="O30" s="2" t="str">
        <f t="shared" si="0"/>
        <v>PASS</v>
      </c>
    </row>
    <row r="31" spans="1:15">
      <c r="A31" s="2"/>
      <c r="B31" s="2"/>
      <c r="C31" s="2"/>
      <c r="D31" s="2"/>
      <c r="E31" s="2"/>
      <c r="F31" s="2"/>
      <c r="G31" s="2"/>
      <c r="H31" s="2"/>
      <c r="I31" s="2"/>
      <c r="J31" s="2"/>
      <c r="K31" s="2"/>
      <c r="L31" s="2"/>
      <c r="M31" s="2"/>
      <c r="N31" s="2"/>
      <c r="O31" s="2" t="str">
        <f t="shared" si="0"/>
        <v>PASS</v>
      </c>
    </row>
    <row r="32" spans="1:15">
      <c r="A32" s="2"/>
      <c r="B32" s="2"/>
      <c r="C32" s="2"/>
      <c r="D32" s="2"/>
      <c r="E32" s="2"/>
      <c r="F32" s="2"/>
      <c r="G32" s="2"/>
      <c r="H32" s="2"/>
      <c r="I32" s="2"/>
      <c r="J32" s="2"/>
      <c r="K32" s="2"/>
      <c r="L32" s="2"/>
      <c r="M32" s="2"/>
      <c r="N32" s="2"/>
      <c r="O32" s="2" t="str">
        <f t="shared" si="0"/>
        <v>PASS</v>
      </c>
    </row>
    <row r="33" spans="1:15">
      <c r="A33" s="2"/>
      <c r="B33" s="2"/>
      <c r="C33" s="2"/>
      <c r="D33" s="2"/>
      <c r="E33" s="2"/>
      <c r="F33" s="2"/>
      <c r="G33" s="2"/>
      <c r="H33" s="2"/>
      <c r="I33" s="2"/>
      <c r="J33" s="2"/>
      <c r="K33" s="2"/>
      <c r="L33" s="2"/>
      <c r="M33" s="2"/>
      <c r="N33" s="2"/>
      <c r="O33" s="2" t="str">
        <f t="shared" si="0"/>
        <v>PASS</v>
      </c>
    </row>
    <row r="34" spans="1:15">
      <c r="A34" s="2"/>
      <c r="B34" s="2"/>
      <c r="C34" s="2"/>
      <c r="D34" s="2"/>
      <c r="E34" s="2"/>
      <c r="F34" s="2"/>
      <c r="G34" s="2"/>
      <c r="H34" s="2"/>
      <c r="I34" s="2"/>
      <c r="J34" s="2"/>
      <c r="K34" s="2"/>
      <c r="L34" s="2"/>
      <c r="M34" s="2"/>
      <c r="N34" s="2"/>
      <c r="O34" s="2" t="str">
        <f t="shared" si="0"/>
        <v>PASS</v>
      </c>
    </row>
    <row r="35" spans="1:15">
      <c r="A35" s="2"/>
      <c r="B35" s="2"/>
      <c r="C35" s="2"/>
      <c r="D35" s="2"/>
      <c r="E35" s="2"/>
      <c r="F35" s="2"/>
      <c r="G35" s="2"/>
      <c r="H35" s="2"/>
      <c r="I35" s="2"/>
      <c r="J35" s="2"/>
      <c r="K35" s="2"/>
      <c r="L35" s="2"/>
      <c r="M35" s="2"/>
      <c r="N35" s="2"/>
      <c r="O35" s="2" t="str">
        <f t="shared" si="0"/>
        <v>PASS</v>
      </c>
    </row>
    <row r="36" spans="1:15">
      <c r="A36" s="2"/>
      <c r="B36" s="2"/>
      <c r="C36" s="2"/>
      <c r="D36" s="2"/>
      <c r="E36" s="2"/>
      <c r="F36" s="2"/>
      <c r="G36" s="2"/>
      <c r="H36" s="2"/>
      <c r="I36" s="2"/>
      <c r="J36" s="2"/>
      <c r="K36" s="2"/>
      <c r="L36" s="2"/>
      <c r="M36" s="2"/>
      <c r="N36" s="2"/>
      <c r="O36" s="2" t="str">
        <f t="shared" si="0"/>
        <v>PASS</v>
      </c>
    </row>
    <row r="37" spans="1:15">
      <c r="A37" s="2"/>
      <c r="B37" s="2"/>
      <c r="C37" s="2"/>
      <c r="D37" s="2"/>
      <c r="E37" s="2"/>
      <c r="F37" s="2"/>
      <c r="G37" s="2"/>
      <c r="H37" s="2"/>
      <c r="I37" s="2"/>
      <c r="J37" s="2"/>
      <c r="K37" s="2"/>
      <c r="L37" s="2"/>
      <c r="M37" s="2"/>
      <c r="N37" s="2"/>
      <c r="O37" s="2" t="str">
        <f t="shared" si="0"/>
        <v>PASS</v>
      </c>
    </row>
    <row r="38" spans="1:15">
      <c r="A38" s="2"/>
      <c r="B38" s="2"/>
      <c r="C38" s="2"/>
      <c r="D38" s="2"/>
      <c r="E38" s="2"/>
      <c r="F38" s="2"/>
      <c r="G38" s="2"/>
      <c r="H38" s="2"/>
      <c r="I38" s="2"/>
      <c r="J38" s="2"/>
      <c r="K38" s="2"/>
      <c r="L38" s="2"/>
      <c r="M38" s="2"/>
      <c r="N38" s="2"/>
      <c r="O38" s="2" t="str">
        <f t="shared" si="0"/>
        <v>PASS</v>
      </c>
    </row>
    <row r="39" spans="1:15">
      <c r="A39" s="2"/>
      <c r="B39" s="2"/>
      <c r="C39" s="2"/>
      <c r="D39" s="2"/>
      <c r="E39" s="2"/>
      <c r="F39" s="2"/>
      <c r="G39" s="2"/>
      <c r="H39" s="2"/>
      <c r="I39" s="2"/>
      <c r="J39" s="2"/>
      <c r="K39" s="2"/>
      <c r="L39" s="2"/>
      <c r="M39" s="2"/>
      <c r="N39" s="2"/>
      <c r="O39" s="2" t="str">
        <f t="shared" si="0"/>
        <v>PASS</v>
      </c>
    </row>
    <row r="40" spans="1:15">
      <c r="A40" s="2"/>
      <c r="B40" s="2"/>
      <c r="C40" s="2"/>
      <c r="D40" s="2"/>
      <c r="E40" s="2"/>
      <c r="F40" s="2"/>
      <c r="G40" s="2"/>
      <c r="H40" s="2"/>
      <c r="I40" s="2"/>
      <c r="J40" s="2"/>
      <c r="K40" s="2"/>
      <c r="L40" s="2"/>
      <c r="M40" s="2"/>
      <c r="N40" s="2"/>
      <c r="O40" s="2" t="str">
        <f t="shared" si="0"/>
        <v>PASS</v>
      </c>
    </row>
    <row r="41" spans="1:15">
      <c r="A41" s="2"/>
      <c r="B41" s="2"/>
      <c r="C41" s="2"/>
      <c r="D41" s="2"/>
      <c r="E41" s="2"/>
      <c r="F41" s="2"/>
      <c r="G41" s="2"/>
      <c r="H41" s="2"/>
      <c r="I41" s="2"/>
      <c r="J41" s="2"/>
      <c r="K41" s="2"/>
      <c r="L41" s="2"/>
      <c r="M41" s="2"/>
      <c r="N41" s="2"/>
      <c r="O41" s="2" t="str">
        <f t="shared" si="0"/>
        <v>PASS</v>
      </c>
    </row>
    <row r="42" spans="1:15">
      <c r="A42" s="2"/>
      <c r="B42" s="2"/>
      <c r="C42" s="2"/>
      <c r="D42" s="2"/>
      <c r="E42" s="2"/>
      <c r="F42" s="2"/>
      <c r="G42" s="2"/>
      <c r="H42" s="2"/>
      <c r="I42" s="2"/>
      <c r="J42" s="2"/>
      <c r="K42" s="2"/>
      <c r="L42" s="2"/>
      <c r="M42" s="2"/>
      <c r="N42" s="2"/>
      <c r="O42" s="2" t="str">
        <f t="shared" si="0"/>
        <v>PASS</v>
      </c>
    </row>
    <row r="43" spans="1:15">
      <c r="A43" s="2"/>
      <c r="B43" s="2"/>
      <c r="C43" s="2"/>
      <c r="D43" s="2"/>
      <c r="E43" s="2"/>
      <c r="F43" s="2"/>
      <c r="G43" s="2"/>
      <c r="H43" s="2"/>
      <c r="I43" s="2"/>
      <c r="J43" s="2"/>
      <c r="K43" s="2"/>
      <c r="L43" s="2"/>
      <c r="M43" s="2"/>
      <c r="N43" s="2"/>
      <c r="O43" s="2" t="str">
        <f t="shared" si="0"/>
        <v>PASS</v>
      </c>
    </row>
    <row r="44" spans="1:15">
      <c r="A44" s="2"/>
      <c r="B44" s="2"/>
      <c r="C44" s="2"/>
      <c r="D44" s="2"/>
      <c r="E44" s="2"/>
      <c r="F44" s="2"/>
      <c r="G44" s="2"/>
      <c r="H44" s="2"/>
      <c r="I44" s="2"/>
      <c r="J44" s="2"/>
      <c r="K44" s="2"/>
      <c r="L44" s="2"/>
      <c r="M44" s="2"/>
      <c r="N44" s="2"/>
      <c r="O44" s="2" t="str">
        <f t="shared" si="0"/>
        <v>PASS</v>
      </c>
    </row>
    <row r="45" spans="1:15">
      <c r="A45" s="2"/>
      <c r="B45" s="2"/>
      <c r="C45" s="2"/>
      <c r="D45" s="2"/>
      <c r="E45" s="2"/>
      <c r="F45" s="2"/>
      <c r="G45" s="2"/>
      <c r="H45" s="2"/>
      <c r="I45" s="2"/>
      <c r="J45" s="2"/>
      <c r="K45" s="2"/>
      <c r="L45" s="2"/>
      <c r="M45" s="2"/>
      <c r="N45" s="2"/>
      <c r="O45" s="2" t="str">
        <f t="shared" si="0"/>
        <v>PASS</v>
      </c>
    </row>
    <row r="46" spans="1:15">
      <c r="A46" s="2"/>
      <c r="B46" s="2"/>
      <c r="C46" s="2"/>
      <c r="D46" s="2"/>
      <c r="E46" s="2"/>
      <c r="F46" s="2"/>
      <c r="G46" s="2"/>
      <c r="H46" s="2"/>
      <c r="I46" s="2"/>
      <c r="J46" s="2"/>
      <c r="K46" s="2"/>
      <c r="L46" s="2"/>
      <c r="M46" s="2"/>
      <c r="N46" s="2"/>
      <c r="O46" s="2" t="str">
        <f t="shared" ref="O46:O77" si="1">IF(OR(E46&lt;D46,F46="No",G46="No",H46="No",I46="No",J46="No",K46="No",L46="No",M46="No"),"FAIL","PASS")</f>
        <v>PASS</v>
      </c>
    </row>
    <row r="47" spans="1:15">
      <c r="A47" s="2"/>
      <c r="B47" s="2"/>
      <c r="C47" s="2"/>
      <c r="D47" s="2"/>
      <c r="E47" s="2"/>
      <c r="F47" s="2"/>
      <c r="G47" s="2"/>
      <c r="H47" s="2"/>
      <c r="I47" s="2"/>
      <c r="J47" s="2"/>
      <c r="K47" s="2"/>
      <c r="L47" s="2"/>
      <c r="M47" s="2"/>
      <c r="N47" s="2"/>
      <c r="O47" s="2" t="str">
        <f t="shared" si="1"/>
        <v>PASS</v>
      </c>
    </row>
    <row r="48" spans="1:15">
      <c r="A48" s="2"/>
      <c r="B48" s="2"/>
      <c r="C48" s="2"/>
      <c r="D48" s="2"/>
      <c r="E48" s="2"/>
      <c r="F48" s="2"/>
      <c r="G48" s="2"/>
      <c r="H48" s="2"/>
      <c r="I48" s="2"/>
      <c r="J48" s="2"/>
      <c r="K48" s="2"/>
      <c r="L48" s="2"/>
      <c r="M48" s="2"/>
      <c r="N48" s="2"/>
      <c r="O48" s="2" t="str">
        <f t="shared" si="1"/>
        <v>PASS</v>
      </c>
    </row>
    <row r="49" spans="1:15">
      <c r="A49" s="2"/>
      <c r="B49" s="2"/>
      <c r="C49" s="2"/>
      <c r="D49" s="2"/>
      <c r="E49" s="2"/>
      <c r="F49" s="2"/>
      <c r="G49" s="2"/>
      <c r="H49" s="2"/>
      <c r="I49" s="2"/>
      <c r="J49" s="2"/>
      <c r="K49" s="2"/>
      <c r="L49" s="2"/>
      <c r="M49" s="2"/>
      <c r="N49" s="2"/>
      <c r="O49" s="2" t="str">
        <f t="shared" si="1"/>
        <v>PASS</v>
      </c>
    </row>
    <row r="50" spans="1:15">
      <c r="A50" s="2"/>
      <c r="B50" s="2"/>
      <c r="C50" s="2"/>
      <c r="D50" s="2"/>
      <c r="E50" s="2"/>
      <c r="F50" s="2"/>
      <c r="G50" s="2"/>
      <c r="H50" s="2"/>
      <c r="I50" s="2"/>
      <c r="J50" s="2"/>
      <c r="K50" s="2"/>
      <c r="L50" s="2"/>
      <c r="M50" s="2"/>
      <c r="N50" s="2"/>
      <c r="O50" s="2" t="str">
        <f t="shared" si="1"/>
        <v>PASS</v>
      </c>
    </row>
    <row r="51" spans="1:15">
      <c r="A51" s="2"/>
      <c r="B51" s="2"/>
      <c r="C51" s="2"/>
      <c r="D51" s="2"/>
      <c r="E51" s="2"/>
      <c r="F51" s="2"/>
      <c r="G51" s="2"/>
      <c r="H51" s="2"/>
      <c r="I51" s="2"/>
      <c r="J51" s="2"/>
      <c r="K51" s="2"/>
      <c r="L51" s="2"/>
      <c r="M51" s="2"/>
      <c r="N51" s="2"/>
      <c r="O51" s="2" t="str">
        <f t="shared" si="1"/>
        <v>PASS</v>
      </c>
    </row>
    <row r="52" spans="1:15">
      <c r="A52" s="2"/>
      <c r="B52" s="2"/>
      <c r="C52" s="2"/>
      <c r="D52" s="2"/>
      <c r="E52" s="2"/>
      <c r="F52" s="2"/>
      <c r="G52" s="2"/>
      <c r="H52" s="2"/>
      <c r="I52" s="2"/>
      <c r="J52" s="2"/>
      <c r="K52" s="2"/>
      <c r="L52" s="2"/>
      <c r="M52" s="2"/>
      <c r="N52" s="2"/>
      <c r="O52" s="2" t="str">
        <f t="shared" si="1"/>
        <v>PASS</v>
      </c>
    </row>
    <row r="53" spans="1:15">
      <c r="A53" s="2"/>
      <c r="B53" s="2"/>
      <c r="C53" s="2"/>
      <c r="D53" s="2"/>
      <c r="E53" s="2"/>
      <c r="F53" s="2"/>
      <c r="G53" s="2"/>
      <c r="H53" s="2"/>
      <c r="I53" s="2"/>
      <c r="J53" s="2"/>
      <c r="K53" s="2"/>
      <c r="L53" s="2"/>
      <c r="M53" s="2"/>
      <c r="N53" s="2"/>
      <c r="O53" s="2" t="str">
        <f t="shared" si="1"/>
        <v>PASS</v>
      </c>
    </row>
    <row r="54" spans="1:15">
      <c r="A54" s="2"/>
      <c r="B54" s="2"/>
      <c r="C54" s="2"/>
      <c r="D54" s="2"/>
      <c r="E54" s="2"/>
      <c r="F54" s="2"/>
      <c r="G54" s="2"/>
      <c r="H54" s="2"/>
      <c r="I54" s="2"/>
      <c r="J54" s="2"/>
      <c r="K54" s="2"/>
      <c r="L54" s="2"/>
      <c r="M54" s="2"/>
      <c r="N54" s="2"/>
      <c r="O54" s="2" t="str">
        <f t="shared" si="1"/>
        <v>PASS</v>
      </c>
    </row>
    <row r="55" spans="1:15">
      <c r="A55" s="2"/>
      <c r="B55" s="2"/>
      <c r="C55" s="2"/>
      <c r="D55" s="2"/>
      <c r="E55" s="2"/>
      <c r="F55" s="2"/>
      <c r="G55" s="2"/>
      <c r="H55" s="2"/>
      <c r="I55" s="2"/>
      <c r="J55" s="2"/>
      <c r="K55" s="2"/>
      <c r="L55" s="2"/>
      <c r="M55" s="2"/>
      <c r="N55" s="2"/>
      <c r="O55" s="2" t="str">
        <f t="shared" si="1"/>
        <v>PASS</v>
      </c>
    </row>
    <row r="56" spans="1:15">
      <c r="A56" s="2"/>
      <c r="B56" s="2"/>
      <c r="C56" s="2"/>
      <c r="D56" s="2"/>
      <c r="E56" s="2"/>
      <c r="F56" s="2"/>
      <c r="G56" s="2"/>
      <c r="H56" s="2"/>
      <c r="I56" s="2"/>
      <c r="J56" s="2"/>
      <c r="K56" s="2"/>
      <c r="L56" s="2"/>
      <c r="M56" s="2"/>
      <c r="N56" s="2"/>
      <c r="O56" s="2" t="str">
        <f t="shared" si="1"/>
        <v>PASS</v>
      </c>
    </row>
    <row r="57" spans="1:15">
      <c r="A57" s="2"/>
      <c r="B57" s="2"/>
      <c r="C57" s="2"/>
      <c r="D57" s="2"/>
      <c r="E57" s="2"/>
      <c r="F57" s="2"/>
      <c r="G57" s="2"/>
      <c r="H57" s="2"/>
      <c r="I57" s="2"/>
      <c r="J57" s="2"/>
      <c r="K57" s="2"/>
      <c r="L57" s="2"/>
      <c r="M57" s="2"/>
      <c r="N57" s="2"/>
      <c r="O57" s="2" t="str">
        <f t="shared" si="1"/>
        <v>PASS</v>
      </c>
    </row>
    <row r="58" spans="1:15">
      <c r="A58" s="2"/>
      <c r="B58" s="2"/>
      <c r="C58" s="2"/>
      <c r="D58" s="2"/>
      <c r="E58" s="2"/>
      <c r="F58" s="2"/>
      <c r="G58" s="2"/>
      <c r="H58" s="2"/>
      <c r="I58" s="2"/>
      <c r="J58" s="2"/>
      <c r="K58" s="2"/>
      <c r="L58" s="2"/>
      <c r="M58" s="2"/>
      <c r="N58" s="2"/>
      <c r="O58" s="2" t="str">
        <f t="shared" si="1"/>
        <v>PASS</v>
      </c>
    </row>
    <row r="59" spans="1:15">
      <c r="A59" s="2"/>
      <c r="B59" s="2"/>
      <c r="C59" s="2"/>
      <c r="D59" s="2"/>
      <c r="E59" s="2"/>
      <c r="F59" s="2"/>
      <c r="G59" s="2"/>
      <c r="H59" s="2"/>
      <c r="I59" s="2"/>
      <c r="J59" s="2"/>
      <c r="K59" s="2"/>
      <c r="L59" s="2"/>
      <c r="M59" s="2"/>
      <c r="N59" s="2"/>
      <c r="O59" s="2" t="str">
        <f t="shared" si="1"/>
        <v>PASS</v>
      </c>
    </row>
    <row r="60" spans="1:15">
      <c r="A60" s="2"/>
      <c r="B60" s="2"/>
      <c r="C60" s="2"/>
      <c r="D60" s="2"/>
      <c r="E60" s="2"/>
      <c r="F60" s="2"/>
      <c r="G60" s="2"/>
      <c r="H60" s="2"/>
      <c r="I60" s="2"/>
      <c r="J60" s="2"/>
      <c r="K60" s="2"/>
      <c r="L60" s="2"/>
      <c r="M60" s="2"/>
      <c r="N60" s="2"/>
      <c r="O60" s="2" t="str">
        <f t="shared" si="1"/>
        <v>PASS</v>
      </c>
    </row>
    <row r="61" spans="1:15">
      <c r="A61" s="2"/>
      <c r="B61" s="2"/>
      <c r="C61" s="2"/>
      <c r="D61" s="2"/>
      <c r="E61" s="2"/>
      <c r="F61" s="2"/>
      <c r="G61" s="2"/>
      <c r="H61" s="2"/>
      <c r="I61" s="2"/>
      <c r="J61" s="2"/>
      <c r="K61" s="2"/>
      <c r="L61" s="2"/>
      <c r="M61" s="2"/>
      <c r="N61" s="2"/>
      <c r="O61" s="2" t="str">
        <f t="shared" si="1"/>
        <v>PASS</v>
      </c>
    </row>
    <row r="62" spans="1:15">
      <c r="A62" s="2"/>
      <c r="B62" s="2"/>
      <c r="C62" s="2"/>
      <c r="D62" s="2"/>
      <c r="E62" s="2"/>
      <c r="F62" s="2"/>
      <c r="G62" s="2"/>
      <c r="H62" s="2"/>
      <c r="I62" s="2"/>
      <c r="J62" s="2"/>
      <c r="K62" s="2"/>
      <c r="L62" s="2"/>
      <c r="M62" s="2"/>
      <c r="N62" s="2"/>
      <c r="O62" s="2" t="str">
        <f t="shared" si="1"/>
        <v>PASS</v>
      </c>
    </row>
    <row r="63" spans="1:15">
      <c r="A63" s="2"/>
      <c r="B63" s="2"/>
      <c r="C63" s="2"/>
      <c r="D63" s="2"/>
      <c r="E63" s="2"/>
      <c r="F63" s="2"/>
      <c r="G63" s="2"/>
      <c r="H63" s="2"/>
      <c r="I63" s="2"/>
      <c r="J63" s="2"/>
      <c r="K63" s="2"/>
      <c r="L63" s="2"/>
      <c r="M63" s="2"/>
      <c r="N63" s="2"/>
      <c r="O63" s="2" t="str">
        <f t="shared" si="1"/>
        <v>PASS</v>
      </c>
    </row>
    <row r="64" spans="1:15">
      <c r="A64" s="2"/>
      <c r="B64" s="2"/>
      <c r="C64" s="2"/>
      <c r="D64" s="2"/>
      <c r="E64" s="2"/>
      <c r="F64" s="2"/>
      <c r="G64" s="2"/>
      <c r="H64" s="2"/>
      <c r="I64" s="2"/>
      <c r="J64" s="2"/>
      <c r="K64" s="2"/>
      <c r="L64" s="2"/>
      <c r="M64" s="2"/>
      <c r="N64" s="2"/>
      <c r="O64" s="2" t="str">
        <f t="shared" si="1"/>
        <v>PASS</v>
      </c>
    </row>
    <row r="65" spans="1:15">
      <c r="A65" s="2"/>
      <c r="B65" s="2"/>
      <c r="C65" s="2"/>
      <c r="D65" s="2"/>
      <c r="E65" s="2"/>
      <c r="F65" s="2"/>
      <c r="G65" s="2"/>
      <c r="H65" s="2"/>
      <c r="I65" s="2"/>
      <c r="J65" s="2"/>
      <c r="K65" s="2"/>
      <c r="L65" s="2"/>
      <c r="M65" s="2"/>
      <c r="N65" s="2"/>
      <c r="O65" s="2" t="str">
        <f t="shared" si="1"/>
        <v>PASS</v>
      </c>
    </row>
    <row r="66" spans="1:15">
      <c r="A66" s="2"/>
      <c r="B66" s="2"/>
      <c r="C66" s="2"/>
      <c r="D66" s="2"/>
      <c r="E66" s="2"/>
      <c r="F66" s="2"/>
      <c r="G66" s="2"/>
      <c r="H66" s="2"/>
      <c r="I66" s="2"/>
      <c r="J66" s="2"/>
      <c r="K66" s="2"/>
      <c r="L66" s="2"/>
      <c r="M66" s="2"/>
      <c r="N66" s="2"/>
      <c r="O66" s="2" t="str">
        <f t="shared" si="1"/>
        <v>PASS</v>
      </c>
    </row>
    <row r="67" spans="1:15">
      <c r="A67" s="2"/>
      <c r="B67" s="2"/>
      <c r="C67" s="2"/>
      <c r="D67" s="2"/>
      <c r="E67" s="2"/>
      <c r="F67" s="2"/>
      <c r="G67" s="2"/>
      <c r="H67" s="2"/>
      <c r="I67" s="2"/>
      <c r="J67" s="2"/>
      <c r="K67" s="2"/>
      <c r="L67" s="2"/>
      <c r="M67" s="2"/>
      <c r="N67" s="2"/>
      <c r="O67" s="2" t="str">
        <f t="shared" si="1"/>
        <v>PASS</v>
      </c>
    </row>
    <row r="68" spans="1:15">
      <c r="A68" s="2"/>
      <c r="B68" s="2"/>
      <c r="C68" s="2"/>
      <c r="D68" s="2"/>
      <c r="E68" s="2"/>
      <c r="F68" s="2"/>
      <c r="G68" s="2"/>
      <c r="H68" s="2"/>
      <c r="I68" s="2"/>
      <c r="J68" s="2"/>
      <c r="K68" s="2"/>
      <c r="L68" s="2"/>
      <c r="M68" s="2"/>
      <c r="N68" s="2"/>
      <c r="O68" s="2" t="str">
        <f t="shared" si="1"/>
        <v>PASS</v>
      </c>
    </row>
    <row r="69" spans="1:15">
      <c r="A69" s="2"/>
      <c r="B69" s="2"/>
      <c r="C69" s="2"/>
      <c r="D69" s="2"/>
      <c r="E69" s="2"/>
      <c r="F69" s="2"/>
      <c r="G69" s="2"/>
      <c r="H69" s="2"/>
      <c r="I69" s="2"/>
      <c r="J69" s="2"/>
      <c r="K69" s="2"/>
      <c r="L69" s="2"/>
      <c r="M69" s="2"/>
      <c r="N69" s="2"/>
      <c r="O69" s="2" t="str">
        <f t="shared" si="1"/>
        <v>PASS</v>
      </c>
    </row>
    <row r="70" spans="1:15">
      <c r="A70" s="2"/>
      <c r="B70" s="2"/>
      <c r="C70" s="2"/>
      <c r="D70" s="2"/>
      <c r="E70" s="2"/>
      <c r="F70" s="2"/>
      <c r="G70" s="2"/>
      <c r="H70" s="2"/>
      <c r="I70" s="2"/>
      <c r="J70" s="2"/>
      <c r="K70" s="2"/>
      <c r="L70" s="2"/>
      <c r="M70" s="2"/>
      <c r="N70" s="2"/>
      <c r="O70" s="2" t="str">
        <f t="shared" si="1"/>
        <v>PASS</v>
      </c>
    </row>
    <row r="71" spans="1:15">
      <c r="A71" s="2"/>
      <c r="B71" s="2"/>
      <c r="C71" s="2"/>
      <c r="D71" s="2"/>
      <c r="E71" s="2"/>
      <c r="F71" s="2"/>
      <c r="G71" s="2"/>
      <c r="H71" s="2"/>
      <c r="I71" s="2"/>
      <c r="J71" s="2"/>
      <c r="K71" s="2"/>
      <c r="L71" s="2"/>
      <c r="M71" s="2"/>
      <c r="N71" s="2"/>
      <c r="O71" s="2" t="str">
        <f t="shared" si="1"/>
        <v>PASS</v>
      </c>
    </row>
    <row r="72" spans="1:15">
      <c r="A72" s="2"/>
      <c r="B72" s="2"/>
      <c r="C72" s="2"/>
      <c r="D72" s="2"/>
      <c r="E72" s="2"/>
      <c r="F72" s="2"/>
      <c r="G72" s="2"/>
      <c r="H72" s="2"/>
      <c r="I72" s="2"/>
      <c r="J72" s="2"/>
      <c r="K72" s="2"/>
      <c r="L72" s="2"/>
      <c r="M72" s="2"/>
      <c r="N72" s="2"/>
      <c r="O72" s="2" t="str">
        <f t="shared" si="1"/>
        <v>PASS</v>
      </c>
    </row>
    <row r="73" spans="1:15">
      <c r="A73" s="2"/>
      <c r="B73" s="2"/>
      <c r="C73" s="2"/>
      <c r="D73" s="2"/>
      <c r="E73" s="2"/>
      <c r="F73" s="2"/>
      <c r="G73" s="2"/>
      <c r="H73" s="2"/>
      <c r="I73" s="2"/>
      <c r="J73" s="2"/>
      <c r="K73" s="2"/>
      <c r="L73" s="2"/>
      <c r="M73" s="2"/>
      <c r="N73" s="2"/>
      <c r="O73" s="2" t="str">
        <f t="shared" si="1"/>
        <v>PASS</v>
      </c>
    </row>
    <row r="74" spans="1:15">
      <c r="A74" s="2"/>
      <c r="B74" s="2"/>
      <c r="C74" s="2"/>
      <c r="D74" s="2"/>
      <c r="E74" s="2"/>
      <c r="F74" s="2"/>
      <c r="G74" s="2"/>
      <c r="H74" s="2"/>
      <c r="I74" s="2"/>
      <c r="J74" s="2"/>
      <c r="K74" s="2"/>
      <c r="L74" s="2"/>
      <c r="M74" s="2"/>
      <c r="N74" s="2"/>
      <c r="O74" s="2" t="str">
        <f t="shared" si="1"/>
        <v>PASS</v>
      </c>
    </row>
    <row r="75" spans="1:15">
      <c r="A75" s="2"/>
      <c r="B75" s="2"/>
      <c r="C75" s="2"/>
      <c r="D75" s="2"/>
      <c r="E75" s="2"/>
      <c r="F75" s="2"/>
      <c r="G75" s="2"/>
      <c r="H75" s="2"/>
      <c r="I75" s="2"/>
      <c r="J75" s="2"/>
      <c r="K75" s="2"/>
      <c r="L75" s="2"/>
      <c r="M75" s="2"/>
      <c r="N75" s="2"/>
      <c r="O75" s="2" t="str">
        <f t="shared" si="1"/>
        <v>PASS</v>
      </c>
    </row>
    <row r="76" spans="1:15">
      <c r="A76" s="2"/>
      <c r="B76" s="2"/>
      <c r="C76" s="2"/>
      <c r="D76" s="2"/>
      <c r="E76" s="2"/>
      <c r="F76" s="2"/>
      <c r="G76" s="2"/>
      <c r="H76" s="2"/>
      <c r="I76" s="2"/>
      <c r="J76" s="2"/>
      <c r="K76" s="2"/>
      <c r="L76" s="2"/>
      <c r="M76" s="2"/>
      <c r="N76" s="2"/>
      <c r="O76" s="2" t="str">
        <f t="shared" si="1"/>
        <v>PASS</v>
      </c>
    </row>
    <row r="77" spans="1:15">
      <c r="A77" s="2"/>
      <c r="B77" s="2"/>
      <c r="C77" s="2"/>
      <c r="D77" s="2"/>
      <c r="E77" s="2"/>
      <c r="F77" s="2"/>
      <c r="G77" s="2"/>
      <c r="H77" s="2"/>
      <c r="I77" s="2"/>
      <c r="J77" s="2"/>
      <c r="K77" s="2"/>
      <c r="L77" s="2"/>
      <c r="M77" s="2"/>
      <c r="N77" s="2"/>
      <c r="O77" s="2" t="str">
        <f t="shared" si="1"/>
        <v>PASS</v>
      </c>
    </row>
    <row r="78" spans="1:15">
      <c r="A78" s="2"/>
      <c r="B78" s="2"/>
      <c r="C78" s="2"/>
      <c r="D78" s="2"/>
      <c r="E78" s="2"/>
      <c r="F78" s="2"/>
      <c r="G78" s="2"/>
      <c r="H78" s="2"/>
      <c r="I78" s="2"/>
      <c r="J78" s="2"/>
      <c r="K78" s="2"/>
      <c r="L78" s="2"/>
      <c r="M78" s="2"/>
      <c r="N78" s="2"/>
      <c r="O78" s="2" t="str">
        <f t="shared" ref="O78:O113" si="2">IF(OR(E78&lt;D78,F78="No",G78="No",H78="No",I78="No",J78="No",K78="No",L78="No",M78="No"),"FAIL","PASS")</f>
        <v>PASS</v>
      </c>
    </row>
    <row r="79" spans="1:15">
      <c r="A79" s="2"/>
      <c r="B79" s="2"/>
      <c r="C79" s="2"/>
      <c r="D79" s="2"/>
      <c r="E79" s="2"/>
      <c r="F79" s="2"/>
      <c r="G79" s="2"/>
      <c r="H79" s="2"/>
      <c r="I79" s="2"/>
      <c r="J79" s="2"/>
      <c r="K79" s="2"/>
      <c r="L79" s="2"/>
      <c r="M79" s="2"/>
      <c r="N79" s="2"/>
      <c r="O79" s="2" t="str">
        <f t="shared" si="2"/>
        <v>PASS</v>
      </c>
    </row>
    <row r="80" spans="1:15">
      <c r="A80" s="2"/>
      <c r="B80" s="2"/>
      <c r="C80" s="2"/>
      <c r="D80" s="2"/>
      <c r="E80" s="2"/>
      <c r="F80" s="2"/>
      <c r="G80" s="2"/>
      <c r="H80" s="2"/>
      <c r="I80" s="2"/>
      <c r="J80" s="2"/>
      <c r="K80" s="2"/>
      <c r="L80" s="2"/>
      <c r="M80" s="2"/>
      <c r="N80" s="2"/>
      <c r="O80" s="2" t="str">
        <f t="shared" si="2"/>
        <v>PASS</v>
      </c>
    </row>
    <row r="81" spans="1:15">
      <c r="A81" s="2"/>
      <c r="B81" s="2"/>
      <c r="C81" s="2"/>
      <c r="D81" s="2"/>
      <c r="E81" s="2"/>
      <c r="F81" s="2"/>
      <c r="G81" s="2"/>
      <c r="H81" s="2"/>
      <c r="I81" s="2"/>
      <c r="J81" s="2"/>
      <c r="K81" s="2"/>
      <c r="L81" s="2"/>
      <c r="M81" s="2"/>
      <c r="N81" s="2"/>
      <c r="O81" s="2" t="str">
        <f t="shared" si="2"/>
        <v>PASS</v>
      </c>
    </row>
    <row r="82" spans="1:15">
      <c r="A82" s="2"/>
      <c r="B82" s="2"/>
      <c r="C82" s="2"/>
      <c r="D82" s="2"/>
      <c r="E82" s="2"/>
      <c r="F82" s="2"/>
      <c r="G82" s="2"/>
      <c r="H82" s="2"/>
      <c r="I82" s="2"/>
      <c r="J82" s="2"/>
      <c r="K82" s="2"/>
      <c r="L82" s="2"/>
      <c r="M82" s="2"/>
      <c r="N82" s="2"/>
      <c r="O82" s="2" t="str">
        <f t="shared" si="2"/>
        <v>PASS</v>
      </c>
    </row>
    <row r="83" spans="1:15">
      <c r="A83" s="2"/>
      <c r="B83" s="2"/>
      <c r="C83" s="2"/>
      <c r="D83" s="2"/>
      <c r="E83" s="2"/>
      <c r="F83" s="2"/>
      <c r="G83" s="2"/>
      <c r="H83" s="2"/>
      <c r="I83" s="2"/>
      <c r="J83" s="2"/>
      <c r="K83" s="2"/>
      <c r="L83" s="2"/>
      <c r="M83" s="2"/>
      <c r="N83" s="2"/>
      <c r="O83" s="2" t="str">
        <f t="shared" si="2"/>
        <v>PASS</v>
      </c>
    </row>
    <row r="84" spans="1:15">
      <c r="A84" s="2"/>
      <c r="B84" s="2"/>
      <c r="C84" s="2"/>
      <c r="D84" s="2"/>
      <c r="E84" s="2"/>
      <c r="F84" s="2"/>
      <c r="G84" s="2"/>
      <c r="H84" s="2"/>
      <c r="I84" s="2"/>
      <c r="J84" s="2"/>
      <c r="K84" s="2"/>
      <c r="L84" s="2"/>
      <c r="M84" s="2"/>
      <c r="N84" s="2"/>
      <c r="O84" s="2" t="str">
        <f t="shared" si="2"/>
        <v>PASS</v>
      </c>
    </row>
    <row r="85" spans="1:15">
      <c r="A85" s="2"/>
      <c r="B85" s="2"/>
      <c r="C85" s="2"/>
      <c r="D85" s="2"/>
      <c r="E85" s="2"/>
      <c r="F85" s="2"/>
      <c r="G85" s="2"/>
      <c r="H85" s="2"/>
      <c r="I85" s="2"/>
      <c r="J85" s="2"/>
      <c r="K85" s="2"/>
      <c r="L85" s="2"/>
      <c r="M85" s="2"/>
      <c r="N85" s="2"/>
      <c r="O85" s="2" t="str">
        <f t="shared" si="2"/>
        <v>PASS</v>
      </c>
    </row>
    <row r="86" spans="1:15">
      <c r="A86" s="2"/>
      <c r="B86" s="2"/>
      <c r="C86" s="2"/>
      <c r="D86" s="2"/>
      <c r="E86" s="2"/>
      <c r="F86" s="2"/>
      <c r="G86" s="2"/>
      <c r="H86" s="2"/>
      <c r="I86" s="2"/>
      <c r="J86" s="2"/>
      <c r="K86" s="2"/>
      <c r="L86" s="2"/>
      <c r="M86" s="2"/>
      <c r="N86" s="2"/>
      <c r="O86" s="2" t="str">
        <f t="shared" si="2"/>
        <v>PASS</v>
      </c>
    </row>
    <row r="87" spans="1:15">
      <c r="A87" s="2"/>
      <c r="B87" s="2"/>
      <c r="C87" s="2"/>
      <c r="D87" s="2"/>
      <c r="E87" s="2"/>
      <c r="F87" s="2"/>
      <c r="G87" s="2"/>
      <c r="H87" s="2"/>
      <c r="I87" s="2"/>
      <c r="J87" s="2"/>
      <c r="K87" s="2"/>
      <c r="L87" s="2"/>
      <c r="M87" s="2"/>
      <c r="N87" s="2"/>
      <c r="O87" s="2" t="str">
        <f t="shared" si="2"/>
        <v>PASS</v>
      </c>
    </row>
    <row r="88" spans="1:15">
      <c r="A88" s="2"/>
      <c r="B88" s="2"/>
      <c r="C88" s="2"/>
      <c r="D88" s="2"/>
      <c r="E88" s="2"/>
      <c r="F88" s="2"/>
      <c r="G88" s="2"/>
      <c r="H88" s="2"/>
      <c r="I88" s="2"/>
      <c r="J88" s="2"/>
      <c r="K88" s="2"/>
      <c r="L88" s="2"/>
      <c r="M88" s="2"/>
      <c r="N88" s="2"/>
      <c r="O88" s="2" t="str">
        <f t="shared" si="2"/>
        <v>PASS</v>
      </c>
    </row>
    <row r="89" spans="1:15">
      <c r="A89" s="2"/>
      <c r="B89" s="2"/>
      <c r="C89" s="2"/>
      <c r="D89" s="2"/>
      <c r="E89" s="2"/>
      <c r="F89" s="2"/>
      <c r="G89" s="2"/>
      <c r="H89" s="2"/>
      <c r="I89" s="2"/>
      <c r="J89" s="2"/>
      <c r="K89" s="2"/>
      <c r="L89" s="2"/>
      <c r="M89" s="2"/>
      <c r="N89" s="2"/>
      <c r="O89" s="2" t="str">
        <f t="shared" si="2"/>
        <v>PASS</v>
      </c>
    </row>
    <row r="90" spans="1:15">
      <c r="A90" s="2"/>
      <c r="B90" s="2"/>
      <c r="C90" s="2"/>
      <c r="D90" s="2"/>
      <c r="E90" s="2"/>
      <c r="F90" s="2"/>
      <c r="G90" s="2"/>
      <c r="H90" s="2"/>
      <c r="I90" s="2"/>
      <c r="J90" s="2"/>
      <c r="K90" s="2"/>
      <c r="L90" s="2"/>
      <c r="M90" s="2"/>
      <c r="N90" s="2"/>
      <c r="O90" s="2" t="str">
        <f t="shared" si="2"/>
        <v>PASS</v>
      </c>
    </row>
    <row r="91" spans="1:15">
      <c r="A91" s="2"/>
      <c r="B91" s="2"/>
      <c r="C91" s="2"/>
      <c r="D91" s="2"/>
      <c r="E91" s="2"/>
      <c r="F91" s="2"/>
      <c r="G91" s="2"/>
      <c r="H91" s="2"/>
      <c r="I91" s="2"/>
      <c r="J91" s="2"/>
      <c r="K91" s="2"/>
      <c r="L91" s="2"/>
      <c r="M91" s="2"/>
      <c r="N91" s="2"/>
      <c r="O91" s="2" t="str">
        <f t="shared" si="2"/>
        <v>PASS</v>
      </c>
    </row>
    <row r="92" spans="1:15">
      <c r="A92" s="2"/>
      <c r="B92" s="2"/>
      <c r="C92" s="2"/>
      <c r="D92" s="2"/>
      <c r="E92" s="2"/>
      <c r="F92" s="2"/>
      <c r="G92" s="2"/>
      <c r="H92" s="2"/>
      <c r="I92" s="2"/>
      <c r="J92" s="2"/>
      <c r="K92" s="2"/>
      <c r="L92" s="2"/>
      <c r="M92" s="2"/>
      <c r="N92" s="2"/>
      <c r="O92" s="2" t="str">
        <f t="shared" si="2"/>
        <v>PASS</v>
      </c>
    </row>
    <row r="93" spans="1:15">
      <c r="A93" s="2"/>
      <c r="B93" s="2"/>
      <c r="C93" s="2"/>
      <c r="D93" s="2"/>
      <c r="E93" s="2"/>
      <c r="F93" s="2"/>
      <c r="G93" s="2"/>
      <c r="H93" s="2"/>
      <c r="I93" s="2"/>
      <c r="J93" s="2"/>
      <c r="K93" s="2"/>
      <c r="L93" s="2"/>
      <c r="M93" s="2"/>
      <c r="N93" s="2"/>
      <c r="O93" s="2" t="str">
        <f t="shared" si="2"/>
        <v>PASS</v>
      </c>
    </row>
    <row r="94" spans="1:15">
      <c r="A94" s="2"/>
      <c r="B94" s="2"/>
      <c r="C94" s="2"/>
      <c r="D94" s="2"/>
      <c r="E94" s="2"/>
      <c r="F94" s="2"/>
      <c r="G94" s="2"/>
      <c r="H94" s="2"/>
      <c r="I94" s="2"/>
      <c r="J94" s="2"/>
      <c r="K94" s="2"/>
      <c r="L94" s="2"/>
      <c r="M94" s="2"/>
      <c r="N94" s="2"/>
      <c r="O94" s="2" t="str">
        <f t="shared" si="2"/>
        <v>PASS</v>
      </c>
    </row>
    <row r="95" spans="1:15">
      <c r="A95" s="2"/>
      <c r="B95" s="2"/>
      <c r="C95" s="2"/>
      <c r="D95" s="2"/>
      <c r="E95" s="2"/>
      <c r="F95" s="2"/>
      <c r="G95" s="2"/>
      <c r="H95" s="2"/>
      <c r="I95" s="2"/>
      <c r="J95" s="2"/>
      <c r="K95" s="2"/>
      <c r="L95" s="2"/>
      <c r="M95" s="2"/>
      <c r="N95" s="2"/>
      <c r="O95" s="2" t="str">
        <f t="shared" si="2"/>
        <v>PASS</v>
      </c>
    </row>
    <row r="96" spans="1:15">
      <c r="A96" s="2"/>
      <c r="B96" s="2"/>
      <c r="C96" s="2"/>
      <c r="D96" s="2"/>
      <c r="E96" s="2"/>
      <c r="F96" s="2"/>
      <c r="G96" s="2"/>
      <c r="H96" s="2"/>
      <c r="I96" s="2"/>
      <c r="J96" s="2"/>
      <c r="K96" s="2"/>
      <c r="L96" s="2"/>
      <c r="M96" s="2"/>
      <c r="N96" s="2"/>
      <c r="O96" s="2" t="str">
        <f t="shared" si="2"/>
        <v>PASS</v>
      </c>
    </row>
    <row r="97" spans="1:15">
      <c r="A97" s="2"/>
      <c r="B97" s="2"/>
      <c r="C97" s="2"/>
      <c r="D97" s="2"/>
      <c r="E97" s="2"/>
      <c r="F97" s="2"/>
      <c r="G97" s="2"/>
      <c r="H97" s="2"/>
      <c r="I97" s="2"/>
      <c r="J97" s="2"/>
      <c r="K97" s="2"/>
      <c r="L97" s="2"/>
      <c r="M97" s="2"/>
      <c r="N97" s="2"/>
      <c r="O97" s="2" t="str">
        <f t="shared" si="2"/>
        <v>PASS</v>
      </c>
    </row>
    <row r="98" spans="1:15">
      <c r="A98" s="2"/>
      <c r="B98" s="2"/>
      <c r="C98" s="2"/>
      <c r="D98" s="2"/>
      <c r="E98" s="2"/>
      <c r="F98" s="2"/>
      <c r="G98" s="2"/>
      <c r="H98" s="2"/>
      <c r="I98" s="2"/>
      <c r="J98" s="2"/>
      <c r="K98" s="2"/>
      <c r="L98" s="2"/>
      <c r="M98" s="2"/>
      <c r="N98" s="2"/>
      <c r="O98" s="2" t="str">
        <f t="shared" si="2"/>
        <v>PASS</v>
      </c>
    </row>
    <row r="99" spans="1:15">
      <c r="A99" s="2"/>
      <c r="B99" s="2"/>
      <c r="C99" s="2"/>
      <c r="D99" s="2"/>
      <c r="E99" s="2"/>
      <c r="F99" s="2"/>
      <c r="G99" s="2"/>
      <c r="H99" s="2"/>
      <c r="I99" s="2"/>
      <c r="J99" s="2"/>
      <c r="K99" s="2"/>
      <c r="L99" s="2"/>
      <c r="M99" s="2"/>
      <c r="N99" s="2"/>
      <c r="O99" s="2" t="str">
        <f t="shared" si="2"/>
        <v>PASS</v>
      </c>
    </row>
    <row r="100" spans="1:15">
      <c r="A100" s="2"/>
      <c r="B100" s="2"/>
      <c r="C100" s="2"/>
      <c r="D100" s="2"/>
      <c r="E100" s="2"/>
      <c r="F100" s="2"/>
      <c r="G100" s="2"/>
      <c r="H100" s="2"/>
      <c r="I100" s="2"/>
      <c r="J100" s="2"/>
      <c r="K100" s="2"/>
      <c r="L100" s="2"/>
      <c r="M100" s="2"/>
      <c r="N100" s="2"/>
      <c r="O100" s="2" t="str">
        <f t="shared" si="2"/>
        <v>PASS</v>
      </c>
    </row>
    <row r="101" spans="1:15">
      <c r="A101" s="2"/>
      <c r="B101" s="2"/>
      <c r="C101" s="2"/>
      <c r="D101" s="2"/>
      <c r="E101" s="2"/>
      <c r="F101" s="2"/>
      <c r="G101" s="2"/>
      <c r="H101" s="2"/>
      <c r="I101" s="2"/>
      <c r="J101" s="2"/>
      <c r="K101" s="2"/>
      <c r="L101" s="2"/>
      <c r="M101" s="2"/>
      <c r="N101" s="2"/>
      <c r="O101" s="2" t="str">
        <f t="shared" si="2"/>
        <v>PASS</v>
      </c>
    </row>
    <row r="102" spans="1:15">
      <c r="A102" s="2"/>
      <c r="B102" s="2"/>
      <c r="C102" s="2"/>
      <c r="D102" s="2"/>
      <c r="E102" s="2"/>
      <c r="F102" s="2"/>
      <c r="G102" s="2"/>
      <c r="H102" s="2"/>
      <c r="I102" s="2"/>
      <c r="J102" s="2"/>
      <c r="K102" s="2"/>
      <c r="L102" s="2"/>
      <c r="M102" s="2"/>
      <c r="N102" s="2"/>
      <c r="O102" s="2" t="str">
        <f t="shared" si="2"/>
        <v>PASS</v>
      </c>
    </row>
    <row r="103" spans="1:15">
      <c r="A103" s="2"/>
      <c r="B103" s="2"/>
      <c r="C103" s="2"/>
      <c r="D103" s="2"/>
      <c r="E103" s="2"/>
      <c r="F103" s="2"/>
      <c r="G103" s="2"/>
      <c r="H103" s="2"/>
      <c r="I103" s="2"/>
      <c r="J103" s="2"/>
      <c r="K103" s="2"/>
      <c r="L103" s="2"/>
      <c r="M103" s="2"/>
      <c r="N103" s="2"/>
      <c r="O103" s="2" t="str">
        <f t="shared" si="2"/>
        <v>PASS</v>
      </c>
    </row>
    <row r="104" spans="1:15">
      <c r="A104" s="2"/>
      <c r="B104" s="2"/>
      <c r="C104" s="2"/>
      <c r="D104" s="2"/>
      <c r="E104" s="2"/>
      <c r="F104" s="2"/>
      <c r="G104" s="2"/>
      <c r="H104" s="2"/>
      <c r="I104" s="2"/>
      <c r="J104" s="2"/>
      <c r="K104" s="2"/>
      <c r="L104" s="2"/>
      <c r="M104" s="2"/>
      <c r="N104" s="2"/>
      <c r="O104" s="2" t="str">
        <f t="shared" si="2"/>
        <v>PASS</v>
      </c>
    </row>
    <row r="105" spans="1:15">
      <c r="A105" s="2"/>
      <c r="B105" s="2"/>
      <c r="C105" s="2"/>
      <c r="D105" s="2"/>
      <c r="E105" s="2"/>
      <c r="F105" s="2"/>
      <c r="G105" s="2"/>
      <c r="H105" s="2"/>
      <c r="I105" s="2"/>
      <c r="J105" s="2"/>
      <c r="K105" s="2"/>
      <c r="L105" s="2"/>
      <c r="M105" s="2"/>
      <c r="N105" s="2"/>
      <c r="O105" s="2" t="str">
        <f t="shared" si="2"/>
        <v>PASS</v>
      </c>
    </row>
    <row r="106" spans="1:15">
      <c r="A106" s="2"/>
      <c r="B106" s="2"/>
      <c r="C106" s="2"/>
      <c r="D106" s="2"/>
      <c r="E106" s="2"/>
      <c r="F106" s="2"/>
      <c r="G106" s="2"/>
      <c r="H106" s="2"/>
      <c r="I106" s="2"/>
      <c r="J106" s="2"/>
      <c r="K106" s="2"/>
      <c r="L106" s="2"/>
      <c r="M106" s="2"/>
      <c r="N106" s="2"/>
      <c r="O106" s="2" t="str">
        <f t="shared" si="2"/>
        <v>PASS</v>
      </c>
    </row>
    <row r="107" spans="1:15">
      <c r="A107" s="2"/>
      <c r="B107" s="2"/>
      <c r="C107" s="2"/>
      <c r="D107" s="2"/>
      <c r="E107" s="2"/>
      <c r="F107" s="2"/>
      <c r="G107" s="2"/>
      <c r="H107" s="2"/>
      <c r="I107" s="2"/>
      <c r="J107" s="2"/>
      <c r="K107" s="2"/>
      <c r="L107" s="2"/>
      <c r="M107" s="2"/>
      <c r="N107" s="2"/>
      <c r="O107" s="2" t="str">
        <f t="shared" si="2"/>
        <v>PASS</v>
      </c>
    </row>
    <row r="108" spans="1:15">
      <c r="A108" s="2"/>
      <c r="B108" s="2"/>
      <c r="C108" s="2"/>
      <c r="D108" s="2"/>
      <c r="E108" s="2"/>
      <c r="F108" s="2"/>
      <c r="G108" s="2"/>
      <c r="H108" s="2"/>
      <c r="I108" s="2"/>
      <c r="J108" s="2"/>
      <c r="K108" s="2"/>
      <c r="L108" s="2"/>
      <c r="M108" s="2"/>
      <c r="N108" s="2"/>
      <c r="O108" s="2" t="str">
        <f t="shared" si="2"/>
        <v>PASS</v>
      </c>
    </row>
    <row r="109" spans="1:15">
      <c r="A109" s="2"/>
      <c r="B109" s="2"/>
      <c r="C109" s="2"/>
      <c r="D109" s="2"/>
      <c r="E109" s="2"/>
      <c r="F109" s="2"/>
      <c r="G109" s="2"/>
      <c r="H109" s="2"/>
      <c r="I109" s="2"/>
      <c r="J109" s="2"/>
      <c r="K109" s="2"/>
      <c r="L109" s="2"/>
      <c r="M109" s="2"/>
      <c r="N109" s="2"/>
      <c r="O109" s="2" t="str">
        <f t="shared" si="2"/>
        <v>PASS</v>
      </c>
    </row>
    <row r="110" spans="1:15">
      <c r="A110" s="2"/>
      <c r="B110" s="2"/>
      <c r="C110" s="2"/>
      <c r="D110" s="2"/>
      <c r="E110" s="2"/>
      <c r="F110" s="2"/>
      <c r="G110" s="2"/>
      <c r="H110" s="2"/>
      <c r="I110" s="2"/>
      <c r="J110" s="2"/>
      <c r="K110" s="2"/>
      <c r="L110" s="2"/>
      <c r="M110" s="2"/>
      <c r="N110" s="2"/>
      <c r="O110" s="2" t="str">
        <f t="shared" si="2"/>
        <v>PASS</v>
      </c>
    </row>
    <row r="111" spans="1:15">
      <c r="A111" s="2"/>
      <c r="B111" s="2"/>
      <c r="C111" s="2"/>
      <c r="D111" s="2"/>
      <c r="E111" s="2"/>
      <c r="F111" s="2"/>
      <c r="G111" s="2"/>
      <c r="H111" s="2"/>
      <c r="I111" s="2"/>
      <c r="J111" s="2"/>
      <c r="K111" s="2"/>
      <c r="L111" s="2"/>
      <c r="M111" s="2"/>
      <c r="N111" s="2"/>
      <c r="O111" s="2" t="str">
        <f t="shared" si="2"/>
        <v>PASS</v>
      </c>
    </row>
    <row r="112" spans="1:15">
      <c r="A112" s="2"/>
      <c r="B112" s="2"/>
      <c r="C112" s="2"/>
      <c r="D112" s="2"/>
      <c r="E112" s="2"/>
      <c r="F112" s="2"/>
      <c r="G112" s="2"/>
      <c r="H112" s="2"/>
      <c r="I112" s="2"/>
      <c r="J112" s="2"/>
      <c r="K112" s="2"/>
      <c r="L112" s="2"/>
      <c r="M112" s="2"/>
      <c r="N112" s="2"/>
      <c r="O112" s="2" t="str">
        <f t="shared" si="2"/>
        <v>PASS</v>
      </c>
    </row>
    <row r="113" spans="1:15">
      <c r="A113" s="2"/>
      <c r="B113" s="2"/>
      <c r="C113" s="2"/>
      <c r="D113" s="2"/>
      <c r="E113" s="2"/>
      <c r="F113" s="2"/>
      <c r="G113" s="2"/>
      <c r="H113" s="2"/>
      <c r="I113" s="2"/>
      <c r="J113" s="2"/>
      <c r="K113" s="2"/>
      <c r="L113" s="2"/>
      <c r="M113" s="2"/>
      <c r="N113" s="2"/>
      <c r="O113" s="2" t="str">
        <f t="shared" si="2"/>
        <v>PASS</v>
      </c>
    </row>
  </sheetData>
  <mergeCells count="2">
    <mergeCell ref="A1:O1"/>
    <mergeCell ref="A2:O2"/>
  </mergeCells>
  <dataValidations count="2">
    <dataValidation type="list" sqref="B7" xr:uid="{00000000-0002-0000-2600-000000000000}">
      <formula1>"Yes,No"</formula1>
    </dataValidation>
    <dataValidation type="list" sqref="F14:M113" xr:uid="{00000000-0002-0000-2600-000001000000}">
      <formula1>"Yes,No,N/A"</formula1>
    </dataValidation>
  </dataValidation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K141"/>
  <sheetViews>
    <sheetView workbookViewId="0"/>
  </sheetViews>
  <sheetFormatPr defaultRowHeight="14"/>
  <cols>
    <col min="1" max="5" width="28" customWidth="1"/>
    <col min="8" max="25" width="15" customWidth="1"/>
    <col min="26" max="35" width="20" customWidth="1"/>
  </cols>
  <sheetData>
    <row r="1" spans="1:35" ht="20">
      <c r="A1" s="6" t="s">
        <v>369</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ht="14.5">
      <c r="A2" s="8" t="s">
        <v>106</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row>
    <row r="4" spans="1:35">
      <c r="A4" s="3" t="s">
        <v>107</v>
      </c>
      <c r="B4" t="s">
        <v>370</v>
      </c>
      <c r="D4" s="9" t="s">
        <v>109</v>
      </c>
      <c r="E4" s="9"/>
      <c r="F4" s="9"/>
      <c r="G4" s="9"/>
      <c r="H4" s="9"/>
    </row>
    <row r="5" spans="1:35" ht="28">
      <c r="A5" s="3" t="s">
        <v>110</v>
      </c>
      <c r="D5" s="4" t="s">
        <v>6</v>
      </c>
      <c r="E5" s="4" t="s">
        <v>111</v>
      </c>
      <c r="F5" s="4"/>
      <c r="G5" s="4"/>
      <c r="H5" s="4"/>
    </row>
    <row r="6" spans="1:35" ht="42">
      <c r="A6" s="3" t="s">
        <v>112</v>
      </c>
      <c r="D6" s="4" t="s">
        <v>12</v>
      </c>
      <c r="E6" s="4" t="s">
        <v>113</v>
      </c>
      <c r="F6" s="4"/>
      <c r="G6" s="4"/>
      <c r="H6" s="4"/>
    </row>
    <row r="7" spans="1:35" ht="42">
      <c r="A7" s="3" t="s">
        <v>114</v>
      </c>
      <c r="D7" s="4" t="s">
        <v>18</v>
      </c>
      <c r="E7" s="4" t="s">
        <v>115</v>
      </c>
      <c r="F7" s="4"/>
      <c r="G7" s="4"/>
      <c r="H7" s="4"/>
    </row>
    <row r="8" spans="1:35" ht="42">
      <c r="A8" s="3" t="s">
        <v>116</v>
      </c>
      <c r="B8">
        <f>COUNTA(A18:A117)</f>
        <v>0</v>
      </c>
      <c r="D8" s="4" t="s">
        <v>23</v>
      </c>
      <c r="E8" s="4" t="s">
        <v>117</v>
      </c>
      <c r="F8" s="4"/>
      <c r="G8" s="4"/>
      <c r="H8" s="4"/>
    </row>
    <row r="9" spans="1:35">
      <c r="A9" s="3" t="s">
        <v>6</v>
      </c>
      <c r="B9">
        <f>COUNTIF(Z18:Z117,"Low")</f>
        <v>0</v>
      </c>
    </row>
    <row r="10" spans="1:35">
      <c r="A10" s="3" t="s">
        <v>12</v>
      </c>
      <c r="B10">
        <f>COUNTIF(Z18:Z117,"Medium")</f>
        <v>0</v>
      </c>
    </row>
    <row r="11" spans="1:35">
      <c r="A11" s="3" t="s">
        <v>18</v>
      </c>
      <c r="B11">
        <f>COUNTIF(Z18:Z117,"High")</f>
        <v>0</v>
      </c>
    </row>
    <row r="12" spans="1:35">
      <c r="A12" s="3" t="s">
        <v>23</v>
      </c>
      <c r="B12">
        <f>COUNTIF(Z18:Z117,"Very High")</f>
        <v>0</v>
      </c>
    </row>
    <row r="13" spans="1:35">
      <c r="A13" s="3" t="s">
        <v>118</v>
      </c>
      <c r="B13">
        <f>COUNTIF(AD18:AD117,"Yes")</f>
        <v>0</v>
      </c>
    </row>
    <row r="14" spans="1:35">
      <c r="A14" s="3" t="s">
        <v>119</v>
      </c>
    </row>
    <row r="17" spans="1:37" ht="28">
      <c r="A17" s="1" t="s">
        <v>120</v>
      </c>
      <c r="B17" s="1" t="s">
        <v>121</v>
      </c>
      <c r="C17" s="1" t="s">
        <v>2</v>
      </c>
      <c r="D17" s="1" t="s">
        <v>75</v>
      </c>
      <c r="E17" s="1" t="s">
        <v>122</v>
      </c>
      <c r="F17" s="1" t="s">
        <v>123</v>
      </c>
      <c r="G17" s="1" t="s">
        <v>110</v>
      </c>
      <c r="H17" s="1" t="s">
        <v>124</v>
      </c>
      <c r="I17" s="1" t="s">
        <v>125</v>
      </c>
      <c r="J17" s="1" t="s">
        <v>126</v>
      </c>
      <c r="K17" s="1" t="s">
        <v>127</v>
      </c>
      <c r="L17" s="1" t="s">
        <v>128</v>
      </c>
      <c r="M17" s="1" t="s">
        <v>129</v>
      </c>
      <c r="N17" s="1" t="s">
        <v>130</v>
      </c>
      <c r="O17" s="1" t="s">
        <v>131</v>
      </c>
      <c r="P17" s="1" t="s">
        <v>132</v>
      </c>
      <c r="Q17" s="1" t="s">
        <v>133</v>
      </c>
      <c r="R17" s="1" t="s">
        <v>134</v>
      </c>
      <c r="S17" s="1" t="s">
        <v>135</v>
      </c>
      <c r="T17" s="1" t="s">
        <v>136</v>
      </c>
      <c r="U17" s="1" t="s">
        <v>137</v>
      </c>
      <c r="V17" s="1" t="s">
        <v>138</v>
      </c>
      <c r="W17" s="1" t="s">
        <v>139</v>
      </c>
      <c r="X17" s="1" t="s">
        <v>140</v>
      </c>
      <c r="Y17" s="1" t="s">
        <v>141</v>
      </c>
      <c r="Z17" s="1" t="s">
        <v>142</v>
      </c>
      <c r="AA17" s="1" t="s">
        <v>143</v>
      </c>
      <c r="AB17" s="1" t="s">
        <v>144</v>
      </c>
      <c r="AC17" s="1" t="s">
        <v>3</v>
      </c>
      <c r="AD17" s="1" t="s">
        <v>145</v>
      </c>
      <c r="AE17" s="1" t="s">
        <v>146</v>
      </c>
      <c r="AF17" s="1" t="s">
        <v>147</v>
      </c>
      <c r="AG17" s="1" t="s">
        <v>148</v>
      </c>
      <c r="AH17" s="1" t="s">
        <v>149</v>
      </c>
      <c r="AI17" s="1" t="s">
        <v>150</v>
      </c>
      <c r="AJ17" t="s">
        <v>151</v>
      </c>
      <c r="AK17" t="s">
        <v>152</v>
      </c>
    </row>
    <row r="18" spans="1:37">
      <c r="A18" s="2"/>
      <c r="B18" s="2"/>
      <c r="C18" s="2"/>
      <c r="D18" s="2"/>
      <c r="E18" s="5"/>
      <c r="F18" s="2"/>
      <c r="G18" s="5"/>
      <c r="H18" s="2"/>
      <c r="I18" s="2"/>
      <c r="J18" s="2"/>
      <c r="K18" s="2"/>
      <c r="L18" s="2"/>
      <c r="M18" s="2"/>
      <c r="N18" s="2"/>
      <c r="O18" s="2"/>
      <c r="P18" s="2"/>
      <c r="Q18" s="2"/>
      <c r="R18" s="2"/>
      <c r="S18" s="2"/>
      <c r="T18" s="2"/>
      <c r="U18" s="2"/>
      <c r="V18" s="2"/>
      <c r="W18" s="2"/>
      <c r="X18" s="2"/>
      <c r="Y18" s="2"/>
      <c r="Z18" s="2" t="str">
        <f t="shared" ref="Z18:Z49" si="0">IF(COUNTA(H18:Y18)=0,"",IF(COUNTIF(H18:Y18,"Very High")&gt;0,"Very High",IF(COUNTIF(H18:Y18,"High")&gt;0,"High",IF(COUNTIF(H18:Y18,"Medium")&gt;0,"Medium","Low"))))</f>
        <v/>
      </c>
      <c r="AA18" s="2" t="str">
        <f t="shared" ref="AA18:AA49" si="1">IF(Z18="","",IF(Z18="Low","Routine planned support",IF(Z18="Medium","One staff support/supervision likely",IF(Z18="High","Two staff/review staffing and equipment","Manager review: multiple staff/specialist support"))))</f>
        <v/>
      </c>
      <c r="AB18" s="2" t="str">
        <f t="shared" ref="AB18:AB49" si="2">IF(Z18="","",IF(OR(Z18="High",Z18="Very High",W18="High",W18="Very High"),"Night staffing and evacuation review required","Routine night checks as per care plan"))</f>
        <v/>
      </c>
      <c r="AC18" s="2" t="str">
        <f t="shared" ref="AC18:AC49" si="3">IF(X18="Very High","Specialist PEEP / equipment",IF(OR(X18="High",Z18="High"),"Evacuation sheet/chair or wheelchair per PEEP",IF(OR(X18="Medium",Z18="Medium"),"Walking aid/wheelchair support per PEEP","Walks with direction")))</f>
        <v>Walks with direction</v>
      </c>
      <c r="AD18" s="2"/>
      <c r="AE18" s="5"/>
      <c r="AF18" s="2"/>
      <c r="AG18" s="2"/>
      <c r="AH18" s="2"/>
      <c r="AI18" s="2"/>
    </row>
    <row r="19" spans="1:37">
      <c r="A19" s="2"/>
      <c r="B19" s="2"/>
      <c r="C19" s="2"/>
      <c r="D19" s="2"/>
      <c r="E19" s="5"/>
      <c r="F19" s="2"/>
      <c r="G19" s="5"/>
      <c r="H19" s="2"/>
      <c r="I19" s="2"/>
      <c r="J19" s="2"/>
      <c r="K19" s="2"/>
      <c r="L19" s="2"/>
      <c r="M19" s="2"/>
      <c r="N19" s="2"/>
      <c r="O19" s="2"/>
      <c r="P19" s="2"/>
      <c r="Q19" s="2"/>
      <c r="R19" s="2"/>
      <c r="S19" s="2"/>
      <c r="T19" s="2"/>
      <c r="U19" s="2"/>
      <c r="V19" s="2"/>
      <c r="W19" s="2"/>
      <c r="X19" s="2"/>
      <c r="Y19" s="2"/>
      <c r="Z19" s="2" t="str">
        <f t="shared" si="0"/>
        <v/>
      </c>
      <c r="AA19" s="2" t="str">
        <f t="shared" si="1"/>
        <v/>
      </c>
      <c r="AB19" s="2" t="str">
        <f t="shared" si="2"/>
        <v/>
      </c>
      <c r="AC19" s="2" t="str">
        <f t="shared" si="3"/>
        <v>Walks with direction</v>
      </c>
      <c r="AD19" s="2"/>
      <c r="AE19" s="5"/>
      <c r="AF19" s="2"/>
      <c r="AG19" s="2"/>
      <c r="AH19" s="2"/>
      <c r="AI19" s="2"/>
    </row>
    <row r="20" spans="1:37">
      <c r="A20" s="2"/>
      <c r="B20" s="2"/>
      <c r="C20" s="2"/>
      <c r="D20" s="2"/>
      <c r="E20" s="5"/>
      <c r="F20" s="2"/>
      <c r="G20" s="5"/>
      <c r="H20" s="2"/>
      <c r="I20" s="2"/>
      <c r="J20" s="2"/>
      <c r="K20" s="2"/>
      <c r="L20" s="2"/>
      <c r="M20" s="2"/>
      <c r="N20" s="2"/>
      <c r="O20" s="2"/>
      <c r="P20" s="2"/>
      <c r="Q20" s="2"/>
      <c r="R20" s="2"/>
      <c r="S20" s="2"/>
      <c r="T20" s="2"/>
      <c r="U20" s="2"/>
      <c r="V20" s="2"/>
      <c r="W20" s="2"/>
      <c r="X20" s="2"/>
      <c r="Y20" s="2"/>
      <c r="Z20" s="2" t="str">
        <f t="shared" si="0"/>
        <v/>
      </c>
      <c r="AA20" s="2" t="str">
        <f t="shared" si="1"/>
        <v/>
      </c>
      <c r="AB20" s="2" t="str">
        <f t="shared" si="2"/>
        <v/>
      </c>
      <c r="AC20" s="2" t="str">
        <f t="shared" si="3"/>
        <v>Walks with direction</v>
      </c>
      <c r="AD20" s="2"/>
      <c r="AE20" s="5"/>
      <c r="AF20" s="2"/>
      <c r="AG20" s="2"/>
      <c r="AH20" s="2"/>
      <c r="AI20" s="2"/>
    </row>
    <row r="21" spans="1:37">
      <c r="A21" s="2"/>
      <c r="B21" s="2"/>
      <c r="C21" s="2"/>
      <c r="D21" s="2"/>
      <c r="E21" s="5"/>
      <c r="F21" s="2"/>
      <c r="G21" s="5"/>
      <c r="H21" s="2"/>
      <c r="I21" s="2"/>
      <c r="J21" s="2"/>
      <c r="K21" s="2"/>
      <c r="L21" s="2"/>
      <c r="M21" s="2"/>
      <c r="N21" s="2"/>
      <c r="O21" s="2"/>
      <c r="P21" s="2"/>
      <c r="Q21" s="2"/>
      <c r="R21" s="2"/>
      <c r="S21" s="2"/>
      <c r="T21" s="2"/>
      <c r="U21" s="2"/>
      <c r="V21" s="2"/>
      <c r="W21" s="2"/>
      <c r="X21" s="2"/>
      <c r="Y21" s="2"/>
      <c r="Z21" s="2" t="str">
        <f t="shared" si="0"/>
        <v/>
      </c>
      <c r="AA21" s="2" t="str">
        <f t="shared" si="1"/>
        <v/>
      </c>
      <c r="AB21" s="2" t="str">
        <f t="shared" si="2"/>
        <v/>
      </c>
      <c r="AC21" s="2" t="str">
        <f t="shared" si="3"/>
        <v>Walks with direction</v>
      </c>
      <c r="AD21" s="2"/>
      <c r="AE21" s="5"/>
      <c r="AF21" s="2"/>
      <c r="AG21" s="2"/>
      <c r="AH21" s="2"/>
      <c r="AI21" s="2"/>
    </row>
    <row r="22" spans="1:37">
      <c r="A22" s="2"/>
      <c r="B22" s="2"/>
      <c r="C22" s="2"/>
      <c r="D22" s="2"/>
      <c r="E22" s="5"/>
      <c r="F22" s="2"/>
      <c r="G22" s="5"/>
      <c r="H22" s="2"/>
      <c r="I22" s="2"/>
      <c r="J22" s="2"/>
      <c r="K22" s="2"/>
      <c r="L22" s="2"/>
      <c r="M22" s="2"/>
      <c r="N22" s="2"/>
      <c r="O22" s="2"/>
      <c r="P22" s="2"/>
      <c r="Q22" s="2"/>
      <c r="R22" s="2"/>
      <c r="S22" s="2"/>
      <c r="T22" s="2"/>
      <c r="U22" s="2"/>
      <c r="V22" s="2"/>
      <c r="W22" s="2"/>
      <c r="X22" s="2"/>
      <c r="Y22" s="2"/>
      <c r="Z22" s="2" t="str">
        <f t="shared" si="0"/>
        <v/>
      </c>
      <c r="AA22" s="2" t="str">
        <f t="shared" si="1"/>
        <v/>
      </c>
      <c r="AB22" s="2" t="str">
        <f t="shared" si="2"/>
        <v/>
      </c>
      <c r="AC22" s="2" t="str">
        <f t="shared" si="3"/>
        <v>Walks with direction</v>
      </c>
      <c r="AD22" s="2"/>
      <c r="AE22" s="5"/>
      <c r="AF22" s="2"/>
      <c r="AG22" s="2"/>
      <c r="AH22" s="2"/>
      <c r="AI22" s="2"/>
    </row>
    <row r="23" spans="1:37">
      <c r="A23" s="2"/>
      <c r="B23" s="2"/>
      <c r="C23" s="2"/>
      <c r="D23" s="2"/>
      <c r="E23" s="5"/>
      <c r="F23" s="2"/>
      <c r="G23" s="5"/>
      <c r="H23" s="2"/>
      <c r="I23" s="2"/>
      <c r="J23" s="2"/>
      <c r="K23" s="2"/>
      <c r="L23" s="2"/>
      <c r="M23" s="2"/>
      <c r="N23" s="2"/>
      <c r="O23" s="2"/>
      <c r="P23" s="2"/>
      <c r="Q23" s="2"/>
      <c r="R23" s="2"/>
      <c r="S23" s="2"/>
      <c r="T23" s="2"/>
      <c r="U23" s="2"/>
      <c r="V23" s="2"/>
      <c r="W23" s="2"/>
      <c r="X23" s="2"/>
      <c r="Y23" s="2"/>
      <c r="Z23" s="2" t="str">
        <f t="shared" si="0"/>
        <v/>
      </c>
      <c r="AA23" s="2" t="str">
        <f t="shared" si="1"/>
        <v/>
      </c>
      <c r="AB23" s="2" t="str">
        <f t="shared" si="2"/>
        <v/>
      </c>
      <c r="AC23" s="2" t="str">
        <f t="shared" si="3"/>
        <v>Walks with direction</v>
      </c>
      <c r="AD23" s="2"/>
      <c r="AE23" s="5"/>
      <c r="AF23" s="2"/>
      <c r="AG23" s="2"/>
      <c r="AH23" s="2"/>
      <c r="AI23" s="2"/>
    </row>
    <row r="24" spans="1:37">
      <c r="A24" s="2"/>
      <c r="B24" s="2"/>
      <c r="C24" s="2"/>
      <c r="D24" s="2"/>
      <c r="E24" s="5"/>
      <c r="F24" s="2"/>
      <c r="G24" s="5"/>
      <c r="H24" s="2"/>
      <c r="I24" s="2"/>
      <c r="J24" s="2"/>
      <c r="K24" s="2"/>
      <c r="L24" s="2"/>
      <c r="M24" s="2"/>
      <c r="N24" s="2"/>
      <c r="O24" s="2"/>
      <c r="P24" s="2"/>
      <c r="Q24" s="2"/>
      <c r="R24" s="2"/>
      <c r="S24" s="2"/>
      <c r="T24" s="2"/>
      <c r="U24" s="2"/>
      <c r="V24" s="2"/>
      <c r="W24" s="2"/>
      <c r="X24" s="2"/>
      <c r="Y24" s="2"/>
      <c r="Z24" s="2" t="str">
        <f t="shared" si="0"/>
        <v/>
      </c>
      <c r="AA24" s="2" t="str">
        <f t="shared" si="1"/>
        <v/>
      </c>
      <c r="AB24" s="2" t="str">
        <f t="shared" si="2"/>
        <v/>
      </c>
      <c r="AC24" s="2" t="str">
        <f t="shared" si="3"/>
        <v>Walks with direction</v>
      </c>
      <c r="AD24" s="2"/>
      <c r="AE24" s="5"/>
      <c r="AF24" s="2"/>
      <c r="AG24" s="2"/>
      <c r="AH24" s="2"/>
      <c r="AI24" s="2"/>
    </row>
    <row r="25" spans="1:37">
      <c r="A25" s="2"/>
      <c r="B25" s="2"/>
      <c r="C25" s="2"/>
      <c r="D25" s="2"/>
      <c r="E25" s="5"/>
      <c r="F25" s="2"/>
      <c r="G25" s="5"/>
      <c r="H25" s="2"/>
      <c r="I25" s="2"/>
      <c r="J25" s="2"/>
      <c r="K25" s="2"/>
      <c r="L25" s="2"/>
      <c r="M25" s="2"/>
      <c r="N25" s="2"/>
      <c r="O25" s="2"/>
      <c r="P25" s="2"/>
      <c r="Q25" s="2"/>
      <c r="R25" s="2"/>
      <c r="S25" s="2"/>
      <c r="T25" s="2"/>
      <c r="U25" s="2"/>
      <c r="V25" s="2"/>
      <c r="W25" s="2"/>
      <c r="X25" s="2"/>
      <c r="Y25" s="2"/>
      <c r="Z25" s="2" t="str">
        <f t="shared" si="0"/>
        <v/>
      </c>
      <c r="AA25" s="2" t="str">
        <f t="shared" si="1"/>
        <v/>
      </c>
      <c r="AB25" s="2" t="str">
        <f t="shared" si="2"/>
        <v/>
      </c>
      <c r="AC25" s="2" t="str">
        <f t="shared" si="3"/>
        <v>Walks with direction</v>
      </c>
      <c r="AD25" s="2"/>
      <c r="AE25" s="5"/>
      <c r="AF25" s="2"/>
      <c r="AG25" s="2"/>
      <c r="AH25" s="2"/>
      <c r="AI25" s="2"/>
    </row>
    <row r="26" spans="1:37">
      <c r="A26" s="2"/>
      <c r="B26" s="2"/>
      <c r="C26" s="2"/>
      <c r="D26" s="2"/>
      <c r="E26" s="5"/>
      <c r="F26" s="2"/>
      <c r="G26" s="5"/>
      <c r="H26" s="2"/>
      <c r="I26" s="2"/>
      <c r="J26" s="2"/>
      <c r="K26" s="2"/>
      <c r="L26" s="2"/>
      <c r="M26" s="2"/>
      <c r="N26" s="2"/>
      <c r="O26" s="2"/>
      <c r="P26" s="2"/>
      <c r="Q26" s="2"/>
      <c r="R26" s="2"/>
      <c r="S26" s="2"/>
      <c r="T26" s="2"/>
      <c r="U26" s="2"/>
      <c r="V26" s="2"/>
      <c r="W26" s="2"/>
      <c r="X26" s="2"/>
      <c r="Y26" s="2"/>
      <c r="Z26" s="2" t="str">
        <f t="shared" si="0"/>
        <v/>
      </c>
      <c r="AA26" s="2" t="str">
        <f t="shared" si="1"/>
        <v/>
      </c>
      <c r="AB26" s="2" t="str">
        <f t="shared" si="2"/>
        <v/>
      </c>
      <c r="AC26" s="2" t="str">
        <f t="shared" si="3"/>
        <v>Walks with direction</v>
      </c>
      <c r="AD26" s="2"/>
      <c r="AE26" s="5"/>
      <c r="AF26" s="2"/>
      <c r="AG26" s="2"/>
      <c r="AH26" s="2"/>
      <c r="AI26" s="2"/>
    </row>
    <row r="27" spans="1:37">
      <c r="A27" s="2"/>
      <c r="B27" s="2"/>
      <c r="C27" s="2"/>
      <c r="D27" s="2"/>
      <c r="E27" s="5"/>
      <c r="F27" s="2"/>
      <c r="G27" s="5"/>
      <c r="H27" s="2"/>
      <c r="I27" s="2"/>
      <c r="J27" s="2"/>
      <c r="K27" s="2"/>
      <c r="L27" s="2"/>
      <c r="M27" s="2"/>
      <c r="N27" s="2"/>
      <c r="O27" s="2"/>
      <c r="P27" s="2"/>
      <c r="Q27" s="2"/>
      <c r="R27" s="2"/>
      <c r="S27" s="2"/>
      <c r="T27" s="2"/>
      <c r="U27" s="2"/>
      <c r="V27" s="2"/>
      <c r="W27" s="2"/>
      <c r="X27" s="2"/>
      <c r="Y27" s="2"/>
      <c r="Z27" s="2" t="str">
        <f t="shared" si="0"/>
        <v/>
      </c>
      <c r="AA27" s="2" t="str">
        <f t="shared" si="1"/>
        <v/>
      </c>
      <c r="AB27" s="2" t="str">
        <f t="shared" si="2"/>
        <v/>
      </c>
      <c r="AC27" s="2" t="str">
        <f t="shared" si="3"/>
        <v>Walks with direction</v>
      </c>
      <c r="AD27" s="2"/>
      <c r="AE27" s="5"/>
      <c r="AF27" s="2"/>
      <c r="AG27" s="2"/>
      <c r="AH27" s="2"/>
      <c r="AI27" s="2"/>
    </row>
    <row r="28" spans="1:37">
      <c r="A28" s="2"/>
      <c r="B28" s="2"/>
      <c r="C28" s="2"/>
      <c r="D28" s="2"/>
      <c r="E28" s="5"/>
      <c r="F28" s="2"/>
      <c r="G28" s="5"/>
      <c r="H28" s="2"/>
      <c r="I28" s="2"/>
      <c r="J28" s="2"/>
      <c r="K28" s="2"/>
      <c r="L28" s="2"/>
      <c r="M28" s="2"/>
      <c r="N28" s="2"/>
      <c r="O28" s="2"/>
      <c r="P28" s="2"/>
      <c r="Q28" s="2"/>
      <c r="R28" s="2"/>
      <c r="S28" s="2"/>
      <c r="T28" s="2"/>
      <c r="U28" s="2"/>
      <c r="V28" s="2"/>
      <c r="W28" s="2"/>
      <c r="X28" s="2"/>
      <c r="Y28" s="2"/>
      <c r="Z28" s="2" t="str">
        <f t="shared" si="0"/>
        <v/>
      </c>
      <c r="AA28" s="2" t="str">
        <f t="shared" si="1"/>
        <v/>
      </c>
      <c r="AB28" s="2" t="str">
        <f t="shared" si="2"/>
        <v/>
      </c>
      <c r="AC28" s="2" t="str">
        <f t="shared" si="3"/>
        <v>Walks with direction</v>
      </c>
      <c r="AD28" s="2"/>
      <c r="AE28" s="5"/>
      <c r="AF28" s="2"/>
      <c r="AG28" s="2"/>
      <c r="AH28" s="2"/>
      <c r="AI28" s="2"/>
    </row>
    <row r="29" spans="1:37">
      <c r="A29" s="2"/>
      <c r="B29" s="2"/>
      <c r="C29" s="2"/>
      <c r="D29" s="2"/>
      <c r="E29" s="5"/>
      <c r="F29" s="2"/>
      <c r="G29" s="5"/>
      <c r="H29" s="2"/>
      <c r="I29" s="2"/>
      <c r="J29" s="2"/>
      <c r="K29" s="2"/>
      <c r="L29" s="2"/>
      <c r="M29" s="2"/>
      <c r="N29" s="2"/>
      <c r="O29" s="2"/>
      <c r="P29" s="2"/>
      <c r="Q29" s="2"/>
      <c r="R29" s="2"/>
      <c r="S29" s="2"/>
      <c r="T29" s="2"/>
      <c r="U29" s="2"/>
      <c r="V29" s="2"/>
      <c r="W29" s="2"/>
      <c r="X29" s="2"/>
      <c r="Y29" s="2"/>
      <c r="Z29" s="2" t="str">
        <f t="shared" si="0"/>
        <v/>
      </c>
      <c r="AA29" s="2" t="str">
        <f t="shared" si="1"/>
        <v/>
      </c>
      <c r="AB29" s="2" t="str">
        <f t="shared" si="2"/>
        <v/>
      </c>
      <c r="AC29" s="2" t="str">
        <f t="shared" si="3"/>
        <v>Walks with direction</v>
      </c>
      <c r="AD29" s="2"/>
      <c r="AE29" s="5"/>
      <c r="AF29" s="2"/>
      <c r="AG29" s="2"/>
      <c r="AH29" s="2"/>
      <c r="AI29" s="2"/>
    </row>
    <row r="30" spans="1:37">
      <c r="A30" s="2"/>
      <c r="B30" s="2"/>
      <c r="C30" s="2"/>
      <c r="D30" s="2"/>
      <c r="E30" s="5"/>
      <c r="F30" s="2"/>
      <c r="G30" s="5"/>
      <c r="H30" s="2"/>
      <c r="I30" s="2"/>
      <c r="J30" s="2"/>
      <c r="K30" s="2"/>
      <c r="L30" s="2"/>
      <c r="M30" s="2"/>
      <c r="N30" s="2"/>
      <c r="O30" s="2"/>
      <c r="P30" s="2"/>
      <c r="Q30" s="2"/>
      <c r="R30" s="2"/>
      <c r="S30" s="2"/>
      <c r="T30" s="2"/>
      <c r="U30" s="2"/>
      <c r="V30" s="2"/>
      <c r="W30" s="2"/>
      <c r="X30" s="2"/>
      <c r="Y30" s="2"/>
      <c r="Z30" s="2" t="str">
        <f t="shared" si="0"/>
        <v/>
      </c>
      <c r="AA30" s="2" t="str">
        <f t="shared" si="1"/>
        <v/>
      </c>
      <c r="AB30" s="2" t="str">
        <f t="shared" si="2"/>
        <v/>
      </c>
      <c r="AC30" s="2" t="str">
        <f t="shared" si="3"/>
        <v>Walks with direction</v>
      </c>
      <c r="AD30" s="2"/>
      <c r="AE30" s="5"/>
      <c r="AF30" s="2"/>
      <c r="AG30" s="2"/>
      <c r="AH30" s="2"/>
      <c r="AI30" s="2"/>
    </row>
    <row r="31" spans="1:37">
      <c r="A31" s="2"/>
      <c r="B31" s="2"/>
      <c r="C31" s="2"/>
      <c r="D31" s="2"/>
      <c r="E31" s="5"/>
      <c r="F31" s="2"/>
      <c r="G31" s="5"/>
      <c r="H31" s="2"/>
      <c r="I31" s="2"/>
      <c r="J31" s="2"/>
      <c r="K31" s="2"/>
      <c r="L31" s="2"/>
      <c r="M31" s="2"/>
      <c r="N31" s="2"/>
      <c r="O31" s="2"/>
      <c r="P31" s="2"/>
      <c r="Q31" s="2"/>
      <c r="R31" s="2"/>
      <c r="S31" s="2"/>
      <c r="T31" s="2"/>
      <c r="U31" s="2"/>
      <c r="V31" s="2"/>
      <c r="W31" s="2"/>
      <c r="X31" s="2"/>
      <c r="Y31" s="2"/>
      <c r="Z31" s="2" t="str">
        <f t="shared" si="0"/>
        <v/>
      </c>
      <c r="AA31" s="2" t="str">
        <f t="shared" si="1"/>
        <v/>
      </c>
      <c r="AB31" s="2" t="str">
        <f t="shared" si="2"/>
        <v/>
      </c>
      <c r="AC31" s="2" t="str">
        <f t="shared" si="3"/>
        <v>Walks with direction</v>
      </c>
      <c r="AD31" s="2"/>
      <c r="AE31" s="5"/>
      <c r="AF31" s="2"/>
      <c r="AG31" s="2"/>
      <c r="AH31" s="2"/>
      <c r="AI31" s="2"/>
    </row>
    <row r="32" spans="1:37">
      <c r="A32" s="2"/>
      <c r="B32" s="2"/>
      <c r="C32" s="2"/>
      <c r="D32" s="2"/>
      <c r="E32" s="5"/>
      <c r="F32" s="2"/>
      <c r="G32" s="5"/>
      <c r="H32" s="2"/>
      <c r="I32" s="2"/>
      <c r="J32" s="2"/>
      <c r="K32" s="2"/>
      <c r="L32" s="2"/>
      <c r="M32" s="2"/>
      <c r="N32" s="2"/>
      <c r="O32" s="2"/>
      <c r="P32" s="2"/>
      <c r="Q32" s="2"/>
      <c r="R32" s="2"/>
      <c r="S32" s="2"/>
      <c r="T32" s="2"/>
      <c r="U32" s="2"/>
      <c r="V32" s="2"/>
      <c r="W32" s="2"/>
      <c r="X32" s="2"/>
      <c r="Y32" s="2"/>
      <c r="Z32" s="2" t="str">
        <f t="shared" si="0"/>
        <v/>
      </c>
      <c r="AA32" s="2" t="str">
        <f t="shared" si="1"/>
        <v/>
      </c>
      <c r="AB32" s="2" t="str">
        <f t="shared" si="2"/>
        <v/>
      </c>
      <c r="AC32" s="2" t="str">
        <f t="shared" si="3"/>
        <v>Walks with direction</v>
      </c>
      <c r="AD32" s="2"/>
      <c r="AE32" s="5"/>
      <c r="AF32" s="2"/>
      <c r="AG32" s="2"/>
      <c r="AH32" s="2"/>
      <c r="AI32" s="2"/>
    </row>
    <row r="33" spans="1:35">
      <c r="A33" s="2"/>
      <c r="B33" s="2"/>
      <c r="C33" s="2"/>
      <c r="D33" s="2"/>
      <c r="E33" s="5"/>
      <c r="F33" s="2"/>
      <c r="G33" s="5"/>
      <c r="H33" s="2"/>
      <c r="I33" s="2"/>
      <c r="J33" s="2"/>
      <c r="K33" s="2"/>
      <c r="L33" s="2"/>
      <c r="M33" s="2"/>
      <c r="N33" s="2"/>
      <c r="O33" s="2"/>
      <c r="P33" s="2"/>
      <c r="Q33" s="2"/>
      <c r="R33" s="2"/>
      <c r="S33" s="2"/>
      <c r="T33" s="2"/>
      <c r="U33" s="2"/>
      <c r="V33" s="2"/>
      <c r="W33" s="2"/>
      <c r="X33" s="2"/>
      <c r="Y33" s="2"/>
      <c r="Z33" s="2" t="str">
        <f t="shared" si="0"/>
        <v/>
      </c>
      <c r="AA33" s="2" t="str">
        <f t="shared" si="1"/>
        <v/>
      </c>
      <c r="AB33" s="2" t="str">
        <f t="shared" si="2"/>
        <v/>
      </c>
      <c r="AC33" s="2" t="str">
        <f t="shared" si="3"/>
        <v>Walks with direction</v>
      </c>
      <c r="AD33" s="2"/>
      <c r="AE33" s="5"/>
      <c r="AF33" s="2"/>
      <c r="AG33" s="2"/>
      <c r="AH33" s="2"/>
      <c r="AI33" s="2"/>
    </row>
    <row r="34" spans="1:35">
      <c r="A34" s="2"/>
      <c r="B34" s="2"/>
      <c r="C34" s="2"/>
      <c r="D34" s="2"/>
      <c r="E34" s="5"/>
      <c r="F34" s="2"/>
      <c r="G34" s="5"/>
      <c r="H34" s="2"/>
      <c r="I34" s="2"/>
      <c r="J34" s="2"/>
      <c r="K34" s="2"/>
      <c r="L34" s="2"/>
      <c r="M34" s="2"/>
      <c r="N34" s="2"/>
      <c r="O34" s="2"/>
      <c r="P34" s="2"/>
      <c r="Q34" s="2"/>
      <c r="R34" s="2"/>
      <c r="S34" s="2"/>
      <c r="T34" s="2"/>
      <c r="U34" s="2"/>
      <c r="V34" s="2"/>
      <c r="W34" s="2"/>
      <c r="X34" s="2"/>
      <c r="Y34" s="2"/>
      <c r="Z34" s="2" t="str">
        <f t="shared" si="0"/>
        <v/>
      </c>
      <c r="AA34" s="2" t="str">
        <f t="shared" si="1"/>
        <v/>
      </c>
      <c r="AB34" s="2" t="str">
        <f t="shared" si="2"/>
        <v/>
      </c>
      <c r="AC34" s="2" t="str">
        <f t="shared" si="3"/>
        <v>Walks with direction</v>
      </c>
      <c r="AD34" s="2"/>
      <c r="AE34" s="5"/>
      <c r="AF34" s="2"/>
      <c r="AG34" s="2"/>
      <c r="AH34" s="2"/>
      <c r="AI34" s="2"/>
    </row>
    <row r="35" spans="1:35">
      <c r="A35" s="2"/>
      <c r="B35" s="2"/>
      <c r="C35" s="2"/>
      <c r="D35" s="2"/>
      <c r="E35" s="5"/>
      <c r="F35" s="2"/>
      <c r="G35" s="5"/>
      <c r="H35" s="2"/>
      <c r="I35" s="2"/>
      <c r="J35" s="2"/>
      <c r="K35" s="2"/>
      <c r="L35" s="2"/>
      <c r="M35" s="2"/>
      <c r="N35" s="2"/>
      <c r="O35" s="2"/>
      <c r="P35" s="2"/>
      <c r="Q35" s="2"/>
      <c r="R35" s="2"/>
      <c r="S35" s="2"/>
      <c r="T35" s="2"/>
      <c r="U35" s="2"/>
      <c r="V35" s="2"/>
      <c r="W35" s="2"/>
      <c r="X35" s="2"/>
      <c r="Y35" s="2"/>
      <c r="Z35" s="2" t="str">
        <f t="shared" si="0"/>
        <v/>
      </c>
      <c r="AA35" s="2" t="str">
        <f t="shared" si="1"/>
        <v/>
      </c>
      <c r="AB35" s="2" t="str">
        <f t="shared" si="2"/>
        <v/>
      </c>
      <c r="AC35" s="2" t="str">
        <f t="shared" si="3"/>
        <v>Walks with direction</v>
      </c>
      <c r="AD35" s="2"/>
      <c r="AE35" s="5"/>
      <c r="AF35" s="2"/>
      <c r="AG35" s="2"/>
      <c r="AH35" s="2"/>
      <c r="AI35" s="2"/>
    </row>
    <row r="36" spans="1:35">
      <c r="A36" s="2"/>
      <c r="B36" s="2"/>
      <c r="C36" s="2"/>
      <c r="D36" s="2"/>
      <c r="E36" s="5"/>
      <c r="F36" s="2"/>
      <c r="G36" s="5"/>
      <c r="H36" s="2"/>
      <c r="I36" s="2"/>
      <c r="J36" s="2"/>
      <c r="K36" s="2"/>
      <c r="L36" s="2"/>
      <c r="M36" s="2"/>
      <c r="N36" s="2"/>
      <c r="O36" s="2"/>
      <c r="P36" s="2"/>
      <c r="Q36" s="2"/>
      <c r="R36" s="2"/>
      <c r="S36" s="2"/>
      <c r="T36" s="2"/>
      <c r="U36" s="2"/>
      <c r="V36" s="2"/>
      <c r="W36" s="2"/>
      <c r="X36" s="2"/>
      <c r="Y36" s="2"/>
      <c r="Z36" s="2" t="str">
        <f t="shared" si="0"/>
        <v/>
      </c>
      <c r="AA36" s="2" t="str">
        <f t="shared" si="1"/>
        <v/>
      </c>
      <c r="AB36" s="2" t="str">
        <f t="shared" si="2"/>
        <v/>
      </c>
      <c r="AC36" s="2" t="str">
        <f t="shared" si="3"/>
        <v>Walks with direction</v>
      </c>
      <c r="AD36" s="2"/>
      <c r="AE36" s="5"/>
      <c r="AF36" s="2"/>
      <c r="AG36" s="2"/>
      <c r="AH36" s="2"/>
      <c r="AI36" s="2"/>
    </row>
    <row r="37" spans="1:35">
      <c r="A37" s="2"/>
      <c r="B37" s="2"/>
      <c r="C37" s="2"/>
      <c r="D37" s="2"/>
      <c r="E37" s="5"/>
      <c r="F37" s="2"/>
      <c r="G37" s="5"/>
      <c r="H37" s="2"/>
      <c r="I37" s="2"/>
      <c r="J37" s="2"/>
      <c r="K37" s="2"/>
      <c r="L37" s="2"/>
      <c r="M37" s="2"/>
      <c r="N37" s="2"/>
      <c r="O37" s="2"/>
      <c r="P37" s="2"/>
      <c r="Q37" s="2"/>
      <c r="R37" s="2"/>
      <c r="S37" s="2"/>
      <c r="T37" s="2"/>
      <c r="U37" s="2"/>
      <c r="V37" s="2"/>
      <c r="W37" s="2"/>
      <c r="X37" s="2"/>
      <c r="Y37" s="2"/>
      <c r="Z37" s="2" t="str">
        <f t="shared" si="0"/>
        <v/>
      </c>
      <c r="AA37" s="2" t="str">
        <f t="shared" si="1"/>
        <v/>
      </c>
      <c r="AB37" s="2" t="str">
        <f t="shared" si="2"/>
        <v/>
      </c>
      <c r="AC37" s="2" t="str">
        <f t="shared" si="3"/>
        <v>Walks with direction</v>
      </c>
      <c r="AD37" s="2"/>
      <c r="AE37" s="5"/>
      <c r="AF37" s="2"/>
      <c r="AG37" s="2"/>
      <c r="AH37" s="2"/>
      <c r="AI37" s="2"/>
    </row>
    <row r="38" spans="1:35">
      <c r="A38" s="2"/>
      <c r="B38" s="2"/>
      <c r="C38" s="2"/>
      <c r="D38" s="2"/>
      <c r="E38" s="5"/>
      <c r="F38" s="2"/>
      <c r="G38" s="5"/>
      <c r="H38" s="2"/>
      <c r="I38" s="2"/>
      <c r="J38" s="2"/>
      <c r="K38" s="2"/>
      <c r="L38" s="2"/>
      <c r="M38" s="2"/>
      <c r="N38" s="2"/>
      <c r="O38" s="2"/>
      <c r="P38" s="2"/>
      <c r="Q38" s="2"/>
      <c r="R38" s="2"/>
      <c r="S38" s="2"/>
      <c r="T38" s="2"/>
      <c r="U38" s="2"/>
      <c r="V38" s="2"/>
      <c r="W38" s="2"/>
      <c r="X38" s="2"/>
      <c r="Y38" s="2"/>
      <c r="Z38" s="2" t="str">
        <f t="shared" si="0"/>
        <v/>
      </c>
      <c r="AA38" s="2" t="str">
        <f t="shared" si="1"/>
        <v/>
      </c>
      <c r="AB38" s="2" t="str">
        <f t="shared" si="2"/>
        <v/>
      </c>
      <c r="AC38" s="2" t="str">
        <f t="shared" si="3"/>
        <v>Walks with direction</v>
      </c>
      <c r="AD38" s="2"/>
      <c r="AE38" s="5"/>
      <c r="AF38" s="2"/>
      <c r="AG38" s="2"/>
      <c r="AH38" s="2"/>
      <c r="AI38" s="2"/>
    </row>
    <row r="39" spans="1:35">
      <c r="A39" s="2"/>
      <c r="B39" s="2"/>
      <c r="C39" s="2"/>
      <c r="D39" s="2"/>
      <c r="E39" s="5"/>
      <c r="F39" s="2"/>
      <c r="G39" s="5"/>
      <c r="H39" s="2"/>
      <c r="I39" s="2"/>
      <c r="J39" s="2"/>
      <c r="K39" s="2"/>
      <c r="L39" s="2"/>
      <c r="M39" s="2"/>
      <c r="N39" s="2"/>
      <c r="O39" s="2"/>
      <c r="P39" s="2"/>
      <c r="Q39" s="2"/>
      <c r="R39" s="2"/>
      <c r="S39" s="2"/>
      <c r="T39" s="2"/>
      <c r="U39" s="2"/>
      <c r="V39" s="2"/>
      <c r="W39" s="2"/>
      <c r="X39" s="2"/>
      <c r="Y39" s="2"/>
      <c r="Z39" s="2" t="str">
        <f t="shared" si="0"/>
        <v/>
      </c>
      <c r="AA39" s="2" t="str">
        <f t="shared" si="1"/>
        <v/>
      </c>
      <c r="AB39" s="2" t="str">
        <f t="shared" si="2"/>
        <v/>
      </c>
      <c r="AC39" s="2" t="str">
        <f t="shared" si="3"/>
        <v>Walks with direction</v>
      </c>
      <c r="AD39" s="2"/>
      <c r="AE39" s="5"/>
      <c r="AF39" s="2"/>
      <c r="AG39" s="2"/>
      <c r="AH39" s="2"/>
      <c r="AI39" s="2"/>
    </row>
    <row r="40" spans="1:35">
      <c r="A40" s="2"/>
      <c r="B40" s="2"/>
      <c r="C40" s="2"/>
      <c r="D40" s="2"/>
      <c r="E40" s="5"/>
      <c r="F40" s="2"/>
      <c r="G40" s="5"/>
      <c r="H40" s="2"/>
      <c r="I40" s="2"/>
      <c r="J40" s="2"/>
      <c r="K40" s="2"/>
      <c r="L40" s="2"/>
      <c r="M40" s="2"/>
      <c r="N40" s="2"/>
      <c r="O40" s="2"/>
      <c r="P40" s="2"/>
      <c r="Q40" s="2"/>
      <c r="R40" s="2"/>
      <c r="S40" s="2"/>
      <c r="T40" s="2"/>
      <c r="U40" s="2"/>
      <c r="V40" s="2"/>
      <c r="W40" s="2"/>
      <c r="X40" s="2"/>
      <c r="Y40" s="2"/>
      <c r="Z40" s="2" t="str">
        <f t="shared" si="0"/>
        <v/>
      </c>
      <c r="AA40" s="2" t="str">
        <f t="shared" si="1"/>
        <v/>
      </c>
      <c r="AB40" s="2" t="str">
        <f t="shared" si="2"/>
        <v/>
      </c>
      <c r="AC40" s="2" t="str">
        <f t="shared" si="3"/>
        <v>Walks with direction</v>
      </c>
      <c r="AD40" s="2"/>
      <c r="AE40" s="5"/>
      <c r="AF40" s="2"/>
      <c r="AG40" s="2"/>
      <c r="AH40" s="2"/>
      <c r="AI40" s="2"/>
    </row>
    <row r="41" spans="1:35">
      <c r="A41" s="2"/>
      <c r="B41" s="2"/>
      <c r="C41" s="2"/>
      <c r="D41" s="2"/>
      <c r="E41" s="5"/>
      <c r="F41" s="2"/>
      <c r="G41" s="5"/>
      <c r="H41" s="2"/>
      <c r="I41" s="2"/>
      <c r="J41" s="2"/>
      <c r="K41" s="2"/>
      <c r="L41" s="2"/>
      <c r="M41" s="2"/>
      <c r="N41" s="2"/>
      <c r="O41" s="2"/>
      <c r="P41" s="2"/>
      <c r="Q41" s="2"/>
      <c r="R41" s="2"/>
      <c r="S41" s="2"/>
      <c r="T41" s="2"/>
      <c r="U41" s="2"/>
      <c r="V41" s="2"/>
      <c r="W41" s="2"/>
      <c r="X41" s="2"/>
      <c r="Y41" s="2"/>
      <c r="Z41" s="2" t="str">
        <f t="shared" si="0"/>
        <v/>
      </c>
      <c r="AA41" s="2" t="str">
        <f t="shared" si="1"/>
        <v/>
      </c>
      <c r="AB41" s="2" t="str">
        <f t="shared" si="2"/>
        <v/>
      </c>
      <c r="AC41" s="2" t="str">
        <f t="shared" si="3"/>
        <v>Walks with direction</v>
      </c>
      <c r="AD41" s="2"/>
      <c r="AE41" s="5"/>
      <c r="AF41" s="2"/>
      <c r="AG41" s="2"/>
      <c r="AH41" s="2"/>
      <c r="AI41" s="2"/>
    </row>
    <row r="42" spans="1:35">
      <c r="A42" s="2"/>
      <c r="B42" s="2"/>
      <c r="C42" s="2"/>
      <c r="D42" s="2"/>
      <c r="E42" s="5"/>
      <c r="F42" s="2"/>
      <c r="G42" s="5"/>
      <c r="H42" s="2"/>
      <c r="I42" s="2"/>
      <c r="J42" s="2"/>
      <c r="K42" s="2"/>
      <c r="L42" s="2"/>
      <c r="M42" s="2"/>
      <c r="N42" s="2"/>
      <c r="O42" s="2"/>
      <c r="P42" s="2"/>
      <c r="Q42" s="2"/>
      <c r="R42" s="2"/>
      <c r="S42" s="2"/>
      <c r="T42" s="2"/>
      <c r="U42" s="2"/>
      <c r="V42" s="2"/>
      <c r="W42" s="2"/>
      <c r="X42" s="2"/>
      <c r="Y42" s="2"/>
      <c r="Z42" s="2" t="str">
        <f t="shared" si="0"/>
        <v/>
      </c>
      <c r="AA42" s="2" t="str">
        <f t="shared" si="1"/>
        <v/>
      </c>
      <c r="AB42" s="2" t="str">
        <f t="shared" si="2"/>
        <v/>
      </c>
      <c r="AC42" s="2" t="str">
        <f t="shared" si="3"/>
        <v>Walks with direction</v>
      </c>
      <c r="AD42" s="2"/>
      <c r="AE42" s="5"/>
      <c r="AF42" s="2"/>
      <c r="AG42" s="2"/>
      <c r="AH42" s="2"/>
      <c r="AI42" s="2"/>
    </row>
    <row r="43" spans="1:35">
      <c r="A43" s="2"/>
      <c r="B43" s="2"/>
      <c r="C43" s="2"/>
      <c r="D43" s="2"/>
      <c r="E43" s="5"/>
      <c r="F43" s="2"/>
      <c r="G43" s="5"/>
      <c r="H43" s="2"/>
      <c r="I43" s="2"/>
      <c r="J43" s="2"/>
      <c r="K43" s="2"/>
      <c r="L43" s="2"/>
      <c r="M43" s="2"/>
      <c r="N43" s="2"/>
      <c r="O43" s="2"/>
      <c r="P43" s="2"/>
      <c r="Q43" s="2"/>
      <c r="R43" s="2"/>
      <c r="S43" s="2"/>
      <c r="T43" s="2"/>
      <c r="U43" s="2"/>
      <c r="V43" s="2"/>
      <c r="W43" s="2"/>
      <c r="X43" s="2"/>
      <c r="Y43" s="2"/>
      <c r="Z43" s="2" t="str">
        <f t="shared" si="0"/>
        <v/>
      </c>
      <c r="AA43" s="2" t="str">
        <f t="shared" si="1"/>
        <v/>
      </c>
      <c r="AB43" s="2" t="str">
        <f t="shared" si="2"/>
        <v/>
      </c>
      <c r="AC43" s="2" t="str">
        <f t="shared" si="3"/>
        <v>Walks with direction</v>
      </c>
      <c r="AD43" s="2"/>
      <c r="AE43" s="5"/>
      <c r="AF43" s="2"/>
      <c r="AG43" s="2"/>
      <c r="AH43" s="2"/>
      <c r="AI43" s="2"/>
    </row>
    <row r="44" spans="1:35">
      <c r="A44" s="2"/>
      <c r="B44" s="2"/>
      <c r="C44" s="2"/>
      <c r="D44" s="2"/>
      <c r="E44" s="5"/>
      <c r="F44" s="2"/>
      <c r="G44" s="5"/>
      <c r="H44" s="2"/>
      <c r="I44" s="2"/>
      <c r="J44" s="2"/>
      <c r="K44" s="2"/>
      <c r="L44" s="2"/>
      <c r="M44" s="2"/>
      <c r="N44" s="2"/>
      <c r="O44" s="2"/>
      <c r="P44" s="2"/>
      <c r="Q44" s="2"/>
      <c r="R44" s="2"/>
      <c r="S44" s="2"/>
      <c r="T44" s="2"/>
      <c r="U44" s="2"/>
      <c r="V44" s="2"/>
      <c r="W44" s="2"/>
      <c r="X44" s="2"/>
      <c r="Y44" s="2"/>
      <c r="Z44" s="2" t="str">
        <f t="shared" si="0"/>
        <v/>
      </c>
      <c r="AA44" s="2" t="str">
        <f t="shared" si="1"/>
        <v/>
      </c>
      <c r="AB44" s="2" t="str">
        <f t="shared" si="2"/>
        <v/>
      </c>
      <c r="AC44" s="2" t="str">
        <f t="shared" si="3"/>
        <v>Walks with direction</v>
      </c>
      <c r="AD44" s="2"/>
      <c r="AE44" s="5"/>
      <c r="AF44" s="2"/>
      <c r="AG44" s="2"/>
      <c r="AH44" s="2"/>
      <c r="AI44" s="2"/>
    </row>
    <row r="45" spans="1:35">
      <c r="A45" s="2"/>
      <c r="B45" s="2"/>
      <c r="C45" s="2"/>
      <c r="D45" s="2"/>
      <c r="E45" s="5"/>
      <c r="F45" s="2"/>
      <c r="G45" s="5"/>
      <c r="H45" s="2"/>
      <c r="I45" s="2"/>
      <c r="J45" s="2"/>
      <c r="K45" s="2"/>
      <c r="L45" s="2"/>
      <c r="M45" s="2"/>
      <c r="N45" s="2"/>
      <c r="O45" s="2"/>
      <c r="P45" s="2"/>
      <c r="Q45" s="2"/>
      <c r="R45" s="2"/>
      <c r="S45" s="2"/>
      <c r="T45" s="2"/>
      <c r="U45" s="2"/>
      <c r="V45" s="2"/>
      <c r="W45" s="2"/>
      <c r="X45" s="2"/>
      <c r="Y45" s="2"/>
      <c r="Z45" s="2" t="str">
        <f t="shared" si="0"/>
        <v/>
      </c>
      <c r="AA45" s="2" t="str">
        <f t="shared" si="1"/>
        <v/>
      </c>
      <c r="AB45" s="2" t="str">
        <f t="shared" si="2"/>
        <v/>
      </c>
      <c r="AC45" s="2" t="str">
        <f t="shared" si="3"/>
        <v>Walks with direction</v>
      </c>
      <c r="AD45" s="2"/>
      <c r="AE45" s="5"/>
      <c r="AF45" s="2"/>
      <c r="AG45" s="2"/>
      <c r="AH45" s="2"/>
      <c r="AI45" s="2"/>
    </row>
    <row r="46" spans="1:35">
      <c r="A46" s="2"/>
      <c r="B46" s="2"/>
      <c r="C46" s="2"/>
      <c r="D46" s="2"/>
      <c r="E46" s="5"/>
      <c r="F46" s="2"/>
      <c r="G46" s="5"/>
      <c r="H46" s="2"/>
      <c r="I46" s="2"/>
      <c r="J46" s="2"/>
      <c r="K46" s="2"/>
      <c r="L46" s="2"/>
      <c r="M46" s="2"/>
      <c r="N46" s="2"/>
      <c r="O46" s="2"/>
      <c r="P46" s="2"/>
      <c r="Q46" s="2"/>
      <c r="R46" s="2"/>
      <c r="S46" s="2"/>
      <c r="T46" s="2"/>
      <c r="U46" s="2"/>
      <c r="V46" s="2"/>
      <c r="W46" s="2"/>
      <c r="X46" s="2"/>
      <c r="Y46" s="2"/>
      <c r="Z46" s="2" t="str">
        <f t="shared" si="0"/>
        <v/>
      </c>
      <c r="AA46" s="2" t="str">
        <f t="shared" si="1"/>
        <v/>
      </c>
      <c r="AB46" s="2" t="str">
        <f t="shared" si="2"/>
        <v/>
      </c>
      <c r="AC46" s="2" t="str">
        <f t="shared" si="3"/>
        <v>Walks with direction</v>
      </c>
      <c r="AD46" s="2"/>
      <c r="AE46" s="5"/>
      <c r="AF46" s="2"/>
      <c r="AG46" s="2"/>
      <c r="AH46" s="2"/>
      <c r="AI46" s="2"/>
    </row>
    <row r="47" spans="1:35">
      <c r="A47" s="2"/>
      <c r="B47" s="2"/>
      <c r="C47" s="2"/>
      <c r="D47" s="2"/>
      <c r="E47" s="5"/>
      <c r="F47" s="2"/>
      <c r="G47" s="5"/>
      <c r="H47" s="2"/>
      <c r="I47" s="2"/>
      <c r="J47" s="2"/>
      <c r="K47" s="2"/>
      <c r="L47" s="2"/>
      <c r="M47" s="2"/>
      <c r="N47" s="2"/>
      <c r="O47" s="2"/>
      <c r="P47" s="2"/>
      <c r="Q47" s="2"/>
      <c r="R47" s="2"/>
      <c r="S47" s="2"/>
      <c r="T47" s="2"/>
      <c r="U47" s="2"/>
      <c r="V47" s="2"/>
      <c r="W47" s="2"/>
      <c r="X47" s="2"/>
      <c r="Y47" s="2"/>
      <c r="Z47" s="2" t="str">
        <f t="shared" si="0"/>
        <v/>
      </c>
      <c r="AA47" s="2" t="str">
        <f t="shared" si="1"/>
        <v/>
      </c>
      <c r="AB47" s="2" t="str">
        <f t="shared" si="2"/>
        <v/>
      </c>
      <c r="AC47" s="2" t="str">
        <f t="shared" si="3"/>
        <v>Walks with direction</v>
      </c>
      <c r="AD47" s="2"/>
      <c r="AE47" s="5"/>
      <c r="AF47" s="2"/>
      <c r="AG47" s="2"/>
      <c r="AH47" s="2"/>
      <c r="AI47" s="2"/>
    </row>
    <row r="48" spans="1:35">
      <c r="A48" s="2"/>
      <c r="B48" s="2"/>
      <c r="C48" s="2"/>
      <c r="D48" s="2"/>
      <c r="E48" s="5"/>
      <c r="F48" s="2"/>
      <c r="G48" s="5"/>
      <c r="H48" s="2"/>
      <c r="I48" s="2"/>
      <c r="J48" s="2"/>
      <c r="K48" s="2"/>
      <c r="L48" s="2"/>
      <c r="M48" s="2"/>
      <c r="N48" s="2"/>
      <c r="O48" s="2"/>
      <c r="P48" s="2"/>
      <c r="Q48" s="2"/>
      <c r="R48" s="2"/>
      <c r="S48" s="2"/>
      <c r="T48" s="2"/>
      <c r="U48" s="2"/>
      <c r="V48" s="2"/>
      <c r="W48" s="2"/>
      <c r="X48" s="2"/>
      <c r="Y48" s="2"/>
      <c r="Z48" s="2" t="str">
        <f t="shared" si="0"/>
        <v/>
      </c>
      <c r="AA48" s="2" t="str">
        <f t="shared" si="1"/>
        <v/>
      </c>
      <c r="AB48" s="2" t="str">
        <f t="shared" si="2"/>
        <v/>
      </c>
      <c r="AC48" s="2" t="str">
        <f t="shared" si="3"/>
        <v>Walks with direction</v>
      </c>
      <c r="AD48" s="2"/>
      <c r="AE48" s="5"/>
      <c r="AF48" s="2"/>
      <c r="AG48" s="2"/>
      <c r="AH48" s="2"/>
      <c r="AI48" s="2"/>
    </row>
    <row r="49" spans="1:35">
      <c r="A49" s="2"/>
      <c r="B49" s="2"/>
      <c r="C49" s="2"/>
      <c r="D49" s="2"/>
      <c r="E49" s="5"/>
      <c r="F49" s="2"/>
      <c r="G49" s="5"/>
      <c r="H49" s="2"/>
      <c r="I49" s="2"/>
      <c r="J49" s="2"/>
      <c r="K49" s="2"/>
      <c r="L49" s="2"/>
      <c r="M49" s="2"/>
      <c r="N49" s="2"/>
      <c r="O49" s="2"/>
      <c r="P49" s="2"/>
      <c r="Q49" s="2"/>
      <c r="R49" s="2"/>
      <c r="S49" s="2"/>
      <c r="T49" s="2"/>
      <c r="U49" s="2"/>
      <c r="V49" s="2"/>
      <c r="W49" s="2"/>
      <c r="X49" s="2"/>
      <c r="Y49" s="2"/>
      <c r="Z49" s="2" t="str">
        <f t="shared" si="0"/>
        <v/>
      </c>
      <c r="AA49" s="2" t="str">
        <f t="shared" si="1"/>
        <v/>
      </c>
      <c r="AB49" s="2" t="str">
        <f t="shared" si="2"/>
        <v/>
      </c>
      <c r="AC49" s="2" t="str">
        <f t="shared" si="3"/>
        <v>Walks with direction</v>
      </c>
      <c r="AD49" s="2"/>
      <c r="AE49" s="5"/>
      <c r="AF49" s="2"/>
      <c r="AG49" s="2"/>
      <c r="AH49" s="2"/>
      <c r="AI49" s="2"/>
    </row>
    <row r="50" spans="1:35">
      <c r="A50" s="2"/>
      <c r="B50" s="2"/>
      <c r="C50" s="2"/>
      <c r="D50" s="2"/>
      <c r="E50" s="5"/>
      <c r="F50" s="2"/>
      <c r="G50" s="5"/>
      <c r="H50" s="2"/>
      <c r="I50" s="2"/>
      <c r="J50" s="2"/>
      <c r="K50" s="2"/>
      <c r="L50" s="2"/>
      <c r="M50" s="2"/>
      <c r="N50" s="2"/>
      <c r="O50" s="2"/>
      <c r="P50" s="2"/>
      <c r="Q50" s="2"/>
      <c r="R50" s="2"/>
      <c r="S50" s="2"/>
      <c r="T50" s="2"/>
      <c r="U50" s="2"/>
      <c r="V50" s="2"/>
      <c r="W50" s="2"/>
      <c r="X50" s="2"/>
      <c r="Y50" s="2"/>
      <c r="Z50" s="2" t="str">
        <f t="shared" ref="Z50:Z81" si="4">IF(COUNTA(H50:Y50)=0,"",IF(COUNTIF(H50:Y50,"Very High")&gt;0,"Very High",IF(COUNTIF(H50:Y50,"High")&gt;0,"High",IF(COUNTIF(H50:Y50,"Medium")&gt;0,"Medium","Low"))))</f>
        <v/>
      </c>
      <c r="AA50" s="2" t="str">
        <f t="shared" ref="AA50:AA81" si="5">IF(Z50="","",IF(Z50="Low","Routine planned support",IF(Z50="Medium","One staff support/supervision likely",IF(Z50="High","Two staff/review staffing and equipment","Manager review: multiple staff/specialist support"))))</f>
        <v/>
      </c>
      <c r="AB50" s="2" t="str">
        <f t="shared" ref="AB50:AB81" si="6">IF(Z50="","",IF(OR(Z50="High",Z50="Very High",W50="High",W50="Very High"),"Night staffing and evacuation review required","Routine night checks as per care plan"))</f>
        <v/>
      </c>
      <c r="AC50" s="2" t="str">
        <f t="shared" ref="AC50:AC81" si="7">IF(X50="Very High","Specialist PEEP / equipment",IF(OR(X50="High",Z50="High"),"Evacuation sheet/chair or wheelchair per PEEP",IF(OR(X50="Medium",Z50="Medium"),"Walking aid/wheelchair support per PEEP","Walks with direction")))</f>
        <v>Walks with direction</v>
      </c>
      <c r="AD50" s="2"/>
      <c r="AE50" s="5"/>
      <c r="AF50" s="2"/>
      <c r="AG50" s="2"/>
      <c r="AH50" s="2"/>
      <c r="AI50" s="2"/>
    </row>
    <row r="51" spans="1:35">
      <c r="A51" s="2"/>
      <c r="B51" s="2"/>
      <c r="C51" s="2"/>
      <c r="D51" s="2"/>
      <c r="E51" s="5"/>
      <c r="F51" s="2"/>
      <c r="G51" s="5"/>
      <c r="H51" s="2"/>
      <c r="I51" s="2"/>
      <c r="J51" s="2"/>
      <c r="K51" s="2"/>
      <c r="L51" s="2"/>
      <c r="M51" s="2"/>
      <c r="N51" s="2"/>
      <c r="O51" s="2"/>
      <c r="P51" s="2"/>
      <c r="Q51" s="2"/>
      <c r="R51" s="2"/>
      <c r="S51" s="2"/>
      <c r="T51" s="2"/>
      <c r="U51" s="2"/>
      <c r="V51" s="2"/>
      <c r="W51" s="2"/>
      <c r="X51" s="2"/>
      <c r="Y51" s="2"/>
      <c r="Z51" s="2" t="str">
        <f t="shared" si="4"/>
        <v/>
      </c>
      <c r="AA51" s="2" t="str">
        <f t="shared" si="5"/>
        <v/>
      </c>
      <c r="AB51" s="2" t="str">
        <f t="shared" si="6"/>
        <v/>
      </c>
      <c r="AC51" s="2" t="str">
        <f t="shared" si="7"/>
        <v>Walks with direction</v>
      </c>
      <c r="AD51" s="2"/>
      <c r="AE51" s="5"/>
      <c r="AF51" s="2"/>
      <c r="AG51" s="2"/>
      <c r="AH51" s="2"/>
      <c r="AI51" s="2"/>
    </row>
    <row r="52" spans="1:35">
      <c r="A52" s="2"/>
      <c r="B52" s="2"/>
      <c r="C52" s="2"/>
      <c r="D52" s="2"/>
      <c r="E52" s="5"/>
      <c r="F52" s="2"/>
      <c r="G52" s="5"/>
      <c r="H52" s="2"/>
      <c r="I52" s="2"/>
      <c r="J52" s="2"/>
      <c r="K52" s="2"/>
      <c r="L52" s="2"/>
      <c r="M52" s="2"/>
      <c r="N52" s="2"/>
      <c r="O52" s="2"/>
      <c r="P52" s="2"/>
      <c r="Q52" s="2"/>
      <c r="R52" s="2"/>
      <c r="S52" s="2"/>
      <c r="T52" s="2"/>
      <c r="U52" s="2"/>
      <c r="V52" s="2"/>
      <c r="W52" s="2"/>
      <c r="X52" s="2"/>
      <c r="Y52" s="2"/>
      <c r="Z52" s="2" t="str">
        <f t="shared" si="4"/>
        <v/>
      </c>
      <c r="AA52" s="2" t="str">
        <f t="shared" si="5"/>
        <v/>
      </c>
      <c r="AB52" s="2" t="str">
        <f t="shared" si="6"/>
        <v/>
      </c>
      <c r="AC52" s="2" t="str">
        <f t="shared" si="7"/>
        <v>Walks with direction</v>
      </c>
      <c r="AD52" s="2"/>
      <c r="AE52" s="5"/>
      <c r="AF52" s="2"/>
      <c r="AG52" s="2"/>
      <c r="AH52" s="2"/>
      <c r="AI52" s="2"/>
    </row>
    <row r="53" spans="1:35">
      <c r="A53" s="2"/>
      <c r="B53" s="2"/>
      <c r="C53" s="2"/>
      <c r="D53" s="2"/>
      <c r="E53" s="5"/>
      <c r="F53" s="2"/>
      <c r="G53" s="5"/>
      <c r="H53" s="2"/>
      <c r="I53" s="2"/>
      <c r="J53" s="2"/>
      <c r="K53" s="2"/>
      <c r="L53" s="2"/>
      <c r="M53" s="2"/>
      <c r="N53" s="2"/>
      <c r="O53" s="2"/>
      <c r="P53" s="2"/>
      <c r="Q53" s="2"/>
      <c r="R53" s="2"/>
      <c r="S53" s="2"/>
      <c r="T53" s="2"/>
      <c r="U53" s="2"/>
      <c r="V53" s="2"/>
      <c r="W53" s="2"/>
      <c r="X53" s="2"/>
      <c r="Y53" s="2"/>
      <c r="Z53" s="2" t="str">
        <f t="shared" si="4"/>
        <v/>
      </c>
      <c r="AA53" s="2" t="str">
        <f t="shared" si="5"/>
        <v/>
      </c>
      <c r="AB53" s="2" t="str">
        <f t="shared" si="6"/>
        <v/>
      </c>
      <c r="AC53" s="2" t="str">
        <f t="shared" si="7"/>
        <v>Walks with direction</v>
      </c>
      <c r="AD53" s="2"/>
      <c r="AE53" s="5"/>
      <c r="AF53" s="2"/>
      <c r="AG53" s="2"/>
      <c r="AH53" s="2"/>
      <c r="AI53" s="2"/>
    </row>
    <row r="54" spans="1:35">
      <c r="A54" s="2"/>
      <c r="B54" s="2"/>
      <c r="C54" s="2"/>
      <c r="D54" s="2"/>
      <c r="E54" s="5"/>
      <c r="F54" s="2"/>
      <c r="G54" s="5"/>
      <c r="H54" s="2"/>
      <c r="I54" s="2"/>
      <c r="J54" s="2"/>
      <c r="K54" s="2"/>
      <c r="L54" s="2"/>
      <c r="M54" s="2"/>
      <c r="N54" s="2"/>
      <c r="O54" s="2"/>
      <c r="P54" s="2"/>
      <c r="Q54" s="2"/>
      <c r="R54" s="2"/>
      <c r="S54" s="2"/>
      <c r="T54" s="2"/>
      <c r="U54" s="2"/>
      <c r="V54" s="2"/>
      <c r="W54" s="2"/>
      <c r="X54" s="2"/>
      <c r="Y54" s="2"/>
      <c r="Z54" s="2" t="str">
        <f t="shared" si="4"/>
        <v/>
      </c>
      <c r="AA54" s="2" t="str">
        <f t="shared" si="5"/>
        <v/>
      </c>
      <c r="AB54" s="2" t="str">
        <f t="shared" si="6"/>
        <v/>
      </c>
      <c r="AC54" s="2" t="str">
        <f t="shared" si="7"/>
        <v>Walks with direction</v>
      </c>
      <c r="AD54" s="2"/>
      <c r="AE54" s="5"/>
      <c r="AF54" s="2"/>
      <c r="AG54" s="2"/>
      <c r="AH54" s="2"/>
      <c r="AI54" s="2"/>
    </row>
    <row r="55" spans="1:35">
      <c r="A55" s="2"/>
      <c r="B55" s="2"/>
      <c r="C55" s="2"/>
      <c r="D55" s="2"/>
      <c r="E55" s="5"/>
      <c r="F55" s="2"/>
      <c r="G55" s="5"/>
      <c r="H55" s="2"/>
      <c r="I55" s="2"/>
      <c r="J55" s="2"/>
      <c r="K55" s="2"/>
      <c r="L55" s="2"/>
      <c r="M55" s="2"/>
      <c r="N55" s="2"/>
      <c r="O55" s="2"/>
      <c r="P55" s="2"/>
      <c r="Q55" s="2"/>
      <c r="R55" s="2"/>
      <c r="S55" s="2"/>
      <c r="T55" s="2"/>
      <c r="U55" s="2"/>
      <c r="V55" s="2"/>
      <c r="W55" s="2"/>
      <c r="X55" s="2"/>
      <c r="Y55" s="2"/>
      <c r="Z55" s="2" t="str">
        <f t="shared" si="4"/>
        <v/>
      </c>
      <c r="AA55" s="2" t="str">
        <f t="shared" si="5"/>
        <v/>
      </c>
      <c r="AB55" s="2" t="str">
        <f t="shared" si="6"/>
        <v/>
      </c>
      <c r="AC55" s="2" t="str">
        <f t="shared" si="7"/>
        <v>Walks with direction</v>
      </c>
      <c r="AD55" s="2"/>
      <c r="AE55" s="5"/>
      <c r="AF55" s="2"/>
      <c r="AG55" s="2"/>
      <c r="AH55" s="2"/>
      <c r="AI55" s="2"/>
    </row>
    <row r="56" spans="1:35">
      <c r="A56" s="2"/>
      <c r="B56" s="2"/>
      <c r="C56" s="2"/>
      <c r="D56" s="2"/>
      <c r="E56" s="5"/>
      <c r="F56" s="2"/>
      <c r="G56" s="5"/>
      <c r="H56" s="2"/>
      <c r="I56" s="2"/>
      <c r="J56" s="2"/>
      <c r="K56" s="2"/>
      <c r="L56" s="2"/>
      <c r="M56" s="2"/>
      <c r="N56" s="2"/>
      <c r="O56" s="2"/>
      <c r="P56" s="2"/>
      <c r="Q56" s="2"/>
      <c r="R56" s="2"/>
      <c r="S56" s="2"/>
      <c r="T56" s="2"/>
      <c r="U56" s="2"/>
      <c r="V56" s="2"/>
      <c r="W56" s="2"/>
      <c r="X56" s="2"/>
      <c r="Y56" s="2"/>
      <c r="Z56" s="2" t="str">
        <f t="shared" si="4"/>
        <v/>
      </c>
      <c r="AA56" s="2" t="str">
        <f t="shared" si="5"/>
        <v/>
      </c>
      <c r="AB56" s="2" t="str">
        <f t="shared" si="6"/>
        <v/>
      </c>
      <c r="AC56" s="2" t="str">
        <f t="shared" si="7"/>
        <v>Walks with direction</v>
      </c>
      <c r="AD56" s="2"/>
      <c r="AE56" s="5"/>
      <c r="AF56" s="2"/>
      <c r="AG56" s="2"/>
      <c r="AH56" s="2"/>
      <c r="AI56" s="2"/>
    </row>
    <row r="57" spans="1:35">
      <c r="A57" s="2"/>
      <c r="B57" s="2"/>
      <c r="C57" s="2"/>
      <c r="D57" s="2"/>
      <c r="E57" s="5"/>
      <c r="F57" s="2"/>
      <c r="G57" s="5"/>
      <c r="H57" s="2"/>
      <c r="I57" s="2"/>
      <c r="J57" s="2"/>
      <c r="K57" s="2"/>
      <c r="L57" s="2"/>
      <c r="M57" s="2"/>
      <c r="N57" s="2"/>
      <c r="O57" s="2"/>
      <c r="P57" s="2"/>
      <c r="Q57" s="2"/>
      <c r="R57" s="2"/>
      <c r="S57" s="2"/>
      <c r="T57" s="2"/>
      <c r="U57" s="2"/>
      <c r="V57" s="2"/>
      <c r="W57" s="2"/>
      <c r="X57" s="2"/>
      <c r="Y57" s="2"/>
      <c r="Z57" s="2" t="str">
        <f t="shared" si="4"/>
        <v/>
      </c>
      <c r="AA57" s="2" t="str">
        <f t="shared" si="5"/>
        <v/>
      </c>
      <c r="AB57" s="2" t="str">
        <f t="shared" si="6"/>
        <v/>
      </c>
      <c r="AC57" s="2" t="str">
        <f t="shared" si="7"/>
        <v>Walks with direction</v>
      </c>
      <c r="AD57" s="2"/>
      <c r="AE57" s="5"/>
      <c r="AF57" s="2"/>
      <c r="AG57" s="2"/>
      <c r="AH57" s="2"/>
      <c r="AI57" s="2"/>
    </row>
    <row r="58" spans="1:35">
      <c r="A58" s="2"/>
      <c r="B58" s="2"/>
      <c r="C58" s="2"/>
      <c r="D58" s="2"/>
      <c r="E58" s="5"/>
      <c r="F58" s="2"/>
      <c r="G58" s="5"/>
      <c r="H58" s="2"/>
      <c r="I58" s="2"/>
      <c r="J58" s="2"/>
      <c r="K58" s="2"/>
      <c r="L58" s="2"/>
      <c r="M58" s="2"/>
      <c r="N58" s="2"/>
      <c r="O58" s="2"/>
      <c r="P58" s="2"/>
      <c r="Q58" s="2"/>
      <c r="R58" s="2"/>
      <c r="S58" s="2"/>
      <c r="T58" s="2"/>
      <c r="U58" s="2"/>
      <c r="V58" s="2"/>
      <c r="W58" s="2"/>
      <c r="X58" s="2"/>
      <c r="Y58" s="2"/>
      <c r="Z58" s="2" t="str">
        <f t="shared" si="4"/>
        <v/>
      </c>
      <c r="AA58" s="2" t="str">
        <f t="shared" si="5"/>
        <v/>
      </c>
      <c r="AB58" s="2" t="str">
        <f t="shared" si="6"/>
        <v/>
      </c>
      <c r="AC58" s="2" t="str">
        <f t="shared" si="7"/>
        <v>Walks with direction</v>
      </c>
      <c r="AD58" s="2"/>
      <c r="AE58" s="5"/>
      <c r="AF58" s="2"/>
      <c r="AG58" s="2"/>
      <c r="AH58" s="2"/>
      <c r="AI58" s="2"/>
    </row>
    <row r="59" spans="1:35">
      <c r="A59" s="2"/>
      <c r="B59" s="2"/>
      <c r="C59" s="2"/>
      <c r="D59" s="2"/>
      <c r="E59" s="5"/>
      <c r="F59" s="2"/>
      <c r="G59" s="5"/>
      <c r="H59" s="2"/>
      <c r="I59" s="2"/>
      <c r="J59" s="2"/>
      <c r="K59" s="2"/>
      <c r="L59" s="2"/>
      <c r="M59" s="2"/>
      <c r="N59" s="2"/>
      <c r="O59" s="2"/>
      <c r="P59" s="2"/>
      <c r="Q59" s="2"/>
      <c r="R59" s="2"/>
      <c r="S59" s="2"/>
      <c r="T59" s="2"/>
      <c r="U59" s="2"/>
      <c r="V59" s="2"/>
      <c r="W59" s="2"/>
      <c r="X59" s="2"/>
      <c r="Y59" s="2"/>
      <c r="Z59" s="2" t="str">
        <f t="shared" si="4"/>
        <v/>
      </c>
      <c r="AA59" s="2" t="str">
        <f t="shared" si="5"/>
        <v/>
      </c>
      <c r="AB59" s="2" t="str">
        <f t="shared" si="6"/>
        <v/>
      </c>
      <c r="AC59" s="2" t="str">
        <f t="shared" si="7"/>
        <v>Walks with direction</v>
      </c>
      <c r="AD59" s="2"/>
      <c r="AE59" s="5"/>
      <c r="AF59" s="2"/>
      <c r="AG59" s="2"/>
      <c r="AH59" s="2"/>
      <c r="AI59" s="2"/>
    </row>
    <row r="60" spans="1:35">
      <c r="A60" s="2"/>
      <c r="B60" s="2"/>
      <c r="C60" s="2"/>
      <c r="D60" s="2"/>
      <c r="E60" s="5"/>
      <c r="F60" s="2"/>
      <c r="G60" s="5"/>
      <c r="H60" s="2"/>
      <c r="I60" s="2"/>
      <c r="J60" s="2"/>
      <c r="K60" s="2"/>
      <c r="L60" s="2"/>
      <c r="M60" s="2"/>
      <c r="N60" s="2"/>
      <c r="O60" s="2"/>
      <c r="P60" s="2"/>
      <c r="Q60" s="2"/>
      <c r="R60" s="2"/>
      <c r="S60" s="2"/>
      <c r="T60" s="2"/>
      <c r="U60" s="2"/>
      <c r="V60" s="2"/>
      <c r="W60" s="2"/>
      <c r="X60" s="2"/>
      <c r="Y60" s="2"/>
      <c r="Z60" s="2" t="str">
        <f t="shared" si="4"/>
        <v/>
      </c>
      <c r="AA60" s="2" t="str">
        <f t="shared" si="5"/>
        <v/>
      </c>
      <c r="AB60" s="2" t="str">
        <f t="shared" si="6"/>
        <v/>
      </c>
      <c r="AC60" s="2" t="str">
        <f t="shared" si="7"/>
        <v>Walks with direction</v>
      </c>
      <c r="AD60" s="2"/>
      <c r="AE60" s="5"/>
      <c r="AF60" s="2"/>
      <c r="AG60" s="2"/>
      <c r="AH60" s="2"/>
      <c r="AI60" s="2"/>
    </row>
    <row r="61" spans="1:35">
      <c r="A61" s="2"/>
      <c r="B61" s="2"/>
      <c r="C61" s="2"/>
      <c r="D61" s="2"/>
      <c r="E61" s="5"/>
      <c r="F61" s="2"/>
      <c r="G61" s="5"/>
      <c r="H61" s="2"/>
      <c r="I61" s="2"/>
      <c r="J61" s="2"/>
      <c r="K61" s="2"/>
      <c r="L61" s="2"/>
      <c r="M61" s="2"/>
      <c r="N61" s="2"/>
      <c r="O61" s="2"/>
      <c r="P61" s="2"/>
      <c r="Q61" s="2"/>
      <c r="R61" s="2"/>
      <c r="S61" s="2"/>
      <c r="T61" s="2"/>
      <c r="U61" s="2"/>
      <c r="V61" s="2"/>
      <c r="W61" s="2"/>
      <c r="X61" s="2"/>
      <c r="Y61" s="2"/>
      <c r="Z61" s="2" t="str">
        <f t="shared" si="4"/>
        <v/>
      </c>
      <c r="AA61" s="2" t="str">
        <f t="shared" si="5"/>
        <v/>
      </c>
      <c r="AB61" s="2" t="str">
        <f t="shared" si="6"/>
        <v/>
      </c>
      <c r="AC61" s="2" t="str">
        <f t="shared" si="7"/>
        <v>Walks with direction</v>
      </c>
      <c r="AD61" s="2"/>
      <c r="AE61" s="5"/>
      <c r="AF61" s="2"/>
      <c r="AG61" s="2"/>
      <c r="AH61" s="2"/>
      <c r="AI61" s="2"/>
    </row>
    <row r="62" spans="1:35">
      <c r="A62" s="2"/>
      <c r="B62" s="2"/>
      <c r="C62" s="2"/>
      <c r="D62" s="2"/>
      <c r="E62" s="5"/>
      <c r="F62" s="2"/>
      <c r="G62" s="5"/>
      <c r="H62" s="2"/>
      <c r="I62" s="2"/>
      <c r="J62" s="2"/>
      <c r="K62" s="2"/>
      <c r="L62" s="2"/>
      <c r="M62" s="2"/>
      <c r="N62" s="2"/>
      <c r="O62" s="2"/>
      <c r="P62" s="2"/>
      <c r="Q62" s="2"/>
      <c r="R62" s="2"/>
      <c r="S62" s="2"/>
      <c r="T62" s="2"/>
      <c r="U62" s="2"/>
      <c r="V62" s="2"/>
      <c r="W62" s="2"/>
      <c r="X62" s="2"/>
      <c r="Y62" s="2"/>
      <c r="Z62" s="2" t="str">
        <f t="shared" si="4"/>
        <v/>
      </c>
      <c r="AA62" s="2" t="str">
        <f t="shared" si="5"/>
        <v/>
      </c>
      <c r="AB62" s="2" t="str">
        <f t="shared" si="6"/>
        <v/>
      </c>
      <c r="AC62" s="2" t="str">
        <f t="shared" si="7"/>
        <v>Walks with direction</v>
      </c>
      <c r="AD62" s="2"/>
      <c r="AE62" s="5"/>
      <c r="AF62" s="2"/>
      <c r="AG62" s="2"/>
      <c r="AH62" s="2"/>
      <c r="AI62" s="2"/>
    </row>
    <row r="63" spans="1:35">
      <c r="A63" s="2"/>
      <c r="B63" s="2"/>
      <c r="C63" s="2"/>
      <c r="D63" s="2"/>
      <c r="E63" s="5"/>
      <c r="F63" s="2"/>
      <c r="G63" s="5"/>
      <c r="H63" s="2"/>
      <c r="I63" s="2"/>
      <c r="J63" s="2"/>
      <c r="K63" s="2"/>
      <c r="L63" s="2"/>
      <c r="M63" s="2"/>
      <c r="N63" s="2"/>
      <c r="O63" s="2"/>
      <c r="P63" s="2"/>
      <c r="Q63" s="2"/>
      <c r="R63" s="2"/>
      <c r="S63" s="2"/>
      <c r="T63" s="2"/>
      <c r="U63" s="2"/>
      <c r="V63" s="2"/>
      <c r="W63" s="2"/>
      <c r="X63" s="2"/>
      <c r="Y63" s="2"/>
      <c r="Z63" s="2" t="str">
        <f t="shared" si="4"/>
        <v/>
      </c>
      <c r="AA63" s="2" t="str">
        <f t="shared" si="5"/>
        <v/>
      </c>
      <c r="AB63" s="2" t="str">
        <f t="shared" si="6"/>
        <v/>
      </c>
      <c r="AC63" s="2" t="str">
        <f t="shared" si="7"/>
        <v>Walks with direction</v>
      </c>
      <c r="AD63" s="2"/>
      <c r="AE63" s="5"/>
      <c r="AF63" s="2"/>
      <c r="AG63" s="2"/>
      <c r="AH63" s="2"/>
      <c r="AI63" s="2"/>
    </row>
    <row r="64" spans="1:35">
      <c r="A64" s="2"/>
      <c r="B64" s="2"/>
      <c r="C64" s="2"/>
      <c r="D64" s="2"/>
      <c r="E64" s="5"/>
      <c r="F64" s="2"/>
      <c r="G64" s="5"/>
      <c r="H64" s="2"/>
      <c r="I64" s="2"/>
      <c r="J64" s="2"/>
      <c r="K64" s="2"/>
      <c r="L64" s="2"/>
      <c r="M64" s="2"/>
      <c r="N64" s="2"/>
      <c r="O64" s="2"/>
      <c r="P64" s="2"/>
      <c r="Q64" s="2"/>
      <c r="R64" s="2"/>
      <c r="S64" s="2"/>
      <c r="T64" s="2"/>
      <c r="U64" s="2"/>
      <c r="V64" s="2"/>
      <c r="W64" s="2"/>
      <c r="X64" s="2"/>
      <c r="Y64" s="2"/>
      <c r="Z64" s="2" t="str">
        <f t="shared" si="4"/>
        <v/>
      </c>
      <c r="AA64" s="2" t="str">
        <f t="shared" si="5"/>
        <v/>
      </c>
      <c r="AB64" s="2" t="str">
        <f t="shared" si="6"/>
        <v/>
      </c>
      <c r="AC64" s="2" t="str">
        <f t="shared" si="7"/>
        <v>Walks with direction</v>
      </c>
      <c r="AD64" s="2"/>
      <c r="AE64" s="5"/>
      <c r="AF64" s="2"/>
      <c r="AG64" s="2"/>
      <c r="AH64" s="2"/>
      <c r="AI64" s="2"/>
    </row>
    <row r="65" spans="1:35">
      <c r="A65" s="2"/>
      <c r="B65" s="2"/>
      <c r="C65" s="2"/>
      <c r="D65" s="2"/>
      <c r="E65" s="5"/>
      <c r="F65" s="2"/>
      <c r="G65" s="5"/>
      <c r="H65" s="2"/>
      <c r="I65" s="2"/>
      <c r="J65" s="2"/>
      <c r="K65" s="2"/>
      <c r="L65" s="2"/>
      <c r="M65" s="2"/>
      <c r="N65" s="2"/>
      <c r="O65" s="2"/>
      <c r="P65" s="2"/>
      <c r="Q65" s="2"/>
      <c r="R65" s="2"/>
      <c r="S65" s="2"/>
      <c r="T65" s="2"/>
      <c r="U65" s="2"/>
      <c r="V65" s="2"/>
      <c r="W65" s="2"/>
      <c r="X65" s="2"/>
      <c r="Y65" s="2"/>
      <c r="Z65" s="2" t="str">
        <f t="shared" si="4"/>
        <v/>
      </c>
      <c r="AA65" s="2" t="str">
        <f t="shared" si="5"/>
        <v/>
      </c>
      <c r="AB65" s="2" t="str">
        <f t="shared" si="6"/>
        <v/>
      </c>
      <c r="AC65" s="2" t="str">
        <f t="shared" si="7"/>
        <v>Walks with direction</v>
      </c>
      <c r="AD65" s="2"/>
      <c r="AE65" s="5"/>
      <c r="AF65" s="2"/>
      <c r="AG65" s="2"/>
      <c r="AH65" s="2"/>
      <c r="AI65" s="2"/>
    </row>
    <row r="66" spans="1:35">
      <c r="A66" s="2"/>
      <c r="B66" s="2"/>
      <c r="C66" s="2"/>
      <c r="D66" s="2"/>
      <c r="E66" s="5"/>
      <c r="F66" s="2"/>
      <c r="G66" s="5"/>
      <c r="H66" s="2"/>
      <c r="I66" s="2"/>
      <c r="J66" s="2"/>
      <c r="K66" s="2"/>
      <c r="L66" s="2"/>
      <c r="M66" s="2"/>
      <c r="N66" s="2"/>
      <c r="O66" s="2"/>
      <c r="P66" s="2"/>
      <c r="Q66" s="2"/>
      <c r="R66" s="2"/>
      <c r="S66" s="2"/>
      <c r="T66" s="2"/>
      <c r="U66" s="2"/>
      <c r="V66" s="2"/>
      <c r="W66" s="2"/>
      <c r="X66" s="2"/>
      <c r="Y66" s="2"/>
      <c r="Z66" s="2" t="str">
        <f t="shared" si="4"/>
        <v/>
      </c>
      <c r="AA66" s="2" t="str">
        <f t="shared" si="5"/>
        <v/>
      </c>
      <c r="AB66" s="2" t="str">
        <f t="shared" si="6"/>
        <v/>
      </c>
      <c r="AC66" s="2" t="str">
        <f t="shared" si="7"/>
        <v>Walks with direction</v>
      </c>
      <c r="AD66" s="2"/>
      <c r="AE66" s="5"/>
      <c r="AF66" s="2"/>
      <c r="AG66" s="2"/>
      <c r="AH66" s="2"/>
      <c r="AI66" s="2"/>
    </row>
    <row r="67" spans="1:35">
      <c r="A67" s="2"/>
      <c r="B67" s="2"/>
      <c r="C67" s="2"/>
      <c r="D67" s="2"/>
      <c r="E67" s="5"/>
      <c r="F67" s="2"/>
      <c r="G67" s="5"/>
      <c r="H67" s="2"/>
      <c r="I67" s="2"/>
      <c r="J67" s="2"/>
      <c r="K67" s="2"/>
      <c r="L67" s="2"/>
      <c r="M67" s="2"/>
      <c r="N67" s="2"/>
      <c r="O67" s="2"/>
      <c r="P67" s="2"/>
      <c r="Q67" s="2"/>
      <c r="R67" s="2"/>
      <c r="S67" s="2"/>
      <c r="T67" s="2"/>
      <c r="U67" s="2"/>
      <c r="V67" s="2"/>
      <c r="W67" s="2"/>
      <c r="X67" s="2"/>
      <c r="Y67" s="2"/>
      <c r="Z67" s="2" t="str">
        <f t="shared" si="4"/>
        <v/>
      </c>
      <c r="AA67" s="2" t="str">
        <f t="shared" si="5"/>
        <v/>
      </c>
      <c r="AB67" s="2" t="str">
        <f t="shared" si="6"/>
        <v/>
      </c>
      <c r="AC67" s="2" t="str">
        <f t="shared" si="7"/>
        <v>Walks with direction</v>
      </c>
      <c r="AD67" s="2"/>
      <c r="AE67" s="5"/>
      <c r="AF67" s="2"/>
      <c r="AG67" s="2"/>
      <c r="AH67" s="2"/>
      <c r="AI67" s="2"/>
    </row>
    <row r="68" spans="1:35">
      <c r="A68" s="2"/>
      <c r="B68" s="2"/>
      <c r="C68" s="2"/>
      <c r="D68" s="2"/>
      <c r="E68" s="5"/>
      <c r="F68" s="2"/>
      <c r="G68" s="5"/>
      <c r="H68" s="2"/>
      <c r="I68" s="2"/>
      <c r="J68" s="2"/>
      <c r="K68" s="2"/>
      <c r="L68" s="2"/>
      <c r="M68" s="2"/>
      <c r="N68" s="2"/>
      <c r="O68" s="2"/>
      <c r="P68" s="2"/>
      <c r="Q68" s="2"/>
      <c r="R68" s="2"/>
      <c r="S68" s="2"/>
      <c r="T68" s="2"/>
      <c r="U68" s="2"/>
      <c r="V68" s="2"/>
      <c r="W68" s="2"/>
      <c r="X68" s="2"/>
      <c r="Y68" s="2"/>
      <c r="Z68" s="2" t="str">
        <f t="shared" si="4"/>
        <v/>
      </c>
      <c r="AA68" s="2" t="str">
        <f t="shared" si="5"/>
        <v/>
      </c>
      <c r="AB68" s="2" t="str">
        <f t="shared" si="6"/>
        <v/>
      </c>
      <c r="AC68" s="2" t="str">
        <f t="shared" si="7"/>
        <v>Walks with direction</v>
      </c>
      <c r="AD68" s="2"/>
      <c r="AE68" s="5"/>
      <c r="AF68" s="2"/>
      <c r="AG68" s="2"/>
      <c r="AH68" s="2"/>
      <c r="AI68" s="2"/>
    </row>
    <row r="69" spans="1:35">
      <c r="A69" s="2"/>
      <c r="B69" s="2"/>
      <c r="C69" s="2"/>
      <c r="D69" s="2"/>
      <c r="E69" s="5"/>
      <c r="F69" s="2"/>
      <c r="G69" s="5"/>
      <c r="H69" s="2"/>
      <c r="I69" s="2"/>
      <c r="J69" s="2"/>
      <c r="K69" s="2"/>
      <c r="L69" s="2"/>
      <c r="M69" s="2"/>
      <c r="N69" s="2"/>
      <c r="O69" s="2"/>
      <c r="P69" s="2"/>
      <c r="Q69" s="2"/>
      <c r="R69" s="2"/>
      <c r="S69" s="2"/>
      <c r="T69" s="2"/>
      <c r="U69" s="2"/>
      <c r="V69" s="2"/>
      <c r="W69" s="2"/>
      <c r="X69" s="2"/>
      <c r="Y69" s="2"/>
      <c r="Z69" s="2" t="str">
        <f t="shared" si="4"/>
        <v/>
      </c>
      <c r="AA69" s="2" t="str">
        <f t="shared" si="5"/>
        <v/>
      </c>
      <c r="AB69" s="2" t="str">
        <f t="shared" si="6"/>
        <v/>
      </c>
      <c r="AC69" s="2" t="str">
        <f t="shared" si="7"/>
        <v>Walks with direction</v>
      </c>
      <c r="AD69" s="2"/>
      <c r="AE69" s="5"/>
      <c r="AF69" s="2"/>
      <c r="AG69" s="2"/>
      <c r="AH69" s="2"/>
      <c r="AI69" s="2"/>
    </row>
    <row r="70" spans="1:35">
      <c r="A70" s="2"/>
      <c r="B70" s="2"/>
      <c r="C70" s="2"/>
      <c r="D70" s="2"/>
      <c r="E70" s="5"/>
      <c r="F70" s="2"/>
      <c r="G70" s="5"/>
      <c r="H70" s="2"/>
      <c r="I70" s="2"/>
      <c r="J70" s="2"/>
      <c r="K70" s="2"/>
      <c r="L70" s="2"/>
      <c r="M70" s="2"/>
      <c r="N70" s="2"/>
      <c r="O70" s="2"/>
      <c r="P70" s="2"/>
      <c r="Q70" s="2"/>
      <c r="R70" s="2"/>
      <c r="S70" s="2"/>
      <c r="T70" s="2"/>
      <c r="U70" s="2"/>
      <c r="V70" s="2"/>
      <c r="W70" s="2"/>
      <c r="X70" s="2"/>
      <c r="Y70" s="2"/>
      <c r="Z70" s="2" t="str">
        <f t="shared" si="4"/>
        <v/>
      </c>
      <c r="AA70" s="2" t="str">
        <f t="shared" si="5"/>
        <v/>
      </c>
      <c r="AB70" s="2" t="str">
        <f t="shared" si="6"/>
        <v/>
      </c>
      <c r="AC70" s="2" t="str">
        <f t="shared" si="7"/>
        <v>Walks with direction</v>
      </c>
      <c r="AD70" s="2"/>
      <c r="AE70" s="5"/>
      <c r="AF70" s="2"/>
      <c r="AG70" s="2"/>
      <c r="AH70" s="2"/>
      <c r="AI70" s="2"/>
    </row>
    <row r="71" spans="1:35">
      <c r="A71" s="2"/>
      <c r="B71" s="2"/>
      <c r="C71" s="2"/>
      <c r="D71" s="2"/>
      <c r="E71" s="5"/>
      <c r="F71" s="2"/>
      <c r="G71" s="5"/>
      <c r="H71" s="2"/>
      <c r="I71" s="2"/>
      <c r="J71" s="2"/>
      <c r="K71" s="2"/>
      <c r="L71" s="2"/>
      <c r="M71" s="2"/>
      <c r="N71" s="2"/>
      <c r="O71" s="2"/>
      <c r="P71" s="2"/>
      <c r="Q71" s="2"/>
      <c r="R71" s="2"/>
      <c r="S71" s="2"/>
      <c r="T71" s="2"/>
      <c r="U71" s="2"/>
      <c r="V71" s="2"/>
      <c r="W71" s="2"/>
      <c r="X71" s="2"/>
      <c r="Y71" s="2"/>
      <c r="Z71" s="2" t="str">
        <f t="shared" si="4"/>
        <v/>
      </c>
      <c r="AA71" s="2" t="str">
        <f t="shared" si="5"/>
        <v/>
      </c>
      <c r="AB71" s="2" t="str">
        <f t="shared" si="6"/>
        <v/>
      </c>
      <c r="AC71" s="2" t="str">
        <f t="shared" si="7"/>
        <v>Walks with direction</v>
      </c>
      <c r="AD71" s="2"/>
      <c r="AE71" s="5"/>
      <c r="AF71" s="2"/>
      <c r="AG71" s="2"/>
      <c r="AH71" s="2"/>
      <c r="AI71" s="2"/>
    </row>
    <row r="72" spans="1:35">
      <c r="A72" s="2"/>
      <c r="B72" s="2"/>
      <c r="C72" s="2"/>
      <c r="D72" s="2"/>
      <c r="E72" s="5"/>
      <c r="F72" s="2"/>
      <c r="G72" s="5"/>
      <c r="H72" s="2"/>
      <c r="I72" s="2"/>
      <c r="J72" s="2"/>
      <c r="K72" s="2"/>
      <c r="L72" s="2"/>
      <c r="M72" s="2"/>
      <c r="N72" s="2"/>
      <c r="O72" s="2"/>
      <c r="P72" s="2"/>
      <c r="Q72" s="2"/>
      <c r="R72" s="2"/>
      <c r="S72" s="2"/>
      <c r="T72" s="2"/>
      <c r="U72" s="2"/>
      <c r="V72" s="2"/>
      <c r="W72" s="2"/>
      <c r="X72" s="2"/>
      <c r="Y72" s="2"/>
      <c r="Z72" s="2" t="str">
        <f t="shared" si="4"/>
        <v/>
      </c>
      <c r="AA72" s="2" t="str">
        <f t="shared" si="5"/>
        <v/>
      </c>
      <c r="AB72" s="2" t="str">
        <f t="shared" si="6"/>
        <v/>
      </c>
      <c r="AC72" s="2" t="str">
        <f t="shared" si="7"/>
        <v>Walks with direction</v>
      </c>
      <c r="AD72" s="2"/>
      <c r="AE72" s="5"/>
      <c r="AF72" s="2"/>
      <c r="AG72" s="2"/>
      <c r="AH72" s="2"/>
      <c r="AI72" s="2"/>
    </row>
    <row r="73" spans="1:35">
      <c r="A73" s="2"/>
      <c r="B73" s="2"/>
      <c r="C73" s="2"/>
      <c r="D73" s="2"/>
      <c r="E73" s="5"/>
      <c r="F73" s="2"/>
      <c r="G73" s="5"/>
      <c r="H73" s="2"/>
      <c r="I73" s="2"/>
      <c r="J73" s="2"/>
      <c r="K73" s="2"/>
      <c r="L73" s="2"/>
      <c r="M73" s="2"/>
      <c r="N73" s="2"/>
      <c r="O73" s="2"/>
      <c r="P73" s="2"/>
      <c r="Q73" s="2"/>
      <c r="R73" s="2"/>
      <c r="S73" s="2"/>
      <c r="T73" s="2"/>
      <c r="U73" s="2"/>
      <c r="V73" s="2"/>
      <c r="W73" s="2"/>
      <c r="X73" s="2"/>
      <c r="Y73" s="2"/>
      <c r="Z73" s="2" t="str">
        <f t="shared" si="4"/>
        <v/>
      </c>
      <c r="AA73" s="2" t="str">
        <f t="shared" si="5"/>
        <v/>
      </c>
      <c r="AB73" s="2" t="str">
        <f t="shared" si="6"/>
        <v/>
      </c>
      <c r="AC73" s="2" t="str">
        <f t="shared" si="7"/>
        <v>Walks with direction</v>
      </c>
      <c r="AD73" s="2"/>
      <c r="AE73" s="5"/>
      <c r="AF73" s="2"/>
      <c r="AG73" s="2"/>
      <c r="AH73" s="2"/>
      <c r="AI73" s="2"/>
    </row>
    <row r="74" spans="1:35">
      <c r="A74" s="2"/>
      <c r="B74" s="2"/>
      <c r="C74" s="2"/>
      <c r="D74" s="2"/>
      <c r="E74" s="5"/>
      <c r="F74" s="2"/>
      <c r="G74" s="5"/>
      <c r="H74" s="2"/>
      <c r="I74" s="2"/>
      <c r="J74" s="2"/>
      <c r="K74" s="2"/>
      <c r="L74" s="2"/>
      <c r="M74" s="2"/>
      <c r="N74" s="2"/>
      <c r="O74" s="2"/>
      <c r="P74" s="2"/>
      <c r="Q74" s="2"/>
      <c r="R74" s="2"/>
      <c r="S74" s="2"/>
      <c r="T74" s="2"/>
      <c r="U74" s="2"/>
      <c r="V74" s="2"/>
      <c r="W74" s="2"/>
      <c r="X74" s="2"/>
      <c r="Y74" s="2"/>
      <c r="Z74" s="2" t="str">
        <f t="shared" si="4"/>
        <v/>
      </c>
      <c r="AA74" s="2" t="str">
        <f t="shared" si="5"/>
        <v/>
      </c>
      <c r="AB74" s="2" t="str">
        <f t="shared" si="6"/>
        <v/>
      </c>
      <c r="AC74" s="2" t="str">
        <f t="shared" si="7"/>
        <v>Walks with direction</v>
      </c>
      <c r="AD74" s="2"/>
      <c r="AE74" s="5"/>
      <c r="AF74" s="2"/>
      <c r="AG74" s="2"/>
      <c r="AH74" s="2"/>
      <c r="AI74" s="2"/>
    </row>
    <row r="75" spans="1:35">
      <c r="A75" s="2"/>
      <c r="B75" s="2"/>
      <c r="C75" s="2"/>
      <c r="D75" s="2"/>
      <c r="E75" s="5"/>
      <c r="F75" s="2"/>
      <c r="G75" s="5"/>
      <c r="H75" s="2"/>
      <c r="I75" s="2"/>
      <c r="J75" s="2"/>
      <c r="K75" s="2"/>
      <c r="L75" s="2"/>
      <c r="M75" s="2"/>
      <c r="N75" s="2"/>
      <c r="O75" s="2"/>
      <c r="P75" s="2"/>
      <c r="Q75" s="2"/>
      <c r="R75" s="2"/>
      <c r="S75" s="2"/>
      <c r="T75" s="2"/>
      <c r="U75" s="2"/>
      <c r="V75" s="2"/>
      <c r="W75" s="2"/>
      <c r="X75" s="2"/>
      <c r="Y75" s="2"/>
      <c r="Z75" s="2" t="str">
        <f t="shared" si="4"/>
        <v/>
      </c>
      <c r="AA75" s="2" t="str">
        <f t="shared" si="5"/>
        <v/>
      </c>
      <c r="AB75" s="2" t="str">
        <f t="shared" si="6"/>
        <v/>
      </c>
      <c r="AC75" s="2" t="str">
        <f t="shared" si="7"/>
        <v>Walks with direction</v>
      </c>
      <c r="AD75" s="2"/>
      <c r="AE75" s="5"/>
      <c r="AF75" s="2"/>
      <c r="AG75" s="2"/>
      <c r="AH75" s="2"/>
      <c r="AI75" s="2"/>
    </row>
    <row r="76" spans="1:35">
      <c r="A76" s="2"/>
      <c r="B76" s="2"/>
      <c r="C76" s="2"/>
      <c r="D76" s="2"/>
      <c r="E76" s="5"/>
      <c r="F76" s="2"/>
      <c r="G76" s="5"/>
      <c r="H76" s="2"/>
      <c r="I76" s="2"/>
      <c r="J76" s="2"/>
      <c r="K76" s="2"/>
      <c r="L76" s="2"/>
      <c r="M76" s="2"/>
      <c r="N76" s="2"/>
      <c r="O76" s="2"/>
      <c r="P76" s="2"/>
      <c r="Q76" s="2"/>
      <c r="R76" s="2"/>
      <c r="S76" s="2"/>
      <c r="T76" s="2"/>
      <c r="U76" s="2"/>
      <c r="V76" s="2"/>
      <c r="W76" s="2"/>
      <c r="X76" s="2"/>
      <c r="Y76" s="2"/>
      <c r="Z76" s="2" t="str">
        <f t="shared" si="4"/>
        <v/>
      </c>
      <c r="AA76" s="2" t="str">
        <f t="shared" si="5"/>
        <v/>
      </c>
      <c r="AB76" s="2" t="str">
        <f t="shared" si="6"/>
        <v/>
      </c>
      <c r="AC76" s="2" t="str">
        <f t="shared" si="7"/>
        <v>Walks with direction</v>
      </c>
      <c r="AD76" s="2"/>
      <c r="AE76" s="5"/>
      <c r="AF76" s="2"/>
      <c r="AG76" s="2"/>
      <c r="AH76" s="2"/>
      <c r="AI76" s="2"/>
    </row>
    <row r="77" spans="1:35">
      <c r="A77" s="2"/>
      <c r="B77" s="2"/>
      <c r="C77" s="2"/>
      <c r="D77" s="2"/>
      <c r="E77" s="5"/>
      <c r="F77" s="2"/>
      <c r="G77" s="5"/>
      <c r="H77" s="2"/>
      <c r="I77" s="2"/>
      <c r="J77" s="2"/>
      <c r="K77" s="2"/>
      <c r="L77" s="2"/>
      <c r="M77" s="2"/>
      <c r="N77" s="2"/>
      <c r="O77" s="2"/>
      <c r="P77" s="2"/>
      <c r="Q77" s="2"/>
      <c r="R77" s="2"/>
      <c r="S77" s="2"/>
      <c r="T77" s="2"/>
      <c r="U77" s="2"/>
      <c r="V77" s="2"/>
      <c r="W77" s="2"/>
      <c r="X77" s="2"/>
      <c r="Y77" s="2"/>
      <c r="Z77" s="2" t="str">
        <f t="shared" si="4"/>
        <v/>
      </c>
      <c r="AA77" s="2" t="str">
        <f t="shared" si="5"/>
        <v/>
      </c>
      <c r="AB77" s="2" t="str">
        <f t="shared" si="6"/>
        <v/>
      </c>
      <c r="AC77" s="2" t="str">
        <f t="shared" si="7"/>
        <v>Walks with direction</v>
      </c>
      <c r="AD77" s="2"/>
      <c r="AE77" s="5"/>
      <c r="AF77" s="2"/>
      <c r="AG77" s="2"/>
      <c r="AH77" s="2"/>
      <c r="AI77" s="2"/>
    </row>
    <row r="78" spans="1:35">
      <c r="A78" s="2"/>
      <c r="B78" s="2"/>
      <c r="C78" s="2"/>
      <c r="D78" s="2"/>
      <c r="E78" s="5"/>
      <c r="F78" s="2"/>
      <c r="G78" s="5"/>
      <c r="H78" s="2"/>
      <c r="I78" s="2"/>
      <c r="J78" s="2"/>
      <c r="K78" s="2"/>
      <c r="L78" s="2"/>
      <c r="M78" s="2"/>
      <c r="N78" s="2"/>
      <c r="O78" s="2"/>
      <c r="P78" s="2"/>
      <c r="Q78" s="2"/>
      <c r="R78" s="2"/>
      <c r="S78" s="2"/>
      <c r="T78" s="2"/>
      <c r="U78" s="2"/>
      <c r="V78" s="2"/>
      <c r="W78" s="2"/>
      <c r="X78" s="2"/>
      <c r="Y78" s="2"/>
      <c r="Z78" s="2" t="str">
        <f t="shared" si="4"/>
        <v/>
      </c>
      <c r="AA78" s="2" t="str">
        <f t="shared" si="5"/>
        <v/>
      </c>
      <c r="AB78" s="2" t="str">
        <f t="shared" si="6"/>
        <v/>
      </c>
      <c r="AC78" s="2" t="str">
        <f t="shared" si="7"/>
        <v>Walks with direction</v>
      </c>
      <c r="AD78" s="2"/>
      <c r="AE78" s="5"/>
      <c r="AF78" s="2"/>
      <c r="AG78" s="2"/>
      <c r="AH78" s="2"/>
      <c r="AI78" s="2"/>
    </row>
    <row r="79" spans="1:35">
      <c r="A79" s="2"/>
      <c r="B79" s="2"/>
      <c r="C79" s="2"/>
      <c r="D79" s="2"/>
      <c r="E79" s="5"/>
      <c r="F79" s="2"/>
      <c r="G79" s="5"/>
      <c r="H79" s="2"/>
      <c r="I79" s="2"/>
      <c r="J79" s="2"/>
      <c r="K79" s="2"/>
      <c r="L79" s="2"/>
      <c r="M79" s="2"/>
      <c r="N79" s="2"/>
      <c r="O79" s="2"/>
      <c r="P79" s="2"/>
      <c r="Q79" s="2"/>
      <c r="R79" s="2"/>
      <c r="S79" s="2"/>
      <c r="T79" s="2"/>
      <c r="U79" s="2"/>
      <c r="V79" s="2"/>
      <c r="W79" s="2"/>
      <c r="X79" s="2"/>
      <c r="Y79" s="2"/>
      <c r="Z79" s="2" t="str">
        <f t="shared" si="4"/>
        <v/>
      </c>
      <c r="AA79" s="2" t="str">
        <f t="shared" si="5"/>
        <v/>
      </c>
      <c r="AB79" s="2" t="str">
        <f t="shared" si="6"/>
        <v/>
      </c>
      <c r="AC79" s="2" t="str">
        <f t="shared" si="7"/>
        <v>Walks with direction</v>
      </c>
      <c r="AD79" s="2"/>
      <c r="AE79" s="5"/>
      <c r="AF79" s="2"/>
      <c r="AG79" s="2"/>
      <c r="AH79" s="2"/>
      <c r="AI79" s="2"/>
    </row>
    <row r="80" spans="1:35">
      <c r="A80" s="2"/>
      <c r="B80" s="2"/>
      <c r="C80" s="2"/>
      <c r="D80" s="2"/>
      <c r="E80" s="5"/>
      <c r="F80" s="2"/>
      <c r="G80" s="5"/>
      <c r="H80" s="2"/>
      <c r="I80" s="2"/>
      <c r="J80" s="2"/>
      <c r="K80" s="2"/>
      <c r="L80" s="2"/>
      <c r="M80" s="2"/>
      <c r="N80" s="2"/>
      <c r="O80" s="2"/>
      <c r="P80" s="2"/>
      <c r="Q80" s="2"/>
      <c r="R80" s="2"/>
      <c r="S80" s="2"/>
      <c r="T80" s="2"/>
      <c r="U80" s="2"/>
      <c r="V80" s="2"/>
      <c r="W80" s="2"/>
      <c r="X80" s="2"/>
      <c r="Y80" s="2"/>
      <c r="Z80" s="2" t="str">
        <f t="shared" si="4"/>
        <v/>
      </c>
      <c r="AA80" s="2" t="str">
        <f t="shared" si="5"/>
        <v/>
      </c>
      <c r="AB80" s="2" t="str">
        <f t="shared" si="6"/>
        <v/>
      </c>
      <c r="AC80" s="2" t="str">
        <f t="shared" si="7"/>
        <v>Walks with direction</v>
      </c>
      <c r="AD80" s="2"/>
      <c r="AE80" s="5"/>
      <c r="AF80" s="2"/>
      <c r="AG80" s="2"/>
      <c r="AH80" s="2"/>
      <c r="AI80" s="2"/>
    </row>
    <row r="81" spans="1:35">
      <c r="A81" s="2"/>
      <c r="B81" s="2"/>
      <c r="C81" s="2"/>
      <c r="D81" s="2"/>
      <c r="E81" s="5"/>
      <c r="F81" s="2"/>
      <c r="G81" s="5"/>
      <c r="H81" s="2"/>
      <c r="I81" s="2"/>
      <c r="J81" s="2"/>
      <c r="K81" s="2"/>
      <c r="L81" s="2"/>
      <c r="M81" s="2"/>
      <c r="N81" s="2"/>
      <c r="O81" s="2"/>
      <c r="P81" s="2"/>
      <c r="Q81" s="2"/>
      <c r="R81" s="2"/>
      <c r="S81" s="2"/>
      <c r="T81" s="2"/>
      <c r="U81" s="2"/>
      <c r="V81" s="2"/>
      <c r="W81" s="2"/>
      <c r="X81" s="2"/>
      <c r="Y81" s="2"/>
      <c r="Z81" s="2" t="str">
        <f t="shared" si="4"/>
        <v/>
      </c>
      <c r="AA81" s="2" t="str">
        <f t="shared" si="5"/>
        <v/>
      </c>
      <c r="AB81" s="2" t="str">
        <f t="shared" si="6"/>
        <v/>
      </c>
      <c r="AC81" s="2" t="str">
        <f t="shared" si="7"/>
        <v>Walks with direction</v>
      </c>
      <c r="AD81" s="2"/>
      <c r="AE81" s="5"/>
      <c r="AF81" s="2"/>
      <c r="AG81" s="2"/>
      <c r="AH81" s="2"/>
      <c r="AI81" s="2"/>
    </row>
    <row r="82" spans="1:35">
      <c r="A82" s="2"/>
      <c r="B82" s="2"/>
      <c r="C82" s="2"/>
      <c r="D82" s="2"/>
      <c r="E82" s="5"/>
      <c r="F82" s="2"/>
      <c r="G82" s="5"/>
      <c r="H82" s="2"/>
      <c r="I82" s="2"/>
      <c r="J82" s="2"/>
      <c r="K82" s="2"/>
      <c r="L82" s="2"/>
      <c r="M82" s="2"/>
      <c r="N82" s="2"/>
      <c r="O82" s="2"/>
      <c r="P82" s="2"/>
      <c r="Q82" s="2"/>
      <c r="R82" s="2"/>
      <c r="S82" s="2"/>
      <c r="T82" s="2"/>
      <c r="U82" s="2"/>
      <c r="V82" s="2"/>
      <c r="W82" s="2"/>
      <c r="X82" s="2"/>
      <c r="Y82" s="2"/>
      <c r="Z82" s="2" t="str">
        <f t="shared" ref="Z82:Z113" si="8">IF(COUNTA(H82:Y82)=0,"",IF(COUNTIF(H82:Y82,"Very High")&gt;0,"Very High",IF(COUNTIF(H82:Y82,"High")&gt;0,"High",IF(COUNTIF(H82:Y82,"Medium")&gt;0,"Medium","Low"))))</f>
        <v/>
      </c>
      <c r="AA82" s="2" t="str">
        <f t="shared" ref="AA82:AA113" si="9">IF(Z82="","",IF(Z82="Low","Routine planned support",IF(Z82="Medium","One staff support/supervision likely",IF(Z82="High","Two staff/review staffing and equipment","Manager review: multiple staff/specialist support"))))</f>
        <v/>
      </c>
      <c r="AB82" s="2" t="str">
        <f t="shared" ref="AB82:AB117" si="10">IF(Z82="","",IF(OR(Z82="High",Z82="Very High",W82="High",W82="Very High"),"Night staffing and evacuation review required","Routine night checks as per care plan"))</f>
        <v/>
      </c>
      <c r="AC82" s="2" t="str">
        <f t="shared" ref="AC82:AC117" si="11">IF(X82="Very High","Specialist PEEP / equipment",IF(OR(X82="High",Z82="High"),"Evacuation sheet/chair or wheelchair per PEEP",IF(OR(X82="Medium",Z82="Medium"),"Walking aid/wheelchair support per PEEP","Walks with direction")))</f>
        <v>Walks with direction</v>
      </c>
      <c r="AD82" s="2"/>
      <c r="AE82" s="5"/>
      <c r="AF82" s="2"/>
      <c r="AG82" s="2"/>
      <c r="AH82" s="2"/>
      <c r="AI82" s="2"/>
    </row>
    <row r="83" spans="1:35">
      <c r="A83" s="2"/>
      <c r="B83" s="2"/>
      <c r="C83" s="2"/>
      <c r="D83" s="2"/>
      <c r="E83" s="5"/>
      <c r="F83" s="2"/>
      <c r="G83" s="5"/>
      <c r="H83" s="2"/>
      <c r="I83" s="2"/>
      <c r="J83" s="2"/>
      <c r="K83" s="2"/>
      <c r="L83" s="2"/>
      <c r="M83" s="2"/>
      <c r="N83" s="2"/>
      <c r="O83" s="2"/>
      <c r="P83" s="2"/>
      <c r="Q83" s="2"/>
      <c r="R83" s="2"/>
      <c r="S83" s="2"/>
      <c r="T83" s="2"/>
      <c r="U83" s="2"/>
      <c r="V83" s="2"/>
      <c r="W83" s="2"/>
      <c r="X83" s="2"/>
      <c r="Y83" s="2"/>
      <c r="Z83" s="2" t="str">
        <f t="shared" si="8"/>
        <v/>
      </c>
      <c r="AA83" s="2" t="str">
        <f t="shared" si="9"/>
        <v/>
      </c>
      <c r="AB83" s="2" t="str">
        <f t="shared" si="10"/>
        <v/>
      </c>
      <c r="AC83" s="2" t="str">
        <f t="shared" si="11"/>
        <v>Walks with direction</v>
      </c>
      <c r="AD83" s="2"/>
      <c r="AE83" s="5"/>
      <c r="AF83" s="2"/>
      <c r="AG83" s="2"/>
      <c r="AH83" s="2"/>
      <c r="AI83" s="2"/>
    </row>
    <row r="84" spans="1:35">
      <c r="A84" s="2"/>
      <c r="B84" s="2"/>
      <c r="C84" s="2"/>
      <c r="D84" s="2"/>
      <c r="E84" s="5"/>
      <c r="F84" s="2"/>
      <c r="G84" s="5"/>
      <c r="H84" s="2"/>
      <c r="I84" s="2"/>
      <c r="J84" s="2"/>
      <c r="K84" s="2"/>
      <c r="L84" s="2"/>
      <c r="M84" s="2"/>
      <c r="N84" s="2"/>
      <c r="O84" s="2"/>
      <c r="P84" s="2"/>
      <c r="Q84" s="2"/>
      <c r="R84" s="2"/>
      <c r="S84" s="2"/>
      <c r="T84" s="2"/>
      <c r="U84" s="2"/>
      <c r="V84" s="2"/>
      <c r="W84" s="2"/>
      <c r="X84" s="2"/>
      <c r="Y84" s="2"/>
      <c r="Z84" s="2" t="str">
        <f t="shared" si="8"/>
        <v/>
      </c>
      <c r="AA84" s="2" t="str">
        <f t="shared" si="9"/>
        <v/>
      </c>
      <c r="AB84" s="2" t="str">
        <f t="shared" si="10"/>
        <v/>
      </c>
      <c r="AC84" s="2" t="str">
        <f t="shared" si="11"/>
        <v>Walks with direction</v>
      </c>
      <c r="AD84" s="2"/>
      <c r="AE84" s="5"/>
      <c r="AF84" s="2"/>
      <c r="AG84" s="2"/>
      <c r="AH84" s="2"/>
      <c r="AI84" s="2"/>
    </row>
    <row r="85" spans="1:35">
      <c r="A85" s="2"/>
      <c r="B85" s="2"/>
      <c r="C85" s="2"/>
      <c r="D85" s="2"/>
      <c r="E85" s="5"/>
      <c r="F85" s="2"/>
      <c r="G85" s="5"/>
      <c r="H85" s="2"/>
      <c r="I85" s="2"/>
      <c r="J85" s="2"/>
      <c r="K85" s="2"/>
      <c r="L85" s="2"/>
      <c r="M85" s="2"/>
      <c r="N85" s="2"/>
      <c r="O85" s="2"/>
      <c r="P85" s="2"/>
      <c r="Q85" s="2"/>
      <c r="R85" s="2"/>
      <c r="S85" s="2"/>
      <c r="T85" s="2"/>
      <c r="U85" s="2"/>
      <c r="V85" s="2"/>
      <c r="W85" s="2"/>
      <c r="X85" s="2"/>
      <c r="Y85" s="2"/>
      <c r="Z85" s="2" t="str">
        <f t="shared" si="8"/>
        <v/>
      </c>
      <c r="AA85" s="2" t="str">
        <f t="shared" si="9"/>
        <v/>
      </c>
      <c r="AB85" s="2" t="str">
        <f t="shared" si="10"/>
        <v/>
      </c>
      <c r="AC85" s="2" t="str">
        <f t="shared" si="11"/>
        <v>Walks with direction</v>
      </c>
      <c r="AD85" s="2"/>
      <c r="AE85" s="5"/>
      <c r="AF85" s="2"/>
      <c r="AG85" s="2"/>
      <c r="AH85" s="2"/>
      <c r="AI85" s="2"/>
    </row>
    <row r="86" spans="1:35">
      <c r="A86" s="2"/>
      <c r="B86" s="2"/>
      <c r="C86" s="2"/>
      <c r="D86" s="2"/>
      <c r="E86" s="5"/>
      <c r="F86" s="2"/>
      <c r="G86" s="5"/>
      <c r="H86" s="2"/>
      <c r="I86" s="2"/>
      <c r="J86" s="2"/>
      <c r="K86" s="2"/>
      <c r="L86" s="2"/>
      <c r="M86" s="2"/>
      <c r="N86" s="2"/>
      <c r="O86" s="2"/>
      <c r="P86" s="2"/>
      <c r="Q86" s="2"/>
      <c r="R86" s="2"/>
      <c r="S86" s="2"/>
      <c r="T86" s="2"/>
      <c r="U86" s="2"/>
      <c r="V86" s="2"/>
      <c r="W86" s="2"/>
      <c r="X86" s="2"/>
      <c r="Y86" s="2"/>
      <c r="Z86" s="2" t="str">
        <f t="shared" si="8"/>
        <v/>
      </c>
      <c r="AA86" s="2" t="str">
        <f t="shared" si="9"/>
        <v/>
      </c>
      <c r="AB86" s="2" t="str">
        <f t="shared" si="10"/>
        <v/>
      </c>
      <c r="AC86" s="2" t="str">
        <f t="shared" si="11"/>
        <v>Walks with direction</v>
      </c>
      <c r="AD86" s="2"/>
      <c r="AE86" s="5"/>
      <c r="AF86" s="2"/>
      <c r="AG86" s="2"/>
      <c r="AH86" s="2"/>
      <c r="AI86" s="2"/>
    </row>
    <row r="87" spans="1:35">
      <c r="A87" s="2"/>
      <c r="B87" s="2"/>
      <c r="C87" s="2"/>
      <c r="D87" s="2"/>
      <c r="E87" s="5"/>
      <c r="F87" s="2"/>
      <c r="G87" s="5"/>
      <c r="H87" s="2"/>
      <c r="I87" s="2"/>
      <c r="J87" s="2"/>
      <c r="K87" s="2"/>
      <c r="L87" s="2"/>
      <c r="M87" s="2"/>
      <c r="N87" s="2"/>
      <c r="O87" s="2"/>
      <c r="P87" s="2"/>
      <c r="Q87" s="2"/>
      <c r="R87" s="2"/>
      <c r="S87" s="2"/>
      <c r="T87" s="2"/>
      <c r="U87" s="2"/>
      <c r="V87" s="2"/>
      <c r="W87" s="2"/>
      <c r="X87" s="2"/>
      <c r="Y87" s="2"/>
      <c r="Z87" s="2" t="str">
        <f t="shared" si="8"/>
        <v/>
      </c>
      <c r="AA87" s="2" t="str">
        <f t="shared" si="9"/>
        <v/>
      </c>
      <c r="AB87" s="2" t="str">
        <f t="shared" si="10"/>
        <v/>
      </c>
      <c r="AC87" s="2" t="str">
        <f t="shared" si="11"/>
        <v>Walks with direction</v>
      </c>
      <c r="AD87" s="2"/>
      <c r="AE87" s="5"/>
      <c r="AF87" s="2"/>
      <c r="AG87" s="2"/>
      <c r="AH87" s="2"/>
      <c r="AI87" s="2"/>
    </row>
    <row r="88" spans="1:35">
      <c r="A88" s="2"/>
      <c r="B88" s="2"/>
      <c r="C88" s="2"/>
      <c r="D88" s="2"/>
      <c r="E88" s="5"/>
      <c r="F88" s="2"/>
      <c r="G88" s="5"/>
      <c r="H88" s="2"/>
      <c r="I88" s="2"/>
      <c r="J88" s="2"/>
      <c r="K88" s="2"/>
      <c r="L88" s="2"/>
      <c r="M88" s="2"/>
      <c r="N88" s="2"/>
      <c r="O88" s="2"/>
      <c r="P88" s="2"/>
      <c r="Q88" s="2"/>
      <c r="R88" s="2"/>
      <c r="S88" s="2"/>
      <c r="T88" s="2"/>
      <c r="U88" s="2"/>
      <c r="V88" s="2"/>
      <c r="W88" s="2"/>
      <c r="X88" s="2"/>
      <c r="Y88" s="2"/>
      <c r="Z88" s="2" t="str">
        <f t="shared" si="8"/>
        <v/>
      </c>
      <c r="AA88" s="2" t="str">
        <f t="shared" si="9"/>
        <v/>
      </c>
      <c r="AB88" s="2" t="str">
        <f t="shared" si="10"/>
        <v/>
      </c>
      <c r="AC88" s="2" t="str">
        <f t="shared" si="11"/>
        <v>Walks with direction</v>
      </c>
      <c r="AD88" s="2"/>
      <c r="AE88" s="5"/>
      <c r="AF88" s="2"/>
      <c r="AG88" s="2"/>
      <c r="AH88" s="2"/>
      <c r="AI88" s="2"/>
    </row>
    <row r="89" spans="1:35">
      <c r="A89" s="2"/>
      <c r="B89" s="2"/>
      <c r="C89" s="2"/>
      <c r="D89" s="2"/>
      <c r="E89" s="5"/>
      <c r="F89" s="2"/>
      <c r="G89" s="5"/>
      <c r="H89" s="2"/>
      <c r="I89" s="2"/>
      <c r="J89" s="2"/>
      <c r="K89" s="2"/>
      <c r="L89" s="2"/>
      <c r="M89" s="2"/>
      <c r="N89" s="2"/>
      <c r="O89" s="2"/>
      <c r="P89" s="2"/>
      <c r="Q89" s="2"/>
      <c r="R89" s="2"/>
      <c r="S89" s="2"/>
      <c r="T89" s="2"/>
      <c r="U89" s="2"/>
      <c r="V89" s="2"/>
      <c r="W89" s="2"/>
      <c r="X89" s="2"/>
      <c r="Y89" s="2"/>
      <c r="Z89" s="2" t="str">
        <f t="shared" si="8"/>
        <v/>
      </c>
      <c r="AA89" s="2" t="str">
        <f t="shared" si="9"/>
        <v/>
      </c>
      <c r="AB89" s="2" t="str">
        <f t="shared" si="10"/>
        <v/>
      </c>
      <c r="AC89" s="2" t="str">
        <f t="shared" si="11"/>
        <v>Walks with direction</v>
      </c>
      <c r="AD89" s="2"/>
      <c r="AE89" s="5"/>
      <c r="AF89" s="2"/>
      <c r="AG89" s="2"/>
      <c r="AH89" s="2"/>
      <c r="AI89" s="2"/>
    </row>
    <row r="90" spans="1:35">
      <c r="A90" s="2"/>
      <c r="B90" s="2"/>
      <c r="C90" s="2"/>
      <c r="D90" s="2"/>
      <c r="E90" s="5"/>
      <c r="F90" s="2"/>
      <c r="G90" s="5"/>
      <c r="H90" s="2"/>
      <c r="I90" s="2"/>
      <c r="J90" s="2"/>
      <c r="K90" s="2"/>
      <c r="L90" s="2"/>
      <c r="M90" s="2"/>
      <c r="N90" s="2"/>
      <c r="O90" s="2"/>
      <c r="P90" s="2"/>
      <c r="Q90" s="2"/>
      <c r="R90" s="2"/>
      <c r="S90" s="2"/>
      <c r="T90" s="2"/>
      <c r="U90" s="2"/>
      <c r="V90" s="2"/>
      <c r="W90" s="2"/>
      <c r="X90" s="2"/>
      <c r="Y90" s="2"/>
      <c r="Z90" s="2" t="str">
        <f t="shared" si="8"/>
        <v/>
      </c>
      <c r="AA90" s="2" t="str">
        <f t="shared" si="9"/>
        <v/>
      </c>
      <c r="AB90" s="2" t="str">
        <f t="shared" si="10"/>
        <v/>
      </c>
      <c r="AC90" s="2" t="str">
        <f t="shared" si="11"/>
        <v>Walks with direction</v>
      </c>
      <c r="AD90" s="2"/>
      <c r="AE90" s="5"/>
      <c r="AF90" s="2"/>
      <c r="AG90" s="2"/>
      <c r="AH90" s="2"/>
      <c r="AI90" s="2"/>
    </row>
    <row r="91" spans="1:35">
      <c r="A91" s="2"/>
      <c r="B91" s="2"/>
      <c r="C91" s="2"/>
      <c r="D91" s="2"/>
      <c r="E91" s="5"/>
      <c r="F91" s="2"/>
      <c r="G91" s="5"/>
      <c r="H91" s="2"/>
      <c r="I91" s="2"/>
      <c r="J91" s="2"/>
      <c r="K91" s="2"/>
      <c r="L91" s="2"/>
      <c r="M91" s="2"/>
      <c r="N91" s="2"/>
      <c r="O91" s="2"/>
      <c r="P91" s="2"/>
      <c r="Q91" s="2"/>
      <c r="R91" s="2"/>
      <c r="S91" s="2"/>
      <c r="T91" s="2"/>
      <c r="U91" s="2"/>
      <c r="V91" s="2"/>
      <c r="W91" s="2"/>
      <c r="X91" s="2"/>
      <c r="Y91" s="2"/>
      <c r="Z91" s="2" t="str">
        <f t="shared" si="8"/>
        <v/>
      </c>
      <c r="AA91" s="2" t="str">
        <f t="shared" si="9"/>
        <v/>
      </c>
      <c r="AB91" s="2" t="str">
        <f t="shared" si="10"/>
        <v/>
      </c>
      <c r="AC91" s="2" t="str">
        <f t="shared" si="11"/>
        <v>Walks with direction</v>
      </c>
      <c r="AD91" s="2"/>
      <c r="AE91" s="5"/>
      <c r="AF91" s="2"/>
      <c r="AG91" s="2"/>
      <c r="AH91" s="2"/>
      <c r="AI91" s="2"/>
    </row>
    <row r="92" spans="1:35">
      <c r="A92" s="2"/>
      <c r="B92" s="2"/>
      <c r="C92" s="2"/>
      <c r="D92" s="2"/>
      <c r="E92" s="5"/>
      <c r="F92" s="2"/>
      <c r="G92" s="5"/>
      <c r="H92" s="2"/>
      <c r="I92" s="2"/>
      <c r="J92" s="2"/>
      <c r="K92" s="2"/>
      <c r="L92" s="2"/>
      <c r="M92" s="2"/>
      <c r="N92" s="2"/>
      <c r="O92" s="2"/>
      <c r="P92" s="2"/>
      <c r="Q92" s="2"/>
      <c r="R92" s="2"/>
      <c r="S92" s="2"/>
      <c r="T92" s="2"/>
      <c r="U92" s="2"/>
      <c r="V92" s="2"/>
      <c r="W92" s="2"/>
      <c r="X92" s="2"/>
      <c r="Y92" s="2"/>
      <c r="Z92" s="2" t="str">
        <f t="shared" si="8"/>
        <v/>
      </c>
      <c r="AA92" s="2" t="str">
        <f t="shared" si="9"/>
        <v/>
      </c>
      <c r="AB92" s="2" t="str">
        <f t="shared" si="10"/>
        <v/>
      </c>
      <c r="AC92" s="2" t="str">
        <f t="shared" si="11"/>
        <v>Walks with direction</v>
      </c>
      <c r="AD92" s="2"/>
      <c r="AE92" s="5"/>
      <c r="AF92" s="2"/>
      <c r="AG92" s="2"/>
      <c r="AH92" s="2"/>
      <c r="AI92" s="2"/>
    </row>
    <row r="93" spans="1:35">
      <c r="A93" s="2"/>
      <c r="B93" s="2"/>
      <c r="C93" s="2"/>
      <c r="D93" s="2"/>
      <c r="E93" s="5"/>
      <c r="F93" s="2"/>
      <c r="G93" s="5"/>
      <c r="H93" s="2"/>
      <c r="I93" s="2"/>
      <c r="J93" s="2"/>
      <c r="K93" s="2"/>
      <c r="L93" s="2"/>
      <c r="M93" s="2"/>
      <c r="N93" s="2"/>
      <c r="O93" s="2"/>
      <c r="P93" s="2"/>
      <c r="Q93" s="2"/>
      <c r="R93" s="2"/>
      <c r="S93" s="2"/>
      <c r="T93" s="2"/>
      <c r="U93" s="2"/>
      <c r="V93" s="2"/>
      <c r="W93" s="2"/>
      <c r="X93" s="2"/>
      <c r="Y93" s="2"/>
      <c r="Z93" s="2" t="str">
        <f t="shared" si="8"/>
        <v/>
      </c>
      <c r="AA93" s="2" t="str">
        <f t="shared" si="9"/>
        <v/>
      </c>
      <c r="AB93" s="2" t="str">
        <f t="shared" si="10"/>
        <v/>
      </c>
      <c r="AC93" s="2" t="str">
        <f t="shared" si="11"/>
        <v>Walks with direction</v>
      </c>
      <c r="AD93" s="2"/>
      <c r="AE93" s="5"/>
      <c r="AF93" s="2"/>
      <c r="AG93" s="2"/>
      <c r="AH93" s="2"/>
      <c r="AI93" s="2"/>
    </row>
    <row r="94" spans="1:35">
      <c r="A94" s="2"/>
      <c r="B94" s="2"/>
      <c r="C94" s="2"/>
      <c r="D94" s="2"/>
      <c r="E94" s="5"/>
      <c r="F94" s="2"/>
      <c r="G94" s="5"/>
      <c r="H94" s="2"/>
      <c r="I94" s="2"/>
      <c r="J94" s="2"/>
      <c r="K94" s="2"/>
      <c r="L94" s="2"/>
      <c r="M94" s="2"/>
      <c r="N94" s="2"/>
      <c r="O94" s="2"/>
      <c r="P94" s="2"/>
      <c r="Q94" s="2"/>
      <c r="R94" s="2"/>
      <c r="S94" s="2"/>
      <c r="T94" s="2"/>
      <c r="U94" s="2"/>
      <c r="V94" s="2"/>
      <c r="W94" s="2"/>
      <c r="X94" s="2"/>
      <c r="Y94" s="2"/>
      <c r="Z94" s="2" t="str">
        <f t="shared" si="8"/>
        <v/>
      </c>
      <c r="AA94" s="2" t="str">
        <f t="shared" si="9"/>
        <v/>
      </c>
      <c r="AB94" s="2" t="str">
        <f t="shared" si="10"/>
        <v/>
      </c>
      <c r="AC94" s="2" t="str">
        <f t="shared" si="11"/>
        <v>Walks with direction</v>
      </c>
      <c r="AD94" s="2"/>
      <c r="AE94" s="5"/>
      <c r="AF94" s="2"/>
      <c r="AG94" s="2"/>
      <c r="AH94" s="2"/>
      <c r="AI94" s="2"/>
    </row>
    <row r="95" spans="1:35">
      <c r="A95" s="2"/>
      <c r="B95" s="2"/>
      <c r="C95" s="2"/>
      <c r="D95" s="2"/>
      <c r="E95" s="5"/>
      <c r="F95" s="2"/>
      <c r="G95" s="5"/>
      <c r="H95" s="2"/>
      <c r="I95" s="2"/>
      <c r="J95" s="2"/>
      <c r="K95" s="2"/>
      <c r="L95" s="2"/>
      <c r="M95" s="2"/>
      <c r="N95" s="2"/>
      <c r="O95" s="2"/>
      <c r="P95" s="2"/>
      <c r="Q95" s="2"/>
      <c r="R95" s="2"/>
      <c r="S95" s="2"/>
      <c r="T95" s="2"/>
      <c r="U95" s="2"/>
      <c r="V95" s="2"/>
      <c r="W95" s="2"/>
      <c r="X95" s="2"/>
      <c r="Y95" s="2"/>
      <c r="Z95" s="2" t="str">
        <f t="shared" si="8"/>
        <v/>
      </c>
      <c r="AA95" s="2" t="str">
        <f t="shared" si="9"/>
        <v/>
      </c>
      <c r="AB95" s="2" t="str">
        <f t="shared" si="10"/>
        <v/>
      </c>
      <c r="AC95" s="2" t="str">
        <f t="shared" si="11"/>
        <v>Walks with direction</v>
      </c>
      <c r="AD95" s="2"/>
      <c r="AE95" s="5"/>
      <c r="AF95" s="2"/>
      <c r="AG95" s="2"/>
      <c r="AH95" s="2"/>
      <c r="AI95" s="2"/>
    </row>
    <row r="96" spans="1:35">
      <c r="A96" s="2"/>
      <c r="B96" s="2"/>
      <c r="C96" s="2"/>
      <c r="D96" s="2"/>
      <c r="E96" s="5"/>
      <c r="F96" s="2"/>
      <c r="G96" s="5"/>
      <c r="H96" s="2"/>
      <c r="I96" s="2"/>
      <c r="J96" s="2"/>
      <c r="K96" s="2"/>
      <c r="L96" s="2"/>
      <c r="M96" s="2"/>
      <c r="N96" s="2"/>
      <c r="O96" s="2"/>
      <c r="P96" s="2"/>
      <c r="Q96" s="2"/>
      <c r="R96" s="2"/>
      <c r="S96" s="2"/>
      <c r="T96" s="2"/>
      <c r="U96" s="2"/>
      <c r="V96" s="2"/>
      <c r="W96" s="2"/>
      <c r="X96" s="2"/>
      <c r="Y96" s="2"/>
      <c r="Z96" s="2" t="str">
        <f t="shared" si="8"/>
        <v/>
      </c>
      <c r="AA96" s="2" t="str">
        <f t="shared" si="9"/>
        <v/>
      </c>
      <c r="AB96" s="2" t="str">
        <f t="shared" si="10"/>
        <v/>
      </c>
      <c r="AC96" s="2" t="str">
        <f t="shared" si="11"/>
        <v>Walks with direction</v>
      </c>
      <c r="AD96" s="2"/>
      <c r="AE96" s="5"/>
      <c r="AF96" s="2"/>
      <c r="AG96" s="2"/>
      <c r="AH96" s="2"/>
      <c r="AI96" s="2"/>
    </row>
    <row r="97" spans="1:35">
      <c r="A97" s="2"/>
      <c r="B97" s="2"/>
      <c r="C97" s="2"/>
      <c r="D97" s="2"/>
      <c r="E97" s="5"/>
      <c r="F97" s="2"/>
      <c r="G97" s="5"/>
      <c r="H97" s="2"/>
      <c r="I97" s="2"/>
      <c r="J97" s="2"/>
      <c r="K97" s="2"/>
      <c r="L97" s="2"/>
      <c r="M97" s="2"/>
      <c r="N97" s="2"/>
      <c r="O97" s="2"/>
      <c r="P97" s="2"/>
      <c r="Q97" s="2"/>
      <c r="R97" s="2"/>
      <c r="S97" s="2"/>
      <c r="T97" s="2"/>
      <c r="U97" s="2"/>
      <c r="V97" s="2"/>
      <c r="W97" s="2"/>
      <c r="X97" s="2"/>
      <c r="Y97" s="2"/>
      <c r="Z97" s="2" t="str">
        <f t="shared" si="8"/>
        <v/>
      </c>
      <c r="AA97" s="2" t="str">
        <f t="shared" si="9"/>
        <v/>
      </c>
      <c r="AB97" s="2" t="str">
        <f t="shared" si="10"/>
        <v/>
      </c>
      <c r="AC97" s="2" t="str">
        <f t="shared" si="11"/>
        <v>Walks with direction</v>
      </c>
      <c r="AD97" s="2"/>
      <c r="AE97" s="5"/>
      <c r="AF97" s="2"/>
      <c r="AG97" s="2"/>
      <c r="AH97" s="2"/>
      <c r="AI97" s="2"/>
    </row>
    <row r="98" spans="1:35">
      <c r="A98" s="2"/>
      <c r="B98" s="2"/>
      <c r="C98" s="2"/>
      <c r="D98" s="2"/>
      <c r="E98" s="5"/>
      <c r="F98" s="2"/>
      <c r="G98" s="5"/>
      <c r="H98" s="2"/>
      <c r="I98" s="2"/>
      <c r="J98" s="2"/>
      <c r="K98" s="2"/>
      <c r="L98" s="2"/>
      <c r="M98" s="2"/>
      <c r="N98" s="2"/>
      <c r="O98" s="2"/>
      <c r="P98" s="2"/>
      <c r="Q98" s="2"/>
      <c r="R98" s="2"/>
      <c r="S98" s="2"/>
      <c r="T98" s="2"/>
      <c r="U98" s="2"/>
      <c r="V98" s="2"/>
      <c r="W98" s="2"/>
      <c r="X98" s="2"/>
      <c r="Y98" s="2"/>
      <c r="Z98" s="2" t="str">
        <f t="shared" si="8"/>
        <v/>
      </c>
      <c r="AA98" s="2" t="str">
        <f t="shared" si="9"/>
        <v/>
      </c>
      <c r="AB98" s="2" t="str">
        <f t="shared" si="10"/>
        <v/>
      </c>
      <c r="AC98" s="2" t="str">
        <f t="shared" si="11"/>
        <v>Walks with direction</v>
      </c>
      <c r="AD98" s="2"/>
      <c r="AE98" s="5"/>
      <c r="AF98" s="2"/>
      <c r="AG98" s="2"/>
      <c r="AH98" s="2"/>
      <c r="AI98" s="2"/>
    </row>
    <row r="99" spans="1:35">
      <c r="A99" s="2"/>
      <c r="B99" s="2"/>
      <c r="C99" s="2"/>
      <c r="D99" s="2"/>
      <c r="E99" s="5"/>
      <c r="F99" s="2"/>
      <c r="G99" s="5"/>
      <c r="H99" s="2"/>
      <c r="I99" s="2"/>
      <c r="J99" s="2"/>
      <c r="K99" s="2"/>
      <c r="L99" s="2"/>
      <c r="M99" s="2"/>
      <c r="N99" s="2"/>
      <c r="O99" s="2"/>
      <c r="P99" s="2"/>
      <c r="Q99" s="2"/>
      <c r="R99" s="2"/>
      <c r="S99" s="2"/>
      <c r="T99" s="2"/>
      <c r="U99" s="2"/>
      <c r="V99" s="2"/>
      <c r="W99" s="2"/>
      <c r="X99" s="2"/>
      <c r="Y99" s="2"/>
      <c r="Z99" s="2" t="str">
        <f t="shared" si="8"/>
        <v/>
      </c>
      <c r="AA99" s="2" t="str">
        <f t="shared" si="9"/>
        <v/>
      </c>
      <c r="AB99" s="2" t="str">
        <f t="shared" si="10"/>
        <v/>
      </c>
      <c r="AC99" s="2" t="str">
        <f t="shared" si="11"/>
        <v>Walks with direction</v>
      </c>
      <c r="AD99" s="2"/>
      <c r="AE99" s="5"/>
      <c r="AF99" s="2"/>
      <c r="AG99" s="2"/>
      <c r="AH99" s="2"/>
      <c r="AI99" s="2"/>
    </row>
    <row r="100" spans="1:35">
      <c r="A100" s="2"/>
      <c r="B100" s="2"/>
      <c r="C100" s="2"/>
      <c r="D100" s="2"/>
      <c r="E100" s="5"/>
      <c r="F100" s="2"/>
      <c r="G100" s="5"/>
      <c r="H100" s="2"/>
      <c r="I100" s="2"/>
      <c r="J100" s="2"/>
      <c r="K100" s="2"/>
      <c r="L100" s="2"/>
      <c r="M100" s="2"/>
      <c r="N100" s="2"/>
      <c r="O100" s="2"/>
      <c r="P100" s="2"/>
      <c r="Q100" s="2"/>
      <c r="R100" s="2"/>
      <c r="S100" s="2"/>
      <c r="T100" s="2"/>
      <c r="U100" s="2"/>
      <c r="V100" s="2"/>
      <c r="W100" s="2"/>
      <c r="X100" s="2"/>
      <c r="Y100" s="2"/>
      <c r="Z100" s="2" t="str">
        <f t="shared" si="8"/>
        <v/>
      </c>
      <c r="AA100" s="2" t="str">
        <f t="shared" si="9"/>
        <v/>
      </c>
      <c r="AB100" s="2" t="str">
        <f t="shared" si="10"/>
        <v/>
      </c>
      <c r="AC100" s="2" t="str">
        <f t="shared" si="11"/>
        <v>Walks with direction</v>
      </c>
      <c r="AD100" s="2"/>
      <c r="AE100" s="5"/>
      <c r="AF100" s="2"/>
      <c r="AG100" s="2"/>
      <c r="AH100" s="2"/>
      <c r="AI100" s="2"/>
    </row>
    <row r="101" spans="1:35">
      <c r="A101" s="2"/>
      <c r="B101" s="2"/>
      <c r="C101" s="2"/>
      <c r="D101" s="2"/>
      <c r="E101" s="5"/>
      <c r="F101" s="2"/>
      <c r="G101" s="5"/>
      <c r="H101" s="2"/>
      <c r="I101" s="2"/>
      <c r="J101" s="2"/>
      <c r="K101" s="2"/>
      <c r="L101" s="2"/>
      <c r="M101" s="2"/>
      <c r="N101" s="2"/>
      <c r="O101" s="2"/>
      <c r="P101" s="2"/>
      <c r="Q101" s="2"/>
      <c r="R101" s="2"/>
      <c r="S101" s="2"/>
      <c r="T101" s="2"/>
      <c r="U101" s="2"/>
      <c r="V101" s="2"/>
      <c r="W101" s="2"/>
      <c r="X101" s="2"/>
      <c r="Y101" s="2"/>
      <c r="Z101" s="2" t="str">
        <f t="shared" si="8"/>
        <v/>
      </c>
      <c r="AA101" s="2" t="str">
        <f t="shared" si="9"/>
        <v/>
      </c>
      <c r="AB101" s="2" t="str">
        <f t="shared" si="10"/>
        <v/>
      </c>
      <c r="AC101" s="2" t="str">
        <f t="shared" si="11"/>
        <v>Walks with direction</v>
      </c>
      <c r="AD101" s="2"/>
      <c r="AE101" s="5"/>
      <c r="AF101" s="2"/>
      <c r="AG101" s="2"/>
      <c r="AH101" s="2"/>
      <c r="AI101" s="2"/>
    </row>
    <row r="102" spans="1:35">
      <c r="A102" s="2"/>
      <c r="B102" s="2"/>
      <c r="C102" s="2"/>
      <c r="D102" s="2"/>
      <c r="E102" s="5"/>
      <c r="F102" s="2"/>
      <c r="G102" s="5"/>
      <c r="H102" s="2"/>
      <c r="I102" s="2"/>
      <c r="J102" s="2"/>
      <c r="K102" s="2"/>
      <c r="L102" s="2"/>
      <c r="M102" s="2"/>
      <c r="N102" s="2"/>
      <c r="O102" s="2"/>
      <c r="P102" s="2"/>
      <c r="Q102" s="2"/>
      <c r="R102" s="2"/>
      <c r="S102" s="2"/>
      <c r="T102" s="2"/>
      <c r="U102" s="2"/>
      <c r="V102" s="2"/>
      <c r="W102" s="2"/>
      <c r="X102" s="2"/>
      <c r="Y102" s="2"/>
      <c r="Z102" s="2" t="str">
        <f t="shared" si="8"/>
        <v/>
      </c>
      <c r="AA102" s="2" t="str">
        <f t="shared" si="9"/>
        <v/>
      </c>
      <c r="AB102" s="2" t="str">
        <f t="shared" si="10"/>
        <v/>
      </c>
      <c r="AC102" s="2" t="str">
        <f t="shared" si="11"/>
        <v>Walks with direction</v>
      </c>
      <c r="AD102" s="2"/>
      <c r="AE102" s="5"/>
      <c r="AF102" s="2"/>
      <c r="AG102" s="2"/>
      <c r="AH102" s="2"/>
      <c r="AI102" s="2"/>
    </row>
    <row r="103" spans="1:35">
      <c r="A103" s="2"/>
      <c r="B103" s="2"/>
      <c r="C103" s="2"/>
      <c r="D103" s="2"/>
      <c r="E103" s="5"/>
      <c r="F103" s="2"/>
      <c r="G103" s="5"/>
      <c r="H103" s="2"/>
      <c r="I103" s="2"/>
      <c r="J103" s="2"/>
      <c r="K103" s="2"/>
      <c r="L103" s="2"/>
      <c r="M103" s="2"/>
      <c r="N103" s="2"/>
      <c r="O103" s="2"/>
      <c r="P103" s="2"/>
      <c r="Q103" s="2"/>
      <c r="R103" s="2"/>
      <c r="S103" s="2"/>
      <c r="T103" s="2"/>
      <c r="U103" s="2"/>
      <c r="V103" s="2"/>
      <c r="W103" s="2"/>
      <c r="X103" s="2"/>
      <c r="Y103" s="2"/>
      <c r="Z103" s="2" t="str">
        <f t="shared" si="8"/>
        <v/>
      </c>
      <c r="AA103" s="2" t="str">
        <f t="shared" si="9"/>
        <v/>
      </c>
      <c r="AB103" s="2" t="str">
        <f t="shared" si="10"/>
        <v/>
      </c>
      <c r="AC103" s="2" t="str">
        <f t="shared" si="11"/>
        <v>Walks with direction</v>
      </c>
      <c r="AD103" s="2"/>
      <c r="AE103" s="5"/>
      <c r="AF103" s="2"/>
      <c r="AG103" s="2"/>
      <c r="AH103" s="2"/>
      <c r="AI103" s="2"/>
    </row>
    <row r="104" spans="1:35">
      <c r="A104" s="2"/>
      <c r="B104" s="2"/>
      <c r="C104" s="2"/>
      <c r="D104" s="2"/>
      <c r="E104" s="5"/>
      <c r="F104" s="2"/>
      <c r="G104" s="5"/>
      <c r="H104" s="2"/>
      <c r="I104" s="2"/>
      <c r="J104" s="2"/>
      <c r="K104" s="2"/>
      <c r="L104" s="2"/>
      <c r="M104" s="2"/>
      <c r="N104" s="2"/>
      <c r="O104" s="2"/>
      <c r="P104" s="2"/>
      <c r="Q104" s="2"/>
      <c r="R104" s="2"/>
      <c r="S104" s="2"/>
      <c r="T104" s="2"/>
      <c r="U104" s="2"/>
      <c r="V104" s="2"/>
      <c r="W104" s="2"/>
      <c r="X104" s="2"/>
      <c r="Y104" s="2"/>
      <c r="Z104" s="2" t="str">
        <f t="shared" si="8"/>
        <v/>
      </c>
      <c r="AA104" s="2" t="str">
        <f t="shared" si="9"/>
        <v/>
      </c>
      <c r="AB104" s="2" t="str">
        <f t="shared" si="10"/>
        <v/>
      </c>
      <c r="AC104" s="2" t="str">
        <f t="shared" si="11"/>
        <v>Walks with direction</v>
      </c>
      <c r="AD104" s="2"/>
      <c r="AE104" s="5"/>
      <c r="AF104" s="2"/>
      <c r="AG104" s="2"/>
      <c r="AH104" s="2"/>
      <c r="AI104" s="2"/>
    </row>
    <row r="105" spans="1:35">
      <c r="A105" s="2"/>
      <c r="B105" s="2"/>
      <c r="C105" s="2"/>
      <c r="D105" s="2"/>
      <c r="E105" s="5"/>
      <c r="F105" s="2"/>
      <c r="G105" s="5"/>
      <c r="H105" s="2"/>
      <c r="I105" s="2"/>
      <c r="J105" s="2"/>
      <c r="K105" s="2"/>
      <c r="L105" s="2"/>
      <c r="M105" s="2"/>
      <c r="N105" s="2"/>
      <c r="O105" s="2"/>
      <c r="P105" s="2"/>
      <c r="Q105" s="2"/>
      <c r="R105" s="2"/>
      <c r="S105" s="2"/>
      <c r="T105" s="2"/>
      <c r="U105" s="2"/>
      <c r="V105" s="2"/>
      <c r="W105" s="2"/>
      <c r="X105" s="2"/>
      <c r="Y105" s="2"/>
      <c r="Z105" s="2" t="str">
        <f t="shared" si="8"/>
        <v/>
      </c>
      <c r="AA105" s="2" t="str">
        <f t="shared" si="9"/>
        <v/>
      </c>
      <c r="AB105" s="2" t="str">
        <f t="shared" si="10"/>
        <v/>
      </c>
      <c r="AC105" s="2" t="str">
        <f t="shared" si="11"/>
        <v>Walks with direction</v>
      </c>
      <c r="AD105" s="2"/>
      <c r="AE105" s="5"/>
      <c r="AF105" s="2"/>
      <c r="AG105" s="2"/>
      <c r="AH105" s="2"/>
      <c r="AI105" s="2"/>
    </row>
    <row r="106" spans="1:35">
      <c r="A106" s="2"/>
      <c r="B106" s="2"/>
      <c r="C106" s="2"/>
      <c r="D106" s="2"/>
      <c r="E106" s="5"/>
      <c r="F106" s="2"/>
      <c r="G106" s="5"/>
      <c r="H106" s="2"/>
      <c r="I106" s="2"/>
      <c r="J106" s="2"/>
      <c r="K106" s="2"/>
      <c r="L106" s="2"/>
      <c r="M106" s="2"/>
      <c r="N106" s="2"/>
      <c r="O106" s="2"/>
      <c r="P106" s="2"/>
      <c r="Q106" s="2"/>
      <c r="R106" s="2"/>
      <c r="S106" s="2"/>
      <c r="T106" s="2"/>
      <c r="U106" s="2"/>
      <c r="V106" s="2"/>
      <c r="W106" s="2"/>
      <c r="X106" s="2"/>
      <c r="Y106" s="2"/>
      <c r="Z106" s="2" t="str">
        <f t="shared" si="8"/>
        <v/>
      </c>
      <c r="AA106" s="2" t="str">
        <f t="shared" si="9"/>
        <v/>
      </c>
      <c r="AB106" s="2" t="str">
        <f t="shared" si="10"/>
        <v/>
      </c>
      <c r="AC106" s="2" t="str">
        <f t="shared" si="11"/>
        <v>Walks with direction</v>
      </c>
      <c r="AD106" s="2"/>
      <c r="AE106" s="5"/>
      <c r="AF106" s="2"/>
      <c r="AG106" s="2"/>
      <c r="AH106" s="2"/>
      <c r="AI106" s="2"/>
    </row>
    <row r="107" spans="1:35">
      <c r="A107" s="2"/>
      <c r="B107" s="2"/>
      <c r="C107" s="2"/>
      <c r="D107" s="2"/>
      <c r="E107" s="5"/>
      <c r="F107" s="2"/>
      <c r="G107" s="5"/>
      <c r="H107" s="2"/>
      <c r="I107" s="2"/>
      <c r="J107" s="2"/>
      <c r="K107" s="2"/>
      <c r="L107" s="2"/>
      <c r="M107" s="2"/>
      <c r="N107" s="2"/>
      <c r="O107" s="2"/>
      <c r="P107" s="2"/>
      <c r="Q107" s="2"/>
      <c r="R107" s="2"/>
      <c r="S107" s="2"/>
      <c r="T107" s="2"/>
      <c r="U107" s="2"/>
      <c r="V107" s="2"/>
      <c r="W107" s="2"/>
      <c r="X107" s="2"/>
      <c r="Y107" s="2"/>
      <c r="Z107" s="2" t="str">
        <f t="shared" si="8"/>
        <v/>
      </c>
      <c r="AA107" s="2" t="str">
        <f t="shared" si="9"/>
        <v/>
      </c>
      <c r="AB107" s="2" t="str">
        <f t="shared" si="10"/>
        <v/>
      </c>
      <c r="AC107" s="2" t="str">
        <f t="shared" si="11"/>
        <v>Walks with direction</v>
      </c>
      <c r="AD107" s="2"/>
      <c r="AE107" s="5"/>
      <c r="AF107" s="2"/>
      <c r="AG107" s="2"/>
      <c r="AH107" s="2"/>
      <c r="AI107" s="2"/>
    </row>
    <row r="108" spans="1:35">
      <c r="A108" s="2"/>
      <c r="B108" s="2"/>
      <c r="C108" s="2"/>
      <c r="D108" s="2"/>
      <c r="E108" s="5"/>
      <c r="F108" s="2"/>
      <c r="G108" s="5"/>
      <c r="H108" s="2"/>
      <c r="I108" s="2"/>
      <c r="J108" s="2"/>
      <c r="K108" s="2"/>
      <c r="L108" s="2"/>
      <c r="M108" s="2"/>
      <c r="N108" s="2"/>
      <c r="O108" s="2"/>
      <c r="P108" s="2"/>
      <c r="Q108" s="2"/>
      <c r="R108" s="2"/>
      <c r="S108" s="2"/>
      <c r="T108" s="2"/>
      <c r="U108" s="2"/>
      <c r="V108" s="2"/>
      <c r="W108" s="2"/>
      <c r="X108" s="2"/>
      <c r="Y108" s="2"/>
      <c r="Z108" s="2" t="str">
        <f t="shared" si="8"/>
        <v/>
      </c>
      <c r="AA108" s="2" t="str">
        <f t="shared" si="9"/>
        <v/>
      </c>
      <c r="AB108" s="2" t="str">
        <f t="shared" si="10"/>
        <v/>
      </c>
      <c r="AC108" s="2" t="str">
        <f t="shared" si="11"/>
        <v>Walks with direction</v>
      </c>
      <c r="AD108" s="2"/>
      <c r="AE108" s="5"/>
      <c r="AF108" s="2"/>
      <c r="AG108" s="2"/>
      <c r="AH108" s="2"/>
      <c r="AI108" s="2"/>
    </row>
    <row r="109" spans="1:35">
      <c r="A109" s="2"/>
      <c r="B109" s="2"/>
      <c r="C109" s="2"/>
      <c r="D109" s="2"/>
      <c r="E109" s="5"/>
      <c r="F109" s="2"/>
      <c r="G109" s="5"/>
      <c r="H109" s="2"/>
      <c r="I109" s="2"/>
      <c r="J109" s="2"/>
      <c r="K109" s="2"/>
      <c r="L109" s="2"/>
      <c r="M109" s="2"/>
      <c r="N109" s="2"/>
      <c r="O109" s="2"/>
      <c r="P109" s="2"/>
      <c r="Q109" s="2"/>
      <c r="R109" s="2"/>
      <c r="S109" s="2"/>
      <c r="T109" s="2"/>
      <c r="U109" s="2"/>
      <c r="V109" s="2"/>
      <c r="W109" s="2"/>
      <c r="X109" s="2"/>
      <c r="Y109" s="2"/>
      <c r="Z109" s="2" t="str">
        <f t="shared" si="8"/>
        <v/>
      </c>
      <c r="AA109" s="2" t="str">
        <f t="shared" si="9"/>
        <v/>
      </c>
      <c r="AB109" s="2" t="str">
        <f t="shared" si="10"/>
        <v/>
      </c>
      <c r="AC109" s="2" t="str">
        <f t="shared" si="11"/>
        <v>Walks with direction</v>
      </c>
      <c r="AD109" s="2"/>
      <c r="AE109" s="5"/>
      <c r="AF109" s="2"/>
      <c r="AG109" s="2"/>
      <c r="AH109" s="2"/>
      <c r="AI109" s="2"/>
    </row>
    <row r="110" spans="1:35">
      <c r="A110" s="2"/>
      <c r="B110" s="2"/>
      <c r="C110" s="2"/>
      <c r="D110" s="2"/>
      <c r="E110" s="5"/>
      <c r="F110" s="2"/>
      <c r="G110" s="5"/>
      <c r="H110" s="2"/>
      <c r="I110" s="2"/>
      <c r="J110" s="2"/>
      <c r="K110" s="2"/>
      <c r="L110" s="2"/>
      <c r="M110" s="2"/>
      <c r="N110" s="2"/>
      <c r="O110" s="2"/>
      <c r="P110" s="2"/>
      <c r="Q110" s="2"/>
      <c r="R110" s="2"/>
      <c r="S110" s="2"/>
      <c r="T110" s="2"/>
      <c r="U110" s="2"/>
      <c r="V110" s="2"/>
      <c r="W110" s="2"/>
      <c r="X110" s="2"/>
      <c r="Y110" s="2"/>
      <c r="Z110" s="2" t="str">
        <f t="shared" si="8"/>
        <v/>
      </c>
      <c r="AA110" s="2" t="str">
        <f t="shared" si="9"/>
        <v/>
      </c>
      <c r="AB110" s="2" t="str">
        <f t="shared" si="10"/>
        <v/>
      </c>
      <c r="AC110" s="2" t="str">
        <f t="shared" si="11"/>
        <v>Walks with direction</v>
      </c>
      <c r="AD110" s="2"/>
      <c r="AE110" s="5"/>
      <c r="AF110" s="2"/>
      <c r="AG110" s="2"/>
      <c r="AH110" s="2"/>
      <c r="AI110" s="2"/>
    </row>
    <row r="111" spans="1:35">
      <c r="A111" s="2"/>
      <c r="B111" s="2"/>
      <c r="C111" s="2"/>
      <c r="D111" s="2"/>
      <c r="E111" s="5"/>
      <c r="F111" s="2"/>
      <c r="G111" s="5"/>
      <c r="H111" s="2"/>
      <c r="I111" s="2"/>
      <c r="J111" s="2"/>
      <c r="K111" s="2"/>
      <c r="L111" s="2"/>
      <c r="M111" s="2"/>
      <c r="N111" s="2"/>
      <c r="O111" s="2"/>
      <c r="P111" s="2"/>
      <c r="Q111" s="2"/>
      <c r="R111" s="2"/>
      <c r="S111" s="2"/>
      <c r="T111" s="2"/>
      <c r="U111" s="2"/>
      <c r="V111" s="2"/>
      <c r="W111" s="2"/>
      <c r="X111" s="2"/>
      <c r="Y111" s="2"/>
      <c r="Z111" s="2" t="str">
        <f t="shared" si="8"/>
        <v/>
      </c>
      <c r="AA111" s="2" t="str">
        <f t="shared" si="9"/>
        <v/>
      </c>
      <c r="AB111" s="2" t="str">
        <f t="shared" si="10"/>
        <v/>
      </c>
      <c r="AC111" s="2" t="str">
        <f t="shared" si="11"/>
        <v>Walks with direction</v>
      </c>
      <c r="AD111" s="2"/>
      <c r="AE111" s="5"/>
      <c r="AF111" s="2"/>
      <c r="AG111" s="2"/>
      <c r="AH111" s="2"/>
      <c r="AI111" s="2"/>
    </row>
    <row r="112" spans="1:35">
      <c r="A112" s="2"/>
      <c r="B112" s="2"/>
      <c r="C112" s="2"/>
      <c r="D112" s="2"/>
      <c r="E112" s="5"/>
      <c r="F112" s="2"/>
      <c r="G112" s="5"/>
      <c r="H112" s="2"/>
      <c r="I112" s="2"/>
      <c r="J112" s="2"/>
      <c r="K112" s="2"/>
      <c r="L112" s="2"/>
      <c r="M112" s="2"/>
      <c r="N112" s="2"/>
      <c r="O112" s="2"/>
      <c r="P112" s="2"/>
      <c r="Q112" s="2"/>
      <c r="R112" s="2"/>
      <c r="S112" s="2"/>
      <c r="T112" s="2"/>
      <c r="U112" s="2"/>
      <c r="V112" s="2"/>
      <c r="W112" s="2"/>
      <c r="X112" s="2"/>
      <c r="Y112" s="2"/>
      <c r="Z112" s="2" t="str">
        <f t="shared" si="8"/>
        <v/>
      </c>
      <c r="AA112" s="2" t="str">
        <f t="shared" si="9"/>
        <v/>
      </c>
      <c r="AB112" s="2" t="str">
        <f t="shared" si="10"/>
        <v/>
      </c>
      <c r="AC112" s="2" t="str">
        <f t="shared" si="11"/>
        <v>Walks with direction</v>
      </c>
      <c r="AD112" s="2"/>
      <c r="AE112" s="5"/>
      <c r="AF112" s="2"/>
      <c r="AG112" s="2"/>
      <c r="AH112" s="2"/>
      <c r="AI112" s="2"/>
    </row>
    <row r="113" spans="1:35">
      <c r="A113" s="2"/>
      <c r="B113" s="2"/>
      <c r="C113" s="2"/>
      <c r="D113" s="2"/>
      <c r="E113" s="5"/>
      <c r="F113" s="2"/>
      <c r="G113" s="5"/>
      <c r="H113" s="2"/>
      <c r="I113" s="2"/>
      <c r="J113" s="2"/>
      <c r="K113" s="2"/>
      <c r="L113" s="2"/>
      <c r="M113" s="2"/>
      <c r="N113" s="2"/>
      <c r="O113" s="2"/>
      <c r="P113" s="2"/>
      <c r="Q113" s="2"/>
      <c r="R113" s="2"/>
      <c r="S113" s="2"/>
      <c r="T113" s="2"/>
      <c r="U113" s="2"/>
      <c r="V113" s="2"/>
      <c r="W113" s="2"/>
      <c r="X113" s="2"/>
      <c r="Y113" s="2"/>
      <c r="Z113" s="2" t="str">
        <f t="shared" si="8"/>
        <v/>
      </c>
      <c r="AA113" s="2" t="str">
        <f t="shared" si="9"/>
        <v/>
      </c>
      <c r="AB113" s="2" t="str">
        <f t="shared" si="10"/>
        <v/>
      </c>
      <c r="AC113" s="2" t="str">
        <f t="shared" si="11"/>
        <v>Walks with direction</v>
      </c>
      <c r="AD113" s="2"/>
      <c r="AE113" s="5"/>
      <c r="AF113" s="2"/>
      <c r="AG113" s="2"/>
      <c r="AH113" s="2"/>
      <c r="AI113" s="2"/>
    </row>
    <row r="114" spans="1:35">
      <c r="A114" s="2"/>
      <c r="B114" s="2"/>
      <c r="C114" s="2"/>
      <c r="D114" s="2"/>
      <c r="E114" s="5"/>
      <c r="F114" s="2"/>
      <c r="G114" s="5"/>
      <c r="H114" s="2"/>
      <c r="I114" s="2"/>
      <c r="J114" s="2"/>
      <c r="K114" s="2"/>
      <c r="L114" s="2"/>
      <c r="M114" s="2"/>
      <c r="N114" s="2"/>
      <c r="O114" s="2"/>
      <c r="P114" s="2"/>
      <c r="Q114" s="2"/>
      <c r="R114" s="2"/>
      <c r="S114" s="2"/>
      <c r="T114" s="2"/>
      <c r="U114" s="2"/>
      <c r="V114" s="2"/>
      <c r="W114" s="2"/>
      <c r="X114" s="2"/>
      <c r="Y114" s="2"/>
      <c r="Z114" s="2" t="str">
        <f t="shared" ref="Z114:Z145" si="12">IF(COUNTA(H114:Y114)=0,"",IF(COUNTIF(H114:Y114,"Very High")&gt;0,"Very High",IF(COUNTIF(H114:Y114,"High")&gt;0,"High",IF(COUNTIF(H114:Y114,"Medium")&gt;0,"Medium","Low"))))</f>
        <v/>
      </c>
      <c r="AA114" s="2" t="str">
        <f t="shared" ref="AA114:AA145" si="13">IF(Z114="","",IF(Z114="Low","Routine planned support",IF(Z114="Medium","One staff support/supervision likely",IF(Z114="High","Two staff/review staffing and equipment","Manager review: multiple staff/specialist support"))))</f>
        <v/>
      </c>
      <c r="AB114" s="2" t="str">
        <f t="shared" si="10"/>
        <v/>
      </c>
      <c r="AC114" s="2" t="str">
        <f t="shared" si="11"/>
        <v>Walks with direction</v>
      </c>
      <c r="AD114" s="2"/>
      <c r="AE114" s="5"/>
      <c r="AF114" s="2"/>
      <c r="AG114" s="2"/>
      <c r="AH114" s="2"/>
      <c r="AI114" s="2"/>
    </row>
    <row r="115" spans="1:35">
      <c r="A115" s="2"/>
      <c r="B115" s="2"/>
      <c r="C115" s="2"/>
      <c r="D115" s="2"/>
      <c r="E115" s="5"/>
      <c r="F115" s="2"/>
      <c r="G115" s="5"/>
      <c r="H115" s="2"/>
      <c r="I115" s="2"/>
      <c r="J115" s="2"/>
      <c r="K115" s="2"/>
      <c r="L115" s="2"/>
      <c r="M115" s="2"/>
      <c r="N115" s="2"/>
      <c r="O115" s="2"/>
      <c r="P115" s="2"/>
      <c r="Q115" s="2"/>
      <c r="R115" s="2"/>
      <c r="S115" s="2"/>
      <c r="T115" s="2"/>
      <c r="U115" s="2"/>
      <c r="V115" s="2"/>
      <c r="W115" s="2"/>
      <c r="X115" s="2"/>
      <c r="Y115" s="2"/>
      <c r="Z115" s="2" t="str">
        <f t="shared" si="12"/>
        <v/>
      </c>
      <c r="AA115" s="2" t="str">
        <f t="shared" si="13"/>
        <v/>
      </c>
      <c r="AB115" s="2" t="str">
        <f t="shared" si="10"/>
        <v/>
      </c>
      <c r="AC115" s="2" t="str">
        <f t="shared" si="11"/>
        <v>Walks with direction</v>
      </c>
      <c r="AD115" s="2"/>
      <c r="AE115" s="5"/>
      <c r="AF115" s="2"/>
      <c r="AG115" s="2"/>
      <c r="AH115" s="2"/>
      <c r="AI115" s="2"/>
    </row>
    <row r="116" spans="1:35">
      <c r="A116" s="2"/>
      <c r="B116" s="2"/>
      <c r="C116" s="2"/>
      <c r="D116" s="2"/>
      <c r="E116" s="5"/>
      <c r="F116" s="2"/>
      <c r="G116" s="5"/>
      <c r="H116" s="2"/>
      <c r="I116" s="2"/>
      <c r="J116" s="2"/>
      <c r="K116" s="2"/>
      <c r="L116" s="2"/>
      <c r="M116" s="2"/>
      <c r="N116" s="2"/>
      <c r="O116" s="2"/>
      <c r="P116" s="2"/>
      <c r="Q116" s="2"/>
      <c r="R116" s="2"/>
      <c r="S116" s="2"/>
      <c r="T116" s="2"/>
      <c r="U116" s="2"/>
      <c r="V116" s="2"/>
      <c r="W116" s="2"/>
      <c r="X116" s="2"/>
      <c r="Y116" s="2"/>
      <c r="Z116" s="2" t="str">
        <f t="shared" si="12"/>
        <v/>
      </c>
      <c r="AA116" s="2" t="str">
        <f t="shared" si="13"/>
        <v/>
      </c>
      <c r="AB116" s="2" t="str">
        <f t="shared" si="10"/>
        <v/>
      </c>
      <c r="AC116" s="2" t="str">
        <f t="shared" si="11"/>
        <v>Walks with direction</v>
      </c>
      <c r="AD116" s="2"/>
      <c r="AE116" s="5"/>
      <c r="AF116" s="2"/>
      <c r="AG116" s="2"/>
      <c r="AH116" s="2"/>
      <c r="AI116" s="2"/>
    </row>
    <row r="117" spans="1:35">
      <c r="A117" s="2"/>
      <c r="B117" s="2"/>
      <c r="C117" s="2"/>
      <c r="D117" s="2"/>
      <c r="E117" s="5"/>
      <c r="F117" s="2"/>
      <c r="G117" s="5"/>
      <c r="H117" s="2"/>
      <c r="I117" s="2"/>
      <c r="J117" s="2"/>
      <c r="K117" s="2"/>
      <c r="L117" s="2"/>
      <c r="M117" s="2"/>
      <c r="N117" s="2"/>
      <c r="O117" s="2"/>
      <c r="P117" s="2"/>
      <c r="Q117" s="2"/>
      <c r="R117" s="2"/>
      <c r="S117" s="2"/>
      <c r="T117" s="2"/>
      <c r="U117" s="2"/>
      <c r="V117" s="2"/>
      <c r="W117" s="2"/>
      <c r="X117" s="2"/>
      <c r="Y117" s="2"/>
      <c r="Z117" s="2" t="str">
        <f t="shared" si="12"/>
        <v/>
      </c>
      <c r="AA117" s="2" t="str">
        <f t="shared" si="13"/>
        <v/>
      </c>
      <c r="AB117" s="2" t="str">
        <f t="shared" si="10"/>
        <v/>
      </c>
      <c r="AC117" s="2" t="str">
        <f t="shared" si="11"/>
        <v>Walks with direction</v>
      </c>
      <c r="AD117" s="2"/>
      <c r="AE117" s="5"/>
      <c r="AF117" s="2"/>
      <c r="AG117" s="2"/>
      <c r="AH117" s="2"/>
      <c r="AI117" s="2"/>
    </row>
    <row r="122" spans="1:35">
      <c r="A122" s="9" t="s">
        <v>153</v>
      </c>
      <c r="B122" s="7"/>
      <c r="C122" s="7"/>
      <c r="D122" s="7"/>
      <c r="E122" s="7"/>
    </row>
    <row r="123" spans="1:35">
      <c r="A123" s="1" t="s">
        <v>154</v>
      </c>
      <c r="B123" s="1" t="s">
        <v>6</v>
      </c>
      <c r="C123" s="1" t="s">
        <v>12</v>
      </c>
      <c r="D123" s="1" t="s">
        <v>18</v>
      </c>
      <c r="E123" s="1" t="s">
        <v>23</v>
      </c>
    </row>
    <row r="124" spans="1:35" ht="42">
      <c r="A124" s="2" t="s">
        <v>124</v>
      </c>
      <c r="B124" s="2" t="s">
        <v>155</v>
      </c>
      <c r="C124" s="2" t="s">
        <v>156</v>
      </c>
      <c r="D124" s="2" t="s">
        <v>157</v>
      </c>
      <c r="E124" s="2" t="s">
        <v>158</v>
      </c>
    </row>
    <row r="125" spans="1:35" ht="28">
      <c r="A125" s="2" t="s">
        <v>125</v>
      </c>
      <c r="B125" s="2" t="s">
        <v>159</v>
      </c>
      <c r="C125" s="2" t="s">
        <v>160</v>
      </c>
      <c r="D125" s="2" t="s">
        <v>161</v>
      </c>
      <c r="E125" s="2" t="s">
        <v>162</v>
      </c>
    </row>
    <row r="126" spans="1:35" ht="28">
      <c r="A126" s="2" t="s">
        <v>126</v>
      </c>
      <c r="B126" s="2" t="s">
        <v>163</v>
      </c>
      <c r="C126" s="2" t="s">
        <v>164</v>
      </c>
      <c r="D126" s="2" t="s">
        <v>165</v>
      </c>
      <c r="E126" s="2" t="s">
        <v>166</v>
      </c>
    </row>
    <row r="127" spans="1:35" ht="42">
      <c r="A127" s="2" t="s">
        <v>127</v>
      </c>
      <c r="B127" s="2" t="s">
        <v>167</v>
      </c>
      <c r="C127" s="2" t="s">
        <v>168</v>
      </c>
      <c r="D127" s="2" t="s">
        <v>169</v>
      </c>
      <c r="E127" s="2" t="s">
        <v>170</v>
      </c>
    </row>
    <row r="128" spans="1:35" ht="42">
      <c r="A128" s="2" t="s">
        <v>128</v>
      </c>
      <c r="B128" s="2" t="s">
        <v>171</v>
      </c>
      <c r="C128" s="2" t="s">
        <v>172</v>
      </c>
      <c r="D128" s="2" t="s">
        <v>173</v>
      </c>
      <c r="E128" s="2" t="s">
        <v>174</v>
      </c>
    </row>
    <row r="129" spans="1:5" ht="42">
      <c r="A129" s="2" t="s">
        <v>129</v>
      </c>
      <c r="B129" s="2" t="s">
        <v>175</v>
      </c>
      <c r="C129" s="2" t="s">
        <v>176</v>
      </c>
      <c r="D129" s="2" t="s">
        <v>177</v>
      </c>
      <c r="E129" s="2" t="s">
        <v>178</v>
      </c>
    </row>
    <row r="130" spans="1:5" ht="42">
      <c r="A130" s="2" t="s">
        <v>130</v>
      </c>
      <c r="B130" s="2" t="s">
        <v>179</v>
      </c>
      <c r="C130" s="2" t="s">
        <v>180</v>
      </c>
      <c r="D130" s="2" t="s">
        <v>181</v>
      </c>
      <c r="E130" s="2" t="s">
        <v>182</v>
      </c>
    </row>
    <row r="131" spans="1:5" ht="42">
      <c r="A131" s="2" t="s">
        <v>131</v>
      </c>
      <c r="B131" s="2" t="s">
        <v>183</v>
      </c>
      <c r="C131" s="2" t="s">
        <v>184</v>
      </c>
      <c r="D131" s="2" t="s">
        <v>185</v>
      </c>
      <c r="E131" s="2" t="s">
        <v>186</v>
      </c>
    </row>
    <row r="132" spans="1:5" ht="28">
      <c r="A132" s="2" t="s">
        <v>132</v>
      </c>
      <c r="B132" s="2" t="s">
        <v>187</v>
      </c>
      <c r="C132" s="2" t="s">
        <v>188</v>
      </c>
      <c r="D132" s="2" t="s">
        <v>189</v>
      </c>
      <c r="E132" s="2" t="s">
        <v>190</v>
      </c>
    </row>
    <row r="133" spans="1:5" ht="42">
      <c r="A133" s="2" t="s">
        <v>133</v>
      </c>
      <c r="B133" s="2" t="s">
        <v>191</v>
      </c>
      <c r="C133" s="2" t="s">
        <v>192</v>
      </c>
      <c r="D133" s="2" t="s">
        <v>193</v>
      </c>
      <c r="E133" s="2" t="s">
        <v>194</v>
      </c>
    </row>
    <row r="134" spans="1:5" ht="28">
      <c r="A134" s="2" t="s">
        <v>134</v>
      </c>
      <c r="B134" s="2" t="s">
        <v>195</v>
      </c>
      <c r="C134" s="2" t="s">
        <v>196</v>
      </c>
      <c r="D134" s="2" t="s">
        <v>197</v>
      </c>
      <c r="E134" s="2" t="s">
        <v>198</v>
      </c>
    </row>
    <row r="135" spans="1:5" ht="42">
      <c r="A135" s="2" t="s">
        <v>135</v>
      </c>
      <c r="B135" s="2" t="s">
        <v>199</v>
      </c>
      <c r="C135" s="2" t="s">
        <v>200</v>
      </c>
      <c r="D135" s="2" t="s">
        <v>201</v>
      </c>
      <c r="E135" s="2" t="s">
        <v>202</v>
      </c>
    </row>
    <row r="136" spans="1:5" ht="42">
      <c r="A136" s="2" t="s">
        <v>136</v>
      </c>
      <c r="B136" s="2" t="s">
        <v>203</v>
      </c>
      <c r="C136" s="2" t="s">
        <v>204</v>
      </c>
      <c r="D136" s="2" t="s">
        <v>205</v>
      </c>
      <c r="E136" s="2" t="s">
        <v>206</v>
      </c>
    </row>
    <row r="137" spans="1:5" ht="42">
      <c r="A137" s="2" t="s">
        <v>137</v>
      </c>
      <c r="B137" s="2" t="s">
        <v>207</v>
      </c>
      <c r="C137" s="2" t="s">
        <v>208</v>
      </c>
      <c r="D137" s="2" t="s">
        <v>209</v>
      </c>
      <c r="E137" s="2" t="s">
        <v>210</v>
      </c>
    </row>
    <row r="138" spans="1:5" ht="28">
      <c r="A138" s="2" t="s">
        <v>138</v>
      </c>
      <c r="B138" s="2" t="s">
        <v>211</v>
      </c>
      <c r="C138" s="2" t="s">
        <v>212</v>
      </c>
      <c r="D138" s="2" t="s">
        <v>213</v>
      </c>
      <c r="E138" s="2" t="s">
        <v>214</v>
      </c>
    </row>
    <row r="139" spans="1:5" ht="42">
      <c r="A139" s="2" t="s">
        <v>139</v>
      </c>
      <c r="B139" s="2" t="s">
        <v>215</v>
      </c>
      <c r="C139" s="2" t="s">
        <v>216</v>
      </c>
      <c r="D139" s="2" t="s">
        <v>217</v>
      </c>
      <c r="E139" s="2" t="s">
        <v>218</v>
      </c>
    </row>
    <row r="140" spans="1:5" ht="42">
      <c r="A140" s="2" t="s">
        <v>140</v>
      </c>
      <c r="B140" s="2" t="s">
        <v>219</v>
      </c>
      <c r="C140" s="2" t="s">
        <v>220</v>
      </c>
      <c r="D140" s="2" t="s">
        <v>221</v>
      </c>
      <c r="E140" s="2" t="s">
        <v>222</v>
      </c>
    </row>
    <row r="141" spans="1:5" ht="42">
      <c r="A141" s="2" t="s">
        <v>141</v>
      </c>
      <c r="B141" s="2" t="s">
        <v>223</v>
      </c>
      <c r="C141" s="2" t="s">
        <v>224</v>
      </c>
      <c r="D141" s="2" t="s">
        <v>225</v>
      </c>
      <c r="E141" s="2" t="s">
        <v>226</v>
      </c>
    </row>
  </sheetData>
  <mergeCells count="4">
    <mergeCell ref="A1:AI1"/>
    <mergeCell ref="A2:AI2"/>
    <mergeCell ref="D4:H4"/>
    <mergeCell ref="A122:E122"/>
  </mergeCells>
  <conditionalFormatting sqref="Z18:Z117">
    <cfRule type="expression" dxfId="11" priority="1">
      <formula>Z18="Very High"</formula>
    </cfRule>
    <cfRule type="expression" dxfId="10" priority="2">
      <formula>Z18="High"</formula>
    </cfRule>
    <cfRule type="expression" dxfId="9" priority="3">
      <formula>Z18="Medium"</formula>
    </cfRule>
    <cfRule type="expression" dxfId="8" priority="4">
      <formula>Z18="Low"</formula>
    </cfRule>
  </conditionalFormatting>
  <dataValidations count="4">
    <dataValidation type="list" sqref="B7" xr:uid="{00000000-0002-0000-2700-000000000000}">
      <formula1>"Yes,No"</formula1>
    </dataValidation>
    <dataValidation type="list" sqref="C18:C117" xr:uid="{00000000-0002-0000-2700-000001000000}">
      <formula1>"Ground,First,N/A"</formula1>
    </dataValidation>
    <dataValidation type="list" sqref="H18:Y117" xr:uid="{00000000-0002-0000-2700-000002000000}">
      <formula1>"Low,Medium,High,Very High"</formula1>
    </dataValidation>
    <dataValidation type="list" sqref="AD18:AD117 AG18:AI117" xr:uid="{00000000-0002-0000-2700-000003000000}">
      <formula1>"Yes,No,N/A"</formula1>
    </dataValidation>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60"/>
  <sheetViews>
    <sheetView workbookViewId="0"/>
  </sheetViews>
  <sheetFormatPr defaultRowHeight="14"/>
  <cols>
    <col min="1" max="9" width="18" customWidth="1"/>
  </cols>
  <sheetData>
    <row r="1" spans="1:9" ht="20">
      <c r="A1" s="6" t="s">
        <v>371</v>
      </c>
      <c r="B1" s="7"/>
      <c r="C1" s="7"/>
      <c r="D1" s="7"/>
      <c r="E1" s="7"/>
      <c r="F1" s="7"/>
      <c r="G1" s="7"/>
      <c r="H1" s="7"/>
      <c r="I1" s="7"/>
    </row>
    <row r="2" spans="1:9" ht="14.5">
      <c r="A2" s="8" t="s">
        <v>228</v>
      </c>
      <c r="B2" s="7"/>
      <c r="C2" s="7"/>
      <c r="D2" s="7"/>
      <c r="E2" s="7"/>
      <c r="F2" s="7"/>
      <c r="G2" s="7"/>
      <c r="H2" s="7"/>
      <c r="I2" s="7"/>
    </row>
    <row r="4" spans="1:9">
      <c r="A4" s="3" t="s">
        <v>107</v>
      </c>
      <c r="B4" t="s">
        <v>370</v>
      </c>
    </row>
    <row r="5" spans="1:9">
      <c r="A5" s="3" t="s">
        <v>110</v>
      </c>
    </row>
    <row r="6" spans="1:9">
      <c r="A6" s="3" t="s">
        <v>229</v>
      </c>
    </row>
    <row r="7" spans="1:9">
      <c r="A7" s="3" t="s">
        <v>230</v>
      </c>
    </row>
    <row r="8" spans="1:9">
      <c r="A8" s="3" t="s">
        <v>231</v>
      </c>
      <c r="B8">
        <f>COUNTA(A14:A60)</f>
        <v>28</v>
      </c>
    </row>
    <row r="9" spans="1:9">
      <c r="A9" s="3" t="s">
        <v>232</v>
      </c>
      <c r="B9">
        <f>COUNTIF(H14:H60,"FAIL")</f>
        <v>28</v>
      </c>
    </row>
    <row r="10" spans="1:9">
      <c r="A10" s="3" t="s">
        <v>46</v>
      </c>
      <c r="B10" t="str">
        <f>IF(AND(B7="Yes",B9=0),"Complete","Incomplete")</f>
        <v>Incomplete</v>
      </c>
    </row>
    <row r="13" spans="1:9" ht="28">
      <c r="A13" s="1" t="s">
        <v>233</v>
      </c>
      <c r="B13" s="1" t="s">
        <v>234</v>
      </c>
      <c r="C13" s="1" t="s">
        <v>235</v>
      </c>
      <c r="D13" s="1" t="s">
        <v>236</v>
      </c>
      <c r="E13" s="1" t="s">
        <v>237</v>
      </c>
      <c r="F13" s="1" t="s">
        <v>238</v>
      </c>
      <c r="G13" s="1" t="s">
        <v>239</v>
      </c>
      <c r="H13" s="1" t="s">
        <v>240</v>
      </c>
      <c r="I13" s="1" t="s">
        <v>241</v>
      </c>
    </row>
    <row r="14" spans="1:9" ht="42">
      <c r="A14" s="2" t="s">
        <v>242</v>
      </c>
      <c r="B14" s="2">
        <v>1</v>
      </c>
      <c r="C14" s="2"/>
      <c r="D14" s="2" t="s">
        <v>243</v>
      </c>
      <c r="E14" s="2"/>
      <c r="F14" s="2"/>
      <c r="G14" s="2"/>
      <c r="H14" s="2" t="str">
        <f t="shared" ref="H14:H41" si="0">IF(OR(F14="No",C14&lt;B14),"FAIL","PASS")</f>
        <v>FAIL</v>
      </c>
      <c r="I14" s="2"/>
    </row>
    <row r="15" spans="1:9">
      <c r="A15" s="2" t="s">
        <v>244</v>
      </c>
      <c r="B15" s="2">
        <v>1</v>
      </c>
      <c r="C15" s="2"/>
      <c r="D15" s="2" t="s">
        <v>245</v>
      </c>
      <c r="E15" s="2"/>
      <c r="F15" s="2"/>
      <c r="G15" s="2"/>
      <c r="H15" s="2" t="str">
        <f t="shared" si="0"/>
        <v>FAIL</v>
      </c>
      <c r="I15" s="2"/>
    </row>
    <row r="16" spans="1:9" ht="28">
      <c r="A16" s="2" t="s">
        <v>246</v>
      </c>
      <c r="B16" s="2">
        <v>1</v>
      </c>
      <c r="C16" s="2"/>
      <c r="D16" s="2" t="s">
        <v>247</v>
      </c>
      <c r="E16" s="2"/>
      <c r="F16" s="2"/>
      <c r="G16" s="2"/>
      <c r="H16" s="2" t="str">
        <f t="shared" si="0"/>
        <v>FAIL</v>
      </c>
      <c r="I16" s="2"/>
    </row>
    <row r="17" spans="1:9" ht="28">
      <c r="A17" s="2" t="s">
        <v>248</v>
      </c>
      <c r="B17" s="2">
        <v>1</v>
      </c>
      <c r="C17" s="2"/>
      <c r="D17" s="2" t="s">
        <v>249</v>
      </c>
      <c r="E17" s="2"/>
      <c r="F17" s="2"/>
      <c r="G17" s="2"/>
      <c r="H17" s="2" t="str">
        <f t="shared" si="0"/>
        <v>FAIL</v>
      </c>
      <c r="I17" s="2"/>
    </row>
    <row r="18" spans="1:9" ht="28">
      <c r="A18" s="2" t="s">
        <v>250</v>
      </c>
      <c r="B18" s="2">
        <v>2</v>
      </c>
      <c r="C18" s="2"/>
      <c r="D18" s="2" t="s">
        <v>251</v>
      </c>
      <c r="E18" s="2"/>
      <c r="F18" s="2"/>
      <c r="G18" s="2"/>
      <c r="H18" s="2" t="str">
        <f t="shared" si="0"/>
        <v>FAIL</v>
      </c>
      <c r="I18" s="2"/>
    </row>
    <row r="19" spans="1:9" ht="28">
      <c r="A19" s="2" t="s">
        <v>252</v>
      </c>
      <c r="B19" s="2">
        <v>1</v>
      </c>
      <c r="C19" s="2"/>
      <c r="D19" s="2" t="s">
        <v>253</v>
      </c>
      <c r="E19" s="2"/>
      <c r="F19" s="2"/>
      <c r="G19" s="2"/>
      <c r="H19" s="2" t="str">
        <f t="shared" si="0"/>
        <v>FAIL</v>
      </c>
      <c r="I19" s="2"/>
    </row>
    <row r="20" spans="1:9" ht="42">
      <c r="A20" s="2" t="s">
        <v>254</v>
      </c>
      <c r="B20" s="2">
        <v>1</v>
      </c>
      <c r="C20" s="2"/>
      <c r="D20" s="2" t="s">
        <v>255</v>
      </c>
      <c r="E20" s="2"/>
      <c r="F20" s="2"/>
      <c r="G20" s="2"/>
      <c r="H20" s="2" t="str">
        <f t="shared" si="0"/>
        <v>FAIL</v>
      </c>
      <c r="I20" s="2"/>
    </row>
    <row r="21" spans="1:9">
      <c r="A21" s="2" t="s">
        <v>256</v>
      </c>
      <c r="B21" s="2">
        <v>2</v>
      </c>
      <c r="C21" s="2"/>
      <c r="D21" s="2" t="s">
        <v>257</v>
      </c>
      <c r="E21" s="2"/>
      <c r="F21" s="2"/>
      <c r="G21" s="2"/>
      <c r="H21" s="2" t="str">
        <f t="shared" si="0"/>
        <v>FAIL</v>
      </c>
      <c r="I21" s="2"/>
    </row>
    <row r="22" spans="1:9" ht="28">
      <c r="A22" s="2" t="s">
        <v>258</v>
      </c>
      <c r="B22" s="2">
        <v>1</v>
      </c>
      <c r="C22" s="2"/>
      <c r="D22" s="2" t="s">
        <v>259</v>
      </c>
      <c r="E22" s="2"/>
      <c r="F22" s="2"/>
      <c r="G22" s="2"/>
      <c r="H22" s="2" t="str">
        <f t="shared" si="0"/>
        <v>FAIL</v>
      </c>
      <c r="I22" s="2"/>
    </row>
    <row r="23" spans="1:9" ht="28">
      <c r="A23" s="2" t="s">
        <v>260</v>
      </c>
      <c r="B23" s="2">
        <v>2</v>
      </c>
      <c r="C23" s="2"/>
      <c r="D23" s="2" t="s">
        <v>261</v>
      </c>
      <c r="E23" s="2"/>
      <c r="F23" s="2"/>
      <c r="G23" s="2"/>
      <c r="H23" s="2" t="str">
        <f t="shared" si="0"/>
        <v>FAIL</v>
      </c>
      <c r="I23" s="2"/>
    </row>
    <row r="24" spans="1:9">
      <c r="A24" s="2" t="s">
        <v>262</v>
      </c>
      <c r="B24" s="2">
        <v>2</v>
      </c>
      <c r="C24" s="2"/>
      <c r="D24" s="2" t="s">
        <v>263</v>
      </c>
      <c r="E24" s="2"/>
      <c r="F24" s="2"/>
      <c r="G24" s="2"/>
      <c r="H24" s="2" t="str">
        <f t="shared" si="0"/>
        <v>FAIL</v>
      </c>
      <c r="I24" s="2"/>
    </row>
    <row r="25" spans="1:9" ht="28">
      <c r="A25" s="2" t="s">
        <v>264</v>
      </c>
      <c r="B25" s="2">
        <v>2</v>
      </c>
      <c r="C25" s="2"/>
      <c r="D25" s="2" t="s">
        <v>265</v>
      </c>
      <c r="E25" s="2"/>
      <c r="F25" s="2"/>
      <c r="G25" s="2"/>
      <c r="H25" s="2" t="str">
        <f t="shared" si="0"/>
        <v>FAIL</v>
      </c>
      <c r="I25" s="2"/>
    </row>
    <row r="26" spans="1:9">
      <c r="A26" s="2" t="s">
        <v>266</v>
      </c>
      <c r="B26" s="2">
        <v>2</v>
      </c>
      <c r="C26" s="2"/>
      <c r="D26" s="2" t="s">
        <v>265</v>
      </c>
      <c r="E26" s="2"/>
      <c r="F26" s="2"/>
      <c r="G26" s="2"/>
      <c r="H26" s="2" t="str">
        <f t="shared" si="0"/>
        <v>FAIL</v>
      </c>
      <c r="I26" s="2"/>
    </row>
    <row r="27" spans="1:9">
      <c r="A27" s="2" t="s">
        <v>267</v>
      </c>
      <c r="B27" s="2">
        <v>8</v>
      </c>
      <c r="C27" s="2"/>
      <c r="D27" s="2" t="s">
        <v>268</v>
      </c>
      <c r="E27" s="2"/>
      <c r="F27" s="2"/>
      <c r="G27" s="2"/>
      <c r="H27" s="2" t="str">
        <f t="shared" si="0"/>
        <v>FAIL</v>
      </c>
      <c r="I27" s="2"/>
    </row>
    <row r="28" spans="1:9">
      <c r="A28" s="2" t="s">
        <v>269</v>
      </c>
      <c r="B28" s="2">
        <v>4</v>
      </c>
      <c r="C28" s="2"/>
      <c r="D28" s="2" t="s">
        <v>270</v>
      </c>
      <c r="E28" s="2"/>
      <c r="F28" s="2"/>
      <c r="G28" s="2"/>
      <c r="H28" s="2" t="str">
        <f t="shared" si="0"/>
        <v>FAIL</v>
      </c>
      <c r="I28" s="2"/>
    </row>
    <row r="29" spans="1:9" ht="28">
      <c r="A29" s="2" t="s">
        <v>271</v>
      </c>
      <c r="B29" s="2">
        <v>20</v>
      </c>
      <c r="C29" s="2"/>
      <c r="D29" s="2" t="s">
        <v>272</v>
      </c>
      <c r="E29" s="2"/>
      <c r="F29" s="2"/>
      <c r="G29" s="2"/>
      <c r="H29" s="2" t="str">
        <f t="shared" si="0"/>
        <v>FAIL</v>
      </c>
      <c r="I29" s="2"/>
    </row>
    <row r="30" spans="1:9">
      <c r="A30" s="2" t="s">
        <v>273</v>
      </c>
      <c r="B30" s="2">
        <v>2</v>
      </c>
      <c r="C30" s="2"/>
      <c r="D30" s="2" t="s">
        <v>265</v>
      </c>
      <c r="E30" s="2"/>
      <c r="F30" s="2"/>
      <c r="G30" s="2"/>
      <c r="H30" s="2" t="str">
        <f t="shared" si="0"/>
        <v>FAIL</v>
      </c>
      <c r="I30" s="2"/>
    </row>
    <row r="31" spans="1:9">
      <c r="A31" s="2" t="s">
        <v>274</v>
      </c>
      <c r="B31" s="2">
        <v>1</v>
      </c>
      <c r="C31" s="2"/>
      <c r="D31" s="2" t="s">
        <v>275</v>
      </c>
      <c r="E31" s="2"/>
      <c r="F31" s="2"/>
      <c r="G31" s="2"/>
      <c r="H31" s="2" t="str">
        <f t="shared" si="0"/>
        <v>FAIL</v>
      </c>
      <c r="I31" s="2"/>
    </row>
    <row r="32" spans="1:9">
      <c r="A32" s="2" t="s">
        <v>276</v>
      </c>
      <c r="B32" s="2">
        <v>5</v>
      </c>
      <c r="C32" s="2"/>
      <c r="D32" s="2" t="s">
        <v>265</v>
      </c>
      <c r="E32" s="2"/>
      <c r="F32" s="2"/>
      <c r="G32" s="2"/>
      <c r="H32" s="2" t="str">
        <f t="shared" si="0"/>
        <v>FAIL</v>
      </c>
      <c r="I32" s="2"/>
    </row>
    <row r="33" spans="1:9">
      <c r="A33" s="2" t="s">
        <v>277</v>
      </c>
      <c r="B33" s="2">
        <v>2</v>
      </c>
      <c r="C33" s="2"/>
      <c r="D33" s="2" t="s">
        <v>265</v>
      </c>
      <c r="E33" s="2"/>
      <c r="F33" s="2"/>
      <c r="G33" s="2"/>
      <c r="H33" s="2" t="str">
        <f t="shared" si="0"/>
        <v>FAIL</v>
      </c>
      <c r="I33" s="2"/>
    </row>
    <row r="34" spans="1:9" ht="28">
      <c r="A34" s="2" t="s">
        <v>278</v>
      </c>
      <c r="B34" s="2">
        <v>20</v>
      </c>
      <c r="C34" s="2"/>
      <c r="D34" s="2" t="s">
        <v>270</v>
      </c>
      <c r="E34" s="2"/>
      <c r="F34" s="2"/>
      <c r="G34" s="2"/>
      <c r="H34" s="2" t="str">
        <f t="shared" si="0"/>
        <v>FAIL</v>
      </c>
      <c r="I34" s="2"/>
    </row>
    <row r="35" spans="1:9">
      <c r="A35" s="2" t="s">
        <v>279</v>
      </c>
      <c r="B35" s="2">
        <v>20</v>
      </c>
      <c r="C35" s="2"/>
      <c r="D35" s="2" t="s">
        <v>270</v>
      </c>
      <c r="E35" s="2"/>
      <c r="F35" s="2"/>
      <c r="G35" s="2"/>
      <c r="H35" s="2" t="str">
        <f t="shared" si="0"/>
        <v>FAIL</v>
      </c>
      <c r="I35" s="2"/>
    </row>
    <row r="36" spans="1:9" ht="28">
      <c r="A36" s="2" t="s">
        <v>280</v>
      </c>
      <c r="B36" s="2">
        <v>1</v>
      </c>
      <c r="C36" s="2"/>
      <c r="D36" s="2" t="s">
        <v>281</v>
      </c>
      <c r="E36" s="2"/>
      <c r="F36" s="2"/>
      <c r="G36" s="2"/>
      <c r="H36" s="2" t="str">
        <f t="shared" si="0"/>
        <v>FAIL</v>
      </c>
      <c r="I36" s="2"/>
    </row>
    <row r="37" spans="1:9" ht="28">
      <c r="A37" s="2" t="s">
        <v>282</v>
      </c>
      <c r="B37" s="2">
        <v>1</v>
      </c>
      <c r="C37" s="2"/>
      <c r="D37" s="2" t="s">
        <v>281</v>
      </c>
      <c r="E37" s="2"/>
      <c r="F37" s="2"/>
      <c r="G37" s="2"/>
      <c r="H37" s="2" t="str">
        <f t="shared" si="0"/>
        <v>FAIL</v>
      </c>
      <c r="I37" s="2"/>
    </row>
    <row r="38" spans="1:9" ht="28">
      <c r="A38" s="2" t="s">
        <v>283</v>
      </c>
      <c r="B38" s="2">
        <v>1</v>
      </c>
      <c r="C38" s="2"/>
      <c r="D38" s="2" t="s">
        <v>281</v>
      </c>
      <c r="E38" s="2"/>
      <c r="F38" s="2"/>
      <c r="G38" s="2"/>
      <c r="H38" s="2" t="str">
        <f t="shared" si="0"/>
        <v>FAIL</v>
      </c>
      <c r="I38" s="2"/>
    </row>
    <row r="39" spans="1:9" ht="28">
      <c r="A39" s="2" t="s">
        <v>284</v>
      </c>
      <c r="B39" s="2">
        <v>1</v>
      </c>
      <c r="C39" s="2"/>
      <c r="D39" s="2" t="s">
        <v>285</v>
      </c>
      <c r="E39" s="2"/>
      <c r="F39" s="2"/>
      <c r="G39" s="2"/>
      <c r="H39" s="2" t="str">
        <f t="shared" si="0"/>
        <v>FAIL</v>
      </c>
      <c r="I39" s="2"/>
    </row>
    <row r="40" spans="1:9" ht="28">
      <c r="A40" s="2" t="s">
        <v>286</v>
      </c>
      <c r="B40" s="2">
        <v>1</v>
      </c>
      <c r="C40" s="2"/>
      <c r="D40" s="2" t="s">
        <v>287</v>
      </c>
      <c r="E40" s="2"/>
      <c r="F40" s="2"/>
      <c r="G40" s="2"/>
      <c r="H40" s="2" t="str">
        <f t="shared" si="0"/>
        <v>FAIL</v>
      </c>
      <c r="I40" s="2"/>
    </row>
    <row r="41" spans="1:9" ht="28">
      <c r="A41" s="2" t="s">
        <v>288</v>
      </c>
      <c r="B41" s="2">
        <v>1</v>
      </c>
      <c r="C41" s="2"/>
      <c r="D41" s="2" t="s">
        <v>281</v>
      </c>
      <c r="E41" s="2"/>
      <c r="F41" s="2"/>
      <c r="G41" s="2"/>
      <c r="H41" s="2" t="str">
        <f t="shared" si="0"/>
        <v>FAIL</v>
      </c>
      <c r="I41" s="2"/>
    </row>
    <row r="42" spans="1:9">
      <c r="A42" s="2"/>
      <c r="B42" s="2"/>
      <c r="C42" s="2"/>
      <c r="D42" s="2"/>
      <c r="E42" s="2"/>
      <c r="F42" s="2"/>
      <c r="G42" s="2"/>
      <c r="H42" s="2"/>
      <c r="I42" s="2"/>
    </row>
    <row r="43" spans="1:9">
      <c r="A43" s="2"/>
      <c r="B43" s="2"/>
      <c r="C43" s="2"/>
      <c r="D43" s="2"/>
      <c r="E43" s="2"/>
      <c r="F43" s="2"/>
      <c r="G43" s="2"/>
      <c r="H43" s="2"/>
      <c r="I43" s="2"/>
    </row>
    <row r="44" spans="1:9">
      <c r="A44" s="2"/>
      <c r="B44" s="2"/>
      <c r="C44" s="2"/>
      <c r="D44" s="2"/>
      <c r="E44" s="2"/>
      <c r="F44" s="2"/>
      <c r="G44" s="2"/>
      <c r="H44" s="2"/>
      <c r="I44" s="2"/>
    </row>
    <row r="45" spans="1:9">
      <c r="A45" s="2"/>
      <c r="B45" s="2"/>
      <c r="C45" s="2"/>
      <c r="D45" s="2"/>
      <c r="E45" s="2"/>
      <c r="F45" s="2"/>
      <c r="G45" s="2"/>
      <c r="H45" s="2"/>
      <c r="I45" s="2"/>
    </row>
    <row r="46" spans="1:9">
      <c r="A46" s="2"/>
      <c r="B46" s="2"/>
      <c r="C46" s="2"/>
      <c r="D46" s="2"/>
      <c r="E46" s="2"/>
      <c r="F46" s="2"/>
      <c r="G46" s="2"/>
      <c r="H46" s="2"/>
      <c r="I46" s="2"/>
    </row>
    <row r="47" spans="1:9">
      <c r="A47" s="2"/>
      <c r="B47" s="2"/>
      <c r="C47" s="2"/>
      <c r="D47" s="2"/>
      <c r="E47" s="2"/>
      <c r="F47" s="2"/>
      <c r="G47" s="2"/>
      <c r="H47" s="2"/>
      <c r="I47" s="2"/>
    </row>
    <row r="48" spans="1:9">
      <c r="A48" s="2"/>
      <c r="B48" s="2"/>
      <c r="C48" s="2"/>
      <c r="D48" s="2"/>
      <c r="E48" s="2"/>
      <c r="F48" s="2"/>
      <c r="G48" s="2"/>
      <c r="H48" s="2"/>
      <c r="I48" s="2"/>
    </row>
    <row r="49" spans="1:9">
      <c r="A49" s="2"/>
      <c r="B49" s="2"/>
      <c r="C49" s="2"/>
      <c r="D49" s="2"/>
      <c r="E49" s="2"/>
      <c r="F49" s="2"/>
      <c r="G49" s="2"/>
      <c r="H49" s="2"/>
      <c r="I49" s="2"/>
    </row>
    <row r="50" spans="1:9">
      <c r="A50" s="2"/>
      <c r="B50" s="2"/>
      <c r="C50" s="2"/>
      <c r="D50" s="2"/>
      <c r="E50" s="2"/>
      <c r="F50" s="2"/>
      <c r="G50" s="2"/>
      <c r="H50" s="2"/>
      <c r="I50" s="2"/>
    </row>
    <row r="51" spans="1:9">
      <c r="A51" s="2"/>
      <c r="B51" s="2"/>
      <c r="C51" s="2"/>
      <c r="D51" s="2"/>
      <c r="E51" s="2"/>
      <c r="F51" s="2"/>
      <c r="G51" s="2"/>
      <c r="H51" s="2"/>
      <c r="I51" s="2"/>
    </row>
    <row r="52" spans="1:9">
      <c r="A52" s="2"/>
      <c r="B52" s="2"/>
      <c r="C52" s="2"/>
      <c r="D52" s="2"/>
      <c r="E52" s="2"/>
      <c r="F52" s="2"/>
      <c r="G52" s="2"/>
      <c r="H52" s="2"/>
      <c r="I52" s="2"/>
    </row>
    <row r="53" spans="1:9">
      <c r="A53" s="2"/>
      <c r="B53" s="2"/>
      <c r="C53" s="2"/>
      <c r="D53" s="2"/>
      <c r="E53" s="2"/>
      <c r="F53" s="2"/>
      <c r="G53" s="2"/>
      <c r="H53" s="2"/>
      <c r="I53" s="2"/>
    </row>
    <row r="54" spans="1:9">
      <c r="A54" s="2"/>
      <c r="B54" s="2"/>
      <c r="C54" s="2"/>
      <c r="D54" s="2"/>
      <c r="E54" s="2"/>
      <c r="F54" s="2"/>
      <c r="G54" s="2"/>
      <c r="H54" s="2"/>
      <c r="I54" s="2"/>
    </row>
    <row r="55" spans="1:9">
      <c r="A55" s="2"/>
      <c r="B55" s="2"/>
      <c r="C55" s="2"/>
      <c r="D55" s="2"/>
      <c r="E55" s="2"/>
      <c r="F55" s="2"/>
      <c r="G55" s="2"/>
      <c r="H55" s="2"/>
      <c r="I55" s="2"/>
    </row>
    <row r="56" spans="1:9">
      <c r="A56" s="2"/>
      <c r="B56" s="2"/>
      <c r="C56" s="2"/>
      <c r="D56" s="2"/>
      <c r="E56" s="2"/>
      <c r="F56" s="2"/>
      <c r="G56" s="2"/>
      <c r="H56" s="2"/>
      <c r="I56" s="2"/>
    </row>
    <row r="57" spans="1:9">
      <c r="A57" s="2"/>
      <c r="B57" s="2"/>
      <c r="C57" s="2"/>
      <c r="D57" s="2"/>
      <c r="E57" s="2"/>
      <c r="F57" s="2"/>
      <c r="G57" s="2"/>
      <c r="H57" s="2"/>
      <c r="I57" s="2"/>
    </row>
    <row r="58" spans="1:9">
      <c r="A58" s="2"/>
      <c r="B58" s="2"/>
      <c r="C58" s="2"/>
      <c r="D58" s="2"/>
      <c r="E58" s="2"/>
      <c r="F58" s="2"/>
      <c r="G58" s="2"/>
      <c r="H58" s="2"/>
      <c r="I58" s="2"/>
    </row>
    <row r="59" spans="1:9">
      <c r="A59" s="2"/>
      <c r="B59" s="2"/>
      <c r="C59" s="2"/>
      <c r="D59" s="2"/>
      <c r="E59" s="2"/>
      <c r="F59" s="2"/>
      <c r="G59" s="2"/>
      <c r="H59" s="2"/>
      <c r="I59" s="2"/>
    </row>
    <row r="60" spans="1:9">
      <c r="A60" s="2"/>
      <c r="B60" s="2"/>
      <c r="C60" s="2"/>
      <c r="D60" s="2"/>
      <c r="E60" s="2"/>
      <c r="F60" s="2"/>
      <c r="G60" s="2"/>
      <c r="H60" s="2"/>
      <c r="I60" s="2"/>
    </row>
  </sheetData>
  <mergeCells count="2">
    <mergeCell ref="A1:I1"/>
    <mergeCell ref="A2:I2"/>
  </mergeCells>
  <dataValidations count="2">
    <dataValidation type="list" sqref="B7" xr:uid="{00000000-0002-0000-2800-000000000000}">
      <formula1>"Yes,No"</formula1>
    </dataValidation>
    <dataValidation type="list" sqref="F14:F41" xr:uid="{00000000-0002-0000-2800-000001000000}">
      <formula1>"Yes,No,N/A"</formula1>
    </dataValidation>
  </dataValidation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60"/>
  <sheetViews>
    <sheetView workbookViewId="0"/>
  </sheetViews>
  <sheetFormatPr defaultRowHeight="14"/>
  <cols>
    <col min="1" max="8" width="18" customWidth="1"/>
  </cols>
  <sheetData>
    <row r="1" spans="1:8" ht="20">
      <c r="A1" s="6" t="s">
        <v>372</v>
      </c>
      <c r="B1" s="7"/>
      <c r="C1" s="7"/>
      <c r="D1" s="7"/>
      <c r="E1" s="7"/>
      <c r="F1" s="7"/>
      <c r="G1" s="7"/>
      <c r="H1" s="7"/>
    </row>
    <row r="2" spans="1:8" ht="14.5">
      <c r="A2" s="8" t="s">
        <v>290</v>
      </c>
      <c r="B2" s="7"/>
      <c r="C2" s="7"/>
      <c r="D2" s="7"/>
      <c r="E2" s="7"/>
      <c r="F2" s="7"/>
      <c r="G2" s="7"/>
      <c r="H2" s="7"/>
    </row>
    <row r="4" spans="1:8">
      <c r="A4" s="3" t="s">
        <v>107</v>
      </c>
      <c r="B4" t="s">
        <v>370</v>
      </c>
    </row>
    <row r="5" spans="1:8">
      <c r="A5" s="3" t="s">
        <v>110</v>
      </c>
    </row>
    <row r="6" spans="1:8">
      <c r="A6" s="3" t="s">
        <v>229</v>
      </c>
    </row>
    <row r="7" spans="1:8">
      <c r="A7" s="3" t="s">
        <v>230</v>
      </c>
    </row>
    <row r="8" spans="1:8">
      <c r="A8" s="3" t="s">
        <v>291</v>
      </c>
      <c r="B8">
        <f>COUNTA(A14:A60)</f>
        <v>22</v>
      </c>
    </row>
    <row r="9" spans="1:8">
      <c r="A9" s="3" t="s">
        <v>292</v>
      </c>
      <c r="B9">
        <f>COUNTIF(G14:G60,"FAIL")</f>
        <v>22</v>
      </c>
    </row>
    <row r="10" spans="1:8">
      <c r="A10" s="3" t="s">
        <v>46</v>
      </c>
      <c r="B10" t="str">
        <f>IF(AND(B7="Yes",B9=0),"Complete","Incomplete")</f>
        <v>Incomplete</v>
      </c>
    </row>
    <row r="13" spans="1:8">
      <c r="A13" s="1" t="s">
        <v>233</v>
      </c>
      <c r="B13" s="1" t="s">
        <v>234</v>
      </c>
      <c r="C13" s="1" t="s">
        <v>235</v>
      </c>
      <c r="D13" s="1" t="s">
        <v>293</v>
      </c>
      <c r="E13" s="1" t="s">
        <v>294</v>
      </c>
      <c r="F13" s="1" t="s">
        <v>239</v>
      </c>
      <c r="G13" s="1" t="s">
        <v>240</v>
      </c>
      <c r="H13" s="1" t="s">
        <v>241</v>
      </c>
    </row>
    <row r="14" spans="1:8" ht="28">
      <c r="A14" s="2" t="s">
        <v>295</v>
      </c>
      <c r="B14" s="2">
        <v>6</v>
      </c>
      <c r="C14" s="2"/>
      <c r="D14" s="2"/>
      <c r="E14" s="2"/>
      <c r="F14" s="2"/>
      <c r="G14" s="2" t="str">
        <f t="shared" ref="G14:G35" si="0">IF(OR(C14&lt;B14,E14="No"),"FAIL","PASS")</f>
        <v>FAIL</v>
      </c>
      <c r="H14" s="2"/>
    </row>
    <row r="15" spans="1:8" ht="28">
      <c r="A15" s="2" t="s">
        <v>296</v>
      </c>
      <c r="B15" s="2">
        <v>8</v>
      </c>
      <c r="C15" s="2"/>
      <c r="D15" s="2"/>
      <c r="E15" s="2"/>
      <c r="F15" s="2"/>
      <c r="G15" s="2" t="str">
        <f t="shared" si="0"/>
        <v>FAIL</v>
      </c>
      <c r="H15" s="2"/>
    </row>
    <row r="16" spans="1:8" ht="28">
      <c r="A16" s="2" t="s">
        <v>297</v>
      </c>
      <c r="B16" s="2">
        <v>10</v>
      </c>
      <c r="C16" s="2"/>
      <c r="D16" s="2"/>
      <c r="E16" s="2"/>
      <c r="F16" s="2"/>
      <c r="G16" s="2" t="str">
        <f t="shared" si="0"/>
        <v>FAIL</v>
      </c>
      <c r="H16" s="2"/>
    </row>
    <row r="17" spans="1:8">
      <c r="A17" s="2" t="s">
        <v>298</v>
      </c>
      <c r="B17" s="2">
        <v>4</v>
      </c>
      <c r="C17" s="2"/>
      <c r="D17" s="2"/>
      <c r="E17" s="2"/>
      <c r="F17" s="2"/>
      <c r="G17" s="2" t="str">
        <f t="shared" si="0"/>
        <v>FAIL</v>
      </c>
      <c r="H17" s="2"/>
    </row>
    <row r="18" spans="1:8">
      <c r="A18" s="2" t="s">
        <v>299</v>
      </c>
      <c r="B18" s="2">
        <v>6</v>
      </c>
      <c r="C18" s="2"/>
      <c r="D18" s="2"/>
      <c r="E18" s="2"/>
      <c r="F18" s="2"/>
      <c r="G18" s="2" t="str">
        <f t="shared" si="0"/>
        <v>FAIL</v>
      </c>
      <c r="H18" s="2"/>
    </row>
    <row r="19" spans="1:8" ht="28">
      <c r="A19" s="2" t="s">
        <v>300</v>
      </c>
      <c r="B19" s="2">
        <v>6</v>
      </c>
      <c r="C19" s="2"/>
      <c r="D19" s="2"/>
      <c r="E19" s="2"/>
      <c r="F19" s="2"/>
      <c r="G19" s="2" t="str">
        <f t="shared" si="0"/>
        <v>FAIL</v>
      </c>
      <c r="H19" s="2"/>
    </row>
    <row r="20" spans="1:8">
      <c r="A20" s="2" t="s">
        <v>301</v>
      </c>
      <c r="B20" s="2">
        <v>10</v>
      </c>
      <c r="C20" s="2"/>
      <c r="D20" s="2"/>
      <c r="E20" s="2"/>
      <c r="F20" s="2"/>
      <c r="G20" s="2" t="str">
        <f t="shared" si="0"/>
        <v>FAIL</v>
      </c>
      <c r="H20" s="2"/>
    </row>
    <row r="21" spans="1:8">
      <c r="A21" s="2" t="s">
        <v>302</v>
      </c>
      <c r="B21" s="2">
        <v>4</v>
      </c>
      <c r="C21" s="2"/>
      <c r="D21" s="2"/>
      <c r="E21" s="2"/>
      <c r="F21" s="2"/>
      <c r="G21" s="2" t="str">
        <f t="shared" si="0"/>
        <v>FAIL</v>
      </c>
      <c r="H21" s="2"/>
    </row>
    <row r="22" spans="1:8" ht="28">
      <c r="A22" s="2" t="s">
        <v>303</v>
      </c>
      <c r="B22" s="2">
        <v>4</v>
      </c>
      <c r="C22" s="2"/>
      <c r="D22" s="2"/>
      <c r="E22" s="2"/>
      <c r="F22" s="2"/>
      <c r="G22" s="2" t="str">
        <f t="shared" si="0"/>
        <v>FAIL</v>
      </c>
      <c r="H22" s="2"/>
    </row>
    <row r="23" spans="1:8">
      <c r="A23" s="2" t="s">
        <v>304</v>
      </c>
      <c r="B23" s="2">
        <v>2</v>
      </c>
      <c r="C23" s="2"/>
      <c r="D23" s="2"/>
      <c r="E23" s="2"/>
      <c r="F23" s="2"/>
      <c r="G23" s="2" t="str">
        <f t="shared" si="0"/>
        <v>FAIL</v>
      </c>
      <c r="H23" s="2"/>
    </row>
    <row r="24" spans="1:8" ht="28">
      <c r="A24" s="2" t="s">
        <v>305</v>
      </c>
      <c r="B24" s="2">
        <v>50</v>
      </c>
      <c r="C24" s="2"/>
      <c r="D24" s="2"/>
      <c r="E24" s="2"/>
      <c r="F24" s="2"/>
      <c r="G24" s="2" t="str">
        <f t="shared" si="0"/>
        <v>FAIL</v>
      </c>
      <c r="H24" s="2"/>
    </row>
    <row r="25" spans="1:8">
      <c r="A25" s="2" t="s">
        <v>306</v>
      </c>
      <c r="B25" s="2">
        <v>2</v>
      </c>
      <c r="C25" s="2"/>
      <c r="D25" s="2"/>
      <c r="E25" s="2"/>
      <c r="F25" s="2"/>
      <c r="G25" s="2" t="str">
        <f t="shared" si="0"/>
        <v>FAIL</v>
      </c>
      <c r="H25" s="2"/>
    </row>
    <row r="26" spans="1:8">
      <c r="A26" s="2" t="s">
        <v>307</v>
      </c>
      <c r="B26" s="2">
        <v>2</v>
      </c>
      <c r="C26" s="2"/>
      <c r="D26" s="2"/>
      <c r="E26" s="2"/>
      <c r="F26" s="2"/>
      <c r="G26" s="2" t="str">
        <f t="shared" si="0"/>
        <v>FAIL</v>
      </c>
      <c r="H26" s="2"/>
    </row>
    <row r="27" spans="1:8" ht="28">
      <c r="A27" s="2" t="s">
        <v>308</v>
      </c>
      <c r="B27" s="2">
        <v>2</v>
      </c>
      <c r="C27" s="2"/>
      <c r="D27" s="2"/>
      <c r="E27" s="2"/>
      <c r="F27" s="2"/>
      <c r="G27" s="2" t="str">
        <f t="shared" si="0"/>
        <v>FAIL</v>
      </c>
      <c r="H27" s="2"/>
    </row>
    <row r="28" spans="1:8">
      <c r="A28" s="2" t="s">
        <v>309</v>
      </c>
      <c r="B28" s="2">
        <v>4</v>
      </c>
      <c r="C28" s="2"/>
      <c r="D28" s="2"/>
      <c r="E28" s="2"/>
      <c r="F28" s="2"/>
      <c r="G28" s="2" t="str">
        <f t="shared" si="0"/>
        <v>FAIL</v>
      </c>
      <c r="H28" s="2"/>
    </row>
    <row r="29" spans="1:8">
      <c r="A29" s="2" t="s">
        <v>310</v>
      </c>
      <c r="B29" s="2">
        <v>20</v>
      </c>
      <c r="C29" s="2"/>
      <c r="D29" s="2"/>
      <c r="E29" s="2"/>
      <c r="F29" s="2"/>
      <c r="G29" s="2" t="str">
        <f t="shared" si="0"/>
        <v>FAIL</v>
      </c>
      <c r="H29" s="2"/>
    </row>
    <row r="30" spans="1:8" ht="28">
      <c r="A30" s="2" t="s">
        <v>311</v>
      </c>
      <c r="B30" s="2">
        <v>1</v>
      </c>
      <c r="C30" s="2"/>
      <c r="D30" s="2"/>
      <c r="E30" s="2"/>
      <c r="F30" s="2"/>
      <c r="G30" s="2" t="str">
        <f t="shared" si="0"/>
        <v>FAIL</v>
      </c>
      <c r="H30" s="2"/>
    </row>
    <row r="31" spans="1:8" ht="28">
      <c r="A31" s="2" t="s">
        <v>312</v>
      </c>
      <c r="B31" s="2">
        <v>1</v>
      </c>
      <c r="C31" s="2"/>
      <c r="D31" s="2"/>
      <c r="E31" s="2"/>
      <c r="F31" s="2"/>
      <c r="G31" s="2" t="str">
        <f t="shared" si="0"/>
        <v>FAIL</v>
      </c>
      <c r="H31" s="2"/>
    </row>
    <row r="32" spans="1:8" ht="28">
      <c r="A32" s="2" t="s">
        <v>313</v>
      </c>
      <c r="B32" s="2">
        <v>1</v>
      </c>
      <c r="C32" s="2"/>
      <c r="D32" s="2"/>
      <c r="E32" s="2"/>
      <c r="F32" s="2"/>
      <c r="G32" s="2" t="str">
        <f t="shared" si="0"/>
        <v>FAIL</v>
      </c>
      <c r="H32" s="2"/>
    </row>
    <row r="33" spans="1:8" ht="28">
      <c r="A33" s="2" t="s">
        <v>314</v>
      </c>
      <c r="B33" s="2">
        <v>1</v>
      </c>
      <c r="C33" s="2"/>
      <c r="D33" s="2"/>
      <c r="E33" s="2"/>
      <c r="F33" s="2"/>
      <c r="G33" s="2" t="str">
        <f t="shared" si="0"/>
        <v>FAIL</v>
      </c>
      <c r="H33" s="2"/>
    </row>
    <row r="34" spans="1:8" ht="28">
      <c r="A34" s="2" t="s">
        <v>315</v>
      </c>
      <c r="B34" s="2">
        <v>1</v>
      </c>
      <c r="C34" s="2"/>
      <c r="D34" s="2"/>
      <c r="E34" s="2"/>
      <c r="F34" s="2"/>
      <c r="G34" s="2" t="str">
        <f t="shared" si="0"/>
        <v>FAIL</v>
      </c>
      <c r="H34" s="2"/>
    </row>
    <row r="35" spans="1:8" ht="28">
      <c r="A35" s="2" t="s">
        <v>316</v>
      </c>
      <c r="B35" s="2">
        <v>1</v>
      </c>
      <c r="C35" s="2"/>
      <c r="D35" s="2"/>
      <c r="E35" s="2"/>
      <c r="F35" s="2"/>
      <c r="G35" s="2" t="str">
        <f t="shared" si="0"/>
        <v>FAIL</v>
      </c>
      <c r="H35" s="2"/>
    </row>
    <row r="36" spans="1:8">
      <c r="A36" s="2"/>
      <c r="B36" s="2"/>
      <c r="C36" s="2"/>
      <c r="D36" s="2"/>
      <c r="E36" s="2"/>
      <c r="F36" s="2"/>
      <c r="G36" s="2"/>
      <c r="H36" s="2"/>
    </row>
    <row r="37" spans="1:8">
      <c r="A37" s="2"/>
      <c r="B37" s="2"/>
      <c r="C37" s="2"/>
      <c r="D37" s="2"/>
      <c r="E37" s="2"/>
      <c r="F37" s="2"/>
      <c r="G37" s="2"/>
      <c r="H37" s="2"/>
    </row>
    <row r="38" spans="1:8">
      <c r="A38" s="2"/>
      <c r="B38" s="2"/>
      <c r="C38" s="2"/>
      <c r="D38" s="2"/>
      <c r="E38" s="2"/>
      <c r="F38" s="2"/>
      <c r="G38" s="2"/>
      <c r="H38" s="2"/>
    </row>
    <row r="39" spans="1:8">
      <c r="A39" s="2"/>
      <c r="B39" s="2"/>
      <c r="C39" s="2"/>
      <c r="D39" s="2"/>
      <c r="E39" s="2"/>
      <c r="F39" s="2"/>
      <c r="G39" s="2"/>
      <c r="H39" s="2"/>
    </row>
    <row r="40" spans="1:8">
      <c r="A40" s="2"/>
      <c r="B40" s="2"/>
      <c r="C40" s="2"/>
      <c r="D40" s="2"/>
      <c r="E40" s="2"/>
      <c r="F40" s="2"/>
      <c r="G40" s="2"/>
      <c r="H40" s="2"/>
    </row>
    <row r="41" spans="1:8">
      <c r="A41" s="2"/>
      <c r="B41" s="2"/>
      <c r="C41" s="2"/>
      <c r="D41" s="2"/>
      <c r="E41" s="2"/>
      <c r="F41" s="2"/>
      <c r="G41" s="2"/>
      <c r="H41" s="2"/>
    </row>
    <row r="42" spans="1:8">
      <c r="A42" s="2"/>
      <c r="B42" s="2"/>
      <c r="C42" s="2"/>
      <c r="D42" s="2"/>
      <c r="E42" s="2"/>
      <c r="F42" s="2"/>
      <c r="G42" s="2"/>
      <c r="H42" s="2"/>
    </row>
    <row r="43" spans="1:8">
      <c r="A43" s="2"/>
      <c r="B43" s="2"/>
      <c r="C43" s="2"/>
      <c r="D43" s="2"/>
      <c r="E43" s="2"/>
      <c r="F43" s="2"/>
      <c r="G43" s="2"/>
      <c r="H43" s="2"/>
    </row>
    <row r="44" spans="1:8">
      <c r="A44" s="2"/>
      <c r="B44" s="2"/>
      <c r="C44" s="2"/>
      <c r="D44" s="2"/>
      <c r="E44" s="2"/>
      <c r="F44" s="2"/>
      <c r="G44" s="2"/>
      <c r="H44" s="2"/>
    </row>
    <row r="45" spans="1:8">
      <c r="A45" s="2"/>
      <c r="B45" s="2"/>
      <c r="C45" s="2"/>
      <c r="D45" s="2"/>
      <c r="E45" s="2"/>
      <c r="F45" s="2"/>
      <c r="G45" s="2"/>
      <c r="H45" s="2"/>
    </row>
    <row r="46" spans="1:8">
      <c r="A46" s="2"/>
      <c r="B46" s="2"/>
      <c r="C46" s="2"/>
      <c r="D46" s="2"/>
      <c r="E46" s="2"/>
      <c r="F46" s="2"/>
      <c r="G46" s="2"/>
      <c r="H46" s="2"/>
    </row>
    <row r="47" spans="1:8">
      <c r="A47" s="2"/>
      <c r="B47" s="2"/>
      <c r="C47" s="2"/>
      <c r="D47" s="2"/>
      <c r="E47" s="2"/>
      <c r="F47" s="2"/>
      <c r="G47" s="2"/>
      <c r="H47" s="2"/>
    </row>
    <row r="48" spans="1:8">
      <c r="A48" s="2"/>
      <c r="B48" s="2"/>
      <c r="C48" s="2"/>
      <c r="D48" s="2"/>
      <c r="E48" s="2"/>
      <c r="F48" s="2"/>
      <c r="G48" s="2"/>
      <c r="H48" s="2"/>
    </row>
    <row r="49" spans="1:8">
      <c r="A49" s="2"/>
      <c r="B49" s="2"/>
      <c r="C49" s="2"/>
      <c r="D49" s="2"/>
      <c r="E49" s="2"/>
      <c r="F49" s="2"/>
      <c r="G49" s="2"/>
      <c r="H49" s="2"/>
    </row>
    <row r="50" spans="1:8">
      <c r="A50" s="2"/>
      <c r="B50" s="2"/>
      <c r="C50" s="2"/>
      <c r="D50" s="2"/>
      <c r="E50" s="2"/>
      <c r="F50" s="2"/>
      <c r="G50" s="2"/>
      <c r="H50" s="2"/>
    </row>
    <row r="51" spans="1:8">
      <c r="A51" s="2"/>
      <c r="B51" s="2"/>
      <c r="C51" s="2"/>
      <c r="D51" s="2"/>
      <c r="E51" s="2"/>
      <c r="F51" s="2"/>
      <c r="G51" s="2"/>
      <c r="H51" s="2"/>
    </row>
    <row r="52" spans="1:8">
      <c r="A52" s="2"/>
      <c r="B52" s="2"/>
      <c r="C52" s="2"/>
      <c r="D52" s="2"/>
      <c r="E52" s="2"/>
      <c r="F52" s="2"/>
      <c r="G52" s="2"/>
      <c r="H52" s="2"/>
    </row>
    <row r="53" spans="1:8">
      <c r="A53" s="2"/>
      <c r="B53" s="2"/>
      <c r="C53" s="2"/>
      <c r="D53" s="2"/>
      <c r="E53" s="2"/>
      <c r="F53" s="2"/>
      <c r="G53" s="2"/>
      <c r="H53" s="2"/>
    </row>
    <row r="54" spans="1:8">
      <c r="A54" s="2"/>
      <c r="B54" s="2"/>
      <c r="C54" s="2"/>
      <c r="D54" s="2"/>
      <c r="E54" s="2"/>
      <c r="F54" s="2"/>
      <c r="G54" s="2"/>
      <c r="H54" s="2"/>
    </row>
    <row r="55" spans="1:8">
      <c r="A55" s="2"/>
      <c r="B55" s="2"/>
      <c r="C55" s="2"/>
      <c r="D55" s="2"/>
      <c r="E55" s="2"/>
      <c r="F55" s="2"/>
      <c r="G55" s="2"/>
      <c r="H55" s="2"/>
    </row>
    <row r="56" spans="1:8">
      <c r="A56" s="2"/>
      <c r="B56" s="2"/>
      <c r="C56" s="2"/>
      <c r="D56" s="2"/>
      <c r="E56" s="2"/>
      <c r="F56" s="2"/>
      <c r="G56" s="2"/>
      <c r="H56" s="2"/>
    </row>
    <row r="57" spans="1:8">
      <c r="A57" s="2"/>
      <c r="B57" s="2"/>
      <c r="C57" s="2"/>
      <c r="D57" s="2"/>
      <c r="E57" s="2"/>
      <c r="F57" s="2"/>
      <c r="G57" s="2"/>
      <c r="H57" s="2"/>
    </row>
    <row r="58" spans="1:8">
      <c r="A58" s="2"/>
      <c r="B58" s="2"/>
      <c r="C58" s="2"/>
      <c r="D58" s="2"/>
      <c r="E58" s="2"/>
      <c r="F58" s="2"/>
      <c r="G58" s="2"/>
      <c r="H58" s="2"/>
    </row>
    <row r="59" spans="1:8">
      <c r="A59" s="2"/>
      <c r="B59" s="2"/>
      <c r="C59" s="2"/>
      <c r="D59" s="2"/>
      <c r="E59" s="2"/>
      <c r="F59" s="2"/>
      <c r="G59" s="2"/>
      <c r="H59" s="2"/>
    </row>
    <row r="60" spans="1:8">
      <c r="A60" s="2"/>
      <c r="B60" s="2"/>
      <c r="C60" s="2"/>
      <c r="D60" s="2"/>
      <c r="E60" s="2"/>
      <c r="F60" s="2"/>
      <c r="G60" s="2"/>
      <c r="H60" s="2"/>
    </row>
  </sheetData>
  <mergeCells count="2">
    <mergeCell ref="A1:H1"/>
    <mergeCell ref="A2:H2"/>
  </mergeCells>
  <dataValidations count="2">
    <dataValidation type="list" sqref="B7" xr:uid="{00000000-0002-0000-2900-000000000000}">
      <formula1>"Yes,No"</formula1>
    </dataValidation>
    <dataValidation type="list" sqref="E14:E35" xr:uid="{00000000-0002-0000-2900-000001000000}">
      <formula1>"Yes,No,N/A"</formula1>
    </dataValidation>
  </dataValidation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O113"/>
  <sheetViews>
    <sheetView workbookViewId="0"/>
  </sheetViews>
  <sheetFormatPr defaultRowHeight="14"/>
  <cols>
    <col min="1" max="2" width="17" customWidth="1"/>
    <col min="3" max="3" width="25" customWidth="1"/>
    <col min="4" max="13" width="17" customWidth="1"/>
    <col min="14" max="14" width="28" customWidth="1"/>
    <col min="15" max="15" width="17" customWidth="1"/>
  </cols>
  <sheetData>
    <row r="1" spans="1:15" ht="20">
      <c r="A1" s="6" t="s">
        <v>373</v>
      </c>
      <c r="B1" s="7"/>
      <c r="C1" s="7"/>
      <c r="D1" s="7"/>
      <c r="E1" s="7"/>
      <c r="F1" s="7"/>
      <c r="G1" s="7"/>
      <c r="H1" s="7"/>
      <c r="I1" s="7"/>
      <c r="J1" s="7"/>
      <c r="K1" s="7"/>
      <c r="L1" s="7"/>
      <c r="M1" s="7"/>
      <c r="N1" s="7"/>
      <c r="O1" s="7"/>
    </row>
    <row r="2" spans="1:15" ht="14.5">
      <c r="A2" s="8" t="s">
        <v>318</v>
      </c>
      <c r="B2" s="7"/>
      <c r="C2" s="7"/>
      <c r="D2" s="7"/>
      <c r="E2" s="7"/>
      <c r="F2" s="7"/>
      <c r="G2" s="7"/>
      <c r="H2" s="7"/>
      <c r="I2" s="7"/>
      <c r="J2" s="7"/>
      <c r="K2" s="7"/>
      <c r="L2" s="7"/>
      <c r="M2" s="7"/>
      <c r="N2" s="7"/>
      <c r="O2" s="7"/>
    </row>
    <row r="4" spans="1:15">
      <c r="A4" s="3" t="s">
        <v>107</v>
      </c>
      <c r="B4" t="s">
        <v>370</v>
      </c>
    </row>
    <row r="5" spans="1:15">
      <c r="A5" s="3" t="s">
        <v>110</v>
      </c>
    </row>
    <row r="6" spans="1:15">
      <c r="A6" s="3" t="s">
        <v>229</v>
      </c>
    </row>
    <row r="7" spans="1:15">
      <c r="A7" s="3" t="s">
        <v>230</v>
      </c>
    </row>
    <row r="8" spans="1:15">
      <c r="A8" s="3" t="s">
        <v>319</v>
      </c>
      <c r="B8">
        <f>COUNTA(A14:A113)</f>
        <v>0</v>
      </c>
    </row>
    <row r="9" spans="1:15" ht="28">
      <c r="A9" s="3" t="s">
        <v>320</v>
      </c>
      <c r="B9">
        <f>COUNTIF(O14:O113,"FAIL")</f>
        <v>0</v>
      </c>
    </row>
    <row r="10" spans="1:15">
      <c r="A10" s="3" t="s">
        <v>46</v>
      </c>
      <c r="B10" t="str">
        <f>IF(AND(B7="Yes",B9=0),"Complete","Incomplete")</f>
        <v>Incomplete</v>
      </c>
    </row>
    <row r="13" spans="1:15" ht="42">
      <c r="A13" s="1" t="s">
        <v>120</v>
      </c>
      <c r="B13" s="1" t="s">
        <v>121</v>
      </c>
      <c r="C13" s="1" t="s">
        <v>321</v>
      </c>
      <c r="D13" s="1" t="s">
        <v>234</v>
      </c>
      <c r="E13" s="1" t="s">
        <v>235</v>
      </c>
      <c r="F13" s="1" t="s">
        <v>294</v>
      </c>
      <c r="G13" s="1" t="s">
        <v>322</v>
      </c>
      <c r="H13" s="1" t="s">
        <v>323</v>
      </c>
      <c r="I13" s="1" t="s">
        <v>324</v>
      </c>
      <c r="J13" s="1" t="s">
        <v>149</v>
      </c>
      <c r="K13" s="1" t="s">
        <v>325</v>
      </c>
      <c r="L13" s="1" t="s">
        <v>326</v>
      </c>
      <c r="M13" s="1" t="s">
        <v>327</v>
      </c>
      <c r="N13" s="1" t="s">
        <v>239</v>
      </c>
      <c r="O13" s="1" t="s">
        <v>328</v>
      </c>
    </row>
    <row r="14" spans="1:15">
      <c r="A14" s="2"/>
      <c r="B14" s="2"/>
      <c r="C14" s="2"/>
      <c r="D14" s="2"/>
      <c r="E14" s="2"/>
      <c r="F14" s="2"/>
      <c r="G14" s="2"/>
      <c r="H14" s="2"/>
      <c r="I14" s="2"/>
      <c r="J14" s="2"/>
      <c r="K14" s="2"/>
      <c r="L14" s="2"/>
      <c r="M14" s="2"/>
      <c r="N14" s="2"/>
      <c r="O14" s="2" t="str">
        <f t="shared" ref="O14:O45" si="0">IF(OR(E14&lt;D14,F14="No",G14="No",H14="No",I14="No",J14="No",K14="No",L14="No",M14="No"),"FAIL","PASS")</f>
        <v>PASS</v>
      </c>
    </row>
    <row r="15" spans="1:15">
      <c r="A15" s="2"/>
      <c r="B15" s="2"/>
      <c r="C15" s="2"/>
      <c r="D15" s="2"/>
      <c r="E15" s="2"/>
      <c r="F15" s="2"/>
      <c r="G15" s="2"/>
      <c r="H15" s="2"/>
      <c r="I15" s="2"/>
      <c r="J15" s="2"/>
      <c r="K15" s="2"/>
      <c r="L15" s="2"/>
      <c r="M15" s="2"/>
      <c r="N15" s="2"/>
      <c r="O15" s="2" t="str">
        <f t="shared" si="0"/>
        <v>PASS</v>
      </c>
    </row>
    <row r="16" spans="1:15">
      <c r="A16" s="2"/>
      <c r="B16" s="2"/>
      <c r="C16" s="2"/>
      <c r="D16" s="2"/>
      <c r="E16" s="2"/>
      <c r="F16" s="2"/>
      <c r="G16" s="2"/>
      <c r="H16" s="2"/>
      <c r="I16" s="2"/>
      <c r="J16" s="2"/>
      <c r="K16" s="2"/>
      <c r="L16" s="2"/>
      <c r="M16" s="2"/>
      <c r="N16" s="2"/>
      <c r="O16" s="2" t="str">
        <f t="shared" si="0"/>
        <v>PASS</v>
      </c>
    </row>
    <row r="17" spans="1:15">
      <c r="A17" s="2"/>
      <c r="B17" s="2"/>
      <c r="C17" s="2"/>
      <c r="D17" s="2"/>
      <c r="E17" s="2"/>
      <c r="F17" s="2"/>
      <c r="G17" s="2"/>
      <c r="H17" s="2"/>
      <c r="I17" s="2"/>
      <c r="J17" s="2"/>
      <c r="K17" s="2"/>
      <c r="L17" s="2"/>
      <c r="M17" s="2"/>
      <c r="N17" s="2"/>
      <c r="O17" s="2" t="str">
        <f t="shared" si="0"/>
        <v>PASS</v>
      </c>
    </row>
    <row r="18" spans="1:15">
      <c r="A18" s="2"/>
      <c r="B18" s="2"/>
      <c r="C18" s="2"/>
      <c r="D18" s="2"/>
      <c r="E18" s="2"/>
      <c r="F18" s="2"/>
      <c r="G18" s="2"/>
      <c r="H18" s="2"/>
      <c r="I18" s="2"/>
      <c r="J18" s="2"/>
      <c r="K18" s="2"/>
      <c r="L18" s="2"/>
      <c r="M18" s="2"/>
      <c r="N18" s="2"/>
      <c r="O18" s="2" t="str">
        <f t="shared" si="0"/>
        <v>PASS</v>
      </c>
    </row>
    <row r="19" spans="1:15">
      <c r="A19" s="2"/>
      <c r="B19" s="2"/>
      <c r="C19" s="2"/>
      <c r="D19" s="2"/>
      <c r="E19" s="2"/>
      <c r="F19" s="2"/>
      <c r="G19" s="2"/>
      <c r="H19" s="2"/>
      <c r="I19" s="2"/>
      <c r="J19" s="2"/>
      <c r="K19" s="2"/>
      <c r="L19" s="2"/>
      <c r="M19" s="2"/>
      <c r="N19" s="2"/>
      <c r="O19" s="2" t="str">
        <f t="shared" si="0"/>
        <v>PASS</v>
      </c>
    </row>
    <row r="20" spans="1:15">
      <c r="A20" s="2"/>
      <c r="B20" s="2"/>
      <c r="C20" s="2"/>
      <c r="D20" s="2"/>
      <c r="E20" s="2"/>
      <c r="F20" s="2"/>
      <c r="G20" s="2"/>
      <c r="H20" s="2"/>
      <c r="I20" s="2"/>
      <c r="J20" s="2"/>
      <c r="K20" s="2"/>
      <c r="L20" s="2"/>
      <c r="M20" s="2"/>
      <c r="N20" s="2"/>
      <c r="O20" s="2" t="str">
        <f t="shared" si="0"/>
        <v>PASS</v>
      </c>
    </row>
    <row r="21" spans="1:15">
      <c r="A21" s="2"/>
      <c r="B21" s="2"/>
      <c r="C21" s="2"/>
      <c r="D21" s="2"/>
      <c r="E21" s="2"/>
      <c r="F21" s="2"/>
      <c r="G21" s="2"/>
      <c r="H21" s="2"/>
      <c r="I21" s="2"/>
      <c r="J21" s="2"/>
      <c r="K21" s="2"/>
      <c r="L21" s="2"/>
      <c r="M21" s="2"/>
      <c r="N21" s="2"/>
      <c r="O21" s="2" t="str">
        <f t="shared" si="0"/>
        <v>PASS</v>
      </c>
    </row>
    <row r="22" spans="1:15">
      <c r="A22" s="2"/>
      <c r="B22" s="2"/>
      <c r="C22" s="2"/>
      <c r="D22" s="2"/>
      <c r="E22" s="2"/>
      <c r="F22" s="2"/>
      <c r="G22" s="2"/>
      <c r="H22" s="2"/>
      <c r="I22" s="2"/>
      <c r="J22" s="2"/>
      <c r="K22" s="2"/>
      <c r="L22" s="2"/>
      <c r="M22" s="2"/>
      <c r="N22" s="2"/>
      <c r="O22" s="2" t="str">
        <f t="shared" si="0"/>
        <v>PASS</v>
      </c>
    </row>
    <row r="23" spans="1:15">
      <c r="A23" s="2"/>
      <c r="B23" s="2"/>
      <c r="C23" s="2"/>
      <c r="D23" s="2"/>
      <c r="E23" s="2"/>
      <c r="F23" s="2"/>
      <c r="G23" s="2"/>
      <c r="H23" s="2"/>
      <c r="I23" s="2"/>
      <c r="J23" s="2"/>
      <c r="K23" s="2"/>
      <c r="L23" s="2"/>
      <c r="M23" s="2"/>
      <c r="N23" s="2"/>
      <c r="O23" s="2" t="str">
        <f t="shared" si="0"/>
        <v>PASS</v>
      </c>
    </row>
    <row r="24" spans="1:15">
      <c r="A24" s="2"/>
      <c r="B24" s="2"/>
      <c r="C24" s="2"/>
      <c r="D24" s="2"/>
      <c r="E24" s="2"/>
      <c r="F24" s="2"/>
      <c r="G24" s="2"/>
      <c r="H24" s="2"/>
      <c r="I24" s="2"/>
      <c r="J24" s="2"/>
      <c r="K24" s="2"/>
      <c r="L24" s="2"/>
      <c r="M24" s="2"/>
      <c r="N24" s="2"/>
      <c r="O24" s="2" t="str">
        <f t="shared" si="0"/>
        <v>PASS</v>
      </c>
    </row>
    <row r="25" spans="1:15">
      <c r="A25" s="2"/>
      <c r="B25" s="2"/>
      <c r="C25" s="2"/>
      <c r="D25" s="2"/>
      <c r="E25" s="2"/>
      <c r="F25" s="2"/>
      <c r="G25" s="2"/>
      <c r="H25" s="2"/>
      <c r="I25" s="2"/>
      <c r="J25" s="2"/>
      <c r="K25" s="2"/>
      <c r="L25" s="2"/>
      <c r="M25" s="2"/>
      <c r="N25" s="2"/>
      <c r="O25" s="2" t="str">
        <f t="shared" si="0"/>
        <v>PASS</v>
      </c>
    </row>
    <row r="26" spans="1:15">
      <c r="A26" s="2"/>
      <c r="B26" s="2"/>
      <c r="C26" s="2"/>
      <c r="D26" s="2"/>
      <c r="E26" s="2"/>
      <c r="F26" s="2"/>
      <c r="G26" s="2"/>
      <c r="H26" s="2"/>
      <c r="I26" s="2"/>
      <c r="J26" s="2"/>
      <c r="K26" s="2"/>
      <c r="L26" s="2"/>
      <c r="M26" s="2"/>
      <c r="N26" s="2"/>
      <c r="O26" s="2" t="str">
        <f t="shared" si="0"/>
        <v>PASS</v>
      </c>
    </row>
    <row r="27" spans="1:15">
      <c r="A27" s="2"/>
      <c r="B27" s="2"/>
      <c r="C27" s="2"/>
      <c r="D27" s="2"/>
      <c r="E27" s="2"/>
      <c r="F27" s="2"/>
      <c r="G27" s="2"/>
      <c r="H27" s="2"/>
      <c r="I27" s="2"/>
      <c r="J27" s="2"/>
      <c r="K27" s="2"/>
      <c r="L27" s="2"/>
      <c r="M27" s="2"/>
      <c r="N27" s="2"/>
      <c r="O27" s="2" t="str">
        <f t="shared" si="0"/>
        <v>PASS</v>
      </c>
    </row>
    <row r="28" spans="1:15">
      <c r="A28" s="2"/>
      <c r="B28" s="2"/>
      <c r="C28" s="2"/>
      <c r="D28" s="2"/>
      <c r="E28" s="2"/>
      <c r="F28" s="2"/>
      <c r="G28" s="2"/>
      <c r="H28" s="2"/>
      <c r="I28" s="2"/>
      <c r="J28" s="2"/>
      <c r="K28" s="2"/>
      <c r="L28" s="2"/>
      <c r="M28" s="2"/>
      <c r="N28" s="2"/>
      <c r="O28" s="2" t="str">
        <f t="shared" si="0"/>
        <v>PASS</v>
      </c>
    </row>
    <row r="29" spans="1:15">
      <c r="A29" s="2"/>
      <c r="B29" s="2"/>
      <c r="C29" s="2"/>
      <c r="D29" s="2"/>
      <c r="E29" s="2"/>
      <c r="F29" s="2"/>
      <c r="G29" s="2"/>
      <c r="H29" s="2"/>
      <c r="I29" s="2"/>
      <c r="J29" s="2"/>
      <c r="K29" s="2"/>
      <c r="L29" s="2"/>
      <c r="M29" s="2"/>
      <c r="N29" s="2"/>
      <c r="O29" s="2" t="str">
        <f t="shared" si="0"/>
        <v>PASS</v>
      </c>
    </row>
    <row r="30" spans="1:15">
      <c r="A30" s="2"/>
      <c r="B30" s="2"/>
      <c r="C30" s="2"/>
      <c r="D30" s="2"/>
      <c r="E30" s="2"/>
      <c r="F30" s="2"/>
      <c r="G30" s="2"/>
      <c r="H30" s="2"/>
      <c r="I30" s="2"/>
      <c r="J30" s="2"/>
      <c r="K30" s="2"/>
      <c r="L30" s="2"/>
      <c r="M30" s="2"/>
      <c r="N30" s="2"/>
      <c r="O30" s="2" t="str">
        <f t="shared" si="0"/>
        <v>PASS</v>
      </c>
    </row>
    <row r="31" spans="1:15">
      <c r="A31" s="2"/>
      <c r="B31" s="2"/>
      <c r="C31" s="2"/>
      <c r="D31" s="2"/>
      <c r="E31" s="2"/>
      <c r="F31" s="2"/>
      <c r="G31" s="2"/>
      <c r="H31" s="2"/>
      <c r="I31" s="2"/>
      <c r="J31" s="2"/>
      <c r="K31" s="2"/>
      <c r="L31" s="2"/>
      <c r="M31" s="2"/>
      <c r="N31" s="2"/>
      <c r="O31" s="2" t="str">
        <f t="shared" si="0"/>
        <v>PASS</v>
      </c>
    </row>
    <row r="32" spans="1:15">
      <c r="A32" s="2"/>
      <c r="B32" s="2"/>
      <c r="C32" s="2"/>
      <c r="D32" s="2"/>
      <c r="E32" s="2"/>
      <c r="F32" s="2"/>
      <c r="G32" s="2"/>
      <c r="H32" s="2"/>
      <c r="I32" s="2"/>
      <c r="J32" s="2"/>
      <c r="K32" s="2"/>
      <c r="L32" s="2"/>
      <c r="M32" s="2"/>
      <c r="N32" s="2"/>
      <c r="O32" s="2" t="str">
        <f t="shared" si="0"/>
        <v>PASS</v>
      </c>
    </row>
    <row r="33" spans="1:15">
      <c r="A33" s="2"/>
      <c r="B33" s="2"/>
      <c r="C33" s="2"/>
      <c r="D33" s="2"/>
      <c r="E33" s="2"/>
      <c r="F33" s="2"/>
      <c r="G33" s="2"/>
      <c r="H33" s="2"/>
      <c r="I33" s="2"/>
      <c r="J33" s="2"/>
      <c r="K33" s="2"/>
      <c r="L33" s="2"/>
      <c r="M33" s="2"/>
      <c r="N33" s="2"/>
      <c r="O33" s="2" t="str">
        <f t="shared" si="0"/>
        <v>PASS</v>
      </c>
    </row>
    <row r="34" spans="1:15">
      <c r="A34" s="2"/>
      <c r="B34" s="2"/>
      <c r="C34" s="2"/>
      <c r="D34" s="2"/>
      <c r="E34" s="2"/>
      <c r="F34" s="2"/>
      <c r="G34" s="2"/>
      <c r="H34" s="2"/>
      <c r="I34" s="2"/>
      <c r="J34" s="2"/>
      <c r="K34" s="2"/>
      <c r="L34" s="2"/>
      <c r="M34" s="2"/>
      <c r="N34" s="2"/>
      <c r="O34" s="2" t="str">
        <f t="shared" si="0"/>
        <v>PASS</v>
      </c>
    </row>
    <row r="35" spans="1:15">
      <c r="A35" s="2"/>
      <c r="B35" s="2"/>
      <c r="C35" s="2"/>
      <c r="D35" s="2"/>
      <c r="E35" s="2"/>
      <c r="F35" s="2"/>
      <c r="G35" s="2"/>
      <c r="H35" s="2"/>
      <c r="I35" s="2"/>
      <c r="J35" s="2"/>
      <c r="K35" s="2"/>
      <c r="L35" s="2"/>
      <c r="M35" s="2"/>
      <c r="N35" s="2"/>
      <c r="O35" s="2" t="str">
        <f t="shared" si="0"/>
        <v>PASS</v>
      </c>
    </row>
    <row r="36" spans="1:15">
      <c r="A36" s="2"/>
      <c r="B36" s="2"/>
      <c r="C36" s="2"/>
      <c r="D36" s="2"/>
      <c r="E36" s="2"/>
      <c r="F36" s="2"/>
      <c r="G36" s="2"/>
      <c r="H36" s="2"/>
      <c r="I36" s="2"/>
      <c r="J36" s="2"/>
      <c r="K36" s="2"/>
      <c r="L36" s="2"/>
      <c r="M36" s="2"/>
      <c r="N36" s="2"/>
      <c r="O36" s="2" t="str">
        <f t="shared" si="0"/>
        <v>PASS</v>
      </c>
    </row>
    <row r="37" spans="1:15">
      <c r="A37" s="2"/>
      <c r="B37" s="2"/>
      <c r="C37" s="2"/>
      <c r="D37" s="2"/>
      <c r="E37" s="2"/>
      <c r="F37" s="2"/>
      <c r="G37" s="2"/>
      <c r="H37" s="2"/>
      <c r="I37" s="2"/>
      <c r="J37" s="2"/>
      <c r="K37" s="2"/>
      <c r="L37" s="2"/>
      <c r="M37" s="2"/>
      <c r="N37" s="2"/>
      <c r="O37" s="2" t="str">
        <f t="shared" si="0"/>
        <v>PASS</v>
      </c>
    </row>
    <row r="38" spans="1:15">
      <c r="A38" s="2"/>
      <c r="B38" s="2"/>
      <c r="C38" s="2"/>
      <c r="D38" s="2"/>
      <c r="E38" s="2"/>
      <c r="F38" s="2"/>
      <c r="G38" s="2"/>
      <c r="H38" s="2"/>
      <c r="I38" s="2"/>
      <c r="J38" s="2"/>
      <c r="K38" s="2"/>
      <c r="L38" s="2"/>
      <c r="M38" s="2"/>
      <c r="N38" s="2"/>
      <c r="O38" s="2" t="str">
        <f t="shared" si="0"/>
        <v>PASS</v>
      </c>
    </row>
    <row r="39" spans="1:15">
      <c r="A39" s="2"/>
      <c r="B39" s="2"/>
      <c r="C39" s="2"/>
      <c r="D39" s="2"/>
      <c r="E39" s="2"/>
      <c r="F39" s="2"/>
      <c r="G39" s="2"/>
      <c r="H39" s="2"/>
      <c r="I39" s="2"/>
      <c r="J39" s="2"/>
      <c r="K39" s="2"/>
      <c r="L39" s="2"/>
      <c r="M39" s="2"/>
      <c r="N39" s="2"/>
      <c r="O39" s="2" t="str">
        <f t="shared" si="0"/>
        <v>PASS</v>
      </c>
    </row>
    <row r="40" spans="1:15">
      <c r="A40" s="2"/>
      <c r="B40" s="2"/>
      <c r="C40" s="2"/>
      <c r="D40" s="2"/>
      <c r="E40" s="2"/>
      <c r="F40" s="2"/>
      <c r="G40" s="2"/>
      <c r="H40" s="2"/>
      <c r="I40" s="2"/>
      <c r="J40" s="2"/>
      <c r="K40" s="2"/>
      <c r="L40" s="2"/>
      <c r="M40" s="2"/>
      <c r="N40" s="2"/>
      <c r="O40" s="2" t="str">
        <f t="shared" si="0"/>
        <v>PASS</v>
      </c>
    </row>
    <row r="41" spans="1:15">
      <c r="A41" s="2"/>
      <c r="B41" s="2"/>
      <c r="C41" s="2"/>
      <c r="D41" s="2"/>
      <c r="E41" s="2"/>
      <c r="F41" s="2"/>
      <c r="G41" s="2"/>
      <c r="H41" s="2"/>
      <c r="I41" s="2"/>
      <c r="J41" s="2"/>
      <c r="K41" s="2"/>
      <c r="L41" s="2"/>
      <c r="M41" s="2"/>
      <c r="N41" s="2"/>
      <c r="O41" s="2" t="str">
        <f t="shared" si="0"/>
        <v>PASS</v>
      </c>
    </row>
    <row r="42" spans="1:15">
      <c r="A42" s="2"/>
      <c r="B42" s="2"/>
      <c r="C42" s="2"/>
      <c r="D42" s="2"/>
      <c r="E42" s="2"/>
      <c r="F42" s="2"/>
      <c r="G42" s="2"/>
      <c r="H42" s="2"/>
      <c r="I42" s="2"/>
      <c r="J42" s="2"/>
      <c r="K42" s="2"/>
      <c r="L42" s="2"/>
      <c r="M42" s="2"/>
      <c r="N42" s="2"/>
      <c r="O42" s="2" t="str">
        <f t="shared" si="0"/>
        <v>PASS</v>
      </c>
    </row>
    <row r="43" spans="1:15">
      <c r="A43" s="2"/>
      <c r="B43" s="2"/>
      <c r="C43" s="2"/>
      <c r="D43" s="2"/>
      <c r="E43" s="2"/>
      <c r="F43" s="2"/>
      <c r="G43" s="2"/>
      <c r="H43" s="2"/>
      <c r="I43" s="2"/>
      <c r="J43" s="2"/>
      <c r="K43" s="2"/>
      <c r="L43" s="2"/>
      <c r="M43" s="2"/>
      <c r="N43" s="2"/>
      <c r="O43" s="2" t="str">
        <f t="shared" si="0"/>
        <v>PASS</v>
      </c>
    </row>
    <row r="44" spans="1:15">
      <c r="A44" s="2"/>
      <c r="B44" s="2"/>
      <c r="C44" s="2"/>
      <c r="D44" s="2"/>
      <c r="E44" s="2"/>
      <c r="F44" s="2"/>
      <c r="G44" s="2"/>
      <c r="H44" s="2"/>
      <c r="I44" s="2"/>
      <c r="J44" s="2"/>
      <c r="K44" s="2"/>
      <c r="L44" s="2"/>
      <c r="M44" s="2"/>
      <c r="N44" s="2"/>
      <c r="O44" s="2" t="str">
        <f t="shared" si="0"/>
        <v>PASS</v>
      </c>
    </row>
    <row r="45" spans="1:15">
      <c r="A45" s="2"/>
      <c r="B45" s="2"/>
      <c r="C45" s="2"/>
      <c r="D45" s="2"/>
      <c r="E45" s="2"/>
      <c r="F45" s="2"/>
      <c r="G45" s="2"/>
      <c r="H45" s="2"/>
      <c r="I45" s="2"/>
      <c r="J45" s="2"/>
      <c r="K45" s="2"/>
      <c r="L45" s="2"/>
      <c r="M45" s="2"/>
      <c r="N45" s="2"/>
      <c r="O45" s="2" t="str">
        <f t="shared" si="0"/>
        <v>PASS</v>
      </c>
    </row>
    <row r="46" spans="1:15">
      <c r="A46" s="2"/>
      <c r="B46" s="2"/>
      <c r="C46" s="2"/>
      <c r="D46" s="2"/>
      <c r="E46" s="2"/>
      <c r="F46" s="2"/>
      <c r="G46" s="2"/>
      <c r="H46" s="2"/>
      <c r="I46" s="2"/>
      <c r="J46" s="2"/>
      <c r="K46" s="2"/>
      <c r="L46" s="2"/>
      <c r="M46" s="2"/>
      <c r="N46" s="2"/>
      <c r="O46" s="2" t="str">
        <f t="shared" ref="O46:O77" si="1">IF(OR(E46&lt;D46,F46="No",G46="No",H46="No",I46="No",J46="No",K46="No",L46="No",M46="No"),"FAIL","PASS")</f>
        <v>PASS</v>
      </c>
    </row>
    <row r="47" spans="1:15">
      <c r="A47" s="2"/>
      <c r="B47" s="2"/>
      <c r="C47" s="2"/>
      <c r="D47" s="2"/>
      <c r="E47" s="2"/>
      <c r="F47" s="2"/>
      <c r="G47" s="2"/>
      <c r="H47" s="2"/>
      <c r="I47" s="2"/>
      <c r="J47" s="2"/>
      <c r="K47" s="2"/>
      <c r="L47" s="2"/>
      <c r="M47" s="2"/>
      <c r="N47" s="2"/>
      <c r="O47" s="2" t="str">
        <f t="shared" si="1"/>
        <v>PASS</v>
      </c>
    </row>
    <row r="48" spans="1:15">
      <c r="A48" s="2"/>
      <c r="B48" s="2"/>
      <c r="C48" s="2"/>
      <c r="D48" s="2"/>
      <c r="E48" s="2"/>
      <c r="F48" s="2"/>
      <c r="G48" s="2"/>
      <c r="H48" s="2"/>
      <c r="I48" s="2"/>
      <c r="J48" s="2"/>
      <c r="K48" s="2"/>
      <c r="L48" s="2"/>
      <c r="M48" s="2"/>
      <c r="N48" s="2"/>
      <c r="O48" s="2" t="str">
        <f t="shared" si="1"/>
        <v>PASS</v>
      </c>
    </row>
    <row r="49" spans="1:15">
      <c r="A49" s="2"/>
      <c r="B49" s="2"/>
      <c r="C49" s="2"/>
      <c r="D49" s="2"/>
      <c r="E49" s="2"/>
      <c r="F49" s="2"/>
      <c r="G49" s="2"/>
      <c r="H49" s="2"/>
      <c r="I49" s="2"/>
      <c r="J49" s="2"/>
      <c r="K49" s="2"/>
      <c r="L49" s="2"/>
      <c r="M49" s="2"/>
      <c r="N49" s="2"/>
      <c r="O49" s="2" t="str">
        <f t="shared" si="1"/>
        <v>PASS</v>
      </c>
    </row>
    <row r="50" spans="1:15">
      <c r="A50" s="2"/>
      <c r="B50" s="2"/>
      <c r="C50" s="2"/>
      <c r="D50" s="2"/>
      <c r="E50" s="2"/>
      <c r="F50" s="2"/>
      <c r="G50" s="2"/>
      <c r="H50" s="2"/>
      <c r="I50" s="2"/>
      <c r="J50" s="2"/>
      <c r="K50" s="2"/>
      <c r="L50" s="2"/>
      <c r="M50" s="2"/>
      <c r="N50" s="2"/>
      <c r="O50" s="2" t="str">
        <f t="shared" si="1"/>
        <v>PASS</v>
      </c>
    </row>
    <row r="51" spans="1:15">
      <c r="A51" s="2"/>
      <c r="B51" s="2"/>
      <c r="C51" s="2"/>
      <c r="D51" s="2"/>
      <c r="E51" s="2"/>
      <c r="F51" s="2"/>
      <c r="G51" s="2"/>
      <c r="H51" s="2"/>
      <c r="I51" s="2"/>
      <c r="J51" s="2"/>
      <c r="K51" s="2"/>
      <c r="L51" s="2"/>
      <c r="M51" s="2"/>
      <c r="N51" s="2"/>
      <c r="O51" s="2" t="str">
        <f t="shared" si="1"/>
        <v>PASS</v>
      </c>
    </row>
    <row r="52" spans="1:15">
      <c r="A52" s="2"/>
      <c r="B52" s="2"/>
      <c r="C52" s="2"/>
      <c r="D52" s="2"/>
      <c r="E52" s="2"/>
      <c r="F52" s="2"/>
      <c r="G52" s="2"/>
      <c r="H52" s="2"/>
      <c r="I52" s="2"/>
      <c r="J52" s="2"/>
      <c r="K52" s="2"/>
      <c r="L52" s="2"/>
      <c r="M52" s="2"/>
      <c r="N52" s="2"/>
      <c r="O52" s="2" t="str">
        <f t="shared" si="1"/>
        <v>PASS</v>
      </c>
    </row>
    <row r="53" spans="1:15">
      <c r="A53" s="2"/>
      <c r="B53" s="2"/>
      <c r="C53" s="2"/>
      <c r="D53" s="2"/>
      <c r="E53" s="2"/>
      <c r="F53" s="2"/>
      <c r="G53" s="2"/>
      <c r="H53" s="2"/>
      <c r="I53" s="2"/>
      <c r="J53" s="2"/>
      <c r="K53" s="2"/>
      <c r="L53" s="2"/>
      <c r="M53" s="2"/>
      <c r="N53" s="2"/>
      <c r="O53" s="2" t="str">
        <f t="shared" si="1"/>
        <v>PASS</v>
      </c>
    </row>
    <row r="54" spans="1:15">
      <c r="A54" s="2"/>
      <c r="B54" s="2"/>
      <c r="C54" s="2"/>
      <c r="D54" s="2"/>
      <c r="E54" s="2"/>
      <c r="F54" s="2"/>
      <c r="G54" s="2"/>
      <c r="H54" s="2"/>
      <c r="I54" s="2"/>
      <c r="J54" s="2"/>
      <c r="K54" s="2"/>
      <c r="L54" s="2"/>
      <c r="M54" s="2"/>
      <c r="N54" s="2"/>
      <c r="O54" s="2" t="str">
        <f t="shared" si="1"/>
        <v>PASS</v>
      </c>
    </row>
    <row r="55" spans="1:15">
      <c r="A55" s="2"/>
      <c r="B55" s="2"/>
      <c r="C55" s="2"/>
      <c r="D55" s="2"/>
      <c r="E55" s="2"/>
      <c r="F55" s="2"/>
      <c r="G55" s="2"/>
      <c r="H55" s="2"/>
      <c r="I55" s="2"/>
      <c r="J55" s="2"/>
      <c r="K55" s="2"/>
      <c r="L55" s="2"/>
      <c r="M55" s="2"/>
      <c r="N55" s="2"/>
      <c r="O55" s="2" t="str">
        <f t="shared" si="1"/>
        <v>PASS</v>
      </c>
    </row>
    <row r="56" spans="1:15">
      <c r="A56" s="2"/>
      <c r="B56" s="2"/>
      <c r="C56" s="2"/>
      <c r="D56" s="2"/>
      <c r="E56" s="2"/>
      <c r="F56" s="2"/>
      <c r="G56" s="2"/>
      <c r="H56" s="2"/>
      <c r="I56" s="2"/>
      <c r="J56" s="2"/>
      <c r="K56" s="2"/>
      <c r="L56" s="2"/>
      <c r="M56" s="2"/>
      <c r="N56" s="2"/>
      <c r="O56" s="2" t="str">
        <f t="shared" si="1"/>
        <v>PASS</v>
      </c>
    </row>
    <row r="57" spans="1:15">
      <c r="A57" s="2"/>
      <c r="B57" s="2"/>
      <c r="C57" s="2"/>
      <c r="D57" s="2"/>
      <c r="E57" s="2"/>
      <c r="F57" s="2"/>
      <c r="G57" s="2"/>
      <c r="H57" s="2"/>
      <c r="I57" s="2"/>
      <c r="J57" s="2"/>
      <c r="K57" s="2"/>
      <c r="L57" s="2"/>
      <c r="M57" s="2"/>
      <c r="N57" s="2"/>
      <c r="O57" s="2" t="str">
        <f t="shared" si="1"/>
        <v>PASS</v>
      </c>
    </row>
    <row r="58" spans="1:15">
      <c r="A58" s="2"/>
      <c r="B58" s="2"/>
      <c r="C58" s="2"/>
      <c r="D58" s="2"/>
      <c r="E58" s="2"/>
      <c r="F58" s="2"/>
      <c r="G58" s="2"/>
      <c r="H58" s="2"/>
      <c r="I58" s="2"/>
      <c r="J58" s="2"/>
      <c r="K58" s="2"/>
      <c r="L58" s="2"/>
      <c r="M58" s="2"/>
      <c r="N58" s="2"/>
      <c r="O58" s="2" t="str">
        <f t="shared" si="1"/>
        <v>PASS</v>
      </c>
    </row>
    <row r="59" spans="1:15">
      <c r="A59" s="2"/>
      <c r="B59" s="2"/>
      <c r="C59" s="2"/>
      <c r="D59" s="2"/>
      <c r="E59" s="2"/>
      <c r="F59" s="2"/>
      <c r="G59" s="2"/>
      <c r="H59" s="2"/>
      <c r="I59" s="2"/>
      <c r="J59" s="2"/>
      <c r="K59" s="2"/>
      <c r="L59" s="2"/>
      <c r="M59" s="2"/>
      <c r="N59" s="2"/>
      <c r="O59" s="2" t="str">
        <f t="shared" si="1"/>
        <v>PASS</v>
      </c>
    </row>
    <row r="60" spans="1:15">
      <c r="A60" s="2"/>
      <c r="B60" s="2"/>
      <c r="C60" s="2"/>
      <c r="D60" s="2"/>
      <c r="E60" s="2"/>
      <c r="F60" s="2"/>
      <c r="G60" s="2"/>
      <c r="H60" s="2"/>
      <c r="I60" s="2"/>
      <c r="J60" s="2"/>
      <c r="K60" s="2"/>
      <c r="L60" s="2"/>
      <c r="M60" s="2"/>
      <c r="N60" s="2"/>
      <c r="O60" s="2" t="str">
        <f t="shared" si="1"/>
        <v>PASS</v>
      </c>
    </row>
    <row r="61" spans="1:15">
      <c r="A61" s="2"/>
      <c r="B61" s="2"/>
      <c r="C61" s="2"/>
      <c r="D61" s="2"/>
      <c r="E61" s="2"/>
      <c r="F61" s="2"/>
      <c r="G61" s="2"/>
      <c r="H61" s="2"/>
      <c r="I61" s="2"/>
      <c r="J61" s="2"/>
      <c r="K61" s="2"/>
      <c r="L61" s="2"/>
      <c r="M61" s="2"/>
      <c r="N61" s="2"/>
      <c r="O61" s="2" t="str">
        <f t="shared" si="1"/>
        <v>PASS</v>
      </c>
    </row>
    <row r="62" spans="1:15">
      <c r="A62" s="2"/>
      <c r="B62" s="2"/>
      <c r="C62" s="2"/>
      <c r="D62" s="2"/>
      <c r="E62" s="2"/>
      <c r="F62" s="2"/>
      <c r="G62" s="2"/>
      <c r="H62" s="2"/>
      <c r="I62" s="2"/>
      <c r="J62" s="2"/>
      <c r="K62" s="2"/>
      <c r="L62" s="2"/>
      <c r="M62" s="2"/>
      <c r="N62" s="2"/>
      <c r="O62" s="2" t="str">
        <f t="shared" si="1"/>
        <v>PASS</v>
      </c>
    </row>
    <row r="63" spans="1:15">
      <c r="A63" s="2"/>
      <c r="B63" s="2"/>
      <c r="C63" s="2"/>
      <c r="D63" s="2"/>
      <c r="E63" s="2"/>
      <c r="F63" s="2"/>
      <c r="G63" s="2"/>
      <c r="H63" s="2"/>
      <c r="I63" s="2"/>
      <c r="J63" s="2"/>
      <c r="K63" s="2"/>
      <c r="L63" s="2"/>
      <c r="M63" s="2"/>
      <c r="N63" s="2"/>
      <c r="O63" s="2" t="str">
        <f t="shared" si="1"/>
        <v>PASS</v>
      </c>
    </row>
    <row r="64" spans="1:15">
      <c r="A64" s="2"/>
      <c r="B64" s="2"/>
      <c r="C64" s="2"/>
      <c r="D64" s="2"/>
      <c r="E64" s="2"/>
      <c r="F64" s="2"/>
      <c r="G64" s="2"/>
      <c r="H64" s="2"/>
      <c r="I64" s="2"/>
      <c r="J64" s="2"/>
      <c r="K64" s="2"/>
      <c r="L64" s="2"/>
      <c r="M64" s="2"/>
      <c r="N64" s="2"/>
      <c r="O64" s="2" t="str">
        <f t="shared" si="1"/>
        <v>PASS</v>
      </c>
    </row>
    <row r="65" spans="1:15">
      <c r="A65" s="2"/>
      <c r="B65" s="2"/>
      <c r="C65" s="2"/>
      <c r="D65" s="2"/>
      <c r="E65" s="2"/>
      <c r="F65" s="2"/>
      <c r="G65" s="2"/>
      <c r="H65" s="2"/>
      <c r="I65" s="2"/>
      <c r="J65" s="2"/>
      <c r="K65" s="2"/>
      <c r="L65" s="2"/>
      <c r="M65" s="2"/>
      <c r="N65" s="2"/>
      <c r="O65" s="2" t="str">
        <f t="shared" si="1"/>
        <v>PASS</v>
      </c>
    </row>
    <row r="66" spans="1:15">
      <c r="A66" s="2"/>
      <c r="B66" s="2"/>
      <c r="C66" s="2"/>
      <c r="D66" s="2"/>
      <c r="E66" s="2"/>
      <c r="F66" s="2"/>
      <c r="G66" s="2"/>
      <c r="H66" s="2"/>
      <c r="I66" s="2"/>
      <c r="J66" s="2"/>
      <c r="K66" s="2"/>
      <c r="L66" s="2"/>
      <c r="M66" s="2"/>
      <c r="N66" s="2"/>
      <c r="O66" s="2" t="str">
        <f t="shared" si="1"/>
        <v>PASS</v>
      </c>
    </row>
    <row r="67" spans="1:15">
      <c r="A67" s="2"/>
      <c r="B67" s="2"/>
      <c r="C67" s="2"/>
      <c r="D67" s="2"/>
      <c r="E67" s="2"/>
      <c r="F67" s="2"/>
      <c r="G67" s="2"/>
      <c r="H67" s="2"/>
      <c r="I67" s="2"/>
      <c r="J67" s="2"/>
      <c r="K67" s="2"/>
      <c r="L67" s="2"/>
      <c r="M67" s="2"/>
      <c r="N67" s="2"/>
      <c r="O67" s="2" t="str">
        <f t="shared" si="1"/>
        <v>PASS</v>
      </c>
    </row>
    <row r="68" spans="1:15">
      <c r="A68" s="2"/>
      <c r="B68" s="2"/>
      <c r="C68" s="2"/>
      <c r="D68" s="2"/>
      <c r="E68" s="2"/>
      <c r="F68" s="2"/>
      <c r="G68" s="2"/>
      <c r="H68" s="2"/>
      <c r="I68" s="2"/>
      <c r="J68" s="2"/>
      <c r="K68" s="2"/>
      <c r="L68" s="2"/>
      <c r="M68" s="2"/>
      <c r="N68" s="2"/>
      <c r="O68" s="2" t="str">
        <f t="shared" si="1"/>
        <v>PASS</v>
      </c>
    </row>
    <row r="69" spans="1:15">
      <c r="A69" s="2"/>
      <c r="B69" s="2"/>
      <c r="C69" s="2"/>
      <c r="D69" s="2"/>
      <c r="E69" s="2"/>
      <c r="F69" s="2"/>
      <c r="G69" s="2"/>
      <c r="H69" s="2"/>
      <c r="I69" s="2"/>
      <c r="J69" s="2"/>
      <c r="K69" s="2"/>
      <c r="L69" s="2"/>
      <c r="M69" s="2"/>
      <c r="N69" s="2"/>
      <c r="O69" s="2" t="str">
        <f t="shared" si="1"/>
        <v>PASS</v>
      </c>
    </row>
    <row r="70" spans="1:15">
      <c r="A70" s="2"/>
      <c r="B70" s="2"/>
      <c r="C70" s="2"/>
      <c r="D70" s="2"/>
      <c r="E70" s="2"/>
      <c r="F70" s="2"/>
      <c r="G70" s="2"/>
      <c r="H70" s="2"/>
      <c r="I70" s="2"/>
      <c r="J70" s="2"/>
      <c r="K70" s="2"/>
      <c r="L70" s="2"/>
      <c r="M70" s="2"/>
      <c r="N70" s="2"/>
      <c r="O70" s="2" t="str">
        <f t="shared" si="1"/>
        <v>PASS</v>
      </c>
    </row>
    <row r="71" spans="1:15">
      <c r="A71" s="2"/>
      <c r="B71" s="2"/>
      <c r="C71" s="2"/>
      <c r="D71" s="2"/>
      <c r="E71" s="2"/>
      <c r="F71" s="2"/>
      <c r="G71" s="2"/>
      <c r="H71" s="2"/>
      <c r="I71" s="2"/>
      <c r="J71" s="2"/>
      <c r="K71" s="2"/>
      <c r="L71" s="2"/>
      <c r="M71" s="2"/>
      <c r="N71" s="2"/>
      <c r="O71" s="2" t="str">
        <f t="shared" si="1"/>
        <v>PASS</v>
      </c>
    </row>
    <row r="72" spans="1:15">
      <c r="A72" s="2"/>
      <c r="B72" s="2"/>
      <c r="C72" s="2"/>
      <c r="D72" s="2"/>
      <c r="E72" s="2"/>
      <c r="F72" s="2"/>
      <c r="G72" s="2"/>
      <c r="H72" s="2"/>
      <c r="I72" s="2"/>
      <c r="J72" s="2"/>
      <c r="K72" s="2"/>
      <c r="L72" s="2"/>
      <c r="M72" s="2"/>
      <c r="N72" s="2"/>
      <c r="O72" s="2" t="str">
        <f t="shared" si="1"/>
        <v>PASS</v>
      </c>
    </row>
    <row r="73" spans="1:15">
      <c r="A73" s="2"/>
      <c r="B73" s="2"/>
      <c r="C73" s="2"/>
      <c r="D73" s="2"/>
      <c r="E73" s="2"/>
      <c r="F73" s="2"/>
      <c r="G73" s="2"/>
      <c r="H73" s="2"/>
      <c r="I73" s="2"/>
      <c r="J73" s="2"/>
      <c r="K73" s="2"/>
      <c r="L73" s="2"/>
      <c r="M73" s="2"/>
      <c r="N73" s="2"/>
      <c r="O73" s="2" t="str">
        <f t="shared" si="1"/>
        <v>PASS</v>
      </c>
    </row>
    <row r="74" spans="1:15">
      <c r="A74" s="2"/>
      <c r="B74" s="2"/>
      <c r="C74" s="2"/>
      <c r="D74" s="2"/>
      <c r="E74" s="2"/>
      <c r="F74" s="2"/>
      <c r="G74" s="2"/>
      <c r="H74" s="2"/>
      <c r="I74" s="2"/>
      <c r="J74" s="2"/>
      <c r="K74" s="2"/>
      <c r="L74" s="2"/>
      <c r="M74" s="2"/>
      <c r="N74" s="2"/>
      <c r="O74" s="2" t="str">
        <f t="shared" si="1"/>
        <v>PASS</v>
      </c>
    </row>
    <row r="75" spans="1:15">
      <c r="A75" s="2"/>
      <c r="B75" s="2"/>
      <c r="C75" s="2"/>
      <c r="D75" s="2"/>
      <c r="E75" s="2"/>
      <c r="F75" s="2"/>
      <c r="G75" s="2"/>
      <c r="H75" s="2"/>
      <c r="I75" s="2"/>
      <c r="J75" s="2"/>
      <c r="K75" s="2"/>
      <c r="L75" s="2"/>
      <c r="M75" s="2"/>
      <c r="N75" s="2"/>
      <c r="O75" s="2" t="str">
        <f t="shared" si="1"/>
        <v>PASS</v>
      </c>
    </row>
    <row r="76" spans="1:15">
      <c r="A76" s="2"/>
      <c r="B76" s="2"/>
      <c r="C76" s="2"/>
      <c r="D76" s="2"/>
      <c r="E76" s="2"/>
      <c r="F76" s="2"/>
      <c r="G76" s="2"/>
      <c r="H76" s="2"/>
      <c r="I76" s="2"/>
      <c r="J76" s="2"/>
      <c r="K76" s="2"/>
      <c r="L76" s="2"/>
      <c r="M76" s="2"/>
      <c r="N76" s="2"/>
      <c r="O76" s="2" t="str">
        <f t="shared" si="1"/>
        <v>PASS</v>
      </c>
    </row>
    <row r="77" spans="1:15">
      <c r="A77" s="2"/>
      <c r="B77" s="2"/>
      <c r="C77" s="2"/>
      <c r="D77" s="2"/>
      <c r="E77" s="2"/>
      <c r="F77" s="2"/>
      <c r="G77" s="2"/>
      <c r="H77" s="2"/>
      <c r="I77" s="2"/>
      <c r="J77" s="2"/>
      <c r="K77" s="2"/>
      <c r="L77" s="2"/>
      <c r="M77" s="2"/>
      <c r="N77" s="2"/>
      <c r="O77" s="2" t="str">
        <f t="shared" si="1"/>
        <v>PASS</v>
      </c>
    </row>
    <row r="78" spans="1:15">
      <c r="A78" s="2"/>
      <c r="B78" s="2"/>
      <c r="C78" s="2"/>
      <c r="D78" s="2"/>
      <c r="E78" s="2"/>
      <c r="F78" s="2"/>
      <c r="G78" s="2"/>
      <c r="H78" s="2"/>
      <c r="I78" s="2"/>
      <c r="J78" s="2"/>
      <c r="K78" s="2"/>
      <c r="L78" s="2"/>
      <c r="M78" s="2"/>
      <c r="N78" s="2"/>
      <c r="O78" s="2" t="str">
        <f t="shared" ref="O78:O113" si="2">IF(OR(E78&lt;D78,F78="No",G78="No",H78="No",I78="No",J78="No",K78="No",L78="No",M78="No"),"FAIL","PASS")</f>
        <v>PASS</v>
      </c>
    </row>
    <row r="79" spans="1:15">
      <c r="A79" s="2"/>
      <c r="B79" s="2"/>
      <c r="C79" s="2"/>
      <c r="D79" s="2"/>
      <c r="E79" s="2"/>
      <c r="F79" s="2"/>
      <c r="G79" s="2"/>
      <c r="H79" s="2"/>
      <c r="I79" s="2"/>
      <c r="J79" s="2"/>
      <c r="K79" s="2"/>
      <c r="L79" s="2"/>
      <c r="M79" s="2"/>
      <c r="N79" s="2"/>
      <c r="O79" s="2" t="str">
        <f t="shared" si="2"/>
        <v>PASS</v>
      </c>
    </row>
    <row r="80" spans="1:15">
      <c r="A80" s="2"/>
      <c r="B80" s="2"/>
      <c r="C80" s="2"/>
      <c r="D80" s="2"/>
      <c r="E80" s="2"/>
      <c r="F80" s="2"/>
      <c r="G80" s="2"/>
      <c r="H80" s="2"/>
      <c r="I80" s="2"/>
      <c r="J80" s="2"/>
      <c r="K80" s="2"/>
      <c r="L80" s="2"/>
      <c r="M80" s="2"/>
      <c r="N80" s="2"/>
      <c r="O80" s="2" t="str">
        <f t="shared" si="2"/>
        <v>PASS</v>
      </c>
    </row>
    <row r="81" spans="1:15">
      <c r="A81" s="2"/>
      <c r="B81" s="2"/>
      <c r="C81" s="2"/>
      <c r="D81" s="2"/>
      <c r="E81" s="2"/>
      <c r="F81" s="2"/>
      <c r="G81" s="2"/>
      <c r="H81" s="2"/>
      <c r="I81" s="2"/>
      <c r="J81" s="2"/>
      <c r="K81" s="2"/>
      <c r="L81" s="2"/>
      <c r="M81" s="2"/>
      <c r="N81" s="2"/>
      <c r="O81" s="2" t="str">
        <f t="shared" si="2"/>
        <v>PASS</v>
      </c>
    </row>
    <row r="82" spans="1:15">
      <c r="A82" s="2"/>
      <c r="B82" s="2"/>
      <c r="C82" s="2"/>
      <c r="D82" s="2"/>
      <c r="E82" s="2"/>
      <c r="F82" s="2"/>
      <c r="G82" s="2"/>
      <c r="H82" s="2"/>
      <c r="I82" s="2"/>
      <c r="J82" s="2"/>
      <c r="K82" s="2"/>
      <c r="L82" s="2"/>
      <c r="M82" s="2"/>
      <c r="N82" s="2"/>
      <c r="O82" s="2" t="str">
        <f t="shared" si="2"/>
        <v>PASS</v>
      </c>
    </row>
    <row r="83" spans="1:15">
      <c r="A83" s="2"/>
      <c r="B83" s="2"/>
      <c r="C83" s="2"/>
      <c r="D83" s="2"/>
      <c r="E83" s="2"/>
      <c r="F83" s="2"/>
      <c r="G83" s="2"/>
      <c r="H83" s="2"/>
      <c r="I83" s="2"/>
      <c r="J83" s="2"/>
      <c r="K83" s="2"/>
      <c r="L83" s="2"/>
      <c r="M83" s="2"/>
      <c r="N83" s="2"/>
      <c r="O83" s="2" t="str">
        <f t="shared" si="2"/>
        <v>PASS</v>
      </c>
    </row>
    <row r="84" spans="1:15">
      <c r="A84" s="2"/>
      <c r="B84" s="2"/>
      <c r="C84" s="2"/>
      <c r="D84" s="2"/>
      <c r="E84" s="2"/>
      <c r="F84" s="2"/>
      <c r="G84" s="2"/>
      <c r="H84" s="2"/>
      <c r="I84" s="2"/>
      <c r="J84" s="2"/>
      <c r="K84" s="2"/>
      <c r="L84" s="2"/>
      <c r="M84" s="2"/>
      <c r="N84" s="2"/>
      <c r="O84" s="2" t="str">
        <f t="shared" si="2"/>
        <v>PASS</v>
      </c>
    </row>
    <row r="85" spans="1:15">
      <c r="A85" s="2"/>
      <c r="B85" s="2"/>
      <c r="C85" s="2"/>
      <c r="D85" s="2"/>
      <c r="E85" s="2"/>
      <c r="F85" s="2"/>
      <c r="G85" s="2"/>
      <c r="H85" s="2"/>
      <c r="I85" s="2"/>
      <c r="J85" s="2"/>
      <c r="K85" s="2"/>
      <c r="L85" s="2"/>
      <c r="M85" s="2"/>
      <c r="N85" s="2"/>
      <c r="O85" s="2" t="str">
        <f t="shared" si="2"/>
        <v>PASS</v>
      </c>
    </row>
    <row r="86" spans="1:15">
      <c r="A86" s="2"/>
      <c r="B86" s="2"/>
      <c r="C86" s="2"/>
      <c r="D86" s="2"/>
      <c r="E86" s="2"/>
      <c r="F86" s="2"/>
      <c r="G86" s="2"/>
      <c r="H86" s="2"/>
      <c r="I86" s="2"/>
      <c r="J86" s="2"/>
      <c r="K86" s="2"/>
      <c r="L86" s="2"/>
      <c r="M86" s="2"/>
      <c r="N86" s="2"/>
      <c r="O86" s="2" t="str">
        <f t="shared" si="2"/>
        <v>PASS</v>
      </c>
    </row>
    <row r="87" spans="1:15">
      <c r="A87" s="2"/>
      <c r="B87" s="2"/>
      <c r="C87" s="2"/>
      <c r="D87" s="2"/>
      <c r="E87" s="2"/>
      <c r="F87" s="2"/>
      <c r="G87" s="2"/>
      <c r="H87" s="2"/>
      <c r="I87" s="2"/>
      <c r="J87" s="2"/>
      <c r="K87" s="2"/>
      <c r="L87" s="2"/>
      <c r="M87" s="2"/>
      <c r="N87" s="2"/>
      <c r="O87" s="2" t="str">
        <f t="shared" si="2"/>
        <v>PASS</v>
      </c>
    </row>
    <row r="88" spans="1:15">
      <c r="A88" s="2"/>
      <c r="B88" s="2"/>
      <c r="C88" s="2"/>
      <c r="D88" s="2"/>
      <c r="E88" s="2"/>
      <c r="F88" s="2"/>
      <c r="G88" s="2"/>
      <c r="H88" s="2"/>
      <c r="I88" s="2"/>
      <c r="J88" s="2"/>
      <c r="K88" s="2"/>
      <c r="L88" s="2"/>
      <c r="M88" s="2"/>
      <c r="N88" s="2"/>
      <c r="O88" s="2" t="str">
        <f t="shared" si="2"/>
        <v>PASS</v>
      </c>
    </row>
    <row r="89" spans="1:15">
      <c r="A89" s="2"/>
      <c r="B89" s="2"/>
      <c r="C89" s="2"/>
      <c r="D89" s="2"/>
      <c r="E89" s="2"/>
      <c r="F89" s="2"/>
      <c r="G89" s="2"/>
      <c r="H89" s="2"/>
      <c r="I89" s="2"/>
      <c r="J89" s="2"/>
      <c r="K89" s="2"/>
      <c r="L89" s="2"/>
      <c r="M89" s="2"/>
      <c r="N89" s="2"/>
      <c r="O89" s="2" t="str">
        <f t="shared" si="2"/>
        <v>PASS</v>
      </c>
    </row>
    <row r="90" spans="1:15">
      <c r="A90" s="2"/>
      <c r="B90" s="2"/>
      <c r="C90" s="2"/>
      <c r="D90" s="2"/>
      <c r="E90" s="2"/>
      <c r="F90" s="2"/>
      <c r="G90" s="2"/>
      <c r="H90" s="2"/>
      <c r="I90" s="2"/>
      <c r="J90" s="2"/>
      <c r="K90" s="2"/>
      <c r="L90" s="2"/>
      <c r="M90" s="2"/>
      <c r="N90" s="2"/>
      <c r="O90" s="2" t="str">
        <f t="shared" si="2"/>
        <v>PASS</v>
      </c>
    </row>
    <row r="91" spans="1:15">
      <c r="A91" s="2"/>
      <c r="B91" s="2"/>
      <c r="C91" s="2"/>
      <c r="D91" s="2"/>
      <c r="E91" s="2"/>
      <c r="F91" s="2"/>
      <c r="G91" s="2"/>
      <c r="H91" s="2"/>
      <c r="I91" s="2"/>
      <c r="J91" s="2"/>
      <c r="K91" s="2"/>
      <c r="L91" s="2"/>
      <c r="M91" s="2"/>
      <c r="N91" s="2"/>
      <c r="O91" s="2" t="str">
        <f t="shared" si="2"/>
        <v>PASS</v>
      </c>
    </row>
    <row r="92" spans="1:15">
      <c r="A92" s="2"/>
      <c r="B92" s="2"/>
      <c r="C92" s="2"/>
      <c r="D92" s="2"/>
      <c r="E92" s="2"/>
      <c r="F92" s="2"/>
      <c r="G92" s="2"/>
      <c r="H92" s="2"/>
      <c r="I92" s="2"/>
      <c r="J92" s="2"/>
      <c r="K92" s="2"/>
      <c r="L92" s="2"/>
      <c r="M92" s="2"/>
      <c r="N92" s="2"/>
      <c r="O92" s="2" t="str">
        <f t="shared" si="2"/>
        <v>PASS</v>
      </c>
    </row>
    <row r="93" spans="1:15">
      <c r="A93" s="2"/>
      <c r="B93" s="2"/>
      <c r="C93" s="2"/>
      <c r="D93" s="2"/>
      <c r="E93" s="2"/>
      <c r="F93" s="2"/>
      <c r="G93" s="2"/>
      <c r="H93" s="2"/>
      <c r="I93" s="2"/>
      <c r="J93" s="2"/>
      <c r="K93" s="2"/>
      <c r="L93" s="2"/>
      <c r="M93" s="2"/>
      <c r="N93" s="2"/>
      <c r="O93" s="2" t="str">
        <f t="shared" si="2"/>
        <v>PASS</v>
      </c>
    </row>
    <row r="94" spans="1:15">
      <c r="A94" s="2"/>
      <c r="B94" s="2"/>
      <c r="C94" s="2"/>
      <c r="D94" s="2"/>
      <c r="E94" s="2"/>
      <c r="F94" s="2"/>
      <c r="G94" s="2"/>
      <c r="H94" s="2"/>
      <c r="I94" s="2"/>
      <c r="J94" s="2"/>
      <c r="K94" s="2"/>
      <c r="L94" s="2"/>
      <c r="M94" s="2"/>
      <c r="N94" s="2"/>
      <c r="O94" s="2" t="str">
        <f t="shared" si="2"/>
        <v>PASS</v>
      </c>
    </row>
    <row r="95" spans="1:15">
      <c r="A95" s="2"/>
      <c r="B95" s="2"/>
      <c r="C95" s="2"/>
      <c r="D95" s="2"/>
      <c r="E95" s="2"/>
      <c r="F95" s="2"/>
      <c r="G95" s="2"/>
      <c r="H95" s="2"/>
      <c r="I95" s="2"/>
      <c r="J95" s="2"/>
      <c r="K95" s="2"/>
      <c r="L95" s="2"/>
      <c r="M95" s="2"/>
      <c r="N95" s="2"/>
      <c r="O95" s="2" t="str">
        <f t="shared" si="2"/>
        <v>PASS</v>
      </c>
    </row>
    <row r="96" spans="1:15">
      <c r="A96" s="2"/>
      <c r="B96" s="2"/>
      <c r="C96" s="2"/>
      <c r="D96" s="2"/>
      <c r="E96" s="2"/>
      <c r="F96" s="2"/>
      <c r="G96" s="2"/>
      <c r="H96" s="2"/>
      <c r="I96" s="2"/>
      <c r="J96" s="2"/>
      <c r="K96" s="2"/>
      <c r="L96" s="2"/>
      <c r="M96" s="2"/>
      <c r="N96" s="2"/>
      <c r="O96" s="2" t="str">
        <f t="shared" si="2"/>
        <v>PASS</v>
      </c>
    </row>
    <row r="97" spans="1:15">
      <c r="A97" s="2"/>
      <c r="B97" s="2"/>
      <c r="C97" s="2"/>
      <c r="D97" s="2"/>
      <c r="E97" s="2"/>
      <c r="F97" s="2"/>
      <c r="G97" s="2"/>
      <c r="H97" s="2"/>
      <c r="I97" s="2"/>
      <c r="J97" s="2"/>
      <c r="K97" s="2"/>
      <c r="L97" s="2"/>
      <c r="M97" s="2"/>
      <c r="N97" s="2"/>
      <c r="O97" s="2" t="str">
        <f t="shared" si="2"/>
        <v>PASS</v>
      </c>
    </row>
    <row r="98" spans="1:15">
      <c r="A98" s="2"/>
      <c r="B98" s="2"/>
      <c r="C98" s="2"/>
      <c r="D98" s="2"/>
      <c r="E98" s="2"/>
      <c r="F98" s="2"/>
      <c r="G98" s="2"/>
      <c r="H98" s="2"/>
      <c r="I98" s="2"/>
      <c r="J98" s="2"/>
      <c r="K98" s="2"/>
      <c r="L98" s="2"/>
      <c r="M98" s="2"/>
      <c r="N98" s="2"/>
      <c r="O98" s="2" t="str">
        <f t="shared" si="2"/>
        <v>PASS</v>
      </c>
    </row>
    <row r="99" spans="1:15">
      <c r="A99" s="2"/>
      <c r="B99" s="2"/>
      <c r="C99" s="2"/>
      <c r="D99" s="2"/>
      <c r="E99" s="2"/>
      <c r="F99" s="2"/>
      <c r="G99" s="2"/>
      <c r="H99" s="2"/>
      <c r="I99" s="2"/>
      <c r="J99" s="2"/>
      <c r="K99" s="2"/>
      <c r="L99" s="2"/>
      <c r="M99" s="2"/>
      <c r="N99" s="2"/>
      <c r="O99" s="2" t="str">
        <f t="shared" si="2"/>
        <v>PASS</v>
      </c>
    </row>
    <row r="100" spans="1:15">
      <c r="A100" s="2"/>
      <c r="B100" s="2"/>
      <c r="C100" s="2"/>
      <c r="D100" s="2"/>
      <c r="E100" s="2"/>
      <c r="F100" s="2"/>
      <c r="G100" s="2"/>
      <c r="H100" s="2"/>
      <c r="I100" s="2"/>
      <c r="J100" s="2"/>
      <c r="K100" s="2"/>
      <c r="L100" s="2"/>
      <c r="M100" s="2"/>
      <c r="N100" s="2"/>
      <c r="O100" s="2" t="str">
        <f t="shared" si="2"/>
        <v>PASS</v>
      </c>
    </row>
    <row r="101" spans="1:15">
      <c r="A101" s="2"/>
      <c r="B101" s="2"/>
      <c r="C101" s="2"/>
      <c r="D101" s="2"/>
      <c r="E101" s="2"/>
      <c r="F101" s="2"/>
      <c r="G101" s="2"/>
      <c r="H101" s="2"/>
      <c r="I101" s="2"/>
      <c r="J101" s="2"/>
      <c r="K101" s="2"/>
      <c r="L101" s="2"/>
      <c r="M101" s="2"/>
      <c r="N101" s="2"/>
      <c r="O101" s="2" t="str">
        <f t="shared" si="2"/>
        <v>PASS</v>
      </c>
    </row>
    <row r="102" spans="1:15">
      <c r="A102" s="2"/>
      <c r="B102" s="2"/>
      <c r="C102" s="2"/>
      <c r="D102" s="2"/>
      <c r="E102" s="2"/>
      <c r="F102" s="2"/>
      <c r="G102" s="2"/>
      <c r="H102" s="2"/>
      <c r="I102" s="2"/>
      <c r="J102" s="2"/>
      <c r="K102" s="2"/>
      <c r="L102" s="2"/>
      <c r="M102" s="2"/>
      <c r="N102" s="2"/>
      <c r="O102" s="2" t="str">
        <f t="shared" si="2"/>
        <v>PASS</v>
      </c>
    </row>
    <row r="103" spans="1:15">
      <c r="A103" s="2"/>
      <c r="B103" s="2"/>
      <c r="C103" s="2"/>
      <c r="D103" s="2"/>
      <c r="E103" s="2"/>
      <c r="F103" s="2"/>
      <c r="G103" s="2"/>
      <c r="H103" s="2"/>
      <c r="I103" s="2"/>
      <c r="J103" s="2"/>
      <c r="K103" s="2"/>
      <c r="L103" s="2"/>
      <c r="M103" s="2"/>
      <c r="N103" s="2"/>
      <c r="O103" s="2" t="str">
        <f t="shared" si="2"/>
        <v>PASS</v>
      </c>
    </row>
    <row r="104" spans="1:15">
      <c r="A104" s="2"/>
      <c r="B104" s="2"/>
      <c r="C104" s="2"/>
      <c r="D104" s="2"/>
      <c r="E104" s="2"/>
      <c r="F104" s="2"/>
      <c r="G104" s="2"/>
      <c r="H104" s="2"/>
      <c r="I104" s="2"/>
      <c r="J104" s="2"/>
      <c r="K104" s="2"/>
      <c r="L104" s="2"/>
      <c r="M104" s="2"/>
      <c r="N104" s="2"/>
      <c r="O104" s="2" t="str">
        <f t="shared" si="2"/>
        <v>PASS</v>
      </c>
    </row>
    <row r="105" spans="1:15">
      <c r="A105" s="2"/>
      <c r="B105" s="2"/>
      <c r="C105" s="2"/>
      <c r="D105" s="2"/>
      <c r="E105" s="2"/>
      <c r="F105" s="2"/>
      <c r="G105" s="2"/>
      <c r="H105" s="2"/>
      <c r="I105" s="2"/>
      <c r="J105" s="2"/>
      <c r="K105" s="2"/>
      <c r="L105" s="2"/>
      <c r="M105" s="2"/>
      <c r="N105" s="2"/>
      <c r="O105" s="2" t="str">
        <f t="shared" si="2"/>
        <v>PASS</v>
      </c>
    </row>
    <row r="106" spans="1:15">
      <c r="A106" s="2"/>
      <c r="B106" s="2"/>
      <c r="C106" s="2"/>
      <c r="D106" s="2"/>
      <c r="E106" s="2"/>
      <c r="F106" s="2"/>
      <c r="G106" s="2"/>
      <c r="H106" s="2"/>
      <c r="I106" s="2"/>
      <c r="J106" s="2"/>
      <c r="K106" s="2"/>
      <c r="L106" s="2"/>
      <c r="M106" s="2"/>
      <c r="N106" s="2"/>
      <c r="O106" s="2" t="str">
        <f t="shared" si="2"/>
        <v>PASS</v>
      </c>
    </row>
    <row r="107" spans="1:15">
      <c r="A107" s="2"/>
      <c r="B107" s="2"/>
      <c r="C107" s="2"/>
      <c r="D107" s="2"/>
      <c r="E107" s="2"/>
      <c r="F107" s="2"/>
      <c r="G107" s="2"/>
      <c r="H107" s="2"/>
      <c r="I107" s="2"/>
      <c r="J107" s="2"/>
      <c r="K107" s="2"/>
      <c r="L107" s="2"/>
      <c r="M107" s="2"/>
      <c r="N107" s="2"/>
      <c r="O107" s="2" t="str">
        <f t="shared" si="2"/>
        <v>PASS</v>
      </c>
    </row>
    <row r="108" spans="1:15">
      <c r="A108" s="2"/>
      <c r="B108" s="2"/>
      <c r="C108" s="2"/>
      <c r="D108" s="2"/>
      <c r="E108" s="2"/>
      <c r="F108" s="2"/>
      <c r="G108" s="2"/>
      <c r="H108" s="2"/>
      <c r="I108" s="2"/>
      <c r="J108" s="2"/>
      <c r="K108" s="2"/>
      <c r="L108" s="2"/>
      <c r="M108" s="2"/>
      <c r="N108" s="2"/>
      <c r="O108" s="2" t="str">
        <f t="shared" si="2"/>
        <v>PASS</v>
      </c>
    </row>
    <row r="109" spans="1:15">
      <c r="A109" s="2"/>
      <c r="B109" s="2"/>
      <c r="C109" s="2"/>
      <c r="D109" s="2"/>
      <c r="E109" s="2"/>
      <c r="F109" s="2"/>
      <c r="G109" s="2"/>
      <c r="H109" s="2"/>
      <c r="I109" s="2"/>
      <c r="J109" s="2"/>
      <c r="K109" s="2"/>
      <c r="L109" s="2"/>
      <c r="M109" s="2"/>
      <c r="N109" s="2"/>
      <c r="O109" s="2" t="str">
        <f t="shared" si="2"/>
        <v>PASS</v>
      </c>
    </row>
    <row r="110" spans="1:15">
      <c r="A110" s="2"/>
      <c r="B110" s="2"/>
      <c r="C110" s="2"/>
      <c r="D110" s="2"/>
      <c r="E110" s="2"/>
      <c r="F110" s="2"/>
      <c r="G110" s="2"/>
      <c r="H110" s="2"/>
      <c r="I110" s="2"/>
      <c r="J110" s="2"/>
      <c r="K110" s="2"/>
      <c r="L110" s="2"/>
      <c r="M110" s="2"/>
      <c r="N110" s="2"/>
      <c r="O110" s="2" t="str">
        <f t="shared" si="2"/>
        <v>PASS</v>
      </c>
    </row>
    <row r="111" spans="1:15">
      <c r="A111" s="2"/>
      <c r="B111" s="2"/>
      <c r="C111" s="2"/>
      <c r="D111" s="2"/>
      <c r="E111" s="2"/>
      <c r="F111" s="2"/>
      <c r="G111" s="2"/>
      <c r="H111" s="2"/>
      <c r="I111" s="2"/>
      <c r="J111" s="2"/>
      <c r="K111" s="2"/>
      <c r="L111" s="2"/>
      <c r="M111" s="2"/>
      <c r="N111" s="2"/>
      <c r="O111" s="2" t="str">
        <f t="shared" si="2"/>
        <v>PASS</v>
      </c>
    </row>
    <row r="112" spans="1:15">
      <c r="A112" s="2"/>
      <c r="B112" s="2"/>
      <c r="C112" s="2"/>
      <c r="D112" s="2"/>
      <c r="E112" s="2"/>
      <c r="F112" s="2"/>
      <c r="G112" s="2"/>
      <c r="H112" s="2"/>
      <c r="I112" s="2"/>
      <c r="J112" s="2"/>
      <c r="K112" s="2"/>
      <c r="L112" s="2"/>
      <c r="M112" s="2"/>
      <c r="N112" s="2"/>
      <c r="O112" s="2" t="str">
        <f t="shared" si="2"/>
        <v>PASS</v>
      </c>
    </row>
    <row r="113" spans="1:15">
      <c r="A113" s="2"/>
      <c r="B113" s="2"/>
      <c r="C113" s="2"/>
      <c r="D113" s="2"/>
      <c r="E113" s="2"/>
      <c r="F113" s="2"/>
      <c r="G113" s="2"/>
      <c r="H113" s="2"/>
      <c r="I113" s="2"/>
      <c r="J113" s="2"/>
      <c r="K113" s="2"/>
      <c r="L113" s="2"/>
      <c r="M113" s="2"/>
      <c r="N113" s="2"/>
      <c r="O113" s="2" t="str">
        <f t="shared" si="2"/>
        <v>PASS</v>
      </c>
    </row>
  </sheetData>
  <mergeCells count="2">
    <mergeCell ref="A1:O1"/>
    <mergeCell ref="A2:O2"/>
  </mergeCells>
  <dataValidations count="2">
    <dataValidation type="list" sqref="B7" xr:uid="{00000000-0002-0000-2A00-000000000000}">
      <formula1>"Yes,No"</formula1>
    </dataValidation>
    <dataValidation type="list" sqref="F14:M113" xr:uid="{00000000-0002-0000-2A00-000001000000}">
      <formula1>"Yes,No,N/A"</formula1>
    </dataValidation>
  </dataValidation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K141"/>
  <sheetViews>
    <sheetView workbookViewId="0"/>
  </sheetViews>
  <sheetFormatPr defaultRowHeight="14"/>
  <cols>
    <col min="1" max="5" width="28" customWidth="1"/>
    <col min="8" max="25" width="15" customWidth="1"/>
    <col min="26" max="35" width="20" customWidth="1"/>
  </cols>
  <sheetData>
    <row r="1" spans="1:35" ht="20">
      <c r="A1" s="6" t="s">
        <v>374</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ht="14.5">
      <c r="A2" s="8" t="s">
        <v>106</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row>
    <row r="4" spans="1:35">
      <c r="A4" s="3" t="s">
        <v>107</v>
      </c>
      <c r="B4" t="s">
        <v>375</v>
      </c>
      <c r="D4" s="9" t="s">
        <v>109</v>
      </c>
      <c r="E4" s="9"/>
      <c r="F4" s="9"/>
      <c r="G4" s="9"/>
      <c r="H4" s="9"/>
    </row>
    <row r="5" spans="1:35" ht="28">
      <c r="A5" s="3" t="s">
        <v>110</v>
      </c>
      <c r="D5" s="4" t="s">
        <v>6</v>
      </c>
      <c r="E5" s="4" t="s">
        <v>111</v>
      </c>
      <c r="F5" s="4"/>
      <c r="G5" s="4"/>
      <c r="H5" s="4"/>
    </row>
    <row r="6" spans="1:35" ht="42">
      <c r="A6" s="3" t="s">
        <v>112</v>
      </c>
      <c r="D6" s="4" t="s">
        <v>12</v>
      </c>
      <c r="E6" s="4" t="s">
        <v>113</v>
      </c>
      <c r="F6" s="4"/>
      <c r="G6" s="4"/>
      <c r="H6" s="4"/>
    </row>
    <row r="7" spans="1:35" ht="42">
      <c r="A7" s="3" t="s">
        <v>114</v>
      </c>
      <c r="D7" s="4" t="s">
        <v>18</v>
      </c>
      <c r="E7" s="4" t="s">
        <v>115</v>
      </c>
      <c r="F7" s="4"/>
      <c r="G7" s="4"/>
      <c r="H7" s="4"/>
    </row>
    <row r="8" spans="1:35" ht="42">
      <c r="A8" s="3" t="s">
        <v>116</v>
      </c>
      <c r="B8">
        <f>COUNTA(A18:A117)</f>
        <v>0</v>
      </c>
      <c r="D8" s="4" t="s">
        <v>23</v>
      </c>
      <c r="E8" s="4" t="s">
        <v>117</v>
      </c>
      <c r="F8" s="4"/>
      <c r="G8" s="4"/>
      <c r="H8" s="4"/>
    </row>
    <row r="9" spans="1:35">
      <c r="A9" s="3" t="s">
        <v>6</v>
      </c>
      <c r="B9">
        <f>COUNTIF(Z18:Z117,"Low")</f>
        <v>0</v>
      </c>
    </row>
    <row r="10" spans="1:35">
      <c r="A10" s="3" t="s">
        <v>12</v>
      </c>
      <c r="B10">
        <f>COUNTIF(Z18:Z117,"Medium")</f>
        <v>0</v>
      </c>
    </row>
    <row r="11" spans="1:35">
      <c r="A11" s="3" t="s">
        <v>18</v>
      </c>
      <c r="B11">
        <f>COUNTIF(Z18:Z117,"High")</f>
        <v>0</v>
      </c>
    </row>
    <row r="12" spans="1:35">
      <c r="A12" s="3" t="s">
        <v>23</v>
      </c>
      <c r="B12">
        <f>COUNTIF(Z18:Z117,"Very High")</f>
        <v>0</v>
      </c>
    </row>
    <row r="13" spans="1:35">
      <c r="A13" s="3" t="s">
        <v>118</v>
      </c>
      <c r="B13">
        <f>COUNTIF(AD18:AD117,"Yes")</f>
        <v>0</v>
      </c>
    </row>
    <row r="14" spans="1:35">
      <c r="A14" s="3" t="s">
        <v>119</v>
      </c>
    </row>
    <row r="17" spans="1:37" ht="28">
      <c r="A17" s="1" t="s">
        <v>120</v>
      </c>
      <c r="B17" s="1" t="s">
        <v>121</v>
      </c>
      <c r="C17" s="1" t="s">
        <v>2</v>
      </c>
      <c r="D17" s="1" t="s">
        <v>75</v>
      </c>
      <c r="E17" s="1" t="s">
        <v>122</v>
      </c>
      <c r="F17" s="1" t="s">
        <v>123</v>
      </c>
      <c r="G17" s="1" t="s">
        <v>110</v>
      </c>
      <c r="H17" s="1" t="s">
        <v>124</v>
      </c>
      <c r="I17" s="1" t="s">
        <v>125</v>
      </c>
      <c r="J17" s="1" t="s">
        <v>126</v>
      </c>
      <c r="K17" s="1" t="s">
        <v>127</v>
      </c>
      <c r="L17" s="1" t="s">
        <v>128</v>
      </c>
      <c r="M17" s="1" t="s">
        <v>129</v>
      </c>
      <c r="N17" s="1" t="s">
        <v>130</v>
      </c>
      <c r="O17" s="1" t="s">
        <v>131</v>
      </c>
      <c r="P17" s="1" t="s">
        <v>132</v>
      </c>
      <c r="Q17" s="1" t="s">
        <v>133</v>
      </c>
      <c r="R17" s="1" t="s">
        <v>134</v>
      </c>
      <c r="S17" s="1" t="s">
        <v>135</v>
      </c>
      <c r="T17" s="1" t="s">
        <v>136</v>
      </c>
      <c r="U17" s="1" t="s">
        <v>137</v>
      </c>
      <c r="V17" s="1" t="s">
        <v>138</v>
      </c>
      <c r="W17" s="1" t="s">
        <v>139</v>
      </c>
      <c r="X17" s="1" t="s">
        <v>140</v>
      </c>
      <c r="Y17" s="1" t="s">
        <v>141</v>
      </c>
      <c r="Z17" s="1" t="s">
        <v>142</v>
      </c>
      <c r="AA17" s="1" t="s">
        <v>143</v>
      </c>
      <c r="AB17" s="1" t="s">
        <v>144</v>
      </c>
      <c r="AC17" s="1" t="s">
        <v>3</v>
      </c>
      <c r="AD17" s="1" t="s">
        <v>145</v>
      </c>
      <c r="AE17" s="1" t="s">
        <v>146</v>
      </c>
      <c r="AF17" s="1" t="s">
        <v>147</v>
      </c>
      <c r="AG17" s="1" t="s">
        <v>148</v>
      </c>
      <c r="AH17" s="1" t="s">
        <v>149</v>
      </c>
      <c r="AI17" s="1" t="s">
        <v>150</v>
      </c>
      <c r="AJ17" t="s">
        <v>151</v>
      </c>
      <c r="AK17" t="s">
        <v>152</v>
      </c>
    </row>
    <row r="18" spans="1:37">
      <c r="A18" s="2"/>
      <c r="B18" s="2"/>
      <c r="C18" s="2"/>
      <c r="D18" s="2"/>
      <c r="E18" s="5"/>
      <c r="F18" s="2"/>
      <c r="G18" s="5"/>
      <c r="H18" s="2"/>
      <c r="I18" s="2"/>
      <c r="J18" s="2"/>
      <c r="K18" s="2"/>
      <c r="L18" s="2"/>
      <c r="M18" s="2"/>
      <c r="N18" s="2"/>
      <c r="O18" s="2"/>
      <c r="P18" s="2"/>
      <c r="Q18" s="2"/>
      <c r="R18" s="2"/>
      <c r="S18" s="2"/>
      <c r="T18" s="2"/>
      <c r="U18" s="2"/>
      <c r="V18" s="2"/>
      <c r="W18" s="2"/>
      <c r="X18" s="2"/>
      <c r="Y18" s="2"/>
      <c r="Z18" s="2" t="str">
        <f t="shared" ref="Z18:Z49" si="0">IF(COUNTA(H18:Y18)=0,"",IF(COUNTIF(H18:Y18,"Very High")&gt;0,"Very High",IF(COUNTIF(H18:Y18,"High")&gt;0,"High",IF(COUNTIF(H18:Y18,"Medium")&gt;0,"Medium","Low"))))</f>
        <v/>
      </c>
      <c r="AA18" s="2" t="str">
        <f t="shared" ref="AA18:AA49" si="1">IF(Z18="","",IF(Z18="Low","Routine planned support",IF(Z18="Medium","One staff support/supervision likely",IF(Z18="High","Two staff/review staffing and equipment","Manager review: multiple staff/specialist support"))))</f>
        <v/>
      </c>
      <c r="AB18" s="2" t="str">
        <f t="shared" ref="AB18:AB49" si="2">IF(Z18="","",IF(OR(Z18="High",Z18="Very High",W18="High",W18="Very High"),"Night staffing and evacuation review required","Routine night checks as per care plan"))</f>
        <v/>
      </c>
      <c r="AC18" s="2" t="str">
        <f t="shared" ref="AC18:AC49" si="3">IF(X18="Very High","Specialist PEEP / equipment",IF(OR(X18="High",Z18="High"),"Evacuation sheet/chair or wheelchair per PEEP",IF(OR(X18="Medium",Z18="Medium"),"Walking aid/wheelchair support per PEEP","Walks with direction")))</f>
        <v>Walks with direction</v>
      </c>
      <c r="AD18" s="2"/>
      <c r="AE18" s="5"/>
      <c r="AF18" s="2"/>
      <c r="AG18" s="2"/>
      <c r="AH18" s="2"/>
      <c r="AI18" s="2"/>
    </row>
    <row r="19" spans="1:37">
      <c r="A19" s="2"/>
      <c r="B19" s="2"/>
      <c r="C19" s="2"/>
      <c r="D19" s="2"/>
      <c r="E19" s="5"/>
      <c r="F19" s="2"/>
      <c r="G19" s="5"/>
      <c r="H19" s="2"/>
      <c r="I19" s="2"/>
      <c r="J19" s="2"/>
      <c r="K19" s="2"/>
      <c r="L19" s="2"/>
      <c r="M19" s="2"/>
      <c r="N19" s="2"/>
      <c r="O19" s="2"/>
      <c r="P19" s="2"/>
      <c r="Q19" s="2"/>
      <c r="R19" s="2"/>
      <c r="S19" s="2"/>
      <c r="T19" s="2"/>
      <c r="U19" s="2"/>
      <c r="V19" s="2"/>
      <c r="W19" s="2"/>
      <c r="X19" s="2"/>
      <c r="Y19" s="2"/>
      <c r="Z19" s="2" t="str">
        <f t="shared" si="0"/>
        <v/>
      </c>
      <c r="AA19" s="2" t="str">
        <f t="shared" si="1"/>
        <v/>
      </c>
      <c r="AB19" s="2" t="str">
        <f t="shared" si="2"/>
        <v/>
      </c>
      <c r="AC19" s="2" t="str">
        <f t="shared" si="3"/>
        <v>Walks with direction</v>
      </c>
      <c r="AD19" s="2"/>
      <c r="AE19" s="5"/>
      <c r="AF19" s="2"/>
      <c r="AG19" s="2"/>
      <c r="AH19" s="2"/>
      <c r="AI19" s="2"/>
    </row>
    <row r="20" spans="1:37">
      <c r="A20" s="2"/>
      <c r="B20" s="2"/>
      <c r="C20" s="2"/>
      <c r="D20" s="2"/>
      <c r="E20" s="5"/>
      <c r="F20" s="2"/>
      <c r="G20" s="5"/>
      <c r="H20" s="2"/>
      <c r="I20" s="2"/>
      <c r="J20" s="2"/>
      <c r="K20" s="2"/>
      <c r="L20" s="2"/>
      <c r="M20" s="2"/>
      <c r="N20" s="2"/>
      <c r="O20" s="2"/>
      <c r="P20" s="2"/>
      <c r="Q20" s="2"/>
      <c r="R20" s="2"/>
      <c r="S20" s="2"/>
      <c r="T20" s="2"/>
      <c r="U20" s="2"/>
      <c r="V20" s="2"/>
      <c r="W20" s="2"/>
      <c r="X20" s="2"/>
      <c r="Y20" s="2"/>
      <c r="Z20" s="2" t="str">
        <f t="shared" si="0"/>
        <v/>
      </c>
      <c r="AA20" s="2" t="str">
        <f t="shared" si="1"/>
        <v/>
      </c>
      <c r="AB20" s="2" t="str">
        <f t="shared" si="2"/>
        <v/>
      </c>
      <c r="AC20" s="2" t="str">
        <f t="shared" si="3"/>
        <v>Walks with direction</v>
      </c>
      <c r="AD20" s="2"/>
      <c r="AE20" s="5"/>
      <c r="AF20" s="2"/>
      <c r="AG20" s="2"/>
      <c r="AH20" s="2"/>
      <c r="AI20" s="2"/>
    </row>
    <row r="21" spans="1:37">
      <c r="A21" s="2"/>
      <c r="B21" s="2"/>
      <c r="C21" s="2"/>
      <c r="D21" s="2"/>
      <c r="E21" s="5"/>
      <c r="F21" s="2"/>
      <c r="G21" s="5"/>
      <c r="H21" s="2"/>
      <c r="I21" s="2"/>
      <c r="J21" s="2"/>
      <c r="K21" s="2"/>
      <c r="L21" s="2"/>
      <c r="M21" s="2"/>
      <c r="N21" s="2"/>
      <c r="O21" s="2"/>
      <c r="P21" s="2"/>
      <c r="Q21" s="2"/>
      <c r="R21" s="2"/>
      <c r="S21" s="2"/>
      <c r="T21" s="2"/>
      <c r="U21" s="2"/>
      <c r="V21" s="2"/>
      <c r="W21" s="2"/>
      <c r="X21" s="2"/>
      <c r="Y21" s="2"/>
      <c r="Z21" s="2" t="str">
        <f t="shared" si="0"/>
        <v/>
      </c>
      <c r="AA21" s="2" t="str">
        <f t="shared" si="1"/>
        <v/>
      </c>
      <c r="AB21" s="2" t="str">
        <f t="shared" si="2"/>
        <v/>
      </c>
      <c r="AC21" s="2" t="str">
        <f t="shared" si="3"/>
        <v>Walks with direction</v>
      </c>
      <c r="AD21" s="2"/>
      <c r="AE21" s="5"/>
      <c r="AF21" s="2"/>
      <c r="AG21" s="2"/>
      <c r="AH21" s="2"/>
      <c r="AI21" s="2"/>
    </row>
    <row r="22" spans="1:37">
      <c r="A22" s="2"/>
      <c r="B22" s="2"/>
      <c r="C22" s="2"/>
      <c r="D22" s="2"/>
      <c r="E22" s="5"/>
      <c r="F22" s="2"/>
      <c r="G22" s="5"/>
      <c r="H22" s="2"/>
      <c r="I22" s="2"/>
      <c r="J22" s="2"/>
      <c r="K22" s="2"/>
      <c r="L22" s="2"/>
      <c r="M22" s="2"/>
      <c r="N22" s="2"/>
      <c r="O22" s="2"/>
      <c r="P22" s="2"/>
      <c r="Q22" s="2"/>
      <c r="R22" s="2"/>
      <c r="S22" s="2"/>
      <c r="T22" s="2"/>
      <c r="U22" s="2"/>
      <c r="V22" s="2"/>
      <c r="W22" s="2"/>
      <c r="X22" s="2"/>
      <c r="Y22" s="2"/>
      <c r="Z22" s="2" t="str">
        <f t="shared" si="0"/>
        <v/>
      </c>
      <c r="AA22" s="2" t="str">
        <f t="shared" si="1"/>
        <v/>
      </c>
      <c r="AB22" s="2" t="str">
        <f t="shared" si="2"/>
        <v/>
      </c>
      <c r="AC22" s="2" t="str">
        <f t="shared" si="3"/>
        <v>Walks with direction</v>
      </c>
      <c r="AD22" s="2"/>
      <c r="AE22" s="5"/>
      <c r="AF22" s="2"/>
      <c r="AG22" s="2"/>
      <c r="AH22" s="2"/>
      <c r="AI22" s="2"/>
    </row>
    <row r="23" spans="1:37">
      <c r="A23" s="2"/>
      <c r="B23" s="2"/>
      <c r="C23" s="2"/>
      <c r="D23" s="2"/>
      <c r="E23" s="5"/>
      <c r="F23" s="2"/>
      <c r="G23" s="5"/>
      <c r="H23" s="2"/>
      <c r="I23" s="2"/>
      <c r="J23" s="2"/>
      <c r="K23" s="2"/>
      <c r="L23" s="2"/>
      <c r="M23" s="2"/>
      <c r="N23" s="2"/>
      <c r="O23" s="2"/>
      <c r="P23" s="2"/>
      <c r="Q23" s="2"/>
      <c r="R23" s="2"/>
      <c r="S23" s="2"/>
      <c r="T23" s="2"/>
      <c r="U23" s="2"/>
      <c r="V23" s="2"/>
      <c r="W23" s="2"/>
      <c r="X23" s="2"/>
      <c r="Y23" s="2"/>
      <c r="Z23" s="2" t="str">
        <f t="shared" si="0"/>
        <v/>
      </c>
      <c r="AA23" s="2" t="str">
        <f t="shared" si="1"/>
        <v/>
      </c>
      <c r="AB23" s="2" t="str">
        <f t="shared" si="2"/>
        <v/>
      </c>
      <c r="AC23" s="2" t="str">
        <f t="shared" si="3"/>
        <v>Walks with direction</v>
      </c>
      <c r="AD23" s="2"/>
      <c r="AE23" s="5"/>
      <c r="AF23" s="2"/>
      <c r="AG23" s="2"/>
      <c r="AH23" s="2"/>
      <c r="AI23" s="2"/>
    </row>
    <row r="24" spans="1:37">
      <c r="A24" s="2"/>
      <c r="B24" s="2"/>
      <c r="C24" s="2"/>
      <c r="D24" s="2"/>
      <c r="E24" s="5"/>
      <c r="F24" s="2"/>
      <c r="G24" s="5"/>
      <c r="H24" s="2"/>
      <c r="I24" s="2"/>
      <c r="J24" s="2"/>
      <c r="K24" s="2"/>
      <c r="L24" s="2"/>
      <c r="M24" s="2"/>
      <c r="N24" s="2"/>
      <c r="O24" s="2"/>
      <c r="P24" s="2"/>
      <c r="Q24" s="2"/>
      <c r="R24" s="2"/>
      <c r="S24" s="2"/>
      <c r="T24" s="2"/>
      <c r="U24" s="2"/>
      <c r="V24" s="2"/>
      <c r="W24" s="2"/>
      <c r="X24" s="2"/>
      <c r="Y24" s="2"/>
      <c r="Z24" s="2" t="str">
        <f t="shared" si="0"/>
        <v/>
      </c>
      <c r="AA24" s="2" t="str">
        <f t="shared" si="1"/>
        <v/>
      </c>
      <c r="AB24" s="2" t="str">
        <f t="shared" si="2"/>
        <v/>
      </c>
      <c r="AC24" s="2" t="str">
        <f t="shared" si="3"/>
        <v>Walks with direction</v>
      </c>
      <c r="AD24" s="2"/>
      <c r="AE24" s="5"/>
      <c r="AF24" s="2"/>
      <c r="AG24" s="2"/>
      <c r="AH24" s="2"/>
      <c r="AI24" s="2"/>
    </row>
    <row r="25" spans="1:37">
      <c r="A25" s="2"/>
      <c r="B25" s="2"/>
      <c r="C25" s="2"/>
      <c r="D25" s="2"/>
      <c r="E25" s="5"/>
      <c r="F25" s="2"/>
      <c r="G25" s="5"/>
      <c r="H25" s="2"/>
      <c r="I25" s="2"/>
      <c r="J25" s="2"/>
      <c r="K25" s="2"/>
      <c r="L25" s="2"/>
      <c r="M25" s="2"/>
      <c r="N25" s="2"/>
      <c r="O25" s="2"/>
      <c r="P25" s="2"/>
      <c r="Q25" s="2"/>
      <c r="R25" s="2"/>
      <c r="S25" s="2"/>
      <c r="T25" s="2"/>
      <c r="U25" s="2"/>
      <c r="V25" s="2"/>
      <c r="W25" s="2"/>
      <c r="X25" s="2"/>
      <c r="Y25" s="2"/>
      <c r="Z25" s="2" t="str">
        <f t="shared" si="0"/>
        <v/>
      </c>
      <c r="AA25" s="2" t="str">
        <f t="shared" si="1"/>
        <v/>
      </c>
      <c r="AB25" s="2" t="str">
        <f t="shared" si="2"/>
        <v/>
      </c>
      <c r="AC25" s="2" t="str">
        <f t="shared" si="3"/>
        <v>Walks with direction</v>
      </c>
      <c r="AD25" s="2"/>
      <c r="AE25" s="5"/>
      <c r="AF25" s="2"/>
      <c r="AG25" s="2"/>
      <c r="AH25" s="2"/>
      <c r="AI25" s="2"/>
    </row>
    <row r="26" spans="1:37">
      <c r="A26" s="2"/>
      <c r="B26" s="2"/>
      <c r="C26" s="2"/>
      <c r="D26" s="2"/>
      <c r="E26" s="5"/>
      <c r="F26" s="2"/>
      <c r="G26" s="5"/>
      <c r="H26" s="2"/>
      <c r="I26" s="2"/>
      <c r="J26" s="2"/>
      <c r="K26" s="2"/>
      <c r="L26" s="2"/>
      <c r="M26" s="2"/>
      <c r="N26" s="2"/>
      <c r="O26" s="2"/>
      <c r="P26" s="2"/>
      <c r="Q26" s="2"/>
      <c r="R26" s="2"/>
      <c r="S26" s="2"/>
      <c r="T26" s="2"/>
      <c r="U26" s="2"/>
      <c r="V26" s="2"/>
      <c r="W26" s="2"/>
      <c r="X26" s="2"/>
      <c r="Y26" s="2"/>
      <c r="Z26" s="2" t="str">
        <f t="shared" si="0"/>
        <v/>
      </c>
      <c r="AA26" s="2" t="str">
        <f t="shared" si="1"/>
        <v/>
      </c>
      <c r="AB26" s="2" t="str">
        <f t="shared" si="2"/>
        <v/>
      </c>
      <c r="AC26" s="2" t="str">
        <f t="shared" si="3"/>
        <v>Walks with direction</v>
      </c>
      <c r="AD26" s="2"/>
      <c r="AE26" s="5"/>
      <c r="AF26" s="2"/>
      <c r="AG26" s="2"/>
      <c r="AH26" s="2"/>
      <c r="AI26" s="2"/>
    </row>
    <row r="27" spans="1:37">
      <c r="A27" s="2"/>
      <c r="B27" s="2"/>
      <c r="C27" s="2"/>
      <c r="D27" s="2"/>
      <c r="E27" s="5"/>
      <c r="F27" s="2"/>
      <c r="G27" s="5"/>
      <c r="H27" s="2"/>
      <c r="I27" s="2"/>
      <c r="J27" s="2"/>
      <c r="K27" s="2"/>
      <c r="L27" s="2"/>
      <c r="M27" s="2"/>
      <c r="N27" s="2"/>
      <c r="O27" s="2"/>
      <c r="P27" s="2"/>
      <c r="Q27" s="2"/>
      <c r="R27" s="2"/>
      <c r="S27" s="2"/>
      <c r="T27" s="2"/>
      <c r="U27" s="2"/>
      <c r="V27" s="2"/>
      <c r="W27" s="2"/>
      <c r="X27" s="2"/>
      <c r="Y27" s="2"/>
      <c r="Z27" s="2" t="str">
        <f t="shared" si="0"/>
        <v/>
      </c>
      <c r="AA27" s="2" t="str">
        <f t="shared" si="1"/>
        <v/>
      </c>
      <c r="AB27" s="2" t="str">
        <f t="shared" si="2"/>
        <v/>
      </c>
      <c r="AC27" s="2" t="str">
        <f t="shared" si="3"/>
        <v>Walks with direction</v>
      </c>
      <c r="AD27" s="2"/>
      <c r="AE27" s="5"/>
      <c r="AF27" s="2"/>
      <c r="AG27" s="2"/>
      <c r="AH27" s="2"/>
      <c r="AI27" s="2"/>
    </row>
    <row r="28" spans="1:37">
      <c r="A28" s="2"/>
      <c r="B28" s="2"/>
      <c r="C28" s="2"/>
      <c r="D28" s="2"/>
      <c r="E28" s="5"/>
      <c r="F28" s="2"/>
      <c r="G28" s="5"/>
      <c r="H28" s="2"/>
      <c r="I28" s="2"/>
      <c r="J28" s="2"/>
      <c r="K28" s="2"/>
      <c r="L28" s="2"/>
      <c r="M28" s="2"/>
      <c r="N28" s="2"/>
      <c r="O28" s="2"/>
      <c r="P28" s="2"/>
      <c r="Q28" s="2"/>
      <c r="R28" s="2"/>
      <c r="S28" s="2"/>
      <c r="T28" s="2"/>
      <c r="U28" s="2"/>
      <c r="V28" s="2"/>
      <c r="W28" s="2"/>
      <c r="X28" s="2"/>
      <c r="Y28" s="2"/>
      <c r="Z28" s="2" t="str">
        <f t="shared" si="0"/>
        <v/>
      </c>
      <c r="AA28" s="2" t="str">
        <f t="shared" si="1"/>
        <v/>
      </c>
      <c r="AB28" s="2" t="str">
        <f t="shared" si="2"/>
        <v/>
      </c>
      <c r="AC28" s="2" t="str">
        <f t="shared" si="3"/>
        <v>Walks with direction</v>
      </c>
      <c r="AD28" s="2"/>
      <c r="AE28" s="5"/>
      <c r="AF28" s="2"/>
      <c r="AG28" s="2"/>
      <c r="AH28" s="2"/>
      <c r="AI28" s="2"/>
    </row>
    <row r="29" spans="1:37">
      <c r="A29" s="2"/>
      <c r="B29" s="2"/>
      <c r="C29" s="2"/>
      <c r="D29" s="2"/>
      <c r="E29" s="5"/>
      <c r="F29" s="2"/>
      <c r="G29" s="5"/>
      <c r="H29" s="2"/>
      <c r="I29" s="2"/>
      <c r="J29" s="2"/>
      <c r="K29" s="2"/>
      <c r="L29" s="2"/>
      <c r="M29" s="2"/>
      <c r="N29" s="2"/>
      <c r="O29" s="2"/>
      <c r="P29" s="2"/>
      <c r="Q29" s="2"/>
      <c r="R29" s="2"/>
      <c r="S29" s="2"/>
      <c r="T29" s="2"/>
      <c r="U29" s="2"/>
      <c r="V29" s="2"/>
      <c r="W29" s="2"/>
      <c r="X29" s="2"/>
      <c r="Y29" s="2"/>
      <c r="Z29" s="2" t="str">
        <f t="shared" si="0"/>
        <v/>
      </c>
      <c r="AA29" s="2" t="str">
        <f t="shared" si="1"/>
        <v/>
      </c>
      <c r="AB29" s="2" t="str">
        <f t="shared" si="2"/>
        <v/>
      </c>
      <c r="AC29" s="2" t="str">
        <f t="shared" si="3"/>
        <v>Walks with direction</v>
      </c>
      <c r="AD29" s="2"/>
      <c r="AE29" s="5"/>
      <c r="AF29" s="2"/>
      <c r="AG29" s="2"/>
      <c r="AH29" s="2"/>
      <c r="AI29" s="2"/>
    </row>
    <row r="30" spans="1:37">
      <c r="A30" s="2"/>
      <c r="B30" s="2"/>
      <c r="C30" s="2"/>
      <c r="D30" s="2"/>
      <c r="E30" s="5"/>
      <c r="F30" s="2"/>
      <c r="G30" s="5"/>
      <c r="H30" s="2"/>
      <c r="I30" s="2"/>
      <c r="J30" s="2"/>
      <c r="K30" s="2"/>
      <c r="L30" s="2"/>
      <c r="M30" s="2"/>
      <c r="N30" s="2"/>
      <c r="O30" s="2"/>
      <c r="P30" s="2"/>
      <c r="Q30" s="2"/>
      <c r="R30" s="2"/>
      <c r="S30" s="2"/>
      <c r="T30" s="2"/>
      <c r="U30" s="2"/>
      <c r="V30" s="2"/>
      <c r="W30" s="2"/>
      <c r="X30" s="2"/>
      <c r="Y30" s="2"/>
      <c r="Z30" s="2" t="str">
        <f t="shared" si="0"/>
        <v/>
      </c>
      <c r="AA30" s="2" t="str">
        <f t="shared" si="1"/>
        <v/>
      </c>
      <c r="AB30" s="2" t="str">
        <f t="shared" si="2"/>
        <v/>
      </c>
      <c r="AC30" s="2" t="str">
        <f t="shared" si="3"/>
        <v>Walks with direction</v>
      </c>
      <c r="AD30" s="2"/>
      <c r="AE30" s="5"/>
      <c r="AF30" s="2"/>
      <c r="AG30" s="2"/>
      <c r="AH30" s="2"/>
      <c r="AI30" s="2"/>
    </row>
    <row r="31" spans="1:37">
      <c r="A31" s="2"/>
      <c r="B31" s="2"/>
      <c r="C31" s="2"/>
      <c r="D31" s="2"/>
      <c r="E31" s="5"/>
      <c r="F31" s="2"/>
      <c r="G31" s="5"/>
      <c r="H31" s="2"/>
      <c r="I31" s="2"/>
      <c r="J31" s="2"/>
      <c r="K31" s="2"/>
      <c r="L31" s="2"/>
      <c r="M31" s="2"/>
      <c r="N31" s="2"/>
      <c r="O31" s="2"/>
      <c r="P31" s="2"/>
      <c r="Q31" s="2"/>
      <c r="R31" s="2"/>
      <c r="S31" s="2"/>
      <c r="T31" s="2"/>
      <c r="U31" s="2"/>
      <c r="V31" s="2"/>
      <c r="W31" s="2"/>
      <c r="X31" s="2"/>
      <c r="Y31" s="2"/>
      <c r="Z31" s="2" t="str">
        <f t="shared" si="0"/>
        <v/>
      </c>
      <c r="AA31" s="2" t="str">
        <f t="shared" si="1"/>
        <v/>
      </c>
      <c r="AB31" s="2" t="str">
        <f t="shared" si="2"/>
        <v/>
      </c>
      <c r="AC31" s="2" t="str">
        <f t="shared" si="3"/>
        <v>Walks with direction</v>
      </c>
      <c r="AD31" s="2"/>
      <c r="AE31" s="5"/>
      <c r="AF31" s="2"/>
      <c r="AG31" s="2"/>
      <c r="AH31" s="2"/>
      <c r="AI31" s="2"/>
    </row>
    <row r="32" spans="1:37">
      <c r="A32" s="2"/>
      <c r="B32" s="2"/>
      <c r="C32" s="2"/>
      <c r="D32" s="2"/>
      <c r="E32" s="5"/>
      <c r="F32" s="2"/>
      <c r="G32" s="5"/>
      <c r="H32" s="2"/>
      <c r="I32" s="2"/>
      <c r="J32" s="2"/>
      <c r="K32" s="2"/>
      <c r="L32" s="2"/>
      <c r="M32" s="2"/>
      <c r="N32" s="2"/>
      <c r="O32" s="2"/>
      <c r="P32" s="2"/>
      <c r="Q32" s="2"/>
      <c r="R32" s="2"/>
      <c r="S32" s="2"/>
      <c r="T32" s="2"/>
      <c r="U32" s="2"/>
      <c r="V32" s="2"/>
      <c r="W32" s="2"/>
      <c r="X32" s="2"/>
      <c r="Y32" s="2"/>
      <c r="Z32" s="2" t="str">
        <f t="shared" si="0"/>
        <v/>
      </c>
      <c r="AA32" s="2" t="str">
        <f t="shared" si="1"/>
        <v/>
      </c>
      <c r="AB32" s="2" t="str">
        <f t="shared" si="2"/>
        <v/>
      </c>
      <c r="AC32" s="2" t="str">
        <f t="shared" si="3"/>
        <v>Walks with direction</v>
      </c>
      <c r="AD32" s="2"/>
      <c r="AE32" s="5"/>
      <c r="AF32" s="2"/>
      <c r="AG32" s="2"/>
      <c r="AH32" s="2"/>
      <c r="AI32" s="2"/>
    </row>
    <row r="33" spans="1:35">
      <c r="A33" s="2"/>
      <c r="B33" s="2"/>
      <c r="C33" s="2"/>
      <c r="D33" s="2"/>
      <c r="E33" s="5"/>
      <c r="F33" s="2"/>
      <c r="G33" s="5"/>
      <c r="H33" s="2"/>
      <c r="I33" s="2"/>
      <c r="J33" s="2"/>
      <c r="K33" s="2"/>
      <c r="L33" s="2"/>
      <c r="M33" s="2"/>
      <c r="N33" s="2"/>
      <c r="O33" s="2"/>
      <c r="P33" s="2"/>
      <c r="Q33" s="2"/>
      <c r="R33" s="2"/>
      <c r="S33" s="2"/>
      <c r="T33" s="2"/>
      <c r="U33" s="2"/>
      <c r="V33" s="2"/>
      <c r="W33" s="2"/>
      <c r="X33" s="2"/>
      <c r="Y33" s="2"/>
      <c r="Z33" s="2" t="str">
        <f t="shared" si="0"/>
        <v/>
      </c>
      <c r="AA33" s="2" t="str">
        <f t="shared" si="1"/>
        <v/>
      </c>
      <c r="AB33" s="2" t="str">
        <f t="shared" si="2"/>
        <v/>
      </c>
      <c r="AC33" s="2" t="str">
        <f t="shared" si="3"/>
        <v>Walks with direction</v>
      </c>
      <c r="AD33" s="2"/>
      <c r="AE33" s="5"/>
      <c r="AF33" s="2"/>
      <c r="AG33" s="2"/>
      <c r="AH33" s="2"/>
      <c r="AI33" s="2"/>
    </row>
    <row r="34" spans="1:35">
      <c r="A34" s="2"/>
      <c r="B34" s="2"/>
      <c r="C34" s="2"/>
      <c r="D34" s="2"/>
      <c r="E34" s="5"/>
      <c r="F34" s="2"/>
      <c r="G34" s="5"/>
      <c r="H34" s="2"/>
      <c r="I34" s="2"/>
      <c r="J34" s="2"/>
      <c r="K34" s="2"/>
      <c r="L34" s="2"/>
      <c r="M34" s="2"/>
      <c r="N34" s="2"/>
      <c r="O34" s="2"/>
      <c r="P34" s="2"/>
      <c r="Q34" s="2"/>
      <c r="R34" s="2"/>
      <c r="S34" s="2"/>
      <c r="T34" s="2"/>
      <c r="U34" s="2"/>
      <c r="V34" s="2"/>
      <c r="W34" s="2"/>
      <c r="X34" s="2"/>
      <c r="Y34" s="2"/>
      <c r="Z34" s="2" t="str">
        <f t="shared" si="0"/>
        <v/>
      </c>
      <c r="AA34" s="2" t="str">
        <f t="shared" si="1"/>
        <v/>
      </c>
      <c r="AB34" s="2" t="str">
        <f t="shared" si="2"/>
        <v/>
      </c>
      <c r="AC34" s="2" t="str">
        <f t="shared" si="3"/>
        <v>Walks with direction</v>
      </c>
      <c r="AD34" s="2"/>
      <c r="AE34" s="5"/>
      <c r="AF34" s="2"/>
      <c r="AG34" s="2"/>
      <c r="AH34" s="2"/>
      <c r="AI34" s="2"/>
    </row>
    <row r="35" spans="1:35">
      <c r="A35" s="2"/>
      <c r="B35" s="2"/>
      <c r="C35" s="2"/>
      <c r="D35" s="2"/>
      <c r="E35" s="5"/>
      <c r="F35" s="2"/>
      <c r="G35" s="5"/>
      <c r="H35" s="2"/>
      <c r="I35" s="2"/>
      <c r="J35" s="2"/>
      <c r="K35" s="2"/>
      <c r="L35" s="2"/>
      <c r="M35" s="2"/>
      <c r="N35" s="2"/>
      <c r="O35" s="2"/>
      <c r="P35" s="2"/>
      <c r="Q35" s="2"/>
      <c r="R35" s="2"/>
      <c r="S35" s="2"/>
      <c r="T35" s="2"/>
      <c r="U35" s="2"/>
      <c r="V35" s="2"/>
      <c r="W35" s="2"/>
      <c r="X35" s="2"/>
      <c r="Y35" s="2"/>
      <c r="Z35" s="2" t="str">
        <f t="shared" si="0"/>
        <v/>
      </c>
      <c r="AA35" s="2" t="str">
        <f t="shared" si="1"/>
        <v/>
      </c>
      <c r="AB35" s="2" t="str">
        <f t="shared" si="2"/>
        <v/>
      </c>
      <c r="AC35" s="2" t="str">
        <f t="shared" si="3"/>
        <v>Walks with direction</v>
      </c>
      <c r="AD35" s="2"/>
      <c r="AE35" s="5"/>
      <c r="AF35" s="2"/>
      <c r="AG35" s="2"/>
      <c r="AH35" s="2"/>
      <c r="AI35" s="2"/>
    </row>
    <row r="36" spans="1:35">
      <c r="A36" s="2"/>
      <c r="B36" s="2"/>
      <c r="C36" s="2"/>
      <c r="D36" s="2"/>
      <c r="E36" s="5"/>
      <c r="F36" s="2"/>
      <c r="G36" s="5"/>
      <c r="H36" s="2"/>
      <c r="I36" s="2"/>
      <c r="J36" s="2"/>
      <c r="K36" s="2"/>
      <c r="L36" s="2"/>
      <c r="M36" s="2"/>
      <c r="N36" s="2"/>
      <c r="O36" s="2"/>
      <c r="P36" s="2"/>
      <c r="Q36" s="2"/>
      <c r="R36" s="2"/>
      <c r="S36" s="2"/>
      <c r="T36" s="2"/>
      <c r="U36" s="2"/>
      <c r="V36" s="2"/>
      <c r="W36" s="2"/>
      <c r="X36" s="2"/>
      <c r="Y36" s="2"/>
      <c r="Z36" s="2" t="str">
        <f t="shared" si="0"/>
        <v/>
      </c>
      <c r="AA36" s="2" t="str">
        <f t="shared" si="1"/>
        <v/>
      </c>
      <c r="AB36" s="2" t="str">
        <f t="shared" si="2"/>
        <v/>
      </c>
      <c r="AC36" s="2" t="str">
        <f t="shared" si="3"/>
        <v>Walks with direction</v>
      </c>
      <c r="AD36" s="2"/>
      <c r="AE36" s="5"/>
      <c r="AF36" s="2"/>
      <c r="AG36" s="2"/>
      <c r="AH36" s="2"/>
      <c r="AI36" s="2"/>
    </row>
    <row r="37" spans="1:35">
      <c r="A37" s="2"/>
      <c r="B37" s="2"/>
      <c r="C37" s="2"/>
      <c r="D37" s="2"/>
      <c r="E37" s="5"/>
      <c r="F37" s="2"/>
      <c r="G37" s="5"/>
      <c r="H37" s="2"/>
      <c r="I37" s="2"/>
      <c r="J37" s="2"/>
      <c r="K37" s="2"/>
      <c r="L37" s="2"/>
      <c r="M37" s="2"/>
      <c r="N37" s="2"/>
      <c r="O37" s="2"/>
      <c r="P37" s="2"/>
      <c r="Q37" s="2"/>
      <c r="R37" s="2"/>
      <c r="S37" s="2"/>
      <c r="T37" s="2"/>
      <c r="U37" s="2"/>
      <c r="V37" s="2"/>
      <c r="W37" s="2"/>
      <c r="X37" s="2"/>
      <c r="Y37" s="2"/>
      <c r="Z37" s="2" t="str">
        <f t="shared" si="0"/>
        <v/>
      </c>
      <c r="AA37" s="2" t="str">
        <f t="shared" si="1"/>
        <v/>
      </c>
      <c r="AB37" s="2" t="str">
        <f t="shared" si="2"/>
        <v/>
      </c>
      <c r="AC37" s="2" t="str">
        <f t="shared" si="3"/>
        <v>Walks with direction</v>
      </c>
      <c r="AD37" s="2"/>
      <c r="AE37" s="5"/>
      <c r="AF37" s="2"/>
      <c r="AG37" s="2"/>
      <c r="AH37" s="2"/>
      <c r="AI37" s="2"/>
    </row>
    <row r="38" spans="1:35">
      <c r="A38" s="2"/>
      <c r="B38" s="2"/>
      <c r="C38" s="2"/>
      <c r="D38" s="2"/>
      <c r="E38" s="5"/>
      <c r="F38" s="2"/>
      <c r="G38" s="5"/>
      <c r="H38" s="2"/>
      <c r="I38" s="2"/>
      <c r="J38" s="2"/>
      <c r="K38" s="2"/>
      <c r="L38" s="2"/>
      <c r="M38" s="2"/>
      <c r="N38" s="2"/>
      <c r="O38" s="2"/>
      <c r="P38" s="2"/>
      <c r="Q38" s="2"/>
      <c r="R38" s="2"/>
      <c r="S38" s="2"/>
      <c r="T38" s="2"/>
      <c r="U38" s="2"/>
      <c r="V38" s="2"/>
      <c r="W38" s="2"/>
      <c r="X38" s="2"/>
      <c r="Y38" s="2"/>
      <c r="Z38" s="2" t="str">
        <f t="shared" si="0"/>
        <v/>
      </c>
      <c r="AA38" s="2" t="str">
        <f t="shared" si="1"/>
        <v/>
      </c>
      <c r="AB38" s="2" t="str">
        <f t="shared" si="2"/>
        <v/>
      </c>
      <c r="AC38" s="2" t="str">
        <f t="shared" si="3"/>
        <v>Walks with direction</v>
      </c>
      <c r="AD38" s="2"/>
      <c r="AE38" s="5"/>
      <c r="AF38" s="2"/>
      <c r="AG38" s="2"/>
      <c r="AH38" s="2"/>
      <c r="AI38" s="2"/>
    </row>
    <row r="39" spans="1:35">
      <c r="A39" s="2"/>
      <c r="B39" s="2"/>
      <c r="C39" s="2"/>
      <c r="D39" s="2"/>
      <c r="E39" s="5"/>
      <c r="F39" s="2"/>
      <c r="G39" s="5"/>
      <c r="H39" s="2"/>
      <c r="I39" s="2"/>
      <c r="J39" s="2"/>
      <c r="K39" s="2"/>
      <c r="L39" s="2"/>
      <c r="M39" s="2"/>
      <c r="N39" s="2"/>
      <c r="O39" s="2"/>
      <c r="P39" s="2"/>
      <c r="Q39" s="2"/>
      <c r="R39" s="2"/>
      <c r="S39" s="2"/>
      <c r="T39" s="2"/>
      <c r="U39" s="2"/>
      <c r="V39" s="2"/>
      <c r="W39" s="2"/>
      <c r="X39" s="2"/>
      <c r="Y39" s="2"/>
      <c r="Z39" s="2" t="str">
        <f t="shared" si="0"/>
        <v/>
      </c>
      <c r="AA39" s="2" t="str">
        <f t="shared" si="1"/>
        <v/>
      </c>
      <c r="AB39" s="2" t="str">
        <f t="shared" si="2"/>
        <v/>
      </c>
      <c r="AC39" s="2" t="str">
        <f t="shared" si="3"/>
        <v>Walks with direction</v>
      </c>
      <c r="AD39" s="2"/>
      <c r="AE39" s="5"/>
      <c r="AF39" s="2"/>
      <c r="AG39" s="2"/>
      <c r="AH39" s="2"/>
      <c r="AI39" s="2"/>
    </row>
    <row r="40" spans="1:35">
      <c r="A40" s="2"/>
      <c r="B40" s="2"/>
      <c r="C40" s="2"/>
      <c r="D40" s="2"/>
      <c r="E40" s="5"/>
      <c r="F40" s="2"/>
      <c r="G40" s="5"/>
      <c r="H40" s="2"/>
      <c r="I40" s="2"/>
      <c r="J40" s="2"/>
      <c r="K40" s="2"/>
      <c r="L40" s="2"/>
      <c r="M40" s="2"/>
      <c r="N40" s="2"/>
      <c r="O40" s="2"/>
      <c r="P40" s="2"/>
      <c r="Q40" s="2"/>
      <c r="R40" s="2"/>
      <c r="S40" s="2"/>
      <c r="T40" s="2"/>
      <c r="U40" s="2"/>
      <c r="V40" s="2"/>
      <c r="W40" s="2"/>
      <c r="X40" s="2"/>
      <c r="Y40" s="2"/>
      <c r="Z40" s="2" t="str">
        <f t="shared" si="0"/>
        <v/>
      </c>
      <c r="AA40" s="2" t="str">
        <f t="shared" si="1"/>
        <v/>
      </c>
      <c r="AB40" s="2" t="str">
        <f t="shared" si="2"/>
        <v/>
      </c>
      <c r="AC40" s="2" t="str">
        <f t="shared" si="3"/>
        <v>Walks with direction</v>
      </c>
      <c r="AD40" s="2"/>
      <c r="AE40" s="5"/>
      <c r="AF40" s="2"/>
      <c r="AG40" s="2"/>
      <c r="AH40" s="2"/>
      <c r="AI40" s="2"/>
    </row>
    <row r="41" spans="1:35">
      <c r="A41" s="2"/>
      <c r="B41" s="2"/>
      <c r="C41" s="2"/>
      <c r="D41" s="2"/>
      <c r="E41" s="5"/>
      <c r="F41" s="2"/>
      <c r="G41" s="5"/>
      <c r="H41" s="2"/>
      <c r="I41" s="2"/>
      <c r="J41" s="2"/>
      <c r="K41" s="2"/>
      <c r="L41" s="2"/>
      <c r="M41" s="2"/>
      <c r="N41" s="2"/>
      <c r="O41" s="2"/>
      <c r="P41" s="2"/>
      <c r="Q41" s="2"/>
      <c r="R41" s="2"/>
      <c r="S41" s="2"/>
      <c r="T41" s="2"/>
      <c r="U41" s="2"/>
      <c r="V41" s="2"/>
      <c r="W41" s="2"/>
      <c r="X41" s="2"/>
      <c r="Y41" s="2"/>
      <c r="Z41" s="2" t="str">
        <f t="shared" si="0"/>
        <v/>
      </c>
      <c r="AA41" s="2" t="str">
        <f t="shared" si="1"/>
        <v/>
      </c>
      <c r="AB41" s="2" t="str">
        <f t="shared" si="2"/>
        <v/>
      </c>
      <c r="AC41" s="2" t="str">
        <f t="shared" si="3"/>
        <v>Walks with direction</v>
      </c>
      <c r="AD41" s="2"/>
      <c r="AE41" s="5"/>
      <c r="AF41" s="2"/>
      <c r="AG41" s="2"/>
      <c r="AH41" s="2"/>
      <c r="AI41" s="2"/>
    </row>
    <row r="42" spans="1:35">
      <c r="A42" s="2"/>
      <c r="B42" s="2"/>
      <c r="C42" s="2"/>
      <c r="D42" s="2"/>
      <c r="E42" s="5"/>
      <c r="F42" s="2"/>
      <c r="G42" s="5"/>
      <c r="H42" s="2"/>
      <c r="I42" s="2"/>
      <c r="J42" s="2"/>
      <c r="K42" s="2"/>
      <c r="L42" s="2"/>
      <c r="M42" s="2"/>
      <c r="N42" s="2"/>
      <c r="O42" s="2"/>
      <c r="P42" s="2"/>
      <c r="Q42" s="2"/>
      <c r="R42" s="2"/>
      <c r="S42" s="2"/>
      <c r="T42" s="2"/>
      <c r="U42" s="2"/>
      <c r="V42" s="2"/>
      <c r="W42" s="2"/>
      <c r="X42" s="2"/>
      <c r="Y42" s="2"/>
      <c r="Z42" s="2" t="str">
        <f t="shared" si="0"/>
        <v/>
      </c>
      <c r="AA42" s="2" t="str">
        <f t="shared" si="1"/>
        <v/>
      </c>
      <c r="AB42" s="2" t="str">
        <f t="shared" si="2"/>
        <v/>
      </c>
      <c r="AC42" s="2" t="str">
        <f t="shared" si="3"/>
        <v>Walks with direction</v>
      </c>
      <c r="AD42" s="2"/>
      <c r="AE42" s="5"/>
      <c r="AF42" s="2"/>
      <c r="AG42" s="2"/>
      <c r="AH42" s="2"/>
      <c r="AI42" s="2"/>
    </row>
    <row r="43" spans="1:35">
      <c r="A43" s="2"/>
      <c r="B43" s="2"/>
      <c r="C43" s="2"/>
      <c r="D43" s="2"/>
      <c r="E43" s="5"/>
      <c r="F43" s="2"/>
      <c r="G43" s="5"/>
      <c r="H43" s="2"/>
      <c r="I43" s="2"/>
      <c r="J43" s="2"/>
      <c r="K43" s="2"/>
      <c r="L43" s="2"/>
      <c r="M43" s="2"/>
      <c r="N43" s="2"/>
      <c r="O43" s="2"/>
      <c r="P43" s="2"/>
      <c r="Q43" s="2"/>
      <c r="R43" s="2"/>
      <c r="S43" s="2"/>
      <c r="T43" s="2"/>
      <c r="U43" s="2"/>
      <c r="V43" s="2"/>
      <c r="W43" s="2"/>
      <c r="X43" s="2"/>
      <c r="Y43" s="2"/>
      <c r="Z43" s="2" t="str">
        <f t="shared" si="0"/>
        <v/>
      </c>
      <c r="AA43" s="2" t="str">
        <f t="shared" si="1"/>
        <v/>
      </c>
      <c r="AB43" s="2" t="str">
        <f t="shared" si="2"/>
        <v/>
      </c>
      <c r="AC43" s="2" t="str">
        <f t="shared" si="3"/>
        <v>Walks with direction</v>
      </c>
      <c r="AD43" s="2"/>
      <c r="AE43" s="5"/>
      <c r="AF43" s="2"/>
      <c r="AG43" s="2"/>
      <c r="AH43" s="2"/>
      <c r="AI43" s="2"/>
    </row>
    <row r="44" spans="1:35">
      <c r="A44" s="2"/>
      <c r="B44" s="2"/>
      <c r="C44" s="2"/>
      <c r="D44" s="2"/>
      <c r="E44" s="5"/>
      <c r="F44" s="2"/>
      <c r="G44" s="5"/>
      <c r="H44" s="2"/>
      <c r="I44" s="2"/>
      <c r="J44" s="2"/>
      <c r="K44" s="2"/>
      <c r="L44" s="2"/>
      <c r="M44" s="2"/>
      <c r="N44" s="2"/>
      <c r="O44" s="2"/>
      <c r="P44" s="2"/>
      <c r="Q44" s="2"/>
      <c r="R44" s="2"/>
      <c r="S44" s="2"/>
      <c r="T44" s="2"/>
      <c r="U44" s="2"/>
      <c r="V44" s="2"/>
      <c r="W44" s="2"/>
      <c r="X44" s="2"/>
      <c r="Y44" s="2"/>
      <c r="Z44" s="2" t="str">
        <f t="shared" si="0"/>
        <v/>
      </c>
      <c r="AA44" s="2" t="str">
        <f t="shared" si="1"/>
        <v/>
      </c>
      <c r="AB44" s="2" t="str">
        <f t="shared" si="2"/>
        <v/>
      </c>
      <c r="AC44" s="2" t="str">
        <f t="shared" si="3"/>
        <v>Walks with direction</v>
      </c>
      <c r="AD44" s="2"/>
      <c r="AE44" s="5"/>
      <c r="AF44" s="2"/>
      <c r="AG44" s="2"/>
      <c r="AH44" s="2"/>
      <c r="AI44" s="2"/>
    </row>
    <row r="45" spans="1:35">
      <c r="A45" s="2"/>
      <c r="B45" s="2"/>
      <c r="C45" s="2"/>
      <c r="D45" s="2"/>
      <c r="E45" s="5"/>
      <c r="F45" s="2"/>
      <c r="G45" s="5"/>
      <c r="H45" s="2"/>
      <c r="I45" s="2"/>
      <c r="J45" s="2"/>
      <c r="K45" s="2"/>
      <c r="L45" s="2"/>
      <c r="M45" s="2"/>
      <c r="N45" s="2"/>
      <c r="O45" s="2"/>
      <c r="P45" s="2"/>
      <c r="Q45" s="2"/>
      <c r="R45" s="2"/>
      <c r="S45" s="2"/>
      <c r="T45" s="2"/>
      <c r="U45" s="2"/>
      <c r="V45" s="2"/>
      <c r="W45" s="2"/>
      <c r="X45" s="2"/>
      <c r="Y45" s="2"/>
      <c r="Z45" s="2" t="str">
        <f t="shared" si="0"/>
        <v/>
      </c>
      <c r="AA45" s="2" t="str">
        <f t="shared" si="1"/>
        <v/>
      </c>
      <c r="AB45" s="2" t="str">
        <f t="shared" si="2"/>
        <v/>
      </c>
      <c r="AC45" s="2" t="str">
        <f t="shared" si="3"/>
        <v>Walks with direction</v>
      </c>
      <c r="AD45" s="2"/>
      <c r="AE45" s="5"/>
      <c r="AF45" s="2"/>
      <c r="AG45" s="2"/>
      <c r="AH45" s="2"/>
      <c r="AI45" s="2"/>
    </row>
    <row r="46" spans="1:35">
      <c r="A46" s="2"/>
      <c r="B46" s="2"/>
      <c r="C46" s="2"/>
      <c r="D46" s="2"/>
      <c r="E46" s="5"/>
      <c r="F46" s="2"/>
      <c r="G46" s="5"/>
      <c r="H46" s="2"/>
      <c r="I46" s="2"/>
      <c r="J46" s="2"/>
      <c r="K46" s="2"/>
      <c r="L46" s="2"/>
      <c r="M46" s="2"/>
      <c r="N46" s="2"/>
      <c r="O46" s="2"/>
      <c r="P46" s="2"/>
      <c r="Q46" s="2"/>
      <c r="R46" s="2"/>
      <c r="S46" s="2"/>
      <c r="T46" s="2"/>
      <c r="U46" s="2"/>
      <c r="V46" s="2"/>
      <c r="W46" s="2"/>
      <c r="X46" s="2"/>
      <c r="Y46" s="2"/>
      <c r="Z46" s="2" t="str">
        <f t="shared" si="0"/>
        <v/>
      </c>
      <c r="AA46" s="2" t="str">
        <f t="shared" si="1"/>
        <v/>
      </c>
      <c r="AB46" s="2" t="str">
        <f t="shared" si="2"/>
        <v/>
      </c>
      <c r="AC46" s="2" t="str">
        <f t="shared" si="3"/>
        <v>Walks with direction</v>
      </c>
      <c r="AD46" s="2"/>
      <c r="AE46" s="5"/>
      <c r="AF46" s="2"/>
      <c r="AG46" s="2"/>
      <c r="AH46" s="2"/>
      <c r="AI46" s="2"/>
    </row>
    <row r="47" spans="1:35">
      <c r="A47" s="2"/>
      <c r="B47" s="2"/>
      <c r="C47" s="2"/>
      <c r="D47" s="2"/>
      <c r="E47" s="5"/>
      <c r="F47" s="2"/>
      <c r="G47" s="5"/>
      <c r="H47" s="2"/>
      <c r="I47" s="2"/>
      <c r="J47" s="2"/>
      <c r="K47" s="2"/>
      <c r="L47" s="2"/>
      <c r="M47" s="2"/>
      <c r="N47" s="2"/>
      <c r="O47" s="2"/>
      <c r="P47" s="2"/>
      <c r="Q47" s="2"/>
      <c r="R47" s="2"/>
      <c r="S47" s="2"/>
      <c r="T47" s="2"/>
      <c r="U47" s="2"/>
      <c r="V47" s="2"/>
      <c r="W47" s="2"/>
      <c r="X47" s="2"/>
      <c r="Y47" s="2"/>
      <c r="Z47" s="2" t="str">
        <f t="shared" si="0"/>
        <v/>
      </c>
      <c r="AA47" s="2" t="str">
        <f t="shared" si="1"/>
        <v/>
      </c>
      <c r="AB47" s="2" t="str">
        <f t="shared" si="2"/>
        <v/>
      </c>
      <c r="AC47" s="2" t="str">
        <f t="shared" si="3"/>
        <v>Walks with direction</v>
      </c>
      <c r="AD47" s="2"/>
      <c r="AE47" s="5"/>
      <c r="AF47" s="2"/>
      <c r="AG47" s="2"/>
      <c r="AH47" s="2"/>
      <c r="AI47" s="2"/>
    </row>
    <row r="48" spans="1:35">
      <c r="A48" s="2"/>
      <c r="B48" s="2"/>
      <c r="C48" s="2"/>
      <c r="D48" s="2"/>
      <c r="E48" s="5"/>
      <c r="F48" s="2"/>
      <c r="G48" s="5"/>
      <c r="H48" s="2"/>
      <c r="I48" s="2"/>
      <c r="J48" s="2"/>
      <c r="K48" s="2"/>
      <c r="L48" s="2"/>
      <c r="M48" s="2"/>
      <c r="N48" s="2"/>
      <c r="O48" s="2"/>
      <c r="P48" s="2"/>
      <c r="Q48" s="2"/>
      <c r="R48" s="2"/>
      <c r="S48" s="2"/>
      <c r="T48" s="2"/>
      <c r="U48" s="2"/>
      <c r="V48" s="2"/>
      <c r="W48" s="2"/>
      <c r="X48" s="2"/>
      <c r="Y48" s="2"/>
      <c r="Z48" s="2" t="str">
        <f t="shared" si="0"/>
        <v/>
      </c>
      <c r="AA48" s="2" t="str">
        <f t="shared" si="1"/>
        <v/>
      </c>
      <c r="AB48" s="2" t="str">
        <f t="shared" si="2"/>
        <v/>
      </c>
      <c r="AC48" s="2" t="str">
        <f t="shared" si="3"/>
        <v>Walks with direction</v>
      </c>
      <c r="AD48" s="2"/>
      <c r="AE48" s="5"/>
      <c r="AF48" s="2"/>
      <c r="AG48" s="2"/>
      <c r="AH48" s="2"/>
      <c r="AI48" s="2"/>
    </row>
    <row r="49" spans="1:35">
      <c r="A49" s="2"/>
      <c r="B49" s="2"/>
      <c r="C49" s="2"/>
      <c r="D49" s="2"/>
      <c r="E49" s="5"/>
      <c r="F49" s="2"/>
      <c r="G49" s="5"/>
      <c r="H49" s="2"/>
      <c r="I49" s="2"/>
      <c r="J49" s="2"/>
      <c r="K49" s="2"/>
      <c r="L49" s="2"/>
      <c r="M49" s="2"/>
      <c r="N49" s="2"/>
      <c r="O49" s="2"/>
      <c r="P49" s="2"/>
      <c r="Q49" s="2"/>
      <c r="R49" s="2"/>
      <c r="S49" s="2"/>
      <c r="T49" s="2"/>
      <c r="U49" s="2"/>
      <c r="V49" s="2"/>
      <c r="W49" s="2"/>
      <c r="X49" s="2"/>
      <c r="Y49" s="2"/>
      <c r="Z49" s="2" t="str">
        <f t="shared" si="0"/>
        <v/>
      </c>
      <c r="AA49" s="2" t="str">
        <f t="shared" si="1"/>
        <v/>
      </c>
      <c r="AB49" s="2" t="str">
        <f t="shared" si="2"/>
        <v/>
      </c>
      <c r="AC49" s="2" t="str">
        <f t="shared" si="3"/>
        <v>Walks with direction</v>
      </c>
      <c r="AD49" s="2"/>
      <c r="AE49" s="5"/>
      <c r="AF49" s="2"/>
      <c r="AG49" s="2"/>
      <c r="AH49" s="2"/>
      <c r="AI49" s="2"/>
    </row>
    <row r="50" spans="1:35">
      <c r="A50" s="2"/>
      <c r="B50" s="2"/>
      <c r="C50" s="2"/>
      <c r="D50" s="2"/>
      <c r="E50" s="5"/>
      <c r="F50" s="2"/>
      <c r="G50" s="5"/>
      <c r="H50" s="2"/>
      <c r="I50" s="2"/>
      <c r="J50" s="2"/>
      <c r="K50" s="2"/>
      <c r="L50" s="2"/>
      <c r="M50" s="2"/>
      <c r="N50" s="2"/>
      <c r="O50" s="2"/>
      <c r="P50" s="2"/>
      <c r="Q50" s="2"/>
      <c r="R50" s="2"/>
      <c r="S50" s="2"/>
      <c r="T50" s="2"/>
      <c r="U50" s="2"/>
      <c r="V50" s="2"/>
      <c r="W50" s="2"/>
      <c r="X50" s="2"/>
      <c r="Y50" s="2"/>
      <c r="Z50" s="2" t="str">
        <f t="shared" ref="Z50:Z81" si="4">IF(COUNTA(H50:Y50)=0,"",IF(COUNTIF(H50:Y50,"Very High")&gt;0,"Very High",IF(COUNTIF(H50:Y50,"High")&gt;0,"High",IF(COUNTIF(H50:Y50,"Medium")&gt;0,"Medium","Low"))))</f>
        <v/>
      </c>
      <c r="AA50" s="2" t="str">
        <f t="shared" ref="AA50:AA81" si="5">IF(Z50="","",IF(Z50="Low","Routine planned support",IF(Z50="Medium","One staff support/supervision likely",IF(Z50="High","Two staff/review staffing and equipment","Manager review: multiple staff/specialist support"))))</f>
        <v/>
      </c>
      <c r="AB50" s="2" t="str">
        <f t="shared" ref="AB50:AB81" si="6">IF(Z50="","",IF(OR(Z50="High",Z50="Very High",W50="High",W50="Very High"),"Night staffing and evacuation review required","Routine night checks as per care plan"))</f>
        <v/>
      </c>
      <c r="AC50" s="2" t="str">
        <f t="shared" ref="AC50:AC81" si="7">IF(X50="Very High","Specialist PEEP / equipment",IF(OR(X50="High",Z50="High"),"Evacuation sheet/chair or wheelchair per PEEP",IF(OR(X50="Medium",Z50="Medium"),"Walking aid/wheelchair support per PEEP","Walks with direction")))</f>
        <v>Walks with direction</v>
      </c>
      <c r="AD50" s="2"/>
      <c r="AE50" s="5"/>
      <c r="AF50" s="2"/>
      <c r="AG50" s="2"/>
      <c r="AH50" s="2"/>
      <c r="AI50" s="2"/>
    </row>
    <row r="51" spans="1:35">
      <c r="A51" s="2"/>
      <c r="B51" s="2"/>
      <c r="C51" s="2"/>
      <c r="D51" s="2"/>
      <c r="E51" s="5"/>
      <c r="F51" s="2"/>
      <c r="G51" s="5"/>
      <c r="H51" s="2"/>
      <c r="I51" s="2"/>
      <c r="J51" s="2"/>
      <c r="K51" s="2"/>
      <c r="L51" s="2"/>
      <c r="M51" s="2"/>
      <c r="N51" s="2"/>
      <c r="O51" s="2"/>
      <c r="P51" s="2"/>
      <c r="Q51" s="2"/>
      <c r="R51" s="2"/>
      <c r="S51" s="2"/>
      <c r="T51" s="2"/>
      <c r="U51" s="2"/>
      <c r="V51" s="2"/>
      <c r="W51" s="2"/>
      <c r="X51" s="2"/>
      <c r="Y51" s="2"/>
      <c r="Z51" s="2" t="str">
        <f t="shared" si="4"/>
        <v/>
      </c>
      <c r="AA51" s="2" t="str">
        <f t="shared" si="5"/>
        <v/>
      </c>
      <c r="AB51" s="2" t="str">
        <f t="shared" si="6"/>
        <v/>
      </c>
      <c r="AC51" s="2" t="str">
        <f t="shared" si="7"/>
        <v>Walks with direction</v>
      </c>
      <c r="AD51" s="2"/>
      <c r="AE51" s="5"/>
      <c r="AF51" s="2"/>
      <c r="AG51" s="2"/>
      <c r="AH51" s="2"/>
      <c r="AI51" s="2"/>
    </row>
    <row r="52" spans="1:35">
      <c r="A52" s="2"/>
      <c r="B52" s="2"/>
      <c r="C52" s="2"/>
      <c r="D52" s="2"/>
      <c r="E52" s="5"/>
      <c r="F52" s="2"/>
      <c r="G52" s="5"/>
      <c r="H52" s="2"/>
      <c r="I52" s="2"/>
      <c r="J52" s="2"/>
      <c r="K52" s="2"/>
      <c r="L52" s="2"/>
      <c r="M52" s="2"/>
      <c r="N52" s="2"/>
      <c r="O52" s="2"/>
      <c r="P52" s="2"/>
      <c r="Q52" s="2"/>
      <c r="R52" s="2"/>
      <c r="S52" s="2"/>
      <c r="T52" s="2"/>
      <c r="U52" s="2"/>
      <c r="V52" s="2"/>
      <c r="W52" s="2"/>
      <c r="X52" s="2"/>
      <c r="Y52" s="2"/>
      <c r="Z52" s="2" t="str">
        <f t="shared" si="4"/>
        <v/>
      </c>
      <c r="AA52" s="2" t="str">
        <f t="shared" si="5"/>
        <v/>
      </c>
      <c r="AB52" s="2" t="str">
        <f t="shared" si="6"/>
        <v/>
      </c>
      <c r="AC52" s="2" t="str">
        <f t="shared" si="7"/>
        <v>Walks with direction</v>
      </c>
      <c r="AD52" s="2"/>
      <c r="AE52" s="5"/>
      <c r="AF52" s="2"/>
      <c r="AG52" s="2"/>
      <c r="AH52" s="2"/>
      <c r="AI52" s="2"/>
    </row>
    <row r="53" spans="1:35">
      <c r="A53" s="2"/>
      <c r="B53" s="2"/>
      <c r="C53" s="2"/>
      <c r="D53" s="2"/>
      <c r="E53" s="5"/>
      <c r="F53" s="2"/>
      <c r="G53" s="5"/>
      <c r="H53" s="2"/>
      <c r="I53" s="2"/>
      <c r="J53" s="2"/>
      <c r="K53" s="2"/>
      <c r="L53" s="2"/>
      <c r="M53" s="2"/>
      <c r="N53" s="2"/>
      <c r="O53" s="2"/>
      <c r="P53" s="2"/>
      <c r="Q53" s="2"/>
      <c r="R53" s="2"/>
      <c r="S53" s="2"/>
      <c r="T53" s="2"/>
      <c r="U53" s="2"/>
      <c r="V53" s="2"/>
      <c r="W53" s="2"/>
      <c r="X53" s="2"/>
      <c r="Y53" s="2"/>
      <c r="Z53" s="2" t="str">
        <f t="shared" si="4"/>
        <v/>
      </c>
      <c r="AA53" s="2" t="str">
        <f t="shared" si="5"/>
        <v/>
      </c>
      <c r="AB53" s="2" t="str">
        <f t="shared" si="6"/>
        <v/>
      </c>
      <c r="AC53" s="2" t="str">
        <f t="shared" si="7"/>
        <v>Walks with direction</v>
      </c>
      <c r="AD53" s="2"/>
      <c r="AE53" s="5"/>
      <c r="AF53" s="2"/>
      <c r="AG53" s="2"/>
      <c r="AH53" s="2"/>
      <c r="AI53" s="2"/>
    </row>
    <row r="54" spans="1:35">
      <c r="A54" s="2"/>
      <c r="B54" s="2"/>
      <c r="C54" s="2"/>
      <c r="D54" s="2"/>
      <c r="E54" s="5"/>
      <c r="F54" s="2"/>
      <c r="G54" s="5"/>
      <c r="H54" s="2"/>
      <c r="I54" s="2"/>
      <c r="J54" s="2"/>
      <c r="K54" s="2"/>
      <c r="L54" s="2"/>
      <c r="M54" s="2"/>
      <c r="N54" s="2"/>
      <c r="O54" s="2"/>
      <c r="P54" s="2"/>
      <c r="Q54" s="2"/>
      <c r="R54" s="2"/>
      <c r="S54" s="2"/>
      <c r="T54" s="2"/>
      <c r="U54" s="2"/>
      <c r="V54" s="2"/>
      <c r="W54" s="2"/>
      <c r="X54" s="2"/>
      <c r="Y54" s="2"/>
      <c r="Z54" s="2" t="str">
        <f t="shared" si="4"/>
        <v/>
      </c>
      <c r="AA54" s="2" t="str">
        <f t="shared" si="5"/>
        <v/>
      </c>
      <c r="AB54" s="2" t="str">
        <f t="shared" si="6"/>
        <v/>
      </c>
      <c r="AC54" s="2" t="str">
        <f t="shared" si="7"/>
        <v>Walks with direction</v>
      </c>
      <c r="AD54" s="2"/>
      <c r="AE54" s="5"/>
      <c r="AF54" s="2"/>
      <c r="AG54" s="2"/>
      <c r="AH54" s="2"/>
      <c r="AI54" s="2"/>
    </row>
    <row r="55" spans="1:35">
      <c r="A55" s="2"/>
      <c r="B55" s="2"/>
      <c r="C55" s="2"/>
      <c r="D55" s="2"/>
      <c r="E55" s="5"/>
      <c r="F55" s="2"/>
      <c r="G55" s="5"/>
      <c r="H55" s="2"/>
      <c r="I55" s="2"/>
      <c r="J55" s="2"/>
      <c r="K55" s="2"/>
      <c r="L55" s="2"/>
      <c r="M55" s="2"/>
      <c r="N55" s="2"/>
      <c r="O55" s="2"/>
      <c r="P55" s="2"/>
      <c r="Q55" s="2"/>
      <c r="R55" s="2"/>
      <c r="S55" s="2"/>
      <c r="T55" s="2"/>
      <c r="U55" s="2"/>
      <c r="V55" s="2"/>
      <c r="W55" s="2"/>
      <c r="X55" s="2"/>
      <c r="Y55" s="2"/>
      <c r="Z55" s="2" t="str">
        <f t="shared" si="4"/>
        <v/>
      </c>
      <c r="AA55" s="2" t="str">
        <f t="shared" si="5"/>
        <v/>
      </c>
      <c r="AB55" s="2" t="str">
        <f t="shared" si="6"/>
        <v/>
      </c>
      <c r="AC55" s="2" t="str">
        <f t="shared" si="7"/>
        <v>Walks with direction</v>
      </c>
      <c r="AD55" s="2"/>
      <c r="AE55" s="5"/>
      <c r="AF55" s="2"/>
      <c r="AG55" s="2"/>
      <c r="AH55" s="2"/>
      <c r="AI55" s="2"/>
    </row>
    <row r="56" spans="1:35">
      <c r="A56" s="2"/>
      <c r="B56" s="2"/>
      <c r="C56" s="2"/>
      <c r="D56" s="2"/>
      <c r="E56" s="5"/>
      <c r="F56" s="2"/>
      <c r="G56" s="5"/>
      <c r="H56" s="2"/>
      <c r="I56" s="2"/>
      <c r="J56" s="2"/>
      <c r="K56" s="2"/>
      <c r="L56" s="2"/>
      <c r="M56" s="2"/>
      <c r="N56" s="2"/>
      <c r="O56" s="2"/>
      <c r="P56" s="2"/>
      <c r="Q56" s="2"/>
      <c r="R56" s="2"/>
      <c r="S56" s="2"/>
      <c r="T56" s="2"/>
      <c r="U56" s="2"/>
      <c r="V56" s="2"/>
      <c r="W56" s="2"/>
      <c r="X56" s="2"/>
      <c r="Y56" s="2"/>
      <c r="Z56" s="2" t="str">
        <f t="shared" si="4"/>
        <v/>
      </c>
      <c r="AA56" s="2" t="str">
        <f t="shared" si="5"/>
        <v/>
      </c>
      <c r="AB56" s="2" t="str">
        <f t="shared" si="6"/>
        <v/>
      </c>
      <c r="AC56" s="2" t="str">
        <f t="shared" si="7"/>
        <v>Walks with direction</v>
      </c>
      <c r="AD56" s="2"/>
      <c r="AE56" s="5"/>
      <c r="AF56" s="2"/>
      <c r="AG56" s="2"/>
      <c r="AH56" s="2"/>
      <c r="AI56" s="2"/>
    </row>
    <row r="57" spans="1:35">
      <c r="A57" s="2"/>
      <c r="B57" s="2"/>
      <c r="C57" s="2"/>
      <c r="D57" s="2"/>
      <c r="E57" s="5"/>
      <c r="F57" s="2"/>
      <c r="G57" s="5"/>
      <c r="H57" s="2"/>
      <c r="I57" s="2"/>
      <c r="J57" s="2"/>
      <c r="K57" s="2"/>
      <c r="L57" s="2"/>
      <c r="M57" s="2"/>
      <c r="N57" s="2"/>
      <c r="O57" s="2"/>
      <c r="P57" s="2"/>
      <c r="Q57" s="2"/>
      <c r="R57" s="2"/>
      <c r="S57" s="2"/>
      <c r="T57" s="2"/>
      <c r="U57" s="2"/>
      <c r="V57" s="2"/>
      <c r="W57" s="2"/>
      <c r="X57" s="2"/>
      <c r="Y57" s="2"/>
      <c r="Z57" s="2" t="str">
        <f t="shared" si="4"/>
        <v/>
      </c>
      <c r="AA57" s="2" t="str">
        <f t="shared" si="5"/>
        <v/>
      </c>
      <c r="AB57" s="2" t="str">
        <f t="shared" si="6"/>
        <v/>
      </c>
      <c r="AC57" s="2" t="str">
        <f t="shared" si="7"/>
        <v>Walks with direction</v>
      </c>
      <c r="AD57" s="2"/>
      <c r="AE57" s="5"/>
      <c r="AF57" s="2"/>
      <c r="AG57" s="2"/>
      <c r="AH57" s="2"/>
      <c r="AI57" s="2"/>
    </row>
    <row r="58" spans="1:35">
      <c r="A58" s="2"/>
      <c r="B58" s="2"/>
      <c r="C58" s="2"/>
      <c r="D58" s="2"/>
      <c r="E58" s="5"/>
      <c r="F58" s="2"/>
      <c r="G58" s="5"/>
      <c r="H58" s="2"/>
      <c r="I58" s="2"/>
      <c r="J58" s="2"/>
      <c r="K58" s="2"/>
      <c r="L58" s="2"/>
      <c r="M58" s="2"/>
      <c r="N58" s="2"/>
      <c r="O58" s="2"/>
      <c r="P58" s="2"/>
      <c r="Q58" s="2"/>
      <c r="R58" s="2"/>
      <c r="S58" s="2"/>
      <c r="T58" s="2"/>
      <c r="U58" s="2"/>
      <c r="V58" s="2"/>
      <c r="W58" s="2"/>
      <c r="X58" s="2"/>
      <c r="Y58" s="2"/>
      <c r="Z58" s="2" t="str">
        <f t="shared" si="4"/>
        <v/>
      </c>
      <c r="AA58" s="2" t="str">
        <f t="shared" si="5"/>
        <v/>
      </c>
      <c r="AB58" s="2" t="str">
        <f t="shared" si="6"/>
        <v/>
      </c>
      <c r="AC58" s="2" t="str">
        <f t="shared" si="7"/>
        <v>Walks with direction</v>
      </c>
      <c r="AD58" s="2"/>
      <c r="AE58" s="5"/>
      <c r="AF58" s="2"/>
      <c r="AG58" s="2"/>
      <c r="AH58" s="2"/>
      <c r="AI58" s="2"/>
    </row>
    <row r="59" spans="1:35">
      <c r="A59" s="2"/>
      <c r="B59" s="2"/>
      <c r="C59" s="2"/>
      <c r="D59" s="2"/>
      <c r="E59" s="5"/>
      <c r="F59" s="2"/>
      <c r="G59" s="5"/>
      <c r="H59" s="2"/>
      <c r="I59" s="2"/>
      <c r="J59" s="2"/>
      <c r="K59" s="2"/>
      <c r="L59" s="2"/>
      <c r="M59" s="2"/>
      <c r="N59" s="2"/>
      <c r="O59" s="2"/>
      <c r="P59" s="2"/>
      <c r="Q59" s="2"/>
      <c r="R59" s="2"/>
      <c r="S59" s="2"/>
      <c r="T59" s="2"/>
      <c r="U59" s="2"/>
      <c r="V59" s="2"/>
      <c r="W59" s="2"/>
      <c r="X59" s="2"/>
      <c r="Y59" s="2"/>
      <c r="Z59" s="2" t="str">
        <f t="shared" si="4"/>
        <v/>
      </c>
      <c r="AA59" s="2" t="str">
        <f t="shared" si="5"/>
        <v/>
      </c>
      <c r="AB59" s="2" t="str">
        <f t="shared" si="6"/>
        <v/>
      </c>
      <c r="AC59" s="2" t="str">
        <f t="shared" si="7"/>
        <v>Walks with direction</v>
      </c>
      <c r="AD59" s="2"/>
      <c r="AE59" s="5"/>
      <c r="AF59" s="2"/>
      <c r="AG59" s="2"/>
      <c r="AH59" s="2"/>
      <c r="AI59" s="2"/>
    </row>
    <row r="60" spans="1:35">
      <c r="A60" s="2"/>
      <c r="B60" s="2"/>
      <c r="C60" s="2"/>
      <c r="D60" s="2"/>
      <c r="E60" s="5"/>
      <c r="F60" s="2"/>
      <c r="G60" s="5"/>
      <c r="H60" s="2"/>
      <c r="I60" s="2"/>
      <c r="J60" s="2"/>
      <c r="K60" s="2"/>
      <c r="L60" s="2"/>
      <c r="M60" s="2"/>
      <c r="N60" s="2"/>
      <c r="O60" s="2"/>
      <c r="P60" s="2"/>
      <c r="Q60" s="2"/>
      <c r="R60" s="2"/>
      <c r="S60" s="2"/>
      <c r="T60" s="2"/>
      <c r="U60" s="2"/>
      <c r="V60" s="2"/>
      <c r="W60" s="2"/>
      <c r="X60" s="2"/>
      <c r="Y60" s="2"/>
      <c r="Z60" s="2" t="str">
        <f t="shared" si="4"/>
        <v/>
      </c>
      <c r="AA60" s="2" t="str">
        <f t="shared" si="5"/>
        <v/>
      </c>
      <c r="AB60" s="2" t="str">
        <f t="shared" si="6"/>
        <v/>
      </c>
      <c r="AC60" s="2" t="str">
        <f t="shared" si="7"/>
        <v>Walks with direction</v>
      </c>
      <c r="AD60" s="2"/>
      <c r="AE60" s="5"/>
      <c r="AF60" s="2"/>
      <c r="AG60" s="2"/>
      <c r="AH60" s="2"/>
      <c r="AI60" s="2"/>
    </row>
    <row r="61" spans="1:35">
      <c r="A61" s="2"/>
      <c r="B61" s="2"/>
      <c r="C61" s="2"/>
      <c r="D61" s="2"/>
      <c r="E61" s="5"/>
      <c r="F61" s="2"/>
      <c r="G61" s="5"/>
      <c r="H61" s="2"/>
      <c r="I61" s="2"/>
      <c r="J61" s="2"/>
      <c r="K61" s="2"/>
      <c r="L61" s="2"/>
      <c r="M61" s="2"/>
      <c r="N61" s="2"/>
      <c r="O61" s="2"/>
      <c r="P61" s="2"/>
      <c r="Q61" s="2"/>
      <c r="R61" s="2"/>
      <c r="S61" s="2"/>
      <c r="T61" s="2"/>
      <c r="U61" s="2"/>
      <c r="V61" s="2"/>
      <c r="W61" s="2"/>
      <c r="X61" s="2"/>
      <c r="Y61" s="2"/>
      <c r="Z61" s="2" t="str">
        <f t="shared" si="4"/>
        <v/>
      </c>
      <c r="AA61" s="2" t="str">
        <f t="shared" si="5"/>
        <v/>
      </c>
      <c r="AB61" s="2" t="str">
        <f t="shared" si="6"/>
        <v/>
      </c>
      <c r="AC61" s="2" t="str">
        <f t="shared" si="7"/>
        <v>Walks with direction</v>
      </c>
      <c r="AD61" s="2"/>
      <c r="AE61" s="5"/>
      <c r="AF61" s="2"/>
      <c r="AG61" s="2"/>
      <c r="AH61" s="2"/>
      <c r="AI61" s="2"/>
    </row>
    <row r="62" spans="1:35">
      <c r="A62" s="2"/>
      <c r="B62" s="2"/>
      <c r="C62" s="2"/>
      <c r="D62" s="2"/>
      <c r="E62" s="5"/>
      <c r="F62" s="2"/>
      <c r="G62" s="5"/>
      <c r="H62" s="2"/>
      <c r="I62" s="2"/>
      <c r="J62" s="2"/>
      <c r="K62" s="2"/>
      <c r="L62" s="2"/>
      <c r="M62" s="2"/>
      <c r="N62" s="2"/>
      <c r="O62" s="2"/>
      <c r="P62" s="2"/>
      <c r="Q62" s="2"/>
      <c r="R62" s="2"/>
      <c r="S62" s="2"/>
      <c r="T62" s="2"/>
      <c r="U62" s="2"/>
      <c r="V62" s="2"/>
      <c r="W62" s="2"/>
      <c r="X62" s="2"/>
      <c r="Y62" s="2"/>
      <c r="Z62" s="2" t="str">
        <f t="shared" si="4"/>
        <v/>
      </c>
      <c r="AA62" s="2" t="str">
        <f t="shared" si="5"/>
        <v/>
      </c>
      <c r="AB62" s="2" t="str">
        <f t="shared" si="6"/>
        <v/>
      </c>
      <c r="AC62" s="2" t="str">
        <f t="shared" si="7"/>
        <v>Walks with direction</v>
      </c>
      <c r="AD62" s="2"/>
      <c r="AE62" s="5"/>
      <c r="AF62" s="2"/>
      <c r="AG62" s="2"/>
      <c r="AH62" s="2"/>
      <c r="AI62" s="2"/>
    </row>
    <row r="63" spans="1:35">
      <c r="A63" s="2"/>
      <c r="B63" s="2"/>
      <c r="C63" s="2"/>
      <c r="D63" s="2"/>
      <c r="E63" s="5"/>
      <c r="F63" s="2"/>
      <c r="G63" s="5"/>
      <c r="H63" s="2"/>
      <c r="I63" s="2"/>
      <c r="J63" s="2"/>
      <c r="K63" s="2"/>
      <c r="L63" s="2"/>
      <c r="M63" s="2"/>
      <c r="N63" s="2"/>
      <c r="O63" s="2"/>
      <c r="P63" s="2"/>
      <c r="Q63" s="2"/>
      <c r="R63" s="2"/>
      <c r="S63" s="2"/>
      <c r="T63" s="2"/>
      <c r="U63" s="2"/>
      <c r="V63" s="2"/>
      <c r="W63" s="2"/>
      <c r="X63" s="2"/>
      <c r="Y63" s="2"/>
      <c r="Z63" s="2" t="str">
        <f t="shared" si="4"/>
        <v/>
      </c>
      <c r="AA63" s="2" t="str">
        <f t="shared" si="5"/>
        <v/>
      </c>
      <c r="AB63" s="2" t="str">
        <f t="shared" si="6"/>
        <v/>
      </c>
      <c r="AC63" s="2" t="str">
        <f t="shared" si="7"/>
        <v>Walks with direction</v>
      </c>
      <c r="AD63" s="2"/>
      <c r="AE63" s="5"/>
      <c r="AF63" s="2"/>
      <c r="AG63" s="2"/>
      <c r="AH63" s="2"/>
      <c r="AI63" s="2"/>
    </row>
    <row r="64" spans="1:35">
      <c r="A64" s="2"/>
      <c r="B64" s="2"/>
      <c r="C64" s="2"/>
      <c r="D64" s="2"/>
      <c r="E64" s="5"/>
      <c r="F64" s="2"/>
      <c r="G64" s="5"/>
      <c r="H64" s="2"/>
      <c r="I64" s="2"/>
      <c r="J64" s="2"/>
      <c r="K64" s="2"/>
      <c r="L64" s="2"/>
      <c r="M64" s="2"/>
      <c r="N64" s="2"/>
      <c r="O64" s="2"/>
      <c r="P64" s="2"/>
      <c r="Q64" s="2"/>
      <c r="R64" s="2"/>
      <c r="S64" s="2"/>
      <c r="T64" s="2"/>
      <c r="U64" s="2"/>
      <c r="V64" s="2"/>
      <c r="W64" s="2"/>
      <c r="X64" s="2"/>
      <c r="Y64" s="2"/>
      <c r="Z64" s="2" t="str">
        <f t="shared" si="4"/>
        <v/>
      </c>
      <c r="AA64" s="2" t="str">
        <f t="shared" si="5"/>
        <v/>
      </c>
      <c r="AB64" s="2" t="str">
        <f t="shared" si="6"/>
        <v/>
      </c>
      <c r="AC64" s="2" t="str">
        <f t="shared" si="7"/>
        <v>Walks with direction</v>
      </c>
      <c r="AD64" s="2"/>
      <c r="AE64" s="5"/>
      <c r="AF64" s="2"/>
      <c r="AG64" s="2"/>
      <c r="AH64" s="2"/>
      <c r="AI64" s="2"/>
    </row>
    <row r="65" spans="1:35">
      <c r="A65" s="2"/>
      <c r="B65" s="2"/>
      <c r="C65" s="2"/>
      <c r="D65" s="2"/>
      <c r="E65" s="5"/>
      <c r="F65" s="2"/>
      <c r="G65" s="5"/>
      <c r="H65" s="2"/>
      <c r="I65" s="2"/>
      <c r="J65" s="2"/>
      <c r="K65" s="2"/>
      <c r="L65" s="2"/>
      <c r="M65" s="2"/>
      <c r="N65" s="2"/>
      <c r="O65" s="2"/>
      <c r="P65" s="2"/>
      <c r="Q65" s="2"/>
      <c r="R65" s="2"/>
      <c r="S65" s="2"/>
      <c r="T65" s="2"/>
      <c r="U65" s="2"/>
      <c r="V65" s="2"/>
      <c r="W65" s="2"/>
      <c r="X65" s="2"/>
      <c r="Y65" s="2"/>
      <c r="Z65" s="2" t="str">
        <f t="shared" si="4"/>
        <v/>
      </c>
      <c r="AA65" s="2" t="str">
        <f t="shared" si="5"/>
        <v/>
      </c>
      <c r="AB65" s="2" t="str">
        <f t="shared" si="6"/>
        <v/>
      </c>
      <c r="AC65" s="2" t="str">
        <f t="shared" si="7"/>
        <v>Walks with direction</v>
      </c>
      <c r="AD65" s="2"/>
      <c r="AE65" s="5"/>
      <c r="AF65" s="2"/>
      <c r="AG65" s="2"/>
      <c r="AH65" s="2"/>
      <c r="AI65" s="2"/>
    </row>
    <row r="66" spans="1:35">
      <c r="A66" s="2"/>
      <c r="B66" s="2"/>
      <c r="C66" s="2"/>
      <c r="D66" s="2"/>
      <c r="E66" s="5"/>
      <c r="F66" s="2"/>
      <c r="G66" s="5"/>
      <c r="H66" s="2"/>
      <c r="I66" s="2"/>
      <c r="J66" s="2"/>
      <c r="K66" s="2"/>
      <c r="L66" s="2"/>
      <c r="M66" s="2"/>
      <c r="N66" s="2"/>
      <c r="O66" s="2"/>
      <c r="P66" s="2"/>
      <c r="Q66" s="2"/>
      <c r="R66" s="2"/>
      <c r="S66" s="2"/>
      <c r="T66" s="2"/>
      <c r="U66" s="2"/>
      <c r="V66" s="2"/>
      <c r="W66" s="2"/>
      <c r="X66" s="2"/>
      <c r="Y66" s="2"/>
      <c r="Z66" s="2" t="str">
        <f t="shared" si="4"/>
        <v/>
      </c>
      <c r="AA66" s="2" t="str">
        <f t="shared" si="5"/>
        <v/>
      </c>
      <c r="AB66" s="2" t="str">
        <f t="shared" si="6"/>
        <v/>
      </c>
      <c r="AC66" s="2" t="str">
        <f t="shared" si="7"/>
        <v>Walks with direction</v>
      </c>
      <c r="AD66" s="2"/>
      <c r="AE66" s="5"/>
      <c r="AF66" s="2"/>
      <c r="AG66" s="2"/>
      <c r="AH66" s="2"/>
      <c r="AI66" s="2"/>
    </row>
    <row r="67" spans="1:35">
      <c r="A67" s="2"/>
      <c r="B67" s="2"/>
      <c r="C67" s="2"/>
      <c r="D67" s="2"/>
      <c r="E67" s="5"/>
      <c r="F67" s="2"/>
      <c r="G67" s="5"/>
      <c r="H67" s="2"/>
      <c r="I67" s="2"/>
      <c r="J67" s="2"/>
      <c r="K67" s="2"/>
      <c r="L67" s="2"/>
      <c r="M67" s="2"/>
      <c r="N67" s="2"/>
      <c r="O67" s="2"/>
      <c r="P67" s="2"/>
      <c r="Q67" s="2"/>
      <c r="R67" s="2"/>
      <c r="S67" s="2"/>
      <c r="T67" s="2"/>
      <c r="U67" s="2"/>
      <c r="V67" s="2"/>
      <c r="W67" s="2"/>
      <c r="X67" s="2"/>
      <c r="Y67" s="2"/>
      <c r="Z67" s="2" t="str">
        <f t="shared" si="4"/>
        <v/>
      </c>
      <c r="AA67" s="2" t="str">
        <f t="shared" si="5"/>
        <v/>
      </c>
      <c r="AB67" s="2" t="str">
        <f t="shared" si="6"/>
        <v/>
      </c>
      <c r="AC67" s="2" t="str">
        <f t="shared" si="7"/>
        <v>Walks with direction</v>
      </c>
      <c r="AD67" s="2"/>
      <c r="AE67" s="5"/>
      <c r="AF67" s="2"/>
      <c r="AG67" s="2"/>
      <c r="AH67" s="2"/>
      <c r="AI67" s="2"/>
    </row>
    <row r="68" spans="1:35">
      <c r="A68" s="2"/>
      <c r="B68" s="2"/>
      <c r="C68" s="2"/>
      <c r="D68" s="2"/>
      <c r="E68" s="5"/>
      <c r="F68" s="2"/>
      <c r="G68" s="5"/>
      <c r="H68" s="2"/>
      <c r="I68" s="2"/>
      <c r="J68" s="2"/>
      <c r="K68" s="2"/>
      <c r="L68" s="2"/>
      <c r="M68" s="2"/>
      <c r="N68" s="2"/>
      <c r="O68" s="2"/>
      <c r="P68" s="2"/>
      <c r="Q68" s="2"/>
      <c r="R68" s="2"/>
      <c r="S68" s="2"/>
      <c r="T68" s="2"/>
      <c r="U68" s="2"/>
      <c r="V68" s="2"/>
      <c r="W68" s="2"/>
      <c r="X68" s="2"/>
      <c r="Y68" s="2"/>
      <c r="Z68" s="2" t="str">
        <f t="shared" si="4"/>
        <v/>
      </c>
      <c r="AA68" s="2" t="str">
        <f t="shared" si="5"/>
        <v/>
      </c>
      <c r="AB68" s="2" t="str">
        <f t="shared" si="6"/>
        <v/>
      </c>
      <c r="AC68" s="2" t="str">
        <f t="shared" si="7"/>
        <v>Walks with direction</v>
      </c>
      <c r="AD68" s="2"/>
      <c r="AE68" s="5"/>
      <c r="AF68" s="2"/>
      <c r="AG68" s="2"/>
      <c r="AH68" s="2"/>
      <c r="AI68" s="2"/>
    </row>
    <row r="69" spans="1:35">
      <c r="A69" s="2"/>
      <c r="B69" s="2"/>
      <c r="C69" s="2"/>
      <c r="D69" s="2"/>
      <c r="E69" s="5"/>
      <c r="F69" s="2"/>
      <c r="G69" s="5"/>
      <c r="H69" s="2"/>
      <c r="I69" s="2"/>
      <c r="J69" s="2"/>
      <c r="K69" s="2"/>
      <c r="L69" s="2"/>
      <c r="M69" s="2"/>
      <c r="N69" s="2"/>
      <c r="O69" s="2"/>
      <c r="P69" s="2"/>
      <c r="Q69" s="2"/>
      <c r="R69" s="2"/>
      <c r="S69" s="2"/>
      <c r="T69" s="2"/>
      <c r="U69" s="2"/>
      <c r="V69" s="2"/>
      <c r="W69" s="2"/>
      <c r="X69" s="2"/>
      <c r="Y69" s="2"/>
      <c r="Z69" s="2" t="str">
        <f t="shared" si="4"/>
        <v/>
      </c>
      <c r="AA69" s="2" t="str">
        <f t="shared" si="5"/>
        <v/>
      </c>
      <c r="AB69" s="2" t="str">
        <f t="shared" si="6"/>
        <v/>
      </c>
      <c r="AC69" s="2" t="str">
        <f t="shared" si="7"/>
        <v>Walks with direction</v>
      </c>
      <c r="AD69" s="2"/>
      <c r="AE69" s="5"/>
      <c r="AF69" s="2"/>
      <c r="AG69" s="2"/>
      <c r="AH69" s="2"/>
      <c r="AI69" s="2"/>
    </row>
    <row r="70" spans="1:35">
      <c r="A70" s="2"/>
      <c r="B70" s="2"/>
      <c r="C70" s="2"/>
      <c r="D70" s="2"/>
      <c r="E70" s="5"/>
      <c r="F70" s="2"/>
      <c r="G70" s="5"/>
      <c r="H70" s="2"/>
      <c r="I70" s="2"/>
      <c r="J70" s="2"/>
      <c r="K70" s="2"/>
      <c r="L70" s="2"/>
      <c r="M70" s="2"/>
      <c r="N70" s="2"/>
      <c r="O70" s="2"/>
      <c r="P70" s="2"/>
      <c r="Q70" s="2"/>
      <c r="R70" s="2"/>
      <c r="S70" s="2"/>
      <c r="T70" s="2"/>
      <c r="U70" s="2"/>
      <c r="V70" s="2"/>
      <c r="W70" s="2"/>
      <c r="X70" s="2"/>
      <c r="Y70" s="2"/>
      <c r="Z70" s="2" t="str">
        <f t="shared" si="4"/>
        <v/>
      </c>
      <c r="AA70" s="2" t="str">
        <f t="shared" si="5"/>
        <v/>
      </c>
      <c r="AB70" s="2" t="str">
        <f t="shared" si="6"/>
        <v/>
      </c>
      <c r="AC70" s="2" t="str">
        <f t="shared" si="7"/>
        <v>Walks with direction</v>
      </c>
      <c r="AD70" s="2"/>
      <c r="AE70" s="5"/>
      <c r="AF70" s="2"/>
      <c r="AG70" s="2"/>
      <c r="AH70" s="2"/>
      <c r="AI70" s="2"/>
    </row>
    <row r="71" spans="1:35">
      <c r="A71" s="2"/>
      <c r="B71" s="2"/>
      <c r="C71" s="2"/>
      <c r="D71" s="2"/>
      <c r="E71" s="5"/>
      <c r="F71" s="2"/>
      <c r="G71" s="5"/>
      <c r="H71" s="2"/>
      <c r="I71" s="2"/>
      <c r="J71" s="2"/>
      <c r="K71" s="2"/>
      <c r="L71" s="2"/>
      <c r="M71" s="2"/>
      <c r="N71" s="2"/>
      <c r="O71" s="2"/>
      <c r="P71" s="2"/>
      <c r="Q71" s="2"/>
      <c r="R71" s="2"/>
      <c r="S71" s="2"/>
      <c r="T71" s="2"/>
      <c r="U71" s="2"/>
      <c r="V71" s="2"/>
      <c r="W71" s="2"/>
      <c r="X71" s="2"/>
      <c r="Y71" s="2"/>
      <c r="Z71" s="2" t="str">
        <f t="shared" si="4"/>
        <v/>
      </c>
      <c r="AA71" s="2" t="str">
        <f t="shared" si="5"/>
        <v/>
      </c>
      <c r="AB71" s="2" t="str">
        <f t="shared" si="6"/>
        <v/>
      </c>
      <c r="AC71" s="2" t="str">
        <f t="shared" si="7"/>
        <v>Walks with direction</v>
      </c>
      <c r="AD71" s="2"/>
      <c r="AE71" s="5"/>
      <c r="AF71" s="2"/>
      <c r="AG71" s="2"/>
      <c r="AH71" s="2"/>
      <c r="AI71" s="2"/>
    </row>
    <row r="72" spans="1:35">
      <c r="A72" s="2"/>
      <c r="B72" s="2"/>
      <c r="C72" s="2"/>
      <c r="D72" s="2"/>
      <c r="E72" s="5"/>
      <c r="F72" s="2"/>
      <c r="G72" s="5"/>
      <c r="H72" s="2"/>
      <c r="I72" s="2"/>
      <c r="J72" s="2"/>
      <c r="K72" s="2"/>
      <c r="L72" s="2"/>
      <c r="M72" s="2"/>
      <c r="N72" s="2"/>
      <c r="O72" s="2"/>
      <c r="P72" s="2"/>
      <c r="Q72" s="2"/>
      <c r="R72" s="2"/>
      <c r="S72" s="2"/>
      <c r="T72" s="2"/>
      <c r="U72" s="2"/>
      <c r="V72" s="2"/>
      <c r="W72" s="2"/>
      <c r="X72" s="2"/>
      <c r="Y72" s="2"/>
      <c r="Z72" s="2" t="str">
        <f t="shared" si="4"/>
        <v/>
      </c>
      <c r="AA72" s="2" t="str">
        <f t="shared" si="5"/>
        <v/>
      </c>
      <c r="AB72" s="2" t="str">
        <f t="shared" si="6"/>
        <v/>
      </c>
      <c r="AC72" s="2" t="str">
        <f t="shared" si="7"/>
        <v>Walks with direction</v>
      </c>
      <c r="AD72" s="2"/>
      <c r="AE72" s="5"/>
      <c r="AF72" s="2"/>
      <c r="AG72" s="2"/>
      <c r="AH72" s="2"/>
      <c r="AI72" s="2"/>
    </row>
    <row r="73" spans="1:35">
      <c r="A73" s="2"/>
      <c r="B73" s="2"/>
      <c r="C73" s="2"/>
      <c r="D73" s="2"/>
      <c r="E73" s="5"/>
      <c r="F73" s="2"/>
      <c r="G73" s="5"/>
      <c r="H73" s="2"/>
      <c r="I73" s="2"/>
      <c r="J73" s="2"/>
      <c r="K73" s="2"/>
      <c r="L73" s="2"/>
      <c r="M73" s="2"/>
      <c r="N73" s="2"/>
      <c r="O73" s="2"/>
      <c r="P73" s="2"/>
      <c r="Q73" s="2"/>
      <c r="R73" s="2"/>
      <c r="S73" s="2"/>
      <c r="T73" s="2"/>
      <c r="U73" s="2"/>
      <c r="V73" s="2"/>
      <c r="W73" s="2"/>
      <c r="X73" s="2"/>
      <c r="Y73" s="2"/>
      <c r="Z73" s="2" t="str">
        <f t="shared" si="4"/>
        <v/>
      </c>
      <c r="AA73" s="2" t="str">
        <f t="shared" si="5"/>
        <v/>
      </c>
      <c r="AB73" s="2" t="str">
        <f t="shared" si="6"/>
        <v/>
      </c>
      <c r="AC73" s="2" t="str">
        <f t="shared" si="7"/>
        <v>Walks with direction</v>
      </c>
      <c r="AD73" s="2"/>
      <c r="AE73" s="5"/>
      <c r="AF73" s="2"/>
      <c r="AG73" s="2"/>
      <c r="AH73" s="2"/>
      <c r="AI73" s="2"/>
    </row>
    <row r="74" spans="1:35">
      <c r="A74" s="2"/>
      <c r="B74" s="2"/>
      <c r="C74" s="2"/>
      <c r="D74" s="2"/>
      <c r="E74" s="5"/>
      <c r="F74" s="2"/>
      <c r="G74" s="5"/>
      <c r="H74" s="2"/>
      <c r="I74" s="2"/>
      <c r="J74" s="2"/>
      <c r="K74" s="2"/>
      <c r="L74" s="2"/>
      <c r="M74" s="2"/>
      <c r="N74" s="2"/>
      <c r="O74" s="2"/>
      <c r="P74" s="2"/>
      <c r="Q74" s="2"/>
      <c r="R74" s="2"/>
      <c r="S74" s="2"/>
      <c r="T74" s="2"/>
      <c r="U74" s="2"/>
      <c r="V74" s="2"/>
      <c r="W74" s="2"/>
      <c r="X74" s="2"/>
      <c r="Y74" s="2"/>
      <c r="Z74" s="2" t="str">
        <f t="shared" si="4"/>
        <v/>
      </c>
      <c r="AA74" s="2" t="str">
        <f t="shared" si="5"/>
        <v/>
      </c>
      <c r="AB74" s="2" t="str">
        <f t="shared" si="6"/>
        <v/>
      </c>
      <c r="AC74" s="2" t="str">
        <f t="shared" si="7"/>
        <v>Walks with direction</v>
      </c>
      <c r="AD74" s="2"/>
      <c r="AE74" s="5"/>
      <c r="AF74" s="2"/>
      <c r="AG74" s="2"/>
      <c r="AH74" s="2"/>
      <c r="AI74" s="2"/>
    </row>
    <row r="75" spans="1:35">
      <c r="A75" s="2"/>
      <c r="B75" s="2"/>
      <c r="C75" s="2"/>
      <c r="D75" s="2"/>
      <c r="E75" s="5"/>
      <c r="F75" s="2"/>
      <c r="G75" s="5"/>
      <c r="H75" s="2"/>
      <c r="I75" s="2"/>
      <c r="J75" s="2"/>
      <c r="K75" s="2"/>
      <c r="L75" s="2"/>
      <c r="M75" s="2"/>
      <c r="N75" s="2"/>
      <c r="O75" s="2"/>
      <c r="P75" s="2"/>
      <c r="Q75" s="2"/>
      <c r="R75" s="2"/>
      <c r="S75" s="2"/>
      <c r="T75" s="2"/>
      <c r="U75" s="2"/>
      <c r="V75" s="2"/>
      <c r="W75" s="2"/>
      <c r="X75" s="2"/>
      <c r="Y75" s="2"/>
      <c r="Z75" s="2" t="str">
        <f t="shared" si="4"/>
        <v/>
      </c>
      <c r="AA75" s="2" t="str">
        <f t="shared" si="5"/>
        <v/>
      </c>
      <c r="AB75" s="2" t="str">
        <f t="shared" si="6"/>
        <v/>
      </c>
      <c r="AC75" s="2" t="str">
        <f t="shared" si="7"/>
        <v>Walks with direction</v>
      </c>
      <c r="AD75" s="2"/>
      <c r="AE75" s="5"/>
      <c r="AF75" s="2"/>
      <c r="AG75" s="2"/>
      <c r="AH75" s="2"/>
      <c r="AI75" s="2"/>
    </row>
    <row r="76" spans="1:35">
      <c r="A76" s="2"/>
      <c r="B76" s="2"/>
      <c r="C76" s="2"/>
      <c r="D76" s="2"/>
      <c r="E76" s="5"/>
      <c r="F76" s="2"/>
      <c r="G76" s="5"/>
      <c r="H76" s="2"/>
      <c r="I76" s="2"/>
      <c r="J76" s="2"/>
      <c r="K76" s="2"/>
      <c r="L76" s="2"/>
      <c r="M76" s="2"/>
      <c r="N76" s="2"/>
      <c r="O76" s="2"/>
      <c r="P76" s="2"/>
      <c r="Q76" s="2"/>
      <c r="R76" s="2"/>
      <c r="S76" s="2"/>
      <c r="T76" s="2"/>
      <c r="U76" s="2"/>
      <c r="V76" s="2"/>
      <c r="W76" s="2"/>
      <c r="X76" s="2"/>
      <c r="Y76" s="2"/>
      <c r="Z76" s="2" t="str">
        <f t="shared" si="4"/>
        <v/>
      </c>
      <c r="AA76" s="2" t="str">
        <f t="shared" si="5"/>
        <v/>
      </c>
      <c r="AB76" s="2" t="str">
        <f t="shared" si="6"/>
        <v/>
      </c>
      <c r="AC76" s="2" t="str">
        <f t="shared" si="7"/>
        <v>Walks with direction</v>
      </c>
      <c r="AD76" s="2"/>
      <c r="AE76" s="5"/>
      <c r="AF76" s="2"/>
      <c r="AG76" s="2"/>
      <c r="AH76" s="2"/>
      <c r="AI76" s="2"/>
    </row>
    <row r="77" spans="1:35">
      <c r="A77" s="2"/>
      <c r="B77" s="2"/>
      <c r="C77" s="2"/>
      <c r="D77" s="2"/>
      <c r="E77" s="5"/>
      <c r="F77" s="2"/>
      <c r="G77" s="5"/>
      <c r="H77" s="2"/>
      <c r="I77" s="2"/>
      <c r="J77" s="2"/>
      <c r="K77" s="2"/>
      <c r="L77" s="2"/>
      <c r="M77" s="2"/>
      <c r="N77" s="2"/>
      <c r="O77" s="2"/>
      <c r="P77" s="2"/>
      <c r="Q77" s="2"/>
      <c r="R77" s="2"/>
      <c r="S77" s="2"/>
      <c r="T77" s="2"/>
      <c r="U77" s="2"/>
      <c r="V77" s="2"/>
      <c r="W77" s="2"/>
      <c r="X77" s="2"/>
      <c r="Y77" s="2"/>
      <c r="Z77" s="2" t="str">
        <f t="shared" si="4"/>
        <v/>
      </c>
      <c r="AA77" s="2" t="str">
        <f t="shared" si="5"/>
        <v/>
      </c>
      <c r="AB77" s="2" t="str">
        <f t="shared" si="6"/>
        <v/>
      </c>
      <c r="AC77" s="2" t="str">
        <f t="shared" si="7"/>
        <v>Walks with direction</v>
      </c>
      <c r="AD77" s="2"/>
      <c r="AE77" s="5"/>
      <c r="AF77" s="2"/>
      <c r="AG77" s="2"/>
      <c r="AH77" s="2"/>
      <c r="AI77" s="2"/>
    </row>
    <row r="78" spans="1:35">
      <c r="A78" s="2"/>
      <c r="B78" s="2"/>
      <c r="C78" s="2"/>
      <c r="D78" s="2"/>
      <c r="E78" s="5"/>
      <c r="F78" s="2"/>
      <c r="G78" s="5"/>
      <c r="H78" s="2"/>
      <c r="I78" s="2"/>
      <c r="J78" s="2"/>
      <c r="K78" s="2"/>
      <c r="L78" s="2"/>
      <c r="M78" s="2"/>
      <c r="N78" s="2"/>
      <c r="O78" s="2"/>
      <c r="P78" s="2"/>
      <c r="Q78" s="2"/>
      <c r="R78" s="2"/>
      <c r="S78" s="2"/>
      <c r="T78" s="2"/>
      <c r="U78" s="2"/>
      <c r="V78" s="2"/>
      <c r="W78" s="2"/>
      <c r="X78" s="2"/>
      <c r="Y78" s="2"/>
      <c r="Z78" s="2" t="str">
        <f t="shared" si="4"/>
        <v/>
      </c>
      <c r="AA78" s="2" t="str">
        <f t="shared" si="5"/>
        <v/>
      </c>
      <c r="AB78" s="2" t="str">
        <f t="shared" si="6"/>
        <v/>
      </c>
      <c r="AC78" s="2" t="str">
        <f t="shared" si="7"/>
        <v>Walks with direction</v>
      </c>
      <c r="AD78" s="2"/>
      <c r="AE78" s="5"/>
      <c r="AF78" s="2"/>
      <c r="AG78" s="2"/>
      <c r="AH78" s="2"/>
      <c r="AI78" s="2"/>
    </row>
    <row r="79" spans="1:35">
      <c r="A79" s="2"/>
      <c r="B79" s="2"/>
      <c r="C79" s="2"/>
      <c r="D79" s="2"/>
      <c r="E79" s="5"/>
      <c r="F79" s="2"/>
      <c r="G79" s="5"/>
      <c r="H79" s="2"/>
      <c r="I79" s="2"/>
      <c r="J79" s="2"/>
      <c r="K79" s="2"/>
      <c r="L79" s="2"/>
      <c r="M79" s="2"/>
      <c r="N79" s="2"/>
      <c r="O79" s="2"/>
      <c r="P79" s="2"/>
      <c r="Q79" s="2"/>
      <c r="R79" s="2"/>
      <c r="S79" s="2"/>
      <c r="T79" s="2"/>
      <c r="U79" s="2"/>
      <c r="V79" s="2"/>
      <c r="W79" s="2"/>
      <c r="X79" s="2"/>
      <c r="Y79" s="2"/>
      <c r="Z79" s="2" t="str">
        <f t="shared" si="4"/>
        <v/>
      </c>
      <c r="AA79" s="2" t="str">
        <f t="shared" si="5"/>
        <v/>
      </c>
      <c r="AB79" s="2" t="str">
        <f t="shared" si="6"/>
        <v/>
      </c>
      <c r="AC79" s="2" t="str">
        <f t="shared" si="7"/>
        <v>Walks with direction</v>
      </c>
      <c r="AD79" s="2"/>
      <c r="AE79" s="5"/>
      <c r="AF79" s="2"/>
      <c r="AG79" s="2"/>
      <c r="AH79" s="2"/>
      <c r="AI79" s="2"/>
    </row>
    <row r="80" spans="1:35">
      <c r="A80" s="2"/>
      <c r="B80" s="2"/>
      <c r="C80" s="2"/>
      <c r="D80" s="2"/>
      <c r="E80" s="5"/>
      <c r="F80" s="2"/>
      <c r="G80" s="5"/>
      <c r="H80" s="2"/>
      <c r="I80" s="2"/>
      <c r="J80" s="2"/>
      <c r="K80" s="2"/>
      <c r="L80" s="2"/>
      <c r="M80" s="2"/>
      <c r="N80" s="2"/>
      <c r="O80" s="2"/>
      <c r="P80" s="2"/>
      <c r="Q80" s="2"/>
      <c r="R80" s="2"/>
      <c r="S80" s="2"/>
      <c r="T80" s="2"/>
      <c r="U80" s="2"/>
      <c r="V80" s="2"/>
      <c r="W80" s="2"/>
      <c r="X80" s="2"/>
      <c r="Y80" s="2"/>
      <c r="Z80" s="2" t="str">
        <f t="shared" si="4"/>
        <v/>
      </c>
      <c r="AA80" s="2" t="str">
        <f t="shared" si="5"/>
        <v/>
      </c>
      <c r="AB80" s="2" t="str">
        <f t="shared" si="6"/>
        <v/>
      </c>
      <c r="AC80" s="2" t="str">
        <f t="shared" si="7"/>
        <v>Walks with direction</v>
      </c>
      <c r="AD80" s="2"/>
      <c r="AE80" s="5"/>
      <c r="AF80" s="2"/>
      <c r="AG80" s="2"/>
      <c r="AH80" s="2"/>
      <c r="AI80" s="2"/>
    </row>
    <row r="81" spans="1:35">
      <c r="A81" s="2"/>
      <c r="B81" s="2"/>
      <c r="C81" s="2"/>
      <c r="D81" s="2"/>
      <c r="E81" s="5"/>
      <c r="F81" s="2"/>
      <c r="G81" s="5"/>
      <c r="H81" s="2"/>
      <c r="I81" s="2"/>
      <c r="J81" s="2"/>
      <c r="K81" s="2"/>
      <c r="L81" s="2"/>
      <c r="M81" s="2"/>
      <c r="N81" s="2"/>
      <c r="O81" s="2"/>
      <c r="P81" s="2"/>
      <c r="Q81" s="2"/>
      <c r="R81" s="2"/>
      <c r="S81" s="2"/>
      <c r="T81" s="2"/>
      <c r="U81" s="2"/>
      <c r="V81" s="2"/>
      <c r="W81" s="2"/>
      <c r="X81" s="2"/>
      <c r="Y81" s="2"/>
      <c r="Z81" s="2" t="str">
        <f t="shared" si="4"/>
        <v/>
      </c>
      <c r="AA81" s="2" t="str">
        <f t="shared" si="5"/>
        <v/>
      </c>
      <c r="AB81" s="2" t="str">
        <f t="shared" si="6"/>
        <v/>
      </c>
      <c r="AC81" s="2" t="str">
        <f t="shared" si="7"/>
        <v>Walks with direction</v>
      </c>
      <c r="AD81" s="2"/>
      <c r="AE81" s="5"/>
      <c r="AF81" s="2"/>
      <c r="AG81" s="2"/>
      <c r="AH81" s="2"/>
      <c r="AI81" s="2"/>
    </row>
    <row r="82" spans="1:35">
      <c r="A82" s="2"/>
      <c r="B82" s="2"/>
      <c r="C82" s="2"/>
      <c r="D82" s="2"/>
      <c r="E82" s="5"/>
      <c r="F82" s="2"/>
      <c r="G82" s="5"/>
      <c r="H82" s="2"/>
      <c r="I82" s="2"/>
      <c r="J82" s="2"/>
      <c r="K82" s="2"/>
      <c r="L82" s="2"/>
      <c r="M82" s="2"/>
      <c r="N82" s="2"/>
      <c r="O82" s="2"/>
      <c r="P82" s="2"/>
      <c r="Q82" s="2"/>
      <c r="R82" s="2"/>
      <c r="S82" s="2"/>
      <c r="T82" s="2"/>
      <c r="U82" s="2"/>
      <c r="V82" s="2"/>
      <c r="W82" s="2"/>
      <c r="X82" s="2"/>
      <c r="Y82" s="2"/>
      <c r="Z82" s="2" t="str">
        <f t="shared" ref="Z82:Z113" si="8">IF(COUNTA(H82:Y82)=0,"",IF(COUNTIF(H82:Y82,"Very High")&gt;0,"Very High",IF(COUNTIF(H82:Y82,"High")&gt;0,"High",IF(COUNTIF(H82:Y82,"Medium")&gt;0,"Medium","Low"))))</f>
        <v/>
      </c>
      <c r="AA82" s="2" t="str">
        <f t="shared" ref="AA82:AA113" si="9">IF(Z82="","",IF(Z82="Low","Routine planned support",IF(Z82="Medium","One staff support/supervision likely",IF(Z82="High","Two staff/review staffing and equipment","Manager review: multiple staff/specialist support"))))</f>
        <v/>
      </c>
      <c r="AB82" s="2" t="str">
        <f t="shared" ref="AB82:AB117" si="10">IF(Z82="","",IF(OR(Z82="High",Z82="Very High",W82="High",W82="Very High"),"Night staffing and evacuation review required","Routine night checks as per care plan"))</f>
        <v/>
      </c>
      <c r="AC82" s="2" t="str">
        <f t="shared" ref="AC82:AC117" si="11">IF(X82="Very High","Specialist PEEP / equipment",IF(OR(X82="High",Z82="High"),"Evacuation sheet/chair or wheelchair per PEEP",IF(OR(X82="Medium",Z82="Medium"),"Walking aid/wheelchair support per PEEP","Walks with direction")))</f>
        <v>Walks with direction</v>
      </c>
      <c r="AD82" s="2"/>
      <c r="AE82" s="5"/>
      <c r="AF82" s="2"/>
      <c r="AG82" s="2"/>
      <c r="AH82" s="2"/>
      <c r="AI82" s="2"/>
    </row>
    <row r="83" spans="1:35">
      <c r="A83" s="2"/>
      <c r="B83" s="2"/>
      <c r="C83" s="2"/>
      <c r="D83" s="2"/>
      <c r="E83" s="5"/>
      <c r="F83" s="2"/>
      <c r="G83" s="5"/>
      <c r="H83" s="2"/>
      <c r="I83" s="2"/>
      <c r="J83" s="2"/>
      <c r="K83" s="2"/>
      <c r="L83" s="2"/>
      <c r="M83" s="2"/>
      <c r="N83" s="2"/>
      <c r="O83" s="2"/>
      <c r="P83" s="2"/>
      <c r="Q83" s="2"/>
      <c r="R83" s="2"/>
      <c r="S83" s="2"/>
      <c r="T83" s="2"/>
      <c r="U83" s="2"/>
      <c r="V83" s="2"/>
      <c r="W83" s="2"/>
      <c r="X83" s="2"/>
      <c r="Y83" s="2"/>
      <c r="Z83" s="2" t="str">
        <f t="shared" si="8"/>
        <v/>
      </c>
      <c r="AA83" s="2" t="str">
        <f t="shared" si="9"/>
        <v/>
      </c>
      <c r="AB83" s="2" t="str">
        <f t="shared" si="10"/>
        <v/>
      </c>
      <c r="AC83" s="2" t="str">
        <f t="shared" si="11"/>
        <v>Walks with direction</v>
      </c>
      <c r="AD83" s="2"/>
      <c r="AE83" s="5"/>
      <c r="AF83" s="2"/>
      <c r="AG83" s="2"/>
      <c r="AH83" s="2"/>
      <c r="AI83" s="2"/>
    </row>
    <row r="84" spans="1:35">
      <c r="A84" s="2"/>
      <c r="B84" s="2"/>
      <c r="C84" s="2"/>
      <c r="D84" s="2"/>
      <c r="E84" s="5"/>
      <c r="F84" s="2"/>
      <c r="G84" s="5"/>
      <c r="H84" s="2"/>
      <c r="I84" s="2"/>
      <c r="J84" s="2"/>
      <c r="K84" s="2"/>
      <c r="L84" s="2"/>
      <c r="M84" s="2"/>
      <c r="N84" s="2"/>
      <c r="O84" s="2"/>
      <c r="P84" s="2"/>
      <c r="Q84" s="2"/>
      <c r="R84" s="2"/>
      <c r="S84" s="2"/>
      <c r="T84" s="2"/>
      <c r="U84" s="2"/>
      <c r="V84" s="2"/>
      <c r="W84" s="2"/>
      <c r="X84" s="2"/>
      <c r="Y84" s="2"/>
      <c r="Z84" s="2" t="str">
        <f t="shared" si="8"/>
        <v/>
      </c>
      <c r="AA84" s="2" t="str">
        <f t="shared" si="9"/>
        <v/>
      </c>
      <c r="AB84" s="2" t="str">
        <f t="shared" si="10"/>
        <v/>
      </c>
      <c r="AC84" s="2" t="str">
        <f t="shared" si="11"/>
        <v>Walks with direction</v>
      </c>
      <c r="AD84" s="2"/>
      <c r="AE84" s="5"/>
      <c r="AF84" s="2"/>
      <c r="AG84" s="2"/>
      <c r="AH84" s="2"/>
      <c r="AI84" s="2"/>
    </row>
    <row r="85" spans="1:35">
      <c r="A85" s="2"/>
      <c r="B85" s="2"/>
      <c r="C85" s="2"/>
      <c r="D85" s="2"/>
      <c r="E85" s="5"/>
      <c r="F85" s="2"/>
      <c r="G85" s="5"/>
      <c r="H85" s="2"/>
      <c r="I85" s="2"/>
      <c r="J85" s="2"/>
      <c r="K85" s="2"/>
      <c r="L85" s="2"/>
      <c r="M85" s="2"/>
      <c r="N85" s="2"/>
      <c r="O85" s="2"/>
      <c r="P85" s="2"/>
      <c r="Q85" s="2"/>
      <c r="R85" s="2"/>
      <c r="S85" s="2"/>
      <c r="T85" s="2"/>
      <c r="U85" s="2"/>
      <c r="V85" s="2"/>
      <c r="W85" s="2"/>
      <c r="X85" s="2"/>
      <c r="Y85" s="2"/>
      <c r="Z85" s="2" t="str">
        <f t="shared" si="8"/>
        <v/>
      </c>
      <c r="AA85" s="2" t="str">
        <f t="shared" si="9"/>
        <v/>
      </c>
      <c r="AB85" s="2" t="str">
        <f t="shared" si="10"/>
        <v/>
      </c>
      <c r="AC85" s="2" t="str">
        <f t="shared" si="11"/>
        <v>Walks with direction</v>
      </c>
      <c r="AD85" s="2"/>
      <c r="AE85" s="5"/>
      <c r="AF85" s="2"/>
      <c r="AG85" s="2"/>
      <c r="AH85" s="2"/>
      <c r="AI85" s="2"/>
    </row>
    <row r="86" spans="1:35">
      <c r="A86" s="2"/>
      <c r="B86" s="2"/>
      <c r="C86" s="2"/>
      <c r="D86" s="2"/>
      <c r="E86" s="5"/>
      <c r="F86" s="2"/>
      <c r="G86" s="5"/>
      <c r="H86" s="2"/>
      <c r="I86" s="2"/>
      <c r="J86" s="2"/>
      <c r="K86" s="2"/>
      <c r="L86" s="2"/>
      <c r="M86" s="2"/>
      <c r="N86" s="2"/>
      <c r="O86" s="2"/>
      <c r="P86" s="2"/>
      <c r="Q86" s="2"/>
      <c r="R86" s="2"/>
      <c r="S86" s="2"/>
      <c r="T86" s="2"/>
      <c r="U86" s="2"/>
      <c r="V86" s="2"/>
      <c r="W86" s="2"/>
      <c r="X86" s="2"/>
      <c r="Y86" s="2"/>
      <c r="Z86" s="2" t="str">
        <f t="shared" si="8"/>
        <v/>
      </c>
      <c r="AA86" s="2" t="str">
        <f t="shared" si="9"/>
        <v/>
      </c>
      <c r="AB86" s="2" t="str">
        <f t="shared" si="10"/>
        <v/>
      </c>
      <c r="AC86" s="2" t="str">
        <f t="shared" si="11"/>
        <v>Walks with direction</v>
      </c>
      <c r="AD86" s="2"/>
      <c r="AE86" s="5"/>
      <c r="AF86" s="2"/>
      <c r="AG86" s="2"/>
      <c r="AH86" s="2"/>
      <c r="AI86" s="2"/>
    </row>
    <row r="87" spans="1:35">
      <c r="A87" s="2"/>
      <c r="B87" s="2"/>
      <c r="C87" s="2"/>
      <c r="D87" s="2"/>
      <c r="E87" s="5"/>
      <c r="F87" s="2"/>
      <c r="G87" s="5"/>
      <c r="H87" s="2"/>
      <c r="I87" s="2"/>
      <c r="J87" s="2"/>
      <c r="K87" s="2"/>
      <c r="L87" s="2"/>
      <c r="M87" s="2"/>
      <c r="N87" s="2"/>
      <c r="O87" s="2"/>
      <c r="P87" s="2"/>
      <c r="Q87" s="2"/>
      <c r="R87" s="2"/>
      <c r="S87" s="2"/>
      <c r="T87" s="2"/>
      <c r="U87" s="2"/>
      <c r="V87" s="2"/>
      <c r="W87" s="2"/>
      <c r="X87" s="2"/>
      <c r="Y87" s="2"/>
      <c r="Z87" s="2" t="str">
        <f t="shared" si="8"/>
        <v/>
      </c>
      <c r="AA87" s="2" t="str">
        <f t="shared" si="9"/>
        <v/>
      </c>
      <c r="AB87" s="2" t="str">
        <f t="shared" si="10"/>
        <v/>
      </c>
      <c r="AC87" s="2" t="str">
        <f t="shared" si="11"/>
        <v>Walks with direction</v>
      </c>
      <c r="AD87" s="2"/>
      <c r="AE87" s="5"/>
      <c r="AF87" s="2"/>
      <c r="AG87" s="2"/>
      <c r="AH87" s="2"/>
      <c r="AI87" s="2"/>
    </row>
    <row r="88" spans="1:35">
      <c r="A88" s="2"/>
      <c r="B88" s="2"/>
      <c r="C88" s="2"/>
      <c r="D88" s="2"/>
      <c r="E88" s="5"/>
      <c r="F88" s="2"/>
      <c r="G88" s="5"/>
      <c r="H88" s="2"/>
      <c r="I88" s="2"/>
      <c r="J88" s="2"/>
      <c r="K88" s="2"/>
      <c r="L88" s="2"/>
      <c r="M88" s="2"/>
      <c r="N88" s="2"/>
      <c r="O88" s="2"/>
      <c r="P88" s="2"/>
      <c r="Q88" s="2"/>
      <c r="R88" s="2"/>
      <c r="S88" s="2"/>
      <c r="T88" s="2"/>
      <c r="U88" s="2"/>
      <c r="V88" s="2"/>
      <c r="W88" s="2"/>
      <c r="X88" s="2"/>
      <c r="Y88" s="2"/>
      <c r="Z88" s="2" t="str">
        <f t="shared" si="8"/>
        <v/>
      </c>
      <c r="AA88" s="2" t="str">
        <f t="shared" si="9"/>
        <v/>
      </c>
      <c r="AB88" s="2" t="str">
        <f t="shared" si="10"/>
        <v/>
      </c>
      <c r="AC88" s="2" t="str">
        <f t="shared" si="11"/>
        <v>Walks with direction</v>
      </c>
      <c r="AD88" s="2"/>
      <c r="AE88" s="5"/>
      <c r="AF88" s="2"/>
      <c r="AG88" s="2"/>
      <c r="AH88" s="2"/>
      <c r="AI88" s="2"/>
    </row>
    <row r="89" spans="1:35">
      <c r="A89" s="2"/>
      <c r="B89" s="2"/>
      <c r="C89" s="2"/>
      <c r="D89" s="2"/>
      <c r="E89" s="5"/>
      <c r="F89" s="2"/>
      <c r="G89" s="5"/>
      <c r="H89" s="2"/>
      <c r="I89" s="2"/>
      <c r="J89" s="2"/>
      <c r="K89" s="2"/>
      <c r="L89" s="2"/>
      <c r="M89" s="2"/>
      <c r="N89" s="2"/>
      <c r="O89" s="2"/>
      <c r="P89" s="2"/>
      <c r="Q89" s="2"/>
      <c r="R89" s="2"/>
      <c r="S89" s="2"/>
      <c r="T89" s="2"/>
      <c r="U89" s="2"/>
      <c r="V89" s="2"/>
      <c r="W89" s="2"/>
      <c r="X89" s="2"/>
      <c r="Y89" s="2"/>
      <c r="Z89" s="2" t="str">
        <f t="shared" si="8"/>
        <v/>
      </c>
      <c r="AA89" s="2" t="str">
        <f t="shared" si="9"/>
        <v/>
      </c>
      <c r="AB89" s="2" t="str">
        <f t="shared" si="10"/>
        <v/>
      </c>
      <c r="AC89" s="2" t="str">
        <f t="shared" si="11"/>
        <v>Walks with direction</v>
      </c>
      <c r="AD89" s="2"/>
      <c r="AE89" s="5"/>
      <c r="AF89" s="2"/>
      <c r="AG89" s="2"/>
      <c r="AH89" s="2"/>
      <c r="AI89" s="2"/>
    </row>
    <row r="90" spans="1:35">
      <c r="A90" s="2"/>
      <c r="B90" s="2"/>
      <c r="C90" s="2"/>
      <c r="D90" s="2"/>
      <c r="E90" s="5"/>
      <c r="F90" s="2"/>
      <c r="G90" s="5"/>
      <c r="H90" s="2"/>
      <c r="I90" s="2"/>
      <c r="J90" s="2"/>
      <c r="K90" s="2"/>
      <c r="L90" s="2"/>
      <c r="M90" s="2"/>
      <c r="N90" s="2"/>
      <c r="O90" s="2"/>
      <c r="P90" s="2"/>
      <c r="Q90" s="2"/>
      <c r="R90" s="2"/>
      <c r="S90" s="2"/>
      <c r="T90" s="2"/>
      <c r="U90" s="2"/>
      <c r="V90" s="2"/>
      <c r="W90" s="2"/>
      <c r="X90" s="2"/>
      <c r="Y90" s="2"/>
      <c r="Z90" s="2" t="str">
        <f t="shared" si="8"/>
        <v/>
      </c>
      <c r="AA90" s="2" t="str">
        <f t="shared" si="9"/>
        <v/>
      </c>
      <c r="AB90" s="2" t="str">
        <f t="shared" si="10"/>
        <v/>
      </c>
      <c r="AC90" s="2" t="str">
        <f t="shared" si="11"/>
        <v>Walks with direction</v>
      </c>
      <c r="AD90" s="2"/>
      <c r="AE90" s="5"/>
      <c r="AF90" s="2"/>
      <c r="AG90" s="2"/>
      <c r="AH90" s="2"/>
      <c r="AI90" s="2"/>
    </row>
    <row r="91" spans="1:35">
      <c r="A91" s="2"/>
      <c r="B91" s="2"/>
      <c r="C91" s="2"/>
      <c r="D91" s="2"/>
      <c r="E91" s="5"/>
      <c r="F91" s="2"/>
      <c r="G91" s="5"/>
      <c r="H91" s="2"/>
      <c r="I91" s="2"/>
      <c r="J91" s="2"/>
      <c r="K91" s="2"/>
      <c r="L91" s="2"/>
      <c r="M91" s="2"/>
      <c r="N91" s="2"/>
      <c r="O91" s="2"/>
      <c r="P91" s="2"/>
      <c r="Q91" s="2"/>
      <c r="R91" s="2"/>
      <c r="S91" s="2"/>
      <c r="T91" s="2"/>
      <c r="U91" s="2"/>
      <c r="V91" s="2"/>
      <c r="W91" s="2"/>
      <c r="X91" s="2"/>
      <c r="Y91" s="2"/>
      <c r="Z91" s="2" t="str">
        <f t="shared" si="8"/>
        <v/>
      </c>
      <c r="AA91" s="2" t="str">
        <f t="shared" si="9"/>
        <v/>
      </c>
      <c r="AB91" s="2" t="str">
        <f t="shared" si="10"/>
        <v/>
      </c>
      <c r="AC91" s="2" t="str">
        <f t="shared" si="11"/>
        <v>Walks with direction</v>
      </c>
      <c r="AD91" s="2"/>
      <c r="AE91" s="5"/>
      <c r="AF91" s="2"/>
      <c r="AG91" s="2"/>
      <c r="AH91" s="2"/>
      <c r="AI91" s="2"/>
    </row>
    <row r="92" spans="1:35">
      <c r="A92" s="2"/>
      <c r="B92" s="2"/>
      <c r="C92" s="2"/>
      <c r="D92" s="2"/>
      <c r="E92" s="5"/>
      <c r="F92" s="2"/>
      <c r="G92" s="5"/>
      <c r="H92" s="2"/>
      <c r="I92" s="2"/>
      <c r="J92" s="2"/>
      <c r="K92" s="2"/>
      <c r="L92" s="2"/>
      <c r="M92" s="2"/>
      <c r="N92" s="2"/>
      <c r="O92" s="2"/>
      <c r="P92" s="2"/>
      <c r="Q92" s="2"/>
      <c r="R92" s="2"/>
      <c r="S92" s="2"/>
      <c r="T92" s="2"/>
      <c r="U92" s="2"/>
      <c r="V92" s="2"/>
      <c r="W92" s="2"/>
      <c r="X92" s="2"/>
      <c r="Y92" s="2"/>
      <c r="Z92" s="2" t="str">
        <f t="shared" si="8"/>
        <v/>
      </c>
      <c r="AA92" s="2" t="str">
        <f t="shared" si="9"/>
        <v/>
      </c>
      <c r="AB92" s="2" t="str">
        <f t="shared" si="10"/>
        <v/>
      </c>
      <c r="AC92" s="2" t="str">
        <f t="shared" si="11"/>
        <v>Walks with direction</v>
      </c>
      <c r="AD92" s="2"/>
      <c r="AE92" s="5"/>
      <c r="AF92" s="2"/>
      <c r="AG92" s="2"/>
      <c r="AH92" s="2"/>
      <c r="AI92" s="2"/>
    </row>
    <row r="93" spans="1:35">
      <c r="A93" s="2"/>
      <c r="B93" s="2"/>
      <c r="C93" s="2"/>
      <c r="D93" s="2"/>
      <c r="E93" s="5"/>
      <c r="F93" s="2"/>
      <c r="G93" s="5"/>
      <c r="H93" s="2"/>
      <c r="I93" s="2"/>
      <c r="J93" s="2"/>
      <c r="K93" s="2"/>
      <c r="L93" s="2"/>
      <c r="M93" s="2"/>
      <c r="N93" s="2"/>
      <c r="O93" s="2"/>
      <c r="P93" s="2"/>
      <c r="Q93" s="2"/>
      <c r="R93" s="2"/>
      <c r="S93" s="2"/>
      <c r="T93" s="2"/>
      <c r="U93" s="2"/>
      <c r="V93" s="2"/>
      <c r="W93" s="2"/>
      <c r="X93" s="2"/>
      <c r="Y93" s="2"/>
      <c r="Z93" s="2" t="str">
        <f t="shared" si="8"/>
        <v/>
      </c>
      <c r="AA93" s="2" t="str">
        <f t="shared" si="9"/>
        <v/>
      </c>
      <c r="AB93" s="2" t="str">
        <f t="shared" si="10"/>
        <v/>
      </c>
      <c r="AC93" s="2" t="str">
        <f t="shared" si="11"/>
        <v>Walks with direction</v>
      </c>
      <c r="AD93" s="2"/>
      <c r="AE93" s="5"/>
      <c r="AF93" s="2"/>
      <c r="AG93" s="2"/>
      <c r="AH93" s="2"/>
      <c r="AI93" s="2"/>
    </row>
    <row r="94" spans="1:35">
      <c r="A94" s="2"/>
      <c r="B94" s="2"/>
      <c r="C94" s="2"/>
      <c r="D94" s="2"/>
      <c r="E94" s="5"/>
      <c r="F94" s="2"/>
      <c r="G94" s="5"/>
      <c r="H94" s="2"/>
      <c r="I94" s="2"/>
      <c r="J94" s="2"/>
      <c r="K94" s="2"/>
      <c r="L94" s="2"/>
      <c r="M94" s="2"/>
      <c r="N94" s="2"/>
      <c r="O94" s="2"/>
      <c r="P94" s="2"/>
      <c r="Q94" s="2"/>
      <c r="R94" s="2"/>
      <c r="S94" s="2"/>
      <c r="T94" s="2"/>
      <c r="U94" s="2"/>
      <c r="V94" s="2"/>
      <c r="W94" s="2"/>
      <c r="X94" s="2"/>
      <c r="Y94" s="2"/>
      <c r="Z94" s="2" t="str">
        <f t="shared" si="8"/>
        <v/>
      </c>
      <c r="AA94" s="2" t="str">
        <f t="shared" si="9"/>
        <v/>
      </c>
      <c r="AB94" s="2" t="str">
        <f t="shared" si="10"/>
        <v/>
      </c>
      <c r="AC94" s="2" t="str">
        <f t="shared" si="11"/>
        <v>Walks with direction</v>
      </c>
      <c r="AD94" s="2"/>
      <c r="AE94" s="5"/>
      <c r="AF94" s="2"/>
      <c r="AG94" s="2"/>
      <c r="AH94" s="2"/>
      <c r="AI94" s="2"/>
    </row>
    <row r="95" spans="1:35">
      <c r="A95" s="2"/>
      <c r="B95" s="2"/>
      <c r="C95" s="2"/>
      <c r="D95" s="2"/>
      <c r="E95" s="5"/>
      <c r="F95" s="2"/>
      <c r="G95" s="5"/>
      <c r="H95" s="2"/>
      <c r="I95" s="2"/>
      <c r="J95" s="2"/>
      <c r="K95" s="2"/>
      <c r="L95" s="2"/>
      <c r="M95" s="2"/>
      <c r="N95" s="2"/>
      <c r="O95" s="2"/>
      <c r="P95" s="2"/>
      <c r="Q95" s="2"/>
      <c r="R95" s="2"/>
      <c r="S95" s="2"/>
      <c r="T95" s="2"/>
      <c r="U95" s="2"/>
      <c r="V95" s="2"/>
      <c r="W95" s="2"/>
      <c r="X95" s="2"/>
      <c r="Y95" s="2"/>
      <c r="Z95" s="2" t="str">
        <f t="shared" si="8"/>
        <v/>
      </c>
      <c r="AA95" s="2" t="str">
        <f t="shared" si="9"/>
        <v/>
      </c>
      <c r="AB95" s="2" t="str">
        <f t="shared" si="10"/>
        <v/>
      </c>
      <c r="AC95" s="2" t="str">
        <f t="shared" si="11"/>
        <v>Walks with direction</v>
      </c>
      <c r="AD95" s="2"/>
      <c r="AE95" s="5"/>
      <c r="AF95" s="2"/>
      <c r="AG95" s="2"/>
      <c r="AH95" s="2"/>
      <c r="AI95" s="2"/>
    </row>
    <row r="96" spans="1:35">
      <c r="A96" s="2"/>
      <c r="B96" s="2"/>
      <c r="C96" s="2"/>
      <c r="D96" s="2"/>
      <c r="E96" s="5"/>
      <c r="F96" s="2"/>
      <c r="G96" s="5"/>
      <c r="H96" s="2"/>
      <c r="I96" s="2"/>
      <c r="J96" s="2"/>
      <c r="K96" s="2"/>
      <c r="L96" s="2"/>
      <c r="M96" s="2"/>
      <c r="N96" s="2"/>
      <c r="O96" s="2"/>
      <c r="P96" s="2"/>
      <c r="Q96" s="2"/>
      <c r="R96" s="2"/>
      <c r="S96" s="2"/>
      <c r="T96" s="2"/>
      <c r="U96" s="2"/>
      <c r="V96" s="2"/>
      <c r="W96" s="2"/>
      <c r="X96" s="2"/>
      <c r="Y96" s="2"/>
      <c r="Z96" s="2" t="str">
        <f t="shared" si="8"/>
        <v/>
      </c>
      <c r="AA96" s="2" t="str">
        <f t="shared" si="9"/>
        <v/>
      </c>
      <c r="AB96" s="2" t="str">
        <f t="shared" si="10"/>
        <v/>
      </c>
      <c r="AC96" s="2" t="str">
        <f t="shared" si="11"/>
        <v>Walks with direction</v>
      </c>
      <c r="AD96" s="2"/>
      <c r="AE96" s="5"/>
      <c r="AF96" s="2"/>
      <c r="AG96" s="2"/>
      <c r="AH96" s="2"/>
      <c r="AI96" s="2"/>
    </row>
    <row r="97" spans="1:35">
      <c r="A97" s="2"/>
      <c r="B97" s="2"/>
      <c r="C97" s="2"/>
      <c r="D97" s="2"/>
      <c r="E97" s="5"/>
      <c r="F97" s="2"/>
      <c r="G97" s="5"/>
      <c r="H97" s="2"/>
      <c r="I97" s="2"/>
      <c r="J97" s="2"/>
      <c r="K97" s="2"/>
      <c r="L97" s="2"/>
      <c r="M97" s="2"/>
      <c r="N97" s="2"/>
      <c r="O97" s="2"/>
      <c r="P97" s="2"/>
      <c r="Q97" s="2"/>
      <c r="R97" s="2"/>
      <c r="S97" s="2"/>
      <c r="T97" s="2"/>
      <c r="U97" s="2"/>
      <c r="V97" s="2"/>
      <c r="W97" s="2"/>
      <c r="X97" s="2"/>
      <c r="Y97" s="2"/>
      <c r="Z97" s="2" t="str">
        <f t="shared" si="8"/>
        <v/>
      </c>
      <c r="AA97" s="2" t="str">
        <f t="shared" si="9"/>
        <v/>
      </c>
      <c r="AB97" s="2" t="str">
        <f t="shared" si="10"/>
        <v/>
      </c>
      <c r="AC97" s="2" t="str">
        <f t="shared" si="11"/>
        <v>Walks with direction</v>
      </c>
      <c r="AD97" s="2"/>
      <c r="AE97" s="5"/>
      <c r="AF97" s="2"/>
      <c r="AG97" s="2"/>
      <c r="AH97" s="2"/>
      <c r="AI97" s="2"/>
    </row>
    <row r="98" spans="1:35">
      <c r="A98" s="2"/>
      <c r="B98" s="2"/>
      <c r="C98" s="2"/>
      <c r="D98" s="2"/>
      <c r="E98" s="5"/>
      <c r="F98" s="2"/>
      <c r="G98" s="5"/>
      <c r="H98" s="2"/>
      <c r="I98" s="2"/>
      <c r="J98" s="2"/>
      <c r="K98" s="2"/>
      <c r="L98" s="2"/>
      <c r="M98" s="2"/>
      <c r="N98" s="2"/>
      <c r="O98" s="2"/>
      <c r="P98" s="2"/>
      <c r="Q98" s="2"/>
      <c r="R98" s="2"/>
      <c r="S98" s="2"/>
      <c r="T98" s="2"/>
      <c r="U98" s="2"/>
      <c r="V98" s="2"/>
      <c r="W98" s="2"/>
      <c r="X98" s="2"/>
      <c r="Y98" s="2"/>
      <c r="Z98" s="2" t="str">
        <f t="shared" si="8"/>
        <v/>
      </c>
      <c r="AA98" s="2" t="str">
        <f t="shared" si="9"/>
        <v/>
      </c>
      <c r="AB98" s="2" t="str">
        <f t="shared" si="10"/>
        <v/>
      </c>
      <c r="AC98" s="2" t="str">
        <f t="shared" si="11"/>
        <v>Walks with direction</v>
      </c>
      <c r="AD98" s="2"/>
      <c r="AE98" s="5"/>
      <c r="AF98" s="2"/>
      <c r="AG98" s="2"/>
      <c r="AH98" s="2"/>
      <c r="AI98" s="2"/>
    </row>
    <row r="99" spans="1:35">
      <c r="A99" s="2"/>
      <c r="B99" s="2"/>
      <c r="C99" s="2"/>
      <c r="D99" s="2"/>
      <c r="E99" s="5"/>
      <c r="F99" s="2"/>
      <c r="G99" s="5"/>
      <c r="H99" s="2"/>
      <c r="I99" s="2"/>
      <c r="J99" s="2"/>
      <c r="K99" s="2"/>
      <c r="L99" s="2"/>
      <c r="M99" s="2"/>
      <c r="N99" s="2"/>
      <c r="O99" s="2"/>
      <c r="P99" s="2"/>
      <c r="Q99" s="2"/>
      <c r="R99" s="2"/>
      <c r="S99" s="2"/>
      <c r="T99" s="2"/>
      <c r="U99" s="2"/>
      <c r="V99" s="2"/>
      <c r="W99" s="2"/>
      <c r="X99" s="2"/>
      <c r="Y99" s="2"/>
      <c r="Z99" s="2" t="str">
        <f t="shared" si="8"/>
        <v/>
      </c>
      <c r="AA99" s="2" t="str">
        <f t="shared" si="9"/>
        <v/>
      </c>
      <c r="AB99" s="2" t="str">
        <f t="shared" si="10"/>
        <v/>
      </c>
      <c r="AC99" s="2" t="str">
        <f t="shared" si="11"/>
        <v>Walks with direction</v>
      </c>
      <c r="AD99" s="2"/>
      <c r="AE99" s="5"/>
      <c r="AF99" s="2"/>
      <c r="AG99" s="2"/>
      <c r="AH99" s="2"/>
      <c r="AI99" s="2"/>
    </row>
    <row r="100" spans="1:35">
      <c r="A100" s="2"/>
      <c r="B100" s="2"/>
      <c r="C100" s="2"/>
      <c r="D100" s="2"/>
      <c r="E100" s="5"/>
      <c r="F100" s="2"/>
      <c r="G100" s="5"/>
      <c r="H100" s="2"/>
      <c r="I100" s="2"/>
      <c r="J100" s="2"/>
      <c r="K100" s="2"/>
      <c r="L100" s="2"/>
      <c r="M100" s="2"/>
      <c r="N100" s="2"/>
      <c r="O100" s="2"/>
      <c r="P100" s="2"/>
      <c r="Q100" s="2"/>
      <c r="R100" s="2"/>
      <c r="S100" s="2"/>
      <c r="T100" s="2"/>
      <c r="U100" s="2"/>
      <c r="V100" s="2"/>
      <c r="W100" s="2"/>
      <c r="X100" s="2"/>
      <c r="Y100" s="2"/>
      <c r="Z100" s="2" t="str">
        <f t="shared" si="8"/>
        <v/>
      </c>
      <c r="AA100" s="2" t="str">
        <f t="shared" si="9"/>
        <v/>
      </c>
      <c r="AB100" s="2" t="str">
        <f t="shared" si="10"/>
        <v/>
      </c>
      <c r="AC100" s="2" t="str">
        <f t="shared" si="11"/>
        <v>Walks with direction</v>
      </c>
      <c r="AD100" s="2"/>
      <c r="AE100" s="5"/>
      <c r="AF100" s="2"/>
      <c r="AG100" s="2"/>
      <c r="AH100" s="2"/>
      <c r="AI100" s="2"/>
    </row>
    <row r="101" spans="1:35">
      <c r="A101" s="2"/>
      <c r="B101" s="2"/>
      <c r="C101" s="2"/>
      <c r="D101" s="2"/>
      <c r="E101" s="5"/>
      <c r="F101" s="2"/>
      <c r="G101" s="5"/>
      <c r="H101" s="2"/>
      <c r="I101" s="2"/>
      <c r="J101" s="2"/>
      <c r="K101" s="2"/>
      <c r="L101" s="2"/>
      <c r="M101" s="2"/>
      <c r="N101" s="2"/>
      <c r="O101" s="2"/>
      <c r="P101" s="2"/>
      <c r="Q101" s="2"/>
      <c r="R101" s="2"/>
      <c r="S101" s="2"/>
      <c r="T101" s="2"/>
      <c r="U101" s="2"/>
      <c r="V101" s="2"/>
      <c r="W101" s="2"/>
      <c r="X101" s="2"/>
      <c r="Y101" s="2"/>
      <c r="Z101" s="2" t="str">
        <f t="shared" si="8"/>
        <v/>
      </c>
      <c r="AA101" s="2" t="str">
        <f t="shared" si="9"/>
        <v/>
      </c>
      <c r="AB101" s="2" t="str">
        <f t="shared" si="10"/>
        <v/>
      </c>
      <c r="AC101" s="2" t="str">
        <f t="shared" si="11"/>
        <v>Walks with direction</v>
      </c>
      <c r="AD101" s="2"/>
      <c r="AE101" s="5"/>
      <c r="AF101" s="2"/>
      <c r="AG101" s="2"/>
      <c r="AH101" s="2"/>
      <c r="AI101" s="2"/>
    </row>
    <row r="102" spans="1:35">
      <c r="A102" s="2"/>
      <c r="B102" s="2"/>
      <c r="C102" s="2"/>
      <c r="D102" s="2"/>
      <c r="E102" s="5"/>
      <c r="F102" s="2"/>
      <c r="G102" s="5"/>
      <c r="H102" s="2"/>
      <c r="I102" s="2"/>
      <c r="J102" s="2"/>
      <c r="K102" s="2"/>
      <c r="L102" s="2"/>
      <c r="M102" s="2"/>
      <c r="N102" s="2"/>
      <c r="O102" s="2"/>
      <c r="P102" s="2"/>
      <c r="Q102" s="2"/>
      <c r="R102" s="2"/>
      <c r="S102" s="2"/>
      <c r="T102" s="2"/>
      <c r="U102" s="2"/>
      <c r="V102" s="2"/>
      <c r="W102" s="2"/>
      <c r="X102" s="2"/>
      <c r="Y102" s="2"/>
      <c r="Z102" s="2" t="str">
        <f t="shared" si="8"/>
        <v/>
      </c>
      <c r="AA102" s="2" t="str">
        <f t="shared" si="9"/>
        <v/>
      </c>
      <c r="AB102" s="2" t="str">
        <f t="shared" si="10"/>
        <v/>
      </c>
      <c r="AC102" s="2" t="str">
        <f t="shared" si="11"/>
        <v>Walks with direction</v>
      </c>
      <c r="AD102" s="2"/>
      <c r="AE102" s="5"/>
      <c r="AF102" s="2"/>
      <c r="AG102" s="2"/>
      <c r="AH102" s="2"/>
      <c r="AI102" s="2"/>
    </row>
    <row r="103" spans="1:35">
      <c r="A103" s="2"/>
      <c r="B103" s="2"/>
      <c r="C103" s="2"/>
      <c r="D103" s="2"/>
      <c r="E103" s="5"/>
      <c r="F103" s="2"/>
      <c r="G103" s="5"/>
      <c r="H103" s="2"/>
      <c r="I103" s="2"/>
      <c r="J103" s="2"/>
      <c r="K103" s="2"/>
      <c r="L103" s="2"/>
      <c r="M103" s="2"/>
      <c r="N103" s="2"/>
      <c r="O103" s="2"/>
      <c r="P103" s="2"/>
      <c r="Q103" s="2"/>
      <c r="R103" s="2"/>
      <c r="S103" s="2"/>
      <c r="T103" s="2"/>
      <c r="U103" s="2"/>
      <c r="V103" s="2"/>
      <c r="W103" s="2"/>
      <c r="X103" s="2"/>
      <c r="Y103" s="2"/>
      <c r="Z103" s="2" t="str">
        <f t="shared" si="8"/>
        <v/>
      </c>
      <c r="AA103" s="2" t="str">
        <f t="shared" si="9"/>
        <v/>
      </c>
      <c r="AB103" s="2" t="str">
        <f t="shared" si="10"/>
        <v/>
      </c>
      <c r="AC103" s="2" t="str">
        <f t="shared" si="11"/>
        <v>Walks with direction</v>
      </c>
      <c r="AD103" s="2"/>
      <c r="AE103" s="5"/>
      <c r="AF103" s="2"/>
      <c r="AG103" s="2"/>
      <c r="AH103" s="2"/>
      <c r="AI103" s="2"/>
    </row>
    <row r="104" spans="1:35">
      <c r="A104" s="2"/>
      <c r="B104" s="2"/>
      <c r="C104" s="2"/>
      <c r="D104" s="2"/>
      <c r="E104" s="5"/>
      <c r="F104" s="2"/>
      <c r="G104" s="5"/>
      <c r="H104" s="2"/>
      <c r="I104" s="2"/>
      <c r="J104" s="2"/>
      <c r="K104" s="2"/>
      <c r="L104" s="2"/>
      <c r="M104" s="2"/>
      <c r="N104" s="2"/>
      <c r="O104" s="2"/>
      <c r="P104" s="2"/>
      <c r="Q104" s="2"/>
      <c r="R104" s="2"/>
      <c r="S104" s="2"/>
      <c r="T104" s="2"/>
      <c r="U104" s="2"/>
      <c r="V104" s="2"/>
      <c r="W104" s="2"/>
      <c r="X104" s="2"/>
      <c r="Y104" s="2"/>
      <c r="Z104" s="2" t="str">
        <f t="shared" si="8"/>
        <v/>
      </c>
      <c r="AA104" s="2" t="str">
        <f t="shared" si="9"/>
        <v/>
      </c>
      <c r="AB104" s="2" t="str">
        <f t="shared" si="10"/>
        <v/>
      </c>
      <c r="AC104" s="2" t="str">
        <f t="shared" si="11"/>
        <v>Walks with direction</v>
      </c>
      <c r="AD104" s="2"/>
      <c r="AE104" s="5"/>
      <c r="AF104" s="2"/>
      <c r="AG104" s="2"/>
      <c r="AH104" s="2"/>
      <c r="AI104" s="2"/>
    </row>
    <row r="105" spans="1:35">
      <c r="A105" s="2"/>
      <c r="B105" s="2"/>
      <c r="C105" s="2"/>
      <c r="D105" s="2"/>
      <c r="E105" s="5"/>
      <c r="F105" s="2"/>
      <c r="G105" s="5"/>
      <c r="H105" s="2"/>
      <c r="I105" s="2"/>
      <c r="J105" s="2"/>
      <c r="K105" s="2"/>
      <c r="L105" s="2"/>
      <c r="M105" s="2"/>
      <c r="N105" s="2"/>
      <c r="O105" s="2"/>
      <c r="P105" s="2"/>
      <c r="Q105" s="2"/>
      <c r="R105" s="2"/>
      <c r="S105" s="2"/>
      <c r="T105" s="2"/>
      <c r="U105" s="2"/>
      <c r="V105" s="2"/>
      <c r="W105" s="2"/>
      <c r="X105" s="2"/>
      <c r="Y105" s="2"/>
      <c r="Z105" s="2" t="str">
        <f t="shared" si="8"/>
        <v/>
      </c>
      <c r="AA105" s="2" t="str">
        <f t="shared" si="9"/>
        <v/>
      </c>
      <c r="AB105" s="2" t="str">
        <f t="shared" si="10"/>
        <v/>
      </c>
      <c r="AC105" s="2" t="str">
        <f t="shared" si="11"/>
        <v>Walks with direction</v>
      </c>
      <c r="AD105" s="2"/>
      <c r="AE105" s="5"/>
      <c r="AF105" s="2"/>
      <c r="AG105" s="2"/>
      <c r="AH105" s="2"/>
      <c r="AI105" s="2"/>
    </row>
    <row r="106" spans="1:35">
      <c r="A106" s="2"/>
      <c r="B106" s="2"/>
      <c r="C106" s="2"/>
      <c r="D106" s="2"/>
      <c r="E106" s="5"/>
      <c r="F106" s="2"/>
      <c r="G106" s="5"/>
      <c r="H106" s="2"/>
      <c r="I106" s="2"/>
      <c r="J106" s="2"/>
      <c r="K106" s="2"/>
      <c r="L106" s="2"/>
      <c r="M106" s="2"/>
      <c r="N106" s="2"/>
      <c r="O106" s="2"/>
      <c r="P106" s="2"/>
      <c r="Q106" s="2"/>
      <c r="R106" s="2"/>
      <c r="S106" s="2"/>
      <c r="T106" s="2"/>
      <c r="U106" s="2"/>
      <c r="V106" s="2"/>
      <c r="W106" s="2"/>
      <c r="X106" s="2"/>
      <c r="Y106" s="2"/>
      <c r="Z106" s="2" t="str">
        <f t="shared" si="8"/>
        <v/>
      </c>
      <c r="AA106" s="2" t="str">
        <f t="shared" si="9"/>
        <v/>
      </c>
      <c r="AB106" s="2" t="str">
        <f t="shared" si="10"/>
        <v/>
      </c>
      <c r="AC106" s="2" t="str">
        <f t="shared" si="11"/>
        <v>Walks with direction</v>
      </c>
      <c r="AD106" s="2"/>
      <c r="AE106" s="5"/>
      <c r="AF106" s="2"/>
      <c r="AG106" s="2"/>
      <c r="AH106" s="2"/>
      <c r="AI106" s="2"/>
    </row>
    <row r="107" spans="1:35">
      <c r="A107" s="2"/>
      <c r="B107" s="2"/>
      <c r="C107" s="2"/>
      <c r="D107" s="2"/>
      <c r="E107" s="5"/>
      <c r="F107" s="2"/>
      <c r="G107" s="5"/>
      <c r="H107" s="2"/>
      <c r="I107" s="2"/>
      <c r="J107" s="2"/>
      <c r="K107" s="2"/>
      <c r="L107" s="2"/>
      <c r="M107" s="2"/>
      <c r="N107" s="2"/>
      <c r="O107" s="2"/>
      <c r="P107" s="2"/>
      <c r="Q107" s="2"/>
      <c r="R107" s="2"/>
      <c r="S107" s="2"/>
      <c r="T107" s="2"/>
      <c r="U107" s="2"/>
      <c r="V107" s="2"/>
      <c r="W107" s="2"/>
      <c r="X107" s="2"/>
      <c r="Y107" s="2"/>
      <c r="Z107" s="2" t="str">
        <f t="shared" si="8"/>
        <v/>
      </c>
      <c r="AA107" s="2" t="str">
        <f t="shared" si="9"/>
        <v/>
      </c>
      <c r="AB107" s="2" t="str">
        <f t="shared" si="10"/>
        <v/>
      </c>
      <c r="AC107" s="2" t="str">
        <f t="shared" si="11"/>
        <v>Walks with direction</v>
      </c>
      <c r="AD107" s="2"/>
      <c r="AE107" s="5"/>
      <c r="AF107" s="2"/>
      <c r="AG107" s="2"/>
      <c r="AH107" s="2"/>
      <c r="AI107" s="2"/>
    </row>
    <row r="108" spans="1:35">
      <c r="A108" s="2"/>
      <c r="B108" s="2"/>
      <c r="C108" s="2"/>
      <c r="D108" s="2"/>
      <c r="E108" s="5"/>
      <c r="F108" s="2"/>
      <c r="G108" s="5"/>
      <c r="H108" s="2"/>
      <c r="I108" s="2"/>
      <c r="J108" s="2"/>
      <c r="K108" s="2"/>
      <c r="L108" s="2"/>
      <c r="M108" s="2"/>
      <c r="N108" s="2"/>
      <c r="O108" s="2"/>
      <c r="P108" s="2"/>
      <c r="Q108" s="2"/>
      <c r="R108" s="2"/>
      <c r="S108" s="2"/>
      <c r="T108" s="2"/>
      <c r="U108" s="2"/>
      <c r="V108" s="2"/>
      <c r="W108" s="2"/>
      <c r="X108" s="2"/>
      <c r="Y108" s="2"/>
      <c r="Z108" s="2" t="str">
        <f t="shared" si="8"/>
        <v/>
      </c>
      <c r="AA108" s="2" t="str">
        <f t="shared" si="9"/>
        <v/>
      </c>
      <c r="AB108" s="2" t="str">
        <f t="shared" si="10"/>
        <v/>
      </c>
      <c r="AC108" s="2" t="str">
        <f t="shared" si="11"/>
        <v>Walks with direction</v>
      </c>
      <c r="AD108" s="2"/>
      <c r="AE108" s="5"/>
      <c r="AF108" s="2"/>
      <c r="AG108" s="2"/>
      <c r="AH108" s="2"/>
      <c r="AI108" s="2"/>
    </row>
    <row r="109" spans="1:35">
      <c r="A109" s="2"/>
      <c r="B109" s="2"/>
      <c r="C109" s="2"/>
      <c r="D109" s="2"/>
      <c r="E109" s="5"/>
      <c r="F109" s="2"/>
      <c r="G109" s="5"/>
      <c r="H109" s="2"/>
      <c r="I109" s="2"/>
      <c r="J109" s="2"/>
      <c r="K109" s="2"/>
      <c r="L109" s="2"/>
      <c r="M109" s="2"/>
      <c r="N109" s="2"/>
      <c r="O109" s="2"/>
      <c r="P109" s="2"/>
      <c r="Q109" s="2"/>
      <c r="R109" s="2"/>
      <c r="S109" s="2"/>
      <c r="T109" s="2"/>
      <c r="U109" s="2"/>
      <c r="V109" s="2"/>
      <c r="W109" s="2"/>
      <c r="X109" s="2"/>
      <c r="Y109" s="2"/>
      <c r="Z109" s="2" t="str">
        <f t="shared" si="8"/>
        <v/>
      </c>
      <c r="AA109" s="2" t="str">
        <f t="shared" si="9"/>
        <v/>
      </c>
      <c r="AB109" s="2" t="str">
        <f t="shared" si="10"/>
        <v/>
      </c>
      <c r="AC109" s="2" t="str">
        <f t="shared" si="11"/>
        <v>Walks with direction</v>
      </c>
      <c r="AD109" s="2"/>
      <c r="AE109" s="5"/>
      <c r="AF109" s="2"/>
      <c r="AG109" s="2"/>
      <c r="AH109" s="2"/>
      <c r="AI109" s="2"/>
    </row>
    <row r="110" spans="1:35">
      <c r="A110" s="2"/>
      <c r="B110" s="2"/>
      <c r="C110" s="2"/>
      <c r="D110" s="2"/>
      <c r="E110" s="5"/>
      <c r="F110" s="2"/>
      <c r="G110" s="5"/>
      <c r="H110" s="2"/>
      <c r="I110" s="2"/>
      <c r="J110" s="2"/>
      <c r="K110" s="2"/>
      <c r="L110" s="2"/>
      <c r="M110" s="2"/>
      <c r="N110" s="2"/>
      <c r="O110" s="2"/>
      <c r="P110" s="2"/>
      <c r="Q110" s="2"/>
      <c r="R110" s="2"/>
      <c r="S110" s="2"/>
      <c r="T110" s="2"/>
      <c r="U110" s="2"/>
      <c r="V110" s="2"/>
      <c r="W110" s="2"/>
      <c r="X110" s="2"/>
      <c r="Y110" s="2"/>
      <c r="Z110" s="2" t="str">
        <f t="shared" si="8"/>
        <v/>
      </c>
      <c r="AA110" s="2" t="str">
        <f t="shared" si="9"/>
        <v/>
      </c>
      <c r="AB110" s="2" t="str">
        <f t="shared" si="10"/>
        <v/>
      </c>
      <c r="AC110" s="2" t="str">
        <f t="shared" si="11"/>
        <v>Walks with direction</v>
      </c>
      <c r="AD110" s="2"/>
      <c r="AE110" s="5"/>
      <c r="AF110" s="2"/>
      <c r="AG110" s="2"/>
      <c r="AH110" s="2"/>
      <c r="AI110" s="2"/>
    </row>
    <row r="111" spans="1:35">
      <c r="A111" s="2"/>
      <c r="B111" s="2"/>
      <c r="C111" s="2"/>
      <c r="D111" s="2"/>
      <c r="E111" s="5"/>
      <c r="F111" s="2"/>
      <c r="G111" s="5"/>
      <c r="H111" s="2"/>
      <c r="I111" s="2"/>
      <c r="J111" s="2"/>
      <c r="K111" s="2"/>
      <c r="L111" s="2"/>
      <c r="M111" s="2"/>
      <c r="N111" s="2"/>
      <c r="O111" s="2"/>
      <c r="P111" s="2"/>
      <c r="Q111" s="2"/>
      <c r="R111" s="2"/>
      <c r="S111" s="2"/>
      <c r="T111" s="2"/>
      <c r="U111" s="2"/>
      <c r="V111" s="2"/>
      <c r="W111" s="2"/>
      <c r="X111" s="2"/>
      <c r="Y111" s="2"/>
      <c r="Z111" s="2" t="str">
        <f t="shared" si="8"/>
        <v/>
      </c>
      <c r="AA111" s="2" t="str">
        <f t="shared" si="9"/>
        <v/>
      </c>
      <c r="AB111" s="2" t="str">
        <f t="shared" si="10"/>
        <v/>
      </c>
      <c r="AC111" s="2" t="str">
        <f t="shared" si="11"/>
        <v>Walks with direction</v>
      </c>
      <c r="AD111" s="2"/>
      <c r="AE111" s="5"/>
      <c r="AF111" s="2"/>
      <c r="AG111" s="2"/>
      <c r="AH111" s="2"/>
      <c r="AI111" s="2"/>
    </row>
    <row r="112" spans="1:35">
      <c r="A112" s="2"/>
      <c r="B112" s="2"/>
      <c r="C112" s="2"/>
      <c r="D112" s="2"/>
      <c r="E112" s="5"/>
      <c r="F112" s="2"/>
      <c r="G112" s="5"/>
      <c r="H112" s="2"/>
      <c r="I112" s="2"/>
      <c r="J112" s="2"/>
      <c r="K112" s="2"/>
      <c r="L112" s="2"/>
      <c r="M112" s="2"/>
      <c r="N112" s="2"/>
      <c r="O112" s="2"/>
      <c r="P112" s="2"/>
      <c r="Q112" s="2"/>
      <c r="R112" s="2"/>
      <c r="S112" s="2"/>
      <c r="T112" s="2"/>
      <c r="U112" s="2"/>
      <c r="V112" s="2"/>
      <c r="W112" s="2"/>
      <c r="X112" s="2"/>
      <c r="Y112" s="2"/>
      <c r="Z112" s="2" t="str">
        <f t="shared" si="8"/>
        <v/>
      </c>
      <c r="AA112" s="2" t="str">
        <f t="shared" si="9"/>
        <v/>
      </c>
      <c r="AB112" s="2" t="str">
        <f t="shared" si="10"/>
        <v/>
      </c>
      <c r="AC112" s="2" t="str">
        <f t="shared" si="11"/>
        <v>Walks with direction</v>
      </c>
      <c r="AD112" s="2"/>
      <c r="AE112" s="5"/>
      <c r="AF112" s="2"/>
      <c r="AG112" s="2"/>
      <c r="AH112" s="2"/>
      <c r="AI112" s="2"/>
    </row>
    <row r="113" spans="1:35">
      <c r="A113" s="2"/>
      <c r="B113" s="2"/>
      <c r="C113" s="2"/>
      <c r="D113" s="2"/>
      <c r="E113" s="5"/>
      <c r="F113" s="2"/>
      <c r="G113" s="5"/>
      <c r="H113" s="2"/>
      <c r="I113" s="2"/>
      <c r="J113" s="2"/>
      <c r="K113" s="2"/>
      <c r="L113" s="2"/>
      <c r="M113" s="2"/>
      <c r="N113" s="2"/>
      <c r="O113" s="2"/>
      <c r="P113" s="2"/>
      <c r="Q113" s="2"/>
      <c r="R113" s="2"/>
      <c r="S113" s="2"/>
      <c r="T113" s="2"/>
      <c r="U113" s="2"/>
      <c r="V113" s="2"/>
      <c r="W113" s="2"/>
      <c r="X113" s="2"/>
      <c r="Y113" s="2"/>
      <c r="Z113" s="2" t="str">
        <f t="shared" si="8"/>
        <v/>
      </c>
      <c r="AA113" s="2" t="str">
        <f t="shared" si="9"/>
        <v/>
      </c>
      <c r="AB113" s="2" t="str">
        <f t="shared" si="10"/>
        <v/>
      </c>
      <c r="AC113" s="2" t="str">
        <f t="shared" si="11"/>
        <v>Walks with direction</v>
      </c>
      <c r="AD113" s="2"/>
      <c r="AE113" s="5"/>
      <c r="AF113" s="2"/>
      <c r="AG113" s="2"/>
      <c r="AH113" s="2"/>
      <c r="AI113" s="2"/>
    </row>
    <row r="114" spans="1:35">
      <c r="A114" s="2"/>
      <c r="B114" s="2"/>
      <c r="C114" s="2"/>
      <c r="D114" s="2"/>
      <c r="E114" s="5"/>
      <c r="F114" s="2"/>
      <c r="G114" s="5"/>
      <c r="H114" s="2"/>
      <c r="I114" s="2"/>
      <c r="J114" s="2"/>
      <c r="K114" s="2"/>
      <c r="L114" s="2"/>
      <c r="M114" s="2"/>
      <c r="N114" s="2"/>
      <c r="O114" s="2"/>
      <c r="P114" s="2"/>
      <c r="Q114" s="2"/>
      <c r="R114" s="2"/>
      <c r="S114" s="2"/>
      <c r="T114" s="2"/>
      <c r="U114" s="2"/>
      <c r="V114" s="2"/>
      <c r="W114" s="2"/>
      <c r="X114" s="2"/>
      <c r="Y114" s="2"/>
      <c r="Z114" s="2" t="str">
        <f t="shared" ref="Z114:Z145" si="12">IF(COUNTA(H114:Y114)=0,"",IF(COUNTIF(H114:Y114,"Very High")&gt;0,"Very High",IF(COUNTIF(H114:Y114,"High")&gt;0,"High",IF(COUNTIF(H114:Y114,"Medium")&gt;0,"Medium","Low"))))</f>
        <v/>
      </c>
      <c r="AA114" s="2" t="str">
        <f t="shared" ref="AA114:AA145" si="13">IF(Z114="","",IF(Z114="Low","Routine planned support",IF(Z114="Medium","One staff support/supervision likely",IF(Z114="High","Two staff/review staffing and equipment","Manager review: multiple staff/specialist support"))))</f>
        <v/>
      </c>
      <c r="AB114" s="2" t="str">
        <f t="shared" si="10"/>
        <v/>
      </c>
      <c r="AC114" s="2" t="str">
        <f t="shared" si="11"/>
        <v>Walks with direction</v>
      </c>
      <c r="AD114" s="2"/>
      <c r="AE114" s="5"/>
      <c r="AF114" s="2"/>
      <c r="AG114" s="2"/>
      <c r="AH114" s="2"/>
      <c r="AI114" s="2"/>
    </row>
    <row r="115" spans="1:35">
      <c r="A115" s="2"/>
      <c r="B115" s="2"/>
      <c r="C115" s="2"/>
      <c r="D115" s="2"/>
      <c r="E115" s="5"/>
      <c r="F115" s="2"/>
      <c r="G115" s="5"/>
      <c r="H115" s="2"/>
      <c r="I115" s="2"/>
      <c r="J115" s="2"/>
      <c r="K115" s="2"/>
      <c r="L115" s="2"/>
      <c r="M115" s="2"/>
      <c r="N115" s="2"/>
      <c r="O115" s="2"/>
      <c r="P115" s="2"/>
      <c r="Q115" s="2"/>
      <c r="R115" s="2"/>
      <c r="S115" s="2"/>
      <c r="T115" s="2"/>
      <c r="U115" s="2"/>
      <c r="V115" s="2"/>
      <c r="W115" s="2"/>
      <c r="X115" s="2"/>
      <c r="Y115" s="2"/>
      <c r="Z115" s="2" t="str">
        <f t="shared" si="12"/>
        <v/>
      </c>
      <c r="AA115" s="2" t="str">
        <f t="shared" si="13"/>
        <v/>
      </c>
      <c r="AB115" s="2" t="str">
        <f t="shared" si="10"/>
        <v/>
      </c>
      <c r="AC115" s="2" t="str">
        <f t="shared" si="11"/>
        <v>Walks with direction</v>
      </c>
      <c r="AD115" s="2"/>
      <c r="AE115" s="5"/>
      <c r="AF115" s="2"/>
      <c r="AG115" s="2"/>
      <c r="AH115" s="2"/>
      <c r="AI115" s="2"/>
    </row>
    <row r="116" spans="1:35">
      <c r="A116" s="2"/>
      <c r="B116" s="2"/>
      <c r="C116" s="2"/>
      <c r="D116" s="2"/>
      <c r="E116" s="5"/>
      <c r="F116" s="2"/>
      <c r="G116" s="5"/>
      <c r="H116" s="2"/>
      <c r="I116" s="2"/>
      <c r="J116" s="2"/>
      <c r="K116" s="2"/>
      <c r="L116" s="2"/>
      <c r="M116" s="2"/>
      <c r="N116" s="2"/>
      <c r="O116" s="2"/>
      <c r="P116" s="2"/>
      <c r="Q116" s="2"/>
      <c r="R116" s="2"/>
      <c r="S116" s="2"/>
      <c r="T116" s="2"/>
      <c r="U116" s="2"/>
      <c r="V116" s="2"/>
      <c r="W116" s="2"/>
      <c r="X116" s="2"/>
      <c r="Y116" s="2"/>
      <c r="Z116" s="2" t="str">
        <f t="shared" si="12"/>
        <v/>
      </c>
      <c r="AA116" s="2" t="str">
        <f t="shared" si="13"/>
        <v/>
      </c>
      <c r="AB116" s="2" t="str">
        <f t="shared" si="10"/>
        <v/>
      </c>
      <c r="AC116" s="2" t="str">
        <f t="shared" si="11"/>
        <v>Walks with direction</v>
      </c>
      <c r="AD116" s="2"/>
      <c r="AE116" s="5"/>
      <c r="AF116" s="2"/>
      <c r="AG116" s="2"/>
      <c r="AH116" s="2"/>
      <c r="AI116" s="2"/>
    </row>
    <row r="117" spans="1:35">
      <c r="A117" s="2"/>
      <c r="B117" s="2"/>
      <c r="C117" s="2"/>
      <c r="D117" s="2"/>
      <c r="E117" s="5"/>
      <c r="F117" s="2"/>
      <c r="G117" s="5"/>
      <c r="H117" s="2"/>
      <c r="I117" s="2"/>
      <c r="J117" s="2"/>
      <c r="K117" s="2"/>
      <c r="L117" s="2"/>
      <c r="M117" s="2"/>
      <c r="N117" s="2"/>
      <c r="O117" s="2"/>
      <c r="P117" s="2"/>
      <c r="Q117" s="2"/>
      <c r="R117" s="2"/>
      <c r="S117" s="2"/>
      <c r="T117" s="2"/>
      <c r="U117" s="2"/>
      <c r="V117" s="2"/>
      <c r="W117" s="2"/>
      <c r="X117" s="2"/>
      <c r="Y117" s="2"/>
      <c r="Z117" s="2" t="str">
        <f t="shared" si="12"/>
        <v/>
      </c>
      <c r="AA117" s="2" t="str">
        <f t="shared" si="13"/>
        <v/>
      </c>
      <c r="AB117" s="2" t="str">
        <f t="shared" si="10"/>
        <v/>
      </c>
      <c r="AC117" s="2" t="str">
        <f t="shared" si="11"/>
        <v>Walks with direction</v>
      </c>
      <c r="AD117" s="2"/>
      <c r="AE117" s="5"/>
      <c r="AF117" s="2"/>
      <c r="AG117" s="2"/>
      <c r="AH117" s="2"/>
      <c r="AI117" s="2"/>
    </row>
    <row r="122" spans="1:35">
      <c r="A122" s="9" t="s">
        <v>153</v>
      </c>
      <c r="B122" s="7"/>
      <c r="C122" s="7"/>
      <c r="D122" s="7"/>
      <c r="E122" s="7"/>
    </row>
    <row r="123" spans="1:35">
      <c r="A123" s="1" t="s">
        <v>154</v>
      </c>
      <c r="B123" s="1" t="s">
        <v>6</v>
      </c>
      <c r="C123" s="1" t="s">
        <v>12</v>
      </c>
      <c r="D123" s="1" t="s">
        <v>18</v>
      </c>
      <c r="E123" s="1" t="s">
        <v>23</v>
      </c>
    </row>
    <row r="124" spans="1:35" ht="42">
      <c r="A124" s="2" t="s">
        <v>124</v>
      </c>
      <c r="B124" s="2" t="s">
        <v>155</v>
      </c>
      <c r="C124" s="2" t="s">
        <v>156</v>
      </c>
      <c r="D124" s="2" t="s">
        <v>157</v>
      </c>
      <c r="E124" s="2" t="s">
        <v>158</v>
      </c>
    </row>
    <row r="125" spans="1:35" ht="28">
      <c r="A125" s="2" t="s">
        <v>125</v>
      </c>
      <c r="B125" s="2" t="s">
        <v>159</v>
      </c>
      <c r="C125" s="2" t="s">
        <v>160</v>
      </c>
      <c r="D125" s="2" t="s">
        <v>161</v>
      </c>
      <c r="E125" s="2" t="s">
        <v>162</v>
      </c>
    </row>
    <row r="126" spans="1:35" ht="28">
      <c r="A126" s="2" t="s">
        <v>126</v>
      </c>
      <c r="B126" s="2" t="s">
        <v>163</v>
      </c>
      <c r="C126" s="2" t="s">
        <v>164</v>
      </c>
      <c r="D126" s="2" t="s">
        <v>165</v>
      </c>
      <c r="E126" s="2" t="s">
        <v>166</v>
      </c>
    </row>
    <row r="127" spans="1:35" ht="42">
      <c r="A127" s="2" t="s">
        <v>127</v>
      </c>
      <c r="B127" s="2" t="s">
        <v>167</v>
      </c>
      <c r="C127" s="2" t="s">
        <v>168</v>
      </c>
      <c r="D127" s="2" t="s">
        <v>169</v>
      </c>
      <c r="E127" s="2" t="s">
        <v>170</v>
      </c>
    </row>
    <row r="128" spans="1:35" ht="42">
      <c r="A128" s="2" t="s">
        <v>128</v>
      </c>
      <c r="B128" s="2" t="s">
        <v>171</v>
      </c>
      <c r="C128" s="2" t="s">
        <v>172</v>
      </c>
      <c r="D128" s="2" t="s">
        <v>173</v>
      </c>
      <c r="E128" s="2" t="s">
        <v>174</v>
      </c>
    </row>
    <row r="129" spans="1:5" ht="42">
      <c r="A129" s="2" t="s">
        <v>129</v>
      </c>
      <c r="B129" s="2" t="s">
        <v>175</v>
      </c>
      <c r="C129" s="2" t="s">
        <v>176</v>
      </c>
      <c r="D129" s="2" t="s">
        <v>177</v>
      </c>
      <c r="E129" s="2" t="s">
        <v>178</v>
      </c>
    </row>
    <row r="130" spans="1:5" ht="42">
      <c r="A130" s="2" t="s">
        <v>130</v>
      </c>
      <c r="B130" s="2" t="s">
        <v>179</v>
      </c>
      <c r="C130" s="2" t="s">
        <v>180</v>
      </c>
      <c r="D130" s="2" t="s">
        <v>181</v>
      </c>
      <c r="E130" s="2" t="s">
        <v>182</v>
      </c>
    </row>
    <row r="131" spans="1:5" ht="42">
      <c r="A131" s="2" t="s">
        <v>131</v>
      </c>
      <c r="B131" s="2" t="s">
        <v>183</v>
      </c>
      <c r="C131" s="2" t="s">
        <v>184</v>
      </c>
      <c r="D131" s="2" t="s">
        <v>185</v>
      </c>
      <c r="E131" s="2" t="s">
        <v>186</v>
      </c>
    </row>
    <row r="132" spans="1:5" ht="28">
      <c r="A132" s="2" t="s">
        <v>132</v>
      </c>
      <c r="B132" s="2" t="s">
        <v>187</v>
      </c>
      <c r="C132" s="2" t="s">
        <v>188</v>
      </c>
      <c r="D132" s="2" t="s">
        <v>189</v>
      </c>
      <c r="E132" s="2" t="s">
        <v>190</v>
      </c>
    </row>
    <row r="133" spans="1:5" ht="42">
      <c r="A133" s="2" t="s">
        <v>133</v>
      </c>
      <c r="B133" s="2" t="s">
        <v>191</v>
      </c>
      <c r="C133" s="2" t="s">
        <v>192</v>
      </c>
      <c r="D133" s="2" t="s">
        <v>193</v>
      </c>
      <c r="E133" s="2" t="s">
        <v>194</v>
      </c>
    </row>
    <row r="134" spans="1:5" ht="28">
      <c r="A134" s="2" t="s">
        <v>134</v>
      </c>
      <c r="B134" s="2" t="s">
        <v>195</v>
      </c>
      <c r="C134" s="2" t="s">
        <v>196</v>
      </c>
      <c r="D134" s="2" t="s">
        <v>197</v>
      </c>
      <c r="E134" s="2" t="s">
        <v>198</v>
      </c>
    </row>
    <row r="135" spans="1:5" ht="42">
      <c r="A135" s="2" t="s">
        <v>135</v>
      </c>
      <c r="B135" s="2" t="s">
        <v>199</v>
      </c>
      <c r="C135" s="2" t="s">
        <v>200</v>
      </c>
      <c r="D135" s="2" t="s">
        <v>201</v>
      </c>
      <c r="E135" s="2" t="s">
        <v>202</v>
      </c>
    </row>
    <row r="136" spans="1:5" ht="42">
      <c r="A136" s="2" t="s">
        <v>136</v>
      </c>
      <c r="B136" s="2" t="s">
        <v>203</v>
      </c>
      <c r="C136" s="2" t="s">
        <v>204</v>
      </c>
      <c r="D136" s="2" t="s">
        <v>205</v>
      </c>
      <c r="E136" s="2" t="s">
        <v>206</v>
      </c>
    </row>
    <row r="137" spans="1:5" ht="42">
      <c r="A137" s="2" t="s">
        <v>137</v>
      </c>
      <c r="B137" s="2" t="s">
        <v>207</v>
      </c>
      <c r="C137" s="2" t="s">
        <v>208</v>
      </c>
      <c r="D137" s="2" t="s">
        <v>209</v>
      </c>
      <c r="E137" s="2" t="s">
        <v>210</v>
      </c>
    </row>
    <row r="138" spans="1:5" ht="28">
      <c r="A138" s="2" t="s">
        <v>138</v>
      </c>
      <c r="B138" s="2" t="s">
        <v>211</v>
      </c>
      <c r="C138" s="2" t="s">
        <v>212</v>
      </c>
      <c r="D138" s="2" t="s">
        <v>213</v>
      </c>
      <c r="E138" s="2" t="s">
        <v>214</v>
      </c>
    </row>
    <row r="139" spans="1:5" ht="42">
      <c r="A139" s="2" t="s">
        <v>139</v>
      </c>
      <c r="B139" s="2" t="s">
        <v>215</v>
      </c>
      <c r="C139" s="2" t="s">
        <v>216</v>
      </c>
      <c r="D139" s="2" t="s">
        <v>217</v>
      </c>
      <c r="E139" s="2" t="s">
        <v>218</v>
      </c>
    </row>
    <row r="140" spans="1:5" ht="42">
      <c r="A140" s="2" t="s">
        <v>140</v>
      </c>
      <c r="B140" s="2" t="s">
        <v>219</v>
      </c>
      <c r="C140" s="2" t="s">
        <v>220</v>
      </c>
      <c r="D140" s="2" t="s">
        <v>221</v>
      </c>
      <c r="E140" s="2" t="s">
        <v>222</v>
      </c>
    </row>
    <row r="141" spans="1:5" ht="42">
      <c r="A141" s="2" t="s">
        <v>141</v>
      </c>
      <c r="B141" s="2" t="s">
        <v>223</v>
      </c>
      <c r="C141" s="2" t="s">
        <v>224</v>
      </c>
      <c r="D141" s="2" t="s">
        <v>225</v>
      </c>
      <c r="E141" s="2" t="s">
        <v>226</v>
      </c>
    </row>
  </sheetData>
  <mergeCells count="4">
    <mergeCell ref="A1:AI1"/>
    <mergeCell ref="A2:AI2"/>
    <mergeCell ref="D4:H4"/>
    <mergeCell ref="A122:E122"/>
  </mergeCells>
  <conditionalFormatting sqref="Z18:Z117">
    <cfRule type="expression" dxfId="7" priority="1">
      <formula>Z18="Very High"</formula>
    </cfRule>
    <cfRule type="expression" dxfId="6" priority="2">
      <formula>Z18="High"</formula>
    </cfRule>
    <cfRule type="expression" dxfId="5" priority="3">
      <formula>Z18="Medium"</formula>
    </cfRule>
    <cfRule type="expression" dxfId="4" priority="4">
      <formula>Z18="Low"</formula>
    </cfRule>
  </conditionalFormatting>
  <dataValidations count="4">
    <dataValidation type="list" sqref="B7" xr:uid="{00000000-0002-0000-2B00-000000000000}">
      <formula1>"Yes,No"</formula1>
    </dataValidation>
    <dataValidation type="list" sqref="C18:C117" xr:uid="{00000000-0002-0000-2B00-000001000000}">
      <formula1>"Ground,First,N/A"</formula1>
    </dataValidation>
    <dataValidation type="list" sqref="H18:Y117" xr:uid="{00000000-0002-0000-2B00-000002000000}">
      <formula1>"Low,Medium,High,Very High"</formula1>
    </dataValidation>
    <dataValidation type="list" sqref="AD18:AD117 AG18:AI117" xr:uid="{00000000-0002-0000-2B00-000003000000}">
      <formula1>"Yes,No,N/A"</formula1>
    </dataValidation>
  </dataValidation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60"/>
  <sheetViews>
    <sheetView workbookViewId="0"/>
  </sheetViews>
  <sheetFormatPr defaultRowHeight="14"/>
  <cols>
    <col min="1" max="9" width="18" customWidth="1"/>
  </cols>
  <sheetData>
    <row r="1" spans="1:9" ht="20">
      <c r="A1" s="6" t="s">
        <v>376</v>
      </c>
      <c r="B1" s="7"/>
      <c r="C1" s="7"/>
      <c r="D1" s="7"/>
      <c r="E1" s="7"/>
      <c r="F1" s="7"/>
      <c r="G1" s="7"/>
      <c r="H1" s="7"/>
      <c r="I1" s="7"/>
    </row>
    <row r="2" spans="1:9" ht="14.5">
      <c r="A2" s="8" t="s">
        <v>228</v>
      </c>
      <c r="B2" s="7"/>
      <c r="C2" s="7"/>
      <c r="D2" s="7"/>
      <c r="E2" s="7"/>
      <c r="F2" s="7"/>
      <c r="G2" s="7"/>
      <c r="H2" s="7"/>
      <c r="I2" s="7"/>
    </row>
    <row r="4" spans="1:9">
      <c r="A4" s="3" t="s">
        <v>107</v>
      </c>
      <c r="B4" t="s">
        <v>375</v>
      </c>
    </row>
    <row r="5" spans="1:9">
      <c r="A5" s="3" t="s">
        <v>110</v>
      </c>
    </row>
    <row r="6" spans="1:9">
      <c r="A6" s="3" t="s">
        <v>229</v>
      </c>
    </row>
    <row r="7" spans="1:9">
      <c r="A7" s="3" t="s">
        <v>230</v>
      </c>
    </row>
    <row r="8" spans="1:9">
      <c r="A8" s="3" t="s">
        <v>231</v>
      </c>
      <c r="B8">
        <f>COUNTA(A14:A60)</f>
        <v>28</v>
      </c>
    </row>
    <row r="9" spans="1:9">
      <c r="A9" s="3" t="s">
        <v>232</v>
      </c>
      <c r="B9">
        <f>COUNTIF(H14:H60,"FAIL")</f>
        <v>28</v>
      </c>
    </row>
    <row r="10" spans="1:9">
      <c r="A10" s="3" t="s">
        <v>46</v>
      </c>
      <c r="B10" t="str">
        <f>IF(AND(B7="Yes",B9=0),"Complete","Incomplete")</f>
        <v>Incomplete</v>
      </c>
    </row>
    <row r="13" spans="1:9" ht="28">
      <c r="A13" s="1" t="s">
        <v>233</v>
      </c>
      <c r="B13" s="1" t="s">
        <v>234</v>
      </c>
      <c r="C13" s="1" t="s">
        <v>235</v>
      </c>
      <c r="D13" s="1" t="s">
        <v>236</v>
      </c>
      <c r="E13" s="1" t="s">
        <v>237</v>
      </c>
      <c r="F13" s="1" t="s">
        <v>238</v>
      </c>
      <c r="G13" s="1" t="s">
        <v>239</v>
      </c>
      <c r="H13" s="1" t="s">
        <v>240</v>
      </c>
      <c r="I13" s="1" t="s">
        <v>241</v>
      </c>
    </row>
    <row r="14" spans="1:9" ht="42">
      <c r="A14" s="2" t="s">
        <v>242</v>
      </c>
      <c r="B14" s="2">
        <v>1</v>
      </c>
      <c r="C14" s="2"/>
      <c r="D14" s="2" t="s">
        <v>243</v>
      </c>
      <c r="E14" s="2"/>
      <c r="F14" s="2"/>
      <c r="G14" s="2"/>
      <c r="H14" s="2" t="str">
        <f t="shared" ref="H14:H41" si="0">IF(OR(F14="No",C14&lt;B14),"FAIL","PASS")</f>
        <v>FAIL</v>
      </c>
      <c r="I14" s="2"/>
    </row>
    <row r="15" spans="1:9">
      <c r="A15" s="2" t="s">
        <v>244</v>
      </c>
      <c r="B15" s="2">
        <v>1</v>
      </c>
      <c r="C15" s="2"/>
      <c r="D15" s="2" t="s">
        <v>245</v>
      </c>
      <c r="E15" s="2"/>
      <c r="F15" s="2"/>
      <c r="G15" s="2"/>
      <c r="H15" s="2" t="str">
        <f t="shared" si="0"/>
        <v>FAIL</v>
      </c>
      <c r="I15" s="2"/>
    </row>
    <row r="16" spans="1:9" ht="28">
      <c r="A16" s="2" t="s">
        <v>246</v>
      </c>
      <c r="B16" s="2">
        <v>1</v>
      </c>
      <c r="C16" s="2"/>
      <c r="D16" s="2" t="s">
        <v>247</v>
      </c>
      <c r="E16" s="2"/>
      <c r="F16" s="2"/>
      <c r="G16" s="2"/>
      <c r="H16" s="2" t="str">
        <f t="shared" si="0"/>
        <v>FAIL</v>
      </c>
      <c r="I16" s="2"/>
    </row>
    <row r="17" spans="1:9" ht="28">
      <c r="A17" s="2" t="s">
        <v>248</v>
      </c>
      <c r="B17" s="2">
        <v>1</v>
      </c>
      <c r="C17" s="2"/>
      <c r="D17" s="2" t="s">
        <v>249</v>
      </c>
      <c r="E17" s="2"/>
      <c r="F17" s="2"/>
      <c r="G17" s="2"/>
      <c r="H17" s="2" t="str">
        <f t="shared" si="0"/>
        <v>FAIL</v>
      </c>
      <c r="I17" s="2"/>
    </row>
    <row r="18" spans="1:9" ht="28">
      <c r="A18" s="2" t="s">
        <v>250</v>
      </c>
      <c r="B18" s="2">
        <v>2</v>
      </c>
      <c r="C18" s="2"/>
      <c r="D18" s="2" t="s">
        <v>251</v>
      </c>
      <c r="E18" s="2"/>
      <c r="F18" s="2"/>
      <c r="G18" s="2"/>
      <c r="H18" s="2" t="str">
        <f t="shared" si="0"/>
        <v>FAIL</v>
      </c>
      <c r="I18" s="2"/>
    </row>
    <row r="19" spans="1:9" ht="28">
      <c r="A19" s="2" t="s">
        <v>252</v>
      </c>
      <c r="B19" s="2">
        <v>1</v>
      </c>
      <c r="C19" s="2"/>
      <c r="D19" s="2" t="s">
        <v>253</v>
      </c>
      <c r="E19" s="2"/>
      <c r="F19" s="2"/>
      <c r="G19" s="2"/>
      <c r="H19" s="2" t="str">
        <f t="shared" si="0"/>
        <v>FAIL</v>
      </c>
      <c r="I19" s="2"/>
    </row>
    <row r="20" spans="1:9" ht="42">
      <c r="A20" s="2" t="s">
        <v>254</v>
      </c>
      <c r="B20" s="2">
        <v>1</v>
      </c>
      <c r="C20" s="2"/>
      <c r="D20" s="2" t="s">
        <v>255</v>
      </c>
      <c r="E20" s="2"/>
      <c r="F20" s="2"/>
      <c r="G20" s="2"/>
      <c r="H20" s="2" t="str">
        <f t="shared" si="0"/>
        <v>FAIL</v>
      </c>
      <c r="I20" s="2"/>
    </row>
    <row r="21" spans="1:9">
      <c r="A21" s="2" t="s">
        <v>256</v>
      </c>
      <c r="B21" s="2">
        <v>2</v>
      </c>
      <c r="C21" s="2"/>
      <c r="D21" s="2" t="s">
        <v>257</v>
      </c>
      <c r="E21" s="2"/>
      <c r="F21" s="2"/>
      <c r="G21" s="2"/>
      <c r="H21" s="2" t="str">
        <f t="shared" si="0"/>
        <v>FAIL</v>
      </c>
      <c r="I21" s="2"/>
    </row>
    <row r="22" spans="1:9" ht="28">
      <c r="A22" s="2" t="s">
        <v>258</v>
      </c>
      <c r="B22" s="2">
        <v>1</v>
      </c>
      <c r="C22" s="2"/>
      <c r="D22" s="2" t="s">
        <v>259</v>
      </c>
      <c r="E22" s="2"/>
      <c r="F22" s="2"/>
      <c r="G22" s="2"/>
      <c r="H22" s="2" t="str">
        <f t="shared" si="0"/>
        <v>FAIL</v>
      </c>
      <c r="I22" s="2"/>
    </row>
    <row r="23" spans="1:9" ht="28">
      <c r="A23" s="2" t="s">
        <v>260</v>
      </c>
      <c r="B23" s="2">
        <v>2</v>
      </c>
      <c r="C23" s="2"/>
      <c r="D23" s="2" t="s">
        <v>261</v>
      </c>
      <c r="E23" s="2"/>
      <c r="F23" s="2"/>
      <c r="G23" s="2"/>
      <c r="H23" s="2" t="str">
        <f t="shared" si="0"/>
        <v>FAIL</v>
      </c>
      <c r="I23" s="2"/>
    </row>
    <row r="24" spans="1:9">
      <c r="A24" s="2" t="s">
        <v>262</v>
      </c>
      <c r="B24" s="2">
        <v>2</v>
      </c>
      <c r="C24" s="2"/>
      <c r="D24" s="2" t="s">
        <v>263</v>
      </c>
      <c r="E24" s="2"/>
      <c r="F24" s="2"/>
      <c r="G24" s="2"/>
      <c r="H24" s="2" t="str">
        <f t="shared" si="0"/>
        <v>FAIL</v>
      </c>
      <c r="I24" s="2"/>
    </row>
    <row r="25" spans="1:9" ht="28">
      <c r="A25" s="2" t="s">
        <v>264</v>
      </c>
      <c r="B25" s="2">
        <v>2</v>
      </c>
      <c r="C25" s="2"/>
      <c r="D25" s="2" t="s">
        <v>265</v>
      </c>
      <c r="E25" s="2"/>
      <c r="F25" s="2"/>
      <c r="G25" s="2"/>
      <c r="H25" s="2" t="str">
        <f t="shared" si="0"/>
        <v>FAIL</v>
      </c>
      <c r="I25" s="2"/>
    </row>
    <row r="26" spans="1:9">
      <c r="A26" s="2" t="s">
        <v>266</v>
      </c>
      <c r="B26" s="2">
        <v>2</v>
      </c>
      <c r="C26" s="2"/>
      <c r="D26" s="2" t="s">
        <v>265</v>
      </c>
      <c r="E26" s="2"/>
      <c r="F26" s="2"/>
      <c r="G26" s="2"/>
      <c r="H26" s="2" t="str">
        <f t="shared" si="0"/>
        <v>FAIL</v>
      </c>
      <c r="I26" s="2"/>
    </row>
    <row r="27" spans="1:9">
      <c r="A27" s="2" t="s">
        <v>267</v>
      </c>
      <c r="B27" s="2">
        <v>8</v>
      </c>
      <c r="C27" s="2"/>
      <c r="D27" s="2" t="s">
        <v>268</v>
      </c>
      <c r="E27" s="2"/>
      <c r="F27" s="2"/>
      <c r="G27" s="2"/>
      <c r="H27" s="2" t="str">
        <f t="shared" si="0"/>
        <v>FAIL</v>
      </c>
      <c r="I27" s="2"/>
    </row>
    <row r="28" spans="1:9">
      <c r="A28" s="2" t="s">
        <v>269</v>
      </c>
      <c r="B28" s="2">
        <v>4</v>
      </c>
      <c r="C28" s="2"/>
      <c r="D28" s="2" t="s">
        <v>270</v>
      </c>
      <c r="E28" s="2"/>
      <c r="F28" s="2"/>
      <c r="G28" s="2"/>
      <c r="H28" s="2" t="str">
        <f t="shared" si="0"/>
        <v>FAIL</v>
      </c>
      <c r="I28" s="2"/>
    </row>
    <row r="29" spans="1:9" ht="28">
      <c r="A29" s="2" t="s">
        <v>271</v>
      </c>
      <c r="B29" s="2">
        <v>20</v>
      </c>
      <c r="C29" s="2"/>
      <c r="D29" s="2" t="s">
        <v>272</v>
      </c>
      <c r="E29" s="2"/>
      <c r="F29" s="2"/>
      <c r="G29" s="2"/>
      <c r="H29" s="2" t="str">
        <f t="shared" si="0"/>
        <v>FAIL</v>
      </c>
      <c r="I29" s="2"/>
    </row>
    <row r="30" spans="1:9">
      <c r="A30" s="2" t="s">
        <v>273</v>
      </c>
      <c r="B30" s="2">
        <v>2</v>
      </c>
      <c r="C30" s="2"/>
      <c r="D30" s="2" t="s">
        <v>265</v>
      </c>
      <c r="E30" s="2"/>
      <c r="F30" s="2"/>
      <c r="G30" s="2"/>
      <c r="H30" s="2" t="str">
        <f t="shared" si="0"/>
        <v>FAIL</v>
      </c>
      <c r="I30" s="2"/>
    </row>
    <row r="31" spans="1:9">
      <c r="A31" s="2" t="s">
        <v>274</v>
      </c>
      <c r="B31" s="2">
        <v>1</v>
      </c>
      <c r="C31" s="2"/>
      <c r="D31" s="2" t="s">
        <v>275</v>
      </c>
      <c r="E31" s="2"/>
      <c r="F31" s="2"/>
      <c r="G31" s="2"/>
      <c r="H31" s="2" t="str">
        <f t="shared" si="0"/>
        <v>FAIL</v>
      </c>
      <c r="I31" s="2"/>
    </row>
    <row r="32" spans="1:9">
      <c r="A32" s="2" t="s">
        <v>276</v>
      </c>
      <c r="B32" s="2">
        <v>5</v>
      </c>
      <c r="C32" s="2"/>
      <c r="D32" s="2" t="s">
        <v>265</v>
      </c>
      <c r="E32" s="2"/>
      <c r="F32" s="2"/>
      <c r="G32" s="2"/>
      <c r="H32" s="2" t="str">
        <f t="shared" si="0"/>
        <v>FAIL</v>
      </c>
      <c r="I32" s="2"/>
    </row>
    <row r="33" spans="1:9">
      <c r="A33" s="2" t="s">
        <v>277</v>
      </c>
      <c r="B33" s="2">
        <v>2</v>
      </c>
      <c r="C33" s="2"/>
      <c r="D33" s="2" t="s">
        <v>265</v>
      </c>
      <c r="E33" s="2"/>
      <c r="F33" s="2"/>
      <c r="G33" s="2"/>
      <c r="H33" s="2" t="str">
        <f t="shared" si="0"/>
        <v>FAIL</v>
      </c>
      <c r="I33" s="2"/>
    </row>
    <row r="34" spans="1:9" ht="28">
      <c r="A34" s="2" t="s">
        <v>278</v>
      </c>
      <c r="B34" s="2">
        <v>20</v>
      </c>
      <c r="C34" s="2"/>
      <c r="D34" s="2" t="s">
        <v>270</v>
      </c>
      <c r="E34" s="2"/>
      <c r="F34" s="2"/>
      <c r="G34" s="2"/>
      <c r="H34" s="2" t="str">
        <f t="shared" si="0"/>
        <v>FAIL</v>
      </c>
      <c r="I34" s="2"/>
    </row>
    <row r="35" spans="1:9">
      <c r="A35" s="2" t="s">
        <v>279</v>
      </c>
      <c r="B35" s="2">
        <v>20</v>
      </c>
      <c r="C35" s="2"/>
      <c r="D35" s="2" t="s">
        <v>270</v>
      </c>
      <c r="E35" s="2"/>
      <c r="F35" s="2"/>
      <c r="G35" s="2"/>
      <c r="H35" s="2" t="str">
        <f t="shared" si="0"/>
        <v>FAIL</v>
      </c>
      <c r="I35" s="2"/>
    </row>
    <row r="36" spans="1:9" ht="28">
      <c r="A36" s="2" t="s">
        <v>280</v>
      </c>
      <c r="B36" s="2">
        <v>1</v>
      </c>
      <c r="C36" s="2"/>
      <c r="D36" s="2" t="s">
        <v>281</v>
      </c>
      <c r="E36" s="2"/>
      <c r="F36" s="2"/>
      <c r="G36" s="2"/>
      <c r="H36" s="2" t="str">
        <f t="shared" si="0"/>
        <v>FAIL</v>
      </c>
      <c r="I36" s="2"/>
    </row>
    <row r="37" spans="1:9" ht="28">
      <c r="A37" s="2" t="s">
        <v>282</v>
      </c>
      <c r="B37" s="2">
        <v>1</v>
      </c>
      <c r="C37" s="2"/>
      <c r="D37" s="2" t="s">
        <v>281</v>
      </c>
      <c r="E37" s="2"/>
      <c r="F37" s="2"/>
      <c r="G37" s="2"/>
      <c r="H37" s="2" t="str">
        <f t="shared" si="0"/>
        <v>FAIL</v>
      </c>
      <c r="I37" s="2"/>
    </row>
    <row r="38" spans="1:9" ht="28">
      <c r="A38" s="2" t="s">
        <v>283</v>
      </c>
      <c r="B38" s="2">
        <v>1</v>
      </c>
      <c r="C38" s="2"/>
      <c r="D38" s="2" t="s">
        <v>281</v>
      </c>
      <c r="E38" s="2"/>
      <c r="F38" s="2"/>
      <c r="G38" s="2"/>
      <c r="H38" s="2" t="str">
        <f t="shared" si="0"/>
        <v>FAIL</v>
      </c>
      <c r="I38" s="2"/>
    </row>
    <row r="39" spans="1:9" ht="28">
      <c r="A39" s="2" t="s">
        <v>284</v>
      </c>
      <c r="B39" s="2">
        <v>1</v>
      </c>
      <c r="C39" s="2"/>
      <c r="D39" s="2" t="s">
        <v>285</v>
      </c>
      <c r="E39" s="2"/>
      <c r="F39" s="2"/>
      <c r="G39" s="2"/>
      <c r="H39" s="2" t="str">
        <f t="shared" si="0"/>
        <v>FAIL</v>
      </c>
      <c r="I39" s="2"/>
    </row>
    <row r="40" spans="1:9" ht="28">
      <c r="A40" s="2" t="s">
        <v>286</v>
      </c>
      <c r="B40" s="2">
        <v>1</v>
      </c>
      <c r="C40" s="2"/>
      <c r="D40" s="2" t="s">
        <v>287</v>
      </c>
      <c r="E40" s="2"/>
      <c r="F40" s="2"/>
      <c r="G40" s="2"/>
      <c r="H40" s="2" t="str">
        <f t="shared" si="0"/>
        <v>FAIL</v>
      </c>
      <c r="I40" s="2"/>
    </row>
    <row r="41" spans="1:9" ht="28">
      <c r="A41" s="2" t="s">
        <v>288</v>
      </c>
      <c r="B41" s="2">
        <v>1</v>
      </c>
      <c r="C41" s="2"/>
      <c r="D41" s="2" t="s">
        <v>281</v>
      </c>
      <c r="E41" s="2"/>
      <c r="F41" s="2"/>
      <c r="G41" s="2"/>
      <c r="H41" s="2" t="str">
        <f t="shared" si="0"/>
        <v>FAIL</v>
      </c>
      <c r="I41" s="2"/>
    </row>
    <row r="42" spans="1:9">
      <c r="A42" s="2"/>
      <c r="B42" s="2"/>
      <c r="C42" s="2"/>
      <c r="D42" s="2"/>
      <c r="E42" s="2"/>
      <c r="F42" s="2"/>
      <c r="G42" s="2"/>
      <c r="H42" s="2"/>
      <c r="I42" s="2"/>
    </row>
    <row r="43" spans="1:9">
      <c r="A43" s="2"/>
      <c r="B43" s="2"/>
      <c r="C43" s="2"/>
      <c r="D43" s="2"/>
      <c r="E43" s="2"/>
      <c r="F43" s="2"/>
      <c r="G43" s="2"/>
      <c r="H43" s="2"/>
      <c r="I43" s="2"/>
    </row>
    <row r="44" spans="1:9">
      <c r="A44" s="2"/>
      <c r="B44" s="2"/>
      <c r="C44" s="2"/>
      <c r="D44" s="2"/>
      <c r="E44" s="2"/>
      <c r="F44" s="2"/>
      <c r="G44" s="2"/>
      <c r="H44" s="2"/>
      <c r="I44" s="2"/>
    </row>
    <row r="45" spans="1:9">
      <c r="A45" s="2"/>
      <c r="B45" s="2"/>
      <c r="C45" s="2"/>
      <c r="D45" s="2"/>
      <c r="E45" s="2"/>
      <c r="F45" s="2"/>
      <c r="G45" s="2"/>
      <c r="H45" s="2"/>
      <c r="I45" s="2"/>
    </row>
    <row r="46" spans="1:9">
      <c r="A46" s="2"/>
      <c r="B46" s="2"/>
      <c r="C46" s="2"/>
      <c r="D46" s="2"/>
      <c r="E46" s="2"/>
      <c r="F46" s="2"/>
      <c r="G46" s="2"/>
      <c r="H46" s="2"/>
      <c r="I46" s="2"/>
    </row>
    <row r="47" spans="1:9">
      <c r="A47" s="2"/>
      <c r="B47" s="2"/>
      <c r="C47" s="2"/>
      <c r="D47" s="2"/>
      <c r="E47" s="2"/>
      <c r="F47" s="2"/>
      <c r="G47" s="2"/>
      <c r="H47" s="2"/>
      <c r="I47" s="2"/>
    </row>
    <row r="48" spans="1:9">
      <c r="A48" s="2"/>
      <c r="B48" s="2"/>
      <c r="C48" s="2"/>
      <c r="D48" s="2"/>
      <c r="E48" s="2"/>
      <c r="F48" s="2"/>
      <c r="G48" s="2"/>
      <c r="H48" s="2"/>
      <c r="I48" s="2"/>
    </row>
    <row r="49" spans="1:9">
      <c r="A49" s="2"/>
      <c r="B49" s="2"/>
      <c r="C49" s="2"/>
      <c r="D49" s="2"/>
      <c r="E49" s="2"/>
      <c r="F49" s="2"/>
      <c r="G49" s="2"/>
      <c r="H49" s="2"/>
      <c r="I49" s="2"/>
    </row>
    <row r="50" spans="1:9">
      <c r="A50" s="2"/>
      <c r="B50" s="2"/>
      <c r="C50" s="2"/>
      <c r="D50" s="2"/>
      <c r="E50" s="2"/>
      <c r="F50" s="2"/>
      <c r="G50" s="2"/>
      <c r="H50" s="2"/>
      <c r="I50" s="2"/>
    </row>
    <row r="51" spans="1:9">
      <c r="A51" s="2"/>
      <c r="B51" s="2"/>
      <c r="C51" s="2"/>
      <c r="D51" s="2"/>
      <c r="E51" s="2"/>
      <c r="F51" s="2"/>
      <c r="G51" s="2"/>
      <c r="H51" s="2"/>
      <c r="I51" s="2"/>
    </row>
    <row r="52" spans="1:9">
      <c r="A52" s="2"/>
      <c r="B52" s="2"/>
      <c r="C52" s="2"/>
      <c r="D52" s="2"/>
      <c r="E52" s="2"/>
      <c r="F52" s="2"/>
      <c r="G52" s="2"/>
      <c r="H52" s="2"/>
      <c r="I52" s="2"/>
    </row>
    <row r="53" spans="1:9">
      <c r="A53" s="2"/>
      <c r="B53" s="2"/>
      <c r="C53" s="2"/>
      <c r="D53" s="2"/>
      <c r="E53" s="2"/>
      <c r="F53" s="2"/>
      <c r="G53" s="2"/>
      <c r="H53" s="2"/>
      <c r="I53" s="2"/>
    </row>
    <row r="54" spans="1:9">
      <c r="A54" s="2"/>
      <c r="B54" s="2"/>
      <c r="C54" s="2"/>
      <c r="D54" s="2"/>
      <c r="E54" s="2"/>
      <c r="F54" s="2"/>
      <c r="G54" s="2"/>
      <c r="H54" s="2"/>
      <c r="I54" s="2"/>
    </row>
    <row r="55" spans="1:9">
      <c r="A55" s="2"/>
      <c r="B55" s="2"/>
      <c r="C55" s="2"/>
      <c r="D55" s="2"/>
      <c r="E55" s="2"/>
      <c r="F55" s="2"/>
      <c r="G55" s="2"/>
      <c r="H55" s="2"/>
      <c r="I55" s="2"/>
    </row>
    <row r="56" spans="1:9">
      <c r="A56" s="2"/>
      <c r="B56" s="2"/>
      <c r="C56" s="2"/>
      <c r="D56" s="2"/>
      <c r="E56" s="2"/>
      <c r="F56" s="2"/>
      <c r="G56" s="2"/>
      <c r="H56" s="2"/>
      <c r="I56" s="2"/>
    </row>
    <row r="57" spans="1:9">
      <c r="A57" s="2"/>
      <c r="B57" s="2"/>
      <c r="C57" s="2"/>
      <c r="D57" s="2"/>
      <c r="E57" s="2"/>
      <c r="F57" s="2"/>
      <c r="G57" s="2"/>
      <c r="H57" s="2"/>
      <c r="I57" s="2"/>
    </row>
    <row r="58" spans="1:9">
      <c r="A58" s="2"/>
      <c r="B58" s="2"/>
      <c r="C58" s="2"/>
      <c r="D58" s="2"/>
      <c r="E58" s="2"/>
      <c r="F58" s="2"/>
      <c r="G58" s="2"/>
      <c r="H58" s="2"/>
      <c r="I58" s="2"/>
    </row>
    <row r="59" spans="1:9">
      <c r="A59" s="2"/>
      <c r="B59" s="2"/>
      <c r="C59" s="2"/>
      <c r="D59" s="2"/>
      <c r="E59" s="2"/>
      <c r="F59" s="2"/>
      <c r="G59" s="2"/>
      <c r="H59" s="2"/>
      <c r="I59" s="2"/>
    </row>
    <row r="60" spans="1:9">
      <c r="A60" s="2"/>
      <c r="B60" s="2"/>
      <c r="C60" s="2"/>
      <c r="D60" s="2"/>
      <c r="E60" s="2"/>
      <c r="F60" s="2"/>
      <c r="G60" s="2"/>
      <c r="H60" s="2"/>
      <c r="I60" s="2"/>
    </row>
  </sheetData>
  <mergeCells count="2">
    <mergeCell ref="A1:I1"/>
    <mergeCell ref="A2:I2"/>
  </mergeCells>
  <dataValidations count="2">
    <dataValidation type="list" sqref="B7" xr:uid="{00000000-0002-0000-2C00-000000000000}">
      <formula1>"Yes,No"</formula1>
    </dataValidation>
    <dataValidation type="list" sqref="F14:F41" xr:uid="{00000000-0002-0000-2C00-000001000000}">
      <formula1>"Yes,No,N/A"</formula1>
    </dataValidation>
  </dataValidation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60"/>
  <sheetViews>
    <sheetView workbookViewId="0"/>
  </sheetViews>
  <sheetFormatPr defaultRowHeight="14"/>
  <cols>
    <col min="1" max="8" width="18" customWidth="1"/>
  </cols>
  <sheetData>
    <row r="1" spans="1:8" ht="20">
      <c r="A1" s="6" t="s">
        <v>377</v>
      </c>
      <c r="B1" s="7"/>
      <c r="C1" s="7"/>
      <c r="D1" s="7"/>
      <c r="E1" s="7"/>
      <c r="F1" s="7"/>
      <c r="G1" s="7"/>
      <c r="H1" s="7"/>
    </row>
    <row r="2" spans="1:8" ht="14.5">
      <c r="A2" s="8" t="s">
        <v>290</v>
      </c>
      <c r="B2" s="7"/>
      <c r="C2" s="7"/>
      <c r="D2" s="7"/>
      <c r="E2" s="7"/>
      <c r="F2" s="7"/>
      <c r="G2" s="7"/>
      <c r="H2" s="7"/>
    </row>
    <row r="4" spans="1:8">
      <c r="A4" s="3" t="s">
        <v>107</v>
      </c>
      <c r="B4" t="s">
        <v>375</v>
      </c>
    </row>
    <row r="5" spans="1:8">
      <c r="A5" s="3" t="s">
        <v>110</v>
      </c>
    </row>
    <row r="6" spans="1:8">
      <c r="A6" s="3" t="s">
        <v>229</v>
      </c>
    </row>
    <row r="7" spans="1:8">
      <c r="A7" s="3" t="s">
        <v>230</v>
      </c>
    </row>
    <row r="8" spans="1:8">
      <c r="A8" s="3" t="s">
        <v>291</v>
      </c>
      <c r="B8">
        <f>COUNTA(A14:A60)</f>
        <v>22</v>
      </c>
    </row>
    <row r="9" spans="1:8">
      <c r="A9" s="3" t="s">
        <v>292</v>
      </c>
      <c r="B9">
        <f>COUNTIF(G14:G60,"FAIL")</f>
        <v>22</v>
      </c>
    </row>
    <row r="10" spans="1:8">
      <c r="A10" s="3" t="s">
        <v>46</v>
      </c>
      <c r="B10" t="str">
        <f>IF(AND(B7="Yes",B9=0),"Complete","Incomplete")</f>
        <v>Incomplete</v>
      </c>
    </row>
    <row r="13" spans="1:8">
      <c r="A13" s="1" t="s">
        <v>233</v>
      </c>
      <c r="B13" s="1" t="s">
        <v>234</v>
      </c>
      <c r="C13" s="1" t="s">
        <v>235</v>
      </c>
      <c r="D13" s="1" t="s">
        <v>293</v>
      </c>
      <c r="E13" s="1" t="s">
        <v>294</v>
      </c>
      <c r="F13" s="1" t="s">
        <v>239</v>
      </c>
      <c r="G13" s="1" t="s">
        <v>240</v>
      </c>
      <c r="H13" s="1" t="s">
        <v>241</v>
      </c>
    </row>
    <row r="14" spans="1:8" ht="28">
      <c r="A14" s="2" t="s">
        <v>295</v>
      </c>
      <c r="B14" s="2">
        <v>6</v>
      </c>
      <c r="C14" s="2"/>
      <c r="D14" s="2"/>
      <c r="E14" s="2"/>
      <c r="F14" s="2"/>
      <c r="G14" s="2" t="str">
        <f t="shared" ref="G14:G35" si="0">IF(OR(C14&lt;B14,E14="No"),"FAIL","PASS")</f>
        <v>FAIL</v>
      </c>
      <c r="H14" s="2"/>
    </row>
    <row r="15" spans="1:8" ht="28">
      <c r="A15" s="2" t="s">
        <v>296</v>
      </c>
      <c r="B15" s="2">
        <v>8</v>
      </c>
      <c r="C15" s="2"/>
      <c r="D15" s="2"/>
      <c r="E15" s="2"/>
      <c r="F15" s="2"/>
      <c r="G15" s="2" t="str">
        <f t="shared" si="0"/>
        <v>FAIL</v>
      </c>
      <c r="H15" s="2"/>
    </row>
    <row r="16" spans="1:8" ht="28">
      <c r="A16" s="2" t="s">
        <v>297</v>
      </c>
      <c r="B16" s="2">
        <v>10</v>
      </c>
      <c r="C16" s="2"/>
      <c r="D16" s="2"/>
      <c r="E16" s="2"/>
      <c r="F16" s="2"/>
      <c r="G16" s="2" t="str">
        <f t="shared" si="0"/>
        <v>FAIL</v>
      </c>
      <c r="H16" s="2"/>
    </row>
    <row r="17" spans="1:8">
      <c r="A17" s="2" t="s">
        <v>298</v>
      </c>
      <c r="B17" s="2">
        <v>4</v>
      </c>
      <c r="C17" s="2"/>
      <c r="D17" s="2"/>
      <c r="E17" s="2"/>
      <c r="F17" s="2"/>
      <c r="G17" s="2" t="str">
        <f t="shared" si="0"/>
        <v>FAIL</v>
      </c>
      <c r="H17" s="2"/>
    </row>
    <row r="18" spans="1:8">
      <c r="A18" s="2" t="s">
        <v>299</v>
      </c>
      <c r="B18" s="2">
        <v>6</v>
      </c>
      <c r="C18" s="2"/>
      <c r="D18" s="2"/>
      <c r="E18" s="2"/>
      <c r="F18" s="2"/>
      <c r="G18" s="2" t="str">
        <f t="shared" si="0"/>
        <v>FAIL</v>
      </c>
      <c r="H18" s="2"/>
    </row>
    <row r="19" spans="1:8" ht="28">
      <c r="A19" s="2" t="s">
        <v>300</v>
      </c>
      <c r="B19" s="2">
        <v>6</v>
      </c>
      <c r="C19" s="2"/>
      <c r="D19" s="2"/>
      <c r="E19" s="2"/>
      <c r="F19" s="2"/>
      <c r="G19" s="2" t="str">
        <f t="shared" si="0"/>
        <v>FAIL</v>
      </c>
      <c r="H19" s="2"/>
    </row>
    <row r="20" spans="1:8">
      <c r="A20" s="2" t="s">
        <v>301</v>
      </c>
      <c r="B20" s="2">
        <v>10</v>
      </c>
      <c r="C20" s="2"/>
      <c r="D20" s="2"/>
      <c r="E20" s="2"/>
      <c r="F20" s="2"/>
      <c r="G20" s="2" t="str">
        <f t="shared" si="0"/>
        <v>FAIL</v>
      </c>
      <c r="H20" s="2"/>
    </row>
    <row r="21" spans="1:8">
      <c r="A21" s="2" t="s">
        <v>302</v>
      </c>
      <c r="B21" s="2">
        <v>4</v>
      </c>
      <c r="C21" s="2"/>
      <c r="D21" s="2"/>
      <c r="E21" s="2"/>
      <c r="F21" s="2"/>
      <c r="G21" s="2" t="str">
        <f t="shared" si="0"/>
        <v>FAIL</v>
      </c>
      <c r="H21" s="2"/>
    </row>
    <row r="22" spans="1:8" ht="28">
      <c r="A22" s="2" t="s">
        <v>303</v>
      </c>
      <c r="B22" s="2">
        <v>4</v>
      </c>
      <c r="C22" s="2"/>
      <c r="D22" s="2"/>
      <c r="E22" s="2"/>
      <c r="F22" s="2"/>
      <c r="G22" s="2" t="str">
        <f t="shared" si="0"/>
        <v>FAIL</v>
      </c>
      <c r="H22" s="2"/>
    </row>
    <row r="23" spans="1:8">
      <c r="A23" s="2" t="s">
        <v>304</v>
      </c>
      <c r="B23" s="2">
        <v>2</v>
      </c>
      <c r="C23" s="2"/>
      <c r="D23" s="2"/>
      <c r="E23" s="2"/>
      <c r="F23" s="2"/>
      <c r="G23" s="2" t="str">
        <f t="shared" si="0"/>
        <v>FAIL</v>
      </c>
      <c r="H23" s="2"/>
    </row>
    <row r="24" spans="1:8" ht="28">
      <c r="A24" s="2" t="s">
        <v>305</v>
      </c>
      <c r="B24" s="2">
        <v>50</v>
      </c>
      <c r="C24" s="2"/>
      <c r="D24" s="2"/>
      <c r="E24" s="2"/>
      <c r="F24" s="2"/>
      <c r="G24" s="2" t="str">
        <f t="shared" si="0"/>
        <v>FAIL</v>
      </c>
      <c r="H24" s="2"/>
    </row>
    <row r="25" spans="1:8">
      <c r="A25" s="2" t="s">
        <v>306</v>
      </c>
      <c r="B25" s="2">
        <v>2</v>
      </c>
      <c r="C25" s="2"/>
      <c r="D25" s="2"/>
      <c r="E25" s="2"/>
      <c r="F25" s="2"/>
      <c r="G25" s="2" t="str">
        <f t="shared" si="0"/>
        <v>FAIL</v>
      </c>
      <c r="H25" s="2"/>
    </row>
    <row r="26" spans="1:8">
      <c r="A26" s="2" t="s">
        <v>307</v>
      </c>
      <c r="B26" s="2">
        <v>2</v>
      </c>
      <c r="C26" s="2"/>
      <c r="D26" s="2"/>
      <c r="E26" s="2"/>
      <c r="F26" s="2"/>
      <c r="G26" s="2" t="str">
        <f t="shared" si="0"/>
        <v>FAIL</v>
      </c>
      <c r="H26" s="2"/>
    </row>
    <row r="27" spans="1:8" ht="28">
      <c r="A27" s="2" t="s">
        <v>308</v>
      </c>
      <c r="B27" s="2">
        <v>2</v>
      </c>
      <c r="C27" s="2"/>
      <c r="D27" s="2"/>
      <c r="E27" s="2"/>
      <c r="F27" s="2"/>
      <c r="G27" s="2" t="str">
        <f t="shared" si="0"/>
        <v>FAIL</v>
      </c>
      <c r="H27" s="2"/>
    </row>
    <row r="28" spans="1:8">
      <c r="A28" s="2" t="s">
        <v>309</v>
      </c>
      <c r="B28" s="2">
        <v>4</v>
      </c>
      <c r="C28" s="2"/>
      <c r="D28" s="2"/>
      <c r="E28" s="2"/>
      <c r="F28" s="2"/>
      <c r="G28" s="2" t="str">
        <f t="shared" si="0"/>
        <v>FAIL</v>
      </c>
      <c r="H28" s="2"/>
    </row>
    <row r="29" spans="1:8">
      <c r="A29" s="2" t="s">
        <v>310</v>
      </c>
      <c r="B29" s="2">
        <v>20</v>
      </c>
      <c r="C29" s="2"/>
      <c r="D29" s="2"/>
      <c r="E29" s="2"/>
      <c r="F29" s="2"/>
      <c r="G29" s="2" t="str">
        <f t="shared" si="0"/>
        <v>FAIL</v>
      </c>
      <c r="H29" s="2"/>
    </row>
    <row r="30" spans="1:8" ht="28">
      <c r="A30" s="2" t="s">
        <v>311</v>
      </c>
      <c r="B30" s="2">
        <v>1</v>
      </c>
      <c r="C30" s="2"/>
      <c r="D30" s="2"/>
      <c r="E30" s="2"/>
      <c r="F30" s="2"/>
      <c r="G30" s="2" t="str">
        <f t="shared" si="0"/>
        <v>FAIL</v>
      </c>
      <c r="H30" s="2"/>
    </row>
    <row r="31" spans="1:8" ht="28">
      <c r="A31" s="2" t="s">
        <v>312</v>
      </c>
      <c r="B31" s="2">
        <v>1</v>
      </c>
      <c r="C31" s="2"/>
      <c r="D31" s="2"/>
      <c r="E31" s="2"/>
      <c r="F31" s="2"/>
      <c r="G31" s="2" t="str">
        <f t="shared" si="0"/>
        <v>FAIL</v>
      </c>
      <c r="H31" s="2"/>
    </row>
    <row r="32" spans="1:8" ht="28">
      <c r="A32" s="2" t="s">
        <v>313</v>
      </c>
      <c r="B32" s="2">
        <v>1</v>
      </c>
      <c r="C32" s="2"/>
      <c r="D32" s="2"/>
      <c r="E32" s="2"/>
      <c r="F32" s="2"/>
      <c r="G32" s="2" t="str">
        <f t="shared" si="0"/>
        <v>FAIL</v>
      </c>
      <c r="H32" s="2"/>
    </row>
    <row r="33" spans="1:8" ht="28">
      <c r="A33" s="2" t="s">
        <v>314</v>
      </c>
      <c r="B33" s="2">
        <v>1</v>
      </c>
      <c r="C33" s="2"/>
      <c r="D33" s="2"/>
      <c r="E33" s="2"/>
      <c r="F33" s="2"/>
      <c r="G33" s="2" t="str">
        <f t="shared" si="0"/>
        <v>FAIL</v>
      </c>
      <c r="H33" s="2"/>
    </row>
    <row r="34" spans="1:8" ht="28">
      <c r="A34" s="2" t="s">
        <v>315</v>
      </c>
      <c r="B34" s="2">
        <v>1</v>
      </c>
      <c r="C34" s="2"/>
      <c r="D34" s="2"/>
      <c r="E34" s="2"/>
      <c r="F34" s="2"/>
      <c r="G34" s="2" t="str">
        <f t="shared" si="0"/>
        <v>FAIL</v>
      </c>
      <c r="H34" s="2"/>
    </row>
    <row r="35" spans="1:8" ht="28">
      <c r="A35" s="2" t="s">
        <v>316</v>
      </c>
      <c r="B35" s="2">
        <v>1</v>
      </c>
      <c r="C35" s="2"/>
      <c r="D35" s="2"/>
      <c r="E35" s="2"/>
      <c r="F35" s="2"/>
      <c r="G35" s="2" t="str">
        <f t="shared" si="0"/>
        <v>FAIL</v>
      </c>
      <c r="H35" s="2"/>
    </row>
    <row r="36" spans="1:8">
      <c r="A36" s="2"/>
      <c r="B36" s="2"/>
      <c r="C36" s="2"/>
      <c r="D36" s="2"/>
      <c r="E36" s="2"/>
      <c r="F36" s="2"/>
      <c r="G36" s="2"/>
      <c r="H36" s="2"/>
    </row>
    <row r="37" spans="1:8">
      <c r="A37" s="2"/>
      <c r="B37" s="2"/>
      <c r="C37" s="2"/>
      <c r="D37" s="2"/>
      <c r="E37" s="2"/>
      <c r="F37" s="2"/>
      <c r="G37" s="2"/>
      <c r="H37" s="2"/>
    </row>
    <row r="38" spans="1:8">
      <c r="A38" s="2"/>
      <c r="B38" s="2"/>
      <c r="C38" s="2"/>
      <c r="D38" s="2"/>
      <c r="E38" s="2"/>
      <c r="F38" s="2"/>
      <c r="G38" s="2"/>
      <c r="H38" s="2"/>
    </row>
    <row r="39" spans="1:8">
      <c r="A39" s="2"/>
      <c r="B39" s="2"/>
      <c r="C39" s="2"/>
      <c r="D39" s="2"/>
      <c r="E39" s="2"/>
      <c r="F39" s="2"/>
      <c r="G39" s="2"/>
      <c r="H39" s="2"/>
    </row>
    <row r="40" spans="1:8">
      <c r="A40" s="2"/>
      <c r="B40" s="2"/>
      <c r="C40" s="2"/>
      <c r="D40" s="2"/>
      <c r="E40" s="2"/>
      <c r="F40" s="2"/>
      <c r="G40" s="2"/>
      <c r="H40" s="2"/>
    </row>
    <row r="41" spans="1:8">
      <c r="A41" s="2"/>
      <c r="B41" s="2"/>
      <c r="C41" s="2"/>
      <c r="D41" s="2"/>
      <c r="E41" s="2"/>
      <c r="F41" s="2"/>
      <c r="G41" s="2"/>
      <c r="H41" s="2"/>
    </row>
    <row r="42" spans="1:8">
      <c r="A42" s="2"/>
      <c r="B42" s="2"/>
      <c r="C42" s="2"/>
      <c r="D42" s="2"/>
      <c r="E42" s="2"/>
      <c r="F42" s="2"/>
      <c r="G42" s="2"/>
      <c r="H42" s="2"/>
    </row>
    <row r="43" spans="1:8">
      <c r="A43" s="2"/>
      <c r="B43" s="2"/>
      <c r="C43" s="2"/>
      <c r="D43" s="2"/>
      <c r="E43" s="2"/>
      <c r="F43" s="2"/>
      <c r="G43" s="2"/>
      <c r="H43" s="2"/>
    </row>
    <row r="44" spans="1:8">
      <c r="A44" s="2"/>
      <c r="B44" s="2"/>
      <c r="C44" s="2"/>
      <c r="D44" s="2"/>
      <c r="E44" s="2"/>
      <c r="F44" s="2"/>
      <c r="G44" s="2"/>
      <c r="H44" s="2"/>
    </row>
    <row r="45" spans="1:8">
      <c r="A45" s="2"/>
      <c r="B45" s="2"/>
      <c r="C45" s="2"/>
      <c r="D45" s="2"/>
      <c r="E45" s="2"/>
      <c r="F45" s="2"/>
      <c r="G45" s="2"/>
      <c r="H45" s="2"/>
    </row>
    <row r="46" spans="1:8">
      <c r="A46" s="2"/>
      <c r="B46" s="2"/>
      <c r="C46" s="2"/>
      <c r="D46" s="2"/>
      <c r="E46" s="2"/>
      <c r="F46" s="2"/>
      <c r="G46" s="2"/>
      <c r="H46" s="2"/>
    </row>
    <row r="47" spans="1:8">
      <c r="A47" s="2"/>
      <c r="B47" s="2"/>
      <c r="C47" s="2"/>
      <c r="D47" s="2"/>
      <c r="E47" s="2"/>
      <c r="F47" s="2"/>
      <c r="G47" s="2"/>
      <c r="H47" s="2"/>
    </row>
    <row r="48" spans="1:8">
      <c r="A48" s="2"/>
      <c r="B48" s="2"/>
      <c r="C48" s="2"/>
      <c r="D48" s="2"/>
      <c r="E48" s="2"/>
      <c r="F48" s="2"/>
      <c r="G48" s="2"/>
      <c r="H48" s="2"/>
    </row>
    <row r="49" spans="1:8">
      <c r="A49" s="2"/>
      <c r="B49" s="2"/>
      <c r="C49" s="2"/>
      <c r="D49" s="2"/>
      <c r="E49" s="2"/>
      <c r="F49" s="2"/>
      <c r="G49" s="2"/>
      <c r="H49" s="2"/>
    </row>
    <row r="50" spans="1:8">
      <c r="A50" s="2"/>
      <c r="B50" s="2"/>
      <c r="C50" s="2"/>
      <c r="D50" s="2"/>
      <c r="E50" s="2"/>
      <c r="F50" s="2"/>
      <c r="G50" s="2"/>
      <c r="H50" s="2"/>
    </row>
    <row r="51" spans="1:8">
      <c r="A51" s="2"/>
      <c r="B51" s="2"/>
      <c r="C51" s="2"/>
      <c r="D51" s="2"/>
      <c r="E51" s="2"/>
      <c r="F51" s="2"/>
      <c r="G51" s="2"/>
      <c r="H51" s="2"/>
    </row>
    <row r="52" spans="1:8">
      <c r="A52" s="2"/>
      <c r="B52" s="2"/>
      <c r="C52" s="2"/>
      <c r="D52" s="2"/>
      <c r="E52" s="2"/>
      <c r="F52" s="2"/>
      <c r="G52" s="2"/>
      <c r="H52" s="2"/>
    </row>
    <row r="53" spans="1:8">
      <c r="A53" s="2"/>
      <c r="B53" s="2"/>
      <c r="C53" s="2"/>
      <c r="D53" s="2"/>
      <c r="E53" s="2"/>
      <c r="F53" s="2"/>
      <c r="G53" s="2"/>
      <c r="H53" s="2"/>
    </row>
    <row r="54" spans="1:8">
      <c r="A54" s="2"/>
      <c r="B54" s="2"/>
      <c r="C54" s="2"/>
      <c r="D54" s="2"/>
      <c r="E54" s="2"/>
      <c r="F54" s="2"/>
      <c r="G54" s="2"/>
      <c r="H54" s="2"/>
    </row>
    <row r="55" spans="1:8">
      <c r="A55" s="2"/>
      <c r="B55" s="2"/>
      <c r="C55" s="2"/>
      <c r="D55" s="2"/>
      <c r="E55" s="2"/>
      <c r="F55" s="2"/>
      <c r="G55" s="2"/>
      <c r="H55" s="2"/>
    </row>
    <row r="56" spans="1:8">
      <c r="A56" s="2"/>
      <c r="B56" s="2"/>
      <c r="C56" s="2"/>
      <c r="D56" s="2"/>
      <c r="E56" s="2"/>
      <c r="F56" s="2"/>
      <c r="G56" s="2"/>
      <c r="H56" s="2"/>
    </row>
    <row r="57" spans="1:8">
      <c r="A57" s="2"/>
      <c r="B57" s="2"/>
      <c r="C57" s="2"/>
      <c r="D57" s="2"/>
      <c r="E57" s="2"/>
      <c r="F57" s="2"/>
      <c r="G57" s="2"/>
      <c r="H57" s="2"/>
    </row>
    <row r="58" spans="1:8">
      <c r="A58" s="2"/>
      <c r="B58" s="2"/>
      <c r="C58" s="2"/>
      <c r="D58" s="2"/>
      <c r="E58" s="2"/>
      <c r="F58" s="2"/>
      <c r="G58" s="2"/>
      <c r="H58" s="2"/>
    </row>
    <row r="59" spans="1:8">
      <c r="A59" s="2"/>
      <c r="B59" s="2"/>
      <c r="C59" s="2"/>
      <c r="D59" s="2"/>
      <c r="E59" s="2"/>
      <c r="F59" s="2"/>
      <c r="G59" s="2"/>
      <c r="H59" s="2"/>
    </row>
    <row r="60" spans="1:8">
      <c r="A60" s="2"/>
      <c r="B60" s="2"/>
      <c r="C60" s="2"/>
      <c r="D60" s="2"/>
      <c r="E60" s="2"/>
      <c r="F60" s="2"/>
      <c r="G60" s="2"/>
      <c r="H60" s="2"/>
    </row>
  </sheetData>
  <mergeCells count="2">
    <mergeCell ref="A1:H1"/>
    <mergeCell ref="A2:H2"/>
  </mergeCells>
  <dataValidations count="2">
    <dataValidation type="list" sqref="B7" xr:uid="{00000000-0002-0000-2D00-000000000000}">
      <formula1>"Yes,No"</formula1>
    </dataValidation>
    <dataValidation type="list" sqref="E14:E35" xr:uid="{00000000-0002-0000-2D00-000001000000}">
      <formula1>"Yes,No,N/A"</formula1>
    </dataValidation>
  </dataValidation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O113"/>
  <sheetViews>
    <sheetView workbookViewId="0"/>
  </sheetViews>
  <sheetFormatPr defaultRowHeight="14"/>
  <cols>
    <col min="1" max="2" width="17" customWidth="1"/>
    <col min="3" max="3" width="25" customWidth="1"/>
    <col min="4" max="13" width="17" customWidth="1"/>
    <col min="14" max="14" width="28" customWidth="1"/>
    <col min="15" max="15" width="17" customWidth="1"/>
  </cols>
  <sheetData>
    <row r="1" spans="1:15" ht="20">
      <c r="A1" s="6" t="s">
        <v>378</v>
      </c>
      <c r="B1" s="7"/>
      <c r="C1" s="7"/>
      <c r="D1" s="7"/>
      <c r="E1" s="7"/>
      <c r="F1" s="7"/>
      <c r="G1" s="7"/>
      <c r="H1" s="7"/>
      <c r="I1" s="7"/>
      <c r="J1" s="7"/>
      <c r="K1" s="7"/>
      <c r="L1" s="7"/>
      <c r="M1" s="7"/>
      <c r="N1" s="7"/>
      <c r="O1" s="7"/>
    </row>
    <row r="2" spans="1:15" ht="14.5">
      <c r="A2" s="8" t="s">
        <v>318</v>
      </c>
      <c r="B2" s="7"/>
      <c r="C2" s="7"/>
      <c r="D2" s="7"/>
      <c r="E2" s="7"/>
      <c r="F2" s="7"/>
      <c r="G2" s="7"/>
      <c r="H2" s="7"/>
      <c r="I2" s="7"/>
      <c r="J2" s="7"/>
      <c r="K2" s="7"/>
      <c r="L2" s="7"/>
      <c r="M2" s="7"/>
      <c r="N2" s="7"/>
      <c r="O2" s="7"/>
    </row>
    <row r="4" spans="1:15">
      <c r="A4" s="3" t="s">
        <v>107</v>
      </c>
      <c r="B4" t="s">
        <v>375</v>
      </c>
    </row>
    <row r="5" spans="1:15">
      <c r="A5" s="3" t="s">
        <v>110</v>
      </c>
    </row>
    <row r="6" spans="1:15">
      <c r="A6" s="3" t="s">
        <v>229</v>
      </c>
    </row>
    <row r="7" spans="1:15">
      <c r="A7" s="3" t="s">
        <v>230</v>
      </c>
    </row>
    <row r="8" spans="1:15">
      <c r="A8" s="3" t="s">
        <v>319</v>
      </c>
      <c r="B8">
        <f>COUNTA(A14:A113)</f>
        <v>0</v>
      </c>
    </row>
    <row r="9" spans="1:15" ht="28">
      <c r="A9" s="3" t="s">
        <v>320</v>
      </c>
      <c r="B9">
        <f>COUNTIF(O14:O113,"FAIL")</f>
        <v>0</v>
      </c>
    </row>
    <row r="10" spans="1:15">
      <c r="A10" s="3" t="s">
        <v>46</v>
      </c>
      <c r="B10" t="str">
        <f>IF(AND(B7="Yes",B9=0),"Complete","Incomplete")</f>
        <v>Incomplete</v>
      </c>
    </row>
    <row r="13" spans="1:15" ht="42">
      <c r="A13" s="1" t="s">
        <v>120</v>
      </c>
      <c r="B13" s="1" t="s">
        <v>121</v>
      </c>
      <c r="C13" s="1" t="s">
        <v>321</v>
      </c>
      <c r="D13" s="1" t="s">
        <v>234</v>
      </c>
      <c r="E13" s="1" t="s">
        <v>235</v>
      </c>
      <c r="F13" s="1" t="s">
        <v>294</v>
      </c>
      <c r="G13" s="1" t="s">
        <v>322</v>
      </c>
      <c r="H13" s="1" t="s">
        <v>323</v>
      </c>
      <c r="I13" s="1" t="s">
        <v>324</v>
      </c>
      <c r="J13" s="1" t="s">
        <v>149</v>
      </c>
      <c r="K13" s="1" t="s">
        <v>325</v>
      </c>
      <c r="L13" s="1" t="s">
        <v>326</v>
      </c>
      <c r="M13" s="1" t="s">
        <v>327</v>
      </c>
      <c r="N13" s="1" t="s">
        <v>239</v>
      </c>
      <c r="O13" s="1" t="s">
        <v>328</v>
      </c>
    </row>
    <row r="14" spans="1:15">
      <c r="A14" s="2"/>
      <c r="B14" s="2"/>
      <c r="C14" s="2"/>
      <c r="D14" s="2"/>
      <c r="E14" s="2"/>
      <c r="F14" s="2"/>
      <c r="G14" s="2"/>
      <c r="H14" s="2"/>
      <c r="I14" s="2"/>
      <c r="J14" s="2"/>
      <c r="K14" s="2"/>
      <c r="L14" s="2"/>
      <c r="M14" s="2"/>
      <c r="N14" s="2"/>
      <c r="O14" s="2" t="str">
        <f t="shared" ref="O14:O45" si="0">IF(OR(E14&lt;D14,F14="No",G14="No",H14="No",I14="No",J14="No",K14="No",L14="No",M14="No"),"FAIL","PASS")</f>
        <v>PASS</v>
      </c>
    </row>
    <row r="15" spans="1:15">
      <c r="A15" s="2"/>
      <c r="B15" s="2"/>
      <c r="C15" s="2"/>
      <c r="D15" s="2"/>
      <c r="E15" s="2"/>
      <c r="F15" s="2"/>
      <c r="G15" s="2"/>
      <c r="H15" s="2"/>
      <c r="I15" s="2"/>
      <c r="J15" s="2"/>
      <c r="K15" s="2"/>
      <c r="L15" s="2"/>
      <c r="M15" s="2"/>
      <c r="N15" s="2"/>
      <c r="O15" s="2" t="str">
        <f t="shared" si="0"/>
        <v>PASS</v>
      </c>
    </row>
    <row r="16" spans="1:15">
      <c r="A16" s="2"/>
      <c r="B16" s="2"/>
      <c r="C16" s="2"/>
      <c r="D16" s="2"/>
      <c r="E16" s="2"/>
      <c r="F16" s="2"/>
      <c r="G16" s="2"/>
      <c r="H16" s="2"/>
      <c r="I16" s="2"/>
      <c r="J16" s="2"/>
      <c r="K16" s="2"/>
      <c r="L16" s="2"/>
      <c r="M16" s="2"/>
      <c r="N16" s="2"/>
      <c r="O16" s="2" t="str">
        <f t="shared" si="0"/>
        <v>PASS</v>
      </c>
    </row>
    <row r="17" spans="1:15">
      <c r="A17" s="2"/>
      <c r="B17" s="2"/>
      <c r="C17" s="2"/>
      <c r="D17" s="2"/>
      <c r="E17" s="2"/>
      <c r="F17" s="2"/>
      <c r="G17" s="2"/>
      <c r="H17" s="2"/>
      <c r="I17" s="2"/>
      <c r="J17" s="2"/>
      <c r="K17" s="2"/>
      <c r="L17" s="2"/>
      <c r="M17" s="2"/>
      <c r="N17" s="2"/>
      <c r="O17" s="2" t="str">
        <f t="shared" si="0"/>
        <v>PASS</v>
      </c>
    </row>
    <row r="18" spans="1:15">
      <c r="A18" s="2"/>
      <c r="B18" s="2"/>
      <c r="C18" s="2"/>
      <c r="D18" s="2"/>
      <c r="E18" s="2"/>
      <c r="F18" s="2"/>
      <c r="G18" s="2"/>
      <c r="H18" s="2"/>
      <c r="I18" s="2"/>
      <c r="J18" s="2"/>
      <c r="K18" s="2"/>
      <c r="L18" s="2"/>
      <c r="M18" s="2"/>
      <c r="N18" s="2"/>
      <c r="O18" s="2" t="str">
        <f t="shared" si="0"/>
        <v>PASS</v>
      </c>
    </row>
    <row r="19" spans="1:15">
      <c r="A19" s="2"/>
      <c r="B19" s="2"/>
      <c r="C19" s="2"/>
      <c r="D19" s="2"/>
      <c r="E19" s="2"/>
      <c r="F19" s="2"/>
      <c r="G19" s="2"/>
      <c r="H19" s="2"/>
      <c r="I19" s="2"/>
      <c r="J19" s="2"/>
      <c r="K19" s="2"/>
      <c r="L19" s="2"/>
      <c r="M19" s="2"/>
      <c r="N19" s="2"/>
      <c r="O19" s="2" t="str">
        <f t="shared" si="0"/>
        <v>PASS</v>
      </c>
    </row>
    <row r="20" spans="1:15">
      <c r="A20" s="2"/>
      <c r="B20" s="2"/>
      <c r="C20" s="2"/>
      <c r="D20" s="2"/>
      <c r="E20" s="2"/>
      <c r="F20" s="2"/>
      <c r="G20" s="2"/>
      <c r="H20" s="2"/>
      <c r="I20" s="2"/>
      <c r="J20" s="2"/>
      <c r="K20" s="2"/>
      <c r="L20" s="2"/>
      <c r="M20" s="2"/>
      <c r="N20" s="2"/>
      <c r="O20" s="2" t="str">
        <f t="shared" si="0"/>
        <v>PASS</v>
      </c>
    </row>
    <row r="21" spans="1:15">
      <c r="A21" s="2"/>
      <c r="B21" s="2"/>
      <c r="C21" s="2"/>
      <c r="D21" s="2"/>
      <c r="E21" s="2"/>
      <c r="F21" s="2"/>
      <c r="G21" s="2"/>
      <c r="H21" s="2"/>
      <c r="I21" s="2"/>
      <c r="J21" s="2"/>
      <c r="K21" s="2"/>
      <c r="L21" s="2"/>
      <c r="M21" s="2"/>
      <c r="N21" s="2"/>
      <c r="O21" s="2" t="str">
        <f t="shared" si="0"/>
        <v>PASS</v>
      </c>
    </row>
    <row r="22" spans="1:15">
      <c r="A22" s="2"/>
      <c r="B22" s="2"/>
      <c r="C22" s="2"/>
      <c r="D22" s="2"/>
      <c r="E22" s="2"/>
      <c r="F22" s="2"/>
      <c r="G22" s="2"/>
      <c r="H22" s="2"/>
      <c r="I22" s="2"/>
      <c r="J22" s="2"/>
      <c r="K22" s="2"/>
      <c r="L22" s="2"/>
      <c r="M22" s="2"/>
      <c r="N22" s="2"/>
      <c r="O22" s="2" t="str">
        <f t="shared" si="0"/>
        <v>PASS</v>
      </c>
    </row>
    <row r="23" spans="1:15">
      <c r="A23" s="2"/>
      <c r="B23" s="2"/>
      <c r="C23" s="2"/>
      <c r="D23" s="2"/>
      <c r="E23" s="2"/>
      <c r="F23" s="2"/>
      <c r="G23" s="2"/>
      <c r="H23" s="2"/>
      <c r="I23" s="2"/>
      <c r="J23" s="2"/>
      <c r="K23" s="2"/>
      <c r="L23" s="2"/>
      <c r="M23" s="2"/>
      <c r="N23" s="2"/>
      <c r="O23" s="2" t="str">
        <f t="shared" si="0"/>
        <v>PASS</v>
      </c>
    </row>
    <row r="24" spans="1:15">
      <c r="A24" s="2"/>
      <c r="B24" s="2"/>
      <c r="C24" s="2"/>
      <c r="D24" s="2"/>
      <c r="E24" s="2"/>
      <c r="F24" s="2"/>
      <c r="G24" s="2"/>
      <c r="H24" s="2"/>
      <c r="I24" s="2"/>
      <c r="J24" s="2"/>
      <c r="K24" s="2"/>
      <c r="L24" s="2"/>
      <c r="M24" s="2"/>
      <c r="N24" s="2"/>
      <c r="O24" s="2" t="str">
        <f t="shared" si="0"/>
        <v>PASS</v>
      </c>
    </row>
    <row r="25" spans="1:15">
      <c r="A25" s="2"/>
      <c r="B25" s="2"/>
      <c r="C25" s="2"/>
      <c r="D25" s="2"/>
      <c r="E25" s="2"/>
      <c r="F25" s="2"/>
      <c r="G25" s="2"/>
      <c r="H25" s="2"/>
      <c r="I25" s="2"/>
      <c r="J25" s="2"/>
      <c r="K25" s="2"/>
      <c r="L25" s="2"/>
      <c r="M25" s="2"/>
      <c r="N25" s="2"/>
      <c r="O25" s="2" t="str">
        <f t="shared" si="0"/>
        <v>PASS</v>
      </c>
    </row>
    <row r="26" spans="1:15">
      <c r="A26" s="2"/>
      <c r="B26" s="2"/>
      <c r="C26" s="2"/>
      <c r="D26" s="2"/>
      <c r="E26" s="2"/>
      <c r="F26" s="2"/>
      <c r="G26" s="2"/>
      <c r="H26" s="2"/>
      <c r="I26" s="2"/>
      <c r="J26" s="2"/>
      <c r="K26" s="2"/>
      <c r="L26" s="2"/>
      <c r="M26" s="2"/>
      <c r="N26" s="2"/>
      <c r="O26" s="2" t="str">
        <f t="shared" si="0"/>
        <v>PASS</v>
      </c>
    </row>
    <row r="27" spans="1:15">
      <c r="A27" s="2"/>
      <c r="B27" s="2"/>
      <c r="C27" s="2"/>
      <c r="D27" s="2"/>
      <c r="E27" s="2"/>
      <c r="F27" s="2"/>
      <c r="G27" s="2"/>
      <c r="H27" s="2"/>
      <c r="I27" s="2"/>
      <c r="J27" s="2"/>
      <c r="K27" s="2"/>
      <c r="L27" s="2"/>
      <c r="M27" s="2"/>
      <c r="N27" s="2"/>
      <c r="O27" s="2" t="str">
        <f t="shared" si="0"/>
        <v>PASS</v>
      </c>
    </row>
    <row r="28" spans="1:15">
      <c r="A28" s="2"/>
      <c r="B28" s="2"/>
      <c r="C28" s="2"/>
      <c r="D28" s="2"/>
      <c r="E28" s="2"/>
      <c r="F28" s="2"/>
      <c r="G28" s="2"/>
      <c r="H28" s="2"/>
      <c r="I28" s="2"/>
      <c r="J28" s="2"/>
      <c r="K28" s="2"/>
      <c r="L28" s="2"/>
      <c r="M28" s="2"/>
      <c r="N28" s="2"/>
      <c r="O28" s="2" t="str">
        <f t="shared" si="0"/>
        <v>PASS</v>
      </c>
    </row>
    <row r="29" spans="1:15">
      <c r="A29" s="2"/>
      <c r="B29" s="2"/>
      <c r="C29" s="2"/>
      <c r="D29" s="2"/>
      <c r="E29" s="2"/>
      <c r="F29" s="2"/>
      <c r="G29" s="2"/>
      <c r="H29" s="2"/>
      <c r="I29" s="2"/>
      <c r="J29" s="2"/>
      <c r="K29" s="2"/>
      <c r="L29" s="2"/>
      <c r="M29" s="2"/>
      <c r="N29" s="2"/>
      <c r="O29" s="2" t="str">
        <f t="shared" si="0"/>
        <v>PASS</v>
      </c>
    </row>
    <row r="30" spans="1:15">
      <c r="A30" s="2"/>
      <c r="B30" s="2"/>
      <c r="C30" s="2"/>
      <c r="D30" s="2"/>
      <c r="E30" s="2"/>
      <c r="F30" s="2"/>
      <c r="G30" s="2"/>
      <c r="H30" s="2"/>
      <c r="I30" s="2"/>
      <c r="J30" s="2"/>
      <c r="K30" s="2"/>
      <c r="L30" s="2"/>
      <c r="M30" s="2"/>
      <c r="N30" s="2"/>
      <c r="O30" s="2" t="str">
        <f t="shared" si="0"/>
        <v>PASS</v>
      </c>
    </row>
    <row r="31" spans="1:15">
      <c r="A31" s="2"/>
      <c r="B31" s="2"/>
      <c r="C31" s="2"/>
      <c r="D31" s="2"/>
      <c r="E31" s="2"/>
      <c r="F31" s="2"/>
      <c r="G31" s="2"/>
      <c r="H31" s="2"/>
      <c r="I31" s="2"/>
      <c r="J31" s="2"/>
      <c r="K31" s="2"/>
      <c r="L31" s="2"/>
      <c r="M31" s="2"/>
      <c r="N31" s="2"/>
      <c r="O31" s="2" t="str">
        <f t="shared" si="0"/>
        <v>PASS</v>
      </c>
    </row>
    <row r="32" spans="1:15">
      <c r="A32" s="2"/>
      <c r="B32" s="2"/>
      <c r="C32" s="2"/>
      <c r="D32" s="2"/>
      <c r="E32" s="2"/>
      <c r="F32" s="2"/>
      <c r="G32" s="2"/>
      <c r="H32" s="2"/>
      <c r="I32" s="2"/>
      <c r="J32" s="2"/>
      <c r="K32" s="2"/>
      <c r="L32" s="2"/>
      <c r="M32" s="2"/>
      <c r="N32" s="2"/>
      <c r="O32" s="2" t="str">
        <f t="shared" si="0"/>
        <v>PASS</v>
      </c>
    </row>
    <row r="33" spans="1:15">
      <c r="A33" s="2"/>
      <c r="B33" s="2"/>
      <c r="C33" s="2"/>
      <c r="D33" s="2"/>
      <c r="E33" s="2"/>
      <c r="F33" s="2"/>
      <c r="G33" s="2"/>
      <c r="H33" s="2"/>
      <c r="I33" s="2"/>
      <c r="J33" s="2"/>
      <c r="K33" s="2"/>
      <c r="L33" s="2"/>
      <c r="M33" s="2"/>
      <c r="N33" s="2"/>
      <c r="O33" s="2" t="str">
        <f t="shared" si="0"/>
        <v>PASS</v>
      </c>
    </row>
    <row r="34" spans="1:15">
      <c r="A34" s="2"/>
      <c r="B34" s="2"/>
      <c r="C34" s="2"/>
      <c r="D34" s="2"/>
      <c r="E34" s="2"/>
      <c r="F34" s="2"/>
      <c r="G34" s="2"/>
      <c r="H34" s="2"/>
      <c r="I34" s="2"/>
      <c r="J34" s="2"/>
      <c r="K34" s="2"/>
      <c r="L34" s="2"/>
      <c r="M34" s="2"/>
      <c r="N34" s="2"/>
      <c r="O34" s="2" t="str">
        <f t="shared" si="0"/>
        <v>PASS</v>
      </c>
    </row>
    <row r="35" spans="1:15">
      <c r="A35" s="2"/>
      <c r="B35" s="2"/>
      <c r="C35" s="2"/>
      <c r="D35" s="2"/>
      <c r="E35" s="2"/>
      <c r="F35" s="2"/>
      <c r="G35" s="2"/>
      <c r="H35" s="2"/>
      <c r="I35" s="2"/>
      <c r="J35" s="2"/>
      <c r="K35" s="2"/>
      <c r="L35" s="2"/>
      <c r="M35" s="2"/>
      <c r="N35" s="2"/>
      <c r="O35" s="2" t="str">
        <f t="shared" si="0"/>
        <v>PASS</v>
      </c>
    </row>
    <row r="36" spans="1:15">
      <c r="A36" s="2"/>
      <c r="B36" s="2"/>
      <c r="C36" s="2"/>
      <c r="D36" s="2"/>
      <c r="E36" s="2"/>
      <c r="F36" s="2"/>
      <c r="G36" s="2"/>
      <c r="H36" s="2"/>
      <c r="I36" s="2"/>
      <c r="J36" s="2"/>
      <c r="K36" s="2"/>
      <c r="L36" s="2"/>
      <c r="M36" s="2"/>
      <c r="N36" s="2"/>
      <c r="O36" s="2" t="str">
        <f t="shared" si="0"/>
        <v>PASS</v>
      </c>
    </row>
    <row r="37" spans="1:15">
      <c r="A37" s="2"/>
      <c r="B37" s="2"/>
      <c r="C37" s="2"/>
      <c r="D37" s="2"/>
      <c r="E37" s="2"/>
      <c r="F37" s="2"/>
      <c r="G37" s="2"/>
      <c r="H37" s="2"/>
      <c r="I37" s="2"/>
      <c r="J37" s="2"/>
      <c r="K37" s="2"/>
      <c r="L37" s="2"/>
      <c r="M37" s="2"/>
      <c r="N37" s="2"/>
      <c r="O37" s="2" t="str">
        <f t="shared" si="0"/>
        <v>PASS</v>
      </c>
    </row>
    <row r="38" spans="1:15">
      <c r="A38" s="2"/>
      <c r="B38" s="2"/>
      <c r="C38" s="2"/>
      <c r="D38" s="2"/>
      <c r="E38" s="2"/>
      <c r="F38" s="2"/>
      <c r="G38" s="2"/>
      <c r="H38" s="2"/>
      <c r="I38" s="2"/>
      <c r="J38" s="2"/>
      <c r="K38" s="2"/>
      <c r="L38" s="2"/>
      <c r="M38" s="2"/>
      <c r="N38" s="2"/>
      <c r="O38" s="2" t="str">
        <f t="shared" si="0"/>
        <v>PASS</v>
      </c>
    </row>
    <row r="39" spans="1:15">
      <c r="A39" s="2"/>
      <c r="B39" s="2"/>
      <c r="C39" s="2"/>
      <c r="D39" s="2"/>
      <c r="E39" s="2"/>
      <c r="F39" s="2"/>
      <c r="G39" s="2"/>
      <c r="H39" s="2"/>
      <c r="I39" s="2"/>
      <c r="J39" s="2"/>
      <c r="K39" s="2"/>
      <c r="L39" s="2"/>
      <c r="M39" s="2"/>
      <c r="N39" s="2"/>
      <c r="O39" s="2" t="str">
        <f t="shared" si="0"/>
        <v>PASS</v>
      </c>
    </row>
    <row r="40" spans="1:15">
      <c r="A40" s="2"/>
      <c r="B40" s="2"/>
      <c r="C40" s="2"/>
      <c r="D40" s="2"/>
      <c r="E40" s="2"/>
      <c r="F40" s="2"/>
      <c r="G40" s="2"/>
      <c r="H40" s="2"/>
      <c r="I40" s="2"/>
      <c r="J40" s="2"/>
      <c r="K40" s="2"/>
      <c r="L40" s="2"/>
      <c r="M40" s="2"/>
      <c r="N40" s="2"/>
      <c r="O40" s="2" t="str">
        <f t="shared" si="0"/>
        <v>PASS</v>
      </c>
    </row>
    <row r="41" spans="1:15">
      <c r="A41" s="2"/>
      <c r="B41" s="2"/>
      <c r="C41" s="2"/>
      <c r="D41" s="2"/>
      <c r="E41" s="2"/>
      <c r="F41" s="2"/>
      <c r="G41" s="2"/>
      <c r="H41" s="2"/>
      <c r="I41" s="2"/>
      <c r="J41" s="2"/>
      <c r="K41" s="2"/>
      <c r="L41" s="2"/>
      <c r="M41" s="2"/>
      <c r="N41" s="2"/>
      <c r="O41" s="2" t="str">
        <f t="shared" si="0"/>
        <v>PASS</v>
      </c>
    </row>
    <row r="42" spans="1:15">
      <c r="A42" s="2"/>
      <c r="B42" s="2"/>
      <c r="C42" s="2"/>
      <c r="D42" s="2"/>
      <c r="E42" s="2"/>
      <c r="F42" s="2"/>
      <c r="G42" s="2"/>
      <c r="H42" s="2"/>
      <c r="I42" s="2"/>
      <c r="J42" s="2"/>
      <c r="K42" s="2"/>
      <c r="L42" s="2"/>
      <c r="M42" s="2"/>
      <c r="N42" s="2"/>
      <c r="O42" s="2" t="str">
        <f t="shared" si="0"/>
        <v>PASS</v>
      </c>
    </row>
    <row r="43" spans="1:15">
      <c r="A43" s="2"/>
      <c r="B43" s="2"/>
      <c r="C43" s="2"/>
      <c r="D43" s="2"/>
      <c r="E43" s="2"/>
      <c r="F43" s="2"/>
      <c r="G43" s="2"/>
      <c r="H43" s="2"/>
      <c r="I43" s="2"/>
      <c r="J43" s="2"/>
      <c r="K43" s="2"/>
      <c r="L43" s="2"/>
      <c r="M43" s="2"/>
      <c r="N43" s="2"/>
      <c r="O43" s="2" t="str">
        <f t="shared" si="0"/>
        <v>PASS</v>
      </c>
    </row>
    <row r="44" spans="1:15">
      <c r="A44" s="2"/>
      <c r="B44" s="2"/>
      <c r="C44" s="2"/>
      <c r="D44" s="2"/>
      <c r="E44" s="2"/>
      <c r="F44" s="2"/>
      <c r="G44" s="2"/>
      <c r="H44" s="2"/>
      <c r="I44" s="2"/>
      <c r="J44" s="2"/>
      <c r="K44" s="2"/>
      <c r="L44" s="2"/>
      <c r="M44" s="2"/>
      <c r="N44" s="2"/>
      <c r="O44" s="2" t="str">
        <f t="shared" si="0"/>
        <v>PASS</v>
      </c>
    </row>
    <row r="45" spans="1:15">
      <c r="A45" s="2"/>
      <c r="B45" s="2"/>
      <c r="C45" s="2"/>
      <c r="D45" s="2"/>
      <c r="E45" s="2"/>
      <c r="F45" s="2"/>
      <c r="G45" s="2"/>
      <c r="H45" s="2"/>
      <c r="I45" s="2"/>
      <c r="J45" s="2"/>
      <c r="K45" s="2"/>
      <c r="L45" s="2"/>
      <c r="M45" s="2"/>
      <c r="N45" s="2"/>
      <c r="O45" s="2" t="str">
        <f t="shared" si="0"/>
        <v>PASS</v>
      </c>
    </row>
    <row r="46" spans="1:15">
      <c r="A46" s="2"/>
      <c r="B46" s="2"/>
      <c r="C46" s="2"/>
      <c r="D46" s="2"/>
      <c r="E46" s="2"/>
      <c r="F46" s="2"/>
      <c r="G46" s="2"/>
      <c r="H46" s="2"/>
      <c r="I46" s="2"/>
      <c r="J46" s="2"/>
      <c r="K46" s="2"/>
      <c r="L46" s="2"/>
      <c r="M46" s="2"/>
      <c r="N46" s="2"/>
      <c r="O46" s="2" t="str">
        <f t="shared" ref="O46:O77" si="1">IF(OR(E46&lt;D46,F46="No",G46="No",H46="No",I46="No",J46="No",K46="No",L46="No",M46="No"),"FAIL","PASS")</f>
        <v>PASS</v>
      </c>
    </row>
    <row r="47" spans="1:15">
      <c r="A47" s="2"/>
      <c r="B47" s="2"/>
      <c r="C47" s="2"/>
      <c r="D47" s="2"/>
      <c r="E47" s="2"/>
      <c r="F47" s="2"/>
      <c r="G47" s="2"/>
      <c r="H47" s="2"/>
      <c r="I47" s="2"/>
      <c r="J47" s="2"/>
      <c r="K47" s="2"/>
      <c r="L47" s="2"/>
      <c r="M47" s="2"/>
      <c r="N47" s="2"/>
      <c r="O47" s="2" t="str">
        <f t="shared" si="1"/>
        <v>PASS</v>
      </c>
    </row>
    <row r="48" spans="1:15">
      <c r="A48" s="2"/>
      <c r="B48" s="2"/>
      <c r="C48" s="2"/>
      <c r="D48" s="2"/>
      <c r="E48" s="2"/>
      <c r="F48" s="2"/>
      <c r="G48" s="2"/>
      <c r="H48" s="2"/>
      <c r="I48" s="2"/>
      <c r="J48" s="2"/>
      <c r="K48" s="2"/>
      <c r="L48" s="2"/>
      <c r="M48" s="2"/>
      <c r="N48" s="2"/>
      <c r="O48" s="2" t="str">
        <f t="shared" si="1"/>
        <v>PASS</v>
      </c>
    </row>
    <row r="49" spans="1:15">
      <c r="A49" s="2"/>
      <c r="B49" s="2"/>
      <c r="C49" s="2"/>
      <c r="D49" s="2"/>
      <c r="E49" s="2"/>
      <c r="F49" s="2"/>
      <c r="G49" s="2"/>
      <c r="H49" s="2"/>
      <c r="I49" s="2"/>
      <c r="J49" s="2"/>
      <c r="K49" s="2"/>
      <c r="L49" s="2"/>
      <c r="M49" s="2"/>
      <c r="N49" s="2"/>
      <c r="O49" s="2" t="str">
        <f t="shared" si="1"/>
        <v>PASS</v>
      </c>
    </row>
    <row r="50" spans="1:15">
      <c r="A50" s="2"/>
      <c r="B50" s="2"/>
      <c r="C50" s="2"/>
      <c r="D50" s="2"/>
      <c r="E50" s="2"/>
      <c r="F50" s="2"/>
      <c r="G50" s="2"/>
      <c r="H50" s="2"/>
      <c r="I50" s="2"/>
      <c r="J50" s="2"/>
      <c r="K50" s="2"/>
      <c r="L50" s="2"/>
      <c r="M50" s="2"/>
      <c r="N50" s="2"/>
      <c r="O50" s="2" t="str">
        <f t="shared" si="1"/>
        <v>PASS</v>
      </c>
    </row>
    <row r="51" spans="1:15">
      <c r="A51" s="2"/>
      <c r="B51" s="2"/>
      <c r="C51" s="2"/>
      <c r="D51" s="2"/>
      <c r="E51" s="2"/>
      <c r="F51" s="2"/>
      <c r="G51" s="2"/>
      <c r="H51" s="2"/>
      <c r="I51" s="2"/>
      <c r="J51" s="2"/>
      <c r="K51" s="2"/>
      <c r="L51" s="2"/>
      <c r="M51" s="2"/>
      <c r="N51" s="2"/>
      <c r="O51" s="2" t="str">
        <f t="shared" si="1"/>
        <v>PASS</v>
      </c>
    </row>
    <row r="52" spans="1:15">
      <c r="A52" s="2"/>
      <c r="B52" s="2"/>
      <c r="C52" s="2"/>
      <c r="D52" s="2"/>
      <c r="E52" s="2"/>
      <c r="F52" s="2"/>
      <c r="G52" s="2"/>
      <c r="H52" s="2"/>
      <c r="I52" s="2"/>
      <c r="J52" s="2"/>
      <c r="K52" s="2"/>
      <c r="L52" s="2"/>
      <c r="M52" s="2"/>
      <c r="N52" s="2"/>
      <c r="O52" s="2" t="str">
        <f t="shared" si="1"/>
        <v>PASS</v>
      </c>
    </row>
    <row r="53" spans="1:15">
      <c r="A53" s="2"/>
      <c r="B53" s="2"/>
      <c r="C53" s="2"/>
      <c r="D53" s="2"/>
      <c r="E53" s="2"/>
      <c r="F53" s="2"/>
      <c r="G53" s="2"/>
      <c r="H53" s="2"/>
      <c r="I53" s="2"/>
      <c r="J53" s="2"/>
      <c r="K53" s="2"/>
      <c r="L53" s="2"/>
      <c r="M53" s="2"/>
      <c r="N53" s="2"/>
      <c r="O53" s="2" t="str">
        <f t="shared" si="1"/>
        <v>PASS</v>
      </c>
    </row>
    <row r="54" spans="1:15">
      <c r="A54" s="2"/>
      <c r="B54" s="2"/>
      <c r="C54" s="2"/>
      <c r="D54" s="2"/>
      <c r="E54" s="2"/>
      <c r="F54" s="2"/>
      <c r="G54" s="2"/>
      <c r="H54" s="2"/>
      <c r="I54" s="2"/>
      <c r="J54" s="2"/>
      <c r="K54" s="2"/>
      <c r="L54" s="2"/>
      <c r="M54" s="2"/>
      <c r="N54" s="2"/>
      <c r="O54" s="2" t="str">
        <f t="shared" si="1"/>
        <v>PASS</v>
      </c>
    </row>
    <row r="55" spans="1:15">
      <c r="A55" s="2"/>
      <c r="B55" s="2"/>
      <c r="C55" s="2"/>
      <c r="D55" s="2"/>
      <c r="E55" s="2"/>
      <c r="F55" s="2"/>
      <c r="G55" s="2"/>
      <c r="H55" s="2"/>
      <c r="I55" s="2"/>
      <c r="J55" s="2"/>
      <c r="K55" s="2"/>
      <c r="L55" s="2"/>
      <c r="M55" s="2"/>
      <c r="N55" s="2"/>
      <c r="O55" s="2" t="str">
        <f t="shared" si="1"/>
        <v>PASS</v>
      </c>
    </row>
    <row r="56" spans="1:15">
      <c r="A56" s="2"/>
      <c r="B56" s="2"/>
      <c r="C56" s="2"/>
      <c r="D56" s="2"/>
      <c r="E56" s="2"/>
      <c r="F56" s="2"/>
      <c r="G56" s="2"/>
      <c r="H56" s="2"/>
      <c r="I56" s="2"/>
      <c r="J56" s="2"/>
      <c r="K56" s="2"/>
      <c r="L56" s="2"/>
      <c r="M56" s="2"/>
      <c r="N56" s="2"/>
      <c r="O56" s="2" t="str">
        <f t="shared" si="1"/>
        <v>PASS</v>
      </c>
    </row>
    <row r="57" spans="1:15">
      <c r="A57" s="2"/>
      <c r="B57" s="2"/>
      <c r="C57" s="2"/>
      <c r="D57" s="2"/>
      <c r="E57" s="2"/>
      <c r="F57" s="2"/>
      <c r="G57" s="2"/>
      <c r="H57" s="2"/>
      <c r="I57" s="2"/>
      <c r="J57" s="2"/>
      <c r="K57" s="2"/>
      <c r="L57" s="2"/>
      <c r="M57" s="2"/>
      <c r="N57" s="2"/>
      <c r="O57" s="2" t="str">
        <f t="shared" si="1"/>
        <v>PASS</v>
      </c>
    </row>
    <row r="58" spans="1:15">
      <c r="A58" s="2"/>
      <c r="B58" s="2"/>
      <c r="C58" s="2"/>
      <c r="D58" s="2"/>
      <c r="E58" s="2"/>
      <c r="F58" s="2"/>
      <c r="G58" s="2"/>
      <c r="H58" s="2"/>
      <c r="I58" s="2"/>
      <c r="J58" s="2"/>
      <c r="K58" s="2"/>
      <c r="L58" s="2"/>
      <c r="M58" s="2"/>
      <c r="N58" s="2"/>
      <c r="O58" s="2" t="str">
        <f t="shared" si="1"/>
        <v>PASS</v>
      </c>
    </row>
    <row r="59" spans="1:15">
      <c r="A59" s="2"/>
      <c r="B59" s="2"/>
      <c r="C59" s="2"/>
      <c r="D59" s="2"/>
      <c r="E59" s="2"/>
      <c r="F59" s="2"/>
      <c r="G59" s="2"/>
      <c r="H59" s="2"/>
      <c r="I59" s="2"/>
      <c r="J59" s="2"/>
      <c r="K59" s="2"/>
      <c r="L59" s="2"/>
      <c r="M59" s="2"/>
      <c r="N59" s="2"/>
      <c r="O59" s="2" t="str">
        <f t="shared" si="1"/>
        <v>PASS</v>
      </c>
    </row>
    <row r="60" spans="1:15">
      <c r="A60" s="2"/>
      <c r="B60" s="2"/>
      <c r="C60" s="2"/>
      <c r="D60" s="2"/>
      <c r="E60" s="2"/>
      <c r="F60" s="2"/>
      <c r="G60" s="2"/>
      <c r="H60" s="2"/>
      <c r="I60" s="2"/>
      <c r="J60" s="2"/>
      <c r="K60" s="2"/>
      <c r="L60" s="2"/>
      <c r="M60" s="2"/>
      <c r="N60" s="2"/>
      <c r="O60" s="2" t="str">
        <f t="shared" si="1"/>
        <v>PASS</v>
      </c>
    </row>
    <row r="61" spans="1:15">
      <c r="A61" s="2"/>
      <c r="B61" s="2"/>
      <c r="C61" s="2"/>
      <c r="D61" s="2"/>
      <c r="E61" s="2"/>
      <c r="F61" s="2"/>
      <c r="G61" s="2"/>
      <c r="H61" s="2"/>
      <c r="I61" s="2"/>
      <c r="J61" s="2"/>
      <c r="K61" s="2"/>
      <c r="L61" s="2"/>
      <c r="M61" s="2"/>
      <c r="N61" s="2"/>
      <c r="O61" s="2" t="str">
        <f t="shared" si="1"/>
        <v>PASS</v>
      </c>
    </row>
    <row r="62" spans="1:15">
      <c r="A62" s="2"/>
      <c r="B62" s="2"/>
      <c r="C62" s="2"/>
      <c r="D62" s="2"/>
      <c r="E62" s="2"/>
      <c r="F62" s="2"/>
      <c r="G62" s="2"/>
      <c r="H62" s="2"/>
      <c r="I62" s="2"/>
      <c r="J62" s="2"/>
      <c r="K62" s="2"/>
      <c r="L62" s="2"/>
      <c r="M62" s="2"/>
      <c r="N62" s="2"/>
      <c r="O62" s="2" t="str">
        <f t="shared" si="1"/>
        <v>PASS</v>
      </c>
    </row>
    <row r="63" spans="1:15">
      <c r="A63" s="2"/>
      <c r="B63" s="2"/>
      <c r="C63" s="2"/>
      <c r="D63" s="2"/>
      <c r="E63" s="2"/>
      <c r="F63" s="2"/>
      <c r="G63" s="2"/>
      <c r="H63" s="2"/>
      <c r="I63" s="2"/>
      <c r="J63" s="2"/>
      <c r="K63" s="2"/>
      <c r="L63" s="2"/>
      <c r="M63" s="2"/>
      <c r="N63" s="2"/>
      <c r="O63" s="2" t="str">
        <f t="shared" si="1"/>
        <v>PASS</v>
      </c>
    </row>
    <row r="64" spans="1:15">
      <c r="A64" s="2"/>
      <c r="B64" s="2"/>
      <c r="C64" s="2"/>
      <c r="D64" s="2"/>
      <c r="E64" s="2"/>
      <c r="F64" s="2"/>
      <c r="G64" s="2"/>
      <c r="H64" s="2"/>
      <c r="I64" s="2"/>
      <c r="J64" s="2"/>
      <c r="K64" s="2"/>
      <c r="L64" s="2"/>
      <c r="M64" s="2"/>
      <c r="N64" s="2"/>
      <c r="O64" s="2" t="str">
        <f t="shared" si="1"/>
        <v>PASS</v>
      </c>
    </row>
    <row r="65" spans="1:15">
      <c r="A65" s="2"/>
      <c r="B65" s="2"/>
      <c r="C65" s="2"/>
      <c r="D65" s="2"/>
      <c r="E65" s="2"/>
      <c r="F65" s="2"/>
      <c r="G65" s="2"/>
      <c r="H65" s="2"/>
      <c r="I65" s="2"/>
      <c r="J65" s="2"/>
      <c r="K65" s="2"/>
      <c r="L65" s="2"/>
      <c r="M65" s="2"/>
      <c r="N65" s="2"/>
      <c r="O65" s="2" t="str">
        <f t="shared" si="1"/>
        <v>PASS</v>
      </c>
    </row>
    <row r="66" spans="1:15">
      <c r="A66" s="2"/>
      <c r="B66" s="2"/>
      <c r="C66" s="2"/>
      <c r="D66" s="2"/>
      <c r="E66" s="2"/>
      <c r="F66" s="2"/>
      <c r="G66" s="2"/>
      <c r="H66" s="2"/>
      <c r="I66" s="2"/>
      <c r="J66" s="2"/>
      <c r="K66" s="2"/>
      <c r="L66" s="2"/>
      <c r="M66" s="2"/>
      <c r="N66" s="2"/>
      <c r="O66" s="2" t="str">
        <f t="shared" si="1"/>
        <v>PASS</v>
      </c>
    </row>
    <row r="67" spans="1:15">
      <c r="A67" s="2"/>
      <c r="B67" s="2"/>
      <c r="C67" s="2"/>
      <c r="D67" s="2"/>
      <c r="E67" s="2"/>
      <c r="F67" s="2"/>
      <c r="G67" s="2"/>
      <c r="H67" s="2"/>
      <c r="I67" s="2"/>
      <c r="J67" s="2"/>
      <c r="K67" s="2"/>
      <c r="L67" s="2"/>
      <c r="M67" s="2"/>
      <c r="N67" s="2"/>
      <c r="O67" s="2" t="str">
        <f t="shared" si="1"/>
        <v>PASS</v>
      </c>
    </row>
    <row r="68" spans="1:15">
      <c r="A68" s="2"/>
      <c r="B68" s="2"/>
      <c r="C68" s="2"/>
      <c r="D68" s="2"/>
      <c r="E68" s="2"/>
      <c r="F68" s="2"/>
      <c r="G68" s="2"/>
      <c r="H68" s="2"/>
      <c r="I68" s="2"/>
      <c r="J68" s="2"/>
      <c r="K68" s="2"/>
      <c r="L68" s="2"/>
      <c r="M68" s="2"/>
      <c r="N68" s="2"/>
      <c r="O68" s="2" t="str">
        <f t="shared" si="1"/>
        <v>PASS</v>
      </c>
    </row>
    <row r="69" spans="1:15">
      <c r="A69" s="2"/>
      <c r="B69" s="2"/>
      <c r="C69" s="2"/>
      <c r="D69" s="2"/>
      <c r="E69" s="2"/>
      <c r="F69" s="2"/>
      <c r="G69" s="2"/>
      <c r="H69" s="2"/>
      <c r="I69" s="2"/>
      <c r="J69" s="2"/>
      <c r="K69" s="2"/>
      <c r="L69" s="2"/>
      <c r="M69" s="2"/>
      <c r="N69" s="2"/>
      <c r="O69" s="2" t="str">
        <f t="shared" si="1"/>
        <v>PASS</v>
      </c>
    </row>
    <row r="70" spans="1:15">
      <c r="A70" s="2"/>
      <c r="B70" s="2"/>
      <c r="C70" s="2"/>
      <c r="D70" s="2"/>
      <c r="E70" s="2"/>
      <c r="F70" s="2"/>
      <c r="G70" s="2"/>
      <c r="H70" s="2"/>
      <c r="I70" s="2"/>
      <c r="J70" s="2"/>
      <c r="K70" s="2"/>
      <c r="L70" s="2"/>
      <c r="M70" s="2"/>
      <c r="N70" s="2"/>
      <c r="O70" s="2" t="str">
        <f t="shared" si="1"/>
        <v>PASS</v>
      </c>
    </row>
    <row r="71" spans="1:15">
      <c r="A71" s="2"/>
      <c r="B71" s="2"/>
      <c r="C71" s="2"/>
      <c r="D71" s="2"/>
      <c r="E71" s="2"/>
      <c r="F71" s="2"/>
      <c r="G71" s="2"/>
      <c r="H71" s="2"/>
      <c r="I71" s="2"/>
      <c r="J71" s="2"/>
      <c r="K71" s="2"/>
      <c r="L71" s="2"/>
      <c r="M71" s="2"/>
      <c r="N71" s="2"/>
      <c r="O71" s="2" t="str">
        <f t="shared" si="1"/>
        <v>PASS</v>
      </c>
    </row>
    <row r="72" spans="1:15">
      <c r="A72" s="2"/>
      <c r="B72" s="2"/>
      <c r="C72" s="2"/>
      <c r="D72" s="2"/>
      <c r="E72" s="2"/>
      <c r="F72" s="2"/>
      <c r="G72" s="2"/>
      <c r="H72" s="2"/>
      <c r="I72" s="2"/>
      <c r="J72" s="2"/>
      <c r="K72" s="2"/>
      <c r="L72" s="2"/>
      <c r="M72" s="2"/>
      <c r="N72" s="2"/>
      <c r="O72" s="2" t="str">
        <f t="shared" si="1"/>
        <v>PASS</v>
      </c>
    </row>
    <row r="73" spans="1:15">
      <c r="A73" s="2"/>
      <c r="B73" s="2"/>
      <c r="C73" s="2"/>
      <c r="D73" s="2"/>
      <c r="E73" s="2"/>
      <c r="F73" s="2"/>
      <c r="G73" s="2"/>
      <c r="H73" s="2"/>
      <c r="I73" s="2"/>
      <c r="J73" s="2"/>
      <c r="K73" s="2"/>
      <c r="L73" s="2"/>
      <c r="M73" s="2"/>
      <c r="N73" s="2"/>
      <c r="O73" s="2" t="str">
        <f t="shared" si="1"/>
        <v>PASS</v>
      </c>
    </row>
    <row r="74" spans="1:15">
      <c r="A74" s="2"/>
      <c r="B74" s="2"/>
      <c r="C74" s="2"/>
      <c r="D74" s="2"/>
      <c r="E74" s="2"/>
      <c r="F74" s="2"/>
      <c r="G74" s="2"/>
      <c r="H74" s="2"/>
      <c r="I74" s="2"/>
      <c r="J74" s="2"/>
      <c r="K74" s="2"/>
      <c r="L74" s="2"/>
      <c r="M74" s="2"/>
      <c r="N74" s="2"/>
      <c r="O74" s="2" t="str">
        <f t="shared" si="1"/>
        <v>PASS</v>
      </c>
    </row>
    <row r="75" spans="1:15">
      <c r="A75" s="2"/>
      <c r="B75" s="2"/>
      <c r="C75" s="2"/>
      <c r="D75" s="2"/>
      <c r="E75" s="2"/>
      <c r="F75" s="2"/>
      <c r="G75" s="2"/>
      <c r="H75" s="2"/>
      <c r="I75" s="2"/>
      <c r="J75" s="2"/>
      <c r="K75" s="2"/>
      <c r="L75" s="2"/>
      <c r="M75" s="2"/>
      <c r="N75" s="2"/>
      <c r="O75" s="2" t="str">
        <f t="shared" si="1"/>
        <v>PASS</v>
      </c>
    </row>
    <row r="76" spans="1:15">
      <c r="A76" s="2"/>
      <c r="B76" s="2"/>
      <c r="C76" s="2"/>
      <c r="D76" s="2"/>
      <c r="E76" s="2"/>
      <c r="F76" s="2"/>
      <c r="G76" s="2"/>
      <c r="H76" s="2"/>
      <c r="I76" s="2"/>
      <c r="J76" s="2"/>
      <c r="K76" s="2"/>
      <c r="L76" s="2"/>
      <c r="M76" s="2"/>
      <c r="N76" s="2"/>
      <c r="O76" s="2" t="str">
        <f t="shared" si="1"/>
        <v>PASS</v>
      </c>
    </row>
    <row r="77" spans="1:15">
      <c r="A77" s="2"/>
      <c r="B77" s="2"/>
      <c r="C77" s="2"/>
      <c r="D77" s="2"/>
      <c r="E77" s="2"/>
      <c r="F77" s="2"/>
      <c r="G77" s="2"/>
      <c r="H77" s="2"/>
      <c r="I77" s="2"/>
      <c r="J77" s="2"/>
      <c r="K77" s="2"/>
      <c r="L77" s="2"/>
      <c r="M77" s="2"/>
      <c r="N77" s="2"/>
      <c r="O77" s="2" t="str">
        <f t="shared" si="1"/>
        <v>PASS</v>
      </c>
    </row>
    <row r="78" spans="1:15">
      <c r="A78" s="2"/>
      <c r="B78" s="2"/>
      <c r="C78" s="2"/>
      <c r="D78" s="2"/>
      <c r="E78" s="2"/>
      <c r="F78" s="2"/>
      <c r="G78" s="2"/>
      <c r="H78" s="2"/>
      <c r="I78" s="2"/>
      <c r="J78" s="2"/>
      <c r="K78" s="2"/>
      <c r="L78" s="2"/>
      <c r="M78" s="2"/>
      <c r="N78" s="2"/>
      <c r="O78" s="2" t="str">
        <f t="shared" ref="O78:O113" si="2">IF(OR(E78&lt;D78,F78="No",G78="No",H78="No",I78="No",J78="No",K78="No",L78="No",M78="No"),"FAIL","PASS")</f>
        <v>PASS</v>
      </c>
    </row>
    <row r="79" spans="1:15">
      <c r="A79" s="2"/>
      <c r="B79" s="2"/>
      <c r="C79" s="2"/>
      <c r="D79" s="2"/>
      <c r="E79" s="2"/>
      <c r="F79" s="2"/>
      <c r="G79" s="2"/>
      <c r="H79" s="2"/>
      <c r="I79" s="2"/>
      <c r="J79" s="2"/>
      <c r="K79" s="2"/>
      <c r="L79" s="2"/>
      <c r="M79" s="2"/>
      <c r="N79" s="2"/>
      <c r="O79" s="2" t="str">
        <f t="shared" si="2"/>
        <v>PASS</v>
      </c>
    </row>
    <row r="80" spans="1:15">
      <c r="A80" s="2"/>
      <c r="B80" s="2"/>
      <c r="C80" s="2"/>
      <c r="D80" s="2"/>
      <c r="E80" s="2"/>
      <c r="F80" s="2"/>
      <c r="G80" s="2"/>
      <c r="H80" s="2"/>
      <c r="I80" s="2"/>
      <c r="J80" s="2"/>
      <c r="K80" s="2"/>
      <c r="L80" s="2"/>
      <c r="M80" s="2"/>
      <c r="N80" s="2"/>
      <c r="O80" s="2" t="str">
        <f t="shared" si="2"/>
        <v>PASS</v>
      </c>
    </row>
    <row r="81" spans="1:15">
      <c r="A81" s="2"/>
      <c r="B81" s="2"/>
      <c r="C81" s="2"/>
      <c r="D81" s="2"/>
      <c r="E81" s="2"/>
      <c r="F81" s="2"/>
      <c r="G81" s="2"/>
      <c r="H81" s="2"/>
      <c r="I81" s="2"/>
      <c r="J81" s="2"/>
      <c r="K81" s="2"/>
      <c r="L81" s="2"/>
      <c r="M81" s="2"/>
      <c r="N81" s="2"/>
      <c r="O81" s="2" t="str">
        <f t="shared" si="2"/>
        <v>PASS</v>
      </c>
    </row>
    <row r="82" spans="1:15">
      <c r="A82" s="2"/>
      <c r="B82" s="2"/>
      <c r="C82" s="2"/>
      <c r="D82" s="2"/>
      <c r="E82" s="2"/>
      <c r="F82" s="2"/>
      <c r="G82" s="2"/>
      <c r="H82" s="2"/>
      <c r="I82" s="2"/>
      <c r="J82" s="2"/>
      <c r="K82" s="2"/>
      <c r="L82" s="2"/>
      <c r="M82" s="2"/>
      <c r="N82" s="2"/>
      <c r="O82" s="2" t="str">
        <f t="shared" si="2"/>
        <v>PASS</v>
      </c>
    </row>
    <row r="83" spans="1:15">
      <c r="A83" s="2"/>
      <c r="B83" s="2"/>
      <c r="C83" s="2"/>
      <c r="D83" s="2"/>
      <c r="E83" s="2"/>
      <c r="F83" s="2"/>
      <c r="G83" s="2"/>
      <c r="H83" s="2"/>
      <c r="I83" s="2"/>
      <c r="J83" s="2"/>
      <c r="K83" s="2"/>
      <c r="L83" s="2"/>
      <c r="M83" s="2"/>
      <c r="N83" s="2"/>
      <c r="O83" s="2" t="str">
        <f t="shared" si="2"/>
        <v>PASS</v>
      </c>
    </row>
    <row r="84" spans="1:15">
      <c r="A84" s="2"/>
      <c r="B84" s="2"/>
      <c r="C84" s="2"/>
      <c r="D84" s="2"/>
      <c r="E84" s="2"/>
      <c r="F84" s="2"/>
      <c r="G84" s="2"/>
      <c r="H84" s="2"/>
      <c r="I84" s="2"/>
      <c r="J84" s="2"/>
      <c r="K84" s="2"/>
      <c r="L84" s="2"/>
      <c r="M84" s="2"/>
      <c r="N84" s="2"/>
      <c r="O84" s="2" t="str">
        <f t="shared" si="2"/>
        <v>PASS</v>
      </c>
    </row>
    <row r="85" spans="1:15">
      <c r="A85" s="2"/>
      <c r="B85" s="2"/>
      <c r="C85" s="2"/>
      <c r="D85" s="2"/>
      <c r="E85" s="2"/>
      <c r="F85" s="2"/>
      <c r="G85" s="2"/>
      <c r="H85" s="2"/>
      <c r="I85" s="2"/>
      <c r="J85" s="2"/>
      <c r="K85" s="2"/>
      <c r="L85" s="2"/>
      <c r="M85" s="2"/>
      <c r="N85" s="2"/>
      <c r="O85" s="2" t="str">
        <f t="shared" si="2"/>
        <v>PASS</v>
      </c>
    </row>
    <row r="86" spans="1:15">
      <c r="A86" s="2"/>
      <c r="B86" s="2"/>
      <c r="C86" s="2"/>
      <c r="D86" s="2"/>
      <c r="E86" s="2"/>
      <c r="F86" s="2"/>
      <c r="G86" s="2"/>
      <c r="H86" s="2"/>
      <c r="I86" s="2"/>
      <c r="J86" s="2"/>
      <c r="K86" s="2"/>
      <c r="L86" s="2"/>
      <c r="M86" s="2"/>
      <c r="N86" s="2"/>
      <c r="O86" s="2" t="str">
        <f t="shared" si="2"/>
        <v>PASS</v>
      </c>
    </row>
    <row r="87" spans="1:15">
      <c r="A87" s="2"/>
      <c r="B87" s="2"/>
      <c r="C87" s="2"/>
      <c r="D87" s="2"/>
      <c r="E87" s="2"/>
      <c r="F87" s="2"/>
      <c r="G87" s="2"/>
      <c r="H87" s="2"/>
      <c r="I87" s="2"/>
      <c r="J87" s="2"/>
      <c r="K87" s="2"/>
      <c r="L87" s="2"/>
      <c r="M87" s="2"/>
      <c r="N87" s="2"/>
      <c r="O87" s="2" t="str">
        <f t="shared" si="2"/>
        <v>PASS</v>
      </c>
    </row>
    <row r="88" spans="1:15">
      <c r="A88" s="2"/>
      <c r="B88" s="2"/>
      <c r="C88" s="2"/>
      <c r="D88" s="2"/>
      <c r="E88" s="2"/>
      <c r="F88" s="2"/>
      <c r="G88" s="2"/>
      <c r="H88" s="2"/>
      <c r="I88" s="2"/>
      <c r="J88" s="2"/>
      <c r="K88" s="2"/>
      <c r="L88" s="2"/>
      <c r="M88" s="2"/>
      <c r="N88" s="2"/>
      <c r="O88" s="2" t="str">
        <f t="shared" si="2"/>
        <v>PASS</v>
      </c>
    </row>
    <row r="89" spans="1:15">
      <c r="A89" s="2"/>
      <c r="B89" s="2"/>
      <c r="C89" s="2"/>
      <c r="D89" s="2"/>
      <c r="E89" s="2"/>
      <c r="F89" s="2"/>
      <c r="G89" s="2"/>
      <c r="H89" s="2"/>
      <c r="I89" s="2"/>
      <c r="J89" s="2"/>
      <c r="K89" s="2"/>
      <c r="L89" s="2"/>
      <c r="M89" s="2"/>
      <c r="N89" s="2"/>
      <c r="O89" s="2" t="str">
        <f t="shared" si="2"/>
        <v>PASS</v>
      </c>
    </row>
    <row r="90" spans="1:15">
      <c r="A90" s="2"/>
      <c r="B90" s="2"/>
      <c r="C90" s="2"/>
      <c r="D90" s="2"/>
      <c r="E90" s="2"/>
      <c r="F90" s="2"/>
      <c r="G90" s="2"/>
      <c r="H90" s="2"/>
      <c r="I90" s="2"/>
      <c r="J90" s="2"/>
      <c r="K90" s="2"/>
      <c r="L90" s="2"/>
      <c r="M90" s="2"/>
      <c r="N90" s="2"/>
      <c r="O90" s="2" t="str">
        <f t="shared" si="2"/>
        <v>PASS</v>
      </c>
    </row>
    <row r="91" spans="1:15">
      <c r="A91" s="2"/>
      <c r="B91" s="2"/>
      <c r="C91" s="2"/>
      <c r="D91" s="2"/>
      <c r="E91" s="2"/>
      <c r="F91" s="2"/>
      <c r="G91" s="2"/>
      <c r="H91" s="2"/>
      <c r="I91" s="2"/>
      <c r="J91" s="2"/>
      <c r="K91" s="2"/>
      <c r="L91" s="2"/>
      <c r="M91" s="2"/>
      <c r="N91" s="2"/>
      <c r="O91" s="2" t="str">
        <f t="shared" si="2"/>
        <v>PASS</v>
      </c>
    </row>
    <row r="92" spans="1:15">
      <c r="A92" s="2"/>
      <c r="B92" s="2"/>
      <c r="C92" s="2"/>
      <c r="D92" s="2"/>
      <c r="E92" s="2"/>
      <c r="F92" s="2"/>
      <c r="G92" s="2"/>
      <c r="H92" s="2"/>
      <c r="I92" s="2"/>
      <c r="J92" s="2"/>
      <c r="K92" s="2"/>
      <c r="L92" s="2"/>
      <c r="M92" s="2"/>
      <c r="N92" s="2"/>
      <c r="O92" s="2" t="str">
        <f t="shared" si="2"/>
        <v>PASS</v>
      </c>
    </row>
    <row r="93" spans="1:15">
      <c r="A93" s="2"/>
      <c r="B93" s="2"/>
      <c r="C93" s="2"/>
      <c r="D93" s="2"/>
      <c r="E93" s="2"/>
      <c r="F93" s="2"/>
      <c r="G93" s="2"/>
      <c r="H93" s="2"/>
      <c r="I93" s="2"/>
      <c r="J93" s="2"/>
      <c r="K93" s="2"/>
      <c r="L93" s="2"/>
      <c r="M93" s="2"/>
      <c r="N93" s="2"/>
      <c r="O93" s="2" t="str">
        <f t="shared" si="2"/>
        <v>PASS</v>
      </c>
    </row>
    <row r="94" spans="1:15">
      <c r="A94" s="2"/>
      <c r="B94" s="2"/>
      <c r="C94" s="2"/>
      <c r="D94" s="2"/>
      <c r="E94" s="2"/>
      <c r="F94" s="2"/>
      <c r="G94" s="2"/>
      <c r="H94" s="2"/>
      <c r="I94" s="2"/>
      <c r="J94" s="2"/>
      <c r="K94" s="2"/>
      <c r="L94" s="2"/>
      <c r="M94" s="2"/>
      <c r="N94" s="2"/>
      <c r="O94" s="2" t="str">
        <f t="shared" si="2"/>
        <v>PASS</v>
      </c>
    </row>
    <row r="95" spans="1:15">
      <c r="A95" s="2"/>
      <c r="B95" s="2"/>
      <c r="C95" s="2"/>
      <c r="D95" s="2"/>
      <c r="E95" s="2"/>
      <c r="F95" s="2"/>
      <c r="G95" s="2"/>
      <c r="H95" s="2"/>
      <c r="I95" s="2"/>
      <c r="J95" s="2"/>
      <c r="K95" s="2"/>
      <c r="L95" s="2"/>
      <c r="M95" s="2"/>
      <c r="N95" s="2"/>
      <c r="O95" s="2" t="str">
        <f t="shared" si="2"/>
        <v>PASS</v>
      </c>
    </row>
    <row r="96" spans="1:15">
      <c r="A96" s="2"/>
      <c r="B96" s="2"/>
      <c r="C96" s="2"/>
      <c r="D96" s="2"/>
      <c r="E96" s="2"/>
      <c r="F96" s="2"/>
      <c r="G96" s="2"/>
      <c r="H96" s="2"/>
      <c r="I96" s="2"/>
      <c r="J96" s="2"/>
      <c r="K96" s="2"/>
      <c r="L96" s="2"/>
      <c r="M96" s="2"/>
      <c r="N96" s="2"/>
      <c r="O96" s="2" t="str">
        <f t="shared" si="2"/>
        <v>PASS</v>
      </c>
    </row>
    <row r="97" spans="1:15">
      <c r="A97" s="2"/>
      <c r="B97" s="2"/>
      <c r="C97" s="2"/>
      <c r="D97" s="2"/>
      <c r="E97" s="2"/>
      <c r="F97" s="2"/>
      <c r="G97" s="2"/>
      <c r="H97" s="2"/>
      <c r="I97" s="2"/>
      <c r="J97" s="2"/>
      <c r="K97" s="2"/>
      <c r="L97" s="2"/>
      <c r="M97" s="2"/>
      <c r="N97" s="2"/>
      <c r="O97" s="2" t="str">
        <f t="shared" si="2"/>
        <v>PASS</v>
      </c>
    </row>
    <row r="98" spans="1:15">
      <c r="A98" s="2"/>
      <c r="B98" s="2"/>
      <c r="C98" s="2"/>
      <c r="D98" s="2"/>
      <c r="E98" s="2"/>
      <c r="F98" s="2"/>
      <c r="G98" s="2"/>
      <c r="H98" s="2"/>
      <c r="I98" s="2"/>
      <c r="J98" s="2"/>
      <c r="K98" s="2"/>
      <c r="L98" s="2"/>
      <c r="M98" s="2"/>
      <c r="N98" s="2"/>
      <c r="O98" s="2" t="str">
        <f t="shared" si="2"/>
        <v>PASS</v>
      </c>
    </row>
    <row r="99" spans="1:15">
      <c r="A99" s="2"/>
      <c r="B99" s="2"/>
      <c r="C99" s="2"/>
      <c r="D99" s="2"/>
      <c r="E99" s="2"/>
      <c r="F99" s="2"/>
      <c r="G99" s="2"/>
      <c r="H99" s="2"/>
      <c r="I99" s="2"/>
      <c r="J99" s="2"/>
      <c r="K99" s="2"/>
      <c r="L99" s="2"/>
      <c r="M99" s="2"/>
      <c r="N99" s="2"/>
      <c r="O99" s="2" t="str">
        <f t="shared" si="2"/>
        <v>PASS</v>
      </c>
    </row>
    <row r="100" spans="1:15">
      <c r="A100" s="2"/>
      <c r="B100" s="2"/>
      <c r="C100" s="2"/>
      <c r="D100" s="2"/>
      <c r="E100" s="2"/>
      <c r="F100" s="2"/>
      <c r="G100" s="2"/>
      <c r="H100" s="2"/>
      <c r="I100" s="2"/>
      <c r="J100" s="2"/>
      <c r="K100" s="2"/>
      <c r="L100" s="2"/>
      <c r="M100" s="2"/>
      <c r="N100" s="2"/>
      <c r="O100" s="2" t="str">
        <f t="shared" si="2"/>
        <v>PASS</v>
      </c>
    </row>
    <row r="101" spans="1:15">
      <c r="A101" s="2"/>
      <c r="B101" s="2"/>
      <c r="C101" s="2"/>
      <c r="D101" s="2"/>
      <c r="E101" s="2"/>
      <c r="F101" s="2"/>
      <c r="G101" s="2"/>
      <c r="H101" s="2"/>
      <c r="I101" s="2"/>
      <c r="J101" s="2"/>
      <c r="K101" s="2"/>
      <c r="L101" s="2"/>
      <c r="M101" s="2"/>
      <c r="N101" s="2"/>
      <c r="O101" s="2" t="str">
        <f t="shared" si="2"/>
        <v>PASS</v>
      </c>
    </row>
    <row r="102" spans="1:15">
      <c r="A102" s="2"/>
      <c r="B102" s="2"/>
      <c r="C102" s="2"/>
      <c r="D102" s="2"/>
      <c r="E102" s="2"/>
      <c r="F102" s="2"/>
      <c r="G102" s="2"/>
      <c r="H102" s="2"/>
      <c r="I102" s="2"/>
      <c r="J102" s="2"/>
      <c r="K102" s="2"/>
      <c r="L102" s="2"/>
      <c r="M102" s="2"/>
      <c r="N102" s="2"/>
      <c r="O102" s="2" t="str">
        <f t="shared" si="2"/>
        <v>PASS</v>
      </c>
    </row>
    <row r="103" spans="1:15">
      <c r="A103" s="2"/>
      <c r="B103" s="2"/>
      <c r="C103" s="2"/>
      <c r="D103" s="2"/>
      <c r="E103" s="2"/>
      <c r="F103" s="2"/>
      <c r="G103" s="2"/>
      <c r="H103" s="2"/>
      <c r="I103" s="2"/>
      <c r="J103" s="2"/>
      <c r="K103" s="2"/>
      <c r="L103" s="2"/>
      <c r="M103" s="2"/>
      <c r="N103" s="2"/>
      <c r="O103" s="2" t="str">
        <f t="shared" si="2"/>
        <v>PASS</v>
      </c>
    </row>
    <row r="104" spans="1:15">
      <c r="A104" s="2"/>
      <c r="B104" s="2"/>
      <c r="C104" s="2"/>
      <c r="D104" s="2"/>
      <c r="E104" s="2"/>
      <c r="F104" s="2"/>
      <c r="G104" s="2"/>
      <c r="H104" s="2"/>
      <c r="I104" s="2"/>
      <c r="J104" s="2"/>
      <c r="K104" s="2"/>
      <c r="L104" s="2"/>
      <c r="M104" s="2"/>
      <c r="N104" s="2"/>
      <c r="O104" s="2" t="str">
        <f t="shared" si="2"/>
        <v>PASS</v>
      </c>
    </row>
    <row r="105" spans="1:15">
      <c r="A105" s="2"/>
      <c r="B105" s="2"/>
      <c r="C105" s="2"/>
      <c r="D105" s="2"/>
      <c r="E105" s="2"/>
      <c r="F105" s="2"/>
      <c r="G105" s="2"/>
      <c r="H105" s="2"/>
      <c r="I105" s="2"/>
      <c r="J105" s="2"/>
      <c r="K105" s="2"/>
      <c r="L105" s="2"/>
      <c r="M105" s="2"/>
      <c r="N105" s="2"/>
      <c r="O105" s="2" t="str">
        <f t="shared" si="2"/>
        <v>PASS</v>
      </c>
    </row>
    <row r="106" spans="1:15">
      <c r="A106" s="2"/>
      <c r="B106" s="2"/>
      <c r="C106" s="2"/>
      <c r="D106" s="2"/>
      <c r="E106" s="2"/>
      <c r="F106" s="2"/>
      <c r="G106" s="2"/>
      <c r="H106" s="2"/>
      <c r="I106" s="2"/>
      <c r="J106" s="2"/>
      <c r="K106" s="2"/>
      <c r="L106" s="2"/>
      <c r="M106" s="2"/>
      <c r="N106" s="2"/>
      <c r="O106" s="2" t="str">
        <f t="shared" si="2"/>
        <v>PASS</v>
      </c>
    </row>
    <row r="107" spans="1:15">
      <c r="A107" s="2"/>
      <c r="B107" s="2"/>
      <c r="C107" s="2"/>
      <c r="D107" s="2"/>
      <c r="E107" s="2"/>
      <c r="F107" s="2"/>
      <c r="G107" s="2"/>
      <c r="H107" s="2"/>
      <c r="I107" s="2"/>
      <c r="J107" s="2"/>
      <c r="K107" s="2"/>
      <c r="L107" s="2"/>
      <c r="M107" s="2"/>
      <c r="N107" s="2"/>
      <c r="O107" s="2" t="str">
        <f t="shared" si="2"/>
        <v>PASS</v>
      </c>
    </row>
    <row r="108" spans="1:15">
      <c r="A108" s="2"/>
      <c r="B108" s="2"/>
      <c r="C108" s="2"/>
      <c r="D108" s="2"/>
      <c r="E108" s="2"/>
      <c r="F108" s="2"/>
      <c r="G108" s="2"/>
      <c r="H108" s="2"/>
      <c r="I108" s="2"/>
      <c r="J108" s="2"/>
      <c r="K108" s="2"/>
      <c r="L108" s="2"/>
      <c r="M108" s="2"/>
      <c r="N108" s="2"/>
      <c r="O108" s="2" t="str">
        <f t="shared" si="2"/>
        <v>PASS</v>
      </c>
    </row>
    <row r="109" spans="1:15">
      <c r="A109" s="2"/>
      <c r="B109" s="2"/>
      <c r="C109" s="2"/>
      <c r="D109" s="2"/>
      <c r="E109" s="2"/>
      <c r="F109" s="2"/>
      <c r="G109" s="2"/>
      <c r="H109" s="2"/>
      <c r="I109" s="2"/>
      <c r="J109" s="2"/>
      <c r="K109" s="2"/>
      <c r="L109" s="2"/>
      <c r="M109" s="2"/>
      <c r="N109" s="2"/>
      <c r="O109" s="2" t="str">
        <f t="shared" si="2"/>
        <v>PASS</v>
      </c>
    </row>
    <row r="110" spans="1:15">
      <c r="A110" s="2"/>
      <c r="B110" s="2"/>
      <c r="C110" s="2"/>
      <c r="D110" s="2"/>
      <c r="E110" s="2"/>
      <c r="F110" s="2"/>
      <c r="G110" s="2"/>
      <c r="H110" s="2"/>
      <c r="I110" s="2"/>
      <c r="J110" s="2"/>
      <c r="K110" s="2"/>
      <c r="L110" s="2"/>
      <c r="M110" s="2"/>
      <c r="N110" s="2"/>
      <c r="O110" s="2" t="str">
        <f t="shared" si="2"/>
        <v>PASS</v>
      </c>
    </row>
    <row r="111" spans="1:15">
      <c r="A111" s="2"/>
      <c r="B111" s="2"/>
      <c r="C111" s="2"/>
      <c r="D111" s="2"/>
      <c r="E111" s="2"/>
      <c r="F111" s="2"/>
      <c r="G111" s="2"/>
      <c r="H111" s="2"/>
      <c r="I111" s="2"/>
      <c r="J111" s="2"/>
      <c r="K111" s="2"/>
      <c r="L111" s="2"/>
      <c r="M111" s="2"/>
      <c r="N111" s="2"/>
      <c r="O111" s="2" t="str">
        <f t="shared" si="2"/>
        <v>PASS</v>
      </c>
    </row>
    <row r="112" spans="1:15">
      <c r="A112" s="2"/>
      <c r="B112" s="2"/>
      <c r="C112" s="2"/>
      <c r="D112" s="2"/>
      <c r="E112" s="2"/>
      <c r="F112" s="2"/>
      <c r="G112" s="2"/>
      <c r="H112" s="2"/>
      <c r="I112" s="2"/>
      <c r="J112" s="2"/>
      <c r="K112" s="2"/>
      <c r="L112" s="2"/>
      <c r="M112" s="2"/>
      <c r="N112" s="2"/>
      <c r="O112" s="2" t="str">
        <f t="shared" si="2"/>
        <v>PASS</v>
      </c>
    </row>
    <row r="113" spans="1:15">
      <c r="A113" s="2"/>
      <c r="B113" s="2"/>
      <c r="C113" s="2"/>
      <c r="D113" s="2"/>
      <c r="E113" s="2"/>
      <c r="F113" s="2"/>
      <c r="G113" s="2"/>
      <c r="H113" s="2"/>
      <c r="I113" s="2"/>
      <c r="J113" s="2"/>
      <c r="K113" s="2"/>
      <c r="L113" s="2"/>
      <c r="M113" s="2"/>
      <c r="N113" s="2"/>
      <c r="O113" s="2" t="str">
        <f t="shared" si="2"/>
        <v>PASS</v>
      </c>
    </row>
  </sheetData>
  <mergeCells count="2">
    <mergeCell ref="A1:O1"/>
    <mergeCell ref="A2:O2"/>
  </mergeCells>
  <dataValidations count="2">
    <dataValidation type="list" sqref="B7" xr:uid="{00000000-0002-0000-2E00-000000000000}">
      <formula1>"Yes,No"</formula1>
    </dataValidation>
    <dataValidation type="list" sqref="F14:M113" xr:uid="{00000000-0002-0000-2E00-000001000000}">
      <formula1>"Yes,No,N/A"</formula1>
    </dataValidation>
  </dataValidation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K141"/>
  <sheetViews>
    <sheetView workbookViewId="0"/>
  </sheetViews>
  <sheetFormatPr defaultRowHeight="14"/>
  <cols>
    <col min="1" max="5" width="28" customWidth="1"/>
    <col min="8" max="25" width="15" customWidth="1"/>
    <col min="26" max="35" width="20" customWidth="1"/>
  </cols>
  <sheetData>
    <row r="1" spans="1:35" ht="20">
      <c r="A1" s="6" t="s">
        <v>379</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ht="14.5">
      <c r="A2" s="8" t="s">
        <v>106</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row>
    <row r="4" spans="1:35">
      <c r="A4" s="3" t="s">
        <v>107</v>
      </c>
      <c r="B4" t="s">
        <v>380</v>
      </c>
      <c r="D4" s="9" t="s">
        <v>109</v>
      </c>
      <c r="E4" s="9"/>
      <c r="F4" s="9"/>
      <c r="G4" s="9"/>
      <c r="H4" s="9"/>
    </row>
    <row r="5" spans="1:35" ht="28">
      <c r="A5" s="3" t="s">
        <v>110</v>
      </c>
      <c r="D5" s="4" t="s">
        <v>6</v>
      </c>
      <c r="E5" s="4" t="s">
        <v>111</v>
      </c>
      <c r="F5" s="4"/>
      <c r="G5" s="4"/>
      <c r="H5" s="4"/>
    </row>
    <row r="6" spans="1:35" ht="42">
      <c r="A6" s="3" t="s">
        <v>112</v>
      </c>
      <c r="D6" s="4" t="s">
        <v>12</v>
      </c>
      <c r="E6" s="4" t="s">
        <v>113</v>
      </c>
      <c r="F6" s="4"/>
      <c r="G6" s="4"/>
      <c r="H6" s="4"/>
    </row>
    <row r="7" spans="1:35" ht="42">
      <c r="A7" s="3" t="s">
        <v>114</v>
      </c>
      <c r="D7" s="4" t="s">
        <v>18</v>
      </c>
      <c r="E7" s="4" t="s">
        <v>115</v>
      </c>
      <c r="F7" s="4"/>
      <c r="G7" s="4"/>
      <c r="H7" s="4"/>
    </row>
    <row r="8" spans="1:35" ht="42">
      <c r="A8" s="3" t="s">
        <v>116</v>
      </c>
      <c r="B8">
        <f>COUNTA(A18:A117)</f>
        <v>0</v>
      </c>
      <c r="D8" s="4" t="s">
        <v>23</v>
      </c>
      <c r="E8" s="4" t="s">
        <v>117</v>
      </c>
      <c r="F8" s="4"/>
      <c r="G8" s="4"/>
      <c r="H8" s="4"/>
    </row>
    <row r="9" spans="1:35">
      <c r="A9" s="3" t="s">
        <v>6</v>
      </c>
      <c r="B9">
        <f>COUNTIF(Z18:Z117,"Low")</f>
        <v>0</v>
      </c>
    </row>
    <row r="10" spans="1:35">
      <c r="A10" s="3" t="s">
        <v>12</v>
      </c>
      <c r="B10">
        <f>COUNTIF(Z18:Z117,"Medium")</f>
        <v>0</v>
      </c>
    </row>
    <row r="11" spans="1:35">
      <c r="A11" s="3" t="s">
        <v>18</v>
      </c>
      <c r="B11">
        <f>COUNTIF(Z18:Z117,"High")</f>
        <v>0</v>
      </c>
    </row>
    <row r="12" spans="1:35">
      <c r="A12" s="3" t="s">
        <v>23</v>
      </c>
      <c r="B12">
        <f>COUNTIF(Z18:Z117,"Very High")</f>
        <v>0</v>
      </c>
    </row>
    <row r="13" spans="1:35">
      <c r="A13" s="3" t="s">
        <v>118</v>
      </c>
      <c r="B13">
        <f>COUNTIF(AD18:AD117,"Yes")</f>
        <v>0</v>
      </c>
    </row>
    <row r="14" spans="1:35">
      <c r="A14" s="3" t="s">
        <v>119</v>
      </c>
    </row>
    <row r="17" spans="1:37" ht="28">
      <c r="A17" s="1" t="s">
        <v>120</v>
      </c>
      <c r="B17" s="1" t="s">
        <v>121</v>
      </c>
      <c r="C17" s="1" t="s">
        <v>2</v>
      </c>
      <c r="D17" s="1" t="s">
        <v>75</v>
      </c>
      <c r="E17" s="1" t="s">
        <v>122</v>
      </c>
      <c r="F17" s="1" t="s">
        <v>123</v>
      </c>
      <c r="G17" s="1" t="s">
        <v>110</v>
      </c>
      <c r="H17" s="1" t="s">
        <v>124</v>
      </c>
      <c r="I17" s="1" t="s">
        <v>125</v>
      </c>
      <c r="J17" s="1" t="s">
        <v>126</v>
      </c>
      <c r="K17" s="1" t="s">
        <v>127</v>
      </c>
      <c r="L17" s="1" t="s">
        <v>128</v>
      </c>
      <c r="M17" s="1" t="s">
        <v>129</v>
      </c>
      <c r="N17" s="1" t="s">
        <v>130</v>
      </c>
      <c r="O17" s="1" t="s">
        <v>131</v>
      </c>
      <c r="P17" s="1" t="s">
        <v>132</v>
      </c>
      <c r="Q17" s="1" t="s">
        <v>133</v>
      </c>
      <c r="R17" s="1" t="s">
        <v>134</v>
      </c>
      <c r="S17" s="1" t="s">
        <v>135</v>
      </c>
      <c r="T17" s="1" t="s">
        <v>136</v>
      </c>
      <c r="U17" s="1" t="s">
        <v>137</v>
      </c>
      <c r="V17" s="1" t="s">
        <v>138</v>
      </c>
      <c r="W17" s="1" t="s">
        <v>139</v>
      </c>
      <c r="X17" s="1" t="s">
        <v>140</v>
      </c>
      <c r="Y17" s="1" t="s">
        <v>141</v>
      </c>
      <c r="Z17" s="1" t="s">
        <v>142</v>
      </c>
      <c r="AA17" s="1" t="s">
        <v>143</v>
      </c>
      <c r="AB17" s="1" t="s">
        <v>144</v>
      </c>
      <c r="AC17" s="1" t="s">
        <v>3</v>
      </c>
      <c r="AD17" s="1" t="s">
        <v>145</v>
      </c>
      <c r="AE17" s="1" t="s">
        <v>146</v>
      </c>
      <c r="AF17" s="1" t="s">
        <v>147</v>
      </c>
      <c r="AG17" s="1" t="s">
        <v>148</v>
      </c>
      <c r="AH17" s="1" t="s">
        <v>149</v>
      </c>
      <c r="AI17" s="1" t="s">
        <v>150</v>
      </c>
      <c r="AJ17" t="s">
        <v>151</v>
      </c>
      <c r="AK17" t="s">
        <v>152</v>
      </c>
    </row>
    <row r="18" spans="1:37">
      <c r="A18" s="2"/>
      <c r="B18" s="2"/>
      <c r="C18" s="2"/>
      <c r="D18" s="2"/>
      <c r="E18" s="5"/>
      <c r="F18" s="2"/>
      <c r="G18" s="5"/>
      <c r="H18" s="2"/>
      <c r="I18" s="2"/>
      <c r="J18" s="2"/>
      <c r="K18" s="2"/>
      <c r="L18" s="2"/>
      <c r="M18" s="2"/>
      <c r="N18" s="2"/>
      <c r="O18" s="2"/>
      <c r="P18" s="2"/>
      <c r="Q18" s="2"/>
      <c r="R18" s="2"/>
      <c r="S18" s="2"/>
      <c r="T18" s="2"/>
      <c r="U18" s="2"/>
      <c r="V18" s="2"/>
      <c r="W18" s="2"/>
      <c r="X18" s="2"/>
      <c r="Y18" s="2"/>
      <c r="Z18" s="2" t="str">
        <f t="shared" ref="Z18:Z49" si="0">IF(COUNTA(H18:Y18)=0,"",IF(COUNTIF(H18:Y18,"Very High")&gt;0,"Very High",IF(COUNTIF(H18:Y18,"High")&gt;0,"High",IF(COUNTIF(H18:Y18,"Medium")&gt;0,"Medium","Low"))))</f>
        <v/>
      </c>
      <c r="AA18" s="2" t="str">
        <f t="shared" ref="AA18:AA49" si="1">IF(Z18="","",IF(Z18="Low","Routine planned support",IF(Z18="Medium","One staff support/supervision likely",IF(Z18="High","Two staff/review staffing and equipment","Manager review: multiple staff/specialist support"))))</f>
        <v/>
      </c>
      <c r="AB18" s="2" t="str">
        <f t="shared" ref="AB18:AB49" si="2">IF(Z18="","",IF(OR(Z18="High",Z18="Very High",W18="High",W18="Very High"),"Night staffing and evacuation review required","Routine night checks as per care plan"))</f>
        <v/>
      </c>
      <c r="AC18" s="2" t="str">
        <f t="shared" ref="AC18:AC49" si="3">IF(X18="Very High","Specialist PEEP / equipment",IF(OR(X18="High",Z18="High"),"Evacuation sheet/chair or wheelchair per PEEP",IF(OR(X18="Medium",Z18="Medium"),"Walking aid/wheelchair support per PEEP","Walks with direction")))</f>
        <v>Walks with direction</v>
      </c>
      <c r="AD18" s="2"/>
      <c r="AE18" s="5"/>
      <c r="AF18" s="2"/>
      <c r="AG18" s="2"/>
      <c r="AH18" s="2"/>
      <c r="AI18" s="2"/>
    </row>
    <row r="19" spans="1:37">
      <c r="A19" s="2"/>
      <c r="B19" s="2"/>
      <c r="C19" s="2"/>
      <c r="D19" s="2"/>
      <c r="E19" s="5"/>
      <c r="F19" s="2"/>
      <c r="G19" s="5"/>
      <c r="H19" s="2"/>
      <c r="I19" s="2"/>
      <c r="J19" s="2"/>
      <c r="K19" s="2"/>
      <c r="L19" s="2"/>
      <c r="M19" s="2"/>
      <c r="N19" s="2"/>
      <c r="O19" s="2"/>
      <c r="P19" s="2"/>
      <c r="Q19" s="2"/>
      <c r="R19" s="2"/>
      <c r="S19" s="2"/>
      <c r="T19" s="2"/>
      <c r="U19" s="2"/>
      <c r="V19" s="2"/>
      <c r="W19" s="2"/>
      <c r="X19" s="2"/>
      <c r="Y19" s="2"/>
      <c r="Z19" s="2" t="str">
        <f t="shared" si="0"/>
        <v/>
      </c>
      <c r="AA19" s="2" t="str">
        <f t="shared" si="1"/>
        <v/>
      </c>
      <c r="AB19" s="2" t="str">
        <f t="shared" si="2"/>
        <v/>
      </c>
      <c r="AC19" s="2" t="str">
        <f t="shared" si="3"/>
        <v>Walks with direction</v>
      </c>
      <c r="AD19" s="2"/>
      <c r="AE19" s="5"/>
      <c r="AF19" s="2"/>
      <c r="AG19" s="2"/>
      <c r="AH19" s="2"/>
      <c r="AI19" s="2"/>
    </row>
    <row r="20" spans="1:37">
      <c r="A20" s="2"/>
      <c r="B20" s="2"/>
      <c r="C20" s="2"/>
      <c r="D20" s="2"/>
      <c r="E20" s="5"/>
      <c r="F20" s="2"/>
      <c r="G20" s="5"/>
      <c r="H20" s="2"/>
      <c r="I20" s="2"/>
      <c r="J20" s="2"/>
      <c r="K20" s="2"/>
      <c r="L20" s="2"/>
      <c r="M20" s="2"/>
      <c r="N20" s="2"/>
      <c r="O20" s="2"/>
      <c r="P20" s="2"/>
      <c r="Q20" s="2"/>
      <c r="R20" s="2"/>
      <c r="S20" s="2"/>
      <c r="T20" s="2"/>
      <c r="U20" s="2"/>
      <c r="V20" s="2"/>
      <c r="W20" s="2"/>
      <c r="X20" s="2"/>
      <c r="Y20" s="2"/>
      <c r="Z20" s="2" t="str">
        <f t="shared" si="0"/>
        <v/>
      </c>
      <c r="AA20" s="2" t="str">
        <f t="shared" si="1"/>
        <v/>
      </c>
      <c r="AB20" s="2" t="str">
        <f t="shared" si="2"/>
        <v/>
      </c>
      <c r="AC20" s="2" t="str">
        <f t="shared" si="3"/>
        <v>Walks with direction</v>
      </c>
      <c r="AD20" s="2"/>
      <c r="AE20" s="5"/>
      <c r="AF20" s="2"/>
      <c r="AG20" s="2"/>
      <c r="AH20" s="2"/>
      <c r="AI20" s="2"/>
    </row>
    <row r="21" spans="1:37">
      <c r="A21" s="2"/>
      <c r="B21" s="2"/>
      <c r="C21" s="2"/>
      <c r="D21" s="2"/>
      <c r="E21" s="5"/>
      <c r="F21" s="2"/>
      <c r="G21" s="5"/>
      <c r="H21" s="2"/>
      <c r="I21" s="2"/>
      <c r="J21" s="2"/>
      <c r="K21" s="2"/>
      <c r="L21" s="2"/>
      <c r="M21" s="2"/>
      <c r="N21" s="2"/>
      <c r="O21" s="2"/>
      <c r="P21" s="2"/>
      <c r="Q21" s="2"/>
      <c r="R21" s="2"/>
      <c r="S21" s="2"/>
      <c r="T21" s="2"/>
      <c r="U21" s="2"/>
      <c r="V21" s="2"/>
      <c r="W21" s="2"/>
      <c r="X21" s="2"/>
      <c r="Y21" s="2"/>
      <c r="Z21" s="2" t="str">
        <f t="shared" si="0"/>
        <v/>
      </c>
      <c r="AA21" s="2" t="str">
        <f t="shared" si="1"/>
        <v/>
      </c>
      <c r="AB21" s="2" t="str">
        <f t="shared" si="2"/>
        <v/>
      </c>
      <c r="AC21" s="2" t="str">
        <f t="shared" si="3"/>
        <v>Walks with direction</v>
      </c>
      <c r="AD21" s="2"/>
      <c r="AE21" s="5"/>
      <c r="AF21" s="2"/>
      <c r="AG21" s="2"/>
      <c r="AH21" s="2"/>
      <c r="AI21" s="2"/>
    </row>
    <row r="22" spans="1:37">
      <c r="A22" s="2"/>
      <c r="B22" s="2"/>
      <c r="C22" s="2"/>
      <c r="D22" s="2"/>
      <c r="E22" s="5"/>
      <c r="F22" s="2"/>
      <c r="G22" s="5"/>
      <c r="H22" s="2"/>
      <c r="I22" s="2"/>
      <c r="J22" s="2"/>
      <c r="K22" s="2"/>
      <c r="L22" s="2"/>
      <c r="M22" s="2"/>
      <c r="N22" s="2"/>
      <c r="O22" s="2"/>
      <c r="P22" s="2"/>
      <c r="Q22" s="2"/>
      <c r="R22" s="2"/>
      <c r="S22" s="2"/>
      <c r="T22" s="2"/>
      <c r="U22" s="2"/>
      <c r="V22" s="2"/>
      <c r="W22" s="2"/>
      <c r="X22" s="2"/>
      <c r="Y22" s="2"/>
      <c r="Z22" s="2" t="str">
        <f t="shared" si="0"/>
        <v/>
      </c>
      <c r="AA22" s="2" t="str">
        <f t="shared" si="1"/>
        <v/>
      </c>
      <c r="AB22" s="2" t="str">
        <f t="shared" si="2"/>
        <v/>
      </c>
      <c r="AC22" s="2" t="str">
        <f t="shared" si="3"/>
        <v>Walks with direction</v>
      </c>
      <c r="AD22" s="2"/>
      <c r="AE22" s="5"/>
      <c r="AF22" s="2"/>
      <c r="AG22" s="2"/>
      <c r="AH22" s="2"/>
      <c r="AI22" s="2"/>
    </row>
    <row r="23" spans="1:37">
      <c r="A23" s="2"/>
      <c r="B23" s="2"/>
      <c r="C23" s="2"/>
      <c r="D23" s="2"/>
      <c r="E23" s="5"/>
      <c r="F23" s="2"/>
      <c r="G23" s="5"/>
      <c r="H23" s="2"/>
      <c r="I23" s="2"/>
      <c r="J23" s="2"/>
      <c r="K23" s="2"/>
      <c r="L23" s="2"/>
      <c r="M23" s="2"/>
      <c r="N23" s="2"/>
      <c r="O23" s="2"/>
      <c r="P23" s="2"/>
      <c r="Q23" s="2"/>
      <c r="R23" s="2"/>
      <c r="S23" s="2"/>
      <c r="T23" s="2"/>
      <c r="U23" s="2"/>
      <c r="V23" s="2"/>
      <c r="W23" s="2"/>
      <c r="X23" s="2"/>
      <c r="Y23" s="2"/>
      <c r="Z23" s="2" t="str">
        <f t="shared" si="0"/>
        <v/>
      </c>
      <c r="AA23" s="2" t="str">
        <f t="shared" si="1"/>
        <v/>
      </c>
      <c r="AB23" s="2" t="str">
        <f t="shared" si="2"/>
        <v/>
      </c>
      <c r="AC23" s="2" t="str">
        <f t="shared" si="3"/>
        <v>Walks with direction</v>
      </c>
      <c r="AD23" s="2"/>
      <c r="AE23" s="5"/>
      <c r="AF23" s="2"/>
      <c r="AG23" s="2"/>
      <c r="AH23" s="2"/>
      <c r="AI23" s="2"/>
    </row>
    <row r="24" spans="1:37">
      <c r="A24" s="2"/>
      <c r="B24" s="2"/>
      <c r="C24" s="2"/>
      <c r="D24" s="2"/>
      <c r="E24" s="5"/>
      <c r="F24" s="2"/>
      <c r="G24" s="5"/>
      <c r="H24" s="2"/>
      <c r="I24" s="2"/>
      <c r="J24" s="2"/>
      <c r="K24" s="2"/>
      <c r="L24" s="2"/>
      <c r="M24" s="2"/>
      <c r="N24" s="2"/>
      <c r="O24" s="2"/>
      <c r="P24" s="2"/>
      <c r="Q24" s="2"/>
      <c r="R24" s="2"/>
      <c r="S24" s="2"/>
      <c r="T24" s="2"/>
      <c r="U24" s="2"/>
      <c r="V24" s="2"/>
      <c r="W24" s="2"/>
      <c r="X24" s="2"/>
      <c r="Y24" s="2"/>
      <c r="Z24" s="2" t="str">
        <f t="shared" si="0"/>
        <v/>
      </c>
      <c r="AA24" s="2" t="str">
        <f t="shared" si="1"/>
        <v/>
      </c>
      <c r="AB24" s="2" t="str">
        <f t="shared" si="2"/>
        <v/>
      </c>
      <c r="AC24" s="2" t="str">
        <f t="shared" si="3"/>
        <v>Walks with direction</v>
      </c>
      <c r="AD24" s="2"/>
      <c r="AE24" s="5"/>
      <c r="AF24" s="2"/>
      <c r="AG24" s="2"/>
      <c r="AH24" s="2"/>
      <c r="AI24" s="2"/>
    </row>
    <row r="25" spans="1:37">
      <c r="A25" s="2"/>
      <c r="B25" s="2"/>
      <c r="C25" s="2"/>
      <c r="D25" s="2"/>
      <c r="E25" s="5"/>
      <c r="F25" s="2"/>
      <c r="G25" s="5"/>
      <c r="H25" s="2"/>
      <c r="I25" s="2"/>
      <c r="J25" s="2"/>
      <c r="K25" s="2"/>
      <c r="L25" s="2"/>
      <c r="M25" s="2"/>
      <c r="N25" s="2"/>
      <c r="O25" s="2"/>
      <c r="P25" s="2"/>
      <c r="Q25" s="2"/>
      <c r="R25" s="2"/>
      <c r="S25" s="2"/>
      <c r="T25" s="2"/>
      <c r="U25" s="2"/>
      <c r="V25" s="2"/>
      <c r="W25" s="2"/>
      <c r="X25" s="2"/>
      <c r="Y25" s="2"/>
      <c r="Z25" s="2" t="str">
        <f t="shared" si="0"/>
        <v/>
      </c>
      <c r="AA25" s="2" t="str">
        <f t="shared" si="1"/>
        <v/>
      </c>
      <c r="AB25" s="2" t="str">
        <f t="shared" si="2"/>
        <v/>
      </c>
      <c r="AC25" s="2" t="str">
        <f t="shared" si="3"/>
        <v>Walks with direction</v>
      </c>
      <c r="AD25" s="2"/>
      <c r="AE25" s="5"/>
      <c r="AF25" s="2"/>
      <c r="AG25" s="2"/>
      <c r="AH25" s="2"/>
      <c r="AI25" s="2"/>
    </row>
    <row r="26" spans="1:37">
      <c r="A26" s="2"/>
      <c r="B26" s="2"/>
      <c r="C26" s="2"/>
      <c r="D26" s="2"/>
      <c r="E26" s="5"/>
      <c r="F26" s="2"/>
      <c r="G26" s="5"/>
      <c r="H26" s="2"/>
      <c r="I26" s="2"/>
      <c r="J26" s="2"/>
      <c r="K26" s="2"/>
      <c r="L26" s="2"/>
      <c r="M26" s="2"/>
      <c r="N26" s="2"/>
      <c r="O26" s="2"/>
      <c r="P26" s="2"/>
      <c r="Q26" s="2"/>
      <c r="R26" s="2"/>
      <c r="S26" s="2"/>
      <c r="T26" s="2"/>
      <c r="U26" s="2"/>
      <c r="V26" s="2"/>
      <c r="W26" s="2"/>
      <c r="X26" s="2"/>
      <c r="Y26" s="2"/>
      <c r="Z26" s="2" t="str">
        <f t="shared" si="0"/>
        <v/>
      </c>
      <c r="AA26" s="2" t="str">
        <f t="shared" si="1"/>
        <v/>
      </c>
      <c r="AB26" s="2" t="str">
        <f t="shared" si="2"/>
        <v/>
      </c>
      <c r="AC26" s="2" t="str">
        <f t="shared" si="3"/>
        <v>Walks with direction</v>
      </c>
      <c r="AD26" s="2"/>
      <c r="AE26" s="5"/>
      <c r="AF26" s="2"/>
      <c r="AG26" s="2"/>
      <c r="AH26" s="2"/>
      <c r="AI26" s="2"/>
    </row>
    <row r="27" spans="1:37">
      <c r="A27" s="2"/>
      <c r="B27" s="2"/>
      <c r="C27" s="2"/>
      <c r="D27" s="2"/>
      <c r="E27" s="5"/>
      <c r="F27" s="2"/>
      <c r="G27" s="5"/>
      <c r="H27" s="2"/>
      <c r="I27" s="2"/>
      <c r="J27" s="2"/>
      <c r="K27" s="2"/>
      <c r="L27" s="2"/>
      <c r="M27" s="2"/>
      <c r="N27" s="2"/>
      <c r="O27" s="2"/>
      <c r="P27" s="2"/>
      <c r="Q27" s="2"/>
      <c r="R27" s="2"/>
      <c r="S27" s="2"/>
      <c r="T27" s="2"/>
      <c r="U27" s="2"/>
      <c r="V27" s="2"/>
      <c r="W27" s="2"/>
      <c r="X27" s="2"/>
      <c r="Y27" s="2"/>
      <c r="Z27" s="2" t="str">
        <f t="shared" si="0"/>
        <v/>
      </c>
      <c r="AA27" s="2" t="str">
        <f t="shared" si="1"/>
        <v/>
      </c>
      <c r="AB27" s="2" t="str">
        <f t="shared" si="2"/>
        <v/>
      </c>
      <c r="AC27" s="2" t="str">
        <f t="shared" si="3"/>
        <v>Walks with direction</v>
      </c>
      <c r="AD27" s="2"/>
      <c r="AE27" s="5"/>
      <c r="AF27" s="2"/>
      <c r="AG27" s="2"/>
      <c r="AH27" s="2"/>
      <c r="AI27" s="2"/>
    </row>
    <row r="28" spans="1:37">
      <c r="A28" s="2"/>
      <c r="B28" s="2"/>
      <c r="C28" s="2"/>
      <c r="D28" s="2"/>
      <c r="E28" s="5"/>
      <c r="F28" s="2"/>
      <c r="G28" s="5"/>
      <c r="H28" s="2"/>
      <c r="I28" s="2"/>
      <c r="J28" s="2"/>
      <c r="K28" s="2"/>
      <c r="L28" s="2"/>
      <c r="M28" s="2"/>
      <c r="N28" s="2"/>
      <c r="O28" s="2"/>
      <c r="P28" s="2"/>
      <c r="Q28" s="2"/>
      <c r="R28" s="2"/>
      <c r="S28" s="2"/>
      <c r="T28" s="2"/>
      <c r="U28" s="2"/>
      <c r="V28" s="2"/>
      <c r="W28" s="2"/>
      <c r="X28" s="2"/>
      <c r="Y28" s="2"/>
      <c r="Z28" s="2" t="str">
        <f t="shared" si="0"/>
        <v/>
      </c>
      <c r="AA28" s="2" t="str">
        <f t="shared" si="1"/>
        <v/>
      </c>
      <c r="AB28" s="2" t="str">
        <f t="shared" si="2"/>
        <v/>
      </c>
      <c r="AC28" s="2" t="str">
        <f t="shared" si="3"/>
        <v>Walks with direction</v>
      </c>
      <c r="AD28" s="2"/>
      <c r="AE28" s="5"/>
      <c r="AF28" s="2"/>
      <c r="AG28" s="2"/>
      <c r="AH28" s="2"/>
      <c r="AI28" s="2"/>
    </row>
    <row r="29" spans="1:37">
      <c r="A29" s="2"/>
      <c r="B29" s="2"/>
      <c r="C29" s="2"/>
      <c r="D29" s="2"/>
      <c r="E29" s="5"/>
      <c r="F29" s="2"/>
      <c r="G29" s="5"/>
      <c r="H29" s="2"/>
      <c r="I29" s="2"/>
      <c r="J29" s="2"/>
      <c r="K29" s="2"/>
      <c r="L29" s="2"/>
      <c r="M29" s="2"/>
      <c r="N29" s="2"/>
      <c r="O29" s="2"/>
      <c r="P29" s="2"/>
      <c r="Q29" s="2"/>
      <c r="R29" s="2"/>
      <c r="S29" s="2"/>
      <c r="T29" s="2"/>
      <c r="U29" s="2"/>
      <c r="V29" s="2"/>
      <c r="W29" s="2"/>
      <c r="X29" s="2"/>
      <c r="Y29" s="2"/>
      <c r="Z29" s="2" t="str">
        <f t="shared" si="0"/>
        <v/>
      </c>
      <c r="AA29" s="2" t="str">
        <f t="shared" si="1"/>
        <v/>
      </c>
      <c r="AB29" s="2" t="str">
        <f t="shared" si="2"/>
        <v/>
      </c>
      <c r="AC29" s="2" t="str">
        <f t="shared" si="3"/>
        <v>Walks with direction</v>
      </c>
      <c r="AD29" s="2"/>
      <c r="AE29" s="5"/>
      <c r="AF29" s="2"/>
      <c r="AG29" s="2"/>
      <c r="AH29" s="2"/>
      <c r="AI29" s="2"/>
    </row>
    <row r="30" spans="1:37">
      <c r="A30" s="2"/>
      <c r="B30" s="2"/>
      <c r="C30" s="2"/>
      <c r="D30" s="2"/>
      <c r="E30" s="5"/>
      <c r="F30" s="2"/>
      <c r="G30" s="5"/>
      <c r="H30" s="2"/>
      <c r="I30" s="2"/>
      <c r="J30" s="2"/>
      <c r="K30" s="2"/>
      <c r="L30" s="2"/>
      <c r="M30" s="2"/>
      <c r="N30" s="2"/>
      <c r="O30" s="2"/>
      <c r="P30" s="2"/>
      <c r="Q30" s="2"/>
      <c r="R30" s="2"/>
      <c r="S30" s="2"/>
      <c r="T30" s="2"/>
      <c r="U30" s="2"/>
      <c r="V30" s="2"/>
      <c r="W30" s="2"/>
      <c r="X30" s="2"/>
      <c r="Y30" s="2"/>
      <c r="Z30" s="2" t="str">
        <f t="shared" si="0"/>
        <v/>
      </c>
      <c r="AA30" s="2" t="str">
        <f t="shared" si="1"/>
        <v/>
      </c>
      <c r="AB30" s="2" t="str">
        <f t="shared" si="2"/>
        <v/>
      </c>
      <c r="AC30" s="2" t="str">
        <f t="shared" si="3"/>
        <v>Walks with direction</v>
      </c>
      <c r="AD30" s="2"/>
      <c r="AE30" s="5"/>
      <c r="AF30" s="2"/>
      <c r="AG30" s="2"/>
      <c r="AH30" s="2"/>
      <c r="AI30" s="2"/>
    </row>
    <row r="31" spans="1:37">
      <c r="A31" s="2"/>
      <c r="B31" s="2"/>
      <c r="C31" s="2"/>
      <c r="D31" s="2"/>
      <c r="E31" s="5"/>
      <c r="F31" s="2"/>
      <c r="G31" s="5"/>
      <c r="H31" s="2"/>
      <c r="I31" s="2"/>
      <c r="J31" s="2"/>
      <c r="K31" s="2"/>
      <c r="L31" s="2"/>
      <c r="M31" s="2"/>
      <c r="N31" s="2"/>
      <c r="O31" s="2"/>
      <c r="P31" s="2"/>
      <c r="Q31" s="2"/>
      <c r="R31" s="2"/>
      <c r="S31" s="2"/>
      <c r="T31" s="2"/>
      <c r="U31" s="2"/>
      <c r="V31" s="2"/>
      <c r="W31" s="2"/>
      <c r="X31" s="2"/>
      <c r="Y31" s="2"/>
      <c r="Z31" s="2" t="str">
        <f t="shared" si="0"/>
        <v/>
      </c>
      <c r="AA31" s="2" t="str">
        <f t="shared" si="1"/>
        <v/>
      </c>
      <c r="AB31" s="2" t="str">
        <f t="shared" si="2"/>
        <v/>
      </c>
      <c r="AC31" s="2" t="str">
        <f t="shared" si="3"/>
        <v>Walks with direction</v>
      </c>
      <c r="AD31" s="2"/>
      <c r="AE31" s="5"/>
      <c r="AF31" s="2"/>
      <c r="AG31" s="2"/>
      <c r="AH31" s="2"/>
      <c r="AI31" s="2"/>
    </row>
    <row r="32" spans="1:37">
      <c r="A32" s="2"/>
      <c r="B32" s="2"/>
      <c r="C32" s="2"/>
      <c r="D32" s="2"/>
      <c r="E32" s="5"/>
      <c r="F32" s="2"/>
      <c r="G32" s="5"/>
      <c r="H32" s="2"/>
      <c r="I32" s="2"/>
      <c r="J32" s="2"/>
      <c r="K32" s="2"/>
      <c r="L32" s="2"/>
      <c r="M32" s="2"/>
      <c r="N32" s="2"/>
      <c r="O32" s="2"/>
      <c r="P32" s="2"/>
      <c r="Q32" s="2"/>
      <c r="R32" s="2"/>
      <c r="S32" s="2"/>
      <c r="T32" s="2"/>
      <c r="U32" s="2"/>
      <c r="V32" s="2"/>
      <c r="W32" s="2"/>
      <c r="X32" s="2"/>
      <c r="Y32" s="2"/>
      <c r="Z32" s="2" t="str">
        <f t="shared" si="0"/>
        <v/>
      </c>
      <c r="AA32" s="2" t="str">
        <f t="shared" si="1"/>
        <v/>
      </c>
      <c r="AB32" s="2" t="str">
        <f t="shared" si="2"/>
        <v/>
      </c>
      <c r="AC32" s="2" t="str">
        <f t="shared" si="3"/>
        <v>Walks with direction</v>
      </c>
      <c r="AD32" s="2"/>
      <c r="AE32" s="5"/>
      <c r="AF32" s="2"/>
      <c r="AG32" s="2"/>
      <c r="AH32" s="2"/>
      <c r="AI32" s="2"/>
    </row>
    <row r="33" spans="1:35">
      <c r="A33" s="2"/>
      <c r="B33" s="2"/>
      <c r="C33" s="2"/>
      <c r="D33" s="2"/>
      <c r="E33" s="5"/>
      <c r="F33" s="2"/>
      <c r="G33" s="5"/>
      <c r="H33" s="2"/>
      <c r="I33" s="2"/>
      <c r="J33" s="2"/>
      <c r="K33" s="2"/>
      <c r="L33" s="2"/>
      <c r="M33" s="2"/>
      <c r="N33" s="2"/>
      <c r="O33" s="2"/>
      <c r="P33" s="2"/>
      <c r="Q33" s="2"/>
      <c r="R33" s="2"/>
      <c r="S33" s="2"/>
      <c r="T33" s="2"/>
      <c r="U33" s="2"/>
      <c r="V33" s="2"/>
      <c r="W33" s="2"/>
      <c r="X33" s="2"/>
      <c r="Y33" s="2"/>
      <c r="Z33" s="2" t="str">
        <f t="shared" si="0"/>
        <v/>
      </c>
      <c r="AA33" s="2" t="str">
        <f t="shared" si="1"/>
        <v/>
      </c>
      <c r="AB33" s="2" t="str">
        <f t="shared" si="2"/>
        <v/>
      </c>
      <c r="AC33" s="2" t="str">
        <f t="shared" si="3"/>
        <v>Walks with direction</v>
      </c>
      <c r="AD33" s="2"/>
      <c r="AE33" s="5"/>
      <c r="AF33" s="2"/>
      <c r="AG33" s="2"/>
      <c r="AH33" s="2"/>
      <c r="AI33" s="2"/>
    </row>
    <row r="34" spans="1:35">
      <c r="A34" s="2"/>
      <c r="B34" s="2"/>
      <c r="C34" s="2"/>
      <c r="D34" s="2"/>
      <c r="E34" s="5"/>
      <c r="F34" s="2"/>
      <c r="G34" s="5"/>
      <c r="H34" s="2"/>
      <c r="I34" s="2"/>
      <c r="J34" s="2"/>
      <c r="K34" s="2"/>
      <c r="L34" s="2"/>
      <c r="M34" s="2"/>
      <c r="N34" s="2"/>
      <c r="O34" s="2"/>
      <c r="P34" s="2"/>
      <c r="Q34" s="2"/>
      <c r="R34" s="2"/>
      <c r="S34" s="2"/>
      <c r="T34" s="2"/>
      <c r="U34" s="2"/>
      <c r="V34" s="2"/>
      <c r="W34" s="2"/>
      <c r="X34" s="2"/>
      <c r="Y34" s="2"/>
      <c r="Z34" s="2" t="str">
        <f t="shared" si="0"/>
        <v/>
      </c>
      <c r="AA34" s="2" t="str">
        <f t="shared" si="1"/>
        <v/>
      </c>
      <c r="AB34" s="2" t="str">
        <f t="shared" si="2"/>
        <v/>
      </c>
      <c r="AC34" s="2" t="str">
        <f t="shared" si="3"/>
        <v>Walks with direction</v>
      </c>
      <c r="AD34" s="2"/>
      <c r="AE34" s="5"/>
      <c r="AF34" s="2"/>
      <c r="AG34" s="2"/>
      <c r="AH34" s="2"/>
      <c r="AI34" s="2"/>
    </row>
    <row r="35" spans="1:35">
      <c r="A35" s="2"/>
      <c r="B35" s="2"/>
      <c r="C35" s="2"/>
      <c r="D35" s="2"/>
      <c r="E35" s="5"/>
      <c r="F35" s="2"/>
      <c r="G35" s="5"/>
      <c r="H35" s="2"/>
      <c r="I35" s="2"/>
      <c r="J35" s="2"/>
      <c r="K35" s="2"/>
      <c r="L35" s="2"/>
      <c r="M35" s="2"/>
      <c r="N35" s="2"/>
      <c r="O35" s="2"/>
      <c r="P35" s="2"/>
      <c r="Q35" s="2"/>
      <c r="R35" s="2"/>
      <c r="S35" s="2"/>
      <c r="T35" s="2"/>
      <c r="U35" s="2"/>
      <c r="V35" s="2"/>
      <c r="W35" s="2"/>
      <c r="X35" s="2"/>
      <c r="Y35" s="2"/>
      <c r="Z35" s="2" t="str">
        <f t="shared" si="0"/>
        <v/>
      </c>
      <c r="AA35" s="2" t="str">
        <f t="shared" si="1"/>
        <v/>
      </c>
      <c r="AB35" s="2" t="str">
        <f t="shared" si="2"/>
        <v/>
      </c>
      <c r="AC35" s="2" t="str">
        <f t="shared" si="3"/>
        <v>Walks with direction</v>
      </c>
      <c r="AD35" s="2"/>
      <c r="AE35" s="5"/>
      <c r="AF35" s="2"/>
      <c r="AG35" s="2"/>
      <c r="AH35" s="2"/>
      <c r="AI35" s="2"/>
    </row>
    <row r="36" spans="1:35">
      <c r="A36" s="2"/>
      <c r="B36" s="2"/>
      <c r="C36" s="2"/>
      <c r="D36" s="2"/>
      <c r="E36" s="5"/>
      <c r="F36" s="2"/>
      <c r="G36" s="5"/>
      <c r="H36" s="2"/>
      <c r="I36" s="2"/>
      <c r="J36" s="2"/>
      <c r="K36" s="2"/>
      <c r="L36" s="2"/>
      <c r="M36" s="2"/>
      <c r="N36" s="2"/>
      <c r="O36" s="2"/>
      <c r="P36" s="2"/>
      <c r="Q36" s="2"/>
      <c r="R36" s="2"/>
      <c r="S36" s="2"/>
      <c r="T36" s="2"/>
      <c r="U36" s="2"/>
      <c r="V36" s="2"/>
      <c r="W36" s="2"/>
      <c r="X36" s="2"/>
      <c r="Y36" s="2"/>
      <c r="Z36" s="2" t="str">
        <f t="shared" si="0"/>
        <v/>
      </c>
      <c r="AA36" s="2" t="str">
        <f t="shared" si="1"/>
        <v/>
      </c>
      <c r="AB36" s="2" t="str">
        <f t="shared" si="2"/>
        <v/>
      </c>
      <c r="AC36" s="2" t="str">
        <f t="shared" si="3"/>
        <v>Walks with direction</v>
      </c>
      <c r="AD36" s="2"/>
      <c r="AE36" s="5"/>
      <c r="AF36" s="2"/>
      <c r="AG36" s="2"/>
      <c r="AH36" s="2"/>
      <c r="AI36" s="2"/>
    </row>
    <row r="37" spans="1:35">
      <c r="A37" s="2"/>
      <c r="B37" s="2"/>
      <c r="C37" s="2"/>
      <c r="D37" s="2"/>
      <c r="E37" s="5"/>
      <c r="F37" s="2"/>
      <c r="G37" s="5"/>
      <c r="H37" s="2"/>
      <c r="I37" s="2"/>
      <c r="J37" s="2"/>
      <c r="K37" s="2"/>
      <c r="L37" s="2"/>
      <c r="M37" s="2"/>
      <c r="N37" s="2"/>
      <c r="O37" s="2"/>
      <c r="P37" s="2"/>
      <c r="Q37" s="2"/>
      <c r="R37" s="2"/>
      <c r="S37" s="2"/>
      <c r="T37" s="2"/>
      <c r="U37" s="2"/>
      <c r="V37" s="2"/>
      <c r="W37" s="2"/>
      <c r="X37" s="2"/>
      <c r="Y37" s="2"/>
      <c r="Z37" s="2" t="str">
        <f t="shared" si="0"/>
        <v/>
      </c>
      <c r="AA37" s="2" t="str">
        <f t="shared" si="1"/>
        <v/>
      </c>
      <c r="AB37" s="2" t="str">
        <f t="shared" si="2"/>
        <v/>
      </c>
      <c r="AC37" s="2" t="str">
        <f t="shared" si="3"/>
        <v>Walks with direction</v>
      </c>
      <c r="AD37" s="2"/>
      <c r="AE37" s="5"/>
      <c r="AF37" s="2"/>
      <c r="AG37" s="2"/>
      <c r="AH37" s="2"/>
      <c r="AI37" s="2"/>
    </row>
    <row r="38" spans="1:35">
      <c r="A38" s="2"/>
      <c r="B38" s="2"/>
      <c r="C38" s="2"/>
      <c r="D38" s="2"/>
      <c r="E38" s="5"/>
      <c r="F38" s="2"/>
      <c r="G38" s="5"/>
      <c r="H38" s="2"/>
      <c r="I38" s="2"/>
      <c r="J38" s="2"/>
      <c r="K38" s="2"/>
      <c r="L38" s="2"/>
      <c r="M38" s="2"/>
      <c r="N38" s="2"/>
      <c r="O38" s="2"/>
      <c r="P38" s="2"/>
      <c r="Q38" s="2"/>
      <c r="R38" s="2"/>
      <c r="S38" s="2"/>
      <c r="T38" s="2"/>
      <c r="U38" s="2"/>
      <c r="V38" s="2"/>
      <c r="W38" s="2"/>
      <c r="X38" s="2"/>
      <c r="Y38" s="2"/>
      <c r="Z38" s="2" t="str">
        <f t="shared" si="0"/>
        <v/>
      </c>
      <c r="AA38" s="2" t="str">
        <f t="shared" si="1"/>
        <v/>
      </c>
      <c r="AB38" s="2" t="str">
        <f t="shared" si="2"/>
        <v/>
      </c>
      <c r="AC38" s="2" t="str">
        <f t="shared" si="3"/>
        <v>Walks with direction</v>
      </c>
      <c r="AD38" s="2"/>
      <c r="AE38" s="5"/>
      <c r="AF38" s="2"/>
      <c r="AG38" s="2"/>
      <c r="AH38" s="2"/>
      <c r="AI38" s="2"/>
    </row>
    <row r="39" spans="1:35">
      <c r="A39" s="2"/>
      <c r="B39" s="2"/>
      <c r="C39" s="2"/>
      <c r="D39" s="2"/>
      <c r="E39" s="5"/>
      <c r="F39" s="2"/>
      <c r="G39" s="5"/>
      <c r="H39" s="2"/>
      <c r="I39" s="2"/>
      <c r="J39" s="2"/>
      <c r="K39" s="2"/>
      <c r="L39" s="2"/>
      <c r="M39" s="2"/>
      <c r="N39" s="2"/>
      <c r="O39" s="2"/>
      <c r="P39" s="2"/>
      <c r="Q39" s="2"/>
      <c r="R39" s="2"/>
      <c r="S39" s="2"/>
      <c r="T39" s="2"/>
      <c r="U39" s="2"/>
      <c r="V39" s="2"/>
      <c r="W39" s="2"/>
      <c r="X39" s="2"/>
      <c r="Y39" s="2"/>
      <c r="Z39" s="2" t="str">
        <f t="shared" si="0"/>
        <v/>
      </c>
      <c r="AA39" s="2" t="str">
        <f t="shared" si="1"/>
        <v/>
      </c>
      <c r="AB39" s="2" t="str">
        <f t="shared" si="2"/>
        <v/>
      </c>
      <c r="AC39" s="2" t="str">
        <f t="shared" si="3"/>
        <v>Walks with direction</v>
      </c>
      <c r="AD39" s="2"/>
      <c r="AE39" s="5"/>
      <c r="AF39" s="2"/>
      <c r="AG39" s="2"/>
      <c r="AH39" s="2"/>
      <c r="AI39" s="2"/>
    </row>
    <row r="40" spans="1:35">
      <c r="A40" s="2"/>
      <c r="B40" s="2"/>
      <c r="C40" s="2"/>
      <c r="D40" s="2"/>
      <c r="E40" s="5"/>
      <c r="F40" s="2"/>
      <c r="G40" s="5"/>
      <c r="H40" s="2"/>
      <c r="I40" s="2"/>
      <c r="J40" s="2"/>
      <c r="K40" s="2"/>
      <c r="L40" s="2"/>
      <c r="M40" s="2"/>
      <c r="N40" s="2"/>
      <c r="O40" s="2"/>
      <c r="P40" s="2"/>
      <c r="Q40" s="2"/>
      <c r="R40" s="2"/>
      <c r="S40" s="2"/>
      <c r="T40" s="2"/>
      <c r="U40" s="2"/>
      <c r="V40" s="2"/>
      <c r="W40" s="2"/>
      <c r="X40" s="2"/>
      <c r="Y40" s="2"/>
      <c r="Z40" s="2" t="str">
        <f t="shared" si="0"/>
        <v/>
      </c>
      <c r="AA40" s="2" t="str">
        <f t="shared" si="1"/>
        <v/>
      </c>
      <c r="AB40" s="2" t="str">
        <f t="shared" si="2"/>
        <v/>
      </c>
      <c r="AC40" s="2" t="str">
        <f t="shared" si="3"/>
        <v>Walks with direction</v>
      </c>
      <c r="AD40" s="2"/>
      <c r="AE40" s="5"/>
      <c r="AF40" s="2"/>
      <c r="AG40" s="2"/>
      <c r="AH40" s="2"/>
      <c r="AI40" s="2"/>
    </row>
    <row r="41" spans="1:35">
      <c r="A41" s="2"/>
      <c r="B41" s="2"/>
      <c r="C41" s="2"/>
      <c r="D41" s="2"/>
      <c r="E41" s="5"/>
      <c r="F41" s="2"/>
      <c r="G41" s="5"/>
      <c r="H41" s="2"/>
      <c r="I41" s="2"/>
      <c r="J41" s="2"/>
      <c r="K41" s="2"/>
      <c r="L41" s="2"/>
      <c r="M41" s="2"/>
      <c r="N41" s="2"/>
      <c r="O41" s="2"/>
      <c r="P41" s="2"/>
      <c r="Q41" s="2"/>
      <c r="R41" s="2"/>
      <c r="S41" s="2"/>
      <c r="T41" s="2"/>
      <c r="U41" s="2"/>
      <c r="V41" s="2"/>
      <c r="W41" s="2"/>
      <c r="X41" s="2"/>
      <c r="Y41" s="2"/>
      <c r="Z41" s="2" t="str">
        <f t="shared" si="0"/>
        <v/>
      </c>
      <c r="AA41" s="2" t="str">
        <f t="shared" si="1"/>
        <v/>
      </c>
      <c r="AB41" s="2" t="str">
        <f t="shared" si="2"/>
        <v/>
      </c>
      <c r="AC41" s="2" t="str">
        <f t="shared" si="3"/>
        <v>Walks with direction</v>
      </c>
      <c r="AD41" s="2"/>
      <c r="AE41" s="5"/>
      <c r="AF41" s="2"/>
      <c r="AG41" s="2"/>
      <c r="AH41" s="2"/>
      <c r="AI41" s="2"/>
    </row>
    <row r="42" spans="1:35">
      <c r="A42" s="2"/>
      <c r="B42" s="2"/>
      <c r="C42" s="2"/>
      <c r="D42" s="2"/>
      <c r="E42" s="5"/>
      <c r="F42" s="2"/>
      <c r="G42" s="5"/>
      <c r="H42" s="2"/>
      <c r="I42" s="2"/>
      <c r="J42" s="2"/>
      <c r="K42" s="2"/>
      <c r="L42" s="2"/>
      <c r="M42" s="2"/>
      <c r="N42" s="2"/>
      <c r="O42" s="2"/>
      <c r="P42" s="2"/>
      <c r="Q42" s="2"/>
      <c r="R42" s="2"/>
      <c r="S42" s="2"/>
      <c r="T42" s="2"/>
      <c r="U42" s="2"/>
      <c r="V42" s="2"/>
      <c r="W42" s="2"/>
      <c r="X42" s="2"/>
      <c r="Y42" s="2"/>
      <c r="Z42" s="2" t="str">
        <f t="shared" si="0"/>
        <v/>
      </c>
      <c r="AA42" s="2" t="str">
        <f t="shared" si="1"/>
        <v/>
      </c>
      <c r="AB42" s="2" t="str">
        <f t="shared" si="2"/>
        <v/>
      </c>
      <c r="AC42" s="2" t="str">
        <f t="shared" si="3"/>
        <v>Walks with direction</v>
      </c>
      <c r="AD42" s="2"/>
      <c r="AE42" s="5"/>
      <c r="AF42" s="2"/>
      <c r="AG42" s="2"/>
      <c r="AH42" s="2"/>
      <c r="AI42" s="2"/>
    </row>
    <row r="43" spans="1:35">
      <c r="A43" s="2"/>
      <c r="B43" s="2"/>
      <c r="C43" s="2"/>
      <c r="D43" s="2"/>
      <c r="E43" s="5"/>
      <c r="F43" s="2"/>
      <c r="G43" s="5"/>
      <c r="H43" s="2"/>
      <c r="I43" s="2"/>
      <c r="J43" s="2"/>
      <c r="K43" s="2"/>
      <c r="L43" s="2"/>
      <c r="M43" s="2"/>
      <c r="N43" s="2"/>
      <c r="O43" s="2"/>
      <c r="P43" s="2"/>
      <c r="Q43" s="2"/>
      <c r="R43" s="2"/>
      <c r="S43" s="2"/>
      <c r="T43" s="2"/>
      <c r="U43" s="2"/>
      <c r="V43" s="2"/>
      <c r="W43" s="2"/>
      <c r="X43" s="2"/>
      <c r="Y43" s="2"/>
      <c r="Z43" s="2" t="str">
        <f t="shared" si="0"/>
        <v/>
      </c>
      <c r="AA43" s="2" t="str">
        <f t="shared" si="1"/>
        <v/>
      </c>
      <c r="AB43" s="2" t="str">
        <f t="shared" si="2"/>
        <v/>
      </c>
      <c r="AC43" s="2" t="str">
        <f t="shared" si="3"/>
        <v>Walks with direction</v>
      </c>
      <c r="AD43" s="2"/>
      <c r="AE43" s="5"/>
      <c r="AF43" s="2"/>
      <c r="AG43" s="2"/>
      <c r="AH43" s="2"/>
      <c r="AI43" s="2"/>
    </row>
    <row r="44" spans="1:35">
      <c r="A44" s="2"/>
      <c r="B44" s="2"/>
      <c r="C44" s="2"/>
      <c r="D44" s="2"/>
      <c r="E44" s="5"/>
      <c r="F44" s="2"/>
      <c r="G44" s="5"/>
      <c r="H44" s="2"/>
      <c r="I44" s="2"/>
      <c r="J44" s="2"/>
      <c r="K44" s="2"/>
      <c r="L44" s="2"/>
      <c r="M44" s="2"/>
      <c r="N44" s="2"/>
      <c r="O44" s="2"/>
      <c r="P44" s="2"/>
      <c r="Q44" s="2"/>
      <c r="R44" s="2"/>
      <c r="S44" s="2"/>
      <c r="T44" s="2"/>
      <c r="U44" s="2"/>
      <c r="V44" s="2"/>
      <c r="W44" s="2"/>
      <c r="X44" s="2"/>
      <c r="Y44" s="2"/>
      <c r="Z44" s="2" t="str">
        <f t="shared" si="0"/>
        <v/>
      </c>
      <c r="AA44" s="2" t="str">
        <f t="shared" si="1"/>
        <v/>
      </c>
      <c r="AB44" s="2" t="str">
        <f t="shared" si="2"/>
        <v/>
      </c>
      <c r="AC44" s="2" t="str">
        <f t="shared" si="3"/>
        <v>Walks with direction</v>
      </c>
      <c r="AD44" s="2"/>
      <c r="AE44" s="5"/>
      <c r="AF44" s="2"/>
      <c r="AG44" s="2"/>
      <c r="AH44" s="2"/>
      <c r="AI44" s="2"/>
    </row>
    <row r="45" spans="1:35">
      <c r="A45" s="2"/>
      <c r="B45" s="2"/>
      <c r="C45" s="2"/>
      <c r="D45" s="2"/>
      <c r="E45" s="5"/>
      <c r="F45" s="2"/>
      <c r="G45" s="5"/>
      <c r="H45" s="2"/>
      <c r="I45" s="2"/>
      <c r="J45" s="2"/>
      <c r="K45" s="2"/>
      <c r="L45" s="2"/>
      <c r="M45" s="2"/>
      <c r="N45" s="2"/>
      <c r="O45" s="2"/>
      <c r="P45" s="2"/>
      <c r="Q45" s="2"/>
      <c r="R45" s="2"/>
      <c r="S45" s="2"/>
      <c r="T45" s="2"/>
      <c r="U45" s="2"/>
      <c r="V45" s="2"/>
      <c r="W45" s="2"/>
      <c r="X45" s="2"/>
      <c r="Y45" s="2"/>
      <c r="Z45" s="2" t="str">
        <f t="shared" si="0"/>
        <v/>
      </c>
      <c r="AA45" s="2" t="str">
        <f t="shared" si="1"/>
        <v/>
      </c>
      <c r="AB45" s="2" t="str">
        <f t="shared" si="2"/>
        <v/>
      </c>
      <c r="AC45" s="2" t="str">
        <f t="shared" si="3"/>
        <v>Walks with direction</v>
      </c>
      <c r="AD45" s="2"/>
      <c r="AE45" s="5"/>
      <c r="AF45" s="2"/>
      <c r="AG45" s="2"/>
      <c r="AH45" s="2"/>
      <c r="AI45" s="2"/>
    </row>
    <row r="46" spans="1:35">
      <c r="A46" s="2"/>
      <c r="B46" s="2"/>
      <c r="C46" s="2"/>
      <c r="D46" s="2"/>
      <c r="E46" s="5"/>
      <c r="F46" s="2"/>
      <c r="G46" s="5"/>
      <c r="H46" s="2"/>
      <c r="I46" s="2"/>
      <c r="J46" s="2"/>
      <c r="K46" s="2"/>
      <c r="L46" s="2"/>
      <c r="M46" s="2"/>
      <c r="N46" s="2"/>
      <c r="O46" s="2"/>
      <c r="P46" s="2"/>
      <c r="Q46" s="2"/>
      <c r="R46" s="2"/>
      <c r="S46" s="2"/>
      <c r="T46" s="2"/>
      <c r="U46" s="2"/>
      <c r="V46" s="2"/>
      <c r="W46" s="2"/>
      <c r="X46" s="2"/>
      <c r="Y46" s="2"/>
      <c r="Z46" s="2" t="str">
        <f t="shared" si="0"/>
        <v/>
      </c>
      <c r="AA46" s="2" t="str">
        <f t="shared" si="1"/>
        <v/>
      </c>
      <c r="AB46" s="2" t="str">
        <f t="shared" si="2"/>
        <v/>
      </c>
      <c r="AC46" s="2" t="str">
        <f t="shared" si="3"/>
        <v>Walks with direction</v>
      </c>
      <c r="AD46" s="2"/>
      <c r="AE46" s="5"/>
      <c r="AF46" s="2"/>
      <c r="AG46" s="2"/>
      <c r="AH46" s="2"/>
      <c r="AI46" s="2"/>
    </row>
    <row r="47" spans="1:35">
      <c r="A47" s="2"/>
      <c r="B47" s="2"/>
      <c r="C47" s="2"/>
      <c r="D47" s="2"/>
      <c r="E47" s="5"/>
      <c r="F47" s="2"/>
      <c r="G47" s="5"/>
      <c r="H47" s="2"/>
      <c r="I47" s="2"/>
      <c r="J47" s="2"/>
      <c r="K47" s="2"/>
      <c r="L47" s="2"/>
      <c r="M47" s="2"/>
      <c r="N47" s="2"/>
      <c r="O47" s="2"/>
      <c r="P47" s="2"/>
      <c r="Q47" s="2"/>
      <c r="R47" s="2"/>
      <c r="S47" s="2"/>
      <c r="T47" s="2"/>
      <c r="U47" s="2"/>
      <c r="V47" s="2"/>
      <c r="W47" s="2"/>
      <c r="X47" s="2"/>
      <c r="Y47" s="2"/>
      <c r="Z47" s="2" t="str">
        <f t="shared" si="0"/>
        <v/>
      </c>
      <c r="AA47" s="2" t="str">
        <f t="shared" si="1"/>
        <v/>
      </c>
      <c r="AB47" s="2" t="str">
        <f t="shared" si="2"/>
        <v/>
      </c>
      <c r="AC47" s="2" t="str">
        <f t="shared" si="3"/>
        <v>Walks with direction</v>
      </c>
      <c r="AD47" s="2"/>
      <c r="AE47" s="5"/>
      <c r="AF47" s="2"/>
      <c r="AG47" s="2"/>
      <c r="AH47" s="2"/>
      <c r="AI47" s="2"/>
    </row>
    <row r="48" spans="1:35">
      <c r="A48" s="2"/>
      <c r="B48" s="2"/>
      <c r="C48" s="2"/>
      <c r="D48" s="2"/>
      <c r="E48" s="5"/>
      <c r="F48" s="2"/>
      <c r="G48" s="5"/>
      <c r="H48" s="2"/>
      <c r="I48" s="2"/>
      <c r="J48" s="2"/>
      <c r="K48" s="2"/>
      <c r="L48" s="2"/>
      <c r="M48" s="2"/>
      <c r="N48" s="2"/>
      <c r="O48" s="2"/>
      <c r="P48" s="2"/>
      <c r="Q48" s="2"/>
      <c r="R48" s="2"/>
      <c r="S48" s="2"/>
      <c r="T48" s="2"/>
      <c r="U48" s="2"/>
      <c r="V48" s="2"/>
      <c r="W48" s="2"/>
      <c r="X48" s="2"/>
      <c r="Y48" s="2"/>
      <c r="Z48" s="2" t="str">
        <f t="shared" si="0"/>
        <v/>
      </c>
      <c r="AA48" s="2" t="str">
        <f t="shared" si="1"/>
        <v/>
      </c>
      <c r="AB48" s="2" t="str">
        <f t="shared" si="2"/>
        <v/>
      </c>
      <c r="AC48" s="2" t="str">
        <f t="shared" si="3"/>
        <v>Walks with direction</v>
      </c>
      <c r="AD48" s="2"/>
      <c r="AE48" s="5"/>
      <c r="AF48" s="2"/>
      <c r="AG48" s="2"/>
      <c r="AH48" s="2"/>
      <c r="AI48" s="2"/>
    </row>
    <row r="49" spans="1:35">
      <c r="A49" s="2"/>
      <c r="B49" s="2"/>
      <c r="C49" s="2"/>
      <c r="D49" s="2"/>
      <c r="E49" s="5"/>
      <c r="F49" s="2"/>
      <c r="G49" s="5"/>
      <c r="H49" s="2"/>
      <c r="I49" s="2"/>
      <c r="J49" s="2"/>
      <c r="K49" s="2"/>
      <c r="L49" s="2"/>
      <c r="M49" s="2"/>
      <c r="N49" s="2"/>
      <c r="O49" s="2"/>
      <c r="P49" s="2"/>
      <c r="Q49" s="2"/>
      <c r="R49" s="2"/>
      <c r="S49" s="2"/>
      <c r="T49" s="2"/>
      <c r="U49" s="2"/>
      <c r="V49" s="2"/>
      <c r="W49" s="2"/>
      <c r="X49" s="2"/>
      <c r="Y49" s="2"/>
      <c r="Z49" s="2" t="str">
        <f t="shared" si="0"/>
        <v/>
      </c>
      <c r="AA49" s="2" t="str">
        <f t="shared" si="1"/>
        <v/>
      </c>
      <c r="AB49" s="2" t="str">
        <f t="shared" si="2"/>
        <v/>
      </c>
      <c r="AC49" s="2" t="str">
        <f t="shared" si="3"/>
        <v>Walks with direction</v>
      </c>
      <c r="AD49" s="2"/>
      <c r="AE49" s="5"/>
      <c r="AF49" s="2"/>
      <c r="AG49" s="2"/>
      <c r="AH49" s="2"/>
      <c r="AI49" s="2"/>
    </row>
    <row r="50" spans="1:35">
      <c r="A50" s="2"/>
      <c r="B50" s="2"/>
      <c r="C50" s="2"/>
      <c r="D50" s="2"/>
      <c r="E50" s="5"/>
      <c r="F50" s="2"/>
      <c r="G50" s="5"/>
      <c r="H50" s="2"/>
      <c r="I50" s="2"/>
      <c r="J50" s="2"/>
      <c r="K50" s="2"/>
      <c r="L50" s="2"/>
      <c r="M50" s="2"/>
      <c r="N50" s="2"/>
      <c r="O50" s="2"/>
      <c r="P50" s="2"/>
      <c r="Q50" s="2"/>
      <c r="R50" s="2"/>
      <c r="S50" s="2"/>
      <c r="T50" s="2"/>
      <c r="U50" s="2"/>
      <c r="V50" s="2"/>
      <c r="W50" s="2"/>
      <c r="X50" s="2"/>
      <c r="Y50" s="2"/>
      <c r="Z50" s="2" t="str">
        <f t="shared" ref="Z50:Z81" si="4">IF(COUNTA(H50:Y50)=0,"",IF(COUNTIF(H50:Y50,"Very High")&gt;0,"Very High",IF(COUNTIF(H50:Y50,"High")&gt;0,"High",IF(COUNTIF(H50:Y50,"Medium")&gt;0,"Medium","Low"))))</f>
        <v/>
      </c>
      <c r="AA50" s="2" t="str">
        <f t="shared" ref="AA50:AA81" si="5">IF(Z50="","",IF(Z50="Low","Routine planned support",IF(Z50="Medium","One staff support/supervision likely",IF(Z50="High","Two staff/review staffing and equipment","Manager review: multiple staff/specialist support"))))</f>
        <v/>
      </c>
      <c r="AB50" s="2" t="str">
        <f t="shared" ref="AB50:AB81" si="6">IF(Z50="","",IF(OR(Z50="High",Z50="Very High",W50="High",W50="Very High"),"Night staffing and evacuation review required","Routine night checks as per care plan"))</f>
        <v/>
      </c>
      <c r="AC50" s="2" t="str">
        <f t="shared" ref="AC50:AC81" si="7">IF(X50="Very High","Specialist PEEP / equipment",IF(OR(X50="High",Z50="High"),"Evacuation sheet/chair or wheelchair per PEEP",IF(OR(X50="Medium",Z50="Medium"),"Walking aid/wheelchair support per PEEP","Walks with direction")))</f>
        <v>Walks with direction</v>
      </c>
      <c r="AD50" s="2"/>
      <c r="AE50" s="5"/>
      <c r="AF50" s="2"/>
      <c r="AG50" s="2"/>
      <c r="AH50" s="2"/>
      <c r="AI50" s="2"/>
    </row>
    <row r="51" spans="1:35">
      <c r="A51" s="2"/>
      <c r="B51" s="2"/>
      <c r="C51" s="2"/>
      <c r="D51" s="2"/>
      <c r="E51" s="5"/>
      <c r="F51" s="2"/>
      <c r="G51" s="5"/>
      <c r="H51" s="2"/>
      <c r="I51" s="2"/>
      <c r="J51" s="2"/>
      <c r="K51" s="2"/>
      <c r="L51" s="2"/>
      <c r="M51" s="2"/>
      <c r="N51" s="2"/>
      <c r="O51" s="2"/>
      <c r="P51" s="2"/>
      <c r="Q51" s="2"/>
      <c r="R51" s="2"/>
      <c r="S51" s="2"/>
      <c r="T51" s="2"/>
      <c r="U51" s="2"/>
      <c r="V51" s="2"/>
      <c r="W51" s="2"/>
      <c r="X51" s="2"/>
      <c r="Y51" s="2"/>
      <c r="Z51" s="2" t="str">
        <f t="shared" si="4"/>
        <v/>
      </c>
      <c r="AA51" s="2" t="str">
        <f t="shared" si="5"/>
        <v/>
      </c>
      <c r="AB51" s="2" t="str">
        <f t="shared" si="6"/>
        <v/>
      </c>
      <c r="AC51" s="2" t="str">
        <f t="shared" si="7"/>
        <v>Walks with direction</v>
      </c>
      <c r="AD51" s="2"/>
      <c r="AE51" s="5"/>
      <c r="AF51" s="2"/>
      <c r="AG51" s="2"/>
      <c r="AH51" s="2"/>
      <c r="AI51" s="2"/>
    </row>
    <row r="52" spans="1:35">
      <c r="A52" s="2"/>
      <c r="B52" s="2"/>
      <c r="C52" s="2"/>
      <c r="D52" s="2"/>
      <c r="E52" s="5"/>
      <c r="F52" s="2"/>
      <c r="G52" s="5"/>
      <c r="H52" s="2"/>
      <c r="I52" s="2"/>
      <c r="J52" s="2"/>
      <c r="K52" s="2"/>
      <c r="L52" s="2"/>
      <c r="M52" s="2"/>
      <c r="N52" s="2"/>
      <c r="O52" s="2"/>
      <c r="P52" s="2"/>
      <c r="Q52" s="2"/>
      <c r="R52" s="2"/>
      <c r="S52" s="2"/>
      <c r="T52" s="2"/>
      <c r="U52" s="2"/>
      <c r="V52" s="2"/>
      <c r="W52" s="2"/>
      <c r="X52" s="2"/>
      <c r="Y52" s="2"/>
      <c r="Z52" s="2" t="str">
        <f t="shared" si="4"/>
        <v/>
      </c>
      <c r="AA52" s="2" t="str">
        <f t="shared" si="5"/>
        <v/>
      </c>
      <c r="AB52" s="2" t="str">
        <f t="shared" si="6"/>
        <v/>
      </c>
      <c r="AC52" s="2" t="str">
        <f t="shared" si="7"/>
        <v>Walks with direction</v>
      </c>
      <c r="AD52" s="2"/>
      <c r="AE52" s="5"/>
      <c r="AF52" s="2"/>
      <c r="AG52" s="2"/>
      <c r="AH52" s="2"/>
      <c r="AI52" s="2"/>
    </row>
    <row r="53" spans="1:35">
      <c r="A53" s="2"/>
      <c r="B53" s="2"/>
      <c r="C53" s="2"/>
      <c r="D53" s="2"/>
      <c r="E53" s="5"/>
      <c r="F53" s="2"/>
      <c r="G53" s="5"/>
      <c r="H53" s="2"/>
      <c r="I53" s="2"/>
      <c r="J53" s="2"/>
      <c r="K53" s="2"/>
      <c r="L53" s="2"/>
      <c r="M53" s="2"/>
      <c r="N53" s="2"/>
      <c r="O53" s="2"/>
      <c r="P53" s="2"/>
      <c r="Q53" s="2"/>
      <c r="R53" s="2"/>
      <c r="S53" s="2"/>
      <c r="T53" s="2"/>
      <c r="U53" s="2"/>
      <c r="V53" s="2"/>
      <c r="W53" s="2"/>
      <c r="X53" s="2"/>
      <c r="Y53" s="2"/>
      <c r="Z53" s="2" t="str">
        <f t="shared" si="4"/>
        <v/>
      </c>
      <c r="AA53" s="2" t="str">
        <f t="shared" si="5"/>
        <v/>
      </c>
      <c r="AB53" s="2" t="str">
        <f t="shared" si="6"/>
        <v/>
      </c>
      <c r="AC53" s="2" t="str">
        <f t="shared" si="7"/>
        <v>Walks with direction</v>
      </c>
      <c r="AD53" s="2"/>
      <c r="AE53" s="5"/>
      <c r="AF53" s="2"/>
      <c r="AG53" s="2"/>
      <c r="AH53" s="2"/>
      <c r="AI53" s="2"/>
    </row>
    <row r="54" spans="1:35">
      <c r="A54" s="2"/>
      <c r="B54" s="2"/>
      <c r="C54" s="2"/>
      <c r="D54" s="2"/>
      <c r="E54" s="5"/>
      <c r="F54" s="2"/>
      <c r="G54" s="5"/>
      <c r="H54" s="2"/>
      <c r="I54" s="2"/>
      <c r="J54" s="2"/>
      <c r="K54" s="2"/>
      <c r="L54" s="2"/>
      <c r="M54" s="2"/>
      <c r="N54" s="2"/>
      <c r="O54" s="2"/>
      <c r="P54" s="2"/>
      <c r="Q54" s="2"/>
      <c r="R54" s="2"/>
      <c r="S54" s="2"/>
      <c r="T54" s="2"/>
      <c r="U54" s="2"/>
      <c r="V54" s="2"/>
      <c r="W54" s="2"/>
      <c r="X54" s="2"/>
      <c r="Y54" s="2"/>
      <c r="Z54" s="2" t="str">
        <f t="shared" si="4"/>
        <v/>
      </c>
      <c r="AA54" s="2" t="str">
        <f t="shared" si="5"/>
        <v/>
      </c>
      <c r="AB54" s="2" t="str">
        <f t="shared" si="6"/>
        <v/>
      </c>
      <c r="AC54" s="2" t="str">
        <f t="shared" si="7"/>
        <v>Walks with direction</v>
      </c>
      <c r="AD54" s="2"/>
      <c r="AE54" s="5"/>
      <c r="AF54" s="2"/>
      <c r="AG54" s="2"/>
      <c r="AH54" s="2"/>
      <c r="AI54" s="2"/>
    </row>
    <row r="55" spans="1:35">
      <c r="A55" s="2"/>
      <c r="B55" s="2"/>
      <c r="C55" s="2"/>
      <c r="D55" s="2"/>
      <c r="E55" s="5"/>
      <c r="F55" s="2"/>
      <c r="G55" s="5"/>
      <c r="H55" s="2"/>
      <c r="I55" s="2"/>
      <c r="J55" s="2"/>
      <c r="K55" s="2"/>
      <c r="L55" s="2"/>
      <c r="M55" s="2"/>
      <c r="N55" s="2"/>
      <c r="O55" s="2"/>
      <c r="P55" s="2"/>
      <c r="Q55" s="2"/>
      <c r="R55" s="2"/>
      <c r="S55" s="2"/>
      <c r="T55" s="2"/>
      <c r="U55" s="2"/>
      <c r="V55" s="2"/>
      <c r="W55" s="2"/>
      <c r="X55" s="2"/>
      <c r="Y55" s="2"/>
      <c r="Z55" s="2" t="str">
        <f t="shared" si="4"/>
        <v/>
      </c>
      <c r="AA55" s="2" t="str">
        <f t="shared" si="5"/>
        <v/>
      </c>
      <c r="AB55" s="2" t="str">
        <f t="shared" si="6"/>
        <v/>
      </c>
      <c r="AC55" s="2" t="str">
        <f t="shared" si="7"/>
        <v>Walks with direction</v>
      </c>
      <c r="AD55" s="2"/>
      <c r="AE55" s="5"/>
      <c r="AF55" s="2"/>
      <c r="AG55" s="2"/>
      <c r="AH55" s="2"/>
      <c r="AI55" s="2"/>
    </row>
    <row r="56" spans="1:35">
      <c r="A56" s="2"/>
      <c r="B56" s="2"/>
      <c r="C56" s="2"/>
      <c r="D56" s="2"/>
      <c r="E56" s="5"/>
      <c r="F56" s="2"/>
      <c r="G56" s="5"/>
      <c r="H56" s="2"/>
      <c r="I56" s="2"/>
      <c r="J56" s="2"/>
      <c r="K56" s="2"/>
      <c r="L56" s="2"/>
      <c r="M56" s="2"/>
      <c r="N56" s="2"/>
      <c r="O56" s="2"/>
      <c r="P56" s="2"/>
      <c r="Q56" s="2"/>
      <c r="R56" s="2"/>
      <c r="S56" s="2"/>
      <c r="T56" s="2"/>
      <c r="U56" s="2"/>
      <c r="V56" s="2"/>
      <c r="W56" s="2"/>
      <c r="X56" s="2"/>
      <c r="Y56" s="2"/>
      <c r="Z56" s="2" t="str">
        <f t="shared" si="4"/>
        <v/>
      </c>
      <c r="AA56" s="2" t="str">
        <f t="shared" si="5"/>
        <v/>
      </c>
      <c r="AB56" s="2" t="str">
        <f t="shared" si="6"/>
        <v/>
      </c>
      <c r="AC56" s="2" t="str">
        <f t="shared" si="7"/>
        <v>Walks with direction</v>
      </c>
      <c r="AD56" s="2"/>
      <c r="AE56" s="5"/>
      <c r="AF56" s="2"/>
      <c r="AG56" s="2"/>
      <c r="AH56" s="2"/>
      <c r="AI56" s="2"/>
    </row>
    <row r="57" spans="1:35">
      <c r="A57" s="2"/>
      <c r="B57" s="2"/>
      <c r="C57" s="2"/>
      <c r="D57" s="2"/>
      <c r="E57" s="5"/>
      <c r="F57" s="2"/>
      <c r="G57" s="5"/>
      <c r="H57" s="2"/>
      <c r="I57" s="2"/>
      <c r="J57" s="2"/>
      <c r="K57" s="2"/>
      <c r="L57" s="2"/>
      <c r="M57" s="2"/>
      <c r="N57" s="2"/>
      <c r="O57" s="2"/>
      <c r="P57" s="2"/>
      <c r="Q57" s="2"/>
      <c r="R57" s="2"/>
      <c r="S57" s="2"/>
      <c r="T57" s="2"/>
      <c r="U57" s="2"/>
      <c r="V57" s="2"/>
      <c r="W57" s="2"/>
      <c r="X57" s="2"/>
      <c r="Y57" s="2"/>
      <c r="Z57" s="2" t="str">
        <f t="shared" si="4"/>
        <v/>
      </c>
      <c r="AA57" s="2" t="str">
        <f t="shared" si="5"/>
        <v/>
      </c>
      <c r="AB57" s="2" t="str">
        <f t="shared" si="6"/>
        <v/>
      </c>
      <c r="AC57" s="2" t="str">
        <f t="shared" si="7"/>
        <v>Walks with direction</v>
      </c>
      <c r="AD57" s="2"/>
      <c r="AE57" s="5"/>
      <c r="AF57" s="2"/>
      <c r="AG57" s="2"/>
      <c r="AH57" s="2"/>
      <c r="AI57" s="2"/>
    </row>
    <row r="58" spans="1:35">
      <c r="A58" s="2"/>
      <c r="B58" s="2"/>
      <c r="C58" s="2"/>
      <c r="D58" s="2"/>
      <c r="E58" s="5"/>
      <c r="F58" s="2"/>
      <c r="G58" s="5"/>
      <c r="H58" s="2"/>
      <c r="I58" s="2"/>
      <c r="J58" s="2"/>
      <c r="K58" s="2"/>
      <c r="L58" s="2"/>
      <c r="M58" s="2"/>
      <c r="N58" s="2"/>
      <c r="O58" s="2"/>
      <c r="P58" s="2"/>
      <c r="Q58" s="2"/>
      <c r="R58" s="2"/>
      <c r="S58" s="2"/>
      <c r="T58" s="2"/>
      <c r="U58" s="2"/>
      <c r="V58" s="2"/>
      <c r="W58" s="2"/>
      <c r="X58" s="2"/>
      <c r="Y58" s="2"/>
      <c r="Z58" s="2" t="str">
        <f t="shared" si="4"/>
        <v/>
      </c>
      <c r="AA58" s="2" t="str">
        <f t="shared" si="5"/>
        <v/>
      </c>
      <c r="AB58" s="2" t="str">
        <f t="shared" si="6"/>
        <v/>
      </c>
      <c r="AC58" s="2" t="str">
        <f t="shared" si="7"/>
        <v>Walks with direction</v>
      </c>
      <c r="AD58" s="2"/>
      <c r="AE58" s="5"/>
      <c r="AF58" s="2"/>
      <c r="AG58" s="2"/>
      <c r="AH58" s="2"/>
      <c r="AI58" s="2"/>
    </row>
    <row r="59" spans="1:35">
      <c r="A59" s="2"/>
      <c r="B59" s="2"/>
      <c r="C59" s="2"/>
      <c r="D59" s="2"/>
      <c r="E59" s="5"/>
      <c r="F59" s="2"/>
      <c r="G59" s="5"/>
      <c r="H59" s="2"/>
      <c r="I59" s="2"/>
      <c r="J59" s="2"/>
      <c r="K59" s="2"/>
      <c r="L59" s="2"/>
      <c r="M59" s="2"/>
      <c r="N59" s="2"/>
      <c r="O59" s="2"/>
      <c r="P59" s="2"/>
      <c r="Q59" s="2"/>
      <c r="R59" s="2"/>
      <c r="S59" s="2"/>
      <c r="T59" s="2"/>
      <c r="U59" s="2"/>
      <c r="V59" s="2"/>
      <c r="W59" s="2"/>
      <c r="X59" s="2"/>
      <c r="Y59" s="2"/>
      <c r="Z59" s="2" t="str">
        <f t="shared" si="4"/>
        <v/>
      </c>
      <c r="AA59" s="2" t="str">
        <f t="shared" si="5"/>
        <v/>
      </c>
      <c r="AB59" s="2" t="str">
        <f t="shared" si="6"/>
        <v/>
      </c>
      <c r="AC59" s="2" t="str">
        <f t="shared" si="7"/>
        <v>Walks with direction</v>
      </c>
      <c r="AD59" s="2"/>
      <c r="AE59" s="5"/>
      <c r="AF59" s="2"/>
      <c r="AG59" s="2"/>
      <c r="AH59" s="2"/>
      <c r="AI59" s="2"/>
    </row>
    <row r="60" spans="1:35">
      <c r="A60" s="2"/>
      <c r="B60" s="2"/>
      <c r="C60" s="2"/>
      <c r="D60" s="2"/>
      <c r="E60" s="5"/>
      <c r="F60" s="2"/>
      <c r="G60" s="5"/>
      <c r="H60" s="2"/>
      <c r="I60" s="2"/>
      <c r="J60" s="2"/>
      <c r="K60" s="2"/>
      <c r="L60" s="2"/>
      <c r="M60" s="2"/>
      <c r="N60" s="2"/>
      <c r="O60" s="2"/>
      <c r="P60" s="2"/>
      <c r="Q60" s="2"/>
      <c r="R60" s="2"/>
      <c r="S60" s="2"/>
      <c r="T60" s="2"/>
      <c r="U60" s="2"/>
      <c r="V60" s="2"/>
      <c r="W60" s="2"/>
      <c r="X60" s="2"/>
      <c r="Y60" s="2"/>
      <c r="Z60" s="2" t="str">
        <f t="shared" si="4"/>
        <v/>
      </c>
      <c r="AA60" s="2" t="str">
        <f t="shared" si="5"/>
        <v/>
      </c>
      <c r="AB60" s="2" t="str">
        <f t="shared" si="6"/>
        <v/>
      </c>
      <c r="AC60" s="2" t="str">
        <f t="shared" si="7"/>
        <v>Walks with direction</v>
      </c>
      <c r="AD60" s="2"/>
      <c r="AE60" s="5"/>
      <c r="AF60" s="2"/>
      <c r="AG60" s="2"/>
      <c r="AH60" s="2"/>
      <c r="AI60" s="2"/>
    </row>
    <row r="61" spans="1:35">
      <c r="A61" s="2"/>
      <c r="B61" s="2"/>
      <c r="C61" s="2"/>
      <c r="D61" s="2"/>
      <c r="E61" s="5"/>
      <c r="F61" s="2"/>
      <c r="G61" s="5"/>
      <c r="H61" s="2"/>
      <c r="I61" s="2"/>
      <c r="J61" s="2"/>
      <c r="K61" s="2"/>
      <c r="L61" s="2"/>
      <c r="M61" s="2"/>
      <c r="N61" s="2"/>
      <c r="O61" s="2"/>
      <c r="P61" s="2"/>
      <c r="Q61" s="2"/>
      <c r="R61" s="2"/>
      <c r="S61" s="2"/>
      <c r="T61" s="2"/>
      <c r="U61" s="2"/>
      <c r="V61" s="2"/>
      <c r="W61" s="2"/>
      <c r="X61" s="2"/>
      <c r="Y61" s="2"/>
      <c r="Z61" s="2" t="str">
        <f t="shared" si="4"/>
        <v/>
      </c>
      <c r="AA61" s="2" t="str">
        <f t="shared" si="5"/>
        <v/>
      </c>
      <c r="AB61" s="2" t="str">
        <f t="shared" si="6"/>
        <v/>
      </c>
      <c r="AC61" s="2" t="str">
        <f t="shared" si="7"/>
        <v>Walks with direction</v>
      </c>
      <c r="AD61" s="2"/>
      <c r="AE61" s="5"/>
      <c r="AF61" s="2"/>
      <c r="AG61" s="2"/>
      <c r="AH61" s="2"/>
      <c r="AI61" s="2"/>
    </row>
    <row r="62" spans="1:35">
      <c r="A62" s="2"/>
      <c r="B62" s="2"/>
      <c r="C62" s="2"/>
      <c r="D62" s="2"/>
      <c r="E62" s="5"/>
      <c r="F62" s="2"/>
      <c r="G62" s="5"/>
      <c r="H62" s="2"/>
      <c r="I62" s="2"/>
      <c r="J62" s="2"/>
      <c r="K62" s="2"/>
      <c r="L62" s="2"/>
      <c r="M62" s="2"/>
      <c r="N62" s="2"/>
      <c r="O62" s="2"/>
      <c r="P62" s="2"/>
      <c r="Q62" s="2"/>
      <c r="R62" s="2"/>
      <c r="S62" s="2"/>
      <c r="T62" s="2"/>
      <c r="U62" s="2"/>
      <c r="V62" s="2"/>
      <c r="W62" s="2"/>
      <c r="X62" s="2"/>
      <c r="Y62" s="2"/>
      <c r="Z62" s="2" t="str">
        <f t="shared" si="4"/>
        <v/>
      </c>
      <c r="AA62" s="2" t="str">
        <f t="shared" si="5"/>
        <v/>
      </c>
      <c r="AB62" s="2" t="str">
        <f t="shared" si="6"/>
        <v/>
      </c>
      <c r="AC62" s="2" t="str">
        <f t="shared" si="7"/>
        <v>Walks with direction</v>
      </c>
      <c r="AD62" s="2"/>
      <c r="AE62" s="5"/>
      <c r="AF62" s="2"/>
      <c r="AG62" s="2"/>
      <c r="AH62" s="2"/>
      <c r="AI62" s="2"/>
    </row>
    <row r="63" spans="1:35">
      <c r="A63" s="2"/>
      <c r="B63" s="2"/>
      <c r="C63" s="2"/>
      <c r="D63" s="2"/>
      <c r="E63" s="5"/>
      <c r="F63" s="2"/>
      <c r="G63" s="5"/>
      <c r="H63" s="2"/>
      <c r="I63" s="2"/>
      <c r="J63" s="2"/>
      <c r="K63" s="2"/>
      <c r="L63" s="2"/>
      <c r="M63" s="2"/>
      <c r="N63" s="2"/>
      <c r="O63" s="2"/>
      <c r="P63" s="2"/>
      <c r="Q63" s="2"/>
      <c r="R63" s="2"/>
      <c r="S63" s="2"/>
      <c r="T63" s="2"/>
      <c r="U63" s="2"/>
      <c r="V63" s="2"/>
      <c r="W63" s="2"/>
      <c r="X63" s="2"/>
      <c r="Y63" s="2"/>
      <c r="Z63" s="2" t="str">
        <f t="shared" si="4"/>
        <v/>
      </c>
      <c r="AA63" s="2" t="str">
        <f t="shared" si="5"/>
        <v/>
      </c>
      <c r="AB63" s="2" t="str">
        <f t="shared" si="6"/>
        <v/>
      </c>
      <c r="AC63" s="2" t="str">
        <f t="shared" si="7"/>
        <v>Walks with direction</v>
      </c>
      <c r="AD63" s="2"/>
      <c r="AE63" s="5"/>
      <c r="AF63" s="2"/>
      <c r="AG63" s="2"/>
      <c r="AH63" s="2"/>
      <c r="AI63" s="2"/>
    </row>
    <row r="64" spans="1:35">
      <c r="A64" s="2"/>
      <c r="B64" s="2"/>
      <c r="C64" s="2"/>
      <c r="D64" s="2"/>
      <c r="E64" s="5"/>
      <c r="F64" s="2"/>
      <c r="G64" s="5"/>
      <c r="H64" s="2"/>
      <c r="I64" s="2"/>
      <c r="J64" s="2"/>
      <c r="K64" s="2"/>
      <c r="L64" s="2"/>
      <c r="M64" s="2"/>
      <c r="N64" s="2"/>
      <c r="O64" s="2"/>
      <c r="P64" s="2"/>
      <c r="Q64" s="2"/>
      <c r="R64" s="2"/>
      <c r="S64" s="2"/>
      <c r="T64" s="2"/>
      <c r="U64" s="2"/>
      <c r="V64" s="2"/>
      <c r="W64" s="2"/>
      <c r="X64" s="2"/>
      <c r="Y64" s="2"/>
      <c r="Z64" s="2" t="str">
        <f t="shared" si="4"/>
        <v/>
      </c>
      <c r="AA64" s="2" t="str">
        <f t="shared" si="5"/>
        <v/>
      </c>
      <c r="AB64" s="2" t="str">
        <f t="shared" si="6"/>
        <v/>
      </c>
      <c r="AC64" s="2" t="str">
        <f t="shared" si="7"/>
        <v>Walks with direction</v>
      </c>
      <c r="AD64" s="2"/>
      <c r="AE64" s="5"/>
      <c r="AF64" s="2"/>
      <c r="AG64" s="2"/>
      <c r="AH64" s="2"/>
      <c r="AI64" s="2"/>
    </row>
    <row r="65" spans="1:35">
      <c r="A65" s="2"/>
      <c r="B65" s="2"/>
      <c r="C65" s="2"/>
      <c r="D65" s="2"/>
      <c r="E65" s="5"/>
      <c r="F65" s="2"/>
      <c r="G65" s="5"/>
      <c r="H65" s="2"/>
      <c r="I65" s="2"/>
      <c r="J65" s="2"/>
      <c r="K65" s="2"/>
      <c r="L65" s="2"/>
      <c r="M65" s="2"/>
      <c r="N65" s="2"/>
      <c r="O65" s="2"/>
      <c r="P65" s="2"/>
      <c r="Q65" s="2"/>
      <c r="R65" s="2"/>
      <c r="S65" s="2"/>
      <c r="T65" s="2"/>
      <c r="U65" s="2"/>
      <c r="V65" s="2"/>
      <c r="W65" s="2"/>
      <c r="X65" s="2"/>
      <c r="Y65" s="2"/>
      <c r="Z65" s="2" t="str">
        <f t="shared" si="4"/>
        <v/>
      </c>
      <c r="AA65" s="2" t="str">
        <f t="shared" si="5"/>
        <v/>
      </c>
      <c r="AB65" s="2" t="str">
        <f t="shared" si="6"/>
        <v/>
      </c>
      <c r="AC65" s="2" t="str">
        <f t="shared" si="7"/>
        <v>Walks with direction</v>
      </c>
      <c r="AD65" s="2"/>
      <c r="AE65" s="5"/>
      <c r="AF65" s="2"/>
      <c r="AG65" s="2"/>
      <c r="AH65" s="2"/>
      <c r="AI65" s="2"/>
    </row>
    <row r="66" spans="1:35">
      <c r="A66" s="2"/>
      <c r="B66" s="2"/>
      <c r="C66" s="2"/>
      <c r="D66" s="2"/>
      <c r="E66" s="5"/>
      <c r="F66" s="2"/>
      <c r="G66" s="5"/>
      <c r="H66" s="2"/>
      <c r="I66" s="2"/>
      <c r="J66" s="2"/>
      <c r="K66" s="2"/>
      <c r="L66" s="2"/>
      <c r="M66" s="2"/>
      <c r="N66" s="2"/>
      <c r="O66" s="2"/>
      <c r="P66" s="2"/>
      <c r="Q66" s="2"/>
      <c r="R66" s="2"/>
      <c r="S66" s="2"/>
      <c r="T66" s="2"/>
      <c r="U66" s="2"/>
      <c r="V66" s="2"/>
      <c r="W66" s="2"/>
      <c r="X66" s="2"/>
      <c r="Y66" s="2"/>
      <c r="Z66" s="2" t="str">
        <f t="shared" si="4"/>
        <v/>
      </c>
      <c r="AA66" s="2" t="str">
        <f t="shared" si="5"/>
        <v/>
      </c>
      <c r="AB66" s="2" t="str">
        <f t="shared" si="6"/>
        <v/>
      </c>
      <c r="AC66" s="2" t="str">
        <f t="shared" si="7"/>
        <v>Walks with direction</v>
      </c>
      <c r="AD66" s="2"/>
      <c r="AE66" s="5"/>
      <c r="AF66" s="2"/>
      <c r="AG66" s="2"/>
      <c r="AH66" s="2"/>
      <c r="AI66" s="2"/>
    </row>
    <row r="67" spans="1:35">
      <c r="A67" s="2"/>
      <c r="B67" s="2"/>
      <c r="C67" s="2"/>
      <c r="D67" s="2"/>
      <c r="E67" s="5"/>
      <c r="F67" s="2"/>
      <c r="G67" s="5"/>
      <c r="H67" s="2"/>
      <c r="I67" s="2"/>
      <c r="J67" s="2"/>
      <c r="K67" s="2"/>
      <c r="L67" s="2"/>
      <c r="M67" s="2"/>
      <c r="N67" s="2"/>
      <c r="O67" s="2"/>
      <c r="P67" s="2"/>
      <c r="Q67" s="2"/>
      <c r="R67" s="2"/>
      <c r="S67" s="2"/>
      <c r="T67" s="2"/>
      <c r="U67" s="2"/>
      <c r="V67" s="2"/>
      <c r="W67" s="2"/>
      <c r="X67" s="2"/>
      <c r="Y67" s="2"/>
      <c r="Z67" s="2" t="str">
        <f t="shared" si="4"/>
        <v/>
      </c>
      <c r="AA67" s="2" t="str">
        <f t="shared" si="5"/>
        <v/>
      </c>
      <c r="AB67" s="2" t="str">
        <f t="shared" si="6"/>
        <v/>
      </c>
      <c r="AC67" s="2" t="str">
        <f t="shared" si="7"/>
        <v>Walks with direction</v>
      </c>
      <c r="AD67" s="2"/>
      <c r="AE67" s="5"/>
      <c r="AF67" s="2"/>
      <c r="AG67" s="2"/>
      <c r="AH67" s="2"/>
      <c r="AI67" s="2"/>
    </row>
    <row r="68" spans="1:35">
      <c r="A68" s="2"/>
      <c r="B68" s="2"/>
      <c r="C68" s="2"/>
      <c r="D68" s="2"/>
      <c r="E68" s="5"/>
      <c r="F68" s="2"/>
      <c r="G68" s="5"/>
      <c r="H68" s="2"/>
      <c r="I68" s="2"/>
      <c r="J68" s="2"/>
      <c r="K68" s="2"/>
      <c r="L68" s="2"/>
      <c r="M68" s="2"/>
      <c r="N68" s="2"/>
      <c r="O68" s="2"/>
      <c r="P68" s="2"/>
      <c r="Q68" s="2"/>
      <c r="R68" s="2"/>
      <c r="S68" s="2"/>
      <c r="T68" s="2"/>
      <c r="U68" s="2"/>
      <c r="V68" s="2"/>
      <c r="W68" s="2"/>
      <c r="X68" s="2"/>
      <c r="Y68" s="2"/>
      <c r="Z68" s="2" t="str">
        <f t="shared" si="4"/>
        <v/>
      </c>
      <c r="AA68" s="2" t="str">
        <f t="shared" si="5"/>
        <v/>
      </c>
      <c r="AB68" s="2" t="str">
        <f t="shared" si="6"/>
        <v/>
      </c>
      <c r="AC68" s="2" t="str">
        <f t="shared" si="7"/>
        <v>Walks with direction</v>
      </c>
      <c r="AD68" s="2"/>
      <c r="AE68" s="5"/>
      <c r="AF68" s="2"/>
      <c r="AG68" s="2"/>
      <c r="AH68" s="2"/>
      <c r="AI68" s="2"/>
    </row>
    <row r="69" spans="1:35">
      <c r="A69" s="2"/>
      <c r="B69" s="2"/>
      <c r="C69" s="2"/>
      <c r="D69" s="2"/>
      <c r="E69" s="5"/>
      <c r="F69" s="2"/>
      <c r="G69" s="5"/>
      <c r="H69" s="2"/>
      <c r="I69" s="2"/>
      <c r="J69" s="2"/>
      <c r="K69" s="2"/>
      <c r="L69" s="2"/>
      <c r="M69" s="2"/>
      <c r="N69" s="2"/>
      <c r="O69" s="2"/>
      <c r="P69" s="2"/>
      <c r="Q69" s="2"/>
      <c r="R69" s="2"/>
      <c r="S69" s="2"/>
      <c r="T69" s="2"/>
      <c r="U69" s="2"/>
      <c r="V69" s="2"/>
      <c r="W69" s="2"/>
      <c r="X69" s="2"/>
      <c r="Y69" s="2"/>
      <c r="Z69" s="2" t="str">
        <f t="shared" si="4"/>
        <v/>
      </c>
      <c r="AA69" s="2" t="str">
        <f t="shared" si="5"/>
        <v/>
      </c>
      <c r="AB69" s="2" t="str">
        <f t="shared" si="6"/>
        <v/>
      </c>
      <c r="AC69" s="2" t="str">
        <f t="shared" si="7"/>
        <v>Walks with direction</v>
      </c>
      <c r="AD69" s="2"/>
      <c r="AE69" s="5"/>
      <c r="AF69" s="2"/>
      <c r="AG69" s="2"/>
      <c r="AH69" s="2"/>
      <c r="AI69" s="2"/>
    </row>
    <row r="70" spans="1:35">
      <c r="A70" s="2"/>
      <c r="B70" s="2"/>
      <c r="C70" s="2"/>
      <c r="D70" s="2"/>
      <c r="E70" s="5"/>
      <c r="F70" s="2"/>
      <c r="G70" s="5"/>
      <c r="H70" s="2"/>
      <c r="I70" s="2"/>
      <c r="J70" s="2"/>
      <c r="K70" s="2"/>
      <c r="L70" s="2"/>
      <c r="M70" s="2"/>
      <c r="N70" s="2"/>
      <c r="O70" s="2"/>
      <c r="P70" s="2"/>
      <c r="Q70" s="2"/>
      <c r="R70" s="2"/>
      <c r="S70" s="2"/>
      <c r="T70" s="2"/>
      <c r="U70" s="2"/>
      <c r="V70" s="2"/>
      <c r="W70" s="2"/>
      <c r="X70" s="2"/>
      <c r="Y70" s="2"/>
      <c r="Z70" s="2" t="str">
        <f t="shared" si="4"/>
        <v/>
      </c>
      <c r="AA70" s="2" t="str">
        <f t="shared" si="5"/>
        <v/>
      </c>
      <c r="AB70" s="2" t="str">
        <f t="shared" si="6"/>
        <v/>
      </c>
      <c r="AC70" s="2" t="str">
        <f t="shared" si="7"/>
        <v>Walks with direction</v>
      </c>
      <c r="AD70" s="2"/>
      <c r="AE70" s="5"/>
      <c r="AF70" s="2"/>
      <c r="AG70" s="2"/>
      <c r="AH70" s="2"/>
      <c r="AI70" s="2"/>
    </row>
    <row r="71" spans="1:35">
      <c r="A71" s="2"/>
      <c r="B71" s="2"/>
      <c r="C71" s="2"/>
      <c r="D71" s="2"/>
      <c r="E71" s="5"/>
      <c r="F71" s="2"/>
      <c r="G71" s="5"/>
      <c r="H71" s="2"/>
      <c r="I71" s="2"/>
      <c r="J71" s="2"/>
      <c r="K71" s="2"/>
      <c r="L71" s="2"/>
      <c r="M71" s="2"/>
      <c r="N71" s="2"/>
      <c r="O71" s="2"/>
      <c r="P71" s="2"/>
      <c r="Q71" s="2"/>
      <c r="R71" s="2"/>
      <c r="S71" s="2"/>
      <c r="T71" s="2"/>
      <c r="U71" s="2"/>
      <c r="V71" s="2"/>
      <c r="W71" s="2"/>
      <c r="X71" s="2"/>
      <c r="Y71" s="2"/>
      <c r="Z71" s="2" t="str">
        <f t="shared" si="4"/>
        <v/>
      </c>
      <c r="AA71" s="2" t="str">
        <f t="shared" si="5"/>
        <v/>
      </c>
      <c r="AB71" s="2" t="str">
        <f t="shared" si="6"/>
        <v/>
      </c>
      <c r="AC71" s="2" t="str">
        <f t="shared" si="7"/>
        <v>Walks with direction</v>
      </c>
      <c r="AD71" s="2"/>
      <c r="AE71" s="5"/>
      <c r="AF71" s="2"/>
      <c r="AG71" s="2"/>
      <c r="AH71" s="2"/>
      <c r="AI71" s="2"/>
    </row>
    <row r="72" spans="1:35">
      <c r="A72" s="2"/>
      <c r="B72" s="2"/>
      <c r="C72" s="2"/>
      <c r="D72" s="2"/>
      <c r="E72" s="5"/>
      <c r="F72" s="2"/>
      <c r="G72" s="5"/>
      <c r="H72" s="2"/>
      <c r="I72" s="2"/>
      <c r="J72" s="2"/>
      <c r="K72" s="2"/>
      <c r="L72" s="2"/>
      <c r="M72" s="2"/>
      <c r="N72" s="2"/>
      <c r="O72" s="2"/>
      <c r="P72" s="2"/>
      <c r="Q72" s="2"/>
      <c r="R72" s="2"/>
      <c r="S72" s="2"/>
      <c r="T72" s="2"/>
      <c r="U72" s="2"/>
      <c r="V72" s="2"/>
      <c r="W72" s="2"/>
      <c r="X72" s="2"/>
      <c r="Y72" s="2"/>
      <c r="Z72" s="2" t="str">
        <f t="shared" si="4"/>
        <v/>
      </c>
      <c r="AA72" s="2" t="str">
        <f t="shared" si="5"/>
        <v/>
      </c>
      <c r="AB72" s="2" t="str">
        <f t="shared" si="6"/>
        <v/>
      </c>
      <c r="AC72" s="2" t="str">
        <f t="shared" si="7"/>
        <v>Walks with direction</v>
      </c>
      <c r="AD72" s="2"/>
      <c r="AE72" s="5"/>
      <c r="AF72" s="2"/>
      <c r="AG72" s="2"/>
      <c r="AH72" s="2"/>
      <c r="AI72" s="2"/>
    </row>
    <row r="73" spans="1:35">
      <c r="A73" s="2"/>
      <c r="B73" s="2"/>
      <c r="C73" s="2"/>
      <c r="D73" s="2"/>
      <c r="E73" s="5"/>
      <c r="F73" s="2"/>
      <c r="G73" s="5"/>
      <c r="H73" s="2"/>
      <c r="I73" s="2"/>
      <c r="J73" s="2"/>
      <c r="K73" s="2"/>
      <c r="L73" s="2"/>
      <c r="M73" s="2"/>
      <c r="N73" s="2"/>
      <c r="O73" s="2"/>
      <c r="P73" s="2"/>
      <c r="Q73" s="2"/>
      <c r="R73" s="2"/>
      <c r="S73" s="2"/>
      <c r="T73" s="2"/>
      <c r="U73" s="2"/>
      <c r="V73" s="2"/>
      <c r="W73" s="2"/>
      <c r="X73" s="2"/>
      <c r="Y73" s="2"/>
      <c r="Z73" s="2" t="str">
        <f t="shared" si="4"/>
        <v/>
      </c>
      <c r="AA73" s="2" t="str">
        <f t="shared" si="5"/>
        <v/>
      </c>
      <c r="AB73" s="2" t="str">
        <f t="shared" si="6"/>
        <v/>
      </c>
      <c r="AC73" s="2" t="str">
        <f t="shared" si="7"/>
        <v>Walks with direction</v>
      </c>
      <c r="AD73" s="2"/>
      <c r="AE73" s="5"/>
      <c r="AF73" s="2"/>
      <c r="AG73" s="2"/>
      <c r="AH73" s="2"/>
      <c r="AI73" s="2"/>
    </row>
    <row r="74" spans="1:35">
      <c r="A74" s="2"/>
      <c r="B74" s="2"/>
      <c r="C74" s="2"/>
      <c r="D74" s="2"/>
      <c r="E74" s="5"/>
      <c r="F74" s="2"/>
      <c r="G74" s="5"/>
      <c r="H74" s="2"/>
      <c r="I74" s="2"/>
      <c r="J74" s="2"/>
      <c r="K74" s="2"/>
      <c r="L74" s="2"/>
      <c r="M74" s="2"/>
      <c r="N74" s="2"/>
      <c r="O74" s="2"/>
      <c r="P74" s="2"/>
      <c r="Q74" s="2"/>
      <c r="R74" s="2"/>
      <c r="S74" s="2"/>
      <c r="T74" s="2"/>
      <c r="U74" s="2"/>
      <c r="V74" s="2"/>
      <c r="W74" s="2"/>
      <c r="X74" s="2"/>
      <c r="Y74" s="2"/>
      <c r="Z74" s="2" t="str">
        <f t="shared" si="4"/>
        <v/>
      </c>
      <c r="AA74" s="2" t="str">
        <f t="shared" si="5"/>
        <v/>
      </c>
      <c r="AB74" s="2" t="str">
        <f t="shared" si="6"/>
        <v/>
      </c>
      <c r="AC74" s="2" t="str">
        <f t="shared" si="7"/>
        <v>Walks with direction</v>
      </c>
      <c r="AD74" s="2"/>
      <c r="AE74" s="5"/>
      <c r="AF74" s="2"/>
      <c r="AG74" s="2"/>
      <c r="AH74" s="2"/>
      <c r="AI74" s="2"/>
    </row>
    <row r="75" spans="1:35">
      <c r="A75" s="2"/>
      <c r="B75" s="2"/>
      <c r="C75" s="2"/>
      <c r="D75" s="2"/>
      <c r="E75" s="5"/>
      <c r="F75" s="2"/>
      <c r="G75" s="5"/>
      <c r="H75" s="2"/>
      <c r="I75" s="2"/>
      <c r="J75" s="2"/>
      <c r="K75" s="2"/>
      <c r="L75" s="2"/>
      <c r="M75" s="2"/>
      <c r="N75" s="2"/>
      <c r="O75" s="2"/>
      <c r="P75" s="2"/>
      <c r="Q75" s="2"/>
      <c r="R75" s="2"/>
      <c r="S75" s="2"/>
      <c r="T75" s="2"/>
      <c r="U75" s="2"/>
      <c r="V75" s="2"/>
      <c r="W75" s="2"/>
      <c r="X75" s="2"/>
      <c r="Y75" s="2"/>
      <c r="Z75" s="2" t="str">
        <f t="shared" si="4"/>
        <v/>
      </c>
      <c r="AA75" s="2" t="str">
        <f t="shared" si="5"/>
        <v/>
      </c>
      <c r="AB75" s="2" t="str">
        <f t="shared" si="6"/>
        <v/>
      </c>
      <c r="AC75" s="2" t="str">
        <f t="shared" si="7"/>
        <v>Walks with direction</v>
      </c>
      <c r="AD75" s="2"/>
      <c r="AE75" s="5"/>
      <c r="AF75" s="2"/>
      <c r="AG75" s="2"/>
      <c r="AH75" s="2"/>
      <c r="AI75" s="2"/>
    </row>
    <row r="76" spans="1:35">
      <c r="A76" s="2"/>
      <c r="B76" s="2"/>
      <c r="C76" s="2"/>
      <c r="D76" s="2"/>
      <c r="E76" s="5"/>
      <c r="F76" s="2"/>
      <c r="G76" s="5"/>
      <c r="H76" s="2"/>
      <c r="I76" s="2"/>
      <c r="J76" s="2"/>
      <c r="K76" s="2"/>
      <c r="L76" s="2"/>
      <c r="M76" s="2"/>
      <c r="N76" s="2"/>
      <c r="O76" s="2"/>
      <c r="P76" s="2"/>
      <c r="Q76" s="2"/>
      <c r="R76" s="2"/>
      <c r="S76" s="2"/>
      <c r="T76" s="2"/>
      <c r="U76" s="2"/>
      <c r="V76" s="2"/>
      <c r="W76" s="2"/>
      <c r="X76" s="2"/>
      <c r="Y76" s="2"/>
      <c r="Z76" s="2" t="str">
        <f t="shared" si="4"/>
        <v/>
      </c>
      <c r="AA76" s="2" t="str">
        <f t="shared" si="5"/>
        <v/>
      </c>
      <c r="AB76" s="2" t="str">
        <f t="shared" si="6"/>
        <v/>
      </c>
      <c r="AC76" s="2" t="str">
        <f t="shared" si="7"/>
        <v>Walks with direction</v>
      </c>
      <c r="AD76" s="2"/>
      <c r="AE76" s="5"/>
      <c r="AF76" s="2"/>
      <c r="AG76" s="2"/>
      <c r="AH76" s="2"/>
      <c r="AI76" s="2"/>
    </row>
    <row r="77" spans="1:35">
      <c r="A77" s="2"/>
      <c r="B77" s="2"/>
      <c r="C77" s="2"/>
      <c r="D77" s="2"/>
      <c r="E77" s="5"/>
      <c r="F77" s="2"/>
      <c r="G77" s="5"/>
      <c r="H77" s="2"/>
      <c r="I77" s="2"/>
      <c r="J77" s="2"/>
      <c r="K77" s="2"/>
      <c r="L77" s="2"/>
      <c r="M77" s="2"/>
      <c r="N77" s="2"/>
      <c r="O77" s="2"/>
      <c r="P77" s="2"/>
      <c r="Q77" s="2"/>
      <c r="R77" s="2"/>
      <c r="S77" s="2"/>
      <c r="T77" s="2"/>
      <c r="U77" s="2"/>
      <c r="V77" s="2"/>
      <c r="W77" s="2"/>
      <c r="X77" s="2"/>
      <c r="Y77" s="2"/>
      <c r="Z77" s="2" t="str">
        <f t="shared" si="4"/>
        <v/>
      </c>
      <c r="AA77" s="2" t="str">
        <f t="shared" si="5"/>
        <v/>
      </c>
      <c r="AB77" s="2" t="str">
        <f t="shared" si="6"/>
        <v/>
      </c>
      <c r="AC77" s="2" t="str">
        <f t="shared" si="7"/>
        <v>Walks with direction</v>
      </c>
      <c r="AD77" s="2"/>
      <c r="AE77" s="5"/>
      <c r="AF77" s="2"/>
      <c r="AG77" s="2"/>
      <c r="AH77" s="2"/>
      <c r="AI77" s="2"/>
    </row>
    <row r="78" spans="1:35">
      <c r="A78" s="2"/>
      <c r="B78" s="2"/>
      <c r="C78" s="2"/>
      <c r="D78" s="2"/>
      <c r="E78" s="5"/>
      <c r="F78" s="2"/>
      <c r="G78" s="5"/>
      <c r="H78" s="2"/>
      <c r="I78" s="2"/>
      <c r="J78" s="2"/>
      <c r="K78" s="2"/>
      <c r="L78" s="2"/>
      <c r="M78" s="2"/>
      <c r="N78" s="2"/>
      <c r="O78" s="2"/>
      <c r="P78" s="2"/>
      <c r="Q78" s="2"/>
      <c r="R78" s="2"/>
      <c r="S78" s="2"/>
      <c r="T78" s="2"/>
      <c r="U78" s="2"/>
      <c r="V78" s="2"/>
      <c r="W78" s="2"/>
      <c r="X78" s="2"/>
      <c r="Y78" s="2"/>
      <c r="Z78" s="2" t="str">
        <f t="shared" si="4"/>
        <v/>
      </c>
      <c r="AA78" s="2" t="str">
        <f t="shared" si="5"/>
        <v/>
      </c>
      <c r="AB78" s="2" t="str">
        <f t="shared" si="6"/>
        <v/>
      </c>
      <c r="AC78" s="2" t="str">
        <f t="shared" si="7"/>
        <v>Walks with direction</v>
      </c>
      <c r="AD78" s="2"/>
      <c r="AE78" s="5"/>
      <c r="AF78" s="2"/>
      <c r="AG78" s="2"/>
      <c r="AH78" s="2"/>
      <c r="AI78" s="2"/>
    </row>
    <row r="79" spans="1:35">
      <c r="A79" s="2"/>
      <c r="B79" s="2"/>
      <c r="C79" s="2"/>
      <c r="D79" s="2"/>
      <c r="E79" s="5"/>
      <c r="F79" s="2"/>
      <c r="G79" s="5"/>
      <c r="H79" s="2"/>
      <c r="I79" s="2"/>
      <c r="J79" s="2"/>
      <c r="K79" s="2"/>
      <c r="L79" s="2"/>
      <c r="M79" s="2"/>
      <c r="N79" s="2"/>
      <c r="O79" s="2"/>
      <c r="P79" s="2"/>
      <c r="Q79" s="2"/>
      <c r="R79" s="2"/>
      <c r="S79" s="2"/>
      <c r="T79" s="2"/>
      <c r="U79" s="2"/>
      <c r="V79" s="2"/>
      <c r="W79" s="2"/>
      <c r="X79" s="2"/>
      <c r="Y79" s="2"/>
      <c r="Z79" s="2" t="str">
        <f t="shared" si="4"/>
        <v/>
      </c>
      <c r="AA79" s="2" t="str">
        <f t="shared" si="5"/>
        <v/>
      </c>
      <c r="AB79" s="2" t="str">
        <f t="shared" si="6"/>
        <v/>
      </c>
      <c r="AC79" s="2" t="str">
        <f t="shared" si="7"/>
        <v>Walks with direction</v>
      </c>
      <c r="AD79" s="2"/>
      <c r="AE79" s="5"/>
      <c r="AF79" s="2"/>
      <c r="AG79" s="2"/>
      <c r="AH79" s="2"/>
      <c r="AI79" s="2"/>
    </row>
    <row r="80" spans="1:35">
      <c r="A80" s="2"/>
      <c r="B80" s="2"/>
      <c r="C80" s="2"/>
      <c r="D80" s="2"/>
      <c r="E80" s="5"/>
      <c r="F80" s="2"/>
      <c r="G80" s="5"/>
      <c r="H80" s="2"/>
      <c r="I80" s="2"/>
      <c r="J80" s="2"/>
      <c r="K80" s="2"/>
      <c r="L80" s="2"/>
      <c r="M80" s="2"/>
      <c r="N80" s="2"/>
      <c r="O80" s="2"/>
      <c r="P80" s="2"/>
      <c r="Q80" s="2"/>
      <c r="R80" s="2"/>
      <c r="S80" s="2"/>
      <c r="T80" s="2"/>
      <c r="U80" s="2"/>
      <c r="V80" s="2"/>
      <c r="W80" s="2"/>
      <c r="X80" s="2"/>
      <c r="Y80" s="2"/>
      <c r="Z80" s="2" t="str">
        <f t="shared" si="4"/>
        <v/>
      </c>
      <c r="AA80" s="2" t="str">
        <f t="shared" si="5"/>
        <v/>
      </c>
      <c r="AB80" s="2" t="str">
        <f t="shared" si="6"/>
        <v/>
      </c>
      <c r="AC80" s="2" t="str">
        <f t="shared" si="7"/>
        <v>Walks with direction</v>
      </c>
      <c r="AD80" s="2"/>
      <c r="AE80" s="5"/>
      <c r="AF80" s="2"/>
      <c r="AG80" s="2"/>
      <c r="AH80" s="2"/>
      <c r="AI80" s="2"/>
    </row>
    <row r="81" spans="1:35">
      <c r="A81" s="2"/>
      <c r="B81" s="2"/>
      <c r="C81" s="2"/>
      <c r="D81" s="2"/>
      <c r="E81" s="5"/>
      <c r="F81" s="2"/>
      <c r="G81" s="5"/>
      <c r="H81" s="2"/>
      <c r="I81" s="2"/>
      <c r="J81" s="2"/>
      <c r="K81" s="2"/>
      <c r="L81" s="2"/>
      <c r="M81" s="2"/>
      <c r="N81" s="2"/>
      <c r="O81" s="2"/>
      <c r="P81" s="2"/>
      <c r="Q81" s="2"/>
      <c r="R81" s="2"/>
      <c r="S81" s="2"/>
      <c r="T81" s="2"/>
      <c r="U81" s="2"/>
      <c r="V81" s="2"/>
      <c r="W81" s="2"/>
      <c r="X81" s="2"/>
      <c r="Y81" s="2"/>
      <c r="Z81" s="2" t="str">
        <f t="shared" si="4"/>
        <v/>
      </c>
      <c r="AA81" s="2" t="str">
        <f t="shared" si="5"/>
        <v/>
      </c>
      <c r="AB81" s="2" t="str">
        <f t="shared" si="6"/>
        <v/>
      </c>
      <c r="AC81" s="2" t="str">
        <f t="shared" si="7"/>
        <v>Walks with direction</v>
      </c>
      <c r="AD81" s="2"/>
      <c r="AE81" s="5"/>
      <c r="AF81" s="2"/>
      <c r="AG81" s="2"/>
      <c r="AH81" s="2"/>
      <c r="AI81" s="2"/>
    </row>
    <row r="82" spans="1:35">
      <c r="A82" s="2"/>
      <c r="B82" s="2"/>
      <c r="C82" s="2"/>
      <c r="D82" s="2"/>
      <c r="E82" s="5"/>
      <c r="F82" s="2"/>
      <c r="G82" s="5"/>
      <c r="H82" s="2"/>
      <c r="I82" s="2"/>
      <c r="J82" s="2"/>
      <c r="K82" s="2"/>
      <c r="L82" s="2"/>
      <c r="M82" s="2"/>
      <c r="N82" s="2"/>
      <c r="O82" s="2"/>
      <c r="P82" s="2"/>
      <c r="Q82" s="2"/>
      <c r="R82" s="2"/>
      <c r="S82" s="2"/>
      <c r="T82" s="2"/>
      <c r="U82" s="2"/>
      <c r="V82" s="2"/>
      <c r="W82" s="2"/>
      <c r="X82" s="2"/>
      <c r="Y82" s="2"/>
      <c r="Z82" s="2" t="str">
        <f t="shared" ref="Z82:Z113" si="8">IF(COUNTA(H82:Y82)=0,"",IF(COUNTIF(H82:Y82,"Very High")&gt;0,"Very High",IF(COUNTIF(H82:Y82,"High")&gt;0,"High",IF(COUNTIF(H82:Y82,"Medium")&gt;0,"Medium","Low"))))</f>
        <v/>
      </c>
      <c r="AA82" s="2" t="str">
        <f t="shared" ref="AA82:AA113" si="9">IF(Z82="","",IF(Z82="Low","Routine planned support",IF(Z82="Medium","One staff support/supervision likely",IF(Z82="High","Two staff/review staffing and equipment","Manager review: multiple staff/specialist support"))))</f>
        <v/>
      </c>
      <c r="AB82" s="2" t="str">
        <f t="shared" ref="AB82:AB117" si="10">IF(Z82="","",IF(OR(Z82="High",Z82="Very High",W82="High",W82="Very High"),"Night staffing and evacuation review required","Routine night checks as per care plan"))</f>
        <v/>
      </c>
      <c r="AC82" s="2" t="str">
        <f t="shared" ref="AC82:AC117" si="11">IF(X82="Very High","Specialist PEEP / equipment",IF(OR(X82="High",Z82="High"),"Evacuation sheet/chair or wheelchair per PEEP",IF(OR(X82="Medium",Z82="Medium"),"Walking aid/wheelchair support per PEEP","Walks with direction")))</f>
        <v>Walks with direction</v>
      </c>
      <c r="AD82" s="2"/>
      <c r="AE82" s="5"/>
      <c r="AF82" s="2"/>
      <c r="AG82" s="2"/>
      <c r="AH82" s="2"/>
      <c r="AI82" s="2"/>
    </row>
    <row r="83" spans="1:35">
      <c r="A83" s="2"/>
      <c r="B83" s="2"/>
      <c r="C83" s="2"/>
      <c r="D83" s="2"/>
      <c r="E83" s="5"/>
      <c r="F83" s="2"/>
      <c r="G83" s="5"/>
      <c r="H83" s="2"/>
      <c r="I83" s="2"/>
      <c r="J83" s="2"/>
      <c r="K83" s="2"/>
      <c r="L83" s="2"/>
      <c r="M83" s="2"/>
      <c r="N83" s="2"/>
      <c r="O83" s="2"/>
      <c r="P83" s="2"/>
      <c r="Q83" s="2"/>
      <c r="R83" s="2"/>
      <c r="S83" s="2"/>
      <c r="T83" s="2"/>
      <c r="U83" s="2"/>
      <c r="V83" s="2"/>
      <c r="W83" s="2"/>
      <c r="X83" s="2"/>
      <c r="Y83" s="2"/>
      <c r="Z83" s="2" t="str">
        <f t="shared" si="8"/>
        <v/>
      </c>
      <c r="AA83" s="2" t="str">
        <f t="shared" si="9"/>
        <v/>
      </c>
      <c r="AB83" s="2" t="str">
        <f t="shared" si="10"/>
        <v/>
      </c>
      <c r="AC83" s="2" t="str">
        <f t="shared" si="11"/>
        <v>Walks with direction</v>
      </c>
      <c r="AD83" s="2"/>
      <c r="AE83" s="5"/>
      <c r="AF83" s="2"/>
      <c r="AG83" s="2"/>
      <c r="AH83" s="2"/>
      <c r="AI83" s="2"/>
    </row>
    <row r="84" spans="1:35">
      <c r="A84" s="2"/>
      <c r="B84" s="2"/>
      <c r="C84" s="2"/>
      <c r="D84" s="2"/>
      <c r="E84" s="5"/>
      <c r="F84" s="2"/>
      <c r="G84" s="5"/>
      <c r="H84" s="2"/>
      <c r="I84" s="2"/>
      <c r="J84" s="2"/>
      <c r="K84" s="2"/>
      <c r="L84" s="2"/>
      <c r="M84" s="2"/>
      <c r="N84" s="2"/>
      <c r="O84" s="2"/>
      <c r="P84" s="2"/>
      <c r="Q84" s="2"/>
      <c r="R84" s="2"/>
      <c r="S84" s="2"/>
      <c r="T84" s="2"/>
      <c r="U84" s="2"/>
      <c r="V84" s="2"/>
      <c r="W84" s="2"/>
      <c r="X84" s="2"/>
      <c r="Y84" s="2"/>
      <c r="Z84" s="2" t="str">
        <f t="shared" si="8"/>
        <v/>
      </c>
      <c r="AA84" s="2" t="str">
        <f t="shared" si="9"/>
        <v/>
      </c>
      <c r="AB84" s="2" t="str">
        <f t="shared" si="10"/>
        <v/>
      </c>
      <c r="AC84" s="2" t="str">
        <f t="shared" si="11"/>
        <v>Walks with direction</v>
      </c>
      <c r="AD84" s="2"/>
      <c r="AE84" s="5"/>
      <c r="AF84" s="2"/>
      <c r="AG84" s="2"/>
      <c r="AH84" s="2"/>
      <c r="AI84" s="2"/>
    </row>
    <row r="85" spans="1:35">
      <c r="A85" s="2"/>
      <c r="B85" s="2"/>
      <c r="C85" s="2"/>
      <c r="D85" s="2"/>
      <c r="E85" s="5"/>
      <c r="F85" s="2"/>
      <c r="G85" s="5"/>
      <c r="H85" s="2"/>
      <c r="I85" s="2"/>
      <c r="J85" s="2"/>
      <c r="K85" s="2"/>
      <c r="L85" s="2"/>
      <c r="M85" s="2"/>
      <c r="N85" s="2"/>
      <c r="O85" s="2"/>
      <c r="P85" s="2"/>
      <c r="Q85" s="2"/>
      <c r="R85" s="2"/>
      <c r="S85" s="2"/>
      <c r="T85" s="2"/>
      <c r="U85" s="2"/>
      <c r="V85" s="2"/>
      <c r="W85" s="2"/>
      <c r="X85" s="2"/>
      <c r="Y85" s="2"/>
      <c r="Z85" s="2" t="str">
        <f t="shared" si="8"/>
        <v/>
      </c>
      <c r="AA85" s="2" t="str">
        <f t="shared" si="9"/>
        <v/>
      </c>
      <c r="AB85" s="2" t="str">
        <f t="shared" si="10"/>
        <v/>
      </c>
      <c r="AC85" s="2" t="str">
        <f t="shared" si="11"/>
        <v>Walks with direction</v>
      </c>
      <c r="AD85" s="2"/>
      <c r="AE85" s="5"/>
      <c r="AF85" s="2"/>
      <c r="AG85" s="2"/>
      <c r="AH85" s="2"/>
      <c r="AI85" s="2"/>
    </row>
    <row r="86" spans="1:35">
      <c r="A86" s="2"/>
      <c r="B86" s="2"/>
      <c r="C86" s="2"/>
      <c r="D86" s="2"/>
      <c r="E86" s="5"/>
      <c r="F86" s="2"/>
      <c r="G86" s="5"/>
      <c r="H86" s="2"/>
      <c r="I86" s="2"/>
      <c r="J86" s="2"/>
      <c r="K86" s="2"/>
      <c r="L86" s="2"/>
      <c r="M86" s="2"/>
      <c r="N86" s="2"/>
      <c r="O86" s="2"/>
      <c r="P86" s="2"/>
      <c r="Q86" s="2"/>
      <c r="R86" s="2"/>
      <c r="S86" s="2"/>
      <c r="T86" s="2"/>
      <c r="U86" s="2"/>
      <c r="V86" s="2"/>
      <c r="W86" s="2"/>
      <c r="X86" s="2"/>
      <c r="Y86" s="2"/>
      <c r="Z86" s="2" t="str">
        <f t="shared" si="8"/>
        <v/>
      </c>
      <c r="AA86" s="2" t="str">
        <f t="shared" si="9"/>
        <v/>
      </c>
      <c r="AB86" s="2" t="str">
        <f t="shared" si="10"/>
        <v/>
      </c>
      <c r="AC86" s="2" t="str">
        <f t="shared" si="11"/>
        <v>Walks with direction</v>
      </c>
      <c r="AD86" s="2"/>
      <c r="AE86" s="5"/>
      <c r="AF86" s="2"/>
      <c r="AG86" s="2"/>
      <c r="AH86" s="2"/>
      <c r="AI86" s="2"/>
    </row>
    <row r="87" spans="1:35">
      <c r="A87" s="2"/>
      <c r="B87" s="2"/>
      <c r="C87" s="2"/>
      <c r="D87" s="2"/>
      <c r="E87" s="5"/>
      <c r="F87" s="2"/>
      <c r="G87" s="5"/>
      <c r="H87" s="2"/>
      <c r="I87" s="2"/>
      <c r="J87" s="2"/>
      <c r="K87" s="2"/>
      <c r="L87" s="2"/>
      <c r="M87" s="2"/>
      <c r="N87" s="2"/>
      <c r="O87" s="2"/>
      <c r="P87" s="2"/>
      <c r="Q87" s="2"/>
      <c r="R87" s="2"/>
      <c r="S87" s="2"/>
      <c r="T87" s="2"/>
      <c r="U87" s="2"/>
      <c r="V87" s="2"/>
      <c r="W87" s="2"/>
      <c r="X87" s="2"/>
      <c r="Y87" s="2"/>
      <c r="Z87" s="2" t="str">
        <f t="shared" si="8"/>
        <v/>
      </c>
      <c r="AA87" s="2" t="str">
        <f t="shared" si="9"/>
        <v/>
      </c>
      <c r="AB87" s="2" t="str">
        <f t="shared" si="10"/>
        <v/>
      </c>
      <c r="AC87" s="2" t="str">
        <f t="shared" si="11"/>
        <v>Walks with direction</v>
      </c>
      <c r="AD87" s="2"/>
      <c r="AE87" s="5"/>
      <c r="AF87" s="2"/>
      <c r="AG87" s="2"/>
      <c r="AH87" s="2"/>
      <c r="AI87" s="2"/>
    </row>
    <row r="88" spans="1:35">
      <c r="A88" s="2"/>
      <c r="B88" s="2"/>
      <c r="C88" s="2"/>
      <c r="D88" s="2"/>
      <c r="E88" s="5"/>
      <c r="F88" s="2"/>
      <c r="G88" s="5"/>
      <c r="H88" s="2"/>
      <c r="I88" s="2"/>
      <c r="J88" s="2"/>
      <c r="K88" s="2"/>
      <c r="L88" s="2"/>
      <c r="M88" s="2"/>
      <c r="N88" s="2"/>
      <c r="O88" s="2"/>
      <c r="P88" s="2"/>
      <c r="Q88" s="2"/>
      <c r="R88" s="2"/>
      <c r="S88" s="2"/>
      <c r="T88" s="2"/>
      <c r="U88" s="2"/>
      <c r="V88" s="2"/>
      <c r="W88" s="2"/>
      <c r="X88" s="2"/>
      <c r="Y88" s="2"/>
      <c r="Z88" s="2" t="str">
        <f t="shared" si="8"/>
        <v/>
      </c>
      <c r="AA88" s="2" t="str">
        <f t="shared" si="9"/>
        <v/>
      </c>
      <c r="AB88" s="2" t="str">
        <f t="shared" si="10"/>
        <v/>
      </c>
      <c r="AC88" s="2" t="str">
        <f t="shared" si="11"/>
        <v>Walks with direction</v>
      </c>
      <c r="AD88" s="2"/>
      <c r="AE88" s="5"/>
      <c r="AF88" s="2"/>
      <c r="AG88" s="2"/>
      <c r="AH88" s="2"/>
      <c r="AI88" s="2"/>
    </row>
    <row r="89" spans="1:35">
      <c r="A89" s="2"/>
      <c r="B89" s="2"/>
      <c r="C89" s="2"/>
      <c r="D89" s="2"/>
      <c r="E89" s="5"/>
      <c r="F89" s="2"/>
      <c r="G89" s="5"/>
      <c r="H89" s="2"/>
      <c r="I89" s="2"/>
      <c r="J89" s="2"/>
      <c r="K89" s="2"/>
      <c r="L89" s="2"/>
      <c r="M89" s="2"/>
      <c r="N89" s="2"/>
      <c r="O89" s="2"/>
      <c r="P89" s="2"/>
      <c r="Q89" s="2"/>
      <c r="R89" s="2"/>
      <c r="S89" s="2"/>
      <c r="T89" s="2"/>
      <c r="U89" s="2"/>
      <c r="V89" s="2"/>
      <c r="W89" s="2"/>
      <c r="X89" s="2"/>
      <c r="Y89" s="2"/>
      <c r="Z89" s="2" t="str">
        <f t="shared" si="8"/>
        <v/>
      </c>
      <c r="AA89" s="2" t="str">
        <f t="shared" si="9"/>
        <v/>
      </c>
      <c r="AB89" s="2" t="str">
        <f t="shared" si="10"/>
        <v/>
      </c>
      <c r="AC89" s="2" t="str">
        <f t="shared" si="11"/>
        <v>Walks with direction</v>
      </c>
      <c r="AD89" s="2"/>
      <c r="AE89" s="5"/>
      <c r="AF89" s="2"/>
      <c r="AG89" s="2"/>
      <c r="AH89" s="2"/>
      <c r="AI89" s="2"/>
    </row>
    <row r="90" spans="1:35">
      <c r="A90" s="2"/>
      <c r="B90" s="2"/>
      <c r="C90" s="2"/>
      <c r="D90" s="2"/>
      <c r="E90" s="5"/>
      <c r="F90" s="2"/>
      <c r="G90" s="5"/>
      <c r="H90" s="2"/>
      <c r="I90" s="2"/>
      <c r="J90" s="2"/>
      <c r="K90" s="2"/>
      <c r="L90" s="2"/>
      <c r="M90" s="2"/>
      <c r="N90" s="2"/>
      <c r="O90" s="2"/>
      <c r="P90" s="2"/>
      <c r="Q90" s="2"/>
      <c r="R90" s="2"/>
      <c r="S90" s="2"/>
      <c r="T90" s="2"/>
      <c r="U90" s="2"/>
      <c r="V90" s="2"/>
      <c r="W90" s="2"/>
      <c r="X90" s="2"/>
      <c r="Y90" s="2"/>
      <c r="Z90" s="2" t="str">
        <f t="shared" si="8"/>
        <v/>
      </c>
      <c r="AA90" s="2" t="str">
        <f t="shared" si="9"/>
        <v/>
      </c>
      <c r="AB90" s="2" t="str">
        <f t="shared" si="10"/>
        <v/>
      </c>
      <c r="AC90" s="2" t="str">
        <f t="shared" si="11"/>
        <v>Walks with direction</v>
      </c>
      <c r="AD90" s="2"/>
      <c r="AE90" s="5"/>
      <c r="AF90" s="2"/>
      <c r="AG90" s="2"/>
      <c r="AH90" s="2"/>
      <c r="AI90" s="2"/>
    </row>
    <row r="91" spans="1:35">
      <c r="A91" s="2"/>
      <c r="B91" s="2"/>
      <c r="C91" s="2"/>
      <c r="D91" s="2"/>
      <c r="E91" s="5"/>
      <c r="F91" s="2"/>
      <c r="G91" s="5"/>
      <c r="H91" s="2"/>
      <c r="I91" s="2"/>
      <c r="J91" s="2"/>
      <c r="K91" s="2"/>
      <c r="L91" s="2"/>
      <c r="M91" s="2"/>
      <c r="N91" s="2"/>
      <c r="O91" s="2"/>
      <c r="P91" s="2"/>
      <c r="Q91" s="2"/>
      <c r="R91" s="2"/>
      <c r="S91" s="2"/>
      <c r="T91" s="2"/>
      <c r="U91" s="2"/>
      <c r="V91" s="2"/>
      <c r="W91" s="2"/>
      <c r="X91" s="2"/>
      <c r="Y91" s="2"/>
      <c r="Z91" s="2" t="str">
        <f t="shared" si="8"/>
        <v/>
      </c>
      <c r="AA91" s="2" t="str">
        <f t="shared" si="9"/>
        <v/>
      </c>
      <c r="AB91" s="2" t="str">
        <f t="shared" si="10"/>
        <v/>
      </c>
      <c r="AC91" s="2" t="str">
        <f t="shared" si="11"/>
        <v>Walks with direction</v>
      </c>
      <c r="AD91" s="2"/>
      <c r="AE91" s="5"/>
      <c r="AF91" s="2"/>
      <c r="AG91" s="2"/>
      <c r="AH91" s="2"/>
      <c r="AI91" s="2"/>
    </row>
    <row r="92" spans="1:35">
      <c r="A92" s="2"/>
      <c r="B92" s="2"/>
      <c r="C92" s="2"/>
      <c r="D92" s="2"/>
      <c r="E92" s="5"/>
      <c r="F92" s="2"/>
      <c r="G92" s="5"/>
      <c r="H92" s="2"/>
      <c r="I92" s="2"/>
      <c r="J92" s="2"/>
      <c r="K92" s="2"/>
      <c r="L92" s="2"/>
      <c r="M92" s="2"/>
      <c r="N92" s="2"/>
      <c r="O92" s="2"/>
      <c r="P92" s="2"/>
      <c r="Q92" s="2"/>
      <c r="R92" s="2"/>
      <c r="S92" s="2"/>
      <c r="T92" s="2"/>
      <c r="U92" s="2"/>
      <c r="V92" s="2"/>
      <c r="W92" s="2"/>
      <c r="X92" s="2"/>
      <c r="Y92" s="2"/>
      <c r="Z92" s="2" t="str">
        <f t="shared" si="8"/>
        <v/>
      </c>
      <c r="AA92" s="2" t="str">
        <f t="shared" si="9"/>
        <v/>
      </c>
      <c r="AB92" s="2" t="str">
        <f t="shared" si="10"/>
        <v/>
      </c>
      <c r="AC92" s="2" t="str">
        <f t="shared" si="11"/>
        <v>Walks with direction</v>
      </c>
      <c r="AD92" s="2"/>
      <c r="AE92" s="5"/>
      <c r="AF92" s="2"/>
      <c r="AG92" s="2"/>
      <c r="AH92" s="2"/>
      <c r="AI92" s="2"/>
    </row>
    <row r="93" spans="1:35">
      <c r="A93" s="2"/>
      <c r="B93" s="2"/>
      <c r="C93" s="2"/>
      <c r="D93" s="2"/>
      <c r="E93" s="5"/>
      <c r="F93" s="2"/>
      <c r="G93" s="5"/>
      <c r="H93" s="2"/>
      <c r="I93" s="2"/>
      <c r="J93" s="2"/>
      <c r="K93" s="2"/>
      <c r="L93" s="2"/>
      <c r="M93" s="2"/>
      <c r="N93" s="2"/>
      <c r="O93" s="2"/>
      <c r="P93" s="2"/>
      <c r="Q93" s="2"/>
      <c r="R93" s="2"/>
      <c r="S93" s="2"/>
      <c r="T93" s="2"/>
      <c r="U93" s="2"/>
      <c r="V93" s="2"/>
      <c r="W93" s="2"/>
      <c r="X93" s="2"/>
      <c r="Y93" s="2"/>
      <c r="Z93" s="2" t="str">
        <f t="shared" si="8"/>
        <v/>
      </c>
      <c r="AA93" s="2" t="str">
        <f t="shared" si="9"/>
        <v/>
      </c>
      <c r="AB93" s="2" t="str">
        <f t="shared" si="10"/>
        <v/>
      </c>
      <c r="AC93" s="2" t="str">
        <f t="shared" si="11"/>
        <v>Walks with direction</v>
      </c>
      <c r="AD93" s="2"/>
      <c r="AE93" s="5"/>
      <c r="AF93" s="2"/>
      <c r="AG93" s="2"/>
      <c r="AH93" s="2"/>
      <c r="AI93" s="2"/>
    </row>
    <row r="94" spans="1:35">
      <c r="A94" s="2"/>
      <c r="B94" s="2"/>
      <c r="C94" s="2"/>
      <c r="D94" s="2"/>
      <c r="E94" s="5"/>
      <c r="F94" s="2"/>
      <c r="G94" s="5"/>
      <c r="H94" s="2"/>
      <c r="I94" s="2"/>
      <c r="J94" s="2"/>
      <c r="K94" s="2"/>
      <c r="L94" s="2"/>
      <c r="M94" s="2"/>
      <c r="N94" s="2"/>
      <c r="O94" s="2"/>
      <c r="P94" s="2"/>
      <c r="Q94" s="2"/>
      <c r="R94" s="2"/>
      <c r="S94" s="2"/>
      <c r="T94" s="2"/>
      <c r="U94" s="2"/>
      <c r="V94" s="2"/>
      <c r="W94" s="2"/>
      <c r="X94" s="2"/>
      <c r="Y94" s="2"/>
      <c r="Z94" s="2" t="str">
        <f t="shared" si="8"/>
        <v/>
      </c>
      <c r="AA94" s="2" t="str">
        <f t="shared" si="9"/>
        <v/>
      </c>
      <c r="AB94" s="2" t="str">
        <f t="shared" si="10"/>
        <v/>
      </c>
      <c r="AC94" s="2" t="str">
        <f t="shared" si="11"/>
        <v>Walks with direction</v>
      </c>
      <c r="AD94" s="2"/>
      <c r="AE94" s="5"/>
      <c r="AF94" s="2"/>
      <c r="AG94" s="2"/>
      <c r="AH94" s="2"/>
      <c r="AI94" s="2"/>
    </row>
    <row r="95" spans="1:35">
      <c r="A95" s="2"/>
      <c r="B95" s="2"/>
      <c r="C95" s="2"/>
      <c r="D95" s="2"/>
      <c r="E95" s="5"/>
      <c r="F95" s="2"/>
      <c r="G95" s="5"/>
      <c r="H95" s="2"/>
      <c r="I95" s="2"/>
      <c r="J95" s="2"/>
      <c r="K95" s="2"/>
      <c r="L95" s="2"/>
      <c r="M95" s="2"/>
      <c r="N95" s="2"/>
      <c r="O95" s="2"/>
      <c r="P95" s="2"/>
      <c r="Q95" s="2"/>
      <c r="R95" s="2"/>
      <c r="S95" s="2"/>
      <c r="T95" s="2"/>
      <c r="U95" s="2"/>
      <c r="V95" s="2"/>
      <c r="W95" s="2"/>
      <c r="X95" s="2"/>
      <c r="Y95" s="2"/>
      <c r="Z95" s="2" t="str">
        <f t="shared" si="8"/>
        <v/>
      </c>
      <c r="AA95" s="2" t="str">
        <f t="shared" si="9"/>
        <v/>
      </c>
      <c r="AB95" s="2" t="str">
        <f t="shared" si="10"/>
        <v/>
      </c>
      <c r="AC95" s="2" t="str">
        <f t="shared" si="11"/>
        <v>Walks with direction</v>
      </c>
      <c r="AD95" s="2"/>
      <c r="AE95" s="5"/>
      <c r="AF95" s="2"/>
      <c r="AG95" s="2"/>
      <c r="AH95" s="2"/>
      <c r="AI95" s="2"/>
    </row>
    <row r="96" spans="1:35">
      <c r="A96" s="2"/>
      <c r="B96" s="2"/>
      <c r="C96" s="2"/>
      <c r="D96" s="2"/>
      <c r="E96" s="5"/>
      <c r="F96" s="2"/>
      <c r="G96" s="5"/>
      <c r="H96" s="2"/>
      <c r="I96" s="2"/>
      <c r="J96" s="2"/>
      <c r="K96" s="2"/>
      <c r="L96" s="2"/>
      <c r="M96" s="2"/>
      <c r="N96" s="2"/>
      <c r="O96" s="2"/>
      <c r="P96" s="2"/>
      <c r="Q96" s="2"/>
      <c r="R96" s="2"/>
      <c r="S96" s="2"/>
      <c r="T96" s="2"/>
      <c r="U96" s="2"/>
      <c r="V96" s="2"/>
      <c r="W96" s="2"/>
      <c r="X96" s="2"/>
      <c r="Y96" s="2"/>
      <c r="Z96" s="2" t="str">
        <f t="shared" si="8"/>
        <v/>
      </c>
      <c r="AA96" s="2" t="str">
        <f t="shared" si="9"/>
        <v/>
      </c>
      <c r="AB96" s="2" t="str">
        <f t="shared" si="10"/>
        <v/>
      </c>
      <c r="AC96" s="2" t="str">
        <f t="shared" si="11"/>
        <v>Walks with direction</v>
      </c>
      <c r="AD96" s="2"/>
      <c r="AE96" s="5"/>
      <c r="AF96" s="2"/>
      <c r="AG96" s="2"/>
      <c r="AH96" s="2"/>
      <c r="AI96" s="2"/>
    </row>
    <row r="97" spans="1:35">
      <c r="A97" s="2"/>
      <c r="B97" s="2"/>
      <c r="C97" s="2"/>
      <c r="D97" s="2"/>
      <c r="E97" s="5"/>
      <c r="F97" s="2"/>
      <c r="G97" s="5"/>
      <c r="H97" s="2"/>
      <c r="I97" s="2"/>
      <c r="J97" s="2"/>
      <c r="K97" s="2"/>
      <c r="L97" s="2"/>
      <c r="M97" s="2"/>
      <c r="N97" s="2"/>
      <c r="O97" s="2"/>
      <c r="P97" s="2"/>
      <c r="Q97" s="2"/>
      <c r="R97" s="2"/>
      <c r="S97" s="2"/>
      <c r="T97" s="2"/>
      <c r="U97" s="2"/>
      <c r="V97" s="2"/>
      <c r="W97" s="2"/>
      <c r="X97" s="2"/>
      <c r="Y97" s="2"/>
      <c r="Z97" s="2" t="str">
        <f t="shared" si="8"/>
        <v/>
      </c>
      <c r="AA97" s="2" t="str">
        <f t="shared" si="9"/>
        <v/>
      </c>
      <c r="AB97" s="2" t="str">
        <f t="shared" si="10"/>
        <v/>
      </c>
      <c r="AC97" s="2" t="str">
        <f t="shared" si="11"/>
        <v>Walks with direction</v>
      </c>
      <c r="AD97" s="2"/>
      <c r="AE97" s="5"/>
      <c r="AF97" s="2"/>
      <c r="AG97" s="2"/>
      <c r="AH97" s="2"/>
      <c r="AI97" s="2"/>
    </row>
    <row r="98" spans="1:35">
      <c r="A98" s="2"/>
      <c r="B98" s="2"/>
      <c r="C98" s="2"/>
      <c r="D98" s="2"/>
      <c r="E98" s="5"/>
      <c r="F98" s="2"/>
      <c r="G98" s="5"/>
      <c r="H98" s="2"/>
      <c r="I98" s="2"/>
      <c r="J98" s="2"/>
      <c r="K98" s="2"/>
      <c r="L98" s="2"/>
      <c r="M98" s="2"/>
      <c r="N98" s="2"/>
      <c r="O98" s="2"/>
      <c r="P98" s="2"/>
      <c r="Q98" s="2"/>
      <c r="R98" s="2"/>
      <c r="S98" s="2"/>
      <c r="T98" s="2"/>
      <c r="U98" s="2"/>
      <c r="V98" s="2"/>
      <c r="W98" s="2"/>
      <c r="X98" s="2"/>
      <c r="Y98" s="2"/>
      <c r="Z98" s="2" t="str">
        <f t="shared" si="8"/>
        <v/>
      </c>
      <c r="AA98" s="2" t="str">
        <f t="shared" si="9"/>
        <v/>
      </c>
      <c r="AB98" s="2" t="str">
        <f t="shared" si="10"/>
        <v/>
      </c>
      <c r="AC98" s="2" t="str">
        <f t="shared" si="11"/>
        <v>Walks with direction</v>
      </c>
      <c r="AD98" s="2"/>
      <c r="AE98" s="5"/>
      <c r="AF98" s="2"/>
      <c r="AG98" s="2"/>
      <c r="AH98" s="2"/>
      <c r="AI98" s="2"/>
    </row>
    <row r="99" spans="1:35">
      <c r="A99" s="2"/>
      <c r="B99" s="2"/>
      <c r="C99" s="2"/>
      <c r="D99" s="2"/>
      <c r="E99" s="5"/>
      <c r="F99" s="2"/>
      <c r="G99" s="5"/>
      <c r="H99" s="2"/>
      <c r="I99" s="2"/>
      <c r="J99" s="2"/>
      <c r="K99" s="2"/>
      <c r="L99" s="2"/>
      <c r="M99" s="2"/>
      <c r="N99" s="2"/>
      <c r="O99" s="2"/>
      <c r="P99" s="2"/>
      <c r="Q99" s="2"/>
      <c r="R99" s="2"/>
      <c r="S99" s="2"/>
      <c r="T99" s="2"/>
      <c r="U99" s="2"/>
      <c r="V99" s="2"/>
      <c r="W99" s="2"/>
      <c r="X99" s="2"/>
      <c r="Y99" s="2"/>
      <c r="Z99" s="2" t="str">
        <f t="shared" si="8"/>
        <v/>
      </c>
      <c r="AA99" s="2" t="str">
        <f t="shared" si="9"/>
        <v/>
      </c>
      <c r="AB99" s="2" t="str">
        <f t="shared" si="10"/>
        <v/>
      </c>
      <c r="AC99" s="2" t="str">
        <f t="shared" si="11"/>
        <v>Walks with direction</v>
      </c>
      <c r="AD99" s="2"/>
      <c r="AE99" s="5"/>
      <c r="AF99" s="2"/>
      <c r="AG99" s="2"/>
      <c r="AH99" s="2"/>
      <c r="AI99" s="2"/>
    </row>
    <row r="100" spans="1:35">
      <c r="A100" s="2"/>
      <c r="B100" s="2"/>
      <c r="C100" s="2"/>
      <c r="D100" s="2"/>
      <c r="E100" s="5"/>
      <c r="F100" s="2"/>
      <c r="G100" s="5"/>
      <c r="H100" s="2"/>
      <c r="I100" s="2"/>
      <c r="J100" s="2"/>
      <c r="K100" s="2"/>
      <c r="L100" s="2"/>
      <c r="M100" s="2"/>
      <c r="N100" s="2"/>
      <c r="O100" s="2"/>
      <c r="P100" s="2"/>
      <c r="Q100" s="2"/>
      <c r="R100" s="2"/>
      <c r="S100" s="2"/>
      <c r="T100" s="2"/>
      <c r="U100" s="2"/>
      <c r="V100" s="2"/>
      <c r="W100" s="2"/>
      <c r="X100" s="2"/>
      <c r="Y100" s="2"/>
      <c r="Z100" s="2" t="str">
        <f t="shared" si="8"/>
        <v/>
      </c>
      <c r="AA100" s="2" t="str">
        <f t="shared" si="9"/>
        <v/>
      </c>
      <c r="AB100" s="2" t="str">
        <f t="shared" si="10"/>
        <v/>
      </c>
      <c r="AC100" s="2" t="str">
        <f t="shared" si="11"/>
        <v>Walks with direction</v>
      </c>
      <c r="AD100" s="2"/>
      <c r="AE100" s="5"/>
      <c r="AF100" s="2"/>
      <c r="AG100" s="2"/>
      <c r="AH100" s="2"/>
      <c r="AI100" s="2"/>
    </row>
    <row r="101" spans="1:35">
      <c r="A101" s="2"/>
      <c r="B101" s="2"/>
      <c r="C101" s="2"/>
      <c r="D101" s="2"/>
      <c r="E101" s="5"/>
      <c r="F101" s="2"/>
      <c r="G101" s="5"/>
      <c r="H101" s="2"/>
      <c r="I101" s="2"/>
      <c r="J101" s="2"/>
      <c r="K101" s="2"/>
      <c r="L101" s="2"/>
      <c r="M101" s="2"/>
      <c r="N101" s="2"/>
      <c r="O101" s="2"/>
      <c r="P101" s="2"/>
      <c r="Q101" s="2"/>
      <c r="R101" s="2"/>
      <c r="S101" s="2"/>
      <c r="T101" s="2"/>
      <c r="U101" s="2"/>
      <c r="V101" s="2"/>
      <c r="W101" s="2"/>
      <c r="X101" s="2"/>
      <c r="Y101" s="2"/>
      <c r="Z101" s="2" t="str">
        <f t="shared" si="8"/>
        <v/>
      </c>
      <c r="AA101" s="2" t="str">
        <f t="shared" si="9"/>
        <v/>
      </c>
      <c r="AB101" s="2" t="str">
        <f t="shared" si="10"/>
        <v/>
      </c>
      <c r="AC101" s="2" t="str">
        <f t="shared" si="11"/>
        <v>Walks with direction</v>
      </c>
      <c r="AD101" s="2"/>
      <c r="AE101" s="5"/>
      <c r="AF101" s="2"/>
      <c r="AG101" s="2"/>
      <c r="AH101" s="2"/>
      <c r="AI101" s="2"/>
    </row>
    <row r="102" spans="1:35">
      <c r="A102" s="2"/>
      <c r="B102" s="2"/>
      <c r="C102" s="2"/>
      <c r="D102" s="2"/>
      <c r="E102" s="5"/>
      <c r="F102" s="2"/>
      <c r="G102" s="5"/>
      <c r="H102" s="2"/>
      <c r="I102" s="2"/>
      <c r="J102" s="2"/>
      <c r="K102" s="2"/>
      <c r="L102" s="2"/>
      <c r="M102" s="2"/>
      <c r="N102" s="2"/>
      <c r="O102" s="2"/>
      <c r="P102" s="2"/>
      <c r="Q102" s="2"/>
      <c r="R102" s="2"/>
      <c r="S102" s="2"/>
      <c r="T102" s="2"/>
      <c r="U102" s="2"/>
      <c r="V102" s="2"/>
      <c r="W102" s="2"/>
      <c r="X102" s="2"/>
      <c r="Y102" s="2"/>
      <c r="Z102" s="2" t="str">
        <f t="shared" si="8"/>
        <v/>
      </c>
      <c r="AA102" s="2" t="str">
        <f t="shared" si="9"/>
        <v/>
      </c>
      <c r="AB102" s="2" t="str">
        <f t="shared" si="10"/>
        <v/>
      </c>
      <c r="AC102" s="2" t="str">
        <f t="shared" si="11"/>
        <v>Walks with direction</v>
      </c>
      <c r="AD102" s="2"/>
      <c r="AE102" s="5"/>
      <c r="AF102" s="2"/>
      <c r="AG102" s="2"/>
      <c r="AH102" s="2"/>
      <c r="AI102" s="2"/>
    </row>
    <row r="103" spans="1:35">
      <c r="A103" s="2"/>
      <c r="B103" s="2"/>
      <c r="C103" s="2"/>
      <c r="D103" s="2"/>
      <c r="E103" s="5"/>
      <c r="F103" s="2"/>
      <c r="G103" s="5"/>
      <c r="H103" s="2"/>
      <c r="I103" s="2"/>
      <c r="J103" s="2"/>
      <c r="K103" s="2"/>
      <c r="L103" s="2"/>
      <c r="M103" s="2"/>
      <c r="N103" s="2"/>
      <c r="O103" s="2"/>
      <c r="P103" s="2"/>
      <c r="Q103" s="2"/>
      <c r="R103" s="2"/>
      <c r="S103" s="2"/>
      <c r="T103" s="2"/>
      <c r="U103" s="2"/>
      <c r="V103" s="2"/>
      <c r="W103" s="2"/>
      <c r="X103" s="2"/>
      <c r="Y103" s="2"/>
      <c r="Z103" s="2" t="str">
        <f t="shared" si="8"/>
        <v/>
      </c>
      <c r="AA103" s="2" t="str">
        <f t="shared" si="9"/>
        <v/>
      </c>
      <c r="AB103" s="2" t="str">
        <f t="shared" si="10"/>
        <v/>
      </c>
      <c r="AC103" s="2" t="str">
        <f t="shared" si="11"/>
        <v>Walks with direction</v>
      </c>
      <c r="AD103" s="2"/>
      <c r="AE103" s="5"/>
      <c r="AF103" s="2"/>
      <c r="AG103" s="2"/>
      <c r="AH103" s="2"/>
      <c r="AI103" s="2"/>
    </row>
    <row r="104" spans="1:35">
      <c r="A104" s="2"/>
      <c r="B104" s="2"/>
      <c r="C104" s="2"/>
      <c r="D104" s="2"/>
      <c r="E104" s="5"/>
      <c r="F104" s="2"/>
      <c r="G104" s="5"/>
      <c r="H104" s="2"/>
      <c r="I104" s="2"/>
      <c r="J104" s="2"/>
      <c r="K104" s="2"/>
      <c r="L104" s="2"/>
      <c r="M104" s="2"/>
      <c r="N104" s="2"/>
      <c r="O104" s="2"/>
      <c r="P104" s="2"/>
      <c r="Q104" s="2"/>
      <c r="R104" s="2"/>
      <c r="S104" s="2"/>
      <c r="T104" s="2"/>
      <c r="U104" s="2"/>
      <c r="V104" s="2"/>
      <c r="W104" s="2"/>
      <c r="X104" s="2"/>
      <c r="Y104" s="2"/>
      <c r="Z104" s="2" t="str">
        <f t="shared" si="8"/>
        <v/>
      </c>
      <c r="AA104" s="2" t="str">
        <f t="shared" si="9"/>
        <v/>
      </c>
      <c r="AB104" s="2" t="str">
        <f t="shared" si="10"/>
        <v/>
      </c>
      <c r="AC104" s="2" t="str">
        <f t="shared" si="11"/>
        <v>Walks with direction</v>
      </c>
      <c r="AD104" s="2"/>
      <c r="AE104" s="5"/>
      <c r="AF104" s="2"/>
      <c r="AG104" s="2"/>
      <c r="AH104" s="2"/>
      <c r="AI104" s="2"/>
    </row>
    <row r="105" spans="1:35">
      <c r="A105" s="2"/>
      <c r="B105" s="2"/>
      <c r="C105" s="2"/>
      <c r="D105" s="2"/>
      <c r="E105" s="5"/>
      <c r="F105" s="2"/>
      <c r="G105" s="5"/>
      <c r="H105" s="2"/>
      <c r="I105" s="2"/>
      <c r="J105" s="2"/>
      <c r="K105" s="2"/>
      <c r="L105" s="2"/>
      <c r="M105" s="2"/>
      <c r="N105" s="2"/>
      <c r="O105" s="2"/>
      <c r="P105" s="2"/>
      <c r="Q105" s="2"/>
      <c r="R105" s="2"/>
      <c r="S105" s="2"/>
      <c r="T105" s="2"/>
      <c r="U105" s="2"/>
      <c r="V105" s="2"/>
      <c r="W105" s="2"/>
      <c r="X105" s="2"/>
      <c r="Y105" s="2"/>
      <c r="Z105" s="2" t="str">
        <f t="shared" si="8"/>
        <v/>
      </c>
      <c r="AA105" s="2" t="str">
        <f t="shared" si="9"/>
        <v/>
      </c>
      <c r="AB105" s="2" t="str">
        <f t="shared" si="10"/>
        <v/>
      </c>
      <c r="AC105" s="2" t="str">
        <f t="shared" si="11"/>
        <v>Walks with direction</v>
      </c>
      <c r="AD105" s="2"/>
      <c r="AE105" s="5"/>
      <c r="AF105" s="2"/>
      <c r="AG105" s="2"/>
      <c r="AH105" s="2"/>
      <c r="AI105" s="2"/>
    </row>
    <row r="106" spans="1:35">
      <c r="A106" s="2"/>
      <c r="B106" s="2"/>
      <c r="C106" s="2"/>
      <c r="D106" s="2"/>
      <c r="E106" s="5"/>
      <c r="F106" s="2"/>
      <c r="G106" s="5"/>
      <c r="H106" s="2"/>
      <c r="I106" s="2"/>
      <c r="J106" s="2"/>
      <c r="K106" s="2"/>
      <c r="L106" s="2"/>
      <c r="M106" s="2"/>
      <c r="N106" s="2"/>
      <c r="O106" s="2"/>
      <c r="P106" s="2"/>
      <c r="Q106" s="2"/>
      <c r="R106" s="2"/>
      <c r="S106" s="2"/>
      <c r="T106" s="2"/>
      <c r="U106" s="2"/>
      <c r="V106" s="2"/>
      <c r="W106" s="2"/>
      <c r="X106" s="2"/>
      <c r="Y106" s="2"/>
      <c r="Z106" s="2" t="str">
        <f t="shared" si="8"/>
        <v/>
      </c>
      <c r="AA106" s="2" t="str">
        <f t="shared" si="9"/>
        <v/>
      </c>
      <c r="AB106" s="2" t="str">
        <f t="shared" si="10"/>
        <v/>
      </c>
      <c r="AC106" s="2" t="str">
        <f t="shared" si="11"/>
        <v>Walks with direction</v>
      </c>
      <c r="AD106" s="2"/>
      <c r="AE106" s="5"/>
      <c r="AF106" s="2"/>
      <c r="AG106" s="2"/>
      <c r="AH106" s="2"/>
      <c r="AI106" s="2"/>
    </row>
    <row r="107" spans="1:35">
      <c r="A107" s="2"/>
      <c r="B107" s="2"/>
      <c r="C107" s="2"/>
      <c r="D107" s="2"/>
      <c r="E107" s="5"/>
      <c r="F107" s="2"/>
      <c r="G107" s="5"/>
      <c r="H107" s="2"/>
      <c r="I107" s="2"/>
      <c r="J107" s="2"/>
      <c r="K107" s="2"/>
      <c r="L107" s="2"/>
      <c r="M107" s="2"/>
      <c r="N107" s="2"/>
      <c r="O107" s="2"/>
      <c r="P107" s="2"/>
      <c r="Q107" s="2"/>
      <c r="R107" s="2"/>
      <c r="S107" s="2"/>
      <c r="T107" s="2"/>
      <c r="U107" s="2"/>
      <c r="V107" s="2"/>
      <c r="W107" s="2"/>
      <c r="X107" s="2"/>
      <c r="Y107" s="2"/>
      <c r="Z107" s="2" t="str">
        <f t="shared" si="8"/>
        <v/>
      </c>
      <c r="AA107" s="2" t="str">
        <f t="shared" si="9"/>
        <v/>
      </c>
      <c r="AB107" s="2" t="str">
        <f t="shared" si="10"/>
        <v/>
      </c>
      <c r="AC107" s="2" t="str">
        <f t="shared" si="11"/>
        <v>Walks with direction</v>
      </c>
      <c r="AD107" s="2"/>
      <c r="AE107" s="5"/>
      <c r="AF107" s="2"/>
      <c r="AG107" s="2"/>
      <c r="AH107" s="2"/>
      <c r="AI107" s="2"/>
    </row>
    <row r="108" spans="1:35">
      <c r="A108" s="2"/>
      <c r="B108" s="2"/>
      <c r="C108" s="2"/>
      <c r="D108" s="2"/>
      <c r="E108" s="5"/>
      <c r="F108" s="2"/>
      <c r="G108" s="5"/>
      <c r="H108" s="2"/>
      <c r="I108" s="2"/>
      <c r="J108" s="2"/>
      <c r="K108" s="2"/>
      <c r="L108" s="2"/>
      <c r="M108" s="2"/>
      <c r="N108" s="2"/>
      <c r="O108" s="2"/>
      <c r="P108" s="2"/>
      <c r="Q108" s="2"/>
      <c r="R108" s="2"/>
      <c r="S108" s="2"/>
      <c r="T108" s="2"/>
      <c r="U108" s="2"/>
      <c r="V108" s="2"/>
      <c r="W108" s="2"/>
      <c r="X108" s="2"/>
      <c r="Y108" s="2"/>
      <c r="Z108" s="2" t="str">
        <f t="shared" si="8"/>
        <v/>
      </c>
      <c r="AA108" s="2" t="str">
        <f t="shared" si="9"/>
        <v/>
      </c>
      <c r="AB108" s="2" t="str">
        <f t="shared" si="10"/>
        <v/>
      </c>
      <c r="AC108" s="2" t="str">
        <f t="shared" si="11"/>
        <v>Walks with direction</v>
      </c>
      <c r="AD108" s="2"/>
      <c r="AE108" s="5"/>
      <c r="AF108" s="2"/>
      <c r="AG108" s="2"/>
      <c r="AH108" s="2"/>
      <c r="AI108" s="2"/>
    </row>
    <row r="109" spans="1:35">
      <c r="A109" s="2"/>
      <c r="B109" s="2"/>
      <c r="C109" s="2"/>
      <c r="D109" s="2"/>
      <c r="E109" s="5"/>
      <c r="F109" s="2"/>
      <c r="G109" s="5"/>
      <c r="H109" s="2"/>
      <c r="I109" s="2"/>
      <c r="J109" s="2"/>
      <c r="K109" s="2"/>
      <c r="L109" s="2"/>
      <c r="M109" s="2"/>
      <c r="N109" s="2"/>
      <c r="O109" s="2"/>
      <c r="P109" s="2"/>
      <c r="Q109" s="2"/>
      <c r="R109" s="2"/>
      <c r="S109" s="2"/>
      <c r="T109" s="2"/>
      <c r="U109" s="2"/>
      <c r="V109" s="2"/>
      <c r="W109" s="2"/>
      <c r="X109" s="2"/>
      <c r="Y109" s="2"/>
      <c r="Z109" s="2" t="str">
        <f t="shared" si="8"/>
        <v/>
      </c>
      <c r="AA109" s="2" t="str">
        <f t="shared" si="9"/>
        <v/>
      </c>
      <c r="AB109" s="2" t="str">
        <f t="shared" si="10"/>
        <v/>
      </c>
      <c r="AC109" s="2" t="str">
        <f t="shared" si="11"/>
        <v>Walks with direction</v>
      </c>
      <c r="AD109" s="2"/>
      <c r="AE109" s="5"/>
      <c r="AF109" s="2"/>
      <c r="AG109" s="2"/>
      <c r="AH109" s="2"/>
      <c r="AI109" s="2"/>
    </row>
    <row r="110" spans="1:35">
      <c r="A110" s="2"/>
      <c r="B110" s="2"/>
      <c r="C110" s="2"/>
      <c r="D110" s="2"/>
      <c r="E110" s="5"/>
      <c r="F110" s="2"/>
      <c r="G110" s="5"/>
      <c r="H110" s="2"/>
      <c r="I110" s="2"/>
      <c r="J110" s="2"/>
      <c r="K110" s="2"/>
      <c r="L110" s="2"/>
      <c r="M110" s="2"/>
      <c r="N110" s="2"/>
      <c r="O110" s="2"/>
      <c r="P110" s="2"/>
      <c r="Q110" s="2"/>
      <c r="R110" s="2"/>
      <c r="S110" s="2"/>
      <c r="T110" s="2"/>
      <c r="U110" s="2"/>
      <c r="V110" s="2"/>
      <c r="W110" s="2"/>
      <c r="X110" s="2"/>
      <c r="Y110" s="2"/>
      <c r="Z110" s="2" t="str">
        <f t="shared" si="8"/>
        <v/>
      </c>
      <c r="AA110" s="2" t="str">
        <f t="shared" si="9"/>
        <v/>
      </c>
      <c r="AB110" s="2" t="str">
        <f t="shared" si="10"/>
        <v/>
      </c>
      <c r="AC110" s="2" t="str">
        <f t="shared" si="11"/>
        <v>Walks with direction</v>
      </c>
      <c r="AD110" s="2"/>
      <c r="AE110" s="5"/>
      <c r="AF110" s="2"/>
      <c r="AG110" s="2"/>
      <c r="AH110" s="2"/>
      <c r="AI110" s="2"/>
    </row>
    <row r="111" spans="1:35">
      <c r="A111" s="2"/>
      <c r="B111" s="2"/>
      <c r="C111" s="2"/>
      <c r="D111" s="2"/>
      <c r="E111" s="5"/>
      <c r="F111" s="2"/>
      <c r="G111" s="5"/>
      <c r="H111" s="2"/>
      <c r="I111" s="2"/>
      <c r="J111" s="2"/>
      <c r="K111" s="2"/>
      <c r="L111" s="2"/>
      <c r="M111" s="2"/>
      <c r="N111" s="2"/>
      <c r="O111" s="2"/>
      <c r="P111" s="2"/>
      <c r="Q111" s="2"/>
      <c r="R111" s="2"/>
      <c r="S111" s="2"/>
      <c r="T111" s="2"/>
      <c r="U111" s="2"/>
      <c r="V111" s="2"/>
      <c r="W111" s="2"/>
      <c r="X111" s="2"/>
      <c r="Y111" s="2"/>
      <c r="Z111" s="2" t="str">
        <f t="shared" si="8"/>
        <v/>
      </c>
      <c r="AA111" s="2" t="str">
        <f t="shared" si="9"/>
        <v/>
      </c>
      <c r="AB111" s="2" t="str">
        <f t="shared" si="10"/>
        <v/>
      </c>
      <c r="AC111" s="2" t="str">
        <f t="shared" si="11"/>
        <v>Walks with direction</v>
      </c>
      <c r="AD111" s="2"/>
      <c r="AE111" s="5"/>
      <c r="AF111" s="2"/>
      <c r="AG111" s="2"/>
      <c r="AH111" s="2"/>
      <c r="AI111" s="2"/>
    </row>
    <row r="112" spans="1:35">
      <c r="A112" s="2"/>
      <c r="B112" s="2"/>
      <c r="C112" s="2"/>
      <c r="D112" s="2"/>
      <c r="E112" s="5"/>
      <c r="F112" s="2"/>
      <c r="G112" s="5"/>
      <c r="H112" s="2"/>
      <c r="I112" s="2"/>
      <c r="J112" s="2"/>
      <c r="K112" s="2"/>
      <c r="L112" s="2"/>
      <c r="M112" s="2"/>
      <c r="N112" s="2"/>
      <c r="O112" s="2"/>
      <c r="P112" s="2"/>
      <c r="Q112" s="2"/>
      <c r="R112" s="2"/>
      <c r="S112" s="2"/>
      <c r="T112" s="2"/>
      <c r="U112" s="2"/>
      <c r="V112" s="2"/>
      <c r="W112" s="2"/>
      <c r="X112" s="2"/>
      <c r="Y112" s="2"/>
      <c r="Z112" s="2" t="str">
        <f t="shared" si="8"/>
        <v/>
      </c>
      <c r="AA112" s="2" t="str">
        <f t="shared" si="9"/>
        <v/>
      </c>
      <c r="AB112" s="2" t="str">
        <f t="shared" si="10"/>
        <v/>
      </c>
      <c r="AC112" s="2" t="str">
        <f t="shared" si="11"/>
        <v>Walks with direction</v>
      </c>
      <c r="AD112" s="2"/>
      <c r="AE112" s="5"/>
      <c r="AF112" s="2"/>
      <c r="AG112" s="2"/>
      <c r="AH112" s="2"/>
      <c r="AI112" s="2"/>
    </row>
    <row r="113" spans="1:35">
      <c r="A113" s="2"/>
      <c r="B113" s="2"/>
      <c r="C113" s="2"/>
      <c r="D113" s="2"/>
      <c r="E113" s="5"/>
      <c r="F113" s="2"/>
      <c r="G113" s="5"/>
      <c r="H113" s="2"/>
      <c r="I113" s="2"/>
      <c r="J113" s="2"/>
      <c r="K113" s="2"/>
      <c r="L113" s="2"/>
      <c r="M113" s="2"/>
      <c r="N113" s="2"/>
      <c r="O113" s="2"/>
      <c r="P113" s="2"/>
      <c r="Q113" s="2"/>
      <c r="R113" s="2"/>
      <c r="S113" s="2"/>
      <c r="T113" s="2"/>
      <c r="U113" s="2"/>
      <c r="V113" s="2"/>
      <c r="W113" s="2"/>
      <c r="X113" s="2"/>
      <c r="Y113" s="2"/>
      <c r="Z113" s="2" t="str">
        <f t="shared" si="8"/>
        <v/>
      </c>
      <c r="AA113" s="2" t="str">
        <f t="shared" si="9"/>
        <v/>
      </c>
      <c r="AB113" s="2" t="str">
        <f t="shared" si="10"/>
        <v/>
      </c>
      <c r="AC113" s="2" t="str">
        <f t="shared" si="11"/>
        <v>Walks with direction</v>
      </c>
      <c r="AD113" s="2"/>
      <c r="AE113" s="5"/>
      <c r="AF113" s="2"/>
      <c r="AG113" s="2"/>
      <c r="AH113" s="2"/>
      <c r="AI113" s="2"/>
    </row>
    <row r="114" spans="1:35">
      <c r="A114" s="2"/>
      <c r="B114" s="2"/>
      <c r="C114" s="2"/>
      <c r="D114" s="2"/>
      <c r="E114" s="5"/>
      <c r="F114" s="2"/>
      <c r="G114" s="5"/>
      <c r="H114" s="2"/>
      <c r="I114" s="2"/>
      <c r="J114" s="2"/>
      <c r="K114" s="2"/>
      <c r="L114" s="2"/>
      <c r="M114" s="2"/>
      <c r="N114" s="2"/>
      <c r="O114" s="2"/>
      <c r="P114" s="2"/>
      <c r="Q114" s="2"/>
      <c r="R114" s="2"/>
      <c r="S114" s="2"/>
      <c r="T114" s="2"/>
      <c r="U114" s="2"/>
      <c r="V114" s="2"/>
      <c r="W114" s="2"/>
      <c r="X114" s="2"/>
      <c r="Y114" s="2"/>
      <c r="Z114" s="2" t="str">
        <f t="shared" ref="Z114:Z145" si="12">IF(COUNTA(H114:Y114)=0,"",IF(COUNTIF(H114:Y114,"Very High")&gt;0,"Very High",IF(COUNTIF(H114:Y114,"High")&gt;0,"High",IF(COUNTIF(H114:Y114,"Medium")&gt;0,"Medium","Low"))))</f>
        <v/>
      </c>
      <c r="AA114" s="2" t="str">
        <f t="shared" ref="AA114:AA145" si="13">IF(Z114="","",IF(Z114="Low","Routine planned support",IF(Z114="Medium","One staff support/supervision likely",IF(Z114="High","Two staff/review staffing and equipment","Manager review: multiple staff/specialist support"))))</f>
        <v/>
      </c>
      <c r="AB114" s="2" t="str">
        <f t="shared" si="10"/>
        <v/>
      </c>
      <c r="AC114" s="2" t="str">
        <f t="shared" si="11"/>
        <v>Walks with direction</v>
      </c>
      <c r="AD114" s="2"/>
      <c r="AE114" s="5"/>
      <c r="AF114" s="2"/>
      <c r="AG114" s="2"/>
      <c r="AH114" s="2"/>
      <c r="AI114" s="2"/>
    </row>
    <row r="115" spans="1:35">
      <c r="A115" s="2"/>
      <c r="B115" s="2"/>
      <c r="C115" s="2"/>
      <c r="D115" s="2"/>
      <c r="E115" s="5"/>
      <c r="F115" s="2"/>
      <c r="G115" s="5"/>
      <c r="H115" s="2"/>
      <c r="I115" s="2"/>
      <c r="J115" s="2"/>
      <c r="K115" s="2"/>
      <c r="L115" s="2"/>
      <c r="M115" s="2"/>
      <c r="N115" s="2"/>
      <c r="O115" s="2"/>
      <c r="P115" s="2"/>
      <c r="Q115" s="2"/>
      <c r="R115" s="2"/>
      <c r="S115" s="2"/>
      <c r="T115" s="2"/>
      <c r="U115" s="2"/>
      <c r="V115" s="2"/>
      <c r="W115" s="2"/>
      <c r="X115" s="2"/>
      <c r="Y115" s="2"/>
      <c r="Z115" s="2" t="str">
        <f t="shared" si="12"/>
        <v/>
      </c>
      <c r="AA115" s="2" t="str">
        <f t="shared" si="13"/>
        <v/>
      </c>
      <c r="AB115" s="2" t="str">
        <f t="shared" si="10"/>
        <v/>
      </c>
      <c r="AC115" s="2" t="str">
        <f t="shared" si="11"/>
        <v>Walks with direction</v>
      </c>
      <c r="AD115" s="2"/>
      <c r="AE115" s="5"/>
      <c r="AF115" s="2"/>
      <c r="AG115" s="2"/>
      <c r="AH115" s="2"/>
      <c r="AI115" s="2"/>
    </row>
    <row r="116" spans="1:35">
      <c r="A116" s="2"/>
      <c r="B116" s="2"/>
      <c r="C116" s="2"/>
      <c r="D116" s="2"/>
      <c r="E116" s="5"/>
      <c r="F116" s="2"/>
      <c r="G116" s="5"/>
      <c r="H116" s="2"/>
      <c r="I116" s="2"/>
      <c r="J116" s="2"/>
      <c r="K116" s="2"/>
      <c r="L116" s="2"/>
      <c r="M116" s="2"/>
      <c r="N116" s="2"/>
      <c r="O116" s="2"/>
      <c r="P116" s="2"/>
      <c r="Q116" s="2"/>
      <c r="R116" s="2"/>
      <c r="S116" s="2"/>
      <c r="T116" s="2"/>
      <c r="U116" s="2"/>
      <c r="V116" s="2"/>
      <c r="W116" s="2"/>
      <c r="X116" s="2"/>
      <c r="Y116" s="2"/>
      <c r="Z116" s="2" t="str">
        <f t="shared" si="12"/>
        <v/>
      </c>
      <c r="AA116" s="2" t="str">
        <f t="shared" si="13"/>
        <v/>
      </c>
      <c r="AB116" s="2" t="str">
        <f t="shared" si="10"/>
        <v/>
      </c>
      <c r="AC116" s="2" t="str">
        <f t="shared" si="11"/>
        <v>Walks with direction</v>
      </c>
      <c r="AD116" s="2"/>
      <c r="AE116" s="5"/>
      <c r="AF116" s="2"/>
      <c r="AG116" s="2"/>
      <c r="AH116" s="2"/>
      <c r="AI116" s="2"/>
    </row>
    <row r="117" spans="1:35">
      <c r="A117" s="2"/>
      <c r="B117" s="2"/>
      <c r="C117" s="2"/>
      <c r="D117" s="2"/>
      <c r="E117" s="5"/>
      <c r="F117" s="2"/>
      <c r="G117" s="5"/>
      <c r="H117" s="2"/>
      <c r="I117" s="2"/>
      <c r="J117" s="2"/>
      <c r="K117" s="2"/>
      <c r="L117" s="2"/>
      <c r="M117" s="2"/>
      <c r="N117" s="2"/>
      <c r="O117" s="2"/>
      <c r="P117" s="2"/>
      <c r="Q117" s="2"/>
      <c r="R117" s="2"/>
      <c r="S117" s="2"/>
      <c r="T117" s="2"/>
      <c r="U117" s="2"/>
      <c r="V117" s="2"/>
      <c r="W117" s="2"/>
      <c r="X117" s="2"/>
      <c r="Y117" s="2"/>
      <c r="Z117" s="2" t="str">
        <f t="shared" si="12"/>
        <v/>
      </c>
      <c r="AA117" s="2" t="str">
        <f t="shared" si="13"/>
        <v/>
      </c>
      <c r="AB117" s="2" t="str">
        <f t="shared" si="10"/>
        <v/>
      </c>
      <c r="AC117" s="2" t="str">
        <f t="shared" si="11"/>
        <v>Walks with direction</v>
      </c>
      <c r="AD117" s="2"/>
      <c r="AE117" s="5"/>
      <c r="AF117" s="2"/>
      <c r="AG117" s="2"/>
      <c r="AH117" s="2"/>
      <c r="AI117" s="2"/>
    </row>
    <row r="122" spans="1:35">
      <c r="A122" s="9" t="s">
        <v>153</v>
      </c>
      <c r="B122" s="7"/>
      <c r="C122" s="7"/>
      <c r="D122" s="7"/>
      <c r="E122" s="7"/>
    </row>
    <row r="123" spans="1:35">
      <c r="A123" s="1" t="s">
        <v>154</v>
      </c>
      <c r="B123" s="1" t="s">
        <v>6</v>
      </c>
      <c r="C123" s="1" t="s">
        <v>12</v>
      </c>
      <c r="D123" s="1" t="s">
        <v>18</v>
      </c>
      <c r="E123" s="1" t="s">
        <v>23</v>
      </c>
    </row>
    <row r="124" spans="1:35" ht="42">
      <c r="A124" s="2" t="s">
        <v>124</v>
      </c>
      <c r="B124" s="2" t="s">
        <v>155</v>
      </c>
      <c r="C124" s="2" t="s">
        <v>156</v>
      </c>
      <c r="D124" s="2" t="s">
        <v>157</v>
      </c>
      <c r="E124" s="2" t="s">
        <v>158</v>
      </c>
    </row>
    <row r="125" spans="1:35" ht="28">
      <c r="A125" s="2" t="s">
        <v>125</v>
      </c>
      <c r="B125" s="2" t="s">
        <v>159</v>
      </c>
      <c r="C125" s="2" t="s">
        <v>160</v>
      </c>
      <c r="D125" s="2" t="s">
        <v>161</v>
      </c>
      <c r="E125" s="2" t="s">
        <v>162</v>
      </c>
    </row>
    <row r="126" spans="1:35" ht="28">
      <c r="A126" s="2" t="s">
        <v>126</v>
      </c>
      <c r="B126" s="2" t="s">
        <v>163</v>
      </c>
      <c r="C126" s="2" t="s">
        <v>164</v>
      </c>
      <c r="D126" s="2" t="s">
        <v>165</v>
      </c>
      <c r="E126" s="2" t="s">
        <v>166</v>
      </c>
    </row>
    <row r="127" spans="1:35" ht="42">
      <c r="A127" s="2" t="s">
        <v>127</v>
      </c>
      <c r="B127" s="2" t="s">
        <v>167</v>
      </c>
      <c r="C127" s="2" t="s">
        <v>168</v>
      </c>
      <c r="D127" s="2" t="s">
        <v>169</v>
      </c>
      <c r="E127" s="2" t="s">
        <v>170</v>
      </c>
    </row>
    <row r="128" spans="1:35" ht="42">
      <c r="A128" s="2" t="s">
        <v>128</v>
      </c>
      <c r="B128" s="2" t="s">
        <v>171</v>
      </c>
      <c r="C128" s="2" t="s">
        <v>172</v>
      </c>
      <c r="D128" s="2" t="s">
        <v>173</v>
      </c>
      <c r="E128" s="2" t="s">
        <v>174</v>
      </c>
    </row>
    <row r="129" spans="1:5" ht="42">
      <c r="A129" s="2" t="s">
        <v>129</v>
      </c>
      <c r="B129" s="2" t="s">
        <v>175</v>
      </c>
      <c r="C129" s="2" t="s">
        <v>176</v>
      </c>
      <c r="D129" s="2" t="s">
        <v>177</v>
      </c>
      <c r="E129" s="2" t="s">
        <v>178</v>
      </c>
    </row>
    <row r="130" spans="1:5" ht="42">
      <c r="A130" s="2" t="s">
        <v>130</v>
      </c>
      <c r="B130" s="2" t="s">
        <v>179</v>
      </c>
      <c r="C130" s="2" t="s">
        <v>180</v>
      </c>
      <c r="D130" s="2" t="s">
        <v>181</v>
      </c>
      <c r="E130" s="2" t="s">
        <v>182</v>
      </c>
    </row>
    <row r="131" spans="1:5" ht="42">
      <c r="A131" s="2" t="s">
        <v>131</v>
      </c>
      <c r="B131" s="2" t="s">
        <v>183</v>
      </c>
      <c r="C131" s="2" t="s">
        <v>184</v>
      </c>
      <c r="D131" s="2" t="s">
        <v>185</v>
      </c>
      <c r="E131" s="2" t="s">
        <v>186</v>
      </c>
    </row>
    <row r="132" spans="1:5" ht="28">
      <c r="A132" s="2" t="s">
        <v>132</v>
      </c>
      <c r="B132" s="2" t="s">
        <v>187</v>
      </c>
      <c r="C132" s="2" t="s">
        <v>188</v>
      </c>
      <c r="D132" s="2" t="s">
        <v>189</v>
      </c>
      <c r="E132" s="2" t="s">
        <v>190</v>
      </c>
    </row>
    <row r="133" spans="1:5" ht="42">
      <c r="A133" s="2" t="s">
        <v>133</v>
      </c>
      <c r="B133" s="2" t="s">
        <v>191</v>
      </c>
      <c r="C133" s="2" t="s">
        <v>192</v>
      </c>
      <c r="D133" s="2" t="s">
        <v>193</v>
      </c>
      <c r="E133" s="2" t="s">
        <v>194</v>
      </c>
    </row>
    <row r="134" spans="1:5" ht="28">
      <c r="A134" s="2" t="s">
        <v>134</v>
      </c>
      <c r="B134" s="2" t="s">
        <v>195</v>
      </c>
      <c r="C134" s="2" t="s">
        <v>196</v>
      </c>
      <c r="D134" s="2" t="s">
        <v>197</v>
      </c>
      <c r="E134" s="2" t="s">
        <v>198</v>
      </c>
    </row>
    <row r="135" spans="1:5" ht="42">
      <c r="A135" s="2" t="s">
        <v>135</v>
      </c>
      <c r="B135" s="2" t="s">
        <v>199</v>
      </c>
      <c r="C135" s="2" t="s">
        <v>200</v>
      </c>
      <c r="D135" s="2" t="s">
        <v>201</v>
      </c>
      <c r="E135" s="2" t="s">
        <v>202</v>
      </c>
    </row>
    <row r="136" spans="1:5" ht="42">
      <c r="A136" s="2" t="s">
        <v>136</v>
      </c>
      <c r="B136" s="2" t="s">
        <v>203</v>
      </c>
      <c r="C136" s="2" t="s">
        <v>204</v>
      </c>
      <c r="D136" s="2" t="s">
        <v>205</v>
      </c>
      <c r="E136" s="2" t="s">
        <v>206</v>
      </c>
    </row>
    <row r="137" spans="1:5" ht="42">
      <c r="A137" s="2" t="s">
        <v>137</v>
      </c>
      <c r="B137" s="2" t="s">
        <v>207</v>
      </c>
      <c r="C137" s="2" t="s">
        <v>208</v>
      </c>
      <c r="D137" s="2" t="s">
        <v>209</v>
      </c>
      <c r="E137" s="2" t="s">
        <v>210</v>
      </c>
    </row>
    <row r="138" spans="1:5" ht="28">
      <c r="A138" s="2" t="s">
        <v>138</v>
      </c>
      <c r="B138" s="2" t="s">
        <v>211</v>
      </c>
      <c r="C138" s="2" t="s">
        <v>212</v>
      </c>
      <c r="D138" s="2" t="s">
        <v>213</v>
      </c>
      <c r="E138" s="2" t="s">
        <v>214</v>
      </c>
    </row>
    <row r="139" spans="1:5" ht="42">
      <c r="A139" s="2" t="s">
        <v>139</v>
      </c>
      <c r="B139" s="2" t="s">
        <v>215</v>
      </c>
      <c r="C139" s="2" t="s">
        <v>216</v>
      </c>
      <c r="D139" s="2" t="s">
        <v>217</v>
      </c>
      <c r="E139" s="2" t="s">
        <v>218</v>
      </c>
    </row>
    <row r="140" spans="1:5" ht="42">
      <c r="A140" s="2" t="s">
        <v>140</v>
      </c>
      <c r="B140" s="2" t="s">
        <v>219</v>
      </c>
      <c r="C140" s="2" t="s">
        <v>220</v>
      </c>
      <c r="D140" s="2" t="s">
        <v>221</v>
      </c>
      <c r="E140" s="2" t="s">
        <v>222</v>
      </c>
    </row>
    <row r="141" spans="1:5" ht="42">
      <c r="A141" s="2" t="s">
        <v>141</v>
      </c>
      <c r="B141" s="2" t="s">
        <v>223</v>
      </c>
      <c r="C141" s="2" t="s">
        <v>224</v>
      </c>
      <c r="D141" s="2" t="s">
        <v>225</v>
      </c>
      <c r="E141" s="2" t="s">
        <v>226</v>
      </c>
    </row>
  </sheetData>
  <mergeCells count="4">
    <mergeCell ref="A1:AI1"/>
    <mergeCell ref="A2:AI2"/>
    <mergeCell ref="D4:H4"/>
    <mergeCell ref="A122:E122"/>
  </mergeCells>
  <conditionalFormatting sqref="Z18:Z117">
    <cfRule type="expression" dxfId="3" priority="1">
      <formula>Z18="Very High"</formula>
    </cfRule>
    <cfRule type="expression" dxfId="2" priority="2">
      <formula>Z18="High"</formula>
    </cfRule>
    <cfRule type="expression" dxfId="1" priority="3">
      <formula>Z18="Medium"</formula>
    </cfRule>
    <cfRule type="expression" dxfId="0" priority="4">
      <formula>Z18="Low"</formula>
    </cfRule>
  </conditionalFormatting>
  <dataValidations count="4">
    <dataValidation type="list" sqref="B7" xr:uid="{00000000-0002-0000-2F00-000000000000}">
      <formula1>"Yes,No"</formula1>
    </dataValidation>
    <dataValidation type="list" sqref="C18:C117" xr:uid="{00000000-0002-0000-2F00-000001000000}">
      <formula1>"Ground,First,N/A"</formula1>
    </dataValidation>
    <dataValidation type="list" sqref="H18:Y117" xr:uid="{00000000-0002-0000-2F00-000002000000}">
      <formula1>"Low,Medium,High,Very High"</formula1>
    </dataValidation>
    <dataValidation type="list" sqref="AD18:AD117 AG18:AI117" xr:uid="{00000000-0002-0000-2F00-000003000000}">
      <formula1>"Yes,No,N/A"</formula1>
    </dataValidation>
  </dataValidation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60"/>
  <sheetViews>
    <sheetView workbookViewId="0"/>
  </sheetViews>
  <sheetFormatPr defaultRowHeight="14"/>
  <cols>
    <col min="1" max="9" width="18" customWidth="1"/>
  </cols>
  <sheetData>
    <row r="1" spans="1:9" ht="20">
      <c r="A1" s="6" t="s">
        <v>381</v>
      </c>
      <c r="B1" s="7"/>
      <c r="C1" s="7"/>
      <c r="D1" s="7"/>
      <c r="E1" s="7"/>
      <c r="F1" s="7"/>
      <c r="G1" s="7"/>
      <c r="H1" s="7"/>
      <c r="I1" s="7"/>
    </row>
    <row r="2" spans="1:9" ht="14.5">
      <c r="A2" s="8" t="s">
        <v>228</v>
      </c>
      <c r="B2" s="7"/>
      <c r="C2" s="7"/>
      <c r="D2" s="7"/>
      <c r="E2" s="7"/>
      <c r="F2" s="7"/>
      <c r="G2" s="7"/>
      <c r="H2" s="7"/>
      <c r="I2" s="7"/>
    </row>
    <row r="4" spans="1:9">
      <c r="A4" s="3" t="s">
        <v>107</v>
      </c>
      <c r="B4" t="s">
        <v>380</v>
      </c>
    </row>
    <row r="5" spans="1:9">
      <c r="A5" s="3" t="s">
        <v>110</v>
      </c>
    </row>
    <row r="6" spans="1:9">
      <c r="A6" s="3" t="s">
        <v>229</v>
      </c>
    </row>
    <row r="7" spans="1:9">
      <c r="A7" s="3" t="s">
        <v>230</v>
      </c>
    </row>
    <row r="8" spans="1:9">
      <c r="A8" s="3" t="s">
        <v>231</v>
      </c>
      <c r="B8">
        <f>COUNTA(A14:A60)</f>
        <v>28</v>
      </c>
    </row>
    <row r="9" spans="1:9">
      <c r="A9" s="3" t="s">
        <v>232</v>
      </c>
      <c r="B9">
        <f>COUNTIF(H14:H60,"FAIL")</f>
        <v>28</v>
      </c>
    </row>
    <row r="10" spans="1:9">
      <c r="A10" s="3" t="s">
        <v>46</v>
      </c>
      <c r="B10" t="str">
        <f>IF(AND(B7="Yes",B9=0),"Complete","Incomplete")</f>
        <v>Incomplete</v>
      </c>
    </row>
    <row r="13" spans="1:9" ht="28">
      <c r="A13" s="1" t="s">
        <v>233</v>
      </c>
      <c r="B13" s="1" t="s">
        <v>234</v>
      </c>
      <c r="C13" s="1" t="s">
        <v>235</v>
      </c>
      <c r="D13" s="1" t="s">
        <v>236</v>
      </c>
      <c r="E13" s="1" t="s">
        <v>237</v>
      </c>
      <c r="F13" s="1" t="s">
        <v>238</v>
      </c>
      <c r="G13" s="1" t="s">
        <v>239</v>
      </c>
      <c r="H13" s="1" t="s">
        <v>240</v>
      </c>
      <c r="I13" s="1" t="s">
        <v>241</v>
      </c>
    </row>
    <row r="14" spans="1:9" ht="42">
      <c r="A14" s="2" t="s">
        <v>242</v>
      </c>
      <c r="B14" s="2">
        <v>1</v>
      </c>
      <c r="C14" s="2"/>
      <c r="D14" s="2" t="s">
        <v>243</v>
      </c>
      <c r="E14" s="2"/>
      <c r="F14" s="2"/>
      <c r="G14" s="2"/>
      <c r="H14" s="2" t="str">
        <f t="shared" ref="H14:H41" si="0">IF(OR(F14="No",C14&lt;B14),"FAIL","PASS")</f>
        <v>FAIL</v>
      </c>
      <c r="I14" s="2"/>
    </row>
    <row r="15" spans="1:9">
      <c r="A15" s="2" t="s">
        <v>244</v>
      </c>
      <c r="B15" s="2">
        <v>1</v>
      </c>
      <c r="C15" s="2"/>
      <c r="D15" s="2" t="s">
        <v>245</v>
      </c>
      <c r="E15" s="2"/>
      <c r="F15" s="2"/>
      <c r="G15" s="2"/>
      <c r="H15" s="2" t="str">
        <f t="shared" si="0"/>
        <v>FAIL</v>
      </c>
      <c r="I15" s="2"/>
    </row>
    <row r="16" spans="1:9" ht="28">
      <c r="A16" s="2" t="s">
        <v>246</v>
      </c>
      <c r="B16" s="2">
        <v>1</v>
      </c>
      <c r="C16" s="2"/>
      <c r="D16" s="2" t="s">
        <v>247</v>
      </c>
      <c r="E16" s="2"/>
      <c r="F16" s="2"/>
      <c r="G16" s="2"/>
      <c r="H16" s="2" t="str">
        <f t="shared" si="0"/>
        <v>FAIL</v>
      </c>
      <c r="I16" s="2"/>
    </row>
    <row r="17" spans="1:9" ht="28">
      <c r="A17" s="2" t="s">
        <v>248</v>
      </c>
      <c r="B17" s="2">
        <v>1</v>
      </c>
      <c r="C17" s="2"/>
      <c r="D17" s="2" t="s">
        <v>249</v>
      </c>
      <c r="E17" s="2"/>
      <c r="F17" s="2"/>
      <c r="G17" s="2"/>
      <c r="H17" s="2" t="str">
        <f t="shared" si="0"/>
        <v>FAIL</v>
      </c>
      <c r="I17" s="2"/>
    </row>
    <row r="18" spans="1:9" ht="28">
      <c r="A18" s="2" t="s">
        <v>250</v>
      </c>
      <c r="B18" s="2">
        <v>2</v>
      </c>
      <c r="C18" s="2"/>
      <c r="D18" s="2" t="s">
        <v>251</v>
      </c>
      <c r="E18" s="2"/>
      <c r="F18" s="2"/>
      <c r="G18" s="2"/>
      <c r="H18" s="2" t="str">
        <f t="shared" si="0"/>
        <v>FAIL</v>
      </c>
      <c r="I18" s="2"/>
    </row>
    <row r="19" spans="1:9" ht="28">
      <c r="A19" s="2" t="s">
        <v>252</v>
      </c>
      <c r="B19" s="2">
        <v>1</v>
      </c>
      <c r="C19" s="2"/>
      <c r="D19" s="2" t="s">
        <v>253</v>
      </c>
      <c r="E19" s="2"/>
      <c r="F19" s="2"/>
      <c r="G19" s="2"/>
      <c r="H19" s="2" t="str">
        <f t="shared" si="0"/>
        <v>FAIL</v>
      </c>
      <c r="I19" s="2"/>
    </row>
    <row r="20" spans="1:9" ht="42">
      <c r="A20" s="2" t="s">
        <v>254</v>
      </c>
      <c r="B20" s="2">
        <v>1</v>
      </c>
      <c r="C20" s="2"/>
      <c r="D20" s="2" t="s">
        <v>255</v>
      </c>
      <c r="E20" s="2"/>
      <c r="F20" s="2"/>
      <c r="G20" s="2"/>
      <c r="H20" s="2" t="str">
        <f t="shared" si="0"/>
        <v>FAIL</v>
      </c>
      <c r="I20" s="2"/>
    </row>
    <row r="21" spans="1:9">
      <c r="A21" s="2" t="s">
        <v>256</v>
      </c>
      <c r="B21" s="2">
        <v>2</v>
      </c>
      <c r="C21" s="2"/>
      <c r="D21" s="2" t="s">
        <v>257</v>
      </c>
      <c r="E21" s="2"/>
      <c r="F21" s="2"/>
      <c r="G21" s="2"/>
      <c r="H21" s="2" t="str">
        <f t="shared" si="0"/>
        <v>FAIL</v>
      </c>
      <c r="I21" s="2"/>
    </row>
    <row r="22" spans="1:9" ht="28">
      <c r="A22" s="2" t="s">
        <v>258</v>
      </c>
      <c r="B22" s="2">
        <v>1</v>
      </c>
      <c r="C22" s="2"/>
      <c r="D22" s="2" t="s">
        <v>259</v>
      </c>
      <c r="E22" s="2"/>
      <c r="F22" s="2"/>
      <c r="G22" s="2"/>
      <c r="H22" s="2" t="str">
        <f t="shared" si="0"/>
        <v>FAIL</v>
      </c>
      <c r="I22" s="2"/>
    </row>
    <row r="23" spans="1:9" ht="28">
      <c r="A23" s="2" t="s">
        <v>260</v>
      </c>
      <c r="B23" s="2">
        <v>2</v>
      </c>
      <c r="C23" s="2"/>
      <c r="D23" s="2" t="s">
        <v>261</v>
      </c>
      <c r="E23" s="2"/>
      <c r="F23" s="2"/>
      <c r="G23" s="2"/>
      <c r="H23" s="2" t="str">
        <f t="shared" si="0"/>
        <v>FAIL</v>
      </c>
      <c r="I23" s="2"/>
    </row>
    <row r="24" spans="1:9">
      <c r="A24" s="2" t="s">
        <v>262</v>
      </c>
      <c r="B24" s="2">
        <v>2</v>
      </c>
      <c r="C24" s="2"/>
      <c r="D24" s="2" t="s">
        <v>263</v>
      </c>
      <c r="E24" s="2"/>
      <c r="F24" s="2"/>
      <c r="G24" s="2"/>
      <c r="H24" s="2" t="str">
        <f t="shared" si="0"/>
        <v>FAIL</v>
      </c>
      <c r="I24" s="2"/>
    </row>
    <row r="25" spans="1:9" ht="28">
      <c r="A25" s="2" t="s">
        <v>264</v>
      </c>
      <c r="B25" s="2">
        <v>2</v>
      </c>
      <c r="C25" s="2"/>
      <c r="D25" s="2" t="s">
        <v>265</v>
      </c>
      <c r="E25" s="2"/>
      <c r="F25" s="2"/>
      <c r="G25" s="2"/>
      <c r="H25" s="2" t="str">
        <f t="shared" si="0"/>
        <v>FAIL</v>
      </c>
      <c r="I25" s="2"/>
    </row>
    <row r="26" spans="1:9">
      <c r="A26" s="2" t="s">
        <v>266</v>
      </c>
      <c r="B26" s="2">
        <v>2</v>
      </c>
      <c r="C26" s="2"/>
      <c r="D26" s="2" t="s">
        <v>265</v>
      </c>
      <c r="E26" s="2"/>
      <c r="F26" s="2"/>
      <c r="G26" s="2"/>
      <c r="H26" s="2" t="str">
        <f t="shared" si="0"/>
        <v>FAIL</v>
      </c>
      <c r="I26" s="2"/>
    </row>
    <row r="27" spans="1:9">
      <c r="A27" s="2" t="s">
        <v>267</v>
      </c>
      <c r="B27" s="2">
        <v>8</v>
      </c>
      <c r="C27" s="2"/>
      <c r="D27" s="2" t="s">
        <v>268</v>
      </c>
      <c r="E27" s="2"/>
      <c r="F27" s="2"/>
      <c r="G27" s="2"/>
      <c r="H27" s="2" t="str">
        <f t="shared" si="0"/>
        <v>FAIL</v>
      </c>
      <c r="I27" s="2"/>
    </row>
    <row r="28" spans="1:9">
      <c r="A28" s="2" t="s">
        <v>269</v>
      </c>
      <c r="B28" s="2">
        <v>4</v>
      </c>
      <c r="C28" s="2"/>
      <c r="D28" s="2" t="s">
        <v>270</v>
      </c>
      <c r="E28" s="2"/>
      <c r="F28" s="2"/>
      <c r="G28" s="2"/>
      <c r="H28" s="2" t="str">
        <f t="shared" si="0"/>
        <v>FAIL</v>
      </c>
      <c r="I28" s="2"/>
    </row>
    <row r="29" spans="1:9" ht="28">
      <c r="A29" s="2" t="s">
        <v>271</v>
      </c>
      <c r="B29" s="2">
        <v>20</v>
      </c>
      <c r="C29" s="2"/>
      <c r="D29" s="2" t="s">
        <v>272</v>
      </c>
      <c r="E29" s="2"/>
      <c r="F29" s="2"/>
      <c r="G29" s="2"/>
      <c r="H29" s="2" t="str">
        <f t="shared" si="0"/>
        <v>FAIL</v>
      </c>
      <c r="I29" s="2"/>
    </row>
    <row r="30" spans="1:9">
      <c r="A30" s="2" t="s">
        <v>273</v>
      </c>
      <c r="B30" s="2">
        <v>2</v>
      </c>
      <c r="C30" s="2"/>
      <c r="D30" s="2" t="s">
        <v>265</v>
      </c>
      <c r="E30" s="2"/>
      <c r="F30" s="2"/>
      <c r="G30" s="2"/>
      <c r="H30" s="2" t="str">
        <f t="shared" si="0"/>
        <v>FAIL</v>
      </c>
      <c r="I30" s="2"/>
    </row>
    <row r="31" spans="1:9">
      <c r="A31" s="2" t="s">
        <v>274</v>
      </c>
      <c r="B31" s="2">
        <v>1</v>
      </c>
      <c r="C31" s="2"/>
      <c r="D31" s="2" t="s">
        <v>275</v>
      </c>
      <c r="E31" s="2"/>
      <c r="F31" s="2"/>
      <c r="G31" s="2"/>
      <c r="H31" s="2" t="str">
        <f t="shared" si="0"/>
        <v>FAIL</v>
      </c>
      <c r="I31" s="2"/>
    </row>
    <row r="32" spans="1:9">
      <c r="A32" s="2" t="s">
        <v>276</v>
      </c>
      <c r="B32" s="2">
        <v>5</v>
      </c>
      <c r="C32" s="2"/>
      <c r="D32" s="2" t="s">
        <v>265</v>
      </c>
      <c r="E32" s="2"/>
      <c r="F32" s="2"/>
      <c r="G32" s="2"/>
      <c r="H32" s="2" t="str">
        <f t="shared" si="0"/>
        <v>FAIL</v>
      </c>
      <c r="I32" s="2"/>
    </row>
    <row r="33" spans="1:9">
      <c r="A33" s="2" t="s">
        <v>277</v>
      </c>
      <c r="B33" s="2">
        <v>2</v>
      </c>
      <c r="C33" s="2"/>
      <c r="D33" s="2" t="s">
        <v>265</v>
      </c>
      <c r="E33" s="2"/>
      <c r="F33" s="2"/>
      <c r="G33" s="2"/>
      <c r="H33" s="2" t="str">
        <f t="shared" si="0"/>
        <v>FAIL</v>
      </c>
      <c r="I33" s="2"/>
    </row>
    <row r="34" spans="1:9" ht="28">
      <c r="A34" s="2" t="s">
        <v>278</v>
      </c>
      <c r="B34" s="2">
        <v>20</v>
      </c>
      <c r="C34" s="2"/>
      <c r="D34" s="2" t="s">
        <v>270</v>
      </c>
      <c r="E34" s="2"/>
      <c r="F34" s="2"/>
      <c r="G34" s="2"/>
      <c r="H34" s="2" t="str">
        <f t="shared" si="0"/>
        <v>FAIL</v>
      </c>
      <c r="I34" s="2"/>
    </row>
    <row r="35" spans="1:9">
      <c r="A35" s="2" t="s">
        <v>279</v>
      </c>
      <c r="B35" s="2">
        <v>20</v>
      </c>
      <c r="C35" s="2"/>
      <c r="D35" s="2" t="s">
        <v>270</v>
      </c>
      <c r="E35" s="2"/>
      <c r="F35" s="2"/>
      <c r="G35" s="2"/>
      <c r="H35" s="2" t="str">
        <f t="shared" si="0"/>
        <v>FAIL</v>
      </c>
      <c r="I35" s="2"/>
    </row>
    <row r="36" spans="1:9" ht="28">
      <c r="A36" s="2" t="s">
        <v>280</v>
      </c>
      <c r="B36" s="2">
        <v>1</v>
      </c>
      <c r="C36" s="2"/>
      <c r="D36" s="2" t="s">
        <v>281</v>
      </c>
      <c r="E36" s="2"/>
      <c r="F36" s="2"/>
      <c r="G36" s="2"/>
      <c r="H36" s="2" t="str">
        <f t="shared" si="0"/>
        <v>FAIL</v>
      </c>
      <c r="I36" s="2"/>
    </row>
    <row r="37" spans="1:9" ht="28">
      <c r="A37" s="2" t="s">
        <v>282</v>
      </c>
      <c r="B37" s="2">
        <v>1</v>
      </c>
      <c r="C37" s="2"/>
      <c r="D37" s="2" t="s">
        <v>281</v>
      </c>
      <c r="E37" s="2"/>
      <c r="F37" s="2"/>
      <c r="G37" s="2"/>
      <c r="H37" s="2" t="str">
        <f t="shared" si="0"/>
        <v>FAIL</v>
      </c>
      <c r="I37" s="2"/>
    </row>
    <row r="38" spans="1:9" ht="28">
      <c r="A38" s="2" t="s">
        <v>283</v>
      </c>
      <c r="B38" s="2">
        <v>1</v>
      </c>
      <c r="C38" s="2"/>
      <c r="D38" s="2" t="s">
        <v>281</v>
      </c>
      <c r="E38" s="2"/>
      <c r="F38" s="2"/>
      <c r="G38" s="2"/>
      <c r="H38" s="2" t="str">
        <f t="shared" si="0"/>
        <v>FAIL</v>
      </c>
      <c r="I38" s="2"/>
    </row>
    <row r="39" spans="1:9" ht="28">
      <c r="A39" s="2" t="s">
        <v>284</v>
      </c>
      <c r="B39" s="2">
        <v>1</v>
      </c>
      <c r="C39" s="2"/>
      <c r="D39" s="2" t="s">
        <v>285</v>
      </c>
      <c r="E39" s="2"/>
      <c r="F39" s="2"/>
      <c r="G39" s="2"/>
      <c r="H39" s="2" t="str">
        <f t="shared" si="0"/>
        <v>FAIL</v>
      </c>
      <c r="I39" s="2"/>
    </row>
    <row r="40" spans="1:9" ht="28">
      <c r="A40" s="2" t="s">
        <v>286</v>
      </c>
      <c r="B40" s="2">
        <v>1</v>
      </c>
      <c r="C40" s="2"/>
      <c r="D40" s="2" t="s">
        <v>287</v>
      </c>
      <c r="E40" s="2"/>
      <c r="F40" s="2"/>
      <c r="G40" s="2"/>
      <c r="H40" s="2" t="str">
        <f t="shared" si="0"/>
        <v>FAIL</v>
      </c>
      <c r="I40" s="2"/>
    </row>
    <row r="41" spans="1:9" ht="28">
      <c r="A41" s="2" t="s">
        <v>288</v>
      </c>
      <c r="B41" s="2">
        <v>1</v>
      </c>
      <c r="C41" s="2"/>
      <c r="D41" s="2" t="s">
        <v>281</v>
      </c>
      <c r="E41" s="2"/>
      <c r="F41" s="2"/>
      <c r="G41" s="2"/>
      <c r="H41" s="2" t="str">
        <f t="shared" si="0"/>
        <v>FAIL</v>
      </c>
      <c r="I41" s="2"/>
    </row>
    <row r="42" spans="1:9">
      <c r="A42" s="2"/>
      <c r="B42" s="2"/>
      <c r="C42" s="2"/>
      <c r="D42" s="2"/>
      <c r="E42" s="2"/>
      <c r="F42" s="2"/>
      <c r="G42" s="2"/>
      <c r="H42" s="2"/>
      <c r="I42" s="2"/>
    </row>
    <row r="43" spans="1:9">
      <c r="A43" s="2"/>
      <c r="B43" s="2"/>
      <c r="C43" s="2"/>
      <c r="D43" s="2"/>
      <c r="E43" s="2"/>
      <c r="F43" s="2"/>
      <c r="G43" s="2"/>
      <c r="H43" s="2"/>
      <c r="I43" s="2"/>
    </row>
    <row r="44" spans="1:9">
      <c r="A44" s="2"/>
      <c r="B44" s="2"/>
      <c r="C44" s="2"/>
      <c r="D44" s="2"/>
      <c r="E44" s="2"/>
      <c r="F44" s="2"/>
      <c r="G44" s="2"/>
      <c r="H44" s="2"/>
      <c r="I44" s="2"/>
    </row>
    <row r="45" spans="1:9">
      <c r="A45" s="2"/>
      <c r="B45" s="2"/>
      <c r="C45" s="2"/>
      <c r="D45" s="2"/>
      <c r="E45" s="2"/>
      <c r="F45" s="2"/>
      <c r="G45" s="2"/>
      <c r="H45" s="2"/>
      <c r="I45" s="2"/>
    </row>
    <row r="46" spans="1:9">
      <c r="A46" s="2"/>
      <c r="B46" s="2"/>
      <c r="C46" s="2"/>
      <c r="D46" s="2"/>
      <c r="E46" s="2"/>
      <c r="F46" s="2"/>
      <c r="G46" s="2"/>
      <c r="H46" s="2"/>
      <c r="I46" s="2"/>
    </row>
    <row r="47" spans="1:9">
      <c r="A47" s="2"/>
      <c r="B47" s="2"/>
      <c r="C47" s="2"/>
      <c r="D47" s="2"/>
      <c r="E47" s="2"/>
      <c r="F47" s="2"/>
      <c r="G47" s="2"/>
      <c r="H47" s="2"/>
      <c r="I47" s="2"/>
    </row>
    <row r="48" spans="1:9">
      <c r="A48" s="2"/>
      <c r="B48" s="2"/>
      <c r="C48" s="2"/>
      <c r="D48" s="2"/>
      <c r="E48" s="2"/>
      <c r="F48" s="2"/>
      <c r="G48" s="2"/>
      <c r="H48" s="2"/>
      <c r="I48" s="2"/>
    </row>
    <row r="49" spans="1:9">
      <c r="A49" s="2"/>
      <c r="B49" s="2"/>
      <c r="C49" s="2"/>
      <c r="D49" s="2"/>
      <c r="E49" s="2"/>
      <c r="F49" s="2"/>
      <c r="G49" s="2"/>
      <c r="H49" s="2"/>
      <c r="I49" s="2"/>
    </row>
    <row r="50" spans="1:9">
      <c r="A50" s="2"/>
      <c r="B50" s="2"/>
      <c r="C50" s="2"/>
      <c r="D50" s="2"/>
      <c r="E50" s="2"/>
      <c r="F50" s="2"/>
      <c r="G50" s="2"/>
      <c r="H50" s="2"/>
      <c r="I50" s="2"/>
    </row>
    <row r="51" spans="1:9">
      <c r="A51" s="2"/>
      <c r="B51" s="2"/>
      <c r="C51" s="2"/>
      <c r="D51" s="2"/>
      <c r="E51" s="2"/>
      <c r="F51" s="2"/>
      <c r="G51" s="2"/>
      <c r="H51" s="2"/>
      <c r="I51" s="2"/>
    </row>
    <row r="52" spans="1:9">
      <c r="A52" s="2"/>
      <c r="B52" s="2"/>
      <c r="C52" s="2"/>
      <c r="D52" s="2"/>
      <c r="E52" s="2"/>
      <c r="F52" s="2"/>
      <c r="G52" s="2"/>
      <c r="H52" s="2"/>
      <c r="I52" s="2"/>
    </row>
    <row r="53" spans="1:9">
      <c r="A53" s="2"/>
      <c r="B53" s="2"/>
      <c r="C53" s="2"/>
      <c r="D53" s="2"/>
      <c r="E53" s="2"/>
      <c r="F53" s="2"/>
      <c r="G53" s="2"/>
      <c r="H53" s="2"/>
      <c r="I53" s="2"/>
    </row>
    <row r="54" spans="1:9">
      <c r="A54" s="2"/>
      <c r="B54" s="2"/>
      <c r="C54" s="2"/>
      <c r="D54" s="2"/>
      <c r="E54" s="2"/>
      <c r="F54" s="2"/>
      <c r="G54" s="2"/>
      <c r="H54" s="2"/>
      <c r="I54" s="2"/>
    </row>
    <row r="55" spans="1:9">
      <c r="A55" s="2"/>
      <c r="B55" s="2"/>
      <c r="C55" s="2"/>
      <c r="D55" s="2"/>
      <c r="E55" s="2"/>
      <c r="F55" s="2"/>
      <c r="G55" s="2"/>
      <c r="H55" s="2"/>
      <c r="I55" s="2"/>
    </row>
    <row r="56" spans="1:9">
      <c r="A56" s="2"/>
      <c r="B56" s="2"/>
      <c r="C56" s="2"/>
      <c r="D56" s="2"/>
      <c r="E56" s="2"/>
      <c r="F56" s="2"/>
      <c r="G56" s="2"/>
      <c r="H56" s="2"/>
      <c r="I56" s="2"/>
    </row>
    <row r="57" spans="1:9">
      <c r="A57" s="2"/>
      <c r="B57" s="2"/>
      <c r="C57" s="2"/>
      <c r="D57" s="2"/>
      <c r="E57" s="2"/>
      <c r="F57" s="2"/>
      <c r="G57" s="2"/>
      <c r="H57" s="2"/>
      <c r="I57" s="2"/>
    </row>
    <row r="58" spans="1:9">
      <c r="A58" s="2"/>
      <c r="B58" s="2"/>
      <c r="C58" s="2"/>
      <c r="D58" s="2"/>
      <c r="E58" s="2"/>
      <c r="F58" s="2"/>
      <c r="G58" s="2"/>
      <c r="H58" s="2"/>
      <c r="I58" s="2"/>
    </row>
    <row r="59" spans="1:9">
      <c r="A59" s="2"/>
      <c r="B59" s="2"/>
      <c r="C59" s="2"/>
      <c r="D59" s="2"/>
      <c r="E59" s="2"/>
      <c r="F59" s="2"/>
      <c r="G59" s="2"/>
      <c r="H59" s="2"/>
      <c r="I59" s="2"/>
    </row>
    <row r="60" spans="1:9">
      <c r="A60" s="2"/>
      <c r="B60" s="2"/>
      <c r="C60" s="2"/>
      <c r="D60" s="2"/>
      <c r="E60" s="2"/>
      <c r="F60" s="2"/>
      <c r="G60" s="2"/>
      <c r="H60" s="2"/>
      <c r="I60" s="2"/>
    </row>
  </sheetData>
  <mergeCells count="2">
    <mergeCell ref="A1:I1"/>
    <mergeCell ref="A2:I2"/>
  </mergeCells>
  <dataValidations count="2">
    <dataValidation type="list" sqref="B7" xr:uid="{00000000-0002-0000-3000-000000000000}">
      <formula1>"Yes,No"</formula1>
    </dataValidation>
    <dataValidation type="list" sqref="F14:F41" xr:uid="{00000000-0002-0000-3000-000001000000}">
      <formula1>"Yes,No,N/A"</formula1>
    </dataValidation>
  </dataValidation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H60"/>
  <sheetViews>
    <sheetView workbookViewId="0"/>
  </sheetViews>
  <sheetFormatPr defaultRowHeight="14"/>
  <cols>
    <col min="1" max="8" width="18" customWidth="1"/>
  </cols>
  <sheetData>
    <row r="1" spans="1:8" ht="20">
      <c r="A1" s="6" t="s">
        <v>382</v>
      </c>
      <c r="B1" s="7"/>
      <c r="C1" s="7"/>
      <c r="D1" s="7"/>
      <c r="E1" s="7"/>
      <c r="F1" s="7"/>
      <c r="G1" s="7"/>
      <c r="H1" s="7"/>
    </row>
    <row r="2" spans="1:8" ht="14.5">
      <c r="A2" s="8" t="s">
        <v>290</v>
      </c>
      <c r="B2" s="7"/>
      <c r="C2" s="7"/>
      <c r="D2" s="7"/>
      <c r="E2" s="7"/>
      <c r="F2" s="7"/>
      <c r="G2" s="7"/>
      <c r="H2" s="7"/>
    </row>
    <row r="4" spans="1:8">
      <c r="A4" s="3" t="s">
        <v>107</v>
      </c>
      <c r="B4" t="s">
        <v>380</v>
      </c>
    </row>
    <row r="5" spans="1:8">
      <c r="A5" s="3" t="s">
        <v>110</v>
      </c>
    </row>
    <row r="6" spans="1:8">
      <c r="A6" s="3" t="s">
        <v>229</v>
      </c>
    </row>
    <row r="7" spans="1:8">
      <c r="A7" s="3" t="s">
        <v>230</v>
      </c>
    </row>
    <row r="8" spans="1:8">
      <c r="A8" s="3" t="s">
        <v>291</v>
      </c>
      <c r="B8">
        <f>COUNTA(A14:A60)</f>
        <v>22</v>
      </c>
    </row>
    <row r="9" spans="1:8">
      <c r="A9" s="3" t="s">
        <v>292</v>
      </c>
      <c r="B9">
        <f>COUNTIF(G14:G60,"FAIL")</f>
        <v>22</v>
      </c>
    </row>
    <row r="10" spans="1:8">
      <c r="A10" s="3" t="s">
        <v>46</v>
      </c>
      <c r="B10" t="str">
        <f>IF(AND(B7="Yes",B9=0),"Complete","Incomplete")</f>
        <v>Incomplete</v>
      </c>
    </row>
    <row r="13" spans="1:8">
      <c r="A13" s="1" t="s">
        <v>233</v>
      </c>
      <c r="B13" s="1" t="s">
        <v>234</v>
      </c>
      <c r="C13" s="1" t="s">
        <v>235</v>
      </c>
      <c r="D13" s="1" t="s">
        <v>293</v>
      </c>
      <c r="E13" s="1" t="s">
        <v>294</v>
      </c>
      <c r="F13" s="1" t="s">
        <v>239</v>
      </c>
      <c r="G13" s="1" t="s">
        <v>240</v>
      </c>
      <c r="H13" s="1" t="s">
        <v>241</v>
      </c>
    </row>
    <row r="14" spans="1:8" ht="28">
      <c r="A14" s="2" t="s">
        <v>295</v>
      </c>
      <c r="B14" s="2">
        <v>6</v>
      </c>
      <c r="C14" s="2"/>
      <c r="D14" s="2"/>
      <c r="E14" s="2"/>
      <c r="F14" s="2"/>
      <c r="G14" s="2" t="str">
        <f t="shared" ref="G14:G35" si="0">IF(OR(C14&lt;B14,E14="No"),"FAIL","PASS")</f>
        <v>FAIL</v>
      </c>
      <c r="H14" s="2"/>
    </row>
    <row r="15" spans="1:8" ht="28">
      <c r="A15" s="2" t="s">
        <v>296</v>
      </c>
      <c r="B15" s="2">
        <v>8</v>
      </c>
      <c r="C15" s="2"/>
      <c r="D15" s="2"/>
      <c r="E15" s="2"/>
      <c r="F15" s="2"/>
      <c r="G15" s="2" t="str">
        <f t="shared" si="0"/>
        <v>FAIL</v>
      </c>
      <c r="H15" s="2"/>
    </row>
    <row r="16" spans="1:8" ht="28">
      <c r="A16" s="2" t="s">
        <v>297</v>
      </c>
      <c r="B16" s="2">
        <v>10</v>
      </c>
      <c r="C16" s="2"/>
      <c r="D16" s="2"/>
      <c r="E16" s="2"/>
      <c r="F16" s="2"/>
      <c r="G16" s="2" t="str">
        <f t="shared" si="0"/>
        <v>FAIL</v>
      </c>
      <c r="H16" s="2"/>
    </row>
    <row r="17" spans="1:8">
      <c r="A17" s="2" t="s">
        <v>298</v>
      </c>
      <c r="B17" s="2">
        <v>4</v>
      </c>
      <c r="C17" s="2"/>
      <c r="D17" s="2"/>
      <c r="E17" s="2"/>
      <c r="F17" s="2"/>
      <c r="G17" s="2" t="str">
        <f t="shared" si="0"/>
        <v>FAIL</v>
      </c>
      <c r="H17" s="2"/>
    </row>
    <row r="18" spans="1:8">
      <c r="A18" s="2" t="s">
        <v>299</v>
      </c>
      <c r="B18" s="2">
        <v>6</v>
      </c>
      <c r="C18" s="2"/>
      <c r="D18" s="2"/>
      <c r="E18" s="2"/>
      <c r="F18" s="2"/>
      <c r="G18" s="2" t="str">
        <f t="shared" si="0"/>
        <v>FAIL</v>
      </c>
      <c r="H18" s="2"/>
    </row>
    <row r="19" spans="1:8" ht="28">
      <c r="A19" s="2" t="s">
        <v>300</v>
      </c>
      <c r="B19" s="2">
        <v>6</v>
      </c>
      <c r="C19" s="2"/>
      <c r="D19" s="2"/>
      <c r="E19" s="2"/>
      <c r="F19" s="2"/>
      <c r="G19" s="2" t="str">
        <f t="shared" si="0"/>
        <v>FAIL</v>
      </c>
      <c r="H19" s="2"/>
    </row>
    <row r="20" spans="1:8">
      <c r="A20" s="2" t="s">
        <v>301</v>
      </c>
      <c r="B20" s="2">
        <v>10</v>
      </c>
      <c r="C20" s="2"/>
      <c r="D20" s="2"/>
      <c r="E20" s="2"/>
      <c r="F20" s="2"/>
      <c r="G20" s="2" t="str">
        <f t="shared" si="0"/>
        <v>FAIL</v>
      </c>
      <c r="H20" s="2"/>
    </row>
    <row r="21" spans="1:8">
      <c r="A21" s="2" t="s">
        <v>302</v>
      </c>
      <c r="B21" s="2">
        <v>4</v>
      </c>
      <c r="C21" s="2"/>
      <c r="D21" s="2"/>
      <c r="E21" s="2"/>
      <c r="F21" s="2"/>
      <c r="G21" s="2" t="str">
        <f t="shared" si="0"/>
        <v>FAIL</v>
      </c>
      <c r="H21" s="2"/>
    </row>
    <row r="22" spans="1:8" ht="28">
      <c r="A22" s="2" t="s">
        <v>303</v>
      </c>
      <c r="B22" s="2">
        <v>4</v>
      </c>
      <c r="C22" s="2"/>
      <c r="D22" s="2"/>
      <c r="E22" s="2"/>
      <c r="F22" s="2"/>
      <c r="G22" s="2" t="str">
        <f t="shared" si="0"/>
        <v>FAIL</v>
      </c>
      <c r="H22" s="2"/>
    </row>
    <row r="23" spans="1:8">
      <c r="A23" s="2" t="s">
        <v>304</v>
      </c>
      <c r="B23" s="2">
        <v>2</v>
      </c>
      <c r="C23" s="2"/>
      <c r="D23" s="2"/>
      <c r="E23" s="2"/>
      <c r="F23" s="2"/>
      <c r="G23" s="2" t="str">
        <f t="shared" si="0"/>
        <v>FAIL</v>
      </c>
      <c r="H23" s="2"/>
    </row>
    <row r="24" spans="1:8" ht="28">
      <c r="A24" s="2" t="s">
        <v>305</v>
      </c>
      <c r="B24" s="2">
        <v>50</v>
      </c>
      <c r="C24" s="2"/>
      <c r="D24" s="2"/>
      <c r="E24" s="2"/>
      <c r="F24" s="2"/>
      <c r="G24" s="2" t="str">
        <f t="shared" si="0"/>
        <v>FAIL</v>
      </c>
      <c r="H24" s="2"/>
    </row>
    <row r="25" spans="1:8">
      <c r="A25" s="2" t="s">
        <v>306</v>
      </c>
      <c r="B25" s="2">
        <v>2</v>
      </c>
      <c r="C25" s="2"/>
      <c r="D25" s="2"/>
      <c r="E25" s="2"/>
      <c r="F25" s="2"/>
      <c r="G25" s="2" t="str">
        <f t="shared" si="0"/>
        <v>FAIL</v>
      </c>
      <c r="H25" s="2"/>
    </row>
    <row r="26" spans="1:8">
      <c r="A26" s="2" t="s">
        <v>307</v>
      </c>
      <c r="B26" s="2">
        <v>2</v>
      </c>
      <c r="C26" s="2"/>
      <c r="D26" s="2"/>
      <c r="E26" s="2"/>
      <c r="F26" s="2"/>
      <c r="G26" s="2" t="str">
        <f t="shared" si="0"/>
        <v>FAIL</v>
      </c>
      <c r="H26" s="2"/>
    </row>
    <row r="27" spans="1:8" ht="28">
      <c r="A27" s="2" t="s">
        <v>308</v>
      </c>
      <c r="B27" s="2">
        <v>2</v>
      </c>
      <c r="C27" s="2"/>
      <c r="D27" s="2"/>
      <c r="E27" s="2"/>
      <c r="F27" s="2"/>
      <c r="G27" s="2" t="str">
        <f t="shared" si="0"/>
        <v>FAIL</v>
      </c>
      <c r="H27" s="2"/>
    </row>
    <row r="28" spans="1:8">
      <c r="A28" s="2" t="s">
        <v>309</v>
      </c>
      <c r="B28" s="2">
        <v>4</v>
      </c>
      <c r="C28" s="2"/>
      <c r="D28" s="2"/>
      <c r="E28" s="2"/>
      <c r="F28" s="2"/>
      <c r="G28" s="2" t="str">
        <f t="shared" si="0"/>
        <v>FAIL</v>
      </c>
      <c r="H28" s="2"/>
    </row>
    <row r="29" spans="1:8">
      <c r="A29" s="2" t="s">
        <v>310</v>
      </c>
      <c r="B29" s="2">
        <v>20</v>
      </c>
      <c r="C29" s="2"/>
      <c r="D29" s="2"/>
      <c r="E29" s="2"/>
      <c r="F29" s="2"/>
      <c r="G29" s="2" t="str">
        <f t="shared" si="0"/>
        <v>FAIL</v>
      </c>
      <c r="H29" s="2"/>
    </row>
    <row r="30" spans="1:8" ht="28">
      <c r="A30" s="2" t="s">
        <v>311</v>
      </c>
      <c r="B30" s="2">
        <v>1</v>
      </c>
      <c r="C30" s="2"/>
      <c r="D30" s="2"/>
      <c r="E30" s="2"/>
      <c r="F30" s="2"/>
      <c r="G30" s="2" t="str">
        <f t="shared" si="0"/>
        <v>FAIL</v>
      </c>
      <c r="H30" s="2"/>
    </row>
    <row r="31" spans="1:8" ht="28">
      <c r="A31" s="2" t="s">
        <v>312</v>
      </c>
      <c r="B31" s="2">
        <v>1</v>
      </c>
      <c r="C31" s="2"/>
      <c r="D31" s="2"/>
      <c r="E31" s="2"/>
      <c r="F31" s="2"/>
      <c r="G31" s="2" t="str">
        <f t="shared" si="0"/>
        <v>FAIL</v>
      </c>
      <c r="H31" s="2"/>
    </row>
    <row r="32" spans="1:8" ht="28">
      <c r="A32" s="2" t="s">
        <v>313</v>
      </c>
      <c r="B32" s="2">
        <v>1</v>
      </c>
      <c r="C32" s="2"/>
      <c r="D32" s="2"/>
      <c r="E32" s="2"/>
      <c r="F32" s="2"/>
      <c r="G32" s="2" t="str">
        <f t="shared" si="0"/>
        <v>FAIL</v>
      </c>
      <c r="H32" s="2"/>
    </row>
    <row r="33" spans="1:8" ht="28">
      <c r="A33" s="2" t="s">
        <v>314</v>
      </c>
      <c r="B33" s="2">
        <v>1</v>
      </c>
      <c r="C33" s="2"/>
      <c r="D33" s="2"/>
      <c r="E33" s="2"/>
      <c r="F33" s="2"/>
      <c r="G33" s="2" t="str">
        <f t="shared" si="0"/>
        <v>FAIL</v>
      </c>
      <c r="H33" s="2"/>
    </row>
    <row r="34" spans="1:8" ht="28">
      <c r="A34" s="2" t="s">
        <v>315</v>
      </c>
      <c r="B34" s="2">
        <v>1</v>
      </c>
      <c r="C34" s="2"/>
      <c r="D34" s="2"/>
      <c r="E34" s="2"/>
      <c r="F34" s="2"/>
      <c r="G34" s="2" t="str">
        <f t="shared" si="0"/>
        <v>FAIL</v>
      </c>
      <c r="H34" s="2"/>
    </row>
    <row r="35" spans="1:8" ht="28">
      <c r="A35" s="2" t="s">
        <v>316</v>
      </c>
      <c r="B35" s="2">
        <v>1</v>
      </c>
      <c r="C35" s="2"/>
      <c r="D35" s="2"/>
      <c r="E35" s="2"/>
      <c r="F35" s="2"/>
      <c r="G35" s="2" t="str">
        <f t="shared" si="0"/>
        <v>FAIL</v>
      </c>
      <c r="H35" s="2"/>
    </row>
    <row r="36" spans="1:8">
      <c r="A36" s="2"/>
      <c r="B36" s="2"/>
      <c r="C36" s="2"/>
      <c r="D36" s="2"/>
      <c r="E36" s="2"/>
      <c r="F36" s="2"/>
      <c r="G36" s="2"/>
      <c r="H36" s="2"/>
    </row>
    <row r="37" spans="1:8">
      <c r="A37" s="2"/>
      <c r="B37" s="2"/>
      <c r="C37" s="2"/>
      <c r="D37" s="2"/>
      <c r="E37" s="2"/>
      <c r="F37" s="2"/>
      <c r="G37" s="2"/>
      <c r="H37" s="2"/>
    </row>
    <row r="38" spans="1:8">
      <c r="A38" s="2"/>
      <c r="B38" s="2"/>
      <c r="C38" s="2"/>
      <c r="D38" s="2"/>
      <c r="E38" s="2"/>
      <c r="F38" s="2"/>
      <c r="G38" s="2"/>
      <c r="H38" s="2"/>
    </row>
    <row r="39" spans="1:8">
      <c r="A39" s="2"/>
      <c r="B39" s="2"/>
      <c r="C39" s="2"/>
      <c r="D39" s="2"/>
      <c r="E39" s="2"/>
      <c r="F39" s="2"/>
      <c r="G39" s="2"/>
      <c r="H39" s="2"/>
    </row>
    <row r="40" spans="1:8">
      <c r="A40" s="2"/>
      <c r="B40" s="2"/>
      <c r="C40" s="2"/>
      <c r="D40" s="2"/>
      <c r="E40" s="2"/>
      <c r="F40" s="2"/>
      <c r="G40" s="2"/>
      <c r="H40" s="2"/>
    </row>
    <row r="41" spans="1:8">
      <c r="A41" s="2"/>
      <c r="B41" s="2"/>
      <c r="C41" s="2"/>
      <c r="D41" s="2"/>
      <c r="E41" s="2"/>
      <c r="F41" s="2"/>
      <c r="G41" s="2"/>
      <c r="H41" s="2"/>
    </row>
    <row r="42" spans="1:8">
      <c r="A42" s="2"/>
      <c r="B42" s="2"/>
      <c r="C42" s="2"/>
      <c r="D42" s="2"/>
      <c r="E42" s="2"/>
      <c r="F42" s="2"/>
      <c r="G42" s="2"/>
      <c r="H42" s="2"/>
    </row>
    <row r="43" spans="1:8">
      <c r="A43" s="2"/>
      <c r="B43" s="2"/>
      <c r="C43" s="2"/>
      <c r="D43" s="2"/>
      <c r="E43" s="2"/>
      <c r="F43" s="2"/>
      <c r="G43" s="2"/>
      <c r="H43" s="2"/>
    </row>
    <row r="44" spans="1:8">
      <c r="A44" s="2"/>
      <c r="B44" s="2"/>
      <c r="C44" s="2"/>
      <c r="D44" s="2"/>
      <c r="E44" s="2"/>
      <c r="F44" s="2"/>
      <c r="G44" s="2"/>
      <c r="H44" s="2"/>
    </row>
    <row r="45" spans="1:8">
      <c r="A45" s="2"/>
      <c r="B45" s="2"/>
      <c r="C45" s="2"/>
      <c r="D45" s="2"/>
      <c r="E45" s="2"/>
      <c r="F45" s="2"/>
      <c r="G45" s="2"/>
      <c r="H45" s="2"/>
    </row>
    <row r="46" spans="1:8">
      <c r="A46" s="2"/>
      <c r="B46" s="2"/>
      <c r="C46" s="2"/>
      <c r="D46" s="2"/>
      <c r="E46" s="2"/>
      <c r="F46" s="2"/>
      <c r="G46" s="2"/>
      <c r="H46" s="2"/>
    </row>
    <row r="47" spans="1:8">
      <c r="A47" s="2"/>
      <c r="B47" s="2"/>
      <c r="C47" s="2"/>
      <c r="D47" s="2"/>
      <c r="E47" s="2"/>
      <c r="F47" s="2"/>
      <c r="G47" s="2"/>
      <c r="H47" s="2"/>
    </row>
    <row r="48" spans="1:8">
      <c r="A48" s="2"/>
      <c r="B48" s="2"/>
      <c r="C48" s="2"/>
      <c r="D48" s="2"/>
      <c r="E48" s="2"/>
      <c r="F48" s="2"/>
      <c r="G48" s="2"/>
      <c r="H48" s="2"/>
    </row>
    <row r="49" spans="1:8">
      <c r="A49" s="2"/>
      <c r="B49" s="2"/>
      <c r="C49" s="2"/>
      <c r="D49" s="2"/>
      <c r="E49" s="2"/>
      <c r="F49" s="2"/>
      <c r="G49" s="2"/>
      <c r="H49" s="2"/>
    </row>
    <row r="50" spans="1:8">
      <c r="A50" s="2"/>
      <c r="B50" s="2"/>
      <c r="C50" s="2"/>
      <c r="D50" s="2"/>
      <c r="E50" s="2"/>
      <c r="F50" s="2"/>
      <c r="G50" s="2"/>
      <c r="H50" s="2"/>
    </row>
    <row r="51" spans="1:8">
      <c r="A51" s="2"/>
      <c r="B51" s="2"/>
      <c r="C51" s="2"/>
      <c r="D51" s="2"/>
      <c r="E51" s="2"/>
      <c r="F51" s="2"/>
      <c r="G51" s="2"/>
      <c r="H51" s="2"/>
    </row>
    <row r="52" spans="1:8">
      <c r="A52" s="2"/>
      <c r="B52" s="2"/>
      <c r="C52" s="2"/>
      <c r="D52" s="2"/>
      <c r="E52" s="2"/>
      <c r="F52" s="2"/>
      <c r="G52" s="2"/>
      <c r="H52" s="2"/>
    </row>
    <row r="53" spans="1:8">
      <c r="A53" s="2"/>
      <c r="B53" s="2"/>
      <c r="C53" s="2"/>
      <c r="D53" s="2"/>
      <c r="E53" s="2"/>
      <c r="F53" s="2"/>
      <c r="G53" s="2"/>
      <c r="H53" s="2"/>
    </row>
    <row r="54" spans="1:8">
      <c r="A54" s="2"/>
      <c r="B54" s="2"/>
      <c r="C54" s="2"/>
      <c r="D54" s="2"/>
      <c r="E54" s="2"/>
      <c r="F54" s="2"/>
      <c r="G54" s="2"/>
      <c r="H54" s="2"/>
    </row>
    <row r="55" spans="1:8">
      <c r="A55" s="2"/>
      <c r="B55" s="2"/>
      <c r="C55" s="2"/>
      <c r="D55" s="2"/>
      <c r="E55" s="2"/>
      <c r="F55" s="2"/>
      <c r="G55" s="2"/>
      <c r="H55" s="2"/>
    </row>
    <row r="56" spans="1:8">
      <c r="A56" s="2"/>
      <c r="B56" s="2"/>
      <c r="C56" s="2"/>
      <c r="D56" s="2"/>
      <c r="E56" s="2"/>
      <c r="F56" s="2"/>
      <c r="G56" s="2"/>
      <c r="H56" s="2"/>
    </row>
    <row r="57" spans="1:8">
      <c r="A57" s="2"/>
      <c r="B57" s="2"/>
      <c r="C57" s="2"/>
      <c r="D57" s="2"/>
      <c r="E57" s="2"/>
      <c r="F57" s="2"/>
      <c r="G57" s="2"/>
      <c r="H57" s="2"/>
    </row>
    <row r="58" spans="1:8">
      <c r="A58" s="2"/>
      <c r="B58" s="2"/>
      <c r="C58" s="2"/>
      <c r="D58" s="2"/>
      <c r="E58" s="2"/>
      <c r="F58" s="2"/>
      <c r="G58" s="2"/>
      <c r="H58" s="2"/>
    </row>
    <row r="59" spans="1:8">
      <c r="A59" s="2"/>
      <c r="B59" s="2"/>
      <c r="C59" s="2"/>
      <c r="D59" s="2"/>
      <c r="E59" s="2"/>
      <c r="F59" s="2"/>
      <c r="G59" s="2"/>
      <c r="H59" s="2"/>
    </row>
    <row r="60" spans="1:8">
      <c r="A60" s="2"/>
      <c r="B60" s="2"/>
      <c r="C60" s="2"/>
      <c r="D60" s="2"/>
      <c r="E60" s="2"/>
      <c r="F60" s="2"/>
      <c r="G60" s="2"/>
      <c r="H60" s="2"/>
    </row>
  </sheetData>
  <mergeCells count="2">
    <mergeCell ref="A1:H1"/>
    <mergeCell ref="A2:H2"/>
  </mergeCells>
  <dataValidations count="2">
    <dataValidation type="list" sqref="B7" xr:uid="{00000000-0002-0000-3100-000000000000}">
      <formula1>"Yes,No"</formula1>
    </dataValidation>
    <dataValidation type="list" sqref="E14:E35" xr:uid="{00000000-0002-0000-3100-000001000000}">
      <formula1>"Yes,No,N/A"</formula1>
    </dataValidation>
  </dataValidation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O113"/>
  <sheetViews>
    <sheetView workbookViewId="0"/>
  </sheetViews>
  <sheetFormatPr defaultRowHeight="14"/>
  <cols>
    <col min="1" max="2" width="17" customWidth="1"/>
    <col min="3" max="3" width="25" customWidth="1"/>
    <col min="4" max="13" width="17" customWidth="1"/>
    <col min="14" max="14" width="28" customWidth="1"/>
    <col min="15" max="15" width="17" customWidth="1"/>
  </cols>
  <sheetData>
    <row r="1" spans="1:15" ht="20">
      <c r="A1" s="6" t="s">
        <v>383</v>
      </c>
      <c r="B1" s="7"/>
      <c r="C1" s="7"/>
      <c r="D1" s="7"/>
      <c r="E1" s="7"/>
      <c r="F1" s="7"/>
      <c r="G1" s="7"/>
      <c r="H1" s="7"/>
      <c r="I1" s="7"/>
      <c r="J1" s="7"/>
      <c r="K1" s="7"/>
      <c r="L1" s="7"/>
      <c r="M1" s="7"/>
      <c r="N1" s="7"/>
      <c r="O1" s="7"/>
    </row>
    <row r="2" spans="1:15" ht="14.5">
      <c r="A2" s="8" t="s">
        <v>318</v>
      </c>
      <c r="B2" s="7"/>
      <c r="C2" s="7"/>
      <c r="D2" s="7"/>
      <c r="E2" s="7"/>
      <c r="F2" s="7"/>
      <c r="G2" s="7"/>
      <c r="H2" s="7"/>
      <c r="I2" s="7"/>
      <c r="J2" s="7"/>
      <c r="K2" s="7"/>
      <c r="L2" s="7"/>
      <c r="M2" s="7"/>
      <c r="N2" s="7"/>
      <c r="O2" s="7"/>
    </row>
    <row r="4" spans="1:15">
      <c r="A4" s="3" t="s">
        <v>107</v>
      </c>
      <c r="B4" t="s">
        <v>380</v>
      </c>
    </row>
    <row r="5" spans="1:15">
      <c r="A5" s="3" t="s">
        <v>110</v>
      </c>
    </row>
    <row r="6" spans="1:15">
      <c r="A6" s="3" t="s">
        <v>229</v>
      </c>
    </row>
    <row r="7" spans="1:15">
      <c r="A7" s="3" t="s">
        <v>230</v>
      </c>
    </row>
    <row r="8" spans="1:15">
      <c r="A8" s="3" t="s">
        <v>319</v>
      </c>
      <c r="B8">
        <f>COUNTA(A14:A113)</f>
        <v>0</v>
      </c>
    </row>
    <row r="9" spans="1:15" ht="28">
      <c r="A9" s="3" t="s">
        <v>320</v>
      </c>
      <c r="B9">
        <f>COUNTIF(O14:O113,"FAIL")</f>
        <v>0</v>
      </c>
    </row>
    <row r="10" spans="1:15">
      <c r="A10" s="3" t="s">
        <v>46</v>
      </c>
      <c r="B10" t="str">
        <f>IF(AND(B7="Yes",B9=0),"Complete","Incomplete")</f>
        <v>Incomplete</v>
      </c>
    </row>
    <row r="13" spans="1:15" ht="42">
      <c r="A13" s="1" t="s">
        <v>120</v>
      </c>
      <c r="B13" s="1" t="s">
        <v>121</v>
      </c>
      <c r="C13" s="1" t="s">
        <v>321</v>
      </c>
      <c r="D13" s="1" t="s">
        <v>234</v>
      </c>
      <c r="E13" s="1" t="s">
        <v>235</v>
      </c>
      <c r="F13" s="1" t="s">
        <v>294</v>
      </c>
      <c r="G13" s="1" t="s">
        <v>322</v>
      </c>
      <c r="H13" s="1" t="s">
        <v>323</v>
      </c>
      <c r="I13" s="1" t="s">
        <v>324</v>
      </c>
      <c r="J13" s="1" t="s">
        <v>149</v>
      </c>
      <c r="K13" s="1" t="s">
        <v>325</v>
      </c>
      <c r="L13" s="1" t="s">
        <v>326</v>
      </c>
      <c r="M13" s="1" t="s">
        <v>327</v>
      </c>
      <c r="N13" s="1" t="s">
        <v>239</v>
      </c>
      <c r="O13" s="1" t="s">
        <v>328</v>
      </c>
    </row>
    <row r="14" spans="1:15">
      <c r="A14" s="2"/>
      <c r="B14" s="2"/>
      <c r="C14" s="2"/>
      <c r="D14" s="2"/>
      <c r="E14" s="2"/>
      <c r="F14" s="2"/>
      <c r="G14" s="2"/>
      <c r="H14" s="2"/>
      <c r="I14" s="2"/>
      <c r="J14" s="2"/>
      <c r="K14" s="2"/>
      <c r="L14" s="2"/>
      <c r="M14" s="2"/>
      <c r="N14" s="2"/>
      <c r="O14" s="2" t="str">
        <f t="shared" ref="O14:O45" si="0">IF(OR(E14&lt;D14,F14="No",G14="No",H14="No",I14="No",J14="No",K14="No",L14="No",M14="No"),"FAIL","PASS")</f>
        <v>PASS</v>
      </c>
    </row>
    <row r="15" spans="1:15">
      <c r="A15" s="2"/>
      <c r="B15" s="2"/>
      <c r="C15" s="2"/>
      <c r="D15" s="2"/>
      <c r="E15" s="2"/>
      <c r="F15" s="2"/>
      <c r="G15" s="2"/>
      <c r="H15" s="2"/>
      <c r="I15" s="2"/>
      <c r="J15" s="2"/>
      <c r="K15" s="2"/>
      <c r="L15" s="2"/>
      <c r="M15" s="2"/>
      <c r="N15" s="2"/>
      <c r="O15" s="2" t="str">
        <f t="shared" si="0"/>
        <v>PASS</v>
      </c>
    </row>
    <row r="16" spans="1:15">
      <c r="A16" s="2"/>
      <c r="B16" s="2"/>
      <c r="C16" s="2"/>
      <c r="D16" s="2"/>
      <c r="E16" s="2"/>
      <c r="F16" s="2"/>
      <c r="G16" s="2"/>
      <c r="H16" s="2"/>
      <c r="I16" s="2"/>
      <c r="J16" s="2"/>
      <c r="K16" s="2"/>
      <c r="L16" s="2"/>
      <c r="M16" s="2"/>
      <c r="N16" s="2"/>
      <c r="O16" s="2" t="str">
        <f t="shared" si="0"/>
        <v>PASS</v>
      </c>
    </row>
    <row r="17" spans="1:15">
      <c r="A17" s="2"/>
      <c r="B17" s="2"/>
      <c r="C17" s="2"/>
      <c r="D17" s="2"/>
      <c r="E17" s="2"/>
      <c r="F17" s="2"/>
      <c r="G17" s="2"/>
      <c r="H17" s="2"/>
      <c r="I17" s="2"/>
      <c r="J17" s="2"/>
      <c r="K17" s="2"/>
      <c r="L17" s="2"/>
      <c r="M17" s="2"/>
      <c r="N17" s="2"/>
      <c r="O17" s="2" t="str">
        <f t="shared" si="0"/>
        <v>PASS</v>
      </c>
    </row>
    <row r="18" spans="1:15">
      <c r="A18" s="2"/>
      <c r="B18" s="2"/>
      <c r="C18" s="2"/>
      <c r="D18" s="2"/>
      <c r="E18" s="2"/>
      <c r="F18" s="2"/>
      <c r="G18" s="2"/>
      <c r="H18" s="2"/>
      <c r="I18" s="2"/>
      <c r="J18" s="2"/>
      <c r="K18" s="2"/>
      <c r="L18" s="2"/>
      <c r="M18" s="2"/>
      <c r="N18" s="2"/>
      <c r="O18" s="2" t="str">
        <f t="shared" si="0"/>
        <v>PASS</v>
      </c>
    </row>
    <row r="19" spans="1:15">
      <c r="A19" s="2"/>
      <c r="B19" s="2"/>
      <c r="C19" s="2"/>
      <c r="D19" s="2"/>
      <c r="E19" s="2"/>
      <c r="F19" s="2"/>
      <c r="G19" s="2"/>
      <c r="H19" s="2"/>
      <c r="I19" s="2"/>
      <c r="J19" s="2"/>
      <c r="K19" s="2"/>
      <c r="L19" s="2"/>
      <c r="M19" s="2"/>
      <c r="N19" s="2"/>
      <c r="O19" s="2" t="str">
        <f t="shared" si="0"/>
        <v>PASS</v>
      </c>
    </row>
    <row r="20" spans="1:15">
      <c r="A20" s="2"/>
      <c r="B20" s="2"/>
      <c r="C20" s="2"/>
      <c r="D20" s="2"/>
      <c r="E20" s="2"/>
      <c r="F20" s="2"/>
      <c r="G20" s="2"/>
      <c r="H20" s="2"/>
      <c r="I20" s="2"/>
      <c r="J20" s="2"/>
      <c r="K20" s="2"/>
      <c r="L20" s="2"/>
      <c r="M20" s="2"/>
      <c r="N20" s="2"/>
      <c r="O20" s="2" t="str">
        <f t="shared" si="0"/>
        <v>PASS</v>
      </c>
    </row>
    <row r="21" spans="1:15">
      <c r="A21" s="2"/>
      <c r="B21" s="2"/>
      <c r="C21" s="2"/>
      <c r="D21" s="2"/>
      <c r="E21" s="2"/>
      <c r="F21" s="2"/>
      <c r="G21" s="2"/>
      <c r="H21" s="2"/>
      <c r="I21" s="2"/>
      <c r="J21" s="2"/>
      <c r="K21" s="2"/>
      <c r="L21" s="2"/>
      <c r="M21" s="2"/>
      <c r="N21" s="2"/>
      <c r="O21" s="2" t="str">
        <f t="shared" si="0"/>
        <v>PASS</v>
      </c>
    </row>
    <row r="22" spans="1:15">
      <c r="A22" s="2"/>
      <c r="B22" s="2"/>
      <c r="C22" s="2"/>
      <c r="D22" s="2"/>
      <c r="E22" s="2"/>
      <c r="F22" s="2"/>
      <c r="G22" s="2"/>
      <c r="H22" s="2"/>
      <c r="I22" s="2"/>
      <c r="J22" s="2"/>
      <c r="K22" s="2"/>
      <c r="L22" s="2"/>
      <c r="M22" s="2"/>
      <c r="N22" s="2"/>
      <c r="O22" s="2" t="str">
        <f t="shared" si="0"/>
        <v>PASS</v>
      </c>
    </row>
    <row r="23" spans="1:15">
      <c r="A23" s="2"/>
      <c r="B23" s="2"/>
      <c r="C23" s="2"/>
      <c r="D23" s="2"/>
      <c r="E23" s="2"/>
      <c r="F23" s="2"/>
      <c r="G23" s="2"/>
      <c r="H23" s="2"/>
      <c r="I23" s="2"/>
      <c r="J23" s="2"/>
      <c r="K23" s="2"/>
      <c r="L23" s="2"/>
      <c r="M23" s="2"/>
      <c r="N23" s="2"/>
      <c r="O23" s="2" t="str">
        <f t="shared" si="0"/>
        <v>PASS</v>
      </c>
    </row>
    <row r="24" spans="1:15">
      <c r="A24" s="2"/>
      <c r="B24" s="2"/>
      <c r="C24" s="2"/>
      <c r="D24" s="2"/>
      <c r="E24" s="2"/>
      <c r="F24" s="2"/>
      <c r="G24" s="2"/>
      <c r="H24" s="2"/>
      <c r="I24" s="2"/>
      <c r="J24" s="2"/>
      <c r="K24" s="2"/>
      <c r="L24" s="2"/>
      <c r="M24" s="2"/>
      <c r="N24" s="2"/>
      <c r="O24" s="2" t="str">
        <f t="shared" si="0"/>
        <v>PASS</v>
      </c>
    </row>
    <row r="25" spans="1:15">
      <c r="A25" s="2"/>
      <c r="B25" s="2"/>
      <c r="C25" s="2"/>
      <c r="D25" s="2"/>
      <c r="E25" s="2"/>
      <c r="F25" s="2"/>
      <c r="G25" s="2"/>
      <c r="H25" s="2"/>
      <c r="I25" s="2"/>
      <c r="J25" s="2"/>
      <c r="K25" s="2"/>
      <c r="L25" s="2"/>
      <c r="M25" s="2"/>
      <c r="N25" s="2"/>
      <c r="O25" s="2" t="str">
        <f t="shared" si="0"/>
        <v>PASS</v>
      </c>
    </row>
    <row r="26" spans="1:15">
      <c r="A26" s="2"/>
      <c r="B26" s="2"/>
      <c r="C26" s="2"/>
      <c r="D26" s="2"/>
      <c r="E26" s="2"/>
      <c r="F26" s="2"/>
      <c r="G26" s="2"/>
      <c r="H26" s="2"/>
      <c r="I26" s="2"/>
      <c r="J26" s="2"/>
      <c r="K26" s="2"/>
      <c r="L26" s="2"/>
      <c r="M26" s="2"/>
      <c r="N26" s="2"/>
      <c r="O26" s="2" t="str">
        <f t="shared" si="0"/>
        <v>PASS</v>
      </c>
    </row>
    <row r="27" spans="1:15">
      <c r="A27" s="2"/>
      <c r="B27" s="2"/>
      <c r="C27" s="2"/>
      <c r="D27" s="2"/>
      <c r="E27" s="2"/>
      <c r="F27" s="2"/>
      <c r="G27" s="2"/>
      <c r="H27" s="2"/>
      <c r="I27" s="2"/>
      <c r="J27" s="2"/>
      <c r="K27" s="2"/>
      <c r="L27" s="2"/>
      <c r="M27" s="2"/>
      <c r="N27" s="2"/>
      <c r="O27" s="2" t="str">
        <f t="shared" si="0"/>
        <v>PASS</v>
      </c>
    </row>
    <row r="28" spans="1:15">
      <c r="A28" s="2"/>
      <c r="B28" s="2"/>
      <c r="C28" s="2"/>
      <c r="D28" s="2"/>
      <c r="E28" s="2"/>
      <c r="F28" s="2"/>
      <c r="G28" s="2"/>
      <c r="H28" s="2"/>
      <c r="I28" s="2"/>
      <c r="J28" s="2"/>
      <c r="K28" s="2"/>
      <c r="L28" s="2"/>
      <c r="M28" s="2"/>
      <c r="N28" s="2"/>
      <c r="O28" s="2" t="str">
        <f t="shared" si="0"/>
        <v>PASS</v>
      </c>
    </row>
    <row r="29" spans="1:15">
      <c r="A29" s="2"/>
      <c r="B29" s="2"/>
      <c r="C29" s="2"/>
      <c r="D29" s="2"/>
      <c r="E29" s="2"/>
      <c r="F29" s="2"/>
      <c r="G29" s="2"/>
      <c r="H29" s="2"/>
      <c r="I29" s="2"/>
      <c r="J29" s="2"/>
      <c r="K29" s="2"/>
      <c r="L29" s="2"/>
      <c r="M29" s="2"/>
      <c r="N29" s="2"/>
      <c r="O29" s="2" t="str">
        <f t="shared" si="0"/>
        <v>PASS</v>
      </c>
    </row>
    <row r="30" spans="1:15">
      <c r="A30" s="2"/>
      <c r="B30" s="2"/>
      <c r="C30" s="2"/>
      <c r="D30" s="2"/>
      <c r="E30" s="2"/>
      <c r="F30" s="2"/>
      <c r="G30" s="2"/>
      <c r="H30" s="2"/>
      <c r="I30" s="2"/>
      <c r="J30" s="2"/>
      <c r="K30" s="2"/>
      <c r="L30" s="2"/>
      <c r="M30" s="2"/>
      <c r="N30" s="2"/>
      <c r="O30" s="2" t="str">
        <f t="shared" si="0"/>
        <v>PASS</v>
      </c>
    </row>
    <row r="31" spans="1:15">
      <c r="A31" s="2"/>
      <c r="B31" s="2"/>
      <c r="C31" s="2"/>
      <c r="D31" s="2"/>
      <c r="E31" s="2"/>
      <c r="F31" s="2"/>
      <c r="G31" s="2"/>
      <c r="H31" s="2"/>
      <c r="I31" s="2"/>
      <c r="J31" s="2"/>
      <c r="K31" s="2"/>
      <c r="L31" s="2"/>
      <c r="M31" s="2"/>
      <c r="N31" s="2"/>
      <c r="O31" s="2" t="str">
        <f t="shared" si="0"/>
        <v>PASS</v>
      </c>
    </row>
    <row r="32" spans="1:15">
      <c r="A32" s="2"/>
      <c r="B32" s="2"/>
      <c r="C32" s="2"/>
      <c r="D32" s="2"/>
      <c r="E32" s="2"/>
      <c r="F32" s="2"/>
      <c r="G32" s="2"/>
      <c r="H32" s="2"/>
      <c r="I32" s="2"/>
      <c r="J32" s="2"/>
      <c r="K32" s="2"/>
      <c r="L32" s="2"/>
      <c r="M32" s="2"/>
      <c r="N32" s="2"/>
      <c r="O32" s="2" t="str">
        <f t="shared" si="0"/>
        <v>PASS</v>
      </c>
    </row>
    <row r="33" spans="1:15">
      <c r="A33" s="2"/>
      <c r="B33" s="2"/>
      <c r="C33" s="2"/>
      <c r="D33" s="2"/>
      <c r="E33" s="2"/>
      <c r="F33" s="2"/>
      <c r="G33" s="2"/>
      <c r="H33" s="2"/>
      <c r="I33" s="2"/>
      <c r="J33" s="2"/>
      <c r="K33" s="2"/>
      <c r="L33" s="2"/>
      <c r="M33" s="2"/>
      <c r="N33" s="2"/>
      <c r="O33" s="2" t="str">
        <f t="shared" si="0"/>
        <v>PASS</v>
      </c>
    </row>
    <row r="34" spans="1:15">
      <c r="A34" s="2"/>
      <c r="B34" s="2"/>
      <c r="C34" s="2"/>
      <c r="D34" s="2"/>
      <c r="E34" s="2"/>
      <c r="F34" s="2"/>
      <c r="G34" s="2"/>
      <c r="H34" s="2"/>
      <c r="I34" s="2"/>
      <c r="J34" s="2"/>
      <c r="K34" s="2"/>
      <c r="L34" s="2"/>
      <c r="M34" s="2"/>
      <c r="N34" s="2"/>
      <c r="O34" s="2" t="str">
        <f t="shared" si="0"/>
        <v>PASS</v>
      </c>
    </row>
    <row r="35" spans="1:15">
      <c r="A35" s="2"/>
      <c r="B35" s="2"/>
      <c r="C35" s="2"/>
      <c r="D35" s="2"/>
      <c r="E35" s="2"/>
      <c r="F35" s="2"/>
      <c r="G35" s="2"/>
      <c r="H35" s="2"/>
      <c r="I35" s="2"/>
      <c r="J35" s="2"/>
      <c r="K35" s="2"/>
      <c r="L35" s="2"/>
      <c r="M35" s="2"/>
      <c r="N35" s="2"/>
      <c r="O35" s="2" t="str">
        <f t="shared" si="0"/>
        <v>PASS</v>
      </c>
    </row>
    <row r="36" spans="1:15">
      <c r="A36" s="2"/>
      <c r="B36" s="2"/>
      <c r="C36" s="2"/>
      <c r="D36" s="2"/>
      <c r="E36" s="2"/>
      <c r="F36" s="2"/>
      <c r="G36" s="2"/>
      <c r="H36" s="2"/>
      <c r="I36" s="2"/>
      <c r="J36" s="2"/>
      <c r="K36" s="2"/>
      <c r="L36" s="2"/>
      <c r="M36" s="2"/>
      <c r="N36" s="2"/>
      <c r="O36" s="2" t="str">
        <f t="shared" si="0"/>
        <v>PASS</v>
      </c>
    </row>
    <row r="37" spans="1:15">
      <c r="A37" s="2"/>
      <c r="B37" s="2"/>
      <c r="C37" s="2"/>
      <c r="D37" s="2"/>
      <c r="E37" s="2"/>
      <c r="F37" s="2"/>
      <c r="G37" s="2"/>
      <c r="H37" s="2"/>
      <c r="I37" s="2"/>
      <c r="J37" s="2"/>
      <c r="K37" s="2"/>
      <c r="L37" s="2"/>
      <c r="M37" s="2"/>
      <c r="N37" s="2"/>
      <c r="O37" s="2" t="str">
        <f t="shared" si="0"/>
        <v>PASS</v>
      </c>
    </row>
    <row r="38" spans="1:15">
      <c r="A38" s="2"/>
      <c r="B38" s="2"/>
      <c r="C38" s="2"/>
      <c r="D38" s="2"/>
      <c r="E38" s="2"/>
      <c r="F38" s="2"/>
      <c r="G38" s="2"/>
      <c r="H38" s="2"/>
      <c r="I38" s="2"/>
      <c r="J38" s="2"/>
      <c r="K38" s="2"/>
      <c r="L38" s="2"/>
      <c r="M38" s="2"/>
      <c r="N38" s="2"/>
      <c r="O38" s="2" t="str">
        <f t="shared" si="0"/>
        <v>PASS</v>
      </c>
    </row>
    <row r="39" spans="1:15">
      <c r="A39" s="2"/>
      <c r="B39" s="2"/>
      <c r="C39" s="2"/>
      <c r="D39" s="2"/>
      <c r="E39" s="2"/>
      <c r="F39" s="2"/>
      <c r="G39" s="2"/>
      <c r="H39" s="2"/>
      <c r="I39" s="2"/>
      <c r="J39" s="2"/>
      <c r="K39" s="2"/>
      <c r="L39" s="2"/>
      <c r="M39" s="2"/>
      <c r="N39" s="2"/>
      <c r="O39" s="2" t="str">
        <f t="shared" si="0"/>
        <v>PASS</v>
      </c>
    </row>
    <row r="40" spans="1:15">
      <c r="A40" s="2"/>
      <c r="B40" s="2"/>
      <c r="C40" s="2"/>
      <c r="D40" s="2"/>
      <c r="E40" s="2"/>
      <c r="F40" s="2"/>
      <c r="G40" s="2"/>
      <c r="H40" s="2"/>
      <c r="I40" s="2"/>
      <c r="J40" s="2"/>
      <c r="K40" s="2"/>
      <c r="L40" s="2"/>
      <c r="M40" s="2"/>
      <c r="N40" s="2"/>
      <c r="O40" s="2" t="str">
        <f t="shared" si="0"/>
        <v>PASS</v>
      </c>
    </row>
    <row r="41" spans="1:15">
      <c r="A41" s="2"/>
      <c r="B41" s="2"/>
      <c r="C41" s="2"/>
      <c r="D41" s="2"/>
      <c r="E41" s="2"/>
      <c r="F41" s="2"/>
      <c r="G41" s="2"/>
      <c r="H41" s="2"/>
      <c r="I41" s="2"/>
      <c r="J41" s="2"/>
      <c r="K41" s="2"/>
      <c r="L41" s="2"/>
      <c r="M41" s="2"/>
      <c r="N41" s="2"/>
      <c r="O41" s="2" t="str">
        <f t="shared" si="0"/>
        <v>PASS</v>
      </c>
    </row>
    <row r="42" spans="1:15">
      <c r="A42" s="2"/>
      <c r="B42" s="2"/>
      <c r="C42" s="2"/>
      <c r="D42" s="2"/>
      <c r="E42" s="2"/>
      <c r="F42" s="2"/>
      <c r="G42" s="2"/>
      <c r="H42" s="2"/>
      <c r="I42" s="2"/>
      <c r="J42" s="2"/>
      <c r="K42" s="2"/>
      <c r="L42" s="2"/>
      <c r="M42" s="2"/>
      <c r="N42" s="2"/>
      <c r="O42" s="2" t="str">
        <f t="shared" si="0"/>
        <v>PASS</v>
      </c>
    </row>
    <row r="43" spans="1:15">
      <c r="A43" s="2"/>
      <c r="B43" s="2"/>
      <c r="C43" s="2"/>
      <c r="D43" s="2"/>
      <c r="E43" s="2"/>
      <c r="F43" s="2"/>
      <c r="G43" s="2"/>
      <c r="H43" s="2"/>
      <c r="I43" s="2"/>
      <c r="J43" s="2"/>
      <c r="K43" s="2"/>
      <c r="L43" s="2"/>
      <c r="M43" s="2"/>
      <c r="N43" s="2"/>
      <c r="O43" s="2" t="str">
        <f t="shared" si="0"/>
        <v>PASS</v>
      </c>
    </row>
    <row r="44" spans="1:15">
      <c r="A44" s="2"/>
      <c r="B44" s="2"/>
      <c r="C44" s="2"/>
      <c r="D44" s="2"/>
      <c r="E44" s="2"/>
      <c r="F44" s="2"/>
      <c r="G44" s="2"/>
      <c r="H44" s="2"/>
      <c r="I44" s="2"/>
      <c r="J44" s="2"/>
      <c r="K44" s="2"/>
      <c r="L44" s="2"/>
      <c r="M44" s="2"/>
      <c r="N44" s="2"/>
      <c r="O44" s="2" t="str">
        <f t="shared" si="0"/>
        <v>PASS</v>
      </c>
    </row>
    <row r="45" spans="1:15">
      <c r="A45" s="2"/>
      <c r="B45" s="2"/>
      <c r="C45" s="2"/>
      <c r="D45" s="2"/>
      <c r="E45" s="2"/>
      <c r="F45" s="2"/>
      <c r="G45" s="2"/>
      <c r="H45" s="2"/>
      <c r="I45" s="2"/>
      <c r="J45" s="2"/>
      <c r="K45" s="2"/>
      <c r="L45" s="2"/>
      <c r="M45" s="2"/>
      <c r="N45" s="2"/>
      <c r="O45" s="2" t="str">
        <f t="shared" si="0"/>
        <v>PASS</v>
      </c>
    </row>
    <row r="46" spans="1:15">
      <c r="A46" s="2"/>
      <c r="B46" s="2"/>
      <c r="C46" s="2"/>
      <c r="D46" s="2"/>
      <c r="E46" s="2"/>
      <c r="F46" s="2"/>
      <c r="G46" s="2"/>
      <c r="H46" s="2"/>
      <c r="I46" s="2"/>
      <c r="J46" s="2"/>
      <c r="K46" s="2"/>
      <c r="L46" s="2"/>
      <c r="M46" s="2"/>
      <c r="N46" s="2"/>
      <c r="O46" s="2" t="str">
        <f t="shared" ref="O46:O77" si="1">IF(OR(E46&lt;D46,F46="No",G46="No",H46="No",I46="No",J46="No",K46="No",L46="No",M46="No"),"FAIL","PASS")</f>
        <v>PASS</v>
      </c>
    </row>
    <row r="47" spans="1:15">
      <c r="A47" s="2"/>
      <c r="B47" s="2"/>
      <c r="C47" s="2"/>
      <c r="D47" s="2"/>
      <c r="E47" s="2"/>
      <c r="F47" s="2"/>
      <c r="G47" s="2"/>
      <c r="H47" s="2"/>
      <c r="I47" s="2"/>
      <c r="J47" s="2"/>
      <c r="K47" s="2"/>
      <c r="L47" s="2"/>
      <c r="M47" s="2"/>
      <c r="N47" s="2"/>
      <c r="O47" s="2" t="str">
        <f t="shared" si="1"/>
        <v>PASS</v>
      </c>
    </row>
    <row r="48" spans="1:15">
      <c r="A48" s="2"/>
      <c r="B48" s="2"/>
      <c r="C48" s="2"/>
      <c r="D48" s="2"/>
      <c r="E48" s="2"/>
      <c r="F48" s="2"/>
      <c r="G48" s="2"/>
      <c r="H48" s="2"/>
      <c r="I48" s="2"/>
      <c r="J48" s="2"/>
      <c r="K48" s="2"/>
      <c r="L48" s="2"/>
      <c r="M48" s="2"/>
      <c r="N48" s="2"/>
      <c r="O48" s="2" t="str">
        <f t="shared" si="1"/>
        <v>PASS</v>
      </c>
    </row>
    <row r="49" spans="1:15">
      <c r="A49" s="2"/>
      <c r="B49" s="2"/>
      <c r="C49" s="2"/>
      <c r="D49" s="2"/>
      <c r="E49" s="2"/>
      <c r="F49" s="2"/>
      <c r="G49" s="2"/>
      <c r="H49" s="2"/>
      <c r="I49" s="2"/>
      <c r="J49" s="2"/>
      <c r="K49" s="2"/>
      <c r="L49" s="2"/>
      <c r="M49" s="2"/>
      <c r="N49" s="2"/>
      <c r="O49" s="2" t="str">
        <f t="shared" si="1"/>
        <v>PASS</v>
      </c>
    </row>
    <row r="50" spans="1:15">
      <c r="A50" s="2"/>
      <c r="B50" s="2"/>
      <c r="C50" s="2"/>
      <c r="D50" s="2"/>
      <c r="E50" s="2"/>
      <c r="F50" s="2"/>
      <c r="G50" s="2"/>
      <c r="H50" s="2"/>
      <c r="I50" s="2"/>
      <c r="J50" s="2"/>
      <c r="K50" s="2"/>
      <c r="L50" s="2"/>
      <c r="M50" s="2"/>
      <c r="N50" s="2"/>
      <c r="O50" s="2" t="str">
        <f t="shared" si="1"/>
        <v>PASS</v>
      </c>
    </row>
    <row r="51" spans="1:15">
      <c r="A51" s="2"/>
      <c r="B51" s="2"/>
      <c r="C51" s="2"/>
      <c r="D51" s="2"/>
      <c r="E51" s="2"/>
      <c r="F51" s="2"/>
      <c r="G51" s="2"/>
      <c r="H51" s="2"/>
      <c r="I51" s="2"/>
      <c r="J51" s="2"/>
      <c r="K51" s="2"/>
      <c r="L51" s="2"/>
      <c r="M51" s="2"/>
      <c r="N51" s="2"/>
      <c r="O51" s="2" t="str">
        <f t="shared" si="1"/>
        <v>PASS</v>
      </c>
    </row>
    <row r="52" spans="1:15">
      <c r="A52" s="2"/>
      <c r="B52" s="2"/>
      <c r="C52" s="2"/>
      <c r="D52" s="2"/>
      <c r="E52" s="2"/>
      <c r="F52" s="2"/>
      <c r="G52" s="2"/>
      <c r="H52" s="2"/>
      <c r="I52" s="2"/>
      <c r="J52" s="2"/>
      <c r="K52" s="2"/>
      <c r="L52" s="2"/>
      <c r="M52" s="2"/>
      <c r="N52" s="2"/>
      <c r="O52" s="2" t="str">
        <f t="shared" si="1"/>
        <v>PASS</v>
      </c>
    </row>
    <row r="53" spans="1:15">
      <c r="A53" s="2"/>
      <c r="B53" s="2"/>
      <c r="C53" s="2"/>
      <c r="D53" s="2"/>
      <c r="E53" s="2"/>
      <c r="F53" s="2"/>
      <c r="G53" s="2"/>
      <c r="H53" s="2"/>
      <c r="I53" s="2"/>
      <c r="J53" s="2"/>
      <c r="K53" s="2"/>
      <c r="L53" s="2"/>
      <c r="M53" s="2"/>
      <c r="N53" s="2"/>
      <c r="O53" s="2" t="str">
        <f t="shared" si="1"/>
        <v>PASS</v>
      </c>
    </row>
    <row r="54" spans="1:15">
      <c r="A54" s="2"/>
      <c r="B54" s="2"/>
      <c r="C54" s="2"/>
      <c r="D54" s="2"/>
      <c r="E54" s="2"/>
      <c r="F54" s="2"/>
      <c r="G54" s="2"/>
      <c r="H54" s="2"/>
      <c r="I54" s="2"/>
      <c r="J54" s="2"/>
      <c r="K54" s="2"/>
      <c r="L54" s="2"/>
      <c r="M54" s="2"/>
      <c r="N54" s="2"/>
      <c r="O54" s="2" t="str">
        <f t="shared" si="1"/>
        <v>PASS</v>
      </c>
    </row>
    <row r="55" spans="1:15">
      <c r="A55" s="2"/>
      <c r="B55" s="2"/>
      <c r="C55" s="2"/>
      <c r="D55" s="2"/>
      <c r="E55" s="2"/>
      <c r="F55" s="2"/>
      <c r="G55" s="2"/>
      <c r="H55" s="2"/>
      <c r="I55" s="2"/>
      <c r="J55" s="2"/>
      <c r="K55" s="2"/>
      <c r="L55" s="2"/>
      <c r="M55" s="2"/>
      <c r="N55" s="2"/>
      <c r="O55" s="2" t="str">
        <f t="shared" si="1"/>
        <v>PASS</v>
      </c>
    </row>
    <row r="56" spans="1:15">
      <c r="A56" s="2"/>
      <c r="B56" s="2"/>
      <c r="C56" s="2"/>
      <c r="D56" s="2"/>
      <c r="E56" s="2"/>
      <c r="F56" s="2"/>
      <c r="G56" s="2"/>
      <c r="H56" s="2"/>
      <c r="I56" s="2"/>
      <c r="J56" s="2"/>
      <c r="K56" s="2"/>
      <c r="L56" s="2"/>
      <c r="M56" s="2"/>
      <c r="N56" s="2"/>
      <c r="O56" s="2" t="str">
        <f t="shared" si="1"/>
        <v>PASS</v>
      </c>
    </row>
    <row r="57" spans="1:15">
      <c r="A57" s="2"/>
      <c r="B57" s="2"/>
      <c r="C57" s="2"/>
      <c r="D57" s="2"/>
      <c r="E57" s="2"/>
      <c r="F57" s="2"/>
      <c r="G57" s="2"/>
      <c r="H57" s="2"/>
      <c r="I57" s="2"/>
      <c r="J57" s="2"/>
      <c r="K57" s="2"/>
      <c r="L57" s="2"/>
      <c r="M57" s="2"/>
      <c r="N57" s="2"/>
      <c r="O57" s="2" t="str">
        <f t="shared" si="1"/>
        <v>PASS</v>
      </c>
    </row>
    <row r="58" spans="1:15">
      <c r="A58" s="2"/>
      <c r="B58" s="2"/>
      <c r="C58" s="2"/>
      <c r="D58" s="2"/>
      <c r="E58" s="2"/>
      <c r="F58" s="2"/>
      <c r="G58" s="2"/>
      <c r="H58" s="2"/>
      <c r="I58" s="2"/>
      <c r="J58" s="2"/>
      <c r="K58" s="2"/>
      <c r="L58" s="2"/>
      <c r="M58" s="2"/>
      <c r="N58" s="2"/>
      <c r="O58" s="2" t="str">
        <f t="shared" si="1"/>
        <v>PASS</v>
      </c>
    </row>
    <row r="59" spans="1:15">
      <c r="A59" s="2"/>
      <c r="B59" s="2"/>
      <c r="C59" s="2"/>
      <c r="D59" s="2"/>
      <c r="E59" s="2"/>
      <c r="F59" s="2"/>
      <c r="G59" s="2"/>
      <c r="H59" s="2"/>
      <c r="I59" s="2"/>
      <c r="J59" s="2"/>
      <c r="K59" s="2"/>
      <c r="L59" s="2"/>
      <c r="M59" s="2"/>
      <c r="N59" s="2"/>
      <c r="O59" s="2" t="str">
        <f t="shared" si="1"/>
        <v>PASS</v>
      </c>
    </row>
    <row r="60" spans="1:15">
      <c r="A60" s="2"/>
      <c r="B60" s="2"/>
      <c r="C60" s="2"/>
      <c r="D60" s="2"/>
      <c r="E60" s="2"/>
      <c r="F60" s="2"/>
      <c r="G60" s="2"/>
      <c r="H60" s="2"/>
      <c r="I60" s="2"/>
      <c r="J60" s="2"/>
      <c r="K60" s="2"/>
      <c r="L60" s="2"/>
      <c r="M60" s="2"/>
      <c r="N60" s="2"/>
      <c r="O60" s="2" t="str">
        <f t="shared" si="1"/>
        <v>PASS</v>
      </c>
    </row>
    <row r="61" spans="1:15">
      <c r="A61" s="2"/>
      <c r="B61" s="2"/>
      <c r="C61" s="2"/>
      <c r="D61" s="2"/>
      <c r="E61" s="2"/>
      <c r="F61" s="2"/>
      <c r="G61" s="2"/>
      <c r="H61" s="2"/>
      <c r="I61" s="2"/>
      <c r="J61" s="2"/>
      <c r="K61" s="2"/>
      <c r="L61" s="2"/>
      <c r="M61" s="2"/>
      <c r="N61" s="2"/>
      <c r="O61" s="2" t="str">
        <f t="shared" si="1"/>
        <v>PASS</v>
      </c>
    </row>
    <row r="62" spans="1:15">
      <c r="A62" s="2"/>
      <c r="B62" s="2"/>
      <c r="C62" s="2"/>
      <c r="D62" s="2"/>
      <c r="E62" s="2"/>
      <c r="F62" s="2"/>
      <c r="G62" s="2"/>
      <c r="H62" s="2"/>
      <c r="I62" s="2"/>
      <c r="J62" s="2"/>
      <c r="K62" s="2"/>
      <c r="L62" s="2"/>
      <c r="M62" s="2"/>
      <c r="N62" s="2"/>
      <c r="O62" s="2" t="str">
        <f t="shared" si="1"/>
        <v>PASS</v>
      </c>
    </row>
    <row r="63" spans="1:15">
      <c r="A63" s="2"/>
      <c r="B63" s="2"/>
      <c r="C63" s="2"/>
      <c r="D63" s="2"/>
      <c r="E63" s="2"/>
      <c r="F63" s="2"/>
      <c r="G63" s="2"/>
      <c r="H63" s="2"/>
      <c r="I63" s="2"/>
      <c r="J63" s="2"/>
      <c r="K63" s="2"/>
      <c r="L63" s="2"/>
      <c r="M63" s="2"/>
      <c r="N63" s="2"/>
      <c r="O63" s="2" t="str">
        <f t="shared" si="1"/>
        <v>PASS</v>
      </c>
    </row>
    <row r="64" spans="1:15">
      <c r="A64" s="2"/>
      <c r="B64" s="2"/>
      <c r="C64" s="2"/>
      <c r="D64" s="2"/>
      <c r="E64" s="2"/>
      <c r="F64" s="2"/>
      <c r="G64" s="2"/>
      <c r="H64" s="2"/>
      <c r="I64" s="2"/>
      <c r="J64" s="2"/>
      <c r="K64" s="2"/>
      <c r="L64" s="2"/>
      <c r="M64" s="2"/>
      <c r="N64" s="2"/>
      <c r="O64" s="2" t="str">
        <f t="shared" si="1"/>
        <v>PASS</v>
      </c>
    </row>
    <row r="65" spans="1:15">
      <c r="A65" s="2"/>
      <c r="B65" s="2"/>
      <c r="C65" s="2"/>
      <c r="D65" s="2"/>
      <c r="E65" s="2"/>
      <c r="F65" s="2"/>
      <c r="G65" s="2"/>
      <c r="H65" s="2"/>
      <c r="I65" s="2"/>
      <c r="J65" s="2"/>
      <c r="K65" s="2"/>
      <c r="L65" s="2"/>
      <c r="M65" s="2"/>
      <c r="N65" s="2"/>
      <c r="O65" s="2" t="str">
        <f t="shared" si="1"/>
        <v>PASS</v>
      </c>
    </row>
    <row r="66" spans="1:15">
      <c r="A66" s="2"/>
      <c r="B66" s="2"/>
      <c r="C66" s="2"/>
      <c r="D66" s="2"/>
      <c r="E66" s="2"/>
      <c r="F66" s="2"/>
      <c r="G66" s="2"/>
      <c r="H66" s="2"/>
      <c r="I66" s="2"/>
      <c r="J66" s="2"/>
      <c r="K66" s="2"/>
      <c r="L66" s="2"/>
      <c r="M66" s="2"/>
      <c r="N66" s="2"/>
      <c r="O66" s="2" t="str">
        <f t="shared" si="1"/>
        <v>PASS</v>
      </c>
    </row>
    <row r="67" spans="1:15">
      <c r="A67" s="2"/>
      <c r="B67" s="2"/>
      <c r="C67" s="2"/>
      <c r="D67" s="2"/>
      <c r="E67" s="2"/>
      <c r="F67" s="2"/>
      <c r="G67" s="2"/>
      <c r="H67" s="2"/>
      <c r="I67" s="2"/>
      <c r="J67" s="2"/>
      <c r="K67" s="2"/>
      <c r="L67" s="2"/>
      <c r="M67" s="2"/>
      <c r="N67" s="2"/>
      <c r="O67" s="2" t="str">
        <f t="shared" si="1"/>
        <v>PASS</v>
      </c>
    </row>
    <row r="68" spans="1:15">
      <c r="A68" s="2"/>
      <c r="B68" s="2"/>
      <c r="C68" s="2"/>
      <c r="D68" s="2"/>
      <c r="E68" s="2"/>
      <c r="F68" s="2"/>
      <c r="G68" s="2"/>
      <c r="H68" s="2"/>
      <c r="I68" s="2"/>
      <c r="J68" s="2"/>
      <c r="K68" s="2"/>
      <c r="L68" s="2"/>
      <c r="M68" s="2"/>
      <c r="N68" s="2"/>
      <c r="O68" s="2" t="str">
        <f t="shared" si="1"/>
        <v>PASS</v>
      </c>
    </row>
    <row r="69" spans="1:15">
      <c r="A69" s="2"/>
      <c r="B69" s="2"/>
      <c r="C69" s="2"/>
      <c r="D69" s="2"/>
      <c r="E69" s="2"/>
      <c r="F69" s="2"/>
      <c r="G69" s="2"/>
      <c r="H69" s="2"/>
      <c r="I69" s="2"/>
      <c r="J69" s="2"/>
      <c r="K69" s="2"/>
      <c r="L69" s="2"/>
      <c r="M69" s="2"/>
      <c r="N69" s="2"/>
      <c r="O69" s="2" t="str">
        <f t="shared" si="1"/>
        <v>PASS</v>
      </c>
    </row>
    <row r="70" spans="1:15">
      <c r="A70" s="2"/>
      <c r="B70" s="2"/>
      <c r="C70" s="2"/>
      <c r="D70" s="2"/>
      <c r="E70" s="2"/>
      <c r="F70" s="2"/>
      <c r="G70" s="2"/>
      <c r="H70" s="2"/>
      <c r="I70" s="2"/>
      <c r="J70" s="2"/>
      <c r="K70" s="2"/>
      <c r="L70" s="2"/>
      <c r="M70" s="2"/>
      <c r="N70" s="2"/>
      <c r="O70" s="2" t="str">
        <f t="shared" si="1"/>
        <v>PASS</v>
      </c>
    </row>
    <row r="71" spans="1:15">
      <c r="A71" s="2"/>
      <c r="B71" s="2"/>
      <c r="C71" s="2"/>
      <c r="D71" s="2"/>
      <c r="E71" s="2"/>
      <c r="F71" s="2"/>
      <c r="G71" s="2"/>
      <c r="H71" s="2"/>
      <c r="I71" s="2"/>
      <c r="J71" s="2"/>
      <c r="K71" s="2"/>
      <c r="L71" s="2"/>
      <c r="M71" s="2"/>
      <c r="N71" s="2"/>
      <c r="O71" s="2" t="str">
        <f t="shared" si="1"/>
        <v>PASS</v>
      </c>
    </row>
    <row r="72" spans="1:15">
      <c r="A72" s="2"/>
      <c r="B72" s="2"/>
      <c r="C72" s="2"/>
      <c r="D72" s="2"/>
      <c r="E72" s="2"/>
      <c r="F72" s="2"/>
      <c r="G72" s="2"/>
      <c r="H72" s="2"/>
      <c r="I72" s="2"/>
      <c r="J72" s="2"/>
      <c r="K72" s="2"/>
      <c r="L72" s="2"/>
      <c r="M72" s="2"/>
      <c r="N72" s="2"/>
      <c r="O72" s="2" t="str">
        <f t="shared" si="1"/>
        <v>PASS</v>
      </c>
    </row>
    <row r="73" spans="1:15">
      <c r="A73" s="2"/>
      <c r="B73" s="2"/>
      <c r="C73" s="2"/>
      <c r="D73" s="2"/>
      <c r="E73" s="2"/>
      <c r="F73" s="2"/>
      <c r="G73" s="2"/>
      <c r="H73" s="2"/>
      <c r="I73" s="2"/>
      <c r="J73" s="2"/>
      <c r="K73" s="2"/>
      <c r="L73" s="2"/>
      <c r="M73" s="2"/>
      <c r="N73" s="2"/>
      <c r="O73" s="2" t="str">
        <f t="shared" si="1"/>
        <v>PASS</v>
      </c>
    </row>
    <row r="74" spans="1:15">
      <c r="A74" s="2"/>
      <c r="B74" s="2"/>
      <c r="C74" s="2"/>
      <c r="D74" s="2"/>
      <c r="E74" s="2"/>
      <c r="F74" s="2"/>
      <c r="G74" s="2"/>
      <c r="H74" s="2"/>
      <c r="I74" s="2"/>
      <c r="J74" s="2"/>
      <c r="K74" s="2"/>
      <c r="L74" s="2"/>
      <c r="M74" s="2"/>
      <c r="N74" s="2"/>
      <c r="O74" s="2" t="str">
        <f t="shared" si="1"/>
        <v>PASS</v>
      </c>
    </row>
    <row r="75" spans="1:15">
      <c r="A75" s="2"/>
      <c r="B75" s="2"/>
      <c r="C75" s="2"/>
      <c r="D75" s="2"/>
      <c r="E75" s="2"/>
      <c r="F75" s="2"/>
      <c r="G75" s="2"/>
      <c r="H75" s="2"/>
      <c r="I75" s="2"/>
      <c r="J75" s="2"/>
      <c r="K75" s="2"/>
      <c r="L75" s="2"/>
      <c r="M75" s="2"/>
      <c r="N75" s="2"/>
      <c r="O75" s="2" t="str">
        <f t="shared" si="1"/>
        <v>PASS</v>
      </c>
    </row>
    <row r="76" spans="1:15">
      <c r="A76" s="2"/>
      <c r="B76" s="2"/>
      <c r="C76" s="2"/>
      <c r="D76" s="2"/>
      <c r="E76" s="2"/>
      <c r="F76" s="2"/>
      <c r="G76" s="2"/>
      <c r="H76" s="2"/>
      <c r="I76" s="2"/>
      <c r="J76" s="2"/>
      <c r="K76" s="2"/>
      <c r="L76" s="2"/>
      <c r="M76" s="2"/>
      <c r="N76" s="2"/>
      <c r="O76" s="2" t="str">
        <f t="shared" si="1"/>
        <v>PASS</v>
      </c>
    </row>
    <row r="77" spans="1:15">
      <c r="A77" s="2"/>
      <c r="B77" s="2"/>
      <c r="C77" s="2"/>
      <c r="D77" s="2"/>
      <c r="E77" s="2"/>
      <c r="F77" s="2"/>
      <c r="G77" s="2"/>
      <c r="H77" s="2"/>
      <c r="I77" s="2"/>
      <c r="J77" s="2"/>
      <c r="K77" s="2"/>
      <c r="L77" s="2"/>
      <c r="M77" s="2"/>
      <c r="N77" s="2"/>
      <c r="O77" s="2" t="str">
        <f t="shared" si="1"/>
        <v>PASS</v>
      </c>
    </row>
    <row r="78" spans="1:15">
      <c r="A78" s="2"/>
      <c r="B78" s="2"/>
      <c r="C78" s="2"/>
      <c r="D78" s="2"/>
      <c r="E78" s="2"/>
      <c r="F78" s="2"/>
      <c r="G78" s="2"/>
      <c r="H78" s="2"/>
      <c r="I78" s="2"/>
      <c r="J78" s="2"/>
      <c r="K78" s="2"/>
      <c r="L78" s="2"/>
      <c r="M78" s="2"/>
      <c r="N78" s="2"/>
      <c r="O78" s="2" t="str">
        <f t="shared" ref="O78:O113" si="2">IF(OR(E78&lt;D78,F78="No",G78="No",H78="No",I78="No",J78="No",K78="No",L78="No",M78="No"),"FAIL","PASS")</f>
        <v>PASS</v>
      </c>
    </row>
    <row r="79" spans="1:15">
      <c r="A79" s="2"/>
      <c r="B79" s="2"/>
      <c r="C79" s="2"/>
      <c r="D79" s="2"/>
      <c r="E79" s="2"/>
      <c r="F79" s="2"/>
      <c r="G79" s="2"/>
      <c r="H79" s="2"/>
      <c r="I79" s="2"/>
      <c r="J79" s="2"/>
      <c r="K79" s="2"/>
      <c r="L79" s="2"/>
      <c r="M79" s="2"/>
      <c r="N79" s="2"/>
      <c r="O79" s="2" t="str">
        <f t="shared" si="2"/>
        <v>PASS</v>
      </c>
    </row>
    <row r="80" spans="1:15">
      <c r="A80" s="2"/>
      <c r="B80" s="2"/>
      <c r="C80" s="2"/>
      <c r="D80" s="2"/>
      <c r="E80" s="2"/>
      <c r="F80" s="2"/>
      <c r="G80" s="2"/>
      <c r="H80" s="2"/>
      <c r="I80" s="2"/>
      <c r="J80" s="2"/>
      <c r="K80" s="2"/>
      <c r="L80" s="2"/>
      <c r="M80" s="2"/>
      <c r="N80" s="2"/>
      <c r="O80" s="2" t="str">
        <f t="shared" si="2"/>
        <v>PASS</v>
      </c>
    </row>
    <row r="81" spans="1:15">
      <c r="A81" s="2"/>
      <c r="B81" s="2"/>
      <c r="C81" s="2"/>
      <c r="D81" s="2"/>
      <c r="E81" s="2"/>
      <c r="F81" s="2"/>
      <c r="G81" s="2"/>
      <c r="H81" s="2"/>
      <c r="I81" s="2"/>
      <c r="J81" s="2"/>
      <c r="K81" s="2"/>
      <c r="L81" s="2"/>
      <c r="M81" s="2"/>
      <c r="N81" s="2"/>
      <c r="O81" s="2" t="str">
        <f t="shared" si="2"/>
        <v>PASS</v>
      </c>
    </row>
    <row r="82" spans="1:15">
      <c r="A82" s="2"/>
      <c r="B82" s="2"/>
      <c r="C82" s="2"/>
      <c r="D82" s="2"/>
      <c r="E82" s="2"/>
      <c r="F82" s="2"/>
      <c r="G82" s="2"/>
      <c r="H82" s="2"/>
      <c r="I82" s="2"/>
      <c r="J82" s="2"/>
      <c r="K82" s="2"/>
      <c r="L82" s="2"/>
      <c r="M82" s="2"/>
      <c r="N82" s="2"/>
      <c r="O82" s="2" t="str">
        <f t="shared" si="2"/>
        <v>PASS</v>
      </c>
    </row>
    <row r="83" spans="1:15">
      <c r="A83" s="2"/>
      <c r="B83" s="2"/>
      <c r="C83" s="2"/>
      <c r="D83" s="2"/>
      <c r="E83" s="2"/>
      <c r="F83" s="2"/>
      <c r="G83" s="2"/>
      <c r="H83" s="2"/>
      <c r="I83" s="2"/>
      <c r="J83" s="2"/>
      <c r="K83" s="2"/>
      <c r="L83" s="2"/>
      <c r="M83" s="2"/>
      <c r="N83" s="2"/>
      <c r="O83" s="2" t="str">
        <f t="shared" si="2"/>
        <v>PASS</v>
      </c>
    </row>
    <row r="84" spans="1:15">
      <c r="A84" s="2"/>
      <c r="B84" s="2"/>
      <c r="C84" s="2"/>
      <c r="D84" s="2"/>
      <c r="E84" s="2"/>
      <c r="F84" s="2"/>
      <c r="G84" s="2"/>
      <c r="H84" s="2"/>
      <c r="I84" s="2"/>
      <c r="J84" s="2"/>
      <c r="K84" s="2"/>
      <c r="L84" s="2"/>
      <c r="M84" s="2"/>
      <c r="N84" s="2"/>
      <c r="O84" s="2" t="str">
        <f t="shared" si="2"/>
        <v>PASS</v>
      </c>
    </row>
    <row r="85" spans="1:15">
      <c r="A85" s="2"/>
      <c r="B85" s="2"/>
      <c r="C85" s="2"/>
      <c r="D85" s="2"/>
      <c r="E85" s="2"/>
      <c r="F85" s="2"/>
      <c r="G85" s="2"/>
      <c r="H85" s="2"/>
      <c r="I85" s="2"/>
      <c r="J85" s="2"/>
      <c r="K85" s="2"/>
      <c r="L85" s="2"/>
      <c r="M85" s="2"/>
      <c r="N85" s="2"/>
      <c r="O85" s="2" t="str">
        <f t="shared" si="2"/>
        <v>PASS</v>
      </c>
    </row>
    <row r="86" spans="1:15">
      <c r="A86" s="2"/>
      <c r="B86" s="2"/>
      <c r="C86" s="2"/>
      <c r="D86" s="2"/>
      <c r="E86" s="2"/>
      <c r="F86" s="2"/>
      <c r="G86" s="2"/>
      <c r="H86" s="2"/>
      <c r="I86" s="2"/>
      <c r="J86" s="2"/>
      <c r="K86" s="2"/>
      <c r="L86" s="2"/>
      <c r="M86" s="2"/>
      <c r="N86" s="2"/>
      <c r="O86" s="2" t="str">
        <f t="shared" si="2"/>
        <v>PASS</v>
      </c>
    </row>
    <row r="87" spans="1:15">
      <c r="A87" s="2"/>
      <c r="B87" s="2"/>
      <c r="C87" s="2"/>
      <c r="D87" s="2"/>
      <c r="E87" s="2"/>
      <c r="F87" s="2"/>
      <c r="G87" s="2"/>
      <c r="H87" s="2"/>
      <c r="I87" s="2"/>
      <c r="J87" s="2"/>
      <c r="K87" s="2"/>
      <c r="L87" s="2"/>
      <c r="M87" s="2"/>
      <c r="N87" s="2"/>
      <c r="O87" s="2" t="str">
        <f t="shared" si="2"/>
        <v>PASS</v>
      </c>
    </row>
    <row r="88" spans="1:15">
      <c r="A88" s="2"/>
      <c r="B88" s="2"/>
      <c r="C88" s="2"/>
      <c r="D88" s="2"/>
      <c r="E88" s="2"/>
      <c r="F88" s="2"/>
      <c r="G88" s="2"/>
      <c r="H88" s="2"/>
      <c r="I88" s="2"/>
      <c r="J88" s="2"/>
      <c r="K88" s="2"/>
      <c r="L88" s="2"/>
      <c r="M88" s="2"/>
      <c r="N88" s="2"/>
      <c r="O88" s="2" t="str">
        <f t="shared" si="2"/>
        <v>PASS</v>
      </c>
    </row>
    <row r="89" spans="1:15">
      <c r="A89" s="2"/>
      <c r="B89" s="2"/>
      <c r="C89" s="2"/>
      <c r="D89" s="2"/>
      <c r="E89" s="2"/>
      <c r="F89" s="2"/>
      <c r="G89" s="2"/>
      <c r="H89" s="2"/>
      <c r="I89" s="2"/>
      <c r="J89" s="2"/>
      <c r="K89" s="2"/>
      <c r="L89" s="2"/>
      <c r="M89" s="2"/>
      <c r="N89" s="2"/>
      <c r="O89" s="2" t="str">
        <f t="shared" si="2"/>
        <v>PASS</v>
      </c>
    </row>
    <row r="90" spans="1:15">
      <c r="A90" s="2"/>
      <c r="B90" s="2"/>
      <c r="C90" s="2"/>
      <c r="D90" s="2"/>
      <c r="E90" s="2"/>
      <c r="F90" s="2"/>
      <c r="G90" s="2"/>
      <c r="H90" s="2"/>
      <c r="I90" s="2"/>
      <c r="J90" s="2"/>
      <c r="K90" s="2"/>
      <c r="L90" s="2"/>
      <c r="M90" s="2"/>
      <c r="N90" s="2"/>
      <c r="O90" s="2" t="str">
        <f t="shared" si="2"/>
        <v>PASS</v>
      </c>
    </row>
    <row r="91" spans="1:15">
      <c r="A91" s="2"/>
      <c r="B91" s="2"/>
      <c r="C91" s="2"/>
      <c r="D91" s="2"/>
      <c r="E91" s="2"/>
      <c r="F91" s="2"/>
      <c r="G91" s="2"/>
      <c r="H91" s="2"/>
      <c r="I91" s="2"/>
      <c r="J91" s="2"/>
      <c r="K91" s="2"/>
      <c r="L91" s="2"/>
      <c r="M91" s="2"/>
      <c r="N91" s="2"/>
      <c r="O91" s="2" t="str">
        <f t="shared" si="2"/>
        <v>PASS</v>
      </c>
    </row>
    <row r="92" spans="1:15">
      <c r="A92" s="2"/>
      <c r="B92" s="2"/>
      <c r="C92" s="2"/>
      <c r="D92" s="2"/>
      <c r="E92" s="2"/>
      <c r="F92" s="2"/>
      <c r="G92" s="2"/>
      <c r="H92" s="2"/>
      <c r="I92" s="2"/>
      <c r="J92" s="2"/>
      <c r="K92" s="2"/>
      <c r="L92" s="2"/>
      <c r="M92" s="2"/>
      <c r="N92" s="2"/>
      <c r="O92" s="2" t="str">
        <f t="shared" si="2"/>
        <v>PASS</v>
      </c>
    </row>
    <row r="93" spans="1:15">
      <c r="A93" s="2"/>
      <c r="B93" s="2"/>
      <c r="C93" s="2"/>
      <c r="D93" s="2"/>
      <c r="E93" s="2"/>
      <c r="F93" s="2"/>
      <c r="G93" s="2"/>
      <c r="H93" s="2"/>
      <c r="I93" s="2"/>
      <c r="J93" s="2"/>
      <c r="K93" s="2"/>
      <c r="L93" s="2"/>
      <c r="M93" s="2"/>
      <c r="N93" s="2"/>
      <c r="O93" s="2" t="str">
        <f t="shared" si="2"/>
        <v>PASS</v>
      </c>
    </row>
    <row r="94" spans="1:15">
      <c r="A94" s="2"/>
      <c r="B94" s="2"/>
      <c r="C94" s="2"/>
      <c r="D94" s="2"/>
      <c r="E94" s="2"/>
      <c r="F94" s="2"/>
      <c r="G94" s="2"/>
      <c r="H94" s="2"/>
      <c r="I94" s="2"/>
      <c r="J94" s="2"/>
      <c r="K94" s="2"/>
      <c r="L94" s="2"/>
      <c r="M94" s="2"/>
      <c r="N94" s="2"/>
      <c r="O94" s="2" t="str">
        <f t="shared" si="2"/>
        <v>PASS</v>
      </c>
    </row>
    <row r="95" spans="1:15">
      <c r="A95" s="2"/>
      <c r="B95" s="2"/>
      <c r="C95" s="2"/>
      <c r="D95" s="2"/>
      <c r="E95" s="2"/>
      <c r="F95" s="2"/>
      <c r="G95" s="2"/>
      <c r="H95" s="2"/>
      <c r="I95" s="2"/>
      <c r="J95" s="2"/>
      <c r="K95" s="2"/>
      <c r="L95" s="2"/>
      <c r="M95" s="2"/>
      <c r="N95" s="2"/>
      <c r="O95" s="2" t="str">
        <f t="shared" si="2"/>
        <v>PASS</v>
      </c>
    </row>
    <row r="96" spans="1:15">
      <c r="A96" s="2"/>
      <c r="B96" s="2"/>
      <c r="C96" s="2"/>
      <c r="D96" s="2"/>
      <c r="E96" s="2"/>
      <c r="F96" s="2"/>
      <c r="G96" s="2"/>
      <c r="H96" s="2"/>
      <c r="I96" s="2"/>
      <c r="J96" s="2"/>
      <c r="K96" s="2"/>
      <c r="L96" s="2"/>
      <c r="M96" s="2"/>
      <c r="N96" s="2"/>
      <c r="O96" s="2" t="str">
        <f t="shared" si="2"/>
        <v>PASS</v>
      </c>
    </row>
    <row r="97" spans="1:15">
      <c r="A97" s="2"/>
      <c r="B97" s="2"/>
      <c r="C97" s="2"/>
      <c r="D97" s="2"/>
      <c r="E97" s="2"/>
      <c r="F97" s="2"/>
      <c r="G97" s="2"/>
      <c r="H97" s="2"/>
      <c r="I97" s="2"/>
      <c r="J97" s="2"/>
      <c r="K97" s="2"/>
      <c r="L97" s="2"/>
      <c r="M97" s="2"/>
      <c r="N97" s="2"/>
      <c r="O97" s="2" t="str">
        <f t="shared" si="2"/>
        <v>PASS</v>
      </c>
    </row>
    <row r="98" spans="1:15">
      <c r="A98" s="2"/>
      <c r="B98" s="2"/>
      <c r="C98" s="2"/>
      <c r="D98" s="2"/>
      <c r="E98" s="2"/>
      <c r="F98" s="2"/>
      <c r="G98" s="2"/>
      <c r="H98" s="2"/>
      <c r="I98" s="2"/>
      <c r="J98" s="2"/>
      <c r="K98" s="2"/>
      <c r="L98" s="2"/>
      <c r="M98" s="2"/>
      <c r="N98" s="2"/>
      <c r="O98" s="2" t="str">
        <f t="shared" si="2"/>
        <v>PASS</v>
      </c>
    </row>
    <row r="99" spans="1:15">
      <c r="A99" s="2"/>
      <c r="B99" s="2"/>
      <c r="C99" s="2"/>
      <c r="D99" s="2"/>
      <c r="E99" s="2"/>
      <c r="F99" s="2"/>
      <c r="G99" s="2"/>
      <c r="H99" s="2"/>
      <c r="I99" s="2"/>
      <c r="J99" s="2"/>
      <c r="K99" s="2"/>
      <c r="L99" s="2"/>
      <c r="M99" s="2"/>
      <c r="N99" s="2"/>
      <c r="O99" s="2" t="str">
        <f t="shared" si="2"/>
        <v>PASS</v>
      </c>
    </row>
    <row r="100" spans="1:15">
      <c r="A100" s="2"/>
      <c r="B100" s="2"/>
      <c r="C100" s="2"/>
      <c r="D100" s="2"/>
      <c r="E100" s="2"/>
      <c r="F100" s="2"/>
      <c r="G100" s="2"/>
      <c r="H100" s="2"/>
      <c r="I100" s="2"/>
      <c r="J100" s="2"/>
      <c r="K100" s="2"/>
      <c r="L100" s="2"/>
      <c r="M100" s="2"/>
      <c r="N100" s="2"/>
      <c r="O100" s="2" t="str">
        <f t="shared" si="2"/>
        <v>PASS</v>
      </c>
    </row>
    <row r="101" spans="1:15">
      <c r="A101" s="2"/>
      <c r="B101" s="2"/>
      <c r="C101" s="2"/>
      <c r="D101" s="2"/>
      <c r="E101" s="2"/>
      <c r="F101" s="2"/>
      <c r="G101" s="2"/>
      <c r="H101" s="2"/>
      <c r="I101" s="2"/>
      <c r="J101" s="2"/>
      <c r="K101" s="2"/>
      <c r="L101" s="2"/>
      <c r="M101" s="2"/>
      <c r="N101" s="2"/>
      <c r="O101" s="2" t="str">
        <f t="shared" si="2"/>
        <v>PASS</v>
      </c>
    </row>
    <row r="102" spans="1:15">
      <c r="A102" s="2"/>
      <c r="B102" s="2"/>
      <c r="C102" s="2"/>
      <c r="D102" s="2"/>
      <c r="E102" s="2"/>
      <c r="F102" s="2"/>
      <c r="G102" s="2"/>
      <c r="H102" s="2"/>
      <c r="I102" s="2"/>
      <c r="J102" s="2"/>
      <c r="K102" s="2"/>
      <c r="L102" s="2"/>
      <c r="M102" s="2"/>
      <c r="N102" s="2"/>
      <c r="O102" s="2" t="str">
        <f t="shared" si="2"/>
        <v>PASS</v>
      </c>
    </row>
    <row r="103" spans="1:15">
      <c r="A103" s="2"/>
      <c r="B103" s="2"/>
      <c r="C103" s="2"/>
      <c r="D103" s="2"/>
      <c r="E103" s="2"/>
      <c r="F103" s="2"/>
      <c r="G103" s="2"/>
      <c r="H103" s="2"/>
      <c r="I103" s="2"/>
      <c r="J103" s="2"/>
      <c r="K103" s="2"/>
      <c r="L103" s="2"/>
      <c r="M103" s="2"/>
      <c r="N103" s="2"/>
      <c r="O103" s="2" t="str">
        <f t="shared" si="2"/>
        <v>PASS</v>
      </c>
    </row>
    <row r="104" spans="1:15">
      <c r="A104" s="2"/>
      <c r="B104" s="2"/>
      <c r="C104" s="2"/>
      <c r="D104" s="2"/>
      <c r="E104" s="2"/>
      <c r="F104" s="2"/>
      <c r="G104" s="2"/>
      <c r="H104" s="2"/>
      <c r="I104" s="2"/>
      <c r="J104" s="2"/>
      <c r="K104" s="2"/>
      <c r="L104" s="2"/>
      <c r="M104" s="2"/>
      <c r="N104" s="2"/>
      <c r="O104" s="2" t="str">
        <f t="shared" si="2"/>
        <v>PASS</v>
      </c>
    </row>
    <row r="105" spans="1:15">
      <c r="A105" s="2"/>
      <c r="B105" s="2"/>
      <c r="C105" s="2"/>
      <c r="D105" s="2"/>
      <c r="E105" s="2"/>
      <c r="F105" s="2"/>
      <c r="G105" s="2"/>
      <c r="H105" s="2"/>
      <c r="I105" s="2"/>
      <c r="J105" s="2"/>
      <c r="K105" s="2"/>
      <c r="L105" s="2"/>
      <c r="M105" s="2"/>
      <c r="N105" s="2"/>
      <c r="O105" s="2" t="str">
        <f t="shared" si="2"/>
        <v>PASS</v>
      </c>
    </row>
    <row r="106" spans="1:15">
      <c r="A106" s="2"/>
      <c r="B106" s="2"/>
      <c r="C106" s="2"/>
      <c r="D106" s="2"/>
      <c r="E106" s="2"/>
      <c r="F106" s="2"/>
      <c r="G106" s="2"/>
      <c r="H106" s="2"/>
      <c r="I106" s="2"/>
      <c r="J106" s="2"/>
      <c r="K106" s="2"/>
      <c r="L106" s="2"/>
      <c r="M106" s="2"/>
      <c r="N106" s="2"/>
      <c r="O106" s="2" t="str">
        <f t="shared" si="2"/>
        <v>PASS</v>
      </c>
    </row>
    <row r="107" spans="1:15">
      <c r="A107" s="2"/>
      <c r="B107" s="2"/>
      <c r="C107" s="2"/>
      <c r="D107" s="2"/>
      <c r="E107" s="2"/>
      <c r="F107" s="2"/>
      <c r="G107" s="2"/>
      <c r="H107" s="2"/>
      <c r="I107" s="2"/>
      <c r="J107" s="2"/>
      <c r="K107" s="2"/>
      <c r="L107" s="2"/>
      <c r="M107" s="2"/>
      <c r="N107" s="2"/>
      <c r="O107" s="2" t="str">
        <f t="shared" si="2"/>
        <v>PASS</v>
      </c>
    </row>
    <row r="108" spans="1:15">
      <c r="A108" s="2"/>
      <c r="B108" s="2"/>
      <c r="C108" s="2"/>
      <c r="D108" s="2"/>
      <c r="E108" s="2"/>
      <c r="F108" s="2"/>
      <c r="G108" s="2"/>
      <c r="H108" s="2"/>
      <c r="I108" s="2"/>
      <c r="J108" s="2"/>
      <c r="K108" s="2"/>
      <c r="L108" s="2"/>
      <c r="M108" s="2"/>
      <c r="N108" s="2"/>
      <c r="O108" s="2" t="str">
        <f t="shared" si="2"/>
        <v>PASS</v>
      </c>
    </row>
    <row r="109" spans="1:15">
      <c r="A109" s="2"/>
      <c r="B109" s="2"/>
      <c r="C109" s="2"/>
      <c r="D109" s="2"/>
      <c r="E109" s="2"/>
      <c r="F109" s="2"/>
      <c r="G109" s="2"/>
      <c r="H109" s="2"/>
      <c r="I109" s="2"/>
      <c r="J109" s="2"/>
      <c r="K109" s="2"/>
      <c r="L109" s="2"/>
      <c r="M109" s="2"/>
      <c r="N109" s="2"/>
      <c r="O109" s="2" t="str">
        <f t="shared" si="2"/>
        <v>PASS</v>
      </c>
    </row>
    <row r="110" spans="1:15">
      <c r="A110" s="2"/>
      <c r="B110" s="2"/>
      <c r="C110" s="2"/>
      <c r="D110" s="2"/>
      <c r="E110" s="2"/>
      <c r="F110" s="2"/>
      <c r="G110" s="2"/>
      <c r="H110" s="2"/>
      <c r="I110" s="2"/>
      <c r="J110" s="2"/>
      <c r="K110" s="2"/>
      <c r="L110" s="2"/>
      <c r="M110" s="2"/>
      <c r="N110" s="2"/>
      <c r="O110" s="2" t="str">
        <f t="shared" si="2"/>
        <v>PASS</v>
      </c>
    </row>
    <row r="111" spans="1:15">
      <c r="A111" s="2"/>
      <c r="B111" s="2"/>
      <c r="C111" s="2"/>
      <c r="D111" s="2"/>
      <c r="E111" s="2"/>
      <c r="F111" s="2"/>
      <c r="G111" s="2"/>
      <c r="H111" s="2"/>
      <c r="I111" s="2"/>
      <c r="J111" s="2"/>
      <c r="K111" s="2"/>
      <c r="L111" s="2"/>
      <c r="M111" s="2"/>
      <c r="N111" s="2"/>
      <c r="O111" s="2" t="str">
        <f t="shared" si="2"/>
        <v>PASS</v>
      </c>
    </row>
    <row r="112" spans="1:15">
      <c r="A112" s="2"/>
      <c r="B112" s="2"/>
      <c r="C112" s="2"/>
      <c r="D112" s="2"/>
      <c r="E112" s="2"/>
      <c r="F112" s="2"/>
      <c r="G112" s="2"/>
      <c r="H112" s="2"/>
      <c r="I112" s="2"/>
      <c r="J112" s="2"/>
      <c r="K112" s="2"/>
      <c r="L112" s="2"/>
      <c r="M112" s="2"/>
      <c r="N112" s="2"/>
      <c r="O112" s="2" t="str">
        <f t="shared" si="2"/>
        <v>PASS</v>
      </c>
    </row>
    <row r="113" spans="1:15">
      <c r="A113" s="2"/>
      <c r="B113" s="2"/>
      <c r="C113" s="2"/>
      <c r="D113" s="2"/>
      <c r="E113" s="2"/>
      <c r="F113" s="2"/>
      <c r="G113" s="2"/>
      <c r="H113" s="2"/>
      <c r="I113" s="2"/>
      <c r="J113" s="2"/>
      <c r="K113" s="2"/>
      <c r="L113" s="2"/>
      <c r="M113" s="2"/>
      <c r="N113" s="2"/>
      <c r="O113" s="2" t="str">
        <f t="shared" si="2"/>
        <v>PASS</v>
      </c>
    </row>
  </sheetData>
  <mergeCells count="2">
    <mergeCell ref="A1:O1"/>
    <mergeCell ref="A2:O2"/>
  </mergeCells>
  <dataValidations count="2">
    <dataValidation type="list" sqref="B7" xr:uid="{00000000-0002-0000-3200-000000000000}">
      <formula1>"Yes,No"</formula1>
    </dataValidation>
    <dataValidation type="list" sqref="F14:M113" xr:uid="{00000000-0002-0000-3200-000001000000}">
      <formula1>"Yes,No,N/A"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Lists</vt:lpstr>
      <vt:lpstr>Dashboard</vt:lpstr>
      <vt:lpstr>Floor Plan Zones</vt:lpstr>
      <vt:lpstr>January Dependency</vt:lpstr>
      <vt:lpstr>January PEEP Bag</vt:lpstr>
      <vt:lpstr>January First Aid</vt:lpstr>
      <vt:lpstr>January Emollients</vt:lpstr>
      <vt:lpstr>February Dependency</vt:lpstr>
      <vt:lpstr>February PEEP Bag</vt:lpstr>
      <vt:lpstr>February First Aid</vt:lpstr>
      <vt:lpstr>February Emollients</vt:lpstr>
      <vt:lpstr>March Dependency</vt:lpstr>
      <vt:lpstr>March PEEP Bag</vt:lpstr>
      <vt:lpstr>March First Aid</vt:lpstr>
      <vt:lpstr>March Emollients</vt:lpstr>
      <vt:lpstr>April Dependency</vt:lpstr>
      <vt:lpstr>April PEEP Bag</vt:lpstr>
      <vt:lpstr>April First Aid</vt:lpstr>
      <vt:lpstr>April Emollients</vt:lpstr>
      <vt:lpstr>May Dependency</vt:lpstr>
      <vt:lpstr>May PEEP Bag</vt:lpstr>
      <vt:lpstr>May First Aid</vt:lpstr>
      <vt:lpstr>May Emollients</vt:lpstr>
      <vt:lpstr>June Dependency</vt:lpstr>
      <vt:lpstr>June PEEP Bag</vt:lpstr>
      <vt:lpstr>June First Aid</vt:lpstr>
      <vt:lpstr>June Emollients</vt:lpstr>
      <vt:lpstr>July Dependency</vt:lpstr>
      <vt:lpstr>July PEEP Bag</vt:lpstr>
      <vt:lpstr>July First Aid</vt:lpstr>
      <vt:lpstr>July Emollients</vt:lpstr>
      <vt:lpstr>August Dependency</vt:lpstr>
      <vt:lpstr>August PEEP Bag</vt:lpstr>
      <vt:lpstr>August First Aid</vt:lpstr>
      <vt:lpstr>August Emollients</vt:lpstr>
      <vt:lpstr>September Dependency</vt:lpstr>
      <vt:lpstr>September PEEP Bag</vt:lpstr>
      <vt:lpstr>September First Aid</vt:lpstr>
      <vt:lpstr>September Emollients</vt:lpstr>
      <vt:lpstr>October Dependency</vt:lpstr>
      <vt:lpstr>October PEEP Bag</vt:lpstr>
      <vt:lpstr>October First Aid</vt:lpstr>
      <vt:lpstr>October Emollients</vt:lpstr>
      <vt:lpstr>November Dependency</vt:lpstr>
      <vt:lpstr>November PEEP Bag</vt:lpstr>
      <vt:lpstr>November First Aid</vt:lpstr>
      <vt:lpstr>November Emollients</vt:lpstr>
      <vt:lpstr>December Dependency</vt:lpstr>
      <vt:lpstr>December PEEP Bag</vt:lpstr>
      <vt:lpstr>December First Aid</vt:lpstr>
      <vt:lpstr>December Emollients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Dursha Krishan</dc:creator>
  <cp:lastModifiedBy>Dursha Krishan</cp:lastModifiedBy>
  <dcterms:created xsi:type="dcterms:W3CDTF">2026-06-28T14:35:48Z</dcterms:created>
  <dcterms:modified xsi:type="dcterms:W3CDTF">2026-06-28T14:35:48Z</dcterms:modified>
</cp:coreProperties>
</file>