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urshaKrishan\Desktop\Tracker\"/>
    </mc:Choice>
  </mc:AlternateContent>
  <xr:revisionPtr revIDLastSave="0" documentId="8_{CF3CF744-7281-4611-8385-3A8F28E044B2}" xr6:coauthVersionLast="47" xr6:coauthVersionMax="47" xr10:uidLastSave="{00000000-0000-0000-0000-000000000000}"/>
  <bookViews>
    <workbookView xWindow="-110" yWindow="-110" windowWidth="19420" windowHeight="11500" firstSheet="13" activeTab="15" xr2:uid="{00000000-000D-0000-FFFF-FFFF00000000}"/>
  </bookViews>
  <sheets>
    <sheet name="Dashboard" sheetId="1" r:id="rId1"/>
    <sheet name="Renewal Register" sheetId="2" r:id="rId2"/>
    <sheet name="Fire Action Plan" sheetId="3" r:id="rId3"/>
    <sheet name="Fire Marshal Training" sheetId="4" r:id="rId4"/>
    <sheet name="Fire Training Matrix" sheetId="5" r:id="rId5"/>
    <sheet name="Fire Drill Register" sheetId="6" r:id="rId6"/>
    <sheet name="Drill Evaluation" sheetId="7" r:id="rId7"/>
    <sheet name="Emergency Lighting" sheetId="8" r:id="rId8"/>
    <sheet name="Fire Alarm Tests" sheetId="9" r:id="rId9"/>
    <sheet name="Fire Door Register" sheetId="10" r:id="rId10"/>
    <sheet name="Fire Equipment" sheetId="11" r:id="rId11"/>
    <sheet name="PEEP Register" sheetId="12" r:id="rId12"/>
    <sheet name="Weekly Fire Audit" sheetId="13" r:id="rId13"/>
    <sheet name="Incident False Alarm" sheetId="14" r:id="rId14"/>
    <sheet name="Management Review" sheetId="15" r:id="rId15"/>
    <sheet name="Reg Evidence Index" sheetId="16" r:id="rId16"/>
    <sheet name="Lists" sheetId="17" state="hidden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6" l="1"/>
  <c r="K20" i="16" s="1"/>
  <c r="J19" i="16"/>
  <c r="K19" i="16" s="1"/>
  <c r="J18" i="16"/>
  <c r="K18" i="16" s="1"/>
  <c r="J17" i="16"/>
  <c r="K17" i="16" s="1"/>
  <c r="J16" i="16"/>
  <c r="K16" i="16" s="1"/>
  <c r="J15" i="16"/>
  <c r="K15" i="16" s="1"/>
  <c r="J14" i="16"/>
  <c r="K14" i="16" s="1"/>
  <c r="J13" i="16"/>
  <c r="K13" i="16" s="1"/>
  <c r="J12" i="16"/>
  <c r="K12" i="16" s="1"/>
  <c r="J11" i="16"/>
  <c r="K11" i="16" s="1"/>
  <c r="J10" i="16"/>
  <c r="K10" i="16" s="1"/>
  <c r="J9" i="16"/>
  <c r="K9" i="16" s="1"/>
  <c r="J8" i="16"/>
  <c r="K8" i="16" s="1"/>
  <c r="J7" i="16"/>
  <c r="K7" i="16" s="1"/>
  <c r="J6" i="16"/>
  <c r="K6" i="16" s="1"/>
  <c r="J5" i="16"/>
  <c r="K5" i="16" s="1"/>
  <c r="J4" i="16"/>
  <c r="K4" i="16" s="1"/>
  <c r="B9" i="1" s="1"/>
  <c r="N15" i="5"/>
  <c r="N14" i="5"/>
  <c r="N13" i="5"/>
  <c r="N12" i="5"/>
  <c r="N11" i="5"/>
  <c r="N10" i="5"/>
  <c r="N9" i="5"/>
  <c r="N8" i="5"/>
  <c r="N7" i="5"/>
  <c r="N6" i="5"/>
  <c r="N5" i="5"/>
  <c r="N4" i="5"/>
  <c r="B4" i="5" a="1"/>
  <c r="J15" i="4"/>
  <c r="K15" i="4" s="1"/>
  <c r="E15" i="4"/>
  <c r="J14" i="4"/>
  <c r="K14" i="4" s="1"/>
  <c r="E14" i="4"/>
  <c r="J13" i="4"/>
  <c r="K13" i="4" s="1"/>
  <c r="E13" i="4"/>
  <c r="J12" i="4"/>
  <c r="K12" i="4" s="1"/>
  <c r="E12" i="4"/>
  <c r="J11" i="4"/>
  <c r="K11" i="4" s="1"/>
  <c r="E11" i="4"/>
  <c r="J10" i="4"/>
  <c r="K10" i="4" s="1"/>
  <c r="E10" i="4"/>
  <c r="J9" i="4"/>
  <c r="K9" i="4" s="1"/>
  <c r="E9" i="4"/>
  <c r="J8" i="4"/>
  <c r="K8" i="4" s="1"/>
  <c r="E8" i="4"/>
  <c r="J7" i="4"/>
  <c r="K7" i="4" s="1"/>
  <c r="E7" i="4"/>
  <c r="J6" i="4"/>
  <c r="K6" i="4" s="1"/>
  <c r="E6" i="4"/>
  <c r="J5" i="4"/>
  <c r="K5" i="4" s="1"/>
  <c r="E5" i="4"/>
  <c r="J4" i="4"/>
  <c r="K4" i="4" s="1"/>
  <c r="E4" i="4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H18" i="2"/>
  <c r="I18" i="2" s="1"/>
  <c r="G18" i="2"/>
  <c r="F18" i="2"/>
  <c r="H17" i="2"/>
  <c r="I17" i="2" s="1"/>
  <c r="F17" i="1" s="1"/>
  <c r="G17" i="2"/>
  <c r="F17" i="2"/>
  <c r="H16" i="2"/>
  <c r="I16" i="2" s="1"/>
  <c r="F16" i="1" s="1"/>
  <c r="G16" i="2"/>
  <c r="F16" i="2"/>
  <c r="H15" i="2"/>
  <c r="I15" i="2" s="1"/>
  <c r="F15" i="1" s="1"/>
  <c r="G15" i="2"/>
  <c r="F15" i="2"/>
  <c r="H14" i="2"/>
  <c r="I14" i="2" s="1"/>
  <c r="G14" i="2"/>
  <c r="F14" i="2"/>
  <c r="H13" i="2"/>
  <c r="I13" i="2" s="1"/>
  <c r="F13" i="1" s="1"/>
  <c r="G13" i="2"/>
  <c r="F13" i="2"/>
  <c r="H12" i="2"/>
  <c r="I12" i="2" s="1"/>
  <c r="F12" i="1" s="1"/>
  <c r="G12" i="2"/>
  <c r="F12" i="2"/>
  <c r="H11" i="2"/>
  <c r="I11" i="2" s="1"/>
  <c r="F11" i="1" s="1"/>
  <c r="G11" i="2"/>
  <c r="F11" i="2"/>
  <c r="H10" i="2"/>
  <c r="I10" i="2" s="1"/>
  <c r="F10" i="1" s="1"/>
  <c r="G10" i="2"/>
  <c r="F10" i="2"/>
  <c r="H9" i="2"/>
  <c r="I9" i="2" s="1"/>
  <c r="F9" i="1" s="1"/>
  <c r="G9" i="2"/>
  <c r="F9" i="2"/>
  <c r="H8" i="2"/>
  <c r="I8" i="2" s="1"/>
  <c r="F8" i="1" s="1"/>
  <c r="G8" i="2"/>
  <c r="F8" i="2"/>
  <c r="H7" i="2"/>
  <c r="I7" i="2" s="1"/>
  <c r="F7" i="1" s="1"/>
  <c r="G7" i="2"/>
  <c r="F7" i="2"/>
  <c r="H6" i="2"/>
  <c r="I6" i="2" s="1"/>
  <c r="F6" i="1" s="1"/>
  <c r="G6" i="2"/>
  <c r="F6" i="2"/>
  <c r="H5" i="2"/>
  <c r="I5" i="2" s="1"/>
  <c r="F5" i="1" s="1"/>
  <c r="G5" i="2"/>
  <c r="F5" i="2"/>
  <c r="H4" i="2"/>
  <c r="I4" i="2" s="1"/>
  <c r="G4" i="2"/>
  <c r="F4" i="2"/>
  <c r="E17" i="1"/>
  <c r="D17" i="1"/>
  <c r="E16" i="1"/>
  <c r="D16" i="1"/>
  <c r="E15" i="1"/>
  <c r="D15" i="1"/>
  <c r="J13" i="1"/>
  <c r="I13" i="1"/>
  <c r="H13" i="1"/>
  <c r="E13" i="1"/>
  <c r="D13" i="1"/>
  <c r="J12" i="1"/>
  <c r="I12" i="1"/>
  <c r="H12" i="1"/>
  <c r="E12" i="1"/>
  <c r="D12" i="1"/>
  <c r="B12" i="1"/>
  <c r="J11" i="1"/>
  <c r="I11" i="1"/>
  <c r="H11" i="1"/>
  <c r="E11" i="1"/>
  <c r="D11" i="1"/>
  <c r="J10" i="1"/>
  <c r="I10" i="1"/>
  <c r="H10" i="1"/>
  <c r="E10" i="1"/>
  <c r="D10" i="1"/>
  <c r="J9" i="1"/>
  <c r="I9" i="1"/>
  <c r="H9" i="1"/>
  <c r="E9" i="1"/>
  <c r="D9" i="1"/>
  <c r="J8" i="1"/>
  <c r="I8" i="1"/>
  <c r="H8" i="1"/>
  <c r="E8" i="1"/>
  <c r="D8" i="1"/>
  <c r="J7" i="1"/>
  <c r="I7" i="1"/>
  <c r="H7" i="1"/>
  <c r="E7" i="1"/>
  <c r="D7" i="1"/>
  <c r="J6" i="1"/>
  <c r="I6" i="1"/>
  <c r="H6" i="1"/>
  <c r="E6" i="1"/>
  <c r="D6" i="1"/>
  <c r="B6" i="1"/>
  <c r="J5" i="1"/>
  <c r="I5" i="1"/>
  <c r="H5" i="1"/>
  <c r="E5" i="1"/>
  <c r="D5" i="1"/>
  <c r="J4" i="1"/>
  <c r="I4" i="1"/>
  <c r="H4" i="1"/>
  <c r="E4" i="1"/>
  <c r="D4" i="1"/>
  <c r="B4" i="5" l="1"/>
  <c r="E4" i="5" s="1" a="1"/>
  <c r="B11" i="5"/>
  <c r="B14" i="5"/>
  <c r="B15" i="5"/>
  <c r="B13" i="5"/>
  <c r="B12" i="5"/>
  <c r="B10" i="5"/>
  <c r="B9" i="5"/>
  <c r="B8" i="5"/>
  <c r="B7" i="5"/>
  <c r="B6" i="5"/>
  <c r="B5" i="5"/>
  <c r="F4" i="1"/>
  <c r="B5" i="1"/>
  <c r="B11" i="1"/>
  <c r="B7" i="1"/>
  <c r="E5" i="5" l="1"/>
  <c r="E6" i="5"/>
  <c r="E7" i="5"/>
  <c r="E11" i="5"/>
  <c r="E12" i="5"/>
  <c r="E13" i="5"/>
  <c r="E15" i="5"/>
  <c r="E8" i="5"/>
  <c r="E9" i="5"/>
  <c r="E10" i="5"/>
  <c r="E14" i="5"/>
  <c r="E4" i="5"/>
  <c r="F4" i="5" l="1" a="1"/>
  <c r="F5" i="5" l="1"/>
  <c r="L5" i="5" s="1"/>
  <c r="M5" i="5" s="1"/>
  <c r="F6" i="5"/>
  <c r="L6" i="5" s="1"/>
  <c r="M6" i="5" s="1"/>
  <c r="F7" i="5"/>
  <c r="L7" i="5" s="1"/>
  <c r="M7" i="5" s="1"/>
  <c r="F8" i="5"/>
  <c r="L8" i="5" s="1"/>
  <c r="M8" i="5" s="1"/>
  <c r="F9" i="5"/>
  <c r="L9" i="5" s="1"/>
  <c r="M9" i="5" s="1"/>
  <c r="F10" i="5"/>
  <c r="L10" i="5" s="1"/>
  <c r="M10" i="5" s="1"/>
  <c r="F11" i="5"/>
  <c r="L11" i="5" s="1"/>
  <c r="M11" i="5" s="1"/>
  <c r="F12" i="5"/>
  <c r="L12" i="5" s="1"/>
  <c r="M12" i="5" s="1"/>
  <c r="F13" i="5"/>
  <c r="L13" i="5" s="1"/>
  <c r="M13" i="5" s="1"/>
  <c r="F14" i="5"/>
  <c r="L14" i="5" s="1"/>
  <c r="M14" i="5" s="1"/>
  <c r="F15" i="5"/>
  <c r="L15" i="5" s="1"/>
  <c r="M15" i="5" s="1"/>
  <c r="F4" i="5"/>
  <c r="L4" i="5" s="1"/>
  <c r="M4" i="5" s="1"/>
  <c r="B8" i="1" l="1"/>
  <c r="B4" i="1" l="1"/>
  <c r="B10" i="1"/>
</calcChain>
</file>

<file path=xl/sharedStrings.xml><?xml version="1.0" encoding="utf-8"?>
<sst xmlns="http://schemas.openxmlformats.org/spreadsheetml/2006/main" count="644" uniqueCount="366">
  <si>
    <t>Fire Drill Register</t>
  </si>
  <si>
    <t>Date</t>
  </si>
  <si>
    <t>Shift</t>
  </si>
  <si>
    <t>Scenario</t>
  </si>
  <si>
    <t>Compartment / Area</t>
  </si>
  <si>
    <t>Staff Lead</t>
  </si>
  <si>
    <t>Staff Involved</t>
  </si>
  <si>
    <t>Residents Involved</t>
  </si>
  <si>
    <t>Horizontal Evacuation Completed</t>
  </si>
  <si>
    <t>PEEP Followed</t>
  </si>
  <si>
    <t>Time Taken</t>
  </si>
  <si>
    <t>Issues Found</t>
  </si>
  <si>
    <t>Actions Raised</t>
  </si>
  <si>
    <t>Signed By</t>
  </si>
  <si>
    <t>RAG</t>
  </si>
  <si>
    <t>11am</t>
  </si>
  <si>
    <t>Sitting in the office</t>
  </si>
  <si>
    <t>Room 4</t>
  </si>
  <si>
    <t>Dursha</t>
  </si>
  <si>
    <t>NA</t>
  </si>
  <si>
    <t>Yes - Done a walk to create a Horizontal evacuation plan for staff and residents</t>
  </si>
  <si>
    <t>Peeps not in place</t>
  </si>
  <si>
    <t>30 seconds</t>
  </si>
  <si>
    <t xml:space="preserve">Hard to identify with Zones on fire panel. </t>
  </si>
  <si>
    <t>Changing fire alarm from L2 to L1 on 22nd June 2026</t>
  </si>
  <si>
    <t>Dursha Krishan</t>
  </si>
  <si>
    <t>Red</t>
  </si>
  <si>
    <t>Fire Alarm works being completed</t>
  </si>
  <si>
    <t>RED</t>
  </si>
  <si>
    <t>Swan Care Home - Fire Compliance Dashboard</t>
  </si>
  <si>
    <t>Metric</t>
  </si>
  <si>
    <t>Value</t>
  </si>
  <si>
    <t>Renewals Due / Overdue</t>
  </si>
  <si>
    <t>Open Fire Actions</t>
  </si>
  <si>
    <t>Target</t>
  </si>
  <si>
    <t>Overall Compliance %</t>
  </si>
  <si>
    <t>Renewals Current %</t>
  </si>
  <si>
    <t>Action Plan Complete %</t>
  </si>
  <si>
    <t>Fire Marshal Training Current %</t>
  </si>
  <si>
    <t>Fire Training Current %</t>
  </si>
  <si>
    <t>Reg Evidence Current %</t>
  </si>
  <si>
    <t>Overall RAG</t>
  </si>
  <si>
    <t>Overdue Renewals</t>
  </si>
  <si>
    <t>Open Actions</t>
  </si>
  <si>
    <t>This workbook records fire compliance only. Evidence is not embedded; the Regulatory Evidence Index records where evidence is stored and who verified it.</t>
  </si>
  <si>
    <t>Certificate &amp; Renewal Register - No Evidence Saved in Workbook</t>
  </si>
  <si>
    <t>Certificate / Requirement</t>
  </si>
  <si>
    <t>Contractor / Provider</t>
  </si>
  <si>
    <t>Frequency</t>
  </si>
  <si>
    <t>Last Completed</t>
  </si>
  <si>
    <t>Next Renewal Date</t>
  </si>
  <si>
    <t>Days Remaining</t>
  </si>
  <si>
    <t>Reminder</t>
  </si>
  <si>
    <t>Status</t>
  </si>
  <si>
    <t>Responsible Person</t>
  </si>
  <si>
    <t>Comments</t>
  </si>
  <si>
    <t>Emergency Lighting</t>
  </si>
  <si>
    <t>G.P. MASONS</t>
  </si>
  <si>
    <t>6 monthly / yearly</t>
  </si>
  <si>
    <t>Maintenance / Manager</t>
  </si>
  <si>
    <t>Completed awaiting report</t>
  </si>
  <si>
    <t>Fire Alarm System Maintenance</t>
  </si>
  <si>
    <t>G.P. MASON</t>
  </si>
  <si>
    <t>6 monthly</t>
  </si>
  <si>
    <t>Fire Equipment / Extinguishers</t>
  </si>
  <si>
    <t>Contractor</t>
  </si>
  <si>
    <t>Annually</t>
  </si>
  <si>
    <t>Lift Inspection</t>
  </si>
  <si>
    <t>6 months</t>
  </si>
  <si>
    <t>Renewal due from uploaded certificate list</t>
  </si>
  <si>
    <t>Clinical Waste Certificate</t>
  </si>
  <si>
    <t>Registered Manager</t>
  </si>
  <si>
    <t>Renewal due May 2026 from uploaded list</t>
  </si>
  <si>
    <t>PAT Testing of Electrical Equipment</t>
  </si>
  <si>
    <t>Maintenance</t>
  </si>
  <si>
    <t>Renewal due October 2026</t>
  </si>
  <si>
    <t>BIOMASS Boiler</t>
  </si>
  <si>
    <t>Remote Service</t>
  </si>
  <si>
    <t>Remotely serviced 04/07/2025</t>
  </si>
  <si>
    <t>LOLER Hoist and Slings</t>
  </si>
  <si>
    <t>Completed in Feb awaiting report</t>
  </si>
  <si>
    <t>Legionella Testing</t>
  </si>
  <si>
    <t>Every 2 years</t>
  </si>
  <si>
    <t>Next due Sept 2027</t>
  </si>
  <si>
    <t>Fire Risk Assessment / Risk Assessments</t>
  </si>
  <si>
    <t>Competent person</t>
  </si>
  <si>
    <t>Annual review due November</t>
  </si>
  <si>
    <t>Employer's Liability</t>
  </si>
  <si>
    <t>Insurer</t>
  </si>
  <si>
    <t>Director</t>
  </si>
  <si>
    <t>Renewal due May 2026</t>
  </si>
  <si>
    <t>ICO Registration</t>
  </si>
  <si>
    <t>ICO</t>
  </si>
  <si>
    <t>Next due Jan 2027</t>
  </si>
  <si>
    <t>Electrical Safety / EICR</t>
  </si>
  <si>
    <t>Electrician</t>
  </si>
  <si>
    <t>5 years</t>
  </si>
  <si>
    <t>Next due July 2028</t>
  </si>
  <si>
    <t>Lift service</t>
  </si>
  <si>
    <t>Elevators LTD</t>
  </si>
  <si>
    <t>Annual</t>
  </si>
  <si>
    <t>Next due July 2029</t>
  </si>
  <si>
    <t>Asbestos</t>
  </si>
  <si>
    <t>Envirochem</t>
  </si>
  <si>
    <t>Next due July 2030</t>
  </si>
  <si>
    <t>Fire Action Plan - Owner, Target Date, Completion Date &amp; Verification</t>
  </si>
  <si>
    <t>Ref</t>
  </si>
  <si>
    <t>Area</t>
  </si>
  <si>
    <t>Issue Identified</t>
  </si>
  <si>
    <t>Risk</t>
  </si>
  <si>
    <t>Action Required</t>
  </si>
  <si>
    <t>Priority</t>
  </si>
  <si>
    <t>Action Owner</t>
  </si>
  <si>
    <t>Target Date</t>
  </si>
  <si>
    <t>Completion Date</t>
  </si>
  <si>
    <t>Verification / Evidence Seen</t>
  </si>
  <si>
    <t>Verified By</t>
  </si>
  <si>
    <t>FAP001</t>
  </si>
  <si>
    <t>Fire Doors</t>
  </si>
  <si>
    <t>Fire door compliance monitoring required</t>
  </si>
  <si>
    <t>High</t>
  </si>
  <si>
    <t>Complete full door inspection and log all repairs</t>
  </si>
  <si>
    <t>Maintenance Manager</t>
  </si>
  <si>
    <t>Inspection report reviewed, repair invoice/photo reference</t>
  </si>
  <si>
    <t>In Progress</t>
  </si>
  <si>
    <t>Currently undergoing - Doing all fire door works in the home</t>
  </si>
  <si>
    <t>FAP002</t>
  </si>
  <si>
    <t>Annual/monthly testing evidence must be current</t>
  </si>
  <si>
    <t>Update emergency lighting log and chase contractor report</t>
  </si>
  <si>
    <t>Contractor report received and dashboard renewal updated</t>
  </si>
  <si>
    <t>Complete</t>
  </si>
  <si>
    <t xml:space="preserve">Certificate available </t>
  </si>
  <si>
    <t>FAP003</t>
  </si>
  <si>
    <t>Fire Drills</t>
  </si>
  <si>
    <t>Horizontal evacuation drill evidence required</t>
  </si>
  <si>
    <t>Complete day and night drill including compartment movement and lessons learned</t>
  </si>
  <si>
    <t>Drill evaluation signed and actions closed</t>
  </si>
  <si>
    <t>Not Started</t>
  </si>
  <si>
    <t>Staff undergoing training once again - 10/07/2026</t>
  </si>
  <si>
    <t>FAP004</t>
  </si>
  <si>
    <t>Fire Marshal Training</t>
  </si>
  <si>
    <t>Fire marshal training to be recorded for staff</t>
  </si>
  <si>
    <t>Medium</t>
  </si>
  <si>
    <t>Enter staff fire marshal training dates and expiry dates</t>
  </si>
  <si>
    <t>Training matrix checked and expired certificates flagged</t>
  </si>
  <si>
    <t>No Staff - Unable to do with works currently being completed in the home</t>
  </si>
  <si>
    <t>Fire Equipment</t>
  </si>
  <si>
    <t>Needs replacing</t>
  </si>
  <si>
    <t>Fire company to bring new fire equipment</t>
  </si>
  <si>
    <t>Provider</t>
  </si>
  <si>
    <t>Waiting for Fire company to provide new equipment</t>
  </si>
  <si>
    <t>Fire Marshal Training Register</t>
  </si>
  <si>
    <t>Staff Name</t>
  </si>
  <si>
    <t>Role</t>
  </si>
  <si>
    <t>Fire Marshal Training Date</t>
  </si>
  <si>
    <t>Expiry Date</t>
  </si>
  <si>
    <t>Practical Assessment</t>
  </si>
  <si>
    <t>Evacuation Competency</t>
  </si>
  <si>
    <t>Trainer</t>
  </si>
  <si>
    <t>Competent</t>
  </si>
  <si>
    <t>Niranjala Dissanayake</t>
  </si>
  <si>
    <t>Health Care Assistant</t>
  </si>
  <si>
    <t>Chelsee Booth</t>
  </si>
  <si>
    <t>Paula Merry</t>
  </si>
  <si>
    <t>Manager</t>
  </si>
  <si>
    <t>Nathan Thomas</t>
  </si>
  <si>
    <t>Joel Jose</t>
  </si>
  <si>
    <t>Firos Latheef</t>
  </si>
  <si>
    <t>Health Care Lead</t>
  </si>
  <si>
    <t>Kathleen Evans</t>
  </si>
  <si>
    <t xml:space="preserve">Sahil </t>
  </si>
  <si>
    <t>Deputy Manager</t>
  </si>
  <si>
    <t>Haritha Sasidharan</t>
  </si>
  <si>
    <t>Team Leader</t>
  </si>
  <si>
    <t>Abhina Soundaraj</t>
  </si>
  <si>
    <t>Carol Foss</t>
  </si>
  <si>
    <t>Domestic</t>
  </si>
  <si>
    <t>Harikrishnan Mohanan Nair</t>
  </si>
  <si>
    <t>Fire Safety Training Matrix</t>
  </si>
  <si>
    <t>Fire Safety Date</t>
  </si>
  <si>
    <t>Fire Safety Expiry</t>
  </si>
  <si>
    <t>Fire Marshal Date</t>
  </si>
  <si>
    <t>Fire Marshal Expiry</t>
  </si>
  <si>
    <t>Horizontal Evacuation</t>
  </si>
  <si>
    <t>PEEP Awareness</t>
  </si>
  <si>
    <t>Fire Panel</t>
  </si>
  <si>
    <t>Night Procedure</t>
  </si>
  <si>
    <t>Extinguisher Awareness</t>
  </si>
  <si>
    <t>Overall Status</t>
  </si>
  <si>
    <t>Next Due</t>
  </si>
  <si>
    <t>Sahil Sahil</t>
  </si>
  <si>
    <t>Abhina</t>
  </si>
  <si>
    <t>Carol (Domestic)</t>
  </si>
  <si>
    <t>Harry</t>
  </si>
  <si>
    <t>Drill Evaluation - Lessons Learnt</t>
  </si>
  <si>
    <t>Alarm Heard</t>
  </si>
  <si>
    <t>Panel Checked</t>
  </si>
  <si>
    <t>Correct Zone Identified</t>
  </si>
  <si>
    <t>Staff Communication</t>
  </si>
  <si>
    <t>Residents Moved Safely</t>
  </si>
  <si>
    <t>Roll Call Completed</t>
  </si>
  <si>
    <t>999 Call Simulated</t>
  </si>
  <si>
    <t>Lessons Learnt</t>
  </si>
  <si>
    <t>Score %</t>
  </si>
  <si>
    <t>Completed by</t>
  </si>
  <si>
    <t>Signed</t>
  </si>
  <si>
    <t>Fake Smoke in Room 4</t>
  </si>
  <si>
    <t>Yes</t>
  </si>
  <si>
    <t>Yes - Change from L2 fire alarm to L1</t>
  </si>
  <si>
    <t>Area / Light Ref</t>
  </si>
  <si>
    <t>Monthly Functional Test</t>
  </si>
  <si>
    <t>Annual 3 Hour Test</t>
  </si>
  <si>
    <t>Defect Found</t>
  </si>
  <si>
    <t>Action Taken</t>
  </si>
  <si>
    <t>No</t>
  </si>
  <si>
    <t>NA - All emergency lights working</t>
  </si>
  <si>
    <t>Green</t>
  </si>
  <si>
    <t>Fire Alarm Tests</t>
  </si>
  <si>
    <t>Call Point / Zone</t>
  </si>
  <si>
    <t>Time</t>
  </si>
  <si>
    <t>Audible Throughout</t>
  </si>
  <si>
    <t>Panel Reset</t>
  </si>
  <si>
    <t>Faults</t>
  </si>
  <si>
    <t>Engineer Contacted</t>
  </si>
  <si>
    <t>Next Weekly Due</t>
  </si>
  <si>
    <t>Completed By</t>
  </si>
  <si>
    <t>11:30am</t>
  </si>
  <si>
    <t>Changing from L2 to L1</t>
  </si>
  <si>
    <t>Completed after new alarm installed</t>
  </si>
  <si>
    <t>Fire Door Register</t>
  </si>
  <si>
    <t>Door No</t>
  </si>
  <si>
    <t>Location</t>
  </si>
  <si>
    <t>FD Rating</t>
  </si>
  <si>
    <t>Self Closer</t>
  </si>
  <si>
    <t>Smoke Seals</t>
  </si>
  <si>
    <t>Intumescent Strips</t>
  </si>
  <si>
    <t>Hinges</t>
  </si>
  <si>
    <t>Latch</t>
  </si>
  <si>
    <t>Gap OK</t>
  </si>
  <si>
    <t>Signage</t>
  </si>
  <si>
    <t>Damage</t>
  </si>
  <si>
    <t>Overall Pass/Fail</t>
  </si>
  <si>
    <t>Asset Ref</t>
  </si>
  <si>
    <t>Equipment Type</t>
  </si>
  <si>
    <t>Service Date</t>
  </si>
  <si>
    <t>Next Service Due</t>
  </si>
  <si>
    <t>Visual Check Date</t>
  </si>
  <si>
    <t>Defect</t>
  </si>
  <si>
    <t>Action</t>
  </si>
  <si>
    <t>Owner</t>
  </si>
  <si>
    <t>FE001</t>
  </si>
  <si>
    <t>CO₂ Fire Extinguisher</t>
  </si>
  <si>
    <t>Kitchen</t>
  </si>
  <si>
    <t>Replace CO₂ extinguisher</t>
  </si>
  <si>
    <t>FE002</t>
  </si>
  <si>
    <t>Fire Blanket</t>
  </si>
  <si>
    <t>Replace expired fire blanket</t>
  </si>
  <si>
    <t>FE003</t>
  </si>
  <si>
    <t>Laundry Room</t>
  </si>
  <si>
    <t>Install/Replace CO₂ extinguisher</t>
  </si>
  <si>
    <t>FE004</t>
  </si>
  <si>
    <t>Cellar</t>
  </si>
  <si>
    <t>FE005</t>
  </si>
  <si>
    <t>Upstairs Flat</t>
  </si>
  <si>
    <t>FE006</t>
  </si>
  <si>
    <t>Boiler Room</t>
  </si>
  <si>
    <t>Replace expired CO₂ extinguisher</t>
  </si>
  <si>
    <t>PEEP Register</t>
  </si>
  <si>
    <t>Resident</t>
  </si>
  <si>
    <t>Room</t>
  </si>
  <si>
    <t>Mobility Level</t>
  </si>
  <si>
    <t>Equipment Needed</t>
  </si>
  <si>
    <t>Staff Required</t>
  </si>
  <si>
    <t>Horizontal Evacuation Route</t>
  </si>
  <si>
    <t>Refuge / Safe Area</t>
  </si>
  <si>
    <t>Last Reviewed</t>
  </si>
  <si>
    <t>Next Review</t>
  </si>
  <si>
    <t>Family / LPA Involved</t>
  </si>
  <si>
    <t>Weekly Fire Audit</t>
  </si>
  <si>
    <t>Week Commencing</t>
  </si>
  <si>
    <t>Fire Alarm Test Done</t>
  </si>
  <si>
    <t>MCP Rotated</t>
  </si>
  <si>
    <t>Fire Doors Checked</t>
  </si>
  <si>
    <t>Exits Clear</t>
  </si>
  <si>
    <t>Emergency Lights Visual</t>
  </si>
  <si>
    <t>Extinguishers In Place</t>
  </si>
  <si>
    <t>PEEPs Current</t>
  </si>
  <si>
    <t>Training Issues</t>
  </si>
  <si>
    <t>Compliance %</t>
  </si>
  <si>
    <t>Incident False Alarm</t>
  </si>
  <si>
    <t>Type</t>
  </si>
  <si>
    <t>Description</t>
  </si>
  <si>
    <t>Cause</t>
  </si>
  <si>
    <t>Immediate Action</t>
  </si>
  <si>
    <t>Investigation Completed</t>
  </si>
  <si>
    <t>Learning Identified</t>
  </si>
  <si>
    <t>Management Review</t>
  </si>
  <si>
    <t>Month</t>
  </si>
  <si>
    <t>Actions Reviewed</t>
  </si>
  <si>
    <t>Overdue Actions</t>
  </si>
  <si>
    <t>Renewals Due</t>
  </si>
  <si>
    <t>Training Compliance %</t>
  </si>
  <si>
    <t>Fire Drill Completed</t>
  </si>
  <si>
    <t>False Alarms</t>
  </si>
  <si>
    <t>Manager Sign Off</t>
  </si>
  <si>
    <t>Director Sign Off</t>
  </si>
  <si>
    <t>Regulatory Evidence Index - Location Only / No Evidence Embedded</t>
  </si>
  <si>
    <t>Category</t>
  </si>
  <si>
    <t>Evidence Required</t>
  </si>
  <si>
    <t>Regulation / Guidance</t>
  </si>
  <si>
    <t>Location of Evidence</t>
  </si>
  <si>
    <t>Review Frequency</t>
  </si>
  <si>
    <t>FIRE001</t>
  </si>
  <si>
    <t>Fire Safety</t>
  </si>
  <si>
    <t>Fire Risk Assessment</t>
  </si>
  <si>
    <t>Fire Safety Order / CQC Safe / Reg 15 / Reg 17</t>
  </si>
  <si>
    <t>Fire Folder / Digital Folder</t>
  </si>
  <si>
    <t>Record folder path only; do not embed evidence</t>
  </si>
  <si>
    <t>FIRE002</t>
  </si>
  <si>
    <t>Fire Action Plan</t>
  </si>
  <si>
    <t>Monthly</t>
  </si>
  <si>
    <t>FIRE003</t>
  </si>
  <si>
    <t>Weekly Fire Alarm Tests</t>
  </si>
  <si>
    <t>FIRE004</t>
  </si>
  <si>
    <t>Emergency Lighting Tests</t>
  </si>
  <si>
    <t>FIRE005</t>
  </si>
  <si>
    <t>Fire Alarm Service Certificate</t>
  </si>
  <si>
    <t>FIRE006</t>
  </si>
  <si>
    <t>Fire Door Inspection</t>
  </si>
  <si>
    <t>FIRE007</t>
  </si>
  <si>
    <t>Fire Drill Records</t>
  </si>
  <si>
    <t>FIRE008</t>
  </si>
  <si>
    <t>Fire Training Records</t>
  </si>
  <si>
    <t>FIRE009</t>
  </si>
  <si>
    <t>FIRE010</t>
  </si>
  <si>
    <t>Fire Extinguisher Service</t>
  </si>
  <si>
    <t>FIRE011</t>
  </si>
  <si>
    <t>Means of Escape Checks</t>
  </si>
  <si>
    <t>FIRE012</t>
  </si>
  <si>
    <t>False Alarm Register</t>
  </si>
  <si>
    <t>FIRE013</t>
  </si>
  <si>
    <t>Fire Incident Investigation</t>
  </si>
  <si>
    <t>FIRE014</t>
  </si>
  <si>
    <t>Hot Works Permits</t>
  </si>
  <si>
    <t>FIRE015</t>
  </si>
  <si>
    <t>Contractor RAMS</t>
  </si>
  <si>
    <t>FIRE016</t>
  </si>
  <si>
    <t>Fire Safety Policy</t>
  </si>
  <si>
    <t>FIRE017</t>
  </si>
  <si>
    <t>Management Review Minutes</t>
  </si>
  <si>
    <t>Critical</t>
  </si>
  <si>
    <t>Day</t>
  </si>
  <si>
    <t>Low</t>
  </si>
  <si>
    <t>Yellow</t>
  </si>
  <si>
    <t>Night</t>
  </si>
  <si>
    <t>Awaiting Verification</t>
  </si>
  <si>
    <t>Orange</t>
  </si>
  <si>
    <t>N/A</t>
  </si>
  <si>
    <t>Morning</t>
  </si>
  <si>
    <t>Afternoon</t>
  </si>
  <si>
    <t>Very High</t>
  </si>
  <si>
    <t>Ongoing</t>
  </si>
  <si>
    <t>Grey</t>
  </si>
  <si>
    <t>Weekend</t>
  </si>
  <si>
    <t>Closed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</si>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</sst>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64E3B"/>
      </patternFill>
    </fill>
    <fill>
      <patternFill patternType="solid">
        <fgColor rgb="FF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  <xf numFmtId="0" fontId="4" fillId="0" borderId="0" xfId="0" applyFont="1"/>
    <xf numFmtId="0" fontId="5" fillId="0" borderId="0" xfId="0" applyFont="1"/>
    <xf numFmtId="14" fontId="5" fillId="0" borderId="0" xfId="0" applyNumberFormat="1" applyFont="1"/>
    <xf numFmtId="1" fontId="5" fillId="0" borderId="0" xfId="0" applyNumberFormat="1" applyFont="1"/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2" fillId="4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85"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  <dxf>
      <fill>
        <patternFill patternType="solid">
          <bgColor rgb="FFE5E7EB"/>
        </patternFill>
      </fill>
    </dxf>
    <dxf>
      <fill>
        <patternFill patternType="solid">
          <bgColor rgb="FFFCA5A5"/>
        </patternFill>
      </fill>
    </dxf>
    <dxf>
      <fill>
        <patternFill patternType="solid">
          <bgColor rgb="FFFDBA74"/>
        </patternFill>
      </fill>
    </dxf>
    <dxf>
      <fill>
        <patternFill patternType="solid">
          <bgColor rgb="FFFEF08A"/>
        </patternFill>
      </fill>
    </dxf>
    <dxf>
      <fill>
        <patternFill patternType="solid">
          <bgColor rgb="FFBBF7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workbookViewId="0">
      <selection activeCell="D6" sqref="D6"/>
    </sheetView>
  </sheetViews>
  <sheetFormatPr defaultRowHeight="14"/>
  <cols>
    <col min="1" max="1" width="30" customWidth="1"/>
    <col min="2" max="2" width="18" customWidth="1"/>
    <col min="4" max="4" width="30" customWidth="1"/>
    <col min="5" max="5" width="16" customWidth="1"/>
    <col min="6" max="6" width="12" customWidth="1"/>
    <col min="8" max="8" width="34" customWidth="1"/>
    <col min="9" max="9" width="14" customWidth="1"/>
    <col min="10" max="10" width="12" customWidth="1"/>
  </cols>
  <sheetData>
    <row r="1" spans="1:26" ht="20" customHeight="1">
      <c r="A1" s="13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s="1" t="s">
        <v>30</v>
      </c>
      <c r="B3" s="1" t="s">
        <v>31</v>
      </c>
      <c r="D3" s="1" t="s">
        <v>32</v>
      </c>
      <c r="E3" s="1" t="s">
        <v>1</v>
      </c>
      <c r="F3" s="1" t="s">
        <v>14</v>
      </c>
      <c r="H3" s="1" t="s">
        <v>33</v>
      </c>
      <c r="I3" s="1" t="s">
        <v>34</v>
      </c>
      <c r="J3" s="1" t="s">
        <v>14</v>
      </c>
    </row>
    <row r="4" spans="1:26">
      <c r="A4" t="s">
        <v>35</v>
      </c>
      <c r="B4" s="5" t="str">
        <f ca="1">IFERROR(AVERAGE(B5:B10),0)</f>
        <v/>
      </c>
      <c r="D4" t="str">
        <f>IFERROR(INDEX('Renewal Register'!A:A,4),"")</f>
        <v>Emergency Lighting</v>
      </c>
      <c r="E4" s="2">
        <f>IFERROR(INDEX('Renewal Register'!E:E,4),"")</f>
        <v>46266</v>
      </c>
      <c r="F4" t="str">
        <f ca="1">IFERROR(INDEX('Renewal Register'!I:I,4),"")</f>
        <v>Green</v>
      </c>
      <c r="H4" t="str">
        <f>IFERROR(INDEX('Fire Action Plan'!C:C,4),"")</f>
        <v>Fire door compliance monitoring required</v>
      </c>
      <c r="I4" s="2">
        <f>IFERROR(INDEX('Fire Action Plan'!H:H,4),"")</f>
        <v>46218</v>
      </c>
      <c r="J4" t="str">
        <f ca="1">IFERROR(INDEX('Fire Action Plan'!M:M,4),"")</f>
        <v>Yellow</v>
      </c>
    </row>
    <row r="5" spans="1:26">
      <c r="A5" t="s">
        <v>36</v>
      </c>
      <c r="B5" s="5">
        <f ca="1">IFERROR(COUNTIF('Renewal Register'!I4:I197,"Green")/COUNTA('Renewal Register'!A4:A197),0)</f>
        <v>0.8666666666666667</v>
      </c>
      <c r="D5" t="str">
        <f>IFERROR(INDEX('Renewal Register'!A:A,5),"")</f>
        <v>Fire Alarm System Maintenance</v>
      </c>
      <c r="E5" s="2">
        <f>IFERROR(INDEX('Renewal Register'!E:E,5),"")</f>
        <v>46266</v>
      </c>
      <c r="F5" t="str">
        <f ca="1">IFERROR(INDEX('Renewal Register'!I:I,5),"")</f>
        <v>Green</v>
      </c>
      <c r="H5" t="str">
        <f>IFERROR(INDEX('Fire Action Plan'!C:C,5),"")</f>
        <v>Annual/monthly testing evidence must be current</v>
      </c>
      <c r="I5" s="2">
        <f>IFERROR(INDEX('Fire Action Plan'!H:H,5),"")</f>
        <v>46208</v>
      </c>
      <c r="J5" t="str">
        <f ca="1">IFERROR(INDEX('Fire Action Plan'!M:M,5),"")</f>
        <v>Green</v>
      </c>
    </row>
    <row r="6" spans="1:26">
      <c r="A6" t="s">
        <v>37</v>
      </c>
      <c r="B6" s="5">
        <f>IFERROR(COUNTIF('Fire Action Plan'!L4:L200,"Complete")/COUNTA('Fire Action Plan'!A4:A200),0)</f>
        <v>0.2</v>
      </c>
      <c r="D6" t="str">
        <f>IFERROR(INDEX('Renewal Register'!A:A,6),"")</f>
        <v>Fire Equipment / Extinguishers</v>
      </c>
      <c r="E6" s="2">
        <f>IFERROR(INDEX('Renewal Register'!E:E,6),"")</f>
        <v>46447</v>
      </c>
      <c r="F6" t="str">
        <f ca="1">IFERROR(INDEX('Renewal Register'!I:I,6),"")</f>
        <v>Green</v>
      </c>
      <c r="H6" t="str">
        <f>IFERROR(INDEX('Fire Action Plan'!C:C,6),"")</f>
        <v>Horizontal evacuation drill evidence required</v>
      </c>
      <c r="I6" s="2">
        <f>IFERROR(INDEX('Fire Action Plan'!H:H,6),"")</f>
        <v>46223</v>
      </c>
      <c r="J6" t="str">
        <f ca="1">IFERROR(INDEX('Fire Action Plan'!M:M,6),"")</f>
        <v>Yellow</v>
      </c>
    </row>
    <row r="7" spans="1:26">
      <c r="A7" t="s">
        <v>38</v>
      </c>
      <c r="B7" s="5">
        <f ca="1">IFERROR(COUNTIF('Fire Marshal Training'!K4:K100,"Green")/COUNTA('Fire Marshal Training'!A4:A100),0)</f>
        <v>1</v>
      </c>
      <c r="D7" t="str">
        <f>IFERROR(INDEX('Renewal Register'!A:A,7),"")</f>
        <v>Lift Inspection</v>
      </c>
      <c r="E7" s="2">
        <f>IFERROR(INDEX('Renewal Register'!E:E,7),"")</f>
        <v>46113</v>
      </c>
      <c r="F7" t="str">
        <f ca="1">IFERROR(INDEX('Renewal Register'!I:I,7),"")</f>
        <v>Red</v>
      </c>
      <c r="H7" t="str">
        <f>IFERROR(INDEX('Fire Action Plan'!C:C,7),"")</f>
        <v>Fire marshal training to be recorded for staff</v>
      </c>
      <c r="I7" s="2">
        <f>IFERROR(INDEX('Fire Action Plan'!H:H,7),"")</f>
        <v>46213</v>
      </c>
      <c r="J7" t="str">
        <f ca="1">IFERROR(INDEX('Fire Action Plan'!M:M,7),"")</f>
        <v>Yellow</v>
      </c>
    </row>
    <row r="8" spans="1:26">
      <c r="A8" t="s">
        <v>39</v>
      </c>
      <c r="B8" s="5">
        <f ca="1">IFERROR(COUNTIF('Fire Training Matrix'!M4:M100,"Green")/COUNTA('Fire Training Matrix'!A4:A100),0)</f>
        <v>0</v>
      </c>
      <c r="D8" t="str">
        <f>IFERROR(INDEX('Renewal Register'!A:A,8),"")</f>
        <v>Clinical Waste Certificate</v>
      </c>
      <c r="E8" s="2">
        <f>IFERROR(INDEX('Renewal Register'!E:E,8),"")</f>
        <v>46508</v>
      </c>
      <c r="F8" t="str">
        <f ca="1">IFERROR(INDEX('Renewal Register'!I:I,8),"")</f>
        <v>Green</v>
      </c>
      <c r="H8" t="str">
        <f>IFERROR(INDEX('Fire Action Plan'!C:C,8),"")</f>
        <v>Needs replacing</v>
      </c>
      <c r="I8" s="2">
        <f>IFERROR(INDEX('Fire Action Plan'!H:H,8),"")</f>
        <v>46218</v>
      </c>
      <c r="J8" t="str">
        <f ca="1">IFERROR(INDEX('Fire Action Plan'!M:M,8),"")</f>
        <v>Yellow</v>
      </c>
    </row>
    <row r="9" spans="1:26">
      <c r="A9" t="s">
        <v>40</v>
      </c>
      <c r="B9" s="5">
        <f ca="1">IFERROR(COUNTIF('Reg Evidence Index'!K4:K200,"Green")/COUNTA('Reg Evidence Index'!A4:A200),0)</f>
        <v>0</v>
      </c>
      <c r="D9" t="str">
        <f>IFERROR(INDEX('Renewal Register'!A:A,9),"")</f>
        <v>PAT Testing of Electrical Equipment</v>
      </c>
      <c r="E9" s="2">
        <f>IFERROR(INDEX('Renewal Register'!E:E,9),"")</f>
        <v>46296</v>
      </c>
      <c r="F9" t="str">
        <f ca="1">IFERROR(INDEX('Renewal Register'!I:I,9),"")</f>
        <v>Green</v>
      </c>
      <c r="H9">
        <f>IFERROR(INDEX('Fire Action Plan'!C:C,9),"")</f>
        <v>0</v>
      </c>
      <c r="I9" s="2">
        <f>IFERROR(INDEX('Fire Action Plan'!H:H,9),"")</f>
        <v>0</v>
      </c>
      <c r="J9" t="str">
        <f ca="1">IFERROR(INDEX('Fire Action Plan'!M:M,9),"")</f>
        <v/>
      </c>
    </row>
    <row r="10" spans="1:26">
      <c r="A10" t="s">
        <v>41</v>
      </c>
      <c r="B10" s="5" t="str">
        <f ca="1">IF(B4&gt;=0.95,"Green",IF(B4&gt;=0.9,"Yellow",IF(B4&gt;=0.8,"Orange","Red")))</f>
        <v/>
      </c>
      <c r="D10" t="str">
        <f>IFERROR(INDEX('Renewal Register'!A:A,10),"")</f>
        <v>BIOMASS Boiler</v>
      </c>
      <c r="E10" s="2">
        <f>IFERROR(INDEX('Renewal Register'!E:E,10),"")</f>
        <v>46352</v>
      </c>
      <c r="F10" t="str">
        <f ca="1">IFERROR(INDEX('Renewal Register'!I:I,10),"")</f>
        <v>Green</v>
      </c>
      <c r="H10">
        <f>IFERROR(INDEX('Fire Action Plan'!C:C,10),"")</f>
        <v>0</v>
      </c>
      <c r="I10" s="2">
        <f>IFERROR(INDEX('Fire Action Plan'!H:H,10),"")</f>
        <v>0</v>
      </c>
      <c r="J10" t="str">
        <f ca="1">IFERROR(INDEX('Fire Action Plan'!M:M,10),"")</f>
        <v/>
      </c>
    </row>
    <row r="11" spans="1:26">
      <c r="A11" t="s">
        <v>42</v>
      </c>
      <c r="B11" s="3">
        <f ca="1">COUNTIF('Renewal Register'!I4:I197,"Red")</f>
        <v>1</v>
      </c>
      <c r="D11" t="str">
        <f>IFERROR(INDEX('Renewal Register'!A:A,11),"")</f>
        <v>LOLER Hoist and Slings</v>
      </c>
      <c r="E11" s="2">
        <f>IFERROR(INDEX('Renewal Register'!E:E,11),"")</f>
        <v>46235</v>
      </c>
      <c r="F11" t="str">
        <f ca="1">IFERROR(INDEX('Renewal Register'!I:I,11),"")</f>
        <v>Yellow</v>
      </c>
      <c r="H11">
        <f>IFERROR(INDEX('Fire Action Plan'!C:C,11),"")</f>
        <v>0</v>
      </c>
      <c r="I11" s="2">
        <f>IFERROR(INDEX('Fire Action Plan'!H:H,11),"")</f>
        <v>0</v>
      </c>
      <c r="J11" t="str">
        <f ca="1">IFERROR(INDEX('Fire Action Plan'!M:M,11),"")</f>
        <v/>
      </c>
    </row>
    <row r="12" spans="1:26">
      <c r="A12" t="s">
        <v>43</v>
      </c>
      <c r="B12" s="3">
        <f>COUNTIFS('Fire Action Plan'!L4:L200,"&lt;&gt;Complete",'Fire Action Plan'!A4:A200,"&lt;&gt;")</f>
        <v>4</v>
      </c>
      <c r="D12" t="str">
        <f>IFERROR(INDEX('Renewal Register'!A:A,12),"")</f>
        <v>Legionella Testing</v>
      </c>
      <c r="E12" s="2">
        <f>IFERROR(INDEX('Renewal Register'!E:E,12),"")</f>
        <v>46660</v>
      </c>
      <c r="F12" t="str">
        <f ca="1">IFERROR(INDEX('Renewal Register'!I:I,12),"")</f>
        <v>Green</v>
      </c>
      <c r="H12">
        <f>IFERROR(INDEX('Fire Action Plan'!C:C,12),"")</f>
        <v>0</v>
      </c>
      <c r="I12" s="2">
        <f>IFERROR(INDEX('Fire Action Plan'!H:H,12),"")</f>
        <v>0</v>
      </c>
      <c r="J12" t="str">
        <f ca="1">IFERROR(INDEX('Fire Action Plan'!M:M,12),"")</f>
        <v/>
      </c>
    </row>
    <row r="13" spans="1:26">
      <c r="D13" t="str">
        <f>IFERROR(INDEX('Renewal Register'!A:A,13),"")</f>
        <v>Fire Risk Assessment / Risk Assessments</v>
      </c>
      <c r="E13" s="2">
        <f>IFERROR(INDEX('Renewal Register'!E:E,13),"")</f>
        <v>46540</v>
      </c>
      <c r="F13" t="str">
        <f ca="1">IFERROR(INDEX('Renewal Register'!I:I,13),"")</f>
        <v>Green</v>
      </c>
      <c r="H13">
        <f>IFERROR(INDEX('Fire Action Plan'!C:C,13),"")</f>
        <v>0</v>
      </c>
      <c r="I13" s="2">
        <f>IFERROR(INDEX('Fire Action Plan'!H:H,13),"")</f>
        <v>0</v>
      </c>
      <c r="J13" t="str">
        <f ca="1">IFERROR(INDEX('Fire Action Plan'!M:M,13),"")</f>
        <v/>
      </c>
    </row>
    <row r="14" spans="1:26">
      <c r="A14" s="15" t="s">
        <v>44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</row>
    <row r="15" spans="1:26">
      <c r="D15" t="str">
        <f>IFERROR(INDEX('Renewal Register'!A:A,15),"")</f>
        <v>ICO Registration</v>
      </c>
      <c r="E15" s="2">
        <f>IFERROR(INDEX('Renewal Register'!E:E,15),"")</f>
        <v>46388</v>
      </c>
      <c r="F15" t="str">
        <f ca="1">IFERROR(INDEX('Renewal Register'!I:I,15),"")</f>
        <v>Green</v>
      </c>
    </row>
    <row r="16" spans="1:26">
      <c r="D16" t="str">
        <f>IFERROR(INDEX('Renewal Register'!A:A,16),"")</f>
        <v>Electrical Safety / EICR</v>
      </c>
      <c r="E16" s="2">
        <f>IFERROR(INDEX('Renewal Register'!E:E,16),"")</f>
        <v>46935</v>
      </c>
      <c r="F16" t="str">
        <f ca="1">IFERROR(INDEX('Renewal Register'!I:I,16),"")</f>
        <v>Green</v>
      </c>
    </row>
    <row r="17" spans="4:6">
      <c r="D17" t="str">
        <f>IFERROR(INDEX('Renewal Register'!A:A,17),"")</f>
        <v>Lift service</v>
      </c>
      <c r="E17" s="2">
        <f>IFERROR(INDEX('Renewal Register'!E:E,17),"")</f>
        <v>46522</v>
      </c>
      <c r="F17" t="str">
        <f ca="1">IFERROR(INDEX('Renewal Register'!I:I,17),"")</f>
        <v>Green</v>
      </c>
    </row>
  </sheetData>
  <mergeCells count="2">
    <mergeCell ref="A14:N14"/>
    <mergeCell ref="A1:N1"/>
  </mergeCells>
  <conditionalFormatting sqref="F4:F17">
    <cfRule type="expression" dxfId="84" priority="1">
      <formula>F4="Green"</formula>
    </cfRule>
    <cfRule type="expression" dxfId="83" priority="2">
      <formula>F4="Yellow"</formula>
    </cfRule>
    <cfRule type="expression" dxfId="82" priority="3">
      <formula>F4="Orange"</formula>
    </cfRule>
    <cfRule type="expression" dxfId="81" priority="4">
      <formula>F4="Red"</formula>
    </cfRule>
    <cfRule type="expression" dxfId="80" priority="5">
      <formula>F4="Grey"</formula>
    </cfRule>
  </conditionalFormatting>
  <conditionalFormatting sqref="J4:J13">
    <cfRule type="expression" dxfId="79" priority="6">
      <formula>J4="Green"</formula>
    </cfRule>
    <cfRule type="expression" dxfId="78" priority="7">
      <formula>J4="Yellow"</formula>
    </cfRule>
    <cfRule type="expression" dxfId="77" priority="8">
      <formula>J4="Orange"</formula>
    </cfRule>
    <cfRule type="expression" dxfId="76" priority="9">
      <formula>J4="Red"</formula>
    </cfRule>
    <cfRule type="expression" dxfId="75" priority="10">
      <formula>J4="Grey"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"/>
  <sheetViews>
    <sheetView zoomScale="90" zoomScaleNormal="90" workbookViewId="0">
      <selection activeCell="F9" sqref="F9"/>
    </sheetView>
  </sheetViews>
  <sheetFormatPr defaultRowHeight="14"/>
  <cols>
    <col min="1" max="1" width="32" customWidth="1"/>
    <col min="2" max="2" width="20" customWidth="1"/>
    <col min="3" max="3" width="18" customWidth="1"/>
    <col min="4" max="4" width="14" customWidth="1"/>
    <col min="5" max="5" width="16" customWidth="1"/>
    <col min="6" max="6" width="13" customWidth="1"/>
    <col min="7" max="7" width="20" customWidth="1"/>
    <col min="8" max="8" width="16" customWidth="1"/>
    <col min="9" max="9" width="12" customWidth="1"/>
    <col min="10" max="10" width="20" customWidth="1"/>
    <col min="11" max="11" width="36" customWidth="1"/>
  </cols>
  <sheetData>
    <row r="1" spans="1:26" ht="20" customHeight="1">
      <c r="A1" s="13" t="s">
        <v>45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46</v>
      </c>
      <c r="B3" s="1" t="s">
        <v>47</v>
      </c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  <c r="H3" s="1" t="s">
        <v>53</v>
      </c>
      <c r="I3" s="1" t="s">
        <v>14</v>
      </c>
      <c r="J3" s="1" t="s">
        <v>54</v>
      </c>
      <c r="K3" s="1" t="s">
        <v>55</v>
      </c>
    </row>
    <row r="4" spans="1:26">
      <c r="A4" t="s">
        <v>56</v>
      </c>
      <c r="B4" t="s">
        <v>57</v>
      </c>
      <c r="C4" t="s">
        <v>58</v>
      </c>
      <c r="D4" s="2">
        <v>46092</v>
      </c>
      <c r="E4" s="2">
        <v>46266</v>
      </c>
      <c r="F4" s="3">
        <f t="shared" ref="F4:F18" ca="1" si="0">IF(E4="","",E4-TODAY())</f>
        <v>63</v>
      </c>
      <c r="G4" t="str">
        <f t="shared" ref="G4:G18" ca="1" si="1">IF(E4="","No date",IF(E4&lt;TODAY(),"OVERDUE",IF(E4&lt;=TODAY()+30,"Due within 30 days",IF(E4&lt;=TODAY()+60,"Due within 60 days","In date"))))</f>
        <v>In date</v>
      </c>
      <c r="H4" t="str">
        <f t="shared" ref="H4:H18" ca="1" si="2">IF(E4="","Missing Date",IF(E4&lt;TODAY(),"Overdue",IF(E4&lt;=TODAY()+60,"Due Soon","Current")))</f>
        <v>Current</v>
      </c>
      <c r="I4" t="str">
        <f t="shared" ref="I4:I18" ca="1" si="3">IF(H4="Overdue","Red",IF(H4="Due Soon","Yellow",IF(H4="Missing Date","Red","Green")))</f>
        <v>Green</v>
      </c>
      <c r="J4" t="s">
        <v>59</v>
      </c>
      <c r="K4" t="s">
        <v>60</v>
      </c>
    </row>
    <row r="5" spans="1:26">
      <c r="A5" t="s">
        <v>61</v>
      </c>
      <c r="B5" t="s">
        <v>62</v>
      </c>
      <c r="C5" t="s">
        <v>63</v>
      </c>
      <c r="D5" s="2">
        <v>46092</v>
      </c>
      <c r="E5" s="2">
        <v>46266</v>
      </c>
      <c r="F5" s="3">
        <f t="shared" ca="1" si="0"/>
        <v>63</v>
      </c>
      <c r="G5" t="str">
        <f t="shared" ca="1" si="1"/>
        <v>In date</v>
      </c>
      <c r="H5" t="str">
        <f t="shared" ca="1" si="2"/>
        <v>Current</v>
      </c>
      <c r="I5" t="str">
        <f t="shared" ca="1" si="3"/>
        <v>Green</v>
      </c>
      <c r="J5" t="s">
        <v>59</v>
      </c>
      <c r="K5" t="s">
        <v>60</v>
      </c>
    </row>
    <row r="6" spans="1:26">
      <c r="A6" t="s">
        <v>64</v>
      </c>
      <c r="B6" t="s">
        <v>65</v>
      </c>
      <c r="C6" t="s">
        <v>66</v>
      </c>
      <c r="D6" s="2">
        <v>46092</v>
      </c>
      <c r="E6" s="2">
        <v>46447</v>
      </c>
      <c r="F6" s="3">
        <f t="shared" ca="1" si="0"/>
        <v>244</v>
      </c>
      <c r="G6" t="str">
        <f t="shared" ca="1" si="1"/>
        <v>In date</v>
      </c>
      <c r="H6" t="str">
        <f t="shared" ca="1" si="2"/>
        <v>Current</v>
      </c>
      <c r="I6" t="str">
        <f t="shared" ca="1" si="3"/>
        <v>Green</v>
      </c>
      <c r="J6" t="s">
        <v>59</v>
      </c>
      <c r="K6" t="s">
        <v>60</v>
      </c>
    </row>
    <row r="7" spans="1:26">
      <c r="A7" s="7" t="s">
        <v>67</v>
      </c>
      <c r="B7" s="7" t="s">
        <v>65</v>
      </c>
      <c r="C7" s="7" t="s">
        <v>68</v>
      </c>
      <c r="D7" s="8">
        <v>45931</v>
      </c>
      <c r="E7" s="8">
        <v>46113</v>
      </c>
      <c r="F7" s="9">
        <f t="shared" ca="1" si="0"/>
        <v>-90</v>
      </c>
      <c r="G7" t="str">
        <f t="shared" ca="1" si="1"/>
        <v>OVERDUE</v>
      </c>
      <c r="H7" t="str">
        <f t="shared" ca="1" si="2"/>
        <v>Overdue</v>
      </c>
      <c r="I7" t="str">
        <f t="shared" ca="1" si="3"/>
        <v>Red</v>
      </c>
      <c r="J7" t="s">
        <v>59</v>
      </c>
      <c r="K7" t="s">
        <v>69</v>
      </c>
    </row>
    <row r="8" spans="1:26">
      <c r="A8" t="s">
        <v>70</v>
      </c>
      <c r="B8" t="s">
        <v>65</v>
      </c>
      <c r="C8" t="s">
        <v>66</v>
      </c>
      <c r="D8" s="2">
        <v>46143</v>
      </c>
      <c r="E8" s="2">
        <v>46508</v>
      </c>
      <c r="F8" s="3">
        <f t="shared" ca="1" si="0"/>
        <v>305</v>
      </c>
      <c r="G8" t="str">
        <f t="shared" ca="1" si="1"/>
        <v>In date</v>
      </c>
      <c r="H8" t="str">
        <f t="shared" ca="1" si="2"/>
        <v>Current</v>
      </c>
      <c r="I8" t="str">
        <f t="shared" ca="1" si="3"/>
        <v>Green</v>
      </c>
      <c r="J8" t="s">
        <v>71</v>
      </c>
      <c r="K8" t="s">
        <v>72</v>
      </c>
    </row>
    <row r="9" spans="1:26">
      <c r="A9" t="s">
        <v>73</v>
      </c>
      <c r="B9" t="s">
        <v>65</v>
      </c>
      <c r="C9" t="s">
        <v>66</v>
      </c>
      <c r="D9" s="2">
        <v>45931</v>
      </c>
      <c r="E9" s="2">
        <v>46296</v>
      </c>
      <c r="F9" s="3">
        <f t="shared" ca="1" si="0"/>
        <v>93</v>
      </c>
      <c r="G9" t="str">
        <f t="shared" ca="1" si="1"/>
        <v>In date</v>
      </c>
      <c r="H9" t="str">
        <f t="shared" ca="1" si="2"/>
        <v>Current</v>
      </c>
      <c r="I9" t="str">
        <f t="shared" ca="1" si="3"/>
        <v>Green</v>
      </c>
      <c r="J9" t="s">
        <v>74</v>
      </c>
      <c r="K9" t="s">
        <v>75</v>
      </c>
    </row>
    <row r="10" spans="1:26">
      <c r="A10" t="s">
        <v>76</v>
      </c>
      <c r="B10" t="s">
        <v>77</v>
      </c>
      <c r="C10" t="s">
        <v>66</v>
      </c>
      <c r="D10" s="2">
        <v>45987</v>
      </c>
      <c r="E10" s="2">
        <v>46352</v>
      </c>
      <c r="F10" s="3">
        <f t="shared" ca="1" si="0"/>
        <v>149</v>
      </c>
      <c r="G10" t="str">
        <f t="shared" ca="1" si="1"/>
        <v>In date</v>
      </c>
      <c r="H10" t="str">
        <f t="shared" ca="1" si="2"/>
        <v>Current</v>
      </c>
      <c r="I10" t="str">
        <f t="shared" ca="1" si="3"/>
        <v>Green</v>
      </c>
      <c r="J10" t="s">
        <v>74</v>
      </c>
      <c r="K10" t="s">
        <v>78</v>
      </c>
    </row>
    <row r="11" spans="1:26">
      <c r="A11" t="s">
        <v>79</v>
      </c>
      <c r="B11" t="s">
        <v>65</v>
      </c>
      <c r="C11" t="s">
        <v>63</v>
      </c>
      <c r="D11" s="2">
        <v>46054</v>
      </c>
      <c r="E11" s="2">
        <v>46235</v>
      </c>
      <c r="F11" s="3">
        <f t="shared" ca="1" si="0"/>
        <v>32</v>
      </c>
      <c r="G11" t="str">
        <f t="shared" ca="1" si="1"/>
        <v>Due within 60 days</v>
      </c>
      <c r="H11" t="str">
        <f t="shared" ca="1" si="2"/>
        <v>Due Soon</v>
      </c>
      <c r="I11" t="str">
        <f t="shared" ca="1" si="3"/>
        <v>Yellow</v>
      </c>
      <c r="J11" t="s">
        <v>59</v>
      </c>
      <c r="K11" t="s">
        <v>80</v>
      </c>
    </row>
    <row r="12" spans="1:26">
      <c r="A12" t="s">
        <v>81</v>
      </c>
      <c r="B12" t="s">
        <v>65</v>
      </c>
      <c r="C12" t="s">
        <v>82</v>
      </c>
      <c r="D12" s="2">
        <v>45930</v>
      </c>
      <c r="E12" s="2">
        <v>46660</v>
      </c>
      <c r="F12" s="3">
        <f t="shared" ca="1" si="0"/>
        <v>457</v>
      </c>
      <c r="G12" t="str">
        <f t="shared" ca="1" si="1"/>
        <v>In date</v>
      </c>
      <c r="H12" t="str">
        <f t="shared" ca="1" si="2"/>
        <v>Current</v>
      </c>
      <c r="I12" t="str">
        <f t="shared" ca="1" si="3"/>
        <v>Green</v>
      </c>
      <c r="J12" t="s">
        <v>71</v>
      </c>
      <c r="K12" t="s">
        <v>83</v>
      </c>
    </row>
    <row r="13" spans="1:26">
      <c r="A13" t="s">
        <v>84</v>
      </c>
      <c r="B13" t="s">
        <v>85</v>
      </c>
      <c r="C13" t="s">
        <v>66</v>
      </c>
      <c r="D13" s="2">
        <v>46175</v>
      </c>
      <c r="E13" s="2">
        <v>46540</v>
      </c>
      <c r="F13" s="3">
        <f t="shared" ca="1" si="0"/>
        <v>337</v>
      </c>
      <c r="G13" t="str">
        <f t="shared" ca="1" si="1"/>
        <v>In date</v>
      </c>
      <c r="H13" t="str">
        <f t="shared" ca="1" si="2"/>
        <v>Current</v>
      </c>
      <c r="I13" t="str">
        <f t="shared" ca="1" si="3"/>
        <v>Green</v>
      </c>
      <c r="J13" t="s">
        <v>71</v>
      </c>
      <c r="K13" t="s">
        <v>86</v>
      </c>
    </row>
    <row r="14" spans="1:26">
      <c r="A14" t="s">
        <v>87</v>
      </c>
      <c r="B14" t="s">
        <v>88</v>
      </c>
      <c r="C14" t="s">
        <v>66</v>
      </c>
      <c r="D14" s="2">
        <v>46144</v>
      </c>
      <c r="E14" s="2">
        <v>46509</v>
      </c>
      <c r="F14" s="3">
        <f t="shared" ca="1" si="0"/>
        <v>306</v>
      </c>
      <c r="G14" t="str">
        <f t="shared" ca="1" si="1"/>
        <v>In date</v>
      </c>
      <c r="H14" t="str">
        <f t="shared" ca="1" si="2"/>
        <v>Current</v>
      </c>
      <c r="I14" t="str">
        <f t="shared" ca="1" si="3"/>
        <v>Green</v>
      </c>
      <c r="J14" t="s">
        <v>89</v>
      </c>
      <c r="K14" t="s">
        <v>90</v>
      </c>
    </row>
    <row r="15" spans="1:26">
      <c r="A15" t="s">
        <v>91</v>
      </c>
      <c r="B15" t="s">
        <v>92</v>
      </c>
      <c r="C15" t="s">
        <v>66</v>
      </c>
      <c r="D15" s="2">
        <v>46024</v>
      </c>
      <c r="E15" s="2">
        <v>46388</v>
      </c>
      <c r="F15" s="3">
        <f t="shared" ca="1" si="0"/>
        <v>185</v>
      </c>
      <c r="G15" t="str">
        <f t="shared" ca="1" si="1"/>
        <v>In date</v>
      </c>
      <c r="H15" t="str">
        <f t="shared" ca="1" si="2"/>
        <v>Current</v>
      </c>
      <c r="I15" t="str">
        <f t="shared" ca="1" si="3"/>
        <v>Green</v>
      </c>
      <c r="J15" t="s">
        <v>89</v>
      </c>
      <c r="K15" t="s">
        <v>93</v>
      </c>
    </row>
    <row r="16" spans="1:26">
      <c r="A16" t="s">
        <v>94</v>
      </c>
      <c r="B16" t="s">
        <v>95</v>
      </c>
      <c r="C16" t="s">
        <v>96</v>
      </c>
      <c r="D16" s="2">
        <v>45108</v>
      </c>
      <c r="E16" s="2">
        <v>46935</v>
      </c>
      <c r="F16" s="3">
        <f t="shared" ca="1" si="0"/>
        <v>732</v>
      </c>
      <c r="G16" t="str">
        <f t="shared" ca="1" si="1"/>
        <v>In date</v>
      </c>
      <c r="H16" t="str">
        <f t="shared" ca="1" si="2"/>
        <v>Current</v>
      </c>
      <c r="I16" t="str">
        <f t="shared" ca="1" si="3"/>
        <v>Green</v>
      </c>
      <c r="J16" t="s">
        <v>59</v>
      </c>
      <c r="K16" t="s">
        <v>97</v>
      </c>
    </row>
    <row r="17" spans="1:11">
      <c r="A17" t="s">
        <v>98</v>
      </c>
      <c r="B17" t="s">
        <v>99</v>
      </c>
      <c r="C17" t="s">
        <v>100</v>
      </c>
      <c r="D17" s="2">
        <v>46157</v>
      </c>
      <c r="E17" s="2">
        <v>46522</v>
      </c>
      <c r="F17" s="3">
        <f t="shared" ca="1" si="0"/>
        <v>319</v>
      </c>
      <c r="G17" t="str">
        <f t="shared" ca="1" si="1"/>
        <v>In date</v>
      </c>
      <c r="H17" t="str">
        <f t="shared" ca="1" si="2"/>
        <v>Current</v>
      </c>
      <c r="I17" t="str">
        <f t="shared" ca="1" si="3"/>
        <v>Green</v>
      </c>
      <c r="J17" t="s">
        <v>59</v>
      </c>
      <c r="K17" t="s">
        <v>101</v>
      </c>
    </row>
    <row r="18" spans="1:11">
      <c r="A18" t="s">
        <v>102</v>
      </c>
      <c r="B18" t="s">
        <v>103</v>
      </c>
      <c r="C18" t="s">
        <v>100</v>
      </c>
      <c r="D18" s="2">
        <v>46139</v>
      </c>
      <c r="E18" s="2">
        <v>46504</v>
      </c>
      <c r="F18" s="3">
        <f t="shared" ca="1" si="0"/>
        <v>301</v>
      </c>
      <c r="G18" t="str">
        <f t="shared" ca="1" si="1"/>
        <v>In date</v>
      </c>
      <c r="H18" t="str">
        <f t="shared" ca="1" si="2"/>
        <v>Current</v>
      </c>
      <c r="I18" t="str">
        <f t="shared" ca="1" si="3"/>
        <v>Green</v>
      </c>
      <c r="J18" t="s">
        <v>59</v>
      </c>
      <c r="K18" t="s">
        <v>104</v>
      </c>
    </row>
  </sheetData>
  <mergeCells count="1">
    <mergeCell ref="A1:K1"/>
  </mergeCells>
  <conditionalFormatting sqref="I4:I18">
    <cfRule type="expression" dxfId="74" priority="1">
      <formula>I4="Green"</formula>
    </cfRule>
    <cfRule type="expression" dxfId="73" priority="2">
      <formula>I4="Yellow"</formula>
    </cfRule>
    <cfRule type="expression" dxfId="72" priority="3">
      <formula>I4="Orange"</formula>
    </cfRule>
    <cfRule type="expression" dxfId="71" priority="4">
      <formula>I4="Red"</formula>
    </cfRule>
    <cfRule type="expression" dxfId="70" priority="5">
      <formula>I4="Grey"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03"/>
  <sheetViews>
    <sheetView topLeftCell="E1" workbookViewId="0">
      <selection activeCell="K6" sqref="K6"/>
    </sheetView>
  </sheetViews>
  <sheetFormatPr defaultRowHeight="14"/>
  <cols>
    <col min="1" max="1" width="10" customWidth="1"/>
    <col min="2" max="2" width="18" customWidth="1"/>
    <col min="3" max="3" width="30" customWidth="1"/>
    <col min="4" max="4" width="12" customWidth="1"/>
    <col min="5" max="5" width="38" customWidth="1"/>
    <col min="6" max="6" width="12" customWidth="1"/>
    <col min="7" max="7" width="20" customWidth="1"/>
    <col min="8" max="8" width="14" customWidth="1"/>
    <col min="9" max="9" width="16" customWidth="1"/>
    <col min="10" max="10" width="34" customWidth="1"/>
    <col min="11" max="12" width="18" customWidth="1"/>
    <col min="13" max="13" width="12" customWidth="1"/>
    <col min="14" max="14" width="32" customWidth="1"/>
  </cols>
  <sheetData>
    <row r="1" spans="1:25" ht="20" customHeight="1">
      <c r="A1" s="13" t="s">
        <v>105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 spans="1:25">
      <c r="A3" s="1" t="s">
        <v>106</v>
      </c>
      <c r="B3" s="1" t="s">
        <v>107</v>
      </c>
      <c r="C3" s="1" t="s">
        <v>108</v>
      </c>
      <c r="D3" s="1" t="s">
        <v>109</v>
      </c>
      <c r="E3" s="1" t="s">
        <v>110</v>
      </c>
      <c r="F3" s="1" t="s">
        <v>111</v>
      </c>
      <c r="G3" s="1" t="s">
        <v>112</v>
      </c>
      <c r="H3" s="1" t="s">
        <v>113</v>
      </c>
      <c r="I3" s="1" t="s">
        <v>114</v>
      </c>
      <c r="J3" s="1" t="s">
        <v>115</v>
      </c>
      <c r="K3" s="1" t="s">
        <v>116</v>
      </c>
      <c r="L3" s="1" t="s">
        <v>53</v>
      </c>
      <c r="M3" s="1" t="s">
        <v>14</v>
      </c>
      <c r="N3" s="1" t="s">
        <v>55</v>
      </c>
    </row>
    <row r="4" spans="1:25">
      <c r="A4" t="s">
        <v>117</v>
      </c>
      <c r="B4" t="s">
        <v>118</v>
      </c>
      <c r="C4" t="s">
        <v>119</v>
      </c>
      <c r="D4" t="s">
        <v>120</v>
      </c>
      <c r="E4" t="s">
        <v>121</v>
      </c>
      <c r="F4" t="s">
        <v>120</v>
      </c>
      <c r="G4" t="s">
        <v>122</v>
      </c>
      <c r="H4" s="2">
        <v>46218</v>
      </c>
      <c r="I4" s="2"/>
      <c r="J4" t="s">
        <v>123</v>
      </c>
      <c r="K4" t="s">
        <v>71</v>
      </c>
      <c r="L4" t="s">
        <v>124</v>
      </c>
      <c r="M4" t="str">
        <f ca="1">IF(L4="Complete","Green",IF(AND(H4&lt;&gt;"",H4&lt;TODAY()),"Red",IF(H4&lt;=TODAY()+7,"Orange",IF(H4&lt;=TODAY()+30,"Yellow","Green"))))</f>
        <v>Yellow</v>
      </c>
      <c r="N4" t="s">
        <v>125</v>
      </c>
    </row>
    <row r="5" spans="1:25">
      <c r="A5" t="s">
        <v>126</v>
      </c>
      <c r="B5" t="s">
        <v>56</v>
      </c>
      <c r="C5" t="s">
        <v>127</v>
      </c>
      <c r="D5" t="s">
        <v>120</v>
      </c>
      <c r="E5" t="s">
        <v>128</v>
      </c>
      <c r="F5" t="s">
        <v>120</v>
      </c>
      <c r="G5" t="s">
        <v>71</v>
      </c>
      <c r="H5" s="2">
        <v>46208</v>
      </c>
      <c r="I5" s="2"/>
      <c r="J5" t="s">
        <v>129</v>
      </c>
      <c r="K5" t="s">
        <v>89</v>
      </c>
      <c r="L5" t="s">
        <v>130</v>
      </c>
      <c r="M5" t="str">
        <f ca="1">IF(L5="Complete","Green",IF(AND(H5&lt;&gt;"",H5&lt;TODAY()),"Red",IF(H5&lt;=TODAY()+7,"Orange",IF(H5&lt;=TODAY()+30,"Yellow","Green"))))</f>
        <v>Green</v>
      </c>
      <c r="N5" t="s">
        <v>131</v>
      </c>
    </row>
    <row r="6" spans="1:25">
      <c r="A6" t="s">
        <v>132</v>
      </c>
      <c r="B6" t="s">
        <v>133</v>
      </c>
      <c r="C6" t="s">
        <v>134</v>
      </c>
      <c r="D6" t="s">
        <v>120</v>
      </c>
      <c r="E6" t="s">
        <v>135</v>
      </c>
      <c r="F6" t="s">
        <v>120</v>
      </c>
      <c r="G6" t="s">
        <v>71</v>
      </c>
      <c r="H6" s="2">
        <v>46223</v>
      </c>
      <c r="I6" s="2"/>
      <c r="J6" t="s">
        <v>136</v>
      </c>
      <c r="K6" t="s">
        <v>89</v>
      </c>
      <c r="L6" t="s">
        <v>137</v>
      </c>
      <c r="M6" t="str">
        <f ca="1">IF(L6="Complete","Green",IF(AND(H6&lt;&gt;"",H6&lt;TODAY()),"Red",IF(H6&lt;=TODAY()+7,"Orange",IF(H6&lt;=TODAY()+30,"Yellow","Green"))))</f>
        <v>Yellow</v>
      </c>
      <c r="N6" t="s">
        <v>138</v>
      </c>
    </row>
    <row r="7" spans="1:25">
      <c r="A7" t="s">
        <v>139</v>
      </c>
      <c r="B7" t="s">
        <v>140</v>
      </c>
      <c r="C7" t="s">
        <v>141</v>
      </c>
      <c r="D7" t="s">
        <v>142</v>
      </c>
      <c r="E7" t="s">
        <v>143</v>
      </c>
      <c r="F7" t="s">
        <v>142</v>
      </c>
      <c r="G7" t="s">
        <v>71</v>
      </c>
      <c r="H7" s="2">
        <v>46213</v>
      </c>
      <c r="I7" s="2">
        <v>46203</v>
      </c>
      <c r="J7" t="s">
        <v>144</v>
      </c>
      <c r="K7" t="s">
        <v>89</v>
      </c>
      <c r="L7" t="s">
        <v>124</v>
      </c>
      <c r="M7" t="str">
        <f ca="1">IF(L7="Complete","Green",IF(AND(H7&lt;&gt;"",H7&lt;TODAY()),"Red",IF(H7&lt;=TODAY()+7,"Orange",IF(H7&lt;=TODAY()+30,"Yellow","Green"))))</f>
        <v>Yellow</v>
      </c>
      <c r="N7" t="s">
        <v>145</v>
      </c>
    </row>
    <row r="8" spans="1:25">
      <c r="A8" t="s">
        <v>139</v>
      </c>
      <c r="B8" t="s">
        <v>146</v>
      </c>
      <c r="C8" t="s">
        <v>147</v>
      </c>
      <c r="D8" t="s">
        <v>120</v>
      </c>
      <c r="E8" t="s">
        <v>148</v>
      </c>
      <c r="F8" t="s">
        <v>120</v>
      </c>
      <c r="G8" t="s">
        <v>149</v>
      </c>
      <c r="H8" s="2">
        <v>46218</v>
      </c>
      <c r="I8" s="2"/>
      <c r="L8" t="s">
        <v>124</v>
      </c>
      <c r="M8" t="str">
        <f t="shared" ref="M8:M39" ca="1" si="0">IF(A8="","",IF(L8="Complete","Green",IF(AND(H8&lt;&gt;"",H8&lt;TODAY()),"Red",IF(H8&lt;=TODAY()+7,"Orange",IF(H8&lt;=TODAY()+30,"Yellow","Green")))))</f>
        <v>Yellow</v>
      </c>
      <c r="N8" t="s">
        <v>150</v>
      </c>
    </row>
    <row r="9" spans="1:25">
      <c r="H9" s="2"/>
      <c r="I9" s="2"/>
      <c r="M9" t="str">
        <f t="shared" ca="1" si="0"/>
        <v/>
      </c>
    </row>
    <row r="10" spans="1:25">
      <c r="H10" s="2"/>
      <c r="I10" s="2"/>
      <c r="M10" t="str">
        <f t="shared" ca="1" si="0"/>
        <v/>
      </c>
    </row>
    <row r="11" spans="1:25">
      <c r="H11" s="2"/>
      <c r="I11" s="2"/>
      <c r="M11" t="str">
        <f t="shared" ca="1" si="0"/>
        <v/>
      </c>
    </row>
    <row r="12" spans="1:25">
      <c r="H12" s="2"/>
      <c r="I12" s="2"/>
      <c r="M12" t="str">
        <f t="shared" ca="1" si="0"/>
        <v/>
      </c>
    </row>
    <row r="13" spans="1:25">
      <c r="H13" s="2"/>
      <c r="I13" s="2"/>
      <c r="M13" t="str">
        <f t="shared" ca="1" si="0"/>
        <v/>
      </c>
    </row>
    <row r="14" spans="1:25">
      <c r="H14" s="2"/>
      <c r="I14" s="2"/>
      <c r="M14" t="str">
        <f t="shared" ca="1" si="0"/>
        <v/>
      </c>
    </row>
    <row r="15" spans="1:25">
      <c r="H15" s="2"/>
      <c r="I15" s="2"/>
      <c r="M15" t="str">
        <f t="shared" ca="1" si="0"/>
        <v/>
      </c>
    </row>
    <row r="16" spans="1:25">
      <c r="H16" s="2"/>
      <c r="I16" s="2"/>
      <c r="M16" t="str">
        <f t="shared" ca="1" si="0"/>
        <v/>
      </c>
    </row>
    <row r="17" spans="8:13">
      <c r="H17" s="2"/>
      <c r="I17" s="2"/>
      <c r="M17" t="str">
        <f t="shared" ca="1" si="0"/>
        <v/>
      </c>
    </row>
    <row r="18" spans="8:13">
      <c r="H18" s="2"/>
      <c r="I18" s="2"/>
      <c r="M18" t="str">
        <f t="shared" ca="1" si="0"/>
        <v/>
      </c>
    </row>
    <row r="19" spans="8:13">
      <c r="H19" s="2"/>
      <c r="I19" s="2"/>
      <c r="M19" t="str">
        <f t="shared" ca="1" si="0"/>
        <v/>
      </c>
    </row>
    <row r="20" spans="8:13">
      <c r="H20" s="2"/>
      <c r="I20" s="2"/>
      <c r="M20" t="str">
        <f t="shared" ca="1" si="0"/>
        <v/>
      </c>
    </row>
    <row r="21" spans="8:13">
      <c r="H21" s="2"/>
      <c r="I21" s="2"/>
      <c r="M21" t="str">
        <f t="shared" ca="1" si="0"/>
        <v/>
      </c>
    </row>
    <row r="22" spans="8:13">
      <c r="H22" s="2"/>
      <c r="I22" s="2"/>
      <c r="M22" t="str">
        <f t="shared" ca="1" si="0"/>
        <v/>
      </c>
    </row>
    <row r="23" spans="8:13">
      <c r="H23" s="2"/>
      <c r="I23" s="2"/>
      <c r="M23" t="str">
        <f t="shared" ca="1" si="0"/>
        <v/>
      </c>
    </row>
    <row r="24" spans="8:13">
      <c r="H24" s="2"/>
      <c r="I24" s="2"/>
      <c r="M24" t="str">
        <f t="shared" ca="1" si="0"/>
        <v/>
      </c>
    </row>
    <row r="25" spans="8:13">
      <c r="H25" s="2"/>
      <c r="I25" s="2"/>
      <c r="M25" t="str">
        <f t="shared" ca="1" si="0"/>
        <v/>
      </c>
    </row>
    <row r="26" spans="8:13">
      <c r="H26" s="2"/>
      <c r="I26" s="2"/>
      <c r="M26" t="str">
        <f t="shared" ca="1" si="0"/>
        <v/>
      </c>
    </row>
    <row r="27" spans="8:13">
      <c r="H27" s="2"/>
      <c r="I27" s="2"/>
      <c r="M27" t="str">
        <f t="shared" ca="1" si="0"/>
        <v/>
      </c>
    </row>
    <row r="28" spans="8:13">
      <c r="H28" s="2"/>
      <c r="I28" s="2"/>
      <c r="M28" t="str">
        <f t="shared" ca="1" si="0"/>
        <v/>
      </c>
    </row>
    <row r="29" spans="8:13">
      <c r="H29" s="2"/>
      <c r="I29" s="2"/>
      <c r="M29" t="str">
        <f t="shared" ca="1" si="0"/>
        <v/>
      </c>
    </row>
    <row r="30" spans="8:13">
      <c r="H30" s="2"/>
      <c r="I30" s="2"/>
      <c r="M30" t="str">
        <f t="shared" ca="1" si="0"/>
        <v/>
      </c>
    </row>
    <row r="31" spans="8:13">
      <c r="H31" s="2"/>
      <c r="I31" s="2"/>
      <c r="M31" t="str">
        <f t="shared" ca="1" si="0"/>
        <v/>
      </c>
    </row>
    <row r="32" spans="8:13">
      <c r="H32" s="2"/>
      <c r="I32" s="2"/>
      <c r="M32" t="str">
        <f t="shared" ca="1" si="0"/>
        <v/>
      </c>
    </row>
    <row r="33" spans="8:13">
      <c r="H33" s="2"/>
      <c r="I33" s="2"/>
      <c r="M33" t="str">
        <f t="shared" ca="1" si="0"/>
        <v/>
      </c>
    </row>
    <row r="34" spans="8:13">
      <c r="H34" s="2"/>
      <c r="I34" s="2"/>
      <c r="M34" t="str">
        <f t="shared" ca="1" si="0"/>
        <v/>
      </c>
    </row>
    <row r="35" spans="8:13">
      <c r="H35" s="2"/>
      <c r="I35" s="2"/>
      <c r="M35" t="str">
        <f t="shared" ca="1" si="0"/>
        <v/>
      </c>
    </row>
    <row r="36" spans="8:13">
      <c r="H36" s="2"/>
      <c r="I36" s="2"/>
      <c r="M36" t="str">
        <f t="shared" ca="1" si="0"/>
        <v/>
      </c>
    </row>
    <row r="37" spans="8:13">
      <c r="H37" s="2"/>
      <c r="I37" s="2"/>
      <c r="M37" t="str">
        <f t="shared" ca="1" si="0"/>
        <v/>
      </c>
    </row>
    <row r="38" spans="8:13">
      <c r="H38" s="2"/>
      <c r="I38" s="2"/>
      <c r="M38" t="str">
        <f t="shared" ca="1" si="0"/>
        <v/>
      </c>
    </row>
    <row r="39" spans="8:13">
      <c r="H39" s="2"/>
      <c r="I39" s="2"/>
      <c r="M39" t="str">
        <f t="shared" ca="1" si="0"/>
        <v/>
      </c>
    </row>
    <row r="40" spans="8:13">
      <c r="H40" s="2"/>
      <c r="I40" s="2"/>
      <c r="M40" t="str">
        <f t="shared" ref="M40:M71" ca="1" si="1">IF(A40="","",IF(L40="Complete","Green",IF(AND(H40&lt;&gt;"",H40&lt;TODAY()),"Red",IF(H40&lt;=TODAY()+7,"Orange",IF(H40&lt;=TODAY()+30,"Yellow","Green")))))</f>
        <v/>
      </c>
    </row>
    <row r="41" spans="8:13">
      <c r="H41" s="2"/>
      <c r="I41" s="2"/>
      <c r="M41" t="str">
        <f t="shared" ca="1" si="1"/>
        <v/>
      </c>
    </row>
    <row r="42" spans="8:13">
      <c r="H42" s="2"/>
      <c r="I42" s="2"/>
      <c r="M42" t="str">
        <f t="shared" ca="1" si="1"/>
        <v/>
      </c>
    </row>
    <row r="43" spans="8:13">
      <c r="H43" s="2"/>
      <c r="I43" s="2"/>
      <c r="M43" t="str">
        <f t="shared" ca="1" si="1"/>
        <v/>
      </c>
    </row>
    <row r="44" spans="8:13">
      <c r="H44" s="2"/>
      <c r="I44" s="2"/>
      <c r="M44" t="str">
        <f t="shared" ca="1" si="1"/>
        <v/>
      </c>
    </row>
    <row r="45" spans="8:13">
      <c r="H45" s="2"/>
      <c r="I45" s="2"/>
      <c r="M45" t="str">
        <f t="shared" ca="1" si="1"/>
        <v/>
      </c>
    </row>
    <row r="46" spans="8:13">
      <c r="H46" s="2"/>
      <c r="I46" s="2"/>
      <c r="M46" t="str">
        <f t="shared" ca="1" si="1"/>
        <v/>
      </c>
    </row>
    <row r="47" spans="8:13">
      <c r="H47" s="2"/>
      <c r="I47" s="2"/>
      <c r="M47" t="str">
        <f t="shared" ca="1" si="1"/>
        <v/>
      </c>
    </row>
    <row r="48" spans="8:13">
      <c r="H48" s="2"/>
      <c r="I48" s="2"/>
      <c r="M48" t="str">
        <f t="shared" ca="1" si="1"/>
        <v/>
      </c>
    </row>
    <row r="49" spans="8:13">
      <c r="H49" s="2"/>
      <c r="I49" s="2"/>
      <c r="M49" t="str">
        <f t="shared" ca="1" si="1"/>
        <v/>
      </c>
    </row>
    <row r="50" spans="8:13">
      <c r="H50" s="2"/>
      <c r="I50" s="2"/>
      <c r="M50" t="str">
        <f t="shared" ca="1" si="1"/>
        <v/>
      </c>
    </row>
    <row r="51" spans="8:13">
      <c r="H51" s="2"/>
      <c r="I51" s="2"/>
      <c r="M51" t="str">
        <f t="shared" ca="1" si="1"/>
        <v/>
      </c>
    </row>
    <row r="52" spans="8:13">
      <c r="H52" s="2"/>
      <c r="I52" s="2"/>
      <c r="M52" t="str">
        <f t="shared" ca="1" si="1"/>
        <v/>
      </c>
    </row>
    <row r="53" spans="8:13">
      <c r="H53" s="2"/>
      <c r="I53" s="2"/>
      <c r="M53" t="str">
        <f t="shared" ca="1" si="1"/>
        <v/>
      </c>
    </row>
    <row r="54" spans="8:13">
      <c r="H54" s="2"/>
      <c r="I54" s="2"/>
      <c r="M54" t="str">
        <f t="shared" ca="1" si="1"/>
        <v/>
      </c>
    </row>
    <row r="55" spans="8:13">
      <c r="H55" s="2"/>
      <c r="I55" s="2"/>
      <c r="M55" t="str">
        <f t="shared" ca="1" si="1"/>
        <v/>
      </c>
    </row>
    <row r="56" spans="8:13">
      <c r="H56" s="2"/>
      <c r="I56" s="2"/>
      <c r="M56" t="str">
        <f t="shared" ca="1" si="1"/>
        <v/>
      </c>
    </row>
    <row r="57" spans="8:13">
      <c r="H57" s="2"/>
      <c r="I57" s="2"/>
      <c r="M57" t="str">
        <f t="shared" ca="1" si="1"/>
        <v/>
      </c>
    </row>
    <row r="58" spans="8:13">
      <c r="H58" s="2"/>
      <c r="I58" s="2"/>
      <c r="M58" t="str">
        <f t="shared" ca="1" si="1"/>
        <v/>
      </c>
    </row>
    <row r="59" spans="8:13">
      <c r="H59" s="2"/>
      <c r="I59" s="2"/>
      <c r="M59" t="str">
        <f t="shared" ca="1" si="1"/>
        <v/>
      </c>
    </row>
    <row r="60" spans="8:13">
      <c r="H60" s="2"/>
      <c r="I60" s="2"/>
      <c r="M60" t="str">
        <f t="shared" ca="1" si="1"/>
        <v/>
      </c>
    </row>
    <row r="61" spans="8:13">
      <c r="H61" s="2"/>
      <c r="I61" s="2"/>
      <c r="M61" t="str">
        <f t="shared" ca="1" si="1"/>
        <v/>
      </c>
    </row>
    <row r="62" spans="8:13">
      <c r="H62" s="2"/>
      <c r="I62" s="2"/>
      <c r="M62" t="str">
        <f t="shared" ca="1" si="1"/>
        <v/>
      </c>
    </row>
    <row r="63" spans="8:13">
      <c r="H63" s="2"/>
      <c r="I63" s="2"/>
      <c r="M63" t="str">
        <f t="shared" ca="1" si="1"/>
        <v/>
      </c>
    </row>
    <row r="64" spans="8:13">
      <c r="H64" s="2"/>
      <c r="I64" s="2"/>
      <c r="M64" t="str">
        <f t="shared" ca="1" si="1"/>
        <v/>
      </c>
    </row>
    <row r="65" spans="8:13">
      <c r="H65" s="2"/>
      <c r="I65" s="2"/>
      <c r="M65" t="str">
        <f t="shared" ca="1" si="1"/>
        <v/>
      </c>
    </row>
    <row r="66" spans="8:13">
      <c r="H66" s="2"/>
      <c r="I66" s="2"/>
      <c r="M66" t="str">
        <f t="shared" ca="1" si="1"/>
        <v/>
      </c>
    </row>
    <row r="67" spans="8:13">
      <c r="H67" s="2"/>
      <c r="I67" s="2"/>
      <c r="M67" t="str">
        <f t="shared" ca="1" si="1"/>
        <v/>
      </c>
    </row>
    <row r="68" spans="8:13">
      <c r="H68" s="2"/>
      <c r="I68" s="2"/>
      <c r="M68" t="str">
        <f t="shared" ca="1" si="1"/>
        <v/>
      </c>
    </row>
    <row r="69" spans="8:13">
      <c r="H69" s="2"/>
      <c r="I69" s="2"/>
      <c r="M69" t="str">
        <f t="shared" ca="1" si="1"/>
        <v/>
      </c>
    </row>
    <row r="70" spans="8:13">
      <c r="H70" s="2"/>
      <c r="I70" s="2"/>
      <c r="M70" t="str">
        <f t="shared" ca="1" si="1"/>
        <v/>
      </c>
    </row>
    <row r="71" spans="8:13">
      <c r="H71" s="2"/>
      <c r="I71" s="2"/>
      <c r="M71" t="str">
        <f t="shared" ca="1" si="1"/>
        <v/>
      </c>
    </row>
    <row r="72" spans="8:13">
      <c r="H72" s="2"/>
      <c r="I72" s="2"/>
      <c r="M72" t="str">
        <f t="shared" ref="M72:M103" ca="1" si="2">IF(A72="","",IF(L72="Complete","Green",IF(AND(H72&lt;&gt;"",H72&lt;TODAY()),"Red",IF(H72&lt;=TODAY()+7,"Orange",IF(H72&lt;=TODAY()+30,"Yellow","Green")))))</f>
        <v/>
      </c>
    </row>
    <row r="73" spans="8:13">
      <c r="H73" s="2"/>
      <c r="I73" s="2"/>
      <c r="M73" t="str">
        <f t="shared" ca="1" si="2"/>
        <v/>
      </c>
    </row>
    <row r="74" spans="8:13">
      <c r="H74" s="2"/>
      <c r="I74" s="2"/>
      <c r="M74" t="str">
        <f t="shared" ca="1" si="2"/>
        <v/>
      </c>
    </row>
    <row r="75" spans="8:13">
      <c r="H75" s="2"/>
      <c r="I75" s="2"/>
      <c r="M75" t="str">
        <f t="shared" ca="1" si="2"/>
        <v/>
      </c>
    </row>
    <row r="76" spans="8:13">
      <c r="H76" s="2"/>
      <c r="I76" s="2"/>
      <c r="M76" t="str">
        <f t="shared" ca="1" si="2"/>
        <v/>
      </c>
    </row>
    <row r="77" spans="8:13">
      <c r="H77" s="2"/>
      <c r="I77" s="2"/>
      <c r="M77" t="str">
        <f t="shared" ca="1" si="2"/>
        <v/>
      </c>
    </row>
    <row r="78" spans="8:13">
      <c r="H78" s="2"/>
      <c r="I78" s="2"/>
      <c r="M78" t="str">
        <f t="shared" ca="1" si="2"/>
        <v/>
      </c>
    </row>
    <row r="79" spans="8:13">
      <c r="H79" s="2"/>
      <c r="I79" s="2"/>
      <c r="M79" t="str">
        <f t="shared" ca="1" si="2"/>
        <v/>
      </c>
    </row>
    <row r="80" spans="8:13">
      <c r="H80" s="2"/>
      <c r="I80" s="2"/>
      <c r="M80" t="str">
        <f t="shared" ca="1" si="2"/>
        <v/>
      </c>
    </row>
    <row r="81" spans="8:13">
      <c r="H81" s="2"/>
      <c r="I81" s="2"/>
      <c r="M81" t="str">
        <f t="shared" ca="1" si="2"/>
        <v/>
      </c>
    </row>
    <row r="82" spans="8:13">
      <c r="H82" s="2"/>
      <c r="I82" s="2"/>
      <c r="M82" t="str">
        <f t="shared" ca="1" si="2"/>
        <v/>
      </c>
    </row>
    <row r="83" spans="8:13">
      <c r="H83" s="2"/>
      <c r="I83" s="2"/>
      <c r="M83" t="str">
        <f t="shared" ca="1" si="2"/>
        <v/>
      </c>
    </row>
    <row r="84" spans="8:13">
      <c r="H84" s="2"/>
      <c r="I84" s="2"/>
      <c r="M84" t="str">
        <f t="shared" ca="1" si="2"/>
        <v/>
      </c>
    </row>
    <row r="85" spans="8:13">
      <c r="H85" s="2"/>
      <c r="I85" s="2"/>
      <c r="M85" t="str">
        <f t="shared" ca="1" si="2"/>
        <v/>
      </c>
    </row>
    <row r="86" spans="8:13">
      <c r="H86" s="2"/>
      <c r="I86" s="2"/>
      <c r="M86" t="str">
        <f t="shared" ca="1" si="2"/>
        <v/>
      </c>
    </row>
    <row r="87" spans="8:13">
      <c r="H87" s="2"/>
      <c r="I87" s="2"/>
      <c r="M87" t="str">
        <f t="shared" ca="1" si="2"/>
        <v/>
      </c>
    </row>
    <row r="88" spans="8:13">
      <c r="H88" s="2"/>
      <c r="I88" s="2"/>
      <c r="M88" t="str">
        <f t="shared" ca="1" si="2"/>
        <v/>
      </c>
    </row>
    <row r="89" spans="8:13">
      <c r="H89" s="2"/>
      <c r="I89" s="2"/>
      <c r="M89" t="str">
        <f t="shared" ca="1" si="2"/>
        <v/>
      </c>
    </row>
    <row r="90" spans="8:13">
      <c r="H90" s="2"/>
      <c r="I90" s="2"/>
      <c r="M90" t="str">
        <f t="shared" ca="1" si="2"/>
        <v/>
      </c>
    </row>
    <row r="91" spans="8:13">
      <c r="H91" s="2"/>
      <c r="I91" s="2"/>
      <c r="M91" t="str">
        <f t="shared" ca="1" si="2"/>
        <v/>
      </c>
    </row>
    <row r="92" spans="8:13">
      <c r="H92" s="2"/>
      <c r="I92" s="2"/>
      <c r="M92" t="str">
        <f t="shared" ca="1" si="2"/>
        <v/>
      </c>
    </row>
    <row r="93" spans="8:13">
      <c r="H93" s="2"/>
      <c r="I93" s="2"/>
      <c r="M93" t="str">
        <f t="shared" ca="1" si="2"/>
        <v/>
      </c>
    </row>
    <row r="94" spans="8:13">
      <c r="H94" s="2"/>
      <c r="I94" s="2"/>
      <c r="M94" t="str">
        <f t="shared" ca="1" si="2"/>
        <v/>
      </c>
    </row>
    <row r="95" spans="8:13">
      <c r="H95" s="2"/>
      <c r="I95" s="2"/>
      <c r="M95" t="str">
        <f t="shared" ca="1" si="2"/>
        <v/>
      </c>
    </row>
    <row r="96" spans="8:13">
      <c r="H96" s="2"/>
      <c r="I96" s="2"/>
      <c r="M96" t="str">
        <f t="shared" ca="1" si="2"/>
        <v/>
      </c>
    </row>
    <row r="97" spans="8:13">
      <c r="H97" s="2"/>
      <c r="I97" s="2"/>
      <c r="M97" t="str">
        <f t="shared" ca="1" si="2"/>
        <v/>
      </c>
    </row>
    <row r="98" spans="8:13">
      <c r="H98" s="2"/>
      <c r="I98" s="2"/>
      <c r="M98" t="str">
        <f t="shared" ca="1" si="2"/>
        <v/>
      </c>
    </row>
    <row r="99" spans="8:13">
      <c r="H99" s="2"/>
      <c r="I99" s="2"/>
      <c r="M99" t="str">
        <f t="shared" ca="1" si="2"/>
        <v/>
      </c>
    </row>
    <row r="100" spans="8:13">
      <c r="H100" s="2"/>
      <c r="I100" s="2"/>
      <c r="M100" t="str">
        <f t="shared" ca="1" si="2"/>
        <v/>
      </c>
    </row>
    <row r="101" spans="8:13">
      <c r="H101" s="2"/>
      <c r="I101" s="2"/>
      <c r="M101" t="str">
        <f t="shared" ca="1" si="2"/>
        <v/>
      </c>
    </row>
    <row r="102" spans="8:13">
      <c r="H102" s="2"/>
      <c r="I102" s="2"/>
      <c r="M102" t="str">
        <f t="shared" ca="1" si="2"/>
        <v/>
      </c>
    </row>
    <row r="103" spans="8:13">
      <c r="H103" s="2"/>
      <c r="I103" s="2"/>
      <c r="M103" t="str">
        <f t="shared" ca="1" si="2"/>
        <v/>
      </c>
    </row>
  </sheetData>
  <mergeCells count="1">
    <mergeCell ref="A1:N1"/>
  </mergeCells>
  <conditionalFormatting sqref="N4:N8 M4:M103">
    <cfRule type="expression" dxfId="69" priority="1">
      <formula>M4="Green"</formula>
    </cfRule>
    <cfRule type="expression" dxfId="68" priority="2">
      <formula>M4="Yellow"</formula>
    </cfRule>
    <cfRule type="expression" dxfId="67" priority="3">
      <formula>M4="Orange"</formula>
    </cfRule>
    <cfRule type="expression" dxfId="66" priority="4">
      <formula>M4="Red"</formula>
    </cfRule>
    <cfRule type="expression" dxfId="65" priority="5">
      <formula>M4="Grey"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5"/>
  <sheetViews>
    <sheetView zoomScale="80" zoomScaleNormal="80" workbookViewId="0">
      <selection activeCell="G15" sqref="G15"/>
    </sheetView>
  </sheetViews>
  <sheetFormatPr defaultRowHeight="14"/>
  <cols>
    <col min="1" max="1" width="24" customWidth="1"/>
    <col min="2" max="3" width="18" customWidth="1"/>
    <col min="4" max="5" width="14" customWidth="1"/>
    <col min="6" max="6" width="18" customWidth="1"/>
    <col min="7" max="7" width="22" customWidth="1"/>
    <col min="8" max="8" width="18" customWidth="1"/>
    <col min="9" max="9" width="12" customWidth="1"/>
    <col min="10" max="10" width="14" customWidth="1"/>
    <col min="11" max="11" width="12" customWidth="1"/>
    <col min="12" max="12" width="30" customWidth="1"/>
  </cols>
  <sheetData>
    <row r="1" spans="1:26" ht="20" customHeight="1">
      <c r="A1" s="13" t="s">
        <v>151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152</v>
      </c>
      <c r="B3" s="1" t="s">
        <v>153</v>
      </c>
      <c r="C3" s="1" t="s">
        <v>154</v>
      </c>
      <c r="D3" s="1" t="s">
        <v>155</v>
      </c>
      <c r="E3" s="1" t="s">
        <v>51</v>
      </c>
      <c r="F3" s="1" t="s">
        <v>156</v>
      </c>
      <c r="G3" s="1" t="s">
        <v>157</v>
      </c>
      <c r="H3" s="1" t="s">
        <v>158</v>
      </c>
      <c r="I3" s="1" t="s">
        <v>159</v>
      </c>
      <c r="J3" s="1" t="s">
        <v>53</v>
      </c>
      <c r="K3" s="1" t="s">
        <v>14</v>
      </c>
      <c r="L3" s="1" t="s">
        <v>55</v>
      </c>
    </row>
    <row r="4" spans="1:26">
      <c r="A4" t="s">
        <v>160</v>
      </c>
      <c r="B4" t="s">
        <v>161</v>
      </c>
      <c r="C4" s="2">
        <v>46125</v>
      </c>
      <c r="D4" s="2">
        <v>47221</v>
      </c>
      <c r="E4">
        <f t="shared" ref="E4:E15" ca="1" si="0">IF(D4="","",D4-TODAY())</f>
        <v>1018</v>
      </c>
      <c r="J4" t="str">
        <f t="shared" ref="J4:J15" ca="1" si="1">IF(D4="","Missing",IF(D4&lt;TODAY(),"Expired",IF(D4&lt;=TODAY()+30,"Due Soon","Current")))</f>
        <v>Current</v>
      </c>
      <c r="K4" t="str">
        <f t="shared" ref="K4:K15" ca="1" si="2">IF(J4="Current","Green",IF(J4="Due Soon","Yellow","Red"))</f>
        <v>Green</v>
      </c>
    </row>
    <row r="5" spans="1:26">
      <c r="A5" t="s">
        <v>162</v>
      </c>
      <c r="B5" t="s">
        <v>161</v>
      </c>
      <c r="C5" s="2">
        <v>46125</v>
      </c>
      <c r="D5" s="2">
        <v>47222</v>
      </c>
      <c r="E5">
        <f t="shared" ca="1" si="0"/>
        <v>1019</v>
      </c>
      <c r="J5" t="str">
        <f t="shared" ca="1" si="1"/>
        <v>Current</v>
      </c>
      <c r="K5" t="str">
        <f t="shared" ca="1" si="2"/>
        <v>Green</v>
      </c>
    </row>
    <row r="6" spans="1:26">
      <c r="A6" t="s">
        <v>163</v>
      </c>
      <c r="B6" t="s">
        <v>164</v>
      </c>
      <c r="C6" s="2">
        <v>46155</v>
      </c>
      <c r="D6" s="2">
        <v>47223</v>
      </c>
      <c r="E6">
        <f t="shared" ca="1" si="0"/>
        <v>1020</v>
      </c>
      <c r="J6" t="str">
        <f t="shared" ca="1" si="1"/>
        <v>Current</v>
      </c>
      <c r="K6" t="str">
        <f t="shared" ca="1" si="2"/>
        <v>Green</v>
      </c>
    </row>
    <row r="7" spans="1:26">
      <c r="A7" t="s">
        <v>165</v>
      </c>
      <c r="B7" t="s">
        <v>161</v>
      </c>
      <c r="C7" s="2">
        <v>46125</v>
      </c>
      <c r="D7" s="2">
        <v>47224</v>
      </c>
      <c r="E7">
        <f t="shared" ca="1" si="0"/>
        <v>1021</v>
      </c>
      <c r="J7" t="str">
        <f t="shared" ca="1" si="1"/>
        <v>Current</v>
      </c>
      <c r="K7" t="str">
        <f t="shared" ca="1" si="2"/>
        <v>Green</v>
      </c>
    </row>
    <row r="8" spans="1:26">
      <c r="A8" t="s">
        <v>166</v>
      </c>
      <c r="B8" t="s">
        <v>161</v>
      </c>
      <c r="C8" s="2">
        <v>46001</v>
      </c>
      <c r="D8" s="2">
        <v>47225</v>
      </c>
      <c r="E8">
        <f t="shared" ca="1" si="0"/>
        <v>1022</v>
      </c>
      <c r="J8" t="str">
        <f t="shared" ca="1" si="1"/>
        <v>Current</v>
      </c>
      <c r="K8" t="str">
        <f t="shared" ca="1" si="2"/>
        <v>Green</v>
      </c>
    </row>
    <row r="9" spans="1:26">
      <c r="A9" t="s">
        <v>167</v>
      </c>
      <c r="B9" t="s">
        <v>168</v>
      </c>
      <c r="C9" s="2">
        <v>46010</v>
      </c>
      <c r="D9" s="2">
        <v>47226</v>
      </c>
      <c r="E9">
        <f t="shared" ca="1" si="0"/>
        <v>1023</v>
      </c>
      <c r="J9" t="str">
        <f t="shared" ca="1" si="1"/>
        <v>Current</v>
      </c>
      <c r="K9" t="str">
        <f t="shared" ca="1" si="2"/>
        <v>Green</v>
      </c>
    </row>
    <row r="10" spans="1:26">
      <c r="A10" t="s">
        <v>169</v>
      </c>
      <c r="B10" t="s">
        <v>161</v>
      </c>
      <c r="C10" s="2">
        <v>46001</v>
      </c>
      <c r="D10" s="2">
        <v>47227</v>
      </c>
      <c r="E10">
        <f t="shared" ca="1" si="0"/>
        <v>1024</v>
      </c>
      <c r="J10" t="str">
        <f t="shared" ca="1" si="1"/>
        <v>Current</v>
      </c>
      <c r="K10" t="str">
        <f t="shared" ca="1" si="2"/>
        <v>Green</v>
      </c>
    </row>
    <row r="11" spans="1:26">
      <c r="A11" t="s">
        <v>170</v>
      </c>
      <c r="B11" t="s">
        <v>171</v>
      </c>
      <c r="C11" s="2"/>
      <c r="D11" s="2">
        <v>47228</v>
      </c>
      <c r="E11">
        <f t="shared" ca="1" si="0"/>
        <v>1025</v>
      </c>
      <c r="J11" t="str">
        <f t="shared" ca="1" si="1"/>
        <v>Current</v>
      </c>
      <c r="K11" t="str">
        <f t="shared" ca="1" si="2"/>
        <v>Green</v>
      </c>
    </row>
    <row r="12" spans="1:26">
      <c r="A12" t="s">
        <v>172</v>
      </c>
      <c r="B12" t="s">
        <v>173</v>
      </c>
      <c r="C12" s="2">
        <v>46001</v>
      </c>
      <c r="D12" s="2">
        <v>47229</v>
      </c>
      <c r="E12">
        <f t="shared" ca="1" si="0"/>
        <v>1026</v>
      </c>
      <c r="J12" t="str">
        <f t="shared" ca="1" si="1"/>
        <v>Current</v>
      </c>
      <c r="K12" t="str">
        <f t="shared" ca="1" si="2"/>
        <v>Green</v>
      </c>
    </row>
    <row r="13" spans="1:26">
      <c r="A13" t="s">
        <v>174</v>
      </c>
      <c r="B13" t="s">
        <v>168</v>
      </c>
      <c r="C13" s="2">
        <v>45996</v>
      </c>
      <c r="D13" s="2">
        <v>47230</v>
      </c>
      <c r="E13">
        <f t="shared" ca="1" si="0"/>
        <v>1027</v>
      </c>
      <c r="J13" t="str">
        <f t="shared" ca="1" si="1"/>
        <v>Current</v>
      </c>
      <c r="K13" t="str">
        <f t="shared" ca="1" si="2"/>
        <v>Green</v>
      </c>
    </row>
    <row r="14" spans="1:26">
      <c r="A14" t="s">
        <v>175</v>
      </c>
      <c r="B14" t="s">
        <v>176</v>
      </c>
      <c r="C14" s="2">
        <v>45949</v>
      </c>
      <c r="D14" s="2">
        <v>47231</v>
      </c>
      <c r="E14">
        <f t="shared" ca="1" si="0"/>
        <v>1028</v>
      </c>
      <c r="J14" t="str">
        <f t="shared" ca="1" si="1"/>
        <v>Current</v>
      </c>
      <c r="K14" t="str">
        <f t="shared" ca="1" si="2"/>
        <v>Green</v>
      </c>
    </row>
    <row r="15" spans="1:26">
      <c r="A15" t="s">
        <v>177</v>
      </c>
      <c r="B15" t="s">
        <v>168</v>
      </c>
      <c r="C15" s="2">
        <v>45996</v>
      </c>
      <c r="D15" s="2">
        <v>47232</v>
      </c>
      <c r="E15">
        <f t="shared" ca="1" si="0"/>
        <v>1029</v>
      </c>
      <c r="J15" t="str">
        <f t="shared" ca="1" si="1"/>
        <v>Current</v>
      </c>
      <c r="K15" t="str">
        <f t="shared" ca="1" si="2"/>
        <v>Green</v>
      </c>
    </row>
  </sheetData>
  <mergeCells count="1">
    <mergeCell ref="A1:L1"/>
  </mergeCells>
  <conditionalFormatting sqref="K4:K30">
    <cfRule type="expression" dxfId="64" priority="1">
      <formula>K4="Green"</formula>
    </cfRule>
    <cfRule type="expression" dxfId="63" priority="2">
      <formula>K4="Yellow"</formula>
    </cfRule>
    <cfRule type="expression" dxfId="62" priority="3">
      <formula>K4="Orange"</formula>
    </cfRule>
    <cfRule type="expression" dxfId="61" priority="4">
      <formula>K4="Red"</formula>
    </cfRule>
    <cfRule type="expression" dxfId="60" priority="5">
      <formula>K4="Grey"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5"/>
  <sheetViews>
    <sheetView workbookViewId="0">
      <selection activeCell="D28" sqref="D4:D28"/>
    </sheetView>
  </sheetViews>
  <sheetFormatPr defaultRowHeight="14"/>
  <cols>
    <col min="1" max="1" width="24" customWidth="1"/>
    <col min="2" max="2" width="18.25" bestFit="1" customWidth="1"/>
    <col min="3" max="6" width="16" customWidth="1"/>
    <col min="7" max="7" width="18" customWidth="1"/>
    <col min="8" max="8" width="16" customWidth="1"/>
    <col min="9" max="9" width="14" customWidth="1"/>
    <col min="10" max="10" width="16" customWidth="1"/>
    <col min="11" max="11" width="20" customWidth="1"/>
    <col min="12" max="12" width="16" customWidth="1"/>
    <col min="13" max="13" width="12" customWidth="1"/>
    <col min="14" max="14" width="14" customWidth="1"/>
    <col min="15" max="15" width="30" customWidth="1"/>
  </cols>
  <sheetData>
    <row r="1" spans="1:26" ht="20" customHeight="1">
      <c r="A1" s="13" t="s">
        <v>178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152</v>
      </c>
      <c r="B3" s="1" t="s">
        <v>153</v>
      </c>
      <c r="C3" s="1" t="s">
        <v>179</v>
      </c>
      <c r="D3" s="1" t="s">
        <v>180</v>
      </c>
      <c r="E3" s="1" t="s">
        <v>181</v>
      </c>
      <c r="F3" s="1" t="s">
        <v>182</v>
      </c>
      <c r="G3" s="1" t="s">
        <v>183</v>
      </c>
      <c r="H3" s="1" t="s">
        <v>184</v>
      </c>
      <c r="I3" s="1" t="s">
        <v>185</v>
      </c>
      <c r="J3" s="1" t="s">
        <v>186</v>
      </c>
      <c r="K3" s="1" t="s">
        <v>187</v>
      </c>
      <c r="L3" s="1" t="s">
        <v>188</v>
      </c>
      <c r="M3" s="1" t="s">
        <v>14</v>
      </c>
      <c r="N3" s="1" t="s">
        <v>189</v>
      </c>
      <c r="O3" s="1" t="s">
        <v>55</v>
      </c>
    </row>
    <row r="4" spans="1:26">
      <c r="A4" t="s">
        <v>160</v>
      </c>
      <c r="B4" s="2" t="str">
        <f t="array" ref="B4:B15">IF(A4="","",'Fire Marshal Training'!B4:B15)</f>
        <v>Health Care Assistant</v>
      </c>
      <c r="E4" s="2">
        <f t="array" ref="E4:E15">IF(B4="","",'Fire Marshal Training'!C4:C15)</f>
        <v>46125</v>
      </c>
      <c r="F4" s="2">
        <f t="array" ref="F4:F15">IF(E4="","",'Fire Marshal Training'!D4:D15)</f>
        <v>47221</v>
      </c>
      <c r="L4" t="str">
        <f t="shared" ref="L4:L15" ca="1" si="0">IF(COUNTBLANK(E4:K4)&gt;0,"Incomplete",IF(N4&lt;TODAY(),"Expired",IF(N4&lt;=TODAY()+30,"Due Soon","Current")))</f>
        <v>Incomplete</v>
      </c>
      <c r="M4" t="str">
        <f t="shared" ref="M4:M15" ca="1" si="1">IF(L4="Current","Green",IF(L4="Due Soon","Yellow","Red"))</f>
        <v>Red</v>
      </c>
      <c r="N4" s="2" t="str">
        <f>IFERROR(MIN(F4,#REF!),"")</f>
        <v/>
      </c>
    </row>
    <row r="5" spans="1:26">
      <c r="A5" t="s">
        <v>162</v>
      </c>
      <c r="B5" s="2" t="str">
        <v>Health Care Assistant</v>
      </c>
      <c r="E5" s="2">
        <v>46125</v>
      </c>
      <c r="F5" s="2">
        <v>47222</v>
      </c>
      <c r="L5" t="str">
        <f t="shared" ca="1" si="0"/>
        <v>Incomplete</v>
      </c>
      <c r="M5" t="str">
        <f t="shared" ca="1" si="1"/>
        <v>Red</v>
      </c>
      <c r="N5" s="2" t="str">
        <f>IFERROR(MIN(F5,#REF!),"")</f>
        <v/>
      </c>
    </row>
    <row r="6" spans="1:26">
      <c r="A6" t="s">
        <v>163</v>
      </c>
      <c r="B6" s="2" t="str">
        <v>Manager</v>
      </c>
      <c r="E6" s="2">
        <v>46155</v>
      </c>
      <c r="F6" s="2">
        <v>47223</v>
      </c>
      <c r="L6" t="str">
        <f t="shared" ca="1" si="0"/>
        <v>Incomplete</v>
      </c>
      <c r="M6" t="str">
        <f t="shared" ca="1" si="1"/>
        <v>Red</v>
      </c>
      <c r="N6" s="2" t="str">
        <f>IFERROR(MIN(F6,#REF!),"")</f>
        <v/>
      </c>
    </row>
    <row r="7" spans="1:26">
      <c r="A7" t="s">
        <v>165</v>
      </c>
      <c r="B7" s="2" t="str">
        <v>Health Care Assistant</v>
      </c>
      <c r="E7" s="2">
        <v>46125</v>
      </c>
      <c r="F7" s="2">
        <v>47224</v>
      </c>
      <c r="L7" t="str">
        <f t="shared" ca="1" si="0"/>
        <v>Incomplete</v>
      </c>
      <c r="M7" t="str">
        <f t="shared" ca="1" si="1"/>
        <v>Red</v>
      </c>
      <c r="N7" s="2" t="str">
        <f>IFERROR(MIN(F7,#REF!),"")</f>
        <v/>
      </c>
    </row>
    <row r="8" spans="1:26">
      <c r="A8" t="s">
        <v>166</v>
      </c>
      <c r="B8" s="2" t="str">
        <v>Health Care Assistant</v>
      </c>
      <c r="E8" s="2">
        <v>46001</v>
      </c>
      <c r="F8" s="2">
        <v>47225</v>
      </c>
      <c r="L8" t="str">
        <f t="shared" ca="1" si="0"/>
        <v>Incomplete</v>
      </c>
      <c r="M8" t="str">
        <f t="shared" ca="1" si="1"/>
        <v>Red</v>
      </c>
      <c r="N8" s="2" t="str">
        <f>IFERROR(MIN(F8,#REF!),"")</f>
        <v/>
      </c>
    </row>
    <row r="9" spans="1:26">
      <c r="A9" t="s">
        <v>167</v>
      </c>
      <c r="B9" s="2" t="str">
        <v>Health Care Lead</v>
      </c>
      <c r="E9" s="2">
        <v>46010</v>
      </c>
      <c r="F9" s="2">
        <v>47226</v>
      </c>
      <c r="L9" t="str">
        <f t="shared" ca="1" si="0"/>
        <v>Incomplete</v>
      </c>
      <c r="M9" t="str">
        <f t="shared" ca="1" si="1"/>
        <v>Red</v>
      </c>
      <c r="N9" s="2" t="str">
        <f>IFERROR(MIN(F9,#REF!),"")</f>
        <v/>
      </c>
    </row>
    <row r="10" spans="1:26">
      <c r="A10" t="s">
        <v>169</v>
      </c>
      <c r="B10" s="2" t="str">
        <v>Health Care Assistant</v>
      </c>
      <c r="E10" s="2">
        <v>46001</v>
      </c>
      <c r="F10" s="2">
        <v>47227</v>
      </c>
      <c r="L10" t="str">
        <f t="shared" ca="1" si="0"/>
        <v>Incomplete</v>
      </c>
      <c r="M10" t="str">
        <f t="shared" ca="1" si="1"/>
        <v>Red</v>
      </c>
      <c r="N10" s="2" t="str">
        <f>IFERROR(MIN(F10,#REF!),"")</f>
        <v/>
      </c>
    </row>
    <row r="11" spans="1:26">
      <c r="A11" t="s">
        <v>190</v>
      </c>
      <c r="B11" s="2" t="str">
        <v>Deputy Manager</v>
      </c>
      <c r="E11" s="2">
        <v>0</v>
      </c>
      <c r="F11" s="2">
        <v>47228</v>
      </c>
      <c r="L11" t="str">
        <f t="shared" ca="1" si="0"/>
        <v>Incomplete</v>
      </c>
      <c r="M11" t="str">
        <f t="shared" ca="1" si="1"/>
        <v>Red</v>
      </c>
      <c r="N11" s="2" t="str">
        <f>IFERROR(MIN(F11,#REF!),"")</f>
        <v/>
      </c>
    </row>
    <row r="12" spans="1:26">
      <c r="A12" t="s">
        <v>172</v>
      </c>
      <c r="B12" s="2" t="str">
        <v>Team Leader</v>
      </c>
      <c r="E12" s="2">
        <v>46001</v>
      </c>
      <c r="F12" s="2">
        <v>47229</v>
      </c>
      <c r="L12" t="str">
        <f t="shared" ca="1" si="0"/>
        <v>Incomplete</v>
      </c>
      <c r="M12" t="str">
        <f t="shared" ca="1" si="1"/>
        <v>Red</v>
      </c>
      <c r="N12" s="2" t="str">
        <f>IFERROR(MIN(F12,#REF!),"")</f>
        <v/>
      </c>
    </row>
    <row r="13" spans="1:26">
      <c r="A13" t="s">
        <v>191</v>
      </c>
      <c r="B13" s="2" t="str">
        <v>Health Care Lead</v>
      </c>
      <c r="E13" s="2">
        <v>45996</v>
      </c>
      <c r="F13" s="2">
        <v>47230</v>
      </c>
      <c r="L13" t="str">
        <f t="shared" ca="1" si="0"/>
        <v>Incomplete</v>
      </c>
      <c r="M13" t="str">
        <f t="shared" ca="1" si="1"/>
        <v>Red</v>
      </c>
      <c r="N13" s="2" t="str">
        <f>IFERROR(MIN(F13,#REF!),"")</f>
        <v/>
      </c>
    </row>
    <row r="14" spans="1:26">
      <c r="A14" t="s">
        <v>192</v>
      </c>
      <c r="B14" s="2" t="str">
        <v>Domestic</v>
      </c>
      <c r="E14" s="2">
        <v>45949</v>
      </c>
      <c r="F14" s="2">
        <v>47231</v>
      </c>
      <c r="L14" t="str">
        <f t="shared" ca="1" si="0"/>
        <v>Incomplete</v>
      </c>
      <c r="M14" t="str">
        <f t="shared" ca="1" si="1"/>
        <v>Red</v>
      </c>
      <c r="N14" s="2" t="str">
        <f>IFERROR(MIN(F14,#REF!),"")</f>
        <v/>
      </c>
    </row>
    <row r="15" spans="1:26">
      <c r="A15" t="s">
        <v>193</v>
      </c>
      <c r="B15" s="2" t="str">
        <v>Health Care Lead</v>
      </c>
      <c r="E15" s="2">
        <v>45996</v>
      </c>
      <c r="F15" s="2">
        <v>47232</v>
      </c>
      <c r="L15" t="str">
        <f t="shared" ca="1" si="0"/>
        <v>Incomplete</v>
      </c>
      <c r="M15" t="str">
        <f t="shared" ca="1" si="1"/>
        <v>Red</v>
      </c>
      <c r="N15" s="2" t="str">
        <f>IFERROR(MIN(F15,#REF!),"")</f>
        <v/>
      </c>
    </row>
  </sheetData>
  <mergeCells count="1">
    <mergeCell ref="A1:O1"/>
  </mergeCells>
  <conditionalFormatting sqref="M4:M30">
    <cfRule type="expression" dxfId="59" priority="1">
      <formula>M4="Green"</formula>
    </cfRule>
    <cfRule type="expression" dxfId="58" priority="2">
      <formula>M4="Yellow"</formula>
    </cfRule>
    <cfRule type="expression" dxfId="57" priority="3">
      <formula>M4="Orange"</formula>
    </cfRule>
    <cfRule type="expression" dxfId="56" priority="4">
      <formula>M4="Red"</formula>
    </cfRule>
    <cfRule type="expression" dxfId="55" priority="5">
      <formula>M4="Grey"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3"/>
  <sheetViews>
    <sheetView topLeftCell="A7" workbookViewId="0">
      <selection activeCell="A7" sqref="A7"/>
    </sheetView>
  </sheetViews>
  <sheetFormatPr defaultRowHeight="14"/>
  <cols>
    <col min="1" max="5" width="16" customWidth="1"/>
    <col min="6" max="14" width="20" customWidth="1"/>
  </cols>
  <sheetData>
    <row r="1" spans="1:26" ht="20" customHeight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26" ht="56" customHeight="1">
      <c r="A4" s="11">
        <v>46193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</row>
    <row r="5" spans="1:26" ht="28" customHeight="1">
      <c r="A5" s="11">
        <v>46196</v>
      </c>
      <c r="B5" s="4" t="s">
        <v>19</v>
      </c>
      <c r="C5" s="4" t="s">
        <v>19</v>
      </c>
      <c r="D5" s="4" t="s">
        <v>19</v>
      </c>
      <c r="E5" s="4" t="s">
        <v>19</v>
      </c>
      <c r="F5" s="4" t="s">
        <v>19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27</v>
      </c>
      <c r="L5" s="4" t="s">
        <v>27</v>
      </c>
      <c r="M5" s="4" t="s">
        <v>25</v>
      </c>
      <c r="N5" s="4" t="s">
        <v>28</v>
      </c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</sheetData>
  <mergeCells count="1">
    <mergeCell ref="A1:N1"/>
  </mergeCells>
  <conditionalFormatting sqref="N4:N83">
    <cfRule type="expression" dxfId="54" priority="1">
      <formula>N4="Green"</formula>
    </cfRule>
    <cfRule type="expression" dxfId="53" priority="2">
      <formula>N4="Yellow"</formula>
    </cfRule>
    <cfRule type="expression" dxfId="52" priority="3">
      <formula>N4="Orange"</formula>
    </cfRule>
    <cfRule type="expression" dxfId="51" priority="4">
      <formula>N4="Red"</formula>
    </cfRule>
    <cfRule type="expression" dxfId="50" priority="5">
      <formula>N4="Grey"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3"/>
  <sheetViews>
    <sheetView topLeftCell="I1" workbookViewId="0">
      <selection activeCell="N4" sqref="N4"/>
    </sheetView>
  </sheetViews>
  <sheetFormatPr defaultRowHeight="14"/>
  <cols>
    <col min="1" max="5" width="16" customWidth="1"/>
    <col min="6" max="14" width="20" customWidth="1"/>
    <col min="16" max="16" width="9.75" bestFit="1" customWidth="1"/>
  </cols>
  <sheetData>
    <row r="1" spans="1:26" ht="20" customHeight="1">
      <c r="A1" s="13" t="s">
        <v>194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</v>
      </c>
      <c r="B3" s="1" t="s">
        <v>3</v>
      </c>
      <c r="C3" s="1" t="s">
        <v>195</v>
      </c>
      <c r="D3" s="1" t="s">
        <v>196</v>
      </c>
      <c r="E3" s="1" t="s">
        <v>197</v>
      </c>
      <c r="F3" s="1" t="s">
        <v>198</v>
      </c>
      <c r="G3" s="1" t="s">
        <v>199</v>
      </c>
      <c r="H3" s="1" t="s">
        <v>200</v>
      </c>
      <c r="I3" s="1" t="s">
        <v>201</v>
      </c>
      <c r="J3" s="1" t="s">
        <v>202</v>
      </c>
      <c r="K3" s="1" t="s">
        <v>110</v>
      </c>
      <c r="L3" s="1" t="s">
        <v>203</v>
      </c>
      <c r="M3" s="1" t="s">
        <v>14</v>
      </c>
      <c r="N3" s="1" t="s">
        <v>204</v>
      </c>
      <c r="O3" s="1" t="s">
        <v>205</v>
      </c>
      <c r="P3" s="1" t="s">
        <v>1</v>
      </c>
    </row>
    <row r="4" spans="1:26" ht="28" customHeight="1">
      <c r="A4" s="11">
        <v>46193</v>
      </c>
      <c r="B4" s="4" t="s">
        <v>206</v>
      </c>
      <c r="C4" s="4" t="s">
        <v>207</v>
      </c>
      <c r="D4" s="4" t="s">
        <v>207</v>
      </c>
      <c r="E4" s="4" t="s">
        <v>207</v>
      </c>
      <c r="F4" s="4" t="s">
        <v>19</v>
      </c>
      <c r="G4" s="4" t="s">
        <v>19</v>
      </c>
      <c r="H4" s="4" t="s">
        <v>19</v>
      </c>
      <c r="I4" s="4" t="s">
        <v>207</v>
      </c>
      <c r="J4" s="4" t="s">
        <v>208</v>
      </c>
      <c r="K4" s="4" t="s">
        <v>207</v>
      </c>
      <c r="L4" s="4">
        <v>40</v>
      </c>
      <c r="M4" s="4" t="s">
        <v>26</v>
      </c>
      <c r="N4" s="4"/>
      <c r="O4" s="4" t="s">
        <v>25</v>
      </c>
      <c r="P4" s="2">
        <v>46203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</sheetData>
  <mergeCells count="1">
    <mergeCell ref="A1:M1"/>
  </mergeCells>
  <conditionalFormatting sqref="O4 M4:N83">
    <cfRule type="expression" dxfId="49" priority="1">
      <formula>M4="Green"</formula>
    </cfRule>
    <cfRule type="expression" dxfId="48" priority="2">
      <formula>M4="Yellow"</formula>
    </cfRule>
    <cfRule type="expression" dxfId="47" priority="3">
      <formula>M4="Orange"</formula>
    </cfRule>
    <cfRule type="expression" dxfId="46" priority="4">
      <formula>M4="Red"</formula>
    </cfRule>
    <cfRule type="expression" dxfId="45" priority="5">
      <formula>M4="Grey"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83"/>
  <sheetViews>
    <sheetView topLeftCell="G1" workbookViewId="0">
      <selection activeCell="K5" sqref="K5"/>
    </sheetView>
  </sheetViews>
  <sheetFormatPr defaultRowHeight="14"/>
  <cols>
    <col min="1" max="4" width="16" customWidth="1"/>
    <col min="5" max="11" width="20" customWidth="1"/>
  </cols>
  <sheetData>
    <row r="1" spans="1:25" ht="20" customHeight="1">
      <c r="A1" s="13" t="s">
        <v>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 spans="1:25" ht="28" customHeight="1">
      <c r="A3" s="1" t="s">
        <v>1</v>
      </c>
      <c r="B3" s="1" t="s">
        <v>209</v>
      </c>
      <c r="C3" s="1" t="s">
        <v>210</v>
      </c>
      <c r="D3" s="1" t="s">
        <v>211</v>
      </c>
      <c r="E3" s="1" t="s">
        <v>212</v>
      </c>
      <c r="F3" s="1" t="s">
        <v>213</v>
      </c>
      <c r="G3" s="1" t="s">
        <v>113</v>
      </c>
      <c r="H3" s="1" t="s">
        <v>114</v>
      </c>
      <c r="I3" s="1" t="s">
        <v>116</v>
      </c>
      <c r="J3" s="1" t="s">
        <v>189</v>
      </c>
      <c r="K3" s="1" t="s">
        <v>14</v>
      </c>
    </row>
    <row r="4" spans="1:25" ht="28" customHeight="1">
      <c r="A4" s="11">
        <v>44732</v>
      </c>
      <c r="B4" s="4"/>
      <c r="C4" s="4" t="s">
        <v>207</v>
      </c>
      <c r="D4" s="4"/>
      <c r="E4" s="4" t="s">
        <v>214</v>
      </c>
      <c r="F4" s="4" t="s">
        <v>215</v>
      </c>
      <c r="G4" s="4"/>
      <c r="H4" s="4"/>
      <c r="I4" s="4" t="s">
        <v>25</v>
      </c>
      <c r="J4" s="11">
        <v>46223</v>
      </c>
      <c r="K4" s="4" t="s">
        <v>216</v>
      </c>
    </row>
    <row r="5" spans="1:25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25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5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5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</sheetData>
  <mergeCells count="1">
    <mergeCell ref="A1:K1"/>
  </mergeCells>
  <conditionalFormatting sqref="K4:K83">
    <cfRule type="expression" dxfId="44" priority="1">
      <formula>K4="Green"</formula>
    </cfRule>
    <cfRule type="expression" dxfId="43" priority="2">
      <formula>K4="Yellow"</formula>
    </cfRule>
    <cfRule type="expression" dxfId="42" priority="3">
      <formula>K4="Orange"</formula>
    </cfRule>
    <cfRule type="expression" dxfId="41" priority="4">
      <formula>K4="Red"</formula>
    </cfRule>
    <cfRule type="expression" dxfId="40" priority="5">
      <formula>K4="Grey"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3"/>
  <sheetViews>
    <sheetView topLeftCell="D1" workbookViewId="0">
      <selection activeCell="J5" sqref="J5"/>
    </sheetView>
  </sheetViews>
  <sheetFormatPr defaultRowHeight="14"/>
  <cols>
    <col min="1" max="5" width="16" customWidth="1"/>
    <col min="6" max="10" width="20" customWidth="1"/>
  </cols>
  <sheetData>
    <row r="1" spans="1:26" ht="20" customHeight="1">
      <c r="A1" s="13" t="s">
        <v>217</v>
      </c>
      <c r="B1" s="14"/>
      <c r="C1" s="14"/>
      <c r="D1" s="14"/>
      <c r="E1" s="14"/>
      <c r="F1" s="14"/>
      <c r="G1" s="14"/>
      <c r="H1" s="14"/>
      <c r="I1" s="14"/>
      <c r="J1" s="1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</v>
      </c>
      <c r="B3" s="1" t="s">
        <v>218</v>
      </c>
      <c r="C3" s="1" t="s">
        <v>219</v>
      </c>
      <c r="D3" s="1" t="s">
        <v>220</v>
      </c>
      <c r="E3" s="1" t="s">
        <v>221</v>
      </c>
      <c r="F3" s="1" t="s">
        <v>222</v>
      </c>
      <c r="G3" s="1" t="s">
        <v>223</v>
      </c>
      <c r="H3" s="1" t="s">
        <v>224</v>
      </c>
      <c r="I3" s="1" t="s">
        <v>225</v>
      </c>
      <c r="J3" s="1" t="s">
        <v>14</v>
      </c>
    </row>
    <row r="4" spans="1:26" ht="28" customHeight="1">
      <c r="A4" s="11">
        <v>46194</v>
      </c>
      <c r="B4" s="4">
        <v>4</v>
      </c>
      <c r="C4" s="4" t="s">
        <v>226</v>
      </c>
      <c r="D4" s="4" t="s">
        <v>207</v>
      </c>
      <c r="E4" s="4" t="s">
        <v>207</v>
      </c>
      <c r="F4" s="4" t="s">
        <v>19</v>
      </c>
      <c r="G4" s="4" t="s">
        <v>227</v>
      </c>
      <c r="H4" s="4" t="s">
        <v>228</v>
      </c>
      <c r="I4" s="4"/>
      <c r="J4" s="4" t="s">
        <v>26</v>
      </c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</sheetData>
  <mergeCells count="1">
    <mergeCell ref="A1:J1"/>
  </mergeCells>
  <conditionalFormatting sqref="J4:J83">
    <cfRule type="expression" dxfId="39" priority="1">
      <formula>J4="Green"</formula>
    </cfRule>
    <cfRule type="expression" dxfId="38" priority="2">
      <formula>J4="Yellow"</formula>
    </cfRule>
    <cfRule type="expression" dxfId="37" priority="3">
      <formula>J4="Orange"</formula>
    </cfRule>
    <cfRule type="expression" dxfId="36" priority="4">
      <formula>J4="Red"</formula>
    </cfRule>
    <cfRule type="expression" dxfId="35" priority="5">
      <formula>J4="Grey"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83"/>
  <sheetViews>
    <sheetView workbookViewId="0">
      <selection sqref="A1:P1"/>
    </sheetView>
  </sheetViews>
  <sheetFormatPr defaultRowHeight="14"/>
  <cols>
    <col min="1" max="5" width="16" customWidth="1"/>
    <col min="6" max="16" width="20" customWidth="1"/>
  </cols>
  <sheetData>
    <row r="1" spans="1:26" ht="20" customHeight="1">
      <c r="A1" s="13" t="s">
        <v>229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s="1" t="s">
        <v>230</v>
      </c>
      <c r="B3" s="1" t="s">
        <v>231</v>
      </c>
      <c r="C3" s="1" t="s">
        <v>232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237</v>
      </c>
      <c r="I3" s="1" t="s">
        <v>238</v>
      </c>
      <c r="J3" s="1" t="s">
        <v>239</v>
      </c>
      <c r="K3" s="1" t="s">
        <v>240</v>
      </c>
      <c r="L3" s="1" t="s">
        <v>241</v>
      </c>
      <c r="M3" s="1" t="s">
        <v>110</v>
      </c>
      <c r="N3" s="1" t="s">
        <v>113</v>
      </c>
      <c r="O3" s="1" t="s">
        <v>114</v>
      </c>
      <c r="P3" s="1" t="s">
        <v>14</v>
      </c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</sheetData>
  <mergeCells count="1">
    <mergeCell ref="A1:P1"/>
  </mergeCells>
  <conditionalFormatting sqref="P4:P83">
    <cfRule type="expression" dxfId="34" priority="1">
      <formula>P4="Green"</formula>
    </cfRule>
    <cfRule type="expression" dxfId="33" priority="2">
      <formula>P4="Yellow"</formula>
    </cfRule>
    <cfRule type="expression" dxfId="32" priority="3">
      <formula>P4="Orange"</formula>
    </cfRule>
    <cfRule type="expression" dxfId="31" priority="4">
      <formula>P4="Red"</formula>
    </cfRule>
    <cfRule type="expression" dxfId="30" priority="5">
      <formula>P4="Grey"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83"/>
  <sheetViews>
    <sheetView workbookViewId="0">
      <selection activeCell="A14" sqref="A14"/>
    </sheetView>
  </sheetViews>
  <sheetFormatPr defaultRowHeight="14"/>
  <cols>
    <col min="1" max="5" width="16" customWidth="1"/>
    <col min="6" max="10" width="20" customWidth="1"/>
  </cols>
  <sheetData>
    <row r="1" spans="1:26" ht="20" customHeight="1">
      <c r="A1" s="13" t="s">
        <v>146</v>
      </c>
      <c r="B1" s="14"/>
      <c r="C1" s="14"/>
      <c r="D1" s="14"/>
      <c r="E1" s="14"/>
      <c r="F1" s="14"/>
      <c r="G1" s="14"/>
      <c r="H1" s="14"/>
      <c r="I1" s="14"/>
      <c r="J1" s="14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s="1" t="s">
        <v>242</v>
      </c>
      <c r="B3" s="1" t="s">
        <v>243</v>
      </c>
      <c r="C3" s="1" t="s">
        <v>231</v>
      </c>
      <c r="D3" s="1" t="s">
        <v>244</v>
      </c>
      <c r="E3" s="1" t="s">
        <v>245</v>
      </c>
      <c r="F3" s="1" t="s">
        <v>246</v>
      </c>
      <c r="G3" s="1" t="s">
        <v>247</v>
      </c>
      <c r="H3" s="1" t="s">
        <v>248</v>
      </c>
      <c r="I3" s="1" t="s">
        <v>249</v>
      </c>
      <c r="J3" s="1" t="s">
        <v>14</v>
      </c>
    </row>
    <row r="4" spans="1:26" ht="28">
      <c r="A4" s="4" t="s">
        <v>250</v>
      </c>
      <c r="B4" s="4" t="s">
        <v>251</v>
      </c>
      <c r="C4" s="4" t="s">
        <v>252</v>
      </c>
      <c r="D4" s="12">
        <v>46082</v>
      </c>
      <c r="E4" s="12"/>
      <c r="F4" s="11">
        <v>46203</v>
      </c>
      <c r="G4" s="4" t="s">
        <v>207</v>
      </c>
      <c r="H4" s="4" t="s">
        <v>253</v>
      </c>
      <c r="I4" s="4" t="s">
        <v>54</v>
      </c>
      <c r="J4" s="4" t="s">
        <v>26</v>
      </c>
    </row>
    <row r="5" spans="1:26" ht="28">
      <c r="A5" s="4" t="s">
        <v>254</v>
      </c>
      <c r="B5" s="4" t="s">
        <v>255</v>
      </c>
      <c r="C5" s="4" t="s">
        <v>252</v>
      </c>
      <c r="D5" s="12">
        <v>45717</v>
      </c>
      <c r="E5" s="12"/>
      <c r="F5" s="11">
        <v>46203</v>
      </c>
      <c r="G5" s="4" t="s">
        <v>207</v>
      </c>
      <c r="H5" s="4" t="s">
        <v>256</v>
      </c>
      <c r="I5" s="4" t="s">
        <v>54</v>
      </c>
      <c r="J5" s="4" t="s">
        <v>26</v>
      </c>
    </row>
    <row r="6" spans="1:26" ht="28">
      <c r="A6" s="4" t="s">
        <v>257</v>
      </c>
      <c r="B6" s="4" t="s">
        <v>251</v>
      </c>
      <c r="C6" s="4" t="s">
        <v>258</v>
      </c>
      <c r="D6" s="12"/>
      <c r="E6" s="12"/>
      <c r="F6" s="11">
        <v>46203</v>
      </c>
      <c r="G6" s="4" t="s">
        <v>207</v>
      </c>
      <c r="H6" s="4" t="s">
        <v>259</v>
      </c>
      <c r="I6" s="4" t="s">
        <v>54</v>
      </c>
      <c r="J6" s="4" t="s">
        <v>26</v>
      </c>
    </row>
    <row r="7" spans="1:26" ht="28">
      <c r="A7" s="4" t="s">
        <v>260</v>
      </c>
      <c r="B7" s="4" t="s">
        <v>251</v>
      </c>
      <c r="C7" s="4" t="s">
        <v>261</v>
      </c>
      <c r="D7" s="12">
        <v>46113</v>
      </c>
      <c r="E7" s="12"/>
      <c r="F7" s="11">
        <v>46203</v>
      </c>
      <c r="G7" s="4" t="s">
        <v>207</v>
      </c>
      <c r="H7" s="4" t="s">
        <v>253</v>
      </c>
      <c r="I7" s="4" t="s">
        <v>54</v>
      </c>
      <c r="J7" s="4" t="s">
        <v>26</v>
      </c>
    </row>
    <row r="8" spans="1:26" ht="28">
      <c r="A8" s="4" t="s">
        <v>262</v>
      </c>
      <c r="B8" s="4" t="s">
        <v>255</v>
      </c>
      <c r="C8" s="4" t="s">
        <v>263</v>
      </c>
      <c r="D8" s="12">
        <v>45717</v>
      </c>
      <c r="E8" s="12"/>
      <c r="F8" s="11">
        <v>46203</v>
      </c>
      <c r="G8" s="4" t="s">
        <v>207</v>
      </c>
      <c r="H8" s="4" t="s">
        <v>256</v>
      </c>
      <c r="I8" s="4" t="s">
        <v>54</v>
      </c>
      <c r="J8" s="4" t="s">
        <v>26</v>
      </c>
    </row>
    <row r="9" spans="1:26" ht="28">
      <c r="A9" s="4" t="s">
        <v>264</v>
      </c>
      <c r="B9" s="4" t="s">
        <v>251</v>
      </c>
      <c r="C9" s="4" t="s">
        <v>265</v>
      </c>
      <c r="D9" s="12">
        <v>45748</v>
      </c>
      <c r="E9" s="12"/>
      <c r="F9" s="11">
        <v>46203</v>
      </c>
      <c r="G9" s="4" t="s">
        <v>207</v>
      </c>
      <c r="H9" s="4" t="s">
        <v>266</v>
      </c>
      <c r="I9" s="4" t="s">
        <v>54</v>
      </c>
      <c r="J9" s="4" t="s">
        <v>26</v>
      </c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</sheetData>
  <mergeCells count="1">
    <mergeCell ref="A1:J1"/>
  </mergeCells>
  <conditionalFormatting sqref="J4:J83">
    <cfRule type="expression" dxfId="29" priority="1">
      <formula>J4="Green"</formula>
    </cfRule>
    <cfRule type="expression" dxfId="28" priority="2">
      <formula>J4="Yellow"</formula>
    </cfRule>
    <cfRule type="expression" dxfId="27" priority="3">
      <formula>J4="Orange"</formula>
    </cfRule>
    <cfRule type="expression" dxfId="26" priority="4">
      <formula>J4="Red"</formula>
    </cfRule>
    <cfRule type="expression" dxfId="25" priority="5">
      <formula>J4="Grey"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83"/>
  <sheetViews>
    <sheetView workbookViewId="0">
      <selection sqref="A1:L1"/>
    </sheetView>
  </sheetViews>
  <sheetFormatPr defaultRowHeight="14"/>
  <cols>
    <col min="1" max="5" width="16" customWidth="1"/>
    <col min="6" max="12" width="20" customWidth="1"/>
  </cols>
  <sheetData>
    <row r="1" spans="1:26" ht="20" customHeight="1">
      <c r="A1" s="13" t="s">
        <v>267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268</v>
      </c>
      <c r="B3" s="1" t="s">
        <v>269</v>
      </c>
      <c r="C3" s="1" t="s">
        <v>270</v>
      </c>
      <c r="D3" s="1" t="s">
        <v>271</v>
      </c>
      <c r="E3" s="1" t="s">
        <v>272</v>
      </c>
      <c r="F3" s="1" t="s">
        <v>273</v>
      </c>
      <c r="G3" s="1" t="s">
        <v>274</v>
      </c>
      <c r="H3" s="1" t="s">
        <v>275</v>
      </c>
      <c r="I3" s="1" t="s">
        <v>276</v>
      </c>
      <c r="J3" s="1" t="s">
        <v>277</v>
      </c>
      <c r="K3" s="1" t="s">
        <v>14</v>
      </c>
      <c r="L3" s="1" t="s">
        <v>55</v>
      </c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</sheetData>
  <mergeCells count="1">
    <mergeCell ref="A1:L1"/>
  </mergeCells>
  <conditionalFormatting sqref="L4:L83">
    <cfRule type="expression" dxfId="24" priority="1">
      <formula>L4="Green"</formula>
    </cfRule>
    <cfRule type="expression" dxfId="23" priority="2">
      <formula>L4="Yellow"</formula>
    </cfRule>
    <cfRule type="expression" dxfId="22" priority="3">
      <formula>L4="Orange"</formula>
    </cfRule>
    <cfRule type="expression" dxfId="21" priority="4">
      <formula>L4="Red"</formula>
    </cfRule>
    <cfRule type="expression" dxfId="20" priority="5">
      <formula>L4="Grey"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83"/>
  <sheetViews>
    <sheetView workbookViewId="0">
      <selection activeCell="D14" sqref="D14"/>
    </sheetView>
  </sheetViews>
  <sheetFormatPr defaultRowHeight="14"/>
  <cols>
    <col min="1" max="5" width="16" customWidth="1"/>
    <col min="6" max="12" width="20" customWidth="1"/>
  </cols>
  <sheetData>
    <row r="1" spans="1:26" ht="20" customHeight="1">
      <c r="A1" s="13" t="s">
        <v>278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279</v>
      </c>
      <c r="B3" s="1" t="s">
        <v>280</v>
      </c>
      <c r="C3" s="1" t="s">
        <v>281</v>
      </c>
      <c r="D3" s="1" t="s">
        <v>282</v>
      </c>
      <c r="E3" s="1" t="s">
        <v>283</v>
      </c>
      <c r="F3" s="1" t="s">
        <v>284</v>
      </c>
      <c r="G3" s="1" t="s">
        <v>285</v>
      </c>
      <c r="H3" s="1" t="s">
        <v>286</v>
      </c>
      <c r="I3" s="1" t="s">
        <v>287</v>
      </c>
      <c r="J3" s="1" t="s">
        <v>12</v>
      </c>
      <c r="K3" s="1" t="s">
        <v>288</v>
      </c>
      <c r="L3" s="1" t="s">
        <v>14</v>
      </c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</sheetData>
  <mergeCells count="1">
    <mergeCell ref="A1:L1"/>
  </mergeCells>
  <conditionalFormatting sqref="L4:L83">
    <cfRule type="expression" dxfId="19" priority="1">
      <formula>L4="Green"</formula>
    </cfRule>
    <cfRule type="expression" dxfId="18" priority="2">
      <formula>L4="Yellow"</formula>
    </cfRule>
    <cfRule type="expression" dxfId="17" priority="3">
      <formula>L4="Orange"</formula>
    </cfRule>
    <cfRule type="expression" dxfId="16" priority="4">
      <formula>L4="Red"</formula>
    </cfRule>
    <cfRule type="expression" dxfId="15" priority="5">
      <formula>L4="Grey"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83"/>
  <sheetViews>
    <sheetView workbookViewId="0">
      <selection sqref="A1:M1"/>
    </sheetView>
  </sheetViews>
  <sheetFormatPr defaultRowHeight="14"/>
  <cols>
    <col min="1" max="5" width="16" customWidth="1"/>
    <col min="6" max="13" width="20" customWidth="1"/>
  </cols>
  <sheetData>
    <row r="1" spans="1:26" ht="20" customHeight="1">
      <c r="A1" s="13" t="s">
        <v>289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</v>
      </c>
      <c r="B3" s="1" t="s">
        <v>290</v>
      </c>
      <c r="C3" s="1" t="s">
        <v>107</v>
      </c>
      <c r="D3" s="1" t="s">
        <v>291</v>
      </c>
      <c r="E3" s="1" t="s">
        <v>292</v>
      </c>
      <c r="F3" s="1" t="s">
        <v>293</v>
      </c>
      <c r="G3" s="1" t="s">
        <v>294</v>
      </c>
      <c r="H3" s="1" t="s">
        <v>295</v>
      </c>
      <c r="I3" s="1" t="s">
        <v>112</v>
      </c>
      <c r="J3" s="1" t="s">
        <v>113</v>
      </c>
      <c r="K3" s="1" t="s">
        <v>114</v>
      </c>
      <c r="L3" s="1" t="s">
        <v>116</v>
      </c>
      <c r="M3" s="1" t="s">
        <v>14</v>
      </c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</sheetData>
  <mergeCells count="1">
    <mergeCell ref="A1:M1"/>
  </mergeCells>
  <conditionalFormatting sqref="M4:M83">
    <cfRule type="expression" dxfId="14" priority="1">
      <formula>M4="Green"</formula>
    </cfRule>
    <cfRule type="expression" dxfId="13" priority="2">
      <formula>M4="Yellow"</formula>
    </cfRule>
    <cfRule type="expression" dxfId="12" priority="3">
      <formula>M4="Orange"</formula>
    </cfRule>
    <cfRule type="expression" dxfId="11" priority="4">
      <formula>M4="Red"</formula>
    </cfRule>
    <cfRule type="expression" dxfId="10" priority="5">
      <formula>M4="Grey"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83"/>
  <sheetViews>
    <sheetView workbookViewId="0">
      <selection sqref="A1:K1"/>
    </sheetView>
  </sheetViews>
  <sheetFormatPr defaultRowHeight="14"/>
  <cols>
    <col min="1" max="5" width="16" customWidth="1"/>
    <col min="6" max="11" width="20" customWidth="1"/>
  </cols>
  <sheetData>
    <row r="1" spans="1:26" ht="20" customHeight="1">
      <c r="A1" s="13" t="s">
        <v>296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297</v>
      </c>
      <c r="B3" s="1" t="s">
        <v>298</v>
      </c>
      <c r="C3" s="1" t="s">
        <v>299</v>
      </c>
      <c r="D3" s="1" t="s">
        <v>300</v>
      </c>
      <c r="E3" s="1" t="s">
        <v>301</v>
      </c>
      <c r="F3" s="1" t="s">
        <v>302</v>
      </c>
      <c r="G3" s="1" t="s">
        <v>303</v>
      </c>
      <c r="H3" s="1" t="s">
        <v>202</v>
      </c>
      <c r="I3" s="1" t="s">
        <v>304</v>
      </c>
      <c r="J3" s="1" t="s">
        <v>305</v>
      </c>
      <c r="K3" s="1" t="s">
        <v>41</v>
      </c>
    </row>
    <row r="4" spans="1:26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26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26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26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26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  <row r="9" spans="1:26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26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26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</row>
    <row r="12" spans="1:26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26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26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26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2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</sheetData>
  <mergeCells count="1">
    <mergeCell ref="A1:K1"/>
  </mergeCells>
  <conditionalFormatting sqref="K4:K83">
    <cfRule type="expression" dxfId="9" priority="1">
      <formula>K4="Green"</formula>
    </cfRule>
    <cfRule type="expression" dxfId="8" priority="2">
      <formula>K4="Yellow"</formula>
    </cfRule>
    <cfRule type="expression" dxfId="7" priority="3">
      <formula>K4="Orange"</formula>
    </cfRule>
    <cfRule type="expression" dxfId="6" priority="4">
      <formula>K4="Red"</formula>
    </cfRule>
    <cfRule type="expression" dxfId="5" priority="5">
      <formula>K4="Grey"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0"/>
  <sheetViews>
    <sheetView tabSelected="1" workbookViewId="0">
      <selection activeCell="A4" sqref="A4"/>
    </sheetView>
  </sheetViews>
  <sheetFormatPr defaultRowHeight="14"/>
  <cols>
    <col min="1" max="1" width="12" customWidth="1"/>
    <col min="2" max="2" width="15" customWidth="1"/>
    <col min="3" max="4" width="30" customWidth="1"/>
    <col min="5" max="5" width="26" customWidth="1"/>
    <col min="6" max="6" width="20" customWidth="1"/>
    <col min="7" max="7" width="16" customWidth="1"/>
    <col min="8" max="10" width="14" customWidth="1"/>
    <col min="11" max="11" width="12" customWidth="1"/>
    <col min="12" max="12" width="38" customWidth="1"/>
  </cols>
  <sheetData>
    <row r="1" spans="1:26" ht="20" customHeight="1">
      <c r="A1" s="13" t="s">
        <v>306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 ht="28" customHeight="1">
      <c r="A3" s="1" t="s">
        <v>106</v>
      </c>
      <c r="B3" s="1" t="s">
        <v>307</v>
      </c>
      <c r="C3" s="1" t="s">
        <v>308</v>
      </c>
      <c r="D3" s="1" t="s">
        <v>309</v>
      </c>
      <c r="E3" s="1" t="s">
        <v>310</v>
      </c>
      <c r="F3" s="1" t="s">
        <v>54</v>
      </c>
      <c r="G3" s="1" t="s">
        <v>311</v>
      </c>
      <c r="H3" s="1" t="s">
        <v>275</v>
      </c>
      <c r="I3" s="1" t="s">
        <v>276</v>
      </c>
      <c r="J3" s="1" t="s">
        <v>53</v>
      </c>
      <c r="K3" s="1" t="s">
        <v>14</v>
      </c>
      <c r="L3" s="1" t="s">
        <v>55</v>
      </c>
    </row>
    <row r="4" spans="1:26">
      <c r="A4" t="s">
        <v>312</v>
      </c>
      <c r="B4" t="s">
        <v>313</v>
      </c>
      <c r="C4" t="s">
        <v>314</v>
      </c>
      <c r="D4" t="s">
        <v>315</v>
      </c>
      <c r="E4" t="s">
        <v>316</v>
      </c>
      <c r="F4" t="s">
        <v>71</v>
      </c>
      <c r="G4" t="s">
        <v>100</v>
      </c>
      <c r="H4" s="2"/>
      <c r="I4" s="2"/>
      <c r="J4" t="str">
        <f t="shared" ref="J4:J20" ca="1" si="0">IF(I4="","Missing",IF(I4&lt;TODAY(),"Overdue",IF(I4&lt;=TODAY()+30,"Due Soon","Current")))</f>
        <v>Missing</v>
      </c>
      <c r="K4" t="str">
        <f t="shared" ref="K4:K20" ca="1" si="1">IF(J4="Current","Green",IF(J4="Due Soon","Yellow","Red"))</f>
        <v>Red</v>
      </c>
      <c r="L4" t="s">
        <v>317</v>
      </c>
    </row>
    <row r="5" spans="1:26">
      <c r="A5" t="s">
        <v>318</v>
      </c>
      <c r="B5" t="s">
        <v>313</v>
      </c>
      <c r="C5" t="s">
        <v>319</v>
      </c>
      <c r="D5" t="s">
        <v>315</v>
      </c>
      <c r="E5" t="s">
        <v>316</v>
      </c>
      <c r="F5" t="s">
        <v>71</v>
      </c>
      <c r="G5" t="s">
        <v>320</v>
      </c>
      <c r="H5" s="2"/>
      <c r="I5" s="2"/>
      <c r="J5" t="str">
        <f t="shared" ca="1" si="0"/>
        <v>Missing</v>
      </c>
      <c r="K5" t="str">
        <f t="shared" ca="1" si="1"/>
        <v>Red</v>
      </c>
      <c r="L5" t="s">
        <v>317</v>
      </c>
    </row>
    <row r="6" spans="1:26">
      <c r="A6" t="s">
        <v>321</v>
      </c>
      <c r="B6" t="s">
        <v>313</v>
      </c>
      <c r="C6" t="s">
        <v>322</v>
      </c>
      <c r="D6" t="s">
        <v>315</v>
      </c>
      <c r="E6" t="s">
        <v>316</v>
      </c>
      <c r="F6" t="s">
        <v>71</v>
      </c>
      <c r="G6" t="s">
        <v>320</v>
      </c>
      <c r="H6" s="2"/>
      <c r="I6" s="2"/>
      <c r="J6" t="str">
        <f t="shared" ca="1" si="0"/>
        <v>Missing</v>
      </c>
      <c r="K6" t="str">
        <f t="shared" ca="1" si="1"/>
        <v>Red</v>
      </c>
      <c r="L6" t="s">
        <v>317</v>
      </c>
    </row>
    <row r="7" spans="1:26">
      <c r="A7" t="s">
        <v>323</v>
      </c>
      <c r="B7" t="s">
        <v>313</v>
      </c>
      <c r="C7" t="s">
        <v>324</v>
      </c>
      <c r="D7" t="s">
        <v>315</v>
      </c>
      <c r="E7" t="s">
        <v>316</v>
      </c>
      <c r="F7" t="s">
        <v>71</v>
      </c>
      <c r="G7" t="s">
        <v>100</v>
      </c>
      <c r="H7" s="2"/>
      <c r="I7" s="2"/>
      <c r="J7" t="str">
        <f t="shared" ca="1" si="0"/>
        <v>Missing</v>
      </c>
      <c r="K7" t="str">
        <f t="shared" ca="1" si="1"/>
        <v>Red</v>
      </c>
      <c r="L7" t="s">
        <v>317</v>
      </c>
    </row>
    <row r="8" spans="1:26">
      <c r="A8" t="s">
        <v>325</v>
      </c>
      <c r="B8" t="s">
        <v>313</v>
      </c>
      <c r="C8" t="s">
        <v>326</v>
      </c>
      <c r="D8" t="s">
        <v>315</v>
      </c>
      <c r="E8" t="s">
        <v>316</v>
      </c>
      <c r="F8" t="s">
        <v>71</v>
      </c>
      <c r="G8" t="s">
        <v>100</v>
      </c>
      <c r="H8" s="2"/>
      <c r="I8" s="2"/>
      <c r="J8" t="str">
        <f t="shared" ca="1" si="0"/>
        <v>Missing</v>
      </c>
      <c r="K8" t="str">
        <f t="shared" ca="1" si="1"/>
        <v>Red</v>
      </c>
      <c r="L8" t="s">
        <v>317</v>
      </c>
    </row>
    <row r="9" spans="1:26">
      <c r="A9" t="s">
        <v>327</v>
      </c>
      <c r="B9" t="s">
        <v>313</v>
      </c>
      <c r="C9" t="s">
        <v>328</v>
      </c>
      <c r="D9" t="s">
        <v>315</v>
      </c>
      <c r="E9" t="s">
        <v>316</v>
      </c>
      <c r="F9" t="s">
        <v>71</v>
      </c>
      <c r="G9" t="s">
        <v>320</v>
      </c>
      <c r="H9" s="2"/>
      <c r="I9" s="2"/>
      <c r="J9" t="str">
        <f t="shared" ca="1" si="0"/>
        <v>Missing</v>
      </c>
      <c r="K9" t="str">
        <f t="shared" ca="1" si="1"/>
        <v>Red</v>
      </c>
      <c r="L9" t="s">
        <v>317</v>
      </c>
    </row>
    <row r="10" spans="1:26">
      <c r="A10" t="s">
        <v>329</v>
      </c>
      <c r="B10" t="s">
        <v>313</v>
      </c>
      <c r="C10" t="s">
        <v>330</v>
      </c>
      <c r="D10" t="s">
        <v>315</v>
      </c>
      <c r="E10" t="s">
        <v>316</v>
      </c>
      <c r="F10" t="s">
        <v>71</v>
      </c>
      <c r="G10" t="s">
        <v>100</v>
      </c>
      <c r="H10" s="2"/>
      <c r="I10" s="2"/>
      <c r="J10" t="str">
        <f t="shared" ca="1" si="0"/>
        <v>Missing</v>
      </c>
      <c r="K10" t="str">
        <f t="shared" ca="1" si="1"/>
        <v>Red</v>
      </c>
      <c r="L10" t="s">
        <v>317</v>
      </c>
    </row>
    <row r="11" spans="1:26">
      <c r="A11" t="s">
        <v>331</v>
      </c>
      <c r="B11" t="s">
        <v>313</v>
      </c>
      <c r="C11" t="s">
        <v>332</v>
      </c>
      <c r="D11" t="s">
        <v>315</v>
      </c>
      <c r="E11" t="s">
        <v>316</v>
      </c>
      <c r="F11" t="s">
        <v>71</v>
      </c>
      <c r="G11" t="s">
        <v>100</v>
      </c>
      <c r="H11" s="2"/>
      <c r="I11" s="2"/>
      <c r="J11" t="str">
        <f t="shared" ca="1" si="0"/>
        <v>Missing</v>
      </c>
      <c r="K11" t="str">
        <f t="shared" ca="1" si="1"/>
        <v>Red</v>
      </c>
      <c r="L11" t="s">
        <v>317</v>
      </c>
    </row>
    <row r="12" spans="1:26">
      <c r="A12" t="s">
        <v>333</v>
      </c>
      <c r="B12" t="s">
        <v>313</v>
      </c>
      <c r="C12" t="s">
        <v>267</v>
      </c>
      <c r="D12" t="s">
        <v>315</v>
      </c>
      <c r="E12" t="s">
        <v>316</v>
      </c>
      <c r="F12" t="s">
        <v>71</v>
      </c>
      <c r="G12" t="s">
        <v>100</v>
      </c>
      <c r="H12" s="2"/>
      <c r="I12" s="2"/>
      <c r="J12" t="str">
        <f t="shared" ca="1" si="0"/>
        <v>Missing</v>
      </c>
      <c r="K12" t="str">
        <f t="shared" ca="1" si="1"/>
        <v>Red</v>
      </c>
      <c r="L12" t="s">
        <v>317</v>
      </c>
    </row>
    <row r="13" spans="1:26">
      <c r="A13" t="s">
        <v>334</v>
      </c>
      <c r="B13" t="s">
        <v>313</v>
      </c>
      <c r="C13" t="s">
        <v>335</v>
      </c>
      <c r="D13" t="s">
        <v>315</v>
      </c>
      <c r="E13" t="s">
        <v>316</v>
      </c>
      <c r="F13" t="s">
        <v>71</v>
      </c>
      <c r="G13" t="s">
        <v>100</v>
      </c>
      <c r="H13" s="2"/>
      <c r="I13" s="2"/>
      <c r="J13" t="str">
        <f t="shared" ca="1" si="0"/>
        <v>Missing</v>
      </c>
      <c r="K13" t="str">
        <f t="shared" ca="1" si="1"/>
        <v>Red</v>
      </c>
      <c r="L13" t="s">
        <v>317</v>
      </c>
    </row>
    <row r="14" spans="1:26">
      <c r="A14" t="s">
        <v>336</v>
      </c>
      <c r="B14" t="s">
        <v>313</v>
      </c>
      <c r="C14" t="s">
        <v>337</v>
      </c>
      <c r="D14" t="s">
        <v>315</v>
      </c>
      <c r="E14" t="s">
        <v>316</v>
      </c>
      <c r="F14" t="s">
        <v>71</v>
      </c>
      <c r="G14" t="s">
        <v>320</v>
      </c>
      <c r="H14" s="2"/>
      <c r="I14" s="2"/>
      <c r="J14" t="str">
        <f t="shared" ca="1" si="0"/>
        <v>Missing</v>
      </c>
      <c r="K14" t="str">
        <f t="shared" ca="1" si="1"/>
        <v>Red</v>
      </c>
      <c r="L14" t="s">
        <v>317</v>
      </c>
    </row>
    <row r="15" spans="1:26">
      <c r="A15" t="s">
        <v>338</v>
      </c>
      <c r="B15" t="s">
        <v>313</v>
      </c>
      <c r="C15" t="s">
        <v>339</v>
      </c>
      <c r="D15" t="s">
        <v>315</v>
      </c>
      <c r="E15" t="s">
        <v>316</v>
      </c>
      <c r="F15" t="s">
        <v>71</v>
      </c>
      <c r="G15" t="s">
        <v>100</v>
      </c>
      <c r="H15" s="2"/>
      <c r="I15" s="2"/>
      <c r="J15" t="str">
        <f t="shared" ca="1" si="0"/>
        <v>Missing</v>
      </c>
      <c r="K15" t="str">
        <f t="shared" ca="1" si="1"/>
        <v>Red</v>
      </c>
      <c r="L15" t="s">
        <v>317</v>
      </c>
    </row>
    <row r="16" spans="1:26">
      <c r="A16" t="s">
        <v>340</v>
      </c>
      <c r="B16" t="s">
        <v>313</v>
      </c>
      <c r="C16" t="s">
        <v>341</v>
      </c>
      <c r="D16" t="s">
        <v>315</v>
      </c>
      <c r="E16" t="s">
        <v>316</v>
      </c>
      <c r="F16" t="s">
        <v>71</v>
      </c>
      <c r="G16" t="s">
        <v>100</v>
      </c>
      <c r="H16" s="2"/>
      <c r="I16" s="2"/>
      <c r="J16" t="str">
        <f t="shared" ca="1" si="0"/>
        <v>Missing</v>
      </c>
      <c r="K16" t="str">
        <f t="shared" ca="1" si="1"/>
        <v>Red</v>
      </c>
      <c r="L16" t="s">
        <v>317</v>
      </c>
    </row>
    <row r="17" spans="1:12">
      <c r="A17" t="s">
        <v>342</v>
      </c>
      <c r="B17" t="s">
        <v>313</v>
      </c>
      <c r="C17" t="s">
        <v>343</v>
      </c>
      <c r="D17" t="s">
        <v>315</v>
      </c>
      <c r="E17" t="s">
        <v>316</v>
      </c>
      <c r="F17" t="s">
        <v>71</v>
      </c>
      <c r="G17" t="s">
        <v>100</v>
      </c>
      <c r="H17" s="2"/>
      <c r="I17" s="2"/>
      <c r="J17" t="str">
        <f t="shared" ca="1" si="0"/>
        <v>Missing</v>
      </c>
      <c r="K17" t="str">
        <f t="shared" ca="1" si="1"/>
        <v>Red</v>
      </c>
      <c r="L17" t="s">
        <v>317</v>
      </c>
    </row>
    <row r="18" spans="1:12">
      <c r="A18" t="s">
        <v>344</v>
      </c>
      <c r="B18" t="s">
        <v>313</v>
      </c>
      <c r="C18" t="s">
        <v>345</v>
      </c>
      <c r="D18" t="s">
        <v>315</v>
      </c>
      <c r="E18" t="s">
        <v>316</v>
      </c>
      <c r="F18" t="s">
        <v>71</v>
      </c>
      <c r="G18" t="s">
        <v>100</v>
      </c>
      <c r="H18" s="2"/>
      <c r="I18" s="2"/>
      <c r="J18" t="str">
        <f t="shared" ca="1" si="0"/>
        <v>Missing</v>
      </c>
      <c r="K18" t="str">
        <f t="shared" ca="1" si="1"/>
        <v>Red</v>
      </c>
      <c r="L18" t="s">
        <v>317</v>
      </c>
    </row>
    <row r="19" spans="1:12">
      <c r="A19" t="s">
        <v>346</v>
      </c>
      <c r="B19" t="s">
        <v>313</v>
      </c>
      <c r="C19" t="s">
        <v>347</v>
      </c>
      <c r="D19" t="s">
        <v>315</v>
      </c>
      <c r="E19" t="s">
        <v>316</v>
      </c>
      <c r="F19" t="s">
        <v>71</v>
      </c>
      <c r="G19" t="s">
        <v>100</v>
      </c>
      <c r="H19" s="2"/>
      <c r="I19" s="2"/>
      <c r="J19" t="str">
        <f t="shared" ca="1" si="0"/>
        <v>Missing</v>
      </c>
      <c r="K19" t="str">
        <f t="shared" ca="1" si="1"/>
        <v>Red</v>
      </c>
      <c r="L19" t="s">
        <v>317</v>
      </c>
    </row>
    <row r="20" spans="1:12">
      <c r="A20" t="s">
        <v>348</v>
      </c>
      <c r="B20" t="s">
        <v>313</v>
      </c>
      <c r="C20" t="s">
        <v>349</v>
      </c>
      <c r="D20" t="s">
        <v>315</v>
      </c>
      <c r="E20" t="s">
        <v>316</v>
      </c>
      <c r="F20" t="s">
        <v>71</v>
      </c>
      <c r="G20" t="s">
        <v>320</v>
      </c>
      <c r="H20" s="2"/>
      <c r="I20" s="2"/>
      <c r="J20" t="str">
        <f t="shared" ca="1" si="0"/>
        <v>Missing</v>
      </c>
      <c r="K20" t="str">
        <f t="shared" ca="1" si="1"/>
        <v>Red</v>
      </c>
      <c r="L20" t="s">
        <v>317</v>
      </c>
    </row>
  </sheetData>
  <mergeCells count="1">
    <mergeCell ref="A1:L1"/>
  </mergeCells>
  <conditionalFormatting sqref="K4:K20">
    <cfRule type="expression" dxfId="4" priority="1">
      <formula>K4="Green"</formula>
    </cfRule>
    <cfRule type="expression" dxfId="3" priority="2">
      <formula>K4="Yellow"</formula>
    </cfRule>
    <cfRule type="expression" dxfId="2" priority="3">
      <formula>K4="Orange"</formula>
    </cfRule>
    <cfRule type="expression" dxfId="1" priority="4">
      <formula>K4="Red"</formula>
    </cfRule>
    <cfRule type="expression" dxfId="0" priority="5">
      <formula>K4="Grey"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8"/>
  <sheetViews>
    <sheetView workbookViewId="0">
      <selection sqref="A1:F1"/>
    </sheetView>
  </sheetViews>
  <sheetFormatPr defaultRowHeight="14"/>
  <cols>
    <col min="1" max="6" width="20" customWidth="1"/>
  </cols>
  <sheetData>
    <row r="1" spans="1:26" ht="20" customHeight="1">
      <c r="A1" s="16" t="s">
        <v>53</v>
      </c>
      <c r="B1" s="14"/>
      <c r="C1" s="14"/>
      <c r="D1" s="14"/>
      <c r="E1" s="14"/>
      <c r="F1" s="14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>
      <c r="A2" t="s">
        <v>137</v>
      </c>
      <c r="B2" t="s">
        <v>350</v>
      </c>
      <c r="C2" t="s">
        <v>216</v>
      </c>
      <c r="D2" t="s">
        <v>207</v>
      </c>
      <c r="E2" t="s">
        <v>351</v>
      </c>
      <c r="F2" t="s">
        <v>352</v>
      </c>
    </row>
    <row r="3" spans="1:26">
      <c r="A3" t="s">
        <v>124</v>
      </c>
      <c r="B3" t="s">
        <v>120</v>
      </c>
      <c r="C3" t="s">
        <v>353</v>
      </c>
      <c r="D3" t="s">
        <v>214</v>
      </c>
      <c r="E3" t="s">
        <v>354</v>
      </c>
      <c r="F3" t="s">
        <v>142</v>
      </c>
    </row>
    <row r="4" spans="1:26">
      <c r="A4" t="s">
        <v>355</v>
      </c>
      <c r="B4" t="s">
        <v>142</v>
      </c>
      <c r="C4" t="s">
        <v>356</v>
      </c>
      <c r="D4" t="s">
        <v>357</v>
      </c>
      <c r="E4" t="s">
        <v>358</v>
      </c>
      <c r="F4" t="s">
        <v>120</v>
      </c>
    </row>
    <row r="5" spans="1:26">
      <c r="A5" t="s">
        <v>130</v>
      </c>
      <c r="B5" t="s">
        <v>352</v>
      </c>
      <c r="C5" t="s">
        <v>26</v>
      </c>
      <c r="E5" t="s">
        <v>359</v>
      </c>
      <c r="F5" t="s">
        <v>360</v>
      </c>
    </row>
    <row r="6" spans="1:26">
      <c r="A6" t="s">
        <v>361</v>
      </c>
      <c r="C6" t="s">
        <v>362</v>
      </c>
      <c r="E6" t="s">
        <v>363</v>
      </c>
    </row>
    <row r="7" spans="1:26">
      <c r="A7" t="s">
        <v>364</v>
      </c>
    </row>
    <row r="8" spans="1:26">
      <c r="A8" t="s">
        <v>365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Renewal Register</vt:lpstr>
      <vt:lpstr>Fire Action Plan</vt:lpstr>
      <vt:lpstr>Fire Marshal Training</vt:lpstr>
      <vt:lpstr>Fire Training Matrix</vt:lpstr>
      <vt:lpstr>Fire Drill Register</vt:lpstr>
      <vt:lpstr>Drill Evaluation</vt:lpstr>
      <vt:lpstr>Emergency Lighting</vt:lpstr>
      <vt:lpstr>Fire Alarm Tests</vt:lpstr>
      <vt:lpstr>Fire Door Register</vt:lpstr>
      <vt:lpstr>Fire Equipment</vt:lpstr>
      <vt:lpstr>PEEP Register</vt:lpstr>
      <vt:lpstr>Weekly Fire Audit</vt:lpstr>
      <vt:lpstr>Incident False Alarm</vt:lpstr>
      <vt:lpstr>Management Review</vt:lpstr>
      <vt:lpstr>Reg Evidence Index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Dursha Krishan</dc:creator>
  <cp:lastModifiedBy>Dursha Krishan</cp:lastModifiedBy>
  <dcterms:created xsi:type="dcterms:W3CDTF">2026-06-28T19:48:19Z</dcterms:created>
  <dcterms:modified xsi:type="dcterms:W3CDTF">2026-06-30T17:01:03Z</dcterms:modified>
</cp:coreProperties>
</file>