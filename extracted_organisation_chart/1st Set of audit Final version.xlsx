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DurshaKrishan\Desktop\Tracker\"/>
    </mc:Choice>
  </mc:AlternateContent>
  <xr:revisionPtr revIDLastSave="0" documentId="8_{FCB31E48-4E4B-457A-BD1A-AC6EE36E268E}" xr6:coauthVersionLast="47" xr6:coauthVersionMax="47" xr10:uidLastSave="{00000000-0000-0000-0000-000000000000}"/>
  <bookViews>
    <workbookView xWindow="-110" yWindow="-110" windowWidth="19420" windowHeight="11500" firstSheet="7" activeTab="11" xr2:uid="{00000000-000D-0000-FFFF-FFFF00000000}"/>
  </bookViews>
  <sheets>
    <sheet name="How to Use" sheetId="1" r:id="rId1"/>
    <sheet name="Annual Audit Schedule" sheetId="2" r:id="rId2"/>
    <sheet name="Missing Audits Dashboard" sheetId="3" r:id="rId3"/>
    <sheet name="Master Action Tracker" sheetId="4" r:id="rId4"/>
    <sheet name="Inspection Evidence Matrix" sheetId="5" r:id="rId5"/>
    <sheet name="Equipment &amp; Maintenance" sheetId="6" r:id="rId6"/>
    <sheet name="Water &amp; Legionella" sheetId="7" r:id="rId7"/>
    <sheet name="Infection Surveillance" sheetId="8" r:id="rId8"/>
    <sheet name="Resident Dignity" sheetId="9" r:id="rId9"/>
    <sheet name="Personnel &amp; Workforce" sheetId="10" r:id="rId10"/>
    <sheet name="Environmental" sheetId="11" r:id="rId11"/>
    <sheet name="Nutrition &amp; Hydration" sheetId="12" r:id="rId12"/>
    <sheet name="Safeguarding &amp; Incidents" sheetId="13" r:id="rId13"/>
    <sheet name="Business Continuity" sheetId="14" r:id="rId14"/>
    <sheet name="End of Life" sheetId="15" r:id="rId15"/>
    <sheet name="Finance &amp; Property" sheetId="16" r:id="rId16"/>
    <sheet name="Consent &amp; Documentation" sheetId="17" r:id="rId17"/>
    <sheet name="Falls Audit" sheetId="18" r:id="rId18"/>
    <sheet name="Pressure Cushion Audit" sheetId="19" r:id="rId19"/>
    <sheet name="Controlled Drugs Audit" sheetId="20" r:id="rId20"/>
    <sheet name="PRN Protocol Audit" sheetId="21" r:id="rId21"/>
    <sheet name="Homely Remedies Audit" sheetId="22" r:id="rId22"/>
    <sheet name="Medication Fridge Audit" sheetId="23" r:id="rId23"/>
  </sheets>
  <definedNames>
    <definedName name="_xlnm._FilterDatabase" localSheetId="1" hidden="1">'Annual Audit Schedule'!$A$3:$H$15</definedName>
    <definedName name="_xlnm._FilterDatabase" localSheetId="13" hidden="1">'Business Continuity'!$A$4:$O$16</definedName>
    <definedName name="_xlnm._FilterDatabase" localSheetId="16" hidden="1">'Consent &amp; Documentation'!$A$4:$O$16</definedName>
    <definedName name="_xlnm._FilterDatabase" localSheetId="14" hidden="1">'End of Life'!$A$4:$O$16</definedName>
    <definedName name="_xlnm._FilterDatabase" localSheetId="10" hidden="1">Environmental!$A$4:$O$16</definedName>
    <definedName name="_xlnm._FilterDatabase" localSheetId="5" hidden="1">'Equipment &amp; Maintenance'!$A$4:$O$56</definedName>
    <definedName name="_xlnm._FilterDatabase" localSheetId="15" hidden="1">'Finance &amp; Property'!$A$4:$O$16</definedName>
    <definedName name="_xlnm._FilterDatabase" localSheetId="7" hidden="1">'Infection Surveillance'!$A$4:$O$56</definedName>
    <definedName name="_xlnm._FilterDatabase" localSheetId="11" hidden="1">'Nutrition &amp; Hydration'!$A$4:$O$16</definedName>
    <definedName name="_xlnm._FilterDatabase" localSheetId="9" hidden="1">'Personnel &amp; Workforce'!$A$4:$O$16</definedName>
    <definedName name="_xlnm._FilterDatabase" localSheetId="8" hidden="1">'Resident Dignity'!$A$4:$O$16</definedName>
    <definedName name="_xlnm._FilterDatabase" localSheetId="12" hidden="1">'Safeguarding &amp; Incidents'!$A$4:$O$16</definedName>
    <definedName name="_xlnm._FilterDatabase" localSheetId="6" hidden="1">'Water &amp; Legionella'!$A$4:$O$56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74" i="23" l="1"/>
  <c r="U173" i="23"/>
  <c r="U172" i="23"/>
  <c r="U171" i="23"/>
  <c r="U170" i="23"/>
  <c r="U169" i="23"/>
  <c r="U168" i="23"/>
  <c r="U167" i="23"/>
  <c r="U161" i="23"/>
  <c r="U160" i="23"/>
  <c r="U159" i="23"/>
  <c r="U158" i="23"/>
  <c r="U157" i="23"/>
  <c r="U156" i="23"/>
  <c r="U155" i="23"/>
  <c r="U154" i="23"/>
  <c r="U148" i="23"/>
  <c r="U147" i="23"/>
  <c r="U146" i="23"/>
  <c r="U145" i="23"/>
  <c r="U144" i="23"/>
  <c r="U143" i="23"/>
  <c r="U142" i="23"/>
  <c r="U141" i="23"/>
  <c r="U135" i="23"/>
  <c r="U134" i="23"/>
  <c r="U133" i="23"/>
  <c r="U132" i="23"/>
  <c r="U131" i="23"/>
  <c r="U130" i="23"/>
  <c r="U129" i="23"/>
  <c r="U128" i="23"/>
  <c r="U122" i="23"/>
  <c r="U121" i="23"/>
  <c r="U120" i="23"/>
  <c r="U119" i="23"/>
  <c r="U118" i="23"/>
  <c r="U117" i="23"/>
  <c r="U116" i="23"/>
  <c r="U115" i="23"/>
  <c r="U109" i="23"/>
  <c r="U108" i="23"/>
  <c r="U107" i="23"/>
  <c r="U106" i="23"/>
  <c r="U105" i="23"/>
  <c r="U104" i="23"/>
  <c r="U103" i="23"/>
  <c r="U102" i="23"/>
  <c r="U96" i="23"/>
  <c r="U95" i="23"/>
  <c r="U94" i="23"/>
  <c r="U93" i="23"/>
  <c r="U92" i="23"/>
  <c r="U91" i="23"/>
  <c r="U90" i="23"/>
  <c r="U89" i="23"/>
  <c r="U83" i="23"/>
  <c r="U82" i="23"/>
  <c r="U81" i="23"/>
  <c r="U80" i="23"/>
  <c r="U79" i="23"/>
  <c r="U78" i="23"/>
  <c r="U77" i="23"/>
  <c r="U76" i="23"/>
  <c r="U70" i="23"/>
  <c r="U69" i="23"/>
  <c r="U68" i="23"/>
  <c r="U67" i="23"/>
  <c r="U66" i="23"/>
  <c r="U65" i="23"/>
  <c r="U64" i="23"/>
  <c r="U63" i="23"/>
  <c r="U57" i="23"/>
  <c r="U56" i="23"/>
  <c r="U55" i="23"/>
  <c r="U54" i="23"/>
  <c r="U53" i="23"/>
  <c r="U52" i="23"/>
  <c r="U51" i="23"/>
  <c r="U50" i="23"/>
  <c r="U44" i="23"/>
  <c r="U43" i="23"/>
  <c r="U42" i="23"/>
  <c r="U41" i="23"/>
  <c r="U40" i="23"/>
  <c r="U39" i="23"/>
  <c r="U38" i="23"/>
  <c r="U37" i="23"/>
  <c r="U31" i="23"/>
  <c r="U30" i="23"/>
  <c r="U29" i="23"/>
  <c r="U28" i="23"/>
  <c r="U27" i="23"/>
  <c r="U26" i="23"/>
  <c r="U25" i="23"/>
  <c r="U24" i="23"/>
  <c r="K16" i="23"/>
  <c r="J16" i="23"/>
  <c r="I16" i="23"/>
  <c r="F16" i="23"/>
  <c r="E16" i="23"/>
  <c r="K15" i="23"/>
  <c r="J15" i="23"/>
  <c r="I15" i="23"/>
  <c r="F15" i="23"/>
  <c r="E15" i="23"/>
  <c r="K14" i="23"/>
  <c r="J14" i="23"/>
  <c r="I14" i="23"/>
  <c r="F14" i="23"/>
  <c r="E14" i="23"/>
  <c r="K13" i="23"/>
  <c r="J13" i="23"/>
  <c r="I13" i="23"/>
  <c r="F13" i="23"/>
  <c r="E13" i="23"/>
  <c r="K12" i="23"/>
  <c r="J12" i="23"/>
  <c r="I12" i="23"/>
  <c r="F12" i="23"/>
  <c r="E12" i="23"/>
  <c r="K11" i="23"/>
  <c r="J11" i="23"/>
  <c r="I11" i="23"/>
  <c r="F11" i="23"/>
  <c r="E11" i="23"/>
  <c r="K10" i="23"/>
  <c r="J10" i="23"/>
  <c r="I10" i="23"/>
  <c r="F10" i="23"/>
  <c r="E10" i="23"/>
  <c r="K9" i="23"/>
  <c r="J9" i="23"/>
  <c r="I9" i="23"/>
  <c r="F9" i="23"/>
  <c r="E9" i="23"/>
  <c r="K8" i="23"/>
  <c r="J8" i="23"/>
  <c r="I8" i="23"/>
  <c r="F8" i="23"/>
  <c r="E8" i="23"/>
  <c r="K7" i="23"/>
  <c r="J7" i="23"/>
  <c r="I7" i="23"/>
  <c r="F7" i="23"/>
  <c r="E7" i="23"/>
  <c r="K6" i="23"/>
  <c r="J6" i="23"/>
  <c r="I6" i="23"/>
  <c r="F6" i="23"/>
  <c r="E6" i="23"/>
  <c r="K5" i="23"/>
  <c r="J5" i="23"/>
  <c r="I5" i="23"/>
  <c r="F5" i="23"/>
  <c r="E5" i="23"/>
  <c r="U174" i="22"/>
  <c r="U173" i="22"/>
  <c r="U172" i="22"/>
  <c r="U171" i="22"/>
  <c r="U170" i="22"/>
  <c r="U169" i="22"/>
  <c r="U168" i="22"/>
  <c r="U167" i="22"/>
  <c r="U161" i="22"/>
  <c r="U160" i="22"/>
  <c r="U159" i="22"/>
  <c r="U158" i="22"/>
  <c r="U157" i="22"/>
  <c r="U156" i="22"/>
  <c r="U155" i="22"/>
  <c r="U154" i="22"/>
  <c r="U148" i="22"/>
  <c r="U147" i="22"/>
  <c r="U146" i="22"/>
  <c r="U145" i="22"/>
  <c r="U144" i="22"/>
  <c r="U143" i="22"/>
  <c r="U142" i="22"/>
  <c r="U141" i="22"/>
  <c r="U135" i="22"/>
  <c r="U134" i="22"/>
  <c r="U133" i="22"/>
  <c r="U132" i="22"/>
  <c r="U131" i="22"/>
  <c r="U130" i="22"/>
  <c r="U129" i="22"/>
  <c r="U128" i="22"/>
  <c r="U122" i="22"/>
  <c r="U121" i="22"/>
  <c r="U120" i="22"/>
  <c r="U119" i="22"/>
  <c r="U118" i="22"/>
  <c r="U117" i="22"/>
  <c r="U116" i="22"/>
  <c r="U115" i="22"/>
  <c r="U109" i="22"/>
  <c r="U108" i="22"/>
  <c r="U107" i="22"/>
  <c r="U106" i="22"/>
  <c r="U105" i="22"/>
  <c r="U104" i="22"/>
  <c r="U103" i="22"/>
  <c r="U102" i="22"/>
  <c r="U96" i="22"/>
  <c r="U95" i="22"/>
  <c r="U94" i="22"/>
  <c r="U93" i="22"/>
  <c r="U92" i="22"/>
  <c r="U91" i="22"/>
  <c r="U90" i="22"/>
  <c r="U89" i="22"/>
  <c r="U83" i="22"/>
  <c r="U82" i="22"/>
  <c r="U81" i="22"/>
  <c r="U80" i="22"/>
  <c r="U79" i="22"/>
  <c r="U78" i="22"/>
  <c r="U77" i="22"/>
  <c r="U76" i="22"/>
  <c r="U70" i="22"/>
  <c r="U69" i="22"/>
  <c r="U68" i="22"/>
  <c r="U67" i="22"/>
  <c r="U66" i="22"/>
  <c r="U65" i="22"/>
  <c r="U64" i="22"/>
  <c r="U63" i="22"/>
  <c r="U57" i="22"/>
  <c r="U56" i="22"/>
  <c r="U55" i="22"/>
  <c r="U54" i="22"/>
  <c r="U53" i="22"/>
  <c r="U52" i="22"/>
  <c r="U51" i="22"/>
  <c r="U50" i="22"/>
  <c r="U44" i="22"/>
  <c r="U43" i="22"/>
  <c r="U42" i="22"/>
  <c r="U41" i="22"/>
  <c r="U40" i="22"/>
  <c r="U39" i="22"/>
  <c r="U38" i="22"/>
  <c r="U37" i="22"/>
  <c r="U31" i="22"/>
  <c r="U30" i="22"/>
  <c r="U29" i="22"/>
  <c r="U28" i="22"/>
  <c r="U27" i="22"/>
  <c r="U26" i="22"/>
  <c r="U25" i="22"/>
  <c r="U24" i="22"/>
  <c r="K16" i="22"/>
  <c r="J16" i="22"/>
  <c r="I16" i="22"/>
  <c r="F16" i="22"/>
  <c r="E16" i="22"/>
  <c r="K15" i="22"/>
  <c r="J15" i="22"/>
  <c r="I15" i="22"/>
  <c r="F15" i="22"/>
  <c r="E15" i="22"/>
  <c r="K14" i="22"/>
  <c r="J14" i="22"/>
  <c r="I14" i="22"/>
  <c r="F14" i="22"/>
  <c r="E14" i="22"/>
  <c r="K13" i="22"/>
  <c r="J13" i="22"/>
  <c r="I13" i="22"/>
  <c r="F13" i="22"/>
  <c r="E13" i="22"/>
  <c r="K12" i="22"/>
  <c r="J12" i="22"/>
  <c r="I12" i="22"/>
  <c r="F12" i="22"/>
  <c r="E12" i="22"/>
  <c r="K11" i="22"/>
  <c r="J11" i="22"/>
  <c r="I11" i="22"/>
  <c r="F11" i="22"/>
  <c r="E11" i="22"/>
  <c r="K10" i="22"/>
  <c r="J10" i="22"/>
  <c r="I10" i="22"/>
  <c r="F10" i="22"/>
  <c r="E10" i="22"/>
  <c r="K9" i="22"/>
  <c r="J9" i="22"/>
  <c r="I9" i="22"/>
  <c r="F9" i="22"/>
  <c r="E9" i="22"/>
  <c r="K8" i="22"/>
  <c r="J8" i="22"/>
  <c r="I8" i="22"/>
  <c r="F8" i="22"/>
  <c r="E8" i="22"/>
  <c r="K7" i="22"/>
  <c r="J7" i="22"/>
  <c r="I7" i="22"/>
  <c r="F7" i="22"/>
  <c r="E7" i="22"/>
  <c r="K6" i="22"/>
  <c r="J6" i="22"/>
  <c r="I6" i="22"/>
  <c r="F6" i="22"/>
  <c r="E6" i="22"/>
  <c r="K5" i="22"/>
  <c r="J5" i="22"/>
  <c r="I5" i="22"/>
  <c r="F5" i="22"/>
  <c r="E5" i="22"/>
  <c r="U186" i="21"/>
  <c r="U185" i="21"/>
  <c r="U184" i="21"/>
  <c r="U183" i="21"/>
  <c r="U182" i="21"/>
  <c r="U181" i="21"/>
  <c r="U180" i="21"/>
  <c r="U179" i="21"/>
  <c r="U178" i="21"/>
  <c r="U172" i="21"/>
  <c r="U171" i="21"/>
  <c r="U170" i="21"/>
  <c r="U169" i="21"/>
  <c r="U168" i="21"/>
  <c r="U167" i="21"/>
  <c r="U166" i="21"/>
  <c r="U165" i="21"/>
  <c r="U164" i="21"/>
  <c r="U158" i="21"/>
  <c r="U157" i="21"/>
  <c r="U156" i="21"/>
  <c r="U155" i="21"/>
  <c r="U154" i="21"/>
  <c r="U153" i="21"/>
  <c r="U152" i="21"/>
  <c r="U151" i="21"/>
  <c r="U150" i="21"/>
  <c r="U144" i="21"/>
  <c r="U143" i="21"/>
  <c r="U142" i="21"/>
  <c r="U141" i="21"/>
  <c r="U140" i="21"/>
  <c r="U139" i="21"/>
  <c r="U138" i="21"/>
  <c r="U137" i="21"/>
  <c r="U136" i="21"/>
  <c r="U130" i="21"/>
  <c r="U129" i="21"/>
  <c r="U128" i="21"/>
  <c r="U127" i="21"/>
  <c r="U126" i="21"/>
  <c r="U125" i="21"/>
  <c r="U124" i="21"/>
  <c r="U123" i="21"/>
  <c r="U122" i="21"/>
  <c r="U116" i="21"/>
  <c r="U115" i="21"/>
  <c r="U114" i="21"/>
  <c r="U113" i="21"/>
  <c r="U112" i="21"/>
  <c r="U111" i="21"/>
  <c r="U110" i="21"/>
  <c r="U109" i="21"/>
  <c r="U108" i="21"/>
  <c r="U102" i="21"/>
  <c r="U101" i="21"/>
  <c r="U100" i="21"/>
  <c r="U99" i="21"/>
  <c r="U98" i="21"/>
  <c r="U97" i="21"/>
  <c r="U96" i="21"/>
  <c r="U95" i="21"/>
  <c r="U94" i="21"/>
  <c r="U88" i="21"/>
  <c r="U87" i="21"/>
  <c r="U86" i="21"/>
  <c r="U85" i="21"/>
  <c r="U84" i="21"/>
  <c r="U83" i="21"/>
  <c r="U82" i="21"/>
  <c r="U81" i="21"/>
  <c r="U80" i="21"/>
  <c r="U74" i="21"/>
  <c r="U73" i="21"/>
  <c r="U72" i="21"/>
  <c r="U71" i="21"/>
  <c r="U70" i="21"/>
  <c r="U69" i="21"/>
  <c r="U68" i="21"/>
  <c r="U67" i="21"/>
  <c r="U66" i="21"/>
  <c r="U60" i="21"/>
  <c r="U59" i="21"/>
  <c r="U58" i="21"/>
  <c r="U57" i="21"/>
  <c r="U56" i="21"/>
  <c r="U55" i="21"/>
  <c r="U54" i="21"/>
  <c r="U53" i="21"/>
  <c r="U52" i="21"/>
  <c r="U46" i="21"/>
  <c r="U45" i="21"/>
  <c r="U44" i="21"/>
  <c r="U43" i="21"/>
  <c r="U42" i="21"/>
  <c r="U41" i="21"/>
  <c r="U40" i="21"/>
  <c r="U39" i="21"/>
  <c r="U38" i="21"/>
  <c r="U32" i="21"/>
  <c r="U31" i="21"/>
  <c r="U30" i="21"/>
  <c r="U29" i="21"/>
  <c r="U28" i="21"/>
  <c r="U27" i="21"/>
  <c r="U26" i="21"/>
  <c r="U25" i="21"/>
  <c r="U24" i="21"/>
  <c r="K16" i="21"/>
  <c r="J16" i="21"/>
  <c r="I16" i="21"/>
  <c r="F16" i="21"/>
  <c r="E16" i="21"/>
  <c r="K15" i="21"/>
  <c r="J15" i="21"/>
  <c r="I15" i="21"/>
  <c r="F15" i="21"/>
  <c r="E15" i="21"/>
  <c r="K14" i="21"/>
  <c r="J14" i="21"/>
  <c r="I14" i="21"/>
  <c r="F14" i="21"/>
  <c r="E14" i="21"/>
  <c r="K13" i="21"/>
  <c r="J13" i="21"/>
  <c r="I13" i="21"/>
  <c r="F13" i="21"/>
  <c r="E13" i="21"/>
  <c r="K12" i="21"/>
  <c r="J12" i="21"/>
  <c r="I12" i="21"/>
  <c r="F12" i="21"/>
  <c r="E12" i="21"/>
  <c r="K11" i="21"/>
  <c r="J11" i="21"/>
  <c r="I11" i="21"/>
  <c r="F11" i="21"/>
  <c r="E11" i="21"/>
  <c r="K10" i="21"/>
  <c r="J10" i="21"/>
  <c r="I10" i="21"/>
  <c r="F10" i="21"/>
  <c r="E10" i="21"/>
  <c r="K9" i="21"/>
  <c r="J9" i="21"/>
  <c r="I9" i="21"/>
  <c r="F9" i="21"/>
  <c r="E9" i="21"/>
  <c r="K8" i="21"/>
  <c r="J8" i="21"/>
  <c r="I8" i="21"/>
  <c r="F8" i="21"/>
  <c r="E8" i="21"/>
  <c r="K7" i="21"/>
  <c r="J7" i="21"/>
  <c r="I7" i="21"/>
  <c r="F7" i="21"/>
  <c r="E7" i="21"/>
  <c r="K6" i="21"/>
  <c r="J6" i="21"/>
  <c r="I6" i="21"/>
  <c r="F6" i="21"/>
  <c r="E6" i="21"/>
  <c r="K5" i="21"/>
  <c r="J5" i="21"/>
  <c r="I5" i="21"/>
  <c r="F5" i="21"/>
  <c r="E5" i="21"/>
  <c r="U198" i="20"/>
  <c r="U197" i="20"/>
  <c r="U196" i="20"/>
  <c r="U195" i="20"/>
  <c r="U194" i="20"/>
  <c r="U193" i="20"/>
  <c r="U192" i="20"/>
  <c r="U191" i="20"/>
  <c r="U190" i="20"/>
  <c r="U189" i="20"/>
  <c r="U183" i="20"/>
  <c r="U182" i="20"/>
  <c r="U181" i="20"/>
  <c r="U180" i="20"/>
  <c r="U179" i="20"/>
  <c r="U178" i="20"/>
  <c r="U177" i="20"/>
  <c r="U176" i="20"/>
  <c r="U175" i="20"/>
  <c r="U174" i="20"/>
  <c r="U168" i="20"/>
  <c r="U167" i="20"/>
  <c r="U166" i="20"/>
  <c r="U165" i="20"/>
  <c r="U164" i="20"/>
  <c r="U163" i="20"/>
  <c r="U162" i="20"/>
  <c r="U161" i="20"/>
  <c r="U160" i="20"/>
  <c r="U159" i="20"/>
  <c r="U153" i="20"/>
  <c r="U152" i="20"/>
  <c r="U151" i="20"/>
  <c r="U150" i="20"/>
  <c r="U149" i="20"/>
  <c r="U148" i="20"/>
  <c r="U147" i="20"/>
  <c r="U146" i="20"/>
  <c r="U145" i="20"/>
  <c r="U144" i="20"/>
  <c r="U138" i="20"/>
  <c r="U137" i="20"/>
  <c r="U136" i="20"/>
  <c r="U135" i="20"/>
  <c r="U134" i="20"/>
  <c r="U133" i="20"/>
  <c r="U132" i="20"/>
  <c r="U131" i="20"/>
  <c r="U130" i="20"/>
  <c r="U129" i="20"/>
  <c r="U123" i="20"/>
  <c r="U122" i="20"/>
  <c r="U121" i="20"/>
  <c r="U120" i="20"/>
  <c r="U119" i="20"/>
  <c r="U118" i="20"/>
  <c r="U117" i="20"/>
  <c r="U116" i="20"/>
  <c r="U115" i="20"/>
  <c r="U114" i="20"/>
  <c r="U108" i="20"/>
  <c r="U107" i="20"/>
  <c r="U106" i="20"/>
  <c r="U105" i="20"/>
  <c r="U104" i="20"/>
  <c r="U103" i="20"/>
  <c r="U102" i="20"/>
  <c r="U101" i="20"/>
  <c r="U100" i="20"/>
  <c r="U99" i="20"/>
  <c r="U93" i="20"/>
  <c r="U92" i="20"/>
  <c r="U91" i="20"/>
  <c r="U90" i="20"/>
  <c r="U89" i="20"/>
  <c r="U88" i="20"/>
  <c r="U87" i="20"/>
  <c r="U86" i="20"/>
  <c r="U85" i="20"/>
  <c r="U84" i="20"/>
  <c r="U78" i="20"/>
  <c r="U77" i="20"/>
  <c r="U76" i="20"/>
  <c r="U75" i="20"/>
  <c r="U74" i="20"/>
  <c r="U73" i="20"/>
  <c r="U72" i="20"/>
  <c r="U71" i="20"/>
  <c r="U70" i="20"/>
  <c r="U69" i="20"/>
  <c r="U63" i="20"/>
  <c r="U62" i="20"/>
  <c r="U61" i="20"/>
  <c r="U60" i="20"/>
  <c r="U59" i="20"/>
  <c r="U58" i="20"/>
  <c r="U57" i="20"/>
  <c r="U56" i="20"/>
  <c r="U55" i="20"/>
  <c r="U54" i="20"/>
  <c r="U48" i="20"/>
  <c r="U47" i="20"/>
  <c r="U46" i="20"/>
  <c r="U45" i="20"/>
  <c r="U44" i="20"/>
  <c r="U43" i="20"/>
  <c r="U42" i="20"/>
  <c r="U41" i="20"/>
  <c r="U40" i="20"/>
  <c r="U39" i="20"/>
  <c r="U33" i="20"/>
  <c r="U32" i="20"/>
  <c r="U31" i="20"/>
  <c r="U30" i="20"/>
  <c r="U29" i="20"/>
  <c r="U28" i="20"/>
  <c r="U27" i="20"/>
  <c r="U26" i="20"/>
  <c r="U25" i="20"/>
  <c r="U24" i="20"/>
  <c r="K16" i="20"/>
  <c r="J16" i="20"/>
  <c r="I16" i="20"/>
  <c r="F16" i="20"/>
  <c r="E16" i="20"/>
  <c r="K15" i="20"/>
  <c r="J15" i="20"/>
  <c r="I15" i="20"/>
  <c r="F15" i="20"/>
  <c r="E15" i="20"/>
  <c r="K14" i="20"/>
  <c r="J14" i="20"/>
  <c r="I14" i="20"/>
  <c r="F14" i="20"/>
  <c r="E14" i="20"/>
  <c r="K13" i="20"/>
  <c r="J13" i="20"/>
  <c r="I13" i="20"/>
  <c r="F13" i="20"/>
  <c r="E13" i="20"/>
  <c r="K12" i="20"/>
  <c r="J12" i="20"/>
  <c r="I12" i="20"/>
  <c r="F12" i="20"/>
  <c r="E12" i="20"/>
  <c r="K11" i="20"/>
  <c r="J11" i="20"/>
  <c r="I11" i="20"/>
  <c r="F11" i="20"/>
  <c r="E11" i="20"/>
  <c r="K10" i="20"/>
  <c r="J10" i="20"/>
  <c r="I10" i="20"/>
  <c r="F10" i="20"/>
  <c r="E10" i="20"/>
  <c r="K9" i="20"/>
  <c r="J9" i="20"/>
  <c r="I9" i="20"/>
  <c r="F9" i="20"/>
  <c r="E9" i="20"/>
  <c r="K8" i="20"/>
  <c r="J8" i="20"/>
  <c r="I8" i="20"/>
  <c r="F8" i="20"/>
  <c r="E8" i="20"/>
  <c r="K7" i="20"/>
  <c r="J7" i="20"/>
  <c r="I7" i="20"/>
  <c r="F7" i="20"/>
  <c r="E7" i="20"/>
  <c r="K6" i="20"/>
  <c r="J6" i="20"/>
  <c r="I6" i="20"/>
  <c r="F6" i="20"/>
  <c r="E6" i="20"/>
  <c r="K5" i="20"/>
  <c r="J5" i="20"/>
  <c r="I5" i="20"/>
  <c r="F5" i="20"/>
  <c r="E5" i="20"/>
  <c r="U222" i="19"/>
  <c r="U221" i="19"/>
  <c r="U220" i="19"/>
  <c r="U219" i="19"/>
  <c r="U218" i="19"/>
  <c r="U217" i="19"/>
  <c r="U216" i="19"/>
  <c r="U215" i="19"/>
  <c r="U214" i="19"/>
  <c r="U213" i="19"/>
  <c r="U212" i="19"/>
  <c r="U211" i="19"/>
  <c r="U205" i="19"/>
  <c r="U204" i="19"/>
  <c r="U203" i="19"/>
  <c r="U202" i="19"/>
  <c r="U201" i="19"/>
  <c r="U200" i="19"/>
  <c r="U199" i="19"/>
  <c r="U198" i="19"/>
  <c r="U197" i="19"/>
  <c r="U196" i="19"/>
  <c r="U195" i="19"/>
  <c r="U194" i="19"/>
  <c r="U188" i="19"/>
  <c r="U187" i="19"/>
  <c r="U186" i="19"/>
  <c r="U185" i="19"/>
  <c r="U184" i="19"/>
  <c r="U183" i="19"/>
  <c r="U182" i="19"/>
  <c r="U181" i="19"/>
  <c r="U180" i="19"/>
  <c r="U179" i="19"/>
  <c r="U178" i="19"/>
  <c r="U177" i="19"/>
  <c r="U171" i="19"/>
  <c r="U170" i="19"/>
  <c r="U169" i="19"/>
  <c r="U168" i="19"/>
  <c r="U167" i="19"/>
  <c r="U166" i="19"/>
  <c r="U165" i="19"/>
  <c r="U164" i="19"/>
  <c r="U163" i="19"/>
  <c r="U162" i="19"/>
  <c r="U161" i="19"/>
  <c r="U160" i="19"/>
  <c r="U154" i="19"/>
  <c r="U153" i="19"/>
  <c r="U152" i="19"/>
  <c r="U151" i="19"/>
  <c r="U150" i="19"/>
  <c r="U149" i="19"/>
  <c r="U148" i="19"/>
  <c r="U147" i="19"/>
  <c r="U146" i="19"/>
  <c r="U145" i="19"/>
  <c r="U144" i="19"/>
  <c r="U143" i="19"/>
  <c r="U137" i="19"/>
  <c r="U136" i="19"/>
  <c r="U135" i="19"/>
  <c r="U134" i="19"/>
  <c r="U133" i="19"/>
  <c r="U132" i="19"/>
  <c r="U131" i="19"/>
  <c r="U130" i="19"/>
  <c r="U129" i="19"/>
  <c r="U128" i="19"/>
  <c r="U127" i="19"/>
  <c r="U126" i="19"/>
  <c r="U120" i="19"/>
  <c r="U119" i="19"/>
  <c r="U118" i="19"/>
  <c r="U117" i="19"/>
  <c r="U116" i="19"/>
  <c r="U115" i="19"/>
  <c r="U114" i="19"/>
  <c r="U113" i="19"/>
  <c r="U112" i="19"/>
  <c r="U111" i="19"/>
  <c r="U110" i="19"/>
  <c r="U109" i="19"/>
  <c r="U103" i="19"/>
  <c r="U102" i="19"/>
  <c r="U101" i="19"/>
  <c r="U100" i="19"/>
  <c r="U99" i="19"/>
  <c r="U98" i="19"/>
  <c r="U97" i="19"/>
  <c r="U96" i="19"/>
  <c r="U95" i="19"/>
  <c r="U94" i="19"/>
  <c r="U93" i="19"/>
  <c r="U92" i="19"/>
  <c r="U86" i="19"/>
  <c r="U85" i="19"/>
  <c r="U84" i="19"/>
  <c r="U83" i="19"/>
  <c r="U82" i="19"/>
  <c r="U81" i="19"/>
  <c r="U80" i="19"/>
  <c r="U79" i="19"/>
  <c r="U78" i="19"/>
  <c r="U77" i="19"/>
  <c r="U76" i="19"/>
  <c r="U75" i="19"/>
  <c r="U69" i="19"/>
  <c r="U68" i="19"/>
  <c r="U67" i="19"/>
  <c r="U66" i="19"/>
  <c r="U65" i="19"/>
  <c r="U64" i="19"/>
  <c r="U63" i="19"/>
  <c r="U62" i="19"/>
  <c r="U61" i="19"/>
  <c r="U60" i="19"/>
  <c r="U59" i="19"/>
  <c r="U58" i="19"/>
  <c r="U52" i="19"/>
  <c r="U51" i="19"/>
  <c r="U50" i="19"/>
  <c r="U49" i="19"/>
  <c r="U48" i="19"/>
  <c r="U47" i="19"/>
  <c r="U46" i="19"/>
  <c r="U45" i="19"/>
  <c r="U44" i="19"/>
  <c r="U43" i="19"/>
  <c r="U42" i="19"/>
  <c r="U41" i="19"/>
  <c r="U35" i="19"/>
  <c r="U34" i="19"/>
  <c r="U33" i="19"/>
  <c r="U32" i="19"/>
  <c r="U31" i="19"/>
  <c r="U30" i="19"/>
  <c r="U29" i="19"/>
  <c r="U28" i="19"/>
  <c r="U27" i="19"/>
  <c r="U26" i="19"/>
  <c r="U25" i="19"/>
  <c r="U24" i="19"/>
  <c r="K16" i="19"/>
  <c r="J16" i="19"/>
  <c r="I16" i="19"/>
  <c r="F16" i="19"/>
  <c r="E16" i="19"/>
  <c r="K15" i="19"/>
  <c r="J15" i="19"/>
  <c r="I15" i="19"/>
  <c r="F15" i="19"/>
  <c r="E15" i="19"/>
  <c r="K14" i="19"/>
  <c r="J14" i="19"/>
  <c r="I14" i="19"/>
  <c r="F14" i="19"/>
  <c r="E14" i="19"/>
  <c r="K13" i="19"/>
  <c r="J13" i="19"/>
  <c r="I13" i="19"/>
  <c r="F13" i="19"/>
  <c r="E13" i="19"/>
  <c r="K12" i="19"/>
  <c r="J12" i="19"/>
  <c r="I12" i="19"/>
  <c r="F12" i="19"/>
  <c r="E12" i="19"/>
  <c r="K11" i="19"/>
  <c r="J11" i="19"/>
  <c r="I11" i="19"/>
  <c r="F11" i="19"/>
  <c r="E11" i="19"/>
  <c r="K10" i="19"/>
  <c r="J10" i="19"/>
  <c r="I10" i="19"/>
  <c r="F10" i="19"/>
  <c r="E10" i="19"/>
  <c r="K9" i="19"/>
  <c r="J9" i="19"/>
  <c r="I9" i="19"/>
  <c r="F9" i="19"/>
  <c r="E9" i="19"/>
  <c r="K8" i="19"/>
  <c r="J8" i="19"/>
  <c r="I8" i="19"/>
  <c r="F8" i="19"/>
  <c r="E8" i="19"/>
  <c r="K7" i="19"/>
  <c r="J7" i="19"/>
  <c r="I7" i="19"/>
  <c r="F7" i="19"/>
  <c r="E7" i="19"/>
  <c r="K6" i="19"/>
  <c r="J6" i="19"/>
  <c r="I6" i="19"/>
  <c r="F6" i="19"/>
  <c r="E6" i="19"/>
  <c r="K5" i="19"/>
  <c r="J5" i="19"/>
  <c r="I5" i="19"/>
  <c r="F5" i="19"/>
  <c r="E5" i="19"/>
  <c r="U282" i="18"/>
  <c r="U281" i="18"/>
  <c r="U280" i="18"/>
  <c r="U279" i="18"/>
  <c r="U278" i="18"/>
  <c r="U277" i="18"/>
  <c r="U276" i="18"/>
  <c r="U275" i="18"/>
  <c r="U274" i="18"/>
  <c r="U273" i="18"/>
  <c r="U272" i="18"/>
  <c r="U271" i="18"/>
  <c r="U270" i="18"/>
  <c r="U269" i="18"/>
  <c r="U268" i="18"/>
  <c r="U267" i="18"/>
  <c r="U266" i="18"/>
  <c r="U260" i="18"/>
  <c r="U259" i="18"/>
  <c r="U258" i="18"/>
  <c r="U257" i="18"/>
  <c r="U256" i="18"/>
  <c r="U255" i="18"/>
  <c r="U254" i="18"/>
  <c r="U253" i="18"/>
  <c r="U252" i="18"/>
  <c r="U251" i="18"/>
  <c r="U250" i="18"/>
  <c r="U249" i="18"/>
  <c r="U248" i="18"/>
  <c r="U247" i="18"/>
  <c r="U246" i="18"/>
  <c r="U245" i="18"/>
  <c r="U244" i="18"/>
  <c r="U238" i="18"/>
  <c r="U237" i="18"/>
  <c r="U236" i="18"/>
  <c r="U235" i="18"/>
  <c r="U234" i="18"/>
  <c r="U233" i="18"/>
  <c r="U232" i="18"/>
  <c r="U231" i="18"/>
  <c r="U230" i="18"/>
  <c r="U229" i="18"/>
  <c r="U228" i="18"/>
  <c r="U227" i="18"/>
  <c r="U226" i="18"/>
  <c r="U225" i="18"/>
  <c r="U224" i="18"/>
  <c r="U223" i="18"/>
  <c r="U222" i="18"/>
  <c r="U216" i="18"/>
  <c r="U215" i="18"/>
  <c r="U214" i="18"/>
  <c r="U213" i="18"/>
  <c r="U212" i="18"/>
  <c r="U211" i="18"/>
  <c r="U210" i="18"/>
  <c r="U209" i="18"/>
  <c r="U208" i="18"/>
  <c r="U207" i="18"/>
  <c r="U206" i="18"/>
  <c r="U205" i="18"/>
  <c r="U204" i="18"/>
  <c r="U203" i="18"/>
  <c r="U202" i="18"/>
  <c r="U201" i="18"/>
  <c r="U200" i="18"/>
  <c r="U194" i="18"/>
  <c r="U193" i="18"/>
  <c r="U192" i="18"/>
  <c r="U191" i="18"/>
  <c r="U190" i="18"/>
  <c r="U189" i="18"/>
  <c r="U188" i="18"/>
  <c r="U187" i="18"/>
  <c r="U186" i="18"/>
  <c r="U185" i="18"/>
  <c r="U184" i="18"/>
  <c r="U183" i="18"/>
  <c r="U182" i="18"/>
  <c r="U181" i="18"/>
  <c r="U180" i="18"/>
  <c r="U179" i="18"/>
  <c r="U178" i="18"/>
  <c r="U172" i="18"/>
  <c r="U171" i="18"/>
  <c r="U170" i="18"/>
  <c r="U169" i="18"/>
  <c r="U168" i="18"/>
  <c r="U167" i="18"/>
  <c r="U166" i="18"/>
  <c r="U165" i="18"/>
  <c r="U164" i="18"/>
  <c r="U163" i="18"/>
  <c r="U162" i="18"/>
  <c r="U161" i="18"/>
  <c r="U160" i="18"/>
  <c r="U159" i="18"/>
  <c r="U158" i="18"/>
  <c r="U157" i="18"/>
  <c r="U156" i="18"/>
  <c r="U150" i="18"/>
  <c r="U149" i="18"/>
  <c r="U148" i="18"/>
  <c r="U147" i="18"/>
  <c r="U146" i="18"/>
  <c r="U145" i="18"/>
  <c r="U144" i="18"/>
  <c r="U143" i="18"/>
  <c r="U142" i="18"/>
  <c r="U141" i="18"/>
  <c r="U140" i="18"/>
  <c r="U139" i="18"/>
  <c r="U138" i="18"/>
  <c r="U137" i="18"/>
  <c r="U136" i="18"/>
  <c r="U135" i="18"/>
  <c r="U134" i="18"/>
  <c r="U128" i="18"/>
  <c r="U127" i="18"/>
  <c r="U126" i="18"/>
  <c r="U125" i="18"/>
  <c r="U124" i="18"/>
  <c r="U123" i="18"/>
  <c r="U122" i="18"/>
  <c r="U121" i="18"/>
  <c r="U120" i="18"/>
  <c r="U119" i="18"/>
  <c r="U118" i="18"/>
  <c r="U117" i="18"/>
  <c r="U116" i="18"/>
  <c r="U115" i="18"/>
  <c r="U114" i="18"/>
  <c r="U113" i="18"/>
  <c r="U112" i="18"/>
  <c r="U106" i="18"/>
  <c r="U105" i="18"/>
  <c r="U104" i="18"/>
  <c r="U103" i="18"/>
  <c r="U102" i="18"/>
  <c r="U101" i="18"/>
  <c r="U100" i="18"/>
  <c r="U99" i="18"/>
  <c r="U98" i="18"/>
  <c r="U97" i="18"/>
  <c r="U96" i="18"/>
  <c r="U95" i="18"/>
  <c r="U94" i="18"/>
  <c r="U93" i="18"/>
  <c r="U92" i="18"/>
  <c r="U91" i="18"/>
  <c r="U90" i="18"/>
  <c r="U84" i="18"/>
  <c r="U83" i="18"/>
  <c r="U82" i="18"/>
  <c r="U81" i="18"/>
  <c r="U80" i="18"/>
  <c r="U79" i="18"/>
  <c r="U78" i="18"/>
  <c r="U77" i="18"/>
  <c r="U76" i="18"/>
  <c r="U75" i="18"/>
  <c r="U74" i="18"/>
  <c r="U73" i="18"/>
  <c r="U72" i="18"/>
  <c r="U71" i="18"/>
  <c r="U70" i="18"/>
  <c r="U69" i="18"/>
  <c r="U68" i="18"/>
  <c r="U62" i="18"/>
  <c r="U61" i="18"/>
  <c r="U60" i="18"/>
  <c r="U59" i="18"/>
  <c r="U58" i="18"/>
  <c r="U57" i="18"/>
  <c r="U56" i="18"/>
  <c r="U55" i="18"/>
  <c r="U54" i="18"/>
  <c r="U53" i="18"/>
  <c r="U52" i="18"/>
  <c r="U51" i="18"/>
  <c r="U50" i="18"/>
  <c r="U49" i="18"/>
  <c r="U48" i="18"/>
  <c r="U47" i="18"/>
  <c r="U46" i="18"/>
  <c r="U40" i="18"/>
  <c r="U39" i="18"/>
  <c r="U38" i="18"/>
  <c r="U37" i="18"/>
  <c r="U36" i="18"/>
  <c r="U35" i="18"/>
  <c r="U34" i="18"/>
  <c r="U33" i="18"/>
  <c r="U32" i="18"/>
  <c r="U31" i="18"/>
  <c r="U30" i="18"/>
  <c r="U29" i="18"/>
  <c r="U28" i="18"/>
  <c r="U27" i="18"/>
  <c r="U26" i="18"/>
  <c r="U25" i="18"/>
  <c r="U24" i="18"/>
  <c r="K16" i="18"/>
  <c r="J16" i="18"/>
  <c r="I16" i="18"/>
  <c r="F16" i="18"/>
  <c r="E16" i="18"/>
  <c r="K15" i="18"/>
  <c r="J15" i="18"/>
  <c r="I15" i="18"/>
  <c r="F15" i="18"/>
  <c r="E15" i="18"/>
  <c r="K14" i="18"/>
  <c r="J14" i="18"/>
  <c r="I14" i="18"/>
  <c r="F14" i="18"/>
  <c r="E14" i="18"/>
  <c r="K13" i="18"/>
  <c r="J13" i="18"/>
  <c r="I13" i="18"/>
  <c r="F13" i="18"/>
  <c r="E13" i="18"/>
  <c r="K12" i="18"/>
  <c r="J12" i="18"/>
  <c r="I12" i="18"/>
  <c r="F12" i="18"/>
  <c r="E12" i="18"/>
  <c r="K11" i="18"/>
  <c r="J11" i="18"/>
  <c r="I11" i="18"/>
  <c r="F11" i="18"/>
  <c r="E11" i="18"/>
  <c r="K10" i="18"/>
  <c r="J10" i="18"/>
  <c r="I10" i="18"/>
  <c r="F10" i="18"/>
  <c r="E10" i="18"/>
  <c r="K9" i="18"/>
  <c r="J9" i="18"/>
  <c r="I9" i="18"/>
  <c r="F9" i="18"/>
  <c r="E9" i="18"/>
  <c r="K8" i="18"/>
  <c r="J8" i="18"/>
  <c r="I8" i="18"/>
  <c r="F8" i="18"/>
  <c r="E8" i="18"/>
  <c r="K7" i="18"/>
  <c r="J7" i="18"/>
  <c r="I7" i="18"/>
  <c r="F7" i="18"/>
  <c r="E7" i="18"/>
  <c r="K6" i="18"/>
  <c r="J6" i="18"/>
  <c r="I6" i="18"/>
  <c r="F6" i="18"/>
  <c r="E6" i="18"/>
  <c r="K5" i="18"/>
  <c r="J5" i="18"/>
  <c r="I5" i="18"/>
  <c r="F5" i="18"/>
  <c r="E5" i="18"/>
  <c r="U270" i="17"/>
  <c r="U269" i="17"/>
  <c r="U268" i="17"/>
  <c r="U267" i="17"/>
  <c r="U266" i="17"/>
  <c r="U265" i="17"/>
  <c r="U264" i="17"/>
  <c r="U263" i="17"/>
  <c r="U262" i="17"/>
  <c r="U261" i="17"/>
  <c r="U260" i="17"/>
  <c r="U259" i="17"/>
  <c r="U258" i="17"/>
  <c r="U257" i="17"/>
  <c r="U256" i="17"/>
  <c r="U255" i="17"/>
  <c r="U249" i="17"/>
  <c r="U248" i="17"/>
  <c r="U247" i="17"/>
  <c r="U246" i="17"/>
  <c r="U245" i="17"/>
  <c r="U244" i="17"/>
  <c r="U243" i="17"/>
  <c r="U242" i="17"/>
  <c r="U241" i="17"/>
  <c r="U240" i="17"/>
  <c r="U239" i="17"/>
  <c r="U238" i="17"/>
  <c r="U237" i="17"/>
  <c r="U236" i="17"/>
  <c r="U235" i="17"/>
  <c r="U234" i="17"/>
  <c r="U228" i="17"/>
  <c r="U227" i="17"/>
  <c r="U226" i="17"/>
  <c r="U225" i="17"/>
  <c r="U224" i="17"/>
  <c r="U223" i="17"/>
  <c r="U222" i="17"/>
  <c r="U221" i="17"/>
  <c r="U220" i="17"/>
  <c r="U219" i="17"/>
  <c r="U218" i="17"/>
  <c r="U217" i="17"/>
  <c r="U216" i="17"/>
  <c r="U215" i="17"/>
  <c r="U214" i="17"/>
  <c r="U213" i="17"/>
  <c r="U207" i="17"/>
  <c r="U206" i="17"/>
  <c r="U205" i="17"/>
  <c r="U204" i="17"/>
  <c r="U203" i="17"/>
  <c r="U202" i="17"/>
  <c r="U201" i="17"/>
  <c r="U200" i="17"/>
  <c r="U199" i="17"/>
  <c r="U198" i="17"/>
  <c r="U197" i="17"/>
  <c r="U196" i="17"/>
  <c r="U195" i="17"/>
  <c r="U194" i="17"/>
  <c r="U193" i="17"/>
  <c r="U192" i="17"/>
  <c r="U186" i="17"/>
  <c r="U185" i="17"/>
  <c r="U184" i="17"/>
  <c r="U183" i="17"/>
  <c r="U182" i="17"/>
  <c r="U181" i="17"/>
  <c r="U180" i="17"/>
  <c r="U179" i="17"/>
  <c r="U178" i="17"/>
  <c r="U177" i="17"/>
  <c r="U176" i="17"/>
  <c r="U175" i="17"/>
  <c r="U174" i="17"/>
  <c r="U173" i="17"/>
  <c r="U172" i="17"/>
  <c r="U171" i="17"/>
  <c r="U165" i="17"/>
  <c r="U164" i="17"/>
  <c r="U163" i="17"/>
  <c r="U162" i="17"/>
  <c r="U161" i="17"/>
  <c r="U160" i="17"/>
  <c r="U159" i="17"/>
  <c r="U158" i="17"/>
  <c r="U157" i="17"/>
  <c r="U156" i="17"/>
  <c r="U155" i="17"/>
  <c r="U154" i="17"/>
  <c r="U153" i="17"/>
  <c r="U152" i="17"/>
  <c r="U151" i="17"/>
  <c r="U150" i="17"/>
  <c r="U144" i="17"/>
  <c r="U143" i="17"/>
  <c r="U142" i="17"/>
  <c r="U141" i="17"/>
  <c r="U140" i="17"/>
  <c r="U139" i="17"/>
  <c r="U138" i="17"/>
  <c r="U137" i="17"/>
  <c r="U136" i="17"/>
  <c r="U135" i="17"/>
  <c r="U134" i="17"/>
  <c r="U133" i="17"/>
  <c r="U132" i="17"/>
  <c r="U131" i="17"/>
  <c r="U130" i="17"/>
  <c r="U129" i="17"/>
  <c r="U123" i="17"/>
  <c r="U122" i="17"/>
  <c r="U121" i="17"/>
  <c r="U120" i="17"/>
  <c r="U119" i="17"/>
  <c r="U118" i="17"/>
  <c r="U117" i="17"/>
  <c r="U116" i="17"/>
  <c r="U115" i="17"/>
  <c r="U114" i="17"/>
  <c r="U113" i="17"/>
  <c r="U112" i="17"/>
  <c r="U111" i="17"/>
  <c r="U110" i="17"/>
  <c r="U109" i="17"/>
  <c r="U108" i="17"/>
  <c r="U102" i="17"/>
  <c r="U101" i="17"/>
  <c r="U100" i="17"/>
  <c r="U99" i="17"/>
  <c r="U98" i="17"/>
  <c r="U97" i="17"/>
  <c r="U96" i="17"/>
  <c r="U95" i="17"/>
  <c r="U94" i="17"/>
  <c r="U93" i="17"/>
  <c r="U92" i="17"/>
  <c r="U91" i="17"/>
  <c r="U90" i="17"/>
  <c r="U89" i="17"/>
  <c r="U88" i="17"/>
  <c r="U87" i="17"/>
  <c r="U81" i="17"/>
  <c r="U80" i="17"/>
  <c r="U79" i="17"/>
  <c r="U78" i="17"/>
  <c r="U77" i="17"/>
  <c r="U76" i="17"/>
  <c r="U75" i="17"/>
  <c r="U74" i="17"/>
  <c r="U73" i="17"/>
  <c r="U72" i="17"/>
  <c r="U71" i="17"/>
  <c r="U70" i="17"/>
  <c r="U69" i="17"/>
  <c r="U68" i="17"/>
  <c r="U67" i="17"/>
  <c r="U66" i="17"/>
  <c r="U60" i="17"/>
  <c r="U59" i="17"/>
  <c r="U58" i="17"/>
  <c r="U57" i="17"/>
  <c r="U56" i="17"/>
  <c r="U55" i="17"/>
  <c r="U54" i="17"/>
  <c r="U53" i="17"/>
  <c r="U52" i="17"/>
  <c r="U51" i="17"/>
  <c r="U50" i="17"/>
  <c r="U49" i="17"/>
  <c r="U48" i="17"/>
  <c r="U47" i="17"/>
  <c r="U46" i="17"/>
  <c r="U45" i="17"/>
  <c r="U39" i="17"/>
  <c r="U38" i="17"/>
  <c r="U37" i="17"/>
  <c r="U36" i="17"/>
  <c r="U35" i="17"/>
  <c r="U34" i="17"/>
  <c r="U33" i="17"/>
  <c r="U32" i="17"/>
  <c r="U31" i="17"/>
  <c r="U30" i="17"/>
  <c r="U29" i="17"/>
  <c r="U28" i="17"/>
  <c r="U27" i="17"/>
  <c r="U26" i="17"/>
  <c r="U25" i="17"/>
  <c r="U24" i="17"/>
  <c r="K16" i="17"/>
  <c r="J16" i="17"/>
  <c r="I16" i="17"/>
  <c r="F16" i="17"/>
  <c r="E16" i="17"/>
  <c r="K15" i="17"/>
  <c r="J15" i="17"/>
  <c r="I15" i="17"/>
  <c r="F15" i="17"/>
  <c r="E15" i="17"/>
  <c r="K14" i="17"/>
  <c r="J14" i="17"/>
  <c r="I14" i="17"/>
  <c r="F14" i="17"/>
  <c r="E14" i="17"/>
  <c r="K13" i="17"/>
  <c r="J13" i="17"/>
  <c r="I13" i="17"/>
  <c r="F13" i="17"/>
  <c r="E13" i="17"/>
  <c r="K12" i="17"/>
  <c r="J12" i="17"/>
  <c r="I12" i="17"/>
  <c r="F12" i="17"/>
  <c r="E12" i="17"/>
  <c r="K11" i="17"/>
  <c r="J11" i="17"/>
  <c r="I11" i="17"/>
  <c r="F11" i="17"/>
  <c r="E11" i="17"/>
  <c r="K10" i="17"/>
  <c r="J10" i="17"/>
  <c r="I10" i="17"/>
  <c r="F10" i="17"/>
  <c r="E10" i="17"/>
  <c r="K9" i="17"/>
  <c r="J9" i="17"/>
  <c r="I9" i="17"/>
  <c r="F9" i="17"/>
  <c r="E9" i="17"/>
  <c r="K8" i="17"/>
  <c r="J8" i="17"/>
  <c r="I8" i="17"/>
  <c r="F8" i="17"/>
  <c r="E8" i="17"/>
  <c r="K7" i="17"/>
  <c r="J7" i="17"/>
  <c r="I7" i="17"/>
  <c r="F7" i="17"/>
  <c r="E7" i="17"/>
  <c r="K6" i="17"/>
  <c r="J6" i="17"/>
  <c r="I6" i="17"/>
  <c r="F6" i="17"/>
  <c r="E6" i="17"/>
  <c r="K5" i="17"/>
  <c r="J5" i="17"/>
  <c r="I5" i="17"/>
  <c r="F5" i="17"/>
  <c r="E5" i="17"/>
  <c r="U270" i="16"/>
  <c r="U269" i="16"/>
  <c r="U268" i="16"/>
  <c r="U267" i="16"/>
  <c r="U266" i="16"/>
  <c r="U265" i="16"/>
  <c r="U264" i="16"/>
  <c r="U263" i="16"/>
  <c r="U262" i="16"/>
  <c r="U261" i="16"/>
  <c r="U260" i="16"/>
  <c r="U259" i="16"/>
  <c r="U258" i="16"/>
  <c r="U257" i="16"/>
  <c r="U256" i="16"/>
  <c r="U255" i="16"/>
  <c r="U249" i="16"/>
  <c r="U248" i="16"/>
  <c r="U247" i="16"/>
  <c r="U246" i="16"/>
  <c r="U245" i="16"/>
  <c r="U244" i="16"/>
  <c r="U243" i="16"/>
  <c r="U242" i="16"/>
  <c r="U241" i="16"/>
  <c r="U240" i="16"/>
  <c r="U239" i="16"/>
  <c r="U238" i="16"/>
  <c r="U237" i="16"/>
  <c r="U236" i="16"/>
  <c r="U235" i="16"/>
  <c r="U234" i="16"/>
  <c r="U228" i="16"/>
  <c r="U227" i="16"/>
  <c r="U226" i="16"/>
  <c r="U225" i="16"/>
  <c r="U224" i="16"/>
  <c r="U223" i="16"/>
  <c r="U222" i="16"/>
  <c r="U221" i="16"/>
  <c r="U220" i="16"/>
  <c r="U219" i="16"/>
  <c r="U218" i="16"/>
  <c r="U217" i="16"/>
  <c r="U216" i="16"/>
  <c r="U215" i="16"/>
  <c r="U214" i="16"/>
  <c r="U213" i="16"/>
  <c r="U207" i="16"/>
  <c r="U206" i="16"/>
  <c r="U205" i="16"/>
  <c r="U204" i="16"/>
  <c r="U203" i="16"/>
  <c r="U202" i="16"/>
  <c r="U201" i="16"/>
  <c r="U200" i="16"/>
  <c r="U199" i="16"/>
  <c r="U198" i="16"/>
  <c r="U197" i="16"/>
  <c r="U196" i="16"/>
  <c r="U195" i="16"/>
  <c r="U194" i="16"/>
  <c r="U193" i="16"/>
  <c r="U192" i="16"/>
  <c r="U186" i="16"/>
  <c r="U185" i="16"/>
  <c r="U184" i="16"/>
  <c r="U183" i="16"/>
  <c r="U182" i="16"/>
  <c r="U181" i="16"/>
  <c r="U180" i="16"/>
  <c r="U179" i="16"/>
  <c r="U178" i="16"/>
  <c r="U177" i="16"/>
  <c r="U176" i="16"/>
  <c r="U175" i="16"/>
  <c r="U174" i="16"/>
  <c r="U173" i="16"/>
  <c r="U172" i="16"/>
  <c r="U171" i="16"/>
  <c r="U165" i="16"/>
  <c r="U164" i="16"/>
  <c r="U163" i="16"/>
  <c r="U162" i="16"/>
  <c r="U161" i="16"/>
  <c r="U160" i="16"/>
  <c r="U159" i="16"/>
  <c r="U158" i="16"/>
  <c r="U157" i="16"/>
  <c r="U156" i="16"/>
  <c r="U155" i="16"/>
  <c r="U154" i="16"/>
  <c r="U153" i="16"/>
  <c r="U152" i="16"/>
  <c r="U151" i="16"/>
  <c r="U150" i="16"/>
  <c r="U144" i="16"/>
  <c r="U143" i="16"/>
  <c r="U142" i="16"/>
  <c r="U141" i="16"/>
  <c r="U140" i="16"/>
  <c r="U139" i="16"/>
  <c r="U138" i="16"/>
  <c r="U137" i="16"/>
  <c r="U136" i="16"/>
  <c r="U135" i="16"/>
  <c r="U134" i="16"/>
  <c r="U133" i="16"/>
  <c r="U132" i="16"/>
  <c r="U131" i="16"/>
  <c r="U130" i="16"/>
  <c r="U129" i="16"/>
  <c r="U123" i="16"/>
  <c r="U122" i="16"/>
  <c r="U121" i="16"/>
  <c r="U120" i="16"/>
  <c r="U119" i="16"/>
  <c r="U118" i="16"/>
  <c r="U117" i="16"/>
  <c r="U116" i="16"/>
  <c r="U115" i="16"/>
  <c r="U114" i="16"/>
  <c r="U113" i="16"/>
  <c r="U112" i="16"/>
  <c r="U111" i="16"/>
  <c r="U110" i="16"/>
  <c r="U109" i="16"/>
  <c r="U108" i="16"/>
  <c r="U102" i="16"/>
  <c r="U101" i="16"/>
  <c r="U100" i="16"/>
  <c r="U99" i="16"/>
  <c r="U98" i="16"/>
  <c r="U97" i="16"/>
  <c r="U96" i="16"/>
  <c r="U95" i="16"/>
  <c r="U94" i="16"/>
  <c r="U93" i="16"/>
  <c r="U92" i="16"/>
  <c r="U91" i="16"/>
  <c r="U90" i="16"/>
  <c r="U89" i="16"/>
  <c r="U88" i="16"/>
  <c r="U87" i="16"/>
  <c r="U81" i="16"/>
  <c r="U80" i="16"/>
  <c r="U79" i="16"/>
  <c r="U78" i="16"/>
  <c r="U77" i="16"/>
  <c r="U76" i="16"/>
  <c r="U75" i="16"/>
  <c r="U74" i="16"/>
  <c r="U73" i="16"/>
  <c r="U72" i="16"/>
  <c r="U71" i="16"/>
  <c r="U70" i="16"/>
  <c r="U69" i="16"/>
  <c r="U68" i="16"/>
  <c r="U67" i="16"/>
  <c r="U66" i="16"/>
  <c r="U60" i="16"/>
  <c r="U59" i="16"/>
  <c r="U58" i="16"/>
  <c r="U57" i="16"/>
  <c r="U56" i="16"/>
  <c r="U55" i="16"/>
  <c r="U54" i="16"/>
  <c r="U53" i="16"/>
  <c r="U52" i="16"/>
  <c r="U51" i="16"/>
  <c r="U50" i="16"/>
  <c r="U49" i="16"/>
  <c r="U48" i="16"/>
  <c r="U47" i="16"/>
  <c r="U46" i="16"/>
  <c r="U45" i="16"/>
  <c r="U39" i="16"/>
  <c r="U38" i="16"/>
  <c r="U37" i="16"/>
  <c r="U36" i="16"/>
  <c r="U35" i="16"/>
  <c r="U34" i="16"/>
  <c r="U33" i="16"/>
  <c r="U32" i="16"/>
  <c r="U31" i="16"/>
  <c r="U30" i="16"/>
  <c r="U29" i="16"/>
  <c r="U28" i="16"/>
  <c r="U27" i="16"/>
  <c r="U26" i="16"/>
  <c r="U25" i="16"/>
  <c r="U24" i="16"/>
  <c r="K16" i="16"/>
  <c r="J16" i="16"/>
  <c r="I16" i="16"/>
  <c r="F16" i="16"/>
  <c r="E16" i="16"/>
  <c r="K15" i="16"/>
  <c r="J15" i="16"/>
  <c r="I15" i="16"/>
  <c r="F15" i="16"/>
  <c r="E15" i="16"/>
  <c r="K14" i="16"/>
  <c r="J14" i="16"/>
  <c r="I14" i="16"/>
  <c r="F14" i="16"/>
  <c r="E14" i="16"/>
  <c r="K13" i="16"/>
  <c r="J13" i="16"/>
  <c r="I13" i="16"/>
  <c r="F13" i="16"/>
  <c r="E13" i="16"/>
  <c r="K12" i="16"/>
  <c r="J12" i="16"/>
  <c r="I12" i="16"/>
  <c r="F12" i="16"/>
  <c r="E12" i="16"/>
  <c r="K11" i="16"/>
  <c r="J11" i="16"/>
  <c r="I11" i="16"/>
  <c r="F11" i="16"/>
  <c r="E11" i="16"/>
  <c r="K10" i="16"/>
  <c r="J10" i="16"/>
  <c r="I10" i="16"/>
  <c r="F10" i="16"/>
  <c r="E10" i="16"/>
  <c r="K9" i="16"/>
  <c r="J9" i="16"/>
  <c r="I9" i="16"/>
  <c r="F9" i="16"/>
  <c r="E9" i="16"/>
  <c r="K8" i="16"/>
  <c r="J8" i="16"/>
  <c r="I8" i="16"/>
  <c r="F8" i="16"/>
  <c r="E8" i="16"/>
  <c r="K7" i="16"/>
  <c r="J7" i="16"/>
  <c r="I7" i="16"/>
  <c r="F7" i="16"/>
  <c r="E7" i="16"/>
  <c r="K6" i="16"/>
  <c r="J6" i="16"/>
  <c r="I6" i="16"/>
  <c r="F6" i="16"/>
  <c r="E6" i="16"/>
  <c r="K5" i="16"/>
  <c r="J5" i="16"/>
  <c r="I5" i="16"/>
  <c r="F5" i="16"/>
  <c r="E5" i="16"/>
  <c r="U270" i="15"/>
  <c r="U269" i="15"/>
  <c r="U268" i="15"/>
  <c r="U267" i="15"/>
  <c r="U266" i="15"/>
  <c r="U265" i="15"/>
  <c r="U264" i="15"/>
  <c r="U263" i="15"/>
  <c r="U262" i="15"/>
  <c r="U261" i="15"/>
  <c r="U260" i="15"/>
  <c r="U259" i="15"/>
  <c r="U258" i="15"/>
  <c r="U257" i="15"/>
  <c r="U256" i="15"/>
  <c r="U255" i="15"/>
  <c r="U249" i="15"/>
  <c r="U248" i="15"/>
  <c r="U247" i="15"/>
  <c r="U246" i="15"/>
  <c r="U245" i="15"/>
  <c r="U244" i="15"/>
  <c r="U243" i="15"/>
  <c r="U242" i="15"/>
  <c r="U241" i="15"/>
  <c r="U240" i="15"/>
  <c r="U239" i="15"/>
  <c r="U238" i="15"/>
  <c r="U237" i="15"/>
  <c r="U236" i="15"/>
  <c r="U235" i="15"/>
  <c r="U234" i="15"/>
  <c r="U228" i="15"/>
  <c r="U227" i="15"/>
  <c r="U226" i="15"/>
  <c r="U225" i="15"/>
  <c r="U224" i="15"/>
  <c r="U223" i="15"/>
  <c r="U222" i="15"/>
  <c r="U221" i="15"/>
  <c r="U220" i="15"/>
  <c r="U219" i="15"/>
  <c r="U218" i="15"/>
  <c r="U217" i="15"/>
  <c r="U216" i="15"/>
  <c r="U215" i="15"/>
  <c r="U214" i="15"/>
  <c r="U213" i="15"/>
  <c r="U207" i="15"/>
  <c r="U206" i="15"/>
  <c r="U205" i="15"/>
  <c r="U204" i="15"/>
  <c r="U203" i="15"/>
  <c r="U202" i="15"/>
  <c r="U201" i="15"/>
  <c r="U200" i="15"/>
  <c r="U199" i="15"/>
  <c r="U198" i="15"/>
  <c r="U197" i="15"/>
  <c r="U196" i="15"/>
  <c r="U195" i="15"/>
  <c r="U194" i="15"/>
  <c r="U193" i="15"/>
  <c r="U192" i="15"/>
  <c r="U186" i="15"/>
  <c r="U185" i="15"/>
  <c r="U184" i="15"/>
  <c r="U183" i="15"/>
  <c r="U182" i="15"/>
  <c r="U181" i="15"/>
  <c r="U180" i="15"/>
  <c r="U179" i="15"/>
  <c r="U178" i="15"/>
  <c r="U177" i="15"/>
  <c r="U176" i="15"/>
  <c r="U175" i="15"/>
  <c r="U174" i="15"/>
  <c r="U173" i="15"/>
  <c r="U172" i="15"/>
  <c r="U171" i="15"/>
  <c r="U165" i="15"/>
  <c r="U164" i="15"/>
  <c r="U163" i="15"/>
  <c r="U162" i="15"/>
  <c r="U161" i="15"/>
  <c r="U160" i="15"/>
  <c r="U159" i="15"/>
  <c r="U158" i="15"/>
  <c r="U157" i="15"/>
  <c r="U156" i="15"/>
  <c r="U155" i="15"/>
  <c r="U154" i="15"/>
  <c r="U153" i="15"/>
  <c r="U152" i="15"/>
  <c r="U151" i="15"/>
  <c r="U150" i="15"/>
  <c r="U144" i="15"/>
  <c r="U143" i="15"/>
  <c r="U142" i="15"/>
  <c r="U141" i="15"/>
  <c r="U140" i="15"/>
  <c r="U139" i="15"/>
  <c r="U138" i="15"/>
  <c r="U137" i="15"/>
  <c r="U136" i="15"/>
  <c r="U135" i="15"/>
  <c r="U134" i="15"/>
  <c r="U133" i="15"/>
  <c r="U132" i="15"/>
  <c r="U131" i="15"/>
  <c r="U130" i="15"/>
  <c r="U129" i="15"/>
  <c r="U123" i="15"/>
  <c r="U122" i="15"/>
  <c r="U121" i="15"/>
  <c r="U120" i="15"/>
  <c r="U119" i="15"/>
  <c r="U118" i="15"/>
  <c r="U117" i="15"/>
  <c r="U116" i="15"/>
  <c r="U115" i="15"/>
  <c r="U114" i="15"/>
  <c r="U113" i="15"/>
  <c r="U112" i="15"/>
  <c r="U111" i="15"/>
  <c r="U110" i="15"/>
  <c r="U109" i="15"/>
  <c r="U108" i="15"/>
  <c r="U102" i="15"/>
  <c r="U101" i="15"/>
  <c r="U100" i="15"/>
  <c r="U99" i="15"/>
  <c r="U98" i="15"/>
  <c r="U97" i="15"/>
  <c r="U96" i="15"/>
  <c r="U95" i="15"/>
  <c r="U94" i="15"/>
  <c r="U93" i="15"/>
  <c r="U92" i="15"/>
  <c r="U91" i="15"/>
  <c r="U90" i="15"/>
  <c r="U89" i="15"/>
  <c r="U88" i="15"/>
  <c r="U87" i="15"/>
  <c r="U81" i="15"/>
  <c r="U80" i="15"/>
  <c r="U79" i="15"/>
  <c r="U78" i="15"/>
  <c r="U77" i="15"/>
  <c r="U76" i="15"/>
  <c r="U75" i="15"/>
  <c r="U74" i="15"/>
  <c r="U73" i="15"/>
  <c r="U72" i="15"/>
  <c r="U71" i="15"/>
  <c r="U70" i="15"/>
  <c r="U69" i="15"/>
  <c r="U68" i="15"/>
  <c r="U67" i="15"/>
  <c r="U66" i="15"/>
  <c r="U60" i="15"/>
  <c r="U59" i="15"/>
  <c r="U58" i="15"/>
  <c r="U57" i="15"/>
  <c r="U56" i="15"/>
  <c r="U55" i="15"/>
  <c r="U54" i="15"/>
  <c r="U53" i="15"/>
  <c r="U52" i="15"/>
  <c r="U51" i="15"/>
  <c r="U50" i="15"/>
  <c r="U49" i="15"/>
  <c r="U48" i="15"/>
  <c r="U47" i="15"/>
  <c r="U46" i="15"/>
  <c r="U45" i="15"/>
  <c r="U39" i="15"/>
  <c r="U38" i="15"/>
  <c r="U37" i="15"/>
  <c r="U36" i="15"/>
  <c r="U35" i="15"/>
  <c r="U34" i="15"/>
  <c r="U33" i="15"/>
  <c r="U32" i="15"/>
  <c r="U31" i="15"/>
  <c r="U30" i="15"/>
  <c r="U29" i="15"/>
  <c r="U28" i="15"/>
  <c r="U27" i="15"/>
  <c r="U26" i="15"/>
  <c r="U25" i="15"/>
  <c r="U24" i="15"/>
  <c r="K16" i="15"/>
  <c r="J16" i="15"/>
  <c r="I16" i="15"/>
  <c r="F16" i="15"/>
  <c r="E16" i="15"/>
  <c r="K15" i="15"/>
  <c r="J15" i="15"/>
  <c r="I15" i="15"/>
  <c r="F15" i="15"/>
  <c r="E15" i="15"/>
  <c r="K14" i="15"/>
  <c r="J14" i="15"/>
  <c r="I14" i="15"/>
  <c r="F14" i="15"/>
  <c r="E14" i="15"/>
  <c r="K13" i="15"/>
  <c r="J13" i="15"/>
  <c r="I13" i="15"/>
  <c r="F13" i="15"/>
  <c r="E13" i="15"/>
  <c r="K12" i="15"/>
  <c r="J12" i="15"/>
  <c r="I12" i="15"/>
  <c r="F12" i="15"/>
  <c r="E12" i="15"/>
  <c r="K11" i="15"/>
  <c r="J11" i="15"/>
  <c r="I11" i="15"/>
  <c r="F11" i="15"/>
  <c r="E11" i="15"/>
  <c r="K10" i="15"/>
  <c r="J10" i="15"/>
  <c r="I10" i="15"/>
  <c r="F10" i="15"/>
  <c r="E10" i="15"/>
  <c r="K9" i="15"/>
  <c r="J9" i="15"/>
  <c r="I9" i="15"/>
  <c r="F9" i="15"/>
  <c r="E9" i="15"/>
  <c r="K8" i="15"/>
  <c r="J8" i="15"/>
  <c r="I8" i="15"/>
  <c r="F8" i="15"/>
  <c r="E8" i="15"/>
  <c r="K7" i="15"/>
  <c r="J7" i="15"/>
  <c r="I7" i="15"/>
  <c r="F7" i="15"/>
  <c r="E7" i="15"/>
  <c r="K6" i="15"/>
  <c r="J6" i="15"/>
  <c r="I6" i="15"/>
  <c r="F6" i="15"/>
  <c r="E6" i="15"/>
  <c r="K5" i="15"/>
  <c r="J5" i="15"/>
  <c r="I5" i="15"/>
  <c r="F5" i="15"/>
  <c r="E5" i="15"/>
  <c r="U270" i="14"/>
  <c r="U269" i="14"/>
  <c r="U268" i="14"/>
  <c r="U267" i="14"/>
  <c r="U266" i="14"/>
  <c r="U265" i="14"/>
  <c r="U264" i="14"/>
  <c r="U263" i="14"/>
  <c r="U262" i="14"/>
  <c r="U261" i="14"/>
  <c r="U260" i="14"/>
  <c r="U259" i="14"/>
  <c r="U258" i="14"/>
  <c r="U257" i="14"/>
  <c r="U256" i="14"/>
  <c r="U255" i="14"/>
  <c r="U249" i="14"/>
  <c r="U248" i="14"/>
  <c r="U247" i="14"/>
  <c r="U246" i="14"/>
  <c r="U245" i="14"/>
  <c r="U244" i="14"/>
  <c r="U243" i="14"/>
  <c r="U242" i="14"/>
  <c r="U241" i="14"/>
  <c r="U240" i="14"/>
  <c r="U239" i="14"/>
  <c r="U238" i="14"/>
  <c r="U237" i="14"/>
  <c r="U236" i="14"/>
  <c r="U235" i="14"/>
  <c r="U234" i="14"/>
  <c r="U228" i="14"/>
  <c r="U227" i="14"/>
  <c r="U226" i="14"/>
  <c r="U225" i="14"/>
  <c r="U224" i="14"/>
  <c r="U223" i="14"/>
  <c r="U222" i="14"/>
  <c r="U221" i="14"/>
  <c r="U220" i="14"/>
  <c r="U219" i="14"/>
  <c r="U218" i="14"/>
  <c r="U217" i="14"/>
  <c r="U216" i="14"/>
  <c r="U215" i="14"/>
  <c r="U214" i="14"/>
  <c r="U213" i="14"/>
  <c r="U207" i="14"/>
  <c r="U206" i="14"/>
  <c r="U205" i="14"/>
  <c r="U204" i="14"/>
  <c r="U203" i="14"/>
  <c r="U202" i="14"/>
  <c r="U201" i="14"/>
  <c r="U200" i="14"/>
  <c r="U199" i="14"/>
  <c r="U198" i="14"/>
  <c r="U197" i="14"/>
  <c r="U196" i="14"/>
  <c r="U195" i="14"/>
  <c r="U194" i="14"/>
  <c r="U193" i="14"/>
  <c r="U192" i="14"/>
  <c r="U186" i="14"/>
  <c r="U185" i="14"/>
  <c r="U184" i="14"/>
  <c r="U183" i="14"/>
  <c r="U182" i="14"/>
  <c r="U181" i="14"/>
  <c r="U180" i="14"/>
  <c r="U179" i="14"/>
  <c r="U178" i="14"/>
  <c r="U177" i="14"/>
  <c r="U176" i="14"/>
  <c r="U175" i="14"/>
  <c r="U174" i="14"/>
  <c r="U173" i="14"/>
  <c r="U172" i="14"/>
  <c r="U171" i="14"/>
  <c r="U165" i="14"/>
  <c r="U164" i="14"/>
  <c r="U163" i="14"/>
  <c r="U162" i="14"/>
  <c r="U161" i="14"/>
  <c r="U160" i="14"/>
  <c r="U159" i="14"/>
  <c r="U158" i="14"/>
  <c r="U157" i="14"/>
  <c r="U156" i="14"/>
  <c r="U155" i="14"/>
  <c r="U154" i="14"/>
  <c r="U153" i="14"/>
  <c r="U152" i="14"/>
  <c r="U151" i="14"/>
  <c r="U150" i="14"/>
  <c r="U144" i="14"/>
  <c r="U143" i="14"/>
  <c r="U142" i="14"/>
  <c r="U141" i="14"/>
  <c r="U140" i="14"/>
  <c r="U139" i="14"/>
  <c r="U138" i="14"/>
  <c r="U137" i="14"/>
  <c r="U136" i="14"/>
  <c r="U135" i="14"/>
  <c r="U134" i="14"/>
  <c r="U133" i="14"/>
  <c r="U132" i="14"/>
  <c r="U131" i="14"/>
  <c r="U130" i="14"/>
  <c r="U129" i="14"/>
  <c r="U123" i="14"/>
  <c r="U122" i="14"/>
  <c r="U121" i="14"/>
  <c r="U120" i="14"/>
  <c r="U119" i="14"/>
  <c r="U118" i="14"/>
  <c r="U117" i="14"/>
  <c r="U116" i="14"/>
  <c r="U115" i="14"/>
  <c r="U114" i="14"/>
  <c r="U113" i="14"/>
  <c r="U112" i="14"/>
  <c r="U111" i="14"/>
  <c r="U110" i="14"/>
  <c r="U109" i="14"/>
  <c r="U108" i="14"/>
  <c r="U102" i="14"/>
  <c r="U101" i="14"/>
  <c r="U100" i="14"/>
  <c r="U99" i="14"/>
  <c r="U98" i="14"/>
  <c r="U97" i="14"/>
  <c r="U96" i="14"/>
  <c r="U95" i="14"/>
  <c r="U94" i="14"/>
  <c r="U93" i="14"/>
  <c r="U92" i="14"/>
  <c r="U91" i="14"/>
  <c r="U90" i="14"/>
  <c r="U89" i="14"/>
  <c r="U88" i="14"/>
  <c r="U87" i="14"/>
  <c r="U81" i="14"/>
  <c r="U80" i="14"/>
  <c r="U79" i="14"/>
  <c r="U78" i="14"/>
  <c r="U77" i="14"/>
  <c r="U76" i="14"/>
  <c r="U75" i="14"/>
  <c r="U74" i="14"/>
  <c r="U73" i="14"/>
  <c r="U72" i="14"/>
  <c r="U71" i="14"/>
  <c r="U70" i="14"/>
  <c r="U69" i="14"/>
  <c r="U68" i="14"/>
  <c r="U67" i="14"/>
  <c r="U66" i="14"/>
  <c r="U60" i="14"/>
  <c r="U59" i="14"/>
  <c r="U58" i="14"/>
  <c r="U57" i="14"/>
  <c r="U56" i="14"/>
  <c r="U55" i="14"/>
  <c r="U54" i="14"/>
  <c r="U53" i="14"/>
  <c r="U52" i="14"/>
  <c r="U51" i="14"/>
  <c r="U50" i="14"/>
  <c r="U49" i="14"/>
  <c r="U48" i="14"/>
  <c r="U47" i="14"/>
  <c r="U46" i="14"/>
  <c r="U45" i="14"/>
  <c r="U39" i="14"/>
  <c r="U38" i="14"/>
  <c r="U37" i="14"/>
  <c r="U36" i="14"/>
  <c r="U35" i="14"/>
  <c r="U34" i="14"/>
  <c r="U33" i="14"/>
  <c r="U32" i="14"/>
  <c r="U31" i="14"/>
  <c r="U30" i="14"/>
  <c r="U29" i="14"/>
  <c r="U28" i="14"/>
  <c r="U27" i="14"/>
  <c r="U26" i="14"/>
  <c r="U25" i="14"/>
  <c r="U24" i="14"/>
  <c r="K16" i="14"/>
  <c r="J16" i="14"/>
  <c r="I16" i="14"/>
  <c r="F16" i="14"/>
  <c r="E16" i="14"/>
  <c r="K15" i="14"/>
  <c r="J15" i="14"/>
  <c r="I15" i="14"/>
  <c r="F15" i="14"/>
  <c r="E15" i="14"/>
  <c r="K14" i="14"/>
  <c r="J14" i="14"/>
  <c r="I14" i="14"/>
  <c r="F14" i="14"/>
  <c r="E14" i="14"/>
  <c r="K13" i="14"/>
  <c r="J13" i="14"/>
  <c r="I13" i="14"/>
  <c r="F13" i="14"/>
  <c r="E13" i="14"/>
  <c r="K12" i="14"/>
  <c r="J12" i="14"/>
  <c r="I12" i="14"/>
  <c r="F12" i="14"/>
  <c r="E12" i="14"/>
  <c r="K11" i="14"/>
  <c r="J11" i="14"/>
  <c r="I11" i="14"/>
  <c r="F11" i="14"/>
  <c r="E11" i="14"/>
  <c r="K10" i="14"/>
  <c r="J10" i="14"/>
  <c r="I10" i="14"/>
  <c r="F10" i="14"/>
  <c r="E10" i="14"/>
  <c r="K9" i="14"/>
  <c r="J9" i="14"/>
  <c r="I9" i="14"/>
  <c r="F9" i="14"/>
  <c r="E9" i="14"/>
  <c r="K8" i="14"/>
  <c r="J8" i="14"/>
  <c r="I8" i="14"/>
  <c r="F8" i="14"/>
  <c r="E8" i="14"/>
  <c r="K7" i="14"/>
  <c r="J7" i="14"/>
  <c r="I7" i="14"/>
  <c r="F7" i="14"/>
  <c r="E7" i="14"/>
  <c r="K6" i="14"/>
  <c r="J6" i="14"/>
  <c r="I6" i="14"/>
  <c r="F6" i="14"/>
  <c r="E6" i="14"/>
  <c r="K5" i="14"/>
  <c r="J5" i="14"/>
  <c r="I5" i="14"/>
  <c r="F5" i="14"/>
  <c r="E5" i="14"/>
  <c r="U270" i="13"/>
  <c r="U269" i="13"/>
  <c r="U268" i="13"/>
  <c r="U267" i="13"/>
  <c r="U266" i="13"/>
  <c r="U265" i="13"/>
  <c r="U264" i="13"/>
  <c r="U263" i="13"/>
  <c r="U262" i="13"/>
  <c r="U261" i="13"/>
  <c r="U260" i="13"/>
  <c r="U259" i="13"/>
  <c r="U258" i="13"/>
  <c r="U257" i="13"/>
  <c r="U256" i="13"/>
  <c r="U255" i="13"/>
  <c r="U249" i="13"/>
  <c r="U248" i="13"/>
  <c r="U247" i="13"/>
  <c r="U246" i="13"/>
  <c r="U245" i="13"/>
  <c r="U244" i="13"/>
  <c r="U243" i="13"/>
  <c r="U242" i="13"/>
  <c r="U241" i="13"/>
  <c r="U240" i="13"/>
  <c r="U239" i="13"/>
  <c r="U238" i="13"/>
  <c r="U237" i="13"/>
  <c r="U236" i="13"/>
  <c r="U235" i="13"/>
  <c r="U234" i="13"/>
  <c r="U228" i="13"/>
  <c r="U227" i="13"/>
  <c r="U226" i="13"/>
  <c r="U225" i="13"/>
  <c r="U224" i="13"/>
  <c r="U223" i="13"/>
  <c r="U222" i="13"/>
  <c r="U221" i="13"/>
  <c r="U220" i="13"/>
  <c r="U219" i="13"/>
  <c r="U218" i="13"/>
  <c r="U217" i="13"/>
  <c r="U216" i="13"/>
  <c r="U215" i="13"/>
  <c r="U214" i="13"/>
  <c r="U213" i="13"/>
  <c r="U207" i="13"/>
  <c r="U206" i="13"/>
  <c r="U205" i="13"/>
  <c r="U204" i="13"/>
  <c r="U203" i="13"/>
  <c r="U202" i="13"/>
  <c r="U201" i="13"/>
  <c r="U200" i="13"/>
  <c r="U199" i="13"/>
  <c r="U198" i="13"/>
  <c r="U197" i="13"/>
  <c r="U196" i="13"/>
  <c r="U195" i="13"/>
  <c r="U194" i="13"/>
  <c r="U193" i="13"/>
  <c r="U192" i="13"/>
  <c r="U186" i="13"/>
  <c r="U185" i="13"/>
  <c r="U184" i="13"/>
  <c r="U183" i="13"/>
  <c r="U182" i="13"/>
  <c r="U181" i="13"/>
  <c r="U180" i="13"/>
  <c r="U179" i="13"/>
  <c r="U178" i="13"/>
  <c r="U177" i="13"/>
  <c r="U176" i="13"/>
  <c r="U175" i="13"/>
  <c r="U174" i="13"/>
  <c r="U173" i="13"/>
  <c r="U172" i="13"/>
  <c r="U171" i="13"/>
  <c r="U165" i="13"/>
  <c r="U164" i="13"/>
  <c r="U163" i="13"/>
  <c r="U162" i="13"/>
  <c r="U161" i="13"/>
  <c r="U160" i="13"/>
  <c r="U159" i="13"/>
  <c r="U158" i="13"/>
  <c r="U157" i="13"/>
  <c r="U156" i="13"/>
  <c r="U155" i="13"/>
  <c r="U154" i="13"/>
  <c r="U153" i="13"/>
  <c r="U152" i="13"/>
  <c r="U151" i="13"/>
  <c r="U150" i="13"/>
  <c r="U144" i="13"/>
  <c r="U143" i="13"/>
  <c r="U142" i="13"/>
  <c r="U141" i="13"/>
  <c r="U140" i="13"/>
  <c r="U139" i="13"/>
  <c r="U138" i="13"/>
  <c r="U137" i="13"/>
  <c r="U136" i="13"/>
  <c r="U135" i="13"/>
  <c r="U134" i="13"/>
  <c r="U133" i="13"/>
  <c r="U132" i="13"/>
  <c r="U131" i="13"/>
  <c r="U130" i="13"/>
  <c r="U129" i="13"/>
  <c r="U123" i="13"/>
  <c r="U122" i="13"/>
  <c r="U121" i="13"/>
  <c r="U120" i="13"/>
  <c r="U119" i="13"/>
  <c r="U118" i="13"/>
  <c r="U117" i="13"/>
  <c r="U116" i="13"/>
  <c r="U115" i="13"/>
  <c r="U114" i="13"/>
  <c r="U113" i="13"/>
  <c r="U112" i="13"/>
  <c r="U111" i="13"/>
  <c r="U110" i="13"/>
  <c r="U109" i="13"/>
  <c r="U108" i="13"/>
  <c r="U102" i="13"/>
  <c r="U101" i="13"/>
  <c r="U100" i="13"/>
  <c r="U99" i="13"/>
  <c r="U98" i="13"/>
  <c r="U97" i="13"/>
  <c r="U96" i="13"/>
  <c r="U95" i="13"/>
  <c r="U94" i="13"/>
  <c r="U93" i="13"/>
  <c r="U92" i="13"/>
  <c r="U91" i="13"/>
  <c r="U90" i="13"/>
  <c r="U89" i="13"/>
  <c r="U88" i="13"/>
  <c r="U87" i="13"/>
  <c r="U81" i="13"/>
  <c r="U80" i="13"/>
  <c r="U79" i="13"/>
  <c r="U78" i="13"/>
  <c r="U77" i="13"/>
  <c r="U76" i="13"/>
  <c r="U75" i="13"/>
  <c r="U74" i="13"/>
  <c r="U73" i="13"/>
  <c r="U72" i="13"/>
  <c r="U71" i="13"/>
  <c r="U70" i="13"/>
  <c r="U69" i="13"/>
  <c r="U68" i="13"/>
  <c r="U67" i="13"/>
  <c r="U66" i="13"/>
  <c r="U60" i="13"/>
  <c r="U59" i="13"/>
  <c r="U58" i="13"/>
  <c r="U57" i="13"/>
  <c r="U56" i="13"/>
  <c r="U55" i="13"/>
  <c r="U54" i="13"/>
  <c r="U53" i="13"/>
  <c r="U52" i="13"/>
  <c r="U51" i="13"/>
  <c r="U50" i="13"/>
  <c r="U49" i="13"/>
  <c r="U48" i="13"/>
  <c r="U47" i="13"/>
  <c r="U46" i="13"/>
  <c r="U45" i="13"/>
  <c r="U39" i="13"/>
  <c r="U38" i="13"/>
  <c r="U37" i="13"/>
  <c r="U36" i="13"/>
  <c r="U35" i="13"/>
  <c r="U34" i="13"/>
  <c r="U33" i="13"/>
  <c r="U32" i="13"/>
  <c r="U31" i="13"/>
  <c r="U30" i="13"/>
  <c r="U29" i="13"/>
  <c r="U28" i="13"/>
  <c r="U27" i="13"/>
  <c r="U26" i="13"/>
  <c r="U25" i="13"/>
  <c r="U24" i="13"/>
  <c r="K16" i="13"/>
  <c r="J16" i="13"/>
  <c r="I16" i="13"/>
  <c r="F16" i="13"/>
  <c r="E16" i="13"/>
  <c r="K15" i="13"/>
  <c r="J15" i="13"/>
  <c r="I15" i="13"/>
  <c r="F15" i="13"/>
  <c r="E15" i="13"/>
  <c r="K14" i="13"/>
  <c r="J14" i="13"/>
  <c r="I14" i="13"/>
  <c r="F14" i="13"/>
  <c r="E14" i="13"/>
  <c r="K13" i="13"/>
  <c r="J13" i="13"/>
  <c r="I13" i="13"/>
  <c r="F13" i="13"/>
  <c r="E13" i="13"/>
  <c r="K12" i="13"/>
  <c r="J12" i="13"/>
  <c r="I12" i="13"/>
  <c r="F12" i="13"/>
  <c r="E12" i="13"/>
  <c r="K11" i="13"/>
  <c r="J11" i="13"/>
  <c r="I11" i="13"/>
  <c r="F11" i="13"/>
  <c r="E11" i="13"/>
  <c r="K10" i="13"/>
  <c r="J10" i="13"/>
  <c r="I10" i="13"/>
  <c r="F10" i="13"/>
  <c r="E10" i="13"/>
  <c r="K9" i="13"/>
  <c r="J9" i="13"/>
  <c r="I9" i="13"/>
  <c r="F9" i="13"/>
  <c r="E9" i="13"/>
  <c r="K8" i="13"/>
  <c r="J8" i="13"/>
  <c r="I8" i="13"/>
  <c r="F8" i="13"/>
  <c r="E8" i="13"/>
  <c r="K7" i="13"/>
  <c r="J7" i="13"/>
  <c r="I7" i="13"/>
  <c r="F7" i="13"/>
  <c r="E7" i="13"/>
  <c r="K6" i="13"/>
  <c r="J6" i="13"/>
  <c r="I6" i="13"/>
  <c r="F6" i="13"/>
  <c r="E6" i="13"/>
  <c r="K5" i="13"/>
  <c r="J5" i="13"/>
  <c r="I5" i="13"/>
  <c r="F5" i="13"/>
  <c r="E5" i="13"/>
  <c r="U270" i="12"/>
  <c r="U269" i="12"/>
  <c r="U268" i="12"/>
  <c r="U267" i="12"/>
  <c r="U266" i="12"/>
  <c r="U265" i="12"/>
  <c r="U264" i="12"/>
  <c r="U263" i="12"/>
  <c r="U262" i="12"/>
  <c r="U261" i="12"/>
  <c r="U260" i="12"/>
  <c r="U259" i="12"/>
  <c r="U258" i="12"/>
  <c r="U257" i="12"/>
  <c r="U256" i="12"/>
  <c r="U255" i="12"/>
  <c r="U249" i="12"/>
  <c r="U248" i="12"/>
  <c r="U247" i="12"/>
  <c r="U246" i="12"/>
  <c r="U245" i="12"/>
  <c r="U244" i="12"/>
  <c r="U243" i="12"/>
  <c r="U242" i="12"/>
  <c r="U241" i="12"/>
  <c r="U240" i="12"/>
  <c r="U239" i="12"/>
  <c r="U238" i="12"/>
  <c r="U237" i="12"/>
  <c r="U236" i="12"/>
  <c r="U235" i="12"/>
  <c r="U234" i="12"/>
  <c r="U228" i="12"/>
  <c r="U227" i="12"/>
  <c r="U226" i="12"/>
  <c r="U225" i="12"/>
  <c r="U224" i="12"/>
  <c r="U223" i="12"/>
  <c r="U222" i="12"/>
  <c r="U221" i="12"/>
  <c r="U220" i="12"/>
  <c r="U219" i="12"/>
  <c r="U218" i="12"/>
  <c r="U217" i="12"/>
  <c r="U216" i="12"/>
  <c r="U215" i="12"/>
  <c r="U214" i="12"/>
  <c r="U213" i="12"/>
  <c r="U207" i="12"/>
  <c r="U206" i="12"/>
  <c r="U205" i="12"/>
  <c r="U204" i="12"/>
  <c r="U203" i="12"/>
  <c r="U202" i="12"/>
  <c r="U201" i="12"/>
  <c r="U200" i="12"/>
  <c r="U199" i="12"/>
  <c r="U198" i="12"/>
  <c r="U197" i="12"/>
  <c r="U196" i="12"/>
  <c r="U195" i="12"/>
  <c r="U194" i="12"/>
  <c r="U193" i="12"/>
  <c r="U192" i="12"/>
  <c r="U186" i="12"/>
  <c r="U185" i="12"/>
  <c r="U184" i="12"/>
  <c r="U183" i="12"/>
  <c r="U182" i="12"/>
  <c r="U181" i="12"/>
  <c r="U180" i="12"/>
  <c r="U179" i="12"/>
  <c r="U178" i="12"/>
  <c r="U177" i="12"/>
  <c r="U176" i="12"/>
  <c r="U175" i="12"/>
  <c r="U174" i="12"/>
  <c r="U173" i="12"/>
  <c r="U172" i="12"/>
  <c r="U171" i="12"/>
  <c r="U165" i="12"/>
  <c r="U164" i="12"/>
  <c r="U163" i="12"/>
  <c r="U162" i="12"/>
  <c r="U161" i="12"/>
  <c r="U160" i="12"/>
  <c r="U159" i="12"/>
  <c r="U158" i="12"/>
  <c r="U157" i="12"/>
  <c r="U156" i="12"/>
  <c r="U155" i="12"/>
  <c r="U154" i="12"/>
  <c r="U153" i="12"/>
  <c r="U152" i="12"/>
  <c r="U151" i="12"/>
  <c r="U150" i="12"/>
  <c r="U144" i="12"/>
  <c r="U143" i="12"/>
  <c r="U142" i="12"/>
  <c r="U141" i="12"/>
  <c r="U140" i="12"/>
  <c r="U139" i="12"/>
  <c r="U138" i="12"/>
  <c r="U137" i="12"/>
  <c r="U136" i="12"/>
  <c r="U135" i="12"/>
  <c r="U134" i="12"/>
  <c r="U133" i="12"/>
  <c r="U132" i="12"/>
  <c r="U131" i="12"/>
  <c r="U130" i="12"/>
  <c r="U129" i="12"/>
  <c r="U123" i="12"/>
  <c r="U122" i="12"/>
  <c r="U121" i="12"/>
  <c r="U120" i="12"/>
  <c r="U119" i="12"/>
  <c r="U118" i="12"/>
  <c r="U117" i="12"/>
  <c r="U116" i="12"/>
  <c r="U115" i="12"/>
  <c r="U114" i="12"/>
  <c r="U113" i="12"/>
  <c r="U112" i="12"/>
  <c r="U111" i="12"/>
  <c r="U110" i="12"/>
  <c r="U109" i="12"/>
  <c r="U108" i="12"/>
  <c r="U102" i="12"/>
  <c r="U101" i="12"/>
  <c r="U100" i="12"/>
  <c r="U99" i="12"/>
  <c r="U98" i="12"/>
  <c r="U97" i="12"/>
  <c r="U96" i="12"/>
  <c r="U95" i="12"/>
  <c r="U94" i="12"/>
  <c r="U93" i="12"/>
  <c r="U92" i="12"/>
  <c r="U91" i="12"/>
  <c r="U90" i="12"/>
  <c r="U89" i="12"/>
  <c r="U88" i="12"/>
  <c r="U87" i="12"/>
  <c r="U81" i="12"/>
  <c r="U80" i="12"/>
  <c r="U79" i="12"/>
  <c r="U78" i="12"/>
  <c r="U77" i="12"/>
  <c r="U76" i="12"/>
  <c r="U75" i="12"/>
  <c r="U74" i="12"/>
  <c r="U73" i="12"/>
  <c r="U72" i="12"/>
  <c r="U71" i="12"/>
  <c r="U70" i="12"/>
  <c r="U69" i="12"/>
  <c r="U68" i="12"/>
  <c r="U67" i="12"/>
  <c r="U66" i="12"/>
  <c r="U60" i="12"/>
  <c r="U59" i="12"/>
  <c r="U58" i="12"/>
  <c r="U57" i="12"/>
  <c r="U56" i="12"/>
  <c r="U55" i="12"/>
  <c r="U54" i="12"/>
  <c r="U53" i="12"/>
  <c r="U52" i="12"/>
  <c r="U51" i="12"/>
  <c r="U50" i="12"/>
  <c r="U49" i="12"/>
  <c r="U48" i="12"/>
  <c r="U47" i="12"/>
  <c r="U46" i="12"/>
  <c r="U45" i="12"/>
  <c r="U39" i="12"/>
  <c r="U38" i="12"/>
  <c r="U37" i="12"/>
  <c r="U36" i="12"/>
  <c r="U35" i="12"/>
  <c r="U34" i="12"/>
  <c r="U33" i="12"/>
  <c r="U32" i="12"/>
  <c r="U31" i="12"/>
  <c r="U30" i="12"/>
  <c r="U29" i="12"/>
  <c r="U28" i="12"/>
  <c r="U27" i="12"/>
  <c r="U26" i="12"/>
  <c r="U25" i="12"/>
  <c r="U24" i="12"/>
  <c r="K16" i="12"/>
  <c r="J16" i="12"/>
  <c r="I16" i="12"/>
  <c r="F16" i="12"/>
  <c r="E16" i="12"/>
  <c r="K15" i="12"/>
  <c r="J15" i="12"/>
  <c r="I15" i="12"/>
  <c r="F15" i="12"/>
  <c r="E15" i="12"/>
  <c r="K14" i="12"/>
  <c r="J14" i="12"/>
  <c r="I14" i="12"/>
  <c r="F14" i="12"/>
  <c r="E14" i="12"/>
  <c r="K13" i="12"/>
  <c r="J13" i="12"/>
  <c r="I13" i="12"/>
  <c r="F13" i="12"/>
  <c r="E13" i="12"/>
  <c r="K12" i="12"/>
  <c r="J12" i="12"/>
  <c r="I12" i="12"/>
  <c r="F12" i="12"/>
  <c r="E12" i="12"/>
  <c r="K11" i="12"/>
  <c r="J11" i="12"/>
  <c r="I11" i="12"/>
  <c r="F11" i="12"/>
  <c r="E11" i="12"/>
  <c r="K10" i="12"/>
  <c r="J10" i="12"/>
  <c r="I10" i="12"/>
  <c r="F10" i="12"/>
  <c r="E10" i="12"/>
  <c r="K9" i="12"/>
  <c r="J9" i="12"/>
  <c r="I9" i="12"/>
  <c r="F9" i="12"/>
  <c r="E9" i="12"/>
  <c r="K8" i="12"/>
  <c r="J8" i="12"/>
  <c r="I8" i="12"/>
  <c r="F8" i="12"/>
  <c r="E8" i="12"/>
  <c r="K7" i="12"/>
  <c r="J7" i="12"/>
  <c r="I7" i="12"/>
  <c r="F7" i="12"/>
  <c r="E7" i="12"/>
  <c r="K6" i="12"/>
  <c r="J6" i="12"/>
  <c r="I6" i="12"/>
  <c r="F6" i="12"/>
  <c r="E6" i="12"/>
  <c r="K5" i="12"/>
  <c r="J5" i="12"/>
  <c r="I5" i="12"/>
  <c r="F5" i="12"/>
  <c r="E5" i="12"/>
  <c r="U270" i="11"/>
  <c r="U269" i="11"/>
  <c r="U268" i="11"/>
  <c r="U267" i="11"/>
  <c r="U266" i="11"/>
  <c r="U265" i="11"/>
  <c r="U264" i="11"/>
  <c r="U263" i="11"/>
  <c r="U262" i="11"/>
  <c r="U261" i="11"/>
  <c r="U260" i="11"/>
  <c r="U259" i="11"/>
  <c r="U258" i="11"/>
  <c r="U257" i="11"/>
  <c r="U256" i="11"/>
  <c r="U255" i="11"/>
  <c r="U249" i="11"/>
  <c r="U248" i="11"/>
  <c r="U247" i="11"/>
  <c r="U246" i="11"/>
  <c r="U245" i="11"/>
  <c r="U244" i="11"/>
  <c r="U243" i="11"/>
  <c r="U242" i="11"/>
  <c r="U241" i="11"/>
  <c r="U240" i="11"/>
  <c r="U239" i="11"/>
  <c r="U238" i="11"/>
  <c r="U237" i="11"/>
  <c r="U236" i="11"/>
  <c r="U235" i="11"/>
  <c r="U234" i="11"/>
  <c r="U228" i="11"/>
  <c r="U227" i="11"/>
  <c r="U226" i="11"/>
  <c r="U225" i="11"/>
  <c r="U224" i="11"/>
  <c r="U223" i="11"/>
  <c r="U222" i="11"/>
  <c r="U221" i="11"/>
  <c r="U220" i="11"/>
  <c r="U219" i="11"/>
  <c r="U218" i="11"/>
  <c r="U217" i="11"/>
  <c r="U216" i="11"/>
  <c r="U215" i="11"/>
  <c r="U214" i="11"/>
  <c r="U213" i="11"/>
  <c r="U207" i="11"/>
  <c r="U206" i="11"/>
  <c r="U205" i="11"/>
  <c r="U204" i="11"/>
  <c r="U203" i="11"/>
  <c r="U202" i="11"/>
  <c r="U201" i="11"/>
  <c r="U200" i="11"/>
  <c r="U199" i="11"/>
  <c r="U198" i="11"/>
  <c r="U197" i="11"/>
  <c r="U196" i="11"/>
  <c r="U195" i="11"/>
  <c r="U194" i="11"/>
  <c r="U193" i="11"/>
  <c r="U192" i="11"/>
  <c r="U186" i="11"/>
  <c r="U185" i="11"/>
  <c r="U184" i="11"/>
  <c r="U183" i="11"/>
  <c r="U182" i="11"/>
  <c r="U181" i="11"/>
  <c r="U180" i="11"/>
  <c r="U179" i="11"/>
  <c r="U178" i="11"/>
  <c r="U177" i="11"/>
  <c r="U176" i="11"/>
  <c r="U175" i="11"/>
  <c r="U174" i="11"/>
  <c r="U173" i="11"/>
  <c r="U172" i="11"/>
  <c r="U171" i="11"/>
  <c r="U165" i="11"/>
  <c r="U164" i="11"/>
  <c r="U163" i="11"/>
  <c r="U162" i="11"/>
  <c r="U161" i="11"/>
  <c r="U160" i="11"/>
  <c r="U159" i="11"/>
  <c r="U158" i="11"/>
  <c r="U157" i="11"/>
  <c r="U156" i="11"/>
  <c r="U155" i="11"/>
  <c r="U154" i="11"/>
  <c r="U153" i="11"/>
  <c r="U152" i="11"/>
  <c r="U151" i="11"/>
  <c r="U150" i="11"/>
  <c r="U144" i="11"/>
  <c r="U143" i="11"/>
  <c r="U142" i="11"/>
  <c r="U141" i="11"/>
  <c r="U140" i="11"/>
  <c r="U139" i="11"/>
  <c r="U138" i="11"/>
  <c r="U137" i="11"/>
  <c r="U136" i="11"/>
  <c r="U135" i="11"/>
  <c r="U134" i="11"/>
  <c r="U133" i="11"/>
  <c r="U132" i="11"/>
  <c r="U131" i="11"/>
  <c r="U130" i="11"/>
  <c r="U129" i="11"/>
  <c r="U123" i="11"/>
  <c r="U122" i="11"/>
  <c r="U121" i="11"/>
  <c r="U120" i="11"/>
  <c r="U119" i="11"/>
  <c r="U118" i="11"/>
  <c r="U117" i="11"/>
  <c r="U116" i="11"/>
  <c r="U115" i="11"/>
  <c r="U114" i="11"/>
  <c r="U113" i="11"/>
  <c r="U112" i="11"/>
  <c r="U111" i="11"/>
  <c r="U110" i="11"/>
  <c r="U109" i="11"/>
  <c r="U108" i="11"/>
  <c r="U102" i="11"/>
  <c r="U101" i="11"/>
  <c r="U100" i="11"/>
  <c r="U99" i="11"/>
  <c r="U98" i="11"/>
  <c r="U97" i="11"/>
  <c r="U96" i="11"/>
  <c r="U95" i="11"/>
  <c r="U94" i="11"/>
  <c r="U93" i="11"/>
  <c r="U92" i="11"/>
  <c r="U91" i="11"/>
  <c r="U90" i="11"/>
  <c r="U89" i="11"/>
  <c r="U88" i="11"/>
  <c r="U87" i="11"/>
  <c r="U81" i="11"/>
  <c r="U80" i="11"/>
  <c r="U79" i="11"/>
  <c r="U78" i="11"/>
  <c r="U77" i="11"/>
  <c r="U76" i="11"/>
  <c r="U75" i="11"/>
  <c r="U74" i="11"/>
  <c r="U73" i="11"/>
  <c r="U72" i="11"/>
  <c r="U71" i="11"/>
  <c r="U70" i="11"/>
  <c r="U69" i="11"/>
  <c r="U68" i="11"/>
  <c r="U67" i="11"/>
  <c r="U66" i="11"/>
  <c r="U60" i="11"/>
  <c r="U59" i="11"/>
  <c r="U58" i="11"/>
  <c r="U57" i="11"/>
  <c r="U56" i="11"/>
  <c r="U55" i="11"/>
  <c r="U54" i="11"/>
  <c r="U53" i="11"/>
  <c r="U52" i="11"/>
  <c r="U51" i="11"/>
  <c r="U50" i="11"/>
  <c r="U49" i="11"/>
  <c r="U48" i="11"/>
  <c r="U47" i="11"/>
  <c r="U46" i="11"/>
  <c r="U45" i="11"/>
  <c r="U39" i="11"/>
  <c r="U38" i="11"/>
  <c r="U37" i="11"/>
  <c r="U36" i="11"/>
  <c r="U35" i="11"/>
  <c r="U34" i="11"/>
  <c r="U33" i="11"/>
  <c r="U32" i="11"/>
  <c r="U31" i="11"/>
  <c r="U30" i="11"/>
  <c r="U29" i="11"/>
  <c r="U28" i="11"/>
  <c r="U27" i="11"/>
  <c r="U26" i="11"/>
  <c r="U25" i="11"/>
  <c r="U24" i="11"/>
  <c r="K16" i="11"/>
  <c r="J16" i="11"/>
  <c r="I16" i="11"/>
  <c r="F16" i="11"/>
  <c r="E16" i="11"/>
  <c r="K15" i="11"/>
  <c r="J15" i="11"/>
  <c r="I15" i="11"/>
  <c r="F15" i="11"/>
  <c r="E15" i="11"/>
  <c r="K14" i="11"/>
  <c r="J14" i="11"/>
  <c r="I14" i="11"/>
  <c r="F14" i="11"/>
  <c r="E14" i="11"/>
  <c r="K13" i="11"/>
  <c r="J13" i="11"/>
  <c r="I13" i="11"/>
  <c r="F13" i="11"/>
  <c r="E13" i="11"/>
  <c r="K12" i="11"/>
  <c r="J12" i="11"/>
  <c r="I12" i="11"/>
  <c r="F12" i="11"/>
  <c r="E12" i="11"/>
  <c r="K11" i="11"/>
  <c r="J11" i="11"/>
  <c r="I11" i="11"/>
  <c r="F11" i="11"/>
  <c r="E11" i="11"/>
  <c r="K10" i="11"/>
  <c r="J10" i="11"/>
  <c r="I10" i="11"/>
  <c r="F10" i="11"/>
  <c r="E10" i="11"/>
  <c r="K9" i="11"/>
  <c r="J9" i="11"/>
  <c r="I9" i="11"/>
  <c r="F9" i="11"/>
  <c r="E9" i="11"/>
  <c r="K8" i="11"/>
  <c r="J8" i="11"/>
  <c r="I8" i="11"/>
  <c r="F8" i="11"/>
  <c r="E8" i="11"/>
  <c r="K7" i="11"/>
  <c r="J7" i="11"/>
  <c r="I7" i="11"/>
  <c r="F7" i="11"/>
  <c r="E7" i="11"/>
  <c r="K6" i="11"/>
  <c r="J6" i="11"/>
  <c r="I6" i="11"/>
  <c r="F6" i="11"/>
  <c r="E6" i="11"/>
  <c r="K5" i="11"/>
  <c r="J5" i="11"/>
  <c r="I5" i="11"/>
  <c r="F5" i="11"/>
  <c r="E5" i="11"/>
  <c r="U270" i="9"/>
  <c r="U269" i="9"/>
  <c r="U268" i="9"/>
  <c r="U267" i="9"/>
  <c r="U266" i="9"/>
  <c r="U265" i="9"/>
  <c r="U264" i="9"/>
  <c r="U263" i="9"/>
  <c r="U262" i="9"/>
  <c r="U261" i="9"/>
  <c r="U260" i="9"/>
  <c r="U259" i="9"/>
  <c r="U258" i="9"/>
  <c r="U257" i="9"/>
  <c r="U256" i="9"/>
  <c r="U255" i="9"/>
  <c r="U249" i="9"/>
  <c r="U248" i="9"/>
  <c r="U247" i="9"/>
  <c r="U246" i="9"/>
  <c r="U245" i="9"/>
  <c r="U244" i="9"/>
  <c r="U243" i="9"/>
  <c r="U242" i="9"/>
  <c r="U241" i="9"/>
  <c r="U240" i="9"/>
  <c r="U239" i="9"/>
  <c r="U238" i="9"/>
  <c r="U237" i="9"/>
  <c r="U236" i="9"/>
  <c r="U235" i="9"/>
  <c r="U234" i="9"/>
  <c r="U228" i="9"/>
  <c r="U227" i="9"/>
  <c r="U226" i="9"/>
  <c r="U225" i="9"/>
  <c r="U224" i="9"/>
  <c r="U223" i="9"/>
  <c r="U222" i="9"/>
  <c r="U221" i="9"/>
  <c r="U220" i="9"/>
  <c r="U219" i="9"/>
  <c r="U218" i="9"/>
  <c r="U217" i="9"/>
  <c r="U216" i="9"/>
  <c r="U215" i="9"/>
  <c r="U214" i="9"/>
  <c r="U213" i="9"/>
  <c r="U207" i="9"/>
  <c r="U206" i="9"/>
  <c r="U205" i="9"/>
  <c r="U204" i="9"/>
  <c r="U203" i="9"/>
  <c r="U202" i="9"/>
  <c r="U201" i="9"/>
  <c r="U200" i="9"/>
  <c r="U199" i="9"/>
  <c r="U198" i="9"/>
  <c r="U197" i="9"/>
  <c r="U196" i="9"/>
  <c r="U195" i="9"/>
  <c r="U194" i="9"/>
  <c r="U193" i="9"/>
  <c r="U192" i="9"/>
  <c r="U186" i="9"/>
  <c r="U185" i="9"/>
  <c r="U184" i="9"/>
  <c r="U183" i="9"/>
  <c r="U182" i="9"/>
  <c r="U181" i="9"/>
  <c r="U180" i="9"/>
  <c r="U179" i="9"/>
  <c r="U178" i="9"/>
  <c r="U177" i="9"/>
  <c r="U176" i="9"/>
  <c r="U175" i="9"/>
  <c r="U174" i="9"/>
  <c r="U173" i="9"/>
  <c r="U172" i="9"/>
  <c r="U171" i="9"/>
  <c r="U165" i="9"/>
  <c r="U164" i="9"/>
  <c r="U163" i="9"/>
  <c r="U162" i="9"/>
  <c r="U161" i="9"/>
  <c r="U160" i="9"/>
  <c r="U159" i="9"/>
  <c r="U158" i="9"/>
  <c r="U157" i="9"/>
  <c r="U156" i="9"/>
  <c r="U155" i="9"/>
  <c r="U154" i="9"/>
  <c r="U153" i="9"/>
  <c r="U152" i="9"/>
  <c r="U151" i="9"/>
  <c r="U150" i="9"/>
  <c r="U144" i="9"/>
  <c r="U143" i="9"/>
  <c r="U142" i="9"/>
  <c r="U141" i="9"/>
  <c r="U140" i="9"/>
  <c r="U139" i="9"/>
  <c r="U138" i="9"/>
  <c r="U137" i="9"/>
  <c r="U136" i="9"/>
  <c r="U135" i="9"/>
  <c r="U134" i="9"/>
  <c r="U133" i="9"/>
  <c r="U132" i="9"/>
  <c r="U131" i="9"/>
  <c r="U130" i="9"/>
  <c r="U129" i="9"/>
  <c r="U123" i="9"/>
  <c r="U122" i="9"/>
  <c r="U121" i="9"/>
  <c r="U120" i="9"/>
  <c r="U119" i="9"/>
  <c r="U118" i="9"/>
  <c r="U117" i="9"/>
  <c r="U116" i="9"/>
  <c r="U115" i="9"/>
  <c r="U114" i="9"/>
  <c r="U113" i="9"/>
  <c r="U112" i="9"/>
  <c r="U111" i="9"/>
  <c r="U110" i="9"/>
  <c r="U109" i="9"/>
  <c r="U108" i="9"/>
  <c r="U102" i="9"/>
  <c r="U101" i="9"/>
  <c r="U100" i="9"/>
  <c r="U99" i="9"/>
  <c r="U98" i="9"/>
  <c r="U97" i="9"/>
  <c r="U96" i="9"/>
  <c r="U95" i="9"/>
  <c r="U94" i="9"/>
  <c r="U93" i="9"/>
  <c r="U92" i="9"/>
  <c r="U91" i="9"/>
  <c r="U90" i="9"/>
  <c r="U89" i="9"/>
  <c r="U88" i="9"/>
  <c r="U87" i="9"/>
  <c r="U81" i="9"/>
  <c r="U80" i="9"/>
  <c r="U79" i="9"/>
  <c r="U78" i="9"/>
  <c r="U77" i="9"/>
  <c r="U76" i="9"/>
  <c r="U75" i="9"/>
  <c r="U74" i="9"/>
  <c r="U73" i="9"/>
  <c r="U72" i="9"/>
  <c r="U71" i="9"/>
  <c r="U70" i="9"/>
  <c r="U69" i="9"/>
  <c r="U68" i="9"/>
  <c r="U67" i="9"/>
  <c r="U66" i="9"/>
  <c r="U60" i="9"/>
  <c r="U59" i="9"/>
  <c r="U58" i="9"/>
  <c r="U57" i="9"/>
  <c r="U56" i="9"/>
  <c r="U55" i="9"/>
  <c r="U54" i="9"/>
  <c r="U53" i="9"/>
  <c r="U52" i="9"/>
  <c r="U51" i="9"/>
  <c r="U50" i="9"/>
  <c r="U49" i="9"/>
  <c r="U48" i="9"/>
  <c r="U47" i="9"/>
  <c r="U46" i="9"/>
  <c r="U45" i="9"/>
  <c r="U39" i="9"/>
  <c r="U38" i="9"/>
  <c r="U37" i="9"/>
  <c r="U36" i="9"/>
  <c r="U35" i="9"/>
  <c r="U34" i="9"/>
  <c r="U33" i="9"/>
  <c r="U32" i="9"/>
  <c r="U31" i="9"/>
  <c r="U30" i="9"/>
  <c r="U29" i="9"/>
  <c r="U28" i="9"/>
  <c r="U27" i="9"/>
  <c r="U26" i="9"/>
  <c r="U25" i="9"/>
  <c r="U24" i="9"/>
  <c r="K16" i="9"/>
  <c r="J16" i="9"/>
  <c r="I16" i="9"/>
  <c r="F16" i="9"/>
  <c r="E16" i="9"/>
  <c r="K15" i="9"/>
  <c r="J15" i="9"/>
  <c r="I15" i="9"/>
  <c r="F15" i="9"/>
  <c r="E15" i="9"/>
  <c r="K14" i="9"/>
  <c r="J14" i="9"/>
  <c r="I14" i="9"/>
  <c r="F14" i="9"/>
  <c r="E14" i="9"/>
  <c r="K13" i="9"/>
  <c r="J13" i="9"/>
  <c r="I13" i="9"/>
  <c r="F13" i="9"/>
  <c r="E13" i="9"/>
  <c r="K12" i="9"/>
  <c r="J12" i="9"/>
  <c r="I12" i="9"/>
  <c r="F12" i="9"/>
  <c r="E12" i="9"/>
  <c r="K11" i="9"/>
  <c r="J11" i="9"/>
  <c r="I11" i="9"/>
  <c r="F11" i="9"/>
  <c r="E11" i="9"/>
  <c r="K10" i="9"/>
  <c r="J10" i="9"/>
  <c r="I10" i="9"/>
  <c r="F10" i="9"/>
  <c r="E10" i="9"/>
  <c r="K9" i="9"/>
  <c r="J9" i="9"/>
  <c r="I9" i="9"/>
  <c r="F9" i="9"/>
  <c r="E9" i="9"/>
  <c r="K8" i="9"/>
  <c r="J8" i="9"/>
  <c r="I8" i="9"/>
  <c r="F8" i="9"/>
  <c r="E8" i="9"/>
  <c r="K7" i="9"/>
  <c r="J7" i="9"/>
  <c r="I7" i="9"/>
  <c r="F7" i="9"/>
  <c r="E7" i="9"/>
  <c r="K6" i="9"/>
  <c r="J6" i="9"/>
  <c r="I6" i="9"/>
  <c r="F6" i="9"/>
  <c r="E6" i="9"/>
  <c r="K5" i="9"/>
  <c r="J5" i="9"/>
  <c r="I5" i="9"/>
  <c r="F5" i="9"/>
  <c r="E5" i="9"/>
  <c r="U942" i="8"/>
  <c r="U941" i="8"/>
  <c r="U940" i="8"/>
  <c r="U939" i="8"/>
  <c r="U938" i="8"/>
  <c r="U937" i="8"/>
  <c r="U936" i="8"/>
  <c r="U935" i="8"/>
  <c r="U934" i="8"/>
  <c r="U933" i="8"/>
  <c r="U932" i="8"/>
  <c r="U931" i="8"/>
  <c r="U925" i="8"/>
  <c r="U924" i="8"/>
  <c r="U923" i="8"/>
  <c r="U922" i="8"/>
  <c r="U921" i="8"/>
  <c r="U920" i="8"/>
  <c r="U919" i="8"/>
  <c r="U918" i="8"/>
  <c r="U917" i="8"/>
  <c r="U916" i="8"/>
  <c r="U915" i="8"/>
  <c r="U914" i="8"/>
  <c r="U908" i="8"/>
  <c r="U907" i="8"/>
  <c r="U906" i="8"/>
  <c r="U905" i="8"/>
  <c r="U904" i="8"/>
  <c r="U903" i="8"/>
  <c r="U902" i="8"/>
  <c r="U901" i="8"/>
  <c r="U900" i="8"/>
  <c r="U899" i="8"/>
  <c r="U898" i="8"/>
  <c r="U897" i="8"/>
  <c r="U891" i="8"/>
  <c r="U890" i="8"/>
  <c r="U889" i="8"/>
  <c r="U888" i="8"/>
  <c r="U887" i="8"/>
  <c r="U886" i="8"/>
  <c r="U885" i="8"/>
  <c r="U884" i="8"/>
  <c r="U883" i="8"/>
  <c r="U882" i="8"/>
  <c r="U881" i="8"/>
  <c r="U880" i="8"/>
  <c r="U874" i="8"/>
  <c r="U873" i="8"/>
  <c r="U872" i="8"/>
  <c r="U871" i="8"/>
  <c r="U870" i="8"/>
  <c r="U869" i="8"/>
  <c r="U868" i="8"/>
  <c r="U867" i="8"/>
  <c r="U866" i="8"/>
  <c r="U865" i="8"/>
  <c r="U864" i="8"/>
  <c r="U863" i="8"/>
  <c r="U857" i="8"/>
  <c r="U856" i="8"/>
  <c r="U855" i="8"/>
  <c r="U854" i="8"/>
  <c r="U853" i="8"/>
  <c r="U852" i="8"/>
  <c r="U851" i="8"/>
  <c r="U850" i="8"/>
  <c r="U849" i="8"/>
  <c r="U848" i="8"/>
  <c r="U847" i="8"/>
  <c r="U846" i="8"/>
  <c r="U840" i="8"/>
  <c r="U839" i="8"/>
  <c r="U838" i="8"/>
  <c r="U837" i="8"/>
  <c r="U836" i="8"/>
  <c r="U835" i="8"/>
  <c r="U834" i="8"/>
  <c r="U833" i="8"/>
  <c r="U832" i="8"/>
  <c r="U831" i="8"/>
  <c r="U830" i="8"/>
  <c r="U829" i="8"/>
  <c r="U823" i="8"/>
  <c r="U822" i="8"/>
  <c r="U821" i="8"/>
  <c r="U820" i="8"/>
  <c r="U819" i="8"/>
  <c r="U818" i="8"/>
  <c r="U817" i="8"/>
  <c r="U816" i="8"/>
  <c r="U815" i="8"/>
  <c r="U814" i="8"/>
  <c r="U813" i="8"/>
  <c r="U812" i="8"/>
  <c r="U806" i="8"/>
  <c r="U805" i="8"/>
  <c r="U804" i="8"/>
  <c r="U803" i="8"/>
  <c r="U802" i="8"/>
  <c r="U801" i="8"/>
  <c r="U800" i="8"/>
  <c r="U799" i="8"/>
  <c r="U798" i="8"/>
  <c r="U797" i="8"/>
  <c r="U796" i="8"/>
  <c r="U795" i="8"/>
  <c r="U789" i="8"/>
  <c r="U788" i="8"/>
  <c r="U787" i="8"/>
  <c r="U786" i="8"/>
  <c r="U785" i="8"/>
  <c r="U784" i="8"/>
  <c r="U783" i="8"/>
  <c r="U782" i="8"/>
  <c r="U781" i="8"/>
  <c r="U780" i="8"/>
  <c r="U779" i="8"/>
  <c r="U778" i="8"/>
  <c r="U772" i="8"/>
  <c r="U771" i="8"/>
  <c r="U770" i="8"/>
  <c r="U769" i="8"/>
  <c r="U768" i="8"/>
  <c r="U767" i="8"/>
  <c r="U766" i="8"/>
  <c r="U765" i="8"/>
  <c r="U764" i="8"/>
  <c r="U763" i="8"/>
  <c r="U762" i="8"/>
  <c r="U761" i="8"/>
  <c r="U755" i="8"/>
  <c r="U754" i="8"/>
  <c r="U753" i="8"/>
  <c r="U752" i="8"/>
  <c r="U751" i="8"/>
  <c r="U750" i="8"/>
  <c r="U749" i="8"/>
  <c r="U748" i="8"/>
  <c r="U747" i="8"/>
  <c r="U746" i="8"/>
  <c r="U745" i="8"/>
  <c r="U744" i="8"/>
  <c r="U738" i="8"/>
  <c r="U737" i="8"/>
  <c r="U736" i="8"/>
  <c r="U735" i="8"/>
  <c r="U734" i="8"/>
  <c r="U733" i="8"/>
  <c r="U732" i="8"/>
  <c r="U731" i="8"/>
  <c r="U730" i="8"/>
  <c r="U729" i="8"/>
  <c r="U728" i="8"/>
  <c r="U727" i="8"/>
  <c r="U721" i="8"/>
  <c r="U720" i="8"/>
  <c r="U719" i="8"/>
  <c r="U718" i="8"/>
  <c r="U717" i="8"/>
  <c r="U716" i="8"/>
  <c r="U715" i="8"/>
  <c r="U714" i="8"/>
  <c r="U713" i="8"/>
  <c r="U712" i="8"/>
  <c r="U711" i="8"/>
  <c r="U710" i="8"/>
  <c r="U704" i="8"/>
  <c r="U703" i="8"/>
  <c r="U702" i="8"/>
  <c r="U701" i="8"/>
  <c r="U700" i="8"/>
  <c r="U699" i="8"/>
  <c r="U698" i="8"/>
  <c r="U697" i="8"/>
  <c r="U696" i="8"/>
  <c r="U695" i="8"/>
  <c r="U694" i="8"/>
  <c r="U693" i="8"/>
  <c r="U687" i="8"/>
  <c r="U686" i="8"/>
  <c r="U685" i="8"/>
  <c r="U684" i="8"/>
  <c r="U683" i="8"/>
  <c r="U682" i="8"/>
  <c r="U681" i="8"/>
  <c r="U680" i="8"/>
  <c r="U679" i="8"/>
  <c r="U678" i="8"/>
  <c r="U677" i="8"/>
  <c r="U676" i="8"/>
  <c r="U670" i="8"/>
  <c r="U669" i="8"/>
  <c r="U668" i="8"/>
  <c r="U667" i="8"/>
  <c r="U666" i="8"/>
  <c r="U665" i="8"/>
  <c r="U664" i="8"/>
  <c r="U663" i="8"/>
  <c r="U662" i="8"/>
  <c r="U661" i="8"/>
  <c r="U660" i="8"/>
  <c r="U659" i="8"/>
  <c r="U653" i="8"/>
  <c r="U652" i="8"/>
  <c r="U651" i="8"/>
  <c r="U650" i="8"/>
  <c r="U649" i="8"/>
  <c r="U648" i="8"/>
  <c r="U647" i="8"/>
  <c r="U646" i="8"/>
  <c r="U645" i="8"/>
  <c r="U644" i="8"/>
  <c r="U643" i="8"/>
  <c r="U642" i="8"/>
  <c r="U636" i="8"/>
  <c r="U635" i="8"/>
  <c r="U634" i="8"/>
  <c r="U633" i="8"/>
  <c r="U632" i="8"/>
  <c r="U631" i="8"/>
  <c r="U630" i="8"/>
  <c r="U629" i="8"/>
  <c r="U628" i="8"/>
  <c r="U627" i="8"/>
  <c r="U626" i="8"/>
  <c r="U625" i="8"/>
  <c r="U619" i="8"/>
  <c r="U618" i="8"/>
  <c r="U617" i="8"/>
  <c r="U616" i="8"/>
  <c r="U615" i="8"/>
  <c r="U614" i="8"/>
  <c r="U613" i="8"/>
  <c r="U612" i="8"/>
  <c r="U611" i="8"/>
  <c r="U610" i="8"/>
  <c r="U609" i="8"/>
  <c r="U608" i="8"/>
  <c r="U602" i="8"/>
  <c r="U601" i="8"/>
  <c r="U600" i="8"/>
  <c r="U599" i="8"/>
  <c r="U598" i="8"/>
  <c r="U597" i="8"/>
  <c r="U596" i="8"/>
  <c r="U595" i="8"/>
  <c r="U594" i="8"/>
  <c r="U593" i="8"/>
  <c r="U592" i="8"/>
  <c r="U591" i="8"/>
  <c r="U585" i="8"/>
  <c r="U584" i="8"/>
  <c r="U583" i="8"/>
  <c r="U582" i="8"/>
  <c r="U581" i="8"/>
  <c r="U580" i="8"/>
  <c r="U579" i="8"/>
  <c r="U578" i="8"/>
  <c r="U577" i="8"/>
  <c r="U576" i="8"/>
  <c r="U575" i="8"/>
  <c r="U574" i="8"/>
  <c r="U568" i="8"/>
  <c r="U567" i="8"/>
  <c r="U566" i="8"/>
  <c r="U565" i="8"/>
  <c r="U564" i="8"/>
  <c r="U563" i="8"/>
  <c r="U562" i="8"/>
  <c r="U561" i="8"/>
  <c r="U560" i="8"/>
  <c r="U559" i="8"/>
  <c r="U558" i="8"/>
  <c r="U557" i="8"/>
  <c r="U551" i="8"/>
  <c r="U550" i="8"/>
  <c r="U549" i="8"/>
  <c r="U548" i="8"/>
  <c r="U547" i="8"/>
  <c r="U546" i="8"/>
  <c r="U545" i="8"/>
  <c r="U544" i="8"/>
  <c r="U543" i="8"/>
  <c r="U542" i="8"/>
  <c r="U541" i="8"/>
  <c r="U540" i="8"/>
  <c r="U534" i="8"/>
  <c r="U533" i="8"/>
  <c r="U532" i="8"/>
  <c r="U531" i="8"/>
  <c r="U530" i="8"/>
  <c r="U529" i="8"/>
  <c r="U528" i="8"/>
  <c r="U527" i="8"/>
  <c r="U526" i="8"/>
  <c r="U525" i="8"/>
  <c r="U524" i="8"/>
  <c r="U523" i="8"/>
  <c r="U517" i="8"/>
  <c r="U516" i="8"/>
  <c r="U515" i="8"/>
  <c r="U514" i="8"/>
  <c r="U513" i="8"/>
  <c r="U512" i="8"/>
  <c r="U511" i="8"/>
  <c r="U510" i="8"/>
  <c r="U509" i="8"/>
  <c r="U508" i="8"/>
  <c r="U507" i="8"/>
  <c r="U506" i="8"/>
  <c r="U500" i="8"/>
  <c r="U499" i="8"/>
  <c r="U498" i="8"/>
  <c r="U497" i="8"/>
  <c r="U496" i="8"/>
  <c r="U495" i="8"/>
  <c r="U494" i="8"/>
  <c r="U493" i="8"/>
  <c r="U492" i="8"/>
  <c r="U491" i="8"/>
  <c r="U490" i="8"/>
  <c r="U489" i="8"/>
  <c r="U483" i="8"/>
  <c r="U482" i="8"/>
  <c r="U481" i="8"/>
  <c r="U480" i="8"/>
  <c r="U479" i="8"/>
  <c r="U478" i="8"/>
  <c r="U477" i="8"/>
  <c r="U476" i="8"/>
  <c r="U475" i="8"/>
  <c r="U474" i="8"/>
  <c r="U473" i="8"/>
  <c r="U472" i="8"/>
  <c r="U466" i="8"/>
  <c r="U465" i="8"/>
  <c r="U464" i="8"/>
  <c r="U463" i="8"/>
  <c r="U462" i="8"/>
  <c r="U461" i="8"/>
  <c r="U460" i="8"/>
  <c r="U459" i="8"/>
  <c r="U458" i="8"/>
  <c r="U457" i="8"/>
  <c r="U456" i="8"/>
  <c r="U455" i="8"/>
  <c r="U449" i="8"/>
  <c r="U448" i="8"/>
  <c r="U447" i="8"/>
  <c r="U446" i="8"/>
  <c r="U445" i="8"/>
  <c r="U444" i="8"/>
  <c r="U443" i="8"/>
  <c r="U442" i="8"/>
  <c r="U441" i="8"/>
  <c r="U440" i="8"/>
  <c r="U439" i="8"/>
  <c r="U438" i="8"/>
  <c r="U432" i="8"/>
  <c r="U431" i="8"/>
  <c r="U430" i="8"/>
  <c r="U429" i="8"/>
  <c r="U428" i="8"/>
  <c r="U427" i="8"/>
  <c r="U426" i="8"/>
  <c r="U425" i="8"/>
  <c r="U424" i="8"/>
  <c r="U423" i="8"/>
  <c r="U422" i="8"/>
  <c r="U421" i="8"/>
  <c r="U415" i="8"/>
  <c r="U414" i="8"/>
  <c r="U413" i="8"/>
  <c r="U412" i="8"/>
  <c r="U411" i="8"/>
  <c r="U410" i="8"/>
  <c r="U409" i="8"/>
  <c r="U408" i="8"/>
  <c r="U407" i="8"/>
  <c r="U406" i="8"/>
  <c r="U405" i="8"/>
  <c r="U404" i="8"/>
  <c r="U398" i="8"/>
  <c r="U397" i="8"/>
  <c r="U396" i="8"/>
  <c r="U395" i="8"/>
  <c r="U394" i="8"/>
  <c r="U393" i="8"/>
  <c r="U392" i="8"/>
  <c r="U391" i="8"/>
  <c r="U390" i="8"/>
  <c r="U389" i="8"/>
  <c r="U388" i="8"/>
  <c r="U387" i="8"/>
  <c r="U381" i="8"/>
  <c r="U380" i="8"/>
  <c r="U379" i="8"/>
  <c r="U378" i="8"/>
  <c r="U377" i="8"/>
  <c r="U376" i="8"/>
  <c r="U375" i="8"/>
  <c r="U374" i="8"/>
  <c r="U373" i="8"/>
  <c r="U372" i="8"/>
  <c r="U371" i="8"/>
  <c r="U370" i="8"/>
  <c r="U364" i="8"/>
  <c r="U363" i="8"/>
  <c r="U362" i="8"/>
  <c r="U361" i="8"/>
  <c r="U360" i="8"/>
  <c r="U359" i="8"/>
  <c r="U358" i="8"/>
  <c r="U357" i="8"/>
  <c r="U356" i="8"/>
  <c r="U355" i="8"/>
  <c r="U354" i="8"/>
  <c r="U353" i="8"/>
  <c r="U347" i="8"/>
  <c r="U346" i="8"/>
  <c r="U345" i="8"/>
  <c r="U344" i="8"/>
  <c r="U343" i="8"/>
  <c r="U342" i="8"/>
  <c r="U341" i="8"/>
  <c r="U340" i="8"/>
  <c r="U339" i="8"/>
  <c r="U338" i="8"/>
  <c r="U337" i="8"/>
  <c r="U336" i="8"/>
  <c r="U330" i="8"/>
  <c r="U329" i="8"/>
  <c r="U328" i="8"/>
  <c r="U327" i="8"/>
  <c r="U326" i="8"/>
  <c r="U325" i="8"/>
  <c r="U324" i="8"/>
  <c r="U323" i="8"/>
  <c r="U322" i="8"/>
  <c r="U321" i="8"/>
  <c r="U320" i="8"/>
  <c r="U319" i="8"/>
  <c r="U313" i="8"/>
  <c r="U312" i="8"/>
  <c r="U311" i="8"/>
  <c r="U310" i="8"/>
  <c r="U309" i="8"/>
  <c r="U308" i="8"/>
  <c r="U307" i="8"/>
  <c r="U306" i="8"/>
  <c r="U305" i="8"/>
  <c r="U304" i="8"/>
  <c r="U303" i="8"/>
  <c r="U302" i="8"/>
  <c r="U296" i="8"/>
  <c r="U295" i="8"/>
  <c r="U294" i="8"/>
  <c r="U293" i="8"/>
  <c r="U292" i="8"/>
  <c r="U291" i="8"/>
  <c r="U290" i="8"/>
  <c r="U289" i="8"/>
  <c r="U288" i="8"/>
  <c r="U287" i="8"/>
  <c r="U286" i="8"/>
  <c r="U285" i="8"/>
  <c r="U279" i="8"/>
  <c r="U278" i="8"/>
  <c r="U277" i="8"/>
  <c r="U276" i="8"/>
  <c r="U275" i="8"/>
  <c r="U274" i="8"/>
  <c r="U273" i="8"/>
  <c r="U272" i="8"/>
  <c r="U271" i="8"/>
  <c r="U270" i="8"/>
  <c r="U269" i="8"/>
  <c r="U268" i="8"/>
  <c r="U262" i="8"/>
  <c r="U261" i="8"/>
  <c r="U260" i="8"/>
  <c r="U259" i="8"/>
  <c r="U258" i="8"/>
  <c r="U257" i="8"/>
  <c r="U256" i="8"/>
  <c r="U255" i="8"/>
  <c r="U254" i="8"/>
  <c r="U253" i="8"/>
  <c r="U252" i="8"/>
  <c r="U251" i="8"/>
  <c r="U245" i="8"/>
  <c r="U244" i="8"/>
  <c r="U243" i="8"/>
  <c r="U242" i="8"/>
  <c r="U241" i="8"/>
  <c r="U240" i="8"/>
  <c r="U239" i="8"/>
  <c r="U238" i="8"/>
  <c r="U237" i="8"/>
  <c r="U236" i="8"/>
  <c r="U235" i="8"/>
  <c r="U234" i="8"/>
  <c r="U228" i="8"/>
  <c r="U227" i="8"/>
  <c r="U226" i="8"/>
  <c r="U225" i="8"/>
  <c r="U224" i="8"/>
  <c r="U223" i="8"/>
  <c r="U222" i="8"/>
  <c r="U221" i="8"/>
  <c r="U220" i="8"/>
  <c r="U219" i="8"/>
  <c r="U218" i="8"/>
  <c r="U217" i="8"/>
  <c r="U211" i="8"/>
  <c r="U210" i="8"/>
  <c r="U209" i="8"/>
  <c r="U208" i="8"/>
  <c r="U207" i="8"/>
  <c r="U206" i="8"/>
  <c r="U205" i="8"/>
  <c r="U204" i="8"/>
  <c r="U203" i="8"/>
  <c r="U202" i="8"/>
  <c r="U201" i="8"/>
  <c r="U200" i="8"/>
  <c r="U194" i="8"/>
  <c r="U193" i="8"/>
  <c r="U192" i="8"/>
  <c r="U191" i="8"/>
  <c r="U190" i="8"/>
  <c r="U189" i="8"/>
  <c r="U188" i="8"/>
  <c r="U187" i="8"/>
  <c r="U186" i="8"/>
  <c r="U185" i="8"/>
  <c r="U184" i="8"/>
  <c r="U183" i="8"/>
  <c r="U177" i="8"/>
  <c r="U176" i="8"/>
  <c r="U175" i="8"/>
  <c r="U174" i="8"/>
  <c r="U173" i="8"/>
  <c r="U172" i="8"/>
  <c r="U171" i="8"/>
  <c r="U170" i="8"/>
  <c r="U169" i="8"/>
  <c r="U168" i="8"/>
  <c r="U167" i="8"/>
  <c r="U166" i="8"/>
  <c r="U160" i="8"/>
  <c r="U159" i="8"/>
  <c r="U158" i="8"/>
  <c r="U157" i="8"/>
  <c r="U156" i="8"/>
  <c r="U155" i="8"/>
  <c r="U154" i="8"/>
  <c r="U153" i="8"/>
  <c r="U152" i="8"/>
  <c r="U151" i="8"/>
  <c r="U150" i="8"/>
  <c r="U149" i="8"/>
  <c r="U143" i="8"/>
  <c r="U142" i="8"/>
  <c r="U141" i="8"/>
  <c r="U140" i="8"/>
  <c r="U139" i="8"/>
  <c r="U138" i="8"/>
  <c r="U137" i="8"/>
  <c r="U136" i="8"/>
  <c r="U135" i="8"/>
  <c r="U134" i="8"/>
  <c r="U133" i="8"/>
  <c r="U132" i="8"/>
  <c r="U126" i="8"/>
  <c r="U125" i="8"/>
  <c r="U124" i="8"/>
  <c r="U123" i="8"/>
  <c r="U122" i="8"/>
  <c r="U121" i="8"/>
  <c r="U120" i="8"/>
  <c r="U119" i="8"/>
  <c r="U118" i="8"/>
  <c r="U117" i="8"/>
  <c r="U116" i="8"/>
  <c r="U115" i="8"/>
  <c r="U109" i="8"/>
  <c r="U108" i="8"/>
  <c r="U107" i="8"/>
  <c r="U106" i="8"/>
  <c r="U105" i="8"/>
  <c r="U104" i="8"/>
  <c r="U103" i="8"/>
  <c r="U102" i="8"/>
  <c r="U101" i="8"/>
  <c r="U100" i="8"/>
  <c r="U99" i="8"/>
  <c r="U98" i="8"/>
  <c r="U92" i="8"/>
  <c r="U91" i="8"/>
  <c r="U90" i="8"/>
  <c r="U89" i="8"/>
  <c r="U88" i="8"/>
  <c r="U87" i="8"/>
  <c r="U86" i="8"/>
  <c r="U85" i="8"/>
  <c r="U84" i="8"/>
  <c r="U83" i="8"/>
  <c r="U82" i="8"/>
  <c r="U81" i="8"/>
  <c r="U75" i="8"/>
  <c r="U74" i="8"/>
  <c r="U73" i="8"/>
  <c r="U72" i="8"/>
  <c r="U71" i="8"/>
  <c r="U70" i="8"/>
  <c r="U69" i="8"/>
  <c r="U68" i="8"/>
  <c r="U67" i="8"/>
  <c r="U66" i="8"/>
  <c r="U65" i="8"/>
  <c r="U64" i="8"/>
  <c r="K56" i="8"/>
  <c r="J56" i="8"/>
  <c r="I56" i="8"/>
  <c r="F56" i="8"/>
  <c r="E56" i="8"/>
  <c r="K55" i="8"/>
  <c r="J55" i="8"/>
  <c r="I55" i="8"/>
  <c r="F55" i="8"/>
  <c r="E55" i="8"/>
  <c r="K54" i="8"/>
  <c r="J54" i="8"/>
  <c r="I54" i="8"/>
  <c r="F54" i="8"/>
  <c r="E54" i="8"/>
  <c r="K53" i="8"/>
  <c r="J53" i="8"/>
  <c r="I53" i="8"/>
  <c r="F53" i="8"/>
  <c r="E53" i="8"/>
  <c r="K52" i="8"/>
  <c r="J52" i="8"/>
  <c r="I52" i="8"/>
  <c r="F52" i="8"/>
  <c r="E52" i="8"/>
  <c r="K51" i="8"/>
  <c r="J51" i="8"/>
  <c r="I51" i="8"/>
  <c r="F51" i="8"/>
  <c r="E51" i="8"/>
  <c r="K50" i="8"/>
  <c r="J50" i="8"/>
  <c r="I50" i="8"/>
  <c r="F50" i="8"/>
  <c r="E50" i="8"/>
  <c r="K49" i="8"/>
  <c r="J49" i="8"/>
  <c r="I49" i="8"/>
  <c r="F49" i="8"/>
  <c r="E49" i="8"/>
  <c r="K48" i="8"/>
  <c r="J48" i="8"/>
  <c r="I48" i="8"/>
  <c r="F48" i="8"/>
  <c r="E48" i="8"/>
  <c r="K47" i="8"/>
  <c r="J47" i="8"/>
  <c r="I47" i="8"/>
  <c r="F47" i="8"/>
  <c r="E47" i="8"/>
  <c r="K46" i="8"/>
  <c r="J46" i="8"/>
  <c r="I46" i="8"/>
  <c r="F46" i="8"/>
  <c r="E46" i="8"/>
  <c r="K45" i="8"/>
  <c r="J45" i="8"/>
  <c r="I45" i="8"/>
  <c r="F45" i="8"/>
  <c r="E45" i="8"/>
  <c r="K44" i="8"/>
  <c r="J44" i="8"/>
  <c r="I44" i="8"/>
  <c r="F44" i="8"/>
  <c r="E44" i="8"/>
  <c r="K43" i="8"/>
  <c r="J43" i="8"/>
  <c r="I43" i="8"/>
  <c r="F43" i="8"/>
  <c r="E43" i="8"/>
  <c r="K42" i="8"/>
  <c r="J42" i="8"/>
  <c r="I42" i="8"/>
  <c r="F42" i="8"/>
  <c r="E42" i="8"/>
  <c r="K41" i="8"/>
  <c r="J41" i="8"/>
  <c r="I41" i="8"/>
  <c r="F41" i="8"/>
  <c r="E41" i="8"/>
  <c r="K40" i="8"/>
  <c r="J40" i="8"/>
  <c r="I40" i="8"/>
  <c r="F40" i="8"/>
  <c r="E40" i="8"/>
  <c r="K39" i="8"/>
  <c r="J39" i="8"/>
  <c r="I39" i="8"/>
  <c r="F39" i="8"/>
  <c r="E39" i="8"/>
  <c r="K38" i="8"/>
  <c r="J38" i="8"/>
  <c r="I38" i="8"/>
  <c r="F38" i="8"/>
  <c r="E38" i="8"/>
  <c r="K37" i="8"/>
  <c r="J37" i="8"/>
  <c r="I37" i="8"/>
  <c r="F37" i="8"/>
  <c r="E37" i="8"/>
  <c r="K36" i="8"/>
  <c r="J36" i="8"/>
  <c r="I36" i="8"/>
  <c r="F36" i="8"/>
  <c r="E36" i="8"/>
  <c r="K35" i="8"/>
  <c r="J35" i="8"/>
  <c r="I35" i="8"/>
  <c r="F35" i="8"/>
  <c r="E35" i="8"/>
  <c r="K34" i="8"/>
  <c r="J34" i="8"/>
  <c r="I34" i="8"/>
  <c r="F34" i="8"/>
  <c r="E34" i="8"/>
  <c r="K33" i="8"/>
  <c r="J33" i="8"/>
  <c r="I33" i="8"/>
  <c r="F33" i="8"/>
  <c r="E33" i="8"/>
  <c r="K32" i="8"/>
  <c r="J32" i="8"/>
  <c r="I32" i="8"/>
  <c r="F32" i="8"/>
  <c r="E32" i="8"/>
  <c r="K31" i="8"/>
  <c r="J31" i="8"/>
  <c r="I31" i="8"/>
  <c r="F31" i="8"/>
  <c r="E31" i="8"/>
  <c r="K30" i="8"/>
  <c r="J30" i="8"/>
  <c r="I30" i="8"/>
  <c r="F30" i="8"/>
  <c r="E30" i="8"/>
  <c r="K29" i="8"/>
  <c r="J29" i="8"/>
  <c r="I29" i="8"/>
  <c r="F29" i="8"/>
  <c r="E29" i="8"/>
  <c r="K28" i="8"/>
  <c r="J28" i="8"/>
  <c r="I28" i="8"/>
  <c r="F28" i="8"/>
  <c r="E28" i="8"/>
  <c r="K27" i="8"/>
  <c r="J27" i="8"/>
  <c r="I27" i="8"/>
  <c r="F27" i="8"/>
  <c r="E27" i="8"/>
  <c r="K26" i="8"/>
  <c r="J26" i="8"/>
  <c r="I26" i="8"/>
  <c r="F26" i="8"/>
  <c r="E26" i="8"/>
  <c r="K25" i="8"/>
  <c r="J25" i="8"/>
  <c r="I25" i="8"/>
  <c r="F25" i="8"/>
  <c r="E25" i="8"/>
  <c r="K24" i="8"/>
  <c r="J24" i="8"/>
  <c r="I24" i="8"/>
  <c r="F24" i="8"/>
  <c r="E24" i="8"/>
  <c r="K23" i="8"/>
  <c r="J23" i="8"/>
  <c r="I23" i="8"/>
  <c r="F23" i="8"/>
  <c r="E23" i="8"/>
  <c r="K22" i="8"/>
  <c r="J22" i="8"/>
  <c r="I22" i="8"/>
  <c r="F22" i="8"/>
  <c r="E22" i="8"/>
  <c r="K21" i="8"/>
  <c r="J21" i="8"/>
  <c r="I21" i="8"/>
  <c r="F21" i="8"/>
  <c r="E21" i="8"/>
  <c r="K20" i="8"/>
  <c r="J20" i="8"/>
  <c r="I20" i="8"/>
  <c r="F20" i="8"/>
  <c r="E20" i="8"/>
  <c r="K19" i="8"/>
  <c r="J19" i="8"/>
  <c r="I19" i="8"/>
  <c r="F19" i="8"/>
  <c r="E19" i="8"/>
  <c r="K18" i="8"/>
  <c r="J18" i="8"/>
  <c r="I18" i="8"/>
  <c r="F18" i="8"/>
  <c r="E18" i="8"/>
  <c r="K17" i="8"/>
  <c r="J17" i="8"/>
  <c r="I17" i="8"/>
  <c r="F17" i="8"/>
  <c r="E17" i="8"/>
  <c r="K16" i="8"/>
  <c r="J16" i="8"/>
  <c r="I16" i="8"/>
  <c r="F16" i="8"/>
  <c r="E16" i="8"/>
  <c r="K15" i="8"/>
  <c r="J15" i="8"/>
  <c r="I15" i="8"/>
  <c r="F15" i="8"/>
  <c r="E15" i="8"/>
  <c r="K14" i="8"/>
  <c r="J14" i="8"/>
  <c r="I14" i="8"/>
  <c r="F14" i="8"/>
  <c r="E14" i="8"/>
  <c r="K13" i="8"/>
  <c r="J13" i="8"/>
  <c r="I13" i="8"/>
  <c r="F13" i="8"/>
  <c r="E13" i="8"/>
  <c r="K12" i="8"/>
  <c r="J12" i="8"/>
  <c r="I12" i="8"/>
  <c r="F12" i="8"/>
  <c r="E12" i="8"/>
  <c r="K11" i="8"/>
  <c r="J11" i="8"/>
  <c r="I11" i="8"/>
  <c r="F11" i="8"/>
  <c r="E11" i="8"/>
  <c r="K10" i="8"/>
  <c r="J10" i="8"/>
  <c r="I10" i="8"/>
  <c r="F10" i="8"/>
  <c r="E10" i="8"/>
  <c r="K9" i="8"/>
  <c r="J9" i="8"/>
  <c r="I9" i="8"/>
  <c r="F9" i="8"/>
  <c r="E9" i="8"/>
  <c r="K8" i="8"/>
  <c r="J8" i="8"/>
  <c r="I8" i="8"/>
  <c r="F8" i="8"/>
  <c r="E8" i="8"/>
  <c r="K7" i="8"/>
  <c r="J7" i="8"/>
  <c r="I7" i="8"/>
  <c r="F7" i="8"/>
  <c r="E7" i="8"/>
  <c r="K6" i="8"/>
  <c r="J6" i="8"/>
  <c r="I6" i="8"/>
  <c r="F6" i="8"/>
  <c r="E6" i="8"/>
  <c r="K5" i="8"/>
  <c r="J5" i="8"/>
  <c r="I5" i="8"/>
  <c r="F5" i="8"/>
  <c r="E5" i="8"/>
  <c r="U942" i="7"/>
  <c r="U941" i="7"/>
  <c r="U940" i="7"/>
  <c r="U939" i="7"/>
  <c r="U938" i="7"/>
  <c r="U937" i="7"/>
  <c r="U936" i="7"/>
  <c r="U935" i="7"/>
  <c r="U934" i="7"/>
  <c r="U933" i="7"/>
  <c r="U932" i="7"/>
  <c r="U931" i="7"/>
  <c r="U925" i="7"/>
  <c r="U924" i="7"/>
  <c r="U923" i="7"/>
  <c r="U922" i="7"/>
  <c r="U921" i="7"/>
  <c r="U920" i="7"/>
  <c r="U919" i="7"/>
  <c r="U918" i="7"/>
  <c r="U917" i="7"/>
  <c r="U916" i="7"/>
  <c r="U915" i="7"/>
  <c r="U914" i="7"/>
  <c r="U908" i="7"/>
  <c r="U907" i="7"/>
  <c r="U906" i="7"/>
  <c r="U905" i="7"/>
  <c r="U904" i="7"/>
  <c r="U903" i="7"/>
  <c r="U902" i="7"/>
  <c r="U901" i="7"/>
  <c r="U900" i="7"/>
  <c r="U899" i="7"/>
  <c r="U898" i="7"/>
  <c r="U897" i="7"/>
  <c r="U891" i="7"/>
  <c r="U890" i="7"/>
  <c r="U889" i="7"/>
  <c r="U888" i="7"/>
  <c r="U887" i="7"/>
  <c r="U886" i="7"/>
  <c r="U885" i="7"/>
  <c r="U884" i="7"/>
  <c r="U883" i="7"/>
  <c r="U882" i="7"/>
  <c r="U881" i="7"/>
  <c r="U880" i="7"/>
  <c r="U874" i="7"/>
  <c r="U873" i="7"/>
  <c r="U872" i="7"/>
  <c r="U871" i="7"/>
  <c r="U870" i="7"/>
  <c r="U869" i="7"/>
  <c r="U868" i="7"/>
  <c r="U867" i="7"/>
  <c r="U866" i="7"/>
  <c r="U865" i="7"/>
  <c r="U864" i="7"/>
  <c r="U863" i="7"/>
  <c r="U857" i="7"/>
  <c r="U856" i="7"/>
  <c r="U855" i="7"/>
  <c r="U854" i="7"/>
  <c r="U853" i="7"/>
  <c r="U852" i="7"/>
  <c r="U851" i="7"/>
  <c r="U850" i="7"/>
  <c r="U849" i="7"/>
  <c r="U848" i="7"/>
  <c r="U847" i="7"/>
  <c r="U846" i="7"/>
  <c r="U840" i="7"/>
  <c r="U839" i="7"/>
  <c r="U838" i="7"/>
  <c r="U837" i="7"/>
  <c r="U836" i="7"/>
  <c r="U835" i="7"/>
  <c r="U834" i="7"/>
  <c r="U833" i="7"/>
  <c r="U832" i="7"/>
  <c r="U831" i="7"/>
  <c r="U830" i="7"/>
  <c r="U829" i="7"/>
  <c r="U823" i="7"/>
  <c r="U822" i="7"/>
  <c r="U821" i="7"/>
  <c r="U820" i="7"/>
  <c r="U819" i="7"/>
  <c r="U818" i="7"/>
  <c r="U817" i="7"/>
  <c r="U816" i="7"/>
  <c r="U815" i="7"/>
  <c r="U814" i="7"/>
  <c r="U813" i="7"/>
  <c r="U812" i="7"/>
  <c r="U806" i="7"/>
  <c r="U805" i="7"/>
  <c r="U804" i="7"/>
  <c r="U803" i="7"/>
  <c r="U802" i="7"/>
  <c r="U801" i="7"/>
  <c r="U800" i="7"/>
  <c r="U799" i="7"/>
  <c r="U798" i="7"/>
  <c r="U797" i="7"/>
  <c r="U796" i="7"/>
  <c r="U795" i="7"/>
  <c r="U789" i="7"/>
  <c r="U788" i="7"/>
  <c r="U787" i="7"/>
  <c r="U786" i="7"/>
  <c r="U785" i="7"/>
  <c r="U784" i="7"/>
  <c r="U783" i="7"/>
  <c r="U782" i="7"/>
  <c r="U781" i="7"/>
  <c r="U780" i="7"/>
  <c r="U779" i="7"/>
  <c r="U778" i="7"/>
  <c r="U772" i="7"/>
  <c r="U771" i="7"/>
  <c r="U770" i="7"/>
  <c r="U769" i="7"/>
  <c r="U768" i="7"/>
  <c r="U767" i="7"/>
  <c r="U766" i="7"/>
  <c r="U765" i="7"/>
  <c r="U764" i="7"/>
  <c r="U763" i="7"/>
  <c r="U762" i="7"/>
  <c r="U761" i="7"/>
  <c r="U755" i="7"/>
  <c r="U754" i="7"/>
  <c r="U753" i="7"/>
  <c r="U752" i="7"/>
  <c r="U751" i="7"/>
  <c r="U750" i="7"/>
  <c r="U749" i="7"/>
  <c r="U748" i="7"/>
  <c r="U747" i="7"/>
  <c r="U746" i="7"/>
  <c r="U745" i="7"/>
  <c r="U744" i="7"/>
  <c r="U738" i="7"/>
  <c r="U737" i="7"/>
  <c r="U736" i="7"/>
  <c r="U735" i="7"/>
  <c r="U734" i="7"/>
  <c r="U733" i="7"/>
  <c r="U732" i="7"/>
  <c r="U731" i="7"/>
  <c r="U730" i="7"/>
  <c r="U729" i="7"/>
  <c r="U728" i="7"/>
  <c r="U727" i="7"/>
  <c r="U721" i="7"/>
  <c r="U720" i="7"/>
  <c r="U719" i="7"/>
  <c r="U718" i="7"/>
  <c r="U717" i="7"/>
  <c r="U716" i="7"/>
  <c r="U715" i="7"/>
  <c r="U714" i="7"/>
  <c r="U713" i="7"/>
  <c r="U712" i="7"/>
  <c r="U711" i="7"/>
  <c r="U710" i="7"/>
  <c r="U704" i="7"/>
  <c r="U703" i="7"/>
  <c r="U702" i="7"/>
  <c r="U701" i="7"/>
  <c r="U700" i="7"/>
  <c r="U699" i="7"/>
  <c r="U698" i="7"/>
  <c r="U697" i="7"/>
  <c r="U696" i="7"/>
  <c r="U695" i="7"/>
  <c r="U694" i="7"/>
  <c r="U693" i="7"/>
  <c r="U687" i="7"/>
  <c r="U686" i="7"/>
  <c r="U685" i="7"/>
  <c r="U684" i="7"/>
  <c r="U683" i="7"/>
  <c r="U682" i="7"/>
  <c r="U681" i="7"/>
  <c r="U680" i="7"/>
  <c r="U679" i="7"/>
  <c r="U678" i="7"/>
  <c r="U677" i="7"/>
  <c r="U676" i="7"/>
  <c r="U670" i="7"/>
  <c r="U669" i="7"/>
  <c r="U668" i="7"/>
  <c r="U667" i="7"/>
  <c r="U666" i="7"/>
  <c r="U665" i="7"/>
  <c r="U664" i="7"/>
  <c r="U663" i="7"/>
  <c r="U662" i="7"/>
  <c r="U661" i="7"/>
  <c r="U660" i="7"/>
  <c r="U659" i="7"/>
  <c r="U653" i="7"/>
  <c r="U652" i="7"/>
  <c r="U651" i="7"/>
  <c r="U650" i="7"/>
  <c r="U649" i="7"/>
  <c r="U648" i="7"/>
  <c r="U647" i="7"/>
  <c r="U646" i="7"/>
  <c r="U645" i="7"/>
  <c r="U644" i="7"/>
  <c r="U643" i="7"/>
  <c r="U642" i="7"/>
  <c r="U636" i="7"/>
  <c r="U635" i="7"/>
  <c r="U634" i="7"/>
  <c r="U633" i="7"/>
  <c r="U632" i="7"/>
  <c r="U631" i="7"/>
  <c r="U630" i="7"/>
  <c r="U629" i="7"/>
  <c r="U628" i="7"/>
  <c r="U627" i="7"/>
  <c r="U626" i="7"/>
  <c r="U625" i="7"/>
  <c r="U619" i="7"/>
  <c r="U618" i="7"/>
  <c r="U617" i="7"/>
  <c r="U616" i="7"/>
  <c r="U615" i="7"/>
  <c r="U614" i="7"/>
  <c r="U613" i="7"/>
  <c r="U612" i="7"/>
  <c r="U611" i="7"/>
  <c r="U610" i="7"/>
  <c r="U609" i="7"/>
  <c r="U608" i="7"/>
  <c r="U602" i="7"/>
  <c r="U601" i="7"/>
  <c r="U600" i="7"/>
  <c r="U599" i="7"/>
  <c r="U598" i="7"/>
  <c r="U597" i="7"/>
  <c r="U596" i="7"/>
  <c r="U595" i="7"/>
  <c r="U594" i="7"/>
  <c r="U593" i="7"/>
  <c r="U592" i="7"/>
  <c r="U591" i="7"/>
  <c r="U585" i="7"/>
  <c r="U584" i="7"/>
  <c r="U583" i="7"/>
  <c r="U582" i="7"/>
  <c r="U581" i="7"/>
  <c r="U580" i="7"/>
  <c r="U579" i="7"/>
  <c r="U578" i="7"/>
  <c r="U577" i="7"/>
  <c r="U576" i="7"/>
  <c r="U575" i="7"/>
  <c r="U574" i="7"/>
  <c r="U568" i="7"/>
  <c r="U567" i="7"/>
  <c r="U566" i="7"/>
  <c r="U565" i="7"/>
  <c r="U564" i="7"/>
  <c r="U563" i="7"/>
  <c r="U562" i="7"/>
  <c r="U561" i="7"/>
  <c r="U560" i="7"/>
  <c r="U559" i="7"/>
  <c r="U558" i="7"/>
  <c r="U557" i="7"/>
  <c r="U551" i="7"/>
  <c r="U550" i="7"/>
  <c r="U549" i="7"/>
  <c r="U548" i="7"/>
  <c r="U547" i="7"/>
  <c r="U546" i="7"/>
  <c r="U545" i="7"/>
  <c r="U544" i="7"/>
  <c r="U543" i="7"/>
  <c r="U542" i="7"/>
  <c r="U541" i="7"/>
  <c r="U540" i="7"/>
  <c r="U534" i="7"/>
  <c r="U533" i="7"/>
  <c r="U532" i="7"/>
  <c r="U531" i="7"/>
  <c r="U530" i="7"/>
  <c r="U529" i="7"/>
  <c r="U528" i="7"/>
  <c r="U527" i="7"/>
  <c r="U526" i="7"/>
  <c r="U525" i="7"/>
  <c r="U524" i="7"/>
  <c r="U523" i="7"/>
  <c r="U517" i="7"/>
  <c r="U516" i="7"/>
  <c r="U515" i="7"/>
  <c r="U514" i="7"/>
  <c r="U513" i="7"/>
  <c r="U512" i="7"/>
  <c r="U511" i="7"/>
  <c r="U510" i="7"/>
  <c r="U509" i="7"/>
  <c r="U508" i="7"/>
  <c r="U507" i="7"/>
  <c r="U506" i="7"/>
  <c r="U500" i="7"/>
  <c r="U499" i="7"/>
  <c r="U498" i="7"/>
  <c r="U497" i="7"/>
  <c r="U496" i="7"/>
  <c r="U495" i="7"/>
  <c r="U494" i="7"/>
  <c r="U493" i="7"/>
  <c r="U492" i="7"/>
  <c r="U491" i="7"/>
  <c r="U490" i="7"/>
  <c r="U489" i="7"/>
  <c r="U483" i="7"/>
  <c r="U482" i="7"/>
  <c r="U481" i="7"/>
  <c r="U480" i="7"/>
  <c r="U479" i="7"/>
  <c r="U478" i="7"/>
  <c r="U477" i="7"/>
  <c r="U476" i="7"/>
  <c r="U475" i="7"/>
  <c r="U474" i="7"/>
  <c r="U473" i="7"/>
  <c r="U472" i="7"/>
  <c r="U466" i="7"/>
  <c r="U465" i="7"/>
  <c r="U464" i="7"/>
  <c r="U463" i="7"/>
  <c r="U462" i="7"/>
  <c r="U461" i="7"/>
  <c r="U460" i="7"/>
  <c r="U459" i="7"/>
  <c r="U458" i="7"/>
  <c r="U457" i="7"/>
  <c r="U456" i="7"/>
  <c r="U455" i="7"/>
  <c r="U449" i="7"/>
  <c r="U448" i="7"/>
  <c r="U447" i="7"/>
  <c r="U446" i="7"/>
  <c r="U445" i="7"/>
  <c r="U444" i="7"/>
  <c r="U443" i="7"/>
  <c r="U442" i="7"/>
  <c r="U441" i="7"/>
  <c r="U440" i="7"/>
  <c r="U439" i="7"/>
  <c r="U438" i="7"/>
  <c r="U432" i="7"/>
  <c r="U431" i="7"/>
  <c r="U430" i="7"/>
  <c r="U429" i="7"/>
  <c r="U428" i="7"/>
  <c r="U427" i="7"/>
  <c r="U426" i="7"/>
  <c r="U425" i="7"/>
  <c r="U424" i="7"/>
  <c r="U423" i="7"/>
  <c r="U422" i="7"/>
  <c r="U421" i="7"/>
  <c r="U415" i="7"/>
  <c r="U414" i="7"/>
  <c r="U413" i="7"/>
  <c r="U412" i="7"/>
  <c r="U411" i="7"/>
  <c r="U410" i="7"/>
  <c r="U409" i="7"/>
  <c r="U408" i="7"/>
  <c r="U407" i="7"/>
  <c r="U406" i="7"/>
  <c r="U405" i="7"/>
  <c r="U404" i="7"/>
  <c r="U398" i="7"/>
  <c r="U397" i="7"/>
  <c r="U396" i="7"/>
  <c r="U395" i="7"/>
  <c r="U394" i="7"/>
  <c r="U393" i="7"/>
  <c r="U392" i="7"/>
  <c r="U391" i="7"/>
  <c r="U390" i="7"/>
  <c r="U389" i="7"/>
  <c r="U388" i="7"/>
  <c r="U387" i="7"/>
  <c r="U381" i="7"/>
  <c r="U380" i="7"/>
  <c r="U379" i="7"/>
  <c r="U378" i="7"/>
  <c r="U377" i="7"/>
  <c r="U376" i="7"/>
  <c r="U375" i="7"/>
  <c r="U374" i="7"/>
  <c r="U373" i="7"/>
  <c r="U372" i="7"/>
  <c r="U371" i="7"/>
  <c r="U370" i="7"/>
  <c r="U364" i="7"/>
  <c r="U363" i="7"/>
  <c r="U362" i="7"/>
  <c r="U361" i="7"/>
  <c r="U360" i="7"/>
  <c r="U359" i="7"/>
  <c r="U358" i="7"/>
  <c r="U357" i="7"/>
  <c r="U356" i="7"/>
  <c r="U355" i="7"/>
  <c r="U354" i="7"/>
  <c r="U353" i="7"/>
  <c r="U347" i="7"/>
  <c r="U346" i="7"/>
  <c r="U345" i="7"/>
  <c r="U344" i="7"/>
  <c r="U343" i="7"/>
  <c r="U342" i="7"/>
  <c r="U341" i="7"/>
  <c r="U340" i="7"/>
  <c r="U339" i="7"/>
  <c r="U338" i="7"/>
  <c r="U337" i="7"/>
  <c r="U336" i="7"/>
  <c r="U330" i="7"/>
  <c r="U329" i="7"/>
  <c r="U328" i="7"/>
  <c r="U327" i="7"/>
  <c r="U326" i="7"/>
  <c r="U325" i="7"/>
  <c r="U324" i="7"/>
  <c r="U323" i="7"/>
  <c r="U322" i="7"/>
  <c r="U321" i="7"/>
  <c r="U320" i="7"/>
  <c r="U319" i="7"/>
  <c r="U313" i="7"/>
  <c r="U312" i="7"/>
  <c r="U311" i="7"/>
  <c r="U310" i="7"/>
  <c r="U309" i="7"/>
  <c r="U308" i="7"/>
  <c r="U307" i="7"/>
  <c r="U306" i="7"/>
  <c r="U305" i="7"/>
  <c r="U304" i="7"/>
  <c r="U303" i="7"/>
  <c r="U302" i="7"/>
  <c r="U296" i="7"/>
  <c r="U295" i="7"/>
  <c r="U294" i="7"/>
  <c r="U293" i="7"/>
  <c r="U292" i="7"/>
  <c r="U291" i="7"/>
  <c r="U290" i="7"/>
  <c r="U289" i="7"/>
  <c r="U288" i="7"/>
  <c r="U287" i="7"/>
  <c r="U286" i="7"/>
  <c r="U285" i="7"/>
  <c r="U279" i="7"/>
  <c r="U278" i="7"/>
  <c r="U277" i="7"/>
  <c r="U276" i="7"/>
  <c r="U275" i="7"/>
  <c r="U274" i="7"/>
  <c r="U273" i="7"/>
  <c r="U272" i="7"/>
  <c r="U271" i="7"/>
  <c r="U270" i="7"/>
  <c r="U269" i="7"/>
  <c r="U268" i="7"/>
  <c r="U262" i="7"/>
  <c r="U261" i="7"/>
  <c r="U260" i="7"/>
  <c r="U259" i="7"/>
  <c r="U258" i="7"/>
  <c r="U257" i="7"/>
  <c r="U256" i="7"/>
  <c r="U255" i="7"/>
  <c r="U254" i="7"/>
  <c r="U253" i="7"/>
  <c r="U252" i="7"/>
  <c r="U251" i="7"/>
  <c r="U245" i="7"/>
  <c r="U244" i="7"/>
  <c r="U243" i="7"/>
  <c r="U242" i="7"/>
  <c r="U241" i="7"/>
  <c r="U240" i="7"/>
  <c r="U239" i="7"/>
  <c r="U238" i="7"/>
  <c r="U237" i="7"/>
  <c r="U236" i="7"/>
  <c r="U235" i="7"/>
  <c r="U234" i="7"/>
  <c r="U228" i="7"/>
  <c r="U227" i="7"/>
  <c r="U226" i="7"/>
  <c r="U225" i="7"/>
  <c r="U224" i="7"/>
  <c r="U223" i="7"/>
  <c r="U222" i="7"/>
  <c r="U221" i="7"/>
  <c r="U220" i="7"/>
  <c r="U219" i="7"/>
  <c r="U218" i="7"/>
  <c r="U217" i="7"/>
  <c r="U211" i="7"/>
  <c r="U210" i="7"/>
  <c r="U209" i="7"/>
  <c r="U208" i="7"/>
  <c r="U207" i="7"/>
  <c r="U206" i="7"/>
  <c r="U205" i="7"/>
  <c r="U204" i="7"/>
  <c r="U203" i="7"/>
  <c r="U202" i="7"/>
  <c r="U201" i="7"/>
  <c r="U200" i="7"/>
  <c r="U194" i="7"/>
  <c r="U193" i="7"/>
  <c r="U192" i="7"/>
  <c r="U191" i="7"/>
  <c r="U190" i="7"/>
  <c r="U189" i="7"/>
  <c r="U188" i="7"/>
  <c r="U187" i="7"/>
  <c r="U186" i="7"/>
  <c r="U185" i="7"/>
  <c r="U184" i="7"/>
  <c r="U183" i="7"/>
  <c r="U177" i="7"/>
  <c r="U176" i="7"/>
  <c r="U175" i="7"/>
  <c r="U174" i="7"/>
  <c r="U173" i="7"/>
  <c r="U172" i="7"/>
  <c r="U171" i="7"/>
  <c r="U170" i="7"/>
  <c r="U169" i="7"/>
  <c r="U168" i="7"/>
  <c r="U167" i="7"/>
  <c r="U166" i="7"/>
  <c r="U160" i="7"/>
  <c r="U159" i="7"/>
  <c r="U158" i="7"/>
  <c r="U157" i="7"/>
  <c r="U156" i="7"/>
  <c r="U155" i="7"/>
  <c r="U154" i="7"/>
  <c r="U153" i="7"/>
  <c r="U152" i="7"/>
  <c r="U151" i="7"/>
  <c r="U150" i="7"/>
  <c r="U149" i="7"/>
  <c r="U143" i="7"/>
  <c r="U142" i="7"/>
  <c r="U141" i="7"/>
  <c r="U140" i="7"/>
  <c r="U139" i="7"/>
  <c r="U138" i="7"/>
  <c r="U137" i="7"/>
  <c r="U136" i="7"/>
  <c r="U135" i="7"/>
  <c r="U134" i="7"/>
  <c r="U133" i="7"/>
  <c r="U132" i="7"/>
  <c r="U126" i="7"/>
  <c r="U125" i="7"/>
  <c r="U124" i="7"/>
  <c r="U123" i="7"/>
  <c r="U122" i="7"/>
  <c r="U121" i="7"/>
  <c r="U120" i="7"/>
  <c r="U119" i="7"/>
  <c r="U118" i="7"/>
  <c r="U117" i="7"/>
  <c r="U116" i="7"/>
  <c r="U115" i="7"/>
  <c r="U109" i="7"/>
  <c r="U108" i="7"/>
  <c r="U107" i="7"/>
  <c r="U106" i="7"/>
  <c r="U105" i="7"/>
  <c r="U104" i="7"/>
  <c r="U103" i="7"/>
  <c r="U102" i="7"/>
  <c r="U101" i="7"/>
  <c r="U100" i="7"/>
  <c r="U99" i="7"/>
  <c r="U98" i="7"/>
  <c r="U92" i="7"/>
  <c r="U91" i="7"/>
  <c r="U90" i="7"/>
  <c r="U89" i="7"/>
  <c r="U88" i="7"/>
  <c r="U87" i="7"/>
  <c r="U86" i="7"/>
  <c r="U85" i="7"/>
  <c r="U84" i="7"/>
  <c r="U83" i="7"/>
  <c r="U82" i="7"/>
  <c r="U81" i="7"/>
  <c r="U75" i="7"/>
  <c r="U74" i="7"/>
  <c r="U73" i="7"/>
  <c r="U72" i="7"/>
  <c r="U71" i="7"/>
  <c r="U70" i="7"/>
  <c r="U69" i="7"/>
  <c r="U68" i="7"/>
  <c r="U67" i="7"/>
  <c r="U66" i="7"/>
  <c r="U65" i="7"/>
  <c r="U64" i="7"/>
  <c r="K56" i="7"/>
  <c r="J56" i="7"/>
  <c r="I56" i="7"/>
  <c r="F56" i="7"/>
  <c r="E56" i="7"/>
  <c r="K55" i="7"/>
  <c r="J55" i="7"/>
  <c r="I55" i="7"/>
  <c r="F55" i="7"/>
  <c r="E55" i="7"/>
  <c r="K54" i="7"/>
  <c r="J54" i="7"/>
  <c r="I54" i="7"/>
  <c r="F54" i="7"/>
  <c r="E54" i="7"/>
  <c r="K53" i="7"/>
  <c r="J53" i="7"/>
  <c r="I53" i="7"/>
  <c r="F53" i="7"/>
  <c r="E53" i="7"/>
  <c r="K52" i="7"/>
  <c r="J52" i="7"/>
  <c r="I52" i="7"/>
  <c r="F52" i="7"/>
  <c r="E52" i="7"/>
  <c r="K51" i="7"/>
  <c r="J51" i="7"/>
  <c r="I51" i="7"/>
  <c r="F51" i="7"/>
  <c r="E51" i="7"/>
  <c r="K50" i="7"/>
  <c r="J50" i="7"/>
  <c r="I50" i="7"/>
  <c r="F50" i="7"/>
  <c r="E50" i="7"/>
  <c r="K49" i="7"/>
  <c r="J49" i="7"/>
  <c r="I49" i="7"/>
  <c r="F49" i="7"/>
  <c r="E49" i="7"/>
  <c r="K48" i="7"/>
  <c r="J48" i="7"/>
  <c r="I48" i="7"/>
  <c r="F48" i="7"/>
  <c r="E48" i="7"/>
  <c r="K47" i="7"/>
  <c r="J47" i="7"/>
  <c r="I47" i="7"/>
  <c r="F47" i="7"/>
  <c r="E47" i="7"/>
  <c r="K46" i="7"/>
  <c r="J46" i="7"/>
  <c r="I46" i="7"/>
  <c r="F46" i="7"/>
  <c r="E46" i="7"/>
  <c r="K45" i="7"/>
  <c r="J45" i="7"/>
  <c r="I45" i="7"/>
  <c r="F45" i="7"/>
  <c r="E45" i="7"/>
  <c r="K44" i="7"/>
  <c r="J44" i="7"/>
  <c r="I44" i="7"/>
  <c r="F44" i="7"/>
  <c r="E44" i="7"/>
  <c r="K43" i="7"/>
  <c r="J43" i="7"/>
  <c r="I43" i="7"/>
  <c r="F43" i="7"/>
  <c r="E43" i="7"/>
  <c r="K42" i="7"/>
  <c r="J42" i="7"/>
  <c r="I42" i="7"/>
  <c r="F42" i="7"/>
  <c r="E42" i="7"/>
  <c r="K41" i="7"/>
  <c r="J41" i="7"/>
  <c r="I41" i="7"/>
  <c r="F41" i="7"/>
  <c r="E41" i="7"/>
  <c r="K40" i="7"/>
  <c r="J40" i="7"/>
  <c r="I40" i="7"/>
  <c r="F40" i="7"/>
  <c r="E40" i="7"/>
  <c r="K39" i="7"/>
  <c r="J39" i="7"/>
  <c r="I39" i="7"/>
  <c r="F39" i="7"/>
  <c r="E39" i="7"/>
  <c r="K38" i="7"/>
  <c r="J38" i="7"/>
  <c r="I38" i="7"/>
  <c r="F38" i="7"/>
  <c r="E38" i="7"/>
  <c r="K37" i="7"/>
  <c r="J37" i="7"/>
  <c r="I37" i="7"/>
  <c r="F37" i="7"/>
  <c r="E37" i="7"/>
  <c r="K36" i="7"/>
  <c r="J36" i="7"/>
  <c r="I36" i="7"/>
  <c r="F36" i="7"/>
  <c r="E36" i="7"/>
  <c r="K35" i="7"/>
  <c r="J35" i="7"/>
  <c r="I35" i="7"/>
  <c r="F35" i="7"/>
  <c r="E35" i="7"/>
  <c r="K34" i="7"/>
  <c r="J34" i="7"/>
  <c r="I34" i="7"/>
  <c r="F34" i="7"/>
  <c r="E34" i="7"/>
  <c r="K33" i="7"/>
  <c r="J33" i="7"/>
  <c r="I33" i="7"/>
  <c r="F33" i="7"/>
  <c r="E33" i="7"/>
  <c r="K32" i="7"/>
  <c r="J32" i="7"/>
  <c r="I32" i="7"/>
  <c r="F32" i="7"/>
  <c r="E32" i="7"/>
  <c r="K31" i="7"/>
  <c r="J31" i="7"/>
  <c r="I31" i="7"/>
  <c r="F31" i="7"/>
  <c r="E31" i="7"/>
  <c r="K30" i="7"/>
  <c r="J30" i="7"/>
  <c r="I30" i="7"/>
  <c r="F30" i="7"/>
  <c r="E30" i="7"/>
  <c r="K29" i="7"/>
  <c r="J29" i="7"/>
  <c r="I29" i="7"/>
  <c r="F29" i="7"/>
  <c r="E29" i="7"/>
  <c r="K28" i="7"/>
  <c r="J28" i="7"/>
  <c r="I28" i="7"/>
  <c r="F28" i="7"/>
  <c r="E28" i="7"/>
  <c r="K27" i="7"/>
  <c r="J27" i="7"/>
  <c r="I27" i="7"/>
  <c r="F27" i="7"/>
  <c r="E27" i="7"/>
  <c r="K26" i="7"/>
  <c r="J26" i="7"/>
  <c r="I26" i="7"/>
  <c r="F26" i="7"/>
  <c r="E26" i="7"/>
  <c r="K25" i="7"/>
  <c r="J25" i="7"/>
  <c r="I25" i="7"/>
  <c r="F25" i="7"/>
  <c r="E25" i="7"/>
  <c r="K24" i="7"/>
  <c r="J24" i="7"/>
  <c r="I24" i="7"/>
  <c r="F24" i="7"/>
  <c r="E24" i="7"/>
  <c r="K23" i="7"/>
  <c r="J23" i="7"/>
  <c r="I23" i="7"/>
  <c r="F23" i="7"/>
  <c r="E23" i="7"/>
  <c r="K22" i="7"/>
  <c r="J22" i="7"/>
  <c r="I22" i="7"/>
  <c r="F22" i="7"/>
  <c r="E22" i="7"/>
  <c r="K21" i="7"/>
  <c r="J21" i="7"/>
  <c r="I21" i="7"/>
  <c r="F21" i="7"/>
  <c r="E21" i="7"/>
  <c r="K20" i="7"/>
  <c r="J20" i="7"/>
  <c r="I20" i="7"/>
  <c r="F20" i="7"/>
  <c r="E20" i="7"/>
  <c r="K19" i="7"/>
  <c r="J19" i="7"/>
  <c r="I19" i="7"/>
  <c r="F19" i="7"/>
  <c r="E19" i="7"/>
  <c r="K18" i="7"/>
  <c r="J18" i="7"/>
  <c r="I18" i="7"/>
  <c r="F18" i="7"/>
  <c r="E18" i="7"/>
  <c r="K17" i="7"/>
  <c r="J17" i="7"/>
  <c r="I17" i="7"/>
  <c r="F17" i="7"/>
  <c r="E17" i="7"/>
  <c r="K16" i="7"/>
  <c r="J16" i="7"/>
  <c r="I16" i="7"/>
  <c r="F16" i="7"/>
  <c r="E16" i="7"/>
  <c r="K15" i="7"/>
  <c r="J15" i="7"/>
  <c r="I15" i="7"/>
  <c r="F15" i="7"/>
  <c r="E15" i="7"/>
  <c r="K14" i="7"/>
  <c r="J14" i="7"/>
  <c r="I14" i="7"/>
  <c r="F14" i="7"/>
  <c r="E14" i="7"/>
  <c r="K13" i="7"/>
  <c r="J13" i="7"/>
  <c r="I13" i="7"/>
  <c r="F13" i="7"/>
  <c r="E13" i="7"/>
  <c r="K12" i="7"/>
  <c r="J12" i="7"/>
  <c r="I12" i="7"/>
  <c r="F12" i="7"/>
  <c r="E12" i="7"/>
  <c r="K11" i="7"/>
  <c r="J11" i="7"/>
  <c r="I11" i="7"/>
  <c r="F11" i="7"/>
  <c r="E11" i="7"/>
  <c r="K10" i="7"/>
  <c r="J10" i="7"/>
  <c r="I10" i="7"/>
  <c r="F10" i="7"/>
  <c r="E10" i="7"/>
  <c r="K9" i="7"/>
  <c r="J9" i="7"/>
  <c r="I9" i="7"/>
  <c r="F9" i="7"/>
  <c r="E9" i="7"/>
  <c r="K8" i="7"/>
  <c r="J8" i="7"/>
  <c r="I8" i="7"/>
  <c r="F8" i="7"/>
  <c r="E8" i="7"/>
  <c r="K7" i="7"/>
  <c r="J7" i="7"/>
  <c r="I7" i="7"/>
  <c r="F7" i="7"/>
  <c r="E7" i="7"/>
  <c r="K6" i="7"/>
  <c r="J6" i="7"/>
  <c r="I6" i="7"/>
  <c r="F6" i="7"/>
  <c r="E6" i="7"/>
  <c r="K5" i="7"/>
  <c r="J5" i="7"/>
  <c r="I5" i="7"/>
  <c r="F5" i="7"/>
  <c r="E5" i="7"/>
  <c r="U1202" i="6"/>
  <c r="U1201" i="6"/>
  <c r="U1200" i="6"/>
  <c r="U1199" i="6"/>
  <c r="U1198" i="6"/>
  <c r="U1197" i="6"/>
  <c r="U1196" i="6"/>
  <c r="U1195" i="6"/>
  <c r="U1194" i="6"/>
  <c r="U1193" i="6"/>
  <c r="U1192" i="6"/>
  <c r="U1191" i="6"/>
  <c r="U1190" i="6"/>
  <c r="U1189" i="6"/>
  <c r="U1188" i="6"/>
  <c r="U1187" i="6"/>
  <c r="U1186" i="6"/>
  <c r="U1180" i="6"/>
  <c r="U1179" i="6"/>
  <c r="U1178" i="6"/>
  <c r="U1177" i="6"/>
  <c r="U1176" i="6"/>
  <c r="U1175" i="6"/>
  <c r="U1174" i="6"/>
  <c r="U1173" i="6"/>
  <c r="U1172" i="6"/>
  <c r="U1171" i="6"/>
  <c r="U1170" i="6"/>
  <c r="U1169" i="6"/>
  <c r="U1168" i="6"/>
  <c r="U1167" i="6"/>
  <c r="U1166" i="6"/>
  <c r="U1165" i="6"/>
  <c r="U1164" i="6"/>
  <c r="U1158" i="6"/>
  <c r="U1157" i="6"/>
  <c r="U1156" i="6"/>
  <c r="U1155" i="6"/>
  <c r="U1154" i="6"/>
  <c r="U1153" i="6"/>
  <c r="U1152" i="6"/>
  <c r="U1151" i="6"/>
  <c r="U1150" i="6"/>
  <c r="U1149" i="6"/>
  <c r="U1148" i="6"/>
  <c r="U1147" i="6"/>
  <c r="U1146" i="6"/>
  <c r="U1145" i="6"/>
  <c r="U1144" i="6"/>
  <c r="U1143" i="6"/>
  <c r="U1142" i="6"/>
  <c r="U1136" i="6"/>
  <c r="U1135" i="6"/>
  <c r="U1134" i="6"/>
  <c r="U1133" i="6"/>
  <c r="U1132" i="6"/>
  <c r="U1131" i="6"/>
  <c r="U1130" i="6"/>
  <c r="U1129" i="6"/>
  <c r="U1128" i="6"/>
  <c r="U1127" i="6"/>
  <c r="U1126" i="6"/>
  <c r="U1125" i="6"/>
  <c r="U1124" i="6"/>
  <c r="U1123" i="6"/>
  <c r="U1122" i="6"/>
  <c r="U1121" i="6"/>
  <c r="U1120" i="6"/>
  <c r="U1114" i="6"/>
  <c r="U1113" i="6"/>
  <c r="U1112" i="6"/>
  <c r="U1111" i="6"/>
  <c r="U1110" i="6"/>
  <c r="U1109" i="6"/>
  <c r="U1108" i="6"/>
  <c r="U1107" i="6"/>
  <c r="U1106" i="6"/>
  <c r="U1105" i="6"/>
  <c r="U1104" i="6"/>
  <c r="U1103" i="6"/>
  <c r="U1102" i="6"/>
  <c r="U1101" i="6"/>
  <c r="U1100" i="6"/>
  <c r="U1099" i="6"/>
  <c r="U1098" i="6"/>
  <c r="U1092" i="6"/>
  <c r="U1091" i="6"/>
  <c r="U1090" i="6"/>
  <c r="U1089" i="6"/>
  <c r="U1088" i="6"/>
  <c r="U1087" i="6"/>
  <c r="U1086" i="6"/>
  <c r="U1085" i="6"/>
  <c r="U1084" i="6"/>
  <c r="U1083" i="6"/>
  <c r="U1082" i="6"/>
  <c r="U1081" i="6"/>
  <c r="U1080" i="6"/>
  <c r="U1079" i="6"/>
  <c r="U1078" i="6"/>
  <c r="U1077" i="6"/>
  <c r="U1076" i="6"/>
  <c r="U1070" i="6"/>
  <c r="U1069" i="6"/>
  <c r="U1068" i="6"/>
  <c r="U1067" i="6"/>
  <c r="U1066" i="6"/>
  <c r="U1065" i="6"/>
  <c r="U1064" i="6"/>
  <c r="U1063" i="6"/>
  <c r="U1062" i="6"/>
  <c r="U1061" i="6"/>
  <c r="U1060" i="6"/>
  <c r="U1059" i="6"/>
  <c r="U1058" i="6"/>
  <c r="U1057" i="6"/>
  <c r="U1056" i="6"/>
  <c r="U1055" i="6"/>
  <c r="U1054" i="6"/>
  <c r="U1048" i="6"/>
  <c r="U1047" i="6"/>
  <c r="U1046" i="6"/>
  <c r="U1045" i="6"/>
  <c r="U1044" i="6"/>
  <c r="U1043" i="6"/>
  <c r="U1042" i="6"/>
  <c r="U1041" i="6"/>
  <c r="U1040" i="6"/>
  <c r="U1039" i="6"/>
  <c r="U1038" i="6"/>
  <c r="U1037" i="6"/>
  <c r="U1036" i="6"/>
  <c r="U1035" i="6"/>
  <c r="U1034" i="6"/>
  <c r="U1033" i="6"/>
  <c r="U1032" i="6"/>
  <c r="U1026" i="6"/>
  <c r="U1025" i="6"/>
  <c r="U1024" i="6"/>
  <c r="U1023" i="6"/>
  <c r="U1022" i="6"/>
  <c r="U1021" i="6"/>
  <c r="U1020" i="6"/>
  <c r="U1019" i="6"/>
  <c r="U1018" i="6"/>
  <c r="U1017" i="6"/>
  <c r="U1016" i="6"/>
  <c r="U1015" i="6"/>
  <c r="U1014" i="6"/>
  <c r="U1013" i="6"/>
  <c r="U1012" i="6"/>
  <c r="U1011" i="6"/>
  <c r="U1010" i="6"/>
  <c r="U1004" i="6"/>
  <c r="U1003" i="6"/>
  <c r="U1002" i="6"/>
  <c r="U1001" i="6"/>
  <c r="U1000" i="6"/>
  <c r="U999" i="6"/>
  <c r="U998" i="6"/>
  <c r="U997" i="6"/>
  <c r="U996" i="6"/>
  <c r="U995" i="6"/>
  <c r="U994" i="6"/>
  <c r="U993" i="6"/>
  <c r="U992" i="6"/>
  <c r="U991" i="6"/>
  <c r="U990" i="6"/>
  <c r="U989" i="6"/>
  <c r="U988" i="6"/>
  <c r="U982" i="6"/>
  <c r="U981" i="6"/>
  <c r="U980" i="6"/>
  <c r="U979" i="6"/>
  <c r="U978" i="6"/>
  <c r="U977" i="6"/>
  <c r="U976" i="6"/>
  <c r="U975" i="6"/>
  <c r="U974" i="6"/>
  <c r="U973" i="6"/>
  <c r="U972" i="6"/>
  <c r="U971" i="6"/>
  <c r="U970" i="6"/>
  <c r="U969" i="6"/>
  <c r="U968" i="6"/>
  <c r="U967" i="6"/>
  <c r="U966" i="6"/>
  <c r="U960" i="6"/>
  <c r="U959" i="6"/>
  <c r="U958" i="6"/>
  <c r="U957" i="6"/>
  <c r="U956" i="6"/>
  <c r="U955" i="6"/>
  <c r="U954" i="6"/>
  <c r="U953" i="6"/>
  <c r="U952" i="6"/>
  <c r="U951" i="6"/>
  <c r="U950" i="6"/>
  <c r="U949" i="6"/>
  <c r="U948" i="6"/>
  <c r="U947" i="6"/>
  <c r="U946" i="6"/>
  <c r="U945" i="6"/>
  <c r="U944" i="6"/>
  <c r="U938" i="6"/>
  <c r="U937" i="6"/>
  <c r="U936" i="6"/>
  <c r="U935" i="6"/>
  <c r="U934" i="6"/>
  <c r="U933" i="6"/>
  <c r="U932" i="6"/>
  <c r="U931" i="6"/>
  <c r="U930" i="6"/>
  <c r="U929" i="6"/>
  <c r="U928" i="6"/>
  <c r="U927" i="6"/>
  <c r="U926" i="6"/>
  <c r="U925" i="6"/>
  <c r="U924" i="6"/>
  <c r="U923" i="6"/>
  <c r="U922" i="6"/>
  <c r="U916" i="6"/>
  <c r="U915" i="6"/>
  <c r="U914" i="6"/>
  <c r="U913" i="6"/>
  <c r="U912" i="6"/>
  <c r="U911" i="6"/>
  <c r="U910" i="6"/>
  <c r="U909" i="6"/>
  <c r="U908" i="6"/>
  <c r="U907" i="6"/>
  <c r="U906" i="6"/>
  <c r="U905" i="6"/>
  <c r="U904" i="6"/>
  <c r="U903" i="6"/>
  <c r="U902" i="6"/>
  <c r="U901" i="6"/>
  <c r="U900" i="6"/>
  <c r="U894" i="6"/>
  <c r="U893" i="6"/>
  <c r="U892" i="6"/>
  <c r="U891" i="6"/>
  <c r="U890" i="6"/>
  <c r="U889" i="6"/>
  <c r="U888" i="6"/>
  <c r="U887" i="6"/>
  <c r="U886" i="6"/>
  <c r="U885" i="6"/>
  <c r="U884" i="6"/>
  <c r="U883" i="6"/>
  <c r="U882" i="6"/>
  <c r="U881" i="6"/>
  <c r="U880" i="6"/>
  <c r="U879" i="6"/>
  <c r="U878" i="6"/>
  <c r="U872" i="6"/>
  <c r="U871" i="6"/>
  <c r="U870" i="6"/>
  <c r="U869" i="6"/>
  <c r="U868" i="6"/>
  <c r="U867" i="6"/>
  <c r="U866" i="6"/>
  <c r="U865" i="6"/>
  <c r="U864" i="6"/>
  <c r="U863" i="6"/>
  <c r="U862" i="6"/>
  <c r="U861" i="6"/>
  <c r="U860" i="6"/>
  <c r="U859" i="6"/>
  <c r="U858" i="6"/>
  <c r="U857" i="6"/>
  <c r="U856" i="6"/>
  <c r="U850" i="6"/>
  <c r="U849" i="6"/>
  <c r="U848" i="6"/>
  <c r="U847" i="6"/>
  <c r="U846" i="6"/>
  <c r="U845" i="6"/>
  <c r="U844" i="6"/>
  <c r="U843" i="6"/>
  <c r="U842" i="6"/>
  <c r="U841" i="6"/>
  <c r="U840" i="6"/>
  <c r="U839" i="6"/>
  <c r="U838" i="6"/>
  <c r="U837" i="6"/>
  <c r="U836" i="6"/>
  <c r="U835" i="6"/>
  <c r="U834" i="6"/>
  <c r="U828" i="6"/>
  <c r="U827" i="6"/>
  <c r="U826" i="6"/>
  <c r="U825" i="6"/>
  <c r="U824" i="6"/>
  <c r="U823" i="6"/>
  <c r="U822" i="6"/>
  <c r="U821" i="6"/>
  <c r="U820" i="6"/>
  <c r="U819" i="6"/>
  <c r="U818" i="6"/>
  <c r="U817" i="6"/>
  <c r="U816" i="6"/>
  <c r="U815" i="6"/>
  <c r="U814" i="6"/>
  <c r="U813" i="6"/>
  <c r="U812" i="6"/>
  <c r="U806" i="6"/>
  <c r="U805" i="6"/>
  <c r="U804" i="6"/>
  <c r="U803" i="6"/>
  <c r="U802" i="6"/>
  <c r="U801" i="6"/>
  <c r="U800" i="6"/>
  <c r="U799" i="6"/>
  <c r="U798" i="6"/>
  <c r="U797" i="6"/>
  <c r="U796" i="6"/>
  <c r="U795" i="6"/>
  <c r="U794" i="6"/>
  <c r="U793" i="6"/>
  <c r="U792" i="6"/>
  <c r="U791" i="6"/>
  <c r="U790" i="6"/>
  <c r="U784" i="6"/>
  <c r="U783" i="6"/>
  <c r="U782" i="6"/>
  <c r="U781" i="6"/>
  <c r="U780" i="6"/>
  <c r="U779" i="6"/>
  <c r="U778" i="6"/>
  <c r="U777" i="6"/>
  <c r="U776" i="6"/>
  <c r="U775" i="6"/>
  <c r="U774" i="6"/>
  <c r="U773" i="6"/>
  <c r="U772" i="6"/>
  <c r="U771" i="6"/>
  <c r="U770" i="6"/>
  <c r="U769" i="6"/>
  <c r="U768" i="6"/>
  <c r="U762" i="6"/>
  <c r="U761" i="6"/>
  <c r="U760" i="6"/>
  <c r="U759" i="6"/>
  <c r="U758" i="6"/>
  <c r="U757" i="6"/>
  <c r="U756" i="6"/>
  <c r="U755" i="6"/>
  <c r="U754" i="6"/>
  <c r="U753" i="6"/>
  <c r="U752" i="6"/>
  <c r="U751" i="6"/>
  <c r="U750" i="6"/>
  <c r="U749" i="6"/>
  <c r="U748" i="6"/>
  <c r="U747" i="6"/>
  <c r="U746" i="6"/>
  <c r="U740" i="6"/>
  <c r="U739" i="6"/>
  <c r="U738" i="6"/>
  <c r="U737" i="6"/>
  <c r="U736" i="6"/>
  <c r="U735" i="6"/>
  <c r="U734" i="6"/>
  <c r="U733" i="6"/>
  <c r="U732" i="6"/>
  <c r="U731" i="6"/>
  <c r="U730" i="6"/>
  <c r="U729" i="6"/>
  <c r="U728" i="6"/>
  <c r="U727" i="6"/>
  <c r="U726" i="6"/>
  <c r="U725" i="6"/>
  <c r="U724" i="6"/>
  <c r="U718" i="6"/>
  <c r="U717" i="6"/>
  <c r="U716" i="6"/>
  <c r="U715" i="6"/>
  <c r="U714" i="6"/>
  <c r="U713" i="6"/>
  <c r="U712" i="6"/>
  <c r="U711" i="6"/>
  <c r="U710" i="6"/>
  <c r="U709" i="6"/>
  <c r="U708" i="6"/>
  <c r="U707" i="6"/>
  <c r="U706" i="6"/>
  <c r="U705" i="6"/>
  <c r="U704" i="6"/>
  <c r="U703" i="6"/>
  <c r="U702" i="6"/>
  <c r="U696" i="6"/>
  <c r="U695" i="6"/>
  <c r="U694" i="6"/>
  <c r="U693" i="6"/>
  <c r="U692" i="6"/>
  <c r="U691" i="6"/>
  <c r="U690" i="6"/>
  <c r="U689" i="6"/>
  <c r="U688" i="6"/>
  <c r="U687" i="6"/>
  <c r="U686" i="6"/>
  <c r="U685" i="6"/>
  <c r="U684" i="6"/>
  <c r="U683" i="6"/>
  <c r="U682" i="6"/>
  <c r="U681" i="6"/>
  <c r="U680" i="6"/>
  <c r="U674" i="6"/>
  <c r="U673" i="6"/>
  <c r="U672" i="6"/>
  <c r="U671" i="6"/>
  <c r="U670" i="6"/>
  <c r="U669" i="6"/>
  <c r="U668" i="6"/>
  <c r="U667" i="6"/>
  <c r="U666" i="6"/>
  <c r="U665" i="6"/>
  <c r="U664" i="6"/>
  <c r="U663" i="6"/>
  <c r="U662" i="6"/>
  <c r="U661" i="6"/>
  <c r="U660" i="6"/>
  <c r="U659" i="6"/>
  <c r="U658" i="6"/>
  <c r="U652" i="6"/>
  <c r="U651" i="6"/>
  <c r="U650" i="6"/>
  <c r="U649" i="6"/>
  <c r="U648" i="6"/>
  <c r="U647" i="6"/>
  <c r="U646" i="6"/>
  <c r="U645" i="6"/>
  <c r="U644" i="6"/>
  <c r="U643" i="6"/>
  <c r="U642" i="6"/>
  <c r="U641" i="6"/>
  <c r="U640" i="6"/>
  <c r="U639" i="6"/>
  <c r="U638" i="6"/>
  <c r="U637" i="6"/>
  <c r="U636" i="6"/>
  <c r="U630" i="6"/>
  <c r="U629" i="6"/>
  <c r="U628" i="6"/>
  <c r="U627" i="6"/>
  <c r="U626" i="6"/>
  <c r="U625" i="6"/>
  <c r="U624" i="6"/>
  <c r="U623" i="6"/>
  <c r="U622" i="6"/>
  <c r="U621" i="6"/>
  <c r="U620" i="6"/>
  <c r="U619" i="6"/>
  <c r="U618" i="6"/>
  <c r="U617" i="6"/>
  <c r="U616" i="6"/>
  <c r="U615" i="6"/>
  <c r="U614" i="6"/>
  <c r="U608" i="6"/>
  <c r="U607" i="6"/>
  <c r="U606" i="6"/>
  <c r="U605" i="6"/>
  <c r="U604" i="6"/>
  <c r="U603" i="6"/>
  <c r="U602" i="6"/>
  <c r="U601" i="6"/>
  <c r="U600" i="6"/>
  <c r="U599" i="6"/>
  <c r="U598" i="6"/>
  <c r="U597" i="6"/>
  <c r="U596" i="6"/>
  <c r="U595" i="6"/>
  <c r="U594" i="6"/>
  <c r="U593" i="6"/>
  <c r="U592" i="6"/>
  <c r="U586" i="6"/>
  <c r="U585" i="6"/>
  <c r="U584" i="6"/>
  <c r="U583" i="6"/>
  <c r="U582" i="6"/>
  <c r="U581" i="6"/>
  <c r="U580" i="6"/>
  <c r="U579" i="6"/>
  <c r="U578" i="6"/>
  <c r="U577" i="6"/>
  <c r="U576" i="6"/>
  <c r="U575" i="6"/>
  <c r="U574" i="6"/>
  <c r="U573" i="6"/>
  <c r="U572" i="6"/>
  <c r="U571" i="6"/>
  <c r="U570" i="6"/>
  <c r="U564" i="6"/>
  <c r="U563" i="6"/>
  <c r="U562" i="6"/>
  <c r="U561" i="6"/>
  <c r="U560" i="6"/>
  <c r="U559" i="6"/>
  <c r="U558" i="6"/>
  <c r="U557" i="6"/>
  <c r="U556" i="6"/>
  <c r="U555" i="6"/>
  <c r="U554" i="6"/>
  <c r="U553" i="6"/>
  <c r="U552" i="6"/>
  <c r="U551" i="6"/>
  <c r="U550" i="6"/>
  <c r="U549" i="6"/>
  <c r="U548" i="6"/>
  <c r="U542" i="6"/>
  <c r="U541" i="6"/>
  <c r="U540" i="6"/>
  <c r="U539" i="6"/>
  <c r="U538" i="6"/>
  <c r="U537" i="6"/>
  <c r="U536" i="6"/>
  <c r="U535" i="6"/>
  <c r="U534" i="6"/>
  <c r="U533" i="6"/>
  <c r="U532" i="6"/>
  <c r="U531" i="6"/>
  <c r="U530" i="6"/>
  <c r="U529" i="6"/>
  <c r="U528" i="6"/>
  <c r="U527" i="6"/>
  <c r="U526" i="6"/>
  <c r="U520" i="6"/>
  <c r="U519" i="6"/>
  <c r="U518" i="6"/>
  <c r="U517" i="6"/>
  <c r="U516" i="6"/>
  <c r="U515" i="6"/>
  <c r="U514" i="6"/>
  <c r="U513" i="6"/>
  <c r="U512" i="6"/>
  <c r="U511" i="6"/>
  <c r="U510" i="6"/>
  <c r="U509" i="6"/>
  <c r="U508" i="6"/>
  <c r="U507" i="6"/>
  <c r="U506" i="6"/>
  <c r="U505" i="6"/>
  <c r="U504" i="6"/>
  <c r="U498" i="6"/>
  <c r="U497" i="6"/>
  <c r="U496" i="6"/>
  <c r="U495" i="6"/>
  <c r="U494" i="6"/>
  <c r="U493" i="6"/>
  <c r="U492" i="6"/>
  <c r="U491" i="6"/>
  <c r="U490" i="6"/>
  <c r="U489" i="6"/>
  <c r="U488" i="6"/>
  <c r="U487" i="6"/>
  <c r="U486" i="6"/>
  <c r="U485" i="6"/>
  <c r="U484" i="6"/>
  <c r="U483" i="6"/>
  <c r="U482" i="6"/>
  <c r="U476" i="6"/>
  <c r="U475" i="6"/>
  <c r="U474" i="6"/>
  <c r="U473" i="6"/>
  <c r="U472" i="6"/>
  <c r="U471" i="6"/>
  <c r="U470" i="6"/>
  <c r="U469" i="6"/>
  <c r="U468" i="6"/>
  <c r="U467" i="6"/>
  <c r="U466" i="6"/>
  <c r="U465" i="6"/>
  <c r="U464" i="6"/>
  <c r="U463" i="6"/>
  <c r="U462" i="6"/>
  <c r="U461" i="6"/>
  <c r="U460" i="6"/>
  <c r="U454" i="6"/>
  <c r="U453" i="6"/>
  <c r="U452" i="6"/>
  <c r="U451" i="6"/>
  <c r="U450" i="6"/>
  <c r="U449" i="6"/>
  <c r="U448" i="6"/>
  <c r="U447" i="6"/>
  <c r="U446" i="6"/>
  <c r="U445" i="6"/>
  <c r="U444" i="6"/>
  <c r="U443" i="6"/>
  <c r="U442" i="6"/>
  <c r="U441" i="6"/>
  <c r="U440" i="6"/>
  <c r="U439" i="6"/>
  <c r="U438" i="6"/>
  <c r="U432" i="6"/>
  <c r="U431" i="6"/>
  <c r="U430" i="6"/>
  <c r="U429" i="6"/>
  <c r="U428" i="6"/>
  <c r="U427" i="6"/>
  <c r="U426" i="6"/>
  <c r="U425" i="6"/>
  <c r="U424" i="6"/>
  <c r="U423" i="6"/>
  <c r="U422" i="6"/>
  <c r="U421" i="6"/>
  <c r="U420" i="6"/>
  <c r="U419" i="6"/>
  <c r="U418" i="6"/>
  <c r="U417" i="6"/>
  <c r="U416" i="6"/>
  <c r="U410" i="6"/>
  <c r="U409" i="6"/>
  <c r="U408" i="6"/>
  <c r="U407" i="6"/>
  <c r="U406" i="6"/>
  <c r="U405" i="6"/>
  <c r="U404" i="6"/>
  <c r="U403" i="6"/>
  <c r="U402" i="6"/>
  <c r="U401" i="6"/>
  <c r="U400" i="6"/>
  <c r="U399" i="6"/>
  <c r="U398" i="6"/>
  <c r="U397" i="6"/>
  <c r="U396" i="6"/>
  <c r="U395" i="6"/>
  <c r="U394" i="6"/>
  <c r="U388" i="6"/>
  <c r="U387" i="6"/>
  <c r="U386" i="6"/>
  <c r="U385" i="6"/>
  <c r="U384" i="6"/>
  <c r="U383" i="6"/>
  <c r="U382" i="6"/>
  <c r="U381" i="6"/>
  <c r="U380" i="6"/>
  <c r="U379" i="6"/>
  <c r="U378" i="6"/>
  <c r="U377" i="6"/>
  <c r="U376" i="6"/>
  <c r="U375" i="6"/>
  <c r="U374" i="6"/>
  <c r="U373" i="6"/>
  <c r="U372" i="6"/>
  <c r="U366" i="6"/>
  <c r="U365" i="6"/>
  <c r="U364" i="6"/>
  <c r="U363" i="6"/>
  <c r="U362" i="6"/>
  <c r="U361" i="6"/>
  <c r="U360" i="6"/>
  <c r="U359" i="6"/>
  <c r="U358" i="6"/>
  <c r="U357" i="6"/>
  <c r="U356" i="6"/>
  <c r="U355" i="6"/>
  <c r="U354" i="6"/>
  <c r="U353" i="6"/>
  <c r="U352" i="6"/>
  <c r="U351" i="6"/>
  <c r="U350" i="6"/>
  <c r="U344" i="6"/>
  <c r="U343" i="6"/>
  <c r="U342" i="6"/>
  <c r="U341" i="6"/>
  <c r="U340" i="6"/>
  <c r="U339" i="6"/>
  <c r="U338" i="6"/>
  <c r="U337" i="6"/>
  <c r="U336" i="6"/>
  <c r="U335" i="6"/>
  <c r="U334" i="6"/>
  <c r="U333" i="6"/>
  <c r="U332" i="6"/>
  <c r="U331" i="6"/>
  <c r="U330" i="6"/>
  <c r="U329" i="6"/>
  <c r="U328" i="6"/>
  <c r="U322" i="6"/>
  <c r="U321" i="6"/>
  <c r="U320" i="6"/>
  <c r="U319" i="6"/>
  <c r="U318" i="6"/>
  <c r="U317" i="6"/>
  <c r="U316" i="6"/>
  <c r="U315" i="6"/>
  <c r="U314" i="6"/>
  <c r="U313" i="6"/>
  <c r="U312" i="6"/>
  <c r="U311" i="6"/>
  <c r="U310" i="6"/>
  <c r="U309" i="6"/>
  <c r="U308" i="6"/>
  <c r="U307" i="6"/>
  <c r="U306" i="6"/>
  <c r="U300" i="6"/>
  <c r="U299" i="6"/>
  <c r="U298" i="6"/>
  <c r="U297" i="6"/>
  <c r="U296" i="6"/>
  <c r="U295" i="6"/>
  <c r="U294" i="6"/>
  <c r="U293" i="6"/>
  <c r="U292" i="6"/>
  <c r="U291" i="6"/>
  <c r="U290" i="6"/>
  <c r="U289" i="6"/>
  <c r="U288" i="6"/>
  <c r="U287" i="6"/>
  <c r="U286" i="6"/>
  <c r="U285" i="6"/>
  <c r="U284" i="6"/>
  <c r="U278" i="6"/>
  <c r="U277" i="6"/>
  <c r="U276" i="6"/>
  <c r="U275" i="6"/>
  <c r="U274" i="6"/>
  <c r="U273" i="6"/>
  <c r="U272" i="6"/>
  <c r="U271" i="6"/>
  <c r="U270" i="6"/>
  <c r="U269" i="6"/>
  <c r="U268" i="6"/>
  <c r="U267" i="6"/>
  <c r="U266" i="6"/>
  <c r="U265" i="6"/>
  <c r="U264" i="6"/>
  <c r="U263" i="6"/>
  <c r="U262" i="6"/>
  <c r="U256" i="6"/>
  <c r="U255" i="6"/>
  <c r="U254" i="6"/>
  <c r="U253" i="6"/>
  <c r="U252" i="6"/>
  <c r="U251" i="6"/>
  <c r="U250" i="6"/>
  <c r="U249" i="6"/>
  <c r="U248" i="6"/>
  <c r="U247" i="6"/>
  <c r="U246" i="6"/>
  <c r="U245" i="6"/>
  <c r="U244" i="6"/>
  <c r="U243" i="6"/>
  <c r="U242" i="6"/>
  <c r="U241" i="6"/>
  <c r="U240" i="6"/>
  <c r="U234" i="6"/>
  <c r="U233" i="6"/>
  <c r="U232" i="6"/>
  <c r="U231" i="6"/>
  <c r="U230" i="6"/>
  <c r="U229" i="6"/>
  <c r="U228" i="6"/>
  <c r="U227" i="6"/>
  <c r="U226" i="6"/>
  <c r="U225" i="6"/>
  <c r="U224" i="6"/>
  <c r="U223" i="6"/>
  <c r="U222" i="6"/>
  <c r="U221" i="6"/>
  <c r="U220" i="6"/>
  <c r="U219" i="6"/>
  <c r="U218" i="6"/>
  <c r="U212" i="6"/>
  <c r="U211" i="6"/>
  <c r="U210" i="6"/>
  <c r="U209" i="6"/>
  <c r="U208" i="6"/>
  <c r="U207" i="6"/>
  <c r="U206" i="6"/>
  <c r="U205" i="6"/>
  <c r="U204" i="6"/>
  <c r="U203" i="6"/>
  <c r="U202" i="6"/>
  <c r="U201" i="6"/>
  <c r="U200" i="6"/>
  <c r="U199" i="6"/>
  <c r="U198" i="6"/>
  <c r="U197" i="6"/>
  <c r="U196" i="6"/>
  <c r="U190" i="6"/>
  <c r="U189" i="6"/>
  <c r="U188" i="6"/>
  <c r="U187" i="6"/>
  <c r="U186" i="6"/>
  <c r="U185" i="6"/>
  <c r="U184" i="6"/>
  <c r="U183" i="6"/>
  <c r="U182" i="6"/>
  <c r="U181" i="6"/>
  <c r="U180" i="6"/>
  <c r="U179" i="6"/>
  <c r="U178" i="6"/>
  <c r="U177" i="6"/>
  <c r="U176" i="6"/>
  <c r="U175" i="6"/>
  <c r="U174" i="6"/>
  <c r="U168" i="6"/>
  <c r="U167" i="6"/>
  <c r="U166" i="6"/>
  <c r="U165" i="6"/>
  <c r="U164" i="6"/>
  <c r="U163" i="6"/>
  <c r="U162" i="6"/>
  <c r="U161" i="6"/>
  <c r="U160" i="6"/>
  <c r="U159" i="6"/>
  <c r="U158" i="6"/>
  <c r="U157" i="6"/>
  <c r="U156" i="6"/>
  <c r="U155" i="6"/>
  <c r="U154" i="6"/>
  <c r="U153" i="6"/>
  <c r="U152" i="6"/>
  <c r="U146" i="6"/>
  <c r="U145" i="6"/>
  <c r="U144" i="6"/>
  <c r="U143" i="6"/>
  <c r="U142" i="6"/>
  <c r="U141" i="6"/>
  <c r="U140" i="6"/>
  <c r="U139" i="6"/>
  <c r="U138" i="6"/>
  <c r="U137" i="6"/>
  <c r="U136" i="6"/>
  <c r="U135" i="6"/>
  <c r="U134" i="6"/>
  <c r="U133" i="6"/>
  <c r="U132" i="6"/>
  <c r="U131" i="6"/>
  <c r="U130" i="6"/>
  <c r="U124" i="6"/>
  <c r="U123" i="6"/>
  <c r="U122" i="6"/>
  <c r="U121" i="6"/>
  <c r="U120" i="6"/>
  <c r="U119" i="6"/>
  <c r="U118" i="6"/>
  <c r="U117" i="6"/>
  <c r="U116" i="6"/>
  <c r="U115" i="6"/>
  <c r="U114" i="6"/>
  <c r="U113" i="6"/>
  <c r="U112" i="6"/>
  <c r="U111" i="6"/>
  <c r="U110" i="6"/>
  <c r="U109" i="6"/>
  <c r="U108" i="6"/>
  <c r="U102" i="6"/>
  <c r="U101" i="6"/>
  <c r="U100" i="6"/>
  <c r="U99" i="6"/>
  <c r="U98" i="6"/>
  <c r="U97" i="6"/>
  <c r="U96" i="6"/>
  <c r="U95" i="6"/>
  <c r="U94" i="6"/>
  <c r="U93" i="6"/>
  <c r="U92" i="6"/>
  <c r="U91" i="6"/>
  <c r="U90" i="6"/>
  <c r="U89" i="6"/>
  <c r="U88" i="6"/>
  <c r="U87" i="6"/>
  <c r="U86" i="6"/>
  <c r="U80" i="6"/>
  <c r="U79" i="6"/>
  <c r="U78" i="6"/>
  <c r="U77" i="6"/>
  <c r="U76" i="6"/>
  <c r="U75" i="6"/>
  <c r="U74" i="6"/>
  <c r="U73" i="6"/>
  <c r="U72" i="6"/>
  <c r="U71" i="6"/>
  <c r="U70" i="6"/>
  <c r="U69" i="6"/>
  <c r="U68" i="6"/>
  <c r="U67" i="6"/>
  <c r="U66" i="6"/>
  <c r="U65" i="6"/>
  <c r="U64" i="6"/>
  <c r="K56" i="6"/>
  <c r="J56" i="6"/>
  <c r="I56" i="6"/>
  <c r="F56" i="6"/>
  <c r="E56" i="6"/>
  <c r="K55" i="6"/>
  <c r="J55" i="6"/>
  <c r="I55" i="6"/>
  <c r="F55" i="6"/>
  <c r="E55" i="6"/>
  <c r="K54" i="6"/>
  <c r="J54" i="6"/>
  <c r="I54" i="6"/>
  <c r="F54" i="6"/>
  <c r="E54" i="6"/>
  <c r="K53" i="6"/>
  <c r="J53" i="6"/>
  <c r="I53" i="6"/>
  <c r="F53" i="6"/>
  <c r="E53" i="6"/>
  <c r="K52" i="6"/>
  <c r="J52" i="6"/>
  <c r="I52" i="6"/>
  <c r="F52" i="6"/>
  <c r="E52" i="6"/>
  <c r="K51" i="6"/>
  <c r="J51" i="6"/>
  <c r="I51" i="6"/>
  <c r="F51" i="6"/>
  <c r="E51" i="6"/>
  <c r="K50" i="6"/>
  <c r="J50" i="6"/>
  <c r="I50" i="6"/>
  <c r="F50" i="6"/>
  <c r="E50" i="6"/>
  <c r="K49" i="6"/>
  <c r="J49" i="6"/>
  <c r="I49" i="6"/>
  <c r="F49" i="6"/>
  <c r="E49" i="6"/>
  <c r="K48" i="6"/>
  <c r="J48" i="6"/>
  <c r="I48" i="6"/>
  <c r="F48" i="6"/>
  <c r="E48" i="6"/>
  <c r="K47" i="6"/>
  <c r="J47" i="6"/>
  <c r="I47" i="6"/>
  <c r="F47" i="6"/>
  <c r="E47" i="6"/>
  <c r="K46" i="6"/>
  <c r="J46" i="6"/>
  <c r="I46" i="6"/>
  <c r="F46" i="6"/>
  <c r="E46" i="6"/>
  <c r="K45" i="6"/>
  <c r="J45" i="6"/>
  <c r="I45" i="6"/>
  <c r="F45" i="6"/>
  <c r="E45" i="6"/>
  <c r="K44" i="6"/>
  <c r="J44" i="6"/>
  <c r="I44" i="6"/>
  <c r="F44" i="6"/>
  <c r="E44" i="6"/>
  <c r="K43" i="6"/>
  <c r="J43" i="6"/>
  <c r="I43" i="6"/>
  <c r="F43" i="6"/>
  <c r="E43" i="6"/>
  <c r="K42" i="6"/>
  <c r="J42" i="6"/>
  <c r="I42" i="6"/>
  <c r="F42" i="6"/>
  <c r="E42" i="6"/>
  <c r="K41" i="6"/>
  <c r="J41" i="6"/>
  <c r="I41" i="6"/>
  <c r="F41" i="6"/>
  <c r="E41" i="6"/>
  <c r="K40" i="6"/>
  <c r="J40" i="6"/>
  <c r="I40" i="6"/>
  <c r="F40" i="6"/>
  <c r="E40" i="6"/>
  <c r="K39" i="6"/>
  <c r="J39" i="6"/>
  <c r="I39" i="6"/>
  <c r="F39" i="6"/>
  <c r="E39" i="6"/>
  <c r="K38" i="6"/>
  <c r="J38" i="6"/>
  <c r="I38" i="6"/>
  <c r="F38" i="6"/>
  <c r="E38" i="6"/>
  <c r="K37" i="6"/>
  <c r="J37" i="6"/>
  <c r="I37" i="6"/>
  <c r="F37" i="6"/>
  <c r="E37" i="6"/>
  <c r="K36" i="6"/>
  <c r="J36" i="6"/>
  <c r="I36" i="6"/>
  <c r="F36" i="6"/>
  <c r="E36" i="6"/>
  <c r="K35" i="6"/>
  <c r="J35" i="6"/>
  <c r="I35" i="6"/>
  <c r="F35" i="6"/>
  <c r="E35" i="6"/>
  <c r="K34" i="6"/>
  <c r="J34" i="6"/>
  <c r="I34" i="6"/>
  <c r="F34" i="6"/>
  <c r="E34" i="6"/>
  <c r="K33" i="6"/>
  <c r="J33" i="6"/>
  <c r="I33" i="6"/>
  <c r="F33" i="6"/>
  <c r="E33" i="6"/>
  <c r="K32" i="6"/>
  <c r="J32" i="6"/>
  <c r="I32" i="6"/>
  <c r="F32" i="6"/>
  <c r="E32" i="6"/>
  <c r="K31" i="6"/>
  <c r="J31" i="6"/>
  <c r="I31" i="6"/>
  <c r="F31" i="6"/>
  <c r="E31" i="6"/>
  <c r="K30" i="6"/>
  <c r="J30" i="6"/>
  <c r="I30" i="6"/>
  <c r="F30" i="6"/>
  <c r="E30" i="6"/>
  <c r="K29" i="6"/>
  <c r="J29" i="6"/>
  <c r="I29" i="6"/>
  <c r="F29" i="6"/>
  <c r="E29" i="6"/>
  <c r="K28" i="6"/>
  <c r="J28" i="6"/>
  <c r="I28" i="6"/>
  <c r="F28" i="6"/>
  <c r="E28" i="6"/>
  <c r="K27" i="6"/>
  <c r="J27" i="6"/>
  <c r="I27" i="6"/>
  <c r="F27" i="6"/>
  <c r="E27" i="6"/>
  <c r="K26" i="6"/>
  <c r="J26" i="6"/>
  <c r="I26" i="6"/>
  <c r="F26" i="6"/>
  <c r="E26" i="6"/>
  <c r="K25" i="6"/>
  <c r="J25" i="6"/>
  <c r="I25" i="6"/>
  <c r="F25" i="6"/>
  <c r="E25" i="6"/>
  <c r="K24" i="6"/>
  <c r="J24" i="6"/>
  <c r="I24" i="6"/>
  <c r="F24" i="6"/>
  <c r="E24" i="6"/>
  <c r="K23" i="6"/>
  <c r="J23" i="6"/>
  <c r="I23" i="6"/>
  <c r="F23" i="6"/>
  <c r="E23" i="6"/>
  <c r="K22" i="6"/>
  <c r="J22" i="6"/>
  <c r="I22" i="6"/>
  <c r="F22" i="6"/>
  <c r="E22" i="6"/>
  <c r="K21" i="6"/>
  <c r="J21" i="6"/>
  <c r="I21" i="6"/>
  <c r="F21" i="6"/>
  <c r="E21" i="6"/>
  <c r="K20" i="6"/>
  <c r="J20" i="6"/>
  <c r="I20" i="6"/>
  <c r="F20" i="6"/>
  <c r="E20" i="6"/>
  <c r="K19" i="6"/>
  <c r="J19" i="6"/>
  <c r="I19" i="6"/>
  <c r="F19" i="6"/>
  <c r="E19" i="6"/>
  <c r="K18" i="6"/>
  <c r="J18" i="6"/>
  <c r="I18" i="6"/>
  <c r="F18" i="6"/>
  <c r="E18" i="6"/>
  <c r="K17" i="6"/>
  <c r="J17" i="6"/>
  <c r="I17" i="6"/>
  <c r="F17" i="6"/>
  <c r="E17" i="6"/>
  <c r="K16" i="6"/>
  <c r="J16" i="6"/>
  <c r="I16" i="6"/>
  <c r="F16" i="6"/>
  <c r="E16" i="6"/>
  <c r="K15" i="6"/>
  <c r="J15" i="6"/>
  <c r="I15" i="6"/>
  <c r="F15" i="6"/>
  <c r="E15" i="6"/>
  <c r="K14" i="6"/>
  <c r="J14" i="6"/>
  <c r="I14" i="6"/>
  <c r="F14" i="6"/>
  <c r="E14" i="6"/>
  <c r="K13" i="6"/>
  <c r="J13" i="6"/>
  <c r="I13" i="6"/>
  <c r="F13" i="6"/>
  <c r="E13" i="6"/>
  <c r="K12" i="6"/>
  <c r="J12" i="6"/>
  <c r="I12" i="6"/>
  <c r="F12" i="6"/>
  <c r="E12" i="6"/>
  <c r="K11" i="6"/>
  <c r="J11" i="6"/>
  <c r="I11" i="6"/>
  <c r="F11" i="6"/>
  <c r="E11" i="6"/>
  <c r="K10" i="6"/>
  <c r="J10" i="6"/>
  <c r="I10" i="6"/>
  <c r="F10" i="6"/>
  <c r="E10" i="6"/>
  <c r="K9" i="6"/>
  <c r="J9" i="6"/>
  <c r="I9" i="6"/>
  <c r="F9" i="6"/>
  <c r="E9" i="6"/>
  <c r="K8" i="6"/>
  <c r="J8" i="6"/>
  <c r="I8" i="6"/>
  <c r="F8" i="6"/>
  <c r="E8" i="6"/>
  <c r="K7" i="6"/>
  <c r="J7" i="6"/>
  <c r="I7" i="6"/>
  <c r="F7" i="6"/>
  <c r="E7" i="6"/>
  <c r="K6" i="6"/>
  <c r="J6" i="6"/>
  <c r="I6" i="6"/>
  <c r="F6" i="6"/>
  <c r="E6" i="6"/>
  <c r="K5" i="6"/>
  <c r="J5" i="6"/>
  <c r="I5" i="6"/>
  <c r="F5" i="6"/>
  <c r="E5" i="6"/>
  <c r="N204" i="4"/>
  <c r="A204" i="4"/>
  <c r="N203" i="4"/>
  <c r="A203" i="4"/>
  <c r="N202" i="4"/>
  <c r="A202" i="4"/>
  <c r="N201" i="4"/>
  <c r="A201" i="4"/>
  <c r="N200" i="4"/>
  <c r="A200" i="4"/>
  <c r="N199" i="4"/>
  <c r="A199" i="4"/>
  <c r="N198" i="4"/>
  <c r="A198" i="4"/>
  <c r="N197" i="4"/>
  <c r="A197" i="4"/>
  <c r="N196" i="4"/>
  <c r="A196" i="4"/>
  <c r="N195" i="4"/>
  <c r="A195" i="4"/>
  <c r="N194" i="4"/>
  <c r="A194" i="4"/>
  <c r="N193" i="4"/>
  <c r="A193" i="4"/>
  <c r="N192" i="4"/>
  <c r="A192" i="4"/>
  <c r="N191" i="4"/>
  <c r="A191" i="4"/>
  <c r="N190" i="4"/>
  <c r="A190" i="4"/>
  <c r="N189" i="4"/>
  <c r="A189" i="4"/>
  <c r="N188" i="4"/>
  <c r="A188" i="4"/>
  <c r="N187" i="4"/>
  <c r="A187" i="4"/>
  <c r="N186" i="4"/>
  <c r="A186" i="4"/>
  <c r="N185" i="4"/>
  <c r="A185" i="4"/>
  <c r="N184" i="4"/>
  <c r="A184" i="4"/>
  <c r="N183" i="4"/>
  <c r="A183" i="4"/>
  <c r="N182" i="4"/>
  <c r="A182" i="4"/>
  <c r="N181" i="4"/>
  <c r="A181" i="4"/>
  <c r="N180" i="4"/>
  <c r="A180" i="4"/>
  <c r="N179" i="4"/>
  <c r="A179" i="4"/>
  <c r="N178" i="4"/>
  <c r="A178" i="4"/>
  <c r="N177" i="4"/>
  <c r="A177" i="4"/>
  <c r="N176" i="4"/>
  <c r="A176" i="4"/>
  <c r="N175" i="4"/>
  <c r="A175" i="4"/>
  <c r="N174" i="4"/>
  <c r="A174" i="4"/>
  <c r="N173" i="4"/>
  <c r="A173" i="4"/>
  <c r="N172" i="4"/>
  <c r="A172" i="4"/>
  <c r="N171" i="4"/>
  <c r="A171" i="4"/>
  <c r="N170" i="4"/>
  <c r="A170" i="4"/>
  <c r="N169" i="4"/>
  <c r="A169" i="4"/>
  <c r="N168" i="4"/>
  <c r="A168" i="4"/>
  <c r="N167" i="4"/>
  <c r="A167" i="4"/>
  <c r="N166" i="4"/>
  <c r="A166" i="4"/>
  <c r="N165" i="4"/>
  <c r="A165" i="4"/>
  <c r="N164" i="4"/>
  <c r="A164" i="4"/>
  <c r="N163" i="4"/>
  <c r="A163" i="4"/>
  <c r="N162" i="4"/>
  <c r="A162" i="4"/>
  <c r="N161" i="4"/>
  <c r="A161" i="4"/>
  <c r="N160" i="4"/>
  <c r="A160" i="4"/>
  <c r="N159" i="4"/>
  <c r="A159" i="4"/>
  <c r="N158" i="4"/>
  <c r="A158" i="4"/>
  <c r="N157" i="4"/>
  <c r="A157" i="4"/>
  <c r="N156" i="4"/>
  <c r="A156" i="4"/>
  <c r="N155" i="4"/>
  <c r="A155" i="4"/>
  <c r="N154" i="4"/>
  <c r="A154" i="4"/>
  <c r="N153" i="4"/>
  <c r="A153" i="4"/>
  <c r="N152" i="4"/>
  <c r="A152" i="4"/>
  <c r="N151" i="4"/>
  <c r="A151" i="4"/>
  <c r="N150" i="4"/>
  <c r="A150" i="4"/>
  <c r="N149" i="4"/>
  <c r="A149" i="4"/>
  <c r="N148" i="4"/>
  <c r="A148" i="4"/>
  <c r="N147" i="4"/>
  <c r="A147" i="4"/>
  <c r="N146" i="4"/>
  <c r="A146" i="4"/>
  <c r="N145" i="4"/>
  <c r="A145" i="4"/>
  <c r="N144" i="4"/>
  <c r="A144" i="4"/>
  <c r="N143" i="4"/>
  <c r="A143" i="4"/>
  <c r="N142" i="4"/>
  <c r="A142" i="4"/>
  <c r="N141" i="4"/>
  <c r="A141" i="4"/>
  <c r="N140" i="4"/>
  <c r="A140" i="4"/>
  <c r="N139" i="4"/>
  <c r="A139" i="4"/>
  <c r="N138" i="4"/>
  <c r="A138" i="4"/>
  <c r="N137" i="4"/>
  <c r="A137" i="4"/>
  <c r="N136" i="4"/>
  <c r="A136" i="4"/>
  <c r="N135" i="4"/>
  <c r="A135" i="4"/>
  <c r="N134" i="4"/>
  <c r="A134" i="4"/>
  <c r="N133" i="4"/>
  <c r="A133" i="4"/>
  <c r="N132" i="4"/>
  <c r="A132" i="4"/>
  <c r="N131" i="4"/>
  <c r="A131" i="4"/>
  <c r="N130" i="4"/>
  <c r="A130" i="4"/>
  <c r="N129" i="4"/>
  <c r="A129" i="4"/>
  <c r="N128" i="4"/>
  <c r="A128" i="4"/>
  <c r="N127" i="4"/>
  <c r="A127" i="4"/>
  <c r="N126" i="4"/>
  <c r="A126" i="4"/>
  <c r="N125" i="4"/>
  <c r="A125" i="4"/>
  <c r="N124" i="4"/>
  <c r="A124" i="4"/>
  <c r="N123" i="4"/>
  <c r="A123" i="4"/>
  <c r="N122" i="4"/>
  <c r="A122" i="4"/>
  <c r="N121" i="4"/>
  <c r="A121" i="4"/>
  <c r="N120" i="4"/>
  <c r="A120" i="4"/>
  <c r="N119" i="4"/>
  <c r="A119" i="4"/>
  <c r="N118" i="4"/>
  <c r="A118" i="4"/>
  <c r="N117" i="4"/>
  <c r="A117" i="4"/>
  <c r="N116" i="4"/>
  <c r="A116" i="4"/>
  <c r="N115" i="4"/>
  <c r="A115" i="4"/>
  <c r="N114" i="4"/>
  <c r="A114" i="4"/>
  <c r="N113" i="4"/>
  <c r="A113" i="4"/>
  <c r="N112" i="4"/>
  <c r="A112" i="4"/>
  <c r="N111" i="4"/>
  <c r="A111" i="4"/>
  <c r="N110" i="4"/>
  <c r="A110" i="4"/>
  <c r="N109" i="4"/>
  <c r="A109" i="4"/>
  <c r="N108" i="4"/>
  <c r="A108" i="4"/>
  <c r="N107" i="4"/>
  <c r="A107" i="4"/>
  <c r="N106" i="4"/>
  <c r="A106" i="4"/>
  <c r="N105" i="4"/>
  <c r="A105" i="4"/>
  <c r="N104" i="4"/>
  <c r="A104" i="4"/>
  <c r="N103" i="4"/>
  <c r="A103" i="4"/>
  <c r="N102" i="4"/>
  <c r="A102" i="4"/>
  <c r="N101" i="4"/>
  <c r="A101" i="4"/>
  <c r="N100" i="4"/>
  <c r="A100" i="4"/>
  <c r="N99" i="4"/>
  <c r="A99" i="4"/>
  <c r="N98" i="4"/>
  <c r="A98" i="4"/>
  <c r="N97" i="4"/>
  <c r="A97" i="4"/>
  <c r="N96" i="4"/>
  <c r="A96" i="4"/>
  <c r="N95" i="4"/>
  <c r="A95" i="4"/>
  <c r="N94" i="4"/>
  <c r="A94" i="4"/>
  <c r="N93" i="4"/>
  <c r="A93" i="4"/>
  <c r="N92" i="4"/>
  <c r="A92" i="4"/>
  <c r="N91" i="4"/>
  <c r="A91" i="4"/>
  <c r="N90" i="4"/>
  <c r="A90" i="4"/>
  <c r="N89" i="4"/>
  <c r="A89" i="4"/>
  <c r="N88" i="4"/>
  <c r="A88" i="4"/>
  <c r="N87" i="4"/>
  <c r="A87" i="4"/>
  <c r="N86" i="4"/>
  <c r="A86" i="4"/>
  <c r="N85" i="4"/>
  <c r="A85" i="4"/>
  <c r="N84" i="4"/>
  <c r="A84" i="4"/>
  <c r="N83" i="4"/>
  <c r="A83" i="4"/>
  <c r="N82" i="4"/>
  <c r="A82" i="4"/>
  <c r="N81" i="4"/>
  <c r="A81" i="4"/>
  <c r="N80" i="4"/>
  <c r="A80" i="4"/>
  <c r="N79" i="4"/>
  <c r="A79" i="4"/>
  <c r="N78" i="4"/>
  <c r="A78" i="4"/>
  <c r="N77" i="4"/>
  <c r="A77" i="4"/>
  <c r="N76" i="4"/>
  <c r="A76" i="4"/>
  <c r="N75" i="4"/>
  <c r="A75" i="4"/>
  <c r="N74" i="4"/>
  <c r="A74" i="4"/>
  <c r="N73" i="4"/>
  <c r="A73" i="4"/>
  <c r="N72" i="4"/>
  <c r="A72" i="4"/>
  <c r="N71" i="4"/>
  <c r="A71" i="4"/>
  <c r="N70" i="4"/>
  <c r="A70" i="4"/>
  <c r="N69" i="4"/>
  <c r="A69" i="4"/>
  <c r="N68" i="4"/>
  <c r="A68" i="4"/>
  <c r="N67" i="4"/>
  <c r="A67" i="4"/>
  <c r="N66" i="4"/>
  <c r="A66" i="4"/>
  <c r="N65" i="4"/>
  <c r="A65" i="4"/>
  <c r="N64" i="4"/>
  <c r="A64" i="4"/>
  <c r="N63" i="4"/>
  <c r="A63" i="4"/>
  <c r="N62" i="4"/>
  <c r="A62" i="4"/>
  <c r="N61" i="4"/>
  <c r="A61" i="4"/>
  <c r="N60" i="4"/>
  <c r="A60" i="4"/>
  <c r="N59" i="4"/>
  <c r="A59" i="4"/>
  <c r="N58" i="4"/>
  <c r="A58" i="4"/>
  <c r="N57" i="4"/>
  <c r="A57" i="4"/>
  <c r="N56" i="4"/>
  <c r="A56" i="4"/>
  <c r="N55" i="4"/>
  <c r="A55" i="4"/>
  <c r="N54" i="4"/>
  <c r="A54" i="4"/>
  <c r="N53" i="4"/>
  <c r="A53" i="4"/>
  <c r="N52" i="4"/>
  <c r="A52" i="4"/>
  <c r="N51" i="4"/>
  <c r="A51" i="4"/>
  <c r="N50" i="4"/>
  <c r="A50" i="4"/>
  <c r="N49" i="4"/>
  <c r="A49" i="4"/>
  <c r="N48" i="4"/>
  <c r="A48" i="4"/>
  <c r="N47" i="4"/>
  <c r="A47" i="4"/>
  <c r="N46" i="4"/>
  <c r="A46" i="4"/>
  <c r="N45" i="4"/>
  <c r="A45" i="4"/>
  <c r="N44" i="4"/>
  <c r="A44" i="4"/>
  <c r="N43" i="4"/>
  <c r="A43" i="4"/>
  <c r="N42" i="4"/>
  <c r="A42" i="4"/>
  <c r="N41" i="4"/>
  <c r="A41" i="4"/>
  <c r="N40" i="4"/>
  <c r="A40" i="4"/>
  <c r="N39" i="4"/>
  <c r="A39" i="4"/>
  <c r="N38" i="4"/>
  <c r="A38" i="4"/>
  <c r="N37" i="4"/>
  <c r="A37" i="4"/>
  <c r="N36" i="4"/>
  <c r="A36" i="4"/>
  <c r="N35" i="4"/>
  <c r="A35" i="4"/>
  <c r="N34" i="4"/>
  <c r="A34" i="4"/>
  <c r="N33" i="4"/>
  <c r="A33" i="4"/>
  <c r="N32" i="4"/>
  <c r="A32" i="4"/>
  <c r="N31" i="4"/>
  <c r="A31" i="4"/>
  <c r="N30" i="4"/>
  <c r="A30" i="4"/>
  <c r="N29" i="4"/>
  <c r="A29" i="4"/>
  <c r="N28" i="4"/>
  <c r="A28" i="4"/>
  <c r="N27" i="4"/>
  <c r="A27" i="4"/>
  <c r="N26" i="4"/>
  <c r="A26" i="4"/>
  <c r="N25" i="4"/>
  <c r="A25" i="4"/>
  <c r="N24" i="4"/>
  <c r="A24" i="4"/>
  <c r="N23" i="4"/>
  <c r="A23" i="4"/>
  <c r="N22" i="4"/>
  <c r="A22" i="4"/>
  <c r="N21" i="4"/>
  <c r="A21" i="4"/>
  <c r="N20" i="4"/>
  <c r="A20" i="4"/>
  <c r="N19" i="4"/>
  <c r="A19" i="4"/>
  <c r="N18" i="4"/>
  <c r="A18" i="4"/>
  <c r="N17" i="4"/>
  <c r="A17" i="4"/>
  <c r="N16" i="4"/>
  <c r="A16" i="4"/>
  <c r="N15" i="4"/>
  <c r="A15" i="4"/>
  <c r="N14" i="4"/>
  <c r="A14" i="4"/>
  <c r="N13" i="4"/>
  <c r="A13" i="4"/>
  <c r="N12" i="4"/>
  <c r="A12" i="4"/>
  <c r="N11" i="4"/>
  <c r="A11" i="4"/>
  <c r="N10" i="4"/>
  <c r="A10" i="4"/>
  <c r="N9" i="4"/>
  <c r="A9" i="4"/>
  <c r="N8" i="4"/>
  <c r="A8" i="4"/>
  <c r="N7" i="4"/>
  <c r="A7" i="4"/>
  <c r="N6" i="4"/>
  <c r="A6" i="4"/>
  <c r="N5" i="4"/>
  <c r="A5" i="4"/>
  <c r="K15" i="3"/>
  <c r="K14" i="3"/>
  <c r="J14" i="3"/>
  <c r="I14" i="3"/>
  <c r="H14" i="3"/>
  <c r="K13" i="3"/>
  <c r="J13" i="3"/>
  <c r="I13" i="3"/>
  <c r="H13" i="3"/>
  <c r="K12" i="3"/>
  <c r="J12" i="3"/>
  <c r="I12" i="3"/>
  <c r="H12" i="3"/>
  <c r="K11" i="3"/>
  <c r="J11" i="3"/>
  <c r="I11" i="3"/>
  <c r="H11" i="3"/>
  <c r="K10" i="3"/>
  <c r="J10" i="3"/>
  <c r="I10" i="3"/>
  <c r="H10" i="3"/>
  <c r="K9" i="3"/>
  <c r="J9" i="3"/>
  <c r="I9" i="3"/>
  <c r="H9" i="3"/>
  <c r="K8" i="3"/>
  <c r="K7" i="3"/>
  <c r="J7" i="3"/>
  <c r="I7" i="3"/>
  <c r="H7" i="3"/>
  <c r="K6" i="3"/>
  <c r="J6" i="3"/>
  <c r="I6" i="3"/>
  <c r="H6" i="3"/>
  <c r="K5" i="3"/>
  <c r="J5" i="3"/>
  <c r="I5" i="3"/>
  <c r="H5" i="3"/>
  <c r="K4" i="3"/>
  <c r="J4" i="3"/>
  <c r="I4" i="3"/>
  <c r="H4" i="3"/>
  <c r="U270" i="10"/>
  <c r="U269" i="10"/>
  <c r="U268" i="10"/>
  <c r="U267" i="10"/>
  <c r="U266" i="10"/>
  <c r="U265" i="10"/>
  <c r="U264" i="10"/>
  <c r="U263" i="10"/>
  <c r="U262" i="10"/>
  <c r="U261" i="10"/>
  <c r="U260" i="10"/>
  <c r="U259" i="10"/>
  <c r="U258" i="10"/>
  <c r="U257" i="10"/>
  <c r="U256" i="10"/>
  <c r="U255" i="10"/>
  <c r="U249" i="10"/>
  <c r="U248" i="10"/>
  <c r="U247" i="10"/>
  <c r="U246" i="10"/>
  <c r="U245" i="10"/>
  <c r="U244" i="10"/>
  <c r="U243" i="10"/>
  <c r="U242" i="10"/>
  <c r="U241" i="10"/>
  <c r="U240" i="10"/>
  <c r="U239" i="10"/>
  <c r="U238" i="10"/>
  <c r="U237" i="10"/>
  <c r="U236" i="10"/>
  <c r="U235" i="10"/>
  <c r="U234" i="10"/>
  <c r="U228" i="10"/>
  <c r="U227" i="10"/>
  <c r="U226" i="10"/>
  <c r="U225" i="10"/>
  <c r="U224" i="10"/>
  <c r="U223" i="10"/>
  <c r="U222" i="10"/>
  <c r="U221" i="10"/>
  <c r="U220" i="10"/>
  <c r="U219" i="10"/>
  <c r="U218" i="10"/>
  <c r="U217" i="10"/>
  <c r="U216" i="10"/>
  <c r="U215" i="10"/>
  <c r="U214" i="10"/>
  <c r="U213" i="10"/>
  <c r="U207" i="10"/>
  <c r="U206" i="10"/>
  <c r="U205" i="10"/>
  <c r="U204" i="10"/>
  <c r="U203" i="10"/>
  <c r="U202" i="10"/>
  <c r="U201" i="10"/>
  <c r="U200" i="10"/>
  <c r="U199" i="10"/>
  <c r="U198" i="10"/>
  <c r="U197" i="10"/>
  <c r="U196" i="10"/>
  <c r="U195" i="10"/>
  <c r="U194" i="10"/>
  <c r="U193" i="10"/>
  <c r="U192" i="10"/>
  <c r="U186" i="10"/>
  <c r="U185" i="10"/>
  <c r="U184" i="10"/>
  <c r="U183" i="10"/>
  <c r="U182" i="10"/>
  <c r="U181" i="10"/>
  <c r="U180" i="10"/>
  <c r="U179" i="10"/>
  <c r="U178" i="10"/>
  <c r="U177" i="10"/>
  <c r="U176" i="10"/>
  <c r="U175" i="10"/>
  <c r="U174" i="10"/>
  <c r="U173" i="10"/>
  <c r="U172" i="10"/>
  <c r="U171" i="10"/>
  <c r="U165" i="10"/>
  <c r="U164" i="10"/>
  <c r="U163" i="10"/>
  <c r="U162" i="10"/>
  <c r="U161" i="10"/>
  <c r="U160" i="10"/>
  <c r="U159" i="10"/>
  <c r="U158" i="10"/>
  <c r="U157" i="10"/>
  <c r="U156" i="10"/>
  <c r="U155" i="10"/>
  <c r="U154" i="10"/>
  <c r="U153" i="10"/>
  <c r="U152" i="10"/>
  <c r="U151" i="10"/>
  <c r="U150" i="10"/>
  <c r="U144" i="10"/>
  <c r="U143" i="10"/>
  <c r="U142" i="10"/>
  <c r="U141" i="10"/>
  <c r="U140" i="10"/>
  <c r="U139" i="10"/>
  <c r="U138" i="10"/>
  <c r="U137" i="10"/>
  <c r="U136" i="10"/>
  <c r="U135" i="10"/>
  <c r="U134" i="10"/>
  <c r="U133" i="10"/>
  <c r="U132" i="10"/>
  <c r="U131" i="10"/>
  <c r="U130" i="10"/>
  <c r="U129" i="10"/>
  <c r="U123" i="10"/>
  <c r="U122" i="10"/>
  <c r="U121" i="10"/>
  <c r="U120" i="10"/>
  <c r="U119" i="10"/>
  <c r="U118" i="10"/>
  <c r="U117" i="10"/>
  <c r="U116" i="10"/>
  <c r="U115" i="10"/>
  <c r="U114" i="10"/>
  <c r="U113" i="10"/>
  <c r="U112" i="10"/>
  <c r="U111" i="10"/>
  <c r="U110" i="10"/>
  <c r="U109" i="10"/>
  <c r="U108" i="10"/>
  <c r="U102" i="10"/>
  <c r="U101" i="10"/>
  <c r="U100" i="10"/>
  <c r="U99" i="10"/>
  <c r="U98" i="10"/>
  <c r="U97" i="10"/>
  <c r="U96" i="10"/>
  <c r="U95" i="10"/>
  <c r="U94" i="10"/>
  <c r="U93" i="10"/>
  <c r="U92" i="10"/>
  <c r="U91" i="10"/>
  <c r="U90" i="10"/>
  <c r="U89" i="10"/>
  <c r="U88" i="10"/>
  <c r="U87" i="10"/>
  <c r="U81" i="10"/>
  <c r="U80" i="10"/>
  <c r="U79" i="10"/>
  <c r="U78" i="10"/>
  <c r="U77" i="10"/>
  <c r="U76" i="10"/>
  <c r="U75" i="10"/>
  <c r="U74" i="10"/>
  <c r="U73" i="10"/>
  <c r="U72" i="10"/>
  <c r="U71" i="10"/>
  <c r="U70" i="10"/>
  <c r="U69" i="10"/>
  <c r="U68" i="10"/>
  <c r="U67" i="10"/>
  <c r="U66" i="10"/>
  <c r="U60" i="10"/>
  <c r="U59" i="10"/>
  <c r="U58" i="10"/>
  <c r="U57" i="10"/>
  <c r="U56" i="10"/>
  <c r="U55" i="10"/>
  <c r="U54" i="10"/>
  <c r="U53" i="10"/>
  <c r="U52" i="10"/>
  <c r="U51" i="10"/>
  <c r="U50" i="10"/>
  <c r="U49" i="10"/>
  <c r="U48" i="10"/>
  <c r="U47" i="10"/>
  <c r="U46" i="10"/>
  <c r="U45" i="10"/>
  <c r="U39" i="10"/>
  <c r="U38" i="10"/>
  <c r="U37" i="10"/>
  <c r="U36" i="10"/>
  <c r="U35" i="10"/>
  <c r="U34" i="10"/>
  <c r="U33" i="10"/>
  <c r="U32" i="10"/>
  <c r="U31" i="10"/>
  <c r="U30" i="10"/>
  <c r="U29" i="10"/>
  <c r="U28" i="10"/>
  <c r="U27" i="10"/>
  <c r="U26" i="10"/>
  <c r="U25" i="10"/>
  <c r="U24" i="10"/>
  <c r="K16" i="10"/>
  <c r="J16" i="10"/>
  <c r="I16" i="10"/>
  <c r="F16" i="10"/>
  <c r="E16" i="10"/>
  <c r="K15" i="10"/>
  <c r="J15" i="10"/>
  <c r="I15" i="10"/>
  <c r="F15" i="10"/>
  <c r="E15" i="10"/>
  <c r="K14" i="10"/>
  <c r="J14" i="10"/>
  <c r="I14" i="10"/>
  <c r="F14" i="10"/>
  <c r="E14" i="10"/>
  <c r="K13" i="10"/>
  <c r="J13" i="10"/>
  <c r="I13" i="10"/>
  <c r="F13" i="10"/>
  <c r="E13" i="10"/>
  <c r="K12" i="10"/>
  <c r="J12" i="10"/>
  <c r="I12" i="10"/>
  <c r="F12" i="10"/>
  <c r="E12" i="10"/>
  <c r="K11" i="10"/>
  <c r="J11" i="10"/>
  <c r="I11" i="10"/>
  <c r="F11" i="10"/>
  <c r="E11" i="10"/>
  <c r="K10" i="10"/>
  <c r="J10" i="10"/>
  <c r="I10" i="10"/>
  <c r="F10" i="10"/>
  <c r="E10" i="10"/>
  <c r="K9" i="10"/>
  <c r="J9" i="10"/>
  <c r="I9" i="10"/>
  <c r="F9" i="10"/>
  <c r="E9" i="10"/>
  <c r="K8" i="10"/>
  <c r="J8" i="10"/>
  <c r="I8" i="10"/>
  <c r="F8" i="10"/>
  <c r="E8" i="10"/>
  <c r="K7" i="10"/>
  <c r="J7" i="10"/>
  <c r="I7" i="10"/>
  <c r="F7" i="10"/>
  <c r="E7" i="10"/>
  <c r="K6" i="10"/>
  <c r="J6" i="10"/>
  <c r="I6" i="10"/>
  <c r="F6" i="10"/>
  <c r="E6" i="10"/>
  <c r="K5" i="10"/>
  <c r="J5" i="10"/>
  <c r="I5" i="10"/>
  <c r="F5" i="10"/>
  <c r="E5" i="10"/>
  <c r="I15" i="3" l="1"/>
  <c r="G16" i="11"/>
  <c r="G15" i="11"/>
  <c r="J15" i="3"/>
  <c r="H15" i="3"/>
  <c r="G16" i="23"/>
  <c r="H16" i="23" s="1"/>
  <c r="G15" i="23"/>
  <c r="H15" i="23" s="1"/>
  <c r="G14" i="23"/>
  <c r="H14" i="23" s="1"/>
  <c r="G13" i="23"/>
  <c r="H13" i="23" s="1"/>
  <c r="G12" i="23"/>
  <c r="H12" i="23" s="1"/>
  <c r="G11" i="23"/>
  <c r="H11" i="23" s="1"/>
  <c r="G10" i="23"/>
  <c r="H10" i="23" s="1"/>
  <c r="G9" i="23"/>
  <c r="H9" i="23" s="1"/>
  <c r="G8" i="23"/>
  <c r="H8" i="23" s="1"/>
  <c r="G7" i="23"/>
  <c r="H7" i="23" s="1"/>
  <c r="G6" i="23"/>
  <c r="H6" i="23" s="1"/>
  <c r="G5" i="23"/>
  <c r="H5" i="23" s="1"/>
  <c r="G16" i="22"/>
  <c r="H16" i="22" s="1"/>
  <c r="G15" i="22"/>
  <c r="H15" i="22" s="1"/>
  <c r="G14" i="22"/>
  <c r="H14" i="22" s="1"/>
  <c r="G13" i="22"/>
  <c r="H13" i="22" s="1"/>
  <c r="G12" i="22"/>
  <c r="H12" i="22" s="1"/>
  <c r="G11" i="22"/>
  <c r="H11" i="22" s="1"/>
  <c r="G10" i="22"/>
  <c r="H10" i="22" s="1"/>
  <c r="G9" i="22"/>
  <c r="H9" i="22" s="1"/>
  <c r="G8" i="22"/>
  <c r="H8" i="22" s="1"/>
  <c r="G7" i="22"/>
  <c r="H7" i="22" s="1"/>
  <c r="G6" i="22"/>
  <c r="H6" i="22" s="1"/>
  <c r="G5" i="22"/>
  <c r="H5" i="22" s="1"/>
  <c r="G16" i="21"/>
  <c r="H16" i="21" s="1"/>
  <c r="G15" i="21"/>
  <c r="H15" i="21" s="1"/>
  <c r="G14" i="21"/>
  <c r="H14" i="21" s="1"/>
  <c r="G13" i="21"/>
  <c r="H13" i="21" s="1"/>
  <c r="G12" i="21"/>
  <c r="H12" i="21" s="1"/>
  <c r="G11" i="21"/>
  <c r="H11" i="21" s="1"/>
  <c r="G10" i="21"/>
  <c r="H10" i="21" s="1"/>
  <c r="G9" i="21"/>
  <c r="H9" i="21" s="1"/>
  <c r="G8" i="21"/>
  <c r="H8" i="21" s="1"/>
  <c r="G7" i="21"/>
  <c r="H7" i="21" s="1"/>
  <c r="G6" i="21"/>
  <c r="H6" i="21" s="1"/>
  <c r="G5" i="21"/>
  <c r="H5" i="21" s="1"/>
  <c r="G16" i="20"/>
  <c r="H16" i="20" s="1"/>
  <c r="G15" i="20"/>
  <c r="H15" i="20" s="1"/>
  <c r="G14" i="20"/>
  <c r="H14" i="20" s="1"/>
  <c r="G13" i="20"/>
  <c r="H13" i="20" s="1"/>
  <c r="G12" i="20"/>
  <c r="H12" i="20" s="1"/>
  <c r="G11" i="20"/>
  <c r="H11" i="20" s="1"/>
  <c r="G10" i="20"/>
  <c r="H10" i="20" s="1"/>
  <c r="G9" i="20"/>
  <c r="H9" i="20" s="1"/>
  <c r="G8" i="20"/>
  <c r="H8" i="20" s="1"/>
  <c r="G7" i="20"/>
  <c r="H7" i="20" s="1"/>
  <c r="G6" i="20"/>
  <c r="H6" i="20" s="1"/>
  <c r="G5" i="20"/>
  <c r="H5" i="20" s="1"/>
  <c r="G16" i="19"/>
  <c r="H16" i="19" s="1"/>
  <c r="G15" i="19"/>
  <c r="H15" i="19" s="1"/>
  <c r="G14" i="19"/>
  <c r="H14" i="19" s="1"/>
  <c r="G13" i="19"/>
  <c r="H13" i="19" s="1"/>
  <c r="G12" i="19"/>
  <c r="H12" i="19" s="1"/>
  <c r="G11" i="19"/>
  <c r="H11" i="19" s="1"/>
  <c r="G10" i="19"/>
  <c r="H10" i="19" s="1"/>
  <c r="G9" i="19"/>
  <c r="H9" i="19" s="1"/>
  <c r="G8" i="19"/>
  <c r="H8" i="19" s="1"/>
  <c r="G7" i="19"/>
  <c r="H7" i="19" s="1"/>
  <c r="G6" i="19"/>
  <c r="H6" i="19" s="1"/>
  <c r="G5" i="19"/>
  <c r="H5" i="19" s="1"/>
  <c r="G33" i="8"/>
  <c r="H33" i="8" s="1"/>
  <c r="G32" i="8"/>
  <c r="H32" i="8" s="1"/>
  <c r="G31" i="8"/>
  <c r="H31" i="8" s="1"/>
  <c r="G27" i="8"/>
  <c r="H27" i="8" s="1"/>
  <c r="G26" i="8"/>
  <c r="H26" i="8" s="1"/>
  <c r="G22" i="8"/>
  <c r="H22" i="8" s="1"/>
  <c r="G21" i="8"/>
  <c r="H21" i="8" s="1"/>
  <c r="G6" i="8"/>
  <c r="H6" i="8" s="1"/>
  <c r="G5" i="8"/>
  <c r="G54" i="7"/>
  <c r="H54" i="7" s="1"/>
  <c r="G53" i="7"/>
  <c r="H53" i="7" s="1"/>
  <c r="G51" i="7"/>
  <c r="H51" i="7" s="1"/>
  <c r="G49" i="7"/>
  <c r="H49" i="7" s="1"/>
  <c r="G46" i="7"/>
  <c r="H46" i="7" s="1"/>
  <c r="G42" i="7"/>
  <c r="H42" i="7" s="1"/>
  <c r="G41" i="7"/>
  <c r="H41" i="7" s="1"/>
  <c r="G39" i="7"/>
  <c r="H39" i="7" s="1"/>
  <c r="G34" i="7"/>
  <c r="H34" i="7" s="1"/>
  <c r="G31" i="7"/>
  <c r="H31" i="7" s="1"/>
  <c r="G30" i="7"/>
  <c r="H30" i="7" s="1"/>
  <c r="G27" i="7"/>
  <c r="H27" i="7" s="1"/>
  <c r="G26" i="7"/>
  <c r="H26" i="7" s="1"/>
  <c r="G25" i="7"/>
  <c r="H25" i="7" s="1"/>
  <c r="G23" i="7"/>
  <c r="H23" i="7" s="1"/>
  <c r="G20" i="7"/>
  <c r="H20" i="7" s="1"/>
  <c r="G15" i="7"/>
  <c r="H15" i="7" s="1"/>
  <c r="G12" i="7"/>
  <c r="H12" i="7" s="1"/>
  <c r="G8" i="7"/>
  <c r="H8" i="7" s="1"/>
  <c r="G6" i="7"/>
  <c r="H6" i="7" s="1"/>
  <c r="G55" i="6"/>
  <c r="H55" i="6" s="1"/>
  <c r="G13" i="6"/>
  <c r="H13" i="6" s="1"/>
  <c r="G12" i="6"/>
  <c r="H12" i="6" s="1"/>
  <c r="G7" i="6"/>
  <c r="H7" i="6" s="1"/>
  <c r="G15" i="10"/>
  <c r="H15" i="10" s="1"/>
  <c r="G16" i="18"/>
  <c r="H16" i="18" s="1"/>
  <c r="G15" i="18"/>
  <c r="H15" i="18" s="1"/>
  <c r="G14" i="18"/>
  <c r="H14" i="18" s="1"/>
  <c r="G13" i="18"/>
  <c r="H13" i="18" s="1"/>
  <c r="G12" i="18"/>
  <c r="H12" i="18" s="1"/>
  <c r="G11" i="18"/>
  <c r="H11" i="18" s="1"/>
  <c r="G10" i="18"/>
  <c r="H10" i="18" s="1"/>
  <c r="G9" i="18"/>
  <c r="H9" i="18" s="1"/>
  <c r="G8" i="18"/>
  <c r="H8" i="18" s="1"/>
  <c r="G7" i="18"/>
  <c r="H7" i="18" s="1"/>
  <c r="G6" i="18"/>
  <c r="H6" i="18" s="1"/>
  <c r="G5" i="18"/>
  <c r="H5" i="18" s="1"/>
  <c r="G16" i="17"/>
  <c r="H16" i="17" s="1"/>
  <c r="G15" i="17"/>
  <c r="H15" i="17" s="1"/>
  <c r="G14" i="17"/>
  <c r="H14" i="17" s="1"/>
  <c r="G13" i="17"/>
  <c r="H13" i="17" s="1"/>
  <c r="G12" i="17"/>
  <c r="H12" i="17" s="1"/>
  <c r="G11" i="17"/>
  <c r="H11" i="17" s="1"/>
  <c r="G10" i="17"/>
  <c r="H10" i="17" s="1"/>
  <c r="G9" i="17"/>
  <c r="H9" i="17" s="1"/>
  <c r="G8" i="17"/>
  <c r="H8" i="17" s="1"/>
  <c r="G7" i="17"/>
  <c r="H7" i="17" s="1"/>
  <c r="G6" i="17"/>
  <c r="H6" i="17" s="1"/>
  <c r="G5" i="17"/>
  <c r="G14" i="14"/>
  <c r="H14" i="14" s="1"/>
  <c r="G13" i="14"/>
  <c r="H13" i="14" s="1"/>
  <c r="G11" i="14"/>
  <c r="H11" i="14" s="1"/>
  <c r="G8" i="14"/>
  <c r="H8" i="14" s="1"/>
  <c r="G6" i="14"/>
  <c r="H6" i="14" s="1"/>
  <c r="G16" i="13"/>
  <c r="H16" i="13" s="1"/>
  <c r="G14" i="13"/>
  <c r="H14" i="13" s="1"/>
  <c r="G12" i="13"/>
  <c r="H12" i="13" s="1"/>
  <c r="G11" i="13"/>
  <c r="H11" i="13" s="1"/>
  <c r="G10" i="13"/>
  <c r="H10" i="13" s="1"/>
  <c r="G9" i="13"/>
  <c r="H9" i="13" s="1"/>
  <c r="G8" i="13"/>
  <c r="H8" i="13" s="1"/>
  <c r="G7" i="13"/>
  <c r="H7" i="13" s="1"/>
  <c r="G6" i="13"/>
  <c r="H6" i="13" s="1"/>
  <c r="G5" i="13"/>
  <c r="G15" i="12"/>
  <c r="H15" i="12" s="1"/>
  <c r="G13" i="12"/>
  <c r="H13" i="12" s="1"/>
  <c r="G5" i="12"/>
  <c r="H16" i="11"/>
  <c r="G14" i="11"/>
  <c r="H14" i="11" s="1"/>
  <c r="G12" i="11"/>
  <c r="H12" i="11" s="1"/>
  <c r="G10" i="11"/>
  <c r="H10" i="11" s="1"/>
  <c r="G7" i="11"/>
  <c r="H7" i="11" s="1"/>
  <c r="G5" i="11"/>
  <c r="G16" i="9"/>
  <c r="H16" i="9" s="1"/>
  <c r="G14" i="9"/>
  <c r="H14" i="9" s="1"/>
  <c r="G12" i="9"/>
  <c r="H12" i="9" s="1"/>
  <c r="G10" i="9"/>
  <c r="H10" i="9" s="1"/>
  <c r="G9" i="9"/>
  <c r="H9" i="9" s="1"/>
  <c r="G7" i="9"/>
  <c r="H7" i="9" s="1"/>
  <c r="G5" i="9"/>
  <c r="G56" i="8"/>
  <c r="H56" i="8" s="1"/>
  <c r="G54" i="8"/>
  <c r="H54" i="8" s="1"/>
  <c r="G52" i="8"/>
  <c r="H52" i="8" s="1"/>
  <c r="G50" i="8"/>
  <c r="H50" i="8" s="1"/>
  <c r="G48" i="8"/>
  <c r="H48" i="8" s="1"/>
  <c r="G47" i="8"/>
  <c r="H47" i="8" s="1"/>
  <c r="G45" i="8"/>
  <c r="H45" i="8" s="1"/>
  <c r="G43" i="8"/>
  <c r="H43" i="8" s="1"/>
  <c r="G41" i="8"/>
  <c r="H41" i="8" s="1"/>
  <c r="G39" i="8"/>
  <c r="H39" i="8" s="1"/>
  <c r="G37" i="8"/>
  <c r="H37" i="8" s="1"/>
  <c r="G35" i="8"/>
  <c r="H35" i="8" s="1"/>
  <c r="G29" i="8"/>
  <c r="H29" i="8" s="1"/>
  <c r="G28" i="8"/>
  <c r="H28" i="8" s="1"/>
  <c r="G25" i="8"/>
  <c r="H25" i="8" s="1"/>
  <c r="G23" i="8"/>
  <c r="H23" i="8" s="1"/>
  <c r="G20" i="8"/>
  <c r="H20" i="8" s="1"/>
  <c r="G19" i="8"/>
  <c r="H19" i="8" s="1"/>
  <c r="G18" i="8"/>
  <c r="H18" i="8" s="1"/>
  <c r="G16" i="8"/>
  <c r="H16" i="8" s="1"/>
  <c r="G14" i="8"/>
  <c r="H14" i="8" s="1"/>
  <c r="G12" i="8"/>
  <c r="H12" i="8" s="1"/>
  <c r="G7" i="8"/>
  <c r="H7" i="8" s="1"/>
  <c r="G56" i="7"/>
  <c r="H56" i="7" s="1"/>
  <c r="G55" i="7"/>
  <c r="H55" i="7" s="1"/>
  <c r="G52" i="7"/>
  <c r="H52" i="7" s="1"/>
  <c r="G45" i="7"/>
  <c r="H45" i="7" s="1"/>
  <c r="G43" i="7"/>
  <c r="H43" i="7" s="1"/>
  <c r="G40" i="7"/>
  <c r="H40" i="7" s="1"/>
  <c r="G37" i="7"/>
  <c r="H37" i="7" s="1"/>
  <c r="G35" i="7"/>
  <c r="H35" i="7" s="1"/>
  <c r="G33" i="7"/>
  <c r="H33" i="7" s="1"/>
  <c r="G32" i="7"/>
  <c r="H32" i="7" s="1"/>
  <c r="G24" i="7"/>
  <c r="H24" i="7" s="1"/>
  <c r="G19" i="7"/>
  <c r="H19" i="7" s="1"/>
  <c r="G17" i="7"/>
  <c r="H17" i="7" s="1"/>
  <c r="G16" i="7"/>
  <c r="H16" i="7" s="1"/>
  <c r="G14" i="7"/>
  <c r="H14" i="7" s="1"/>
  <c r="G13" i="7"/>
  <c r="H13" i="7" s="1"/>
  <c r="G11" i="7"/>
  <c r="H11" i="7" s="1"/>
  <c r="G10" i="7"/>
  <c r="H10" i="7" s="1"/>
  <c r="G56" i="6"/>
  <c r="H56" i="6" s="1"/>
  <c r="G29" i="6"/>
  <c r="H29" i="6" s="1"/>
  <c r="G28" i="6"/>
  <c r="H28" i="6" s="1"/>
  <c r="G5" i="6"/>
  <c r="J8" i="3"/>
  <c r="G11" i="10"/>
  <c r="H11" i="10" s="1"/>
  <c r="G10" i="10"/>
  <c r="H10" i="10" s="1"/>
  <c r="G9" i="10"/>
  <c r="H9" i="10" s="1"/>
  <c r="G16" i="16"/>
  <c r="H16" i="16" s="1"/>
  <c r="G15" i="16"/>
  <c r="H15" i="16" s="1"/>
  <c r="G14" i="16"/>
  <c r="H14" i="16" s="1"/>
  <c r="G13" i="16"/>
  <c r="H13" i="16" s="1"/>
  <c r="G12" i="16"/>
  <c r="H12" i="16" s="1"/>
  <c r="G11" i="16"/>
  <c r="H11" i="16" s="1"/>
  <c r="G10" i="16"/>
  <c r="H10" i="16" s="1"/>
  <c r="G9" i="16"/>
  <c r="H9" i="16" s="1"/>
  <c r="G8" i="16"/>
  <c r="H8" i="16" s="1"/>
  <c r="G7" i="16"/>
  <c r="H7" i="16" s="1"/>
  <c r="G6" i="16"/>
  <c r="H6" i="16" s="1"/>
  <c r="G5" i="16"/>
  <c r="G16" i="15"/>
  <c r="H16" i="15" s="1"/>
  <c r="G15" i="15"/>
  <c r="H15" i="15" s="1"/>
  <c r="G14" i="15"/>
  <c r="H14" i="15" s="1"/>
  <c r="G13" i="15"/>
  <c r="H13" i="15" s="1"/>
  <c r="G12" i="15"/>
  <c r="H12" i="15" s="1"/>
  <c r="G11" i="15"/>
  <c r="H11" i="15" s="1"/>
  <c r="G10" i="15"/>
  <c r="H10" i="15" s="1"/>
  <c r="G9" i="15"/>
  <c r="H9" i="15" s="1"/>
  <c r="G8" i="15"/>
  <c r="H8" i="15" s="1"/>
  <c r="G7" i="15"/>
  <c r="H7" i="15" s="1"/>
  <c r="G6" i="15"/>
  <c r="H6" i="15" s="1"/>
  <c r="G5" i="15"/>
  <c r="G16" i="14"/>
  <c r="H16" i="14" s="1"/>
  <c r="G15" i="14"/>
  <c r="H15" i="14" s="1"/>
  <c r="G12" i="14"/>
  <c r="H12" i="14" s="1"/>
  <c r="G10" i="14"/>
  <c r="H10" i="14" s="1"/>
  <c r="G9" i="14"/>
  <c r="H9" i="14" s="1"/>
  <c r="G7" i="14"/>
  <c r="H7" i="14" s="1"/>
  <c r="G5" i="14"/>
  <c r="G15" i="13"/>
  <c r="H15" i="13" s="1"/>
  <c r="G13" i="13"/>
  <c r="H13" i="13" s="1"/>
  <c r="G16" i="12"/>
  <c r="H16" i="12" s="1"/>
  <c r="G14" i="12"/>
  <c r="H14" i="12" s="1"/>
  <c r="G12" i="12"/>
  <c r="H12" i="12" s="1"/>
  <c r="G11" i="12"/>
  <c r="H11" i="12" s="1"/>
  <c r="G10" i="12"/>
  <c r="H10" i="12" s="1"/>
  <c r="G9" i="12"/>
  <c r="H9" i="12" s="1"/>
  <c r="G8" i="12"/>
  <c r="H8" i="12" s="1"/>
  <c r="G7" i="12"/>
  <c r="H7" i="12" s="1"/>
  <c r="G6" i="12"/>
  <c r="H6" i="12" s="1"/>
  <c r="G13" i="11"/>
  <c r="H13" i="11" s="1"/>
  <c r="G11" i="11"/>
  <c r="H11" i="11" s="1"/>
  <c r="G9" i="11"/>
  <c r="H9" i="11" s="1"/>
  <c r="G8" i="11"/>
  <c r="H8" i="11" s="1"/>
  <c r="G6" i="11"/>
  <c r="H6" i="11" s="1"/>
  <c r="G15" i="9"/>
  <c r="H15" i="9" s="1"/>
  <c r="G13" i="9"/>
  <c r="H13" i="9" s="1"/>
  <c r="G11" i="9"/>
  <c r="H11" i="9" s="1"/>
  <c r="G8" i="9"/>
  <c r="H8" i="9" s="1"/>
  <c r="G6" i="9"/>
  <c r="H6" i="9" s="1"/>
  <c r="G55" i="8"/>
  <c r="H55" i="8" s="1"/>
  <c r="G53" i="8"/>
  <c r="H53" i="8" s="1"/>
  <c r="G51" i="8"/>
  <c r="H51" i="8" s="1"/>
  <c r="G49" i="8"/>
  <c r="H49" i="8" s="1"/>
  <c r="G46" i="8"/>
  <c r="H46" i="8" s="1"/>
  <c r="G44" i="8"/>
  <c r="H44" i="8" s="1"/>
  <c r="G42" i="8"/>
  <c r="H42" i="8" s="1"/>
  <c r="G40" i="8"/>
  <c r="H40" i="8" s="1"/>
  <c r="G38" i="8"/>
  <c r="H38" i="8" s="1"/>
  <c r="G36" i="8"/>
  <c r="H36" i="8" s="1"/>
  <c r="G34" i="8"/>
  <c r="H34" i="8" s="1"/>
  <c r="G30" i="8"/>
  <c r="H30" i="8" s="1"/>
  <c r="G24" i="8"/>
  <c r="H24" i="8" s="1"/>
  <c r="G17" i="8"/>
  <c r="H17" i="8" s="1"/>
  <c r="G15" i="8"/>
  <c r="H15" i="8" s="1"/>
  <c r="G13" i="8"/>
  <c r="H13" i="8" s="1"/>
  <c r="G11" i="8"/>
  <c r="H11" i="8" s="1"/>
  <c r="G10" i="8"/>
  <c r="H10" i="8" s="1"/>
  <c r="G9" i="8"/>
  <c r="H9" i="8" s="1"/>
  <c r="G8" i="8"/>
  <c r="H8" i="8" s="1"/>
  <c r="G50" i="7"/>
  <c r="H50" i="7" s="1"/>
  <c r="G48" i="7"/>
  <c r="H48" i="7" s="1"/>
  <c r="G47" i="7"/>
  <c r="H47" i="7" s="1"/>
  <c r="G44" i="7"/>
  <c r="H44" i="7" s="1"/>
  <c r="G38" i="7"/>
  <c r="H38" i="7" s="1"/>
  <c r="G36" i="7"/>
  <c r="H36" i="7" s="1"/>
  <c r="G29" i="7"/>
  <c r="H29" i="7" s="1"/>
  <c r="G28" i="7"/>
  <c r="H28" i="7" s="1"/>
  <c r="G22" i="7"/>
  <c r="H22" i="7" s="1"/>
  <c r="G21" i="7"/>
  <c r="H21" i="7" s="1"/>
  <c r="G18" i="7"/>
  <c r="H18" i="7" s="1"/>
  <c r="G9" i="7"/>
  <c r="H9" i="7" s="1"/>
  <c r="G5" i="7"/>
  <c r="G52" i="6"/>
  <c r="H52" i="6" s="1"/>
  <c r="G50" i="6"/>
  <c r="H50" i="6" s="1"/>
  <c r="G47" i="6"/>
  <c r="H47" i="6" s="1"/>
  <c r="G44" i="6"/>
  <c r="H44" i="6" s="1"/>
  <c r="G37" i="6"/>
  <c r="H37" i="6" s="1"/>
  <c r="G30" i="6"/>
  <c r="H30" i="6" s="1"/>
  <c r="G18" i="6"/>
  <c r="H18" i="6" s="1"/>
  <c r="G16" i="6"/>
  <c r="H16" i="6" s="1"/>
  <c r="G15" i="6"/>
  <c r="H15" i="6" s="1"/>
  <c r="I8" i="3"/>
  <c r="G16" i="10"/>
  <c r="H16" i="10" s="1"/>
  <c r="G7" i="7"/>
  <c r="H7" i="7" s="1"/>
  <c r="G54" i="6"/>
  <c r="H54" i="6" s="1"/>
  <c r="G53" i="6"/>
  <c r="H53" i="6" s="1"/>
  <c r="G51" i="6"/>
  <c r="H51" i="6" s="1"/>
  <c r="G49" i="6"/>
  <c r="H49" i="6" s="1"/>
  <c r="G48" i="6"/>
  <c r="H48" i="6" s="1"/>
  <c r="G46" i="6"/>
  <c r="H46" i="6" s="1"/>
  <c r="G45" i="6"/>
  <c r="H45" i="6" s="1"/>
  <c r="G43" i="6"/>
  <c r="H43" i="6" s="1"/>
  <c r="G42" i="6"/>
  <c r="H42" i="6" s="1"/>
  <c r="G41" i="6"/>
  <c r="H41" i="6" s="1"/>
  <c r="G40" i="6"/>
  <c r="H40" i="6" s="1"/>
  <c r="G39" i="6"/>
  <c r="H39" i="6" s="1"/>
  <c r="G38" i="6"/>
  <c r="H38" i="6" s="1"/>
  <c r="G36" i="6"/>
  <c r="H36" i="6" s="1"/>
  <c r="G35" i="6"/>
  <c r="H35" i="6" s="1"/>
  <c r="G34" i="6"/>
  <c r="H34" i="6" s="1"/>
  <c r="G33" i="6"/>
  <c r="H33" i="6" s="1"/>
  <c r="G32" i="6"/>
  <c r="H32" i="6" s="1"/>
  <c r="G31" i="6"/>
  <c r="H31" i="6" s="1"/>
  <c r="G27" i="6"/>
  <c r="H27" i="6" s="1"/>
  <c r="G26" i="6"/>
  <c r="H26" i="6" s="1"/>
  <c r="G25" i="6"/>
  <c r="H25" i="6" s="1"/>
  <c r="G24" i="6"/>
  <c r="H24" i="6" s="1"/>
  <c r="G23" i="6"/>
  <c r="H23" i="6" s="1"/>
  <c r="G22" i="6"/>
  <c r="H22" i="6" s="1"/>
  <c r="G21" i="6"/>
  <c r="H21" i="6" s="1"/>
  <c r="G20" i="6"/>
  <c r="H20" i="6" s="1"/>
  <c r="G19" i="6"/>
  <c r="H19" i="6" s="1"/>
  <c r="G17" i="6"/>
  <c r="H17" i="6" s="1"/>
  <c r="G14" i="6"/>
  <c r="H14" i="6" s="1"/>
  <c r="G11" i="6"/>
  <c r="H11" i="6" s="1"/>
  <c r="G10" i="6"/>
  <c r="H10" i="6" s="1"/>
  <c r="G9" i="6"/>
  <c r="H9" i="6" s="1"/>
  <c r="G8" i="6"/>
  <c r="H8" i="6" s="1"/>
  <c r="G6" i="6"/>
  <c r="H6" i="6" s="1"/>
  <c r="H8" i="3"/>
  <c r="G14" i="10"/>
  <c r="H14" i="10" s="1"/>
  <c r="G13" i="10"/>
  <c r="H13" i="10" s="1"/>
  <c r="G12" i="10"/>
  <c r="H12" i="10" s="1"/>
  <c r="G8" i="10"/>
  <c r="H8" i="10" s="1"/>
  <c r="G7" i="10"/>
  <c r="H7" i="10" s="1"/>
  <c r="G6" i="10"/>
  <c r="H6" i="10" s="1"/>
  <c r="G5" i="10"/>
  <c r="H15" i="11" l="1"/>
  <c r="H5" i="8"/>
  <c r="D6" i="3" s="1"/>
  <c r="E6" i="3" s="1"/>
  <c r="F6" i="3"/>
  <c r="G6" i="3" s="1"/>
  <c r="M6" i="3"/>
  <c r="L6" i="3"/>
  <c r="H5" i="17"/>
  <c r="D15" i="3" s="1"/>
  <c r="E15" i="3" s="1"/>
  <c r="M15" i="3"/>
  <c r="L15" i="3"/>
  <c r="F15" i="3"/>
  <c r="G15" i="3" s="1"/>
  <c r="H5" i="13"/>
  <c r="D11" i="3" s="1"/>
  <c r="E11" i="3" s="1"/>
  <c r="F11" i="3"/>
  <c r="G11" i="3" s="1"/>
  <c r="M11" i="3"/>
  <c r="L11" i="3"/>
  <c r="H5" i="12"/>
  <c r="D10" i="3" s="1"/>
  <c r="E10" i="3" s="1"/>
  <c r="F10" i="3"/>
  <c r="G10" i="3" s="1"/>
  <c r="M10" i="3"/>
  <c r="L10" i="3"/>
  <c r="H5" i="11"/>
  <c r="D9" i="3" s="1"/>
  <c r="E9" i="3" s="1"/>
  <c r="M9" i="3"/>
  <c r="L9" i="3"/>
  <c r="F9" i="3"/>
  <c r="G9" i="3" s="1"/>
  <c r="H5" i="9"/>
  <c r="D7" i="3" s="1"/>
  <c r="E7" i="3" s="1"/>
  <c r="F7" i="3"/>
  <c r="G7" i="3" s="1"/>
  <c r="M7" i="3"/>
  <c r="L7" i="3"/>
  <c r="H5" i="6"/>
  <c r="D4" i="3" s="1"/>
  <c r="E4" i="3" s="1"/>
  <c r="L4" i="3"/>
  <c r="F4" i="3"/>
  <c r="G4" i="3" s="1"/>
  <c r="M4" i="3"/>
  <c r="H5" i="16"/>
  <c r="D14" i="3" s="1"/>
  <c r="E14" i="3" s="1"/>
  <c r="F14" i="3"/>
  <c r="G14" i="3" s="1"/>
  <c r="L14" i="3"/>
  <c r="M14" i="3"/>
  <c r="H5" i="15"/>
  <c r="D13" i="3" s="1"/>
  <c r="E13" i="3" s="1"/>
  <c r="L13" i="3"/>
  <c r="F13" i="3"/>
  <c r="G13" i="3" s="1"/>
  <c r="M13" i="3"/>
  <c r="H5" i="14"/>
  <c r="D12" i="3" s="1"/>
  <c r="E12" i="3" s="1"/>
  <c r="F12" i="3"/>
  <c r="G12" i="3" s="1"/>
  <c r="M12" i="3"/>
  <c r="L12" i="3"/>
  <c r="H5" i="7"/>
  <c r="D5" i="3" s="1"/>
  <c r="E5" i="3" s="1"/>
  <c r="L5" i="3"/>
  <c r="F5" i="3"/>
  <c r="G5" i="3" s="1"/>
  <c r="M5" i="3"/>
  <c r="H5" i="10"/>
  <c r="D8" i="3" s="1"/>
  <c r="E8" i="3" s="1"/>
  <c r="F8" i="3"/>
  <c r="G8" i="3" s="1"/>
  <c r="L8" i="3"/>
  <c r="M8" i="3"/>
</calcChain>
</file>

<file path=xl/sharedStrings.xml><?xml version="1.0" encoding="utf-8"?>
<sst xmlns="http://schemas.openxmlformats.org/spreadsheetml/2006/main" count="42254" uniqueCount="939">
  <si>
    <t>Personnel &amp; Workforce Audit – Annual Evidence (Monthly)</t>
  </si>
  <si>
    <t>Instruction:</t>
  </si>
  <si>
    <t>Complete each period on this tab so the full year is held in one evidence location. Pale yellow cells are editable. Formula/RAG/header cells are locked only, with no password.</t>
  </si>
  <si>
    <t>Period</t>
  </si>
  <si>
    <t>Due Date</t>
  </si>
  <si>
    <t>Audit Date</t>
  </si>
  <si>
    <t>Auditor</t>
  </si>
  <si>
    <t>Total Score</t>
  </si>
  <si>
    <t>Max Score</t>
  </si>
  <si>
    <t>Compliance %</t>
  </si>
  <si>
    <t>RAG</t>
  </si>
  <si>
    <t>Critical/High Risks</t>
  </si>
  <si>
    <t>Open Actions</t>
  </si>
  <si>
    <t>Overdue Actions</t>
  </si>
  <si>
    <t>Manager Sign-Off</t>
  </si>
  <si>
    <t>Provider Sign-Off</t>
  </si>
  <si>
    <t>Evidence Folder Ref</t>
  </si>
  <si>
    <t>Summary / Key Findings</t>
  </si>
  <si>
    <t>January</t>
  </si>
  <si>
    <t>February</t>
  </si>
  <si>
    <t>March</t>
  </si>
  <si>
    <t>April</t>
  </si>
  <si>
    <t>May</t>
  </si>
  <si>
    <t>June</t>
  </si>
  <si>
    <t>July</t>
  </si>
  <si>
    <t>August</t>
  </si>
  <si>
    <t>September</t>
  </si>
  <si>
    <t>October</t>
  </si>
  <si>
    <t>November</t>
  </si>
  <si>
    <t>December</t>
  </si>
  <si>
    <t>January – Personnel &amp; Workforce Audit Evidence Section</t>
  </si>
  <si>
    <t>Audit period:</t>
  </si>
  <si>
    <t>Auditor:</t>
  </si>
  <si>
    <t>Audit date:</t>
  </si>
  <si>
    <t>No.</t>
  </si>
  <si>
    <t>Section</t>
  </si>
  <si>
    <t>Detailed Audit Question</t>
  </si>
  <si>
    <t>Evidence Required</t>
  </si>
  <si>
    <t>Audit Method</t>
  </si>
  <si>
    <t>CQC Regulation</t>
  </si>
  <si>
    <t>Quality Statement</t>
  </si>
  <si>
    <t>Risk Weighting</t>
  </si>
  <si>
    <t>Score 0/1/2/NA</t>
  </si>
  <si>
    <t>Evidence Seen / Reference</t>
  </si>
  <si>
    <t>Finding / Observation</t>
  </si>
  <si>
    <t>Root Cause / 5 Whys</t>
  </si>
  <si>
    <t>Immediate Action</t>
  </si>
  <si>
    <t>Corrective / Preventative Action</t>
  </si>
  <si>
    <t>Responsible Person</t>
  </si>
  <si>
    <t>Completion Date</t>
  </si>
  <si>
    <t>Verified By</t>
  </si>
  <si>
    <t>Re-audit Required</t>
  </si>
  <si>
    <t>Status</t>
  </si>
  <si>
    <t>Specific Check</t>
  </si>
  <si>
    <t>This audit includes a detailed check of DBS/right to work/references.</t>
  </si>
  <si>
    <t>Evidence relating to DBS/right to work/references</t>
  </si>
  <si>
    <t>Record review/observation</t>
  </si>
  <si>
    <t>Reg 9/10/11/12/13/14/15/17/18/19 as applicable</t>
  </si>
  <si>
    <t>CQC quality statements: safe systems, safe environments, person-centred care, governance, learning</t>
  </si>
  <si>
    <t>High</t>
  </si>
  <si>
    <t>This audit includes a detailed check of training matrix and competency.</t>
  </si>
  <si>
    <t>Evidence relating to training matrix and competency</t>
  </si>
  <si>
    <t>This audit includes a detailed check of supervisions/appraisals.</t>
  </si>
  <si>
    <t>Evidence relating to supervisions/appraisals</t>
  </si>
  <si>
    <t>This audit includes a detailed check of agency staff induction and deployment.</t>
  </si>
  <si>
    <t>Evidence relating to agency staff induction and deployment</t>
  </si>
  <si>
    <t>Assessment</t>
  </si>
  <si>
    <t>Records are current, person-centred and reflect resident needs/preferences.</t>
  </si>
  <si>
    <t>Care records/audit evidence</t>
  </si>
  <si>
    <t>Record review</t>
  </si>
  <si>
    <t>Observation</t>
  </si>
  <si>
    <t>Observed practice matches written records and expected standards.</t>
  </si>
  <si>
    <t>Direct observation</t>
  </si>
  <si>
    <t>Risk</t>
  </si>
  <si>
    <t>Risks are identified, assessed, escalated and reviewed.</t>
  </si>
  <si>
    <t>Risk assessment/escalation record</t>
  </si>
  <si>
    <t>Critical</t>
  </si>
  <si>
    <t>Communication</t>
  </si>
  <si>
    <t>Staff handover, care notes or team communication evidence the issue is understood.</t>
  </si>
  <si>
    <t>Handover/daily notes</t>
  </si>
  <si>
    <t>Record review/interview</t>
  </si>
  <si>
    <t>Resident Voice</t>
  </si>
  <si>
    <t>Resident choice, dignity, independence and feedback are considered.</t>
  </si>
  <si>
    <t>Resident/relative feedback</t>
  </si>
  <si>
    <t>Interview/records</t>
  </si>
  <si>
    <t>Medium</t>
  </si>
  <si>
    <t>Professional Input</t>
  </si>
  <si>
    <t>External professional advice is sought and followed where required.</t>
  </si>
  <si>
    <t>GP/SALT/dietitian/nurse notes</t>
  </si>
  <si>
    <t>Staff Competence</t>
  </si>
  <si>
    <t>Staff understand the procedure and can explain escalation.</t>
  </si>
  <si>
    <t>Staff interview/competency</t>
  </si>
  <si>
    <t>Documentation</t>
  </si>
  <si>
    <t>Records are accurate, dated, signed and contemporaneous.</t>
  </si>
  <si>
    <t>Relevant records</t>
  </si>
  <si>
    <t>Reg 17</t>
  </si>
  <si>
    <t>Good governance</t>
  </si>
  <si>
    <t>Governance</t>
  </si>
  <si>
    <t>Previous audit actions have been reviewed and closed only with evidence.</t>
  </si>
  <si>
    <t>Previous audit/action tracker</t>
  </si>
  <si>
    <t>Repeated issues have RCA/5 Whys and preventative action, not just corrective action.</t>
  </si>
  <si>
    <t>RCA/action tracker</t>
  </si>
  <si>
    <t>Learning and improvement</t>
  </si>
  <si>
    <t>Evidence</t>
  </si>
  <si>
    <t>Evidence reference is specific enough for CQC to locate the document, record or photo.</t>
  </si>
  <si>
    <t>Evidence reference</t>
  </si>
  <si>
    <t>Manager Verification</t>
  </si>
  <si>
    <t>Manager has verified practice, not only paperwork.</t>
  </si>
  <si>
    <t>Manager observation/sign-off</t>
  </si>
  <si>
    <t>Observation/records</t>
  </si>
  <si>
    <t>Manager summary / lessons learned</t>
  </si>
  <si>
    <t>February – Personnel &amp; Workforce Audit Evidence Section</t>
  </si>
  <si>
    <t>March – Personnel &amp; Workforce Audit Evidence Section</t>
  </si>
  <si>
    <t>April – Personnel &amp; Workforce Audit Evidence Section</t>
  </si>
  <si>
    <t>May – Personnel &amp; Workforce Audit Evidence Section</t>
  </si>
  <si>
    <t>June – Personnel &amp; Workforce Audit Evidence Section</t>
  </si>
  <si>
    <t>July – Personnel &amp; Workforce Audit Evidence Section</t>
  </si>
  <si>
    <t>August – Personnel &amp; Workforce Audit Evidence Section</t>
  </si>
  <si>
    <t>September – Personnel &amp; Workforce Audit Evidence Section</t>
  </si>
  <si>
    <t>October – Personnel &amp; Workforce Audit Evidence Section</t>
  </si>
  <si>
    <t>November – Personnel &amp; Workforce Audit Evidence Section</t>
  </si>
  <si>
    <t>December – Personnel &amp; Workforce Audit Evidence Section</t>
  </si>
  <si>
    <t>Residential Care Home Missing Audits – Annual Evidence Workbook</t>
  </si>
  <si>
    <t>Purpose</t>
  </si>
  <si>
    <t>Each audit has one tab and holds the whole year of evidence. Weekly tabs have Week 1–52. Monthly tabs have January–December. Input cells are pale yellow. Formula, RAG and header cells are locked only. There is no password.</t>
  </si>
  <si>
    <t>Scoring</t>
  </si>
  <si>
    <t>2 = Fully compliant, 1 = Partially compliant, 0 = Non-compliant, NA = Not applicable. RAG and compliance percentages calculate automatically.</t>
  </si>
  <si>
    <t>Annual Audit Schedule – Missing Audit Areas</t>
  </si>
  <si>
    <t>Audit Area</t>
  </si>
  <si>
    <t>Frequency</t>
  </si>
  <si>
    <t>Periods in Tab</t>
  </si>
  <si>
    <t>Evidence Location</t>
  </si>
  <si>
    <t>Lead Person</t>
  </si>
  <si>
    <t>Notes</t>
  </si>
  <si>
    <t>CQC Focus</t>
  </si>
  <si>
    <t>Equipment &amp; Maintenance</t>
  </si>
  <si>
    <t>Weekly</t>
  </si>
  <si>
    <t>52 weekly sections</t>
  </si>
  <si>
    <t>Equipment &amp; Maintenance tab</t>
  </si>
  <si>
    <t>Not Started</t>
  </si>
  <si>
    <t>Regulations and Quality Statements mapped in audit</t>
  </si>
  <si>
    <t>Water &amp; Legionella</t>
  </si>
  <si>
    <t>Water &amp; Legionella tab</t>
  </si>
  <si>
    <t>Infection Surveillance</t>
  </si>
  <si>
    <t>Infection Surveillance tab</t>
  </si>
  <si>
    <t>Resident Dignity</t>
  </si>
  <si>
    <t>Monthly</t>
  </si>
  <si>
    <t>12 monthly sections</t>
  </si>
  <si>
    <t>Resident Dignity tab</t>
  </si>
  <si>
    <t>Personnel &amp; Workforce</t>
  </si>
  <si>
    <t>Personnel &amp; Workforce tab</t>
  </si>
  <si>
    <t>Environmental</t>
  </si>
  <si>
    <t>Environmental tab</t>
  </si>
  <si>
    <t>Nutrition &amp; Hydration</t>
  </si>
  <si>
    <t>Nutrition &amp; Hydration tab</t>
  </si>
  <si>
    <t>Safeguarding &amp; Incidents</t>
  </si>
  <si>
    <t>Safeguarding &amp; Incidents tab</t>
  </si>
  <si>
    <t>Business Continuity</t>
  </si>
  <si>
    <t>Business Continuity tab</t>
  </si>
  <si>
    <t>End of Life</t>
  </si>
  <si>
    <t>End of Life tab</t>
  </si>
  <si>
    <t>Finance &amp; Property</t>
  </si>
  <si>
    <t>Finance &amp; Property tab</t>
  </si>
  <si>
    <t>Consent &amp; Documentation</t>
  </si>
  <si>
    <t>Consent &amp; Documentation tab</t>
  </si>
  <si>
    <t>Falls Audit</t>
  </si>
  <si>
    <t>Manager / Lead</t>
  </si>
  <si>
    <t>Reg 12/17</t>
  </si>
  <si>
    <t>Evidence, action and verification</t>
  </si>
  <si>
    <t>Pressure Cushion Audit</t>
  </si>
  <si>
    <t>Controlled Drugs Audit</t>
  </si>
  <si>
    <t>PRN Protocol Audit</t>
  </si>
  <si>
    <t>Homely Remedies Audit</t>
  </si>
  <si>
    <t>Medication Fridge Audit</t>
  </si>
  <si>
    <t>Missing Audits Dashboard – Annual Compliance, RAG and Actions</t>
  </si>
  <si>
    <t>Periods Expected</t>
  </si>
  <si>
    <t>Periods Completed</t>
  </si>
  <si>
    <t>Completion %</t>
  </si>
  <si>
    <t>Average Compliance</t>
  </si>
  <si>
    <t>Current RAG</t>
  </si>
  <si>
    <t>High Risk Periods</t>
  </si>
  <si>
    <t>Latest Audit Date</t>
  </si>
  <si>
    <t>Lowest Period %</t>
  </si>
  <si>
    <t>Highest Period %</t>
  </si>
  <si>
    <t>Master Action Tracker – Issues Raised From Audit Tabs</t>
  </si>
  <si>
    <t>Action No.</t>
  </si>
  <si>
    <t>Source Audit</t>
  </si>
  <si>
    <t>Question/Issue</t>
  </si>
  <si>
    <t>Responsible</t>
  </si>
  <si>
    <t>Completed Date</t>
  </si>
  <si>
    <t>Inspection Evidence Matrix – CQC Quality Statement Mapping</t>
  </si>
  <si>
    <t>CQC Area / Quality Statement</t>
  </si>
  <si>
    <t>Primary Audit Evidence</t>
  </si>
  <si>
    <t>Secondary Evidence</t>
  </si>
  <si>
    <t>Latest Compliance</t>
  </si>
  <si>
    <t>Outstanding Actions</t>
  </si>
  <si>
    <t>Evidence Folder Reference</t>
  </si>
  <si>
    <t>Manager Assurance</t>
  </si>
  <si>
    <t>Provider Assurance</t>
  </si>
  <si>
    <t>Safe environments</t>
  </si>
  <si>
    <t>Equipment &amp; Maintenance; Water &amp; Legionella; Environmental</t>
  </si>
  <si>
    <t>Health &amp; Safety/Fire in main workbook</t>
  </si>
  <si>
    <t>Linked via dashboard</t>
  </si>
  <si>
    <t>RAG in dashboard</t>
  </si>
  <si>
    <t>Safe systems</t>
  </si>
  <si>
    <t>Safeguarding &amp; Incidents; Infection Surveillance; Nutrition &amp; Hydration</t>
  </si>
  <si>
    <t>Care Plan Audit in main workbook</t>
  </si>
  <si>
    <t>Safeguarding</t>
  </si>
  <si>
    <t>MCA/DoLS and training evidence</t>
  </si>
  <si>
    <t>Safe staffing</t>
  </si>
  <si>
    <t>Training matrix/supervision tracker</t>
  </si>
  <si>
    <t>Person-centred care</t>
  </si>
  <si>
    <t>Resident Dignity; End of Life; Consent &amp; Documentation</t>
  </si>
  <si>
    <t>Care plan audit</t>
  </si>
  <si>
    <t>All missing audits</t>
  </si>
  <si>
    <t>Dashboard/action tracker</t>
  </si>
  <si>
    <t>Equipment &amp; Maintenance Audit – Annual Evidence (Weekly)</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</si>
  <si>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</si>
  <si>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</si>
  <si>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</si>
  <si>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</si>
  <si>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</si>
  <si>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</si>
  <si>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</si>
  <si>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</si>
  <si>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</si>
  <si>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</si>
  <si>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</si>
  <si>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</si>
  <si>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</si>
  <si>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</si>
  <si>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</si>
  <si>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</si>
  <si>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</si>
  <si>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</si>
  <si>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</si>
  <si>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</si>
  <si>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</si>
  <si>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</si>
  <si>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</si>
  <si>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</si>
  <si>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</si>
  <si>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</si>
  <si>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</si>
  <si>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</si>
  <si>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</si>
  <si>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</si>
  <si>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</si>
  <si>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</si>
  <si>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</si>
  <si>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</si>
  <si>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</si>
  <si>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</si>
  <si>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</si>
  <si>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</si>
  <si>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</si>
  <si>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</si>
  <si>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</si>
  <si>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</si>
  <si>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</si>
  <si>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</si>
  <si>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</si>
  <si>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</si>
  <si>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</si>
  <si>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</si>
  <si>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</si>
  <si>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</si>
  <si>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</si>
  <si>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</si>
  <si>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Week 1 – Equipment &amp; Maintenance Audit Evidence Section</t>
  </si>
  <si>
    <t>Mobile Hoists</t>
  </si>
  <si>
    <t>Mobile hoist has unique ID and is on the asset register.</t>
  </si>
  <si>
    <t>Asset register; ID label</t>
  </si>
  <si>
    <t>Reg 15,17</t>
  </si>
  <si>
    <t>LOLER certificate is current for all mobile hoists.</t>
  </si>
  <si>
    <t>LOLER certificate</t>
  </si>
  <si>
    <t>Reg 12,15</t>
  </si>
  <si>
    <t>Emergency lowering is tested and staff can explain how to use it.</t>
  </si>
  <si>
    <t>Test log; staff interview</t>
  </si>
  <si>
    <t>Observation/interview</t>
  </si>
  <si>
    <t>Reg 12,18</t>
  </si>
  <si>
    <t>Safe Working Load is visible and matches resident needs.</t>
  </si>
  <si>
    <t>Label; moving &amp; handling plan</t>
  </si>
  <si>
    <t>Records/observation</t>
  </si>
  <si>
    <t>Reg 12</t>
  </si>
  <si>
    <t>Bathroom Hoist</t>
  </si>
  <si>
    <t>Bathroom/ceiling hoist is serviced and LOLER current.</t>
  </si>
  <si>
    <t>LOLER; service record</t>
  </si>
  <si>
    <t>Track, handset, charger and emergency lowering are clean and functioning.</t>
  </si>
  <si>
    <t>Observation/test log</t>
  </si>
  <si>
    <t>Rotunda</t>
  </si>
  <si>
    <t>Rotunda/stand aid is intact, stable and suitable for assessed residents.</t>
  </si>
  <si>
    <t>Moving &amp; handling assessment</t>
  </si>
  <si>
    <t>Rotunda brakes/locking mechanism and handles are safe.</t>
  </si>
  <si>
    <t>Functional check</t>
  </si>
  <si>
    <t>Reg 15</t>
  </si>
  <si>
    <t>Wheelchairs</t>
  </si>
  <si>
    <t>Wheelchair brakes, tyres, footplates and armrests are safe.</t>
  </si>
  <si>
    <t>Pressure cushion/postural support is appropriate and documented.</t>
  </si>
  <si>
    <t>Care plan; cushion record</t>
  </si>
  <si>
    <t>Beds</t>
  </si>
  <si>
    <t>Profiling bed functions, rails and entrapment risks are checked.</t>
  </si>
  <si>
    <t>Bed rail risk assessment</t>
  </si>
  <si>
    <t>Slings</t>
  </si>
  <si>
    <t>Slings are labelled, clean, compatible and inspected.</t>
  </si>
  <si>
    <t>Sling register; label</t>
  </si>
  <si>
    <t>Maintenance</t>
  </si>
  <si>
    <t>Defects are risk rated, escalated and closed with evidence.</t>
  </si>
  <si>
    <t>Maintenance log</t>
  </si>
  <si>
    <t>Week 2 – Equipment &amp; Maintenance Audit Evidence Section</t>
  </si>
  <si>
    <t>Week 3 – Equipment &amp; Maintenance Audit Evidence Section</t>
  </si>
  <si>
    <t>Week 4 – Equipment &amp; Maintenance Audit Evidence Section</t>
  </si>
  <si>
    <t>Week 5 – Equipment &amp; Maintenance Audit Evidence Section</t>
  </si>
  <si>
    <t>Week 6 – Equipment &amp; Maintenance Audit Evidence Section</t>
  </si>
  <si>
    <t>Week 7 – Equipment &amp; Maintenance Audit Evidence Section</t>
  </si>
  <si>
    <t>Week 8 – Equipment &amp; Maintenance Audit Evidence Section</t>
  </si>
  <si>
    <t>Week 9 – Equipment &amp; Maintenance Audit Evidence Section</t>
  </si>
  <si>
    <t>Week 10 – Equipment &amp; Maintenance Audit Evidence Section</t>
  </si>
  <si>
    <t>Week 11 – Equipment &amp; Maintenance Audit Evidence Section</t>
  </si>
  <si>
    <t>Week 12 – Equipment &amp; Maintenance Audit Evidence Section</t>
  </si>
  <si>
    <t>Week 13 – Equipment &amp; Maintenance Audit Evidence Section</t>
  </si>
  <si>
    <t>Week 14 – Equipment &amp; Maintenance Audit Evidence Section</t>
  </si>
  <si>
    <t>Week 15 – Equipment &amp; Maintenance Audit Evidence Section</t>
  </si>
  <si>
    <t>Week 16 – Equipment &amp; Maintenance Audit Evidence Section</t>
  </si>
  <si>
    <t>Week 17 – Equipment &amp; Maintenance Audit Evidence Section</t>
  </si>
  <si>
    <t>Week 18 – Equipment &amp; Maintenance Audit Evidence Section</t>
  </si>
  <si>
    <t>Week 19 – Equipment &amp; Maintenance Audit Evidence Section</t>
  </si>
  <si>
    <t>Week 20 – Equipment &amp; Maintenance Audit Evidence Section</t>
  </si>
  <si>
    <t>Week 21 – Equipment &amp; Maintenance Audit Evidence Section</t>
  </si>
  <si>
    <t>Week 22 – Equipment &amp; Maintenance Audit Evidence Section</t>
  </si>
  <si>
    <t>Week 23 – Equipment &amp; Maintenance Audit Evidence Section</t>
  </si>
  <si>
    <t>Week 24 – Equipment &amp; Maintenance Audit Evidence Section</t>
  </si>
  <si>
    <t>Week 25 – Equipment &amp; Maintenance Audit Evidence Section</t>
  </si>
  <si>
    <t>Week 26 – Equipment &amp; Maintenance Audit Evidence Section</t>
  </si>
  <si>
    <t>Week 27 – Equipment &amp; Maintenance Audit Evidence Section</t>
  </si>
  <si>
    <t>Week 28 – Equipment &amp; Maintenance Audit Evidence Section</t>
  </si>
  <si>
    <t>Week 29 – Equipment &amp; Maintenance Audit Evidence Section</t>
  </si>
  <si>
    <t>Week 30 – Equipment &amp; Maintenance Audit Evidence Section</t>
  </si>
  <si>
    <t>Week 31 – Equipment &amp; Maintenance Audit Evidence Section</t>
  </si>
  <si>
    <t>Week 32 – Equipment &amp; Maintenance Audit Evidence Section</t>
  </si>
  <si>
    <t>Week 33 – Equipment &amp; Maintenance Audit Evidence Section</t>
  </si>
  <si>
    <t>Week 34 – Equipment &amp; Maintenance Audit Evidence Section</t>
  </si>
  <si>
    <t>Week 35 – Equipment &amp; Maintenance Audit Evidence Section</t>
  </si>
  <si>
    <t>Week 36 – Equipment &amp; Maintenance Audit Evidence Section</t>
  </si>
  <si>
    <t>Week 37 – Equipment &amp; Maintenance Audit Evidence Section</t>
  </si>
  <si>
    <t>Week 38 – Equipment &amp; Maintenance Audit Evidence Section</t>
  </si>
  <si>
    <t>Week 39 – Equipment &amp; Maintenance Audit Evidence Section</t>
  </si>
  <si>
    <t>Week 40 – Equipment &amp; Maintenance Audit Evidence Section</t>
  </si>
  <si>
    <t>Week 41 – Equipment &amp; Maintenance Audit Evidence Section</t>
  </si>
  <si>
    <t>Week 42 – Equipment &amp; Maintenance Audit Evidence Section</t>
  </si>
  <si>
    <t>Week 43 – Equipment &amp; Maintenance Audit Evidence Section</t>
  </si>
  <si>
    <t>Week 44 – Equipment &amp; Maintenance Audit Evidence Section</t>
  </si>
  <si>
    <t>Week 45 – Equipment &amp; Maintenance Audit Evidence Section</t>
  </si>
  <si>
    <t>Week 46 – Equipment &amp; Maintenance Audit Evidence Section</t>
  </si>
  <si>
    <t>Week 47 – Equipment &amp; Maintenance Audit Evidence Section</t>
  </si>
  <si>
    <t>Week 48 – Equipment &amp; Maintenance Audit Evidence Section</t>
  </si>
  <si>
    <t>Week 49 – Equipment &amp; Maintenance Audit Evidence Section</t>
  </si>
  <si>
    <t>Week 50 – Equipment &amp; Maintenance Audit Evidence Section</t>
  </si>
  <si>
    <t>Week 51 – Equipment &amp; Maintenance Audit Evidence Section</t>
  </si>
  <si>
    <t>Week 52 – Equipment &amp; Maintenance Audit Evidence Section</t>
  </si>
  <si>
    <t>Water &amp; Legionella Audit – Annual Evidence (Weekly)</t>
  </si>
  <si>
    <t>Week 1 – Water &amp; Legionella Audit Evidence Section</t>
  </si>
  <si>
    <t>Legionella risk assessment is current and actions are tracked.</t>
  </si>
  <si>
    <t>Risk assessment/action plan</t>
  </si>
  <si>
    <t>Reg 12,15,17</t>
  </si>
  <si>
    <t>Temperature</t>
  </si>
  <si>
    <t>Hot and cold water temperatures are recorded and in range.</t>
  </si>
  <si>
    <t>Temperature log</t>
  </si>
  <si>
    <t>Out-of-range readings show immediate escalation/action.</t>
  </si>
  <si>
    <t>Escalation record</t>
  </si>
  <si>
    <t>Reg 12,17</t>
  </si>
  <si>
    <t>Sentinel Outlets</t>
  </si>
  <si>
    <t>Sentinel outlets are identified and monitored.</t>
  </si>
  <si>
    <t>Schematic/log</t>
  </si>
  <si>
    <t>Flushing</t>
  </si>
  <si>
    <t>Low-use outlets are flushed and recorded.</t>
  </si>
  <si>
    <t>Flushing log</t>
  </si>
  <si>
    <t>TMV</t>
  </si>
  <si>
    <t>TMVs are serviced and scald risk considered.</t>
  </si>
  <si>
    <t>TMV service/risk assessment</t>
  </si>
  <si>
    <t>Showers</t>
  </si>
  <si>
    <t>Shower heads/hoses are cleaned/descaled.</t>
  </si>
  <si>
    <t>Cleaning/descale log</t>
  </si>
  <si>
    <t>Contractors</t>
  </si>
  <si>
    <t>Contractor reports are reviewed and actions signed off.</t>
  </si>
  <si>
    <t>Contractor report</t>
  </si>
  <si>
    <t>Week 2 – Water &amp; Legionella Audit Evidence Section</t>
  </si>
  <si>
    <t>Week 3 – Water &amp; Legionella Audit Evidence Section</t>
  </si>
  <si>
    <t>Week 4 – Water &amp; Legionella Audit Evidence Section</t>
  </si>
  <si>
    <t>Week 5 – Water &amp; Legionella Audit Evidence Section</t>
  </si>
  <si>
    <t>Week 6 – Water &amp; Legionella Audit Evidence Section</t>
  </si>
  <si>
    <t>Week 7 – Water &amp; Legionella Audit Evidence Section</t>
  </si>
  <si>
    <t>Week 8 – Water &amp; Legionella Audit Evidence Section</t>
  </si>
  <si>
    <t>Week 9 – Water &amp; Legionella Audit Evidence Section</t>
  </si>
  <si>
    <t>Week 10 – Water &amp; Legionella Audit Evidence Section</t>
  </si>
  <si>
    <t>Week 11 – Water &amp; Legionella Audit Evidence Section</t>
  </si>
  <si>
    <t>Week 12 – Water &amp; Legionella Audit Evidence Section</t>
  </si>
  <si>
    <t>Week 13 – Water &amp; Legionella Audit Evidence Section</t>
  </si>
  <si>
    <t>Week 14 – Water &amp; Legionella Audit Evidence Section</t>
  </si>
  <si>
    <t>Week 15 – Water &amp; Legionella Audit Evidence Section</t>
  </si>
  <si>
    <t>Week 16 – Water &amp; Legionella Audit Evidence Section</t>
  </si>
  <si>
    <t>Week 17 – Water &amp; Legionella Audit Evidence Section</t>
  </si>
  <si>
    <t>Week 18 – Water &amp; Legionella Audit Evidence Section</t>
  </si>
  <si>
    <t>Week 19 – Water &amp; Legionella Audit Evidence Section</t>
  </si>
  <si>
    <t>Week 20 – Water &amp; Legionella Audit Evidence Section</t>
  </si>
  <si>
    <t>Week 21 – Water &amp; Legionella Audit Evidence Section</t>
  </si>
  <si>
    <t>Week 22 – Water &amp; Legionella Audit Evidence Section</t>
  </si>
  <si>
    <t>Week 23 – Water &amp; Legionella Audit Evidence Section</t>
  </si>
  <si>
    <t>Week 24 – Water &amp; Legionella Audit Evidence Section</t>
  </si>
  <si>
    <t>Week 25 – Water &amp; Legionella Audit Evidence Section</t>
  </si>
  <si>
    <t>Week 26 – Water &amp; Legionella Audit Evidence Section</t>
  </si>
  <si>
    <t>Week 27 – Water &amp; Legionella Audit Evidence Section</t>
  </si>
  <si>
    <t>Week 28 – Water &amp; Legionella Audit Evidence Section</t>
  </si>
  <si>
    <t>Week 29 – Water &amp; Legionella Audit Evidence Section</t>
  </si>
  <si>
    <t>Week 30 – Water &amp; Legionella Audit Evidence Section</t>
  </si>
  <si>
    <t>Week 31 – Water &amp; Legionella Audit Evidence Section</t>
  </si>
  <si>
    <t>Week 32 – Water &amp; Legionella Audit Evidence Section</t>
  </si>
  <si>
    <t>Week 33 – Water &amp; Legionella Audit Evidence Section</t>
  </si>
  <si>
    <t>Week 34 – Water &amp; Legionella Audit Evidence Section</t>
  </si>
  <si>
    <t>Week 35 – Water &amp; Legionella Audit Evidence Section</t>
  </si>
  <si>
    <t>Week 36 – Water &amp; Legionella Audit Evidence Section</t>
  </si>
  <si>
    <t>Week 37 – Water &amp; Legionella Audit Evidence Section</t>
  </si>
  <si>
    <t>Week 38 – Water &amp; Legionella Audit Evidence Section</t>
  </si>
  <si>
    <t>Week 39 – Water &amp; Legionella Audit Evidence Section</t>
  </si>
  <si>
    <t>Week 40 – Water &amp; Legionella Audit Evidence Section</t>
  </si>
  <si>
    <t>Week 41 – Water &amp; Legionella Audit Evidence Section</t>
  </si>
  <si>
    <t>Week 42 – Water &amp; Legionella Audit Evidence Section</t>
  </si>
  <si>
    <t>Week 43 – Water &amp; Legionella Audit Evidence Section</t>
  </si>
  <si>
    <t>Week 44 – Water &amp; Legionella Audit Evidence Section</t>
  </si>
  <si>
    <t>Week 45 – Water &amp; Legionella Audit Evidence Section</t>
  </si>
  <si>
    <t>Week 46 – Water &amp; Legionella Audit Evidence Section</t>
  </si>
  <si>
    <t>Week 47 – Water &amp; Legionella Audit Evidence Section</t>
  </si>
  <si>
    <t>Week 48 – Water &amp; Legionella Audit Evidence Section</t>
  </si>
  <si>
    <t>Week 49 – Water &amp; Legionella Audit Evidence Section</t>
  </si>
  <si>
    <t>Week 50 – Water &amp; Legionella Audit Evidence Section</t>
  </si>
  <si>
    <t>Week 51 – Water &amp; Legionella Audit Evidence Section</t>
  </si>
  <si>
    <t>Week 52 – Water &amp; Legionella Audit Evidence Section</t>
  </si>
  <si>
    <t>Infection Surveillance Audit – Annual Evidence (Weekly)</t>
  </si>
  <si>
    <t>Week 1 – Infection Surveillance Audit Evidence Section</t>
  </si>
  <si>
    <t>Surveillance</t>
  </si>
  <si>
    <t>Infection log includes cases, symptoms, onset and action.</t>
  </si>
  <si>
    <t>Infection log</t>
  </si>
  <si>
    <t>Trends</t>
  </si>
  <si>
    <t>Infection trends/clusters are reviewed weekly.</t>
  </si>
  <si>
    <t>Trend review</t>
  </si>
  <si>
    <t>Outbreak</t>
  </si>
  <si>
    <t>Suspected outbreaks are escalated promptly.</t>
  </si>
  <si>
    <t>PPE</t>
  </si>
  <si>
    <t>PPE stock is sufficient for outbreak and routine use.</t>
  </si>
  <si>
    <t>Stock check</t>
  </si>
  <si>
    <t>Cleaning</t>
  </si>
  <si>
    <t>Enhanced cleaning is implemented and evidenced.</t>
  </si>
  <si>
    <t>Enhanced cleaning schedule</t>
  </si>
  <si>
    <t>Resident Monitoring</t>
  </si>
  <si>
    <t>Residents with symptoms have observations and escalation criteria.</t>
  </si>
  <si>
    <t>Care notes/charts</t>
  </si>
  <si>
    <t>Staff Sickness</t>
  </si>
  <si>
    <t>Staff sickness is monitored and return-to-work precautions followed.</t>
  </si>
  <si>
    <t>Sickness log</t>
  </si>
  <si>
    <t>Reg 18</t>
  </si>
  <si>
    <t>Lessons</t>
  </si>
  <si>
    <t>Post-outbreak review captures learning/prevention.</t>
  </si>
  <si>
    <t>Lessons learned</t>
  </si>
  <si>
    <t>Week 2 – Infection Surveillance Audit Evidence Section</t>
  </si>
  <si>
    <t>Week 3 – Infection Surveillance Audit Evidence Section</t>
  </si>
  <si>
    <t>Week 4 – Infection Surveillance Audit Evidence Section</t>
  </si>
  <si>
    <t>Week 5 – Infection Surveillance Audit Evidence Section</t>
  </si>
  <si>
    <t>Week 6 – Infection Surveillance Audit Evidence Section</t>
  </si>
  <si>
    <t>Week 7 – Infection Surveillance Audit Evidence Section</t>
  </si>
  <si>
    <t>Week 8 – Infection Surveillance Audit Evidence Section</t>
  </si>
  <si>
    <t>Week 9 – Infection Surveillance Audit Evidence Section</t>
  </si>
  <si>
    <t>Week 10 – Infection Surveillance Audit Evidence Section</t>
  </si>
  <si>
    <t>Week 11 – Infection Surveillance Audit Evidence Section</t>
  </si>
  <si>
    <t>Week 12 – Infection Surveillance Audit Evidence Section</t>
  </si>
  <si>
    <t>Week 13 – Infection Surveillance Audit Evidence Section</t>
  </si>
  <si>
    <t>Week 14 – Infection Surveillance Audit Evidence Section</t>
  </si>
  <si>
    <t>Week 15 – Infection Surveillance Audit Evidence Section</t>
  </si>
  <si>
    <t>Week 16 – Infection Surveillance Audit Evidence Section</t>
  </si>
  <si>
    <t>Week 17 – Infection Surveillance Audit Evidence Section</t>
  </si>
  <si>
    <t>Week 18 – Infection Surveillance Audit Evidence Section</t>
  </si>
  <si>
    <t>Week 19 – Infection Surveillance Audit Evidence Section</t>
  </si>
  <si>
    <t>Week 20 – Infection Surveillance Audit Evidence Section</t>
  </si>
  <si>
    <t>Week 21 – Infection Surveillance Audit Evidence Section</t>
  </si>
  <si>
    <t>Week 22 – Infection Surveillance Audit Evidence Section</t>
  </si>
  <si>
    <t>Week 23 – Infection Surveillance Audit Evidence Section</t>
  </si>
  <si>
    <t>Week 24 – Infection Surveillance Audit Evidence Section</t>
  </si>
  <si>
    <t>Week 25 – Infection Surveillance Audit Evidence Section</t>
  </si>
  <si>
    <t>Week 26 – Infection Surveillance Audit Evidence Section</t>
  </si>
  <si>
    <t>Week 27 – Infection Surveillance Audit Evidence Section</t>
  </si>
  <si>
    <t>Week 28 – Infection Surveillance Audit Evidence Section</t>
  </si>
  <si>
    <t>Week 29 – Infection Surveillance Audit Evidence Section</t>
  </si>
  <si>
    <t>Week 30 – Infection Surveillance Audit Evidence Section</t>
  </si>
  <si>
    <t>Week 31 – Infection Surveillance Audit Evidence Section</t>
  </si>
  <si>
    <t>Week 32 – Infection Surveillance Audit Evidence Section</t>
  </si>
  <si>
    <t>Week 33 – Infection Surveillance Audit Evidence Section</t>
  </si>
  <si>
    <t>Week 34 – Infection Surveillance Audit Evidence Section</t>
  </si>
  <si>
    <t>Week 35 – Infection Surveillance Audit Evidence Section</t>
  </si>
  <si>
    <t>Week 36 – Infection Surveillance Audit Evidence Section</t>
  </si>
  <si>
    <t>Week 37 – Infection Surveillance Audit Evidence Section</t>
  </si>
  <si>
    <t>Week 38 – Infection Surveillance Audit Evidence Section</t>
  </si>
  <si>
    <t>Week 39 – Infection Surveillance Audit Evidence Section</t>
  </si>
  <si>
    <t>Week 40 – Infection Surveillance Audit Evidence Section</t>
  </si>
  <si>
    <t>Week 41 – Infection Surveillance Audit Evidence Section</t>
  </si>
  <si>
    <t>Week 42 – Infection Surveillance Audit Evidence Section</t>
  </si>
  <si>
    <t>Week 43 – Infection Surveillance Audit Evidence Section</t>
  </si>
  <si>
    <t>Week 44 – Infection Surveillance Audit Evidence Section</t>
  </si>
  <si>
    <t>Week 45 – Infection Surveillance Audit Evidence Section</t>
  </si>
  <si>
    <t>Week 46 – Infection Surveillance Audit Evidence Section</t>
  </si>
  <si>
    <t>Week 47 – Infection Surveillance Audit Evidence Section</t>
  </si>
  <si>
    <t>Week 48 – Infection Surveillance Audit Evidence Section</t>
  </si>
  <si>
    <t>Week 49 – Infection Surveillance Audit Evidence Section</t>
  </si>
  <si>
    <t>Week 50 – Infection Surveillance Audit Evidence Section</t>
  </si>
  <si>
    <t>Week 51 – Infection Surveillance Audit Evidence Section</t>
  </si>
  <si>
    <t>Week 52 – Infection Surveillance Audit Evidence Section</t>
  </si>
  <si>
    <t>Resident Dignity Audit – Annual Evidence (Monthly)</t>
  </si>
  <si>
    <t>January – Resident Dignity Audit Evidence Section</t>
  </si>
  <si>
    <t>This audit includes a detailed check of privacy during personal care.</t>
  </si>
  <si>
    <t>Evidence relating to privacy during personal care</t>
  </si>
  <si>
    <t>This audit includes a detailed check of life history and meaningful activities.</t>
  </si>
  <si>
    <t>Evidence relating to life history and meaningful activities</t>
  </si>
  <si>
    <t>This audit includes a detailed check of cultural/religious wishes.</t>
  </si>
  <si>
    <t>Evidence relating to cultural/religious wishes</t>
  </si>
  <si>
    <t>This audit includes a detailed check of complaints and compliments learning.</t>
  </si>
  <si>
    <t>Evidence relating to complaints and compliments learning</t>
  </si>
  <si>
    <t>February – Resident Dignity Audit Evidence Section</t>
  </si>
  <si>
    <t>March – Resident Dignity Audit Evidence Section</t>
  </si>
  <si>
    <t>April – Resident Dignity Audit Evidence Section</t>
  </si>
  <si>
    <t>May – Resident Dignity Audit Evidence Section</t>
  </si>
  <si>
    <t>June – Resident Dignity Audit Evidence Section</t>
  </si>
  <si>
    <t>July – Resident Dignity Audit Evidence Section</t>
  </si>
  <si>
    <t>August – Resident Dignity Audit Evidence Section</t>
  </si>
  <si>
    <t>September – Resident Dignity Audit Evidence Section</t>
  </si>
  <si>
    <t>October – Resident Dignity Audit Evidence Section</t>
  </si>
  <si>
    <t>November – Resident Dignity Audit Evidence Section</t>
  </si>
  <si>
    <t>December – Resident Dignity Audit Evidence Section</t>
  </si>
  <si>
    <t>Environmental Audit – Annual Evidence (Monthly)</t>
  </si>
  <si>
    <t>January – Environmental Audit Evidence Section</t>
  </si>
  <si>
    <t>This audit includes a detailed check of bedrooms/bathrooms/communal areas.</t>
  </si>
  <si>
    <t>Evidence relating to bedrooms/bathrooms/communal areas</t>
  </si>
  <si>
    <t>This audit includes a detailed check of COSHH and waste.</t>
  </si>
  <si>
    <t>Evidence relating to COSHH and waste</t>
  </si>
  <si>
    <t>This audit includes a detailed check of laundry flow.</t>
  </si>
  <si>
    <t>Evidence relating to laundry flow</t>
  </si>
  <si>
    <t>This audit includes a detailed check of storage, garden and maintenance.</t>
  </si>
  <si>
    <t>Evidence relating to storage, garden and maintenance</t>
  </si>
  <si>
    <t>February – Environmental Audit Evidence Section</t>
  </si>
  <si>
    <t>March – Environmental Audit Evidence Section</t>
  </si>
  <si>
    <t>April – Environmental Audit Evidence Section</t>
  </si>
  <si>
    <t>May – Environmental Audit Evidence Section</t>
  </si>
  <si>
    <t>June – Environmental Audit Evidence Section</t>
  </si>
  <si>
    <t>July – Environmental Audit Evidence Section</t>
  </si>
  <si>
    <t>August – Environmental Audit Evidence Section</t>
  </si>
  <si>
    <t>September – Environmental Audit Evidence Section</t>
  </si>
  <si>
    <t>October – Environmental Audit Evidence Section</t>
  </si>
  <si>
    <t>November – Environmental Audit Evidence Section</t>
  </si>
  <si>
    <t>December – Environmental Audit Evidence Section</t>
  </si>
  <si>
    <t>Nutrition &amp; Hydration Audit – Annual Evidence (Monthly)</t>
  </si>
  <si>
    <t>January – Nutrition &amp; Hydration Audit Evidence Section</t>
  </si>
  <si>
    <t>This audit includes a detailed check of MUST and weights.</t>
  </si>
  <si>
    <t>Evidence relating to MUST and weights</t>
  </si>
  <si>
    <t>This audit includes a detailed check of food/fluid charts and targets.</t>
  </si>
  <si>
    <t>Evidence relating to food/fluid charts and targets</t>
  </si>
  <si>
    <t>This audit includes a detailed check of allergies and texture modified diets.</t>
  </si>
  <si>
    <t>Evidence relating to allergies and texture modified diets</t>
  </si>
  <si>
    <t>This audit includes a detailed check of meal support and supplements.</t>
  </si>
  <si>
    <t>Evidence relating to meal support and supplements</t>
  </si>
  <si>
    <t>February – Nutrition &amp; Hydration Audit Evidence Section</t>
  </si>
  <si>
    <t>March – Nutrition &amp; Hydration Audit Evidence Section</t>
  </si>
  <si>
    <t>April – Nutrition &amp; Hydration Audit Evidence Section</t>
  </si>
  <si>
    <t>May – Nutrition &amp; Hydration Audit Evidence Section</t>
  </si>
  <si>
    <t>June – Nutrition &amp; Hydration Audit Evidence Section</t>
  </si>
  <si>
    <t>July – Nutrition &amp; Hydration Audit Evidence Section</t>
  </si>
  <si>
    <t>August – Nutrition &amp; Hydration Audit Evidence Section</t>
  </si>
  <si>
    <t>September – Nutrition &amp; Hydration Audit Evidence Section</t>
  </si>
  <si>
    <t>October – Nutrition &amp; Hydration Audit Evidence Section</t>
  </si>
  <si>
    <t>November – Nutrition &amp; Hydration Audit Evidence Section</t>
  </si>
  <si>
    <t>December – Nutrition &amp; Hydration Audit Evidence Section</t>
  </si>
  <si>
    <t>Safeguarding &amp; Incidents Audit – Annual Evidence (Monthly)</t>
  </si>
  <si>
    <t>January – Safeguarding &amp; Incidents Audit Evidence Section</t>
  </si>
  <si>
    <t>This audit includes a detailed check of safeguarding referrals.</t>
  </si>
  <si>
    <t>Evidence relating to safeguarding referrals</t>
  </si>
  <si>
    <t>This audit includes a detailed check of falls/post-fall monitoring.</t>
  </si>
  <si>
    <t>Evidence relating to falls/post-fall monitoring</t>
  </si>
  <si>
    <t>This audit includes a detailed check of incident investigation.</t>
  </si>
  <si>
    <t>Evidence relating to incident investigation</t>
  </si>
  <si>
    <t>This audit includes a detailed check of pressure damage/body maps.</t>
  </si>
  <si>
    <t>Evidence relating to pressure damage/body maps</t>
  </si>
  <si>
    <t>February – Safeguarding &amp; Incidents Audit Evidence Section</t>
  </si>
  <si>
    <t>March – Safeguarding &amp; Incidents Audit Evidence Section</t>
  </si>
  <si>
    <t>April – Safeguarding &amp; Incidents Audit Evidence Section</t>
  </si>
  <si>
    <t>May – Safeguarding &amp; Incidents Audit Evidence Section</t>
  </si>
  <si>
    <t>June – Safeguarding &amp; Incidents Audit Evidence Section</t>
  </si>
  <si>
    <t>July – Safeguarding &amp; Incidents Audit Evidence Section</t>
  </si>
  <si>
    <t>August – Safeguarding &amp; Incidents Audit Evidence Section</t>
  </si>
  <si>
    <t>September – Safeguarding &amp; Incidents Audit Evidence Section</t>
  </si>
  <si>
    <t>October – Safeguarding &amp; Incidents Audit Evidence Section</t>
  </si>
  <si>
    <t>November – Safeguarding &amp; Incidents Audit Evidence Section</t>
  </si>
  <si>
    <t>December – Safeguarding &amp; Incidents Audit Evidence Section</t>
  </si>
  <si>
    <t>Business Continuity Audit – Annual Evidence (Monthly)</t>
  </si>
  <si>
    <t>January – Business Continuity Audit Evidence Section</t>
  </si>
  <si>
    <t>This audit includes a detailed check of utilities loss.</t>
  </si>
  <si>
    <t>Evidence relating to utilities loss</t>
  </si>
  <si>
    <t>This audit includes a detailed check of staff shortage.</t>
  </si>
  <si>
    <t>Evidence relating to staff shortage</t>
  </si>
  <si>
    <t>This audit includes a detailed check of evacuation/temporary accommodation.</t>
  </si>
  <si>
    <t>Evidence relating to evacuation/temporary accommodation</t>
  </si>
  <si>
    <t>This audit includes a detailed check of records and medication continuity.</t>
  </si>
  <si>
    <t>Evidence relating to records and medication continuity</t>
  </si>
  <si>
    <t>February – Business Continuity Audit Evidence Section</t>
  </si>
  <si>
    <t>March – Business Continuity Audit Evidence Section</t>
  </si>
  <si>
    <t>April – Business Continuity Audit Evidence Section</t>
  </si>
  <si>
    <t>May – Business Continuity Audit Evidence Section</t>
  </si>
  <si>
    <t>June – Business Continuity Audit Evidence Section</t>
  </si>
  <si>
    <t>July – Business Continuity Audit Evidence Section</t>
  </si>
  <si>
    <t>August – Business Continuity Audit Evidence Section</t>
  </si>
  <si>
    <t>September – Business Continuity Audit Evidence Section</t>
  </si>
  <si>
    <t>October – Business Continuity Audit Evidence Section</t>
  </si>
  <si>
    <t>November – Business Continuity Audit Evidence Section</t>
  </si>
  <si>
    <t>December – Business Continuity Audit Evidence Section</t>
  </si>
  <si>
    <t>End of Life Audit – Annual Evidence (Monthly)</t>
  </si>
  <si>
    <t>January – End of Life Audit Evidence Section</t>
  </si>
  <si>
    <t>This audit includes a detailed check of advance care plan.</t>
  </si>
  <si>
    <t>Evidence relating to advance care plan</t>
  </si>
  <si>
    <t>This audit includes a detailed check of DNACPR/ReSPECT.</t>
  </si>
  <si>
    <t>Evidence relating to DNACPR/ReSPECT</t>
  </si>
  <si>
    <t>This audit includes a detailed check of comfort/pain management.</t>
  </si>
  <si>
    <t>Evidence relating to comfort/pain management</t>
  </si>
  <si>
    <t>This audit includes a detailed check of family and spiritual wishes.</t>
  </si>
  <si>
    <t>Evidence relating to family and spiritual wishes</t>
  </si>
  <si>
    <t>February – End of Life Audit Evidence Section</t>
  </si>
  <si>
    <t>March – End of Life Audit Evidence Section</t>
  </si>
  <si>
    <t>April – End of Life Audit Evidence Section</t>
  </si>
  <si>
    <t>May – End of Life Audit Evidence Section</t>
  </si>
  <si>
    <t>June – End of Life Audit Evidence Section</t>
  </si>
  <si>
    <t>July – End of Life Audit Evidence Section</t>
  </si>
  <si>
    <t>August – End of Life Audit Evidence Section</t>
  </si>
  <si>
    <t>September – End of Life Audit Evidence Section</t>
  </si>
  <si>
    <t>October – End of Life Audit Evidence Section</t>
  </si>
  <si>
    <t>November – End of Life Audit Evidence Section</t>
  </si>
  <si>
    <t>December – End of Life Audit Evidence Section</t>
  </si>
  <si>
    <t>Finance &amp; Property Audit – Annual Evidence (Monthly)</t>
  </si>
  <si>
    <t>January – Finance &amp; Property Audit Evidence Section</t>
  </si>
  <si>
    <t>This audit includes a detailed check of resident monies and receipts.</t>
  </si>
  <si>
    <t>Evidence relating to resident monies and receipts</t>
  </si>
  <si>
    <t>This audit includes a detailed check of safe contents and valuables.</t>
  </si>
  <si>
    <t>Evidence relating to safe contents and valuables</t>
  </si>
  <si>
    <t>This audit includes a detailed check of inventory and returned property.</t>
  </si>
  <si>
    <t>Evidence relating to inventory and returned property</t>
  </si>
  <si>
    <t>This audit includes a detailed check of capacity/consent for finances.</t>
  </si>
  <si>
    <t>Evidence relating to capacity/consent for finances</t>
  </si>
  <si>
    <t>February – Finance &amp; Property Audit Evidence Section</t>
  </si>
  <si>
    <t>March – Finance &amp; Property Audit Evidence Section</t>
  </si>
  <si>
    <t>April – Finance &amp; Property Audit Evidence Section</t>
  </si>
  <si>
    <t>May – Finance &amp; Property Audit Evidence Section</t>
  </si>
  <si>
    <t>June – Finance &amp; Property Audit Evidence Section</t>
  </si>
  <si>
    <t>July – Finance &amp; Property Audit Evidence Section</t>
  </si>
  <si>
    <t>August – Finance &amp; Property Audit Evidence Section</t>
  </si>
  <si>
    <t>September – Finance &amp; Property Audit Evidence Section</t>
  </si>
  <si>
    <t>October – Finance &amp; Property Audit Evidence Section</t>
  </si>
  <si>
    <t>November – Finance &amp; Property Audit Evidence Section</t>
  </si>
  <si>
    <t>December – Finance &amp; Property Audit Evidence Section</t>
  </si>
  <si>
    <t>Consent &amp; Documentation Audit – Annual Evidence (Monthly)</t>
  </si>
  <si>
    <t>January – Consent &amp; Documentation Audit Evidence Section</t>
  </si>
  <si>
    <t>This audit includes a detailed check of photo/social media consent.</t>
  </si>
  <si>
    <t>Evidence relating to photo/social media consent</t>
  </si>
  <si>
    <t>This audit includes a detailed check of CCTV and data sharing.</t>
  </si>
  <si>
    <t>Evidence relating to CCTV and data sharing</t>
  </si>
  <si>
    <t>This audit includes a detailed check of LPA/representative authority.</t>
  </si>
  <si>
    <t>Evidence relating to LPA/representative authority</t>
  </si>
  <si>
    <t>This audit includes a detailed check of MCA/best interest documentation.</t>
  </si>
  <si>
    <t>Evidence relating to MCA/best interest documentation</t>
  </si>
  <si>
    <t>February – Consent &amp; Documentation Audit Evidence Section</t>
  </si>
  <si>
    <t>March – Consent &amp; Documentation Audit Evidence Section</t>
  </si>
  <si>
    <t>April – Consent &amp; Documentation Audit Evidence Section</t>
  </si>
  <si>
    <t>May – Consent &amp; Documentation Audit Evidence Section</t>
  </si>
  <si>
    <t>June – Consent &amp; Documentation Audit Evidence Section</t>
  </si>
  <si>
    <t>July – Consent &amp; Documentation Audit Evidence Section</t>
  </si>
  <si>
    <t>August – Consent &amp; Documentation Audit Evidence Section</t>
  </si>
  <si>
    <t>September – Consent &amp; Documentation Audit Evidence Section</t>
  </si>
  <si>
    <t>October – Consent &amp; Documentation Audit Evidence Section</t>
  </si>
  <si>
    <t>November – Consent &amp; Documentation Audit Evidence Section</t>
  </si>
  <si>
    <t>December – Consent &amp; Documentation Audit Evidence Section</t>
  </si>
  <si>
    <t>Falls Audit – Annual Evidence (Monthly)</t>
  </si>
  <si>
    <t>Instruction: Complete each period on this tab so the full year is held in one evidence location. Pale yellow cells are editable. Formula/RAG/header cells are locked only, with no password.</t>
  </si>
  <si>
    <t>Evidence Complete?</t>
  </si>
  <si>
    <t>Actions Closed?</t>
  </si>
  <si>
    <t>January – Falls Audit Evidence Section</t>
  </si>
  <si>
    <t>Falls Recording</t>
  </si>
  <si>
    <t>Are all falls recorded promptly and factually on the incident system?</t>
  </si>
  <si>
    <t>Incident record and daily notes</t>
  </si>
  <si>
    <t>Document/Observation/Question</t>
  </si>
  <si>
    <t>Safe systems, person-centred care, safeguarding, learning and governance</t>
  </si>
  <si>
    <t>Triangulation</t>
  </si>
  <si>
    <t>Does the falls record triangulate with daily notes, care plan and PCS falls/mobility information?</t>
  </si>
  <si>
    <t>Incident, care plan, daily notes and PCS</t>
  </si>
  <si>
    <t>Post-Fall Checks</t>
  </si>
  <si>
    <t>Were immediate post-fall checks completed including injury check, pain, mobility and baseline change?</t>
  </si>
  <si>
    <t>Post-fall checklist</t>
  </si>
  <si>
    <t>Escalation</t>
  </si>
  <si>
    <t>Was professional escalation completed where required (GP/111/999/Falls Team/OT/Physio)?</t>
  </si>
  <si>
    <t>Escalation notes/professional advice</t>
  </si>
  <si>
    <t>Neuro Obs</t>
  </si>
  <si>
    <t>Were neurological observations completed where indicated?</t>
  </si>
  <si>
    <t>Neuro observation chart</t>
  </si>
  <si>
    <t>Family</t>
  </si>
  <si>
    <t>Was family/representative informed where appropriate?</t>
  </si>
  <si>
    <t>Communication record</t>
  </si>
  <si>
    <t>Reg 9/17</t>
  </si>
  <si>
    <t>Care Plan</t>
  </si>
  <si>
    <t>Was care plan reviewed/updated after the fall?</t>
  </si>
  <si>
    <t>Updated care plan</t>
  </si>
  <si>
    <t>Reg 9/12/17</t>
  </si>
  <si>
    <t>PCS</t>
  </si>
  <si>
    <t>Was PCS falls/mobility risk reviewed after the fall?</t>
  </si>
  <si>
    <t>PCS review evidence</t>
  </si>
  <si>
    <t>RCA</t>
  </si>
  <si>
    <t>Was root cause/contributory factor analysis completed for repeat/significant falls?</t>
  </si>
  <si>
    <t>RCA/post-fall analysis</t>
  </si>
  <si>
    <t>Prevention</t>
  </si>
  <si>
    <t>Were prevention actions clear, personalised and implemented?</t>
  </si>
  <si>
    <t>Action plan and evidence</t>
  </si>
  <si>
    <t>Equipment</t>
  </si>
  <si>
    <t>Was mobility equipment checked/reviewed after the fall?</t>
  </si>
  <si>
    <t>Equipment/OT evidence</t>
  </si>
  <si>
    <t>Environment</t>
  </si>
  <si>
    <t>Was environment reviewed for trip hazards, lighting and layout?</t>
  </si>
  <si>
    <t>Environmental check</t>
  </si>
  <si>
    <t>Medication</t>
  </si>
  <si>
    <t>Was medication reviewed where falls may be linked to side effects?</t>
  </si>
  <si>
    <t>MAR/GP/pharmacy review</t>
  </si>
  <si>
    <t>Hydration</t>
  </si>
  <si>
    <t>Were hydration, nutrition and infection indicators considered?</t>
  </si>
  <si>
    <t>Fluid/nutrition/infection records</t>
  </si>
  <si>
    <t>Repeat Falls</t>
  </si>
  <si>
    <t>Were repeated falls escalated for trend review?</t>
  </si>
  <si>
    <t>Trend/RCA tracker</t>
  </si>
  <si>
    <t>Staff Learning</t>
  </si>
  <si>
    <t>Was learning shared with staff and embedded?</t>
  </si>
  <si>
    <t>Team meeting/supervision evidence</t>
  </si>
  <si>
    <t>Action Closure</t>
  </si>
  <si>
    <t>Were actions owned, dated, evidenced, verified and closed?</t>
  </si>
  <si>
    <t>Action tracker</t>
  </si>
  <si>
    <t>February – Falls Audit Evidence Section</t>
  </si>
  <si>
    <t>March – Falls Audit Evidence Section</t>
  </si>
  <si>
    <t>April – Falls Audit Evidence Section</t>
  </si>
  <si>
    <t>May – Falls Audit Evidence Section</t>
  </si>
  <si>
    <t>June – Falls Audit Evidence Section</t>
  </si>
  <si>
    <t>July – Falls Audit Evidence Section</t>
  </si>
  <si>
    <t>August – Falls Audit Evidence Section</t>
  </si>
  <si>
    <t>September – Falls Audit Evidence Section</t>
  </si>
  <si>
    <t>October – Falls Audit Evidence Section</t>
  </si>
  <si>
    <t>November – Falls Audit Evidence Section</t>
  </si>
  <si>
    <t>December – Falls Audit Evidence Section</t>
  </si>
  <si>
    <t>Pressure Cushion Audit – Annual Evidence (Monthly)</t>
  </si>
  <si>
    <t>January – Pressure Cushion Audit Evidence Section</t>
  </si>
  <si>
    <t>Identification</t>
  </si>
  <si>
    <t>Is each pressure cushion identified to resident/location?</t>
  </si>
  <si>
    <t>Asset list/label</t>
  </si>
  <si>
    <t>Suitability</t>
  </si>
  <si>
    <t>Is cushion suitable for assessed pressure risk?</t>
  </si>
  <si>
    <t>Care plan/professional advice</t>
  </si>
  <si>
    <t>Condition</t>
  </si>
  <si>
    <t>Is cover intact, clean and free from tears/staining?</t>
  </si>
  <si>
    <t>Inspection record</t>
  </si>
  <si>
    <t>Position</t>
  </si>
  <si>
    <t>Is cushion positioned correctly?</t>
  </si>
  <si>
    <t>Is cushion cleaning recorded?</t>
  </si>
  <si>
    <t>Cleaning record</t>
  </si>
  <si>
    <t>Storage</t>
  </si>
  <si>
    <t>Are spare cushions stored clean and protected?</t>
  </si>
  <si>
    <t>Storage check</t>
  </si>
  <si>
    <t>Does care plan specify when/how cushion is used?</t>
  </si>
  <si>
    <t>Care plan</t>
  </si>
  <si>
    <t>Reg 9/12</t>
  </si>
  <si>
    <t>Repositioning</t>
  </si>
  <si>
    <t>Is repositioning frequency clearly stated in care plan?</t>
  </si>
  <si>
    <t>Care plan/repositioning chart</t>
  </si>
  <si>
    <t>Manager Checks</t>
  </si>
  <si>
    <t>Are gaps in repositioning records checked daily by manager?</t>
  </si>
  <si>
    <t>Manager check evidence</t>
  </si>
  <si>
    <t>Advice</t>
  </si>
  <si>
    <t>Is tissue viability/OT advice reflected?</t>
  </si>
  <si>
    <t>Professional advice</t>
  </si>
  <si>
    <t>Faults</t>
  </si>
  <si>
    <t>Are damaged cushions removed/actioned immediately?</t>
  </si>
  <si>
    <t>Is cushion use consistent with PCS pressure risk?</t>
  </si>
  <si>
    <t>PCS/care plan</t>
  </si>
  <si>
    <t>February – Pressure Cushion Audit Evidence Section</t>
  </si>
  <si>
    <t>March – Pressure Cushion Audit Evidence Section</t>
  </si>
  <si>
    <t>April – Pressure Cushion Audit Evidence Section</t>
  </si>
  <si>
    <t>May – Pressure Cushion Audit Evidence Section</t>
  </si>
  <si>
    <t>June – Pressure Cushion Audit Evidence Section</t>
  </si>
  <si>
    <t>July – Pressure Cushion Audit Evidence Section</t>
  </si>
  <si>
    <t>August – Pressure Cushion Audit Evidence Section</t>
  </si>
  <si>
    <t>September – Pressure Cushion Audit Evidence Section</t>
  </si>
  <si>
    <t>October – Pressure Cushion Audit Evidence Section</t>
  </si>
  <si>
    <t>November – Pressure Cushion Audit Evidence Section</t>
  </si>
  <si>
    <t>December – Pressure Cushion Audit Evidence Section</t>
  </si>
  <si>
    <t>Controlled Drugs Audit – Annual Evidence (Monthly)</t>
  </si>
  <si>
    <t>January – Controlled Drugs Audit Evidence Section</t>
  </si>
  <si>
    <t>Register</t>
  </si>
  <si>
    <t>Is CD register present and completed correctly?</t>
  </si>
  <si>
    <t>CD register</t>
  </si>
  <si>
    <t>Balances</t>
  </si>
  <si>
    <t>Are running balances accurate?</t>
  </si>
  <si>
    <t>Stock count/register</t>
  </si>
  <si>
    <t>Witness</t>
  </si>
  <si>
    <t>Are administration and disposal witnessed?</t>
  </si>
  <si>
    <t>CD register signatures</t>
  </si>
  <si>
    <t>Are CDs stored securely?</t>
  </si>
  <si>
    <t>Reg 12/15</t>
  </si>
  <si>
    <t>Keys</t>
  </si>
  <si>
    <t>Are CD keys secure and controlled?</t>
  </si>
  <si>
    <t>Key control evidence</t>
  </si>
  <si>
    <t>Stock Checks</t>
  </si>
  <si>
    <t>Are stock checks completed at required frequency?</t>
  </si>
  <si>
    <t>Stock check records</t>
  </si>
  <si>
    <t>Disposal</t>
  </si>
  <si>
    <t>Is disposal documented and witnessed?</t>
  </si>
  <si>
    <t>Disposal records</t>
  </si>
  <si>
    <t>Discrepancies</t>
  </si>
  <si>
    <t>Are discrepancies escalated and investigated immediately?</t>
  </si>
  <si>
    <t>Incident/RCA evidence</t>
  </si>
  <si>
    <t>MAR</t>
  </si>
  <si>
    <t>Does CD administration match MAR/eMAR?</t>
  </si>
  <si>
    <t>MAR and CD register</t>
  </si>
  <si>
    <t>Learning</t>
  </si>
  <si>
    <t>Are CD errors reviewed and embedded into practice?</t>
  </si>
  <si>
    <t>Lessons learned/training</t>
  </si>
  <si>
    <t>February – Controlled Drugs Audit Evidence Section</t>
  </si>
  <si>
    <t>March – Controlled Drugs Audit Evidence Section</t>
  </si>
  <si>
    <t>April – Controlled Drugs Audit Evidence Section</t>
  </si>
  <si>
    <t>May – Controlled Drugs Audit Evidence Section</t>
  </si>
  <si>
    <t>June – Controlled Drugs Audit Evidence Section</t>
  </si>
  <si>
    <t>July – Controlled Drugs Audit Evidence Section</t>
  </si>
  <si>
    <t>August – Controlled Drugs Audit Evidence Section</t>
  </si>
  <si>
    <t>September – Controlled Drugs Audit Evidence Section</t>
  </si>
  <si>
    <t>October – Controlled Drugs Audit Evidence Section</t>
  </si>
  <si>
    <t>November – Controlled Drugs Audit Evidence Section</t>
  </si>
  <si>
    <t>December – Controlled Drugs Audit Evidence Section</t>
  </si>
  <si>
    <t>PRN Protocol Audit – Annual Evidence (Monthly)</t>
  </si>
  <si>
    <t>January – PRN Protocol Audit Evidence Section</t>
  </si>
  <si>
    <t>Protocol</t>
  </si>
  <si>
    <t>Does every PRN medicine have a current protocol?</t>
  </si>
  <si>
    <t>PRN protocol/MAR</t>
  </si>
  <si>
    <t>Indication</t>
  </si>
  <si>
    <t>Does protocol state exact indications/symptoms?</t>
  </si>
  <si>
    <t>PRN protocol</t>
  </si>
  <si>
    <t>Dose</t>
  </si>
  <si>
    <t>Are dose, route, max dose and frequency clear?</t>
  </si>
  <si>
    <t>Protocol/MAR</t>
  </si>
  <si>
    <t>Alternatives</t>
  </si>
  <si>
    <t>Are non-medication strategies included where appropriate?</t>
  </si>
  <si>
    <t>Protocol/care plan</t>
  </si>
  <si>
    <t>Effectiveness</t>
  </si>
  <si>
    <t>Is effectiveness recorded after administration?</t>
  </si>
  <si>
    <t>MAR/daily notes</t>
  </si>
  <si>
    <t>Does protocol include escalation if ineffective/frequent use?</t>
  </si>
  <si>
    <t>Consent</t>
  </si>
  <si>
    <t>Is capacity/consent considered where needed?</t>
  </si>
  <si>
    <t>MCA/consent</t>
  </si>
  <si>
    <t>Review</t>
  </si>
  <si>
    <t>Are PRN patterns reviewed?</t>
  </si>
  <si>
    <t>Medication review/trend</t>
  </si>
  <si>
    <t>Are PRN issues included in learning/competency review?</t>
  </si>
  <si>
    <t>February – PRN Protocol Audit Evidence Section</t>
  </si>
  <si>
    <t>March – PRN Protocol Audit Evidence Section</t>
  </si>
  <si>
    <t>April – PRN Protocol Audit Evidence Section</t>
  </si>
  <si>
    <t>May – PRN Protocol Audit Evidence Section</t>
  </si>
  <si>
    <t>June – PRN Protocol Audit Evidence Section</t>
  </si>
  <si>
    <t>July – PRN Protocol Audit Evidence Section</t>
  </si>
  <si>
    <t>August – PRN Protocol Audit Evidence Section</t>
  </si>
  <si>
    <t>September – PRN Protocol Audit Evidence Section</t>
  </si>
  <si>
    <t>October – PRN Protocol Audit Evidence Section</t>
  </si>
  <si>
    <t>November – PRN Protocol Audit Evidence Section</t>
  </si>
  <si>
    <t>December – PRN Protocol Audit Evidence Section</t>
  </si>
  <si>
    <t>Homely Remedies Audit – Annual Evidence (Monthly)</t>
  </si>
  <si>
    <t>January – Homely Remedies Audit Evidence Section</t>
  </si>
  <si>
    <t>Policy</t>
  </si>
  <si>
    <t>Is homely remedies policy current and followed?</t>
  </si>
  <si>
    <t>Policy/evidence</t>
  </si>
  <si>
    <t>Authorisation</t>
  </si>
  <si>
    <t>Is each resident authorised for homely remedies?</t>
  </si>
  <si>
    <t>Authorisation list</t>
  </si>
  <si>
    <t>Allergies</t>
  </si>
  <si>
    <t>Are allergies/contraindications/interactions checked?</t>
  </si>
  <si>
    <t>Allergy profile/MAR/GP info</t>
  </si>
  <si>
    <t>Are max dose, duration and frequency clear?</t>
  </si>
  <si>
    <t>Protocol/list</t>
  </si>
  <si>
    <t>Are administrations recorded on MAR/eMAR?</t>
  </si>
  <si>
    <t>MAR/eMAR</t>
  </si>
  <si>
    <t>Is escalation clear if symptoms persist/worsen?</t>
  </si>
  <si>
    <t>Stock</t>
  </si>
  <si>
    <t>Is stock in date, secure and recorded?</t>
  </si>
  <si>
    <t>Are repeated uses reviewed/escalated?</t>
  </si>
  <si>
    <t>MAR trend/GP review</t>
  </si>
  <si>
    <t>February – Homely Remedies Audit Evidence Section</t>
  </si>
  <si>
    <t>March – Homely Remedies Audit Evidence Section</t>
  </si>
  <si>
    <t>April – Homely Remedies Audit Evidence Section</t>
  </si>
  <si>
    <t>May – Homely Remedies Audit Evidence Section</t>
  </si>
  <si>
    <t>June – Homely Remedies Audit Evidence Section</t>
  </si>
  <si>
    <t>July – Homely Remedies Audit Evidence Section</t>
  </si>
  <si>
    <t>August – Homely Remedies Audit Evidence Section</t>
  </si>
  <si>
    <t>September – Homely Remedies Audit Evidence Section</t>
  </si>
  <si>
    <t>October – Homely Remedies Audit Evidence Section</t>
  </si>
  <si>
    <t>November – Homely Remedies Audit Evidence Section</t>
  </si>
  <si>
    <t>December – Homely Remedies Audit Evidence Section</t>
  </si>
  <si>
    <t>Medication Fridge Audit – Annual Evidence (Monthly)</t>
  </si>
  <si>
    <t>January – Medication Fridge Audit Evidence Section</t>
  </si>
  <si>
    <t>Daily Temp</t>
  </si>
  <si>
    <t>Are fridge temperatures recorded daily?</t>
  </si>
  <si>
    <t>Fridge log</t>
  </si>
  <si>
    <t>Range</t>
  </si>
  <si>
    <t>Are readings within 2–8°C?</t>
  </si>
  <si>
    <t>Excursion</t>
  </si>
  <si>
    <t>Are out-of-range readings escalated and actioned?</t>
  </si>
  <si>
    <t>Action evidence/pharmacy advice</t>
  </si>
  <si>
    <t>Clean</t>
  </si>
  <si>
    <t>Is fridge clean and free from food/non-medical items?</t>
  </si>
  <si>
    <t>Calibration</t>
  </si>
  <si>
    <t>Is thermometer calibrated/checked?</t>
  </si>
  <si>
    <t>Calibration evidence</t>
  </si>
  <si>
    <t>Are refrigerated medicines in date and labelled?</t>
  </si>
  <si>
    <t>Security</t>
  </si>
  <si>
    <t>Is access controlled?</t>
  </si>
  <si>
    <t>Observation/key control</t>
  </si>
  <si>
    <t>Are fridge failures reviewed for learning?</t>
  </si>
  <si>
    <t>Incident/RCA/actions</t>
  </si>
  <si>
    <t>February – Medication Fridge Audit Evidence Section</t>
  </si>
  <si>
    <t>March – Medication Fridge Audit Evidence Section</t>
  </si>
  <si>
    <t>April – Medication Fridge Audit Evidence Section</t>
  </si>
  <si>
    <t>May – Medication Fridge Audit Evidence Section</t>
  </si>
  <si>
    <t>June – Medication Fridge Audit Evidence Section</t>
  </si>
  <si>
    <t>July – Medication Fridge Audit Evidence Section</t>
  </si>
  <si>
    <t>August – Medication Fridge Audit Evidence Section</t>
  </si>
  <si>
    <t>September – Medication Fridge Audit Evidence Section</t>
  </si>
  <si>
    <t>October – Medication Fridge Audit Evidence Section</t>
  </si>
  <si>
    <t>November – Medication Fridge Audit Evidence Section</t>
  </si>
  <si>
    <t>December – Medication Fridge Audit Evidence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</si>
</sst>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6"/>
      <color rgb="FFFFFFFF"/>
      <name val="Calibri"/>
      <family val="2"/>
      <scheme val="minor"/>
    </font>
    <font>
      <b/>
      <sz val="11"/>
      <color rgb="FFFFFFFF"/>
      <name val="Calibri"/>
      <family val="2"/>
      <scheme val="minor"/>
    </font>
    <font>
      <i/>
      <sz val="11"/>
      <color rgb="FF666666"/>
      <name val="Calibri"/>
      <family val="2"/>
      <scheme val="minor"/>
    </font>
    <font>
      <b/>
      <sz val="16"/>
      <color rgb="FFFFFFFF"/>
      <name val="Calibri"/>
      <family val="2"/>
    </font>
    <font>
      <b/>
      <sz val="11"/>
      <color rgb="FFFFFFFF"/>
      <name val="Calibri"/>
      <family val="2"/>
    </font>
  </fonts>
  <fills count="9">
    <fill>
      <patternFill patternType="none"/>
    </fill>
    <fill>
      <patternFill patternType="gray125"/>
    </fill>
    <fill>
      <patternFill patternType="solid">
        <fgColor rgb="FF0F5132"/>
        <bgColor indexed="64"/>
      </patternFill>
    </fill>
    <fill>
      <patternFill patternType="solid">
        <fgColor rgb="FF2F75B5"/>
        <bgColor indexed="64"/>
      </patternFill>
    </fill>
    <fill>
      <patternFill patternType="solid">
        <fgColor rgb="FFFFFDF2"/>
        <bgColor indexed="64"/>
      </patternFill>
    </fill>
    <fill>
      <patternFill patternType="solid">
        <fgColor rgb="FFF3F6FA"/>
        <bgColor indexed="64"/>
      </patternFill>
    </fill>
    <fill>
      <patternFill patternType="solid">
        <fgColor rgb="FF0F766E"/>
      </patternFill>
    </fill>
    <fill>
      <patternFill patternType="solid">
        <fgColor rgb="FFDDEBF7"/>
      </patternFill>
    </fill>
    <fill>
      <patternFill patternType="solid">
        <fgColor rgb="FFFFF2CC"/>
      </patternFill>
    </fill>
  </fills>
  <borders count="8">
    <border>
      <left/>
      <right/>
      <top/>
      <bottom/>
      <diagonal/>
    </border>
    <border>
      <left style="thin">
        <color auto="1"/>
      </left>
      <right style="thin">
        <color auto="1"/>
      </right>
      <top style="thin">
        <color auto="1"/>
      </top>
      <bottom style="thin">
        <color auto="1"/>
      </bottom>
      <diagonal/>
    </border>
    <border>
      <left style="thin">
        <color rgb="FFB7C9D6"/>
      </left>
      <right style="thin">
        <color rgb="FFB7C9D6"/>
      </right>
      <top style="thin">
        <color rgb="FFB7C9D6"/>
      </top>
      <bottom style="thin">
        <color rgb="FFB7C9D6"/>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8">
    <xf numFmtId="0" fontId="0" fillId="0" borderId="0" xfId="0"/>
    <xf numFmtId="0" fontId="2" fillId="3" borderId="1" xfId="0" applyFont="1" applyFill="1" applyBorder="1" applyAlignment="1">
      <alignment horizontal="center" vertical="center" wrapText="1"/>
    </xf>
    <xf numFmtId="0" fontId="3" fillId="0" borderId="0" xfId="0" applyFont="1" applyAlignment="1">
      <alignment vertical="top" wrapText="1"/>
    </xf>
    <xf numFmtId="0" fontId="0" fillId="4" borderId="2" xfId="0" applyFill="1" applyBorder="1" applyAlignment="1" applyProtection="1">
      <alignment vertical="top" wrapText="1"/>
      <protection locked="0"/>
    </xf>
    <xf numFmtId="0" fontId="0" fillId="0" borderId="2" xfId="0" applyBorder="1" applyAlignment="1">
      <alignment vertical="top" wrapText="1"/>
    </xf>
    <xf numFmtId="0" fontId="0" fillId="5" borderId="2" xfId="0" applyFill="1" applyBorder="1" applyAlignment="1">
      <alignment vertical="top" wrapText="1"/>
    </xf>
    <xf numFmtId="164" fontId="0" fillId="5" borderId="2" xfId="0" applyNumberFormat="1" applyFill="1" applyBorder="1" applyAlignment="1">
      <alignment horizontal="center"/>
    </xf>
    <xf numFmtId="14" fontId="0" fillId="5" borderId="2" xfId="0" applyNumberFormat="1" applyFill="1" applyBorder="1"/>
    <xf numFmtId="14" fontId="0" fillId="4" borderId="2" xfId="0" applyNumberFormat="1" applyFill="1" applyBorder="1" applyProtection="1">
      <protection locked="0"/>
    </xf>
    <xf numFmtId="0" fontId="2" fillId="2" borderId="1" xfId="0" applyFont="1" applyFill="1" applyBorder="1" applyAlignment="1">
      <alignment horizontal="left" vertical="center" wrapText="1"/>
    </xf>
    <xf numFmtId="0" fontId="0" fillId="0" borderId="7" xfId="0" applyBorder="1" applyAlignment="1">
      <alignment wrapText="1"/>
    </xf>
    <xf numFmtId="0" fontId="5" fillId="6" borderId="7" xfId="0" applyFont="1" applyFill="1" applyBorder="1" applyAlignment="1">
      <alignment horizontal="center" vertical="center" wrapText="1"/>
    </xf>
    <xf numFmtId="14" fontId="0" fillId="0" borderId="0" xfId="0" applyNumberFormat="1"/>
    <xf numFmtId="9" fontId="0" fillId="0" borderId="0" xfId="0" applyNumberFormat="1"/>
    <xf numFmtId="0" fontId="0" fillId="0" borderId="7" xfId="0" applyBorder="1" applyAlignment="1">
      <alignment vertical="top" wrapText="1"/>
    </xf>
    <xf numFmtId="0" fontId="0" fillId="8" borderId="7" xfId="0" applyFill="1" applyBorder="1" applyAlignment="1">
      <alignment vertical="top" wrapText="1"/>
    </xf>
    <xf numFmtId="0" fontId="0" fillId="4" borderId="2" xfId="0" applyFill="1" applyBorder="1" applyAlignment="1" applyProtection="1">
      <alignment vertical="top" wrapText="1"/>
      <protection locked="0"/>
    </xf>
    <xf numFmtId="0" fontId="0" fillId="0" borderId="5" xfId="0" applyBorder="1" applyProtection="1">
      <protection locked="0"/>
    </xf>
    <xf numFmtId="0" fontId="0" fillId="0" borderId="6" xfId="0" applyBorder="1" applyProtection="1">
      <protection locked="0"/>
    </xf>
    <xf numFmtId="0" fontId="2" fillId="2" borderId="1" xfId="0" applyFont="1" applyFill="1" applyBorder="1" applyAlignment="1">
      <alignment horizontal="left" vertical="center" wrapText="1"/>
    </xf>
    <xf numFmtId="0" fontId="0" fillId="0" borderId="3" xfId="0" applyBorder="1"/>
    <xf numFmtId="0" fontId="0" fillId="0" borderId="4" xfId="0" applyBorder="1"/>
    <xf numFmtId="0" fontId="3" fillId="0" borderId="0" xfId="0" applyFont="1" applyAlignment="1">
      <alignment vertical="top" wrapText="1"/>
    </xf>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4" fillId="6" borderId="0" xfId="0" applyFont="1" applyFill="1" applyAlignment="1">
      <alignment horizontal="center" vertical="center" wrapText="1"/>
    </xf>
    <xf numFmtId="0" fontId="0" fillId="7" borderId="0" xfId="0" applyFill="1" applyAlignment="1">
      <alignment wrapText="1"/>
    </xf>
  </cellXfs>
  <cellStyles count="1">
    <cellStyle name="Normal" xfId="0" builtinId="0"/>
  </cellStyles>
  <dxfs count="1112">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6000"/>
      </font>
      <fill>
        <patternFill>
          <bgColor rgb="FFFFF2CC"/>
        </patternFill>
      </fill>
    </dxf>
    <dxf>
      <font>
        <color rgb="FF274E13"/>
      </font>
      <fill>
        <patternFill>
          <bgColor rgb="FFD9EAD3"/>
        </patternFill>
      </fill>
    </dxf>
    <dxf>
      <font>
        <color rgb="FF666666"/>
      </font>
      <fill>
        <patternFill>
          <bgColor rgb="FFD9D9D9"/>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6000"/>
      </font>
      <fill>
        <patternFill>
          <bgColor rgb="FFFFF2CC"/>
        </patternFill>
      </fill>
    </dxf>
    <dxf>
      <font>
        <color rgb="FF274E13"/>
      </font>
      <fill>
        <patternFill>
          <bgColor rgb="FFD9EAD3"/>
        </patternFill>
      </fill>
    </dxf>
    <dxf>
      <font>
        <color rgb="FF666666"/>
      </font>
      <fill>
        <patternFill>
          <bgColor rgb="FFD9D9D9"/>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6000"/>
      </font>
      <fill>
        <patternFill>
          <bgColor rgb="FFFFF2CC"/>
        </patternFill>
      </fill>
    </dxf>
    <dxf>
      <font>
        <color rgb="FF274E13"/>
      </font>
      <fill>
        <patternFill>
          <bgColor rgb="FFD9EAD3"/>
        </patternFill>
      </fill>
    </dxf>
    <dxf>
      <font>
        <color rgb="FF666666"/>
      </font>
      <fill>
        <patternFill>
          <bgColor rgb="FFD9D9D9"/>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274E13"/>
      </font>
      <fill>
        <patternFill>
          <bgColor rgb="FFD9EAD3"/>
        </patternFill>
      </fill>
    </dxf>
    <dxf>
      <font>
        <color rgb="FF666666"/>
      </font>
      <fill>
        <patternFill>
          <bgColor rgb="FFD9D9D9"/>
        </patternFill>
      </fill>
    </dxf>
    <dxf>
      <font>
        <color rgb="FF7F6000"/>
      </font>
      <fill>
        <patternFill>
          <bgColor rgb="FFFFF2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
      <font>
        <color rgb="FF666666"/>
      </font>
      <fill>
        <patternFill>
          <bgColor rgb="FFD9D9D9"/>
        </patternFill>
      </fill>
    </dxf>
    <dxf>
      <font>
        <color rgb="FF274E13"/>
      </font>
      <fill>
        <patternFill>
          <bgColor rgb="FFD9EAD3"/>
        </patternFill>
      </fill>
    </dxf>
    <dxf>
      <font>
        <color rgb="FF7F6000"/>
      </font>
      <fill>
        <patternFill>
          <bgColor rgb="FFFFF2CC"/>
        </patternFill>
      </fill>
    </dxf>
    <dxf>
      <font>
        <color rgb="FF7F0000"/>
      </font>
      <fill>
        <patternFill>
          <b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Average Compliance by Audit Area</a:t>
            </a:r>
          </a:p>
        </c:rich>
      </c:tx>
      <c:overlay val="0"/>
    </c:title>
    <c:autoTitleDeleted val="0"/>
    <c:plotArea>
      <c:layout/>
      <c:barChart>
        <c:barDir val="col"/>
        <c:grouping val="clustered"/>
        <c:varyColors val="0"/>
        <c:ser>
          <c:idx val="0"/>
          <c:order val="0"/>
          <c:tx>
            <c:v>Average Compliance</c:v>
          </c:tx>
          <c:spPr>
            <a:ln>
              <a:prstDash val="solid"/>
            </a:ln>
          </c:spPr>
          <c:invertIfNegative val="0"/>
          <c:cat>
            <c:strRef>
              <c:f>'Missing Audits Dashboard'!$A$4:$A$15</c:f>
              <c:strCache>
                <c:ptCount val="12"/>
                <c:pt idx="0">
                  <c:v>Equipment &amp; Maintenance</c:v>
                </c:pt>
                <c:pt idx="1">
                  <c:v>Water &amp; Legionella</c:v>
                </c:pt>
                <c:pt idx="2">
                  <c:v>Infection Surveillance</c:v>
                </c:pt>
                <c:pt idx="3">
                  <c:v>Resident Dignity</c:v>
                </c:pt>
                <c:pt idx="4">
                  <c:v>Personnel &amp; Workforce</c:v>
                </c:pt>
                <c:pt idx="5">
                  <c:v>Environmental</c:v>
                </c:pt>
                <c:pt idx="6">
                  <c:v>Nutrition &amp; Hydration</c:v>
                </c:pt>
                <c:pt idx="7">
                  <c:v>Safeguarding &amp; Incidents</c:v>
                </c:pt>
                <c:pt idx="8">
                  <c:v>Business Continuity</c:v>
                </c:pt>
                <c:pt idx="9">
                  <c:v>End of Life</c:v>
                </c:pt>
                <c:pt idx="10">
                  <c:v>Finance &amp; Property</c:v>
                </c:pt>
                <c:pt idx="11">
                  <c:v>Consent &amp; Documentation</c:v>
                </c:pt>
              </c:strCache>
            </c:strRef>
          </c:cat>
          <c:val>
            <c:numRef>
              <c:f>'Missing Audits Dashboard'!$F$4:$F$15</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E5E3-44B1-BA7C-359416E24664}"/>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b"/>
        <c:numFmt formatCode="General" sourceLinked="0"/>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numFmt formatCode="0%" sourceLinked="0"/>
        <c:majorTickMark val="out"/>
        <c:minorTickMark val="none"/>
        <c:tickLblPos val="nextTo"/>
        <c:crossAx val="50010001"/>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0</xdr:rowOff>
    </xdr:from>
    <xdr:to>
      <xdr:col>5</xdr:col>
      <xdr:colOff>485775</xdr:colOff>
      <xdr:row>35</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showGridLines="0" workbookViewId="0">
      <selection activeCell="C4" sqref="C4"/>
    </sheetView>
  </sheetViews>
  <sheetFormatPr defaultRowHeight="14.5" x14ac:dyDescent="0.35"/>
  <cols>
    <col min="1" max="1" width="24.7265625" customWidth="1"/>
    <col min="2" max="8" width="18.7265625" customWidth="1"/>
  </cols>
  <sheetData>
    <row r="1" spans="1:8" ht="21" customHeight="1" x14ac:dyDescent="0.35">
      <c r="A1" s="24" t="s">
        <v>122</v>
      </c>
      <c r="B1" s="20"/>
      <c r="C1" s="20"/>
      <c r="D1" s="20"/>
      <c r="E1" s="20"/>
      <c r="F1" s="20"/>
      <c r="G1" s="20"/>
      <c r="H1" s="21"/>
    </row>
    <row r="3" spans="1:8" x14ac:dyDescent="0.35">
      <c r="A3" s="1" t="s">
        <v>123</v>
      </c>
      <c r="B3" s="25"/>
      <c r="C3" s="20"/>
      <c r="D3" s="20"/>
      <c r="E3" s="20"/>
      <c r="F3" s="20"/>
      <c r="G3" s="20"/>
      <c r="H3" s="21"/>
    </row>
    <row r="4" spans="1:8" ht="130.5" customHeight="1" x14ac:dyDescent="0.35">
      <c r="A4" s="2" t="s">
        <v>124</v>
      </c>
    </row>
    <row r="6" spans="1:8" x14ac:dyDescent="0.35">
      <c r="A6" s="1" t="s">
        <v>125</v>
      </c>
    </row>
    <row r="7" spans="1:8" ht="87" customHeight="1" x14ac:dyDescent="0.35">
      <c r="A7" s="2" t="s">
        <v>126</v>
      </c>
    </row>
  </sheetData>
  <mergeCells count="2">
    <mergeCell ref="B3:H3"/>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showGridLines="0" zoomScale="70" zoomScaleNormal="70" workbookViewId="0">
      <selection activeCell="G4" sqref="E4:G4"/>
    </sheetView>
  </sheetViews>
  <sheetFormatPr defaultRowHeight="14.5" x14ac:dyDescent="0.35"/>
  <cols>
    <col min="1" max="1" width="28.7265625" customWidth="1"/>
    <col min="2" max="8" width="22.7265625" customWidth="1"/>
  </cols>
  <sheetData>
    <row r="1" spans="1:8" ht="21" customHeight="1" x14ac:dyDescent="0.35">
      <c r="A1" s="24" t="s">
        <v>127</v>
      </c>
      <c r="B1" s="20"/>
      <c r="C1" s="20"/>
      <c r="D1" s="20"/>
      <c r="E1" s="20"/>
      <c r="F1" s="20"/>
      <c r="G1" s="20"/>
      <c r="H1" s="21"/>
    </row>
    <row r="3" spans="1:8" x14ac:dyDescent="0.35">
      <c r="A3" s="1" t="s">
        <v>128</v>
      </c>
      <c r="B3" s="1" t="s">
        <v>129</v>
      </c>
      <c r="C3" s="1" t="s">
        <v>130</v>
      </c>
      <c r="D3" s="1" t="s">
        <v>131</v>
      </c>
      <c r="E3" s="1" t="s">
        <v>132</v>
      </c>
      <c r="F3" s="1" t="s">
        <v>52</v>
      </c>
      <c r="G3" s="1" t="s">
        <v>133</v>
      </c>
      <c r="H3" s="1" t="s">
        <v>134</v>
      </c>
    </row>
    <row r="4" spans="1:8" ht="43.5" customHeight="1" x14ac:dyDescent="0.35">
      <c r="A4" s="3" t="s">
        <v>135</v>
      </c>
      <c r="B4" s="3" t="s">
        <v>136</v>
      </c>
      <c r="C4" s="3" t="s">
        <v>137</v>
      </c>
      <c r="D4" s="3" t="s">
        <v>138</v>
      </c>
      <c r="E4" s="3"/>
      <c r="F4" s="3" t="s">
        <v>139</v>
      </c>
      <c r="G4" s="3"/>
      <c r="H4" s="3" t="s">
        <v>140</v>
      </c>
    </row>
    <row r="5" spans="1:8" ht="43.5" customHeight="1" x14ac:dyDescent="0.35">
      <c r="A5" s="3" t="s">
        <v>141</v>
      </c>
      <c r="B5" s="3" t="s">
        <v>136</v>
      </c>
      <c r="C5" s="3" t="s">
        <v>137</v>
      </c>
      <c r="D5" s="3" t="s">
        <v>142</v>
      </c>
      <c r="E5" s="3"/>
      <c r="F5" s="3" t="s">
        <v>139</v>
      </c>
      <c r="G5" s="3"/>
      <c r="H5" s="3" t="s">
        <v>140</v>
      </c>
    </row>
    <row r="6" spans="1:8" ht="43.5" customHeight="1" x14ac:dyDescent="0.35">
      <c r="A6" s="3" t="s">
        <v>143</v>
      </c>
      <c r="B6" s="3" t="s">
        <v>136</v>
      </c>
      <c r="C6" s="3" t="s">
        <v>137</v>
      </c>
      <c r="D6" s="3" t="s">
        <v>144</v>
      </c>
      <c r="E6" s="3"/>
      <c r="F6" s="3" t="s">
        <v>139</v>
      </c>
      <c r="G6" s="3"/>
      <c r="H6" s="3" t="s">
        <v>140</v>
      </c>
    </row>
    <row r="7" spans="1:8" ht="43.5" customHeight="1" x14ac:dyDescent="0.35">
      <c r="A7" s="3" t="s">
        <v>145</v>
      </c>
      <c r="B7" s="3" t="s">
        <v>146</v>
      </c>
      <c r="C7" s="3" t="s">
        <v>147</v>
      </c>
      <c r="D7" s="3" t="s">
        <v>148</v>
      </c>
      <c r="E7" s="3"/>
      <c r="F7" s="3" t="s">
        <v>139</v>
      </c>
      <c r="G7" s="3"/>
      <c r="H7" s="3" t="s">
        <v>140</v>
      </c>
    </row>
    <row r="8" spans="1:8" ht="43.5" customHeight="1" x14ac:dyDescent="0.35">
      <c r="A8" s="3" t="s">
        <v>149</v>
      </c>
      <c r="B8" s="3" t="s">
        <v>146</v>
      </c>
      <c r="C8" s="3" t="s">
        <v>147</v>
      </c>
      <c r="D8" s="3" t="s">
        <v>150</v>
      </c>
      <c r="E8" s="3"/>
      <c r="F8" s="3" t="s">
        <v>139</v>
      </c>
      <c r="G8" s="3"/>
      <c r="H8" s="3" t="s">
        <v>140</v>
      </c>
    </row>
    <row r="9" spans="1:8" ht="43.5" customHeight="1" x14ac:dyDescent="0.35">
      <c r="A9" s="3" t="s">
        <v>151</v>
      </c>
      <c r="B9" s="3" t="s">
        <v>146</v>
      </c>
      <c r="C9" s="3" t="s">
        <v>147</v>
      </c>
      <c r="D9" s="3" t="s">
        <v>152</v>
      </c>
      <c r="E9" s="3"/>
      <c r="F9" s="3" t="s">
        <v>139</v>
      </c>
      <c r="G9" s="3"/>
      <c r="H9" s="3" t="s">
        <v>140</v>
      </c>
    </row>
    <row r="10" spans="1:8" ht="43.5" customHeight="1" x14ac:dyDescent="0.35">
      <c r="A10" s="3" t="s">
        <v>153</v>
      </c>
      <c r="B10" s="3" t="s">
        <v>146</v>
      </c>
      <c r="C10" s="3" t="s">
        <v>147</v>
      </c>
      <c r="D10" s="3" t="s">
        <v>154</v>
      </c>
      <c r="E10" s="3"/>
      <c r="F10" s="3" t="s">
        <v>139</v>
      </c>
      <c r="G10" s="3"/>
      <c r="H10" s="3" t="s">
        <v>140</v>
      </c>
    </row>
    <row r="11" spans="1:8" ht="43.5" customHeight="1" x14ac:dyDescent="0.35">
      <c r="A11" s="3" t="s">
        <v>155</v>
      </c>
      <c r="B11" s="3" t="s">
        <v>146</v>
      </c>
      <c r="C11" s="3" t="s">
        <v>147</v>
      </c>
      <c r="D11" s="3" t="s">
        <v>156</v>
      </c>
      <c r="E11" s="3"/>
      <c r="F11" s="3" t="s">
        <v>139</v>
      </c>
      <c r="G11" s="3"/>
      <c r="H11" s="3" t="s">
        <v>140</v>
      </c>
    </row>
    <row r="12" spans="1:8" ht="43.5" customHeight="1" x14ac:dyDescent="0.35">
      <c r="A12" s="3" t="s">
        <v>157</v>
      </c>
      <c r="B12" s="3" t="s">
        <v>146</v>
      </c>
      <c r="C12" s="3" t="s">
        <v>147</v>
      </c>
      <c r="D12" s="3" t="s">
        <v>158</v>
      </c>
      <c r="E12" s="3"/>
      <c r="F12" s="3" t="s">
        <v>139</v>
      </c>
      <c r="G12" s="3"/>
      <c r="H12" s="3" t="s">
        <v>140</v>
      </c>
    </row>
    <row r="13" spans="1:8" ht="43.5" customHeight="1" x14ac:dyDescent="0.35">
      <c r="A13" s="3" t="s">
        <v>159</v>
      </c>
      <c r="B13" s="3" t="s">
        <v>146</v>
      </c>
      <c r="C13" s="3" t="s">
        <v>147</v>
      </c>
      <c r="D13" s="3" t="s">
        <v>160</v>
      </c>
      <c r="E13" s="3"/>
      <c r="F13" s="3" t="s">
        <v>139</v>
      </c>
      <c r="G13" s="3"/>
      <c r="H13" s="3" t="s">
        <v>140</v>
      </c>
    </row>
    <row r="14" spans="1:8" ht="43.5" customHeight="1" x14ac:dyDescent="0.35">
      <c r="A14" s="3" t="s">
        <v>161</v>
      </c>
      <c r="B14" s="3" t="s">
        <v>146</v>
      </c>
      <c r="C14" s="3" t="s">
        <v>147</v>
      </c>
      <c r="D14" s="3" t="s">
        <v>162</v>
      </c>
      <c r="E14" s="3"/>
      <c r="F14" s="3" t="s">
        <v>139</v>
      </c>
      <c r="G14" s="3"/>
      <c r="H14" s="3" t="s">
        <v>140</v>
      </c>
    </row>
    <row r="15" spans="1:8" ht="43.5" customHeight="1" x14ac:dyDescent="0.35">
      <c r="A15" s="3" t="s">
        <v>163</v>
      </c>
      <c r="B15" s="3" t="s">
        <v>146</v>
      </c>
      <c r="C15" s="3" t="s">
        <v>147</v>
      </c>
      <c r="D15" s="3" t="s">
        <v>164</v>
      </c>
      <c r="E15" s="3"/>
      <c r="F15" s="3" t="s">
        <v>139</v>
      </c>
      <c r="G15" s="3"/>
      <c r="H15" s="3" t="s">
        <v>140</v>
      </c>
    </row>
    <row r="16" spans="1:8" ht="29" x14ac:dyDescent="0.35">
      <c r="A16" s="10" t="s">
        <v>165</v>
      </c>
      <c r="B16" s="10" t="s">
        <v>146</v>
      </c>
      <c r="C16" s="10" t="s">
        <v>166</v>
      </c>
      <c r="D16" s="10" t="s">
        <v>167</v>
      </c>
      <c r="E16" s="10" t="s">
        <v>168</v>
      </c>
    </row>
    <row r="17" spans="1:5" ht="29" x14ac:dyDescent="0.35">
      <c r="A17" s="10" t="s">
        <v>169</v>
      </c>
      <c r="B17" s="10" t="s">
        <v>146</v>
      </c>
      <c r="C17" s="10" t="s">
        <v>166</v>
      </c>
      <c r="D17" s="10" t="s">
        <v>167</v>
      </c>
      <c r="E17" s="10" t="s">
        <v>168</v>
      </c>
    </row>
    <row r="18" spans="1:5" ht="29" x14ac:dyDescent="0.35">
      <c r="A18" s="10" t="s">
        <v>170</v>
      </c>
      <c r="B18" s="10" t="s">
        <v>146</v>
      </c>
      <c r="C18" s="10" t="s">
        <v>166</v>
      </c>
      <c r="D18" s="10" t="s">
        <v>167</v>
      </c>
      <c r="E18" s="10" t="s">
        <v>168</v>
      </c>
    </row>
    <row r="19" spans="1:5" ht="29" x14ac:dyDescent="0.35">
      <c r="A19" s="10" t="s">
        <v>171</v>
      </c>
      <c r="B19" s="10" t="s">
        <v>146</v>
      </c>
      <c r="C19" s="10" t="s">
        <v>166</v>
      </c>
      <c r="D19" s="10" t="s">
        <v>167</v>
      </c>
      <c r="E19" s="10" t="s">
        <v>168</v>
      </c>
    </row>
    <row r="20" spans="1:5" ht="29" x14ac:dyDescent="0.35">
      <c r="A20" s="10" t="s">
        <v>172</v>
      </c>
      <c r="B20" s="10" t="s">
        <v>146</v>
      </c>
      <c r="C20" s="10" t="s">
        <v>166</v>
      </c>
      <c r="D20" s="10" t="s">
        <v>167</v>
      </c>
      <c r="E20" s="10" t="s">
        <v>168</v>
      </c>
    </row>
    <row r="21" spans="1:5" ht="29" x14ac:dyDescent="0.35">
      <c r="A21" s="10" t="s">
        <v>173</v>
      </c>
      <c r="B21" s="10" t="s">
        <v>146</v>
      </c>
      <c r="C21" s="10" t="s">
        <v>166</v>
      </c>
      <c r="D21" s="10" t="s">
        <v>167</v>
      </c>
      <c r="E21" s="10" t="s">
        <v>168</v>
      </c>
    </row>
  </sheetData>
  <autoFilter ref="A3:H15" xr:uid="{00000000-0009-0000-0000-000001000000}"/>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
  <sheetViews>
    <sheetView showGridLines="0" workbookViewId="0">
      <selection activeCell="D11" sqref="D11"/>
    </sheetView>
  </sheetViews>
  <sheetFormatPr defaultRowHeight="14.5" x14ac:dyDescent="0.35"/>
  <cols>
    <col min="1" max="1" width="28.7265625" customWidth="1"/>
    <col min="2" max="14" width="16.7265625" customWidth="1"/>
  </cols>
  <sheetData>
    <row r="1" spans="1:14" ht="21" customHeight="1" x14ac:dyDescent="0.35">
      <c r="A1" s="24" t="s">
        <v>174</v>
      </c>
      <c r="B1" s="20"/>
      <c r="C1" s="20"/>
      <c r="D1" s="20"/>
      <c r="E1" s="20"/>
      <c r="F1" s="20"/>
      <c r="G1" s="20"/>
      <c r="H1" s="20"/>
      <c r="I1" s="20"/>
      <c r="J1" s="20"/>
      <c r="K1" s="20"/>
      <c r="L1" s="20"/>
      <c r="M1" s="20"/>
      <c r="N1" s="21"/>
    </row>
    <row r="3" spans="1:14" ht="29" customHeight="1" x14ac:dyDescent="0.35">
      <c r="A3" s="1" t="s">
        <v>128</v>
      </c>
      <c r="B3" s="1" t="s">
        <v>129</v>
      </c>
      <c r="C3" s="1" t="s">
        <v>175</v>
      </c>
      <c r="D3" s="1" t="s">
        <v>176</v>
      </c>
      <c r="E3" s="1" t="s">
        <v>177</v>
      </c>
      <c r="F3" s="1" t="s">
        <v>178</v>
      </c>
      <c r="G3" s="1" t="s">
        <v>179</v>
      </c>
      <c r="H3" s="1" t="s">
        <v>180</v>
      </c>
      <c r="I3" s="1" t="s">
        <v>12</v>
      </c>
      <c r="J3" s="1" t="s">
        <v>13</v>
      </c>
      <c r="K3" s="1" t="s">
        <v>181</v>
      </c>
      <c r="L3" s="1" t="s">
        <v>182</v>
      </c>
      <c r="M3" s="1" t="s">
        <v>183</v>
      </c>
      <c r="N3" s="1" t="s">
        <v>133</v>
      </c>
    </row>
    <row r="4" spans="1:14" x14ac:dyDescent="0.35">
      <c r="A4" s="4" t="s">
        <v>135</v>
      </c>
      <c r="B4" s="4" t="s">
        <v>136</v>
      </c>
      <c r="C4" s="4">
        <v>52</v>
      </c>
      <c r="D4" s="5">
        <f>COUNTIF('Equipment &amp; Maintenance'!H5:H56,"Green")+COUNTIF('Equipment &amp; Maintenance'!H5:H56,"Amber")+COUNTIF('Equipment &amp; Maintenance'!H5:H56,"Red")</f>
        <v>0</v>
      </c>
      <c r="E4" s="6">
        <f t="shared" ref="E4:E15" si="0">IF(C4=0,"",D4/C4)</f>
        <v>0</v>
      </c>
      <c r="F4" s="6" t="str">
        <f>IFERROR(AVERAGE('Equipment &amp; Maintenance'!G5:G56),"")</f>
        <v/>
      </c>
      <c r="G4" s="5" t="str">
        <f t="shared" ref="G4:G15" si="1">IF(F4="","Not Started",IF(F4&gt;=0.9,"Green",IF(F4&gt;=0.75,"Amber","Red")))</f>
        <v>Not Started</v>
      </c>
      <c r="H4" s="5">
        <f>SUM('Equipment &amp; Maintenance'!I5:I56)</f>
        <v>0</v>
      </c>
      <c r="I4" s="5">
        <f>SUM('Equipment &amp; Maintenance'!J5:J56)</f>
        <v>0</v>
      </c>
      <c r="J4" s="5">
        <f ca="1">SUM('Equipment &amp; Maintenance'!K5:K56)</f>
        <v>0</v>
      </c>
      <c r="K4" s="7">
        <f>MAX('Equipment &amp; Maintenance'!C5:C56)</f>
        <v>0</v>
      </c>
      <c r="L4" s="6">
        <f>IFERROR(MIN('Equipment &amp; Maintenance'!G5:G56),"")</f>
        <v>0</v>
      </c>
      <c r="M4" s="6">
        <f>IFERROR(MAX('Equipment &amp; Maintenance'!G5:G56),"")</f>
        <v>0</v>
      </c>
      <c r="N4" s="3"/>
    </row>
    <row r="5" spans="1:14" x14ac:dyDescent="0.35">
      <c r="A5" s="4" t="s">
        <v>141</v>
      </c>
      <c r="B5" s="4" t="s">
        <v>136</v>
      </c>
      <c r="C5" s="4">
        <v>52</v>
      </c>
      <c r="D5" s="5">
        <f>COUNTIF('Water &amp; Legionella'!H5:H56,"Green")+COUNTIF('Water &amp; Legionella'!H5:H56,"Amber")+COUNTIF('Water &amp; Legionella'!H5:H56,"Red")</f>
        <v>0</v>
      </c>
      <c r="E5" s="6">
        <f t="shared" si="0"/>
        <v>0</v>
      </c>
      <c r="F5" s="6" t="str">
        <f>IFERROR(AVERAGE('Water &amp; Legionella'!G5:G56),"")</f>
        <v/>
      </c>
      <c r="G5" s="5" t="str">
        <f t="shared" si="1"/>
        <v>Not Started</v>
      </c>
      <c r="H5" s="5">
        <f>SUM('Water &amp; Legionella'!I5:I56)</f>
        <v>0</v>
      </c>
      <c r="I5" s="5">
        <f>SUM('Water &amp; Legionella'!J5:J56)</f>
        <v>0</v>
      </c>
      <c r="J5" s="5">
        <f ca="1">SUM('Water &amp; Legionella'!K5:K56)</f>
        <v>0</v>
      </c>
      <c r="K5" s="7">
        <f>MAX('Water &amp; Legionella'!C5:C56)</f>
        <v>0</v>
      </c>
      <c r="L5" s="6">
        <f>IFERROR(MIN('Water &amp; Legionella'!G5:G56),"")</f>
        <v>0</v>
      </c>
      <c r="M5" s="6">
        <f>IFERROR(MAX('Water &amp; Legionella'!G5:G56),"")</f>
        <v>0</v>
      </c>
      <c r="N5" s="3"/>
    </row>
    <row r="6" spans="1:14" x14ac:dyDescent="0.35">
      <c r="A6" s="4" t="s">
        <v>143</v>
      </c>
      <c r="B6" s="4" t="s">
        <v>136</v>
      </c>
      <c r="C6" s="4">
        <v>52</v>
      </c>
      <c r="D6" s="5">
        <f>COUNTIF('Infection Surveillance'!H5:H56,"Green")+COUNTIF('Infection Surveillance'!H5:H56,"Amber")+COUNTIF('Infection Surveillance'!H5:H56,"Red")</f>
        <v>0</v>
      </c>
      <c r="E6" s="6">
        <f t="shared" si="0"/>
        <v>0</v>
      </c>
      <c r="F6" s="6" t="str">
        <f>IFERROR(AVERAGE('Infection Surveillance'!G5:G56),"")</f>
        <v/>
      </c>
      <c r="G6" s="5" t="str">
        <f t="shared" si="1"/>
        <v>Not Started</v>
      </c>
      <c r="H6" s="5">
        <f>SUM('Infection Surveillance'!I5:I56)</f>
        <v>0</v>
      </c>
      <c r="I6" s="5">
        <f>SUM('Infection Surveillance'!J5:J56)</f>
        <v>0</v>
      </c>
      <c r="J6" s="5">
        <f ca="1">SUM('Infection Surveillance'!K5:K56)</f>
        <v>0</v>
      </c>
      <c r="K6" s="7">
        <f>MAX('Infection Surveillance'!C5:C56)</f>
        <v>0</v>
      </c>
      <c r="L6" s="6">
        <f>IFERROR(MIN('Infection Surveillance'!G5:G56),"")</f>
        <v>0</v>
      </c>
      <c r="M6" s="6">
        <f>IFERROR(MAX('Infection Surveillance'!G5:G56),"")</f>
        <v>0</v>
      </c>
      <c r="N6" s="3"/>
    </row>
    <row r="7" spans="1:14" x14ac:dyDescent="0.35">
      <c r="A7" s="4" t="s">
        <v>145</v>
      </c>
      <c r="B7" s="4" t="s">
        <v>146</v>
      </c>
      <c r="C7" s="4">
        <v>12</v>
      </c>
      <c r="D7" s="5">
        <f>COUNTIF('Resident Dignity'!H5:H16,"Green")+COUNTIF('Resident Dignity'!H5:H16,"Amber")+COUNTIF('Resident Dignity'!H5:H16,"Red")</f>
        <v>0</v>
      </c>
      <c r="E7" s="6">
        <f t="shared" si="0"/>
        <v>0</v>
      </c>
      <c r="F7" s="6" t="str">
        <f>IFERROR(AVERAGE('Resident Dignity'!G5:G16),"")</f>
        <v/>
      </c>
      <c r="G7" s="5" t="str">
        <f t="shared" si="1"/>
        <v>Not Started</v>
      </c>
      <c r="H7" s="5">
        <f>SUM('Resident Dignity'!I5:I16)</f>
        <v>0</v>
      </c>
      <c r="I7" s="5">
        <f>SUM('Resident Dignity'!J5:J16)</f>
        <v>0</v>
      </c>
      <c r="J7" s="5">
        <f ca="1">SUM('Resident Dignity'!K5:K16)</f>
        <v>0</v>
      </c>
      <c r="K7" s="7">
        <f>MAX('Resident Dignity'!C5:C16)</f>
        <v>0</v>
      </c>
      <c r="L7" s="6">
        <f>IFERROR(MIN('Resident Dignity'!G5:G16),"")</f>
        <v>0</v>
      </c>
      <c r="M7" s="6">
        <f>IFERROR(MAX('Resident Dignity'!G5:G16),"")</f>
        <v>0</v>
      </c>
      <c r="N7" s="3"/>
    </row>
    <row r="8" spans="1:14" x14ac:dyDescent="0.35">
      <c r="A8" s="4" t="s">
        <v>149</v>
      </c>
      <c r="B8" s="4" t="s">
        <v>146</v>
      </c>
      <c r="C8" s="4">
        <v>12</v>
      </c>
      <c r="D8" s="5">
        <f>COUNTIF('Personnel &amp; Workforce'!H5:H16,"Green")+COUNTIF('Personnel &amp; Workforce'!H5:H16,"Amber")+COUNTIF('Personnel &amp; Workforce'!H5:H16,"Red")</f>
        <v>0</v>
      </c>
      <c r="E8" s="6">
        <f t="shared" si="0"/>
        <v>0</v>
      </c>
      <c r="F8" s="6" t="str">
        <f>IFERROR(AVERAGE('Personnel &amp; Workforce'!G5:G16),"")</f>
        <v/>
      </c>
      <c r="G8" s="5" t="str">
        <f t="shared" si="1"/>
        <v>Not Started</v>
      </c>
      <c r="H8" s="5">
        <f>SUM('Personnel &amp; Workforce'!I5:I16)</f>
        <v>0</v>
      </c>
      <c r="I8" s="5">
        <f>SUM('Personnel &amp; Workforce'!J5:J16)</f>
        <v>0</v>
      </c>
      <c r="J8" s="5">
        <f ca="1">SUM('Personnel &amp; Workforce'!K5:K16)</f>
        <v>0</v>
      </c>
      <c r="K8" s="7">
        <f>MAX('Personnel &amp; Workforce'!C5:C16)</f>
        <v>0</v>
      </c>
      <c r="L8" s="6">
        <f>IFERROR(MIN('Personnel &amp; Workforce'!G5:G16),"")</f>
        <v>0</v>
      </c>
      <c r="M8" s="6">
        <f>IFERROR(MAX('Personnel &amp; Workforce'!G5:G16),"")</f>
        <v>0</v>
      </c>
      <c r="N8" s="3"/>
    </row>
    <row r="9" spans="1:14" x14ac:dyDescent="0.35">
      <c r="A9" s="4" t="s">
        <v>151</v>
      </c>
      <c r="B9" s="4" t="s">
        <v>146</v>
      </c>
      <c r="C9" s="4">
        <v>12</v>
      </c>
      <c r="D9" s="5">
        <f>COUNTIF(Environmental!H5:H16,"Green")+COUNTIF(Environmental!H5:H16,"Amber")+COUNTIF(Environmental!H5:H16,"Red")</f>
        <v>0</v>
      </c>
      <c r="E9" s="6">
        <f t="shared" si="0"/>
        <v>0</v>
      </c>
      <c r="F9" s="6" t="str">
        <f>IFERROR(AVERAGE(Environmental!G5:G16),"")</f>
        <v/>
      </c>
      <c r="G9" s="5" t="str">
        <f t="shared" si="1"/>
        <v>Not Started</v>
      </c>
      <c r="H9" s="5">
        <f>SUM(Environmental!I5:I16)</f>
        <v>0</v>
      </c>
      <c r="I9" s="5">
        <f>SUM(Environmental!J5:J16)</f>
        <v>0</v>
      </c>
      <c r="J9" s="5">
        <f ca="1">SUM(Environmental!K5:K16)</f>
        <v>0</v>
      </c>
      <c r="K9" s="7">
        <f>MAX(Environmental!C5:C16)</f>
        <v>0</v>
      </c>
      <c r="L9" s="6">
        <f>IFERROR(MIN(Environmental!G5:G16),"")</f>
        <v>0</v>
      </c>
      <c r="M9" s="6">
        <f>IFERROR(MAX(Environmental!G5:G16),"")</f>
        <v>0</v>
      </c>
      <c r="N9" s="3"/>
    </row>
    <row r="10" spans="1:14" x14ac:dyDescent="0.35">
      <c r="A10" s="4" t="s">
        <v>153</v>
      </c>
      <c r="B10" s="4" t="s">
        <v>146</v>
      </c>
      <c r="C10" s="4">
        <v>12</v>
      </c>
      <c r="D10" s="5">
        <f>COUNTIF('Nutrition &amp; Hydration'!H5:H16,"Green")+COUNTIF('Nutrition &amp; Hydration'!H5:H16,"Amber")+COUNTIF('Nutrition &amp; Hydration'!H5:H16,"Red")</f>
        <v>0</v>
      </c>
      <c r="E10" s="6">
        <f t="shared" si="0"/>
        <v>0</v>
      </c>
      <c r="F10" s="6" t="str">
        <f>IFERROR(AVERAGE('Nutrition &amp; Hydration'!G5:G16),"")</f>
        <v/>
      </c>
      <c r="G10" s="5" t="str">
        <f t="shared" si="1"/>
        <v>Not Started</v>
      </c>
      <c r="H10" s="5">
        <f>SUM('Nutrition &amp; Hydration'!I5:I16)</f>
        <v>0</v>
      </c>
      <c r="I10" s="5">
        <f>SUM('Nutrition &amp; Hydration'!J5:J16)</f>
        <v>0</v>
      </c>
      <c r="J10" s="5">
        <f ca="1">SUM('Nutrition &amp; Hydration'!K5:K16)</f>
        <v>0</v>
      </c>
      <c r="K10" s="7">
        <f>MAX('Nutrition &amp; Hydration'!C5:C16)</f>
        <v>0</v>
      </c>
      <c r="L10" s="6">
        <f>IFERROR(MIN('Nutrition &amp; Hydration'!G5:G16),"")</f>
        <v>0</v>
      </c>
      <c r="M10" s="6">
        <f>IFERROR(MAX('Nutrition &amp; Hydration'!G5:G16),"")</f>
        <v>0</v>
      </c>
      <c r="N10" s="3"/>
    </row>
    <row r="11" spans="1:14" x14ac:dyDescent="0.35">
      <c r="A11" s="4" t="s">
        <v>155</v>
      </c>
      <c r="B11" s="4" t="s">
        <v>146</v>
      </c>
      <c r="C11" s="4">
        <v>12</v>
      </c>
      <c r="D11" s="5">
        <f>COUNTIF('Safeguarding &amp; Incidents'!H5:H16,"Green")+COUNTIF('Safeguarding &amp; Incidents'!H5:H16,"Amber")+COUNTIF('Safeguarding &amp; Incidents'!H5:H16,"Red")</f>
        <v>0</v>
      </c>
      <c r="E11" s="6">
        <f t="shared" si="0"/>
        <v>0</v>
      </c>
      <c r="F11" s="6" t="str">
        <f>IFERROR(AVERAGE('Safeguarding &amp; Incidents'!G5:G16),"")</f>
        <v/>
      </c>
      <c r="G11" s="5" t="str">
        <f t="shared" si="1"/>
        <v>Not Started</v>
      </c>
      <c r="H11" s="5">
        <f>SUM('Safeguarding &amp; Incidents'!I5:I16)</f>
        <v>0</v>
      </c>
      <c r="I11" s="5">
        <f>SUM('Safeguarding &amp; Incidents'!J5:J16)</f>
        <v>0</v>
      </c>
      <c r="J11" s="5">
        <f ca="1">SUM('Safeguarding &amp; Incidents'!K5:K16)</f>
        <v>0</v>
      </c>
      <c r="K11" s="7">
        <f>MAX('Safeguarding &amp; Incidents'!C5:C16)</f>
        <v>0</v>
      </c>
      <c r="L11" s="6">
        <f>IFERROR(MIN('Safeguarding &amp; Incidents'!G5:G16),"")</f>
        <v>0</v>
      </c>
      <c r="M11" s="6">
        <f>IFERROR(MAX('Safeguarding &amp; Incidents'!G5:G16),"")</f>
        <v>0</v>
      </c>
      <c r="N11" s="3"/>
    </row>
    <row r="12" spans="1:14" x14ac:dyDescent="0.35">
      <c r="A12" s="4" t="s">
        <v>157</v>
      </c>
      <c r="B12" s="4" t="s">
        <v>146</v>
      </c>
      <c r="C12" s="4">
        <v>12</v>
      </c>
      <c r="D12" s="5">
        <f>COUNTIF('Business Continuity'!H5:H16,"Green")+COUNTIF('Business Continuity'!H5:H16,"Amber")+COUNTIF('Business Continuity'!H5:H16,"Red")</f>
        <v>0</v>
      </c>
      <c r="E12" s="6">
        <f t="shared" si="0"/>
        <v>0</v>
      </c>
      <c r="F12" s="6" t="str">
        <f>IFERROR(AVERAGE('Business Continuity'!G5:G16),"")</f>
        <v/>
      </c>
      <c r="G12" s="5" t="str">
        <f t="shared" si="1"/>
        <v>Not Started</v>
      </c>
      <c r="H12" s="5">
        <f>SUM('Business Continuity'!I5:I16)</f>
        <v>0</v>
      </c>
      <c r="I12" s="5">
        <f>SUM('Business Continuity'!J5:J16)</f>
        <v>0</v>
      </c>
      <c r="J12" s="5">
        <f ca="1">SUM('Business Continuity'!K5:K16)</f>
        <v>0</v>
      </c>
      <c r="K12" s="7">
        <f>MAX('Business Continuity'!C5:C16)</f>
        <v>0</v>
      </c>
      <c r="L12" s="6">
        <f>IFERROR(MIN('Business Continuity'!G5:G16),"")</f>
        <v>0</v>
      </c>
      <c r="M12" s="6">
        <f>IFERROR(MAX('Business Continuity'!G5:G16),"")</f>
        <v>0</v>
      </c>
      <c r="N12" s="3"/>
    </row>
    <row r="13" spans="1:14" x14ac:dyDescent="0.35">
      <c r="A13" s="4" t="s">
        <v>159</v>
      </c>
      <c r="B13" s="4" t="s">
        <v>146</v>
      </c>
      <c r="C13" s="4">
        <v>12</v>
      </c>
      <c r="D13" s="5">
        <f>COUNTIF('End of Life'!H5:H16,"Green")+COUNTIF('End of Life'!H5:H16,"Amber")+COUNTIF('End of Life'!H5:H16,"Red")</f>
        <v>0</v>
      </c>
      <c r="E13" s="6">
        <f t="shared" si="0"/>
        <v>0</v>
      </c>
      <c r="F13" s="6" t="str">
        <f>IFERROR(AVERAGE('End of Life'!G5:G16),"")</f>
        <v/>
      </c>
      <c r="G13" s="5" t="str">
        <f t="shared" si="1"/>
        <v>Not Started</v>
      </c>
      <c r="H13" s="5">
        <f>SUM('End of Life'!I5:I16)</f>
        <v>0</v>
      </c>
      <c r="I13" s="5">
        <f>SUM('End of Life'!J5:J16)</f>
        <v>0</v>
      </c>
      <c r="J13" s="5">
        <f ca="1">SUM('End of Life'!K5:K16)</f>
        <v>0</v>
      </c>
      <c r="K13" s="7">
        <f>MAX('End of Life'!C5:C16)</f>
        <v>0</v>
      </c>
      <c r="L13" s="6">
        <f>IFERROR(MIN('End of Life'!G5:G16),"")</f>
        <v>0</v>
      </c>
      <c r="M13" s="6">
        <f>IFERROR(MAX('End of Life'!G5:G16),"")</f>
        <v>0</v>
      </c>
      <c r="N13" s="3"/>
    </row>
    <row r="14" spans="1:14" x14ac:dyDescent="0.35">
      <c r="A14" s="4" t="s">
        <v>161</v>
      </c>
      <c r="B14" s="4" t="s">
        <v>146</v>
      </c>
      <c r="C14" s="4">
        <v>12</v>
      </c>
      <c r="D14" s="5">
        <f>COUNTIF('Finance &amp; Property'!H5:H16,"Green")+COUNTIF('Finance &amp; Property'!H5:H16,"Amber")+COUNTIF('Finance &amp; Property'!H5:H16,"Red")</f>
        <v>0</v>
      </c>
      <c r="E14" s="6">
        <f t="shared" si="0"/>
        <v>0</v>
      </c>
      <c r="F14" s="6" t="str">
        <f>IFERROR(AVERAGE('Finance &amp; Property'!G5:G16),"")</f>
        <v/>
      </c>
      <c r="G14" s="5" t="str">
        <f t="shared" si="1"/>
        <v>Not Started</v>
      </c>
      <c r="H14" s="5">
        <f>SUM('Finance &amp; Property'!I5:I16)</f>
        <v>0</v>
      </c>
      <c r="I14" s="5">
        <f>SUM('Finance &amp; Property'!J5:J16)</f>
        <v>0</v>
      </c>
      <c r="J14" s="5">
        <f ca="1">SUM('Finance &amp; Property'!K5:K16)</f>
        <v>0</v>
      </c>
      <c r="K14" s="7">
        <f>MAX('Finance &amp; Property'!C5:C16)</f>
        <v>0</v>
      </c>
      <c r="L14" s="6">
        <f>IFERROR(MIN('Finance &amp; Property'!G5:G16),"")</f>
        <v>0</v>
      </c>
      <c r="M14" s="6">
        <f>IFERROR(MAX('Finance &amp; Property'!G5:G16),"")</f>
        <v>0</v>
      </c>
      <c r="N14" s="3"/>
    </row>
    <row r="15" spans="1:14" x14ac:dyDescent="0.35">
      <c r="A15" s="4" t="s">
        <v>163</v>
      </c>
      <c r="B15" s="4" t="s">
        <v>146</v>
      </c>
      <c r="C15" s="4">
        <v>12</v>
      </c>
      <c r="D15" s="5">
        <f>COUNTIF('Consent &amp; Documentation'!H5:H16,"Green")+COUNTIF('Consent &amp; Documentation'!H5:H16,"Amber")+COUNTIF('Consent &amp; Documentation'!H5:H16,"Red")</f>
        <v>0</v>
      </c>
      <c r="E15" s="6">
        <f t="shared" si="0"/>
        <v>0</v>
      </c>
      <c r="F15" s="6" t="str">
        <f>IFERROR(AVERAGE('Consent &amp; Documentation'!G5:G16),"")</f>
        <v/>
      </c>
      <c r="G15" s="5" t="str">
        <f t="shared" si="1"/>
        <v>Not Started</v>
      </c>
      <c r="H15" s="5">
        <f>SUM('Consent &amp; Documentation'!I5:I16)</f>
        <v>0</v>
      </c>
      <c r="I15" s="5">
        <f>SUM('Consent &amp; Documentation'!J5:J16)</f>
        <v>0</v>
      </c>
      <c r="J15" s="5">
        <f ca="1">SUM('Consent &amp; Documentation'!K5:K16)</f>
        <v>0</v>
      </c>
      <c r="K15" s="7">
        <f>MAX('Consent &amp; Documentation'!C5:C16)</f>
        <v>0</v>
      </c>
      <c r="L15" s="6">
        <f>IFERROR(MIN('Consent &amp; Documentation'!G5:G16),"")</f>
        <v>0</v>
      </c>
      <c r="M15" s="6">
        <f>IFERROR(MAX('Consent &amp; Documentation'!G5:G16),"")</f>
        <v>0</v>
      </c>
      <c r="N15" s="3"/>
    </row>
  </sheetData>
  <sheetProtection sheet="1" objects="1" scenarios="1" formatCells="0" formatColumns="0" formatRows="0" sort="0" autoFilter="0"/>
  <mergeCells count="1">
    <mergeCell ref="A1:N1"/>
  </mergeCells>
  <conditionalFormatting sqref="E4:F15">
    <cfRule type="colorScale" priority="5">
      <colorScale>
        <cfvo type="min"/>
        <cfvo type="percentile" val="50"/>
        <cfvo type="max"/>
        <color rgb="FFF8696B"/>
        <color rgb="FFFFEB84"/>
        <color rgb="FF63BE7B"/>
      </colorScale>
    </cfRule>
  </conditionalFormatting>
  <conditionalFormatting sqref="G4:G15">
    <cfRule type="containsText" dxfId="1111" priority="1" operator="containsText" text="Red">
      <formula>NOT(ISERROR(SEARCH("Red",G4)))</formula>
    </cfRule>
    <cfRule type="containsText" dxfId="1110" priority="2" operator="containsText" text="Amber">
      <formula>NOT(ISERROR(SEARCH("Amber",G4)))</formula>
    </cfRule>
    <cfRule type="containsText" dxfId="1109" priority="3" operator="containsText" text="Green">
      <formula>NOT(ISERROR(SEARCH("Green",G4)))</formula>
    </cfRule>
    <cfRule type="containsText" dxfId="1108" priority="4" operator="containsText" text="Not Started">
      <formula>NOT(ISERROR(SEARCH("Not Started",G4)))</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04"/>
  <sheetViews>
    <sheetView showGridLines="0" workbookViewId="0">
      <selection sqref="A1:N1"/>
    </sheetView>
  </sheetViews>
  <sheetFormatPr defaultRowHeight="14.5" x14ac:dyDescent="0.35"/>
  <cols>
    <col min="1" max="1" width="14.7265625" customWidth="1"/>
    <col min="2" max="4" width="24.7265625" customWidth="1"/>
    <col min="5" max="5" width="12.7265625" customWidth="1"/>
    <col min="6" max="8" width="34.7265625" customWidth="1"/>
    <col min="9" max="14" width="16.7265625" customWidth="1"/>
  </cols>
  <sheetData>
    <row r="1" spans="1:14" ht="21" customHeight="1" x14ac:dyDescent="0.35">
      <c r="A1" s="24" t="s">
        <v>184</v>
      </c>
      <c r="B1" s="20"/>
      <c r="C1" s="20"/>
      <c r="D1" s="20"/>
      <c r="E1" s="20"/>
      <c r="F1" s="20"/>
      <c r="G1" s="20"/>
      <c r="H1" s="20"/>
      <c r="I1" s="20"/>
      <c r="J1" s="20"/>
      <c r="K1" s="20"/>
      <c r="L1" s="20"/>
      <c r="M1" s="20"/>
      <c r="N1" s="21"/>
    </row>
    <row r="3" spans="1:14" x14ac:dyDescent="0.35">
      <c r="A3" s="1" t="s">
        <v>185</v>
      </c>
      <c r="B3" s="1" t="s">
        <v>186</v>
      </c>
      <c r="C3" s="1" t="s">
        <v>3</v>
      </c>
      <c r="D3" s="1" t="s">
        <v>187</v>
      </c>
      <c r="E3" s="1" t="s">
        <v>73</v>
      </c>
      <c r="F3" s="1" t="s">
        <v>45</v>
      </c>
      <c r="G3" s="1" t="s">
        <v>46</v>
      </c>
      <c r="H3" s="1" t="s">
        <v>47</v>
      </c>
      <c r="I3" s="1" t="s">
        <v>188</v>
      </c>
      <c r="J3" s="1" t="s">
        <v>4</v>
      </c>
      <c r="K3" s="1" t="s">
        <v>189</v>
      </c>
      <c r="L3" s="1" t="s">
        <v>50</v>
      </c>
      <c r="M3" s="1" t="s">
        <v>52</v>
      </c>
      <c r="N3" s="1" t="s">
        <v>10</v>
      </c>
    </row>
    <row r="5" spans="1:14" x14ac:dyDescent="0.35">
      <c r="A5" s="5" t="str">
        <f t="shared" ref="A5:A36" si="0">IF(D5="","","ACT-"&amp;TEXT(ROW()-3,"0000"))</f>
        <v/>
      </c>
      <c r="B5" s="3"/>
      <c r="C5" s="3"/>
      <c r="D5" s="3"/>
      <c r="E5" s="3"/>
      <c r="F5" s="3"/>
      <c r="G5" s="3"/>
      <c r="H5" s="3"/>
      <c r="I5" s="3"/>
      <c r="J5" s="8"/>
      <c r="K5" s="8"/>
      <c r="L5" s="3"/>
      <c r="M5" s="3"/>
      <c r="N5" s="5" t="str">
        <f t="shared" ref="N5:N36" ca="1" si="1">IF(M5="Closed","Green",IF(AND(J5&lt;&gt;"",J5&lt;TODAY(),K5=""),"Red",IF(M5="In Progress","Amber","Grey")))</f>
        <v>Grey</v>
      </c>
    </row>
    <row r="6" spans="1:14" x14ac:dyDescent="0.35">
      <c r="A6" s="5" t="str">
        <f t="shared" si="0"/>
        <v/>
      </c>
      <c r="B6" s="3"/>
      <c r="C6" s="3"/>
      <c r="D6" s="3"/>
      <c r="E6" s="3"/>
      <c r="F6" s="3"/>
      <c r="G6" s="3"/>
      <c r="H6" s="3"/>
      <c r="I6" s="3"/>
      <c r="J6" s="8"/>
      <c r="K6" s="8"/>
      <c r="L6" s="3"/>
      <c r="M6" s="3"/>
      <c r="N6" s="5" t="str">
        <f t="shared" ca="1" si="1"/>
        <v>Grey</v>
      </c>
    </row>
    <row r="7" spans="1:14" x14ac:dyDescent="0.35">
      <c r="A7" s="5" t="str">
        <f t="shared" si="0"/>
        <v/>
      </c>
      <c r="B7" s="3"/>
      <c r="C7" s="3"/>
      <c r="D7" s="3"/>
      <c r="E7" s="3"/>
      <c r="F7" s="3"/>
      <c r="G7" s="3"/>
      <c r="H7" s="3"/>
      <c r="I7" s="3"/>
      <c r="J7" s="8"/>
      <c r="K7" s="8"/>
      <c r="L7" s="3"/>
      <c r="M7" s="3"/>
      <c r="N7" s="5" t="str">
        <f t="shared" ca="1" si="1"/>
        <v>Grey</v>
      </c>
    </row>
    <row r="8" spans="1:14" x14ac:dyDescent="0.35">
      <c r="A8" s="5" t="str">
        <f t="shared" si="0"/>
        <v/>
      </c>
      <c r="B8" s="3"/>
      <c r="C8" s="3"/>
      <c r="D8" s="3"/>
      <c r="E8" s="3"/>
      <c r="F8" s="3"/>
      <c r="G8" s="3"/>
      <c r="H8" s="3"/>
      <c r="I8" s="3"/>
      <c r="J8" s="8"/>
      <c r="K8" s="8"/>
      <c r="L8" s="3"/>
      <c r="M8" s="3"/>
      <c r="N8" s="5" t="str">
        <f t="shared" ca="1" si="1"/>
        <v>Grey</v>
      </c>
    </row>
    <row r="9" spans="1:14" x14ac:dyDescent="0.35">
      <c r="A9" s="5" t="str">
        <f t="shared" si="0"/>
        <v/>
      </c>
      <c r="B9" s="3"/>
      <c r="C9" s="3"/>
      <c r="D9" s="3"/>
      <c r="E9" s="3"/>
      <c r="F9" s="3"/>
      <c r="G9" s="3"/>
      <c r="H9" s="3"/>
      <c r="I9" s="3"/>
      <c r="J9" s="8"/>
      <c r="K9" s="8"/>
      <c r="L9" s="3"/>
      <c r="M9" s="3"/>
      <c r="N9" s="5" t="str">
        <f t="shared" ca="1" si="1"/>
        <v>Grey</v>
      </c>
    </row>
    <row r="10" spans="1:14" x14ac:dyDescent="0.35">
      <c r="A10" s="5" t="str">
        <f t="shared" si="0"/>
        <v/>
      </c>
      <c r="B10" s="3"/>
      <c r="C10" s="3"/>
      <c r="D10" s="3"/>
      <c r="E10" s="3"/>
      <c r="F10" s="3"/>
      <c r="G10" s="3"/>
      <c r="H10" s="3"/>
      <c r="I10" s="3"/>
      <c r="J10" s="8"/>
      <c r="K10" s="8"/>
      <c r="L10" s="3"/>
      <c r="M10" s="3"/>
      <c r="N10" s="5" t="str">
        <f t="shared" ca="1" si="1"/>
        <v>Grey</v>
      </c>
    </row>
    <row r="11" spans="1:14" x14ac:dyDescent="0.35">
      <c r="A11" s="5" t="str">
        <f t="shared" si="0"/>
        <v/>
      </c>
      <c r="B11" s="3"/>
      <c r="C11" s="3"/>
      <c r="D11" s="3"/>
      <c r="E11" s="3"/>
      <c r="F11" s="3"/>
      <c r="G11" s="3"/>
      <c r="H11" s="3"/>
      <c r="I11" s="3"/>
      <c r="J11" s="8"/>
      <c r="K11" s="8"/>
      <c r="L11" s="3"/>
      <c r="M11" s="3"/>
      <c r="N11" s="5" t="str">
        <f t="shared" ca="1" si="1"/>
        <v>Grey</v>
      </c>
    </row>
    <row r="12" spans="1:14" x14ac:dyDescent="0.35">
      <c r="A12" s="5" t="str">
        <f t="shared" si="0"/>
        <v/>
      </c>
      <c r="B12" s="3"/>
      <c r="C12" s="3"/>
      <c r="D12" s="3"/>
      <c r="E12" s="3"/>
      <c r="F12" s="3"/>
      <c r="G12" s="3"/>
      <c r="H12" s="3"/>
      <c r="I12" s="3"/>
      <c r="J12" s="8"/>
      <c r="K12" s="8"/>
      <c r="L12" s="3"/>
      <c r="M12" s="3"/>
      <c r="N12" s="5" t="str">
        <f t="shared" ca="1" si="1"/>
        <v>Grey</v>
      </c>
    </row>
    <row r="13" spans="1:14" x14ac:dyDescent="0.35">
      <c r="A13" s="5" t="str">
        <f t="shared" si="0"/>
        <v/>
      </c>
      <c r="B13" s="3"/>
      <c r="C13" s="3"/>
      <c r="D13" s="3"/>
      <c r="E13" s="3"/>
      <c r="F13" s="3"/>
      <c r="G13" s="3"/>
      <c r="H13" s="3"/>
      <c r="I13" s="3"/>
      <c r="J13" s="8"/>
      <c r="K13" s="8"/>
      <c r="L13" s="3"/>
      <c r="M13" s="3"/>
      <c r="N13" s="5" t="str">
        <f t="shared" ca="1" si="1"/>
        <v>Grey</v>
      </c>
    </row>
    <row r="14" spans="1:14" x14ac:dyDescent="0.35">
      <c r="A14" s="5" t="str">
        <f t="shared" si="0"/>
        <v/>
      </c>
      <c r="B14" s="3"/>
      <c r="C14" s="3"/>
      <c r="D14" s="3"/>
      <c r="E14" s="3"/>
      <c r="F14" s="3"/>
      <c r="G14" s="3"/>
      <c r="H14" s="3"/>
      <c r="I14" s="3"/>
      <c r="J14" s="8"/>
      <c r="K14" s="8"/>
      <c r="L14" s="3"/>
      <c r="M14" s="3"/>
      <c r="N14" s="5" t="str">
        <f t="shared" ca="1" si="1"/>
        <v>Grey</v>
      </c>
    </row>
    <row r="15" spans="1:14" x14ac:dyDescent="0.35">
      <c r="A15" s="5" t="str">
        <f t="shared" si="0"/>
        <v/>
      </c>
      <c r="B15" s="3"/>
      <c r="C15" s="3"/>
      <c r="D15" s="3"/>
      <c r="E15" s="3"/>
      <c r="F15" s="3"/>
      <c r="G15" s="3"/>
      <c r="H15" s="3"/>
      <c r="I15" s="3"/>
      <c r="J15" s="8"/>
      <c r="K15" s="8"/>
      <c r="L15" s="3"/>
      <c r="M15" s="3"/>
      <c r="N15" s="5" t="str">
        <f t="shared" ca="1" si="1"/>
        <v>Grey</v>
      </c>
    </row>
    <row r="16" spans="1:14" x14ac:dyDescent="0.35">
      <c r="A16" s="5" t="str">
        <f t="shared" si="0"/>
        <v/>
      </c>
      <c r="B16" s="3"/>
      <c r="C16" s="3"/>
      <c r="D16" s="3"/>
      <c r="E16" s="3"/>
      <c r="F16" s="3"/>
      <c r="G16" s="3"/>
      <c r="H16" s="3"/>
      <c r="I16" s="3"/>
      <c r="J16" s="8"/>
      <c r="K16" s="8"/>
      <c r="L16" s="3"/>
      <c r="M16" s="3"/>
      <c r="N16" s="5" t="str">
        <f t="shared" ca="1" si="1"/>
        <v>Grey</v>
      </c>
    </row>
    <row r="17" spans="1:14" x14ac:dyDescent="0.35">
      <c r="A17" s="5" t="str">
        <f t="shared" si="0"/>
        <v/>
      </c>
      <c r="B17" s="3"/>
      <c r="C17" s="3"/>
      <c r="D17" s="3"/>
      <c r="E17" s="3"/>
      <c r="F17" s="3"/>
      <c r="G17" s="3"/>
      <c r="H17" s="3"/>
      <c r="I17" s="3"/>
      <c r="J17" s="8"/>
      <c r="K17" s="8"/>
      <c r="L17" s="3"/>
      <c r="M17" s="3"/>
      <c r="N17" s="5" t="str">
        <f t="shared" ca="1" si="1"/>
        <v>Grey</v>
      </c>
    </row>
    <row r="18" spans="1:14" x14ac:dyDescent="0.35">
      <c r="A18" s="5" t="str">
        <f t="shared" si="0"/>
        <v/>
      </c>
      <c r="B18" s="3"/>
      <c r="C18" s="3"/>
      <c r="D18" s="3"/>
      <c r="E18" s="3"/>
      <c r="F18" s="3"/>
      <c r="G18" s="3"/>
      <c r="H18" s="3"/>
      <c r="I18" s="3"/>
      <c r="J18" s="8"/>
      <c r="K18" s="8"/>
      <c r="L18" s="3"/>
      <c r="M18" s="3"/>
      <c r="N18" s="5" t="str">
        <f t="shared" ca="1" si="1"/>
        <v>Grey</v>
      </c>
    </row>
    <row r="19" spans="1:14" x14ac:dyDescent="0.35">
      <c r="A19" s="5" t="str">
        <f t="shared" si="0"/>
        <v/>
      </c>
      <c r="B19" s="3"/>
      <c r="C19" s="3"/>
      <c r="D19" s="3"/>
      <c r="E19" s="3"/>
      <c r="F19" s="3"/>
      <c r="G19" s="3"/>
      <c r="H19" s="3"/>
      <c r="I19" s="3"/>
      <c r="J19" s="8"/>
      <c r="K19" s="8"/>
      <c r="L19" s="3"/>
      <c r="M19" s="3"/>
      <c r="N19" s="5" t="str">
        <f t="shared" ca="1" si="1"/>
        <v>Grey</v>
      </c>
    </row>
    <row r="20" spans="1:14" x14ac:dyDescent="0.35">
      <c r="A20" s="5" t="str">
        <f t="shared" si="0"/>
        <v/>
      </c>
      <c r="B20" s="3"/>
      <c r="C20" s="3"/>
      <c r="D20" s="3"/>
      <c r="E20" s="3"/>
      <c r="F20" s="3"/>
      <c r="G20" s="3"/>
      <c r="H20" s="3"/>
      <c r="I20" s="3"/>
      <c r="J20" s="8"/>
      <c r="K20" s="8"/>
      <c r="L20" s="3"/>
      <c r="M20" s="3"/>
      <c r="N20" s="5" t="str">
        <f t="shared" ca="1" si="1"/>
        <v>Grey</v>
      </c>
    </row>
    <row r="21" spans="1:14" x14ac:dyDescent="0.35">
      <c r="A21" s="5" t="str">
        <f t="shared" si="0"/>
        <v/>
      </c>
      <c r="B21" s="3"/>
      <c r="C21" s="3"/>
      <c r="D21" s="3"/>
      <c r="E21" s="3"/>
      <c r="F21" s="3"/>
      <c r="G21" s="3"/>
      <c r="H21" s="3"/>
      <c r="I21" s="3"/>
      <c r="J21" s="8"/>
      <c r="K21" s="8"/>
      <c r="L21" s="3"/>
      <c r="M21" s="3"/>
      <c r="N21" s="5" t="str">
        <f t="shared" ca="1" si="1"/>
        <v>Grey</v>
      </c>
    </row>
    <row r="22" spans="1:14" x14ac:dyDescent="0.35">
      <c r="A22" s="5" t="str">
        <f t="shared" si="0"/>
        <v/>
      </c>
      <c r="B22" s="3"/>
      <c r="C22" s="3"/>
      <c r="D22" s="3"/>
      <c r="E22" s="3"/>
      <c r="F22" s="3"/>
      <c r="G22" s="3"/>
      <c r="H22" s="3"/>
      <c r="I22" s="3"/>
      <c r="J22" s="8"/>
      <c r="K22" s="8"/>
      <c r="L22" s="3"/>
      <c r="M22" s="3"/>
      <c r="N22" s="5" t="str">
        <f t="shared" ca="1" si="1"/>
        <v>Grey</v>
      </c>
    </row>
    <row r="23" spans="1:14" x14ac:dyDescent="0.35">
      <c r="A23" s="5" t="str">
        <f t="shared" si="0"/>
        <v/>
      </c>
      <c r="B23" s="3"/>
      <c r="C23" s="3"/>
      <c r="D23" s="3"/>
      <c r="E23" s="3"/>
      <c r="F23" s="3"/>
      <c r="G23" s="3"/>
      <c r="H23" s="3"/>
      <c r="I23" s="3"/>
      <c r="J23" s="8"/>
      <c r="K23" s="8"/>
      <c r="L23" s="3"/>
      <c r="M23" s="3"/>
      <c r="N23" s="5" t="str">
        <f t="shared" ca="1" si="1"/>
        <v>Grey</v>
      </c>
    </row>
    <row r="24" spans="1:14" x14ac:dyDescent="0.35">
      <c r="A24" s="5" t="str">
        <f t="shared" si="0"/>
        <v/>
      </c>
      <c r="B24" s="3"/>
      <c r="C24" s="3"/>
      <c r="D24" s="3"/>
      <c r="E24" s="3"/>
      <c r="F24" s="3"/>
      <c r="G24" s="3"/>
      <c r="H24" s="3"/>
      <c r="I24" s="3"/>
      <c r="J24" s="8"/>
      <c r="K24" s="8"/>
      <c r="L24" s="3"/>
      <c r="M24" s="3"/>
      <c r="N24" s="5" t="str">
        <f t="shared" ca="1" si="1"/>
        <v>Grey</v>
      </c>
    </row>
    <row r="25" spans="1:14" x14ac:dyDescent="0.35">
      <c r="A25" s="5" t="str">
        <f t="shared" si="0"/>
        <v/>
      </c>
      <c r="B25" s="3"/>
      <c r="C25" s="3"/>
      <c r="D25" s="3"/>
      <c r="E25" s="3"/>
      <c r="F25" s="3"/>
      <c r="G25" s="3"/>
      <c r="H25" s="3"/>
      <c r="I25" s="3"/>
      <c r="J25" s="8"/>
      <c r="K25" s="8"/>
      <c r="L25" s="3"/>
      <c r="M25" s="3"/>
      <c r="N25" s="5" t="str">
        <f t="shared" ca="1" si="1"/>
        <v>Grey</v>
      </c>
    </row>
    <row r="26" spans="1:14" x14ac:dyDescent="0.35">
      <c r="A26" s="5" t="str">
        <f t="shared" si="0"/>
        <v/>
      </c>
      <c r="B26" s="3"/>
      <c r="C26" s="3"/>
      <c r="D26" s="3"/>
      <c r="E26" s="3"/>
      <c r="F26" s="3"/>
      <c r="G26" s="3"/>
      <c r="H26" s="3"/>
      <c r="I26" s="3"/>
      <c r="J26" s="8"/>
      <c r="K26" s="8"/>
      <c r="L26" s="3"/>
      <c r="M26" s="3"/>
      <c r="N26" s="5" t="str">
        <f t="shared" ca="1" si="1"/>
        <v>Grey</v>
      </c>
    </row>
    <row r="27" spans="1:14" x14ac:dyDescent="0.35">
      <c r="A27" s="5" t="str">
        <f t="shared" si="0"/>
        <v/>
      </c>
      <c r="B27" s="3"/>
      <c r="C27" s="3"/>
      <c r="D27" s="3"/>
      <c r="E27" s="3"/>
      <c r="F27" s="3"/>
      <c r="G27" s="3"/>
      <c r="H27" s="3"/>
      <c r="I27" s="3"/>
      <c r="J27" s="8"/>
      <c r="K27" s="8"/>
      <c r="L27" s="3"/>
      <c r="M27" s="3"/>
      <c r="N27" s="5" t="str">
        <f t="shared" ca="1" si="1"/>
        <v>Grey</v>
      </c>
    </row>
    <row r="28" spans="1:14" x14ac:dyDescent="0.35">
      <c r="A28" s="5" t="str">
        <f t="shared" si="0"/>
        <v/>
      </c>
      <c r="B28" s="3"/>
      <c r="C28" s="3"/>
      <c r="D28" s="3"/>
      <c r="E28" s="3"/>
      <c r="F28" s="3"/>
      <c r="G28" s="3"/>
      <c r="H28" s="3"/>
      <c r="I28" s="3"/>
      <c r="J28" s="8"/>
      <c r="K28" s="8"/>
      <c r="L28" s="3"/>
      <c r="M28" s="3"/>
      <c r="N28" s="5" t="str">
        <f t="shared" ca="1" si="1"/>
        <v>Grey</v>
      </c>
    </row>
    <row r="29" spans="1:14" x14ac:dyDescent="0.35">
      <c r="A29" s="5" t="str">
        <f t="shared" si="0"/>
        <v/>
      </c>
      <c r="B29" s="3"/>
      <c r="C29" s="3"/>
      <c r="D29" s="3"/>
      <c r="E29" s="3"/>
      <c r="F29" s="3"/>
      <c r="G29" s="3"/>
      <c r="H29" s="3"/>
      <c r="I29" s="3"/>
      <c r="J29" s="8"/>
      <c r="K29" s="8"/>
      <c r="L29" s="3"/>
      <c r="M29" s="3"/>
      <c r="N29" s="5" t="str">
        <f t="shared" ca="1" si="1"/>
        <v>Grey</v>
      </c>
    </row>
    <row r="30" spans="1:14" x14ac:dyDescent="0.35">
      <c r="A30" s="5" t="str">
        <f t="shared" si="0"/>
        <v/>
      </c>
      <c r="B30" s="3"/>
      <c r="C30" s="3"/>
      <c r="D30" s="3"/>
      <c r="E30" s="3"/>
      <c r="F30" s="3"/>
      <c r="G30" s="3"/>
      <c r="H30" s="3"/>
      <c r="I30" s="3"/>
      <c r="J30" s="8"/>
      <c r="K30" s="8"/>
      <c r="L30" s="3"/>
      <c r="M30" s="3"/>
      <c r="N30" s="5" t="str">
        <f t="shared" ca="1" si="1"/>
        <v>Grey</v>
      </c>
    </row>
    <row r="31" spans="1:14" x14ac:dyDescent="0.35">
      <c r="A31" s="5" t="str">
        <f t="shared" si="0"/>
        <v/>
      </c>
      <c r="B31" s="3"/>
      <c r="C31" s="3"/>
      <c r="D31" s="3"/>
      <c r="E31" s="3"/>
      <c r="F31" s="3"/>
      <c r="G31" s="3"/>
      <c r="H31" s="3"/>
      <c r="I31" s="3"/>
      <c r="J31" s="8"/>
      <c r="K31" s="8"/>
      <c r="L31" s="3"/>
      <c r="M31" s="3"/>
      <c r="N31" s="5" t="str">
        <f t="shared" ca="1" si="1"/>
        <v>Grey</v>
      </c>
    </row>
    <row r="32" spans="1:14" x14ac:dyDescent="0.35">
      <c r="A32" s="5" t="str">
        <f t="shared" si="0"/>
        <v/>
      </c>
      <c r="B32" s="3"/>
      <c r="C32" s="3"/>
      <c r="D32" s="3"/>
      <c r="E32" s="3"/>
      <c r="F32" s="3"/>
      <c r="G32" s="3"/>
      <c r="H32" s="3"/>
      <c r="I32" s="3"/>
      <c r="J32" s="8"/>
      <c r="K32" s="8"/>
      <c r="L32" s="3"/>
      <c r="M32" s="3"/>
      <c r="N32" s="5" t="str">
        <f t="shared" ca="1" si="1"/>
        <v>Grey</v>
      </c>
    </row>
    <row r="33" spans="1:14" x14ac:dyDescent="0.35">
      <c r="A33" s="5" t="str">
        <f t="shared" si="0"/>
        <v/>
      </c>
      <c r="B33" s="3"/>
      <c r="C33" s="3"/>
      <c r="D33" s="3"/>
      <c r="E33" s="3"/>
      <c r="F33" s="3"/>
      <c r="G33" s="3"/>
      <c r="H33" s="3"/>
      <c r="I33" s="3"/>
      <c r="J33" s="8"/>
      <c r="K33" s="8"/>
      <c r="L33" s="3"/>
      <c r="M33" s="3"/>
      <c r="N33" s="5" t="str">
        <f t="shared" ca="1" si="1"/>
        <v>Grey</v>
      </c>
    </row>
    <row r="34" spans="1:14" x14ac:dyDescent="0.35">
      <c r="A34" s="5" t="str">
        <f t="shared" si="0"/>
        <v/>
      </c>
      <c r="B34" s="3"/>
      <c r="C34" s="3"/>
      <c r="D34" s="3"/>
      <c r="E34" s="3"/>
      <c r="F34" s="3"/>
      <c r="G34" s="3"/>
      <c r="H34" s="3"/>
      <c r="I34" s="3"/>
      <c r="J34" s="8"/>
      <c r="K34" s="8"/>
      <c r="L34" s="3"/>
      <c r="M34" s="3"/>
      <c r="N34" s="5" t="str">
        <f t="shared" ca="1" si="1"/>
        <v>Grey</v>
      </c>
    </row>
    <row r="35" spans="1:14" x14ac:dyDescent="0.35">
      <c r="A35" s="5" t="str">
        <f t="shared" si="0"/>
        <v/>
      </c>
      <c r="B35" s="3"/>
      <c r="C35" s="3"/>
      <c r="D35" s="3"/>
      <c r="E35" s="3"/>
      <c r="F35" s="3"/>
      <c r="G35" s="3"/>
      <c r="H35" s="3"/>
      <c r="I35" s="3"/>
      <c r="J35" s="8"/>
      <c r="K35" s="8"/>
      <c r="L35" s="3"/>
      <c r="M35" s="3"/>
      <c r="N35" s="5" t="str">
        <f t="shared" ca="1" si="1"/>
        <v>Grey</v>
      </c>
    </row>
    <row r="36" spans="1:14" x14ac:dyDescent="0.35">
      <c r="A36" s="5" t="str">
        <f t="shared" si="0"/>
        <v/>
      </c>
      <c r="B36" s="3"/>
      <c r="C36" s="3"/>
      <c r="D36" s="3"/>
      <c r="E36" s="3"/>
      <c r="F36" s="3"/>
      <c r="G36" s="3"/>
      <c r="H36" s="3"/>
      <c r="I36" s="3"/>
      <c r="J36" s="8"/>
      <c r="K36" s="8"/>
      <c r="L36" s="3"/>
      <c r="M36" s="3"/>
      <c r="N36" s="5" t="str">
        <f t="shared" ca="1" si="1"/>
        <v>Grey</v>
      </c>
    </row>
    <row r="37" spans="1:14" x14ac:dyDescent="0.35">
      <c r="A37" s="5" t="str">
        <f t="shared" ref="A37:A68" si="2">IF(D37="","","ACT-"&amp;TEXT(ROW()-3,"0000"))</f>
        <v/>
      </c>
      <c r="B37" s="3"/>
      <c r="C37" s="3"/>
      <c r="D37" s="3"/>
      <c r="E37" s="3"/>
      <c r="F37" s="3"/>
      <c r="G37" s="3"/>
      <c r="H37" s="3"/>
      <c r="I37" s="3"/>
      <c r="J37" s="8"/>
      <c r="K37" s="8"/>
      <c r="L37" s="3"/>
      <c r="M37" s="3"/>
      <c r="N37" s="5" t="str">
        <f t="shared" ref="N37:N68" ca="1" si="3">IF(M37="Closed","Green",IF(AND(J37&lt;&gt;"",J37&lt;TODAY(),K37=""),"Red",IF(M37="In Progress","Amber","Grey")))</f>
        <v>Grey</v>
      </c>
    </row>
    <row r="38" spans="1:14" x14ac:dyDescent="0.35">
      <c r="A38" s="5" t="str">
        <f t="shared" si="2"/>
        <v/>
      </c>
      <c r="B38" s="3"/>
      <c r="C38" s="3"/>
      <c r="D38" s="3"/>
      <c r="E38" s="3"/>
      <c r="F38" s="3"/>
      <c r="G38" s="3"/>
      <c r="H38" s="3"/>
      <c r="I38" s="3"/>
      <c r="J38" s="8"/>
      <c r="K38" s="8"/>
      <c r="L38" s="3"/>
      <c r="M38" s="3"/>
      <c r="N38" s="5" t="str">
        <f t="shared" ca="1" si="3"/>
        <v>Grey</v>
      </c>
    </row>
    <row r="39" spans="1:14" x14ac:dyDescent="0.35">
      <c r="A39" s="5" t="str">
        <f t="shared" si="2"/>
        <v/>
      </c>
      <c r="B39" s="3"/>
      <c r="C39" s="3"/>
      <c r="D39" s="3"/>
      <c r="E39" s="3"/>
      <c r="F39" s="3"/>
      <c r="G39" s="3"/>
      <c r="H39" s="3"/>
      <c r="I39" s="3"/>
      <c r="J39" s="8"/>
      <c r="K39" s="8"/>
      <c r="L39" s="3"/>
      <c r="M39" s="3"/>
      <c r="N39" s="5" t="str">
        <f t="shared" ca="1" si="3"/>
        <v>Grey</v>
      </c>
    </row>
    <row r="40" spans="1:14" x14ac:dyDescent="0.35">
      <c r="A40" s="5" t="str">
        <f t="shared" si="2"/>
        <v/>
      </c>
      <c r="B40" s="3"/>
      <c r="C40" s="3"/>
      <c r="D40" s="3"/>
      <c r="E40" s="3"/>
      <c r="F40" s="3"/>
      <c r="G40" s="3"/>
      <c r="H40" s="3"/>
      <c r="I40" s="3"/>
      <c r="J40" s="8"/>
      <c r="K40" s="8"/>
      <c r="L40" s="3"/>
      <c r="M40" s="3"/>
      <c r="N40" s="5" t="str">
        <f t="shared" ca="1" si="3"/>
        <v>Grey</v>
      </c>
    </row>
    <row r="41" spans="1:14" x14ac:dyDescent="0.35">
      <c r="A41" s="5" t="str">
        <f t="shared" si="2"/>
        <v/>
      </c>
      <c r="B41" s="3"/>
      <c r="C41" s="3"/>
      <c r="D41" s="3"/>
      <c r="E41" s="3"/>
      <c r="F41" s="3"/>
      <c r="G41" s="3"/>
      <c r="H41" s="3"/>
      <c r="I41" s="3"/>
      <c r="J41" s="8"/>
      <c r="K41" s="8"/>
      <c r="L41" s="3"/>
      <c r="M41" s="3"/>
      <c r="N41" s="5" t="str">
        <f t="shared" ca="1" si="3"/>
        <v>Grey</v>
      </c>
    </row>
    <row r="42" spans="1:14" x14ac:dyDescent="0.35">
      <c r="A42" s="5" t="str">
        <f t="shared" si="2"/>
        <v/>
      </c>
      <c r="B42" s="3"/>
      <c r="C42" s="3"/>
      <c r="D42" s="3"/>
      <c r="E42" s="3"/>
      <c r="F42" s="3"/>
      <c r="G42" s="3"/>
      <c r="H42" s="3"/>
      <c r="I42" s="3"/>
      <c r="J42" s="8"/>
      <c r="K42" s="8"/>
      <c r="L42" s="3"/>
      <c r="M42" s="3"/>
      <c r="N42" s="5" t="str">
        <f t="shared" ca="1" si="3"/>
        <v>Grey</v>
      </c>
    </row>
    <row r="43" spans="1:14" x14ac:dyDescent="0.35">
      <c r="A43" s="5" t="str">
        <f t="shared" si="2"/>
        <v/>
      </c>
      <c r="B43" s="3"/>
      <c r="C43" s="3"/>
      <c r="D43" s="3"/>
      <c r="E43" s="3"/>
      <c r="F43" s="3"/>
      <c r="G43" s="3"/>
      <c r="H43" s="3"/>
      <c r="I43" s="3"/>
      <c r="J43" s="8"/>
      <c r="K43" s="8"/>
      <c r="L43" s="3"/>
      <c r="M43" s="3"/>
      <c r="N43" s="5" t="str">
        <f t="shared" ca="1" si="3"/>
        <v>Grey</v>
      </c>
    </row>
    <row r="44" spans="1:14" x14ac:dyDescent="0.35">
      <c r="A44" s="5" t="str">
        <f t="shared" si="2"/>
        <v/>
      </c>
      <c r="B44" s="3"/>
      <c r="C44" s="3"/>
      <c r="D44" s="3"/>
      <c r="E44" s="3"/>
      <c r="F44" s="3"/>
      <c r="G44" s="3"/>
      <c r="H44" s="3"/>
      <c r="I44" s="3"/>
      <c r="J44" s="8"/>
      <c r="K44" s="8"/>
      <c r="L44" s="3"/>
      <c r="M44" s="3"/>
      <c r="N44" s="5" t="str">
        <f t="shared" ca="1" si="3"/>
        <v>Grey</v>
      </c>
    </row>
    <row r="45" spans="1:14" x14ac:dyDescent="0.35">
      <c r="A45" s="5" t="str">
        <f t="shared" si="2"/>
        <v/>
      </c>
      <c r="B45" s="3"/>
      <c r="C45" s="3"/>
      <c r="D45" s="3"/>
      <c r="E45" s="3"/>
      <c r="F45" s="3"/>
      <c r="G45" s="3"/>
      <c r="H45" s="3"/>
      <c r="I45" s="3"/>
      <c r="J45" s="8"/>
      <c r="K45" s="8"/>
      <c r="L45" s="3"/>
      <c r="M45" s="3"/>
      <c r="N45" s="5" t="str">
        <f t="shared" ca="1" si="3"/>
        <v>Grey</v>
      </c>
    </row>
    <row r="46" spans="1:14" x14ac:dyDescent="0.35">
      <c r="A46" s="5" t="str">
        <f t="shared" si="2"/>
        <v/>
      </c>
      <c r="B46" s="3"/>
      <c r="C46" s="3"/>
      <c r="D46" s="3"/>
      <c r="E46" s="3"/>
      <c r="F46" s="3"/>
      <c r="G46" s="3"/>
      <c r="H46" s="3"/>
      <c r="I46" s="3"/>
      <c r="J46" s="8"/>
      <c r="K46" s="8"/>
      <c r="L46" s="3"/>
      <c r="M46" s="3"/>
      <c r="N46" s="5" t="str">
        <f t="shared" ca="1" si="3"/>
        <v>Grey</v>
      </c>
    </row>
    <row r="47" spans="1:14" x14ac:dyDescent="0.35">
      <c r="A47" s="5" t="str">
        <f t="shared" si="2"/>
        <v/>
      </c>
      <c r="B47" s="3"/>
      <c r="C47" s="3"/>
      <c r="D47" s="3"/>
      <c r="E47" s="3"/>
      <c r="F47" s="3"/>
      <c r="G47" s="3"/>
      <c r="H47" s="3"/>
      <c r="I47" s="3"/>
      <c r="J47" s="8"/>
      <c r="K47" s="8"/>
      <c r="L47" s="3"/>
      <c r="M47" s="3"/>
      <c r="N47" s="5" t="str">
        <f t="shared" ca="1" si="3"/>
        <v>Grey</v>
      </c>
    </row>
    <row r="48" spans="1:14" x14ac:dyDescent="0.35">
      <c r="A48" s="5" t="str">
        <f t="shared" si="2"/>
        <v/>
      </c>
      <c r="B48" s="3"/>
      <c r="C48" s="3"/>
      <c r="D48" s="3"/>
      <c r="E48" s="3"/>
      <c r="F48" s="3"/>
      <c r="G48" s="3"/>
      <c r="H48" s="3"/>
      <c r="I48" s="3"/>
      <c r="J48" s="8"/>
      <c r="K48" s="8"/>
      <c r="L48" s="3"/>
      <c r="M48" s="3"/>
      <c r="N48" s="5" t="str">
        <f t="shared" ca="1" si="3"/>
        <v>Grey</v>
      </c>
    </row>
    <row r="49" spans="1:14" x14ac:dyDescent="0.35">
      <c r="A49" s="5" t="str">
        <f t="shared" si="2"/>
        <v/>
      </c>
      <c r="B49" s="3"/>
      <c r="C49" s="3"/>
      <c r="D49" s="3"/>
      <c r="E49" s="3"/>
      <c r="F49" s="3"/>
      <c r="G49" s="3"/>
      <c r="H49" s="3"/>
      <c r="I49" s="3"/>
      <c r="J49" s="8"/>
      <c r="K49" s="8"/>
      <c r="L49" s="3"/>
      <c r="M49" s="3"/>
      <c r="N49" s="5" t="str">
        <f t="shared" ca="1" si="3"/>
        <v>Grey</v>
      </c>
    </row>
    <row r="50" spans="1:14" x14ac:dyDescent="0.35">
      <c r="A50" s="5" t="str">
        <f t="shared" si="2"/>
        <v/>
      </c>
      <c r="B50" s="3"/>
      <c r="C50" s="3"/>
      <c r="D50" s="3"/>
      <c r="E50" s="3"/>
      <c r="F50" s="3"/>
      <c r="G50" s="3"/>
      <c r="H50" s="3"/>
      <c r="I50" s="3"/>
      <c r="J50" s="8"/>
      <c r="K50" s="8"/>
      <c r="L50" s="3"/>
      <c r="M50" s="3"/>
      <c r="N50" s="5" t="str">
        <f t="shared" ca="1" si="3"/>
        <v>Grey</v>
      </c>
    </row>
    <row r="51" spans="1:14" x14ac:dyDescent="0.35">
      <c r="A51" s="5" t="str">
        <f t="shared" si="2"/>
        <v/>
      </c>
      <c r="B51" s="3"/>
      <c r="C51" s="3"/>
      <c r="D51" s="3"/>
      <c r="E51" s="3"/>
      <c r="F51" s="3"/>
      <c r="G51" s="3"/>
      <c r="H51" s="3"/>
      <c r="I51" s="3"/>
      <c r="J51" s="8"/>
      <c r="K51" s="8"/>
      <c r="L51" s="3"/>
      <c r="M51" s="3"/>
      <c r="N51" s="5" t="str">
        <f t="shared" ca="1" si="3"/>
        <v>Grey</v>
      </c>
    </row>
    <row r="52" spans="1:14" x14ac:dyDescent="0.35">
      <c r="A52" s="5" t="str">
        <f t="shared" si="2"/>
        <v/>
      </c>
      <c r="B52" s="3"/>
      <c r="C52" s="3"/>
      <c r="D52" s="3"/>
      <c r="E52" s="3"/>
      <c r="F52" s="3"/>
      <c r="G52" s="3"/>
      <c r="H52" s="3"/>
      <c r="I52" s="3"/>
      <c r="J52" s="8"/>
      <c r="K52" s="8"/>
      <c r="L52" s="3"/>
      <c r="M52" s="3"/>
      <c r="N52" s="5" t="str">
        <f t="shared" ca="1" si="3"/>
        <v>Grey</v>
      </c>
    </row>
    <row r="53" spans="1:14" x14ac:dyDescent="0.35">
      <c r="A53" s="5" t="str">
        <f t="shared" si="2"/>
        <v/>
      </c>
      <c r="B53" s="3"/>
      <c r="C53" s="3"/>
      <c r="D53" s="3"/>
      <c r="E53" s="3"/>
      <c r="F53" s="3"/>
      <c r="G53" s="3"/>
      <c r="H53" s="3"/>
      <c r="I53" s="3"/>
      <c r="J53" s="8"/>
      <c r="K53" s="8"/>
      <c r="L53" s="3"/>
      <c r="M53" s="3"/>
      <c r="N53" s="5" t="str">
        <f t="shared" ca="1" si="3"/>
        <v>Grey</v>
      </c>
    </row>
    <row r="54" spans="1:14" x14ac:dyDescent="0.35">
      <c r="A54" s="5" t="str">
        <f t="shared" si="2"/>
        <v/>
      </c>
      <c r="B54" s="3"/>
      <c r="C54" s="3"/>
      <c r="D54" s="3"/>
      <c r="E54" s="3"/>
      <c r="F54" s="3"/>
      <c r="G54" s="3"/>
      <c r="H54" s="3"/>
      <c r="I54" s="3"/>
      <c r="J54" s="8"/>
      <c r="K54" s="8"/>
      <c r="L54" s="3"/>
      <c r="M54" s="3"/>
      <c r="N54" s="5" t="str">
        <f t="shared" ca="1" si="3"/>
        <v>Grey</v>
      </c>
    </row>
    <row r="55" spans="1:14" x14ac:dyDescent="0.35">
      <c r="A55" s="5" t="str">
        <f t="shared" si="2"/>
        <v/>
      </c>
      <c r="B55" s="3"/>
      <c r="C55" s="3"/>
      <c r="D55" s="3"/>
      <c r="E55" s="3"/>
      <c r="F55" s="3"/>
      <c r="G55" s="3"/>
      <c r="H55" s="3"/>
      <c r="I55" s="3"/>
      <c r="J55" s="8"/>
      <c r="K55" s="8"/>
      <c r="L55" s="3"/>
      <c r="M55" s="3"/>
      <c r="N55" s="5" t="str">
        <f t="shared" ca="1" si="3"/>
        <v>Grey</v>
      </c>
    </row>
    <row r="56" spans="1:14" x14ac:dyDescent="0.35">
      <c r="A56" s="5" t="str">
        <f t="shared" si="2"/>
        <v/>
      </c>
      <c r="B56" s="3"/>
      <c r="C56" s="3"/>
      <c r="D56" s="3"/>
      <c r="E56" s="3"/>
      <c r="F56" s="3"/>
      <c r="G56" s="3"/>
      <c r="H56" s="3"/>
      <c r="I56" s="3"/>
      <c r="J56" s="8"/>
      <c r="K56" s="8"/>
      <c r="L56" s="3"/>
      <c r="M56" s="3"/>
      <c r="N56" s="5" t="str">
        <f t="shared" ca="1" si="3"/>
        <v>Grey</v>
      </c>
    </row>
    <row r="57" spans="1:14" x14ac:dyDescent="0.35">
      <c r="A57" s="5" t="str">
        <f t="shared" si="2"/>
        <v/>
      </c>
      <c r="B57" s="3"/>
      <c r="C57" s="3"/>
      <c r="D57" s="3"/>
      <c r="E57" s="3"/>
      <c r="F57" s="3"/>
      <c r="G57" s="3"/>
      <c r="H57" s="3"/>
      <c r="I57" s="3"/>
      <c r="J57" s="8"/>
      <c r="K57" s="8"/>
      <c r="L57" s="3"/>
      <c r="M57" s="3"/>
      <c r="N57" s="5" t="str">
        <f t="shared" ca="1" si="3"/>
        <v>Grey</v>
      </c>
    </row>
    <row r="58" spans="1:14" x14ac:dyDescent="0.35">
      <c r="A58" s="5" t="str">
        <f t="shared" si="2"/>
        <v/>
      </c>
      <c r="B58" s="3"/>
      <c r="C58" s="3"/>
      <c r="D58" s="3"/>
      <c r="E58" s="3"/>
      <c r="F58" s="3"/>
      <c r="G58" s="3"/>
      <c r="H58" s="3"/>
      <c r="I58" s="3"/>
      <c r="J58" s="8"/>
      <c r="K58" s="8"/>
      <c r="L58" s="3"/>
      <c r="M58" s="3"/>
      <c r="N58" s="5" t="str">
        <f t="shared" ca="1" si="3"/>
        <v>Grey</v>
      </c>
    </row>
    <row r="59" spans="1:14" x14ac:dyDescent="0.35">
      <c r="A59" s="5" t="str">
        <f t="shared" si="2"/>
        <v/>
      </c>
      <c r="B59" s="3"/>
      <c r="C59" s="3"/>
      <c r="D59" s="3"/>
      <c r="E59" s="3"/>
      <c r="F59" s="3"/>
      <c r="G59" s="3"/>
      <c r="H59" s="3"/>
      <c r="I59" s="3"/>
      <c r="J59" s="8"/>
      <c r="K59" s="8"/>
      <c r="L59" s="3"/>
      <c r="M59" s="3"/>
      <c r="N59" s="5" t="str">
        <f t="shared" ca="1" si="3"/>
        <v>Grey</v>
      </c>
    </row>
    <row r="60" spans="1:14" x14ac:dyDescent="0.35">
      <c r="A60" s="5" t="str">
        <f t="shared" si="2"/>
        <v/>
      </c>
      <c r="B60" s="3"/>
      <c r="C60" s="3"/>
      <c r="D60" s="3"/>
      <c r="E60" s="3"/>
      <c r="F60" s="3"/>
      <c r="G60" s="3"/>
      <c r="H60" s="3"/>
      <c r="I60" s="3"/>
      <c r="J60" s="8"/>
      <c r="K60" s="8"/>
      <c r="L60" s="3"/>
      <c r="M60" s="3"/>
      <c r="N60" s="5" t="str">
        <f t="shared" ca="1" si="3"/>
        <v>Grey</v>
      </c>
    </row>
    <row r="61" spans="1:14" x14ac:dyDescent="0.35">
      <c r="A61" s="5" t="str">
        <f t="shared" si="2"/>
        <v/>
      </c>
      <c r="B61" s="3"/>
      <c r="C61" s="3"/>
      <c r="D61" s="3"/>
      <c r="E61" s="3"/>
      <c r="F61" s="3"/>
      <c r="G61" s="3"/>
      <c r="H61" s="3"/>
      <c r="I61" s="3"/>
      <c r="J61" s="8"/>
      <c r="K61" s="8"/>
      <c r="L61" s="3"/>
      <c r="M61" s="3"/>
      <c r="N61" s="5" t="str">
        <f t="shared" ca="1" si="3"/>
        <v>Grey</v>
      </c>
    </row>
    <row r="62" spans="1:14" x14ac:dyDescent="0.35">
      <c r="A62" s="5" t="str">
        <f t="shared" si="2"/>
        <v/>
      </c>
      <c r="B62" s="3"/>
      <c r="C62" s="3"/>
      <c r="D62" s="3"/>
      <c r="E62" s="3"/>
      <c r="F62" s="3"/>
      <c r="G62" s="3"/>
      <c r="H62" s="3"/>
      <c r="I62" s="3"/>
      <c r="J62" s="8"/>
      <c r="K62" s="8"/>
      <c r="L62" s="3"/>
      <c r="M62" s="3"/>
      <c r="N62" s="5" t="str">
        <f t="shared" ca="1" si="3"/>
        <v>Grey</v>
      </c>
    </row>
    <row r="63" spans="1:14" x14ac:dyDescent="0.35">
      <c r="A63" s="5" t="str">
        <f t="shared" si="2"/>
        <v/>
      </c>
      <c r="B63" s="3"/>
      <c r="C63" s="3"/>
      <c r="D63" s="3"/>
      <c r="E63" s="3"/>
      <c r="F63" s="3"/>
      <c r="G63" s="3"/>
      <c r="H63" s="3"/>
      <c r="I63" s="3"/>
      <c r="J63" s="8"/>
      <c r="K63" s="8"/>
      <c r="L63" s="3"/>
      <c r="M63" s="3"/>
      <c r="N63" s="5" t="str">
        <f t="shared" ca="1" si="3"/>
        <v>Grey</v>
      </c>
    </row>
    <row r="64" spans="1:14" x14ac:dyDescent="0.35">
      <c r="A64" s="5" t="str">
        <f t="shared" si="2"/>
        <v/>
      </c>
      <c r="B64" s="3"/>
      <c r="C64" s="3"/>
      <c r="D64" s="3"/>
      <c r="E64" s="3"/>
      <c r="F64" s="3"/>
      <c r="G64" s="3"/>
      <c r="H64" s="3"/>
      <c r="I64" s="3"/>
      <c r="J64" s="8"/>
      <c r="K64" s="8"/>
      <c r="L64" s="3"/>
      <c r="M64" s="3"/>
      <c r="N64" s="5" t="str">
        <f t="shared" ca="1" si="3"/>
        <v>Grey</v>
      </c>
    </row>
    <row r="65" spans="1:14" x14ac:dyDescent="0.35">
      <c r="A65" s="5" t="str">
        <f t="shared" si="2"/>
        <v/>
      </c>
      <c r="B65" s="3"/>
      <c r="C65" s="3"/>
      <c r="D65" s="3"/>
      <c r="E65" s="3"/>
      <c r="F65" s="3"/>
      <c r="G65" s="3"/>
      <c r="H65" s="3"/>
      <c r="I65" s="3"/>
      <c r="J65" s="8"/>
      <c r="K65" s="8"/>
      <c r="L65" s="3"/>
      <c r="M65" s="3"/>
      <c r="N65" s="5" t="str">
        <f t="shared" ca="1" si="3"/>
        <v>Grey</v>
      </c>
    </row>
    <row r="66" spans="1:14" x14ac:dyDescent="0.35">
      <c r="A66" s="5" t="str">
        <f t="shared" si="2"/>
        <v/>
      </c>
      <c r="B66" s="3"/>
      <c r="C66" s="3"/>
      <c r="D66" s="3"/>
      <c r="E66" s="3"/>
      <c r="F66" s="3"/>
      <c r="G66" s="3"/>
      <c r="H66" s="3"/>
      <c r="I66" s="3"/>
      <c r="J66" s="8"/>
      <c r="K66" s="8"/>
      <c r="L66" s="3"/>
      <c r="M66" s="3"/>
      <c r="N66" s="5" t="str">
        <f t="shared" ca="1" si="3"/>
        <v>Grey</v>
      </c>
    </row>
    <row r="67" spans="1:14" x14ac:dyDescent="0.35">
      <c r="A67" s="5" t="str">
        <f t="shared" si="2"/>
        <v/>
      </c>
      <c r="B67" s="3"/>
      <c r="C67" s="3"/>
      <c r="D67" s="3"/>
      <c r="E67" s="3"/>
      <c r="F67" s="3"/>
      <c r="G67" s="3"/>
      <c r="H67" s="3"/>
      <c r="I67" s="3"/>
      <c r="J67" s="8"/>
      <c r="K67" s="8"/>
      <c r="L67" s="3"/>
      <c r="M67" s="3"/>
      <c r="N67" s="5" t="str">
        <f t="shared" ca="1" si="3"/>
        <v>Grey</v>
      </c>
    </row>
    <row r="68" spans="1:14" x14ac:dyDescent="0.35">
      <c r="A68" s="5" t="str">
        <f t="shared" si="2"/>
        <v/>
      </c>
      <c r="B68" s="3"/>
      <c r="C68" s="3"/>
      <c r="D68" s="3"/>
      <c r="E68" s="3"/>
      <c r="F68" s="3"/>
      <c r="G68" s="3"/>
      <c r="H68" s="3"/>
      <c r="I68" s="3"/>
      <c r="J68" s="8"/>
      <c r="K68" s="8"/>
      <c r="L68" s="3"/>
      <c r="M68" s="3"/>
      <c r="N68" s="5" t="str">
        <f t="shared" ca="1" si="3"/>
        <v>Grey</v>
      </c>
    </row>
    <row r="69" spans="1:14" x14ac:dyDescent="0.35">
      <c r="A69" s="5" t="str">
        <f t="shared" ref="A69:A100" si="4">IF(D69="","","ACT-"&amp;TEXT(ROW()-3,"0000"))</f>
        <v/>
      </c>
      <c r="B69" s="3"/>
      <c r="C69" s="3"/>
      <c r="D69" s="3"/>
      <c r="E69" s="3"/>
      <c r="F69" s="3"/>
      <c r="G69" s="3"/>
      <c r="H69" s="3"/>
      <c r="I69" s="3"/>
      <c r="J69" s="8"/>
      <c r="K69" s="8"/>
      <c r="L69" s="3"/>
      <c r="M69" s="3"/>
      <c r="N69" s="5" t="str">
        <f t="shared" ref="N69:N100" ca="1" si="5">IF(M69="Closed","Green",IF(AND(J69&lt;&gt;"",J69&lt;TODAY(),K69=""),"Red",IF(M69="In Progress","Amber","Grey")))</f>
        <v>Grey</v>
      </c>
    </row>
    <row r="70" spans="1:14" x14ac:dyDescent="0.35">
      <c r="A70" s="5" t="str">
        <f t="shared" si="4"/>
        <v/>
      </c>
      <c r="B70" s="3"/>
      <c r="C70" s="3"/>
      <c r="D70" s="3"/>
      <c r="E70" s="3"/>
      <c r="F70" s="3"/>
      <c r="G70" s="3"/>
      <c r="H70" s="3"/>
      <c r="I70" s="3"/>
      <c r="J70" s="8"/>
      <c r="K70" s="8"/>
      <c r="L70" s="3"/>
      <c r="M70" s="3"/>
      <c r="N70" s="5" t="str">
        <f t="shared" ca="1" si="5"/>
        <v>Grey</v>
      </c>
    </row>
    <row r="71" spans="1:14" x14ac:dyDescent="0.35">
      <c r="A71" s="5" t="str">
        <f t="shared" si="4"/>
        <v/>
      </c>
      <c r="B71" s="3"/>
      <c r="C71" s="3"/>
      <c r="D71" s="3"/>
      <c r="E71" s="3"/>
      <c r="F71" s="3"/>
      <c r="G71" s="3"/>
      <c r="H71" s="3"/>
      <c r="I71" s="3"/>
      <c r="J71" s="8"/>
      <c r="K71" s="8"/>
      <c r="L71" s="3"/>
      <c r="M71" s="3"/>
      <c r="N71" s="5" t="str">
        <f t="shared" ca="1" si="5"/>
        <v>Grey</v>
      </c>
    </row>
    <row r="72" spans="1:14" x14ac:dyDescent="0.35">
      <c r="A72" s="5" t="str">
        <f t="shared" si="4"/>
        <v/>
      </c>
      <c r="B72" s="3"/>
      <c r="C72" s="3"/>
      <c r="D72" s="3"/>
      <c r="E72" s="3"/>
      <c r="F72" s="3"/>
      <c r="G72" s="3"/>
      <c r="H72" s="3"/>
      <c r="I72" s="3"/>
      <c r="J72" s="8"/>
      <c r="K72" s="8"/>
      <c r="L72" s="3"/>
      <c r="M72" s="3"/>
      <c r="N72" s="5" t="str">
        <f t="shared" ca="1" si="5"/>
        <v>Grey</v>
      </c>
    </row>
    <row r="73" spans="1:14" x14ac:dyDescent="0.35">
      <c r="A73" s="5" t="str">
        <f t="shared" si="4"/>
        <v/>
      </c>
      <c r="B73" s="3"/>
      <c r="C73" s="3"/>
      <c r="D73" s="3"/>
      <c r="E73" s="3"/>
      <c r="F73" s="3"/>
      <c r="G73" s="3"/>
      <c r="H73" s="3"/>
      <c r="I73" s="3"/>
      <c r="J73" s="8"/>
      <c r="K73" s="8"/>
      <c r="L73" s="3"/>
      <c r="M73" s="3"/>
      <c r="N73" s="5" t="str">
        <f t="shared" ca="1" si="5"/>
        <v>Grey</v>
      </c>
    </row>
    <row r="74" spans="1:14" x14ac:dyDescent="0.35">
      <c r="A74" s="5" t="str">
        <f t="shared" si="4"/>
        <v/>
      </c>
      <c r="B74" s="3"/>
      <c r="C74" s="3"/>
      <c r="D74" s="3"/>
      <c r="E74" s="3"/>
      <c r="F74" s="3"/>
      <c r="G74" s="3"/>
      <c r="H74" s="3"/>
      <c r="I74" s="3"/>
      <c r="J74" s="8"/>
      <c r="K74" s="8"/>
      <c r="L74" s="3"/>
      <c r="M74" s="3"/>
      <c r="N74" s="5" t="str">
        <f t="shared" ca="1" si="5"/>
        <v>Grey</v>
      </c>
    </row>
    <row r="75" spans="1:14" x14ac:dyDescent="0.35">
      <c r="A75" s="5" t="str">
        <f t="shared" si="4"/>
        <v/>
      </c>
      <c r="B75" s="3"/>
      <c r="C75" s="3"/>
      <c r="D75" s="3"/>
      <c r="E75" s="3"/>
      <c r="F75" s="3"/>
      <c r="G75" s="3"/>
      <c r="H75" s="3"/>
      <c r="I75" s="3"/>
      <c r="J75" s="8"/>
      <c r="K75" s="8"/>
      <c r="L75" s="3"/>
      <c r="M75" s="3"/>
      <c r="N75" s="5" t="str">
        <f t="shared" ca="1" si="5"/>
        <v>Grey</v>
      </c>
    </row>
    <row r="76" spans="1:14" x14ac:dyDescent="0.35">
      <c r="A76" s="5" t="str">
        <f t="shared" si="4"/>
        <v/>
      </c>
      <c r="B76" s="3"/>
      <c r="C76" s="3"/>
      <c r="D76" s="3"/>
      <c r="E76" s="3"/>
      <c r="F76" s="3"/>
      <c r="G76" s="3"/>
      <c r="H76" s="3"/>
      <c r="I76" s="3"/>
      <c r="J76" s="8"/>
      <c r="K76" s="8"/>
      <c r="L76" s="3"/>
      <c r="M76" s="3"/>
      <c r="N76" s="5" t="str">
        <f t="shared" ca="1" si="5"/>
        <v>Grey</v>
      </c>
    </row>
    <row r="77" spans="1:14" x14ac:dyDescent="0.35">
      <c r="A77" s="5" t="str">
        <f t="shared" si="4"/>
        <v/>
      </c>
      <c r="B77" s="3"/>
      <c r="C77" s="3"/>
      <c r="D77" s="3"/>
      <c r="E77" s="3"/>
      <c r="F77" s="3"/>
      <c r="G77" s="3"/>
      <c r="H77" s="3"/>
      <c r="I77" s="3"/>
      <c r="J77" s="8"/>
      <c r="K77" s="8"/>
      <c r="L77" s="3"/>
      <c r="M77" s="3"/>
      <c r="N77" s="5" t="str">
        <f t="shared" ca="1" si="5"/>
        <v>Grey</v>
      </c>
    </row>
    <row r="78" spans="1:14" x14ac:dyDescent="0.35">
      <c r="A78" s="5" t="str">
        <f t="shared" si="4"/>
        <v/>
      </c>
      <c r="B78" s="3"/>
      <c r="C78" s="3"/>
      <c r="D78" s="3"/>
      <c r="E78" s="3"/>
      <c r="F78" s="3"/>
      <c r="G78" s="3"/>
      <c r="H78" s="3"/>
      <c r="I78" s="3"/>
      <c r="J78" s="8"/>
      <c r="K78" s="8"/>
      <c r="L78" s="3"/>
      <c r="M78" s="3"/>
      <c r="N78" s="5" t="str">
        <f t="shared" ca="1" si="5"/>
        <v>Grey</v>
      </c>
    </row>
    <row r="79" spans="1:14" x14ac:dyDescent="0.35">
      <c r="A79" s="5" t="str">
        <f t="shared" si="4"/>
        <v/>
      </c>
      <c r="B79" s="3"/>
      <c r="C79" s="3"/>
      <c r="D79" s="3"/>
      <c r="E79" s="3"/>
      <c r="F79" s="3"/>
      <c r="G79" s="3"/>
      <c r="H79" s="3"/>
      <c r="I79" s="3"/>
      <c r="J79" s="8"/>
      <c r="K79" s="8"/>
      <c r="L79" s="3"/>
      <c r="M79" s="3"/>
      <c r="N79" s="5" t="str">
        <f t="shared" ca="1" si="5"/>
        <v>Grey</v>
      </c>
    </row>
    <row r="80" spans="1:14" x14ac:dyDescent="0.35">
      <c r="A80" s="5" t="str">
        <f t="shared" si="4"/>
        <v/>
      </c>
      <c r="B80" s="3"/>
      <c r="C80" s="3"/>
      <c r="D80" s="3"/>
      <c r="E80" s="3"/>
      <c r="F80" s="3"/>
      <c r="G80" s="3"/>
      <c r="H80" s="3"/>
      <c r="I80" s="3"/>
      <c r="J80" s="8"/>
      <c r="K80" s="8"/>
      <c r="L80" s="3"/>
      <c r="M80" s="3"/>
      <c r="N80" s="5" t="str">
        <f t="shared" ca="1" si="5"/>
        <v>Grey</v>
      </c>
    </row>
    <row r="81" spans="1:14" x14ac:dyDescent="0.35">
      <c r="A81" s="5" t="str">
        <f t="shared" si="4"/>
        <v/>
      </c>
      <c r="B81" s="3"/>
      <c r="C81" s="3"/>
      <c r="D81" s="3"/>
      <c r="E81" s="3"/>
      <c r="F81" s="3"/>
      <c r="G81" s="3"/>
      <c r="H81" s="3"/>
      <c r="I81" s="3"/>
      <c r="J81" s="8"/>
      <c r="K81" s="8"/>
      <c r="L81" s="3"/>
      <c r="M81" s="3"/>
      <c r="N81" s="5" t="str">
        <f t="shared" ca="1" si="5"/>
        <v>Grey</v>
      </c>
    </row>
    <row r="82" spans="1:14" x14ac:dyDescent="0.35">
      <c r="A82" s="5" t="str">
        <f t="shared" si="4"/>
        <v/>
      </c>
      <c r="B82" s="3"/>
      <c r="C82" s="3"/>
      <c r="D82" s="3"/>
      <c r="E82" s="3"/>
      <c r="F82" s="3"/>
      <c r="G82" s="3"/>
      <c r="H82" s="3"/>
      <c r="I82" s="3"/>
      <c r="J82" s="8"/>
      <c r="K82" s="8"/>
      <c r="L82" s="3"/>
      <c r="M82" s="3"/>
      <c r="N82" s="5" t="str">
        <f t="shared" ca="1" si="5"/>
        <v>Grey</v>
      </c>
    </row>
    <row r="83" spans="1:14" x14ac:dyDescent="0.35">
      <c r="A83" s="5" t="str">
        <f t="shared" si="4"/>
        <v/>
      </c>
      <c r="B83" s="3"/>
      <c r="C83" s="3"/>
      <c r="D83" s="3"/>
      <c r="E83" s="3"/>
      <c r="F83" s="3"/>
      <c r="G83" s="3"/>
      <c r="H83" s="3"/>
      <c r="I83" s="3"/>
      <c r="J83" s="8"/>
      <c r="K83" s="8"/>
      <c r="L83" s="3"/>
      <c r="M83" s="3"/>
      <c r="N83" s="5" t="str">
        <f t="shared" ca="1" si="5"/>
        <v>Grey</v>
      </c>
    </row>
    <row r="84" spans="1:14" x14ac:dyDescent="0.35">
      <c r="A84" s="5" t="str">
        <f t="shared" si="4"/>
        <v/>
      </c>
      <c r="B84" s="3"/>
      <c r="C84" s="3"/>
      <c r="D84" s="3"/>
      <c r="E84" s="3"/>
      <c r="F84" s="3"/>
      <c r="G84" s="3"/>
      <c r="H84" s="3"/>
      <c r="I84" s="3"/>
      <c r="J84" s="8"/>
      <c r="K84" s="8"/>
      <c r="L84" s="3"/>
      <c r="M84" s="3"/>
      <c r="N84" s="5" t="str">
        <f t="shared" ca="1" si="5"/>
        <v>Grey</v>
      </c>
    </row>
    <row r="85" spans="1:14" x14ac:dyDescent="0.35">
      <c r="A85" s="5" t="str">
        <f t="shared" si="4"/>
        <v/>
      </c>
      <c r="B85" s="3"/>
      <c r="C85" s="3"/>
      <c r="D85" s="3"/>
      <c r="E85" s="3"/>
      <c r="F85" s="3"/>
      <c r="G85" s="3"/>
      <c r="H85" s="3"/>
      <c r="I85" s="3"/>
      <c r="J85" s="8"/>
      <c r="K85" s="8"/>
      <c r="L85" s="3"/>
      <c r="M85" s="3"/>
      <c r="N85" s="5" t="str">
        <f t="shared" ca="1" si="5"/>
        <v>Grey</v>
      </c>
    </row>
    <row r="86" spans="1:14" x14ac:dyDescent="0.35">
      <c r="A86" s="5" t="str">
        <f t="shared" si="4"/>
        <v/>
      </c>
      <c r="B86" s="3"/>
      <c r="C86" s="3"/>
      <c r="D86" s="3"/>
      <c r="E86" s="3"/>
      <c r="F86" s="3"/>
      <c r="G86" s="3"/>
      <c r="H86" s="3"/>
      <c r="I86" s="3"/>
      <c r="J86" s="8"/>
      <c r="K86" s="8"/>
      <c r="L86" s="3"/>
      <c r="M86" s="3"/>
      <c r="N86" s="5" t="str">
        <f t="shared" ca="1" si="5"/>
        <v>Grey</v>
      </c>
    </row>
    <row r="87" spans="1:14" x14ac:dyDescent="0.35">
      <c r="A87" s="5" t="str">
        <f t="shared" si="4"/>
        <v/>
      </c>
      <c r="B87" s="3"/>
      <c r="C87" s="3"/>
      <c r="D87" s="3"/>
      <c r="E87" s="3"/>
      <c r="F87" s="3"/>
      <c r="G87" s="3"/>
      <c r="H87" s="3"/>
      <c r="I87" s="3"/>
      <c r="J87" s="8"/>
      <c r="K87" s="8"/>
      <c r="L87" s="3"/>
      <c r="M87" s="3"/>
      <c r="N87" s="5" t="str">
        <f t="shared" ca="1" si="5"/>
        <v>Grey</v>
      </c>
    </row>
    <row r="88" spans="1:14" x14ac:dyDescent="0.35">
      <c r="A88" s="5" t="str">
        <f t="shared" si="4"/>
        <v/>
      </c>
      <c r="B88" s="3"/>
      <c r="C88" s="3"/>
      <c r="D88" s="3"/>
      <c r="E88" s="3"/>
      <c r="F88" s="3"/>
      <c r="G88" s="3"/>
      <c r="H88" s="3"/>
      <c r="I88" s="3"/>
      <c r="J88" s="8"/>
      <c r="K88" s="8"/>
      <c r="L88" s="3"/>
      <c r="M88" s="3"/>
      <c r="N88" s="5" t="str">
        <f t="shared" ca="1" si="5"/>
        <v>Grey</v>
      </c>
    </row>
    <row r="89" spans="1:14" x14ac:dyDescent="0.35">
      <c r="A89" s="5" t="str">
        <f t="shared" si="4"/>
        <v/>
      </c>
      <c r="B89" s="3"/>
      <c r="C89" s="3"/>
      <c r="D89" s="3"/>
      <c r="E89" s="3"/>
      <c r="F89" s="3"/>
      <c r="G89" s="3"/>
      <c r="H89" s="3"/>
      <c r="I89" s="3"/>
      <c r="J89" s="8"/>
      <c r="K89" s="8"/>
      <c r="L89" s="3"/>
      <c r="M89" s="3"/>
      <c r="N89" s="5" t="str">
        <f t="shared" ca="1" si="5"/>
        <v>Grey</v>
      </c>
    </row>
    <row r="90" spans="1:14" x14ac:dyDescent="0.35">
      <c r="A90" s="5" t="str">
        <f t="shared" si="4"/>
        <v/>
      </c>
      <c r="B90" s="3"/>
      <c r="C90" s="3"/>
      <c r="D90" s="3"/>
      <c r="E90" s="3"/>
      <c r="F90" s="3"/>
      <c r="G90" s="3"/>
      <c r="H90" s="3"/>
      <c r="I90" s="3"/>
      <c r="J90" s="8"/>
      <c r="K90" s="8"/>
      <c r="L90" s="3"/>
      <c r="M90" s="3"/>
      <c r="N90" s="5" t="str">
        <f t="shared" ca="1" si="5"/>
        <v>Grey</v>
      </c>
    </row>
    <row r="91" spans="1:14" x14ac:dyDescent="0.35">
      <c r="A91" s="5" t="str">
        <f t="shared" si="4"/>
        <v/>
      </c>
      <c r="B91" s="3"/>
      <c r="C91" s="3"/>
      <c r="D91" s="3"/>
      <c r="E91" s="3"/>
      <c r="F91" s="3"/>
      <c r="G91" s="3"/>
      <c r="H91" s="3"/>
      <c r="I91" s="3"/>
      <c r="J91" s="8"/>
      <c r="K91" s="8"/>
      <c r="L91" s="3"/>
      <c r="M91" s="3"/>
      <c r="N91" s="5" t="str">
        <f t="shared" ca="1" si="5"/>
        <v>Grey</v>
      </c>
    </row>
    <row r="92" spans="1:14" x14ac:dyDescent="0.35">
      <c r="A92" s="5" t="str">
        <f t="shared" si="4"/>
        <v/>
      </c>
      <c r="B92" s="3"/>
      <c r="C92" s="3"/>
      <c r="D92" s="3"/>
      <c r="E92" s="3"/>
      <c r="F92" s="3"/>
      <c r="G92" s="3"/>
      <c r="H92" s="3"/>
      <c r="I92" s="3"/>
      <c r="J92" s="8"/>
      <c r="K92" s="8"/>
      <c r="L92" s="3"/>
      <c r="M92" s="3"/>
      <c r="N92" s="5" t="str">
        <f t="shared" ca="1" si="5"/>
        <v>Grey</v>
      </c>
    </row>
    <row r="93" spans="1:14" x14ac:dyDescent="0.35">
      <c r="A93" s="5" t="str">
        <f t="shared" si="4"/>
        <v/>
      </c>
      <c r="B93" s="3"/>
      <c r="C93" s="3"/>
      <c r="D93" s="3"/>
      <c r="E93" s="3"/>
      <c r="F93" s="3"/>
      <c r="G93" s="3"/>
      <c r="H93" s="3"/>
      <c r="I93" s="3"/>
      <c r="J93" s="8"/>
      <c r="K93" s="8"/>
      <c r="L93" s="3"/>
      <c r="M93" s="3"/>
      <c r="N93" s="5" t="str">
        <f t="shared" ca="1" si="5"/>
        <v>Grey</v>
      </c>
    </row>
    <row r="94" spans="1:14" x14ac:dyDescent="0.35">
      <c r="A94" s="5" t="str">
        <f t="shared" si="4"/>
        <v/>
      </c>
      <c r="B94" s="3"/>
      <c r="C94" s="3"/>
      <c r="D94" s="3"/>
      <c r="E94" s="3"/>
      <c r="F94" s="3"/>
      <c r="G94" s="3"/>
      <c r="H94" s="3"/>
      <c r="I94" s="3"/>
      <c r="J94" s="8"/>
      <c r="K94" s="8"/>
      <c r="L94" s="3"/>
      <c r="M94" s="3"/>
      <c r="N94" s="5" t="str">
        <f t="shared" ca="1" si="5"/>
        <v>Grey</v>
      </c>
    </row>
    <row r="95" spans="1:14" x14ac:dyDescent="0.35">
      <c r="A95" s="5" t="str">
        <f t="shared" si="4"/>
        <v/>
      </c>
      <c r="B95" s="3"/>
      <c r="C95" s="3"/>
      <c r="D95" s="3"/>
      <c r="E95" s="3"/>
      <c r="F95" s="3"/>
      <c r="G95" s="3"/>
      <c r="H95" s="3"/>
      <c r="I95" s="3"/>
      <c r="J95" s="8"/>
      <c r="K95" s="8"/>
      <c r="L95" s="3"/>
      <c r="M95" s="3"/>
      <c r="N95" s="5" t="str">
        <f t="shared" ca="1" si="5"/>
        <v>Grey</v>
      </c>
    </row>
    <row r="96" spans="1:14" x14ac:dyDescent="0.35">
      <c r="A96" s="5" t="str">
        <f t="shared" si="4"/>
        <v/>
      </c>
      <c r="B96" s="3"/>
      <c r="C96" s="3"/>
      <c r="D96" s="3"/>
      <c r="E96" s="3"/>
      <c r="F96" s="3"/>
      <c r="G96" s="3"/>
      <c r="H96" s="3"/>
      <c r="I96" s="3"/>
      <c r="J96" s="8"/>
      <c r="K96" s="8"/>
      <c r="L96" s="3"/>
      <c r="M96" s="3"/>
      <c r="N96" s="5" t="str">
        <f t="shared" ca="1" si="5"/>
        <v>Grey</v>
      </c>
    </row>
    <row r="97" spans="1:14" x14ac:dyDescent="0.35">
      <c r="A97" s="5" t="str">
        <f t="shared" si="4"/>
        <v/>
      </c>
      <c r="B97" s="3"/>
      <c r="C97" s="3"/>
      <c r="D97" s="3"/>
      <c r="E97" s="3"/>
      <c r="F97" s="3"/>
      <c r="G97" s="3"/>
      <c r="H97" s="3"/>
      <c r="I97" s="3"/>
      <c r="J97" s="8"/>
      <c r="K97" s="8"/>
      <c r="L97" s="3"/>
      <c r="M97" s="3"/>
      <c r="N97" s="5" t="str">
        <f t="shared" ca="1" si="5"/>
        <v>Grey</v>
      </c>
    </row>
    <row r="98" spans="1:14" x14ac:dyDescent="0.35">
      <c r="A98" s="5" t="str">
        <f t="shared" si="4"/>
        <v/>
      </c>
      <c r="B98" s="3"/>
      <c r="C98" s="3"/>
      <c r="D98" s="3"/>
      <c r="E98" s="3"/>
      <c r="F98" s="3"/>
      <c r="G98" s="3"/>
      <c r="H98" s="3"/>
      <c r="I98" s="3"/>
      <c r="J98" s="8"/>
      <c r="K98" s="8"/>
      <c r="L98" s="3"/>
      <c r="M98" s="3"/>
      <c r="N98" s="5" t="str">
        <f t="shared" ca="1" si="5"/>
        <v>Grey</v>
      </c>
    </row>
    <row r="99" spans="1:14" x14ac:dyDescent="0.35">
      <c r="A99" s="5" t="str">
        <f t="shared" si="4"/>
        <v/>
      </c>
      <c r="B99" s="3"/>
      <c r="C99" s="3"/>
      <c r="D99" s="3"/>
      <c r="E99" s="3"/>
      <c r="F99" s="3"/>
      <c r="G99" s="3"/>
      <c r="H99" s="3"/>
      <c r="I99" s="3"/>
      <c r="J99" s="8"/>
      <c r="K99" s="8"/>
      <c r="L99" s="3"/>
      <c r="M99" s="3"/>
      <c r="N99" s="5" t="str">
        <f t="shared" ca="1" si="5"/>
        <v>Grey</v>
      </c>
    </row>
    <row r="100" spans="1:14" x14ac:dyDescent="0.35">
      <c r="A100" s="5" t="str">
        <f t="shared" si="4"/>
        <v/>
      </c>
      <c r="B100" s="3"/>
      <c r="C100" s="3"/>
      <c r="D100" s="3"/>
      <c r="E100" s="3"/>
      <c r="F100" s="3"/>
      <c r="G100" s="3"/>
      <c r="H100" s="3"/>
      <c r="I100" s="3"/>
      <c r="J100" s="8"/>
      <c r="K100" s="8"/>
      <c r="L100" s="3"/>
      <c r="M100" s="3"/>
      <c r="N100" s="5" t="str">
        <f t="shared" ca="1" si="5"/>
        <v>Grey</v>
      </c>
    </row>
    <row r="101" spans="1:14" x14ac:dyDescent="0.35">
      <c r="A101" s="5" t="str">
        <f t="shared" ref="A101:A132" si="6">IF(D101="","","ACT-"&amp;TEXT(ROW()-3,"0000"))</f>
        <v/>
      </c>
      <c r="B101" s="3"/>
      <c r="C101" s="3"/>
      <c r="D101" s="3"/>
      <c r="E101" s="3"/>
      <c r="F101" s="3"/>
      <c r="G101" s="3"/>
      <c r="H101" s="3"/>
      <c r="I101" s="3"/>
      <c r="J101" s="8"/>
      <c r="K101" s="8"/>
      <c r="L101" s="3"/>
      <c r="M101" s="3"/>
      <c r="N101" s="5" t="str">
        <f t="shared" ref="N101:N132" ca="1" si="7">IF(M101="Closed","Green",IF(AND(J101&lt;&gt;"",J101&lt;TODAY(),K101=""),"Red",IF(M101="In Progress","Amber","Grey")))</f>
        <v>Grey</v>
      </c>
    </row>
    <row r="102" spans="1:14" x14ac:dyDescent="0.35">
      <c r="A102" s="5" t="str">
        <f t="shared" si="6"/>
        <v/>
      </c>
      <c r="B102" s="3"/>
      <c r="C102" s="3"/>
      <c r="D102" s="3"/>
      <c r="E102" s="3"/>
      <c r="F102" s="3"/>
      <c r="G102" s="3"/>
      <c r="H102" s="3"/>
      <c r="I102" s="3"/>
      <c r="J102" s="8"/>
      <c r="K102" s="8"/>
      <c r="L102" s="3"/>
      <c r="M102" s="3"/>
      <c r="N102" s="5" t="str">
        <f t="shared" ca="1" si="7"/>
        <v>Grey</v>
      </c>
    </row>
    <row r="103" spans="1:14" x14ac:dyDescent="0.35">
      <c r="A103" s="5" t="str">
        <f t="shared" si="6"/>
        <v/>
      </c>
      <c r="B103" s="3"/>
      <c r="C103" s="3"/>
      <c r="D103" s="3"/>
      <c r="E103" s="3"/>
      <c r="F103" s="3"/>
      <c r="G103" s="3"/>
      <c r="H103" s="3"/>
      <c r="I103" s="3"/>
      <c r="J103" s="8"/>
      <c r="K103" s="8"/>
      <c r="L103" s="3"/>
      <c r="M103" s="3"/>
      <c r="N103" s="5" t="str">
        <f t="shared" ca="1" si="7"/>
        <v>Grey</v>
      </c>
    </row>
    <row r="104" spans="1:14" x14ac:dyDescent="0.35">
      <c r="A104" s="5" t="str">
        <f t="shared" si="6"/>
        <v/>
      </c>
      <c r="B104" s="3"/>
      <c r="C104" s="3"/>
      <c r="D104" s="3"/>
      <c r="E104" s="3"/>
      <c r="F104" s="3"/>
      <c r="G104" s="3"/>
      <c r="H104" s="3"/>
      <c r="I104" s="3"/>
      <c r="J104" s="8"/>
      <c r="K104" s="8"/>
      <c r="L104" s="3"/>
      <c r="M104" s="3"/>
      <c r="N104" s="5" t="str">
        <f t="shared" ca="1" si="7"/>
        <v>Grey</v>
      </c>
    </row>
    <row r="105" spans="1:14" x14ac:dyDescent="0.35">
      <c r="A105" s="5" t="str">
        <f t="shared" si="6"/>
        <v/>
      </c>
      <c r="B105" s="3"/>
      <c r="C105" s="3"/>
      <c r="D105" s="3"/>
      <c r="E105" s="3"/>
      <c r="F105" s="3"/>
      <c r="G105" s="3"/>
      <c r="H105" s="3"/>
      <c r="I105" s="3"/>
      <c r="J105" s="8"/>
      <c r="K105" s="8"/>
      <c r="L105" s="3"/>
      <c r="M105" s="3"/>
      <c r="N105" s="5" t="str">
        <f t="shared" ca="1" si="7"/>
        <v>Grey</v>
      </c>
    </row>
    <row r="106" spans="1:14" x14ac:dyDescent="0.35">
      <c r="A106" s="5" t="str">
        <f t="shared" si="6"/>
        <v/>
      </c>
      <c r="B106" s="3"/>
      <c r="C106" s="3"/>
      <c r="D106" s="3"/>
      <c r="E106" s="3"/>
      <c r="F106" s="3"/>
      <c r="G106" s="3"/>
      <c r="H106" s="3"/>
      <c r="I106" s="3"/>
      <c r="J106" s="8"/>
      <c r="K106" s="8"/>
      <c r="L106" s="3"/>
      <c r="M106" s="3"/>
      <c r="N106" s="5" t="str">
        <f t="shared" ca="1" si="7"/>
        <v>Grey</v>
      </c>
    </row>
    <row r="107" spans="1:14" x14ac:dyDescent="0.35">
      <c r="A107" s="5" t="str">
        <f t="shared" si="6"/>
        <v/>
      </c>
      <c r="B107" s="3"/>
      <c r="C107" s="3"/>
      <c r="D107" s="3"/>
      <c r="E107" s="3"/>
      <c r="F107" s="3"/>
      <c r="G107" s="3"/>
      <c r="H107" s="3"/>
      <c r="I107" s="3"/>
      <c r="J107" s="8"/>
      <c r="K107" s="8"/>
      <c r="L107" s="3"/>
      <c r="M107" s="3"/>
      <c r="N107" s="5" t="str">
        <f t="shared" ca="1" si="7"/>
        <v>Grey</v>
      </c>
    </row>
    <row r="108" spans="1:14" x14ac:dyDescent="0.35">
      <c r="A108" s="5" t="str">
        <f t="shared" si="6"/>
        <v/>
      </c>
      <c r="B108" s="3"/>
      <c r="C108" s="3"/>
      <c r="D108" s="3"/>
      <c r="E108" s="3"/>
      <c r="F108" s="3"/>
      <c r="G108" s="3"/>
      <c r="H108" s="3"/>
      <c r="I108" s="3"/>
      <c r="J108" s="8"/>
      <c r="K108" s="8"/>
      <c r="L108" s="3"/>
      <c r="M108" s="3"/>
      <c r="N108" s="5" t="str">
        <f t="shared" ca="1" si="7"/>
        <v>Grey</v>
      </c>
    </row>
    <row r="109" spans="1:14" x14ac:dyDescent="0.35">
      <c r="A109" s="5" t="str">
        <f t="shared" si="6"/>
        <v/>
      </c>
      <c r="B109" s="3"/>
      <c r="C109" s="3"/>
      <c r="D109" s="3"/>
      <c r="E109" s="3"/>
      <c r="F109" s="3"/>
      <c r="G109" s="3"/>
      <c r="H109" s="3"/>
      <c r="I109" s="3"/>
      <c r="J109" s="8"/>
      <c r="K109" s="8"/>
      <c r="L109" s="3"/>
      <c r="M109" s="3"/>
      <c r="N109" s="5" t="str">
        <f t="shared" ca="1" si="7"/>
        <v>Grey</v>
      </c>
    </row>
    <row r="110" spans="1:14" x14ac:dyDescent="0.35">
      <c r="A110" s="5" t="str">
        <f t="shared" si="6"/>
        <v/>
      </c>
      <c r="B110" s="3"/>
      <c r="C110" s="3"/>
      <c r="D110" s="3"/>
      <c r="E110" s="3"/>
      <c r="F110" s="3"/>
      <c r="G110" s="3"/>
      <c r="H110" s="3"/>
      <c r="I110" s="3"/>
      <c r="J110" s="8"/>
      <c r="K110" s="8"/>
      <c r="L110" s="3"/>
      <c r="M110" s="3"/>
      <c r="N110" s="5" t="str">
        <f t="shared" ca="1" si="7"/>
        <v>Grey</v>
      </c>
    </row>
    <row r="111" spans="1:14" x14ac:dyDescent="0.35">
      <c r="A111" s="5" t="str">
        <f t="shared" si="6"/>
        <v/>
      </c>
      <c r="B111" s="3"/>
      <c r="C111" s="3"/>
      <c r="D111" s="3"/>
      <c r="E111" s="3"/>
      <c r="F111" s="3"/>
      <c r="G111" s="3"/>
      <c r="H111" s="3"/>
      <c r="I111" s="3"/>
      <c r="J111" s="8"/>
      <c r="K111" s="8"/>
      <c r="L111" s="3"/>
      <c r="M111" s="3"/>
      <c r="N111" s="5" t="str">
        <f t="shared" ca="1" si="7"/>
        <v>Grey</v>
      </c>
    </row>
    <row r="112" spans="1:14" x14ac:dyDescent="0.35">
      <c r="A112" s="5" t="str">
        <f t="shared" si="6"/>
        <v/>
      </c>
      <c r="B112" s="3"/>
      <c r="C112" s="3"/>
      <c r="D112" s="3"/>
      <c r="E112" s="3"/>
      <c r="F112" s="3"/>
      <c r="G112" s="3"/>
      <c r="H112" s="3"/>
      <c r="I112" s="3"/>
      <c r="J112" s="8"/>
      <c r="K112" s="8"/>
      <c r="L112" s="3"/>
      <c r="M112" s="3"/>
      <c r="N112" s="5" t="str">
        <f t="shared" ca="1" si="7"/>
        <v>Grey</v>
      </c>
    </row>
    <row r="113" spans="1:14" x14ac:dyDescent="0.35">
      <c r="A113" s="5" t="str">
        <f t="shared" si="6"/>
        <v/>
      </c>
      <c r="B113" s="3"/>
      <c r="C113" s="3"/>
      <c r="D113" s="3"/>
      <c r="E113" s="3"/>
      <c r="F113" s="3"/>
      <c r="G113" s="3"/>
      <c r="H113" s="3"/>
      <c r="I113" s="3"/>
      <c r="J113" s="8"/>
      <c r="K113" s="8"/>
      <c r="L113" s="3"/>
      <c r="M113" s="3"/>
      <c r="N113" s="5" t="str">
        <f t="shared" ca="1" si="7"/>
        <v>Grey</v>
      </c>
    </row>
    <row r="114" spans="1:14" x14ac:dyDescent="0.35">
      <c r="A114" s="5" t="str">
        <f t="shared" si="6"/>
        <v/>
      </c>
      <c r="B114" s="3"/>
      <c r="C114" s="3"/>
      <c r="D114" s="3"/>
      <c r="E114" s="3"/>
      <c r="F114" s="3"/>
      <c r="G114" s="3"/>
      <c r="H114" s="3"/>
      <c r="I114" s="3"/>
      <c r="J114" s="8"/>
      <c r="K114" s="8"/>
      <c r="L114" s="3"/>
      <c r="M114" s="3"/>
      <c r="N114" s="5" t="str">
        <f t="shared" ca="1" si="7"/>
        <v>Grey</v>
      </c>
    </row>
    <row r="115" spans="1:14" x14ac:dyDescent="0.35">
      <c r="A115" s="5" t="str">
        <f t="shared" si="6"/>
        <v/>
      </c>
      <c r="B115" s="3"/>
      <c r="C115" s="3"/>
      <c r="D115" s="3"/>
      <c r="E115" s="3"/>
      <c r="F115" s="3"/>
      <c r="G115" s="3"/>
      <c r="H115" s="3"/>
      <c r="I115" s="3"/>
      <c r="J115" s="8"/>
      <c r="K115" s="8"/>
      <c r="L115" s="3"/>
      <c r="M115" s="3"/>
      <c r="N115" s="5" t="str">
        <f t="shared" ca="1" si="7"/>
        <v>Grey</v>
      </c>
    </row>
    <row r="116" spans="1:14" x14ac:dyDescent="0.35">
      <c r="A116" s="5" t="str">
        <f t="shared" si="6"/>
        <v/>
      </c>
      <c r="B116" s="3"/>
      <c r="C116" s="3"/>
      <c r="D116" s="3"/>
      <c r="E116" s="3"/>
      <c r="F116" s="3"/>
      <c r="G116" s="3"/>
      <c r="H116" s="3"/>
      <c r="I116" s="3"/>
      <c r="J116" s="8"/>
      <c r="K116" s="8"/>
      <c r="L116" s="3"/>
      <c r="M116" s="3"/>
      <c r="N116" s="5" t="str">
        <f t="shared" ca="1" si="7"/>
        <v>Grey</v>
      </c>
    </row>
    <row r="117" spans="1:14" x14ac:dyDescent="0.35">
      <c r="A117" s="5" t="str">
        <f t="shared" si="6"/>
        <v/>
      </c>
      <c r="B117" s="3"/>
      <c r="C117" s="3"/>
      <c r="D117" s="3"/>
      <c r="E117" s="3"/>
      <c r="F117" s="3"/>
      <c r="G117" s="3"/>
      <c r="H117" s="3"/>
      <c r="I117" s="3"/>
      <c r="J117" s="8"/>
      <c r="K117" s="8"/>
      <c r="L117" s="3"/>
      <c r="M117" s="3"/>
      <c r="N117" s="5" t="str">
        <f t="shared" ca="1" si="7"/>
        <v>Grey</v>
      </c>
    </row>
    <row r="118" spans="1:14" x14ac:dyDescent="0.35">
      <c r="A118" s="5" t="str">
        <f t="shared" si="6"/>
        <v/>
      </c>
      <c r="B118" s="3"/>
      <c r="C118" s="3"/>
      <c r="D118" s="3"/>
      <c r="E118" s="3"/>
      <c r="F118" s="3"/>
      <c r="G118" s="3"/>
      <c r="H118" s="3"/>
      <c r="I118" s="3"/>
      <c r="J118" s="8"/>
      <c r="K118" s="8"/>
      <c r="L118" s="3"/>
      <c r="M118" s="3"/>
      <c r="N118" s="5" t="str">
        <f t="shared" ca="1" si="7"/>
        <v>Grey</v>
      </c>
    </row>
    <row r="119" spans="1:14" x14ac:dyDescent="0.35">
      <c r="A119" s="5" t="str">
        <f t="shared" si="6"/>
        <v/>
      </c>
      <c r="B119" s="3"/>
      <c r="C119" s="3"/>
      <c r="D119" s="3"/>
      <c r="E119" s="3"/>
      <c r="F119" s="3"/>
      <c r="G119" s="3"/>
      <c r="H119" s="3"/>
      <c r="I119" s="3"/>
      <c r="J119" s="8"/>
      <c r="K119" s="8"/>
      <c r="L119" s="3"/>
      <c r="M119" s="3"/>
      <c r="N119" s="5" t="str">
        <f t="shared" ca="1" si="7"/>
        <v>Grey</v>
      </c>
    </row>
    <row r="120" spans="1:14" x14ac:dyDescent="0.35">
      <c r="A120" s="5" t="str">
        <f t="shared" si="6"/>
        <v/>
      </c>
      <c r="B120" s="3"/>
      <c r="C120" s="3"/>
      <c r="D120" s="3"/>
      <c r="E120" s="3"/>
      <c r="F120" s="3"/>
      <c r="G120" s="3"/>
      <c r="H120" s="3"/>
      <c r="I120" s="3"/>
      <c r="J120" s="8"/>
      <c r="K120" s="8"/>
      <c r="L120" s="3"/>
      <c r="M120" s="3"/>
      <c r="N120" s="5" t="str">
        <f t="shared" ca="1" si="7"/>
        <v>Grey</v>
      </c>
    </row>
    <row r="121" spans="1:14" x14ac:dyDescent="0.35">
      <c r="A121" s="5" t="str">
        <f t="shared" si="6"/>
        <v/>
      </c>
      <c r="B121" s="3"/>
      <c r="C121" s="3"/>
      <c r="D121" s="3"/>
      <c r="E121" s="3"/>
      <c r="F121" s="3"/>
      <c r="G121" s="3"/>
      <c r="H121" s="3"/>
      <c r="I121" s="3"/>
      <c r="J121" s="8"/>
      <c r="K121" s="8"/>
      <c r="L121" s="3"/>
      <c r="M121" s="3"/>
      <c r="N121" s="5" t="str">
        <f t="shared" ca="1" si="7"/>
        <v>Grey</v>
      </c>
    </row>
    <row r="122" spans="1:14" x14ac:dyDescent="0.35">
      <c r="A122" s="5" t="str">
        <f t="shared" si="6"/>
        <v/>
      </c>
      <c r="B122" s="3"/>
      <c r="C122" s="3"/>
      <c r="D122" s="3"/>
      <c r="E122" s="3"/>
      <c r="F122" s="3"/>
      <c r="G122" s="3"/>
      <c r="H122" s="3"/>
      <c r="I122" s="3"/>
      <c r="J122" s="8"/>
      <c r="K122" s="8"/>
      <c r="L122" s="3"/>
      <c r="M122" s="3"/>
      <c r="N122" s="5" t="str">
        <f t="shared" ca="1" si="7"/>
        <v>Grey</v>
      </c>
    </row>
    <row r="123" spans="1:14" x14ac:dyDescent="0.35">
      <c r="A123" s="5" t="str">
        <f t="shared" si="6"/>
        <v/>
      </c>
      <c r="B123" s="3"/>
      <c r="C123" s="3"/>
      <c r="D123" s="3"/>
      <c r="E123" s="3"/>
      <c r="F123" s="3"/>
      <c r="G123" s="3"/>
      <c r="H123" s="3"/>
      <c r="I123" s="3"/>
      <c r="J123" s="8"/>
      <c r="K123" s="8"/>
      <c r="L123" s="3"/>
      <c r="M123" s="3"/>
      <c r="N123" s="5" t="str">
        <f t="shared" ca="1" si="7"/>
        <v>Grey</v>
      </c>
    </row>
    <row r="124" spans="1:14" x14ac:dyDescent="0.35">
      <c r="A124" s="5" t="str">
        <f t="shared" si="6"/>
        <v/>
      </c>
      <c r="B124" s="3"/>
      <c r="C124" s="3"/>
      <c r="D124" s="3"/>
      <c r="E124" s="3"/>
      <c r="F124" s="3"/>
      <c r="G124" s="3"/>
      <c r="H124" s="3"/>
      <c r="I124" s="3"/>
      <c r="J124" s="8"/>
      <c r="K124" s="8"/>
      <c r="L124" s="3"/>
      <c r="M124" s="3"/>
      <c r="N124" s="5" t="str">
        <f t="shared" ca="1" si="7"/>
        <v>Grey</v>
      </c>
    </row>
    <row r="125" spans="1:14" x14ac:dyDescent="0.35">
      <c r="A125" s="5" t="str">
        <f t="shared" si="6"/>
        <v/>
      </c>
      <c r="B125" s="3"/>
      <c r="C125" s="3"/>
      <c r="D125" s="3"/>
      <c r="E125" s="3"/>
      <c r="F125" s="3"/>
      <c r="G125" s="3"/>
      <c r="H125" s="3"/>
      <c r="I125" s="3"/>
      <c r="J125" s="8"/>
      <c r="K125" s="8"/>
      <c r="L125" s="3"/>
      <c r="M125" s="3"/>
      <c r="N125" s="5" t="str">
        <f t="shared" ca="1" si="7"/>
        <v>Grey</v>
      </c>
    </row>
    <row r="126" spans="1:14" x14ac:dyDescent="0.35">
      <c r="A126" s="5" t="str">
        <f t="shared" si="6"/>
        <v/>
      </c>
      <c r="B126" s="3"/>
      <c r="C126" s="3"/>
      <c r="D126" s="3"/>
      <c r="E126" s="3"/>
      <c r="F126" s="3"/>
      <c r="G126" s="3"/>
      <c r="H126" s="3"/>
      <c r="I126" s="3"/>
      <c r="J126" s="8"/>
      <c r="K126" s="8"/>
      <c r="L126" s="3"/>
      <c r="M126" s="3"/>
      <c r="N126" s="5" t="str">
        <f t="shared" ca="1" si="7"/>
        <v>Grey</v>
      </c>
    </row>
    <row r="127" spans="1:14" x14ac:dyDescent="0.35">
      <c r="A127" s="5" t="str">
        <f t="shared" si="6"/>
        <v/>
      </c>
      <c r="B127" s="3"/>
      <c r="C127" s="3"/>
      <c r="D127" s="3"/>
      <c r="E127" s="3"/>
      <c r="F127" s="3"/>
      <c r="G127" s="3"/>
      <c r="H127" s="3"/>
      <c r="I127" s="3"/>
      <c r="J127" s="8"/>
      <c r="K127" s="8"/>
      <c r="L127" s="3"/>
      <c r="M127" s="3"/>
      <c r="N127" s="5" t="str">
        <f t="shared" ca="1" si="7"/>
        <v>Grey</v>
      </c>
    </row>
    <row r="128" spans="1:14" x14ac:dyDescent="0.35">
      <c r="A128" s="5" t="str">
        <f t="shared" si="6"/>
        <v/>
      </c>
      <c r="B128" s="3"/>
      <c r="C128" s="3"/>
      <c r="D128" s="3"/>
      <c r="E128" s="3"/>
      <c r="F128" s="3"/>
      <c r="G128" s="3"/>
      <c r="H128" s="3"/>
      <c r="I128" s="3"/>
      <c r="J128" s="8"/>
      <c r="K128" s="8"/>
      <c r="L128" s="3"/>
      <c r="M128" s="3"/>
      <c r="N128" s="5" t="str">
        <f t="shared" ca="1" si="7"/>
        <v>Grey</v>
      </c>
    </row>
    <row r="129" spans="1:14" x14ac:dyDescent="0.35">
      <c r="A129" s="5" t="str">
        <f t="shared" si="6"/>
        <v/>
      </c>
      <c r="B129" s="3"/>
      <c r="C129" s="3"/>
      <c r="D129" s="3"/>
      <c r="E129" s="3"/>
      <c r="F129" s="3"/>
      <c r="G129" s="3"/>
      <c r="H129" s="3"/>
      <c r="I129" s="3"/>
      <c r="J129" s="8"/>
      <c r="K129" s="8"/>
      <c r="L129" s="3"/>
      <c r="M129" s="3"/>
      <c r="N129" s="5" t="str">
        <f t="shared" ca="1" si="7"/>
        <v>Grey</v>
      </c>
    </row>
    <row r="130" spans="1:14" x14ac:dyDescent="0.35">
      <c r="A130" s="5" t="str">
        <f t="shared" si="6"/>
        <v/>
      </c>
      <c r="B130" s="3"/>
      <c r="C130" s="3"/>
      <c r="D130" s="3"/>
      <c r="E130" s="3"/>
      <c r="F130" s="3"/>
      <c r="G130" s="3"/>
      <c r="H130" s="3"/>
      <c r="I130" s="3"/>
      <c r="J130" s="8"/>
      <c r="K130" s="8"/>
      <c r="L130" s="3"/>
      <c r="M130" s="3"/>
      <c r="N130" s="5" t="str">
        <f t="shared" ca="1" si="7"/>
        <v>Grey</v>
      </c>
    </row>
    <row r="131" spans="1:14" x14ac:dyDescent="0.35">
      <c r="A131" s="5" t="str">
        <f t="shared" si="6"/>
        <v/>
      </c>
      <c r="B131" s="3"/>
      <c r="C131" s="3"/>
      <c r="D131" s="3"/>
      <c r="E131" s="3"/>
      <c r="F131" s="3"/>
      <c r="G131" s="3"/>
      <c r="H131" s="3"/>
      <c r="I131" s="3"/>
      <c r="J131" s="8"/>
      <c r="K131" s="8"/>
      <c r="L131" s="3"/>
      <c r="M131" s="3"/>
      <c r="N131" s="5" t="str">
        <f t="shared" ca="1" si="7"/>
        <v>Grey</v>
      </c>
    </row>
    <row r="132" spans="1:14" x14ac:dyDescent="0.35">
      <c r="A132" s="5" t="str">
        <f t="shared" si="6"/>
        <v/>
      </c>
      <c r="B132" s="3"/>
      <c r="C132" s="3"/>
      <c r="D132" s="3"/>
      <c r="E132" s="3"/>
      <c r="F132" s="3"/>
      <c r="G132" s="3"/>
      <c r="H132" s="3"/>
      <c r="I132" s="3"/>
      <c r="J132" s="8"/>
      <c r="K132" s="8"/>
      <c r="L132" s="3"/>
      <c r="M132" s="3"/>
      <c r="N132" s="5" t="str">
        <f t="shared" ca="1" si="7"/>
        <v>Grey</v>
      </c>
    </row>
    <row r="133" spans="1:14" x14ac:dyDescent="0.35">
      <c r="A133" s="5" t="str">
        <f t="shared" ref="A133:A164" si="8">IF(D133="","","ACT-"&amp;TEXT(ROW()-3,"0000"))</f>
        <v/>
      </c>
      <c r="B133" s="3"/>
      <c r="C133" s="3"/>
      <c r="D133" s="3"/>
      <c r="E133" s="3"/>
      <c r="F133" s="3"/>
      <c r="G133" s="3"/>
      <c r="H133" s="3"/>
      <c r="I133" s="3"/>
      <c r="J133" s="8"/>
      <c r="K133" s="8"/>
      <c r="L133" s="3"/>
      <c r="M133" s="3"/>
      <c r="N133" s="5" t="str">
        <f t="shared" ref="N133:N164" ca="1" si="9">IF(M133="Closed","Green",IF(AND(J133&lt;&gt;"",J133&lt;TODAY(),K133=""),"Red",IF(M133="In Progress","Amber","Grey")))</f>
        <v>Grey</v>
      </c>
    </row>
    <row r="134" spans="1:14" x14ac:dyDescent="0.35">
      <c r="A134" s="5" t="str">
        <f t="shared" si="8"/>
        <v/>
      </c>
      <c r="B134" s="3"/>
      <c r="C134" s="3"/>
      <c r="D134" s="3"/>
      <c r="E134" s="3"/>
      <c r="F134" s="3"/>
      <c r="G134" s="3"/>
      <c r="H134" s="3"/>
      <c r="I134" s="3"/>
      <c r="J134" s="8"/>
      <c r="K134" s="8"/>
      <c r="L134" s="3"/>
      <c r="M134" s="3"/>
      <c r="N134" s="5" t="str">
        <f t="shared" ca="1" si="9"/>
        <v>Grey</v>
      </c>
    </row>
    <row r="135" spans="1:14" x14ac:dyDescent="0.35">
      <c r="A135" s="5" t="str">
        <f t="shared" si="8"/>
        <v/>
      </c>
      <c r="B135" s="3"/>
      <c r="C135" s="3"/>
      <c r="D135" s="3"/>
      <c r="E135" s="3"/>
      <c r="F135" s="3"/>
      <c r="G135" s="3"/>
      <c r="H135" s="3"/>
      <c r="I135" s="3"/>
      <c r="J135" s="8"/>
      <c r="K135" s="8"/>
      <c r="L135" s="3"/>
      <c r="M135" s="3"/>
      <c r="N135" s="5" t="str">
        <f t="shared" ca="1" si="9"/>
        <v>Grey</v>
      </c>
    </row>
    <row r="136" spans="1:14" x14ac:dyDescent="0.35">
      <c r="A136" s="5" t="str">
        <f t="shared" si="8"/>
        <v/>
      </c>
      <c r="B136" s="3"/>
      <c r="C136" s="3"/>
      <c r="D136" s="3"/>
      <c r="E136" s="3"/>
      <c r="F136" s="3"/>
      <c r="G136" s="3"/>
      <c r="H136" s="3"/>
      <c r="I136" s="3"/>
      <c r="J136" s="8"/>
      <c r="K136" s="8"/>
      <c r="L136" s="3"/>
      <c r="M136" s="3"/>
      <c r="N136" s="5" t="str">
        <f t="shared" ca="1" si="9"/>
        <v>Grey</v>
      </c>
    </row>
    <row r="137" spans="1:14" x14ac:dyDescent="0.35">
      <c r="A137" s="5" t="str">
        <f t="shared" si="8"/>
        <v/>
      </c>
      <c r="B137" s="3"/>
      <c r="C137" s="3"/>
      <c r="D137" s="3"/>
      <c r="E137" s="3"/>
      <c r="F137" s="3"/>
      <c r="G137" s="3"/>
      <c r="H137" s="3"/>
      <c r="I137" s="3"/>
      <c r="J137" s="8"/>
      <c r="K137" s="8"/>
      <c r="L137" s="3"/>
      <c r="M137" s="3"/>
      <c r="N137" s="5" t="str">
        <f t="shared" ca="1" si="9"/>
        <v>Grey</v>
      </c>
    </row>
    <row r="138" spans="1:14" x14ac:dyDescent="0.35">
      <c r="A138" s="5" t="str">
        <f t="shared" si="8"/>
        <v/>
      </c>
      <c r="B138" s="3"/>
      <c r="C138" s="3"/>
      <c r="D138" s="3"/>
      <c r="E138" s="3"/>
      <c r="F138" s="3"/>
      <c r="G138" s="3"/>
      <c r="H138" s="3"/>
      <c r="I138" s="3"/>
      <c r="J138" s="8"/>
      <c r="K138" s="8"/>
      <c r="L138" s="3"/>
      <c r="M138" s="3"/>
      <c r="N138" s="5" t="str">
        <f t="shared" ca="1" si="9"/>
        <v>Grey</v>
      </c>
    </row>
    <row r="139" spans="1:14" x14ac:dyDescent="0.35">
      <c r="A139" s="5" t="str">
        <f t="shared" si="8"/>
        <v/>
      </c>
      <c r="B139" s="3"/>
      <c r="C139" s="3"/>
      <c r="D139" s="3"/>
      <c r="E139" s="3"/>
      <c r="F139" s="3"/>
      <c r="G139" s="3"/>
      <c r="H139" s="3"/>
      <c r="I139" s="3"/>
      <c r="J139" s="8"/>
      <c r="K139" s="8"/>
      <c r="L139" s="3"/>
      <c r="M139" s="3"/>
      <c r="N139" s="5" t="str">
        <f t="shared" ca="1" si="9"/>
        <v>Grey</v>
      </c>
    </row>
    <row r="140" spans="1:14" x14ac:dyDescent="0.35">
      <c r="A140" s="5" t="str">
        <f t="shared" si="8"/>
        <v/>
      </c>
      <c r="B140" s="3"/>
      <c r="C140" s="3"/>
      <c r="D140" s="3"/>
      <c r="E140" s="3"/>
      <c r="F140" s="3"/>
      <c r="G140" s="3"/>
      <c r="H140" s="3"/>
      <c r="I140" s="3"/>
      <c r="J140" s="8"/>
      <c r="K140" s="8"/>
      <c r="L140" s="3"/>
      <c r="M140" s="3"/>
      <c r="N140" s="5" t="str">
        <f t="shared" ca="1" si="9"/>
        <v>Grey</v>
      </c>
    </row>
    <row r="141" spans="1:14" x14ac:dyDescent="0.35">
      <c r="A141" s="5" t="str">
        <f t="shared" si="8"/>
        <v/>
      </c>
      <c r="B141" s="3"/>
      <c r="C141" s="3"/>
      <c r="D141" s="3"/>
      <c r="E141" s="3"/>
      <c r="F141" s="3"/>
      <c r="G141" s="3"/>
      <c r="H141" s="3"/>
      <c r="I141" s="3"/>
      <c r="J141" s="8"/>
      <c r="K141" s="8"/>
      <c r="L141" s="3"/>
      <c r="M141" s="3"/>
      <c r="N141" s="5" t="str">
        <f t="shared" ca="1" si="9"/>
        <v>Grey</v>
      </c>
    </row>
    <row r="142" spans="1:14" x14ac:dyDescent="0.35">
      <c r="A142" s="5" t="str">
        <f t="shared" si="8"/>
        <v/>
      </c>
      <c r="B142" s="3"/>
      <c r="C142" s="3"/>
      <c r="D142" s="3"/>
      <c r="E142" s="3"/>
      <c r="F142" s="3"/>
      <c r="G142" s="3"/>
      <c r="H142" s="3"/>
      <c r="I142" s="3"/>
      <c r="J142" s="8"/>
      <c r="K142" s="8"/>
      <c r="L142" s="3"/>
      <c r="M142" s="3"/>
      <c r="N142" s="5" t="str">
        <f t="shared" ca="1" si="9"/>
        <v>Grey</v>
      </c>
    </row>
    <row r="143" spans="1:14" x14ac:dyDescent="0.35">
      <c r="A143" s="5" t="str">
        <f t="shared" si="8"/>
        <v/>
      </c>
      <c r="B143" s="3"/>
      <c r="C143" s="3"/>
      <c r="D143" s="3"/>
      <c r="E143" s="3"/>
      <c r="F143" s="3"/>
      <c r="G143" s="3"/>
      <c r="H143" s="3"/>
      <c r="I143" s="3"/>
      <c r="J143" s="8"/>
      <c r="K143" s="8"/>
      <c r="L143" s="3"/>
      <c r="M143" s="3"/>
      <c r="N143" s="5" t="str">
        <f t="shared" ca="1" si="9"/>
        <v>Grey</v>
      </c>
    </row>
    <row r="144" spans="1:14" x14ac:dyDescent="0.35">
      <c r="A144" s="5" t="str">
        <f t="shared" si="8"/>
        <v/>
      </c>
      <c r="B144" s="3"/>
      <c r="C144" s="3"/>
      <c r="D144" s="3"/>
      <c r="E144" s="3"/>
      <c r="F144" s="3"/>
      <c r="G144" s="3"/>
      <c r="H144" s="3"/>
      <c r="I144" s="3"/>
      <c r="J144" s="8"/>
      <c r="K144" s="8"/>
      <c r="L144" s="3"/>
      <c r="M144" s="3"/>
      <c r="N144" s="5" t="str">
        <f t="shared" ca="1" si="9"/>
        <v>Grey</v>
      </c>
    </row>
    <row r="145" spans="1:14" x14ac:dyDescent="0.35">
      <c r="A145" s="5" t="str">
        <f t="shared" si="8"/>
        <v/>
      </c>
      <c r="B145" s="3"/>
      <c r="C145" s="3"/>
      <c r="D145" s="3"/>
      <c r="E145" s="3"/>
      <c r="F145" s="3"/>
      <c r="G145" s="3"/>
      <c r="H145" s="3"/>
      <c r="I145" s="3"/>
      <c r="J145" s="8"/>
      <c r="K145" s="8"/>
      <c r="L145" s="3"/>
      <c r="M145" s="3"/>
      <c r="N145" s="5" t="str">
        <f t="shared" ca="1" si="9"/>
        <v>Grey</v>
      </c>
    </row>
    <row r="146" spans="1:14" x14ac:dyDescent="0.35">
      <c r="A146" s="5" t="str">
        <f t="shared" si="8"/>
        <v/>
      </c>
      <c r="B146" s="3"/>
      <c r="C146" s="3"/>
      <c r="D146" s="3"/>
      <c r="E146" s="3"/>
      <c r="F146" s="3"/>
      <c r="G146" s="3"/>
      <c r="H146" s="3"/>
      <c r="I146" s="3"/>
      <c r="J146" s="8"/>
      <c r="K146" s="8"/>
      <c r="L146" s="3"/>
      <c r="M146" s="3"/>
      <c r="N146" s="5" t="str">
        <f t="shared" ca="1" si="9"/>
        <v>Grey</v>
      </c>
    </row>
    <row r="147" spans="1:14" x14ac:dyDescent="0.35">
      <c r="A147" s="5" t="str">
        <f t="shared" si="8"/>
        <v/>
      </c>
      <c r="B147" s="3"/>
      <c r="C147" s="3"/>
      <c r="D147" s="3"/>
      <c r="E147" s="3"/>
      <c r="F147" s="3"/>
      <c r="G147" s="3"/>
      <c r="H147" s="3"/>
      <c r="I147" s="3"/>
      <c r="J147" s="8"/>
      <c r="K147" s="8"/>
      <c r="L147" s="3"/>
      <c r="M147" s="3"/>
      <c r="N147" s="5" t="str">
        <f t="shared" ca="1" si="9"/>
        <v>Grey</v>
      </c>
    </row>
    <row r="148" spans="1:14" x14ac:dyDescent="0.35">
      <c r="A148" s="5" t="str">
        <f t="shared" si="8"/>
        <v/>
      </c>
      <c r="B148" s="3"/>
      <c r="C148" s="3"/>
      <c r="D148" s="3"/>
      <c r="E148" s="3"/>
      <c r="F148" s="3"/>
      <c r="G148" s="3"/>
      <c r="H148" s="3"/>
      <c r="I148" s="3"/>
      <c r="J148" s="8"/>
      <c r="K148" s="8"/>
      <c r="L148" s="3"/>
      <c r="M148" s="3"/>
      <c r="N148" s="5" t="str">
        <f t="shared" ca="1" si="9"/>
        <v>Grey</v>
      </c>
    </row>
    <row r="149" spans="1:14" x14ac:dyDescent="0.35">
      <c r="A149" s="5" t="str">
        <f t="shared" si="8"/>
        <v/>
      </c>
      <c r="B149" s="3"/>
      <c r="C149" s="3"/>
      <c r="D149" s="3"/>
      <c r="E149" s="3"/>
      <c r="F149" s="3"/>
      <c r="G149" s="3"/>
      <c r="H149" s="3"/>
      <c r="I149" s="3"/>
      <c r="J149" s="8"/>
      <c r="K149" s="8"/>
      <c r="L149" s="3"/>
      <c r="M149" s="3"/>
      <c r="N149" s="5" t="str">
        <f t="shared" ca="1" si="9"/>
        <v>Grey</v>
      </c>
    </row>
    <row r="150" spans="1:14" x14ac:dyDescent="0.35">
      <c r="A150" s="5" t="str">
        <f t="shared" si="8"/>
        <v/>
      </c>
      <c r="B150" s="3"/>
      <c r="C150" s="3"/>
      <c r="D150" s="3"/>
      <c r="E150" s="3"/>
      <c r="F150" s="3"/>
      <c r="G150" s="3"/>
      <c r="H150" s="3"/>
      <c r="I150" s="3"/>
      <c r="J150" s="8"/>
      <c r="K150" s="8"/>
      <c r="L150" s="3"/>
      <c r="M150" s="3"/>
      <c r="N150" s="5" t="str">
        <f t="shared" ca="1" si="9"/>
        <v>Grey</v>
      </c>
    </row>
    <row r="151" spans="1:14" x14ac:dyDescent="0.35">
      <c r="A151" s="5" t="str">
        <f t="shared" si="8"/>
        <v/>
      </c>
      <c r="B151" s="3"/>
      <c r="C151" s="3"/>
      <c r="D151" s="3"/>
      <c r="E151" s="3"/>
      <c r="F151" s="3"/>
      <c r="G151" s="3"/>
      <c r="H151" s="3"/>
      <c r="I151" s="3"/>
      <c r="J151" s="8"/>
      <c r="K151" s="8"/>
      <c r="L151" s="3"/>
      <c r="M151" s="3"/>
      <c r="N151" s="5" t="str">
        <f t="shared" ca="1" si="9"/>
        <v>Grey</v>
      </c>
    </row>
    <row r="152" spans="1:14" x14ac:dyDescent="0.35">
      <c r="A152" s="5" t="str">
        <f t="shared" si="8"/>
        <v/>
      </c>
      <c r="B152" s="3"/>
      <c r="C152" s="3"/>
      <c r="D152" s="3"/>
      <c r="E152" s="3"/>
      <c r="F152" s="3"/>
      <c r="G152" s="3"/>
      <c r="H152" s="3"/>
      <c r="I152" s="3"/>
      <c r="J152" s="8"/>
      <c r="K152" s="8"/>
      <c r="L152" s="3"/>
      <c r="M152" s="3"/>
      <c r="N152" s="5" t="str">
        <f t="shared" ca="1" si="9"/>
        <v>Grey</v>
      </c>
    </row>
    <row r="153" spans="1:14" x14ac:dyDescent="0.35">
      <c r="A153" s="5" t="str">
        <f t="shared" si="8"/>
        <v/>
      </c>
      <c r="B153" s="3"/>
      <c r="C153" s="3"/>
      <c r="D153" s="3"/>
      <c r="E153" s="3"/>
      <c r="F153" s="3"/>
      <c r="G153" s="3"/>
      <c r="H153" s="3"/>
      <c r="I153" s="3"/>
      <c r="J153" s="8"/>
      <c r="K153" s="8"/>
      <c r="L153" s="3"/>
      <c r="M153" s="3"/>
      <c r="N153" s="5" t="str">
        <f t="shared" ca="1" si="9"/>
        <v>Grey</v>
      </c>
    </row>
    <row r="154" spans="1:14" x14ac:dyDescent="0.35">
      <c r="A154" s="5" t="str">
        <f t="shared" si="8"/>
        <v/>
      </c>
      <c r="B154" s="3"/>
      <c r="C154" s="3"/>
      <c r="D154" s="3"/>
      <c r="E154" s="3"/>
      <c r="F154" s="3"/>
      <c r="G154" s="3"/>
      <c r="H154" s="3"/>
      <c r="I154" s="3"/>
      <c r="J154" s="8"/>
      <c r="K154" s="8"/>
      <c r="L154" s="3"/>
      <c r="M154" s="3"/>
      <c r="N154" s="5" t="str">
        <f t="shared" ca="1" si="9"/>
        <v>Grey</v>
      </c>
    </row>
    <row r="155" spans="1:14" x14ac:dyDescent="0.35">
      <c r="A155" s="5" t="str">
        <f t="shared" si="8"/>
        <v/>
      </c>
      <c r="B155" s="3"/>
      <c r="C155" s="3"/>
      <c r="D155" s="3"/>
      <c r="E155" s="3"/>
      <c r="F155" s="3"/>
      <c r="G155" s="3"/>
      <c r="H155" s="3"/>
      <c r="I155" s="3"/>
      <c r="J155" s="8"/>
      <c r="K155" s="8"/>
      <c r="L155" s="3"/>
      <c r="M155" s="3"/>
      <c r="N155" s="5" t="str">
        <f t="shared" ca="1" si="9"/>
        <v>Grey</v>
      </c>
    </row>
    <row r="156" spans="1:14" x14ac:dyDescent="0.35">
      <c r="A156" s="5" t="str">
        <f t="shared" si="8"/>
        <v/>
      </c>
      <c r="B156" s="3"/>
      <c r="C156" s="3"/>
      <c r="D156" s="3"/>
      <c r="E156" s="3"/>
      <c r="F156" s="3"/>
      <c r="G156" s="3"/>
      <c r="H156" s="3"/>
      <c r="I156" s="3"/>
      <c r="J156" s="8"/>
      <c r="K156" s="8"/>
      <c r="L156" s="3"/>
      <c r="M156" s="3"/>
      <c r="N156" s="5" t="str">
        <f t="shared" ca="1" si="9"/>
        <v>Grey</v>
      </c>
    </row>
    <row r="157" spans="1:14" x14ac:dyDescent="0.35">
      <c r="A157" s="5" t="str">
        <f t="shared" si="8"/>
        <v/>
      </c>
      <c r="B157" s="3"/>
      <c r="C157" s="3"/>
      <c r="D157" s="3"/>
      <c r="E157" s="3"/>
      <c r="F157" s="3"/>
      <c r="G157" s="3"/>
      <c r="H157" s="3"/>
      <c r="I157" s="3"/>
      <c r="J157" s="8"/>
      <c r="K157" s="8"/>
      <c r="L157" s="3"/>
      <c r="M157" s="3"/>
      <c r="N157" s="5" t="str">
        <f t="shared" ca="1" si="9"/>
        <v>Grey</v>
      </c>
    </row>
    <row r="158" spans="1:14" x14ac:dyDescent="0.35">
      <c r="A158" s="5" t="str">
        <f t="shared" si="8"/>
        <v/>
      </c>
      <c r="B158" s="3"/>
      <c r="C158" s="3"/>
      <c r="D158" s="3"/>
      <c r="E158" s="3"/>
      <c r="F158" s="3"/>
      <c r="G158" s="3"/>
      <c r="H158" s="3"/>
      <c r="I158" s="3"/>
      <c r="J158" s="8"/>
      <c r="K158" s="8"/>
      <c r="L158" s="3"/>
      <c r="M158" s="3"/>
      <c r="N158" s="5" t="str">
        <f t="shared" ca="1" si="9"/>
        <v>Grey</v>
      </c>
    </row>
    <row r="159" spans="1:14" x14ac:dyDescent="0.35">
      <c r="A159" s="5" t="str">
        <f t="shared" si="8"/>
        <v/>
      </c>
      <c r="B159" s="3"/>
      <c r="C159" s="3"/>
      <c r="D159" s="3"/>
      <c r="E159" s="3"/>
      <c r="F159" s="3"/>
      <c r="G159" s="3"/>
      <c r="H159" s="3"/>
      <c r="I159" s="3"/>
      <c r="J159" s="8"/>
      <c r="K159" s="8"/>
      <c r="L159" s="3"/>
      <c r="M159" s="3"/>
      <c r="N159" s="5" t="str">
        <f t="shared" ca="1" si="9"/>
        <v>Grey</v>
      </c>
    </row>
    <row r="160" spans="1:14" x14ac:dyDescent="0.35">
      <c r="A160" s="5" t="str">
        <f t="shared" si="8"/>
        <v/>
      </c>
      <c r="B160" s="3"/>
      <c r="C160" s="3"/>
      <c r="D160" s="3"/>
      <c r="E160" s="3"/>
      <c r="F160" s="3"/>
      <c r="G160" s="3"/>
      <c r="H160" s="3"/>
      <c r="I160" s="3"/>
      <c r="J160" s="8"/>
      <c r="K160" s="8"/>
      <c r="L160" s="3"/>
      <c r="M160" s="3"/>
      <c r="N160" s="5" t="str">
        <f t="shared" ca="1" si="9"/>
        <v>Grey</v>
      </c>
    </row>
    <row r="161" spans="1:14" x14ac:dyDescent="0.35">
      <c r="A161" s="5" t="str">
        <f t="shared" si="8"/>
        <v/>
      </c>
      <c r="B161" s="3"/>
      <c r="C161" s="3"/>
      <c r="D161" s="3"/>
      <c r="E161" s="3"/>
      <c r="F161" s="3"/>
      <c r="G161" s="3"/>
      <c r="H161" s="3"/>
      <c r="I161" s="3"/>
      <c r="J161" s="8"/>
      <c r="K161" s="8"/>
      <c r="L161" s="3"/>
      <c r="M161" s="3"/>
      <c r="N161" s="5" t="str">
        <f t="shared" ca="1" si="9"/>
        <v>Grey</v>
      </c>
    </row>
    <row r="162" spans="1:14" x14ac:dyDescent="0.35">
      <c r="A162" s="5" t="str">
        <f t="shared" si="8"/>
        <v/>
      </c>
      <c r="B162" s="3"/>
      <c r="C162" s="3"/>
      <c r="D162" s="3"/>
      <c r="E162" s="3"/>
      <c r="F162" s="3"/>
      <c r="G162" s="3"/>
      <c r="H162" s="3"/>
      <c r="I162" s="3"/>
      <c r="J162" s="8"/>
      <c r="K162" s="8"/>
      <c r="L162" s="3"/>
      <c r="M162" s="3"/>
      <c r="N162" s="5" t="str">
        <f t="shared" ca="1" si="9"/>
        <v>Grey</v>
      </c>
    </row>
    <row r="163" spans="1:14" x14ac:dyDescent="0.35">
      <c r="A163" s="5" t="str">
        <f t="shared" si="8"/>
        <v/>
      </c>
      <c r="B163" s="3"/>
      <c r="C163" s="3"/>
      <c r="D163" s="3"/>
      <c r="E163" s="3"/>
      <c r="F163" s="3"/>
      <c r="G163" s="3"/>
      <c r="H163" s="3"/>
      <c r="I163" s="3"/>
      <c r="J163" s="8"/>
      <c r="K163" s="8"/>
      <c r="L163" s="3"/>
      <c r="M163" s="3"/>
      <c r="N163" s="5" t="str">
        <f t="shared" ca="1" si="9"/>
        <v>Grey</v>
      </c>
    </row>
    <row r="164" spans="1:14" x14ac:dyDescent="0.35">
      <c r="A164" s="5" t="str">
        <f t="shared" si="8"/>
        <v/>
      </c>
      <c r="B164" s="3"/>
      <c r="C164" s="3"/>
      <c r="D164" s="3"/>
      <c r="E164" s="3"/>
      <c r="F164" s="3"/>
      <c r="G164" s="3"/>
      <c r="H164" s="3"/>
      <c r="I164" s="3"/>
      <c r="J164" s="8"/>
      <c r="K164" s="8"/>
      <c r="L164" s="3"/>
      <c r="M164" s="3"/>
      <c r="N164" s="5" t="str">
        <f t="shared" ca="1" si="9"/>
        <v>Grey</v>
      </c>
    </row>
    <row r="165" spans="1:14" x14ac:dyDescent="0.35">
      <c r="A165" s="5" t="str">
        <f t="shared" ref="A165:A196" si="10">IF(D165="","","ACT-"&amp;TEXT(ROW()-3,"0000"))</f>
        <v/>
      </c>
      <c r="B165" s="3"/>
      <c r="C165" s="3"/>
      <c r="D165" s="3"/>
      <c r="E165" s="3"/>
      <c r="F165" s="3"/>
      <c r="G165" s="3"/>
      <c r="H165" s="3"/>
      <c r="I165" s="3"/>
      <c r="J165" s="8"/>
      <c r="K165" s="8"/>
      <c r="L165" s="3"/>
      <c r="M165" s="3"/>
      <c r="N165" s="5" t="str">
        <f t="shared" ref="N165:N196" ca="1" si="11">IF(M165="Closed","Green",IF(AND(J165&lt;&gt;"",J165&lt;TODAY(),K165=""),"Red",IF(M165="In Progress","Amber","Grey")))</f>
        <v>Grey</v>
      </c>
    </row>
    <row r="166" spans="1:14" x14ac:dyDescent="0.35">
      <c r="A166" s="5" t="str">
        <f t="shared" si="10"/>
        <v/>
      </c>
      <c r="B166" s="3"/>
      <c r="C166" s="3"/>
      <c r="D166" s="3"/>
      <c r="E166" s="3"/>
      <c r="F166" s="3"/>
      <c r="G166" s="3"/>
      <c r="H166" s="3"/>
      <c r="I166" s="3"/>
      <c r="J166" s="8"/>
      <c r="K166" s="8"/>
      <c r="L166" s="3"/>
      <c r="M166" s="3"/>
      <c r="N166" s="5" t="str">
        <f t="shared" ca="1" si="11"/>
        <v>Grey</v>
      </c>
    </row>
    <row r="167" spans="1:14" x14ac:dyDescent="0.35">
      <c r="A167" s="5" t="str">
        <f t="shared" si="10"/>
        <v/>
      </c>
      <c r="B167" s="3"/>
      <c r="C167" s="3"/>
      <c r="D167" s="3"/>
      <c r="E167" s="3"/>
      <c r="F167" s="3"/>
      <c r="G167" s="3"/>
      <c r="H167" s="3"/>
      <c r="I167" s="3"/>
      <c r="J167" s="8"/>
      <c r="K167" s="8"/>
      <c r="L167" s="3"/>
      <c r="M167" s="3"/>
      <c r="N167" s="5" t="str">
        <f t="shared" ca="1" si="11"/>
        <v>Grey</v>
      </c>
    </row>
    <row r="168" spans="1:14" x14ac:dyDescent="0.35">
      <c r="A168" s="5" t="str">
        <f t="shared" si="10"/>
        <v/>
      </c>
      <c r="B168" s="3"/>
      <c r="C168" s="3"/>
      <c r="D168" s="3"/>
      <c r="E168" s="3"/>
      <c r="F168" s="3"/>
      <c r="G168" s="3"/>
      <c r="H168" s="3"/>
      <c r="I168" s="3"/>
      <c r="J168" s="8"/>
      <c r="K168" s="8"/>
      <c r="L168" s="3"/>
      <c r="M168" s="3"/>
      <c r="N168" s="5" t="str">
        <f t="shared" ca="1" si="11"/>
        <v>Grey</v>
      </c>
    </row>
    <row r="169" spans="1:14" x14ac:dyDescent="0.35">
      <c r="A169" s="5" t="str">
        <f t="shared" si="10"/>
        <v/>
      </c>
      <c r="B169" s="3"/>
      <c r="C169" s="3"/>
      <c r="D169" s="3"/>
      <c r="E169" s="3"/>
      <c r="F169" s="3"/>
      <c r="G169" s="3"/>
      <c r="H169" s="3"/>
      <c r="I169" s="3"/>
      <c r="J169" s="8"/>
      <c r="K169" s="8"/>
      <c r="L169" s="3"/>
      <c r="M169" s="3"/>
      <c r="N169" s="5" t="str">
        <f t="shared" ca="1" si="11"/>
        <v>Grey</v>
      </c>
    </row>
    <row r="170" spans="1:14" x14ac:dyDescent="0.35">
      <c r="A170" s="5" t="str">
        <f t="shared" si="10"/>
        <v/>
      </c>
      <c r="B170" s="3"/>
      <c r="C170" s="3"/>
      <c r="D170" s="3"/>
      <c r="E170" s="3"/>
      <c r="F170" s="3"/>
      <c r="G170" s="3"/>
      <c r="H170" s="3"/>
      <c r="I170" s="3"/>
      <c r="J170" s="8"/>
      <c r="K170" s="8"/>
      <c r="L170" s="3"/>
      <c r="M170" s="3"/>
      <c r="N170" s="5" t="str">
        <f t="shared" ca="1" si="11"/>
        <v>Grey</v>
      </c>
    </row>
    <row r="171" spans="1:14" x14ac:dyDescent="0.35">
      <c r="A171" s="5" t="str">
        <f t="shared" si="10"/>
        <v/>
      </c>
      <c r="B171" s="3"/>
      <c r="C171" s="3"/>
      <c r="D171" s="3"/>
      <c r="E171" s="3"/>
      <c r="F171" s="3"/>
      <c r="G171" s="3"/>
      <c r="H171" s="3"/>
      <c r="I171" s="3"/>
      <c r="J171" s="8"/>
      <c r="K171" s="8"/>
      <c r="L171" s="3"/>
      <c r="M171" s="3"/>
      <c r="N171" s="5" t="str">
        <f t="shared" ca="1" si="11"/>
        <v>Grey</v>
      </c>
    </row>
    <row r="172" spans="1:14" x14ac:dyDescent="0.35">
      <c r="A172" s="5" t="str">
        <f t="shared" si="10"/>
        <v/>
      </c>
      <c r="B172" s="3"/>
      <c r="C172" s="3"/>
      <c r="D172" s="3"/>
      <c r="E172" s="3"/>
      <c r="F172" s="3"/>
      <c r="G172" s="3"/>
      <c r="H172" s="3"/>
      <c r="I172" s="3"/>
      <c r="J172" s="8"/>
      <c r="K172" s="8"/>
      <c r="L172" s="3"/>
      <c r="M172" s="3"/>
      <c r="N172" s="5" t="str">
        <f t="shared" ca="1" si="11"/>
        <v>Grey</v>
      </c>
    </row>
    <row r="173" spans="1:14" x14ac:dyDescent="0.35">
      <c r="A173" s="5" t="str">
        <f t="shared" si="10"/>
        <v/>
      </c>
      <c r="B173" s="3"/>
      <c r="C173" s="3"/>
      <c r="D173" s="3"/>
      <c r="E173" s="3"/>
      <c r="F173" s="3"/>
      <c r="G173" s="3"/>
      <c r="H173" s="3"/>
      <c r="I173" s="3"/>
      <c r="J173" s="8"/>
      <c r="K173" s="8"/>
      <c r="L173" s="3"/>
      <c r="M173" s="3"/>
      <c r="N173" s="5" t="str">
        <f t="shared" ca="1" si="11"/>
        <v>Grey</v>
      </c>
    </row>
    <row r="174" spans="1:14" x14ac:dyDescent="0.35">
      <c r="A174" s="5" t="str">
        <f t="shared" si="10"/>
        <v/>
      </c>
      <c r="B174" s="3"/>
      <c r="C174" s="3"/>
      <c r="D174" s="3"/>
      <c r="E174" s="3"/>
      <c r="F174" s="3"/>
      <c r="G174" s="3"/>
      <c r="H174" s="3"/>
      <c r="I174" s="3"/>
      <c r="J174" s="8"/>
      <c r="K174" s="8"/>
      <c r="L174" s="3"/>
      <c r="M174" s="3"/>
      <c r="N174" s="5" t="str">
        <f t="shared" ca="1" si="11"/>
        <v>Grey</v>
      </c>
    </row>
    <row r="175" spans="1:14" x14ac:dyDescent="0.35">
      <c r="A175" s="5" t="str">
        <f t="shared" si="10"/>
        <v/>
      </c>
      <c r="B175" s="3"/>
      <c r="C175" s="3"/>
      <c r="D175" s="3"/>
      <c r="E175" s="3"/>
      <c r="F175" s="3"/>
      <c r="G175" s="3"/>
      <c r="H175" s="3"/>
      <c r="I175" s="3"/>
      <c r="J175" s="8"/>
      <c r="K175" s="8"/>
      <c r="L175" s="3"/>
      <c r="M175" s="3"/>
      <c r="N175" s="5" t="str">
        <f t="shared" ca="1" si="11"/>
        <v>Grey</v>
      </c>
    </row>
    <row r="176" spans="1:14" x14ac:dyDescent="0.35">
      <c r="A176" s="5" t="str">
        <f t="shared" si="10"/>
        <v/>
      </c>
      <c r="B176" s="3"/>
      <c r="C176" s="3"/>
      <c r="D176" s="3"/>
      <c r="E176" s="3"/>
      <c r="F176" s="3"/>
      <c r="G176" s="3"/>
      <c r="H176" s="3"/>
      <c r="I176" s="3"/>
      <c r="J176" s="8"/>
      <c r="K176" s="8"/>
      <c r="L176" s="3"/>
      <c r="M176" s="3"/>
      <c r="N176" s="5" t="str">
        <f t="shared" ca="1" si="11"/>
        <v>Grey</v>
      </c>
    </row>
    <row r="177" spans="1:14" x14ac:dyDescent="0.35">
      <c r="A177" s="5" t="str">
        <f t="shared" si="10"/>
        <v/>
      </c>
      <c r="B177" s="3"/>
      <c r="C177" s="3"/>
      <c r="D177" s="3"/>
      <c r="E177" s="3"/>
      <c r="F177" s="3"/>
      <c r="G177" s="3"/>
      <c r="H177" s="3"/>
      <c r="I177" s="3"/>
      <c r="J177" s="8"/>
      <c r="K177" s="8"/>
      <c r="L177" s="3"/>
      <c r="M177" s="3"/>
      <c r="N177" s="5" t="str">
        <f t="shared" ca="1" si="11"/>
        <v>Grey</v>
      </c>
    </row>
    <row r="178" spans="1:14" x14ac:dyDescent="0.35">
      <c r="A178" s="5" t="str">
        <f t="shared" si="10"/>
        <v/>
      </c>
      <c r="B178" s="3"/>
      <c r="C178" s="3"/>
      <c r="D178" s="3"/>
      <c r="E178" s="3"/>
      <c r="F178" s="3"/>
      <c r="G178" s="3"/>
      <c r="H178" s="3"/>
      <c r="I178" s="3"/>
      <c r="J178" s="8"/>
      <c r="K178" s="8"/>
      <c r="L178" s="3"/>
      <c r="M178" s="3"/>
      <c r="N178" s="5" t="str">
        <f t="shared" ca="1" si="11"/>
        <v>Grey</v>
      </c>
    </row>
    <row r="179" spans="1:14" x14ac:dyDescent="0.35">
      <c r="A179" s="5" t="str">
        <f t="shared" si="10"/>
        <v/>
      </c>
      <c r="B179" s="3"/>
      <c r="C179" s="3"/>
      <c r="D179" s="3"/>
      <c r="E179" s="3"/>
      <c r="F179" s="3"/>
      <c r="G179" s="3"/>
      <c r="H179" s="3"/>
      <c r="I179" s="3"/>
      <c r="J179" s="8"/>
      <c r="K179" s="8"/>
      <c r="L179" s="3"/>
      <c r="M179" s="3"/>
      <c r="N179" s="5" t="str">
        <f t="shared" ca="1" si="11"/>
        <v>Grey</v>
      </c>
    </row>
    <row r="180" spans="1:14" x14ac:dyDescent="0.35">
      <c r="A180" s="5" t="str">
        <f t="shared" si="10"/>
        <v/>
      </c>
      <c r="B180" s="3"/>
      <c r="C180" s="3"/>
      <c r="D180" s="3"/>
      <c r="E180" s="3"/>
      <c r="F180" s="3"/>
      <c r="G180" s="3"/>
      <c r="H180" s="3"/>
      <c r="I180" s="3"/>
      <c r="J180" s="8"/>
      <c r="K180" s="8"/>
      <c r="L180" s="3"/>
      <c r="M180" s="3"/>
      <c r="N180" s="5" t="str">
        <f t="shared" ca="1" si="11"/>
        <v>Grey</v>
      </c>
    </row>
    <row r="181" spans="1:14" x14ac:dyDescent="0.35">
      <c r="A181" s="5" t="str">
        <f t="shared" si="10"/>
        <v/>
      </c>
      <c r="B181" s="3"/>
      <c r="C181" s="3"/>
      <c r="D181" s="3"/>
      <c r="E181" s="3"/>
      <c r="F181" s="3"/>
      <c r="G181" s="3"/>
      <c r="H181" s="3"/>
      <c r="I181" s="3"/>
      <c r="J181" s="8"/>
      <c r="K181" s="8"/>
      <c r="L181" s="3"/>
      <c r="M181" s="3"/>
      <c r="N181" s="5" t="str">
        <f t="shared" ca="1" si="11"/>
        <v>Grey</v>
      </c>
    </row>
    <row r="182" spans="1:14" x14ac:dyDescent="0.35">
      <c r="A182" s="5" t="str">
        <f t="shared" si="10"/>
        <v/>
      </c>
      <c r="B182" s="3"/>
      <c r="C182" s="3"/>
      <c r="D182" s="3"/>
      <c r="E182" s="3"/>
      <c r="F182" s="3"/>
      <c r="G182" s="3"/>
      <c r="H182" s="3"/>
      <c r="I182" s="3"/>
      <c r="J182" s="8"/>
      <c r="K182" s="8"/>
      <c r="L182" s="3"/>
      <c r="M182" s="3"/>
      <c r="N182" s="5" t="str">
        <f t="shared" ca="1" si="11"/>
        <v>Grey</v>
      </c>
    </row>
    <row r="183" spans="1:14" x14ac:dyDescent="0.35">
      <c r="A183" s="5" t="str">
        <f t="shared" si="10"/>
        <v/>
      </c>
      <c r="B183" s="3"/>
      <c r="C183" s="3"/>
      <c r="D183" s="3"/>
      <c r="E183" s="3"/>
      <c r="F183" s="3"/>
      <c r="G183" s="3"/>
      <c r="H183" s="3"/>
      <c r="I183" s="3"/>
      <c r="J183" s="8"/>
      <c r="K183" s="8"/>
      <c r="L183" s="3"/>
      <c r="M183" s="3"/>
      <c r="N183" s="5" t="str">
        <f t="shared" ca="1" si="11"/>
        <v>Grey</v>
      </c>
    </row>
    <row r="184" spans="1:14" x14ac:dyDescent="0.35">
      <c r="A184" s="5" t="str">
        <f t="shared" si="10"/>
        <v/>
      </c>
      <c r="B184" s="3"/>
      <c r="C184" s="3"/>
      <c r="D184" s="3"/>
      <c r="E184" s="3"/>
      <c r="F184" s="3"/>
      <c r="G184" s="3"/>
      <c r="H184" s="3"/>
      <c r="I184" s="3"/>
      <c r="J184" s="8"/>
      <c r="K184" s="8"/>
      <c r="L184" s="3"/>
      <c r="M184" s="3"/>
      <c r="N184" s="5" t="str">
        <f t="shared" ca="1" si="11"/>
        <v>Grey</v>
      </c>
    </row>
    <row r="185" spans="1:14" x14ac:dyDescent="0.35">
      <c r="A185" s="5" t="str">
        <f t="shared" si="10"/>
        <v/>
      </c>
      <c r="B185" s="3"/>
      <c r="C185" s="3"/>
      <c r="D185" s="3"/>
      <c r="E185" s="3"/>
      <c r="F185" s="3"/>
      <c r="G185" s="3"/>
      <c r="H185" s="3"/>
      <c r="I185" s="3"/>
      <c r="J185" s="8"/>
      <c r="K185" s="8"/>
      <c r="L185" s="3"/>
      <c r="M185" s="3"/>
      <c r="N185" s="5" t="str">
        <f t="shared" ca="1" si="11"/>
        <v>Grey</v>
      </c>
    </row>
    <row r="186" spans="1:14" x14ac:dyDescent="0.35">
      <c r="A186" s="5" t="str">
        <f t="shared" si="10"/>
        <v/>
      </c>
      <c r="B186" s="3"/>
      <c r="C186" s="3"/>
      <c r="D186" s="3"/>
      <c r="E186" s="3"/>
      <c r="F186" s="3"/>
      <c r="G186" s="3"/>
      <c r="H186" s="3"/>
      <c r="I186" s="3"/>
      <c r="J186" s="8"/>
      <c r="K186" s="8"/>
      <c r="L186" s="3"/>
      <c r="M186" s="3"/>
      <c r="N186" s="5" t="str">
        <f t="shared" ca="1" si="11"/>
        <v>Grey</v>
      </c>
    </row>
    <row r="187" spans="1:14" x14ac:dyDescent="0.35">
      <c r="A187" s="5" t="str">
        <f t="shared" si="10"/>
        <v/>
      </c>
      <c r="B187" s="3"/>
      <c r="C187" s="3"/>
      <c r="D187" s="3"/>
      <c r="E187" s="3"/>
      <c r="F187" s="3"/>
      <c r="G187" s="3"/>
      <c r="H187" s="3"/>
      <c r="I187" s="3"/>
      <c r="J187" s="8"/>
      <c r="K187" s="8"/>
      <c r="L187" s="3"/>
      <c r="M187" s="3"/>
      <c r="N187" s="5" t="str">
        <f t="shared" ca="1" si="11"/>
        <v>Grey</v>
      </c>
    </row>
    <row r="188" spans="1:14" x14ac:dyDescent="0.35">
      <c r="A188" s="5" t="str">
        <f t="shared" si="10"/>
        <v/>
      </c>
      <c r="B188" s="3"/>
      <c r="C188" s="3"/>
      <c r="D188" s="3"/>
      <c r="E188" s="3"/>
      <c r="F188" s="3"/>
      <c r="G188" s="3"/>
      <c r="H188" s="3"/>
      <c r="I188" s="3"/>
      <c r="J188" s="8"/>
      <c r="K188" s="8"/>
      <c r="L188" s="3"/>
      <c r="M188" s="3"/>
      <c r="N188" s="5" t="str">
        <f t="shared" ca="1" si="11"/>
        <v>Grey</v>
      </c>
    </row>
    <row r="189" spans="1:14" x14ac:dyDescent="0.35">
      <c r="A189" s="5" t="str">
        <f t="shared" si="10"/>
        <v/>
      </c>
      <c r="B189" s="3"/>
      <c r="C189" s="3"/>
      <c r="D189" s="3"/>
      <c r="E189" s="3"/>
      <c r="F189" s="3"/>
      <c r="G189" s="3"/>
      <c r="H189" s="3"/>
      <c r="I189" s="3"/>
      <c r="J189" s="8"/>
      <c r="K189" s="8"/>
      <c r="L189" s="3"/>
      <c r="M189" s="3"/>
      <c r="N189" s="5" t="str">
        <f t="shared" ca="1" si="11"/>
        <v>Grey</v>
      </c>
    </row>
    <row r="190" spans="1:14" x14ac:dyDescent="0.35">
      <c r="A190" s="5" t="str">
        <f t="shared" si="10"/>
        <v/>
      </c>
      <c r="B190" s="3"/>
      <c r="C190" s="3"/>
      <c r="D190" s="3"/>
      <c r="E190" s="3"/>
      <c r="F190" s="3"/>
      <c r="G190" s="3"/>
      <c r="H190" s="3"/>
      <c r="I190" s="3"/>
      <c r="J190" s="8"/>
      <c r="K190" s="8"/>
      <c r="L190" s="3"/>
      <c r="M190" s="3"/>
      <c r="N190" s="5" t="str">
        <f t="shared" ca="1" si="11"/>
        <v>Grey</v>
      </c>
    </row>
    <row r="191" spans="1:14" x14ac:dyDescent="0.35">
      <c r="A191" s="5" t="str">
        <f t="shared" si="10"/>
        <v/>
      </c>
      <c r="B191" s="3"/>
      <c r="C191" s="3"/>
      <c r="D191" s="3"/>
      <c r="E191" s="3"/>
      <c r="F191" s="3"/>
      <c r="G191" s="3"/>
      <c r="H191" s="3"/>
      <c r="I191" s="3"/>
      <c r="J191" s="8"/>
      <c r="K191" s="8"/>
      <c r="L191" s="3"/>
      <c r="M191" s="3"/>
      <c r="N191" s="5" t="str">
        <f t="shared" ca="1" si="11"/>
        <v>Grey</v>
      </c>
    </row>
    <row r="192" spans="1:14" x14ac:dyDescent="0.35">
      <c r="A192" s="5" t="str">
        <f t="shared" si="10"/>
        <v/>
      </c>
      <c r="B192" s="3"/>
      <c r="C192" s="3"/>
      <c r="D192" s="3"/>
      <c r="E192" s="3"/>
      <c r="F192" s="3"/>
      <c r="G192" s="3"/>
      <c r="H192" s="3"/>
      <c r="I192" s="3"/>
      <c r="J192" s="8"/>
      <c r="K192" s="8"/>
      <c r="L192" s="3"/>
      <c r="M192" s="3"/>
      <c r="N192" s="5" t="str">
        <f t="shared" ca="1" si="11"/>
        <v>Grey</v>
      </c>
    </row>
    <row r="193" spans="1:14" x14ac:dyDescent="0.35">
      <c r="A193" s="5" t="str">
        <f t="shared" si="10"/>
        <v/>
      </c>
      <c r="B193" s="3"/>
      <c r="C193" s="3"/>
      <c r="D193" s="3"/>
      <c r="E193" s="3"/>
      <c r="F193" s="3"/>
      <c r="G193" s="3"/>
      <c r="H193" s="3"/>
      <c r="I193" s="3"/>
      <c r="J193" s="8"/>
      <c r="K193" s="8"/>
      <c r="L193" s="3"/>
      <c r="M193" s="3"/>
      <c r="N193" s="5" t="str">
        <f t="shared" ca="1" si="11"/>
        <v>Grey</v>
      </c>
    </row>
    <row r="194" spans="1:14" x14ac:dyDescent="0.35">
      <c r="A194" s="5" t="str">
        <f t="shared" si="10"/>
        <v/>
      </c>
      <c r="B194" s="3"/>
      <c r="C194" s="3"/>
      <c r="D194" s="3"/>
      <c r="E194" s="3"/>
      <c r="F194" s="3"/>
      <c r="G194" s="3"/>
      <c r="H194" s="3"/>
      <c r="I194" s="3"/>
      <c r="J194" s="8"/>
      <c r="K194" s="8"/>
      <c r="L194" s="3"/>
      <c r="M194" s="3"/>
      <c r="N194" s="5" t="str">
        <f t="shared" ca="1" si="11"/>
        <v>Grey</v>
      </c>
    </row>
    <row r="195" spans="1:14" x14ac:dyDescent="0.35">
      <c r="A195" s="5" t="str">
        <f t="shared" si="10"/>
        <v/>
      </c>
      <c r="B195" s="3"/>
      <c r="C195" s="3"/>
      <c r="D195" s="3"/>
      <c r="E195" s="3"/>
      <c r="F195" s="3"/>
      <c r="G195" s="3"/>
      <c r="H195" s="3"/>
      <c r="I195" s="3"/>
      <c r="J195" s="8"/>
      <c r="K195" s="8"/>
      <c r="L195" s="3"/>
      <c r="M195" s="3"/>
      <c r="N195" s="5" t="str">
        <f t="shared" ca="1" si="11"/>
        <v>Grey</v>
      </c>
    </row>
    <row r="196" spans="1:14" x14ac:dyDescent="0.35">
      <c r="A196" s="5" t="str">
        <f t="shared" si="10"/>
        <v/>
      </c>
      <c r="B196" s="3"/>
      <c r="C196" s="3"/>
      <c r="D196" s="3"/>
      <c r="E196" s="3"/>
      <c r="F196" s="3"/>
      <c r="G196" s="3"/>
      <c r="H196" s="3"/>
      <c r="I196" s="3"/>
      <c r="J196" s="8"/>
      <c r="K196" s="8"/>
      <c r="L196" s="3"/>
      <c r="M196" s="3"/>
      <c r="N196" s="5" t="str">
        <f t="shared" ca="1" si="11"/>
        <v>Grey</v>
      </c>
    </row>
    <row r="197" spans="1:14" x14ac:dyDescent="0.35">
      <c r="A197" s="5" t="str">
        <f t="shared" ref="A197:A204" si="12">IF(D197="","","ACT-"&amp;TEXT(ROW()-3,"0000"))</f>
        <v/>
      </c>
      <c r="B197" s="3"/>
      <c r="C197" s="3"/>
      <c r="D197" s="3"/>
      <c r="E197" s="3"/>
      <c r="F197" s="3"/>
      <c r="G197" s="3"/>
      <c r="H197" s="3"/>
      <c r="I197" s="3"/>
      <c r="J197" s="8"/>
      <c r="K197" s="8"/>
      <c r="L197" s="3"/>
      <c r="M197" s="3"/>
      <c r="N197" s="5" t="str">
        <f t="shared" ref="N197:N228" ca="1" si="13">IF(M197="Closed","Green",IF(AND(J197&lt;&gt;"",J197&lt;TODAY(),K197=""),"Red",IF(M197="In Progress","Amber","Grey")))</f>
        <v>Grey</v>
      </c>
    </row>
    <row r="198" spans="1:14" x14ac:dyDescent="0.35">
      <c r="A198" s="5" t="str">
        <f t="shared" si="12"/>
        <v/>
      </c>
      <c r="B198" s="3"/>
      <c r="C198" s="3"/>
      <c r="D198" s="3"/>
      <c r="E198" s="3"/>
      <c r="F198" s="3"/>
      <c r="G198" s="3"/>
      <c r="H198" s="3"/>
      <c r="I198" s="3"/>
      <c r="J198" s="8"/>
      <c r="K198" s="8"/>
      <c r="L198" s="3"/>
      <c r="M198" s="3"/>
      <c r="N198" s="5" t="str">
        <f t="shared" ca="1" si="13"/>
        <v>Grey</v>
      </c>
    </row>
    <row r="199" spans="1:14" x14ac:dyDescent="0.35">
      <c r="A199" s="5" t="str">
        <f t="shared" si="12"/>
        <v/>
      </c>
      <c r="B199" s="3"/>
      <c r="C199" s="3"/>
      <c r="D199" s="3"/>
      <c r="E199" s="3"/>
      <c r="F199" s="3"/>
      <c r="G199" s="3"/>
      <c r="H199" s="3"/>
      <c r="I199" s="3"/>
      <c r="J199" s="8"/>
      <c r="K199" s="8"/>
      <c r="L199" s="3"/>
      <c r="M199" s="3"/>
      <c r="N199" s="5" t="str">
        <f t="shared" ca="1" si="13"/>
        <v>Grey</v>
      </c>
    </row>
    <row r="200" spans="1:14" x14ac:dyDescent="0.35">
      <c r="A200" s="5" t="str">
        <f t="shared" si="12"/>
        <v/>
      </c>
      <c r="B200" s="3"/>
      <c r="C200" s="3"/>
      <c r="D200" s="3"/>
      <c r="E200" s="3"/>
      <c r="F200" s="3"/>
      <c r="G200" s="3"/>
      <c r="H200" s="3"/>
      <c r="I200" s="3"/>
      <c r="J200" s="8"/>
      <c r="K200" s="8"/>
      <c r="L200" s="3"/>
      <c r="M200" s="3"/>
      <c r="N200" s="5" t="str">
        <f t="shared" ca="1" si="13"/>
        <v>Grey</v>
      </c>
    </row>
    <row r="201" spans="1:14" x14ac:dyDescent="0.35">
      <c r="A201" s="5" t="str">
        <f t="shared" si="12"/>
        <v/>
      </c>
      <c r="B201" s="3"/>
      <c r="C201" s="3"/>
      <c r="D201" s="3"/>
      <c r="E201" s="3"/>
      <c r="F201" s="3"/>
      <c r="G201" s="3"/>
      <c r="H201" s="3"/>
      <c r="I201" s="3"/>
      <c r="J201" s="8"/>
      <c r="K201" s="8"/>
      <c r="L201" s="3"/>
      <c r="M201" s="3"/>
      <c r="N201" s="5" t="str">
        <f t="shared" ca="1" si="13"/>
        <v>Grey</v>
      </c>
    </row>
    <row r="202" spans="1:14" x14ac:dyDescent="0.35">
      <c r="A202" s="5" t="str">
        <f t="shared" si="12"/>
        <v/>
      </c>
      <c r="B202" s="3"/>
      <c r="C202" s="3"/>
      <c r="D202" s="3"/>
      <c r="E202" s="3"/>
      <c r="F202" s="3"/>
      <c r="G202" s="3"/>
      <c r="H202" s="3"/>
      <c r="I202" s="3"/>
      <c r="J202" s="8"/>
      <c r="K202" s="8"/>
      <c r="L202" s="3"/>
      <c r="M202" s="3"/>
      <c r="N202" s="5" t="str">
        <f t="shared" ca="1" si="13"/>
        <v>Grey</v>
      </c>
    </row>
    <row r="203" spans="1:14" x14ac:dyDescent="0.35">
      <c r="A203" s="5" t="str">
        <f t="shared" si="12"/>
        <v/>
      </c>
      <c r="B203" s="3"/>
      <c r="C203" s="3"/>
      <c r="D203" s="3"/>
      <c r="E203" s="3"/>
      <c r="F203" s="3"/>
      <c r="G203" s="3"/>
      <c r="H203" s="3"/>
      <c r="I203" s="3"/>
      <c r="J203" s="8"/>
      <c r="K203" s="8"/>
      <c r="L203" s="3"/>
      <c r="M203" s="3"/>
      <c r="N203" s="5" t="str">
        <f t="shared" ca="1" si="13"/>
        <v>Grey</v>
      </c>
    </row>
    <row r="204" spans="1:14" x14ac:dyDescent="0.35">
      <c r="A204" s="5" t="str">
        <f t="shared" si="12"/>
        <v/>
      </c>
      <c r="B204" s="3"/>
      <c r="C204" s="3"/>
      <c r="D204" s="3"/>
      <c r="E204" s="3"/>
      <c r="F204" s="3"/>
      <c r="G204" s="3"/>
      <c r="H204" s="3"/>
      <c r="I204" s="3"/>
      <c r="J204" s="8"/>
      <c r="K204" s="8"/>
      <c r="L204" s="3"/>
      <c r="M204" s="3"/>
      <c r="N204" s="5" t="str">
        <f t="shared" ca="1" si="13"/>
        <v>Grey</v>
      </c>
    </row>
  </sheetData>
  <sheetProtection sheet="1" objects="1" scenarios="1" formatCells="0" formatColumns="0" formatRows="0" insertRows="0" sort="0" autoFilter="0"/>
  <mergeCells count="1">
    <mergeCell ref="A1:N1"/>
  </mergeCells>
  <conditionalFormatting sqref="N5:N204">
    <cfRule type="containsText" dxfId="1107" priority="1" operator="containsText" text="Red">
      <formula>NOT(ISERROR(SEARCH("Red",N5)))</formula>
    </cfRule>
    <cfRule type="containsText" dxfId="1106" priority="2" operator="containsText" text="Amber">
      <formula>NOT(ISERROR(SEARCH("Amber",N5)))</formula>
    </cfRule>
    <cfRule type="containsText" dxfId="1105" priority="3" operator="containsText" text="Green">
      <formula>NOT(ISERROR(SEARCH("Green",N5)))</formula>
    </cfRule>
    <cfRule type="containsText" dxfId="1104" priority="4" operator="containsText" text="Grey">
      <formula>NOT(ISERROR(SEARCH("Grey",N5)))</formula>
    </cfRule>
  </conditionalFormatting>
  <dataValidations count="2">
    <dataValidation type="list" allowBlank="1" showInputMessage="1" showErrorMessage="1" sqref="E5:E204" xr:uid="{00000000-0002-0000-0300-000000000000}">
      <formula1>"Critical,High,Medium,Low"</formula1>
    </dataValidation>
    <dataValidation type="list" allowBlank="1" showInputMessage="1" showErrorMessage="1" sqref="M5:M204" xr:uid="{00000000-0002-0000-0300-000001000000}">
      <formula1>"Not Started,In Progress,Completed,Verified,Closed"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
  <sheetViews>
    <sheetView showGridLines="0" workbookViewId="0">
      <selection sqref="A1:I1"/>
    </sheetView>
  </sheetViews>
  <sheetFormatPr defaultRowHeight="14.5" x14ac:dyDescent="0.35"/>
  <cols>
    <col min="1" max="1" width="30.7265625" customWidth="1"/>
    <col min="2" max="3" width="38.7265625" customWidth="1"/>
    <col min="4" max="9" width="20.7265625" customWidth="1"/>
  </cols>
  <sheetData>
    <row r="1" spans="1:9" ht="21" customHeight="1" x14ac:dyDescent="0.35">
      <c r="A1" s="24" t="s">
        <v>190</v>
      </c>
      <c r="B1" s="20"/>
      <c r="C1" s="20"/>
      <c r="D1" s="20"/>
      <c r="E1" s="20"/>
      <c r="F1" s="20"/>
      <c r="G1" s="20"/>
      <c r="H1" s="20"/>
      <c r="I1" s="21"/>
    </row>
    <row r="3" spans="1:9" ht="29" customHeight="1" x14ac:dyDescent="0.35">
      <c r="A3" s="1" t="s">
        <v>191</v>
      </c>
      <c r="B3" s="1" t="s">
        <v>192</v>
      </c>
      <c r="C3" s="1" t="s">
        <v>193</v>
      </c>
      <c r="D3" s="1" t="s">
        <v>194</v>
      </c>
      <c r="E3" s="1" t="s">
        <v>179</v>
      </c>
      <c r="F3" s="1" t="s">
        <v>195</v>
      </c>
      <c r="G3" s="1" t="s">
        <v>196</v>
      </c>
      <c r="H3" s="1" t="s">
        <v>197</v>
      </c>
      <c r="I3" s="1" t="s">
        <v>198</v>
      </c>
    </row>
    <row r="4" spans="1:9" ht="29" customHeight="1" x14ac:dyDescent="0.35">
      <c r="A4" s="3" t="s">
        <v>199</v>
      </c>
      <c r="B4" s="3" t="s">
        <v>200</v>
      </c>
      <c r="C4" s="3" t="s">
        <v>201</v>
      </c>
      <c r="D4" s="3" t="s">
        <v>202</v>
      </c>
      <c r="E4" s="3" t="s">
        <v>203</v>
      </c>
      <c r="F4" s="3"/>
      <c r="G4" s="3"/>
      <c r="H4" s="3"/>
      <c r="I4" s="3"/>
    </row>
    <row r="5" spans="1:9" ht="29" customHeight="1" x14ac:dyDescent="0.35">
      <c r="A5" s="3" t="s">
        <v>204</v>
      </c>
      <c r="B5" s="3" t="s">
        <v>205</v>
      </c>
      <c r="C5" s="3" t="s">
        <v>206</v>
      </c>
      <c r="D5" s="3" t="s">
        <v>202</v>
      </c>
      <c r="E5" s="3" t="s">
        <v>203</v>
      </c>
      <c r="F5" s="3"/>
      <c r="G5" s="3"/>
      <c r="H5" s="3"/>
      <c r="I5" s="3"/>
    </row>
    <row r="6" spans="1:9" x14ac:dyDescent="0.35">
      <c r="A6" s="3" t="s">
        <v>207</v>
      </c>
      <c r="B6" s="3" t="s">
        <v>155</v>
      </c>
      <c r="C6" s="3" t="s">
        <v>208</v>
      </c>
      <c r="D6" s="3" t="s">
        <v>202</v>
      </c>
      <c r="E6" s="3" t="s">
        <v>203</v>
      </c>
      <c r="F6" s="3"/>
      <c r="G6" s="3"/>
      <c r="H6" s="3"/>
      <c r="I6" s="3"/>
    </row>
    <row r="7" spans="1:9" x14ac:dyDescent="0.35">
      <c r="A7" s="3" t="s">
        <v>209</v>
      </c>
      <c r="B7" s="3" t="s">
        <v>149</v>
      </c>
      <c r="C7" s="3" t="s">
        <v>210</v>
      </c>
      <c r="D7" s="3" t="s">
        <v>202</v>
      </c>
      <c r="E7" s="3" t="s">
        <v>203</v>
      </c>
      <c r="F7" s="3"/>
      <c r="G7" s="3"/>
      <c r="H7" s="3"/>
      <c r="I7" s="3"/>
    </row>
    <row r="8" spans="1:9" ht="29" customHeight="1" x14ac:dyDescent="0.35">
      <c r="A8" s="3" t="s">
        <v>211</v>
      </c>
      <c r="B8" s="3" t="s">
        <v>212</v>
      </c>
      <c r="C8" s="3" t="s">
        <v>213</v>
      </c>
      <c r="D8" s="3" t="s">
        <v>202</v>
      </c>
      <c r="E8" s="3" t="s">
        <v>203</v>
      </c>
      <c r="F8" s="3"/>
      <c r="G8" s="3"/>
      <c r="H8" s="3"/>
      <c r="I8" s="3"/>
    </row>
    <row r="9" spans="1:9" x14ac:dyDescent="0.35">
      <c r="A9" s="3" t="s">
        <v>97</v>
      </c>
      <c r="B9" s="3" t="s">
        <v>214</v>
      </c>
      <c r="C9" s="3" t="s">
        <v>215</v>
      </c>
      <c r="D9" s="3" t="s">
        <v>202</v>
      </c>
      <c r="E9" s="3" t="s">
        <v>203</v>
      </c>
      <c r="F9" s="3"/>
      <c r="G9" s="3"/>
      <c r="H9" s="3"/>
      <c r="I9" s="3"/>
    </row>
  </sheetData>
  <mergeCells count="1">
    <mergeCell ref="A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204"/>
  <sheetViews>
    <sheetView showGridLines="0" workbookViewId="0">
      <selection activeCell="D10" sqref="D10"/>
    </sheetView>
  </sheetViews>
  <sheetFormatPr defaultRowHeight="28" customHeight="1" x14ac:dyDescent="0.35"/>
  <cols>
    <col min="1" max="1" width="7.7265625" customWidth="1"/>
    <col min="2" max="2" width="18.7265625" customWidth="1"/>
    <col min="3" max="3" width="42.7265625" customWidth="1"/>
    <col min="4" max="4" width="28.7265625" customWidth="1"/>
    <col min="5" max="6" width="18.7265625" customWidth="1"/>
    <col min="7" max="7" width="24.7265625" customWidth="1"/>
    <col min="8" max="9" width="13.7265625" customWidth="1"/>
    <col min="10" max="10" width="28.7265625" customWidth="1"/>
    <col min="11" max="11" width="30.7265625" customWidth="1"/>
    <col min="12" max="12" width="32.7265625" customWidth="1"/>
    <col min="13" max="13" width="28.7265625" customWidth="1"/>
    <col min="14" max="14" width="32.7265625" customWidth="1"/>
    <col min="15" max="15" width="20.7265625" customWidth="1"/>
    <col min="16" max="17" width="13.7265625" customWidth="1"/>
    <col min="18" max="18" width="18.7265625" customWidth="1"/>
    <col min="19" max="20" width="14.7265625" customWidth="1"/>
    <col min="21" max="21" width="10.7265625" customWidth="1"/>
  </cols>
  <sheetData>
    <row r="1" spans="1:21" ht="28" customHeight="1" x14ac:dyDescent="0.35">
      <c r="A1" s="24" t="s">
        <v>216</v>
      </c>
      <c r="B1" s="20"/>
      <c r="C1" s="20"/>
      <c r="D1" s="20"/>
      <c r="E1" s="20"/>
      <c r="F1" s="20"/>
      <c r="G1" s="20"/>
      <c r="H1" s="20"/>
      <c r="I1" s="20"/>
      <c r="J1" s="20"/>
      <c r="K1" s="20"/>
      <c r="L1" s="20"/>
      <c r="M1" s="20"/>
      <c r="N1" s="20"/>
      <c r="O1" s="20"/>
      <c r="P1" s="20"/>
      <c r="Q1" s="20"/>
      <c r="R1" s="20"/>
      <c r="S1" s="20"/>
      <c r="T1" s="20"/>
      <c r="U1" s="21"/>
    </row>
    <row r="2" spans="1:21" ht="28" customHeight="1" x14ac:dyDescent="0.35">
      <c r="A2" s="9" t="s">
        <v>1</v>
      </c>
      <c r="B2" s="22" t="s">
        <v>2</v>
      </c>
      <c r="C2" s="23"/>
      <c r="D2" s="23"/>
      <c r="E2" s="23"/>
      <c r="F2" s="23"/>
      <c r="G2" s="23"/>
      <c r="H2" s="23"/>
      <c r="I2" s="23"/>
      <c r="J2" s="23"/>
      <c r="K2" s="23"/>
      <c r="L2" s="23"/>
      <c r="M2" s="23"/>
      <c r="N2" s="23"/>
      <c r="O2" s="23"/>
      <c r="P2" s="23"/>
      <c r="Q2" s="23"/>
      <c r="R2" s="23"/>
      <c r="S2" s="23"/>
      <c r="T2" s="23"/>
      <c r="U2" s="23"/>
    </row>
    <row r="4" spans="1:21" ht="28" customHeight="1" x14ac:dyDescent="0.3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21" ht="28" customHeight="1" x14ac:dyDescent="0.35">
      <c r="A5" s="4" t="s">
        <v>217</v>
      </c>
      <c r="B5" s="7">
        <v>46023</v>
      </c>
      <c r="C5" s="8"/>
      <c r="D5" s="3"/>
      <c r="E5" s="5">
        <f>SUMIF(I64:I80,"&gt;=0",I64:I80)</f>
        <v>0</v>
      </c>
      <c r="F5" s="5">
        <f>COUNT(I64:I80)*2</f>
        <v>0</v>
      </c>
      <c r="G5" s="6" t="str">
        <f t="shared" ref="G5:G36" si="0">IF(F5=0,"",E5/F5)</f>
        <v/>
      </c>
      <c r="H5" s="5" t="str">
        <f t="shared" ref="H5:H36" si="1">IF(G5="","Not Started",IF(G5&gt;=0.9,"Green",IF(G5&gt;=0.75,"Amber","Red")))</f>
        <v>Not Started</v>
      </c>
      <c r="I5" s="5">
        <f>COUNTIFS(H64:H80,"Critical",I64:I80,"&lt;2")+COUNTIFS(H64:H80,"High",I64:I80,"&lt;2")</f>
        <v>0</v>
      </c>
      <c r="J5" s="5">
        <f>COUNTIF(T64:T80,"In Progress")+COUNTIF(T64:T80,"Not Started")</f>
        <v>0</v>
      </c>
      <c r="K5" s="5">
        <f ca="1">COUNTIFS(P64:P80,"&lt;"&amp;TODAY(),Q64:Q80,"")</f>
        <v>0</v>
      </c>
      <c r="L5" s="3"/>
      <c r="M5" s="3"/>
      <c r="N5" s="3"/>
      <c r="O5" s="3"/>
    </row>
    <row r="6" spans="1:21" ht="28" customHeight="1" x14ac:dyDescent="0.35">
      <c r="A6" s="4" t="s">
        <v>218</v>
      </c>
      <c r="B6" s="7">
        <v>46030</v>
      </c>
      <c r="C6" s="8"/>
      <c r="D6" s="3"/>
      <c r="E6" s="5">
        <f>SUMIF(I86:I102,"&gt;=0",I86:I102)</f>
        <v>0</v>
      </c>
      <c r="F6" s="5">
        <f>COUNT(I86:I102)*2</f>
        <v>0</v>
      </c>
      <c r="G6" s="6" t="str">
        <f t="shared" si="0"/>
        <v/>
      </c>
      <c r="H6" s="5" t="str">
        <f t="shared" si="1"/>
        <v>Not Started</v>
      </c>
      <c r="I6" s="5">
        <f>COUNTIFS(H86:H102,"Critical",I86:I102,"&lt;2")+COUNTIFS(H86:H102,"High",I86:I102,"&lt;2")</f>
        <v>0</v>
      </c>
      <c r="J6" s="5">
        <f>COUNTIF(T86:T102,"In Progress")+COUNTIF(T86:T102,"Not Started")</f>
        <v>0</v>
      </c>
      <c r="K6" s="5">
        <f ca="1">COUNTIFS(P86:P102,"&lt;"&amp;TODAY(),Q86:Q102,"")</f>
        <v>0</v>
      </c>
      <c r="L6" s="3"/>
      <c r="M6" s="3"/>
      <c r="N6" s="3"/>
      <c r="O6" s="3"/>
    </row>
    <row r="7" spans="1:21" ht="28" customHeight="1" x14ac:dyDescent="0.35">
      <c r="A7" s="4" t="s">
        <v>219</v>
      </c>
      <c r="B7" s="7">
        <v>46037</v>
      </c>
      <c r="C7" s="8"/>
      <c r="D7" s="3"/>
      <c r="E7" s="5">
        <f>SUMIF(I108:I124,"&gt;=0",I108:I124)</f>
        <v>0</v>
      </c>
      <c r="F7" s="5">
        <f>COUNT(I108:I124)*2</f>
        <v>0</v>
      </c>
      <c r="G7" s="6" t="str">
        <f t="shared" si="0"/>
        <v/>
      </c>
      <c r="H7" s="5" t="str">
        <f t="shared" si="1"/>
        <v>Not Started</v>
      </c>
      <c r="I7" s="5">
        <f>COUNTIFS(H108:H124,"Critical",I108:I124,"&lt;2")+COUNTIFS(H108:H124,"High",I108:I124,"&lt;2")</f>
        <v>0</v>
      </c>
      <c r="J7" s="5">
        <f>COUNTIF(T108:T124,"In Progress")+COUNTIF(T108:T124,"Not Started")</f>
        <v>0</v>
      </c>
      <c r="K7" s="5">
        <f ca="1">COUNTIFS(P108:P124,"&lt;"&amp;TODAY(),Q108:Q124,"")</f>
        <v>0</v>
      </c>
      <c r="L7" s="3"/>
      <c r="M7" s="3"/>
      <c r="N7" s="3"/>
      <c r="O7" s="3"/>
    </row>
    <row r="8" spans="1:21" ht="28" customHeight="1" x14ac:dyDescent="0.35">
      <c r="A8" s="4" t="s">
        <v>220</v>
      </c>
      <c r="B8" s="7">
        <v>46044</v>
      </c>
      <c r="C8" s="8"/>
      <c r="D8" s="3"/>
      <c r="E8" s="5">
        <f>SUMIF(I130:I146,"&gt;=0",I130:I146)</f>
        <v>0</v>
      </c>
      <c r="F8" s="5">
        <f>COUNT(I130:I146)*2</f>
        <v>0</v>
      </c>
      <c r="G8" s="6" t="str">
        <f t="shared" si="0"/>
        <v/>
      </c>
      <c r="H8" s="5" t="str">
        <f t="shared" si="1"/>
        <v>Not Started</v>
      </c>
      <c r="I8" s="5">
        <f>COUNTIFS(H130:H146,"Critical",I130:I146,"&lt;2")+COUNTIFS(H130:H146,"High",I130:I146,"&lt;2")</f>
        <v>0</v>
      </c>
      <c r="J8" s="5">
        <f>COUNTIF(T130:T146,"In Progress")+COUNTIF(T130:T146,"Not Started")</f>
        <v>0</v>
      </c>
      <c r="K8" s="5">
        <f ca="1">COUNTIFS(P130:P146,"&lt;"&amp;TODAY(),Q130:Q146,"")</f>
        <v>0</v>
      </c>
      <c r="L8" s="3"/>
      <c r="M8" s="3"/>
      <c r="N8" s="3"/>
      <c r="O8" s="3"/>
    </row>
    <row r="9" spans="1:21" ht="28" customHeight="1" x14ac:dyDescent="0.35">
      <c r="A9" s="4" t="s">
        <v>221</v>
      </c>
      <c r="B9" s="7">
        <v>46051</v>
      </c>
      <c r="C9" s="8"/>
      <c r="D9" s="3"/>
      <c r="E9" s="5">
        <f>SUMIF(I152:I168,"&gt;=0",I152:I168)</f>
        <v>0</v>
      </c>
      <c r="F9" s="5">
        <f>COUNT(I152:I168)*2</f>
        <v>0</v>
      </c>
      <c r="G9" s="6" t="str">
        <f t="shared" si="0"/>
        <v/>
      </c>
      <c r="H9" s="5" t="str">
        <f t="shared" si="1"/>
        <v>Not Started</v>
      </c>
      <c r="I9" s="5">
        <f>COUNTIFS(H152:H168,"Critical",I152:I168,"&lt;2")+COUNTIFS(H152:H168,"High",I152:I168,"&lt;2")</f>
        <v>0</v>
      </c>
      <c r="J9" s="5">
        <f>COUNTIF(T152:T168,"In Progress")+COUNTIF(T152:T168,"Not Started")</f>
        <v>0</v>
      </c>
      <c r="K9" s="5">
        <f ca="1">COUNTIFS(P152:P168,"&lt;"&amp;TODAY(),Q152:Q168,"")</f>
        <v>0</v>
      </c>
      <c r="L9" s="3"/>
      <c r="M9" s="3"/>
      <c r="N9" s="3"/>
      <c r="O9" s="3"/>
    </row>
    <row r="10" spans="1:21" ht="28" customHeight="1" x14ac:dyDescent="0.35">
      <c r="A10" s="4" t="s">
        <v>222</v>
      </c>
      <c r="B10" s="7">
        <v>46058</v>
      </c>
      <c r="C10" s="8"/>
      <c r="D10" s="3"/>
      <c r="E10" s="5">
        <f>SUMIF(I174:I190,"&gt;=0",I174:I190)</f>
        <v>0</v>
      </c>
      <c r="F10" s="5">
        <f>COUNT(I174:I190)*2</f>
        <v>0</v>
      </c>
      <c r="G10" s="6" t="str">
        <f t="shared" si="0"/>
        <v/>
      </c>
      <c r="H10" s="5" t="str">
        <f t="shared" si="1"/>
        <v>Not Started</v>
      </c>
      <c r="I10" s="5">
        <f>COUNTIFS(H174:H190,"Critical",I174:I190,"&lt;2")+COUNTIFS(H174:H190,"High",I174:I190,"&lt;2")</f>
        <v>0</v>
      </c>
      <c r="J10" s="5">
        <f>COUNTIF(T174:T190,"In Progress")+COUNTIF(T174:T190,"Not Started")</f>
        <v>0</v>
      </c>
      <c r="K10" s="5">
        <f ca="1">COUNTIFS(P174:P190,"&lt;"&amp;TODAY(),Q174:Q190,"")</f>
        <v>0</v>
      </c>
      <c r="L10" s="3"/>
      <c r="M10" s="3"/>
      <c r="N10" s="3"/>
      <c r="O10" s="3"/>
    </row>
    <row r="11" spans="1:21" ht="28" customHeight="1" x14ac:dyDescent="0.35">
      <c r="A11" s="4" t="s">
        <v>223</v>
      </c>
      <c r="B11" s="7">
        <v>46065</v>
      </c>
      <c r="C11" s="8"/>
      <c r="D11" s="3"/>
      <c r="E11" s="5">
        <f>SUMIF(I196:I212,"&gt;=0",I196:I212)</f>
        <v>0</v>
      </c>
      <c r="F11" s="5">
        <f>COUNT(I196:I212)*2</f>
        <v>0</v>
      </c>
      <c r="G11" s="6" t="str">
        <f t="shared" si="0"/>
        <v/>
      </c>
      <c r="H11" s="5" t="str">
        <f t="shared" si="1"/>
        <v>Not Started</v>
      </c>
      <c r="I11" s="5">
        <f>COUNTIFS(H196:H212,"Critical",I196:I212,"&lt;2")+COUNTIFS(H196:H212,"High",I196:I212,"&lt;2")</f>
        <v>0</v>
      </c>
      <c r="J11" s="5">
        <f>COUNTIF(T196:T212,"In Progress")+COUNTIF(T196:T212,"Not Started")</f>
        <v>0</v>
      </c>
      <c r="K11" s="5">
        <f ca="1">COUNTIFS(P196:P212,"&lt;"&amp;TODAY(),Q196:Q212,"")</f>
        <v>0</v>
      </c>
      <c r="L11" s="3"/>
      <c r="M11" s="3"/>
      <c r="N11" s="3"/>
      <c r="O11" s="3"/>
    </row>
    <row r="12" spans="1:21" ht="28" customHeight="1" x14ac:dyDescent="0.35">
      <c r="A12" s="4" t="s">
        <v>224</v>
      </c>
      <c r="B12" s="7">
        <v>46072</v>
      </c>
      <c r="C12" s="8"/>
      <c r="D12" s="3"/>
      <c r="E12" s="5">
        <f>SUMIF(I218:I234,"&gt;=0",I218:I234)</f>
        <v>0</v>
      </c>
      <c r="F12" s="5">
        <f>COUNT(I218:I234)*2</f>
        <v>0</v>
      </c>
      <c r="G12" s="6" t="str">
        <f t="shared" si="0"/>
        <v/>
      </c>
      <c r="H12" s="5" t="str">
        <f t="shared" si="1"/>
        <v>Not Started</v>
      </c>
      <c r="I12" s="5">
        <f>COUNTIFS(H218:H234,"Critical",I218:I234,"&lt;2")+COUNTIFS(H218:H234,"High",I218:I234,"&lt;2")</f>
        <v>0</v>
      </c>
      <c r="J12" s="5">
        <f>COUNTIF(T218:T234,"In Progress")+COUNTIF(T218:T234,"Not Started")</f>
        <v>0</v>
      </c>
      <c r="K12" s="5">
        <f ca="1">COUNTIFS(P218:P234,"&lt;"&amp;TODAY(),Q218:Q234,"")</f>
        <v>0</v>
      </c>
      <c r="L12" s="3"/>
      <c r="M12" s="3"/>
      <c r="N12" s="3"/>
      <c r="O12" s="3"/>
    </row>
    <row r="13" spans="1:21" ht="28" customHeight="1" x14ac:dyDescent="0.35">
      <c r="A13" s="4" t="s">
        <v>225</v>
      </c>
      <c r="B13" s="7">
        <v>46079</v>
      </c>
      <c r="C13" s="8"/>
      <c r="D13" s="3"/>
      <c r="E13" s="5">
        <f>SUMIF(I240:I256,"&gt;=0",I240:I256)</f>
        <v>0</v>
      </c>
      <c r="F13" s="5">
        <f>COUNT(I240:I256)*2</f>
        <v>0</v>
      </c>
      <c r="G13" s="6" t="str">
        <f t="shared" si="0"/>
        <v/>
      </c>
      <c r="H13" s="5" t="str">
        <f t="shared" si="1"/>
        <v>Not Started</v>
      </c>
      <c r="I13" s="5">
        <f>COUNTIFS(H240:H256,"Critical",I240:I256,"&lt;2")+COUNTIFS(H240:H256,"High",I240:I256,"&lt;2")</f>
        <v>0</v>
      </c>
      <c r="J13" s="5">
        <f>COUNTIF(T240:T256,"In Progress")+COUNTIF(T240:T256,"Not Started")</f>
        <v>0</v>
      </c>
      <c r="K13" s="5">
        <f ca="1">COUNTIFS(P240:P256,"&lt;"&amp;TODAY(),Q240:Q256,"")</f>
        <v>0</v>
      </c>
      <c r="L13" s="3"/>
      <c r="M13" s="3"/>
      <c r="N13" s="3"/>
      <c r="O13" s="3"/>
    </row>
    <row r="14" spans="1:21" ht="28" customHeight="1" x14ac:dyDescent="0.35">
      <c r="A14" s="4" t="s">
        <v>226</v>
      </c>
      <c r="B14" s="7">
        <v>46086</v>
      </c>
      <c r="C14" s="8"/>
      <c r="D14" s="3"/>
      <c r="E14" s="5">
        <f>SUMIF(I262:I278,"&gt;=0",I262:I278)</f>
        <v>0</v>
      </c>
      <c r="F14" s="5">
        <f>COUNT(I262:I278)*2</f>
        <v>0</v>
      </c>
      <c r="G14" s="6" t="str">
        <f t="shared" si="0"/>
        <v/>
      </c>
      <c r="H14" s="5" t="str">
        <f t="shared" si="1"/>
        <v>Not Started</v>
      </c>
      <c r="I14" s="5">
        <f>COUNTIFS(H262:H278,"Critical",I262:I278,"&lt;2")+COUNTIFS(H262:H278,"High",I262:I278,"&lt;2")</f>
        <v>0</v>
      </c>
      <c r="J14" s="5">
        <f>COUNTIF(T262:T278,"In Progress")+COUNTIF(T262:T278,"Not Started")</f>
        <v>0</v>
      </c>
      <c r="K14" s="5">
        <f ca="1">COUNTIFS(P262:P278,"&lt;"&amp;TODAY(),Q262:Q278,"")</f>
        <v>0</v>
      </c>
      <c r="L14" s="3"/>
      <c r="M14" s="3"/>
      <c r="N14" s="3"/>
      <c r="O14" s="3"/>
    </row>
    <row r="15" spans="1:21" ht="28" customHeight="1" x14ac:dyDescent="0.35">
      <c r="A15" s="4" t="s">
        <v>227</v>
      </c>
      <c r="B15" s="7">
        <v>46093</v>
      </c>
      <c r="C15" s="8"/>
      <c r="D15" s="3"/>
      <c r="E15" s="5">
        <f>SUMIF(I284:I300,"&gt;=0",I284:I300)</f>
        <v>0</v>
      </c>
      <c r="F15" s="5">
        <f>COUNT(I284:I300)*2</f>
        <v>0</v>
      </c>
      <c r="G15" s="6" t="str">
        <f t="shared" si="0"/>
        <v/>
      </c>
      <c r="H15" s="5" t="str">
        <f t="shared" si="1"/>
        <v>Not Started</v>
      </c>
      <c r="I15" s="5">
        <f>COUNTIFS(H284:H300,"Critical",I284:I300,"&lt;2")+COUNTIFS(H284:H300,"High",I284:I300,"&lt;2")</f>
        <v>0</v>
      </c>
      <c r="J15" s="5">
        <f>COUNTIF(T284:T300,"In Progress")+COUNTIF(T284:T300,"Not Started")</f>
        <v>0</v>
      </c>
      <c r="K15" s="5">
        <f ca="1">COUNTIFS(P284:P300,"&lt;"&amp;TODAY(),Q284:Q300,"")</f>
        <v>0</v>
      </c>
      <c r="L15" s="3"/>
      <c r="M15" s="3"/>
      <c r="N15" s="3"/>
      <c r="O15" s="3"/>
    </row>
    <row r="16" spans="1:21" ht="28" customHeight="1" x14ac:dyDescent="0.35">
      <c r="A16" s="4" t="s">
        <v>228</v>
      </c>
      <c r="B16" s="7">
        <v>46100</v>
      </c>
      <c r="C16" s="8"/>
      <c r="D16" s="3"/>
      <c r="E16" s="5">
        <f>SUMIF(I306:I322,"&gt;=0",I306:I322)</f>
        <v>0</v>
      </c>
      <c r="F16" s="5">
        <f>COUNT(I306:I322)*2</f>
        <v>0</v>
      </c>
      <c r="G16" s="6" t="str">
        <f t="shared" si="0"/>
        <v/>
      </c>
      <c r="H16" s="5" t="str">
        <f t="shared" si="1"/>
        <v>Not Started</v>
      </c>
      <c r="I16" s="5">
        <f>COUNTIFS(H306:H322,"Critical",I306:I322,"&lt;2")+COUNTIFS(H306:H322,"High",I306:I322,"&lt;2")</f>
        <v>0</v>
      </c>
      <c r="J16" s="5">
        <f>COUNTIF(T306:T322,"In Progress")+COUNTIF(T306:T322,"Not Started")</f>
        <v>0</v>
      </c>
      <c r="K16" s="5">
        <f ca="1">COUNTIFS(P306:P322,"&lt;"&amp;TODAY(),Q306:Q322,"")</f>
        <v>0</v>
      </c>
      <c r="L16" s="3"/>
      <c r="M16" s="3"/>
      <c r="N16" s="3"/>
      <c r="O16" s="3"/>
    </row>
    <row r="17" spans="1:15" ht="28" customHeight="1" x14ac:dyDescent="0.35">
      <c r="A17" s="4" t="s">
        <v>229</v>
      </c>
      <c r="B17" s="7">
        <v>46107</v>
      </c>
      <c r="C17" s="8"/>
      <c r="D17" s="3"/>
      <c r="E17" s="5">
        <f>SUMIF(I328:I344,"&gt;=0",I328:I344)</f>
        <v>0</v>
      </c>
      <c r="F17" s="5">
        <f>COUNT(I328:I344)*2</f>
        <v>0</v>
      </c>
      <c r="G17" s="6" t="str">
        <f t="shared" si="0"/>
        <v/>
      </c>
      <c r="H17" s="5" t="str">
        <f t="shared" si="1"/>
        <v>Not Started</v>
      </c>
      <c r="I17" s="5">
        <f>COUNTIFS(H328:H344,"Critical",I328:I344,"&lt;2")+COUNTIFS(H328:H344,"High",I328:I344,"&lt;2")</f>
        <v>0</v>
      </c>
      <c r="J17" s="5">
        <f>COUNTIF(T328:T344,"In Progress")+COUNTIF(T328:T344,"Not Started")</f>
        <v>0</v>
      </c>
      <c r="K17" s="5">
        <f ca="1">COUNTIFS(P328:P344,"&lt;"&amp;TODAY(),Q328:Q344,"")</f>
        <v>0</v>
      </c>
      <c r="L17" s="3"/>
      <c r="M17" s="3"/>
      <c r="N17" s="3"/>
      <c r="O17" s="3"/>
    </row>
    <row r="18" spans="1:15" ht="28" customHeight="1" x14ac:dyDescent="0.35">
      <c r="A18" s="4" t="s">
        <v>230</v>
      </c>
      <c r="B18" s="7">
        <v>46114</v>
      </c>
      <c r="C18" s="8"/>
      <c r="D18" s="3"/>
      <c r="E18" s="5">
        <f>SUMIF(I350:I366,"&gt;=0",I350:I366)</f>
        <v>0</v>
      </c>
      <c r="F18" s="5">
        <f>COUNT(I350:I366)*2</f>
        <v>0</v>
      </c>
      <c r="G18" s="6" t="str">
        <f t="shared" si="0"/>
        <v/>
      </c>
      <c r="H18" s="5" t="str">
        <f t="shared" si="1"/>
        <v>Not Started</v>
      </c>
      <c r="I18" s="5">
        <f>COUNTIFS(H350:H366,"Critical",I350:I366,"&lt;2")+COUNTIFS(H350:H366,"High",I350:I366,"&lt;2")</f>
        <v>0</v>
      </c>
      <c r="J18" s="5">
        <f>COUNTIF(T350:T366,"In Progress")+COUNTIF(T350:T366,"Not Started")</f>
        <v>0</v>
      </c>
      <c r="K18" s="5">
        <f ca="1">COUNTIFS(P350:P366,"&lt;"&amp;TODAY(),Q350:Q366,"")</f>
        <v>0</v>
      </c>
      <c r="L18" s="3"/>
      <c r="M18" s="3"/>
      <c r="N18" s="3"/>
      <c r="O18" s="3"/>
    </row>
    <row r="19" spans="1:15" ht="28" customHeight="1" x14ac:dyDescent="0.35">
      <c r="A19" s="4" t="s">
        <v>231</v>
      </c>
      <c r="B19" s="7">
        <v>46121</v>
      </c>
      <c r="C19" s="8"/>
      <c r="D19" s="3"/>
      <c r="E19" s="5">
        <f>SUMIF(I372:I388,"&gt;=0",I372:I388)</f>
        <v>0</v>
      </c>
      <c r="F19" s="5">
        <f>COUNT(I372:I388)*2</f>
        <v>0</v>
      </c>
      <c r="G19" s="6" t="str">
        <f t="shared" si="0"/>
        <v/>
      </c>
      <c r="H19" s="5" t="str">
        <f t="shared" si="1"/>
        <v>Not Started</v>
      </c>
      <c r="I19" s="5">
        <f>COUNTIFS(H372:H388,"Critical",I372:I388,"&lt;2")+COUNTIFS(H372:H388,"High",I372:I388,"&lt;2")</f>
        <v>0</v>
      </c>
      <c r="J19" s="5">
        <f>COUNTIF(T372:T388,"In Progress")+COUNTIF(T372:T388,"Not Started")</f>
        <v>0</v>
      </c>
      <c r="K19" s="5">
        <f ca="1">COUNTIFS(P372:P388,"&lt;"&amp;TODAY(),Q372:Q388,"")</f>
        <v>0</v>
      </c>
      <c r="L19" s="3"/>
      <c r="M19" s="3"/>
      <c r="N19" s="3"/>
      <c r="O19" s="3"/>
    </row>
    <row r="20" spans="1:15" ht="28" customHeight="1" x14ac:dyDescent="0.35">
      <c r="A20" s="4" t="s">
        <v>232</v>
      </c>
      <c r="B20" s="7">
        <v>46128</v>
      </c>
      <c r="C20" s="8"/>
      <c r="D20" s="3"/>
      <c r="E20" s="5">
        <f>SUMIF(I394:I410,"&gt;=0",I394:I410)</f>
        <v>0</v>
      </c>
      <c r="F20" s="5">
        <f>COUNT(I394:I410)*2</f>
        <v>0</v>
      </c>
      <c r="G20" s="6" t="str">
        <f t="shared" si="0"/>
        <v/>
      </c>
      <c r="H20" s="5" t="str">
        <f t="shared" si="1"/>
        <v>Not Started</v>
      </c>
      <c r="I20" s="5">
        <f>COUNTIFS(H394:H410,"Critical",I394:I410,"&lt;2")+COUNTIFS(H394:H410,"High",I394:I410,"&lt;2")</f>
        <v>0</v>
      </c>
      <c r="J20" s="5">
        <f>COUNTIF(T394:T410,"In Progress")+COUNTIF(T394:T410,"Not Started")</f>
        <v>0</v>
      </c>
      <c r="K20" s="5">
        <f ca="1">COUNTIFS(P394:P410,"&lt;"&amp;TODAY(),Q394:Q410,"")</f>
        <v>0</v>
      </c>
      <c r="L20" s="3"/>
      <c r="M20" s="3"/>
      <c r="N20" s="3"/>
      <c r="O20" s="3"/>
    </row>
    <row r="21" spans="1:15" ht="28" customHeight="1" x14ac:dyDescent="0.35">
      <c r="A21" s="4" t="s">
        <v>233</v>
      </c>
      <c r="B21" s="7">
        <v>46135</v>
      </c>
      <c r="C21" s="8"/>
      <c r="D21" s="3"/>
      <c r="E21" s="5">
        <f>SUMIF(I416:I432,"&gt;=0",I416:I432)</f>
        <v>0</v>
      </c>
      <c r="F21" s="5">
        <f>COUNT(I416:I432)*2</f>
        <v>0</v>
      </c>
      <c r="G21" s="6" t="str">
        <f t="shared" si="0"/>
        <v/>
      </c>
      <c r="H21" s="5" t="str">
        <f t="shared" si="1"/>
        <v>Not Started</v>
      </c>
      <c r="I21" s="5">
        <f>COUNTIFS(H416:H432,"Critical",I416:I432,"&lt;2")+COUNTIFS(H416:H432,"High",I416:I432,"&lt;2")</f>
        <v>0</v>
      </c>
      <c r="J21" s="5">
        <f>COUNTIF(T416:T432,"In Progress")+COUNTIF(T416:T432,"Not Started")</f>
        <v>0</v>
      </c>
      <c r="K21" s="5">
        <f ca="1">COUNTIFS(P416:P432,"&lt;"&amp;TODAY(),Q416:Q432,"")</f>
        <v>0</v>
      </c>
      <c r="L21" s="3"/>
      <c r="M21" s="3"/>
      <c r="N21" s="3"/>
      <c r="O21" s="3"/>
    </row>
    <row r="22" spans="1:15" ht="28" customHeight="1" x14ac:dyDescent="0.35">
      <c r="A22" s="4" t="s">
        <v>234</v>
      </c>
      <c r="B22" s="7">
        <v>46142</v>
      </c>
      <c r="C22" s="8"/>
      <c r="D22" s="3"/>
      <c r="E22" s="5">
        <f>SUMIF(I438:I454,"&gt;=0",I438:I454)</f>
        <v>0</v>
      </c>
      <c r="F22" s="5">
        <f>COUNT(I438:I454)*2</f>
        <v>0</v>
      </c>
      <c r="G22" s="6" t="str">
        <f t="shared" si="0"/>
        <v/>
      </c>
      <c r="H22" s="5" t="str">
        <f t="shared" si="1"/>
        <v>Not Started</v>
      </c>
      <c r="I22" s="5">
        <f>COUNTIFS(H438:H454,"Critical",I438:I454,"&lt;2")+COUNTIFS(H438:H454,"High",I438:I454,"&lt;2")</f>
        <v>0</v>
      </c>
      <c r="J22" s="5">
        <f>COUNTIF(T438:T454,"In Progress")+COUNTIF(T438:T454,"Not Started")</f>
        <v>0</v>
      </c>
      <c r="K22" s="5">
        <f ca="1">COUNTIFS(P438:P454,"&lt;"&amp;TODAY(),Q438:Q454,"")</f>
        <v>0</v>
      </c>
      <c r="L22" s="3"/>
      <c r="M22" s="3"/>
      <c r="N22" s="3"/>
      <c r="O22" s="3"/>
    </row>
    <row r="23" spans="1:15" ht="28" customHeight="1" x14ac:dyDescent="0.35">
      <c r="A23" s="4" t="s">
        <v>235</v>
      </c>
      <c r="B23" s="7">
        <v>46149</v>
      </c>
      <c r="C23" s="8"/>
      <c r="D23" s="3"/>
      <c r="E23" s="5">
        <f>SUMIF(I460:I476,"&gt;=0",I460:I476)</f>
        <v>0</v>
      </c>
      <c r="F23" s="5">
        <f>COUNT(I460:I476)*2</f>
        <v>0</v>
      </c>
      <c r="G23" s="6" t="str">
        <f t="shared" si="0"/>
        <v/>
      </c>
      <c r="H23" s="5" t="str">
        <f t="shared" si="1"/>
        <v>Not Started</v>
      </c>
      <c r="I23" s="5">
        <f>COUNTIFS(H460:H476,"Critical",I460:I476,"&lt;2")+COUNTIFS(H460:H476,"High",I460:I476,"&lt;2")</f>
        <v>0</v>
      </c>
      <c r="J23" s="5">
        <f>COUNTIF(T460:T476,"In Progress")+COUNTIF(T460:T476,"Not Started")</f>
        <v>0</v>
      </c>
      <c r="K23" s="5">
        <f ca="1">COUNTIFS(P460:P476,"&lt;"&amp;TODAY(),Q460:Q476,"")</f>
        <v>0</v>
      </c>
      <c r="L23" s="3"/>
      <c r="M23" s="3"/>
      <c r="N23" s="3"/>
      <c r="O23" s="3"/>
    </row>
    <row r="24" spans="1:15" ht="28" customHeight="1" x14ac:dyDescent="0.35">
      <c r="A24" s="4" t="s">
        <v>236</v>
      </c>
      <c r="B24" s="7">
        <v>46156</v>
      </c>
      <c r="C24" s="8"/>
      <c r="D24" s="3"/>
      <c r="E24" s="5">
        <f>SUMIF(I482:I498,"&gt;=0",I482:I498)</f>
        <v>0</v>
      </c>
      <c r="F24" s="5">
        <f>COUNT(I482:I498)*2</f>
        <v>0</v>
      </c>
      <c r="G24" s="6" t="str">
        <f t="shared" si="0"/>
        <v/>
      </c>
      <c r="H24" s="5" t="str">
        <f t="shared" si="1"/>
        <v>Not Started</v>
      </c>
      <c r="I24" s="5">
        <f>COUNTIFS(H482:H498,"Critical",I482:I498,"&lt;2")+COUNTIFS(H482:H498,"High",I482:I498,"&lt;2")</f>
        <v>0</v>
      </c>
      <c r="J24" s="5">
        <f>COUNTIF(T482:T498,"In Progress")+COUNTIF(T482:T498,"Not Started")</f>
        <v>0</v>
      </c>
      <c r="K24" s="5">
        <f ca="1">COUNTIFS(P482:P498,"&lt;"&amp;TODAY(),Q482:Q498,"")</f>
        <v>0</v>
      </c>
      <c r="L24" s="3"/>
      <c r="M24" s="3"/>
      <c r="N24" s="3"/>
      <c r="O24" s="3"/>
    </row>
    <row r="25" spans="1:15" ht="28" customHeight="1" x14ac:dyDescent="0.35">
      <c r="A25" s="4" t="s">
        <v>237</v>
      </c>
      <c r="B25" s="7">
        <v>46163</v>
      </c>
      <c r="C25" s="8"/>
      <c r="D25" s="3"/>
      <c r="E25" s="5">
        <f>SUMIF(I504:I520,"&gt;=0",I504:I520)</f>
        <v>0</v>
      </c>
      <c r="F25" s="5">
        <f>COUNT(I504:I520)*2</f>
        <v>0</v>
      </c>
      <c r="G25" s="6" t="str">
        <f t="shared" si="0"/>
        <v/>
      </c>
      <c r="H25" s="5" t="str">
        <f t="shared" si="1"/>
        <v>Not Started</v>
      </c>
      <c r="I25" s="5">
        <f>COUNTIFS(H504:H520,"Critical",I504:I520,"&lt;2")+COUNTIFS(H504:H520,"High",I504:I520,"&lt;2")</f>
        <v>0</v>
      </c>
      <c r="J25" s="5">
        <f>COUNTIF(T504:T520,"In Progress")+COUNTIF(T504:T520,"Not Started")</f>
        <v>0</v>
      </c>
      <c r="K25" s="5">
        <f ca="1">COUNTIFS(P504:P520,"&lt;"&amp;TODAY(),Q504:Q520,"")</f>
        <v>0</v>
      </c>
      <c r="L25" s="3"/>
      <c r="M25" s="3"/>
      <c r="N25" s="3"/>
      <c r="O25" s="3"/>
    </row>
    <row r="26" spans="1:15" ht="28" customHeight="1" x14ac:dyDescent="0.35">
      <c r="A26" s="4" t="s">
        <v>238</v>
      </c>
      <c r="B26" s="7">
        <v>46170</v>
      </c>
      <c r="C26" s="8"/>
      <c r="D26" s="3"/>
      <c r="E26" s="5">
        <f>SUMIF(I526:I542,"&gt;=0",I526:I542)</f>
        <v>0</v>
      </c>
      <c r="F26" s="5">
        <f>COUNT(I526:I542)*2</f>
        <v>0</v>
      </c>
      <c r="G26" s="6" t="str">
        <f t="shared" si="0"/>
        <v/>
      </c>
      <c r="H26" s="5" t="str">
        <f t="shared" si="1"/>
        <v>Not Started</v>
      </c>
      <c r="I26" s="5">
        <f>COUNTIFS(H526:H542,"Critical",I526:I542,"&lt;2")+COUNTIFS(H526:H542,"High",I526:I542,"&lt;2")</f>
        <v>0</v>
      </c>
      <c r="J26" s="5">
        <f>COUNTIF(T526:T542,"In Progress")+COUNTIF(T526:T542,"Not Started")</f>
        <v>0</v>
      </c>
      <c r="K26" s="5">
        <f ca="1">COUNTIFS(P526:P542,"&lt;"&amp;TODAY(),Q526:Q542,"")</f>
        <v>0</v>
      </c>
      <c r="L26" s="3"/>
      <c r="M26" s="3"/>
      <c r="N26" s="3"/>
      <c r="O26" s="3"/>
    </row>
    <row r="27" spans="1:15" ht="28" customHeight="1" x14ac:dyDescent="0.35">
      <c r="A27" s="4" t="s">
        <v>239</v>
      </c>
      <c r="B27" s="7">
        <v>46177</v>
      </c>
      <c r="C27" s="8"/>
      <c r="D27" s="3"/>
      <c r="E27" s="5">
        <f>SUMIF(I548:I564,"&gt;=0",I548:I564)</f>
        <v>0</v>
      </c>
      <c r="F27" s="5">
        <f>COUNT(I548:I564)*2</f>
        <v>0</v>
      </c>
      <c r="G27" s="6" t="str">
        <f t="shared" si="0"/>
        <v/>
      </c>
      <c r="H27" s="5" t="str">
        <f t="shared" si="1"/>
        <v>Not Started</v>
      </c>
      <c r="I27" s="5">
        <f>COUNTIFS(H548:H564,"Critical",I548:I564,"&lt;2")+COUNTIFS(H548:H564,"High",I548:I564,"&lt;2")</f>
        <v>0</v>
      </c>
      <c r="J27" s="5">
        <f>COUNTIF(T548:T564,"In Progress")+COUNTIF(T548:T564,"Not Started")</f>
        <v>0</v>
      </c>
      <c r="K27" s="5">
        <f ca="1">COUNTIFS(P548:P564,"&lt;"&amp;TODAY(),Q548:Q564,"")</f>
        <v>0</v>
      </c>
      <c r="L27" s="3"/>
      <c r="M27" s="3"/>
      <c r="N27" s="3"/>
      <c r="O27" s="3"/>
    </row>
    <row r="28" spans="1:15" ht="28" customHeight="1" x14ac:dyDescent="0.35">
      <c r="A28" s="4" t="s">
        <v>240</v>
      </c>
      <c r="B28" s="7">
        <v>46184</v>
      </c>
      <c r="C28" s="8"/>
      <c r="D28" s="3"/>
      <c r="E28" s="5">
        <f>SUMIF(I570:I586,"&gt;=0",I570:I586)</f>
        <v>0</v>
      </c>
      <c r="F28" s="5">
        <f>COUNT(I570:I586)*2</f>
        <v>0</v>
      </c>
      <c r="G28" s="6" t="str">
        <f t="shared" si="0"/>
        <v/>
      </c>
      <c r="H28" s="5" t="str">
        <f t="shared" si="1"/>
        <v>Not Started</v>
      </c>
      <c r="I28" s="5">
        <f>COUNTIFS(H570:H586,"Critical",I570:I586,"&lt;2")+COUNTIFS(H570:H586,"High",I570:I586,"&lt;2")</f>
        <v>0</v>
      </c>
      <c r="J28" s="5">
        <f>COUNTIF(T570:T586,"In Progress")+COUNTIF(T570:T586,"Not Started")</f>
        <v>0</v>
      </c>
      <c r="K28" s="5">
        <f ca="1">COUNTIFS(P570:P586,"&lt;"&amp;TODAY(),Q570:Q586,"")</f>
        <v>0</v>
      </c>
      <c r="L28" s="3"/>
      <c r="M28" s="3"/>
      <c r="N28" s="3"/>
      <c r="O28" s="3"/>
    </row>
    <row r="29" spans="1:15" ht="28" customHeight="1" x14ac:dyDescent="0.35">
      <c r="A29" s="4" t="s">
        <v>241</v>
      </c>
      <c r="B29" s="7">
        <v>46191</v>
      </c>
      <c r="C29" s="8"/>
      <c r="D29" s="3"/>
      <c r="E29" s="5">
        <f>SUMIF(I592:I608,"&gt;=0",I592:I608)</f>
        <v>0</v>
      </c>
      <c r="F29" s="5">
        <f>COUNT(I592:I608)*2</f>
        <v>0</v>
      </c>
      <c r="G29" s="6" t="str">
        <f t="shared" si="0"/>
        <v/>
      </c>
      <c r="H29" s="5" t="str">
        <f t="shared" si="1"/>
        <v>Not Started</v>
      </c>
      <c r="I29" s="5">
        <f>COUNTIFS(H592:H608,"Critical",I592:I608,"&lt;2")+COUNTIFS(H592:H608,"High",I592:I608,"&lt;2")</f>
        <v>0</v>
      </c>
      <c r="J29" s="5">
        <f>COUNTIF(T592:T608,"In Progress")+COUNTIF(T592:T608,"Not Started")</f>
        <v>0</v>
      </c>
      <c r="K29" s="5">
        <f ca="1">COUNTIFS(P592:P608,"&lt;"&amp;TODAY(),Q592:Q608,"")</f>
        <v>0</v>
      </c>
      <c r="L29" s="3"/>
      <c r="M29" s="3"/>
      <c r="N29" s="3"/>
      <c r="O29" s="3"/>
    </row>
    <row r="30" spans="1:15" ht="28" customHeight="1" x14ac:dyDescent="0.35">
      <c r="A30" s="4" t="s">
        <v>242</v>
      </c>
      <c r="B30" s="7">
        <v>46198</v>
      </c>
      <c r="C30" s="8"/>
      <c r="D30" s="3"/>
      <c r="E30" s="5">
        <f>SUMIF(I614:I630,"&gt;=0",I614:I630)</f>
        <v>0</v>
      </c>
      <c r="F30" s="5">
        <f>COUNT(I614:I630)*2</f>
        <v>0</v>
      </c>
      <c r="G30" s="6" t="str">
        <f t="shared" si="0"/>
        <v/>
      </c>
      <c r="H30" s="5" t="str">
        <f t="shared" si="1"/>
        <v>Not Started</v>
      </c>
      <c r="I30" s="5">
        <f>COUNTIFS(H614:H630,"Critical",I614:I630,"&lt;2")+COUNTIFS(H614:H630,"High",I614:I630,"&lt;2")</f>
        <v>0</v>
      </c>
      <c r="J30" s="5">
        <f>COUNTIF(T614:T630,"In Progress")+COUNTIF(T614:T630,"Not Started")</f>
        <v>0</v>
      </c>
      <c r="K30" s="5">
        <f ca="1">COUNTIFS(P614:P630,"&lt;"&amp;TODAY(),Q614:Q630,"")</f>
        <v>0</v>
      </c>
      <c r="L30" s="3"/>
      <c r="M30" s="3"/>
      <c r="N30" s="3"/>
      <c r="O30" s="3"/>
    </row>
    <row r="31" spans="1:15" ht="28" customHeight="1" x14ac:dyDescent="0.35">
      <c r="A31" s="4" t="s">
        <v>243</v>
      </c>
      <c r="B31" s="7">
        <v>46205</v>
      </c>
      <c r="C31" s="8"/>
      <c r="D31" s="3"/>
      <c r="E31" s="5">
        <f>SUMIF(I636:I652,"&gt;=0",I636:I652)</f>
        <v>0</v>
      </c>
      <c r="F31" s="5">
        <f>COUNT(I636:I652)*2</f>
        <v>0</v>
      </c>
      <c r="G31" s="6" t="str">
        <f t="shared" si="0"/>
        <v/>
      </c>
      <c r="H31" s="5" t="str">
        <f t="shared" si="1"/>
        <v>Not Started</v>
      </c>
      <c r="I31" s="5">
        <f>COUNTIFS(H636:H652,"Critical",I636:I652,"&lt;2")+COUNTIFS(H636:H652,"High",I636:I652,"&lt;2")</f>
        <v>0</v>
      </c>
      <c r="J31" s="5">
        <f>COUNTIF(T636:T652,"In Progress")+COUNTIF(T636:T652,"Not Started")</f>
        <v>0</v>
      </c>
      <c r="K31" s="5">
        <f ca="1">COUNTIFS(P636:P652,"&lt;"&amp;TODAY(),Q636:Q652,"")</f>
        <v>0</v>
      </c>
      <c r="L31" s="3"/>
      <c r="M31" s="3"/>
      <c r="N31" s="3"/>
      <c r="O31" s="3"/>
    </row>
    <row r="32" spans="1:15" ht="28" customHeight="1" x14ac:dyDescent="0.35">
      <c r="A32" s="4" t="s">
        <v>244</v>
      </c>
      <c r="B32" s="7">
        <v>46212</v>
      </c>
      <c r="C32" s="8"/>
      <c r="D32" s="3"/>
      <c r="E32" s="5">
        <f>SUMIF(I658:I674,"&gt;=0",I658:I674)</f>
        <v>0</v>
      </c>
      <c r="F32" s="5">
        <f>COUNT(I658:I674)*2</f>
        <v>0</v>
      </c>
      <c r="G32" s="6" t="str">
        <f t="shared" si="0"/>
        <v/>
      </c>
      <c r="H32" s="5" t="str">
        <f t="shared" si="1"/>
        <v>Not Started</v>
      </c>
      <c r="I32" s="5">
        <f>COUNTIFS(H658:H674,"Critical",I658:I674,"&lt;2")+COUNTIFS(H658:H674,"High",I658:I674,"&lt;2")</f>
        <v>0</v>
      </c>
      <c r="J32" s="5">
        <f>COUNTIF(T658:T674,"In Progress")+COUNTIF(T658:T674,"Not Started")</f>
        <v>0</v>
      </c>
      <c r="K32" s="5">
        <f ca="1">COUNTIFS(P658:P674,"&lt;"&amp;TODAY(),Q658:Q674,"")</f>
        <v>0</v>
      </c>
      <c r="L32" s="3"/>
      <c r="M32" s="3"/>
      <c r="N32" s="3"/>
      <c r="O32" s="3"/>
    </row>
    <row r="33" spans="1:15" ht="28" customHeight="1" x14ac:dyDescent="0.35">
      <c r="A33" s="4" t="s">
        <v>245</v>
      </c>
      <c r="B33" s="7">
        <v>46219</v>
      </c>
      <c r="C33" s="8"/>
      <c r="D33" s="3"/>
      <c r="E33" s="5">
        <f>SUMIF(I680:I696,"&gt;=0",I680:I696)</f>
        <v>0</v>
      </c>
      <c r="F33" s="5">
        <f>COUNT(I680:I696)*2</f>
        <v>0</v>
      </c>
      <c r="G33" s="6" t="str">
        <f t="shared" si="0"/>
        <v/>
      </c>
      <c r="H33" s="5" t="str">
        <f t="shared" si="1"/>
        <v>Not Started</v>
      </c>
      <c r="I33" s="5">
        <f>COUNTIFS(H680:H696,"Critical",I680:I696,"&lt;2")+COUNTIFS(H680:H696,"High",I680:I696,"&lt;2")</f>
        <v>0</v>
      </c>
      <c r="J33" s="5">
        <f>COUNTIF(T680:T696,"In Progress")+COUNTIF(T680:T696,"Not Started")</f>
        <v>0</v>
      </c>
      <c r="K33" s="5">
        <f ca="1">COUNTIFS(P680:P696,"&lt;"&amp;TODAY(),Q680:Q696,"")</f>
        <v>0</v>
      </c>
      <c r="L33" s="3"/>
      <c r="M33" s="3"/>
      <c r="N33" s="3"/>
      <c r="O33" s="3"/>
    </row>
    <row r="34" spans="1:15" ht="28" customHeight="1" x14ac:dyDescent="0.35">
      <c r="A34" s="4" t="s">
        <v>246</v>
      </c>
      <c r="B34" s="7">
        <v>46226</v>
      </c>
      <c r="C34" s="8"/>
      <c r="D34" s="3"/>
      <c r="E34" s="5">
        <f>SUMIF(I702:I718,"&gt;=0",I702:I718)</f>
        <v>0</v>
      </c>
      <c r="F34" s="5">
        <f>COUNT(I702:I718)*2</f>
        <v>0</v>
      </c>
      <c r="G34" s="6" t="str">
        <f t="shared" si="0"/>
        <v/>
      </c>
      <c r="H34" s="5" t="str">
        <f t="shared" si="1"/>
        <v>Not Started</v>
      </c>
      <c r="I34" s="5">
        <f>COUNTIFS(H702:H718,"Critical",I702:I718,"&lt;2")+COUNTIFS(H702:H718,"High",I702:I718,"&lt;2")</f>
        <v>0</v>
      </c>
      <c r="J34" s="5">
        <f>COUNTIF(T702:T718,"In Progress")+COUNTIF(T702:T718,"Not Started")</f>
        <v>0</v>
      </c>
      <c r="K34" s="5">
        <f ca="1">COUNTIFS(P702:P718,"&lt;"&amp;TODAY(),Q702:Q718,"")</f>
        <v>0</v>
      </c>
      <c r="L34" s="3"/>
      <c r="M34" s="3"/>
      <c r="N34" s="3"/>
      <c r="O34" s="3"/>
    </row>
    <row r="35" spans="1:15" ht="28" customHeight="1" x14ac:dyDescent="0.35">
      <c r="A35" s="4" t="s">
        <v>247</v>
      </c>
      <c r="B35" s="7">
        <v>46233</v>
      </c>
      <c r="C35" s="8"/>
      <c r="D35" s="3"/>
      <c r="E35" s="5">
        <f>SUMIF(I724:I740,"&gt;=0",I724:I740)</f>
        <v>0</v>
      </c>
      <c r="F35" s="5">
        <f>COUNT(I724:I740)*2</f>
        <v>0</v>
      </c>
      <c r="G35" s="6" t="str">
        <f t="shared" si="0"/>
        <v/>
      </c>
      <c r="H35" s="5" t="str">
        <f t="shared" si="1"/>
        <v>Not Started</v>
      </c>
      <c r="I35" s="5">
        <f>COUNTIFS(H724:H740,"Critical",I724:I740,"&lt;2")+COUNTIFS(H724:H740,"High",I724:I740,"&lt;2")</f>
        <v>0</v>
      </c>
      <c r="J35" s="5">
        <f>COUNTIF(T724:T740,"In Progress")+COUNTIF(T724:T740,"Not Started")</f>
        <v>0</v>
      </c>
      <c r="K35" s="5">
        <f ca="1">COUNTIFS(P724:P740,"&lt;"&amp;TODAY(),Q724:Q740,"")</f>
        <v>0</v>
      </c>
      <c r="L35" s="3"/>
      <c r="M35" s="3"/>
      <c r="N35" s="3"/>
      <c r="O35" s="3"/>
    </row>
    <row r="36" spans="1:15" ht="28" customHeight="1" x14ac:dyDescent="0.35">
      <c r="A36" s="4" t="s">
        <v>248</v>
      </c>
      <c r="B36" s="7">
        <v>46240</v>
      </c>
      <c r="C36" s="8"/>
      <c r="D36" s="3"/>
      <c r="E36" s="5">
        <f>SUMIF(I746:I762,"&gt;=0",I746:I762)</f>
        <v>0</v>
      </c>
      <c r="F36" s="5">
        <f>COUNT(I746:I762)*2</f>
        <v>0</v>
      </c>
      <c r="G36" s="6" t="str">
        <f t="shared" si="0"/>
        <v/>
      </c>
      <c r="H36" s="5" t="str">
        <f t="shared" si="1"/>
        <v>Not Started</v>
      </c>
      <c r="I36" s="5">
        <f>COUNTIFS(H746:H762,"Critical",I746:I762,"&lt;2")+COUNTIFS(H746:H762,"High",I746:I762,"&lt;2")</f>
        <v>0</v>
      </c>
      <c r="J36" s="5">
        <f>COUNTIF(T746:T762,"In Progress")+COUNTIF(T746:T762,"Not Started")</f>
        <v>0</v>
      </c>
      <c r="K36" s="5">
        <f ca="1">COUNTIFS(P746:P762,"&lt;"&amp;TODAY(),Q746:Q762,"")</f>
        <v>0</v>
      </c>
      <c r="L36" s="3"/>
      <c r="M36" s="3"/>
      <c r="N36" s="3"/>
      <c r="O36" s="3"/>
    </row>
    <row r="37" spans="1:15" ht="28" customHeight="1" x14ac:dyDescent="0.35">
      <c r="A37" s="4" t="s">
        <v>249</v>
      </c>
      <c r="B37" s="7">
        <v>46247</v>
      </c>
      <c r="C37" s="8"/>
      <c r="D37" s="3"/>
      <c r="E37" s="5">
        <f>SUMIF(I768:I784,"&gt;=0",I768:I784)</f>
        <v>0</v>
      </c>
      <c r="F37" s="5">
        <f>COUNT(I768:I784)*2</f>
        <v>0</v>
      </c>
      <c r="G37" s="6" t="str">
        <f t="shared" ref="G37:G68" si="2">IF(F37=0,"",E37/F37)</f>
        <v/>
      </c>
      <c r="H37" s="5" t="str">
        <f t="shared" ref="H37:H68" si="3">IF(G37="","Not Started",IF(G37&gt;=0.9,"Green",IF(G37&gt;=0.75,"Amber","Red")))</f>
        <v>Not Started</v>
      </c>
      <c r="I37" s="5">
        <f>COUNTIFS(H768:H784,"Critical",I768:I784,"&lt;2")+COUNTIFS(H768:H784,"High",I768:I784,"&lt;2")</f>
        <v>0</v>
      </c>
      <c r="J37" s="5">
        <f>COUNTIF(T768:T784,"In Progress")+COUNTIF(T768:T784,"Not Started")</f>
        <v>0</v>
      </c>
      <c r="K37" s="5">
        <f ca="1">COUNTIFS(P768:P784,"&lt;"&amp;TODAY(),Q768:Q784,"")</f>
        <v>0</v>
      </c>
      <c r="L37" s="3"/>
      <c r="M37" s="3"/>
      <c r="N37" s="3"/>
      <c r="O37" s="3"/>
    </row>
    <row r="38" spans="1:15" ht="28" customHeight="1" x14ac:dyDescent="0.35">
      <c r="A38" s="4" t="s">
        <v>250</v>
      </c>
      <c r="B38" s="7">
        <v>46254</v>
      </c>
      <c r="C38" s="8"/>
      <c r="D38" s="3"/>
      <c r="E38" s="5">
        <f>SUMIF(I790:I806,"&gt;=0",I790:I806)</f>
        <v>0</v>
      </c>
      <c r="F38" s="5">
        <f>COUNT(I790:I806)*2</f>
        <v>0</v>
      </c>
      <c r="G38" s="6" t="str">
        <f t="shared" si="2"/>
        <v/>
      </c>
      <c r="H38" s="5" t="str">
        <f t="shared" si="3"/>
        <v>Not Started</v>
      </c>
      <c r="I38" s="5">
        <f>COUNTIFS(H790:H806,"Critical",I790:I806,"&lt;2")+COUNTIFS(H790:H806,"High",I790:I806,"&lt;2")</f>
        <v>0</v>
      </c>
      <c r="J38" s="5">
        <f>COUNTIF(T790:T806,"In Progress")+COUNTIF(T790:T806,"Not Started")</f>
        <v>0</v>
      </c>
      <c r="K38" s="5">
        <f ca="1">COUNTIFS(P790:P806,"&lt;"&amp;TODAY(),Q790:Q806,"")</f>
        <v>0</v>
      </c>
      <c r="L38" s="3"/>
      <c r="M38" s="3"/>
      <c r="N38" s="3"/>
      <c r="O38" s="3"/>
    </row>
    <row r="39" spans="1:15" ht="28" customHeight="1" x14ac:dyDescent="0.35">
      <c r="A39" s="4" t="s">
        <v>251</v>
      </c>
      <c r="B39" s="7">
        <v>46261</v>
      </c>
      <c r="C39" s="8"/>
      <c r="D39" s="3"/>
      <c r="E39" s="5">
        <f>SUMIF(I812:I828,"&gt;=0",I812:I828)</f>
        <v>0</v>
      </c>
      <c r="F39" s="5">
        <f>COUNT(I812:I828)*2</f>
        <v>0</v>
      </c>
      <c r="G39" s="6" t="str">
        <f t="shared" si="2"/>
        <v/>
      </c>
      <c r="H39" s="5" t="str">
        <f t="shared" si="3"/>
        <v>Not Started</v>
      </c>
      <c r="I39" s="5">
        <f>COUNTIFS(H812:H828,"Critical",I812:I828,"&lt;2")+COUNTIFS(H812:H828,"High",I812:I828,"&lt;2")</f>
        <v>0</v>
      </c>
      <c r="J39" s="5">
        <f>COUNTIF(T812:T828,"In Progress")+COUNTIF(T812:T828,"Not Started")</f>
        <v>0</v>
      </c>
      <c r="K39" s="5">
        <f ca="1">COUNTIFS(P812:P828,"&lt;"&amp;TODAY(),Q812:Q828,"")</f>
        <v>0</v>
      </c>
      <c r="L39" s="3"/>
      <c r="M39" s="3"/>
      <c r="N39" s="3"/>
      <c r="O39" s="3"/>
    </row>
    <row r="40" spans="1:15" ht="28" customHeight="1" x14ac:dyDescent="0.35">
      <c r="A40" s="4" t="s">
        <v>252</v>
      </c>
      <c r="B40" s="7">
        <v>46268</v>
      </c>
      <c r="C40" s="8"/>
      <c r="D40" s="3"/>
      <c r="E40" s="5">
        <f>SUMIF(I834:I850,"&gt;=0",I834:I850)</f>
        <v>0</v>
      </c>
      <c r="F40" s="5">
        <f>COUNT(I834:I850)*2</f>
        <v>0</v>
      </c>
      <c r="G40" s="6" t="str">
        <f t="shared" si="2"/>
        <v/>
      </c>
      <c r="H40" s="5" t="str">
        <f t="shared" si="3"/>
        <v>Not Started</v>
      </c>
      <c r="I40" s="5">
        <f>COUNTIFS(H834:H850,"Critical",I834:I850,"&lt;2")+COUNTIFS(H834:H850,"High",I834:I850,"&lt;2")</f>
        <v>0</v>
      </c>
      <c r="J40" s="5">
        <f>COUNTIF(T834:T850,"In Progress")+COUNTIF(T834:T850,"Not Started")</f>
        <v>0</v>
      </c>
      <c r="K40" s="5">
        <f ca="1">COUNTIFS(P834:P850,"&lt;"&amp;TODAY(),Q834:Q850,"")</f>
        <v>0</v>
      </c>
      <c r="L40" s="3"/>
      <c r="M40" s="3"/>
      <c r="N40" s="3"/>
      <c r="O40" s="3"/>
    </row>
    <row r="41" spans="1:15" ht="28" customHeight="1" x14ac:dyDescent="0.35">
      <c r="A41" s="4" t="s">
        <v>253</v>
      </c>
      <c r="B41" s="7">
        <v>46275</v>
      </c>
      <c r="C41" s="8"/>
      <c r="D41" s="3"/>
      <c r="E41" s="5">
        <f>SUMIF(I856:I872,"&gt;=0",I856:I872)</f>
        <v>0</v>
      </c>
      <c r="F41" s="5">
        <f>COUNT(I856:I872)*2</f>
        <v>0</v>
      </c>
      <c r="G41" s="6" t="str">
        <f t="shared" si="2"/>
        <v/>
      </c>
      <c r="H41" s="5" t="str">
        <f t="shared" si="3"/>
        <v>Not Started</v>
      </c>
      <c r="I41" s="5">
        <f>COUNTIFS(H856:H872,"Critical",I856:I872,"&lt;2")+COUNTIFS(H856:H872,"High",I856:I872,"&lt;2")</f>
        <v>0</v>
      </c>
      <c r="J41" s="5">
        <f>COUNTIF(T856:T872,"In Progress")+COUNTIF(T856:T872,"Not Started")</f>
        <v>0</v>
      </c>
      <c r="K41" s="5">
        <f ca="1">COUNTIFS(P856:P872,"&lt;"&amp;TODAY(),Q856:Q872,"")</f>
        <v>0</v>
      </c>
      <c r="L41" s="3"/>
      <c r="M41" s="3"/>
      <c r="N41" s="3"/>
      <c r="O41" s="3"/>
    </row>
    <row r="42" spans="1:15" ht="28" customHeight="1" x14ac:dyDescent="0.35">
      <c r="A42" s="4" t="s">
        <v>254</v>
      </c>
      <c r="B42" s="7">
        <v>46282</v>
      </c>
      <c r="C42" s="8"/>
      <c r="D42" s="3"/>
      <c r="E42" s="5">
        <f>SUMIF(I878:I894,"&gt;=0",I878:I894)</f>
        <v>0</v>
      </c>
      <c r="F42" s="5">
        <f>COUNT(I878:I894)*2</f>
        <v>0</v>
      </c>
      <c r="G42" s="6" t="str">
        <f t="shared" si="2"/>
        <v/>
      </c>
      <c r="H42" s="5" t="str">
        <f t="shared" si="3"/>
        <v>Not Started</v>
      </c>
      <c r="I42" s="5">
        <f>COUNTIFS(H878:H894,"Critical",I878:I894,"&lt;2")+COUNTIFS(H878:H894,"High",I878:I894,"&lt;2")</f>
        <v>0</v>
      </c>
      <c r="J42" s="5">
        <f>COUNTIF(T878:T894,"In Progress")+COUNTIF(T878:T894,"Not Started")</f>
        <v>0</v>
      </c>
      <c r="K42" s="5">
        <f ca="1">COUNTIFS(P878:P894,"&lt;"&amp;TODAY(),Q878:Q894,"")</f>
        <v>0</v>
      </c>
      <c r="L42" s="3"/>
      <c r="M42" s="3"/>
      <c r="N42" s="3"/>
      <c r="O42" s="3"/>
    </row>
    <row r="43" spans="1:15" ht="28" customHeight="1" x14ac:dyDescent="0.35">
      <c r="A43" s="4" t="s">
        <v>255</v>
      </c>
      <c r="B43" s="7">
        <v>46289</v>
      </c>
      <c r="C43" s="8"/>
      <c r="D43" s="3"/>
      <c r="E43" s="5">
        <f>SUMIF(I900:I916,"&gt;=0",I900:I916)</f>
        <v>0</v>
      </c>
      <c r="F43" s="5">
        <f>COUNT(I900:I916)*2</f>
        <v>0</v>
      </c>
      <c r="G43" s="6" t="str">
        <f t="shared" si="2"/>
        <v/>
      </c>
      <c r="H43" s="5" t="str">
        <f t="shared" si="3"/>
        <v>Not Started</v>
      </c>
      <c r="I43" s="5">
        <f>COUNTIFS(H900:H916,"Critical",I900:I916,"&lt;2")+COUNTIFS(H900:H916,"High",I900:I916,"&lt;2")</f>
        <v>0</v>
      </c>
      <c r="J43" s="5">
        <f>COUNTIF(T900:T916,"In Progress")+COUNTIF(T900:T916,"Not Started")</f>
        <v>0</v>
      </c>
      <c r="K43" s="5">
        <f ca="1">COUNTIFS(P900:P916,"&lt;"&amp;TODAY(),Q900:Q916,"")</f>
        <v>0</v>
      </c>
      <c r="L43" s="3"/>
      <c r="M43" s="3"/>
      <c r="N43" s="3"/>
      <c r="O43" s="3"/>
    </row>
    <row r="44" spans="1:15" ht="28" customHeight="1" x14ac:dyDescent="0.35">
      <c r="A44" s="4" t="s">
        <v>256</v>
      </c>
      <c r="B44" s="7">
        <v>46296</v>
      </c>
      <c r="C44" s="8"/>
      <c r="D44" s="3"/>
      <c r="E44" s="5">
        <f>SUMIF(I922:I938,"&gt;=0",I922:I938)</f>
        <v>0</v>
      </c>
      <c r="F44" s="5">
        <f>COUNT(I922:I938)*2</f>
        <v>0</v>
      </c>
      <c r="G44" s="6" t="str">
        <f t="shared" si="2"/>
        <v/>
      </c>
      <c r="H44" s="5" t="str">
        <f t="shared" si="3"/>
        <v>Not Started</v>
      </c>
      <c r="I44" s="5">
        <f>COUNTIFS(H922:H938,"Critical",I922:I938,"&lt;2")+COUNTIFS(H922:H938,"High",I922:I938,"&lt;2")</f>
        <v>0</v>
      </c>
      <c r="J44" s="5">
        <f>COUNTIF(T922:T938,"In Progress")+COUNTIF(T922:T938,"Not Started")</f>
        <v>0</v>
      </c>
      <c r="K44" s="5">
        <f ca="1">COUNTIFS(P922:P938,"&lt;"&amp;TODAY(),Q922:Q938,"")</f>
        <v>0</v>
      </c>
      <c r="L44" s="3"/>
      <c r="M44" s="3"/>
      <c r="N44" s="3"/>
      <c r="O44" s="3"/>
    </row>
    <row r="45" spans="1:15" ht="28" customHeight="1" x14ac:dyDescent="0.35">
      <c r="A45" s="4" t="s">
        <v>257</v>
      </c>
      <c r="B45" s="7">
        <v>46303</v>
      </c>
      <c r="C45" s="8"/>
      <c r="D45" s="3"/>
      <c r="E45" s="5">
        <f>SUMIF(I944:I960,"&gt;=0",I944:I960)</f>
        <v>0</v>
      </c>
      <c r="F45" s="5">
        <f>COUNT(I944:I960)*2</f>
        <v>0</v>
      </c>
      <c r="G45" s="6" t="str">
        <f t="shared" si="2"/>
        <v/>
      </c>
      <c r="H45" s="5" t="str">
        <f t="shared" si="3"/>
        <v>Not Started</v>
      </c>
      <c r="I45" s="5">
        <f>COUNTIFS(H944:H960,"Critical",I944:I960,"&lt;2")+COUNTIFS(H944:H960,"High",I944:I960,"&lt;2")</f>
        <v>0</v>
      </c>
      <c r="J45" s="5">
        <f>COUNTIF(T944:T960,"In Progress")+COUNTIF(T944:T960,"Not Started")</f>
        <v>0</v>
      </c>
      <c r="K45" s="5">
        <f ca="1">COUNTIFS(P944:P960,"&lt;"&amp;TODAY(),Q944:Q960,"")</f>
        <v>0</v>
      </c>
      <c r="L45" s="3"/>
      <c r="M45" s="3"/>
      <c r="N45" s="3"/>
      <c r="O45" s="3"/>
    </row>
    <row r="46" spans="1:15" ht="28" customHeight="1" x14ac:dyDescent="0.35">
      <c r="A46" s="4" t="s">
        <v>258</v>
      </c>
      <c r="B46" s="7">
        <v>46310</v>
      </c>
      <c r="C46" s="8"/>
      <c r="D46" s="3"/>
      <c r="E46" s="5">
        <f>SUMIF(I966:I982,"&gt;=0",I966:I982)</f>
        <v>0</v>
      </c>
      <c r="F46" s="5">
        <f>COUNT(I966:I982)*2</f>
        <v>0</v>
      </c>
      <c r="G46" s="6" t="str">
        <f t="shared" si="2"/>
        <v/>
      </c>
      <c r="H46" s="5" t="str">
        <f t="shared" si="3"/>
        <v>Not Started</v>
      </c>
      <c r="I46" s="5">
        <f>COUNTIFS(H966:H982,"Critical",I966:I982,"&lt;2")+COUNTIFS(H966:H982,"High",I966:I982,"&lt;2")</f>
        <v>0</v>
      </c>
      <c r="J46" s="5">
        <f>COUNTIF(T966:T982,"In Progress")+COUNTIF(T966:T982,"Not Started")</f>
        <v>0</v>
      </c>
      <c r="K46" s="5">
        <f ca="1">COUNTIFS(P966:P982,"&lt;"&amp;TODAY(),Q966:Q982,"")</f>
        <v>0</v>
      </c>
      <c r="L46" s="3"/>
      <c r="M46" s="3"/>
      <c r="N46" s="3"/>
      <c r="O46" s="3"/>
    </row>
    <row r="47" spans="1:15" ht="28" customHeight="1" x14ac:dyDescent="0.35">
      <c r="A47" s="4" t="s">
        <v>259</v>
      </c>
      <c r="B47" s="7">
        <v>46317</v>
      </c>
      <c r="C47" s="8"/>
      <c r="D47" s="3"/>
      <c r="E47" s="5">
        <f>SUMIF(I988:I1004,"&gt;=0",I988:I1004)</f>
        <v>0</v>
      </c>
      <c r="F47" s="5">
        <f>COUNT(I988:I1004)*2</f>
        <v>0</v>
      </c>
      <c r="G47" s="6" t="str">
        <f t="shared" si="2"/>
        <v/>
      </c>
      <c r="H47" s="5" t="str">
        <f t="shared" si="3"/>
        <v>Not Started</v>
      </c>
      <c r="I47" s="5">
        <f>COUNTIFS(H988:H1004,"Critical",I988:I1004,"&lt;2")+COUNTIFS(H988:H1004,"High",I988:I1004,"&lt;2")</f>
        <v>0</v>
      </c>
      <c r="J47" s="5">
        <f>COUNTIF(T988:T1004,"In Progress")+COUNTIF(T988:T1004,"Not Started")</f>
        <v>0</v>
      </c>
      <c r="K47" s="5">
        <f ca="1">COUNTIFS(P988:P1004,"&lt;"&amp;TODAY(),Q988:Q1004,"")</f>
        <v>0</v>
      </c>
      <c r="L47" s="3"/>
      <c r="M47" s="3"/>
      <c r="N47" s="3"/>
      <c r="O47" s="3"/>
    </row>
    <row r="48" spans="1:15" ht="28" customHeight="1" x14ac:dyDescent="0.35">
      <c r="A48" s="4" t="s">
        <v>260</v>
      </c>
      <c r="B48" s="7">
        <v>46324</v>
      </c>
      <c r="C48" s="8"/>
      <c r="D48" s="3"/>
      <c r="E48" s="5">
        <f>SUMIF(I1010:I1026,"&gt;=0",I1010:I1026)</f>
        <v>0</v>
      </c>
      <c r="F48" s="5">
        <f>COUNT(I1010:I1026)*2</f>
        <v>0</v>
      </c>
      <c r="G48" s="6" t="str">
        <f t="shared" si="2"/>
        <v/>
      </c>
      <c r="H48" s="5" t="str">
        <f t="shared" si="3"/>
        <v>Not Started</v>
      </c>
      <c r="I48" s="5">
        <f>COUNTIFS(H1010:H1026,"Critical",I1010:I1026,"&lt;2")+COUNTIFS(H1010:H1026,"High",I1010:I1026,"&lt;2")</f>
        <v>0</v>
      </c>
      <c r="J48" s="5">
        <f>COUNTIF(T1010:T1026,"In Progress")+COUNTIF(T1010:T1026,"Not Started")</f>
        <v>0</v>
      </c>
      <c r="K48" s="5">
        <f ca="1">COUNTIFS(P1010:P1026,"&lt;"&amp;TODAY(),Q1010:Q1026,"")</f>
        <v>0</v>
      </c>
      <c r="L48" s="3"/>
      <c r="M48" s="3"/>
      <c r="N48" s="3"/>
      <c r="O48" s="3"/>
    </row>
    <row r="49" spans="1:21" ht="28" customHeight="1" x14ac:dyDescent="0.35">
      <c r="A49" s="4" t="s">
        <v>261</v>
      </c>
      <c r="B49" s="7">
        <v>46331</v>
      </c>
      <c r="C49" s="8"/>
      <c r="D49" s="3"/>
      <c r="E49" s="5">
        <f>SUMIF(I1032:I1048,"&gt;=0",I1032:I1048)</f>
        <v>0</v>
      </c>
      <c r="F49" s="5">
        <f>COUNT(I1032:I1048)*2</f>
        <v>0</v>
      </c>
      <c r="G49" s="6" t="str">
        <f t="shared" si="2"/>
        <v/>
      </c>
      <c r="H49" s="5" t="str">
        <f t="shared" si="3"/>
        <v>Not Started</v>
      </c>
      <c r="I49" s="5">
        <f>COUNTIFS(H1032:H1048,"Critical",I1032:I1048,"&lt;2")+COUNTIFS(H1032:H1048,"High",I1032:I1048,"&lt;2")</f>
        <v>0</v>
      </c>
      <c r="J49" s="5">
        <f>COUNTIF(T1032:T1048,"In Progress")+COUNTIF(T1032:T1048,"Not Started")</f>
        <v>0</v>
      </c>
      <c r="K49" s="5">
        <f ca="1">COUNTIFS(P1032:P1048,"&lt;"&amp;TODAY(),Q1032:Q1048,"")</f>
        <v>0</v>
      </c>
      <c r="L49" s="3"/>
      <c r="M49" s="3"/>
      <c r="N49" s="3"/>
      <c r="O49" s="3"/>
    </row>
    <row r="50" spans="1:21" ht="28" customHeight="1" x14ac:dyDescent="0.35">
      <c r="A50" s="4" t="s">
        <v>262</v>
      </c>
      <c r="B50" s="7">
        <v>46338</v>
      </c>
      <c r="C50" s="8"/>
      <c r="D50" s="3"/>
      <c r="E50" s="5">
        <f>SUMIF(I1054:I1070,"&gt;=0",I1054:I1070)</f>
        <v>0</v>
      </c>
      <c r="F50" s="5">
        <f>COUNT(I1054:I1070)*2</f>
        <v>0</v>
      </c>
      <c r="G50" s="6" t="str">
        <f t="shared" si="2"/>
        <v/>
      </c>
      <c r="H50" s="5" t="str">
        <f t="shared" si="3"/>
        <v>Not Started</v>
      </c>
      <c r="I50" s="5">
        <f>COUNTIFS(H1054:H1070,"Critical",I1054:I1070,"&lt;2")+COUNTIFS(H1054:H1070,"High",I1054:I1070,"&lt;2")</f>
        <v>0</v>
      </c>
      <c r="J50" s="5">
        <f>COUNTIF(T1054:T1070,"In Progress")+COUNTIF(T1054:T1070,"Not Started")</f>
        <v>0</v>
      </c>
      <c r="K50" s="5">
        <f ca="1">COUNTIFS(P1054:P1070,"&lt;"&amp;TODAY(),Q1054:Q1070,"")</f>
        <v>0</v>
      </c>
      <c r="L50" s="3"/>
      <c r="M50" s="3"/>
      <c r="N50" s="3"/>
      <c r="O50" s="3"/>
    </row>
    <row r="51" spans="1:21" ht="28" customHeight="1" x14ac:dyDescent="0.35">
      <c r="A51" s="4" t="s">
        <v>263</v>
      </c>
      <c r="B51" s="7">
        <v>46345</v>
      </c>
      <c r="C51" s="8"/>
      <c r="D51" s="3"/>
      <c r="E51" s="5">
        <f>SUMIF(I1076:I1092,"&gt;=0",I1076:I1092)</f>
        <v>0</v>
      </c>
      <c r="F51" s="5">
        <f>COUNT(I1076:I1092)*2</f>
        <v>0</v>
      </c>
      <c r="G51" s="6" t="str">
        <f t="shared" si="2"/>
        <v/>
      </c>
      <c r="H51" s="5" t="str">
        <f t="shared" si="3"/>
        <v>Not Started</v>
      </c>
      <c r="I51" s="5">
        <f>COUNTIFS(H1076:H1092,"Critical",I1076:I1092,"&lt;2")+COUNTIFS(H1076:H1092,"High",I1076:I1092,"&lt;2")</f>
        <v>0</v>
      </c>
      <c r="J51" s="5">
        <f>COUNTIF(T1076:T1092,"In Progress")+COUNTIF(T1076:T1092,"Not Started")</f>
        <v>0</v>
      </c>
      <c r="K51" s="5">
        <f ca="1">COUNTIFS(P1076:P1092,"&lt;"&amp;TODAY(),Q1076:Q1092,"")</f>
        <v>0</v>
      </c>
      <c r="L51" s="3"/>
      <c r="M51" s="3"/>
      <c r="N51" s="3"/>
      <c r="O51" s="3"/>
    </row>
    <row r="52" spans="1:21" ht="28" customHeight="1" x14ac:dyDescent="0.35">
      <c r="A52" s="4" t="s">
        <v>264</v>
      </c>
      <c r="B52" s="7">
        <v>46352</v>
      </c>
      <c r="C52" s="8"/>
      <c r="D52" s="3"/>
      <c r="E52" s="5">
        <f>SUMIF(I1098:I1114,"&gt;=0",I1098:I1114)</f>
        <v>0</v>
      </c>
      <c r="F52" s="5">
        <f>COUNT(I1098:I1114)*2</f>
        <v>0</v>
      </c>
      <c r="G52" s="6" t="str">
        <f t="shared" si="2"/>
        <v/>
      </c>
      <c r="H52" s="5" t="str">
        <f t="shared" si="3"/>
        <v>Not Started</v>
      </c>
      <c r="I52" s="5">
        <f>COUNTIFS(H1098:H1114,"Critical",I1098:I1114,"&lt;2")+COUNTIFS(H1098:H1114,"High",I1098:I1114,"&lt;2")</f>
        <v>0</v>
      </c>
      <c r="J52" s="5">
        <f>COUNTIF(T1098:T1114,"In Progress")+COUNTIF(T1098:T1114,"Not Started")</f>
        <v>0</v>
      </c>
      <c r="K52" s="5">
        <f ca="1">COUNTIFS(P1098:P1114,"&lt;"&amp;TODAY(),Q1098:Q1114,"")</f>
        <v>0</v>
      </c>
      <c r="L52" s="3"/>
      <c r="M52" s="3"/>
      <c r="N52" s="3"/>
      <c r="O52" s="3"/>
    </row>
    <row r="53" spans="1:21" ht="28" customHeight="1" x14ac:dyDescent="0.35">
      <c r="A53" s="4" t="s">
        <v>265</v>
      </c>
      <c r="B53" s="7">
        <v>46359</v>
      </c>
      <c r="C53" s="8"/>
      <c r="D53" s="3"/>
      <c r="E53" s="5">
        <f>SUMIF(I1120:I1136,"&gt;=0",I1120:I1136)</f>
        <v>0</v>
      </c>
      <c r="F53" s="5">
        <f>COUNT(I1120:I1136)*2</f>
        <v>0</v>
      </c>
      <c r="G53" s="6" t="str">
        <f t="shared" si="2"/>
        <v/>
      </c>
      <c r="H53" s="5" t="str">
        <f t="shared" si="3"/>
        <v>Not Started</v>
      </c>
      <c r="I53" s="5">
        <f>COUNTIFS(H1120:H1136,"Critical",I1120:I1136,"&lt;2")+COUNTIFS(H1120:H1136,"High",I1120:I1136,"&lt;2")</f>
        <v>0</v>
      </c>
      <c r="J53" s="5">
        <f>COUNTIF(T1120:T1136,"In Progress")+COUNTIF(T1120:T1136,"Not Started")</f>
        <v>0</v>
      </c>
      <c r="K53" s="5">
        <f ca="1">COUNTIFS(P1120:P1136,"&lt;"&amp;TODAY(),Q1120:Q1136,"")</f>
        <v>0</v>
      </c>
      <c r="L53" s="3"/>
      <c r="M53" s="3"/>
      <c r="N53" s="3"/>
      <c r="O53" s="3"/>
    </row>
    <row r="54" spans="1:21" ht="28" customHeight="1" x14ac:dyDescent="0.35">
      <c r="A54" s="4" t="s">
        <v>266</v>
      </c>
      <c r="B54" s="7">
        <v>46366</v>
      </c>
      <c r="C54" s="8"/>
      <c r="D54" s="3"/>
      <c r="E54" s="5">
        <f>SUMIF(I1142:I1158,"&gt;=0",I1142:I1158)</f>
        <v>0</v>
      </c>
      <c r="F54" s="5">
        <f>COUNT(I1142:I1158)*2</f>
        <v>0</v>
      </c>
      <c r="G54" s="6" t="str">
        <f t="shared" si="2"/>
        <v/>
      </c>
      <c r="H54" s="5" t="str">
        <f t="shared" si="3"/>
        <v>Not Started</v>
      </c>
      <c r="I54" s="5">
        <f>COUNTIFS(H1142:H1158,"Critical",I1142:I1158,"&lt;2")+COUNTIFS(H1142:H1158,"High",I1142:I1158,"&lt;2")</f>
        <v>0</v>
      </c>
      <c r="J54" s="5">
        <f>COUNTIF(T1142:T1158,"In Progress")+COUNTIF(T1142:T1158,"Not Started")</f>
        <v>0</v>
      </c>
      <c r="K54" s="5">
        <f ca="1">COUNTIFS(P1142:P1158,"&lt;"&amp;TODAY(),Q1142:Q1158,"")</f>
        <v>0</v>
      </c>
      <c r="L54" s="3"/>
      <c r="M54" s="3"/>
      <c r="N54" s="3"/>
      <c r="O54" s="3"/>
    </row>
    <row r="55" spans="1:21" ht="28" customHeight="1" x14ac:dyDescent="0.35">
      <c r="A55" s="4" t="s">
        <v>267</v>
      </c>
      <c r="B55" s="7">
        <v>46373</v>
      </c>
      <c r="C55" s="8"/>
      <c r="D55" s="3"/>
      <c r="E55" s="5">
        <f>SUMIF(I1164:I1180,"&gt;=0",I1164:I1180)</f>
        <v>0</v>
      </c>
      <c r="F55" s="5">
        <f>COUNT(I1164:I1180)*2</f>
        <v>0</v>
      </c>
      <c r="G55" s="6" t="str">
        <f t="shared" si="2"/>
        <v/>
      </c>
      <c r="H55" s="5" t="str">
        <f t="shared" si="3"/>
        <v>Not Started</v>
      </c>
      <c r="I55" s="5">
        <f>COUNTIFS(H1164:H1180,"Critical",I1164:I1180,"&lt;2")+COUNTIFS(H1164:H1180,"High",I1164:I1180,"&lt;2")</f>
        <v>0</v>
      </c>
      <c r="J55" s="5">
        <f>COUNTIF(T1164:T1180,"In Progress")+COUNTIF(T1164:T1180,"Not Started")</f>
        <v>0</v>
      </c>
      <c r="K55" s="5">
        <f ca="1">COUNTIFS(P1164:P1180,"&lt;"&amp;TODAY(),Q1164:Q1180,"")</f>
        <v>0</v>
      </c>
      <c r="L55" s="3"/>
      <c r="M55" s="3"/>
      <c r="N55" s="3"/>
      <c r="O55" s="3"/>
    </row>
    <row r="56" spans="1:21" ht="28" customHeight="1" x14ac:dyDescent="0.35">
      <c r="A56" s="4" t="s">
        <v>268</v>
      </c>
      <c r="B56" s="7">
        <v>46380</v>
      </c>
      <c r="C56" s="8"/>
      <c r="D56" s="3"/>
      <c r="E56" s="5">
        <f>SUMIF(I1186:I1202,"&gt;=0",I1186:I1202)</f>
        <v>0</v>
      </c>
      <c r="F56" s="5">
        <f>COUNT(I1186:I1202)*2</f>
        <v>0</v>
      </c>
      <c r="G56" s="6" t="str">
        <f t="shared" si="2"/>
        <v/>
      </c>
      <c r="H56" s="5" t="str">
        <f t="shared" si="3"/>
        <v>Not Started</v>
      </c>
      <c r="I56" s="5">
        <f>COUNTIFS(H1186:H1202,"Critical",I1186:I1202,"&lt;2")+COUNTIFS(H1186:H1202,"High",I1186:I1202,"&lt;2")</f>
        <v>0</v>
      </c>
      <c r="J56" s="5">
        <f>COUNTIF(T1186:T1202,"In Progress")+COUNTIF(T1186:T1202,"Not Started")</f>
        <v>0</v>
      </c>
      <c r="K56" s="5">
        <f ca="1">COUNTIFS(P1186:P1202,"&lt;"&amp;TODAY(),Q1186:Q1202,"")</f>
        <v>0</v>
      </c>
      <c r="L56" s="3"/>
      <c r="M56" s="3"/>
      <c r="N56" s="3"/>
      <c r="O56" s="3"/>
    </row>
    <row r="61" spans="1:21" ht="28" customHeight="1" x14ac:dyDescent="0.35">
      <c r="A61" s="19" t="s">
        <v>269</v>
      </c>
      <c r="B61" s="20"/>
      <c r="C61" s="20"/>
      <c r="D61" s="20"/>
      <c r="E61" s="20"/>
      <c r="F61" s="20"/>
      <c r="G61" s="20"/>
      <c r="H61" s="20"/>
      <c r="I61" s="20"/>
      <c r="J61" s="20"/>
      <c r="K61" s="20"/>
      <c r="L61" s="20"/>
      <c r="M61" s="20"/>
      <c r="N61" s="20"/>
      <c r="O61" s="20"/>
      <c r="P61" s="20"/>
      <c r="Q61" s="20"/>
      <c r="R61" s="20"/>
      <c r="S61" s="20"/>
      <c r="T61" s="20"/>
      <c r="U61" s="21"/>
    </row>
    <row r="62" spans="1:21" ht="28" customHeight="1" x14ac:dyDescent="0.35">
      <c r="A62" s="4" t="s">
        <v>31</v>
      </c>
      <c r="B62" s="3" t="s">
        <v>217</v>
      </c>
      <c r="C62" s="4" t="s">
        <v>32</v>
      </c>
      <c r="D62" s="3"/>
      <c r="E62" s="4" t="s">
        <v>33</v>
      </c>
      <c r="F62" s="8"/>
    </row>
    <row r="63" spans="1:21" ht="28" customHeight="1" x14ac:dyDescent="0.35">
      <c r="A63" s="1" t="s">
        <v>34</v>
      </c>
      <c r="B63" s="1" t="s">
        <v>35</v>
      </c>
      <c r="C63" s="1" t="s">
        <v>36</v>
      </c>
      <c r="D63" s="1" t="s">
        <v>37</v>
      </c>
      <c r="E63" s="1" t="s">
        <v>38</v>
      </c>
      <c r="F63" s="1" t="s">
        <v>39</v>
      </c>
      <c r="G63" s="1" t="s">
        <v>40</v>
      </c>
      <c r="H63" s="1" t="s">
        <v>41</v>
      </c>
      <c r="I63" s="1" t="s">
        <v>42</v>
      </c>
      <c r="J63" s="1" t="s">
        <v>43</v>
      </c>
      <c r="K63" s="1" t="s">
        <v>44</v>
      </c>
      <c r="L63" s="1" t="s">
        <v>45</v>
      </c>
      <c r="M63" s="1" t="s">
        <v>46</v>
      </c>
      <c r="N63" s="1" t="s">
        <v>47</v>
      </c>
      <c r="O63" s="1" t="s">
        <v>48</v>
      </c>
      <c r="P63" s="1" t="s">
        <v>4</v>
      </c>
      <c r="Q63" s="1" t="s">
        <v>49</v>
      </c>
      <c r="R63" s="1" t="s">
        <v>50</v>
      </c>
      <c r="S63" s="1" t="s">
        <v>51</v>
      </c>
      <c r="T63" s="1" t="s">
        <v>52</v>
      </c>
      <c r="U63" s="1" t="s">
        <v>10</v>
      </c>
    </row>
    <row r="64" spans="1:21" ht="28" customHeight="1" x14ac:dyDescent="0.35">
      <c r="A64" s="4">
        <v>1</v>
      </c>
      <c r="B64" s="4" t="s">
        <v>270</v>
      </c>
      <c r="C64" s="4" t="s">
        <v>271</v>
      </c>
      <c r="D64" s="4" t="s">
        <v>272</v>
      </c>
      <c r="E64" s="4" t="s">
        <v>109</v>
      </c>
      <c r="F64" s="4" t="s">
        <v>273</v>
      </c>
      <c r="G64" s="4" t="s">
        <v>199</v>
      </c>
      <c r="H64" s="4" t="s">
        <v>59</v>
      </c>
      <c r="I64" s="3"/>
      <c r="J64" s="3"/>
      <c r="K64" s="3"/>
      <c r="L64" s="3"/>
      <c r="M64" s="3"/>
      <c r="N64" s="3"/>
      <c r="O64" s="3"/>
      <c r="P64" s="8"/>
      <c r="Q64" s="8"/>
      <c r="R64" s="3"/>
      <c r="S64" s="3"/>
      <c r="T64" s="3"/>
      <c r="U64" s="5" t="str">
        <f t="shared" ref="U64:U80" si="4">IF(I64="","",IF(I64="NA","Grey",IF(I64=2,"Green",IF(I64=1,"Amber","Red"))))</f>
        <v/>
      </c>
    </row>
    <row r="65" spans="1:21" ht="28" customHeight="1" x14ac:dyDescent="0.35">
      <c r="A65" s="4">
        <v>2</v>
      </c>
      <c r="B65" s="4" t="s">
        <v>270</v>
      </c>
      <c r="C65" s="4" t="s">
        <v>274</v>
      </c>
      <c r="D65" s="4" t="s">
        <v>275</v>
      </c>
      <c r="E65" s="4" t="s">
        <v>69</v>
      </c>
      <c r="F65" s="4" t="s">
        <v>276</v>
      </c>
      <c r="G65" s="4" t="s">
        <v>199</v>
      </c>
      <c r="H65" s="4" t="s">
        <v>76</v>
      </c>
      <c r="I65" s="3"/>
      <c r="J65" s="3"/>
      <c r="K65" s="3"/>
      <c r="L65" s="3"/>
      <c r="M65" s="3"/>
      <c r="N65" s="3"/>
      <c r="O65" s="3"/>
      <c r="P65" s="8"/>
      <c r="Q65" s="8"/>
      <c r="R65" s="3"/>
      <c r="S65" s="3"/>
      <c r="T65" s="3"/>
      <c r="U65" s="5" t="str">
        <f t="shared" si="4"/>
        <v/>
      </c>
    </row>
    <row r="66" spans="1:21" ht="28" customHeight="1" x14ac:dyDescent="0.35">
      <c r="A66" s="4">
        <v>3</v>
      </c>
      <c r="B66" s="4" t="s">
        <v>270</v>
      </c>
      <c r="C66" s="4" t="s">
        <v>277</v>
      </c>
      <c r="D66" s="4" t="s">
        <v>278</v>
      </c>
      <c r="E66" s="4" t="s">
        <v>279</v>
      </c>
      <c r="F66" s="4" t="s">
        <v>280</v>
      </c>
      <c r="G66" s="4" t="s">
        <v>209</v>
      </c>
      <c r="H66" s="4" t="s">
        <v>76</v>
      </c>
      <c r="I66" s="3"/>
      <c r="J66" s="3"/>
      <c r="K66" s="3"/>
      <c r="L66" s="3"/>
      <c r="M66" s="3"/>
      <c r="N66" s="3"/>
      <c r="O66" s="3"/>
      <c r="P66" s="8"/>
      <c r="Q66" s="8"/>
      <c r="R66" s="3"/>
      <c r="S66" s="3"/>
      <c r="T66" s="3"/>
      <c r="U66" s="5" t="str">
        <f t="shared" si="4"/>
        <v/>
      </c>
    </row>
    <row r="67" spans="1:21" ht="28" customHeight="1" x14ac:dyDescent="0.35">
      <c r="A67" s="4">
        <v>4</v>
      </c>
      <c r="B67" s="4" t="s">
        <v>270</v>
      </c>
      <c r="C67" s="4" t="s">
        <v>281</v>
      </c>
      <c r="D67" s="4" t="s">
        <v>282</v>
      </c>
      <c r="E67" s="4" t="s">
        <v>283</v>
      </c>
      <c r="F67" s="4" t="s">
        <v>284</v>
      </c>
      <c r="G67" s="4" t="s">
        <v>204</v>
      </c>
      <c r="H67" s="4" t="s">
        <v>76</v>
      </c>
      <c r="I67" s="3"/>
      <c r="J67" s="3"/>
      <c r="K67" s="3"/>
      <c r="L67" s="3"/>
      <c r="M67" s="3"/>
      <c r="N67" s="3"/>
      <c r="O67" s="3"/>
      <c r="P67" s="8"/>
      <c r="Q67" s="8"/>
      <c r="R67" s="3"/>
      <c r="S67" s="3"/>
      <c r="T67" s="3"/>
      <c r="U67" s="5" t="str">
        <f t="shared" si="4"/>
        <v/>
      </c>
    </row>
    <row r="68" spans="1:21" ht="28" customHeight="1" x14ac:dyDescent="0.35">
      <c r="A68" s="4">
        <v>5</v>
      </c>
      <c r="B68" s="4" t="s">
        <v>285</v>
      </c>
      <c r="C68" s="4" t="s">
        <v>286</v>
      </c>
      <c r="D68" s="4" t="s">
        <v>287</v>
      </c>
      <c r="E68" s="4" t="s">
        <v>69</v>
      </c>
      <c r="F68" s="4" t="s">
        <v>276</v>
      </c>
      <c r="G68" s="4" t="s">
        <v>199</v>
      </c>
      <c r="H68" s="4" t="s">
        <v>76</v>
      </c>
      <c r="I68" s="3"/>
      <c r="J68" s="3"/>
      <c r="K68" s="3"/>
      <c r="L68" s="3"/>
      <c r="M68" s="3"/>
      <c r="N68" s="3"/>
      <c r="O68" s="3"/>
      <c r="P68" s="8"/>
      <c r="Q68" s="8"/>
      <c r="R68" s="3"/>
      <c r="S68" s="3"/>
      <c r="T68" s="3"/>
      <c r="U68" s="5" t="str">
        <f t="shared" si="4"/>
        <v/>
      </c>
    </row>
    <row r="69" spans="1:21" ht="28" customHeight="1" x14ac:dyDescent="0.35">
      <c r="A69" s="4">
        <v>6</v>
      </c>
      <c r="B69" s="4" t="s">
        <v>285</v>
      </c>
      <c r="C69" s="4" t="s">
        <v>288</v>
      </c>
      <c r="D69" s="4" t="s">
        <v>289</v>
      </c>
      <c r="E69" s="4" t="s">
        <v>70</v>
      </c>
      <c r="F69" s="4" t="s">
        <v>276</v>
      </c>
      <c r="G69" s="4" t="s">
        <v>199</v>
      </c>
      <c r="H69" s="4" t="s">
        <v>59</v>
      </c>
      <c r="I69" s="3"/>
      <c r="J69" s="3"/>
      <c r="K69" s="3"/>
      <c r="L69" s="3"/>
      <c r="M69" s="3"/>
      <c r="N69" s="3"/>
      <c r="O69" s="3"/>
      <c r="P69" s="8"/>
      <c r="Q69" s="8"/>
      <c r="R69" s="3"/>
      <c r="S69" s="3"/>
      <c r="T69" s="3"/>
      <c r="U69" s="5" t="str">
        <f t="shared" si="4"/>
        <v/>
      </c>
    </row>
    <row r="70" spans="1:21" ht="28" customHeight="1" x14ac:dyDescent="0.35">
      <c r="A70" s="4">
        <v>7</v>
      </c>
      <c r="B70" s="4" t="s">
        <v>290</v>
      </c>
      <c r="C70" s="4" t="s">
        <v>291</v>
      </c>
      <c r="D70" s="4" t="s">
        <v>292</v>
      </c>
      <c r="E70" s="4" t="s">
        <v>109</v>
      </c>
      <c r="F70" s="4" t="s">
        <v>284</v>
      </c>
      <c r="G70" s="4" t="s">
        <v>204</v>
      </c>
      <c r="H70" s="4" t="s">
        <v>59</v>
      </c>
      <c r="I70" s="3"/>
      <c r="J70" s="3"/>
      <c r="K70" s="3"/>
      <c r="L70" s="3"/>
      <c r="M70" s="3"/>
      <c r="N70" s="3"/>
      <c r="O70" s="3"/>
      <c r="P70" s="8"/>
      <c r="Q70" s="8"/>
      <c r="R70" s="3"/>
      <c r="S70" s="3"/>
      <c r="T70" s="3"/>
      <c r="U70" s="5" t="str">
        <f t="shared" si="4"/>
        <v/>
      </c>
    </row>
    <row r="71" spans="1:21" ht="28" customHeight="1" x14ac:dyDescent="0.35">
      <c r="A71" s="4">
        <v>8</v>
      </c>
      <c r="B71" s="4" t="s">
        <v>290</v>
      </c>
      <c r="C71" s="4" t="s">
        <v>293</v>
      </c>
      <c r="D71" s="4" t="s">
        <v>294</v>
      </c>
      <c r="E71" s="4" t="s">
        <v>70</v>
      </c>
      <c r="F71" s="4" t="s">
        <v>295</v>
      </c>
      <c r="G71" s="4" t="s">
        <v>199</v>
      </c>
      <c r="H71" s="4" t="s">
        <v>76</v>
      </c>
      <c r="I71" s="3"/>
      <c r="J71" s="3"/>
      <c r="K71" s="3"/>
      <c r="L71" s="3"/>
      <c r="M71" s="3"/>
      <c r="N71" s="3"/>
      <c r="O71" s="3"/>
      <c r="P71" s="8"/>
      <c r="Q71" s="8"/>
      <c r="R71" s="3"/>
      <c r="S71" s="3"/>
      <c r="T71" s="3"/>
      <c r="U71" s="5" t="str">
        <f t="shared" si="4"/>
        <v/>
      </c>
    </row>
    <row r="72" spans="1:21" ht="28" customHeight="1" x14ac:dyDescent="0.35">
      <c r="A72" s="4">
        <v>9</v>
      </c>
      <c r="B72" s="4" t="s">
        <v>296</v>
      </c>
      <c r="C72" s="4" t="s">
        <v>297</v>
      </c>
      <c r="D72" s="4" t="s">
        <v>70</v>
      </c>
      <c r="E72" s="4" t="s">
        <v>70</v>
      </c>
      <c r="F72" s="4" t="s">
        <v>295</v>
      </c>
      <c r="G72" s="4" t="s">
        <v>199</v>
      </c>
      <c r="H72" s="4" t="s">
        <v>76</v>
      </c>
      <c r="I72" s="3"/>
      <c r="J72" s="3"/>
      <c r="K72" s="3"/>
      <c r="L72" s="3"/>
      <c r="M72" s="3"/>
      <c r="N72" s="3"/>
      <c r="O72" s="3"/>
      <c r="P72" s="8"/>
      <c r="Q72" s="8"/>
      <c r="R72" s="3"/>
      <c r="S72" s="3"/>
      <c r="T72" s="3"/>
      <c r="U72" s="5" t="str">
        <f t="shared" si="4"/>
        <v/>
      </c>
    </row>
    <row r="73" spans="1:21" ht="28" customHeight="1" x14ac:dyDescent="0.35">
      <c r="A73" s="4">
        <v>10</v>
      </c>
      <c r="B73" s="4" t="s">
        <v>296</v>
      </c>
      <c r="C73" s="4" t="s">
        <v>298</v>
      </c>
      <c r="D73" s="4" t="s">
        <v>299</v>
      </c>
      <c r="E73" s="4" t="s">
        <v>283</v>
      </c>
      <c r="F73" s="4" t="s">
        <v>284</v>
      </c>
      <c r="G73" s="4" t="s">
        <v>204</v>
      </c>
      <c r="H73" s="4" t="s">
        <v>59</v>
      </c>
      <c r="I73" s="3"/>
      <c r="J73" s="3"/>
      <c r="K73" s="3"/>
      <c r="L73" s="3"/>
      <c r="M73" s="3"/>
      <c r="N73" s="3"/>
      <c r="O73" s="3"/>
      <c r="P73" s="8"/>
      <c r="Q73" s="8"/>
      <c r="R73" s="3"/>
      <c r="S73" s="3"/>
      <c r="T73" s="3"/>
      <c r="U73" s="5" t="str">
        <f t="shared" si="4"/>
        <v/>
      </c>
    </row>
    <row r="74" spans="1:21" ht="28" customHeight="1" x14ac:dyDescent="0.35">
      <c r="A74" s="4">
        <v>11</v>
      </c>
      <c r="B74" s="4" t="s">
        <v>300</v>
      </c>
      <c r="C74" s="4" t="s">
        <v>301</v>
      </c>
      <c r="D74" s="4" t="s">
        <v>302</v>
      </c>
      <c r="E74" s="4" t="s">
        <v>56</v>
      </c>
      <c r="F74" s="4" t="s">
        <v>276</v>
      </c>
      <c r="G74" s="4" t="s">
        <v>199</v>
      </c>
      <c r="H74" s="4" t="s">
        <v>76</v>
      </c>
      <c r="I74" s="3"/>
      <c r="J74" s="3"/>
      <c r="K74" s="3"/>
      <c r="L74" s="3"/>
      <c r="M74" s="3"/>
      <c r="N74" s="3"/>
      <c r="O74" s="3"/>
      <c r="P74" s="8"/>
      <c r="Q74" s="8"/>
      <c r="R74" s="3"/>
      <c r="S74" s="3"/>
      <c r="T74" s="3"/>
      <c r="U74" s="5" t="str">
        <f t="shared" si="4"/>
        <v/>
      </c>
    </row>
    <row r="75" spans="1:21" ht="28" customHeight="1" x14ac:dyDescent="0.35">
      <c r="A75" s="4">
        <v>12</v>
      </c>
      <c r="B75" s="4" t="s">
        <v>303</v>
      </c>
      <c r="C75" s="4" t="s">
        <v>304</v>
      </c>
      <c r="D75" s="4" t="s">
        <v>305</v>
      </c>
      <c r="E75" s="4" t="s">
        <v>283</v>
      </c>
      <c r="F75" s="4" t="s">
        <v>276</v>
      </c>
      <c r="G75" s="4" t="s">
        <v>199</v>
      </c>
      <c r="H75" s="4" t="s">
        <v>76</v>
      </c>
      <c r="I75" s="3"/>
      <c r="J75" s="3"/>
      <c r="K75" s="3"/>
      <c r="L75" s="3"/>
      <c r="M75" s="3"/>
      <c r="N75" s="3"/>
      <c r="O75" s="3"/>
      <c r="P75" s="8"/>
      <c r="Q75" s="8"/>
      <c r="R75" s="3"/>
      <c r="S75" s="3"/>
      <c r="T75" s="3"/>
      <c r="U75" s="5" t="str">
        <f t="shared" si="4"/>
        <v/>
      </c>
    </row>
    <row r="76" spans="1:21" ht="28" customHeight="1" x14ac:dyDescent="0.35">
      <c r="A76" s="4">
        <v>13</v>
      </c>
      <c r="B76" s="4" t="s">
        <v>306</v>
      </c>
      <c r="C76" s="4" t="s">
        <v>307</v>
      </c>
      <c r="D76" s="4" t="s">
        <v>308</v>
      </c>
      <c r="E76" s="4" t="s">
        <v>69</v>
      </c>
      <c r="F76" s="4" t="s">
        <v>273</v>
      </c>
      <c r="G76" s="4" t="s">
        <v>96</v>
      </c>
      <c r="H76" s="4" t="s">
        <v>59</v>
      </c>
      <c r="I76" s="3"/>
      <c r="J76" s="3"/>
      <c r="K76" s="3"/>
      <c r="L76" s="3"/>
      <c r="M76" s="3"/>
      <c r="N76" s="3"/>
      <c r="O76" s="3"/>
      <c r="P76" s="8"/>
      <c r="Q76" s="8"/>
      <c r="R76" s="3"/>
      <c r="S76" s="3"/>
      <c r="T76" s="3"/>
      <c r="U76" s="5" t="str">
        <f t="shared" si="4"/>
        <v/>
      </c>
    </row>
    <row r="77" spans="1:21" ht="28" customHeight="1" x14ac:dyDescent="0.35">
      <c r="A77" s="4">
        <v>14</v>
      </c>
      <c r="B77" s="4" t="s">
        <v>97</v>
      </c>
      <c r="C77" s="4" t="s">
        <v>98</v>
      </c>
      <c r="D77" s="4" t="s">
        <v>99</v>
      </c>
      <c r="E77" s="4" t="s">
        <v>69</v>
      </c>
      <c r="F77" s="4" t="s">
        <v>95</v>
      </c>
      <c r="G77" s="4" t="s">
        <v>96</v>
      </c>
      <c r="H77" s="4" t="s">
        <v>59</v>
      </c>
      <c r="I77" s="3"/>
      <c r="J77" s="3"/>
      <c r="K77" s="3"/>
      <c r="L77" s="3"/>
      <c r="M77" s="3"/>
      <c r="N77" s="3"/>
      <c r="O77" s="3"/>
      <c r="P77" s="8"/>
      <c r="Q77" s="8"/>
      <c r="R77" s="3"/>
      <c r="S77" s="3"/>
      <c r="T77" s="3"/>
      <c r="U77" s="5" t="str">
        <f t="shared" si="4"/>
        <v/>
      </c>
    </row>
    <row r="78" spans="1:21" ht="28" customHeight="1" x14ac:dyDescent="0.35">
      <c r="A78" s="4">
        <v>15</v>
      </c>
      <c r="B78" s="4" t="s">
        <v>97</v>
      </c>
      <c r="C78" s="4" t="s">
        <v>100</v>
      </c>
      <c r="D78" s="4" t="s">
        <v>101</v>
      </c>
      <c r="E78" s="4" t="s">
        <v>69</v>
      </c>
      <c r="F78" s="4" t="s">
        <v>95</v>
      </c>
      <c r="G78" s="4" t="s">
        <v>102</v>
      </c>
      <c r="H78" s="4" t="s">
        <v>59</v>
      </c>
      <c r="I78" s="3"/>
      <c r="J78" s="3"/>
      <c r="K78" s="3"/>
      <c r="L78" s="3"/>
      <c r="M78" s="3"/>
      <c r="N78" s="3"/>
      <c r="O78" s="3"/>
      <c r="P78" s="8"/>
      <c r="Q78" s="8"/>
      <c r="R78" s="3"/>
      <c r="S78" s="3"/>
      <c r="T78" s="3"/>
      <c r="U78" s="5" t="str">
        <f t="shared" si="4"/>
        <v/>
      </c>
    </row>
    <row r="79" spans="1:21" ht="28" customHeight="1" x14ac:dyDescent="0.35">
      <c r="A79" s="4">
        <v>16</v>
      </c>
      <c r="B79" s="4" t="s">
        <v>103</v>
      </c>
      <c r="C79" s="4" t="s">
        <v>104</v>
      </c>
      <c r="D79" s="4" t="s">
        <v>105</v>
      </c>
      <c r="E79" s="4" t="s">
        <v>69</v>
      </c>
      <c r="F79" s="4" t="s">
        <v>95</v>
      </c>
      <c r="G79" s="4" t="s">
        <v>96</v>
      </c>
      <c r="H79" s="4" t="s">
        <v>85</v>
      </c>
      <c r="I79" s="3"/>
      <c r="J79" s="3"/>
      <c r="K79" s="3"/>
      <c r="L79" s="3"/>
      <c r="M79" s="3"/>
      <c r="N79" s="3"/>
      <c r="O79" s="3"/>
      <c r="P79" s="8"/>
      <c r="Q79" s="8"/>
      <c r="R79" s="3"/>
      <c r="S79" s="3"/>
      <c r="T79" s="3"/>
      <c r="U79" s="5" t="str">
        <f t="shared" si="4"/>
        <v/>
      </c>
    </row>
    <row r="80" spans="1:21" ht="28" customHeight="1" x14ac:dyDescent="0.35">
      <c r="A80" s="4">
        <v>17</v>
      </c>
      <c r="B80" s="4" t="s">
        <v>106</v>
      </c>
      <c r="C80" s="4" t="s">
        <v>107</v>
      </c>
      <c r="D80" s="4" t="s">
        <v>108</v>
      </c>
      <c r="E80" s="4" t="s">
        <v>109</v>
      </c>
      <c r="F80" s="4" t="s">
        <v>95</v>
      </c>
      <c r="G80" s="4" t="s">
        <v>96</v>
      </c>
      <c r="H80" s="4" t="s">
        <v>59</v>
      </c>
      <c r="I80" s="3"/>
      <c r="J80" s="3"/>
      <c r="K80" s="3"/>
      <c r="L80" s="3"/>
      <c r="M80" s="3"/>
      <c r="N80" s="3"/>
      <c r="O80" s="3"/>
      <c r="P80" s="8"/>
      <c r="Q80" s="8"/>
      <c r="R80" s="3"/>
      <c r="S80" s="3"/>
      <c r="T80" s="3"/>
      <c r="U80" s="5" t="str">
        <f t="shared" si="4"/>
        <v/>
      </c>
    </row>
    <row r="82" spans="1:21" ht="28" customHeight="1" x14ac:dyDescent="0.35">
      <c r="A82" s="9" t="s">
        <v>110</v>
      </c>
      <c r="B82" s="16"/>
      <c r="C82" s="17"/>
      <c r="D82" s="17"/>
      <c r="E82" s="17"/>
      <c r="F82" s="17"/>
      <c r="G82" s="17"/>
      <c r="H82" s="17"/>
      <c r="I82" s="17"/>
      <c r="J82" s="17"/>
      <c r="K82" s="17"/>
      <c r="L82" s="17"/>
      <c r="M82" s="17"/>
      <c r="N82" s="17"/>
      <c r="O82" s="17"/>
      <c r="P82" s="17"/>
      <c r="Q82" s="17"/>
      <c r="R82" s="17"/>
      <c r="S82" s="17"/>
      <c r="T82" s="17"/>
      <c r="U82" s="18"/>
    </row>
    <row r="83" spans="1:21" ht="28" customHeight="1" x14ac:dyDescent="0.35">
      <c r="A83" s="19" t="s">
        <v>309</v>
      </c>
      <c r="B83" s="20"/>
      <c r="C83" s="20"/>
      <c r="D83" s="20"/>
      <c r="E83" s="20"/>
      <c r="F83" s="20"/>
      <c r="G83" s="20"/>
      <c r="H83" s="20"/>
      <c r="I83" s="20"/>
      <c r="J83" s="20"/>
      <c r="K83" s="20"/>
      <c r="L83" s="20"/>
      <c r="M83" s="20"/>
      <c r="N83" s="20"/>
      <c r="O83" s="20"/>
      <c r="P83" s="20"/>
      <c r="Q83" s="20"/>
      <c r="R83" s="20"/>
      <c r="S83" s="20"/>
      <c r="T83" s="20"/>
      <c r="U83" s="21"/>
    </row>
    <row r="84" spans="1:21" ht="28" customHeight="1" x14ac:dyDescent="0.35">
      <c r="A84" s="4" t="s">
        <v>31</v>
      </c>
      <c r="B84" s="3" t="s">
        <v>218</v>
      </c>
      <c r="C84" s="4" t="s">
        <v>32</v>
      </c>
      <c r="D84" s="3"/>
      <c r="E84" s="4" t="s">
        <v>33</v>
      </c>
      <c r="F84" s="8"/>
    </row>
    <row r="85" spans="1:21" ht="28" customHeight="1" x14ac:dyDescent="0.35">
      <c r="A85" s="1" t="s">
        <v>34</v>
      </c>
      <c r="B85" s="1" t="s">
        <v>35</v>
      </c>
      <c r="C85" s="1" t="s">
        <v>36</v>
      </c>
      <c r="D85" s="1" t="s">
        <v>37</v>
      </c>
      <c r="E85" s="1" t="s">
        <v>38</v>
      </c>
      <c r="F85" s="1" t="s">
        <v>39</v>
      </c>
      <c r="G85" s="1" t="s">
        <v>40</v>
      </c>
      <c r="H85" s="1" t="s">
        <v>41</v>
      </c>
      <c r="I85" s="1" t="s">
        <v>42</v>
      </c>
      <c r="J85" s="1" t="s">
        <v>43</v>
      </c>
      <c r="K85" s="1" t="s">
        <v>44</v>
      </c>
      <c r="L85" s="1" t="s">
        <v>45</v>
      </c>
      <c r="M85" s="1" t="s">
        <v>46</v>
      </c>
      <c r="N85" s="1" t="s">
        <v>47</v>
      </c>
      <c r="O85" s="1" t="s">
        <v>48</v>
      </c>
      <c r="P85" s="1" t="s">
        <v>4</v>
      </c>
      <c r="Q85" s="1" t="s">
        <v>49</v>
      </c>
      <c r="R85" s="1" t="s">
        <v>50</v>
      </c>
      <c r="S85" s="1" t="s">
        <v>51</v>
      </c>
      <c r="T85" s="1" t="s">
        <v>52</v>
      </c>
      <c r="U85" s="1" t="s">
        <v>10</v>
      </c>
    </row>
    <row r="86" spans="1:21" ht="28" customHeight="1" x14ac:dyDescent="0.35">
      <c r="A86" s="4">
        <v>1</v>
      </c>
      <c r="B86" s="4" t="s">
        <v>270</v>
      </c>
      <c r="C86" s="4" t="s">
        <v>271</v>
      </c>
      <c r="D86" s="4" t="s">
        <v>272</v>
      </c>
      <c r="E86" s="4" t="s">
        <v>109</v>
      </c>
      <c r="F86" s="4" t="s">
        <v>273</v>
      </c>
      <c r="G86" s="4" t="s">
        <v>199</v>
      </c>
      <c r="H86" s="4" t="s">
        <v>59</v>
      </c>
      <c r="I86" s="3"/>
      <c r="J86" s="3"/>
      <c r="K86" s="3"/>
      <c r="L86" s="3"/>
      <c r="M86" s="3"/>
      <c r="N86" s="3"/>
      <c r="O86" s="3"/>
      <c r="P86" s="8"/>
      <c r="Q86" s="8"/>
      <c r="R86" s="3"/>
      <c r="S86" s="3"/>
      <c r="T86" s="3"/>
      <c r="U86" s="5" t="str">
        <f t="shared" ref="U86:U102" si="5">IF(I86="","",IF(I86="NA","Grey",IF(I86=2,"Green",IF(I86=1,"Amber","Red"))))</f>
        <v/>
      </c>
    </row>
    <row r="87" spans="1:21" ht="28" customHeight="1" x14ac:dyDescent="0.35">
      <c r="A87" s="4">
        <v>2</v>
      </c>
      <c r="B87" s="4" t="s">
        <v>270</v>
      </c>
      <c r="C87" s="4" t="s">
        <v>274</v>
      </c>
      <c r="D87" s="4" t="s">
        <v>275</v>
      </c>
      <c r="E87" s="4" t="s">
        <v>69</v>
      </c>
      <c r="F87" s="4" t="s">
        <v>276</v>
      </c>
      <c r="G87" s="4" t="s">
        <v>199</v>
      </c>
      <c r="H87" s="4" t="s">
        <v>76</v>
      </c>
      <c r="I87" s="3"/>
      <c r="J87" s="3"/>
      <c r="K87" s="3"/>
      <c r="L87" s="3"/>
      <c r="M87" s="3"/>
      <c r="N87" s="3"/>
      <c r="O87" s="3"/>
      <c r="P87" s="8"/>
      <c r="Q87" s="8"/>
      <c r="R87" s="3"/>
      <c r="S87" s="3"/>
      <c r="T87" s="3"/>
      <c r="U87" s="5" t="str">
        <f t="shared" si="5"/>
        <v/>
      </c>
    </row>
    <row r="88" spans="1:21" ht="28" customHeight="1" x14ac:dyDescent="0.35">
      <c r="A88" s="4">
        <v>3</v>
      </c>
      <c r="B88" s="4" t="s">
        <v>270</v>
      </c>
      <c r="C88" s="4" t="s">
        <v>277</v>
      </c>
      <c r="D88" s="4" t="s">
        <v>278</v>
      </c>
      <c r="E88" s="4" t="s">
        <v>279</v>
      </c>
      <c r="F88" s="4" t="s">
        <v>280</v>
      </c>
      <c r="G88" s="4" t="s">
        <v>209</v>
      </c>
      <c r="H88" s="4" t="s">
        <v>76</v>
      </c>
      <c r="I88" s="3"/>
      <c r="J88" s="3"/>
      <c r="K88" s="3"/>
      <c r="L88" s="3"/>
      <c r="M88" s="3"/>
      <c r="N88" s="3"/>
      <c r="O88" s="3"/>
      <c r="P88" s="8"/>
      <c r="Q88" s="8"/>
      <c r="R88" s="3"/>
      <c r="S88" s="3"/>
      <c r="T88" s="3"/>
      <c r="U88" s="5" t="str">
        <f t="shared" si="5"/>
        <v/>
      </c>
    </row>
    <row r="89" spans="1:21" ht="28" customHeight="1" x14ac:dyDescent="0.35">
      <c r="A89" s="4">
        <v>4</v>
      </c>
      <c r="B89" s="4" t="s">
        <v>270</v>
      </c>
      <c r="C89" s="4" t="s">
        <v>281</v>
      </c>
      <c r="D89" s="4" t="s">
        <v>282</v>
      </c>
      <c r="E89" s="4" t="s">
        <v>283</v>
      </c>
      <c r="F89" s="4" t="s">
        <v>284</v>
      </c>
      <c r="G89" s="4" t="s">
        <v>204</v>
      </c>
      <c r="H89" s="4" t="s">
        <v>76</v>
      </c>
      <c r="I89" s="3"/>
      <c r="J89" s="3"/>
      <c r="K89" s="3"/>
      <c r="L89" s="3"/>
      <c r="M89" s="3"/>
      <c r="N89" s="3"/>
      <c r="O89" s="3"/>
      <c r="P89" s="8"/>
      <c r="Q89" s="8"/>
      <c r="R89" s="3"/>
      <c r="S89" s="3"/>
      <c r="T89" s="3"/>
      <c r="U89" s="5" t="str">
        <f t="shared" si="5"/>
        <v/>
      </c>
    </row>
    <row r="90" spans="1:21" ht="28" customHeight="1" x14ac:dyDescent="0.35">
      <c r="A90" s="4">
        <v>5</v>
      </c>
      <c r="B90" s="4" t="s">
        <v>285</v>
      </c>
      <c r="C90" s="4" t="s">
        <v>286</v>
      </c>
      <c r="D90" s="4" t="s">
        <v>287</v>
      </c>
      <c r="E90" s="4" t="s">
        <v>69</v>
      </c>
      <c r="F90" s="4" t="s">
        <v>276</v>
      </c>
      <c r="G90" s="4" t="s">
        <v>199</v>
      </c>
      <c r="H90" s="4" t="s">
        <v>76</v>
      </c>
      <c r="I90" s="3"/>
      <c r="J90" s="3"/>
      <c r="K90" s="3"/>
      <c r="L90" s="3"/>
      <c r="M90" s="3"/>
      <c r="N90" s="3"/>
      <c r="O90" s="3"/>
      <c r="P90" s="8"/>
      <c r="Q90" s="8"/>
      <c r="R90" s="3"/>
      <c r="S90" s="3"/>
      <c r="T90" s="3"/>
      <c r="U90" s="5" t="str">
        <f t="shared" si="5"/>
        <v/>
      </c>
    </row>
    <row r="91" spans="1:21" ht="28" customHeight="1" x14ac:dyDescent="0.35">
      <c r="A91" s="4">
        <v>6</v>
      </c>
      <c r="B91" s="4" t="s">
        <v>285</v>
      </c>
      <c r="C91" s="4" t="s">
        <v>288</v>
      </c>
      <c r="D91" s="4" t="s">
        <v>289</v>
      </c>
      <c r="E91" s="4" t="s">
        <v>70</v>
      </c>
      <c r="F91" s="4" t="s">
        <v>276</v>
      </c>
      <c r="G91" s="4" t="s">
        <v>199</v>
      </c>
      <c r="H91" s="4" t="s">
        <v>59</v>
      </c>
      <c r="I91" s="3"/>
      <c r="J91" s="3"/>
      <c r="K91" s="3"/>
      <c r="L91" s="3"/>
      <c r="M91" s="3"/>
      <c r="N91" s="3"/>
      <c r="O91" s="3"/>
      <c r="P91" s="8"/>
      <c r="Q91" s="8"/>
      <c r="R91" s="3"/>
      <c r="S91" s="3"/>
      <c r="T91" s="3"/>
      <c r="U91" s="5" t="str">
        <f t="shared" si="5"/>
        <v/>
      </c>
    </row>
    <row r="92" spans="1:21" ht="28" customHeight="1" x14ac:dyDescent="0.35">
      <c r="A92" s="4">
        <v>7</v>
      </c>
      <c r="B92" s="4" t="s">
        <v>290</v>
      </c>
      <c r="C92" s="4" t="s">
        <v>291</v>
      </c>
      <c r="D92" s="4" t="s">
        <v>292</v>
      </c>
      <c r="E92" s="4" t="s">
        <v>109</v>
      </c>
      <c r="F92" s="4" t="s">
        <v>284</v>
      </c>
      <c r="G92" s="4" t="s">
        <v>204</v>
      </c>
      <c r="H92" s="4" t="s">
        <v>59</v>
      </c>
      <c r="I92" s="3"/>
      <c r="J92" s="3"/>
      <c r="K92" s="3"/>
      <c r="L92" s="3"/>
      <c r="M92" s="3"/>
      <c r="N92" s="3"/>
      <c r="O92" s="3"/>
      <c r="P92" s="8"/>
      <c r="Q92" s="8"/>
      <c r="R92" s="3"/>
      <c r="S92" s="3"/>
      <c r="T92" s="3"/>
      <c r="U92" s="5" t="str">
        <f t="shared" si="5"/>
        <v/>
      </c>
    </row>
    <row r="93" spans="1:21" ht="28" customHeight="1" x14ac:dyDescent="0.35">
      <c r="A93" s="4">
        <v>8</v>
      </c>
      <c r="B93" s="4" t="s">
        <v>290</v>
      </c>
      <c r="C93" s="4" t="s">
        <v>293</v>
      </c>
      <c r="D93" s="4" t="s">
        <v>294</v>
      </c>
      <c r="E93" s="4" t="s">
        <v>70</v>
      </c>
      <c r="F93" s="4" t="s">
        <v>295</v>
      </c>
      <c r="G93" s="4" t="s">
        <v>199</v>
      </c>
      <c r="H93" s="4" t="s">
        <v>76</v>
      </c>
      <c r="I93" s="3"/>
      <c r="J93" s="3"/>
      <c r="K93" s="3"/>
      <c r="L93" s="3"/>
      <c r="M93" s="3"/>
      <c r="N93" s="3"/>
      <c r="O93" s="3"/>
      <c r="P93" s="8"/>
      <c r="Q93" s="8"/>
      <c r="R93" s="3"/>
      <c r="S93" s="3"/>
      <c r="T93" s="3"/>
      <c r="U93" s="5" t="str">
        <f t="shared" si="5"/>
        <v/>
      </c>
    </row>
    <row r="94" spans="1:21" ht="28" customHeight="1" x14ac:dyDescent="0.35">
      <c r="A94" s="4">
        <v>9</v>
      </c>
      <c r="B94" s="4" t="s">
        <v>296</v>
      </c>
      <c r="C94" s="4" t="s">
        <v>297</v>
      </c>
      <c r="D94" s="4" t="s">
        <v>70</v>
      </c>
      <c r="E94" s="4" t="s">
        <v>70</v>
      </c>
      <c r="F94" s="4" t="s">
        <v>295</v>
      </c>
      <c r="G94" s="4" t="s">
        <v>199</v>
      </c>
      <c r="H94" s="4" t="s">
        <v>76</v>
      </c>
      <c r="I94" s="3"/>
      <c r="J94" s="3"/>
      <c r="K94" s="3"/>
      <c r="L94" s="3"/>
      <c r="M94" s="3"/>
      <c r="N94" s="3"/>
      <c r="O94" s="3"/>
      <c r="P94" s="8"/>
      <c r="Q94" s="8"/>
      <c r="R94" s="3"/>
      <c r="S94" s="3"/>
      <c r="T94" s="3"/>
      <c r="U94" s="5" t="str">
        <f t="shared" si="5"/>
        <v/>
      </c>
    </row>
    <row r="95" spans="1:21" ht="28" customHeight="1" x14ac:dyDescent="0.35">
      <c r="A95" s="4">
        <v>10</v>
      </c>
      <c r="B95" s="4" t="s">
        <v>296</v>
      </c>
      <c r="C95" s="4" t="s">
        <v>298</v>
      </c>
      <c r="D95" s="4" t="s">
        <v>299</v>
      </c>
      <c r="E95" s="4" t="s">
        <v>283</v>
      </c>
      <c r="F95" s="4" t="s">
        <v>284</v>
      </c>
      <c r="G95" s="4" t="s">
        <v>204</v>
      </c>
      <c r="H95" s="4" t="s">
        <v>59</v>
      </c>
      <c r="I95" s="3"/>
      <c r="J95" s="3"/>
      <c r="K95" s="3"/>
      <c r="L95" s="3"/>
      <c r="M95" s="3"/>
      <c r="N95" s="3"/>
      <c r="O95" s="3"/>
      <c r="P95" s="8"/>
      <c r="Q95" s="8"/>
      <c r="R95" s="3"/>
      <c r="S95" s="3"/>
      <c r="T95" s="3"/>
      <c r="U95" s="5" t="str">
        <f t="shared" si="5"/>
        <v/>
      </c>
    </row>
    <row r="96" spans="1:21" ht="28" customHeight="1" x14ac:dyDescent="0.35">
      <c r="A96" s="4">
        <v>11</v>
      </c>
      <c r="B96" s="4" t="s">
        <v>300</v>
      </c>
      <c r="C96" s="4" t="s">
        <v>301</v>
      </c>
      <c r="D96" s="4" t="s">
        <v>302</v>
      </c>
      <c r="E96" s="4" t="s">
        <v>56</v>
      </c>
      <c r="F96" s="4" t="s">
        <v>276</v>
      </c>
      <c r="G96" s="4" t="s">
        <v>199</v>
      </c>
      <c r="H96" s="4" t="s">
        <v>76</v>
      </c>
      <c r="I96" s="3"/>
      <c r="J96" s="3"/>
      <c r="K96" s="3"/>
      <c r="L96" s="3"/>
      <c r="M96" s="3"/>
      <c r="N96" s="3"/>
      <c r="O96" s="3"/>
      <c r="P96" s="8"/>
      <c r="Q96" s="8"/>
      <c r="R96" s="3"/>
      <c r="S96" s="3"/>
      <c r="T96" s="3"/>
      <c r="U96" s="5" t="str">
        <f t="shared" si="5"/>
        <v/>
      </c>
    </row>
    <row r="97" spans="1:21" ht="28" customHeight="1" x14ac:dyDescent="0.35">
      <c r="A97" s="4">
        <v>12</v>
      </c>
      <c r="B97" s="4" t="s">
        <v>303</v>
      </c>
      <c r="C97" s="4" t="s">
        <v>304</v>
      </c>
      <c r="D97" s="4" t="s">
        <v>305</v>
      </c>
      <c r="E97" s="4" t="s">
        <v>283</v>
      </c>
      <c r="F97" s="4" t="s">
        <v>276</v>
      </c>
      <c r="G97" s="4" t="s">
        <v>199</v>
      </c>
      <c r="H97" s="4" t="s">
        <v>76</v>
      </c>
      <c r="I97" s="3"/>
      <c r="J97" s="3"/>
      <c r="K97" s="3"/>
      <c r="L97" s="3"/>
      <c r="M97" s="3"/>
      <c r="N97" s="3"/>
      <c r="O97" s="3"/>
      <c r="P97" s="8"/>
      <c r="Q97" s="8"/>
      <c r="R97" s="3"/>
      <c r="S97" s="3"/>
      <c r="T97" s="3"/>
      <c r="U97" s="5" t="str">
        <f t="shared" si="5"/>
        <v/>
      </c>
    </row>
    <row r="98" spans="1:21" ht="28" customHeight="1" x14ac:dyDescent="0.35">
      <c r="A98" s="4">
        <v>13</v>
      </c>
      <c r="B98" s="4" t="s">
        <v>306</v>
      </c>
      <c r="C98" s="4" t="s">
        <v>307</v>
      </c>
      <c r="D98" s="4" t="s">
        <v>308</v>
      </c>
      <c r="E98" s="4" t="s">
        <v>69</v>
      </c>
      <c r="F98" s="4" t="s">
        <v>273</v>
      </c>
      <c r="G98" s="4" t="s">
        <v>96</v>
      </c>
      <c r="H98" s="4" t="s">
        <v>59</v>
      </c>
      <c r="I98" s="3"/>
      <c r="J98" s="3"/>
      <c r="K98" s="3"/>
      <c r="L98" s="3"/>
      <c r="M98" s="3"/>
      <c r="N98" s="3"/>
      <c r="O98" s="3"/>
      <c r="P98" s="8"/>
      <c r="Q98" s="8"/>
      <c r="R98" s="3"/>
      <c r="S98" s="3"/>
      <c r="T98" s="3"/>
      <c r="U98" s="5" t="str">
        <f t="shared" si="5"/>
        <v/>
      </c>
    </row>
    <row r="99" spans="1:21" ht="28" customHeight="1" x14ac:dyDescent="0.35">
      <c r="A99" s="4">
        <v>14</v>
      </c>
      <c r="B99" s="4" t="s">
        <v>97</v>
      </c>
      <c r="C99" s="4" t="s">
        <v>98</v>
      </c>
      <c r="D99" s="4" t="s">
        <v>99</v>
      </c>
      <c r="E99" s="4" t="s">
        <v>69</v>
      </c>
      <c r="F99" s="4" t="s">
        <v>95</v>
      </c>
      <c r="G99" s="4" t="s">
        <v>96</v>
      </c>
      <c r="H99" s="4" t="s">
        <v>59</v>
      </c>
      <c r="I99" s="3"/>
      <c r="J99" s="3"/>
      <c r="K99" s="3"/>
      <c r="L99" s="3"/>
      <c r="M99" s="3"/>
      <c r="N99" s="3"/>
      <c r="O99" s="3"/>
      <c r="P99" s="8"/>
      <c r="Q99" s="8"/>
      <c r="R99" s="3"/>
      <c r="S99" s="3"/>
      <c r="T99" s="3"/>
      <c r="U99" s="5" t="str">
        <f t="shared" si="5"/>
        <v/>
      </c>
    </row>
    <row r="100" spans="1:21" ht="28" customHeight="1" x14ac:dyDescent="0.35">
      <c r="A100" s="4">
        <v>15</v>
      </c>
      <c r="B100" s="4" t="s">
        <v>97</v>
      </c>
      <c r="C100" s="4" t="s">
        <v>100</v>
      </c>
      <c r="D100" s="4" t="s">
        <v>101</v>
      </c>
      <c r="E100" s="4" t="s">
        <v>69</v>
      </c>
      <c r="F100" s="4" t="s">
        <v>95</v>
      </c>
      <c r="G100" s="4" t="s">
        <v>102</v>
      </c>
      <c r="H100" s="4" t="s">
        <v>59</v>
      </c>
      <c r="I100" s="3"/>
      <c r="J100" s="3"/>
      <c r="K100" s="3"/>
      <c r="L100" s="3"/>
      <c r="M100" s="3"/>
      <c r="N100" s="3"/>
      <c r="O100" s="3"/>
      <c r="P100" s="8"/>
      <c r="Q100" s="8"/>
      <c r="R100" s="3"/>
      <c r="S100" s="3"/>
      <c r="T100" s="3"/>
      <c r="U100" s="5" t="str">
        <f t="shared" si="5"/>
        <v/>
      </c>
    </row>
    <row r="101" spans="1:21" ht="28" customHeight="1" x14ac:dyDescent="0.35">
      <c r="A101" s="4">
        <v>16</v>
      </c>
      <c r="B101" s="4" t="s">
        <v>103</v>
      </c>
      <c r="C101" s="4" t="s">
        <v>104</v>
      </c>
      <c r="D101" s="4" t="s">
        <v>105</v>
      </c>
      <c r="E101" s="4" t="s">
        <v>69</v>
      </c>
      <c r="F101" s="4" t="s">
        <v>95</v>
      </c>
      <c r="G101" s="4" t="s">
        <v>96</v>
      </c>
      <c r="H101" s="4" t="s">
        <v>85</v>
      </c>
      <c r="I101" s="3"/>
      <c r="J101" s="3"/>
      <c r="K101" s="3"/>
      <c r="L101" s="3"/>
      <c r="M101" s="3"/>
      <c r="N101" s="3"/>
      <c r="O101" s="3"/>
      <c r="P101" s="8"/>
      <c r="Q101" s="8"/>
      <c r="R101" s="3"/>
      <c r="S101" s="3"/>
      <c r="T101" s="3"/>
      <c r="U101" s="5" t="str">
        <f t="shared" si="5"/>
        <v/>
      </c>
    </row>
    <row r="102" spans="1:21" ht="28" customHeight="1" x14ac:dyDescent="0.35">
      <c r="A102" s="4">
        <v>17</v>
      </c>
      <c r="B102" s="4" t="s">
        <v>106</v>
      </c>
      <c r="C102" s="4" t="s">
        <v>107</v>
      </c>
      <c r="D102" s="4" t="s">
        <v>108</v>
      </c>
      <c r="E102" s="4" t="s">
        <v>109</v>
      </c>
      <c r="F102" s="4" t="s">
        <v>95</v>
      </c>
      <c r="G102" s="4" t="s">
        <v>96</v>
      </c>
      <c r="H102" s="4" t="s">
        <v>59</v>
      </c>
      <c r="I102" s="3"/>
      <c r="J102" s="3"/>
      <c r="K102" s="3"/>
      <c r="L102" s="3"/>
      <c r="M102" s="3"/>
      <c r="N102" s="3"/>
      <c r="O102" s="3"/>
      <c r="P102" s="8"/>
      <c r="Q102" s="8"/>
      <c r="R102" s="3"/>
      <c r="S102" s="3"/>
      <c r="T102" s="3"/>
      <c r="U102" s="5" t="str">
        <f t="shared" si="5"/>
        <v/>
      </c>
    </row>
    <row r="104" spans="1:21" ht="28" customHeight="1" x14ac:dyDescent="0.35">
      <c r="A104" s="9" t="s">
        <v>110</v>
      </c>
      <c r="B104" s="16"/>
      <c r="C104" s="17"/>
      <c r="D104" s="17"/>
      <c r="E104" s="17"/>
      <c r="F104" s="17"/>
      <c r="G104" s="17"/>
      <c r="H104" s="17"/>
      <c r="I104" s="17"/>
      <c r="J104" s="17"/>
      <c r="K104" s="17"/>
      <c r="L104" s="17"/>
      <c r="M104" s="17"/>
      <c r="N104" s="17"/>
      <c r="O104" s="17"/>
      <c r="P104" s="17"/>
      <c r="Q104" s="17"/>
      <c r="R104" s="17"/>
      <c r="S104" s="17"/>
      <c r="T104" s="17"/>
      <c r="U104" s="18"/>
    </row>
    <row r="105" spans="1:21" ht="28" customHeight="1" x14ac:dyDescent="0.35">
      <c r="A105" s="19" t="s">
        <v>310</v>
      </c>
      <c r="B105" s="20"/>
      <c r="C105" s="20"/>
      <c r="D105" s="20"/>
      <c r="E105" s="20"/>
      <c r="F105" s="20"/>
      <c r="G105" s="20"/>
      <c r="H105" s="20"/>
      <c r="I105" s="20"/>
      <c r="J105" s="20"/>
      <c r="K105" s="20"/>
      <c r="L105" s="20"/>
      <c r="M105" s="20"/>
      <c r="N105" s="20"/>
      <c r="O105" s="20"/>
      <c r="P105" s="20"/>
      <c r="Q105" s="20"/>
      <c r="R105" s="20"/>
      <c r="S105" s="20"/>
      <c r="T105" s="20"/>
      <c r="U105" s="21"/>
    </row>
    <row r="106" spans="1:21" ht="28" customHeight="1" x14ac:dyDescent="0.35">
      <c r="A106" s="4" t="s">
        <v>31</v>
      </c>
      <c r="B106" s="3" t="s">
        <v>219</v>
      </c>
      <c r="C106" s="4" t="s">
        <v>32</v>
      </c>
      <c r="D106" s="3"/>
      <c r="E106" s="4" t="s">
        <v>33</v>
      </c>
      <c r="F106" s="8"/>
    </row>
    <row r="107" spans="1:21" ht="28" customHeight="1" x14ac:dyDescent="0.35">
      <c r="A107" s="1" t="s">
        <v>34</v>
      </c>
      <c r="B107" s="1" t="s">
        <v>35</v>
      </c>
      <c r="C107" s="1" t="s">
        <v>36</v>
      </c>
      <c r="D107" s="1" t="s">
        <v>37</v>
      </c>
      <c r="E107" s="1" t="s">
        <v>38</v>
      </c>
      <c r="F107" s="1" t="s">
        <v>39</v>
      </c>
      <c r="G107" s="1" t="s">
        <v>40</v>
      </c>
      <c r="H107" s="1" t="s">
        <v>41</v>
      </c>
      <c r="I107" s="1" t="s">
        <v>42</v>
      </c>
      <c r="J107" s="1" t="s">
        <v>43</v>
      </c>
      <c r="K107" s="1" t="s">
        <v>44</v>
      </c>
      <c r="L107" s="1" t="s">
        <v>45</v>
      </c>
      <c r="M107" s="1" t="s">
        <v>46</v>
      </c>
      <c r="N107" s="1" t="s">
        <v>47</v>
      </c>
      <c r="O107" s="1" t="s">
        <v>48</v>
      </c>
      <c r="P107" s="1" t="s">
        <v>4</v>
      </c>
      <c r="Q107" s="1" t="s">
        <v>49</v>
      </c>
      <c r="R107" s="1" t="s">
        <v>50</v>
      </c>
      <c r="S107" s="1" t="s">
        <v>51</v>
      </c>
      <c r="T107" s="1" t="s">
        <v>52</v>
      </c>
      <c r="U107" s="1" t="s">
        <v>10</v>
      </c>
    </row>
    <row r="108" spans="1:21" ht="28" customHeight="1" x14ac:dyDescent="0.35">
      <c r="A108" s="4">
        <v>1</v>
      </c>
      <c r="B108" s="4" t="s">
        <v>270</v>
      </c>
      <c r="C108" s="4" t="s">
        <v>271</v>
      </c>
      <c r="D108" s="4" t="s">
        <v>272</v>
      </c>
      <c r="E108" s="4" t="s">
        <v>109</v>
      </c>
      <c r="F108" s="4" t="s">
        <v>273</v>
      </c>
      <c r="G108" s="4" t="s">
        <v>199</v>
      </c>
      <c r="H108" s="4" t="s">
        <v>59</v>
      </c>
      <c r="I108" s="3"/>
      <c r="J108" s="3"/>
      <c r="K108" s="3"/>
      <c r="L108" s="3"/>
      <c r="M108" s="3"/>
      <c r="N108" s="3"/>
      <c r="O108" s="3"/>
      <c r="P108" s="8"/>
      <c r="Q108" s="8"/>
      <c r="R108" s="3"/>
      <c r="S108" s="3"/>
      <c r="T108" s="3"/>
      <c r="U108" s="5" t="str">
        <f t="shared" ref="U108:U124" si="6">IF(I108="","",IF(I108="NA","Grey",IF(I108=2,"Green",IF(I108=1,"Amber","Red"))))</f>
        <v/>
      </c>
    </row>
    <row r="109" spans="1:21" ht="28" customHeight="1" x14ac:dyDescent="0.35">
      <c r="A109" s="4">
        <v>2</v>
      </c>
      <c r="B109" s="4" t="s">
        <v>270</v>
      </c>
      <c r="C109" s="4" t="s">
        <v>274</v>
      </c>
      <c r="D109" s="4" t="s">
        <v>275</v>
      </c>
      <c r="E109" s="4" t="s">
        <v>69</v>
      </c>
      <c r="F109" s="4" t="s">
        <v>276</v>
      </c>
      <c r="G109" s="4" t="s">
        <v>199</v>
      </c>
      <c r="H109" s="4" t="s">
        <v>76</v>
      </c>
      <c r="I109" s="3"/>
      <c r="J109" s="3"/>
      <c r="K109" s="3"/>
      <c r="L109" s="3"/>
      <c r="M109" s="3"/>
      <c r="N109" s="3"/>
      <c r="O109" s="3"/>
      <c r="P109" s="8"/>
      <c r="Q109" s="8"/>
      <c r="R109" s="3"/>
      <c r="S109" s="3"/>
      <c r="T109" s="3"/>
      <c r="U109" s="5" t="str">
        <f t="shared" si="6"/>
        <v/>
      </c>
    </row>
    <row r="110" spans="1:21" ht="28" customHeight="1" x14ac:dyDescent="0.35">
      <c r="A110" s="4">
        <v>3</v>
      </c>
      <c r="B110" s="4" t="s">
        <v>270</v>
      </c>
      <c r="C110" s="4" t="s">
        <v>277</v>
      </c>
      <c r="D110" s="4" t="s">
        <v>278</v>
      </c>
      <c r="E110" s="4" t="s">
        <v>279</v>
      </c>
      <c r="F110" s="4" t="s">
        <v>280</v>
      </c>
      <c r="G110" s="4" t="s">
        <v>209</v>
      </c>
      <c r="H110" s="4" t="s">
        <v>76</v>
      </c>
      <c r="I110" s="3"/>
      <c r="J110" s="3"/>
      <c r="K110" s="3"/>
      <c r="L110" s="3"/>
      <c r="M110" s="3"/>
      <c r="N110" s="3"/>
      <c r="O110" s="3"/>
      <c r="P110" s="8"/>
      <c r="Q110" s="8"/>
      <c r="R110" s="3"/>
      <c r="S110" s="3"/>
      <c r="T110" s="3"/>
      <c r="U110" s="5" t="str">
        <f t="shared" si="6"/>
        <v/>
      </c>
    </row>
    <row r="111" spans="1:21" ht="28" customHeight="1" x14ac:dyDescent="0.35">
      <c r="A111" s="4">
        <v>4</v>
      </c>
      <c r="B111" s="4" t="s">
        <v>270</v>
      </c>
      <c r="C111" s="4" t="s">
        <v>281</v>
      </c>
      <c r="D111" s="4" t="s">
        <v>282</v>
      </c>
      <c r="E111" s="4" t="s">
        <v>283</v>
      </c>
      <c r="F111" s="4" t="s">
        <v>284</v>
      </c>
      <c r="G111" s="4" t="s">
        <v>204</v>
      </c>
      <c r="H111" s="4" t="s">
        <v>76</v>
      </c>
      <c r="I111" s="3"/>
      <c r="J111" s="3"/>
      <c r="K111" s="3"/>
      <c r="L111" s="3"/>
      <c r="M111" s="3"/>
      <c r="N111" s="3"/>
      <c r="O111" s="3"/>
      <c r="P111" s="8"/>
      <c r="Q111" s="8"/>
      <c r="R111" s="3"/>
      <c r="S111" s="3"/>
      <c r="T111" s="3"/>
      <c r="U111" s="5" t="str">
        <f t="shared" si="6"/>
        <v/>
      </c>
    </row>
    <row r="112" spans="1:21" ht="28" customHeight="1" x14ac:dyDescent="0.35">
      <c r="A112" s="4">
        <v>5</v>
      </c>
      <c r="B112" s="4" t="s">
        <v>285</v>
      </c>
      <c r="C112" s="4" t="s">
        <v>286</v>
      </c>
      <c r="D112" s="4" t="s">
        <v>287</v>
      </c>
      <c r="E112" s="4" t="s">
        <v>69</v>
      </c>
      <c r="F112" s="4" t="s">
        <v>276</v>
      </c>
      <c r="G112" s="4" t="s">
        <v>199</v>
      </c>
      <c r="H112" s="4" t="s">
        <v>76</v>
      </c>
      <c r="I112" s="3"/>
      <c r="J112" s="3"/>
      <c r="K112" s="3"/>
      <c r="L112" s="3"/>
      <c r="M112" s="3"/>
      <c r="N112" s="3"/>
      <c r="O112" s="3"/>
      <c r="P112" s="8"/>
      <c r="Q112" s="8"/>
      <c r="R112" s="3"/>
      <c r="S112" s="3"/>
      <c r="T112" s="3"/>
      <c r="U112" s="5" t="str">
        <f t="shared" si="6"/>
        <v/>
      </c>
    </row>
    <row r="113" spans="1:21" ht="28" customHeight="1" x14ac:dyDescent="0.35">
      <c r="A113" s="4">
        <v>6</v>
      </c>
      <c r="B113" s="4" t="s">
        <v>285</v>
      </c>
      <c r="C113" s="4" t="s">
        <v>288</v>
      </c>
      <c r="D113" s="4" t="s">
        <v>289</v>
      </c>
      <c r="E113" s="4" t="s">
        <v>70</v>
      </c>
      <c r="F113" s="4" t="s">
        <v>276</v>
      </c>
      <c r="G113" s="4" t="s">
        <v>199</v>
      </c>
      <c r="H113" s="4" t="s">
        <v>59</v>
      </c>
      <c r="I113" s="3"/>
      <c r="J113" s="3"/>
      <c r="K113" s="3"/>
      <c r="L113" s="3"/>
      <c r="M113" s="3"/>
      <c r="N113" s="3"/>
      <c r="O113" s="3"/>
      <c r="P113" s="8"/>
      <c r="Q113" s="8"/>
      <c r="R113" s="3"/>
      <c r="S113" s="3"/>
      <c r="T113" s="3"/>
      <c r="U113" s="5" t="str">
        <f t="shared" si="6"/>
        <v/>
      </c>
    </row>
    <row r="114" spans="1:21" ht="28" customHeight="1" x14ac:dyDescent="0.35">
      <c r="A114" s="4">
        <v>7</v>
      </c>
      <c r="B114" s="4" t="s">
        <v>290</v>
      </c>
      <c r="C114" s="4" t="s">
        <v>291</v>
      </c>
      <c r="D114" s="4" t="s">
        <v>292</v>
      </c>
      <c r="E114" s="4" t="s">
        <v>109</v>
      </c>
      <c r="F114" s="4" t="s">
        <v>284</v>
      </c>
      <c r="G114" s="4" t="s">
        <v>204</v>
      </c>
      <c r="H114" s="4" t="s">
        <v>59</v>
      </c>
      <c r="I114" s="3"/>
      <c r="J114" s="3"/>
      <c r="K114" s="3"/>
      <c r="L114" s="3"/>
      <c r="M114" s="3"/>
      <c r="N114" s="3"/>
      <c r="O114" s="3"/>
      <c r="P114" s="8"/>
      <c r="Q114" s="8"/>
      <c r="R114" s="3"/>
      <c r="S114" s="3"/>
      <c r="T114" s="3"/>
      <c r="U114" s="5" t="str">
        <f t="shared" si="6"/>
        <v/>
      </c>
    </row>
    <row r="115" spans="1:21" ht="28" customHeight="1" x14ac:dyDescent="0.35">
      <c r="A115" s="4">
        <v>8</v>
      </c>
      <c r="B115" s="4" t="s">
        <v>290</v>
      </c>
      <c r="C115" s="4" t="s">
        <v>293</v>
      </c>
      <c r="D115" s="4" t="s">
        <v>294</v>
      </c>
      <c r="E115" s="4" t="s">
        <v>70</v>
      </c>
      <c r="F115" s="4" t="s">
        <v>295</v>
      </c>
      <c r="G115" s="4" t="s">
        <v>199</v>
      </c>
      <c r="H115" s="4" t="s">
        <v>76</v>
      </c>
      <c r="I115" s="3"/>
      <c r="J115" s="3"/>
      <c r="K115" s="3"/>
      <c r="L115" s="3"/>
      <c r="M115" s="3"/>
      <c r="N115" s="3"/>
      <c r="O115" s="3"/>
      <c r="P115" s="8"/>
      <c r="Q115" s="8"/>
      <c r="R115" s="3"/>
      <c r="S115" s="3"/>
      <c r="T115" s="3"/>
      <c r="U115" s="5" t="str">
        <f t="shared" si="6"/>
        <v/>
      </c>
    </row>
    <row r="116" spans="1:21" ht="28" customHeight="1" x14ac:dyDescent="0.35">
      <c r="A116" s="4">
        <v>9</v>
      </c>
      <c r="B116" s="4" t="s">
        <v>296</v>
      </c>
      <c r="C116" s="4" t="s">
        <v>297</v>
      </c>
      <c r="D116" s="4" t="s">
        <v>70</v>
      </c>
      <c r="E116" s="4" t="s">
        <v>70</v>
      </c>
      <c r="F116" s="4" t="s">
        <v>295</v>
      </c>
      <c r="G116" s="4" t="s">
        <v>199</v>
      </c>
      <c r="H116" s="4" t="s">
        <v>76</v>
      </c>
      <c r="I116" s="3"/>
      <c r="J116" s="3"/>
      <c r="K116" s="3"/>
      <c r="L116" s="3"/>
      <c r="M116" s="3"/>
      <c r="N116" s="3"/>
      <c r="O116" s="3"/>
      <c r="P116" s="8"/>
      <c r="Q116" s="8"/>
      <c r="R116" s="3"/>
      <c r="S116" s="3"/>
      <c r="T116" s="3"/>
      <c r="U116" s="5" t="str">
        <f t="shared" si="6"/>
        <v/>
      </c>
    </row>
    <row r="117" spans="1:21" ht="28" customHeight="1" x14ac:dyDescent="0.35">
      <c r="A117" s="4">
        <v>10</v>
      </c>
      <c r="B117" s="4" t="s">
        <v>296</v>
      </c>
      <c r="C117" s="4" t="s">
        <v>298</v>
      </c>
      <c r="D117" s="4" t="s">
        <v>299</v>
      </c>
      <c r="E117" s="4" t="s">
        <v>283</v>
      </c>
      <c r="F117" s="4" t="s">
        <v>284</v>
      </c>
      <c r="G117" s="4" t="s">
        <v>204</v>
      </c>
      <c r="H117" s="4" t="s">
        <v>59</v>
      </c>
      <c r="I117" s="3"/>
      <c r="J117" s="3"/>
      <c r="K117" s="3"/>
      <c r="L117" s="3"/>
      <c r="M117" s="3"/>
      <c r="N117" s="3"/>
      <c r="O117" s="3"/>
      <c r="P117" s="8"/>
      <c r="Q117" s="8"/>
      <c r="R117" s="3"/>
      <c r="S117" s="3"/>
      <c r="T117" s="3"/>
      <c r="U117" s="5" t="str">
        <f t="shared" si="6"/>
        <v/>
      </c>
    </row>
    <row r="118" spans="1:21" ht="28" customHeight="1" x14ac:dyDescent="0.35">
      <c r="A118" s="4">
        <v>11</v>
      </c>
      <c r="B118" s="4" t="s">
        <v>300</v>
      </c>
      <c r="C118" s="4" t="s">
        <v>301</v>
      </c>
      <c r="D118" s="4" t="s">
        <v>302</v>
      </c>
      <c r="E118" s="4" t="s">
        <v>56</v>
      </c>
      <c r="F118" s="4" t="s">
        <v>276</v>
      </c>
      <c r="G118" s="4" t="s">
        <v>199</v>
      </c>
      <c r="H118" s="4" t="s">
        <v>76</v>
      </c>
      <c r="I118" s="3"/>
      <c r="J118" s="3"/>
      <c r="K118" s="3"/>
      <c r="L118" s="3"/>
      <c r="M118" s="3"/>
      <c r="N118" s="3"/>
      <c r="O118" s="3"/>
      <c r="P118" s="8"/>
      <c r="Q118" s="8"/>
      <c r="R118" s="3"/>
      <c r="S118" s="3"/>
      <c r="T118" s="3"/>
      <c r="U118" s="5" t="str">
        <f t="shared" si="6"/>
        <v/>
      </c>
    </row>
    <row r="119" spans="1:21" ht="28" customHeight="1" x14ac:dyDescent="0.35">
      <c r="A119" s="4">
        <v>12</v>
      </c>
      <c r="B119" s="4" t="s">
        <v>303</v>
      </c>
      <c r="C119" s="4" t="s">
        <v>304</v>
      </c>
      <c r="D119" s="4" t="s">
        <v>305</v>
      </c>
      <c r="E119" s="4" t="s">
        <v>283</v>
      </c>
      <c r="F119" s="4" t="s">
        <v>276</v>
      </c>
      <c r="G119" s="4" t="s">
        <v>199</v>
      </c>
      <c r="H119" s="4" t="s">
        <v>76</v>
      </c>
      <c r="I119" s="3"/>
      <c r="J119" s="3"/>
      <c r="K119" s="3"/>
      <c r="L119" s="3"/>
      <c r="M119" s="3"/>
      <c r="N119" s="3"/>
      <c r="O119" s="3"/>
      <c r="P119" s="8"/>
      <c r="Q119" s="8"/>
      <c r="R119" s="3"/>
      <c r="S119" s="3"/>
      <c r="T119" s="3"/>
      <c r="U119" s="5" t="str">
        <f t="shared" si="6"/>
        <v/>
      </c>
    </row>
    <row r="120" spans="1:21" ht="28" customHeight="1" x14ac:dyDescent="0.35">
      <c r="A120" s="4">
        <v>13</v>
      </c>
      <c r="B120" s="4" t="s">
        <v>306</v>
      </c>
      <c r="C120" s="4" t="s">
        <v>307</v>
      </c>
      <c r="D120" s="4" t="s">
        <v>308</v>
      </c>
      <c r="E120" s="4" t="s">
        <v>69</v>
      </c>
      <c r="F120" s="4" t="s">
        <v>273</v>
      </c>
      <c r="G120" s="4" t="s">
        <v>96</v>
      </c>
      <c r="H120" s="4" t="s">
        <v>59</v>
      </c>
      <c r="I120" s="3"/>
      <c r="J120" s="3"/>
      <c r="K120" s="3"/>
      <c r="L120" s="3"/>
      <c r="M120" s="3"/>
      <c r="N120" s="3"/>
      <c r="O120" s="3"/>
      <c r="P120" s="8"/>
      <c r="Q120" s="8"/>
      <c r="R120" s="3"/>
      <c r="S120" s="3"/>
      <c r="T120" s="3"/>
      <c r="U120" s="5" t="str">
        <f t="shared" si="6"/>
        <v/>
      </c>
    </row>
    <row r="121" spans="1:21" ht="28" customHeight="1" x14ac:dyDescent="0.35">
      <c r="A121" s="4">
        <v>14</v>
      </c>
      <c r="B121" s="4" t="s">
        <v>97</v>
      </c>
      <c r="C121" s="4" t="s">
        <v>98</v>
      </c>
      <c r="D121" s="4" t="s">
        <v>99</v>
      </c>
      <c r="E121" s="4" t="s">
        <v>69</v>
      </c>
      <c r="F121" s="4" t="s">
        <v>95</v>
      </c>
      <c r="G121" s="4" t="s">
        <v>96</v>
      </c>
      <c r="H121" s="4" t="s">
        <v>59</v>
      </c>
      <c r="I121" s="3"/>
      <c r="J121" s="3"/>
      <c r="K121" s="3"/>
      <c r="L121" s="3"/>
      <c r="M121" s="3"/>
      <c r="N121" s="3"/>
      <c r="O121" s="3"/>
      <c r="P121" s="8"/>
      <c r="Q121" s="8"/>
      <c r="R121" s="3"/>
      <c r="S121" s="3"/>
      <c r="T121" s="3"/>
      <c r="U121" s="5" t="str">
        <f t="shared" si="6"/>
        <v/>
      </c>
    </row>
    <row r="122" spans="1:21" ht="28" customHeight="1" x14ac:dyDescent="0.35">
      <c r="A122" s="4">
        <v>15</v>
      </c>
      <c r="B122" s="4" t="s">
        <v>97</v>
      </c>
      <c r="C122" s="4" t="s">
        <v>100</v>
      </c>
      <c r="D122" s="4" t="s">
        <v>101</v>
      </c>
      <c r="E122" s="4" t="s">
        <v>69</v>
      </c>
      <c r="F122" s="4" t="s">
        <v>95</v>
      </c>
      <c r="G122" s="4" t="s">
        <v>102</v>
      </c>
      <c r="H122" s="4" t="s">
        <v>59</v>
      </c>
      <c r="I122" s="3"/>
      <c r="J122" s="3"/>
      <c r="K122" s="3"/>
      <c r="L122" s="3"/>
      <c r="M122" s="3"/>
      <c r="N122" s="3"/>
      <c r="O122" s="3"/>
      <c r="P122" s="8"/>
      <c r="Q122" s="8"/>
      <c r="R122" s="3"/>
      <c r="S122" s="3"/>
      <c r="T122" s="3"/>
      <c r="U122" s="5" t="str">
        <f t="shared" si="6"/>
        <v/>
      </c>
    </row>
    <row r="123" spans="1:21" ht="28" customHeight="1" x14ac:dyDescent="0.35">
      <c r="A123" s="4">
        <v>16</v>
      </c>
      <c r="B123" s="4" t="s">
        <v>103</v>
      </c>
      <c r="C123" s="4" t="s">
        <v>104</v>
      </c>
      <c r="D123" s="4" t="s">
        <v>105</v>
      </c>
      <c r="E123" s="4" t="s">
        <v>69</v>
      </c>
      <c r="F123" s="4" t="s">
        <v>95</v>
      </c>
      <c r="G123" s="4" t="s">
        <v>96</v>
      </c>
      <c r="H123" s="4" t="s">
        <v>85</v>
      </c>
      <c r="I123" s="3"/>
      <c r="J123" s="3"/>
      <c r="K123" s="3"/>
      <c r="L123" s="3"/>
      <c r="M123" s="3"/>
      <c r="N123" s="3"/>
      <c r="O123" s="3"/>
      <c r="P123" s="8"/>
      <c r="Q123" s="8"/>
      <c r="R123" s="3"/>
      <c r="S123" s="3"/>
      <c r="T123" s="3"/>
      <c r="U123" s="5" t="str">
        <f t="shared" si="6"/>
        <v/>
      </c>
    </row>
    <row r="124" spans="1:21" ht="28" customHeight="1" x14ac:dyDescent="0.35">
      <c r="A124" s="4">
        <v>17</v>
      </c>
      <c r="B124" s="4" t="s">
        <v>106</v>
      </c>
      <c r="C124" s="4" t="s">
        <v>107</v>
      </c>
      <c r="D124" s="4" t="s">
        <v>108</v>
      </c>
      <c r="E124" s="4" t="s">
        <v>109</v>
      </c>
      <c r="F124" s="4" t="s">
        <v>95</v>
      </c>
      <c r="G124" s="4" t="s">
        <v>96</v>
      </c>
      <c r="H124" s="4" t="s">
        <v>59</v>
      </c>
      <c r="I124" s="3"/>
      <c r="J124" s="3"/>
      <c r="K124" s="3"/>
      <c r="L124" s="3"/>
      <c r="M124" s="3"/>
      <c r="N124" s="3"/>
      <c r="O124" s="3"/>
      <c r="P124" s="8"/>
      <c r="Q124" s="8"/>
      <c r="R124" s="3"/>
      <c r="S124" s="3"/>
      <c r="T124" s="3"/>
      <c r="U124" s="5" t="str">
        <f t="shared" si="6"/>
        <v/>
      </c>
    </row>
    <row r="126" spans="1:21" ht="28" customHeight="1" x14ac:dyDescent="0.35">
      <c r="A126" s="9" t="s">
        <v>110</v>
      </c>
      <c r="B126" s="16"/>
      <c r="C126" s="17"/>
      <c r="D126" s="17"/>
      <c r="E126" s="17"/>
      <c r="F126" s="17"/>
      <c r="G126" s="17"/>
      <c r="H126" s="17"/>
      <c r="I126" s="17"/>
      <c r="J126" s="17"/>
      <c r="K126" s="17"/>
      <c r="L126" s="17"/>
      <c r="M126" s="17"/>
      <c r="N126" s="17"/>
      <c r="O126" s="17"/>
      <c r="P126" s="17"/>
      <c r="Q126" s="17"/>
      <c r="R126" s="17"/>
      <c r="S126" s="17"/>
      <c r="T126" s="17"/>
      <c r="U126" s="18"/>
    </row>
    <row r="127" spans="1:21" ht="28" customHeight="1" x14ac:dyDescent="0.35">
      <c r="A127" s="19" t="s">
        <v>311</v>
      </c>
      <c r="B127" s="20"/>
      <c r="C127" s="20"/>
      <c r="D127" s="20"/>
      <c r="E127" s="20"/>
      <c r="F127" s="20"/>
      <c r="G127" s="20"/>
      <c r="H127" s="20"/>
      <c r="I127" s="20"/>
      <c r="J127" s="20"/>
      <c r="K127" s="20"/>
      <c r="L127" s="20"/>
      <c r="M127" s="20"/>
      <c r="N127" s="20"/>
      <c r="O127" s="20"/>
      <c r="P127" s="20"/>
      <c r="Q127" s="20"/>
      <c r="R127" s="20"/>
      <c r="S127" s="20"/>
      <c r="T127" s="20"/>
      <c r="U127" s="21"/>
    </row>
    <row r="128" spans="1:21" ht="28" customHeight="1" x14ac:dyDescent="0.35">
      <c r="A128" s="4" t="s">
        <v>31</v>
      </c>
      <c r="B128" s="3" t="s">
        <v>220</v>
      </c>
      <c r="C128" s="4" t="s">
        <v>32</v>
      </c>
      <c r="D128" s="3"/>
      <c r="E128" s="4" t="s">
        <v>33</v>
      </c>
      <c r="F128" s="8"/>
    </row>
    <row r="129" spans="1:21" ht="28" customHeight="1" x14ac:dyDescent="0.35">
      <c r="A129" s="1" t="s">
        <v>34</v>
      </c>
      <c r="B129" s="1" t="s">
        <v>35</v>
      </c>
      <c r="C129" s="1" t="s">
        <v>36</v>
      </c>
      <c r="D129" s="1" t="s">
        <v>37</v>
      </c>
      <c r="E129" s="1" t="s">
        <v>38</v>
      </c>
      <c r="F129" s="1" t="s">
        <v>39</v>
      </c>
      <c r="G129" s="1" t="s">
        <v>40</v>
      </c>
      <c r="H129" s="1" t="s">
        <v>41</v>
      </c>
      <c r="I129" s="1" t="s">
        <v>42</v>
      </c>
      <c r="J129" s="1" t="s">
        <v>43</v>
      </c>
      <c r="K129" s="1" t="s">
        <v>44</v>
      </c>
      <c r="L129" s="1" t="s">
        <v>45</v>
      </c>
      <c r="M129" s="1" t="s">
        <v>46</v>
      </c>
      <c r="N129" s="1" t="s">
        <v>47</v>
      </c>
      <c r="O129" s="1" t="s">
        <v>48</v>
      </c>
      <c r="P129" s="1" t="s">
        <v>4</v>
      </c>
      <c r="Q129" s="1" t="s">
        <v>49</v>
      </c>
      <c r="R129" s="1" t="s">
        <v>50</v>
      </c>
      <c r="S129" s="1" t="s">
        <v>51</v>
      </c>
      <c r="T129" s="1" t="s">
        <v>52</v>
      </c>
      <c r="U129" s="1" t="s">
        <v>10</v>
      </c>
    </row>
    <row r="130" spans="1:21" ht="28" customHeight="1" x14ac:dyDescent="0.35">
      <c r="A130" s="4">
        <v>1</v>
      </c>
      <c r="B130" s="4" t="s">
        <v>270</v>
      </c>
      <c r="C130" s="4" t="s">
        <v>271</v>
      </c>
      <c r="D130" s="4" t="s">
        <v>272</v>
      </c>
      <c r="E130" s="4" t="s">
        <v>109</v>
      </c>
      <c r="F130" s="4" t="s">
        <v>273</v>
      </c>
      <c r="G130" s="4" t="s">
        <v>199</v>
      </c>
      <c r="H130" s="4" t="s">
        <v>59</v>
      </c>
      <c r="I130" s="3"/>
      <c r="J130" s="3"/>
      <c r="K130" s="3"/>
      <c r="L130" s="3"/>
      <c r="M130" s="3"/>
      <c r="N130" s="3"/>
      <c r="O130" s="3"/>
      <c r="P130" s="8"/>
      <c r="Q130" s="8"/>
      <c r="R130" s="3"/>
      <c r="S130" s="3"/>
      <c r="T130" s="3"/>
      <c r="U130" s="5" t="str">
        <f t="shared" ref="U130:U146" si="7">IF(I130="","",IF(I130="NA","Grey",IF(I130=2,"Green",IF(I130=1,"Amber","Red"))))</f>
        <v/>
      </c>
    </row>
    <row r="131" spans="1:21" ht="28" customHeight="1" x14ac:dyDescent="0.35">
      <c r="A131" s="4">
        <v>2</v>
      </c>
      <c r="B131" s="4" t="s">
        <v>270</v>
      </c>
      <c r="C131" s="4" t="s">
        <v>274</v>
      </c>
      <c r="D131" s="4" t="s">
        <v>275</v>
      </c>
      <c r="E131" s="4" t="s">
        <v>69</v>
      </c>
      <c r="F131" s="4" t="s">
        <v>276</v>
      </c>
      <c r="G131" s="4" t="s">
        <v>199</v>
      </c>
      <c r="H131" s="4" t="s">
        <v>76</v>
      </c>
      <c r="I131" s="3"/>
      <c r="J131" s="3"/>
      <c r="K131" s="3"/>
      <c r="L131" s="3"/>
      <c r="M131" s="3"/>
      <c r="N131" s="3"/>
      <c r="O131" s="3"/>
      <c r="P131" s="8"/>
      <c r="Q131" s="8"/>
      <c r="R131" s="3"/>
      <c r="S131" s="3"/>
      <c r="T131" s="3"/>
      <c r="U131" s="5" t="str">
        <f t="shared" si="7"/>
        <v/>
      </c>
    </row>
    <row r="132" spans="1:21" ht="28" customHeight="1" x14ac:dyDescent="0.35">
      <c r="A132" s="4">
        <v>3</v>
      </c>
      <c r="B132" s="4" t="s">
        <v>270</v>
      </c>
      <c r="C132" s="4" t="s">
        <v>277</v>
      </c>
      <c r="D132" s="4" t="s">
        <v>278</v>
      </c>
      <c r="E132" s="4" t="s">
        <v>279</v>
      </c>
      <c r="F132" s="4" t="s">
        <v>280</v>
      </c>
      <c r="G132" s="4" t="s">
        <v>209</v>
      </c>
      <c r="H132" s="4" t="s">
        <v>76</v>
      </c>
      <c r="I132" s="3"/>
      <c r="J132" s="3"/>
      <c r="K132" s="3"/>
      <c r="L132" s="3"/>
      <c r="M132" s="3"/>
      <c r="N132" s="3"/>
      <c r="O132" s="3"/>
      <c r="P132" s="8"/>
      <c r="Q132" s="8"/>
      <c r="R132" s="3"/>
      <c r="S132" s="3"/>
      <c r="T132" s="3"/>
      <c r="U132" s="5" t="str">
        <f t="shared" si="7"/>
        <v/>
      </c>
    </row>
    <row r="133" spans="1:21" ht="28" customHeight="1" x14ac:dyDescent="0.35">
      <c r="A133" s="4">
        <v>4</v>
      </c>
      <c r="B133" s="4" t="s">
        <v>270</v>
      </c>
      <c r="C133" s="4" t="s">
        <v>281</v>
      </c>
      <c r="D133" s="4" t="s">
        <v>282</v>
      </c>
      <c r="E133" s="4" t="s">
        <v>283</v>
      </c>
      <c r="F133" s="4" t="s">
        <v>284</v>
      </c>
      <c r="G133" s="4" t="s">
        <v>204</v>
      </c>
      <c r="H133" s="4" t="s">
        <v>76</v>
      </c>
      <c r="I133" s="3"/>
      <c r="J133" s="3"/>
      <c r="K133" s="3"/>
      <c r="L133" s="3"/>
      <c r="M133" s="3"/>
      <c r="N133" s="3"/>
      <c r="O133" s="3"/>
      <c r="P133" s="8"/>
      <c r="Q133" s="8"/>
      <c r="R133" s="3"/>
      <c r="S133" s="3"/>
      <c r="T133" s="3"/>
      <c r="U133" s="5" t="str">
        <f t="shared" si="7"/>
        <v/>
      </c>
    </row>
    <row r="134" spans="1:21" ht="28" customHeight="1" x14ac:dyDescent="0.35">
      <c r="A134" s="4">
        <v>5</v>
      </c>
      <c r="B134" s="4" t="s">
        <v>285</v>
      </c>
      <c r="C134" s="4" t="s">
        <v>286</v>
      </c>
      <c r="D134" s="4" t="s">
        <v>287</v>
      </c>
      <c r="E134" s="4" t="s">
        <v>69</v>
      </c>
      <c r="F134" s="4" t="s">
        <v>276</v>
      </c>
      <c r="G134" s="4" t="s">
        <v>199</v>
      </c>
      <c r="H134" s="4" t="s">
        <v>76</v>
      </c>
      <c r="I134" s="3"/>
      <c r="J134" s="3"/>
      <c r="K134" s="3"/>
      <c r="L134" s="3"/>
      <c r="M134" s="3"/>
      <c r="N134" s="3"/>
      <c r="O134" s="3"/>
      <c r="P134" s="8"/>
      <c r="Q134" s="8"/>
      <c r="R134" s="3"/>
      <c r="S134" s="3"/>
      <c r="T134" s="3"/>
      <c r="U134" s="5" t="str">
        <f t="shared" si="7"/>
        <v/>
      </c>
    </row>
    <row r="135" spans="1:21" ht="28" customHeight="1" x14ac:dyDescent="0.35">
      <c r="A135" s="4">
        <v>6</v>
      </c>
      <c r="B135" s="4" t="s">
        <v>285</v>
      </c>
      <c r="C135" s="4" t="s">
        <v>288</v>
      </c>
      <c r="D135" s="4" t="s">
        <v>289</v>
      </c>
      <c r="E135" s="4" t="s">
        <v>70</v>
      </c>
      <c r="F135" s="4" t="s">
        <v>276</v>
      </c>
      <c r="G135" s="4" t="s">
        <v>199</v>
      </c>
      <c r="H135" s="4" t="s">
        <v>59</v>
      </c>
      <c r="I135" s="3"/>
      <c r="J135" s="3"/>
      <c r="K135" s="3"/>
      <c r="L135" s="3"/>
      <c r="M135" s="3"/>
      <c r="N135" s="3"/>
      <c r="O135" s="3"/>
      <c r="P135" s="8"/>
      <c r="Q135" s="8"/>
      <c r="R135" s="3"/>
      <c r="S135" s="3"/>
      <c r="T135" s="3"/>
      <c r="U135" s="5" t="str">
        <f t="shared" si="7"/>
        <v/>
      </c>
    </row>
    <row r="136" spans="1:21" ht="28" customHeight="1" x14ac:dyDescent="0.35">
      <c r="A136" s="4">
        <v>7</v>
      </c>
      <c r="B136" s="4" t="s">
        <v>290</v>
      </c>
      <c r="C136" s="4" t="s">
        <v>291</v>
      </c>
      <c r="D136" s="4" t="s">
        <v>292</v>
      </c>
      <c r="E136" s="4" t="s">
        <v>109</v>
      </c>
      <c r="F136" s="4" t="s">
        <v>284</v>
      </c>
      <c r="G136" s="4" t="s">
        <v>204</v>
      </c>
      <c r="H136" s="4" t="s">
        <v>59</v>
      </c>
      <c r="I136" s="3"/>
      <c r="J136" s="3"/>
      <c r="K136" s="3"/>
      <c r="L136" s="3"/>
      <c r="M136" s="3"/>
      <c r="N136" s="3"/>
      <c r="O136" s="3"/>
      <c r="P136" s="8"/>
      <c r="Q136" s="8"/>
      <c r="R136" s="3"/>
      <c r="S136" s="3"/>
      <c r="T136" s="3"/>
      <c r="U136" s="5" t="str">
        <f t="shared" si="7"/>
        <v/>
      </c>
    </row>
    <row r="137" spans="1:21" ht="28" customHeight="1" x14ac:dyDescent="0.35">
      <c r="A137" s="4">
        <v>8</v>
      </c>
      <c r="B137" s="4" t="s">
        <v>290</v>
      </c>
      <c r="C137" s="4" t="s">
        <v>293</v>
      </c>
      <c r="D137" s="4" t="s">
        <v>294</v>
      </c>
      <c r="E137" s="4" t="s">
        <v>70</v>
      </c>
      <c r="F137" s="4" t="s">
        <v>295</v>
      </c>
      <c r="G137" s="4" t="s">
        <v>199</v>
      </c>
      <c r="H137" s="4" t="s">
        <v>76</v>
      </c>
      <c r="I137" s="3"/>
      <c r="J137" s="3"/>
      <c r="K137" s="3"/>
      <c r="L137" s="3"/>
      <c r="M137" s="3"/>
      <c r="N137" s="3"/>
      <c r="O137" s="3"/>
      <c r="P137" s="8"/>
      <c r="Q137" s="8"/>
      <c r="R137" s="3"/>
      <c r="S137" s="3"/>
      <c r="T137" s="3"/>
      <c r="U137" s="5" t="str">
        <f t="shared" si="7"/>
        <v/>
      </c>
    </row>
    <row r="138" spans="1:21" ht="28" customHeight="1" x14ac:dyDescent="0.35">
      <c r="A138" s="4">
        <v>9</v>
      </c>
      <c r="B138" s="4" t="s">
        <v>296</v>
      </c>
      <c r="C138" s="4" t="s">
        <v>297</v>
      </c>
      <c r="D138" s="4" t="s">
        <v>70</v>
      </c>
      <c r="E138" s="4" t="s">
        <v>70</v>
      </c>
      <c r="F138" s="4" t="s">
        <v>295</v>
      </c>
      <c r="G138" s="4" t="s">
        <v>199</v>
      </c>
      <c r="H138" s="4" t="s">
        <v>76</v>
      </c>
      <c r="I138" s="3"/>
      <c r="J138" s="3"/>
      <c r="K138" s="3"/>
      <c r="L138" s="3"/>
      <c r="M138" s="3"/>
      <c r="N138" s="3"/>
      <c r="O138" s="3"/>
      <c r="P138" s="8"/>
      <c r="Q138" s="8"/>
      <c r="R138" s="3"/>
      <c r="S138" s="3"/>
      <c r="T138" s="3"/>
      <c r="U138" s="5" t="str">
        <f t="shared" si="7"/>
        <v/>
      </c>
    </row>
    <row r="139" spans="1:21" ht="28" customHeight="1" x14ac:dyDescent="0.35">
      <c r="A139" s="4">
        <v>10</v>
      </c>
      <c r="B139" s="4" t="s">
        <v>296</v>
      </c>
      <c r="C139" s="4" t="s">
        <v>298</v>
      </c>
      <c r="D139" s="4" t="s">
        <v>299</v>
      </c>
      <c r="E139" s="4" t="s">
        <v>283</v>
      </c>
      <c r="F139" s="4" t="s">
        <v>284</v>
      </c>
      <c r="G139" s="4" t="s">
        <v>204</v>
      </c>
      <c r="H139" s="4" t="s">
        <v>59</v>
      </c>
      <c r="I139" s="3"/>
      <c r="J139" s="3"/>
      <c r="K139" s="3"/>
      <c r="L139" s="3"/>
      <c r="M139" s="3"/>
      <c r="N139" s="3"/>
      <c r="O139" s="3"/>
      <c r="P139" s="8"/>
      <c r="Q139" s="8"/>
      <c r="R139" s="3"/>
      <c r="S139" s="3"/>
      <c r="T139" s="3"/>
      <c r="U139" s="5" t="str">
        <f t="shared" si="7"/>
        <v/>
      </c>
    </row>
    <row r="140" spans="1:21" ht="28" customHeight="1" x14ac:dyDescent="0.35">
      <c r="A140" s="4">
        <v>11</v>
      </c>
      <c r="B140" s="4" t="s">
        <v>300</v>
      </c>
      <c r="C140" s="4" t="s">
        <v>301</v>
      </c>
      <c r="D140" s="4" t="s">
        <v>302</v>
      </c>
      <c r="E140" s="4" t="s">
        <v>56</v>
      </c>
      <c r="F140" s="4" t="s">
        <v>276</v>
      </c>
      <c r="G140" s="4" t="s">
        <v>199</v>
      </c>
      <c r="H140" s="4" t="s">
        <v>76</v>
      </c>
      <c r="I140" s="3"/>
      <c r="J140" s="3"/>
      <c r="K140" s="3"/>
      <c r="L140" s="3"/>
      <c r="M140" s="3"/>
      <c r="N140" s="3"/>
      <c r="O140" s="3"/>
      <c r="P140" s="8"/>
      <c r="Q140" s="8"/>
      <c r="R140" s="3"/>
      <c r="S140" s="3"/>
      <c r="T140" s="3"/>
      <c r="U140" s="5" t="str">
        <f t="shared" si="7"/>
        <v/>
      </c>
    </row>
    <row r="141" spans="1:21" ht="28" customHeight="1" x14ac:dyDescent="0.35">
      <c r="A141" s="4">
        <v>12</v>
      </c>
      <c r="B141" s="4" t="s">
        <v>303</v>
      </c>
      <c r="C141" s="4" t="s">
        <v>304</v>
      </c>
      <c r="D141" s="4" t="s">
        <v>305</v>
      </c>
      <c r="E141" s="4" t="s">
        <v>283</v>
      </c>
      <c r="F141" s="4" t="s">
        <v>276</v>
      </c>
      <c r="G141" s="4" t="s">
        <v>199</v>
      </c>
      <c r="H141" s="4" t="s">
        <v>76</v>
      </c>
      <c r="I141" s="3"/>
      <c r="J141" s="3"/>
      <c r="K141" s="3"/>
      <c r="L141" s="3"/>
      <c r="M141" s="3"/>
      <c r="N141" s="3"/>
      <c r="O141" s="3"/>
      <c r="P141" s="8"/>
      <c r="Q141" s="8"/>
      <c r="R141" s="3"/>
      <c r="S141" s="3"/>
      <c r="T141" s="3"/>
      <c r="U141" s="5" t="str">
        <f t="shared" si="7"/>
        <v/>
      </c>
    </row>
    <row r="142" spans="1:21" ht="28" customHeight="1" x14ac:dyDescent="0.35">
      <c r="A142" s="4">
        <v>13</v>
      </c>
      <c r="B142" s="4" t="s">
        <v>306</v>
      </c>
      <c r="C142" s="4" t="s">
        <v>307</v>
      </c>
      <c r="D142" s="4" t="s">
        <v>308</v>
      </c>
      <c r="E142" s="4" t="s">
        <v>69</v>
      </c>
      <c r="F142" s="4" t="s">
        <v>273</v>
      </c>
      <c r="G142" s="4" t="s">
        <v>96</v>
      </c>
      <c r="H142" s="4" t="s">
        <v>59</v>
      </c>
      <c r="I142" s="3"/>
      <c r="J142" s="3"/>
      <c r="K142" s="3"/>
      <c r="L142" s="3"/>
      <c r="M142" s="3"/>
      <c r="N142" s="3"/>
      <c r="O142" s="3"/>
      <c r="P142" s="8"/>
      <c r="Q142" s="8"/>
      <c r="R142" s="3"/>
      <c r="S142" s="3"/>
      <c r="T142" s="3"/>
      <c r="U142" s="5" t="str">
        <f t="shared" si="7"/>
        <v/>
      </c>
    </row>
    <row r="143" spans="1:21" ht="28" customHeight="1" x14ac:dyDescent="0.35">
      <c r="A143" s="4">
        <v>14</v>
      </c>
      <c r="B143" s="4" t="s">
        <v>97</v>
      </c>
      <c r="C143" s="4" t="s">
        <v>98</v>
      </c>
      <c r="D143" s="4" t="s">
        <v>99</v>
      </c>
      <c r="E143" s="4" t="s">
        <v>69</v>
      </c>
      <c r="F143" s="4" t="s">
        <v>95</v>
      </c>
      <c r="G143" s="4" t="s">
        <v>96</v>
      </c>
      <c r="H143" s="4" t="s">
        <v>59</v>
      </c>
      <c r="I143" s="3"/>
      <c r="J143" s="3"/>
      <c r="K143" s="3"/>
      <c r="L143" s="3"/>
      <c r="M143" s="3"/>
      <c r="N143" s="3"/>
      <c r="O143" s="3"/>
      <c r="P143" s="8"/>
      <c r="Q143" s="8"/>
      <c r="R143" s="3"/>
      <c r="S143" s="3"/>
      <c r="T143" s="3"/>
      <c r="U143" s="5" t="str">
        <f t="shared" si="7"/>
        <v/>
      </c>
    </row>
    <row r="144" spans="1:21" ht="28" customHeight="1" x14ac:dyDescent="0.35">
      <c r="A144" s="4">
        <v>15</v>
      </c>
      <c r="B144" s="4" t="s">
        <v>97</v>
      </c>
      <c r="C144" s="4" t="s">
        <v>100</v>
      </c>
      <c r="D144" s="4" t="s">
        <v>101</v>
      </c>
      <c r="E144" s="4" t="s">
        <v>69</v>
      </c>
      <c r="F144" s="4" t="s">
        <v>95</v>
      </c>
      <c r="G144" s="4" t="s">
        <v>102</v>
      </c>
      <c r="H144" s="4" t="s">
        <v>59</v>
      </c>
      <c r="I144" s="3"/>
      <c r="J144" s="3"/>
      <c r="K144" s="3"/>
      <c r="L144" s="3"/>
      <c r="M144" s="3"/>
      <c r="N144" s="3"/>
      <c r="O144" s="3"/>
      <c r="P144" s="8"/>
      <c r="Q144" s="8"/>
      <c r="R144" s="3"/>
      <c r="S144" s="3"/>
      <c r="T144" s="3"/>
      <c r="U144" s="5" t="str">
        <f t="shared" si="7"/>
        <v/>
      </c>
    </row>
    <row r="145" spans="1:21" ht="28" customHeight="1" x14ac:dyDescent="0.35">
      <c r="A145" s="4">
        <v>16</v>
      </c>
      <c r="B145" s="4" t="s">
        <v>103</v>
      </c>
      <c r="C145" s="4" t="s">
        <v>104</v>
      </c>
      <c r="D145" s="4" t="s">
        <v>105</v>
      </c>
      <c r="E145" s="4" t="s">
        <v>69</v>
      </c>
      <c r="F145" s="4" t="s">
        <v>95</v>
      </c>
      <c r="G145" s="4" t="s">
        <v>96</v>
      </c>
      <c r="H145" s="4" t="s">
        <v>85</v>
      </c>
      <c r="I145" s="3"/>
      <c r="J145" s="3"/>
      <c r="K145" s="3"/>
      <c r="L145" s="3"/>
      <c r="M145" s="3"/>
      <c r="N145" s="3"/>
      <c r="O145" s="3"/>
      <c r="P145" s="8"/>
      <c r="Q145" s="8"/>
      <c r="R145" s="3"/>
      <c r="S145" s="3"/>
      <c r="T145" s="3"/>
      <c r="U145" s="5" t="str">
        <f t="shared" si="7"/>
        <v/>
      </c>
    </row>
    <row r="146" spans="1:21" ht="28" customHeight="1" x14ac:dyDescent="0.35">
      <c r="A146" s="4">
        <v>17</v>
      </c>
      <c r="B146" s="4" t="s">
        <v>106</v>
      </c>
      <c r="C146" s="4" t="s">
        <v>107</v>
      </c>
      <c r="D146" s="4" t="s">
        <v>108</v>
      </c>
      <c r="E146" s="4" t="s">
        <v>109</v>
      </c>
      <c r="F146" s="4" t="s">
        <v>95</v>
      </c>
      <c r="G146" s="4" t="s">
        <v>96</v>
      </c>
      <c r="H146" s="4" t="s">
        <v>59</v>
      </c>
      <c r="I146" s="3"/>
      <c r="J146" s="3"/>
      <c r="K146" s="3"/>
      <c r="L146" s="3"/>
      <c r="M146" s="3"/>
      <c r="N146" s="3"/>
      <c r="O146" s="3"/>
      <c r="P146" s="8"/>
      <c r="Q146" s="8"/>
      <c r="R146" s="3"/>
      <c r="S146" s="3"/>
      <c r="T146" s="3"/>
      <c r="U146" s="5" t="str">
        <f t="shared" si="7"/>
        <v/>
      </c>
    </row>
    <row r="148" spans="1:21" ht="28" customHeight="1" x14ac:dyDescent="0.35">
      <c r="A148" s="9" t="s">
        <v>110</v>
      </c>
      <c r="B148" s="16"/>
      <c r="C148" s="17"/>
      <c r="D148" s="17"/>
      <c r="E148" s="17"/>
      <c r="F148" s="17"/>
      <c r="G148" s="17"/>
      <c r="H148" s="17"/>
      <c r="I148" s="17"/>
      <c r="J148" s="17"/>
      <c r="K148" s="17"/>
      <c r="L148" s="17"/>
      <c r="M148" s="17"/>
      <c r="N148" s="17"/>
      <c r="O148" s="17"/>
      <c r="P148" s="17"/>
      <c r="Q148" s="17"/>
      <c r="R148" s="17"/>
      <c r="S148" s="17"/>
      <c r="T148" s="17"/>
      <c r="U148" s="18"/>
    </row>
    <row r="149" spans="1:21" ht="28" customHeight="1" x14ac:dyDescent="0.35">
      <c r="A149" s="19" t="s">
        <v>312</v>
      </c>
      <c r="B149" s="20"/>
      <c r="C149" s="20"/>
      <c r="D149" s="20"/>
      <c r="E149" s="20"/>
      <c r="F149" s="20"/>
      <c r="G149" s="20"/>
      <c r="H149" s="20"/>
      <c r="I149" s="20"/>
      <c r="J149" s="20"/>
      <c r="K149" s="20"/>
      <c r="L149" s="20"/>
      <c r="M149" s="20"/>
      <c r="N149" s="20"/>
      <c r="O149" s="20"/>
      <c r="P149" s="20"/>
      <c r="Q149" s="20"/>
      <c r="R149" s="20"/>
      <c r="S149" s="20"/>
      <c r="T149" s="20"/>
      <c r="U149" s="21"/>
    </row>
    <row r="150" spans="1:21" ht="28" customHeight="1" x14ac:dyDescent="0.35">
      <c r="A150" s="4" t="s">
        <v>31</v>
      </c>
      <c r="B150" s="3" t="s">
        <v>221</v>
      </c>
      <c r="C150" s="4" t="s">
        <v>32</v>
      </c>
      <c r="D150" s="3"/>
      <c r="E150" s="4" t="s">
        <v>33</v>
      </c>
      <c r="F150" s="8"/>
    </row>
    <row r="151" spans="1:21" ht="28" customHeight="1" x14ac:dyDescent="0.35">
      <c r="A151" s="1" t="s">
        <v>34</v>
      </c>
      <c r="B151" s="1" t="s">
        <v>35</v>
      </c>
      <c r="C151" s="1" t="s">
        <v>36</v>
      </c>
      <c r="D151" s="1" t="s">
        <v>37</v>
      </c>
      <c r="E151" s="1" t="s">
        <v>38</v>
      </c>
      <c r="F151" s="1" t="s">
        <v>39</v>
      </c>
      <c r="G151" s="1" t="s">
        <v>40</v>
      </c>
      <c r="H151" s="1" t="s">
        <v>41</v>
      </c>
      <c r="I151" s="1" t="s">
        <v>42</v>
      </c>
      <c r="J151" s="1" t="s">
        <v>43</v>
      </c>
      <c r="K151" s="1" t="s">
        <v>44</v>
      </c>
      <c r="L151" s="1" t="s">
        <v>45</v>
      </c>
      <c r="M151" s="1" t="s">
        <v>46</v>
      </c>
      <c r="N151" s="1" t="s">
        <v>47</v>
      </c>
      <c r="O151" s="1" t="s">
        <v>48</v>
      </c>
      <c r="P151" s="1" t="s">
        <v>4</v>
      </c>
      <c r="Q151" s="1" t="s">
        <v>49</v>
      </c>
      <c r="R151" s="1" t="s">
        <v>50</v>
      </c>
      <c r="S151" s="1" t="s">
        <v>51</v>
      </c>
      <c r="T151" s="1" t="s">
        <v>52</v>
      </c>
      <c r="U151" s="1" t="s">
        <v>10</v>
      </c>
    </row>
    <row r="152" spans="1:21" ht="28" customHeight="1" x14ac:dyDescent="0.35">
      <c r="A152" s="4">
        <v>1</v>
      </c>
      <c r="B152" s="4" t="s">
        <v>270</v>
      </c>
      <c r="C152" s="4" t="s">
        <v>271</v>
      </c>
      <c r="D152" s="4" t="s">
        <v>272</v>
      </c>
      <c r="E152" s="4" t="s">
        <v>109</v>
      </c>
      <c r="F152" s="4" t="s">
        <v>273</v>
      </c>
      <c r="G152" s="4" t="s">
        <v>199</v>
      </c>
      <c r="H152" s="4" t="s">
        <v>59</v>
      </c>
      <c r="I152" s="3"/>
      <c r="J152" s="3"/>
      <c r="K152" s="3"/>
      <c r="L152" s="3"/>
      <c r="M152" s="3"/>
      <c r="N152" s="3"/>
      <c r="O152" s="3"/>
      <c r="P152" s="8"/>
      <c r="Q152" s="8"/>
      <c r="R152" s="3"/>
      <c r="S152" s="3"/>
      <c r="T152" s="3"/>
      <c r="U152" s="5" t="str">
        <f t="shared" ref="U152:U168" si="8">IF(I152="","",IF(I152="NA","Grey",IF(I152=2,"Green",IF(I152=1,"Amber","Red"))))</f>
        <v/>
      </c>
    </row>
    <row r="153" spans="1:21" ht="28" customHeight="1" x14ac:dyDescent="0.35">
      <c r="A153" s="4">
        <v>2</v>
      </c>
      <c r="B153" s="4" t="s">
        <v>270</v>
      </c>
      <c r="C153" s="4" t="s">
        <v>274</v>
      </c>
      <c r="D153" s="4" t="s">
        <v>275</v>
      </c>
      <c r="E153" s="4" t="s">
        <v>69</v>
      </c>
      <c r="F153" s="4" t="s">
        <v>276</v>
      </c>
      <c r="G153" s="4" t="s">
        <v>199</v>
      </c>
      <c r="H153" s="4" t="s">
        <v>76</v>
      </c>
      <c r="I153" s="3"/>
      <c r="J153" s="3"/>
      <c r="K153" s="3"/>
      <c r="L153" s="3"/>
      <c r="M153" s="3"/>
      <c r="N153" s="3"/>
      <c r="O153" s="3"/>
      <c r="P153" s="8"/>
      <c r="Q153" s="8"/>
      <c r="R153" s="3"/>
      <c r="S153" s="3"/>
      <c r="T153" s="3"/>
      <c r="U153" s="5" t="str">
        <f t="shared" si="8"/>
        <v/>
      </c>
    </row>
    <row r="154" spans="1:21" ht="28" customHeight="1" x14ac:dyDescent="0.35">
      <c r="A154" s="4">
        <v>3</v>
      </c>
      <c r="B154" s="4" t="s">
        <v>270</v>
      </c>
      <c r="C154" s="4" t="s">
        <v>277</v>
      </c>
      <c r="D154" s="4" t="s">
        <v>278</v>
      </c>
      <c r="E154" s="4" t="s">
        <v>279</v>
      </c>
      <c r="F154" s="4" t="s">
        <v>280</v>
      </c>
      <c r="G154" s="4" t="s">
        <v>209</v>
      </c>
      <c r="H154" s="4" t="s">
        <v>76</v>
      </c>
      <c r="I154" s="3"/>
      <c r="J154" s="3"/>
      <c r="K154" s="3"/>
      <c r="L154" s="3"/>
      <c r="M154" s="3"/>
      <c r="N154" s="3"/>
      <c r="O154" s="3"/>
      <c r="P154" s="8"/>
      <c r="Q154" s="8"/>
      <c r="R154" s="3"/>
      <c r="S154" s="3"/>
      <c r="T154" s="3"/>
      <c r="U154" s="5" t="str">
        <f t="shared" si="8"/>
        <v/>
      </c>
    </row>
    <row r="155" spans="1:21" ht="28" customHeight="1" x14ac:dyDescent="0.35">
      <c r="A155" s="4">
        <v>4</v>
      </c>
      <c r="B155" s="4" t="s">
        <v>270</v>
      </c>
      <c r="C155" s="4" t="s">
        <v>281</v>
      </c>
      <c r="D155" s="4" t="s">
        <v>282</v>
      </c>
      <c r="E155" s="4" t="s">
        <v>283</v>
      </c>
      <c r="F155" s="4" t="s">
        <v>284</v>
      </c>
      <c r="G155" s="4" t="s">
        <v>204</v>
      </c>
      <c r="H155" s="4" t="s">
        <v>76</v>
      </c>
      <c r="I155" s="3"/>
      <c r="J155" s="3"/>
      <c r="K155" s="3"/>
      <c r="L155" s="3"/>
      <c r="M155" s="3"/>
      <c r="N155" s="3"/>
      <c r="O155" s="3"/>
      <c r="P155" s="8"/>
      <c r="Q155" s="8"/>
      <c r="R155" s="3"/>
      <c r="S155" s="3"/>
      <c r="T155" s="3"/>
      <c r="U155" s="5" t="str">
        <f t="shared" si="8"/>
        <v/>
      </c>
    </row>
    <row r="156" spans="1:21" ht="28" customHeight="1" x14ac:dyDescent="0.35">
      <c r="A156" s="4">
        <v>5</v>
      </c>
      <c r="B156" s="4" t="s">
        <v>285</v>
      </c>
      <c r="C156" s="4" t="s">
        <v>286</v>
      </c>
      <c r="D156" s="4" t="s">
        <v>287</v>
      </c>
      <c r="E156" s="4" t="s">
        <v>69</v>
      </c>
      <c r="F156" s="4" t="s">
        <v>276</v>
      </c>
      <c r="G156" s="4" t="s">
        <v>199</v>
      </c>
      <c r="H156" s="4" t="s">
        <v>76</v>
      </c>
      <c r="I156" s="3"/>
      <c r="J156" s="3"/>
      <c r="K156" s="3"/>
      <c r="L156" s="3"/>
      <c r="M156" s="3"/>
      <c r="N156" s="3"/>
      <c r="O156" s="3"/>
      <c r="P156" s="8"/>
      <c r="Q156" s="8"/>
      <c r="R156" s="3"/>
      <c r="S156" s="3"/>
      <c r="T156" s="3"/>
      <c r="U156" s="5" t="str">
        <f t="shared" si="8"/>
        <v/>
      </c>
    </row>
    <row r="157" spans="1:21" ht="28" customHeight="1" x14ac:dyDescent="0.35">
      <c r="A157" s="4">
        <v>6</v>
      </c>
      <c r="B157" s="4" t="s">
        <v>285</v>
      </c>
      <c r="C157" s="4" t="s">
        <v>288</v>
      </c>
      <c r="D157" s="4" t="s">
        <v>289</v>
      </c>
      <c r="E157" s="4" t="s">
        <v>70</v>
      </c>
      <c r="F157" s="4" t="s">
        <v>276</v>
      </c>
      <c r="G157" s="4" t="s">
        <v>199</v>
      </c>
      <c r="H157" s="4" t="s">
        <v>59</v>
      </c>
      <c r="I157" s="3"/>
      <c r="J157" s="3"/>
      <c r="K157" s="3"/>
      <c r="L157" s="3"/>
      <c r="M157" s="3"/>
      <c r="N157" s="3"/>
      <c r="O157" s="3"/>
      <c r="P157" s="8"/>
      <c r="Q157" s="8"/>
      <c r="R157" s="3"/>
      <c r="S157" s="3"/>
      <c r="T157" s="3"/>
      <c r="U157" s="5" t="str">
        <f t="shared" si="8"/>
        <v/>
      </c>
    </row>
    <row r="158" spans="1:21" ht="28" customHeight="1" x14ac:dyDescent="0.35">
      <c r="A158" s="4">
        <v>7</v>
      </c>
      <c r="B158" s="4" t="s">
        <v>290</v>
      </c>
      <c r="C158" s="4" t="s">
        <v>291</v>
      </c>
      <c r="D158" s="4" t="s">
        <v>292</v>
      </c>
      <c r="E158" s="4" t="s">
        <v>109</v>
      </c>
      <c r="F158" s="4" t="s">
        <v>284</v>
      </c>
      <c r="G158" s="4" t="s">
        <v>204</v>
      </c>
      <c r="H158" s="4" t="s">
        <v>59</v>
      </c>
      <c r="I158" s="3"/>
      <c r="J158" s="3"/>
      <c r="K158" s="3"/>
      <c r="L158" s="3"/>
      <c r="M158" s="3"/>
      <c r="N158" s="3"/>
      <c r="O158" s="3"/>
      <c r="P158" s="8"/>
      <c r="Q158" s="8"/>
      <c r="R158" s="3"/>
      <c r="S158" s="3"/>
      <c r="T158" s="3"/>
      <c r="U158" s="5" t="str">
        <f t="shared" si="8"/>
        <v/>
      </c>
    </row>
    <row r="159" spans="1:21" ht="28" customHeight="1" x14ac:dyDescent="0.35">
      <c r="A159" s="4">
        <v>8</v>
      </c>
      <c r="B159" s="4" t="s">
        <v>290</v>
      </c>
      <c r="C159" s="4" t="s">
        <v>293</v>
      </c>
      <c r="D159" s="4" t="s">
        <v>294</v>
      </c>
      <c r="E159" s="4" t="s">
        <v>70</v>
      </c>
      <c r="F159" s="4" t="s">
        <v>295</v>
      </c>
      <c r="G159" s="4" t="s">
        <v>199</v>
      </c>
      <c r="H159" s="4" t="s">
        <v>76</v>
      </c>
      <c r="I159" s="3"/>
      <c r="J159" s="3"/>
      <c r="K159" s="3"/>
      <c r="L159" s="3"/>
      <c r="M159" s="3"/>
      <c r="N159" s="3"/>
      <c r="O159" s="3"/>
      <c r="P159" s="8"/>
      <c r="Q159" s="8"/>
      <c r="R159" s="3"/>
      <c r="S159" s="3"/>
      <c r="T159" s="3"/>
      <c r="U159" s="5" t="str">
        <f t="shared" si="8"/>
        <v/>
      </c>
    </row>
    <row r="160" spans="1:21" ht="28" customHeight="1" x14ac:dyDescent="0.35">
      <c r="A160" s="4">
        <v>9</v>
      </c>
      <c r="B160" s="4" t="s">
        <v>296</v>
      </c>
      <c r="C160" s="4" t="s">
        <v>297</v>
      </c>
      <c r="D160" s="4" t="s">
        <v>70</v>
      </c>
      <c r="E160" s="4" t="s">
        <v>70</v>
      </c>
      <c r="F160" s="4" t="s">
        <v>295</v>
      </c>
      <c r="G160" s="4" t="s">
        <v>199</v>
      </c>
      <c r="H160" s="4" t="s">
        <v>76</v>
      </c>
      <c r="I160" s="3"/>
      <c r="J160" s="3"/>
      <c r="K160" s="3"/>
      <c r="L160" s="3"/>
      <c r="M160" s="3"/>
      <c r="N160" s="3"/>
      <c r="O160" s="3"/>
      <c r="P160" s="8"/>
      <c r="Q160" s="8"/>
      <c r="R160" s="3"/>
      <c r="S160" s="3"/>
      <c r="T160" s="3"/>
      <c r="U160" s="5" t="str">
        <f t="shared" si="8"/>
        <v/>
      </c>
    </row>
    <row r="161" spans="1:21" ht="28" customHeight="1" x14ac:dyDescent="0.35">
      <c r="A161" s="4">
        <v>10</v>
      </c>
      <c r="B161" s="4" t="s">
        <v>296</v>
      </c>
      <c r="C161" s="4" t="s">
        <v>298</v>
      </c>
      <c r="D161" s="4" t="s">
        <v>299</v>
      </c>
      <c r="E161" s="4" t="s">
        <v>283</v>
      </c>
      <c r="F161" s="4" t="s">
        <v>284</v>
      </c>
      <c r="G161" s="4" t="s">
        <v>204</v>
      </c>
      <c r="H161" s="4" t="s">
        <v>59</v>
      </c>
      <c r="I161" s="3"/>
      <c r="J161" s="3"/>
      <c r="K161" s="3"/>
      <c r="L161" s="3"/>
      <c r="M161" s="3"/>
      <c r="N161" s="3"/>
      <c r="O161" s="3"/>
      <c r="P161" s="8"/>
      <c r="Q161" s="8"/>
      <c r="R161" s="3"/>
      <c r="S161" s="3"/>
      <c r="T161" s="3"/>
      <c r="U161" s="5" t="str">
        <f t="shared" si="8"/>
        <v/>
      </c>
    </row>
    <row r="162" spans="1:21" ht="28" customHeight="1" x14ac:dyDescent="0.35">
      <c r="A162" s="4">
        <v>11</v>
      </c>
      <c r="B162" s="4" t="s">
        <v>300</v>
      </c>
      <c r="C162" s="4" t="s">
        <v>301</v>
      </c>
      <c r="D162" s="4" t="s">
        <v>302</v>
      </c>
      <c r="E162" s="4" t="s">
        <v>56</v>
      </c>
      <c r="F162" s="4" t="s">
        <v>276</v>
      </c>
      <c r="G162" s="4" t="s">
        <v>199</v>
      </c>
      <c r="H162" s="4" t="s">
        <v>76</v>
      </c>
      <c r="I162" s="3"/>
      <c r="J162" s="3"/>
      <c r="K162" s="3"/>
      <c r="L162" s="3"/>
      <c r="M162" s="3"/>
      <c r="N162" s="3"/>
      <c r="O162" s="3"/>
      <c r="P162" s="8"/>
      <c r="Q162" s="8"/>
      <c r="R162" s="3"/>
      <c r="S162" s="3"/>
      <c r="T162" s="3"/>
      <c r="U162" s="5" t="str">
        <f t="shared" si="8"/>
        <v/>
      </c>
    </row>
    <row r="163" spans="1:21" ht="28" customHeight="1" x14ac:dyDescent="0.35">
      <c r="A163" s="4">
        <v>12</v>
      </c>
      <c r="B163" s="4" t="s">
        <v>303</v>
      </c>
      <c r="C163" s="4" t="s">
        <v>304</v>
      </c>
      <c r="D163" s="4" t="s">
        <v>305</v>
      </c>
      <c r="E163" s="4" t="s">
        <v>283</v>
      </c>
      <c r="F163" s="4" t="s">
        <v>276</v>
      </c>
      <c r="G163" s="4" t="s">
        <v>199</v>
      </c>
      <c r="H163" s="4" t="s">
        <v>76</v>
      </c>
      <c r="I163" s="3"/>
      <c r="J163" s="3"/>
      <c r="K163" s="3"/>
      <c r="L163" s="3"/>
      <c r="M163" s="3"/>
      <c r="N163" s="3"/>
      <c r="O163" s="3"/>
      <c r="P163" s="8"/>
      <c r="Q163" s="8"/>
      <c r="R163" s="3"/>
      <c r="S163" s="3"/>
      <c r="T163" s="3"/>
      <c r="U163" s="5" t="str">
        <f t="shared" si="8"/>
        <v/>
      </c>
    </row>
    <row r="164" spans="1:21" ht="28" customHeight="1" x14ac:dyDescent="0.35">
      <c r="A164" s="4">
        <v>13</v>
      </c>
      <c r="B164" s="4" t="s">
        <v>306</v>
      </c>
      <c r="C164" s="4" t="s">
        <v>307</v>
      </c>
      <c r="D164" s="4" t="s">
        <v>308</v>
      </c>
      <c r="E164" s="4" t="s">
        <v>69</v>
      </c>
      <c r="F164" s="4" t="s">
        <v>273</v>
      </c>
      <c r="G164" s="4" t="s">
        <v>96</v>
      </c>
      <c r="H164" s="4" t="s">
        <v>59</v>
      </c>
      <c r="I164" s="3"/>
      <c r="J164" s="3"/>
      <c r="K164" s="3"/>
      <c r="L164" s="3"/>
      <c r="M164" s="3"/>
      <c r="N164" s="3"/>
      <c r="O164" s="3"/>
      <c r="P164" s="8"/>
      <c r="Q164" s="8"/>
      <c r="R164" s="3"/>
      <c r="S164" s="3"/>
      <c r="T164" s="3"/>
      <c r="U164" s="5" t="str">
        <f t="shared" si="8"/>
        <v/>
      </c>
    </row>
    <row r="165" spans="1:21" ht="28" customHeight="1" x14ac:dyDescent="0.35">
      <c r="A165" s="4">
        <v>14</v>
      </c>
      <c r="B165" s="4" t="s">
        <v>97</v>
      </c>
      <c r="C165" s="4" t="s">
        <v>98</v>
      </c>
      <c r="D165" s="4" t="s">
        <v>99</v>
      </c>
      <c r="E165" s="4" t="s">
        <v>69</v>
      </c>
      <c r="F165" s="4" t="s">
        <v>95</v>
      </c>
      <c r="G165" s="4" t="s">
        <v>96</v>
      </c>
      <c r="H165" s="4" t="s">
        <v>59</v>
      </c>
      <c r="I165" s="3"/>
      <c r="J165" s="3"/>
      <c r="K165" s="3"/>
      <c r="L165" s="3"/>
      <c r="M165" s="3"/>
      <c r="N165" s="3"/>
      <c r="O165" s="3"/>
      <c r="P165" s="8"/>
      <c r="Q165" s="8"/>
      <c r="R165" s="3"/>
      <c r="S165" s="3"/>
      <c r="T165" s="3"/>
      <c r="U165" s="5" t="str">
        <f t="shared" si="8"/>
        <v/>
      </c>
    </row>
    <row r="166" spans="1:21" ht="28" customHeight="1" x14ac:dyDescent="0.35">
      <c r="A166" s="4">
        <v>15</v>
      </c>
      <c r="B166" s="4" t="s">
        <v>97</v>
      </c>
      <c r="C166" s="4" t="s">
        <v>100</v>
      </c>
      <c r="D166" s="4" t="s">
        <v>101</v>
      </c>
      <c r="E166" s="4" t="s">
        <v>69</v>
      </c>
      <c r="F166" s="4" t="s">
        <v>95</v>
      </c>
      <c r="G166" s="4" t="s">
        <v>102</v>
      </c>
      <c r="H166" s="4" t="s">
        <v>59</v>
      </c>
      <c r="I166" s="3"/>
      <c r="J166" s="3"/>
      <c r="K166" s="3"/>
      <c r="L166" s="3"/>
      <c r="M166" s="3"/>
      <c r="N166" s="3"/>
      <c r="O166" s="3"/>
      <c r="P166" s="8"/>
      <c r="Q166" s="8"/>
      <c r="R166" s="3"/>
      <c r="S166" s="3"/>
      <c r="T166" s="3"/>
      <c r="U166" s="5" t="str">
        <f t="shared" si="8"/>
        <v/>
      </c>
    </row>
    <row r="167" spans="1:21" ht="28" customHeight="1" x14ac:dyDescent="0.35">
      <c r="A167" s="4">
        <v>16</v>
      </c>
      <c r="B167" s="4" t="s">
        <v>103</v>
      </c>
      <c r="C167" s="4" t="s">
        <v>104</v>
      </c>
      <c r="D167" s="4" t="s">
        <v>105</v>
      </c>
      <c r="E167" s="4" t="s">
        <v>69</v>
      </c>
      <c r="F167" s="4" t="s">
        <v>95</v>
      </c>
      <c r="G167" s="4" t="s">
        <v>96</v>
      </c>
      <c r="H167" s="4" t="s">
        <v>85</v>
      </c>
      <c r="I167" s="3"/>
      <c r="J167" s="3"/>
      <c r="K167" s="3"/>
      <c r="L167" s="3"/>
      <c r="M167" s="3"/>
      <c r="N167" s="3"/>
      <c r="O167" s="3"/>
      <c r="P167" s="8"/>
      <c r="Q167" s="8"/>
      <c r="R167" s="3"/>
      <c r="S167" s="3"/>
      <c r="T167" s="3"/>
      <c r="U167" s="5" t="str">
        <f t="shared" si="8"/>
        <v/>
      </c>
    </row>
    <row r="168" spans="1:21" ht="28" customHeight="1" x14ac:dyDescent="0.35">
      <c r="A168" s="4">
        <v>17</v>
      </c>
      <c r="B168" s="4" t="s">
        <v>106</v>
      </c>
      <c r="C168" s="4" t="s">
        <v>107</v>
      </c>
      <c r="D168" s="4" t="s">
        <v>108</v>
      </c>
      <c r="E168" s="4" t="s">
        <v>109</v>
      </c>
      <c r="F168" s="4" t="s">
        <v>95</v>
      </c>
      <c r="G168" s="4" t="s">
        <v>96</v>
      </c>
      <c r="H168" s="4" t="s">
        <v>59</v>
      </c>
      <c r="I168" s="3"/>
      <c r="J168" s="3"/>
      <c r="K168" s="3"/>
      <c r="L168" s="3"/>
      <c r="M168" s="3"/>
      <c r="N168" s="3"/>
      <c r="O168" s="3"/>
      <c r="P168" s="8"/>
      <c r="Q168" s="8"/>
      <c r="R168" s="3"/>
      <c r="S168" s="3"/>
      <c r="T168" s="3"/>
      <c r="U168" s="5" t="str">
        <f t="shared" si="8"/>
        <v/>
      </c>
    </row>
    <row r="170" spans="1:21" ht="28" customHeight="1" x14ac:dyDescent="0.35">
      <c r="A170" s="9" t="s">
        <v>110</v>
      </c>
      <c r="B170" s="16"/>
      <c r="C170" s="17"/>
      <c r="D170" s="17"/>
      <c r="E170" s="17"/>
      <c r="F170" s="17"/>
      <c r="G170" s="17"/>
      <c r="H170" s="17"/>
      <c r="I170" s="17"/>
      <c r="J170" s="17"/>
      <c r="K170" s="17"/>
      <c r="L170" s="17"/>
      <c r="M170" s="17"/>
      <c r="N170" s="17"/>
      <c r="O170" s="17"/>
      <c r="P170" s="17"/>
      <c r="Q170" s="17"/>
      <c r="R170" s="17"/>
      <c r="S170" s="17"/>
      <c r="T170" s="17"/>
      <c r="U170" s="18"/>
    </row>
    <row r="171" spans="1:21" ht="28" customHeight="1" x14ac:dyDescent="0.35">
      <c r="A171" s="19" t="s">
        <v>313</v>
      </c>
      <c r="B171" s="20"/>
      <c r="C171" s="20"/>
      <c r="D171" s="20"/>
      <c r="E171" s="20"/>
      <c r="F171" s="20"/>
      <c r="G171" s="20"/>
      <c r="H171" s="20"/>
      <c r="I171" s="20"/>
      <c r="J171" s="20"/>
      <c r="K171" s="20"/>
      <c r="L171" s="20"/>
      <c r="M171" s="20"/>
      <c r="N171" s="20"/>
      <c r="O171" s="20"/>
      <c r="P171" s="20"/>
      <c r="Q171" s="20"/>
      <c r="R171" s="20"/>
      <c r="S171" s="20"/>
      <c r="T171" s="20"/>
      <c r="U171" s="21"/>
    </row>
    <row r="172" spans="1:21" ht="28" customHeight="1" x14ac:dyDescent="0.35">
      <c r="A172" s="4" t="s">
        <v>31</v>
      </c>
      <c r="B172" s="3" t="s">
        <v>222</v>
      </c>
      <c r="C172" s="4" t="s">
        <v>32</v>
      </c>
      <c r="D172" s="3"/>
      <c r="E172" s="4" t="s">
        <v>33</v>
      </c>
      <c r="F172" s="8"/>
    </row>
    <row r="173" spans="1:21" ht="28" customHeight="1" x14ac:dyDescent="0.35">
      <c r="A173" s="1" t="s">
        <v>34</v>
      </c>
      <c r="B173" s="1" t="s">
        <v>35</v>
      </c>
      <c r="C173" s="1" t="s">
        <v>36</v>
      </c>
      <c r="D173" s="1" t="s">
        <v>37</v>
      </c>
      <c r="E173" s="1" t="s">
        <v>38</v>
      </c>
      <c r="F173" s="1" t="s">
        <v>39</v>
      </c>
      <c r="G173" s="1" t="s">
        <v>40</v>
      </c>
      <c r="H173" s="1" t="s">
        <v>41</v>
      </c>
      <c r="I173" s="1" t="s">
        <v>42</v>
      </c>
      <c r="J173" s="1" t="s">
        <v>43</v>
      </c>
      <c r="K173" s="1" t="s">
        <v>44</v>
      </c>
      <c r="L173" s="1" t="s">
        <v>45</v>
      </c>
      <c r="M173" s="1" t="s">
        <v>46</v>
      </c>
      <c r="N173" s="1" t="s">
        <v>47</v>
      </c>
      <c r="O173" s="1" t="s">
        <v>48</v>
      </c>
      <c r="P173" s="1" t="s">
        <v>4</v>
      </c>
      <c r="Q173" s="1" t="s">
        <v>49</v>
      </c>
      <c r="R173" s="1" t="s">
        <v>50</v>
      </c>
      <c r="S173" s="1" t="s">
        <v>51</v>
      </c>
      <c r="T173" s="1" t="s">
        <v>52</v>
      </c>
      <c r="U173" s="1" t="s">
        <v>10</v>
      </c>
    </row>
    <row r="174" spans="1:21" ht="28" customHeight="1" x14ac:dyDescent="0.35">
      <c r="A174" s="4">
        <v>1</v>
      </c>
      <c r="B174" s="4" t="s">
        <v>270</v>
      </c>
      <c r="C174" s="4" t="s">
        <v>271</v>
      </c>
      <c r="D174" s="4" t="s">
        <v>272</v>
      </c>
      <c r="E174" s="4" t="s">
        <v>109</v>
      </c>
      <c r="F174" s="4" t="s">
        <v>273</v>
      </c>
      <c r="G174" s="4" t="s">
        <v>199</v>
      </c>
      <c r="H174" s="4" t="s">
        <v>59</v>
      </c>
      <c r="I174" s="3"/>
      <c r="J174" s="3"/>
      <c r="K174" s="3"/>
      <c r="L174" s="3"/>
      <c r="M174" s="3"/>
      <c r="N174" s="3"/>
      <c r="O174" s="3"/>
      <c r="P174" s="8"/>
      <c r="Q174" s="8"/>
      <c r="R174" s="3"/>
      <c r="S174" s="3"/>
      <c r="T174" s="3"/>
      <c r="U174" s="5" t="str">
        <f t="shared" ref="U174:U190" si="9">IF(I174="","",IF(I174="NA","Grey",IF(I174=2,"Green",IF(I174=1,"Amber","Red"))))</f>
        <v/>
      </c>
    </row>
    <row r="175" spans="1:21" ht="28" customHeight="1" x14ac:dyDescent="0.35">
      <c r="A175" s="4">
        <v>2</v>
      </c>
      <c r="B175" s="4" t="s">
        <v>270</v>
      </c>
      <c r="C175" s="4" t="s">
        <v>274</v>
      </c>
      <c r="D175" s="4" t="s">
        <v>275</v>
      </c>
      <c r="E175" s="4" t="s">
        <v>69</v>
      </c>
      <c r="F175" s="4" t="s">
        <v>276</v>
      </c>
      <c r="G175" s="4" t="s">
        <v>199</v>
      </c>
      <c r="H175" s="4" t="s">
        <v>76</v>
      </c>
      <c r="I175" s="3"/>
      <c r="J175" s="3"/>
      <c r="K175" s="3"/>
      <c r="L175" s="3"/>
      <c r="M175" s="3"/>
      <c r="N175" s="3"/>
      <c r="O175" s="3"/>
      <c r="P175" s="8"/>
      <c r="Q175" s="8"/>
      <c r="R175" s="3"/>
      <c r="S175" s="3"/>
      <c r="T175" s="3"/>
      <c r="U175" s="5" t="str">
        <f t="shared" si="9"/>
        <v/>
      </c>
    </row>
    <row r="176" spans="1:21" ht="28" customHeight="1" x14ac:dyDescent="0.35">
      <c r="A176" s="4">
        <v>3</v>
      </c>
      <c r="B176" s="4" t="s">
        <v>270</v>
      </c>
      <c r="C176" s="4" t="s">
        <v>277</v>
      </c>
      <c r="D176" s="4" t="s">
        <v>278</v>
      </c>
      <c r="E176" s="4" t="s">
        <v>279</v>
      </c>
      <c r="F176" s="4" t="s">
        <v>280</v>
      </c>
      <c r="G176" s="4" t="s">
        <v>209</v>
      </c>
      <c r="H176" s="4" t="s">
        <v>76</v>
      </c>
      <c r="I176" s="3"/>
      <c r="J176" s="3"/>
      <c r="K176" s="3"/>
      <c r="L176" s="3"/>
      <c r="M176" s="3"/>
      <c r="N176" s="3"/>
      <c r="O176" s="3"/>
      <c r="P176" s="8"/>
      <c r="Q176" s="8"/>
      <c r="R176" s="3"/>
      <c r="S176" s="3"/>
      <c r="T176" s="3"/>
      <c r="U176" s="5" t="str">
        <f t="shared" si="9"/>
        <v/>
      </c>
    </row>
    <row r="177" spans="1:21" ht="28" customHeight="1" x14ac:dyDescent="0.35">
      <c r="A177" s="4">
        <v>4</v>
      </c>
      <c r="B177" s="4" t="s">
        <v>270</v>
      </c>
      <c r="C177" s="4" t="s">
        <v>281</v>
      </c>
      <c r="D177" s="4" t="s">
        <v>282</v>
      </c>
      <c r="E177" s="4" t="s">
        <v>283</v>
      </c>
      <c r="F177" s="4" t="s">
        <v>284</v>
      </c>
      <c r="G177" s="4" t="s">
        <v>204</v>
      </c>
      <c r="H177" s="4" t="s">
        <v>76</v>
      </c>
      <c r="I177" s="3"/>
      <c r="J177" s="3"/>
      <c r="K177" s="3"/>
      <c r="L177" s="3"/>
      <c r="M177" s="3"/>
      <c r="N177" s="3"/>
      <c r="O177" s="3"/>
      <c r="P177" s="8"/>
      <c r="Q177" s="8"/>
      <c r="R177" s="3"/>
      <c r="S177" s="3"/>
      <c r="T177" s="3"/>
      <c r="U177" s="5" t="str">
        <f t="shared" si="9"/>
        <v/>
      </c>
    </row>
    <row r="178" spans="1:21" ht="28" customHeight="1" x14ac:dyDescent="0.35">
      <c r="A178" s="4">
        <v>5</v>
      </c>
      <c r="B178" s="4" t="s">
        <v>285</v>
      </c>
      <c r="C178" s="4" t="s">
        <v>286</v>
      </c>
      <c r="D178" s="4" t="s">
        <v>287</v>
      </c>
      <c r="E178" s="4" t="s">
        <v>69</v>
      </c>
      <c r="F178" s="4" t="s">
        <v>276</v>
      </c>
      <c r="G178" s="4" t="s">
        <v>199</v>
      </c>
      <c r="H178" s="4" t="s">
        <v>76</v>
      </c>
      <c r="I178" s="3"/>
      <c r="J178" s="3"/>
      <c r="K178" s="3"/>
      <c r="L178" s="3"/>
      <c r="M178" s="3"/>
      <c r="N178" s="3"/>
      <c r="O178" s="3"/>
      <c r="P178" s="8"/>
      <c r="Q178" s="8"/>
      <c r="R178" s="3"/>
      <c r="S178" s="3"/>
      <c r="T178" s="3"/>
      <c r="U178" s="5" t="str">
        <f t="shared" si="9"/>
        <v/>
      </c>
    </row>
    <row r="179" spans="1:21" ht="28" customHeight="1" x14ac:dyDescent="0.35">
      <c r="A179" s="4">
        <v>6</v>
      </c>
      <c r="B179" s="4" t="s">
        <v>285</v>
      </c>
      <c r="C179" s="4" t="s">
        <v>288</v>
      </c>
      <c r="D179" s="4" t="s">
        <v>289</v>
      </c>
      <c r="E179" s="4" t="s">
        <v>70</v>
      </c>
      <c r="F179" s="4" t="s">
        <v>276</v>
      </c>
      <c r="G179" s="4" t="s">
        <v>199</v>
      </c>
      <c r="H179" s="4" t="s">
        <v>59</v>
      </c>
      <c r="I179" s="3"/>
      <c r="J179" s="3"/>
      <c r="K179" s="3"/>
      <c r="L179" s="3"/>
      <c r="M179" s="3"/>
      <c r="N179" s="3"/>
      <c r="O179" s="3"/>
      <c r="P179" s="8"/>
      <c r="Q179" s="8"/>
      <c r="R179" s="3"/>
      <c r="S179" s="3"/>
      <c r="T179" s="3"/>
      <c r="U179" s="5" t="str">
        <f t="shared" si="9"/>
        <v/>
      </c>
    </row>
    <row r="180" spans="1:21" ht="28" customHeight="1" x14ac:dyDescent="0.35">
      <c r="A180" s="4">
        <v>7</v>
      </c>
      <c r="B180" s="4" t="s">
        <v>290</v>
      </c>
      <c r="C180" s="4" t="s">
        <v>291</v>
      </c>
      <c r="D180" s="4" t="s">
        <v>292</v>
      </c>
      <c r="E180" s="4" t="s">
        <v>109</v>
      </c>
      <c r="F180" s="4" t="s">
        <v>284</v>
      </c>
      <c r="G180" s="4" t="s">
        <v>204</v>
      </c>
      <c r="H180" s="4" t="s">
        <v>59</v>
      </c>
      <c r="I180" s="3"/>
      <c r="J180" s="3"/>
      <c r="K180" s="3"/>
      <c r="L180" s="3"/>
      <c r="M180" s="3"/>
      <c r="N180" s="3"/>
      <c r="O180" s="3"/>
      <c r="P180" s="8"/>
      <c r="Q180" s="8"/>
      <c r="R180" s="3"/>
      <c r="S180" s="3"/>
      <c r="T180" s="3"/>
      <c r="U180" s="5" t="str">
        <f t="shared" si="9"/>
        <v/>
      </c>
    </row>
    <row r="181" spans="1:21" ht="28" customHeight="1" x14ac:dyDescent="0.35">
      <c r="A181" s="4">
        <v>8</v>
      </c>
      <c r="B181" s="4" t="s">
        <v>290</v>
      </c>
      <c r="C181" s="4" t="s">
        <v>293</v>
      </c>
      <c r="D181" s="4" t="s">
        <v>294</v>
      </c>
      <c r="E181" s="4" t="s">
        <v>70</v>
      </c>
      <c r="F181" s="4" t="s">
        <v>295</v>
      </c>
      <c r="G181" s="4" t="s">
        <v>199</v>
      </c>
      <c r="H181" s="4" t="s">
        <v>76</v>
      </c>
      <c r="I181" s="3"/>
      <c r="J181" s="3"/>
      <c r="K181" s="3"/>
      <c r="L181" s="3"/>
      <c r="M181" s="3"/>
      <c r="N181" s="3"/>
      <c r="O181" s="3"/>
      <c r="P181" s="8"/>
      <c r="Q181" s="8"/>
      <c r="R181" s="3"/>
      <c r="S181" s="3"/>
      <c r="T181" s="3"/>
      <c r="U181" s="5" t="str">
        <f t="shared" si="9"/>
        <v/>
      </c>
    </row>
    <row r="182" spans="1:21" ht="28" customHeight="1" x14ac:dyDescent="0.35">
      <c r="A182" s="4">
        <v>9</v>
      </c>
      <c r="B182" s="4" t="s">
        <v>296</v>
      </c>
      <c r="C182" s="4" t="s">
        <v>297</v>
      </c>
      <c r="D182" s="4" t="s">
        <v>70</v>
      </c>
      <c r="E182" s="4" t="s">
        <v>70</v>
      </c>
      <c r="F182" s="4" t="s">
        <v>295</v>
      </c>
      <c r="G182" s="4" t="s">
        <v>199</v>
      </c>
      <c r="H182" s="4" t="s">
        <v>76</v>
      </c>
      <c r="I182" s="3"/>
      <c r="J182" s="3"/>
      <c r="K182" s="3"/>
      <c r="L182" s="3"/>
      <c r="M182" s="3"/>
      <c r="N182" s="3"/>
      <c r="O182" s="3"/>
      <c r="P182" s="8"/>
      <c r="Q182" s="8"/>
      <c r="R182" s="3"/>
      <c r="S182" s="3"/>
      <c r="T182" s="3"/>
      <c r="U182" s="5" t="str">
        <f t="shared" si="9"/>
        <v/>
      </c>
    </row>
    <row r="183" spans="1:21" ht="28" customHeight="1" x14ac:dyDescent="0.35">
      <c r="A183" s="4">
        <v>10</v>
      </c>
      <c r="B183" s="4" t="s">
        <v>296</v>
      </c>
      <c r="C183" s="4" t="s">
        <v>298</v>
      </c>
      <c r="D183" s="4" t="s">
        <v>299</v>
      </c>
      <c r="E183" s="4" t="s">
        <v>283</v>
      </c>
      <c r="F183" s="4" t="s">
        <v>284</v>
      </c>
      <c r="G183" s="4" t="s">
        <v>204</v>
      </c>
      <c r="H183" s="4" t="s">
        <v>59</v>
      </c>
      <c r="I183" s="3"/>
      <c r="J183" s="3"/>
      <c r="K183" s="3"/>
      <c r="L183" s="3"/>
      <c r="M183" s="3"/>
      <c r="N183" s="3"/>
      <c r="O183" s="3"/>
      <c r="P183" s="8"/>
      <c r="Q183" s="8"/>
      <c r="R183" s="3"/>
      <c r="S183" s="3"/>
      <c r="T183" s="3"/>
      <c r="U183" s="5" t="str">
        <f t="shared" si="9"/>
        <v/>
      </c>
    </row>
    <row r="184" spans="1:21" ht="28" customHeight="1" x14ac:dyDescent="0.35">
      <c r="A184" s="4">
        <v>11</v>
      </c>
      <c r="B184" s="4" t="s">
        <v>300</v>
      </c>
      <c r="C184" s="4" t="s">
        <v>301</v>
      </c>
      <c r="D184" s="4" t="s">
        <v>302</v>
      </c>
      <c r="E184" s="4" t="s">
        <v>56</v>
      </c>
      <c r="F184" s="4" t="s">
        <v>276</v>
      </c>
      <c r="G184" s="4" t="s">
        <v>199</v>
      </c>
      <c r="H184" s="4" t="s">
        <v>76</v>
      </c>
      <c r="I184" s="3"/>
      <c r="J184" s="3"/>
      <c r="K184" s="3"/>
      <c r="L184" s="3"/>
      <c r="M184" s="3"/>
      <c r="N184" s="3"/>
      <c r="O184" s="3"/>
      <c r="P184" s="8"/>
      <c r="Q184" s="8"/>
      <c r="R184" s="3"/>
      <c r="S184" s="3"/>
      <c r="T184" s="3"/>
      <c r="U184" s="5" t="str">
        <f t="shared" si="9"/>
        <v/>
      </c>
    </row>
    <row r="185" spans="1:21" ht="28" customHeight="1" x14ac:dyDescent="0.35">
      <c r="A185" s="4">
        <v>12</v>
      </c>
      <c r="B185" s="4" t="s">
        <v>303</v>
      </c>
      <c r="C185" s="4" t="s">
        <v>304</v>
      </c>
      <c r="D185" s="4" t="s">
        <v>305</v>
      </c>
      <c r="E185" s="4" t="s">
        <v>283</v>
      </c>
      <c r="F185" s="4" t="s">
        <v>276</v>
      </c>
      <c r="G185" s="4" t="s">
        <v>199</v>
      </c>
      <c r="H185" s="4" t="s">
        <v>76</v>
      </c>
      <c r="I185" s="3"/>
      <c r="J185" s="3"/>
      <c r="K185" s="3"/>
      <c r="L185" s="3"/>
      <c r="M185" s="3"/>
      <c r="N185" s="3"/>
      <c r="O185" s="3"/>
      <c r="P185" s="8"/>
      <c r="Q185" s="8"/>
      <c r="R185" s="3"/>
      <c r="S185" s="3"/>
      <c r="T185" s="3"/>
      <c r="U185" s="5" t="str">
        <f t="shared" si="9"/>
        <v/>
      </c>
    </row>
    <row r="186" spans="1:21" ht="28" customHeight="1" x14ac:dyDescent="0.35">
      <c r="A186" s="4">
        <v>13</v>
      </c>
      <c r="B186" s="4" t="s">
        <v>306</v>
      </c>
      <c r="C186" s="4" t="s">
        <v>307</v>
      </c>
      <c r="D186" s="4" t="s">
        <v>308</v>
      </c>
      <c r="E186" s="4" t="s">
        <v>69</v>
      </c>
      <c r="F186" s="4" t="s">
        <v>273</v>
      </c>
      <c r="G186" s="4" t="s">
        <v>96</v>
      </c>
      <c r="H186" s="4" t="s">
        <v>59</v>
      </c>
      <c r="I186" s="3"/>
      <c r="J186" s="3"/>
      <c r="K186" s="3"/>
      <c r="L186" s="3"/>
      <c r="M186" s="3"/>
      <c r="N186" s="3"/>
      <c r="O186" s="3"/>
      <c r="P186" s="8"/>
      <c r="Q186" s="8"/>
      <c r="R186" s="3"/>
      <c r="S186" s="3"/>
      <c r="T186" s="3"/>
      <c r="U186" s="5" t="str">
        <f t="shared" si="9"/>
        <v/>
      </c>
    </row>
    <row r="187" spans="1:21" ht="28" customHeight="1" x14ac:dyDescent="0.35">
      <c r="A187" s="4">
        <v>14</v>
      </c>
      <c r="B187" s="4" t="s">
        <v>97</v>
      </c>
      <c r="C187" s="4" t="s">
        <v>98</v>
      </c>
      <c r="D187" s="4" t="s">
        <v>99</v>
      </c>
      <c r="E187" s="4" t="s">
        <v>69</v>
      </c>
      <c r="F187" s="4" t="s">
        <v>95</v>
      </c>
      <c r="G187" s="4" t="s">
        <v>96</v>
      </c>
      <c r="H187" s="4" t="s">
        <v>59</v>
      </c>
      <c r="I187" s="3"/>
      <c r="J187" s="3"/>
      <c r="K187" s="3"/>
      <c r="L187" s="3"/>
      <c r="M187" s="3"/>
      <c r="N187" s="3"/>
      <c r="O187" s="3"/>
      <c r="P187" s="8"/>
      <c r="Q187" s="8"/>
      <c r="R187" s="3"/>
      <c r="S187" s="3"/>
      <c r="T187" s="3"/>
      <c r="U187" s="5" t="str">
        <f t="shared" si="9"/>
        <v/>
      </c>
    </row>
    <row r="188" spans="1:21" ht="28" customHeight="1" x14ac:dyDescent="0.35">
      <c r="A188" s="4">
        <v>15</v>
      </c>
      <c r="B188" s="4" t="s">
        <v>97</v>
      </c>
      <c r="C188" s="4" t="s">
        <v>100</v>
      </c>
      <c r="D188" s="4" t="s">
        <v>101</v>
      </c>
      <c r="E188" s="4" t="s">
        <v>69</v>
      </c>
      <c r="F188" s="4" t="s">
        <v>95</v>
      </c>
      <c r="G188" s="4" t="s">
        <v>102</v>
      </c>
      <c r="H188" s="4" t="s">
        <v>59</v>
      </c>
      <c r="I188" s="3"/>
      <c r="J188" s="3"/>
      <c r="K188" s="3"/>
      <c r="L188" s="3"/>
      <c r="M188" s="3"/>
      <c r="N188" s="3"/>
      <c r="O188" s="3"/>
      <c r="P188" s="8"/>
      <c r="Q188" s="8"/>
      <c r="R188" s="3"/>
      <c r="S188" s="3"/>
      <c r="T188" s="3"/>
      <c r="U188" s="5" t="str">
        <f t="shared" si="9"/>
        <v/>
      </c>
    </row>
    <row r="189" spans="1:21" ht="28" customHeight="1" x14ac:dyDescent="0.35">
      <c r="A189" s="4">
        <v>16</v>
      </c>
      <c r="B189" s="4" t="s">
        <v>103</v>
      </c>
      <c r="C189" s="4" t="s">
        <v>104</v>
      </c>
      <c r="D189" s="4" t="s">
        <v>105</v>
      </c>
      <c r="E189" s="4" t="s">
        <v>69</v>
      </c>
      <c r="F189" s="4" t="s">
        <v>95</v>
      </c>
      <c r="G189" s="4" t="s">
        <v>96</v>
      </c>
      <c r="H189" s="4" t="s">
        <v>85</v>
      </c>
      <c r="I189" s="3"/>
      <c r="J189" s="3"/>
      <c r="K189" s="3"/>
      <c r="L189" s="3"/>
      <c r="M189" s="3"/>
      <c r="N189" s="3"/>
      <c r="O189" s="3"/>
      <c r="P189" s="8"/>
      <c r="Q189" s="8"/>
      <c r="R189" s="3"/>
      <c r="S189" s="3"/>
      <c r="T189" s="3"/>
      <c r="U189" s="5" t="str">
        <f t="shared" si="9"/>
        <v/>
      </c>
    </row>
    <row r="190" spans="1:21" ht="28" customHeight="1" x14ac:dyDescent="0.35">
      <c r="A190" s="4">
        <v>17</v>
      </c>
      <c r="B190" s="4" t="s">
        <v>106</v>
      </c>
      <c r="C190" s="4" t="s">
        <v>107</v>
      </c>
      <c r="D190" s="4" t="s">
        <v>108</v>
      </c>
      <c r="E190" s="4" t="s">
        <v>109</v>
      </c>
      <c r="F190" s="4" t="s">
        <v>95</v>
      </c>
      <c r="G190" s="4" t="s">
        <v>96</v>
      </c>
      <c r="H190" s="4" t="s">
        <v>59</v>
      </c>
      <c r="I190" s="3"/>
      <c r="J190" s="3"/>
      <c r="K190" s="3"/>
      <c r="L190" s="3"/>
      <c r="M190" s="3"/>
      <c r="N190" s="3"/>
      <c r="O190" s="3"/>
      <c r="P190" s="8"/>
      <c r="Q190" s="8"/>
      <c r="R190" s="3"/>
      <c r="S190" s="3"/>
      <c r="T190" s="3"/>
      <c r="U190" s="5" t="str">
        <f t="shared" si="9"/>
        <v/>
      </c>
    </row>
    <row r="192" spans="1:21" ht="28" customHeight="1" x14ac:dyDescent="0.35">
      <c r="A192" s="9" t="s">
        <v>110</v>
      </c>
      <c r="B192" s="16"/>
      <c r="C192" s="17"/>
      <c r="D192" s="17"/>
      <c r="E192" s="17"/>
      <c r="F192" s="17"/>
      <c r="G192" s="17"/>
      <c r="H192" s="17"/>
      <c r="I192" s="17"/>
      <c r="J192" s="17"/>
      <c r="K192" s="17"/>
      <c r="L192" s="17"/>
      <c r="M192" s="17"/>
      <c r="N192" s="17"/>
      <c r="O192" s="17"/>
      <c r="P192" s="17"/>
      <c r="Q192" s="17"/>
      <c r="R192" s="17"/>
      <c r="S192" s="17"/>
      <c r="T192" s="17"/>
      <c r="U192" s="18"/>
    </row>
    <row r="193" spans="1:21" ht="28" customHeight="1" x14ac:dyDescent="0.35">
      <c r="A193" s="19" t="s">
        <v>314</v>
      </c>
      <c r="B193" s="20"/>
      <c r="C193" s="20"/>
      <c r="D193" s="20"/>
      <c r="E193" s="20"/>
      <c r="F193" s="20"/>
      <c r="G193" s="20"/>
      <c r="H193" s="20"/>
      <c r="I193" s="20"/>
      <c r="J193" s="20"/>
      <c r="K193" s="20"/>
      <c r="L193" s="20"/>
      <c r="M193" s="20"/>
      <c r="N193" s="20"/>
      <c r="O193" s="20"/>
      <c r="P193" s="20"/>
      <c r="Q193" s="20"/>
      <c r="R193" s="20"/>
      <c r="S193" s="20"/>
      <c r="T193" s="20"/>
      <c r="U193" s="21"/>
    </row>
    <row r="194" spans="1:21" ht="28" customHeight="1" x14ac:dyDescent="0.35">
      <c r="A194" s="4" t="s">
        <v>31</v>
      </c>
      <c r="B194" s="3" t="s">
        <v>223</v>
      </c>
      <c r="C194" s="4" t="s">
        <v>32</v>
      </c>
      <c r="D194" s="3"/>
      <c r="E194" s="4" t="s">
        <v>33</v>
      </c>
      <c r="F194" s="8"/>
    </row>
    <row r="195" spans="1:21" ht="28" customHeight="1" x14ac:dyDescent="0.35">
      <c r="A195" s="1" t="s">
        <v>34</v>
      </c>
      <c r="B195" s="1" t="s">
        <v>35</v>
      </c>
      <c r="C195" s="1" t="s">
        <v>36</v>
      </c>
      <c r="D195" s="1" t="s">
        <v>37</v>
      </c>
      <c r="E195" s="1" t="s">
        <v>38</v>
      </c>
      <c r="F195" s="1" t="s">
        <v>39</v>
      </c>
      <c r="G195" s="1" t="s">
        <v>40</v>
      </c>
      <c r="H195" s="1" t="s">
        <v>41</v>
      </c>
      <c r="I195" s="1" t="s">
        <v>42</v>
      </c>
      <c r="J195" s="1" t="s">
        <v>43</v>
      </c>
      <c r="K195" s="1" t="s">
        <v>44</v>
      </c>
      <c r="L195" s="1" t="s">
        <v>45</v>
      </c>
      <c r="M195" s="1" t="s">
        <v>46</v>
      </c>
      <c r="N195" s="1" t="s">
        <v>47</v>
      </c>
      <c r="O195" s="1" t="s">
        <v>48</v>
      </c>
      <c r="P195" s="1" t="s">
        <v>4</v>
      </c>
      <c r="Q195" s="1" t="s">
        <v>49</v>
      </c>
      <c r="R195" s="1" t="s">
        <v>50</v>
      </c>
      <c r="S195" s="1" t="s">
        <v>51</v>
      </c>
      <c r="T195" s="1" t="s">
        <v>52</v>
      </c>
      <c r="U195" s="1" t="s">
        <v>10</v>
      </c>
    </row>
    <row r="196" spans="1:21" ht="28" customHeight="1" x14ac:dyDescent="0.35">
      <c r="A196" s="4">
        <v>1</v>
      </c>
      <c r="B196" s="4" t="s">
        <v>270</v>
      </c>
      <c r="C196" s="4" t="s">
        <v>271</v>
      </c>
      <c r="D196" s="4" t="s">
        <v>272</v>
      </c>
      <c r="E196" s="4" t="s">
        <v>109</v>
      </c>
      <c r="F196" s="4" t="s">
        <v>273</v>
      </c>
      <c r="G196" s="4" t="s">
        <v>199</v>
      </c>
      <c r="H196" s="4" t="s">
        <v>59</v>
      </c>
      <c r="I196" s="3"/>
      <c r="J196" s="3"/>
      <c r="K196" s="3"/>
      <c r="L196" s="3"/>
      <c r="M196" s="3"/>
      <c r="N196" s="3"/>
      <c r="O196" s="3"/>
      <c r="P196" s="8"/>
      <c r="Q196" s="8"/>
      <c r="R196" s="3"/>
      <c r="S196" s="3"/>
      <c r="T196" s="3"/>
      <c r="U196" s="5" t="str">
        <f t="shared" ref="U196:U212" si="10">IF(I196="","",IF(I196="NA","Grey",IF(I196=2,"Green",IF(I196=1,"Amber","Red"))))</f>
        <v/>
      </c>
    </row>
    <row r="197" spans="1:21" ht="28" customHeight="1" x14ac:dyDescent="0.35">
      <c r="A197" s="4">
        <v>2</v>
      </c>
      <c r="B197" s="4" t="s">
        <v>270</v>
      </c>
      <c r="C197" s="4" t="s">
        <v>274</v>
      </c>
      <c r="D197" s="4" t="s">
        <v>275</v>
      </c>
      <c r="E197" s="4" t="s">
        <v>69</v>
      </c>
      <c r="F197" s="4" t="s">
        <v>276</v>
      </c>
      <c r="G197" s="4" t="s">
        <v>199</v>
      </c>
      <c r="H197" s="4" t="s">
        <v>76</v>
      </c>
      <c r="I197" s="3"/>
      <c r="J197" s="3"/>
      <c r="K197" s="3"/>
      <c r="L197" s="3"/>
      <c r="M197" s="3"/>
      <c r="N197" s="3"/>
      <c r="O197" s="3"/>
      <c r="P197" s="8"/>
      <c r="Q197" s="8"/>
      <c r="R197" s="3"/>
      <c r="S197" s="3"/>
      <c r="T197" s="3"/>
      <c r="U197" s="5" t="str">
        <f t="shared" si="10"/>
        <v/>
      </c>
    </row>
    <row r="198" spans="1:21" ht="28" customHeight="1" x14ac:dyDescent="0.35">
      <c r="A198" s="4">
        <v>3</v>
      </c>
      <c r="B198" s="4" t="s">
        <v>270</v>
      </c>
      <c r="C198" s="4" t="s">
        <v>277</v>
      </c>
      <c r="D198" s="4" t="s">
        <v>278</v>
      </c>
      <c r="E198" s="4" t="s">
        <v>279</v>
      </c>
      <c r="F198" s="4" t="s">
        <v>280</v>
      </c>
      <c r="G198" s="4" t="s">
        <v>209</v>
      </c>
      <c r="H198" s="4" t="s">
        <v>76</v>
      </c>
      <c r="I198" s="3"/>
      <c r="J198" s="3"/>
      <c r="K198" s="3"/>
      <c r="L198" s="3"/>
      <c r="M198" s="3"/>
      <c r="N198" s="3"/>
      <c r="O198" s="3"/>
      <c r="P198" s="8"/>
      <c r="Q198" s="8"/>
      <c r="R198" s="3"/>
      <c r="S198" s="3"/>
      <c r="T198" s="3"/>
      <c r="U198" s="5" t="str">
        <f t="shared" si="10"/>
        <v/>
      </c>
    </row>
    <row r="199" spans="1:21" ht="28" customHeight="1" x14ac:dyDescent="0.35">
      <c r="A199" s="4">
        <v>4</v>
      </c>
      <c r="B199" s="4" t="s">
        <v>270</v>
      </c>
      <c r="C199" s="4" t="s">
        <v>281</v>
      </c>
      <c r="D199" s="4" t="s">
        <v>282</v>
      </c>
      <c r="E199" s="4" t="s">
        <v>283</v>
      </c>
      <c r="F199" s="4" t="s">
        <v>284</v>
      </c>
      <c r="G199" s="4" t="s">
        <v>204</v>
      </c>
      <c r="H199" s="4" t="s">
        <v>76</v>
      </c>
      <c r="I199" s="3"/>
      <c r="J199" s="3"/>
      <c r="K199" s="3"/>
      <c r="L199" s="3"/>
      <c r="M199" s="3"/>
      <c r="N199" s="3"/>
      <c r="O199" s="3"/>
      <c r="P199" s="8"/>
      <c r="Q199" s="8"/>
      <c r="R199" s="3"/>
      <c r="S199" s="3"/>
      <c r="T199" s="3"/>
      <c r="U199" s="5" t="str">
        <f t="shared" si="10"/>
        <v/>
      </c>
    </row>
    <row r="200" spans="1:21" ht="28" customHeight="1" x14ac:dyDescent="0.35">
      <c r="A200" s="4">
        <v>5</v>
      </c>
      <c r="B200" s="4" t="s">
        <v>285</v>
      </c>
      <c r="C200" s="4" t="s">
        <v>286</v>
      </c>
      <c r="D200" s="4" t="s">
        <v>287</v>
      </c>
      <c r="E200" s="4" t="s">
        <v>69</v>
      </c>
      <c r="F200" s="4" t="s">
        <v>276</v>
      </c>
      <c r="G200" s="4" t="s">
        <v>199</v>
      </c>
      <c r="H200" s="4" t="s">
        <v>76</v>
      </c>
      <c r="I200" s="3"/>
      <c r="J200" s="3"/>
      <c r="K200" s="3"/>
      <c r="L200" s="3"/>
      <c r="M200" s="3"/>
      <c r="N200" s="3"/>
      <c r="O200" s="3"/>
      <c r="P200" s="8"/>
      <c r="Q200" s="8"/>
      <c r="R200" s="3"/>
      <c r="S200" s="3"/>
      <c r="T200" s="3"/>
      <c r="U200" s="5" t="str">
        <f t="shared" si="10"/>
        <v/>
      </c>
    </row>
    <row r="201" spans="1:21" ht="28" customHeight="1" x14ac:dyDescent="0.35">
      <c r="A201" s="4">
        <v>6</v>
      </c>
      <c r="B201" s="4" t="s">
        <v>285</v>
      </c>
      <c r="C201" s="4" t="s">
        <v>288</v>
      </c>
      <c r="D201" s="4" t="s">
        <v>289</v>
      </c>
      <c r="E201" s="4" t="s">
        <v>70</v>
      </c>
      <c r="F201" s="4" t="s">
        <v>276</v>
      </c>
      <c r="G201" s="4" t="s">
        <v>199</v>
      </c>
      <c r="H201" s="4" t="s">
        <v>59</v>
      </c>
      <c r="I201" s="3"/>
      <c r="J201" s="3"/>
      <c r="K201" s="3"/>
      <c r="L201" s="3"/>
      <c r="M201" s="3"/>
      <c r="N201" s="3"/>
      <c r="O201" s="3"/>
      <c r="P201" s="8"/>
      <c r="Q201" s="8"/>
      <c r="R201" s="3"/>
      <c r="S201" s="3"/>
      <c r="T201" s="3"/>
      <c r="U201" s="5" t="str">
        <f t="shared" si="10"/>
        <v/>
      </c>
    </row>
    <row r="202" spans="1:21" ht="28" customHeight="1" x14ac:dyDescent="0.35">
      <c r="A202" s="4">
        <v>7</v>
      </c>
      <c r="B202" s="4" t="s">
        <v>290</v>
      </c>
      <c r="C202" s="4" t="s">
        <v>291</v>
      </c>
      <c r="D202" s="4" t="s">
        <v>292</v>
      </c>
      <c r="E202" s="4" t="s">
        <v>109</v>
      </c>
      <c r="F202" s="4" t="s">
        <v>284</v>
      </c>
      <c r="G202" s="4" t="s">
        <v>204</v>
      </c>
      <c r="H202" s="4" t="s">
        <v>59</v>
      </c>
      <c r="I202" s="3"/>
      <c r="J202" s="3"/>
      <c r="K202" s="3"/>
      <c r="L202" s="3"/>
      <c r="M202" s="3"/>
      <c r="N202" s="3"/>
      <c r="O202" s="3"/>
      <c r="P202" s="8"/>
      <c r="Q202" s="8"/>
      <c r="R202" s="3"/>
      <c r="S202" s="3"/>
      <c r="T202" s="3"/>
      <c r="U202" s="5" t="str">
        <f t="shared" si="10"/>
        <v/>
      </c>
    </row>
    <row r="203" spans="1:21" ht="28" customHeight="1" x14ac:dyDescent="0.35">
      <c r="A203" s="4">
        <v>8</v>
      </c>
      <c r="B203" s="4" t="s">
        <v>290</v>
      </c>
      <c r="C203" s="4" t="s">
        <v>293</v>
      </c>
      <c r="D203" s="4" t="s">
        <v>294</v>
      </c>
      <c r="E203" s="4" t="s">
        <v>70</v>
      </c>
      <c r="F203" s="4" t="s">
        <v>295</v>
      </c>
      <c r="G203" s="4" t="s">
        <v>199</v>
      </c>
      <c r="H203" s="4" t="s">
        <v>76</v>
      </c>
      <c r="I203" s="3"/>
      <c r="J203" s="3"/>
      <c r="K203" s="3"/>
      <c r="L203" s="3"/>
      <c r="M203" s="3"/>
      <c r="N203" s="3"/>
      <c r="O203" s="3"/>
      <c r="P203" s="8"/>
      <c r="Q203" s="8"/>
      <c r="R203" s="3"/>
      <c r="S203" s="3"/>
      <c r="T203" s="3"/>
      <c r="U203" s="5" t="str">
        <f t="shared" si="10"/>
        <v/>
      </c>
    </row>
    <row r="204" spans="1:21" ht="28" customHeight="1" x14ac:dyDescent="0.35">
      <c r="A204" s="4">
        <v>9</v>
      </c>
      <c r="B204" s="4" t="s">
        <v>296</v>
      </c>
      <c r="C204" s="4" t="s">
        <v>297</v>
      </c>
      <c r="D204" s="4" t="s">
        <v>70</v>
      </c>
      <c r="E204" s="4" t="s">
        <v>70</v>
      </c>
      <c r="F204" s="4" t="s">
        <v>295</v>
      </c>
      <c r="G204" s="4" t="s">
        <v>199</v>
      </c>
      <c r="H204" s="4" t="s">
        <v>76</v>
      </c>
      <c r="I204" s="3"/>
      <c r="J204" s="3"/>
      <c r="K204" s="3"/>
      <c r="L204" s="3"/>
      <c r="M204" s="3"/>
      <c r="N204" s="3"/>
      <c r="O204" s="3"/>
      <c r="P204" s="8"/>
      <c r="Q204" s="8"/>
      <c r="R204" s="3"/>
      <c r="S204" s="3"/>
      <c r="T204" s="3"/>
      <c r="U204" s="5" t="str">
        <f t="shared" si="10"/>
        <v/>
      </c>
    </row>
    <row r="205" spans="1:21" ht="28" customHeight="1" x14ac:dyDescent="0.35">
      <c r="A205" s="4">
        <v>10</v>
      </c>
      <c r="B205" s="4" t="s">
        <v>296</v>
      </c>
      <c r="C205" s="4" t="s">
        <v>298</v>
      </c>
      <c r="D205" s="4" t="s">
        <v>299</v>
      </c>
      <c r="E205" s="4" t="s">
        <v>283</v>
      </c>
      <c r="F205" s="4" t="s">
        <v>284</v>
      </c>
      <c r="G205" s="4" t="s">
        <v>204</v>
      </c>
      <c r="H205" s="4" t="s">
        <v>59</v>
      </c>
      <c r="I205" s="3"/>
      <c r="J205" s="3"/>
      <c r="K205" s="3"/>
      <c r="L205" s="3"/>
      <c r="M205" s="3"/>
      <c r="N205" s="3"/>
      <c r="O205" s="3"/>
      <c r="P205" s="8"/>
      <c r="Q205" s="8"/>
      <c r="R205" s="3"/>
      <c r="S205" s="3"/>
      <c r="T205" s="3"/>
      <c r="U205" s="5" t="str">
        <f t="shared" si="10"/>
        <v/>
      </c>
    </row>
    <row r="206" spans="1:21" ht="28" customHeight="1" x14ac:dyDescent="0.35">
      <c r="A206" s="4">
        <v>11</v>
      </c>
      <c r="B206" s="4" t="s">
        <v>300</v>
      </c>
      <c r="C206" s="4" t="s">
        <v>301</v>
      </c>
      <c r="D206" s="4" t="s">
        <v>302</v>
      </c>
      <c r="E206" s="4" t="s">
        <v>56</v>
      </c>
      <c r="F206" s="4" t="s">
        <v>276</v>
      </c>
      <c r="G206" s="4" t="s">
        <v>199</v>
      </c>
      <c r="H206" s="4" t="s">
        <v>76</v>
      </c>
      <c r="I206" s="3"/>
      <c r="J206" s="3"/>
      <c r="K206" s="3"/>
      <c r="L206" s="3"/>
      <c r="M206" s="3"/>
      <c r="N206" s="3"/>
      <c r="O206" s="3"/>
      <c r="P206" s="8"/>
      <c r="Q206" s="8"/>
      <c r="R206" s="3"/>
      <c r="S206" s="3"/>
      <c r="T206" s="3"/>
      <c r="U206" s="5" t="str">
        <f t="shared" si="10"/>
        <v/>
      </c>
    </row>
    <row r="207" spans="1:21" ht="28" customHeight="1" x14ac:dyDescent="0.35">
      <c r="A207" s="4">
        <v>12</v>
      </c>
      <c r="B207" s="4" t="s">
        <v>303</v>
      </c>
      <c r="C207" s="4" t="s">
        <v>304</v>
      </c>
      <c r="D207" s="4" t="s">
        <v>305</v>
      </c>
      <c r="E207" s="4" t="s">
        <v>283</v>
      </c>
      <c r="F207" s="4" t="s">
        <v>276</v>
      </c>
      <c r="G207" s="4" t="s">
        <v>199</v>
      </c>
      <c r="H207" s="4" t="s">
        <v>76</v>
      </c>
      <c r="I207" s="3"/>
      <c r="J207" s="3"/>
      <c r="K207" s="3"/>
      <c r="L207" s="3"/>
      <c r="M207" s="3"/>
      <c r="N207" s="3"/>
      <c r="O207" s="3"/>
      <c r="P207" s="8"/>
      <c r="Q207" s="8"/>
      <c r="R207" s="3"/>
      <c r="S207" s="3"/>
      <c r="T207" s="3"/>
      <c r="U207" s="5" t="str">
        <f t="shared" si="10"/>
        <v/>
      </c>
    </row>
    <row r="208" spans="1:21" ht="28" customHeight="1" x14ac:dyDescent="0.35">
      <c r="A208" s="4">
        <v>13</v>
      </c>
      <c r="B208" s="4" t="s">
        <v>306</v>
      </c>
      <c r="C208" s="4" t="s">
        <v>307</v>
      </c>
      <c r="D208" s="4" t="s">
        <v>308</v>
      </c>
      <c r="E208" s="4" t="s">
        <v>69</v>
      </c>
      <c r="F208" s="4" t="s">
        <v>273</v>
      </c>
      <c r="G208" s="4" t="s">
        <v>96</v>
      </c>
      <c r="H208" s="4" t="s">
        <v>59</v>
      </c>
      <c r="I208" s="3"/>
      <c r="J208" s="3"/>
      <c r="K208" s="3"/>
      <c r="L208" s="3"/>
      <c r="M208" s="3"/>
      <c r="N208" s="3"/>
      <c r="O208" s="3"/>
      <c r="P208" s="8"/>
      <c r="Q208" s="8"/>
      <c r="R208" s="3"/>
      <c r="S208" s="3"/>
      <c r="T208" s="3"/>
      <c r="U208" s="5" t="str">
        <f t="shared" si="10"/>
        <v/>
      </c>
    </row>
    <row r="209" spans="1:21" ht="28" customHeight="1" x14ac:dyDescent="0.35">
      <c r="A209" s="4">
        <v>14</v>
      </c>
      <c r="B209" s="4" t="s">
        <v>97</v>
      </c>
      <c r="C209" s="4" t="s">
        <v>98</v>
      </c>
      <c r="D209" s="4" t="s">
        <v>99</v>
      </c>
      <c r="E209" s="4" t="s">
        <v>69</v>
      </c>
      <c r="F209" s="4" t="s">
        <v>95</v>
      </c>
      <c r="G209" s="4" t="s">
        <v>96</v>
      </c>
      <c r="H209" s="4" t="s">
        <v>59</v>
      </c>
      <c r="I209" s="3"/>
      <c r="J209" s="3"/>
      <c r="K209" s="3"/>
      <c r="L209" s="3"/>
      <c r="M209" s="3"/>
      <c r="N209" s="3"/>
      <c r="O209" s="3"/>
      <c r="P209" s="8"/>
      <c r="Q209" s="8"/>
      <c r="R209" s="3"/>
      <c r="S209" s="3"/>
      <c r="T209" s="3"/>
      <c r="U209" s="5" t="str">
        <f t="shared" si="10"/>
        <v/>
      </c>
    </row>
    <row r="210" spans="1:21" ht="28" customHeight="1" x14ac:dyDescent="0.35">
      <c r="A210" s="4">
        <v>15</v>
      </c>
      <c r="B210" s="4" t="s">
        <v>97</v>
      </c>
      <c r="C210" s="4" t="s">
        <v>100</v>
      </c>
      <c r="D210" s="4" t="s">
        <v>101</v>
      </c>
      <c r="E210" s="4" t="s">
        <v>69</v>
      </c>
      <c r="F210" s="4" t="s">
        <v>95</v>
      </c>
      <c r="G210" s="4" t="s">
        <v>102</v>
      </c>
      <c r="H210" s="4" t="s">
        <v>59</v>
      </c>
      <c r="I210" s="3"/>
      <c r="J210" s="3"/>
      <c r="K210" s="3"/>
      <c r="L210" s="3"/>
      <c r="M210" s="3"/>
      <c r="N210" s="3"/>
      <c r="O210" s="3"/>
      <c r="P210" s="8"/>
      <c r="Q210" s="8"/>
      <c r="R210" s="3"/>
      <c r="S210" s="3"/>
      <c r="T210" s="3"/>
      <c r="U210" s="5" t="str">
        <f t="shared" si="10"/>
        <v/>
      </c>
    </row>
    <row r="211" spans="1:21" ht="28" customHeight="1" x14ac:dyDescent="0.35">
      <c r="A211" s="4">
        <v>16</v>
      </c>
      <c r="B211" s="4" t="s">
        <v>103</v>
      </c>
      <c r="C211" s="4" t="s">
        <v>104</v>
      </c>
      <c r="D211" s="4" t="s">
        <v>105</v>
      </c>
      <c r="E211" s="4" t="s">
        <v>69</v>
      </c>
      <c r="F211" s="4" t="s">
        <v>95</v>
      </c>
      <c r="G211" s="4" t="s">
        <v>96</v>
      </c>
      <c r="H211" s="4" t="s">
        <v>85</v>
      </c>
      <c r="I211" s="3"/>
      <c r="J211" s="3"/>
      <c r="K211" s="3"/>
      <c r="L211" s="3"/>
      <c r="M211" s="3"/>
      <c r="N211" s="3"/>
      <c r="O211" s="3"/>
      <c r="P211" s="8"/>
      <c r="Q211" s="8"/>
      <c r="R211" s="3"/>
      <c r="S211" s="3"/>
      <c r="T211" s="3"/>
      <c r="U211" s="5" t="str">
        <f t="shared" si="10"/>
        <v/>
      </c>
    </row>
    <row r="212" spans="1:21" ht="28" customHeight="1" x14ac:dyDescent="0.35">
      <c r="A212" s="4">
        <v>17</v>
      </c>
      <c r="B212" s="4" t="s">
        <v>106</v>
      </c>
      <c r="C212" s="4" t="s">
        <v>107</v>
      </c>
      <c r="D212" s="4" t="s">
        <v>108</v>
      </c>
      <c r="E212" s="4" t="s">
        <v>109</v>
      </c>
      <c r="F212" s="4" t="s">
        <v>95</v>
      </c>
      <c r="G212" s="4" t="s">
        <v>96</v>
      </c>
      <c r="H212" s="4" t="s">
        <v>59</v>
      </c>
      <c r="I212" s="3"/>
      <c r="J212" s="3"/>
      <c r="K212" s="3"/>
      <c r="L212" s="3"/>
      <c r="M212" s="3"/>
      <c r="N212" s="3"/>
      <c r="O212" s="3"/>
      <c r="P212" s="8"/>
      <c r="Q212" s="8"/>
      <c r="R212" s="3"/>
      <c r="S212" s="3"/>
      <c r="T212" s="3"/>
      <c r="U212" s="5" t="str">
        <f t="shared" si="10"/>
        <v/>
      </c>
    </row>
    <row r="214" spans="1:21" ht="28" customHeight="1" x14ac:dyDescent="0.35">
      <c r="A214" s="9" t="s">
        <v>110</v>
      </c>
      <c r="B214" s="16"/>
      <c r="C214" s="17"/>
      <c r="D214" s="17"/>
      <c r="E214" s="17"/>
      <c r="F214" s="17"/>
      <c r="G214" s="17"/>
      <c r="H214" s="17"/>
      <c r="I214" s="17"/>
      <c r="J214" s="17"/>
      <c r="K214" s="17"/>
      <c r="L214" s="17"/>
      <c r="M214" s="17"/>
      <c r="N214" s="17"/>
      <c r="O214" s="17"/>
      <c r="P214" s="17"/>
      <c r="Q214" s="17"/>
      <c r="R214" s="17"/>
      <c r="S214" s="17"/>
      <c r="T214" s="17"/>
      <c r="U214" s="18"/>
    </row>
    <row r="215" spans="1:21" ht="28" customHeight="1" x14ac:dyDescent="0.35">
      <c r="A215" s="19" t="s">
        <v>315</v>
      </c>
      <c r="B215" s="20"/>
      <c r="C215" s="20"/>
      <c r="D215" s="20"/>
      <c r="E215" s="20"/>
      <c r="F215" s="20"/>
      <c r="G215" s="20"/>
      <c r="H215" s="20"/>
      <c r="I215" s="20"/>
      <c r="J215" s="20"/>
      <c r="K215" s="20"/>
      <c r="L215" s="20"/>
      <c r="M215" s="20"/>
      <c r="N215" s="20"/>
      <c r="O215" s="20"/>
      <c r="P215" s="20"/>
      <c r="Q215" s="20"/>
      <c r="R215" s="20"/>
      <c r="S215" s="20"/>
      <c r="T215" s="20"/>
      <c r="U215" s="21"/>
    </row>
    <row r="216" spans="1:21" ht="28" customHeight="1" x14ac:dyDescent="0.35">
      <c r="A216" s="4" t="s">
        <v>31</v>
      </c>
      <c r="B216" s="3" t="s">
        <v>224</v>
      </c>
      <c r="C216" s="4" t="s">
        <v>32</v>
      </c>
      <c r="D216" s="3"/>
      <c r="E216" s="4" t="s">
        <v>33</v>
      </c>
      <c r="F216" s="8"/>
    </row>
    <row r="217" spans="1:21" ht="28" customHeight="1" x14ac:dyDescent="0.35">
      <c r="A217" s="1" t="s">
        <v>34</v>
      </c>
      <c r="B217" s="1" t="s">
        <v>35</v>
      </c>
      <c r="C217" s="1" t="s">
        <v>36</v>
      </c>
      <c r="D217" s="1" t="s">
        <v>37</v>
      </c>
      <c r="E217" s="1" t="s">
        <v>38</v>
      </c>
      <c r="F217" s="1" t="s">
        <v>39</v>
      </c>
      <c r="G217" s="1" t="s">
        <v>40</v>
      </c>
      <c r="H217" s="1" t="s">
        <v>41</v>
      </c>
      <c r="I217" s="1" t="s">
        <v>42</v>
      </c>
      <c r="J217" s="1" t="s">
        <v>43</v>
      </c>
      <c r="K217" s="1" t="s">
        <v>44</v>
      </c>
      <c r="L217" s="1" t="s">
        <v>45</v>
      </c>
      <c r="M217" s="1" t="s">
        <v>46</v>
      </c>
      <c r="N217" s="1" t="s">
        <v>47</v>
      </c>
      <c r="O217" s="1" t="s">
        <v>48</v>
      </c>
      <c r="P217" s="1" t="s">
        <v>4</v>
      </c>
      <c r="Q217" s="1" t="s">
        <v>49</v>
      </c>
      <c r="R217" s="1" t="s">
        <v>50</v>
      </c>
      <c r="S217" s="1" t="s">
        <v>51</v>
      </c>
      <c r="T217" s="1" t="s">
        <v>52</v>
      </c>
      <c r="U217" s="1" t="s">
        <v>10</v>
      </c>
    </row>
    <row r="218" spans="1:21" ht="28" customHeight="1" x14ac:dyDescent="0.35">
      <c r="A218" s="4">
        <v>1</v>
      </c>
      <c r="B218" s="4" t="s">
        <v>270</v>
      </c>
      <c r="C218" s="4" t="s">
        <v>271</v>
      </c>
      <c r="D218" s="4" t="s">
        <v>272</v>
      </c>
      <c r="E218" s="4" t="s">
        <v>109</v>
      </c>
      <c r="F218" s="4" t="s">
        <v>273</v>
      </c>
      <c r="G218" s="4" t="s">
        <v>199</v>
      </c>
      <c r="H218" s="4" t="s">
        <v>59</v>
      </c>
      <c r="I218" s="3"/>
      <c r="J218" s="3"/>
      <c r="K218" s="3"/>
      <c r="L218" s="3"/>
      <c r="M218" s="3"/>
      <c r="N218" s="3"/>
      <c r="O218" s="3"/>
      <c r="P218" s="8"/>
      <c r="Q218" s="8"/>
      <c r="R218" s="3"/>
      <c r="S218" s="3"/>
      <c r="T218" s="3"/>
      <c r="U218" s="5" t="str">
        <f t="shared" ref="U218:U234" si="11">IF(I218="","",IF(I218="NA","Grey",IF(I218=2,"Green",IF(I218=1,"Amber","Red"))))</f>
        <v/>
      </c>
    </row>
    <row r="219" spans="1:21" ht="28" customHeight="1" x14ac:dyDescent="0.35">
      <c r="A219" s="4">
        <v>2</v>
      </c>
      <c r="B219" s="4" t="s">
        <v>270</v>
      </c>
      <c r="C219" s="4" t="s">
        <v>274</v>
      </c>
      <c r="D219" s="4" t="s">
        <v>275</v>
      </c>
      <c r="E219" s="4" t="s">
        <v>69</v>
      </c>
      <c r="F219" s="4" t="s">
        <v>276</v>
      </c>
      <c r="G219" s="4" t="s">
        <v>199</v>
      </c>
      <c r="H219" s="4" t="s">
        <v>76</v>
      </c>
      <c r="I219" s="3"/>
      <c r="J219" s="3"/>
      <c r="K219" s="3"/>
      <c r="L219" s="3"/>
      <c r="M219" s="3"/>
      <c r="N219" s="3"/>
      <c r="O219" s="3"/>
      <c r="P219" s="8"/>
      <c r="Q219" s="8"/>
      <c r="R219" s="3"/>
      <c r="S219" s="3"/>
      <c r="T219" s="3"/>
      <c r="U219" s="5" t="str">
        <f t="shared" si="11"/>
        <v/>
      </c>
    </row>
    <row r="220" spans="1:21" ht="28" customHeight="1" x14ac:dyDescent="0.35">
      <c r="A220" s="4">
        <v>3</v>
      </c>
      <c r="B220" s="4" t="s">
        <v>270</v>
      </c>
      <c r="C220" s="4" t="s">
        <v>277</v>
      </c>
      <c r="D220" s="4" t="s">
        <v>278</v>
      </c>
      <c r="E220" s="4" t="s">
        <v>279</v>
      </c>
      <c r="F220" s="4" t="s">
        <v>280</v>
      </c>
      <c r="G220" s="4" t="s">
        <v>209</v>
      </c>
      <c r="H220" s="4" t="s">
        <v>76</v>
      </c>
      <c r="I220" s="3"/>
      <c r="J220" s="3"/>
      <c r="K220" s="3"/>
      <c r="L220" s="3"/>
      <c r="M220" s="3"/>
      <c r="N220" s="3"/>
      <c r="O220" s="3"/>
      <c r="P220" s="8"/>
      <c r="Q220" s="8"/>
      <c r="R220" s="3"/>
      <c r="S220" s="3"/>
      <c r="T220" s="3"/>
      <c r="U220" s="5" t="str">
        <f t="shared" si="11"/>
        <v/>
      </c>
    </row>
    <row r="221" spans="1:21" ht="28" customHeight="1" x14ac:dyDescent="0.35">
      <c r="A221" s="4">
        <v>4</v>
      </c>
      <c r="B221" s="4" t="s">
        <v>270</v>
      </c>
      <c r="C221" s="4" t="s">
        <v>281</v>
      </c>
      <c r="D221" s="4" t="s">
        <v>282</v>
      </c>
      <c r="E221" s="4" t="s">
        <v>283</v>
      </c>
      <c r="F221" s="4" t="s">
        <v>284</v>
      </c>
      <c r="G221" s="4" t="s">
        <v>204</v>
      </c>
      <c r="H221" s="4" t="s">
        <v>76</v>
      </c>
      <c r="I221" s="3"/>
      <c r="J221" s="3"/>
      <c r="K221" s="3"/>
      <c r="L221" s="3"/>
      <c r="M221" s="3"/>
      <c r="N221" s="3"/>
      <c r="O221" s="3"/>
      <c r="P221" s="8"/>
      <c r="Q221" s="8"/>
      <c r="R221" s="3"/>
      <c r="S221" s="3"/>
      <c r="T221" s="3"/>
      <c r="U221" s="5" t="str">
        <f t="shared" si="11"/>
        <v/>
      </c>
    </row>
    <row r="222" spans="1:21" ht="28" customHeight="1" x14ac:dyDescent="0.35">
      <c r="A222" s="4">
        <v>5</v>
      </c>
      <c r="B222" s="4" t="s">
        <v>285</v>
      </c>
      <c r="C222" s="4" t="s">
        <v>286</v>
      </c>
      <c r="D222" s="4" t="s">
        <v>287</v>
      </c>
      <c r="E222" s="4" t="s">
        <v>69</v>
      </c>
      <c r="F222" s="4" t="s">
        <v>276</v>
      </c>
      <c r="G222" s="4" t="s">
        <v>199</v>
      </c>
      <c r="H222" s="4" t="s">
        <v>76</v>
      </c>
      <c r="I222" s="3"/>
      <c r="J222" s="3"/>
      <c r="K222" s="3"/>
      <c r="L222" s="3"/>
      <c r="M222" s="3"/>
      <c r="N222" s="3"/>
      <c r="O222" s="3"/>
      <c r="P222" s="8"/>
      <c r="Q222" s="8"/>
      <c r="R222" s="3"/>
      <c r="S222" s="3"/>
      <c r="T222" s="3"/>
      <c r="U222" s="5" t="str">
        <f t="shared" si="11"/>
        <v/>
      </c>
    </row>
    <row r="223" spans="1:21" ht="28" customHeight="1" x14ac:dyDescent="0.35">
      <c r="A223" s="4">
        <v>6</v>
      </c>
      <c r="B223" s="4" t="s">
        <v>285</v>
      </c>
      <c r="C223" s="4" t="s">
        <v>288</v>
      </c>
      <c r="D223" s="4" t="s">
        <v>289</v>
      </c>
      <c r="E223" s="4" t="s">
        <v>70</v>
      </c>
      <c r="F223" s="4" t="s">
        <v>276</v>
      </c>
      <c r="G223" s="4" t="s">
        <v>199</v>
      </c>
      <c r="H223" s="4" t="s">
        <v>59</v>
      </c>
      <c r="I223" s="3"/>
      <c r="J223" s="3"/>
      <c r="K223" s="3"/>
      <c r="L223" s="3"/>
      <c r="M223" s="3"/>
      <c r="N223" s="3"/>
      <c r="O223" s="3"/>
      <c r="P223" s="8"/>
      <c r="Q223" s="8"/>
      <c r="R223" s="3"/>
      <c r="S223" s="3"/>
      <c r="T223" s="3"/>
      <c r="U223" s="5" t="str">
        <f t="shared" si="11"/>
        <v/>
      </c>
    </row>
    <row r="224" spans="1:21" ht="28" customHeight="1" x14ac:dyDescent="0.35">
      <c r="A224" s="4">
        <v>7</v>
      </c>
      <c r="B224" s="4" t="s">
        <v>290</v>
      </c>
      <c r="C224" s="4" t="s">
        <v>291</v>
      </c>
      <c r="D224" s="4" t="s">
        <v>292</v>
      </c>
      <c r="E224" s="4" t="s">
        <v>109</v>
      </c>
      <c r="F224" s="4" t="s">
        <v>284</v>
      </c>
      <c r="G224" s="4" t="s">
        <v>204</v>
      </c>
      <c r="H224" s="4" t="s">
        <v>59</v>
      </c>
      <c r="I224" s="3"/>
      <c r="J224" s="3"/>
      <c r="K224" s="3"/>
      <c r="L224" s="3"/>
      <c r="M224" s="3"/>
      <c r="N224" s="3"/>
      <c r="O224" s="3"/>
      <c r="P224" s="8"/>
      <c r="Q224" s="8"/>
      <c r="R224" s="3"/>
      <c r="S224" s="3"/>
      <c r="T224" s="3"/>
      <c r="U224" s="5" t="str">
        <f t="shared" si="11"/>
        <v/>
      </c>
    </row>
    <row r="225" spans="1:21" ht="28" customHeight="1" x14ac:dyDescent="0.35">
      <c r="A225" s="4">
        <v>8</v>
      </c>
      <c r="B225" s="4" t="s">
        <v>290</v>
      </c>
      <c r="C225" s="4" t="s">
        <v>293</v>
      </c>
      <c r="D225" s="4" t="s">
        <v>294</v>
      </c>
      <c r="E225" s="4" t="s">
        <v>70</v>
      </c>
      <c r="F225" s="4" t="s">
        <v>295</v>
      </c>
      <c r="G225" s="4" t="s">
        <v>199</v>
      </c>
      <c r="H225" s="4" t="s">
        <v>76</v>
      </c>
      <c r="I225" s="3"/>
      <c r="J225" s="3"/>
      <c r="K225" s="3"/>
      <c r="L225" s="3"/>
      <c r="M225" s="3"/>
      <c r="N225" s="3"/>
      <c r="O225" s="3"/>
      <c r="P225" s="8"/>
      <c r="Q225" s="8"/>
      <c r="R225" s="3"/>
      <c r="S225" s="3"/>
      <c r="T225" s="3"/>
      <c r="U225" s="5" t="str">
        <f t="shared" si="11"/>
        <v/>
      </c>
    </row>
    <row r="226" spans="1:21" ht="28" customHeight="1" x14ac:dyDescent="0.35">
      <c r="A226" s="4">
        <v>9</v>
      </c>
      <c r="B226" s="4" t="s">
        <v>296</v>
      </c>
      <c r="C226" s="4" t="s">
        <v>297</v>
      </c>
      <c r="D226" s="4" t="s">
        <v>70</v>
      </c>
      <c r="E226" s="4" t="s">
        <v>70</v>
      </c>
      <c r="F226" s="4" t="s">
        <v>295</v>
      </c>
      <c r="G226" s="4" t="s">
        <v>199</v>
      </c>
      <c r="H226" s="4" t="s">
        <v>76</v>
      </c>
      <c r="I226" s="3"/>
      <c r="J226" s="3"/>
      <c r="K226" s="3"/>
      <c r="L226" s="3"/>
      <c r="M226" s="3"/>
      <c r="N226" s="3"/>
      <c r="O226" s="3"/>
      <c r="P226" s="8"/>
      <c r="Q226" s="8"/>
      <c r="R226" s="3"/>
      <c r="S226" s="3"/>
      <c r="T226" s="3"/>
      <c r="U226" s="5" t="str">
        <f t="shared" si="11"/>
        <v/>
      </c>
    </row>
    <row r="227" spans="1:21" ht="28" customHeight="1" x14ac:dyDescent="0.35">
      <c r="A227" s="4">
        <v>10</v>
      </c>
      <c r="B227" s="4" t="s">
        <v>296</v>
      </c>
      <c r="C227" s="4" t="s">
        <v>298</v>
      </c>
      <c r="D227" s="4" t="s">
        <v>299</v>
      </c>
      <c r="E227" s="4" t="s">
        <v>283</v>
      </c>
      <c r="F227" s="4" t="s">
        <v>284</v>
      </c>
      <c r="G227" s="4" t="s">
        <v>204</v>
      </c>
      <c r="H227" s="4" t="s">
        <v>59</v>
      </c>
      <c r="I227" s="3"/>
      <c r="J227" s="3"/>
      <c r="K227" s="3"/>
      <c r="L227" s="3"/>
      <c r="M227" s="3"/>
      <c r="N227" s="3"/>
      <c r="O227" s="3"/>
      <c r="P227" s="8"/>
      <c r="Q227" s="8"/>
      <c r="R227" s="3"/>
      <c r="S227" s="3"/>
      <c r="T227" s="3"/>
      <c r="U227" s="5" t="str">
        <f t="shared" si="11"/>
        <v/>
      </c>
    </row>
    <row r="228" spans="1:21" ht="28" customHeight="1" x14ac:dyDescent="0.35">
      <c r="A228" s="4">
        <v>11</v>
      </c>
      <c r="B228" s="4" t="s">
        <v>300</v>
      </c>
      <c r="C228" s="4" t="s">
        <v>301</v>
      </c>
      <c r="D228" s="4" t="s">
        <v>302</v>
      </c>
      <c r="E228" s="4" t="s">
        <v>56</v>
      </c>
      <c r="F228" s="4" t="s">
        <v>276</v>
      </c>
      <c r="G228" s="4" t="s">
        <v>199</v>
      </c>
      <c r="H228" s="4" t="s">
        <v>76</v>
      </c>
      <c r="I228" s="3"/>
      <c r="J228" s="3"/>
      <c r="K228" s="3"/>
      <c r="L228" s="3"/>
      <c r="M228" s="3"/>
      <c r="N228" s="3"/>
      <c r="O228" s="3"/>
      <c r="P228" s="8"/>
      <c r="Q228" s="8"/>
      <c r="R228" s="3"/>
      <c r="S228" s="3"/>
      <c r="T228" s="3"/>
      <c r="U228" s="5" t="str">
        <f t="shared" si="11"/>
        <v/>
      </c>
    </row>
    <row r="229" spans="1:21" ht="28" customHeight="1" x14ac:dyDescent="0.35">
      <c r="A229" s="4">
        <v>12</v>
      </c>
      <c r="B229" s="4" t="s">
        <v>303</v>
      </c>
      <c r="C229" s="4" t="s">
        <v>304</v>
      </c>
      <c r="D229" s="4" t="s">
        <v>305</v>
      </c>
      <c r="E229" s="4" t="s">
        <v>283</v>
      </c>
      <c r="F229" s="4" t="s">
        <v>276</v>
      </c>
      <c r="G229" s="4" t="s">
        <v>199</v>
      </c>
      <c r="H229" s="4" t="s">
        <v>76</v>
      </c>
      <c r="I229" s="3"/>
      <c r="J229" s="3"/>
      <c r="K229" s="3"/>
      <c r="L229" s="3"/>
      <c r="M229" s="3"/>
      <c r="N229" s="3"/>
      <c r="O229" s="3"/>
      <c r="P229" s="8"/>
      <c r="Q229" s="8"/>
      <c r="R229" s="3"/>
      <c r="S229" s="3"/>
      <c r="T229" s="3"/>
      <c r="U229" s="5" t="str">
        <f t="shared" si="11"/>
        <v/>
      </c>
    </row>
    <row r="230" spans="1:21" ht="28" customHeight="1" x14ac:dyDescent="0.35">
      <c r="A230" s="4">
        <v>13</v>
      </c>
      <c r="B230" s="4" t="s">
        <v>306</v>
      </c>
      <c r="C230" s="4" t="s">
        <v>307</v>
      </c>
      <c r="D230" s="4" t="s">
        <v>308</v>
      </c>
      <c r="E230" s="4" t="s">
        <v>69</v>
      </c>
      <c r="F230" s="4" t="s">
        <v>273</v>
      </c>
      <c r="G230" s="4" t="s">
        <v>96</v>
      </c>
      <c r="H230" s="4" t="s">
        <v>59</v>
      </c>
      <c r="I230" s="3"/>
      <c r="J230" s="3"/>
      <c r="K230" s="3"/>
      <c r="L230" s="3"/>
      <c r="M230" s="3"/>
      <c r="N230" s="3"/>
      <c r="O230" s="3"/>
      <c r="P230" s="8"/>
      <c r="Q230" s="8"/>
      <c r="R230" s="3"/>
      <c r="S230" s="3"/>
      <c r="T230" s="3"/>
      <c r="U230" s="5" t="str">
        <f t="shared" si="11"/>
        <v/>
      </c>
    </row>
    <row r="231" spans="1:21" ht="28" customHeight="1" x14ac:dyDescent="0.35">
      <c r="A231" s="4">
        <v>14</v>
      </c>
      <c r="B231" s="4" t="s">
        <v>97</v>
      </c>
      <c r="C231" s="4" t="s">
        <v>98</v>
      </c>
      <c r="D231" s="4" t="s">
        <v>99</v>
      </c>
      <c r="E231" s="4" t="s">
        <v>69</v>
      </c>
      <c r="F231" s="4" t="s">
        <v>95</v>
      </c>
      <c r="G231" s="4" t="s">
        <v>96</v>
      </c>
      <c r="H231" s="4" t="s">
        <v>59</v>
      </c>
      <c r="I231" s="3"/>
      <c r="J231" s="3"/>
      <c r="K231" s="3"/>
      <c r="L231" s="3"/>
      <c r="M231" s="3"/>
      <c r="N231" s="3"/>
      <c r="O231" s="3"/>
      <c r="P231" s="8"/>
      <c r="Q231" s="8"/>
      <c r="R231" s="3"/>
      <c r="S231" s="3"/>
      <c r="T231" s="3"/>
      <c r="U231" s="5" t="str">
        <f t="shared" si="11"/>
        <v/>
      </c>
    </row>
    <row r="232" spans="1:21" ht="28" customHeight="1" x14ac:dyDescent="0.35">
      <c r="A232" s="4">
        <v>15</v>
      </c>
      <c r="B232" s="4" t="s">
        <v>97</v>
      </c>
      <c r="C232" s="4" t="s">
        <v>100</v>
      </c>
      <c r="D232" s="4" t="s">
        <v>101</v>
      </c>
      <c r="E232" s="4" t="s">
        <v>69</v>
      </c>
      <c r="F232" s="4" t="s">
        <v>95</v>
      </c>
      <c r="G232" s="4" t="s">
        <v>102</v>
      </c>
      <c r="H232" s="4" t="s">
        <v>59</v>
      </c>
      <c r="I232" s="3"/>
      <c r="J232" s="3"/>
      <c r="K232" s="3"/>
      <c r="L232" s="3"/>
      <c r="M232" s="3"/>
      <c r="N232" s="3"/>
      <c r="O232" s="3"/>
      <c r="P232" s="8"/>
      <c r="Q232" s="8"/>
      <c r="R232" s="3"/>
      <c r="S232" s="3"/>
      <c r="T232" s="3"/>
      <c r="U232" s="5" t="str">
        <f t="shared" si="11"/>
        <v/>
      </c>
    </row>
    <row r="233" spans="1:21" ht="28" customHeight="1" x14ac:dyDescent="0.35">
      <c r="A233" s="4">
        <v>16</v>
      </c>
      <c r="B233" s="4" t="s">
        <v>103</v>
      </c>
      <c r="C233" s="4" t="s">
        <v>104</v>
      </c>
      <c r="D233" s="4" t="s">
        <v>105</v>
      </c>
      <c r="E233" s="4" t="s">
        <v>69</v>
      </c>
      <c r="F233" s="4" t="s">
        <v>95</v>
      </c>
      <c r="G233" s="4" t="s">
        <v>96</v>
      </c>
      <c r="H233" s="4" t="s">
        <v>85</v>
      </c>
      <c r="I233" s="3"/>
      <c r="J233" s="3"/>
      <c r="K233" s="3"/>
      <c r="L233" s="3"/>
      <c r="M233" s="3"/>
      <c r="N233" s="3"/>
      <c r="O233" s="3"/>
      <c r="P233" s="8"/>
      <c r="Q233" s="8"/>
      <c r="R233" s="3"/>
      <c r="S233" s="3"/>
      <c r="T233" s="3"/>
      <c r="U233" s="5" t="str">
        <f t="shared" si="11"/>
        <v/>
      </c>
    </row>
    <row r="234" spans="1:21" ht="28" customHeight="1" x14ac:dyDescent="0.35">
      <c r="A234" s="4">
        <v>17</v>
      </c>
      <c r="B234" s="4" t="s">
        <v>106</v>
      </c>
      <c r="C234" s="4" t="s">
        <v>107</v>
      </c>
      <c r="D234" s="4" t="s">
        <v>108</v>
      </c>
      <c r="E234" s="4" t="s">
        <v>109</v>
      </c>
      <c r="F234" s="4" t="s">
        <v>95</v>
      </c>
      <c r="G234" s="4" t="s">
        <v>96</v>
      </c>
      <c r="H234" s="4" t="s">
        <v>59</v>
      </c>
      <c r="I234" s="3"/>
      <c r="J234" s="3"/>
      <c r="K234" s="3"/>
      <c r="L234" s="3"/>
      <c r="M234" s="3"/>
      <c r="N234" s="3"/>
      <c r="O234" s="3"/>
      <c r="P234" s="8"/>
      <c r="Q234" s="8"/>
      <c r="R234" s="3"/>
      <c r="S234" s="3"/>
      <c r="T234" s="3"/>
      <c r="U234" s="5" t="str">
        <f t="shared" si="11"/>
        <v/>
      </c>
    </row>
    <row r="236" spans="1:21" ht="28" customHeight="1" x14ac:dyDescent="0.35">
      <c r="A236" s="9" t="s">
        <v>110</v>
      </c>
      <c r="B236" s="16"/>
      <c r="C236" s="17"/>
      <c r="D236" s="17"/>
      <c r="E236" s="17"/>
      <c r="F236" s="17"/>
      <c r="G236" s="17"/>
      <c r="H236" s="17"/>
      <c r="I236" s="17"/>
      <c r="J236" s="17"/>
      <c r="K236" s="17"/>
      <c r="L236" s="17"/>
      <c r="M236" s="17"/>
      <c r="N236" s="17"/>
      <c r="O236" s="17"/>
      <c r="P236" s="17"/>
      <c r="Q236" s="17"/>
      <c r="R236" s="17"/>
      <c r="S236" s="17"/>
      <c r="T236" s="17"/>
      <c r="U236" s="18"/>
    </row>
    <row r="237" spans="1:21" ht="28" customHeight="1" x14ac:dyDescent="0.35">
      <c r="A237" s="19" t="s">
        <v>316</v>
      </c>
      <c r="B237" s="20"/>
      <c r="C237" s="20"/>
      <c r="D237" s="20"/>
      <c r="E237" s="20"/>
      <c r="F237" s="20"/>
      <c r="G237" s="20"/>
      <c r="H237" s="20"/>
      <c r="I237" s="20"/>
      <c r="J237" s="20"/>
      <c r="K237" s="20"/>
      <c r="L237" s="20"/>
      <c r="M237" s="20"/>
      <c r="N237" s="20"/>
      <c r="O237" s="20"/>
      <c r="P237" s="20"/>
      <c r="Q237" s="20"/>
      <c r="R237" s="20"/>
      <c r="S237" s="20"/>
      <c r="T237" s="20"/>
      <c r="U237" s="21"/>
    </row>
    <row r="238" spans="1:21" ht="28" customHeight="1" x14ac:dyDescent="0.35">
      <c r="A238" s="4" t="s">
        <v>31</v>
      </c>
      <c r="B238" s="3" t="s">
        <v>225</v>
      </c>
      <c r="C238" s="4" t="s">
        <v>32</v>
      </c>
      <c r="D238" s="3"/>
      <c r="E238" s="4" t="s">
        <v>33</v>
      </c>
      <c r="F238" s="8"/>
    </row>
    <row r="239" spans="1:21" ht="28" customHeight="1" x14ac:dyDescent="0.35">
      <c r="A239" s="1" t="s">
        <v>34</v>
      </c>
      <c r="B239" s="1" t="s">
        <v>35</v>
      </c>
      <c r="C239" s="1" t="s">
        <v>36</v>
      </c>
      <c r="D239" s="1" t="s">
        <v>37</v>
      </c>
      <c r="E239" s="1" t="s">
        <v>38</v>
      </c>
      <c r="F239" s="1" t="s">
        <v>39</v>
      </c>
      <c r="G239" s="1" t="s">
        <v>40</v>
      </c>
      <c r="H239" s="1" t="s">
        <v>41</v>
      </c>
      <c r="I239" s="1" t="s">
        <v>42</v>
      </c>
      <c r="J239" s="1" t="s">
        <v>43</v>
      </c>
      <c r="K239" s="1" t="s">
        <v>44</v>
      </c>
      <c r="L239" s="1" t="s">
        <v>45</v>
      </c>
      <c r="M239" s="1" t="s">
        <v>46</v>
      </c>
      <c r="N239" s="1" t="s">
        <v>47</v>
      </c>
      <c r="O239" s="1" t="s">
        <v>48</v>
      </c>
      <c r="P239" s="1" t="s">
        <v>4</v>
      </c>
      <c r="Q239" s="1" t="s">
        <v>49</v>
      </c>
      <c r="R239" s="1" t="s">
        <v>50</v>
      </c>
      <c r="S239" s="1" t="s">
        <v>51</v>
      </c>
      <c r="T239" s="1" t="s">
        <v>52</v>
      </c>
      <c r="U239" s="1" t="s">
        <v>10</v>
      </c>
    </row>
    <row r="240" spans="1:21" ht="28" customHeight="1" x14ac:dyDescent="0.35">
      <c r="A240" s="4">
        <v>1</v>
      </c>
      <c r="B240" s="4" t="s">
        <v>270</v>
      </c>
      <c r="C240" s="4" t="s">
        <v>271</v>
      </c>
      <c r="D240" s="4" t="s">
        <v>272</v>
      </c>
      <c r="E240" s="4" t="s">
        <v>109</v>
      </c>
      <c r="F240" s="4" t="s">
        <v>273</v>
      </c>
      <c r="G240" s="4" t="s">
        <v>199</v>
      </c>
      <c r="H240" s="4" t="s">
        <v>59</v>
      </c>
      <c r="I240" s="3"/>
      <c r="J240" s="3"/>
      <c r="K240" s="3"/>
      <c r="L240" s="3"/>
      <c r="M240" s="3"/>
      <c r="N240" s="3"/>
      <c r="O240" s="3"/>
      <c r="P240" s="8"/>
      <c r="Q240" s="8"/>
      <c r="R240" s="3"/>
      <c r="S240" s="3"/>
      <c r="T240" s="3"/>
      <c r="U240" s="5" t="str">
        <f t="shared" ref="U240:U256" si="12">IF(I240="","",IF(I240="NA","Grey",IF(I240=2,"Green",IF(I240=1,"Amber","Red"))))</f>
        <v/>
      </c>
    </row>
    <row r="241" spans="1:21" ht="28" customHeight="1" x14ac:dyDescent="0.35">
      <c r="A241" s="4">
        <v>2</v>
      </c>
      <c r="B241" s="4" t="s">
        <v>270</v>
      </c>
      <c r="C241" s="4" t="s">
        <v>274</v>
      </c>
      <c r="D241" s="4" t="s">
        <v>275</v>
      </c>
      <c r="E241" s="4" t="s">
        <v>69</v>
      </c>
      <c r="F241" s="4" t="s">
        <v>276</v>
      </c>
      <c r="G241" s="4" t="s">
        <v>199</v>
      </c>
      <c r="H241" s="4" t="s">
        <v>76</v>
      </c>
      <c r="I241" s="3"/>
      <c r="J241" s="3"/>
      <c r="K241" s="3"/>
      <c r="L241" s="3"/>
      <c r="M241" s="3"/>
      <c r="N241" s="3"/>
      <c r="O241" s="3"/>
      <c r="P241" s="8"/>
      <c r="Q241" s="8"/>
      <c r="R241" s="3"/>
      <c r="S241" s="3"/>
      <c r="T241" s="3"/>
      <c r="U241" s="5" t="str">
        <f t="shared" si="12"/>
        <v/>
      </c>
    </row>
    <row r="242" spans="1:21" ht="28" customHeight="1" x14ac:dyDescent="0.35">
      <c r="A242" s="4">
        <v>3</v>
      </c>
      <c r="B242" s="4" t="s">
        <v>270</v>
      </c>
      <c r="C242" s="4" t="s">
        <v>277</v>
      </c>
      <c r="D242" s="4" t="s">
        <v>278</v>
      </c>
      <c r="E242" s="4" t="s">
        <v>279</v>
      </c>
      <c r="F242" s="4" t="s">
        <v>280</v>
      </c>
      <c r="G242" s="4" t="s">
        <v>209</v>
      </c>
      <c r="H242" s="4" t="s">
        <v>76</v>
      </c>
      <c r="I242" s="3"/>
      <c r="J242" s="3"/>
      <c r="K242" s="3"/>
      <c r="L242" s="3"/>
      <c r="M242" s="3"/>
      <c r="N242" s="3"/>
      <c r="O242" s="3"/>
      <c r="P242" s="8"/>
      <c r="Q242" s="8"/>
      <c r="R242" s="3"/>
      <c r="S242" s="3"/>
      <c r="T242" s="3"/>
      <c r="U242" s="5" t="str">
        <f t="shared" si="12"/>
        <v/>
      </c>
    </row>
    <row r="243" spans="1:21" ht="28" customHeight="1" x14ac:dyDescent="0.35">
      <c r="A243" s="4">
        <v>4</v>
      </c>
      <c r="B243" s="4" t="s">
        <v>270</v>
      </c>
      <c r="C243" s="4" t="s">
        <v>281</v>
      </c>
      <c r="D243" s="4" t="s">
        <v>282</v>
      </c>
      <c r="E243" s="4" t="s">
        <v>283</v>
      </c>
      <c r="F243" s="4" t="s">
        <v>284</v>
      </c>
      <c r="G243" s="4" t="s">
        <v>204</v>
      </c>
      <c r="H243" s="4" t="s">
        <v>76</v>
      </c>
      <c r="I243" s="3"/>
      <c r="J243" s="3"/>
      <c r="K243" s="3"/>
      <c r="L243" s="3"/>
      <c r="M243" s="3"/>
      <c r="N243" s="3"/>
      <c r="O243" s="3"/>
      <c r="P243" s="8"/>
      <c r="Q243" s="8"/>
      <c r="R243" s="3"/>
      <c r="S243" s="3"/>
      <c r="T243" s="3"/>
      <c r="U243" s="5" t="str">
        <f t="shared" si="12"/>
        <v/>
      </c>
    </row>
    <row r="244" spans="1:21" ht="28" customHeight="1" x14ac:dyDescent="0.35">
      <c r="A244" s="4">
        <v>5</v>
      </c>
      <c r="B244" s="4" t="s">
        <v>285</v>
      </c>
      <c r="C244" s="4" t="s">
        <v>286</v>
      </c>
      <c r="D244" s="4" t="s">
        <v>287</v>
      </c>
      <c r="E244" s="4" t="s">
        <v>69</v>
      </c>
      <c r="F244" s="4" t="s">
        <v>276</v>
      </c>
      <c r="G244" s="4" t="s">
        <v>199</v>
      </c>
      <c r="H244" s="4" t="s">
        <v>76</v>
      </c>
      <c r="I244" s="3"/>
      <c r="J244" s="3"/>
      <c r="K244" s="3"/>
      <c r="L244" s="3"/>
      <c r="M244" s="3"/>
      <c r="N244" s="3"/>
      <c r="O244" s="3"/>
      <c r="P244" s="8"/>
      <c r="Q244" s="8"/>
      <c r="R244" s="3"/>
      <c r="S244" s="3"/>
      <c r="T244" s="3"/>
      <c r="U244" s="5" t="str">
        <f t="shared" si="12"/>
        <v/>
      </c>
    </row>
    <row r="245" spans="1:21" ht="28" customHeight="1" x14ac:dyDescent="0.35">
      <c r="A245" s="4">
        <v>6</v>
      </c>
      <c r="B245" s="4" t="s">
        <v>285</v>
      </c>
      <c r="C245" s="4" t="s">
        <v>288</v>
      </c>
      <c r="D245" s="4" t="s">
        <v>289</v>
      </c>
      <c r="E245" s="4" t="s">
        <v>70</v>
      </c>
      <c r="F245" s="4" t="s">
        <v>276</v>
      </c>
      <c r="G245" s="4" t="s">
        <v>199</v>
      </c>
      <c r="H245" s="4" t="s">
        <v>59</v>
      </c>
      <c r="I245" s="3"/>
      <c r="J245" s="3"/>
      <c r="K245" s="3"/>
      <c r="L245" s="3"/>
      <c r="M245" s="3"/>
      <c r="N245" s="3"/>
      <c r="O245" s="3"/>
      <c r="P245" s="8"/>
      <c r="Q245" s="8"/>
      <c r="R245" s="3"/>
      <c r="S245" s="3"/>
      <c r="T245" s="3"/>
      <c r="U245" s="5" t="str">
        <f t="shared" si="12"/>
        <v/>
      </c>
    </row>
    <row r="246" spans="1:21" ht="28" customHeight="1" x14ac:dyDescent="0.35">
      <c r="A246" s="4">
        <v>7</v>
      </c>
      <c r="B246" s="4" t="s">
        <v>290</v>
      </c>
      <c r="C246" s="4" t="s">
        <v>291</v>
      </c>
      <c r="D246" s="4" t="s">
        <v>292</v>
      </c>
      <c r="E246" s="4" t="s">
        <v>109</v>
      </c>
      <c r="F246" s="4" t="s">
        <v>284</v>
      </c>
      <c r="G246" s="4" t="s">
        <v>204</v>
      </c>
      <c r="H246" s="4" t="s">
        <v>59</v>
      </c>
      <c r="I246" s="3"/>
      <c r="J246" s="3"/>
      <c r="K246" s="3"/>
      <c r="L246" s="3"/>
      <c r="M246" s="3"/>
      <c r="N246" s="3"/>
      <c r="O246" s="3"/>
      <c r="P246" s="8"/>
      <c r="Q246" s="8"/>
      <c r="R246" s="3"/>
      <c r="S246" s="3"/>
      <c r="T246" s="3"/>
      <c r="U246" s="5" t="str">
        <f t="shared" si="12"/>
        <v/>
      </c>
    </row>
    <row r="247" spans="1:21" ht="28" customHeight="1" x14ac:dyDescent="0.35">
      <c r="A247" s="4">
        <v>8</v>
      </c>
      <c r="B247" s="4" t="s">
        <v>290</v>
      </c>
      <c r="C247" s="4" t="s">
        <v>293</v>
      </c>
      <c r="D247" s="4" t="s">
        <v>294</v>
      </c>
      <c r="E247" s="4" t="s">
        <v>70</v>
      </c>
      <c r="F247" s="4" t="s">
        <v>295</v>
      </c>
      <c r="G247" s="4" t="s">
        <v>199</v>
      </c>
      <c r="H247" s="4" t="s">
        <v>76</v>
      </c>
      <c r="I247" s="3"/>
      <c r="J247" s="3"/>
      <c r="K247" s="3"/>
      <c r="L247" s="3"/>
      <c r="M247" s="3"/>
      <c r="N247" s="3"/>
      <c r="O247" s="3"/>
      <c r="P247" s="8"/>
      <c r="Q247" s="8"/>
      <c r="R247" s="3"/>
      <c r="S247" s="3"/>
      <c r="T247" s="3"/>
      <c r="U247" s="5" t="str">
        <f t="shared" si="12"/>
        <v/>
      </c>
    </row>
    <row r="248" spans="1:21" ht="28" customHeight="1" x14ac:dyDescent="0.35">
      <c r="A248" s="4">
        <v>9</v>
      </c>
      <c r="B248" s="4" t="s">
        <v>296</v>
      </c>
      <c r="C248" s="4" t="s">
        <v>297</v>
      </c>
      <c r="D248" s="4" t="s">
        <v>70</v>
      </c>
      <c r="E248" s="4" t="s">
        <v>70</v>
      </c>
      <c r="F248" s="4" t="s">
        <v>295</v>
      </c>
      <c r="G248" s="4" t="s">
        <v>199</v>
      </c>
      <c r="H248" s="4" t="s">
        <v>76</v>
      </c>
      <c r="I248" s="3"/>
      <c r="J248" s="3"/>
      <c r="K248" s="3"/>
      <c r="L248" s="3"/>
      <c r="M248" s="3"/>
      <c r="N248" s="3"/>
      <c r="O248" s="3"/>
      <c r="P248" s="8"/>
      <c r="Q248" s="8"/>
      <c r="R248" s="3"/>
      <c r="S248" s="3"/>
      <c r="T248" s="3"/>
      <c r="U248" s="5" t="str">
        <f t="shared" si="12"/>
        <v/>
      </c>
    </row>
    <row r="249" spans="1:21" ht="28" customHeight="1" x14ac:dyDescent="0.35">
      <c r="A249" s="4">
        <v>10</v>
      </c>
      <c r="B249" s="4" t="s">
        <v>296</v>
      </c>
      <c r="C249" s="4" t="s">
        <v>298</v>
      </c>
      <c r="D249" s="4" t="s">
        <v>299</v>
      </c>
      <c r="E249" s="4" t="s">
        <v>283</v>
      </c>
      <c r="F249" s="4" t="s">
        <v>284</v>
      </c>
      <c r="G249" s="4" t="s">
        <v>204</v>
      </c>
      <c r="H249" s="4" t="s">
        <v>59</v>
      </c>
      <c r="I249" s="3"/>
      <c r="J249" s="3"/>
      <c r="K249" s="3"/>
      <c r="L249" s="3"/>
      <c r="M249" s="3"/>
      <c r="N249" s="3"/>
      <c r="O249" s="3"/>
      <c r="P249" s="8"/>
      <c r="Q249" s="8"/>
      <c r="R249" s="3"/>
      <c r="S249" s="3"/>
      <c r="T249" s="3"/>
      <c r="U249" s="5" t="str">
        <f t="shared" si="12"/>
        <v/>
      </c>
    </row>
    <row r="250" spans="1:21" ht="28" customHeight="1" x14ac:dyDescent="0.35">
      <c r="A250" s="4">
        <v>11</v>
      </c>
      <c r="B250" s="4" t="s">
        <v>300</v>
      </c>
      <c r="C250" s="4" t="s">
        <v>301</v>
      </c>
      <c r="D250" s="4" t="s">
        <v>302</v>
      </c>
      <c r="E250" s="4" t="s">
        <v>56</v>
      </c>
      <c r="F250" s="4" t="s">
        <v>276</v>
      </c>
      <c r="G250" s="4" t="s">
        <v>199</v>
      </c>
      <c r="H250" s="4" t="s">
        <v>76</v>
      </c>
      <c r="I250" s="3"/>
      <c r="J250" s="3"/>
      <c r="K250" s="3"/>
      <c r="L250" s="3"/>
      <c r="M250" s="3"/>
      <c r="N250" s="3"/>
      <c r="O250" s="3"/>
      <c r="P250" s="8"/>
      <c r="Q250" s="8"/>
      <c r="R250" s="3"/>
      <c r="S250" s="3"/>
      <c r="T250" s="3"/>
      <c r="U250" s="5" t="str">
        <f t="shared" si="12"/>
        <v/>
      </c>
    </row>
    <row r="251" spans="1:21" ht="28" customHeight="1" x14ac:dyDescent="0.35">
      <c r="A251" s="4">
        <v>12</v>
      </c>
      <c r="B251" s="4" t="s">
        <v>303</v>
      </c>
      <c r="C251" s="4" t="s">
        <v>304</v>
      </c>
      <c r="D251" s="4" t="s">
        <v>305</v>
      </c>
      <c r="E251" s="4" t="s">
        <v>283</v>
      </c>
      <c r="F251" s="4" t="s">
        <v>276</v>
      </c>
      <c r="G251" s="4" t="s">
        <v>199</v>
      </c>
      <c r="H251" s="4" t="s">
        <v>76</v>
      </c>
      <c r="I251" s="3"/>
      <c r="J251" s="3"/>
      <c r="K251" s="3"/>
      <c r="L251" s="3"/>
      <c r="M251" s="3"/>
      <c r="N251" s="3"/>
      <c r="O251" s="3"/>
      <c r="P251" s="8"/>
      <c r="Q251" s="8"/>
      <c r="R251" s="3"/>
      <c r="S251" s="3"/>
      <c r="T251" s="3"/>
      <c r="U251" s="5" t="str">
        <f t="shared" si="12"/>
        <v/>
      </c>
    </row>
    <row r="252" spans="1:21" ht="28" customHeight="1" x14ac:dyDescent="0.35">
      <c r="A252" s="4">
        <v>13</v>
      </c>
      <c r="B252" s="4" t="s">
        <v>306</v>
      </c>
      <c r="C252" s="4" t="s">
        <v>307</v>
      </c>
      <c r="D252" s="4" t="s">
        <v>308</v>
      </c>
      <c r="E252" s="4" t="s">
        <v>69</v>
      </c>
      <c r="F252" s="4" t="s">
        <v>273</v>
      </c>
      <c r="G252" s="4" t="s">
        <v>96</v>
      </c>
      <c r="H252" s="4" t="s">
        <v>59</v>
      </c>
      <c r="I252" s="3"/>
      <c r="J252" s="3"/>
      <c r="K252" s="3"/>
      <c r="L252" s="3"/>
      <c r="M252" s="3"/>
      <c r="N252" s="3"/>
      <c r="O252" s="3"/>
      <c r="P252" s="8"/>
      <c r="Q252" s="8"/>
      <c r="R252" s="3"/>
      <c r="S252" s="3"/>
      <c r="T252" s="3"/>
      <c r="U252" s="5" t="str">
        <f t="shared" si="12"/>
        <v/>
      </c>
    </row>
    <row r="253" spans="1:21" ht="28" customHeight="1" x14ac:dyDescent="0.35">
      <c r="A253" s="4">
        <v>14</v>
      </c>
      <c r="B253" s="4" t="s">
        <v>97</v>
      </c>
      <c r="C253" s="4" t="s">
        <v>98</v>
      </c>
      <c r="D253" s="4" t="s">
        <v>99</v>
      </c>
      <c r="E253" s="4" t="s">
        <v>69</v>
      </c>
      <c r="F253" s="4" t="s">
        <v>95</v>
      </c>
      <c r="G253" s="4" t="s">
        <v>96</v>
      </c>
      <c r="H253" s="4" t="s">
        <v>59</v>
      </c>
      <c r="I253" s="3"/>
      <c r="J253" s="3"/>
      <c r="K253" s="3"/>
      <c r="L253" s="3"/>
      <c r="M253" s="3"/>
      <c r="N253" s="3"/>
      <c r="O253" s="3"/>
      <c r="P253" s="8"/>
      <c r="Q253" s="8"/>
      <c r="R253" s="3"/>
      <c r="S253" s="3"/>
      <c r="T253" s="3"/>
      <c r="U253" s="5" t="str">
        <f t="shared" si="12"/>
        <v/>
      </c>
    </row>
    <row r="254" spans="1:21" ht="28" customHeight="1" x14ac:dyDescent="0.35">
      <c r="A254" s="4">
        <v>15</v>
      </c>
      <c r="B254" s="4" t="s">
        <v>97</v>
      </c>
      <c r="C254" s="4" t="s">
        <v>100</v>
      </c>
      <c r="D254" s="4" t="s">
        <v>101</v>
      </c>
      <c r="E254" s="4" t="s">
        <v>69</v>
      </c>
      <c r="F254" s="4" t="s">
        <v>95</v>
      </c>
      <c r="G254" s="4" t="s">
        <v>102</v>
      </c>
      <c r="H254" s="4" t="s">
        <v>59</v>
      </c>
      <c r="I254" s="3"/>
      <c r="J254" s="3"/>
      <c r="K254" s="3"/>
      <c r="L254" s="3"/>
      <c r="M254" s="3"/>
      <c r="N254" s="3"/>
      <c r="O254" s="3"/>
      <c r="P254" s="8"/>
      <c r="Q254" s="8"/>
      <c r="R254" s="3"/>
      <c r="S254" s="3"/>
      <c r="T254" s="3"/>
      <c r="U254" s="5" t="str">
        <f t="shared" si="12"/>
        <v/>
      </c>
    </row>
    <row r="255" spans="1:21" ht="28" customHeight="1" x14ac:dyDescent="0.35">
      <c r="A255" s="4">
        <v>16</v>
      </c>
      <c r="B255" s="4" t="s">
        <v>103</v>
      </c>
      <c r="C255" s="4" t="s">
        <v>104</v>
      </c>
      <c r="D255" s="4" t="s">
        <v>105</v>
      </c>
      <c r="E255" s="4" t="s">
        <v>69</v>
      </c>
      <c r="F255" s="4" t="s">
        <v>95</v>
      </c>
      <c r="G255" s="4" t="s">
        <v>96</v>
      </c>
      <c r="H255" s="4" t="s">
        <v>85</v>
      </c>
      <c r="I255" s="3"/>
      <c r="J255" s="3"/>
      <c r="K255" s="3"/>
      <c r="L255" s="3"/>
      <c r="M255" s="3"/>
      <c r="N255" s="3"/>
      <c r="O255" s="3"/>
      <c r="P255" s="8"/>
      <c r="Q255" s="8"/>
      <c r="R255" s="3"/>
      <c r="S255" s="3"/>
      <c r="T255" s="3"/>
      <c r="U255" s="5" t="str">
        <f t="shared" si="12"/>
        <v/>
      </c>
    </row>
    <row r="256" spans="1:21" ht="28" customHeight="1" x14ac:dyDescent="0.35">
      <c r="A256" s="4">
        <v>17</v>
      </c>
      <c r="B256" s="4" t="s">
        <v>106</v>
      </c>
      <c r="C256" s="4" t="s">
        <v>107</v>
      </c>
      <c r="D256" s="4" t="s">
        <v>108</v>
      </c>
      <c r="E256" s="4" t="s">
        <v>109</v>
      </c>
      <c r="F256" s="4" t="s">
        <v>95</v>
      </c>
      <c r="G256" s="4" t="s">
        <v>96</v>
      </c>
      <c r="H256" s="4" t="s">
        <v>59</v>
      </c>
      <c r="I256" s="3"/>
      <c r="J256" s="3"/>
      <c r="K256" s="3"/>
      <c r="L256" s="3"/>
      <c r="M256" s="3"/>
      <c r="N256" s="3"/>
      <c r="O256" s="3"/>
      <c r="P256" s="8"/>
      <c r="Q256" s="8"/>
      <c r="R256" s="3"/>
      <c r="S256" s="3"/>
      <c r="T256" s="3"/>
      <c r="U256" s="5" t="str">
        <f t="shared" si="12"/>
        <v/>
      </c>
    </row>
    <row r="258" spans="1:21" ht="28" customHeight="1" x14ac:dyDescent="0.35">
      <c r="A258" s="9" t="s">
        <v>110</v>
      </c>
      <c r="B258" s="16"/>
      <c r="C258" s="17"/>
      <c r="D258" s="17"/>
      <c r="E258" s="17"/>
      <c r="F258" s="17"/>
      <c r="G258" s="17"/>
      <c r="H258" s="17"/>
      <c r="I258" s="17"/>
      <c r="J258" s="17"/>
      <c r="K258" s="17"/>
      <c r="L258" s="17"/>
      <c r="M258" s="17"/>
      <c r="N258" s="17"/>
      <c r="O258" s="17"/>
      <c r="P258" s="17"/>
      <c r="Q258" s="17"/>
      <c r="R258" s="17"/>
      <c r="S258" s="17"/>
      <c r="T258" s="17"/>
      <c r="U258" s="18"/>
    </row>
    <row r="259" spans="1:21" ht="28" customHeight="1" x14ac:dyDescent="0.35">
      <c r="A259" s="19" t="s">
        <v>317</v>
      </c>
      <c r="B259" s="20"/>
      <c r="C259" s="20"/>
      <c r="D259" s="20"/>
      <c r="E259" s="20"/>
      <c r="F259" s="20"/>
      <c r="G259" s="20"/>
      <c r="H259" s="20"/>
      <c r="I259" s="20"/>
      <c r="J259" s="20"/>
      <c r="K259" s="20"/>
      <c r="L259" s="20"/>
      <c r="M259" s="20"/>
      <c r="N259" s="20"/>
      <c r="O259" s="20"/>
      <c r="P259" s="20"/>
      <c r="Q259" s="20"/>
      <c r="R259" s="20"/>
      <c r="S259" s="20"/>
      <c r="T259" s="20"/>
      <c r="U259" s="21"/>
    </row>
    <row r="260" spans="1:21" ht="28" customHeight="1" x14ac:dyDescent="0.35">
      <c r="A260" s="4" t="s">
        <v>31</v>
      </c>
      <c r="B260" s="3" t="s">
        <v>226</v>
      </c>
      <c r="C260" s="4" t="s">
        <v>32</v>
      </c>
      <c r="D260" s="3"/>
      <c r="E260" s="4" t="s">
        <v>33</v>
      </c>
      <c r="F260" s="8"/>
    </row>
    <row r="261" spans="1:21" ht="28" customHeight="1" x14ac:dyDescent="0.35">
      <c r="A261" s="1" t="s">
        <v>34</v>
      </c>
      <c r="B261" s="1" t="s">
        <v>35</v>
      </c>
      <c r="C261" s="1" t="s">
        <v>36</v>
      </c>
      <c r="D261" s="1" t="s">
        <v>37</v>
      </c>
      <c r="E261" s="1" t="s">
        <v>38</v>
      </c>
      <c r="F261" s="1" t="s">
        <v>39</v>
      </c>
      <c r="G261" s="1" t="s">
        <v>40</v>
      </c>
      <c r="H261" s="1" t="s">
        <v>41</v>
      </c>
      <c r="I261" s="1" t="s">
        <v>42</v>
      </c>
      <c r="J261" s="1" t="s">
        <v>43</v>
      </c>
      <c r="K261" s="1" t="s">
        <v>44</v>
      </c>
      <c r="L261" s="1" t="s">
        <v>45</v>
      </c>
      <c r="M261" s="1" t="s">
        <v>46</v>
      </c>
      <c r="N261" s="1" t="s">
        <v>47</v>
      </c>
      <c r="O261" s="1" t="s">
        <v>48</v>
      </c>
      <c r="P261" s="1" t="s">
        <v>4</v>
      </c>
      <c r="Q261" s="1" t="s">
        <v>49</v>
      </c>
      <c r="R261" s="1" t="s">
        <v>50</v>
      </c>
      <c r="S261" s="1" t="s">
        <v>51</v>
      </c>
      <c r="T261" s="1" t="s">
        <v>52</v>
      </c>
      <c r="U261" s="1" t="s">
        <v>10</v>
      </c>
    </row>
    <row r="262" spans="1:21" ht="28" customHeight="1" x14ac:dyDescent="0.35">
      <c r="A262" s="4">
        <v>1</v>
      </c>
      <c r="B262" s="4" t="s">
        <v>270</v>
      </c>
      <c r="C262" s="4" t="s">
        <v>271</v>
      </c>
      <c r="D262" s="4" t="s">
        <v>272</v>
      </c>
      <c r="E262" s="4" t="s">
        <v>109</v>
      </c>
      <c r="F262" s="4" t="s">
        <v>273</v>
      </c>
      <c r="G262" s="4" t="s">
        <v>199</v>
      </c>
      <c r="H262" s="4" t="s">
        <v>59</v>
      </c>
      <c r="I262" s="3"/>
      <c r="J262" s="3"/>
      <c r="K262" s="3"/>
      <c r="L262" s="3"/>
      <c r="M262" s="3"/>
      <c r="N262" s="3"/>
      <c r="O262" s="3"/>
      <c r="P262" s="8"/>
      <c r="Q262" s="8"/>
      <c r="R262" s="3"/>
      <c r="S262" s="3"/>
      <c r="T262" s="3"/>
      <c r="U262" s="5" t="str">
        <f t="shared" ref="U262:U278" si="13">IF(I262="","",IF(I262="NA","Grey",IF(I262=2,"Green",IF(I262=1,"Amber","Red"))))</f>
        <v/>
      </c>
    </row>
    <row r="263" spans="1:21" ht="28" customHeight="1" x14ac:dyDescent="0.35">
      <c r="A263" s="4">
        <v>2</v>
      </c>
      <c r="B263" s="4" t="s">
        <v>270</v>
      </c>
      <c r="C263" s="4" t="s">
        <v>274</v>
      </c>
      <c r="D263" s="4" t="s">
        <v>275</v>
      </c>
      <c r="E263" s="4" t="s">
        <v>69</v>
      </c>
      <c r="F263" s="4" t="s">
        <v>276</v>
      </c>
      <c r="G263" s="4" t="s">
        <v>199</v>
      </c>
      <c r="H263" s="4" t="s">
        <v>76</v>
      </c>
      <c r="I263" s="3"/>
      <c r="J263" s="3"/>
      <c r="K263" s="3"/>
      <c r="L263" s="3"/>
      <c r="M263" s="3"/>
      <c r="N263" s="3"/>
      <c r="O263" s="3"/>
      <c r="P263" s="8"/>
      <c r="Q263" s="8"/>
      <c r="R263" s="3"/>
      <c r="S263" s="3"/>
      <c r="T263" s="3"/>
      <c r="U263" s="5" t="str">
        <f t="shared" si="13"/>
        <v/>
      </c>
    </row>
    <row r="264" spans="1:21" ht="28" customHeight="1" x14ac:dyDescent="0.35">
      <c r="A264" s="4">
        <v>3</v>
      </c>
      <c r="B264" s="4" t="s">
        <v>270</v>
      </c>
      <c r="C264" s="4" t="s">
        <v>277</v>
      </c>
      <c r="D264" s="4" t="s">
        <v>278</v>
      </c>
      <c r="E264" s="4" t="s">
        <v>279</v>
      </c>
      <c r="F264" s="4" t="s">
        <v>280</v>
      </c>
      <c r="G264" s="4" t="s">
        <v>209</v>
      </c>
      <c r="H264" s="4" t="s">
        <v>76</v>
      </c>
      <c r="I264" s="3"/>
      <c r="J264" s="3"/>
      <c r="K264" s="3"/>
      <c r="L264" s="3"/>
      <c r="M264" s="3"/>
      <c r="N264" s="3"/>
      <c r="O264" s="3"/>
      <c r="P264" s="8"/>
      <c r="Q264" s="8"/>
      <c r="R264" s="3"/>
      <c r="S264" s="3"/>
      <c r="T264" s="3"/>
      <c r="U264" s="5" t="str">
        <f t="shared" si="13"/>
        <v/>
      </c>
    </row>
    <row r="265" spans="1:21" ht="28" customHeight="1" x14ac:dyDescent="0.35">
      <c r="A265" s="4">
        <v>4</v>
      </c>
      <c r="B265" s="4" t="s">
        <v>270</v>
      </c>
      <c r="C265" s="4" t="s">
        <v>281</v>
      </c>
      <c r="D265" s="4" t="s">
        <v>282</v>
      </c>
      <c r="E265" s="4" t="s">
        <v>283</v>
      </c>
      <c r="F265" s="4" t="s">
        <v>284</v>
      </c>
      <c r="G265" s="4" t="s">
        <v>204</v>
      </c>
      <c r="H265" s="4" t="s">
        <v>76</v>
      </c>
      <c r="I265" s="3"/>
      <c r="J265" s="3"/>
      <c r="K265" s="3"/>
      <c r="L265" s="3"/>
      <c r="M265" s="3"/>
      <c r="N265" s="3"/>
      <c r="O265" s="3"/>
      <c r="P265" s="8"/>
      <c r="Q265" s="8"/>
      <c r="R265" s="3"/>
      <c r="S265" s="3"/>
      <c r="T265" s="3"/>
      <c r="U265" s="5" t="str">
        <f t="shared" si="13"/>
        <v/>
      </c>
    </row>
    <row r="266" spans="1:21" ht="28" customHeight="1" x14ac:dyDescent="0.35">
      <c r="A266" s="4">
        <v>5</v>
      </c>
      <c r="B266" s="4" t="s">
        <v>285</v>
      </c>
      <c r="C266" s="4" t="s">
        <v>286</v>
      </c>
      <c r="D266" s="4" t="s">
        <v>287</v>
      </c>
      <c r="E266" s="4" t="s">
        <v>69</v>
      </c>
      <c r="F266" s="4" t="s">
        <v>276</v>
      </c>
      <c r="G266" s="4" t="s">
        <v>199</v>
      </c>
      <c r="H266" s="4" t="s">
        <v>76</v>
      </c>
      <c r="I266" s="3"/>
      <c r="J266" s="3"/>
      <c r="K266" s="3"/>
      <c r="L266" s="3"/>
      <c r="M266" s="3"/>
      <c r="N266" s="3"/>
      <c r="O266" s="3"/>
      <c r="P266" s="8"/>
      <c r="Q266" s="8"/>
      <c r="R266" s="3"/>
      <c r="S266" s="3"/>
      <c r="T266" s="3"/>
      <c r="U266" s="5" t="str">
        <f t="shared" si="13"/>
        <v/>
      </c>
    </row>
    <row r="267" spans="1:21" ht="28" customHeight="1" x14ac:dyDescent="0.35">
      <c r="A267" s="4">
        <v>6</v>
      </c>
      <c r="B267" s="4" t="s">
        <v>285</v>
      </c>
      <c r="C267" s="4" t="s">
        <v>288</v>
      </c>
      <c r="D267" s="4" t="s">
        <v>289</v>
      </c>
      <c r="E267" s="4" t="s">
        <v>70</v>
      </c>
      <c r="F267" s="4" t="s">
        <v>276</v>
      </c>
      <c r="G267" s="4" t="s">
        <v>199</v>
      </c>
      <c r="H267" s="4" t="s">
        <v>59</v>
      </c>
      <c r="I267" s="3"/>
      <c r="J267" s="3"/>
      <c r="K267" s="3"/>
      <c r="L267" s="3"/>
      <c r="M267" s="3"/>
      <c r="N267" s="3"/>
      <c r="O267" s="3"/>
      <c r="P267" s="8"/>
      <c r="Q267" s="8"/>
      <c r="R267" s="3"/>
      <c r="S267" s="3"/>
      <c r="T267" s="3"/>
      <c r="U267" s="5" t="str">
        <f t="shared" si="13"/>
        <v/>
      </c>
    </row>
    <row r="268" spans="1:21" ht="28" customHeight="1" x14ac:dyDescent="0.35">
      <c r="A268" s="4">
        <v>7</v>
      </c>
      <c r="B268" s="4" t="s">
        <v>290</v>
      </c>
      <c r="C268" s="4" t="s">
        <v>291</v>
      </c>
      <c r="D268" s="4" t="s">
        <v>292</v>
      </c>
      <c r="E268" s="4" t="s">
        <v>109</v>
      </c>
      <c r="F268" s="4" t="s">
        <v>284</v>
      </c>
      <c r="G268" s="4" t="s">
        <v>204</v>
      </c>
      <c r="H268" s="4" t="s">
        <v>59</v>
      </c>
      <c r="I268" s="3"/>
      <c r="J268" s="3"/>
      <c r="K268" s="3"/>
      <c r="L268" s="3"/>
      <c r="M268" s="3"/>
      <c r="N268" s="3"/>
      <c r="O268" s="3"/>
      <c r="P268" s="8"/>
      <c r="Q268" s="8"/>
      <c r="R268" s="3"/>
      <c r="S268" s="3"/>
      <c r="T268" s="3"/>
      <c r="U268" s="5" t="str">
        <f t="shared" si="13"/>
        <v/>
      </c>
    </row>
    <row r="269" spans="1:21" ht="28" customHeight="1" x14ac:dyDescent="0.35">
      <c r="A269" s="4">
        <v>8</v>
      </c>
      <c r="B269" s="4" t="s">
        <v>290</v>
      </c>
      <c r="C269" s="4" t="s">
        <v>293</v>
      </c>
      <c r="D269" s="4" t="s">
        <v>294</v>
      </c>
      <c r="E269" s="4" t="s">
        <v>70</v>
      </c>
      <c r="F269" s="4" t="s">
        <v>295</v>
      </c>
      <c r="G269" s="4" t="s">
        <v>199</v>
      </c>
      <c r="H269" s="4" t="s">
        <v>76</v>
      </c>
      <c r="I269" s="3"/>
      <c r="J269" s="3"/>
      <c r="K269" s="3"/>
      <c r="L269" s="3"/>
      <c r="M269" s="3"/>
      <c r="N269" s="3"/>
      <c r="O269" s="3"/>
      <c r="P269" s="8"/>
      <c r="Q269" s="8"/>
      <c r="R269" s="3"/>
      <c r="S269" s="3"/>
      <c r="T269" s="3"/>
      <c r="U269" s="5" t="str">
        <f t="shared" si="13"/>
        <v/>
      </c>
    </row>
    <row r="270" spans="1:21" ht="28" customHeight="1" x14ac:dyDescent="0.35">
      <c r="A270" s="4">
        <v>9</v>
      </c>
      <c r="B270" s="4" t="s">
        <v>296</v>
      </c>
      <c r="C270" s="4" t="s">
        <v>297</v>
      </c>
      <c r="D270" s="4" t="s">
        <v>70</v>
      </c>
      <c r="E270" s="4" t="s">
        <v>70</v>
      </c>
      <c r="F270" s="4" t="s">
        <v>295</v>
      </c>
      <c r="G270" s="4" t="s">
        <v>199</v>
      </c>
      <c r="H270" s="4" t="s">
        <v>76</v>
      </c>
      <c r="I270" s="3"/>
      <c r="J270" s="3"/>
      <c r="K270" s="3"/>
      <c r="L270" s="3"/>
      <c r="M270" s="3"/>
      <c r="N270" s="3"/>
      <c r="O270" s="3"/>
      <c r="P270" s="8"/>
      <c r="Q270" s="8"/>
      <c r="R270" s="3"/>
      <c r="S270" s="3"/>
      <c r="T270" s="3"/>
      <c r="U270" s="5" t="str">
        <f t="shared" si="13"/>
        <v/>
      </c>
    </row>
    <row r="271" spans="1:21" ht="28" customHeight="1" x14ac:dyDescent="0.35">
      <c r="A271" s="4">
        <v>10</v>
      </c>
      <c r="B271" s="4" t="s">
        <v>296</v>
      </c>
      <c r="C271" s="4" t="s">
        <v>298</v>
      </c>
      <c r="D271" s="4" t="s">
        <v>299</v>
      </c>
      <c r="E271" s="4" t="s">
        <v>283</v>
      </c>
      <c r="F271" s="4" t="s">
        <v>284</v>
      </c>
      <c r="G271" s="4" t="s">
        <v>204</v>
      </c>
      <c r="H271" s="4" t="s">
        <v>59</v>
      </c>
      <c r="I271" s="3"/>
      <c r="J271" s="3"/>
      <c r="K271" s="3"/>
      <c r="L271" s="3"/>
      <c r="M271" s="3"/>
      <c r="N271" s="3"/>
      <c r="O271" s="3"/>
      <c r="P271" s="8"/>
      <c r="Q271" s="8"/>
      <c r="R271" s="3"/>
      <c r="S271" s="3"/>
      <c r="T271" s="3"/>
      <c r="U271" s="5" t="str">
        <f t="shared" si="13"/>
        <v/>
      </c>
    </row>
    <row r="272" spans="1:21" ht="28" customHeight="1" x14ac:dyDescent="0.35">
      <c r="A272" s="4">
        <v>11</v>
      </c>
      <c r="B272" s="4" t="s">
        <v>300</v>
      </c>
      <c r="C272" s="4" t="s">
        <v>301</v>
      </c>
      <c r="D272" s="4" t="s">
        <v>302</v>
      </c>
      <c r="E272" s="4" t="s">
        <v>56</v>
      </c>
      <c r="F272" s="4" t="s">
        <v>276</v>
      </c>
      <c r="G272" s="4" t="s">
        <v>199</v>
      </c>
      <c r="H272" s="4" t="s">
        <v>76</v>
      </c>
      <c r="I272" s="3"/>
      <c r="J272" s="3"/>
      <c r="K272" s="3"/>
      <c r="L272" s="3"/>
      <c r="M272" s="3"/>
      <c r="N272" s="3"/>
      <c r="O272" s="3"/>
      <c r="P272" s="8"/>
      <c r="Q272" s="8"/>
      <c r="R272" s="3"/>
      <c r="S272" s="3"/>
      <c r="T272" s="3"/>
      <c r="U272" s="5" t="str">
        <f t="shared" si="13"/>
        <v/>
      </c>
    </row>
    <row r="273" spans="1:21" ht="28" customHeight="1" x14ac:dyDescent="0.35">
      <c r="A273" s="4">
        <v>12</v>
      </c>
      <c r="B273" s="4" t="s">
        <v>303</v>
      </c>
      <c r="C273" s="4" t="s">
        <v>304</v>
      </c>
      <c r="D273" s="4" t="s">
        <v>305</v>
      </c>
      <c r="E273" s="4" t="s">
        <v>283</v>
      </c>
      <c r="F273" s="4" t="s">
        <v>276</v>
      </c>
      <c r="G273" s="4" t="s">
        <v>199</v>
      </c>
      <c r="H273" s="4" t="s">
        <v>76</v>
      </c>
      <c r="I273" s="3"/>
      <c r="J273" s="3"/>
      <c r="K273" s="3"/>
      <c r="L273" s="3"/>
      <c r="M273" s="3"/>
      <c r="N273" s="3"/>
      <c r="O273" s="3"/>
      <c r="P273" s="8"/>
      <c r="Q273" s="8"/>
      <c r="R273" s="3"/>
      <c r="S273" s="3"/>
      <c r="T273" s="3"/>
      <c r="U273" s="5" t="str">
        <f t="shared" si="13"/>
        <v/>
      </c>
    </row>
    <row r="274" spans="1:21" ht="28" customHeight="1" x14ac:dyDescent="0.35">
      <c r="A274" s="4">
        <v>13</v>
      </c>
      <c r="B274" s="4" t="s">
        <v>306</v>
      </c>
      <c r="C274" s="4" t="s">
        <v>307</v>
      </c>
      <c r="D274" s="4" t="s">
        <v>308</v>
      </c>
      <c r="E274" s="4" t="s">
        <v>69</v>
      </c>
      <c r="F274" s="4" t="s">
        <v>273</v>
      </c>
      <c r="G274" s="4" t="s">
        <v>96</v>
      </c>
      <c r="H274" s="4" t="s">
        <v>59</v>
      </c>
      <c r="I274" s="3"/>
      <c r="J274" s="3"/>
      <c r="K274" s="3"/>
      <c r="L274" s="3"/>
      <c r="M274" s="3"/>
      <c r="N274" s="3"/>
      <c r="O274" s="3"/>
      <c r="P274" s="8"/>
      <c r="Q274" s="8"/>
      <c r="R274" s="3"/>
      <c r="S274" s="3"/>
      <c r="T274" s="3"/>
      <c r="U274" s="5" t="str">
        <f t="shared" si="13"/>
        <v/>
      </c>
    </row>
    <row r="275" spans="1:21" ht="28" customHeight="1" x14ac:dyDescent="0.35">
      <c r="A275" s="4">
        <v>14</v>
      </c>
      <c r="B275" s="4" t="s">
        <v>97</v>
      </c>
      <c r="C275" s="4" t="s">
        <v>98</v>
      </c>
      <c r="D275" s="4" t="s">
        <v>99</v>
      </c>
      <c r="E275" s="4" t="s">
        <v>69</v>
      </c>
      <c r="F275" s="4" t="s">
        <v>95</v>
      </c>
      <c r="G275" s="4" t="s">
        <v>96</v>
      </c>
      <c r="H275" s="4" t="s">
        <v>59</v>
      </c>
      <c r="I275" s="3"/>
      <c r="J275" s="3"/>
      <c r="K275" s="3"/>
      <c r="L275" s="3"/>
      <c r="M275" s="3"/>
      <c r="N275" s="3"/>
      <c r="O275" s="3"/>
      <c r="P275" s="8"/>
      <c r="Q275" s="8"/>
      <c r="R275" s="3"/>
      <c r="S275" s="3"/>
      <c r="T275" s="3"/>
      <c r="U275" s="5" t="str">
        <f t="shared" si="13"/>
        <v/>
      </c>
    </row>
    <row r="276" spans="1:21" ht="28" customHeight="1" x14ac:dyDescent="0.35">
      <c r="A276" s="4">
        <v>15</v>
      </c>
      <c r="B276" s="4" t="s">
        <v>97</v>
      </c>
      <c r="C276" s="4" t="s">
        <v>100</v>
      </c>
      <c r="D276" s="4" t="s">
        <v>101</v>
      </c>
      <c r="E276" s="4" t="s">
        <v>69</v>
      </c>
      <c r="F276" s="4" t="s">
        <v>95</v>
      </c>
      <c r="G276" s="4" t="s">
        <v>102</v>
      </c>
      <c r="H276" s="4" t="s">
        <v>59</v>
      </c>
      <c r="I276" s="3"/>
      <c r="J276" s="3"/>
      <c r="K276" s="3"/>
      <c r="L276" s="3"/>
      <c r="M276" s="3"/>
      <c r="N276" s="3"/>
      <c r="O276" s="3"/>
      <c r="P276" s="8"/>
      <c r="Q276" s="8"/>
      <c r="R276" s="3"/>
      <c r="S276" s="3"/>
      <c r="T276" s="3"/>
      <c r="U276" s="5" t="str">
        <f t="shared" si="13"/>
        <v/>
      </c>
    </row>
    <row r="277" spans="1:21" ht="28" customHeight="1" x14ac:dyDescent="0.35">
      <c r="A277" s="4">
        <v>16</v>
      </c>
      <c r="B277" s="4" t="s">
        <v>103</v>
      </c>
      <c r="C277" s="4" t="s">
        <v>104</v>
      </c>
      <c r="D277" s="4" t="s">
        <v>105</v>
      </c>
      <c r="E277" s="4" t="s">
        <v>69</v>
      </c>
      <c r="F277" s="4" t="s">
        <v>95</v>
      </c>
      <c r="G277" s="4" t="s">
        <v>96</v>
      </c>
      <c r="H277" s="4" t="s">
        <v>85</v>
      </c>
      <c r="I277" s="3"/>
      <c r="J277" s="3"/>
      <c r="K277" s="3"/>
      <c r="L277" s="3"/>
      <c r="M277" s="3"/>
      <c r="N277" s="3"/>
      <c r="O277" s="3"/>
      <c r="P277" s="8"/>
      <c r="Q277" s="8"/>
      <c r="R277" s="3"/>
      <c r="S277" s="3"/>
      <c r="T277" s="3"/>
      <c r="U277" s="5" t="str">
        <f t="shared" si="13"/>
        <v/>
      </c>
    </row>
    <row r="278" spans="1:21" ht="28" customHeight="1" x14ac:dyDescent="0.35">
      <c r="A278" s="4">
        <v>17</v>
      </c>
      <c r="B278" s="4" t="s">
        <v>106</v>
      </c>
      <c r="C278" s="4" t="s">
        <v>107</v>
      </c>
      <c r="D278" s="4" t="s">
        <v>108</v>
      </c>
      <c r="E278" s="4" t="s">
        <v>109</v>
      </c>
      <c r="F278" s="4" t="s">
        <v>95</v>
      </c>
      <c r="G278" s="4" t="s">
        <v>96</v>
      </c>
      <c r="H278" s="4" t="s">
        <v>59</v>
      </c>
      <c r="I278" s="3"/>
      <c r="J278" s="3"/>
      <c r="K278" s="3"/>
      <c r="L278" s="3"/>
      <c r="M278" s="3"/>
      <c r="N278" s="3"/>
      <c r="O278" s="3"/>
      <c r="P278" s="8"/>
      <c r="Q278" s="8"/>
      <c r="R278" s="3"/>
      <c r="S278" s="3"/>
      <c r="T278" s="3"/>
      <c r="U278" s="5" t="str">
        <f t="shared" si="13"/>
        <v/>
      </c>
    </row>
    <row r="280" spans="1:21" ht="28" customHeight="1" x14ac:dyDescent="0.35">
      <c r="A280" s="9" t="s">
        <v>110</v>
      </c>
      <c r="B280" s="16"/>
      <c r="C280" s="17"/>
      <c r="D280" s="17"/>
      <c r="E280" s="17"/>
      <c r="F280" s="17"/>
      <c r="G280" s="17"/>
      <c r="H280" s="17"/>
      <c r="I280" s="17"/>
      <c r="J280" s="17"/>
      <c r="K280" s="17"/>
      <c r="L280" s="17"/>
      <c r="M280" s="17"/>
      <c r="N280" s="17"/>
      <c r="O280" s="17"/>
      <c r="P280" s="17"/>
      <c r="Q280" s="17"/>
      <c r="R280" s="17"/>
      <c r="S280" s="17"/>
      <c r="T280" s="17"/>
      <c r="U280" s="18"/>
    </row>
    <row r="281" spans="1:21" ht="28" customHeight="1" x14ac:dyDescent="0.35">
      <c r="A281" s="19" t="s">
        <v>318</v>
      </c>
      <c r="B281" s="20"/>
      <c r="C281" s="20"/>
      <c r="D281" s="20"/>
      <c r="E281" s="20"/>
      <c r="F281" s="20"/>
      <c r="G281" s="20"/>
      <c r="H281" s="20"/>
      <c r="I281" s="20"/>
      <c r="J281" s="20"/>
      <c r="K281" s="20"/>
      <c r="L281" s="20"/>
      <c r="M281" s="20"/>
      <c r="N281" s="20"/>
      <c r="O281" s="20"/>
      <c r="P281" s="20"/>
      <c r="Q281" s="20"/>
      <c r="R281" s="20"/>
      <c r="S281" s="20"/>
      <c r="T281" s="20"/>
      <c r="U281" s="21"/>
    </row>
    <row r="282" spans="1:21" ht="28" customHeight="1" x14ac:dyDescent="0.35">
      <c r="A282" s="4" t="s">
        <v>31</v>
      </c>
      <c r="B282" s="3" t="s">
        <v>227</v>
      </c>
      <c r="C282" s="4" t="s">
        <v>32</v>
      </c>
      <c r="D282" s="3"/>
      <c r="E282" s="4" t="s">
        <v>33</v>
      </c>
      <c r="F282" s="8"/>
    </row>
    <row r="283" spans="1:21" ht="28" customHeight="1" x14ac:dyDescent="0.35">
      <c r="A283" s="1" t="s">
        <v>34</v>
      </c>
      <c r="B283" s="1" t="s">
        <v>35</v>
      </c>
      <c r="C283" s="1" t="s">
        <v>36</v>
      </c>
      <c r="D283" s="1" t="s">
        <v>37</v>
      </c>
      <c r="E283" s="1" t="s">
        <v>38</v>
      </c>
      <c r="F283" s="1" t="s">
        <v>39</v>
      </c>
      <c r="G283" s="1" t="s">
        <v>40</v>
      </c>
      <c r="H283" s="1" t="s">
        <v>41</v>
      </c>
      <c r="I283" s="1" t="s">
        <v>42</v>
      </c>
      <c r="J283" s="1" t="s">
        <v>43</v>
      </c>
      <c r="K283" s="1" t="s">
        <v>44</v>
      </c>
      <c r="L283" s="1" t="s">
        <v>45</v>
      </c>
      <c r="M283" s="1" t="s">
        <v>46</v>
      </c>
      <c r="N283" s="1" t="s">
        <v>47</v>
      </c>
      <c r="O283" s="1" t="s">
        <v>48</v>
      </c>
      <c r="P283" s="1" t="s">
        <v>4</v>
      </c>
      <c r="Q283" s="1" t="s">
        <v>49</v>
      </c>
      <c r="R283" s="1" t="s">
        <v>50</v>
      </c>
      <c r="S283" s="1" t="s">
        <v>51</v>
      </c>
      <c r="T283" s="1" t="s">
        <v>52</v>
      </c>
      <c r="U283" s="1" t="s">
        <v>10</v>
      </c>
    </row>
    <row r="284" spans="1:21" ht="28" customHeight="1" x14ac:dyDescent="0.35">
      <c r="A284" s="4">
        <v>1</v>
      </c>
      <c r="B284" s="4" t="s">
        <v>270</v>
      </c>
      <c r="C284" s="4" t="s">
        <v>271</v>
      </c>
      <c r="D284" s="4" t="s">
        <v>272</v>
      </c>
      <c r="E284" s="4" t="s">
        <v>109</v>
      </c>
      <c r="F284" s="4" t="s">
        <v>273</v>
      </c>
      <c r="G284" s="4" t="s">
        <v>199</v>
      </c>
      <c r="H284" s="4" t="s">
        <v>59</v>
      </c>
      <c r="I284" s="3"/>
      <c r="J284" s="3"/>
      <c r="K284" s="3"/>
      <c r="L284" s="3"/>
      <c r="M284" s="3"/>
      <c r="N284" s="3"/>
      <c r="O284" s="3"/>
      <c r="P284" s="8"/>
      <c r="Q284" s="8"/>
      <c r="R284" s="3"/>
      <c r="S284" s="3"/>
      <c r="T284" s="3"/>
      <c r="U284" s="5" t="str">
        <f t="shared" ref="U284:U300" si="14">IF(I284="","",IF(I284="NA","Grey",IF(I284=2,"Green",IF(I284=1,"Amber","Red"))))</f>
        <v/>
      </c>
    </row>
    <row r="285" spans="1:21" ht="28" customHeight="1" x14ac:dyDescent="0.35">
      <c r="A285" s="4">
        <v>2</v>
      </c>
      <c r="B285" s="4" t="s">
        <v>270</v>
      </c>
      <c r="C285" s="4" t="s">
        <v>274</v>
      </c>
      <c r="D285" s="4" t="s">
        <v>275</v>
      </c>
      <c r="E285" s="4" t="s">
        <v>69</v>
      </c>
      <c r="F285" s="4" t="s">
        <v>276</v>
      </c>
      <c r="G285" s="4" t="s">
        <v>199</v>
      </c>
      <c r="H285" s="4" t="s">
        <v>76</v>
      </c>
      <c r="I285" s="3"/>
      <c r="J285" s="3"/>
      <c r="K285" s="3"/>
      <c r="L285" s="3"/>
      <c r="M285" s="3"/>
      <c r="N285" s="3"/>
      <c r="O285" s="3"/>
      <c r="P285" s="8"/>
      <c r="Q285" s="8"/>
      <c r="R285" s="3"/>
      <c r="S285" s="3"/>
      <c r="T285" s="3"/>
      <c r="U285" s="5" t="str">
        <f t="shared" si="14"/>
        <v/>
      </c>
    </row>
    <row r="286" spans="1:21" ht="28" customHeight="1" x14ac:dyDescent="0.35">
      <c r="A286" s="4">
        <v>3</v>
      </c>
      <c r="B286" s="4" t="s">
        <v>270</v>
      </c>
      <c r="C286" s="4" t="s">
        <v>277</v>
      </c>
      <c r="D286" s="4" t="s">
        <v>278</v>
      </c>
      <c r="E286" s="4" t="s">
        <v>279</v>
      </c>
      <c r="F286" s="4" t="s">
        <v>280</v>
      </c>
      <c r="G286" s="4" t="s">
        <v>209</v>
      </c>
      <c r="H286" s="4" t="s">
        <v>76</v>
      </c>
      <c r="I286" s="3"/>
      <c r="J286" s="3"/>
      <c r="K286" s="3"/>
      <c r="L286" s="3"/>
      <c r="M286" s="3"/>
      <c r="N286" s="3"/>
      <c r="O286" s="3"/>
      <c r="P286" s="8"/>
      <c r="Q286" s="8"/>
      <c r="R286" s="3"/>
      <c r="S286" s="3"/>
      <c r="T286" s="3"/>
      <c r="U286" s="5" t="str">
        <f t="shared" si="14"/>
        <v/>
      </c>
    </row>
    <row r="287" spans="1:21" ht="28" customHeight="1" x14ac:dyDescent="0.35">
      <c r="A287" s="4">
        <v>4</v>
      </c>
      <c r="B287" s="4" t="s">
        <v>270</v>
      </c>
      <c r="C287" s="4" t="s">
        <v>281</v>
      </c>
      <c r="D287" s="4" t="s">
        <v>282</v>
      </c>
      <c r="E287" s="4" t="s">
        <v>283</v>
      </c>
      <c r="F287" s="4" t="s">
        <v>284</v>
      </c>
      <c r="G287" s="4" t="s">
        <v>204</v>
      </c>
      <c r="H287" s="4" t="s">
        <v>76</v>
      </c>
      <c r="I287" s="3"/>
      <c r="J287" s="3"/>
      <c r="K287" s="3"/>
      <c r="L287" s="3"/>
      <c r="M287" s="3"/>
      <c r="N287" s="3"/>
      <c r="O287" s="3"/>
      <c r="P287" s="8"/>
      <c r="Q287" s="8"/>
      <c r="R287" s="3"/>
      <c r="S287" s="3"/>
      <c r="T287" s="3"/>
      <c r="U287" s="5" t="str">
        <f t="shared" si="14"/>
        <v/>
      </c>
    </row>
    <row r="288" spans="1:21" ht="28" customHeight="1" x14ac:dyDescent="0.35">
      <c r="A288" s="4">
        <v>5</v>
      </c>
      <c r="B288" s="4" t="s">
        <v>285</v>
      </c>
      <c r="C288" s="4" t="s">
        <v>286</v>
      </c>
      <c r="D288" s="4" t="s">
        <v>287</v>
      </c>
      <c r="E288" s="4" t="s">
        <v>69</v>
      </c>
      <c r="F288" s="4" t="s">
        <v>276</v>
      </c>
      <c r="G288" s="4" t="s">
        <v>199</v>
      </c>
      <c r="H288" s="4" t="s">
        <v>76</v>
      </c>
      <c r="I288" s="3"/>
      <c r="J288" s="3"/>
      <c r="K288" s="3"/>
      <c r="L288" s="3"/>
      <c r="M288" s="3"/>
      <c r="N288" s="3"/>
      <c r="O288" s="3"/>
      <c r="P288" s="8"/>
      <c r="Q288" s="8"/>
      <c r="R288" s="3"/>
      <c r="S288" s="3"/>
      <c r="T288" s="3"/>
      <c r="U288" s="5" t="str">
        <f t="shared" si="14"/>
        <v/>
      </c>
    </row>
    <row r="289" spans="1:21" ht="28" customHeight="1" x14ac:dyDescent="0.35">
      <c r="A289" s="4">
        <v>6</v>
      </c>
      <c r="B289" s="4" t="s">
        <v>285</v>
      </c>
      <c r="C289" s="4" t="s">
        <v>288</v>
      </c>
      <c r="D289" s="4" t="s">
        <v>289</v>
      </c>
      <c r="E289" s="4" t="s">
        <v>70</v>
      </c>
      <c r="F289" s="4" t="s">
        <v>276</v>
      </c>
      <c r="G289" s="4" t="s">
        <v>199</v>
      </c>
      <c r="H289" s="4" t="s">
        <v>59</v>
      </c>
      <c r="I289" s="3"/>
      <c r="J289" s="3"/>
      <c r="K289" s="3"/>
      <c r="L289" s="3"/>
      <c r="M289" s="3"/>
      <c r="N289" s="3"/>
      <c r="O289" s="3"/>
      <c r="P289" s="8"/>
      <c r="Q289" s="8"/>
      <c r="R289" s="3"/>
      <c r="S289" s="3"/>
      <c r="T289" s="3"/>
      <c r="U289" s="5" t="str">
        <f t="shared" si="14"/>
        <v/>
      </c>
    </row>
    <row r="290" spans="1:21" ht="28" customHeight="1" x14ac:dyDescent="0.35">
      <c r="A290" s="4">
        <v>7</v>
      </c>
      <c r="B290" s="4" t="s">
        <v>290</v>
      </c>
      <c r="C290" s="4" t="s">
        <v>291</v>
      </c>
      <c r="D290" s="4" t="s">
        <v>292</v>
      </c>
      <c r="E290" s="4" t="s">
        <v>109</v>
      </c>
      <c r="F290" s="4" t="s">
        <v>284</v>
      </c>
      <c r="G290" s="4" t="s">
        <v>204</v>
      </c>
      <c r="H290" s="4" t="s">
        <v>59</v>
      </c>
      <c r="I290" s="3"/>
      <c r="J290" s="3"/>
      <c r="K290" s="3"/>
      <c r="L290" s="3"/>
      <c r="M290" s="3"/>
      <c r="N290" s="3"/>
      <c r="O290" s="3"/>
      <c r="P290" s="8"/>
      <c r="Q290" s="8"/>
      <c r="R290" s="3"/>
      <c r="S290" s="3"/>
      <c r="T290" s="3"/>
      <c r="U290" s="5" t="str">
        <f t="shared" si="14"/>
        <v/>
      </c>
    </row>
    <row r="291" spans="1:21" ht="28" customHeight="1" x14ac:dyDescent="0.35">
      <c r="A291" s="4">
        <v>8</v>
      </c>
      <c r="B291" s="4" t="s">
        <v>290</v>
      </c>
      <c r="C291" s="4" t="s">
        <v>293</v>
      </c>
      <c r="D291" s="4" t="s">
        <v>294</v>
      </c>
      <c r="E291" s="4" t="s">
        <v>70</v>
      </c>
      <c r="F291" s="4" t="s">
        <v>295</v>
      </c>
      <c r="G291" s="4" t="s">
        <v>199</v>
      </c>
      <c r="H291" s="4" t="s">
        <v>76</v>
      </c>
      <c r="I291" s="3"/>
      <c r="J291" s="3"/>
      <c r="K291" s="3"/>
      <c r="L291" s="3"/>
      <c r="M291" s="3"/>
      <c r="N291" s="3"/>
      <c r="O291" s="3"/>
      <c r="P291" s="8"/>
      <c r="Q291" s="8"/>
      <c r="R291" s="3"/>
      <c r="S291" s="3"/>
      <c r="T291" s="3"/>
      <c r="U291" s="5" t="str">
        <f t="shared" si="14"/>
        <v/>
      </c>
    </row>
    <row r="292" spans="1:21" ht="28" customHeight="1" x14ac:dyDescent="0.35">
      <c r="A292" s="4">
        <v>9</v>
      </c>
      <c r="B292" s="4" t="s">
        <v>296</v>
      </c>
      <c r="C292" s="4" t="s">
        <v>297</v>
      </c>
      <c r="D292" s="4" t="s">
        <v>70</v>
      </c>
      <c r="E292" s="4" t="s">
        <v>70</v>
      </c>
      <c r="F292" s="4" t="s">
        <v>295</v>
      </c>
      <c r="G292" s="4" t="s">
        <v>199</v>
      </c>
      <c r="H292" s="4" t="s">
        <v>76</v>
      </c>
      <c r="I292" s="3"/>
      <c r="J292" s="3"/>
      <c r="K292" s="3"/>
      <c r="L292" s="3"/>
      <c r="M292" s="3"/>
      <c r="N292" s="3"/>
      <c r="O292" s="3"/>
      <c r="P292" s="8"/>
      <c r="Q292" s="8"/>
      <c r="R292" s="3"/>
      <c r="S292" s="3"/>
      <c r="T292" s="3"/>
      <c r="U292" s="5" t="str">
        <f t="shared" si="14"/>
        <v/>
      </c>
    </row>
    <row r="293" spans="1:21" ht="28" customHeight="1" x14ac:dyDescent="0.35">
      <c r="A293" s="4">
        <v>10</v>
      </c>
      <c r="B293" s="4" t="s">
        <v>296</v>
      </c>
      <c r="C293" s="4" t="s">
        <v>298</v>
      </c>
      <c r="D293" s="4" t="s">
        <v>299</v>
      </c>
      <c r="E293" s="4" t="s">
        <v>283</v>
      </c>
      <c r="F293" s="4" t="s">
        <v>284</v>
      </c>
      <c r="G293" s="4" t="s">
        <v>204</v>
      </c>
      <c r="H293" s="4" t="s">
        <v>59</v>
      </c>
      <c r="I293" s="3"/>
      <c r="J293" s="3"/>
      <c r="K293" s="3"/>
      <c r="L293" s="3"/>
      <c r="M293" s="3"/>
      <c r="N293" s="3"/>
      <c r="O293" s="3"/>
      <c r="P293" s="8"/>
      <c r="Q293" s="8"/>
      <c r="R293" s="3"/>
      <c r="S293" s="3"/>
      <c r="T293" s="3"/>
      <c r="U293" s="5" t="str">
        <f t="shared" si="14"/>
        <v/>
      </c>
    </row>
    <row r="294" spans="1:21" ht="28" customHeight="1" x14ac:dyDescent="0.35">
      <c r="A294" s="4">
        <v>11</v>
      </c>
      <c r="B294" s="4" t="s">
        <v>300</v>
      </c>
      <c r="C294" s="4" t="s">
        <v>301</v>
      </c>
      <c r="D294" s="4" t="s">
        <v>302</v>
      </c>
      <c r="E294" s="4" t="s">
        <v>56</v>
      </c>
      <c r="F294" s="4" t="s">
        <v>276</v>
      </c>
      <c r="G294" s="4" t="s">
        <v>199</v>
      </c>
      <c r="H294" s="4" t="s">
        <v>76</v>
      </c>
      <c r="I294" s="3"/>
      <c r="J294" s="3"/>
      <c r="K294" s="3"/>
      <c r="L294" s="3"/>
      <c r="M294" s="3"/>
      <c r="N294" s="3"/>
      <c r="O294" s="3"/>
      <c r="P294" s="8"/>
      <c r="Q294" s="8"/>
      <c r="R294" s="3"/>
      <c r="S294" s="3"/>
      <c r="T294" s="3"/>
      <c r="U294" s="5" t="str">
        <f t="shared" si="14"/>
        <v/>
      </c>
    </row>
    <row r="295" spans="1:21" ht="28" customHeight="1" x14ac:dyDescent="0.35">
      <c r="A295" s="4">
        <v>12</v>
      </c>
      <c r="B295" s="4" t="s">
        <v>303</v>
      </c>
      <c r="C295" s="4" t="s">
        <v>304</v>
      </c>
      <c r="D295" s="4" t="s">
        <v>305</v>
      </c>
      <c r="E295" s="4" t="s">
        <v>283</v>
      </c>
      <c r="F295" s="4" t="s">
        <v>276</v>
      </c>
      <c r="G295" s="4" t="s">
        <v>199</v>
      </c>
      <c r="H295" s="4" t="s">
        <v>76</v>
      </c>
      <c r="I295" s="3"/>
      <c r="J295" s="3"/>
      <c r="K295" s="3"/>
      <c r="L295" s="3"/>
      <c r="M295" s="3"/>
      <c r="N295" s="3"/>
      <c r="O295" s="3"/>
      <c r="P295" s="8"/>
      <c r="Q295" s="8"/>
      <c r="R295" s="3"/>
      <c r="S295" s="3"/>
      <c r="T295" s="3"/>
      <c r="U295" s="5" t="str">
        <f t="shared" si="14"/>
        <v/>
      </c>
    </row>
    <row r="296" spans="1:21" ht="28" customHeight="1" x14ac:dyDescent="0.35">
      <c r="A296" s="4">
        <v>13</v>
      </c>
      <c r="B296" s="4" t="s">
        <v>306</v>
      </c>
      <c r="C296" s="4" t="s">
        <v>307</v>
      </c>
      <c r="D296" s="4" t="s">
        <v>308</v>
      </c>
      <c r="E296" s="4" t="s">
        <v>69</v>
      </c>
      <c r="F296" s="4" t="s">
        <v>273</v>
      </c>
      <c r="G296" s="4" t="s">
        <v>96</v>
      </c>
      <c r="H296" s="4" t="s">
        <v>59</v>
      </c>
      <c r="I296" s="3"/>
      <c r="J296" s="3"/>
      <c r="K296" s="3"/>
      <c r="L296" s="3"/>
      <c r="M296" s="3"/>
      <c r="N296" s="3"/>
      <c r="O296" s="3"/>
      <c r="P296" s="8"/>
      <c r="Q296" s="8"/>
      <c r="R296" s="3"/>
      <c r="S296" s="3"/>
      <c r="T296" s="3"/>
      <c r="U296" s="5" t="str">
        <f t="shared" si="14"/>
        <v/>
      </c>
    </row>
    <row r="297" spans="1:21" ht="28" customHeight="1" x14ac:dyDescent="0.35">
      <c r="A297" s="4">
        <v>14</v>
      </c>
      <c r="B297" s="4" t="s">
        <v>97</v>
      </c>
      <c r="C297" s="4" t="s">
        <v>98</v>
      </c>
      <c r="D297" s="4" t="s">
        <v>99</v>
      </c>
      <c r="E297" s="4" t="s">
        <v>69</v>
      </c>
      <c r="F297" s="4" t="s">
        <v>95</v>
      </c>
      <c r="G297" s="4" t="s">
        <v>96</v>
      </c>
      <c r="H297" s="4" t="s">
        <v>59</v>
      </c>
      <c r="I297" s="3"/>
      <c r="J297" s="3"/>
      <c r="K297" s="3"/>
      <c r="L297" s="3"/>
      <c r="M297" s="3"/>
      <c r="N297" s="3"/>
      <c r="O297" s="3"/>
      <c r="P297" s="8"/>
      <c r="Q297" s="8"/>
      <c r="R297" s="3"/>
      <c r="S297" s="3"/>
      <c r="T297" s="3"/>
      <c r="U297" s="5" t="str">
        <f t="shared" si="14"/>
        <v/>
      </c>
    </row>
    <row r="298" spans="1:21" ht="28" customHeight="1" x14ac:dyDescent="0.35">
      <c r="A298" s="4">
        <v>15</v>
      </c>
      <c r="B298" s="4" t="s">
        <v>97</v>
      </c>
      <c r="C298" s="4" t="s">
        <v>100</v>
      </c>
      <c r="D298" s="4" t="s">
        <v>101</v>
      </c>
      <c r="E298" s="4" t="s">
        <v>69</v>
      </c>
      <c r="F298" s="4" t="s">
        <v>95</v>
      </c>
      <c r="G298" s="4" t="s">
        <v>102</v>
      </c>
      <c r="H298" s="4" t="s">
        <v>59</v>
      </c>
      <c r="I298" s="3"/>
      <c r="J298" s="3"/>
      <c r="K298" s="3"/>
      <c r="L298" s="3"/>
      <c r="M298" s="3"/>
      <c r="N298" s="3"/>
      <c r="O298" s="3"/>
      <c r="P298" s="8"/>
      <c r="Q298" s="8"/>
      <c r="R298" s="3"/>
      <c r="S298" s="3"/>
      <c r="T298" s="3"/>
      <c r="U298" s="5" t="str">
        <f t="shared" si="14"/>
        <v/>
      </c>
    </row>
    <row r="299" spans="1:21" ht="28" customHeight="1" x14ac:dyDescent="0.35">
      <c r="A299" s="4">
        <v>16</v>
      </c>
      <c r="B299" s="4" t="s">
        <v>103</v>
      </c>
      <c r="C299" s="4" t="s">
        <v>104</v>
      </c>
      <c r="D299" s="4" t="s">
        <v>105</v>
      </c>
      <c r="E299" s="4" t="s">
        <v>69</v>
      </c>
      <c r="F299" s="4" t="s">
        <v>95</v>
      </c>
      <c r="G299" s="4" t="s">
        <v>96</v>
      </c>
      <c r="H299" s="4" t="s">
        <v>85</v>
      </c>
      <c r="I299" s="3"/>
      <c r="J299" s="3"/>
      <c r="K299" s="3"/>
      <c r="L299" s="3"/>
      <c r="M299" s="3"/>
      <c r="N299" s="3"/>
      <c r="O299" s="3"/>
      <c r="P299" s="8"/>
      <c r="Q299" s="8"/>
      <c r="R299" s="3"/>
      <c r="S299" s="3"/>
      <c r="T299" s="3"/>
      <c r="U299" s="5" t="str">
        <f t="shared" si="14"/>
        <v/>
      </c>
    </row>
    <row r="300" spans="1:21" ht="28" customHeight="1" x14ac:dyDescent="0.35">
      <c r="A300" s="4">
        <v>17</v>
      </c>
      <c r="B300" s="4" t="s">
        <v>106</v>
      </c>
      <c r="C300" s="4" t="s">
        <v>107</v>
      </c>
      <c r="D300" s="4" t="s">
        <v>108</v>
      </c>
      <c r="E300" s="4" t="s">
        <v>109</v>
      </c>
      <c r="F300" s="4" t="s">
        <v>95</v>
      </c>
      <c r="G300" s="4" t="s">
        <v>96</v>
      </c>
      <c r="H300" s="4" t="s">
        <v>59</v>
      </c>
      <c r="I300" s="3"/>
      <c r="J300" s="3"/>
      <c r="K300" s="3"/>
      <c r="L300" s="3"/>
      <c r="M300" s="3"/>
      <c r="N300" s="3"/>
      <c r="O300" s="3"/>
      <c r="P300" s="8"/>
      <c r="Q300" s="8"/>
      <c r="R300" s="3"/>
      <c r="S300" s="3"/>
      <c r="T300" s="3"/>
      <c r="U300" s="5" t="str">
        <f t="shared" si="14"/>
        <v/>
      </c>
    </row>
    <row r="302" spans="1:21" ht="28" customHeight="1" x14ac:dyDescent="0.35">
      <c r="A302" s="9" t="s">
        <v>110</v>
      </c>
      <c r="B302" s="16"/>
      <c r="C302" s="17"/>
      <c r="D302" s="17"/>
      <c r="E302" s="17"/>
      <c r="F302" s="17"/>
      <c r="G302" s="17"/>
      <c r="H302" s="17"/>
      <c r="I302" s="17"/>
      <c r="J302" s="17"/>
      <c r="K302" s="17"/>
      <c r="L302" s="17"/>
      <c r="M302" s="17"/>
      <c r="N302" s="17"/>
      <c r="O302" s="17"/>
      <c r="P302" s="17"/>
      <c r="Q302" s="17"/>
      <c r="R302" s="17"/>
      <c r="S302" s="17"/>
      <c r="T302" s="17"/>
      <c r="U302" s="18"/>
    </row>
    <row r="303" spans="1:21" ht="28" customHeight="1" x14ac:dyDescent="0.35">
      <c r="A303" s="19" t="s">
        <v>319</v>
      </c>
      <c r="B303" s="20"/>
      <c r="C303" s="20"/>
      <c r="D303" s="20"/>
      <c r="E303" s="20"/>
      <c r="F303" s="20"/>
      <c r="G303" s="20"/>
      <c r="H303" s="20"/>
      <c r="I303" s="20"/>
      <c r="J303" s="20"/>
      <c r="K303" s="20"/>
      <c r="L303" s="20"/>
      <c r="M303" s="20"/>
      <c r="N303" s="20"/>
      <c r="O303" s="20"/>
      <c r="P303" s="20"/>
      <c r="Q303" s="20"/>
      <c r="R303" s="20"/>
      <c r="S303" s="20"/>
      <c r="T303" s="20"/>
      <c r="U303" s="21"/>
    </row>
    <row r="304" spans="1:21" ht="28" customHeight="1" x14ac:dyDescent="0.35">
      <c r="A304" s="4" t="s">
        <v>31</v>
      </c>
      <c r="B304" s="3" t="s">
        <v>228</v>
      </c>
      <c r="C304" s="4" t="s">
        <v>32</v>
      </c>
      <c r="D304" s="3"/>
      <c r="E304" s="4" t="s">
        <v>33</v>
      </c>
      <c r="F304" s="8"/>
    </row>
    <row r="305" spans="1:21" ht="28" customHeight="1" x14ac:dyDescent="0.35">
      <c r="A305" s="1" t="s">
        <v>34</v>
      </c>
      <c r="B305" s="1" t="s">
        <v>35</v>
      </c>
      <c r="C305" s="1" t="s">
        <v>36</v>
      </c>
      <c r="D305" s="1" t="s">
        <v>37</v>
      </c>
      <c r="E305" s="1" t="s">
        <v>38</v>
      </c>
      <c r="F305" s="1" t="s">
        <v>39</v>
      </c>
      <c r="G305" s="1" t="s">
        <v>40</v>
      </c>
      <c r="H305" s="1" t="s">
        <v>41</v>
      </c>
      <c r="I305" s="1" t="s">
        <v>42</v>
      </c>
      <c r="J305" s="1" t="s">
        <v>43</v>
      </c>
      <c r="K305" s="1" t="s">
        <v>44</v>
      </c>
      <c r="L305" s="1" t="s">
        <v>45</v>
      </c>
      <c r="M305" s="1" t="s">
        <v>46</v>
      </c>
      <c r="N305" s="1" t="s">
        <v>47</v>
      </c>
      <c r="O305" s="1" t="s">
        <v>48</v>
      </c>
      <c r="P305" s="1" t="s">
        <v>4</v>
      </c>
      <c r="Q305" s="1" t="s">
        <v>49</v>
      </c>
      <c r="R305" s="1" t="s">
        <v>50</v>
      </c>
      <c r="S305" s="1" t="s">
        <v>51</v>
      </c>
      <c r="T305" s="1" t="s">
        <v>52</v>
      </c>
      <c r="U305" s="1" t="s">
        <v>10</v>
      </c>
    </row>
    <row r="306" spans="1:21" ht="28" customHeight="1" x14ac:dyDescent="0.35">
      <c r="A306" s="4">
        <v>1</v>
      </c>
      <c r="B306" s="4" t="s">
        <v>270</v>
      </c>
      <c r="C306" s="4" t="s">
        <v>271</v>
      </c>
      <c r="D306" s="4" t="s">
        <v>272</v>
      </c>
      <c r="E306" s="4" t="s">
        <v>109</v>
      </c>
      <c r="F306" s="4" t="s">
        <v>273</v>
      </c>
      <c r="G306" s="4" t="s">
        <v>199</v>
      </c>
      <c r="H306" s="4" t="s">
        <v>59</v>
      </c>
      <c r="I306" s="3"/>
      <c r="J306" s="3"/>
      <c r="K306" s="3"/>
      <c r="L306" s="3"/>
      <c r="M306" s="3"/>
      <c r="N306" s="3"/>
      <c r="O306" s="3"/>
      <c r="P306" s="8"/>
      <c r="Q306" s="8"/>
      <c r="R306" s="3"/>
      <c r="S306" s="3"/>
      <c r="T306" s="3"/>
      <c r="U306" s="5" t="str">
        <f t="shared" ref="U306:U322" si="15">IF(I306="","",IF(I306="NA","Grey",IF(I306=2,"Green",IF(I306=1,"Amber","Red"))))</f>
        <v/>
      </c>
    </row>
    <row r="307" spans="1:21" ht="28" customHeight="1" x14ac:dyDescent="0.35">
      <c r="A307" s="4">
        <v>2</v>
      </c>
      <c r="B307" s="4" t="s">
        <v>270</v>
      </c>
      <c r="C307" s="4" t="s">
        <v>274</v>
      </c>
      <c r="D307" s="4" t="s">
        <v>275</v>
      </c>
      <c r="E307" s="4" t="s">
        <v>69</v>
      </c>
      <c r="F307" s="4" t="s">
        <v>276</v>
      </c>
      <c r="G307" s="4" t="s">
        <v>199</v>
      </c>
      <c r="H307" s="4" t="s">
        <v>76</v>
      </c>
      <c r="I307" s="3"/>
      <c r="J307" s="3"/>
      <c r="K307" s="3"/>
      <c r="L307" s="3"/>
      <c r="M307" s="3"/>
      <c r="N307" s="3"/>
      <c r="O307" s="3"/>
      <c r="P307" s="8"/>
      <c r="Q307" s="8"/>
      <c r="R307" s="3"/>
      <c r="S307" s="3"/>
      <c r="T307" s="3"/>
      <c r="U307" s="5" t="str">
        <f t="shared" si="15"/>
        <v/>
      </c>
    </row>
    <row r="308" spans="1:21" ht="28" customHeight="1" x14ac:dyDescent="0.35">
      <c r="A308" s="4">
        <v>3</v>
      </c>
      <c r="B308" s="4" t="s">
        <v>270</v>
      </c>
      <c r="C308" s="4" t="s">
        <v>277</v>
      </c>
      <c r="D308" s="4" t="s">
        <v>278</v>
      </c>
      <c r="E308" s="4" t="s">
        <v>279</v>
      </c>
      <c r="F308" s="4" t="s">
        <v>280</v>
      </c>
      <c r="G308" s="4" t="s">
        <v>209</v>
      </c>
      <c r="H308" s="4" t="s">
        <v>76</v>
      </c>
      <c r="I308" s="3"/>
      <c r="J308" s="3"/>
      <c r="K308" s="3"/>
      <c r="L308" s="3"/>
      <c r="M308" s="3"/>
      <c r="N308" s="3"/>
      <c r="O308" s="3"/>
      <c r="P308" s="8"/>
      <c r="Q308" s="8"/>
      <c r="R308" s="3"/>
      <c r="S308" s="3"/>
      <c r="T308" s="3"/>
      <c r="U308" s="5" t="str">
        <f t="shared" si="15"/>
        <v/>
      </c>
    </row>
    <row r="309" spans="1:21" ht="28" customHeight="1" x14ac:dyDescent="0.35">
      <c r="A309" s="4">
        <v>4</v>
      </c>
      <c r="B309" s="4" t="s">
        <v>270</v>
      </c>
      <c r="C309" s="4" t="s">
        <v>281</v>
      </c>
      <c r="D309" s="4" t="s">
        <v>282</v>
      </c>
      <c r="E309" s="4" t="s">
        <v>283</v>
      </c>
      <c r="F309" s="4" t="s">
        <v>284</v>
      </c>
      <c r="G309" s="4" t="s">
        <v>204</v>
      </c>
      <c r="H309" s="4" t="s">
        <v>76</v>
      </c>
      <c r="I309" s="3"/>
      <c r="J309" s="3"/>
      <c r="K309" s="3"/>
      <c r="L309" s="3"/>
      <c r="M309" s="3"/>
      <c r="N309" s="3"/>
      <c r="O309" s="3"/>
      <c r="P309" s="8"/>
      <c r="Q309" s="8"/>
      <c r="R309" s="3"/>
      <c r="S309" s="3"/>
      <c r="T309" s="3"/>
      <c r="U309" s="5" t="str">
        <f t="shared" si="15"/>
        <v/>
      </c>
    </row>
    <row r="310" spans="1:21" ht="28" customHeight="1" x14ac:dyDescent="0.35">
      <c r="A310" s="4">
        <v>5</v>
      </c>
      <c r="B310" s="4" t="s">
        <v>285</v>
      </c>
      <c r="C310" s="4" t="s">
        <v>286</v>
      </c>
      <c r="D310" s="4" t="s">
        <v>287</v>
      </c>
      <c r="E310" s="4" t="s">
        <v>69</v>
      </c>
      <c r="F310" s="4" t="s">
        <v>276</v>
      </c>
      <c r="G310" s="4" t="s">
        <v>199</v>
      </c>
      <c r="H310" s="4" t="s">
        <v>76</v>
      </c>
      <c r="I310" s="3"/>
      <c r="J310" s="3"/>
      <c r="K310" s="3"/>
      <c r="L310" s="3"/>
      <c r="M310" s="3"/>
      <c r="N310" s="3"/>
      <c r="O310" s="3"/>
      <c r="P310" s="8"/>
      <c r="Q310" s="8"/>
      <c r="R310" s="3"/>
      <c r="S310" s="3"/>
      <c r="T310" s="3"/>
      <c r="U310" s="5" t="str">
        <f t="shared" si="15"/>
        <v/>
      </c>
    </row>
    <row r="311" spans="1:21" ht="28" customHeight="1" x14ac:dyDescent="0.35">
      <c r="A311" s="4">
        <v>6</v>
      </c>
      <c r="B311" s="4" t="s">
        <v>285</v>
      </c>
      <c r="C311" s="4" t="s">
        <v>288</v>
      </c>
      <c r="D311" s="4" t="s">
        <v>289</v>
      </c>
      <c r="E311" s="4" t="s">
        <v>70</v>
      </c>
      <c r="F311" s="4" t="s">
        <v>276</v>
      </c>
      <c r="G311" s="4" t="s">
        <v>199</v>
      </c>
      <c r="H311" s="4" t="s">
        <v>59</v>
      </c>
      <c r="I311" s="3"/>
      <c r="J311" s="3"/>
      <c r="K311" s="3"/>
      <c r="L311" s="3"/>
      <c r="M311" s="3"/>
      <c r="N311" s="3"/>
      <c r="O311" s="3"/>
      <c r="P311" s="8"/>
      <c r="Q311" s="8"/>
      <c r="R311" s="3"/>
      <c r="S311" s="3"/>
      <c r="T311" s="3"/>
      <c r="U311" s="5" t="str">
        <f t="shared" si="15"/>
        <v/>
      </c>
    </row>
    <row r="312" spans="1:21" ht="28" customHeight="1" x14ac:dyDescent="0.35">
      <c r="A312" s="4">
        <v>7</v>
      </c>
      <c r="B312" s="4" t="s">
        <v>290</v>
      </c>
      <c r="C312" s="4" t="s">
        <v>291</v>
      </c>
      <c r="D312" s="4" t="s">
        <v>292</v>
      </c>
      <c r="E312" s="4" t="s">
        <v>109</v>
      </c>
      <c r="F312" s="4" t="s">
        <v>284</v>
      </c>
      <c r="G312" s="4" t="s">
        <v>204</v>
      </c>
      <c r="H312" s="4" t="s">
        <v>59</v>
      </c>
      <c r="I312" s="3"/>
      <c r="J312" s="3"/>
      <c r="K312" s="3"/>
      <c r="L312" s="3"/>
      <c r="M312" s="3"/>
      <c r="N312" s="3"/>
      <c r="O312" s="3"/>
      <c r="P312" s="8"/>
      <c r="Q312" s="8"/>
      <c r="R312" s="3"/>
      <c r="S312" s="3"/>
      <c r="T312" s="3"/>
      <c r="U312" s="5" t="str">
        <f t="shared" si="15"/>
        <v/>
      </c>
    </row>
    <row r="313" spans="1:21" ht="28" customHeight="1" x14ac:dyDescent="0.35">
      <c r="A313" s="4">
        <v>8</v>
      </c>
      <c r="B313" s="4" t="s">
        <v>290</v>
      </c>
      <c r="C313" s="4" t="s">
        <v>293</v>
      </c>
      <c r="D313" s="4" t="s">
        <v>294</v>
      </c>
      <c r="E313" s="4" t="s">
        <v>70</v>
      </c>
      <c r="F313" s="4" t="s">
        <v>295</v>
      </c>
      <c r="G313" s="4" t="s">
        <v>199</v>
      </c>
      <c r="H313" s="4" t="s">
        <v>76</v>
      </c>
      <c r="I313" s="3"/>
      <c r="J313" s="3"/>
      <c r="K313" s="3"/>
      <c r="L313" s="3"/>
      <c r="M313" s="3"/>
      <c r="N313" s="3"/>
      <c r="O313" s="3"/>
      <c r="P313" s="8"/>
      <c r="Q313" s="8"/>
      <c r="R313" s="3"/>
      <c r="S313" s="3"/>
      <c r="T313" s="3"/>
      <c r="U313" s="5" t="str">
        <f t="shared" si="15"/>
        <v/>
      </c>
    </row>
    <row r="314" spans="1:21" ht="28" customHeight="1" x14ac:dyDescent="0.35">
      <c r="A314" s="4">
        <v>9</v>
      </c>
      <c r="B314" s="4" t="s">
        <v>296</v>
      </c>
      <c r="C314" s="4" t="s">
        <v>297</v>
      </c>
      <c r="D314" s="4" t="s">
        <v>70</v>
      </c>
      <c r="E314" s="4" t="s">
        <v>70</v>
      </c>
      <c r="F314" s="4" t="s">
        <v>295</v>
      </c>
      <c r="G314" s="4" t="s">
        <v>199</v>
      </c>
      <c r="H314" s="4" t="s">
        <v>76</v>
      </c>
      <c r="I314" s="3"/>
      <c r="J314" s="3"/>
      <c r="K314" s="3"/>
      <c r="L314" s="3"/>
      <c r="M314" s="3"/>
      <c r="N314" s="3"/>
      <c r="O314" s="3"/>
      <c r="P314" s="8"/>
      <c r="Q314" s="8"/>
      <c r="R314" s="3"/>
      <c r="S314" s="3"/>
      <c r="T314" s="3"/>
      <c r="U314" s="5" t="str">
        <f t="shared" si="15"/>
        <v/>
      </c>
    </row>
    <row r="315" spans="1:21" ht="28" customHeight="1" x14ac:dyDescent="0.35">
      <c r="A315" s="4">
        <v>10</v>
      </c>
      <c r="B315" s="4" t="s">
        <v>296</v>
      </c>
      <c r="C315" s="4" t="s">
        <v>298</v>
      </c>
      <c r="D315" s="4" t="s">
        <v>299</v>
      </c>
      <c r="E315" s="4" t="s">
        <v>283</v>
      </c>
      <c r="F315" s="4" t="s">
        <v>284</v>
      </c>
      <c r="G315" s="4" t="s">
        <v>204</v>
      </c>
      <c r="H315" s="4" t="s">
        <v>59</v>
      </c>
      <c r="I315" s="3"/>
      <c r="J315" s="3"/>
      <c r="K315" s="3"/>
      <c r="L315" s="3"/>
      <c r="M315" s="3"/>
      <c r="N315" s="3"/>
      <c r="O315" s="3"/>
      <c r="P315" s="8"/>
      <c r="Q315" s="8"/>
      <c r="R315" s="3"/>
      <c r="S315" s="3"/>
      <c r="T315" s="3"/>
      <c r="U315" s="5" t="str">
        <f t="shared" si="15"/>
        <v/>
      </c>
    </row>
    <row r="316" spans="1:21" ht="28" customHeight="1" x14ac:dyDescent="0.35">
      <c r="A316" s="4">
        <v>11</v>
      </c>
      <c r="B316" s="4" t="s">
        <v>300</v>
      </c>
      <c r="C316" s="4" t="s">
        <v>301</v>
      </c>
      <c r="D316" s="4" t="s">
        <v>302</v>
      </c>
      <c r="E316" s="4" t="s">
        <v>56</v>
      </c>
      <c r="F316" s="4" t="s">
        <v>276</v>
      </c>
      <c r="G316" s="4" t="s">
        <v>199</v>
      </c>
      <c r="H316" s="4" t="s">
        <v>76</v>
      </c>
      <c r="I316" s="3"/>
      <c r="J316" s="3"/>
      <c r="K316" s="3"/>
      <c r="L316" s="3"/>
      <c r="M316" s="3"/>
      <c r="N316" s="3"/>
      <c r="O316" s="3"/>
      <c r="P316" s="8"/>
      <c r="Q316" s="8"/>
      <c r="R316" s="3"/>
      <c r="S316" s="3"/>
      <c r="T316" s="3"/>
      <c r="U316" s="5" t="str">
        <f t="shared" si="15"/>
        <v/>
      </c>
    </row>
    <row r="317" spans="1:21" ht="28" customHeight="1" x14ac:dyDescent="0.35">
      <c r="A317" s="4">
        <v>12</v>
      </c>
      <c r="B317" s="4" t="s">
        <v>303</v>
      </c>
      <c r="C317" s="4" t="s">
        <v>304</v>
      </c>
      <c r="D317" s="4" t="s">
        <v>305</v>
      </c>
      <c r="E317" s="4" t="s">
        <v>283</v>
      </c>
      <c r="F317" s="4" t="s">
        <v>276</v>
      </c>
      <c r="G317" s="4" t="s">
        <v>199</v>
      </c>
      <c r="H317" s="4" t="s">
        <v>76</v>
      </c>
      <c r="I317" s="3"/>
      <c r="J317" s="3"/>
      <c r="K317" s="3"/>
      <c r="L317" s="3"/>
      <c r="M317" s="3"/>
      <c r="N317" s="3"/>
      <c r="O317" s="3"/>
      <c r="P317" s="8"/>
      <c r="Q317" s="8"/>
      <c r="R317" s="3"/>
      <c r="S317" s="3"/>
      <c r="T317" s="3"/>
      <c r="U317" s="5" t="str">
        <f t="shared" si="15"/>
        <v/>
      </c>
    </row>
    <row r="318" spans="1:21" ht="28" customHeight="1" x14ac:dyDescent="0.35">
      <c r="A318" s="4">
        <v>13</v>
      </c>
      <c r="B318" s="4" t="s">
        <v>306</v>
      </c>
      <c r="C318" s="4" t="s">
        <v>307</v>
      </c>
      <c r="D318" s="4" t="s">
        <v>308</v>
      </c>
      <c r="E318" s="4" t="s">
        <v>69</v>
      </c>
      <c r="F318" s="4" t="s">
        <v>273</v>
      </c>
      <c r="G318" s="4" t="s">
        <v>96</v>
      </c>
      <c r="H318" s="4" t="s">
        <v>59</v>
      </c>
      <c r="I318" s="3"/>
      <c r="J318" s="3"/>
      <c r="K318" s="3"/>
      <c r="L318" s="3"/>
      <c r="M318" s="3"/>
      <c r="N318" s="3"/>
      <c r="O318" s="3"/>
      <c r="P318" s="8"/>
      <c r="Q318" s="8"/>
      <c r="R318" s="3"/>
      <c r="S318" s="3"/>
      <c r="T318" s="3"/>
      <c r="U318" s="5" t="str">
        <f t="shared" si="15"/>
        <v/>
      </c>
    </row>
    <row r="319" spans="1:21" ht="28" customHeight="1" x14ac:dyDescent="0.35">
      <c r="A319" s="4">
        <v>14</v>
      </c>
      <c r="B319" s="4" t="s">
        <v>97</v>
      </c>
      <c r="C319" s="4" t="s">
        <v>98</v>
      </c>
      <c r="D319" s="4" t="s">
        <v>99</v>
      </c>
      <c r="E319" s="4" t="s">
        <v>69</v>
      </c>
      <c r="F319" s="4" t="s">
        <v>95</v>
      </c>
      <c r="G319" s="4" t="s">
        <v>96</v>
      </c>
      <c r="H319" s="4" t="s">
        <v>59</v>
      </c>
      <c r="I319" s="3"/>
      <c r="J319" s="3"/>
      <c r="K319" s="3"/>
      <c r="L319" s="3"/>
      <c r="M319" s="3"/>
      <c r="N319" s="3"/>
      <c r="O319" s="3"/>
      <c r="P319" s="8"/>
      <c r="Q319" s="8"/>
      <c r="R319" s="3"/>
      <c r="S319" s="3"/>
      <c r="T319" s="3"/>
      <c r="U319" s="5" t="str">
        <f t="shared" si="15"/>
        <v/>
      </c>
    </row>
    <row r="320" spans="1:21" ht="28" customHeight="1" x14ac:dyDescent="0.35">
      <c r="A320" s="4">
        <v>15</v>
      </c>
      <c r="B320" s="4" t="s">
        <v>97</v>
      </c>
      <c r="C320" s="4" t="s">
        <v>100</v>
      </c>
      <c r="D320" s="4" t="s">
        <v>101</v>
      </c>
      <c r="E320" s="4" t="s">
        <v>69</v>
      </c>
      <c r="F320" s="4" t="s">
        <v>95</v>
      </c>
      <c r="G320" s="4" t="s">
        <v>102</v>
      </c>
      <c r="H320" s="4" t="s">
        <v>59</v>
      </c>
      <c r="I320" s="3"/>
      <c r="J320" s="3"/>
      <c r="K320" s="3"/>
      <c r="L320" s="3"/>
      <c r="M320" s="3"/>
      <c r="N320" s="3"/>
      <c r="O320" s="3"/>
      <c r="P320" s="8"/>
      <c r="Q320" s="8"/>
      <c r="R320" s="3"/>
      <c r="S320" s="3"/>
      <c r="T320" s="3"/>
      <c r="U320" s="5" t="str">
        <f t="shared" si="15"/>
        <v/>
      </c>
    </row>
    <row r="321" spans="1:21" ht="28" customHeight="1" x14ac:dyDescent="0.35">
      <c r="A321" s="4">
        <v>16</v>
      </c>
      <c r="B321" s="4" t="s">
        <v>103</v>
      </c>
      <c r="C321" s="4" t="s">
        <v>104</v>
      </c>
      <c r="D321" s="4" t="s">
        <v>105</v>
      </c>
      <c r="E321" s="4" t="s">
        <v>69</v>
      </c>
      <c r="F321" s="4" t="s">
        <v>95</v>
      </c>
      <c r="G321" s="4" t="s">
        <v>96</v>
      </c>
      <c r="H321" s="4" t="s">
        <v>85</v>
      </c>
      <c r="I321" s="3"/>
      <c r="J321" s="3"/>
      <c r="K321" s="3"/>
      <c r="L321" s="3"/>
      <c r="M321" s="3"/>
      <c r="N321" s="3"/>
      <c r="O321" s="3"/>
      <c r="P321" s="8"/>
      <c r="Q321" s="8"/>
      <c r="R321" s="3"/>
      <c r="S321" s="3"/>
      <c r="T321" s="3"/>
      <c r="U321" s="5" t="str">
        <f t="shared" si="15"/>
        <v/>
      </c>
    </row>
    <row r="322" spans="1:21" ht="28" customHeight="1" x14ac:dyDescent="0.35">
      <c r="A322" s="4">
        <v>17</v>
      </c>
      <c r="B322" s="4" t="s">
        <v>106</v>
      </c>
      <c r="C322" s="4" t="s">
        <v>107</v>
      </c>
      <c r="D322" s="4" t="s">
        <v>108</v>
      </c>
      <c r="E322" s="4" t="s">
        <v>109</v>
      </c>
      <c r="F322" s="4" t="s">
        <v>95</v>
      </c>
      <c r="G322" s="4" t="s">
        <v>96</v>
      </c>
      <c r="H322" s="4" t="s">
        <v>59</v>
      </c>
      <c r="I322" s="3"/>
      <c r="J322" s="3"/>
      <c r="K322" s="3"/>
      <c r="L322" s="3"/>
      <c r="M322" s="3"/>
      <c r="N322" s="3"/>
      <c r="O322" s="3"/>
      <c r="P322" s="8"/>
      <c r="Q322" s="8"/>
      <c r="R322" s="3"/>
      <c r="S322" s="3"/>
      <c r="T322" s="3"/>
      <c r="U322" s="5" t="str">
        <f t="shared" si="15"/>
        <v/>
      </c>
    </row>
    <row r="324" spans="1:21" ht="28" customHeight="1" x14ac:dyDescent="0.35">
      <c r="A324" s="9" t="s">
        <v>110</v>
      </c>
      <c r="B324" s="16"/>
      <c r="C324" s="17"/>
      <c r="D324" s="17"/>
      <c r="E324" s="17"/>
      <c r="F324" s="17"/>
      <c r="G324" s="17"/>
      <c r="H324" s="17"/>
      <c r="I324" s="17"/>
      <c r="J324" s="17"/>
      <c r="K324" s="17"/>
      <c r="L324" s="17"/>
      <c r="M324" s="17"/>
      <c r="N324" s="17"/>
      <c r="O324" s="17"/>
      <c r="P324" s="17"/>
      <c r="Q324" s="17"/>
      <c r="R324" s="17"/>
      <c r="S324" s="17"/>
      <c r="T324" s="17"/>
      <c r="U324" s="18"/>
    </row>
    <row r="325" spans="1:21" ht="28" customHeight="1" x14ac:dyDescent="0.35">
      <c r="A325" s="19" t="s">
        <v>320</v>
      </c>
      <c r="B325" s="20"/>
      <c r="C325" s="20"/>
      <c r="D325" s="20"/>
      <c r="E325" s="20"/>
      <c r="F325" s="20"/>
      <c r="G325" s="20"/>
      <c r="H325" s="20"/>
      <c r="I325" s="20"/>
      <c r="J325" s="20"/>
      <c r="K325" s="20"/>
      <c r="L325" s="20"/>
      <c r="M325" s="20"/>
      <c r="N325" s="20"/>
      <c r="O325" s="20"/>
      <c r="P325" s="20"/>
      <c r="Q325" s="20"/>
      <c r="R325" s="20"/>
      <c r="S325" s="20"/>
      <c r="T325" s="20"/>
      <c r="U325" s="21"/>
    </row>
    <row r="326" spans="1:21" ht="28" customHeight="1" x14ac:dyDescent="0.35">
      <c r="A326" s="4" t="s">
        <v>31</v>
      </c>
      <c r="B326" s="3" t="s">
        <v>229</v>
      </c>
      <c r="C326" s="4" t="s">
        <v>32</v>
      </c>
      <c r="D326" s="3"/>
      <c r="E326" s="4" t="s">
        <v>33</v>
      </c>
      <c r="F326" s="8"/>
    </row>
    <row r="327" spans="1:21" ht="28" customHeight="1" x14ac:dyDescent="0.35">
      <c r="A327" s="1" t="s">
        <v>34</v>
      </c>
      <c r="B327" s="1" t="s">
        <v>35</v>
      </c>
      <c r="C327" s="1" t="s">
        <v>36</v>
      </c>
      <c r="D327" s="1" t="s">
        <v>37</v>
      </c>
      <c r="E327" s="1" t="s">
        <v>38</v>
      </c>
      <c r="F327" s="1" t="s">
        <v>39</v>
      </c>
      <c r="G327" s="1" t="s">
        <v>40</v>
      </c>
      <c r="H327" s="1" t="s">
        <v>41</v>
      </c>
      <c r="I327" s="1" t="s">
        <v>42</v>
      </c>
      <c r="J327" s="1" t="s">
        <v>43</v>
      </c>
      <c r="K327" s="1" t="s">
        <v>44</v>
      </c>
      <c r="L327" s="1" t="s">
        <v>45</v>
      </c>
      <c r="M327" s="1" t="s">
        <v>46</v>
      </c>
      <c r="N327" s="1" t="s">
        <v>47</v>
      </c>
      <c r="O327" s="1" t="s">
        <v>48</v>
      </c>
      <c r="P327" s="1" t="s">
        <v>4</v>
      </c>
      <c r="Q327" s="1" t="s">
        <v>49</v>
      </c>
      <c r="R327" s="1" t="s">
        <v>50</v>
      </c>
      <c r="S327" s="1" t="s">
        <v>51</v>
      </c>
      <c r="T327" s="1" t="s">
        <v>52</v>
      </c>
      <c r="U327" s="1" t="s">
        <v>10</v>
      </c>
    </row>
    <row r="328" spans="1:21" ht="28" customHeight="1" x14ac:dyDescent="0.35">
      <c r="A328" s="4">
        <v>1</v>
      </c>
      <c r="B328" s="4" t="s">
        <v>270</v>
      </c>
      <c r="C328" s="4" t="s">
        <v>271</v>
      </c>
      <c r="D328" s="4" t="s">
        <v>272</v>
      </c>
      <c r="E328" s="4" t="s">
        <v>109</v>
      </c>
      <c r="F328" s="4" t="s">
        <v>273</v>
      </c>
      <c r="G328" s="4" t="s">
        <v>199</v>
      </c>
      <c r="H328" s="4" t="s">
        <v>59</v>
      </c>
      <c r="I328" s="3"/>
      <c r="J328" s="3"/>
      <c r="K328" s="3"/>
      <c r="L328" s="3"/>
      <c r="M328" s="3"/>
      <c r="N328" s="3"/>
      <c r="O328" s="3"/>
      <c r="P328" s="8"/>
      <c r="Q328" s="8"/>
      <c r="R328" s="3"/>
      <c r="S328" s="3"/>
      <c r="T328" s="3"/>
      <c r="U328" s="5" t="str">
        <f t="shared" ref="U328:U344" si="16">IF(I328="","",IF(I328="NA","Grey",IF(I328=2,"Green",IF(I328=1,"Amber","Red"))))</f>
        <v/>
      </c>
    </row>
    <row r="329" spans="1:21" ht="28" customHeight="1" x14ac:dyDescent="0.35">
      <c r="A329" s="4">
        <v>2</v>
      </c>
      <c r="B329" s="4" t="s">
        <v>270</v>
      </c>
      <c r="C329" s="4" t="s">
        <v>274</v>
      </c>
      <c r="D329" s="4" t="s">
        <v>275</v>
      </c>
      <c r="E329" s="4" t="s">
        <v>69</v>
      </c>
      <c r="F329" s="4" t="s">
        <v>276</v>
      </c>
      <c r="G329" s="4" t="s">
        <v>199</v>
      </c>
      <c r="H329" s="4" t="s">
        <v>76</v>
      </c>
      <c r="I329" s="3"/>
      <c r="J329" s="3"/>
      <c r="K329" s="3"/>
      <c r="L329" s="3"/>
      <c r="M329" s="3"/>
      <c r="N329" s="3"/>
      <c r="O329" s="3"/>
      <c r="P329" s="8"/>
      <c r="Q329" s="8"/>
      <c r="R329" s="3"/>
      <c r="S329" s="3"/>
      <c r="T329" s="3"/>
      <c r="U329" s="5" t="str">
        <f t="shared" si="16"/>
        <v/>
      </c>
    </row>
    <row r="330" spans="1:21" ht="28" customHeight="1" x14ac:dyDescent="0.35">
      <c r="A330" s="4">
        <v>3</v>
      </c>
      <c r="B330" s="4" t="s">
        <v>270</v>
      </c>
      <c r="C330" s="4" t="s">
        <v>277</v>
      </c>
      <c r="D330" s="4" t="s">
        <v>278</v>
      </c>
      <c r="E330" s="4" t="s">
        <v>279</v>
      </c>
      <c r="F330" s="4" t="s">
        <v>280</v>
      </c>
      <c r="G330" s="4" t="s">
        <v>209</v>
      </c>
      <c r="H330" s="4" t="s">
        <v>76</v>
      </c>
      <c r="I330" s="3"/>
      <c r="J330" s="3"/>
      <c r="K330" s="3"/>
      <c r="L330" s="3"/>
      <c r="M330" s="3"/>
      <c r="N330" s="3"/>
      <c r="O330" s="3"/>
      <c r="P330" s="8"/>
      <c r="Q330" s="8"/>
      <c r="R330" s="3"/>
      <c r="S330" s="3"/>
      <c r="T330" s="3"/>
      <c r="U330" s="5" t="str">
        <f t="shared" si="16"/>
        <v/>
      </c>
    </row>
    <row r="331" spans="1:21" ht="28" customHeight="1" x14ac:dyDescent="0.35">
      <c r="A331" s="4">
        <v>4</v>
      </c>
      <c r="B331" s="4" t="s">
        <v>270</v>
      </c>
      <c r="C331" s="4" t="s">
        <v>281</v>
      </c>
      <c r="D331" s="4" t="s">
        <v>282</v>
      </c>
      <c r="E331" s="4" t="s">
        <v>283</v>
      </c>
      <c r="F331" s="4" t="s">
        <v>284</v>
      </c>
      <c r="G331" s="4" t="s">
        <v>204</v>
      </c>
      <c r="H331" s="4" t="s">
        <v>76</v>
      </c>
      <c r="I331" s="3"/>
      <c r="J331" s="3"/>
      <c r="K331" s="3"/>
      <c r="L331" s="3"/>
      <c r="M331" s="3"/>
      <c r="N331" s="3"/>
      <c r="O331" s="3"/>
      <c r="P331" s="8"/>
      <c r="Q331" s="8"/>
      <c r="R331" s="3"/>
      <c r="S331" s="3"/>
      <c r="T331" s="3"/>
      <c r="U331" s="5" t="str">
        <f t="shared" si="16"/>
        <v/>
      </c>
    </row>
    <row r="332" spans="1:21" ht="28" customHeight="1" x14ac:dyDescent="0.35">
      <c r="A332" s="4">
        <v>5</v>
      </c>
      <c r="B332" s="4" t="s">
        <v>285</v>
      </c>
      <c r="C332" s="4" t="s">
        <v>286</v>
      </c>
      <c r="D332" s="4" t="s">
        <v>287</v>
      </c>
      <c r="E332" s="4" t="s">
        <v>69</v>
      </c>
      <c r="F332" s="4" t="s">
        <v>276</v>
      </c>
      <c r="G332" s="4" t="s">
        <v>199</v>
      </c>
      <c r="H332" s="4" t="s">
        <v>76</v>
      </c>
      <c r="I332" s="3"/>
      <c r="J332" s="3"/>
      <c r="K332" s="3"/>
      <c r="L332" s="3"/>
      <c r="M332" s="3"/>
      <c r="N332" s="3"/>
      <c r="O332" s="3"/>
      <c r="P332" s="8"/>
      <c r="Q332" s="8"/>
      <c r="R332" s="3"/>
      <c r="S332" s="3"/>
      <c r="T332" s="3"/>
      <c r="U332" s="5" t="str">
        <f t="shared" si="16"/>
        <v/>
      </c>
    </row>
    <row r="333" spans="1:21" ht="28" customHeight="1" x14ac:dyDescent="0.35">
      <c r="A333" s="4">
        <v>6</v>
      </c>
      <c r="B333" s="4" t="s">
        <v>285</v>
      </c>
      <c r="C333" s="4" t="s">
        <v>288</v>
      </c>
      <c r="D333" s="4" t="s">
        <v>289</v>
      </c>
      <c r="E333" s="4" t="s">
        <v>70</v>
      </c>
      <c r="F333" s="4" t="s">
        <v>276</v>
      </c>
      <c r="G333" s="4" t="s">
        <v>199</v>
      </c>
      <c r="H333" s="4" t="s">
        <v>59</v>
      </c>
      <c r="I333" s="3"/>
      <c r="J333" s="3"/>
      <c r="K333" s="3"/>
      <c r="L333" s="3"/>
      <c r="M333" s="3"/>
      <c r="N333" s="3"/>
      <c r="O333" s="3"/>
      <c r="P333" s="8"/>
      <c r="Q333" s="8"/>
      <c r="R333" s="3"/>
      <c r="S333" s="3"/>
      <c r="T333" s="3"/>
      <c r="U333" s="5" t="str">
        <f t="shared" si="16"/>
        <v/>
      </c>
    </row>
    <row r="334" spans="1:21" ht="28" customHeight="1" x14ac:dyDescent="0.35">
      <c r="A334" s="4">
        <v>7</v>
      </c>
      <c r="B334" s="4" t="s">
        <v>290</v>
      </c>
      <c r="C334" s="4" t="s">
        <v>291</v>
      </c>
      <c r="D334" s="4" t="s">
        <v>292</v>
      </c>
      <c r="E334" s="4" t="s">
        <v>109</v>
      </c>
      <c r="F334" s="4" t="s">
        <v>284</v>
      </c>
      <c r="G334" s="4" t="s">
        <v>204</v>
      </c>
      <c r="H334" s="4" t="s">
        <v>59</v>
      </c>
      <c r="I334" s="3"/>
      <c r="J334" s="3"/>
      <c r="K334" s="3"/>
      <c r="L334" s="3"/>
      <c r="M334" s="3"/>
      <c r="N334" s="3"/>
      <c r="O334" s="3"/>
      <c r="P334" s="8"/>
      <c r="Q334" s="8"/>
      <c r="R334" s="3"/>
      <c r="S334" s="3"/>
      <c r="T334" s="3"/>
      <c r="U334" s="5" t="str">
        <f t="shared" si="16"/>
        <v/>
      </c>
    </row>
    <row r="335" spans="1:21" ht="28" customHeight="1" x14ac:dyDescent="0.35">
      <c r="A335" s="4">
        <v>8</v>
      </c>
      <c r="B335" s="4" t="s">
        <v>290</v>
      </c>
      <c r="C335" s="4" t="s">
        <v>293</v>
      </c>
      <c r="D335" s="4" t="s">
        <v>294</v>
      </c>
      <c r="E335" s="4" t="s">
        <v>70</v>
      </c>
      <c r="F335" s="4" t="s">
        <v>295</v>
      </c>
      <c r="G335" s="4" t="s">
        <v>199</v>
      </c>
      <c r="H335" s="4" t="s">
        <v>76</v>
      </c>
      <c r="I335" s="3"/>
      <c r="J335" s="3"/>
      <c r="K335" s="3"/>
      <c r="L335" s="3"/>
      <c r="M335" s="3"/>
      <c r="N335" s="3"/>
      <c r="O335" s="3"/>
      <c r="P335" s="8"/>
      <c r="Q335" s="8"/>
      <c r="R335" s="3"/>
      <c r="S335" s="3"/>
      <c r="T335" s="3"/>
      <c r="U335" s="5" t="str">
        <f t="shared" si="16"/>
        <v/>
      </c>
    </row>
    <row r="336" spans="1:21" ht="28" customHeight="1" x14ac:dyDescent="0.35">
      <c r="A336" s="4">
        <v>9</v>
      </c>
      <c r="B336" s="4" t="s">
        <v>296</v>
      </c>
      <c r="C336" s="4" t="s">
        <v>297</v>
      </c>
      <c r="D336" s="4" t="s">
        <v>70</v>
      </c>
      <c r="E336" s="4" t="s">
        <v>70</v>
      </c>
      <c r="F336" s="4" t="s">
        <v>295</v>
      </c>
      <c r="G336" s="4" t="s">
        <v>199</v>
      </c>
      <c r="H336" s="4" t="s">
        <v>76</v>
      </c>
      <c r="I336" s="3"/>
      <c r="J336" s="3"/>
      <c r="K336" s="3"/>
      <c r="L336" s="3"/>
      <c r="M336" s="3"/>
      <c r="N336" s="3"/>
      <c r="O336" s="3"/>
      <c r="P336" s="8"/>
      <c r="Q336" s="8"/>
      <c r="R336" s="3"/>
      <c r="S336" s="3"/>
      <c r="T336" s="3"/>
      <c r="U336" s="5" t="str">
        <f t="shared" si="16"/>
        <v/>
      </c>
    </row>
    <row r="337" spans="1:21" ht="28" customHeight="1" x14ac:dyDescent="0.35">
      <c r="A337" s="4">
        <v>10</v>
      </c>
      <c r="B337" s="4" t="s">
        <v>296</v>
      </c>
      <c r="C337" s="4" t="s">
        <v>298</v>
      </c>
      <c r="D337" s="4" t="s">
        <v>299</v>
      </c>
      <c r="E337" s="4" t="s">
        <v>283</v>
      </c>
      <c r="F337" s="4" t="s">
        <v>284</v>
      </c>
      <c r="G337" s="4" t="s">
        <v>204</v>
      </c>
      <c r="H337" s="4" t="s">
        <v>59</v>
      </c>
      <c r="I337" s="3"/>
      <c r="J337" s="3"/>
      <c r="K337" s="3"/>
      <c r="L337" s="3"/>
      <c r="M337" s="3"/>
      <c r="N337" s="3"/>
      <c r="O337" s="3"/>
      <c r="P337" s="8"/>
      <c r="Q337" s="8"/>
      <c r="R337" s="3"/>
      <c r="S337" s="3"/>
      <c r="T337" s="3"/>
      <c r="U337" s="5" t="str">
        <f t="shared" si="16"/>
        <v/>
      </c>
    </row>
    <row r="338" spans="1:21" ht="28" customHeight="1" x14ac:dyDescent="0.35">
      <c r="A338" s="4">
        <v>11</v>
      </c>
      <c r="B338" s="4" t="s">
        <v>300</v>
      </c>
      <c r="C338" s="4" t="s">
        <v>301</v>
      </c>
      <c r="D338" s="4" t="s">
        <v>302</v>
      </c>
      <c r="E338" s="4" t="s">
        <v>56</v>
      </c>
      <c r="F338" s="4" t="s">
        <v>276</v>
      </c>
      <c r="G338" s="4" t="s">
        <v>199</v>
      </c>
      <c r="H338" s="4" t="s">
        <v>76</v>
      </c>
      <c r="I338" s="3"/>
      <c r="J338" s="3"/>
      <c r="K338" s="3"/>
      <c r="L338" s="3"/>
      <c r="M338" s="3"/>
      <c r="N338" s="3"/>
      <c r="O338" s="3"/>
      <c r="P338" s="8"/>
      <c r="Q338" s="8"/>
      <c r="R338" s="3"/>
      <c r="S338" s="3"/>
      <c r="T338" s="3"/>
      <c r="U338" s="5" t="str">
        <f t="shared" si="16"/>
        <v/>
      </c>
    </row>
    <row r="339" spans="1:21" ht="28" customHeight="1" x14ac:dyDescent="0.35">
      <c r="A339" s="4">
        <v>12</v>
      </c>
      <c r="B339" s="4" t="s">
        <v>303</v>
      </c>
      <c r="C339" s="4" t="s">
        <v>304</v>
      </c>
      <c r="D339" s="4" t="s">
        <v>305</v>
      </c>
      <c r="E339" s="4" t="s">
        <v>283</v>
      </c>
      <c r="F339" s="4" t="s">
        <v>276</v>
      </c>
      <c r="G339" s="4" t="s">
        <v>199</v>
      </c>
      <c r="H339" s="4" t="s">
        <v>76</v>
      </c>
      <c r="I339" s="3"/>
      <c r="J339" s="3"/>
      <c r="K339" s="3"/>
      <c r="L339" s="3"/>
      <c r="M339" s="3"/>
      <c r="N339" s="3"/>
      <c r="O339" s="3"/>
      <c r="P339" s="8"/>
      <c r="Q339" s="8"/>
      <c r="R339" s="3"/>
      <c r="S339" s="3"/>
      <c r="T339" s="3"/>
      <c r="U339" s="5" t="str">
        <f t="shared" si="16"/>
        <v/>
      </c>
    </row>
    <row r="340" spans="1:21" ht="28" customHeight="1" x14ac:dyDescent="0.35">
      <c r="A340" s="4">
        <v>13</v>
      </c>
      <c r="B340" s="4" t="s">
        <v>306</v>
      </c>
      <c r="C340" s="4" t="s">
        <v>307</v>
      </c>
      <c r="D340" s="4" t="s">
        <v>308</v>
      </c>
      <c r="E340" s="4" t="s">
        <v>69</v>
      </c>
      <c r="F340" s="4" t="s">
        <v>273</v>
      </c>
      <c r="G340" s="4" t="s">
        <v>96</v>
      </c>
      <c r="H340" s="4" t="s">
        <v>59</v>
      </c>
      <c r="I340" s="3"/>
      <c r="J340" s="3"/>
      <c r="K340" s="3"/>
      <c r="L340" s="3"/>
      <c r="M340" s="3"/>
      <c r="N340" s="3"/>
      <c r="O340" s="3"/>
      <c r="P340" s="8"/>
      <c r="Q340" s="8"/>
      <c r="R340" s="3"/>
      <c r="S340" s="3"/>
      <c r="T340" s="3"/>
      <c r="U340" s="5" t="str">
        <f t="shared" si="16"/>
        <v/>
      </c>
    </row>
    <row r="341" spans="1:21" ht="28" customHeight="1" x14ac:dyDescent="0.35">
      <c r="A341" s="4">
        <v>14</v>
      </c>
      <c r="B341" s="4" t="s">
        <v>97</v>
      </c>
      <c r="C341" s="4" t="s">
        <v>98</v>
      </c>
      <c r="D341" s="4" t="s">
        <v>99</v>
      </c>
      <c r="E341" s="4" t="s">
        <v>69</v>
      </c>
      <c r="F341" s="4" t="s">
        <v>95</v>
      </c>
      <c r="G341" s="4" t="s">
        <v>96</v>
      </c>
      <c r="H341" s="4" t="s">
        <v>59</v>
      </c>
      <c r="I341" s="3"/>
      <c r="J341" s="3"/>
      <c r="K341" s="3"/>
      <c r="L341" s="3"/>
      <c r="M341" s="3"/>
      <c r="N341" s="3"/>
      <c r="O341" s="3"/>
      <c r="P341" s="8"/>
      <c r="Q341" s="8"/>
      <c r="R341" s="3"/>
      <c r="S341" s="3"/>
      <c r="T341" s="3"/>
      <c r="U341" s="5" t="str">
        <f t="shared" si="16"/>
        <v/>
      </c>
    </row>
    <row r="342" spans="1:21" ht="28" customHeight="1" x14ac:dyDescent="0.35">
      <c r="A342" s="4">
        <v>15</v>
      </c>
      <c r="B342" s="4" t="s">
        <v>97</v>
      </c>
      <c r="C342" s="4" t="s">
        <v>100</v>
      </c>
      <c r="D342" s="4" t="s">
        <v>101</v>
      </c>
      <c r="E342" s="4" t="s">
        <v>69</v>
      </c>
      <c r="F342" s="4" t="s">
        <v>95</v>
      </c>
      <c r="G342" s="4" t="s">
        <v>102</v>
      </c>
      <c r="H342" s="4" t="s">
        <v>59</v>
      </c>
      <c r="I342" s="3"/>
      <c r="J342" s="3"/>
      <c r="K342" s="3"/>
      <c r="L342" s="3"/>
      <c r="M342" s="3"/>
      <c r="N342" s="3"/>
      <c r="O342" s="3"/>
      <c r="P342" s="8"/>
      <c r="Q342" s="8"/>
      <c r="R342" s="3"/>
      <c r="S342" s="3"/>
      <c r="T342" s="3"/>
      <c r="U342" s="5" t="str">
        <f t="shared" si="16"/>
        <v/>
      </c>
    </row>
    <row r="343" spans="1:21" ht="28" customHeight="1" x14ac:dyDescent="0.35">
      <c r="A343" s="4">
        <v>16</v>
      </c>
      <c r="B343" s="4" t="s">
        <v>103</v>
      </c>
      <c r="C343" s="4" t="s">
        <v>104</v>
      </c>
      <c r="D343" s="4" t="s">
        <v>105</v>
      </c>
      <c r="E343" s="4" t="s">
        <v>69</v>
      </c>
      <c r="F343" s="4" t="s">
        <v>95</v>
      </c>
      <c r="G343" s="4" t="s">
        <v>96</v>
      </c>
      <c r="H343" s="4" t="s">
        <v>85</v>
      </c>
      <c r="I343" s="3"/>
      <c r="J343" s="3"/>
      <c r="K343" s="3"/>
      <c r="L343" s="3"/>
      <c r="M343" s="3"/>
      <c r="N343" s="3"/>
      <c r="O343" s="3"/>
      <c r="P343" s="8"/>
      <c r="Q343" s="8"/>
      <c r="R343" s="3"/>
      <c r="S343" s="3"/>
      <c r="T343" s="3"/>
      <c r="U343" s="5" t="str">
        <f t="shared" si="16"/>
        <v/>
      </c>
    </row>
    <row r="344" spans="1:21" ht="28" customHeight="1" x14ac:dyDescent="0.35">
      <c r="A344" s="4">
        <v>17</v>
      </c>
      <c r="B344" s="4" t="s">
        <v>106</v>
      </c>
      <c r="C344" s="4" t="s">
        <v>107</v>
      </c>
      <c r="D344" s="4" t="s">
        <v>108</v>
      </c>
      <c r="E344" s="4" t="s">
        <v>109</v>
      </c>
      <c r="F344" s="4" t="s">
        <v>95</v>
      </c>
      <c r="G344" s="4" t="s">
        <v>96</v>
      </c>
      <c r="H344" s="4" t="s">
        <v>59</v>
      </c>
      <c r="I344" s="3"/>
      <c r="J344" s="3"/>
      <c r="K344" s="3"/>
      <c r="L344" s="3"/>
      <c r="M344" s="3"/>
      <c r="N344" s="3"/>
      <c r="O344" s="3"/>
      <c r="P344" s="8"/>
      <c r="Q344" s="8"/>
      <c r="R344" s="3"/>
      <c r="S344" s="3"/>
      <c r="T344" s="3"/>
      <c r="U344" s="5" t="str">
        <f t="shared" si="16"/>
        <v/>
      </c>
    </row>
    <row r="346" spans="1:21" ht="28" customHeight="1" x14ac:dyDescent="0.35">
      <c r="A346" s="9" t="s">
        <v>110</v>
      </c>
      <c r="B346" s="16"/>
      <c r="C346" s="17"/>
      <c r="D346" s="17"/>
      <c r="E346" s="17"/>
      <c r="F346" s="17"/>
      <c r="G346" s="17"/>
      <c r="H346" s="17"/>
      <c r="I346" s="17"/>
      <c r="J346" s="17"/>
      <c r="K346" s="17"/>
      <c r="L346" s="17"/>
      <c r="M346" s="17"/>
      <c r="N346" s="17"/>
      <c r="O346" s="17"/>
      <c r="P346" s="17"/>
      <c r="Q346" s="17"/>
      <c r="R346" s="17"/>
      <c r="S346" s="17"/>
      <c r="T346" s="17"/>
      <c r="U346" s="18"/>
    </row>
    <row r="347" spans="1:21" ht="28" customHeight="1" x14ac:dyDescent="0.35">
      <c r="A347" s="19" t="s">
        <v>321</v>
      </c>
      <c r="B347" s="20"/>
      <c r="C347" s="20"/>
      <c r="D347" s="20"/>
      <c r="E347" s="20"/>
      <c r="F347" s="20"/>
      <c r="G347" s="20"/>
      <c r="H347" s="20"/>
      <c r="I347" s="20"/>
      <c r="J347" s="20"/>
      <c r="K347" s="20"/>
      <c r="L347" s="20"/>
      <c r="M347" s="20"/>
      <c r="N347" s="20"/>
      <c r="O347" s="20"/>
      <c r="P347" s="20"/>
      <c r="Q347" s="20"/>
      <c r="R347" s="20"/>
      <c r="S347" s="20"/>
      <c r="T347" s="20"/>
      <c r="U347" s="21"/>
    </row>
    <row r="348" spans="1:21" ht="28" customHeight="1" x14ac:dyDescent="0.35">
      <c r="A348" s="4" t="s">
        <v>31</v>
      </c>
      <c r="B348" s="3" t="s">
        <v>230</v>
      </c>
      <c r="C348" s="4" t="s">
        <v>32</v>
      </c>
      <c r="D348" s="3"/>
      <c r="E348" s="4" t="s">
        <v>33</v>
      </c>
      <c r="F348" s="8"/>
    </row>
    <row r="349" spans="1:21" ht="28" customHeight="1" x14ac:dyDescent="0.35">
      <c r="A349" s="1" t="s">
        <v>34</v>
      </c>
      <c r="B349" s="1" t="s">
        <v>35</v>
      </c>
      <c r="C349" s="1" t="s">
        <v>36</v>
      </c>
      <c r="D349" s="1" t="s">
        <v>37</v>
      </c>
      <c r="E349" s="1" t="s">
        <v>38</v>
      </c>
      <c r="F349" s="1" t="s">
        <v>39</v>
      </c>
      <c r="G349" s="1" t="s">
        <v>40</v>
      </c>
      <c r="H349" s="1" t="s">
        <v>41</v>
      </c>
      <c r="I349" s="1" t="s">
        <v>42</v>
      </c>
      <c r="J349" s="1" t="s">
        <v>43</v>
      </c>
      <c r="K349" s="1" t="s">
        <v>44</v>
      </c>
      <c r="L349" s="1" t="s">
        <v>45</v>
      </c>
      <c r="M349" s="1" t="s">
        <v>46</v>
      </c>
      <c r="N349" s="1" t="s">
        <v>47</v>
      </c>
      <c r="O349" s="1" t="s">
        <v>48</v>
      </c>
      <c r="P349" s="1" t="s">
        <v>4</v>
      </c>
      <c r="Q349" s="1" t="s">
        <v>49</v>
      </c>
      <c r="R349" s="1" t="s">
        <v>50</v>
      </c>
      <c r="S349" s="1" t="s">
        <v>51</v>
      </c>
      <c r="T349" s="1" t="s">
        <v>52</v>
      </c>
      <c r="U349" s="1" t="s">
        <v>10</v>
      </c>
    </row>
    <row r="350" spans="1:21" ht="28" customHeight="1" x14ac:dyDescent="0.35">
      <c r="A350" s="4">
        <v>1</v>
      </c>
      <c r="B350" s="4" t="s">
        <v>270</v>
      </c>
      <c r="C350" s="4" t="s">
        <v>271</v>
      </c>
      <c r="D350" s="4" t="s">
        <v>272</v>
      </c>
      <c r="E350" s="4" t="s">
        <v>109</v>
      </c>
      <c r="F350" s="4" t="s">
        <v>273</v>
      </c>
      <c r="G350" s="4" t="s">
        <v>199</v>
      </c>
      <c r="H350" s="4" t="s">
        <v>59</v>
      </c>
      <c r="I350" s="3"/>
      <c r="J350" s="3"/>
      <c r="K350" s="3"/>
      <c r="L350" s="3"/>
      <c r="M350" s="3"/>
      <c r="N350" s="3"/>
      <c r="O350" s="3"/>
      <c r="P350" s="8"/>
      <c r="Q350" s="8"/>
      <c r="R350" s="3"/>
      <c r="S350" s="3"/>
      <c r="T350" s="3"/>
      <c r="U350" s="5" t="str">
        <f t="shared" ref="U350:U366" si="17">IF(I350="","",IF(I350="NA","Grey",IF(I350=2,"Green",IF(I350=1,"Amber","Red"))))</f>
        <v/>
      </c>
    </row>
    <row r="351" spans="1:21" ht="28" customHeight="1" x14ac:dyDescent="0.35">
      <c r="A351" s="4">
        <v>2</v>
      </c>
      <c r="B351" s="4" t="s">
        <v>270</v>
      </c>
      <c r="C351" s="4" t="s">
        <v>274</v>
      </c>
      <c r="D351" s="4" t="s">
        <v>275</v>
      </c>
      <c r="E351" s="4" t="s">
        <v>69</v>
      </c>
      <c r="F351" s="4" t="s">
        <v>276</v>
      </c>
      <c r="G351" s="4" t="s">
        <v>199</v>
      </c>
      <c r="H351" s="4" t="s">
        <v>76</v>
      </c>
      <c r="I351" s="3"/>
      <c r="J351" s="3"/>
      <c r="K351" s="3"/>
      <c r="L351" s="3"/>
      <c r="M351" s="3"/>
      <c r="N351" s="3"/>
      <c r="O351" s="3"/>
      <c r="P351" s="8"/>
      <c r="Q351" s="8"/>
      <c r="R351" s="3"/>
      <c r="S351" s="3"/>
      <c r="T351" s="3"/>
      <c r="U351" s="5" t="str">
        <f t="shared" si="17"/>
        <v/>
      </c>
    </row>
    <row r="352" spans="1:21" ht="28" customHeight="1" x14ac:dyDescent="0.35">
      <c r="A352" s="4">
        <v>3</v>
      </c>
      <c r="B352" s="4" t="s">
        <v>270</v>
      </c>
      <c r="C352" s="4" t="s">
        <v>277</v>
      </c>
      <c r="D352" s="4" t="s">
        <v>278</v>
      </c>
      <c r="E352" s="4" t="s">
        <v>279</v>
      </c>
      <c r="F352" s="4" t="s">
        <v>280</v>
      </c>
      <c r="G352" s="4" t="s">
        <v>209</v>
      </c>
      <c r="H352" s="4" t="s">
        <v>76</v>
      </c>
      <c r="I352" s="3"/>
      <c r="J352" s="3"/>
      <c r="K352" s="3"/>
      <c r="L352" s="3"/>
      <c r="M352" s="3"/>
      <c r="N352" s="3"/>
      <c r="O352" s="3"/>
      <c r="P352" s="8"/>
      <c r="Q352" s="8"/>
      <c r="R352" s="3"/>
      <c r="S352" s="3"/>
      <c r="T352" s="3"/>
      <c r="U352" s="5" t="str">
        <f t="shared" si="17"/>
        <v/>
      </c>
    </row>
    <row r="353" spans="1:21" ht="28" customHeight="1" x14ac:dyDescent="0.35">
      <c r="A353" s="4">
        <v>4</v>
      </c>
      <c r="B353" s="4" t="s">
        <v>270</v>
      </c>
      <c r="C353" s="4" t="s">
        <v>281</v>
      </c>
      <c r="D353" s="4" t="s">
        <v>282</v>
      </c>
      <c r="E353" s="4" t="s">
        <v>283</v>
      </c>
      <c r="F353" s="4" t="s">
        <v>284</v>
      </c>
      <c r="G353" s="4" t="s">
        <v>204</v>
      </c>
      <c r="H353" s="4" t="s">
        <v>76</v>
      </c>
      <c r="I353" s="3"/>
      <c r="J353" s="3"/>
      <c r="K353" s="3"/>
      <c r="L353" s="3"/>
      <c r="M353" s="3"/>
      <c r="N353" s="3"/>
      <c r="O353" s="3"/>
      <c r="P353" s="8"/>
      <c r="Q353" s="8"/>
      <c r="R353" s="3"/>
      <c r="S353" s="3"/>
      <c r="T353" s="3"/>
      <c r="U353" s="5" t="str">
        <f t="shared" si="17"/>
        <v/>
      </c>
    </row>
    <row r="354" spans="1:21" ht="28" customHeight="1" x14ac:dyDescent="0.35">
      <c r="A354" s="4">
        <v>5</v>
      </c>
      <c r="B354" s="4" t="s">
        <v>285</v>
      </c>
      <c r="C354" s="4" t="s">
        <v>286</v>
      </c>
      <c r="D354" s="4" t="s">
        <v>287</v>
      </c>
      <c r="E354" s="4" t="s">
        <v>69</v>
      </c>
      <c r="F354" s="4" t="s">
        <v>276</v>
      </c>
      <c r="G354" s="4" t="s">
        <v>199</v>
      </c>
      <c r="H354" s="4" t="s">
        <v>76</v>
      </c>
      <c r="I354" s="3"/>
      <c r="J354" s="3"/>
      <c r="K354" s="3"/>
      <c r="L354" s="3"/>
      <c r="M354" s="3"/>
      <c r="N354" s="3"/>
      <c r="O354" s="3"/>
      <c r="P354" s="8"/>
      <c r="Q354" s="8"/>
      <c r="R354" s="3"/>
      <c r="S354" s="3"/>
      <c r="T354" s="3"/>
      <c r="U354" s="5" t="str">
        <f t="shared" si="17"/>
        <v/>
      </c>
    </row>
    <row r="355" spans="1:21" ht="28" customHeight="1" x14ac:dyDescent="0.35">
      <c r="A355" s="4">
        <v>6</v>
      </c>
      <c r="B355" s="4" t="s">
        <v>285</v>
      </c>
      <c r="C355" s="4" t="s">
        <v>288</v>
      </c>
      <c r="D355" s="4" t="s">
        <v>289</v>
      </c>
      <c r="E355" s="4" t="s">
        <v>70</v>
      </c>
      <c r="F355" s="4" t="s">
        <v>276</v>
      </c>
      <c r="G355" s="4" t="s">
        <v>199</v>
      </c>
      <c r="H355" s="4" t="s">
        <v>59</v>
      </c>
      <c r="I355" s="3"/>
      <c r="J355" s="3"/>
      <c r="K355" s="3"/>
      <c r="L355" s="3"/>
      <c r="M355" s="3"/>
      <c r="N355" s="3"/>
      <c r="O355" s="3"/>
      <c r="P355" s="8"/>
      <c r="Q355" s="8"/>
      <c r="R355" s="3"/>
      <c r="S355" s="3"/>
      <c r="T355" s="3"/>
      <c r="U355" s="5" t="str">
        <f t="shared" si="17"/>
        <v/>
      </c>
    </row>
    <row r="356" spans="1:21" ht="28" customHeight="1" x14ac:dyDescent="0.35">
      <c r="A356" s="4">
        <v>7</v>
      </c>
      <c r="B356" s="4" t="s">
        <v>290</v>
      </c>
      <c r="C356" s="4" t="s">
        <v>291</v>
      </c>
      <c r="D356" s="4" t="s">
        <v>292</v>
      </c>
      <c r="E356" s="4" t="s">
        <v>109</v>
      </c>
      <c r="F356" s="4" t="s">
        <v>284</v>
      </c>
      <c r="G356" s="4" t="s">
        <v>204</v>
      </c>
      <c r="H356" s="4" t="s">
        <v>59</v>
      </c>
      <c r="I356" s="3"/>
      <c r="J356" s="3"/>
      <c r="K356" s="3"/>
      <c r="L356" s="3"/>
      <c r="M356" s="3"/>
      <c r="N356" s="3"/>
      <c r="O356" s="3"/>
      <c r="P356" s="8"/>
      <c r="Q356" s="8"/>
      <c r="R356" s="3"/>
      <c r="S356" s="3"/>
      <c r="T356" s="3"/>
      <c r="U356" s="5" t="str">
        <f t="shared" si="17"/>
        <v/>
      </c>
    </row>
    <row r="357" spans="1:21" ht="28" customHeight="1" x14ac:dyDescent="0.35">
      <c r="A357" s="4">
        <v>8</v>
      </c>
      <c r="B357" s="4" t="s">
        <v>290</v>
      </c>
      <c r="C357" s="4" t="s">
        <v>293</v>
      </c>
      <c r="D357" s="4" t="s">
        <v>294</v>
      </c>
      <c r="E357" s="4" t="s">
        <v>70</v>
      </c>
      <c r="F357" s="4" t="s">
        <v>295</v>
      </c>
      <c r="G357" s="4" t="s">
        <v>199</v>
      </c>
      <c r="H357" s="4" t="s">
        <v>76</v>
      </c>
      <c r="I357" s="3"/>
      <c r="J357" s="3"/>
      <c r="K357" s="3"/>
      <c r="L357" s="3"/>
      <c r="M357" s="3"/>
      <c r="N357" s="3"/>
      <c r="O357" s="3"/>
      <c r="P357" s="8"/>
      <c r="Q357" s="8"/>
      <c r="R357" s="3"/>
      <c r="S357" s="3"/>
      <c r="T357" s="3"/>
      <c r="U357" s="5" t="str">
        <f t="shared" si="17"/>
        <v/>
      </c>
    </row>
    <row r="358" spans="1:21" ht="28" customHeight="1" x14ac:dyDescent="0.35">
      <c r="A358" s="4">
        <v>9</v>
      </c>
      <c r="B358" s="4" t="s">
        <v>296</v>
      </c>
      <c r="C358" s="4" t="s">
        <v>297</v>
      </c>
      <c r="D358" s="4" t="s">
        <v>70</v>
      </c>
      <c r="E358" s="4" t="s">
        <v>70</v>
      </c>
      <c r="F358" s="4" t="s">
        <v>295</v>
      </c>
      <c r="G358" s="4" t="s">
        <v>199</v>
      </c>
      <c r="H358" s="4" t="s">
        <v>76</v>
      </c>
      <c r="I358" s="3"/>
      <c r="J358" s="3"/>
      <c r="K358" s="3"/>
      <c r="L358" s="3"/>
      <c r="M358" s="3"/>
      <c r="N358" s="3"/>
      <c r="O358" s="3"/>
      <c r="P358" s="8"/>
      <c r="Q358" s="8"/>
      <c r="R358" s="3"/>
      <c r="S358" s="3"/>
      <c r="T358" s="3"/>
      <c r="U358" s="5" t="str">
        <f t="shared" si="17"/>
        <v/>
      </c>
    </row>
    <row r="359" spans="1:21" ht="28" customHeight="1" x14ac:dyDescent="0.35">
      <c r="A359" s="4">
        <v>10</v>
      </c>
      <c r="B359" s="4" t="s">
        <v>296</v>
      </c>
      <c r="C359" s="4" t="s">
        <v>298</v>
      </c>
      <c r="D359" s="4" t="s">
        <v>299</v>
      </c>
      <c r="E359" s="4" t="s">
        <v>283</v>
      </c>
      <c r="F359" s="4" t="s">
        <v>284</v>
      </c>
      <c r="G359" s="4" t="s">
        <v>204</v>
      </c>
      <c r="H359" s="4" t="s">
        <v>59</v>
      </c>
      <c r="I359" s="3"/>
      <c r="J359" s="3"/>
      <c r="K359" s="3"/>
      <c r="L359" s="3"/>
      <c r="M359" s="3"/>
      <c r="N359" s="3"/>
      <c r="O359" s="3"/>
      <c r="P359" s="8"/>
      <c r="Q359" s="8"/>
      <c r="R359" s="3"/>
      <c r="S359" s="3"/>
      <c r="T359" s="3"/>
      <c r="U359" s="5" t="str">
        <f t="shared" si="17"/>
        <v/>
      </c>
    </row>
    <row r="360" spans="1:21" ht="28" customHeight="1" x14ac:dyDescent="0.35">
      <c r="A360" s="4">
        <v>11</v>
      </c>
      <c r="B360" s="4" t="s">
        <v>300</v>
      </c>
      <c r="C360" s="4" t="s">
        <v>301</v>
      </c>
      <c r="D360" s="4" t="s">
        <v>302</v>
      </c>
      <c r="E360" s="4" t="s">
        <v>56</v>
      </c>
      <c r="F360" s="4" t="s">
        <v>276</v>
      </c>
      <c r="G360" s="4" t="s">
        <v>199</v>
      </c>
      <c r="H360" s="4" t="s">
        <v>76</v>
      </c>
      <c r="I360" s="3"/>
      <c r="J360" s="3"/>
      <c r="K360" s="3"/>
      <c r="L360" s="3"/>
      <c r="M360" s="3"/>
      <c r="N360" s="3"/>
      <c r="O360" s="3"/>
      <c r="P360" s="8"/>
      <c r="Q360" s="8"/>
      <c r="R360" s="3"/>
      <c r="S360" s="3"/>
      <c r="T360" s="3"/>
      <c r="U360" s="5" t="str">
        <f t="shared" si="17"/>
        <v/>
      </c>
    </row>
    <row r="361" spans="1:21" ht="28" customHeight="1" x14ac:dyDescent="0.35">
      <c r="A361" s="4">
        <v>12</v>
      </c>
      <c r="B361" s="4" t="s">
        <v>303</v>
      </c>
      <c r="C361" s="4" t="s">
        <v>304</v>
      </c>
      <c r="D361" s="4" t="s">
        <v>305</v>
      </c>
      <c r="E361" s="4" t="s">
        <v>283</v>
      </c>
      <c r="F361" s="4" t="s">
        <v>276</v>
      </c>
      <c r="G361" s="4" t="s">
        <v>199</v>
      </c>
      <c r="H361" s="4" t="s">
        <v>76</v>
      </c>
      <c r="I361" s="3"/>
      <c r="J361" s="3"/>
      <c r="K361" s="3"/>
      <c r="L361" s="3"/>
      <c r="M361" s="3"/>
      <c r="N361" s="3"/>
      <c r="O361" s="3"/>
      <c r="P361" s="8"/>
      <c r="Q361" s="8"/>
      <c r="R361" s="3"/>
      <c r="S361" s="3"/>
      <c r="T361" s="3"/>
      <c r="U361" s="5" t="str">
        <f t="shared" si="17"/>
        <v/>
      </c>
    </row>
    <row r="362" spans="1:21" ht="28" customHeight="1" x14ac:dyDescent="0.35">
      <c r="A362" s="4">
        <v>13</v>
      </c>
      <c r="B362" s="4" t="s">
        <v>306</v>
      </c>
      <c r="C362" s="4" t="s">
        <v>307</v>
      </c>
      <c r="D362" s="4" t="s">
        <v>308</v>
      </c>
      <c r="E362" s="4" t="s">
        <v>69</v>
      </c>
      <c r="F362" s="4" t="s">
        <v>273</v>
      </c>
      <c r="G362" s="4" t="s">
        <v>96</v>
      </c>
      <c r="H362" s="4" t="s">
        <v>59</v>
      </c>
      <c r="I362" s="3"/>
      <c r="J362" s="3"/>
      <c r="K362" s="3"/>
      <c r="L362" s="3"/>
      <c r="M362" s="3"/>
      <c r="N362" s="3"/>
      <c r="O362" s="3"/>
      <c r="P362" s="8"/>
      <c r="Q362" s="8"/>
      <c r="R362" s="3"/>
      <c r="S362" s="3"/>
      <c r="T362" s="3"/>
      <c r="U362" s="5" t="str">
        <f t="shared" si="17"/>
        <v/>
      </c>
    </row>
    <row r="363" spans="1:21" ht="28" customHeight="1" x14ac:dyDescent="0.35">
      <c r="A363" s="4">
        <v>14</v>
      </c>
      <c r="B363" s="4" t="s">
        <v>97</v>
      </c>
      <c r="C363" s="4" t="s">
        <v>98</v>
      </c>
      <c r="D363" s="4" t="s">
        <v>99</v>
      </c>
      <c r="E363" s="4" t="s">
        <v>69</v>
      </c>
      <c r="F363" s="4" t="s">
        <v>95</v>
      </c>
      <c r="G363" s="4" t="s">
        <v>96</v>
      </c>
      <c r="H363" s="4" t="s">
        <v>59</v>
      </c>
      <c r="I363" s="3"/>
      <c r="J363" s="3"/>
      <c r="K363" s="3"/>
      <c r="L363" s="3"/>
      <c r="M363" s="3"/>
      <c r="N363" s="3"/>
      <c r="O363" s="3"/>
      <c r="P363" s="8"/>
      <c r="Q363" s="8"/>
      <c r="R363" s="3"/>
      <c r="S363" s="3"/>
      <c r="T363" s="3"/>
      <c r="U363" s="5" t="str">
        <f t="shared" si="17"/>
        <v/>
      </c>
    </row>
    <row r="364" spans="1:21" ht="28" customHeight="1" x14ac:dyDescent="0.35">
      <c r="A364" s="4">
        <v>15</v>
      </c>
      <c r="B364" s="4" t="s">
        <v>97</v>
      </c>
      <c r="C364" s="4" t="s">
        <v>100</v>
      </c>
      <c r="D364" s="4" t="s">
        <v>101</v>
      </c>
      <c r="E364" s="4" t="s">
        <v>69</v>
      </c>
      <c r="F364" s="4" t="s">
        <v>95</v>
      </c>
      <c r="G364" s="4" t="s">
        <v>102</v>
      </c>
      <c r="H364" s="4" t="s">
        <v>59</v>
      </c>
      <c r="I364" s="3"/>
      <c r="J364" s="3"/>
      <c r="K364" s="3"/>
      <c r="L364" s="3"/>
      <c r="M364" s="3"/>
      <c r="N364" s="3"/>
      <c r="O364" s="3"/>
      <c r="P364" s="8"/>
      <c r="Q364" s="8"/>
      <c r="R364" s="3"/>
      <c r="S364" s="3"/>
      <c r="T364" s="3"/>
      <c r="U364" s="5" t="str">
        <f t="shared" si="17"/>
        <v/>
      </c>
    </row>
    <row r="365" spans="1:21" ht="28" customHeight="1" x14ac:dyDescent="0.35">
      <c r="A365" s="4">
        <v>16</v>
      </c>
      <c r="B365" s="4" t="s">
        <v>103</v>
      </c>
      <c r="C365" s="4" t="s">
        <v>104</v>
      </c>
      <c r="D365" s="4" t="s">
        <v>105</v>
      </c>
      <c r="E365" s="4" t="s">
        <v>69</v>
      </c>
      <c r="F365" s="4" t="s">
        <v>95</v>
      </c>
      <c r="G365" s="4" t="s">
        <v>96</v>
      </c>
      <c r="H365" s="4" t="s">
        <v>85</v>
      </c>
      <c r="I365" s="3"/>
      <c r="J365" s="3"/>
      <c r="K365" s="3"/>
      <c r="L365" s="3"/>
      <c r="M365" s="3"/>
      <c r="N365" s="3"/>
      <c r="O365" s="3"/>
      <c r="P365" s="8"/>
      <c r="Q365" s="8"/>
      <c r="R365" s="3"/>
      <c r="S365" s="3"/>
      <c r="T365" s="3"/>
      <c r="U365" s="5" t="str">
        <f t="shared" si="17"/>
        <v/>
      </c>
    </row>
    <row r="366" spans="1:21" ht="28" customHeight="1" x14ac:dyDescent="0.35">
      <c r="A366" s="4">
        <v>17</v>
      </c>
      <c r="B366" s="4" t="s">
        <v>106</v>
      </c>
      <c r="C366" s="4" t="s">
        <v>107</v>
      </c>
      <c r="D366" s="4" t="s">
        <v>108</v>
      </c>
      <c r="E366" s="4" t="s">
        <v>109</v>
      </c>
      <c r="F366" s="4" t="s">
        <v>95</v>
      </c>
      <c r="G366" s="4" t="s">
        <v>96</v>
      </c>
      <c r="H366" s="4" t="s">
        <v>59</v>
      </c>
      <c r="I366" s="3"/>
      <c r="J366" s="3"/>
      <c r="K366" s="3"/>
      <c r="L366" s="3"/>
      <c r="M366" s="3"/>
      <c r="N366" s="3"/>
      <c r="O366" s="3"/>
      <c r="P366" s="8"/>
      <c r="Q366" s="8"/>
      <c r="R366" s="3"/>
      <c r="S366" s="3"/>
      <c r="T366" s="3"/>
      <c r="U366" s="5" t="str">
        <f t="shared" si="17"/>
        <v/>
      </c>
    </row>
    <row r="368" spans="1:21" ht="28" customHeight="1" x14ac:dyDescent="0.35">
      <c r="A368" s="9" t="s">
        <v>110</v>
      </c>
      <c r="B368" s="16"/>
      <c r="C368" s="17"/>
      <c r="D368" s="17"/>
      <c r="E368" s="17"/>
      <c r="F368" s="17"/>
      <c r="G368" s="17"/>
      <c r="H368" s="17"/>
      <c r="I368" s="17"/>
      <c r="J368" s="17"/>
      <c r="K368" s="17"/>
      <c r="L368" s="17"/>
      <c r="M368" s="17"/>
      <c r="N368" s="17"/>
      <c r="O368" s="17"/>
      <c r="P368" s="17"/>
      <c r="Q368" s="17"/>
      <c r="R368" s="17"/>
      <c r="S368" s="17"/>
      <c r="T368" s="17"/>
      <c r="U368" s="18"/>
    </row>
    <row r="369" spans="1:21" ht="28" customHeight="1" x14ac:dyDescent="0.35">
      <c r="A369" s="19" t="s">
        <v>322</v>
      </c>
      <c r="B369" s="20"/>
      <c r="C369" s="20"/>
      <c r="D369" s="20"/>
      <c r="E369" s="20"/>
      <c r="F369" s="20"/>
      <c r="G369" s="20"/>
      <c r="H369" s="20"/>
      <c r="I369" s="20"/>
      <c r="J369" s="20"/>
      <c r="K369" s="20"/>
      <c r="L369" s="20"/>
      <c r="M369" s="20"/>
      <c r="N369" s="20"/>
      <c r="O369" s="20"/>
      <c r="P369" s="20"/>
      <c r="Q369" s="20"/>
      <c r="R369" s="20"/>
      <c r="S369" s="20"/>
      <c r="T369" s="20"/>
      <c r="U369" s="21"/>
    </row>
    <row r="370" spans="1:21" ht="28" customHeight="1" x14ac:dyDescent="0.35">
      <c r="A370" s="4" t="s">
        <v>31</v>
      </c>
      <c r="B370" s="3" t="s">
        <v>231</v>
      </c>
      <c r="C370" s="4" t="s">
        <v>32</v>
      </c>
      <c r="D370" s="3"/>
      <c r="E370" s="4" t="s">
        <v>33</v>
      </c>
      <c r="F370" s="8"/>
    </row>
    <row r="371" spans="1:21" ht="28" customHeight="1" x14ac:dyDescent="0.35">
      <c r="A371" s="1" t="s">
        <v>34</v>
      </c>
      <c r="B371" s="1" t="s">
        <v>35</v>
      </c>
      <c r="C371" s="1" t="s">
        <v>36</v>
      </c>
      <c r="D371" s="1" t="s">
        <v>37</v>
      </c>
      <c r="E371" s="1" t="s">
        <v>38</v>
      </c>
      <c r="F371" s="1" t="s">
        <v>39</v>
      </c>
      <c r="G371" s="1" t="s">
        <v>40</v>
      </c>
      <c r="H371" s="1" t="s">
        <v>41</v>
      </c>
      <c r="I371" s="1" t="s">
        <v>42</v>
      </c>
      <c r="J371" s="1" t="s">
        <v>43</v>
      </c>
      <c r="K371" s="1" t="s">
        <v>44</v>
      </c>
      <c r="L371" s="1" t="s">
        <v>45</v>
      </c>
      <c r="M371" s="1" t="s">
        <v>46</v>
      </c>
      <c r="N371" s="1" t="s">
        <v>47</v>
      </c>
      <c r="O371" s="1" t="s">
        <v>48</v>
      </c>
      <c r="P371" s="1" t="s">
        <v>4</v>
      </c>
      <c r="Q371" s="1" t="s">
        <v>49</v>
      </c>
      <c r="R371" s="1" t="s">
        <v>50</v>
      </c>
      <c r="S371" s="1" t="s">
        <v>51</v>
      </c>
      <c r="T371" s="1" t="s">
        <v>52</v>
      </c>
      <c r="U371" s="1" t="s">
        <v>10</v>
      </c>
    </row>
    <row r="372" spans="1:21" ht="28" customHeight="1" x14ac:dyDescent="0.35">
      <c r="A372" s="4">
        <v>1</v>
      </c>
      <c r="B372" s="4" t="s">
        <v>270</v>
      </c>
      <c r="C372" s="4" t="s">
        <v>271</v>
      </c>
      <c r="D372" s="4" t="s">
        <v>272</v>
      </c>
      <c r="E372" s="4" t="s">
        <v>109</v>
      </c>
      <c r="F372" s="4" t="s">
        <v>273</v>
      </c>
      <c r="G372" s="4" t="s">
        <v>199</v>
      </c>
      <c r="H372" s="4" t="s">
        <v>59</v>
      </c>
      <c r="I372" s="3"/>
      <c r="J372" s="3"/>
      <c r="K372" s="3"/>
      <c r="L372" s="3"/>
      <c r="M372" s="3"/>
      <c r="N372" s="3"/>
      <c r="O372" s="3"/>
      <c r="P372" s="8"/>
      <c r="Q372" s="8"/>
      <c r="R372" s="3"/>
      <c r="S372" s="3"/>
      <c r="T372" s="3"/>
      <c r="U372" s="5" t="str">
        <f t="shared" ref="U372:U388" si="18">IF(I372="","",IF(I372="NA","Grey",IF(I372=2,"Green",IF(I372=1,"Amber","Red"))))</f>
        <v/>
      </c>
    </row>
    <row r="373" spans="1:21" ht="28" customHeight="1" x14ac:dyDescent="0.35">
      <c r="A373" s="4">
        <v>2</v>
      </c>
      <c r="B373" s="4" t="s">
        <v>270</v>
      </c>
      <c r="C373" s="4" t="s">
        <v>274</v>
      </c>
      <c r="D373" s="4" t="s">
        <v>275</v>
      </c>
      <c r="E373" s="4" t="s">
        <v>69</v>
      </c>
      <c r="F373" s="4" t="s">
        <v>276</v>
      </c>
      <c r="G373" s="4" t="s">
        <v>199</v>
      </c>
      <c r="H373" s="4" t="s">
        <v>76</v>
      </c>
      <c r="I373" s="3"/>
      <c r="J373" s="3"/>
      <c r="K373" s="3"/>
      <c r="L373" s="3"/>
      <c r="M373" s="3"/>
      <c r="N373" s="3"/>
      <c r="O373" s="3"/>
      <c r="P373" s="8"/>
      <c r="Q373" s="8"/>
      <c r="R373" s="3"/>
      <c r="S373" s="3"/>
      <c r="T373" s="3"/>
      <c r="U373" s="5" t="str">
        <f t="shared" si="18"/>
        <v/>
      </c>
    </row>
    <row r="374" spans="1:21" ht="28" customHeight="1" x14ac:dyDescent="0.35">
      <c r="A374" s="4">
        <v>3</v>
      </c>
      <c r="B374" s="4" t="s">
        <v>270</v>
      </c>
      <c r="C374" s="4" t="s">
        <v>277</v>
      </c>
      <c r="D374" s="4" t="s">
        <v>278</v>
      </c>
      <c r="E374" s="4" t="s">
        <v>279</v>
      </c>
      <c r="F374" s="4" t="s">
        <v>280</v>
      </c>
      <c r="G374" s="4" t="s">
        <v>209</v>
      </c>
      <c r="H374" s="4" t="s">
        <v>76</v>
      </c>
      <c r="I374" s="3"/>
      <c r="J374" s="3"/>
      <c r="K374" s="3"/>
      <c r="L374" s="3"/>
      <c r="M374" s="3"/>
      <c r="N374" s="3"/>
      <c r="O374" s="3"/>
      <c r="P374" s="8"/>
      <c r="Q374" s="8"/>
      <c r="R374" s="3"/>
      <c r="S374" s="3"/>
      <c r="T374" s="3"/>
      <c r="U374" s="5" t="str">
        <f t="shared" si="18"/>
        <v/>
      </c>
    </row>
    <row r="375" spans="1:21" ht="28" customHeight="1" x14ac:dyDescent="0.35">
      <c r="A375" s="4">
        <v>4</v>
      </c>
      <c r="B375" s="4" t="s">
        <v>270</v>
      </c>
      <c r="C375" s="4" t="s">
        <v>281</v>
      </c>
      <c r="D375" s="4" t="s">
        <v>282</v>
      </c>
      <c r="E375" s="4" t="s">
        <v>283</v>
      </c>
      <c r="F375" s="4" t="s">
        <v>284</v>
      </c>
      <c r="G375" s="4" t="s">
        <v>204</v>
      </c>
      <c r="H375" s="4" t="s">
        <v>76</v>
      </c>
      <c r="I375" s="3"/>
      <c r="J375" s="3"/>
      <c r="K375" s="3"/>
      <c r="L375" s="3"/>
      <c r="M375" s="3"/>
      <c r="N375" s="3"/>
      <c r="O375" s="3"/>
      <c r="P375" s="8"/>
      <c r="Q375" s="8"/>
      <c r="R375" s="3"/>
      <c r="S375" s="3"/>
      <c r="T375" s="3"/>
      <c r="U375" s="5" t="str">
        <f t="shared" si="18"/>
        <v/>
      </c>
    </row>
    <row r="376" spans="1:21" ht="28" customHeight="1" x14ac:dyDescent="0.35">
      <c r="A376" s="4">
        <v>5</v>
      </c>
      <c r="B376" s="4" t="s">
        <v>285</v>
      </c>
      <c r="C376" s="4" t="s">
        <v>286</v>
      </c>
      <c r="D376" s="4" t="s">
        <v>287</v>
      </c>
      <c r="E376" s="4" t="s">
        <v>69</v>
      </c>
      <c r="F376" s="4" t="s">
        <v>276</v>
      </c>
      <c r="G376" s="4" t="s">
        <v>199</v>
      </c>
      <c r="H376" s="4" t="s">
        <v>76</v>
      </c>
      <c r="I376" s="3"/>
      <c r="J376" s="3"/>
      <c r="K376" s="3"/>
      <c r="L376" s="3"/>
      <c r="M376" s="3"/>
      <c r="N376" s="3"/>
      <c r="O376" s="3"/>
      <c r="P376" s="8"/>
      <c r="Q376" s="8"/>
      <c r="R376" s="3"/>
      <c r="S376" s="3"/>
      <c r="T376" s="3"/>
      <c r="U376" s="5" t="str">
        <f t="shared" si="18"/>
        <v/>
      </c>
    </row>
    <row r="377" spans="1:21" ht="28" customHeight="1" x14ac:dyDescent="0.35">
      <c r="A377" s="4">
        <v>6</v>
      </c>
      <c r="B377" s="4" t="s">
        <v>285</v>
      </c>
      <c r="C377" s="4" t="s">
        <v>288</v>
      </c>
      <c r="D377" s="4" t="s">
        <v>289</v>
      </c>
      <c r="E377" s="4" t="s">
        <v>70</v>
      </c>
      <c r="F377" s="4" t="s">
        <v>276</v>
      </c>
      <c r="G377" s="4" t="s">
        <v>199</v>
      </c>
      <c r="H377" s="4" t="s">
        <v>59</v>
      </c>
      <c r="I377" s="3"/>
      <c r="J377" s="3"/>
      <c r="K377" s="3"/>
      <c r="L377" s="3"/>
      <c r="M377" s="3"/>
      <c r="N377" s="3"/>
      <c r="O377" s="3"/>
      <c r="P377" s="8"/>
      <c r="Q377" s="8"/>
      <c r="R377" s="3"/>
      <c r="S377" s="3"/>
      <c r="T377" s="3"/>
      <c r="U377" s="5" t="str">
        <f t="shared" si="18"/>
        <v/>
      </c>
    </row>
    <row r="378" spans="1:21" ht="28" customHeight="1" x14ac:dyDescent="0.35">
      <c r="A378" s="4">
        <v>7</v>
      </c>
      <c r="B378" s="4" t="s">
        <v>290</v>
      </c>
      <c r="C378" s="4" t="s">
        <v>291</v>
      </c>
      <c r="D378" s="4" t="s">
        <v>292</v>
      </c>
      <c r="E378" s="4" t="s">
        <v>109</v>
      </c>
      <c r="F378" s="4" t="s">
        <v>284</v>
      </c>
      <c r="G378" s="4" t="s">
        <v>204</v>
      </c>
      <c r="H378" s="4" t="s">
        <v>59</v>
      </c>
      <c r="I378" s="3"/>
      <c r="J378" s="3"/>
      <c r="K378" s="3"/>
      <c r="L378" s="3"/>
      <c r="M378" s="3"/>
      <c r="N378" s="3"/>
      <c r="O378" s="3"/>
      <c r="P378" s="8"/>
      <c r="Q378" s="8"/>
      <c r="R378" s="3"/>
      <c r="S378" s="3"/>
      <c r="T378" s="3"/>
      <c r="U378" s="5" t="str">
        <f t="shared" si="18"/>
        <v/>
      </c>
    </row>
    <row r="379" spans="1:21" ht="28" customHeight="1" x14ac:dyDescent="0.35">
      <c r="A379" s="4">
        <v>8</v>
      </c>
      <c r="B379" s="4" t="s">
        <v>290</v>
      </c>
      <c r="C379" s="4" t="s">
        <v>293</v>
      </c>
      <c r="D379" s="4" t="s">
        <v>294</v>
      </c>
      <c r="E379" s="4" t="s">
        <v>70</v>
      </c>
      <c r="F379" s="4" t="s">
        <v>295</v>
      </c>
      <c r="G379" s="4" t="s">
        <v>199</v>
      </c>
      <c r="H379" s="4" t="s">
        <v>76</v>
      </c>
      <c r="I379" s="3"/>
      <c r="J379" s="3"/>
      <c r="K379" s="3"/>
      <c r="L379" s="3"/>
      <c r="M379" s="3"/>
      <c r="N379" s="3"/>
      <c r="O379" s="3"/>
      <c r="P379" s="8"/>
      <c r="Q379" s="8"/>
      <c r="R379" s="3"/>
      <c r="S379" s="3"/>
      <c r="T379" s="3"/>
      <c r="U379" s="5" t="str">
        <f t="shared" si="18"/>
        <v/>
      </c>
    </row>
    <row r="380" spans="1:21" ht="28" customHeight="1" x14ac:dyDescent="0.35">
      <c r="A380" s="4">
        <v>9</v>
      </c>
      <c r="B380" s="4" t="s">
        <v>296</v>
      </c>
      <c r="C380" s="4" t="s">
        <v>297</v>
      </c>
      <c r="D380" s="4" t="s">
        <v>70</v>
      </c>
      <c r="E380" s="4" t="s">
        <v>70</v>
      </c>
      <c r="F380" s="4" t="s">
        <v>295</v>
      </c>
      <c r="G380" s="4" t="s">
        <v>199</v>
      </c>
      <c r="H380" s="4" t="s">
        <v>76</v>
      </c>
      <c r="I380" s="3"/>
      <c r="J380" s="3"/>
      <c r="K380" s="3"/>
      <c r="L380" s="3"/>
      <c r="M380" s="3"/>
      <c r="N380" s="3"/>
      <c r="O380" s="3"/>
      <c r="P380" s="8"/>
      <c r="Q380" s="8"/>
      <c r="R380" s="3"/>
      <c r="S380" s="3"/>
      <c r="T380" s="3"/>
      <c r="U380" s="5" t="str">
        <f t="shared" si="18"/>
        <v/>
      </c>
    </row>
    <row r="381" spans="1:21" ht="28" customHeight="1" x14ac:dyDescent="0.35">
      <c r="A381" s="4">
        <v>10</v>
      </c>
      <c r="B381" s="4" t="s">
        <v>296</v>
      </c>
      <c r="C381" s="4" t="s">
        <v>298</v>
      </c>
      <c r="D381" s="4" t="s">
        <v>299</v>
      </c>
      <c r="E381" s="4" t="s">
        <v>283</v>
      </c>
      <c r="F381" s="4" t="s">
        <v>284</v>
      </c>
      <c r="G381" s="4" t="s">
        <v>204</v>
      </c>
      <c r="H381" s="4" t="s">
        <v>59</v>
      </c>
      <c r="I381" s="3"/>
      <c r="J381" s="3"/>
      <c r="K381" s="3"/>
      <c r="L381" s="3"/>
      <c r="M381" s="3"/>
      <c r="N381" s="3"/>
      <c r="O381" s="3"/>
      <c r="P381" s="8"/>
      <c r="Q381" s="8"/>
      <c r="R381" s="3"/>
      <c r="S381" s="3"/>
      <c r="T381" s="3"/>
      <c r="U381" s="5" t="str">
        <f t="shared" si="18"/>
        <v/>
      </c>
    </row>
    <row r="382" spans="1:21" ht="28" customHeight="1" x14ac:dyDescent="0.35">
      <c r="A382" s="4">
        <v>11</v>
      </c>
      <c r="B382" s="4" t="s">
        <v>300</v>
      </c>
      <c r="C382" s="4" t="s">
        <v>301</v>
      </c>
      <c r="D382" s="4" t="s">
        <v>302</v>
      </c>
      <c r="E382" s="4" t="s">
        <v>56</v>
      </c>
      <c r="F382" s="4" t="s">
        <v>276</v>
      </c>
      <c r="G382" s="4" t="s">
        <v>199</v>
      </c>
      <c r="H382" s="4" t="s">
        <v>76</v>
      </c>
      <c r="I382" s="3"/>
      <c r="J382" s="3"/>
      <c r="K382" s="3"/>
      <c r="L382" s="3"/>
      <c r="M382" s="3"/>
      <c r="N382" s="3"/>
      <c r="O382" s="3"/>
      <c r="P382" s="8"/>
      <c r="Q382" s="8"/>
      <c r="R382" s="3"/>
      <c r="S382" s="3"/>
      <c r="T382" s="3"/>
      <c r="U382" s="5" t="str">
        <f t="shared" si="18"/>
        <v/>
      </c>
    </row>
    <row r="383" spans="1:21" ht="28" customHeight="1" x14ac:dyDescent="0.35">
      <c r="A383" s="4">
        <v>12</v>
      </c>
      <c r="B383" s="4" t="s">
        <v>303</v>
      </c>
      <c r="C383" s="4" t="s">
        <v>304</v>
      </c>
      <c r="D383" s="4" t="s">
        <v>305</v>
      </c>
      <c r="E383" s="4" t="s">
        <v>283</v>
      </c>
      <c r="F383" s="4" t="s">
        <v>276</v>
      </c>
      <c r="G383" s="4" t="s">
        <v>199</v>
      </c>
      <c r="H383" s="4" t="s">
        <v>76</v>
      </c>
      <c r="I383" s="3"/>
      <c r="J383" s="3"/>
      <c r="K383" s="3"/>
      <c r="L383" s="3"/>
      <c r="M383" s="3"/>
      <c r="N383" s="3"/>
      <c r="O383" s="3"/>
      <c r="P383" s="8"/>
      <c r="Q383" s="8"/>
      <c r="R383" s="3"/>
      <c r="S383" s="3"/>
      <c r="T383" s="3"/>
      <c r="U383" s="5" t="str">
        <f t="shared" si="18"/>
        <v/>
      </c>
    </row>
    <row r="384" spans="1:21" ht="28" customHeight="1" x14ac:dyDescent="0.35">
      <c r="A384" s="4">
        <v>13</v>
      </c>
      <c r="B384" s="4" t="s">
        <v>306</v>
      </c>
      <c r="C384" s="4" t="s">
        <v>307</v>
      </c>
      <c r="D384" s="4" t="s">
        <v>308</v>
      </c>
      <c r="E384" s="4" t="s">
        <v>69</v>
      </c>
      <c r="F384" s="4" t="s">
        <v>273</v>
      </c>
      <c r="G384" s="4" t="s">
        <v>96</v>
      </c>
      <c r="H384" s="4" t="s">
        <v>59</v>
      </c>
      <c r="I384" s="3"/>
      <c r="J384" s="3"/>
      <c r="K384" s="3"/>
      <c r="L384" s="3"/>
      <c r="M384" s="3"/>
      <c r="N384" s="3"/>
      <c r="O384" s="3"/>
      <c r="P384" s="8"/>
      <c r="Q384" s="8"/>
      <c r="R384" s="3"/>
      <c r="S384" s="3"/>
      <c r="T384" s="3"/>
      <c r="U384" s="5" t="str">
        <f t="shared" si="18"/>
        <v/>
      </c>
    </row>
    <row r="385" spans="1:21" ht="28" customHeight="1" x14ac:dyDescent="0.35">
      <c r="A385" s="4">
        <v>14</v>
      </c>
      <c r="B385" s="4" t="s">
        <v>97</v>
      </c>
      <c r="C385" s="4" t="s">
        <v>98</v>
      </c>
      <c r="D385" s="4" t="s">
        <v>99</v>
      </c>
      <c r="E385" s="4" t="s">
        <v>69</v>
      </c>
      <c r="F385" s="4" t="s">
        <v>95</v>
      </c>
      <c r="G385" s="4" t="s">
        <v>96</v>
      </c>
      <c r="H385" s="4" t="s">
        <v>59</v>
      </c>
      <c r="I385" s="3"/>
      <c r="J385" s="3"/>
      <c r="K385" s="3"/>
      <c r="L385" s="3"/>
      <c r="M385" s="3"/>
      <c r="N385" s="3"/>
      <c r="O385" s="3"/>
      <c r="P385" s="8"/>
      <c r="Q385" s="8"/>
      <c r="R385" s="3"/>
      <c r="S385" s="3"/>
      <c r="T385" s="3"/>
      <c r="U385" s="5" t="str">
        <f t="shared" si="18"/>
        <v/>
      </c>
    </row>
    <row r="386" spans="1:21" ht="28" customHeight="1" x14ac:dyDescent="0.35">
      <c r="A386" s="4">
        <v>15</v>
      </c>
      <c r="B386" s="4" t="s">
        <v>97</v>
      </c>
      <c r="C386" s="4" t="s">
        <v>100</v>
      </c>
      <c r="D386" s="4" t="s">
        <v>101</v>
      </c>
      <c r="E386" s="4" t="s">
        <v>69</v>
      </c>
      <c r="F386" s="4" t="s">
        <v>95</v>
      </c>
      <c r="G386" s="4" t="s">
        <v>102</v>
      </c>
      <c r="H386" s="4" t="s">
        <v>59</v>
      </c>
      <c r="I386" s="3"/>
      <c r="J386" s="3"/>
      <c r="K386" s="3"/>
      <c r="L386" s="3"/>
      <c r="M386" s="3"/>
      <c r="N386" s="3"/>
      <c r="O386" s="3"/>
      <c r="P386" s="8"/>
      <c r="Q386" s="8"/>
      <c r="R386" s="3"/>
      <c r="S386" s="3"/>
      <c r="T386" s="3"/>
      <c r="U386" s="5" t="str">
        <f t="shared" si="18"/>
        <v/>
      </c>
    </row>
    <row r="387" spans="1:21" ht="28" customHeight="1" x14ac:dyDescent="0.35">
      <c r="A387" s="4">
        <v>16</v>
      </c>
      <c r="B387" s="4" t="s">
        <v>103</v>
      </c>
      <c r="C387" s="4" t="s">
        <v>104</v>
      </c>
      <c r="D387" s="4" t="s">
        <v>105</v>
      </c>
      <c r="E387" s="4" t="s">
        <v>69</v>
      </c>
      <c r="F387" s="4" t="s">
        <v>95</v>
      </c>
      <c r="G387" s="4" t="s">
        <v>96</v>
      </c>
      <c r="H387" s="4" t="s">
        <v>85</v>
      </c>
      <c r="I387" s="3"/>
      <c r="J387" s="3"/>
      <c r="K387" s="3"/>
      <c r="L387" s="3"/>
      <c r="M387" s="3"/>
      <c r="N387" s="3"/>
      <c r="O387" s="3"/>
      <c r="P387" s="8"/>
      <c r="Q387" s="8"/>
      <c r="R387" s="3"/>
      <c r="S387" s="3"/>
      <c r="T387" s="3"/>
      <c r="U387" s="5" t="str">
        <f t="shared" si="18"/>
        <v/>
      </c>
    </row>
    <row r="388" spans="1:21" ht="28" customHeight="1" x14ac:dyDescent="0.35">
      <c r="A388" s="4">
        <v>17</v>
      </c>
      <c r="B388" s="4" t="s">
        <v>106</v>
      </c>
      <c r="C388" s="4" t="s">
        <v>107</v>
      </c>
      <c r="D388" s="4" t="s">
        <v>108</v>
      </c>
      <c r="E388" s="4" t="s">
        <v>109</v>
      </c>
      <c r="F388" s="4" t="s">
        <v>95</v>
      </c>
      <c r="G388" s="4" t="s">
        <v>96</v>
      </c>
      <c r="H388" s="4" t="s">
        <v>59</v>
      </c>
      <c r="I388" s="3"/>
      <c r="J388" s="3"/>
      <c r="K388" s="3"/>
      <c r="L388" s="3"/>
      <c r="M388" s="3"/>
      <c r="N388" s="3"/>
      <c r="O388" s="3"/>
      <c r="P388" s="8"/>
      <c r="Q388" s="8"/>
      <c r="R388" s="3"/>
      <c r="S388" s="3"/>
      <c r="T388" s="3"/>
      <c r="U388" s="5" t="str">
        <f t="shared" si="18"/>
        <v/>
      </c>
    </row>
    <row r="390" spans="1:21" ht="28" customHeight="1" x14ac:dyDescent="0.35">
      <c r="A390" s="9" t="s">
        <v>110</v>
      </c>
      <c r="B390" s="16"/>
      <c r="C390" s="17"/>
      <c r="D390" s="17"/>
      <c r="E390" s="17"/>
      <c r="F390" s="17"/>
      <c r="G390" s="17"/>
      <c r="H390" s="17"/>
      <c r="I390" s="17"/>
      <c r="J390" s="17"/>
      <c r="K390" s="17"/>
      <c r="L390" s="17"/>
      <c r="M390" s="17"/>
      <c r="N390" s="17"/>
      <c r="O390" s="17"/>
      <c r="P390" s="17"/>
      <c r="Q390" s="17"/>
      <c r="R390" s="17"/>
      <c r="S390" s="17"/>
      <c r="T390" s="17"/>
      <c r="U390" s="18"/>
    </row>
    <row r="391" spans="1:21" ht="28" customHeight="1" x14ac:dyDescent="0.35">
      <c r="A391" s="19" t="s">
        <v>323</v>
      </c>
      <c r="B391" s="20"/>
      <c r="C391" s="20"/>
      <c r="D391" s="20"/>
      <c r="E391" s="20"/>
      <c r="F391" s="20"/>
      <c r="G391" s="20"/>
      <c r="H391" s="20"/>
      <c r="I391" s="20"/>
      <c r="J391" s="20"/>
      <c r="K391" s="20"/>
      <c r="L391" s="20"/>
      <c r="M391" s="20"/>
      <c r="N391" s="20"/>
      <c r="O391" s="20"/>
      <c r="P391" s="20"/>
      <c r="Q391" s="20"/>
      <c r="R391" s="20"/>
      <c r="S391" s="20"/>
      <c r="T391" s="20"/>
      <c r="U391" s="21"/>
    </row>
    <row r="392" spans="1:21" ht="28" customHeight="1" x14ac:dyDescent="0.35">
      <c r="A392" s="4" t="s">
        <v>31</v>
      </c>
      <c r="B392" s="3" t="s">
        <v>232</v>
      </c>
      <c r="C392" s="4" t="s">
        <v>32</v>
      </c>
      <c r="D392" s="3"/>
      <c r="E392" s="4" t="s">
        <v>33</v>
      </c>
      <c r="F392" s="8"/>
    </row>
    <row r="393" spans="1:21" ht="28" customHeight="1" x14ac:dyDescent="0.35">
      <c r="A393" s="1" t="s">
        <v>34</v>
      </c>
      <c r="B393" s="1" t="s">
        <v>35</v>
      </c>
      <c r="C393" s="1" t="s">
        <v>36</v>
      </c>
      <c r="D393" s="1" t="s">
        <v>37</v>
      </c>
      <c r="E393" s="1" t="s">
        <v>38</v>
      </c>
      <c r="F393" s="1" t="s">
        <v>39</v>
      </c>
      <c r="G393" s="1" t="s">
        <v>40</v>
      </c>
      <c r="H393" s="1" t="s">
        <v>41</v>
      </c>
      <c r="I393" s="1" t="s">
        <v>42</v>
      </c>
      <c r="J393" s="1" t="s">
        <v>43</v>
      </c>
      <c r="K393" s="1" t="s">
        <v>44</v>
      </c>
      <c r="L393" s="1" t="s">
        <v>45</v>
      </c>
      <c r="M393" s="1" t="s">
        <v>46</v>
      </c>
      <c r="N393" s="1" t="s">
        <v>47</v>
      </c>
      <c r="O393" s="1" t="s">
        <v>48</v>
      </c>
      <c r="P393" s="1" t="s">
        <v>4</v>
      </c>
      <c r="Q393" s="1" t="s">
        <v>49</v>
      </c>
      <c r="R393" s="1" t="s">
        <v>50</v>
      </c>
      <c r="S393" s="1" t="s">
        <v>51</v>
      </c>
      <c r="T393" s="1" t="s">
        <v>52</v>
      </c>
      <c r="U393" s="1" t="s">
        <v>10</v>
      </c>
    </row>
    <row r="394" spans="1:21" ht="28" customHeight="1" x14ac:dyDescent="0.35">
      <c r="A394" s="4">
        <v>1</v>
      </c>
      <c r="B394" s="4" t="s">
        <v>270</v>
      </c>
      <c r="C394" s="4" t="s">
        <v>271</v>
      </c>
      <c r="D394" s="4" t="s">
        <v>272</v>
      </c>
      <c r="E394" s="4" t="s">
        <v>109</v>
      </c>
      <c r="F394" s="4" t="s">
        <v>273</v>
      </c>
      <c r="G394" s="4" t="s">
        <v>199</v>
      </c>
      <c r="H394" s="4" t="s">
        <v>59</v>
      </c>
      <c r="I394" s="3"/>
      <c r="J394" s="3"/>
      <c r="K394" s="3"/>
      <c r="L394" s="3"/>
      <c r="M394" s="3"/>
      <c r="N394" s="3"/>
      <c r="O394" s="3"/>
      <c r="P394" s="8"/>
      <c r="Q394" s="8"/>
      <c r="R394" s="3"/>
      <c r="S394" s="3"/>
      <c r="T394" s="3"/>
      <c r="U394" s="5" t="str">
        <f t="shared" ref="U394:U410" si="19">IF(I394="","",IF(I394="NA","Grey",IF(I394=2,"Green",IF(I394=1,"Amber","Red"))))</f>
        <v/>
      </c>
    </row>
    <row r="395" spans="1:21" ht="28" customHeight="1" x14ac:dyDescent="0.35">
      <c r="A395" s="4">
        <v>2</v>
      </c>
      <c r="B395" s="4" t="s">
        <v>270</v>
      </c>
      <c r="C395" s="4" t="s">
        <v>274</v>
      </c>
      <c r="D395" s="4" t="s">
        <v>275</v>
      </c>
      <c r="E395" s="4" t="s">
        <v>69</v>
      </c>
      <c r="F395" s="4" t="s">
        <v>276</v>
      </c>
      <c r="G395" s="4" t="s">
        <v>199</v>
      </c>
      <c r="H395" s="4" t="s">
        <v>76</v>
      </c>
      <c r="I395" s="3"/>
      <c r="J395" s="3"/>
      <c r="K395" s="3"/>
      <c r="L395" s="3"/>
      <c r="M395" s="3"/>
      <c r="N395" s="3"/>
      <c r="O395" s="3"/>
      <c r="P395" s="8"/>
      <c r="Q395" s="8"/>
      <c r="R395" s="3"/>
      <c r="S395" s="3"/>
      <c r="T395" s="3"/>
      <c r="U395" s="5" t="str">
        <f t="shared" si="19"/>
        <v/>
      </c>
    </row>
    <row r="396" spans="1:21" ht="28" customHeight="1" x14ac:dyDescent="0.35">
      <c r="A396" s="4">
        <v>3</v>
      </c>
      <c r="B396" s="4" t="s">
        <v>270</v>
      </c>
      <c r="C396" s="4" t="s">
        <v>277</v>
      </c>
      <c r="D396" s="4" t="s">
        <v>278</v>
      </c>
      <c r="E396" s="4" t="s">
        <v>279</v>
      </c>
      <c r="F396" s="4" t="s">
        <v>280</v>
      </c>
      <c r="G396" s="4" t="s">
        <v>209</v>
      </c>
      <c r="H396" s="4" t="s">
        <v>76</v>
      </c>
      <c r="I396" s="3"/>
      <c r="J396" s="3"/>
      <c r="K396" s="3"/>
      <c r="L396" s="3"/>
      <c r="M396" s="3"/>
      <c r="N396" s="3"/>
      <c r="O396" s="3"/>
      <c r="P396" s="8"/>
      <c r="Q396" s="8"/>
      <c r="R396" s="3"/>
      <c r="S396" s="3"/>
      <c r="T396" s="3"/>
      <c r="U396" s="5" t="str">
        <f t="shared" si="19"/>
        <v/>
      </c>
    </row>
    <row r="397" spans="1:21" ht="28" customHeight="1" x14ac:dyDescent="0.35">
      <c r="A397" s="4">
        <v>4</v>
      </c>
      <c r="B397" s="4" t="s">
        <v>270</v>
      </c>
      <c r="C397" s="4" t="s">
        <v>281</v>
      </c>
      <c r="D397" s="4" t="s">
        <v>282</v>
      </c>
      <c r="E397" s="4" t="s">
        <v>283</v>
      </c>
      <c r="F397" s="4" t="s">
        <v>284</v>
      </c>
      <c r="G397" s="4" t="s">
        <v>204</v>
      </c>
      <c r="H397" s="4" t="s">
        <v>76</v>
      </c>
      <c r="I397" s="3"/>
      <c r="J397" s="3"/>
      <c r="K397" s="3"/>
      <c r="L397" s="3"/>
      <c r="M397" s="3"/>
      <c r="N397" s="3"/>
      <c r="O397" s="3"/>
      <c r="P397" s="8"/>
      <c r="Q397" s="8"/>
      <c r="R397" s="3"/>
      <c r="S397" s="3"/>
      <c r="T397" s="3"/>
      <c r="U397" s="5" t="str">
        <f t="shared" si="19"/>
        <v/>
      </c>
    </row>
    <row r="398" spans="1:21" ht="28" customHeight="1" x14ac:dyDescent="0.35">
      <c r="A398" s="4">
        <v>5</v>
      </c>
      <c r="B398" s="4" t="s">
        <v>285</v>
      </c>
      <c r="C398" s="4" t="s">
        <v>286</v>
      </c>
      <c r="D398" s="4" t="s">
        <v>287</v>
      </c>
      <c r="E398" s="4" t="s">
        <v>69</v>
      </c>
      <c r="F398" s="4" t="s">
        <v>276</v>
      </c>
      <c r="G398" s="4" t="s">
        <v>199</v>
      </c>
      <c r="H398" s="4" t="s">
        <v>76</v>
      </c>
      <c r="I398" s="3"/>
      <c r="J398" s="3"/>
      <c r="K398" s="3"/>
      <c r="L398" s="3"/>
      <c r="M398" s="3"/>
      <c r="N398" s="3"/>
      <c r="O398" s="3"/>
      <c r="P398" s="8"/>
      <c r="Q398" s="8"/>
      <c r="R398" s="3"/>
      <c r="S398" s="3"/>
      <c r="T398" s="3"/>
      <c r="U398" s="5" t="str">
        <f t="shared" si="19"/>
        <v/>
      </c>
    </row>
    <row r="399" spans="1:21" ht="28" customHeight="1" x14ac:dyDescent="0.35">
      <c r="A399" s="4">
        <v>6</v>
      </c>
      <c r="B399" s="4" t="s">
        <v>285</v>
      </c>
      <c r="C399" s="4" t="s">
        <v>288</v>
      </c>
      <c r="D399" s="4" t="s">
        <v>289</v>
      </c>
      <c r="E399" s="4" t="s">
        <v>70</v>
      </c>
      <c r="F399" s="4" t="s">
        <v>276</v>
      </c>
      <c r="G399" s="4" t="s">
        <v>199</v>
      </c>
      <c r="H399" s="4" t="s">
        <v>59</v>
      </c>
      <c r="I399" s="3"/>
      <c r="J399" s="3"/>
      <c r="K399" s="3"/>
      <c r="L399" s="3"/>
      <c r="M399" s="3"/>
      <c r="N399" s="3"/>
      <c r="O399" s="3"/>
      <c r="P399" s="8"/>
      <c r="Q399" s="8"/>
      <c r="R399" s="3"/>
      <c r="S399" s="3"/>
      <c r="T399" s="3"/>
      <c r="U399" s="5" t="str">
        <f t="shared" si="19"/>
        <v/>
      </c>
    </row>
    <row r="400" spans="1:21" ht="28" customHeight="1" x14ac:dyDescent="0.35">
      <c r="A400" s="4">
        <v>7</v>
      </c>
      <c r="B400" s="4" t="s">
        <v>290</v>
      </c>
      <c r="C400" s="4" t="s">
        <v>291</v>
      </c>
      <c r="D400" s="4" t="s">
        <v>292</v>
      </c>
      <c r="E400" s="4" t="s">
        <v>109</v>
      </c>
      <c r="F400" s="4" t="s">
        <v>284</v>
      </c>
      <c r="G400" s="4" t="s">
        <v>204</v>
      </c>
      <c r="H400" s="4" t="s">
        <v>59</v>
      </c>
      <c r="I400" s="3"/>
      <c r="J400" s="3"/>
      <c r="K400" s="3"/>
      <c r="L400" s="3"/>
      <c r="M400" s="3"/>
      <c r="N400" s="3"/>
      <c r="O400" s="3"/>
      <c r="P400" s="8"/>
      <c r="Q400" s="8"/>
      <c r="R400" s="3"/>
      <c r="S400" s="3"/>
      <c r="T400" s="3"/>
      <c r="U400" s="5" t="str">
        <f t="shared" si="19"/>
        <v/>
      </c>
    </row>
    <row r="401" spans="1:21" ht="28" customHeight="1" x14ac:dyDescent="0.35">
      <c r="A401" s="4">
        <v>8</v>
      </c>
      <c r="B401" s="4" t="s">
        <v>290</v>
      </c>
      <c r="C401" s="4" t="s">
        <v>293</v>
      </c>
      <c r="D401" s="4" t="s">
        <v>294</v>
      </c>
      <c r="E401" s="4" t="s">
        <v>70</v>
      </c>
      <c r="F401" s="4" t="s">
        <v>295</v>
      </c>
      <c r="G401" s="4" t="s">
        <v>199</v>
      </c>
      <c r="H401" s="4" t="s">
        <v>76</v>
      </c>
      <c r="I401" s="3"/>
      <c r="J401" s="3"/>
      <c r="K401" s="3"/>
      <c r="L401" s="3"/>
      <c r="M401" s="3"/>
      <c r="N401" s="3"/>
      <c r="O401" s="3"/>
      <c r="P401" s="8"/>
      <c r="Q401" s="8"/>
      <c r="R401" s="3"/>
      <c r="S401" s="3"/>
      <c r="T401" s="3"/>
      <c r="U401" s="5" t="str">
        <f t="shared" si="19"/>
        <v/>
      </c>
    </row>
    <row r="402" spans="1:21" ht="28" customHeight="1" x14ac:dyDescent="0.35">
      <c r="A402" s="4">
        <v>9</v>
      </c>
      <c r="B402" s="4" t="s">
        <v>296</v>
      </c>
      <c r="C402" s="4" t="s">
        <v>297</v>
      </c>
      <c r="D402" s="4" t="s">
        <v>70</v>
      </c>
      <c r="E402" s="4" t="s">
        <v>70</v>
      </c>
      <c r="F402" s="4" t="s">
        <v>295</v>
      </c>
      <c r="G402" s="4" t="s">
        <v>199</v>
      </c>
      <c r="H402" s="4" t="s">
        <v>76</v>
      </c>
      <c r="I402" s="3"/>
      <c r="J402" s="3"/>
      <c r="K402" s="3"/>
      <c r="L402" s="3"/>
      <c r="M402" s="3"/>
      <c r="N402" s="3"/>
      <c r="O402" s="3"/>
      <c r="P402" s="8"/>
      <c r="Q402" s="8"/>
      <c r="R402" s="3"/>
      <c r="S402" s="3"/>
      <c r="T402" s="3"/>
      <c r="U402" s="5" t="str">
        <f t="shared" si="19"/>
        <v/>
      </c>
    </row>
    <row r="403" spans="1:21" ht="28" customHeight="1" x14ac:dyDescent="0.35">
      <c r="A403" s="4">
        <v>10</v>
      </c>
      <c r="B403" s="4" t="s">
        <v>296</v>
      </c>
      <c r="C403" s="4" t="s">
        <v>298</v>
      </c>
      <c r="D403" s="4" t="s">
        <v>299</v>
      </c>
      <c r="E403" s="4" t="s">
        <v>283</v>
      </c>
      <c r="F403" s="4" t="s">
        <v>284</v>
      </c>
      <c r="G403" s="4" t="s">
        <v>204</v>
      </c>
      <c r="H403" s="4" t="s">
        <v>59</v>
      </c>
      <c r="I403" s="3"/>
      <c r="J403" s="3"/>
      <c r="K403" s="3"/>
      <c r="L403" s="3"/>
      <c r="M403" s="3"/>
      <c r="N403" s="3"/>
      <c r="O403" s="3"/>
      <c r="P403" s="8"/>
      <c r="Q403" s="8"/>
      <c r="R403" s="3"/>
      <c r="S403" s="3"/>
      <c r="T403" s="3"/>
      <c r="U403" s="5" t="str">
        <f t="shared" si="19"/>
        <v/>
      </c>
    </row>
    <row r="404" spans="1:21" ht="28" customHeight="1" x14ac:dyDescent="0.35">
      <c r="A404" s="4">
        <v>11</v>
      </c>
      <c r="B404" s="4" t="s">
        <v>300</v>
      </c>
      <c r="C404" s="4" t="s">
        <v>301</v>
      </c>
      <c r="D404" s="4" t="s">
        <v>302</v>
      </c>
      <c r="E404" s="4" t="s">
        <v>56</v>
      </c>
      <c r="F404" s="4" t="s">
        <v>276</v>
      </c>
      <c r="G404" s="4" t="s">
        <v>199</v>
      </c>
      <c r="H404" s="4" t="s">
        <v>76</v>
      </c>
      <c r="I404" s="3"/>
      <c r="J404" s="3"/>
      <c r="K404" s="3"/>
      <c r="L404" s="3"/>
      <c r="M404" s="3"/>
      <c r="N404" s="3"/>
      <c r="O404" s="3"/>
      <c r="P404" s="8"/>
      <c r="Q404" s="8"/>
      <c r="R404" s="3"/>
      <c r="S404" s="3"/>
      <c r="T404" s="3"/>
      <c r="U404" s="5" t="str">
        <f t="shared" si="19"/>
        <v/>
      </c>
    </row>
    <row r="405" spans="1:21" ht="28" customHeight="1" x14ac:dyDescent="0.35">
      <c r="A405" s="4">
        <v>12</v>
      </c>
      <c r="B405" s="4" t="s">
        <v>303</v>
      </c>
      <c r="C405" s="4" t="s">
        <v>304</v>
      </c>
      <c r="D405" s="4" t="s">
        <v>305</v>
      </c>
      <c r="E405" s="4" t="s">
        <v>283</v>
      </c>
      <c r="F405" s="4" t="s">
        <v>276</v>
      </c>
      <c r="G405" s="4" t="s">
        <v>199</v>
      </c>
      <c r="H405" s="4" t="s">
        <v>76</v>
      </c>
      <c r="I405" s="3"/>
      <c r="J405" s="3"/>
      <c r="K405" s="3"/>
      <c r="L405" s="3"/>
      <c r="M405" s="3"/>
      <c r="N405" s="3"/>
      <c r="O405" s="3"/>
      <c r="P405" s="8"/>
      <c r="Q405" s="8"/>
      <c r="R405" s="3"/>
      <c r="S405" s="3"/>
      <c r="T405" s="3"/>
      <c r="U405" s="5" t="str">
        <f t="shared" si="19"/>
        <v/>
      </c>
    </row>
    <row r="406" spans="1:21" ht="28" customHeight="1" x14ac:dyDescent="0.35">
      <c r="A406" s="4">
        <v>13</v>
      </c>
      <c r="B406" s="4" t="s">
        <v>306</v>
      </c>
      <c r="C406" s="4" t="s">
        <v>307</v>
      </c>
      <c r="D406" s="4" t="s">
        <v>308</v>
      </c>
      <c r="E406" s="4" t="s">
        <v>69</v>
      </c>
      <c r="F406" s="4" t="s">
        <v>273</v>
      </c>
      <c r="G406" s="4" t="s">
        <v>96</v>
      </c>
      <c r="H406" s="4" t="s">
        <v>59</v>
      </c>
      <c r="I406" s="3"/>
      <c r="J406" s="3"/>
      <c r="K406" s="3"/>
      <c r="L406" s="3"/>
      <c r="M406" s="3"/>
      <c r="N406" s="3"/>
      <c r="O406" s="3"/>
      <c r="P406" s="8"/>
      <c r="Q406" s="8"/>
      <c r="R406" s="3"/>
      <c r="S406" s="3"/>
      <c r="T406" s="3"/>
      <c r="U406" s="5" t="str">
        <f t="shared" si="19"/>
        <v/>
      </c>
    </row>
    <row r="407" spans="1:21" ht="28" customHeight="1" x14ac:dyDescent="0.35">
      <c r="A407" s="4">
        <v>14</v>
      </c>
      <c r="B407" s="4" t="s">
        <v>97</v>
      </c>
      <c r="C407" s="4" t="s">
        <v>98</v>
      </c>
      <c r="D407" s="4" t="s">
        <v>99</v>
      </c>
      <c r="E407" s="4" t="s">
        <v>69</v>
      </c>
      <c r="F407" s="4" t="s">
        <v>95</v>
      </c>
      <c r="G407" s="4" t="s">
        <v>96</v>
      </c>
      <c r="H407" s="4" t="s">
        <v>59</v>
      </c>
      <c r="I407" s="3"/>
      <c r="J407" s="3"/>
      <c r="K407" s="3"/>
      <c r="L407" s="3"/>
      <c r="M407" s="3"/>
      <c r="N407" s="3"/>
      <c r="O407" s="3"/>
      <c r="P407" s="8"/>
      <c r="Q407" s="8"/>
      <c r="R407" s="3"/>
      <c r="S407" s="3"/>
      <c r="T407" s="3"/>
      <c r="U407" s="5" t="str">
        <f t="shared" si="19"/>
        <v/>
      </c>
    </row>
    <row r="408" spans="1:21" ht="28" customHeight="1" x14ac:dyDescent="0.35">
      <c r="A408" s="4">
        <v>15</v>
      </c>
      <c r="B408" s="4" t="s">
        <v>97</v>
      </c>
      <c r="C408" s="4" t="s">
        <v>100</v>
      </c>
      <c r="D408" s="4" t="s">
        <v>101</v>
      </c>
      <c r="E408" s="4" t="s">
        <v>69</v>
      </c>
      <c r="F408" s="4" t="s">
        <v>95</v>
      </c>
      <c r="G408" s="4" t="s">
        <v>102</v>
      </c>
      <c r="H408" s="4" t="s">
        <v>59</v>
      </c>
      <c r="I408" s="3"/>
      <c r="J408" s="3"/>
      <c r="K408" s="3"/>
      <c r="L408" s="3"/>
      <c r="M408" s="3"/>
      <c r="N408" s="3"/>
      <c r="O408" s="3"/>
      <c r="P408" s="8"/>
      <c r="Q408" s="8"/>
      <c r="R408" s="3"/>
      <c r="S408" s="3"/>
      <c r="T408" s="3"/>
      <c r="U408" s="5" t="str">
        <f t="shared" si="19"/>
        <v/>
      </c>
    </row>
    <row r="409" spans="1:21" ht="28" customHeight="1" x14ac:dyDescent="0.35">
      <c r="A409" s="4">
        <v>16</v>
      </c>
      <c r="B409" s="4" t="s">
        <v>103</v>
      </c>
      <c r="C409" s="4" t="s">
        <v>104</v>
      </c>
      <c r="D409" s="4" t="s">
        <v>105</v>
      </c>
      <c r="E409" s="4" t="s">
        <v>69</v>
      </c>
      <c r="F409" s="4" t="s">
        <v>95</v>
      </c>
      <c r="G409" s="4" t="s">
        <v>96</v>
      </c>
      <c r="H409" s="4" t="s">
        <v>85</v>
      </c>
      <c r="I409" s="3"/>
      <c r="J409" s="3"/>
      <c r="K409" s="3"/>
      <c r="L409" s="3"/>
      <c r="M409" s="3"/>
      <c r="N409" s="3"/>
      <c r="O409" s="3"/>
      <c r="P409" s="8"/>
      <c r="Q409" s="8"/>
      <c r="R409" s="3"/>
      <c r="S409" s="3"/>
      <c r="T409" s="3"/>
      <c r="U409" s="5" t="str">
        <f t="shared" si="19"/>
        <v/>
      </c>
    </row>
    <row r="410" spans="1:21" ht="28" customHeight="1" x14ac:dyDescent="0.35">
      <c r="A410" s="4">
        <v>17</v>
      </c>
      <c r="B410" s="4" t="s">
        <v>106</v>
      </c>
      <c r="C410" s="4" t="s">
        <v>107</v>
      </c>
      <c r="D410" s="4" t="s">
        <v>108</v>
      </c>
      <c r="E410" s="4" t="s">
        <v>109</v>
      </c>
      <c r="F410" s="4" t="s">
        <v>95</v>
      </c>
      <c r="G410" s="4" t="s">
        <v>96</v>
      </c>
      <c r="H410" s="4" t="s">
        <v>59</v>
      </c>
      <c r="I410" s="3"/>
      <c r="J410" s="3"/>
      <c r="K410" s="3"/>
      <c r="L410" s="3"/>
      <c r="M410" s="3"/>
      <c r="N410" s="3"/>
      <c r="O410" s="3"/>
      <c r="P410" s="8"/>
      <c r="Q410" s="8"/>
      <c r="R410" s="3"/>
      <c r="S410" s="3"/>
      <c r="T410" s="3"/>
      <c r="U410" s="5" t="str">
        <f t="shared" si="19"/>
        <v/>
      </c>
    </row>
    <row r="412" spans="1:21" ht="28" customHeight="1" x14ac:dyDescent="0.35">
      <c r="A412" s="9" t="s">
        <v>110</v>
      </c>
      <c r="B412" s="16"/>
      <c r="C412" s="17"/>
      <c r="D412" s="17"/>
      <c r="E412" s="17"/>
      <c r="F412" s="17"/>
      <c r="G412" s="17"/>
      <c r="H412" s="17"/>
      <c r="I412" s="17"/>
      <c r="J412" s="17"/>
      <c r="K412" s="17"/>
      <c r="L412" s="17"/>
      <c r="M412" s="17"/>
      <c r="N412" s="17"/>
      <c r="O412" s="17"/>
      <c r="P412" s="17"/>
      <c r="Q412" s="17"/>
      <c r="R412" s="17"/>
      <c r="S412" s="17"/>
      <c r="T412" s="17"/>
      <c r="U412" s="18"/>
    </row>
    <row r="413" spans="1:21" ht="28" customHeight="1" x14ac:dyDescent="0.35">
      <c r="A413" s="19" t="s">
        <v>324</v>
      </c>
      <c r="B413" s="20"/>
      <c r="C413" s="20"/>
      <c r="D413" s="20"/>
      <c r="E413" s="20"/>
      <c r="F413" s="20"/>
      <c r="G413" s="20"/>
      <c r="H413" s="20"/>
      <c r="I413" s="20"/>
      <c r="J413" s="20"/>
      <c r="K413" s="20"/>
      <c r="L413" s="20"/>
      <c r="M413" s="20"/>
      <c r="N413" s="20"/>
      <c r="O413" s="20"/>
      <c r="P413" s="20"/>
      <c r="Q413" s="20"/>
      <c r="R413" s="20"/>
      <c r="S413" s="20"/>
      <c r="T413" s="20"/>
      <c r="U413" s="21"/>
    </row>
    <row r="414" spans="1:21" ht="28" customHeight="1" x14ac:dyDescent="0.35">
      <c r="A414" s="4" t="s">
        <v>31</v>
      </c>
      <c r="B414" s="3" t="s">
        <v>233</v>
      </c>
      <c r="C414" s="4" t="s">
        <v>32</v>
      </c>
      <c r="D414" s="3"/>
      <c r="E414" s="4" t="s">
        <v>33</v>
      </c>
      <c r="F414" s="8"/>
    </row>
    <row r="415" spans="1:21" ht="28" customHeight="1" x14ac:dyDescent="0.35">
      <c r="A415" s="1" t="s">
        <v>34</v>
      </c>
      <c r="B415" s="1" t="s">
        <v>35</v>
      </c>
      <c r="C415" s="1" t="s">
        <v>36</v>
      </c>
      <c r="D415" s="1" t="s">
        <v>37</v>
      </c>
      <c r="E415" s="1" t="s">
        <v>38</v>
      </c>
      <c r="F415" s="1" t="s">
        <v>39</v>
      </c>
      <c r="G415" s="1" t="s">
        <v>40</v>
      </c>
      <c r="H415" s="1" t="s">
        <v>41</v>
      </c>
      <c r="I415" s="1" t="s">
        <v>42</v>
      </c>
      <c r="J415" s="1" t="s">
        <v>43</v>
      </c>
      <c r="K415" s="1" t="s">
        <v>44</v>
      </c>
      <c r="L415" s="1" t="s">
        <v>45</v>
      </c>
      <c r="M415" s="1" t="s">
        <v>46</v>
      </c>
      <c r="N415" s="1" t="s">
        <v>47</v>
      </c>
      <c r="O415" s="1" t="s">
        <v>48</v>
      </c>
      <c r="P415" s="1" t="s">
        <v>4</v>
      </c>
      <c r="Q415" s="1" t="s">
        <v>49</v>
      </c>
      <c r="R415" s="1" t="s">
        <v>50</v>
      </c>
      <c r="S415" s="1" t="s">
        <v>51</v>
      </c>
      <c r="T415" s="1" t="s">
        <v>52</v>
      </c>
      <c r="U415" s="1" t="s">
        <v>10</v>
      </c>
    </row>
    <row r="416" spans="1:21" ht="28" customHeight="1" x14ac:dyDescent="0.35">
      <c r="A416" s="4">
        <v>1</v>
      </c>
      <c r="B416" s="4" t="s">
        <v>270</v>
      </c>
      <c r="C416" s="4" t="s">
        <v>271</v>
      </c>
      <c r="D416" s="4" t="s">
        <v>272</v>
      </c>
      <c r="E416" s="4" t="s">
        <v>109</v>
      </c>
      <c r="F416" s="4" t="s">
        <v>273</v>
      </c>
      <c r="G416" s="4" t="s">
        <v>199</v>
      </c>
      <c r="H416" s="4" t="s">
        <v>59</v>
      </c>
      <c r="I416" s="3"/>
      <c r="J416" s="3"/>
      <c r="K416" s="3"/>
      <c r="L416" s="3"/>
      <c r="M416" s="3"/>
      <c r="N416" s="3"/>
      <c r="O416" s="3"/>
      <c r="P416" s="8"/>
      <c r="Q416" s="8"/>
      <c r="R416" s="3"/>
      <c r="S416" s="3"/>
      <c r="T416" s="3"/>
      <c r="U416" s="5" t="str">
        <f t="shared" ref="U416:U432" si="20">IF(I416="","",IF(I416="NA","Grey",IF(I416=2,"Green",IF(I416=1,"Amber","Red"))))</f>
        <v/>
      </c>
    </row>
    <row r="417" spans="1:21" ht="28" customHeight="1" x14ac:dyDescent="0.35">
      <c r="A417" s="4">
        <v>2</v>
      </c>
      <c r="B417" s="4" t="s">
        <v>270</v>
      </c>
      <c r="C417" s="4" t="s">
        <v>274</v>
      </c>
      <c r="D417" s="4" t="s">
        <v>275</v>
      </c>
      <c r="E417" s="4" t="s">
        <v>69</v>
      </c>
      <c r="F417" s="4" t="s">
        <v>276</v>
      </c>
      <c r="G417" s="4" t="s">
        <v>199</v>
      </c>
      <c r="H417" s="4" t="s">
        <v>76</v>
      </c>
      <c r="I417" s="3"/>
      <c r="J417" s="3"/>
      <c r="K417" s="3"/>
      <c r="L417" s="3"/>
      <c r="M417" s="3"/>
      <c r="N417" s="3"/>
      <c r="O417" s="3"/>
      <c r="P417" s="8"/>
      <c r="Q417" s="8"/>
      <c r="R417" s="3"/>
      <c r="S417" s="3"/>
      <c r="T417" s="3"/>
      <c r="U417" s="5" t="str">
        <f t="shared" si="20"/>
        <v/>
      </c>
    </row>
    <row r="418" spans="1:21" ht="28" customHeight="1" x14ac:dyDescent="0.35">
      <c r="A418" s="4">
        <v>3</v>
      </c>
      <c r="B418" s="4" t="s">
        <v>270</v>
      </c>
      <c r="C418" s="4" t="s">
        <v>277</v>
      </c>
      <c r="D418" s="4" t="s">
        <v>278</v>
      </c>
      <c r="E418" s="4" t="s">
        <v>279</v>
      </c>
      <c r="F418" s="4" t="s">
        <v>280</v>
      </c>
      <c r="G418" s="4" t="s">
        <v>209</v>
      </c>
      <c r="H418" s="4" t="s">
        <v>76</v>
      </c>
      <c r="I418" s="3"/>
      <c r="J418" s="3"/>
      <c r="K418" s="3"/>
      <c r="L418" s="3"/>
      <c r="M418" s="3"/>
      <c r="N418" s="3"/>
      <c r="O418" s="3"/>
      <c r="P418" s="8"/>
      <c r="Q418" s="8"/>
      <c r="R418" s="3"/>
      <c r="S418" s="3"/>
      <c r="T418" s="3"/>
      <c r="U418" s="5" t="str">
        <f t="shared" si="20"/>
        <v/>
      </c>
    </row>
    <row r="419" spans="1:21" ht="28" customHeight="1" x14ac:dyDescent="0.35">
      <c r="A419" s="4">
        <v>4</v>
      </c>
      <c r="B419" s="4" t="s">
        <v>270</v>
      </c>
      <c r="C419" s="4" t="s">
        <v>281</v>
      </c>
      <c r="D419" s="4" t="s">
        <v>282</v>
      </c>
      <c r="E419" s="4" t="s">
        <v>283</v>
      </c>
      <c r="F419" s="4" t="s">
        <v>284</v>
      </c>
      <c r="G419" s="4" t="s">
        <v>204</v>
      </c>
      <c r="H419" s="4" t="s">
        <v>76</v>
      </c>
      <c r="I419" s="3"/>
      <c r="J419" s="3"/>
      <c r="K419" s="3"/>
      <c r="L419" s="3"/>
      <c r="M419" s="3"/>
      <c r="N419" s="3"/>
      <c r="O419" s="3"/>
      <c r="P419" s="8"/>
      <c r="Q419" s="8"/>
      <c r="R419" s="3"/>
      <c r="S419" s="3"/>
      <c r="T419" s="3"/>
      <c r="U419" s="5" t="str">
        <f t="shared" si="20"/>
        <v/>
      </c>
    </row>
    <row r="420" spans="1:21" ht="28" customHeight="1" x14ac:dyDescent="0.35">
      <c r="A420" s="4">
        <v>5</v>
      </c>
      <c r="B420" s="4" t="s">
        <v>285</v>
      </c>
      <c r="C420" s="4" t="s">
        <v>286</v>
      </c>
      <c r="D420" s="4" t="s">
        <v>287</v>
      </c>
      <c r="E420" s="4" t="s">
        <v>69</v>
      </c>
      <c r="F420" s="4" t="s">
        <v>276</v>
      </c>
      <c r="G420" s="4" t="s">
        <v>199</v>
      </c>
      <c r="H420" s="4" t="s">
        <v>76</v>
      </c>
      <c r="I420" s="3"/>
      <c r="J420" s="3"/>
      <c r="K420" s="3"/>
      <c r="L420" s="3"/>
      <c r="M420" s="3"/>
      <c r="N420" s="3"/>
      <c r="O420" s="3"/>
      <c r="P420" s="8"/>
      <c r="Q420" s="8"/>
      <c r="R420" s="3"/>
      <c r="S420" s="3"/>
      <c r="T420" s="3"/>
      <c r="U420" s="5" t="str">
        <f t="shared" si="20"/>
        <v/>
      </c>
    </row>
    <row r="421" spans="1:21" ht="28" customHeight="1" x14ac:dyDescent="0.35">
      <c r="A421" s="4">
        <v>6</v>
      </c>
      <c r="B421" s="4" t="s">
        <v>285</v>
      </c>
      <c r="C421" s="4" t="s">
        <v>288</v>
      </c>
      <c r="D421" s="4" t="s">
        <v>289</v>
      </c>
      <c r="E421" s="4" t="s">
        <v>70</v>
      </c>
      <c r="F421" s="4" t="s">
        <v>276</v>
      </c>
      <c r="G421" s="4" t="s">
        <v>199</v>
      </c>
      <c r="H421" s="4" t="s">
        <v>59</v>
      </c>
      <c r="I421" s="3"/>
      <c r="J421" s="3"/>
      <c r="K421" s="3"/>
      <c r="L421" s="3"/>
      <c r="M421" s="3"/>
      <c r="N421" s="3"/>
      <c r="O421" s="3"/>
      <c r="P421" s="8"/>
      <c r="Q421" s="8"/>
      <c r="R421" s="3"/>
      <c r="S421" s="3"/>
      <c r="T421" s="3"/>
      <c r="U421" s="5" t="str">
        <f t="shared" si="20"/>
        <v/>
      </c>
    </row>
    <row r="422" spans="1:21" ht="28" customHeight="1" x14ac:dyDescent="0.35">
      <c r="A422" s="4">
        <v>7</v>
      </c>
      <c r="B422" s="4" t="s">
        <v>290</v>
      </c>
      <c r="C422" s="4" t="s">
        <v>291</v>
      </c>
      <c r="D422" s="4" t="s">
        <v>292</v>
      </c>
      <c r="E422" s="4" t="s">
        <v>109</v>
      </c>
      <c r="F422" s="4" t="s">
        <v>284</v>
      </c>
      <c r="G422" s="4" t="s">
        <v>204</v>
      </c>
      <c r="H422" s="4" t="s">
        <v>59</v>
      </c>
      <c r="I422" s="3"/>
      <c r="J422" s="3"/>
      <c r="K422" s="3"/>
      <c r="L422" s="3"/>
      <c r="M422" s="3"/>
      <c r="N422" s="3"/>
      <c r="O422" s="3"/>
      <c r="P422" s="8"/>
      <c r="Q422" s="8"/>
      <c r="R422" s="3"/>
      <c r="S422" s="3"/>
      <c r="T422" s="3"/>
      <c r="U422" s="5" t="str">
        <f t="shared" si="20"/>
        <v/>
      </c>
    </row>
    <row r="423" spans="1:21" ht="28" customHeight="1" x14ac:dyDescent="0.35">
      <c r="A423" s="4">
        <v>8</v>
      </c>
      <c r="B423" s="4" t="s">
        <v>290</v>
      </c>
      <c r="C423" s="4" t="s">
        <v>293</v>
      </c>
      <c r="D423" s="4" t="s">
        <v>294</v>
      </c>
      <c r="E423" s="4" t="s">
        <v>70</v>
      </c>
      <c r="F423" s="4" t="s">
        <v>295</v>
      </c>
      <c r="G423" s="4" t="s">
        <v>199</v>
      </c>
      <c r="H423" s="4" t="s">
        <v>76</v>
      </c>
      <c r="I423" s="3"/>
      <c r="J423" s="3"/>
      <c r="K423" s="3"/>
      <c r="L423" s="3"/>
      <c r="M423" s="3"/>
      <c r="N423" s="3"/>
      <c r="O423" s="3"/>
      <c r="P423" s="8"/>
      <c r="Q423" s="8"/>
      <c r="R423" s="3"/>
      <c r="S423" s="3"/>
      <c r="T423" s="3"/>
      <c r="U423" s="5" t="str">
        <f t="shared" si="20"/>
        <v/>
      </c>
    </row>
    <row r="424" spans="1:21" ht="28" customHeight="1" x14ac:dyDescent="0.35">
      <c r="A424" s="4">
        <v>9</v>
      </c>
      <c r="B424" s="4" t="s">
        <v>296</v>
      </c>
      <c r="C424" s="4" t="s">
        <v>297</v>
      </c>
      <c r="D424" s="4" t="s">
        <v>70</v>
      </c>
      <c r="E424" s="4" t="s">
        <v>70</v>
      </c>
      <c r="F424" s="4" t="s">
        <v>295</v>
      </c>
      <c r="G424" s="4" t="s">
        <v>199</v>
      </c>
      <c r="H424" s="4" t="s">
        <v>76</v>
      </c>
      <c r="I424" s="3"/>
      <c r="J424" s="3"/>
      <c r="K424" s="3"/>
      <c r="L424" s="3"/>
      <c r="M424" s="3"/>
      <c r="N424" s="3"/>
      <c r="O424" s="3"/>
      <c r="P424" s="8"/>
      <c r="Q424" s="8"/>
      <c r="R424" s="3"/>
      <c r="S424" s="3"/>
      <c r="T424" s="3"/>
      <c r="U424" s="5" t="str">
        <f t="shared" si="20"/>
        <v/>
      </c>
    </row>
    <row r="425" spans="1:21" ht="28" customHeight="1" x14ac:dyDescent="0.35">
      <c r="A425" s="4">
        <v>10</v>
      </c>
      <c r="B425" s="4" t="s">
        <v>296</v>
      </c>
      <c r="C425" s="4" t="s">
        <v>298</v>
      </c>
      <c r="D425" s="4" t="s">
        <v>299</v>
      </c>
      <c r="E425" s="4" t="s">
        <v>283</v>
      </c>
      <c r="F425" s="4" t="s">
        <v>284</v>
      </c>
      <c r="G425" s="4" t="s">
        <v>204</v>
      </c>
      <c r="H425" s="4" t="s">
        <v>59</v>
      </c>
      <c r="I425" s="3"/>
      <c r="J425" s="3"/>
      <c r="K425" s="3"/>
      <c r="L425" s="3"/>
      <c r="M425" s="3"/>
      <c r="N425" s="3"/>
      <c r="O425" s="3"/>
      <c r="P425" s="8"/>
      <c r="Q425" s="8"/>
      <c r="R425" s="3"/>
      <c r="S425" s="3"/>
      <c r="T425" s="3"/>
      <c r="U425" s="5" t="str">
        <f t="shared" si="20"/>
        <v/>
      </c>
    </row>
    <row r="426" spans="1:21" ht="28" customHeight="1" x14ac:dyDescent="0.35">
      <c r="A426" s="4">
        <v>11</v>
      </c>
      <c r="B426" s="4" t="s">
        <v>300</v>
      </c>
      <c r="C426" s="4" t="s">
        <v>301</v>
      </c>
      <c r="D426" s="4" t="s">
        <v>302</v>
      </c>
      <c r="E426" s="4" t="s">
        <v>56</v>
      </c>
      <c r="F426" s="4" t="s">
        <v>276</v>
      </c>
      <c r="G426" s="4" t="s">
        <v>199</v>
      </c>
      <c r="H426" s="4" t="s">
        <v>76</v>
      </c>
      <c r="I426" s="3"/>
      <c r="J426" s="3"/>
      <c r="K426" s="3"/>
      <c r="L426" s="3"/>
      <c r="M426" s="3"/>
      <c r="N426" s="3"/>
      <c r="O426" s="3"/>
      <c r="P426" s="8"/>
      <c r="Q426" s="8"/>
      <c r="R426" s="3"/>
      <c r="S426" s="3"/>
      <c r="T426" s="3"/>
      <c r="U426" s="5" t="str">
        <f t="shared" si="20"/>
        <v/>
      </c>
    </row>
    <row r="427" spans="1:21" ht="28" customHeight="1" x14ac:dyDescent="0.35">
      <c r="A427" s="4">
        <v>12</v>
      </c>
      <c r="B427" s="4" t="s">
        <v>303</v>
      </c>
      <c r="C427" s="4" t="s">
        <v>304</v>
      </c>
      <c r="D427" s="4" t="s">
        <v>305</v>
      </c>
      <c r="E427" s="4" t="s">
        <v>283</v>
      </c>
      <c r="F427" s="4" t="s">
        <v>276</v>
      </c>
      <c r="G427" s="4" t="s">
        <v>199</v>
      </c>
      <c r="H427" s="4" t="s">
        <v>76</v>
      </c>
      <c r="I427" s="3"/>
      <c r="J427" s="3"/>
      <c r="K427" s="3"/>
      <c r="L427" s="3"/>
      <c r="M427" s="3"/>
      <c r="N427" s="3"/>
      <c r="O427" s="3"/>
      <c r="P427" s="8"/>
      <c r="Q427" s="8"/>
      <c r="R427" s="3"/>
      <c r="S427" s="3"/>
      <c r="T427" s="3"/>
      <c r="U427" s="5" t="str">
        <f t="shared" si="20"/>
        <v/>
      </c>
    </row>
    <row r="428" spans="1:21" ht="28" customHeight="1" x14ac:dyDescent="0.35">
      <c r="A428" s="4">
        <v>13</v>
      </c>
      <c r="B428" s="4" t="s">
        <v>306</v>
      </c>
      <c r="C428" s="4" t="s">
        <v>307</v>
      </c>
      <c r="D428" s="4" t="s">
        <v>308</v>
      </c>
      <c r="E428" s="4" t="s">
        <v>69</v>
      </c>
      <c r="F428" s="4" t="s">
        <v>273</v>
      </c>
      <c r="G428" s="4" t="s">
        <v>96</v>
      </c>
      <c r="H428" s="4" t="s">
        <v>59</v>
      </c>
      <c r="I428" s="3"/>
      <c r="J428" s="3"/>
      <c r="K428" s="3"/>
      <c r="L428" s="3"/>
      <c r="M428" s="3"/>
      <c r="N428" s="3"/>
      <c r="O428" s="3"/>
      <c r="P428" s="8"/>
      <c r="Q428" s="8"/>
      <c r="R428" s="3"/>
      <c r="S428" s="3"/>
      <c r="T428" s="3"/>
      <c r="U428" s="5" t="str">
        <f t="shared" si="20"/>
        <v/>
      </c>
    </row>
    <row r="429" spans="1:21" ht="28" customHeight="1" x14ac:dyDescent="0.35">
      <c r="A429" s="4">
        <v>14</v>
      </c>
      <c r="B429" s="4" t="s">
        <v>97</v>
      </c>
      <c r="C429" s="4" t="s">
        <v>98</v>
      </c>
      <c r="D429" s="4" t="s">
        <v>99</v>
      </c>
      <c r="E429" s="4" t="s">
        <v>69</v>
      </c>
      <c r="F429" s="4" t="s">
        <v>95</v>
      </c>
      <c r="G429" s="4" t="s">
        <v>96</v>
      </c>
      <c r="H429" s="4" t="s">
        <v>59</v>
      </c>
      <c r="I429" s="3"/>
      <c r="J429" s="3"/>
      <c r="K429" s="3"/>
      <c r="L429" s="3"/>
      <c r="M429" s="3"/>
      <c r="N429" s="3"/>
      <c r="O429" s="3"/>
      <c r="P429" s="8"/>
      <c r="Q429" s="8"/>
      <c r="R429" s="3"/>
      <c r="S429" s="3"/>
      <c r="T429" s="3"/>
      <c r="U429" s="5" t="str">
        <f t="shared" si="20"/>
        <v/>
      </c>
    </row>
    <row r="430" spans="1:21" ht="28" customHeight="1" x14ac:dyDescent="0.35">
      <c r="A430" s="4">
        <v>15</v>
      </c>
      <c r="B430" s="4" t="s">
        <v>97</v>
      </c>
      <c r="C430" s="4" t="s">
        <v>100</v>
      </c>
      <c r="D430" s="4" t="s">
        <v>101</v>
      </c>
      <c r="E430" s="4" t="s">
        <v>69</v>
      </c>
      <c r="F430" s="4" t="s">
        <v>95</v>
      </c>
      <c r="G430" s="4" t="s">
        <v>102</v>
      </c>
      <c r="H430" s="4" t="s">
        <v>59</v>
      </c>
      <c r="I430" s="3"/>
      <c r="J430" s="3"/>
      <c r="K430" s="3"/>
      <c r="L430" s="3"/>
      <c r="M430" s="3"/>
      <c r="N430" s="3"/>
      <c r="O430" s="3"/>
      <c r="P430" s="8"/>
      <c r="Q430" s="8"/>
      <c r="R430" s="3"/>
      <c r="S430" s="3"/>
      <c r="T430" s="3"/>
      <c r="U430" s="5" t="str">
        <f t="shared" si="20"/>
        <v/>
      </c>
    </row>
    <row r="431" spans="1:21" ht="28" customHeight="1" x14ac:dyDescent="0.35">
      <c r="A431" s="4">
        <v>16</v>
      </c>
      <c r="B431" s="4" t="s">
        <v>103</v>
      </c>
      <c r="C431" s="4" t="s">
        <v>104</v>
      </c>
      <c r="D431" s="4" t="s">
        <v>105</v>
      </c>
      <c r="E431" s="4" t="s">
        <v>69</v>
      </c>
      <c r="F431" s="4" t="s">
        <v>95</v>
      </c>
      <c r="G431" s="4" t="s">
        <v>96</v>
      </c>
      <c r="H431" s="4" t="s">
        <v>85</v>
      </c>
      <c r="I431" s="3"/>
      <c r="J431" s="3"/>
      <c r="K431" s="3"/>
      <c r="L431" s="3"/>
      <c r="M431" s="3"/>
      <c r="N431" s="3"/>
      <c r="O431" s="3"/>
      <c r="P431" s="8"/>
      <c r="Q431" s="8"/>
      <c r="R431" s="3"/>
      <c r="S431" s="3"/>
      <c r="T431" s="3"/>
      <c r="U431" s="5" t="str">
        <f t="shared" si="20"/>
        <v/>
      </c>
    </row>
    <row r="432" spans="1:21" ht="28" customHeight="1" x14ac:dyDescent="0.35">
      <c r="A432" s="4">
        <v>17</v>
      </c>
      <c r="B432" s="4" t="s">
        <v>106</v>
      </c>
      <c r="C432" s="4" t="s">
        <v>107</v>
      </c>
      <c r="D432" s="4" t="s">
        <v>108</v>
      </c>
      <c r="E432" s="4" t="s">
        <v>109</v>
      </c>
      <c r="F432" s="4" t="s">
        <v>95</v>
      </c>
      <c r="G432" s="4" t="s">
        <v>96</v>
      </c>
      <c r="H432" s="4" t="s">
        <v>59</v>
      </c>
      <c r="I432" s="3"/>
      <c r="J432" s="3"/>
      <c r="K432" s="3"/>
      <c r="L432" s="3"/>
      <c r="M432" s="3"/>
      <c r="N432" s="3"/>
      <c r="O432" s="3"/>
      <c r="P432" s="8"/>
      <c r="Q432" s="8"/>
      <c r="R432" s="3"/>
      <c r="S432" s="3"/>
      <c r="T432" s="3"/>
      <c r="U432" s="5" t="str">
        <f t="shared" si="20"/>
        <v/>
      </c>
    </row>
    <row r="434" spans="1:21" ht="28" customHeight="1" x14ac:dyDescent="0.35">
      <c r="A434" s="9" t="s">
        <v>110</v>
      </c>
      <c r="B434" s="16"/>
      <c r="C434" s="17"/>
      <c r="D434" s="17"/>
      <c r="E434" s="17"/>
      <c r="F434" s="17"/>
      <c r="G434" s="17"/>
      <c r="H434" s="17"/>
      <c r="I434" s="17"/>
      <c r="J434" s="17"/>
      <c r="K434" s="17"/>
      <c r="L434" s="17"/>
      <c r="M434" s="17"/>
      <c r="N434" s="17"/>
      <c r="O434" s="17"/>
      <c r="P434" s="17"/>
      <c r="Q434" s="17"/>
      <c r="R434" s="17"/>
      <c r="S434" s="17"/>
      <c r="T434" s="17"/>
      <c r="U434" s="18"/>
    </row>
    <row r="435" spans="1:21" ht="28" customHeight="1" x14ac:dyDescent="0.35">
      <c r="A435" s="19" t="s">
        <v>325</v>
      </c>
      <c r="B435" s="20"/>
      <c r="C435" s="20"/>
      <c r="D435" s="20"/>
      <c r="E435" s="20"/>
      <c r="F435" s="20"/>
      <c r="G435" s="20"/>
      <c r="H435" s="20"/>
      <c r="I435" s="20"/>
      <c r="J435" s="20"/>
      <c r="K435" s="20"/>
      <c r="L435" s="20"/>
      <c r="M435" s="20"/>
      <c r="N435" s="20"/>
      <c r="O435" s="20"/>
      <c r="P435" s="20"/>
      <c r="Q435" s="20"/>
      <c r="R435" s="20"/>
      <c r="S435" s="20"/>
      <c r="T435" s="20"/>
      <c r="U435" s="21"/>
    </row>
    <row r="436" spans="1:21" ht="28" customHeight="1" x14ac:dyDescent="0.35">
      <c r="A436" s="4" t="s">
        <v>31</v>
      </c>
      <c r="B436" s="3" t="s">
        <v>234</v>
      </c>
      <c r="C436" s="4" t="s">
        <v>32</v>
      </c>
      <c r="D436" s="3"/>
      <c r="E436" s="4" t="s">
        <v>33</v>
      </c>
      <c r="F436" s="8"/>
    </row>
    <row r="437" spans="1:21" ht="28" customHeight="1" x14ac:dyDescent="0.35">
      <c r="A437" s="1" t="s">
        <v>34</v>
      </c>
      <c r="B437" s="1" t="s">
        <v>35</v>
      </c>
      <c r="C437" s="1" t="s">
        <v>36</v>
      </c>
      <c r="D437" s="1" t="s">
        <v>37</v>
      </c>
      <c r="E437" s="1" t="s">
        <v>38</v>
      </c>
      <c r="F437" s="1" t="s">
        <v>39</v>
      </c>
      <c r="G437" s="1" t="s">
        <v>40</v>
      </c>
      <c r="H437" s="1" t="s">
        <v>41</v>
      </c>
      <c r="I437" s="1" t="s">
        <v>42</v>
      </c>
      <c r="J437" s="1" t="s">
        <v>43</v>
      </c>
      <c r="K437" s="1" t="s">
        <v>44</v>
      </c>
      <c r="L437" s="1" t="s">
        <v>45</v>
      </c>
      <c r="M437" s="1" t="s">
        <v>46</v>
      </c>
      <c r="N437" s="1" t="s">
        <v>47</v>
      </c>
      <c r="O437" s="1" t="s">
        <v>48</v>
      </c>
      <c r="P437" s="1" t="s">
        <v>4</v>
      </c>
      <c r="Q437" s="1" t="s">
        <v>49</v>
      </c>
      <c r="R437" s="1" t="s">
        <v>50</v>
      </c>
      <c r="S437" s="1" t="s">
        <v>51</v>
      </c>
      <c r="T437" s="1" t="s">
        <v>52</v>
      </c>
      <c r="U437" s="1" t="s">
        <v>10</v>
      </c>
    </row>
    <row r="438" spans="1:21" ht="28" customHeight="1" x14ac:dyDescent="0.35">
      <c r="A438" s="4">
        <v>1</v>
      </c>
      <c r="B438" s="4" t="s">
        <v>270</v>
      </c>
      <c r="C438" s="4" t="s">
        <v>271</v>
      </c>
      <c r="D438" s="4" t="s">
        <v>272</v>
      </c>
      <c r="E438" s="4" t="s">
        <v>109</v>
      </c>
      <c r="F438" s="4" t="s">
        <v>273</v>
      </c>
      <c r="G438" s="4" t="s">
        <v>199</v>
      </c>
      <c r="H438" s="4" t="s">
        <v>59</v>
      </c>
      <c r="I438" s="3"/>
      <c r="J438" s="3"/>
      <c r="K438" s="3"/>
      <c r="L438" s="3"/>
      <c r="M438" s="3"/>
      <c r="N438" s="3"/>
      <c r="O438" s="3"/>
      <c r="P438" s="8"/>
      <c r="Q438" s="8"/>
      <c r="R438" s="3"/>
      <c r="S438" s="3"/>
      <c r="T438" s="3"/>
      <c r="U438" s="5" t="str">
        <f t="shared" ref="U438:U454" si="21">IF(I438="","",IF(I438="NA","Grey",IF(I438=2,"Green",IF(I438=1,"Amber","Red"))))</f>
        <v/>
      </c>
    </row>
    <row r="439" spans="1:21" ht="28" customHeight="1" x14ac:dyDescent="0.35">
      <c r="A439" s="4">
        <v>2</v>
      </c>
      <c r="B439" s="4" t="s">
        <v>270</v>
      </c>
      <c r="C439" s="4" t="s">
        <v>274</v>
      </c>
      <c r="D439" s="4" t="s">
        <v>275</v>
      </c>
      <c r="E439" s="4" t="s">
        <v>69</v>
      </c>
      <c r="F439" s="4" t="s">
        <v>276</v>
      </c>
      <c r="G439" s="4" t="s">
        <v>199</v>
      </c>
      <c r="H439" s="4" t="s">
        <v>76</v>
      </c>
      <c r="I439" s="3"/>
      <c r="J439" s="3"/>
      <c r="K439" s="3"/>
      <c r="L439" s="3"/>
      <c r="M439" s="3"/>
      <c r="N439" s="3"/>
      <c r="O439" s="3"/>
      <c r="P439" s="8"/>
      <c r="Q439" s="8"/>
      <c r="R439" s="3"/>
      <c r="S439" s="3"/>
      <c r="T439" s="3"/>
      <c r="U439" s="5" t="str">
        <f t="shared" si="21"/>
        <v/>
      </c>
    </row>
    <row r="440" spans="1:21" ht="28" customHeight="1" x14ac:dyDescent="0.35">
      <c r="A440" s="4">
        <v>3</v>
      </c>
      <c r="B440" s="4" t="s">
        <v>270</v>
      </c>
      <c r="C440" s="4" t="s">
        <v>277</v>
      </c>
      <c r="D440" s="4" t="s">
        <v>278</v>
      </c>
      <c r="E440" s="4" t="s">
        <v>279</v>
      </c>
      <c r="F440" s="4" t="s">
        <v>280</v>
      </c>
      <c r="G440" s="4" t="s">
        <v>209</v>
      </c>
      <c r="H440" s="4" t="s">
        <v>76</v>
      </c>
      <c r="I440" s="3"/>
      <c r="J440" s="3"/>
      <c r="K440" s="3"/>
      <c r="L440" s="3"/>
      <c r="M440" s="3"/>
      <c r="N440" s="3"/>
      <c r="O440" s="3"/>
      <c r="P440" s="8"/>
      <c r="Q440" s="8"/>
      <c r="R440" s="3"/>
      <c r="S440" s="3"/>
      <c r="T440" s="3"/>
      <c r="U440" s="5" t="str">
        <f t="shared" si="21"/>
        <v/>
      </c>
    </row>
    <row r="441" spans="1:21" ht="28" customHeight="1" x14ac:dyDescent="0.35">
      <c r="A441" s="4">
        <v>4</v>
      </c>
      <c r="B441" s="4" t="s">
        <v>270</v>
      </c>
      <c r="C441" s="4" t="s">
        <v>281</v>
      </c>
      <c r="D441" s="4" t="s">
        <v>282</v>
      </c>
      <c r="E441" s="4" t="s">
        <v>283</v>
      </c>
      <c r="F441" s="4" t="s">
        <v>284</v>
      </c>
      <c r="G441" s="4" t="s">
        <v>204</v>
      </c>
      <c r="H441" s="4" t="s">
        <v>76</v>
      </c>
      <c r="I441" s="3"/>
      <c r="J441" s="3"/>
      <c r="K441" s="3"/>
      <c r="L441" s="3"/>
      <c r="M441" s="3"/>
      <c r="N441" s="3"/>
      <c r="O441" s="3"/>
      <c r="P441" s="8"/>
      <c r="Q441" s="8"/>
      <c r="R441" s="3"/>
      <c r="S441" s="3"/>
      <c r="T441" s="3"/>
      <c r="U441" s="5" t="str">
        <f t="shared" si="21"/>
        <v/>
      </c>
    </row>
    <row r="442" spans="1:21" ht="28" customHeight="1" x14ac:dyDescent="0.35">
      <c r="A442" s="4">
        <v>5</v>
      </c>
      <c r="B442" s="4" t="s">
        <v>285</v>
      </c>
      <c r="C442" s="4" t="s">
        <v>286</v>
      </c>
      <c r="D442" s="4" t="s">
        <v>287</v>
      </c>
      <c r="E442" s="4" t="s">
        <v>69</v>
      </c>
      <c r="F442" s="4" t="s">
        <v>276</v>
      </c>
      <c r="G442" s="4" t="s">
        <v>199</v>
      </c>
      <c r="H442" s="4" t="s">
        <v>76</v>
      </c>
      <c r="I442" s="3"/>
      <c r="J442" s="3"/>
      <c r="K442" s="3"/>
      <c r="L442" s="3"/>
      <c r="M442" s="3"/>
      <c r="N442" s="3"/>
      <c r="O442" s="3"/>
      <c r="P442" s="8"/>
      <c r="Q442" s="8"/>
      <c r="R442" s="3"/>
      <c r="S442" s="3"/>
      <c r="T442" s="3"/>
      <c r="U442" s="5" t="str">
        <f t="shared" si="21"/>
        <v/>
      </c>
    </row>
    <row r="443" spans="1:21" ht="28" customHeight="1" x14ac:dyDescent="0.35">
      <c r="A443" s="4">
        <v>6</v>
      </c>
      <c r="B443" s="4" t="s">
        <v>285</v>
      </c>
      <c r="C443" s="4" t="s">
        <v>288</v>
      </c>
      <c r="D443" s="4" t="s">
        <v>289</v>
      </c>
      <c r="E443" s="4" t="s">
        <v>70</v>
      </c>
      <c r="F443" s="4" t="s">
        <v>276</v>
      </c>
      <c r="G443" s="4" t="s">
        <v>199</v>
      </c>
      <c r="H443" s="4" t="s">
        <v>59</v>
      </c>
      <c r="I443" s="3"/>
      <c r="J443" s="3"/>
      <c r="K443" s="3"/>
      <c r="L443" s="3"/>
      <c r="M443" s="3"/>
      <c r="N443" s="3"/>
      <c r="O443" s="3"/>
      <c r="P443" s="8"/>
      <c r="Q443" s="8"/>
      <c r="R443" s="3"/>
      <c r="S443" s="3"/>
      <c r="T443" s="3"/>
      <c r="U443" s="5" t="str">
        <f t="shared" si="21"/>
        <v/>
      </c>
    </row>
    <row r="444" spans="1:21" ht="28" customHeight="1" x14ac:dyDescent="0.35">
      <c r="A444" s="4">
        <v>7</v>
      </c>
      <c r="B444" s="4" t="s">
        <v>290</v>
      </c>
      <c r="C444" s="4" t="s">
        <v>291</v>
      </c>
      <c r="D444" s="4" t="s">
        <v>292</v>
      </c>
      <c r="E444" s="4" t="s">
        <v>109</v>
      </c>
      <c r="F444" s="4" t="s">
        <v>284</v>
      </c>
      <c r="G444" s="4" t="s">
        <v>204</v>
      </c>
      <c r="H444" s="4" t="s">
        <v>59</v>
      </c>
      <c r="I444" s="3"/>
      <c r="J444" s="3"/>
      <c r="K444" s="3"/>
      <c r="L444" s="3"/>
      <c r="M444" s="3"/>
      <c r="N444" s="3"/>
      <c r="O444" s="3"/>
      <c r="P444" s="8"/>
      <c r="Q444" s="8"/>
      <c r="R444" s="3"/>
      <c r="S444" s="3"/>
      <c r="T444" s="3"/>
      <c r="U444" s="5" t="str">
        <f t="shared" si="21"/>
        <v/>
      </c>
    </row>
    <row r="445" spans="1:21" ht="28" customHeight="1" x14ac:dyDescent="0.35">
      <c r="A445" s="4">
        <v>8</v>
      </c>
      <c r="B445" s="4" t="s">
        <v>290</v>
      </c>
      <c r="C445" s="4" t="s">
        <v>293</v>
      </c>
      <c r="D445" s="4" t="s">
        <v>294</v>
      </c>
      <c r="E445" s="4" t="s">
        <v>70</v>
      </c>
      <c r="F445" s="4" t="s">
        <v>295</v>
      </c>
      <c r="G445" s="4" t="s">
        <v>199</v>
      </c>
      <c r="H445" s="4" t="s">
        <v>76</v>
      </c>
      <c r="I445" s="3"/>
      <c r="J445" s="3"/>
      <c r="K445" s="3"/>
      <c r="L445" s="3"/>
      <c r="M445" s="3"/>
      <c r="N445" s="3"/>
      <c r="O445" s="3"/>
      <c r="P445" s="8"/>
      <c r="Q445" s="8"/>
      <c r="R445" s="3"/>
      <c r="S445" s="3"/>
      <c r="T445" s="3"/>
      <c r="U445" s="5" t="str">
        <f t="shared" si="21"/>
        <v/>
      </c>
    </row>
    <row r="446" spans="1:21" ht="28" customHeight="1" x14ac:dyDescent="0.35">
      <c r="A446" s="4">
        <v>9</v>
      </c>
      <c r="B446" s="4" t="s">
        <v>296</v>
      </c>
      <c r="C446" s="4" t="s">
        <v>297</v>
      </c>
      <c r="D446" s="4" t="s">
        <v>70</v>
      </c>
      <c r="E446" s="4" t="s">
        <v>70</v>
      </c>
      <c r="F446" s="4" t="s">
        <v>295</v>
      </c>
      <c r="G446" s="4" t="s">
        <v>199</v>
      </c>
      <c r="H446" s="4" t="s">
        <v>76</v>
      </c>
      <c r="I446" s="3"/>
      <c r="J446" s="3"/>
      <c r="K446" s="3"/>
      <c r="L446" s="3"/>
      <c r="M446" s="3"/>
      <c r="N446" s="3"/>
      <c r="O446" s="3"/>
      <c r="P446" s="8"/>
      <c r="Q446" s="8"/>
      <c r="R446" s="3"/>
      <c r="S446" s="3"/>
      <c r="T446" s="3"/>
      <c r="U446" s="5" t="str">
        <f t="shared" si="21"/>
        <v/>
      </c>
    </row>
    <row r="447" spans="1:21" ht="28" customHeight="1" x14ac:dyDescent="0.35">
      <c r="A447" s="4">
        <v>10</v>
      </c>
      <c r="B447" s="4" t="s">
        <v>296</v>
      </c>
      <c r="C447" s="4" t="s">
        <v>298</v>
      </c>
      <c r="D447" s="4" t="s">
        <v>299</v>
      </c>
      <c r="E447" s="4" t="s">
        <v>283</v>
      </c>
      <c r="F447" s="4" t="s">
        <v>284</v>
      </c>
      <c r="G447" s="4" t="s">
        <v>204</v>
      </c>
      <c r="H447" s="4" t="s">
        <v>59</v>
      </c>
      <c r="I447" s="3"/>
      <c r="J447" s="3"/>
      <c r="K447" s="3"/>
      <c r="L447" s="3"/>
      <c r="M447" s="3"/>
      <c r="N447" s="3"/>
      <c r="O447" s="3"/>
      <c r="P447" s="8"/>
      <c r="Q447" s="8"/>
      <c r="R447" s="3"/>
      <c r="S447" s="3"/>
      <c r="T447" s="3"/>
      <c r="U447" s="5" t="str">
        <f t="shared" si="21"/>
        <v/>
      </c>
    </row>
    <row r="448" spans="1:21" ht="28" customHeight="1" x14ac:dyDescent="0.35">
      <c r="A448" s="4">
        <v>11</v>
      </c>
      <c r="B448" s="4" t="s">
        <v>300</v>
      </c>
      <c r="C448" s="4" t="s">
        <v>301</v>
      </c>
      <c r="D448" s="4" t="s">
        <v>302</v>
      </c>
      <c r="E448" s="4" t="s">
        <v>56</v>
      </c>
      <c r="F448" s="4" t="s">
        <v>276</v>
      </c>
      <c r="G448" s="4" t="s">
        <v>199</v>
      </c>
      <c r="H448" s="4" t="s">
        <v>76</v>
      </c>
      <c r="I448" s="3"/>
      <c r="J448" s="3"/>
      <c r="K448" s="3"/>
      <c r="L448" s="3"/>
      <c r="M448" s="3"/>
      <c r="N448" s="3"/>
      <c r="O448" s="3"/>
      <c r="P448" s="8"/>
      <c r="Q448" s="8"/>
      <c r="R448" s="3"/>
      <c r="S448" s="3"/>
      <c r="T448" s="3"/>
      <c r="U448" s="5" t="str">
        <f t="shared" si="21"/>
        <v/>
      </c>
    </row>
    <row r="449" spans="1:21" ht="28" customHeight="1" x14ac:dyDescent="0.35">
      <c r="A449" s="4">
        <v>12</v>
      </c>
      <c r="B449" s="4" t="s">
        <v>303</v>
      </c>
      <c r="C449" s="4" t="s">
        <v>304</v>
      </c>
      <c r="D449" s="4" t="s">
        <v>305</v>
      </c>
      <c r="E449" s="4" t="s">
        <v>283</v>
      </c>
      <c r="F449" s="4" t="s">
        <v>276</v>
      </c>
      <c r="G449" s="4" t="s">
        <v>199</v>
      </c>
      <c r="H449" s="4" t="s">
        <v>76</v>
      </c>
      <c r="I449" s="3"/>
      <c r="J449" s="3"/>
      <c r="K449" s="3"/>
      <c r="L449" s="3"/>
      <c r="M449" s="3"/>
      <c r="N449" s="3"/>
      <c r="O449" s="3"/>
      <c r="P449" s="8"/>
      <c r="Q449" s="8"/>
      <c r="R449" s="3"/>
      <c r="S449" s="3"/>
      <c r="T449" s="3"/>
      <c r="U449" s="5" t="str">
        <f t="shared" si="21"/>
        <v/>
      </c>
    </row>
    <row r="450" spans="1:21" ht="28" customHeight="1" x14ac:dyDescent="0.35">
      <c r="A450" s="4">
        <v>13</v>
      </c>
      <c r="B450" s="4" t="s">
        <v>306</v>
      </c>
      <c r="C450" s="4" t="s">
        <v>307</v>
      </c>
      <c r="D450" s="4" t="s">
        <v>308</v>
      </c>
      <c r="E450" s="4" t="s">
        <v>69</v>
      </c>
      <c r="F450" s="4" t="s">
        <v>273</v>
      </c>
      <c r="G450" s="4" t="s">
        <v>96</v>
      </c>
      <c r="H450" s="4" t="s">
        <v>59</v>
      </c>
      <c r="I450" s="3"/>
      <c r="J450" s="3"/>
      <c r="K450" s="3"/>
      <c r="L450" s="3"/>
      <c r="M450" s="3"/>
      <c r="N450" s="3"/>
      <c r="O450" s="3"/>
      <c r="P450" s="8"/>
      <c r="Q450" s="8"/>
      <c r="R450" s="3"/>
      <c r="S450" s="3"/>
      <c r="T450" s="3"/>
      <c r="U450" s="5" t="str">
        <f t="shared" si="21"/>
        <v/>
      </c>
    </row>
    <row r="451" spans="1:21" ht="28" customHeight="1" x14ac:dyDescent="0.35">
      <c r="A451" s="4">
        <v>14</v>
      </c>
      <c r="B451" s="4" t="s">
        <v>97</v>
      </c>
      <c r="C451" s="4" t="s">
        <v>98</v>
      </c>
      <c r="D451" s="4" t="s">
        <v>99</v>
      </c>
      <c r="E451" s="4" t="s">
        <v>69</v>
      </c>
      <c r="F451" s="4" t="s">
        <v>95</v>
      </c>
      <c r="G451" s="4" t="s">
        <v>96</v>
      </c>
      <c r="H451" s="4" t="s">
        <v>59</v>
      </c>
      <c r="I451" s="3"/>
      <c r="J451" s="3"/>
      <c r="K451" s="3"/>
      <c r="L451" s="3"/>
      <c r="M451" s="3"/>
      <c r="N451" s="3"/>
      <c r="O451" s="3"/>
      <c r="P451" s="8"/>
      <c r="Q451" s="8"/>
      <c r="R451" s="3"/>
      <c r="S451" s="3"/>
      <c r="T451" s="3"/>
      <c r="U451" s="5" t="str">
        <f t="shared" si="21"/>
        <v/>
      </c>
    </row>
    <row r="452" spans="1:21" ht="28" customHeight="1" x14ac:dyDescent="0.35">
      <c r="A452" s="4">
        <v>15</v>
      </c>
      <c r="B452" s="4" t="s">
        <v>97</v>
      </c>
      <c r="C452" s="4" t="s">
        <v>100</v>
      </c>
      <c r="D452" s="4" t="s">
        <v>101</v>
      </c>
      <c r="E452" s="4" t="s">
        <v>69</v>
      </c>
      <c r="F452" s="4" t="s">
        <v>95</v>
      </c>
      <c r="G452" s="4" t="s">
        <v>102</v>
      </c>
      <c r="H452" s="4" t="s">
        <v>59</v>
      </c>
      <c r="I452" s="3"/>
      <c r="J452" s="3"/>
      <c r="K452" s="3"/>
      <c r="L452" s="3"/>
      <c r="M452" s="3"/>
      <c r="N452" s="3"/>
      <c r="O452" s="3"/>
      <c r="P452" s="8"/>
      <c r="Q452" s="8"/>
      <c r="R452" s="3"/>
      <c r="S452" s="3"/>
      <c r="T452" s="3"/>
      <c r="U452" s="5" t="str">
        <f t="shared" si="21"/>
        <v/>
      </c>
    </row>
    <row r="453" spans="1:21" ht="28" customHeight="1" x14ac:dyDescent="0.35">
      <c r="A453" s="4">
        <v>16</v>
      </c>
      <c r="B453" s="4" t="s">
        <v>103</v>
      </c>
      <c r="C453" s="4" t="s">
        <v>104</v>
      </c>
      <c r="D453" s="4" t="s">
        <v>105</v>
      </c>
      <c r="E453" s="4" t="s">
        <v>69</v>
      </c>
      <c r="F453" s="4" t="s">
        <v>95</v>
      </c>
      <c r="G453" s="4" t="s">
        <v>96</v>
      </c>
      <c r="H453" s="4" t="s">
        <v>85</v>
      </c>
      <c r="I453" s="3"/>
      <c r="J453" s="3"/>
      <c r="K453" s="3"/>
      <c r="L453" s="3"/>
      <c r="M453" s="3"/>
      <c r="N453" s="3"/>
      <c r="O453" s="3"/>
      <c r="P453" s="8"/>
      <c r="Q453" s="8"/>
      <c r="R453" s="3"/>
      <c r="S453" s="3"/>
      <c r="T453" s="3"/>
      <c r="U453" s="5" t="str">
        <f t="shared" si="21"/>
        <v/>
      </c>
    </row>
    <row r="454" spans="1:21" ht="28" customHeight="1" x14ac:dyDescent="0.35">
      <c r="A454" s="4">
        <v>17</v>
      </c>
      <c r="B454" s="4" t="s">
        <v>106</v>
      </c>
      <c r="C454" s="4" t="s">
        <v>107</v>
      </c>
      <c r="D454" s="4" t="s">
        <v>108</v>
      </c>
      <c r="E454" s="4" t="s">
        <v>109</v>
      </c>
      <c r="F454" s="4" t="s">
        <v>95</v>
      </c>
      <c r="G454" s="4" t="s">
        <v>96</v>
      </c>
      <c r="H454" s="4" t="s">
        <v>59</v>
      </c>
      <c r="I454" s="3"/>
      <c r="J454" s="3"/>
      <c r="K454" s="3"/>
      <c r="L454" s="3"/>
      <c r="M454" s="3"/>
      <c r="N454" s="3"/>
      <c r="O454" s="3"/>
      <c r="P454" s="8"/>
      <c r="Q454" s="8"/>
      <c r="R454" s="3"/>
      <c r="S454" s="3"/>
      <c r="T454" s="3"/>
      <c r="U454" s="5" t="str">
        <f t="shared" si="21"/>
        <v/>
      </c>
    </row>
    <row r="456" spans="1:21" ht="28" customHeight="1" x14ac:dyDescent="0.35">
      <c r="A456" s="9" t="s">
        <v>110</v>
      </c>
      <c r="B456" s="16"/>
      <c r="C456" s="17"/>
      <c r="D456" s="17"/>
      <c r="E456" s="17"/>
      <c r="F456" s="17"/>
      <c r="G456" s="17"/>
      <c r="H456" s="17"/>
      <c r="I456" s="17"/>
      <c r="J456" s="17"/>
      <c r="K456" s="17"/>
      <c r="L456" s="17"/>
      <c r="M456" s="17"/>
      <c r="N456" s="17"/>
      <c r="O456" s="17"/>
      <c r="P456" s="17"/>
      <c r="Q456" s="17"/>
      <c r="R456" s="17"/>
      <c r="S456" s="17"/>
      <c r="T456" s="17"/>
      <c r="U456" s="18"/>
    </row>
    <row r="457" spans="1:21" ht="28" customHeight="1" x14ac:dyDescent="0.35">
      <c r="A457" s="19" t="s">
        <v>326</v>
      </c>
      <c r="B457" s="20"/>
      <c r="C457" s="20"/>
      <c r="D457" s="20"/>
      <c r="E457" s="20"/>
      <c r="F457" s="20"/>
      <c r="G457" s="20"/>
      <c r="H457" s="20"/>
      <c r="I457" s="20"/>
      <c r="J457" s="20"/>
      <c r="K457" s="20"/>
      <c r="L457" s="20"/>
      <c r="M457" s="20"/>
      <c r="N457" s="20"/>
      <c r="O457" s="20"/>
      <c r="P457" s="20"/>
      <c r="Q457" s="20"/>
      <c r="R457" s="20"/>
      <c r="S457" s="20"/>
      <c r="T457" s="20"/>
      <c r="U457" s="21"/>
    </row>
    <row r="458" spans="1:21" ht="28" customHeight="1" x14ac:dyDescent="0.35">
      <c r="A458" s="4" t="s">
        <v>31</v>
      </c>
      <c r="B458" s="3" t="s">
        <v>235</v>
      </c>
      <c r="C458" s="4" t="s">
        <v>32</v>
      </c>
      <c r="D458" s="3"/>
      <c r="E458" s="4" t="s">
        <v>33</v>
      </c>
      <c r="F458" s="8"/>
    </row>
    <row r="459" spans="1:21" ht="28" customHeight="1" x14ac:dyDescent="0.35">
      <c r="A459" s="1" t="s">
        <v>34</v>
      </c>
      <c r="B459" s="1" t="s">
        <v>35</v>
      </c>
      <c r="C459" s="1" t="s">
        <v>36</v>
      </c>
      <c r="D459" s="1" t="s">
        <v>37</v>
      </c>
      <c r="E459" s="1" t="s">
        <v>38</v>
      </c>
      <c r="F459" s="1" t="s">
        <v>39</v>
      </c>
      <c r="G459" s="1" t="s">
        <v>40</v>
      </c>
      <c r="H459" s="1" t="s">
        <v>41</v>
      </c>
      <c r="I459" s="1" t="s">
        <v>42</v>
      </c>
      <c r="J459" s="1" t="s">
        <v>43</v>
      </c>
      <c r="K459" s="1" t="s">
        <v>44</v>
      </c>
      <c r="L459" s="1" t="s">
        <v>45</v>
      </c>
      <c r="M459" s="1" t="s">
        <v>46</v>
      </c>
      <c r="N459" s="1" t="s">
        <v>47</v>
      </c>
      <c r="O459" s="1" t="s">
        <v>48</v>
      </c>
      <c r="P459" s="1" t="s">
        <v>4</v>
      </c>
      <c r="Q459" s="1" t="s">
        <v>49</v>
      </c>
      <c r="R459" s="1" t="s">
        <v>50</v>
      </c>
      <c r="S459" s="1" t="s">
        <v>51</v>
      </c>
      <c r="T459" s="1" t="s">
        <v>52</v>
      </c>
      <c r="U459" s="1" t="s">
        <v>10</v>
      </c>
    </row>
    <row r="460" spans="1:21" ht="28" customHeight="1" x14ac:dyDescent="0.35">
      <c r="A460" s="4">
        <v>1</v>
      </c>
      <c r="B460" s="4" t="s">
        <v>270</v>
      </c>
      <c r="C460" s="4" t="s">
        <v>271</v>
      </c>
      <c r="D460" s="4" t="s">
        <v>272</v>
      </c>
      <c r="E460" s="4" t="s">
        <v>109</v>
      </c>
      <c r="F460" s="4" t="s">
        <v>273</v>
      </c>
      <c r="G460" s="4" t="s">
        <v>199</v>
      </c>
      <c r="H460" s="4" t="s">
        <v>59</v>
      </c>
      <c r="I460" s="3"/>
      <c r="J460" s="3"/>
      <c r="K460" s="3"/>
      <c r="L460" s="3"/>
      <c r="M460" s="3"/>
      <c r="N460" s="3"/>
      <c r="O460" s="3"/>
      <c r="P460" s="8"/>
      <c r="Q460" s="8"/>
      <c r="R460" s="3"/>
      <c r="S460" s="3"/>
      <c r="T460" s="3"/>
      <c r="U460" s="5" t="str">
        <f t="shared" ref="U460:U476" si="22">IF(I460="","",IF(I460="NA","Grey",IF(I460=2,"Green",IF(I460=1,"Amber","Red"))))</f>
        <v/>
      </c>
    </row>
    <row r="461" spans="1:21" ht="28" customHeight="1" x14ac:dyDescent="0.35">
      <c r="A461" s="4">
        <v>2</v>
      </c>
      <c r="B461" s="4" t="s">
        <v>270</v>
      </c>
      <c r="C461" s="4" t="s">
        <v>274</v>
      </c>
      <c r="D461" s="4" t="s">
        <v>275</v>
      </c>
      <c r="E461" s="4" t="s">
        <v>69</v>
      </c>
      <c r="F461" s="4" t="s">
        <v>276</v>
      </c>
      <c r="G461" s="4" t="s">
        <v>199</v>
      </c>
      <c r="H461" s="4" t="s">
        <v>76</v>
      </c>
      <c r="I461" s="3"/>
      <c r="J461" s="3"/>
      <c r="K461" s="3"/>
      <c r="L461" s="3"/>
      <c r="M461" s="3"/>
      <c r="N461" s="3"/>
      <c r="O461" s="3"/>
      <c r="P461" s="8"/>
      <c r="Q461" s="8"/>
      <c r="R461" s="3"/>
      <c r="S461" s="3"/>
      <c r="T461" s="3"/>
      <c r="U461" s="5" t="str">
        <f t="shared" si="22"/>
        <v/>
      </c>
    </row>
    <row r="462" spans="1:21" ht="28" customHeight="1" x14ac:dyDescent="0.35">
      <c r="A462" s="4">
        <v>3</v>
      </c>
      <c r="B462" s="4" t="s">
        <v>270</v>
      </c>
      <c r="C462" s="4" t="s">
        <v>277</v>
      </c>
      <c r="D462" s="4" t="s">
        <v>278</v>
      </c>
      <c r="E462" s="4" t="s">
        <v>279</v>
      </c>
      <c r="F462" s="4" t="s">
        <v>280</v>
      </c>
      <c r="G462" s="4" t="s">
        <v>209</v>
      </c>
      <c r="H462" s="4" t="s">
        <v>76</v>
      </c>
      <c r="I462" s="3"/>
      <c r="J462" s="3"/>
      <c r="K462" s="3"/>
      <c r="L462" s="3"/>
      <c r="M462" s="3"/>
      <c r="N462" s="3"/>
      <c r="O462" s="3"/>
      <c r="P462" s="8"/>
      <c r="Q462" s="8"/>
      <c r="R462" s="3"/>
      <c r="S462" s="3"/>
      <c r="T462" s="3"/>
      <c r="U462" s="5" t="str">
        <f t="shared" si="22"/>
        <v/>
      </c>
    </row>
    <row r="463" spans="1:21" ht="28" customHeight="1" x14ac:dyDescent="0.35">
      <c r="A463" s="4">
        <v>4</v>
      </c>
      <c r="B463" s="4" t="s">
        <v>270</v>
      </c>
      <c r="C463" s="4" t="s">
        <v>281</v>
      </c>
      <c r="D463" s="4" t="s">
        <v>282</v>
      </c>
      <c r="E463" s="4" t="s">
        <v>283</v>
      </c>
      <c r="F463" s="4" t="s">
        <v>284</v>
      </c>
      <c r="G463" s="4" t="s">
        <v>204</v>
      </c>
      <c r="H463" s="4" t="s">
        <v>76</v>
      </c>
      <c r="I463" s="3"/>
      <c r="J463" s="3"/>
      <c r="K463" s="3"/>
      <c r="L463" s="3"/>
      <c r="M463" s="3"/>
      <c r="N463" s="3"/>
      <c r="O463" s="3"/>
      <c r="P463" s="8"/>
      <c r="Q463" s="8"/>
      <c r="R463" s="3"/>
      <c r="S463" s="3"/>
      <c r="T463" s="3"/>
      <c r="U463" s="5" t="str">
        <f t="shared" si="22"/>
        <v/>
      </c>
    </row>
    <row r="464" spans="1:21" ht="28" customHeight="1" x14ac:dyDescent="0.35">
      <c r="A464" s="4">
        <v>5</v>
      </c>
      <c r="B464" s="4" t="s">
        <v>285</v>
      </c>
      <c r="C464" s="4" t="s">
        <v>286</v>
      </c>
      <c r="D464" s="4" t="s">
        <v>287</v>
      </c>
      <c r="E464" s="4" t="s">
        <v>69</v>
      </c>
      <c r="F464" s="4" t="s">
        <v>276</v>
      </c>
      <c r="G464" s="4" t="s">
        <v>199</v>
      </c>
      <c r="H464" s="4" t="s">
        <v>76</v>
      </c>
      <c r="I464" s="3"/>
      <c r="J464" s="3"/>
      <c r="K464" s="3"/>
      <c r="L464" s="3"/>
      <c r="M464" s="3"/>
      <c r="N464" s="3"/>
      <c r="O464" s="3"/>
      <c r="P464" s="8"/>
      <c r="Q464" s="8"/>
      <c r="R464" s="3"/>
      <c r="S464" s="3"/>
      <c r="T464" s="3"/>
      <c r="U464" s="5" t="str">
        <f t="shared" si="22"/>
        <v/>
      </c>
    </row>
    <row r="465" spans="1:21" ht="28" customHeight="1" x14ac:dyDescent="0.35">
      <c r="A465" s="4">
        <v>6</v>
      </c>
      <c r="B465" s="4" t="s">
        <v>285</v>
      </c>
      <c r="C465" s="4" t="s">
        <v>288</v>
      </c>
      <c r="D465" s="4" t="s">
        <v>289</v>
      </c>
      <c r="E465" s="4" t="s">
        <v>70</v>
      </c>
      <c r="F465" s="4" t="s">
        <v>276</v>
      </c>
      <c r="G465" s="4" t="s">
        <v>199</v>
      </c>
      <c r="H465" s="4" t="s">
        <v>59</v>
      </c>
      <c r="I465" s="3"/>
      <c r="J465" s="3"/>
      <c r="K465" s="3"/>
      <c r="L465" s="3"/>
      <c r="M465" s="3"/>
      <c r="N465" s="3"/>
      <c r="O465" s="3"/>
      <c r="P465" s="8"/>
      <c r="Q465" s="8"/>
      <c r="R465" s="3"/>
      <c r="S465" s="3"/>
      <c r="T465" s="3"/>
      <c r="U465" s="5" t="str">
        <f t="shared" si="22"/>
        <v/>
      </c>
    </row>
    <row r="466" spans="1:21" ht="28" customHeight="1" x14ac:dyDescent="0.35">
      <c r="A466" s="4">
        <v>7</v>
      </c>
      <c r="B466" s="4" t="s">
        <v>290</v>
      </c>
      <c r="C466" s="4" t="s">
        <v>291</v>
      </c>
      <c r="D466" s="4" t="s">
        <v>292</v>
      </c>
      <c r="E466" s="4" t="s">
        <v>109</v>
      </c>
      <c r="F466" s="4" t="s">
        <v>284</v>
      </c>
      <c r="G466" s="4" t="s">
        <v>204</v>
      </c>
      <c r="H466" s="4" t="s">
        <v>59</v>
      </c>
      <c r="I466" s="3"/>
      <c r="J466" s="3"/>
      <c r="K466" s="3"/>
      <c r="L466" s="3"/>
      <c r="M466" s="3"/>
      <c r="N466" s="3"/>
      <c r="O466" s="3"/>
      <c r="P466" s="8"/>
      <c r="Q466" s="8"/>
      <c r="R466" s="3"/>
      <c r="S466" s="3"/>
      <c r="T466" s="3"/>
      <c r="U466" s="5" t="str">
        <f t="shared" si="22"/>
        <v/>
      </c>
    </row>
    <row r="467" spans="1:21" ht="28" customHeight="1" x14ac:dyDescent="0.35">
      <c r="A467" s="4">
        <v>8</v>
      </c>
      <c r="B467" s="4" t="s">
        <v>290</v>
      </c>
      <c r="C467" s="4" t="s">
        <v>293</v>
      </c>
      <c r="D467" s="4" t="s">
        <v>294</v>
      </c>
      <c r="E467" s="4" t="s">
        <v>70</v>
      </c>
      <c r="F467" s="4" t="s">
        <v>295</v>
      </c>
      <c r="G467" s="4" t="s">
        <v>199</v>
      </c>
      <c r="H467" s="4" t="s">
        <v>76</v>
      </c>
      <c r="I467" s="3"/>
      <c r="J467" s="3"/>
      <c r="K467" s="3"/>
      <c r="L467" s="3"/>
      <c r="M467" s="3"/>
      <c r="N467" s="3"/>
      <c r="O467" s="3"/>
      <c r="P467" s="8"/>
      <c r="Q467" s="8"/>
      <c r="R467" s="3"/>
      <c r="S467" s="3"/>
      <c r="T467" s="3"/>
      <c r="U467" s="5" t="str">
        <f t="shared" si="22"/>
        <v/>
      </c>
    </row>
    <row r="468" spans="1:21" ht="28" customHeight="1" x14ac:dyDescent="0.35">
      <c r="A468" s="4">
        <v>9</v>
      </c>
      <c r="B468" s="4" t="s">
        <v>296</v>
      </c>
      <c r="C468" s="4" t="s">
        <v>297</v>
      </c>
      <c r="D468" s="4" t="s">
        <v>70</v>
      </c>
      <c r="E468" s="4" t="s">
        <v>70</v>
      </c>
      <c r="F468" s="4" t="s">
        <v>295</v>
      </c>
      <c r="G468" s="4" t="s">
        <v>199</v>
      </c>
      <c r="H468" s="4" t="s">
        <v>76</v>
      </c>
      <c r="I468" s="3"/>
      <c r="J468" s="3"/>
      <c r="K468" s="3"/>
      <c r="L468" s="3"/>
      <c r="M468" s="3"/>
      <c r="N468" s="3"/>
      <c r="O468" s="3"/>
      <c r="P468" s="8"/>
      <c r="Q468" s="8"/>
      <c r="R468" s="3"/>
      <c r="S468" s="3"/>
      <c r="T468" s="3"/>
      <c r="U468" s="5" t="str">
        <f t="shared" si="22"/>
        <v/>
      </c>
    </row>
    <row r="469" spans="1:21" ht="28" customHeight="1" x14ac:dyDescent="0.35">
      <c r="A469" s="4">
        <v>10</v>
      </c>
      <c r="B469" s="4" t="s">
        <v>296</v>
      </c>
      <c r="C469" s="4" t="s">
        <v>298</v>
      </c>
      <c r="D469" s="4" t="s">
        <v>299</v>
      </c>
      <c r="E469" s="4" t="s">
        <v>283</v>
      </c>
      <c r="F469" s="4" t="s">
        <v>284</v>
      </c>
      <c r="G469" s="4" t="s">
        <v>204</v>
      </c>
      <c r="H469" s="4" t="s">
        <v>59</v>
      </c>
      <c r="I469" s="3"/>
      <c r="J469" s="3"/>
      <c r="K469" s="3"/>
      <c r="L469" s="3"/>
      <c r="M469" s="3"/>
      <c r="N469" s="3"/>
      <c r="O469" s="3"/>
      <c r="P469" s="8"/>
      <c r="Q469" s="8"/>
      <c r="R469" s="3"/>
      <c r="S469" s="3"/>
      <c r="T469" s="3"/>
      <c r="U469" s="5" t="str">
        <f t="shared" si="22"/>
        <v/>
      </c>
    </row>
    <row r="470" spans="1:21" ht="28" customHeight="1" x14ac:dyDescent="0.35">
      <c r="A470" s="4">
        <v>11</v>
      </c>
      <c r="B470" s="4" t="s">
        <v>300</v>
      </c>
      <c r="C470" s="4" t="s">
        <v>301</v>
      </c>
      <c r="D470" s="4" t="s">
        <v>302</v>
      </c>
      <c r="E470" s="4" t="s">
        <v>56</v>
      </c>
      <c r="F470" s="4" t="s">
        <v>276</v>
      </c>
      <c r="G470" s="4" t="s">
        <v>199</v>
      </c>
      <c r="H470" s="4" t="s">
        <v>76</v>
      </c>
      <c r="I470" s="3"/>
      <c r="J470" s="3"/>
      <c r="K470" s="3"/>
      <c r="L470" s="3"/>
      <c r="M470" s="3"/>
      <c r="N470" s="3"/>
      <c r="O470" s="3"/>
      <c r="P470" s="8"/>
      <c r="Q470" s="8"/>
      <c r="R470" s="3"/>
      <c r="S470" s="3"/>
      <c r="T470" s="3"/>
      <c r="U470" s="5" t="str">
        <f t="shared" si="22"/>
        <v/>
      </c>
    </row>
    <row r="471" spans="1:21" ht="28" customHeight="1" x14ac:dyDescent="0.35">
      <c r="A471" s="4">
        <v>12</v>
      </c>
      <c r="B471" s="4" t="s">
        <v>303</v>
      </c>
      <c r="C471" s="4" t="s">
        <v>304</v>
      </c>
      <c r="D471" s="4" t="s">
        <v>305</v>
      </c>
      <c r="E471" s="4" t="s">
        <v>283</v>
      </c>
      <c r="F471" s="4" t="s">
        <v>276</v>
      </c>
      <c r="G471" s="4" t="s">
        <v>199</v>
      </c>
      <c r="H471" s="4" t="s">
        <v>76</v>
      </c>
      <c r="I471" s="3"/>
      <c r="J471" s="3"/>
      <c r="K471" s="3"/>
      <c r="L471" s="3"/>
      <c r="M471" s="3"/>
      <c r="N471" s="3"/>
      <c r="O471" s="3"/>
      <c r="P471" s="8"/>
      <c r="Q471" s="8"/>
      <c r="R471" s="3"/>
      <c r="S471" s="3"/>
      <c r="T471" s="3"/>
      <c r="U471" s="5" t="str">
        <f t="shared" si="22"/>
        <v/>
      </c>
    </row>
    <row r="472" spans="1:21" ht="28" customHeight="1" x14ac:dyDescent="0.35">
      <c r="A472" s="4">
        <v>13</v>
      </c>
      <c r="B472" s="4" t="s">
        <v>306</v>
      </c>
      <c r="C472" s="4" t="s">
        <v>307</v>
      </c>
      <c r="D472" s="4" t="s">
        <v>308</v>
      </c>
      <c r="E472" s="4" t="s">
        <v>69</v>
      </c>
      <c r="F472" s="4" t="s">
        <v>273</v>
      </c>
      <c r="G472" s="4" t="s">
        <v>96</v>
      </c>
      <c r="H472" s="4" t="s">
        <v>59</v>
      </c>
      <c r="I472" s="3"/>
      <c r="J472" s="3"/>
      <c r="K472" s="3"/>
      <c r="L472" s="3"/>
      <c r="M472" s="3"/>
      <c r="N472" s="3"/>
      <c r="O472" s="3"/>
      <c r="P472" s="8"/>
      <c r="Q472" s="8"/>
      <c r="R472" s="3"/>
      <c r="S472" s="3"/>
      <c r="T472" s="3"/>
      <c r="U472" s="5" t="str">
        <f t="shared" si="22"/>
        <v/>
      </c>
    </row>
    <row r="473" spans="1:21" ht="28" customHeight="1" x14ac:dyDescent="0.35">
      <c r="A473" s="4">
        <v>14</v>
      </c>
      <c r="B473" s="4" t="s">
        <v>97</v>
      </c>
      <c r="C473" s="4" t="s">
        <v>98</v>
      </c>
      <c r="D473" s="4" t="s">
        <v>99</v>
      </c>
      <c r="E473" s="4" t="s">
        <v>69</v>
      </c>
      <c r="F473" s="4" t="s">
        <v>95</v>
      </c>
      <c r="G473" s="4" t="s">
        <v>96</v>
      </c>
      <c r="H473" s="4" t="s">
        <v>59</v>
      </c>
      <c r="I473" s="3"/>
      <c r="J473" s="3"/>
      <c r="K473" s="3"/>
      <c r="L473" s="3"/>
      <c r="M473" s="3"/>
      <c r="N473" s="3"/>
      <c r="O473" s="3"/>
      <c r="P473" s="8"/>
      <c r="Q473" s="8"/>
      <c r="R473" s="3"/>
      <c r="S473" s="3"/>
      <c r="T473" s="3"/>
      <c r="U473" s="5" t="str">
        <f t="shared" si="22"/>
        <v/>
      </c>
    </row>
    <row r="474" spans="1:21" ht="28" customHeight="1" x14ac:dyDescent="0.35">
      <c r="A474" s="4">
        <v>15</v>
      </c>
      <c r="B474" s="4" t="s">
        <v>97</v>
      </c>
      <c r="C474" s="4" t="s">
        <v>100</v>
      </c>
      <c r="D474" s="4" t="s">
        <v>101</v>
      </c>
      <c r="E474" s="4" t="s">
        <v>69</v>
      </c>
      <c r="F474" s="4" t="s">
        <v>95</v>
      </c>
      <c r="G474" s="4" t="s">
        <v>102</v>
      </c>
      <c r="H474" s="4" t="s">
        <v>59</v>
      </c>
      <c r="I474" s="3"/>
      <c r="J474" s="3"/>
      <c r="K474" s="3"/>
      <c r="L474" s="3"/>
      <c r="M474" s="3"/>
      <c r="N474" s="3"/>
      <c r="O474" s="3"/>
      <c r="P474" s="8"/>
      <c r="Q474" s="8"/>
      <c r="R474" s="3"/>
      <c r="S474" s="3"/>
      <c r="T474" s="3"/>
      <c r="U474" s="5" t="str">
        <f t="shared" si="22"/>
        <v/>
      </c>
    </row>
    <row r="475" spans="1:21" ht="28" customHeight="1" x14ac:dyDescent="0.35">
      <c r="A475" s="4">
        <v>16</v>
      </c>
      <c r="B475" s="4" t="s">
        <v>103</v>
      </c>
      <c r="C475" s="4" t="s">
        <v>104</v>
      </c>
      <c r="D475" s="4" t="s">
        <v>105</v>
      </c>
      <c r="E475" s="4" t="s">
        <v>69</v>
      </c>
      <c r="F475" s="4" t="s">
        <v>95</v>
      </c>
      <c r="G475" s="4" t="s">
        <v>96</v>
      </c>
      <c r="H475" s="4" t="s">
        <v>85</v>
      </c>
      <c r="I475" s="3"/>
      <c r="J475" s="3"/>
      <c r="K475" s="3"/>
      <c r="L475" s="3"/>
      <c r="M475" s="3"/>
      <c r="N475" s="3"/>
      <c r="O475" s="3"/>
      <c r="P475" s="8"/>
      <c r="Q475" s="8"/>
      <c r="R475" s="3"/>
      <c r="S475" s="3"/>
      <c r="T475" s="3"/>
      <c r="U475" s="5" t="str">
        <f t="shared" si="22"/>
        <v/>
      </c>
    </row>
    <row r="476" spans="1:21" ht="28" customHeight="1" x14ac:dyDescent="0.35">
      <c r="A476" s="4">
        <v>17</v>
      </c>
      <c r="B476" s="4" t="s">
        <v>106</v>
      </c>
      <c r="C476" s="4" t="s">
        <v>107</v>
      </c>
      <c r="D476" s="4" t="s">
        <v>108</v>
      </c>
      <c r="E476" s="4" t="s">
        <v>109</v>
      </c>
      <c r="F476" s="4" t="s">
        <v>95</v>
      </c>
      <c r="G476" s="4" t="s">
        <v>96</v>
      </c>
      <c r="H476" s="4" t="s">
        <v>59</v>
      </c>
      <c r="I476" s="3"/>
      <c r="J476" s="3"/>
      <c r="K476" s="3"/>
      <c r="L476" s="3"/>
      <c r="M476" s="3"/>
      <c r="N476" s="3"/>
      <c r="O476" s="3"/>
      <c r="P476" s="8"/>
      <c r="Q476" s="8"/>
      <c r="R476" s="3"/>
      <c r="S476" s="3"/>
      <c r="T476" s="3"/>
      <c r="U476" s="5" t="str">
        <f t="shared" si="22"/>
        <v/>
      </c>
    </row>
    <row r="478" spans="1:21" ht="28" customHeight="1" x14ac:dyDescent="0.35">
      <c r="A478" s="9" t="s">
        <v>110</v>
      </c>
      <c r="B478" s="16"/>
      <c r="C478" s="17"/>
      <c r="D478" s="17"/>
      <c r="E478" s="17"/>
      <c r="F478" s="17"/>
      <c r="G478" s="17"/>
      <c r="H478" s="17"/>
      <c r="I478" s="17"/>
      <c r="J478" s="17"/>
      <c r="K478" s="17"/>
      <c r="L478" s="17"/>
      <c r="M478" s="17"/>
      <c r="N478" s="17"/>
      <c r="O478" s="17"/>
      <c r="P478" s="17"/>
      <c r="Q478" s="17"/>
      <c r="R478" s="17"/>
      <c r="S478" s="17"/>
      <c r="T478" s="17"/>
      <c r="U478" s="18"/>
    </row>
    <row r="479" spans="1:21" ht="28" customHeight="1" x14ac:dyDescent="0.35">
      <c r="A479" s="19" t="s">
        <v>327</v>
      </c>
      <c r="B479" s="20"/>
      <c r="C479" s="20"/>
      <c r="D479" s="20"/>
      <c r="E479" s="20"/>
      <c r="F479" s="20"/>
      <c r="G479" s="20"/>
      <c r="H479" s="20"/>
      <c r="I479" s="20"/>
      <c r="J479" s="20"/>
      <c r="K479" s="20"/>
      <c r="L479" s="20"/>
      <c r="M479" s="20"/>
      <c r="N479" s="20"/>
      <c r="O479" s="20"/>
      <c r="P479" s="20"/>
      <c r="Q479" s="20"/>
      <c r="R479" s="20"/>
      <c r="S479" s="20"/>
      <c r="T479" s="20"/>
      <c r="U479" s="21"/>
    </row>
    <row r="480" spans="1:21" ht="28" customHeight="1" x14ac:dyDescent="0.35">
      <c r="A480" s="4" t="s">
        <v>31</v>
      </c>
      <c r="B480" s="3" t="s">
        <v>236</v>
      </c>
      <c r="C480" s="4" t="s">
        <v>32</v>
      </c>
      <c r="D480" s="3"/>
      <c r="E480" s="4" t="s">
        <v>33</v>
      </c>
      <c r="F480" s="8"/>
    </row>
    <row r="481" spans="1:21" ht="28" customHeight="1" x14ac:dyDescent="0.35">
      <c r="A481" s="1" t="s">
        <v>34</v>
      </c>
      <c r="B481" s="1" t="s">
        <v>35</v>
      </c>
      <c r="C481" s="1" t="s">
        <v>36</v>
      </c>
      <c r="D481" s="1" t="s">
        <v>37</v>
      </c>
      <c r="E481" s="1" t="s">
        <v>38</v>
      </c>
      <c r="F481" s="1" t="s">
        <v>39</v>
      </c>
      <c r="G481" s="1" t="s">
        <v>40</v>
      </c>
      <c r="H481" s="1" t="s">
        <v>41</v>
      </c>
      <c r="I481" s="1" t="s">
        <v>42</v>
      </c>
      <c r="J481" s="1" t="s">
        <v>43</v>
      </c>
      <c r="K481" s="1" t="s">
        <v>44</v>
      </c>
      <c r="L481" s="1" t="s">
        <v>45</v>
      </c>
      <c r="M481" s="1" t="s">
        <v>46</v>
      </c>
      <c r="N481" s="1" t="s">
        <v>47</v>
      </c>
      <c r="O481" s="1" t="s">
        <v>48</v>
      </c>
      <c r="P481" s="1" t="s">
        <v>4</v>
      </c>
      <c r="Q481" s="1" t="s">
        <v>49</v>
      </c>
      <c r="R481" s="1" t="s">
        <v>50</v>
      </c>
      <c r="S481" s="1" t="s">
        <v>51</v>
      </c>
      <c r="T481" s="1" t="s">
        <v>52</v>
      </c>
      <c r="U481" s="1" t="s">
        <v>10</v>
      </c>
    </row>
    <row r="482" spans="1:21" ht="28" customHeight="1" x14ac:dyDescent="0.35">
      <c r="A482" s="4">
        <v>1</v>
      </c>
      <c r="B482" s="4" t="s">
        <v>270</v>
      </c>
      <c r="C482" s="4" t="s">
        <v>271</v>
      </c>
      <c r="D482" s="4" t="s">
        <v>272</v>
      </c>
      <c r="E482" s="4" t="s">
        <v>109</v>
      </c>
      <c r="F482" s="4" t="s">
        <v>273</v>
      </c>
      <c r="G482" s="4" t="s">
        <v>199</v>
      </c>
      <c r="H482" s="4" t="s">
        <v>59</v>
      </c>
      <c r="I482" s="3"/>
      <c r="J482" s="3"/>
      <c r="K482" s="3"/>
      <c r="L482" s="3"/>
      <c r="M482" s="3"/>
      <c r="N482" s="3"/>
      <c r="O482" s="3"/>
      <c r="P482" s="8"/>
      <c r="Q482" s="8"/>
      <c r="R482" s="3"/>
      <c r="S482" s="3"/>
      <c r="T482" s="3"/>
      <c r="U482" s="5" t="str">
        <f t="shared" ref="U482:U498" si="23">IF(I482="","",IF(I482="NA","Grey",IF(I482=2,"Green",IF(I482=1,"Amber","Red"))))</f>
        <v/>
      </c>
    </row>
    <row r="483" spans="1:21" ht="28" customHeight="1" x14ac:dyDescent="0.35">
      <c r="A483" s="4">
        <v>2</v>
      </c>
      <c r="B483" s="4" t="s">
        <v>270</v>
      </c>
      <c r="C483" s="4" t="s">
        <v>274</v>
      </c>
      <c r="D483" s="4" t="s">
        <v>275</v>
      </c>
      <c r="E483" s="4" t="s">
        <v>69</v>
      </c>
      <c r="F483" s="4" t="s">
        <v>276</v>
      </c>
      <c r="G483" s="4" t="s">
        <v>199</v>
      </c>
      <c r="H483" s="4" t="s">
        <v>76</v>
      </c>
      <c r="I483" s="3"/>
      <c r="J483" s="3"/>
      <c r="K483" s="3"/>
      <c r="L483" s="3"/>
      <c r="M483" s="3"/>
      <c r="N483" s="3"/>
      <c r="O483" s="3"/>
      <c r="P483" s="8"/>
      <c r="Q483" s="8"/>
      <c r="R483" s="3"/>
      <c r="S483" s="3"/>
      <c r="T483" s="3"/>
      <c r="U483" s="5" t="str">
        <f t="shared" si="23"/>
        <v/>
      </c>
    </row>
    <row r="484" spans="1:21" ht="28" customHeight="1" x14ac:dyDescent="0.35">
      <c r="A484" s="4">
        <v>3</v>
      </c>
      <c r="B484" s="4" t="s">
        <v>270</v>
      </c>
      <c r="C484" s="4" t="s">
        <v>277</v>
      </c>
      <c r="D484" s="4" t="s">
        <v>278</v>
      </c>
      <c r="E484" s="4" t="s">
        <v>279</v>
      </c>
      <c r="F484" s="4" t="s">
        <v>280</v>
      </c>
      <c r="G484" s="4" t="s">
        <v>209</v>
      </c>
      <c r="H484" s="4" t="s">
        <v>76</v>
      </c>
      <c r="I484" s="3"/>
      <c r="J484" s="3"/>
      <c r="K484" s="3"/>
      <c r="L484" s="3"/>
      <c r="M484" s="3"/>
      <c r="N484" s="3"/>
      <c r="O484" s="3"/>
      <c r="P484" s="8"/>
      <c r="Q484" s="8"/>
      <c r="R484" s="3"/>
      <c r="S484" s="3"/>
      <c r="T484" s="3"/>
      <c r="U484" s="5" t="str">
        <f t="shared" si="23"/>
        <v/>
      </c>
    </row>
    <row r="485" spans="1:21" ht="28" customHeight="1" x14ac:dyDescent="0.35">
      <c r="A485" s="4">
        <v>4</v>
      </c>
      <c r="B485" s="4" t="s">
        <v>270</v>
      </c>
      <c r="C485" s="4" t="s">
        <v>281</v>
      </c>
      <c r="D485" s="4" t="s">
        <v>282</v>
      </c>
      <c r="E485" s="4" t="s">
        <v>283</v>
      </c>
      <c r="F485" s="4" t="s">
        <v>284</v>
      </c>
      <c r="G485" s="4" t="s">
        <v>204</v>
      </c>
      <c r="H485" s="4" t="s">
        <v>76</v>
      </c>
      <c r="I485" s="3"/>
      <c r="J485" s="3"/>
      <c r="K485" s="3"/>
      <c r="L485" s="3"/>
      <c r="M485" s="3"/>
      <c r="N485" s="3"/>
      <c r="O485" s="3"/>
      <c r="P485" s="8"/>
      <c r="Q485" s="8"/>
      <c r="R485" s="3"/>
      <c r="S485" s="3"/>
      <c r="T485" s="3"/>
      <c r="U485" s="5" t="str">
        <f t="shared" si="23"/>
        <v/>
      </c>
    </row>
    <row r="486" spans="1:21" ht="28" customHeight="1" x14ac:dyDescent="0.35">
      <c r="A486" s="4">
        <v>5</v>
      </c>
      <c r="B486" s="4" t="s">
        <v>285</v>
      </c>
      <c r="C486" s="4" t="s">
        <v>286</v>
      </c>
      <c r="D486" s="4" t="s">
        <v>287</v>
      </c>
      <c r="E486" s="4" t="s">
        <v>69</v>
      </c>
      <c r="F486" s="4" t="s">
        <v>276</v>
      </c>
      <c r="G486" s="4" t="s">
        <v>199</v>
      </c>
      <c r="H486" s="4" t="s">
        <v>76</v>
      </c>
      <c r="I486" s="3"/>
      <c r="J486" s="3"/>
      <c r="K486" s="3"/>
      <c r="L486" s="3"/>
      <c r="M486" s="3"/>
      <c r="N486" s="3"/>
      <c r="O486" s="3"/>
      <c r="P486" s="8"/>
      <c r="Q486" s="8"/>
      <c r="R486" s="3"/>
      <c r="S486" s="3"/>
      <c r="T486" s="3"/>
      <c r="U486" s="5" t="str">
        <f t="shared" si="23"/>
        <v/>
      </c>
    </row>
    <row r="487" spans="1:21" ht="28" customHeight="1" x14ac:dyDescent="0.35">
      <c r="A487" s="4">
        <v>6</v>
      </c>
      <c r="B487" s="4" t="s">
        <v>285</v>
      </c>
      <c r="C487" s="4" t="s">
        <v>288</v>
      </c>
      <c r="D487" s="4" t="s">
        <v>289</v>
      </c>
      <c r="E487" s="4" t="s">
        <v>70</v>
      </c>
      <c r="F487" s="4" t="s">
        <v>276</v>
      </c>
      <c r="G487" s="4" t="s">
        <v>199</v>
      </c>
      <c r="H487" s="4" t="s">
        <v>59</v>
      </c>
      <c r="I487" s="3"/>
      <c r="J487" s="3"/>
      <c r="K487" s="3"/>
      <c r="L487" s="3"/>
      <c r="M487" s="3"/>
      <c r="N487" s="3"/>
      <c r="O487" s="3"/>
      <c r="P487" s="8"/>
      <c r="Q487" s="8"/>
      <c r="R487" s="3"/>
      <c r="S487" s="3"/>
      <c r="T487" s="3"/>
      <c r="U487" s="5" t="str">
        <f t="shared" si="23"/>
        <v/>
      </c>
    </row>
    <row r="488" spans="1:21" ht="28" customHeight="1" x14ac:dyDescent="0.35">
      <c r="A488" s="4">
        <v>7</v>
      </c>
      <c r="B488" s="4" t="s">
        <v>290</v>
      </c>
      <c r="C488" s="4" t="s">
        <v>291</v>
      </c>
      <c r="D488" s="4" t="s">
        <v>292</v>
      </c>
      <c r="E488" s="4" t="s">
        <v>109</v>
      </c>
      <c r="F488" s="4" t="s">
        <v>284</v>
      </c>
      <c r="G488" s="4" t="s">
        <v>204</v>
      </c>
      <c r="H488" s="4" t="s">
        <v>59</v>
      </c>
      <c r="I488" s="3"/>
      <c r="J488" s="3"/>
      <c r="K488" s="3"/>
      <c r="L488" s="3"/>
      <c r="M488" s="3"/>
      <c r="N488" s="3"/>
      <c r="O488" s="3"/>
      <c r="P488" s="8"/>
      <c r="Q488" s="8"/>
      <c r="R488" s="3"/>
      <c r="S488" s="3"/>
      <c r="T488" s="3"/>
      <c r="U488" s="5" t="str">
        <f t="shared" si="23"/>
        <v/>
      </c>
    </row>
    <row r="489" spans="1:21" ht="28" customHeight="1" x14ac:dyDescent="0.35">
      <c r="A489" s="4">
        <v>8</v>
      </c>
      <c r="B489" s="4" t="s">
        <v>290</v>
      </c>
      <c r="C489" s="4" t="s">
        <v>293</v>
      </c>
      <c r="D489" s="4" t="s">
        <v>294</v>
      </c>
      <c r="E489" s="4" t="s">
        <v>70</v>
      </c>
      <c r="F489" s="4" t="s">
        <v>295</v>
      </c>
      <c r="G489" s="4" t="s">
        <v>199</v>
      </c>
      <c r="H489" s="4" t="s">
        <v>76</v>
      </c>
      <c r="I489" s="3"/>
      <c r="J489" s="3"/>
      <c r="K489" s="3"/>
      <c r="L489" s="3"/>
      <c r="M489" s="3"/>
      <c r="N489" s="3"/>
      <c r="O489" s="3"/>
      <c r="P489" s="8"/>
      <c r="Q489" s="8"/>
      <c r="R489" s="3"/>
      <c r="S489" s="3"/>
      <c r="T489" s="3"/>
      <c r="U489" s="5" t="str">
        <f t="shared" si="23"/>
        <v/>
      </c>
    </row>
    <row r="490" spans="1:21" ht="28" customHeight="1" x14ac:dyDescent="0.35">
      <c r="A490" s="4">
        <v>9</v>
      </c>
      <c r="B490" s="4" t="s">
        <v>296</v>
      </c>
      <c r="C490" s="4" t="s">
        <v>297</v>
      </c>
      <c r="D490" s="4" t="s">
        <v>70</v>
      </c>
      <c r="E490" s="4" t="s">
        <v>70</v>
      </c>
      <c r="F490" s="4" t="s">
        <v>295</v>
      </c>
      <c r="G490" s="4" t="s">
        <v>199</v>
      </c>
      <c r="H490" s="4" t="s">
        <v>76</v>
      </c>
      <c r="I490" s="3"/>
      <c r="J490" s="3"/>
      <c r="K490" s="3"/>
      <c r="L490" s="3"/>
      <c r="M490" s="3"/>
      <c r="N490" s="3"/>
      <c r="O490" s="3"/>
      <c r="P490" s="8"/>
      <c r="Q490" s="8"/>
      <c r="R490" s="3"/>
      <c r="S490" s="3"/>
      <c r="T490" s="3"/>
      <c r="U490" s="5" t="str">
        <f t="shared" si="23"/>
        <v/>
      </c>
    </row>
    <row r="491" spans="1:21" ht="28" customHeight="1" x14ac:dyDescent="0.35">
      <c r="A491" s="4">
        <v>10</v>
      </c>
      <c r="B491" s="4" t="s">
        <v>296</v>
      </c>
      <c r="C491" s="4" t="s">
        <v>298</v>
      </c>
      <c r="D491" s="4" t="s">
        <v>299</v>
      </c>
      <c r="E491" s="4" t="s">
        <v>283</v>
      </c>
      <c r="F491" s="4" t="s">
        <v>284</v>
      </c>
      <c r="G491" s="4" t="s">
        <v>204</v>
      </c>
      <c r="H491" s="4" t="s">
        <v>59</v>
      </c>
      <c r="I491" s="3"/>
      <c r="J491" s="3"/>
      <c r="K491" s="3"/>
      <c r="L491" s="3"/>
      <c r="M491" s="3"/>
      <c r="N491" s="3"/>
      <c r="O491" s="3"/>
      <c r="P491" s="8"/>
      <c r="Q491" s="8"/>
      <c r="R491" s="3"/>
      <c r="S491" s="3"/>
      <c r="T491" s="3"/>
      <c r="U491" s="5" t="str">
        <f t="shared" si="23"/>
        <v/>
      </c>
    </row>
    <row r="492" spans="1:21" ht="28" customHeight="1" x14ac:dyDescent="0.35">
      <c r="A492" s="4">
        <v>11</v>
      </c>
      <c r="B492" s="4" t="s">
        <v>300</v>
      </c>
      <c r="C492" s="4" t="s">
        <v>301</v>
      </c>
      <c r="D492" s="4" t="s">
        <v>302</v>
      </c>
      <c r="E492" s="4" t="s">
        <v>56</v>
      </c>
      <c r="F492" s="4" t="s">
        <v>276</v>
      </c>
      <c r="G492" s="4" t="s">
        <v>199</v>
      </c>
      <c r="H492" s="4" t="s">
        <v>76</v>
      </c>
      <c r="I492" s="3"/>
      <c r="J492" s="3"/>
      <c r="K492" s="3"/>
      <c r="L492" s="3"/>
      <c r="M492" s="3"/>
      <c r="N492" s="3"/>
      <c r="O492" s="3"/>
      <c r="P492" s="8"/>
      <c r="Q492" s="8"/>
      <c r="R492" s="3"/>
      <c r="S492" s="3"/>
      <c r="T492" s="3"/>
      <c r="U492" s="5" t="str">
        <f t="shared" si="23"/>
        <v/>
      </c>
    </row>
    <row r="493" spans="1:21" ht="28" customHeight="1" x14ac:dyDescent="0.35">
      <c r="A493" s="4">
        <v>12</v>
      </c>
      <c r="B493" s="4" t="s">
        <v>303</v>
      </c>
      <c r="C493" s="4" t="s">
        <v>304</v>
      </c>
      <c r="D493" s="4" t="s">
        <v>305</v>
      </c>
      <c r="E493" s="4" t="s">
        <v>283</v>
      </c>
      <c r="F493" s="4" t="s">
        <v>276</v>
      </c>
      <c r="G493" s="4" t="s">
        <v>199</v>
      </c>
      <c r="H493" s="4" t="s">
        <v>76</v>
      </c>
      <c r="I493" s="3"/>
      <c r="J493" s="3"/>
      <c r="K493" s="3"/>
      <c r="L493" s="3"/>
      <c r="M493" s="3"/>
      <c r="N493" s="3"/>
      <c r="O493" s="3"/>
      <c r="P493" s="8"/>
      <c r="Q493" s="8"/>
      <c r="R493" s="3"/>
      <c r="S493" s="3"/>
      <c r="T493" s="3"/>
      <c r="U493" s="5" t="str">
        <f t="shared" si="23"/>
        <v/>
      </c>
    </row>
    <row r="494" spans="1:21" ht="28" customHeight="1" x14ac:dyDescent="0.35">
      <c r="A494" s="4">
        <v>13</v>
      </c>
      <c r="B494" s="4" t="s">
        <v>306</v>
      </c>
      <c r="C494" s="4" t="s">
        <v>307</v>
      </c>
      <c r="D494" s="4" t="s">
        <v>308</v>
      </c>
      <c r="E494" s="4" t="s">
        <v>69</v>
      </c>
      <c r="F494" s="4" t="s">
        <v>273</v>
      </c>
      <c r="G494" s="4" t="s">
        <v>96</v>
      </c>
      <c r="H494" s="4" t="s">
        <v>59</v>
      </c>
      <c r="I494" s="3"/>
      <c r="J494" s="3"/>
      <c r="K494" s="3"/>
      <c r="L494" s="3"/>
      <c r="M494" s="3"/>
      <c r="N494" s="3"/>
      <c r="O494" s="3"/>
      <c r="P494" s="8"/>
      <c r="Q494" s="8"/>
      <c r="R494" s="3"/>
      <c r="S494" s="3"/>
      <c r="T494" s="3"/>
      <c r="U494" s="5" t="str">
        <f t="shared" si="23"/>
        <v/>
      </c>
    </row>
    <row r="495" spans="1:21" ht="28" customHeight="1" x14ac:dyDescent="0.35">
      <c r="A495" s="4">
        <v>14</v>
      </c>
      <c r="B495" s="4" t="s">
        <v>97</v>
      </c>
      <c r="C495" s="4" t="s">
        <v>98</v>
      </c>
      <c r="D495" s="4" t="s">
        <v>99</v>
      </c>
      <c r="E495" s="4" t="s">
        <v>69</v>
      </c>
      <c r="F495" s="4" t="s">
        <v>95</v>
      </c>
      <c r="G495" s="4" t="s">
        <v>96</v>
      </c>
      <c r="H495" s="4" t="s">
        <v>59</v>
      </c>
      <c r="I495" s="3"/>
      <c r="J495" s="3"/>
      <c r="K495" s="3"/>
      <c r="L495" s="3"/>
      <c r="M495" s="3"/>
      <c r="N495" s="3"/>
      <c r="O495" s="3"/>
      <c r="P495" s="8"/>
      <c r="Q495" s="8"/>
      <c r="R495" s="3"/>
      <c r="S495" s="3"/>
      <c r="T495" s="3"/>
      <c r="U495" s="5" t="str">
        <f t="shared" si="23"/>
        <v/>
      </c>
    </row>
    <row r="496" spans="1:21" ht="28" customHeight="1" x14ac:dyDescent="0.35">
      <c r="A496" s="4">
        <v>15</v>
      </c>
      <c r="B496" s="4" t="s">
        <v>97</v>
      </c>
      <c r="C496" s="4" t="s">
        <v>100</v>
      </c>
      <c r="D496" s="4" t="s">
        <v>101</v>
      </c>
      <c r="E496" s="4" t="s">
        <v>69</v>
      </c>
      <c r="F496" s="4" t="s">
        <v>95</v>
      </c>
      <c r="G496" s="4" t="s">
        <v>102</v>
      </c>
      <c r="H496" s="4" t="s">
        <v>59</v>
      </c>
      <c r="I496" s="3"/>
      <c r="J496" s="3"/>
      <c r="K496" s="3"/>
      <c r="L496" s="3"/>
      <c r="M496" s="3"/>
      <c r="N496" s="3"/>
      <c r="O496" s="3"/>
      <c r="P496" s="8"/>
      <c r="Q496" s="8"/>
      <c r="R496" s="3"/>
      <c r="S496" s="3"/>
      <c r="T496" s="3"/>
      <c r="U496" s="5" t="str">
        <f t="shared" si="23"/>
        <v/>
      </c>
    </row>
    <row r="497" spans="1:21" ht="28" customHeight="1" x14ac:dyDescent="0.35">
      <c r="A497" s="4">
        <v>16</v>
      </c>
      <c r="B497" s="4" t="s">
        <v>103</v>
      </c>
      <c r="C497" s="4" t="s">
        <v>104</v>
      </c>
      <c r="D497" s="4" t="s">
        <v>105</v>
      </c>
      <c r="E497" s="4" t="s">
        <v>69</v>
      </c>
      <c r="F497" s="4" t="s">
        <v>95</v>
      </c>
      <c r="G497" s="4" t="s">
        <v>96</v>
      </c>
      <c r="H497" s="4" t="s">
        <v>85</v>
      </c>
      <c r="I497" s="3"/>
      <c r="J497" s="3"/>
      <c r="K497" s="3"/>
      <c r="L497" s="3"/>
      <c r="M497" s="3"/>
      <c r="N497" s="3"/>
      <c r="O497" s="3"/>
      <c r="P497" s="8"/>
      <c r="Q497" s="8"/>
      <c r="R497" s="3"/>
      <c r="S497" s="3"/>
      <c r="T497" s="3"/>
      <c r="U497" s="5" t="str">
        <f t="shared" si="23"/>
        <v/>
      </c>
    </row>
    <row r="498" spans="1:21" ht="28" customHeight="1" x14ac:dyDescent="0.35">
      <c r="A498" s="4">
        <v>17</v>
      </c>
      <c r="B498" s="4" t="s">
        <v>106</v>
      </c>
      <c r="C498" s="4" t="s">
        <v>107</v>
      </c>
      <c r="D498" s="4" t="s">
        <v>108</v>
      </c>
      <c r="E498" s="4" t="s">
        <v>109</v>
      </c>
      <c r="F498" s="4" t="s">
        <v>95</v>
      </c>
      <c r="G498" s="4" t="s">
        <v>96</v>
      </c>
      <c r="H498" s="4" t="s">
        <v>59</v>
      </c>
      <c r="I498" s="3"/>
      <c r="J498" s="3"/>
      <c r="K498" s="3"/>
      <c r="L498" s="3"/>
      <c r="M498" s="3"/>
      <c r="N498" s="3"/>
      <c r="O498" s="3"/>
      <c r="P498" s="8"/>
      <c r="Q498" s="8"/>
      <c r="R498" s="3"/>
      <c r="S498" s="3"/>
      <c r="T498" s="3"/>
      <c r="U498" s="5" t="str">
        <f t="shared" si="23"/>
        <v/>
      </c>
    </row>
    <row r="500" spans="1:21" ht="28" customHeight="1" x14ac:dyDescent="0.35">
      <c r="A500" s="9" t="s">
        <v>110</v>
      </c>
      <c r="B500" s="16"/>
      <c r="C500" s="17"/>
      <c r="D500" s="17"/>
      <c r="E500" s="17"/>
      <c r="F500" s="17"/>
      <c r="G500" s="17"/>
      <c r="H500" s="17"/>
      <c r="I500" s="17"/>
      <c r="J500" s="17"/>
      <c r="K500" s="17"/>
      <c r="L500" s="17"/>
      <c r="M500" s="17"/>
      <c r="N500" s="17"/>
      <c r="O500" s="17"/>
      <c r="P500" s="17"/>
      <c r="Q500" s="17"/>
      <c r="R500" s="17"/>
      <c r="S500" s="17"/>
      <c r="T500" s="17"/>
      <c r="U500" s="18"/>
    </row>
    <row r="501" spans="1:21" ht="28" customHeight="1" x14ac:dyDescent="0.35">
      <c r="A501" s="19" t="s">
        <v>328</v>
      </c>
      <c r="B501" s="20"/>
      <c r="C501" s="20"/>
      <c r="D501" s="20"/>
      <c r="E501" s="20"/>
      <c r="F501" s="20"/>
      <c r="G501" s="20"/>
      <c r="H501" s="20"/>
      <c r="I501" s="20"/>
      <c r="J501" s="20"/>
      <c r="K501" s="20"/>
      <c r="L501" s="20"/>
      <c r="M501" s="20"/>
      <c r="N501" s="20"/>
      <c r="O501" s="20"/>
      <c r="P501" s="20"/>
      <c r="Q501" s="20"/>
      <c r="R501" s="20"/>
      <c r="S501" s="20"/>
      <c r="T501" s="20"/>
      <c r="U501" s="21"/>
    </row>
    <row r="502" spans="1:21" ht="28" customHeight="1" x14ac:dyDescent="0.35">
      <c r="A502" s="4" t="s">
        <v>31</v>
      </c>
      <c r="B502" s="3" t="s">
        <v>237</v>
      </c>
      <c r="C502" s="4" t="s">
        <v>32</v>
      </c>
      <c r="D502" s="3"/>
      <c r="E502" s="4" t="s">
        <v>33</v>
      </c>
      <c r="F502" s="8"/>
    </row>
    <row r="503" spans="1:21" ht="28" customHeight="1" x14ac:dyDescent="0.35">
      <c r="A503" s="1" t="s">
        <v>34</v>
      </c>
      <c r="B503" s="1" t="s">
        <v>35</v>
      </c>
      <c r="C503" s="1" t="s">
        <v>36</v>
      </c>
      <c r="D503" s="1" t="s">
        <v>37</v>
      </c>
      <c r="E503" s="1" t="s">
        <v>38</v>
      </c>
      <c r="F503" s="1" t="s">
        <v>39</v>
      </c>
      <c r="G503" s="1" t="s">
        <v>40</v>
      </c>
      <c r="H503" s="1" t="s">
        <v>41</v>
      </c>
      <c r="I503" s="1" t="s">
        <v>42</v>
      </c>
      <c r="J503" s="1" t="s">
        <v>43</v>
      </c>
      <c r="K503" s="1" t="s">
        <v>44</v>
      </c>
      <c r="L503" s="1" t="s">
        <v>45</v>
      </c>
      <c r="M503" s="1" t="s">
        <v>46</v>
      </c>
      <c r="N503" s="1" t="s">
        <v>47</v>
      </c>
      <c r="O503" s="1" t="s">
        <v>48</v>
      </c>
      <c r="P503" s="1" t="s">
        <v>4</v>
      </c>
      <c r="Q503" s="1" t="s">
        <v>49</v>
      </c>
      <c r="R503" s="1" t="s">
        <v>50</v>
      </c>
      <c r="S503" s="1" t="s">
        <v>51</v>
      </c>
      <c r="T503" s="1" t="s">
        <v>52</v>
      </c>
      <c r="U503" s="1" t="s">
        <v>10</v>
      </c>
    </row>
    <row r="504" spans="1:21" ht="28" customHeight="1" x14ac:dyDescent="0.35">
      <c r="A504" s="4">
        <v>1</v>
      </c>
      <c r="B504" s="4" t="s">
        <v>270</v>
      </c>
      <c r="C504" s="4" t="s">
        <v>271</v>
      </c>
      <c r="D504" s="4" t="s">
        <v>272</v>
      </c>
      <c r="E504" s="4" t="s">
        <v>109</v>
      </c>
      <c r="F504" s="4" t="s">
        <v>273</v>
      </c>
      <c r="G504" s="4" t="s">
        <v>199</v>
      </c>
      <c r="H504" s="4" t="s">
        <v>59</v>
      </c>
      <c r="I504" s="3"/>
      <c r="J504" s="3"/>
      <c r="K504" s="3"/>
      <c r="L504" s="3"/>
      <c r="M504" s="3"/>
      <c r="N504" s="3"/>
      <c r="O504" s="3"/>
      <c r="P504" s="8"/>
      <c r="Q504" s="8"/>
      <c r="R504" s="3"/>
      <c r="S504" s="3"/>
      <c r="T504" s="3"/>
      <c r="U504" s="5" t="str">
        <f t="shared" ref="U504:U520" si="24">IF(I504="","",IF(I504="NA","Grey",IF(I504=2,"Green",IF(I504=1,"Amber","Red"))))</f>
        <v/>
      </c>
    </row>
    <row r="505" spans="1:21" ht="28" customHeight="1" x14ac:dyDescent="0.35">
      <c r="A505" s="4">
        <v>2</v>
      </c>
      <c r="B505" s="4" t="s">
        <v>270</v>
      </c>
      <c r="C505" s="4" t="s">
        <v>274</v>
      </c>
      <c r="D505" s="4" t="s">
        <v>275</v>
      </c>
      <c r="E505" s="4" t="s">
        <v>69</v>
      </c>
      <c r="F505" s="4" t="s">
        <v>276</v>
      </c>
      <c r="G505" s="4" t="s">
        <v>199</v>
      </c>
      <c r="H505" s="4" t="s">
        <v>76</v>
      </c>
      <c r="I505" s="3"/>
      <c r="J505" s="3"/>
      <c r="K505" s="3"/>
      <c r="L505" s="3"/>
      <c r="M505" s="3"/>
      <c r="N505" s="3"/>
      <c r="O505" s="3"/>
      <c r="P505" s="8"/>
      <c r="Q505" s="8"/>
      <c r="R505" s="3"/>
      <c r="S505" s="3"/>
      <c r="T505" s="3"/>
      <c r="U505" s="5" t="str">
        <f t="shared" si="24"/>
        <v/>
      </c>
    </row>
    <row r="506" spans="1:21" ht="28" customHeight="1" x14ac:dyDescent="0.35">
      <c r="A506" s="4">
        <v>3</v>
      </c>
      <c r="B506" s="4" t="s">
        <v>270</v>
      </c>
      <c r="C506" s="4" t="s">
        <v>277</v>
      </c>
      <c r="D506" s="4" t="s">
        <v>278</v>
      </c>
      <c r="E506" s="4" t="s">
        <v>279</v>
      </c>
      <c r="F506" s="4" t="s">
        <v>280</v>
      </c>
      <c r="G506" s="4" t="s">
        <v>209</v>
      </c>
      <c r="H506" s="4" t="s">
        <v>76</v>
      </c>
      <c r="I506" s="3"/>
      <c r="J506" s="3"/>
      <c r="K506" s="3"/>
      <c r="L506" s="3"/>
      <c r="M506" s="3"/>
      <c r="N506" s="3"/>
      <c r="O506" s="3"/>
      <c r="P506" s="8"/>
      <c r="Q506" s="8"/>
      <c r="R506" s="3"/>
      <c r="S506" s="3"/>
      <c r="T506" s="3"/>
      <c r="U506" s="5" t="str">
        <f t="shared" si="24"/>
        <v/>
      </c>
    </row>
    <row r="507" spans="1:21" ht="28" customHeight="1" x14ac:dyDescent="0.35">
      <c r="A507" s="4">
        <v>4</v>
      </c>
      <c r="B507" s="4" t="s">
        <v>270</v>
      </c>
      <c r="C507" s="4" t="s">
        <v>281</v>
      </c>
      <c r="D507" s="4" t="s">
        <v>282</v>
      </c>
      <c r="E507" s="4" t="s">
        <v>283</v>
      </c>
      <c r="F507" s="4" t="s">
        <v>284</v>
      </c>
      <c r="G507" s="4" t="s">
        <v>204</v>
      </c>
      <c r="H507" s="4" t="s">
        <v>76</v>
      </c>
      <c r="I507" s="3"/>
      <c r="J507" s="3"/>
      <c r="K507" s="3"/>
      <c r="L507" s="3"/>
      <c r="M507" s="3"/>
      <c r="N507" s="3"/>
      <c r="O507" s="3"/>
      <c r="P507" s="8"/>
      <c r="Q507" s="8"/>
      <c r="R507" s="3"/>
      <c r="S507" s="3"/>
      <c r="T507" s="3"/>
      <c r="U507" s="5" t="str">
        <f t="shared" si="24"/>
        <v/>
      </c>
    </row>
    <row r="508" spans="1:21" ht="28" customHeight="1" x14ac:dyDescent="0.35">
      <c r="A508" s="4">
        <v>5</v>
      </c>
      <c r="B508" s="4" t="s">
        <v>285</v>
      </c>
      <c r="C508" s="4" t="s">
        <v>286</v>
      </c>
      <c r="D508" s="4" t="s">
        <v>287</v>
      </c>
      <c r="E508" s="4" t="s">
        <v>69</v>
      </c>
      <c r="F508" s="4" t="s">
        <v>276</v>
      </c>
      <c r="G508" s="4" t="s">
        <v>199</v>
      </c>
      <c r="H508" s="4" t="s">
        <v>76</v>
      </c>
      <c r="I508" s="3"/>
      <c r="J508" s="3"/>
      <c r="K508" s="3"/>
      <c r="L508" s="3"/>
      <c r="M508" s="3"/>
      <c r="N508" s="3"/>
      <c r="O508" s="3"/>
      <c r="P508" s="8"/>
      <c r="Q508" s="8"/>
      <c r="R508" s="3"/>
      <c r="S508" s="3"/>
      <c r="T508" s="3"/>
      <c r="U508" s="5" t="str">
        <f t="shared" si="24"/>
        <v/>
      </c>
    </row>
    <row r="509" spans="1:21" ht="28" customHeight="1" x14ac:dyDescent="0.35">
      <c r="A509" s="4">
        <v>6</v>
      </c>
      <c r="B509" s="4" t="s">
        <v>285</v>
      </c>
      <c r="C509" s="4" t="s">
        <v>288</v>
      </c>
      <c r="D509" s="4" t="s">
        <v>289</v>
      </c>
      <c r="E509" s="4" t="s">
        <v>70</v>
      </c>
      <c r="F509" s="4" t="s">
        <v>276</v>
      </c>
      <c r="G509" s="4" t="s">
        <v>199</v>
      </c>
      <c r="H509" s="4" t="s">
        <v>59</v>
      </c>
      <c r="I509" s="3"/>
      <c r="J509" s="3"/>
      <c r="K509" s="3"/>
      <c r="L509" s="3"/>
      <c r="M509" s="3"/>
      <c r="N509" s="3"/>
      <c r="O509" s="3"/>
      <c r="P509" s="8"/>
      <c r="Q509" s="8"/>
      <c r="R509" s="3"/>
      <c r="S509" s="3"/>
      <c r="T509" s="3"/>
      <c r="U509" s="5" t="str">
        <f t="shared" si="24"/>
        <v/>
      </c>
    </row>
    <row r="510" spans="1:21" ht="28" customHeight="1" x14ac:dyDescent="0.35">
      <c r="A510" s="4">
        <v>7</v>
      </c>
      <c r="B510" s="4" t="s">
        <v>290</v>
      </c>
      <c r="C510" s="4" t="s">
        <v>291</v>
      </c>
      <c r="D510" s="4" t="s">
        <v>292</v>
      </c>
      <c r="E510" s="4" t="s">
        <v>109</v>
      </c>
      <c r="F510" s="4" t="s">
        <v>284</v>
      </c>
      <c r="G510" s="4" t="s">
        <v>204</v>
      </c>
      <c r="H510" s="4" t="s">
        <v>59</v>
      </c>
      <c r="I510" s="3"/>
      <c r="J510" s="3"/>
      <c r="K510" s="3"/>
      <c r="L510" s="3"/>
      <c r="M510" s="3"/>
      <c r="N510" s="3"/>
      <c r="O510" s="3"/>
      <c r="P510" s="8"/>
      <c r="Q510" s="8"/>
      <c r="R510" s="3"/>
      <c r="S510" s="3"/>
      <c r="T510" s="3"/>
      <c r="U510" s="5" t="str">
        <f t="shared" si="24"/>
        <v/>
      </c>
    </row>
    <row r="511" spans="1:21" ht="28" customHeight="1" x14ac:dyDescent="0.35">
      <c r="A511" s="4">
        <v>8</v>
      </c>
      <c r="B511" s="4" t="s">
        <v>290</v>
      </c>
      <c r="C511" s="4" t="s">
        <v>293</v>
      </c>
      <c r="D511" s="4" t="s">
        <v>294</v>
      </c>
      <c r="E511" s="4" t="s">
        <v>70</v>
      </c>
      <c r="F511" s="4" t="s">
        <v>295</v>
      </c>
      <c r="G511" s="4" t="s">
        <v>199</v>
      </c>
      <c r="H511" s="4" t="s">
        <v>76</v>
      </c>
      <c r="I511" s="3"/>
      <c r="J511" s="3"/>
      <c r="K511" s="3"/>
      <c r="L511" s="3"/>
      <c r="M511" s="3"/>
      <c r="N511" s="3"/>
      <c r="O511" s="3"/>
      <c r="P511" s="8"/>
      <c r="Q511" s="8"/>
      <c r="R511" s="3"/>
      <c r="S511" s="3"/>
      <c r="T511" s="3"/>
      <c r="U511" s="5" t="str">
        <f t="shared" si="24"/>
        <v/>
      </c>
    </row>
    <row r="512" spans="1:21" ht="28" customHeight="1" x14ac:dyDescent="0.35">
      <c r="A512" s="4">
        <v>9</v>
      </c>
      <c r="B512" s="4" t="s">
        <v>296</v>
      </c>
      <c r="C512" s="4" t="s">
        <v>297</v>
      </c>
      <c r="D512" s="4" t="s">
        <v>70</v>
      </c>
      <c r="E512" s="4" t="s">
        <v>70</v>
      </c>
      <c r="F512" s="4" t="s">
        <v>295</v>
      </c>
      <c r="G512" s="4" t="s">
        <v>199</v>
      </c>
      <c r="H512" s="4" t="s">
        <v>76</v>
      </c>
      <c r="I512" s="3"/>
      <c r="J512" s="3"/>
      <c r="K512" s="3"/>
      <c r="L512" s="3"/>
      <c r="M512" s="3"/>
      <c r="N512" s="3"/>
      <c r="O512" s="3"/>
      <c r="P512" s="8"/>
      <c r="Q512" s="8"/>
      <c r="R512" s="3"/>
      <c r="S512" s="3"/>
      <c r="T512" s="3"/>
      <c r="U512" s="5" t="str">
        <f t="shared" si="24"/>
        <v/>
      </c>
    </row>
    <row r="513" spans="1:21" ht="28" customHeight="1" x14ac:dyDescent="0.35">
      <c r="A513" s="4">
        <v>10</v>
      </c>
      <c r="B513" s="4" t="s">
        <v>296</v>
      </c>
      <c r="C513" s="4" t="s">
        <v>298</v>
      </c>
      <c r="D513" s="4" t="s">
        <v>299</v>
      </c>
      <c r="E513" s="4" t="s">
        <v>283</v>
      </c>
      <c r="F513" s="4" t="s">
        <v>284</v>
      </c>
      <c r="G513" s="4" t="s">
        <v>204</v>
      </c>
      <c r="H513" s="4" t="s">
        <v>59</v>
      </c>
      <c r="I513" s="3"/>
      <c r="J513" s="3"/>
      <c r="K513" s="3"/>
      <c r="L513" s="3"/>
      <c r="M513" s="3"/>
      <c r="N513" s="3"/>
      <c r="O513" s="3"/>
      <c r="P513" s="8"/>
      <c r="Q513" s="8"/>
      <c r="R513" s="3"/>
      <c r="S513" s="3"/>
      <c r="T513" s="3"/>
      <c r="U513" s="5" t="str">
        <f t="shared" si="24"/>
        <v/>
      </c>
    </row>
    <row r="514" spans="1:21" ht="28" customHeight="1" x14ac:dyDescent="0.35">
      <c r="A514" s="4">
        <v>11</v>
      </c>
      <c r="B514" s="4" t="s">
        <v>300</v>
      </c>
      <c r="C514" s="4" t="s">
        <v>301</v>
      </c>
      <c r="D514" s="4" t="s">
        <v>302</v>
      </c>
      <c r="E514" s="4" t="s">
        <v>56</v>
      </c>
      <c r="F514" s="4" t="s">
        <v>276</v>
      </c>
      <c r="G514" s="4" t="s">
        <v>199</v>
      </c>
      <c r="H514" s="4" t="s">
        <v>76</v>
      </c>
      <c r="I514" s="3"/>
      <c r="J514" s="3"/>
      <c r="K514" s="3"/>
      <c r="L514" s="3"/>
      <c r="M514" s="3"/>
      <c r="N514" s="3"/>
      <c r="O514" s="3"/>
      <c r="P514" s="8"/>
      <c r="Q514" s="8"/>
      <c r="R514" s="3"/>
      <c r="S514" s="3"/>
      <c r="T514" s="3"/>
      <c r="U514" s="5" t="str">
        <f t="shared" si="24"/>
        <v/>
      </c>
    </row>
    <row r="515" spans="1:21" ht="28" customHeight="1" x14ac:dyDescent="0.35">
      <c r="A515" s="4">
        <v>12</v>
      </c>
      <c r="B515" s="4" t="s">
        <v>303</v>
      </c>
      <c r="C515" s="4" t="s">
        <v>304</v>
      </c>
      <c r="D515" s="4" t="s">
        <v>305</v>
      </c>
      <c r="E515" s="4" t="s">
        <v>283</v>
      </c>
      <c r="F515" s="4" t="s">
        <v>276</v>
      </c>
      <c r="G515" s="4" t="s">
        <v>199</v>
      </c>
      <c r="H515" s="4" t="s">
        <v>76</v>
      </c>
      <c r="I515" s="3"/>
      <c r="J515" s="3"/>
      <c r="K515" s="3"/>
      <c r="L515" s="3"/>
      <c r="M515" s="3"/>
      <c r="N515" s="3"/>
      <c r="O515" s="3"/>
      <c r="P515" s="8"/>
      <c r="Q515" s="8"/>
      <c r="R515" s="3"/>
      <c r="S515" s="3"/>
      <c r="T515" s="3"/>
      <c r="U515" s="5" t="str">
        <f t="shared" si="24"/>
        <v/>
      </c>
    </row>
    <row r="516" spans="1:21" ht="28" customHeight="1" x14ac:dyDescent="0.35">
      <c r="A516" s="4">
        <v>13</v>
      </c>
      <c r="B516" s="4" t="s">
        <v>306</v>
      </c>
      <c r="C516" s="4" t="s">
        <v>307</v>
      </c>
      <c r="D516" s="4" t="s">
        <v>308</v>
      </c>
      <c r="E516" s="4" t="s">
        <v>69</v>
      </c>
      <c r="F516" s="4" t="s">
        <v>273</v>
      </c>
      <c r="G516" s="4" t="s">
        <v>96</v>
      </c>
      <c r="H516" s="4" t="s">
        <v>59</v>
      </c>
      <c r="I516" s="3"/>
      <c r="J516" s="3"/>
      <c r="K516" s="3"/>
      <c r="L516" s="3"/>
      <c r="M516" s="3"/>
      <c r="N516" s="3"/>
      <c r="O516" s="3"/>
      <c r="P516" s="8"/>
      <c r="Q516" s="8"/>
      <c r="R516" s="3"/>
      <c r="S516" s="3"/>
      <c r="T516" s="3"/>
      <c r="U516" s="5" t="str">
        <f t="shared" si="24"/>
        <v/>
      </c>
    </row>
    <row r="517" spans="1:21" ht="28" customHeight="1" x14ac:dyDescent="0.35">
      <c r="A517" s="4">
        <v>14</v>
      </c>
      <c r="B517" s="4" t="s">
        <v>97</v>
      </c>
      <c r="C517" s="4" t="s">
        <v>98</v>
      </c>
      <c r="D517" s="4" t="s">
        <v>99</v>
      </c>
      <c r="E517" s="4" t="s">
        <v>69</v>
      </c>
      <c r="F517" s="4" t="s">
        <v>95</v>
      </c>
      <c r="G517" s="4" t="s">
        <v>96</v>
      </c>
      <c r="H517" s="4" t="s">
        <v>59</v>
      </c>
      <c r="I517" s="3"/>
      <c r="J517" s="3"/>
      <c r="K517" s="3"/>
      <c r="L517" s="3"/>
      <c r="M517" s="3"/>
      <c r="N517" s="3"/>
      <c r="O517" s="3"/>
      <c r="P517" s="8"/>
      <c r="Q517" s="8"/>
      <c r="R517" s="3"/>
      <c r="S517" s="3"/>
      <c r="T517" s="3"/>
      <c r="U517" s="5" t="str">
        <f t="shared" si="24"/>
        <v/>
      </c>
    </row>
    <row r="518" spans="1:21" ht="28" customHeight="1" x14ac:dyDescent="0.35">
      <c r="A518" s="4">
        <v>15</v>
      </c>
      <c r="B518" s="4" t="s">
        <v>97</v>
      </c>
      <c r="C518" s="4" t="s">
        <v>100</v>
      </c>
      <c r="D518" s="4" t="s">
        <v>101</v>
      </c>
      <c r="E518" s="4" t="s">
        <v>69</v>
      </c>
      <c r="F518" s="4" t="s">
        <v>95</v>
      </c>
      <c r="G518" s="4" t="s">
        <v>102</v>
      </c>
      <c r="H518" s="4" t="s">
        <v>59</v>
      </c>
      <c r="I518" s="3"/>
      <c r="J518" s="3"/>
      <c r="K518" s="3"/>
      <c r="L518" s="3"/>
      <c r="M518" s="3"/>
      <c r="N518" s="3"/>
      <c r="O518" s="3"/>
      <c r="P518" s="8"/>
      <c r="Q518" s="8"/>
      <c r="R518" s="3"/>
      <c r="S518" s="3"/>
      <c r="T518" s="3"/>
      <c r="U518" s="5" t="str">
        <f t="shared" si="24"/>
        <v/>
      </c>
    </row>
    <row r="519" spans="1:21" ht="28" customHeight="1" x14ac:dyDescent="0.35">
      <c r="A519" s="4">
        <v>16</v>
      </c>
      <c r="B519" s="4" t="s">
        <v>103</v>
      </c>
      <c r="C519" s="4" t="s">
        <v>104</v>
      </c>
      <c r="D519" s="4" t="s">
        <v>105</v>
      </c>
      <c r="E519" s="4" t="s">
        <v>69</v>
      </c>
      <c r="F519" s="4" t="s">
        <v>95</v>
      </c>
      <c r="G519" s="4" t="s">
        <v>96</v>
      </c>
      <c r="H519" s="4" t="s">
        <v>85</v>
      </c>
      <c r="I519" s="3"/>
      <c r="J519" s="3"/>
      <c r="K519" s="3"/>
      <c r="L519" s="3"/>
      <c r="M519" s="3"/>
      <c r="N519" s="3"/>
      <c r="O519" s="3"/>
      <c r="P519" s="8"/>
      <c r="Q519" s="8"/>
      <c r="R519" s="3"/>
      <c r="S519" s="3"/>
      <c r="T519" s="3"/>
      <c r="U519" s="5" t="str">
        <f t="shared" si="24"/>
        <v/>
      </c>
    </row>
    <row r="520" spans="1:21" ht="28" customHeight="1" x14ac:dyDescent="0.35">
      <c r="A520" s="4">
        <v>17</v>
      </c>
      <c r="B520" s="4" t="s">
        <v>106</v>
      </c>
      <c r="C520" s="4" t="s">
        <v>107</v>
      </c>
      <c r="D520" s="4" t="s">
        <v>108</v>
      </c>
      <c r="E520" s="4" t="s">
        <v>109</v>
      </c>
      <c r="F520" s="4" t="s">
        <v>95</v>
      </c>
      <c r="G520" s="4" t="s">
        <v>96</v>
      </c>
      <c r="H520" s="4" t="s">
        <v>59</v>
      </c>
      <c r="I520" s="3"/>
      <c r="J520" s="3"/>
      <c r="K520" s="3"/>
      <c r="L520" s="3"/>
      <c r="M520" s="3"/>
      <c r="N520" s="3"/>
      <c r="O520" s="3"/>
      <c r="P520" s="8"/>
      <c r="Q520" s="8"/>
      <c r="R520" s="3"/>
      <c r="S520" s="3"/>
      <c r="T520" s="3"/>
      <c r="U520" s="5" t="str">
        <f t="shared" si="24"/>
        <v/>
      </c>
    </row>
    <row r="522" spans="1:21" ht="28" customHeight="1" x14ac:dyDescent="0.35">
      <c r="A522" s="9" t="s">
        <v>110</v>
      </c>
      <c r="B522" s="16"/>
      <c r="C522" s="17"/>
      <c r="D522" s="17"/>
      <c r="E522" s="17"/>
      <c r="F522" s="17"/>
      <c r="G522" s="17"/>
      <c r="H522" s="17"/>
      <c r="I522" s="17"/>
      <c r="J522" s="17"/>
      <c r="K522" s="17"/>
      <c r="L522" s="17"/>
      <c r="M522" s="17"/>
      <c r="N522" s="17"/>
      <c r="O522" s="17"/>
      <c r="P522" s="17"/>
      <c r="Q522" s="17"/>
      <c r="R522" s="17"/>
      <c r="S522" s="17"/>
      <c r="T522" s="17"/>
      <c r="U522" s="18"/>
    </row>
    <row r="523" spans="1:21" ht="28" customHeight="1" x14ac:dyDescent="0.35">
      <c r="A523" s="19" t="s">
        <v>329</v>
      </c>
      <c r="B523" s="20"/>
      <c r="C523" s="20"/>
      <c r="D523" s="20"/>
      <c r="E523" s="20"/>
      <c r="F523" s="20"/>
      <c r="G523" s="20"/>
      <c r="H523" s="20"/>
      <c r="I523" s="20"/>
      <c r="J523" s="20"/>
      <c r="K523" s="20"/>
      <c r="L523" s="20"/>
      <c r="M523" s="20"/>
      <c r="N523" s="20"/>
      <c r="O523" s="20"/>
      <c r="P523" s="20"/>
      <c r="Q523" s="20"/>
      <c r="R523" s="20"/>
      <c r="S523" s="20"/>
      <c r="T523" s="20"/>
      <c r="U523" s="21"/>
    </row>
    <row r="524" spans="1:21" ht="28" customHeight="1" x14ac:dyDescent="0.35">
      <c r="A524" s="4" t="s">
        <v>31</v>
      </c>
      <c r="B524" s="3" t="s">
        <v>238</v>
      </c>
      <c r="C524" s="4" t="s">
        <v>32</v>
      </c>
      <c r="D524" s="3"/>
      <c r="E524" s="4" t="s">
        <v>33</v>
      </c>
      <c r="F524" s="8"/>
    </row>
    <row r="525" spans="1:21" ht="28" customHeight="1" x14ac:dyDescent="0.35">
      <c r="A525" s="1" t="s">
        <v>34</v>
      </c>
      <c r="B525" s="1" t="s">
        <v>35</v>
      </c>
      <c r="C525" s="1" t="s">
        <v>36</v>
      </c>
      <c r="D525" s="1" t="s">
        <v>37</v>
      </c>
      <c r="E525" s="1" t="s">
        <v>38</v>
      </c>
      <c r="F525" s="1" t="s">
        <v>39</v>
      </c>
      <c r="G525" s="1" t="s">
        <v>40</v>
      </c>
      <c r="H525" s="1" t="s">
        <v>41</v>
      </c>
      <c r="I525" s="1" t="s">
        <v>42</v>
      </c>
      <c r="J525" s="1" t="s">
        <v>43</v>
      </c>
      <c r="K525" s="1" t="s">
        <v>44</v>
      </c>
      <c r="L525" s="1" t="s">
        <v>45</v>
      </c>
      <c r="M525" s="1" t="s">
        <v>46</v>
      </c>
      <c r="N525" s="1" t="s">
        <v>47</v>
      </c>
      <c r="O525" s="1" t="s">
        <v>48</v>
      </c>
      <c r="P525" s="1" t="s">
        <v>4</v>
      </c>
      <c r="Q525" s="1" t="s">
        <v>49</v>
      </c>
      <c r="R525" s="1" t="s">
        <v>50</v>
      </c>
      <c r="S525" s="1" t="s">
        <v>51</v>
      </c>
      <c r="T525" s="1" t="s">
        <v>52</v>
      </c>
      <c r="U525" s="1" t="s">
        <v>10</v>
      </c>
    </row>
    <row r="526" spans="1:21" ht="28" customHeight="1" x14ac:dyDescent="0.35">
      <c r="A526" s="4">
        <v>1</v>
      </c>
      <c r="B526" s="4" t="s">
        <v>270</v>
      </c>
      <c r="C526" s="4" t="s">
        <v>271</v>
      </c>
      <c r="D526" s="4" t="s">
        <v>272</v>
      </c>
      <c r="E526" s="4" t="s">
        <v>109</v>
      </c>
      <c r="F526" s="4" t="s">
        <v>273</v>
      </c>
      <c r="G526" s="4" t="s">
        <v>199</v>
      </c>
      <c r="H526" s="4" t="s">
        <v>59</v>
      </c>
      <c r="I526" s="3"/>
      <c r="J526" s="3"/>
      <c r="K526" s="3"/>
      <c r="L526" s="3"/>
      <c r="M526" s="3"/>
      <c r="N526" s="3"/>
      <c r="O526" s="3"/>
      <c r="P526" s="8"/>
      <c r="Q526" s="8"/>
      <c r="R526" s="3"/>
      <c r="S526" s="3"/>
      <c r="T526" s="3"/>
      <c r="U526" s="5" t="str">
        <f t="shared" ref="U526:U542" si="25">IF(I526="","",IF(I526="NA","Grey",IF(I526=2,"Green",IF(I526=1,"Amber","Red"))))</f>
        <v/>
      </c>
    </row>
    <row r="527" spans="1:21" ht="28" customHeight="1" x14ac:dyDescent="0.35">
      <c r="A527" s="4">
        <v>2</v>
      </c>
      <c r="B527" s="4" t="s">
        <v>270</v>
      </c>
      <c r="C527" s="4" t="s">
        <v>274</v>
      </c>
      <c r="D527" s="4" t="s">
        <v>275</v>
      </c>
      <c r="E527" s="4" t="s">
        <v>69</v>
      </c>
      <c r="F527" s="4" t="s">
        <v>276</v>
      </c>
      <c r="G527" s="4" t="s">
        <v>199</v>
      </c>
      <c r="H527" s="4" t="s">
        <v>76</v>
      </c>
      <c r="I527" s="3"/>
      <c r="J527" s="3"/>
      <c r="K527" s="3"/>
      <c r="L527" s="3"/>
      <c r="M527" s="3"/>
      <c r="N527" s="3"/>
      <c r="O527" s="3"/>
      <c r="P527" s="8"/>
      <c r="Q527" s="8"/>
      <c r="R527" s="3"/>
      <c r="S527" s="3"/>
      <c r="T527" s="3"/>
      <c r="U527" s="5" t="str">
        <f t="shared" si="25"/>
        <v/>
      </c>
    </row>
    <row r="528" spans="1:21" ht="28" customHeight="1" x14ac:dyDescent="0.35">
      <c r="A528" s="4">
        <v>3</v>
      </c>
      <c r="B528" s="4" t="s">
        <v>270</v>
      </c>
      <c r="C528" s="4" t="s">
        <v>277</v>
      </c>
      <c r="D528" s="4" t="s">
        <v>278</v>
      </c>
      <c r="E528" s="4" t="s">
        <v>279</v>
      </c>
      <c r="F528" s="4" t="s">
        <v>280</v>
      </c>
      <c r="G528" s="4" t="s">
        <v>209</v>
      </c>
      <c r="H528" s="4" t="s">
        <v>76</v>
      </c>
      <c r="I528" s="3"/>
      <c r="J528" s="3"/>
      <c r="K528" s="3"/>
      <c r="L528" s="3"/>
      <c r="M528" s="3"/>
      <c r="N528" s="3"/>
      <c r="O528" s="3"/>
      <c r="P528" s="8"/>
      <c r="Q528" s="8"/>
      <c r="R528" s="3"/>
      <c r="S528" s="3"/>
      <c r="T528" s="3"/>
      <c r="U528" s="5" t="str">
        <f t="shared" si="25"/>
        <v/>
      </c>
    </row>
    <row r="529" spans="1:21" ht="28" customHeight="1" x14ac:dyDescent="0.35">
      <c r="A529" s="4">
        <v>4</v>
      </c>
      <c r="B529" s="4" t="s">
        <v>270</v>
      </c>
      <c r="C529" s="4" t="s">
        <v>281</v>
      </c>
      <c r="D529" s="4" t="s">
        <v>282</v>
      </c>
      <c r="E529" s="4" t="s">
        <v>283</v>
      </c>
      <c r="F529" s="4" t="s">
        <v>284</v>
      </c>
      <c r="G529" s="4" t="s">
        <v>204</v>
      </c>
      <c r="H529" s="4" t="s">
        <v>76</v>
      </c>
      <c r="I529" s="3"/>
      <c r="J529" s="3"/>
      <c r="K529" s="3"/>
      <c r="L529" s="3"/>
      <c r="M529" s="3"/>
      <c r="N529" s="3"/>
      <c r="O529" s="3"/>
      <c r="P529" s="8"/>
      <c r="Q529" s="8"/>
      <c r="R529" s="3"/>
      <c r="S529" s="3"/>
      <c r="T529" s="3"/>
      <c r="U529" s="5" t="str">
        <f t="shared" si="25"/>
        <v/>
      </c>
    </row>
    <row r="530" spans="1:21" ht="28" customHeight="1" x14ac:dyDescent="0.35">
      <c r="A530" s="4">
        <v>5</v>
      </c>
      <c r="B530" s="4" t="s">
        <v>285</v>
      </c>
      <c r="C530" s="4" t="s">
        <v>286</v>
      </c>
      <c r="D530" s="4" t="s">
        <v>287</v>
      </c>
      <c r="E530" s="4" t="s">
        <v>69</v>
      </c>
      <c r="F530" s="4" t="s">
        <v>276</v>
      </c>
      <c r="G530" s="4" t="s">
        <v>199</v>
      </c>
      <c r="H530" s="4" t="s">
        <v>76</v>
      </c>
      <c r="I530" s="3"/>
      <c r="J530" s="3"/>
      <c r="K530" s="3"/>
      <c r="L530" s="3"/>
      <c r="M530" s="3"/>
      <c r="N530" s="3"/>
      <c r="O530" s="3"/>
      <c r="P530" s="8"/>
      <c r="Q530" s="8"/>
      <c r="R530" s="3"/>
      <c r="S530" s="3"/>
      <c r="T530" s="3"/>
      <c r="U530" s="5" t="str">
        <f t="shared" si="25"/>
        <v/>
      </c>
    </row>
    <row r="531" spans="1:21" ht="28" customHeight="1" x14ac:dyDescent="0.35">
      <c r="A531" s="4">
        <v>6</v>
      </c>
      <c r="B531" s="4" t="s">
        <v>285</v>
      </c>
      <c r="C531" s="4" t="s">
        <v>288</v>
      </c>
      <c r="D531" s="4" t="s">
        <v>289</v>
      </c>
      <c r="E531" s="4" t="s">
        <v>70</v>
      </c>
      <c r="F531" s="4" t="s">
        <v>276</v>
      </c>
      <c r="G531" s="4" t="s">
        <v>199</v>
      </c>
      <c r="H531" s="4" t="s">
        <v>59</v>
      </c>
      <c r="I531" s="3"/>
      <c r="J531" s="3"/>
      <c r="K531" s="3"/>
      <c r="L531" s="3"/>
      <c r="M531" s="3"/>
      <c r="N531" s="3"/>
      <c r="O531" s="3"/>
      <c r="P531" s="8"/>
      <c r="Q531" s="8"/>
      <c r="R531" s="3"/>
      <c r="S531" s="3"/>
      <c r="T531" s="3"/>
      <c r="U531" s="5" t="str">
        <f t="shared" si="25"/>
        <v/>
      </c>
    </row>
    <row r="532" spans="1:21" ht="28" customHeight="1" x14ac:dyDescent="0.35">
      <c r="A532" s="4">
        <v>7</v>
      </c>
      <c r="B532" s="4" t="s">
        <v>290</v>
      </c>
      <c r="C532" s="4" t="s">
        <v>291</v>
      </c>
      <c r="D532" s="4" t="s">
        <v>292</v>
      </c>
      <c r="E532" s="4" t="s">
        <v>109</v>
      </c>
      <c r="F532" s="4" t="s">
        <v>284</v>
      </c>
      <c r="G532" s="4" t="s">
        <v>204</v>
      </c>
      <c r="H532" s="4" t="s">
        <v>59</v>
      </c>
      <c r="I532" s="3"/>
      <c r="J532" s="3"/>
      <c r="K532" s="3"/>
      <c r="L532" s="3"/>
      <c r="M532" s="3"/>
      <c r="N532" s="3"/>
      <c r="O532" s="3"/>
      <c r="P532" s="8"/>
      <c r="Q532" s="8"/>
      <c r="R532" s="3"/>
      <c r="S532" s="3"/>
      <c r="T532" s="3"/>
      <c r="U532" s="5" t="str">
        <f t="shared" si="25"/>
        <v/>
      </c>
    </row>
    <row r="533" spans="1:21" ht="28" customHeight="1" x14ac:dyDescent="0.35">
      <c r="A533" s="4">
        <v>8</v>
      </c>
      <c r="B533" s="4" t="s">
        <v>290</v>
      </c>
      <c r="C533" s="4" t="s">
        <v>293</v>
      </c>
      <c r="D533" s="4" t="s">
        <v>294</v>
      </c>
      <c r="E533" s="4" t="s">
        <v>70</v>
      </c>
      <c r="F533" s="4" t="s">
        <v>295</v>
      </c>
      <c r="G533" s="4" t="s">
        <v>199</v>
      </c>
      <c r="H533" s="4" t="s">
        <v>76</v>
      </c>
      <c r="I533" s="3"/>
      <c r="J533" s="3"/>
      <c r="K533" s="3"/>
      <c r="L533" s="3"/>
      <c r="M533" s="3"/>
      <c r="N533" s="3"/>
      <c r="O533" s="3"/>
      <c r="P533" s="8"/>
      <c r="Q533" s="8"/>
      <c r="R533" s="3"/>
      <c r="S533" s="3"/>
      <c r="T533" s="3"/>
      <c r="U533" s="5" t="str">
        <f t="shared" si="25"/>
        <v/>
      </c>
    </row>
    <row r="534" spans="1:21" ht="28" customHeight="1" x14ac:dyDescent="0.35">
      <c r="A534" s="4">
        <v>9</v>
      </c>
      <c r="B534" s="4" t="s">
        <v>296</v>
      </c>
      <c r="C534" s="4" t="s">
        <v>297</v>
      </c>
      <c r="D534" s="4" t="s">
        <v>70</v>
      </c>
      <c r="E534" s="4" t="s">
        <v>70</v>
      </c>
      <c r="F534" s="4" t="s">
        <v>295</v>
      </c>
      <c r="G534" s="4" t="s">
        <v>199</v>
      </c>
      <c r="H534" s="4" t="s">
        <v>76</v>
      </c>
      <c r="I534" s="3"/>
      <c r="J534" s="3"/>
      <c r="K534" s="3"/>
      <c r="L534" s="3"/>
      <c r="M534" s="3"/>
      <c r="N534" s="3"/>
      <c r="O534" s="3"/>
      <c r="P534" s="8"/>
      <c r="Q534" s="8"/>
      <c r="R534" s="3"/>
      <c r="S534" s="3"/>
      <c r="T534" s="3"/>
      <c r="U534" s="5" t="str">
        <f t="shared" si="25"/>
        <v/>
      </c>
    </row>
    <row r="535" spans="1:21" ht="28" customHeight="1" x14ac:dyDescent="0.35">
      <c r="A535" s="4">
        <v>10</v>
      </c>
      <c r="B535" s="4" t="s">
        <v>296</v>
      </c>
      <c r="C535" s="4" t="s">
        <v>298</v>
      </c>
      <c r="D535" s="4" t="s">
        <v>299</v>
      </c>
      <c r="E535" s="4" t="s">
        <v>283</v>
      </c>
      <c r="F535" s="4" t="s">
        <v>284</v>
      </c>
      <c r="G535" s="4" t="s">
        <v>204</v>
      </c>
      <c r="H535" s="4" t="s">
        <v>59</v>
      </c>
      <c r="I535" s="3"/>
      <c r="J535" s="3"/>
      <c r="K535" s="3"/>
      <c r="L535" s="3"/>
      <c r="M535" s="3"/>
      <c r="N535" s="3"/>
      <c r="O535" s="3"/>
      <c r="P535" s="8"/>
      <c r="Q535" s="8"/>
      <c r="R535" s="3"/>
      <c r="S535" s="3"/>
      <c r="T535" s="3"/>
      <c r="U535" s="5" t="str">
        <f t="shared" si="25"/>
        <v/>
      </c>
    </row>
    <row r="536" spans="1:21" ht="28" customHeight="1" x14ac:dyDescent="0.35">
      <c r="A536" s="4">
        <v>11</v>
      </c>
      <c r="B536" s="4" t="s">
        <v>300</v>
      </c>
      <c r="C536" s="4" t="s">
        <v>301</v>
      </c>
      <c r="D536" s="4" t="s">
        <v>302</v>
      </c>
      <c r="E536" s="4" t="s">
        <v>56</v>
      </c>
      <c r="F536" s="4" t="s">
        <v>276</v>
      </c>
      <c r="G536" s="4" t="s">
        <v>199</v>
      </c>
      <c r="H536" s="4" t="s">
        <v>76</v>
      </c>
      <c r="I536" s="3"/>
      <c r="J536" s="3"/>
      <c r="K536" s="3"/>
      <c r="L536" s="3"/>
      <c r="M536" s="3"/>
      <c r="N536" s="3"/>
      <c r="O536" s="3"/>
      <c r="P536" s="8"/>
      <c r="Q536" s="8"/>
      <c r="R536" s="3"/>
      <c r="S536" s="3"/>
      <c r="T536" s="3"/>
      <c r="U536" s="5" t="str">
        <f t="shared" si="25"/>
        <v/>
      </c>
    </row>
    <row r="537" spans="1:21" ht="28" customHeight="1" x14ac:dyDescent="0.35">
      <c r="A537" s="4">
        <v>12</v>
      </c>
      <c r="B537" s="4" t="s">
        <v>303</v>
      </c>
      <c r="C537" s="4" t="s">
        <v>304</v>
      </c>
      <c r="D537" s="4" t="s">
        <v>305</v>
      </c>
      <c r="E537" s="4" t="s">
        <v>283</v>
      </c>
      <c r="F537" s="4" t="s">
        <v>276</v>
      </c>
      <c r="G537" s="4" t="s">
        <v>199</v>
      </c>
      <c r="H537" s="4" t="s">
        <v>76</v>
      </c>
      <c r="I537" s="3"/>
      <c r="J537" s="3"/>
      <c r="K537" s="3"/>
      <c r="L537" s="3"/>
      <c r="M537" s="3"/>
      <c r="N537" s="3"/>
      <c r="O537" s="3"/>
      <c r="P537" s="8"/>
      <c r="Q537" s="8"/>
      <c r="R537" s="3"/>
      <c r="S537" s="3"/>
      <c r="T537" s="3"/>
      <c r="U537" s="5" t="str">
        <f t="shared" si="25"/>
        <v/>
      </c>
    </row>
    <row r="538" spans="1:21" ht="28" customHeight="1" x14ac:dyDescent="0.35">
      <c r="A538" s="4">
        <v>13</v>
      </c>
      <c r="B538" s="4" t="s">
        <v>306</v>
      </c>
      <c r="C538" s="4" t="s">
        <v>307</v>
      </c>
      <c r="D538" s="4" t="s">
        <v>308</v>
      </c>
      <c r="E538" s="4" t="s">
        <v>69</v>
      </c>
      <c r="F538" s="4" t="s">
        <v>273</v>
      </c>
      <c r="G538" s="4" t="s">
        <v>96</v>
      </c>
      <c r="H538" s="4" t="s">
        <v>59</v>
      </c>
      <c r="I538" s="3"/>
      <c r="J538" s="3"/>
      <c r="K538" s="3"/>
      <c r="L538" s="3"/>
      <c r="M538" s="3"/>
      <c r="N538" s="3"/>
      <c r="O538" s="3"/>
      <c r="P538" s="8"/>
      <c r="Q538" s="8"/>
      <c r="R538" s="3"/>
      <c r="S538" s="3"/>
      <c r="T538" s="3"/>
      <c r="U538" s="5" t="str">
        <f t="shared" si="25"/>
        <v/>
      </c>
    </row>
    <row r="539" spans="1:21" ht="28" customHeight="1" x14ac:dyDescent="0.35">
      <c r="A539" s="4">
        <v>14</v>
      </c>
      <c r="B539" s="4" t="s">
        <v>97</v>
      </c>
      <c r="C539" s="4" t="s">
        <v>98</v>
      </c>
      <c r="D539" s="4" t="s">
        <v>99</v>
      </c>
      <c r="E539" s="4" t="s">
        <v>69</v>
      </c>
      <c r="F539" s="4" t="s">
        <v>95</v>
      </c>
      <c r="G539" s="4" t="s">
        <v>96</v>
      </c>
      <c r="H539" s="4" t="s">
        <v>59</v>
      </c>
      <c r="I539" s="3"/>
      <c r="J539" s="3"/>
      <c r="K539" s="3"/>
      <c r="L539" s="3"/>
      <c r="M539" s="3"/>
      <c r="N539" s="3"/>
      <c r="O539" s="3"/>
      <c r="P539" s="8"/>
      <c r="Q539" s="8"/>
      <c r="R539" s="3"/>
      <c r="S539" s="3"/>
      <c r="T539" s="3"/>
      <c r="U539" s="5" t="str">
        <f t="shared" si="25"/>
        <v/>
      </c>
    </row>
    <row r="540" spans="1:21" ht="28" customHeight="1" x14ac:dyDescent="0.35">
      <c r="A540" s="4">
        <v>15</v>
      </c>
      <c r="B540" s="4" t="s">
        <v>97</v>
      </c>
      <c r="C540" s="4" t="s">
        <v>100</v>
      </c>
      <c r="D540" s="4" t="s">
        <v>101</v>
      </c>
      <c r="E540" s="4" t="s">
        <v>69</v>
      </c>
      <c r="F540" s="4" t="s">
        <v>95</v>
      </c>
      <c r="G540" s="4" t="s">
        <v>102</v>
      </c>
      <c r="H540" s="4" t="s">
        <v>59</v>
      </c>
      <c r="I540" s="3"/>
      <c r="J540" s="3"/>
      <c r="K540" s="3"/>
      <c r="L540" s="3"/>
      <c r="M540" s="3"/>
      <c r="N540" s="3"/>
      <c r="O540" s="3"/>
      <c r="P540" s="8"/>
      <c r="Q540" s="8"/>
      <c r="R540" s="3"/>
      <c r="S540" s="3"/>
      <c r="T540" s="3"/>
      <c r="U540" s="5" t="str">
        <f t="shared" si="25"/>
        <v/>
      </c>
    </row>
    <row r="541" spans="1:21" ht="28" customHeight="1" x14ac:dyDescent="0.35">
      <c r="A541" s="4">
        <v>16</v>
      </c>
      <c r="B541" s="4" t="s">
        <v>103</v>
      </c>
      <c r="C541" s="4" t="s">
        <v>104</v>
      </c>
      <c r="D541" s="4" t="s">
        <v>105</v>
      </c>
      <c r="E541" s="4" t="s">
        <v>69</v>
      </c>
      <c r="F541" s="4" t="s">
        <v>95</v>
      </c>
      <c r="G541" s="4" t="s">
        <v>96</v>
      </c>
      <c r="H541" s="4" t="s">
        <v>85</v>
      </c>
      <c r="I541" s="3"/>
      <c r="J541" s="3"/>
      <c r="K541" s="3"/>
      <c r="L541" s="3"/>
      <c r="M541" s="3"/>
      <c r="N541" s="3"/>
      <c r="O541" s="3"/>
      <c r="P541" s="8"/>
      <c r="Q541" s="8"/>
      <c r="R541" s="3"/>
      <c r="S541" s="3"/>
      <c r="T541" s="3"/>
      <c r="U541" s="5" t="str">
        <f t="shared" si="25"/>
        <v/>
      </c>
    </row>
    <row r="542" spans="1:21" ht="28" customHeight="1" x14ac:dyDescent="0.35">
      <c r="A542" s="4">
        <v>17</v>
      </c>
      <c r="B542" s="4" t="s">
        <v>106</v>
      </c>
      <c r="C542" s="4" t="s">
        <v>107</v>
      </c>
      <c r="D542" s="4" t="s">
        <v>108</v>
      </c>
      <c r="E542" s="4" t="s">
        <v>109</v>
      </c>
      <c r="F542" s="4" t="s">
        <v>95</v>
      </c>
      <c r="G542" s="4" t="s">
        <v>96</v>
      </c>
      <c r="H542" s="4" t="s">
        <v>59</v>
      </c>
      <c r="I542" s="3"/>
      <c r="J542" s="3"/>
      <c r="K542" s="3"/>
      <c r="L542" s="3"/>
      <c r="M542" s="3"/>
      <c r="N542" s="3"/>
      <c r="O542" s="3"/>
      <c r="P542" s="8"/>
      <c r="Q542" s="8"/>
      <c r="R542" s="3"/>
      <c r="S542" s="3"/>
      <c r="T542" s="3"/>
      <c r="U542" s="5" t="str">
        <f t="shared" si="25"/>
        <v/>
      </c>
    </row>
    <row r="544" spans="1:21" ht="28" customHeight="1" x14ac:dyDescent="0.35">
      <c r="A544" s="9" t="s">
        <v>110</v>
      </c>
      <c r="B544" s="16"/>
      <c r="C544" s="17"/>
      <c r="D544" s="17"/>
      <c r="E544" s="17"/>
      <c r="F544" s="17"/>
      <c r="G544" s="17"/>
      <c r="H544" s="17"/>
      <c r="I544" s="17"/>
      <c r="J544" s="17"/>
      <c r="K544" s="17"/>
      <c r="L544" s="17"/>
      <c r="M544" s="17"/>
      <c r="N544" s="17"/>
      <c r="O544" s="17"/>
      <c r="P544" s="17"/>
      <c r="Q544" s="17"/>
      <c r="R544" s="17"/>
      <c r="S544" s="17"/>
      <c r="T544" s="17"/>
      <c r="U544" s="18"/>
    </row>
    <row r="545" spans="1:21" ht="28" customHeight="1" x14ac:dyDescent="0.35">
      <c r="A545" s="19" t="s">
        <v>330</v>
      </c>
      <c r="B545" s="20"/>
      <c r="C545" s="20"/>
      <c r="D545" s="20"/>
      <c r="E545" s="20"/>
      <c r="F545" s="20"/>
      <c r="G545" s="20"/>
      <c r="H545" s="20"/>
      <c r="I545" s="20"/>
      <c r="J545" s="20"/>
      <c r="K545" s="20"/>
      <c r="L545" s="20"/>
      <c r="M545" s="20"/>
      <c r="N545" s="20"/>
      <c r="O545" s="20"/>
      <c r="P545" s="20"/>
      <c r="Q545" s="20"/>
      <c r="R545" s="20"/>
      <c r="S545" s="20"/>
      <c r="T545" s="20"/>
      <c r="U545" s="21"/>
    </row>
    <row r="546" spans="1:21" ht="28" customHeight="1" x14ac:dyDescent="0.35">
      <c r="A546" s="4" t="s">
        <v>31</v>
      </c>
      <c r="B546" s="3" t="s">
        <v>239</v>
      </c>
      <c r="C546" s="4" t="s">
        <v>32</v>
      </c>
      <c r="D546" s="3"/>
      <c r="E546" s="4" t="s">
        <v>33</v>
      </c>
      <c r="F546" s="8"/>
    </row>
    <row r="547" spans="1:21" ht="28" customHeight="1" x14ac:dyDescent="0.35">
      <c r="A547" s="1" t="s">
        <v>34</v>
      </c>
      <c r="B547" s="1" t="s">
        <v>35</v>
      </c>
      <c r="C547" s="1" t="s">
        <v>36</v>
      </c>
      <c r="D547" s="1" t="s">
        <v>37</v>
      </c>
      <c r="E547" s="1" t="s">
        <v>38</v>
      </c>
      <c r="F547" s="1" t="s">
        <v>39</v>
      </c>
      <c r="G547" s="1" t="s">
        <v>40</v>
      </c>
      <c r="H547" s="1" t="s">
        <v>41</v>
      </c>
      <c r="I547" s="1" t="s">
        <v>42</v>
      </c>
      <c r="J547" s="1" t="s">
        <v>43</v>
      </c>
      <c r="K547" s="1" t="s">
        <v>44</v>
      </c>
      <c r="L547" s="1" t="s">
        <v>45</v>
      </c>
      <c r="M547" s="1" t="s">
        <v>46</v>
      </c>
      <c r="N547" s="1" t="s">
        <v>47</v>
      </c>
      <c r="O547" s="1" t="s">
        <v>48</v>
      </c>
      <c r="P547" s="1" t="s">
        <v>4</v>
      </c>
      <c r="Q547" s="1" t="s">
        <v>49</v>
      </c>
      <c r="R547" s="1" t="s">
        <v>50</v>
      </c>
      <c r="S547" s="1" t="s">
        <v>51</v>
      </c>
      <c r="T547" s="1" t="s">
        <v>52</v>
      </c>
      <c r="U547" s="1" t="s">
        <v>10</v>
      </c>
    </row>
    <row r="548" spans="1:21" ht="28" customHeight="1" x14ac:dyDescent="0.35">
      <c r="A548" s="4">
        <v>1</v>
      </c>
      <c r="B548" s="4" t="s">
        <v>270</v>
      </c>
      <c r="C548" s="4" t="s">
        <v>271</v>
      </c>
      <c r="D548" s="4" t="s">
        <v>272</v>
      </c>
      <c r="E548" s="4" t="s">
        <v>109</v>
      </c>
      <c r="F548" s="4" t="s">
        <v>273</v>
      </c>
      <c r="G548" s="4" t="s">
        <v>199</v>
      </c>
      <c r="H548" s="4" t="s">
        <v>59</v>
      </c>
      <c r="I548" s="3"/>
      <c r="J548" s="3"/>
      <c r="K548" s="3"/>
      <c r="L548" s="3"/>
      <c r="M548" s="3"/>
      <c r="N548" s="3"/>
      <c r="O548" s="3"/>
      <c r="P548" s="8"/>
      <c r="Q548" s="8"/>
      <c r="R548" s="3"/>
      <c r="S548" s="3"/>
      <c r="T548" s="3"/>
      <c r="U548" s="5" t="str">
        <f t="shared" ref="U548:U564" si="26">IF(I548="","",IF(I548="NA","Grey",IF(I548=2,"Green",IF(I548=1,"Amber","Red"))))</f>
        <v/>
      </c>
    </row>
    <row r="549" spans="1:21" ht="28" customHeight="1" x14ac:dyDescent="0.35">
      <c r="A549" s="4">
        <v>2</v>
      </c>
      <c r="B549" s="4" t="s">
        <v>270</v>
      </c>
      <c r="C549" s="4" t="s">
        <v>274</v>
      </c>
      <c r="D549" s="4" t="s">
        <v>275</v>
      </c>
      <c r="E549" s="4" t="s">
        <v>69</v>
      </c>
      <c r="F549" s="4" t="s">
        <v>276</v>
      </c>
      <c r="G549" s="4" t="s">
        <v>199</v>
      </c>
      <c r="H549" s="4" t="s">
        <v>76</v>
      </c>
      <c r="I549" s="3"/>
      <c r="J549" s="3"/>
      <c r="K549" s="3"/>
      <c r="L549" s="3"/>
      <c r="M549" s="3"/>
      <c r="N549" s="3"/>
      <c r="O549" s="3"/>
      <c r="P549" s="8"/>
      <c r="Q549" s="8"/>
      <c r="R549" s="3"/>
      <c r="S549" s="3"/>
      <c r="T549" s="3"/>
      <c r="U549" s="5" t="str">
        <f t="shared" si="26"/>
        <v/>
      </c>
    </row>
    <row r="550" spans="1:21" ht="28" customHeight="1" x14ac:dyDescent="0.35">
      <c r="A550" s="4">
        <v>3</v>
      </c>
      <c r="B550" s="4" t="s">
        <v>270</v>
      </c>
      <c r="C550" s="4" t="s">
        <v>277</v>
      </c>
      <c r="D550" s="4" t="s">
        <v>278</v>
      </c>
      <c r="E550" s="4" t="s">
        <v>279</v>
      </c>
      <c r="F550" s="4" t="s">
        <v>280</v>
      </c>
      <c r="G550" s="4" t="s">
        <v>209</v>
      </c>
      <c r="H550" s="4" t="s">
        <v>76</v>
      </c>
      <c r="I550" s="3"/>
      <c r="J550" s="3"/>
      <c r="K550" s="3"/>
      <c r="L550" s="3"/>
      <c r="M550" s="3"/>
      <c r="N550" s="3"/>
      <c r="O550" s="3"/>
      <c r="P550" s="8"/>
      <c r="Q550" s="8"/>
      <c r="R550" s="3"/>
      <c r="S550" s="3"/>
      <c r="T550" s="3"/>
      <c r="U550" s="5" t="str">
        <f t="shared" si="26"/>
        <v/>
      </c>
    </row>
    <row r="551" spans="1:21" ht="28" customHeight="1" x14ac:dyDescent="0.35">
      <c r="A551" s="4">
        <v>4</v>
      </c>
      <c r="B551" s="4" t="s">
        <v>270</v>
      </c>
      <c r="C551" s="4" t="s">
        <v>281</v>
      </c>
      <c r="D551" s="4" t="s">
        <v>282</v>
      </c>
      <c r="E551" s="4" t="s">
        <v>283</v>
      </c>
      <c r="F551" s="4" t="s">
        <v>284</v>
      </c>
      <c r="G551" s="4" t="s">
        <v>204</v>
      </c>
      <c r="H551" s="4" t="s">
        <v>76</v>
      </c>
      <c r="I551" s="3"/>
      <c r="J551" s="3"/>
      <c r="K551" s="3"/>
      <c r="L551" s="3"/>
      <c r="M551" s="3"/>
      <c r="N551" s="3"/>
      <c r="O551" s="3"/>
      <c r="P551" s="8"/>
      <c r="Q551" s="8"/>
      <c r="R551" s="3"/>
      <c r="S551" s="3"/>
      <c r="T551" s="3"/>
      <c r="U551" s="5" t="str">
        <f t="shared" si="26"/>
        <v/>
      </c>
    </row>
    <row r="552" spans="1:21" ht="28" customHeight="1" x14ac:dyDescent="0.35">
      <c r="A552" s="4">
        <v>5</v>
      </c>
      <c r="B552" s="4" t="s">
        <v>285</v>
      </c>
      <c r="C552" s="4" t="s">
        <v>286</v>
      </c>
      <c r="D552" s="4" t="s">
        <v>287</v>
      </c>
      <c r="E552" s="4" t="s">
        <v>69</v>
      </c>
      <c r="F552" s="4" t="s">
        <v>276</v>
      </c>
      <c r="G552" s="4" t="s">
        <v>199</v>
      </c>
      <c r="H552" s="4" t="s">
        <v>76</v>
      </c>
      <c r="I552" s="3"/>
      <c r="J552" s="3"/>
      <c r="K552" s="3"/>
      <c r="L552" s="3"/>
      <c r="M552" s="3"/>
      <c r="N552" s="3"/>
      <c r="O552" s="3"/>
      <c r="P552" s="8"/>
      <c r="Q552" s="8"/>
      <c r="R552" s="3"/>
      <c r="S552" s="3"/>
      <c r="T552" s="3"/>
      <c r="U552" s="5" t="str">
        <f t="shared" si="26"/>
        <v/>
      </c>
    </row>
    <row r="553" spans="1:21" ht="28" customHeight="1" x14ac:dyDescent="0.35">
      <c r="A553" s="4">
        <v>6</v>
      </c>
      <c r="B553" s="4" t="s">
        <v>285</v>
      </c>
      <c r="C553" s="4" t="s">
        <v>288</v>
      </c>
      <c r="D553" s="4" t="s">
        <v>289</v>
      </c>
      <c r="E553" s="4" t="s">
        <v>70</v>
      </c>
      <c r="F553" s="4" t="s">
        <v>276</v>
      </c>
      <c r="G553" s="4" t="s">
        <v>199</v>
      </c>
      <c r="H553" s="4" t="s">
        <v>59</v>
      </c>
      <c r="I553" s="3"/>
      <c r="J553" s="3"/>
      <c r="K553" s="3"/>
      <c r="L553" s="3"/>
      <c r="M553" s="3"/>
      <c r="N553" s="3"/>
      <c r="O553" s="3"/>
      <c r="P553" s="8"/>
      <c r="Q553" s="8"/>
      <c r="R553" s="3"/>
      <c r="S553" s="3"/>
      <c r="T553" s="3"/>
      <c r="U553" s="5" t="str">
        <f t="shared" si="26"/>
        <v/>
      </c>
    </row>
    <row r="554" spans="1:21" ht="28" customHeight="1" x14ac:dyDescent="0.35">
      <c r="A554" s="4">
        <v>7</v>
      </c>
      <c r="B554" s="4" t="s">
        <v>290</v>
      </c>
      <c r="C554" s="4" t="s">
        <v>291</v>
      </c>
      <c r="D554" s="4" t="s">
        <v>292</v>
      </c>
      <c r="E554" s="4" t="s">
        <v>109</v>
      </c>
      <c r="F554" s="4" t="s">
        <v>284</v>
      </c>
      <c r="G554" s="4" t="s">
        <v>204</v>
      </c>
      <c r="H554" s="4" t="s">
        <v>59</v>
      </c>
      <c r="I554" s="3"/>
      <c r="J554" s="3"/>
      <c r="K554" s="3"/>
      <c r="L554" s="3"/>
      <c r="M554" s="3"/>
      <c r="N554" s="3"/>
      <c r="O554" s="3"/>
      <c r="P554" s="8"/>
      <c r="Q554" s="8"/>
      <c r="R554" s="3"/>
      <c r="S554" s="3"/>
      <c r="T554" s="3"/>
      <c r="U554" s="5" t="str">
        <f t="shared" si="26"/>
        <v/>
      </c>
    </row>
    <row r="555" spans="1:21" ht="28" customHeight="1" x14ac:dyDescent="0.35">
      <c r="A555" s="4">
        <v>8</v>
      </c>
      <c r="B555" s="4" t="s">
        <v>290</v>
      </c>
      <c r="C555" s="4" t="s">
        <v>293</v>
      </c>
      <c r="D555" s="4" t="s">
        <v>294</v>
      </c>
      <c r="E555" s="4" t="s">
        <v>70</v>
      </c>
      <c r="F555" s="4" t="s">
        <v>295</v>
      </c>
      <c r="G555" s="4" t="s">
        <v>199</v>
      </c>
      <c r="H555" s="4" t="s">
        <v>76</v>
      </c>
      <c r="I555" s="3"/>
      <c r="J555" s="3"/>
      <c r="K555" s="3"/>
      <c r="L555" s="3"/>
      <c r="M555" s="3"/>
      <c r="N555" s="3"/>
      <c r="O555" s="3"/>
      <c r="P555" s="8"/>
      <c r="Q555" s="8"/>
      <c r="R555" s="3"/>
      <c r="S555" s="3"/>
      <c r="T555" s="3"/>
      <c r="U555" s="5" t="str">
        <f t="shared" si="26"/>
        <v/>
      </c>
    </row>
    <row r="556" spans="1:21" ht="28" customHeight="1" x14ac:dyDescent="0.35">
      <c r="A556" s="4">
        <v>9</v>
      </c>
      <c r="B556" s="4" t="s">
        <v>296</v>
      </c>
      <c r="C556" s="4" t="s">
        <v>297</v>
      </c>
      <c r="D556" s="4" t="s">
        <v>70</v>
      </c>
      <c r="E556" s="4" t="s">
        <v>70</v>
      </c>
      <c r="F556" s="4" t="s">
        <v>295</v>
      </c>
      <c r="G556" s="4" t="s">
        <v>199</v>
      </c>
      <c r="H556" s="4" t="s">
        <v>76</v>
      </c>
      <c r="I556" s="3"/>
      <c r="J556" s="3"/>
      <c r="K556" s="3"/>
      <c r="L556" s="3"/>
      <c r="M556" s="3"/>
      <c r="N556" s="3"/>
      <c r="O556" s="3"/>
      <c r="P556" s="8"/>
      <c r="Q556" s="8"/>
      <c r="R556" s="3"/>
      <c r="S556" s="3"/>
      <c r="T556" s="3"/>
      <c r="U556" s="5" t="str">
        <f t="shared" si="26"/>
        <v/>
      </c>
    </row>
    <row r="557" spans="1:21" ht="28" customHeight="1" x14ac:dyDescent="0.35">
      <c r="A557" s="4">
        <v>10</v>
      </c>
      <c r="B557" s="4" t="s">
        <v>296</v>
      </c>
      <c r="C557" s="4" t="s">
        <v>298</v>
      </c>
      <c r="D557" s="4" t="s">
        <v>299</v>
      </c>
      <c r="E557" s="4" t="s">
        <v>283</v>
      </c>
      <c r="F557" s="4" t="s">
        <v>284</v>
      </c>
      <c r="G557" s="4" t="s">
        <v>204</v>
      </c>
      <c r="H557" s="4" t="s">
        <v>59</v>
      </c>
      <c r="I557" s="3"/>
      <c r="J557" s="3"/>
      <c r="K557" s="3"/>
      <c r="L557" s="3"/>
      <c r="M557" s="3"/>
      <c r="N557" s="3"/>
      <c r="O557" s="3"/>
      <c r="P557" s="8"/>
      <c r="Q557" s="8"/>
      <c r="R557" s="3"/>
      <c r="S557" s="3"/>
      <c r="T557" s="3"/>
      <c r="U557" s="5" t="str">
        <f t="shared" si="26"/>
        <v/>
      </c>
    </row>
    <row r="558" spans="1:21" ht="28" customHeight="1" x14ac:dyDescent="0.35">
      <c r="A558" s="4">
        <v>11</v>
      </c>
      <c r="B558" s="4" t="s">
        <v>300</v>
      </c>
      <c r="C558" s="4" t="s">
        <v>301</v>
      </c>
      <c r="D558" s="4" t="s">
        <v>302</v>
      </c>
      <c r="E558" s="4" t="s">
        <v>56</v>
      </c>
      <c r="F558" s="4" t="s">
        <v>276</v>
      </c>
      <c r="G558" s="4" t="s">
        <v>199</v>
      </c>
      <c r="H558" s="4" t="s">
        <v>76</v>
      </c>
      <c r="I558" s="3"/>
      <c r="J558" s="3"/>
      <c r="K558" s="3"/>
      <c r="L558" s="3"/>
      <c r="M558" s="3"/>
      <c r="N558" s="3"/>
      <c r="O558" s="3"/>
      <c r="P558" s="8"/>
      <c r="Q558" s="8"/>
      <c r="R558" s="3"/>
      <c r="S558" s="3"/>
      <c r="T558" s="3"/>
      <c r="U558" s="5" t="str">
        <f t="shared" si="26"/>
        <v/>
      </c>
    </row>
    <row r="559" spans="1:21" ht="28" customHeight="1" x14ac:dyDescent="0.35">
      <c r="A559" s="4">
        <v>12</v>
      </c>
      <c r="B559" s="4" t="s">
        <v>303</v>
      </c>
      <c r="C559" s="4" t="s">
        <v>304</v>
      </c>
      <c r="D559" s="4" t="s">
        <v>305</v>
      </c>
      <c r="E559" s="4" t="s">
        <v>283</v>
      </c>
      <c r="F559" s="4" t="s">
        <v>276</v>
      </c>
      <c r="G559" s="4" t="s">
        <v>199</v>
      </c>
      <c r="H559" s="4" t="s">
        <v>76</v>
      </c>
      <c r="I559" s="3"/>
      <c r="J559" s="3"/>
      <c r="K559" s="3"/>
      <c r="L559" s="3"/>
      <c r="M559" s="3"/>
      <c r="N559" s="3"/>
      <c r="O559" s="3"/>
      <c r="P559" s="8"/>
      <c r="Q559" s="8"/>
      <c r="R559" s="3"/>
      <c r="S559" s="3"/>
      <c r="T559" s="3"/>
      <c r="U559" s="5" t="str">
        <f t="shared" si="26"/>
        <v/>
      </c>
    </row>
    <row r="560" spans="1:21" ht="28" customHeight="1" x14ac:dyDescent="0.35">
      <c r="A560" s="4">
        <v>13</v>
      </c>
      <c r="B560" s="4" t="s">
        <v>306</v>
      </c>
      <c r="C560" s="4" t="s">
        <v>307</v>
      </c>
      <c r="D560" s="4" t="s">
        <v>308</v>
      </c>
      <c r="E560" s="4" t="s">
        <v>69</v>
      </c>
      <c r="F560" s="4" t="s">
        <v>273</v>
      </c>
      <c r="G560" s="4" t="s">
        <v>96</v>
      </c>
      <c r="H560" s="4" t="s">
        <v>59</v>
      </c>
      <c r="I560" s="3"/>
      <c r="J560" s="3"/>
      <c r="K560" s="3"/>
      <c r="L560" s="3"/>
      <c r="M560" s="3"/>
      <c r="N560" s="3"/>
      <c r="O560" s="3"/>
      <c r="P560" s="8"/>
      <c r="Q560" s="8"/>
      <c r="R560" s="3"/>
      <c r="S560" s="3"/>
      <c r="T560" s="3"/>
      <c r="U560" s="5" t="str">
        <f t="shared" si="26"/>
        <v/>
      </c>
    </row>
    <row r="561" spans="1:21" ht="28" customHeight="1" x14ac:dyDescent="0.35">
      <c r="A561" s="4">
        <v>14</v>
      </c>
      <c r="B561" s="4" t="s">
        <v>97</v>
      </c>
      <c r="C561" s="4" t="s">
        <v>98</v>
      </c>
      <c r="D561" s="4" t="s">
        <v>99</v>
      </c>
      <c r="E561" s="4" t="s">
        <v>69</v>
      </c>
      <c r="F561" s="4" t="s">
        <v>95</v>
      </c>
      <c r="G561" s="4" t="s">
        <v>96</v>
      </c>
      <c r="H561" s="4" t="s">
        <v>59</v>
      </c>
      <c r="I561" s="3"/>
      <c r="J561" s="3"/>
      <c r="K561" s="3"/>
      <c r="L561" s="3"/>
      <c r="M561" s="3"/>
      <c r="N561" s="3"/>
      <c r="O561" s="3"/>
      <c r="P561" s="8"/>
      <c r="Q561" s="8"/>
      <c r="R561" s="3"/>
      <c r="S561" s="3"/>
      <c r="T561" s="3"/>
      <c r="U561" s="5" t="str">
        <f t="shared" si="26"/>
        <v/>
      </c>
    </row>
    <row r="562" spans="1:21" ht="28" customHeight="1" x14ac:dyDescent="0.35">
      <c r="A562" s="4">
        <v>15</v>
      </c>
      <c r="B562" s="4" t="s">
        <v>97</v>
      </c>
      <c r="C562" s="4" t="s">
        <v>100</v>
      </c>
      <c r="D562" s="4" t="s">
        <v>101</v>
      </c>
      <c r="E562" s="4" t="s">
        <v>69</v>
      </c>
      <c r="F562" s="4" t="s">
        <v>95</v>
      </c>
      <c r="G562" s="4" t="s">
        <v>102</v>
      </c>
      <c r="H562" s="4" t="s">
        <v>59</v>
      </c>
      <c r="I562" s="3"/>
      <c r="J562" s="3"/>
      <c r="K562" s="3"/>
      <c r="L562" s="3"/>
      <c r="M562" s="3"/>
      <c r="N562" s="3"/>
      <c r="O562" s="3"/>
      <c r="P562" s="8"/>
      <c r="Q562" s="8"/>
      <c r="R562" s="3"/>
      <c r="S562" s="3"/>
      <c r="T562" s="3"/>
      <c r="U562" s="5" t="str">
        <f t="shared" si="26"/>
        <v/>
      </c>
    </row>
    <row r="563" spans="1:21" ht="28" customHeight="1" x14ac:dyDescent="0.35">
      <c r="A563" s="4">
        <v>16</v>
      </c>
      <c r="B563" s="4" t="s">
        <v>103</v>
      </c>
      <c r="C563" s="4" t="s">
        <v>104</v>
      </c>
      <c r="D563" s="4" t="s">
        <v>105</v>
      </c>
      <c r="E563" s="4" t="s">
        <v>69</v>
      </c>
      <c r="F563" s="4" t="s">
        <v>95</v>
      </c>
      <c r="G563" s="4" t="s">
        <v>96</v>
      </c>
      <c r="H563" s="4" t="s">
        <v>85</v>
      </c>
      <c r="I563" s="3"/>
      <c r="J563" s="3"/>
      <c r="K563" s="3"/>
      <c r="L563" s="3"/>
      <c r="M563" s="3"/>
      <c r="N563" s="3"/>
      <c r="O563" s="3"/>
      <c r="P563" s="8"/>
      <c r="Q563" s="8"/>
      <c r="R563" s="3"/>
      <c r="S563" s="3"/>
      <c r="T563" s="3"/>
      <c r="U563" s="5" t="str">
        <f t="shared" si="26"/>
        <v/>
      </c>
    </row>
    <row r="564" spans="1:21" ht="28" customHeight="1" x14ac:dyDescent="0.35">
      <c r="A564" s="4">
        <v>17</v>
      </c>
      <c r="B564" s="4" t="s">
        <v>106</v>
      </c>
      <c r="C564" s="4" t="s">
        <v>107</v>
      </c>
      <c r="D564" s="4" t="s">
        <v>108</v>
      </c>
      <c r="E564" s="4" t="s">
        <v>109</v>
      </c>
      <c r="F564" s="4" t="s">
        <v>95</v>
      </c>
      <c r="G564" s="4" t="s">
        <v>96</v>
      </c>
      <c r="H564" s="4" t="s">
        <v>59</v>
      </c>
      <c r="I564" s="3"/>
      <c r="J564" s="3"/>
      <c r="K564" s="3"/>
      <c r="L564" s="3"/>
      <c r="M564" s="3"/>
      <c r="N564" s="3"/>
      <c r="O564" s="3"/>
      <c r="P564" s="8"/>
      <c r="Q564" s="8"/>
      <c r="R564" s="3"/>
      <c r="S564" s="3"/>
      <c r="T564" s="3"/>
      <c r="U564" s="5" t="str">
        <f t="shared" si="26"/>
        <v/>
      </c>
    </row>
    <row r="566" spans="1:21" ht="28" customHeight="1" x14ac:dyDescent="0.35">
      <c r="A566" s="9" t="s">
        <v>110</v>
      </c>
      <c r="B566" s="16"/>
      <c r="C566" s="17"/>
      <c r="D566" s="17"/>
      <c r="E566" s="17"/>
      <c r="F566" s="17"/>
      <c r="G566" s="17"/>
      <c r="H566" s="17"/>
      <c r="I566" s="17"/>
      <c r="J566" s="17"/>
      <c r="K566" s="17"/>
      <c r="L566" s="17"/>
      <c r="M566" s="17"/>
      <c r="N566" s="17"/>
      <c r="O566" s="17"/>
      <c r="P566" s="17"/>
      <c r="Q566" s="17"/>
      <c r="R566" s="17"/>
      <c r="S566" s="17"/>
      <c r="T566" s="17"/>
      <c r="U566" s="18"/>
    </row>
    <row r="567" spans="1:21" ht="28" customHeight="1" x14ac:dyDescent="0.35">
      <c r="A567" s="19" t="s">
        <v>331</v>
      </c>
      <c r="B567" s="20"/>
      <c r="C567" s="20"/>
      <c r="D567" s="20"/>
      <c r="E567" s="20"/>
      <c r="F567" s="20"/>
      <c r="G567" s="20"/>
      <c r="H567" s="20"/>
      <c r="I567" s="20"/>
      <c r="J567" s="20"/>
      <c r="K567" s="20"/>
      <c r="L567" s="20"/>
      <c r="M567" s="20"/>
      <c r="N567" s="20"/>
      <c r="O567" s="20"/>
      <c r="P567" s="20"/>
      <c r="Q567" s="20"/>
      <c r="R567" s="20"/>
      <c r="S567" s="20"/>
      <c r="T567" s="20"/>
      <c r="U567" s="21"/>
    </row>
    <row r="568" spans="1:21" ht="28" customHeight="1" x14ac:dyDescent="0.35">
      <c r="A568" s="4" t="s">
        <v>31</v>
      </c>
      <c r="B568" s="3" t="s">
        <v>240</v>
      </c>
      <c r="C568" s="4" t="s">
        <v>32</v>
      </c>
      <c r="D568" s="3"/>
      <c r="E568" s="4" t="s">
        <v>33</v>
      </c>
      <c r="F568" s="8"/>
    </row>
    <row r="569" spans="1:21" ht="28" customHeight="1" x14ac:dyDescent="0.35">
      <c r="A569" s="1" t="s">
        <v>34</v>
      </c>
      <c r="B569" s="1" t="s">
        <v>35</v>
      </c>
      <c r="C569" s="1" t="s">
        <v>36</v>
      </c>
      <c r="D569" s="1" t="s">
        <v>37</v>
      </c>
      <c r="E569" s="1" t="s">
        <v>38</v>
      </c>
      <c r="F569" s="1" t="s">
        <v>39</v>
      </c>
      <c r="G569" s="1" t="s">
        <v>40</v>
      </c>
      <c r="H569" s="1" t="s">
        <v>41</v>
      </c>
      <c r="I569" s="1" t="s">
        <v>42</v>
      </c>
      <c r="J569" s="1" t="s">
        <v>43</v>
      </c>
      <c r="K569" s="1" t="s">
        <v>44</v>
      </c>
      <c r="L569" s="1" t="s">
        <v>45</v>
      </c>
      <c r="M569" s="1" t="s">
        <v>46</v>
      </c>
      <c r="N569" s="1" t="s">
        <v>47</v>
      </c>
      <c r="O569" s="1" t="s">
        <v>48</v>
      </c>
      <c r="P569" s="1" t="s">
        <v>4</v>
      </c>
      <c r="Q569" s="1" t="s">
        <v>49</v>
      </c>
      <c r="R569" s="1" t="s">
        <v>50</v>
      </c>
      <c r="S569" s="1" t="s">
        <v>51</v>
      </c>
      <c r="T569" s="1" t="s">
        <v>52</v>
      </c>
      <c r="U569" s="1" t="s">
        <v>10</v>
      </c>
    </row>
    <row r="570" spans="1:21" ht="28" customHeight="1" x14ac:dyDescent="0.35">
      <c r="A570" s="4">
        <v>1</v>
      </c>
      <c r="B570" s="4" t="s">
        <v>270</v>
      </c>
      <c r="C570" s="4" t="s">
        <v>271</v>
      </c>
      <c r="D570" s="4" t="s">
        <v>272</v>
      </c>
      <c r="E570" s="4" t="s">
        <v>109</v>
      </c>
      <c r="F570" s="4" t="s">
        <v>273</v>
      </c>
      <c r="G570" s="4" t="s">
        <v>199</v>
      </c>
      <c r="H570" s="4" t="s">
        <v>59</v>
      </c>
      <c r="I570" s="3"/>
      <c r="J570" s="3"/>
      <c r="K570" s="3"/>
      <c r="L570" s="3"/>
      <c r="M570" s="3"/>
      <c r="N570" s="3"/>
      <c r="O570" s="3"/>
      <c r="P570" s="8"/>
      <c r="Q570" s="8"/>
      <c r="R570" s="3"/>
      <c r="S570" s="3"/>
      <c r="T570" s="3"/>
      <c r="U570" s="5" t="str">
        <f t="shared" ref="U570:U586" si="27">IF(I570="","",IF(I570="NA","Grey",IF(I570=2,"Green",IF(I570=1,"Amber","Red"))))</f>
        <v/>
      </c>
    </row>
    <row r="571" spans="1:21" ht="28" customHeight="1" x14ac:dyDescent="0.35">
      <c r="A571" s="4">
        <v>2</v>
      </c>
      <c r="B571" s="4" t="s">
        <v>270</v>
      </c>
      <c r="C571" s="4" t="s">
        <v>274</v>
      </c>
      <c r="D571" s="4" t="s">
        <v>275</v>
      </c>
      <c r="E571" s="4" t="s">
        <v>69</v>
      </c>
      <c r="F571" s="4" t="s">
        <v>276</v>
      </c>
      <c r="G571" s="4" t="s">
        <v>199</v>
      </c>
      <c r="H571" s="4" t="s">
        <v>76</v>
      </c>
      <c r="I571" s="3"/>
      <c r="J571" s="3"/>
      <c r="K571" s="3"/>
      <c r="L571" s="3"/>
      <c r="M571" s="3"/>
      <c r="N571" s="3"/>
      <c r="O571" s="3"/>
      <c r="P571" s="8"/>
      <c r="Q571" s="8"/>
      <c r="R571" s="3"/>
      <c r="S571" s="3"/>
      <c r="T571" s="3"/>
      <c r="U571" s="5" t="str">
        <f t="shared" si="27"/>
        <v/>
      </c>
    </row>
    <row r="572" spans="1:21" ht="28" customHeight="1" x14ac:dyDescent="0.35">
      <c r="A572" s="4">
        <v>3</v>
      </c>
      <c r="B572" s="4" t="s">
        <v>270</v>
      </c>
      <c r="C572" s="4" t="s">
        <v>277</v>
      </c>
      <c r="D572" s="4" t="s">
        <v>278</v>
      </c>
      <c r="E572" s="4" t="s">
        <v>279</v>
      </c>
      <c r="F572" s="4" t="s">
        <v>280</v>
      </c>
      <c r="G572" s="4" t="s">
        <v>209</v>
      </c>
      <c r="H572" s="4" t="s">
        <v>76</v>
      </c>
      <c r="I572" s="3"/>
      <c r="J572" s="3"/>
      <c r="K572" s="3"/>
      <c r="L572" s="3"/>
      <c r="M572" s="3"/>
      <c r="N572" s="3"/>
      <c r="O572" s="3"/>
      <c r="P572" s="8"/>
      <c r="Q572" s="8"/>
      <c r="R572" s="3"/>
      <c r="S572" s="3"/>
      <c r="T572" s="3"/>
      <c r="U572" s="5" t="str">
        <f t="shared" si="27"/>
        <v/>
      </c>
    </row>
    <row r="573" spans="1:21" ht="28" customHeight="1" x14ac:dyDescent="0.35">
      <c r="A573" s="4">
        <v>4</v>
      </c>
      <c r="B573" s="4" t="s">
        <v>270</v>
      </c>
      <c r="C573" s="4" t="s">
        <v>281</v>
      </c>
      <c r="D573" s="4" t="s">
        <v>282</v>
      </c>
      <c r="E573" s="4" t="s">
        <v>283</v>
      </c>
      <c r="F573" s="4" t="s">
        <v>284</v>
      </c>
      <c r="G573" s="4" t="s">
        <v>204</v>
      </c>
      <c r="H573" s="4" t="s">
        <v>76</v>
      </c>
      <c r="I573" s="3"/>
      <c r="J573" s="3"/>
      <c r="K573" s="3"/>
      <c r="L573" s="3"/>
      <c r="M573" s="3"/>
      <c r="N573" s="3"/>
      <c r="O573" s="3"/>
      <c r="P573" s="8"/>
      <c r="Q573" s="8"/>
      <c r="R573" s="3"/>
      <c r="S573" s="3"/>
      <c r="T573" s="3"/>
      <c r="U573" s="5" t="str">
        <f t="shared" si="27"/>
        <v/>
      </c>
    </row>
    <row r="574" spans="1:21" ht="28" customHeight="1" x14ac:dyDescent="0.35">
      <c r="A574" s="4">
        <v>5</v>
      </c>
      <c r="B574" s="4" t="s">
        <v>285</v>
      </c>
      <c r="C574" s="4" t="s">
        <v>286</v>
      </c>
      <c r="D574" s="4" t="s">
        <v>287</v>
      </c>
      <c r="E574" s="4" t="s">
        <v>69</v>
      </c>
      <c r="F574" s="4" t="s">
        <v>276</v>
      </c>
      <c r="G574" s="4" t="s">
        <v>199</v>
      </c>
      <c r="H574" s="4" t="s">
        <v>76</v>
      </c>
      <c r="I574" s="3"/>
      <c r="J574" s="3"/>
      <c r="K574" s="3"/>
      <c r="L574" s="3"/>
      <c r="M574" s="3"/>
      <c r="N574" s="3"/>
      <c r="O574" s="3"/>
      <c r="P574" s="8"/>
      <c r="Q574" s="8"/>
      <c r="R574" s="3"/>
      <c r="S574" s="3"/>
      <c r="T574" s="3"/>
      <c r="U574" s="5" t="str">
        <f t="shared" si="27"/>
        <v/>
      </c>
    </row>
    <row r="575" spans="1:21" ht="28" customHeight="1" x14ac:dyDescent="0.35">
      <c r="A575" s="4">
        <v>6</v>
      </c>
      <c r="B575" s="4" t="s">
        <v>285</v>
      </c>
      <c r="C575" s="4" t="s">
        <v>288</v>
      </c>
      <c r="D575" s="4" t="s">
        <v>289</v>
      </c>
      <c r="E575" s="4" t="s">
        <v>70</v>
      </c>
      <c r="F575" s="4" t="s">
        <v>276</v>
      </c>
      <c r="G575" s="4" t="s">
        <v>199</v>
      </c>
      <c r="H575" s="4" t="s">
        <v>59</v>
      </c>
      <c r="I575" s="3"/>
      <c r="J575" s="3"/>
      <c r="K575" s="3"/>
      <c r="L575" s="3"/>
      <c r="M575" s="3"/>
      <c r="N575" s="3"/>
      <c r="O575" s="3"/>
      <c r="P575" s="8"/>
      <c r="Q575" s="8"/>
      <c r="R575" s="3"/>
      <c r="S575" s="3"/>
      <c r="T575" s="3"/>
      <c r="U575" s="5" t="str">
        <f t="shared" si="27"/>
        <v/>
      </c>
    </row>
    <row r="576" spans="1:21" ht="28" customHeight="1" x14ac:dyDescent="0.35">
      <c r="A576" s="4">
        <v>7</v>
      </c>
      <c r="B576" s="4" t="s">
        <v>290</v>
      </c>
      <c r="C576" s="4" t="s">
        <v>291</v>
      </c>
      <c r="D576" s="4" t="s">
        <v>292</v>
      </c>
      <c r="E576" s="4" t="s">
        <v>109</v>
      </c>
      <c r="F576" s="4" t="s">
        <v>284</v>
      </c>
      <c r="G576" s="4" t="s">
        <v>204</v>
      </c>
      <c r="H576" s="4" t="s">
        <v>59</v>
      </c>
      <c r="I576" s="3"/>
      <c r="J576" s="3"/>
      <c r="K576" s="3"/>
      <c r="L576" s="3"/>
      <c r="M576" s="3"/>
      <c r="N576" s="3"/>
      <c r="O576" s="3"/>
      <c r="P576" s="8"/>
      <c r="Q576" s="8"/>
      <c r="R576" s="3"/>
      <c r="S576" s="3"/>
      <c r="T576" s="3"/>
      <c r="U576" s="5" t="str">
        <f t="shared" si="27"/>
        <v/>
      </c>
    </row>
    <row r="577" spans="1:21" ht="28" customHeight="1" x14ac:dyDescent="0.35">
      <c r="A577" s="4">
        <v>8</v>
      </c>
      <c r="B577" s="4" t="s">
        <v>290</v>
      </c>
      <c r="C577" s="4" t="s">
        <v>293</v>
      </c>
      <c r="D577" s="4" t="s">
        <v>294</v>
      </c>
      <c r="E577" s="4" t="s">
        <v>70</v>
      </c>
      <c r="F577" s="4" t="s">
        <v>295</v>
      </c>
      <c r="G577" s="4" t="s">
        <v>199</v>
      </c>
      <c r="H577" s="4" t="s">
        <v>76</v>
      </c>
      <c r="I577" s="3"/>
      <c r="J577" s="3"/>
      <c r="K577" s="3"/>
      <c r="L577" s="3"/>
      <c r="M577" s="3"/>
      <c r="N577" s="3"/>
      <c r="O577" s="3"/>
      <c r="P577" s="8"/>
      <c r="Q577" s="8"/>
      <c r="R577" s="3"/>
      <c r="S577" s="3"/>
      <c r="T577" s="3"/>
      <c r="U577" s="5" t="str">
        <f t="shared" si="27"/>
        <v/>
      </c>
    </row>
    <row r="578" spans="1:21" ht="28" customHeight="1" x14ac:dyDescent="0.35">
      <c r="A578" s="4">
        <v>9</v>
      </c>
      <c r="B578" s="4" t="s">
        <v>296</v>
      </c>
      <c r="C578" s="4" t="s">
        <v>297</v>
      </c>
      <c r="D578" s="4" t="s">
        <v>70</v>
      </c>
      <c r="E578" s="4" t="s">
        <v>70</v>
      </c>
      <c r="F578" s="4" t="s">
        <v>295</v>
      </c>
      <c r="G578" s="4" t="s">
        <v>199</v>
      </c>
      <c r="H578" s="4" t="s">
        <v>76</v>
      </c>
      <c r="I578" s="3"/>
      <c r="J578" s="3"/>
      <c r="K578" s="3"/>
      <c r="L578" s="3"/>
      <c r="M578" s="3"/>
      <c r="N578" s="3"/>
      <c r="O578" s="3"/>
      <c r="P578" s="8"/>
      <c r="Q578" s="8"/>
      <c r="R578" s="3"/>
      <c r="S578" s="3"/>
      <c r="T578" s="3"/>
      <c r="U578" s="5" t="str">
        <f t="shared" si="27"/>
        <v/>
      </c>
    </row>
    <row r="579" spans="1:21" ht="28" customHeight="1" x14ac:dyDescent="0.35">
      <c r="A579" s="4">
        <v>10</v>
      </c>
      <c r="B579" s="4" t="s">
        <v>296</v>
      </c>
      <c r="C579" s="4" t="s">
        <v>298</v>
      </c>
      <c r="D579" s="4" t="s">
        <v>299</v>
      </c>
      <c r="E579" s="4" t="s">
        <v>283</v>
      </c>
      <c r="F579" s="4" t="s">
        <v>284</v>
      </c>
      <c r="G579" s="4" t="s">
        <v>204</v>
      </c>
      <c r="H579" s="4" t="s">
        <v>59</v>
      </c>
      <c r="I579" s="3"/>
      <c r="J579" s="3"/>
      <c r="K579" s="3"/>
      <c r="L579" s="3"/>
      <c r="M579" s="3"/>
      <c r="N579" s="3"/>
      <c r="O579" s="3"/>
      <c r="P579" s="8"/>
      <c r="Q579" s="8"/>
      <c r="R579" s="3"/>
      <c r="S579" s="3"/>
      <c r="T579" s="3"/>
      <c r="U579" s="5" t="str">
        <f t="shared" si="27"/>
        <v/>
      </c>
    </row>
    <row r="580" spans="1:21" ht="28" customHeight="1" x14ac:dyDescent="0.35">
      <c r="A580" s="4">
        <v>11</v>
      </c>
      <c r="B580" s="4" t="s">
        <v>300</v>
      </c>
      <c r="C580" s="4" t="s">
        <v>301</v>
      </c>
      <c r="D580" s="4" t="s">
        <v>302</v>
      </c>
      <c r="E580" s="4" t="s">
        <v>56</v>
      </c>
      <c r="F580" s="4" t="s">
        <v>276</v>
      </c>
      <c r="G580" s="4" t="s">
        <v>199</v>
      </c>
      <c r="H580" s="4" t="s">
        <v>76</v>
      </c>
      <c r="I580" s="3"/>
      <c r="J580" s="3"/>
      <c r="K580" s="3"/>
      <c r="L580" s="3"/>
      <c r="M580" s="3"/>
      <c r="N580" s="3"/>
      <c r="O580" s="3"/>
      <c r="P580" s="8"/>
      <c r="Q580" s="8"/>
      <c r="R580" s="3"/>
      <c r="S580" s="3"/>
      <c r="T580" s="3"/>
      <c r="U580" s="5" t="str">
        <f t="shared" si="27"/>
        <v/>
      </c>
    </row>
    <row r="581" spans="1:21" ht="28" customHeight="1" x14ac:dyDescent="0.35">
      <c r="A581" s="4">
        <v>12</v>
      </c>
      <c r="B581" s="4" t="s">
        <v>303</v>
      </c>
      <c r="C581" s="4" t="s">
        <v>304</v>
      </c>
      <c r="D581" s="4" t="s">
        <v>305</v>
      </c>
      <c r="E581" s="4" t="s">
        <v>283</v>
      </c>
      <c r="F581" s="4" t="s">
        <v>276</v>
      </c>
      <c r="G581" s="4" t="s">
        <v>199</v>
      </c>
      <c r="H581" s="4" t="s">
        <v>76</v>
      </c>
      <c r="I581" s="3"/>
      <c r="J581" s="3"/>
      <c r="K581" s="3"/>
      <c r="L581" s="3"/>
      <c r="M581" s="3"/>
      <c r="N581" s="3"/>
      <c r="O581" s="3"/>
      <c r="P581" s="8"/>
      <c r="Q581" s="8"/>
      <c r="R581" s="3"/>
      <c r="S581" s="3"/>
      <c r="T581" s="3"/>
      <c r="U581" s="5" t="str">
        <f t="shared" si="27"/>
        <v/>
      </c>
    </row>
    <row r="582" spans="1:21" ht="28" customHeight="1" x14ac:dyDescent="0.35">
      <c r="A582" s="4">
        <v>13</v>
      </c>
      <c r="B582" s="4" t="s">
        <v>306</v>
      </c>
      <c r="C582" s="4" t="s">
        <v>307</v>
      </c>
      <c r="D582" s="4" t="s">
        <v>308</v>
      </c>
      <c r="E582" s="4" t="s">
        <v>69</v>
      </c>
      <c r="F582" s="4" t="s">
        <v>273</v>
      </c>
      <c r="G582" s="4" t="s">
        <v>96</v>
      </c>
      <c r="H582" s="4" t="s">
        <v>59</v>
      </c>
      <c r="I582" s="3"/>
      <c r="J582" s="3"/>
      <c r="K582" s="3"/>
      <c r="L582" s="3"/>
      <c r="M582" s="3"/>
      <c r="N582" s="3"/>
      <c r="O582" s="3"/>
      <c r="P582" s="8"/>
      <c r="Q582" s="8"/>
      <c r="R582" s="3"/>
      <c r="S582" s="3"/>
      <c r="T582" s="3"/>
      <c r="U582" s="5" t="str">
        <f t="shared" si="27"/>
        <v/>
      </c>
    </row>
    <row r="583" spans="1:21" ht="28" customHeight="1" x14ac:dyDescent="0.35">
      <c r="A583" s="4">
        <v>14</v>
      </c>
      <c r="B583" s="4" t="s">
        <v>97</v>
      </c>
      <c r="C583" s="4" t="s">
        <v>98</v>
      </c>
      <c r="D583" s="4" t="s">
        <v>99</v>
      </c>
      <c r="E583" s="4" t="s">
        <v>69</v>
      </c>
      <c r="F583" s="4" t="s">
        <v>95</v>
      </c>
      <c r="G583" s="4" t="s">
        <v>96</v>
      </c>
      <c r="H583" s="4" t="s">
        <v>59</v>
      </c>
      <c r="I583" s="3"/>
      <c r="J583" s="3"/>
      <c r="K583" s="3"/>
      <c r="L583" s="3"/>
      <c r="M583" s="3"/>
      <c r="N583" s="3"/>
      <c r="O583" s="3"/>
      <c r="P583" s="8"/>
      <c r="Q583" s="8"/>
      <c r="R583" s="3"/>
      <c r="S583" s="3"/>
      <c r="T583" s="3"/>
      <c r="U583" s="5" t="str">
        <f t="shared" si="27"/>
        <v/>
      </c>
    </row>
    <row r="584" spans="1:21" ht="28" customHeight="1" x14ac:dyDescent="0.35">
      <c r="A584" s="4">
        <v>15</v>
      </c>
      <c r="B584" s="4" t="s">
        <v>97</v>
      </c>
      <c r="C584" s="4" t="s">
        <v>100</v>
      </c>
      <c r="D584" s="4" t="s">
        <v>101</v>
      </c>
      <c r="E584" s="4" t="s">
        <v>69</v>
      </c>
      <c r="F584" s="4" t="s">
        <v>95</v>
      </c>
      <c r="G584" s="4" t="s">
        <v>102</v>
      </c>
      <c r="H584" s="4" t="s">
        <v>59</v>
      </c>
      <c r="I584" s="3"/>
      <c r="J584" s="3"/>
      <c r="K584" s="3"/>
      <c r="L584" s="3"/>
      <c r="M584" s="3"/>
      <c r="N584" s="3"/>
      <c r="O584" s="3"/>
      <c r="P584" s="8"/>
      <c r="Q584" s="8"/>
      <c r="R584" s="3"/>
      <c r="S584" s="3"/>
      <c r="T584" s="3"/>
      <c r="U584" s="5" t="str">
        <f t="shared" si="27"/>
        <v/>
      </c>
    </row>
    <row r="585" spans="1:21" ht="28" customHeight="1" x14ac:dyDescent="0.35">
      <c r="A585" s="4">
        <v>16</v>
      </c>
      <c r="B585" s="4" t="s">
        <v>103</v>
      </c>
      <c r="C585" s="4" t="s">
        <v>104</v>
      </c>
      <c r="D585" s="4" t="s">
        <v>105</v>
      </c>
      <c r="E585" s="4" t="s">
        <v>69</v>
      </c>
      <c r="F585" s="4" t="s">
        <v>95</v>
      </c>
      <c r="G585" s="4" t="s">
        <v>96</v>
      </c>
      <c r="H585" s="4" t="s">
        <v>85</v>
      </c>
      <c r="I585" s="3"/>
      <c r="J585" s="3"/>
      <c r="K585" s="3"/>
      <c r="L585" s="3"/>
      <c r="M585" s="3"/>
      <c r="N585" s="3"/>
      <c r="O585" s="3"/>
      <c r="P585" s="8"/>
      <c r="Q585" s="8"/>
      <c r="R585" s="3"/>
      <c r="S585" s="3"/>
      <c r="T585" s="3"/>
      <c r="U585" s="5" t="str">
        <f t="shared" si="27"/>
        <v/>
      </c>
    </row>
    <row r="586" spans="1:21" ht="28" customHeight="1" x14ac:dyDescent="0.35">
      <c r="A586" s="4">
        <v>17</v>
      </c>
      <c r="B586" s="4" t="s">
        <v>106</v>
      </c>
      <c r="C586" s="4" t="s">
        <v>107</v>
      </c>
      <c r="D586" s="4" t="s">
        <v>108</v>
      </c>
      <c r="E586" s="4" t="s">
        <v>109</v>
      </c>
      <c r="F586" s="4" t="s">
        <v>95</v>
      </c>
      <c r="G586" s="4" t="s">
        <v>96</v>
      </c>
      <c r="H586" s="4" t="s">
        <v>59</v>
      </c>
      <c r="I586" s="3"/>
      <c r="J586" s="3"/>
      <c r="K586" s="3"/>
      <c r="L586" s="3"/>
      <c r="M586" s="3"/>
      <c r="N586" s="3"/>
      <c r="O586" s="3"/>
      <c r="P586" s="8"/>
      <c r="Q586" s="8"/>
      <c r="R586" s="3"/>
      <c r="S586" s="3"/>
      <c r="T586" s="3"/>
      <c r="U586" s="5" t="str">
        <f t="shared" si="27"/>
        <v/>
      </c>
    </row>
    <row r="588" spans="1:21" ht="28" customHeight="1" x14ac:dyDescent="0.35">
      <c r="A588" s="9" t="s">
        <v>110</v>
      </c>
      <c r="B588" s="16"/>
      <c r="C588" s="17"/>
      <c r="D588" s="17"/>
      <c r="E588" s="17"/>
      <c r="F588" s="17"/>
      <c r="G588" s="17"/>
      <c r="H588" s="17"/>
      <c r="I588" s="17"/>
      <c r="J588" s="17"/>
      <c r="K588" s="17"/>
      <c r="L588" s="17"/>
      <c r="M588" s="17"/>
      <c r="N588" s="17"/>
      <c r="O588" s="17"/>
      <c r="P588" s="17"/>
      <c r="Q588" s="17"/>
      <c r="R588" s="17"/>
      <c r="S588" s="17"/>
      <c r="T588" s="17"/>
      <c r="U588" s="18"/>
    </row>
    <row r="589" spans="1:21" ht="28" customHeight="1" x14ac:dyDescent="0.35">
      <c r="A589" s="19" t="s">
        <v>332</v>
      </c>
      <c r="B589" s="20"/>
      <c r="C589" s="20"/>
      <c r="D589" s="20"/>
      <c r="E589" s="20"/>
      <c r="F589" s="20"/>
      <c r="G589" s="20"/>
      <c r="H589" s="20"/>
      <c r="I589" s="20"/>
      <c r="J589" s="20"/>
      <c r="K589" s="20"/>
      <c r="L589" s="20"/>
      <c r="M589" s="20"/>
      <c r="N589" s="20"/>
      <c r="O589" s="20"/>
      <c r="P589" s="20"/>
      <c r="Q589" s="20"/>
      <c r="R589" s="20"/>
      <c r="S589" s="20"/>
      <c r="T589" s="20"/>
      <c r="U589" s="21"/>
    </row>
    <row r="590" spans="1:21" ht="28" customHeight="1" x14ac:dyDescent="0.35">
      <c r="A590" s="4" t="s">
        <v>31</v>
      </c>
      <c r="B590" s="3" t="s">
        <v>241</v>
      </c>
      <c r="C590" s="4" t="s">
        <v>32</v>
      </c>
      <c r="D590" s="3"/>
      <c r="E590" s="4" t="s">
        <v>33</v>
      </c>
      <c r="F590" s="8"/>
    </row>
    <row r="591" spans="1:21" ht="28" customHeight="1" x14ac:dyDescent="0.35">
      <c r="A591" s="1" t="s">
        <v>34</v>
      </c>
      <c r="B591" s="1" t="s">
        <v>35</v>
      </c>
      <c r="C591" s="1" t="s">
        <v>36</v>
      </c>
      <c r="D591" s="1" t="s">
        <v>37</v>
      </c>
      <c r="E591" s="1" t="s">
        <v>38</v>
      </c>
      <c r="F591" s="1" t="s">
        <v>39</v>
      </c>
      <c r="G591" s="1" t="s">
        <v>40</v>
      </c>
      <c r="H591" s="1" t="s">
        <v>41</v>
      </c>
      <c r="I591" s="1" t="s">
        <v>42</v>
      </c>
      <c r="J591" s="1" t="s">
        <v>43</v>
      </c>
      <c r="K591" s="1" t="s">
        <v>44</v>
      </c>
      <c r="L591" s="1" t="s">
        <v>45</v>
      </c>
      <c r="M591" s="1" t="s">
        <v>46</v>
      </c>
      <c r="N591" s="1" t="s">
        <v>47</v>
      </c>
      <c r="O591" s="1" t="s">
        <v>48</v>
      </c>
      <c r="P591" s="1" t="s">
        <v>4</v>
      </c>
      <c r="Q591" s="1" t="s">
        <v>49</v>
      </c>
      <c r="R591" s="1" t="s">
        <v>50</v>
      </c>
      <c r="S591" s="1" t="s">
        <v>51</v>
      </c>
      <c r="T591" s="1" t="s">
        <v>52</v>
      </c>
      <c r="U591" s="1" t="s">
        <v>10</v>
      </c>
    </row>
    <row r="592" spans="1:21" ht="28" customHeight="1" x14ac:dyDescent="0.35">
      <c r="A592" s="4">
        <v>1</v>
      </c>
      <c r="B592" s="4" t="s">
        <v>270</v>
      </c>
      <c r="C592" s="4" t="s">
        <v>271</v>
      </c>
      <c r="D592" s="4" t="s">
        <v>272</v>
      </c>
      <c r="E592" s="4" t="s">
        <v>109</v>
      </c>
      <c r="F592" s="4" t="s">
        <v>273</v>
      </c>
      <c r="G592" s="4" t="s">
        <v>199</v>
      </c>
      <c r="H592" s="4" t="s">
        <v>59</v>
      </c>
      <c r="I592" s="3"/>
      <c r="J592" s="3"/>
      <c r="K592" s="3"/>
      <c r="L592" s="3"/>
      <c r="M592" s="3"/>
      <c r="N592" s="3"/>
      <c r="O592" s="3"/>
      <c r="P592" s="8"/>
      <c r="Q592" s="8"/>
      <c r="R592" s="3"/>
      <c r="S592" s="3"/>
      <c r="T592" s="3"/>
      <c r="U592" s="5" t="str">
        <f t="shared" ref="U592:U608" si="28">IF(I592="","",IF(I592="NA","Grey",IF(I592=2,"Green",IF(I592=1,"Amber","Red"))))</f>
        <v/>
      </c>
    </row>
    <row r="593" spans="1:21" ht="28" customHeight="1" x14ac:dyDescent="0.35">
      <c r="A593" s="4">
        <v>2</v>
      </c>
      <c r="B593" s="4" t="s">
        <v>270</v>
      </c>
      <c r="C593" s="4" t="s">
        <v>274</v>
      </c>
      <c r="D593" s="4" t="s">
        <v>275</v>
      </c>
      <c r="E593" s="4" t="s">
        <v>69</v>
      </c>
      <c r="F593" s="4" t="s">
        <v>276</v>
      </c>
      <c r="G593" s="4" t="s">
        <v>199</v>
      </c>
      <c r="H593" s="4" t="s">
        <v>76</v>
      </c>
      <c r="I593" s="3"/>
      <c r="J593" s="3"/>
      <c r="K593" s="3"/>
      <c r="L593" s="3"/>
      <c r="M593" s="3"/>
      <c r="N593" s="3"/>
      <c r="O593" s="3"/>
      <c r="P593" s="8"/>
      <c r="Q593" s="8"/>
      <c r="R593" s="3"/>
      <c r="S593" s="3"/>
      <c r="T593" s="3"/>
      <c r="U593" s="5" t="str">
        <f t="shared" si="28"/>
        <v/>
      </c>
    </row>
    <row r="594" spans="1:21" ht="28" customHeight="1" x14ac:dyDescent="0.35">
      <c r="A594" s="4">
        <v>3</v>
      </c>
      <c r="B594" s="4" t="s">
        <v>270</v>
      </c>
      <c r="C594" s="4" t="s">
        <v>277</v>
      </c>
      <c r="D594" s="4" t="s">
        <v>278</v>
      </c>
      <c r="E594" s="4" t="s">
        <v>279</v>
      </c>
      <c r="F594" s="4" t="s">
        <v>280</v>
      </c>
      <c r="G594" s="4" t="s">
        <v>209</v>
      </c>
      <c r="H594" s="4" t="s">
        <v>76</v>
      </c>
      <c r="I594" s="3"/>
      <c r="J594" s="3"/>
      <c r="K594" s="3"/>
      <c r="L594" s="3"/>
      <c r="M594" s="3"/>
      <c r="N594" s="3"/>
      <c r="O594" s="3"/>
      <c r="P594" s="8"/>
      <c r="Q594" s="8"/>
      <c r="R594" s="3"/>
      <c r="S594" s="3"/>
      <c r="T594" s="3"/>
      <c r="U594" s="5" t="str">
        <f t="shared" si="28"/>
        <v/>
      </c>
    </row>
    <row r="595" spans="1:21" ht="28" customHeight="1" x14ac:dyDescent="0.35">
      <c r="A595" s="4">
        <v>4</v>
      </c>
      <c r="B595" s="4" t="s">
        <v>270</v>
      </c>
      <c r="C595" s="4" t="s">
        <v>281</v>
      </c>
      <c r="D595" s="4" t="s">
        <v>282</v>
      </c>
      <c r="E595" s="4" t="s">
        <v>283</v>
      </c>
      <c r="F595" s="4" t="s">
        <v>284</v>
      </c>
      <c r="G595" s="4" t="s">
        <v>204</v>
      </c>
      <c r="H595" s="4" t="s">
        <v>76</v>
      </c>
      <c r="I595" s="3"/>
      <c r="J595" s="3"/>
      <c r="K595" s="3"/>
      <c r="L595" s="3"/>
      <c r="M595" s="3"/>
      <c r="N595" s="3"/>
      <c r="O595" s="3"/>
      <c r="P595" s="8"/>
      <c r="Q595" s="8"/>
      <c r="R595" s="3"/>
      <c r="S595" s="3"/>
      <c r="T595" s="3"/>
      <c r="U595" s="5" t="str">
        <f t="shared" si="28"/>
        <v/>
      </c>
    </row>
    <row r="596" spans="1:21" ht="28" customHeight="1" x14ac:dyDescent="0.35">
      <c r="A596" s="4">
        <v>5</v>
      </c>
      <c r="B596" s="4" t="s">
        <v>285</v>
      </c>
      <c r="C596" s="4" t="s">
        <v>286</v>
      </c>
      <c r="D596" s="4" t="s">
        <v>287</v>
      </c>
      <c r="E596" s="4" t="s">
        <v>69</v>
      </c>
      <c r="F596" s="4" t="s">
        <v>276</v>
      </c>
      <c r="G596" s="4" t="s">
        <v>199</v>
      </c>
      <c r="H596" s="4" t="s">
        <v>76</v>
      </c>
      <c r="I596" s="3"/>
      <c r="J596" s="3"/>
      <c r="K596" s="3"/>
      <c r="L596" s="3"/>
      <c r="M596" s="3"/>
      <c r="N596" s="3"/>
      <c r="O596" s="3"/>
      <c r="P596" s="8"/>
      <c r="Q596" s="8"/>
      <c r="R596" s="3"/>
      <c r="S596" s="3"/>
      <c r="T596" s="3"/>
      <c r="U596" s="5" t="str">
        <f t="shared" si="28"/>
        <v/>
      </c>
    </row>
    <row r="597" spans="1:21" ht="28" customHeight="1" x14ac:dyDescent="0.35">
      <c r="A597" s="4">
        <v>6</v>
      </c>
      <c r="B597" s="4" t="s">
        <v>285</v>
      </c>
      <c r="C597" s="4" t="s">
        <v>288</v>
      </c>
      <c r="D597" s="4" t="s">
        <v>289</v>
      </c>
      <c r="E597" s="4" t="s">
        <v>70</v>
      </c>
      <c r="F597" s="4" t="s">
        <v>276</v>
      </c>
      <c r="G597" s="4" t="s">
        <v>199</v>
      </c>
      <c r="H597" s="4" t="s">
        <v>59</v>
      </c>
      <c r="I597" s="3"/>
      <c r="J597" s="3"/>
      <c r="K597" s="3"/>
      <c r="L597" s="3"/>
      <c r="M597" s="3"/>
      <c r="N597" s="3"/>
      <c r="O597" s="3"/>
      <c r="P597" s="8"/>
      <c r="Q597" s="8"/>
      <c r="R597" s="3"/>
      <c r="S597" s="3"/>
      <c r="T597" s="3"/>
      <c r="U597" s="5" t="str">
        <f t="shared" si="28"/>
        <v/>
      </c>
    </row>
    <row r="598" spans="1:21" ht="28" customHeight="1" x14ac:dyDescent="0.35">
      <c r="A598" s="4">
        <v>7</v>
      </c>
      <c r="B598" s="4" t="s">
        <v>290</v>
      </c>
      <c r="C598" s="4" t="s">
        <v>291</v>
      </c>
      <c r="D598" s="4" t="s">
        <v>292</v>
      </c>
      <c r="E598" s="4" t="s">
        <v>109</v>
      </c>
      <c r="F598" s="4" t="s">
        <v>284</v>
      </c>
      <c r="G598" s="4" t="s">
        <v>204</v>
      </c>
      <c r="H598" s="4" t="s">
        <v>59</v>
      </c>
      <c r="I598" s="3"/>
      <c r="J598" s="3"/>
      <c r="K598" s="3"/>
      <c r="L598" s="3"/>
      <c r="M598" s="3"/>
      <c r="N598" s="3"/>
      <c r="O598" s="3"/>
      <c r="P598" s="8"/>
      <c r="Q598" s="8"/>
      <c r="R598" s="3"/>
      <c r="S598" s="3"/>
      <c r="T598" s="3"/>
      <c r="U598" s="5" t="str">
        <f t="shared" si="28"/>
        <v/>
      </c>
    </row>
    <row r="599" spans="1:21" ht="28" customHeight="1" x14ac:dyDescent="0.35">
      <c r="A599" s="4">
        <v>8</v>
      </c>
      <c r="B599" s="4" t="s">
        <v>290</v>
      </c>
      <c r="C599" s="4" t="s">
        <v>293</v>
      </c>
      <c r="D599" s="4" t="s">
        <v>294</v>
      </c>
      <c r="E599" s="4" t="s">
        <v>70</v>
      </c>
      <c r="F599" s="4" t="s">
        <v>295</v>
      </c>
      <c r="G599" s="4" t="s">
        <v>199</v>
      </c>
      <c r="H599" s="4" t="s">
        <v>76</v>
      </c>
      <c r="I599" s="3"/>
      <c r="J599" s="3"/>
      <c r="K599" s="3"/>
      <c r="L599" s="3"/>
      <c r="M599" s="3"/>
      <c r="N599" s="3"/>
      <c r="O599" s="3"/>
      <c r="P599" s="8"/>
      <c r="Q599" s="8"/>
      <c r="R599" s="3"/>
      <c r="S599" s="3"/>
      <c r="T599" s="3"/>
      <c r="U599" s="5" t="str">
        <f t="shared" si="28"/>
        <v/>
      </c>
    </row>
    <row r="600" spans="1:21" ht="28" customHeight="1" x14ac:dyDescent="0.35">
      <c r="A600" s="4">
        <v>9</v>
      </c>
      <c r="B600" s="4" t="s">
        <v>296</v>
      </c>
      <c r="C600" s="4" t="s">
        <v>297</v>
      </c>
      <c r="D600" s="4" t="s">
        <v>70</v>
      </c>
      <c r="E600" s="4" t="s">
        <v>70</v>
      </c>
      <c r="F600" s="4" t="s">
        <v>295</v>
      </c>
      <c r="G600" s="4" t="s">
        <v>199</v>
      </c>
      <c r="H600" s="4" t="s">
        <v>76</v>
      </c>
      <c r="I600" s="3"/>
      <c r="J600" s="3"/>
      <c r="K600" s="3"/>
      <c r="L600" s="3"/>
      <c r="M600" s="3"/>
      <c r="N600" s="3"/>
      <c r="O600" s="3"/>
      <c r="P600" s="8"/>
      <c r="Q600" s="8"/>
      <c r="R600" s="3"/>
      <c r="S600" s="3"/>
      <c r="T600" s="3"/>
      <c r="U600" s="5" t="str">
        <f t="shared" si="28"/>
        <v/>
      </c>
    </row>
    <row r="601" spans="1:21" ht="28" customHeight="1" x14ac:dyDescent="0.35">
      <c r="A601" s="4">
        <v>10</v>
      </c>
      <c r="B601" s="4" t="s">
        <v>296</v>
      </c>
      <c r="C601" s="4" t="s">
        <v>298</v>
      </c>
      <c r="D601" s="4" t="s">
        <v>299</v>
      </c>
      <c r="E601" s="4" t="s">
        <v>283</v>
      </c>
      <c r="F601" s="4" t="s">
        <v>284</v>
      </c>
      <c r="G601" s="4" t="s">
        <v>204</v>
      </c>
      <c r="H601" s="4" t="s">
        <v>59</v>
      </c>
      <c r="I601" s="3"/>
      <c r="J601" s="3"/>
      <c r="K601" s="3"/>
      <c r="L601" s="3"/>
      <c r="M601" s="3"/>
      <c r="N601" s="3"/>
      <c r="O601" s="3"/>
      <c r="P601" s="8"/>
      <c r="Q601" s="8"/>
      <c r="R601" s="3"/>
      <c r="S601" s="3"/>
      <c r="T601" s="3"/>
      <c r="U601" s="5" t="str">
        <f t="shared" si="28"/>
        <v/>
      </c>
    </row>
    <row r="602" spans="1:21" ht="28" customHeight="1" x14ac:dyDescent="0.35">
      <c r="A602" s="4">
        <v>11</v>
      </c>
      <c r="B602" s="4" t="s">
        <v>300</v>
      </c>
      <c r="C602" s="4" t="s">
        <v>301</v>
      </c>
      <c r="D602" s="4" t="s">
        <v>302</v>
      </c>
      <c r="E602" s="4" t="s">
        <v>56</v>
      </c>
      <c r="F602" s="4" t="s">
        <v>276</v>
      </c>
      <c r="G602" s="4" t="s">
        <v>199</v>
      </c>
      <c r="H602" s="4" t="s">
        <v>76</v>
      </c>
      <c r="I602" s="3"/>
      <c r="J602" s="3"/>
      <c r="K602" s="3"/>
      <c r="L602" s="3"/>
      <c r="M602" s="3"/>
      <c r="N602" s="3"/>
      <c r="O602" s="3"/>
      <c r="P602" s="8"/>
      <c r="Q602" s="8"/>
      <c r="R602" s="3"/>
      <c r="S602" s="3"/>
      <c r="T602" s="3"/>
      <c r="U602" s="5" t="str">
        <f t="shared" si="28"/>
        <v/>
      </c>
    </row>
    <row r="603" spans="1:21" ht="28" customHeight="1" x14ac:dyDescent="0.35">
      <c r="A603" s="4">
        <v>12</v>
      </c>
      <c r="B603" s="4" t="s">
        <v>303</v>
      </c>
      <c r="C603" s="4" t="s">
        <v>304</v>
      </c>
      <c r="D603" s="4" t="s">
        <v>305</v>
      </c>
      <c r="E603" s="4" t="s">
        <v>283</v>
      </c>
      <c r="F603" s="4" t="s">
        <v>276</v>
      </c>
      <c r="G603" s="4" t="s">
        <v>199</v>
      </c>
      <c r="H603" s="4" t="s">
        <v>76</v>
      </c>
      <c r="I603" s="3"/>
      <c r="J603" s="3"/>
      <c r="K603" s="3"/>
      <c r="L603" s="3"/>
      <c r="M603" s="3"/>
      <c r="N603" s="3"/>
      <c r="O603" s="3"/>
      <c r="P603" s="8"/>
      <c r="Q603" s="8"/>
      <c r="R603" s="3"/>
      <c r="S603" s="3"/>
      <c r="T603" s="3"/>
      <c r="U603" s="5" t="str">
        <f t="shared" si="28"/>
        <v/>
      </c>
    </row>
    <row r="604" spans="1:21" ht="28" customHeight="1" x14ac:dyDescent="0.35">
      <c r="A604" s="4">
        <v>13</v>
      </c>
      <c r="B604" s="4" t="s">
        <v>306</v>
      </c>
      <c r="C604" s="4" t="s">
        <v>307</v>
      </c>
      <c r="D604" s="4" t="s">
        <v>308</v>
      </c>
      <c r="E604" s="4" t="s">
        <v>69</v>
      </c>
      <c r="F604" s="4" t="s">
        <v>273</v>
      </c>
      <c r="G604" s="4" t="s">
        <v>96</v>
      </c>
      <c r="H604" s="4" t="s">
        <v>59</v>
      </c>
      <c r="I604" s="3"/>
      <c r="J604" s="3"/>
      <c r="K604" s="3"/>
      <c r="L604" s="3"/>
      <c r="M604" s="3"/>
      <c r="N604" s="3"/>
      <c r="O604" s="3"/>
      <c r="P604" s="8"/>
      <c r="Q604" s="8"/>
      <c r="R604" s="3"/>
      <c r="S604" s="3"/>
      <c r="T604" s="3"/>
      <c r="U604" s="5" t="str">
        <f t="shared" si="28"/>
        <v/>
      </c>
    </row>
    <row r="605" spans="1:21" ht="28" customHeight="1" x14ac:dyDescent="0.35">
      <c r="A605" s="4">
        <v>14</v>
      </c>
      <c r="B605" s="4" t="s">
        <v>97</v>
      </c>
      <c r="C605" s="4" t="s">
        <v>98</v>
      </c>
      <c r="D605" s="4" t="s">
        <v>99</v>
      </c>
      <c r="E605" s="4" t="s">
        <v>69</v>
      </c>
      <c r="F605" s="4" t="s">
        <v>95</v>
      </c>
      <c r="G605" s="4" t="s">
        <v>96</v>
      </c>
      <c r="H605" s="4" t="s">
        <v>59</v>
      </c>
      <c r="I605" s="3"/>
      <c r="J605" s="3"/>
      <c r="K605" s="3"/>
      <c r="L605" s="3"/>
      <c r="M605" s="3"/>
      <c r="N605" s="3"/>
      <c r="O605" s="3"/>
      <c r="P605" s="8"/>
      <c r="Q605" s="8"/>
      <c r="R605" s="3"/>
      <c r="S605" s="3"/>
      <c r="T605" s="3"/>
      <c r="U605" s="5" t="str">
        <f t="shared" si="28"/>
        <v/>
      </c>
    </row>
    <row r="606" spans="1:21" ht="28" customHeight="1" x14ac:dyDescent="0.35">
      <c r="A606" s="4">
        <v>15</v>
      </c>
      <c r="B606" s="4" t="s">
        <v>97</v>
      </c>
      <c r="C606" s="4" t="s">
        <v>100</v>
      </c>
      <c r="D606" s="4" t="s">
        <v>101</v>
      </c>
      <c r="E606" s="4" t="s">
        <v>69</v>
      </c>
      <c r="F606" s="4" t="s">
        <v>95</v>
      </c>
      <c r="G606" s="4" t="s">
        <v>102</v>
      </c>
      <c r="H606" s="4" t="s">
        <v>59</v>
      </c>
      <c r="I606" s="3"/>
      <c r="J606" s="3"/>
      <c r="K606" s="3"/>
      <c r="L606" s="3"/>
      <c r="M606" s="3"/>
      <c r="N606" s="3"/>
      <c r="O606" s="3"/>
      <c r="P606" s="8"/>
      <c r="Q606" s="8"/>
      <c r="R606" s="3"/>
      <c r="S606" s="3"/>
      <c r="T606" s="3"/>
      <c r="U606" s="5" t="str">
        <f t="shared" si="28"/>
        <v/>
      </c>
    </row>
    <row r="607" spans="1:21" ht="28" customHeight="1" x14ac:dyDescent="0.35">
      <c r="A607" s="4">
        <v>16</v>
      </c>
      <c r="B607" s="4" t="s">
        <v>103</v>
      </c>
      <c r="C607" s="4" t="s">
        <v>104</v>
      </c>
      <c r="D607" s="4" t="s">
        <v>105</v>
      </c>
      <c r="E607" s="4" t="s">
        <v>69</v>
      </c>
      <c r="F607" s="4" t="s">
        <v>95</v>
      </c>
      <c r="G607" s="4" t="s">
        <v>96</v>
      </c>
      <c r="H607" s="4" t="s">
        <v>85</v>
      </c>
      <c r="I607" s="3"/>
      <c r="J607" s="3"/>
      <c r="K607" s="3"/>
      <c r="L607" s="3"/>
      <c r="M607" s="3"/>
      <c r="N607" s="3"/>
      <c r="O607" s="3"/>
      <c r="P607" s="8"/>
      <c r="Q607" s="8"/>
      <c r="R607" s="3"/>
      <c r="S607" s="3"/>
      <c r="T607" s="3"/>
      <c r="U607" s="5" t="str">
        <f t="shared" si="28"/>
        <v/>
      </c>
    </row>
    <row r="608" spans="1:21" ht="28" customHeight="1" x14ac:dyDescent="0.35">
      <c r="A608" s="4">
        <v>17</v>
      </c>
      <c r="B608" s="4" t="s">
        <v>106</v>
      </c>
      <c r="C608" s="4" t="s">
        <v>107</v>
      </c>
      <c r="D608" s="4" t="s">
        <v>108</v>
      </c>
      <c r="E608" s="4" t="s">
        <v>109</v>
      </c>
      <c r="F608" s="4" t="s">
        <v>95</v>
      </c>
      <c r="G608" s="4" t="s">
        <v>96</v>
      </c>
      <c r="H608" s="4" t="s">
        <v>59</v>
      </c>
      <c r="I608" s="3"/>
      <c r="J608" s="3"/>
      <c r="K608" s="3"/>
      <c r="L608" s="3"/>
      <c r="M608" s="3"/>
      <c r="N608" s="3"/>
      <c r="O608" s="3"/>
      <c r="P608" s="8"/>
      <c r="Q608" s="8"/>
      <c r="R608" s="3"/>
      <c r="S608" s="3"/>
      <c r="T608" s="3"/>
      <c r="U608" s="5" t="str">
        <f t="shared" si="28"/>
        <v/>
      </c>
    </row>
    <row r="610" spans="1:21" ht="28" customHeight="1" x14ac:dyDescent="0.35">
      <c r="A610" s="9" t="s">
        <v>110</v>
      </c>
      <c r="B610" s="16"/>
      <c r="C610" s="17"/>
      <c r="D610" s="17"/>
      <c r="E610" s="17"/>
      <c r="F610" s="17"/>
      <c r="G610" s="17"/>
      <c r="H610" s="17"/>
      <c r="I610" s="17"/>
      <c r="J610" s="17"/>
      <c r="K610" s="17"/>
      <c r="L610" s="17"/>
      <c r="M610" s="17"/>
      <c r="N610" s="17"/>
      <c r="O610" s="17"/>
      <c r="P610" s="17"/>
      <c r="Q610" s="17"/>
      <c r="R610" s="17"/>
      <c r="S610" s="17"/>
      <c r="T610" s="17"/>
      <c r="U610" s="18"/>
    </row>
    <row r="611" spans="1:21" ht="28" customHeight="1" x14ac:dyDescent="0.35">
      <c r="A611" s="19" t="s">
        <v>333</v>
      </c>
      <c r="B611" s="20"/>
      <c r="C611" s="20"/>
      <c r="D611" s="20"/>
      <c r="E611" s="20"/>
      <c r="F611" s="20"/>
      <c r="G611" s="20"/>
      <c r="H611" s="20"/>
      <c r="I611" s="20"/>
      <c r="J611" s="20"/>
      <c r="K611" s="20"/>
      <c r="L611" s="20"/>
      <c r="M611" s="20"/>
      <c r="N611" s="20"/>
      <c r="O611" s="20"/>
      <c r="P611" s="20"/>
      <c r="Q611" s="20"/>
      <c r="R611" s="20"/>
      <c r="S611" s="20"/>
      <c r="T611" s="20"/>
      <c r="U611" s="21"/>
    </row>
    <row r="612" spans="1:21" ht="28" customHeight="1" x14ac:dyDescent="0.35">
      <c r="A612" s="4" t="s">
        <v>31</v>
      </c>
      <c r="B612" s="3" t="s">
        <v>242</v>
      </c>
      <c r="C612" s="4" t="s">
        <v>32</v>
      </c>
      <c r="D612" s="3"/>
      <c r="E612" s="4" t="s">
        <v>33</v>
      </c>
      <c r="F612" s="8"/>
    </row>
    <row r="613" spans="1:21" ht="28" customHeight="1" x14ac:dyDescent="0.35">
      <c r="A613" s="1" t="s">
        <v>34</v>
      </c>
      <c r="B613" s="1" t="s">
        <v>35</v>
      </c>
      <c r="C613" s="1" t="s">
        <v>36</v>
      </c>
      <c r="D613" s="1" t="s">
        <v>37</v>
      </c>
      <c r="E613" s="1" t="s">
        <v>38</v>
      </c>
      <c r="F613" s="1" t="s">
        <v>39</v>
      </c>
      <c r="G613" s="1" t="s">
        <v>40</v>
      </c>
      <c r="H613" s="1" t="s">
        <v>41</v>
      </c>
      <c r="I613" s="1" t="s">
        <v>42</v>
      </c>
      <c r="J613" s="1" t="s">
        <v>43</v>
      </c>
      <c r="K613" s="1" t="s">
        <v>44</v>
      </c>
      <c r="L613" s="1" t="s">
        <v>45</v>
      </c>
      <c r="M613" s="1" t="s">
        <v>46</v>
      </c>
      <c r="N613" s="1" t="s">
        <v>47</v>
      </c>
      <c r="O613" s="1" t="s">
        <v>48</v>
      </c>
      <c r="P613" s="1" t="s">
        <v>4</v>
      </c>
      <c r="Q613" s="1" t="s">
        <v>49</v>
      </c>
      <c r="R613" s="1" t="s">
        <v>50</v>
      </c>
      <c r="S613" s="1" t="s">
        <v>51</v>
      </c>
      <c r="T613" s="1" t="s">
        <v>52</v>
      </c>
      <c r="U613" s="1" t="s">
        <v>10</v>
      </c>
    </row>
    <row r="614" spans="1:21" ht="28" customHeight="1" x14ac:dyDescent="0.35">
      <c r="A614" s="4">
        <v>1</v>
      </c>
      <c r="B614" s="4" t="s">
        <v>270</v>
      </c>
      <c r="C614" s="4" t="s">
        <v>271</v>
      </c>
      <c r="D614" s="4" t="s">
        <v>272</v>
      </c>
      <c r="E614" s="4" t="s">
        <v>109</v>
      </c>
      <c r="F614" s="4" t="s">
        <v>273</v>
      </c>
      <c r="G614" s="4" t="s">
        <v>199</v>
      </c>
      <c r="H614" s="4" t="s">
        <v>59</v>
      </c>
      <c r="I614" s="3"/>
      <c r="J614" s="3"/>
      <c r="K614" s="3"/>
      <c r="L614" s="3"/>
      <c r="M614" s="3"/>
      <c r="N614" s="3"/>
      <c r="O614" s="3"/>
      <c r="P614" s="8"/>
      <c r="Q614" s="8"/>
      <c r="R614" s="3"/>
      <c r="S614" s="3"/>
      <c r="T614" s="3"/>
      <c r="U614" s="5" t="str">
        <f t="shared" ref="U614:U630" si="29">IF(I614="","",IF(I614="NA","Grey",IF(I614=2,"Green",IF(I614=1,"Amber","Red"))))</f>
        <v/>
      </c>
    </row>
    <row r="615" spans="1:21" ht="28" customHeight="1" x14ac:dyDescent="0.35">
      <c r="A615" s="4">
        <v>2</v>
      </c>
      <c r="B615" s="4" t="s">
        <v>270</v>
      </c>
      <c r="C615" s="4" t="s">
        <v>274</v>
      </c>
      <c r="D615" s="4" t="s">
        <v>275</v>
      </c>
      <c r="E615" s="4" t="s">
        <v>69</v>
      </c>
      <c r="F615" s="4" t="s">
        <v>276</v>
      </c>
      <c r="G615" s="4" t="s">
        <v>199</v>
      </c>
      <c r="H615" s="4" t="s">
        <v>76</v>
      </c>
      <c r="I615" s="3"/>
      <c r="J615" s="3"/>
      <c r="K615" s="3"/>
      <c r="L615" s="3"/>
      <c r="M615" s="3"/>
      <c r="N615" s="3"/>
      <c r="O615" s="3"/>
      <c r="P615" s="8"/>
      <c r="Q615" s="8"/>
      <c r="R615" s="3"/>
      <c r="S615" s="3"/>
      <c r="T615" s="3"/>
      <c r="U615" s="5" t="str">
        <f t="shared" si="29"/>
        <v/>
      </c>
    </row>
    <row r="616" spans="1:21" ht="28" customHeight="1" x14ac:dyDescent="0.35">
      <c r="A616" s="4">
        <v>3</v>
      </c>
      <c r="B616" s="4" t="s">
        <v>270</v>
      </c>
      <c r="C616" s="4" t="s">
        <v>277</v>
      </c>
      <c r="D616" s="4" t="s">
        <v>278</v>
      </c>
      <c r="E616" s="4" t="s">
        <v>279</v>
      </c>
      <c r="F616" s="4" t="s">
        <v>280</v>
      </c>
      <c r="G616" s="4" t="s">
        <v>209</v>
      </c>
      <c r="H616" s="4" t="s">
        <v>76</v>
      </c>
      <c r="I616" s="3"/>
      <c r="J616" s="3"/>
      <c r="K616" s="3"/>
      <c r="L616" s="3"/>
      <c r="M616" s="3"/>
      <c r="N616" s="3"/>
      <c r="O616" s="3"/>
      <c r="P616" s="8"/>
      <c r="Q616" s="8"/>
      <c r="R616" s="3"/>
      <c r="S616" s="3"/>
      <c r="T616" s="3"/>
      <c r="U616" s="5" t="str">
        <f t="shared" si="29"/>
        <v/>
      </c>
    </row>
    <row r="617" spans="1:21" ht="28" customHeight="1" x14ac:dyDescent="0.35">
      <c r="A617" s="4">
        <v>4</v>
      </c>
      <c r="B617" s="4" t="s">
        <v>270</v>
      </c>
      <c r="C617" s="4" t="s">
        <v>281</v>
      </c>
      <c r="D617" s="4" t="s">
        <v>282</v>
      </c>
      <c r="E617" s="4" t="s">
        <v>283</v>
      </c>
      <c r="F617" s="4" t="s">
        <v>284</v>
      </c>
      <c r="G617" s="4" t="s">
        <v>204</v>
      </c>
      <c r="H617" s="4" t="s">
        <v>76</v>
      </c>
      <c r="I617" s="3"/>
      <c r="J617" s="3"/>
      <c r="K617" s="3"/>
      <c r="L617" s="3"/>
      <c r="M617" s="3"/>
      <c r="N617" s="3"/>
      <c r="O617" s="3"/>
      <c r="P617" s="8"/>
      <c r="Q617" s="8"/>
      <c r="R617" s="3"/>
      <c r="S617" s="3"/>
      <c r="T617" s="3"/>
      <c r="U617" s="5" t="str">
        <f t="shared" si="29"/>
        <v/>
      </c>
    </row>
    <row r="618" spans="1:21" ht="28" customHeight="1" x14ac:dyDescent="0.35">
      <c r="A618" s="4">
        <v>5</v>
      </c>
      <c r="B618" s="4" t="s">
        <v>285</v>
      </c>
      <c r="C618" s="4" t="s">
        <v>286</v>
      </c>
      <c r="D618" s="4" t="s">
        <v>287</v>
      </c>
      <c r="E618" s="4" t="s">
        <v>69</v>
      </c>
      <c r="F618" s="4" t="s">
        <v>276</v>
      </c>
      <c r="G618" s="4" t="s">
        <v>199</v>
      </c>
      <c r="H618" s="4" t="s">
        <v>76</v>
      </c>
      <c r="I618" s="3"/>
      <c r="J618" s="3"/>
      <c r="K618" s="3"/>
      <c r="L618" s="3"/>
      <c r="M618" s="3"/>
      <c r="N618" s="3"/>
      <c r="O618" s="3"/>
      <c r="P618" s="8"/>
      <c r="Q618" s="8"/>
      <c r="R618" s="3"/>
      <c r="S618" s="3"/>
      <c r="T618" s="3"/>
      <c r="U618" s="5" t="str">
        <f t="shared" si="29"/>
        <v/>
      </c>
    </row>
    <row r="619" spans="1:21" ht="28" customHeight="1" x14ac:dyDescent="0.35">
      <c r="A619" s="4">
        <v>6</v>
      </c>
      <c r="B619" s="4" t="s">
        <v>285</v>
      </c>
      <c r="C619" s="4" t="s">
        <v>288</v>
      </c>
      <c r="D619" s="4" t="s">
        <v>289</v>
      </c>
      <c r="E619" s="4" t="s">
        <v>70</v>
      </c>
      <c r="F619" s="4" t="s">
        <v>276</v>
      </c>
      <c r="G619" s="4" t="s">
        <v>199</v>
      </c>
      <c r="H619" s="4" t="s">
        <v>59</v>
      </c>
      <c r="I619" s="3"/>
      <c r="J619" s="3"/>
      <c r="K619" s="3"/>
      <c r="L619" s="3"/>
      <c r="M619" s="3"/>
      <c r="N619" s="3"/>
      <c r="O619" s="3"/>
      <c r="P619" s="8"/>
      <c r="Q619" s="8"/>
      <c r="R619" s="3"/>
      <c r="S619" s="3"/>
      <c r="T619" s="3"/>
      <c r="U619" s="5" t="str">
        <f t="shared" si="29"/>
        <v/>
      </c>
    </row>
    <row r="620" spans="1:21" ht="28" customHeight="1" x14ac:dyDescent="0.35">
      <c r="A620" s="4">
        <v>7</v>
      </c>
      <c r="B620" s="4" t="s">
        <v>290</v>
      </c>
      <c r="C620" s="4" t="s">
        <v>291</v>
      </c>
      <c r="D620" s="4" t="s">
        <v>292</v>
      </c>
      <c r="E620" s="4" t="s">
        <v>109</v>
      </c>
      <c r="F620" s="4" t="s">
        <v>284</v>
      </c>
      <c r="G620" s="4" t="s">
        <v>204</v>
      </c>
      <c r="H620" s="4" t="s">
        <v>59</v>
      </c>
      <c r="I620" s="3"/>
      <c r="J620" s="3"/>
      <c r="K620" s="3"/>
      <c r="L620" s="3"/>
      <c r="M620" s="3"/>
      <c r="N620" s="3"/>
      <c r="O620" s="3"/>
      <c r="P620" s="8"/>
      <c r="Q620" s="8"/>
      <c r="R620" s="3"/>
      <c r="S620" s="3"/>
      <c r="T620" s="3"/>
      <c r="U620" s="5" t="str">
        <f t="shared" si="29"/>
        <v/>
      </c>
    </row>
    <row r="621" spans="1:21" ht="28" customHeight="1" x14ac:dyDescent="0.35">
      <c r="A621" s="4">
        <v>8</v>
      </c>
      <c r="B621" s="4" t="s">
        <v>290</v>
      </c>
      <c r="C621" s="4" t="s">
        <v>293</v>
      </c>
      <c r="D621" s="4" t="s">
        <v>294</v>
      </c>
      <c r="E621" s="4" t="s">
        <v>70</v>
      </c>
      <c r="F621" s="4" t="s">
        <v>295</v>
      </c>
      <c r="G621" s="4" t="s">
        <v>199</v>
      </c>
      <c r="H621" s="4" t="s">
        <v>76</v>
      </c>
      <c r="I621" s="3"/>
      <c r="J621" s="3"/>
      <c r="K621" s="3"/>
      <c r="L621" s="3"/>
      <c r="M621" s="3"/>
      <c r="N621" s="3"/>
      <c r="O621" s="3"/>
      <c r="P621" s="8"/>
      <c r="Q621" s="8"/>
      <c r="R621" s="3"/>
      <c r="S621" s="3"/>
      <c r="T621" s="3"/>
      <c r="U621" s="5" t="str">
        <f t="shared" si="29"/>
        <v/>
      </c>
    </row>
    <row r="622" spans="1:21" ht="28" customHeight="1" x14ac:dyDescent="0.35">
      <c r="A622" s="4">
        <v>9</v>
      </c>
      <c r="B622" s="4" t="s">
        <v>296</v>
      </c>
      <c r="C622" s="4" t="s">
        <v>297</v>
      </c>
      <c r="D622" s="4" t="s">
        <v>70</v>
      </c>
      <c r="E622" s="4" t="s">
        <v>70</v>
      </c>
      <c r="F622" s="4" t="s">
        <v>295</v>
      </c>
      <c r="G622" s="4" t="s">
        <v>199</v>
      </c>
      <c r="H622" s="4" t="s">
        <v>76</v>
      </c>
      <c r="I622" s="3"/>
      <c r="J622" s="3"/>
      <c r="K622" s="3"/>
      <c r="L622" s="3"/>
      <c r="M622" s="3"/>
      <c r="N622" s="3"/>
      <c r="O622" s="3"/>
      <c r="P622" s="8"/>
      <c r="Q622" s="8"/>
      <c r="R622" s="3"/>
      <c r="S622" s="3"/>
      <c r="T622" s="3"/>
      <c r="U622" s="5" t="str">
        <f t="shared" si="29"/>
        <v/>
      </c>
    </row>
    <row r="623" spans="1:21" ht="28" customHeight="1" x14ac:dyDescent="0.35">
      <c r="A623" s="4">
        <v>10</v>
      </c>
      <c r="B623" s="4" t="s">
        <v>296</v>
      </c>
      <c r="C623" s="4" t="s">
        <v>298</v>
      </c>
      <c r="D623" s="4" t="s">
        <v>299</v>
      </c>
      <c r="E623" s="4" t="s">
        <v>283</v>
      </c>
      <c r="F623" s="4" t="s">
        <v>284</v>
      </c>
      <c r="G623" s="4" t="s">
        <v>204</v>
      </c>
      <c r="H623" s="4" t="s">
        <v>59</v>
      </c>
      <c r="I623" s="3"/>
      <c r="J623" s="3"/>
      <c r="K623" s="3"/>
      <c r="L623" s="3"/>
      <c r="M623" s="3"/>
      <c r="N623" s="3"/>
      <c r="O623" s="3"/>
      <c r="P623" s="8"/>
      <c r="Q623" s="8"/>
      <c r="R623" s="3"/>
      <c r="S623" s="3"/>
      <c r="T623" s="3"/>
      <c r="U623" s="5" t="str">
        <f t="shared" si="29"/>
        <v/>
      </c>
    </row>
    <row r="624" spans="1:21" ht="28" customHeight="1" x14ac:dyDescent="0.35">
      <c r="A624" s="4">
        <v>11</v>
      </c>
      <c r="B624" s="4" t="s">
        <v>300</v>
      </c>
      <c r="C624" s="4" t="s">
        <v>301</v>
      </c>
      <c r="D624" s="4" t="s">
        <v>302</v>
      </c>
      <c r="E624" s="4" t="s">
        <v>56</v>
      </c>
      <c r="F624" s="4" t="s">
        <v>276</v>
      </c>
      <c r="G624" s="4" t="s">
        <v>199</v>
      </c>
      <c r="H624" s="4" t="s">
        <v>76</v>
      </c>
      <c r="I624" s="3"/>
      <c r="J624" s="3"/>
      <c r="K624" s="3"/>
      <c r="L624" s="3"/>
      <c r="M624" s="3"/>
      <c r="N624" s="3"/>
      <c r="O624" s="3"/>
      <c r="P624" s="8"/>
      <c r="Q624" s="8"/>
      <c r="R624" s="3"/>
      <c r="S624" s="3"/>
      <c r="T624" s="3"/>
      <c r="U624" s="5" t="str">
        <f t="shared" si="29"/>
        <v/>
      </c>
    </row>
    <row r="625" spans="1:21" ht="28" customHeight="1" x14ac:dyDescent="0.35">
      <c r="A625" s="4">
        <v>12</v>
      </c>
      <c r="B625" s="4" t="s">
        <v>303</v>
      </c>
      <c r="C625" s="4" t="s">
        <v>304</v>
      </c>
      <c r="D625" s="4" t="s">
        <v>305</v>
      </c>
      <c r="E625" s="4" t="s">
        <v>283</v>
      </c>
      <c r="F625" s="4" t="s">
        <v>276</v>
      </c>
      <c r="G625" s="4" t="s">
        <v>199</v>
      </c>
      <c r="H625" s="4" t="s">
        <v>76</v>
      </c>
      <c r="I625" s="3"/>
      <c r="J625" s="3"/>
      <c r="K625" s="3"/>
      <c r="L625" s="3"/>
      <c r="M625" s="3"/>
      <c r="N625" s="3"/>
      <c r="O625" s="3"/>
      <c r="P625" s="8"/>
      <c r="Q625" s="8"/>
      <c r="R625" s="3"/>
      <c r="S625" s="3"/>
      <c r="T625" s="3"/>
      <c r="U625" s="5" t="str">
        <f t="shared" si="29"/>
        <v/>
      </c>
    </row>
    <row r="626" spans="1:21" ht="28" customHeight="1" x14ac:dyDescent="0.35">
      <c r="A626" s="4">
        <v>13</v>
      </c>
      <c r="B626" s="4" t="s">
        <v>306</v>
      </c>
      <c r="C626" s="4" t="s">
        <v>307</v>
      </c>
      <c r="D626" s="4" t="s">
        <v>308</v>
      </c>
      <c r="E626" s="4" t="s">
        <v>69</v>
      </c>
      <c r="F626" s="4" t="s">
        <v>273</v>
      </c>
      <c r="G626" s="4" t="s">
        <v>96</v>
      </c>
      <c r="H626" s="4" t="s">
        <v>59</v>
      </c>
      <c r="I626" s="3"/>
      <c r="J626" s="3"/>
      <c r="K626" s="3"/>
      <c r="L626" s="3"/>
      <c r="M626" s="3"/>
      <c r="N626" s="3"/>
      <c r="O626" s="3"/>
      <c r="P626" s="8"/>
      <c r="Q626" s="8"/>
      <c r="R626" s="3"/>
      <c r="S626" s="3"/>
      <c r="T626" s="3"/>
      <c r="U626" s="5" t="str">
        <f t="shared" si="29"/>
        <v/>
      </c>
    </row>
    <row r="627" spans="1:21" ht="28" customHeight="1" x14ac:dyDescent="0.35">
      <c r="A627" s="4">
        <v>14</v>
      </c>
      <c r="B627" s="4" t="s">
        <v>97</v>
      </c>
      <c r="C627" s="4" t="s">
        <v>98</v>
      </c>
      <c r="D627" s="4" t="s">
        <v>99</v>
      </c>
      <c r="E627" s="4" t="s">
        <v>69</v>
      </c>
      <c r="F627" s="4" t="s">
        <v>95</v>
      </c>
      <c r="G627" s="4" t="s">
        <v>96</v>
      </c>
      <c r="H627" s="4" t="s">
        <v>59</v>
      </c>
      <c r="I627" s="3"/>
      <c r="J627" s="3"/>
      <c r="K627" s="3"/>
      <c r="L627" s="3"/>
      <c r="M627" s="3"/>
      <c r="N627" s="3"/>
      <c r="O627" s="3"/>
      <c r="P627" s="8"/>
      <c r="Q627" s="8"/>
      <c r="R627" s="3"/>
      <c r="S627" s="3"/>
      <c r="T627" s="3"/>
      <c r="U627" s="5" t="str">
        <f t="shared" si="29"/>
        <v/>
      </c>
    </row>
    <row r="628" spans="1:21" ht="28" customHeight="1" x14ac:dyDescent="0.35">
      <c r="A628" s="4">
        <v>15</v>
      </c>
      <c r="B628" s="4" t="s">
        <v>97</v>
      </c>
      <c r="C628" s="4" t="s">
        <v>100</v>
      </c>
      <c r="D628" s="4" t="s">
        <v>101</v>
      </c>
      <c r="E628" s="4" t="s">
        <v>69</v>
      </c>
      <c r="F628" s="4" t="s">
        <v>95</v>
      </c>
      <c r="G628" s="4" t="s">
        <v>102</v>
      </c>
      <c r="H628" s="4" t="s">
        <v>59</v>
      </c>
      <c r="I628" s="3"/>
      <c r="J628" s="3"/>
      <c r="K628" s="3"/>
      <c r="L628" s="3"/>
      <c r="M628" s="3"/>
      <c r="N628" s="3"/>
      <c r="O628" s="3"/>
      <c r="P628" s="8"/>
      <c r="Q628" s="8"/>
      <c r="R628" s="3"/>
      <c r="S628" s="3"/>
      <c r="T628" s="3"/>
      <c r="U628" s="5" t="str">
        <f t="shared" si="29"/>
        <v/>
      </c>
    </row>
    <row r="629" spans="1:21" ht="28" customHeight="1" x14ac:dyDescent="0.35">
      <c r="A629" s="4">
        <v>16</v>
      </c>
      <c r="B629" s="4" t="s">
        <v>103</v>
      </c>
      <c r="C629" s="4" t="s">
        <v>104</v>
      </c>
      <c r="D629" s="4" t="s">
        <v>105</v>
      </c>
      <c r="E629" s="4" t="s">
        <v>69</v>
      </c>
      <c r="F629" s="4" t="s">
        <v>95</v>
      </c>
      <c r="G629" s="4" t="s">
        <v>96</v>
      </c>
      <c r="H629" s="4" t="s">
        <v>85</v>
      </c>
      <c r="I629" s="3"/>
      <c r="J629" s="3"/>
      <c r="K629" s="3"/>
      <c r="L629" s="3"/>
      <c r="M629" s="3"/>
      <c r="N629" s="3"/>
      <c r="O629" s="3"/>
      <c r="P629" s="8"/>
      <c r="Q629" s="8"/>
      <c r="R629" s="3"/>
      <c r="S629" s="3"/>
      <c r="T629" s="3"/>
      <c r="U629" s="5" t="str">
        <f t="shared" si="29"/>
        <v/>
      </c>
    </row>
    <row r="630" spans="1:21" ht="28" customHeight="1" x14ac:dyDescent="0.35">
      <c r="A630" s="4">
        <v>17</v>
      </c>
      <c r="B630" s="4" t="s">
        <v>106</v>
      </c>
      <c r="C630" s="4" t="s">
        <v>107</v>
      </c>
      <c r="D630" s="4" t="s">
        <v>108</v>
      </c>
      <c r="E630" s="4" t="s">
        <v>109</v>
      </c>
      <c r="F630" s="4" t="s">
        <v>95</v>
      </c>
      <c r="G630" s="4" t="s">
        <v>96</v>
      </c>
      <c r="H630" s="4" t="s">
        <v>59</v>
      </c>
      <c r="I630" s="3"/>
      <c r="J630" s="3"/>
      <c r="K630" s="3"/>
      <c r="L630" s="3"/>
      <c r="M630" s="3"/>
      <c r="N630" s="3"/>
      <c r="O630" s="3"/>
      <c r="P630" s="8"/>
      <c r="Q630" s="8"/>
      <c r="R630" s="3"/>
      <c r="S630" s="3"/>
      <c r="T630" s="3"/>
      <c r="U630" s="5" t="str">
        <f t="shared" si="29"/>
        <v/>
      </c>
    </row>
    <row r="632" spans="1:21" ht="28" customHeight="1" x14ac:dyDescent="0.35">
      <c r="A632" s="9" t="s">
        <v>110</v>
      </c>
      <c r="B632" s="16"/>
      <c r="C632" s="17"/>
      <c r="D632" s="17"/>
      <c r="E632" s="17"/>
      <c r="F632" s="17"/>
      <c r="G632" s="17"/>
      <c r="H632" s="17"/>
      <c r="I632" s="17"/>
      <c r="J632" s="17"/>
      <c r="K632" s="17"/>
      <c r="L632" s="17"/>
      <c r="M632" s="17"/>
      <c r="N632" s="17"/>
      <c r="O632" s="17"/>
      <c r="P632" s="17"/>
      <c r="Q632" s="17"/>
      <c r="R632" s="17"/>
      <c r="S632" s="17"/>
      <c r="T632" s="17"/>
      <c r="U632" s="18"/>
    </row>
    <row r="633" spans="1:21" ht="28" customHeight="1" x14ac:dyDescent="0.35">
      <c r="A633" s="19" t="s">
        <v>334</v>
      </c>
      <c r="B633" s="20"/>
      <c r="C633" s="20"/>
      <c r="D633" s="20"/>
      <c r="E633" s="20"/>
      <c r="F633" s="20"/>
      <c r="G633" s="20"/>
      <c r="H633" s="20"/>
      <c r="I633" s="20"/>
      <c r="J633" s="20"/>
      <c r="K633" s="20"/>
      <c r="L633" s="20"/>
      <c r="M633" s="20"/>
      <c r="N633" s="20"/>
      <c r="O633" s="20"/>
      <c r="P633" s="20"/>
      <c r="Q633" s="20"/>
      <c r="R633" s="20"/>
      <c r="S633" s="20"/>
      <c r="T633" s="20"/>
      <c r="U633" s="21"/>
    </row>
    <row r="634" spans="1:21" ht="28" customHeight="1" x14ac:dyDescent="0.35">
      <c r="A634" s="4" t="s">
        <v>31</v>
      </c>
      <c r="B634" s="3" t="s">
        <v>243</v>
      </c>
      <c r="C634" s="4" t="s">
        <v>32</v>
      </c>
      <c r="D634" s="3"/>
      <c r="E634" s="4" t="s">
        <v>33</v>
      </c>
      <c r="F634" s="8"/>
    </row>
    <row r="635" spans="1:21" ht="28" customHeight="1" x14ac:dyDescent="0.35">
      <c r="A635" s="1" t="s">
        <v>34</v>
      </c>
      <c r="B635" s="1" t="s">
        <v>35</v>
      </c>
      <c r="C635" s="1" t="s">
        <v>36</v>
      </c>
      <c r="D635" s="1" t="s">
        <v>37</v>
      </c>
      <c r="E635" s="1" t="s">
        <v>38</v>
      </c>
      <c r="F635" s="1" t="s">
        <v>39</v>
      </c>
      <c r="G635" s="1" t="s">
        <v>40</v>
      </c>
      <c r="H635" s="1" t="s">
        <v>41</v>
      </c>
      <c r="I635" s="1" t="s">
        <v>42</v>
      </c>
      <c r="J635" s="1" t="s">
        <v>43</v>
      </c>
      <c r="K635" s="1" t="s">
        <v>44</v>
      </c>
      <c r="L635" s="1" t="s">
        <v>45</v>
      </c>
      <c r="M635" s="1" t="s">
        <v>46</v>
      </c>
      <c r="N635" s="1" t="s">
        <v>47</v>
      </c>
      <c r="O635" s="1" t="s">
        <v>48</v>
      </c>
      <c r="P635" s="1" t="s">
        <v>4</v>
      </c>
      <c r="Q635" s="1" t="s">
        <v>49</v>
      </c>
      <c r="R635" s="1" t="s">
        <v>50</v>
      </c>
      <c r="S635" s="1" t="s">
        <v>51</v>
      </c>
      <c r="T635" s="1" t="s">
        <v>52</v>
      </c>
      <c r="U635" s="1" t="s">
        <v>10</v>
      </c>
    </row>
    <row r="636" spans="1:21" ht="28" customHeight="1" x14ac:dyDescent="0.35">
      <c r="A636" s="4">
        <v>1</v>
      </c>
      <c r="B636" s="4" t="s">
        <v>270</v>
      </c>
      <c r="C636" s="4" t="s">
        <v>271</v>
      </c>
      <c r="D636" s="4" t="s">
        <v>272</v>
      </c>
      <c r="E636" s="4" t="s">
        <v>109</v>
      </c>
      <c r="F636" s="4" t="s">
        <v>273</v>
      </c>
      <c r="G636" s="4" t="s">
        <v>199</v>
      </c>
      <c r="H636" s="4" t="s">
        <v>59</v>
      </c>
      <c r="I636" s="3"/>
      <c r="J636" s="3"/>
      <c r="K636" s="3"/>
      <c r="L636" s="3"/>
      <c r="M636" s="3"/>
      <c r="N636" s="3"/>
      <c r="O636" s="3"/>
      <c r="P636" s="8"/>
      <c r="Q636" s="8"/>
      <c r="R636" s="3"/>
      <c r="S636" s="3"/>
      <c r="T636" s="3"/>
      <c r="U636" s="5" t="str">
        <f t="shared" ref="U636:U652" si="30">IF(I636="","",IF(I636="NA","Grey",IF(I636=2,"Green",IF(I636=1,"Amber","Red"))))</f>
        <v/>
      </c>
    </row>
    <row r="637" spans="1:21" ht="28" customHeight="1" x14ac:dyDescent="0.35">
      <c r="A637" s="4">
        <v>2</v>
      </c>
      <c r="B637" s="4" t="s">
        <v>270</v>
      </c>
      <c r="C637" s="4" t="s">
        <v>274</v>
      </c>
      <c r="D637" s="4" t="s">
        <v>275</v>
      </c>
      <c r="E637" s="4" t="s">
        <v>69</v>
      </c>
      <c r="F637" s="4" t="s">
        <v>276</v>
      </c>
      <c r="G637" s="4" t="s">
        <v>199</v>
      </c>
      <c r="H637" s="4" t="s">
        <v>76</v>
      </c>
      <c r="I637" s="3"/>
      <c r="J637" s="3"/>
      <c r="K637" s="3"/>
      <c r="L637" s="3"/>
      <c r="M637" s="3"/>
      <c r="N637" s="3"/>
      <c r="O637" s="3"/>
      <c r="P637" s="8"/>
      <c r="Q637" s="8"/>
      <c r="R637" s="3"/>
      <c r="S637" s="3"/>
      <c r="T637" s="3"/>
      <c r="U637" s="5" t="str">
        <f t="shared" si="30"/>
        <v/>
      </c>
    </row>
    <row r="638" spans="1:21" ht="28" customHeight="1" x14ac:dyDescent="0.35">
      <c r="A638" s="4">
        <v>3</v>
      </c>
      <c r="B638" s="4" t="s">
        <v>270</v>
      </c>
      <c r="C638" s="4" t="s">
        <v>277</v>
      </c>
      <c r="D638" s="4" t="s">
        <v>278</v>
      </c>
      <c r="E638" s="4" t="s">
        <v>279</v>
      </c>
      <c r="F638" s="4" t="s">
        <v>280</v>
      </c>
      <c r="G638" s="4" t="s">
        <v>209</v>
      </c>
      <c r="H638" s="4" t="s">
        <v>76</v>
      </c>
      <c r="I638" s="3"/>
      <c r="J638" s="3"/>
      <c r="K638" s="3"/>
      <c r="L638" s="3"/>
      <c r="M638" s="3"/>
      <c r="N638" s="3"/>
      <c r="O638" s="3"/>
      <c r="P638" s="8"/>
      <c r="Q638" s="8"/>
      <c r="R638" s="3"/>
      <c r="S638" s="3"/>
      <c r="T638" s="3"/>
      <c r="U638" s="5" t="str">
        <f t="shared" si="30"/>
        <v/>
      </c>
    </row>
    <row r="639" spans="1:21" ht="28" customHeight="1" x14ac:dyDescent="0.35">
      <c r="A639" s="4">
        <v>4</v>
      </c>
      <c r="B639" s="4" t="s">
        <v>270</v>
      </c>
      <c r="C639" s="4" t="s">
        <v>281</v>
      </c>
      <c r="D639" s="4" t="s">
        <v>282</v>
      </c>
      <c r="E639" s="4" t="s">
        <v>283</v>
      </c>
      <c r="F639" s="4" t="s">
        <v>284</v>
      </c>
      <c r="G639" s="4" t="s">
        <v>204</v>
      </c>
      <c r="H639" s="4" t="s">
        <v>76</v>
      </c>
      <c r="I639" s="3"/>
      <c r="J639" s="3"/>
      <c r="K639" s="3"/>
      <c r="L639" s="3"/>
      <c r="M639" s="3"/>
      <c r="N639" s="3"/>
      <c r="O639" s="3"/>
      <c r="P639" s="8"/>
      <c r="Q639" s="8"/>
      <c r="R639" s="3"/>
      <c r="S639" s="3"/>
      <c r="T639" s="3"/>
      <c r="U639" s="5" t="str">
        <f t="shared" si="30"/>
        <v/>
      </c>
    </row>
    <row r="640" spans="1:21" ht="28" customHeight="1" x14ac:dyDescent="0.35">
      <c r="A640" s="4">
        <v>5</v>
      </c>
      <c r="B640" s="4" t="s">
        <v>285</v>
      </c>
      <c r="C640" s="4" t="s">
        <v>286</v>
      </c>
      <c r="D640" s="4" t="s">
        <v>287</v>
      </c>
      <c r="E640" s="4" t="s">
        <v>69</v>
      </c>
      <c r="F640" s="4" t="s">
        <v>276</v>
      </c>
      <c r="G640" s="4" t="s">
        <v>199</v>
      </c>
      <c r="H640" s="4" t="s">
        <v>76</v>
      </c>
      <c r="I640" s="3"/>
      <c r="J640" s="3"/>
      <c r="K640" s="3"/>
      <c r="L640" s="3"/>
      <c r="M640" s="3"/>
      <c r="N640" s="3"/>
      <c r="O640" s="3"/>
      <c r="P640" s="8"/>
      <c r="Q640" s="8"/>
      <c r="R640" s="3"/>
      <c r="S640" s="3"/>
      <c r="T640" s="3"/>
      <c r="U640" s="5" t="str">
        <f t="shared" si="30"/>
        <v/>
      </c>
    </row>
    <row r="641" spans="1:21" ht="28" customHeight="1" x14ac:dyDescent="0.35">
      <c r="A641" s="4">
        <v>6</v>
      </c>
      <c r="B641" s="4" t="s">
        <v>285</v>
      </c>
      <c r="C641" s="4" t="s">
        <v>288</v>
      </c>
      <c r="D641" s="4" t="s">
        <v>289</v>
      </c>
      <c r="E641" s="4" t="s">
        <v>70</v>
      </c>
      <c r="F641" s="4" t="s">
        <v>276</v>
      </c>
      <c r="G641" s="4" t="s">
        <v>199</v>
      </c>
      <c r="H641" s="4" t="s">
        <v>59</v>
      </c>
      <c r="I641" s="3"/>
      <c r="J641" s="3"/>
      <c r="K641" s="3"/>
      <c r="L641" s="3"/>
      <c r="M641" s="3"/>
      <c r="N641" s="3"/>
      <c r="O641" s="3"/>
      <c r="P641" s="8"/>
      <c r="Q641" s="8"/>
      <c r="R641" s="3"/>
      <c r="S641" s="3"/>
      <c r="T641" s="3"/>
      <c r="U641" s="5" t="str">
        <f t="shared" si="30"/>
        <v/>
      </c>
    </row>
    <row r="642" spans="1:21" ht="28" customHeight="1" x14ac:dyDescent="0.35">
      <c r="A642" s="4">
        <v>7</v>
      </c>
      <c r="B642" s="4" t="s">
        <v>290</v>
      </c>
      <c r="C642" s="4" t="s">
        <v>291</v>
      </c>
      <c r="D642" s="4" t="s">
        <v>292</v>
      </c>
      <c r="E642" s="4" t="s">
        <v>109</v>
      </c>
      <c r="F642" s="4" t="s">
        <v>284</v>
      </c>
      <c r="G642" s="4" t="s">
        <v>204</v>
      </c>
      <c r="H642" s="4" t="s">
        <v>59</v>
      </c>
      <c r="I642" s="3"/>
      <c r="J642" s="3"/>
      <c r="K642" s="3"/>
      <c r="L642" s="3"/>
      <c r="M642" s="3"/>
      <c r="N642" s="3"/>
      <c r="O642" s="3"/>
      <c r="P642" s="8"/>
      <c r="Q642" s="8"/>
      <c r="R642" s="3"/>
      <c r="S642" s="3"/>
      <c r="T642" s="3"/>
      <c r="U642" s="5" t="str">
        <f t="shared" si="30"/>
        <v/>
      </c>
    </row>
    <row r="643" spans="1:21" ht="28" customHeight="1" x14ac:dyDescent="0.35">
      <c r="A643" s="4">
        <v>8</v>
      </c>
      <c r="B643" s="4" t="s">
        <v>290</v>
      </c>
      <c r="C643" s="4" t="s">
        <v>293</v>
      </c>
      <c r="D643" s="4" t="s">
        <v>294</v>
      </c>
      <c r="E643" s="4" t="s">
        <v>70</v>
      </c>
      <c r="F643" s="4" t="s">
        <v>295</v>
      </c>
      <c r="G643" s="4" t="s">
        <v>199</v>
      </c>
      <c r="H643" s="4" t="s">
        <v>76</v>
      </c>
      <c r="I643" s="3"/>
      <c r="J643" s="3"/>
      <c r="K643" s="3"/>
      <c r="L643" s="3"/>
      <c r="M643" s="3"/>
      <c r="N643" s="3"/>
      <c r="O643" s="3"/>
      <c r="P643" s="8"/>
      <c r="Q643" s="8"/>
      <c r="R643" s="3"/>
      <c r="S643" s="3"/>
      <c r="T643" s="3"/>
      <c r="U643" s="5" t="str">
        <f t="shared" si="30"/>
        <v/>
      </c>
    </row>
    <row r="644" spans="1:21" ht="28" customHeight="1" x14ac:dyDescent="0.35">
      <c r="A644" s="4">
        <v>9</v>
      </c>
      <c r="B644" s="4" t="s">
        <v>296</v>
      </c>
      <c r="C644" s="4" t="s">
        <v>297</v>
      </c>
      <c r="D644" s="4" t="s">
        <v>70</v>
      </c>
      <c r="E644" s="4" t="s">
        <v>70</v>
      </c>
      <c r="F644" s="4" t="s">
        <v>295</v>
      </c>
      <c r="G644" s="4" t="s">
        <v>199</v>
      </c>
      <c r="H644" s="4" t="s">
        <v>76</v>
      </c>
      <c r="I644" s="3"/>
      <c r="J644" s="3"/>
      <c r="K644" s="3"/>
      <c r="L644" s="3"/>
      <c r="M644" s="3"/>
      <c r="N644" s="3"/>
      <c r="O644" s="3"/>
      <c r="P644" s="8"/>
      <c r="Q644" s="8"/>
      <c r="R644" s="3"/>
      <c r="S644" s="3"/>
      <c r="T644" s="3"/>
      <c r="U644" s="5" t="str">
        <f t="shared" si="30"/>
        <v/>
      </c>
    </row>
    <row r="645" spans="1:21" ht="28" customHeight="1" x14ac:dyDescent="0.35">
      <c r="A645" s="4">
        <v>10</v>
      </c>
      <c r="B645" s="4" t="s">
        <v>296</v>
      </c>
      <c r="C645" s="4" t="s">
        <v>298</v>
      </c>
      <c r="D645" s="4" t="s">
        <v>299</v>
      </c>
      <c r="E645" s="4" t="s">
        <v>283</v>
      </c>
      <c r="F645" s="4" t="s">
        <v>284</v>
      </c>
      <c r="G645" s="4" t="s">
        <v>204</v>
      </c>
      <c r="H645" s="4" t="s">
        <v>59</v>
      </c>
      <c r="I645" s="3"/>
      <c r="J645" s="3"/>
      <c r="K645" s="3"/>
      <c r="L645" s="3"/>
      <c r="M645" s="3"/>
      <c r="N645" s="3"/>
      <c r="O645" s="3"/>
      <c r="P645" s="8"/>
      <c r="Q645" s="8"/>
      <c r="R645" s="3"/>
      <c r="S645" s="3"/>
      <c r="T645" s="3"/>
      <c r="U645" s="5" t="str">
        <f t="shared" si="30"/>
        <v/>
      </c>
    </row>
    <row r="646" spans="1:21" ht="28" customHeight="1" x14ac:dyDescent="0.35">
      <c r="A646" s="4">
        <v>11</v>
      </c>
      <c r="B646" s="4" t="s">
        <v>300</v>
      </c>
      <c r="C646" s="4" t="s">
        <v>301</v>
      </c>
      <c r="D646" s="4" t="s">
        <v>302</v>
      </c>
      <c r="E646" s="4" t="s">
        <v>56</v>
      </c>
      <c r="F646" s="4" t="s">
        <v>276</v>
      </c>
      <c r="G646" s="4" t="s">
        <v>199</v>
      </c>
      <c r="H646" s="4" t="s">
        <v>76</v>
      </c>
      <c r="I646" s="3"/>
      <c r="J646" s="3"/>
      <c r="K646" s="3"/>
      <c r="L646" s="3"/>
      <c r="M646" s="3"/>
      <c r="N646" s="3"/>
      <c r="O646" s="3"/>
      <c r="P646" s="8"/>
      <c r="Q646" s="8"/>
      <c r="R646" s="3"/>
      <c r="S646" s="3"/>
      <c r="T646" s="3"/>
      <c r="U646" s="5" t="str">
        <f t="shared" si="30"/>
        <v/>
      </c>
    </row>
    <row r="647" spans="1:21" ht="28" customHeight="1" x14ac:dyDescent="0.35">
      <c r="A647" s="4">
        <v>12</v>
      </c>
      <c r="B647" s="4" t="s">
        <v>303</v>
      </c>
      <c r="C647" s="4" t="s">
        <v>304</v>
      </c>
      <c r="D647" s="4" t="s">
        <v>305</v>
      </c>
      <c r="E647" s="4" t="s">
        <v>283</v>
      </c>
      <c r="F647" s="4" t="s">
        <v>276</v>
      </c>
      <c r="G647" s="4" t="s">
        <v>199</v>
      </c>
      <c r="H647" s="4" t="s">
        <v>76</v>
      </c>
      <c r="I647" s="3"/>
      <c r="J647" s="3"/>
      <c r="K647" s="3"/>
      <c r="L647" s="3"/>
      <c r="M647" s="3"/>
      <c r="N647" s="3"/>
      <c r="O647" s="3"/>
      <c r="P647" s="8"/>
      <c r="Q647" s="8"/>
      <c r="R647" s="3"/>
      <c r="S647" s="3"/>
      <c r="T647" s="3"/>
      <c r="U647" s="5" t="str">
        <f t="shared" si="30"/>
        <v/>
      </c>
    </row>
    <row r="648" spans="1:21" ht="28" customHeight="1" x14ac:dyDescent="0.35">
      <c r="A648" s="4">
        <v>13</v>
      </c>
      <c r="B648" s="4" t="s">
        <v>306</v>
      </c>
      <c r="C648" s="4" t="s">
        <v>307</v>
      </c>
      <c r="D648" s="4" t="s">
        <v>308</v>
      </c>
      <c r="E648" s="4" t="s">
        <v>69</v>
      </c>
      <c r="F648" s="4" t="s">
        <v>273</v>
      </c>
      <c r="G648" s="4" t="s">
        <v>96</v>
      </c>
      <c r="H648" s="4" t="s">
        <v>59</v>
      </c>
      <c r="I648" s="3"/>
      <c r="J648" s="3"/>
      <c r="K648" s="3"/>
      <c r="L648" s="3"/>
      <c r="M648" s="3"/>
      <c r="N648" s="3"/>
      <c r="O648" s="3"/>
      <c r="P648" s="8"/>
      <c r="Q648" s="8"/>
      <c r="R648" s="3"/>
      <c r="S648" s="3"/>
      <c r="T648" s="3"/>
      <c r="U648" s="5" t="str">
        <f t="shared" si="30"/>
        <v/>
      </c>
    </row>
    <row r="649" spans="1:21" ht="28" customHeight="1" x14ac:dyDescent="0.35">
      <c r="A649" s="4">
        <v>14</v>
      </c>
      <c r="B649" s="4" t="s">
        <v>97</v>
      </c>
      <c r="C649" s="4" t="s">
        <v>98</v>
      </c>
      <c r="D649" s="4" t="s">
        <v>99</v>
      </c>
      <c r="E649" s="4" t="s">
        <v>69</v>
      </c>
      <c r="F649" s="4" t="s">
        <v>95</v>
      </c>
      <c r="G649" s="4" t="s">
        <v>96</v>
      </c>
      <c r="H649" s="4" t="s">
        <v>59</v>
      </c>
      <c r="I649" s="3"/>
      <c r="J649" s="3"/>
      <c r="K649" s="3"/>
      <c r="L649" s="3"/>
      <c r="M649" s="3"/>
      <c r="N649" s="3"/>
      <c r="O649" s="3"/>
      <c r="P649" s="8"/>
      <c r="Q649" s="8"/>
      <c r="R649" s="3"/>
      <c r="S649" s="3"/>
      <c r="T649" s="3"/>
      <c r="U649" s="5" t="str">
        <f t="shared" si="30"/>
        <v/>
      </c>
    </row>
    <row r="650" spans="1:21" ht="28" customHeight="1" x14ac:dyDescent="0.35">
      <c r="A650" s="4">
        <v>15</v>
      </c>
      <c r="B650" s="4" t="s">
        <v>97</v>
      </c>
      <c r="C650" s="4" t="s">
        <v>100</v>
      </c>
      <c r="D650" s="4" t="s">
        <v>101</v>
      </c>
      <c r="E650" s="4" t="s">
        <v>69</v>
      </c>
      <c r="F650" s="4" t="s">
        <v>95</v>
      </c>
      <c r="G650" s="4" t="s">
        <v>102</v>
      </c>
      <c r="H650" s="4" t="s">
        <v>59</v>
      </c>
      <c r="I650" s="3"/>
      <c r="J650" s="3"/>
      <c r="K650" s="3"/>
      <c r="L650" s="3"/>
      <c r="M650" s="3"/>
      <c r="N650" s="3"/>
      <c r="O650" s="3"/>
      <c r="P650" s="8"/>
      <c r="Q650" s="8"/>
      <c r="R650" s="3"/>
      <c r="S650" s="3"/>
      <c r="T650" s="3"/>
      <c r="U650" s="5" t="str">
        <f t="shared" si="30"/>
        <v/>
      </c>
    </row>
    <row r="651" spans="1:21" ht="28" customHeight="1" x14ac:dyDescent="0.35">
      <c r="A651" s="4">
        <v>16</v>
      </c>
      <c r="B651" s="4" t="s">
        <v>103</v>
      </c>
      <c r="C651" s="4" t="s">
        <v>104</v>
      </c>
      <c r="D651" s="4" t="s">
        <v>105</v>
      </c>
      <c r="E651" s="4" t="s">
        <v>69</v>
      </c>
      <c r="F651" s="4" t="s">
        <v>95</v>
      </c>
      <c r="G651" s="4" t="s">
        <v>96</v>
      </c>
      <c r="H651" s="4" t="s">
        <v>85</v>
      </c>
      <c r="I651" s="3"/>
      <c r="J651" s="3"/>
      <c r="K651" s="3"/>
      <c r="L651" s="3"/>
      <c r="M651" s="3"/>
      <c r="N651" s="3"/>
      <c r="O651" s="3"/>
      <c r="P651" s="8"/>
      <c r="Q651" s="8"/>
      <c r="R651" s="3"/>
      <c r="S651" s="3"/>
      <c r="T651" s="3"/>
      <c r="U651" s="5" t="str">
        <f t="shared" si="30"/>
        <v/>
      </c>
    </row>
    <row r="652" spans="1:21" ht="28" customHeight="1" x14ac:dyDescent="0.35">
      <c r="A652" s="4">
        <v>17</v>
      </c>
      <c r="B652" s="4" t="s">
        <v>106</v>
      </c>
      <c r="C652" s="4" t="s">
        <v>107</v>
      </c>
      <c r="D652" s="4" t="s">
        <v>108</v>
      </c>
      <c r="E652" s="4" t="s">
        <v>109</v>
      </c>
      <c r="F652" s="4" t="s">
        <v>95</v>
      </c>
      <c r="G652" s="4" t="s">
        <v>96</v>
      </c>
      <c r="H652" s="4" t="s">
        <v>59</v>
      </c>
      <c r="I652" s="3"/>
      <c r="J652" s="3"/>
      <c r="K652" s="3"/>
      <c r="L652" s="3"/>
      <c r="M652" s="3"/>
      <c r="N652" s="3"/>
      <c r="O652" s="3"/>
      <c r="P652" s="8"/>
      <c r="Q652" s="8"/>
      <c r="R652" s="3"/>
      <c r="S652" s="3"/>
      <c r="T652" s="3"/>
      <c r="U652" s="5" t="str">
        <f t="shared" si="30"/>
        <v/>
      </c>
    </row>
    <row r="654" spans="1:21" ht="28" customHeight="1" x14ac:dyDescent="0.35">
      <c r="A654" s="9" t="s">
        <v>110</v>
      </c>
      <c r="B654" s="16"/>
      <c r="C654" s="17"/>
      <c r="D654" s="17"/>
      <c r="E654" s="17"/>
      <c r="F654" s="17"/>
      <c r="G654" s="17"/>
      <c r="H654" s="17"/>
      <c r="I654" s="17"/>
      <c r="J654" s="17"/>
      <c r="K654" s="17"/>
      <c r="L654" s="17"/>
      <c r="M654" s="17"/>
      <c r="N654" s="17"/>
      <c r="O654" s="17"/>
      <c r="P654" s="17"/>
      <c r="Q654" s="17"/>
      <c r="R654" s="17"/>
      <c r="S654" s="17"/>
      <c r="T654" s="17"/>
      <c r="U654" s="18"/>
    </row>
    <row r="655" spans="1:21" ht="28" customHeight="1" x14ac:dyDescent="0.35">
      <c r="A655" s="19" t="s">
        <v>335</v>
      </c>
      <c r="B655" s="20"/>
      <c r="C655" s="20"/>
      <c r="D655" s="20"/>
      <c r="E655" s="20"/>
      <c r="F655" s="20"/>
      <c r="G655" s="20"/>
      <c r="H655" s="20"/>
      <c r="I655" s="20"/>
      <c r="J655" s="20"/>
      <c r="K655" s="20"/>
      <c r="L655" s="20"/>
      <c r="M655" s="20"/>
      <c r="N655" s="20"/>
      <c r="O655" s="20"/>
      <c r="P655" s="20"/>
      <c r="Q655" s="20"/>
      <c r="R655" s="20"/>
      <c r="S655" s="20"/>
      <c r="T655" s="20"/>
      <c r="U655" s="21"/>
    </row>
    <row r="656" spans="1:21" ht="28" customHeight="1" x14ac:dyDescent="0.35">
      <c r="A656" s="4" t="s">
        <v>31</v>
      </c>
      <c r="B656" s="3" t="s">
        <v>244</v>
      </c>
      <c r="C656" s="4" t="s">
        <v>32</v>
      </c>
      <c r="D656" s="3"/>
      <c r="E656" s="4" t="s">
        <v>33</v>
      </c>
      <c r="F656" s="8"/>
    </row>
    <row r="657" spans="1:21" ht="28" customHeight="1" x14ac:dyDescent="0.35">
      <c r="A657" s="1" t="s">
        <v>34</v>
      </c>
      <c r="B657" s="1" t="s">
        <v>35</v>
      </c>
      <c r="C657" s="1" t="s">
        <v>36</v>
      </c>
      <c r="D657" s="1" t="s">
        <v>37</v>
      </c>
      <c r="E657" s="1" t="s">
        <v>38</v>
      </c>
      <c r="F657" s="1" t="s">
        <v>39</v>
      </c>
      <c r="G657" s="1" t="s">
        <v>40</v>
      </c>
      <c r="H657" s="1" t="s">
        <v>41</v>
      </c>
      <c r="I657" s="1" t="s">
        <v>42</v>
      </c>
      <c r="J657" s="1" t="s">
        <v>43</v>
      </c>
      <c r="K657" s="1" t="s">
        <v>44</v>
      </c>
      <c r="L657" s="1" t="s">
        <v>45</v>
      </c>
      <c r="M657" s="1" t="s">
        <v>46</v>
      </c>
      <c r="N657" s="1" t="s">
        <v>47</v>
      </c>
      <c r="O657" s="1" t="s">
        <v>48</v>
      </c>
      <c r="P657" s="1" t="s">
        <v>4</v>
      </c>
      <c r="Q657" s="1" t="s">
        <v>49</v>
      </c>
      <c r="R657" s="1" t="s">
        <v>50</v>
      </c>
      <c r="S657" s="1" t="s">
        <v>51</v>
      </c>
      <c r="T657" s="1" t="s">
        <v>52</v>
      </c>
      <c r="U657" s="1" t="s">
        <v>10</v>
      </c>
    </row>
    <row r="658" spans="1:21" ht="28" customHeight="1" x14ac:dyDescent="0.35">
      <c r="A658" s="4">
        <v>1</v>
      </c>
      <c r="B658" s="4" t="s">
        <v>270</v>
      </c>
      <c r="C658" s="4" t="s">
        <v>271</v>
      </c>
      <c r="D658" s="4" t="s">
        <v>272</v>
      </c>
      <c r="E658" s="4" t="s">
        <v>109</v>
      </c>
      <c r="F658" s="4" t="s">
        <v>273</v>
      </c>
      <c r="G658" s="4" t="s">
        <v>199</v>
      </c>
      <c r="H658" s="4" t="s">
        <v>59</v>
      </c>
      <c r="I658" s="3"/>
      <c r="J658" s="3"/>
      <c r="K658" s="3"/>
      <c r="L658" s="3"/>
      <c r="M658" s="3"/>
      <c r="N658" s="3"/>
      <c r="O658" s="3"/>
      <c r="P658" s="8"/>
      <c r="Q658" s="8"/>
      <c r="R658" s="3"/>
      <c r="S658" s="3"/>
      <c r="T658" s="3"/>
      <c r="U658" s="5" t="str">
        <f t="shared" ref="U658:U674" si="31">IF(I658="","",IF(I658="NA","Grey",IF(I658=2,"Green",IF(I658=1,"Amber","Red"))))</f>
        <v/>
      </c>
    </row>
    <row r="659" spans="1:21" ht="28" customHeight="1" x14ac:dyDescent="0.35">
      <c r="A659" s="4">
        <v>2</v>
      </c>
      <c r="B659" s="4" t="s">
        <v>270</v>
      </c>
      <c r="C659" s="4" t="s">
        <v>274</v>
      </c>
      <c r="D659" s="4" t="s">
        <v>275</v>
      </c>
      <c r="E659" s="4" t="s">
        <v>69</v>
      </c>
      <c r="F659" s="4" t="s">
        <v>276</v>
      </c>
      <c r="G659" s="4" t="s">
        <v>199</v>
      </c>
      <c r="H659" s="4" t="s">
        <v>76</v>
      </c>
      <c r="I659" s="3"/>
      <c r="J659" s="3"/>
      <c r="K659" s="3"/>
      <c r="L659" s="3"/>
      <c r="M659" s="3"/>
      <c r="N659" s="3"/>
      <c r="O659" s="3"/>
      <c r="P659" s="8"/>
      <c r="Q659" s="8"/>
      <c r="R659" s="3"/>
      <c r="S659" s="3"/>
      <c r="T659" s="3"/>
      <c r="U659" s="5" t="str">
        <f t="shared" si="31"/>
        <v/>
      </c>
    </row>
    <row r="660" spans="1:21" ht="28" customHeight="1" x14ac:dyDescent="0.35">
      <c r="A660" s="4">
        <v>3</v>
      </c>
      <c r="B660" s="4" t="s">
        <v>270</v>
      </c>
      <c r="C660" s="4" t="s">
        <v>277</v>
      </c>
      <c r="D660" s="4" t="s">
        <v>278</v>
      </c>
      <c r="E660" s="4" t="s">
        <v>279</v>
      </c>
      <c r="F660" s="4" t="s">
        <v>280</v>
      </c>
      <c r="G660" s="4" t="s">
        <v>209</v>
      </c>
      <c r="H660" s="4" t="s">
        <v>76</v>
      </c>
      <c r="I660" s="3"/>
      <c r="J660" s="3"/>
      <c r="K660" s="3"/>
      <c r="L660" s="3"/>
      <c r="M660" s="3"/>
      <c r="N660" s="3"/>
      <c r="O660" s="3"/>
      <c r="P660" s="8"/>
      <c r="Q660" s="8"/>
      <c r="R660" s="3"/>
      <c r="S660" s="3"/>
      <c r="T660" s="3"/>
      <c r="U660" s="5" t="str">
        <f t="shared" si="31"/>
        <v/>
      </c>
    </row>
    <row r="661" spans="1:21" ht="28" customHeight="1" x14ac:dyDescent="0.35">
      <c r="A661" s="4">
        <v>4</v>
      </c>
      <c r="B661" s="4" t="s">
        <v>270</v>
      </c>
      <c r="C661" s="4" t="s">
        <v>281</v>
      </c>
      <c r="D661" s="4" t="s">
        <v>282</v>
      </c>
      <c r="E661" s="4" t="s">
        <v>283</v>
      </c>
      <c r="F661" s="4" t="s">
        <v>284</v>
      </c>
      <c r="G661" s="4" t="s">
        <v>204</v>
      </c>
      <c r="H661" s="4" t="s">
        <v>76</v>
      </c>
      <c r="I661" s="3"/>
      <c r="J661" s="3"/>
      <c r="K661" s="3"/>
      <c r="L661" s="3"/>
      <c r="M661" s="3"/>
      <c r="N661" s="3"/>
      <c r="O661" s="3"/>
      <c r="P661" s="8"/>
      <c r="Q661" s="8"/>
      <c r="R661" s="3"/>
      <c r="S661" s="3"/>
      <c r="T661" s="3"/>
      <c r="U661" s="5" t="str">
        <f t="shared" si="31"/>
        <v/>
      </c>
    </row>
    <row r="662" spans="1:21" ht="28" customHeight="1" x14ac:dyDescent="0.35">
      <c r="A662" s="4">
        <v>5</v>
      </c>
      <c r="B662" s="4" t="s">
        <v>285</v>
      </c>
      <c r="C662" s="4" t="s">
        <v>286</v>
      </c>
      <c r="D662" s="4" t="s">
        <v>287</v>
      </c>
      <c r="E662" s="4" t="s">
        <v>69</v>
      </c>
      <c r="F662" s="4" t="s">
        <v>276</v>
      </c>
      <c r="G662" s="4" t="s">
        <v>199</v>
      </c>
      <c r="H662" s="4" t="s">
        <v>76</v>
      </c>
      <c r="I662" s="3"/>
      <c r="J662" s="3"/>
      <c r="K662" s="3"/>
      <c r="L662" s="3"/>
      <c r="M662" s="3"/>
      <c r="N662" s="3"/>
      <c r="O662" s="3"/>
      <c r="P662" s="8"/>
      <c r="Q662" s="8"/>
      <c r="R662" s="3"/>
      <c r="S662" s="3"/>
      <c r="T662" s="3"/>
      <c r="U662" s="5" t="str">
        <f t="shared" si="31"/>
        <v/>
      </c>
    </row>
    <row r="663" spans="1:21" ht="28" customHeight="1" x14ac:dyDescent="0.35">
      <c r="A663" s="4">
        <v>6</v>
      </c>
      <c r="B663" s="4" t="s">
        <v>285</v>
      </c>
      <c r="C663" s="4" t="s">
        <v>288</v>
      </c>
      <c r="D663" s="4" t="s">
        <v>289</v>
      </c>
      <c r="E663" s="4" t="s">
        <v>70</v>
      </c>
      <c r="F663" s="4" t="s">
        <v>276</v>
      </c>
      <c r="G663" s="4" t="s">
        <v>199</v>
      </c>
      <c r="H663" s="4" t="s">
        <v>59</v>
      </c>
      <c r="I663" s="3"/>
      <c r="J663" s="3"/>
      <c r="K663" s="3"/>
      <c r="L663" s="3"/>
      <c r="M663" s="3"/>
      <c r="N663" s="3"/>
      <c r="O663" s="3"/>
      <c r="P663" s="8"/>
      <c r="Q663" s="8"/>
      <c r="R663" s="3"/>
      <c r="S663" s="3"/>
      <c r="T663" s="3"/>
      <c r="U663" s="5" t="str">
        <f t="shared" si="31"/>
        <v/>
      </c>
    </row>
    <row r="664" spans="1:21" ht="28" customHeight="1" x14ac:dyDescent="0.35">
      <c r="A664" s="4">
        <v>7</v>
      </c>
      <c r="B664" s="4" t="s">
        <v>290</v>
      </c>
      <c r="C664" s="4" t="s">
        <v>291</v>
      </c>
      <c r="D664" s="4" t="s">
        <v>292</v>
      </c>
      <c r="E664" s="4" t="s">
        <v>109</v>
      </c>
      <c r="F664" s="4" t="s">
        <v>284</v>
      </c>
      <c r="G664" s="4" t="s">
        <v>204</v>
      </c>
      <c r="H664" s="4" t="s">
        <v>59</v>
      </c>
      <c r="I664" s="3"/>
      <c r="J664" s="3"/>
      <c r="K664" s="3"/>
      <c r="L664" s="3"/>
      <c r="M664" s="3"/>
      <c r="N664" s="3"/>
      <c r="O664" s="3"/>
      <c r="P664" s="8"/>
      <c r="Q664" s="8"/>
      <c r="R664" s="3"/>
      <c r="S664" s="3"/>
      <c r="T664" s="3"/>
      <c r="U664" s="5" t="str">
        <f t="shared" si="31"/>
        <v/>
      </c>
    </row>
    <row r="665" spans="1:21" ht="28" customHeight="1" x14ac:dyDescent="0.35">
      <c r="A665" s="4">
        <v>8</v>
      </c>
      <c r="B665" s="4" t="s">
        <v>290</v>
      </c>
      <c r="C665" s="4" t="s">
        <v>293</v>
      </c>
      <c r="D665" s="4" t="s">
        <v>294</v>
      </c>
      <c r="E665" s="4" t="s">
        <v>70</v>
      </c>
      <c r="F665" s="4" t="s">
        <v>295</v>
      </c>
      <c r="G665" s="4" t="s">
        <v>199</v>
      </c>
      <c r="H665" s="4" t="s">
        <v>76</v>
      </c>
      <c r="I665" s="3"/>
      <c r="J665" s="3"/>
      <c r="K665" s="3"/>
      <c r="L665" s="3"/>
      <c r="M665" s="3"/>
      <c r="N665" s="3"/>
      <c r="O665" s="3"/>
      <c r="P665" s="8"/>
      <c r="Q665" s="8"/>
      <c r="R665" s="3"/>
      <c r="S665" s="3"/>
      <c r="T665" s="3"/>
      <c r="U665" s="5" t="str">
        <f t="shared" si="31"/>
        <v/>
      </c>
    </row>
    <row r="666" spans="1:21" ht="28" customHeight="1" x14ac:dyDescent="0.35">
      <c r="A666" s="4">
        <v>9</v>
      </c>
      <c r="B666" s="4" t="s">
        <v>296</v>
      </c>
      <c r="C666" s="4" t="s">
        <v>297</v>
      </c>
      <c r="D666" s="4" t="s">
        <v>70</v>
      </c>
      <c r="E666" s="4" t="s">
        <v>70</v>
      </c>
      <c r="F666" s="4" t="s">
        <v>295</v>
      </c>
      <c r="G666" s="4" t="s">
        <v>199</v>
      </c>
      <c r="H666" s="4" t="s">
        <v>76</v>
      </c>
      <c r="I666" s="3"/>
      <c r="J666" s="3"/>
      <c r="K666" s="3"/>
      <c r="L666" s="3"/>
      <c r="M666" s="3"/>
      <c r="N666" s="3"/>
      <c r="O666" s="3"/>
      <c r="P666" s="8"/>
      <c r="Q666" s="8"/>
      <c r="R666" s="3"/>
      <c r="S666" s="3"/>
      <c r="T666" s="3"/>
      <c r="U666" s="5" t="str">
        <f t="shared" si="31"/>
        <v/>
      </c>
    </row>
    <row r="667" spans="1:21" ht="28" customHeight="1" x14ac:dyDescent="0.35">
      <c r="A667" s="4">
        <v>10</v>
      </c>
      <c r="B667" s="4" t="s">
        <v>296</v>
      </c>
      <c r="C667" s="4" t="s">
        <v>298</v>
      </c>
      <c r="D667" s="4" t="s">
        <v>299</v>
      </c>
      <c r="E667" s="4" t="s">
        <v>283</v>
      </c>
      <c r="F667" s="4" t="s">
        <v>284</v>
      </c>
      <c r="G667" s="4" t="s">
        <v>204</v>
      </c>
      <c r="H667" s="4" t="s">
        <v>59</v>
      </c>
      <c r="I667" s="3"/>
      <c r="J667" s="3"/>
      <c r="K667" s="3"/>
      <c r="L667" s="3"/>
      <c r="M667" s="3"/>
      <c r="N667" s="3"/>
      <c r="O667" s="3"/>
      <c r="P667" s="8"/>
      <c r="Q667" s="8"/>
      <c r="R667" s="3"/>
      <c r="S667" s="3"/>
      <c r="T667" s="3"/>
      <c r="U667" s="5" t="str">
        <f t="shared" si="31"/>
        <v/>
      </c>
    </row>
    <row r="668" spans="1:21" ht="28" customHeight="1" x14ac:dyDescent="0.35">
      <c r="A668" s="4">
        <v>11</v>
      </c>
      <c r="B668" s="4" t="s">
        <v>300</v>
      </c>
      <c r="C668" s="4" t="s">
        <v>301</v>
      </c>
      <c r="D668" s="4" t="s">
        <v>302</v>
      </c>
      <c r="E668" s="4" t="s">
        <v>56</v>
      </c>
      <c r="F668" s="4" t="s">
        <v>276</v>
      </c>
      <c r="G668" s="4" t="s">
        <v>199</v>
      </c>
      <c r="H668" s="4" t="s">
        <v>76</v>
      </c>
      <c r="I668" s="3"/>
      <c r="J668" s="3"/>
      <c r="K668" s="3"/>
      <c r="L668" s="3"/>
      <c r="M668" s="3"/>
      <c r="N668" s="3"/>
      <c r="O668" s="3"/>
      <c r="P668" s="8"/>
      <c r="Q668" s="8"/>
      <c r="R668" s="3"/>
      <c r="S668" s="3"/>
      <c r="T668" s="3"/>
      <c r="U668" s="5" t="str">
        <f t="shared" si="31"/>
        <v/>
      </c>
    </row>
    <row r="669" spans="1:21" ht="28" customHeight="1" x14ac:dyDescent="0.35">
      <c r="A669" s="4">
        <v>12</v>
      </c>
      <c r="B669" s="4" t="s">
        <v>303</v>
      </c>
      <c r="C669" s="4" t="s">
        <v>304</v>
      </c>
      <c r="D669" s="4" t="s">
        <v>305</v>
      </c>
      <c r="E669" s="4" t="s">
        <v>283</v>
      </c>
      <c r="F669" s="4" t="s">
        <v>276</v>
      </c>
      <c r="G669" s="4" t="s">
        <v>199</v>
      </c>
      <c r="H669" s="4" t="s">
        <v>76</v>
      </c>
      <c r="I669" s="3"/>
      <c r="J669" s="3"/>
      <c r="K669" s="3"/>
      <c r="L669" s="3"/>
      <c r="M669" s="3"/>
      <c r="N669" s="3"/>
      <c r="O669" s="3"/>
      <c r="P669" s="8"/>
      <c r="Q669" s="8"/>
      <c r="R669" s="3"/>
      <c r="S669" s="3"/>
      <c r="T669" s="3"/>
      <c r="U669" s="5" t="str">
        <f t="shared" si="31"/>
        <v/>
      </c>
    </row>
    <row r="670" spans="1:21" ht="28" customHeight="1" x14ac:dyDescent="0.35">
      <c r="A670" s="4">
        <v>13</v>
      </c>
      <c r="B670" s="4" t="s">
        <v>306</v>
      </c>
      <c r="C670" s="4" t="s">
        <v>307</v>
      </c>
      <c r="D670" s="4" t="s">
        <v>308</v>
      </c>
      <c r="E670" s="4" t="s">
        <v>69</v>
      </c>
      <c r="F670" s="4" t="s">
        <v>273</v>
      </c>
      <c r="G670" s="4" t="s">
        <v>96</v>
      </c>
      <c r="H670" s="4" t="s">
        <v>59</v>
      </c>
      <c r="I670" s="3"/>
      <c r="J670" s="3"/>
      <c r="K670" s="3"/>
      <c r="L670" s="3"/>
      <c r="M670" s="3"/>
      <c r="N670" s="3"/>
      <c r="O670" s="3"/>
      <c r="P670" s="8"/>
      <c r="Q670" s="8"/>
      <c r="R670" s="3"/>
      <c r="S670" s="3"/>
      <c r="T670" s="3"/>
      <c r="U670" s="5" t="str">
        <f t="shared" si="31"/>
        <v/>
      </c>
    </row>
    <row r="671" spans="1:21" ht="28" customHeight="1" x14ac:dyDescent="0.35">
      <c r="A671" s="4">
        <v>14</v>
      </c>
      <c r="B671" s="4" t="s">
        <v>97</v>
      </c>
      <c r="C671" s="4" t="s">
        <v>98</v>
      </c>
      <c r="D671" s="4" t="s">
        <v>99</v>
      </c>
      <c r="E671" s="4" t="s">
        <v>69</v>
      </c>
      <c r="F671" s="4" t="s">
        <v>95</v>
      </c>
      <c r="G671" s="4" t="s">
        <v>96</v>
      </c>
      <c r="H671" s="4" t="s">
        <v>59</v>
      </c>
      <c r="I671" s="3"/>
      <c r="J671" s="3"/>
      <c r="K671" s="3"/>
      <c r="L671" s="3"/>
      <c r="M671" s="3"/>
      <c r="N671" s="3"/>
      <c r="O671" s="3"/>
      <c r="P671" s="8"/>
      <c r="Q671" s="8"/>
      <c r="R671" s="3"/>
      <c r="S671" s="3"/>
      <c r="T671" s="3"/>
      <c r="U671" s="5" t="str">
        <f t="shared" si="31"/>
        <v/>
      </c>
    </row>
    <row r="672" spans="1:21" ht="28" customHeight="1" x14ac:dyDescent="0.35">
      <c r="A672" s="4">
        <v>15</v>
      </c>
      <c r="B672" s="4" t="s">
        <v>97</v>
      </c>
      <c r="C672" s="4" t="s">
        <v>100</v>
      </c>
      <c r="D672" s="4" t="s">
        <v>101</v>
      </c>
      <c r="E672" s="4" t="s">
        <v>69</v>
      </c>
      <c r="F672" s="4" t="s">
        <v>95</v>
      </c>
      <c r="G672" s="4" t="s">
        <v>102</v>
      </c>
      <c r="H672" s="4" t="s">
        <v>59</v>
      </c>
      <c r="I672" s="3"/>
      <c r="J672" s="3"/>
      <c r="K672" s="3"/>
      <c r="L672" s="3"/>
      <c r="M672" s="3"/>
      <c r="N672" s="3"/>
      <c r="O672" s="3"/>
      <c r="P672" s="8"/>
      <c r="Q672" s="8"/>
      <c r="R672" s="3"/>
      <c r="S672" s="3"/>
      <c r="T672" s="3"/>
      <c r="U672" s="5" t="str">
        <f t="shared" si="31"/>
        <v/>
      </c>
    </row>
    <row r="673" spans="1:21" ht="28" customHeight="1" x14ac:dyDescent="0.35">
      <c r="A673" s="4">
        <v>16</v>
      </c>
      <c r="B673" s="4" t="s">
        <v>103</v>
      </c>
      <c r="C673" s="4" t="s">
        <v>104</v>
      </c>
      <c r="D673" s="4" t="s">
        <v>105</v>
      </c>
      <c r="E673" s="4" t="s">
        <v>69</v>
      </c>
      <c r="F673" s="4" t="s">
        <v>95</v>
      </c>
      <c r="G673" s="4" t="s">
        <v>96</v>
      </c>
      <c r="H673" s="4" t="s">
        <v>85</v>
      </c>
      <c r="I673" s="3"/>
      <c r="J673" s="3"/>
      <c r="K673" s="3"/>
      <c r="L673" s="3"/>
      <c r="M673" s="3"/>
      <c r="N673" s="3"/>
      <c r="O673" s="3"/>
      <c r="P673" s="8"/>
      <c r="Q673" s="8"/>
      <c r="R673" s="3"/>
      <c r="S673" s="3"/>
      <c r="T673" s="3"/>
      <c r="U673" s="5" t="str">
        <f t="shared" si="31"/>
        <v/>
      </c>
    </row>
    <row r="674" spans="1:21" ht="28" customHeight="1" x14ac:dyDescent="0.35">
      <c r="A674" s="4">
        <v>17</v>
      </c>
      <c r="B674" s="4" t="s">
        <v>106</v>
      </c>
      <c r="C674" s="4" t="s">
        <v>107</v>
      </c>
      <c r="D674" s="4" t="s">
        <v>108</v>
      </c>
      <c r="E674" s="4" t="s">
        <v>109</v>
      </c>
      <c r="F674" s="4" t="s">
        <v>95</v>
      </c>
      <c r="G674" s="4" t="s">
        <v>96</v>
      </c>
      <c r="H674" s="4" t="s">
        <v>59</v>
      </c>
      <c r="I674" s="3"/>
      <c r="J674" s="3"/>
      <c r="K674" s="3"/>
      <c r="L674" s="3"/>
      <c r="M674" s="3"/>
      <c r="N674" s="3"/>
      <c r="O674" s="3"/>
      <c r="P674" s="8"/>
      <c r="Q674" s="8"/>
      <c r="R674" s="3"/>
      <c r="S674" s="3"/>
      <c r="T674" s="3"/>
      <c r="U674" s="5" t="str">
        <f t="shared" si="31"/>
        <v/>
      </c>
    </row>
    <row r="676" spans="1:21" ht="28" customHeight="1" x14ac:dyDescent="0.35">
      <c r="A676" s="9" t="s">
        <v>110</v>
      </c>
      <c r="B676" s="16"/>
      <c r="C676" s="17"/>
      <c r="D676" s="17"/>
      <c r="E676" s="17"/>
      <c r="F676" s="17"/>
      <c r="G676" s="17"/>
      <c r="H676" s="17"/>
      <c r="I676" s="17"/>
      <c r="J676" s="17"/>
      <c r="K676" s="17"/>
      <c r="L676" s="17"/>
      <c r="M676" s="17"/>
      <c r="N676" s="17"/>
      <c r="O676" s="17"/>
      <c r="P676" s="17"/>
      <c r="Q676" s="17"/>
      <c r="R676" s="17"/>
      <c r="S676" s="17"/>
      <c r="T676" s="17"/>
      <c r="U676" s="18"/>
    </row>
    <row r="677" spans="1:21" ht="28" customHeight="1" x14ac:dyDescent="0.35">
      <c r="A677" s="19" t="s">
        <v>336</v>
      </c>
      <c r="B677" s="20"/>
      <c r="C677" s="20"/>
      <c r="D677" s="20"/>
      <c r="E677" s="20"/>
      <c r="F677" s="20"/>
      <c r="G677" s="20"/>
      <c r="H677" s="20"/>
      <c r="I677" s="20"/>
      <c r="J677" s="20"/>
      <c r="K677" s="20"/>
      <c r="L677" s="20"/>
      <c r="M677" s="20"/>
      <c r="N677" s="20"/>
      <c r="O677" s="20"/>
      <c r="P677" s="20"/>
      <c r="Q677" s="20"/>
      <c r="R677" s="20"/>
      <c r="S677" s="20"/>
      <c r="T677" s="20"/>
      <c r="U677" s="21"/>
    </row>
    <row r="678" spans="1:21" ht="28" customHeight="1" x14ac:dyDescent="0.35">
      <c r="A678" s="4" t="s">
        <v>31</v>
      </c>
      <c r="B678" s="3" t="s">
        <v>245</v>
      </c>
      <c r="C678" s="4" t="s">
        <v>32</v>
      </c>
      <c r="D678" s="3"/>
      <c r="E678" s="4" t="s">
        <v>33</v>
      </c>
      <c r="F678" s="8"/>
    </row>
    <row r="679" spans="1:21" ht="28" customHeight="1" x14ac:dyDescent="0.35">
      <c r="A679" s="1" t="s">
        <v>34</v>
      </c>
      <c r="B679" s="1" t="s">
        <v>35</v>
      </c>
      <c r="C679" s="1" t="s">
        <v>36</v>
      </c>
      <c r="D679" s="1" t="s">
        <v>37</v>
      </c>
      <c r="E679" s="1" t="s">
        <v>38</v>
      </c>
      <c r="F679" s="1" t="s">
        <v>39</v>
      </c>
      <c r="G679" s="1" t="s">
        <v>40</v>
      </c>
      <c r="H679" s="1" t="s">
        <v>41</v>
      </c>
      <c r="I679" s="1" t="s">
        <v>42</v>
      </c>
      <c r="J679" s="1" t="s">
        <v>43</v>
      </c>
      <c r="K679" s="1" t="s">
        <v>44</v>
      </c>
      <c r="L679" s="1" t="s">
        <v>45</v>
      </c>
      <c r="M679" s="1" t="s">
        <v>46</v>
      </c>
      <c r="N679" s="1" t="s">
        <v>47</v>
      </c>
      <c r="O679" s="1" t="s">
        <v>48</v>
      </c>
      <c r="P679" s="1" t="s">
        <v>4</v>
      </c>
      <c r="Q679" s="1" t="s">
        <v>49</v>
      </c>
      <c r="R679" s="1" t="s">
        <v>50</v>
      </c>
      <c r="S679" s="1" t="s">
        <v>51</v>
      </c>
      <c r="T679" s="1" t="s">
        <v>52</v>
      </c>
      <c r="U679" s="1" t="s">
        <v>10</v>
      </c>
    </row>
    <row r="680" spans="1:21" ht="28" customHeight="1" x14ac:dyDescent="0.35">
      <c r="A680" s="4">
        <v>1</v>
      </c>
      <c r="B680" s="4" t="s">
        <v>270</v>
      </c>
      <c r="C680" s="4" t="s">
        <v>271</v>
      </c>
      <c r="D680" s="4" t="s">
        <v>272</v>
      </c>
      <c r="E680" s="4" t="s">
        <v>109</v>
      </c>
      <c r="F680" s="4" t="s">
        <v>273</v>
      </c>
      <c r="G680" s="4" t="s">
        <v>199</v>
      </c>
      <c r="H680" s="4" t="s">
        <v>59</v>
      </c>
      <c r="I680" s="3"/>
      <c r="J680" s="3"/>
      <c r="K680" s="3"/>
      <c r="L680" s="3"/>
      <c r="M680" s="3"/>
      <c r="N680" s="3"/>
      <c r="O680" s="3"/>
      <c r="P680" s="8"/>
      <c r="Q680" s="8"/>
      <c r="R680" s="3"/>
      <c r="S680" s="3"/>
      <c r="T680" s="3"/>
      <c r="U680" s="5" t="str">
        <f t="shared" ref="U680:U696" si="32">IF(I680="","",IF(I680="NA","Grey",IF(I680=2,"Green",IF(I680=1,"Amber","Red"))))</f>
        <v/>
      </c>
    </row>
    <row r="681" spans="1:21" ht="28" customHeight="1" x14ac:dyDescent="0.35">
      <c r="A681" s="4">
        <v>2</v>
      </c>
      <c r="B681" s="4" t="s">
        <v>270</v>
      </c>
      <c r="C681" s="4" t="s">
        <v>274</v>
      </c>
      <c r="D681" s="4" t="s">
        <v>275</v>
      </c>
      <c r="E681" s="4" t="s">
        <v>69</v>
      </c>
      <c r="F681" s="4" t="s">
        <v>276</v>
      </c>
      <c r="G681" s="4" t="s">
        <v>199</v>
      </c>
      <c r="H681" s="4" t="s">
        <v>76</v>
      </c>
      <c r="I681" s="3"/>
      <c r="J681" s="3"/>
      <c r="K681" s="3"/>
      <c r="L681" s="3"/>
      <c r="M681" s="3"/>
      <c r="N681" s="3"/>
      <c r="O681" s="3"/>
      <c r="P681" s="8"/>
      <c r="Q681" s="8"/>
      <c r="R681" s="3"/>
      <c r="S681" s="3"/>
      <c r="T681" s="3"/>
      <c r="U681" s="5" t="str">
        <f t="shared" si="32"/>
        <v/>
      </c>
    </row>
    <row r="682" spans="1:21" ht="28" customHeight="1" x14ac:dyDescent="0.35">
      <c r="A682" s="4">
        <v>3</v>
      </c>
      <c r="B682" s="4" t="s">
        <v>270</v>
      </c>
      <c r="C682" s="4" t="s">
        <v>277</v>
      </c>
      <c r="D682" s="4" t="s">
        <v>278</v>
      </c>
      <c r="E682" s="4" t="s">
        <v>279</v>
      </c>
      <c r="F682" s="4" t="s">
        <v>280</v>
      </c>
      <c r="G682" s="4" t="s">
        <v>209</v>
      </c>
      <c r="H682" s="4" t="s">
        <v>76</v>
      </c>
      <c r="I682" s="3"/>
      <c r="J682" s="3"/>
      <c r="K682" s="3"/>
      <c r="L682" s="3"/>
      <c r="M682" s="3"/>
      <c r="N682" s="3"/>
      <c r="O682" s="3"/>
      <c r="P682" s="8"/>
      <c r="Q682" s="8"/>
      <c r="R682" s="3"/>
      <c r="S682" s="3"/>
      <c r="T682" s="3"/>
      <c r="U682" s="5" t="str">
        <f t="shared" si="32"/>
        <v/>
      </c>
    </row>
    <row r="683" spans="1:21" ht="28" customHeight="1" x14ac:dyDescent="0.35">
      <c r="A683" s="4">
        <v>4</v>
      </c>
      <c r="B683" s="4" t="s">
        <v>270</v>
      </c>
      <c r="C683" s="4" t="s">
        <v>281</v>
      </c>
      <c r="D683" s="4" t="s">
        <v>282</v>
      </c>
      <c r="E683" s="4" t="s">
        <v>283</v>
      </c>
      <c r="F683" s="4" t="s">
        <v>284</v>
      </c>
      <c r="G683" s="4" t="s">
        <v>204</v>
      </c>
      <c r="H683" s="4" t="s">
        <v>76</v>
      </c>
      <c r="I683" s="3"/>
      <c r="J683" s="3"/>
      <c r="K683" s="3"/>
      <c r="L683" s="3"/>
      <c r="M683" s="3"/>
      <c r="N683" s="3"/>
      <c r="O683" s="3"/>
      <c r="P683" s="8"/>
      <c r="Q683" s="8"/>
      <c r="R683" s="3"/>
      <c r="S683" s="3"/>
      <c r="T683" s="3"/>
      <c r="U683" s="5" t="str">
        <f t="shared" si="32"/>
        <v/>
      </c>
    </row>
    <row r="684" spans="1:21" ht="28" customHeight="1" x14ac:dyDescent="0.35">
      <c r="A684" s="4">
        <v>5</v>
      </c>
      <c r="B684" s="4" t="s">
        <v>285</v>
      </c>
      <c r="C684" s="4" t="s">
        <v>286</v>
      </c>
      <c r="D684" s="4" t="s">
        <v>287</v>
      </c>
      <c r="E684" s="4" t="s">
        <v>69</v>
      </c>
      <c r="F684" s="4" t="s">
        <v>276</v>
      </c>
      <c r="G684" s="4" t="s">
        <v>199</v>
      </c>
      <c r="H684" s="4" t="s">
        <v>76</v>
      </c>
      <c r="I684" s="3"/>
      <c r="J684" s="3"/>
      <c r="K684" s="3"/>
      <c r="L684" s="3"/>
      <c r="M684" s="3"/>
      <c r="N684" s="3"/>
      <c r="O684" s="3"/>
      <c r="P684" s="8"/>
      <c r="Q684" s="8"/>
      <c r="R684" s="3"/>
      <c r="S684" s="3"/>
      <c r="T684" s="3"/>
      <c r="U684" s="5" t="str">
        <f t="shared" si="32"/>
        <v/>
      </c>
    </row>
    <row r="685" spans="1:21" ht="28" customHeight="1" x14ac:dyDescent="0.35">
      <c r="A685" s="4">
        <v>6</v>
      </c>
      <c r="B685" s="4" t="s">
        <v>285</v>
      </c>
      <c r="C685" s="4" t="s">
        <v>288</v>
      </c>
      <c r="D685" s="4" t="s">
        <v>289</v>
      </c>
      <c r="E685" s="4" t="s">
        <v>70</v>
      </c>
      <c r="F685" s="4" t="s">
        <v>276</v>
      </c>
      <c r="G685" s="4" t="s">
        <v>199</v>
      </c>
      <c r="H685" s="4" t="s">
        <v>59</v>
      </c>
      <c r="I685" s="3"/>
      <c r="J685" s="3"/>
      <c r="K685" s="3"/>
      <c r="L685" s="3"/>
      <c r="M685" s="3"/>
      <c r="N685" s="3"/>
      <c r="O685" s="3"/>
      <c r="P685" s="8"/>
      <c r="Q685" s="8"/>
      <c r="R685" s="3"/>
      <c r="S685" s="3"/>
      <c r="T685" s="3"/>
      <c r="U685" s="5" t="str">
        <f t="shared" si="32"/>
        <v/>
      </c>
    </row>
    <row r="686" spans="1:21" ht="28" customHeight="1" x14ac:dyDescent="0.35">
      <c r="A686" s="4">
        <v>7</v>
      </c>
      <c r="B686" s="4" t="s">
        <v>290</v>
      </c>
      <c r="C686" s="4" t="s">
        <v>291</v>
      </c>
      <c r="D686" s="4" t="s">
        <v>292</v>
      </c>
      <c r="E686" s="4" t="s">
        <v>109</v>
      </c>
      <c r="F686" s="4" t="s">
        <v>284</v>
      </c>
      <c r="G686" s="4" t="s">
        <v>204</v>
      </c>
      <c r="H686" s="4" t="s">
        <v>59</v>
      </c>
      <c r="I686" s="3"/>
      <c r="J686" s="3"/>
      <c r="K686" s="3"/>
      <c r="L686" s="3"/>
      <c r="M686" s="3"/>
      <c r="N686" s="3"/>
      <c r="O686" s="3"/>
      <c r="P686" s="8"/>
      <c r="Q686" s="8"/>
      <c r="R686" s="3"/>
      <c r="S686" s="3"/>
      <c r="T686" s="3"/>
      <c r="U686" s="5" t="str">
        <f t="shared" si="32"/>
        <v/>
      </c>
    </row>
    <row r="687" spans="1:21" ht="28" customHeight="1" x14ac:dyDescent="0.35">
      <c r="A687" s="4">
        <v>8</v>
      </c>
      <c r="B687" s="4" t="s">
        <v>290</v>
      </c>
      <c r="C687" s="4" t="s">
        <v>293</v>
      </c>
      <c r="D687" s="4" t="s">
        <v>294</v>
      </c>
      <c r="E687" s="4" t="s">
        <v>70</v>
      </c>
      <c r="F687" s="4" t="s">
        <v>295</v>
      </c>
      <c r="G687" s="4" t="s">
        <v>199</v>
      </c>
      <c r="H687" s="4" t="s">
        <v>76</v>
      </c>
      <c r="I687" s="3"/>
      <c r="J687" s="3"/>
      <c r="K687" s="3"/>
      <c r="L687" s="3"/>
      <c r="M687" s="3"/>
      <c r="N687" s="3"/>
      <c r="O687" s="3"/>
      <c r="P687" s="8"/>
      <c r="Q687" s="8"/>
      <c r="R687" s="3"/>
      <c r="S687" s="3"/>
      <c r="T687" s="3"/>
      <c r="U687" s="5" t="str">
        <f t="shared" si="32"/>
        <v/>
      </c>
    </row>
    <row r="688" spans="1:21" ht="28" customHeight="1" x14ac:dyDescent="0.35">
      <c r="A688" s="4">
        <v>9</v>
      </c>
      <c r="B688" s="4" t="s">
        <v>296</v>
      </c>
      <c r="C688" s="4" t="s">
        <v>297</v>
      </c>
      <c r="D688" s="4" t="s">
        <v>70</v>
      </c>
      <c r="E688" s="4" t="s">
        <v>70</v>
      </c>
      <c r="F688" s="4" t="s">
        <v>295</v>
      </c>
      <c r="G688" s="4" t="s">
        <v>199</v>
      </c>
      <c r="H688" s="4" t="s">
        <v>76</v>
      </c>
      <c r="I688" s="3"/>
      <c r="J688" s="3"/>
      <c r="K688" s="3"/>
      <c r="L688" s="3"/>
      <c r="M688" s="3"/>
      <c r="N688" s="3"/>
      <c r="O688" s="3"/>
      <c r="P688" s="8"/>
      <c r="Q688" s="8"/>
      <c r="R688" s="3"/>
      <c r="S688" s="3"/>
      <c r="T688" s="3"/>
      <c r="U688" s="5" t="str">
        <f t="shared" si="32"/>
        <v/>
      </c>
    </row>
    <row r="689" spans="1:21" ht="28" customHeight="1" x14ac:dyDescent="0.35">
      <c r="A689" s="4">
        <v>10</v>
      </c>
      <c r="B689" s="4" t="s">
        <v>296</v>
      </c>
      <c r="C689" s="4" t="s">
        <v>298</v>
      </c>
      <c r="D689" s="4" t="s">
        <v>299</v>
      </c>
      <c r="E689" s="4" t="s">
        <v>283</v>
      </c>
      <c r="F689" s="4" t="s">
        <v>284</v>
      </c>
      <c r="G689" s="4" t="s">
        <v>204</v>
      </c>
      <c r="H689" s="4" t="s">
        <v>59</v>
      </c>
      <c r="I689" s="3"/>
      <c r="J689" s="3"/>
      <c r="K689" s="3"/>
      <c r="L689" s="3"/>
      <c r="M689" s="3"/>
      <c r="N689" s="3"/>
      <c r="O689" s="3"/>
      <c r="P689" s="8"/>
      <c r="Q689" s="8"/>
      <c r="R689" s="3"/>
      <c r="S689" s="3"/>
      <c r="T689" s="3"/>
      <c r="U689" s="5" t="str">
        <f t="shared" si="32"/>
        <v/>
      </c>
    </row>
    <row r="690" spans="1:21" ht="28" customHeight="1" x14ac:dyDescent="0.35">
      <c r="A690" s="4">
        <v>11</v>
      </c>
      <c r="B690" s="4" t="s">
        <v>300</v>
      </c>
      <c r="C690" s="4" t="s">
        <v>301</v>
      </c>
      <c r="D690" s="4" t="s">
        <v>302</v>
      </c>
      <c r="E690" s="4" t="s">
        <v>56</v>
      </c>
      <c r="F690" s="4" t="s">
        <v>276</v>
      </c>
      <c r="G690" s="4" t="s">
        <v>199</v>
      </c>
      <c r="H690" s="4" t="s">
        <v>76</v>
      </c>
      <c r="I690" s="3"/>
      <c r="J690" s="3"/>
      <c r="K690" s="3"/>
      <c r="L690" s="3"/>
      <c r="M690" s="3"/>
      <c r="N690" s="3"/>
      <c r="O690" s="3"/>
      <c r="P690" s="8"/>
      <c r="Q690" s="8"/>
      <c r="R690" s="3"/>
      <c r="S690" s="3"/>
      <c r="T690" s="3"/>
      <c r="U690" s="5" t="str">
        <f t="shared" si="32"/>
        <v/>
      </c>
    </row>
    <row r="691" spans="1:21" ht="28" customHeight="1" x14ac:dyDescent="0.35">
      <c r="A691" s="4">
        <v>12</v>
      </c>
      <c r="B691" s="4" t="s">
        <v>303</v>
      </c>
      <c r="C691" s="4" t="s">
        <v>304</v>
      </c>
      <c r="D691" s="4" t="s">
        <v>305</v>
      </c>
      <c r="E691" s="4" t="s">
        <v>283</v>
      </c>
      <c r="F691" s="4" t="s">
        <v>276</v>
      </c>
      <c r="G691" s="4" t="s">
        <v>199</v>
      </c>
      <c r="H691" s="4" t="s">
        <v>76</v>
      </c>
      <c r="I691" s="3"/>
      <c r="J691" s="3"/>
      <c r="K691" s="3"/>
      <c r="L691" s="3"/>
      <c r="M691" s="3"/>
      <c r="N691" s="3"/>
      <c r="O691" s="3"/>
      <c r="P691" s="8"/>
      <c r="Q691" s="8"/>
      <c r="R691" s="3"/>
      <c r="S691" s="3"/>
      <c r="T691" s="3"/>
      <c r="U691" s="5" t="str">
        <f t="shared" si="32"/>
        <v/>
      </c>
    </row>
    <row r="692" spans="1:21" ht="28" customHeight="1" x14ac:dyDescent="0.35">
      <c r="A692" s="4">
        <v>13</v>
      </c>
      <c r="B692" s="4" t="s">
        <v>306</v>
      </c>
      <c r="C692" s="4" t="s">
        <v>307</v>
      </c>
      <c r="D692" s="4" t="s">
        <v>308</v>
      </c>
      <c r="E692" s="4" t="s">
        <v>69</v>
      </c>
      <c r="F692" s="4" t="s">
        <v>273</v>
      </c>
      <c r="G692" s="4" t="s">
        <v>96</v>
      </c>
      <c r="H692" s="4" t="s">
        <v>59</v>
      </c>
      <c r="I692" s="3"/>
      <c r="J692" s="3"/>
      <c r="K692" s="3"/>
      <c r="L692" s="3"/>
      <c r="M692" s="3"/>
      <c r="N692" s="3"/>
      <c r="O692" s="3"/>
      <c r="P692" s="8"/>
      <c r="Q692" s="8"/>
      <c r="R692" s="3"/>
      <c r="S692" s="3"/>
      <c r="T692" s="3"/>
      <c r="U692" s="5" t="str">
        <f t="shared" si="32"/>
        <v/>
      </c>
    </row>
    <row r="693" spans="1:21" ht="28" customHeight="1" x14ac:dyDescent="0.35">
      <c r="A693" s="4">
        <v>14</v>
      </c>
      <c r="B693" s="4" t="s">
        <v>97</v>
      </c>
      <c r="C693" s="4" t="s">
        <v>98</v>
      </c>
      <c r="D693" s="4" t="s">
        <v>99</v>
      </c>
      <c r="E693" s="4" t="s">
        <v>69</v>
      </c>
      <c r="F693" s="4" t="s">
        <v>95</v>
      </c>
      <c r="G693" s="4" t="s">
        <v>96</v>
      </c>
      <c r="H693" s="4" t="s">
        <v>59</v>
      </c>
      <c r="I693" s="3"/>
      <c r="J693" s="3"/>
      <c r="K693" s="3"/>
      <c r="L693" s="3"/>
      <c r="M693" s="3"/>
      <c r="N693" s="3"/>
      <c r="O693" s="3"/>
      <c r="P693" s="8"/>
      <c r="Q693" s="8"/>
      <c r="R693" s="3"/>
      <c r="S693" s="3"/>
      <c r="T693" s="3"/>
      <c r="U693" s="5" t="str">
        <f t="shared" si="32"/>
        <v/>
      </c>
    </row>
    <row r="694" spans="1:21" ht="28" customHeight="1" x14ac:dyDescent="0.35">
      <c r="A694" s="4">
        <v>15</v>
      </c>
      <c r="B694" s="4" t="s">
        <v>97</v>
      </c>
      <c r="C694" s="4" t="s">
        <v>100</v>
      </c>
      <c r="D694" s="4" t="s">
        <v>101</v>
      </c>
      <c r="E694" s="4" t="s">
        <v>69</v>
      </c>
      <c r="F694" s="4" t="s">
        <v>95</v>
      </c>
      <c r="G694" s="4" t="s">
        <v>102</v>
      </c>
      <c r="H694" s="4" t="s">
        <v>59</v>
      </c>
      <c r="I694" s="3"/>
      <c r="J694" s="3"/>
      <c r="K694" s="3"/>
      <c r="L694" s="3"/>
      <c r="M694" s="3"/>
      <c r="N694" s="3"/>
      <c r="O694" s="3"/>
      <c r="P694" s="8"/>
      <c r="Q694" s="8"/>
      <c r="R694" s="3"/>
      <c r="S694" s="3"/>
      <c r="T694" s="3"/>
      <c r="U694" s="5" t="str">
        <f t="shared" si="32"/>
        <v/>
      </c>
    </row>
    <row r="695" spans="1:21" ht="28" customHeight="1" x14ac:dyDescent="0.35">
      <c r="A695" s="4">
        <v>16</v>
      </c>
      <c r="B695" s="4" t="s">
        <v>103</v>
      </c>
      <c r="C695" s="4" t="s">
        <v>104</v>
      </c>
      <c r="D695" s="4" t="s">
        <v>105</v>
      </c>
      <c r="E695" s="4" t="s">
        <v>69</v>
      </c>
      <c r="F695" s="4" t="s">
        <v>95</v>
      </c>
      <c r="G695" s="4" t="s">
        <v>96</v>
      </c>
      <c r="H695" s="4" t="s">
        <v>85</v>
      </c>
      <c r="I695" s="3"/>
      <c r="J695" s="3"/>
      <c r="K695" s="3"/>
      <c r="L695" s="3"/>
      <c r="M695" s="3"/>
      <c r="N695" s="3"/>
      <c r="O695" s="3"/>
      <c r="P695" s="8"/>
      <c r="Q695" s="8"/>
      <c r="R695" s="3"/>
      <c r="S695" s="3"/>
      <c r="T695" s="3"/>
      <c r="U695" s="5" t="str">
        <f t="shared" si="32"/>
        <v/>
      </c>
    </row>
    <row r="696" spans="1:21" ht="28" customHeight="1" x14ac:dyDescent="0.35">
      <c r="A696" s="4">
        <v>17</v>
      </c>
      <c r="B696" s="4" t="s">
        <v>106</v>
      </c>
      <c r="C696" s="4" t="s">
        <v>107</v>
      </c>
      <c r="D696" s="4" t="s">
        <v>108</v>
      </c>
      <c r="E696" s="4" t="s">
        <v>109</v>
      </c>
      <c r="F696" s="4" t="s">
        <v>95</v>
      </c>
      <c r="G696" s="4" t="s">
        <v>96</v>
      </c>
      <c r="H696" s="4" t="s">
        <v>59</v>
      </c>
      <c r="I696" s="3"/>
      <c r="J696" s="3"/>
      <c r="K696" s="3"/>
      <c r="L696" s="3"/>
      <c r="M696" s="3"/>
      <c r="N696" s="3"/>
      <c r="O696" s="3"/>
      <c r="P696" s="8"/>
      <c r="Q696" s="8"/>
      <c r="R696" s="3"/>
      <c r="S696" s="3"/>
      <c r="T696" s="3"/>
      <c r="U696" s="5" t="str">
        <f t="shared" si="32"/>
        <v/>
      </c>
    </row>
    <row r="698" spans="1:21" ht="28" customHeight="1" x14ac:dyDescent="0.35">
      <c r="A698" s="9" t="s">
        <v>110</v>
      </c>
      <c r="B698" s="16"/>
      <c r="C698" s="17"/>
      <c r="D698" s="17"/>
      <c r="E698" s="17"/>
      <c r="F698" s="17"/>
      <c r="G698" s="17"/>
      <c r="H698" s="17"/>
      <c r="I698" s="17"/>
      <c r="J698" s="17"/>
      <c r="K698" s="17"/>
      <c r="L698" s="17"/>
      <c r="M698" s="17"/>
      <c r="N698" s="17"/>
      <c r="O698" s="17"/>
      <c r="P698" s="17"/>
      <c r="Q698" s="17"/>
      <c r="R698" s="17"/>
      <c r="S698" s="17"/>
      <c r="T698" s="17"/>
      <c r="U698" s="18"/>
    </row>
    <row r="699" spans="1:21" ht="28" customHeight="1" x14ac:dyDescent="0.35">
      <c r="A699" s="19" t="s">
        <v>337</v>
      </c>
      <c r="B699" s="20"/>
      <c r="C699" s="20"/>
      <c r="D699" s="20"/>
      <c r="E699" s="20"/>
      <c r="F699" s="20"/>
      <c r="G699" s="20"/>
      <c r="H699" s="20"/>
      <c r="I699" s="20"/>
      <c r="J699" s="20"/>
      <c r="K699" s="20"/>
      <c r="L699" s="20"/>
      <c r="M699" s="20"/>
      <c r="N699" s="20"/>
      <c r="O699" s="20"/>
      <c r="P699" s="20"/>
      <c r="Q699" s="20"/>
      <c r="R699" s="20"/>
      <c r="S699" s="20"/>
      <c r="T699" s="20"/>
      <c r="U699" s="21"/>
    </row>
    <row r="700" spans="1:21" ht="28" customHeight="1" x14ac:dyDescent="0.35">
      <c r="A700" s="4" t="s">
        <v>31</v>
      </c>
      <c r="B700" s="3" t="s">
        <v>246</v>
      </c>
      <c r="C700" s="4" t="s">
        <v>32</v>
      </c>
      <c r="D700" s="3"/>
      <c r="E700" s="4" t="s">
        <v>33</v>
      </c>
      <c r="F700" s="8"/>
    </row>
    <row r="701" spans="1:21" ht="28" customHeight="1" x14ac:dyDescent="0.35">
      <c r="A701" s="1" t="s">
        <v>34</v>
      </c>
      <c r="B701" s="1" t="s">
        <v>35</v>
      </c>
      <c r="C701" s="1" t="s">
        <v>36</v>
      </c>
      <c r="D701" s="1" t="s">
        <v>37</v>
      </c>
      <c r="E701" s="1" t="s">
        <v>38</v>
      </c>
      <c r="F701" s="1" t="s">
        <v>39</v>
      </c>
      <c r="G701" s="1" t="s">
        <v>40</v>
      </c>
      <c r="H701" s="1" t="s">
        <v>41</v>
      </c>
      <c r="I701" s="1" t="s">
        <v>42</v>
      </c>
      <c r="J701" s="1" t="s">
        <v>43</v>
      </c>
      <c r="K701" s="1" t="s">
        <v>44</v>
      </c>
      <c r="L701" s="1" t="s">
        <v>45</v>
      </c>
      <c r="M701" s="1" t="s">
        <v>46</v>
      </c>
      <c r="N701" s="1" t="s">
        <v>47</v>
      </c>
      <c r="O701" s="1" t="s">
        <v>48</v>
      </c>
      <c r="P701" s="1" t="s">
        <v>4</v>
      </c>
      <c r="Q701" s="1" t="s">
        <v>49</v>
      </c>
      <c r="R701" s="1" t="s">
        <v>50</v>
      </c>
      <c r="S701" s="1" t="s">
        <v>51</v>
      </c>
      <c r="T701" s="1" t="s">
        <v>52</v>
      </c>
      <c r="U701" s="1" t="s">
        <v>10</v>
      </c>
    </row>
    <row r="702" spans="1:21" ht="28" customHeight="1" x14ac:dyDescent="0.35">
      <c r="A702" s="4">
        <v>1</v>
      </c>
      <c r="B702" s="4" t="s">
        <v>270</v>
      </c>
      <c r="C702" s="4" t="s">
        <v>271</v>
      </c>
      <c r="D702" s="4" t="s">
        <v>272</v>
      </c>
      <c r="E702" s="4" t="s">
        <v>109</v>
      </c>
      <c r="F702" s="4" t="s">
        <v>273</v>
      </c>
      <c r="G702" s="4" t="s">
        <v>199</v>
      </c>
      <c r="H702" s="4" t="s">
        <v>59</v>
      </c>
      <c r="I702" s="3"/>
      <c r="J702" s="3"/>
      <c r="K702" s="3"/>
      <c r="L702" s="3"/>
      <c r="M702" s="3"/>
      <c r="N702" s="3"/>
      <c r="O702" s="3"/>
      <c r="P702" s="8"/>
      <c r="Q702" s="8"/>
      <c r="R702" s="3"/>
      <c r="S702" s="3"/>
      <c r="T702" s="3"/>
      <c r="U702" s="5" t="str">
        <f t="shared" ref="U702:U718" si="33">IF(I702="","",IF(I702="NA","Grey",IF(I702=2,"Green",IF(I702=1,"Amber","Red"))))</f>
        <v/>
      </c>
    </row>
    <row r="703" spans="1:21" ht="28" customHeight="1" x14ac:dyDescent="0.35">
      <c r="A703" s="4">
        <v>2</v>
      </c>
      <c r="B703" s="4" t="s">
        <v>270</v>
      </c>
      <c r="C703" s="4" t="s">
        <v>274</v>
      </c>
      <c r="D703" s="4" t="s">
        <v>275</v>
      </c>
      <c r="E703" s="4" t="s">
        <v>69</v>
      </c>
      <c r="F703" s="4" t="s">
        <v>276</v>
      </c>
      <c r="G703" s="4" t="s">
        <v>199</v>
      </c>
      <c r="H703" s="4" t="s">
        <v>76</v>
      </c>
      <c r="I703" s="3"/>
      <c r="J703" s="3"/>
      <c r="K703" s="3"/>
      <c r="L703" s="3"/>
      <c r="M703" s="3"/>
      <c r="N703" s="3"/>
      <c r="O703" s="3"/>
      <c r="P703" s="8"/>
      <c r="Q703" s="8"/>
      <c r="R703" s="3"/>
      <c r="S703" s="3"/>
      <c r="T703" s="3"/>
      <c r="U703" s="5" t="str">
        <f t="shared" si="33"/>
        <v/>
      </c>
    </row>
    <row r="704" spans="1:21" ht="28" customHeight="1" x14ac:dyDescent="0.35">
      <c r="A704" s="4">
        <v>3</v>
      </c>
      <c r="B704" s="4" t="s">
        <v>270</v>
      </c>
      <c r="C704" s="4" t="s">
        <v>277</v>
      </c>
      <c r="D704" s="4" t="s">
        <v>278</v>
      </c>
      <c r="E704" s="4" t="s">
        <v>279</v>
      </c>
      <c r="F704" s="4" t="s">
        <v>280</v>
      </c>
      <c r="G704" s="4" t="s">
        <v>209</v>
      </c>
      <c r="H704" s="4" t="s">
        <v>76</v>
      </c>
      <c r="I704" s="3"/>
      <c r="J704" s="3"/>
      <c r="K704" s="3"/>
      <c r="L704" s="3"/>
      <c r="M704" s="3"/>
      <c r="N704" s="3"/>
      <c r="O704" s="3"/>
      <c r="P704" s="8"/>
      <c r="Q704" s="8"/>
      <c r="R704" s="3"/>
      <c r="S704" s="3"/>
      <c r="T704" s="3"/>
      <c r="U704" s="5" t="str">
        <f t="shared" si="33"/>
        <v/>
      </c>
    </row>
    <row r="705" spans="1:21" ht="28" customHeight="1" x14ac:dyDescent="0.35">
      <c r="A705" s="4">
        <v>4</v>
      </c>
      <c r="B705" s="4" t="s">
        <v>270</v>
      </c>
      <c r="C705" s="4" t="s">
        <v>281</v>
      </c>
      <c r="D705" s="4" t="s">
        <v>282</v>
      </c>
      <c r="E705" s="4" t="s">
        <v>283</v>
      </c>
      <c r="F705" s="4" t="s">
        <v>284</v>
      </c>
      <c r="G705" s="4" t="s">
        <v>204</v>
      </c>
      <c r="H705" s="4" t="s">
        <v>76</v>
      </c>
      <c r="I705" s="3"/>
      <c r="J705" s="3"/>
      <c r="K705" s="3"/>
      <c r="L705" s="3"/>
      <c r="M705" s="3"/>
      <c r="N705" s="3"/>
      <c r="O705" s="3"/>
      <c r="P705" s="8"/>
      <c r="Q705" s="8"/>
      <c r="R705" s="3"/>
      <c r="S705" s="3"/>
      <c r="T705" s="3"/>
      <c r="U705" s="5" t="str">
        <f t="shared" si="33"/>
        <v/>
      </c>
    </row>
    <row r="706" spans="1:21" ht="28" customHeight="1" x14ac:dyDescent="0.35">
      <c r="A706" s="4">
        <v>5</v>
      </c>
      <c r="B706" s="4" t="s">
        <v>285</v>
      </c>
      <c r="C706" s="4" t="s">
        <v>286</v>
      </c>
      <c r="D706" s="4" t="s">
        <v>287</v>
      </c>
      <c r="E706" s="4" t="s">
        <v>69</v>
      </c>
      <c r="F706" s="4" t="s">
        <v>276</v>
      </c>
      <c r="G706" s="4" t="s">
        <v>199</v>
      </c>
      <c r="H706" s="4" t="s">
        <v>76</v>
      </c>
      <c r="I706" s="3"/>
      <c r="J706" s="3"/>
      <c r="K706" s="3"/>
      <c r="L706" s="3"/>
      <c r="M706" s="3"/>
      <c r="N706" s="3"/>
      <c r="O706" s="3"/>
      <c r="P706" s="8"/>
      <c r="Q706" s="8"/>
      <c r="R706" s="3"/>
      <c r="S706" s="3"/>
      <c r="T706" s="3"/>
      <c r="U706" s="5" t="str">
        <f t="shared" si="33"/>
        <v/>
      </c>
    </row>
    <row r="707" spans="1:21" ht="28" customHeight="1" x14ac:dyDescent="0.35">
      <c r="A707" s="4">
        <v>6</v>
      </c>
      <c r="B707" s="4" t="s">
        <v>285</v>
      </c>
      <c r="C707" s="4" t="s">
        <v>288</v>
      </c>
      <c r="D707" s="4" t="s">
        <v>289</v>
      </c>
      <c r="E707" s="4" t="s">
        <v>70</v>
      </c>
      <c r="F707" s="4" t="s">
        <v>276</v>
      </c>
      <c r="G707" s="4" t="s">
        <v>199</v>
      </c>
      <c r="H707" s="4" t="s">
        <v>59</v>
      </c>
      <c r="I707" s="3"/>
      <c r="J707" s="3"/>
      <c r="K707" s="3"/>
      <c r="L707" s="3"/>
      <c r="M707" s="3"/>
      <c r="N707" s="3"/>
      <c r="O707" s="3"/>
      <c r="P707" s="8"/>
      <c r="Q707" s="8"/>
      <c r="R707" s="3"/>
      <c r="S707" s="3"/>
      <c r="T707" s="3"/>
      <c r="U707" s="5" t="str">
        <f t="shared" si="33"/>
        <v/>
      </c>
    </row>
    <row r="708" spans="1:21" ht="28" customHeight="1" x14ac:dyDescent="0.35">
      <c r="A708" s="4">
        <v>7</v>
      </c>
      <c r="B708" s="4" t="s">
        <v>290</v>
      </c>
      <c r="C708" s="4" t="s">
        <v>291</v>
      </c>
      <c r="D708" s="4" t="s">
        <v>292</v>
      </c>
      <c r="E708" s="4" t="s">
        <v>109</v>
      </c>
      <c r="F708" s="4" t="s">
        <v>284</v>
      </c>
      <c r="G708" s="4" t="s">
        <v>204</v>
      </c>
      <c r="H708" s="4" t="s">
        <v>59</v>
      </c>
      <c r="I708" s="3"/>
      <c r="J708" s="3"/>
      <c r="K708" s="3"/>
      <c r="L708" s="3"/>
      <c r="M708" s="3"/>
      <c r="N708" s="3"/>
      <c r="O708" s="3"/>
      <c r="P708" s="8"/>
      <c r="Q708" s="8"/>
      <c r="R708" s="3"/>
      <c r="S708" s="3"/>
      <c r="T708" s="3"/>
      <c r="U708" s="5" t="str">
        <f t="shared" si="33"/>
        <v/>
      </c>
    </row>
    <row r="709" spans="1:21" ht="28" customHeight="1" x14ac:dyDescent="0.35">
      <c r="A709" s="4">
        <v>8</v>
      </c>
      <c r="B709" s="4" t="s">
        <v>290</v>
      </c>
      <c r="C709" s="4" t="s">
        <v>293</v>
      </c>
      <c r="D709" s="4" t="s">
        <v>294</v>
      </c>
      <c r="E709" s="4" t="s">
        <v>70</v>
      </c>
      <c r="F709" s="4" t="s">
        <v>295</v>
      </c>
      <c r="G709" s="4" t="s">
        <v>199</v>
      </c>
      <c r="H709" s="4" t="s">
        <v>76</v>
      </c>
      <c r="I709" s="3"/>
      <c r="J709" s="3"/>
      <c r="K709" s="3"/>
      <c r="L709" s="3"/>
      <c r="M709" s="3"/>
      <c r="N709" s="3"/>
      <c r="O709" s="3"/>
      <c r="P709" s="8"/>
      <c r="Q709" s="8"/>
      <c r="R709" s="3"/>
      <c r="S709" s="3"/>
      <c r="T709" s="3"/>
      <c r="U709" s="5" t="str">
        <f t="shared" si="33"/>
        <v/>
      </c>
    </row>
    <row r="710" spans="1:21" ht="28" customHeight="1" x14ac:dyDescent="0.35">
      <c r="A710" s="4">
        <v>9</v>
      </c>
      <c r="B710" s="4" t="s">
        <v>296</v>
      </c>
      <c r="C710" s="4" t="s">
        <v>297</v>
      </c>
      <c r="D710" s="4" t="s">
        <v>70</v>
      </c>
      <c r="E710" s="4" t="s">
        <v>70</v>
      </c>
      <c r="F710" s="4" t="s">
        <v>295</v>
      </c>
      <c r="G710" s="4" t="s">
        <v>199</v>
      </c>
      <c r="H710" s="4" t="s">
        <v>76</v>
      </c>
      <c r="I710" s="3"/>
      <c r="J710" s="3"/>
      <c r="K710" s="3"/>
      <c r="L710" s="3"/>
      <c r="M710" s="3"/>
      <c r="N710" s="3"/>
      <c r="O710" s="3"/>
      <c r="P710" s="8"/>
      <c r="Q710" s="8"/>
      <c r="R710" s="3"/>
      <c r="S710" s="3"/>
      <c r="T710" s="3"/>
      <c r="U710" s="5" t="str">
        <f t="shared" si="33"/>
        <v/>
      </c>
    </row>
    <row r="711" spans="1:21" ht="28" customHeight="1" x14ac:dyDescent="0.35">
      <c r="A711" s="4">
        <v>10</v>
      </c>
      <c r="B711" s="4" t="s">
        <v>296</v>
      </c>
      <c r="C711" s="4" t="s">
        <v>298</v>
      </c>
      <c r="D711" s="4" t="s">
        <v>299</v>
      </c>
      <c r="E711" s="4" t="s">
        <v>283</v>
      </c>
      <c r="F711" s="4" t="s">
        <v>284</v>
      </c>
      <c r="G711" s="4" t="s">
        <v>204</v>
      </c>
      <c r="H711" s="4" t="s">
        <v>59</v>
      </c>
      <c r="I711" s="3"/>
      <c r="J711" s="3"/>
      <c r="K711" s="3"/>
      <c r="L711" s="3"/>
      <c r="M711" s="3"/>
      <c r="N711" s="3"/>
      <c r="O711" s="3"/>
      <c r="P711" s="8"/>
      <c r="Q711" s="8"/>
      <c r="R711" s="3"/>
      <c r="S711" s="3"/>
      <c r="T711" s="3"/>
      <c r="U711" s="5" t="str">
        <f t="shared" si="33"/>
        <v/>
      </c>
    </row>
    <row r="712" spans="1:21" ht="28" customHeight="1" x14ac:dyDescent="0.35">
      <c r="A712" s="4">
        <v>11</v>
      </c>
      <c r="B712" s="4" t="s">
        <v>300</v>
      </c>
      <c r="C712" s="4" t="s">
        <v>301</v>
      </c>
      <c r="D712" s="4" t="s">
        <v>302</v>
      </c>
      <c r="E712" s="4" t="s">
        <v>56</v>
      </c>
      <c r="F712" s="4" t="s">
        <v>276</v>
      </c>
      <c r="G712" s="4" t="s">
        <v>199</v>
      </c>
      <c r="H712" s="4" t="s">
        <v>76</v>
      </c>
      <c r="I712" s="3"/>
      <c r="J712" s="3"/>
      <c r="K712" s="3"/>
      <c r="L712" s="3"/>
      <c r="M712" s="3"/>
      <c r="N712" s="3"/>
      <c r="O712" s="3"/>
      <c r="P712" s="8"/>
      <c r="Q712" s="8"/>
      <c r="R712" s="3"/>
      <c r="S712" s="3"/>
      <c r="T712" s="3"/>
      <c r="U712" s="5" t="str">
        <f t="shared" si="33"/>
        <v/>
      </c>
    </row>
    <row r="713" spans="1:21" ht="28" customHeight="1" x14ac:dyDescent="0.35">
      <c r="A713" s="4">
        <v>12</v>
      </c>
      <c r="B713" s="4" t="s">
        <v>303</v>
      </c>
      <c r="C713" s="4" t="s">
        <v>304</v>
      </c>
      <c r="D713" s="4" t="s">
        <v>305</v>
      </c>
      <c r="E713" s="4" t="s">
        <v>283</v>
      </c>
      <c r="F713" s="4" t="s">
        <v>276</v>
      </c>
      <c r="G713" s="4" t="s">
        <v>199</v>
      </c>
      <c r="H713" s="4" t="s">
        <v>76</v>
      </c>
      <c r="I713" s="3"/>
      <c r="J713" s="3"/>
      <c r="K713" s="3"/>
      <c r="L713" s="3"/>
      <c r="M713" s="3"/>
      <c r="N713" s="3"/>
      <c r="O713" s="3"/>
      <c r="P713" s="8"/>
      <c r="Q713" s="8"/>
      <c r="R713" s="3"/>
      <c r="S713" s="3"/>
      <c r="T713" s="3"/>
      <c r="U713" s="5" t="str">
        <f t="shared" si="33"/>
        <v/>
      </c>
    </row>
    <row r="714" spans="1:21" ht="28" customHeight="1" x14ac:dyDescent="0.35">
      <c r="A714" s="4">
        <v>13</v>
      </c>
      <c r="B714" s="4" t="s">
        <v>306</v>
      </c>
      <c r="C714" s="4" t="s">
        <v>307</v>
      </c>
      <c r="D714" s="4" t="s">
        <v>308</v>
      </c>
      <c r="E714" s="4" t="s">
        <v>69</v>
      </c>
      <c r="F714" s="4" t="s">
        <v>273</v>
      </c>
      <c r="G714" s="4" t="s">
        <v>96</v>
      </c>
      <c r="H714" s="4" t="s">
        <v>59</v>
      </c>
      <c r="I714" s="3"/>
      <c r="J714" s="3"/>
      <c r="K714" s="3"/>
      <c r="L714" s="3"/>
      <c r="M714" s="3"/>
      <c r="N714" s="3"/>
      <c r="O714" s="3"/>
      <c r="P714" s="8"/>
      <c r="Q714" s="8"/>
      <c r="R714" s="3"/>
      <c r="S714" s="3"/>
      <c r="T714" s="3"/>
      <c r="U714" s="5" t="str">
        <f t="shared" si="33"/>
        <v/>
      </c>
    </row>
    <row r="715" spans="1:21" ht="28" customHeight="1" x14ac:dyDescent="0.35">
      <c r="A715" s="4">
        <v>14</v>
      </c>
      <c r="B715" s="4" t="s">
        <v>97</v>
      </c>
      <c r="C715" s="4" t="s">
        <v>98</v>
      </c>
      <c r="D715" s="4" t="s">
        <v>99</v>
      </c>
      <c r="E715" s="4" t="s">
        <v>69</v>
      </c>
      <c r="F715" s="4" t="s">
        <v>95</v>
      </c>
      <c r="G715" s="4" t="s">
        <v>96</v>
      </c>
      <c r="H715" s="4" t="s">
        <v>59</v>
      </c>
      <c r="I715" s="3"/>
      <c r="J715" s="3"/>
      <c r="K715" s="3"/>
      <c r="L715" s="3"/>
      <c r="M715" s="3"/>
      <c r="N715" s="3"/>
      <c r="O715" s="3"/>
      <c r="P715" s="8"/>
      <c r="Q715" s="8"/>
      <c r="R715" s="3"/>
      <c r="S715" s="3"/>
      <c r="T715" s="3"/>
      <c r="U715" s="5" t="str">
        <f t="shared" si="33"/>
        <v/>
      </c>
    </row>
    <row r="716" spans="1:21" ht="28" customHeight="1" x14ac:dyDescent="0.35">
      <c r="A716" s="4">
        <v>15</v>
      </c>
      <c r="B716" s="4" t="s">
        <v>97</v>
      </c>
      <c r="C716" s="4" t="s">
        <v>100</v>
      </c>
      <c r="D716" s="4" t="s">
        <v>101</v>
      </c>
      <c r="E716" s="4" t="s">
        <v>69</v>
      </c>
      <c r="F716" s="4" t="s">
        <v>95</v>
      </c>
      <c r="G716" s="4" t="s">
        <v>102</v>
      </c>
      <c r="H716" s="4" t="s">
        <v>59</v>
      </c>
      <c r="I716" s="3"/>
      <c r="J716" s="3"/>
      <c r="K716" s="3"/>
      <c r="L716" s="3"/>
      <c r="M716" s="3"/>
      <c r="N716" s="3"/>
      <c r="O716" s="3"/>
      <c r="P716" s="8"/>
      <c r="Q716" s="8"/>
      <c r="R716" s="3"/>
      <c r="S716" s="3"/>
      <c r="T716" s="3"/>
      <c r="U716" s="5" t="str">
        <f t="shared" si="33"/>
        <v/>
      </c>
    </row>
    <row r="717" spans="1:21" ht="28" customHeight="1" x14ac:dyDescent="0.35">
      <c r="A717" s="4">
        <v>16</v>
      </c>
      <c r="B717" s="4" t="s">
        <v>103</v>
      </c>
      <c r="C717" s="4" t="s">
        <v>104</v>
      </c>
      <c r="D717" s="4" t="s">
        <v>105</v>
      </c>
      <c r="E717" s="4" t="s">
        <v>69</v>
      </c>
      <c r="F717" s="4" t="s">
        <v>95</v>
      </c>
      <c r="G717" s="4" t="s">
        <v>96</v>
      </c>
      <c r="H717" s="4" t="s">
        <v>85</v>
      </c>
      <c r="I717" s="3"/>
      <c r="J717" s="3"/>
      <c r="K717" s="3"/>
      <c r="L717" s="3"/>
      <c r="M717" s="3"/>
      <c r="N717" s="3"/>
      <c r="O717" s="3"/>
      <c r="P717" s="8"/>
      <c r="Q717" s="8"/>
      <c r="R717" s="3"/>
      <c r="S717" s="3"/>
      <c r="T717" s="3"/>
      <c r="U717" s="5" t="str">
        <f t="shared" si="33"/>
        <v/>
      </c>
    </row>
    <row r="718" spans="1:21" ht="28" customHeight="1" x14ac:dyDescent="0.35">
      <c r="A718" s="4">
        <v>17</v>
      </c>
      <c r="B718" s="4" t="s">
        <v>106</v>
      </c>
      <c r="C718" s="4" t="s">
        <v>107</v>
      </c>
      <c r="D718" s="4" t="s">
        <v>108</v>
      </c>
      <c r="E718" s="4" t="s">
        <v>109</v>
      </c>
      <c r="F718" s="4" t="s">
        <v>95</v>
      </c>
      <c r="G718" s="4" t="s">
        <v>96</v>
      </c>
      <c r="H718" s="4" t="s">
        <v>59</v>
      </c>
      <c r="I718" s="3"/>
      <c r="J718" s="3"/>
      <c r="K718" s="3"/>
      <c r="L718" s="3"/>
      <c r="M718" s="3"/>
      <c r="N718" s="3"/>
      <c r="O718" s="3"/>
      <c r="P718" s="8"/>
      <c r="Q718" s="8"/>
      <c r="R718" s="3"/>
      <c r="S718" s="3"/>
      <c r="T718" s="3"/>
      <c r="U718" s="5" t="str">
        <f t="shared" si="33"/>
        <v/>
      </c>
    </row>
    <row r="720" spans="1:21" ht="28" customHeight="1" x14ac:dyDescent="0.35">
      <c r="A720" s="9" t="s">
        <v>110</v>
      </c>
      <c r="B720" s="16"/>
      <c r="C720" s="17"/>
      <c r="D720" s="17"/>
      <c r="E720" s="17"/>
      <c r="F720" s="17"/>
      <c r="G720" s="17"/>
      <c r="H720" s="17"/>
      <c r="I720" s="17"/>
      <c r="J720" s="17"/>
      <c r="K720" s="17"/>
      <c r="L720" s="17"/>
      <c r="M720" s="17"/>
      <c r="N720" s="17"/>
      <c r="O720" s="17"/>
      <c r="P720" s="17"/>
      <c r="Q720" s="17"/>
      <c r="R720" s="17"/>
      <c r="S720" s="17"/>
      <c r="T720" s="17"/>
      <c r="U720" s="18"/>
    </row>
    <row r="721" spans="1:21" ht="28" customHeight="1" x14ac:dyDescent="0.35">
      <c r="A721" s="19" t="s">
        <v>338</v>
      </c>
      <c r="B721" s="20"/>
      <c r="C721" s="20"/>
      <c r="D721" s="20"/>
      <c r="E721" s="20"/>
      <c r="F721" s="20"/>
      <c r="G721" s="20"/>
      <c r="H721" s="20"/>
      <c r="I721" s="20"/>
      <c r="J721" s="20"/>
      <c r="K721" s="20"/>
      <c r="L721" s="20"/>
      <c r="M721" s="20"/>
      <c r="N721" s="20"/>
      <c r="O721" s="20"/>
      <c r="P721" s="20"/>
      <c r="Q721" s="20"/>
      <c r="R721" s="20"/>
      <c r="S721" s="20"/>
      <c r="T721" s="20"/>
      <c r="U721" s="21"/>
    </row>
    <row r="722" spans="1:21" ht="28" customHeight="1" x14ac:dyDescent="0.35">
      <c r="A722" s="4" t="s">
        <v>31</v>
      </c>
      <c r="B722" s="3" t="s">
        <v>247</v>
      </c>
      <c r="C722" s="4" t="s">
        <v>32</v>
      </c>
      <c r="D722" s="3"/>
      <c r="E722" s="4" t="s">
        <v>33</v>
      </c>
      <c r="F722" s="8"/>
    </row>
    <row r="723" spans="1:21" ht="28" customHeight="1" x14ac:dyDescent="0.35">
      <c r="A723" s="1" t="s">
        <v>34</v>
      </c>
      <c r="B723" s="1" t="s">
        <v>35</v>
      </c>
      <c r="C723" s="1" t="s">
        <v>36</v>
      </c>
      <c r="D723" s="1" t="s">
        <v>37</v>
      </c>
      <c r="E723" s="1" t="s">
        <v>38</v>
      </c>
      <c r="F723" s="1" t="s">
        <v>39</v>
      </c>
      <c r="G723" s="1" t="s">
        <v>40</v>
      </c>
      <c r="H723" s="1" t="s">
        <v>41</v>
      </c>
      <c r="I723" s="1" t="s">
        <v>42</v>
      </c>
      <c r="J723" s="1" t="s">
        <v>43</v>
      </c>
      <c r="K723" s="1" t="s">
        <v>44</v>
      </c>
      <c r="L723" s="1" t="s">
        <v>45</v>
      </c>
      <c r="M723" s="1" t="s">
        <v>46</v>
      </c>
      <c r="N723" s="1" t="s">
        <v>47</v>
      </c>
      <c r="O723" s="1" t="s">
        <v>48</v>
      </c>
      <c r="P723" s="1" t="s">
        <v>4</v>
      </c>
      <c r="Q723" s="1" t="s">
        <v>49</v>
      </c>
      <c r="R723" s="1" t="s">
        <v>50</v>
      </c>
      <c r="S723" s="1" t="s">
        <v>51</v>
      </c>
      <c r="T723" s="1" t="s">
        <v>52</v>
      </c>
      <c r="U723" s="1" t="s">
        <v>10</v>
      </c>
    </row>
    <row r="724" spans="1:21" ht="28" customHeight="1" x14ac:dyDescent="0.35">
      <c r="A724" s="4">
        <v>1</v>
      </c>
      <c r="B724" s="4" t="s">
        <v>270</v>
      </c>
      <c r="C724" s="4" t="s">
        <v>271</v>
      </c>
      <c r="D724" s="4" t="s">
        <v>272</v>
      </c>
      <c r="E724" s="4" t="s">
        <v>109</v>
      </c>
      <c r="F724" s="4" t="s">
        <v>273</v>
      </c>
      <c r="G724" s="4" t="s">
        <v>199</v>
      </c>
      <c r="H724" s="4" t="s">
        <v>59</v>
      </c>
      <c r="I724" s="3"/>
      <c r="J724" s="3"/>
      <c r="K724" s="3"/>
      <c r="L724" s="3"/>
      <c r="M724" s="3"/>
      <c r="N724" s="3"/>
      <c r="O724" s="3"/>
      <c r="P724" s="8"/>
      <c r="Q724" s="8"/>
      <c r="R724" s="3"/>
      <c r="S724" s="3"/>
      <c r="T724" s="3"/>
      <c r="U724" s="5" t="str">
        <f t="shared" ref="U724:U740" si="34">IF(I724="","",IF(I724="NA","Grey",IF(I724=2,"Green",IF(I724=1,"Amber","Red"))))</f>
        <v/>
      </c>
    </row>
    <row r="725" spans="1:21" ht="28" customHeight="1" x14ac:dyDescent="0.35">
      <c r="A725" s="4">
        <v>2</v>
      </c>
      <c r="B725" s="4" t="s">
        <v>270</v>
      </c>
      <c r="C725" s="4" t="s">
        <v>274</v>
      </c>
      <c r="D725" s="4" t="s">
        <v>275</v>
      </c>
      <c r="E725" s="4" t="s">
        <v>69</v>
      </c>
      <c r="F725" s="4" t="s">
        <v>276</v>
      </c>
      <c r="G725" s="4" t="s">
        <v>199</v>
      </c>
      <c r="H725" s="4" t="s">
        <v>76</v>
      </c>
      <c r="I725" s="3"/>
      <c r="J725" s="3"/>
      <c r="K725" s="3"/>
      <c r="L725" s="3"/>
      <c r="M725" s="3"/>
      <c r="N725" s="3"/>
      <c r="O725" s="3"/>
      <c r="P725" s="8"/>
      <c r="Q725" s="8"/>
      <c r="R725" s="3"/>
      <c r="S725" s="3"/>
      <c r="T725" s="3"/>
      <c r="U725" s="5" t="str">
        <f t="shared" si="34"/>
        <v/>
      </c>
    </row>
    <row r="726" spans="1:21" ht="28" customHeight="1" x14ac:dyDescent="0.35">
      <c r="A726" s="4">
        <v>3</v>
      </c>
      <c r="B726" s="4" t="s">
        <v>270</v>
      </c>
      <c r="C726" s="4" t="s">
        <v>277</v>
      </c>
      <c r="D726" s="4" t="s">
        <v>278</v>
      </c>
      <c r="E726" s="4" t="s">
        <v>279</v>
      </c>
      <c r="F726" s="4" t="s">
        <v>280</v>
      </c>
      <c r="G726" s="4" t="s">
        <v>209</v>
      </c>
      <c r="H726" s="4" t="s">
        <v>76</v>
      </c>
      <c r="I726" s="3"/>
      <c r="J726" s="3"/>
      <c r="K726" s="3"/>
      <c r="L726" s="3"/>
      <c r="M726" s="3"/>
      <c r="N726" s="3"/>
      <c r="O726" s="3"/>
      <c r="P726" s="8"/>
      <c r="Q726" s="8"/>
      <c r="R726" s="3"/>
      <c r="S726" s="3"/>
      <c r="T726" s="3"/>
      <c r="U726" s="5" t="str">
        <f t="shared" si="34"/>
        <v/>
      </c>
    </row>
    <row r="727" spans="1:21" ht="28" customHeight="1" x14ac:dyDescent="0.35">
      <c r="A727" s="4">
        <v>4</v>
      </c>
      <c r="B727" s="4" t="s">
        <v>270</v>
      </c>
      <c r="C727" s="4" t="s">
        <v>281</v>
      </c>
      <c r="D727" s="4" t="s">
        <v>282</v>
      </c>
      <c r="E727" s="4" t="s">
        <v>283</v>
      </c>
      <c r="F727" s="4" t="s">
        <v>284</v>
      </c>
      <c r="G727" s="4" t="s">
        <v>204</v>
      </c>
      <c r="H727" s="4" t="s">
        <v>76</v>
      </c>
      <c r="I727" s="3"/>
      <c r="J727" s="3"/>
      <c r="K727" s="3"/>
      <c r="L727" s="3"/>
      <c r="M727" s="3"/>
      <c r="N727" s="3"/>
      <c r="O727" s="3"/>
      <c r="P727" s="8"/>
      <c r="Q727" s="8"/>
      <c r="R727" s="3"/>
      <c r="S727" s="3"/>
      <c r="T727" s="3"/>
      <c r="U727" s="5" t="str">
        <f t="shared" si="34"/>
        <v/>
      </c>
    </row>
    <row r="728" spans="1:21" ht="28" customHeight="1" x14ac:dyDescent="0.35">
      <c r="A728" s="4">
        <v>5</v>
      </c>
      <c r="B728" s="4" t="s">
        <v>285</v>
      </c>
      <c r="C728" s="4" t="s">
        <v>286</v>
      </c>
      <c r="D728" s="4" t="s">
        <v>287</v>
      </c>
      <c r="E728" s="4" t="s">
        <v>69</v>
      </c>
      <c r="F728" s="4" t="s">
        <v>276</v>
      </c>
      <c r="G728" s="4" t="s">
        <v>199</v>
      </c>
      <c r="H728" s="4" t="s">
        <v>76</v>
      </c>
      <c r="I728" s="3"/>
      <c r="J728" s="3"/>
      <c r="K728" s="3"/>
      <c r="L728" s="3"/>
      <c r="M728" s="3"/>
      <c r="N728" s="3"/>
      <c r="O728" s="3"/>
      <c r="P728" s="8"/>
      <c r="Q728" s="8"/>
      <c r="R728" s="3"/>
      <c r="S728" s="3"/>
      <c r="T728" s="3"/>
      <c r="U728" s="5" t="str">
        <f t="shared" si="34"/>
        <v/>
      </c>
    </row>
    <row r="729" spans="1:21" ht="28" customHeight="1" x14ac:dyDescent="0.35">
      <c r="A729" s="4">
        <v>6</v>
      </c>
      <c r="B729" s="4" t="s">
        <v>285</v>
      </c>
      <c r="C729" s="4" t="s">
        <v>288</v>
      </c>
      <c r="D729" s="4" t="s">
        <v>289</v>
      </c>
      <c r="E729" s="4" t="s">
        <v>70</v>
      </c>
      <c r="F729" s="4" t="s">
        <v>276</v>
      </c>
      <c r="G729" s="4" t="s">
        <v>199</v>
      </c>
      <c r="H729" s="4" t="s">
        <v>59</v>
      </c>
      <c r="I729" s="3"/>
      <c r="J729" s="3"/>
      <c r="K729" s="3"/>
      <c r="L729" s="3"/>
      <c r="M729" s="3"/>
      <c r="N729" s="3"/>
      <c r="O729" s="3"/>
      <c r="P729" s="8"/>
      <c r="Q729" s="8"/>
      <c r="R729" s="3"/>
      <c r="S729" s="3"/>
      <c r="T729" s="3"/>
      <c r="U729" s="5" t="str">
        <f t="shared" si="34"/>
        <v/>
      </c>
    </row>
    <row r="730" spans="1:21" ht="28" customHeight="1" x14ac:dyDescent="0.35">
      <c r="A730" s="4">
        <v>7</v>
      </c>
      <c r="B730" s="4" t="s">
        <v>290</v>
      </c>
      <c r="C730" s="4" t="s">
        <v>291</v>
      </c>
      <c r="D730" s="4" t="s">
        <v>292</v>
      </c>
      <c r="E730" s="4" t="s">
        <v>109</v>
      </c>
      <c r="F730" s="4" t="s">
        <v>284</v>
      </c>
      <c r="G730" s="4" t="s">
        <v>204</v>
      </c>
      <c r="H730" s="4" t="s">
        <v>59</v>
      </c>
      <c r="I730" s="3"/>
      <c r="J730" s="3"/>
      <c r="K730" s="3"/>
      <c r="L730" s="3"/>
      <c r="M730" s="3"/>
      <c r="N730" s="3"/>
      <c r="O730" s="3"/>
      <c r="P730" s="8"/>
      <c r="Q730" s="8"/>
      <c r="R730" s="3"/>
      <c r="S730" s="3"/>
      <c r="T730" s="3"/>
      <c r="U730" s="5" t="str">
        <f t="shared" si="34"/>
        <v/>
      </c>
    </row>
    <row r="731" spans="1:21" ht="28" customHeight="1" x14ac:dyDescent="0.35">
      <c r="A731" s="4">
        <v>8</v>
      </c>
      <c r="B731" s="4" t="s">
        <v>290</v>
      </c>
      <c r="C731" s="4" t="s">
        <v>293</v>
      </c>
      <c r="D731" s="4" t="s">
        <v>294</v>
      </c>
      <c r="E731" s="4" t="s">
        <v>70</v>
      </c>
      <c r="F731" s="4" t="s">
        <v>295</v>
      </c>
      <c r="G731" s="4" t="s">
        <v>199</v>
      </c>
      <c r="H731" s="4" t="s">
        <v>76</v>
      </c>
      <c r="I731" s="3"/>
      <c r="J731" s="3"/>
      <c r="K731" s="3"/>
      <c r="L731" s="3"/>
      <c r="M731" s="3"/>
      <c r="N731" s="3"/>
      <c r="O731" s="3"/>
      <c r="P731" s="8"/>
      <c r="Q731" s="8"/>
      <c r="R731" s="3"/>
      <c r="S731" s="3"/>
      <c r="T731" s="3"/>
      <c r="U731" s="5" t="str">
        <f t="shared" si="34"/>
        <v/>
      </c>
    </row>
    <row r="732" spans="1:21" ht="28" customHeight="1" x14ac:dyDescent="0.35">
      <c r="A732" s="4">
        <v>9</v>
      </c>
      <c r="B732" s="4" t="s">
        <v>296</v>
      </c>
      <c r="C732" s="4" t="s">
        <v>297</v>
      </c>
      <c r="D732" s="4" t="s">
        <v>70</v>
      </c>
      <c r="E732" s="4" t="s">
        <v>70</v>
      </c>
      <c r="F732" s="4" t="s">
        <v>295</v>
      </c>
      <c r="G732" s="4" t="s">
        <v>199</v>
      </c>
      <c r="H732" s="4" t="s">
        <v>76</v>
      </c>
      <c r="I732" s="3"/>
      <c r="J732" s="3"/>
      <c r="K732" s="3"/>
      <c r="L732" s="3"/>
      <c r="M732" s="3"/>
      <c r="N732" s="3"/>
      <c r="O732" s="3"/>
      <c r="P732" s="8"/>
      <c r="Q732" s="8"/>
      <c r="R732" s="3"/>
      <c r="S732" s="3"/>
      <c r="T732" s="3"/>
      <c r="U732" s="5" t="str">
        <f t="shared" si="34"/>
        <v/>
      </c>
    </row>
    <row r="733" spans="1:21" ht="28" customHeight="1" x14ac:dyDescent="0.35">
      <c r="A733" s="4">
        <v>10</v>
      </c>
      <c r="B733" s="4" t="s">
        <v>296</v>
      </c>
      <c r="C733" s="4" t="s">
        <v>298</v>
      </c>
      <c r="D733" s="4" t="s">
        <v>299</v>
      </c>
      <c r="E733" s="4" t="s">
        <v>283</v>
      </c>
      <c r="F733" s="4" t="s">
        <v>284</v>
      </c>
      <c r="G733" s="4" t="s">
        <v>204</v>
      </c>
      <c r="H733" s="4" t="s">
        <v>59</v>
      </c>
      <c r="I733" s="3"/>
      <c r="J733" s="3"/>
      <c r="K733" s="3"/>
      <c r="L733" s="3"/>
      <c r="M733" s="3"/>
      <c r="N733" s="3"/>
      <c r="O733" s="3"/>
      <c r="P733" s="8"/>
      <c r="Q733" s="8"/>
      <c r="R733" s="3"/>
      <c r="S733" s="3"/>
      <c r="T733" s="3"/>
      <c r="U733" s="5" t="str">
        <f t="shared" si="34"/>
        <v/>
      </c>
    </row>
    <row r="734" spans="1:21" ht="28" customHeight="1" x14ac:dyDescent="0.35">
      <c r="A734" s="4">
        <v>11</v>
      </c>
      <c r="B734" s="4" t="s">
        <v>300</v>
      </c>
      <c r="C734" s="4" t="s">
        <v>301</v>
      </c>
      <c r="D734" s="4" t="s">
        <v>302</v>
      </c>
      <c r="E734" s="4" t="s">
        <v>56</v>
      </c>
      <c r="F734" s="4" t="s">
        <v>276</v>
      </c>
      <c r="G734" s="4" t="s">
        <v>199</v>
      </c>
      <c r="H734" s="4" t="s">
        <v>76</v>
      </c>
      <c r="I734" s="3"/>
      <c r="J734" s="3"/>
      <c r="K734" s="3"/>
      <c r="L734" s="3"/>
      <c r="M734" s="3"/>
      <c r="N734" s="3"/>
      <c r="O734" s="3"/>
      <c r="P734" s="8"/>
      <c r="Q734" s="8"/>
      <c r="R734" s="3"/>
      <c r="S734" s="3"/>
      <c r="T734" s="3"/>
      <c r="U734" s="5" t="str">
        <f t="shared" si="34"/>
        <v/>
      </c>
    </row>
    <row r="735" spans="1:21" ht="28" customHeight="1" x14ac:dyDescent="0.35">
      <c r="A735" s="4">
        <v>12</v>
      </c>
      <c r="B735" s="4" t="s">
        <v>303</v>
      </c>
      <c r="C735" s="4" t="s">
        <v>304</v>
      </c>
      <c r="D735" s="4" t="s">
        <v>305</v>
      </c>
      <c r="E735" s="4" t="s">
        <v>283</v>
      </c>
      <c r="F735" s="4" t="s">
        <v>276</v>
      </c>
      <c r="G735" s="4" t="s">
        <v>199</v>
      </c>
      <c r="H735" s="4" t="s">
        <v>76</v>
      </c>
      <c r="I735" s="3"/>
      <c r="J735" s="3"/>
      <c r="K735" s="3"/>
      <c r="L735" s="3"/>
      <c r="M735" s="3"/>
      <c r="N735" s="3"/>
      <c r="O735" s="3"/>
      <c r="P735" s="8"/>
      <c r="Q735" s="8"/>
      <c r="R735" s="3"/>
      <c r="S735" s="3"/>
      <c r="T735" s="3"/>
      <c r="U735" s="5" t="str">
        <f t="shared" si="34"/>
        <v/>
      </c>
    </row>
    <row r="736" spans="1:21" ht="28" customHeight="1" x14ac:dyDescent="0.35">
      <c r="A736" s="4">
        <v>13</v>
      </c>
      <c r="B736" s="4" t="s">
        <v>306</v>
      </c>
      <c r="C736" s="4" t="s">
        <v>307</v>
      </c>
      <c r="D736" s="4" t="s">
        <v>308</v>
      </c>
      <c r="E736" s="4" t="s">
        <v>69</v>
      </c>
      <c r="F736" s="4" t="s">
        <v>273</v>
      </c>
      <c r="G736" s="4" t="s">
        <v>96</v>
      </c>
      <c r="H736" s="4" t="s">
        <v>59</v>
      </c>
      <c r="I736" s="3"/>
      <c r="J736" s="3"/>
      <c r="K736" s="3"/>
      <c r="L736" s="3"/>
      <c r="M736" s="3"/>
      <c r="N736" s="3"/>
      <c r="O736" s="3"/>
      <c r="P736" s="8"/>
      <c r="Q736" s="8"/>
      <c r="R736" s="3"/>
      <c r="S736" s="3"/>
      <c r="T736" s="3"/>
      <c r="U736" s="5" t="str">
        <f t="shared" si="34"/>
        <v/>
      </c>
    </row>
    <row r="737" spans="1:21" ht="28" customHeight="1" x14ac:dyDescent="0.35">
      <c r="A737" s="4">
        <v>14</v>
      </c>
      <c r="B737" s="4" t="s">
        <v>97</v>
      </c>
      <c r="C737" s="4" t="s">
        <v>98</v>
      </c>
      <c r="D737" s="4" t="s">
        <v>99</v>
      </c>
      <c r="E737" s="4" t="s">
        <v>69</v>
      </c>
      <c r="F737" s="4" t="s">
        <v>95</v>
      </c>
      <c r="G737" s="4" t="s">
        <v>96</v>
      </c>
      <c r="H737" s="4" t="s">
        <v>59</v>
      </c>
      <c r="I737" s="3"/>
      <c r="J737" s="3"/>
      <c r="K737" s="3"/>
      <c r="L737" s="3"/>
      <c r="M737" s="3"/>
      <c r="N737" s="3"/>
      <c r="O737" s="3"/>
      <c r="P737" s="8"/>
      <c r="Q737" s="8"/>
      <c r="R737" s="3"/>
      <c r="S737" s="3"/>
      <c r="T737" s="3"/>
      <c r="U737" s="5" t="str">
        <f t="shared" si="34"/>
        <v/>
      </c>
    </row>
    <row r="738" spans="1:21" ht="28" customHeight="1" x14ac:dyDescent="0.35">
      <c r="A738" s="4">
        <v>15</v>
      </c>
      <c r="B738" s="4" t="s">
        <v>97</v>
      </c>
      <c r="C738" s="4" t="s">
        <v>100</v>
      </c>
      <c r="D738" s="4" t="s">
        <v>101</v>
      </c>
      <c r="E738" s="4" t="s">
        <v>69</v>
      </c>
      <c r="F738" s="4" t="s">
        <v>95</v>
      </c>
      <c r="G738" s="4" t="s">
        <v>102</v>
      </c>
      <c r="H738" s="4" t="s">
        <v>59</v>
      </c>
      <c r="I738" s="3"/>
      <c r="J738" s="3"/>
      <c r="K738" s="3"/>
      <c r="L738" s="3"/>
      <c r="M738" s="3"/>
      <c r="N738" s="3"/>
      <c r="O738" s="3"/>
      <c r="P738" s="8"/>
      <c r="Q738" s="8"/>
      <c r="R738" s="3"/>
      <c r="S738" s="3"/>
      <c r="T738" s="3"/>
      <c r="U738" s="5" t="str">
        <f t="shared" si="34"/>
        <v/>
      </c>
    </row>
    <row r="739" spans="1:21" ht="28" customHeight="1" x14ac:dyDescent="0.35">
      <c r="A739" s="4">
        <v>16</v>
      </c>
      <c r="B739" s="4" t="s">
        <v>103</v>
      </c>
      <c r="C739" s="4" t="s">
        <v>104</v>
      </c>
      <c r="D739" s="4" t="s">
        <v>105</v>
      </c>
      <c r="E739" s="4" t="s">
        <v>69</v>
      </c>
      <c r="F739" s="4" t="s">
        <v>95</v>
      </c>
      <c r="G739" s="4" t="s">
        <v>96</v>
      </c>
      <c r="H739" s="4" t="s">
        <v>85</v>
      </c>
      <c r="I739" s="3"/>
      <c r="J739" s="3"/>
      <c r="K739" s="3"/>
      <c r="L739" s="3"/>
      <c r="M739" s="3"/>
      <c r="N739" s="3"/>
      <c r="O739" s="3"/>
      <c r="P739" s="8"/>
      <c r="Q739" s="8"/>
      <c r="R739" s="3"/>
      <c r="S739" s="3"/>
      <c r="T739" s="3"/>
      <c r="U739" s="5" t="str">
        <f t="shared" si="34"/>
        <v/>
      </c>
    </row>
    <row r="740" spans="1:21" ht="28" customHeight="1" x14ac:dyDescent="0.35">
      <c r="A740" s="4">
        <v>17</v>
      </c>
      <c r="B740" s="4" t="s">
        <v>106</v>
      </c>
      <c r="C740" s="4" t="s">
        <v>107</v>
      </c>
      <c r="D740" s="4" t="s">
        <v>108</v>
      </c>
      <c r="E740" s="4" t="s">
        <v>109</v>
      </c>
      <c r="F740" s="4" t="s">
        <v>95</v>
      </c>
      <c r="G740" s="4" t="s">
        <v>96</v>
      </c>
      <c r="H740" s="4" t="s">
        <v>59</v>
      </c>
      <c r="I740" s="3"/>
      <c r="J740" s="3"/>
      <c r="K740" s="3"/>
      <c r="L740" s="3"/>
      <c r="M740" s="3"/>
      <c r="N740" s="3"/>
      <c r="O740" s="3"/>
      <c r="P740" s="8"/>
      <c r="Q740" s="8"/>
      <c r="R740" s="3"/>
      <c r="S740" s="3"/>
      <c r="T740" s="3"/>
      <c r="U740" s="5" t="str">
        <f t="shared" si="34"/>
        <v/>
      </c>
    </row>
    <row r="742" spans="1:21" ht="28" customHeight="1" x14ac:dyDescent="0.35">
      <c r="A742" s="9" t="s">
        <v>110</v>
      </c>
      <c r="B742" s="16"/>
      <c r="C742" s="17"/>
      <c r="D742" s="17"/>
      <c r="E742" s="17"/>
      <c r="F742" s="17"/>
      <c r="G742" s="17"/>
      <c r="H742" s="17"/>
      <c r="I742" s="17"/>
      <c r="J742" s="17"/>
      <c r="K742" s="17"/>
      <c r="L742" s="17"/>
      <c r="M742" s="17"/>
      <c r="N742" s="17"/>
      <c r="O742" s="17"/>
      <c r="P742" s="17"/>
      <c r="Q742" s="17"/>
      <c r="R742" s="17"/>
      <c r="S742" s="17"/>
      <c r="T742" s="17"/>
      <c r="U742" s="18"/>
    </row>
    <row r="743" spans="1:21" ht="28" customHeight="1" x14ac:dyDescent="0.35">
      <c r="A743" s="19" t="s">
        <v>339</v>
      </c>
      <c r="B743" s="20"/>
      <c r="C743" s="20"/>
      <c r="D743" s="20"/>
      <c r="E743" s="20"/>
      <c r="F743" s="20"/>
      <c r="G743" s="20"/>
      <c r="H743" s="20"/>
      <c r="I743" s="20"/>
      <c r="J743" s="20"/>
      <c r="K743" s="20"/>
      <c r="L743" s="20"/>
      <c r="M743" s="20"/>
      <c r="N743" s="20"/>
      <c r="O743" s="20"/>
      <c r="P743" s="20"/>
      <c r="Q743" s="20"/>
      <c r="R743" s="20"/>
      <c r="S743" s="20"/>
      <c r="T743" s="20"/>
      <c r="U743" s="21"/>
    </row>
    <row r="744" spans="1:21" ht="28" customHeight="1" x14ac:dyDescent="0.35">
      <c r="A744" s="4" t="s">
        <v>31</v>
      </c>
      <c r="B744" s="3" t="s">
        <v>248</v>
      </c>
      <c r="C744" s="4" t="s">
        <v>32</v>
      </c>
      <c r="D744" s="3"/>
      <c r="E744" s="4" t="s">
        <v>33</v>
      </c>
      <c r="F744" s="8"/>
    </row>
    <row r="745" spans="1:21" ht="28" customHeight="1" x14ac:dyDescent="0.35">
      <c r="A745" s="1" t="s">
        <v>34</v>
      </c>
      <c r="B745" s="1" t="s">
        <v>35</v>
      </c>
      <c r="C745" s="1" t="s">
        <v>36</v>
      </c>
      <c r="D745" s="1" t="s">
        <v>37</v>
      </c>
      <c r="E745" s="1" t="s">
        <v>38</v>
      </c>
      <c r="F745" s="1" t="s">
        <v>39</v>
      </c>
      <c r="G745" s="1" t="s">
        <v>40</v>
      </c>
      <c r="H745" s="1" t="s">
        <v>41</v>
      </c>
      <c r="I745" s="1" t="s">
        <v>42</v>
      </c>
      <c r="J745" s="1" t="s">
        <v>43</v>
      </c>
      <c r="K745" s="1" t="s">
        <v>44</v>
      </c>
      <c r="L745" s="1" t="s">
        <v>45</v>
      </c>
      <c r="M745" s="1" t="s">
        <v>46</v>
      </c>
      <c r="N745" s="1" t="s">
        <v>47</v>
      </c>
      <c r="O745" s="1" t="s">
        <v>48</v>
      </c>
      <c r="P745" s="1" t="s">
        <v>4</v>
      </c>
      <c r="Q745" s="1" t="s">
        <v>49</v>
      </c>
      <c r="R745" s="1" t="s">
        <v>50</v>
      </c>
      <c r="S745" s="1" t="s">
        <v>51</v>
      </c>
      <c r="T745" s="1" t="s">
        <v>52</v>
      </c>
      <c r="U745" s="1" t="s">
        <v>10</v>
      </c>
    </row>
    <row r="746" spans="1:21" ht="28" customHeight="1" x14ac:dyDescent="0.35">
      <c r="A746" s="4">
        <v>1</v>
      </c>
      <c r="B746" s="4" t="s">
        <v>270</v>
      </c>
      <c r="C746" s="4" t="s">
        <v>271</v>
      </c>
      <c r="D746" s="4" t="s">
        <v>272</v>
      </c>
      <c r="E746" s="4" t="s">
        <v>109</v>
      </c>
      <c r="F746" s="4" t="s">
        <v>273</v>
      </c>
      <c r="G746" s="4" t="s">
        <v>199</v>
      </c>
      <c r="H746" s="4" t="s">
        <v>59</v>
      </c>
      <c r="I746" s="3"/>
      <c r="J746" s="3"/>
      <c r="K746" s="3"/>
      <c r="L746" s="3"/>
      <c r="M746" s="3"/>
      <c r="N746" s="3"/>
      <c r="O746" s="3"/>
      <c r="P746" s="8"/>
      <c r="Q746" s="8"/>
      <c r="R746" s="3"/>
      <c r="S746" s="3"/>
      <c r="T746" s="3"/>
      <c r="U746" s="5" t="str">
        <f t="shared" ref="U746:U762" si="35">IF(I746="","",IF(I746="NA","Grey",IF(I746=2,"Green",IF(I746=1,"Amber","Red"))))</f>
        <v/>
      </c>
    </row>
    <row r="747" spans="1:21" ht="28" customHeight="1" x14ac:dyDescent="0.35">
      <c r="A747" s="4">
        <v>2</v>
      </c>
      <c r="B747" s="4" t="s">
        <v>270</v>
      </c>
      <c r="C747" s="4" t="s">
        <v>274</v>
      </c>
      <c r="D747" s="4" t="s">
        <v>275</v>
      </c>
      <c r="E747" s="4" t="s">
        <v>69</v>
      </c>
      <c r="F747" s="4" t="s">
        <v>276</v>
      </c>
      <c r="G747" s="4" t="s">
        <v>199</v>
      </c>
      <c r="H747" s="4" t="s">
        <v>76</v>
      </c>
      <c r="I747" s="3"/>
      <c r="J747" s="3"/>
      <c r="K747" s="3"/>
      <c r="L747" s="3"/>
      <c r="M747" s="3"/>
      <c r="N747" s="3"/>
      <c r="O747" s="3"/>
      <c r="P747" s="8"/>
      <c r="Q747" s="8"/>
      <c r="R747" s="3"/>
      <c r="S747" s="3"/>
      <c r="T747" s="3"/>
      <c r="U747" s="5" t="str">
        <f t="shared" si="35"/>
        <v/>
      </c>
    </row>
    <row r="748" spans="1:21" ht="28" customHeight="1" x14ac:dyDescent="0.35">
      <c r="A748" s="4">
        <v>3</v>
      </c>
      <c r="B748" s="4" t="s">
        <v>270</v>
      </c>
      <c r="C748" s="4" t="s">
        <v>277</v>
      </c>
      <c r="D748" s="4" t="s">
        <v>278</v>
      </c>
      <c r="E748" s="4" t="s">
        <v>279</v>
      </c>
      <c r="F748" s="4" t="s">
        <v>280</v>
      </c>
      <c r="G748" s="4" t="s">
        <v>209</v>
      </c>
      <c r="H748" s="4" t="s">
        <v>76</v>
      </c>
      <c r="I748" s="3"/>
      <c r="J748" s="3"/>
      <c r="K748" s="3"/>
      <c r="L748" s="3"/>
      <c r="M748" s="3"/>
      <c r="N748" s="3"/>
      <c r="O748" s="3"/>
      <c r="P748" s="8"/>
      <c r="Q748" s="8"/>
      <c r="R748" s="3"/>
      <c r="S748" s="3"/>
      <c r="T748" s="3"/>
      <c r="U748" s="5" t="str">
        <f t="shared" si="35"/>
        <v/>
      </c>
    </row>
    <row r="749" spans="1:21" ht="28" customHeight="1" x14ac:dyDescent="0.35">
      <c r="A749" s="4">
        <v>4</v>
      </c>
      <c r="B749" s="4" t="s">
        <v>270</v>
      </c>
      <c r="C749" s="4" t="s">
        <v>281</v>
      </c>
      <c r="D749" s="4" t="s">
        <v>282</v>
      </c>
      <c r="E749" s="4" t="s">
        <v>283</v>
      </c>
      <c r="F749" s="4" t="s">
        <v>284</v>
      </c>
      <c r="G749" s="4" t="s">
        <v>204</v>
      </c>
      <c r="H749" s="4" t="s">
        <v>76</v>
      </c>
      <c r="I749" s="3"/>
      <c r="J749" s="3"/>
      <c r="K749" s="3"/>
      <c r="L749" s="3"/>
      <c r="M749" s="3"/>
      <c r="N749" s="3"/>
      <c r="O749" s="3"/>
      <c r="P749" s="8"/>
      <c r="Q749" s="8"/>
      <c r="R749" s="3"/>
      <c r="S749" s="3"/>
      <c r="T749" s="3"/>
      <c r="U749" s="5" t="str">
        <f t="shared" si="35"/>
        <v/>
      </c>
    </row>
    <row r="750" spans="1:21" ht="28" customHeight="1" x14ac:dyDescent="0.35">
      <c r="A750" s="4">
        <v>5</v>
      </c>
      <c r="B750" s="4" t="s">
        <v>285</v>
      </c>
      <c r="C750" s="4" t="s">
        <v>286</v>
      </c>
      <c r="D750" s="4" t="s">
        <v>287</v>
      </c>
      <c r="E750" s="4" t="s">
        <v>69</v>
      </c>
      <c r="F750" s="4" t="s">
        <v>276</v>
      </c>
      <c r="G750" s="4" t="s">
        <v>199</v>
      </c>
      <c r="H750" s="4" t="s">
        <v>76</v>
      </c>
      <c r="I750" s="3"/>
      <c r="J750" s="3"/>
      <c r="K750" s="3"/>
      <c r="L750" s="3"/>
      <c r="M750" s="3"/>
      <c r="N750" s="3"/>
      <c r="O750" s="3"/>
      <c r="P750" s="8"/>
      <c r="Q750" s="8"/>
      <c r="R750" s="3"/>
      <c r="S750" s="3"/>
      <c r="T750" s="3"/>
      <c r="U750" s="5" t="str">
        <f t="shared" si="35"/>
        <v/>
      </c>
    </row>
    <row r="751" spans="1:21" ht="28" customHeight="1" x14ac:dyDescent="0.35">
      <c r="A751" s="4">
        <v>6</v>
      </c>
      <c r="B751" s="4" t="s">
        <v>285</v>
      </c>
      <c r="C751" s="4" t="s">
        <v>288</v>
      </c>
      <c r="D751" s="4" t="s">
        <v>289</v>
      </c>
      <c r="E751" s="4" t="s">
        <v>70</v>
      </c>
      <c r="F751" s="4" t="s">
        <v>276</v>
      </c>
      <c r="G751" s="4" t="s">
        <v>199</v>
      </c>
      <c r="H751" s="4" t="s">
        <v>59</v>
      </c>
      <c r="I751" s="3"/>
      <c r="J751" s="3"/>
      <c r="K751" s="3"/>
      <c r="L751" s="3"/>
      <c r="M751" s="3"/>
      <c r="N751" s="3"/>
      <c r="O751" s="3"/>
      <c r="P751" s="8"/>
      <c r="Q751" s="8"/>
      <c r="R751" s="3"/>
      <c r="S751" s="3"/>
      <c r="T751" s="3"/>
      <c r="U751" s="5" t="str">
        <f t="shared" si="35"/>
        <v/>
      </c>
    </row>
    <row r="752" spans="1:21" ht="28" customHeight="1" x14ac:dyDescent="0.35">
      <c r="A752" s="4">
        <v>7</v>
      </c>
      <c r="B752" s="4" t="s">
        <v>290</v>
      </c>
      <c r="C752" s="4" t="s">
        <v>291</v>
      </c>
      <c r="D752" s="4" t="s">
        <v>292</v>
      </c>
      <c r="E752" s="4" t="s">
        <v>109</v>
      </c>
      <c r="F752" s="4" t="s">
        <v>284</v>
      </c>
      <c r="G752" s="4" t="s">
        <v>204</v>
      </c>
      <c r="H752" s="4" t="s">
        <v>59</v>
      </c>
      <c r="I752" s="3"/>
      <c r="J752" s="3"/>
      <c r="K752" s="3"/>
      <c r="L752" s="3"/>
      <c r="M752" s="3"/>
      <c r="N752" s="3"/>
      <c r="O752" s="3"/>
      <c r="P752" s="8"/>
      <c r="Q752" s="8"/>
      <c r="R752" s="3"/>
      <c r="S752" s="3"/>
      <c r="T752" s="3"/>
      <c r="U752" s="5" t="str">
        <f t="shared" si="35"/>
        <v/>
      </c>
    </row>
    <row r="753" spans="1:21" ht="28" customHeight="1" x14ac:dyDescent="0.35">
      <c r="A753" s="4">
        <v>8</v>
      </c>
      <c r="B753" s="4" t="s">
        <v>290</v>
      </c>
      <c r="C753" s="4" t="s">
        <v>293</v>
      </c>
      <c r="D753" s="4" t="s">
        <v>294</v>
      </c>
      <c r="E753" s="4" t="s">
        <v>70</v>
      </c>
      <c r="F753" s="4" t="s">
        <v>295</v>
      </c>
      <c r="G753" s="4" t="s">
        <v>199</v>
      </c>
      <c r="H753" s="4" t="s">
        <v>76</v>
      </c>
      <c r="I753" s="3"/>
      <c r="J753" s="3"/>
      <c r="K753" s="3"/>
      <c r="L753" s="3"/>
      <c r="M753" s="3"/>
      <c r="N753" s="3"/>
      <c r="O753" s="3"/>
      <c r="P753" s="8"/>
      <c r="Q753" s="8"/>
      <c r="R753" s="3"/>
      <c r="S753" s="3"/>
      <c r="T753" s="3"/>
      <c r="U753" s="5" t="str">
        <f t="shared" si="35"/>
        <v/>
      </c>
    </row>
    <row r="754" spans="1:21" ht="28" customHeight="1" x14ac:dyDescent="0.35">
      <c r="A754" s="4">
        <v>9</v>
      </c>
      <c r="B754" s="4" t="s">
        <v>296</v>
      </c>
      <c r="C754" s="4" t="s">
        <v>297</v>
      </c>
      <c r="D754" s="4" t="s">
        <v>70</v>
      </c>
      <c r="E754" s="4" t="s">
        <v>70</v>
      </c>
      <c r="F754" s="4" t="s">
        <v>295</v>
      </c>
      <c r="G754" s="4" t="s">
        <v>199</v>
      </c>
      <c r="H754" s="4" t="s">
        <v>76</v>
      </c>
      <c r="I754" s="3"/>
      <c r="J754" s="3"/>
      <c r="K754" s="3"/>
      <c r="L754" s="3"/>
      <c r="M754" s="3"/>
      <c r="N754" s="3"/>
      <c r="O754" s="3"/>
      <c r="P754" s="8"/>
      <c r="Q754" s="8"/>
      <c r="R754" s="3"/>
      <c r="S754" s="3"/>
      <c r="T754" s="3"/>
      <c r="U754" s="5" t="str">
        <f t="shared" si="35"/>
        <v/>
      </c>
    </row>
    <row r="755" spans="1:21" ht="28" customHeight="1" x14ac:dyDescent="0.35">
      <c r="A755" s="4">
        <v>10</v>
      </c>
      <c r="B755" s="4" t="s">
        <v>296</v>
      </c>
      <c r="C755" s="4" t="s">
        <v>298</v>
      </c>
      <c r="D755" s="4" t="s">
        <v>299</v>
      </c>
      <c r="E755" s="4" t="s">
        <v>283</v>
      </c>
      <c r="F755" s="4" t="s">
        <v>284</v>
      </c>
      <c r="G755" s="4" t="s">
        <v>204</v>
      </c>
      <c r="H755" s="4" t="s">
        <v>59</v>
      </c>
      <c r="I755" s="3"/>
      <c r="J755" s="3"/>
      <c r="K755" s="3"/>
      <c r="L755" s="3"/>
      <c r="M755" s="3"/>
      <c r="N755" s="3"/>
      <c r="O755" s="3"/>
      <c r="P755" s="8"/>
      <c r="Q755" s="8"/>
      <c r="R755" s="3"/>
      <c r="S755" s="3"/>
      <c r="T755" s="3"/>
      <c r="U755" s="5" t="str">
        <f t="shared" si="35"/>
        <v/>
      </c>
    </row>
    <row r="756" spans="1:21" ht="28" customHeight="1" x14ac:dyDescent="0.35">
      <c r="A756" s="4">
        <v>11</v>
      </c>
      <c r="B756" s="4" t="s">
        <v>300</v>
      </c>
      <c r="C756" s="4" t="s">
        <v>301</v>
      </c>
      <c r="D756" s="4" t="s">
        <v>302</v>
      </c>
      <c r="E756" s="4" t="s">
        <v>56</v>
      </c>
      <c r="F756" s="4" t="s">
        <v>276</v>
      </c>
      <c r="G756" s="4" t="s">
        <v>199</v>
      </c>
      <c r="H756" s="4" t="s">
        <v>76</v>
      </c>
      <c r="I756" s="3"/>
      <c r="J756" s="3"/>
      <c r="K756" s="3"/>
      <c r="L756" s="3"/>
      <c r="M756" s="3"/>
      <c r="N756" s="3"/>
      <c r="O756" s="3"/>
      <c r="P756" s="8"/>
      <c r="Q756" s="8"/>
      <c r="R756" s="3"/>
      <c r="S756" s="3"/>
      <c r="T756" s="3"/>
      <c r="U756" s="5" t="str">
        <f t="shared" si="35"/>
        <v/>
      </c>
    </row>
    <row r="757" spans="1:21" ht="28" customHeight="1" x14ac:dyDescent="0.35">
      <c r="A757" s="4">
        <v>12</v>
      </c>
      <c r="B757" s="4" t="s">
        <v>303</v>
      </c>
      <c r="C757" s="4" t="s">
        <v>304</v>
      </c>
      <c r="D757" s="4" t="s">
        <v>305</v>
      </c>
      <c r="E757" s="4" t="s">
        <v>283</v>
      </c>
      <c r="F757" s="4" t="s">
        <v>276</v>
      </c>
      <c r="G757" s="4" t="s">
        <v>199</v>
      </c>
      <c r="H757" s="4" t="s">
        <v>76</v>
      </c>
      <c r="I757" s="3"/>
      <c r="J757" s="3"/>
      <c r="K757" s="3"/>
      <c r="L757" s="3"/>
      <c r="M757" s="3"/>
      <c r="N757" s="3"/>
      <c r="O757" s="3"/>
      <c r="P757" s="8"/>
      <c r="Q757" s="8"/>
      <c r="R757" s="3"/>
      <c r="S757" s="3"/>
      <c r="T757" s="3"/>
      <c r="U757" s="5" t="str">
        <f t="shared" si="35"/>
        <v/>
      </c>
    </row>
    <row r="758" spans="1:21" ht="28" customHeight="1" x14ac:dyDescent="0.35">
      <c r="A758" s="4">
        <v>13</v>
      </c>
      <c r="B758" s="4" t="s">
        <v>306</v>
      </c>
      <c r="C758" s="4" t="s">
        <v>307</v>
      </c>
      <c r="D758" s="4" t="s">
        <v>308</v>
      </c>
      <c r="E758" s="4" t="s">
        <v>69</v>
      </c>
      <c r="F758" s="4" t="s">
        <v>273</v>
      </c>
      <c r="G758" s="4" t="s">
        <v>96</v>
      </c>
      <c r="H758" s="4" t="s">
        <v>59</v>
      </c>
      <c r="I758" s="3"/>
      <c r="J758" s="3"/>
      <c r="K758" s="3"/>
      <c r="L758" s="3"/>
      <c r="M758" s="3"/>
      <c r="N758" s="3"/>
      <c r="O758" s="3"/>
      <c r="P758" s="8"/>
      <c r="Q758" s="8"/>
      <c r="R758" s="3"/>
      <c r="S758" s="3"/>
      <c r="T758" s="3"/>
      <c r="U758" s="5" t="str">
        <f t="shared" si="35"/>
        <v/>
      </c>
    </row>
    <row r="759" spans="1:21" ht="28" customHeight="1" x14ac:dyDescent="0.35">
      <c r="A759" s="4">
        <v>14</v>
      </c>
      <c r="B759" s="4" t="s">
        <v>97</v>
      </c>
      <c r="C759" s="4" t="s">
        <v>98</v>
      </c>
      <c r="D759" s="4" t="s">
        <v>99</v>
      </c>
      <c r="E759" s="4" t="s">
        <v>69</v>
      </c>
      <c r="F759" s="4" t="s">
        <v>95</v>
      </c>
      <c r="G759" s="4" t="s">
        <v>96</v>
      </c>
      <c r="H759" s="4" t="s">
        <v>59</v>
      </c>
      <c r="I759" s="3"/>
      <c r="J759" s="3"/>
      <c r="K759" s="3"/>
      <c r="L759" s="3"/>
      <c r="M759" s="3"/>
      <c r="N759" s="3"/>
      <c r="O759" s="3"/>
      <c r="P759" s="8"/>
      <c r="Q759" s="8"/>
      <c r="R759" s="3"/>
      <c r="S759" s="3"/>
      <c r="T759" s="3"/>
      <c r="U759" s="5" t="str">
        <f t="shared" si="35"/>
        <v/>
      </c>
    </row>
    <row r="760" spans="1:21" ht="28" customHeight="1" x14ac:dyDescent="0.35">
      <c r="A760" s="4">
        <v>15</v>
      </c>
      <c r="B760" s="4" t="s">
        <v>97</v>
      </c>
      <c r="C760" s="4" t="s">
        <v>100</v>
      </c>
      <c r="D760" s="4" t="s">
        <v>101</v>
      </c>
      <c r="E760" s="4" t="s">
        <v>69</v>
      </c>
      <c r="F760" s="4" t="s">
        <v>95</v>
      </c>
      <c r="G760" s="4" t="s">
        <v>102</v>
      </c>
      <c r="H760" s="4" t="s">
        <v>59</v>
      </c>
      <c r="I760" s="3"/>
      <c r="J760" s="3"/>
      <c r="K760" s="3"/>
      <c r="L760" s="3"/>
      <c r="M760" s="3"/>
      <c r="N760" s="3"/>
      <c r="O760" s="3"/>
      <c r="P760" s="8"/>
      <c r="Q760" s="8"/>
      <c r="R760" s="3"/>
      <c r="S760" s="3"/>
      <c r="T760" s="3"/>
      <c r="U760" s="5" t="str">
        <f t="shared" si="35"/>
        <v/>
      </c>
    </row>
    <row r="761" spans="1:21" ht="28" customHeight="1" x14ac:dyDescent="0.35">
      <c r="A761" s="4">
        <v>16</v>
      </c>
      <c r="B761" s="4" t="s">
        <v>103</v>
      </c>
      <c r="C761" s="4" t="s">
        <v>104</v>
      </c>
      <c r="D761" s="4" t="s">
        <v>105</v>
      </c>
      <c r="E761" s="4" t="s">
        <v>69</v>
      </c>
      <c r="F761" s="4" t="s">
        <v>95</v>
      </c>
      <c r="G761" s="4" t="s">
        <v>96</v>
      </c>
      <c r="H761" s="4" t="s">
        <v>85</v>
      </c>
      <c r="I761" s="3"/>
      <c r="J761" s="3"/>
      <c r="K761" s="3"/>
      <c r="L761" s="3"/>
      <c r="M761" s="3"/>
      <c r="N761" s="3"/>
      <c r="O761" s="3"/>
      <c r="P761" s="8"/>
      <c r="Q761" s="8"/>
      <c r="R761" s="3"/>
      <c r="S761" s="3"/>
      <c r="T761" s="3"/>
      <c r="U761" s="5" t="str">
        <f t="shared" si="35"/>
        <v/>
      </c>
    </row>
    <row r="762" spans="1:21" ht="28" customHeight="1" x14ac:dyDescent="0.35">
      <c r="A762" s="4">
        <v>17</v>
      </c>
      <c r="B762" s="4" t="s">
        <v>106</v>
      </c>
      <c r="C762" s="4" t="s">
        <v>107</v>
      </c>
      <c r="D762" s="4" t="s">
        <v>108</v>
      </c>
      <c r="E762" s="4" t="s">
        <v>109</v>
      </c>
      <c r="F762" s="4" t="s">
        <v>95</v>
      </c>
      <c r="G762" s="4" t="s">
        <v>96</v>
      </c>
      <c r="H762" s="4" t="s">
        <v>59</v>
      </c>
      <c r="I762" s="3"/>
      <c r="J762" s="3"/>
      <c r="K762" s="3"/>
      <c r="L762" s="3"/>
      <c r="M762" s="3"/>
      <c r="N762" s="3"/>
      <c r="O762" s="3"/>
      <c r="P762" s="8"/>
      <c r="Q762" s="8"/>
      <c r="R762" s="3"/>
      <c r="S762" s="3"/>
      <c r="T762" s="3"/>
      <c r="U762" s="5" t="str">
        <f t="shared" si="35"/>
        <v/>
      </c>
    </row>
    <row r="764" spans="1:21" ht="28" customHeight="1" x14ac:dyDescent="0.35">
      <c r="A764" s="9" t="s">
        <v>110</v>
      </c>
      <c r="B764" s="16"/>
      <c r="C764" s="17"/>
      <c r="D764" s="17"/>
      <c r="E764" s="17"/>
      <c r="F764" s="17"/>
      <c r="G764" s="17"/>
      <c r="H764" s="17"/>
      <c r="I764" s="17"/>
      <c r="J764" s="17"/>
      <c r="K764" s="17"/>
      <c r="L764" s="17"/>
      <c r="M764" s="17"/>
      <c r="N764" s="17"/>
      <c r="O764" s="17"/>
      <c r="P764" s="17"/>
      <c r="Q764" s="17"/>
      <c r="R764" s="17"/>
      <c r="S764" s="17"/>
      <c r="T764" s="17"/>
      <c r="U764" s="18"/>
    </row>
    <row r="765" spans="1:21" ht="28" customHeight="1" x14ac:dyDescent="0.35">
      <c r="A765" s="19" t="s">
        <v>340</v>
      </c>
      <c r="B765" s="20"/>
      <c r="C765" s="20"/>
      <c r="D765" s="20"/>
      <c r="E765" s="20"/>
      <c r="F765" s="20"/>
      <c r="G765" s="20"/>
      <c r="H765" s="20"/>
      <c r="I765" s="20"/>
      <c r="J765" s="20"/>
      <c r="K765" s="20"/>
      <c r="L765" s="20"/>
      <c r="M765" s="20"/>
      <c r="N765" s="20"/>
      <c r="O765" s="20"/>
      <c r="P765" s="20"/>
      <c r="Q765" s="20"/>
      <c r="R765" s="20"/>
      <c r="S765" s="20"/>
      <c r="T765" s="20"/>
      <c r="U765" s="21"/>
    </row>
    <row r="766" spans="1:21" ht="28" customHeight="1" x14ac:dyDescent="0.35">
      <c r="A766" s="4" t="s">
        <v>31</v>
      </c>
      <c r="B766" s="3" t="s">
        <v>249</v>
      </c>
      <c r="C766" s="4" t="s">
        <v>32</v>
      </c>
      <c r="D766" s="3"/>
      <c r="E766" s="4" t="s">
        <v>33</v>
      </c>
      <c r="F766" s="8"/>
    </row>
    <row r="767" spans="1:21" ht="28" customHeight="1" x14ac:dyDescent="0.35">
      <c r="A767" s="1" t="s">
        <v>34</v>
      </c>
      <c r="B767" s="1" t="s">
        <v>35</v>
      </c>
      <c r="C767" s="1" t="s">
        <v>36</v>
      </c>
      <c r="D767" s="1" t="s">
        <v>37</v>
      </c>
      <c r="E767" s="1" t="s">
        <v>38</v>
      </c>
      <c r="F767" s="1" t="s">
        <v>39</v>
      </c>
      <c r="G767" s="1" t="s">
        <v>40</v>
      </c>
      <c r="H767" s="1" t="s">
        <v>41</v>
      </c>
      <c r="I767" s="1" t="s">
        <v>42</v>
      </c>
      <c r="J767" s="1" t="s">
        <v>43</v>
      </c>
      <c r="K767" s="1" t="s">
        <v>44</v>
      </c>
      <c r="L767" s="1" t="s">
        <v>45</v>
      </c>
      <c r="M767" s="1" t="s">
        <v>46</v>
      </c>
      <c r="N767" s="1" t="s">
        <v>47</v>
      </c>
      <c r="O767" s="1" t="s">
        <v>48</v>
      </c>
      <c r="P767" s="1" t="s">
        <v>4</v>
      </c>
      <c r="Q767" s="1" t="s">
        <v>49</v>
      </c>
      <c r="R767" s="1" t="s">
        <v>50</v>
      </c>
      <c r="S767" s="1" t="s">
        <v>51</v>
      </c>
      <c r="T767" s="1" t="s">
        <v>52</v>
      </c>
      <c r="U767" s="1" t="s">
        <v>10</v>
      </c>
    </row>
    <row r="768" spans="1:21" ht="28" customHeight="1" x14ac:dyDescent="0.35">
      <c r="A768" s="4">
        <v>1</v>
      </c>
      <c r="B768" s="4" t="s">
        <v>270</v>
      </c>
      <c r="C768" s="4" t="s">
        <v>271</v>
      </c>
      <c r="D768" s="4" t="s">
        <v>272</v>
      </c>
      <c r="E768" s="4" t="s">
        <v>109</v>
      </c>
      <c r="F768" s="4" t="s">
        <v>273</v>
      </c>
      <c r="G768" s="4" t="s">
        <v>199</v>
      </c>
      <c r="H768" s="4" t="s">
        <v>59</v>
      </c>
      <c r="I768" s="3"/>
      <c r="J768" s="3"/>
      <c r="K768" s="3"/>
      <c r="L768" s="3"/>
      <c r="M768" s="3"/>
      <c r="N768" s="3"/>
      <c r="O768" s="3"/>
      <c r="P768" s="8"/>
      <c r="Q768" s="8"/>
      <c r="R768" s="3"/>
      <c r="S768" s="3"/>
      <c r="T768" s="3"/>
      <c r="U768" s="5" t="str">
        <f t="shared" ref="U768:U784" si="36">IF(I768="","",IF(I768="NA","Grey",IF(I768=2,"Green",IF(I768=1,"Amber","Red"))))</f>
        <v/>
      </c>
    </row>
    <row r="769" spans="1:21" ht="28" customHeight="1" x14ac:dyDescent="0.35">
      <c r="A769" s="4">
        <v>2</v>
      </c>
      <c r="B769" s="4" t="s">
        <v>270</v>
      </c>
      <c r="C769" s="4" t="s">
        <v>274</v>
      </c>
      <c r="D769" s="4" t="s">
        <v>275</v>
      </c>
      <c r="E769" s="4" t="s">
        <v>69</v>
      </c>
      <c r="F769" s="4" t="s">
        <v>276</v>
      </c>
      <c r="G769" s="4" t="s">
        <v>199</v>
      </c>
      <c r="H769" s="4" t="s">
        <v>76</v>
      </c>
      <c r="I769" s="3"/>
      <c r="J769" s="3"/>
      <c r="K769" s="3"/>
      <c r="L769" s="3"/>
      <c r="M769" s="3"/>
      <c r="N769" s="3"/>
      <c r="O769" s="3"/>
      <c r="P769" s="8"/>
      <c r="Q769" s="8"/>
      <c r="R769" s="3"/>
      <c r="S769" s="3"/>
      <c r="T769" s="3"/>
      <c r="U769" s="5" t="str">
        <f t="shared" si="36"/>
        <v/>
      </c>
    </row>
    <row r="770" spans="1:21" ht="28" customHeight="1" x14ac:dyDescent="0.35">
      <c r="A770" s="4">
        <v>3</v>
      </c>
      <c r="B770" s="4" t="s">
        <v>270</v>
      </c>
      <c r="C770" s="4" t="s">
        <v>277</v>
      </c>
      <c r="D770" s="4" t="s">
        <v>278</v>
      </c>
      <c r="E770" s="4" t="s">
        <v>279</v>
      </c>
      <c r="F770" s="4" t="s">
        <v>280</v>
      </c>
      <c r="G770" s="4" t="s">
        <v>209</v>
      </c>
      <c r="H770" s="4" t="s">
        <v>76</v>
      </c>
      <c r="I770" s="3"/>
      <c r="J770" s="3"/>
      <c r="K770" s="3"/>
      <c r="L770" s="3"/>
      <c r="M770" s="3"/>
      <c r="N770" s="3"/>
      <c r="O770" s="3"/>
      <c r="P770" s="8"/>
      <c r="Q770" s="8"/>
      <c r="R770" s="3"/>
      <c r="S770" s="3"/>
      <c r="T770" s="3"/>
      <c r="U770" s="5" t="str">
        <f t="shared" si="36"/>
        <v/>
      </c>
    </row>
    <row r="771" spans="1:21" ht="28" customHeight="1" x14ac:dyDescent="0.35">
      <c r="A771" s="4">
        <v>4</v>
      </c>
      <c r="B771" s="4" t="s">
        <v>270</v>
      </c>
      <c r="C771" s="4" t="s">
        <v>281</v>
      </c>
      <c r="D771" s="4" t="s">
        <v>282</v>
      </c>
      <c r="E771" s="4" t="s">
        <v>283</v>
      </c>
      <c r="F771" s="4" t="s">
        <v>284</v>
      </c>
      <c r="G771" s="4" t="s">
        <v>204</v>
      </c>
      <c r="H771" s="4" t="s">
        <v>76</v>
      </c>
      <c r="I771" s="3"/>
      <c r="J771" s="3"/>
      <c r="K771" s="3"/>
      <c r="L771" s="3"/>
      <c r="M771" s="3"/>
      <c r="N771" s="3"/>
      <c r="O771" s="3"/>
      <c r="P771" s="8"/>
      <c r="Q771" s="8"/>
      <c r="R771" s="3"/>
      <c r="S771" s="3"/>
      <c r="T771" s="3"/>
      <c r="U771" s="5" t="str">
        <f t="shared" si="36"/>
        <v/>
      </c>
    </row>
    <row r="772" spans="1:21" ht="28" customHeight="1" x14ac:dyDescent="0.35">
      <c r="A772" s="4">
        <v>5</v>
      </c>
      <c r="B772" s="4" t="s">
        <v>285</v>
      </c>
      <c r="C772" s="4" t="s">
        <v>286</v>
      </c>
      <c r="D772" s="4" t="s">
        <v>287</v>
      </c>
      <c r="E772" s="4" t="s">
        <v>69</v>
      </c>
      <c r="F772" s="4" t="s">
        <v>276</v>
      </c>
      <c r="G772" s="4" t="s">
        <v>199</v>
      </c>
      <c r="H772" s="4" t="s">
        <v>76</v>
      </c>
      <c r="I772" s="3"/>
      <c r="J772" s="3"/>
      <c r="K772" s="3"/>
      <c r="L772" s="3"/>
      <c r="M772" s="3"/>
      <c r="N772" s="3"/>
      <c r="O772" s="3"/>
      <c r="P772" s="8"/>
      <c r="Q772" s="8"/>
      <c r="R772" s="3"/>
      <c r="S772" s="3"/>
      <c r="T772" s="3"/>
      <c r="U772" s="5" t="str">
        <f t="shared" si="36"/>
        <v/>
      </c>
    </row>
    <row r="773" spans="1:21" ht="28" customHeight="1" x14ac:dyDescent="0.35">
      <c r="A773" s="4">
        <v>6</v>
      </c>
      <c r="B773" s="4" t="s">
        <v>285</v>
      </c>
      <c r="C773" s="4" t="s">
        <v>288</v>
      </c>
      <c r="D773" s="4" t="s">
        <v>289</v>
      </c>
      <c r="E773" s="4" t="s">
        <v>70</v>
      </c>
      <c r="F773" s="4" t="s">
        <v>276</v>
      </c>
      <c r="G773" s="4" t="s">
        <v>199</v>
      </c>
      <c r="H773" s="4" t="s">
        <v>59</v>
      </c>
      <c r="I773" s="3"/>
      <c r="J773" s="3"/>
      <c r="K773" s="3"/>
      <c r="L773" s="3"/>
      <c r="M773" s="3"/>
      <c r="N773" s="3"/>
      <c r="O773" s="3"/>
      <c r="P773" s="8"/>
      <c r="Q773" s="8"/>
      <c r="R773" s="3"/>
      <c r="S773" s="3"/>
      <c r="T773" s="3"/>
      <c r="U773" s="5" t="str">
        <f t="shared" si="36"/>
        <v/>
      </c>
    </row>
    <row r="774" spans="1:21" ht="28" customHeight="1" x14ac:dyDescent="0.35">
      <c r="A774" s="4">
        <v>7</v>
      </c>
      <c r="B774" s="4" t="s">
        <v>290</v>
      </c>
      <c r="C774" s="4" t="s">
        <v>291</v>
      </c>
      <c r="D774" s="4" t="s">
        <v>292</v>
      </c>
      <c r="E774" s="4" t="s">
        <v>109</v>
      </c>
      <c r="F774" s="4" t="s">
        <v>284</v>
      </c>
      <c r="G774" s="4" t="s">
        <v>204</v>
      </c>
      <c r="H774" s="4" t="s">
        <v>59</v>
      </c>
      <c r="I774" s="3"/>
      <c r="J774" s="3"/>
      <c r="K774" s="3"/>
      <c r="L774" s="3"/>
      <c r="M774" s="3"/>
      <c r="N774" s="3"/>
      <c r="O774" s="3"/>
      <c r="P774" s="8"/>
      <c r="Q774" s="8"/>
      <c r="R774" s="3"/>
      <c r="S774" s="3"/>
      <c r="T774" s="3"/>
      <c r="U774" s="5" t="str">
        <f t="shared" si="36"/>
        <v/>
      </c>
    </row>
    <row r="775" spans="1:21" ht="28" customHeight="1" x14ac:dyDescent="0.35">
      <c r="A775" s="4">
        <v>8</v>
      </c>
      <c r="B775" s="4" t="s">
        <v>290</v>
      </c>
      <c r="C775" s="4" t="s">
        <v>293</v>
      </c>
      <c r="D775" s="4" t="s">
        <v>294</v>
      </c>
      <c r="E775" s="4" t="s">
        <v>70</v>
      </c>
      <c r="F775" s="4" t="s">
        <v>295</v>
      </c>
      <c r="G775" s="4" t="s">
        <v>199</v>
      </c>
      <c r="H775" s="4" t="s">
        <v>76</v>
      </c>
      <c r="I775" s="3"/>
      <c r="J775" s="3"/>
      <c r="K775" s="3"/>
      <c r="L775" s="3"/>
      <c r="M775" s="3"/>
      <c r="N775" s="3"/>
      <c r="O775" s="3"/>
      <c r="P775" s="8"/>
      <c r="Q775" s="8"/>
      <c r="R775" s="3"/>
      <c r="S775" s="3"/>
      <c r="T775" s="3"/>
      <c r="U775" s="5" t="str">
        <f t="shared" si="36"/>
        <v/>
      </c>
    </row>
    <row r="776" spans="1:21" ht="28" customHeight="1" x14ac:dyDescent="0.35">
      <c r="A776" s="4">
        <v>9</v>
      </c>
      <c r="B776" s="4" t="s">
        <v>296</v>
      </c>
      <c r="C776" s="4" t="s">
        <v>297</v>
      </c>
      <c r="D776" s="4" t="s">
        <v>70</v>
      </c>
      <c r="E776" s="4" t="s">
        <v>70</v>
      </c>
      <c r="F776" s="4" t="s">
        <v>295</v>
      </c>
      <c r="G776" s="4" t="s">
        <v>199</v>
      </c>
      <c r="H776" s="4" t="s">
        <v>76</v>
      </c>
      <c r="I776" s="3"/>
      <c r="J776" s="3"/>
      <c r="K776" s="3"/>
      <c r="L776" s="3"/>
      <c r="M776" s="3"/>
      <c r="N776" s="3"/>
      <c r="O776" s="3"/>
      <c r="P776" s="8"/>
      <c r="Q776" s="8"/>
      <c r="R776" s="3"/>
      <c r="S776" s="3"/>
      <c r="T776" s="3"/>
      <c r="U776" s="5" t="str">
        <f t="shared" si="36"/>
        <v/>
      </c>
    </row>
    <row r="777" spans="1:21" ht="28" customHeight="1" x14ac:dyDescent="0.35">
      <c r="A777" s="4">
        <v>10</v>
      </c>
      <c r="B777" s="4" t="s">
        <v>296</v>
      </c>
      <c r="C777" s="4" t="s">
        <v>298</v>
      </c>
      <c r="D777" s="4" t="s">
        <v>299</v>
      </c>
      <c r="E777" s="4" t="s">
        <v>283</v>
      </c>
      <c r="F777" s="4" t="s">
        <v>284</v>
      </c>
      <c r="G777" s="4" t="s">
        <v>204</v>
      </c>
      <c r="H777" s="4" t="s">
        <v>59</v>
      </c>
      <c r="I777" s="3"/>
      <c r="J777" s="3"/>
      <c r="K777" s="3"/>
      <c r="L777" s="3"/>
      <c r="M777" s="3"/>
      <c r="N777" s="3"/>
      <c r="O777" s="3"/>
      <c r="P777" s="8"/>
      <c r="Q777" s="8"/>
      <c r="R777" s="3"/>
      <c r="S777" s="3"/>
      <c r="T777" s="3"/>
      <c r="U777" s="5" t="str">
        <f t="shared" si="36"/>
        <v/>
      </c>
    </row>
    <row r="778" spans="1:21" ht="28" customHeight="1" x14ac:dyDescent="0.35">
      <c r="A778" s="4">
        <v>11</v>
      </c>
      <c r="B778" s="4" t="s">
        <v>300</v>
      </c>
      <c r="C778" s="4" t="s">
        <v>301</v>
      </c>
      <c r="D778" s="4" t="s">
        <v>302</v>
      </c>
      <c r="E778" s="4" t="s">
        <v>56</v>
      </c>
      <c r="F778" s="4" t="s">
        <v>276</v>
      </c>
      <c r="G778" s="4" t="s">
        <v>199</v>
      </c>
      <c r="H778" s="4" t="s">
        <v>76</v>
      </c>
      <c r="I778" s="3"/>
      <c r="J778" s="3"/>
      <c r="K778" s="3"/>
      <c r="L778" s="3"/>
      <c r="M778" s="3"/>
      <c r="N778" s="3"/>
      <c r="O778" s="3"/>
      <c r="P778" s="8"/>
      <c r="Q778" s="8"/>
      <c r="R778" s="3"/>
      <c r="S778" s="3"/>
      <c r="T778" s="3"/>
      <c r="U778" s="5" t="str">
        <f t="shared" si="36"/>
        <v/>
      </c>
    </row>
    <row r="779" spans="1:21" ht="28" customHeight="1" x14ac:dyDescent="0.35">
      <c r="A779" s="4">
        <v>12</v>
      </c>
      <c r="B779" s="4" t="s">
        <v>303</v>
      </c>
      <c r="C779" s="4" t="s">
        <v>304</v>
      </c>
      <c r="D779" s="4" t="s">
        <v>305</v>
      </c>
      <c r="E779" s="4" t="s">
        <v>283</v>
      </c>
      <c r="F779" s="4" t="s">
        <v>276</v>
      </c>
      <c r="G779" s="4" t="s">
        <v>199</v>
      </c>
      <c r="H779" s="4" t="s">
        <v>76</v>
      </c>
      <c r="I779" s="3"/>
      <c r="J779" s="3"/>
      <c r="K779" s="3"/>
      <c r="L779" s="3"/>
      <c r="M779" s="3"/>
      <c r="N779" s="3"/>
      <c r="O779" s="3"/>
      <c r="P779" s="8"/>
      <c r="Q779" s="8"/>
      <c r="R779" s="3"/>
      <c r="S779" s="3"/>
      <c r="T779" s="3"/>
      <c r="U779" s="5" t="str">
        <f t="shared" si="36"/>
        <v/>
      </c>
    </row>
    <row r="780" spans="1:21" ht="28" customHeight="1" x14ac:dyDescent="0.35">
      <c r="A780" s="4">
        <v>13</v>
      </c>
      <c r="B780" s="4" t="s">
        <v>306</v>
      </c>
      <c r="C780" s="4" t="s">
        <v>307</v>
      </c>
      <c r="D780" s="4" t="s">
        <v>308</v>
      </c>
      <c r="E780" s="4" t="s">
        <v>69</v>
      </c>
      <c r="F780" s="4" t="s">
        <v>273</v>
      </c>
      <c r="G780" s="4" t="s">
        <v>96</v>
      </c>
      <c r="H780" s="4" t="s">
        <v>59</v>
      </c>
      <c r="I780" s="3"/>
      <c r="J780" s="3"/>
      <c r="K780" s="3"/>
      <c r="L780" s="3"/>
      <c r="M780" s="3"/>
      <c r="N780" s="3"/>
      <c r="O780" s="3"/>
      <c r="P780" s="8"/>
      <c r="Q780" s="8"/>
      <c r="R780" s="3"/>
      <c r="S780" s="3"/>
      <c r="T780" s="3"/>
      <c r="U780" s="5" t="str">
        <f t="shared" si="36"/>
        <v/>
      </c>
    </row>
    <row r="781" spans="1:21" ht="28" customHeight="1" x14ac:dyDescent="0.35">
      <c r="A781" s="4">
        <v>14</v>
      </c>
      <c r="B781" s="4" t="s">
        <v>97</v>
      </c>
      <c r="C781" s="4" t="s">
        <v>98</v>
      </c>
      <c r="D781" s="4" t="s">
        <v>99</v>
      </c>
      <c r="E781" s="4" t="s">
        <v>69</v>
      </c>
      <c r="F781" s="4" t="s">
        <v>95</v>
      </c>
      <c r="G781" s="4" t="s">
        <v>96</v>
      </c>
      <c r="H781" s="4" t="s">
        <v>59</v>
      </c>
      <c r="I781" s="3"/>
      <c r="J781" s="3"/>
      <c r="K781" s="3"/>
      <c r="L781" s="3"/>
      <c r="M781" s="3"/>
      <c r="N781" s="3"/>
      <c r="O781" s="3"/>
      <c r="P781" s="8"/>
      <c r="Q781" s="8"/>
      <c r="R781" s="3"/>
      <c r="S781" s="3"/>
      <c r="T781" s="3"/>
      <c r="U781" s="5" t="str">
        <f t="shared" si="36"/>
        <v/>
      </c>
    </row>
    <row r="782" spans="1:21" ht="28" customHeight="1" x14ac:dyDescent="0.35">
      <c r="A782" s="4">
        <v>15</v>
      </c>
      <c r="B782" s="4" t="s">
        <v>97</v>
      </c>
      <c r="C782" s="4" t="s">
        <v>100</v>
      </c>
      <c r="D782" s="4" t="s">
        <v>101</v>
      </c>
      <c r="E782" s="4" t="s">
        <v>69</v>
      </c>
      <c r="F782" s="4" t="s">
        <v>95</v>
      </c>
      <c r="G782" s="4" t="s">
        <v>102</v>
      </c>
      <c r="H782" s="4" t="s">
        <v>59</v>
      </c>
      <c r="I782" s="3"/>
      <c r="J782" s="3"/>
      <c r="K782" s="3"/>
      <c r="L782" s="3"/>
      <c r="M782" s="3"/>
      <c r="N782" s="3"/>
      <c r="O782" s="3"/>
      <c r="P782" s="8"/>
      <c r="Q782" s="8"/>
      <c r="R782" s="3"/>
      <c r="S782" s="3"/>
      <c r="T782" s="3"/>
      <c r="U782" s="5" t="str">
        <f t="shared" si="36"/>
        <v/>
      </c>
    </row>
    <row r="783" spans="1:21" ht="28" customHeight="1" x14ac:dyDescent="0.35">
      <c r="A783" s="4">
        <v>16</v>
      </c>
      <c r="B783" s="4" t="s">
        <v>103</v>
      </c>
      <c r="C783" s="4" t="s">
        <v>104</v>
      </c>
      <c r="D783" s="4" t="s">
        <v>105</v>
      </c>
      <c r="E783" s="4" t="s">
        <v>69</v>
      </c>
      <c r="F783" s="4" t="s">
        <v>95</v>
      </c>
      <c r="G783" s="4" t="s">
        <v>96</v>
      </c>
      <c r="H783" s="4" t="s">
        <v>85</v>
      </c>
      <c r="I783" s="3"/>
      <c r="J783" s="3"/>
      <c r="K783" s="3"/>
      <c r="L783" s="3"/>
      <c r="M783" s="3"/>
      <c r="N783" s="3"/>
      <c r="O783" s="3"/>
      <c r="P783" s="8"/>
      <c r="Q783" s="8"/>
      <c r="R783" s="3"/>
      <c r="S783" s="3"/>
      <c r="T783" s="3"/>
      <c r="U783" s="5" t="str">
        <f t="shared" si="36"/>
        <v/>
      </c>
    </row>
    <row r="784" spans="1:21" ht="28" customHeight="1" x14ac:dyDescent="0.35">
      <c r="A784" s="4">
        <v>17</v>
      </c>
      <c r="B784" s="4" t="s">
        <v>106</v>
      </c>
      <c r="C784" s="4" t="s">
        <v>107</v>
      </c>
      <c r="D784" s="4" t="s">
        <v>108</v>
      </c>
      <c r="E784" s="4" t="s">
        <v>109</v>
      </c>
      <c r="F784" s="4" t="s">
        <v>95</v>
      </c>
      <c r="G784" s="4" t="s">
        <v>96</v>
      </c>
      <c r="H784" s="4" t="s">
        <v>59</v>
      </c>
      <c r="I784" s="3"/>
      <c r="J784" s="3"/>
      <c r="K784" s="3"/>
      <c r="L784" s="3"/>
      <c r="M784" s="3"/>
      <c r="N784" s="3"/>
      <c r="O784" s="3"/>
      <c r="P784" s="8"/>
      <c r="Q784" s="8"/>
      <c r="R784" s="3"/>
      <c r="S784" s="3"/>
      <c r="T784" s="3"/>
      <c r="U784" s="5" t="str">
        <f t="shared" si="36"/>
        <v/>
      </c>
    </row>
    <row r="786" spans="1:21" ht="28" customHeight="1" x14ac:dyDescent="0.35">
      <c r="A786" s="9" t="s">
        <v>110</v>
      </c>
      <c r="B786" s="16"/>
      <c r="C786" s="17"/>
      <c r="D786" s="17"/>
      <c r="E786" s="17"/>
      <c r="F786" s="17"/>
      <c r="G786" s="17"/>
      <c r="H786" s="17"/>
      <c r="I786" s="17"/>
      <c r="J786" s="17"/>
      <c r="K786" s="17"/>
      <c r="L786" s="17"/>
      <c r="M786" s="17"/>
      <c r="N786" s="17"/>
      <c r="O786" s="17"/>
      <c r="P786" s="17"/>
      <c r="Q786" s="17"/>
      <c r="R786" s="17"/>
      <c r="S786" s="17"/>
      <c r="T786" s="17"/>
      <c r="U786" s="18"/>
    </row>
    <row r="787" spans="1:21" ht="28" customHeight="1" x14ac:dyDescent="0.35">
      <c r="A787" s="19" t="s">
        <v>341</v>
      </c>
      <c r="B787" s="20"/>
      <c r="C787" s="20"/>
      <c r="D787" s="20"/>
      <c r="E787" s="20"/>
      <c r="F787" s="20"/>
      <c r="G787" s="20"/>
      <c r="H787" s="20"/>
      <c r="I787" s="20"/>
      <c r="J787" s="20"/>
      <c r="K787" s="20"/>
      <c r="L787" s="20"/>
      <c r="M787" s="20"/>
      <c r="N787" s="20"/>
      <c r="O787" s="20"/>
      <c r="P787" s="20"/>
      <c r="Q787" s="20"/>
      <c r="R787" s="20"/>
      <c r="S787" s="20"/>
      <c r="T787" s="20"/>
      <c r="U787" s="21"/>
    </row>
    <row r="788" spans="1:21" ht="28" customHeight="1" x14ac:dyDescent="0.35">
      <c r="A788" s="4" t="s">
        <v>31</v>
      </c>
      <c r="B788" s="3" t="s">
        <v>250</v>
      </c>
      <c r="C788" s="4" t="s">
        <v>32</v>
      </c>
      <c r="D788" s="3"/>
      <c r="E788" s="4" t="s">
        <v>33</v>
      </c>
      <c r="F788" s="8"/>
    </row>
    <row r="789" spans="1:21" ht="28" customHeight="1" x14ac:dyDescent="0.35">
      <c r="A789" s="1" t="s">
        <v>34</v>
      </c>
      <c r="B789" s="1" t="s">
        <v>35</v>
      </c>
      <c r="C789" s="1" t="s">
        <v>36</v>
      </c>
      <c r="D789" s="1" t="s">
        <v>37</v>
      </c>
      <c r="E789" s="1" t="s">
        <v>38</v>
      </c>
      <c r="F789" s="1" t="s">
        <v>39</v>
      </c>
      <c r="G789" s="1" t="s">
        <v>40</v>
      </c>
      <c r="H789" s="1" t="s">
        <v>41</v>
      </c>
      <c r="I789" s="1" t="s">
        <v>42</v>
      </c>
      <c r="J789" s="1" t="s">
        <v>43</v>
      </c>
      <c r="K789" s="1" t="s">
        <v>44</v>
      </c>
      <c r="L789" s="1" t="s">
        <v>45</v>
      </c>
      <c r="M789" s="1" t="s">
        <v>46</v>
      </c>
      <c r="N789" s="1" t="s">
        <v>47</v>
      </c>
      <c r="O789" s="1" t="s">
        <v>48</v>
      </c>
      <c r="P789" s="1" t="s">
        <v>4</v>
      </c>
      <c r="Q789" s="1" t="s">
        <v>49</v>
      </c>
      <c r="R789" s="1" t="s">
        <v>50</v>
      </c>
      <c r="S789" s="1" t="s">
        <v>51</v>
      </c>
      <c r="T789" s="1" t="s">
        <v>52</v>
      </c>
      <c r="U789" s="1" t="s">
        <v>10</v>
      </c>
    </row>
    <row r="790" spans="1:21" ht="28" customHeight="1" x14ac:dyDescent="0.35">
      <c r="A790" s="4">
        <v>1</v>
      </c>
      <c r="B790" s="4" t="s">
        <v>270</v>
      </c>
      <c r="C790" s="4" t="s">
        <v>271</v>
      </c>
      <c r="D790" s="4" t="s">
        <v>272</v>
      </c>
      <c r="E790" s="4" t="s">
        <v>109</v>
      </c>
      <c r="F790" s="4" t="s">
        <v>273</v>
      </c>
      <c r="G790" s="4" t="s">
        <v>199</v>
      </c>
      <c r="H790" s="4" t="s">
        <v>59</v>
      </c>
      <c r="I790" s="3"/>
      <c r="J790" s="3"/>
      <c r="K790" s="3"/>
      <c r="L790" s="3"/>
      <c r="M790" s="3"/>
      <c r="N790" s="3"/>
      <c r="O790" s="3"/>
      <c r="P790" s="8"/>
      <c r="Q790" s="8"/>
      <c r="R790" s="3"/>
      <c r="S790" s="3"/>
      <c r="T790" s="3"/>
      <c r="U790" s="5" t="str">
        <f t="shared" ref="U790:U806" si="37">IF(I790="","",IF(I790="NA","Grey",IF(I790=2,"Green",IF(I790=1,"Amber","Red"))))</f>
        <v/>
      </c>
    </row>
    <row r="791" spans="1:21" ht="28" customHeight="1" x14ac:dyDescent="0.35">
      <c r="A791" s="4">
        <v>2</v>
      </c>
      <c r="B791" s="4" t="s">
        <v>270</v>
      </c>
      <c r="C791" s="4" t="s">
        <v>274</v>
      </c>
      <c r="D791" s="4" t="s">
        <v>275</v>
      </c>
      <c r="E791" s="4" t="s">
        <v>69</v>
      </c>
      <c r="F791" s="4" t="s">
        <v>276</v>
      </c>
      <c r="G791" s="4" t="s">
        <v>199</v>
      </c>
      <c r="H791" s="4" t="s">
        <v>76</v>
      </c>
      <c r="I791" s="3"/>
      <c r="J791" s="3"/>
      <c r="K791" s="3"/>
      <c r="L791" s="3"/>
      <c r="M791" s="3"/>
      <c r="N791" s="3"/>
      <c r="O791" s="3"/>
      <c r="P791" s="8"/>
      <c r="Q791" s="8"/>
      <c r="R791" s="3"/>
      <c r="S791" s="3"/>
      <c r="T791" s="3"/>
      <c r="U791" s="5" t="str">
        <f t="shared" si="37"/>
        <v/>
      </c>
    </row>
    <row r="792" spans="1:21" ht="28" customHeight="1" x14ac:dyDescent="0.35">
      <c r="A792" s="4">
        <v>3</v>
      </c>
      <c r="B792" s="4" t="s">
        <v>270</v>
      </c>
      <c r="C792" s="4" t="s">
        <v>277</v>
      </c>
      <c r="D792" s="4" t="s">
        <v>278</v>
      </c>
      <c r="E792" s="4" t="s">
        <v>279</v>
      </c>
      <c r="F792" s="4" t="s">
        <v>280</v>
      </c>
      <c r="G792" s="4" t="s">
        <v>209</v>
      </c>
      <c r="H792" s="4" t="s">
        <v>76</v>
      </c>
      <c r="I792" s="3"/>
      <c r="J792" s="3"/>
      <c r="K792" s="3"/>
      <c r="L792" s="3"/>
      <c r="M792" s="3"/>
      <c r="N792" s="3"/>
      <c r="O792" s="3"/>
      <c r="P792" s="8"/>
      <c r="Q792" s="8"/>
      <c r="R792" s="3"/>
      <c r="S792" s="3"/>
      <c r="T792" s="3"/>
      <c r="U792" s="5" t="str">
        <f t="shared" si="37"/>
        <v/>
      </c>
    </row>
    <row r="793" spans="1:21" ht="28" customHeight="1" x14ac:dyDescent="0.35">
      <c r="A793" s="4">
        <v>4</v>
      </c>
      <c r="B793" s="4" t="s">
        <v>270</v>
      </c>
      <c r="C793" s="4" t="s">
        <v>281</v>
      </c>
      <c r="D793" s="4" t="s">
        <v>282</v>
      </c>
      <c r="E793" s="4" t="s">
        <v>283</v>
      </c>
      <c r="F793" s="4" t="s">
        <v>284</v>
      </c>
      <c r="G793" s="4" t="s">
        <v>204</v>
      </c>
      <c r="H793" s="4" t="s">
        <v>76</v>
      </c>
      <c r="I793" s="3"/>
      <c r="J793" s="3"/>
      <c r="K793" s="3"/>
      <c r="L793" s="3"/>
      <c r="M793" s="3"/>
      <c r="N793" s="3"/>
      <c r="O793" s="3"/>
      <c r="P793" s="8"/>
      <c r="Q793" s="8"/>
      <c r="R793" s="3"/>
      <c r="S793" s="3"/>
      <c r="T793" s="3"/>
      <c r="U793" s="5" t="str">
        <f t="shared" si="37"/>
        <v/>
      </c>
    </row>
    <row r="794" spans="1:21" ht="28" customHeight="1" x14ac:dyDescent="0.35">
      <c r="A794" s="4">
        <v>5</v>
      </c>
      <c r="B794" s="4" t="s">
        <v>285</v>
      </c>
      <c r="C794" s="4" t="s">
        <v>286</v>
      </c>
      <c r="D794" s="4" t="s">
        <v>287</v>
      </c>
      <c r="E794" s="4" t="s">
        <v>69</v>
      </c>
      <c r="F794" s="4" t="s">
        <v>276</v>
      </c>
      <c r="G794" s="4" t="s">
        <v>199</v>
      </c>
      <c r="H794" s="4" t="s">
        <v>76</v>
      </c>
      <c r="I794" s="3"/>
      <c r="J794" s="3"/>
      <c r="K794" s="3"/>
      <c r="L794" s="3"/>
      <c r="M794" s="3"/>
      <c r="N794" s="3"/>
      <c r="O794" s="3"/>
      <c r="P794" s="8"/>
      <c r="Q794" s="8"/>
      <c r="R794" s="3"/>
      <c r="S794" s="3"/>
      <c r="T794" s="3"/>
      <c r="U794" s="5" t="str">
        <f t="shared" si="37"/>
        <v/>
      </c>
    </row>
    <row r="795" spans="1:21" ht="28" customHeight="1" x14ac:dyDescent="0.35">
      <c r="A795" s="4">
        <v>6</v>
      </c>
      <c r="B795" s="4" t="s">
        <v>285</v>
      </c>
      <c r="C795" s="4" t="s">
        <v>288</v>
      </c>
      <c r="D795" s="4" t="s">
        <v>289</v>
      </c>
      <c r="E795" s="4" t="s">
        <v>70</v>
      </c>
      <c r="F795" s="4" t="s">
        <v>276</v>
      </c>
      <c r="G795" s="4" t="s">
        <v>199</v>
      </c>
      <c r="H795" s="4" t="s">
        <v>59</v>
      </c>
      <c r="I795" s="3"/>
      <c r="J795" s="3"/>
      <c r="K795" s="3"/>
      <c r="L795" s="3"/>
      <c r="M795" s="3"/>
      <c r="N795" s="3"/>
      <c r="O795" s="3"/>
      <c r="P795" s="8"/>
      <c r="Q795" s="8"/>
      <c r="R795" s="3"/>
      <c r="S795" s="3"/>
      <c r="T795" s="3"/>
      <c r="U795" s="5" t="str">
        <f t="shared" si="37"/>
        <v/>
      </c>
    </row>
    <row r="796" spans="1:21" ht="28" customHeight="1" x14ac:dyDescent="0.35">
      <c r="A796" s="4">
        <v>7</v>
      </c>
      <c r="B796" s="4" t="s">
        <v>290</v>
      </c>
      <c r="C796" s="4" t="s">
        <v>291</v>
      </c>
      <c r="D796" s="4" t="s">
        <v>292</v>
      </c>
      <c r="E796" s="4" t="s">
        <v>109</v>
      </c>
      <c r="F796" s="4" t="s">
        <v>284</v>
      </c>
      <c r="G796" s="4" t="s">
        <v>204</v>
      </c>
      <c r="H796" s="4" t="s">
        <v>59</v>
      </c>
      <c r="I796" s="3"/>
      <c r="J796" s="3"/>
      <c r="K796" s="3"/>
      <c r="L796" s="3"/>
      <c r="M796" s="3"/>
      <c r="N796" s="3"/>
      <c r="O796" s="3"/>
      <c r="P796" s="8"/>
      <c r="Q796" s="8"/>
      <c r="R796" s="3"/>
      <c r="S796" s="3"/>
      <c r="T796" s="3"/>
      <c r="U796" s="5" t="str">
        <f t="shared" si="37"/>
        <v/>
      </c>
    </row>
    <row r="797" spans="1:21" ht="28" customHeight="1" x14ac:dyDescent="0.35">
      <c r="A797" s="4">
        <v>8</v>
      </c>
      <c r="B797" s="4" t="s">
        <v>290</v>
      </c>
      <c r="C797" s="4" t="s">
        <v>293</v>
      </c>
      <c r="D797" s="4" t="s">
        <v>294</v>
      </c>
      <c r="E797" s="4" t="s">
        <v>70</v>
      </c>
      <c r="F797" s="4" t="s">
        <v>295</v>
      </c>
      <c r="G797" s="4" t="s">
        <v>199</v>
      </c>
      <c r="H797" s="4" t="s">
        <v>76</v>
      </c>
      <c r="I797" s="3"/>
      <c r="J797" s="3"/>
      <c r="K797" s="3"/>
      <c r="L797" s="3"/>
      <c r="M797" s="3"/>
      <c r="N797" s="3"/>
      <c r="O797" s="3"/>
      <c r="P797" s="8"/>
      <c r="Q797" s="8"/>
      <c r="R797" s="3"/>
      <c r="S797" s="3"/>
      <c r="T797" s="3"/>
      <c r="U797" s="5" t="str">
        <f t="shared" si="37"/>
        <v/>
      </c>
    </row>
    <row r="798" spans="1:21" ht="28" customHeight="1" x14ac:dyDescent="0.35">
      <c r="A798" s="4">
        <v>9</v>
      </c>
      <c r="B798" s="4" t="s">
        <v>296</v>
      </c>
      <c r="C798" s="4" t="s">
        <v>297</v>
      </c>
      <c r="D798" s="4" t="s">
        <v>70</v>
      </c>
      <c r="E798" s="4" t="s">
        <v>70</v>
      </c>
      <c r="F798" s="4" t="s">
        <v>295</v>
      </c>
      <c r="G798" s="4" t="s">
        <v>199</v>
      </c>
      <c r="H798" s="4" t="s">
        <v>76</v>
      </c>
      <c r="I798" s="3"/>
      <c r="J798" s="3"/>
      <c r="K798" s="3"/>
      <c r="L798" s="3"/>
      <c r="M798" s="3"/>
      <c r="N798" s="3"/>
      <c r="O798" s="3"/>
      <c r="P798" s="8"/>
      <c r="Q798" s="8"/>
      <c r="R798" s="3"/>
      <c r="S798" s="3"/>
      <c r="T798" s="3"/>
      <c r="U798" s="5" t="str">
        <f t="shared" si="37"/>
        <v/>
      </c>
    </row>
    <row r="799" spans="1:21" ht="28" customHeight="1" x14ac:dyDescent="0.35">
      <c r="A799" s="4">
        <v>10</v>
      </c>
      <c r="B799" s="4" t="s">
        <v>296</v>
      </c>
      <c r="C799" s="4" t="s">
        <v>298</v>
      </c>
      <c r="D799" s="4" t="s">
        <v>299</v>
      </c>
      <c r="E799" s="4" t="s">
        <v>283</v>
      </c>
      <c r="F799" s="4" t="s">
        <v>284</v>
      </c>
      <c r="G799" s="4" t="s">
        <v>204</v>
      </c>
      <c r="H799" s="4" t="s">
        <v>59</v>
      </c>
      <c r="I799" s="3"/>
      <c r="J799" s="3"/>
      <c r="K799" s="3"/>
      <c r="L799" s="3"/>
      <c r="M799" s="3"/>
      <c r="N799" s="3"/>
      <c r="O799" s="3"/>
      <c r="P799" s="8"/>
      <c r="Q799" s="8"/>
      <c r="R799" s="3"/>
      <c r="S799" s="3"/>
      <c r="T799" s="3"/>
      <c r="U799" s="5" t="str">
        <f t="shared" si="37"/>
        <v/>
      </c>
    </row>
    <row r="800" spans="1:21" ht="28" customHeight="1" x14ac:dyDescent="0.35">
      <c r="A800" s="4">
        <v>11</v>
      </c>
      <c r="B800" s="4" t="s">
        <v>300</v>
      </c>
      <c r="C800" s="4" t="s">
        <v>301</v>
      </c>
      <c r="D800" s="4" t="s">
        <v>302</v>
      </c>
      <c r="E800" s="4" t="s">
        <v>56</v>
      </c>
      <c r="F800" s="4" t="s">
        <v>276</v>
      </c>
      <c r="G800" s="4" t="s">
        <v>199</v>
      </c>
      <c r="H800" s="4" t="s">
        <v>76</v>
      </c>
      <c r="I800" s="3"/>
      <c r="J800" s="3"/>
      <c r="K800" s="3"/>
      <c r="L800" s="3"/>
      <c r="M800" s="3"/>
      <c r="N800" s="3"/>
      <c r="O800" s="3"/>
      <c r="P800" s="8"/>
      <c r="Q800" s="8"/>
      <c r="R800" s="3"/>
      <c r="S800" s="3"/>
      <c r="T800" s="3"/>
      <c r="U800" s="5" t="str">
        <f t="shared" si="37"/>
        <v/>
      </c>
    </row>
    <row r="801" spans="1:21" ht="28" customHeight="1" x14ac:dyDescent="0.35">
      <c r="A801" s="4">
        <v>12</v>
      </c>
      <c r="B801" s="4" t="s">
        <v>303</v>
      </c>
      <c r="C801" s="4" t="s">
        <v>304</v>
      </c>
      <c r="D801" s="4" t="s">
        <v>305</v>
      </c>
      <c r="E801" s="4" t="s">
        <v>283</v>
      </c>
      <c r="F801" s="4" t="s">
        <v>276</v>
      </c>
      <c r="G801" s="4" t="s">
        <v>199</v>
      </c>
      <c r="H801" s="4" t="s">
        <v>76</v>
      </c>
      <c r="I801" s="3"/>
      <c r="J801" s="3"/>
      <c r="K801" s="3"/>
      <c r="L801" s="3"/>
      <c r="M801" s="3"/>
      <c r="N801" s="3"/>
      <c r="O801" s="3"/>
      <c r="P801" s="8"/>
      <c r="Q801" s="8"/>
      <c r="R801" s="3"/>
      <c r="S801" s="3"/>
      <c r="T801" s="3"/>
      <c r="U801" s="5" t="str">
        <f t="shared" si="37"/>
        <v/>
      </c>
    </row>
    <row r="802" spans="1:21" ht="28" customHeight="1" x14ac:dyDescent="0.35">
      <c r="A802" s="4">
        <v>13</v>
      </c>
      <c r="B802" s="4" t="s">
        <v>306</v>
      </c>
      <c r="C802" s="4" t="s">
        <v>307</v>
      </c>
      <c r="D802" s="4" t="s">
        <v>308</v>
      </c>
      <c r="E802" s="4" t="s">
        <v>69</v>
      </c>
      <c r="F802" s="4" t="s">
        <v>273</v>
      </c>
      <c r="G802" s="4" t="s">
        <v>96</v>
      </c>
      <c r="H802" s="4" t="s">
        <v>59</v>
      </c>
      <c r="I802" s="3"/>
      <c r="J802" s="3"/>
      <c r="K802" s="3"/>
      <c r="L802" s="3"/>
      <c r="M802" s="3"/>
      <c r="N802" s="3"/>
      <c r="O802" s="3"/>
      <c r="P802" s="8"/>
      <c r="Q802" s="8"/>
      <c r="R802" s="3"/>
      <c r="S802" s="3"/>
      <c r="T802" s="3"/>
      <c r="U802" s="5" t="str">
        <f t="shared" si="37"/>
        <v/>
      </c>
    </row>
    <row r="803" spans="1:21" ht="28" customHeight="1" x14ac:dyDescent="0.35">
      <c r="A803" s="4">
        <v>14</v>
      </c>
      <c r="B803" s="4" t="s">
        <v>97</v>
      </c>
      <c r="C803" s="4" t="s">
        <v>98</v>
      </c>
      <c r="D803" s="4" t="s">
        <v>99</v>
      </c>
      <c r="E803" s="4" t="s">
        <v>69</v>
      </c>
      <c r="F803" s="4" t="s">
        <v>95</v>
      </c>
      <c r="G803" s="4" t="s">
        <v>96</v>
      </c>
      <c r="H803" s="4" t="s">
        <v>59</v>
      </c>
      <c r="I803" s="3"/>
      <c r="J803" s="3"/>
      <c r="K803" s="3"/>
      <c r="L803" s="3"/>
      <c r="M803" s="3"/>
      <c r="N803" s="3"/>
      <c r="O803" s="3"/>
      <c r="P803" s="8"/>
      <c r="Q803" s="8"/>
      <c r="R803" s="3"/>
      <c r="S803" s="3"/>
      <c r="T803" s="3"/>
      <c r="U803" s="5" t="str">
        <f t="shared" si="37"/>
        <v/>
      </c>
    </row>
    <row r="804" spans="1:21" ht="28" customHeight="1" x14ac:dyDescent="0.35">
      <c r="A804" s="4">
        <v>15</v>
      </c>
      <c r="B804" s="4" t="s">
        <v>97</v>
      </c>
      <c r="C804" s="4" t="s">
        <v>100</v>
      </c>
      <c r="D804" s="4" t="s">
        <v>101</v>
      </c>
      <c r="E804" s="4" t="s">
        <v>69</v>
      </c>
      <c r="F804" s="4" t="s">
        <v>95</v>
      </c>
      <c r="G804" s="4" t="s">
        <v>102</v>
      </c>
      <c r="H804" s="4" t="s">
        <v>59</v>
      </c>
      <c r="I804" s="3"/>
      <c r="J804" s="3"/>
      <c r="K804" s="3"/>
      <c r="L804" s="3"/>
      <c r="M804" s="3"/>
      <c r="N804" s="3"/>
      <c r="O804" s="3"/>
      <c r="P804" s="8"/>
      <c r="Q804" s="8"/>
      <c r="R804" s="3"/>
      <c r="S804" s="3"/>
      <c r="T804" s="3"/>
      <c r="U804" s="5" t="str">
        <f t="shared" si="37"/>
        <v/>
      </c>
    </row>
    <row r="805" spans="1:21" ht="28" customHeight="1" x14ac:dyDescent="0.35">
      <c r="A805" s="4">
        <v>16</v>
      </c>
      <c r="B805" s="4" t="s">
        <v>103</v>
      </c>
      <c r="C805" s="4" t="s">
        <v>104</v>
      </c>
      <c r="D805" s="4" t="s">
        <v>105</v>
      </c>
      <c r="E805" s="4" t="s">
        <v>69</v>
      </c>
      <c r="F805" s="4" t="s">
        <v>95</v>
      </c>
      <c r="G805" s="4" t="s">
        <v>96</v>
      </c>
      <c r="H805" s="4" t="s">
        <v>85</v>
      </c>
      <c r="I805" s="3"/>
      <c r="J805" s="3"/>
      <c r="K805" s="3"/>
      <c r="L805" s="3"/>
      <c r="M805" s="3"/>
      <c r="N805" s="3"/>
      <c r="O805" s="3"/>
      <c r="P805" s="8"/>
      <c r="Q805" s="8"/>
      <c r="R805" s="3"/>
      <c r="S805" s="3"/>
      <c r="T805" s="3"/>
      <c r="U805" s="5" t="str">
        <f t="shared" si="37"/>
        <v/>
      </c>
    </row>
    <row r="806" spans="1:21" ht="28" customHeight="1" x14ac:dyDescent="0.35">
      <c r="A806" s="4">
        <v>17</v>
      </c>
      <c r="B806" s="4" t="s">
        <v>106</v>
      </c>
      <c r="C806" s="4" t="s">
        <v>107</v>
      </c>
      <c r="D806" s="4" t="s">
        <v>108</v>
      </c>
      <c r="E806" s="4" t="s">
        <v>109</v>
      </c>
      <c r="F806" s="4" t="s">
        <v>95</v>
      </c>
      <c r="G806" s="4" t="s">
        <v>96</v>
      </c>
      <c r="H806" s="4" t="s">
        <v>59</v>
      </c>
      <c r="I806" s="3"/>
      <c r="J806" s="3"/>
      <c r="K806" s="3"/>
      <c r="L806" s="3"/>
      <c r="M806" s="3"/>
      <c r="N806" s="3"/>
      <c r="O806" s="3"/>
      <c r="P806" s="8"/>
      <c r="Q806" s="8"/>
      <c r="R806" s="3"/>
      <c r="S806" s="3"/>
      <c r="T806" s="3"/>
      <c r="U806" s="5" t="str">
        <f t="shared" si="37"/>
        <v/>
      </c>
    </row>
    <row r="808" spans="1:21" ht="28" customHeight="1" x14ac:dyDescent="0.35">
      <c r="A808" s="9" t="s">
        <v>110</v>
      </c>
      <c r="B808" s="16"/>
      <c r="C808" s="17"/>
      <c r="D808" s="17"/>
      <c r="E808" s="17"/>
      <c r="F808" s="17"/>
      <c r="G808" s="17"/>
      <c r="H808" s="17"/>
      <c r="I808" s="17"/>
      <c r="J808" s="17"/>
      <c r="K808" s="17"/>
      <c r="L808" s="17"/>
      <c r="M808" s="17"/>
      <c r="N808" s="17"/>
      <c r="O808" s="17"/>
      <c r="P808" s="17"/>
      <c r="Q808" s="17"/>
      <c r="R808" s="17"/>
      <c r="S808" s="17"/>
      <c r="T808" s="17"/>
      <c r="U808" s="18"/>
    </row>
    <row r="809" spans="1:21" ht="28" customHeight="1" x14ac:dyDescent="0.35">
      <c r="A809" s="19" t="s">
        <v>342</v>
      </c>
      <c r="B809" s="20"/>
      <c r="C809" s="20"/>
      <c r="D809" s="20"/>
      <c r="E809" s="20"/>
      <c r="F809" s="20"/>
      <c r="G809" s="20"/>
      <c r="H809" s="20"/>
      <c r="I809" s="20"/>
      <c r="J809" s="20"/>
      <c r="K809" s="20"/>
      <c r="L809" s="20"/>
      <c r="M809" s="20"/>
      <c r="N809" s="20"/>
      <c r="O809" s="20"/>
      <c r="P809" s="20"/>
      <c r="Q809" s="20"/>
      <c r="R809" s="20"/>
      <c r="S809" s="20"/>
      <c r="T809" s="20"/>
      <c r="U809" s="21"/>
    </row>
    <row r="810" spans="1:21" ht="28" customHeight="1" x14ac:dyDescent="0.35">
      <c r="A810" s="4" t="s">
        <v>31</v>
      </c>
      <c r="B810" s="3" t="s">
        <v>251</v>
      </c>
      <c r="C810" s="4" t="s">
        <v>32</v>
      </c>
      <c r="D810" s="3"/>
      <c r="E810" s="4" t="s">
        <v>33</v>
      </c>
      <c r="F810" s="8"/>
    </row>
    <row r="811" spans="1:21" ht="28" customHeight="1" x14ac:dyDescent="0.35">
      <c r="A811" s="1" t="s">
        <v>34</v>
      </c>
      <c r="B811" s="1" t="s">
        <v>35</v>
      </c>
      <c r="C811" s="1" t="s">
        <v>36</v>
      </c>
      <c r="D811" s="1" t="s">
        <v>37</v>
      </c>
      <c r="E811" s="1" t="s">
        <v>38</v>
      </c>
      <c r="F811" s="1" t="s">
        <v>39</v>
      </c>
      <c r="G811" s="1" t="s">
        <v>40</v>
      </c>
      <c r="H811" s="1" t="s">
        <v>41</v>
      </c>
      <c r="I811" s="1" t="s">
        <v>42</v>
      </c>
      <c r="J811" s="1" t="s">
        <v>43</v>
      </c>
      <c r="K811" s="1" t="s">
        <v>44</v>
      </c>
      <c r="L811" s="1" t="s">
        <v>45</v>
      </c>
      <c r="M811" s="1" t="s">
        <v>46</v>
      </c>
      <c r="N811" s="1" t="s">
        <v>47</v>
      </c>
      <c r="O811" s="1" t="s">
        <v>48</v>
      </c>
      <c r="P811" s="1" t="s">
        <v>4</v>
      </c>
      <c r="Q811" s="1" t="s">
        <v>49</v>
      </c>
      <c r="R811" s="1" t="s">
        <v>50</v>
      </c>
      <c r="S811" s="1" t="s">
        <v>51</v>
      </c>
      <c r="T811" s="1" t="s">
        <v>52</v>
      </c>
      <c r="U811" s="1" t="s">
        <v>10</v>
      </c>
    </row>
    <row r="812" spans="1:21" ht="28" customHeight="1" x14ac:dyDescent="0.35">
      <c r="A812" s="4">
        <v>1</v>
      </c>
      <c r="B812" s="4" t="s">
        <v>270</v>
      </c>
      <c r="C812" s="4" t="s">
        <v>271</v>
      </c>
      <c r="D812" s="4" t="s">
        <v>272</v>
      </c>
      <c r="E812" s="4" t="s">
        <v>109</v>
      </c>
      <c r="F812" s="4" t="s">
        <v>273</v>
      </c>
      <c r="G812" s="4" t="s">
        <v>199</v>
      </c>
      <c r="H812" s="4" t="s">
        <v>59</v>
      </c>
      <c r="I812" s="3"/>
      <c r="J812" s="3"/>
      <c r="K812" s="3"/>
      <c r="L812" s="3"/>
      <c r="M812" s="3"/>
      <c r="N812" s="3"/>
      <c r="O812" s="3"/>
      <c r="P812" s="8"/>
      <c r="Q812" s="8"/>
      <c r="R812" s="3"/>
      <c r="S812" s="3"/>
      <c r="T812" s="3"/>
      <c r="U812" s="5" t="str">
        <f t="shared" ref="U812:U828" si="38">IF(I812="","",IF(I812="NA","Grey",IF(I812=2,"Green",IF(I812=1,"Amber","Red"))))</f>
        <v/>
      </c>
    </row>
    <row r="813" spans="1:21" ht="28" customHeight="1" x14ac:dyDescent="0.35">
      <c r="A813" s="4">
        <v>2</v>
      </c>
      <c r="B813" s="4" t="s">
        <v>270</v>
      </c>
      <c r="C813" s="4" t="s">
        <v>274</v>
      </c>
      <c r="D813" s="4" t="s">
        <v>275</v>
      </c>
      <c r="E813" s="4" t="s">
        <v>69</v>
      </c>
      <c r="F813" s="4" t="s">
        <v>276</v>
      </c>
      <c r="G813" s="4" t="s">
        <v>199</v>
      </c>
      <c r="H813" s="4" t="s">
        <v>76</v>
      </c>
      <c r="I813" s="3"/>
      <c r="J813" s="3"/>
      <c r="K813" s="3"/>
      <c r="L813" s="3"/>
      <c r="M813" s="3"/>
      <c r="N813" s="3"/>
      <c r="O813" s="3"/>
      <c r="P813" s="8"/>
      <c r="Q813" s="8"/>
      <c r="R813" s="3"/>
      <c r="S813" s="3"/>
      <c r="T813" s="3"/>
      <c r="U813" s="5" t="str">
        <f t="shared" si="38"/>
        <v/>
      </c>
    </row>
    <row r="814" spans="1:21" ht="28" customHeight="1" x14ac:dyDescent="0.35">
      <c r="A814" s="4">
        <v>3</v>
      </c>
      <c r="B814" s="4" t="s">
        <v>270</v>
      </c>
      <c r="C814" s="4" t="s">
        <v>277</v>
      </c>
      <c r="D814" s="4" t="s">
        <v>278</v>
      </c>
      <c r="E814" s="4" t="s">
        <v>279</v>
      </c>
      <c r="F814" s="4" t="s">
        <v>280</v>
      </c>
      <c r="G814" s="4" t="s">
        <v>209</v>
      </c>
      <c r="H814" s="4" t="s">
        <v>76</v>
      </c>
      <c r="I814" s="3"/>
      <c r="J814" s="3"/>
      <c r="K814" s="3"/>
      <c r="L814" s="3"/>
      <c r="M814" s="3"/>
      <c r="N814" s="3"/>
      <c r="O814" s="3"/>
      <c r="P814" s="8"/>
      <c r="Q814" s="8"/>
      <c r="R814" s="3"/>
      <c r="S814" s="3"/>
      <c r="T814" s="3"/>
      <c r="U814" s="5" t="str">
        <f t="shared" si="38"/>
        <v/>
      </c>
    </row>
    <row r="815" spans="1:21" ht="28" customHeight="1" x14ac:dyDescent="0.35">
      <c r="A815" s="4">
        <v>4</v>
      </c>
      <c r="B815" s="4" t="s">
        <v>270</v>
      </c>
      <c r="C815" s="4" t="s">
        <v>281</v>
      </c>
      <c r="D815" s="4" t="s">
        <v>282</v>
      </c>
      <c r="E815" s="4" t="s">
        <v>283</v>
      </c>
      <c r="F815" s="4" t="s">
        <v>284</v>
      </c>
      <c r="G815" s="4" t="s">
        <v>204</v>
      </c>
      <c r="H815" s="4" t="s">
        <v>76</v>
      </c>
      <c r="I815" s="3"/>
      <c r="J815" s="3"/>
      <c r="K815" s="3"/>
      <c r="L815" s="3"/>
      <c r="M815" s="3"/>
      <c r="N815" s="3"/>
      <c r="O815" s="3"/>
      <c r="P815" s="8"/>
      <c r="Q815" s="8"/>
      <c r="R815" s="3"/>
      <c r="S815" s="3"/>
      <c r="T815" s="3"/>
      <c r="U815" s="5" t="str">
        <f t="shared" si="38"/>
        <v/>
      </c>
    </row>
    <row r="816" spans="1:21" ht="28" customHeight="1" x14ac:dyDescent="0.35">
      <c r="A816" s="4">
        <v>5</v>
      </c>
      <c r="B816" s="4" t="s">
        <v>285</v>
      </c>
      <c r="C816" s="4" t="s">
        <v>286</v>
      </c>
      <c r="D816" s="4" t="s">
        <v>287</v>
      </c>
      <c r="E816" s="4" t="s">
        <v>69</v>
      </c>
      <c r="F816" s="4" t="s">
        <v>276</v>
      </c>
      <c r="G816" s="4" t="s">
        <v>199</v>
      </c>
      <c r="H816" s="4" t="s">
        <v>76</v>
      </c>
      <c r="I816" s="3"/>
      <c r="J816" s="3"/>
      <c r="K816" s="3"/>
      <c r="L816" s="3"/>
      <c r="M816" s="3"/>
      <c r="N816" s="3"/>
      <c r="O816" s="3"/>
      <c r="P816" s="8"/>
      <c r="Q816" s="8"/>
      <c r="R816" s="3"/>
      <c r="S816" s="3"/>
      <c r="T816" s="3"/>
      <c r="U816" s="5" t="str">
        <f t="shared" si="38"/>
        <v/>
      </c>
    </row>
    <row r="817" spans="1:21" ht="28" customHeight="1" x14ac:dyDescent="0.35">
      <c r="A817" s="4">
        <v>6</v>
      </c>
      <c r="B817" s="4" t="s">
        <v>285</v>
      </c>
      <c r="C817" s="4" t="s">
        <v>288</v>
      </c>
      <c r="D817" s="4" t="s">
        <v>289</v>
      </c>
      <c r="E817" s="4" t="s">
        <v>70</v>
      </c>
      <c r="F817" s="4" t="s">
        <v>276</v>
      </c>
      <c r="G817" s="4" t="s">
        <v>199</v>
      </c>
      <c r="H817" s="4" t="s">
        <v>59</v>
      </c>
      <c r="I817" s="3"/>
      <c r="J817" s="3"/>
      <c r="K817" s="3"/>
      <c r="L817" s="3"/>
      <c r="M817" s="3"/>
      <c r="N817" s="3"/>
      <c r="O817" s="3"/>
      <c r="P817" s="8"/>
      <c r="Q817" s="8"/>
      <c r="R817" s="3"/>
      <c r="S817" s="3"/>
      <c r="T817" s="3"/>
      <c r="U817" s="5" t="str">
        <f t="shared" si="38"/>
        <v/>
      </c>
    </row>
    <row r="818" spans="1:21" ht="28" customHeight="1" x14ac:dyDescent="0.35">
      <c r="A818" s="4">
        <v>7</v>
      </c>
      <c r="B818" s="4" t="s">
        <v>290</v>
      </c>
      <c r="C818" s="4" t="s">
        <v>291</v>
      </c>
      <c r="D818" s="4" t="s">
        <v>292</v>
      </c>
      <c r="E818" s="4" t="s">
        <v>109</v>
      </c>
      <c r="F818" s="4" t="s">
        <v>284</v>
      </c>
      <c r="G818" s="4" t="s">
        <v>204</v>
      </c>
      <c r="H818" s="4" t="s">
        <v>59</v>
      </c>
      <c r="I818" s="3"/>
      <c r="J818" s="3"/>
      <c r="K818" s="3"/>
      <c r="L818" s="3"/>
      <c r="M818" s="3"/>
      <c r="N818" s="3"/>
      <c r="O818" s="3"/>
      <c r="P818" s="8"/>
      <c r="Q818" s="8"/>
      <c r="R818" s="3"/>
      <c r="S818" s="3"/>
      <c r="T818" s="3"/>
      <c r="U818" s="5" t="str">
        <f t="shared" si="38"/>
        <v/>
      </c>
    </row>
    <row r="819" spans="1:21" ht="28" customHeight="1" x14ac:dyDescent="0.35">
      <c r="A819" s="4">
        <v>8</v>
      </c>
      <c r="B819" s="4" t="s">
        <v>290</v>
      </c>
      <c r="C819" s="4" t="s">
        <v>293</v>
      </c>
      <c r="D819" s="4" t="s">
        <v>294</v>
      </c>
      <c r="E819" s="4" t="s">
        <v>70</v>
      </c>
      <c r="F819" s="4" t="s">
        <v>295</v>
      </c>
      <c r="G819" s="4" t="s">
        <v>199</v>
      </c>
      <c r="H819" s="4" t="s">
        <v>76</v>
      </c>
      <c r="I819" s="3"/>
      <c r="J819" s="3"/>
      <c r="K819" s="3"/>
      <c r="L819" s="3"/>
      <c r="M819" s="3"/>
      <c r="N819" s="3"/>
      <c r="O819" s="3"/>
      <c r="P819" s="8"/>
      <c r="Q819" s="8"/>
      <c r="R819" s="3"/>
      <c r="S819" s="3"/>
      <c r="T819" s="3"/>
      <c r="U819" s="5" t="str">
        <f t="shared" si="38"/>
        <v/>
      </c>
    </row>
    <row r="820" spans="1:21" ht="28" customHeight="1" x14ac:dyDescent="0.35">
      <c r="A820" s="4">
        <v>9</v>
      </c>
      <c r="B820" s="4" t="s">
        <v>296</v>
      </c>
      <c r="C820" s="4" t="s">
        <v>297</v>
      </c>
      <c r="D820" s="4" t="s">
        <v>70</v>
      </c>
      <c r="E820" s="4" t="s">
        <v>70</v>
      </c>
      <c r="F820" s="4" t="s">
        <v>295</v>
      </c>
      <c r="G820" s="4" t="s">
        <v>199</v>
      </c>
      <c r="H820" s="4" t="s">
        <v>76</v>
      </c>
      <c r="I820" s="3"/>
      <c r="J820" s="3"/>
      <c r="K820" s="3"/>
      <c r="L820" s="3"/>
      <c r="M820" s="3"/>
      <c r="N820" s="3"/>
      <c r="O820" s="3"/>
      <c r="P820" s="8"/>
      <c r="Q820" s="8"/>
      <c r="R820" s="3"/>
      <c r="S820" s="3"/>
      <c r="T820" s="3"/>
      <c r="U820" s="5" t="str">
        <f t="shared" si="38"/>
        <v/>
      </c>
    </row>
    <row r="821" spans="1:21" ht="28" customHeight="1" x14ac:dyDescent="0.35">
      <c r="A821" s="4">
        <v>10</v>
      </c>
      <c r="B821" s="4" t="s">
        <v>296</v>
      </c>
      <c r="C821" s="4" t="s">
        <v>298</v>
      </c>
      <c r="D821" s="4" t="s">
        <v>299</v>
      </c>
      <c r="E821" s="4" t="s">
        <v>283</v>
      </c>
      <c r="F821" s="4" t="s">
        <v>284</v>
      </c>
      <c r="G821" s="4" t="s">
        <v>204</v>
      </c>
      <c r="H821" s="4" t="s">
        <v>59</v>
      </c>
      <c r="I821" s="3"/>
      <c r="J821" s="3"/>
      <c r="K821" s="3"/>
      <c r="L821" s="3"/>
      <c r="M821" s="3"/>
      <c r="N821" s="3"/>
      <c r="O821" s="3"/>
      <c r="P821" s="8"/>
      <c r="Q821" s="8"/>
      <c r="R821" s="3"/>
      <c r="S821" s="3"/>
      <c r="T821" s="3"/>
      <c r="U821" s="5" t="str">
        <f t="shared" si="38"/>
        <v/>
      </c>
    </row>
    <row r="822" spans="1:21" ht="28" customHeight="1" x14ac:dyDescent="0.35">
      <c r="A822" s="4">
        <v>11</v>
      </c>
      <c r="B822" s="4" t="s">
        <v>300</v>
      </c>
      <c r="C822" s="4" t="s">
        <v>301</v>
      </c>
      <c r="D822" s="4" t="s">
        <v>302</v>
      </c>
      <c r="E822" s="4" t="s">
        <v>56</v>
      </c>
      <c r="F822" s="4" t="s">
        <v>276</v>
      </c>
      <c r="G822" s="4" t="s">
        <v>199</v>
      </c>
      <c r="H822" s="4" t="s">
        <v>76</v>
      </c>
      <c r="I822" s="3"/>
      <c r="J822" s="3"/>
      <c r="K822" s="3"/>
      <c r="L822" s="3"/>
      <c r="M822" s="3"/>
      <c r="N822" s="3"/>
      <c r="O822" s="3"/>
      <c r="P822" s="8"/>
      <c r="Q822" s="8"/>
      <c r="R822" s="3"/>
      <c r="S822" s="3"/>
      <c r="T822" s="3"/>
      <c r="U822" s="5" t="str">
        <f t="shared" si="38"/>
        <v/>
      </c>
    </row>
    <row r="823" spans="1:21" ht="28" customHeight="1" x14ac:dyDescent="0.35">
      <c r="A823" s="4">
        <v>12</v>
      </c>
      <c r="B823" s="4" t="s">
        <v>303</v>
      </c>
      <c r="C823" s="4" t="s">
        <v>304</v>
      </c>
      <c r="D823" s="4" t="s">
        <v>305</v>
      </c>
      <c r="E823" s="4" t="s">
        <v>283</v>
      </c>
      <c r="F823" s="4" t="s">
        <v>276</v>
      </c>
      <c r="G823" s="4" t="s">
        <v>199</v>
      </c>
      <c r="H823" s="4" t="s">
        <v>76</v>
      </c>
      <c r="I823" s="3"/>
      <c r="J823" s="3"/>
      <c r="K823" s="3"/>
      <c r="L823" s="3"/>
      <c r="M823" s="3"/>
      <c r="N823" s="3"/>
      <c r="O823" s="3"/>
      <c r="P823" s="8"/>
      <c r="Q823" s="8"/>
      <c r="R823" s="3"/>
      <c r="S823" s="3"/>
      <c r="T823" s="3"/>
      <c r="U823" s="5" t="str">
        <f t="shared" si="38"/>
        <v/>
      </c>
    </row>
    <row r="824" spans="1:21" ht="28" customHeight="1" x14ac:dyDescent="0.35">
      <c r="A824" s="4">
        <v>13</v>
      </c>
      <c r="B824" s="4" t="s">
        <v>306</v>
      </c>
      <c r="C824" s="4" t="s">
        <v>307</v>
      </c>
      <c r="D824" s="4" t="s">
        <v>308</v>
      </c>
      <c r="E824" s="4" t="s">
        <v>69</v>
      </c>
      <c r="F824" s="4" t="s">
        <v>273</v>
      </c>
      <c r="G824" s="4" t="s">
        <v>96</v>
      </c>
      <c r="H824" s="4" t="s">
        <v>59</v>
      </c>
      <c r="I824" s="3"/>
      <c r="J824" s="3"/>
      <c r="K824" s="3"/>
      <c r="L824" s="3"/>
      <c r="M824" s="3"/>
      <c r="N824" s="3"/>
      <c r="O824" s="3"/>
      <c r="P824" s="8"/>
      <c r="Q824" s="8"/>
      <c r="R824" s="3"/>
      <c r="S824" s="3"/>
      <c r="T824" s="3"/>
      <c r="U824" s="5" t="str">
        <f t="shared" si="38"/>
        <v/>
      </c>
    </row>
    <row r="825" spans="1:21" ht="28" customHeight="1" x14ac:dyDescent="0.35">
      <c r="A825" s="4">
        <v>14</v>
      </c>
      <c r="B825" s="4" t="s">
        <v>97</v>
      </c>
      <c r="C825" s="4" t="s">
        <v>98</v>
      </c>
      <c r="D825" s="4" t="s">
        <v>99</v>
      </c>
      <c r="E825" s="4" t="s">
        <v>69</v>
      </c>
      <c r="F825" s="4" t="s">
        <v>95</v>
      </c>
      <c r="G825" s="4" t="s">
        <v>96</v>
      </c>
      <c r="H825" s="4" t="s">
        <v>59</v>
      </c>
      <c r="I825" s="3"/>
      <c r="J825" s="3"/>
      <c r="K825" s="3"/>
      <c r="L825" s="3"/>
      <c r="M825" s="3"/>
      <c r="N825" s="3"/>
      <c r="O825" s="3"/>
      <c r="P825" s="8"/>
      <c r="Q825" s="8"/>
      <c r="R825" s="3"/>
      <c r="S825" s="3"/>
      <c r="T825" s="3"/>
      <c r="U825" s="5" t="str">
        <f t="shared" si="38"/>
        <v/>
      </c>
    </row>
    <row r="826" spans="1:21" ht="28" customHeight="1" x14ac:dyDescent="0.35">
      <c r="A826" s="4">
        <v>15</v>
      </c>
      <c r="B826" s="4" t="s">
        <v>97</v>
      </c>
      <c r="C826" s="4" t="s">
        <v>100</v>
      </c>
      <c r="D826" s="4" t="s">
        <v>101</v>
      </c>
      <c r="E826" s="4" t="s">
        <v>69</v>
      </c>
      <c r="F826" s="4" t="s">
        <v>95</v>
      </c>
      <c r="G826" s="4" t="s">
        <v>102</v>
      </c>
      <c r="H826" s="4" t="s">
        <v>59</v>
      </c>
      <c r="I826" s="3"/>
      <c r="J826" s="3"/>
      <c r="K826" s="3"/>
      <c r="L826" s="3"/>
      <c r="M826" s="3"/>
      <c r="N826" s="3"/>
      <c r="O826" s="3"/>
      <c r="P826" s="8"/>
      <c r="Q826" s="8"/>
      <c r="R826" s="3"/>
      <c r="S826" s="3"/>
      <c r="T826" s="3"/>
      <c r="U826" s="5" t="str">
        <f t="shared" si="38"/>
        <v/>
      </c>
    </row>
    <row r="827" spans="1:21" ht="28" customHeight="1" x14ac:dyDescent="0.35">
      <c r="A827" s="4">
        <v>16</v>
      </c>
      <c r="B827" s="4" t="s">
        <v>103</v>
      </c>
      <c r="C827" s="4" t="s">
        <v>104</v>
      </c>
      <c r="D827" s="4" t="s">
        <v>105</v>
      </c>
      <c r="E827" s="4" t="s">
        <v>69</v>
      </c>
      <c r="F827" s="4" t="s">
        <v>95</v>
      </c>
      <c r="G827" s="4" t="s">
        <v>96</v>
      </c>
      <c r="H827" s="4" t="s">
        <v>85</v>
      </c>
      <c r="I827" s="3"/>
      <c r="J827" s="3"/>
      <c r="K827" s="3"/>
      <c r="L827" s="3"/>
      <c r="M827" s="3"/>
      <c r="N827" s="3"/>
      <c r="O827" s="3"/>
      <c r="P827" s="8"/>
      <c r="Q827" s="8"/>
      <c r="R827" s="3"/>
      <c r="S827" s="3"/>
      <c r="T827" s="3"/>
      <c r="U827" s="5" t="str">
        <f t="shared" si="38"/>
        <v/>
      </c>
    </row>
    <row r="828" spans="1:21" ht="28" customHeight="1" x14ac:dyDescent="0.35">
      <c r="A828" s="4">
        <v>17</v>
      </c>
      <c r="B828" s="4" t="s">
        <v>106</v>
      </c>
      <c r="C828" s="4" t="s">
        <v>107</v>
      </c>
      <c r="D828" s="4" t="s">
        <v>108</v>
      </c>
      <c r="E828" s="4" t="s">
        <v>109</v>
      </c>
      <c r="F828" s="4" t="s">
        <v>95</v>
      </c>
      <c r="G828" s="4" t="s">
        <v>96</v>
      </c>
      <c r="H828" s="4" t="s">
        <v>59</v>
      </c>
      <c r="I828" s="3"/>
      <c r="J828" s="3"/>
      <c r="K828" s="3"/>
      <c r="L828" s="3"/>
      <c r="M828" s="3"/>
      <c r="N828" s="3"/>
      <c r="O828" s="3"/>
      <c r="P828" s="8"/>
      <c r="Q828" s="8"/>
      <c r="R828" s="3"/>
      <c r="S828" s="3"/>
      <c r="T828" s="3"/>
      <c r="U828" s="5" t="str">
        <f t="shared" si="38"/>
        <v/>
      </c>
    </row>
    <row r="830" spans="1:21" ht="28" customHeight="1" x14ac:dyDescent="0.35">
      <c r="A830" s="9" t="s">
        <v>110</v>
      </c>
      <c r="B830" s="16"/>
      <c r="C830" s="17"/>
      <c r="D830" s="17"/>
      <c r="E830" s="17"/>
      <c r="F830" s="17"/>
      <c r="G830" s="17"/>
      <c r="H830" s="17"/>
      <c r="I830" s="17"/>
      <c r="J830" s="17"/>
      <c r="K830" s="17"/>
      <c r="L830" s="17"/>
      <c r="M830" s="17"/>
      <c r="N830" s="17"/>
      <c r="O830" s="17"/>
      <c r="P830" s="17"/>
      <c r="Q830" s="17"/>
      <c r="R830" s="17"/>
      <c r="S830" s="17"/>
      <c r="T830" s="17"/>
      <c r="U830" s="18"/>
    </row>
    <row r="831" spans="1:21" ht="28" customHeight="1" x14ac:dyDescent="0.35">
      <c r="A831" s="19" t="s">
        <v>343</v>
      </c>
      <c r="B831" s="20"/>
      <c r="C831" s="20"/>
      <c r="D831" s="20"/>
      <c r="E831" s="20"/>
      <c r="F831" s="20"/>
      <c r="G831" s="20"/>
      <c r="H831" s="20"/>
      <c r="I831" s="20"/>
      <c r="J831" s="20"/>
      <c r="K831" s="20"/>
      <c r="L831" s="20"/>
      <c r="M831" s="20"/>
      <c r="N831" s="20"/>
      <c r="O831" s="20"/>
      <c r="P831" s="20"/>
      <c r="Q831" s="20"/>
      <c r="R831" s="20"/>
      <c r="S831" s="20"/>
      <c r="T831" s="20"/>
      <c r="U831" s="21"/>
    </row>
    <row r="832" spans="1:21" ht="28" customHeight="1" x14ac:dyDescent="0.35">
      <c r="A832" s="4" t="s">
        <v>31</v>
      </c>
      <c r="B832" s="3" t="s">
        <v>252</v>
      </c>
      <c r="C832" s="4" t="s">
        <v>32</v>
      </c>
      <c r="D832" s="3"/>
      <c r="E832" s="4" t="s">
        <v>33</v>
      </c>
      <c r="F832" s="8"/>
    </row>
    <row r="833" spans="1:21" ht="28" customHeight="1" x14ac:dyDescent="0.35">
      <c r="A833" s="1" t="s">
        <v>34</v>
      </c>
      <c r="B833" s="1" t="s">
        <v>35</v>
      </c>
      <c r="C833" s="1" t="s">
        <v>36</v>
      </c>
      <c r="D833" s="1" t="s">
        <v>37</v>
      </c>
      <c r="E833" s="1" t="s">
        <v>38</v>
      </c>
      <c r="F833" s="1" t="s">
        <v>39</v>
      </c>
      <c r="G833" s="1" t="s">
        <v>40</v>
      </c>
      <c r="H833" s="1" t="s">
        <v>41</v>
      </c>
      <c r="I833" s="1" t="s">
        <v>42</v>
      </c>
      <c r="J833" s="1" t="s">
        <v>43</v>
      </c>
      <c r="K833" s="1" t="s">
        <v>44</v>
      </c>
      <c r="L833" s="1" t="s">
        <v>45</v>
      </c>
      <c r="M833" s="1" t="s">
        <v>46</v>
      </c>
      <c r="N833" s="1" t="s">
        <v>47</v>
      </c>
      <c r="O833" s="1" t="s">
        <v>48</v>
      </c>
      <c r="P833" s="1" t="s">
        <v>4</v>
      </c>
      <c r="Q833" s="1" t="s">
        <v>49</v>
      </c>
      <c r="R833" s="1" t="s">
        <v>50</v>
      </c>
      <c r="S833" s="1" t="s">
        <v>51</v>
      </c>
      <c r="T833" s="1" t="s">
        <v>52</v>
      </c>
      <c r="U833" s="1" t="s">
        <v>10</v>
      </c>
    </row>
    <row r="834" spans="1:21" ht="28" customHeight="1" x14ac:dyDescent="0.35">
      <c r="A834" s="4">
        <v>1</v>
      </c>
      <c r="B834" s="4" t="s">
        <v>270</v>
      </c>
      <c r="C834" s="4" t="s">
        <v>271</v>
      </c>
      <c r="D834" s="4" t="s">
        <v>272</v>
      </c>
      <c r="E834" s="4" t="s">
        <v>109</v>
      </c>
      <c r="F834" s="4" t="s">
        <v>273</v>
      </c>
      <c r="G834" s="4" t="s">
        <v>199</v>
      </c>
      <c r="H834" s="4" t="s">
        <v>59</v>
      </c>
      <c r="I834" s="3"/>
      <c r="J834" s="3"/>
      <c r="K834" s="3"/>
      <c r="L834" s="3"/>
      <c r="M834" s="3"/>
      <c r="N834" s="3"/>
      <c r="O834" s="3"/>
      <c r="P834" s="8"/>
      <c r="Q834" s="8"/>
      <c r="R834" s="3"/>
      <c r="S834" s="3"/>
      <c r="T834" s="3"/>
      <c r="U834" s="5" t="str">
        <f t="shared" ref="U834:U850" si="39">IF(I834="","",IF(I834="NA","Grey",IF(I834=2,"Green",IF(I834=1,"Amber","Red"))))</f>
        <v/>
      </c>
    </row>
    <row r="835" spans="1:21" ht="28" customHeight="1" x14ac:dyDescent="0.35">
      <c r="A835" s="4">
        <v>2</v>
      </c>
      <c r="B835" s="4" t="s">
        <v>270</v>
      </c>
      <c r="C835" s="4" t="s">
        <v>274</v>
      </c>
      <c r="D835" s="4" t="s">
        <v>275</v>
      </c>
      <c r="E835" s="4" t="s">
        <v>69</v>
      </c>
      <c r="F835" s="4" t="s">
        <v>276</v>
      </c>
      <c r="G835" s="4" t="s">
        <v>199</v>
      </c>
      <c r="H835" s="4" t="s">
        <v>76</v>
      </c>
      <c r="I835" s="3"/>
      <c r="J835" s="3"/>
      <c r="K835" s="3"/>
      <c r="L835" s="3"/>
      <c r="M835" s="3"/>
      <c r="N835" s="3"/>
      <c r="O835" s="3"/>
      <c r="P835" s="8"/>
      <c r="Q835" s="8"/>
      <c r="R835" s="3"/>
      <c r="S835" s="3"/>
      <c r="T835" s="3"/>
      <c r="U835" s="5" t="str">
        <f t="shared" si="39"/>
        <v/>
      </c>
    </row>
    <row r="836" spans="1:21" ht="28" customHeight="1" x14ac:dyDescent="0.35">
      <c r="A836" s="4">
        <v>3</v>
      </c>
      <c r="B836" s="4" t="s">
        <v>270</v>
      </c>
      <c r="C836" s="4" t="s">
        <v>277</v>
      </c>
      <c r="D836" s="4" t="s">
        <v>278</v>
      </c>
      <c r="E836" s="4" t="s">
        <v>279</v>
      </c>
      <c r="F836" s="4" t="s">
        <v>280</v>
      </c>
      <c r="G836" s="4" t="s">
        <v>209</v>
      </c>
      <c r="H836" s="4" t="s">
        <v>76</v>
      </c>
      <c r="I836" s="3"/>
      <c r="J836" s="3"/>
      <c r="K836" s="3"/>
      <c r="L836" s="3"/>
      <c r="M836" s="3"/>
      <c r="N836" s="3"/>
      <c r="O836" s="3"/>
      <c r="P836" s="8"/>
      <c r="Q836" s="8"/>
      <c r="R836" s="3"/>
      <c r="S836" s="3"/>
      <c r="T836" s="3"/>
      <c r="U836" s="5" t="str">
        <f t="shared" si="39"/>
        <v/>
      </c>
    </row>
    <row r="837" spans="1:21" ht="28" customHeight="1" x14ac:dyDescent="0.35">
      <c r="A837" s="4">
        <v>4</v>
      </c>
      <c r="B837" s="4" t="s">
        <v>270</v>
      </c>
      <c r="C837" s="4" t="s">
        <v>281</v>
      </c>
      <c r="D837" s="4" t="s">
        <v>282</v>
      </c>
      <c r="E837" s="4" t="s">
        <v>283</v>
      </c>
      <c r="F837" s="4" t="s">
        <v>284</v>
      </c>
      <c r="G837" s="4" t="s">
        <v>204</v>
      </c>
      <c r="H837" s="4" t="s">
        <v>76</v>
      </c>
      <c r="I837" s="3"/>
      <c r="J837" s="3"/>
      <c r="K837" s="3"/>
      <c r="L837" s="3"/>
      <c r="M837" s="3"/>
      <c r="N837" s="3"/>
      <c r="O837" s="3"/>
      <c r="P837" s="8"/>
      <c r="Q837" s="8"/>
      <c r="R837" s="3"/>
      <c r="S837" s="3"/>
      <c r="T837" s="3"/>
      <c r="U837" s="5" t="str">
        <f t="shared" si="39"/>
        <v/>
      </c>
    </row>
    <row r="838" spans="1:21" ht="28" customHeight="1" x14ac:dyDescent="0.35">
      <c r="A838" s="4">
        <v>5</v>
      </c>
      <c r="B838" s="4" t="s">
        <v>285</v>
      </c>
      <c r="C838" s="4" t="s">
        <v>286</v>
      </c>
      <c r="D838" s="4" t="s">
        <v>287</v>
      </c>
      <c r="E838" s="4" t="s">
        <v>69</v>
      </c>
      <c r="F838" s="4" t="s">
        <v>276</v>
      </c>
      <c r="G838" s="4" t="s">
        <v>199</v>
      </c>
      <c r="H838" s="4" t="s">
        <v>76</v>
      </c>
      <c r="I838" s="3"/>
      <c r="J838" s="3"/>
      <c r="K838" s="3"/>
      <c r="L838" s="3"/>
      <c r="M838" s="3"/>
      <c r="N838" s="3"/>
      <c r="O838" s="3"/>
      <c r="P838" s="8"/>
      <c r="Q838" s="8"/>
      <c r="R838" s="3"/>
      <c r="S838" s="3"/>
      <c r="T838" s="3"/>
      <c r="U838" s="5" t="str">
        <f t="shared" si="39"/>
        <v/>
      </c>
    </row>
    <row r="839" spans="1:21" ht="28" customHeight="1" x14ac:dyDescent="0.35">
      <c r="A839" s="4">
        <v>6</v>
      </c>
      <c r="B839" s="4" t="s">
        <v>285</v>
      </c>
      <c r="C839" s="4" t="s">
        <v>288</v>
      </c>
      <c r="D839" s="4" t="s">
        <v>289</v>
      </c>
      <c r="E839" s="4" t="s">
        <v>70</v>
      </c>
      <c r="F839" s="4" t="s">
        <v>276</v>
      </c>
      <c r="G839" s="4" t="s">
        <v>199</v>
      </c>
      <c r="H839" s="4" t="s">
        <v>59</v>
      </c>
      <c r="I839" s="3"/>
      <c r="J839" s="3"/>
      <c r="K839" s="3"/>
      <c r="L839" s="3"/>
      <c r="M839" s="3"/>
      <c r="N839" s="3"/>
      <c r="O839" s="3"/>
      <c r="P839" s="8"/>
      <c r="Q839" s="8"/>
      <c r="R839" s="3"/>
      <c r="S839" s="3"/>
      <c r="T839" s="3"/>
      <c r="U839" s="5" t="str">
        <f t="shared" si="39"/>
        <v/>
      </c>
    </row>
    <row r="840" spans="1:21" ht="28" customHeight="1" x14ac:dyDescent="0.35">
      <c r="A840" s="4">
        <v>7</v>
      </c>
      <c r="B840" s="4" t="s">
        <v>290</v>
      </c>
      <c r="C840" s="4" t="s">
        <v>291</v>
      </c>
      <c r="D840" s="4" t="s">
        <v>292</v>
      </c>
      <c r="E840" s="4" t="s">
        <v>109</v>
      </c>
      <c r="F840" s="4" t="s">
        <v>284</v>
      </c>
      <c r="G840" s="4" t="s">
        <v>204</v>
      </c>
      <c r="H840" s="4" t="s">
        <v>59</v>
      </c>
      <c r="I840" s="3"/>
      <c r="J840" s="3"/>
      <c r="K840" s="3"/>
      <c r="L840" s="3"/>
      <c r="M840" s="3"/>
      <c r="N840" s="3"/>
      <c r="O840" s="3"/>
      <c r="P840" s="8"/>
      <c r="Q840" s="8"/>
      <c r="R840" s="3"/>
      <c r="S840" s="3"/>
      <c r="T840" s="3"/>
      <c r="U840" s="5" t="str">
        <f t="shared" si="39"/>
        <v/>
      </c>
    </row>
    <row r="841" spans="1:21" ht="28" customHeight="1" x14ac:dyDescent="0.35">
      <c r="A841" s="4">
        <v>8</v>
      </c>
      <c r="B841" s="4" t="s">
        <v>290</v>
      </c>
      <c r="C841" s="4" t="s">
        <v>293</v>
      </c>
      <c r="D841" s="4" t="s">
        <v>294</v>
      </c>
      <c r="E841" s="4" t="s">
        <v>70</v>
      </c>
      <c r="F841" s="4" t="s">
        <v>295</v>
      </c>
      <c r="G841" s="4" t="s">
        <v>199</v>
      </c>
      <c r="H841" s="4" t="s">
        <v>76</v>
      </c>
      <c r="I841" s="3"/>
      <c r="J841" s="3"/>
      <c r="K841" s="3"/>
      <c r="L841" s="3"/>
      <c r="M841" s="3"/>
      <c r="N841" s="3"/>
      <c r="O841" s="3"/>
      <c r="P841" s="8"/>
      <c r="Q841" s="8"/>
      <c r="R841" s="3"/>
      <c r="S841" s="3"/>
      <c r="T841" s="3"/>
      <c r="U841" s="5" t="str">
        <f t="shared" si="39"/>
        <v/>
      </c>
    </row>
    <row r="842" spans="1:21" ht="28" customHeight="1" x14ac:dyDescent="0.35">
      <c r="A842" s="4">
        <v>9</v>
      </c>
      <c r="B842" s="4" t="s">
        <v>296</v>
      </c>
      <c r="C842" s="4" t="s">
        <v>297</v>
      </c>
      <c r="D842" s="4" t="s">
        <v>70</v>
      </c>
      <c r="E842" s="4" t="s">
        <v>70</v>
      </c>
      <c r="F842" s="4" t="s">
        <v>295</v>
      </c>
      <c r="G842" s="4" t="s">
        <v>199</v>
      </c>
      <c r="H842" s="4" t="s">
        <v>76</v>
      </c>
      <c r="I842" s="3"/>
      <c r="J842" s="3"/>
      <c r="K842" s="3"/>
      <c r="L842" s="3"/>
      <c r="M842" s="3"/>
      <c r="N842" s="3"/>
      <c r="O842" s="3"/>
      <c r="P842" s="8"/>
      <c r="Q842" s="8"/>
      <c r="R842" s="3"/>
      <c r="S842" s="3"/>
      <c r="T842" s="3"/>
      <c r="U842" s="5" t="str">
        <f t="shared" si="39"/>
        <v/>
      </c>
    </row>
    <row r="843" spans="1:21" ht="28" customHeight="1" x14ac:dyDescent="0.35">
      <c r="A843" s="4">
        <v>10</v>
      </c>
      <c r="B843" s="4" t="s">
        <v>296</v>
      </c>
      <c r="C843" s="4" t="s">
        <v>298</v>
      </c>
      <c r="D843" s="4" t="s">
        <v>299</v>
      </c>
      <c r="E843" s="4" t="s">
        <v>283</v>
      </c>
      <c r="F843" s="4" t="s">
        <v>284</v>
      </c>
      <c r="G843" s="4" t="s">
        <v>204</v>
      </c>
      <c r="H843" s="4" t="s">
        <v>59</v>
      </c>
      <c r="I843" s="3"/>
      <c r="J843" s="3"/>
      <c r="K843" s="3"/>
      <c r="L843" s="3"/>
      <c r="M843" s="3"/>
      <c r="N843" s="3"/>
      <c r="O843" s="3"/>
      <c r="P843" s="8"/>
      <c r="Q843" s="8"/>
      <c r="R843" s="3"/>
      <c r="S843" s="3"/>
      <c r="T843" s="3"/>
      <c r="U843" s="5" t="str">
        <f t="shared" si="39"/>
        <v/>
      </c>
    </row>
    <row r="844" spans="1:21" ht="28" customHeight="1" x14ac:dyDescent="0.35">
      <c r="A844" s="4">
        <v>11</v>
      </c>
      <c r="B844" s="4" t="s">
        <v>300</v>
      </c>
      <c r="C844" s="4" t="s">
        <v>301</v>
      </c>
      <c r="D844" s="4" t="s">
        <v>302</v>
      </c>
      <c r="E844" s="4" t="s">
        <v>56</v>
      </c>
      <c r="F844" s="4" t="s">
        <v>276</v>
      </c>
      <c r="G844" s="4" t="s">
        <v>199</v>
      </c>
      <c r="H844" s="4" t="s">
        <v>76</v>
      </c>
      <c r="I844" s="3"/>
      <c r="J844" s="3"/>
      <c r="K844" s="3"/>
      <c r="L844" s="3"/>
      <c r="M844" s="3"/>
      <c r="N844" s="3"/>
      <c r="O844" s="3"/>
      <c r="P844" s="8"/>
      <c r="Q844" s="8"/>
      <c r="R844" s="3"/>
      <c r="S844" s="3"/>
      <c r="T844" s="3"/>
      <c r="U844" s="5" t="str">
        <f t="shared" si="39"/>
        <v/>
      </c>
    </row>
    <row r="845" spans="1:21" ht="28" customHeight="1" x14ac:dyDescent="0.35">
      <c r="A845" s="4">
        <v>12</v>
      </c>
      <c r="B845" s="4" t="s">
        <v>303</v>
      </c>
      <c r="C845" s="4" t="s">
        <v>304</v>
      </c>
      <c r="D845" s="4" t="s">
        <v>305</v>
      </c>
      <c r="E845" s="4" t="s">
        <v>283</v>
      </c>
      <c r="F845" s="4" t="s">
        <v>276</v>
      </c>
      <c r="G845" s="4" t="s">
        <v>199</v>
      </c>
      <c r="H845" s="4" t="s">
        <v>76</v>
      </c>
      <c r="I845" s="3"/>
      <c r="J845" s="3"/>
      <c r="K845" s="3"/>
      <c r="L845" s="3"/>
      <c r="M845" s="3"/>
      <c r="N845" s="3"/>
      <c r="O845" s="3"/>
      <c r="P845" s="8"/>
      <c r="Q845" s="8"/>
      <c r="R845" s="3"/>
      <c r="S845" s="3"/>
      <c r="T845" s="3"/>
      <c r="U845" s="5" t="str">
        <f t="shared" si="39"/>
        <v/>
      </c>
    </row>
    <row r="846" spans="1:21" ht="28" customHeight="1" x14ac:dyDescent="0.35">
      <c r="A846" s="4">
        <v>13</v>
      </c>
      <c r="B846" s="4" t="s">
        <v>306</v>
      </c>
      <c r="C846" s="4" t="s">
        <v>307</v>
      </c>
      <c r="D846" s="4" t="s">
        <v>308</v>
      </c>
      <c r="E846" s="4" t="s">
        <v>69</v>
      </c>
      <c r="F846" s="4" t="s">
        <v>273</v>
      </c>
      <c r="G846" s="4" t="s">
        <v>96</v>
      </c>
      <c r="H846" s="4" t="s">
        <v>59</v>
      </c>
      <c r="I846" s="3"/>
      <c r="J846" s="3"/>
      <c r="K846" s="3"/>
      <c r="L846" s="3"/>
      <c r="M846" s="3"/>
      <c r="N846" s="3"/>
      <c r="O846" s="3"/>
      <c r="P846" s="8"/>
      <c r="Q846" s="8"/>
      <c r="R846" s="3"/>
      <c r="S846" s="3"/>
      <c r="T846" s="3"/>
      <c r="U846" s="5" t="str">
        <f t="shared" si="39"/>
        <v/>
      </c>
    </row>
    <row r="847" spans="1:21" ht="28" customHeight="1" x14ac:dyDescent="0.35">
      <c r="A847" s="4">
        <v>14</v>
      </c>
      <c r="B847" s="4" t="s">
        <v>97</v>
      </c>
      <c r="C847" s="4" t="s">
        <v>98</v>
      </c>
      <c r="D847" s="4" t="s">
        <v>99</v>
      </c>
      <c r="E847" s="4" t="s">
        <v>69</v>
      </c>
      <c r="F847" s="4" t="s">
        <v>95</v>
      </c>
      <c r="G847" s="4" t="s">
        <v>96</v>
      </c>
      <c r="H847" s="4" t="s">
        <v>59</v>
      </c>
      <c r="I847" s="3"/>
      <c r="J847" s="3"/>
      <c r="K847" s="3"/>
      <c r="L847" s="3"/>
      <c r="M847" s="3"/>
      <c r="N847" s="3"/>
      <c r="O847" s="3"/>
      <c r="P847" s="8"/>
      <c r="Q847" s="8"/>
      <c r="R847" s="3"/>
      <c r="S847" s="3"/>
      <c r="T847" s="3"/>
      <c r="U847" s="5" t="str">
        <f t="shared" si="39"/>
        <v/>
      </c>
    </row>
    <row r="848" spans="1:21" ht="28" customHeight="1" x14ac:dyDescent="0.35">
      <c r="A848" s="4">
        <v>15</v>
      </c>
      <c r="B848" s="4" t="s">
        <v>97</v>
      </c>
      <c r="C848" s="4" t="s">
        <v>100</v>
      </c>
      <c r="D848" s="4" t="s">
        <v>101</v>
      </c>
      <c r="E848" s="4" t="s">
        <v>69</v>
      </c>
      <c r="F848" s="4" t="s">
        <v>95</v>
      </c>
      <c r="G848" s="4" t="s">
        <v>102</v>
      </c>
      <c r="H848" s="4" t="s">
        <v>59</v>
      </c>
      <c r="I848" s="3"/>
      <c r="J848" s="3"/>
      <c r="K848" s="3"/>
      <c r="L848" s="3"/>
      <c r="M848" s="3"/>
      <c r="N848" s="3"/>
      <c r="O848" s="3"/>
      <c r="P848" s="8"/>
      <c r="Q848" s="8"/>
      <c r="R848" s="3"/>
      <c r="S848" s="3"/>
      <c r="T848" s="3"/>
      <c r="U848" s="5" t="str">
        <f t="shared" si="39"/>
        <v/>
      </c>
    </row>
    <row r="849" spans="1:21" ht="28" customHeight="1" x14ac:dyDescent="0.35">
      <c r="A849" s="4">
        <v>16</v>
      </c>
      <c r="B849" s="4" t="s">
        <v>103</v>
      </c>
      <c r="C849" s="4" t="s">
        <v>104</v>
      </c>
      <c r="D849" s="4" t="s">
        <v>105</v>
      </c>
      <c r="E849" s="4" t="s">
        <v>69</v>
      </c>
      <c r="F849" s="4" t="s">
        <v>95</v>
      </c>
      <c r="G849" s="4" t="s">
        <v>96</v>
      </c>
      <c r="H849" s="4" t="s">
        <v>85</v>
      </c>
      <c r="I849" s="3"/>
      <c r="J849" s="3"/>
      <c r="K849" s="3"/>
      <c r="L849" s="3"/>
      <c r="M849" s="3"/>
      <c r="N849" s="3"/>
      <c r="O849" s="3"/>
      <c r="P849" s="8"/>
      <c r="Q849" s="8"/>
      <c r="R849" s="3"/>
      <c r="S849" s="3"/>
      <c r="T849" s="3"/>
      <c r="U849" s="5" t="str">
        <f t="shared" si="39"/>
        <v/>
      </c>
    </row>
    <row r="850" spans="1:21" ht="28" customHeight="1" x14ac:dyDescent="0.35">
      <c r="A850" s="4">
        <v>17</v>
      </c>
      <c r="B850" s="4" t="s">
        <v>106</v>
      </c>
      <c r="C850" s="4" t="s">
        <v>107</v>
      </c>
      <c r="D850" s="4" t="s">
        <v>108</v>
      </c>
      <c r="E850" s="4" t="s">
        <v>109</v>
      </c>
      <c r="F850" s="4" t="s">
        <v>95</v>
      </c>
      <c r="G850" s="4" t="s">
        <v>96</v>
      </c>
      <c r="H850" s="4" t="s">
        <v>59</v>
      </c>
      <c r="I850" s="3"/>
      <c r="J850" s="3"/>
      <c r="K850" s="3"/>
      <c r="L850" s="3"/>
      <c r="M850" s="3"/>
      <c r="N850" s="3"/>
      <c r="O850" s="3"/>
      <c r="P850" s="8"/>
      <c r="Q850" s="8"/>
      <c r="R850" s="3"/>
      <c r="S850" s="3"/>
      <c r="T850" s="3"/>
      <c r="U850" s="5" t="str">
        <f t="shared" si="39"/>
        <v/>
      </c>
    </row>
    <row r="852" spans="1:21" ht="28" customHeight="1" x14ac:dyDescent="0.35">
      <c r="A852" s="9" t="s">
        <v>110</v>
      </c>
      <c r="B852" s="16"/>
      <c r="C852" s="17"/>
      <c r="D852" s="17"/>
      <c r="E852" s="17"/>
      <c r="F852" s="17"/>
      <c r="G852" s="17"/>
      <c r="H852" s="17"/>
      <c r="I852" s="17"/>
      <c r="J852" s="17"/>
      <c r="K852" s="17"/>
      <c r="L852" s="17"/>
      <c r="M852" s="17"/>
      <c r="N852" s="17"/>
      <c r="O852" s="17"/>
      <c r="P852" s="17"/>
      <c r="Q852" s="17"/>
      <c r="R852" s="17"/>
      <c r="S852" s="17"/>
      <c r="T852" s="17"/>
      <c r="U852" s="18"/>
    </row>
    <row r="853" spans="1:21" ht="28" customHeight="1" x14ac:dyDescent="0.35">
      <c r="A853" s="19" t="s">
        <v>344</v>
      </c>
      <c r="B853" s="20"/>
      <c r="C853" s="20"/>
      <c r="D853" s="20"/>
      <c r="E853" s="20"/>
      <c r="F853" s="20"/>
      <c r="G853" s="20"/>
      <c r="H853" s="20"/>
      <c r="I853" s="20"/>
      <c r="J853" s="20"/>
      <c r="K853" s="20"/>
      <c r="L853" s="20"/>
      <c r="M853" s="20"/>
      <c r="N853" s="20"/>
      <c r="O853" s="20"/>
      <c r="P853" s="20"/>
      <c r="Q853" s="20"/>
      <c r="R853" s="20"/>
      <c r="S853" s="20"/>
      <c r="T853" s="20"/>
      <c r="U853" s="21"/>
    </row>
    <row r="854" spans="1:21" ht="28" customHeight="1" x14ac:dyDescent="0.35">
      <c r="A854" s="4" t="s">
        <v>31</v>
      </c>
      <c r="B854" s="3" t="s">
        <v>253</v>
      </c>
      <c r="C854" s="4" t="s">
        <v>32</v>
      </c>
      <c r="D854" s="3"/>
      <c r="E854" s="4" t="s">
        <v>33</v>
      </c>
      <c r="F854" s="8"/>
    </row>
    <row r="855" spans="1:21" ht="28" customHeight="1" x14ac:dyDescent="0.35">
      <c r="A855" s="1" t="s">
        <v>34</v>
      </c>
      <c r="B855" s="1" t="s">
        <v>35</v>
      </c>
      <c r="C855" s="1" t="s">
        <v>36</v>
      </c>
      <c r="D855" s="1" t="s">
        <v>37</v>
      </c>
      <c r="E855" s="1" t="s">
        <v>38</v>
      </c>
      <c r="F855" s="1" t="s">
        <v>39</v>
      </c>
      <c r="G855" s="1" t="s">
        <v>40</v>
      </c>
      <c r="H855" s="1" t="s">
        <v>41</v>
      </c>
      <c r="I855" s="1" t="s">
        <v>42</v>
      </c>
      <c r="J855" s="1" t="s">
        <v>43</v>
      </c>
      <c r="K855" s="1" t="s">
        <v>44</v>
      </c>
      <c r="L855" s="1" t="s">
        <v>45</v>
      </c>
      <c r="M855" s="1" t="s">
        <v>46</v>
      </c>
      <c r="N855" s="1" t="s">
        <v>47</v>
      </c>
      <c r="O855" s="1" t="s">
        <v>48</v>
      </c>
      <c r="P855" s="1" t="s">
        <v>4</v>
      </c>
      <c r="Q855" s="1" t="s">
        <v>49</v>
      </c>
      <c r="R855" s="1" t="s">
        <v>50</v>
      </c>
      <c r="S855" s="1" t="s">
        <v>51</v>
      </c>
      <c r="T855" s="1" t="s">
        <v>52</v>
      </c>
      <c r="U855" s="1" t="s">
        <v>10</v>
      </c>
    </row>
    <row r="856" spans="1:21" ht="28" customHeight="1" x14ac:dyDescent="0.35">
      <c r="A856" s="4">
        <v>1</v>
      </c>
      <c r="B856" s="4" t="s">
        <v>270</v>
      </c>
      <c r="C856" s="4" t="s">
        <v>271</v>
      </c>
      <c r="D856" s="4" t="s">
        <v>272</v>
      </c>
      <c r="E856" s="4" t="s">
        <v>109</v>
      </c>
      <c r="F856" s="4" t="s">
        <v>273</v>
      </c>
      <c r="G856" s="4" t="s">
        <v>199</v>
      </c>
      <c r="H856" s="4" t="s">
        <v>59</v>
      </c>
      <c r="I856" s="3"/>
      <c r="J856" s="3"/>
      <c r="K856" s="3"/>
      <c r="L856" s="3"/>
      <c r="M856" s="3"/>
      <c r="N856" s="3"/>
      <c r="O856" s="3"/>
      <c r="P856" s="8"/>
      <c r="Q856" s="8"/>
      <c r="R856" s="3"/>
      <c r="S856" s="3"/>
      <c r="T856" s="3"/>
      <c r="U856" s="5" t="str">
        <f t="shared" ref="U856:U872" si="40">IF(I856="","",IF(I856="NA","Grey",IF(I856=2,"Green",IF(I856=1,"Amber","Red"))))</f>
        <v/>
      </c>
    </row>
    <row r="857" spans="1:21" ht="28" customHeight="1" x14ac:dyDescent="0.35">
      <c r="A857" s="4">
        <v>2</v>
      </c>
      <c r="B857" s="4" t="s">
        <v>270</v>
      </c>
      <c r="C857" s="4" t="s">
        <v>274</v>
      </c>
      <c r="D857" s="4" t="s">
        <v>275</v>
      </c>
      <c r="E857" s="4" t="s">
        <v>69</v>
      </c>
      <c r="F857" s="4" t="s">
        <v>276</v>
      </c>
      <c r="G857" s="4" t="s">
        <v>199</v>
      </c>
      <c r="H857" s="4" t="s">
        <v>76</v>
      </c>
      <c r="I857" s="3"/>
      <c r="J857" s="3"/>
      <c r="K857" s="3"/>
      <c r="L857" s="3"/>
      <c r="M857" s="3"/>
      <c r="N857" s="3"/>
      <c r="O857" s="3"/>
      <c r="P857" s="8"/>
      <c r="Q857" s="8"/>
      <c r="R857" s="3"/>
      <c r="S857" s="3"/>
      <c r="T857" s="3"/>
      <c r="U857" s="5" t="str">
        <f t="shared" si="40"/>
        <v/>
      </c>
    </row>
    <row r="858" spans="1:21" ht="28" customHeight="1" x14ac:dyDescent="0.35">
      <c r="A858" s="4">
        <v>3</v>
      </c>
      <c r="B858" s="4" t="s">
        <v>270</v>
      </c>
      <c r="C858" s="4" t="s">
        <v>277</v>
      </c>
      <c r="D858" s="4" t="s">
        <v>278</v>
      </c>
      <c r="E858" s="4" t="s">
        <v>279</v>
      </c>
      <c r="F858" s="4" t="s">
        <v>280</v>
      </c>
      <c r="G858" s="4" t="s">
        <v>209</v>
      </c>
      <c r="H858" s="4" t="s">
        <v>76</v>
      </c>
      <c r="I858" s="3"/>
      <c r="J858" s="3"/>
      <c r="K858" s="3"/>
      <c r="L858" s="3"/>
      <c r="M858" s="3"/>
      <c r="N858" s="3"/>
      <c r="O858" s="3"/>
      <c r="P858" s="8"/>
      <c r="Q858" s="8"/>
      <c r="R858" s="3"/>
      <c r="S858" s="3"/>
      <c r="T858" s="3"/>
      <c r="U858" s="5" t="str">
        <f t="shared" si="40"/>
        <v/>
      </c>
    </row>
    <row r="859" spans="1:21" ht="28" customHeight="1" x14ac:dyDescent="0.35">
      <c r="A859" s="4">
        <v>4</v>
      </c>
      <c r="B859" s="4" t="s">
        <v>270</v>
      </c>
      <c r="C859" s="4" t="s">
        <v>281</v>
      </c>
      <c r="D859" s="4" t="s">
        <v>282</v>
      </c>
      <c r="E859" s="4" t="s">
        <v>283</v>
      </c>
      <c r="F859" s="4" t="s">
        <v>284</v>
      </c>
      <c r="G859" s="4" t="s">
        <v>204</v>
      </c>
      <c r="H859" s="4" t="s">
        <v>76</v>
      </c>
      <c r="I859" s="3"/>
      <c r="J859" s="3"/>
      <c r="K859" s="3"/>
      <c r="L859" s="3"/>
      <c r="M859" s="3"/>
      <c r="N859" s="3"/>
      <c r="O859" s="3"/>
      <c r="P859" s="8"/>
      <c r="Q859" s="8"/>
      <c r="R859" s="3"/>
      <c r="S859" s="3"/>
      <c r="T859" s="3"/>
      <c r="U859" s="5" t="str">
        <f t="shared" si="40"/>
        <v/>
      </c>
    </row>
    <row r="860" spans="1:21" ht="28" customHeight="1" x14ac:dyDescent="0.35">
      <c r="A860" s="4">
        <v>5</v>
      </c>
      <c r="B860" s="4" t="s">
        <v>285</v>
      </c>
      <c r="C860" s="4" t="s">
        <v>286</v>
      </c>
      <c r="D860" s="4" t="s">
        <v>287</v>
      </c>
      <c r="E860" s="4" t="s">
        <v>69</v>
      </c>
      <c r="F860" s="4" t="s">
        <v>276</v>
      </c>
      <c r="G860" s="4" t="s">
        <v>199</v>
      </c>
      <c r="H860" s="4" t="s">
        <v>76</v>
      </c>
      <c r="I860" s="3"/>
      <c r="J860" s="3"/>
      <c r="K860" s="3"/>
      <c r="L860" s="3"/>
      <c r="M860" s="3"/>
      <c r="N860" s="3"/>
      <c r="O860" s="3"/>
      <c r="P860" s="8"/>
      <c r="Q860" s="8"/>
      <c r="R860" s="3"/>
      <c r="S860" s="3"/>
      <c r="T860" s="3"/>
      <c r="U860" s="5" t="str">
        <f t="shared" si="40"/>
        <v/>
      </c>
    </row>
    <row r="861" spans="1:21" ht="28" customHeight="1" x14ac:dyDescent="0.35">
      <c r="A861" s="4">
        <v>6</v>
      </c>
      <c r="B861" s="4" t="s">
        <v>285</v>
      </c>
      <c r="C861" s="4" t="s">
        <v>288</v>
      </c>
      <c r="D861" s="4" t="s">
        <v>289</v>
      </c>
      <c r="E861" s="4" t="s">
        <v>70</v>
      </c>
      <c r="F861" s="4" t="s">
        <v>276</v>
      </c>
      <c r="G861" s="4" t="s">
        <v>199</v>
      </c>
      <c r="H861" s="4" t="s">
        <v>59</v>
      </c>
      <c r="I861" s="3"/>
      <c r="J861" s="3"/>
      <c r="K861" s="3"/>
      <c r="L861" s="3"/>
      <c r="M861" s="3"/>
      <c r="N861" s="3"/>
      <c r="O861" s="3"/>
      <c r="P861" s="8"/>
      <c r="Q861" s="8"/>
      <c r="R861" s="3"/>
      <c r="S861" s="3"/>
      <c r="T861" s="3"/>
      <c r="U861" s="5" t="str">
        <f t="shared" si="40"/>
        <v/>
      </c>
    </row>
    <row r="862" spans="1:21" ht="28" customHeight="1" x14ac:dyDescent="0.35">
      <c r="A862" s="4">
        <v>7</v>
      </c>
      <c r="B862" s="4" t="s">
        <v>290</v>
      </c>
      <c r="C862" s="4" t="s">
        <v>291</v>
      </c>
      <c r="D862" s="4" t="s">
        <v>292</v>
      </c>
      <c r="E862" s="4" t="s">
        <v>109</v>
      </c>
      <c r="F862" s="4" t="s">
        <v>284</v>
      </c>
      <c r="G862" s="4" t="s">
        <v>204</v>
      </c>
      <c r="H862" s="4" t="s">
        <v>59</v>
      </c>
      <c r="I862" s="3"/>
      <c r="J862" s="3"/>
      <c r="K862" s="3"/>
      <c r="L862" s="3"/>
      <c r="M862" s="3"/>
      <c r="N862" s="3"/>
      <c r="O862" s="3"/>
      <c r="P862" s="8"/>
      <c r="Q862" s="8"/>
      <c r="R862" s="3"/>
      <c r="S862" s="3"/>
      <c r="T862" s="3"/>
      <c r="U862" s="5" t="str">
        <f t="shared" si="40"/>
        <v/>
      </c>
    </row>
    <row r="863" spans="1:21" ht="28" customHeight="1" x14ac:dyDescent="0.35">
      <c r="A863" s="4">
        <v>8</v>
      </c>
      <c r="B863" s="4" t="s">
        <v>290</v>
      </c>
      <c r="C863" s="4" t="s">
        <v>293</v>
      </c>
      <c r="D863" s="4" t="s">
        <v>294</v>
      </c>
      <c r="E863" s="4" t="s">
        <v>70</v>
      </c>
      <c r="F863" s="4" t="s">
        <v>295</v>
      </c>
      <c r="G863" s="4" t="s">
        <v>199</v>
      </c>
      <c r="H863" s="4" t="s">
        <v>76</v>
      </c>
      <c r="I863" s="3"/>
      <c r="J863" s="3"/>
      <c r="K863" s="3"/>
      <c r="L863" s="3"/>
      <c r="M863" s="3"/>
      <c r="N863" s="3"/>
      <c r="O863" s="3"/>
      <c r="P863" s="8"/>
      <c r="Q863" s="8"/>
      <c r="R863" s="3"/>
      <c r="S863" s="3"/>
      <c r="T863" s="3"/>
      <c r="U863" s="5" t="str">
        <f t="shared" si="40"/>
        <v/>
      </c>
    </row>
    <row r="864" spans="1:21" ht="28" customHeight="1" x14ac:dyDescent="0.35">
      <c r="A864" s="4">
        <v>9</v>
      </c>
      <c r="B864" s="4" t="s">
        <v>296</v>
      </c>
      <c r="C864" s="4" t="s">
        <v>297</v>
      </c>
      <c r="D864" s="4" t="s">
        <v>70</v>
      </c>
      <c r="E864" s="4" t="s">
        <v>70</v>
      </c>
      <c r="F864" s="4" t="s">
        <v>295</v>
      </c>
      <c r="G864" s="4" t="s">
        <v>199</v>
      </c>
      <c r="H864" s="4" t="s">
        <v>76</v>
      </c>
      <c r="I864" s="3"/>
      <c r="J864" s="3"/>
      <c r="K864" s="3"/>
      <c r="L864" s="3"/>
      <c r="M864" s="3"/>
      <c r="N864" s="3"/>
      <c r="O864" s="3"/>
      <c r="P864" s="8"/>
      <c r="Q864" s="8"/>
      <c r="R864" s="3"/>
      <c r="S864" s="3"/>
      <c r="T864" s="3"/>
      <c r="U864" s="5" t="str">
        <f t="shared" si="40"/>
        <v/>
      </c>
    </row>
    <row r="865" spans="1:21" ht="28" customHeight="1" x14ac:dyDescent="0.35">
      <c r="A865" s="4">
        <v>10</v>
      </c>
      <c r="B865" s="4" t="s">
        <v>296</v>
      </c>
      <c r="C865" s="4" t="s">
        <v>298</v>
      </c>
      <c r="D865" s="4" t="s">
        <v>299</v>
      </c>
      <c r="E865" s="4" t="s">
        <v>283</v>
      </c>
      <c r="F865" s="4" t="s">
        <v>284</v>
      </c>
      <c r="G865" s="4" t="s">
        <v>204</v>
      </c>
      <c r="H865" s="4" t="s">
        <v>59</v>
      </c>
      <c r="I865" s="3"/>
      <c r="J865" s="3"/>
      <c r="K865" s="3"/>
      <c r="L865" s="3"/>
      <c r="M865" s="3"/>
      <c r="N865" s="3"/>
      <c r="O865" s="3"/>
      <c r="P865" s="8"/>
      <c r="Q865" s="8"/>
      <c r="R865" s="3"/>
      <c r="S865" s="3"/>
      <c r="T865" s="3"/>
      <c r="U865" s="5" t="str">
        <f t="shared" si="40"/>
        <v/>
      </c>
    </row>
    <row r="866" spans="1:21" ht="28" customHeight="1" x14ac:dyDescent="0.35">
      <c r="A866" s="4">
        <v>11</v>
      </c>
      <c r="B866" s="4" t="s">
        <v>300</v>
      </c>
      <c r="C866" s="4" t="s">
        <v>301</v>
      </c>
      <c r="D866" s="4" t="s">
        <v>302</v>
      </c>
      <c r="E866" s="4" t="s">
        <v>56</v>
      </c>
      <c r="F866" s="4" t="s">
        <v>276</v>
      </c>
      <c r="G866" s="4" t="s">
        <v>199</v>
      </c>
      <c r="H866" s="4" t="s">
        <v>76</v>
      </c>
      <c r="I866" s="3"/>
      <c r="J866" s="3"/>
      <c r="K866" s="3"/>
      <c r="L866" s="3"/>
      <c r="M866" s="3"/>
      <c r="N866" s="3"/>
      <c r="O866" s="3"/>
      <c r="P866" s="8"/>
      <c r="Q866" s="8"/>
      <c r="R866" s="3"/>
      <c r="S866" s="3"/>
      <c r="T866" s="3"/>
      <c r="U866" s="5" t="str">
        <f t="shared" si="40"/>
        <v/>
      </c>
    </row>
    <row r="867" spans="1:21" ht="28" customHeight="1" x14ac:dyDescent="0.35">
      <c r="A867" s="4">
        <v>12</v>
      </c>
      <c r="B867" s="4" t="s">
        <v>303</v>
      </c>
      <c r="C867" s="4" t="s">
        <v>304</v>
      </c>
      <c r="D867" s="4" t="s">
        <v>305</v>
      </c>
      <c r="E867" s="4" t="s">
        <v>283</v>
      </c>
      <c r="F867" s="4" t="s">
        <v>276</v>
      </c>
      <c r="G867" s="4" t="s">
        <v>199</v>
      </c>
      <c r="H867" s="4" t="s">
        <v>76</v>
      </c>
      <c r="I867" s="3"/>
      <c r="J867" s="3"/>
      <c r="K867" s="3"/>
      <c r="L867" s="3"/>
      <c r="M867" s="3"/>
      <c r="N867" s="3"/>
      <c r="O867" s="3"/>
      <c r="P867" s="8"/>
      <c r="Q867" s="8"/>
      <c r="R867" s="3"/>
      <c r="S867" s="3"/>
      <c r="T867" s="3"/>
      <c r="U867" s="5" t="str">
        <f t="shared" si="40"/>
        <v/>
      </c>
    </row>
    <row r="868" spans="1:21" ht="28" customHeight="1" x14ac:dyDescent="0.35">
      <c r="A868" s="4">
        <v>13</v>
      </c>
      <c r="B868" s="4" t="s">
        <v>306</v>
      </c>
      <c r="C868" s="4" t="s">
        <v>307</v>
      </c>
      <c r="D868" s="4" t="s">
        <v>308</v>
      </c>
      <c r="E868" s="4" t="s">
        <v>69</v>
      </c>
      <c r="F868" s="4" t="s">
        <v>273</v>
      </c>
      <c r="G868" s="4" t="s">
        <v>96</v>
      </c>
      <c r="H868" s="4" t="s">
        <v>59</v>
      </c>
      <c r="I868" s="3"/>
      <c r="J868" s="3"/>
      <c r="K868" s="3"/>
      <c r="L868" s="3"/>
      <c r="M868" s="3"/>
      <c r="N868" s="3"/>
      <c r="O868" s="3"/>
      <c r="P868" s="8"/>
      <c r="Q868" s="8"/>
      <c r="R868" s="3"/>
      <c r="S868" s="3"/>
      <c r="T868" s="3"/>
      <c r="U868" s="5" t="str">
        <f t="shared" si="40"/>
        <v/>
      </c>
    </row>
    <row r="869" spans="1:21" ht="28" customHeight="1" x14ac:dyDescent="0.35">
      <c r="A869" s="4">
        <v>14</v>
      </c>
      <c r="B869" s="4" t="s">
        <v>97</v>
      </c>
      <c r="C869" s="4" t="s">
        <v>98</v>
      </c>
      <c r="D869" s="4" t="s">
        <v>99</v>
      </c>
      <c r="E869" s="4" t="s">
        <v>69</v>
      </c>
      <c r="F869" s="4" t="s">
        <v>95</v>
      </c>
      <c r="G869" s="4" t="s">
        <v>96</v>
      </c>
      <c r="H869" s="4" t="s">
        <v>59</v>
      </c>
      <c r="I869" s="3"/>
      <c r="J869" s="3"/>
      <c r="K869" s="3"/>
      <c r="L869" s="3"/>
      <c r="M869" s="3"/>
      <c r="N869" s="3"/>
      <c r="O869" s="3"/>
      <c r="P869" s="8"/>
      <c r="Q869" s="8"/>
      <c r="R869" s="3"/>
      <c r="S869" s="3"/>
      <c r="T869" s="3"/>
      <c r="U869" s="5" t="str">
        <f t="shared" si="40"/>
        <v/>
      </c>
    </row>
    <row r="870" spans="1:21" ht="28" customHeight="1" x14ac:dyDescent="0.35">
      <c r="A870" s="4">
        <v>15</v>
      </c>
      <c r="B870" s="4" t="s">
        <v>97</v>
      </c>
      <c r="C870" s="4" t="s">
        <v>100</v>
      </c>
      <c r="D870" s="4" t="s">
        <v>101</v>
      </c>
      <c r="E870" s="4" t="s">
        <v>69</v>
      </c>
      <c r="F870" s="4" t="s">
        <v>95</v>
      </c>
      <c r="G870" s="4" t="s">
        <v>102</v>
      </c>
      <c r="H870" s="4" t="s">
        <v>59</v>
      </c>
      <c r="I870" s="3"/>
      <c r="J870" s="3"/>
      <c r="K870" s="3"/>
      <c r="L870" s="3"/>
      <c r="M870" s="3"/>
      <c r="N870" s="3"/>
      <c r="O870" s="3"/>
      <c r="P870" s="8"/>
      <c r="Q870" s="8"/>
      <c r="R870" s="3"/>
      <c r="S870" s="3"/>
      <c r="T870" s="3"/>
      <c r="U870" s="5" t="str">
        <f t="shared" si="40"/>
        <v/>
      </c>
    </row>
    <row r="871" spans="1:21" ht="28" customHeight="1" x14ac:dyDescent="0.35">
      <c r="A871" s="4">
        <v>16</v>
      </c>
      <c r="B871" s="4" t="s">
        <v>103</v>
      </c>
      <c r="C871" s="4" t="s">
        <v>104</v>
      </c>
      <c r="D871" s="4" t="s">
        <v>105</v>
      </c>
      <c r="E871" s="4" t="s">
        <v>69</v>
      </c>
      <c r="F871" s="4" t="s">
        <v>95</v>
      </c>
      <c r="G871" s="4" t="s">
        <v>96</v>
      </c>
      <c r="H871" s="4" t="s">
        <v>85</v>
      </c>
      <c r="I871" s="3"/>
      <c r="J871" s="3"/>
      <c r="K871" s="3"/>
      <c r="L871" s="3"/>
      <c r="M871" s="3"/>
      <c r="N871" s="3"/>
      <c r="O871" s="3"/>
      <c r="P871" s="8"/>
      <c r="Q871" s="8"/>
      <c r="R871" s="3"/>
      <c r="S871" s="3"/>
      <c r="T871" s="3"/>
      <c r="U871" s="5" t="str">
        <f t="shared" si="40"/>
        <v/>
      </c>
    </row>
    <row r="872" spans="1:21" ht="28" customHeight="1" x14ac:dyDescent="0.35">
      <c r="A872" s="4">
        <v>17</v>
      </c>
      <c r="B872" s="4" t="s">
        <v>106</v>
      </c>
      <c r="C872" s="4" t="s">
        <v>107</v>
      </c>
      <c r="D872" s="4" t="s">
        <v>108</v>
      </c>
      <c r="E872" s="4" t="s">
        <v>109</v>
      </c>
      <c r="F872" s="4" t="s">
        <v>95</v>
      </c>
      <c r="G872" s="4" t="s">
        <v>96</v>
      </c>
      <c r="H872" s="4" t="s">
        <v>59</v>
      </c>
      <c r="I872" s="3"/>
      <c r="J872" s="3"/>
      <c r="K872" s="3"/>
      <c r="L872" s="3"/>
      <c r="M872" s="3"/>
      <c r="N872" s="3"/>
      <c r="O872" s="3"/>
      <c r="P872" s="8"/>
      <c r="Q872" s="8"/>
      <c r="R872" s="3"/>
      <c r="S872" s="3"/>
      <c r="T872" s="3"/>
      <c r="U872" s="5" t="str">
        <f t="shared" si="40"/>
        <v/>
      </c>
    </row>
    <row r="874" spans="1:21" ht="28" customHeight="1" x14ac:dyDescent="0.35">
      <c r="A874" s="9" t="s">
        <v>110</v>
      </c>
      <c r="B874" s="16"/>
      <c r="C874" s="17"/>
      <c r="D874" s="17"/>
      <c r="E874" s="17"/>
      <c r="F874" s="17"/>
      <c r="G874" s="17"/>
      <c r="H874" s="17"/>
      <c r="I874" s="17"/>
      <c r="J874" s="17"/>
      <c r="K874" s="17"/>
      <c r="L874" s="17"/>
      <c r="M874" s="17"/>
      <c r="N874" s="17"/>
      <c r="O874" s="17"/>
      <c r="P874" s="17"/>
      <c r="Q874" s="17"/>
      <c r="R874" s="17"/>
      <c r="S874" s="17"/>
      <c r="T874" s="17"/>
      <c r="U874" s="18"/>
    </row>
    <row r="875" spans="1:21" ht="28" customHeight="1" x14ac:dyDescent="0.35">
      <c r="A875" s="19" t="s">
        <v>345</v>
      </c>
      <c r="B875" s="20"/>
      <c r="C875" s="20"/>
      <c r="D875" s="20"/>
      <c r="E875" s="20"/>
      <c r="F875" s="20"/>
      <c r="G875" s="20"/>
      <c r="H875" s="20"/>
      <c r="I875" s="20"/>
      <c r="J875" s="20"/>
      <c r="K875" s="20"/>
      <c r="L875" s="20"/>
      <c r="M875" s="20"/>
      <c r="N875" s="20"/>
      <c r="O875" s="20"/>
      <c r="P875" s="20"/>
      <c r="Q875" s="20"/>
      <c r="R875" s="20"/>
      <c r="S875" s="20"/>
      <c r="T875" s="20"/>
      <c r="U875" s="21"/>
    </row>
    <row r="876" spans="1:21" ht="28" customHeight="1" x14ac:dyDescent="0.35">
      <c r="A876" s="4" t="s">
        <v>31</v>
      </c>
      <c r="B876" s="3" t="s">
        <v>254</v>
      </c>
      <c r="C876" s="4" t="s">
        <v>32</v>
      </c>
      <c r="D876" s="3"/>
      <c r="E876" s="4" t="s">
        <v>33</v>
      </c>
      <c r="F876" s="8"/>
    </row>
    <row r="877" spans="1:21" ht="28" customHeight="1" x14ac:dyDescent="0.35">
      <c r="A877" s="1" t="s">
        <v>34</v>
      </c>
      <c r="B877" s="1" t="s">
        <v>35</v>
      </c>
      <c r="C877" s="1" t="s">
        <v>36</v>
      </c>
      <c r="D877" s="1" t="s">
        <v>37</v>
      </c>
      <c r="E877" s="1" t="s">
        <v>38</v>
      </c>
      <c r="F877" s="1" t="s">
        <v>39</v>
      </c>
      <c r="G877" s="1" t="s">
        <v>40</v>
      </c>
      <c r="H877" s="1" t="s">
        <v>41</v>
      </c>
      <c r="I877" s="1" t="s">
        <v>42</v>
      </c>
      <c r="J877" s="1" t="s">
        <v>43</v>
      </c>
      <c r="K877" s="1" t="s">
        <v>44</v>
      </c>
      <c r="L877" s="1" t="s">
        <v>45</v>
      </c>
      <c r="M877" s="1" t="s">
        <v>46</v>
      </c>
      <c r="N877" s="1" t="s">
        <v>47</v>
      </c>
      <c r="O877" s="1" t="s">
        <v>48</v>
      </c>
      <c r="P877" s="1" t="s">
        <v>4</v>
      </c>
      <c r="Q877" s="1" t="s">
        <v>49</v>
      </c>
      <c r="R877" s="1" t="s">
        <v>50</v>
      </c>
      <c r="S877" s="1" t="s">
        <v>51</v>
      </c>
      <c r="T877" s="1" t="s">
        <v>52</v>
      </c>
      <c r="U877" s="1" t="s">
        <v>10</v>
      </c>
    </row>
    <row r="878" spans="1:21" ht="28" customHeight="1" x14ac:dyDescent="0.35">
      <c r="A878" s="4">
        <v>1</v>
      </c>
      <c r="B878" s="4" t="s">
        <v>270</v>
      </c>
      <c r="C878" s="4" t="s">
        <v>271</v>
      </c>
      <c r="D878" s="4" t="s">
        <v>272</v>
      </c>
      <c r="E878" s="4" t="s">
        <v>109</v>
      </c>
      <c r="F878" s="4" t="s">
        <v>273</v>
      </c>
      <c r="G878" s="4" t="s">
        <v>199</v>
      </c>
      <c r="H878" s="4" t="s">
        <v>59</v>
      </c>
      <c r="I878" s="3"/>
      <c r="J878" s="3"/>
      <c r="K878" s="3"/>
      <c r="L878" s="3"/>
      <c r="M878" s="3"/>
      <c r="N878" s="3"/>
      <c r="O878" s="3"/>
      <c r="P878" s="8"/>
      <c r="Q878" s="8"/>
      <c r="R878" s="3"/>
      <c r="S878" s="3"/>
      <c r="T878" s="3"/>
      <c r="U878" s="5" t="str">
        <f t="shared" ref="U878:U894" si="41">IF(I878="","",IF(I878="NA","Grey",IF(I878=2,"Green",IF(I878=1,"Amber","Red"))))</f>
        <v/>
      </c>
    </row>
    <row r="879" spans="1:21" ht="28" customHeight="1" x14ac:dyDescent="0.35">
      <c r="A879" s="4">
        <v>2</v>
      </c>
      <c r="B879" s="4" t="s">
        <v>270</v>
      </c>
      <c r="C879" s="4" t="s">
        <v>274</v>
      </c>
      <c r="D879" s="4" t="s">
        <v>275</v>
      </c>
      <c r="E879" s="4" t="s">
        <v>69</v>
      </c>
      <c r="F879" s="4" t="s">
        <v>276</v>
      </c>
      <c r="G879" s="4" t="s">
        <v>199</v>
      </c>
      <c r="H879" s="4" t="s">
        <v>76</v>
      </c>
      <c r="I879" s="3"/>
      <c r="J879" s="3"/>
      <c r="K879" s="3"/>
      <c r="L879" s="3"/>
      <c r="M879" s="3"/>
      <c r="N879" s="3"/>
      <c r="O879" s="3"/>
      <c r="P879" s="8"/>
      <c r="Q879" s="8"/>
      <c r="R879" s="3"/>
      <c r="S879" s="3"/>
      <c r="T879" s="3"/>
      <c r="U879" s="5" t="str">
        <f t="shared" si="41"/>
        <v/>
      </c>
    </row>
    <row r="880" spans="1:21" ht="28" customHeight="1" x14ac:dyDescent="0.35">
      <c r="A880" s="4">
        <v>3</v>
      </c>
      <c r="B880" s="4" t="s">
        <v>270</v>
      </c>
      <c r="C880" s="4" t="s">
        <v>277</v>
      </c>
      <c r="D880" s="4" t="s">
        <v>278</v>
      </c>
      <c r="E880" s="4" t="s">
        <v>279</v>
      </c>
      <c r="F880" s="4" t="s">
        <v>280</v>
      </c>
      <c r="G880" s="4" t="s">
        <v>209</v>
      </c>
      <c r="H880" s="4" t="s">
        <v>76</v>
      </c>
      <c r="I880" s="3"/>
      <c r="J880" s="3"/>
      <c r="K880" s="3"/>
      <c r="L880" s="3"/>
      <c r="M880" s="3"/>
      <c r="N880" s="3"/>
      <c r="O880" s="3"/>
      <c r="P880" s="8"/>
      <c r="Q880" s="8"/>
      <c r="R880" s="3"/>
      <c r="S880" s="3"/>
      <c r="T880" s="3"/>
      <c r="U880" s="5" t="str">
        <f t="shared" si="41"/>
        <v/>
      </c>
    </row>
    <row r="881" spans="1:21" ht="28" customHeight="1" x14ac:dyDescent="0.35">
      <c r="A881" s="4">
        <v>4</v>
      </c>
      <c r="B881" s="4" t="s">
        <v>270</v>
      </c>
      <c r="C881" s="4" t="s">
        <v>281</v>
      </c>
      <c r="D881" s="4" t="s">
        <v>282</v>
      </c>
      <c r="E881" s="4" t="s">
        <v>283</v>
      </c>
      <c r="F881" s="4" t="s">
        <v>284</v>
      </c>
      <c r="G881" s="4" t="s">
        <v>204</v>
      </c>
      <c r="H881" s="4" t="s">
        <v>76</v>
      </c>
      <c r="I881" s="3"/>
      <c r="J881" s="3"/>
      <c r="K881" s="3"/>
      <c r="L881" s="3"/>
      <c r="M881" s="3"/>
      <c r="N881" s="3"/>
      <c r="O881" s="3"/>
      <c r="P881" s="8"/>
      <c r="Q881" s="8"/>
      <c r="R881" s="3"/>
      <c r="S881" s="3"/>
      <c r="T881" s="3"/>
      <c r="U881" s="5" t="str">
        <f t="shared" si="41"/>
        <v/>
      </c>
    </row>
    <row r="882" spans="1:21" ht="28" customHeight="1" x14ac:dyDescent="0.35">
      <c r="A882" s="4">
        <v>5</v>
      </c>
      <c r="B882" s="4" t="s">
        <v>285</v>
      </c>
      <c r="C882" s="4" t="s">
        <v>286</v>
      </c>
      <c r="D882" s="4" t="s">
        <v>287</v>
      </c>
      <c r="E882" s="4" t="s">
        <v>69</v>
      </c>
      <c r="F882" s="4" t="s">
        <v>276</v>
      </c>
      <c r="G882" s="4" t="s">
        <v>199</v>
      </c>
      <c r="H882" s="4" t="s">
        <v>76</v>
      </c>
      <c r="I882" s="3"/>
      <c r="J882" s="3"/>
      <c r="K882" s="3"/>
      <c r="L882" s="3"/>
      <c r="M882" s="3"/>
      <c r="N882" s="3"/>
      <c r="O882" s="3"/>
      <c r="P882" s="8"/>
      <c r="Q882" s="8"/>
      <c r="R882" s="3"/>
      <c r="S882" s="3"/>
      <c r="T882" s="3"/>
      <c r="U882" s="5" t="str">
        <f t="shared" si="41"/>
        <v/>
      </c>
    </row>
    <row r="883" spans="1:21" ht="28" customHeight="1" x14ac:dyDescent="0.35">
      <c r="A883" s="4">
        <v>6</v>
      </c>
      <c r="B883" s="4" t="s">
        <v>285</v>
      </c>
      <c r="C883" s="4" t="s">
        <v>288</v>
      </c>
      <c r="D883" s="4" t="s">
        <v>289</v>
      </c>
      <c r="E883" s="4" t="s">
        <v>70</v>
      </c>
      <c r="F883" s="4" t="s">
        <v>276</v>
      </c>
      <c r="G883" s="4" t="s">
        <v>199</v>
      </c>
      <c r="H883" s="4" t="s">
        <v>59</v>
      </c>
      <c r="I883" s="3"/>
      <c r="J883" s="3"/>
      <c r="K883" s="3"/>
      <c r="L883" s="3"/>
      <c r="M883" s="3"/>
      <c r="N883" s="3"/>
      <c r="O883" s="3"/>
      <c r="P883" s="8"/>
      <c r="Q883" s="8"/>
      <c r="R883" s="3"/>
      <c r="S883" s="3"/>
      <c r="T883" s="3"/>
      <c r="U883" s="5" t="str">
        <f t="shared" si="41"/>
        <v/>
      </c>
    </row>
    <row r="884" spans="1:21" ht="28" customHeight="1" x14ac:dyDescent="0.35">
      <c r="A884" s="4">
        <v>7</v>
      </c>
      <c r="B884" s="4" t="s">
        <v>290</v>
      </c>
      <c r="C884" s="4" t="s">
        <v>291</v>
      </c>
      <c r="D884" s="4" t="s">
        <v>292</v>
      </c>
      <c r="E884" s="4" t="s">
        <v>109</v>
      </c>
      <c r="F884" s="4" t="s">
        <v>284</v>
      </c>
      <c r="G884" s="4" t="s">
        <v>204</v>
      </c>
      <c r="H884" s="4" t="s">
        <v>59</v>
      </c>
      <c r="I884" s="3"/>
      <c r="J884" s="3"/>
      <c r="K884" s="3"/>
      <c r="L884" s="3"/>
      <c r="M884" s="3"/>
      <c r="N884" s="3"/>
      <c r="O884" s="3"/>
      <c r="P884" s="8"/>
      <c r="Q884" s="8"/>
      <c r="R884" s="3"/>
      <c r="S884" s="3"/>
      <c r="T884" s="3"/>
      <c r="U884" s="5" t="str">
        <f t="shared" si="41"/>
        <v/>
      </c>
    </row>
    <row r="885" spans="1:21" ht="28" customHeight="1" x14ac:dyDescent="0.35">
      <c r="A885" s="4">
        <v>8</v>
      </c>
      <c r="B885" s="4" t="s">
        <v>290</v>
      </c>
      <c r="C885" s="4" t="s">
        <v>293</v>
      </c>
      <c r="D885" s="4" t="s">
        <v>294</v>
      </c>
      <c r="E885" s="4" t="s">
        <v>70</v>
      </c>
      <c r="F885" s="4" t="s">
        <v>295</v>
      </c>
      <c r="G885" s="4" t="s">
        <v>199</v>
      </c>
      <c r="H885" s="4" t="s">
        <v>76</v>
      </c>
      <c r="I885" s="3"/>
      <c r="J885" s="3"/>
      <c r="K885" s="3"/>
      <c r="L885" s="3"/>
      <c r="M885" s="3"/>
      <c r="N885" s="3"/>
      <c r="O885" s="3"/>
      <c r="P885" s="8"/>
      <c r="Q885" s="8"/>
      <c r="R885" s="3"/>
      <c r="S885" s="3"/>
      <c r="T885" s="3"/>
      <c r="U885" s="5" t="str">
        <f t="shared" si="41"/>
        <v/>
      </c>
    </row>
    <row r="886" spans="1:21" ht="28" customHeight="1" x14ac:dyDescent="0.35">
      <c r="A886" s="4">
        <v>9</v>
      </c>
      <c r="B886" s="4" t="s">
        <v>296</v>
      </c>
      <c r="C886" s="4" t="s">
        <v>297</v>
      </c>
      <c r="D886" s="4" t="s">
        <v>70</v>
      </c>
      <c r="E886" s="4" t="s">
        <v>70</v>
      </c>
      <c r="F886" s="4" t="s">
        <v>295</v>
      </c>
      <c r="G886" s="4" t="s">
        <v>199</v>
      </c>
      <c r="H886" s="4" t="s">
        <v>76</v>
      </c>
      <c r="I886" s="3"/>
      <c r="J886" s="3"/>
      <c r="K886" s="3"/>
      <c r="L886" s="3"/>
      <c r="M886" s="3"/>
      <c r="N886" s="3"/>
      <c r="O886" s="3"/>
      <c r="P886" s="8"/>
      <c r="Q886" s="8"/>
      <c r="R886" s="3"/>
      <c r="S886" s="3"/>
      <c r="T886" s="3"/>
      <c r="U886" s="5" t="str">
        <f t="shared" si="41"/>
        <v/>
      </c>
    </row>
    <row r="887" spans="1:21" ht="28" customHeight="1" x14ac:dyDescent="0.35">
      <c r="A887" s="4">
        <v>10</v>
      </c>
      <c r="B887" s="4" t="s">
        <v>296</v>
      </c>
      <c r="C887" s="4" t="s">
        <v>298</v>
      </c>
      <c r="D887" s="4" t="s">
        <v>299</v>
      </c>
      <c r="E887" s="4" t="s">
        <v>283</v>
      </c>
      <c r="F887" s="4" t="s">
        <v>284</v>
      </c>
      <c r="G887" s="4" t="s">
        <v>204</v>
      </c>
      <c r="H887" s="4" t="s">
        <v>59</v>
      </c>
      <c r="I887" s="3"/>
      <c r="J887" s="3"/>
      <c r="K887" s="3"/>
      <c r="L887" s="3"/>
      <c r="M887" s="3"/>
      <c r="N887" s="3"/>
      <c r="O887" s="3"/>
      <c r="P887" s="8"/>
      <c r="Q887" s="8"/>
      <c r="R887" s="3"/>
      <c r="S887" s="3"/>
      <c r="T887" s="3"/>
      <c r="U887" s="5" t="str">
        <f t="shared" si="41"/>
        <v/>
      </c>
    </row>
    <row r="888" spans="1:21" ht="28" customHeight="1" x14ac:dyDescent="0.35">
      <c r="A888" s="4">
        <v>11</v>
      </c>
      <c r="B888" s="4" t="s">
        <v>300</v>
      </c>
      <c r="C888" s="4" t="s">
        <v>301</v>
      </c>
      <c r="D888" s="4" t="s">
        <v>302</v>
      </c>
      <c r="E888" s="4" t="s">
        <v>56</v>
      </c>
      <c r="F888" s="4" t="s">
        <v>276</v>
      </c>
      <c r="G888" s="4" t="s">
        <v>199</v>
      </c>
      <c r="H888" s="4" t="s">
        <v>76</v>
      </c>
      <c r="I888" s="3"/>
      <c r="J888" s="3"/>
      <c r="K888" s="3"/>
      <c r="L888" s="3"/>
      <c r="M888" s="3"/>
      <c r="N888" s="3"/>
      <c r="O888" s="3"/>
      <c r="P888" s="8"/>
      <c r="Q888" s="8"/>
      <c r="R888" s="3"/>
      <c r="S888" s="3"/>
      <c r="T888" s="3"/>
      <c r="U888" s="5" t="str">
        <f t="shared" si="41"/>
        <v/>
      </c>
    </row>
    <row r="889" spans="1:21" ht="28" customHeight="1" x14ac:dyDescent="0.35">
      <c r="A889" s="4">
        <v>12</v>
      </c>
      <c r="B889" s="4" t="s">
        <v>303</v>
      </c>
      <c r="C889" s="4" t="s">
        <v>304</v>
      </c>
      <c r="D889" s="4" t="s">
        <v>305</v>
      </c>
      <c r="E889" s="4" t="s">
        <v>283</v>
      </c>
      <c r="F889" s="4" t="s">
        <v>276</v>
      </c>
      <c r="G889" s="4" t="s">
        <v>199</v>
      </c>
      <c r="H889" s="4" t="s">
        <v>76</v>
      </c>
      <c r="I889" s="3"/>
      <c r="J889" s="3"/>
      <c r="K889" s="3"/>
      <c r="L889" s="3"/>
      <c r="M889" s="3"/>
      <c r="N889" s="3"/>
      <c r="O889" s="3"/>
      <c r="P889" s="8"/>
      <c r="Q889" s="8"/>
      <c r="R889" s="3"/>
      <c r="S889" s="3"/>
      <c r="T889" s="3"/>
      <c r="U889" s="5" t="str">
        <f t="shared" si="41"/>
        <v/>
      </c>
    </row>
    <row r="890" spans="1:21" ht="28" customHeight="1" x14ac:dyDescent="0.35">
      <c r="A890" s="4">
        <v>13</v>
      </c>
      <c r="B890" s="4" t="s">
        <v>306</v>
      </c>
      <c r="C890" s="4" t="s">
        <v>307</v>
      </c>
      <c r="D890" s="4" t="s">
        <v>308</v>
      </c>
      <c r="E890" s="4" t="s">
        <v>69</v>
      </c>
      <c r="F890" s="4" t="s">
        <v>273</v>
      </c>
      <c r="G890" s="4" t="s">
        <v>96</v>
      </c>
      <c r="H890" s="4" t="s">
        <v>59</v>
      </c>
      <c r="I890" s="3"/>
      <c r="J890" s="3"/>
      <c r="K890" s="3"/>
      <c r="L890" s="3"/>
      <c r="M890" s="3"/>
      <c r="N890" s="3"/>
      <c r="O890" s="3"/>
      <c r="P890" s="8"/>
      <c r="Q890" s="8"/>
      <c r="R890" s="3"/>
      <c r="S890" s="3"/>
      <c r="T890" s="3"/>
      <c r="U890" s="5" t="str">
        <f t="shared" si="41"/>
        <v/>
      </c>
    </row>
    <row r="891" spans="1:21" ht="28" customHeight="1" x14ac:dyDescent="0.35">
      <c r="A891" s="4">
        <v>14</v>
      </c>
      <c r="B891" s="4" t="s">
        <v>97</v>
      </c>
      <c r="C891" s="4" t="s">
        <v>98</v>
      </c>
      <c r="D891" s="4" t="s">
        <v>99</v>
      </c>
      <c r="E891" s="4" t="s">
        <v>69</v>
      </c>
      <c r="F891" s="4" t="s">
        <v>95</v>
      </c>
      <c r="G891" s="4" t="s">
        <v>96</v>
      </c>
      <c r="H891" s="4" t="s">
        <v>59</v>
      </c>
      <c r="I891" s="3"/>
      <c r="J891" s="3"/>
      <c r="K891" s="3"/>
      <c r="L891" s="3"/>
      <c r="M891" s="3"/>
      <c r="N891" s="3"/>
      <c r="O891" s="3"/>
      <c r="P891" s="8"/>
      <c r="Q891" s="8"/>
      <c r="R891" s="3"/>
      <c r="S891" s="3"/>
      <c r="T891" s="3"/>
      <c r="U891" s="5" t="str">
        <f t="shared" si="41"/>
        <v/>
      </c>
    </row>
    <row r="892" spans="1:21" ht="28" customHeight="1" x14ac:dyDescent="0.35">
      <c r="A892" s="4">
        <v>15</v>
      </c>
      <c r="B892" s="4" t="s">
        <v>97</v>
      </c>
      <c r="C892" s="4" t="s">
        <v>100</v>
      </c>
      <c r="D892" s="4" t="s">
        <v>101</v>
      </c>
      <c r="E892" s="4" t="s">
        <v>69</v>
      </c>
      <c r="F892" s="4" t="s">
        <v>95</v>
      </c>
      <c r="G892" s="4" t="s">
        <v>102</v>
      </c>
      <c r="H892" s="4" t="s">
        <v>59</v>
      </c>
      <c r="I892" s="3"/>
      <c r="J892" s="3"/>
      <c r="K892" s="3"/>
      <c r="L892" s="3"/>
      <c r="M892" s="3"/>
      <c r="N892" s="3"/>
      <c r="O892" s="3"/>
      <c r="P892" s="8"/>
      <c r="Q892" s="8"/>
      <c r="R892" s="3"/>
      <c r="S892" s="3"/>
      <c r="T892" s="3"/>
      <c r="U892" s="5" t="str">
        <f t="shared" si="41"/>
        <v/>
      </c>
    </row>
    <row r="893" spans="1:21" ht="28" customHeight="1" x14ac:dyDescent="0.35">
      <c r="A893" s="4">
        <v>16</v>
      </c>
      <c r="B893" s="4" t="s">
        <v>103</v>
      </c>
      <c r="C893" s="4" t="s">
        <v>104</v>
      </c>
      <c r="D893" s="4" t="s">
        <v>105</v>
      </c>
      <c r="E893" s="4" t="s">
        <v>69</v>
      </c>
      <c r="F893" s="4" t="s">
        <v>95</v>
      </c>
      <c r="G893" s="4" t="s">
        <v>96</v>
      </c>
      <c r="H893" s="4" t="s">
        <v>85</v>
      </c>
      <c r="I893" s="3"/>
      <c r="J893" s="3"/>
      <c r="K893" s="3"/>
      <c r="L893" s="3"/>
      <c r="M893" s="3"/>
      <c r="N893" s="3"/>
      <c r="O893" s="3"/>
      <c r="P893" s="8"/>
      <c r="Q893" s="8"/>
      <c r="R893" s="3"/>
      <c r="S893" s="3"/>
      <c r="T893" s="3"/>
      <c r="U893" s="5" t="str">
        <f t="shared" si="41"/>
        <v/>
      </c>
    </row>
    <row r="894" spans="1:21" ht="28" customHeight="1" x14ac:dyDescent="0.35">
      <c r="A894" s="4">
        <v>17</v>
      </c>
      <c r="B894" s="4" t="s">
        <v>106</v>
      </c>
      <c r="C894" s="4" t="s">
        <v>107</v>
      </c>
      <c r="D894" s="4" t="s">
        <v>108</v>
      </c>
      <c r="E894" s="4" t="s">
        <v>109</v>
      </c>
      <c r="F894" s="4" t="s">
        <v>95</v>
      </c>
      <c r="G894" s="4" t="s">
        <v>96</v>
      </c>
      <c r="H894" s="4" t="s">
        <v>59</v>
      </c>
      <c r="I894" s="3"/>
      <c r="J894" s="3"/>
      <c r="K894" s="3"/>
      <c r="L894" s="3"/>
      <c r="M894" s="3"/>
      <c r="N894" s="3"/>
      <c r="O894" s="3"/>
      <c r="P894" s="8"/>
      <c r="Q894" s="8"/>
      <c r="R894" s="3"/>
      <c r="S894" s="3"/>
      <c r="T894" s="3"/>
      <c r="U894" s="5" t="str">
        <f t="shared" si="41"/>
        <v/>
      </c>
    </row>
    <row r="896" spans="1:21" ht="28" customHeight="1" x14ac:dyDescent="0.35">
      <c r="A896" s="9" t="s">
        <v>110</v>
      </c>
      <c r="B896" s="16"/>
      <c r="C896" s="17"/>
      <c r="D896" s="17"/>
      <c r="E896" s="17"/>
      <c r="F896" s="17"/>
      <c r="G896" s="17"/>
      <c r="H896" s="17"/>
      <c r="I896" s="17"/>
      <c r="J896" s="17"/>
      <c r="K896" s="17"/>
      <c r="L896" s="17"/>
      <c r="M896" s="17"/>
      <c r="N896" s="17"/>
      <c r="O896" s="17"/>
      <c r="P896" s="17"/>
      <c r="Q896" s="17"/>
      <c r="R896" s="17"/>
      <c r="S896" s="17"/>
      <c r="T896" s="17"/>
      <c r="U896" s="18"/>
    </row>
    <row r="897" spans="1:21" ht="28" customHeight="1" x14ac:dyDescent="0.35">
      <c r="A897" s="19" t="s">
        <v>346</v>
      </c>
      <c r="B897" s="20"/>
      <c r="C897" s="20"/>
      <c r="D897" s="20"/>
      <c r="E897" s="20"/>
      <c r="F897" s="20"/>
      <c r="G897" s="20"/>
      <c r="H897" s="20"/>
      <c r="I897" s="20"/>
      <c r="J897" s="20"/>
      <c r="K897" s="20"/>
      <c r="L897" s="20"/>
      <c r="M897" s="20"/>
      <c r="N897" s="20"/>
      <c r="O897" s="20"/>
      <c r="P897" s="20"/>
      <c r="Q897" s="20"/>
      <c r="R897" s="20"/>
      <c r="S897" s="20"/>
      <c r="T897" s="20"/>
      <c r="U897" s="21"/>
    </row>
    <row r="898" spans="1:21" ht="28" customHeight="1" x14ac:dyDescent="0.35">
      <c r="A898" s="4" t="s">
        <v>31</v>
      </c>
      <c r="B898" s="3" t="s">
        <v>255</v>
      </c>
      <c r="C898" s="4" t="s">
        <v>32</v>
      </c>
      <c r="D898" s="3"/>
      <c r="E898" s="4" t="s">
        <v>33</v>
      </c>
      <c r="F898" s="8"/>
    </row>
    <row r="899" spans="1:21" ht="28" customHeight="1" x14ac:dyDescent="0.35">
      <c r="A899" s="1" t="s">
        <v>34</v>
      </c>
      <c r="B899" s="1" t="s">
        <v>35</v>
      </c>
      <c r="C899" s="1" t="s">
        <v>36</v>
      </c>
      <c r="D899" s="1" t="s">
        <v>37</v>
      </c>
      <c r="E899" s="1" t="s">
        <v>38</v>
      </c>
      <c r="F899" s="1" t="s">
        <v>39</v>
      </c>
      <c r="G899" s="1" t="s">
        <v>40</v>
      </c>
      <c r="H899" s="1" t="s">
        <v>41</v>
      </c>
      <c r="I899" s="1" t="s">
        <v>42</v>
      </c>
      <c r="J899" s="1" t="s">
        <v>43</v>
      </c>
      <c r="K899" s="1" t="s">
        <v>44</v>
      </c>
      <c r="L899" s="1" t="s">
        <v>45</v>
      </c>
      <c r="M899" s="1" t="s">
        <v>46</v>
      </c>
      <c r="N899" s="1" t="s">
        <v>47</v>
      </c>
      <c r="O899" s="1" t="s">
        <v>48</v>
      </c>
      <c r="P899" s="1" t="s">
        <v>4</v>
      </c>
      <c r="Q899" s="1" t="s">
        <v>49</v>
      </c>
      <c r="R899" s="1" t="s">
        <v>50</v>
      </c>
      <c r="S899" s="1" t="s">
        <v>51</v>
      </c>
      <c r="T899" s="1" t="s">
        <v>52</v>
      </c>
      <c r="U899" s="1" t="s">
        <v>10</v>
      </c>
    </row>
    <row r="900" spans="1:21" ht="28" customHeight="1" x14ac:dyDescent="0.35">
      <c r="A900" s="4">
        <v>1</v>
      </c>
      <c r="B900" s="4" t="s">
        <v>270</v>
      </c>
      <c r="C900" s="4" t="s">
        <v>271</v>
      </c>
      <c r="D900" s="4" t="s">
        <v>272</v>
      </c>
      <c r="E900" s="4" t="s">
        <v>109</v>
      </c>
      <c r="F900" s="4" t="s">
        <v>273</v>
      </c>
      <c r="G900" s="4" t="s">
        <v>199</v>
      </c>
      <c r="H900" s="4" t="s">
        <v>59</v>
      </c>
      <c r="I900" s="3"/>
      <c r="J900" s="3"/>
      <c r="K900" s="3"/>
      <c r="L900" s="3"/>
      <c r="M900" s="3"/>
      <c r="N900" s="3"/>
      <c r="O900" s="3"/>
      <c r="P900" s="8"/>
      <c r="Q900" s="8"/>
      <c r="R900" s="3"/>
      <c r="S900" s="3"/>
      <c r="T900" s="3"/>
      <c r="U900" s="5" t="str">
        <f t="shared" ref="U900:U916" si="42">IF(I900="","",IF(I900="NA","Grey",IF(I900=2,"Green",IF(I900=1,"Amber","Red"))))</f>
        <v/>
      </c>
    </row>
    <row r="901" spans="1:21" ht="28" customHeight="1" x14ac:dyDescent="0.35">
      <c r="A901" s="4">
        <v>2</v>
      </c>
      <c r="B901" s="4" t="s">
        <v>270</v>
      </c>
      <c r="C901" s="4" t="s">
        <v>274</v>
      </c>
      <c r="D901" s="4" t="s">
        <v>275</v>
      </c>
      <c r="E901" s="4" t="s">
        <v>69</v>
      </c>
      <c r="F901" s="4" t="s">
        <v>276</v>
      </c>
      <c r="G901" s="4" t="s">
        <v>199</v>
      </c>
      <c r="H901" s="4" t="s">
        <v>76</v>
      </c>
      <c r="I901" s="3"/>
      <c r="J901" s="3"/>
      <c r="K901" s="3"/>
      <c r="L901" s="3"/>
      <c r="M901" s="3"/>
      <c r="N901" s="3"/>
      <c r="O901" s="3"/>
      <c r="P901" s="8"/>
      <c r="Q901" s="8"/>
      <c r="R901" s="3"/>
      <c r="S901" s="3"/>
      <c r="T901" s="3"/>
      <c r="U901" s="5" t="str">
        <f t="shared" si="42"/>
        <v/>
      </c>
    </row>
    <row r="902" spans="1:21" ht="28" customHeight="1" x14ac:dyDescent="0.35">
      <c r="A902" s="4">
        <v>3</v>
      </c>
      <c r="B902" s="4" t="s">
        <v>270</v>
      </c>
      <c r="C902" s="4" t="s">
        <v>277</v>
      </c>
      <c r="D902" s="4" t="s">
        <v>278</v>
      </c>
      <c r="E902" s="4" t="s">
        <v>279</v>
      </c>
      <c r="F902" s="4" t="s">
        <v>280</v>
      </c>
      <c r="G902" s="4" t="s">
        <v>209</v>
      </c>
      <c r="H902" s="4" t="s">
        <v>76</v>
      </c>
      <c r="I902" s="3"/>
      <c r="J902" s="3"/>
      <c r="K902" s="3"/>
      <c r="L902" s="3"/>
      <c r="M902" s="3"/>
      <c r="N902" s="3"/>
      <c r="O902" s="3"/>
      <c r="P902" s="8"/>
      <c r="Q902" s="8"/>
      <c r="R902" s="3"/>
      <c r="S902" s="3"/>
      <c r="T902" s="3"/>
      <c r="U902" s="5" t="str">
        <f t="shared" si="42"/>
        <v/>
      </c>
    </row>
    <row r="903" spans="1:21" ht="28" customHeight="1" x14ac:dyDescent="0.35">
      <c r="A903" s="4">
        <v>4</v>
      </c>
      <c r="B903" s="4" t="s">
        <v>270</v>
      </c>
      <c r="C903" s="4" t="s">
        <v>281</v>
      </c>
      <c r="D903" s="4" t="s">
        <v>282</v>
      </c>
      <c r="E903" s="4" t="s">
        <v>283</v>
      </c>
      <c r="F903" s="4" t="s">
        <v>284</v>
      </c>
      <c r="G903" s="4" t="s">
        <v>204</v>
      </c>
      <c r="H903" s="4" t="s">
        <v>76</v>
      </c>
      <c r="I903" s="3"/>
      <c r="J903" s="3"/>
      <c r="K903" s="3"/>
      <c r="L903" s="3"/>
      <c r="M903" s="3"/>
      <c r="N903" s="3"/>
      <c r="O903" s="3"/>
      <c r="P903" s="8"/>
      <c r="Q903" s="8"/>
      <c r="R903" s="3"/>
      <c r="S903" s="3"/>
      <c r="T903" s="3"/>
      <c r="U903" s="5" t="str">
        <f t="shared" si="42"/>
        <v/>
      </c>
    </row>
    <row r="904" spans="1:21" ht="28" customHeight="1" x14ac:dyDescent="0.35">
      <c r="A904" s="4">
        <v>5</v>
      </c>
      <c r="B904" s="4" t="s">
        <v>285</v>
      </c>
      <c r="C904" s="4" t="s">
        <v>286</v>
      </c>
      <c r="D904" s="4" t="s">
        <v>287</v>
      </c>
      <c r="E904" s="4" t="s">
        <v>69</v>
      </c>
      <c r="F904" s="4" t="s">
        <v>276</v>
      </c>
      <c r="G904" s="4" t="s">
        <v>199</v>
      </c>
      <c r="H904" s="4" t="s">
        <v>76</v>
      </c>
      <c r="I904" s="3"/>
      <c r="J904" s="3"/>
      <c r="K904" s="3"/>
      <c r="L904" s="3"/>
      <c r="M904" s="3"/>
      <c r="N904" s="3"/>
      <c r="O904" s="3"/>
      <c r="P904" s="8"/>
      <c r="Q904" s="8"/>
      <c r="R904" s="3"/>
      <c r="S904" s="3"/>
      <c r="T904" s="3"/>
      <c r="U904" s="5" t="str">
        <f t="shared" si="42"/>
        <v/>
      </c>
    </row>
    <row r="905" spans="1:21" ht="28" customHeight="1" x14ac:dyDescent="0.35">
      <c r="A905" s="4">
        <v>6</v>
      </c>
      <c r="B905" s="4" t="s">
        <v>285</v>
      </c>
      <c r="C905" s="4" t="s">
        <v>288</v>
      </c>
      <c r="D905" s="4" t="s">
        <v>289</v>
      </c>
      <c r="E905" s="4" t="s">
        <v>70</v>
      </c>
      <c r="F905" s="4" t="s">
        <v>276</v>
      </c>
      <c r="G905" s="4" t="s">
        <v>199</v>
      </c>
      <c r="H905" s="4" t="s">
        <v>59</v>
      </c>
      <c r="I905" s="3"/>
      <c r="J905" s="3"/>
      <c r="K905" s="3"/>
      <c r="L905" s="3"/>
      <c r="M905" s="3"/>
      <c r="N905" s="3"/>
      <c r="O905" s="3"/>
      <c r="P905" s="8"/>
      <c r="Q905" s="8"/>
      <c r="R905" s="3"/>
      <c r="S905" s="3"/>
      <c r="T905" s="3"/>
      <c r="U905" s="5" t="str">
        <f t="shared" si="42"/>
        <v/>
      </c>
    </row>
    <row r="906" spans="1:21" ht="28" customHeight="1" x14ac:dyDescent="0.35">
      <c r="A906" s="4">
        <v>7</v>
      </c>
      <c r="B906" s="4" t="s">
        <v>290</v>
      </c>
      <c r="C906" s="4" t="s">
        <v>291</v>
      </c>
      <c r="D906" s="4" t="s">
        <v>292</v>
      </c>
      <c r="E906" s="4" t="s">
        <v>109</v>
      </c>
      <c r="F906" s="4" t="s">
        <v>284</v>
      </c>
      <c r="G906" s="4" t="s">
        <v>204</v>
      </c>
      <c r="H906" s="4" t="s">
        <v>59</v>
      </c>
      <c r="I906" s="3"/>
      <c r="J906" s="3"/>
      <c r="K906" s="3"/>
      <c r="L906" s="3"/>
      <c r="M906" s="3"/>
      <c r="N906" s="3"/>
      <c r="O906" s="3"/>
      <c r="P906" s="8"/>
      <c r="Q906" s="8"/>
      <c r="R906" s="3"/>
      <c r="S906" s="3"/>
      <c r="T906" s="3"/>
      <c r="U906" s="5" t="str">
        <f t="shared" si="42"/>
        <v/>
      </c>
    </row>
    <row r="907" spans="1:21" ht="28" customHeight="1" x14ac:dyDescent="0.35">
      <c r="A907" s="4">
        <v>8</v>
      </c>
      <c r="B907" s="4" t="s">
        <v>290</v>
      </c>
      <c r="C907" s="4" t="s">
        <v>293</v>
      </c>
      <c r="D907" s="4" t="s">
        <v>294</v>
      </c>
      <c r="E907" s="4" t="s">
        <v>70</v>
      </c>
      <c r="F907" s="4" t="s">
        <v>295</v>
      </c>
      <c r="G907" s="4" t="s">
        <v>199</v>
      </c>
      <c r="H907" s="4" t="s">
        <v>76</v>
      </c>
      <c r="I907" s="3"/>
      <c r="J907" s="3"/>
      <c r="K907" s="3"/>
      <c r="L907" s="3"/>
      <c r="M907" s="3"/>
      <c r="N907" s="3"/>
      <c r="O907" s="3"/>
      <c r="P907" s="8"/>
      <c r="Q907" s="8"/>
      <c r="R907" s="3"/>
      <c r="S907" s="3"/>
      <c r="T907" s="3"/>
      <c r="U907" s="5" t="str">
        <f t="shared" si="42"/>
        <v/>
      </c>
    </row>
    <row r="908" spans="1:21" ht="28" customHeight="1" x14ac:dyDescent="0.35">
      <c r="A908" s="4">
        <v>9</v>
      </c>
      <c r="B908" s="4" t="s">
        <v>296</v>
      </c>
      <c r="C908" s="4" t="s">
        <v>297</v>
      </c>
      <c r="D908" s="4" t="s">
        <v>70</v>
      </c>
      <c r="E908" s="4" t="s">
        <v>70</v>
      </c>
      <c r="F908" s="4" t="s">
        <v>295</v>
      </c>
      <c r="G908" s="4" t="s">
        <v>199</v>
      </c>
      <c r="H908" s="4" t="s">
        <v>76</v>
      </c>
      <c r="I908" s="3"/>
      <c r="J908" s="3"/>
      <c r="K908" s="3"/>
      <c r="L908" s="3"/>
      <c r="M908" s="3"/>
      <c r="N908" s="3"/>
      <c r="O908" s="3"/>
      <c r="P908" s="8"/>
      <c r="Q908" s="8"/>
      <c r="R908" s="3"/>
      <c r="S908" s="3"/>
      <c r="T908" s="3"/>
      <c r="U908" s="5" t="str">
        <f t="shared" si="42"/>
        <v/>
      </c>
    </row>
    <row r="909" spans="1:21" ht="28" customHeight="1" x14ac:dyDescent="0.35">
      <c r="A909" s="4">
        <v>10</v>
      </c>
      <c r="B909" s="4" t="s">
        <v>296</v>
      </c>
      <c r="C909" s="4" t="s">
        <v>298</v>
      </c>
      <c r="D909" s="4" t="s">
        <v>299</v>
      </c>
      <c r="E909" s="4" t="s">
        <v>283</v>
      </c>
      <c r="F909" s="4" t="s">
        <v>284</v>
      </c>
      <c r="G909" s="4" t="s">
        <v>204</v>
      </c>
      <c r="H909" s="4" t="s">
        <v>59</v>
      </c>
      <c r="I909" s="3"/>
      <c r="J909" s="3"/>
      <c r="K909" s="3"/>
      <c r="L909" s="3"/>
      <c r="M909" s="3"/>
      <c r="N909" s="3"/>
      <c r="O909" s="3"/>
      <c r="P909" s="8"/>
      <c r="Q909" s="8"/>
      <c r="R909" s="3"/>
      <c r="S909" s="3"/>
      <c r="T909" s="3"/>
      <c r="U909" s="5" t="str">
        <f t="shared" si="42"/>
        <v/>
      </c>
    </row>
    <row r="910" spans="1:21" ht="28" customHeight="1" x14ac:dyDescent="0.35">
      <c r="A910" s="4">
        <v>11</v>
      </c>
      <c r="B910" s="4" t="s">
        <v>300</v>
      </c>
      <c r="C910" s="4" t="s">
        <v>301</v>
      </c>
      <c r="D910" s="4" t="s">
        <v>302</v>
      </c>
      <c r="E910" s="4" t="s">
        <v>56</v>
      </c>
      <c r="F910" s="4" t="s">
        <v>276</v>
      </c>
      <c r="G910" s="4" t="s">
        <v>199</v>
      </c>
      <c r="H910" s="4" t="s">
        <v>76</v>
      </c>
      <c r="I910" s="3"/>
      <c r="J910" s="3"/>
      <c r="K910" s="3"/>
      <c r="L910" s="3"/>
      <c r="M910" s="3"/>
      <c r="N910" s="3"/>
      <c r="O910" s="3"/>
      <c r="P910" s="8"/>
      <c r="Q910" s="8"/>
      <c r="R910" s="3"/>
      <c r="S910" s="3"/>
      <c r="T910" s="3"/>
      <c r="U910" s="5" t="str">
        <f t="shared" si="42"/>
        <v/>
      </c>
    </row>
    <row r="911" spans="1:21" ht="28" customHeight="1" x14ac:dyDescent="0.35">
      <c r="A911" s="4">
        <v>12</v>
      </c>
      <c r="B911" s="4" t="s">
        <v>303</v>
      </c>
      <c r="C911" s="4" t="s">
        <v>304</v>
      </c>
      <c r="D911" s="4" t="s">
        <v>305</v>
      </c>
      <c r="E911" s="4" t="s">
        <v>283</v>
      </c>
      <c r="F911" s="4" t="s">
        <v>276</v>
      </c>
      <c r="G911" s="4" t="s">
        <v>199</v>
      </c>
      <c r="H911" s="4" t="s">
        <v>76</v>
      </c>
      <c r="I911" s="3"/>
      <c r="J911" s="3"/>
      <c r="K911" s="3"/>
      <c r="L911" s="3"/>
      <c r="M911" s="3"/>
      <c r="N911" s="3"/>
      <c r="O911" s="3"/>
      <c r="P911" s="8"/>
      <c r="Q911" s="8"/>
      <c r="R911" s="3"/>
      <c r="S911" s="3"/>
      <c r="T911" s="3"/>
      <c r="U911" s="5" t="str">
        <f t="shared" si="42"/>
        <v/>
      </c>
    </row>
    <row r="912" spans="1:21" ht="28" customHeight="1" x14ac:dyDescent="0.35">
      <c r="A912" s="4">
        <v>13</v>
      </c>
      <c r="B912" s="4" t="s">
        <v>306</v>
      </c>
      <c r="C912" s="4" t="s">
        <v>307</v>
      </c>
      <c r="D912" s="4" t="s">
        <v>308</v>
      </c>
      <c r="E912" s="4" t="s">
        <v>69</v>
      </c>
      <c r="F912" s="4" t="s">
        <v>273</v>
      </c>
      <c r="G912" s="4" t="s">
        <v>96</v>
      </c>
      <c r="H912" s="4" t="s">
        <v>59</v>
      </c>
      <c r="I912" s="3"/>
      <c r="J912" s="3"/>
      <c r="K912" s="3"/>
      <c r="L912" s="3"/>
      <c r="M912" s="3"/>
      <c r="N912" s="3"/>
      <c r="O912" s="3"/>
      <c r="P912" s="8"/>
      <c r="Q912" s="8"/>
      <c r="R912" s="3"/>
      <c r="S912" s="3"/>
      <c r="T912" s="3"/>
      <c r="U912" s="5" t="str">
        <f t="shared" si="42"/>
        <v/>
      </c>
    </row>
    <row r="913" spans="1:21" ht="28" customHeight="1" x14ac:dyDescent="0.35">
      <c r="A913" s="4">
        <v>14</v>
      </c>
      <c r="B913" s="4" t="s">
        <v>97</v>
      </c>
      <c r="C913" s="4" t="s">
        <v>98</v>
      </c>
      <c r="D913" s="4" t="s">
        <v>99</v>
      </c>
      <c r="E913" s="4" t="s">
        <v>69</v>
      </c>
      <c r="F913" s="4" t="s">
        <v>95</v>
      </c>
      <c r="G913" s="4" t="s">
        <v>96</v>
      </c>
      <c r="H913" s="4" t="s">
        <v>59</v>
      </c>
      <c r="I913" s="3"/>
      <c r="J913" s="3"/>
      <c r="K913" s="3"/>
      <c r="L913" s="3"/>
      <c r="M913" s="3"/>
      <c r="N913" s="3"/>
      <c r="O913" s="3"/>
      <c r="P913" s="8"/>
      <c r="Q913" s="8"/>
      <c r="R913" s="3"/>
      <c r="S913" s="3"/>
      <c r="T913" s="3"/>
      <c r="U913" s="5" t="str">
        <f t="shared" si="42"/>
        <v/>
      </c>
    </row>
    <row r="914" spans="1:21" ht="28" customHeight="1" x14ac:dyDescent="0.35">
      <c r="A914" s="4">
        <v>15</v>
      </c>
      <c r="B914" s="4" t="s">
        <v>97</v>
      </c>
      <c r="C914" s="4" t="s">
        <v>100</v>
      </c>
      <c r="D914" s="4" t="s">
        <v>101</v>
      </c>
      <c r="E914" s="4" t="s">
        <v>69</v>
      </c>
      <c r="F914" s="4" t="s">
        <v>95</v>
      </c>
      <c r="G914" s="4" t="s">
        <v>102</v>
      </c>
      <c r="H914" s="4" t="s">
        <v>59</v>
      </c>
      <c r="I914" s="3"/>
      <c r="J914" s="3"/>
      <c r="K914" s="3"/>
      <c r="L914" s="3"/>
      <c r="M914" s="3"/>
      <c r="N914" s="3"/>
      <c r="O914" s="3"/>
      <c r="P914" s="8"/>
      <c r="Q914" s="8"/>
      <c r="R914" s="3"/>
      <c r="S914" s="3"/>
      <c r="T914" s="3"/>
      <c r="U914" s="5" t="str">
        <f t="shared" si="42"/>
        <v/>
      </c>
    </row>
    <row r="915" spans="1:21" ht="28" customHeight="1" x14ac:dyDescent="0.35">
      <c r="A915" s="4">
        <v>16</v>
      </c>
      <c r="B915" s="4" t="s">
        <v>103</v>
      </c>
      <c r="C915" s="4" t="s">
        <v>104</v>
      </c>
      <c r="D915" s="4" t="s">
        <v>105</v>
      </c>
      <c r="E915" s="4" t="s">
        <v>69</v>
      </c>
      <c r="F915" s="4" t="s">
        <v>95</v>
      </c>
      <c r="G915" s="4" t="s">
        <v>96</v>
      </c>
      <c r="H915" s="4" t="s">
        <v>85</v>
      </c>
      <c r="I915" s="3"/>
      <c r="J915" s="3"/>
      <c r="K915" s="3"/>
      <c r="L915" s="3"/>
      <c r="M915" s="3"/>
      <c r="N915" s="3"/>
      <c r="O915" s="3"/>
      <c r="P915" s="8"/>
      <c r="Q915" s="8"/>
      <c r="R915" s="3"/>
      <c r="S915" s="3"/>
      <c r="T915" s="3"/>
      <c r="U915" s="5" t="str">
        <f t="shared" si="42"/>
        <v/>
      </c>
    </row>
    <row r="916" spans="1:21" ht="28" customHeight="1" x14ac:dyDescent="0.35">
      <c r="A916" s="4">
        <v>17</v>
      </c>
      <c r="B916" s="4" t="s">
        <v>106</v>
      </c>
      <c r="C916" s="4" t="s">
        <v>107</v>
      </c>
      <c r="D916" s="4" t="s">
        <v>108</v>
      </c>
      <c r="E916" s="4" t="s">
        <v>109</v>
      </c>
      <c r="F916" s="4" t="s">
        <v>95</v>
      </c>
      <c r="G916" s="4" t="s">
        <v>96</v>
      </c>
      <c r="H916" s="4" t="s">
        <v>59</v>
      </c>
      <c r="I916" s="3"/>
      <c r="J916" s="3"/>
      <c r="K916" s="3"/>
      <c r="L916" s="3"/>
      <c r="M916" s="3"/>
      <c r="N916" s="3"/>
      <c r="O916" s="3"/>
      <c r="P916" s="8"/>
      <c r="Q916" s="8"/>
      <c r="R916" s="3"/>
      <c r="S916" s="3"/>
      <c r="T916" s="3"/>
      <c r="U916" s="5" t="str">
        <f t="shared" si="42"/>
        <v/>
      </c>
    </row>
    <row r="918" spans="1:21" ht="28" customHeight="1" x14ac:dyDescent="0.35">
      <c r="A918" s="9" t="s">
        <v>110</v>
      </c>
      <c r="B918" s="16"/>
      <c r="C918" s="17"/>
      <c r="D918" s="17"/>
      <c r="E918" s="17"/>
      <c r="F918" s="17"/>
      <c r="G918" s="17"/>
      <c r="H918" s="17"/>
      <c r="I918" s="17"/>
      <c r="J918" s="17"/>
      <c r="K918" s="17"/>
      <c r="L918" s="17"/>
      <c r="M918" s="17"/>
      <c r="N918" s="17"/>
      <c r="O918" s="17"/>
      <c r="P918" s="17"/>
      <c r="Q918" s="17"/>
      <c r="R918" s="17"/>
      <c r="S918" s="17"/>
      <c r="T918" s="17"/>
      <c r="U918" s="18"/>
    </row>
    <row r="919" spans="1:21" ht="28" customHeight="1" x14ac:dyDescent="0.35">
      <c r="A919" s="19" t="s">
        <v>347</v>
      </c>
      <c r="B919" s="20"/>
      <c r="C919" s="20"/>
      <c r="D919" s="20"/>
      <c r="E919" s="20"/>
      <c r="F919" s="20"/>
      <c r="G919" s="20"/>
      <c r="H919" s="20"/>
      <c r="I919" s="20"/>
      <c r="J919" s="20"/>
      <c r="K919" s="20"/>
      <c r="L919" s="20"/>
      <c r="M919" s="20"/>
      <c r="N919" s="20"/>
      <c r="O919" s="20"/>
      <c r="P919" s="20"/>
      <c r="Q919" s="20"/>
      <c r="R919" s="20"/>
      <c r="S919" s="20"/>
      <c r="T919" s="20"/>
      <c r="U919" s="21"/>
    </row>
    <row r="920" spans="1:21" ht="28" customHeight="1" x14ac:dyDescent="0.35">
      <c r="A920" s="4" t="s">
        <v>31</v>
      </c>
      <c r="B920" s="3" t="s">
        <v>256</v>
      </c>
      <c r="C920" s="4" t="s">
        <v>32</v>
      </c>
      <c r="D920" s="3"/>
      <c r="E920" s="4" t="s">
        <v>33</v>
      </c>
      <c r="F920" s="8"/>
    </row>
    <row r="921" spans="1:21" ht="28" customHeight="1" x14ac:dyDescent="0.35">
      <c r="A921" s="1" t="s">
        <v>34</v>
      </c>
      <c r="B921" s="1" t="s">
        <v>35</v>
      </c>
      <c r="C921" s="1" t="s">
        <v>36</v>
      </c>
      <c r="D921" s="1" t="s">
        <v>37</v>
      </c>
      <c r="E921" s="1" t="s">
        <v>38</v>
      </c>
      <c r="F921" s="1" t="s">
        <v>39</v>
      </c>
      <c r="G921" s="1" t="s">
        <v>40</v>
      </c>
      <c r="H921" s="1" t="s">
        <v>41</v>
      </c>
      <c r="I921" s="1" t="s">
        <v>42</v>
      </c>
      <c r="J921" s="1" t="s">
        <v>43</v>
      </c>
      <c r="K921" s="1" t="s">
        <v>44</v>
      </c>
      <c r="L921" s="1" t="s">
        <v>45</v>
      </c>
      <c r="M921" s="1" t="s">
        <v>46</v>
      </c>
      <c r="N921" s="1" t="s">
        <v>47</v>
      </c>
      <c r="O921" s="1" t="s">
        <v>48</v>
      </c>
      <c r="P921" s="1" t="s">
        <v>4</v>
      </c>
      <c r="Q921" s="1" t="s">
        <v>49</v>
      </c>
      <c r="R921" s="1" t="s">
        <v>50</v>
      </c>
      <c r="S921" s="1" t="s">
        <v>51</v>
      </c>
      <c r="T921" s="1" t="s">
        <v>52</v>
      </c>
      <c r="U921" s="1" t="s">
        <v>10</v>
      </c>
    </row>
    <row r="922" spans="1:21" ht="28" customHeight="1" x14ac:dyDescent="0.35">
      <c r="A922" s="4">
        <v>1</v>
      </c>
      <c r="B922" s="4" t="s">
        <v>270</v>
      </c>
      <c r="C922" s="4" t="s">
        <v>271</v>
      </c>
      <c r="D922" s="4" t="s">
        <v>272</v>
      </c>
      <c r="E922" s="4" t="s">
        <v>109</v>
      </c>
      <c r="F922" s="4" t="s">
        <v>273</v>
      </c>
      <c r="G922" s="4" t="s">
        <v>199</v>
      </c>
      <c r="H922" s="4" t="s">
        <v>59</v>
      </c>
      <c r="I922" s="3"/>
      <c r="J922" s="3"/>
      <c r="K922" s="3"/>
      <c r="L922" s="3"/>
      <c r="M922" s="3"/>
      <c r="N922" s="3"/>
      <c r="O922" s="3"/>
      <c r="P922" s="8"/>
      <c r="Q922" s="8"/>
      <c r="R922" s="3"/>
      <c r="S922" s="3"/>
      <c r="T922" s="3"/>
      <c r="U922" s="5" t="str">
        <f t="shared" ref="U922:U938" si="43">IF(I922="","",IF(I922="NA","Grey",IF(I922=2,"Green",IF(I922=1,"Amber","Red"))))</f>
        <v/>
      </c>
    </row>
    <row r="923" spans="1:21" ht="28" customHeight="1" x14ac:dyDescent="0.35">
      <c r="A923" s="4">
        <v>2</v>
      </c>
      <c r="B923" s="4" t="s">
        <v>270</v>
      </c>
      <c r="C923" s="4" t="s">
        <v>274</v>
      </c>
      <c r="D923" s="4" t="s">
        <v>275</v>
      </c>
      <c r="E923" s="4" t="s">
        <v>69</v>
      </c>
      <c r="F923" s="4" t="s">
        <v>276</v>
      </c>
      <c r="G923" s="4" t="s">
        <v>199</v>
      </c>
      <c r="H923" s="4" t="s">
        <v>76</v>
      </c>
      <c r="I923" s="3"/>
      <c r="J923" s="3"/>
      <c r="K923" s="3"/>
      <c r="L923" s="3"/>
      <c r="M923" s="3"/>
      <c r="N923" s="3"/>
      <c r="O923" s="3"/>
      <c r="P923" s="8"/>
      <c r="Q923" s="8"/>
      <c r="R923" s="3"/>
      <c r="S923" s="3"/>
      <c r="T923" s="3"/>
      <c r="U923" s="5" t="str">
        <f t="shared" si="43"/>
        <v/>
      </c>
    </row>
    <row r="924" spans="1:21" ht="28" customHeight="1" x14ac:dyDescent="0.35">
      <c r="A924" s="4">
        <v>3</v>
      </c>
      <c r="B924" s="4" t="s">
        <v>270</v>
      </c>
      <c r="C924" s="4" t="s">
        <v>277</v>
      </c>
      <c r="D924" s="4" t="s">
        <v>278</v>
      </c>
      <c r="E924" s="4" t="s">
        <v>279</v>
      </c>
      <c r="F924" s="4" t="s">
        <v>280</v>
      </c>
      <c r="G924" s="4" t="s">
        <v>209</v>
      </c>
      <c r="H924" s="4" t="s">
        <v>76</v>
      </c>
      <c r="I924" s="3"/>
      <c r="J924" s="3"/>
      <c r="K924" s="3"/>
      <c r="L924" s="3"/>
      <c r="M924" s="3"/>
      <c r="N924" s="3"/>
      <c r="O924" s="3"/>
      <c r="P924" s="8"/>
      <c r="Q924" s="8"/>
      <c r="R924" s="3"/>
      <c r="S924" s="3"/>
      <c r="T924" s="3"/>
      <c r="U924" s="5" t="str">
        <f t="shared" si="43"/>
        <v/>
      </c>
    </row>
    <row r="925" spans="1:21" ht="28" customHeight="1" x14ac:dyDescent="0.35">
      <c r="A925" s="4">
        <v>4</v>
      </c>
      <c r="B925" s="4" t="s">
        <v>270</v>
      </c>
      <c r="C925" s="4" t="s">
        <v>281</v>
      </c>
      <c r="D925" s="4" t="s">
        <v>282</v>
      </c>
      <c r="E925" s="4" t="s">
        <v>283</v>
      </c>
      <c r="F925" s="4" t="s">
        <v>284</v>
      </c>
      <c r="G925" s="4" t="s">
        <v>204</v>
      </c>
      <c r="H925" s="4" t="s">
        <v>76</v>
      </c>
      <c r="I925" s="3"/>
      <c r="J925" s="3"/>
      <c r="K925" s="3"/>
      <c r="L925" s="3"/>
      <c r="M925" s="3"/>
      <c r="N925" s="3"/>
      <c r="O925" s="3"/>
      <c r="P925" s="8"/>
      <c r="Q925" s="8"/>
      <c r="R925" s="3"/>
      <c r="S925" s="3"/>
      <c r="T925" s="3"/>
      <c r="U925" s="5" t="str">
        <f t="shared" si="43"/>
        <v/>
      </c>
    </row>
    <row r="926" spans="1:21" ht="28" customHeight="1" x14ac:dyDescent="0.35">
      <c r="A926" s="4">
        <v>5</v>
      </c>
      <c r="B926" s="4" t="s">
        <v>285</v>
      </c>
      <c r="C926" s="4" t="s">
        <v>286</v>
      </c>
      <c r="D926" s="4" t="s">
        <v>287</v>
      </c>
      <c r="E926" s="4" t="s">
        <v>69</v>
      </c>
      <c r="F926" s="4" t="s">
        <v>276</v>
      </c>
      <c r="G926" s="4" t="s">
        <v>199</v>
      </c>
      <c r="H926" s="4" t="s">
        <v>76</v>
      </c>
      <c r="I926" s="3"/>
      <c r="J926" s="3"/>
      <c r="K926" s="3"/>
      <c r="L926" s="3"/>
      <c r="M926" s="3"/>
      <c r="N926" s="3"/>
      <c r="O926" s="3"/>
      <c r="P926" s="8"/>
      <c r="Q926" s="8"/>
      <c r="R926" s="3"/>
      <c r="S926" s="3"/>
      <c r="T926" s="3"/>
      <c r="U926" s="5" t="str">
        <f t="shared" si="43"/>
        <v/>
      </c>
    </row>
    <row r="927" spans="1:21" ht="28" customHeight="1" x14ac:dyDescent="0.35">
      <c r="A927" s="4">
        <v>6</v>
      </c>
      <c r="B927" s="4" t="s">
        <v>285</v>
      </c>
      <c r="C927" s="4" t="s">
        <v>288</v>
      </c>
      <c r="D927" s="4" t="s">
        <v>289</v>
      </c>
      <c r="E927" s="4" t="s">
        <v>70</v>
      </c>
      <c r="F927" s="4" t="s">
        <v>276</v>
      </c>
      <c r="G927" s="4" t="s">
        <v>199</v>
      </c>
      <c r="H927" s="4" t="s">
        <v>59</v>
      </c>
      <c r="I927" s="3"/>
      <c r="J927" s="3"/>
      <c r="K927" s="3"/>
      <c r="L927" s="3"/>
      <c r="M927" s="3"/>
      <c r="N927" s="3"/>
      <c r="O927" s="3"/>
      <c r="P927" s="8"/>
      <c r="Q927" s="8"/>
      <c r="R927" s="3"/>
      <c r="S927" s="3"/>
      <c r="T927" s="3"/>
      <c r="U927" s="5" t="str">
        <f t="shared" si="43"/>
        <v/>
      </c>
    </row>
    <row r="928" spans="1:21" ht="28" customHeight="1" x14ac:dyDescent="0.35">
      <c r="A928" s="4">
        <v>7</v>
      </c>
      <c r="B928" s="4" t="s">
        <v>290</v>
      </c>
      <c r="C928" s="4" t="s">
        <v>291</v>
      </c>
      <c r="D928" s="4" t="s">
        <v>292</v>
      </c>
      <c r="E928" s="4" t="s">
        <v>109</v>
      </c>
      <c r="F928" s="4" t="s">
        <v>284</v>
      </c>
      <c r="G928" s="4" t="s">
        <v>204</v>
      </c>
      <c r="H928" s="4" t="s">
        <v>59</v>
      </c>
      <c r="I928" s="3"/>
      <c r="J928" s="3"/>
      <c r="K928" s="3"/>
      <c r="L928" s="3"/>
      <c r="M928" s="3"/>
      <c r="N928" s="3"/>
      <c r="O928" s="3"/>
      <c r="P928" s="8"/>
      <c r="Q928" s="8"/>
      <c r="R928" s="3"/>
      <c r="S928" s="3"/>
      <c r="T928" s="3"/>
      <c r="U928" s="5" t="str">
        <f t="shared" si="43"/>
        <v/>
      </c>
    </row>
    <row r="929" spans="1:21" ht="28" customHeight="1" x14ac:dyDescent="0.35">
      <c r="A929" s="4">
        <v>8</v>
      </c>
      <c r="B929" s="4" t="s">
        <v>290</v>
      </c>
      <c r="C929" s="4" t="s">
        <v>293</v>
      </c>
      <c r="D929" s="4" t="s">
        <v>294</v>
      </c>
      <c r="E929" s="4" t="s">
        <v>70</v>
      </c>
      <c r="F929" s="4" t="s">
        <v>295</v>
      </c>
      <c r="G929" s="4" t="s">
        <v>199</v>
      </c>
      <c r="H929" s="4" t="s">
        <v>76</v>
      </c>
      <c r="I929" s="3"/>
      <c r="J929" s="3"/>
      <c r="K929" s="3"/>
      <c r="L929" s="3"/>
      <c r="M929" s="3"/>
      <c r="N929" s="3"/>
      <c r="O929" s="3"/>
      <c r="P929" s="8"/>
      <c r="Q929" s="8"/>
      <c r="R929" s="3"/>
      <c r="S929" s="3"/>
      <c r="T929" s="3"/>
      <c r="U929" s="5" t="str">
        <f t="shared" si="43"/>
        <v/>
      </c>
    </row>
    <row r="930" spans="1:21" ht="28" customHeight="1" x14ac:dyDescent="0.35">
      <c r="A930" s="4">
        <v>9</v>
      </c>
      <c r="B930" s="4" t="s">
        <v>296</v>
      </c>
      <c r="C930" s="4" t="s">
        <v>297</v>
      </c>
      <c r="D930" s="4" t="s">
        <v>70</v>
      </c>
      <c r="E930" s="4" t="s">
        <v>70</v>
      </c>
      <c r="F930" s="4" t="s">
        <v>295</v>
      </c>
      <c r="G930" s="4" t="s">
        <v>199</v>
      </c>
      <c r="H930" s="4" t="s">
        <v>76</v>
      </c>
      <c r="I930" s="3"/>
      <c r="J930" s="3"/>
      <c r="K930" s="3"/>
      <c r="L930" s="3"/>
      <c r="M930" s="3"/>
      <c r="N930" s="3"/>
      <c r="O930" s="3"/>
      <c r="P930" s="8"/>
      <c r="Q930" s="8"/>
      <c r="R930" s="3"/>
      <c r="S930" s="3"/>
      <c r="T930" s="3"/>
      <c r="U930" s="5" t="str">
        <f t="shared" si="43"/>
        <v/>
      </c>
    </row>
    <row r="931" spans="1:21" ht="28" customHeight="1" x14ac:dyDescent="0.35">
      <c r="A931" s="4">
        <v>10</v>
      </c>
      <c r="B931" s="4" t="s">
        <v>296</v>
      </c>
      <c r="C931" s="4" t="s">
        <v>298</v>
      </c>
      <c r="D931" s="4" t="s">
        <v>299</v>
      </c>
      <c r="E931" s="4" t="s">
        <v>283</v>
      </c>
      <c r="F931" s="4" t="s">
        <v>284</v>
      </c>
      <c r="G931" s="4" t="s">
        <v>204</v>
      </c>
      <c r="H931" s="4" t="s">
        <v>59</v>
      </c>
      <c r="I931" s="3"/>
      <c r="J931" s="3"/>
      <c r="K931" s="3"/>
      <c r="L931" s="3"/>
      <c r="M931" s="3"/>
      <c r="N931" s="3"/>
      <c r="O931" s="3"/>
      <c r="P931" s="8"/>
      <c r="Q931" s="8"/>
      <c r="R931" s="3"/>
      <c r="S931" s="3"/>
      <c r="T931" s="3"/>
      <c r="U931" s="5" t="str">
        <f t="shared" si="43"/>
        <v/>
      </c>
    </row>
    <row r="932" spans="1:21" ht="28" customHeight="1" x14ac:dyDescent="0.35">
      <c r="A932" s="4">
        <v>11</v>
      </c>
      <c r="B932" s="4" t="s">
        <v>300</v>
      </c>
      <c r="C932" s="4" t="s">
        <v>301</v>
      </c>
      <c r="D932" s="4" t="s">
        <v>302</v>
      </c>
      <c r="E932" s="4" t="s">
        <v>56</v>
      </c>
      <c r="F932" s="4" t="s">
        <v>276</v>
      </c>
      <c r="G932" s="4" t="s">
        <v>199</v>
      </c>
      <c r="H932" s="4" t="s">
        <v>76</v>
      </c>
      <c r="I932" s="3"/>
      <c r="J932" s="3"/>
      <c r="K932" s="3"/>
      <c r="L932" s="3"/>
      <c r="M932" s="3"/>
      <c r="N932" s="3"/>
      <c r="O932" s="3"/>
      <c r="P932" s="8"/>
      <c r="Q932" s="8"/>
      <c r="R932" s="3"/>
      <c r="S932" s="3"/>
      <c r="T932" s="3"/>
      <c r="U932" s="5" t="str">
        <f t="shared" si="43"/>
        <v/>
      </c>
    </row>
    <row r="933" spans="1:21" ht="28" customHeight="1" x14ac:dyDescent="0.35">
      <c r="A933" s="4">
        <v>12</v>
      </c>
      <c r="B933" s="4" t="s">
        <v>303</v>
      </c>
      <c r="C933" s="4" t="s">
        <v>304</v>
      </c>
      <c r="D933" s="4" t="s">
        <v>305</v>
      </c>
      <c r="E933" s="4" t="s">
        <v>283</v>
      </c>
      <c r="F933" s="4" t="s">
        <v>276</v>
      </c>
      <c r="G933" s="4" t="s">
        <v>199</v>
      </c>
      <c r="H933" s="4" t="s">
        <v>76</v>
      </c>
      <c r="I933" s="3"/>
      <c r="J933" s="3"/>
      <c r="K933" s="3"/>
      <c r="L933" s="3"/>
      <c r="M933" s="3"/>
      <c r="N933" s="3"/>
      <c r="O933" s="3"/>
      <c r="P933" s="8"/>
      <c r="Q933" s="8"/>
      <c r="R933" s="3"/>
      <c r="S933" s="3"/>
      <c r="T933" s="3"/>
      <c r="U933" s="5" t="str">
        <f t="shared" si="43"/>
        <v/>
      </c>
    </row>
    <row r="934" spans="1:21" ht="28" customHeight="1" x14ac:dyDescent="0.35">
      <c r="A934" s="4">
        <v>13</v>
      </c>
      <c r="B934" s="4" t="s">
        <v>306</v>
      </c>
      <c r="C934" s="4" t="s">
        <v>307</v>
      </c>
      <c r="D934" s="4" t="s">
        <v>308</v>
      </c>
      <c r="E934" s="4" t="s">
        <v>69</v>
      </c>
      <c r="F934" s="4" t="s">
        <v>273</v>
      </c>
      <c r="G934" s="4" t="s">
        <v>96</v>
      </c>
      <c r="H934" s="4" t="s">
        <v>59</v>
      </c>
      <c r="I934" s="3"/>
      <c r="J934" s="3"/>
      <c r="K934" s="3"/>
      <c r="L934" s="3"/>
      <c r="M934" s="3"/>
      <c r="N934" s="3"/>
      <c r="O934" s="3"/>
      <c r="P934" s="8"/>
      <c r="Q934" s="8"/>
      <c r="R934" s="3"/>
      <c r="S934" s="3"/>
      <c r="T934" s="3"/>
      <c r="U934" s="5" t="str">
        <f t="shared" si="43"/>
        <v/>
      </c>
    </row>
    <row r="935" spans="1:21" ht="28" customHeight="1" x14ac:dyDescent="0.35">
      <c r="A935" s="4">
        <v>14</v>
      </c>
      <c r="B935" s="4" t="s">
        <v>97</v>
      </c>
      <c r="C935" s="4" t="s">
        <v>98</v>
      </c>
      <c r="D935" s="4" t="s">
        <v>99</v>
      </c>
      <c r="E935" s="4" t="s">
        <v>69</v>
      </c>
      <c r="F935" s="4" t="s">
        <v>95</v>
      </c>
      <c r="G935" s="4" t="s">
        <v>96</v>
      </c>
      <c r="H935" s="4" t="s">
        <v>59</v>
      </c>
      <c r="I935" s="3"/>
      <c r="J935" s="3"/>
      <c r="K935" s="3"/>
      <c r="L935" s="3"/>
      <c r="M935" s="3"/>
      <c r="N935" s="3"/>
      <c r="O935" s="3"/>
      <c r="P935" s="8"/>
      <c r="Q935" s="8"/>
      <c r="R935" s="3"/>
      <c r="S935" s="3"/>
      <c r="T935" s="3"/>
      <c r="U935" s="5" t="str">
        <f t="shared" si="43"/>
        <v/>
      </c>
    </row>
    <row r="936" spans="1:21" ht="28" customHeight="1" x14ac:dyDescent="0.35">
      <c r="A936" s="4">
        <v>15</v>
      </c>
      <c r="B936" s="4" t="s">
        <v>97</v>
      </c>
      <c r="C936" s="4" t="s">
        <v>100</v>
      </c>
      <c r="D936" s="4" t="s">
        <v>101</v>
      </c>
      <c r="E936" s="4" t="s">
        <v>69</v>
      </c>
      <c r="F936" s="4" t="s">
        <v>95</v>
      </c>
      <c r="G936" s="4" t="s">
        <v>102</v>
      </c>
      <c r="H936" s="4" t="s">
        <v>59</v>
      </c>
      <c r="I936" s="3"/>
      <c r="J936" s="3"/>
      <c r="K936" s="3"/>
      <c r="L936" s="3"/>
      <c r="M936" s="3"/>
      <c r="N936" s="3"/>
      <c r="O936" s="3"/>
      <c r="P936" s="8"/>
      <c r="Q936" s="8"/>
      <c r="R936" s="3"/>
      <c r="S936" s="3"/>
      <c r="T936" s="3"/>
      <c r="U936" s="5" t="str">
        <f t="shared" si="43"/>
        <v/>
      </c>
    </row>
    <row r="937" spans="1:21" ht="28" customHeight="1" x14ac:dyDescent="0.35">
      <c r="A937" s="4">
        <v>16</v>
      </c>
      <c r="B937" s="4" t="s">
        <v>103</v>
      </c>
      <c r="C937" s="4" t="s">
        <v>104</v>
      </c>
      <c r="D937" s="4" t="s">
        <v>105</v>
      </c>
      <c r="E937" s="4" t="s">
        <v>69</v>
      </c>
      <c r="F937" s="4" t="s">
        <v>95</v>
      </c>
      <c r="G937" s="4" t="s">
        <v>96</v>
      </c>
      <c r="H937" s="4" t="s">
        <v>85</v>
      </c>
      <c r="I937" s="3"/>
      <c r="J937" s="3"/>
      <c r="K937" s="3"/>
      <c r="L937" s="3"/>
      <c r="M937" s="3"/>
      <c r="N937" s="3"/>
      <c r="O937" s="3"/>
      <c r="P937" s="8"/>
      <c r="Q937" s="8"/>
      <c r="R937" s="3"/>
      <c r="S937" s="3"/>
      <c r="T937" s="3"/>
      <c r="U937" s="5" t="str">
        <f t="shared" si="43"/>
        <v/>
      </c>
    </row>
    <row r="938" spans="1:21" ht="28" customHeight="1" x14ac:dyDescent="0.35">
      <c r="A938" s="4">
        <v>17</v>
      </c>
      <c r="B938" s="4" t="s">
        <v>106</v>
      </c>
      <c r="C938" s="4" t="s">
        <v>107</v>
      </c>
      <c r="D938" s="4" t="s">
        <v>108</v>
      </c>
      <c r="E938" s="4" t="s">
        <v>109</v>
      </c>
      <c r="F938" s="4" t="s">
        <v>95</v>
      </c>
      <c r="G938" s="4" t="s">
        <v>96</v>
      </c>
      <c r="H938" s="4" t="s">
        <v>59</v>
      </c>
      <c r="I938" s="3"/>
      <c r="J938" s="3"/>
      <c r="K938" s="3"/>
      <c r="L938" s="3"/>
      <c r="M938" s="3"/>
      <c r="N938" s="3"/>
      <c r="O938" s="3"/>
      <c r="P938" s="8"/>
      <c r="Q938" s="8"/>
      <c r="R938" s="3"/>
      <c r="S938" s="3"/>
      <c r="T938" s="3"/>
      <c r="U938" s="5" t="str">
        <f t="shared" si="43"/>
        <v/>
      </c>
    </row>
    <row r="940" spans="1:21" ht="28" customHeight="1" x14ac:dyDescent="0.35">
      <c r="A940" s="9" t="s">
        <v>110</v>
      </c>
      <c r="B940" s="16"/>
      <c r="C940" s="17"/>
      <c r="D940" s="17"/>
      <c r="E940" s="17"/>
      <c r="F940" s="17"/>
      <c r="G940" s="17"/>
      <c r="H940" s="17"/>
      <c r="I940" s="17"/>
      <c r="J940" s="17"/>
      <c r="K940" s="17"/>
      <c r="L940" s="17"/>
      <c r="M940" s="17"/>
      <c r="N940" s="17"/>
      <c r="O940" s="17"/>
      <c r="P940" s="17"/>
      <c r="Q940" s="17"/>
      <c r="R940" s="17"/>
      <c r="S940" s="17"/>
      <c r="T940" s="17"/>
      <c r="U940" s="18"/>
    </row>
    <row r="941" spans="1:21" ht="28" customHeight="1" x14ac:dyDescent="0.35">
      <c r="A941" s="19" t="s">
        <v>348</v>
      </c>
      <c r="B941" s="20"/>
      <c r="C941" s="20"/>
      <c r="D941" s="20"/>
      <c r="E941" s="20"/>
      <c r="F941" s="20"/>
      <c r="G941" s="20"/>
      <c r="H941" s="20"/>
      <c r="I941" s="20"/>
      <c r="J941" s="20"/>
      <c r="K941" s="20"/>
      <c r="L941" s="20"/>
      <c r="M941" s="20"/>
      <c r="N941" s="20"/>
      <c r="O941" s="20"/>
      <c r="P941" s="20"/>
      <c r="Q941" s="20"/>
      <c r="R941" s="20"/>
      <c r="S941" s="20"/>
      <c r="T941" s="20"/>
      <c r="U941" s="21"/>
    </row>
    <row r="942" spans="1:21" ht="28" customHeight="1" x14ac:dyDescent="0.35">
      <c r="A942" s="4" t="s">
        <v>31</v>
      </c>
      <c r="B942" s="3" t="s">
        <v>257</v>
      </c>
      <c r="C942" s="4" t="s">
        <v>32</v>
      </c>
      <c r="D942" s="3"/>
      <c r="E942" s="4" t="s">
        <v>33</v>
      </c>
      <c r="F942" s="8"/>
    </row>
    <row r="943" spans="1:21" ht="28" customHeight="1" x14ac:dyDescent="0.35">
      <c r="A943" s="1" t="s">
        <v>34</v>
      </c>
      <c r="B943" s="1" t="s">
        <v>35</v>
      </c>
      <c r="C943" s="1" t="s">
        <v>36</v>
      </c>
      <c r="D943" s="1" t="s">
        <v>37</v>
      </c>
      <c r="E943" s="1" t="s">
        <v>38</v>
      </c>
      <c r="F943" s="1" t="s">
        <v>39</v>
      </c>
      <c r="G943" s="1" t="s">
        <v>40</v>
      </c>
      <c r="H943" s="1" t="s">
        <v>41</v>
      </c>
      <c r="I943" s="1" t="s">
        <v>42</v>
      </c>
      <c r="J943" s="1" t="s">
        <v>43</v>
      </c>
      <c r="K943" s="1" t="s">
        <v>44</v>
      </c>
      <c r="L943" s="1" t="s">
        <v>45</v>
      </c>
      <c r="M943" s="1" t="s">
        <v>46</v>
      </c>
      <c r="N943" s="1" t="s">
        <v>47</v>
      </c>
      <c r="O943" s="1" t="s">
        <v>48</v>
      </c>
      <c r="P943" s="1" t="s">
        <v>4</v>
      </c>
      <c r="Q943" s="1" t="s">
        <v>49</v>
      </c>
      <c r="R943" s="1" t="s">
        <v>50</v>
      </c>
      <c r="S943" s="1" t="s">
        <v>51</v>
      </c>
      <c r="T943" s="1" t="s">
        <v>52</v>
      </c>
      <c r="U943" s="1" t="s">
        <v>10</v>
      </c>
    </row>
    <row r="944" spans="1:21" ht="28" customHeight="1" x14ac:dyDescent="0.35">
      <c r="A944" s="4">
        <v>1</v>
      </c>
      <c r="B944" s="4" t="s">
        <v>270</v>
      </c>
      <c r="C944" s="4" t="s">
        <v>271</v>
      </c>
      <c r="D944" s="4" t="s">
        <v>272</v>
      </c>
      <c r="E944" s="4" t="s">
        <v>109</v>
      </c>
      <c r="F944" s="4" t="s">
        <v>273</v>
      </c>
      <c r="G944" s="4" t="s">
        <v>199</v>
      </c>
      <c r="H944" s="4" t="s">
        <v>59</v>
      </c>
      <c r="I944" s="3"/>
      <c r="J944" s="3"/>
      <c r="K944" s="3"/>
      <c r="L944" s="3"/>
      <c r="M944" s="3"/>
      <c r="N944" s="3"/>
      <c r="O944" s="3"/>
      <c r="P944" s="8"/>
      <c r="Q944" s="8"/>
      <c r="R944" s="3"/>
      <c r="S944" s="3"/>
      <c r="T944" s="3"/>
      <c r="U944" s="5" t="str">
        <f t="shared" ref="U944:U960" si="44">IF(I944="","",IF(I944="NA","Grey",IF(I944=2,"Green",IF(I944=1,"Amber","Red"))))</f>
        <v/>
      </c>
    </row>
    <row r="945" spans="1:21" ht="28" customHeight="1" x14ac:dyDescent="0.35">
      <c r="A945" s="4">
        <v>2</v>
      </c>
      <c r="B945" s="4" t="s">
        <v>270</v>
      </c>
      <c r="C945" s="4" t="s">
        <v>274</v>
      </c>
      <c r="D945" s="4" t="s">
        <v>275</v>
      </c>
      <c r="E945" s="4" t="s">
        <v>69</v>
      </c>
      <c r="F945" s="4" t="s">
        <v>276</v>
      </c>
      <c r="G945" s="4" t="s">
        <v>199</v>
      </c>
      <c r="H945" s="4" t="s">
        <v>76</v>
      </c>
      <c r="I945" s="3"/>
      <c r="J945" s="3"/>
      <c r="K945" s="3"/>
      <c r="L945" s="3"/>
      <c r="M945" s="3"/>
      <c r="N945" s="3"/>
      <c r="O945" s="3"/>
      <c r="P945" s="8"/>
      <c r="Q945" s="8"/>
      <c r="R945" s="3"/>
      <c r="S945" s="3"/>
      <c r="T945" s="3"/>
      <c r="U945" s="5" t="str">
        <f t="shared" si="44"/>
        <v/>
      </c>
    </row>
    <row r="946" spans="1:21" ht="28" customHeight="1" x14ac:dyDescent="0.35">
      <c r="A946" s="4">
        <v>3</v>
      </c>
      <c r="B946" s="4" t="s">
        <v>270</v>
      </c>
      <c r="C946" s="4" t="s">
        <v>277</v>
      </c>
      <c r="D946" s="4" t="s">
        <v>278</v>
      </c>
      <c r="E946" s="4" t="s">
        <v>279</v>
      </c>
      <c r="F946" s="4" t="s">
        <v>280</v>
      </c>
      <c r="G946" s="4" t="s">
        <v>209</v>
      </c>
      <c r="H946" s="4" t="s">
        <v>76</v>
      </c>
      <c r="I946" s="3"/>
      <c r="J946" s="3"/>
      <c r="K946" s="3"/>
      <c r="L946" s="3"/>
      <c r="M946" s="3"/>
      <c r="N946" s="3"/>
      <c r="O946" s="3"/>
      <c r="P946" s="8"/>
      <c r="Q946" s="8"/>
      <c r="R946" s="3"/>
      <c r="S946" s="3"/>
      <c r="T946" s="3"/>
      <c r="U946" s="5" t="str">
        <f t="shared" si="44"/>
        <v/>
      </c>
    </row>
    <row r="947" spans="1:21" ht="28" customHeight="1" x14ac:dyDescent="0.35">
      <c r="A947" s="4">
        <v>4</v>
      </c>
      <c r="B947" s="4" t="s">
        <v>270</v>
      </c>
      <c r="C947" s="4" t="s">
        <v>281</v>
      </c>
      <c r="D947" s="4" t="s">
        <v>282</v>
      </c>
      <c r="E947" s="4" t="s">
        <v>283</v>
      </c>
      <c r="F947" s="4" t="s">
        <v>284</v>
      </c>
      <c r="G947" s="4" t="s">
        <v>204</v>
      </c>
      <c r="H947" s="4" t="s">
        <v>76</v>
      </c>
      <c r="I947" s="3"/>
      <c r="J947" s="3"/>
      <c r="K947" s="3"/>
      <c r="L947" s="3"/>
      <c r="M947" s="3"/>
      <c r="N947" s="3"/>
      <c r="O947" s="3"/>
      <c r="P947" s="8"/>
      <c r="Q947" s="8"/>
      <c r="R947" s="3"/>
      <c r="S947" s="3"/>
      <c r="T947" s="3"/>
      <c r="U947" s="5" t="str">
        <f t="shared" si="44"/>
        <v/>
      </c>
    </row>
    <row r="948" spans="1:21" ht="28" customHeight="1" x14ac:dyDescent="0.35">
      <c r="A948" s="4">
        <v>5</v>
      </c>
      <c r="B948" s="4" t="s">
        <v>285</v>
      </c>
      <c r="C948" s="4" t="s">
        <v>286</v>
      </c>
      <c r="D948" s="4" t="s">
        <v>287</v>
      </c>
      <c r="E948" s="4" t="s">
        <v>69</v>
      </c>
      <c r="F948" s="4" t="s">
        <v>276</v>
      </c>
      <c r="G948" s="4" t="s">
        <v>199</v>
      </c>
      <c r="H948" s="4" t="s">
        <v>76</v>
      </c>
      <c r="I948" s="3"/>
      <c r="J948" s="3"/>
      <c r="K948" s="3"/>
      <c r="L948" s="3"/>
      <c r="M948" s="3"/>
      <c r="N948" s="3"/>
      <c r="O948" s="3"/>
      <c r="P948" s="8"/>
      <c r="Q948" s="8"/>
      <c r="R948" s="3"/>
      <c r="S948" s="3"/>
      <c r="T948" s="3"/>
      <c r="U948" s="5" t="str">
        <f t="shared" si="44"/>
        <v/>
      </c>
    </row>
    <row r="949" spans="1:21" ht="28" customHeight="1" x14ac:dyDescent="0.35">
      <c r="A949" s="4">
        <v>6</v>
      </c>
      <c r="B949" s="4" t="s">
        <v>285</v>
      </c>
      <c r="C949" s="4" t="s">
        <v>288</v>
      </c>
      <c r="D949" s="4" t="s">
        <v>289</v>
      </c>
      <c r="E949" s="4" t="s">
        <v>70</v>
      </c>
      <c r="F949" s="4" t="s">
        <v>276</v>
      </c>
      <c r="G949" s="4" t="s">
        <v>199</v>
      </c>
      <c r="H949" s="4" t="s">
        <v>59</v>
      </c>
      <c r="I949" s="3"/>
      <c r="J949" s="3"/>
      <c r="K949" s="3"/>
      <c r="L949" s="3"/>
      <c r="M949" s="3"/>
      <c r="N949" s="3"/>
      <c r="O949" s="3"/>
      <c r="P949" s="8"/>
      <c r="Q949" s="8"/>
      <c r="R949" s="3"/>
      <c r="S949" s="3"/>
      <c r="T949" s="3"/>
      <c r="U949" s="5" t="str">
        <f t="shared" si="44"/>
        <v/>
      </c>
    </row>
    <row r="950" spans="1:21" ht="28" customHeight="1" x14ac:dyDescent="0.35">
      <c r="A950" s="4">
        <v>7</v>
      </c>
      <c r="B950" s="4" t="s">
        <v>290</v>
      </c>
      <c r="C950" s="4" t="s">
        <v>291</v>
      </c>
      <c r="D950" s="4" t="s">
        <v>292</v>
      </c>
      <c r="E950" s="4" t="s">
        <v>109</v>
      </c>
      <c r="F950" s="4" t="s">
        <v>284</v>
      </c>
      <c r="G950" s="4" t="s">
        <v>204</v>
      </c>
      <c r="H950" s="4" t="s">
        <v>59</v>
      </c>
      <c r="I950" s="3"/>
      <c r="J950" s="3"/>
      <c r="K950" s="3"/>
      <c r="L950" s="3"/>
      <c r="M950" s="3"/>
      <c r="N950" s="3"/>
      <c r="O950" s="3"/>
      <c r="P950" s="8"/>
      <c r="Q950" s="8"/>
      <c r="R950" s="3"/>
      <c r="S950" s="3"/>
      <c r="T950" s="3"/>
      <c r="U950" s="5" t="str">
        <f t="shared" si="44"/>
        <v/>
      </c>
    </row>
    <row r="951" spans="1:21" ht="28" customHeight="1" x14ac:dyDescent="0.35">
      <c r="A951" s="4">
        <v>8</v>
      </c>
      <c r="B951" s="4" t="s">
        <v>290</v>
      </c>
      <c r="C951" s="4" t="s">
        <v>293</v>
      </c>
      <c r="D951" s="4" t="s">
        <v>294</v>
      </c>
      <c r="E951" s="4" t="s">
        <v>70</v>
      </c>
      <c r="F951" s="4" t="s">
        <v>295</v>
      </c>
      <c r="G951" s="4" t="s">
        <v>199</v>
      </c>
      <c r="H951" s="4" t="s">
        <v>76</v>
      </c>
      <c r="I951" s="3"/>
      <c r="J951" s="3"/>
      <c r="K951" s="3"/>
      <c r="L951" s="3"/>
      <c r="M951" s="3"/>
      <c r="N951" s="3"/>
      <c r="O951" s="3"/>
      <c r="P951" s="8"/>
      <c r="Q951" s="8"/>
      <c r="R951" s="3"/>
      <c r="S951" s="3"/>
      <c r="T951" s="3"/>
      <c r="U951" s="5" t="str">
        <f t="shared" si="44"/>
        <v/>
      </c>
    </row>
    <row r="952" spans="1:21" ht="28" customHeight="1" x14ac:dyDescent="0.35">
      <c r="A952" s="4">
        <v>9</v>
      </c>
      <c r="B952" s="4" t="s">
        <v>296</v>
      </c>
      <c r="C952" s="4" t="s">
        <v>297</v>
      </c>
      <c r="D952" s="4" t="s">
        <v>70</v>
      </c>
      <c r="E952" s="4" t="s">
        <v>70</v>
      </c>
      <c r="F952" s="4" t="s">
        <v>295</v>
      </c>
      <c r="G952" s="4" t="s">
        <v>199</v>
      </c>
      <c r="H952" s="4" t="s">
        <v>76</v>
      </c>
      <c r="I952" s="3"/>
      <c r="J952" s="3"/>
      <c r="K952" s="3"/>
      <c r="L952" s="3"/>
      <c r="M952" s="3"/>
      <c r="N952" s="3"/>
      <c r="O952" s="3"/>
      <c r="P952" s="8"/>
      <c r="Q952" s="8"/>
      <c r="R952" s="3"/>
      <c r="S952" s="3"/>
      <c r="T952" s="3"/>
      <c r="U952" s="5" t="str">
        <f t="shared" si="44"/>
        <v/>
      </c>
    </row>
    <row r="953" spans="1:21" ht="28" customHeight="1" x14ac:dyDescent="0.35">
      <c r="A953" s="4">
        <v>10</v>
      </c>
      <c r="B953" s="4" t="s">
        <v>296</v>
      </c>
      <c r="C953" s="4" t="s">
        <v>298</v>
      </c>
      <c r="D953" s="4" t="s">
        <v>299</v>
      </c>
      <c r="E953" s="4" t="s">
        <v>283</v>
      </c>
      <c r="F953" s="4" t="s">
        <v>284</v>
      </c>
      <c r="G953" s="4" t="s">
        <v>204</v>
      </c>
      <c r="H953" s="4" t="s">
        <v>59</v>
      </c>
      <c r="I953" s="3"/>
      <c r="J953" s="3"/>
      <c r="K953" s="3"/>
      <c r="L953" s="3"/>
      <c r="M953" s="3"/>
      <c r="N953" s="3"/>
      <c r="O953" s="3"/>
      <c r="P953" s="8"/>
      <c r="Q953" s="8"/>
      <c r="R953" s="3"/>
      <c r="S953" s="3"/>
      <c r="T953" s="3"/>
      <c r="U953" s="5" t="str">
        <f t="shared" si="44"/>
        <v/>
      </c>
    </row>
    <row r="954" spans="1:21" ht="28" customHeight="1" x14ac:dyDescent="0.35">
      <c r="A954" s="4">
        <v>11</v>
      </c>
      <c r="B954" s="4" t="s">
        <v>300</v>
      </c>
      <c r="C954" s="4" t="s">
        <v>301</v>
      </c>
      <c r="D954" s="4" t="s">
        <v>302</v>
      </c>
      <c r="E954" s="4" t="s">
        <v>56</v>
      </c>
      <c r="F954" s="4" t="s">
        <v>276</v>
      </c>
      <c r="G954" s="4" t="s">
        <v>199</v>
      </c>
      <c r="H954" s="4" t="s">
        <v>76</v>
      </c>
      <c r="I954" s="3"/>
      <c r="J954" s="3"/>
      <c r="K954" s="3"/>
      <c r="L954" s="3"/>
      <c r="M954" s="3"/>
      <c r="N954" s="3"/>
      <c r="O954" s="3"/>
      <c r="P954" s="8"/>
      <c r="Q954" s="8"/>
      <c r="R954" s="3"/>
      <c r="S954" s="3"/>
      <c r="T954" s="3"/>
      <c r="U954" s="5" t="str">
        <f t="shared" si="44"/>
        <v/>
      </c>
    </row>
    <row r="955" spans="1:21" ht="28" customHeight="1" x14ac:dyDescent="0.35">
      <c r="A955" s="4">
        <v>12</v>
      </c>
      <c r="B955" s="4" t="s">
        <v>303</v>
      </c>
      <c r="C955" s="4" t="s">
        <v>304</v>
      </c>
      <c r="D955" s="4" t="s">
        <v>305</v>
      </c>
      <c r="E955" s="4" t="s">
        <v>283</v>
      </c>
      <c r="F955" s="4" t="s">
        <v>276</v>
      </c>
      <c r="G955" s="4" t="s">
        <v>199</v>
      </c>
      <c r="H955" s="4" t="s">
        <v>76</v>
      </c>
      <c r="I955" s="3"/>
      <c r="J955" s="3"/>
      <c r="K955" s="3"/>
      <c r="L955" s="3"/>
      <c r="M955" s="3"/>
      <c r="N955" s="3"/>
      <c r="O955" s="3"/>
      <c r="P955" s="8"/>
      <c r="Q955" s="8"/>
      <c r="R955" s="3"/>
      <c r="S955" s="3"/>
      <c r="T955" s="3"/>
      <c r="U955" s="5" t="str">
        <f t="shared" si="44"/>
        <v/>
      </c>
    </row>
    <row r="956" spans="1:21" ht="28" customHeight="1" x14ac:dyDescent="0.35">
      <c r="A956" s="4">
        <v>13</v>
      </c>
      <c r="B956" s="4" t="s">
        <v>306</v>
      </c>
      <c r="C956" s="4" t="s">
        <v>307</v>
      </c>
      <c r="D956" s="4" t="s">
        <v>308</v>
      </c>
      <c r="E956" s="4" t="s">
        <v>69</v>
      </c>
      <c r="F956" s="4" t="s">
        <v>273</v>
      </c>
      <c r="G956" s="4" t="s">
        <v>96</v>
      </c>
      <c r="H956" s="4" t="s">
        <v>59</v>
      </c>
      <c r="I956" s="3"/>
      <c r="J956" s="3"/>
      <c r="K956" s="3"/>
      <c r="L956" s="3"/>
      <c r="M956" s="3"/>
      <c r="N956" s="3"/>
      <c r="O956" s="3"/>
      <c r="P956" s="8"/>
      <c r="Q956" s="8"/>
      <c r="R956" s="3"/>
      <c r="S956" s="3"/>
      <c r="T956" s="3"/>
      <c r="U956" s="5" t="str">
        <f t="shared" si="44"/>
        <v/>
      </c>
    </row>
    <row r="957" spans="1:21" ht="28" customHeight="1" x14ac:dyDescent="0.35">
      <c r="A957" s="4">
        <v>14</v>
      </c>
      <c r="B957" s="4" t="s">
        <v>97</v>
      </c>
      <c r="C957" s="4" t="s">
        <v>98</v>
      </c>
      <c r="D957" s="4" t="s">
        <v>99</v>
      </c>
      <c r="E957" s="4" t="s">
        <v>69</v>
      </c>
      <c r="F957" s="4" t="s">
        <v>95</v>
      </c>
      <c r="G957" s="4" t="s">
        <v>96</v>
      </c>
      <c r="H957" s="4" t="s">
        <v>59</v>
      </c>
      <c r="I957" s="3"/>
      <c r="J957" s="3"/>
      <c r="K957" s="3"/>
      <c r="L957" s="3"/>
      <c r="M957" s="3"/>
      <c r="N957" s="3"/>
      <c r="O957" s="3"/>
      <c r="P957" s="8"/>
      <c r="Q957" s="8"/>
      <c r="R957" s="3"/>
      <c r="S957" s="3"/>
      <c r="T957" s="3"/>
      <c r="U957" s="5" t="str">
        <f t="shared" si="44"/>
        <v/>
      </c>
    </row>
    <row r="958" spans="1:21" ht="28" customHeight="1" x14ac:dyDescent="0.35">
      <c r="A958" s="4">
        <v>15</v>
      </c>
      <c r="B958" s="4" t="s">
        <v>97</v>
      </c>
      <c r="C958" s="4" t="s">
        <v>100</v>
      </c>
      <c r="D958" s="4" t="s">
        <v>101</v>
      </c>
      <c r="E958" s="4" t="s">
        <v>69</v>
      </c>
      <c r="F958" s="4" t="s">
        <v>95</v>
      </c>
      <c r="G958" s="4" t="s">
        <v>102</v>
      </c>
      <c r="H958" s="4" t="s">
        <v>59</v>
      </c>
      <c r="I958" s="3"/>
      <c r="J958" s="3"/>
      <c r="K958" s="3"/>
      <c r="L958" s="3"/>
      <c r="M958" s="3"/>
      <c r="N958" s="3"/>
      <c r="O958" s="3"/>
      <c r="P958" s="8"/>
      <c r="Q958" s="8"/>
      <c r="R958" s="3"/>
      <c r="S958" s="3"/>
      <c r="T958" s="3"/>
      <c r="U958" s="5" t="str">
        <f t="shared" si="44"/>
        <v/>
      </c>
    </row>
    <row r="959" spans="1:21" ht="28" customHeight="1" x14ac:dyDescent="0.35">
      <c r="A959" s="4">
        <v>16</v>
      </c>
      <c r="B959" s="4" t="s">
        <v>103</v>
      </c>
      <c r="C959" s="4" t="s">
        <v>104</v>
      </c>
      <c r="D959" s="4" t="s">
        <v>105</v>
      </c>
      <c r="E959" s="4" t="s">
        <v>69</v>
      </c>
      <c r="F959" s="4" t="s">
        <v>95</v>
      </c>
      <c r="G959" s="4" t="s">
        <v>96</v>
      </c>
      <c r="H959" s="4" t="s">
        <v>85</v>
      </c>
      <c r="I959" s="3"/>
      <c r="J959" s="3"/>
      <c r="K959" s="3"/>
      <c r="L959" s="3"/>
      <c r="M959" s="3"/>
      <c r="N959" s="3"/>
      <c r="O959" s="3"/>
      <c r="P959" s="8"/>
      <c r="Q959" s="8"/>
      <c r="R959" s="3"/>
      <c r="S959" s="3"/>
      <c r="T959" s="3"/>
      <c r="U959" s="5" t="str">
        <f t="shared" si="44"/>
        <v/>
      </c>
    </row>
    <row r="960" spans="1:21" ht="28" customHeight="1" x14ac:dyDescent="0.35">
      <c r="A960" s="4">
        <v>17</v>
      </c>
      <c r="B960" s="4" t="s">
        <v>106</v>
      </c>
      <c r="C960" s="4" t="s">
        <v>107</v>
      </c>
      <c r="D960" s="4" t="s">
        <v>108</v>
      </c>
      <c r="E960" s="4" t="s">
        <v>109</v>
      </c>
      <c r="F960" s="4" t="s">
        <v>95</v>
      </c>
      <c r="G960" s="4" t="s">
        <v>96</v>
      </c>
      <c r="H960" s="4" t="s">
        <v>59</v>
      </c>
      <c r="I960" s="3"/>
      <c r="J960" s="3"/>
      <c r="K960" s="3"/>
      <c r="L960" s="3"/>
      <c r="M960" s="3"/>
      <c r="N960" s="3"/>
      <c r="O960" s="3"/>
      <c r="P960" s="8"/>
      <c r="Q960" s="8"/>
      <c r="R960" s="3"/>
      <c r="S960" s="3"/>
      <c r="T960" s="3"/>
      <c r="U960" s="5" t="str">
        <f t="shared" si="44"/>
        <v/>
      </c>
    </row>
    <row r="962" spans="1:21" ht="28" customHeight="1" x14ac:dyDescent="0.35">
      <c r="A962" s="9" t="s">
        <v>110</v>
      </c>
      <c r="B962" s="16"/>
      <c r="C962" s="17"/>
      <c r="D962" s="17"/>
      <c r="E962" s="17"/>
      <c r="F962" s="17"/>
      <c r="G962" s="17"/>
      <c r="H962" s="17"/>
      <c r="I962" s="17"/>
      <c r="J962" s="17"/>
      <c r="K962" s="17"/>
      <c r="L962" s="17"/>
      <c r="M962" s="17"/>
      <c r="N962" s="17"/>
      <c r="O962" s="17"/>
      <c r="P962" s="17"/>
      <c r="Q962" s="17"/>
      <c r="R962" s="17"/>
      <c r="S962" s="17"/>
      <c r="T962" s="17"/>
      <c r="U962" s="18"/>
    </row>
    <row r="963" spans="1:21" ht="28" customHeight="1" x14ac:dyDescent="0.35">
      <c r="A963" s="19" t="s">
        <v>349</v>
      </c>
      <c r="B963" s="20"/>
      <c r="C963" s="20"/>
      <c r="D963" s="20"/>
      <c r="E963" s="20"/>
      <c r="F963" s="20"/>
      <c r="G963" s="20"/>
      <c r="H963" s="20"/>
      <c r="I963" s="20"/>
      <c r="J963" s="20"/>
      <c r="K963" s="20"/>
      <c r="L963" s="20"/>
      <c r="M963" s="20"/>
      <c r="N963" s="20"/>
      <c r="O963" s="20"/>
      <c r="P963" s="20"/>
      <c r="Q963" s="20"/>
      <c r="R963" s="20"/>
      <c r="S963" s="20"/>
      <c r="T963" s="20"/>
      <c r="U963" s="21"/>
    </row>
    <row r="964" spans="1:21" ht="28" customHeight="1" x14ac:dyDescent="0.35">
      <c r="A964" s="4" t="s">
        <v>31</v>
      </c>
      <c r="B964" s="3" t="s">
        <v>258</v>
      </c>
      <c r="C964" s="4" t="s">
        <v>32</v>
      </c>
      <c r="D964" s="3"/>
      <c r="E964" s="4" t="s">
        <v>33</v>
      </c>
      <c r="F964" s="8"/>
    </row>
    <row r="965" spans="1:21" ht="28" customHeight="1" x14ac:dyDescent="0.35">
      <c r="A965" s="1" t="s">
        <v>34</v>
      </c>
      <c r="B965" s="1" t="s">
        <v>35</v>
      </c>
      <c r="C965" s="1" t="s">
        <v>36</v>
      </c>
      <c r="D965" s="1" t="s">
        <v>37</v>
      </c>
      <c r="E965" s="1" t="s">
        <v>38</v>
      </c>
      <c r="F965" s="1" t="s">
        <v>39</v>
      </c>
      <c r="G965" s="1" t="s">
        <v>40</v>
      </c>
      <c r="H965" s="1" t="s">
        <v>41</v>
      </c>
      <c r="I965" s="1" t="s">
        <v>42</v>
      </c>
      <c r="J965" s="1" t="s">
        <v>43</v>
      </c>
      <c r="K965" s="1" t="s">
        <v>44</v>
      </c>
      <c r="L965" s="1" t="s">
        <v>45</v>
      </c>
      <c r="M965" s="1" t="s">
        <v>46</v>
      </c>
      <c r="N965" s="1" t="s">
        <v>47</v>
      </c>
      <c r="O965" s="1" t="s">
        <v>48</v>
      </c>
      <c r="P965" s="1" t="s">
        <v>4</v>
      </c>
      <c r="Q965" s="1" t="s">
        <v>49</v>
      </c>
      <c r="R965" s="1" t="s">
        <v>50</v>
      </c>
      <c r="S965" s="1" t="s">
        <v>51</v>
      </c>
      <c r="T965" s="1" t="s">
        <v>52</v>
      </c>
      <c r="U965" s="1" t="s">
        <v>10</v>
      </c>
    </row>
    <row r="966" spans="1:21" ht="28" customHeight="1" x14ac:dyDescent="0.35">
      <c r="A966" s="4">
        <v>1</v>
      </c>
      <c r="B966" s="4" t="s">
        <v>270</v>
      </c>
      <c r="C966" s="4" t="s">
        <v>271</v>
      </c>
      <c r="D966" s="4" t="s">
        <v>272</v>
      </c>
      <c r="E966" s="4" t="s">
        <v>109</v>
      </c>
      <c r="F966" s="4" t="s">
        <v>273</v>
      </c>
      <c r="G966" s="4" t="s">
        <v>199</v>
      </c>
      <c r="H966" s="4" t="s">
        <v>59</v>
      </c>
      <c r="I966" s="3"/>
      <c r="J966" s="3"/>
      <c r="K966" s="3"/>
      <c r="L966" s="3"/>
      <c r="M966" s="3"/>
      <c r="N966" s="3"/>
      <c r="O966" s="3"/>
      <c r="P966" s="8"/>
      <c r="Q966" s="8"/>
      <c r="R966" s="3"/>
      <c r="S966" s="3"/>
      <c r="T966" s="3"/>
      <c r="U966" s="5" t="str">
        <f t="shared" ref="U966:U982" si="45">IF(I966="","",IF(I966="NA","Grey",IF(I966=2,"Green",IF(I966=1,"Amber","Red"))))</f>
        <v/>
      </c>
    </row>
    <row r="967" spans="1:21" ht="28" customHeight="1" x14ac:dyDescent="0.35">
      <c r="A967" s="4">
        <v>2</v>
      </c>
      <c r="B967" s="4" t="s">
        <v>270</v>
      </c>
      <c r="C967" s="4" t="s">
        <v>274</v>
      </c>
      <c r="D967" s="4" t="s">
        <v>275</v>
      </c>
      <c r="E967" s="4" t="s">
        <v>69</v>
      </c>
      <c r="F967" s="4" t="s">
        <v>276</v>
      </c>
      <c r="G967" s="4" t="s">
        <v>199</v>
      </c>
      <c r="H967" s="4" t="s">
        <v>76</v>
      </c>
      <c r="I967" s="3"/>
      <c r="J967" s="3"/>
      <c r="K967" s="3"/>
      <c r="L967" s="3"/>
      <c r="M967" s="3"/>
      <c r="N967" s="3"/>
      <c r="O967" s="3"/>
      <c r="P967" s="8"/>
      <c r="Q967" s="8"/>
      <c r="R967" s="3"/>
      <c r="S967" s="3"/>
      <c r="T967" s="3"/>
      <c r="U967" s="5" t="str">
        <f t="shared" si="45"/>
        <v/>
      </c>
    </row>
    <row r="968" spans="1:21" ht="28" customHeight="1" x14ac:dyDescent="0.35">
      <c r="A968" s="4">
        <v>3</v>
      </c>
      <c r="B968" s="4" t="s">
        <v>270</v>
      </c>
      <c r="C968" s="4" t="s">
        <v>277</v>
      </c>
      <c r="D968" s="4" t="s">
        <v>278</v>
      </c>
      <c r="E968" s="4" t="s">
        <v>279</v>
      </c>
      <c r="F968" s="4" t="s">
        <v>280</v>
      </c>
      <c r="G968" s="4" t="s">
        <v>209</v>
      </c>
      <c r="H968" s="4" t="s">
        <v>76</v>
      </c>
      <c r="I968" s="3"/>
      <c r="J968" s="3"/>
      <c r="K968" s="3"/>
      <c r="L968" s="3"/>
      <c r="M968" s="3"/>
      <c r="N968" s="3"/>
      <c r="O968" s="3"/>
      <c r="P968" s="8"/>
      <c r="Q968" s="8"/>
      <c r="R968" s="3"/>
      <c r="S968" s="3"/>
      <c r="T968" s="3"/>
      <c r="U968" s="5" t="str">
        <f t="shared" si="45"/>
        <v/>
      </c>
    </row>
    <row r="969" spans="1:21" ht="28" customHeight="1" x14ac:dyDescent="0.35">
      <c r="A969" s="4">
        <v>4</v>
      </c>
      <c r="B969" s="4" t="s">
        <v>270</v>
      </c>
      <c r="C969" s="4" t="s">
        <v>281</v>
      </c>
      <c r="D969" s="4" t="s">
        <v>282</v>
      </c>
      <c r="E969" s="4" t="s">
        <v>283</v>
      </c>
      <c r="F969" s="4" t="s">
        <v>284</v>
      </c>
      <c r="G969" s="4" t="s">
        <v>204</v>
      </c>
      <c r="H969" s="4" t="s">
        <v>76</v>
      </c>
      <c r="I969" s="3"/>
      <c r="J969" s="3"/>
      <c r="K969" s="3"/>
      <c r="L969" s="3"/>
      <c r="M969" s="3"/>
      <c r="N969" s="3"/>
      <c r="O969" s="3"/>
      <c r="P969" s="8"/>
      <c r="Q969" s="8"/>
      <c r="R969" s="3"/>
      <c r="S969" s="3"/>
      <c r="T969" s="3"/>
      <c r="U969" s="5" t="str">
        <f t="shared" si="45"/>
        <v/>
      </c>
    </row>
    <row r="970" spans="1:21" ht="28" customHeight="1" x14ac:dyDescent="0.35">
      <c r="A970" s="4">
        <v>5</v>
      </c>
      <c r="B970" s="4" t="s">
        <v>285</v>
      </c>
      <c r="C970" s="4" t="s">
        <v>286</v>
      </c>
      <c r="D970" s="4" t="s">
        <v>287</v>
      </c>
      <c r="E970" s="4" t="s">
        <v>69</v>
      </c>
      <c r="F970" s="4" t="s">
        <v>276</v>
      </c>
      <c r="G970" s="4" t="s">
        <v>199</v>
      </c>
      <c r="H970" s="4" t="s">
        <v>76</v>
      </c>
      <c r="I970" s="3"/>
      <c r="J970" s="3"/>
      <c r="K970" s="3"/>
      <c r="L970" s="3"/>
      <c r="M970" s="3"/>
      <c r="N970" s="3"/>
      <c r="O970" s="3"/>
      <c r="P970" s="8"/>
      <c r="Q970" s="8"/>
      <c r="R970" s="3"/>
      <c r="S970" s="3"/>
      <c r="T970" s="3"/>
      <c r="U970" s="5" t="str">
        <f t="shared" si="45"/>
        <v/>
      </c>
    </row>
    <row r="971" spans="1:21" ht="28" customHeight="1" x14ac:dyDescent="0.35">
      <c r="A971" s="4">
        <v>6</v>
      </c>
      <c r="B971" s="4" t="s">
        <v>285</v>
      </c>
      <c r="C971" s="4" t="s">
        <v>288</v>
      </c>
      <c r="D971" s="4" t="s">
        <v>289</v>
      </c>
      <c r="E971" s="4" t="s">
        <v>70</v>
      </c>
      <c r="F971" s="4" t="s">
        <v>276</v>
      </c>
      <c r="G971" s="4" t="s">
        <v>199</v>
      </c>
      <c r="H971" s="4" t="s">
        <v>59</v>
      </c>
      <c r="I971" s="3"/>
      <c r="J971" s="3"/>
      <c r="K971" s="3"/>
      <c r="L971" s="3"/>
      <c r="M971" s="3"/>
      <c r="N971" s="3"/>
      <c r="O971" s="3"/>
      <c r="P971" s="8"/>
      <c r="Q971" s="8"/>
      <c r="R971" s="3"/>
      <c r="S971" s="3"/>
      <c r="T971" s="3"/>
      <c r="U971" s="5" t="str">
        <f t="shared" si="45"/>
        <v/>
      </c>
    </row>
    <row r="972" spans="1:21" ht="28" customHeight="1" x14ac:dyDescent="0.35">
      <c r="A972" s="4">
        <v>7</v>
      </c>
      <c r="B972" s="4" t="s">
        <v>290</v>
      </c>
      <c r="C972" s="4" t="s">
        <v>291</v>
      </c>
      <c r="D972" s="4" t="s">
        <v>292</v>
      </c>
      <c r="E972" s="4" t="s">
        <v>109</v>
      </c>
      <c r="F972" s="4" t="s">
        <v>284</v>
      </c>
      <c r="G972" s="4" t="s">
        <v>204</v>
      </c>
      <c r="H972" s="4" t="s">
        <v>59</v>
      </c>
      <c r="I972" s="3"/>
      <c r="J972" s="3"/>
      <c r="K972" s="3"/>
      <c r="L972" s="3"/>
      <c r="M972" s="3"/>
      <c r="N972" s="3"/>
      <c r="O972" s="3"/>
      <c r="P972" s="8"/>
      <c r="Q972" s="8"/>
      <c r="R972" s="3"/>
      <c r="S972" s="3"/>
      <c r="T972" s="3"/>
      <c r="U972" s="5" t="str">
        <f t="shared" si="45"/>
        <v/>
      </c>
    </row>
    <row r="973" spans="1:21" ht="28" customHeight="1" x14ac:dyDescent="0.35">
      <c r="A973" s="4">
        <v>8</v>
      </c>
      <c r="B973" s="4" t="s">
        <v>290</v>
      </c>
      <c r="C973" s="4" t="s">
        <v>293</v>
      </c>
      <c r="D973" s="4" t="s">
        <v>294</v>
      </c>
      <c r="E973" s="4" t="s">
        <v>70</v>
      </c>
      <c r="F973" s="4" t="s">
        <v>295</v>
      </c>
      <c r="G973" s="4" t="s">
        <v>199</v>
      </c>
      <c r="H973" s="4" t="s">
        <v>76</v>
      </c>
      <c r="I973" s="3"/>
      <c r="J973" s="3"/>
      <c r="K973" s="3"/>
      <c r="L973" s="3"/>
      <c r="M973" s="3"/>
      <c r="N973" s="3"/>
      <c r="O973" s="3"/>
      <c r="P973" s="8"/>
      <c r="Q973" s="8"/>
      <c r="R973" s="3"/>
      <c r="S973" s="3"/>
      <c r="T973" s="3"/>
      <c r="U973" s="5" t="str">
        <f t="shared" si="45"/>
        <v/>
      </c>
    </row>
    <row r="974" spans="1:21" ht="28" customHeight="1" x14ac:dyDescent="0.35">
      <c r="A974" s="4">
        <v>9</v>
      </c>
      <c r="B974" s="4" t="s">
        <v>296</v>
      </c>
      <c r="C974" s="4" t="s">
        <v>297</v>
      </c>
      <c r="D974" s="4" t="s">
        <v>70</v>
      </c>
      <c r="E974" s="4" t="s">
        <v>70</v>
      </c>
      <c r="F974" s="4" t="s">
        <v>295</v>
      </c>
      <c r="G974" s="4" t="s">
        <v>199</v>
      </c>
      <c r="H974" s="4" t="s">
        <v>76</v>
      </c>
      <c r="I974" s="3"/>
      <c r="J974" s="3"/>
      <c r="K974" s="3"/>
      <c r="L974" s="3"/>
      <c r="M974" s="3"/>
      <c r="N974" s="3"/>
      <c r="O974" s="3"/>
      <c r="P974" s="8"/>
      <c r="Q974" s="8"/>
      <c r="R974" s="3"/>
      <c r="S974" s="3"/>
      <c r="T974" s="3"/>
      <c r="U974" s="5" t="str">
        <f t="shared" si="45"/>
        <v/>
      </c>
    </row>
    <row r="975" spans="1:21" ht="28" customHeight="1" x14ac:dyDescent="0.35">
      <c r="A975" s="4">
        <v>10</v>
      </c>
      <c r="B975" s="4" t="s">
        <v>296</v>
      </c>
      <c r="C975" s="4" t="s">
        <v>298</v>
      </c>
      <c r="D975" s="4" t="s">
        <v>299</v>
      </c>
      <c r="E975" s="4" t="s">
        <v>283</v>
      </c>
      <c r="F975" s="4" t="s">
        <v>284</v>
      </c>
      <c r="G975" s="4" t="s">
        <v>204</v>
      </c>
      <c r="H975" s="4" t="s">
        <v>59</v>
      </c>
      <c r="I975" s="3"/>
      <c r="J975" s="3"/>
      <c r="K975" s="3"/>
      <c r="L975" s="3"/>
      <c r="M975" s="3"/>
      <c r="N975" s="3"/>
      <c r="O975" s="3"/>
      <c r="P975" s="8"/>
      <c r="Q975" s="8"/>
      <c r="R975" s="3"/>
      <c r="S975" s="3"/>
      <c r="T975" s="3"/>
      <c r="U975" s="5" t="str">
        <f t="shared" si="45"/>
        <v/>
      </c>
    </row>
    <row r="976" spans="1:21" ht="28" customHeight="1" x14ac:dyDescent="0.35">
      <c r="A976" s="4">
        <v>11</v>
      </c>
      <c r="B976" s="4" t="s">
        <v>300</v>
      </c>
      <c r="C976" s="4" t="s">
        <v>301</v>
      </c>
      <c r="D976" s="4" t="s">
        <v>302</v>
      </c>
      <c r="E976" s="4" t="s">
        <v>56</v>
      </c>
      <c r="F976" s="4" t="s">
        <v>276</v>
      </c>
      <c r="G976" s="4" t="s">
        <v>199</v>
      </c>
      <c r="H976" s="4" t="s">
        <v>76</v>
      </c>
      <c r="I976" s="3"/>
      <c r="J976" s="3"/>
      <c r="K976" s="3"/>
      <c r="L976" s="3"/>
      <c r="M976" s="3"/>
      <c r="N976" s="3"/>
      <c r="O976" s="3"/>
      <c r="P976" s="8"/>
      <c r="Q976" s="8"/>
      <c r="R976" s="3"/>
      <c r="S976" s="3"/>
      <c r="T976" s="3"/>
      <c r="U976" s="5" t="str">
        <f t="shared" si="45"/>
        <v/>
      </c>
    </row>
    <row r="977" spans="1:21" ht="28" customHeight="1" x14ac:dyDescent="0.35">
      <c r="A977" s="4">
        <v>12</v>
      </c>
      <c r="B977" s="4" t="s">
        <v>303</v>
      </c>
      <c r="C977" s="4" t="s">
        <v>304</v>
      </c>
      <c r="D977" s="4" t="s">
        <v>305</v>
      </c>
      <c r="E977" s="4" t="s">
        <v>283</v>
      </c>
      <c r="F977" s="4" t="s">
        <v>276</v>
      </c>
      <c r="G977" s="4" t="s">
        <v>199</v>
      </c>
      <c r="H977" s="4" t="s">
        <v>76</v>
      </c>
      <c r="I977" s="3"/>
      <c r="J977" s="3"/>
      <c r="K977" s="3"/>
      <c r="L977" s="3"/>
      <c r="M977" s="3"/>
      <c r="N977" s="3"/>
      <c r="O977" s="3"/>
      <c r="P977" s="8"/>
      <c r="Q977" s="8"/>
      <c r="R977" s="3"/>
      <c r="S977" s="3"/>
      <c r="T977" s="3"/>
      <c r="U977" s="5" t="str">
        <f t="shared" si="45"/>
        <v/>
      </c>
    </row>
    <row r="978" spans="1:21" ht="28" customHeight="1" x14ac:dyDescent="0.35">
      <c r="A978" s="4">
        <v>13</v>
      </c>
      <c r="B978" s="4" t="s">
        <v>306</v>
      </c>
      <c r="C978" s="4" t="s">
        <v>307</v>
      </c>
      <c r="D978" s="4" t="s">
        <v>308</v>
      </c>
      <c r="E978" s="4" t="s">
        <v>69</v>
      </c>
      <c r="F978" s="4" t="s">
        <v>273</v>
      </c>
      <c r="G978" s="4" t="s">
        <v>96</v>
      </c>
      <c r="H978" s="4" t="s">
        <v>59</v>
      </c>
      <c r="I978" s="3"/>
      <c r="J978" s="3"/>
      <c r="K978" s="3"/>
      <c r="L978" s="3"/>
      <c r="M978" s="3"/>
      <c r="N978" s="3"/>
      <c r="O978" s="3"/>
      <c r="P978" s="8"/>
      <c r="Q978" s="8"/>
      <c r="R978" s="3"/>
      <c r="S978" s="3"/>
      <c r="T978" s="3"/>
      <c r="U978" s="5" t="str">
        <f t="shared" si="45"/>
        <v/>
      </c>
    </row>
    <row r="979" spans="1:21" ht="28" customHeight="1" x14ac:dyDescent="0.35">
      <c r="A979" s="4">
        <v>14</v>
      </c>
      <c r="B979" s="4" t="s">
        <v>97</v>
      </c>
      <c r="C979" s="4" t="s">
        <v>98</v>
      </c>
      <c r="D979" s="4" t="s">
        <v>99</v>
      </c>
      <c r="E979" s="4" t="s">
        <v>69</v>
      </c>
      <c r="F979" s="4" t="s">
        <v>95</v>
      </c>
      <c r="G979" s="4" t="s">
        <v>96</v>
      </c>
      <c r="H979" s="4" t="s">
        <v>59</v>
      </c>
      <c r="I979" s="3"/>
      <c r="J979" s="3"/>
      <c r="K979" s="3"/>
      <c r="L979" s="3"/>
      <c r="M979" s="3"/>
      <c r="N979" s="3"/>
      <c r="O979" s="3"/>
      <c r="P979" s="8"/>
      <c r="Q979" s="8"/>
      <c r="R979" s="3"/>
      <c r="S979" s="3"/>
      <c r="T979" s="3"/>
      <c r="U979" s="5" t="str">
        <f t="shared" si="45"/>
        <v/>
      </c>
    </row>
    <row r="980" spans="1:21" ht="28" customHeight="1" x14ac:dyDescent="0.35">
      <c r="A980" s="4">
        <v>15</v>
      </c>
      <c r="B980" s="4" t="s">
        <v>97</v>
      </c>
      <c r="C980" s="4" t="s">
        <v>100</v>
      </c>
      <c r="D980" s="4" t="s">
        <v>101</v>
      </c>
      <c r="E980" s="4" t="s">
        <v>69</v>
      </c>
      <c r="F980" s="4" t="s">
        <v>95</v>
      </c>
      <c r="G980" s="4" t="s">
        <v>102</v>
      </c>
      <c r="H980" s="4" t="s">
        <v>59</v>
      </c>
      <c r="I980" s="3"/>
      <c r="J980" s="3"/>
      <c r="K980" s="3"/>
      <c r="L980" s="3"/>
      <c r="M980" s="3"/>
      <c r="N980" s="3"/>
      <c r="O980" s="3"/>
      <c r="P980" s="8"/>
      <c r="Q980" s="8"/>
      <c r="R980" s="3"/>
      <c r="S980" s="3"/>
      <c r="T980" s="3"/>
      <c r="U980" s="5" t="str">
        <f t="shared" si="45"/>
        <v/>
      </c>
    </row>
    <row r="981" spans="1:21" ht="28" customHeight="1" x14ac:dyDescent="0.35">
      <c r="A981" s="4">
        <v>16</v>
      </c>
      <c r="B981" s="4" t="s">
        <v>103</v>
      </c>
      <c r="C981" s="4" t="s">
        <v>104</v>
      </c>
      <c r="D981" s="4" t="s">
        <v>105</v>
      </c>
      <c r="E981" s="4" t="s">
        <v>69</v>
      </c>
      <c r="F981" s="4" t="s">
        <v>95</v>
      </c>
      <c r="G981" s="4" t="s">
        <v>96</v>
      </c>
      <c r="H981" s="4" t="s">
        <v>85</v>
      </c>
      <c r="I981" s="3"/>
      <c r="J981" s="3"/>
      <c r="K981" s="3"/>
      <c r="L981" s="3"/>
      <c r="M981" s="3"/>
      <c r="N981" s="3"/>
      <c r="O981" s="3"/>
      <c r="P981" s="8"/>
      <c r="Q981" s="8"/>
      <c r="R981" s="3"/>
      <c r="S981" s="3"/>
      <c r="T981" s="3"/>
      <c r="U981" s="5" t="str">
        <f t="shared" si="45"/>
        <v/>
      </c>
    </row>
    <row r="982" spans="1:21" ht="28" customHeight="1" x14ac:dyDescent="0.35">
      <c r="A982" s="4">
        <v>17</v>
      </c>
      <c r="B982" s="4" t="s">
        <v>106</v>
      </c>
      <c r="C982" s="4" t="s">
        <v>107</v>
      </c>
      <c r="D982" s="4" t="s">
        <v>108</v>
      </c>
      <c r="E982" s="4" t="s">
        <v>109</v>
      </c>
      <c r="F982" s="4" t="s">
        <v>95</v>
      </c>
      <c r="G982" s="4" t="s">
        <v>96</v>
      </c>
      <c r="H982" s="4" t="s">
        <v>59</v>
      </c>
      <c r="I982" s="3"/>
      <c r="J982" s="3"/>
      <c r="K982" s="3"/>
      <c r="L982" s="3"/>
      <c r="M982" s="3"/>
      <c r="N982" s="3"/>
      <c r="O982" s="3"/>
      <c r="P982" s="8"/>
      <c r="Q982" s="8"/>
      <c r="R982" s="3"/>
      <c r="S982" s="3"/>
      <c r="T982" s="3"/>
      <c r="U982" s="5" t="str">
        <f t="shared" si="45"/>
        <v/>
      </c>
    </row>
    <row r="984" spans="1:21" ht="28" customHeight="1" x14ac:dyDescent="0.35">
      <c r="A984" s="9" t="s">
        <v>110</v>
      </c>
      <c r="B984" s="16"/>
      <c r="C984" s="17"/>
      <c r="D984" s="17"/>
      <c r="E984" s="17"/>
      <c r="F984" s="17"/>
      <c r="G984" s="17"/>
      <c r="H984" s="17"/>
      <c r="I984" s="17"/>
      <c r="J984" s="17"/>
      <c r="K984" s="17"/>
      <c r="L984" s="17"/>
      <c r="M984" s="17"/>
      <c r="N984" s="17"/>
      <c r="O984" s="17"/>
      <c r="P984" s="17"/>
      <c r="Q984" s="17"/>
      <c r="R984" s="17"/>
      <c r="S984" s="17"/>
      <c r="T984" s="17"/>
      <c r="U984" s="18"/>
    </row>
    <row r="985" spans="1:21" ht="28" customHeight="1" x14ac:dyDescent="0.35">
      <c r="A985" s="19" t="s">
        <v>350</v>
      </c>
      <c r="B985" s="20"/>
      <c r="C985" s="20"/>
      <c r="D985" s="20"/>
      <c r="E985" s="20"/>
      <c r="F985" s="20"/>
      <c r="G985" s="20"/>
      <c r="H985" s="20"/>
      <c r="I985" s="20"/>
      <c r="J985" s="20"/>
      <c r="K985" s="20"/>
      <c r="L985" s="20"/>
      <c r="M985" s="20"/>
      <c r="N985" s="20"/>
      <c r="O985" s="20"/>
      <c r="P985" s="20"/>
      <c r="Q985" s="20"/>
      <c r="R985" s="20"/>
      <c r="S985" s="20"/>
      <c r="T985" s="20"/>
      <c r="U985" s="21"/>
    </row>
    <row r="986" spans="1:21" ht="28" customHeight="1" x14ac:dyDescent="0.35">
      <c r="A986" s="4" t="s">
        <v>31</v>
      </c>
      <c r="B986" s="3" t="s">
        <v>259</v>
      </c>
      <c r="C986" s="4" t="s">
        <v>32</v>
      </c>
      <c r="D986" s="3"/>
      <c r="E986" s="4" t="s">
        <v>33</v>
      </c>
      <c r="F986" s="8"/>
    </row>
    <row r="987" spans="1:21" ht="28" customHeight="1" x14ac:dyDescent="0.35">
      <c r="A987" s="1" t="s">
        <v>34</v>
      </c>
      <c r="B987" s="1" t="s">
        <v>35</v>
      </c>
      <c r="C987" s="1" t="s">
        <v>36</v>
      </c>
      <c r="D987" s="1" t="s">
        <v>37</v>
      </c>
      <c r="E987" s="1" t="s">
        <v>38</v>
      </c>
      <c r="F987" s="1" t="s">
        <v>39</v>
      </c>
      <c r="G987" s="1" t="s">
        <v>40</v>
      </c>
      <c r="H987" s="1" t="s">
        <v>41</v>
      </c>
      <c r="I987" s="1" t="s">
        <v>42</v>
      </c>
      <c r="J987" s="1" t="s">
        <v>43</v>
      </c>
      <c r="K987" s="1" t="s">
        <v>44</v>
      </c>
      <c r="L987" s="1" t="s">
        <v>45</v>
      </c>
      <c r="M987" s="1" t="s">
        <v>46</v>
      </c>
      <c r="N987" s="1" t="s">
        <v>47</v>
      </c>
      <c r="O987" s="1" t="s">
        <v>48</v>
      </c>
      <c r="P987" s="1" t="s">
        <v>4</v>
      </c>
      <c r="Q987" s="1" t="s">
        <v>49</v>
      </c>
      <c r="R987" s="1" t="s">
        <v>50</v>
      </c>
      <c r="S987" s="1" t="s">
        <v>51</v>
      </c>
      <c r="T987" s="1" t="s">
        <v>52</v>
      </c>
      <c r="U987" s="1" t="s">
        <v>10</v>
      </c>
    </row>
    <row r="988" spans="1:21" ht="28" customHeight="1" x14ac:dyDescent="0.35">
      <c r="A988" s="4">
        <v>1</v>
      </c>
      <c r="B988" s="4" t="s">
        <v>270</v>
      </c>
      <c r="C988" s="4" t="s">
        <v>271</v>
      </c>
      <c r="D988" s="4" t="s">
        <v>272</v>
      </c>
      <c r="E988" s="4" t="s">
        <v>109</v>
      </c>
      <c r="F988" s="4" t="s">
        <v>273</v>
      </c>
      <c r="G988" s="4" t="s">
        <v>199</v>
      </c>
      <c r="H988" s="4" t="s">
        <v>59</v>
      </c>
      <c r="I988" s="3"/>
      <c r="J988" s="3"/>
      <c r="K988" s="3"/>
      <c r="L988" s="3"/>
      <c r="M988" s="3"/>
      <c r="N988" s="3"/>
      <c r="O988" s="3"/>
      <c r="P988" s="8"/>
      <c r="Q988" s="8"/>
      <c r="R988" s="3"/>
      <c r="S988" s="3"/>
      <c r="T988" s="3"/>
      <c r="U988" s="5" t="str">
        <f t="shared" ref="U988:U1004" si="46">IF(I988="","",IF(I988="NA","Grey",IF(I988=2,"Green",IF(I988=1,"Amber","Red"))))</f>
        <v/>
      </c>
    </row>
    <row r="989" spans="1:21" ht="28" customHeight="1" x14ac:dyDescent="0.35">
      <c r="A989" s="4">
        <v>2</v>
      </c>
      <c r="B989" s="4" t="s">
        <v>270</v>
      </c>
      <c r="C989" s="4" t="s">
        <v>274</v>
      </c>
      <c r="D989" s="4" t="s">
        <v>275</v>
      </c>
      <c r="E989" s="4" t="s">
        <v>69</v>
      </c>
      <c r="F989" s="4" t="s">
        <v>276</v>
      </c>
      <c r="G989" s="4" t="s">
        <v>199</v>
      </c>
      <c r="H989" s="4" t="s">
        <v>76</v>
      </c>
      <c r="I989" s="3"/>
      <c r="J989" s="3"/>
      <c r="K989" s="3"/>
      <c r="L989" s="3"/>
      <c r="M989" s="3"/>
      <c r="N989" s="3"/>
      <c r="O989" s="3"/>
      <c r="P989" s="8"/>
      <c r="Q989" s="8"/>
      <c r="R989" s="3"/>
      <c r="S989" s="3"/>
      <c r="T989" s="3"/>
      <c r="U989" s="5" t="str">
        <f t="shared" si="46"/>
        <v/>
      </c>
    </row>
    <row r="990" spans="1:21" ht="28" customHeight="1" x14ac:dyDescent="0.35">
      <c r="A990" s="4">
        <v>3</v>
      </c>
      <c r="B990" s="4" t="s">
        <v>270</v>
      </c>
      <c r="C990" s="4" t="s">
        <v>277</v>
      </c>
      <c r="D990" s="4" t="s">
        <v>278</v>
      </c>
      <c r="E990" s="4" t="s">
        <v>279</v>
      </c>
      <c r="F990" s="4" t="s">
        <v>280</v>
      </c>
      <c r="G990" s="4" t="s">
        <v>209</v>
      </c>
      <c r="H990" s="4" t="s">
        <v>76</v>
      </c>
      <c r="I990" s="3"/>
      <c r="J990" s="3"/>
      <c r="K990" s="3"/>
      <c r="L990" s="3"/>
      <c r="M990" s="3"/>
      <c r="N990" s="3"/>
      <c r="O990" s="3"/>
      <c r="P990" s="8"/>
      <c r="Q990" s="8"/>
      <c r="R990" s="3"/>
      <c r="S990" s="3"/>
      <c r="T990" s="3"/>
      <c r="U990" s="5" t="str">
        <f t="shared" si="46"/>
        <v/>
      </c>
    </row>
    <row r="991" spans="1:21" ht="28" customHeight="1" x14ac:dyDescent="0.35">
      <c r="A991" s="4">
        <v>4</v>
      </c>
      <c r="B991" s="4" t="s">
        <v>270</v>
      </c>
      <c r="C991" s="4" t="s">
        <v>281</v>
      </c>
      <c r="D991" s="4" t="s">
        <v>282</v>
      </c>
      <c r="E991" s="4" t="s">
        <v>283</v>
      </c>
      <c r="F991" s="4" t="s">
        <v>284</v>
      </c>
      <c r="G991" s="4" t="s">
        <v>204</v>
      </c>
      <c r="H991" s="4" t="s">
        <v>76</v>
      </c>
      <c r="I991" s="3"/>
      <c r="J991" s="3"/>
      <c r="K991" s="3"/>
      <c r="L991" s="3"/>
      <c r="M991" s="3"/>
      <c r="N991" s="3"/>
      <c r="O991" s="3"/>
      <c r="P991" s="8"/>
      <c r="Q991" s="8"/>
      <c r="R991" s="3"/>
      <c r="S991" s="3"/>
      <c r="T991" s="3"/>
      <c r="U991" s="5" t="str">
        <f t="shared" si="46"/>
        <v/>
      </c>
    </row>
    <row r="992" spans="1:21" ht="28" customHeight="1" x14ac:dyDescent="0.35">
      <c r="A992" s="4">
        <v>5</v>
      </c>
      <c r="B992" s="4" t="s">
        <v>285</v>
      </c>
      <c r="C992" s="4" t="s">
        <v>286</v>
      </c>
      <c r="D992" s="4" t="s">
        <v>287</v>
      </c>
      <c r="E992" s="4" t="s">
        <v>69</v>
      </c>
      <c r="F992" s="4" t="s">
        <v>276</v>
      </c>
      <c r="G992" s="4" t="s">
        <v>199</v>
      </c>
      <c r="H992" s="4" t="s">
        <v>76</v>
      </c>
      <c r="I992" s="3"/>
      <c r="J992" s="3"/>
      <c r="K992" s="3"/>
      <c r="L992" s="3"/>
      <c r="M992" s="3"/>
      <c r="N992" s="3"/>
      <c r="O992" s="3"/>
      <c r="P992" s="8"/>
      <c r="Q992" s="8"/>
      <c r="R992" s="3"/>
      <c r="S992" s="3"/>
      <c r="T992" s="3"/>
      <c r="U992" s="5" t="str">
        <f t="shared" si="46"/>
        <v/>
      </c>
    </row>
    <row r="993" spans="1:21" ht="28" customHeight="1" x14ac:dyDescent="0.35">
      <c r="A993" s="4">
        <v>6</v>
      </c>
      <c r="B993" s="4" t="s">
        <v>285</v>
      </c>
      <c r="C993" s="4" t="s">
        <v>288</v>
      </c>
      <c r="D993" s="4" t="s">
        <v>289</v>
      </c>
      <c r="E993" s="4" t="s">
        <v>70</v>
      </c>
      <c r="F993" s="4" t="s">
        <v>276</v>
      </c>
      <c r="G993" s="4" t="s">
        <v>199</v>
      </c>
      <c r="H993" s="4" t="s">
        <v>59</v>
      </c>
      <c r="I993" s="3"/>
      <c r="J993" s="3"/>
      <c r="K993" s="3"/>
      <c r="L993" s="3"/>
      <c r="M993" s="3"/>
      <c r="N993" s="3"/>
      <c r="O993" s="3"/>
      <c r="P993" s="8"/>
      <c r="Q993" s="8"/>
      <c r="R993" s="3"/>
      <c r="S993" s="3"/>
      <c r="T993" s="3"/>
      <c r="U993" s="5" t="str">
        <f t="shared" si="46"/>
        <v/>
      </c>
    </row>
    <row r="994" spans="1:21" ht="28" customHeight="1" x14ac:dyDescent="0.35">
      <c r="A994" s="4">
        <v>7</v>
      </c>
      <c r="B994" s="4" t="s">
        <v>290</v>
      </c>
      <c r="C994" s="4" t="s">
        <v>291</v>
      </c>
      <c r="D994" s="4" t="s">
        <v>292</v>
      </c>
      <c r="E994" s="4" t="s">
        <v>109</v>
      </c>
      <c r="F994" s="4" t="s">
        <v>284</v>
      </c>
      <c r="G994" s="4" t="s">
        <v>204</v>
      </c>
      <c r="H994" s="4" t="s">
        <v>59</v>
      </c>
      <c r="I994" s="3"/>
      <c r="J994" s="3"/>
      <c r="K994" s="3"/>
      <c r="L994" s="3"/>
      <c r="M994" s="3"/>
      <c r="N994" s="3"/>
      <c r="O994" s="3"/>
      <c r="P994" s="8"/>
      <c r="Q994" s="8"/>
      <c r="R994" s="3"/>
      <c r="S994" s="3"/>
      <c r="T994" s="3"/>
      <c r="U994" s="5" t="str">
        <f t="shared" si="46"/>
        <v/>
      </c>
    </row>
    <row r="995" spans="1:21" ht="28" customHeight="1" x14ac:dyDescent="0.35">
      <c r="A995" s="4">
        <v>8</v>
      </c>
      <c r="B995" s="4" t="s">
        <v>290</v>
      </c>
      <c r="C995" s="4" t="s">
        <v>293</v>
      </c>
      <c r="D995" s="4" t="s">
        <v>294</v>
      </c>
      <c r="E995" s="4" t="s">
        <v>70</v>
      </c>
      <c r="F995" s="4" t="s">
        <v>295</v>
      </c>
      <c r="G995" s="4" t="s">
        <v>199</v>
      </c>
      <c r="H995" s="4" t="s">
        <v>76</v>
      </c>
      <c r="I995" s="3"/>
      <c r="J995" s="3"/>
      <c r="K995" s="3"/>
      <c r="L995" s="3"/>
      <c r="M995" s="3"/>
      <c r="N995" s="3"/>
      <c r="O995" s="3"/>
      <c r="P995" s="8"/>
      <c r="Q995" s="8"/>
      <c r="R995" s="3"/>
      <c r="S995" s="3"/>
      <c r="T995" s="3"/>
      <c r="U995" s="5" t="str">
        <f t="shared" si="46"/>
        <v/>
      </c>
    </row>
    <row r="996" spans="1:21" ht="28" customHeight="1" x14ac:dyDescent="0.35">
      <c r="A996" s="4">
        <v>9</v>
      </c>
      <c r="B996" s="4" t="s">
        <v>296</v>
      </c>
      <c r="C996" s="4" t="s">
        <v>297</v>
      </c>
      <c r="D996" s="4" t="s">
        <v>70</v>
      </c>
      <c r="E996" s="4" t="s">
        <v>70</v>
      </c>
      <c r="F996" s="4" t="s">
        <v>295</v>
      </c>
      <c r="G996" s="4" t="s">
        <v>199</v>
      </c>
      <c r="H996" s="4" t="s">
        <v>76</v>
      </c>
      <c r="I996" s="3"/>
      <c r="J996" s="3"/>
      <c r="K996" s="3"/>
      <c r="L996" s="3"/>
      <c r="M996" s="3"/>
      <c r="N996" s="3"/>
      <c r="O996" s="3"/>
      <c r="P996" s="8"/>
      <c r="Q996" s="8"/>
      <c r="R996" s="3"/>
      <c r="S996" s="3"/>
      <c r="T996" s="3"/>
      <c r="U996" s="5" t="str">
        <f t="shared" si="46"/>
        <v/>
      </c>
    </row>
    <row r="997" spans="1:21" ht="28" customHeight="1" x14ac:dyDescent="0.35">
      <c r="A997" s="4">
        <v>10</v>
      </c>
      <c r="B997" s="4" t="s">
        <v>296</v>
      </c>
      <c r="C997" s="4" t="s">
        <v>298</v>
      </c>
      <c r="D997" s="4" t="s">
        <v>299</v>
      </c>
      <c r="E997" s="4" t="s">
        <v>283</v>
      </c>
      <c r="F997" s="4" t="s">
        <v>284</v>
      </c>
      <c r="G997" s="4" t="s">
        <v>204</v>
      </c>
      <c r="H997" s="4" t="s">
        <v>59</v>
      </c>
      <c r="I997" s="3"/>
      <c r="J997" s="3"/>
      <c r="K997" s="3"/>
      <c r="L997" s="3"/>
      <c r="M997" s="3"/>
      <c r="N997" s="3"/>
      <c r="O997" s="3"/>
      <c r="P997" s="8"/>
      <c r="Q997" s="8"/>
      <c r="R997" s="3"/>
      <c r="S997" s="3"/>
      <c r="T997" s="3"/>
      <c r="U997" s="5" t="str">
        <f t="shared" si="46"/>
        <v/>
      </c>
    </row>
    <row r="998" spans="1:21" ht="28" customHeight="1" x14ac:dyDescent="0.35">
      <c r="A998" s="4">
        <v>11</v>
      </c>
      <c r="B998" s="4" t="s">
        <v>300</v>
      </c>
      <c r="C998" s="4" t="s">
        <v>301</v>
      </c>
      <c r="D998" s="4" t="s">
        <v>302</v>
      </c>
      <c r="E998" s="4" t="s">
        <v>56</v>
      </c>
      <c r="F998" s="4" t="s">
        <v>276</v>
      </c>
      <c r="G998" s="4" t="s">
        <v>199</v>
      </c>
      <c r="H998" s="4" t="s">
        <v>76</v>
      </c>
      <c r="I998" s="3"/>
      <c r="J998" s="3"/>
      <c r="K998" s="3"/>
      <c r="L998" s="3"/>
      <c r="M998" s="3"/>
      <c r="N998" s="3"/>
      <c r="O998" s="3"/>
      <c r="P998" s="8"/>
      <c r="Q998" s="8"/>
      <c r="R998" s="3"/>
      <c r="S998" s="3"/>
      <c r="T998" s="3"/>
      <c r="U998" s="5" t="str">
        <f t="shared" si="46"/>
        <v/>
      </c>
    </row>
    <row r="999" spans="1:21" ht="28" customHeight="1" x14ac:dyDescent="0.35">
      <c r="A999" s="4">
        <v>12</v>
      </c>
      <c r="B999" s="4" t="s">
        <v>303</v>
      </c>
      <c r="C999" s="4" t="s">
        <v>304</v>
      </c>
      <c r="D999" s="4" t="s">
        <v>305</v>
      </c>
      <c r="E999" s="4" t="s">
        <v>283</v>
      </c>
      <c r="F999" s="4" t="s">
        <v>276</v>
      </c>
      <c r="G999" s="4" t="s">
        <v>199</v>
      </c>
      <c r="H999" s="4" t="s">
        <v>76</v>
      </c>
      <c r="I999" s="3"/>
      <c r="J999" s="3"/>
      <c r="K999" s="3"/>
      <c r="L999" s="3"/>
      <c r="M999" s="3"/>
      <c r="N999" s="3"/>
      <c r="O999" s="3"/>
      <c r="P999" s="8"/>
      <c r="Q999" s="8"/>
      <c r="R999" s="3"/>
      <c r="S999" s="3"/>
      <c r="T999" s="3"/>
      <c r="U999" s="5" t="str">
        <f t="shared" si="46"/>
        <v/>
      </c>
    </row>
    <row r="1000" spans="1:21" ht="28" customHeight="1" x14ac:dyDescent="0.35">
      <c r="A1000" s="4">
        <v>13</v>
      </c>
      <c r="B1000" s="4" t="s">
        <v>306</v>
      </c>
      <c r="C1000" s="4" t="s">
        <v>307</v>
      </c>
      <c r="D1000" s="4" t="s">
        <v>308</v>
      </c>
      <c r="E1000" s="4" t="s">
        <v>69</v>
      </c>
      <c r="F1000" s="4" t="s">
        <v>273</v>
      </c>
      <c r="G1000" s="4" t="s">
        <v>96</v>
      </c>
      <c r="H1000" s="4" t="s">
        <v>59</v>
      </c>
      <c r="I1000" s="3"/>
      <c r="J1000" s="3"/>
      <c r="K1000" s="3"/>
      <c r="L1000" s="3"/>
      <c r="M1000" s="3"/>
      <c r="N1000" s="3"/>
      <c r="O1000" s="3"/>
      <c r="P1000" s="8"/>
      <c r="Q1000" s="8"/>
      <c r="R1000" s="3"/>
      <c r="S1000" s="3"/>
      <c r="T1000" s="3"/>
      <c r="U1000" s="5" t="str">
        <f t="shared" si="46"/>
        <v/>
      </c>
    </row>
    <row r="1001" spans="1:21" ht="28" customHeight="1" x14ac:dyDescent="0.35">
      <c r="A1001" s="4">
        <v>14</v>
      </c>
      <c r="B1001" s="4" t="s">
        <v>97</v>
      </c>
      <c r="C1001" s="4" t="s">
        <v>98</v>
      </c>
      <c r="D1001" s="4" t="s">
        <v>99</v>
      </c>
      <c r="E1001" s="4" t="s">
        <v>69</v>
      </c>
      <c r="F1001" s="4" t="s">
        <v>95</v>
      </c>
      <c r="G1001" s="4" t="s">
        <v>96</v>
      </c>
      <c r="H1001" s="4" t="s">
        <v>59</v>
      </c>
      <c r="I1001" s="3"/>
      <c r="J1001" s="3"/>
      <c r="K1001" s="3"/>
      <c r="L1001" s="3"/>
      <c r="M1001" s="3"/>
      <c r="N1001" s="3"/>
      <c r="O1001" s="3"/>
      <c r="P1001" s="8"/>
      <c r="Q1001" s="8"/>
      <c r="R1001" s="3"/>
      <c r="S1001" s="3"/>
      <c r="T1001" s="3"/>
      <c r="U1001" s="5" t="str">
        <f t="shared" si="46"/>
        <v/>
      </c>
    </row>
    <row r="1002" spans="1:21" ht="28" customHeight="1" x14ac:dyDescent="0.35">
      <c r="A1002" s="4">
        <v>15</v>
      </c>
      <c r="B1002" s="4" t="s">
        <v>97</v>
      </c>
      <c r="C1002" s="4" t="s">
        <v>100</v>
      </c>
      <c r="D1002" s="4" t="s">
        <v>101</v>
      </c>
      <c r="E1002" s="4" t="s">
        <v>69</v>
      </c>
      <c r="F1002" s="4" t="s">
        <v>95</v>
      </c>
      <c r="G1002" s="4" t="s">
        <v>102</v>
      </c>
      <c r="H1002" s="4" t="s">
        <v>59</v>
      </c>
      <c r="I1002" s="3"/>
      <c r="J1002" s="3"/>
      <c r="K1002" s="3"/>
      <c r="L1002" s="3"/>
      <c r="M1002" s="3"/>
      <c r="N1002" s="3"/>
      <c r="O1002" s="3"/>
      <c r="P1002" s="8"/>
      <c r="Q1002" s="8"/>
      <c r="R1002" s="3"/>
      <c r="S1002" s="3"/>
      <c r="T1002" s="3"/>
      <c r="U1002" s="5" t="str">
        <f t="shared" si="46"/>
        <v/>
      </c>
    </row>
    <row r="1003" spans="1:21" ht="28" customHeight="1" x14ac:dyDescent="0.35">
      <c r="A1003" s="4">
        <v>16</v>
      </c>
      <c r="B1003" s="4" t="s">
        <v>103</v>
      </c>
      <c r="C1003" s="4" t="s">
        <v>104</v>
      </c>
      <c r="D1003" s="4" t="s">
        <v>105</v>
      </c>
      <c r="E1003" s="4" t="s">
        <v>69</v>
      </c>
      <c r="F1003" s="4" t="s">
        <v>95</v>
      </c>
      <c r="G1003" s="4" t="s">
        <v>96</v>
      </c>
      <c r="H1003" s="4" t="s">
        <v>85</v>
      </c>
      <c r="I1003" s="3"/>
      <c r="J1003" s="3"/>
      <c r="K1003" s="3"/>
      <c r="L1003" s="3"/>
      <c r="M1003" s="3"/>
      <c r="N1003" s="3"/>
      <c r="O1003" s="3"/>
      <c r="P1003" s="8"/>
      <c r="Q1003" s="8"/>
      <c r="R1003" s="3"/>
      <c r="S1003" s="3"/>
      <c r="T1003" s="3"/>
      <c r="U1003" s="5" t="str">
        <f t="shared" si="46"/>
        <v/>
      </c>
    </row>
    <row r="1004" spans="1:21" ht="28" customHeight="1" x14ac:dyDescent="0.35">
      <c r="A1004" s="4">
        <v>17</v>
      </c>
      <c r="B1004" s="4" t="s">
        <v>106</v>
      </c>
      <c r="C1004" s="4" t="s">
        <v>107</v>
      </c>
      <c r="D1004" s="4" t="s">
        <v>108</v>
      </c>
      <c r="E1004" s="4" t="s">
        <v>109</v>
      </c>
      <c r="F1004" s="4" t="s">
        <v>95</v>
      </c>
      <c r="G1004" s="4" t="s">
        <v>96</v>
      </c>
      <c r="H1004" s="4" t="s">
        <v>59</v>
      </c>
      <c r="I1004" s="3"/>
      <c r="J1004" s="3"/>
      <c r="K1004" s="3"/>
      <c r="L1004" s="3"/>
      <c r="M1004" s="3"/>
      <c r="N1004" s="3"/>
      <c r="O1004" s="3"/>
      <c r="P1004" s="8"/>
      <c r="Q1004" s="8"/>
      <c r="R1004" s="3"/>
      <c r="S1004" s="3"/>
      <c r="T1004" s="3"/>
      <c r="U1004" s="5" t="str">
        <f t="shared" si="46"/>
        <v/>
      </c>
    </row>
    <row r="1006" spans="1:21" ht="28" customHeight="1" x14ac:dyDescent="0.35">
      <c r="A1006" s="9" t="s">
        <v>110</v>
      </c>
      <c r="B1006" s="16"/>
      <c r="C1006" s="17"/>
      <c r="D1006" s="17"/>
      <c r="E1006" s="17"/>
      <c r="F1006" s="17"/>
      <c r="G1006" s="17"/>
      <c r="H1006" s="17"/>
      <c r="I1006" s="17"/>
      <c r="J1006" s="17"/>
      <c r="K1006" s="17"/>
      <c r="L1006" s="17"/>
      <c r="M1006" s="17"/>
      <c r="N1006" s="17"/>
      <c r="O1006" s="17"/>
      <c r="P1006" s="17"/>
      <c r="Q1006" s="17"/>
      <c r="R1006" s="17"/>
      <c r="S1006" s="17"/>
      <c r="T1006" s="17"/>
      <c r="U1006" s="18"/>
    </row>
    <row r="1007" spans="1:21" ht="28" customHeight="1" x14ac:dyDescent="0.35">
      <c r="A1007" s="19" t="s">
        <v>351</v>
      </c>
      <c r="B1007" s="20"/>
      <c r="C1007" s="20"/>
      <c r="D1007" s="20"/>
      <c r="E1007" s="20"/>
      <c r="F1007" s="20"/>
      <c r="G1007" s="20"/>
      <c r="H1007" s="20"/>
      <c r="I1007" s="20"/>
      <c r="J1007" s="20"/>
      <c r="K1007" s="20"/>
      <c r="L1007" s="20"/>
      <c r="M1007" s="20"/>
      <c r="N1007" s="20"/>
      <c r="O1007" s="20"/>
      <c r="P1007" s="20"/>
      <c r="Q1007" s="20"/>
      <c r="R1007" s="20"/>
      <c r="S1007" s="20"/>
      <c r="T1007" s="20"/>
      <c r="U1007" s="21"/>
    </row>
    <row r="1008" spans="1:21" ht="28" customHeight="1" x14ac:dyDescent="0.35">
      <c r="A1008" s="4" t="s">
        <v>31</v>
      </c>
      <c r="B1008" s="3" t="s">
        <v>260</v>
      </c>
      <c r="C1008" s="4" t="s">
        <v>32</v>
      </c>
      <c r="D1008" s="3"/>
      <c r="E1008" s="4" t="s">
        <v>33</v>
      </c>
      <c r="F1008" s="8"/>
    </row>
    <row r="1009" spans="1:21" ht="28" customHeight="1" x14ac:dyDescent="0.35">
      <c r="A1009" s="1" t="s">
        <v>34</v>
      </c>
      <c r="B1009" s="1" t="s">
        <v>35</v>
      </c>
      <c r="C1009" s="1" t="s">
        <v>36</v>
      </c>
      <c r="D1009" s="1" t="s">
        <v>37</v>
      </c>
      <c r="E1009" s="1" t="s">
        <v>38</v>
      </c>
      <c r="F1009" s="1" t="s">
        <v>39</v>
      </c>
      <c r="G1009" s="1" t="s">
        <v>40</v>
      </c>
      <c r="H1009" s="1" t="s">
        <v>41</v>
      </c>
      <c r="I1009" s="1" t="s">
        <v>42</v>
      </c>
      <c r="J1009" s="1" t="s">
        <v>43</v>
      </c>
      <c r="K1009" s="1" t="s">
        <v>44</v>
      </c>
      <c r="L1009" s="1" t="s">
        <v>45</v>
      </c>
      <c r="M1009" s="1" t="s">
        <v>46</v>
      </c>
      <c r="N1009" s="1" t="s">
        <v>47</v>
      </c>
      <c r="O1009" s="1" t="s">
        <v>48</v>
      </c>
      <c r="P1009" s="1" t="s">
        <v>4</v>
      </c>
      <c r="Q1009" s="1" t="s">
        <v>49</v>
      </c>
      <c r="R1009" s="1" t="s">
        <v>50</v>
      </c>
      <c r="S1009" s="1" t="s">
        <v>51</v>
      </c>
      <c r="T1009" s="1" t="s">
        <v>52</v>
      </c>
      <c r="U1009" s="1" t="s">
        <v>10</v>
      </c>
    </row>
    <row r="1010" spans="1:21" ht="28" customHeight="1" x14ac:dyDescent="0.35">
      <c r="A1010" s="4">
        <v>1</v>
      </c>
      <c r="B1010" s="4" t="s">
        <v>270</v>
      </c>
      <c r="C1010" s="4" t="s">
        <v>271</v>
      </c>
      <c r="D1010" s="4" t="s">
        <v>272</v>
      </c>
      <c r="E1010" s="4" t="s">
        <v>109</v>
      </c>
      <c r="F1010" s="4" t="s">
        <v>273</v>
      </c>
      <c r="G1010" s="4" t="s">
        <v>199</v>
      </c>
      <c r="H1010" s="4" t="s">
        <v>59</v>
      </c>
      <c r="I1010" s="3"/>
      <c r="J1010" s="3"/>
      <c r="K1010" s="3"/>
      <c r="L1010" s="3"/>
      <c r="M1010" s="3"/>
      <c r="N1010" s="3"/>
      <c r="O1010" s="3"/>
      <c r="P1010" s="8"/>
      <c r="Q1010" s="8"/>
      <c r="R1010" s="3"/>
      <c r="S1010" s="3"/>
      <c r="T1010" s="3"/>
      <c r="U1010" s="5" t="str">
        <f t="shared" ref="U1010:U1026" si="47">IF(I1010="","",IF(I1010="NA","Grey",IF(I1010=2,"Green",IF(I1010=1,"Amber","Red"))))</f>
        <v/>
      </c>
    </row>
    <row r="1011" spans="1:21" ht="28" customHeight="1" x14ac:dyDescent="0.35">
      <c r="A1011" s="4">
        <v>2</v>
      </c>
      <c r="B1011" s="4" t="s">
        <v>270</v>
      </c>
      <c r="C1011" s="4" t="s">
        <v>274</v>
      </c>
      <c r="D1011" s="4" t="s">
        <v>275</v>
      </c>
      <c r="E1011" s="4" t="s">
        <v>69</v>
      </c>
      <c r="F1011" s="4" t="s">
        <v>276</v>
      </c>
      <c r="G1011" s="4" t="s">
        <v>199</v>
      </c>
      <c r="H1011" s="4" t="s">
        <v>76</v>
      </c>
      <c r="I1011" s="3"/>
      <c r="J1011" s="3"/>
      <c r="K1011" s="3"/>
      <c r="L1011" s="3"/>
      <c r="M1011" s="3"/>
      <c r="N1011" s="3"/>
      <c r="O1011" s="3"/>
      <c r="P1011" s="8"/>
      <c r="Q1011" s="8"/>
      <c r="R1011" s="3"/>
      <c r="S1011" s="3"/>
      <c r="T1011" s="3"/>
      <c r="U1011" s="5" t="str">
        <f t="shared" si="47"/>
        <v/>
      </c>
    </row>
    <row r="1012" spans="1:21" ht="28" customHeight="1" x14ac:dyDescent="0.35">
      <c r="A1012" s="4">
        <v>3</v>
      </c>
      <c r="B1012" s="4" t="s">
        <v>270</v>
      </c>
      <c r="C1012" s="4" t="s">
        <v>277</v>
      </c>
      <c r="D1012" s="4" t="s">
        <v>278</v>
      </c>
      <c r="E1012" s="4" t="s">
        <v>279</v>
      </c>
      <c r="F1012" s="4" t="s">
        <v>280</v>
      </c>
      <c r="G1012" s="4" t="s">
        <v>209</v>
      </c>
      <c r="H1012" s="4" t="s">
        <v>76</v>
      </c>
      <c r="I1012" s="3"/>
      <c r="J1012" s="3"/>
      <c r="K1012" s="3"/>
      <c r="L1012" s="3"/>
      <c r="M1012" s="3"/>
      <c r="N1012" s="3"/>
      <c r="O1012" s="3"/>
      <c r="P1012" s="8"/>
      <c r="Q1012" s="8"/>
      <c r="R1012" s="3"/>
      <c r="S1012" s="3"/>
      <c r="T1012" s="3"/>
      <c r="U1012" s="5" t="str">
        <f t="shared" si="47"/>
        <v/>
      </c>
    </row>
    <row r="1013" spans="1:21" ht="28" customHeight="1" x14ac:dyDescent="0.35">
      <c r="A1013" s="4">
        <v>4</v>
      </c>
      <c r="B1013" s="4" t="s">
        <v>270</v>
      </c>
      <c r="C1013" s="4" t="s">
        <v>281</v>
      </c>
      <c r="D1013" s="4" t="s">
        <v>282</v>
      </c>
      <c r="E1013" s="4" t="s">
        <v>283</v>
      </c>
      <c r="F1013" s="4" t="s">
        <v>284</v>
      </c>
      <c r="G1013" s="4" t="s">
        <v>204</v>
      </c>
      <c r="H1013" s="4" t="s">
        <v>76</v>
      </c>
      <c r="I1013" s="3"/>
      <c r="J1013" s="3"/>
      <c r="K1013" s="3"/>
      <c r="L1013" s="3"/>
      <c r="M1013" s="3"/>
      <c r="N1013" s="3"/>
      <c r="O1013" s="3"/>
      <c r="P1013" s="8"/>
      <c r="Q1013" s="8"/>
      <c r="R1013" s="3"/>
      <c r="S1013" s="3"/>
      <c r="T1013" s="3"/>
      <c r="U1013" s="5" t="str">
        <f t="shared" si="47"/>
        <v/>
      </c>
    </row>
    <row r="1014" spans="1:21" ht="28" customHeight="1" x14ac:dyDescent="0.35">
      <c r="A1014" s="4">
        <v>5</v>
      </c>
      <c r="B1014" s="4" t="s">
        <v>285</v>
      </c>
      <c r="C1014" s="4" t="s">
        <v>286</v>
      </c>
      <c r="D1014" s="4" t="s">
        <v>287</v>
      </c>
      <c r="E1014" s="4" t="s">
        <v>69</v>
      </c>
      <c r="F1014" s="4" t="s">
        <v>276</v>
      </c>
      <c r="G1014" s="4" t="s">
        <v>199</v>
      </c>
      <c r="H1014" s="4" t="s">
        <v>76</v>
      </c>
      <c r="I1014" s="3"/>
      <c r="J1014" s="3"/>
      <c r="K1014" s="3"/>
      <c r="L1014" s="3"/>
      <c r="M1014" s="3"/>
      <c r="N1014" s="3"/>
      <c r="O1014" s="3"/>
      <c r="P1014" s="8"/>
      <c r="Q1014" s="8"/>
      <c r="R1014" s="3"/>
      <c r="S1014" s="3"/>
      <c r="T1014" s="3"/>
      <c r="U1014" s="5" t="str">
        <f t="shared" si="47"/>
        <v/>
      </c>
    </row>
    <row r="1015" spans="1:21" ht="28" customHeight="1" x14ac:dyDescent="0.35">
      <c r="A1015" s="4">
        <v>6</v>
      </c>
      <c r="B1015" s="4" t="s">
        <v>285</v>
      </c>
      <c r="C1015" s="4" t="s">
        <v>288</v>
      </c>
      <c r="D1015" s="4" t="s">
        <v>289</v>
      </c>
      <c r="E1015" s="4" t="s">
        <v>70</v>
      </c>
      <c r="F1015" s="4" t="s">
        <v>276</v>
      </c>
      <c r="G1015" s="4" t="s">
        <v>199</v>
      </c>
      <c r="H1015" s="4" t="s">
        <v>59</v>
      </c>
      <c r="I1015" s="3"/>
      <c r="J1015" s="3"/>
      <c r="K1015" s="3"/>
      <c r="L1015" s="3"/>
      <c r="M1015" s="3"/>
      <c r="N1015" s="3"/>
      <c r="O1015" s="3"/>
      <c r="P1015" s="8"/>
      <c r="Q1015" s="8"/>
      <c r="R1015" s="3"/>
      <c r="S1015" s="3"/>
      <c r="T1015" s="3"/>
      <c r="U1015" s="5" t="str">
        <f t="shared" si="47"/>
        <v/>
      </c>
    </row>
    <row r="1016" spans="1:21" ht="28" customHeight="1" x14ac:dyDescent="0.35">
      <c r="A1016" s="4">
        <v>7</v>
      </c>
      <c r="B1016" s="4" t="s">
        <v>290</v>
      </c>
      <c r="C1016" s="4" t="s">
        <v>291</v>
      </c>
      <c r="D1016" s="4" t="s">
        <v>292</v>
      </c>
      <c r="E1016" s="4" t="s">
        <v>109</v>
      </c>
      <c r="F1016" s="4" t="s">
        <v>284</v>
      </c>
      <c r="G1016" s="4" t="s">
        <v>204</v>
      </c>
      <c r="H1016" s="4" t="s">
        <v>59</v>
      </c>
      <c r="I1016" s="3"/>
      <c r="J1016" s="3"/>
      <c r="K1016" s="3"/>
      <c r="L1016" s="3"/>
      <c r="M1016" s="3"/>
      <c r="N1016" s="3"/>
      <c r="O1016" s="3"/>
      <c r="P1016" s="8"/>
      <c r="Q1016" s="8"/>
      <c r="R1016" s="3"/>
      <c r="S1016" s="3"/>
      <c r="T1016" s="3"/>
      <c r="U1016" s="5" t="str">
        <f t="shared" si="47"/>
        <v/>
      </c>
    </row>
    <row r="1017" spans="1:21" ht="28" customHeight="1" x14ac:dyDescent="0.35">
      <c r="A1017" s="4">
        <v>8</v>
      </c>
      <c r="B1017" s="4" t="s">
        <v>290</v>
      </c>
      <c r="C1017" s="4" t="s">
        <v>293</v>
      </c>
      <c r="D1017" s="4" t="s">
        <v>294</v>
      </c>
      <c r="E1017" s="4" t="s">
        <v>70</v>
      </c>
      <c r="F1017" s="4" t="s">
        <v>295</v>
      </c>
      <c r="G1017" s="4" t="s">
        <v>199</v>
      </c>
      <c r="H1017" s="4" t="s">
        <v>76</v>
      </c>
      <c r="I1017" s="3"/>
      <c r="J1017" s="3"/>
      <c r="K1017" s="3"/>
      <c r="L1017" s="3"/>
      <c r="M1017" s="3"/>
      <c r="N1017" s="3"/>
      <c r="O1017" s="3"/>
      <c r="P1017" s="8"/>
      <c r="Q1017" s="8"/>
      <c r="R1017" s="3"/>
      <c r="S1017" s="3"/>
      <c r="T1017" s="3"/>
      <c r="U1017" s="5" t="str">
        <f t="shared" si="47"/>
        <v/>
      </c>
    </row>
    <row r="1018" spans="1:21" ht="28" customHeight="1" x14ac:dyDescent="0.35">
      <c r="A1018" s="4">
        <v>9</v>
      </c>
      <c r="B1018" s="4" t="s">
        <v>296</v>
      </c>
      <c r="C1018" s="4" t="s">
        <v>297</v>
      </c>
      <c r="D1018" s="4" t="s">
        <v>70</v>
      </c>
      <c r="E1018" s="4" t="s">
        <v>70</v>
      </c>
      <c r="F1018" s="4" t="s">
        <v>295</v>
      </c>
      <c r="G1018" s="4" t="s">
        <v>199</v>
      </c>
      <c r="H1018" s="4" t="s">
        <v>76</v>
      </c>
      <c r="I1018" s="3"/>
      <c r="J1018" s="3"/>
      <c r="K1018" s="3"/>
      <c r="L1018" s="3"/>
      <c r="M1018" s="3"/>
      <c r="N1018" s="3"/>
      <c r="O1018" s="3"/>
      <c r="P1018" s="8"/>
      <c r="Q1018" s="8"/>
      <c r="R1018" s="3"/>
      <c r="S1018" s="3"/>
      <c r="T1018" s="3"/>
      <c r="U1018" s="5" t="str">
        <f t="shared" si="47"/>
        <v/>
      </c>
    </row>
    <row r="1019" spans="1:21" ht="28" customHeight="1" x14ac:dyDescent="0.35">
      <c r="A1019" s="4">
        <v>10</v>
      </c>
      <c r="B1019" s="4" t="s">
        <v>296</v>
      </c>
      <c r="C1019" s="4" t="s">
        <v>298</v>
      </c>
      <c r="D1019" s="4" t="s">
        <v>299</v>
      </c>
      <c r="E1019" s="4" t="s">
        <v>283</v>
      </c>
      <c r="F1019" s="4" t="s">
        <v>284</v>
      </c>
      <c r="G1019" s="4" t="s">
        <v>204</v>
      </c>
      <c r="H1019" s="4" t="s">
        <v>59</v>
      </c>
      <c r="I1019" s="3"/>
      <c r="J1019" s="3"/>
      <c r="K1019" s="3"/>
      <c r="L1019" s="3"/>
      <c r="M1019" s="3"/>
      <c r="N1019" s="3"/>
      <c r="O1019" s="3"/>
      <c r="P1019" s="8"/>
      <c r="Q1019" s="8"/>
      <c r="R1019" s="3"/>
      <c r="S1019" s="3"/>
      <c r="T1019" s="3"/>
      <c r="U1019" s="5" t="str">
        <f t="shared" si="47"/>
        <v/>
      </c>
    </row>
    <row r="1020" spans="1:21" ht="28" customHeight="1" x14ac:dyDescent="0.35">
      <c r="A1020" s="4">
        <v>11</v>
      </c>
      <c r="B1020" s="4" t="s">
        <v>300</v>
      </c>
      <c r="C1020" s="4" t="s">
        <v>301</v>
      </c>
      <c r="D1020" s="4" t="s">
        <v>302</v>
      </c>
      <c r="E1020" s="4" t="s">
        <v>56</v>
      </c>
      <c r="F1020" s="4" t="s">
        <v>276</v>
      </c>
      <c r="G1020" s="4" t="s">
        <v>199</v>
      </c>
      <c r="H1020" s="4" t="s">
        <v>76</v>
      </c>
      <c r="I1020" s="3"/>
      <c r="J1020" s="3"/>
      <c r="K1020" s="3"/>
      <c r="L1020" s="3"/>
      <c r="M1020" s="3"/>
      <c r="N1020" s="3"/>
      <c r="O1020" s="3"/>
      <c r="P1020" s="8"/>
      <c r="Q1020" s="8"/>
      <c r="R1020" s="3"/>
      <c r="S1020" s="3"/>
      <c r="T1020" s="3"/>
      <c r="U1020" s="5" t="str">
        <f t="shared" si="47"/>
        <v/>
      </c>
    </row>
    <row r="1021" spans="1:21" ht="28" customHeight="1" x14ac:dyDescent="0.35">
      <c r="A1021" s="4">
        <v>12</v>
      </c>
      <c r="B1021" s="4" t="s">
        <v>303</v>
      </c>
      <c r="C1021" s="4" t="s">
        <v>304</v>
      </c>
      <c r="D1021" s="4" t="s">
        <v>305</v>
      </c>
      <c r="E1021" s="4" t="s">
        <v>283</v>
      </c>
      <c r="F1021" s="4" t="s">
        <v>276</v>
      </c>
      <c r="G1021" s="4" t="s">
        <v>199</v>
      </c>
      <c r="H1021" s="4" t="s">
        <v>76</v>
      </c>
      <c r="I1021" s="3"/>
      <c r="J1021" s="3"/>
      <c r="K1021" s="3"/>
      <c r="L1021" s="3"/>
      <c r="M1021" s="3"/>
      <c r="N1021" s="3"/>
      <c r="O1021" s="3"/>
      <c r="P1021" s="8"/>
      <c r="Q1021" s="8"/>
      <c r="R1021" s="3"/>
      <c r="S1021" s="3"/>
      <c r="T1021" s="3"/>
      <c r="U1021" s="5" t="str">
        <f t="shared" si="47"/>
        <v/>
      </c>
    </row>
    <row r="1022" spans="1:21" ht="28" customHeight="1" x14ac:dyDescent="0.35">
      <c r="A1022" s="4">
        <v>13</v>
      </c>
      <c r="B1022" s="4" t="s">
        <v>306</v>
      </c>
      <c r="C1022" s="4" t="s">
        <v>307</v>
      </c>
      <c r="D1022" s="4" t="s">
        <v>308</v>
      </c>
      <c r="E1022" s="4" t="s">
        <v>69</v>
      </c>
      <c r="F1022" s="4" t="s">
        <v>273</v>
      </c>
      <c r="G1022" s="4" t="s">
        <v>96</v>
      </c>
      <c r="H1022" s="4" t="s">
        <v>59</v>
      </c>
      <c r="I1022" s="3"/>
      <c r="J1022" s="3"/>
      <c r="K1022" s="3"/>
      <c r="L1022" s="3"/>
      <c r="M1022" s="3"/>
      <c r="N1022" s="3"/>
      <c r="O1022" s="3"/>
      <c r="P1022" s="8"/>
      <c r="Q1022" s="8"/>
      <c r="R1022" s="3"/>
      <c r="S1022" s="3"/>
      <c r="T1022" s="3"/>
      <c r="U1022" s="5" t="str">
        <f t="shared" si="47"/>
        <v/>
      </c>
    </row>
    <row r="1023" spans="1:21" ht="28" customHeight="1" x14ac:dyDescent="0.35">
      <c r="A1023" s="4">
        <v>14</v>
      </c>
      <c r="B1023" s="4" t="s">
        <v>97</v>
      </c>
      <c r="C1023" s="4" t="s">
        <v>98</v>
      </c>
      <c r="D1023" s="4" t="s">
        <v>99</v>
      </c>
      <c r="E1023" s="4" t="s">
        <v>69</v>
      </c>
      <c r="F1023" s="4" t="s">
        <v>95</v>
      </c>
      <c r="G1023" s="4" t="s">
        <v>96</v>
      </c>
      <c r="H1023" s="4" t="s">
        <v>59</v>
      </c>
      <c r="I1023" s="3"/>
      <c r="J1023" s="3"/>
      <c r="K1023" s="3"/>
      <c r="L1023" s="3"/>
      <c r="M1023" s="3"/>
      <c r="N1023" s="3"/>
      <c r="O1023" s="3"/>
      <c r="P1023" s="8"/>
      <c r="Q1023" s="8"/>
      <c r="R1023" s="3"/>
      <c r="S1023" s="3"/>
      <c r="T1023" s="3"/>
      <c r="U1023" s="5" t="str">
        <f t="shared" si="47"/>
        <v/>
      </c>
    </row>
    <row r="1024" spans="1:21" ht="28" customHeight="1" x14ac:dyDescent="0.35">
      <c r="A1024" s="4">
        <v>15</v>
      </c>
      <c r="B1024" s="4" t="s">
        <v>97</v>
      </c>
      <c r="C1024" s="4" t="s">
        <v>100</v>
      </c>
      <c r="D1024" s="4" t="s">
        <v>101</v>
      </c>
      <c r="E1024" s="4" t="s">
        <v>69</v>
      </c>
      <c r="F1024" s="4" t="s">
        <v>95</v>
      </c>
      <c r="G1024" s="4" t="s">
        <v>102</v>
      </c>
      <c r="H1024" s="4" t="s">
        <v>59</v>
      </c>
      <c r="I1024" s="3"/>
      <c r="J1024" s="3"/>
      <c r="K1024" s="3"/>
      <c r="L1024" s="3"/>
      <c r="M1024" s="3"/>
      <c r="N1024" s="3"/>
      <c r="O1024" s="3"/>
      <c r="P1024" s="8"/>
      <c r="Q1024" s="8"/>
      <c r="R1024" s="3"/>
      <c r="S1024" s="3"/>
      <c r="T1024" s="3"/>
      <c r="U1024" s="5" t="str">
        <f t="shared" si="47"/>
        <v/>
      </c>
    </row>
    <row r="1025" spans="1:21" ht="28" customHeight="1" x14ac:dyDescent="0.35">
      <c r="A1025" s="4">
        <v>16</v>
      </c>
      <c r="B1025" s="4" t="s">
        <v>103</v>
      </c>
      <c r="C1025" s="4" t="s">
        <v>104</v>
      </c>
      <c r="D1025" s="4" t="s">
        <v>105</v>
      </c>
      <c r="E1025" s="4" t="s">
        <v>69</v>
      </c>
      <c r="F1025" s="4" t="s">
        <v>95</v>
      </c>
      <c r="G1025" s="4" t="s">
        <v>96</v>
      </c>
      <c r="H1025" s="4" t="s">
        <v>85</v>
      </c>
      <c r="I1025" s="3"/>
      <c r="J1025" s="3"/>
      <c r="K1025" s="3"/>
      <c r="L1025" s="3"/>
      <c r="M1025" s="3"/>
      <c r="N1025" s="3"/>
      <c r="O1025" s="3"/>
      <c r="P1025" s="8"/>
      <c r="Q1025" s="8"/>
      <c r="R1025" s="3"/>
      <c r="S1025" s="3"/>
      <c r="T1025" s="3"/>
      <c r="U1025" s="5" t="str">
        <f t="shared" si="47"/>
        <v/>
      </c>
    </row>
    <row r="1026" spans="1:21" ht="28" customHeight="1" x14ac:dyDescent="0.35">
      <c r="A1026" s="4">
        <v>17</v>
      </c>
      <c r="B1026" s="4" t="s">
        <v>106</v>
      </c>
      <c r="C1026" s="4" t="s">
        <v>107</v>
      </c>
      <c r="D1026" s="4" t="s">
        <v>108</v>
      </c>
      <c r="E1026" s="4" t="s">
        <v>109</v>
      </c>
      <c r="F1026" s="4" t="s">
        <v>95</v>
      </c>
      <c r="G1026" s="4" t="s">
        <v>96</v>
      </c>
      <c r="H1026" s="4" t="s">
        <v>59</v>
      </c>
      <c r="I1026" s="3"/>
      <c r="J1026" s="3"/>
      <c r="K1026" s="3"/>
      <c r="L1026" s="3"/>
      <c r="M1026" s="3"/>
      <c r="N1026" s="3"/>
      <c r="O1026" s="3"/>
      <c r="P1026" s="8"/>
      <c r="Q1026" s="8"/>
      <c r="R1026" s="3"/>
      <c r="S1026" s="3"/>
      <c r="T1026" s="3"/>
      <c r="U1026" s="5" t="str">
        <f t="shared" si="47"/>
        <v/>
      </c>
    </row>
    <row r="1028" spans="1:21" ht="28" customHeight="1" x14ac:dyDescent="0.35">
      <c r="A1028" s="9" t="s">
        <v>110</v>
      </c>
      <c r="B1028" s="16"/>
      <c r="C1028" s="17"/>
      <c r="D1028" s="17"/>
      <c r="E1028" s="17"/>
      <c r="F1028" s="17"/>
      <c r="G1028" s="17"/>
      <c r="H1028" s="17"/>
      <c r="I1028" s="17"/>
      <c r="J1028" s="17"/>
      <c r="K1028" s="17"/>
      <c r="L1028" s="17"/>
      <c r="M1028" s="17"/>
      <c r="N1028" s="17"/>
      <c r="O1028" s="17"/>
      <c r="P1028" s="17"/>
      <c r="Q1028" s="17"/>
      <c r="R1028" s="17"/>
      <c r="S1028" s="17"/>
      <c r="T1028" s="17"/>
      <c r="U1028" s="18"/>
    </row>
    <row r="1029" spans="1:21" ht="28" customHeight="1" x14ac:dyDescent="0.35">
      <c r="A1029" s="19" t="s">
        <v>352</v>
      </c>
      <c r="B1029" s="20"/>
      <c r="C1029" s="20"/>
      <c r="D1029" s="20"/>
      <c r="E1029" s="20"/>
      <c r="F1029" s="20"/>
      <c r="G1029" s="20"/>
      <c r="H1029" s="20"/>
      <c r="I1029" s="20"/>
      <c r="J1029" s="20"/>
      <c r="K1029" s="20"/>
      <c r="L1029" s="20"/>
      <c r="M1029" s="20"/>
      <c r="N1029" s="20"/>
      <c r="O1029" s="20"/>
      <c r="P1029" s="20"/>
      <c r="Q1029" s="20"/>
      <c r="R1029" s="20"/>
      <c r="S1029" s="20"/>
      <c r="T1029" s="20"/>
      <c r="U1029" s="21"/>
    </row>
    <row r="1030" spans="1:21" ht="28" customHeight="1" x14ac:dyDescent="0.35">
      <c r="A1030" s="4" t="s">
        <v>31</v>
      </c>
      <c r="B1030" s="3" t="s">
        <v>261</v>
      </c>
      <c r="C1030" s="4" t="s">
        <v>32</v>
      </c>
      <c r="D1030" s="3"/>
      <c r="E1030" s="4" t="s">
        <v>33</v>
      </c>
      <c r="F1030" s="8"/>
    </row>
    <row r="1031" spans="1:21" ht="28" customHeight="1" x14ac:dyDescent="0.35">
      <c r="A1031" s="1" t="s">
        <v>34</v>
      </c>
      <c r="B1031" s="1" t="s">
        <v>35</v>
      </c>
      <c r="C1031" s="1" t="s">
        <v>36</v>
      </c>
      <c r="D1031" s="1" t="s">
        <v>37</v>
      </c>
      <c r="E1031" s="1" t="s">
        <v>38</v>
      </c>
      <c r="F1031" s="1" t="s">
        <v>39</v>
      </c>
      <c r="G1031" s="1" t="s">
        <v>40</v>
      </c>
      <c r="H1031" s="1" t="s">
        <v>41</v>
      </c>
      <c r="I1031" s="1" t="s">
        <v>42</v>
      </c>
      <c r="J1031" s="1" t="s">
        <v>43</v>
      </c>
      <c r="K1031" s="1" t="s">
        <v>44</v>
      </c>
      <c r="L1031" s="1" t="s">
        <v>45</v>
      </c>
      <c r="M1031" s="1" t="s">
        <v>46</v>
      </c>
      <c r="N1031" s="1" t="s">
        <v>47</v>
      </c>
      <c r="O1031" s="1" t="s">
        <v>48</v>
      </c>
      <c r="P1031" s="1" t="s">
        <v>4</v>
      </c>
      <c r="Q1031" s="1" t="s">
        <v>49</v>
      </c>
      <c r="R1031" s="1" t="s">
        <v>50</v>
      </c>
      <c r="S1031" s="1" t="s">
        <v>51</v>
      </c>
      <c r="T1031" s="1" t="s">
        <v>52</v>
      </c>
      <c r="U1031" s="1" t="s">
        <v>10</v>
      </c>
    </row>
    <row r="1032" spans="1:21" ht="28" customHeight="1" x14ac:dyDescent="0.35">
      <c r="A1032" s="4">
        <v>1</v>
      </c>
      <c r="B1032" s="4" t="s">
        <v>270</v>
      </c>
      <c r="C1032" s="4" t="s">
        <v>271</v>
      </c>
      <c r="D1032" s="4" t="s">
        <v>272</v>
      </c>
      <c r="E1032" s="4" t="s">
        <v>109</v>
      </c>
      <c r="F1032" s="4" t="s">
        <v>273</v>
      </c>
      <c r="G1032" s="4" t="s">
        <v>199</v>
      </c>
      <c r="H1032" s="4" t="s">
        <v>59</v>
      </c>
      <c r="I1032" s="3"/>
      <c r="J1032" s="3"/>
      <c r="K1032" s="3"/>
      <c r="L1032" s="3"/>
      <c r="M1032" s="3"/>
      <c r="N1032" s="3"/>
      <c r="O1032" s="3"/>
      <c r="P1032" s="8"/>
      <c r="Q1032" s="8"/>
      <c r="R1032" s="3"/>
      <c r="S1032" s="3"/>
      <c r="T1032" s="3"/>
      <c r="U1032" s="5" t="str">
        <f t="shared" ref="U1032:U1048" si="48">IF(I1032="","",IF(I1032="NA","Grey",IF(I1032=2,"Green",IF(I1032=1,"Amber","Red"))))</f>
        <v/>
      </c>
    </row>
    <row r="1033" spans="1:21" ht="28" customHeight="1" x14ac:dyDescent="0.35">
      <c r="A1033" s="4">
        <v>2</v>
      </c>
      <c r="B1033" s="4" t="s">
        <v>270</v>
      </c>
      <c r="C1033" s="4" t="s">
        <v>274</v>
      </c>
      <c r="D1033" s="4" t="s">
        <v>275</v>
      </c>
      <c r="E1033" s="4" t="s">
        <v>69</v>
      </c>
      <c r="F1033" s="4" t="s">
        <v>276</v>
      </c>
      <c r="G1033" s="4" t="s">
        <v>199</v>
      </c>
      <c r="H1033" s="4" t="s">
        <v>76</v>
      </c>
      <c r="I1033" s="3"/>
      <c r="J1033" s="3"/>
      <c r="K1033" s="3"/>
      <c r="L1033" s="3"/>
      <c r="M1033" s="3"/>
      <c r="N1033" s="3"/>
      <c r="O1033" s="3"/>
      <c r="P1033" s="8"/>
      <c r="Q1033" s="8"/>
      <c r="R1033" s="3"/>
      <c r="S1033" s="3"/>
      <c r="T1033" s="3"/>
      <c r="U1033" s="5" t="str">
        <f t="shared" si="48"/>
        <v/>
      </c>
    </row>
    <row r="1034" spans="1:21" ht="28" customHeight="1" x14ac:dyDescent="0.35">
      <c r="A1034" s="4">
        <v>3</v>
      </c>
      <c r="B1034" s="4" t="s">
        <v>270</v>
      </c>
      <c r="C1034" s="4" t="s">
        <v>277</v>
      </c>
      <c r="D1034" s="4" t="s">
        <v>278</v>
      </c>
      <c r="E1034" s="4" t="s">
        <v>279</v>
      </c>
      <c r="F1034" s="4" t="s">
        <v>280</v>
      </c>
      <c r="G1034" s="4" t="s">
        <v>209</v>
      </c>
      <c r="H1034" s="4" t="s">
        <v>76</v>
      </c>
      <c r="I1034" s="3"/>
      <c r="J1034" s="3"/>
      <c r="K1034" s="3"/>
      <c r="L1034" s="3"/>
      <c r="M1034" s="3"/>
      <c r="N1034" s="3"/>
      <c r="O1034" s="3"/>
      <c r="P1034" s="8"/>
      <c r="Q1034" s="8"/>
      <c r="R1034" s="3"/>
      <c r="S1034" s="3"/>
      <c r="T1034" s="3"/>
      <c r="U1034" s="5" t="str">
        <f t="shared" si="48"/>
        <v/>
      </c>
    </row>
    <row r="1035" spans="1:21" ht="28" customHeight="1" x14ac:dyDescent="0.35">
      <c r="A1035" s="4">
        <v>4</v>
      </c>
      <c r="B1035" s="4" t="s">
        <v>270</v>
      </c>
      <c r="C1035" s="4" t="s">
        <v>281</v>
      </c>
      <c r="D1035" s="4" t="s">
        <v>282</v>
      </c>
      <c r="E1035" s="4" t="s">
        <v>283</v>
      </c>
      <c r="F1035" s="4" t="s">
        <v>284</v>
      </c>
      <c r="G1035" s="4" t="s">
        <v>204</v>
      </c>
      <c r="H1035" s="4" t="s">
        <v>76</v>
      </c>
      <c r="I1035" s="3"/>
      <c r="J1035" s="3"/>
      <c r="K1035" s="3"/>
      <c r="L1035" s="3"/>
      <c r="M1035" s="3"/>
      <c r="N1035" s="3"/>
      <c r="O1035" s="3"/>
      <c r="P1035" s="8"/>
      <c r="Q1035" s="8"/>
      <c r="R1035" s="3"/>
      <c r="S1035" s="3"/>
      <c r="T1035" s="3"/>
      <c r="U1035" s="5" t="str">
        <f t="shared" si="48"/>
        <v/>
      </c>
    </row>
    <row r="1036" spans="1:21" ht="28" customHeight="1" x14ac:dyDescent="0.35">
      <c r="A1036" s="4">
        <v>5</v>
      </c>
      <c r="B1036" s="4" t="s">
        <v>285</v>
      </c>
      <c r="C1036" s="4" t="s">
        <v>286</v>
      </c>
      <c r="D1036" s="4" t="s">
        <v>287</v>
      </c>
      <c r="E1036" s="4" t="s">
        <v>69</v>
      </c>
      <c r="F1036" s="4" t="s">
        <v>276</v>
      </c>
      <c r="G1036" s="4" t="s">
        <v>199</v>
      </c>
      <c r="H1036" s="4" t="s">
        <v>76</v>
      </c>
      <c r="I1036" s="3"/>
      <c r="J1036" s="3"/>
      <c r="K1036" s="3"/>
      <c r="L1036" s="3"/>
      <c r="M1036" s="3"/>
      <c r="N1036" s="3"/>
      <c r="O1036" s="3"/>
      <c r="P1036" s="8"/>
      <c r="Q1036" s="8"/>
      <c r="R1036" s="3"/>
      <c r="S1036" s="3"/>
      <c r="T1036" s="3"/>
      <c r="U1036" s="5" t="str">
        <f t="shared" si="48"/>
        <v/>
      </c>
    </row>
    <row r="1037" spans="1:21" ht="28" customHeight="1" x14ac:dyDescent="0.35">
      <c r="A1037" s="4">
        <v>6</v>
      </c>
      <c r="B1037" s="4" t="s">
        <v>285</v>
      </c>
      <c r="C1037" s="4" t="s">
        <v>288</v>
      </c>
      <c r="D1037" s="4" t="s">
        <v>289</v>
      </c>
      <c r="E1037" s="4" t="s">
        <v>70</v>
      </c>
      <c r="F1037" s="4" t="s">
        <v>276</v>
      </c>
      <c r="G1037" s="4" t="s">
        <v>199</v>
      </c>
      <c r="H1037" s="4" t="s">
        <v>59</v>
      </c>
      <c r="I1037" s="3"/>
      <c r="J1037" s="3"/>
      <c r="K1037" s="3"/>
      <c r="L1037" s="3"/>
      <c r="M1037" s="3"/>
      <c r="N1037" s="3"/>
      <c r="O1037" s="3"/>
      <c r="P1037" s="8"/>
      <c r="Q1037" s="8"/>
      <c r="R1037" s="3"/>
      <c r="S1037" s="3"/>
      <c r="T1037" s="3"/>
      <c r="U1037" s="5" t="str">
        <f t="shared" si="48"/>
        <v/>
      </c>
    </row>
    <row r="1038" spans="1:21" ht="28" customHeight="1" x14ac:dyDescent="0.35">
      <c r="A1038" s="4">
        <v>7</v>
      </c>
      <c r="B1038" s="4" t="s">
        <v>290</v>
      </c>
      <c r="C1038" s="4" t="s">
        <v>291</v>
      </c>
      <c r="D1038" s="4" t="s">
        <v>292</v>
      </c>
      <c r="E1038" s="4" t="s">
        <v>109</v>
      </c>
      <c r="F1038" s="4" t="s">
        <v>284</v>
      </c>
      <c r="G1038" s="4" t="s">
        <v>204</v>
      </c>
      <c r="H1038" s="4" t="s">
        <v>59</v>
      </c>
      <c r="I1038" s="3"/>
      <c r="J1038" s="3"/>
      <c r="K1038" s="3"/>
      <c r="L1038" s="3"/>
      <c r="M1038" s="3"/>
      <c r="N1038" s="3"/>
      <c r="O1038" s="3"/>
      <c r="P1038" s="8"/>
      <c r="Q1038" s="8"/>
      <c r="R1038" s="3"/>
      <c r="S1038" s="3"/>
      <c r="T1038" s="3"/>
      <c r="U1038" s="5" t="str">
        <f t="shared" si="48"/>
        <v/>
      </c>
    </row>
    <row r="1039" spans="1:21" ht="28" customHeight="1" x14ac:dyDescent="0.35">
      <c r="A1039" s="4">
        <v>8</v>
      </c>
      <c r="B1039" s="4" t="s">
        <v>290</v>
      </c>
      <c r="C1039" s="4" t="s">
        <v>293</v>
      </c>
      <c r="D1039" s="4" t="s">
        <v>294</v>
      </c>
      <c r="E1039" s="4" t="s">
        <v>70</v>
      </c>
      <c r="F1039" s="4" t="s">
        <v>295</v>
      </c>
      <c r="G1039" s="4" t="s">
        <v>199</v>
      </c>
      <c r="H1039" s="4" t="s">
        <v>76</v>
      </c>
      <c r="I1039" s="3"/>
      <c r="J1039" s="3"/>
      <c r="K1039" s="3"/>
      <c r="L1039" s="3"/>
      <c r="M1039" s="3"/>
      <c r="N1039" s="3"/>
      <c r="O1039" s="3"/>
      <c r="P1039" s="8"/>
      <c r="Q1039" s="8"/>
      <c r="R1039" s="3"/>
      <c r="S1039" s="3"/>
      <c r="T1039" s="3"/>
      <c r="U1039" s="5" t="str">
        <f t="shared" si="48"/>
        <v/>
      </c>
    </row>
    <row r="1040" spans="1:21" ht="28" customHeight="1" x14ac:dyDescent="0.35">
      <c r="A1040" s="4">
        <v>9</v>
      </c>
      <c r="B1040" s="4" t="s">
        <v>296</v>
      </c>
      <c r="C1040" s="4" t="s">
        <v>297</v>
      </c>
      <c r="D1040" s="4" t="s">
        <v>70</v>
      </c>
      <c r="E1040" s="4" t="s">
        <v>70</v>
      </c>
      <c r="F1040" s="4" t="s">
        <v>295</v>
      </c>
      <c r="G1040" s="4" t="s">
        <v>199</v>
      </c>
      <c r="H1040" s="4" t="s">
        <v>76</v>
      </c>
      <c r="I1040" s="3"/>
      <c r="J1040" s="3"/>
      <c r="K1040" s="3"/>
      <c r="L1040" s="3"/>
      <c r="M1040" s="3"/>
      <c r="N1040" s="3"/>
      <c r="O1040" s="3"/>
      <c r="P1040" s="8"/>
      <c r="Q1040" s="8"/>
      <c r="R1040" s="3"/>
      <c r="S1040" s="3"/>
      <c r="T1040" s="3"/>
      <c r="U1040" s="5" t="str">
        <f t="shared" si="48"/>
        <v/>
      </c>
    </row>
    <row r="1041" spans="1:21" ht="28" customHeight="1" x14ac:dyDescent="0.35">
      <c r="A1041" s="4">
        <v>10</v>
      </c>
      <c r="B1041" s="4" t="s">
        <v>296</v>
      </c>
      <c r="C1041" s="4" t="s">
        <v>298</v>
      </c>
      <c r="D1041" s="4" t="s">
        <v>299</v>
      </c>
      <c r="E1041" s="4" t="s">
        <v>283</v>
      </c>
      <c r="F1041" s="4" t="s">
        <v>284</v>
      </c>
      <c r="G1041" s="4" t="s">
        <v>204</v>
      </c>
      <c r="H1041" s="4" t="s">
        <v>59</v>
      </c>
      <c r="I1041" s="3"/>
      <c r="J1041" s="3"/>
      <c r="K1041" s="3"/>
      <c r="L1041" s="3"/>
      <c r="M1041" s="3"/>
      <c r="N1041" s="3"/>
      <c r="O1041" s="3"/>
      <c r="P1041" s="8"/>
      <c r="Q1041" s="8"/>
      <c r="R1041" s="3"/>
      <c r="S1041" s="3"/>
      <c r="T1041" s="3"/>
      <c r="U1041" s="5" t="str">
        <f t="shared" si="48"/>
        <v/>
      </c>
    </row>
    <row r="1042" spans="1:21" ht="28" customHeight="1" x14ac:dyDescent="0.35">
      <c r="A1042" s="4">
        <v>11</v>
      </c>
      <c r="B1042" s="4" t="s">
        <v>300</v>
      </c>
      <c r="C1042" s="4" t="s">
        <v>301</v>
      </c>
      <c r="D1042" s="4" t="s">
        <v>302</v>
      </c>
      <c r="E1042" s="4" t="s">
        <v>56</v>
      </c>
      <c r="F1042" s="4" t="s">
        <v>276</v>
      </c>
      <c r="G1042" s="4" t="s">
        <v>199</v>
      </c>
      <c r="H1042" s="4" t="s">
        <v>76</v>
      </c>
      <c r="I1042" s="3"/>
      <c r="J1042" s="3"/>
      <c r="K1042" s="3"/>
      <c r="L1042" s="3"/>
      <c r="M1042" s="3"/>
      <c r="N1042" s="3"/>
      <c r="O1042" s="3"/>
      <c r="P1042" s="8"/>
      <c r="Q1042" s="8"/>
      <c r="R1042" s="3"/>
      <c r="S1042" s="3"/>
      <c r="T1042" s="3"/>
      <c r="U1042" s="5" t="str">
        <f t="shared" si="48"/>
        <v/>
      </c>
    </row>
    <row r="1043" spans="1:21" ht="28" customHeight="1" x14ac:dyDescent="0.35">
      <c r="A1043" s="4">
        <v>12</v>
      </c>
      <c r="B1043" s="4" t="s">
        <v>303</v>
      </c>
      <c r="C1043" s="4" t="s">
        <v>304</v>
      </c>
      <c r="D1043" s="4" t="s">
        <v>305</v>
      </c>
      <c r="E1043" s="4" t="s">
        <v>283</v>
      </c>
      <c r="F1043" s="4" t="s">
        <v>276</v>
      </c>
      <c r="G1043" s="4" t="s">
        <v>199</v>
      </c>
      <c r="H1043" s="4" t="s">
        <v>76</v>
      </c>
      <c r="I1043" s="3"/>
      <c r="J1043" s="3"/>
      <c r="K1043" s="3"/>
      <c r="L1043" s="3"/>
      <c r="M1043" s="3"/>
      <c r="N1043" s="3"/>
      <c r="O1043" s="3"/>
      <c r="P1043" s="8"/>
      <c r="Q1043" s="8"/>
      <c r="R1043" s="3"/>
      <c r="S1043" s="3"/>
      <c r="T1043" s="3"/>
      <c r="U1043" s="5" t="str">
        <f t="shared" si="48"/>
        <v/>
      </c>
    </row>
    <row r="1044" spans="1:21" ht="28" customHeight="1" x14ac:dyDescent="0.35">
      <c r="A1044" s="4">
        <v>13</v>
      </c>
      <c r="B1044" s="4" t="s">
        <v>306</v>
      </c>
      <c r="C1044" s="4" t="s">
        <v>307</v>
      </c>
      <c r="D1044" s="4" t="s">
        <v>308</v>
      </c>
      <c r="E1044" s="4" t="s">
        <v>69</v>
      </c>
      <c r="F1044" s="4" t="s">
        <v>273</v>
      </c>
      <c r="G1044" s="4" t="s">
        <v>96</v>
      </c>
      <c r="H1044" s="4" t="s">
        <v>59</v>
      </c>
      <c r="I1044" s="3"/>
      <c r="J1044" s="3"/>
      <c r="K1044" s="3"/>
      <c r="L1044" s="3"/>
      <c r="M1044" s="3"/>
      <c r="N1044" s="3"/>
      <c r="O1044" s="3"/>
      <c r="P1044" s="8"/>
      <c r="Q1044" s="8"/>
      <c r="R1044" s="3"/>
      <c r="S1044" s="3"/>
      <c r="T1044" s="3"/>
      <c r="U1044" s="5" t="str">
        <f t="shared" si="48"/>
        <v/>
      </c>
    </row>
    <row r="1045" spans="1:21" ht="28" customHeight="1" x14ac:dyDescent="0.35">
      <c r="A1045" s="4">
        <v>14</v>
      </c>
      <c r="B1045" s="4" t="s">
        <v>97</v>
      </c>
      <c r="C1045" s="4" t="s">
        <v>98</v>
      </c>
      <c r="D1045" s="4" t="s">
        <v>99</v>
      </c>
      <c r="E1045" s="4" t="s">
        <v>69</v>
      </c>
      <c r="F1045" s="4" t="s">
        <v>95</v>
      </c>
      <c r="G1045" s="4" t="s">
        <v>96</v>
      </c>
      <c r="H1045" s="4" t="s">
        <v>59</v>
      </c>
      <c r="I1045" s="3"/>
      <c r="J1045" s="3"/>
      <c r="K1045" s="3"/>
      <c r="L1045" s="3"/>
      <c r="M1045" s="3"/>
      <c r="N1045" s="3"/>
      <c r="O1045" s="3"/>
      <c r="P1045" s="8"/>
      <c r="Q1045" s="8"/>
      <c r="R1045" s="3"/>
      <c r="S1045" s="3"/>
      <c r="T1045" s="3"/>
      <c r="U1045" s="5" t="str">
        <f t="shared" si="48"/>
        <v/>
      </c>
    </row>
    <row r="1046" spans="1:21" ht="28" customHeight="1" x14ac:dyDescent="0.35">
      <c r="A1046" s="4">
        <v>15</v>
      </c>
      <c r="B1046" s="4" t="s">
        <v>97</v>
      </c>
      <c r="C1046" s="4" t="s">
        <v>100</v>
      </c>
      <c r="D1046" s="4" t="s">
        <v>101</v>
      </c>
      <c r="E1046" s="4" t="s">
        <v>69</v>
      </c>
      <c r="F1046" s="4" t="s">
        <v>95</v>
      </c>
      <c r="G1046" s="4" t="s">
        <v>102</v>
      </c>
      <c r="H1046" s="4" t="s">
        <v>59</v>
      </c>
      <c r="I1046" s="3"/>
      <c r="J1046" s="3"/>
      <c r="K1046" s="3"/>
      <c r="L1046" s="3"/>
      <c r="M1046" s="3"/>
      <c r="N1046" s="3"/>
      <c r="O1046" s="3"/>
      <c r="P1046" s="8"/>
      <c r="Q1046" s="8"/>
      <c r="R1046" s="3"/>
      <c r="S1046" s="3"/>
      <c r="T1046" s="3"/>
      <c r="U1046" s="5" t="str">
        <f t="shared" si="48"/>
        <v/>
      </c>
    </row>
    <row r="1047" spans="1:21" ht="28" customHeight="1" x14ac:dyDescent="0.35">
      <c r="A1047" s="4">
        <v>16</v>
      </c>
      <c r="B1047" s="4" t="s">
        <v>103</v>
      </c>
      <c r="C1047" s="4" t="s">
        <v>104</v>
      </c>
      <c r="D1047" s="4" t="s">
        <v>105</v>
      </c>
      <c r="E1047" s="4" t="s">
        <v>69</v>
      </c>
      <c r="F1047" s="4" t="s">
        <v>95</v>
      </c>
      <c r="G1047" s="4" t="s">
        <v>96</v>
      </c>
      <c r="H1047" s="4" t="s">
        <v>85</v>
      </c>
      <c r="I1047" s="3"/>
      <c r="J1047" s="3"/>
      <c r="K1047" s="3"/>
      <c r="L1047" s="3"/>
      <c r="M1047" s="3"/>
      <c r="N1047" s="3"/>
      <c r="O1047" s="3"/>
      <c r="P1047" s="8"/>
      <c r="Q1047" s="8"/>
      <c r="R1047" s="3"/>
      <c r="S1047" s="3"/>
      <c r="T1047" s="3"/>
      <c r="U1047" s="5" t="str">
        <f t="shared" si="48"/>
        <v/>
      </c>
    </row>
    <row r="1048" spans="1:21" ht="28" customHeight="1" x14ac:dyDescent="0.35">
      <c r="A1048" s="4">
        <v>17</v>
      </c>
      <c r="B1048" s="4" t="s">
        <v>106</v>
      </c>
      <c r="C1048" s="4" t="s">
        <v>107</v>
      </c>
      <c r="D1048" s="4" t="s">
        <v>108</v>
      </c>
      <c r="E1048" s="4" t="s">
        <v>109</v>
      </c>
      <c r="F1048" s="4" t="s">
        <v>95</v>
      </c>
      <c r="G1048" s="4" t="s">
        <v>96</v>
      </c>
      <c r="H1048" s="4" t="s">
        <v>59</v>
      </c>
      <c r="I1048" s="3"/>
      <c r="J1048" s="3"/>
      <c r="K1048" s="3"/>
      <c r="L1048" s="3"/>
      <c r="M1048" s="3"/>
      <c r="N1048" s="3"/>
      <c r="O1048" s="3"/>
      <c r="P1048" s="8"/>
      <c r="Q1048" s="8"/>
      <c r="R1048" s="3"/>
      <c r="S1048" s="3"/>
      <c r="T1048" s="3"/>
      <c r="U1048" s="5" t="str">
        <f t="shared" si="48"/>
        <v/>
      </c>
    </row>
    <row r="1050" spans="1:21" ht="28" customHeight="1" x14ac:dyDescent="0.35">
      <c r="A1050" s="9" t="s">
        <v>110</v>
      </c>
      <c r="B1050" s="16"/>
      <c r="C1050" s="17"/>
      <c r="D1050" s="17"/>
      <c r="E1050" s="17"/>
      <c r="F1050" s="17"/>
      <c r="G1050" s="17"/>
      <c r="H1050" s="17"/>
      <c r="I1050" s="17"/>
      <c r="J1050" s="17"/>
      <c r="K1050" s="17"/>
      <c r="L1050" s="17"/>
      <c r="M1050" s="17"/>
      <c r="N1050" s="17"/>
      <c r="O1050" s="17"/>
      <c r="P1050" s="17"/>
      <c r="Q1050" s="17"/>
      <c r="R1050" s="17"/>
      <c r="S1050" s="17"/>
      <c r="T1050" s="17"/>
      <c r="U1050" s="18"/>
    </row>
    <row r="1051" spans="1:21" ht="28" customHeight="1" x14ac:dyDescent="0.35">
      <c r="A1051" s="19" t="s">
        <v>353</v>
      </c>
      <c r="B1051" s="20"/>
      <c r="C1051" s="20"/>
      <c r="D1051" s="20"/>
      <c r="E1051" s="20"/>
      <c r="F1051" s="20"/>
      <c r="G1051" s="20"/>
      <c r="H1051" s="20"/>
      <c r="I1051" s="20"/>
      <c r="J1051" s="20"/>
      <c r="K1051" s="20"/>
      <c r="L1051" s="20"/>
      <c r="M1051" s="20"/>
      <c r="N1051" s="20"/>
      <c r="O1051" s="20"/>
      <c r="P1051" s="20"/>
      <c r="Q1051" s="20"/>
      <c r="R1051" s="20"/>
      <c r="S1051" s="20"/>
      <c r="T1051" s="20"/>
      <c r="U1051" s="21"/>
    </row>
    <row r="1052" spans="1:21" ht="28" customHeight="1" x14ac:dyDescent="0.35">
      <c r="A1052" s="4" t="s">
        <v>31</v>
      </c>
      <c r="B1052" s="3" t="s">
        <v>262</v>
      </c>
      <c r="C1052" s="4" t="s">
        <v>32</v>
      </c>
      <c r="D1052" s="3"/>
      <c r="E1052" s="4" t="s">
        <v>33</v>
      </c>
      <c r="F1052" s="8"/>
    </row>
    <row r="1053" spans="1:21" ht="28" customHeight="1" x14ac:dyDescent="0.35">
      <c r="A1053" s="1" t="s">
        <v>34</v>
      </c>
      <c r="B1053" s="1" t="s">
        <v>35</v>
      </c>
      <c r="C1053" s="1" t="s">
        <v>36</v>
      </c>
      <c r="D1053" s="1" t="s">
        <v>37</v>
      </c>
      <c r="E1053" s="1" t="s">
        <v>38</v>
      </c>
      <c r="F1053" s="1" t="s">
        <v>39</v>
      </c>
      <c r="G1053" s="1" t="s">
        <v>40</v>
      </c>
      <c r="H1053" s="1" t="s">
        <v>41</v>
      </c>
      <c r="I1053" s="1" t="s">
        <v>42</v>
      </c>
      <c r="J1053" s="1" t="s">
        <v>43</v>
      </c>
      <c r="K1053" s="1" t="s">
        <v>44</v>
      </c>
      <c r="L1053" s="1" t="s">
        <v>45</v>
      </c>
      <c r="M1053" s="1" t="s">
        <v>46</v>
      </c>
      <c r="N1053" s="1" t="s">
        <v>47</v>
      </c>
      <c r="O1053" s="1" t="s">
        <v>48</v>
      </c>
      <c r="P1053" s="1" t="s">
        <v>4</v>
      </c>
      <c r="Q1053" s="1" t="s">
        <v>49</v>
      </c>
      <c r="R1053" s="1" t="s">
        <v>50</v>
      </c>
      <c r="S1053" s="1" t="s">
        <v>51</v>
      </c>
      <c r="T1053" s="1" t="s">
        <v>52</v>
      </c>
      <c r="U1053" s="1" t="s">
        <v>10</v>
      </c>
    </row>
    <row r="1054" spans="1:21" ht="28" customHeight="1" x14ac:dyDescent="0.35">
      <c r="A1054" s="4">
        <v>1</v>
      </c>
      <c r="B1054" s="4" t="s">
        <v>270</v>
      </c>
      <c r="C1054" s="4" t="s">
        <v>271</v>
      </c>
      <c r="D1054" s="4" t="s">
        <v>272</v>
      </c>
      <c r="E1054" s="4" t="s">
        <v>109</v>
      </c>
      <c r="F1054" s="4" t="s">
        <v>273</v>
      </c>
      <c r="G1054" s="4" t="s">
        <v>199</v>
      </c>
      <c r="H1054" s="4" t="s">
        <v>59</v>
      </c>
      <c r="I1054" s="3"/>
      <c r="J1054" s="3"/>
      <c r="K1054" s="3"/>
      <c r="L1054" s="3"/>
      <c r="M1054" s="3"/>
      <c r="N1054" s="3"/>
      <c r="O1054" s="3"/>
      <c r="P1054" s="8"/>
      <c r="Q1054" s="8"/>
      <c r="R1054" s="3"/>
      <c r="S1054" s="3"/>
      <c r="T1054" s="3"/>
      <c r="U1054" s="5" t="str">
        <f t="shared" ref="U1054:U1070" si="49">IF(I1054="","",IF(I1054="NA","Grey",IF(I1054=2,"Green",IF(I1054=1,"Amber","Red"))))</f>
        <v/>
      </c>
    </row>
    <row r="1055" spans="1:21" ht="28" customHeight="1" x14ac:dyDescent="0.35">
      <c r="A1055" s="4">
        <v>2</v>
      </c>
      <c r="B1055" s="4" t="s">
        <v>270</v>
      </c>
      <c r="C1055" s="4" t="s">
        <v>274</v>
      </c>
      <c r="D1055" s="4" t="s">
        <v>275</v>
      </c>
      <c r="E1055" s="4" t="s">
        <v>69</v>
      </c>
      <c r="F1055" s="4" t="s">
        <v>276</v>
      </c>
      <c r="G1055" s="4" t="s">
        <v>199</v>
      </c>
      <c r="H1055" s="4" t="s">
        <v>76</v>
      </c>
      <c r="I1055" s="3"/>
      <c r="J1055" s="3"/>
      <c r="K1055" s="3"/>
      <c r="L1055" s="3"/>
      <c r="M1055" s="3"/>
      <c r="N1055" s="3"/>
      <c r="O1055" s="3"/>
      <c r="P1055" s="8"/>
      <c r="Q1055" s="8"/>
      <c r="R1055" s="3"/>
      <c r="S1055" s="3"/>
      <c r="T1055" s="3"/>
      <c r="U1055" s="5" t="str">
        <f t="shared" si="49"/>
        <v/>
      </c>
    </row>
    <row r="1056" spans="1:21" ht="28" customHeight="1" x14ac:dyDescent="0.35">
      <c r="A1056" s="4">
        <v>3</v>
      </c>
      <c r="B1056" s="4" t="s">
        <v>270</v>
      </c>
      <c r="C1056" s="4" t="s">
        <v>277</v>
      </c>
      <c r="D1056" s="4" t="s">
        <v>278</v>
      </c>
      <c r="E1056" s="4" t="s">
        <v>279</v>
      </c>
      <c r="F1056" s="4" t="s">
        <v>280</v>
      </c>
      <c r="G1056" s="4" t="s">
        <v>209</v>
      </c>
      <c r="H1056" s="4" t="s">
        <v>76</v>
      </c>
      <c r="I1056" s="3"/>
      <c r="J1056" s="3"/>
      <c r="K1056" s="3"/>
      <c r="L1056" s="3"/>
      <c r="M1056" s="3"/>
      <c r="N1056" s="3"/>
      <c r="O1056" s="3"/>
      <c r="P1056" s="8"/>
      <c r="Q1056" s="8"/>
      <c r="R1056" s="3"/>
      <c r="S1056" s="3"/>
      <c r="T1056" s="3"/>
      <c r="U1056" s="5" t="str">
        <f t="shared" si="49"/>
        <v/>
      </c>
    </row>
    <row r="1057" spans="1:21" ht="28" customHeight="1" x14ac:dyDescent="0.35">
      <c r="A1057" s="4">
        <v>4</v>
      </c>
      <c r="B1057" s="4" t="s">
        <v>270</v>
      </c>
      <c r="C1057" s="4" t="s">
        <v>281</v>
      </c>
      <c r="D1057" s="4" t="s">
        <v>282</v>
      </c>
      <c r="E1057" s="4" t="s">
        <v>283</v>
      </c>
      <c r="F1057" s="4" t="s">
        <v>284</v>
      </c>
      <c r="G1057" s="4" t="s">
        <v>204</v>
      </c>
      <c r="H1057" s="4" t="s">
        <v>76</v>
      </c>
      <c r="I1057" s="3"/>
      <c r="J1057" s="3"/>
      <c r="K1057" s="3"/>
      <c r="L1057" s="3"/>
      <c r="M1057" s="3"/>
      <c r="N1057" s="3"/>
      <c r="O1057" s="3"/>
      <c r="P1057" s="8"/>
      <c r="Q1057" s="8"/>
      <c r="R1057" s="3"/>
      <c r="S1057" s="3"/>
      <c r="T1057" s="3"/>
      <c r="U1057" s="5" t="str">
        <f t="shared" si="49"/>
        <v/>
      </c>
    </row>
    <row r="1058" spans="1:21" ht="28" customHeight="1" x14ac:dyDescent="0.35">
      <c r="A1058" s="4">
        <v>5</v>
      </c>
      <c r="B1058" s="4" t="s">
        <v>285</v>
      </c>
      <c r="C1058" s="4" t="s">
        <v>286</v>
      </c>
      <c r="D1058" s="4" t="s">
        <v>287</v>
      </c>
      <c r="E1058" s="4" t="s">
        <v>69</v>
      </c>
      <c r="F1058" s="4" t="s">
        <v>276</v>
      </c>
      <c r="G1058" s="4" t="s">
        <v>199</v>
      </c>
      <c r="H1058" s="4" t="s">
        <v>76</v>
      </c>
      <c r="I1058" s="3"/>
      <c r="J1058" s="3"/>
      <c r="K1058" s="3"/>
      <c r="L1058" s="3"/>
      <c r="M1058" s="3"/>
      <c r="N1058" s="3"/>
      <c r="O1058" s="3"/>
      <c r="P1058" s="8"/>
      <c r="Q1058" s="8"/>
      <c r="R1058" s="3"/>
      <c r="S1058" s="3"/>
      <c r="T1058" s="3"/>
      <c r="U1058" s="5" t="str">
        <f t="shared" si="49"/>
        <v/>
      </c>
    </row>
    <row r="1059" spans="1:21" ht="28" customHeight="1" x14ac:dyDescent="0.35">
      <c r="A1059" s="4">
        <v>6</v>
      </c>
      <c r="B1059" s="4" t="s">
        <v>285</v>
      </c>
      <c r="C1059" s="4" t="s">
        <v>288</v>
      </c>
      <c r="D1059" s="4" t="s">
        <v>289</v>
      </c>
      <c r="E1059" s="4" t="s">
        <v>70</v>
      </c>
      <c r="F1059" s="4" t="s">
        <v>276</v>
      </c>
      <c r="G1059" s="4" t="s">
        <v>199</v>
      </c>
      <c r="H1059" s="4" t="s">
        <v>59</v>
      </c>
      <c r="I1059" s="3"/>
      <c r="J1059" s="3"/>
      <c r="K1059" s="3"/>
      <c r="L1059" s="3"/>
      <c r="M1059" s="3"/>
      <c r="N1059" s="3"/>
      <c r="O1059" s="3"/>
      <c r="P1059" s="8"/>
      <c r="Q1059" s="8"/>
      <c r="R1059" s="3"/>
      <c r="S1059" s="3"/>
      <c r="T1059" s="3"/>
      <c r="U1059" s="5" t="str">
        <f t="shared" si="49"/>
        <v/>
      </c>
    </row>
    <row r="1060" spans="1:21" ht="28" customHeight="1" x14ac:dyDescent="0.35">
      <c r="A1060" s="4">
        <v>7</v>
      </c>
      <c r="B1060" s="4" t="s">
        <v>290</v>
      </c>
      <c r="C1060" s="4" t="s">
        <v>291</v>
      </c>
      <c r="D1060" s="4" t="s">
        <v>292</v>
      </c>
      <c r="E1060" s="4" t="s">
        <v>109</v>
      </c>
      <c r="F1060" s="4" t="s">
        <v>284</v>
      </c>
      <c r="G1060" s="4" t="s">
        <v>204</v>
      </c>
      <c r="H1060" s="4" t="s">
        <v>59</v>
      </c>
      <c r="I1060" s="3"/>
      <c r="J1060" s="3"/>
      <c r="K1060" s="3"/>
      <c r="L1060" s="3"/>
      <c r="M1060" s="3"/>
      <c r="N1060" s="3"/>
      <c r="O1060" s="3"/>
      <c r="P1060" s="8"/>
      <c r="Q1060" s="8"/>
      <c r="R1060" s="3"/>
      <c r="S1060" s="3"/>
      <c r="T1060" s="3"/>
      <c r="U1060" s="5" t="str">
        <f t="shared" si="49"/>
        <v/>
      </c>
    </row>
    <row r="1061" spans="1:21" ht="28" customHeight="1" x14ac:dyDescent="0.35">
      <c r="A1061" s="4">
        <v>8</v>
      </c>
      <c r="B1061" s="4" t="s">
        <v>290</v>
      </c>
      <c r="C1061" s="4" t="s">
        <v>293</v>
      </c>
      <c r="D1061" s="4" t="s">
        <v>294</v>
      </c>
      <c r="E1061" s="4" t="s">
        <v>70</v>
      </c>
      <c r="F1061" s="4" t="s">
        <v>295</v>
      </c>
      <c r="G1061" s="4" t="s">
        <v>199</v>
      </c>
      <c r="H1061" s="4" t="s">
        <v>76</v>
      </c>
      <c r="I1061" s="3"/>
      <c r="J1061" s="3"/>
      <c r="K1061" s="3"/>
      <c r="L1061" s="3"/>
      <c r="M1061" s="3"/>
      <c r="N1061" s="3"/>
      <c r="O1061" s="3"/>
      <c r="P1061" s="8"/>
      <c r="Q1061" s="8"/>
      <c r="R1061" s="3"/>
      <c r="S1061" s="3"/>
      <c r="T1061" s="3"/>
      <c r="U1061" s="5" t="str">
        <f t="shared" si="49"/>
        <v/>
      </c>
    </row>
    <row r="1062" spans="1:21" ht="28" customHeight="1" x14ac:dyDescent="0.35">
      <c r="A1062" s="4">
        <v>9</v>
      </c>
      <c r="B1062" s="4" t="s">
        <v>296</v>
      </c>
      <c r="C1062" s="4" t="s">
        <v>297</v>
      </c>
      <c r="D1062" s="4" t="s">
        <v>70</v>
      </c>
      <c r="E1062" s="4" t="s">
        <v>70</v>
      </c>
      <c r="F1062" s="4" t="s">
        <v>295</v>
      </c>
      <c r="G1062" s="4" t="s">
        <v>199</v>
      </c>
      <c r="H1062" s="4" t="s">
        <v>76</v>
      </c>
      <c r="I1062" s="3"/>
      <c r="J1062" s="3"/>
      <c r="K1062" s="3"/>
      <c r="L1062" s="3"/>
      <c r="M1062" s="3"/>
      <c r="N1062" s="3"/>
      <c r="O1062" s="3"/>
      <c r="P1062" s="8"/>
      <c r="Q1062" s="8"/>
      <c r="R1062" s="3"/>
      <c r="S1062" s="3"/>
      <c r="T1062" s="3"/>
      <c r="U1062" s="5" t="str">
        <f t="shared" si="49"/>
        <v/>
      </c>
    </row>
    <row r="1063" spans="1:21" ht="28" customHeight="1" x14ac:dyDescent="0.35">
      <c r="A1063" s="4">
        <v>10</v>
      </c>
      <c r="B1063" s="4" t="s">
        <v>296</v>
      </c>
      <c r="C1063" s="4" t="s">
        <v>298</v>
      </c>
      <c r="D1063" s="4" t="s">
        <v>299</v>
      </c>
      <c r="E1063" s="4" t="s">
        <v>283</v>
      </c>
      <c r="F1063" s="4" t="s">
        <v>284</v>
      </c>
      <c r="G1063" s="4" t="s">
        <v>204</v>
      </c>
      <c r="H1063" s="4" t="s">
        <v>59</v>
      </c>
      <c r="I1063" s="3"/>
      <c r="J1063" s="3"/>
      <c r="K1063" s="3"/>
      <c r="L1063" s="3"/>
      <c r="M1063" s="3"/>
      <c r="N1063" s="3"/>
      <c r="O1063" s="3"/>
      <c r="P1063" s="8"/>
      <c r="Q1063" s="8"/>
      <c r="R1063" s="3"/>
      <c r="S1063" s="3"/>
      <c r="T1063" s="3"/>
      <c r="U1063" s="5" t="str">
        <f t="shared" si="49"/>
        <v/>
      </c>
    </row>
    <row r="1064" spans="1:21" ht="28" customHeight="1" x14ac:dyDescent="0.35">
      <c r="A1064" s="4">
        <v>11</v>
      </c>
      <c r="B1064" s="4" t="s">
        <v>300</v>
      </c>
      <c r="C1064" s="4" t="s">
        <v>301</v>
      </c>
      <c r="D1064" s="4" t="s">
        <v>302</v>
      </c>
      <c r="E1064" s="4" t="s">
        <v>56</v>
      </c>
      <c r="F1064" s="4" t="s">
        <v>276</v>
      </c>
      <c r="G1064" s="4" t="s">
        <v>199</v>
      </c>
      <c r="H1064" s="4" t="s">
        <v>76</v>
      </c>
      <c r="I1064" s="3"/>
      <c r="J1064" s="3"/>
      <c r="K1064" s="3"/>
      <c r="L1064" s="3"/>
      <c r="M1064" s="3"/>
      <c r="N1064" s="3"/>
      <c r="O1064" s="3"/>
      <c r="P1064" s="8"/>
      <c r="Q1064" s="8"/>
      <c r="R1064" s="3"/>
      <c r="S1064" s="3"/>
      <c r="T1064" s="3"/>
      <c r="U1064" s="5" t="str">
        <f t="shared" si="49"/>
        <v/>
      </c>
    </row>
    <row r="1065" spans="1:21" ht="28" customHeight="1" x14ac:dyDescent="0.35">
      <c r="A1065" s="4">
        <v>12</v>
      </c>
      <c r="B1065" s="4" t="s">
        <v>303</v>
      </c>
      <c r="C1065" s="4" t="s">
        <v>304</v>
      </c>
      <c r="D1065" s="4" t="s">
        <v>305</v>
      </c>
      <c r="E1065" s="4" t="s">
        <v>283</v>
      </c>
      <c r="F1065" s="4" t="s">
        <v>276</v>
      </c>
      <c r="G1065" s="4" t="s">
        <v>199</v>
      </c>
      <c r="H1065" s="4" t="s">
        <v>76</v>
      </c>
      <c r="I1065" s="3"/>
      <c r="J1065" s="3"/>
      <c r="K1065" s="3"/>
      <c r="L1065" s="3"/>
      <c r="M1065" s="3"/>
      <c r="N1065" s="3"/>
      <c r="O1065" s="3"/>
      <c r="P1065" s="8"/>
      <c r="Q1065" s="8"/>
      <c r="R1065" s="3"/>
      <c r="S1065" s="3"/>
      <c r="T1065" s="3"/>
      <c r="U1065" s="5" t="str">
        <f t="shared" si="49"/>
        <v/>
      </c>
    </row>
    <row r="1066" spans="1:21" ht="28" customHeight="1" x14ac:dyDescent="0.35">
      <c r="A1066" s="4">
        <v>13</v>
      </c>
      <c r="B1066" s="4" t="s">
        <v>306</v>
      </c>
      <c r="C1066" s="4" t="s">
        <v>307</v>
      </c>
      <c r="D1066" s="4" t="s">
        <v>308</v>
      </c>
      <c r="E1066" s="4" t="s">
        <v>69</v>
      </c>
      <c r="F1066" s="4" t="s">
        <v>273</v>
      </c>
      <c r="G1066" s="4" t="s">
        <v>96</v>
      </c>
      <c r="H1066" s="4" t="s">
        <v>59</v>
      </c>
      <c r="I1066" s="3"/>
      <c r="J1066" s="3"/>
      <c r="K1066" s="3"/>
      <c r="L1066" s="3"/>
      <c r="M1066" s="3"/>
      <c r="N1066" s="3"/>
      <c r="O1066" s="3"/>
      <c r="P1066" s="8"/>
      <c r="Q1066" s="8"/>
      <c r="R1066" s="3"/>
      <c r="S1066" s="3"/>
      <c r="T1066" s="3"/>
      <c r="U1066" s="5" t="str">
        <f t="shared" si="49"/>
        <v/>
      </c>
    </row>
    <row r="1067" spans="1:21" ht="28" customHeight="1" x14ac:dyDescent="0.35">
      <c r="A1067" s="4">
        <v>14</v>
      </c>
      <c r="B1067" s="4" t="s">
        <v>97</v>
      </c>
      <c r="C1067" s="4" t="s">
        <v>98</v>
      </c>
      <c r="D1067" s="4" t="s">
        <v>99</v>
      </c>
      <c r="E1067" s="4" t="s">
        <v>69</v>
      </c>
      <c r="F1067" s="4" t="s">
        <v>95</v>
      </c>
      <c r="G1067" s="4" t="s">
        <v>96</v>
      </c>
      <c r="H1067" s="4" t="s">
        <v>59</v>
      </c>
      <c r="I1067" s="3"/>
      <c r="J1067" s="3"/>
      <c r="K1067" s="3"/>
      <c r="L1067" s="3"/>
      <c r="M1067" s="3"/>
      <c r="N1067" s="3"/>
      <c r="O1067" s="3"/>
      <c r="P1067" s="8"/>
      <c r="Q1067" s="8"/>
      <c r="R1067" s="3"/>
      <c r="S1067" s="3"/>
      <c r="T1067" s="3"/>
      <c r="U1067" s="5" t="str">
        <f t="shared" si="49"/>
        <v/>
      </c>
    </row>
    <row r="1068" spans="1:21" ht="28" customHeight="1" x14ac:dyDescent="0.35">
      <c r="A1068" s="4">
        <v>15</v>
      </c>
      <c r="B1068" s="4" t="s">
        <v>97</v>
      </c>
      <c r="C1068" s="4" t="s">
        <v>100</v>
      </c>
      <c r="D1068" s="4" t="s">
        <v>101</v>
      </c>
      <c r="E1068" s="4" t="s">
        <v>69</v>
      </c>
      <c r="F1068" s="4" t="s">
        <v>95</v>
      </c>
      <c r="G1068" s="4" t="s">
        <v>102</v>
      </c>
      <c r="H1068" s="4" t="s">
        <v>59</v>
      </c>
      <c r="I1068" s="3"/>
      <c r="J1068" s="3"/>
      <c r="K1068" s="3"/>
      <c r="L1068" s="3"/>
      <c r="M1068" s="3"/>
      <c r="N1068" s="3"/>
      <c r="O1068" s="3"/>
      <c r="P1068" s="8"/>
      <c r="Q1068" s="8"/>
      <c r="R1068" s="3"/>
      <c r="S1068" s="3"/>
      <c r="T1068" s="3"/>
      <c r="U1068" s="5" t="str">
        <f t="shared" si="49"/>
        <v/>
      </c>
    </row>
    <row r="1069" spans="1:21" ht="28" customHeight="1" x14ac:dyDescent="0.35">
      <c r="A1069" s="4">
        <v>16</v>
      </c>
      <c r="B1069" s="4" t="s">
        <v>103</v>
      </c>
      <c r="C1069" s="4" t="s">
        <v>104</v>
      </c>
      <c r="D1069" s="4" t="s">
        <v>105</v>
      </c>
      <c r="E1069" s="4" t="s">
        <v>69</v>
      </c>
      <c r="F1069" s="4" t="s">
        <v>95</v>
      </c>
      <c r="G1069" s="4" t="s">
        <v>96</v>
      </c>
      <c r="H1069" s="4" t="s">
        <v>85</v>
      </c>
      <c r="I1069" s="3"/>
      <c r="J1069" s="3"/>
      <c r="K1069" s="3"/>
      <c r="L1069" s="3"/>
      <c r="M1069" s="3"/>
      <c r="N1069" s="3"/>
      <c r="O1069" s="3"/>
      <c r="P1069" s="8"/>
      <c r="Q1069" s="8"/>
      <c r="R1069" s="3"/>
      <c r="S1069" s="3"/>
      <c r="T1069" s="3"/>
      <c r="U1069" s="5" t="str">
        <f t="shared" si="49"/>
        <v/>
      </c>
    </row>
    <row r="1070" spans="1:21" ht="28" customHeight="1" x14ac:dyDescent="0.35">
      <c r="A1070" s="4">
        <v>17</v>
      </c>
      <c r="B1070" s="4" t="s">
        <v>106</v>
      </c>
      <c r="C1070" s="4" t="s">
        <v>107</v>
      </c>
      <c r="D1070" s="4" t="s">
        <v>108</v>
      </c>
      <c r="E1070" s="4" t="s">
        <v>109</v>
      </c>
      <c r="F1070" s="4" t="s">
        <v>95</v>
      </c>
      <c r="G1070" s="4" t="s">
        <v>96</v>
      </c>
      <c r="H1070" s="4" t="s">
        <v>59</v>
      </c>
      <c r="I1070" s="3"/>
      <c r="J1070" s="3"/>
      <c r="K1070" s="3"/>
      <c r="L1070" s="3"/>
      <c r="M1070" s="3"/>
      <c r="N1070" s="3"/>
      <c r="O1070" s="3"/>
      <c r="P1070" s="8"/>
      <c r="Q1070" s="8"/>
      <c r="R1070" s="3"/>
      <c r="S1070" s="3"/>
      <c r="T1070" s="3"/>
      <c r="U1070" s="5" t="str">
        <f t="shared" si="49"/>
        <v/>
      </c>
    </row>
    <row r="1072" spans="1:21" ht="28" customHeight="1" x14ac:dyDescent="0.35">
      <c r="A1072" s="9" t="s">
        <v>110</v>
      </c>
      <c r="B1072" s="16"/>
      <c r="C1072" s="17"/>
      <c r="D1072" s="17"/>
      <c r="E1072" s="17"/>
      <c r="F1072" s="17"/>
      <c r="G1072" s="17"/>
      <c r="H1072" s="17"/>
      <c r="I1072" s="17"/>
      <c r="J1072" s="17"/>
      <c r="K1072" s="17"/>
      <c r="L1072" s="17"/>
      <c r="M1072" s="17"/>
      <c r="N1072" s="17"/>
      <c r="O1072" s="17"/>
      <c r="P1072" s="17"/>
      <c r="Q1072" s="17"/>
      <c r="R1072" s="17"/>
      <c r="S1072" s="17"/>
      <c r="T1072" s="17"/>
      <c r="U1072" s="18"/>
    </row>
    <row r="1073" spans="1:21" ht="28" customHeight="1" x14ac:dyDescent="0.35">
      <c r="A1073" s="19" t="s">
        <v>354</v>
      </c>
      <c r="B1073" s="20"/>
      <c r="C1073" s="20"/>
      <c r="D1073" s="20"/>
      <c r="E1073" s="20"/>
      <c r="F1073" s="20"/>
      <c r="G1073" s="20"/>
      <c r="H1073" s="20"/>
      <c r="I1073" s="20"/>
      <c r="J1073" s="20"/>
      <c r="K1073" s="20"/>
      <c r="L1073" s="20"/>
      <c r="M1073" s="20"/>
      <c r="N1073" s="20"/>
      <c r="O1073" s="20"/>
      <c r="P1073" s="20"/>
      <c r="Q1073" s="20"/>
      <c r="R1073" s="20"/>
      <c r="S1073" s="20"/>
      <c r="T1073" s="20"/>
      <c r="U1073" s="21"/>
    </row>
    <row r="1074" spans="1:21" ht="28" customHeight="1" x14ac:dyDescent="0.35">
      <c r="A1074" s="4" t="s">
        <v>31</v>
      </c>
      <c r="B1074" s="3" t="s">
        <v>263</v>
      </c>
      <c r="C1074" s="4" t="s">
        <v>32</v>
      </c>
      <c r="D1074" s="3"/>
      <c r="E1074" s="4" t="s">
        <v>33</v>
      </c>
      <c r="F1074" s="8"/>
    </row>
    <row r="1075" spans="1:21" ht="28" customHeight="1" x14ac:dyDescent="0.35">
      <c r="A1075" s="1" t="s">
        <v>34</v>
      </c>
      <c r="B1075" s="1" t="s">
        <v>35</v>
      </c>
      <c r="C1075" s="1" t="s">
        <v>36</v>
      </c>
      <c r="D1075" s="1" t="s">
        <v>37</v>
      </c>
      <c r="E1075" s="1" t="s">
        <v>38</v>
      </c>
      <c r="F1075" s="1" t="s">
        <v>39</v>
      </c>
      <c r="G1075" s="1" t="s">
        <v>40</v>
      </c>
      <c r="H1075" s="1" t="s">
        <v>41</v>
      </c>
      <c r="I1075" s="1" t="s">
        <v>42</v>
      </c>
      <c r="J1075" s="1" t="s">
        <v>43</v>
      </c>
      <c r="K1075" s="1" t="s">
        <v>44</v>
      </c>
      <c r="L1075" s="1" t="s">
        <v>45</v>
      </c>
      <c r="M1075" s="1" t="s">
        <v>46</v>
      </c>
      <c r="N1075" s="1" t="s">
        <v>47</v>
      </c>
      <c r="O1075" s="1" t="s">
        <v>48</v>
      </c>
      <c r="P1075" s="1" t="s">
        <v>4</v>
      </c>
      <c r="Q1075" s="1" t="s">
        <v>49</v>
      </c>
      <c r="R1075" s="1" t="s">
        <v>50</v>
      </c>
      <c r="S1075" s="1" t="s">
        <v>51</v>
      </c>
      <c r="T1075" s="1" t="s">
        <v>52</v>
      </c>
      <c r="U1075" s="1" t="s">
        <v>10</v>
      </c>
    </row>
    <row r="1076" spans="1:21" ht="28" customHeight="1" x14ac:dyDescent="0.35">
      <c r="A1076" s="4">
        <v>1</v>
      </c>
      <c r="B1076" s="4" t="s">
        <v>270</v>
      </c>
      <c r="C1076" s="4" t="s">
        <v>271</v>
      </c>
      <c r="D1076" s="4" t="s">
        <v>272</v>
      </c>
      <c r="E1076" s="4" t="s">
        <v>109</v>
      </c>
      <c r="F1076" s="4" t="s">
        <v>273</v>
      </c>
      <c r="G1076" s="4" t="s">
        <v>199</v>
      </c>
      <c r="H1076" s="4" t="s">
        <v>59</v>
      </c>
      <c r="I1076" s="3"/>
      <c r="J1076" s="3"/>
      <c r="K1076" s="3"/>
      <c r="L1076" s="3"/>
      <c r="M1076" s="3"/>
      <c r="N1076" s="3"/>
      <c r="O1076" s="3"/>
      <c r="P1076" s="8"/>
      <c r="Q1076" s="8"/>
      <c r="R1076" s="3"/>
      <c r="S1076" s="3"/>
      <c r="T1076" s="3"/>
      <c r="U1076" s="5" t="str">
        <f t="shared" ref="U1076:U1092" si="50">IF(I1076="","",IF(I1076="NA","Grey",IF(I1076=2,"Green",IF(I1076=1,"Amber","Red"))))</f>
        <v/>
      </c>
    </row>
    <row r="1077" spans="1:21" ht="28" customHeight="1" x14ac:dyDescent="0.35">
      <c r="A1077" s="4">
        <v>2</v>
      </c>
      <c r="B1077" s="4" t="s">
        <v>270</v>
      </c>
      <c r="C1077" s="4" t="s">
        <v>274</v>
      </c>
      <c r="D1077" s="4" t="s">
        <v>275</v>
      </c>
      <c r="E1077" s="4" t="s">
        <v>69</v>
      </c>
      <c r="F1077" s="4" t="s">
        <v>276</v>
      </c>
      <c r="G1077" s="4" t="s">
        <v>199</v>
      </c>
      <c r="H1077" s="4" t="s">
        <v>76</v>
      </c>
      <c r="I1077" s="3"/>
      <c r="J1077" s="3"/>
      <c r="K1077" s="3"/>
      <c r="L1077" s="3"/>
      <c r="M1077" s="3"/>
      <c r="N1077" s="3"/>
      <c r="O1077" s="3"/>
      <c r="P1077" s="8"/>
      <c r="Q1077" s="8"/>
      <c r="R1077" s="3"/>
      <c r="S1077" s="3"/>
      <c r="T1077" s="3"/>
      <c r="U1077" s="5" t="str">
        <f t="shared" si="50"/>
        <v/>
      </c>
    </row>
    <row r="1078" spans="1:21" ht="28" customHeight="1" x14ac:dyDescent="0.35">
      <c r="A1078" s="4">
        <v>3</v>
      </c>
      <c r="B1078" s="4" t="s">
        <v>270</v>
      </c>
      <c r="C1078" s="4" t="s">
        <v>277</v>
      </c>
      <c r="D1078" s="4" t="s">
        <v>278</v>
      </c>
      <c r="E1078" s="4" t="s">
        <v>279</v>
      </c>
      <c r="F1078" s="4" t="s">
        <v>280</v>
      </c>
      <c r="G1078" s="4" t="s">
        <v>209</v>
      </c>
      <c r="H1078" s="4" t="s">
        <v>76</v>
      </c>
      <c r="I1078" s="3"/>
      <c r="J1078" s="3"/>
      <c r="K1078" s="3"/>
      <c r="L1078" s="3"/>
      <c r="M1078" s="3"/>
      <c r="N1078" s="3"/>
      <c r="O1078" s="3"/>
      <c r="P1078" s="8"/>
      <c r="Q1078" s="8"/>
      <c r="R1078" s="3"/>
      <c r="S1078" s="3"/>
      <c r="T1078" s="3"/>
      <c r="U1078" s="5" t="str">
        <f t="shared" si="50"/>
        <v/>
      </c>
    </row>
    <row r="1079" spans="1:21" ht="28" customHeight="1" x14ac:dyDescent="0.35">
      <c r="A1079" s="4">
        <v>4</v>
      </c>
      <c r="B1079" s="4" t="s">
        <v>270</v>
      </c>
      <c r="C1079" s="4" t="s">
        <v>281</v>
      </c>
      <c r="D1079" s="4" t="s">
        <v>282</v>
      </c>
      <c r="E1079" s="4" t="s">
        <v>283</v>
      </c>
      <c r="F1079" s="4" t="s">
        <v>284</v>
      </c>
      <c r="G1079" s="4" t="s">
        <v>204</v>
      </c>
      <c r="H1079" s="4" t="s">
        <v>76</v>
      </c>
      <c r="I1079" s="3"/>
      <c r="J1079" s="3"/>
      <c r="K1079" s="3"/>
      <c r="L1079" s="3"/>
      <c r="M1079" s="3"/>
      <c r="N1079" s="3"/>
      <c r="O1079" s="3"/>
      <c r="P1079" s="8"/>
      <c r="Q1079" s="8"/>
      <c r="R1079" s="3"/>
      <c r="S1079" s="3"/>
      <c r="T1079" s="3"/>
      <c r="U1079" s="5" t="str">
        <f t="shared" si="50"/>
        <v/>
      </c>
    </row>
    <row r="1080" spans="1:21" ht="28" customHeight="1" x14ac:dyDescent="0.35">
      <c r="A1080" s="4">
        <v>5</v>
      </c>
      <c r="B1080" s="4" t="s">
        <v>285</v>
      </c>
      <c r="C1080" s="4" t="s">
        <v>286</v>
      </c>
      <c r="D1080" s="4" t="s">
        <v>287</v>
      </c>
      <c r="E1080" s="4" t="s">
        <v>69</v>
      </c>
      <c r="F1080" s="4" t="s">
        <v>276</v>
      </c>
      <c r="G1080" s="4" t="s">
        <v>199</v>
      </c>
      <c r="H1080" s="4" t="s">
        <v>76</v>
      </c>
      <c r="I1080" s="3"/>
      <c r="J1080" s="3"/>
      <c r="K1080" s="3"/>
      <c r="L1080" s="3"/>
      <c r="M1080" s="3"/>
      <c r="N1080" s="3"/>
      <c r="O1080" s="3"/>
      <c r="P1080" s="8"/>
      <c r="Q1080" s="8"/>
      <c r="R1080" s="3"/>
      <c r="S1080" s="3"/>
      <c r="T1080" s="3"/>
      <c r="U1080" s="5" t="str">
        <f t="shared" si="50"/>
        <v/>
      </c>
    </row>
    <row r="1081" spans="1:21" ht="28" customHeight="1" x14ac:dyDescent="0.35">
      <c r="A1081" s="4">
        <v>6</v>
      </c>
      <c r="B1081" s="4" t="s">
        <v>285</v>
      </c>
      <c r="C1081" s="4" t="s">
        <v>288</v>
      </c>
      <c r="D1081" s="4" t="s">
        <v>289</v>
      </c>
      <c r="E1081" s="4" t="s">
        <v>70</v>
      </c>
      <c r="F1081" s="4" t="s">
        <v>276</v>
      </c>
      <c r="G1081" s="4" t="s">
        <v>199</v>
      </c>
      <c r="H1081" s="4" t="s">
        <v>59</v>
      </c>
      <c r="I1081" s="3"/>
      <c r="J1081" s="3"/>
      <c r="K1081" s="3"/>
      <c r="L1081" s="3"/>
      <c r="M1081" s="3"/>
      <c r="N1081" s="3"/>
      <c r="O1081" s="3"/>
      <c r="P1081" s="8"/>
      <c r="Q1081" s="8"/>
      <c r="R1081" s="3"/>
      <c r="S1081" s="3"/>
      <c r="T1081" s="3"/>
      <c r="U1081" s="5" t="str">
        <f t="shared" si="50"/>
        <v/>
      </c>
    </row>
    <row r="1082" spans="1:21" ht="28" customHeight="1" x14ac:dyDescent="0.35">
      <c r="A1082" s="4">
        <v>7</v>
      </c>
      <c r="B1082" s="4" t="s">
        <v>290</v>
      </c>
      <c r="C1082" s="4" t="s">
        <v>291</v>
      </c>
      <c r="D1082" s="4" t="s">
        <v>292</v>
      </c>
      <c r="E1082" s="4" t="s">
        <v>109</v>
      </c>
      <c r="F1082" s="4" t="s">
        <v>284</v>
      </c>
      <c r="G1082" s="4" t="s">
        <v>204</v>
      </c>
      <c r="H1082" s="4" t="s">
        <v>59</v>
      </c>
      <c r="I1082" s="3"/>
      <c r="J1082" s="3"/>
      <c r="K1082" s="3"/>
      <c r="L1082" s="3"/>
      <c r="M1082" s="3"/>
      <c r="N1082" s="3"/>
      <c r="O1082" s="3"/>
      <c r="P1082" s="8"/>
      <c r="Q1082" s="8"/>
      <c r="R1082" s="3"/>
      <c r="S1082" s="3"/>
      <c r="T1082" s="3"/>
      <c r="U1082" s="5" t="str">
        <f t="shared" si="50"/>
        <v/>
      </c>
    </row>
    <row r="1083" spans="1:21" ht="28" customHeight="1" x14ac:dyDescent="0.35">
      <c r="A1083" s="4">
        <v>8</v>
      </c>
      <c r="B1083" s="4" t="s">
        <v>290</v>
      </c>
      <c r="C1083" s="4" t="s">
        <v>293</v>
      </c>
      <c r="D1083" s="4" t="s">
        <v>294</v>
      </c>
      <c r="E1083" s="4" t="s">
        <v>70</v>
      </c>
      <c r="F1083" s="4" t="s">
        <v>295</v>
      </c>
      <c r="G1083" s="4" t="s">
        <v>199</v>
      </c>
      <c r="H1083" s="4" t="s">
        <v>76</v>
      </c>
      <c r="I1083" s="3"/>
      <c r="J1083" s="3"/>
      <c r="K1083" s="3"/>
      <c r="L1083" s="3"/>
      <c r="M1083" s="3"/>
      <c r="N1083" s="3"/>
      <c r="O1083" s="3"/>
      <c r="P1083" s="8"/>
      <c r="Q1083" s="8"/>
      <c r="R1083" s="3"/>
      <c r="S1083" s="3"/>
      <c r="T1083" s="3"/>
      <c r="U1083" s="5" t="str">
        <f t="shared" si="50"/>
        <v/>
      </c>
    </row>
    <row r="1084" spans="1:21" ht="28" customHeight="1" x14ac:dyDescent="0.35">
      <c r="A1084" s="4">
        <v>9</v>
      </c>
      <c r="B1084" s="4" t="s">
        <v>296</v>
      </c>
      <c r="C1084" s="4" t="s">
        <v>297</v>
      </c>
      <c r="D1084" s="4" t="s">
        <v>70</v>
      </c>
      <c r="E1084" s="4" t="s">
        <v>70</v>
      </c>
      <c r="F1084" s="4" t="s">
        <v>295</v>
      </c>
      <c r="G1084" s="4" t="s">
        <v>199</v>
      </c>
      <c r="H1084" s="4" t="s">
        <v>76</v>
      </c>
      <c r="I1084" s="3"/>
      <c r="J1084" s="3"/>
      <c r="K1084" s="3"/>
      <c r="L1084" s="3"/>
      <c r="M1084" s="3"/>
      <c r="N1084" s="3"/>
      <c r="O1084" s="3"/>
      <c r="P1084" s="8"/>
      <c r="Q1084" s="8"/>
      <c r="R1084" s="3"/>
      <c r="S1084" s="3"/>
      <c r="T1084" s="3"/>
      <c r="U1084" s="5" t="str">
        <f t="shared" si="50"/>
        <v/>
      </c>
    </row>
    <row r="1085" spans="1:21" ht="28" customHeight="1" x14ac:dyDescent="0.35">
      <c r="A1085" s="4">
        <v>10</v>
      </c>
      <c r="B1085" s="4" t="s">
        <v>296</v>
      </c>
      <c r="C1085" s="4" t="s">
        <v>298</v>
      </c>
      <c r="D1085" s="4" t="s">
        <v>299</v>
      </c>
      <c r="E1085" s="4" t="s">
        <v>283</v>
      </c>
      <c r="F1085" s="4" t="s">
        <v>284</v>
      </c>
      <c r="G1085" s="4" t="s">
        <v>204</v>
      </c>
      <c r="H1085" s="4" t="s">
        <v>59</v>
      </c>
      <c r="I1085" s="3"/>
      <c r="J1085" s="3"/>
      <c r="K1085" s="3"/>
      <c r="L1085" s="3"/>
      <c r="M1085" s="3"/>
      <c r="N1085" s="3"/>
      <c r="O1085" s="3"/>
      <c r="P1085" s="8"/>
      <c r="Q1085" s="8"/>
      <c r="R1085" s="3"/>
      <c r="S1085" s="3"/>
      <c r="T1085" s="3"/>
      <c r="U1085" s="5" t="str">
        <f t="shared" si="50"/>
        <v/>
      </c>
    </row>
    <row r="1086" spans="1:21" ht="28" customHeight="1" x14ac:dyDescent="0.35">
      <c r="A1086" s="4">
        <v>11</v>
      </c>
      <c r="B1086" s="4" t="s">
        <v>300</v>
      </c>
      <c r="C1086" s="4" t="s">
        <v>301</v>
      </c>
      <c r="D1086" s="4" t="s">
        <v>302</v>
      </c>
      <c r="E1086" s="4" t="s">
        <v>56</v>
      </c>
      <c r="F1086" s="4" t="s">
        <v>276</v>
      </c>
      <c r="G1086" s="4" t="s">
        <v>199</v>
      </c>
      <c r="H1086" s="4" t="s">
        <v>76</v>
      </c>
      <c r="I1086" s="3"/>
      <c r="J1086" s="3"/>
      <c r="K1086" s="3"/>
      <c r="L1086" s="3"/>
      <c r="M1086" s="3"/>
      <c r="N1086" s="3"/>
      <c r="O1086" s="3"/>
      <c r="P1086" s="8"/>
      <c r="Q1086" s="8"/>
      <c r="R1086" s="3"/>
      <c r="S1086" s="3"/>
      <c r="T1086" s="3"/>
      <c r="U1086" s="5" t="str">
        <f t="shared" si="50"/>
        <v/>
      </c>
    </row>
    <row r="1087" spans="1:21" ht="28" customHeight="1" x14ac:dyDescent="0.35">
      <c r="A1087" s="4">
        <v>12</v>
      </c>
      <c r="B1087" s="4" t="s">
        <v>303</v>
      </c>
      <c r="C1087" s="4" t="s">
        <v>304</v>
      </c>
      <c r="D1087" s="4" t="s">
        <v>305</v>
      </c>
      <c r="E1087" s="4" t="s">
        <v>283</v>
      </c>
      <c r="F1087" s="4" t="s">
        <v>276</v>
      </c>
      <c r="G1087" s="4" t="s">
        <v>199</v>
      </c>
      <c r="H1087" s="4" t="s">
        <v>76</v>
      </c>
      <c r="I1087" s="3"/>
      <c r="J1087" s="3"/>
      <c r="K1087" s="3"/>
      <c r="L1087" s="3"/>
      <c r="M1087" s="3"/>
      <c r="N1087" s="3"/>
      <c r="O1087" s="3"/>
      <c r="P1087" s="8"/>
      <c r="Q1087" s="8"/>
      <c r="R1087" s="3"/>
      <c r="S1087" s="3"/>
      <c r="T1087" s="3"/>
      <c r="U1087" s="5" t="str">
        <f t="shared" si="50"/>
        <v/>
      </c>
    </row>
    <row r="1088" spans="1:21" ht="28" customHeight="1" x14ac:dyDescent="0.35">
      <c r="A1088" s="4">
        <v>13</v>
      </c>
      <c r="B1088" s="4" t="s">
        <v>306</v>
      </c>
      <c r="C1088" s="4" t="s">
        <v>307</v>
      </c>
      <c r="D1088" s="4" t="s">
        <v>308</v>
      </c>
      <c r="E1088" s="4" t="s">
        <v>69</v>
      </c>
      <c r="F1088" s="4" t="s">
        <v>273</v>
      </c>
      <c r="G1088" s="4" t="s">
        <v>96</v>
      </c>
      <c r="H1088" s="4" t="s">
        <v>59</v>
      </c>
      <c r="I1088" s="3"/>
      <c r="J1088" s="3"/>
      <c r="K1088" s="3"/>
      <c r="L1088" s="3"/>
      <c r="M1088" s="3"/>
      <c r="N1088" s="3"/>
      <c r="O1088" s="3"/>
      <c r="P1088" s="8"/>
      <c r="Q1088" s="8"/>
      <c r="R1088" s="3"/>
      <c r="S1088" s="3"/>
      <c r="T1088" s="3"/>
      <c r="U1088" s="5" t="str">
        <f t="shared" si="50"/>
        <v/>
      </c>
    </row>
    <row r="1089" spans="1:21" ht="28" customHeight="1" x14ac:dyDescent="0.35">
      <c r="A1089" s="4">
        <v>14</v>
      </c>
      <c r="B1089" s="4" t="s">
        <v>97</v>
      </c>
      <c r="C1089" s="4" t="s">
        <v>98</v>
      </c>
      <c r="D1089" s="4" t="s">
        <v>99</v>
      </c>
      <c r="E1089" s="4" t="s">
        <v>69</v>
      </c>
      <c r="F1089" s="4" t="s">
        <v>95</v>
      </c>
      <c r="G1089" s="4" t="s">
        <v>96</v>
      </c>
      <c r="H1089" s="4" t="s">
        <v>59</v>
      </c>
      <c r="I1089" s="3"/>
      <c r="J1089" s="3"/>
      <c r="K1089" s="3"/>
      <c r="L1089" s="3"/>
      <c r="M1089" s="3"/>
      <c r="N1089" s="3"/>
      <c r="O1089" s="3"/>
      <c r="P1089" s="8"/>
      <c r="Q1089" s="8"/>
      <c r="R1089" s="3"/>
      <c r="S1089" s="3"/>
      <c r="T1089" s="3"/>
      <c r="U1089" s="5" t="str">
        <f t="shared" si="50"/>
        <v/>
      </c>
    </row>
    <row r="1090" spans="1:21" ht="28" customHeight="1" x14ac:dyDescent="0.35">
      <c r="A1090" s="4">
        <v>15</v>
      </c>
      <c r="B1090" s="4" t="s">
        <v>97</v>
      </c>
      <c r="C1090" s="4" t="s">
        <v>100</v>
      </c>
      <c r="D1090" s="4" t="s">
        <v>101</v>
      </c>
      <c r="E1090" s="4" t="s">
        <v>69</v>
      </c>
      <c r="F1090" s="4" t="s">
        <v>95</v>
      </c>
      <c r="G1090" s="4" t="s">
        <v>102</v>
      </c>
      <c r="H1090" s="4" t="s">
        <v>59</v>
      </c>
      <c r="I1090" s="3"/>
      <c r="J1090" s="3"/>
      <c r="K1090" s="3"/>
      <c r="L1090" s="3"/>
      <c r="M1090" s="3"/>
      <c r="N1090" s="3"/>
      <c r="O1090" s="3"/>
      <c r="P1090" s="8"/>
      <c r="Q1090" s="8"/>
      <c r="R1090" s="3"/>
      <c r="S1090" s="3"/>
      <c r="T1090" s="3"/>
      <c r="U1090" s="5" t="str">
        <f t="shared" si="50"/>
        <v/>
      </c>
    </row>
    <row r="1091" spans="1:21" ht="28" customHeight="1" x14ac:dyDescent="0.35">
      <c r="A1091" s="4">
        <v>16</v>
      </c>
      <c r="B1091" s="4" t="s">
        <v>103</v>
      </c>
      <c r="C1091" s="4" t="s">
        <v>104</v>
      </c>
      <c r="D1091" s="4" t="s">
        <v>105</v>
      </c>
      <c r="E1091" s="4" t="s">
        <v>69</v>
      </c>
      <c r="F1091" s="4" t="s">
        <v>95</v>
      </c>
      <c r="G1091" s="4" t="s">
        <v>96</v>
      </c>
      <c r="H1091" s="4" t="s">
        <v>85</v>
      </c>
      <c r="I1091" s="3"/>
      <c r="J1091" s="3"/>
      <c r="K1091" s="3"/>
      <c r="L1091" s="3"/>
      <c r="M1091" s="3"/>
      <c r="N1091" s="3"/>
      <c r="O1091" s="3"/>
      <c r="P1091" s="8"/>
      <c r="Q1091" s="8"/>
      <c r="R1091" s="3"/>
      <c r="S1091" s="3"/>
      <c r="T1091" s="3"/>
      <c r="U1091" s="5" t="str">
        <f t="shared" si="50"/>
        <v/>
      </c>
    </row>
    <row r="1092" spans="1:21" ht="28" customHeight="1" x14ac:dyDescent="0.35">
      <c r="A1092" s="4">
        <v>17</v>
      </c>
      <c r="B1092" s="4" t="s">
        <v>106</v>
      </c>
      <c r="C1092" s="4" t="s">
        <v>107</v>
      </c>
      <c r="D1092" s="4" t="s">
        <v>108</v>
      </c>
      <c r="E1092" s="4" t="s">
        <v>109</v>
      </c>
      <c r="F1092" s="4" t="s">
        <v>95</v>
      </c>
      <c r="G1092" s="4" t="s">
        <v>96</v>
      </c>
      <c r="H1092" s="4" t="s">
        <v>59</v>
      </c>
      <c r="I1092" s="3"/>
      <c r="J1092" s="3"/>
      <c r="K1092" s="3"/>
      <c r="L1092" s="3"/>
      <c r="M1092" s="3"/>
      <c r="N1092" s="3"/>
      <c r="O1092" s="3"/>
      <c r="P1092" s="8"/>
      <c r="Q1092" s="8"/>
      <c r="R1092" s="3"/>
      <c r="S1092" s="3"/>
      <c r="T1092" s="3"/>
      <c r="U1092" s="5" t="str">
        <f t="shared" si="50"/>
        <v/>
      </c>
    </row>
    <row r="1094" spans="1:21" ht="28" customHeight="1" x14ac:dyDescent="0.35">
      <c r="A1094" s="9" t="s">
        <v>110</v>
      </c>
      <c r="B1094" s="16"/>
      <c r="C1094" s="17"/>
      <c r="D1094" s="17"/>
      <c r="E1094" s="17"/>
      <c r="F1094" s="17"/>
      <c r="G1094" s="17"/>
      <c r="H1094" s="17"/>
      <c r="I1094" s="17"/>
      <c r="J1094" s="17"/>
      <c r="K1094" s="17"/>
      <c r="L1094" s="17"/>
      <c r="M1094" s="17"/>
      <c r="N1094" s="17"/>
      <c r="O1094" s="17"/>
      <c r="P1094" s="17"/>
      <c r="Q1094" s="17"/>
      <c r="R1094" s="17"/>
      <c r="S1094" s="17"/>
      <c r="T1094" s="17"/>
      <c r="U1094" s="18"/>
    </row>
    <row r="1095" spans="1:21" ht="28" customHeight="1" x14ac:dyDescent="0.35">
      <c r="A1095" s="19" t="s">
        <v>355</v>
      </c>
      <c r="B1095" s="20"/>
      <c r="C1095" s="20"/>
      <c r="D1095" s="20"/>
      <c r="E1095" s="20"/>
      <c r="F1095" s="20"/>
      <c r="G1095" s="20"/>
      <c r="H1095" s="20"/>
      <c r="I1095" s="20"/>
      <c r="J1095" s="20"/>
      <c r="K1095" s="20"/>
      <c r="L1095" s="20"/>
      <c r="M1095" s="20"/>
      <c r="N1095" s="20"/>
      <c r="O1095" s="20"/>
      <c r="P1095" s="20"/>
      <c r="Q1095" s="20"/>
      <c r="R1095" s="20"/>
      <c r="S1095" s="20"/>
      <c r="T1095" s="20"/>
      <c r="U1095" s="21"/>
    </row>
    <row r="1096" spans="1:21" ht="28" customHeight="1" x14ac:dyDescent="0.35">
      <c r="A1096" s="4" t="s">
        <v>31</v>
      </c>
      <c r="B1096" s="3" t="s">
        <v>264</v>
      </c>
      <c r="C1096" s="4" t="s">
        <v>32</v>
      </c>
      <c r="D1096" s="3"/>
      <c r="E1096" s="4" t="s">
        <v>33</v>
      </c>
      <c r="F1096" s="8"/>
    </row>
    <row r="1097" spans="1:21" ht="28" customHeight="1" x14ac:dyDescent="0.35">
      <c r="A1097" s="1" t="s">
        <v>34</v>
      </c>
      <c r="B1097" s="1" t="s">
        <v>35</v>
      </c>
      <c r="C1097" s="1" t="s">
        <v>36</v>
      </c>
      <c r="D1097" s="1" t="s">
        <v>37</v>
      </c>
      <c r="E1097" s="1" t="s">
        <v>38</v>
      </c>
      <c r="F1097" s="1" t="s">
        <v>39</v>
      </c>
      <c r="G1097" s="1" t="s">
        <v>40</v>
      </c>
      <c r="H1097" s="1" t="s">
        <v>41</v>
      </c>
      <c r="I1097" s="1" t="s">
        <v>42</v>
      </c>
      <c r="J1097" s="1" t="s">
        <v>43</v>
      </c>
      <c r="K1097" s="1" t="s">
        <v>44</v>
      </c>
      <c r="L1097" s="1" t="s">
        <v>45</v>
      </c>
      <c r="M1097" s="1" t="s">
        <v>46</v>
      </c>
      <c r="N1097" s="1" t="s">
        <v>47</v>
      </c>
      <c r="O1097" s="1" t="s">
        <v>48</v>
      </c>
      <c r="P1097" s="1" t="s">
        <v>4</v>
      </c>
      <c r="Q1097" s="1" t="s">
        <v>49</v>
      </c>
      <c r="R1097" s="1" t="s">
        <v>50</v>
      </c>
      <c r="S1097" s="1" t="s">
        <v>51</v>
      </c>
      <c r="T1097" s="1" t="s">
        <v>52</v>
      </c>
      <c r="U1097" s="1" t="s">
        <v>10</v>
      </c>
    </row>
    <row r="1098" spans="1:21" ht="28" customHeight="1" x14ac:dyDescent="0.35">
      <c r="A1098" s="4">
        <v>1</v>
      </c>
      <c r="B1098" s="4" t="s">
        <v>270</v>
      </c>
      <c r="C1098" s="4" t="s">
        <v>271</v>
      </c>
      <c r="D1098" s="4" t="s">
        <v>272</v>
      </c>
      <c r="E1098" s="4" t="s">
        <v>109</v>
      </c>
      <c r="F1098" s="4" t="s">
        <v>273</v>
      </c>
      <c r="G1098" s="4" t="s">
        <v>199</v>
      </c>
      <c r="H1098" s="4" t="s">
        <v>59</v>
      </c>
      <c r="I1098" s="3"/>
      <c r="J1098" s="3"/>
      <c r="K1098" s="3"/>
      <c r="L1098" s="3"/>
      <c r="M1098" s="3"/>
      <c r="N1098" s="3"/>
      <c r="O1098" s="3"/>
      <c r="P1098" s="8"/>
      <c r="Q1098" s="8"/>
      <c r="R1098" s="3"/>
      <c r="S1098" s="3"/>
      <c r="T1098" s="3"/>
      <c r="U1098" s="5" t="str">
        <f t="shared" ref="U1098:U1114" si="51">IF(I1098="","",IF(I1098="NA","Grey",IF(I1098=2,"Green",IF(I1098=1,"Amber","Red"))))</f>
        <v/>
      </c>
    </row>
    <row r="1099" spans="1:21" ht="28" customHeight="1" x14ac:dyDescent="0.35">
      <c r="A1099" s="4">
        <v>2</v>
      </c>
      <c r="B1099" s="4" t="s">
        <v>270</v>
      </c>
      <c r="C1099" s="4" t="s">
        <v>274</v>
      </c>
      <c r="D1099" s="4" t="s">
        <v>275</v>
      </c>
      <c r="E1099" s="4" t="s">
        <v>69</v>
      </c>
      <c r="F1099" s="4" t="s">
        <v>276</v>
      </c>
      <c r="G1099" s="4" t="s">
        <v>199</v>
      </c>
      <c r="H1099" s="4" t="s">
        <v>76</v>
      </c>
      <c r="I1099" s="3"/>
      <c r="J1099" s="3"/>
      <c r="K1099" s="3"/>
      <c r="L1099" s="3"/>
      <c r="M1099" s="3"/>
      <c r="N1099" s="3"/>
      <c r="O1099" s="3"/>
      <c r="P1099" s="8"/>
      <c r="Q1099" s="8"/>
      <c r="R1099" s="3"/>
      <c r="S1099" s="3"/>
      <c r="T1099" s="3"/>
      <c r="U1099" s="5" t="str">
        <f t="shared" si="51"/>
        <v/>
      </c>
    </row>
    <row r="1100" spans="1:21" ht="28" customHeight="1" x14ac:dyDescent="0.35">
      <c r="A1100" s="4">
        <v>3</v>
      </c>
      <c r="B1100" s="4" t="s">
        <v>270</v>
      </c>
      <c r="C1100" s="4" t="s">
        <v>277</v>
      </c>
      <c r="D1100" s="4" t="s">
        <v>278</v>
      </c>
      <c r="E1100" s="4" t="s">
        <v>279</v>
      </c>
      <c r="F1100" s="4" t="s">
        <v>280</v>
      </c>
      <c r="G1100" s="4" t="s">
        <v>209</v>
      </c>
      <c r="H1100" s="4" t="s">
        <v>76</v>
      </c>
      <c r="I1100" s="3"/>
      <c r="J1100" s="3"/>
      <c r="K1100" s="3"/>
      <c r="L1100" s="3"/>
      <c r="M1100" s="3"/>
      <c r="N1100" s="3"/>
      <c r="O1100" s="3"/>
      <c r="P1100" s="8"/>
      <c r="Q1100" s="8"/>
      <c r="R1100" s="3"/>
      <c r="S1100" s="3"/>
      <c r="T1100" s="3"/>
      <c r="U1100" s="5" t="str">
        <f t="shared" si="51"/>
        <v/>
      </c>
    </row>
    <row r="1101" spans="1:21" ht="28" customHeight="1" x14ac:dyDescent="0.35">
      <c r="A1101" s="4">
        <v>4</v>
      </c>
      <c r="B1101" s="4" t="s">
        <v>270</v>
      </c>
      <c r="C1101" s="4" t="s">
        <v>281</v>
      </c>
      <c r="D1101" s="4" t="s">
        <v>282</v>
      </c>
      <c r="E1101" s="4" t="s">
        <v>283</v>
      </c>
      <c r="F1101" s="4" t="s">
        <v>284</v>
      </c>
      <c r="G1101" s="4" t="s">
        <v>204</v>
      </c>
      <c r="H1101" s="4" t="s">
        <v>76</v>
      </c>
      <c r="I1101" s="3"/>
      <c r="J1101" s="3"/>
      <c r="K1101" s="3"/>
      <c r="L1101" s="3"/>
      <c r="M1101" s="3"/>
      <c r="N1101" s="3"/>
      <c r="O1101" s="3"/>
      <c r="P1101" s="8"/>
      <c r="Q1101" s="8"/>
      <c r="R1101" s="3"/>
      <c r="S1101" s="3"/>
      <c r="T1101" s="3"/>
      <c r="U1101" s="5" t="str">
        <f t="shared" si="51"/>
        <v/>
      </c>
    </row>
    <row r="1102" spans="1:21" ht="28" customHeight="1" x14ac:dyDescent="0.35">
      <c r="A1102" s="4">
        <v>5</v>
      </c>
      <c r="B1102" s="4" t="s">
        <v>285</v>
      </c>
      <c r="C1102" s="4" t="s">
        <v>286</v>
      </c>
      <c r="D1102" s="4" t="s">
        <v>287</v>
      </c>
      <c r="E1102" s="4" t="s">
        <v>69</v>
      </c>
      <c r="F1102" s="4" t="s">
        <v>276</v>
      </c>
      <c r="G1102" s="4" t="s">
        <v>199</v>
      </c>
      <c r="H1102" s="4" t="s">
        <v>76</v>
      </c>
      <c r="I1102" s="3"/>
      <c r="J1102" s="3"/>
      <c r="K1102" s="3"/>
      <c r="L1102" s="3"/>
      <c r="M1102" s="3"/>
      <c r="N1102" s="3"/>
      <c r="O1102" s="3"/>
      <c r="P1102" s="8"/>
      <c r="Q1102" s="8"/>
      <c r="R1102" s="3"/>
      <c r="S1102" s="3"/>
      <c r="T1102" s="3"/>
      <c r="U1102" s="5" t="str">
        <f t="shared" si="51"/>
        <v/>
      </c>
    </row>
    <row r="1103" spans="1:21" ht="28" customHeight="1" x14ac:dyDescent="0.35">
      <c r="A1103" s="4">
        <v>6</v>
      </c>
      <c r="B1103" s="4" t="s">
        <v>285</v>
      </c>
      <c r="C1103" s="4" t="s">
        <v>288</v>
      </c>
      <c r="D1103" s="4" t="s">
        <v>289</v>
      </c>
      <c r="E1103" s="4" t="s">
        <v>70</v>
      </c>
      <c r="F1103" s="4" t="s">
        <v>276</v>
      </c>
      <c r="G1103" s="4" t="s">
        <v>199</v>
      </c>
      <c r="H1103" s="4" t="s">
        <v>59</v>
      </c>
      <c r="I1103" s="3"/>
      <c r="J1103" s="3"/>
      <c r="K1103" s="3"/>
      <c r="L1103" s="3"/>
      <c r="M1103" s="3"/>
      <c r="N1103" s="3"/>
      <c r="O1103" s="3"/>
      <c r="P1103" s="8"/>
      <c r="Q1103" s="8"/>
      <c r="R1103" s="3"/>
      <c r="S1103" s="3"/>
      <c r="T1103" s="3"/>
      <c r="U1103" s="5" t="str">
        <f t="shared" si="51"/>
        <v/>
      </c>
    </row>
    <row r="1104" spans="1:21" ht="28" customHeight="1" x14ac:dyDescent="0.35">
      <c r="A1104" s="4">
        <v>7</v>
      </c>
      <c r="B1104" s="4" t="s">
        <v>290</v>
      </c>
      <c r="C1104" s="4" t="s">
        <v>291</v>
      </c>
      <c r="D1104" s="4" t="s">
        <v>292</v>
      </c>
      <c r="E1104" s="4" t="s">
        <v>109</v>
      </c>
      <c r="F1104" s="4" t="s">
        <v>284</v>
      </c>
      <c r="G1104" s="4" t="s">
        <v>204</v>
      </c>
      <c r="H1104" s="4" t="s">
        <v>59</v>
      </c>
      <c r="I1104" s="3"/>
      <c r="J1104" s="3"/>
      <c r="K1104" s="3"/>
      <c r="L1104" s="3"/>
      <c r="M1104" s="3"/>
      <c r="N1104" s="3"/>
      <c r="O1104" s="3"/>
      <c r="P1104" s="8"/>
      <c r="Q1104" s="8"/>
      <c r="R1104" s="3"/>
      <c r="S1104" s="3"/>
      <c r="T1104" s="3"/>
      <c r="U1104" s="5" t="str">
        <f t="shared" si="51"/>
        <v/>
      </c>
    </row>
    <row r="1105" spans="1:21" ht="28" customHeight="1" x14ac:dyDescent="0.35">
      <c r="A1105" s="4">
        <v>8</v>
      </c>
      <c r="B1105" s="4" t="s">
        <v>290</v>
      </c>
      <c r="C1105" s="4" t="s">
        <v>293</v>
      </c>
      <c r="D1105" s="4" t="s">
        <v>294</v>
      </c>
      <c r="E1105" s="4" t="s">
        <v>70</v>
      </c>
      <c r="F1105" s="4" t="s">
        <v>295</v>
      </c>
      <c r="G1105" s="4" t="s">
        <v>199</v>
      </c>
      <c r="H1105" s="4" t="s">
        <v>76</v>
      </c>
      <c r="I1105" s="3"/>
      <c r="J1105" s="3"/>
      <c r="K1105" s="3"/>
      <c r="L1105" s="3"/>
      <c r="M1105" s="3"/>
      <c r="N1105" s="3"/>
      <c r="O1105" s="3"/>
      <c r="P1105" s="8"/>
      <c r="Q1105" s="8"/>
      <c r="R1105" s="3"/>
      <c r="S1105" s="3"/>
      <c r="T1105" s="3"/>
      <c r="U1105" s="5" t="str">
        <f t="shared" si="51"/>
        <v/>
      </c>
    </row>
    <row r="1106" spans="1:21" ht="28" customHeight="1" x14ac:dyDescent="0.35">
      <c r="A1106" s="4">
        <v>9</v>
      </c>
      <c r="B1106" s="4" t="s">
        <v>296</v>
      </c>
      <c r="C1106" s="4" t="s">
        <v>297</v>
      </c>
      <c r="D1106" s="4" t="s">
        <v>70</v>
      </c>
      <c r="E1106" s="4" t="s">
        <v>70</v>
      </c>
      <c r="F1106" s="4" t="s">
        <v>295</v>
      </c>
      <c r="G1106" s="4" t="s">
        <v>199</v>
      </c>
      <c r="H1106" s="4" t="s">
        <v>76</v>
      </c>
      <c r="I1106" s="3"/>
      <c r="J1106" s="3"/>
      <c r="K1106" s="3"/>
      <c r="L1106" s="3"/>
      <c r="M1106" s="3"/>
      <c r="N1106" s="3"/>
      <c r="O1106" s="3"/>
      <c r="P1106" s="8"/>
      <c r="Q1106" s="8"/>
      <c r="R1106" s="3"/>
      <c r="S1106" s="3"/>
      <c r="T1106" s="3"/>
      <c r="U1106" s="5" t="str">
        <f t="shared" si="51"/>
        <v/>
      </c>
    </row>
    <row r="1107" spans="1:21" ht="28" customHeight="1" x14ac:dyDescent="0.35">
      <c r="A1107" s="4">
        <v>10</v>
      </c>
      <c r="B1107" s="4" t="s">
        <v>296</v>
      </c>
      <c r="C1107" s="4" t="s">
        <v>298</v>
      </c>
      <c r="D1107" s="4" t="s">
        <v>299</v>
      </c>
      <c r="E1107" s="4" t="s">
        <v>283</v>
      </c>
      <c r="F1107" s="4" t="s">
        <v>284</v>
      </c>
      <c r="G1107" s="4" t="s">
        <v>204</v>
      </c>
      <c r="H1107" s="4" t="s">
        <v>59</v>
      </c>
      <c r="I1107" s="3"/>
      <c r="J1107" s="3"/>
      <c r="K1107" s="3"/>
      <c r="L1107" s="3"/>
      <c r="M1107" s="3"/>
      <c r="N1107" s="3"/>
      <c r="O1107" s="3"/>
      <c r="P1107" s="8"/>
      <c r="Q1107" s="8"/>
      <c r="R1107" s="3"/>
      <c r="S1107" s="3"/>
      <c r="T1107" s="3"/>
      <c r="U1107" s="5" t="str">
        <f t="shared" si="51"/>
        <v/>
      </c>
    </row>
    <row r="1108" spans="1:21" ht="28" customHeight="1" x14ac:dyDescent="0.35">
      <c r="A1108" s="4">
        <v>11</v>
      </c>
      <c r="B1108" s="4" t="s">
        <v>300</v>
      </c>
      <c r="C1108" s="4" t="s">
        <v>301</v>
      </c>
      <c r="D1108" s="4" t="s">
        <v>302</v>
      </c>
      <c r="E1108" s="4" t="s">
        <v>56</v>
      </c>
      <c r="F1108" s="4" t="s">
        <v>276</v>
      </c>
      <c r="G1108" s="4" t="s">
        <v>199</v>
      </c>
      <c r="H1108" s="4" t="s">
        <v>76</v>
      </c>
      <c r="I1108" s="3"/>
      <c r="J1108" s="3"/>
      <c r="K1108" s="3"/>
      <c r="L1108" s="3"/>
      <c r="M1108" s="3"/>
      <c r="N1108" s="3"/>
      <c r="O1108" s="3"/>
      <c r="P1108" s="8"/>
      <c r="Q1108" s="8"/>
      <c r="R1108" s="3"/>
      <c r="S1108" s="3"/>
      <c r="T1108" s="3"/>
      <c r="U1108" s="5" t="str">
        <f t="shared" si="51"/>
        <v/>
      </c>
    </row>
    <row r="1109" spans="1:21" ht="28" customHeight="1" x14ac:dyDescent="0.35">
      <c r="A1109" s="4">
        <v>12</v>
      </c>
      <c r="B1109" s="4" t="s">
        <v>303</v>
      </c>
      <c r="C1109" s="4" t="s">
        <v>304</v>
      </c>
      <c r="D1109" s="4" t="s">
        <v>305</v>
      </c>
      <c r="E1109" s="4" t="s">
        <v>283</v>
      </c>
      <c r="F1109" s="4" t="s">
        <v>276</v>
      </c>
      <c r="G1109" s="4" t="s">
        <v>199</v>
      </c>
      <c r="H1109" s="4" t="s">
        <v>76</v>
      </c>
      <c r="I1109" s="3"/>
      <c r="J1109" s="3"/>
      <c r="K1109" s="3"/>
      <c r="L1109" s="3"/>
      <c r="M1109" s="3"/>
      <c r="N1109" s="3"/>
      <c r="O1109" s="3"/>
      <c r="P1109" s="8"/>
      <c r="Q1109" s="8"/>
      <c r="R1109" s="3"/>
      <c r="S1109" s="3"/>
      <c r="T1109" s="3"/>
      <c r="U1109" s="5" t="str">
        <f t="shared" si="51"/>
        <v/>
      </c>
    </row>
    <row r="1110" spans="1:21" ht="28" customHeight="1" x14ac:dyDescent="0.35">
      <c r="A1110" s="4">
        <v>13</v>
      </c>
      <c r="B1110" s="4" t="s">
        <v>306</v>
      </c>
      <c r="C1110" s="4" t="s">
        <v>307</v>
      </c>
      <c r="D1110" s="4" t="s">
        <v>308</v>
      </c>
      <c r="E1110" s="4" t="s">
        <v>69</v>
      </c>
      <c r="F1110" s="4" t="s">
        <v>273</v>
      </c>
      <c r="G1110" s="4" t="s">
        <v>96</v>
      </c>
      <c r="H1110" s="4" t="s">
        <v>59</v>
      </c>
      <c r="I1110" s="3"/>
      <c r="J1110" s="3"/>
      <c r="K1110" s="3"/>
      <c r="L1110" s="3"/>
      <c r="M1110" s="3"/>
      <c r="N1110" s="3"/>
      <c r="O1110" s="3"/>
      <c r="P1110" s="8"/>
      <c r="Q1110" s="8"/>
      <c r="R1110" s="3"/>
      <c r="S1110" s="3"/>
      <c r="T1110" s="3"/>
      <c r="U1110" s="5" t="str">
        <f t="shared" si="51"/>
        <v/>
      </c>
    </row>
    <row r="1111" spans="1:21" ht="28" customHeight="1" x14ac:dyDescent="0.35">
      <c r="A1111" s="4">
        <v>14</v>
      </c>
      <c r="B1111" s="4" t="s">
        <v>97</v>
      </c>
      <c r="C1111" s="4" t="s">
        <v>98</v>
      </c>
      <c r="D1111" s="4" t="s">
        <v>99</v>
      </c>
      <c r="E1111" s="4" t="s">
        <v>69</v>
      </c>
      <c r="F1111" s="4" t="s">
        <v>95</v>
      </c>
      <c r="G1111" s="4" t="s">
        <v>96</v>
      </c>
      <c r="H1111" s="4" t="s">
        <v>59</v>
      </c>
      <c r="I1111" s="3"/>
      <c r="J1111" s="3"/>
      <c r="K1111" s="3"/>
      <c r="L1111" s="3"/>
      <c r="M1111" s="3"/>
      <c r="N1111" s="3"/>
      <c r="O1111" s="3"/>
      <c r="P1111" s="8"/>
      <c r="Q1111" s="8"/>
      <c r="R1111" s="3"/>
      <c r="S1111" s="3"/>
      <c r="T1111" s="3"/>
      <c r="U1111" s="5" t="str">
        <f t="shared" si="51"/>
        <v/>
      </c>
    </row>
    <row r="1112" spans="1:21" ht="28" customHeight="1" x14ac:dyDescent="0.35">
      <c r="A1112" s="4">
        <v>15</v>
      </c>
      <c r="B1112" s="4" t="s">
        <v>97</v>
      </c>
      <c r="C1112" s="4" t="s">
        <v>100</v>
      </c>
      <c r="D1112" s="4" t="s">
        <v>101</v>
      </c>
      <c r="E1112" s="4" t="s">
        <v>69</v>
      </c>
      <c r="F1112" s="4" t="s">
        <v>95</v>
      </c>
      <c r="G1112" s="4" t="s">
        <v>102</v>
      </c>
      <c r="H1112" s="4" t="s">
        <v>59</v>
      </c>
      <c r="I1112" s="3"/>
      <c r="J1112" s="3"/>
      <c r="K1112" s="3"/>
      <c r="L1112" s="3"/>
      <c r="M1112" s="3"/>
      <c r="N1112" s="3"/>
      <c r="O1112" s="3"/>
      <c r="P1112" s="8"/>
      <c r="Q1112" s="8"/>
      <c r="R1112" s="3"/>
      <c r="S1112" s="3"/>
      <c r="T1112" s="3"/>
      <c r="U1112" s="5" t="str">
        <f t="shared" si="51"/>
        <v/>
      </c>
    </row>
    <row r="1113" spans="1:21" ht="28" customHeight="1" x14ac:dyDescent="0.35">
      <c r="A1113" s="4">
        <v>16</v>
      </c>
      <c r="B1113" s="4" t="s">
        <v>103</v>
      </c>
      <c r="C1113" s="4" t="s">
        <v>104</v>
      </c>
      <c r="D1113" s="4" t="s">
        <v>105</v>
      </c>
      <c r="E1113" s="4" t="s">
        <v>69</v>
      </c>
      <c r="F1113" s="4" t="s">
        <v>95</v>
      </c>
      <c r="G1113" s="4" t="s">
        <v>96</v>
      </c>
      <c r="H1113" s="4" t="s">
        <v>85</v>
      </c>
      <c r="I1113" s="3"/>
      <c r="J1113" s="3"/>
      <c r="K1113" s="3"/>
      <c r="L1113" s="3"/>
      <c r="M1113" s="3"/>
      <c r="N1113" s="3"/>
      <c r="O1113" s="3"/>
      <c r="P1113" s="8"/>
      <c r="Q1113" s="8"/>
      <c r="R1113" s="3"/>
      <c r="S1113" s="3"/>
      <c r="T1113" s="3"/>
      <c r="U1113" s="5" t="str">
        <f t="shared" si="51"/>
        <v/>
      </c>
    </row>
    <row r="1114" spans="1:21" ht="28" customHeight="1" x14ac:dyDescent="0.35">
      <c r="A1114" s="4">
        <v>17</v>
      </c>
      <c r="B1114" s="4" t="s">
        <v>106</v>
      </c>
      <c r="C1114" s="4" t="s">
        <v>107</v>
      </c>
      <c r="D1114" s="4" t="s">
        <v>108</v>
      </c>
      <c r="E1114" s="4" t="s">
        <v>109</v>
      </c>
      <c r="F1114" s="4" t="s">
        <v>95</v>
      </c>
      <c r="G1114" s="4" t="s">
        <v>96</v>
      </c>
      <c r="H1114" s="4" t="s">
        <v>59</v>
      </c>
      <c r="I1114" s="3"/>
      <c r="J1114" s="3"/>
      <c r="K1114" s="3"/>
      <c r="L1114" s="3"/>
      <c r="M1114" s="3"/>
      <c r="N1114" s="3"/>
      <c r="O1114" s="3"/>
      <c r="P1114" s="8"/>
      <c r="Q1114" s="8"/>
      <c r="R1114" s="3"/>
      <c r="S1114" s="3"/>
      <c r="T1114" s="3"/>
      <c r="U1114" s="5" t="str">
        <f t="shared" si="51"/>
        <v/>
      </c>
    </row>
    <row r="1116" spans="1:21" ht="28" customHeight="1" x14ac:dyDescent="0.35">
      <c r="A1116" s="9" t="s">
        <v>110</v>
      </c>
      <c r="B1116" s="16"/>
      <c r="C1116" s="17"/>
      <c r="D1116" s="17"/>
      <c r="E1116" s="17"/>
      <c r="F1116" s="17"/>
      <c r="G1116" s="17"/>
      <c r="H1116" s="17"/>
      <c r="I1116" s="17"/>
      <c r="J1116" s="17"/>
      <c r="K1116" s="17"/>
      <c r="L1116" s="17"/>
      <c r="M1116" s="17"/>
      <c r="N1116" s="17"/>
      <c r="O1116" s="17"/>
      <c r="P1116" s="17"/>
      <c r="Q1116" s="17"/>
      <c r="R1116" s="17"/>
      <c r="S1116" s="17"/>
      <c r="T1116" s="17"/>
      <c r="U1116" s="18"/>
    </row>
    <row r="1117" spans="1:21" ht="28" customHeight="1" x14ac:dyDescent="0.35">
      <c r="A1117" s="19" t="s">
        <v>356</v>
      </c>
      <c r="B1117" s="20"/>
      <c r="C1117" s="20"/>
      <c r="D1117" s="20"/>
      <c r="E1117" s="20"/>
      <c r="F1117" s="20"/>
      <c r="G1117" s="20"/>
      <c r="H1117" s="20"/>
      <c r="I1117" s="20"/>
      <c r="J1117" s="20"/>
      <c r="K1117" s="20"/>
      <c r="L1117" s="20"/>
      <c r="M1117" s="20"/>
      <c r="N1117" s="20"/>
      <c r="O1117" s="20"/>
      <c r="P1117" s="20"/>
      <c r="Q1117" s="20"/>
      <c r="R1117" s="20"/>
      <c r="S1117" s="20"/>
      <c r="T1117" s="20"/>
      <c r="U1117" s="21"/>
    </row>
    <row r="1118" spans="1:21" ht="28" customHeight="1" x14ac:dyDescent="0.35">
      <c r="A1118" s="4" t="s">
        <v>31</v>
      </c>
      <c r="B1118" s="3" t="s">
        <v>265</v>
      </c>
      <c r="C1118" s="4" t="s">
        <v>32</v>
      </c>
      <c r="D1118" s="3"/>
      <c r="E1118" s="4" t="s">
        <v>33</v>
      </c>
      <c r="F1118" s="8"/>
    </row>
    <row r="1119" spans="1:21" ht="28" customHeight="1" x14ac:dyDescent="0.35">
      <c r="A1119" s="1" t="s">
        <v>34</v>
      </c>
      <c r="B1119" s="1" t="s">
        <v>35</v>
      </c>
      <c r="C1119" s="1" t="s">
        <v>36</v>
      </c>
      <c r="D1119" s="1" t="s">
        <v>37</v>
      </c>
      <c r="E1119" s="1" t="s">
        <v>38</v>
      </c>
      <c r="F1119" s="1" t="s">
        <v>39</v>
      </c>
      <c r="G1119" s="1" t="s">
        <v>40</v>
      </c>
      <c r="H1119" s="1" t="s">
        <v>41</v>
      </c>
      <c r="I1119" s="1" t="s">
        <v>42</v>
      </c>
      <c r="J1119" s="1" t="s">
        <v>43</v>
      </c>
      <c r="K1119" s="1" t="s">
        <v>44</v>
      </c>
      <c r="L1119" s="1" t="s">
        <v>45</v>
      </c>
      <c r="M1119" s="1" t="s">
        <v>46</v>
      </c>
      <c r="N1119" s="1" t="s">
        <v>47</v>
      </c>
      <c r="O1119" s="1" t="s">
        <v>48</v>
      </c>
      <c r="P1119" s="1" t="s">
        <v>4</v>
      </c>
      <c r="Q1119" s="1" t="s">
        <v>49</v>
      </c>
      <c r="R1119" s="1" t="s">
        <v>50</v>
      </c>
      <c r="S1119" s="1" t="s">
        <v>51</v>
      </c>
      <c r="T1119" s="1" t="s">
        <v>52</v>
      </c>
      <c r="U1119" s="1" t="s">
        <v>10</v>
      </c>
    </row>
    <row r="1120" spans="1:21" ht="28" customHeight="1" x14ac:dyDescent="0.35">
      <c r="A1120" s="4">
        <v>1</v>
      </c>
      <c r="B1120" s="4" t="s">
        <v>270</v>
      </c>
      <c r="C1120" s="4" t="s">
        <v>271</v>
      </c>
      <c r="D1120" s="4" t="s">
        <v>272</v>
      </c>
      <c r="E1120" s="4" t="s">
        <v>109</v>
      </c>
      <c r="F1120" s="4" t="s">
        <v>273</v>
      </c>
      <c r="G1120" s="4" t="s">
        <v>199</v>
      </c>
      <c r="H1120" s="4" t="s">
        <v>59</v>
      </c>
      <c r="I1120" s="3"/>
      <c r="J1120" s="3"/>
      <c r="K1120" s="3"/>
      <c r="L1120" s="3"/>
      <c r="M1120" s="3"/>
      <c r="N1120" s="3"/>
      <c r="O1120" s="3"/>
      <c r="P1120" s="8"/>
      <c r="Q1120" s="8"/>
      <c r="R1120" s="3"/>
      <c r="S1120" s="3"/>
      <c r="T1120" s="3"/>
      <c r="U1120" s="5" t="str">
        <f t="shared" ref="U1120:U1136" si="52">IF(I1120="","",IF(I1120="NA","Grey",IF(I1120=2,"Green",IF(I1120=1,"Amber","Red"))))</f>
        <v/>
      </c>
    </row>
    <row r="1121" spans="1:21" ht="28" customHeight="1" x14ac:dyDescent="0.35">
      <c r="A1121" s="4">
        <v>2</v>
      </c>
      <c r="B1121" s="4" t="s">
        <v>270</v>
      </c>
      <c r="C1121" s="4" t="s">
        <v>274</v>
      </c>
      <c r="D1121" s="4" t="s">
        <v>275</v>
      </c>
      <c r="E1121" s="4" t="s">
        <v>69</v>
      </c>
      <c r="F1121" s="4" t="s">
        <v>276</v>
      </c>
      <c r="G1121" s="4" t="s">
        <v>199</v>
      </c>
      <c r="H1121" s="4" t="s">
        <v>76</v>
      </c>
      <c r="I1121" s="3"/>
      <c r="J1121" s="3"/>
      <c r="K1121" s="3"/>
      <c r="L1121" s="3"/>
      <c r="M1121" s="3"/>
      <c r="N1121" s="3"/>
      <c r="O1121" s="3"/>
      <c r="P1121" s="8"/>
      <c r="Q1121" s="8"/>
      <c r="R1121" s="3"/>
      <c r="S1121" s="3"/>
      <c r="T1121" s="3"/>
      <c r="U1121" s="5" t="str">
        <f t="shared" si="52"/>
        <v/>
      </c>
    </row>
    <row r="1122" spans="1:21" ht="28" customHeight="1" x14ac:dyDescent="0.35">
      <c r="A1122" s="4">
        <v>3</v>
      </c>
      <c r="B1122" s="4" t="s">
        <v>270</v>
      </c>
      <c r="C1122" s="4" t="s">
        <v>277</v>
      </c>
      <c r="D1122" s="4" t="s">
        <v>278</v>
      </c>
      <c r="E1122" s="4" t="s">
        <v>279</v>
      </c>
      <c r="F1122" s="4" t="s">
        <v>280</v>
      </c>
      <c r="G1122" s="4" t="s">
        <v>209</v>
      </c>
      <c r="H1122" s="4" t="s">
        <v>76</v>
      </c>
      <c r="I1122" s="3"/>
      <c r="J1122" s="3"/>
      <c r="K1122" s="3"/>
      <c r="L1122" s="3"/>
      <c r="M1122" s="3"/>
      <c r="N1122" s="3"/>
      <c r="O1122" s="3"/>
      <c r="P1122" s="8"/>
      <c r="Q1122" s="8"/>
      <c r="R1122" s="3"/>
      <c r="S1122" s="3"/>
      <c r="T1122" s="3"/>
      <c r="U1122" s="5" t="str">
        <f t="shared" si="52"/>
        <v/>
      </c>
    </row>
    <row r="1123" spans="1:21" ht="28" customHeight="1" x14ac:dyDescent="0.35">
      <c r="A1123" s="4">
        <v>4</v>
      </c>
      <c r="B1123" s="4" t="s">
        <v>270</v>
      </c>
      <c r="C1123" s="4" t="s">
        <v>281</v>
      </c>
      <c r="D1123" s="4" t="s">
        <v>282</v>
      </c>
      <c r="E1123" s="4" t="s">
        <v>283</v>
      </c>
      <c r="F1123" s="4" t="s">
        <v>284</v>
      </c>
      <c r="G1123" s="4" t="s">
        <v>204</v>
      </c>
      <c r="H1123" s="4" t="s">
        <v>76</v>
      </c>
      <c r="I1123" s="3"/>
      <c r="J1123" s="3"/>
      <c r="K1123" s="3"/>
      <c r="L1123" s="3"/>
      <c r="M1123" s="3"/>
      <c r="N1123" s="3"/>
      <c r="O1123" s="3"/>
      <c r="P1123" s="8"/>
      <c r="Q1123" s="8"/>
      <c r="R1123" s="3"/>
      <c r="S1123" s="3"/>
      <c r="T1123" s="3"/>
      <c r="U1123" s="5" t="str">
        <f t="shared" si="52"/>
        <v/>
      </c>
    </row>
    <row r="1124" spans="1:21" ht="28" customHeight="1" x14ac:dyDescent="0.35">
      <c r="A1124" s="4">
        <v>5</v>
      </c>
      <c r="B1124" s="4" t="s">
        <v>285</v>
      </c>
      <c r="C1124" s="4" t="s">
        <v>286</v>
      </c>
      <c r="D1124" s="4" t="s">
        <v>287</v>
      </c>
      <c r="E1124" s="4" t="s">
        <v>69</v>
      </c>
      <c r="F1124" s="4" t="s">
        <v>276</v>
      </c>
      <c r="G1124" s="4" t="s">
        <v>199</v>
      </c>
      <c r="H1124" s="4" t="s">
        <v>76</v>
      </c>
      <c r="I1124" s="3"/>
      <c r="J1124" s="3"/>
      <c r="K1124" s="3"/>
      <c r="L1124" s="3"/>
      <c r="M1124" s="3"/>
      <c r="N1124" s="3"/>
      <c r="O1124" s="3"/>
      <c r="P1124" s="8"/>
      <c r="Q1124" s="8"/>
      <c r="R1124" s="3"/>
      <c r="S1124" s="3"/>
      <c r="T1124" s="3"/>
      <c r="U1124" s="5" t="str">
        <f t="shared" si="52"/>
        <v/>
      </c>
    </row>
    <row r="1125" spans="1:21" ht="28" customHeight="1" x14ac:dyDescent="0.35">
      <c r="A1125" s="4">
        <v>6</v>
      </c>
      <c r="B1125" s="4" t="s">
        <v>285</v>
      </c>
      <c r="C1125" s="4" t="s">
        <v>288</v>
      </c>
      <c r="D1125" s="4" t="s">
        <v>289</v>
      </c>
      <c r="E1125" s="4" t="s">
        <v>70</v>
      </c>
      <c r="F1125" s="4" t="s">
        <v>276</v>
      </c>
      <c r="G1125" s="4" t="s">
        <v>199</v>
      </c>
      <c r="H1125" s="4" t="s">
        <v>59</v>
      </c>
      <c r="I1125" s="3"/>
      <c r="J1125" s="3"/>
      <c r="K1125" s="3"/>
      <c r="L1125" s="3"/>
      <c r="M1125" s="3"/>
      <c r="N1125" s="3"/>
      <c r="O1125" s="3"/>
      <c r="P1125" s="8"/>
      <c r="Q1125" s="8"/>
      <c r="R1125" s="3"/>
      <c r="S1125" s="3"/>
      <c r="T1125" s="3"/>
      <c r="U1125" s="5" t="str">
        <f t="shared" si="52"/>
        <v/>
      </c>
    </row>
    <row r="1126" spans="1:21" ht="28" customHeight="1" x14ac:dyDescent="0.35">
      <c r="A1126" s="4">
        <v>7</v>
      </c>
      <c r="B1126" s="4" t="s">
        <v>290</v>
      </c>
      <c r="C1126" s="4" t="s">
        <v>291</v>
      </c>
      <c r="D1126" s="4" t="s">
        <v>292</v>
      </c>
      <c r="E1126" s="4" t="s">
        <v>109</v>
      </c>
      <c r="F1126" s="4" t="s">
        <v>284</v>
      </c>
      <c r="G1126" s="4" t="s">
        <v>204</v>
      </c>
      <c r="H1126" s="4" t="s">
        <v>59</v>
      </c>
      <c r="I1126" s="3"/>
      <c r="J1126" s="3"/>
      <c r="K1126" s="3"/>
      <c r="L1126" s="3"/>
      <c r="M1126" s="3"/>
      <c r="N1126" s="3"/>
      <c r="O1126" s="3"/>
      <c r="P1126" s="8"/>
      <c r="Q1126" s="8"/>
      <c r="R1126" s="3"/>
      <c r="S1126" s="3"/>
      <c r="T1126" s="3"/>
      <c r="U1126" s="5" t="str">
        <f t="shared" si="52"/>
        <v/>
      </c>
    </row>
    <row r="1127" spans="1:21" ht="28" customHeight="1" x14ac:dyDescent="0.35">
      <c r="A1127" s="4">
        <v>8</v>
      </c>
      <c r="B1127" s="4" t="s">
        <v>290</v>
      </c>
      <c r="C1127" s="4" t="s">
        <v>293</v>
      </c>
      <c r="D1127" s="4" t="s">
        <v>294</v>
      </c>
      <c r="E1127" s="4" t="s">
        <v>70</v>
      </c>
      <c r="F1127" s="4" t="s">
        <v>295</v>
      </c>
      <c r="G1127" s="4" t="s">
        <v>199</v>
      </c>
      <c r="H1127" s="4" t="s">
        <v>76</v>
      </c>
      <c r="I1127" s="3"/>
      <c r="J1127" s="3"/>
      <c r="K1127" s="3"/>
      <c r="L1127" s="3"/>
      <c r="M1127" s="3"/>
      <c r="N1127" s="3"/>
      <c r="O1127" s="3"/>
      <c r="P1127" s="8"/>
      <c r="Q1127" s="8"/>
      <c r="R1127" s="3"/>
      <c r="S1127" s="3"/>
      <c r="T1127" s="3"/>
      <c r="U1127" s="5" t="str">
        <f t="shared" si="52"/>
        <v/>
      </c>
    </row>
    <row r="1128" spans="1:21" ht="28" customHeight="1" x14ac:dyDescent="0.35">
      <c r="A1128" s="4">
        <v>9</v>
      </c>
      <c r="B1128" s="4" t="s">
        <v>296</v>
      </c>
      <c r="C1128" s="4" t="s">
        <v>297</v>
      </c>
      <c r="D1128" s="4" t="s">
        <v>70</v>
      </c>
      <c r="E1128" s="4" t="s">
        <v>70</v>
      </c>
      <c r="F1128" s="4" t="s">
        <v>295</v>
      </c>
      <c r="G1128" s="4" t="s">
        <v>199</v>
      </c>
      <c r="H1128" s="4" t="s">
        <v>76</v>
      </c>
      <c r="I1128" s="3"/>
      <c r="J1128" s="3"/>
      <c r="K1128" s="3"/>
      <c r="L1128" s="3"/>
      <c r="M1128" s="3"/>
      <c r="N1128" s="3"/>
      <c r="O1128" s="3"/>
      <c r="P1128" s="8"/>
      <c r="Q1128" s="8"/>
      <c r="R1128" s="3"/>
      <c r="S1128" s="3"/>
      <c r="T1128" s="3"/>
      <c r="U1128" s="5" t="str">
        <f t="shared" si="52"/>
        <v/>
      </c>
    </row>
    <row r="1129" spans="1:21" ht="28" customHeight="1" x14ac:dyDescent="0.35">
      <c r="A1129" s="4">
        <v>10</v>
      </c>
      <c r="B1129" s="4" t="s">
        <v>296</v>
      </c>
      <c r="C1129" s="4" t="s">
        <v>298</v>
      </c>
      <c r="D1129" s="4" t="s">
        <v>299</v>
      </c>
      <c r="E1129" s="4" t="s">
        <v>283</v>
      </c>
      <c r="F1129" s="4" t="s">
        <v>284</v>
      </c>
      <c r="G1129" s="4" t="s">
        <v>204</v>
      </c>
      <c r="H1129" s="4" t="s">
        <v>59</v>
      </c>
      <c r="I1129" s="3"/>
      <c r="J1129" s="3"/>
      <c r="K1129" s="3"/>
      <c r="L1129" s="3"/>
      <c r="M1129" s="3"/>
      <c r="N1129" s="3"/>
      <c r="O1129" s="3"/>
      <c r="P1129" s="8"/>
      <c r="Q1129" s="8"/>
      <c r="R1129" s="3"/>
      <c r="S1129" s="3"/>
      <c r="T1129" s="3"/>
      <c r="U1129" s="5" t="str">
        <f t="shared" si="52"/>
        <v/>
      </c>
    </row>
    <row r="1130" spans="1:21" ht="28" customHeight="1" x14ac:dyDescent="0.35">
      <c r="A1130" s="4">
        <v>11</v>
      </c>
      <c r="B1130" s="4" t="s">
        <v>300</v>
      </c>
      <c r="C1130" s="4" t="s">
        <v>301</v>
      </c>
      <c r="D1130" s="4" t="s">
        <v>302</v>
      </c>
      <c r="E1130" s="4" t="s">
        <v>56</v>
      </c>
      <c r="F1130" s="4" t="s">
        <v>276</v>
      </c>
      <c r="G1130" s="4" t="s">
        <v>199</v>
      </c>
      <c r="H1130" s="4" t="s">
        <v>76</v>
      </c>
      <c r="I1130" s="3"/>
      <c r="J1130" s="3"/>
      <c r="K1130" s="3"/>
      <c r="L1130" s="3"/>
      <c r="M1130" s="3"/>
      <c r="N1130" s="3"/>
      <c r="O1130" s="3"/>
      <c r="P1130" s="8"/>
      <c r="Q1130" s="8"/>
      <c r="R1130" s="3"/>
      <c r="S1130" s="3"/>
      <c r="T1130" s="3"/>
      <c r="U1130" s="5" t="str">
        <f t="shared" si="52"/>
        <v/>
      </c>
    </row>
    <row r="1131" spans="1:21" ht="28" customHeight="1" x14ac:dyDescent="0.35">
      <c r="A1131" s="4">
        <v>12</v>
      </c>
      <c r="B1131" s="4" t="s">
        <v>303</v>
      </c>
      <c r="C1131" s="4" t="s">
        <v>304</v>
      </c>
      <c r="D1131" s="4" t="s">
        <v>305</v>
      </c>
      <c r="E1131" s="4" t="s">
        <v>283</v>
      </c>
      <c r="F1131" s="4" t="s">
        <v>276</v>
      </c>
      <c r="G1131" s="4" t="s">
        <v>199</v>
      </c>
      <c r="H1131" s="4" t="s">
        <v>76</v>
      </c>
      <c r="I1131" s="3"/>
      <c r="J1131" s="3"/>
      <c r="K1131" s="3"/>
      <c r="L1131" s="3"/>
      <c r="M1131" s="3"/>
      <c r="N1131" s="3"/>
      <c r="O1131" s="3"/>
      <c r="P1131" s="8"/>
      <c r="Q1131" s="8"/>
      <c r="R1131" s="3"/>
      <c r="S1131" s="3"/>
      <c r="T1131" s="3"/>
      <c r="U1131" s="5" t="str">
        <f t="shared" si="52"/>
        <v/>
      </c>
    </row>
    <row r="1132" spans="1:21" ht="28" customHeight="1" x14ac:dyDescent="0.35">
      <c r="A1132" s="4">
        <v>13</v>
      </c>
      <c r="B1132" s="4" t="s">
        <v>306</v>
      </c>
      <c r="C1132" s="4" t="s">
        <v>307</v>
      </c>
      <c r="D1132" s="4" t="s">
        <v>308</v>
      </c>
      <c r="E1132" s="4" t="s">
        <v>69</v>
      </c>
      <c r="F1132" s="4" t="s">
        <v>273</v>
      </c>
      <c r="G1132" s="4" t="s">
        <v>96</v>
      </c>
      <c r="H1132" s="4" t="s">
        <v>59</v>
      </c>
      <c r="I1132" s="3"/>
      <c r="J1132" s="3"/>
      <c r="K1132" s="3"/>
      <c r="L1132" s="3"/>
      <c r="M1132" s="3"/>
      <c r="N1132" s="3"/>
      <c r="O1132" s="3"/>
      <c r="P1132" s="8"/>
      <c r="Q1132" s="8"/>
      <c r="R1132" s="3"/>
      <c r="S1132" s="3"/>
      <c r="T1132" s="3"/>
      <c r="U1132" s="5" t="str">
        <f t="shared" si="52"/>
        <v/>
      </c>
    </row>
    <row r="1133" spans="1:21" ht="28" customHeight="1" x14ac:dyDescent="0.35">
      <c r="A1133" s="4">
        <v>14</v>
      </c>
      <c r="B1133" s="4" t="s">
        <v>97</v>
      </c>
      <c r="C1133" s="4" t="s">
        <v>98</v>
      </c>
      <c r="D1133" s="4" t="s">
        <v>99</v>
      </c>
      <c r="E1133" s="4" t="s">
        <v>69</v>
      </c>
      <c r="F1133" s="4" t="s">
        <v>95</v>
      </c>
      <c r="G1133" s="4" t="s">
        <v>96</v>
      </c>
      <c r="H1133" s="4" t="s">
        <v>59</v>
      </c>
      <c r="I1133" s="3"/>
      <c r="J1133" s="3"/>
      <c r="K1133" s="3"/>
      <c r="L1133" s="3"/>
      <c r="M1133" s="3"/>
      <c r="N1133" s="3"/>
      <c r="O1133" s="3"/>
      <c r="P1133" s="8"/>
      <c r="Q1133" s="8"/>
      <c r="R1133" s="3"/>
      <c r="S1133" s="3"/>
      <c r="T1133" s="3"/>
      <c r="U1133" s="5" t="str">
        <f t="shared" si="52"/>
        <v/>
      </c>
    </row>
    <row r="1134" spans="1:21" ht="28" customHeight="1" x14ac:dyDescent="0.35">
      <c r="A1134" s="4">
        <v>15</v>
      </c>
      <c r="B1134" s="4" t="s">
        <v>97</v>
      </c>
      <c r="C1134" s="4" t="s">
        <v>100</v>
      </c>
      <c r="D1134" s="4" t="s">
        <v>101</v>
      </c>
      <c r="E1134" s="4" t="s">
        <v>69</v>
      </c>
      <c r="F1134" s="4" t="s">
        <v>95</v>
      </c>
      <c r="G1134" s="4" t="s">
        <v>102</v>
      </c>
      <c r="H1134" s="4" t="s">
        <v>59</v>
      </c>
      <c r="I1134" s="3"/>
      <c r="J1134" s="3"/>
      <c r="K1134" s="3"/>
      <c r="L1134" s="3"/>
      <c r="M1134" s="3"/>
      <c r="N1134" s="3"/>
      <c r="O1134" s="3"/>
      <c r="P1134" s="8"/>
      <c r="Q1134" s="8"/>
      <c r="R1134" s="3"/>
      <c r="S1134" s="3"/>
      <c r="T1134" s="3"/>
      <c r="U1134" s="5" t="str">
        <f t="shared" si="52"/>
        <v/>
      </c>
    </row>
    <row r="1135" spans="1:21" ht="28" customHeight="1" x14ac:dyDescent="0.35">
      <c r="A1135" s="4">
        <v>16</v>
      </c>
      <c r="B1135" s="4" t="s">
        <v>103</v>
      </c>
      <c r="C1135" s="4" t="s">
        <v>104</v>
      </c>
      <c r="D1135" s="4" t="s">
        <v>105</v>
      </c>
      <c r="E1135" s="4" t="s">
        <v>69</v>
      </c>
      <c r="F1135" s="4" t="s">
        <v>95</v>
      </c>
      <c r="G1135" s="4" t="s">
        <v>96</v>
      </c>
      <c r="H1135" s="4" t="s">
        <v>85</v>
      </c>
      <c r="I1135" s="3"/>
      <c r="J1135" s="3"/>
      <c r="K1135" s="3"/>
      <c r="L1135" s="3"/>
      <c r="M1135" s="3"/>
      <c r="N1135" s="3"/>
      <c r="O1135" s="3"/>
      <c r="P1135" s="8"/>
      <c r="Q1135" s="8"/>
      <c r="R1135" s="3"/>
      <c r="S1135" s="3"/>
      <c r="T1135" s="3"/>
      <c r="U1135" s="5" t="str">
        <f t="shared" si="52"/>
        <v/>
      </c>
    </row>
    <row r="1136" spans="1:21" ht="28" customHeight="1" x14ac:dyDescent="0.35">
      <c r="A1136" s="4">
        <v>17</v>
      </c>
      <c r="B1136" s="4" t="s">
        <v>106</v>
      </c>
      <c r="C1136" s="4" t="s">
        <v>107</v>
      </c>
      <c r="D1136" s="4" t="s">
        <v>108</v>
      </c>
      <c r="E1136" s="4" t="s">
        <v>109</v>
      </c>
      <c r="F1136" s="4" t="s">
        <v>95</v>
      </c>
      <c r="G1136" s="4" t="s">
        <v>96</v>
      </c>
      <c r="H1136" s="4" t="s">
        <v>59</v>
      </c>
      <c r="I1136" s="3"/>
      <c r="J1136" s="3"/>
      <c r="K1136" s="3"/>
      <c r="L1136" s="3"/>
      <c r="M1136" s="3"/>
      <c r="N1136" s="3"/>
      <c r="O1136" s="3"/>
      <c r="P1136" s="8"/>
      <c r="Q1136" s="8"/>
      <c r="R1136" s="3"/>
      <c r="S1136" s="3"/>
      <c r="T1136" s="3"/>
      <c r="U1136" s="5" t="str">
        <f t="shared" si="52"/>
        <v/>
      </c>
    </row>
    <row r="1138" spans="1:21" ht="28" customHeight="1" x14ac:dyDescent="0.35">
      <c r="A1138" s="9" t="s">
        <v>110</v>
      </c>
      <c r="B1138" s="16"/>
      <c r="C1138" s="17"/>
      <c r="D1138" s="17"/>
      <c r="E1138" s="17"/>
      <c r="F1138" s="17"/>
      <c r="G1138" s="17"/>
      <c r="H1138" s="17"/>
      <c r="I1138" s="17"/>
      <c r="J1138" s="17"/>
      <c r="K1138" s="17"/>
      <c r="L1138" s="17"/>
      <c r="M1138" s="17"/>
      <c r="N1138" s="17"/>
      <c r="O1138" s="17"/>
      <c r="P1138" s="17"/>
      <c r="Q1138" s="17"/>
      <c r="R1138" s="17"/>
      <c r="S1138" s="17"/>
      <c r="T1138" s="17"/>
      <c r="U1138" s="18"/>
    </row>
    <row r="1139" spans="1:21" ht="28" customHeight="1" x14ac:dyDescent="0.35">
      <c r="A1139" s="19" t="s">
        <v>357</v>
      </c>
      <c r="B1139" s="20"/>
      <c r="C1139" s="20"/>
      <c r="D1139" s="20"/>
      <c r="E1139" s="20"/>
      <c r="F1139" s="20"/>
      <c r="G1139" s="20"/>
      <c r="H1139" s="20"/>
      <c r="I1139" s="20"/>
      <c r="J1139" s="20"/>
      <c r="K1139" s="20"/>
      <c r="L1139" s="20"/>
      <c r="M1139" s="20"/>
      <c r="N1139" s="20"/>
      <c r="O1139" s="20"/>
      <c r="P1139" s="20"/>
      <c r="Q1139" s="20"/>
      <c r="R1139" s="20"/>
      <c r="S1139" s="20"/>
      <c r="T1139" s="20"/>
      <c r="U1139" s="21"/>
    </row>
    <row r="1140" spans="1:21" ht="28" customHeight="1" x14ac:dyDescent="0.35">
      <c r="A1140" s="4" t="s">
        <v>31</v>
      </c>
      <c r="B1140" s="3" t="s">
        <v>266</v>
      </c>
      <c r="C1140" s="4" t="s">
        <v>32</v>
      </c>
      <c r="D1140" s="3"/>
      <c r="E1140" s="4" t="s">
        <v>33</v>
      </c>
      <c r="F1140" s="8"/>
    </row>
    <row r="1141" spans="1:21" ht="28" customHeight="1" x14ac:dyDescent="0.35">
      <c r="A1141" s="1" t="s">
        <v>34</v>
      </c>
      <c r="B1141" s="1" t="s">
        <v>35</v>
      </c>
      <c r="C1141" s="1" t="s">
        <v>36</v>
      </c>
      <c r="D1141" s="1" t="s">
        <v>37</v>
      </c>
      <c r="E1141" s="1" t="s">
        <v>38</v>
      </c>
      <c r="F1141" s="1" t="s">
        <v>39</v>
      </c>
      <c r="G1141" s="1" t="s">
        <v>40</v>
      </c>
      <c r="H1141" s="1" t="s">
        <v>41</v>
      </c>
      <c r="I1141" s="1" t="s">
        <v>42</v>
      </c>
      <c r="J1141" s="1" t="s">
        <v>43</v>
      </c>
      <c r="K1141" s="1" t="s">
        <v>44</v>
      </c>
      <c r="L1141" s="1" t="s">
        <v>45</v>
      </c>
      <c r="M1141" s="1" t="s">
        <v>46</v>
      </c>
      <c r="N1141" s="1" t="s">
        <v>47</v>
      </c>
      <c r="O1141" s="1" t="s">
        <v>48</v>
      </c>
      <c r="P1141" s="1" t="s">
        <v>4</v>
      </c>
      <c r="Q1141" s="1" t="s">
        <v>49</v>
      </c>
      <c r="R1141" s="1" t="s">
        <v>50</v>
      </c>
      <c r="S1141" s="1" t="s">
        <v>51</v>
      </c>
      <c r="T1141" s="1" t="s">
        <v>52</v>
      </c>
      <c r="U1141" s="1" t="s">
        <v>10</v>
      </c>
    </row>
    <row r="1142" spans="1:21" ht="28" customHeight="1" x14ac:dyDescent="0.35">
      <c r="A1142" s="4">
        <v>1</v>
      </c>
      <c r="B1142" s="4" t="s">
        <v>270</v>
      </c>
      <c r="C1142" s="4" t="s">
        <v>271</v>
      </c>
      <c r="D1142" s="4" t="s">
        <v>272</v>
      </c>
      <c r="E1142" s="4" t="s">
        <v>109</v>
      </c>
      <c r="F1142" s="4" t="s">
        <v>273</v>
      </c>
      <c r="G1142" s="4" t="s">
        <v>199</v>
      </c>
      <c r="H1142" s="4" t="s">
        <v>59</v>
      </c>
      <c r="I1142" s="3"/>
      <c r="J1142" s="3"/>
      <c r="K1142" s="3"/>
      <c r="L1142" s="3"/>
      <c r="M1142" s="3"/>
      <c r="N1142" s="3"/>
      <c r="O1142" s="3"/>
      <c r="P1142" s="8"/>
      <c r="Q1142" s="8"/>
      <c r="R1142" s="3"/>
      <c r="S1142" s="3"/>
      <c r="T1142" s="3"/>
      <c r="U1142" s="5" t="str">
        <f t="shared" ref="U1142:U1158" si="53">IF(I1142="","",IF(I1142="NA","Grey",IF(I1142=2,"Green",IF(I1142=1,"Amber","Red"))))</f>
        <v/>
      </c>
    </row>
    <row r="1143" spans="1:21" ht="28" customHeight="1" x14ac:dyDescent="0.35">
      <c r="A1143" s="4">
        <v>2</v>
      </c>
      <c r="B1143" s="4" t="s">
        <v>270</v>
      </c>
      <c r="C1143" s="4" t="s">
        <v>274</v>
      </c>
      <c r="D1143" s="4" t="s">
        <v>275</v>
      </c>
      <c r="E1143" s="4" t="s">
        <v>69</v>
      </c>
      <c r="F1143" s="4" t="s">
        <v>276</v>
      </c>
      <c r="G1143" s="4" t="s">
        <v>199</v>
      </c>
      <c r="H1143" s="4" t="s">
        <v>76</v>
      </c>
      <c r="I1143" s="3"/>
      <c r="J1143" s="3"/>
      <c r="K1143" s="3"/>
      <c r="L1143" s="3"/>
      <c r="M1143" s="3"/>
      <c r="N1143" s="3"/>
      <c r="O1143" s="3"/>
      <c r="P1143" s="8"/>
      <c r="Q1143" s="8"/>
      <c r="R1143" s="3"/>
      <c r="S1143" s="3"/>
      <c r="T1143" s="3"/>
      <c r="U1143" s="5" t="str">
        <f t="shared" si="53"/>
        <v/>
      </c>
    </row>
    <row r="1144" spans="1:21" ht="28" customHeight="1" x14ac:dyDescent="0.35">
      <c r="A1144" s="4">
        <v>3</v>
      </c>
      <c r="B1144" s="4" t="s">
        <v>270</v>
      </c>
      <c r="C1144" s="4" t="s">
        <v>277</v>
      </c>
      <c r="D1144" s="4" t="s">
        <v>278</v>
      </c>
      <c r="E1144" s="4" t="s">
        <v>279</v>
      </c>
      <c r="F1144" s="4" t="s">
        <v>280</v>
      </c>
      <c r="G1144" s="4" t="s">
        <v>209</v>
      </c>
      <c r="H1144" s="4" t="s">
        <v>76</v>
      </c>
      <c r="I1144" s="3"/>
      <c r="J1144" s="3"/>
      <c r="K1144" s="3"/>
      <c r="L1144" s="3"/>
      <c r="M1144" s="3"/>
      <c r="N1144" s="3"/>
      <c r="O1144" s="3"/>
      <c r="P1144" s="8"/>
      <c r="Q1144" s="8"/>
      <c r="R1144" s="3"/>
      <c r="S1144" s="3"/>
      <c r="T1144" s="3"/>
      <c r="U1144" s="5" t="str">
        <f t="shared" si="53"/>
        <v/>
      </c>
    </row>
    <row r="1145" spans="1:21" ht="28" customHeight="1" x14ac:dyDescent="0.35">
      <c r="A1145" s="4">
        <v>4</v>
      </c>
      <c r="B1145" s="4" t="s">
        <v>270</v>
      </c>
      <c r="C1145" s="4" t="s">
        <v>281</v>
      </c>
      <c r="D1145" s="4" t="s">
        <v>282</v>
      </c>
      <c r="E1145" s="4" t="s">
        <v>283</v>
      </c>
      <c r="F1145" s="4" t="s">
        <v>284</v>
      </c>
      <c r="G1145" s="4" t="s">
        <v>204</v>
      </c>
      <c r="H1145" s="4" t="s">
        <v>76</v>
      </c>
      <c r="I1145" s="3"/>
      <c r="J1145" s="3"/>
      <c r="K1145" s="3"/>
      <c r="L1145" s="3"/>
      <c r="M1145" s="3"/>
      <c r="N1145" s="3"/>
      <c r="O1145" s="3"/>
      <c r="P1145" s="8"/>
      <c r="Q1145" s="8"/>
      <c r="R1145" s="3"/>
      <c r="S1145" s="3"/>
      <c r="T1145" s="3"/>
      <c r="U1145" s="5" t="str">
        <f t="shared" si="53"/>
        <v/>
      </c>
    </row>
    <row r="1146" spans="1:21" ht="28" customHeight="1" x14ac:dyDescent="0.35">
      <c r="A1146" s="4">
        <v>5</v>
      </c>
      <c r="B1146" s="4" t="s">
        <v>285</v>
      </c>
      <c r="C1146" s="4" t="s">
        <v>286</v>
      </c>
      <c r="D1146" s="4" t="s">
        <v>287</v>
      </c>
      <c r="E1146" s="4" t="s">
        <v>69</v>
      </c>
      <c r="F1146" s="4" t="s">
        <v>276</v>
      </c>
      <c r="G1146" s="4" t="s">
        <v>199</v>
      </c>
      <c r="H1146" s="4" t="s">
        <v>76</v>
      </c>
      <c r="I1146" s="3"/>
      <c r="J1146" s="3"/>
      <c r="K1146" s="3"/>
      <c r="L1146" s="3"/>
      <c r="M1146" s="3"/>
      <c r="N1146" s="3"/>
      <c r="O1146" s="3"/>
      <c r="P1146" s="8"/>
      <c r="Q1146" s="8"/>
      <c r="R1146" s="3"/>
      <c r="S1146" s="3"/>
      <c r="T1146" s="3"/>
      <c r="U1146" s="5" t="str">
        <f t="shared" si="53"/>
        <v/>
      </c>
    </row>
    <row r="1147" spans="1:21" ht="28" customHeight="1" x14ac:dyDescent="0.35">
      <c r="A1147" s="4">
        <v>6</v>
      </c>
      <c r="B1147" s="4" t="s">
        <v>285</v>
      </c>
      <c r="C1147" s="4" t="s">
        <v>288</v>
      </c>
      <c r="D1147" s="4" t="s">
        <v>289</v>
      </c>
      <c r="E1147" s="4" t="s">
        <v>70</v>
      </c>
      <c r="F1147" s="4" t="s">
        <v>276</v>
      </c>
      <c r="G1147" s="4" t="s">
        <v>199</v>
      </c>
      <c r="H1147" s="4" t="s">
        <v>59</v>
      </c>
      <c r="I1147" s="3"/>
      <c r="J1147" s="3"/>
      <c r="K1147" s="3"/>
      <c r="L1147" s="3"/>
      <c r="M1147" s="3"/>
      <c r="N1147" s="3"/>
      <c r="O1147" s="3"/>
      <c r="P1147" s="8"/>
      <c r="Q1147" s="8"/>
      <c r="R1147" s="3"/>
      <c r="S1147" s="3"/>
      <c r="T1147" s="3"/>
      <c r="U1147" s="5" t="str">
        <f t="shared" si="53"/>
        <v/>
      </c>
    </row>
    <row r="1148" spans="1:21" ht="28" customHeight="1" x14ac:dyDescent="0.35">
      <c r="A1148" s="4">
        <v>7</v>
      </c>
      <c r="B1148" s="4" t="s">
        <v>290</v>
      </c>
      <c r="C1148" s="4" t="s">
        <v>291</v>
      </c>
      <c r="D1148" s="4" t="s">
        <v>292</v>
      </c>
      <c r="E1148" s="4" t="s">
        <v>109</v>
      </c>
      <c r="F1148" s="4" t="s">
        <v>284</v>
      </c>
      <c r="G1148" s="4" t="s">
        <v>204</v>
      </c>
      <c r="H1148" s="4" t="s">
        <v>59</v>
      </c>
      <c r="I1148" s="3"/>
      <c r="J1148" s="3"/>
      <c r="K1148" s="3"/>
      <c r="L1148" s="3"/>
      <c r="M1148" s="3"/>
      <c r="N1148" s="3"/>
      <c r="O1148" s="3"/>
      <c r="P1148" s="8"/>
      <c r="Q1148" s="8"/>
      <c r="R1148" s="3"/>
      <c r="S1148" s="3"/>
      <c r="T1148" s="3"/>
      <c r="U1148" s="5" t="str">
        <f t="shared" si="53"/>
        <v/>
      </c>
    </row>
    <row r="1149" spans="1:21" ht="28" customHeight="1" x14ac:dyDescent="0.35">
      <c r="A1149" s="4">
        <v>8</v>
      </c>
      <c r="B1149" s="4" t="s">
        <v>290</v>
      </c>
      <c r="C1149" s="4" t="s">
        <v>293</v>
      </c>
      <c r="D1149" s="4" t="s">
        <v>294</v>
      </c>
      <c r="E1149" s="4" t="s">
        <v>70</v>
      </c>
      <c r="F1149" s="4" t="s">
        <v>295</v>
      </c>
      <c r="G1149" s="4" t="s">
        <v>199</v>
      </c>
      <c r="H1149" s="4" t="s">
        <v>76</v>
      </c>
      <c r="I1149" s="3"/>
      <c r="J1149" s="3"/>
      <c r="K1149" s="3"/>
      <c r="L1149" s="3"/>
      <c r="M1149" s="3"/>
      <c r="N1149" s="3"/>
      <c r="O1149" s="3"/>
      <c r="P1149" s="8"/>
      <c r="Q1149" s="8"/>
      <c r="R1149" s="3"/>
      <c r="S1149" s="3"/>
      <c r="T1149" s="3"/>
      <c r="U1149" s="5" t="str">
        <f t="shared" si="53"/>
        <v/>
      </c>
    </row>
    <row r="1150" spans="1:21" ht="28" customHeight="1" x14ac:dyDescent="0.35">
      <c r="A1150" s="4">
        <v>9</v>
      </c>
      <c r="B1150" s="4" t="s">
        <v>296</v>
      </c>
      <c r="C1150" s="4" t="s">
        <v>297</v>
      </c>
      <c r="D1150" s="4" t="s">
        <v>70</v>
      </c>
      <c r="E1150" s="4" t="s">
        <v>70</v>
      </c>
      <c r="F1150" s="4" t="s">
        <v>295</v>
      </c>
      <c r="G1150" s="4" t="s">
        <v>199</v>
      </c>
      <c r="H1150" s="4" t="s">
        <v>76</v>
      </c>
      <c r="I1150" s="3"/>
      <c r="J1150" s="3"/>
      <c r="K1150" s="3"/>
      <c r="L1150" s="3"/>
      <c r="M1150" s="3"/>
      <c r="N1150" s="3"/>
      <c r="O1150" s="3"/>
      <c r="P1150" s="8"/>
      <c r="Q1150" s="8"/>
      <c r="R1150" s="3"/>
      <c r="S1150" s="3"/>
      <c r="T1150" s="3"/>
      <c r="U1150" s="5" t="str">
        <f t="shared" si="53"/>
        <v/>
      </c>
    </row>
    <row r="1151" spans="1:21" ht="28" customHeight="1" x14ac:dyDescent="0.35">
      <c r="A1151" s="4">
        <v>10</v>
      </c>
      <c r="B1151" s="4" t="s">
        <v>296</v>
      </c>
      <c r="C1151" s="4" t="s">
        <v>298</v>
      </c>
      <c r="D1151" s="4" t="s">
        <v>299</v>
      </c>
      <c r="E1151" s="4" t="s">
        <v>283</v>
      </c>
      <c r="F1151" s="4" t="s">
        <v>284</v>
      </c>
      <c r="G1151" s="4" t="s">
        <v>204</v>
      </c>
      <c r="H1151" s="4" t="s">
        <v>59</v>
      </c>
      <c r="I1151" s="3"/>
      <c r="J1151" s="3"/>
      <c r="K1151" s="3"/>
      <c r="L1151" s="3"/>
      <c r="M1151" s="3"/>
      <c r="N1151" s="3"/>
      <c r="O1151" s="3"/>
      <c r="P1151" s="8"/>
      <c r="Q1151" s="8"/>
      <c r="R1151" s="3"/>
      <c r="S1151" s="3"/>
      <c r="T1151" s="3"/>
      <c r="U1151" s="5" t="str">
        <f t="shared" si="53"/>
        <v/>
      </c>
    </row>
    <row r="1152" spans="1:21" ht="28" customHeight="1" x14ac:dyDescent="0.35">
      <c r="A1152" s="4">
        <v>11</v>
      </c>
      <c r="B1152" s="4" t="s">
        <v>300</v>
      </c>
      <c r="C1152" s="4" t="s">
        <v>301</v>
      </c>
      <c r="D1152" s="4" t="s">
        <v>302</v>
      </c>
      <c r="E1152" s="4" t="s">
        <v>56</v>
      </c>
      <c r="F1152" s="4" t="s">
        <v>276</v>
      </c>
      <c r="G1152" s="4" t="s">
        <v>199</v>
      </c>
      <c r="H1152" s="4" t="s">
        <v>76</v>
      </c>
      <c r="I1152" s="3"/>
      <c r="J1152" s="3"/>
      <c r="K1152" s="3"/>
      <c r="L1152" s="3"/>
      <c r="M1152" s="3"/>
      <c r="N1152" s="3"/>
      <c r="O1152" s="3"/>
      <c r="P1152" s="8"/>
      <c r="Q1152" s="8"/>
      <c r="R1152" s="3"/>
      <c r="S1152" s="3"/>
      <c r="T1152" s="3"/>
      <c r="U1152" s="5" t="str">
        <f t="shared" si="53"/>
        <v/>
      </c>
    </row>
    <row r="1153" spans="1:21" ht="28" customHeight="1" x14ac:dyDescent="0.35">
      <c r="A1153" s="4">
        <v>12</v>
      </c>
      <c r="B1153" s="4" t="s">
        <v>303</v>
      </c>
      <c r="C1153" s="4" t="s">
        <v>304</v>
      </c>
      <c r="D1153" s="4" t="s">
        <v>305</v>
      </c>
      <c r="E1153" s="4" t="s">
        <v>283</v>
      </c>
      <c r="F1153" s="4" t="s">
        <v>276</v>
      </c>
      <c r="G1153" s="4" t="s">
        <v>199</v>
      </c>
      <c r="H1153" s="4" t="s">
        <v>76</v>
      </c>
      <c r="I1153" s="3"/>
      <c r="J1153" s="3"/>
      <c r="K1153" s="3"/>
      <c r="L1153" s="3"/>
      <c r="M1153" s="3"/>
      <c r="N1153" s="3"/>
      <c r="O1153" s="3"/>
      <c r="P1153" s="8"/>
      <c r="Q1153" s="8"/>
      <c r="R1153" s="3"/>
      <c r="S1153" s="3"/>
      <c r="T1153" s="3"/>
      <c r="U1153" s="5" t="str">
        <f t="shared" si="53"/>
        <v/>
      </c>
    </row>
    <row r="1154" spans="1:21" ht="28" customHeight="1" x14ac:dyDescent="0.35">
      <c r="A1154" s="4">
        <v>13</v>
      </c>
      <c r="B1154" s="4" t="s">
        <v>306</v>
      </c>
      <c r="C1154" s="4" t="s">
        <v>307</v>
      </c>
      <c r="D1154" s="4" t="s">
        <v>308</v>
      </c>
      <c r="E1154" s="4" t="s">
        <v>69</v>
      </c>
      <c r="F1154" s="4" t="s">
        <v>273</v>
      </c>
      <c r="G1154" s="4" t="s">
        <v>96</v>
      </c>
      <c r="H1154" s="4" t="s">
        <v>59</v>
      </c>
      <c r="I1154" s="3"/>
      <c r="J1154" s="3"/>
      <c r="K1154" s="3"/>
      <c r="L1154" s="3"/>
      <c r="M1154" s="3"/>
      <c r="N1154" s="3"/>
      <c r="O1154" s="3"/>
      <c r="P1154" s="8"/>
      <c r="Q1154" s="8"/>
      <c r="R1154" s="3"/>
      <c r="S1154" s="3"/>
      <c r="T1154" s="3"/>
      <c r="U1154" s="5" t="str">
        <f t="shared" si="53"/>
        <v/>
      </c>
    </row>
    <row r="1155" spans="1:21" ht="28" customHeight="1" x14ac:dyDescent="0.35">
      <c r="A1155" s="4">
        <v>14</v>
      </c>
      <c r="B1155" s="4" t="s">
        <v>97</v>
      </c>
      <c r="C1155" s="4" t="s">
        <v>98</v>
      </c>
      <c r="D1155" s="4" t="s">
        <v>99</v>
      </c>
      <c r="E1155" s="4" t="s">
        <v>69</v>
      </c>
      <c r="F1155" s="4" t="s">
        <v>95</v>
      </c>
      <c r="G1155" s="4" t="s">
        <v>96</v>
      </c>
      <c r="H1155" s="4" t="s">
        <v>59</v>
      </c>
      <c r="I1155" s="3"/>
      <c r="J1155" s="3"/>
      <c r="K1155" s="3"/>
      <c r="L1155" s="3"/>
      <c r="M1155" s="3"/>
      <c r="N1155" s="3"/>
      <c r="O1155" s="3"/>
      <c r="P1155" s="8"/>
      <c r="Q1155" s="8"/>
      <c r="R1155" s="3"/>
      <c r="S1155" s="3"/>
      <c r="T1155" s="3"/>
      <c r="U1155" s="5" t="str">
        <f t="shared" si="53"/>
        <v/>
      </c>
    </row>
    <row r="1156" spans="1:21" ht="28" customHeight="1" x14ac:dyDescent="0.35">
      <c r="A1156" s="4">
        <v>15</v>
      </c>
      <c r="B1156" s="4" t="s">
        <v>97</v>
      </c>
      <c r="C1156" s="4" t="s">
        <v>100</v>
      </c>
      <c r="D1156" s="4" t="s">
        <v>101</v>
      </c>
      <c r="E1156" s="4" t="s">
        <v>69</v>
      </c>
      <c r="F1156" s="4" t="s">
        <v>95</v>
      </c>
      <c r="G1156" s="4" t="s">
        <v>102</v>
      </c>
      <c r="H1156" s="4" t="s">
        <v>59</v>
      </c>
      <c r="I1156" s="3"/>
      <c r="J1156" s="3"/>
      <c r="K1156" s="3"/>
      <c r="L1156" s="3"/>
      <c r="M1156" s="3"/>
      <c r="N1156" s="3"/>
      <c r="O1156" s="3"/>
      <c r="P1156" s="8"/>
      <c r="Q1156" s="8"/>
      <c r="R1156" s="3"/>
      <c r="S1156" s="3"/>
      <c r="T1156" s="3"/>
      <c r="U1156" s="5" t="str">
        <f t="shared" si="53"/>
        <v/>
      </c>
    </row>
    <row r="1157" spans="1:21" ht="28" customHeight="1" x14ac:dyDescent="0.35">
      <c r="A1157" s="4">
        <v>16</v>
      </c>
      <c r="B1157" s="4" t="s">
        <v>103</v>
      </c>
      <c r="C1157" s="4" t="s">
        <v>104</v>
      </c>
      <c r="D1157" s="4" t="s">
        <v>105</v>
      </c>
      <c r="E1157" s="4" t="s">
        <v>69</v>
      </c>
      <c r="F1157" s="4" t="s">
        <v>95</v>
      </c>
      <c r="G1157" s="4" t="s">
        <v>96</v>
      </c>
      <c r="H1157" s="4" t="s">
        <v>85</v>
      </c>
      <c r="I1157" s="3"/>
      <c r="J1157" s="3"/>
      <c r="K1157" s="3"/>
      <c r="L1157" s="3"/>
      <c r="M1157" s="3"/>
      <c r="N1157" s="3"/>
      <c r="O1157" s="3"/>
      <c r="P1157" s="8"/>
      <c r="Q1157" s="8"/>
      <c r="R1157" s="3"/>
      <c r="S1157" s="3"/>
      <c r="T1157" s="3"/>
      <c r="U1157" s="5" t="str">
        <f t="shared" si="53"/>
        <v/>
      </c>
    </row>
    <row r="1158" spans="1:21" ht="28" customHeight="1" x14ac:dyDescent="0.35">
      <c r="A1158" s="4">
        <v>17</v>
      </c>
      <c r="B1158" s="4" t="s">
        <v>106</v>
      </c>
      <c r="C1158" s="4" t="s">
        <v>107</v>
      </c>
      <c r="D1158" s="4" t="s">
        <v>108</v>
      </c>
      <c r="E1158" s="4" t="s">
        <v>109</v>
      </c>
      <c r="F1158" s="4" t="s">
        <v>95</v>
      </c>
      <c r="G1158" s="4" t="s">
        <v>96</v>
      </c>
      <c r="H1158" s="4" t="s">
        <v>59</v>
      </c>
      <c r="I1158" s="3"/>
      <c r="J1158" s="3"/>
      <c r="K1158" s="3"/>
      <c r="L1158" s="3"/>
      <c r="M1158" s="3"/>
      <c r="N1158" s="3"/>
      <c r="O1158" s="3"/>
      <c r="P1158" s="8"/>
      <c r="Q1158" s="8"/>
      <c r="R1158" s="3"/>
      <c r="S1158" s="3"/>
      <c r="T1158" s="3"/>
      <c r="U1158" s="5" t="str">
        <f t="shared" si="53"/>
        <v/>
      </c>
    </row>
    <row r="1160" spans="1:21" ht="28" customHeight="1" x14ac:dyDescent="0.35">
      <c r="A1160" s="9" t="s">
        <v>110</v>
      </c>
      <c r="B1160" s="16"/>
      <c r="C1160" s="17"/>
      <c r="D1160" s="17"/>
      <c r="E1160" s="17"/>
      <c r="F1160" s="17"/>
      <c r="G1160" s="17"/>
      <c r="H1160" s="17"/>
      <c r="I1160" s="17"/>
      <c r="J1160" s="17"/>
      <c r="K1160" s="17"/>
      <c r="L1160" s="17"/>
      <c r="M1160" s="17"/>
      <c r="N1160" s="17"/>
      <c r="O1160" s="17"/>
      <c r="P1160" s="17"/>
      <c r="Q1160" s="17"/>
      <c r="R1160" s="17"/>
      <c r="S1160" s="17"/>
      <c r="T1160" s="17"/>
      <c r="U1160" s="18"/>
    </row>
    <row r="1161" spans="1:21" ht="28" customHeight="1" x14ac:dyDescent="0.35">
      <c r="A1161" s="19" t="s">
        <v>358</v>
      </c>
      <c r="B1161" s="20"/>
      <c r="C1161" s="20"/>
      <c r="D1161" s="20"/>
      <c r="E1161" s="20"/>
      <c r="F1161" s="20"/>
      <c r="G1161" s="20"/>
      <c r="H1161" s="20"/>
      <c r="I1161" s="20"/>
      <c r="J1161" s="20"/>
      <c r="K1161" s="20"/>
      <c r="L1161" s="20"/>
      <c r="M1161" s="20"/>
      <c r="N1161" s="20"/>
      <c r="O1161" s="20"/>
      <c r="P1161" s="20"/>
      <c r="Q1161" s="20"/>
      <c r="R1161" s="20"/>
      <c r="S1161" s="20"/>
      <c r="T1161" s="20"/>
      <c r="U1161" s="21"/>
    </row>
    <row r="1162" spans="1:21" ht="28" customHeight="1" x14ac:dyDescent="0.35">
      <c r="A1162" s="4" t="s">
        <v>31</v>
      </c>
      <c r="B1162" s="3" t="s">
        <v>267</v>
      </c>
      <c r="C1162" s="4" t="s">
        <v>32</v>
      </c>
      <c r="D1162" s="3"/>
      <c r="E1162" s="4" t="s">
        <v>33</v>
      </c>
      <c r="F1162" s="8"/>
    </row>
    <row r="1163" spans="1:21" ht="28" customHeight="1" x14ac:dyDescent="0.35">
      <c r="A1163" s="1" t="s">
        <v>34</v>
      </c>
      <c r="B1163" s="1" t="s">
        <v>35</v>
      </c>
      <c r="C1163" s="1" t="s">
        <v>36</v>
      </c>
      <c r="D1163" s="1" t="s">
        <v>37</v>
      </c>
      <c r="E1163" s="1" t="s">
        <v>38</v>
      </c>
      <c r="F1163" s="1" t="s">
        <v>39</v>
      </c>
      <c r="G1163" s="1" t="s">
        <v>40</v>
      </c>
      <c r="H1163" s="1" t="s">
        <v>41</v>
      </c>
      <c r="I1163" s="1" t="s">
        <v>42</v>
      </c>
      <c r="J1163" s="1" t="s">
        <v>43</v>
      </c>
      <c r="K1163" s="1" t="s">
        <v>44</v>
      </c>
      <c r="L1163" s="1" t="s">
        <v>45</v>
      </c>
      <c r="M1163" s="1" t="s">
        <v>46</v>
      </c>
      <c r="N1163" s="1" t="s">
        <v>47</v>
      </c>
      <c r="O1163" s="1" t="s">
        <v>48</v>
      </c>
      <c r="P1163" s="1" t="s">
        <v>4</v>
      </c>
      <c r="Q1163" s="1" t="s">
        <v>49</v>
      </c>
      <c r="R1163" s="1" t="s">
        <v>50</v>
      </c>
      <c r="S1163" s="1" t="s">
        <v>51</v>
      </c>
      <c r="T1163" s="1" t="s">
        <v>52</v>
      </c>
      <c r="U1163" s="1" t="s">
        <v>10</v>
      </c>
    </row>
    <row r="1164" spans="1:21" ht="28" customHeight="1" x14ac:dyDescent="0.35">
      <c r="A1164" s="4">
        <v>1</v>
      </c>
      <c r="B1164" s="4" t="s">
        <v>270</v>
      </c>
      <c r="C1164" s="4" t="s">
        <v>271</v>
      </c>
      <c r="D1164" s="4" t="s">
        <v>272</v>
      </c>
      <c r="E1164" s="4" t="s">
        <v>109</v>
      </c>
      <c r="F1164" s="4" t="s">
        <v>273</v>
      </c>
      <c r="G1164" s="4" t="s">
        <v>199</v>
      </c>
      <c r="H1164" s="4" t="s">
        <v>59</v>
      </c>
      <c r="I1164" s="3"/>
      <c r="J1164" s="3"/>
      <c r="K1164" s="3"/>
      <c r="L1164" s="3"/>
      <c r="M1164" s="3"/>
      <c r="N1164" s="3"/>
      <c r="O1164" s="3"/>
      <c r="P1164" s="8"/>
      <c r="Q1164" s="8"/>
      <c r="R1164" s="3"/>
      <c r="S1164" s="3"/>
      <c r="T1164" s="3"/>
      <c r="U1164" s="5" t="str">
        <f t="shared" ref="U1164:U1180" si="54">IF(I1164="","",IF(I1164="NA","Grey",IF(I1164=2,"Green",IF(I1164=1,"Amber","Red"))))</f>
        <v/>
      </c>
    </row>
    <row r="1165" spans="1:21" ht="28" customHeight="1" x14ac:dyDescent="0.35">
      <c r="A1165" s="4">
        <v>2</v>
      </c>
      <c r="B1165" s="4" t="s">
        <v>270</v>
      </c>
      <c r="C1165" s="4" t="s">
        <v>274</v>
      </c>
      <c r="D1165" s="4" t="s">
        <v>275</v>
      </c>
      <c r="E1165" s="4" t="s">
        <v>69</v>
      </c>
      <c r="F1165" s="4" t="s">
        <v>276</v>
      </c>
      <c r="G1165" s="4" t="s">
        <v>199</v>
      </c>
      <c r="H1165" s="4" t="s">
        <v>76</v>
      </c>
      <c r="I1165" s="3"/>
      <c r="J1165" s="3"/>
      <c r="K1165" s="3"/>
      <c r="L1165" s="3"/>
      <c r="M1165" s="3"/>
      <c r="N1165" s="3"/>
      <c r="O1165" s="3"/>
      <c r="P1165" s="8"/>
      <c r="Q1165" s="8"/>
      <c r="R1165" s="3"/>
      <c r="S1165" s="3"/>
      <c r="T1165" s="3"/>
      <c r="U1165" s="5" t="str">
        <f t="shared" si="54"/>
        <v/>
      </c>
    </row>
    <row r="1166" spans="1:21" ht="28" customHeight="1" x14ac:dyDescent="0.35">
      <c r="A1166" s="4">
        <v>3</v>
      </c>
      <c r="B1166" s="4" t="s">
        <v>270</v>
      </c>
      <c r="C1166" s="4" t="s">
        <v>277</v>
      </c>
      <c r="D1166" s="4" t="s">
        <v>278</v>
      </c>
      <c r="E1166" s="4" t="s">
        <v>279</v>
      </c>
      <c r="F1166" s="4" t="s">
        <v>280</v>
      </c>
      <c r="G1166" s="4" t="s">
        <v>209</v>
      </c>
      <c r="H1166" s="4" t="s">
        <v>76</v>
      </c>
      <c r="I1166" s="3"/>
      <c r="J1166" s="3"/>
      <c r="K1166" s="3"/>
      <c r="L1166" s="3"/>
      <c r="M1166" s="3"/>
      <c r="N1166" s="3"/>
      <c r="O1166" s="3"/>
      <c r="P1166" s="8"/>
      <c r="Q1166" s="8"/>
      <c r="R1166" s="3"/>
      <c r="S1166" s="3"/>
      <c r="T1166" s="3"/>
      <c r="U1166" s="5" t="str">
        <f t="shared" si="54"/>
        <v/>
      </c>
    </row>
    <row r="1167" spans="1:21" ht="28" customHeight="1" x14ac:dyDescent="0.35">
      <c r="A1167" s="4">
        <v>4</v>
      </c>
      <c r="B1167" s="4" t="s">
        <v>270</v>
      </c>
      <c r="C1167" s="4" t="s">
        <v>281</v>
      </c>
      <c r="D1167" s="4" t="s">
        <v>282</v>
      </c>
      <c r="E1167" s="4" t="s">
        <v>283</v>
      </c>
      <c r="F1167" s="4" t="s">
        <v>284</v>
      </c>
      <c r="G1167" s="4" t="s">
        <v>204</v>
      </c>
      <c r="H1167" s="4" t="s">
        <v>76</v>
      </c>
      <c r="I1167" s="3"/>
      <c r="J1167" s="3"/>
      <c r="K1167" s="3"/>
      <c r="L1167" s="3"/>
      <c r="M1167" s="3"/>
      <c r="N1167" s="3"/>
      <c r="O1167" s="3"/>
      <c r="P1167" s="8"/>
      <c r="Q1167" s="8"/>
      <c r="R1167" s="3"/>
      <c r="S1167" s="3"/>
      <c r="T1167" s="3"/>
      <c r="U1167" s="5" t="str">
        <f t="shared" si="54"/>
        <v/>
      </c>
    </row>
    <row r="1168" spans="1:21" ht="28" customHeight="1" x14ac:dyDescent="0.35">
      <c r="A1168" s="4">
        <v>5</v>
      </c>
      <c r="B1168" s="4" t="s">
        <v>285</v>
      </c>
      <c r="C1168" s="4" t="s">
        <v>286</v>
      </c>
      <c r="D1168" s="4" t="s">
        <v>287</v>
      </c>
      <c r="E1168" s="4" t="s">
        <v>69</v>
      </c>
      <c r="F1168" s="4" t="s">
        <v>276</v>
      </c>
      <c r="G1168" s="4" t="s">
        <v>199</v>
      </c>
      <c r="H1168" s="4" t="s">
        <v>76</v>
      </c>
      <c r="I1168" s="3"/>
      <c r="J1168" s="3"/>
      <c r="K1168" s="3"/>
      <c r="L1168" s="3"/>
      <c r="M1168" s="3"/>
      <c r="N1168" s="3"/>
      <c r="O1168" s="3"/>
      <c r="P1168" s="8"/>
      <c r="Q1168" s="8"/>
      <c r="R1168" s="3"/>
      <c r="S1168" s="3"/>
      <c r="T1168" s="3"/>
      <c r="U1168" s="5" t="str">
        <f t="shared" si="54"/>
        <v/>
      </c>
    </row>
    <row r="1169" spans="1:21" ht="28" customHeight="1" x14ac:dyDescent="0.35">
      <c r="A1169" s="4">
        <v>6</v>
      </c>
      <c r="B1169" s="4" t="s">
        <v>285</v>
      </c>
      <c r="C1169" s="4" t="s">
        <v>288</v>
      </c>
      <c r="D1169" s="4" t="s">
        <v>289</v>
      </c>
      <c r="E1169" s="4" t="s">
        <v>70</v>
      </c>
      <c r="F1169" s="4" t="s">
        <v>276</v>
      </c>
      <c r="G1169" s="4" t="s">
        <v>199</v>
      </c>
      <c r="H1169" s="4" t="s">
        <v>59</v>
      </c>
      <c r="I1169" s="3"/>
      <c r="J1169" s="3"/>
      <c r="K1169" s="3"/>
      <c r="L1169" s="3"/>
      <c r="M1169" s="3"/>
      <c r="N1169" s="3"/>
      <c r="O1169" s="3"/>
      <c r="P1169" s="8"/>
      <c r="Q1169" s="8"/>
      <c r="R1169" s="3"/>
      <c r="S1169" s="3"/>
      <c r="T1169" s="3"/>
      <c r="U1169" s="5" t="str">
        <f t="shared" si="54"/>
        <v/>
      </c>
    </row>
    <row r="1170" spans="1:21" ht="28" customHeight="1" x14ac:dyDescent="0.35">
      <c r="A1170" s="4">
        <v>7</v>
      </c>
      <c r="B1170" s="4" t="s">
        <v>290</v>
      </c>
      <c r="C1170" s="4" t="s">
        <v>291</v>
      </c>
      <c r="D1170" s="4" t="s">
        <v>292</v>
      </c>
      <c r="E1170" s="4" t="s">
        <v>109</v>
      </c>
      <c r="F1170" s="4" t="s">
        <v>284</v>
      </c>
      <c r="G1170" s="4" t="s">
        <v>204</v>
      </c>
      <c r="H1170" s="4" t="s">
        <v>59</v>
      </c>
      <c r="I1170" s="3"/>
      <c r="J1170" s="3"/>
      <c r="K1170" s="3"/>
      <c r="L1170" s="3"/>
      <c r="M1170" s="3"/>
      <c r="N1170" s="3"/>
      <c r="O1170" s="3"/>
      <c r="P1170" s="8"/>
      <c r="Q1170" s="8"/>
      <c r="R1170" s="3"/>
      <c r="S1170" s="3"/>
      <c r="T1170" s="3"/>
      <c r="U1170" s="5" t="str">
        <f t="shared" si="54"/>
        <v/>
      </c>
    </row>
    <row r="1171" spans="1:21" ht="28" customHeight="1" x14ac:dyDescent="0.35">
      <c r="A1171" s="4">
        <v>8</v>
      </c>
      <c r="B1171" s="4" t="s">
        <v>290</v>
      </c>
      <c r="C1171" s="4" t="s">
        <v>293</v>
      </c>
      <c r="D1171" s="4" t="s">
        <v>294</v>
      </c>
      <c r="E1171" s="4" t="s">
        <v>70</v>
      </c>
      <c r="F1171" s="4" t="s">
        <v>295</v>
      </c>
      <c r="G1171" s="4" t="s">
        <v>199</v>
      </c>
      <c r="H1171" s="4" t="s">
        <v>76</v>
      </c>
      <c r="I1171" s="3"/>
      <c r="J1171" s="3"/>
      <c r="K1171" s="3"/>
      <c r="L1171" s="3"/>
      <c r="M1171" s="3"/>
      <c r="N1171" s="3"/>
      <c r="O1171" s="3"/>
      <c r="P1171" s="8"/>
      <c r="Q1171" s="8"/>
      <c r="R1171" s="3"/>
      <c r="S1171" s="3"/>
      <c r="T1171" s="3"/>
      <c r="U1171" s="5" t="str">
        <f t="shared" si="54"/>
        <v/>
      </c>
    </row>
    <row r="1172" spans="1:21" ht="28" customHeight="1" x14ac:dyDescent="0.35">
      <c r="A1172" s="4">
        <v>9</v>
      </c>
      <c r="B1172" s="4" t="s">
        <v>296</v>
      </c>
      <c r="C1172" s="4" t="s">
        <v>297</v>
      </c>
      <c r="D1172" s="4" t="s">
        <v>70</v>
      </c>
      <c r="E1172" s="4" t="s">
        <v>70</v>
      </c>
      <c r="F1172" s="4" t="s">
        <v>295</v>
      </c>
      <c r="G1172" s="4" t="s">
        <v>199</v>
      </c>
      <c r="H1172" s="4" t="s">
        <v>76</v>
      </c>
      <c r="I1172" s="3"/>
      <c r="J1172" s="3"/>
      <c r="K1172" s="3"/>
      <c r="L1172" s="3"/>
      <c r="M1172" s="3"/>
      <c r="N1172" s="3"/>
      <c r="O1172" s="3"/>
      <c r="P1172" s="8"/>
      <c r="Q1172" s="8"/>
      <c r="R1172" s="3"/>
      <c r="S1172" s="3"/>
      <c r="T1172" s="3"/>
      <c r="U1172" s="5" t="str">
        <f t="shared" si="54"/>
        <v/>
      </c>
    </row>
    <row r="1173" spans="1:21" ht="28" customHeight="1" x14ac:dyDescent="0.35">
      <c r="A1173" s="4">
        <v>10</v>
      </c>
      <c r="B1173" s="4" t="s">
        <v>296</v>
      </c>
      <c r="C1173" s="4" t="s">
        <v>298</v>
      </c>
      <c r="D1173" s="4" t="s">
        <v>299</v>
      </c>
      <c r="E1173" s="4" t="s">
        <v>283</v>
      </c>
      <c r="F1173" s="4" t="s">
        <v>284</v>
      </c>
      <c r="G1173" s="4" t="s">
        <v>204</v>
      </c>
      <c r="H1173" s="4" t="s">
        <v>59</v>
      </c>
      <c r="I1173" s="3"/>
      <c r="J1173" s="3"/>
      <c r="K1173" s="3"/>
      <c r="L1173" s="3"/>
      <c r="M1173" s="3"/>
      <c r="N1173" s="3"/>
      <c r="O1173" s="3"/>
      <c r="P1173" s="8"/>
      <c r="Q1173" s="8"/>
      <c r="R1173" s="3"/>
      <c r="S1173" s="3"/>
      <c r="T1173" s="3"/>
      <c r="U1173" s="5" t="str">
        <f t="shared" si="54"/>
        <v/>
      </c>
    </row>
    <row r="1174" spans="1:21" ht="28" customHeight="1" x14ac:dyDescent="0.35">
      <c r="A1174" s="4">
        <v>11</v>
      </c>
      <c r="B1174" s="4" t="s">
        <v>300</v>
      </c>
      <c r="C1174" s="4" t="s">
        <v>301</v>
      </c>
      <c r="D1174" s="4" t="s">
        <v>302</v>
      </c>
      <c r="E1174" s="4" t="s">
        <v>56</v>
      </c>
      <c r="F1174" s="4" t="s">
        <v>276</v>
      </c>
      <c r="G1174" s="4" t="s">
        <v>199</v>
      </c>
      <c r="H1174" s="4" t="s">
        <v>76</v>
      </c>
      <c r="I1174" s="3"/>
      <c r="J1174" s="3"/>
      <c r="K1174" s="3"/>
      <c r="L1174" s="3"/>
      <c r="M1174" s="3"/>
      <c r="N1174" s="3"/>
      <c r="O1174" s="3"/>
      <c r="P1174" s="8"/>
      <c r="Q1174" s="8"/>
      <c r="R1174" s="3"/>
      <c r="S1174" s="3"/>
      <c r="T1174" s="3"/>
      <c r="U1174" s="5" t="str">
        <f t="shared" si="54"/>
        <v/>
      </c>
    </row>
    <row r="1175" spans="1:21" ht="28" customHeight="1" x14ac:dyDescent="0.35">
      <c r="A1175" s="4">
        <v>12</v>
      </c>
      <c r="B1175" s="4" t="s">
        <v>303</v>
      </c>
      <c r="C1175" s="4" t="s">
        <v>304</v>
      </c>
      <c r="D1175" s="4" t="s">
        <v>305</v>
      </c>
      <c r="E1175" s="4" t="s">
        <v>283</v>
      </c>
      <c r="F1175" s="4" t="s">
        <v>276</v>
      </c>
      <c r="G1175" s="4" t="s">
        <v>199</v>
      </c>
      <c r="H1175" s="4" t="s">
        <v>76</v>
      </c>
      <c r="I1175" s="3"/>
      <c r="J1175" s="3"/>
      <c r="K1175" s="3"/>
      <c r="L1175" s="3"/>
      <c r="M1175" s="3"/>
      <c r="N1175" s="3"/>
      <c r="O1175" s="3"/>
      <c r="P1175" s="8"/>
      <c r="Q1175" s="8"/>
      <c r="R1175" s="3"/>
      <c r="S1175" s="3"/>
      <c r="T1175" s="3"/>
      <c r="U1175" s="5" t="str">
        <f t="shared" si="54"/>
        <v/>
      </c>
    </row>
    <row r="1176" spans="1:21" ht="28" customHeight="1" x14ac:dyDescent="0.35">
      <c r="A1176" s="4">
        <v>13</v>
      </c>
      <c r="B1176" s="4" t="s">
        <v>306</v>
      </c>
      <c r="C1176" s="4" t="s">
        <v>307</v>
      </c>
      <c r="D1176" s="4" t="s">
        <v>308</v>
      </c>
      <c r="E1176" s="4" t="s">
        <v>69</v>
      </c>
      <c r="F1176" s="4" t="s">
        <v>273</v>
      </c>
      <c r="G1176" s="4" t="s">
        <v>96</v>
      </c>
      <c r="H1176" s="4" t="s">
        <v>59</v>
      </c>
      <c r="I1176" s="3"/>
      <c r="J1176" s="3"/>
      <c r="K1176" s="3"/>
      <c r="L1176" s="3"/>
      <c r="M1176" s="3"/>
      <c r="N1176" s="3"/>
      <c r="O1176" s="3"/>
      <c r="P1176" s="8"/>
      <c r="Q1176" s="8"/>
      <c r="R1176" s="3"/>
      <c r="S1176" s="3"/>
      <c r="T1176" s="3"/>
      <c r="U1176" s="5" t="str">
        <f t="shared" si="54"/>
        <v/>
      </c>
    </row>
    <row r="1177" spans="1:21" ht="28" customHeight="1" x14ac:dyDescent="0.35">
      <c r="A1177" s="4">
        <v>14</v>
      </c>
      <c r="B1177" s="4" t="s">
        <v>97</v>
      </c>
      <c r="C1177" s="4" t="s">
        <v>98</v>
      </c>
      <c r="D1177" s="4" t="s">
        <v>99</v>
      </c>
      <c r="E1177" s="4" t="s">
        <v>69</v>
      </c>
      <c r="F1177" s="4" t="s">
        <v>95</v>
      </c>
      <c r="G1177" s="4" t="s">
        <v>96</v>
      </c>
      <c r="H1177" s="4" t="s">
        <v>59</v>
      </c>
      <c r="I1177" s="3"/>
      <c r="J1177" s="3"/>
      <c r="K1177" s="3"/>
      <c r="L1177" s="3"/>
      <c r="M1177" s="3"/>
      <c r="N1177" s="3"/>
      <c r="O1177" s="3"/>
      <c r="P1177" s="8"/>
      <c r="Q1177" s="8"/>
      <c r="R1177" s="3"/>
      <c r="S1177" s="3"/>
      <c r="T1177" s="3"/>
      <c r="U1177" s="5" t="str">
        <f t="shared" si="54"/>
        <v/>
      </c>
    </row>
    <row r="1178" spans="1:21" ht="28" customHeight="1" x14ac:dyDescent="0.35">
      <c r="A1178" s="4">
        <v>15</v>
      </c>
      <c r="B1178" s="4" t="s">
        <v>97</v>
      </c>
      <c r="C1178" s="4" t="s">
        <v>100</v>
      </c>
      <c r="D1178" s="4" t="s">
        <v>101</v>
      </c>
      <c r="E1178" s="4" t="s">
        <v>69</v>
      </c>
      <c r="F1178" s="4" t="s">
        <v>95</v>
      </c>
      <c r="G1178" s="4" t="s">
        <v>102</v>
      </c>
      <c r="H1178" s="4" t="s">
        <v>59</v>
      </c>
      <c r="I1178" s="3"/>
      <c r="J1178" s="3"/>
      <c r="K1178" s="3"/>
      <c r="L1178" s="3"/>
      <c r="M1178" s="3"/>
      <c r="N1178" s="3"/>
      <c r="O1178" s="3"/>
      <c r="P1178" s="8"/>
      <c r="Q1178" s="8"/>
      <c r="R1178" s="3"/>
      <c r="S1178" s="3"/>
      <c r="T1178" s="3"/>
      <c r="U1178" s="5" t="str">
        <f t="shared" si="54"/>
        <v/>
      </c>
    </row>
    <row r="1179" spans="1:21" ht="28" customHeight="1" x14ac:dyDescent="0.35">
      <c r="A1179" s="4">
        <v>16</v>
      </c>
      <c r="B1179" s="4" t="s">
        <v>103</v>
      </c>
      <c r="C1179" s="4" t="s">
        <v>104</v>
      </c>
      <c r="D1179" s="4" t="s">
        <v>105</v>
      </c>
      <c r="E1179" s="4" t="s">
        <v>69</v>
      </c>
      <c r="F1179" s="4" t="s">
        <v>95</v>
      </c>
      <c r="G1179" s="4" t="s">
        <v>96</v>
      </c>
      <c r="H1179" s="4" t="s">
        <v>85</v>
      </c>
      <c r="I1179" s="3"/>
      <c r="J1179" s="3"/>
      <c r="K1179" s="3"/>
      <c r="L1179" s="3"/>
      <c r="M1179" s="3"/>
      <c r="N1179" s="3"/>
      <c r="O1179" s="3"/>
      <c r="P1179" s="8"/>
      <c r="Q1179" s="8"/>
      <c r="R1179" s="3"/>
      <c r="S1179" s="3"/>
      <c r="T1179" s="3"/>
      <c r="U1179" s="5" t="str">
        <f t="shared" si="54"/>
        <v/>
      </c>
    </row>
    <row r="1180" spans="1:21" ht="28" customHeight="1" x14ac:dyDescent="0.35">
      <c r="A1180" s="4">
        <v>17</v>
      </c>
      <c r="B1180" s="4" t="s">
        <v>106</v>
      </c>
      <c r="C1180" s="4" t="s">
        <v>107</v>
      </c>
      <c r="D1180" s="4" t="s">
        <v>108</v>
      </c>
      <c r="E1180" s="4" t="s">
        <v>109</v>
      </c>
      <c r="F1180" s="4" t="s">
        <v>95</v>
      </c>
      <c r="G1180" s="4" t="s">
        <v>96</v>
      </c>
      <c r="H1180" s="4" t="s">
        <v>59</v>
      </c>
      <c r="I1180" s="3"/>
      <c r="J1180" s="3"/>
      <c r="K1180" s="3"/>
      <c r="L1180" s="3"/>
      <c r="M1180" s="3"/>
      <c r="N1180" s="3"/>
      <c r="O1180" s="3"/>
      <c r="P1180" s="8"/>
      <c r="Q1180" s="8"/>
      <c r="R1180" s="3"/>
      <c r="S1180" s="3"/>
      <c r="T1180" s="3"/>
      <c r="U1180" s="5" t="str">
        <f t="shared" si="54"/>
        <v/>
      </c>
    </row>
    <row r="1182" spans="1:21" ht="28" customHeight="1" x14ac:dyDescent="0.35">
      <c r="A1182" s="9" t="s">
        <v>110</v>
      </c>
      <c r="B1182" s="16"/>
      <c r="C1182" s="17"/>
      <c r="D1182" s="17"/>
      <c r="E1182" s="17"/>
      <c r="F1182" s="17"/>
      <c r="G1182" s="17"/>
      <c r="H1182" s="17"/>
      <c r="I1182" s="17"/>
      <c r="J1182" s="17"/>
      <c r="K1182" s="17"/>
      <c r="L1182" s="17"/>
      <c r="M1182" s="17"/>
      <c r="N1182" s="17"/>
      <c r="O1182" s="17"/>
      <c r="P1182" s="17"/>
      <c r="Q1182" s="17"/>
      <c r="R1182" s="17"/>
      <c r="S1182" s="17"/>
      <c r="T1182" s="17"/>
      <c r="U1182" s="18"/>
    </row>
    <row r="1183" spans="1:21" ht="28" customHeight="1" x14ac:dyDescent="0.35">
      <c r="A1183" s="19" t="s">
        <v>359</v>
      </c>
      <c r="B1183" s="20"/>
      <c r="C1183" s="20"/>
      <c r="D1183" s="20"/>
      <c r="E1183" s="20"/>
      <c r="F1183" s="20"/>
      <c r="G1183" s="20"/>
      <c r="H1183" s="20"/>
      <c r="I1183" s="20"/>
      <c r="J1183" s="20"/>
      <c r="K1183" s="20"/>
      <c r="L1183" s="20"/>
      <c r="M1183" s="20"/>
      <c r="N1183" s="20"/>
      <c r="O1183" s="20"/>
      <c r="P1183" s="20"/>
      <c r="Q1183" s="20"/>
      <c r="R1183" s="20"/>
      <c r="S1183" s="20"/>
      <c r="T1183" s="20"/>
      <c r="U1183" s="21"/>
    </row>
    <row r="1184" spans="1:21" ht="28" customHeight="1" x14ac:dyDescent="0.35">
      <c r="A1184" s="4" t="s">
        <v>31</v>
      </c>
      <c r="B1184" s="3" t="s">
        <v>268</v>
      </c>
      <c r="C1184" s="4" t="s">
        <v>32</v>
      </c>
      <c r="D1184" s="3"/>
      <c r="E1184" s="4" t="s">
        <v>33</v>
      </c>
      <c r="F1184" s="8"/>
    </row>
    <row r="1185" spans="1:21" ht="28" customHeight="1" x14ac:dyDescent="0.35">
      <c r="A1185" s="1" t="s">
        <v>34</v>
      </c>
      <c r="B1185" s="1" t="s">
        <v>35</v>
      </c>
      <c r="C1185" s="1" t="s">
        <v>36</v>
      </c>
      <c r="D1185" s="1" t="s">
        <v>37</v>
      </c>
      <c r="E1185" s="1" t="s">
        <v>38</v>
      </c>
      <c r="F1185" s="1" t="s">
        <v>39</v>
      </c>
      <c r="G1185" s="1" t="s">
        <v>40</v>
      </c>
      <c r="H1185" s="1" t="s">
        <v>41</v>
      </c>
      <c r="I1185" s="1" t="s">
        <v>42</v>
      </c>
      <c r="J1185" s="1" t="s">
        <v>43</v>
      </c>
      <c r="K1185" s="1" t="s">
        <v>44</v>
      </c>
      <c r="L1185" s="1" t="s">
        <v>45</v>
      </c>
      <c r="M1185" s="1" t="s">
        <v>46</v>
      </c>
      <c r="N1185" s="1" t="s">
        <v>47</v>
      </c>
      <c r="O1185" s="1" t="s">
        <v>48</v>
      </c>
      <c r="P1185" s="1" t="s">
        <v>4</v>
      </c>
      <c r="Q1185" s="1" t="s">
        <v>49</v>
      </c>
      <c r="R1185" s="1" t="s">
        <v>50</v>
      </c>
      <c r="S1185" s="1" t="s">
        <v>51</v>
      </c>
      <c r="T1185" s="1" t="s">
        <v>52</v>
      </c>
      <c r="U1185" s="1" t="s">
        <v>10</v>
      </c>
    </row>
    <row r="1186" spans="1:21" ht="28" customHeight="1" x14ac:dyDescent="0.35">
      <c r="A1186" s="4">
        <v>1</v>
      </c>
      <c r="B1186" s="4" t="s">
        <v>270</v>
      </c>
      <c r="C1186" s="4" t="s">
        <v>271</v>
      </c>
      <c r="D1186" s="4" t="s">
        <v>272</v>
      </c>
      <c r="E1186" s="4" t="s">
        <v>109</v>
      </c>
      <c r="F1186" s="4" t="s">
        <v>273</v>
      </c>
      <c r="G1186" s="4" t="s">
        <v>199</v>
      </c>
      <c r="H1186" s="4" t="s">
        <v>59</v>
      </c>
      <c r="I1186" s="3"/>
      <c r="J1186" s="3"/>
      <c r="K1186" s="3"/>
      <c r="L1186" s="3"/>
      <c r="M1186" s="3"/>
      <c r="N1186" s="3"/>
      <c r="O1186" s="3"/>
      <c r="P1186" s="8"/>
      <c r="Q1186" s="8"/>
      <c r="R1186" s="3"/>
      <c r="S1186" s="3"/>
      <c r="T1186" s="3"/>
      <c r="U1186" s="5" t="str">
        <f t="shared" ref="U1186:U1202" si="55">IF(I1186="","",IF(I1186="NA","Grey",IF(I1186=2,"Green",IF(I1186=1,"Amber","Red"))))</f>
        <v/>
      </c>
    </row>
    <row r="1187" spans="1:21" ht="28" customHeight="1" x14ac:dyDescent="0.35">
      <c r="A1187" s="4">
        <v>2</v>
      </c>
      <c r="B1187" s="4" t="s">
        <v>270</v>
      </c>
      <c r="C1187" s="4" t="s">
        <v>274</v>
      </c>
      <c r="D1187" s="4" t="s">
        <v>275</v>
      </c>
      <c r="E1187" s="4" t="s">
        <v>69</v>
      </c>
      <c r="F1187" s="4" t="s">
        <v>276</v>
      </c>
      <c r="G1187" s="4" t="s">
        <v>199</v>
      </c>
      <c r="H1187" s="4" t="s">
        <v>76</v>
      </c>
      <c r="I1187" s="3"/>
      <c r="J1187" s="3"/>
      <c r="K1187" s="3"/>
      <c r="L1187" s="3"/>
      <c r="M1187" s="3"/>
      <c r="N1187" s="3"/>
      <c r="O1187" s="3"/>
      <c r="P1187" s="8"/>
      <c r="Q1187" s="8"/>
      <c r="R1187" s="3"/>
      <c r="S1187" s="3"/>
      <c r="T1187" s="3"/>
      <c r="U1187" s="5" t="str">
        <f t="shared" si="55"/>
        <v/>
      </c>
    </row>
    <row r="1188" spans="1:21" ht="28" customHeight="1" x14ac:dyDescent="0.35">
      <c r="A1188" s="4">
        <v>3</v>
      </c>
      <c r="B1188" s="4" t="s">
        <v>270</v>
      </c>
      <c r="C1188" s="4" t="s">
        <v>277</v>
      </c>
      <c r="D1188" s="4" t="s">
        <v>278</v>
      </c>
      <c r="E1188" s="4" t="s">
        <v>279</v>
      </c>
      <c r="F1188" s="4" t="s">
        <v>280</v>
      </c>
      <c r="G1188" s="4" t="s">
        <v>209</v>
      </c>
      <c r="H1188" s="4" t="s">
        <v>76</v>
      </c>
      <c r="I1188" s="3"/>
      <c r="J1188" s="3"/>
      <c r="K1188" s="3"/>
      <c r="L1188" s="3"/>
      <c r="M1188" s="3"/>
      <c r="N1188" s="3"/>
      <c r="O1188" s="3"/>
      <c r="P1188" s="8"/>
      <c r="Q1188" s="8"/>
      <c r="R1188" s="3"/>
      <c r="S1188" s="3"/>
      <c r="T1188" s="3"/>
      <c r="U1188" s="5" t="str">
        <f t="shared" si="55"/>
        <v/>
      </c>
    </row>
    <row r="1189" spans="1:21" ht="28" customHeight="1" x14ac:dyDescent="0.35">
      <c r="A1189" s="4">
        <v>4</v>
      </c>
      <c r="B1189" s="4" t="s">
        <v>270</v>
      </c>
      <c r="C1189" s="4" t="s">
        <v>281</v>
      </c>
      <c r="D1189" s="4" t="s">
        <v>282</v>
      </c>
      <c r="E1189" s="4" t="s">
        <v>283</v>
      </c>
      <c r="F1189" s="4" t="s">
        <v>284</v>
      </c>
      <c r="G1189" s="4" t="s">
        <v>204</v>
      </c>
      <c r="H1189" s="4" t="s">
        <v>76</v>
      </c>
      <c r="I1189" s="3"/>
      <c r="J1189" s="3"/>
      <c r="K1189" s="3"/>
      <c r="L1189" s="3"/>
      <c r="M1189" s="3"/>
      <c r="N1189" s="3"/>
      <c r="O1189" s="3"/>
      <c r="P1189" s="8"/>
      <c r="Q1189" s="8"/>
      <c r="R1189" s="3"/>
      <c r="S1189" s="3"/>
      <c r="T1189" s="3"/>
      <c r="U1189" s="5" t="str">
        <f t="shared" si="55"/>
        <v/>
      </c>
    </row>
    <row r="1190" spans="1:21" ht="28" customHeight="1" x14ac:dyDescent="0.35">
      <c r="A1190" s="4">
        <v>5</v>
      </c>
      <c r="B1190" s="4" t="s">
        <v>285</v>
      </c>
      <c r="C1190" s="4" t="s">
        <v>286</v>
      </c>
      <c r="D1190" s="4" t="s">
        <v>287</v>
      </c>
      <c r="E1190" s="4" t="s">
        <v>69</v>
      </c>
      <c r="F1190" s="4" t="s">
        <v>276</v>
      </c>
      <c r="G1190" s="4" t="s">
        <v>199</v>
      </c>
      <c r="H1190" s="4" t="s">
        <v>76</v>
      </c>
      <c r="I1190" s="3"/>
      <c r="J1190" s="3"/>
      <c r="K1190" s="3"/>
      <c r="L1190" s="3"/>
      <c r="M1190" s="3"/>
      <c r="N1190" s="3"/>
      <c r="O1190" s="3"/>
      <c r="P1190" s="8"/>
      <c r="Q1190" s="8"/>
      <c r="R1190" s="3"/>
      <c r="S1190" s="3"/>
      <c r="T1190" s="3"/>
      <c r="U1190" s="5" t="str">
        <f t="shared" si="55"/>
        <v/>
      </c>
    </row>
    <row r="1191" spans="1:21" ht="28" customHeight="1" x14ac:dyDescent="0.35">
      <c r="A1191" s="4">
        <v>6</v>
      </c>
      <c r="B1191" s="4" t="s">
        <v>285</v>
      </c>
      <c r="C1191" s="4" t="s">
        <v>288</v>
      </c>
      <c r="D1191" s="4" t="s">
        <v>289</v>
      </c>
      <c r="E1191" s="4" t="s">
        <v>70</v>
      </c>
      <c r="F1191" s="4" t="s">
        <v>276</v>
      </c>
      <c r="G1191" s="4" t="s">
        <v>199</v>
      </c>
      <c r="H1191" s="4" t="s">
        <v>59</v>
      </c>
      <c r="I1191" s="3"/>
      <c r="J1191" s="3"/>
      <c r="K1191" s="3"/>
      <c r="L1191" s="3"/>
      <c r="M1191" s="3"/>
      <c r="N1191" s="3"/>
      <c r="O1191" s="3"/>
      <c r="P1191" s="8"/>
      <c r="Q1191" s="8"/>
      <c r="R1191" s="3"/>
      <c r="S1191" s="3"/>
      <c r="T1191" s="3"/>
      <c r="U1191" s="5" t="str">
        <f t="shared" si="55"/>
        <v/>
      </c>
    </row>
    <row r="1192" spans="1:21" ht="28" customHeight="1" x14ac:dyDescent="0.35">
      <c r="A1192" s="4">
        <v>7</v>
      </c>
      <c r="B1192" s="4" t="s">
        <v>290</v>
      </c>
      <c r="C1192" s="4" t="s">
        <v>291</v>
      </c>
      <c r="D1192" s="4" t="s">
        <v>292</v>
      </c>
      <c r="E1192" s="4" t="s">
        <v>109</v>
      </c>
      <c r="F1192" s="4" t="s">
        <v>284</v>
      </c>
      <c r="G1192" s="4" t="s">
        <v>204</v>
      </c>
      <c r="H1192" s="4" t="s">
        <v>59</v>
      </c>
      <c r="I1192" s="3"/>
      <c r="J1192" s="3"/>
      <c r="K1192" s="3"/>
      <c r="L1192" s="3"/>
      <c r="M1192" s="3"/>
      <c r="N1192" s="3"/>
      <c r="O1192" s="3"/>
      <c r="P1192" s="8"/>
      <c r="Q1192" s="8"/>
      <c r="R1192" s="3"/>
      <c r="S1192" s="3"/>
      <c r="T1192" s="3"/>
      <c r="U1192" s="5" t="str">
        <f t="shared" si="55"/>
        <v/>
      </c>
    </row>
    <row r="1193" spans="1:21" ht="28" customHeight="1" x14ac:dyDescent="0.35">
      <c r="A1193" s="4">
        <v>8</v>
      </c>
      <c r="B1193" s="4" t="s">
        <v>290</v>
      </c>
      <c r="C1193" s="4" t="s">
        <v>293</v>
      </c>
      <c r="D1193" s="4" t="s">
        <v>294</v>
      </c>
      <c r="E1193" s="4" t="s">
        <v>70</v>
      </c>
      <c r="F1193" s="4" t="s">
        <v>295</v>
      </c>
      <c r="G1193" s="4" t="s">
        <v>199</v>
      </c>
      <c r="H1193" s="4" t="s">
        <v>76</v>
      </c>
      <c r="I1193" s="3"/>
      <c r="J1193" s="3"/>
      <c r="K1193" s="3"/>
      <c r="L1193" s="3"/>
      <c r="M1193" s="3"/>
      <c r="N1193" s="3"/>
      <c r="O1193" s="3"/>
      <c r="P1193" s="8"/>
      <c r="Q1193" s="8"/>
      <c r="R1193" s="3"/>
      <c r="S1193" s="3"/>
      <c r="T1193" s="3"/>
      <c r="U1193" s="5" t="str">
        <f t="shared" si="55"/>
        <v/>
      </c>
    </row>
    <row r="1194" spans="1:21" ht="28" customHeight="1" x14ac:dyDescent="0.35">
      <c r="A1194" s="4">
        <v>9</v>
      </c>
      <c r="B1194" s="4" t="s">
        <v>296</v>
      </c>
      <c r="C1194" s="4" t="s">
        <v>297</v>
      </c>
      <c r="D1194" s="4" t="s">
        <v>70</v>
      </c>
      <c r="E1194" s="4" t="s">
        <v>70</v>
      </c>
      <c r="F1194" s="4" t="s">
        <v>295</v>
      </c>
      <c r="G1194" s="4" t="s">
        <v>199</v>
      </c>
      <c r="H1194" s="4" t="s">
        <v>76</v>
      </c>
      <c r="I1194" s="3"/>
      <c r="J1194" s="3"/>
      <c r="K1194" s="3"/>
      <c r="L1194" s="3"/>
      <c r="M1194" s="3"/>
      <c r="N1194" s="3"/>
      <c r="O1194" s="3"/>
      <c r="P1194" s="8"/>
      <c r="Q1194" s="8"/>
      <c r="R1194" s="3"/>
      <c r="S1194" s="3"/>
      <c r="T1194" s="3"/>
      <c r="U1194" s="5" t="str">
        <f t="shared" si="55"/>
        <v/>
      </c>
    </row>
    <row r="1195" spans="1:21" ht="28" customHeight="1" x14ac:dyDescent="0.35">
      <c r="A1195" s="4">
        <v>10</v>
      </c>
      <c r="B1195" s="4" t="s">
        <v>296</v>
      </c>
      <c r="C1195" s="4" t="s">
        <v>298</v>
      </c>
      <c r="D1195" s="4" t="s">
        <v>299</v>
      </c>
      <c r="E1195" s="4" t="s">
        <v>283</v>
      </c>
      <c r="F1195" s="4" t="s">
        <v>284</v>
      </c>
      <c r="G1195" s="4" t="s">
        <v>204</v>
      </c>
      <c r="H1195" s="4" t="s">
        <v>59</v>
      </c>
      <c r="I1195" s="3"/>
      <c r="J1195" s="3"/>
      <c r="K1195" s="3"/>
      <c r="L1195" s="3"/>
      <c r="M1195" s="3"/>
      <c r="N1195" s="3"/>
      <c r="O1195" s="3"/>
      <c r="P1195" s="8"/>
      <c r="Q1195" s="8"/>
      <c r="R1195" s="3"/>
      <c r="S1195" s="3"/>
      <c r="T1195" s="3"/>
      <c r="U1195" s="5" t="str">
        <f t="shared" si="55"/>
        <v/>
      </c>
    </row>
    <row r="1196" spans="1:21" ht="28" customHeight="1" x14ac:dyDescent="0.35">
      <c r="A1196" s="4">
        <v>11</v>
      </c>
      <c r="B1196" s="4" t="s">
        <v>300</v>
      </c>
      <c r="C1196" s="4" t="s">
        <v>301</v>
      </c>
      <c r="D1196" s="4" t="s">
        <v>302</v>
      </c>
      <c r="E1196" s="4" t="s">
        <v>56</v>
      </c>
      <c r="F1196" s="4" t="s">
        <v>276</v>
      </c>
      <c r="G1196" s="4" t="s">
        <v>199</v>
      </c>
      <c r="H1196" s="4" t="s">
        <v>76</v>
      </c>
      <c r="I1196" s="3"/>
      <c r="J1196" s="3"/>
      <c r="K1196" s="3"/>
      <c r="L1196" s="3"/>
      <c r="M1196" s="3"/>
      <c r="N1196" s="3"/>
      <c r="O1196" s="3"/>
      <c r="P1196" s="8"/>
      <c r="Q1196" s="8"/>
      <c r="R1196" s="3"/>
      <c r="S1196" s="3"/>
      <c r="T1196" s="3"/>
      <c r="U1196" s="5" t="str">
        <f t="shared" si="55"/>
        <v/>
      </c>
    </row>
    <row r="1197" spans="1:21" ht="28" customHeight="1" x14ac:dyDescent="0.35">
      <c r="A1197" s="4">
        <v>12</v>
      </c>
      <c r="B1197" s="4" t="s">
        <v>303</v>
      </c>
      <c r="C1197" s="4" t="s">
        <v>304</v>
      </c>
      <c r="D1197" s="4" t="s">
        <v>305</v>
      </c>
      <c r="E1197" s="4" t="s">
        <v>283</v>
      </c>
      <c r="F1197" s="4" t="s">
        <v>276</v>
      </c>
      <c r="G1197" s="4" t="s">
        <v>199</v>
      </c>
      <c r="H1197" s="4" t="s">
        <v>76</v>
      </c>
      <c r="I1197" s="3"/>
      <c r="J1197" s="3"/>
      <c r="K1197" s="3"/>
      <c r="L1197" s="3"/>
      <c r="M1197" s="3"/>
      <c r="N1197" s="3"/>
      <c r="O1197" s="3"/>
      <c r="P1197" s="8"/>
      <c r="Q1197" s="8"/>
      <c r="R1197" s="3"/>
      <c r="S1197" s="3"/>
      <c r="T1197" s="3"/>
      <c r="U1197" s="5" t="str">
        <f t="shared" si="55"/>
        <v/>
      </c>
    </row>
    <row r="1198" spans="1:21" ht="28" customHeight="1" x14ac:dyDescent="0.35">
      <c r="A1198" s="4">
        <v>13</v>
      </c>
      <c r="B1198" s="4" t="s">
        <v>306</v>
      </c>
      <c r="C1198" s="4" t="s">
        <v>307</v>
      </c>
      <c r="D1198" s="4" t="s">
        <v>308</v>
      </c>
      <c r="E1198" s="4" t="s">
        <v>69</v>
      </c>
      <c r="F1198" s="4" t="s">
        <v>273</v>
      </c>
      <c r="G1198" s="4" t="s">
        <v>96</v>
      </c>
      <c r="H1198" s="4" t="s">
        <v>59</v>
      </c>
      <c r="I1198" s="3"/>
      <c r="J1198" s="3"/>
      <c r="K1198" s="3"/>
      <c r="L1198" s="3"/>
      <c r="M1198" s="3"/>
      <c r="N1198" s="3"/>
      <c r="O1198" s="3"/>
      <c r="P1198" s="8"/>
      <c r="Q1198" s="8"/>
      <c r="R1198" s="3"/>
      <c r="S1198" s="3"/>
      <c r="T1198" s="3"/>
      <c r="U1198" s="5" t="str">
        <f t="shared" si="55"/>
        <v/>
      </c>
    </row>
    <row r="1199" spans="1:21" ht="28" customHeight="1" x14ac:dyDescent="0.35">
      <c r="A1199" s="4">
        <v>14</v>
      </c>
      <c r="B1199" s="4" t="s">
        <v>97</v>
      </c>
      <c r="C1199" s="4" t="s">
        <v>98</v>
      </c>
      <c r="D1199" s="4" t="s">
        <v>99</v>
      </c>
      <c r="E1199" s="4" t="s">
        <v>69</v>
      </c>
      <c r="F1199" s="4" t="s">
        <v>95</v>
      </c>
      <c r="G1199" s="4" t="s">
        <v>96</v>
      </c>
      <c r="H1199" s="4" t="s">
        <v>59</v>
      </c>
      <c r="I1199" s="3"/>
      <c r="J1199" s="3"/>
      <c r="K1199" s="3"/>
      <c r="L1199" s="3"/>
      <c r="M1199" s="3"/>
      <c r="N1199" s="3"/>
      <c r="O1199" s="3"/>
      <c r="P1199" s="8"/>
      <c r="Q1199" s="8"/>
      <c r="R1199" s="3"/>
      <c r="S1199" s="3"/>
      <c r="T1199" s="3"/>
      <c r="U1199" s="5" t="str">
        <f t="shared" si="55"/>
        <v/>
      </c>
    </row>
    <row r="1200" spans="1:21" ht="28" customHeight="1" x14ac:dyDescent="0.35">
      <c r="A1200" s="4">
        <v>15</v>
      </c>
      <c r="B1200" s="4" t="s">
        <v>97</v>
      </c>
      <c r="C1200" s="4" t="s">
        <v>100</v>
      </c>
      <c r="D1200" s="4" t="s">
        <v>101</v>
      </c>
      <c r="E1200" s="4" t="s">
        <v>69</v>
      </c>
      <c r="F1200" s="4" t="s">
        <v>95</v>
      </c>
      <c r="G1200" s="4" t="s">
        <v>102</v>
      </c>
      <c r="H1200" s="4" t="s">
        <v>59</v>
      </c>
      <c r="I1200" s="3"/>
      <c r="J1200" s="3"/>
      <c r="K1200" s="3"/>
      <c r="L1200" s="3"/>
      <c r="M1200" s="3"/>
      <c r="N1200" s="3"/>
      <c r="O1200" s="3"/>
      <c r="P1200" s="8"/>
      <c r="Q1200" s="8"/>
      <c r="R1200" s="3"/>
      <c r="S1200" s="3"/>
      <c r="T1200" s="3"/>
      <c r="U1200" s="5" t="str">
        <f t="shared" si="55"/>
        <v/>
      </c>
    </row>
    <row r="1201" spans="1:21" ht="28" customHeight="1" x14ac:dyDescent="0.35">
      <c r="A1201" s="4">
        <v>16</v>
      </c>
      <c r="B1201" s="4" t="s">
        <v>103</v>
      </c>
      <c r="C1201" s="4" t="s">
        <v>104</v>
      </c>
      <c r="D1201" s="4" t="s">
        <v>105</v>
      </c>
      <c r="E1201" s="4" t="s">
        <v>69</v>
      </c>
      <c r="F1201" s="4" t="s">
        <v>95</v>
      </c>
      <c r="G1201" s="4" t="s">
        <v>96</v>
      </c>
      <c r="H1201" s="4" t="s">
        <v>85</v>
      </c>
      <c r="I1201" s="3"/>
      <c r="J1201" s="3"/>
      <c r="K1201" s="3"/>
      <c r="L1201" s="3"/>
      <c r="M1201" s="3"/>
      <c r="N1201" s="3"/>
      <c r="O1201" s="3"/>
      <c r="P1201" s="8"/>
      <c r="Q1201" s="8"/>
      <c r="R1201" s="3"/>
      <c r="S1201" s="3"/>
      <c r="T1201" s="3"/>
      <c r="U1201" s="5" t="str">
        <f t="shared" si="55"/>
        <v/>
      </c>
    </row>
    <row r="1202" spans="1:21" ht="28" customHeight="1" x14ac:dyDescent="0.35">
      <c r="A1202" s="4">
        <v>17</v>
      </c>
      <c r="B1202" s="4" t="s">
        <v>106</v>
      </c>
      <c r="C1202" s="4" t="s">
        <v>107</v>
      </c>
      <c r="D1202" s="4" t="s">
        <v>108</v>
      </c>
      <c r="E1202" s="4" t="s">
        <v>109</v>
      </c>
      <c r="F1202" s="4" t="s">
        <v>95</v>
      </c>
      <c r="G1202" s="4" t="s">
        <v>96</v>
      </c>
      <c r="H1202" s="4" t="s">
        <v>59</v>
      </c>
      <c r="I1202" s="3"/>
      <c r="J1202" s="3"/>
      <c r="K1202" s="3"/>
      <c r="L1202" s="3"/>
      <c r="M1202" s="3"/>
      <c r="N1202" s="3"/>
      <c r="O1202" s="3"/>
      <c r="P1202" s="8"/>
      <c r="Q1202" s="8"/>
      <c r="R1202" s="3"/>
      <c r="S1202" s="3"/>
      <c r="T1202" s="3"/>
      <c r="U1202" s="5" t="str">
        <f t="shared" si="55"/>
        <v/>
      </c>
    </row>
    <row r="1204" spans="1:21" ht="28" customHeight="1" x14ac:dyDescent="0.35">
      <c r="A1204" s="9" t="s">
        <v>110</v>
      </c>
      <c r="B1204" s="16"/>
      <c r="C1204" s="17"/>
      <c r="D1204" s="17"/>
      <c r="E1204" s="17"/>
      <c r="F1204" s="17"/>
      <c r="G1204" s="17"/>
      <c r="H1204" s="17"/>
      <c r="I1204" s="17"/>
      <c r="J1204" s="17"/>
      <c r="K1204" s="17"/>
      <c r="L1204" s="17"/>
      <c r="M1204" s="17"/>
      <c r="N1204" s="17"/>
      <c r="O1204" s="17"/>
      <c r="P1204" s="17"/>
      <c r="Q1204" s="17"/>
      <c r="R1204" s="17"/>
      <c r="S1204" s="17"/>
      <c r="T1204" s="17"/>
      <c r="U1204" s="18"/>
    </row>
  </sheetData>
  <sheetProtection sheet="1" objects="1" scenarios="1" formatCells="0" formatColumns="0" formatRows="0" insertRows="0" sort="0" autoFilter="0"/>
  <autoFilter ref="A4:O56" xr:uid="{00000000-0009-0000-0000-000005000000}"/>
  <mergeCells count="106">
    <mergeCell ref="B1204:U1204"/>
    <mergeCell ref="B830:U830"/>
    <mergeCell ref="B654:U654"/>
    <mergeCell ref="B896:U896"/>
    <mergeCell ref="B126:U126"/>
    <mergeCell ref="A1051:U1051"/>
    <mergeCell ref="B368:U368"/>
    <mergeCell ref="A1029:U1029"/>
    <mergeCell ref="B280:U280"/>
    <mergeCell ref="A501:U501"/>
    <mergeCell ref="B786:U786"/>
    <mergeCell ref="B522:U522"/>
    <mergeCell ref="A567:U567"/>
    <mergeCell ref="B1116:U1116"/>
    <mergeCell ref="A611:U611"/>
    <mergeCell ref="B720:U720"/>
    <mergeCell ref="A1117:U1117"/>
    <mergeCell ref="A1095:U1095"/>
    <mergeCell ref="B346:U346"/>
    <mergeCell ref="B412:U412"/>
    <mergeCell ref="A545:U545"/>
    <mergeCell ref="A259:U259"/>
    <mergeCell ref="B632:U632"/>
    <mergeCell ref="A853:U853"/>
    <mergeCell ref="A1183:U1183"/>
    <mergeCell ref="A809:U809"/>
    <mergeCell ref="A787:U787"/>
    <mergeCell ref="B104:U104"/>
    <mergeCell ref="B742:U742"/>
    <mergeCell ref="B918:U918"/>
    <mergeCell ref="A237:U237"/>
    <mergeCell ref="B324:U324"/>
    <mergeCell ref="B566:U566"/>
    <mergeCell ref="B302:U302"/>
    <mergeCell ref="A699:U699"/>
    <mergeCell ref="A149:U149"/>
    <mergeCell ref="B236:U236"/>
    <mergeCell ref="B214:U214"/>
    <mergeCell ref="B500:U500"/>
    <mergeCell ref="A1161:U1161"/>
    <mergeCell ref="B1160:U1160"/>
    <mergeCell ref="A985:U985"/>
    <mergeCell ref="A215:U215"/>
    <mergeCell ref="B170:U170"/>
    <mergeCell ref="B148:U148"/>
    <mergeCell ref="B852:U852"/>
    <mergeCell ref="A435:U435"/>
    <mergeCell ref="A127:U127"/>
    <mergeCell ref="A1073:U1073"/>
    <mergeCell ref="A303:U303"/>
    <mergeCell ref="B940:U940"/>
    <mergeCell ref="B1182:U1182"/>
    <mergeCell ref="B1138:U1138"/>
    <mergeCell ref="B1050:U1050"/>
    <mergeCell ref="B588:U588"/>
    <mergeCell ref="A743:U743"/>
    <mergeCell ref="A721:U721"/>
    <mergeCell ref="B808:U808"/>
    <mergeCell ref="B1006:U1006"/>
    <mergeCell ref="A919:U919"/>
    <mergeCell ref="A347:U347"/>
    <mergeCell ref="B984:U984"/>
    <mergeCell ref="A1139:U1139"/>
    <mergeCell ref="B1094:U1094"/>
    <mergeCell ref="B434:U434"/>
    <mergeCell ref="A589:U589"/>
    <mergeCell ref="A765:U765"/>
    <mergeCell ref="A523:U523"/>
    <mergeCell ref="A83:U83"/>
    <mergeCell ref="B1028:U1028"/>
    <mergeCell ref="B456:U456"/>
    <mergeCell ref="B478:U478"/>
    <mergeCell ref="B192:U192"/>
    <mergeCell ref="A325:U325"/>
    <mergeCell ref="A1:U1"/>
    <mergeCell ref="A457:U457"/>
    <mergeCell ref="A677:U677"/>
    <mergeCell ref="B390:U390"/>
    <mergeCell ref="A1007:U1007"/>
    <mergeCell ref="A193:U193"/>
    <mergeCell ref="A369:U369"/>
    <mergeCell ref="A831:U831"/>
    <mergeCell ref="B2:U2"/>
    <mergeCell ref="B82:U82"/>
    <mergeCell ref="A281:U281"/>
    <mergeCell ref="A61:U61"/>
    <mergeCell ref="A963:U963"/>
    <mergeCell ref="A413:U413"/>
    <mergeCell ref="A655:U655"/>
    <mergeCell ref="A105:U105"/>
    <mergeCell ref="B1072:U1072"/>
    <mergeCell ref="B698:U698"/>
    <mergeCell ref="A875:U875"/>
    <mergeCell ref="B676:U676"/>
    <mergeCell ref="B764:U764"/>
    <mergeCell ref="A897:U897"/>
    <mergeCell ref="A479:U479"/>
    <mergeCell ref="B962:U962"/>
    <mergeCell ref="B610:U610"/>
    <mergeCell ref="A171:U171"/>
    <mergeCell ref="A941:U941"/>
    <mergeCell ref="B544:U544"/>
    <mergeCell ref="B258:U258"/>
    <mergeCell ref="A391:U391"/>
    <mergeCell ref="B874:U874"/>
    <mergeCell ref="A633:U633"/>
  </mergeCells>
  <conditionalFormatting sqref="G5:G56">
    <cfRule type="colorScale" priority="213">
      <colorScale>
        <cfvo type="min"/>
        <cfvo type="percentile" val="50"/>
        <cfvo type="max"/>
        <color rgb="FFF8696B"/>
        <color rgb="FFFFEB84"/>
        <color rgb="FF63BE7B"/>
      </colorScale>
    </cfRule>
  </conditionalFormatting>
  <conditionalFormatting sqref="H5:H56">
    <cfRule type="containsText" dxfId="1103" priority="210" operator="containsText" text="Amber">
      <formula>NOT(ISERROR(SEARCH("Amber",H5)))</formula>
    </cfRule>
    <cfRule type="containsText" dxfId="1102" priority="212" operator="containsText" text="Not Started">
      <formula>NOT(ISERROR(SEARCH("Not Started",H5)))</formula>
    </cfRule>
    <cfRule type="containsText" dxfId="1101" priority="211" operator="containsText" text="Green">
      <formula>NOT(ISERROR(SEARCH("Green",H5)))</formula>
    </cfRule>
    <cfRule type="containsText" dxfId="1100" priority="209" operator="containsText" text="Red">
      <formula>NOT(ISERROR(SEARCH("Red",H5)))</formula>
    </cfRule>
  </conditionalFormatting>
  <conditionalFormatting sqref="U64:U80">
    <cfRule type="containsText" dxfId="1099" priority="2" operator="containsText" text="Amber">
      <formula>NOT(ISERROR(SEARCH("Amber",U64)))</formula>
    </cfRule>
    <cfRule type="containsText" dxfId="1098" priority="3" operator="containsText" text="Green">
      <formula>NOT(ISERROR(SEARCH("Green",U64)))</formula>
    </cfRule>
    <cfRule type="containsText" dxfId="1097" priority="4" operator="containsText" text="Grey">
      <formula>NOT(ISERROR(SEARCH("Grey",U64)))</formula>
    </cfRule>
    <cfRule type="containsText" dxfId="1096" priority="1" operator="containsText" text="Red">
      <formula>NOT(ISERROR(SEARCH("Red",U64)))</formula>
    </cfRule>
  </conditionalFormatting>
  <conditionalFormatting sqref="U86:U102">
    <cfRule type="containsText" dxfId="1095" priority="5" operator="containsText" text="Red">
      <formula>NOT(ISERROR(SEARCH("Red",U86)))</formula>
    </cfRule>
    <cfRule type="containsText" dxfId="1094" priority="6" operator="containsText" text="Amber">
      <formula>NOT(ISERROR(SEARCH("Amber",U86)))</formula>
    </cfRule>
    <cfRule type="containsText" dxfId="1093" priority="7" operator="containsText" text="Green">
      <formula>NOT(ISERROR(SEARCH("Green",U86)))</formula>
    </cfRule>
    <cfRule type="containsText" dxfId="1092" priority="8" operator="containsText" text="Grey">
      <formula>NOT(ISERROR(SEARCH("Grey",U86)))</formula>
    </cfRule>
  </conditionalFormatting>
  <conditionalFormatting sqref="U108:U124">
    <cfRule type="containsText" dxfId="1091" priority="9" operator="containsText" text="Red">
      <formula>NOT(ISERROR(SEARCH("Red",U108)))</formula>
    </cfRule>
    <cfRule type="containsText" dxfId="1090" priority="10" operator="containsText" text="Amber">
      <formula>NOT(ISERROR(SEARCH("Amber",U108)))</formula>
    </cfRule>
    <cfRule type="containsText" dxfId="1089" priority="11" operator="containsText" text="Green">
      <formula>NOT(ISERROR(SEARCH("Green",U108)))</formula>
    </cfRule>
    <cfRule type="containsText" dxfId="1088" priority="12" operator="containsText" text="Grey">
      <formula>NOT(ISERROR(SEARCH("Grey",U108)))</formula>
    </cfRule>
  </conditionalFormatting>
  <conditionalFormatting sqref="U130:U146">
    <cfRule type="containsText" dxfId="1087" priority="16" operator="containsText" text="Grey">
      <formula>NOT(ISERROR(SEARCH("Grey",U130)))</formula>
    </cfRule>
    <cfRule type="containsText" dxfId="1086" priority="15" operator="containsText" text="Green">
      <formula>NOT(ISERROR(SEARCH("Green",U130)))</formula>
    </cfRule>
    <cfRule type="containsText" dxfId="1085" priority="14" operator="containsText" text="Amber">
      <formula>NOT(ISERROR(SEARCH("Amber",U130)))</formula>
    </cfRule>
    <cfRule type="containsText" dxfId="1084" priority="13" operator="containsText" text="Red">
      <formula>NOT(ISERROR(SEARCH("Red",U130)))</formula>
    </cfRule>
  </conditionalFormatting>
  <conditionalFormatting sqref="U152:U168">
    <cfRule type="containsText" dxfId="1083" priority="18" operator="containsText" text="Amber">
      <formula>NOT(ISERROR(SEARCH("Amber",U152)))</formula>
    </cfRule>
    <cfRule type="containsText" dxfId="1082" priority="19" operator="containsText" text="Green">
      <formula>NOT(ISERROR(SEARCH("Green",U152)))</formula>
    </cfRule>
    <cfRule type="containsText" dxfId="1081" priority="20" operator="containsText" text="Grey">
      <formula>NOT(ISERROR(SEARCH("Grey",U152)))</formula>
    </cfRule>
    <cfRule type="containsText" dxfId="1080" priority="17" operator="containsText" text="Red">
      <formula>NOT(ISERROR(SEARCH("Red",U152)))</formula>
    </cfRule>
  </conditionalFormatting>
  <conditionalFormatting sqref="U174:U190">
    <cfRule type="containsText" dxfId="1079" priority="21" operator="containsText" text="Red">
      <formula>NOT(ISERROR(SEARCH("Red",U174)))</formula>
    </cfRule>
    <cfRule type="containsText" dxfId="1078" priority="22" operator="containsText" text="Amber">
      <formula>NOT(ISERROR(SEARCH("Amber",U174)))</formula>
    </cfRule>
    <cfRule type="containsText" dxfId="1077" priority="23" operator="containsText" text="Green">
      <formula>NOT(ISERROR(SEARCH("Green",U174)))</formula>
    </cfRule>
    <cfRule type="containsText" dxfId="1076" priority="24" operator="containsText" text="Grey">
      <formula>NOT(ISERROR(SEARCH("Grey",U174)))</formula>
    </cfRule>
  </conditionalFormatting>
  <conditionalFormatting sqref="U196:U212">
    <cfRule type="containsText" dxfId="1075" priority="25" operator="containsText" text="Red">
      <formula>NOT(ISERROR(SEARCH("Red",U196)))</formula>
    </cfRule>
    <cfRule type="containsText" dxfId="1074" priority="26" operator="containsText" text="Amber">
      <formula>NOT(ISERROR(SEARCH("Amber",U196)))</formula>
    </cfRule>
    <cfRule type="containsText" dxfId="1073" priority="27" operator="containsText" text="Green">
      <formula>NOT(ISERROR(SEARCH("Green",U196)))</formula>
    </cfRule>
    <cfRule type="containsText" dxfId="1072" priority="28" operator="containsText" text="Grey">
      <formula>NOT(ISERROR(SEARCH("Grey",U196)))</formula>
    </cfRule>
  </conditionalFormatting>
  <conditionalFormatting sqref="U218:U234">
    <cfRule type="containsText" dxfId="1071" priority="30" operator="containsText" text="Amber">
      <formula>NOT(ISERROR(SEARCH("Amber",U218)))</formula>
    </cfRule>
    <cfRule type="containsText" dxfId="1070" priority="31" operator="containsText" text="Green">
      <formula>NOT(ISERROR(SEARCH("Green",U218)))</formula>
    </cfRule>
    <cfRule type="containsText" dxfId="1069" priority="32" operator="containsText" text="Grey">
      <formula>NOT(ISERROR(SEARCH("Grey",U218)))</formula>
    </cfRule>
    <cfRule type="containsText" dxfId="1068" priority="29" operator="containsText" text="Red">
      <formula>NOT(ISERROR(SEARCH("Red",U218)))</formula>
    </cfRule>
  </conditionalFormatting>
  <conditionalFormatting sqref="U240:U256">
    <cfRule type="containsText" dxfId="1067" priority="33" operator="containsText" text="Red">
      <formula>NOT(ISERROR(SEARCH("Red",U240)))</formula>
    </cfRule>
    <cfRule type="containsText" dxfId="1066" priority="34" operator="containsText" text="Amber">
      <formula>NOT(ISERROR(SEARCH("Amber",U240)))</formula>
    </cfRule>
    <cfRule type="containsText" dxfId="1065" priority="35" operator="containsText" text="Green">
      <formula>NOT(ISERROR(SEARCH("Green",U240)))</formula>
    </cfRule>
    <cfRule type="containsText" dxfId="1064" priority="36" operator="containsText" text="Grey">
      <formula>NOT(ISERROR(SEARCH("Grey",U240)))</formula>
    </cfRule>
  </conditionalFormatting>
  <conditionalFormatting sqref="U262:U278">
    <cfRule type="containsText" dxfId="1063" priority="38" operator="containsText" text="Amber">
      <formula>NOT(ISERROR(SEARCH("Amber",U262)))</formula>
    </cfRule>
    <cfRule type="containsText" dxfId="1062" priority="39" operator="containsText" text="Green">
      <formula>NOT(ISERROR(SEARCH("Green",U262)))</formula>
    </cfRule>
    <cfRule type="containsText" dxfId="1061" priority="40" operator="containsText" text="Grey">
      <formula>NOT(ISERROR(SEARCH("Grey",U262)))</formula>
    </cfRule>
    <cfRule type="containsText" dxfId="1060" priority="37" operator="containsText" text="Red">
      <formula>NOT(ISERROR(SEARCH("Red",U262)))</formula>
    </cfRule>
  </conditionalFormatting>
  <conditionalFormatting sqref="U284:U300">
    <cfRule type="containsText" dxfId="1059" priority="41" operator="containsText" text="Red">
      <formula>NOT(ISERROR(SEARCH("Red",U284)))</formula>
    </cfRule>
    <cfRule type="containsText" dxfId="1058" priority="42" operator="containsText" text="Amber">
      <formula>NOT(ISERROR(SEARCH("Amber",U284)))</formula>
    </cfRule>
    <cfRule type="containsText" dxfId="1057" priority="44" operator="containsText" text="Grey">
      <formula>NOT(ISERROR(SEARCH("Grey",U284)))</formula>
    </cfRule>
    <cfRule type="containsText" dxfId="1056" priority="43" operator="containsText" text="Green">
      <formula>NOT(ISERROR(SEARCH("Green",U284)))</formula>
    </cfRule>
  </conditionalFormatting>
  <conditionalFormatting sqref="U306:U322">
    <cfRule type="containsText" dxfId="1055" priority="45" operator="containsText" text="Red">
      <formula>NOT(ISERROR(SEARCH("Red",U306)))</formula>
    </cfRule>
    <cfRule type="containsText" dxfId="1054" priority="46" operator="containsText" text="Amber">
      <formula>NOT(ISERROR(SEARCH("Amber",U306)))</formula>
    </cfRule>
    <cfRule type="containsText" dxfId="1053" priority="47" operator="containsText" text="Green">
      <formula>NOT(ISERROR(SEARCH("Green",U306)))</formula>
    </cfRule>
    <cfRule type="containsText" dxfId="1052" priority="48" operator="containsText" text="Grey">
      <formula>NOT(ISERROR(SEARCH("Grey",U306)))</formula>
    </cfRule>
  </conditionalFormatting>
  <conditionalFormatting sqref="U328:U344">
    <cfRule type="containsText" dxfId="1051" priority="49" operator="containsText" text="Red">
      <formula>NOT(ISERROR(SEARCH("Red",U328)))</formula>
    </cfRule>
    <cfRule type="containsText" dxfId="1050" priority="51" operator="containsText" text="Green">
      <formula>NOT(ISERROR(SEARCH("Green",U328)))</formula>
    </cfRule>
    <cfRule type="containsText" dxfId="1049" priority="52" operator="containsText" text="Grey">
      <formula>NOT(ISERROR(SEARCH("Grey",U328)))</formula>
    </cfRule>
    <cfRule type="containsText" dxfId="1048" priority="50" operator="containsText" text="Amber">
      <formula>NOT(ISERROR(SEARCH("Amber",U328)))</formula>
    </cfRule>
  </conditionalFormatting>
  <conditionalFormatting sqref="U350:U366">
    <cfRule type="containsText" dxfId="1047" priority="54" operator="containsText" text="Amber">
      <formula>NOT(ISERROR(SEARCH("Amber",U350)))</formula>
    </cfRule>
    <cfRule type="containsText" dxfId="1046" priority="55" operator="containsText" text="Green">
      <formula>NOT(ISERROR(SEARCH("Green",U350)))</formula>
    </cfRule>
    <cfRule type="containsText" dxfId="1045" priority="56" operator="containsText" text="Grey">
      <formula>NOT(ISERROR(SEARCH("Grey",U350)))</formula>
    </cfRule>
    <cfRule type="containsText" dxfId="1044" priority="53" operator="containsText" text="Red">
      <formula>NOT(ISERROR(SEARCH("Red",U350)))</formula>
    </cfRule>
  </conditionalFormatting>
  <conditionalFormatting sqref="U372:U388">
    <cfRule type="containsText" dxfId="1043" priority="57" operator="containsText" text="Red">
      <formula>NOT(ISERROR(SEARCH("Red",U372)))</formula>
    </cfRule>
    <cfRule type="containsText" dxfId="1042" priority="58" operator="containsText" text="Amber">
      <formula>NOT(ISERROR(SEARCH("Amber",U372)))</formula>
    </cfRule>
    <cfRule type="containsText" dxfId="1041" priority="59" operator="containsText" text="Green">
      <formula>NOT(ISERROR(SEARCH("Green",U372)))</formula>
    </cfRule>
    <cfRule type="containsText" dxfId="1040" priority="60" operator="containsText" text="Grey">
      <formula>NOT(ISERROR(SEARCH("Grey",U372)))</formula>
    </cfRule>
  </conditionalFormatting>
  <conditionalFormatting sqref="U394:U410">
    <cfRule type="containsText" dxfId="1039" priority="62" operator="containsText" text="Amber">
      <formula>NOT(ISERROR(SEARCH("Amber",U394)))</formula>
    </cfRule>
    <cfRule type="containsText" dxfId="1038" priority="63" operator="containsText" text="Green">
      <formula>NOT(ISERROR(SEARCH("Green",U394)))</formula>
    </cfRule>
    <cfRule type="containsText" dxfId="1037" priority="64" operator="containsText" text="Grey">
      <formula>NOT(ISERROR(SEARCH("Grey",U394)))</formula>
    </cfRule>
    <cfRule type="containsText" dxfId="1036" priority="61" operator="containsText" text="Red">
      <formula>NOT(ISERROR(SEARCH("Red",U394)))</formula>
    </cfRule>
  </conditionalFormatting>
  <conditionalFormatting sqref="U416:U432">
    <cfRule type="containsText" dxfId="1035" priority="65" operator="containsText" text="Red">
      <formula>NOT(ISERROR(SEARCH("Red",U416)))</formula>
    </cfRule>
    <cfRule type="containsText" dxfId="1034" priority="66" operator="containsText" text="Amber">
      <formula>NOT(ISERROR(SEARCH("Amber",U416)))</formula>
    </cfRule>
    <cfRule type="containsText" dxfId="1033" priority="67" operator="containsText" text="Green">
      <formula>NOT(ISERROR(SEARCH("Green",U416)))</formula>
    </cfRule>
    <cfRule type="containsText" dxfId="1032" priority="68" operator="containsText" text="Grey">
      <formula>NOT(ISERROR(SEARCH("Grey",U416)))</formula>
    </cfRule>
  </conditionalFormatting>
  <conditionalFormatting sqref="U438:U454">
    <cfRule type="containsText" dxfId="1031" priority="69" operator="containsText" text="Red">
      <formula>NOT(ISERROR(SEARCH("Red",U438)))</formula>
    </cfRule>
    <cfRule type="containsText" dxfId="1030" priority="70" operator="containsText" text="Amber">
      <formula>NOT(ISERROR(SEARCH("Amber",U438)))</formula>
    </cfRule>
    <cfRule type="containsText" dxfId="1029" priority="71" operator="containsText" text="Green">
      <formula>NOT(ISERROR(SEARCH("Green",U438)))</formula>
    </cfRule>
    <cfRule type="containsText" dxfId="1028" priority="72" operator="containsText" text="Grey">
      <formula>NOT(ISERROR(SEARCH("Grey",U438)))</formula>
    </cfRule>
  </conditionalFormatting>
  <conditionalFormatting sqref="U460:U476">
    <cfRule type="containsText" dxfId="1027" priority="73" operator="containsText" text="Red">
      <formula>NOT(ISERROR(SEARCH("Red",U460)))</formula>
    </cfRule>
    <cfRule type="containsText" dxfId="1026" priority="74" operator="containsText" text="Amber">
      <formula>NOT(ISERROR(SEARCH("Amber",U460)))</formula>
    </cfRule>
    <cfRule type="containsText" dxfId="1025" priority="75" operator="containsText" text="Green">
      <formula>NOT(ISERROR(SEARCH("Green",U460)))</formula>
    </cfRule>
    <cfRule type="containsText" dxfId="1024" priority="76" operator="containsText" text="Grey">
      <formula>NOT(ISERROR(SEARCH("Grey",U460)))</formula>
    </cfRule>
  </conditionalFormatting>
  <conditionalFormatting sqref="U482:U498">
    <cfRule type="containsText" dxfId="1023" priority="77" operator="containsText" text="Red">
      <formula>NOT(ISERROR(SEARCH("Red",U482)))</formula>
    </cfRule>
    <cfRule type="containsText" dxfId="1022" priority="78" operator="containsText" text="Amber">
      <formula>NOT(ISERROR(SEARCH("Amber",U482)))</formula>
    </cfRule>
    <cfRule type="containsText" dxfId="1021" priority="79" operator="containsText" text="Green">
      <formula>NOT(ISERROR(SEARCH("Green",U482)))</formula>
    </cfRule>
    <cfRule type="containsText" dxfId="1020" priority="80" operator="containsText" text="Grey">
      <formula>NOT(ISERROR(SEARCH("Grey",U482)))</formula>
    </cfRule>
  </conditionalFormatting>
  <conditionalFormatting sqref="U504:U520">
    <cfRule type="containsText" dxfId="1019" priority="81" operator="containsText" text="Red">
      <formula>NOT(ISERROR(SEARCH("Red",U504)))</formula>
    </cfRule>
    <cfRule type="containsText" dxfId="1018" priority="82" operator="containsText" text="Amber">
      <formula>NOT(ISERROR(SEARCH("Amber",U504)))</formula>
    </cfRule>
    <cfRule type="containsText" dxfId="1017" priority="84" operator="containsText" text="Grey">
      <formula>NOT(ISERROR(SEARCH("Grey",U504)))</formula>
    </cfRule>
    <cfRule type="containsText" dxfId="1016" priority="83" operator="containsText" text="Green">
      <formula>NOT(ISERROR(SEARCH("Green",U504)))</formula>
    </cfRule>
  </conditionalFormatting>
  <conditionalFormatting sqref="U526:U542">
    <cfRule type="containsText" dxfId="1015" priority="86" operator="containsText" text="Amber">
      <formula>NOT(ISERROR(SEARCH("Amber",U526)))</formula>
    </cfRule>
    <cfRule type="containsText" dxfId="1014" priority="87" operator="containsText" text="Green">
      <formula>NOT(ISERROR(SEARCH("Green",U526)))</formula>
    </cfRule>
    <cfRule type="containsText" dxfId="1013" priority="88" operator="containsText" text="Grey">
      <formula>NOT(ISERROR(SEARCH("Grey",U526)))</formula>
    </cfRule>
    <cfRule type="containsText" dxfId="1012" priority="85" operator="containsText" text="Red">
      <formula>NOT(ISERROR(SEARCH("Red",U526)))</formula>
    </cfRule>
  </conditionalFormatting>
  <conditionalFormatting sqref="U548:U564">
    <cfRule type="containsText" dxfId="1011" priority="89" operator="containsText" text="Red">
      <formula>NOT(ISERROR(SEARCH("Red",U548)))</formula>
    </cfRule>
    <cfRule type="containsText" dxfId="1010" priority="90" operator="containsText" text="Amber">
      <formula>NOT(ISERROR(SEARCH("Amber",U548)))</formula>
    </cfRule>
    <cfRule type="containsText" dxfId="1009" priority="91" operator="containsText" text="Green">
      <formula>NOT(ISERROR(SEARCH("Green",U548)))</formula>
    </cfRule>
    <cfRule type="containsText" dxfId="1008" priority="92" operator="containsText" text="Grey">
      <formula>NOT(ISERROR(SEARCH("Grey",U548)))</formula>
    </cfRule>
  </conditionalFormatting>
  <conditionalFormatting sqref="U570:U586">
    <cfRule type="containsText" dxfId="1007" priority="94" operator="containsText" text="Amber">
      <formula>NOT(ISERROR(SEARCH("Amber",U570)))</formula>
    </cfRule>
    <cfRule type="containsText" dxfId="1006" priority="95" operator="containsText" text="Green">
      <formula>NOT(ISERROR(SEARCH("Green",U570)))</formula>
    </cfRule>
    <cfRule type="containsText" dxfId="1005" priority="96" operator="containsText" text="Grey">
      <formula>NOT(ISERROR(SEARCH("Grey",U570)))</formula>
    </cfRule>
    <cfRule type="containsText" dxfId="1004" priority="93" operator="containsText" text="Red">
      <formula>NOT(ISERROR(SEARCH("Red",U570)))</formula>
    </cfRule>
  </conditionalFormatting>
  <conditionalFormatting sqref="U592:U608">
    <cfRule type="containsText" dxfId="1003" priority="98" operator="containsText" text="Amber">
      <formula>NOT(ISERROR(SEARCH("Amber",U592)))</formula>
    </cfRule>
    <cfRule type="containsText" dxfId="1002" priority="99" operator="containsText" text="Green">
      <formula>NOT(ISERROR(SEARCH("Green",U592)))</formula>
    </cfRule>
    <cfRule type="containsText" dxfId="1001" priority="100" operator="containsText" text="Grey">
      <formula>NOT(ISERROR(SEARCH("Grey",U592)))</formula>
    </cfRule>
    <cfRule type="containsText" dxfId="1000" priority="97" operator="containsText" text="Red">
      <formula>NOT(ISERROR(SEARCH("Red",U592)))</formula>
    </cfRule>
  </conditionalFormatting>
  <conditionalFormatting sqref="U614:U630">
    <cfRule type="containsText" dxfId="999" priority="101" operator="containsText" text="Red">
      <formula>NOT(ISERROR(SEARCH("Red",U614)))</formula>
    </cfRule>
    <cfRule type="containsText" dxfId="998" priority="102" operator="containsText" text="Amber">
      <formula>NOT(ISERROR(SEARCH("Amber",U614)))</formula>
    </cfRule>
    <cfRule type="containsText" dxfId="997" priority="104" operator="containsText" text="Grey">
      <formula>NOT(ISERROR(SEARCH("Grey",U614)))</formula>
    </cfRule>
    <cfRule type="containsText" dxfId="996" priority="103" operator="containsText" text="Green">
      <formula>NOT(ISERROR(SEARCH("Green",U614)))</formula>
    </cfRule>
  </conditionalFormatting>
  <conditionalFormatting sqref="U636:U652">
    <cfRule type="containsText" dxfId="995" priority="106" operator="containsText" text="Amber">
      <formula>NOT(ISERROR(SEARCH("Amber",U636)))</formula>
    </cfRule>
    <cfRule type="containsText" dxfId="994" priority="107" operator="containsText" text="Green">
      <formula>NOT(ISERROR(SEARCH("Green",U636)))</formula>
    </cfRule>
    <cfRule type="containsText" dxfId="993" priority="108" operator="containsText" text="Grey">
      <formula>NOT(ISERROR(SEARCH("Grey",U636)))</formula>
    </cfRule>
    <cfRule type="containsText" dxfId="992" priority="105" operator="containsText" text="Red">
      <formula>NOT(ISERROR(SEARCH("Red",U636)))</formula>
    </cfRule>
  </conditionalFormatting>
  <conditionalFormatting sqref="U658:U674">
    <cfRule type="containsText" dxfId="991" priority="109" operator="containsText" text="Red">
      <formula>NOT(ISERROR(SEARCH("Red",U658)))</formula>
    </cfRule>
    <cfRule type="containsText" dxfId="990" priority="110" operator="containsText" text="Amber">
      <formula>NOT(ISERROR(SEARCH("Amber",U658)))</formula>
    </cfRule>
    <cfRule type="containsText" dxfId="989" priority="111" operator="containsText" text="Green">
      <formula>NOT(ISERROR(SEARCH("Green",U658)))</formula>
    </cfRule>
    <cfRule type="containsText" dxfId="988" priority="112" operator="containsText" text="Grey">
      <formula>NOT(ISERROR(SEARCH("Grey",U658)))</formula>
    </cfRule>
  </conditionalFormatting>
  <conditionalFormatting sqref="U680:U696">
    <cfRule type="containsText" dxfId="987" priority="114" operator="containsText" text="Amber">
      <formula>NOT(ISERROR(SEARCH("Amber",U680)))</formula>
    </cfRule>
    <cfRule type="containsText" dxfId="986" priority="115" operator="containsText" text="Green">
      <formula>NOT(ISERROR(SEARCH("Green",U680)))</formula>
    </cfRule>
    <cfRule type="containsText" dxfId="985" priority="116" operator="containsText" text="Grey">
      <formula>NOT(ISERROR(SEARCH("Grey",U680)))</formula>
    </cfRule>
    <cfRule type="containsText" dxfId="984" priority="113" operator="containsText" text="Red">
      <formula>NOT(ISERROR(SEARCH("Red",U680)))</formula>
    </cfRule>
  </conditionalFormatting>
  <conditionalFormatting sqref="U702:U718">
    <cfRule type="containsText" dxfId="983" priority="117" operator="containsText" text="Red">
      <formula>NOT(ISERROR(SEARCH("Red",U702)))</formula>
    </cfRule>
    <cfRule type="containsText" dxfId="982" priority="118" operator="containsText" text="Amber">
      <formula>NOT(ISERROR(SEARCH("Amber",U702)))</formula>
    </cfRule>
    <cfRule type="containsText" dxfId="981" priority="119" operator="containsText" text="Green">
      <formula>NOT(ISERROR(SEARCH("Green",U702)))</formula>
    </cfRule>
    <cfRule type="containsText" dxfId="980" priority="120" operator="containsText" text="Grey">
      <formula>NOT(ISERROR(SEARCH("Grey",U702)))</formula>
    </cfRule>
  </conditionalFormatting>
  <conditionalFormatting sqref="U724:U740">
    <cfRule type="containsText" dxfId="979" priority="121" operator="containsText" text="Red">
      <formula>NOT(ISERROR(SEARCH("Red",U724)))</formula>
    </cfRule>
    <cfRule type="containsText" dxfId="978" priority="122" operator="containsText" text="Amber">
      <formula>NOT(ISERROR(SEARCH("Amber",U724)))</formula>
    </cfRule>
    <cfRule type="containsText" dxfId="977" priority="123" operator="containsText" text="Green">
      <formula>NOT(ISERROR(SEARCH("Green",U724)))</formula>
    </cfRule>
    <cfRule type="containsText" dxfId="976" priority="124" operator="containsText" text="Grey">
      <formula>NOT(ISERROR(SEARCH("Grey",U724)))</formula>
    </cfRule>
  </conditionalFormatting>
  <conditionalFormatting sqref="U746:U762">
    <cfRule type="containsText" dxfId="975" priority="125" operator="containsText" text="Red">
      <formula>NOT(ISERROR(SEARCH("Red",U746)))</formula>
    </cfRule>
    <cfRule type="containsText" dxfId="974" priority="126" operator="containsText" text="Amber">
      <formula>NOT(ISERROR(SEARCH("Amber",U746)))</formula>
    </cfRule>
    <cfRule type="containsText" dxfId="973" priority="127" operator="containsText" text="Green">
      <formula>NOT(ISERROR(SEARCH("Green",U746)))</formula>
    </cfRule>
    <cfRule type="containsText" dxfId="972" priority="128" operator="containsText" text="Grey">
      <formula>NOT(ISERROR(SEARCH("Grey",U746)))</formula>
    </cfRule>
  </conditionalFormatting>
  <conditionalFormatting sqref="U768:U784">
    <cfRule type="containsText" dxfId="971" priority="129" operator="containsText" text="Red">
      <formula>NOT(ISERROR(SEARCH("Red",U768)))</formula>
    </cfRule>
    <cfRule type="containsText" dxfId="970" priority="130" operator="containsText" text="Amber">
      <formula>NOT(ISERROR(SEARCH("Amber",U768)))</formula>
    </cfRule>
    <cfRule type="containsText" dxfId="969" priority="131" operator="containsText" text="Green">
      <formula>NOT(ISERROR(SEARCH("Green",U768)))</formula>
    </cfRule>
    <cfRule type="containsText" dxfId="968" priority="132" operator="containsText" text="Grey">
      <formula>NOT(ISERROR(SEARCH("Grey",U768)))</formula>
    </cfRule>
  </conditionalFormatting>
  <conditionalFormatting sqref="U790:U806">
    <cfRule type="containsText" dxfId="967" priority="133" operator="containsText" text="Red">
      <formula>NOT(ISERROR(SEARCH("Red",U790)))</formula>
    </cfRule>
    <cfRule type="containsText" dxfId="966" priority="134" operator="containsText" text="Amber">
      <formula>NOT(ISERROR(SEARCH("Amber",U790)))</formula>
    </cfRule>
    <cfRule type="containsText" dxfId="965" priority="135" operator="containsText" text="Green">
      <formula>NOT(ISERROR(SEARCH("Green",U790)))</formula>
    </cfRule>
    <cfRule type="containsText" dxfId="964" priority="136" operator="containsText" text="Grey">
      <formula>NOT(ISERROR(SEARCH("Grey",U790)))</formula>
    </cfRule>
  </conditionalFormatting>
  <conditionalFormatting sqref="U812:U828">
    <cfRule type="containsText" dxfId="963" priority="138" operator="containsText" text="Amber">
      <formula>NOT(ISERROR(SEARCH("Amber",U812)))</formula>
    </cfRule>
    <cfRule type="containsText" dxfId="962" priority="139" operator="containsText" text="Green">
      <formula>NOT(ISERROR(SEARCH("Green",U812)))</formula>
    </cfRule>
    <cfRule type="containsText" dxfId="961" priority="140" operator="containsText" text="Grey">
      <formula>NOT(ISERROR(SEARCH("Grey",U812)))</formula>
    </cfRule>
    <cfRule type="containsText" dxfId="960" priority="137" operator="containsText" text="Red">
      <formula>NOT(ISERROR(SEARCH("Red",U812)))</formula>
    </cfRule>
  </conditionalFormatting>
  <conditionalFormatting sqref="U834:U850">
    <cfRule type="containsText" dxfId="959" priority="141" operator="containsText" text="Red">
      <formula>NOT(ISERROR(SEARCH("Red",U834)))</formula>
    </cfRule>
    <cfRule type="containsText" dxfId="958" priority="142" operator="containsText" text="Amber">
      <formula>NOT(ISERROR(SEARCH("Amber",U834)))</formula>
    </cfRule>
    <cfRule type="containsText" dxfId="957" priority="143" operator="containsText" text="Green">
      <formula>NOT(ISERROR(SEARCH("Green",U834)))</formula>
    </cfRule>
    <cfRule type="containsText" dxfId="956" priority="144" operator="containsText" text="Grey">
      <formula>NOT(ISERROR(SEARCH("Grey",U834)))</formula>
    </cfRule>
  </conditionalFormatting>
  <conditionalFormatting sqref="U856:U872">
    <cfRule type="containsText" dxfId="955" priority="146" operator="containsText" text="Amber">
      <formula>NOT(ISERROR(SEARCH("Amber",U856)))</formula>
    </cfRule>
    <cfRule type="containsText" dxfId="954" priority="147" operator="containsText" text="Green">
      <formula>NOT(ISERROR(SEARCH("Green",U856)))</formula>
    </cfRule>
    <cfRule type="containsText" dxfId="953" priority="148" operator="containsText" text="Grey">
      <formula>NOT(ISERROR(SEARCH("Grey",U856)))</formula>
    </cfRule>
    <cfRule type="containsText" dxfId="952" priority="145" operator="containsText" text="Red">
      <formula>NOT(ISERROR(SEARCH("Red",U856)))</formula>
    </cfRule>
  </conditionalFormatting>
  <conditionalFormatting sqref="U878:U894">
    <cfRule type="containsText" dxfId="951" priority="149" operator="containsText" text="Red">
      <formula>NOT(ISERROR(SEARCH("Red",U878)))</formula>
    </cfRule>
    <cfRule type="containsText" dxfId="950" priority="150" operator="containsText" text="Amber">
      <formula>NOT(ISERROR(SEARCH("Amber",U878)))</formula>
    </cfRule>
    <cfRule type="containsText" dxfId="949" priority="151" operator="containsText" text="Green">
      <formula>NOT(ISERROR(SEARCH("Green",U878)))</formula>
    </cfRule>
    <cfRule type="containsText" dxfId="948" priority="152" operator="containsText" text="Grey">
      <formula>NOT(ISERROR(SEARCH("Grey",U878)))</formula>
    </cfRule>
  </conditionalFormatting>
  <conditionalFormatting sqref="U900:U916">
    <cfRule type="containsText" dxfId="947" priority="154" operator="containsText" text="Amber">
      <formula>NOT(ISERROR(SEARCH("Amber",U900)))</formula>
    </cfRule>
    <cfRule type="containsText" dxfId="946" priority="155" operator="containsText" text="Green">
      <formula>NOT(ISERROR(SEARCH("Green",U900)))</formula>
    </cfRule>
    <cfRule type="containsText" dxfId="945" priority="156" operator="containsText" text="Grey">
      <formula>NOT(ISERROR(SEARCH("Grey",U900)))</formula>
    </cfRule>
    <cfRule type="containsText" dxfId="944" priority="153" operator="containsText" text="Red">
      <formula>NOT(ISERROR(SEARCH("Red",U900)))</formula>
    </cfRule>
  </conditionalFormatting>
  <conditionalFormatting sqref="U922:U938">
    <cfRule type="containsText" dxfId="943" priority="157" operator="containsText" text="Red">
      <formula>NOT(ISERROR(SEARCH("Red",U922)))</formula>
    </cfRule>
    <cfRule type="containsText" dxfId="942" priority="158" operator="containsText" text="Amber">
      <formula>NOT(ISERROR(SEARCH("Amber",U922)))</formula>
    </cfRule>
    <cfRule type="containsText" dxfId="941" priority="160" operator="containsText" text="Grey">
      <formula>NOT(ISERROR(SEARCH("Grey",U922)))</formula>
    </cfRule>
    <cfRule type="containsText" dxfId="940" priority="159" operator="containsText" text="Green">
      <formula>NOT(ISERROR(SEARCH("Green",U922)))</formula>
    </cfRule>
  </conditionalFormatting>
  <conditionalFormatting sqref="U944:U960">
    <cfRule type="containsText" dxfId="939" priority="162" operator="containsText" text="Amber">
      <formula>NOT(ISERROR(SEARCH("Amber",U944)))</formula>
    </cfRule>
    <cfRule type="containsText" dxfId="938" priority="163" operator="containsText" text="Green">
      <formula>NOT(ISERROR(SEARCH("Green",U944)))</formula>
    </cfRule>
    <cfRule type="containsText" dxfId="937" priority="164" operator="containsText" text="Grey">
      <formula>NOT(ISERROR(SEARCH("Grey",U944)))</formula>
    </cfRule>
    <cfRule type="containsText" dxfId="936" priority="161" operator="containsText" text="Red">
      <formula>NOT(ISERROR(SEARCH("Red",U944)))</formula>
    </cfRule>
  </conditionalFormatting>
  <conditionalFormatting sqref="U966:U982">
    <cfRule type="containsText" dxfId="935" priority="165" operator="containsText" text="Red">
      <formula>NOT(ISERROR(SEARCH("Red",U966)))</formula>
    </cfRule>
    <cfRule type="containsText" dxfId="934" priority="166" operator="containsText" text="Amber">
      <formula>NOT(ISERROR(SEARCH("Amber",U966)))</formula>
    </cfRule>
    <cfRule type="containsText" dxfId="933" priority="167" operator="containsText" text="Green">
      <formula>NOT(ISERROR(SEARCH("Green",U966)))</formula>
    </cfRule>
    <cfRule type="containsText" dxfId="932" priority="168" operator="containsText" text="Grey">
      <formula>NOT(ISERROR(SEARCH("Grey",U966)))</formula>
    </cfRule>
  </conditionalFormatting>
  <conditionalFormatting sqref="U988:U1004">
    <cfRule type="containsText" dxfId="931" priority="170" operator="containsText" text="Amber">
      <formula>NOT(ISERROR(SEARCH("Amber",U988)))</formula>
    </cfRule>
    <cfRule type="containsText" dxfId="930" priority="171" operator="containsText" text="Green">
      <formula>NOT(ISERROR(SEARCH("Green",U988)))</formula>
    </cfRule>
    <cfRule type="containsText" dxfId="929" priority="172" operator="containsText" text="Grey">
      <formula>NOT(ISERROR(SEARCH("Grey",U988)))</formula>
    </cfRule>
    <cfRule type="containsText" dxfId="928" priority="169" operator="containsText" text="Red">
      <formula>NOT(ISERROR(SEARCH("Red",U988)))</formula>
    </cfRule>
  </conditionalFormatting>
  <conditionalFormatting sqref="U1010:U1026">
    <cfRule type="containsText" dxfId="927" priority="173" operator="containsText" text="Red">
      <formula>NOT(ISERROR(SEARCH("Red",U1010)))</formula>
    </cfRule>
    <cfRule type="containsText" dxfId="926" priority="174" operator="containsText" text="Amber">
      <formula>NOT(ISERROR(SEARCH("Amber",U1010)))</formula>
    </cfRule>
    <cfRule type="containsText" dxfId="925" priority="175" operator="containsText" text="Green">
      <formula>NOT(ISERROR(SEARCH("Green",U1010)))</formula>
    </cfRule>
    <cfRule type="containsText" dxfId="924" priority="176" operator="containsText" text="Grey">
      <formula>NOT(ISERROR(SEARCH("Grey",U1010)))</formula>
    </cfRule>
  </conditionalFormatting>
  <conditionalFormatting sqref="U1032:U1048">
    <cfRule type="containsText" dxfId="923" priority="177" operator="containsText" text="Red">
      <formula>NOT(ISERROR(SEARCH("Red",U1032)))</formula>
    </cfRule>
    <cfRule type="containsText" dxfId="922" priority="178" operator="containsText" text="Amber">
      <formula>NOT(ISERROR(SEARCH("Amber",U1032)))</formula>
    </cfRule>
    <cfRule type="containsText" dxfId="921" priority="179" operator="containsText" text="Green">
      <formula>NOT(ISERROR(SEARCH("Green",U1032)))</formula>
    </cfRule>
    <cfRule type="containsText" dxfId="920" priority="180" operator="containsText" text="Grey">
      <formula>NOT(ISERROR(SEARCH("Grey",U1032)))</formula>
    </cfRule>
  </conditionalFormatting>
  <conditionalFormatting sqref="U1054:U1070">
    <cfRule type="containsText" dxfId="919" priority="181" operator="containsText" text="Red">
      <formula>NOT(ISERROR(SEARCH("Red",U1054)))</formula>
    </cfRule>
    <cfRule type="containsText" dxfId="918" priority="182" operator="containsText" text="Amber">
      <formula>NOT(ISERROR(SEARCH("Amber",U1054)))</formula>
    </cfRule>
    <cfRule type="containsText" dxfId="917" priority="183" operator="containsText" text="Green">
      <formula>NOT(ISERROR(SEARCH("Green",U1054)))</formula>
    </cfRule>
    <cfRule type="containsText" dxfId="916" priority="184" operator="containsText" text="Grey">
      <formula>NOT(ISERROR(SEARCH("Grey",U1054)))</formula>
    </cfRule>
  </conditionalFormatting>
  <conditionalFormatting sqref="U1076:U1092">
    <cfRule type="containsText" dxfId="915" priority="185" operator="containsText" text="Red">
      <formula>NOT(ISERROR(SEARCH("Red",U1076)))</formula>
    </cfRule>
    <cfRule type="containsText" dxfId="914" priority="186" operator="containsText" text="Amber">
      <formula>NOT(ISERROR(SEARCH("Amber",U1076)))</formula>
    </cfRule>
    <cfRule type="containsText" dxfId="913" priority="188" operator="containsText" text="Grey">
      <formula>NOT(ISERROR(SEARCH("Grey",U1076)))</formula>
    </cfRule>
    <cfRule type="containsText" dxfId="912" priority="187" operator="containsText" text="Green">
      <formula>NOT(ISERROR(SEARCH("Green",U1076)))</formula>
    </cfRule>
  </conditionalFormatting>
  <conditionalFormatting sqref="U1098:U1114">
    <cfRule type="containsText" dxfId="911" priority="190" operator="containsText" text="Amber">
      <formula>NOT(ISERROR(SEARCH("Amber",U1098)))</formula>
    </cfRule>
    <cfRule type="containsText" dxfId="910" priority="191" operator="containsText" text="Green">
      <formula>NOT(ISERROR(SEARCH("Green",U1098)))</formula>
    </cfRule>
    <cfRule type="containsText" dxfId="909" priority="192" operator="containsText" text="Grey">
      <formula>NOT(ISERROR(SEARCH("Grey",U1098)))</formula>
    </cfRule>
    <cfRule type="containsText" dxfId="908" priority="189" operator="containsText" text="Red">
      <formula>NOT(ISERROR(SEARCH("Red",U1098)))</formula>
    </cfRule>
  </conditionalFormatting>
  <conditionalFormatting sqref="U1120:U1136">
    <cfRule type="containsText" dxfId="907" priority="193" operator="containsText" text="Red">
      <formula>NOT(ISERROR(SEARCH("Red",U1120)))</formula>
    </cfRule>
    <cfRule type="containsText" dxfId="906" priority="194" operator="containsText" text="Amber">
      <formula>NOT(ISERROR(SEARCH("Amber",U1120)))</formula>
    </cfRule>
    <cfRule type="containsText" dxfId="905" priority="195" operator="containsText" text="Green">
      <formula>NOT(ISERROR(SEARCH("Green",U1120)))</formula>
    </cfRule>
    <cfRule type="containsText" dxfId="904" priority="196" operator="containsText" text="Grey">
      <formula>NOT(ISERROR(SEARCH("Grey",U1120)))</formula>
    </cfRule>
  </conditionalFormatting>
  <conditionalFormatting sqref="U1142:U1158">
    <cfRule type="containsText" dxfId="903" priority="198" operator="containsText" text="Amber">
      <formula>NOT(ISERROR(SEARCH("Amber",U1142)))</formula>
    </cfRule>
    <cfRule type="containsText" dxfId="902" priority="199" operator="containsText" text="Green">
      <formula>NOT(ISERROR(SEARCH("Green",U1142)))</formula>
    </cfRule>
    <cfRule type="containsText" dxfId="901" priority="200" operator="containsText" text="Grey">
      <formula>NOT(ISERROR(SEARCH("Grey",U1142)))</formula>
    </cfRule>
    <cfRule type="containsText" dxfId="900" priority="197" operator="containsText" text="Red">
      <formula>NOT(ISERROR(SEARCH("Red",U1142)))</formula>
    </cfRule>
  </conditionalFormatting>
  <conditionalFormatting sqref="U1164:U1180">
    <cfRule type="containsText" dxfId="899" priority="202" operator="containsText" text="Amber">
      <formula>NOT(ISERROR(SEARCH("Amber",U1164)))</formula>
    </cfRule>
    <cfRule type="containsText" dxfId="898" priority="203" operator="containsText" text="Green">
      <formula>NOT(ISERROR(SEARCH("Green",U1164)))</formula>
    </cfRule>
    <cfRule type="containsText" dxfId="897" priority="204" operator="containsText" text="Grey">
      <formula>NOT(ISERROR(SEARCH("Grey",U1164)))</formula>
    </cfRule>
    <cfRule type="containsText" dxfId="896" priority="201" operator="containsText" text="Red">
      <formula>NOT(ISERROR(SEARCH("Red",U1164)))</formula>
    </cfRule>
  </conditionalFormatting>
  <conditionalFormatting sqref="U1186:U1202">
    <cfRule type="containsText" dxfId="895" priority="205" operator="containsText" text="Red">
      <formula>NOT(ISERROR(SEARCH("Red",U1186)))</formula>
    </cfRule>
    <cfRule type="containsText" dxfId="894" priority="206" operator="containsText" text="Amber">
      <formula>NOT(ISERROR(SEARCH("Amber",U1186)))</formula>
    </cfRule>
    <cfRule type="containsText" dxfId="893" priority="207" operator="containsText" text="Green">
      <formula>NOT(ISERROR(SEARCH("Green",U1186)))</formula>
    </cfRule>
    <cfRule type="containsText" dxfId="892" priority="208" operator="containsText" text="Grey">
      <formula>NOT(ISERROR(SEARCH("Grey",U1186)))</formula>
    </cfRule>
  </conditionalFormatting>
  <dataValidations count="4">
    <dataValidation type="list" allowBlank="1" showInputMessage="1" showErrorMessage="1" sqref="I64:I80 I86:I102 I108:I124 I130:I146 I152:I168 I174:I190 I196:I212 I218:I234 I240:I256 I262:I278 I284:I300 I306:I322 I328:I344 I350:I366 I372:I388 I394:I410 I416:I432 I438:I454 I460:I476 I482:I498 I504:I520 I526:I542 I548:I564 I570:I586 I592:I608 I614:I630 I636:I652 I658:I674 I680:I696 I702:I718 I724:I740 I746:I762 I768:I784 I790:I806 I812:I828 I834:I850 I856:I872 I878:I894 I900:I916 I922:I938 I944:I960 I966:I982 I988:I1004 I1010:I1026 I1032:I1048 I1054:I1070 I1076:I1092 I1098:I1114 I1120:I1136 I1142:I1158 I1164:I1180 I1186:I1202" xr:uid="{00000000-0002-0000-0500-000000000000}">
      <formula1>"2,1,0,NA"</formula1>
    </dataValidation>
    <dataValidation type="list" allowBlank="1" showInputMessage="1" showErrorMessage="1" sqref="H64:H80 H86:H102 H108:H124 H130:H146 H152:H168 H174:H190 H196:H212 H218:H234 H240:H256 H262:H278 H284:H300 H306:H322 H328:H344 H350:H366 H372:H388 H394:H410 H416:H432 H438:H454 H460:H476 H482:H498 H504:H520 H526:H542 H548:H564 H570:H586 H592:H608 H614:H630 H636:H652 H658:H674 H680:H696 H702:H718 H724:H740 H746:H762 H768:H784 H790:H806 H812:H828 H834:H850 H856:H872 H878:H894 H900:H916 H922:H938 H944:H960 H966:H982 H988:H1004 H1010:H1026 H1032:H1048 H1054:H1070 H1076:H1092 H1098:H1114 H1120:H1136 H1142:H1158 H1164:H1180 H1186:H1202" xr:uid="{00000000-0002-0000-0500-000001000000}">
      <formula1>"Critical,High,Medium,Low"</formula1>
    </dataValidation>
    <dataValidation type="list" allowBlank="1" showInputMessage="1" showErrorMessage="1" sqref="S64:S80 S86:S102 S108:S124 S130:S146 S152:S168 S174:S190 S196:S212 S218:S234 S240:S256 S262:S278 S284:S300 S306:S322 S328:S344 S350:S366 S372:S388 S394:S410 S416:S432 S438:S454 S460:S476 S482:S498 S504:S520 S526:S542 S548:S564 S570:S586 S592:S608 S614:S630 S636:S652 S658:S674 S680:S696 S702:S718 S724:S740 S746:S762 S768:S784 S790:S806 S812:S828 S834:S850 S856:S872 S878:S894 S900:S916 S922:S938 S944:S960 S966:S982 S988:S1004 S1010:S1026 S1032:S1048 S1054:S1070 S1076:S1092 S1098:S1114 S1120:S1136 S1142:S1158 S1164:S1180 S1186:S1202" xr:uid="{00000000-0002-0000-0500-000002000000}">
      <formula1>"Yes,No,N/A"</formula1>
    </dataValidation>
    <dataValidation type="list" allowBlank="1" showInputMessage="1" showErrorMessage="1" sqref="T64:T80 T86:T102 T108:T124 T130:T146 T152:T168 T174:T190 T196:T212 T218:T234 T240:T256 T262:T278 T284:T300 T306:T322 T328:T344 T350:T366 T372:T388 T394:T410 T416:T432 T438:T454 T460:T476 T482:T498 T504:T520 T526:T542 T548:T564 T570:T586 T592:T608 T614:T630 T636:T652 T658:T674 T680:T696 T702:T718 T724:T740 T746:T762 T768:T784 T790:T806 T812:T828 T834:T850 T856:T872 T878:T894 T900:T916 T922:T938 T944:T960 T966:T982 T988:T1004 T1010:T1026 T1032:T1048 T1054:T1070 T1076:T1092 T1098:T1114 T1120:T1136 T1142:T1158 T1164:T1180 T1186:T1202" xr:uid="{00000000-0002-0000-0500-000003000000}">
      <formula1>"Not Started,In Progress,Completed,Verified,Closed"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944"/>
  <sheetViews>
    <sheetView showGridLines="0" workbookViewId="0">
      <selection sqref="A1:U1"/>
    </sheetView>
  </sheetViews>
  <sheetFormatPr defaultRowHeight="28" customHeight="1" x14ac:dyDescent="0.35"/>
  <cols>
    <col min="1" max="1" width="7.7265625" customWidth="1"/>
    <col min="2" max="2" width="18.7265625" customWidth="1"/>
    <col min="3" max="3" width="42.7265625" customWidth="1"/>
    <col min="4" max="4" width="28.7265625" customWidth="1"/>
    <col min="5" max="6" width="18.7265625" customWidth="1"/>
    <col min="7" max="7" width="24.7265625" customWidth="1"/>
    <col min="8" max="9" width="13.7265625" customWidth="1"/>
    <col min="10" max="10" width="28.7265625" customWidth="1"/>
    <col min="11" max="11" width="30.7265625" customWidth="1"/>
    <col min="12" max="12" width="32.7265625" customWidth="1"/>
    <col min="13" max="13" width="28.7265625" customWidth="1"/>
    <col min="14" max="14" width="32.7265625" customWidth="1"/>
    <col min="15" max="15" width="20.7265625" customWidth="1"/>
    <col min="16" max="17" width="13.7265625" customWidth="1"/>
    <col min="18" max="18" width="18.7265625" customWidth="1"/>
    <col min="19" max="20" width="14.7265625" customWidth="1"/>
    <col min="21" max="21" width="10.7265625" customWidth="1"/>
  </cols>
  <sheetData>
    <row r="1" spans="1:21" ht="28" customHeight="1" x14ac:dyDescent="0.35">
      <c r="A1" s="24" t="s">
        <v>360</v>
      </c>
      <c r="B1" s="20"/>
      <c r="C1" s="20"/>
      <c r="D1" s="20"/>
      <c r="E1" s="20"/>
      <c r="F1" s="20"/>
      <c r="G1" s="20"/>
      <c r="H1" s="20"/>
      <c r="I1" s="20"/>
      <c r="J1" s="20"/>
      <c r="K1" s="20"/>
      <c r="L1" s="20"/>
      <c r="M1" s="20"/>
      <c r="N1" s="20"/>
      <c r="O1" s="20"/>
      <c r="P1" s="20"/>
      <c r="Q1" s="20"/>
      <c r="R1" s="20"/>
      <c r="S1" s="20"/>
      <c r="T1" s="20"/>
      <c r="U1" s="21"/>
    </row>
    <row r="2" spans="1:21" ht="28" customHeight="1" x14ac:dyDescent="0.35">
      <c r="A2" s="9" t="s">
        <v>1</v>
      </c>
      <c r="B2" s="22" t="s">
        <v>2</v>
      </c>
      <c r="C2" s="23"/>
      <c r="D2" s="23"/>
      <c r="E2" s="23"/>
      <c r="F2" s="23"/>
      <c r="G2" s="23"/>
      <c r="H2" s="23"/>
      <c r="I2" s="23"/>
      <c r="J2" s="23"/>
      <c r="K2" s="23"/>
      <c r="L2" s="23"/>
      <c r="M2" s="23"/>
      <c r="N2" s="23"/>
      <c r="O2" s="23"/>
      <c r="P2" s="23"/>
      <c r="Q2" s="23"/>
      <c r="R2" s="23"/>
      <c r="S2" s="23"/>
      <c r="T2" s="23"/>
      <c r="U2" s="23"/>
    </row>
    <row r="4" spans="1:21" ht="28" customHeight="1" x14ac:dyDescent="0.3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21" ht="28" customHeight="1" x14ac:dyDescent="0.35">
      <c r="A5" s="4" t="s">
        <v>217</v>
      </c>
      <c r="B5" s="7">
        <v>46023</v>
      </c>
      <c r="C5" s="8"/>
      <c r="D5" s="3"/>
      <c r="E5" s="5">
        <f>SUMIF(I64:I75,"&gt;=0",I64:I75)</f>
        <v>0</v>
      </c>
      <c r="F5" s="5">
        <f>COUNT(I64:I75)*2</f>
        <v>0</v>
      </c>
      <c r="G5" s="6" t="str">
        <f t="shared" ref="G5:G36" si="0">IF(F5=0,"",E5/F5)</f>
        <v/>
      </c>
      <c r="H5" s="5" t="str">
        <f t="shared" ref="H5:H36" si="1">IF(G5="","Not Started",IF(G5&gt;=0.9,"Green",IF(G5&gt;=0.75,"Amber","Red")))</f>
        <v>Not Started</v>
      </c>
      <c r="I5" s="5">
        <f>COUNTIFS(H64:H75,"Critical",I64:I75,"&lt;2")+COUNTIFS(H64:H75,"High",I64:I75,"&lt;2")</f>
        <v>0</v>
      </c>
      <c r="J5" s="5">
        <f>COUNTIF(T64:T75,"In Progress")+COUNTIF(T64:T75,"Not Started")</f>
        <v>0</v>
      </c>
      <c r="K5" s="5">
        <f ca="1">COUNTIFS(P64:P75,"&lt;"&amp;TODAY(),Q64:Q75,"")</f>
        <v>0</v>
      </c>
      <c r="L5" s="3"/>
      <c r="M5" s="3"/>
      <c r="N5" s="3"/>
      <c r="O5" s="3"/>
    </row>
    <row r="6" spans="1:21" ht="28" customHeight="1" x14ac:dyDescent="0.35">
      <c r="A6" s="4" t="s">
        <v>218</v>
      </c>
      <c r="B6" s="7">
        <v>46030</v>
      </c>
      <c r="C6" s="8"/>
      <c r="D6" s="3"/>
      <c r="E6" s="5">
        <f>SUMIF(I81:I92,"&gt;=0",I81:I92)</f>
        <v>0</v>
      </c>
      <c r="F6" s="5">
        <f>COUNT(I81:I92)*2</f>
        <v>0</v>
      </c>
      <c r="G6" s="6" t="str">
        <f t="shared" si="0"/>
        <v/>
      </c>
      <c r="H6" s="5" t="str">
        <f t="shared" si="1"/>
        <v>Not Started</v>
      </c>
      <c r="I6" s="5">
        <f>COUNTIFS(H81:H92,"Critical",I81:I92,"&lt;2")+COUNTIFS(H81:H92,"High",I81:I92,"&lt;2")</f>
        <v>0</v>
      </c>
      <c r="J6" s="5">
        <f>COUNTIF(T81:T92,"In Progress")+COUNTIF(T81:T92,"Not Started")</f>
        <v>0</v>
      </c>
      <c r="K6" s="5">
        <f ca="1">COUNTIFS(P81:P92,"&lt;"&amp;TODAY(),Q81:Q92,"")</f>
        <v>0</v>
      </c>
      <c r="L6" s="3"/>
      <c r="M6" s="3"/>
      <c r="N6" s="3"/>
      <c r="O6" s="3"/>
    </row>
    <row r="7" spans="1:21" ht="28" customHeight="1" x14ac:dyDescent="0.35">
      <c r="A7" s="4" t="s">
        <v>219</v>
      </c>
      <c r="B7" s="7">
        <v>46037</v>
      </c>
      <c r="C7" s="8"/>
      <c r="D7" s="3"/>
      <c r="E7" s="5">
        <f>SUMIF(I98:I109,"&gt;=0",I98:I109)</f>
        <v>0</v>
      </c>
      <c r="F7" s="5">
        <f>COUNT(I98:I109)*2</f>
        <v>0</v>
      </c>
      <c r="G7" s="6" t="str">
        <f t="shared" si="0"/>
        <v/>
      </c>
      <c r="H7" s="5" t="str">
        <f t="shared" si="1"/>
        <v>Not Started</v>
      </c>
      <c r="I7" s="5">
        <f>COUNTIFS(H98:H109,"Critical",I98:I109,"&lt;2")+COUNTIFS(H98:H109,"High",I98:I109,"&lt;2")</f>
        <v>0</v>
      </c>
      <c r="J7" s="5">
        <f>COUNTIF(T98:T109,"In Progress")+COUNTIF(T98:T109,"Not Started")</f>
        <v>0</v>
      </c>
      <c r="K7" s="5">
        <f ca="1">COUNTIFS(P98:P109,"&lt;"&amp;TODAY(),Q98:Q109,"")</f>
        <v>0</v>
      </c>
      <c r="L7" s="3"/>
      <c r="M7" s="3"/>
      <c r="N7" s="3"/>
      <c r="O7" s="3"/>
    </row>
    <row r="8" spans="1:21" ht="28" customHeight="1" x14ac:dyDescent="0.35">
      <c r="A8" s="4" t="s">
        <v>220</v>
      </c>
      <c r="B8" s="7">
        <v>46044</v>
      </c>
      <c r="C8" s="8"/>
      <c r="D8" s="3"/>
      <c r="E8" s="5">
        <f>SUMIF(I115:I126,"&gt;=0",I115:I126)</f>
        <v>0</v>
      </c>
      <c r="F8" s="5">
        <f>COUNT(I115:I126)*2</f>
        <v>0</v>
      </c>
      <c r="G8" s="6" t="str">
        <f t="shared" si="0"/>
        <v/>
      </c>
      <c r="H8" s="5" t="str">
        <f t="shared" si="1"/>
        <v>Not Started</v>
      </c>
      <c r="I8" s="5">
        <f>COUNTIFS(H115:H126,"Critical",I115:I126,"&lt;2")+COUNTIFS(H115:H126,"High",I115:I126,"&lt;2")</f>
        <v>0</v>
      </c>
      <c r="J8" s="5">
        <f>COUNTIF(T115:T126,"In Progress")+COUNTIF(T115:T126,"Not Started")</f>
        <v>0</v>
      </c>
      <c r="K8" s="5">
        <f ca="1">COUNTIFS(P115:P126,"&lt;"&amp;TODAY(),Q115:Q126,"")</f>
        <v>0</v>
      </c>
      <c r="L8" s="3"/>
      <c r="M8" s="3"/>
      <c r="N8" s="3"/>
      <c r="O8" s="3"/>
    </row>
    <row r="9" spans="1:21" ht="28" customHeight="1" x14ac:dyDescent="0.35">
      <c r="A9" s="4" t="s">
        <v>221</v>
      </c>
      <c r="B9" s="7">
        <v>46051</v>
      </c>
      <c r="C9" s="8"/>
      <c r="D9" s="3"/>
      <c r="E9" s="5">
        <f>SUMIF(I132:I143,"&gt;=0",I132:I143)</f>
        <v>0</v>
      </c>
      <c r="F9" s="5">
        <f>COUNT(I132:I143)*2</f>
        <v>0</v>
      </c>
      <c r="G9" s="6" t="str">
        <f t="shared" si="0"/>
        <v/>
      </c>
      <c r="H9" s="5" t="str">
        <f t="shared" si="1"/>
        <v>Not Started</v>
      </c>
      <c r="I9" s="5">
        <f>COUNTIFS(H132:H143,"Critical",I132:I143,"&lt;2")+COUNTIFS(H132:H143,"High",I132:I143,"&lt;2")</f>
        <v>0</v>
      </c>
      <c r="J9" s="5">
        <f>COUNTIF(T132:T143,"In Progress")+COUNTIF(T132:T143,"Not Started")</f>
        <v>0</v>
      </c>
      <c r="K9" s="5">
        <f ca="1">COUNTIFS(P132:P143,"&lt;"&amp;TODAY(),Q132:Q143,"")</f>
        <v>0</v>
      </c>
      <c r="L9" s="3"/>
      <c r="M9" s="3"/>
      <c r="N9" s="3"/>
      <c r="O9" s="3"/>
    </row>
    <row r="10" spans="1:21" ht="28" customHeight="1" x14ac:dyDescent="0.35">
      <c r="A10" s="4" t="s">
        <v>222</v>
      </c>
      <c r="B10" s="7">
        <v>46058</v>
      </c>
      <c r="C10" s="8"/>
      <c r="D10" s="3"/>
      <c r="E10" s="5">
        <f>SUMIF(I149:I160,"&gt;=0",I149:I160)</f>
        <v>0</v>
      </c>
      <c r="F10" s="5">
        <f>COUNT(I149:I160)*2</f>
        <v>0</v>
      </c>
      <c r="G10" s="6" t="str">
        <f t="shared" si="0"/>
        <v/>
      </c>
      <c r="H10" s="5" t="str">
        <f t="shared" si="1"/>
        <v>Not Started</v>
      </c>
      <c r="I10" s="5">
        <f>COUNTIFS(H149:H160,"Critical",I149:I160,"&lt;2")+COUNTIFS(H149:H160,"High",I149:I160,"&lt;2")</f>
        <v>0</v>
      </c>
      <c r="J10" s="5">
        <f>COUNTIF(T149:T160,"In Progress")+COUNTIF(T149:T160,"Not Started")</f>
        <v>0</v>
      </c>
      <c r="K10" s="5">
        <f ca="1">COUNTIFS(P149:P160,"&lt;"&amp;TODAY(),Q149:Q160,"")</f>
        <v>0</v>
      </c>
      <c r="L10" s="3"/>
      <c r="M10" s="3"/>
      <c r="N10" s="3"/>
      <c r="O10" s="3"/>
    </row>
    <row r="11" spans="1:21" ht="28" customHeight="1" x14ac:dyDescent="0.35">
      <c r="A11" s="4" t="s">
        <v>223</v>
      </c>
      <c r="B11" s="7">
        <v>46065</v>
      </c>
      <c r="C11" s="8"/>
      <c r="D11" s="3"/>
      <c r="E11" s="5">
        <f>SUMIF(I166:I177,"&gt;=0",I166:I177)</f>
        <v>0</v>
      </c>
      <c r="F11" s="5">
        <f>COUNT(I166:I177)*2</f>
        <v>0</v>
      </c>
      <c r="G11" s="6" t="str">
        <f t="shared" si="0"/>
        <v/>
      </c>
      <c r="H11" s="5" t="str">
        <f t="shared" si="1"/>
        <v>Not Started</v>
      </c>
      <c r="I11" s="5">
        <f>COUNTIFS(H166:H177,"Critical",I166:I177,"&lt;2")+COUNTIFS(H166:H177,"High",I166:I177,"&lt;2")</f>
        <v>0</v>
      </c>
      <c r="J11" s="5">
        <f>COUNTIF(T166:T177,"In Progress")+COUNTIF(T166:T177,"Not Started")</f>
        <v>0</v>
      </c>
      <c r="K11" s="5">
        <f ca="1">COUNTIFS(P166:P177,"&lt;"&amp;TODAY(),Q166:Q177,"")</f>
        <v>0</v>
      </c>
      <c r="L11" s="3"/>
      <c r="M11" s="3"/>
      <c r="N11" s="3"/>
      <c r="O11" s="3"/>
    </row>
    <row r="12" spans="1:21" ht="28" customHeight="1" x14ac:dyDescent="0.35">
      <c r="A12" s="4" t="s">
        <v>224</v>
      </c>
      <c r="B12" s="7">
        <v>46072</v>
      </c>
      <c r="C12" s="8"/>
      <c r="D12" s="3"/>
      <c r="E12" s="5">
        <f>SUMIF(I183:I194,"&gt;=0",I183:I194)</f>
        <v>0</v>
      </c>
      <c r="F12" s="5">
        <f>COUNT(I183:I194)*2</f>
        <v>0</v>
      </c>
      <c r="G12" s="6" t="str">
        <f t="shared" si="0"/>
        <v/>
      </c>
      <c r="H12" s="5" t="str">
        <f t="shared" si="1"/>
        <v>Not Started</v>
      </c>
      <c r="I12" s="5">
        <f>COUNTIFS(H183:H194,"Critical",I183:I194,"&lt;2")+COUNTIFS(H183:H194,"High",I183:I194,"&lt;2")</f>
        <v>0</v>
      </c>
      <c r="J12" s="5">
        <f>COUNTIF(T183:T194,"In Progress")+COUNTIF(T183:T194,"Not Started")</f>
        <v>0</v>
      </c>
      <c r="K12" s="5">
        <f ca="1">COUNTIFS(P183:P194,"&lt;"&amp;TODAY(),Q183:Q194,"")</f>
        <v>0</v>
      </c>
      <c r="L12" s="3"/>
      <c r="M12" s="3"/>
      <c r="N12" s="3"/>
      <c r="O12" s="3"/>
    </row>
    <row r="13" spans="1:21" ht="28" customHeight="1" x14ac:dyDescent="0.35">
      <c r="A13" s="4" t="s">
        <v>225</v>
      </c>
      <c r="B13" s="7">
        <v>46079</v>
      </c>
      <c r="C13" s="8"/>
      <c r="D13" s="3"/>
      <c r="E13" s="5">
        <f>SUMIF(I200:I211,"&gt;=0",I200:I211)</f>
        <v>0</v>
      </c>
      <c r="F13" s="5">
        <f>COUNT(I200:I211)*2</f>
        <v>0</v>
      </c>
      <c r="G13" s="6" t="str">
        <f t="shared" si="0"/>
        <v/>
      </c>
      <c r="H13" s="5" t="str">
        <f t="shared" si="1"/>
        <v>Not Started</v>
      </c>
      <c r="I13" s="5">
        <f>COUNTIFS(H200:H211,"Critical",I200:I211,"&lt;2")+COUNTIFS(H200:H211,"High",I200:I211,"&lt;2")</f>
        <v>0</v>
      </c>
      <c r="J13" s="5">
        <f>COUNTIF(T200:T211,"In Progress")+COUNTIF(T200:T211,"Not Started")</f>
        <v>0</v>
      </c>
      <c r="K13" s="5">
        <f ca="1">COUNTIFS(P200:P211,"&lt;"&amp;TODAY(),Q200:Q211,"")</f>
        <v>0</v>
      </c>
      <c r="L13" s="3"/>
      <c r="M13" s="3"/>
      <c r="N13" s="3"/>
      <c r="O13" s="3"/>
    </row>
    <row r="14" spans="1:21" ht="28" customHeight="1" x14ac:dyDescent="0.35">
      <c r="A14" s="4" t="s">
        <v>226</v>
      </c>
      <c r="B14" s="7">
        <v>46086</v>
      </c>
      <c r="C14" s="8"/>
      <c r="D14" s="3"/>
      <c r="E14" s="5">
        <f>SUMIF(I217:I228,"&gt;=0",I217:I228)</f>
        <v>0</v>
      </c>
      <c r="F14" s="5">
        <f>COUNT(I217:I228)*2</f>
        <v>0</v>
      </c>
      <c r="G14" s="6" t="str">
        <f t="shared" si="0"/>
        <v/>
      </c>
      <c r="H14" s="5" t="str">
        <f t="shared" si="1"/>
        <v>Not Started</v>
      </c>
      <c r="I14" s="5">
        <f>COUNTIFS(H217:H228,"Critical",I217:I228,"&lt;2")+COUNTIFS(H217:H228,"High",I217:I228,"&lt;2")</f>
        <v>0</v>
      </c>
      <c r="J14" s="5">
        <f>COUNTIF(T217:T228,"In Progress")+COUNTIF(T217:T228,"Not Started")</f>
        <v>0</v>
      </c>
      <c r="K14" s="5">
        <f ca="1">COUNTIFS(P217:P228,"&lt;"&amp;TODAY(),Q217:Q228,"")</f>
        <v>0</v>
      </c>
      <c r="L14" s="3"/>
      <c r="M14" s="3"/>
      <c r="N14" s="3"/>
      <c r="O14" s="3"/>
    </row>
    <row r="15" spans="1:21" ht="28" customHeight="1" x14ac:dyDescent="0.35">
      <c r="A15" s="4" t="s">
        <v>227</v>
      </c>
      <c r="B15" s="7">
        <v>46093</v>
      </c>
      <c r="C15" s="8"/>
      <c r="D15" s="3"/>
      <c r="E15" s="5">
        <f>SUMIF(I234:I245,"&gt;=0",I234:I245)</f>
        <v>0</v>
      </c>
      <c r="F15" s="5">
        <f>COUNT(I234:I245)*2</f>
        <v>0</v>
      </c>
      <c r="G15" s="6" t="str">
        <f t="shared" si="0"/>
        <v/>
      </c>
      <c r="H15" s="5" t="str">
        <f t="shared" si="1"/>
        <v>Not Started</v>
      </c>
      <c r="I15" s="5">
        <f>COUNTIFS(H234:H245,"Critical",I234:I245,"&lt;2")+COUNTIFS(H234:H245,"High",I234:I245,"&lt;2")</f>
        <v>0</v>
      </c>
      <c r="J15" s="5">
        <f>COUNTIF(T234:T245,"In Progress")+COUNTIF(T234:T245,"Not Started")</f>
        <v>0</v>
      </c>
      <c r="K15" s="5">
        <f ca="1">COUNTIFS(P234:P245,"&lt;"&amp;TODAY(),Q234:Q245,"")</f>
        <v>0</v>
      </c>
      <c r="L15" s="3"/>
      <c r="M15" s="3"/>
      <c r="N15" s="3"/>
      <c r="O15" s="3"/>
    </row>
    <row r="16" spans="1:21" ht="28" customHeight="1" x14ac:dyDescent="0.35">
      <c r="A16" s="4" t="s">
        <v>228</v>
      </c>
      <c r="B16" s="7">
        <v>46100</v>
      </c>
      <c r="C16" s="8"/>
      <c r="D16" s="3"/>
      <c r="E16" s="5">
        <f>SUMIF(I251:I262,"&gt;=0",I251:I262)</f>
        <v>0</v>
      </c>
      <c r="F16" s="5">
        <f>COUNT(I251:I262)*2</f>
        <v>0</v>
      </c>
      <c r="G16" s="6" t="str">
        <f t="shared" si="0"/>
        <v/>
      </c>
      <c r="H16" s="5" t="str">
        <f t="shared" si="1"/>
        <v>Not Started</v>
      </c>
      <c r="I16" s="5">
        <f>COUNTIFS(H251:H262,"Critical",I251:I262,"&lt;2")+COUNTIFS(H251:H262,"High",I251:I262,"&lt;2")</f>
        <v>0</v>
      </c>
      <c r="J16" s="5">
        <f>COUNTIF(T251:T262,"In Progress")+COUNTIF(T251:T262,"Not Started")</f>
        <v>0</v>
      </c>
      <c r="K16" s="5">
        <f ca="1">COUNTIFS(P251:P262,"&lt;"&amp;TODAY(),Q251:Q262,"")</f>
        <v>0</v>
      </c>
      <c r="L16" s="3"/>
      <c r="M16" s="3"/>
      <c r="N16" s="3"/>
      <c r="O16" s="3"/>
    </row>
    <row r="17" spans="1:15" ht="28" customHeight="1" x14ac:dyDescent="0.35">
      <c r="A17" s="4" t="s">
        <v>229</v>
      </c>
      <c r="B17" s="7">
        <v>46107</v>
      </c>
      <c r="C17" s="8"/>
      <c r="D17" s="3"/>
      <c r="E17" s="5">
        <f>SUMIF(I268:I279,"&gt;=0",I268:I279)</f>
        <v>0</v>
      </c>
      <c r="F17" s="5">
        <f>COUNT(I268:I279)*2</f>
        <v>0</v>
      </c>
      <c r="G17" s="6" t="str">
        <f t="shared" si="0"/>
        <v/>
      </c>
      <c r="H17" s="5" t="str">
        <f t="shared" si="1"/>
        <v>Not Started</v>
      </c>
      <c r="I17" s="5">
        <f>COUNTIFS(H268:H279,"Critical",I268:I279,"&lt;2")+COUNTIFS(H268:H279,"High",I268:I279,"&lt;2")</f>
        <v>0</v>
      </c>
      <c r="J17" s="5">
        <f>COUNTIF(T268:T279,"In Progress")+COUNTIF(T268:T279,"Not Started")</f>
        <v>0</v>
      </c>
      <c r="K17" s="5">
        <f ca="1">COUNTIFS(P268:P279,"&lt;"&amp;TODAY(),Q268:Q279,"")</f>
        <v>0</v>
      </c>
      <c r="L17" s="3"/>
      <c r="M17" s="3"/>
      <c r="N17" s="3"/>
      <c r="O17" s="3"/>
    </row>
    <row r="18" spans="1:15" ht="28" customHeight="1" x14ac:dyDescent="0.35">
      <c r="A18" s="4" t="s">
        <v>230</v>
      </c>
      <c r="B18" s="7">
        <v>46114</v>
      </c>
      <c r="C18" s="8"/>
      <c r="D18" s="3"/>
      <c r="E18" s="5">
        <f>SUMIF(I285:I296,"&gt;=0",I285:I296)</f>
        <v>0</v>
      </c>
      <c r="F18" s="5">
        <f>COUNT(I285:I296)*2</f>
        <v>0</v>
      </c>
      <c r="G18" s="6" t="str">
        <f t="shared" si="0"/>
        <v/>
      </c>
      <c r="H18" s="5" t="str">
        <f t="shared" si="1"/>
        <v>Not Started</v>
      </c>
      <c r="I18" s="5">
        <f>COUNTIFS(H285:H296,"Critical",I285:I296,"&lt;2")+COUNTIFS(H285:H296,"High",I285:I296,"&lt;2")</f>
        <v>0</v>
      </c>
      <c r="J18" s="5">
        <f>COUNTIF(T285:T296,"In Progress")+COUNTIF(T285:T296,"Not Started")</f>
        <v>0</v>
      </c>
      <c r="K18" s="5">
        <f ca="1">COUNTIFS(P285:P296,"&lt;"&amp;TODAY(),Q285:Q296,"")</f>
        <v>0</v>
      </c>
      <c r="L18" s="3"/>
      <c r="M18" s="3"/>
      <c r="N18" s="3"/>
      <c r="O18" s="3"/>
    </row>
    <row r="19" spans="1:15" ht="28" customHeight="1" x14ac:dyDescent="0.35">
      <c r="A19" s="4" t="s">
        <v>231</v>
      </c>
      <c r="B19" s="7">
        <v>46121</v>
      </c>
      <c r="C19" s="8"/>
      <c r="D19" s="3"/>
      <c r="E19" s="5">
        <f>SUMIF(I302:I313,"&gt;=0",I302:I313)</f>
        <v>0</v>
      </c>
      <c r="F19" s="5">
        <f>COUNT(I302:I313)*2</f>
        <v>0</v>
      </c>
      <c r="G19" s="6" t="str">
        <f t="shared" si="0"/>
        <v/>
      </c>
      <c r="H19" s="5" t="str">
        <f t="shared" si="1"/>
        <v>Not Started</v>
      </c>
      <c r="I19" s="5">
        <f>COUNTIFS(H302:H313,"Critical",I302:I313,"&lt;2")+COUNTIFS(H302:H313,"High",I302:I313,"&lt;2")</f>
        <v>0</v>
      </c>
      <c r="J19" s="5">
        <f>COUNTIF(T302:T313,"In Progress")+COUNTIF(T302:T313,"Not Started")</f>
        <v>0</v>
      </c>
      <c r="K19" s="5">
        <f ca="1">COUNTIFS(P302:P313,"&lt;"&amp;TODAY(),Q302:Q313,"")</f>
        <v>0</v>
      </c>
      <c r="L19" s="3"/>
      <c r="M19" s="3"/>
      <c r="N19" s="3"/>
      <c r="O19" s="3"/>
    </row>
    <row r="20" spans="1:15" ht="28" customHeight="1" x14ac:dyDescent="0.35">
      <c r="A20" s="4" t="s">
        <v>232</v>
      </c>
      <c r="B20" s="7">
        <v>46128</v>
      </c>
      <c r="C20" s="8"/>
      <c r="D20" s="3"/>
      <c r="E20" s="5">
        <f>SUMIF(I319:I330,"&gt;=0",I319:I330)</f>
        <v>0</v>
      </c>
      <c r="F20" s="5">
        <f>COUNT(I319:I330)*2</f>
        <v>0</v>
      </c>
      <c r="G20" s="6" t="str">
        <f t="shared" si="0"/>
        <v/>
      </c>
      <c r="H20" s="5" t="str">
        <f t="shared" si="1"/>
        <v>Not Started</v>
      </c>
      <c r="I20" s="5">
        <f>COUNTIFS(H319:H330,"Critical",I319:I330,"&lt;2")+COUNTIFS(H319:H330,"High",I319:I330,"&lt;2")</f>
        <v>0</v>
      </c>
      <c r="J20" s="5">
        <f>COUNTIF(T319:T330,"In Progress")+COUNTIF(T319:T330,"Not Started")</f>
        <v>0</v>
      </c>
      <c r="K20" s="5">
        <f ca="1">COUNTIFS(P319:P330,"&lt;"&amp;TODAY(),Q319:Q330,"")</f>
        <v>0</v>
      </c>
      <c r="L20" s="3"/>
      <c r="M20" s="3"/>
      <c r="N20" s="3"/>
      <c r="O20" s="3"/>
    </row>
    <row r="21" spans="1:15" ht="28" customHeight="1" x14ac:dyDescent="0.35">
      <c r="A21" s="4" t="s">
        <v>233</v>
      </c>
      <c r="B21" s="7">
        <v>46135</v>
      </c>
      <c r="C21" s="8"/>
      <c r="D21" s="3"/>
      <c r="E21" s="5">
        <f>SUMIF(I336:I347,"&gt;=0",I336:I347)</f>
        <v>0</v>
      </c>
      <c r="F21" s="5">
        <f>COUNT(I336:I347)*2</f>
        <v>0</v>
      </c>
      <c r="G21" s="6" t="str">
        <f t="shared" si="0"/>
        <v/>
      </c>
      <c r="H21" s="5" t="str">
        <f t="shared" si="1"/>
        <v>Not Started</v>
      </c>
      <c r="I21" s="5">
        <f>COUNTIFS(H336:H347,"Critical",I336:I347,"&lt;2")+COUNTIFS(H336:H347,"High",I336:I347,"&lt;2")</f>
        <v>0</v>
      </c>
      <c r="J21" s="5">
        <f>COUNTIF(T336:T347,"In Progress")+COUNTIF(T336:T347,"Not Started")</f>
        <v>0</v>
      </c>
      <c r="K21" s="5">
        <f ca="1">COUNTIFS(P336:P347,"&lt;"&amp;TODAY(),Q336:Q347,"")</f>
        <v>0</v>
      </c>
      <c r="L21" s="3"/>
      <c r="M21" s="3"/>
      <c r="N21" s="3"/>
      <c r="O21" s="3"/>
    </row>
    <row r="22" spans="1:15" ht="28" customHeight="1" x14ac:dyDescent="0.35">
      <c r="A22" s="4" t="s">
        <v>234</v>
      </c>
      <c r="B22" s="7">
        <v>46142</v>
      </c>
      <c r="C22" s="8"/>
      <c r="D22" s="3"/>
      <c r="E22" s="5">
        <f>SUMIF(I353:I364,"&gt;=0",I353:I364)</f>
        <v>0</v>
      </c>
      <c r="F22" s="5">
        <f>COUNT(I353:I364)*2</f>
        <v>0</v>
      </c>
      <c r="G22" s="6" t="str">
        <f t="shared" si="0"/>
        <v/>
      </c>
      <c r="H22" s="5" t="str">
        <f t="shared" si="1"/>
        <v>Not Started</v>
      </c>
      <c r="I22" s="5">
        <f>COUNTIFS(H353:H364,"Critical",I353:I364,"&lt;2")+COUNTIFS(H353:H364,"High",I353:I364,"&lt;2")</f>
        <v>0</v>
      </c>
      <c r="J22" s="5">
        <f>COUNTIF(T353:T364,"In Progress")+COUNTIF(T353:T364,"Not Started")</f>
        <v>0</v>
      </c>
      <c r="K22" s="5">
        <f ca="1">COUNTIFS(P353:P364,"&lt;"&amp;TODAY(),Q353:Q364,"")</f>
        <v>0</v>
      </c>
      <c r="L22" s="3"/>
      <c r="M22" s="3"/>
      <c r="N22" s="3"/>
      <c r="O22" s="3"/>
    </row>
    <row r="23" spans="1:15" ht="28" customHeight="1" x14ac:dyDescent="0.35">
      <c r="A23" s="4" t="s">
        <v>235</v>
      </c>
      <c r="B23" s="7">
        <v>46149</v>
      </c>
      <c r="C23" s="8"/>
      <c r="D23" s="3"/>
      <c r="E23" s="5">
        <f>SUMIF(I370:I381,"&gt;=0",I370:I381)</f>
        <v>0</v>
      </c>
      <c r="F23" s="5">
        <f>COUNT(I370:I381)*2</f>
        <v>0</v>
      </c>
      <c r="G23" s="6" t="str">
        <f t="shared" si="0"/>
        <v/>
      </c>
      <c r="H23" s="5" t="str">
        <f t="shared" si="1"/>
        <v>Not Started</v>
      </c>
      <c r="I23" s="5">
        <f>COUNTIFS(H370:H381,"Critical",I370:I381,"&lt;2")+COUNTIFS(H370:H381,"High",I370:I381,"&lt;2")</f>
        <v>0</v>
      </c>
      <c r="J23" s="5">
        <f>COUNTIF(T370:T381,"In Progress")+COUNTIF(T370:T381,"Not Started")</f>
        <v>0</v>
      </c>
      <c r="K23" s="5">
        <f ca="1">COUNTIFS(P370:P381,"&lt;"&amp;TODAY(),Q370:Q381,"")</f>
        <v>0</v>
      </c>
      <c r="L23" s="3"/>
      <c r="M23" s="3"/>
      <c r="N23" s="3"/>
      <c r="O23" s="3"/>
    </row>
    <row r="24" spans="1:15" ht="28" customHeight="1" x14ac:dyDescent="0.35">
      <c r="A24" s="4" t="s">
        <v>236</v>
      </c>
      <c r="B24" s="7">
        <v>46156</v>
      </c>
      <c r="C24" s="8"/>
      <c r="D24" s="3"/>
      <c r="E24" s="5">
        <f>SUMIF(I387:I398,"&gt;=0",I387:I398)</f>
        <v>0</v>
      </c>
      <c r="F24" s="5">
        <f>COUNT(I387:I398)*2</f>
        <v>0</v>
      </c>
      <c r="G24" s="6" t="str">
        <f t="shared" si="0"/>
        <v/>
      </c>
      <c r="H24" s="5" t="str">
        <f t="shared" si="1"/>
        <v>Not Started</v>
      </c>
      <c r="I24" s="5">
        <f>COUNTIFS(H387:H398,"Critical",I387:I398,"&lt;2")+COUNTIFS(H387:H398,"High",I387:I398,"&lt;2")</f>
        <v>0</v>
      </c>
      <c r="J24" s="5">
        <f>COUNTIF(T387:T398,"In Progress")+COUNTIF(T387:T398,"Not Started")</f>
        <v>0</v>
      </c>
      <c r="K24" s="5">
        <f ca="1">COUNTIFS(P387:P398,"&lt;"&amp;TODAY(),Q387:Q398,"")</f>
        <v>0</v>
      </c>
      <c r="L24" s="3"/>
      <c r="M24" s="3"/>
      <c r="N24" s="3"/>
      <c r="O24" s="3"/>
    </row>
    <row r="25" spans="1:15" ht="28" customHeight="1" x14ac:dyDescent="0.35">
      <c r="A25" s="4" t="s">
        <v>237</v>
      </c>
      <c r="B25" s="7">
        <v>46163</v>
      </c>
      <c r="C25" s="8"/>
      <c r="D25" s="3"/>
      <c r="E25" s="5">
        <f>SUMIF(I404:I415,"&gt;=0",I404:I415)</f>
        <v>0</v>
      </c>
      <c r="F25" s="5">
        <f>COUNT(I404:I415)*2</f>
        <v>0</v>
      </c>
      <c r="G25" s="6" t="str">
        <f t="shared" si="0"/>
        <v/>
      </c>
      <c r="H25" s="5" t="str">
        <f t="shared" si="1"/>
        <v>Not Started</v>
      </c>
      <c r="I25" s="5">
        <f>COUNTIFS(H404:H415,"Critical",I404:I415,"&lt;2")+COUNTIFS(H404:H415,"High",I404:I415,"&lt;2")</f>
        <v>0</v>
      </c>
      <c r="J25" s="5">
        <f>COUNTIF(T404:T415,"In Progress")+COUNTIF(T404:T415,"Not Started")</f>
        <v>0</v>
      </c>
      <c r="K25" s="5">
        <f ca="1">COUNTIFS(P404:P415,"&lt;"&amp;TODAY(),Q404:Q415,"")</f>
        <v>0</v>
      </c>
      <c r="L25" s="3"/>
      <c r="M25" s="3"/>
      <c r="N25" s="3"/>
      <c r="O25" s="3"/>
    </row>
    <row r="26" spans="1:15" ht="28" customHeight="1" x14ac:dyDescent="0.35">
      <c r="A26" s="4" t="s">
        <v>238</v>
      </c>
      <c r="B26" s="7">
        <v>46170</v>
      </c>
      <c r="C26" s="8"/>
      <c r="D26" s="3"/>
      <c r="E26" s="5">
        <f>SUMIF(I421:I432,"&gt;=0",I421:I432)</f>
        <v>0</v>
      </c>
      <c r="F26" s="5">
        <f>COUNT(I421:I432)*2</f>
        <v>0</v>
      </c>
      <c r="G26" s="6" t="str">
        <f t="shared" si="0"/>
        <v/>
      </c>
      <c r="H26" s="5" t="str">
        <f t="shared" si="1"/>
        <v>Not Started</v>
      </c>
      <c r="I26" s="5">
        <f>COUNTIFS(H421:H432,"Critical",I421:I432,"&lt;2")+COUNTIFS(H421:H432,"High",I421:I432,"&lt;2")</f>
        <v>0</v>
      </c>
      <c r="J26" s="5">
        <f>COUNTIF(T421:T432,"In Progress")+COUNTIF(T421:T432,"Not Started")</f>
        <v>0</v>
      </c>
      <c r="K26" s="5">
        <f ca="1">COUNTIFS(P421:P432,"&lt;"&amp;TODAY(),Q421:Q432,"")</f>
        <v>0</v>
      </c>
      <c r="L26" s="3"/>
      <c r="M26" s="3"/>
      <c r="N26" s="3"/>
      <c r="O26" s="3"/>
    </row>
    <row r="27" spans="1:15" ht="28" customHeight="1" x14ac:dyDescent="0.35">
      <c r="A27" s="4" t="s">
        <v>239</v>
      </c>
      <c r="B27" s="7">
        <v>46177</v>
      </c>
      <c r="C27" s="8"/>
      <c r="D27" s="3"/>
      <c r="E27" s="5">
        <f>SUMIF(I438:I449,"&gt;=0",I438:I449)</f>
        <v>0</v>
      </c>
      <c r="F27" s="5">
        <f>COUNT(I438:I449)*2</f>
        <v>0</v>
      </c>
      <c r="G27" s="6" t="str">
        <f t="shared" si="0"/>
        <v/>
      </c>
      <c r="H27" s="5" t="str">
        <f t="shared" si="1"/>
        <v>Not Started</v>
      </c>
      <c r="I27" s="5">
        <f>COUNTIFS(H438:H449,"Critical",I438:I449,"&lt;2")+COUNTIFS(H438:H449,"High",I438:I449,"&lt;2")</f>
        <v>0</v>
      </c>
      <c r="J27" s="5">
        <f>COUNTIF(T438:T449,"In Progress")+COUNTIF(T438:T449,"Not Started")</f>
        <v>0</v>
      </c>
      <c r="K27" s="5">
        <f ca="1">COUNTIFS(P438:P449,"&lt;"&amp;TODAY(),Q438:Q449,"")</f>
        <v>0</v>
      </c>
      <c r="L27" s="3"/>
      <c r="M27" s="3"/>
      <c r="N27" s="3"/>
      <c r="O27" s="3"/>
    </row>
    <row r="28" spans="1:15" ht="28" customHeight="1" x14ac:dyDescent="0.35">
      <c r="A28" s="4" t="s">
        <v>240</v>
      </c>
      <c r="B28" s="7">
        <v>46184</v>
      </c>
      <c r="C28" s="8"/>
      <c r="D28" s="3"/>
      <c r="E28" s="5">
        <f>SUMIF(I455:I466,"&gt;=0",I455:I466)</f>
        <v>0</v>
      </c>
      <c r="F28" s="5">
        <f>COUNT(I455:I466)*2</f>
        <v>0</v>
      </c>
      <c r="G28" s="6" t="str">
        <f t="shared" si="0"/>
        <v/>
      </c>
      <c r="H28" s="5" t="str">
        <f t="shared" si="1"/>
        <v>Not Started</v>
      </c>
      <c r="I28" s="5">
        <f>COUNTIFS(H455:H466,"Critical",I455:I466,"&lt;2")+COUNTIFS(H455:H466,"High",I455:I466,"&lt;2")</f>
        <v>0</v>
      </c>
      <c r="J28" s="5">
        <f>COUNTIF(T455:T466,"In Progress")+COUNTIF(T455:T466,"Not Started")</f>
        <v>0</v>
      </c>
      <c r="K28" s="5">
        <f ca="1">COUNTIFS(P455:P466,"&lt;"&amp;TODAY(),Q455:Q466,"")</f>
        <v>0</v>
      </c>
      <c r="L28" s="3"/>
      <c r="M28" s="3"/>
      <c r="N28" s="3"/>
      <c r="O28" s="3"/>
    </row>
    <row r="29" spans="1:15" ht="28" customHeight="1" x14ac:dyDescent="0.35">
      <c r="A29" s="4" t="s">
        <v>241</v>
      </c>
      <c r="B29" s="7">
        <v>46191</v>
      </c>
      <c r="C29" s="8"/>
      <c r="D29" s="3"/>
      <c r="E29" s="5">
        <f>SUMIF(I472:I483,"&gt;=0",I472:I483)</f>
        <v>0</v>
      </c>
      <c r="F29" s="5">
        <f>COUNT(I472:I483)*2</f>
        <v>0</v>
      </c>
      <c r="G29" s="6" t="str">
        <f t="shared" si="0"/>
        <v/>
      </c>
      <c r="H29" s="5" t="str">
        <f t="shared" si="1"/>
        <v>Not Started</v>
      </c>
      <c r="I29" s="5">
        <f>COUNTIFS(H472:H483,"Critical",I472:I483,"&lt;2")+COUNTIFS(H472:H483,"High",I472:I483,"&lt;2")</f>
        <v>0</v>
      </c>
      <c r="J29" s="5">
        <f>COUNTIF(T472:T483,"In Progress")+COUNTIF(T472:T483,"Not Started")</f>
        <v>0</v>
      </c>
      <c r="K29" s="5">
        <f ca="1">COUNTIFS(P472:P483,"&lt;"&amp;TODAY(),Q472:Q483,"")</f>
        <v>0</v>
      </c>
      <c r="L29" s="3"/>
      <c r="M29" s="3"/>
      <c r="N29" s="3"/>
      <c r="O29" s="3"/>
    </row>
    <row r="30" spans="1:15" ht="28" customHeight="1" x14ac:dyDescent="0.35">
      <c r="A30" s="4" t="s">
        <v>242</v>
      </c>
      <c r="B30" s="7">
        <v>46198</v>
      </c>
      <c r="C30" s="8"/>
      <c r="D30" s="3"/>
      <c r="E30" s="5">
        <f>SUMIF(I489:I500,"&gt;=0",I489:I500)</f>
        <v>0</v>
      </c>
      <c r="F30" s="5">
        <f>COUNT(I489:I500)*2</f>
        <v>0</v>
      </c>
      <c r="G30" s="6" t="str">
        <f t="shared" si="0"/>
        <v/>
      </c>
      <c r="H30" s="5" t="str">
        <f t="shared" si="1"/>
        <v>Not Started</v>
      </c>
      <c r="I30" s="5">
        <f>COUNTIFS(H489:H500,"Critical",I489:I500,"&lt;2")+COUNTIFS(H489:H500,"High",I489:I500,"&lt;2")</f>
        <v>0</v>
      </c>
      <c r="J30" s="5">
        <f>COUNTIF(T489:T500,"In Progress")+COUNTIF(T489:T500,"Not Started")</f>
        <v>0</v>
      </c>
      <c r="K30" s="5">
        <f ca="1">COUNTIFS(P489:P500,"&lt;"&amp;TODAY(),Q489:Q500,"")</f>
        <v>0</v>
      </c>
      <c r="L30" s="3"/>
      <c r="M30" s="3"/>
      <c r="N30" s="3"/>
      <c r="O30" s="3"/>
    </row>
    <row r="31" spans="1:15" ht="28" customHeight="1" x14ac:dyDescent="0.35">
      <c r="A31" s="4" t="s">
        <v>243</v>
      </c>
      <c r="B31" s="7">
        <v>46205</v>
      </c>
      <c r="C31" s="8"/>
      <c r="D31" s="3"/>
      <c r="E31" s="5">
        <f>SUMIF(I506:I517,"&gt;=0",I506:I517)</f>
        <v>0</v>
      </c>
      <c r="F31" s="5">
        <f>COUNT(I506:I517)*2</f>
        <v>0</v>
      </c>
      <c r="G31" s="6" t="str">
        <f t="shared" si="0"/>
        <v/>
      </c>
      <c r="H31" s="5" t="str">
        <f t="shared" si="1"/>
        <v>Not Started</v>
      </c>
      <c r="I31" s="5">
        <f>COUNTIFS(H506:H517,"Critical",I506:I517,"&lt;2")+COUNTIFS(H506:H517,"High",I506:I517,"&lt;2")</f>
        <v>0</v>
      </c>
      <c r="J31" s="5">
        <f>COUNTIF(T506:T517,"In Progress")+COUNTIF(T506:T517,"Not Started")</f>
        <v>0</v>
      </c>
      <c r="K31" s="5">
        <f ca="1">COUNTIFS(P506:P517,"&lt;"&amp;TODAY(),Q506:Q517,"")</f>
        <v>0</v>
      </c>
      <c r="L31" s="3"/>
      <c r="M31" s="3"/>
      <c r="N31" s="3"/>
      <c r="O31" s="3"/>
    </row>
    <row r="32" spans="1:15" ht="28" customHeight="1" x14ac:dyDescent="0.35">
      <c r="A32" s="4" t="s">
        <v>244</v>
      </c>
      <c r="B32" s="7">
        <v>46212</v>
      </c>
      <c r="C32" s="8"/>
      <c r="D32" s="3"/>
      <c r="E32" s="5">
        <f>SUMIF(I523:I534,"&gt;=0",I523:I534)</f>
        <v>0</v>
      </c>
      <c r="F32" s="5">
        <f>COUNT(I523:I534)*2</f>
        <v>0</v>
      </c>
      <c r="G32" s="6" t="str">
        <f t="shared" si="0"/>
        <v/>
      </c>
      <c r="H32" s="5" t="str">
        <f t="shared" si="1"/>
        <v>Not Started</v>
      </c>
      <c r="I32" s="5">
        <f>COUNTIFS(H523:H534,"Critical",I523:I534,"&lt;2")+COUNTIFS(H523:H534,"High",I523:I534,"&lt;2")</f>
        <v>0</v>
      </c>
      <c r="J32" s="5">
        <f>COUNTIF(T523:T534,"In Progress")+COUNTIF(T523:T534,"Not Started")</f>
        <v>0</v>
      </c>
      <c r="K32" s="5">
        <f ca="1">COUNTIFS(P523:P534,"&lt;"&amp;TODAY(),Q523:Q534,"")</f>
        <v>0</v>
      </c>
      <c r="L32" s="3"/>
      <c r="M32" s="3"/>
      <c r="N32" s="3"/>
      <c r="O32" s="3"/>
    </row>
    <row r="33" spans="1:15" ht="28" customHeight="1" x14ac:dyDescent="0.35">
      <c r="A33" s="4" t="s">
        <v>245</v>
      </c>
      <c r="B33" s="7">
        <v>46219</v>
      </c>
      <c r="C33" s="8"/>
      <c r="D33" s="3"/>
      <c r="E33" s="5">
        <f>SUMIF(I540:I551,"&gt;=0",I540:I551)</f>
        <v>0</v>
      </c>
      <c r="F33" s="5">
        <f>COUNT(I540:I551)*2</f>
        <v>0</v>
      </c>
      <c r="G33" s="6" t="str">
        <f t="shared" si="0"/>
        <v/>
      </c>
      <c r="H33" s="5" t="str">
        <f t="shared" si="1"/>
        <v>Not Started</v>
      </c>
      <c r="I33" s="5">
        <f>COUNTIFS(H540:H551,"Critical",I540:I551,"&lt;2")+COUNTIFS(H540:H551,"High",I540:I551,"&lt;2")</f>
        <v>0</v>
      </c>
      <c r="J33" s="5">
        <f>COUNTIF(T540:T551,"In Progress")+COUNTIF(T540:T551,"Not Started")</f>
        <v>0</v>
      </c>
      <c r="K33" s="5">
        <f ca="1">COUNTIFS(P540:P551,"&lt;"&amp;TODAY(),Q540:Q551,"")</f>
        <v>0</v>
      </c>
      <c r="L33" s="3"/>
      <c r="M33" s="3"/>
      <c r="N33" s="3"/>
      <c r="O33" s="3"/>
    </row>
    <row r="34" spans="1:15" ht="28" customHeight="1" x14ac:dyDescent="0.35">
      <c r="A34" s="4" t="s">
        <v>246</v>
      </c>
      <c r="B34" s="7">
        <v>46226</v>
      </c>
      <c r="C34" s="8"/>
      <c r="D34" s="3"/>
      <c r="E34" s="5">
        <f>SUMIF(I557:I568,"&gt;=0",I557:I568)</f>
        <v>0</v>
      </c>
      <c r="F34" s="5">
        <f>COUNT(I557:I568)*2</f>
        <v>0</v>
      </c>
      <c r="G34" s="6" t="str">
        <f t="shared" si="0"/>
        <v/>
      </c>
      <c r="H34" s="5" t="str">
        <f t="shared" si="1"/>
        <v>Not Started</v>
      </c>
      <c r="I34" s="5">
        <f>COUNTIFS(H557:H568,"Critical",I557:I568,"&lt;2")+COUNTIFS(H557:H568,"High",I557:I568,"&lt;2")</f>
        <v>0</v>
      </c>
      <c r="J34" s="5">
        <f>COUNTIF(T557:T568,"In Progress")+COUNTIF(T557:T568,"Not Started")</f>
        <v>0</v>
      </c>
      <c r="K34" s="5">
        <f ca="1">COUNTIFS(P557:P568,"&lt;"&amp;TODAY(),Q557:Q568,"")</f>
        <v>0</v>
      </c>
      <c r="L34" s="3"/>
      <c r="M34" s="3"/>
      <c r="N34" s="3"/>
      <c r="O34" s="3"/>
    </row>
    <row r="35" spans="1:15" ht="28" customHeight="1" x14ac:dyDescent="0.35">
      <c r="A35" s="4" t="s">
        <v>247</v>
      </c>
      <c r="B35" s="7">
        <v>46233</v>
      </c>
      <c r="C35" s="8"/>
      <c r="D35" s="3"/>
      <c r="E35" s="5">
        <f>SUMIF(I574:I585,"&gt;=0",I574:I585)</f>
        <v>0</v>
      </c>
      <c r="F35" s="5">
        <f>COUNT(I574:I585)*2</f>
        <v>0</v>
      </c>
      <c r="G35" s="6" t="str">
        <f t="shared" si="0"/>
        <v/>
      </c>
      <c r="H35" s="5" t="str">
        <f t="shared" si="1"/>
        <v>Not Started</v>
      </c>
      <c r="I35" s="5">
        <f>COUNTIFS(H574:H585,"Critical",I574:I585,"&lt;2")+COUNTIFS(H574:H585,"High",I574:I585,"&lt;2")</f>
        <v>0</v>
      </c>
      <c r="J35" s="5">
        <f>COUNTIF(T574:T585,"In Progress")+COUNTIF(T574:T585,"Not Started")</f>
        <v>0</v>
      </c>
      <c r="K35" s="5">
        <f ca="1">COUNTIFS(P574:P585,"&lt;"&amp;TODAY(),Q574:Q585,"")</f>
        <v>0</v>
      </c>
      <c r="L35" s="3"/>
      <c r="M35" s="3"/>
      <c r="N35" s="3"/>
      <c r="O35" s="3"/>
    </row>
    <row r="36" spans="1:15" ht="28" customHeight="1" x14ac:dyDescent="0.35">
      <c r="A36" s="4" t="s">
        <v>248</v>
      </c>
      <c r="B36" s="7">
        <v>46240</v>
      </c>
      <c r="C36" s="8"/>
      <c r="D36" s="3"/>
      <c r="E36" s="5">
        <f>SUMIF(I591:I602,"&gt;=0",I591:I602)</f>
        <v>0</v>
      </c>
      <c r="F36" s="5">
        <f>COUNT(I591:I602)*2</f>
        <v>0</v>
      </c>
      <c r="G36" s="6" t="str">
        <f t="shared" si="0"/>
        <v/>
      </c>
      <c r="H36" s="5" t="str">
        <f t="shared" si="1"/>
        <v>Not Started</v>
      </c>
      <c r="I36" s="5">
        <f>COUNTIFS(H591:H602,"Critical",I591:I602,"&lt;2")+COUNTIFS(H591:H602,"High",I591:I602,"&lt;2")</f>
        <v>0</v>
      </c>
      <c r="J36" s="5">
        <f>COUNTIF(T591:T602,"In Progress")+COUNTIF(T591:T602,"Not Started")</f>
        <v>0</v>
      </c>
      <c r="K36" s="5">
        <f ca="1">COUNTIFS(P591:P602,"&lt;"&amp;TODAY(),Q591:Q602,"")</f>
        <v>0</v>
      </c>
      <c r="L36" s="3"/>
      <c r="M36" s="3"/>
      <c r="N36" s="3"/>
      <c r="O36" s="3"/>
    </row>
    <row r="37" spans="1:15" ht="28" customHeight="1" x14ac:dyDescent="0.35">
      <c r="A37" s="4" t="s">
        <v>249</v>
      </c>
      <c r="B37" s="7">
        <v>46247</v>
      </c>
      <c r="C37" s="8"/>
      <c r="D37" s="3"/>
      <c r="E37" s="5">
        <f>SUMIF(I608:I619,"&gt;=0",I608:I619)</f>
        <v>0</v>
      </c>
      <c r="F37" s="5">
        <f>COUNT(I608:I619)*2</f>
        <v>0</v>
      </c>
      <c r="G37" s="6" t="str">
        <f t="shared" ref="G37:G68" si="2">IF(F37=0,"",E37/F37)</f>
        <v/>
      </c>
      <c r="H37" s="5" t="str">
        <f t="shared" ref="H37:H68" si="3">IF(G37="","Not Started",IF(G37&gt;=0.9,"Green",IF(G37&gt;=0.75,"Amber","Red")))</f>
        <v>Not Started</v>
      </c>
      <c r="I37" s="5">
        <f>COUNTIFS(H608:H619,"Critical",I608:I619,"&lt;2")+COUNTIFS(H608:H619,"High",I608:I619,"&lt;2")</f>
        <v>0</v>
      </c>
      <c r="J37" s="5">
        <f>COUNTIF(T608:T619,"In Progress")+COUNTIF(T608:T619,"Not Started")</f>
        <v>0</v>
      </c>
      <c r="K37" s="5">
        <f ca="1">COUNTIFS(P608:P619,"&lt;"&amp;TODAY(),Q608:Q619,"")</f>
        <v>0</v>
      </c>
      <c r="L37" s="3"/>
      <c r="M37" s="3"/>
      <c r="N37" s="3"/>
      <c r="O37" s="3"/>
    </row>
    <row r="38" spans="1:15" ht="28" customHeight="1" x14ac:dyDescent="0.35">
      <c r="A38" s="4" t="s">
        <v>250</v>
      </c>
      <c r="B38" s="7">
        <v>46254</v>
      </c>
      <c r="C38" s="8"/>
      <c r="D38" s="3"/>
      <c r="E38" s="5">
        <f>SUMIF(I625:I636,"&gt;=0",I625:I636)</f>
        <v>0</v>
      </c>
      <c r="F38" s="5">
        <f>COUNT(I625:I636)*2</f>
        <v>0</v>
      </c>
      <c r="G38" s="6" t="str">
        <f t="shared" si="2"/>
        <v/>
      </c>
      <c r="H38" s="5" t="str">
        <f t="shared" si="3"/>
        <v>Not Started</v>
      </c>
      <c r="I38" s="5">
        <f>COUNTIFS(H625:H636,"Critical",I625:I636,"&lt;2")+COUNTIFS(H625:H636,"High",I625:I636,"&lt;2")</f>
        <v>0</v>
      </c>
      <c r="J38" s="5">
        <f>COUNTIF(T625:T636,"In Progress")+COUNTIF(T625:T636,"Not Started")</f>
        <v>0</v>
      </c>
      <c r="K38" s="5">
        <f ca="1">COUNTIFS(P625:P636,"&lt;"&amp;TODAY(),Q625:Q636,"")</f>
        <v>0</v>
      </c>
      <c r="L38" s="3"/>
      <c r="M38" s="3"/>
      <c r="N38" s="3"/>
      <c r="O38" s="3"/>
    </row>
    <row r="39" spans="1:15" ht="28" customHeight="1" x14ac:dyDescent="0.35">
      <c r="A39" s="4" t="s">
        <v>251</v>
      </c>
      <c r="B39" s="7">
        <v>46261</v>
      </c>
      <c r="C39" s="8"/>
      <c r="D39" s="3"/>
      <c r="E39" s="5">
        <f>SUMIF(I642:I653,"&gt;=0",I642:I653)</f>
        <v>0</v>
      </c>
      <c r="F39" s="5">
        <f>COUNT(I642:I653)*2</f>
        <v>0</v>
      </c>
      <c r="G39" s="6" t="str">
        <f t="shared" si="2"/>
        <v/>
      </c>
      <c r="H39" s="5" t="str">
        <f t="shared" si="3"/>
        <v>Not Started</v>
      </c>
      <c r="I39" s="5">
        <f>COUNTIFS(H642:H653,"Critical",I642:I653,"&lt;2")+COUNTIFS(H642:H653,"High",I642:I653,"&lt;2")</f>
        <v>0</v>
      </c>
      <c r="J39" s="5">
        <f>COUNTIF(T642:T653,"In Progress")+COUNTIF(T642:T653,"Not Started")</f>
        <v>0</v>
      </c>
      <c r="K39" s="5">
        <f ca="1">COUNTIFS(P642:P653,"&lt;"&amp;TODAY(),Q642:Q653,"")</f>
        <v>0</v>
      </c>
      <c r="L39" s="3"/>
      <c r="M39" s="3"/>
      <c r="N39" s="3"/>
      <c r="O39" s="3"/>
    </row>
    <row r="40" spans="1:15" ht="28" customHeight="1" x14ac:dyDescent="0.35">
      <c r="A40" s="4" t="s">
        <v>252</v>
      </c>
      <c r="B40" s="7">
        <v>46268</v>
      </c>
      <c r="C40" s="8"/>
      <c r="D40" s="3"/>
      <c r="E40" s="5">
        <f>SUMIF(I659:I670,"&gt;=0",I659:I670)</f>
        <v>0</v>
      </c>
      <c r="F40" s="5">
        <f>COUNT(I659:I670)*2</f>
        <v>0</v>
      </c>
      <c r="G40" s="6" t="str">
        <f t="shared" si="2"/>
        <v/>
      </c>
      <c r="H40" s="5" t="str">
        <f t="shared" si="3"/>
        <v>Not Started</v>
      </c>
      <c r="I40" s="5">
        <f>COUNTIFS(H659:H670,"Critical",I659:I670,"&lt;2")+COUNTIFS(H659:H670,"High",I659:I670,"&lt;2")</f>
        <v>0</v>
      </c>
      <c r="J40" s="5">
        <f>COUNTIF(T659:T670,"In Progress")+COUNTIF(T659:T670,"Not Started")</f>
        <v>0</v>
      </c>
      <c r="K40" s="5">
        <f ca="1">COUNTIFS(P659:P670,"&lt;"&amp;TODAY(),Q659:Q670,"")</f>
        <v>0</v>
      </c>
      <c r="L40" s="3"/>
      <c r="M40" s="3"/>
      <c r="N40" s="3"/>
      <c r="O40" s="3"/>
    </row>
    <row r="41" spans="1:15" ht="28" customHeight="1" x14ac:dyDescent="0.35">
      <c r="A41" s="4" t="s">
        <v>253</v>
      </c>
      <c r="B41" s="7">
        <v>46275</v>
      </c>
      <c r="C41" s="8"/>
      <c r="D41" s="3"/>
      <c r="E41" s="5">
        <f>SUMIF(I676:I687,"&gt;=0",I676:I687)</f>
        <v>0</v>
      </c>
      <c r="F41" s="5">
        <f>COUNT(I676:I687)*2</f>
        <v>0</v>
      </c>
      <c r="G41" s="6" t="str">
        <f t="shared" si="2"/>
        <v/>
      </c>
      <c r="H41" s="5" t="str">
        <f t="shared" si="3"/>
        <v>Not Started</v>
      </c>
      <c r="I41" s="5">
        <f>COUNTIFS(H676:H687,"Critical",I676:I687,"&lt;2")+COUNTIFS(H676:H687,"High",I676:I687,"&lt;2")</f>
        <v>0</v>
      </c>
      <c r="J41" s="5">
        <f>COUNTIF(T676:T687,"In Progress")+COUNTIF(T676:T687,"Not Started")</f>
        <v>0</v>
      </c>
      <c r="K41" s="5">
        <f ca="1">COUNTIFS(P676:P687,"&lt;"&amp;TODAY(),Q676:Q687,"")</f>
        <v>0</v>
      </c>
      <c r="L41" s="3"/>
      <c r="M41" s="3"/>
      <c r="N41" s="3"/>
      <c r="O41" s="3"/>
    </row>
    <row r="42" spans="1:15" ht="28" customHeight="1" x14ac:dyDescent="0.35">
      <c r="A42" s="4" t="s">
        <v>254</v>
      </c>
      <c r="B42" s="7">
        <v>46282</v>
      </c>
      <c r="C42" s="8"/>
      <c r="D42" s="3"/>
      <c r="E42" s="5">
        <f>SUMIF(I693:I704,"&gt;=0",I693:I704)</f>
        <v>0</v>
      </c>
      <c r="F42" s="5">
        <f>COUNT(I693:I704)*2</f>
        <v>0</v>
      </c>
      <c r="G42" s="6" t="str">
        <f t="shared" si="2"/>
        <v/>
      </c>
      <c r="H42" s="5" t="str">
        <f t="shared" si="3"/>
        <v>Not Started</v>
      </c>
      <c r="I42" s="5">
        <f>COUNTIFS(H693:H704,"Critical",I693:I704,"&lt;2")+COUNTIFS(H693:H704,"High",I693:I704,"&lt;2")</f>
        <v>0</v>
      </c>
      <c r="J42" s="5">
        <f>COUNTIF(T693:T704,"In Progress")+COUNTIF(T693:T704,"Not Started")</f>
        <v>0</v>
      </c>
      <c r="K42" s="5">
        <f ca="1">COUNTIFS(P693:P704,"&lt;"&amp;TODAY(),Q693:Q704,"")</f>
        <v>0</v>
      </c>
      <c r="L42" s="3"/>
      <c r="M42" s="3"/>
      <c r="N42" s="3"/>
      <c r="O42" s="3"/>
    </row>
    <row r="43" spans="1:15" ht="28" customHeight="1" x14ac:dyDescent="0.35">
      <c r="A43" s="4" t="s">
        <v>255</v>
      </c>
      <c r="B43" s="7">
        <v>46289</v>
      </c>
      <c r="C43" s="8"/>
      <c r="D43" s="3"/>
      <c r="E43" s="5">
        <f>SUMIF(I710:I721,"&gt;=0",I710:I721)</f>
        <v>0</v>
      </c>
      <c r="F43" s="5">
        <f>COUNT(I710:I721)*2</f>
        <v>0</v>
      </c>
      <c r="G43" s="6" t="str">
        <f t="shared" si="2"/>
        <v/>
      </c>
      <c r="H43" s="5" t="str">
        <f t="shared" si="3"/>
        <v>Not Started</v>
      </c>
      <c r="I43" s="5">
        <f>COUNTIFS(H710:H721,"Critical",I710:I721,"&lt;2")+COUNTIFS(H710:H721,"High",I710:I721,"&lt;2")</f>
        <v>0</v>
      </c>
      <c r="J43" s="5">
        <f>COUNTIF(T710:T721,"In Progress")+COUNTIF(T710:T721,"Not Started")</f>
        <v>0</v>
      </c>
      <c r="K43" s="5">
        <f ca="1">COUNTIFS(P710:P721,"&lt;"&amp;TODAY(),Q710:Q721,"")</f>
        <v>0</v>
      </c>
      <c r="L43" s="3"/>
      <c r="M43" s="3"/>
      <c r="N43" s="3"/>
      <c r="O43" s="3"/>
    </row>
    <row r="44" spans="1:15" ht="28" customHeight="1" x14ac:dyDescent="0.35">
      <c r="A44" s="4" t="s">
        <v>256</v>
      </c>
      <c r="B44" s="7">
        <v>46296</v>
      </c>
      <c r="C44" s="8"/>
      <c r="D44" s="3"/>
      <c r="E44" s="5">
        <f>SUMIF(I727:I738,"&gt;=0",I727:I738)</f>
        <v>0</v>
      </c>
      <c r="F44" s="5">
        <f>COUNT(I727:I738)*2</f>
        <v>0</v>
      </c>
      <c r="G44" s="6" t="str">
        <f t="shared" si="2"/>
        <v/>
      </c>
      <c r="H44" s="5" t="str">
        <f t="shared" si="3"/>
        <v>Not Started</v>
      </c>
      <c r="I44" s="5">
        <f>COUNTIFS(H727:H738,"Critical",I727:I738,"&lt;2")+COUNTIFS(H727:H738,"High",I727:I738,"&lt;2")</f>
        <v>0</v>
      </c>
      <c r="J44" s="5">
        <f>COUNTIF(T727:T738,"In Progress")+COUNTIF(T727:T738,"Not Started")</f>
        <v>0</v>
      </c>
      <c r="K44" s="5">
        <f ca="1">COUNTIFS(P727:P738,"&lt;"&amp;TODAY(),Q727:Q738,"")</f>
        <v>0</v>
      </c>
      <c r="L44" s="3"/>
      <c r="M44" s="3"/>
      <c r="N44" s="3"/>
      <c r="O44" s="3"/>
    </row>
    <row r="45" spans="1:15" ht="28" customHeight="1" x14ac:dyDescent="0.35">
      <c r="A45" s="4" t="s">
        <v>257</v>
      </c>
      <c r="B45" s="7">
        <v>46303</v>
      </c>
      <c r="C45" s="8"/>
      <c r="D45" s="3"/>
      <c r="E45" s="5">
        <f>SUMIF(I744:I755,"&gt;=0",I744:I755)</f>
        <v>0</v>
      </c>
      <c r="F45" s="5">
        <f>COUNT(I744:I755)*2</f>
        <v>0</v>
      </c>
      <c r="G45" s="6" t="str">
        <f t="shared" si="2"/>
        <v/>
      </c>
      <c r="H45" s="5" t="str">
        <f t="shared" si="3"/>
        <v>Not Started</v>
      </c>
      <c r="I45" s="5">
        <f>COUNTIFS(H744:H755,"Critical",I744:I755,"&lt;2")+COUNTIFS(H744:H755,"High",I744:I755,"&lt;2")</f>
        <v>0</v>
      </c>
      <c r="J45" s="5">
        <f>COUNTIF(T744:T755,"In Progress")+COUNTIF(T744:T755,"Not Started")</f>
        <v>0</v>
      </c>
      <c r="K45" s="5">
        <f ca="1">COUNTIFS(P744:P755,"&lt;"&amp;TODAY(),Q744:Q755,"")</f>
        <v>0</v>
      </c>
      <c r="L45" s="3"/>
      <c r="M45" s="3"/>
      <c r="N45" s="3"/>
      <c r="O45" s="3"/>
    </row>
    <row r="46" spans="1:15" ht="28" customHeight="1" x14ac:dyDescent="0.35">
      <c r="A46" s="4" t="s">
        <v>258</v>
      </c>
      <c r="B46" s="7">
        <v>46310</v>
      </c>
      <c r="C46" s="8"/>
      <c r="D46" s="3"/>
      <c r="E46" s="5">
        <f>SUMIF(I761:I772,"&gt;=0",I761:I772)</f>
        <v>0</v>
      </c>
      <c r="F46" s="5">
        <f>COUNT(I761:I772)*2</f>
        <v>0</v>
      </c>
      <c r="G46" s="6" t="str">
        <f t="shared" si="2"/>
        <v/>
      </c>
      <c r="H46" s="5" t="str">
        <f t="shared" si="3"/>
        <v>Not Started</v>
      </c>
      <c r="I46" s="5">
        <f>COUNTIFS(H761:H772,"Critical",I761:I772,"&lt;2")+COUNTIFS(H761:H772,"High",I761:I772,"&lt;2")</f>
        <v>0</v>
      </c>
      <c r="J46" s="5">
        <f>COUNTIF(T761:T772,"In Progress")+COUNTIF(T761:T772,"Not Started")</f>
        <v>0</v>
      </c>
      <c r="K46" s="5">
        <f ca="1">COUNTIFS(P761:P772,"&lt;"&amp;TODAY(),Q761:Q772,"")</f>
        <v>0</v>
      </c>
      <c r="L46" s="3"/>
      <c r="M46" s="3"/>
      <c r="N46" s="3"/>
      <c r="O46" s="3"/>
    </row>
    <row r="47" spans="1:15" ht="28" customHeight="1" x14ac:dyDescent="0.35">
      <c r="A47" s="4" t="s">
        <v>259</v>
      </c>
      <c r="B47" s="7">
        <v>46317</v>
      </c>
      <c r="C47" s="8"/>
      <c r="D47" s="3"/>
      <c r="E47" s="5">
        <f>SUMIF(I778:I789,"&gt;=0",I778:I789)</f>
        <v>0</v>
      </c>
      <c r="F47" s="5">
        <f>COUNT(I778:I789)*2</f>
        <v>0</v>
      </c>
      <c r="G47" s="6" t="str">
        <f t="shared" si="2"/>
        <v/>
      </c>
      <c r="H47" s="5" t="str">
        <f t="shared" si="3"/>
        <v>Not Started</v>
      </c>
      <c r="I47" s="5">
        <f>COUNTIFS(H778:H789,"Critical",I778:I789,"&lt;2")+COUNTIFS(H778:H789,"High",I778:I789,"&lt;2")</f>
        <v>0</v>
      </c>
      <c r="J47" s="5">
        <f>COUNTIF(T778:T789,"In Progress")+COUNTIF(T778:T789,"Not Started")</f>
        <v>0</v>
      </c>
      <c r="K47" s="5">
        <f ca="1">COUNTIFS(P778:P789,"&lt;"&amp;TODAY(),Q778:Q789,"")</f>
        <v>0</v>
      </c>
      <c r="L47" s="3"/>
      <c r="M47" s="3"/>
      <c r="N47" s="3"/>
      <c r="O47" s="3"/>
    </row>
    <row r="48" spans="1:15" ht="28" customHeight="1" x14ac:dyDescent="0.35">
      <c r="A48" s="4" t="s">
        <v>260</v>
      </c>
      <c r="B48" s="7">
        <v>46324</v>
      </c>
      <c r="C48" s="8"/>
      <c r="D48" s="3"/>
      <c r="E48" s="5">
        <f>SUMIF(I795:I806,"&gt;=0",I795:I806)</f>
        <v>0</v>
      </c>
      <c r="F48" s="5">
        <f>COUNT(I795:I806)*2</f>
        <v>0</v>
      </c>
      <c r="G48" s="6" t="str">
        <f t="shared" si="2"/>
        <v/>
      </c>
      <c r="H48" s="5" t="str">
        <f t="shared" si="3"/>
        <v>Not Started</v>
      </c>
      <c r="I48" s="5">
        <f>COUNTIFS(H795:H806,"Critical",I795:I806,"&lt;2")+COUNTIFS(H795:H806,"High",I795:I806,"&lt;2")</f>
        <v>0</v>
      </c>
      <c r="J48" s="5">
        <f>COUNTIF(T795:T806,"In Progress")+COUNTIF(T795:T806,"Not Started")</f>
        <v>0</v>
      </c>
      <c r="K48" s="5">
        <f ca="1">COUNTIFS(P795:P806,"&lt;"&amp;TODAY(),Q795:Q806,"")</f>
        <v>0</v>
      </c>
      <c r="L48" s="3"/>
      <c r="M48" s="3"/>
      <c r="N48" s="3"/>
      <c r="O48" s="3"/>
    </row>
    <row r="49" spans="1:21" ht="28" customHeight="1" x14ac:dyDescent="0.35">
      <c r="A49" s="4" t="s">
        <v>261</v>
      </c>
      <c r="B49" s="7">
        <v>46331</v>
      </c>
      <c r="C49" s="8"/>
      <c r="D49" s="3"/>
      <c r="E49" s="5">
        <f>SUMIF(I812:I823,"&gt;=0",I812:I823)</f>
        <v>0</v>
      </c>
      <c r="F49" s="5">
        <f>COUNT(I812:I823)*2</f>
        <v>0</v>
      </c>
      <c r="G49" s="6" t="str">
        <f t="shared" si="2"/>
        <v/>
      </c>
      <c r="H49" s="5" t="str">
        <f t="shared" si="3"/>
        <v>Not Started</v>
      </c>
      <c r="I49" s="5">
        <f>COUNTIFS(H812:H823,"Critical",I812:I823,"&lt;2")+COUNTIFS(H812:H823,"High",I812:I823,"&lt;2")</f>
        <v>0</v>
      </c>
      <c r="J49" s="5">
        <f>COUNTIF(T812:T823,"In Progress")+COUNTIF(T812:T823,"Not Started")</f>
        <v>0</v>
      </c>
      <c r="K49" s="5">
        <f ca="1">COUNTIFS(P812:P823,"&lt;"&amp;TODAY(),Q812:Q823,"")</f>
        <v>0</v>
      </c>
      <c r="L49" s="3"/>
      <c r="M49" s="3"/>
      <c r="N49" s="3"/>
      <c r="O49" s="3"/>
    </row>
    <row r="50" spans="1:21" ht="28" customHeight="1" x14ac:dyDescent="0.35">
      <c r="A50" s="4" t="s">
        <v>262</v>
      </c>
      <c r="B50" s="7">
        <v>46338</v>
      </c>
      <c r="C50" s="8"/>
      <c r="D50" s="3"/>
      <c r="E50" s="5">
        <f>SUMIF(I829:I840,"&gt;=0",I829:I840)</f>
        <v>0</v>
      </c>
      <c r="F50" s="5">
        <f>COUNT(I829:I840)*2</f>
        <v>0</v>
      </c>
      <c r="G50" s="6" t="str">
        <f t="shared" si="2"/>
        <v/>
      </c>
      <c r="H50" s="5" t="str">
        <f t="shared" si="3"/>
        <v>Not Started</v>
      </c>
      <c r="I50" s="5">
        <f>COUNTIFS(H829:H840,"Critical",I829:I840,"&lt;2")+COUNTIFS(H829:H840,"High",I829:I840,"&lt;2")</f>
        <v>0</v>
      </c>
      <c r="J50" s="5">
        <f>COUNTIF(T829:T840,"In Progress")+COUNTIF(T829:T840,"Not Started")</f>
        <v>0</v>
      </c>
      <c r="K50" s="5">
        <f ca="1">COUNTIFS(P829:P840,"&lt;"&amp;TODAY(),Q829:Q840,"")</f>
        <v>0</v>
      </c>
      <c r="L50" s="3"/>
      <c r="M50" s="3"/>
      <c r="N50" s="3"/>
      <c r="O50" s="3"/>
    </row>
    <row r="51" spans="1:21" ht="28" customHeight="1" x14ac:dyDescent="0.35">
      <c r="A51" s="4" t="s">
        <v>263</v>
      </c>
      <c r="B51" s="7">
        <v>46345</v>
      </c>
      <c r="C51" s="8"/>
      <c r="D51" s="3"/>
      <c r="E51" s="5">
        <f>SUMIF(I846:I857,"&gt;=0",I846:I857)</f>
        <v>0</v>
      </c>
      <c r="F51" s="5">
        <f>COUNT(I846:I857)*2</f>
        <v>0</v>
      </c>
      <c r="G51" s="6" t="str">
        <f t="shared" si="2"/>
        <v/>
      </c>
      <c r="H51" s="5" t="str">
        <f t="shared" si="3"/>
        <v>Not Started</v>
      </c>
      <c r="I51" s="5">
        <f>COUNTIFS(H846:H857,"Critical",I846:I857,"&lt;2")+COUNTIFS(H846:H857,"High",I846:I857,"&lt;2")</f>
        <v>0</v>
      </c>
      <c r="J51" s="5">
        <f>COUNTIF(T846:T857,"In Progress")+COUNTIF(T846:T857,"Not Started")</f>
        <v>0</v>
      </c>
      <c r="K51" s="5">
        <f ca="1">COUNTIFS(P846:P857,"&lt;"&amp;TODAY(),Q846:Q857,"")</f>
        <v>0</v>
      </c>
      <c r="L51" s="3"/>
      <c r="M51" s="3"/>
      <c r="N51" s="3"/>
      <c r="O51" s="3"/>
    </row>
    <row r="52" spans="1:21" ht="28" customHeight="1" x14ac:dyDescent="0.35">
      <c r="A52" s="4" t="s">
        <v>264</v>
      </c>
      <c r="B52" s="7">
        <v>46352</v>
      </c>
      <c r="C52" s="8"/>
      <c r="D52" s="3"/>
      <c r="E52" s="5">
        <f>SUMIF(I863:I874,"&gt;=0",I863:I874)</f>
        <v>0</v>
      </c>
      <c r="F52" s="5">
        <f>COUNT(I863:I874)*2</f>
        <v>0</v>
      </c>
      <c r="G52" s="6" t="str">
        <f t="shared" si="2"/>
        <v/>
      </c>
      <c r="H52" s="5" t="str">
        <f t="shared" si="3"/>
        <v>Not Started</v>
      </c>
      <c r="I52" s="5">
        <f>COUNTIFS(H863:H874,"Critical",I863:I874,"&lt;2")+COUNTIFS(H863:H874,"High",I863:I874,"&lt;2")</f>
        <v>0</v>
      </c>
      <c r="J52" s="5">
        <f>COUNTIF(T863:T874,"In Progress")+COUNTIF(T863:T874,"Not Started")</f>
        <v>0</v>
      </c>
      <c r="K52" s="5">
        <f ca="1">COUNTIFS(P863:P874,"&lt;"&amp;TODAY(),Q863:Q874,"")</f>
        <v>0</v>
      </c>
      <c r="L52" s="3"/>
      <c r="M52" s="3"/>
      <c r="N52" s="3"/>
      <c r="O52" s="3"/>
    </row>
    <row r="53" spans="1:21" ht="28" customHeight="1" x14ac:dyDescent="0.35">
      <c r="A53" s="4" t="s">
        <v>265</v>
      </c>
      <c r="B53" s="7">
        <v>46359</v>
      </c>
      <c r="C53" s="8"/>
      <c r="D53" s="3"/>
      <c r="E53" s="5">
        <f>SUMIF(I880:I891,"&gt;=0",I880:I891)</f>
        <v>0</v>
      </c>
      <c r="F53" s="5">
        <f>COUNT(I880:I891)*2</f>
        <v>0</v>
      </c>
      <c r="G53" s="6" t="str">
        <f t="shared" si="2"/>
        <v/>
      </c>
      <c r="H53" s="5" t="str">
        <f t="shared" si="3"/>
        <v>Not Started</v>
      </c>
      <c r="I53" s="5">
        <f>COUNTIFS(H880:H891,"Critical",I880:I891,"&lt;2")+COUNTIFS(H880:H891,"High",I880:I891,"&lt;2")</f>
        <v>0</v>
      </c>
      <c r="J53" s="5">
        <f>COUNTIF(T880:T891,"In Progress")+COUNTIF(T880:T891,"Not Started")</f>
        <v>0</v>
      </c>
      <c r="K53" s="5">
        <f ca="1">COUNTIFS(P880:P891,"&lt;"&amp;TODAY(),Q880:Q891,"")</f>
        <v>0</v>
      </c>
      <c r="L53" s="3"/>
      <c r="M53" s="3"/>
      <c r="N53" s="3"/>
      <c r="O53" s="3"/>
    </row>
    <row r="54" spans="1:21" ht="28" customHeight="1" x14ac:dyDescent="0.35">
      <c r="A54" s="4" t="s">
        <v>266</v>
      </c>
      <c r="B54" s="7">
        <v>46366</v>
      </c>
      <c r="C54" s="8"/>
      <c r="D54" s="3"/>
      <c r="E54" s="5">
        <f>SUMIF(I897:I908,"&gt;=0",I897:I908)</f>
        <v>0</v>
      </c>
      <c r="F54" s="5">
        <f>COUNT(I897:I908)*2</f>
        <v>0</v>
      </c>
      <c r="G54" s="6" t="str">
        <f t="shared" si="2"/>
        <v/>
      </c>
      <c r="H54" s="5" t="str">
        <f t="shared" si="3"/>
        <v>Not Started</v>
      </c>
      <c r="I54" s="5">
        <f>COUNTIFS(H897:H908,"Critical",I897:I908,"&lt;2")+COUNTIFS(H897:H908,"High",I897:I908,"&lt;2")</f>
        <v>0</v>
      </c>
      <c r="J54" s="5">
        <f>COUNTIF(T897:T908,"In Progress")+COUNTIF(T897:T908,"Not Started")</f>
        <v>0</v>
      </c>
      <c r="K54" s="5">
        <f ca="1">COUNTIFS(P897:P908,"&lt;"&amp;TODAY(),Q897:Q908,"")</f>
        <v>0</v>
      </c>
      <c r="L54" s="3"/>
      <c r="M54" s="3"/>
      <c r="N54" s="3"/>
      <c r="O54" s="3"/>
    </row>
    <row r="55" spans="1:21" ht="28" customHeight="1" x14ac:dyDescent="0.35">
      <c r="A55" s="4" t="s">
        <v>267</v>
      </c>
      <c r="B55" s="7">
        <v>46373</v>
      </c>
      <c r="C55" s="8"/>
      <c r="D55" s="3"/>
      <c r="E55" s="5">
        <f>SUMIF(I914:I925,"&gt;=0",I914:I925)</f>
        <v>0</v>
      </c>
      <c r="F55" s="5">
        <f>COUNT(I914:I925)*2</f>
        <v>0</v>
      </c>
      <c r="G55" s="6" t="str">
        <f t="shared" si="2"/>
        <v/>
      </c>
      <c r="H55" s="5" t="str">
        <f t="shared" si="3"/>
        <v>Not Started</v>
      </c>
      <c r="I55" s="5">
        <f>COUNTIFS(H914:H925,"Critical",I914:I925,"&lt;2")+COUNTIFS(H914:H925,"High",I914:I925,"&lt;2")</f>
        <v>0</v>
      </c>
      <c r="J55" s="5">
        <f>COUNTIF(T914:T925,"In Progress")+COUNTIF(T914:T925,"Not Started")</f>
        <v>0</v>
      </c>
      <c r="K55" s="5">
        <f ca="1">COUNTIFS(P914:P925,"&lt;"&amp;TODAY(),Q914:Q925,"")</f>
        <v>0</v>
      </c>
      <c r="L55" s="3"/>
      <c r="M55" s="3"/>
      <c r="N55" s="3"/>
      <c r="O55" s="3"/>
    </row>
    <row r="56" spans="1:21" ht="28" customHeight="1" x14ac:dyDescent="0.35">
      <c r="A56" s="4" t="s">
        <v>268</v>
      </c>
      <c r="B56" s="7">
        <v>46380</v>
      </c>
      <c r="C56" s="8"/>
      <c r="D56" s="3"/>
      <c r="E56" s="5">
        <f>SUMIF(I931:I942,"&gt;=0",I931:I942)</f>
        <v>0</v>
      </c>
      <c r="F56" s="5">
        <f>COUNT(I931:I942)*2</f>
        <v>0</v>
      </c>
      <c r="G56" s="6" t="str">
        <f t="shared" si="2"/>
        <v/>
      </c>
      <c r="H56" s="5" t="str">
        <f t="shared" si="3"/>
        <v>Not Started</v>
      </c>
      <c r="I56" s="5">
        <f>COUNTIFS(H931:H942,"Critical",I931:I942,"&lt;2")+COUNTIFS(H931:H942,"High",I931:I942,"&lt;2")</f>
        <v>0</v>
      </c>
      <c r="J56" s="5">
        <f>COUNTIF(T931:T942,"In Progress")+COUNTIF(T931:T942,"Not Started")</f>
        <v>0</v>
      </c>
      <c r="K56" s="5">
        <f ca="1">COUNTIFS(P931:P942,"&lt;"&amp;TODAY(),Q931:Q942,"")</f>
        <v>0</v>
      </c>
      <c r="L56" s="3"/>
      <c r="M56" s="3"/>
      <c r="N56" s="3"/>
      <c r="O56" s="3"/>
    </row>
    <row r="61" spans="1:21" ht="28" customHeight="1" x14ac:dyDescent="0.35">
      <c r="A61" s="19" t="s">
        <v>361</v>
      </c>
      <c r="B61" s="20"/>
      <c r="C61" s="20"/>
      <c r="D61" s="20"/>
      <c r="E61" s="20"/>
      <c r="F61" s="20"/>
      <c r="G61" s="20"/>
      <c r="H61" s="20"/>
      <c r="I61" s="20"/>
      <c r="J61" s="20"/>
      <c r="K61" s="20"/>
      <c r="L61" s="20"/>
      <c r="M61" s="20"/>
      <c r="N61" s="20"/>
      <c r="O61" s="20"/>
      <c r="P61" s="20"/>
      <c r="Q61" s="20"/>
      <c r="R61" s="20"/>
      <c r="S61" s="20"/>
      <c r="T61" s="20"/>
      <c r="U61" s="21"/>
    </row>
    <row r="62" spans="1:21" ht="28" customHeight="1" x14ac:dyDescent="0.35">
      <c r="A62" s="4" t="s">
        <v>31</v>
      </c>
      <c r="B62" s="3" t="s">
        <v>217</v>
      </c>
      <c r="C62" s="4" t="s">
        <v>32</v>
      </c>
      <c r="D62" s="3"/>
      <c r="E62" s="4" t="s">
        <v>33</v>
      </c>
      <c r="F62" s="8"/>
    </row>
    <row r="63" spans="1:21" ht="28" customHeight="1" x14ac:dyDescent="0.35">
      <c r="A63" s="1" t="s">
        <v>34</v>
      </c>
      <c r="B63" s="1" t="s">
        <v>35</v>
      </c>
      <c r="C63" s="1" t="s">
        <v>36</v>
      </c>
      <c r="D63" s="1" t="s">
        <v>37</v>
      </c>
      <c r="E63" s="1" t="s">
        <v>38</v>
      </c>
      <c r="F63" s="1" t="s">
        <v>39</v>
      </c>
      <c r="G63" s="1" t="s">
        <v>40</v>
      </c>
      <c r="H63" s="1" t="s">
        <v>41</v>
      </c>
      <c r="I63" s="1" t="s">
        <v>42</v>
      </c>
      <c r="J63" s="1" t="s">
        <v>43</v>
      </c>
      <c r="K63" s="1" t="s">
        <v>44</v>
      </c>
      <c r="L63" s="1" t="s">
        <v>45</v>
      </c>
      <c r="M63" s="1" t="s">
        <v>46</v>
      </c>
      <c r="N63" s="1" t="s">
        <v>47</v>
      </c>
      <c r="O63" s="1" t="s">
        <v>48</v>
      </c>
      <c r="P63" s="1" t="s">
        <v>4</v>
      </c>
      <c r="Q63" s="1" t="s">
        <v>49</v>
      </c>
      <c r="R63" s="1" t="s">
        <v>50</v>
      </c>
      <c r="S63" s="1" t="s">
        <v>51</v>
      </c>
      <c r="T63" s="1" t="s">
        <v>52</v>
      </c>
      <c r="U63" s="1" t="s">
        <v>10</v>
      </c>
    </row>
    <row r="64" spans="1:21" ht="28" customHeight="1" x14ac:dyDescent="0.35">
      <c r="A64" s="4">
        <v>1</v>
      </c>
      <c r="B64" s="4" t="s">
        <v>97</v>
      </c>
      <c r="C64" s="4" t="s">
        <v>362</v>
      </c>
      <c r="D64" s="4" t="s">
        <v>363</v>
      </c>
      <c r="E64" s="4" t="s">
        <v>69</v>
      </c>
      <c r="F64" s="4" t="s">
        <v>364</v>
      </c>
      <c r="G64" s="4" t="s">
        <v>199</v>
      </c>
      <c r="H64" s="4" t="s">
        <v>76</v>
      </c>
      <c r="I64" s="3"/>
      <c r="J64" s="3"/>
      <c r="K64" s="3"/>
      <c r="L64" s="3"/>
      <c r="M64" s="3"/>
      <c r="N64" s="3"/>
      <c r="O64" s="3"/>
      <c r="P64" s="8"/>
      <c r="Q64" s="8"/>
      <c r="R64" s="3"/>
      <c r="S64" s="3"/>
      <c r="T64" s="3"/>
      <c r="U64" s="5" t="str">
        <f t="shared" ref="U64:U75" si="4">IF(I64="","",IF(I64="NA","Grey",IF(I64=2,"Green",IF(I64=1,"Amber","Red"))))</f>
        <v/>
      </c>
    </row>
    <row r="65" spans="1:21" ht="28" customHeight="1" x14ac:dyDescent="0.35">
      <c r="A65" s="4">
        <v>2</v>
      </c>
      <c r="B65" s="4" t="s">
        <v>365</v>
      </c>
      <c r="C65" s="4" t="s">
        <v>366</v>
      </c>
      <c r="D65" s="4" t="s">
        <v>367</v>
      </c>
      <c r="E65" s="4" t="s">
        <v>69</v>
      </c>
      <c r="F65" s="4" t="s">
        <v>276</v>
      </c>
      <c r="G65" s="4" t="s">
        <v>199</v>
      </c>
      <c r="H65" s="4" t="s">
        <v>76</v>
      </c>
      <c r="I65" s="3"/>
      <c r="J65" s="3"/>
      <c r="K65" s="3"/>
      <c r="L65" s="3"/>
      <c r="M65" s="3"/>
      <c r="N65" s="3"/>
      <c r="O65" s="3"/>
      <c r="P65" s="8"/>
      <c r="Q65" s="8"/>
      <c r="R65" s="3"/>
      <c r="S65" s="3"/>
      <c r="T65" s="3"/>
      <c r="U65" s="5" t="str">
        <f t="shared" si="4"/>
        <v/>
      </c>
    </row>
    <row r="66" spans="1:21" ht="28" customHeight="1" x14ac:dyDescent="0.35">
      <c r="A66" s="4">
        <v>3</v>
      </c>
      <c r="B66" s="4" t="s">
        <v>365</v>
      </c>
      <c r="C66" s="4" t="s">
        <v>368</v>
      </c>
      <c r="D66" s="4" t="s">
        <v>369</v>
      </c>
      <c r="E66" s="4" t="s">
        <v>69</v>
      </c>
      <c r="F66" s="4" t="s">
        <v>370</v>
      </c>
      <c r="G66" s="4" t="s">
        <v>204</v>
      </c>
      <c r="H66" s="4" t="s">
        <v>76</v>
      </c>
      <c r="I66" s="3"/>
      <c r="J66" s="3"/>
      <c r="K66" s="3"/>
      <c r="L66" s="3"/>
      <c r="M66" s="3"/>
      <c r="N66" s="3"/>
      <c r="O66" s="3"/>
      <c r="P66" s="8"/>
      <c r="Q66" s="8"/>
      <c r="R66" s="3"/>
      <c r="S66" s="3"/>
      <c r="T66" s="3"/>
      <c r="U66" s="5" t="str">
        <f t="shared" si="4"/>
        <v/>
      </c>
    </row>
    <row r="67" spans="1:21" ht="28" customHeight="1" x14ac:dyDescent="0.35">
      <c r="A67" s="4">
        <v>4</v>
      </c>
      <c r="B67" s="4" t="s">
        <v>371</v>
      </c>
      <c r="C67" s="4" t="s">
        <v>372</v>
      </c>
      <c r="D67" s="4" t="s">
        <v>373</v>
      </c>
      <c r="E67" s="4" t="s">
        <v>69</v>
      </c>
      <c r="F67" s="4" t="s">
        <v>295</v>
      </c>
      <c r="G67" s="4" t="s">
        <v>199</v>
      </c>
      <c r="H67" s="4" t="s">
        <v>59</v>
      </c>
      <c r="I67" s="3"/>
      <c r="J67" s="3"/>
      <c r="K67" s="3"/>
      <c r="L67" s="3"/>
      <c r="M67" s="3"/>
      <c r="N67" s="3"/>
      <c r="O67" s="3"/>
      <c r="P67" s="8"/>
      <c r="Q67" s="8"/>
      <c r="R67" s="3"/>
      <c r="S67" s="3"/>
      <c r="T67" s="3"/>
      <c r="U67" s="5" t="str">
        <f t="shared" si="4"/>
        <v/>
      </c>
    </row>
    <row r="68" spans="1:21" ht="28" customHeight="1" x14ac:dyDescent="0.35">
      <c r="A68" s="4">
        <v>5</v>
      </c>
      <c r="B68" s="4" t="s">
        <v>374</v>
      </c>
      <c r="C68" s="4" t="s">
        <v>375</v>
      </c>
      <c r="D68" s="4" t="s">
        <v>376</v>
      </c>
      <c r="E68" s="4" t="s">
        <v>69</v>
      </c>
      <c r="F68" s="4" t="s">
        <v>276</v>
      </c>
      <c r="G68" s="4" t="s">
        <v>199</v>
      </c>
      <c r="H68" s="4" t="s">
        <v>59</v>
      </c>
      <c r="I68" s="3"/>
      <c r="J68" s="3"/>
      <c r="K68" s="3"/>
      <c r="L68" s="3"/>
      <c r="M68" s="3"/>
      <c r="N68" s="3"/>
      <c r="O68" s="3"/>
      <c r="P68" s="8"/>
      <c r="Q68" s="8"/>
      <c r="R68" s="3"/>
      <c r="S68" s="3"/>
      <c r="T68" s="3"/>
      <c r="U68" s="5" t="str">
        <f t="shared" si="4"/>
        <v/>
      </c>
    </row>
    <row r="69" spans="1:21" ht="28" customHeight="1" x14ac:dyDescent="0.35">
      <c r="A69" s="4">
        <v>6</v>
      </c>
      <c r="B69" s="4" t="s">
        <v>377</v>
      </c>
      <c r="C69" s="4" t="s">
        <v>378</v>
      </c>
      <c r="D69" s="4" t="s">
        <v>379</v>
      </c>
      <c r="E69" s="4" t="s">
        <v>69</v>
      </c>
      <c r="F69" s="4" t="s">
        <v>276</v>
      </c>
      <c r="G69" s="4" t="s">
        <v>199</v>
      </c>
      <c r="H69" s="4" t="s">
        <v>59</v>
      </c>
      <c r="I69" s="3"/>
      <c r="J69" s="3"/>
      <c r="K69" s="3"/>
      <c r="L69" s="3"/>
      <c r="M69" s="3"/>
      <c r="N69" s="3"/>
      <c r="O69" s="3"/>
      <c r="P69" s="8"/>
      <c r="Q69" s="8"/>
      <c r="R69" s="3"/>
      <c r="S69" s="3"/>
      <c r="T69" s="3"/>
      <c r="U69" s="5" t="str">
        <f t="shared" si="4"/>
        <v/>
      </c>
    </row>
    <row r="70" spans="1:21" ht="28" customHeight="1" x14ac:dyDescent="0.35">
      <c r="A70" s="4">
        <v>7</v>
      </c>
      <c r="B70" s="4" t="s">
        <v>380</v>
      </c>
      <c r="C70" s="4" t="s">
        <v>381</v>
      </c>
      <c r="D70" s="4" t="s">
        <v>382</v>
      </c>
      <c r="E70" s="4" t="s">
        <v>69</v>
      </c>
      <c r="F70" s="4" t="s">
        <v>276</v>
      </c>
      <c r="G70" s="4" t="s">
        <v>199</v>
      </c>
      <c r="H70" s="4" t="s">
        <v>59</v>
      </c>
      <c r="I70" s="3"/>
      <c r="J70" s="3"/>
      <c r="K70" s="3"/>
      <c r="L70" s="3"/>
      <c r="M70" s="3"/>
      <c r="N70" s="3"/>
      <c r="O70" s="3"/>
      <c r="P70" s="8"/>
      <c r="Q70" s="8"/>
      <c r="R70" s="3"/>
      <c r="S70" s="3"/>
      <c r="T70" s="3"/>
      <c r="U70" s="5" t="str">
        <f t="shared" si="4"/>
        <v/>
      </c>
    </row>
    <row r="71" spans="1:21" ht="28" customHeight="1" x14ac:dyDescent="0.35">
      <c r="A71" s="4">
        <v>8</v>
      </c>
      <c r="B71" s="4" t="s">
        <v>383</v>
      </c>
      <c r="C71" s="4" t="s">
        <v>384</v>
      </c>
      <c r="D71" s="4" t="s">
        <v>385</v>
      </c>
      <c r="E71" s="4" t="s">
        <v>69</v>
      </c>
      <c r="F71" s="4" t="s">
        <v>95</v>
      </c>
      <c r="G71" s="4" t="s">
        <v>96</v>
      </c>
      <c r="H71" s="4" t="s">
        <v>59</v>
      </c>
      <c r="I71" s="3"/>
      <c r="J71" s="3"/>
      <c r="K71" s="3"/>
      <c r="L71" s="3"/>
      <c r="M71" s="3"/>
      <c r="N71" s="3"/>
      <c r="O71" s="3"/>
      <c r="P71" s="8"/>
      <c r="Q71" s="8"/>
      <c r="R71" s="3"/>
      <c r="S71" s="3"/>
      <c r="T71" s="3"/>
      <c r="U71" s="5" t="str">
        <f t="shared" si="4"/>
        <v/>
      </c>
    </row>
    <row r="72" spans="1:21" ht="28" customHeight="1" x14ac:dyDescent="0.35">
      <c r="A72" s="4">
        <v>9</v>
      </c>
      <c r="B72" s="4" t="s">
        <v>97</v>
      </c>
      <c r="C72" s="4" t="s">
        <v>98</v>
      </c>
      <c r="D72" s="4" t="s">
        <v>99</v>
      </c>
      <c r="E72" s="4" t="s">
        <v>69</v>
      </c>
      <c r="F72" s="4" t="s">
        <v>95</v>
      </c>
      <c r="G72" s="4" t="s">
        <v>96</v>
      </c>
      <c r="H72" s="4" t="s">
        <v>59</v>
      </c>
      <c r="I72" s="3"/>
      <c r="J72" s="3"/>
      <c r="K72" s="3"/>
      <c r="L72" s="3"/>
      <c r="M72" s="3"/>
      <c r="N72" s="3"/>
      <c r="O72" s="3"/>
      <c r="P72" s="8"/>
      <c r="Q72" s="8"/>
      <c r="R72" s="3"/>
      <c r="S72" s="3"/>
      <c r="T72" s="3"/>
      <c r="U72" s="5" t="str">
        <f t="shared" si="4"/>
        <v/>
      </c>
    </row>
    <row r="73" spans="1:21" ht="28" customHeight="1" x14ac:dyDescent="0.35">
      <c r="A73" s="4">
        <v>10</v>
      </c>
      <c r="B73" s="4" t="s">
        <v>97</v>
      </c>
      <c r="C73" s="4" t="s">
        <v>100</v>
      </c>
      <c r="D73" s="4" t="s">
        <v>101</v>
      </c>
      <c r="E73" s="4" t="s">
        <v>69</v>
      </c>
      <c r="F73" s="4" t="s">
        <v>95</v>
      </c>
      <c r="G73" s="4" t="s">
        <v>102</v>
      </c>
      <c r="H73" s="4" t="s">
        <v>59</v>
      </c>
      <c r="I73" s="3"/>
      <c r="J73" s="3"/>
      <c r="K73" s="3"/>
      <c r="L73" s="3"/>
      <c r="M73" s="3"/>
      <c r="N73" s="3"/>
      <c r="O73" s="3"/>
      <c r="P73" s="8"/>
      <c r="Q73" s="8"/>
      <c r="R73" s="3"/>
      <c r="S73" s="3"/>
      <c r="T73" s="3"/>
      <c r="U73" s="5" t="str">
        <f t="shared" si="4"/>
        <v/>
      </c>
    </row>
    <row r="74" spans="1:21" ht="28" customHeight="1" x14ac:dyDescent="0.35">
      <c r="A74" s="4">
        <v>11</v>
      </c>
      <c r="B74" s="4" t="s">
        <v>103</v>
      </c>
      <c r="C74" s="4" t="s">
        <v>104</v>
      </c>
      <c r="D74" s="4" t="s">
        <v>105</v>
      </c>
      <c r="E74" s="4" t="s">
        <v>69</v>
      </c>
      <c r="F74" s="4" t="s">
        <v>95</v>
      </c>
      <c r="G74" s="4" t="s">
        <v>96</v>
      </c>
      <c r="H74" s="4" t="s">
        <v>85</v>
      </c>
      <c r="I74" s="3"/>
      <c r="J74" s="3"/>
      <c r="K74" s="3"/>
      <c r="L74" s="3"/>
      <c r="M74" s="3"/>
      <c r="N74" s="3"/>
      <c r="O74" s="3"/>
      <c r="P74" s="8"/>
      <c r="Q74" s="8"/>
      <c r="R74" s="3"/>
      <c r="S74" s="3"/>
      <c r="T74" s="3"/>
      <c r="U74" s="5" t="str">
        <f t="shared" si="4"/>
        <v/>
      </c>
    </row>
    <row r="75" spans="1:21" ht="28" customHeight="1" x14ac:dyDescent="0.35">
      <c r="A75" s="4">
        <v>12</v>
      </c>
      <c r="B75" s="4" t="s">
        <v>106</v>
      </c>
      <c r="C75" s="4" t="s">
        <v>107</v>
      </c>
      <c r="D75" s="4" t="s">
        <v>108</v>
      </c>
      <c r="E75" s="4" t="s">
        <v>109</v>
      </c>
      <c r="F75" s="4" t="s">
        <v>95</v>
      </c>
      <c r="G75" s="4" t="s">
        <v>96</v>
      </c>
      <c r="H75" s="4" t="s">
        <v>59</v>
      </c>
      <c r="I75" s="3"/>
      <c r="J75" s="3"/>
      <c r="K75" s="3"/>
      <c r="L75" s="3"/>
      <c r="M75" s="3"/>
      <c r="N75" s="3"/>
      <c r="O75" s="3"/>
      <c r="P75" s="8"/>
      <c r="Q75" s="8"/>
      <c r="R75" s="3"/>
      <c r="S75" s="3"/>
      <c r="T75" s="3"/>
      <c r="U75" s="5" t="str">
        <f t="shared" si="4"/>
        <v/>
      </c>
    </row>
    <row r="77" spans="1:21" ht="28" customHeight="1" x14ac:dyDescent="0.35">
      <c r="A77" s="9" t="s">
        <v>110</v>
      </c>
      <c r="B77" s="16"/>
      <c r="C77" s="17"/>
      <c r="D77" s="17"/>
      <c r="E77" s="17"/>
      <c r="F77" s="17"/>
      <c r="G77" s="17"/>
      <c r="H77" s="17"/>
      <c r="I77" s="17"/>
      <c r="J77" s="17"/>
      <c r="K77" s="17"/>
      <c r="L77" s="17"/>
      <c r="M77" s="17"/>
      <c r="N77" s="17"/>
      <c r="O77" s="17"/>
      <c r="P77" s="17"/>
      <c r="Q77" s="17"/>
      <c r="R77" s="17"/>
      <c r="S77" s="17"/>
      <c r="T77" s="17"/>
      <c r="U77" s="18"/>
    </row>
    <row r="78" spans="1:21" ht="28" customHeight="1" x14ac:dyDescent="0.35">
      <c r="A78" s="19" t="s">
        <v>386</v>
      </c>
      <c r="B78" s="20"/>
      <c r="C78" s="20"/>
      <c r="D78" s="20"/>
      <c r="E78" s="20"/>
      <c r="F78" s="20"/>
      <c r="G78" s="20"/>
      <c r="H78" s="20"/>
      <c r="I78" s="20"/>
      <c r="J78" s="20"/>
      <c r="K78" s="20"/>
      <c r="L78" s="20"/>
      <c r="M78" s="20"/>
      <c r="N78" s="20"/>
      <c r="O78" s="20"/>
      <c r="P78" s="20"/>
      <c r="Q78" s="20"/>
      <c r="R78" s="20"/>
      <c r="S78" s="20"/>
      <c r="T78" s="20"/>
      <c r="U78" s="21"/>
    </row>
    <row r="79" spans="1:21" ht="28" customHeight="1" x14ac:dyDescent="0.35">
      <c r="A79" s="4" t="s">
        <v>31</v>
      </c>
      <c r="B79" s="3" t="s">
        <v>218</v>
      </c>
      <c r="C79" s="4" t="s">
        <v>32</v>
      </c>
      <c r="D79" s="3"/>
      <c r="E79" s="4" t="s">
        <v>33</v>
      </c>
      <c r="F79" s="8"/>
    </row>
    <row r="80" spans="1:21" ht="28" customHeight="1" x14ac:dyDescent="0.35">
      <c r="A80" s="1" t="s">
        <v>34</v>
      </c>
      <c r="B80" s="1" t="s">
        <v>35</v>
      </c>
      <c r="C80" s="1" t="s">
        <v>36</v>
      </c>
      <c r="D80" s="1" t="s">
        <v>37</v>
      </c>
      <c r="E80" s="1" t="s">
        <v>38</v>
      </c>
      <c r="F80" s="1" t="s">
        <v>39</v>
      </c>
      <c r="G80" s="1" t="s">
        <v>40</v>
      </c>
      <c r="H80" s="1" t="s">
        <v>41</v>
      </c>
      <c r="I80" s="1" t="s">
        <v>42</v>
      </c>
      <c r="J80" s="1" t="s">
        <v>43</v>
      </c>
      <c r="K80" s="1" t="s">
        <v>44</v>
      </c>
      <c r="L80" s="1" t="s">
        <v>45</v>
      </c>
      <c r="M80" s="1" t="s">
        <v>46</v>
      </c>
      <c r="N80" s="1" t="s">
        <v>47</v>
      </c>
      <c r="O80" s="1" t="s">
        <v>48</v>
      </c>
      <c r="P80" s="1" t="s">
        <v>4</v>
      </c>
      <c r="Q80" s="1" t="s">
        <v>49</v>
      </c>
      <c r="R80" s="1" t="s">
        <v>50</v>
      </c>
      <c r="S80" s="1" t="s">
        <v>51</v>
      </c>
      <c r="T80" s="1" t="s">
        <v>52</v>
      </c>
      <c r="U80" s="1" t="s">
        <v>10</v>
      </c>
    </row>
    <row r="81" spans="1:21" ht="28" customHeight="1" x14ac:dyDescent="0.35">
      <c r="A81" s="4">
        <v>1</v>
      </c>
      <c r="B81" s="4" t="s">
        <v>97</v>
      </c>
      <c r="C81" s="4" t="s">
        <v>362</v>
      </c>
      <c r="D81" s="4" t="s">
        <v>363</v>
      </c>
      <c r="E81" s="4" t="s">
        <v>69</v>
      </c>
      <c r="F81" s="4" t="s">
        <v>364</v>
      </c>
      <c r="G81" s="4" t="s">
        <v>199</v>
      </c>
      <c r="H81" s="4" t="s">
        <v>76</v>
      </c>
      <c r="I81" s="3"/>
      <c r="J81" s="3"/>
      <c r="K81" s="3"/>
      <c r="L81" s="3"/>
      <c r="M81" s="3"/>
      <c r="N81" s="3"/>
      <c r="O81" s="3"/>
      <c r="P81" s="8"/>
      <c r="Q81" s="8"/>
      <c r="R81" s="3"/>
      <c r="S81" s="3"/>
      <c r="T81" s="3"/>
      <c r="U81" s="5" t="str">
        <f t="shared" ref="U81:U92" si="5">IF(I81="","",IF(I81="NA","Grey",IF(I81=2,"Green",IF(I81=1,"Amber","Red"))))</f>
        <v/>
      </c>
    </row>
    <row r="82" spans="1:21" ht="28" customHeight="1" x14ac:dyDescent="0.35">
      <c r="A82" s="4">
        <v>2</v>
      </c>
      <c r="B82" s="4" t="s">
        <v>365</v>
      </c>
      <c r="C82" s="4" t="s">
        <v>366</v>
      </c>
      <c r="D82" s="4" t="s">
        <v>367</v>
      </c>
      <c r="E82" s="4" t="s">
        <v>69</v>
      </c>
      <c r="F82" s="4" t="s">
        <v>276</v>
      </c>
      <c r="G82" s="4" t="s">
        <v>199</v>
      </c>
      <c r="H82" s="4" t="s">
        <v>76</v>
      </c>
      <c r="I82" s="3"/>
      <c r="J82" s="3"/>
      <c r="K82" s="3"/>
      <c r="L82" s="3"/>
      <c r="M82" s="3"/>
      <c r="N82" s="3"/>
      <c r="O82" s="3"/>
      <c r="P82" s="8"/>
      <c r="Q82" s="8"/>
      <c r="R82" s="3"/>
      <c r="S82" s="3"/>
      <c r="T82" s="3"/>
      <c r="U82" s="5" t="str">
        <f t="shared" si="5"/>
        <v/>
      </c>
    </row>
    <row r="83" spans="1:21" ht="28" customHeight="1" x14ac:dyDescent="0.35">
      <c r="A83" s="4">
        <v>3</v>
      </c>
      <c r="B83" s="4" t="s">
        <v>365</v>
      </c>
      <c r="C83" s="4" t="s">
        <v>368</v>
      </c>
      <c r="D83" s="4" t="s">
        <v>369</v>
      </c>
      <c r="E83" s="4" t="s">
        <v>69</v>
      </c>
      <c r="F83" s="4" t="s">
        <v>370</v>
      </c>
      <c r="G83" s="4" t="s">
        <v>204</v>
      </c>
      <c r="H83" s="4" t="s">
        <v>76</v>
      </c>
      <c r="I83" s="3"/>
      <c r="J83" s="3"/>
      <c r="K83" s="3"/>
      <c r="L83" s="3"/>
      <c r="M83" s="3"/>
      <c r="N83" s="3"/>
      <c r="O83" s="3"/>
      <c r="P83" s="8"/>
      <c r="Q83" s="8"/>
      <c r="R83" s="3"/>
      <c r="S83" s="3"/>
      <c r="T83" s="3"/>
      <c r="U83" s="5" t="str">
        <f t="shared" si="5"/>
        <v/>
      </c>
    </row>
    <row r="84" spans="1:21" ht="28" customHeight="1" x14ac:dyDescent="0.35">
      <c r="A84" s="4">
        <v>4</v>
      </c>
      <c r="B84" s="4" t="s">
        <v>371</v>
      </c>
      <c r="C84" s="4" t="s">
        <v>372</v>
      </c>
      <c r="D84" s="4" t="s">
        <v>373</v>
      </c>
      <c r="E84" s="4" t="s">
        <v>69</v>
      </c>
      <c r="F84" s="4" t="s">
        <v>295</v>
      </c>
      <c r="G84" s="4" t="s">
        <v>199</v>
      </c>
      <c r="H84" s="4" t="s">
        <v>59</v>
      </c>
      <c r="I84" s="3"/>
      <c r="J84" s="3"/>
      <c r="K84" s="3"/>
      <c r="L84" s="3"/>
      <c r="M84" s="3"/>
      <c r="N84" s="3"/>
      <c r="O84" s="3"/>
      <c r="P84" s="8"/>
      <c r="Q84" s="8"/>
      <c r="R84" s="3"/>
      <c r="S84" s="3"/>
      <c r="T84" s="3"/>
      <c r="U84" s="5" t="str">
        <f t="shared" si="5"/>
        <v/>
      </c>
    </row>
    <row r="85" spans="1:21" ht="28" customHeight="1" x14ac:dyDescent="0.35">
      <c r="A85" s="4">
        <v>5</v>
      </c>
      <c r="B85" s="4" t="s">
        <v>374</v>
      </c>
      <c r="C85" s="4" t="s">
        <v>375</v>
      </c>
      <c r="D85" s="4" t="s">
        <v>376</v>
      </c>
      <c r="E85" s="4" t="s">
        <v>69</v>
      </c>
      <c r="F85" s="4" t="s">
        <v>276</v>
      </c>
      <c r="G85" s="4" t="s">
        <v>199</v>
      </c>
      <c r="H85" s="4" t="s">
        <v>59</v>
      </c>
      <c r="I85" s="3"/>
      <c r="J85" s="3"/>
      <c r="K85" s="3"/>
      <c r="L85" s="3"/>
      <c r="M85" s="3"/>
      <c r="N85" s="3"/>
      <c r="O85" s="3"/>
      <c r="P85" s="8"/>
      <c r="Q85" s="8"/>
      <c r="R85" s="3"/>
      <c r="S85" s="3"/>
      <c r="T85" s="3"/>
      <c r="U85" s="5" t="str">
        <f t="shared" si="5"/>
        <v/>
      </c>
    </row>
    <row r="86" spans="1:21" ht="28" customHeight="1" x14ac:dyDescent="0.35">
      <c r="A86" s="4">
        <v>6</v>
      </c>
      <c r="B86" s="4" t="s">
        <v>377</v>
      </c>
      <c r="C86" s="4" t="s">
        <v>378</v>
      </c>
      <c r="D86" s="4" t="s">
        <v>379</v>
      </c>
      <c r="E86" s="4" t="s">
        <v>69</v>
      </c>
      <c r="F86" s="4" t="s">
        <v>276</v>
      </c>
      <c r="G86" s="4" t="s">
        <v>199</v>
      </c>
      <c r="H86" s="4" t="s">
        <v>59</v>
      </c>
      <c r="I86" s="3"/>
      <c r="J86" s="3"/>
      <c r="K86" s="3"/>
      <c r="L86" s="3"/>
      <c r="M86" s="3"/>
      <c r="N86" s="3"/>
      <c r="O86" s="3"/>
      <c r="P86" s="8"/>
      <c r="Q86" s="8"/>
      <c r="R86" s="3"/>
      <c r="S86" s="3"/>
      <c r="T86" s="3"/>
      <c r="U86" s="5" t="str">
        <f t="shared" si="5"/>
        <v/>
      </c>
    </row>
    <row r="87" spans="1:21" ht="28" customHeight="1" x14ac:dyDescent="0.35">
      <c r="A87" s="4">
        <v>7</v>
      </c>
      <c r="B87" s="4" t="s">
        <v>380</v>
      </c>
      <c r="C87" s="4" t="s">
        <v>381</v>
      </c>
      <c r="D87" s="4" t="s">
        <v>382</v>
      </c>
      <c r="E87" s="4" t="s">
        <v>69</v>
      </c>
      <c r="F87" s="4" t="s">
        <v>276</v>
      </c>
      <c r="G87" s="4" t="s">
        <v>199</v>
      </c>
      <c r="H87" s="4" t="s">
        <v>59</v>
      </c>
      <c r="I87" s="3"/>
      <c r="J87" s="3"/>
      <c r="K87" s="3"/>
      <c r="L87" s="3"/>
      <c r="M87" s="3"/>
      <c r="N87" s="3"/>
      <c r="O87" s="3"/>
      <c r="P87" s="8"/>
      <c r="Q87" s="8"/>
      <c r="R87" s="3"/>
      <c r="S87" s="3"/>
      <c r="T87" s="3"/>
      <c r="U87" s="5" t="str">
        <f t="shared" si="5"/>
        <v/>
      </c>
    </row>
    <row r="88" spans="1:21" ht="28" customHeight="1" x14ac:dyDescent="0.35">
      <c r="A88" s="4">
        <v>8</v>
      </c>
      <c r="B88" s="4" t="s">
        <v>383</v>
      </c>
      <c r="C88" s="4" t="s">
        <v>384</v>
      </c>
      <c r="D88" s="4" t="s">
        <v>385</v>
      </c>
      <c r="E88" s="4" t="s">
        <v>69</v>
      </c>
      <c r="F88" s="4" t="s">
        <v>95</v>
      </c>
      <c r="G88" s="4" t="s">
        <v>96</v>
      </c>
      <c r="H88" s="4" t="s">
        <v>59</v>
      </c>
      <c r="I88" s="3"/>
      <c r="J88" s="3"/>
      <c r="K88" s="3"/>
      <c r="L88" s="3"/>
      <c r="M88" s="3"/>
      <c r="N88" s="3"/>
      <c r="O88" s="3"/>
      <c r="P88" s="8"/>
      <c r="Q88" s="8"/>
      <c r="R88" s="3"/>
      <c r="S88" s="3"/>
      <c r="T88" s="3"/>
      <c r="U88" s="5" t="str">
        <f t="shared" si="5"/>
        <v/>
      </c>
    </row>
    <row r="89" spans="1:21" ht="28" customHeight="1" x14ac:dyDescent="0.35">
      <c r="A89" s="4">
        <v>9</v>
      </c>
      <c r="B89" s="4" t="s">
        <v>97</v>
      </c>
      <c r="C89" s="4" t="s">
        <v>98</v>
      </c>
      <c r="D89" s="4" t="s">
        <v>99</v>
      </c>
      <c r="E89" s="4" t="s">
        <v>69</v>
      </c>
      <c r="F89" s="4" t="s">
        <v>95</v>
      </c>
      <c r="G89" s="4" t="s">
        <v>96</v>
      </c>
      <c r="H89" s="4" t="s">
        <v>59</v>
      </c>
      <c r="I89" s="3"/>
      <c r="J89" s="3"/>
      <c r="K89" s="3"/>
      <c r="L89" s="3"/>
      <c r="M89" s="3"/>
      <c r="N89" s="3"/>
      <c r="O89" s="3"/>
      <c r="P89" s="8"/>
      <c r="Q89" s="8"/>
      <c r="R89" s="3"/>
      <c r="S89" s="3"/>
      <c r="T89" s="3"/>
      <c r="U89" s="5" t="str">
        <f t="shared" si="5"/>
        <v/>
      </c>
    </row>
    <row r="90" spans="1:21" ht="28" customHeight="1" x14ac:dyDescent="0.35">
      <c r="A90" s="4">
        <v>10</v>
      </c>
      <c r="B90" s="4" t="s">
        <v>97</v>
      </c>
      <c r="C90" s="4" t="s">
        <v>100</v>
      </c>
      <c r="D90" s="4" t="s">
        <v>101</v>
      </c>
      <c r="E90" s="4" t="s">
        <v>69</v>
      </c>
      <c r="F90" s="4" t="s">
        <v>95</v>
      </c>
      <c r="G90" s="4" t="s">
        <v>102</v>
      </c>
      <c r="H90" s="4" t="s">
        <v>59</v>
      </c>
      <c r="I90" s="3"/>
      <c r="J90" s="3"/>
      <c r="K90" s="3"/>
      <c r="L90" s="3"/>
      <c r="M90" s="3"/>
      <c r="N90" s="3"/>
      <c r="O90" s="3"/>
      <c r="P90" s="8"/>
      <c r="Q90" s="8"/>
      <c r="R90" s="3"/>
      <c r="S90" s="3"/>
      <c r="T90" s="3"/>
      <c r="U90" s="5" t="str">
        <f t="shared" si="5"/>
        <v/>
      </c>
    </row>
    <row r="91" spans="1:21" ht="28" customHeight="1" x14ac:dyDescent="0.35">
      <c r="A91" s="4">
        <v>11</v>
      </c>
      <c r="B91" s="4" t="s">
        <v>103</v>
      </c>
      <c r="C91" s="4" t="s">
        <v>104</v>
      </c>
      <c r="D91" s="4" t="s">
        <v>105</v>
      </c>
      <c r="E91" s="4" t="s">
        <v>69</v>
      </c>
      <c r="F91" s="4" t="s">
        <v>95</v>
      </c>
      <c r="G91" s="4" t="s">
        <v>96</v>
      </c>
      <c r="H91" s="4" t="s">
        <v>85</v>
      </c>
      <c r="I91" s="3"/>
      <c r="J91" s="3"/>
      <c r="K91" s="3"/>
      <c r="L91" s="3"/>
      <c r="M91" s="3"/>
      <c r="N91" s="3"/>
      <c r="O91" s="3"/>
      <c r="P91" s="8"/>
      <c r="Q91" s="8"/>
      <c r="R91" s="3"/>
      <c r="S91" s="3"/>
      <c r="T91" s="3"/>
      <c r="U91" s="5" t="str">
        <f t="shared" si="5"/>
        <v/>
      </c>
    </row>
    <row r="92" spans="1:21" ht="28" customHeight="1" x14ac:dyDescent="0.35">
      <c r="A92" s="4">
        <v>12</v>
      </c>
      <c r="B92" s="4" t="s">
        <v>106</v>
      </c>
      <c r="C92" s="4" t="s">
        <v>107</v>
      </c>
      <c r="D92" s="4" t="s">
        <v>108</v>
      </c>
      <c r="E92" s="4" t="s">
        <v>109</v>
      </c>
      <c r="F92" s="4" t="s">
        <v>95</v>
      </c>
      <c r="G92" s="4" t="s">
        <v>96</v>
      </c>
      <c r="H92" s="4" t="s">
        <v>59</v>
      </c>
      <c r="I92" s="3"/>
      <c r="J92" s="3"/>
      <c r="K92" s="3"/>
      <c r="L92" s="3"/>
      <c r="M92" s="3"/>
      <c r="N92" s="3"/>
      <c r="O92" s="3"/>
      <c r="P92" s="8"/>
      <c r="Q92" s="8"/>
      <c r="R92" s="3"/>
      <c r="S92" s="3"/>
      <c r="T92" s="3"/>
      <c r="U92" s="5" t="str">
        <f t="shared" si="5"/>
        <v/>
      </c>
    </row>
    <row r="94" spans="1:21" ht="28" customHeight="1" x14ac:dyDescent="0.35">
      <c r="A94" s="9" t="s">
        <v>110</v>
      </c>
      <c r="B94" s="16"/>
      <c r="C94" s="17"/>
      <c r="D94" s="17"/>
      <c r="E94" s="17"/>
      <c r="F94" s="17"/>
      <c r="G94" s="17"/>
      <c r="H94" s="17"/>
      <c r="I94" s="17"/>
      <c r="J94" s="17"/>
      <c r="K94" s="17"/>
      <c r="L94" s="17"/>
      <c r="M94" s="17"/>
      <c r="N94" s="17"/>
      <c r="O94" s="17"/>
      <c r="P94" s="17"/>
      <c r="Q94" s="17"/>
      <c r="R94" s="17"/>
      <c r="S94" s="17"/>
      <c r="T94" s="17"/>
      <c r="U94" s="18"/>
    </row>
    <row r="95" spans="1:21" ht="28" customHeight="1" x14ac:dyDescent="0.35">
      <c r="A95" s="19" t="s">
        <v>387</v>
      </c>
      <c r="B95" s="20"/>
      <c r="C95" s="20"/>
      <c r="D95" s="20"/>
      <c r="E95" s="20"/>
      <c r="F95" s="20"/>
      <c r="G95" s="20"/>
      <c r="H95" s="20"/>
      <c r="I95" s="20"/>
      <c r="J95" s="20"/>
      <c r="K95" s="20"/>
      <c r="L95" s="20"/>
      <c r="M95" s="20"/>
      <c r="N95" s="20"/>
      <c r="O95" s="20"/>
      <c r="P95" s="20"/>
      <c r="Q95" s="20"/>
      <c r="R95" s="20"/>
      <c r="S95" s="20"/>
      <c r="T95" s="20"/>
      <c r="U95" s="21"/>
    </row>
    <row r="96" spans="1:21" ht="28" customHeight="1" x14ac:dyDescent="0.35">
      <c r="A96" s="4" t="s">
        <v>31</v>
      </c>
      <c r="B96" s="3" t="s">
        <v>219</v>
      </c>
      <c r="C96" s="4" t="s">
        <v>32</v>
      </c>
      <c r="D96" s="3"/>
      <c r="E96" s="4" t="s">
        <v>33</v>
      </c>
      <c r="F96" s="8"/>
    </row>
    <row r="97" spans="1:21" ht="28" customHeight="1" x14ac:dyDescent="0.35">
      <c r="A97" s="1" t="s">
        <v>34</v>
      </c>
      <c r="B97" s="1" t="s">
        <v>35</v>
      </c>
      <c r="C97" s="1" t="s">
        <v>36</v>
      </c>
      <c r="D97" s="1" t="s">
        <v>37</v>
      </c>
      <c r="E97" s="1" t="s">
        <v>38</v>
      </c>
      <c r="F97" s="1" t="s">
        <v>39</v>
      </c>
      <c r="G97" s="1" t="s">
        <v>40</v>
      </c>
      <c r="H97" s="1" t="s">
        <v>41</v>
      </c>
      <c r="I97" s="1" t="s">
        <v>42</v>
      </c>
      <c r="J97" s="1" t="s">
        <v>43</v>
      </c>
      <c r="K97" s="1" t="s">
        <v>44</v>
      </c>
      <c r="L97" s="1" t="s">
        <v>45</v>
      </c>
      <c r="M97" s="1" t="s">
        <v>46</v>
      </c>
      <c r="N97" s="1" t="s">
        <v>47</v>
      </c>
      <c r="O97" s="1" t="s">
        <v>48</v>
      </c>
      <c r="P97" s="1" t="s">
        <v>4</v>
      </c>
      <c r="Q97" s="1" t="s">
        <v>49</v>
      </c>
      <c r="R97" s="1" t="s">
        <v>50</v>
      </c>
      <c r="S97" s="1" t="s">
        <v>51</v>
      </c>
      <c r="T97" s="1" t="s">
        <v>52</v>
      </c>
      <c r="U97" s="1" t="s">
        <v>10</v>
      </c>
    </row>
    <row r="98" spans="1:21" ht="28" customHeight="1" x14ac:dyDescent="0.35">
      <c r="A98" s="4">
        <v>1</v>
      </c>
      <c r="B98" s="4" t="s">
        <v>97</v>
      </c>
      <c r="C98" s="4" t="s">
        <v>362</v>
      </c>
      <c r="D98" s="4" t="s">
        <v>363</v>
      </c>
      <c r="E98" s="4" t="s">
        <v>69</v>
      </c>
      <c r="F98" s="4" t="s">
        <v>364</v>
      </c>
      <c r="G98" s="4" t="s">
        <v>199</v>
      </c>
      <c r="H98" s="4" t="s">
        <v>76</v>
      </c>
      <c r="I98" s="3"/>
      <c r="J98" s="3"/>
      <c r="K98" s="3"/>
      <c r="L98" s="3"/>
      <c r="M98" s="3"/>
      <c r="N98" s="3"/>
      <c r="O98" s="3"/>
      <c r="P98" s="8"/>
      <c r="Q98" s="8"/>
      <c r="R98" s="3"/>
      <c r="S98" s="3"/>
      <c r="T98" s="3"/>
      <c r="U98" s="5" t="str">
        <f t="shared" ref="U98:U109" si="6">IF(I98="","",IF(I98="NA","Grey",IF(I98=2,"Green",IF(I98=1,"Amber","Red"))))</f>
        <v/>
      </c>
    </row>
    <row r="99" spans="1:21" ht="28" customHeight="1" x14ac:dyDescent="0.35">
      <c r="A99" s="4">
        <v>2</v>
      </c>
      <c r="B99" s="4" t="s">
        <v>365</v>
      </c>
      <c r="C99" s="4" t="s">
        <v>366</v>
      </c>
      <c r="D99" s="4" t="s">
        <v>367</v>
      </c>
      <c r="E99" s="4" t="s">
        <v>69</v>
      </c>
      <c r="F99" s="4" t="s">
        <v>276</v>
      </c>
      <c r="G99" s="4" t="s">
        <v>199</v>
      </c>
      <c r="H99" s="4" t="s">
        <v>76</v>
      </c>
      <c r="I99" s="3"/>
      <c r="J99" s="3"/>
      <c r="K99" s="3"/>
      <c r="L99" s="3"/>
      <c r="M99" s="3"/>
      <c r="N99" s="3"/>
      <c r="O99" s="3"/>
      <c r="P99" s="8"/>
      <c r="Q99" s="8"/>
      <c r="R99" s="3"/>
      <c r="S99" s="3"/>
      <c r="T99" s="3"/>
      <c r="U99" s="5" t="str">
        <f t="shared" si="6"/>
        <v/>
      </c>
    </row>
    <row r="100" spans="1:21" ht="28" customHeight="1" x14ac:dyDescent="0.35">
      <c r="A100" s="4">
        <v>3</v>
      </c>
      <c r="B100" s="4" t="s">
        <v>365</v>
      </c>
      <c r="C100" s="4" t="s">
        <v>368</v>
      </c>
      <c r="D100" s="4" t="s">
        <v>369</v>
      </c>
      <c r="E100" s="4" t="s">
        <v>69</v>
      </c>
      <c r="F100" s="4" t="s">
        <v>370</v>
      </c>
      <c r="G100" s="4" t="s">
        <v>204</v>
      </c>
      <c r="H100" s="4" t="s">
        <v>76</v>
      </c>
      <c r="I100" s="3"/>
      <c r="J100" s="3"/>
      <c r="K100" s="3"/>
      <c r="L100" s="3"/>
      <c r="M100" s="3"/>
      <c r="N100" s="3"/>
      <c r="O100" s="3"/>
      <c r="P100" s="8"/>
      <c r="Q100" s="8"/>
      <c r="R100" s="3"/>
      <c r="S100" s="3"/>
      <c r="T100" s="3"/>
      <c r="U100" s="5" t="str">
        <f t="shared" si="6"/>
        <v/>
      </c>
    </row>
    <row r="101" spans="1:21" ht="28" customHeight="1" x14ac:dyDescent="0.35">
      <c r="A101" s="4">
        <v>4</v>
      </c>
      <c r="B101" s="4" t="s">
        <v>371</v>
      </c>
      <c r="C101" s="4" t="s">
        <v>372</v>
      </c>
      <c r="D101" s="4" t="s">
        <v>373</v>
      </c>
      <c r="E101" s="4" t="s">
        <v>69</v>
      </c>
      <c r="F101" s="4" t="s">
        <v>295</v>
      </c>
      <c r="G101" s="4" t="s">
        <v>199</v>
      </c>
      <c r="H101" s="4" t="s">
        <v>59</v>
      </c>
      <c r="I101" s="3"/>
      <c r="J101" s="3"/>
      <c r="K101" s="3"/>
      <c r="L101" s="3"/>
      <c r="M101" s="3"/>
      <c r="N101" s="3"/>
      <c r="O101" s="3"/>
      <c r="P101" s="8"/>
      <c r="Q101" s="8"/>
      <c r="R101" s="3"/>
      <c r="S101" s="3"/>
      <c r="T101" s="3"/>
      <c r="U101" s="5" t="str">
        <f t="shared" si="6"/>
        <v/>
      </c>
    </row>
    <row r="102" spans="1:21" ht="28" customHeight="1" x14ac:dyDescent="0.35">
      <c r="A102" s="4">
        <v>5</v>
      </c>
      <c r="B102" s="4" t="s">
        <v>374</v>
      </c>
      <c r="C102" s="4" t="s">
        <v>375</v>
      </c>
      <c r="D102" s="4" t="s">
        <v>376</v>
      </c>
      <c r="E102" s="4" t="s">
        <v>69</v>
      </c>
      <c r="F102" s="4" t="s">
        <v>276</v>
      </c>
      <c r="G102" s="4" t="s">
        <v>199</v>
      </c>
      <c r="H102" s="4" t="s">
        <v>59</v>
      </c>
      <c r="I102" s="3"/>
      <c r="J102" s="3"/>
      <c r="K102" s="3"/>
      <c r="L102" s="3"/>
      <c r="M102" s="3"/>
      <c r="N102" s="3"/>
      <c r="O102" s="3"/>
      <c r="P102" s="8"/>
      <c r="Q102" s="8"/>
      <c r="R102" s="3"/>
      <c r="S102" s="3"/>
      <c r="T102" s="3"/>
      <c r="U102" s="5" t="str">
        <f t="shared" si="6"/>
        <v/>
      </c>
    </row>
    <row r="103" spans="1:21" ht="28" customHeight="1" x14ac:dyDescent="0.35">
      <c r="A103" s="4">
        <v>6</v>
      </c>
      <c r="B103" s="4" t="s">
        <v>377</v>
      </c>
      <c r="C103" s="4" t="s">
        <v>378</v>
      </c>
      <c r="D103" s="4" t="s">
        <v>379</v>
      </c>
      <c r="E103" s="4" t="s">
        <v>69</v>
      </c>
      <c r="F103" s="4" t="s">
        <v>276</v>
      </c>
      <c r="G103" s="4" t="s">
        <v>199</v>
      </c>
      <c r="H103" s="4" t="s">
        <v>59</v>
      </c>
      <c r="I103" s="3"/>
      <c r="J103" s="3"/>
      <c r="K103" s="3"/>
      <c r="L103" s="3"/>
      <c r="M103" s="3"/>
      <c r="N103" s="3"/>
      <c r="O103" s="3"/>
      <c r="P103" s="8"/>
      <c r="Q103" s="8"/>
      <c r="R103" s="3"/>
      <c r="S103" s="3"/>
      <c r="T103" s="3"/>
      <c r="U103" s="5" t="str">
        <f t="shared" si="6"/>
        <v/>
      </c>
    </row>
    <row r="104" spans="1:21" ht="28" customHeight="1" x14ac:dyDescent="0.35">
      <c r="A104" s="4">
        <v>7</v>
      </c>
      <c r="B104" s="4" t="s">
        <v>380</v>
      </c>
      <c r="C104" s="4" t="s">
        <v>381</v>
      </c>
      <c r="D104" s="4" t="s">
        <v>382</v>
      </c>
      <c r="E104" s="4" t="s">
        <v>69</v>
      </c>
      <c r="F104" s="4" t="s">
        <v>276</v>
      </c>
      <c r="G104" s="4" t="s">
        <v>199</v>
      </c>
      <c r="H104" s="4" t="s">
        <v>59</v>
      </c>
      <c r="I104" s="3"/>
      <c r="J104" s="3"/>
      <c r="K104" s="3"/>
      <c r="L104" s="3"/>
      <c r="M104" s="3"/>
      <c r="N104" s="3"/>
      <c r="O104" s="3"/>
      <c r="P104" s="8"/>
      <c r="Q104" s="8"/>
      <c r="R104" s="3"/>
      <c r="S104" s="3"/>
      <c r="T104" s="3"/>
      <c r="U104" s="5" t="str">
        <f t="shared" si="6"/>
        <v/>
      </c>
    </row>
    <row r="105" spans="1:21" ht="28" customHeight="1" x14ac:dyDescent="0.35">
      <c r="A105" s="4">
        <v>8</v>
      </c>
      <c r="B105" s="4" t="s">
        <v>383</v>
      </c>
      <c r="C105" s="4" t="s">
        <v>384</v>
      </c>
      <c r="D105" s="4" t="s">
        <v>385</v>
      </c>
      <c r="E105" s="4" t="s">
        <v>69</v>
      </c>
      <c r="F105" s="4" t="s">
        <v>95</v>
      </c>
      <c r="G105" s="4" t="s">
        <v>96</v>
      </c>
      <c r="H105" s="4" t="s">
        <v>59</v>
      </c>
      <c r="I105" s="3"/>
      <c r="J105" s="3"/>
      <c r="K105" s="3"/>
      <c r="L105" s="3"/>
      <c r="M105" s="3"/>
      <c r="N105" s="3"/>
      <c r="O105" s="3"/>
      <c r="P105" s="8"/>
      <c r="Q105" s="8"/>
      <c r="R105" s="3"/>
      <c r="S105" s="3"/>
      <c r="T105" s="3"/>
      <c r="U105" s="5" t="str">
        <f t="shared" si="6"/>
        <v/>
      </c>
    </row>
    <row r="106" spans="1:21" ht="28" customHeight="1" x14ac:dyDescent="0.35">
      <c r="A106" s="4">
        <v>9</v>
      </c>
      <c r="B106" s="4" t="s">
        <v>97</v>
      </c>
      <c r="C106" s="4" t="s">
        <v>98</v>
      </c>
      <c r="D106" s="4" t="s">
        <v>99</v>
      </c>
      <c r="E106" s="4" t="s">
        <v>69</v>
      </c>
      <c r="F106" s="4" t="s">
        <v>95</v>
      </c>
      <c r="G106" s="4" t="s">
        <v>96</v>
      </c>
      <c r="H106" s="4" t="s">
        <v>59</v>
      </c>
      <c r="I106" s="3"/>
      <c r="J106" s="3"/>
      <c r="K106" s="3"/>
      <c r="L106" s="3"/>
      <c r="M106" s="3"/>
      <c r="N106" s="3"/>
      <c r="O106" s="3"/>
      <c r="P106" s="8"/>
      <c r="Q106" s="8"/>
      <c r="R106" s="3"/>
      <c r="S106" s="3"/>
      <c r="T106" s="3"/>
      <c r="U106" s="5" t="str">
        <f t="shared" si="6"/>
        <v/>
      </c>
    </row>
    <row r="107" spans="1:21" ht="28" customHeight="1" x14ac:dyDescent="0.35">
      <c r="A107" s="4">
        <v>10</v>
      </c>
      <c r="B107" s="4" t="s">
        <v>97</v>
      </c>
      <c r="C107" s="4" t="s">
        <v>100</v>
      </c>
      <c r="D107" s="4" t="s">
        <v>101</v>
      </c>
      <c r="E107" s="4" t="s">
        <v>69</v>
      </c>
      <c r="F107" s="4" t="s">
        <v>95</v>
      </c>
      <c r="G107" s="4" t="s">
        <v>102</v>
      </c>
      <c r="H107" s="4" t="s">
        <v>59</v>
      </c>
      <c r="I107" s="3"/>
      <c r="J107" s="3"/>
      <c r="K107" s="3"/>
      <c r="L107" s="3"/>
      <c r="M107" s="3"/>
      <c r="N107" s="3"/>
      <c r="O107" s="3"/>
      <c r="P107" s="8"/>
      <c r="Q107" s="8"/>
      <c r="R107" s="3"/>
      <c r="S107" s="3"/>
      <c r="T107" s="3"/>
      <c r="U107" s="5" t="str">
        <f t="shared" si="6"/>
        <v/>
      </c>
    </row>
    <row r="108" spans="1:21" ht="28" customHeight="1" x14ac:dyDescent="0.35">
      <c r="A108" s="4">
        <v>11</v>
      </c>
      <c r="B108" s="4" t="s">
        <v>103</v>
      </c>
      <c r="C108" s="4" t="s">
        <v>104</v>
      </c>
      <c r="D108" s="4" t="s">
        <v>105</v>
      </c>
      <c r="E108" s="4" t="s">
        <v>69</v>
      </c>
      <c r="F108" s="4" t="s">
        <v>95</v>
      </c>
      <c r="G108" s="4" t="s">
        <v>96</v>
      </c>
      <c r="H108" s="4" t="s">
        <v>85</v>
      </c>
      <c r="I108" s="3"/>
      <c r="J108" s="3"/>
      <c r="K108" s="3"/>
      <c r="L108" s="3"/>
      <c r="M108" s="3"/>
      <c r="N108" s="3"/>
      <c r="O108" s="3"/>
      <c r="P108" s="8"/>
      <c r="Q108" s="8"/>
      <c r="R108" s="3"/>
      <c r="S108" s="3"/>
      <c r="T108" s="3"/>
      <c r="U108" s="5" t="str">
        <f t="shared" si="6"/>
        <v/>
      </c>
    </row>
    <row r="109" spans="1:21" ht="28" customHeight="1" x14ac:dyDescent="0.35">
      <c r="A109" s="4">
        <v>12</v>
      </c>
      <c r="B109" s="4" t="s">
        <v>106</v>
      </c>
      <c r="C109" s="4" t="s">
        <v>107</v>
      </c>
      <c r="D109" s="4" t="s">
        <v>108</v>
      </c>
      <c r="E109" s="4" t="s">
        <v>109</v>
      </c>
      <c r="F109" s="4" t="s">
        <v>95</v>
      </c>
      <c r="G109" s="4" t="s">
        <v>96</v>
      </c>
      <c r="H109" s="4" t="s">
        <v>59</v>
      </c>
      <c r="I109" s="3"/>
      <c r="J109" s="3"/>
      <c r="K109" s="3"/>
      <c r="L109" s="3"/>
      <c r="M109" s="3"/>
      <c r="N109" s="3"/>
      <c r="O109" s="3"/>
      <c r="P109" s="8"/>
      <c r="Q109" s="8"/>
      <c r="R109" s="3"/>
      <c r="S109" s="3"/>
      <c r="T109" s="3"/>
      <c r="U109" s="5" t="str">
        <f t="shared" si="6"/>
        <v/>
      </c>
    </row>
    <row r="111" spans="1:21" ht="28" customHeight="1" x14ac:dyDescent="0.35">
      <c r="A111" s="9" t="s">
        <v>110</v>
      </c>
      <c r="B111" s="16"/>
      <c r="C111" s="17"/>
      <c r="D111" s="17"/>
      <c r="E111" s="17"/>
      <c r="F111" s="17"/>
      <c r="G111" s="17"/>
      <c r="H111" s="17"/>
      <c r="I111" s="17"/>
      <c r="J111" s="17"/>
      <c r="K111" s="17"/>
      <c r="L111" s="17"/>
      <c r="M111" s="17"/>
      <c r="N111" s="17"/>
      <c r="O111" s="17"/>
      <c r="P111" s="17"/>
      <c r="Q111" s="17"/>
      <c r="R111" s="17"/>
      <c r="S111" s="17"/>
      <c r="T111" s="17"/>
      <c r="U111" s="18"/>
    </row>
    <row r="112" spans="1:21" ht="28" customHeight="1" x14ac:dyDescent="0.35">
      <c r="A112" s="19" t="s">
        <v>388</v>
      </c>
      <c r="B112" s="20"/>
      <c r="C112" s="20"/>
      <c r="D112" s="20"/>
      <c r="E112" s="20"/>
      <c r="F112" s="20"/>
      <c r="G112" s="20"/>
      <c r="H112" s="20"/>
      <c r="I112" s="20"/>
      <c r="J112" s="20"/>
      <c r="K112" s="20"/>
      <c r="L112" s="20"/>
      <c r="M112" s="20"/>
      <c r="N112" s="20"/>
      <c r="O112" s="20"/>
      <c r="P112" s="20"/>
      <c r="Q112" s="20"/>
      <c r="R112" s="20"/>
      <c r="S112" s="20"/>
      <c r="T112" s="20"/>
      <c r="U112" s="21"/>
    </row>
    <row r="113" spans="1:21" ht="28" customHeight="1" x14ac:dyDescent="0.35">
      <c r="A113" s="4" t="s">
        <v>31</v>
      </c>
      <c r="B113" s="3" t="s">
        <v>220</v>
      </c>
      <c r="C113" s="4" t="s">
        <v>32</v>
      </c>
      <c r="D113" s="3"/>
      <c r="E113" s="4" t="s">
        <v>33</v>
      </c>
      <c r="F113" s="8"/>
    </row>
    <row r="114" spans="1:21" ht="28" customHeight="1" x14ac:dyDescent="0.35">
      <c r="A114" s="1" t="s">
        <v>34</v>
      </c>
      <c r="B114" s="1" t="s">
        <v>35</v>
      </c>
      <c r="C114" s="1" t="s">
        <v>36</v>
      </c>
      <c r="D114" s="1" t="s">
        <v>37</v>
      </c>
      <c r="E114" s="1" t="s">
        <v>38</v>
      </c>
      <c r="F114" s="1" t="s">
        <v>39</v>
      </c>
      <c r="G114" s="1" t="s">
        <v>40</v>
      </c>
      <c r="H114" s="1" t="s">
        <v>41</v>
      </c>
      <c r="I114" s="1" t="s">
        <v>42</v>
      </c>
      <c r="J114" s="1" t="s">
        <v>43</v>
      </c>
      <c r="K114" s="1" t="s">
        <v>44</v>
      </c>
      <c r="L114" s="1" t="s">
        <v>45</v>
      </c>
      <c r="M114" s="1" t="s">
        <v>46</v>
      </c>
      <c r="N114" s="1" t="s">
        <v>47</v>
      </c>
      <c r="O114" s="1" t="s">
        <v>48</v>
      </c>
      <c r="P114" s="1" t="s">
        <v>4</v>
      </c>
      <c r="Q114" s="1" t="s">
        <v>49</v>
      </c>
      <c r="R114" s="1" t="s">
        <v>50</v>
      </c>
      <c r="S114" s="1" t="s">
        <v>51</v>
      </c>
      <c r="T114" s="1" t="s">
        <v>52</v>
      </c>
      <c r="U114" s="1" t="s">
        <v>10</v>
      </c>
    </row>
    <row r="115" spans="1:21" ht="28" customHeight="1" x14ac:dyDescent="0.35">
      <c r="A115" s="4">
        <v>1</v>
      </c>
      <c r="B115" s="4" t="s">
        <v>97</v>
      </c>
      <c r="C115" s="4" t="s">
        <v>362</v>
      </c>
      <c r="D115" s="4" t="s">
        <v>363</v>
      </c>
      <c r="E115" s="4" t="s">
        <v>69</v>
      </c>
      <c r="F115" s="4" t="s">
        <v>364</v>
      </c>
      <c r="G115" s="4" t="s">
        <v>199</v>
      </c>
      <c r="H115" s="4" t="s">
        <v>76</v>
      </c>
      <c r="I115" s="3"/>
      <c r="J115" s="3"/>
      <c r="K115" s="3"/>
      <c r="L115" s="3"/>
      <c r="M115" s="3"/>
      <c r="N115" s="3"/>
      <c r="O115" s="3"/>
      <c r="P115" s="8"/>
      <c r="Q115" s="8"/>
      <c r="R115" s="3"/>
      <c r="S115" s="3"/>
      <c r="T115" s="3"/>
      <c r="U115" s="5" t="str">
        <f t="shared" ref="U115:U126" si="7">IF(I115="","",IF(I115="NA","Grey",IF(I115=2,"Green",IF(I115=1,"Amber","Red"))))</f>
        <v/>
      </c>
    </row>
    <row r="116" spans="1:21" ht="28" customHeight="1" x14ac:dyDescent="0.35">
      <c r="A116" s="4">
        <v>2</v>
      </c>
      <c r="B116" s="4" t="s">
        <v>365</v>
      </c>
      <c r="C116" s="4" t="s">
        <v>366</v>
      </c>
      <c r="D116" s="4" t="s">
        <v>367</v>
      </c>
      <c r="E116" s="4" t="s">
        <v>69</v>
      </c>
      <c r="F116" s="4" t="s">
        <v>276</v>
      </c>
      <c r="G116" s="4" t="s">
        <v>199</v>
      </c>
      <c r="H116" s="4" t="s">
        <v>76</v>
      </c>
      <c r="I116" s="3"/>
      <c r="J116" s="3"/>
      <c r="K116" s="3"/>
      <c r="L116" s="3"/>
      <c r="M116" s="3"/>
      <c r="N116" s="3"/>
      <c r="O116" s="3"/>
      <c r="P116" s="8"/>
      <c r="Q116" s="8"/>
      <c r="R116" s="3"/>
      <c r="S116" s="3"/>
      <c r="T116" s="3"/>
      <c r="U116" s="5" t="str">
        <f t="shared" si="7"/>
        <v/>
      </c>
    </row>
    <row r="117" spans="1:21" ht="28" customHeight="1" x14ac:dyDescent="0.35">
      <c r="A117" s="4">
        <v>3</v>
      </c>
      <c r="B117" s="4" t="s">
        <v>365</v>
      </c>
      <c r="C117" s="4" t="s">
        <v>368</v>
      </c>
      <c r="D117" s="4" t="s">
        <v>369</v>
      </c>
      <c r="E117" s="4" t="s">
        <v>69</v>
      </c>
      <c r="F117" s="4" t="s">
        <v>370</v>
      </c>
      <c r="G117" s="4" t="s">
        <v>204</v>
      </c>
      <c r="H117" s="4" t="s">
        <v>76</v>
      </c>
      <c r="I117" s="3"/>
      <c r="J117" s="3"/>
      <c r="K117" s="3"/>
      <c r="L117" s="3"/>
      <c r="M117" s="3"/>
      <c r="N117" s="3"/>
      <c r="O117" s="3"/>
      <c r="P117" s="8"/>
      <c r="Q117" s="8"/>
      <c r="R117" s="3"/>
      <c r="S117" s="3"/>
      <c r="T117" s="3"/>
      <c r="U117" s="5" t="str">
        <f t="shared" si="7"/>
        <v/>
      </c>
    </row>
    <row r="118" spans="1:21" ht="28" customHeight="1" x14ac:dyDescent="0.35">
      <c r="A118" s="4">
        <v>4</v>
      </c>
      <c r="B118" s="4" t="s">
        <v>371</v>
      </c>
      <c r="C118" s="4" t="s">
        <v>372</v>
      </c>
      <c r="D118" s="4" t="s">
        <v>373</v>
      </c>
      <c r="E118" s="4" t="s">
        <v>69</v>
      </c>
      <c r="F118" s="4" t="s">
        <v>295</v>
      </c>
      <c r="G118" s="4" t="s">
        <v>199</v>
      </c>
      <c r="H118" s="4" t="s">
        <v>59</v>
      </c>
      <c r="I118" s="3"/>
      <c r="J118" s="3"/>
      <c r="K118" s="3"/>
      <c r="L118" s="3"/>
      <c r="M118" s="3"/>
      <c r="N118" s="3"/>
      <c r="O118" s="3"/>
      <c r="P118" s="8"/>
      <c r="Q118" s="8"/>
      <c r="R118" s="3"/>
      <c r="S118" s="3"/>
      <c r="T118" s="3"/>
      <c r="U118" s="5" t="str">
        <f t="shared" si="7"/>
        <v/>
      </c>
    </row>
    <row r="119" spans="1:21" ht="28" customHeight="1" x14ac:dyDescent="0.35">
      <c r="A119" s="4">
        <v>5</v>
      </c>
      <c r="B119" s="4" t="s">
        <v>374</v>
      </c>
      <c r="C119" s="4" t="s">
        <v>375</v>
      </c>
      <c r="D119" s="4" t="s">
        <v>376</v>
      </c>
      <c r="E119" s="4" t="s">
        <v>69</v>
      </c>
      <c r="F119" s="4" t="s">
        <v>276</v>
      </c>
      <c r="G119" s="4" t="s">
        <v>199</v>
      </c>
      <c r="H119" s="4" t="s">
        <v>59</v>
      </c>
      <c r="I119" s="3"/>
      <c r="J119" s="3"/>
      <c r="K119" s="3"/>
      <c r="L119" s="3"/>
      <c r="M119" s="3"/>
      <c r="N119" s="3"/>
      <c r="O119" s="3"/>
      <c r="P119" s="8"/>
      <c r="Q119" s="8"/>
      <c r="R119" s="3"/>
      <c r="S119" s="3"/>
      <c r="T119" s="3"/>
      <c r="U119" s="5" t="str">
        <f t="shared" si="7"/>
        <v/>
      </c>
    </row>
    <row r="120" spans="1:21" ht="28" customHeight="1" x14ac:dyDescent="0.35">
      <c r="A120" s="4">
        <v>6</v>
      </c>
      <c r="B120" s="4" t="s">
        <v>377</v>
      </c>
      <c r="C120" s="4" t="s">
        <v>378</v>
      </c>
      <c r="D120" s="4" t="s">
        <v>379</v>
      </c>
      <c r="E120" s="4" t="s">
        <v>69</v>
      </c>
      <c r="F120" s="4" t="s">
        <v>276</v>
      </c>
      <c r="G120" s="4" t="s">
        <v>199</v>
      </c>
      <c r="H120" s="4" t="s">
        <v>59</v>
      </c>
      <c r="I120" s="3"/>
      <c r="J120" s="3"/>
      <c r="K120" s="3"/>
      <c r="L120" s="3"/>
      <c r="M120" s="3"/>
      <c r="N120" s="3"/>
      <c r="O120" s="3"/>
      <c r="P120" s="8"/>
      <c r="Q120" s="8"/>
      <c r="R120" s="3"/>
      <c r="S120" s="3"/>
      <c r="T120" s="3"/>
      <c r="U120" s="5" t="str">
        <f t="shared" si="7"/>
        <v/>
      </c>
    </row>
    <row r="121" spans="1:21" ht="28" customHeight="1" x14ac:dyDescent="0.35">
      <c r="A121" s="4">
        <v>7</v>
      </c>
      <c r="B121" s="4" t="s">
        <v>380</v>
      </c>
      <c r="C121" s="4" t="s">
        <v>381</v>
      </c>
      <c r="D121" s="4" t="s">
        <v>382</v>
      </c>
      <c r="E121" s="4" t="s">
        <v>69</v>
      </c>
      <c r="F121" s="4" t="s">
        <v>276</v>
      </c>
      <c r="G121" s="4" t="s">
        <v>199</v>
      </c>
      <c r="H121" s="4" t="s">
        <v>59</v>
      </c>
      <c r="I121" s="3"/>
      <c r="J121" s="3"/>
      <c r="K121" s="3"/>
      <c r="L121" s="3"/>
      <c r="M121" s="3"/>
      <c r="N121" s="3"/>
      <c r="O121" s="3"/>
      <c r="P121" s="8"/>
      <c r="Q121" s="8"/>
      <c r="R121" s="3"/>
      <c r="S121" s="3"/>
      <c r="T121" s="3"/>
      <c r="U121" s="5" t="str">
        <f t="shared" si="7"/>
        <v/>
      </c>
    </row>
    <row r="122" spans="1:21" ht="28" customHeight="1" x14ac:dyDescent="0.35">
      <c r="A122" s="4">
        <v>8</v>
      </c>
      <c r="B122" s="4" t="s">
        <v>383</v>
      </c>
      <c r="C122" s="4" t="s">
        <v>384</v>
      </c>
      <c r="D122" s="4" t="s">
        <v>385</v>
      </c>
      <c r="E122" s="4" t="s">
        <v>69</v>
      </c>
      <c r="F122" s="4" t="s">
        <v>95</v>
      </c>
      <c r="G122" s="4" t="s">
        <v>96</v>
      </c>
      <c r="H122" s="4" t="s">
        <v>59</v>
      </c>
      <c r="I122" s="3"/>
      <c r="J122" s="3"/>
      <c r="K122" s="3"/>
      <c r="L122" s="3"/>
      <c r="M122" s="3"/>
      <c r="N122" s="3"/>
      <c r="O122" s="3"/>
      <c r="P122" s="8"/>
      <c r="Q122" s="8"/>
      <c r="R122" s="3"/>
      <c r="S122" s="3"/>
      <c r="T122" s="3"/>
      <c r="U122" s="5" t="str">
        <f t="shared" si="7"/>
        <v/>
      </c>
    </row>
    <row r="123" spans="1:21" ht="28" customHeight="1" x14ac:dyDescent="0.35">
      <c r="A123" s="4">
        <v>9</v>
      </c>
      <c r="B123" s="4" t="s">
        <v>97</v>
      </c>
      <c r="C123" s="4" t="s">
        <v>98</v>
      </c>
      <c r="D123" s="4" t="s">
        <v>99</v>
      </c>
      <c r="E123" s="4" t="s">
        <v>69</v>
      </c>
      <c r="F123" s="4" t="s">
        <v>95</v>
      </c>
      <c r="G123" s="4" t="s">
        <v>96</v>
      </c>
      <c r="H123" s="4" t="s">
        <v>59</v>
      </c>
      <c r="I123" s="3"/>
      <c r="J123" s="3"/>
      <c r="K123" s="3"/>
      <c r="L123" s="3"/>
      <c r="M123" s="3"/>
      <c r="N123" s="3"/>
      <c r="O123" s="3"/>
      <c r="P123" s="8"/>
      <c r="Q123" s="8"/>
      <c r="R123" s="3"/>
      <c r="S123" s="3"/>
      <c r="T123" s="3"/>
      <c r="U123" s="5" t="str">
        <f t="shared" si="7"/>
        <v/>
      </c>
    </row>
    <row r="124" spans="1:21" ht="28" customHeight="1" x14ac:dyDescent="0.35">
      <c r="A124" s="4">
        <v>10</v>
      </c>
      <c r="B124" s="4" t="s">
        <v>97</v>
      </c>
      <c r="C124" s="4" t="s">
        <v>100</v>
      </c>
      <c r="D124" s="4" t="s">
        <v>101</v>
      </c>
      <c r="E124" s="4" t="s">
        <v>69</v>
      </c>
      <c r="F124" s="4" t="s">
        <v>95</v>
      </c>
      <c r="G124" s="4" t="s">
        <v>102</v>
      </c>
      <c r="H124" s="4" t="s">
        <v>59</v>
      </c>
      <c r="I124" s="3"/>
      <c r="J124" s="3"/>
      <c r="K124" s="3"/>
      <c r="L124" s="3"/>
      <c r="M124" s="3"/>
      <c r="N124" s="3"/>
      <c r="O124" s="3"/>
      <c r="P124" s="8"/>
      <c r="Q124" s="8"/>
      <c r="R124" s="3"/>
      <c r="S124" s="3"/>
      <c r="T124" s="3"/>
      <c r="U124" s="5" t="str">
        <f t="shared" si="7"/>
        <v/>
      </c>
    </row>
    <row r="125" spans="1:21" ht="28" customHeight="1" x14ac:dyDescent="0.35">
      <c r="A125" s="4">
        <v>11</v>
      </c>
      <c r="B125" s="4" t="s">
        <v>103</v>
      </c>
      <c r="C125" s="4" t="s">
        <v>104</v>
      </c>
      <c r="D125" s="4" t="s">
        <v>105</v>
      </c>
      <c r="E125" s="4" t="s">
        <v>69</v>
      </c>
      <c r="F125" s="4" t="s">
        <v>95</v>
      </c>
      <c r="G125" s="4" t="s">
        <v>96</v>
      </c>
      <c r="H125" s="4" t="s">
        <v>85</v>
      </c>
      <c r="I125" s="3"/>
      <c r="J125" s="3"/>
      <c r="K125" s="3"/>
      <c r="L125" s="3"/>
      <c r="M125" s="3"/>
      <c r="N125" s="3"/>
      <c r="O125" s="3"/>
      <c r="P125" s="8"/>
      <c r="Q125" s="8"/>
      <c r="R125" s="3"/>
      <c r="S125" s="3"/>
      <c r="T125" s="3"/>
      <c r="U125" s="5" t="str">
        <f t="shared" si="7"/>
        <v/>
      </c>
    </row>
    <row r="126" spans="1:21" ht="28" customHeight="1" x14ac:dyDescent="0.35">
      <c r="A126" s="4">
        <v>12</v>
      </c>
      <c r="B126" s="4" t="s">
        <v>106</v>
      </c>
      <c r="C126" s="4" t="s">
        <v>107</v>
      </c>
      <c r="D126" s="4" t="s">
        <v>108</v>
      </c>
      <c r="E126" s="4" t="s">
        <v>109</v>
      </c>
      <c r="F126" s="4" t="s">
        <v>95</v>
      </c>
      <c r="G126" s="4" t="s">
        <v>96</v>
      </c>
      <c r="H126" s="4" t="s">
        <v>59</v>
      </c>
      <c r="I126" s="3"/>
      <c r="J126" s="3"/>
      <c r="K126" s="3"/>
      <c r="L126" s="3"/>
      <c r="M126" s="3"/>
      <c r="N126" s="3"/>
      <c r="O126" s="3"/>
      <c r="P126" s="8"/>
      <c r="Q126" s="8"/>
      <c r="R126" s="3"/>
      <c r="S126" s="3"/>
      <c r="T126" s="3"/>
      <c r="U126" s="5" t="str">
        <f t="shared" si="7"/>
        <v/>
      </c>
    </row>
    <row r="128" spans="1:21" ht="28" customHeight="1" x14ac:dyDescent="0.35">
      <c r="A128" s="9" t="s">
        <v>110</v>
      </c>
      <c r="B128" s="16"/>
      <c r="C128" s="17"/>
      <c r="D128" s="17"/>
      <c r="E128" s="17"/>
      <c r="F128" s="17"/>
      <c r="G128" s="17"/>
      <c r="H128" s="17"/>
      <c r="I128" s="17"/>
      <c r="J128" s="17"/>
      <c r="K128" s="17"/>
      <c r="L128" s="17"/>
      <c r="M128" s="17"/>
      <c r="N128" s="17"/>
      <c r="O128" s="17"/>
      <c r="P128" s="17"/>
      <c r="Q128" s="17"/>
      <c r="R128" s="17"/>
      <c r="S128" s="17"/>
      <c r="T128" s="17"/>
      <c r="U128" s="18"/>
    </row>
    <row r="129" spans="1:21" ht="28" customHeight="1" x14ac:dyDescent="0.35">
      <c r="A129" s="19" t="s">
        <v>389</v>
      </c>
      <c r="B129" s="20"/>
      <c r="C129" s="20"/>
      <c r="D129" s="20"/>
      <c r="E129" s="20"/>
      <c r="F129" s="20"/>
      <c r="G129" s="20"/>
      <c r="H129" s="20"/>
      <c r="I129" s="20"/>
      <c r="J129" s="20"/>
      <c r="K129" s="20"/>
      <c r="L129" s="20"/>
      <c r="M129" s="20"/>
      <c r="N129" s="20"/>
      <c r="O129" s="20"/>
      <c r="P129" s="20"/>
      <c r="Q129" s="20"/>
      <c r="R129" s="20"/>
      <c r="S129" s="20"/>
      <c r="T129" s="20"/>
      <c r="U129" s="21"/>
    </row>
    <row r="130" spans="1:21" ht="28" customHeight="1" x14ac:dyDescent="0.35">
      <c r="A130" s="4" t="s">
        <v>31</v>
      </c>
      <c r="B130" s="3" t="s">
        <v>221</v>
      </c>
      <c r="C130" s="4" t="s">
        <v>32</v>
      </c>
      <c r="D130" s="3"/>
      <c r="E130" s="4" t="s">
        <v>33</v>
      </c>
      <c r="F130" s="8"/>
    </row>
    <row r="131" spans="1:21" ht="28" customHeight="1" x14ac:dyDescent="0.35">
      <c r="A131" s="1" t="s">
        <v>34</v>
      </c>
      <c r="B131" s="1" t="s">
        <v>35</v>
      </c>
      <c r="C131" s="1" t="s">
        <v>36</v>
      </c>
      <c r="D131" s="1" t="s">
        <v>37</v>
      </c>
      <c r="E131" s="1" t="s">
        <v>38</v>
      </c>
      <c r="F131" s="1" t="s">
        <v>39</v>
      </c>
      <c r="G131" s="1" t="s">
        <v>40</v>
      </c>
      <c r="H131" s="1" t="s">
        <v>41</v>
      </c>
      <c r="I131" s="1" t="s">
        <v>42</v>
      </c>
      <c r="J131" s="1" t="s">
        <v>43</v>
      </c>
      <c r="K131" s="1" t="s">
        <v>44</v>
      </c>
      <c r="L131" s="1" t="s">
        <v>45</v>
      </c>
      <c r="M131" s="1" t="s">
        <v>46</v>
      </c>
      <c r="N131" s="1" t="s">
        <v>47</v>
      </c>
      <c r="O131" s="1" t="s">
        <v>48</v>
      </c>
      <c r="P131" s="1" t="s">
        <v>4</v>
      </c>
      <c r="Q131" s="1" t="s">
        <v>49</v>
      </c>
      <c r="R131" s="1" t="s">
        <v>50</v>
      </c>
      <c r="S131" s="1" t="s">
        <v>51</v>
      </c>
      <c r="T131" s="1" t="s">
        <v>52</v>
      </c>
      <c r="U131" s="1" t="s">
        <v>10</v>
      </c>
    </row>
    <row r="132" spans="1:21" ht="28" customHeight="1" x14ac:dyDescent="0.35">
      <c r="A132" s="4">
        <v>1</v>
      </c>
      <c r="B132" s="4" t="s">
        <v>97</v>
      </c>
      <c r="C132" s="4" t="s">
        <v>362</v>
      </c>
      <c r="D132" s="4" t="s">
        <v>363</v>
      </c>
      <c r="E132" s="4" t="s">
        <v>69</v>
      </c>
      <c r="F132" s="4" t="s">
        <v>364</v>
      </c>
      <c r="G132" s="4" t="s">
        <v>199</v>
      </c>
      <c r="H132" s="4" t="s">
        <v>76</v>
      </c>
      <c r="I132" s="3"/>
      <c r="J132" s="3"/>
      <c r="K132" s="3"/>
      <c r="L132" s="3"/>
      <c r="M132" s="3"/>
      <c r="N132" s="3"/>
      <c r="O132" s="3"/>
      <c r="P132" s="8"/>
      <c r="Q132" s="8"/>
      <c r="R132" s="3"/>
      <c r="S132" s="3"/>
      <c r="T132" s="3"/>
      <c r="U132" s="5" t="str">
        <f t="shared" ref="U132:U143" si="8">IF(I132="","",IF(I132="NA","Grey",IF(I132=2,"Green",IF(I132=1,"Amber","Red"))))</f>
        <v/>
      </c>
    </row>
    <row r="133" spans="1:21" ht="28" customHeight="1" x14ac:dyDescent="0.35">
      <c r="A133" s="4">
        <v>2</v>
      </c>
      <c r="B133" s="4" t="s">
        <v>365</v>
      </c>
      <c r="C133" s="4" t="s">
        <v>366</v>
      </c>
      <c r="D133" s="4" t="s">
        <v>367</v>
      </c>
      <c r="E133" s="4" t="s">
        <v>69</v>
      </c>
      <c r="F133" s="4" t="s">
        <v>276</v>
      </c>
      <c r="G133" s="4" t="s">
        <v>199</v>
      </c>
      <c r="H133" s="4" t="s">
        <v>76</v>
      </c>
      <c r="I133" s="3"/>
      <c r="J133" s="3"/>
      <c r="K133" s="3"/>
      <c r="L133" s="3"/>
      <c r="M133" s="3"/>
      <c r="N133" s="3"/>
      <c r="O133" s="3"/>
      <c r="P133" s="8"/>
      <c r="Q133" s="8"/>
      <c r="R133" s="3"/>
      <c r="S133" s="3"/>
      <c r="T133" s="3"/>
      <c r="U133" s="5" t="str">
        <f t="shared" si="8"/>
        <v/>
      </c>
    </row>
    <row r="134" spans="1:21" ht="28" customHeight="1" x14ac:dyDescent="0.35">
      <c r="A134" s="4">
        <v>3</v>
      </c>
      <c r="B134" s="4" t="s">
        <v>365</v>
      </c>
      <c r="C134" s="4" t="s">
        <v>368</v>
      </c>
      <c r="D134" s="4" t="s">
        <v>369</v>
      </c>
      <c r="E134" s="4" t="s">
        <v>69</v>
      </c>
      <c r="F134" s="4" t="s">
        <v>370</v>
      </c>
      <c r="G134" s="4" t="s">
        <v>204</v>
      </c>
      <c r="H134" s="4" t="s">
        <v>76</v>
      </c>
      <c r="I134" s="3"/>
      <c r="J134" s="3"/>
      <c r="K134" s="3"/>
      <c r="L134" s="3"/>
      <c r="M134" s="3"/>
      <c r="N134" s="3"/>
      <c r="O134" s="3"/>
      <c r="P134" s="8"/>
      <c r="Q134" s="8"/>
      <c r="R134" s="3"/>
      <c r="S134" s="3"/>
      <c r="T134" s="3"/>
      <c r="U134" s="5" t="str">
        <f t="shared" si="8"/>
        <v/>
      </c>
    </row>
    <row r="135" spans="1:21" ht="28" customHeight="1" x14ac:dyDescent="0.35">
      <c r="A135" s="4">
        <v>4</v>
      </c>
      <c r="B135" s="4" t="s">
        <v>371</v>
      </c>
      <c r="C135" s="4" t="s">
        <v>372</v>
      </c>
      <c r="D135" s="4" t="s">
        <v>373</v>
      </c>
      <c r="E135" s="4" t="s">
        <v>69</v>
      </c>
      <c r="F135" s="4" t="s">
        <v>295</v>
      </c>
      <c r="G135" s="4" t="s">
        <v>199</v>
      </c>
      <c r="H135" s="4" t="s">
        <v>59</v>
      </c>
      <c r="I135" s="3"/>
      <c r="J135" s="3"/>
      <c r="K135" s="3"/>
      <c r="L135" s="3"/>
      <c r="M135" s="3"/>
      <c r="N135" s="3"/>
      <c r="O135" s="3"/>
      <c r="P135" s="8"/>
      <c r="Q135" s="8"/>
      <c r="R135" s="3"/>
      <c r="S135" s="3"/>
      <c r="T135" s="3"/>
      <c r="U135" s="5" t="str">
        <f t="shared" si="8"/>
        <v/>
      </c>
    </row>
    <row r="136" spans="1:21" ht="28" customHeight="1" x14ac:dyDescent="0.35">
      <c r="A136" s="4">
        <v>5</v>
      </c>
      <c r="B136" s="4" t="s">
        <v>374</v>
      </c>
      <c r="C136" s="4" t="s">
        <v>375</v>
      </c>
      <c r="D136" s="4" t="s">
        <v>376</v>
      </c>
      <c r="E136" s="4" t="s">
        <v>69</v>
      </c>
      <c r="F136" s="4" t="s">
        <v>276</v>
      </c>
      <c r="G136" s="4" t="s">
        <v>199</v>
      </c>
      <c r="H136" s="4" t="s">
        <v>59</v>
      </c>
      <c r="I136" s="3"/>
      <c r="J136" s="3"/>
      <c r="K136" s="3"/>
      <c r="L136" s="3"/>
      <c r="M136" s="3"/>
      <c r="N136" s="3"/>
      <c r="O136" s="3"/>
      <c r="P136" s="8"/>
      <c r="Q136" s="8"/>
      <c r="R136" s="3"/>
      <c r="S136" s="3"/>
      <c r="T136" s="3"/>
      <c r="U136" s="5" t="str">
        <f t="shared" si="8"/>
        <v/>
      </c>
    </row>
    <row r="137" spans="1:21" ht="28" customHeight="1" x14ac:dyDescent="0.35">
      <c r="A137" s="4">
        <v>6</v>
      </c>
      <c r="B137" s="4" t="s">
        <v>377</v>
      </c>
      <c r="C137" s="4" t="s">
        <v>378</v>
      </c>
      <c r="D137" s="4" t="s">
        <v>379</v>
      </c>
      <c r="E137" s="4" t="s">
        <v>69</v>
      </c>
      <c r="F137" s="4" t="s">
        <v>276</v>
      </c>
      <c r="G137" s="4" t="s">
        <v>199</v>
      </c>
      <c r="H137" s="4" t="s">
        <v>59</v>
      </c>
      <c r="I137" s="3"/>
      <c r="J137" s="3"/>
      <c r="K137" s="3"/>
      <c r="L137" s="3"/>
      <c r="M137" s="3"/>
      <c r="N137" s="3"/>
      <c r="O137" s="3"/>
      <c r="P137" s="8"/>
      <c r="Q137" s="8"/>
      <c r="R137" s="3"/>
      <c r="S137" s="3"/>
      <c r="T137" s="3"/>
      <c r="U137" s="5" t="str">
        <f t="shared" si="8"/>
        <v/>
      </c>
    </row>
    <row r="138" spans="1:21" ht="28" customHeight="1" x14ac:dyDescent="0.35">
      <c r="A138" s="4">
        <v>7</v>
      </c>
      <c r="B138" s="4" t="s">
        <v>380</v>
      </c>
      <c r="C138" s="4" t="s">
        <v>381</v>
      </c>
      <c r="D138" s="4" t="s">
        <v>382</v>
      </c>
      <c r="E138" s="4" t="s">
        <v>69</v>
      </c>
      <c r="F138" s="4" t="s">
        <v>276</v>
      </c>
      <c r="G138" s="4" t="s">
        <v>199</v>
      </c>
      <c r="H138" s="4" t="s">
        <v>59</v>
      </c>
      <c r="I138" s="3"/>
      <c r="J138" s="3"/>
      <c r="K138" s="3"/>
      <c r="L138" s="3"/>
      <c r="M138" s="3"/>
      <c r="N138" s="3"/>
      <c r="O138" s="3"/>
      <c r="P138" s="8"/>
      <c r="Q138" s="8"/>
      <c r="R138" s="3"/>
      <c r="S138" s="3"/>
      <c r="T138" s="3"/>
      <c r="U138" s="5" t="str">
        <f t="shared" si="8"/>
        <v/>
      </c>
    </row>
    <row r="139" spans="1:21" ht="28" customHeight="1" x14ac:dyDescent="0.35">
      <c r="A139" s="4">
        <v>8</v>
      </c>
      <c r="B139" s="4" t="s">
        <v>383</v>
      </c>
      <c r="C139" s="4" t="s">
        <v>384</v>
      </c>
      <c r="D139" s="4" t="s">
        <v>385</v>
      </c>
      <c r="E139" s="4" t="s">
        <v>69</v>
      </c>
      <c r="F139" s="4" t="s">
        <v>95</v>
      </c>
      <c r="G139" s="4" t="s">
        <v>96</v>
      </c>
      <c r="H139" s="4" t="s">
        <v>59</v>
      </c>
      <c r="I139" s="3"/>
      <c r="J139" s="3"/>
      <c r="K139" s="3"/>
      <c r="L139" s="3"/>
      <c r="M139" s="3"/>
      <c r="N139" s="3"/>
      <c r="O139" s="3"/>
      <c r="P139" s="8"/>
      <c r="Q139" s="8"/>
      <c r="R139" s="3"/>
      <c r="S139" s="3"/>
      <c r="T139" s="3"/>
      <c r="U139" s="5" t="str">
        <f t="shared" si="8"/>
        <v/>
      </c>
    </row>
    <row r="140" spans="1:21" ht="28" customHeight="1" x14ac:dyDescent="0.35">
      <c r="A140" s="4">
        <v>9</v>
      </c>
      <c r="B140" s="4" t="s">
        <v>97</v>
      </c>
      <c r="C140" s="4" t="s">
        <v>98</v>
      </c>
      <c r="D140" s="4" t="s">
        <v>99</v>
      </c>
      <c r="E140" s="4" t="s">
        <v>69</v>
      </c>
      <c r="F140" s="4" t="s">
        <v>95</v>
      </c>
      <c r="G140" s="4" t="s">
        <v>96</v>
      </c>
      <c r="H140" s="4" t="s">
        <v>59</v>
      </c>
      <c r="I140" s="3"/>
      <c r="J140" s="3"/>
      <c r="K140" s="3"/>
      <c r="L140" s="3"/>
      <c r="M140" s="3"/>
      <c r="N140" s="3"/>
      <c r="O140" s="3"/>
      <c r="P140" s="8"/>
      <c r="Q140" s="8"/>
      <c r="R140" s="3"/>
      <c r="S140" s="3"/>
      <c r="T140" s="3"/>
      <c r="U140" s="5" t="str">
        <f t="shared" si="8"/>
        <v/>
      </c>
    </row>
    <row r="141" spans="1:21" ht="28" customHeight="1" x14ac:dyDescent="0.35">
      <c r="A141" s="4">
        <v>10</v>
      </c>
      <c r="B141" s="4" t="s">
        <v>97</v>
      </c>
      <c r="C141" s="4" t="s">
        <v>100</v>
      </c>
      <c r="D141" s="4" t="s">
        <v>101</v>
      </c>
      <c r="E141" s="4" t="s">
        <v>69</v>
      </c>
      <c r="F141" s="4" t="s">
        <v>95</v>
      </c>
      <c r="G141" s="4" t="s">
        <v>102</v>
      </c>
      <c r="H141" s="4" t="s">
        <v>59</v>
      </c>
      <c r="I141" s="3"/>
      <c r="J141" s="3"/>
      <c r="K141" s="3"/>
      <c r="L141" s="3"/>
      <c r="M141" s="3"/>
      <c r="N141" s="3"/>
      <c r="O141" s="3"/>
      <c r="P141" s="8"/>
      <c r="Q141" s="8"/>
      <c r="R141" s="3"/>
      <c r="S141" s="3"/>
      <c r="T141" s="3"/>
      <c r="U141" s="5" t="str">
        <f t="shared" si="8"/>
        <v/>
      </c>
    </row>
    <row r="142" spans="1:21" ht="28" customHeight="1" x14ac:dyDescent="0.35">
      <c r="A142" s="4">
        <v>11</v>
      </c>
      <c r="B142" s="4" t="s">
        <v>103</v>
      </c>
      <c r="C142" s="4" t="s">
        <v>104</v>
      </c>
      <c r="D142" s="4" t="s">
        <v>105</v>
      </c>
      <c r="E142" s="4" t="s">
        <v>69</v>
      </c>
      <c r="F142" s="4" t="s">
        <v>95</v>
      </c>
      <c r="G142" s="4" t="s">
        <v>96</v>
      </c>
      <c r="H142" s="4" t="s">
        <v>85</v>
      </c>
      <c r="I142" s="3"/>
      <c r="J142" s="3"/>
      <c r="K142" s="3"/>
      <c r="L142" s="3"/>
      <c r="M142" s="3"/>
      <c r="N142" s="3"/>
      <c r="O142" s="3"/>
      <c r="P142" s="8"/>
      <c r="Q142" s="8"/>
      <c r="R142" s="3"/>
      <c r="S142" s="3"/>
      <c r="T142" s="3"/>
      <c r="U142" s="5" t="str">
        <f t="shared" si="8"/>
        <v/>
      </c>
    </row>
    <row r="143" spans="1:21" ht="28" customHeight="1" x14ac:dyDescent="0.35">
      <c r="A143" s="4">
        <v>12</v>
      </c>
      <c r="B143" s="4" t="s">
        <v>106</v>
      </c>
      <c r="C143" s="4" t="s">
        <v>107</v>
      </c>
      <c r="D143" s="4" t="s">
        <v>108</v>
      </c>
      <c r="E143" s="4" t="s">
        <v>109</v>
      </c>
      <c r="F143" s="4" t="s">
        <v>95</v>
      </c>
      <c r="G143" s="4" t="s">
        <v>96</v>
      </c>
      <c r="H143" s="4" t="s">
        <v>59</v>
      </c>
      <c r="I143" s="3"/>
      <c r="J143" s="3"/>
      <c r="K143" s="3"/>
      <c r="L143" s="3"/>
      <c r="M143" s="3"/>
      <c r="N143" s="3"/>
      <c r="O143" s="3"/>
      <c r="P143" s="8"/>
      <c r="Q143" s="8"/>
      <c r="R143" s="3"/>
      <c r="S143" s="3"/>
      <c r="T143" s="3"/>
      <c r="U143" s="5" t="str">
        <f t="shared" si="8"/>
        <v/>
      </c>
    </row>
    <row r="145" spans="1:21" ht="28" customHeight="1" x14ac:dyDescent="0.35">
      <c r="A145" s="9" t="s">
        <v>110</v>
      </c>
      <c r="B145" s="16"/>
      <c r="C145" s="17"/>
      <c r="D145" s="17"/>
      <c r="E145" s="17"/>
      <c r="F145" s="17"/>
      <c r="G145" s="17"/>
      <c r="H145" s="17"/>
      <c r="I145" s="17"/>
      <c r="J145" s="17"/>
      <c r="K145" s="17"/>
      <c r="L145" s="17"/>
      <c r="M145" s="17"/>
      <c r="N145" s="17"/>
      <c r="O145" s="17"/>
      <c r="P145" s="17"/>
      <c r="Q145" s="17"/>
      <c r="R145" s="17"/>
      <c r="S145" s="17"/>
      <c r="T145" s="17"/>
      <c r="U145" s="18"/>
    </row>
    <row r="146" spans="1:21" ht="28" customHeight="1" x14ac:dyDescent="0.35">
      <c r="A146" s="19" t="s">
        <v>390</v>
      </c>
      <c r="B146" s="20"/>
      <c r="C146" s="20"/>
      <c r="D146" s="20"/>
      <c r="E146" s="20"/>
      <c r="F146" s="20"/>
      <c r="G146" s="20"/>
      <c r="H146" s="20"/>
      <c r="I146" s="20"/>
      <c r="J146" s="20"/>
      <c r="K146" s="20"/>
      <c r="L146" s="20"/>
      <c r="M146" s="20"/>
      <c r="N146" s="20"/>
      <c r="O146" s="20"/>
      <c r="P146" s="20"/>
      <c r="Q146" s="20"/>
      <c r="R146" s="20"/>
      <c r="S146" s="20"/>
      <c r="T146" s="20"/>
      <c r="U146" s="21"/>
    </row>
    <row r="147" spans="1:21" ht="28" customHeight="1" x14ac:dyDescent="0.35">
      <c r="A147" s="4" t="s">
        <v>31</v>
      </c>
      <c r="B147" s="3" t="s">
        <v>222</v>
      </c>
      <c r="C147" s="4" t="s">
        <v>32</v>
      </c>
      <c r="D147" s="3"/>
      <c r="E147" s="4" t="s">
        <v>33</v>
      </c>
      <c r="F147" s="8"/>
    </row>
    <row r="148" spans="1:21" ht="28" customHeight="1" x14ac:dyDescent="0.35">
      <c r="A148" s="1" t="s">
        <v>34</v>
      </c>
      <c r="B148" s="1" t="s">
        <v>35</v>
      </c>
      <c r="C148" s="1" t="s">
        <v>36</v>
      </c>
      <c r="D148" s="1" t="s">
        <v>37</v>
      </c>
      <c r="E148" s="1" t="s">
        <v>38</v>
      </c>
      <c r="F148" s="1" t="s">
        <v>39</v>
      </c>
      <c r="G148" s="1" t="s">
        <v>40</v>
      </c>
      <c r="H148" s="1" t="s">
        <v>41</v>
      </c>
      <c r="I148" s="1" t="s">
        <v>42</v>
      </c>
      <c r="J148" s="1" t="s">
        <v>43</v>
      </c>
      <c r="K148" s="1" t="s">
        <v>44</v>
      </c>
      <c r="L148" s="1" t="s">
        <v>45</v>
      </c>
      <c r="M148" s="1" t="s">
        <v>46</v>
      </c>
      <c r="N148" s="1" t="s">
        <v>47</v>
      </c>
      <c r="O148" s="1" t="s">
        <v>48</v>
      </c>
      <c r="P148" s="1" t="s">
        <v>4</v>
      </c>
      <c r="Q148" s="1" t="s">
        <v>49</v>
      </c>
      <c r="R148" s="1" t="s">
        <v>50</v>
      </c>
      <c r="S148" s="1" t="s">
        <v>51</v>
      </c>
      <c r="T148" s="1" t="s">
        <v>52</v>
      </c>
      <c r="U148" s="1" t="s">
        <v>10</v>
      </c>
    </row>
    <row r="149" spans="1:21" ht="28" customHeight="1" x14ac:dyDescent="0.35">
      <c r="A149" s="4">
        <v>1</v>
      </c>
      <c r="B149" s="4" t="s">
        <v>97</v>
      </c>
      <c r="C149" s="4" t="s">
        <v>362</v>
      </c>
      <c r="D149" s="4" t="s">
        <v>363</v>
      </c>
      <c r="E149" s="4" t="s">
        <v>69</v>
      </c>
      <c r="F149" s="4" t="s">
        <v>364</v>
      </c>
      <c r="G149" s="4" t="s">
        <v>199</v>
      </c>
      <c r="H149" s="4" t="s">
        <v>76</v>
      </c>
      <c r="I149" s="3"/>
      <c r="J149" s="3"/>
      <c r="K149" s="3"/>
      <c r="L149" s="3"/>
      <c r="M149" s="3"/>
      <c r="N149" s="3"/>
      <c r="O149" s="3"/>
      <c r="P149" s="8"/>
      <c r="Q149" s="8"/>
      <c r="R149" s="3"/>
      <c r="S149" s="3"/>
      <c r="T149" s="3"/>
      <c r="U149" s="5" t="str">
        <f t="shared" ref="U149:U160" si="9">IF(I149="","",IF(I149="NA","Grey",IF(I149=2,"Green",IF(I149=1,"Amber","Red"))))</f>
        <v/>
      </c>
    </row>
    <row r="150" spans="1:21" ht="28" customHeight="1" x14ac:dyDescent="0.35">
      <c r="A150" s="4">
        <v>2</v>
      </c>
      <c r="B150" s="4" t="s">
        <v>365</v>
      </c>
      <c r="C150" s="4" t="s">
        <v>366</v>
      </c>
      <c r="D150" s="4" t="s">
        <v>367</v>
      </c>
      <c r="E150" s="4" t="s">
        <v>69</v>
      </c>
      <c r="F150" s="4" t="s">
        <v>276</v>
      </c>
      <c r="G150" s="4" t="s">
        <v>199</v>
      </c>
      <c r="H150" s="4" t="s">
        <v>76</v>
      </c>
      <c r="I150" s="3"/>
      <c r="J150" s="3"/>
      <c r="K150" s="3"/>
      <c r="L150" s="3"/>
      <c r="M150" s="3"/>
      <c r="N150" s="3"/>
      <c r="O150" s="3"/>
      <c r="P150" s="8"/>
      <c r="Q150" s="8"/>
      <c r="R150" s="3"/>
      <c r="S150" s="3"/>
      <c r="T150" s="3"/>
      <c r="U150" s="5" t="str">
        <f t="shared" si="9"/>
        <v/>
      </c>
    </row>
    <row r="151" spans="1:21" ht="28" customHeight="1" x14ac:dyDescent="0.35">
      <c r="A151" s="4">
        <v>3</v>
      </c>
      <c r="B151" s="4" t="s">
        <v>365</v>
      </c>
      <c r="C151" s="4" t="s">
        <v>368</v>
      </c>
      <c r="D151" s="4" t="s">
        <v>369</v>
      </c>
      <c r="E151" s="4" t="s">
        <v>69</v>
      </c>
      <c r="F151" s="4" t="s">
        <v>370</v>
      </c>
      <c r="G151" s="4" t="s">
        <v>204</v>
      </c>
      <c r="H151" s="4" t="s">
        <v>76</v>
      </c>
      <c r="I151" s="3"/>
      <c r="J151" s="3"/>
      <c r="K151" s="3"/>
      <c r="L151" s="3"/>
      <c r="M151" s="3"/>
      <c r="N151" s="3"/>
      <c r="O151" s="3"/>
      <c r="P151" s="8"/>
      <c r="Q151" s="8"/>
      <c r="R151" s="3"/>
      <c r="S151" s="3"/>
      <c r="T151" s="3"/>
      <c r="U151" s="5" t="str">
        <f t="shared" si="9"/>
        <v/>
      </c>
    </row>
    <row r="152" spans="1:21" ht="28" customHeight="1" x14ac:dyDescent="0.35">
      <c r="A152" s="4">
        <v>4</v>
      </c>
      <c r="B152" s="4" t="s">
        <v>371</v>
      </c>
      <c r="C152" s="4" t="s">
        <v>372</v>
      </c>
      <c r="D152" s="4" t="s">
        <v>373</v>
      </c>
      <c r="E152" s="4" t="s">
        <v>69</v>
      </c>
      <c r="F152" s="4" t="s">
        <v>295</v>
      </c>
      <c r="G152" s="4" t="s">
        <v>199</v>
      </c>
      <c r="H152" s="4" t="s">
        <v>59</v>
      </c>
      <c r="I152" s="3"/>
      <c r="J152" s="3"/>
      <c r="K152" s="3"/>
      <c r="L152" s="3"/>
      <c r="M152" s="3"/>
      <c r="N152" s="3"/>
      <c r="O152" s="3"/>
      <c r="P152" s="8"/>
      <c r="Q152" s="8"/>
      <c r="R152" s="3"/>
      <c r="S152" s="3"/>
      <c r="T152" s="3"/>
      <c r="U152" s="5" t="str">
        <f t="shared" si="9"/>
        <v/>
      </c>
    </row>
    <row r="153" spans="1:21" ht="28" customHeight="1" x14ac:dyDescent="0.35">
      <c r="A153" s="4">
        <v>5</v>
      </c>
      <c r="B153" s="4" t="s">
        <v>374</v>
      </c>
      <c r="C153" s="4" t="s">
        <v>375</v>
      </c>
      <c r="D153" s="4" t="s">
        <v>376</v>
      </c>
      <c r="E153" s="4" t="s">
        <v>69</v>
      </c>
      <c r="F153" s="4" t="s">
        <v>276</v>
      </c>
      <c r="G153" s="4" t="s">
        <v>199</v>
      </c>
      <c r="H153" s="4" t="s">
        <v>59</v>
      </c>
      <c r="I153" s="3"/>
      <c r="J153" s="3"/>
      <c r="K153" s="3"/>
      <c r="L153" s="3"/>
      <c r="M153" s="3"/>
      <c r="N153" s="3"/>
      <c r="O153" s="3"/>
      <c r="P153" s="8"/>
      <c r="Q153" s="8"/>
      <c r="R153" s="3"/>
      <c r="S153" s="3"/>
      <c r="T153" s="3"/>
      <c r="U153" s="5" t="str">
        <f t="shared" si="9"/>
        <v/>
      </c>
    </row>
    <row r="154" spans="1:21" ht="28" customHeight="1" x14ac:dyDescent="0.35">
      <c r="A154" s="4">
        <v>6</v>
      </c>
      <c r="B154" s="4" t="s">
        <v>377</v>
      </c>
      <c r="C154" s="4" t="s">
        <v>378</v>
      </c>
      <c r="D154" s="4" t="s">
        <v>379</v>
      </c>
      <c r="E154" s="4" t="s">
        <v>69</v>
      </c>
      <c r="F154" s="4" t="s">
        <v>276</v>
      </c>
      <c r="G154" s="4" t="s">
        <v>199</v>
      </c>
      <c r="H154" s="4" t="s">
        <v>59</v>
      </c>
      <c r="I154" s="3"/>
      <c r="J154" s="3"/>
      <c r="K154" s="3"/>
      <c r="L154" s="3"/>
      <c r="M154" s="3"/>
      <c r="N154" s="3"/>
      <c r="O154" s="3"/>
      <c r="P154" s="8"/>
      <c r="Q154" s="8"/>
      <c r="R154" s="3"/>
      <c r="S154" s="3"/>
      <c r="T154" s="3"/>
      <c r="U154" s="5" t="str">
        <f t="shared" si="9"/>
        <v/>
      </c>
    </row>
    <row r="155" spans="1:21" ht="28" customHeight="1" x14ac:dyDescent="0.35">
      <c r="A155" s="4">
        <v>7</v>
      </c>
      <c r="B155" s="4" t="s">
        <v>380</v>
      </c>
      <c r="C155" s="4" t="s">
        <v>381</v>
      </c>
      <c r="D155" s="4" t="s">
        <v>382</v>
      </c>
      <c r="E155" s="4" t="s">
        <v>69</v>
      </c>
      <c r="F155" s="4" t="s">
        <v>276</v>
      </c>
      <c r="G155" s="4" t="s">
        <v>199</v>
      </c>
      <c r="H155" s="4" t="s">
        <v>59</v>
      </c>
      <c r="I155" s="3"/>
      <c r="J155" s="3"/>
      <c r="K155" s="3"/>
      <c r="L155" s="3"/>
      <c r="M155" s="3"/>
      <c r="N155" s="3"/>
      <c r="O155" s="3"/>
      <c r="P155" s="8"/>
      <c r="Q155" s="8"/>
      <c r="R155" s="3"/>
      <c r="S155" s="3"/>
      <c r="T155" s="3"/>
      <c r="U155" s="5" t="str">
        <f t="shared" si="9"/>
        <v/>
      </c>
    </row>
    <row r="156" spans="1:21" ht="28" customHeight="1" x14ac:dyDescent="0.35">
      <c r="A156" s="4">
        <v>8</v>
      </c>
      <c r="B156" s="4" t="s">
        <v>383</v>
      </c>
      <c r="C156" s="4" t="s">
        <v>384</v>
      </c>
      <c r="D156" s="4" t="s">
        <v>385</v>
      </c>
      <c r="E156" s="4" t="s">
        <v>69</v>
      </c>
      <c r="F156" s="4" t="s">
        <v>95</v>
      </c>
      <c r="G156" s="4" t="s">
        <v>96</v>
      </c>
      <c r="H156" s="4" t="s">
        <v>59</v>
      </c>
      <c r="I156" s="3"/>
      <c r="J156" s="3"/>
      <c r="K156" s="3"/>
      <c r="L156" s="3"/>
      <c r="M156" s="3"/>
      <c r="N156" s="3"/>
      <c r="O156" s="3"/>
      <c r="P156" s="8"/>
      <c r="Q156" s="8"/>
      <c r="R156" s="3"/>
      <c r="S156" s="3"/>
      <c r="T156" s="3"/>
      <c r="U156" s="5" t="str">
        <f t="shared" si="9"/>
        <v/>
      </c>
    </row>
    <row r="157" spans="1:21" ht="28" customHeight="1" x14ac:dyDescent="0.35">
      <c r="A157" s="4">
        <v>9</v>
      </c>
      <c r="B157" s="4" t="s">
        <v>97</v>
      </c>
      <c r="C157" s="4" t="s">
        <v>98</v>
      </c>
      <c r="D157" s="4" t="s">
        <v>99</v>
      </c>
      <c r="E157" s="4" t="s">
        <v>69</v>
      </c>
      <c r="F157" s="4" t="s">
        <v>95</v>
      </c>
      <c r="G157" s="4" t="s">
        <v>96</v>
      </c>
      <c r="H157" s="4" t="s">
        <v>59</v>
      </c>
      <c r="I157" s="3"/>
      <c r="J157" s="3"/>
      <c r="K157" s="3"/>
      <c r="L157" s="3"/>
      <c r="M157" s="3"/>
      <c r="N157" s="3"/>
      <c r="O157" s="3"/>
      <c r="P157" s="8"/>
      <c r="Q157" s="8"/>
      <c r="R157" s="3"/>
      <c r="S157" s="3"/>
      <c r="T157" s="3"/>
      <c r="U157" s="5" t="str">
        <f t="shared" si="9"/>
        <v/>
      </c>
    </row>
    <row r="158" spans="1:21" ht="28" customHeight="1" x14ac:dyDescent="0.35">
      <c r="A158" s="4">
        <v>10</v>
      </c>
      <c r="B158" s="4" t="s">
        <v>97</v>
      </c>
      <c r="C158" s="4" t="s">
        <v>100</v>
      </c>
      <c r="D158" s="4" t="s">
        <v>101</v>
      </c>
      <c r="E158" s="4" t="s">
        <v>69</v>
      </c>
      <c r="F158" s="4" t="s">
        <v>95</v>
      </c>
      <c r="G158" s="4" t="s">
        <v>102</v>
      </c>
      <c r="H158" s="4" t="s">
        <v>59</v>
      </c>
      <c r="I158" s="3"/>
      <c r="J158" s="3"/>
      <c r="K158" s="3"/>
      <c r="L158" s="3"/>
      <c r="M158" s="3"/>
      <c r="N158" s="3"/>
      <c r="O158" s="3"/>
      <c r="P158" s="8"/>
      <c r="Q158" s="8"/>
      <c r="R158" s="3"/>
      <c r="S158" s="3"/>
      <c r="T158" s="3"/>
      <c r="U158" s="5" t="str">
        <f t="shared" si="9"/>
        <v/>
      </c>
    </row>
    <row r="159" spans="1:21" ht="28" customHeight="1" x14ac:dyDescent="0.35">
      <c r="A159" s="4">
        <v>11</v>
      </c>
      <c r="B159" s="4" t="s">
        <v>103</v>
      </c>
      <c r="C159" s="4" t="s">
        <v>104</v>
      </c>
      <c r="D159" s="4" t="s">
        <v>105</v>
      </c>
      <c r="E159" s="4" t="s">
        <v>69</v>
      </c>
      <c r="F159" s="4" t="s">
        <v>95</v>
      </c>
      <c r="G159" s="4" t="s">
        <v>96</v>
      </c>
      <c r="H159" s="4" t="s">
        <v>85</v>
      </c>
      <c r="I159" s="3"/>
      <c r="J159" s="3"/>
      <c r="K159" s="3"/>
      <c r="L159" s="3"/>
      <c r="M159" s="3"/>
      <c r="N159" s="3"/>
      <c r="O159" s="3"/>
      <c r="P159" s="8"/>
      <c r="Q159" s="8"/>
      <c r="R159" s="3"/>
      <c r="S159" s="3"/>
      <c r="T159" s="3"/>
      <c r="U159" s="5" t="str">
        <f t="shared" si="9"/>
        <v/>
      </c>
    </row>
    <row r="160" spans="1:21" ht="28" customHeight="1" x14ac:dyDescent="0.35">
      <c r="A160" s="4">
        <v>12</v>
      </c>
      <c r="B160" s="4" t="s">
        <v>106</v>
      </c>
      <c r="C160" s="4" t="s">
        <v>107</v>
      </c>
      <c r="D160" s="4" t="s">
        <v>108</v>
      </c>
      <c r="E160" s="4" t="s">
        <v>109</v>
      </c>
      <c r="F160" s="4" t="s">
        <v>95</v>
      </c>
      <c r="G160" s="4" t="s">
        <v>96</v>
      </c>
      <c r="H160" s="4" t="s">
        <v>59</v>
      </c>
      <c r="I160" s="3"/>
      <c r="J160" s="3"/>
      <c r="K160" s="3"/>
      <c r="L160" s="3"/>
      <c r="M160" s="3"/>
      <c r="N160" s="3"/>
      <c r="O160" s="3"/>
      <c r="P160" s="8"/>
      <c r="Q160" s="8"/>
      <c r="R160" s="3"/>
      <c r="S160" s="3"/>
      <c r="T160" s="3"/>
      <c r="U160" s="5" t="str">
        <f t="shared" si="9"/>
        <v/>
      </c>
    </row>
    <row r="162" spans="1:21" ht="28" customHeight="1" x14ac:dyDescent="0.35">
      <c r="A162" s="9" t="s">
        <v>110</v>
      </c>
      <c r="B162" s="16"/>
      <c r="C162" s="17"/>
      <c r="D162" s="17"/>
      <c r="E162" s="17"/>
      <c r="F162" s="17"/>
      <c r="G162" s="17"/>
      <c r="H162" s="17"/>
      <c r="I162" s="17"/>
      <c r="J162" s="17"/>
      <c r="K162" s="17"/>
      <c r="L162" s="17"/>
      <c r="M162" s="17"/>
      <c r="N162" s="17"/>
      <c r="O162" s="17"/>
      <c r="P162" s="17"/>
      <c r="Q162" s="17"/>
      <c r="R162" s="17"/>
      <c r="S162" s="17"/>
      <c r="T162" s="17"/>
      <c r="U162" s="18"/>
    </row>
    <row r="163" spans="1:21" ht="28" customHeight="1" x14ac:dyDescent="0.35">
      <c r="A163" s="19" t="s">
        <v>391</v>
      </c>
      <c r="B163" s="20"/>
      <c r="C163" s="20"/>
      <c r="D163" s="20"/>
      <c r="E163" s="20"/>
      <c r="F163" s="20"/>
      <c r="G163" s="20"/>
      <c r="H163" s="20"/>
      <c r="I163" s="20"/>
      <c r="J163" s="20"/>
      <c r="K163" s="20"/>
      <c r="L163" s="20"/>
      <c r="M163" s="20"/>
      <c r="N163" s="20"/>
      <c r="O163" s="20"/>
      <c r="P163" s="20"/>
      <c r="Q163" s="20"/>
      <c r="R163" s="20"/>
      <c r="S163" s="20"/>
      <c r="T163" s="20"/>
      <c r="U163" s="21"/>
    </row>
    <row r="164" spans="1:21" ht="28" customHeight="1" x14ac:dyDescent="0.35">
      <c r="A164" s="4" t="s">
        <v>31</v>
      </c>
      <c r="B164" s="3" t="s">
        <v>223</v>
      </c>
      <c r="C164" s="4" t="s">
        <v>32</v>
      </c>
      <c r="D164" s="3"/>
      <c r="E164" s="4" t="s">
        <v>33</v>
      </c>
      <c r="F164" s="8"/>
    </row>
    <row r="165" spans="1:21" ht="28" customHeight="1" x14ac:dyDescent="0.35">
      <c r="A165" s="1" t="s">
        <v>34</v>
      </c>
      <c r="B165" s="1" t="s">
        <v>35</v>
      </c>
      <c r="C165" s="1" t="s">
        <v>36</v>
      </c>
      <c r="D165" s="1" t="s">
        <v>37</v>
      </c>
      <c r="E165" s="1" t="s">
        <v>38</v>
      </c>
      <c r="F165" s="1" t="s">
        <v>39</v>
      </c>
      <c r="G165" s="1" t="s">
        <v>40</v>
      </c>
      <c r="H165" s="1" t="s">
        <v>41</v>
      </c>
      <c r="I165" s="1" t="s">
        <v>42</v>
      </c>
      <c r="J165" s="1" t="s">
        <v>43</v>
      </c>
      <c r="K165" s="1" t="s">
        <v>44</v>
      </c>
      <c r="L165" s="1" t="s">
        <v>45</v>
      </c>
      <c r="M165" s="1" t="s">
        <v>46</v>
      </c>
      <c r="N165" s="1" t="s">
        <v>47</v>
      </c>
      <c r="O165" s="1" t="s">
        <v>48</v>
      </c>
      <c r="P165" s="1" t="s">
        <v>4</v>
      </c>
      <c r="Q165" s="1" t="s">
        <v>49</v>
      </c>
      <c r="R165" s="1" t="s">
        <v>50</v>
      </c>
      <c r="S165" s="1" t="s">
        <v>51</v>
      </c>
      <c r="T165" s="1" t="s">
        <v>52</v>
      </c>
      <c r="U165" s="1" t="s">
        <v>10</v>
      </c>
    </row>
    <row r="166" spans="1:21" ht="28" customHeight="1" x14ac:dyDescent="0.35">
      <c r="A166" s="4">
        <v>1</v>
      </c>
      <c r="B166" s="4" t="s">
        <v>97</v>
      </c>
      <c r="C166" s="4" t="s">
        <v>362</v>
      </c>
      <c r="D166" s="4" t="s">
        <v>363</v>
      </c>
      <c r="E166" s="4" t="s">
        <v>69</v>
      </c>
      <c r="F166" s="4" t="s">
        <v>364</v>
      </c>
      <c r="G166" s="4" t="s">
        <v>199</v>
      </c>
      <c r="H166" s="4" t="s">
        <v>76</v>
      </c>
      <c r="I166" s="3"/>
      <c r="J166" s="3"/>
      <c r="K166" s="3"/>
      <c r="L166" s="3"/>
      <c r="M166" s="3"/>
      <c r="N166" s="3"/>
      <c r="O166" s="3"/>
      <c r="P166" s="8"/>
      <c r="Q166" s="8"/>
      <c r="R166" s="3"/>
      <c r="S166" s="3"/>
      <c r="T166" s="3"/>
      <c r="U166" s="5" t="str">
        <f t="shared" ref="U166:U177" si="10">IF(I166="","",IF(I166="NA","Grey",IF(I166=2,"Green",IF(I166=1,"Amber","Red"))))</f>
        <v/>
      </c>
    </row>
    <row r="167" spans="1:21" ht="28" customHeight="1" x14ac:dyDescent="0.35">
      <c r="A167" s="4">
        <v>2</v>
      </c>
      <c r="B167" s="4" t="s">
        <v>365</v>
      </c>
      <c r="C167" s="4" t="s">
        <v>366</v>
      </c>
      <c r="D167" s="4" t="s">
        <v>367</v>
      </c>
      <c r="E167" s="4" t="s">
        <v>69</v>
      </c>
      <c r="F167" s="4" t="s">
        <v>276</v>
      </c>
      <c r="G167" s="4" t="s">
        <v>199</v>
      </c>
      <c r="H167" s="4" t="s">
        <v>76</v>
      </c>
      <c r="I167" s="3"/>
      <c r="J167" s="3"/>
      <c r="K167" s="3"/>
      <c r="L167" s="3"/>
      <c r="M167" s="3"/>
      <c r="N167" s="3"/>
      <c r="O167" s="3"/>
      <c r="P167" s="8"/>
      <c r="Q167" s="8"/>
      <c r="R167" s="3"/>
      <c r="S167" s="3"/>
      <c r="T167" s="3"/>
      <c r="U167" s="5" t="str">
        <f t="shared" si="10"/>
        <v/>
      </c>
    </row>
    <row r="168" spans="1:21" ht="28" customHeight="1" x14ac:dyDescent="0.35">
      <c r="A168" s="4">
        <v>3</v>
      </c>
      <c r="B168" s="4" t="s">
        <v>365</v>
      </c>
      <c r="C168" s="4" t="s">
        <v>368</v>
      </c>
      <c r="D168" s="4" t="s">
        <v>369</v>
      </c>
      <c r="E168" s="4" t="s">
        <v>69</v>
      </c>
      <c r="F168" s="4" t="s">
        <v>370</v>
      </c>
      <c r="G168" s="4" t="s">
        <v>204</v>
      </c>
      <c r="H168" s="4" t="s">
        <v>76</v>
      </c>
      <c r="I168" s="3"/>
      <c r="J168" s="3"/>
      <c r="K168" s="3"/>
      <c r="L168" s="3"/>
      <c r="M168" s="3"/>
      <c r="N168" s="3"/>
      <c r="O168" s="3"/>
      <c r="P168" s="8"/>
      <c r="Q168" s="8"/>
      <c r="R168" s="3"/>
      <c r="S168" s="3"/>
      <c r="T168" s="3"/>
      <c r="U168" s="5" t="str">
        <f t="shared" si="10"/>
        <v/>
      </c>
    </row>
    <row r="169" spans="1:21" ht="28" customHeight="1" x14ac:dyDescent="0.35">
      <c r="A169" s="4">
        <v>4</v>
      </c>
      <c r="B169" s="4" t="s">
        <v>371</v>
      </c>
      <c r="C169" s="4" t="s">
        <v>372</v>
      </c>
      <c r="D169" s="4" t="s">
        <v>373</v>
      </c>
      <c r="E169" s="4" t="s">
        <v>69</v>
      </c>
      <c r="F169" s="4" t="s">
        <v>295</v>
      </c>
      <c r="G169" s="4" t="s">
        <v>199</v>
      </c>
      <c r="H169" s="4" t="s">
        <v>59</v>
      </c>
      <c r="I169" s="3"/>
      <c r="J169" s="3"/>
      <c r="K169" s="3"/>
      <c r="L169" s="3"/>
      <c r="M169" s="3"/>
      <c r="N169" s="3"/>
      <c r="O169" s="3"/>
      <c r="P169" s="8"/>
      <c r="Q169" s="8"/>
      <c r="R169" s="3"/>
      <c r="S169" s="3"/>
      <c r="T169" s="3"/>
      <c r="U169" s="5" t="str">
        <f t="shared" si="10"/>
        <v/>
      </c>
    </row>
    <row r="170" spans="1:21" ht="28" customHeight="1" x14ac:dyDescent="0.35">
      <c r="A170" s="4">
        <v>5</v>
      </c>
      <c r="B170" s="4" t="s">
        <v>374</v>
      </c>
      <c r="C170" s="4" t="s">
        <v>375</v>
      </c>
      <c r="D170" s="4" t="s">
        <v>376</v>
      </c>
      <c r="E170" s="4" t="s">
        <v>69</v>
      </c>
      <c r="F170" s="4" t="s">
        <v>276</v>
      </c>
      <c r="G170" s="4" t="s">
        <v>199</v>
      </c>
      <c r="H170" s="4" t="s">
        <v>59</v>
      </c>
      <c r="I170" s="3"/>
      <c r="J170" s="3"/>
      <c r="K170" s="3"/>
      <c r="L170" s="3"/>
      <c r="M170" s="3"/>
      <c r="N170" s="3"/>
      <c r="O170" s="3"/>
      <c r="P170" s="8"/>
      <c r="Q170" s="8"/>
      <c r="R170" s="3"/>
      <c r="S170" s="3"/>
      <c r="T170" s="3"/>
      <c r="U170" s="5" t="str">
        <f t="shared" si="10"/>
        <v/>
      </c>
    </row>
    <row r="171" spans="1:21" ht="28" customHeight="1" x14ac:dyDescent="0.35">
      <c r="A171" s="4">
        <v>6</v>
      </c>
      <c r="B171" s="4" t="s">
        <v>377</v>
      </c>
      <c r="C171" s="4" t="s">
        <v>378</v>
      </c>
      <c r="D171" s="4" t="s">
        <v>379</v>
      </c>
      <c r="E171" s="4" t="s">
        <v>69</v>
      </c>
      <c r="F171" s="4" t="s">
        <v>276</v>
      </c>
      <c r="G171" s="4" t="s">
        <v>199</v>
      </c>
      <c r="H171" s="4" t="s">
        <v>59</v>
      </c>
      <c r="I171" s="3"/>
      <c r="J171" s="3"/>
      <c r="K171" s="3"/>
      <c r="L171" s="3"/>
      <c r="M171" s="3"/>
      <c r="N171" s="3"/>
      <c r="O171" s="3"/>
      <c r="P171" s="8"/>
      <c r="Q171" s="8"/>
      <c r="R171" s="3"/>
      <c r="S171" s="3"/>
      <c r="T171" s="3"/>
      <c r="U171" s="5" t="str">
        <f t="shared" si="10"/>
        <v/>
      </c>
    </row>
    <row r="172" spans="1:21" ht="28" customHeight="1" x14ac:dyDescent="0.35">
      <c r="A172" s="4">
        <v>7</v>
      </c>
      <c r="B172" s="4" t="s">
        <v>380</v>
      </c>
      <c r="C172" s="4" t="s">
        <v>381</v>
      </c>
      <c r="D172" s="4" t="s">
        <v>382</v>
      </c>
      <c r="E172" s="4" t="s">
        <v>69</v>
      </c>
      <c r="F172" s="4" t="s">
        <v>276</v>
      </c>
      <c r="G172" s="4" t="s">
        <v>199</v>
      </c>
      <c r="H172" s="4" t="s">
        <v>59</v>
      </c>
      <c r="I172" s="3"/>
      <c r="J172" s="3"/>
      <c r="K172" s="3"/>
      <c r="L172" s="3"/>
      <c r="M172" s="3"/>
      <c r="N172" s="3"/>
      <c r="O172" s="3"/>
      <c r="P172" s="8"/>
      <c r="Q172" s="8"/>
      <c r="R172" s="3"/>
      <c r="S172" s="3"/>
      <c r="T172" s="3"/>
      <c r="U172" s="5" t="str">
        <f t="shared" si="10"/>
        <v/>
      </c>
    </row>
    <row r="173" spans="1:21" ht="28" customHeight="1" x14ac:dyDescent="0.35">
      <c r="A173" s="4">
        <v>8</v>
      </c>
      <c r="B173" s="4" t="s">
        <v>383</v>
      </c>
      <c r="C173" s="4" t="s">
        <v>384</v>
      </c>
      <c r="D173" s="4" t="s">
        <v>385</v>
      </c>
      <c r="E173" s="4" t="s">
        <v>69</v>
      </c>
      <c r="F173" s="4" t="s">
        <v>95</v>
      </c>
      <c r="G173" s="4" t="s">
        <v>96</v>
      </c>
      <c r="H173" s="4" t="s">
        <v>59</v>
      </c>
      <c r="I173" s="3"/>
      <c r="J173" s="3"/>
      <c r="K173" s="3"/>
      <c r="L173" s="3"/>
      <c r="M173" s="3"/>
      <c r="N173" s="3"/>
      <c r="O173" s="3"/>
      <c r="P173" s="8"/>
      <c r="Q173" s="8"/>
      <c r="R173" s="3"/>
      <c r="S173" s="3"/>
      <c r="T173" s="3"/>
      <c r="U173" s="5" t="str">
        <f t="shared" si="10"/>
        <v/>
      </c>
    </row>
    <row r="174" spans="1:21" ht="28" customHeight="1" x14ac:dyDescent="0.35">
      <c r="A174" s="4">
        <v>9</v>
      </c>
      <c r="B174" s="4" t="s">
        <v>97</v>
      </c>
      <c r="C174" s="4" t="s">
        <v>98</v>
      </c>
      <c r="D174" s="4" t="s">
        <v>99</v>
      </c>
      <c r="E174" s="4" t="s">
        <v>69</v>
      </c>
      <c r="F174" s="4" t="s">
        <v>95</v>
      </c>
      <c r="G174" s="4" t="s">
        <v>96</v>
      </c>
      <c r="H174" s="4" t="s">
        <v>59</v>
      </c>
      <c r="I174" s="3"/>
      <c r="J174" s="3"/>
      <c r="K174" s="3"/>
      <c r="L174" s="3"/>
      <c r="M174" s="3"/>
      <c r="N174" s="3"/>
      <c r="O174" s="3"/>
      <c r="P174" s="8"/>
      <c r="Q174" s="8"/>
      <c r="R174" s="3"/>
      <c r="S174" s="3"/>
      <c r="T174" s="3"/>
      <c r="U174" s="5" t="str">
        <f t="shared" si="10"/>
        <v/>
      </c>
    </row>
    <row r="175" spans="1:21" ht="28" customHeight="1" x14ac:dyDescent="0.35">
      <c r="A175" s="4">
        <v>10</v>
      </c>
      <c r="B175" s="4" t="s">
        <v>97</v>
      </c>
      <c r="C175" s="4" t="s">
        <v>100</v>
      </c>
      <c r="D175" s="4" t="s">
        <v>101</v>
      </c>
      <c r="E175" s="4" t="s">
        <v>69</v>
      </c>
      <c r="F175" s="4" t="s">
        <v>95</v>
      </c>
      <c r="G175" s="4" t="s">
        <v>102</v>
      </c>
      <c r="H175" s="4" t="s">
        <v>59</v>
      </c>
      <c r="I175" s="3"/>
      <c r="J175" s="3"/>
      <c r="K175" s="3"/>
      <c r="L175" s="3"/>
      <c r="M175" s="3"/>
      <c r="N175" s="3"/>
      <c r="O175" s="3"/>
      <c r="P175" s="8"/>
      <c r="Q175" s="8"/>
      <c r="R175" s="3"/>
      <c r="S175" s="3"/>
      <c r="T175" s="3"/>
      <c r="U175" s="5" t="str">
        <f t="shared" si="10"/>
        <v/>
      </c>
    </row>
    <row r="176" spans="1:21" ht="28" customHeight="1" x14ac:dyDescent="0.35">
      <c r="A176" s="4">
        <v>11</v>
      </c>
      <c r="B176" s="4" t="s">
        <v>103</v>
      </c>
      <c r="C176" s="4" t="s">
        <v>104</v>
      </c>
      <c r="D176" s="4" t="s">
        <v>105</v>
      </c>
      <c r="E176" s="4" t="s">
        <v>69</v>
      </c>
      <c r="F176" s="4" t="s">
        <v>95</v>
      </c>
      <c r="G176" s="4" t="s">
        <v>96</v>
      </c>
      <c r="H176" s="4" t="s">
        <v>85</v>
      </c>
      <c r="I176" s="3"/>
      <c r="J176" s="3"/>
      <c r="K176" s="3"/>
      <c r="L176" s="3"/>
      <c r="M176" s="3"/>
      <c r="N176" s="3"/>
      <c r="O176" s="3"/>
      <c r="P176" s="8"/>
      <c r="Q176" s="8"/>
      <c r="R176" s="3"/>
      <c r="S176" s="3"/>
      <c r="T176" s="3"/>
      <c r="U176" s="5" t="str">
        <f t="shared" si="10"/>
        <v/>
      </c>
    </row>
    <row r="177" spans="1:21" ht="28" customHeight="1" x14ac:dyDescent="0.35">
      <c r="A177" s="4">
        <v>12</v>
      </c>
      <c r="B177" s="4" t="s">
        <v>106</v>
      </c>
      <c r="C177" s="4" t="s">
        <v>107</v>
      </c>
      <c r="D177" s="4" t="s">
        <v>108</v>
      </c>
      <c r="E177" s="4" t="s">
        <v>109</v>
      </c>
      <c r="F177" s="4" t="s">
        <v>95</v>
      </c>
      <c r="G177" s="4" t="s">
        <v>96</v>
      </c>
      <c r="H177" s="4" t="s">
        <v>59</v>
      </c>
      <c r="I177" s="3"/>
      <c r="J177" s="3"/>
      <c r="K177" s="3"/>
      <c r="L177" s="3"/>
      <c r="M177" s="3"/>
      <c r="N177" s="3"/>
      <c r="O177" s="3"/>
      <c r="P177" s="8"/>
      <c r="Q177" s="8"/>
      <c r="R177" s="3"/>
      <c r="S177" s="3"/>
      <c r="T177" s="3"/>
      <c r="U177" s="5" t="str">
        <f t="shared" si="10"/>
        <v/>
      </c>
    </row>
    <row r="179" spans="1:21" ht="28" customHeight="1" x14ac:dyDescent="0.35">
      <c r="A179" s="9" t="s">
        <v>110</v>
      </c>
      <c r="B179" s="16"/>
      <c r="C179" s="17"/>
      <c r="D179" s="17"/>
      <c r="E179" s="17"/>
      <c r="F179" s="17"/>
      <c r="G179" s="17"/>
      <c r="H179" s="17"/>
      <c r="I179" s="17"/>
      <c r="J179" s="17"/>
      <c r="K179" s="17"/>
      <c r="L179" s="17"/>
      <c r="M179" s="17"/>
      <c r="N179" s="17"/>
      <c r="O179" s="17"/>
      <c r="P179" s="17"/>
      <c r="Q179" s="17"/>
      <c r="R179" s="17"/>
      <c r="S179" s="17"/>
      <c r="T179" s="17"/>
      <c r="U179" s="18"/>
    </row>
    <row r="180" spans="1:21" ht="28" customHeight="1" x14ac:dyDescent="0.35">
      <c r="A180" s="19" t="s">
        <v>392</v>
      </c>
      <c r="B180" s="20"/>
      <c r="C180" s="20"/>
      <c r="D180" s="20"/>
      <c r="E180" s="20"/>
      <c r="F180" s="20"/>
      <c r="G180" s="20"/>
      <c r="H180" s="20"/>
      <c r="I180" s="20"/>
      <c r="J180" s="20"/>
      <c r="K180" s="20"/>
      <c r="L180" s="20"/>
      <c r="M180" s="20"/>
      <c r="N180" s="20"/>
      <c r="O180" s="20"/>
      <c r="P180" s="20"/>
      <c r="Q180" s="20"/>
      <c r="R180" s="20"/>
      <c r="S180" s="20"/>
      <c r="T180" s="20"/>
      <c r="U180" s="21"/>
    </row>
    <row r="181" spans="1:21" ht="28" customHeight="1" x14ac:dyDescent="0.35">
      <c r="A181" s="4" t="s">
        <v>31</v>
      </c>
      <c r="B181" s="3" t="s">
        <v>224</v>
      </c>
      <c r="C181" s="4" t="s">
        <v>32</v>
      </c>
      <c r="D181" s="3"/>
      <c r="E181" s="4" t="s">
        <v>33</v>
      </c>
      <c r="F181" s="8"/>
    </row>
    <row r="182" spans="1:21" ht="28" customHeight="1" x14ac:dyDescent="0.35">
      <c r="A182" s="1" t="s">
        <v>34</v>
      </c>
      <c r="B182" s="1" t="s">
        <v>35</v>
      </c>
      <c r="C182" s="1" t="s">
        <v>36</v>
      </c>
      <c r="D182" s="1" t="s">
        <v>37</v>
      </c>
      <c r="E182" s="1" t="s">
        <v>38</v>
      </c>
      <c r="F182" s="1" t="s">
        <v>39</v>
      </c>
      <c r="G182" s="1" t="s">
        <v>40</v>
      </c>
      <c r="H182" s="1" t="s">
        <v>41</v>
      </c>
      <c r="I182" s="1" t="s">
        <v>42</v>
      </c>
      <c r="J182" s="1" t="s">
        <v>43</v>
      </c>
      <c r="K182" s="1" t="s">
        <v>44</v>
      </c>
      <c r="L182" s="1" t="s">
        <v>45</v>
      </c>
      <c r="M182" s="1" t="s">
        <v>46</v>
      </c>
      <c r="N182" s="1" t="s">
        <v>47</v>
      </c>
      <c r="O182" s="1" t="s">
        <v>48</v>
      </c>
      <c r="P182" s="1" t="s">
        <v>4</v>
      </c>
      <c r="Q182" s="1" t="s">
        <v>49</v>
      </c>
      <c r="R182" s="1" t="s">
        <v>50</v>
      </c>
      <c r="S182" s="1" t="s">
        <v>51</v>
      </c>
      <c r="T182" s="1" t="s">
        <v>52</v>
      </c>
      <c r="U182" s="1" t="s">
        <v>10</v>
      </c>
    </row>
    <row r="183" spans="1:21" ht="28" customHeight="1" x14ac:dyDescent="0.35">
      <c r="A183" s="4">
        <v>1</v>
      </c>
      <c r="B183" s="4" t="s">
        <v>97</v>
      </c>
      <c r="C183" s="4" t="s">
        <v>362</v>
      </c>
      <c r="D183" s="4" t="s">
        <v>363</v>
      </c>
      <c r="E183" s="4" t="s">
        <v>69</v>
      </c>
      <c r="F183" s="4" t="s">
        <v>364</v>
      </c>
      <c r="G183" s="4" t="s">
        <v>199</v>
      </c>
      <c r="H183" s="4" t="s">
        <v>76</v>
      </c>
      <c r="I183" s="3"/>
      <c r="J183" s="3"/>
      <c r="K183" s="3"/>
      <c r="L183" s="3"/>
      <c r="M183" s="3"/>
      <c r="N183" s="3"/>
      <c r="O183" s="3"/>
      <c r="P183" s="8"/>
      <c r="Q183" s="8"/>
      <c r="R183" s="3"/>
      <c r="S183" s="3"/>
      <c r="T183" s="3"/>
      <c r="U183" s="5" t="str">
        <f t="shared" ref="U183:U194" si="11">IF(I183="","",IF(I183="NA","Grey",IF(I183=2,"Green",IF(I183=1,"Amber","Red"))))</f>
        <v/>
      </c>
    </row>
    <row r="184" spans="1:21" ht="28" customHeight="1" x14ac:dyDescent="0.35">
      <c r="A184" s="4">
        <v>2</v>
      </c>
      <c r="B184" s="4" t="s">
        <v>365</v>
      </c>
      <c r="C184" s="4" t="s">
        <v>366</v>
      </c>
      <c r="D184" s="4" t="s">
        <v>367</v>
      </c>
      <c r="E184" s="4" t="s">
        <v>69</v>
      </c>
      <c r="F184" s="4" t="s">
        <v>276</v>
      </c>
      <c r="G184" s="4" t="s">
        <v>199</v>
      </c>
      <c r="H184" s="4" t="s">
        <v>76</v>
      </c>
      <c r="I184" s="3"/>
      <c r="J184" s="3"/>
      <c r="K184" s="3"/>
      <c r="L184" s="3"/>
      <c r="M184" s="3"/>
      <c r="N184" s="3"/>
      <c r="O184" s="3"/>
      <c r="P184" s="8"/>
      <c r="Q184" s="8"/>
      <c r="R184" s="3"/>
      <c r="S184" s="3"/>
      <c r="T184" s="3"/>
      <c r="U184" s="5" t="str">
        <f t="shared" si="11"/>
        <v/>
      </c>
    </row>
    <row r="185" spans="1:21" ht="28" customHeight="1" x14ac:dyDescent="0.35">
      <c r="A185" s="4">
        <v>3</v>
      </c>
      <c r="B185" s="4" t="s">
        <v>365</v>
      </c>
      <c r="C185" s="4" t="s">
        <v>368</v>
      </c>
      <c r="D185" s="4" t="s">
        <v>369</v>
      </c>
      <c r="E185" s="4" t="s">
        <v>69</v>
      </c>
      <c r="F185" s="4" t="s">
        <v>370</v>
      </c>
      <c r="G185" s="4" t="s">
        <v>204</v>
      </c>
      <c r="H185" s="4" t="s">
        <v>76</v>
      </c>
      <c r="I185" s="3"/>
      <c r="J185" s="3"/>
      <c r="K185" s="3"/>
      <c r="L185" s="3"/>
      <c r="M185" s="3"/>
      <c r="N185" s="3"/>
      <c r="O185" s="3"/>
      <c r="P185" s="8"/>
      <c r="Q185" s="8"/>
      <c r="R185" s="3"/>
      <c r="S185" s="3"/>
      <c r="T185" s="3"/>
      <c r="U185" s="5" t="str">
        <f t="shared" si="11"/>
        <v/>
      </c>
    </row>
    <row r="186" spans="1:21" ht="28" customHeight="1" x14ac:dyDescent="0.35">
      <c r="A186" s="4">
        <v>4</v>
      </c>
      <c r="B186" s="4" t="s">
        <v>371</v>
      </c>
      <c r="C186" s="4" t="s">
        <v>372</v>
      </c>
      <c r="D186" s="4" t="s">
        <v>373</v>
      </c>
      <c r="E186" s="4" t="s">
        <v>69</v>
      </c>
      <c r="F186" s="4" t="s">
        <v>295</v>
      </c>
      <c r="G186" s="4" t="s">
        <v>199</v>
      </c>
      <c r="H186" s="4" t="s">
        <v>59</v>
      </c>
      <c r="I186" s="3"/>
      <c r="J186" s="3"/>
      <c r="K186" s="3"/>
      <c r="L186" s="3"/>
      <c r="M186" s="3"/>
      <c r="N186" s="3"/>
      <c r="O186" s="3"/>
      <c r="P186" s="8"/>
      <c r="Q186" s="8"/>
      <c r="R186" s="3"/>
      <c r="S186" s="3"/>
      <c r="T186" s="3"/>
      <c r="U186" s="5" t="str">
        <f t="shared" si="11"/>
        <v/>
      </c>
    </row>
    <row r="187" spans="1:21" ht="28" customHeight="1" x14ac:dyDescent="0.35">
      <c r="A187" s="4">
        <v>5</v>
      </c>
      <c r="B187" s="4" t="s">
        <v>374</v>
      </c>
      <c r="C187" s="4" t="s">
        <v>375</v>
      </c>
      <c r="D187" s="4" t="s">
        <v>376</v>
      </c>
      <c r="E187" s="4" t="s">
        <v>69</v>
      </c>
      <c r="F187" s="4" t="s">
        <v>276</v>
      </c>
      <c r="G187" s="4" t="s">
        <v>199</v>
      </c>
      <c r="H187" s="4" t="s">
        <v>59</v>
      </c>
      <c r="I187" s="3"/>
      <c r="J187" s="3"/>
      <c r="K187" s="3"/>
      <c r="L187" s="3"/>
      <c r="M187" s="3"/>
      <c r="N187" s="3"/>
      <c r="O187" s="3"/>
      <c r="P187" s="8"/>
      <c r="Q187" s="8"/>
      <c r="R187" s="3"/>
      <c r="S187" s="3"/>
      <c r="T187" s="3"/>
      <c r="U187" s="5" t="str">
        <f t="shared" si="11"/>
        <v/>
      </c>
    </row>
    <row r="188" spans="1:21" ht="28" customHeight="1" x14ac:dyDescent="0.35">
      <c r="A188" s="4">
        <v>6</v>
      </c>
      <c r="B188" s="4" t="s">
        <v>377</v>
      </c>
      <c r="C188" s="4" t="s">
        <v>378</v>
      </c>
      <c r="D188" s="4" t="s">
        <v>379</v>
      </c>
      <c r="E188" s="4" t="s">
        <v>69</v>
      </c>
      <c r="F188" s="4" t="s">
        <v>276</v>
      </c>
      <c r="G188" s="4" t="s">
        <v>199</v>
      </c>
      <c r="H188" s="4" t="s">
        <v>59</v>
      </c>
      <c r="I188" s="3"/>
      <c r="J188" s="3"/>
      <c r="K188" s="3"/>
      <c r="L188" s="3"/>
      <c r="M188" s="3"/>
      <c r="N188" s="3"/>
      <c r="O188" s="3"/>
      <c r="P188" s="8"/>
      <c r="Q188" s="8"/>
      <c r="R188" s="3"/>
      <c r="S188" s="3"/>
      <c r="T188" s="3"/>
      <c r="U188" s="5" t="str">
        <f t="shared" si="11"/>
        <v/>
      </c>
    </row>
    <row r="189" spans="1:21" ht="28" customHeight="1" x14ac:dyDescent="0.35">
      <c r="A189" s="4">
        <v>7</v>
      </c>
      <c r="B189" s="4" t="s">
        <v>380</v>
      </c>
      <c r="C189" s="4" t="s">
        <v>381</v>
      </c>
      <c r="D189" s="4" t="s">
        <v>382</v>
      </c>
      <c r="E189" s="4" t="s">
        <v>69</v>
      </c>
      <c r="F189" s="4" t="s">
        <v>276</v>
      </c>
      <c r="G189" s="4" t="s">
        <v>199</v>
      </c>
      <c r="H189" s="4" t="s">
        <v>59</v>
      </c>
      <c r="I189" s="3"/>
      <c r="J189" s="3"/>
      <c r="K189" s="3"/>
      <c r="L189" s="3"/>
      <c r="M189" s="3"/>
      <c r="N189" s="3"/>
      <c r="O189" s="3"/>
      <c r="P189" s="8"/>
      <c r="Q189" s="8"/>
      <c r="R189" s="3"/>
      <c r="S189" s="3"/>
      <c r="T189" s="3"/>
      <c r="U189" s="5" t="str">
        <f t="shared" si="11"/>
        <v/>
      </c>
    </row>
    <row r="190" spans="1:21" ht="28" customHeight="1" x14ac:dyDescent="0.35">
      <c r="A190" s="4">
        <v>8</v>
      </c>
      <c r="B190" s="4" t="s">
        <v>383</v>
      </c>
      <c r="C190" s="4" t="s">
        <v>384</v>
      </c>
      <c r="D190" s="4" t="s">
        <v>385</v>
      </c>
      <c r="E190" s="4" t="s">
        <v>69</v>
      </c>
      <c r="F190" s="4" t="s">
        <v>95</v>
      </c>
      <c r="G190" s="4" t="s">
        <v>96</v>
      </c>
      <c r="H190" s="4" t="s">
        <v>59</v>
      </c>
      <c r="I190" s="3"/>
      <c r="J190" s="3"/>
      <c r="K190" s="3"/>
      <c r="L190" s="3"/>
      <c r="M190" s="3"/>
      <c r="N190" s="3"/>
      <c r="O190" s="3"/>
      <c r="P190" s="8"/>
      <c r="Q190" s="8"/>
      <c r="R190" s="3"/>
      <c r="S190" s="3"/>
      <c r="T190" s="3"/>
      <c r="U190" s="5" t="str">
        <f t="shared" si="11"/>
        <v/>
      </c>
    </row>
    <row r="191" spans="1:21" ht="28" customHeight="1" x14ac:dyDescent="0.35">
      <c r="A191" s="4">
        <v>9</v>
      </c>
      <c r="B191" s="4" t="s">
        <v>97</v>
      </c>
      <c r="C191" s="4" t="s">
        <v>98</v>
      </c>
      <c r="D191" s="4" t="s">
        <v>99</v>
      </c>
      <c r="E191" s="4" t="s">
        <v>69</v>
      </c>
      <c r="F191" s="4" t="s">
        <v>95</v>
      </c>
      <c r="G191" s="4" t="s">
        <v>96</v>
      </c>
      <c r="H191" s="4" t="s">
        <v>59</v>
      </c>
      <c r="I191" s="3"/>
      <c r="J191" s="3"/>
      <c r="K191" s="3"/>
      <c r="L191" s="3"/>
      <c r="M191" s="3"/>
      <c r="N191" s="3"/>
      <c r="O191" s="3"/>
      <c r="P191" s="8"/>
      <c r="Q191" s="8"/>
      <c r="R191" s="3"/>
      <c r="S191" s="3"/>
      <c r="T191" s="3"/>
      <c r="U191" s="5" t="str">
        <f t="shared" si="11"/>
        <v/>
      </c>
    </row>
    <row r="192" spans="1:21" ht="28" customHeight="1" x14ac:dyDescent="0.35">
      <c r="A192" s="4">
        <v>10</v>
      </c>
      <c r="B192" s="4" t="s">
        <v>97</v>
      </c>
      <c r="C192" s="4" t="s">
        <v>100</v>
      </c>
      <c r="D192" s="4" t="s">
        <v>101</v>
      </c>
      <c r="E192" s="4" t="s">
        <v>69</v>
      </c>
      <c r="F192" s="4" t="s">
        <v>95</v>
      </c>
      <c r="G192" s="4" t="s">
        <v>102</v>
      </c>
      <c r="H192" s="4" t="s">
        <v>59</v>
      </c>
      <c r="I192" s="3"/>
      <c r="J192" s="3"/>
      <c r="K192" s="3"/>
      <c r="L192" s="3"/>
      <c r="M192" s="3"/>
      <c r="N192" s="3"/>
      <c r="O192" s="3"/>
      <c r="P192" s="8"/>
      <c r="Q192" s="8"/>
      <c r="R192" s="3"/>
      <c r="S192" s="3"/>
      <c r="T192" s="3"/>
      <c r="U192" s="5" t="str">
        <f t="shared" si="11"/>
        <v/>
      </c>
    </row>
    <row r="193" spans="1:21" ht="28" customHeight="1" x14ac:dyDescent="0.35">
      <c r="A193" s="4">
        <v>11</v>
      </c>
      <c r="B193" s="4" t="s">
        <v>103</v>
      </c>
      <c r="C193" s="4" t="s">
        <v>104</v>
      </c>
      <c r="D193" s="4" t="s">
        <v>105</v>
      </c>
      <c r="E193" s="4" t="s">
        <v>69</v>
      </c>
      <c r="F193" s="4" t="s">
        <v>95</v>
      </c>
      <c r="G193" s="4" t="s">
        <v>96</v>
      </c>
      <c r="H193" s="4" t="s">
        <v>85</v>
      </c>
      <c r="I193" s="3"/>
      <c r="J193" s="3"/>
      <c r="K193" s="3"/>
      <c r="L193" s="3"/>
      <c r="M193" s="3"/>
      <c r="N193" s="3"/>
      <c r="O193" s="3"/>
      <c r="P193" s="8"/>
      <c r="Q193" s="8"/>
      <c r="R193" s="3"/>
      <c r="S193" s="3"/>
      <c r="T193" s="3"/>
      <c r="U193" s="5" t="str">
        <f t="shared" si="11"/>
        <v/>
      </c>
    </row>
    <row r="194" spans="1:21" ht="28" customHeight="1" x14ac:dyDescent="0.35">
      <c r="A194" s="4">
        <v>12</v>
      </c>
      <c r="B194" s="4" t="s">
        <v>106</v>
      </c>
      <c r="C194" s="4" t="s">
        <v>107</v>
      </c>
      <c r="D194" s="4" t="s">
        <v>108</v>
      </c>
      <c r="E194" s="4" t="s">
        <v>109</v>
      </c>
      <c r="F194" s="4" t="s">
        <v>95</v>
      </c>
      <c r="G194" s="4" t="s">
        <v>96</v>
      </c>
      <c r="H194" s="4" t="s">
        <v>59</v>
      </c>
      <c r="I194" s="3"/>
      <c r="J194" s="3"/>
      <c r="K194" s="3"/>
      <c r="L194" s="3"/>
      <c r="M194" s="3"/>
      <c r="N194" s="3"/>
      <c r="O194" s="3"/>
      <c r="P194" s="8"/>
      <c r="Q194" s="8"/>
      <c r="R194" s="3"/>
      <c r="S194" s="3"/>
      <c r="T194" s="3"/>
      <c r="U194" s="5" t="str">
        <f t="shared" si="11"/>
        <v/>
      </c>
    </row>
    <row r="196" spans="1:21" ht="28" customHeight="1" x14ac:dyDescent="0.35">
      <c r="A196" s="9" t="s">
        <v>110</v>
      </c>
      <c r="B196" s="16"/>
      <c r="C196" s="17"/>
      <c r="D196" s="17"/>
      <c r="E196" s="17"/>
      <c r="F196" s="17"/>
      <c r="G196" s="17"/>
      <c r="H196" s="17"/>
      <c r="I196" s="17"/>
      <c r="J196" s="17"/>
      <c r="K196" s="17"/>
      <c r="L196" s="17"/>
      <c r="M196" s="17"/>
      <c r="N196" s="17"/>
      <c r="O196" s="17"/>
      <c r="P196" s="17"/>
      <c r="Q196" s="17"/>
      <c r="R196" s="17"/>
      <c r="S196" s="17"/>
      <c r="T196" s="17"/>
      <c r="U196" s="18"/>
    </row>
    <row r="197" spans="1:21" ht="28" customHeight="1" x14ac:dyDescent="0.35">
      <c r="A197" s="19" t="s">
        <v>393</v>
      </c>
      <c r="B197" s="20"/>
      <c r="C197" s="20"/>
      <c r="D197" s="20"/>
      <c r="E197" s="20"/>
      <c r="F197" s="20"/>
      <c r="G197" s="20"/>
      <c r="H197" s="20"/>
      <c r="I197" s="20"/>
      <c r="J197" s="20"/>
      <c r="K197" s="20"/>
      <c r="L197" s="20"/>
      <c r="M197" s="20"/>
      <c r="N197" s="20"/>
      <c r="O197" s="20"/>
      <c r="P197" s="20"/>
      <c r="Q197" s="20"/>
      <c r="R197" s="20"/>
      <c r="S197" s="20"/>
      <c r="T197" s="20"/>
      <c r="U197" s="21"/>
    </row>
    <row r="198" spans="1:21" ht="28" customHeight="1" x14ac:dyDescent="0.35">
      <c r="A198" s="4" t="s">
        <v>31</v>
      </c>
      <c r="B198" s="3" t="s">
        <v>225</v>
      </c>
      <c r="C198" s="4" t="s">
        <v>32</v>
      </c>
      <c r="D198" s="3"/>
      <c r="E198" s="4" t="s">
        <v>33</v>
      </c>
      <c r="F198" s="8"/>
    </row>
    <row r="199" spans="1:21" ht="28" customHeight="1" x14ac:dyDescent="0.35">
      <c r="A199" s="1" t="s">
        <v>34</v>
      </c>
      <c r="B199" s="1" t="s">
        <v>35</v>
      </c>
      <c r="C199" s="1" t="s">
        <v>36</v>
      </c>
      <c r="D199" s="1" t="s">
        <v>37</v>
      </c>
      <c r="E199" s="1" t="s">
        <v>38</v>
      </c>
      <c r="F199" s="1" t="s">
        <v>39</v>
      </c>
      <c r="G199" s="1" t="s">
        <v>40</v>
      </c>
      <c r="H199" s="1" t="s">
        <v>41</v>
      </c>
      <c r="I199" s="1" t="s">
        <v>42</v>
      </c>
      <c r="J199" s="1" t="s">
        <v>43</v>
      </c>
      <c r="K199" s="1" t="s">
        <v>44</v>
      </c>
      <c r="L199" s="1" t="s">
        <v>45</v>
      </c>
      <c r="M199" s="1" t="s">
        <v>46</v>
      </c>
      <c r="N199" s="1" t="s">
        <v>47</v>
      </c>
      <c r="O199" s="1" t="s">
        <v>48</v>
      </c>
      <c r="P199" s="1" t="s">
        <v>4</v>
      </c>
      <c r="Q199" s="1" t="s">
        <v>49</v>
      </c>
      <c r="R199" s="1" t="s">
        <v>50</v>
      </c>
      <c r="S199" s="1" t="s">
        <v>51</v>
      </c>
      <c r="T199" s="1" t="s">
        <v>52</v>
      </c>
      <c r="U199" s="1" t="s">
        <v>10</v>
      </c>
    </row>
    <row r="200" spans="1:21" ht="28" customHeight="1" x14ac:dyDescent="0.35">
      <c r="A200" s="4">
        <v>1</v>
      </c>
      <c r="B200" s="4" t="s">
        <v>97</v>
      </c>
      <c r="C200" s="4" t="s">
        <v>362</v>
      </c>
      <c r="D200" s="4" t="s">
        <v>363</v>
      </c>
      <c r="E200" s="4" t="s">
        <v>69</v>
      </c>
      <c r="F200" s="4" t="s">
        <v>364</v>
      </c>
      <c r="G200" s="4" t="s">
        <v>199</v>
      </c>
      <c r="H200" s="4" t="s">
        <v>76</v>
      </c>
      <c r="I200" s="3"/>
      <c r="J200" s="3"/>
      <c r="K200" s="3"/>
      <c r="L200" s="3"/>
      <c r="M200" s="3"/>
      <c r="N200" s="3"/>
      <c r="O200" s="3"/>
      <c r="P200" s="8"/>
      <c r="Q200" s="8"/>
      <c r="R200" s="3"/>
      <c r="S200" s="3"/>
      <c r="T200" s="3"/>
      <c r="U200" s="5" t="str">
        <f t="shared" ref="U200:U211" si="12">IF(I200="","",IF(I200="NA","Grey",IF(I200=2,"Green",IF(I200=1,"Amber","Red"))))</f>
        <v/>
      </c>
    </row>
    <row r="201" spans="1:21" ht="28" customHeight="1" x14ac:dyDescent="0.35">
      <c r="A201" s="4">
        <v>2</v>
      </c>
      <c r="B201" s="4" t="s">
        <v>365</v>
      </c>
      <c r="C201" s="4" t="s">
        <v>366</v>
      </c>
      <c r="D201" s="4" t="s">
        <v>367</v>
      </c>
      <c r="E201" s="4" t="s">
        <v>69</v>
      </c>
      <c r="F201" s="4" t="s">
        <v>276</v>
      </c>
      <c r="G201" s="4" t="s">
        <v>199</v>
      </c>
      <c r="H201" s="4" t="s">
        <v>76</v>
      </c>
      <c r="I201" s="3"/>
      <c r="J201" s="3"/>
      <c r="K201" s="3"/>
      <c r="L201" s="3"/>
      <c r="M201" s="3"/>
      <c r="N201" s="3"/>
      <c r="O201" s="3"/>
      <c r="P201" s="8"/>
      <c r="Q201" s="8"/>
      <c r="R201" s="3"/>
      <c r="S201" s="3"/>
      <c r="T201" s="3"/>
      <c r="U201" s="5" t="str">
        <f t="shared" si="12"/>
        <v/>
      </c>
    </row>
    <row r="202" spans="1:21" ht="28" customHeight="1" x14ac:dyDescent="0.35">
      <c r="A202" s="4">
        <v>3</v>
      </c>
      <c r="B202" s="4" t="s">
        <v>365</v>
      </c>
      <c r="C202" s="4" t="s">
        <v>368</v>
      </c>
      <c r="D202" s="4" t="s">
        <v>369</v>
      </c>
      <c r="E202" s="4" t="s">
        <v>69</v>
      </c>
      <c r="F202" s="4" t="s">
        <v>370</v>
      </c>
      <c r="G202" s="4" t="s">
        <v>204</v>
      </c>
      <c r="H202" s="4" t="s">
        <v>76</v>
      </c>
      <c r="I202" s="3"/>
      <c r="J202" s="3"/>
      <c r="K202" s="3"/>
      <c r="L202" s="3"/>
      <c r="M202" s="3"/>
      <c r="N202" s="3"/>
      <c r="O202" s="3"/>
      <c r="P202" s="8"/>
      <c r="Q202" s="8"/>
      <c r="R202" s="3"/>
      <c r="S202" s="3"/>
      <c r="T202" s="3"/>
      <c r="U202" s="5" t="str">
        <f t="shared" si="12"/>
        <v/>
      </c>
    </row>
    <row r="203" spans="1:21" ht="28" customHeight="1" x14ac:dyDescent="0.35">
      <c r="A203" s="4">
        <v>4</v>
      </c>
      <c r="B203" s="4" t="s">
        <v>371</v>
      </c>
      <c r="C203" s="4" t="s">
        <v>372</v>
      </c>
      <c r="D203" s="4" t="s">
        <v>373</v>
      </c>
      <c r="E203" s="4" t="s">
        <v>69</v>
      </c>
      <c r="F203" s="4" t="s">
        <v>295</v>
      </c>
      <c r="G203" s="4" t="s">
        <v>199</v>
      </c>
      <c r="H203" s="4" t="s">
        <v>59</v>
      </c>
      <c r="I203" s="3"/>
      <c r="J203" s="3"/>
      <c r="K203" s="3"/>
      <c r="L203" s="3"/>
      <c r="M203" s="3"/>
      <c r="N203" s="3"/>
      <c r="O203" s="3"/>
      <c r="P203" s="8"/>
      <c r="Q203" s="8"/>
      <c r="R203" s="3"/>
      <c r="S203" s="3"/>
      <c r="T203" s="3"/>
      <c r="U203" s="5" t="str">
        <f t="shared" si="12"/>
        <v/>
      </c>
    </row>
    <row r="204" spans="1:21" ht="28" customHeight="1" x14ac:dyDescent="0.35">
      <c r="A204" s="4">
        <v>5</v>
      </c>
      <c r="B204" s="4" t="s">
        <v>374</v>
      </c>
      <c r="C204" s="4" t="s">
        <v>375</v>
      </c>
      <c r="D204" s="4" t="s">
        <v>376</v>
      </c>
      <c r="E204" s="4" t="s">
        <v>69</v>
      </c>
      <c r="F204" s="4" t="s">
        <v>276</v>
      </c>
      <c r="G204" s="4" t="s">
        <v>199</v>
      </c>
      <c r="H204" s="4" t="s">
        <v>59</v>
      </c>
      <c r="I204" s="3"/>
      <c r="J204" s="3"/>
      <c r="K204" s="3"/>
      <c r="L204" s="3"/>
      <c r="M204" s="3"/>
      <c r="N204" s="3"/>
      <c r="O204" s="3"/>
      <c r="P204" s="8"/>
      <c r="Q204" s="8"/>
      <c r="R204" s="3"/>
      <c r="S204" s="3"/>
      <c r="T204" s="3"/>
      <c r="U204" s="5" t="str">
        <f t="shared" si="12"/>
        <v/>
      </c>
    </row>
    <row r="205" spans="1:21" ht="28" customHeight="1" x14ac:dyDescent="0.35">
      <c r="A205" s="4">
        <v>6</v>
      </c>
      <c r="B205" s="4" t="s">
        <v>377</v>
      </c>
      <c r="C205" s="4" t="s">
        <v>378</v>
      </c>
      <c r="D205" s="4" t="s">
        <v>379</v>
      </c>
      <c r="E205" s="4" t="s">
        <v>69</v>
      </c>
      <c r="F205" s="4" t="s">
        <v>276</v>
      </c>
      <c r="G205" s="4" t="s">
        <v>199</v>
      </c>
      <c r="H205" s="4" t="s">
        <v>59</v>
      </c>
      <c r="I205" s="3"/>
      <c r="J205" s="3"/>
      <c r="K205" s="3"/>
      <c r="L205" s="3"/>
      <c r="M205" s="3"/>
      <c r="N205" s="3"/>
      <c r="O205" s="3"/>
      <c r="P205" s="8"/>
      <c r="Q205" s="8"/>
      <c r="R205" s="3"/>
      <c r="S205" s="3"/>
      <c r="T205" s="3"/>
      <c r="U205" s="5" t="str">
        <f t="shared" si="12"/>
        <v/>
      </c>
    </row>
    <row r="206" spans="1:21" ht="28" customHeight="1" x14ac:dyDescent="0.35">
      <c r="A206" s="4">
        <v>7</v>
      </c>
      <c r="B206" s="4" t="s">
        <v>380</v>
      </c>
      <c r="C206" s="4" t="s">
        <v>381</v>
      </c>
      <c r="D206" s="4" t="s">
        <v>382</v>
      </c>
      <c r="E206" s="4" t="s">
        <v>69</v>
      </c>
      <c r="F206" s="4" t="s">
        <v>276</v>
      </c>
      <c r="G206" s="4" t="s">
        <v>199</v>
      </c>
      <c r="H206" s="4" t="s">
        <v>59</v>
      </c>
      <c r="I206" s="3"/>
      <c r="J206" s="3"/>
      <c r="K206" s="3"/>
      <c r="L206" s="3"/>
      <c r="M206" s="3"/>
      <c r="N206" s="3"/>
      <c r="O206" s="3"/>
      <c r="P206" s="8"/>
      <c r="Q206" s="8"/>
      <c r="R206" s="3"/>
      <c r="S206" s="3"/>
      <c r="T206" s="3"/>
      <c r="U206" s="5" t="str">
        <f t="shared" si="12"/>
        <v/>
      </c>
    </row>
    <row r="207" spans="1:21" ht="28" customHeight="1" x14ac:dyDescent="0.35">
      <c r="A207" s="4">
        <v>8</v>
      </c>
      <c r="B207" s="4" t="s">
        <v>383</v>
      </c>
      <c r="C207" s="4" t="s">
        <v>384</v>
      </c>
      <c r="D207" s="4" t="s">
        <v>385</v>
      </c>
      <c r="E207" s="4" t="s">
        <v>69</v>
      </c>
      <c r="F207" s="4" t="s">
        <v>95</v>
      </c>
      <c r="G207" s="4" t="s">
        <v>96</v>
      </c>
      <c r="H207" s="4" t="s">
        <v>59</v>
      </c>
      <c r="I207" s="3"/>
      <c r="J207" s="3"/>
      <c r="K207" s="3"/>
      <c r="L207" s="3"/>
      <c r="M207" s="3"/>
      <c r="N207" s="3"/>
      <c r="O207" s="3"/>
      <c r="P207" s="8"/>
      <c r="Q207" s="8"/>
      <c r="R207" s="3"/>
      <c r="S207" s="3"/>
      <c r="T207" s="3"/>
      <c r="U207" s="5" t="str">
        <f t="shared" si="12"/>
        <v/>
      </c>
    </row>
    <row r="208" spans="1:21" ht="28" customHeight="1" x14ac:dyDescent="0.35">
      <c r="A208" s="4">
        <v>9</v>
      </c>
      <c r="B208" s="4" t="s">
        <v>97</v>
      </c>
      <c r="C208" s="4" t="s">
        <v>98</v>
      </c>
      <c r="D208" s="4" t="s">
        <v>99</v>
      </c>
      <c r="E208" s="4" t="s">
        <v>69</v>
      </c>
      <c r="F208" s="4" t="s">
        <v>95</v>
      </c>
      <c r="G208" s="4" t="s">
        <v>96</v>
      </c>
      <c r="H208" s="4" t="s">
        <v>59</v>
      </c>
      <c r="I208" s="3"/>
      <c r="J208" s="3"/>
      <c r="K208" s="3"/>
      <c r="L208" s="3"/>
      <c r="M208" s="3"/>
      <c r="N208" s="3"/>
      <c r="O208" s="3"/>
      <c r="P208" s="8"/>
      <c r="Q208" s="8"/>
      <c r="R208" s="3"/>
      <c r="S208" s="3"/>
      <c r="T208" s="3"/>
      <c r="U208" s="5" t="str">
        <f t="shared" si="12"/>
        <v/>
      </c>
    </row>
    <row r="209" spans="1:21" ht="28" customHeight="1" x14ac:dyDescent="0.35">
      <c r="A209" s="4">
        <v>10</v>
      </c>
      <c r="B209" s="4" t="s">
        <v>97</v>
      </c>
      <c r="C209" s="4" t="s">
        <v>100</v>
      </c>
      <c r="D209" s="4" t="s">
        <v>101</v>
      </c>
      <c r="E209" s="4" t="s">
        <v>69</v>
      </c>
      <c r="F209" s="4" t="s">
        <v>95</v>
      </c>
      <c r="G209" s="4" t="s">
        <v>102</v>
      </c>
      <c r="H209" s="4" t="s">
        <v>59</v>
      </c>
      <c r="I209" s="3"/>
      <c r="J209" s="3"/>
      <c r="K209" s="3"/>
      <c r="L209" s="3"/>
      <c r="M209" s="3"/>
      <c r="N209" s="3"/>
      <c r="O209" s="3"/>
      <c r="P209" s="8"/>
      <c r="Q209" s="8"/>
      <c r="R209" s="3"/>
      <c r="S209" s="3"/>
      <c r="T209" s="3"/>
      <c r="U209" s="5" t="str">
        <f t="shared" si="12"/>
        <v/>
      </c>
    </row>
    <row r="210" spans="1:21" ht="28" customHeight="1" x14ac:dyDescent="0.35">
      <c r="A210" s="4">
        <v>11</v>
      </c>
      <c r="B210" s="4" t="s">
        <v>103</v>
      </c>
      <c r="C210" s="4" t="s">
        <v>104</v>
      </c>
      <c r="D210" s="4" t="s">
        <v>105</v>
      </c>
      <c r="E210" s="4" t="s">
        <v>69</v>
      </c>
      <c r="F210" s="4" t="s">
        <v>95</v>
      </c>
      <c r="G210" s="4" t="s">
        <v>96</v>
      </c>
      <c r="H210" s="4" t="s">
        <v>85</v>
      </c>
      <c r="I210" s="3"/>
      <c r="J210" s="3"/>
      <c r="K210" s="3"/>
      <c r="L210" s="3"/>
      <c r="M210" s="3"/>
      <c r="N210" s="3"/>
      <c r="O210" s="3"/>
      <c r="P210" s="8"/>
      <c r="Q210" s="8"/>
      <c r="R210" s="3"/>
      <c r="S210" s="3"/>
      <c r="T210" s="3"/>
      <c r="U210" s="5" t="str">
        <f t="shared" si="12"/>
        <v/>
      </c>
    </row>
    <row r="211" spans="1:21" ht="28" customHeight="1" x14ac:dyDescent="0.35">
      <c r="A211" s="4">
        <v>12</v>
      </c>
      <c r="B211" s="4" t="s">
        <v>106</v>
      </c>
      <c r="C211" s="4" t="s">
        <v>107</v>
      </c>
      <c r="D211" s="4" t="s">
        <v>108</v>
      </c>
      <c r="E211" s="4" t="s">
        <v>109</v>
      </c>
      <c r="F211" s="4" t="s">
        <v>95</v>
      </c>
      <c r="G211" s="4" t="s">
        <v>96</v>
      </c>
      <c r="H211" s="4" t="s">
        <v>59</v>
      </c>
      <c r="I211" s="3"/>
      <c r="J211" s="3"/>
      <c r="K211" s="3"/>
      <c r="L211" s="3"/>
      <c r="M211" s="3"/>
      <c r="N211" s="3"/>
      <c r="O211" s="3"/>
      <c r="P211" s="8"/>
      <c r="Q211" s="8"/>
      <c r="R211" s="3"/>
      <c r="S211" s="3"/>
      <c r="T211" s="3"/>
      <c r="U211" s="5" t="str">
        <f t="shared" si="12"/>
        <v/>
      </c>
    </row>
    <row r="213" spans="1:21" ht="28" customHeight="1" x14ac:dyDescent="0.35">
      <c r="A213" s="9" t="s">
        <v>110</v>
      </c>
      <c r="B213" s="16"/>
      <c r="C213" s="17"/>
      <c r="D213" s="17"/>
      <c r="E213" s="17"/>
      <c r="F213" s="17"/>
      <c r="G213" s="17"/>
      <c r="H213" s="17"/>
      <c r="I213" s="17"/>
      <c r="J213" s="17"/>
      <c r="K213" s="17"/>
      <c r="L213" s="17"/>
      <c r="M213" s="17"/>
      <c r="N213" s="17"/>
      <c r="O213" s="17"/>
      <c r="P213" s="17"/>
      <c r="Q213" s="17"/>
      <c r="R213" s="17"/>
      <c r="S213" s="17"/>
      <c r="T213" s="17"/>
      <c r="U213" s="18"/>
    </row>
    <row r="214" spans="1:21" ht="28" customHeight="1" x14ac:dyDescent="0.35">
      <c r="A214" s="19" t="s">
        <v>394</v>
      </c>
      <c r="B214" s="20"/>
      <c r="C214" s="20"/>
      <c r="D214" s="20"/>
      <c r="E214" s="20"/>
      <c r="F214" s="20"/>
      <c r="G214" s="20"/>
      <c r="H214" s="20"/>
      <c r="I214" s="20"/>
      <c r="J214" s="20"/>
      <c r="K214" s="20"/>
      <c r="L214" s="20"/>
      <c r="M214" s="20"/>
      <c r="N214" s="20"/>
      <c r="O214" s="20"/>
      <c r="P214" s="20"/>
      <c r="Q214" s="20"/>
      <c r="R214" s="20"/>
      <c r="S214" s="20"/>
      <c r="T214" s="20"/>
      <c r="U214" s="21"/>
    </row>
    <row r="215" spans="1:21" ht="28" customHeight="1" x14ac:dyDescent="0.35">
      <c r="A215" s="4" t="s">
        <v>31</v>
      </c>
      <c r="B215" s="3" t="s">
        <v>226</v>
      </c>
      <c r="C215" s="4" t="s">
        <v>32</v>
      </c>
      <c r="D215" s="3"/>
      <c r="E215" s="4" t="s">
        <v>33</v>
      </c>
      <c r="F215" s="8"/>
    </row>
    <row r="216" spans="1:21" ht="28" customHeight="1" x14ac:dyDescent="0.35">
      <c r="A216" s="1" t="s">
        <v>34</v>
      </c>
      <c r="B216" s="1" t="s">
        <v>35</v>
      </c>
      <c r="C216" s="1" t="s">
        <v>36</v>
      </c>
      <c r="D216" s="1" t="s">
        <v>37</v>
      </c>
      <c r="E216" s="1" t="s">
        <v>38</v>
      </c>
      <c r="F216" s="1" t="s">
        <v>39</v>
      </c>
      <c r="G216" s="1" t="s">
        <v>40</v>
      </c>
      <c r="H216" s="1" t="s">
        <v>41</v>
      </c>
      <c r="I216" s="1" t="s">
        <v>42</v>
      </c>
      <c r="J216" s="1" t="s">
        <v>43</v>
      </c>
      <c r="K216" s="1" t="s">
        <v>44</v>
      </c>
      <c r="L216" s="1" t="s">
        <v>45</v>
      </c>
      <c r="M216" s="1" t="s">
        <v>46</v>
      </c>
      <c r="N216" s="1" t="s">
        <v>47</v>
      </c>
      <c r="O216" s="1" t="s">
        <v>48</v>
      </c>
      <c r="P216" s="1" t="s">
        <v>4</v>
      </c>
      <c r="Q216" s="1" t="s">
        <v>49</v>
      </c>
      <c r="R216" s="1" t="s">
        <v>50</v>
      </c>
      <c r="S216" s="1" t="s">
        <v>51</v>
      </c>
      <c r="T216" s="1" t="s">
        <v>52</v>
      </c>
      <c r="U216" s="1" t="s">
        <v>10</v>
      </c>
    </row>
    <row r="217" spans="1:21" ht="28" customHeight="1" x14ac:dyDescent="0.35">
      <c r="A217" s="4">
        <v>1</v>
      </c>
      <c r="B217" s="4" t="s">
        <v>97</v>
      </c>
      <c r="C217" s="4" t="s">
        <v>362</v>
      </c>
      <c r="D217" s="4" t="s">
        <v>363</v>
      </c>
      <c r="E217" s="4" t="s">
        <v>69</v>
      </c>
      <c r="F217" s="4" t="s">
        <v>364</v>
      </c>
      <c r="G217" s="4" t="s">
        <v>199</v>
      </c>
      <c r="H217" s="4" t="s">
        <v>76</v>
      </c>
      <c r="I217" s="3"/>
      <c r="J217" s="3"/>
      <c r="K217" s="3"/>
      <c r="L217" s="3"/>
      <c r="M217" s="3"/>
      <c r="N217" s="3"/>
      <c r="O217" s="3"/>
      <c r="P217" s="8"/>
      <c r="Q217" s="8"/>
      <c r="R217" s="3"/>
      <c r="S217" s="3"/>
      <c r="T217" s="3"/>
      <c r="U217" s="5" t="str">
        <f t="shared" ref="U217:U228" si="13">IF(I217="","",IF(I217="NA","Grey",IF(I217=2,"Green",IF(I217=1,"Amber","Red"))))</f>
        <v/>
      </c>
    </row>
    <row r="218" spans="1:21" ht="28" customHeight="1" x14ac:dyDescent="0.35">
      <c r="A218" s="4">
        <v>2</v>
      </c>
      <c r="B218" s="4" t="s">
        <v>365</v>
      </c>
      <c r="C218" s="4" t="s">
        <v>366</v>
      </c>
      <c r="D218" s="4" t="s">
        <v>367</v>
      </c>
      <c r="E218" s="4" t="s">
        <v>69</v>
      </c>
      <c r="F218" s="4" t="s">
        <v>276</v>
      </c>
      <c r="G218" s="4" t="s">
        <v>199</v>
      </c>
      <c r="H218" s="4" t="s">
        <v>76</v>
      </c>
      <c r="I218" s="3"/>
      <c r="J218" s="3"/>
      <c r="K218" s="3"/>
      <c r="L218" s="3"/>
      <c r="M218" s="3"/>
      <c r="N218" s="3"/>
      <c r="O218" s="3"/>
      <c r="P218" s="8"/>
      <c r="Q218" s="8"/>
      <c r="R218" s="3"/>
      <c r="S218" s="3"/>
      <c r="T218" s="3"/>
      <c r="U218" s="5" t="str">
        <f t="shared" si="13"/>
        <v/>
      </c>
    </row>
    <row r="219" spans="1:21" ht="28" customHeight="1" x14ac:dyDescent="0.35">
      <c r="A219" s="4">
        <v>3</v>
      </c>
      <c r="B219" s="4" t="s">
        <v>365</v>
      </c>
      <c r="C219" s="4" t="s">
        <v>368</v>
      </c>
      <c r="D219" s="4" t="s">
        <v>369</v>
      </c>
      <c r="E219" s="4" t="s">
        <v>69</v>
      </c>
      <c r="F219" s="4" t="s">
        <v>370</v>
      </c>
      <c r="G219" s="4" t="s">
        <v>204</v>
      </c>
      <c r="H219" s="4" t="s">
        <v>76</v>
      </c>
      <c r="I219" s="3"/>
      <c r="J219" s="3"/>
      <c r="K219" s="3"/>
      <c r="L219" s="3"/>
      <c r="M219" s="3"/>
      <c r="N219" s="3"/>
      <c r="O219" s="3"/>
      <c r="P219" s="8"/>
      <c r="Q219" s="8"/>
      <c r="R219" s="3"/>
      <c r="S219" s="3"/>
      <c r="T219" s="3"/>
      <c r="U219" s="5" t="str">
        <f t="shared" si="13"/>
        <v/>
      </c>
    </row>
    <row r="220" spans="1:21" ht="28" customHeight="1" x14ac:dyDescent="0.35">
      <c r="A220" s="4">
        <v>4</v>
      </c>
      <c r="B220" s="4" t="s">
        <v>371</v>
      </c>
      <c r="C220" s="4" t="s">
        <v>372</v>
      </c>
      <c r="D220" s="4" t="s">
        <v>373</v>
      </c>
      <c r="E220" s="4" t="s">
        <v>69</v>
      </c>
      <c r="F220" s="4" t="s">
        <v>295</v>
      </c>
      <c r="G220" s="4" t="s">
        <v>199</v>
      </c>
      <c r="H220" s="4" t="s">
        <v>59</v>
      </c>
      <c r="I220" s="3"/>
      <c r="J220" s="3"/>
      <c r="K220" s="3"/>
      <c r="L220" s="3"/>
      <c r="M220" s="3"/>
      <c r="N220" s="3"/>
      <c r="O220" s="3"/>
      <c r="P220" s="8"/>
      <c r="Q220" s="8"/>
      <c r="R220" s="3"/>
      <c r="S220" s="3"/>
      <c r="T220" s="3"/>
      <c r="U220" s="5" t="str">
        <f t="shared" si="13"/>
        <v/>
      </c>
    </row>
    <row r="221" spans="1:21" ht="28" customHeight="1" x14ac:dyDescent="0.35">
      <c r="A221" s="4">
        <v>5</v>
      </c>
      <c r="B221" s="4" t="s">
        <v>374</v>
      </c>
      <c r="C221" s="4" t="s">
        <v>375</v>
      </c>
      <c r="D221" s="4" t="s">
        <v>376</v>
      </c>
      <c r="E221" s="4" t="s">
        <v>69</v>
      </c>
      <c r="F221" s="4" t="s">
        <v>276</v>
      </c>
      <c r="G221" s="4" t="s">
        <v>199</v>
      </c>
      <c r="H221" s="4" t="s">
        <v>59</v>
      </c>
      <c r="I221" s="3"/>
      <c r="J221" s="3"/>
      <c r="K221" s="3"/>
      <c r="L221" s="3"/>
      <c r="M221" s="3"/>
      <c r="N221" s="3"/>
      <c r="O221" s="3"/>
      <c r="P221" s="8"/>
      <c r="Q221" s="8"/>
      <c r="R221" s="3"/>
      <c r="S221" s="3"/>
      <c r="T221" s="3"/>
      <c r="U221" s="5" t="str">
        <f t="shared" si="13"/>
        <v/>
      </c>
    </row>
    <row r="222" spans="1:21" ht="28" customHeight="1" x14ac:dyDescent="0.35">
      <c r="A222" s="4">
        <v>6</v>
      </c>
      <c r="B222" s="4" t="s">
        <v>377</v>
      </c>
      <c r="C222" s="4" t="s">
        <v>378</v>
      </c>
      <c r="D222" s="4" t="s">
        <v>379</v>
      </c>
      <c r="E222" s="4" t="s">
        <v>69</v>
      </c>
      <c r="F222" s="4" t="s">
        <v>276</v>
      </c>
      <c r="G222" s="4" t="s">
        <v>199</v>
      </c>
      <c r="H222" s="4" t="s">
        <v>59</v>
      </c>
      <c r="I222" s="3"/>
      <c r="J222" s="3"/>
      <c r="K222" s="3"/>
      <c r="L222" s="3"/>
      <c r="M222" s="3"/>
      <c r="N222" s="3"/>
      <c r="O222" s="3"/>
      <c r="P222" s="8"/>
      <c r="Q222" s="8"/>
      <c r="R222" s="3"/>
      <c r="S222" s="3"/>
      <c r="T222" s="3"/>
      <c r="U222" s="5" t="str">
        <f t="shared" si="13"/>
        <v/>
      </c>
    </row>
    <row r="223" spans="1:21" ht="28" customHeight="1" x14ac:dyDescent="0.35">
      <c r="A223" s="4">
        <v>7</v>
      </c>
      <c r="B223" s="4" t="s">
        <v>380</v>
      </c>
      <c r="C223" s="4" t="s">
        <v>381</v>
      </c>
      <c r="D223" s="4" t="s">
        <v>382</v>
      </c>
      <c r="E223" s="4" t="s">
        <v>69</v>
      </c>
      <c r="F223" s="4" t="s">
        <v>276</v>
      </c>
      <c r="G223" s="4" t="s">
        <v>199</v>
      </c>
      <c r="H223" s="4" t="s">
        <v>59</v>
      </c>
      <c r="I223" s="3"/>
      <c r="J223" s="3"/>
      <c r="K223" s="3"/>
      <c r="L223" s="3"/>
      <c r="M223" s="3"/>
      <c r="N223" s="3"/>
      <c r="O223" s="3"/>
      <c r="P223" s="8"/>
      <c r="Q223" s="8"/>
      <c r="R223" s="3"/>
      <c r="S223" s="3"/>
      <c r="T223" s="3"/>
      <c r="U223" s="5" t="str">
        <f t="shared" si="13"/>
        <v/>
      </c>
    </row>
    <row r="224" spans="1:21" ht="28" customHeight="1" x14ac:dyDescent="0.35">
      <c r="A224" s="4">
        <v>8</v>
      </c>
      <c r="B224" s="4" t="s">
        <v>383</v>
      </c>
      <c r="C224" s="4" t="s">
        <v>384</v>
      </c>
      <c r="D224" s="4" t="s">
        <v>385</v>
      </c>
      <c r="E224" s="4" t="s">
        <v>69</v>
      </c>
      <c r="F224" s="4" t="s">
        <v>95</v>
      </c>
      <c r="G224" s="4" t="s">
        <v>96</v>
      </c>
      <c r="H224" s="4" t="s">
        <v>59</v>
      </c>
      <c r="I224" s="3"/>
      <c r="J224" s="3"/>
      <c r="K224" s="3"/>
      <c r="L224" s="3"/>
      <c r="M224" s="3"/>
      <c r="N224" s="3"/>
      <c r="O224" s="3"/>
      <c r="P224" s="8"/>
      <c r="Q224" s="8"/>
      <c r="R224" s="3"/>
      <c r="S224" s="3"/>
      <c r="T224" s="3"/>
      <c r="U224" s="5" t="str">
        <f t="shared" si="13"/>
        <v/>
      </c>
    </row>
    <row r="225" spans="1:21" ht="28" customHeight="1" x14ac:dyDescent="0.35">
      <c r="A225" s="4">
        <v>9</v>
      </c>
      <c r="B225" s="4" t="s">
        <v>97</v>
      </c>
      <c r="C225" s="4" t="s">
        <v>98</v>
      </c>
      <c r="D225" s="4" t="s">
        <v>99</v>
      </c>
      <c r="E225" s="4" t="s">
        <v>69</v>
      </c>
      <c r="F225" s="4" t="s">
        <v>95</v>
      </c>
      <c r="G225" s="4" t="s">
        <v>96</v>
      </c>
      <c r="H225" s="4" t="s">
        <v>59</v>
      </c>
      <c r="I225" s="3"/>
      <c r="J225" s="3"/>
      <c r="K225" s="3"/>
      <c r="L225" s="3"/>
      <c r="M225" s="3"/>
      <c r="N225" s="3"/>
      <c r="O225" s="3"/>
      <c r="P225" s="8"/>
      <c r="Q225" s="8"/>
      <c r="R225" s="3"/>
      <c r="S225" s="3"/>
      <c r="T225" s="3"/>
      <c r="U225" s="5" t="str">
        <f t="shared" si="13"/>
        <v/>
      </c>
    </row>
    <row r="226" spans="1:21" ht="28" customHeight="1" x14ac:dyDescent="0.35">
      <c r="A226" s="4">
        <v>10</v>
      </c>
      <c r="B226" s="4" t="s">
        <v>97</v>
      </c>
      <c r="C226" s="4" t="s">
        <v>100</v>
      </c>
      <c r="D226" s="4" t="s">
        <v>101</v>
      </c>
      <c r="E226" s="4" t="s">
        <v>69</v>
      </c>
      <c r="F226" s="4" t="s">
        <v>95</v>
      </c>
      <c r="G226" s="4" t="s">
        <v>102</v>
      </c>
      <c r="H226" s="4" t="s">
        <v>59</v>
      </c>
      <c r="I226" s="3"/>
      <c r="J226" s="3"/>
      <c r="K226" s="3"/>
      <c r="L226" s="3"/>
      <c r="M226" s="3"/>
      <c r="N226" s="3"/>
      <c r="O226" s="3"/>
      <c r="P226" s="8"/>
      <c r="Q226" s="8"/>
      <c r="R226" s="3"/>
      <c r="S226" s="3"/>
      <c r="T226" s="3"/>
      <c r="U226" s="5" t="str">
        <f t="shared" si="13"/>
        <v/>
      </c>
    </row>
    <row r="227" spans="1:21" ht="28" customHeight="1" x14ac:dyDescent="0.35">
      <c r="A227" s="4">
        <v>11</v>
      </c>
      <c r="B227" s="4" t="s">
        <v>103</v>
      </c>
      <c r="C227" s="4" t="s">
        <v>104</v>
      </c>
      <c r="D227" s="4" t="s">
        <v>105</v>
      </c>
      <c r="E227" s="4" t="s">
        <v>69</v>
      </c>
      <c r="F227" s="4" t="s">
        <v>95</v>
      </c>
      <c r="G227" s="4" t="s">
        <v>96</v>
      </c>
      <c r="H227" s="4" t="s">
        <v>85</v>
      </c>
      <c r="I227" s="3"/>
      <c r="J227" s="3"/>
      <c r="K227" s="3"/>
      <c r="L227" s="3"/>
      <c r="M227" s="3"/>
      <c r="N227" s="3"/>
      <c r="O227" s="3"/>
      <c r="P227" s="8"/>
      <c r="Q227" s="8"/>
      <c r="R227" s="3"/>
      <c r="S227" s="3"/>
      <c r="T227" s="3"/>
      <c r="U227" s="5" t="str">
        <f t="shared" si="13"/>
        <v/>
      </c>
    </row>
    <row r="228" spans="1:21" ht="28" customHeight="1" x14ac:dyDescent="0.35">
      <c r="A228" s="4">
        <v>12</v>
      </c>
      <c r="B228" s="4" t="s">
        <v>106</v>
      </c>
      <c r="C228" s="4" t="s">
        <v>107</v>
      </c>
      <c r="D228" s="4" t="s">
        <v>108</v>
      </c>
      <c r="E228" s="4" t="s">
        <v>109</v>
      </c>
      <c r="F228" s="4" t="s">
        <v>95</v>
      </c>
      <c r="G228" s="4" t="s">
        <v>96</v>
      </c>
      <c r="H228" s="4" t="s">
        <v>59</v>
      </c>
      <c r="I228" s="3"/>
      <c r="J228" s="3"/>
      <c r="K228" s="3"/>
      <c r="L228" s="3"/>
      <c r="M228" s="3"/>
      <c r="N228" s="3"/>
      <c r="O228" s="3"/>
      <c r="P228" s="8"/>
      <c r="Q228" s="8"/>
      <c r="R228" s="3"/>
      <c r="S228" s="3"/>
      <c r="T228" s="3"/>
      <c r="U228" s="5" t="str">
        <f t="shared" si="13"/>
        <v/>
      </c>
    </row>
    <row r="230" spans="1:21" ht="28" customHeight="1" x14ac:dyDescent="0.35">
      <c r="A230" s="9" t="s">
        <v>110</v>
      </c>
      <c r="B230" s="16"/>
      <c r="C230" s="17"/>
      <c r="D230" s="17"/>
      <c r="E230" s="17"/>
      <c r="F230" s="17"/>
      <c r="G230" s="17"/>
      <c r="H230" s="17"/>
      <c r="I230" s="17"/>
      <c r="J230" s="17"/>
      <c r="K230" s="17"/>
      <c r="L230" s="17"/>
      <c r="M230" s="17"/>
      <c r="N230" s="17"/>
      <c r="O230" s="17"/>
      <c r="P230" s="17"/>
      <c r="Q230" s="17"/>
      <c r="R230" s="17"/>
      <c r="S230" s="17"/>
      <c r="T230" s="17"/>
      <c r="U230" s="18"/>
    </row>
    <row r="231" spans="1:21" ht="28" customHeight="1" x14ac:dyDescent="0.35">
      <c r="A231" s="19" t="s">
        <v>395</v>
      </c>
      <c r="B231" s="20"/>
      <c r="C231" s="20"/>
      <c r="D231" s="20"/>
      <c r="E231" s="20"/>
      <c r="F231" s="20"/>
      <c r="G231" s="20"/>
      <c r="H231" s="20"/>
      <c r="I231" s="20"/>
      <c r="J231" s="20"/>
      <c r="K231" s="20"/>
      <c r="L231" s="20"/>
      <c r="M231" s="20"/>
      <c r="N231" s="20"/>
      <c r="O231" s="20"/>
      <c r="P231" s="20"/>
      <c r="Q231" s="20"/>
      <c r="R231" s="20"/>
      <c r="S231" s="20"/>
      <c r="T231" s="20"/>
      <c r="U231" s="21"/>
    </row>
    <row r="232" spans="1:21" ht="28" customHeight="1" x14ac:dyDescent="0.35">
      <c r="A232" s="4" t="s">
        <v>31</v>
      </c>
      <c r="B232" s="3" t="s">
        <v>227</v>
      </c>
      <c r="C232" s="4" t="s">
        <v>32</v>
      </c>
      <c r="D232" s="3"/>
      <c r="E232" s="4" t="s">
        <v>33</v>
      </c>
      <c r="F232" s="8"/>
    </row>
    <row r="233" spans="1:21" ht="28" customHeight="1" x14ac:dyDescent="0.35">
      <c r="A233" s="1" t="s">
        <v>34</v>
      </c>
      <c r="B233" s="1" t="s">
        <v>35</v>
      </c>
      <c r="C233" s="1" t="s">
        <v>36</v>
      </c>
      <c r="D233" s="1" t="s">
        <v>37</v>
      </c>
      <c r="E233" s="1" t="s">
        <v>38</v>
      </c>
      <c r="F233" s="1" t="s">
        <v>39</v>
      </c>
      <c r="G233" s="1" t="s">
        <v>40</v>
      </c>
      <c r="H233" s="1" t="s">
        <v>41</v>
      </c>
      <c r="I233" s="1" t="s">
        <v>42</v>
      </c>
      <c r="J233" s="1" t="s">
        <v>43</v>
      </c>
      <c r="K233" s="1" t="s">
        <v>44</v>
      </c>
      <c r="L233" s="1" t="s">
        <v>45</v>
      </c>
      <c r="M233" s="1" t="s">
        <v>46</v>
      </c>
      <c r="N233" s="1" t="s">
        <v>47</v>
      </c>
      <c r="O233" s="1" t="s">
        <v>48</v>
      </c>
      <c r="P233" s="1" t="s">
        <v>4</v>
      </c>
      <c r="Q233" s="1" t="s">
        <v>49</v>
      </c>
      <c r="R233" s="1" t="s">
        <v>50</v>
      </c>
      <c r="S233" s="1" t="s">
        <v>51</v>
      </c>
      <c r="T233" s="1" t="s">
        <v>52</v>
      </c>
      <c r="U233" s="1" t="s">
        <v>10</v>
      </c>
    </row>
    <row r="234" spans="1:21" ht="28" customHeight="1" x14ac:dyDescent="0.35">
      <c r="A234" s="4">
        <v>1</v>
      </c>
      <c r="B234" s="4" t="s">
        <v>97</v>
      </c>
      <c r="C234" s="4" t="s">
        <v>362</v>
      </c>
      <c r="D234" s="4" t="s">
        <v>363</v>
      </c>
      <c r="E234" s="4" t="s">
        <v>69</v>
      </c>
      <c r="F234" s="4" t="s">
        <v>364</v>
      </c>
      <c r="G234" s="4" t="s">
        <v>199</v>
      </c>
      <c r="H234" s="4" t="s">
        <v>76</v>
      </c>
      <c r="I234" s="3"/>
      <c r="J234" s="3"/>
      <c r="K234" s="3"/>
      <c r="L234" s="3"/>
      <c r="M234" s="3"/>
      <c r="N234" s="3"/>
      <c r="O234" s="3"/>
      <c r="P234" s="8"/>
      <c r="Q234" s="8"/>
      <c r="R234" s="3"/>
      <c r="S234" s="3"/>
      <c r="T234" s="3"/>
      <c r="U234" s="5" t="str">
        <f t="shared" ref="U234:U245" si="14">IF(I234="","",IF(I234="NA","Grey",IF(I234=2,"Green",IF(I234=1,"Amber","Red"))))</f>
        <v/>
      </c>
    </row>
    <row r="235" spans="1:21" ht="28" customHeight="1" x14ac:dyDescent="0.35">
      <c r="A235" s="4">
        <v>2</v>
      </c>
      <c r="B235" s="4" t="s">
        <v>365</v>
      </c>
      <c r="C235" s="4" t="s">
        <v>366</v>
      </c>
      <c r="D235" s="4" t="s">
        <v>367</v>
      </c>
      <c r="E235" s="4" t="s">
        <v>69</v>
      </c>
      <c r="F235" s="4" t="s">
        <v>276</v>
      </c>
      <c r="G235" s="4" t="s">
        <v>199</v>
      </c>
      <c r="H235" s="4" t="s">
        <v>76</v>
      </c>
      <c r="I235" s="3"/>
      <c r="J235" s="3"/>
      <c r="K235" s="3"/>
      <c r="L235" s="3"/>
      <c r="M235" s="3"/>
      <c r="N235" s="3"/>
      <c r="O235" s="3"/>
      <c r="P235" s="8"/>
      <c r="Q235" s="8"/>
      <c r="R235" s="3"/>
      <c r="S235" s="3"/>
      <c r="T235" s="3"/>
      <c r="U235" s="5" t="str">
        <f t="shared" si="14"/>
        <v/>
      </c>
    </row>
    <row r="236" spans="1:21" ht="28" customHeight="1" x14ac:dyDescent="0.35">
      <c r="A236" s="4">
        <v>3</v>
      </c>
      <c r="B236" s="4" t="s">
        <v>365</v>
      </c>
      <c r="C236" s="4" t="s">
        <v>368</v>
      </c>
      <c r="D236" s="4" t="s">
        <v>369</v>
      </c>
      <c r="E236" s="4" t="s">
        <v>69</v>
      </c>
      <c r="F236" s="4" t="s">
        <v>370</v>
      </c>
      <c r="G236" s="4" t="s">
        <v>204</v>
      </c>
      <c r="H236" s="4" t="s">
        <v>76</v>
      </c>
      <c r="I236" s="3"/>
      <c r="J236" s="3"/>
      <c r="K236" s="3"/>
      <c r="L236" s="3"/>
      <c r="M236" s="3"/>
      <c r="N236" s="3"/>
      <c r="O236" s="3"/>
      <c r="P236" s="8"/>
      <c r="Q236" s="8"/>
      <c r="R236" s="3"/>
      <c r="S236" s="3"/>
      <c r="T236" s="3"/>
      <c r="U236" s="5" t="str">
        <f t="shared" si="14"/>
        <v/>
      </c>
    </row>
    <row r="237" spans="1:21" ht="28" customHeight="1" x14ac:dyDescent="0.35">
      <c r="A237" s="4">
        <v>4</v>
      </c>
      <c r="B237" s="4" t="s">
        <v>371</v>
      </c>
      <c r="C237" s="4" t="s">
        <v>372</v>
      </c>
      <c r="D237" s="4" t="s">
        <v>373</v>
      </c>
      <c r="E237" s="4" t="s">
        <v>69</v>
      </c>
      <c r="F237" s="4" t="s">
        <v>295</v>
      </c>
      <c r="G237" s="4" t="s">
        <v>199</v>
      </c>
      <c r="H237" s="4" t="s">
        <v>59</v>
      </c>
      <c r="I237" s="3"/>
      <c r="J237" s="3"/>
      <c r="K237" s="3"/>
      <c r="L237" s="3"/>
      <c r="M237" s="3"/>
      <c r="N237" s="3"/>
      <c r="O237" s="3"/>
      <c r="P237" s="8"/>
      <c r="Q237" s="8"/>
      <c r="R237" s="3"/>
      <c r="S237" s="3"/>
      <c r="T237" s="3"/>
      <c r="U237" s="5" t="str">
        <f t="shared" si="14"/>
        <v/>
      </c>
    </row>
    <row r="238" spans="1:21" ht="28" customHeight="1" x14ac:dyDescent="0.35">
      <c r="A238" s="4">
        <v>5</v>
      </c>
      <c r="B238" s="4" t="s">
        <v>374</v>
      </c>
      <c r="C238" s="4" t="s">
        <v>375</v>
      </c>
      <c r="D238" s="4" t="s">
        <v>376</v>
      </c>
      <c r="E238" s="4" t="s">
        <v>69</v>
      </c>
      <c r="F238" s="4" t="s">
        <v>276</v>
      </c>
      <c r="G238" s="4" t="s">
        <v>199</v>
      </c>
      <c r="H238" s="4" t="s">
        <v>59</v>
      </c>
      <c r="I238" s="3"/>
      <c r="J238" s="3"/>
      <c r="K238" s="3"/>
      <c r="L238" s="3"/>
      <c r="M238" s="3"/>
      <c r="N238" s="3"/>
      <c r="O238" s="3"/>
      <c r="P238" s="8"/>
      <c r="Q238" s="8"/>
      <c r="R238" s="3"/>
      <c r="S238" s="3"/>
      <c r="T238" s="3"/>
      <c r="U238" s="5" t="str">
        <f t="shared" si="14"/>
        <v/>
      </c>
    </row>
    <row r="239" spans="1:21" ht="28" customHeight="1" x14ac:dyDescent="0.35">
      <c r="A239" s="4">
        <v>6</v>
      </c>
      <c r="B239" s="4" t="s">
        <v>377</v>
      </c>
      <c r="C239" s="4" t="s">
        <v>378</v>
      </c>
      <c r="D239" s="4" t="s">
        <v>379</v>
      </c>
      <c r="E239" s="4" t="s">
        <v>69</v>
      </c>
      <c r="F239" s="4" t="s">
        <v>276</v>
      </c>
      <c r="G239" s="4" t="s">
        <v>199</v>
      </c>
      <c r="H239" s="4" t="s">
        <v>59</v>
      </c>
      <c r="I239" s="3"/>
      <c r="J239" s="3"/>
      <c r="K239" s="3"/>
      <c r="L239" s="3"/>
      <c r="M239" s="3"/>
      <c r="N239" s="3"/>
      <c r="O239" s="3"/>
      <c r="P239" s="8"/>
      <c r="Q239" s="8"/>
      <c r="R239" s="3"/>
      <c r="S239" s="3"/>
      <c r="T239" s="3"/>
      <c r="U239" s="5" t="str">
        <f t="shared" si="14"/>
        <v/>
      </c>
    </row>
    <row r="240" spans="1:21" ht="28" customHeight="1" x14ac:dyDescent="0.35">
      <c r="A240" s="4">
        <v>7</v>
      </c>
      <c r="B240" s="4" t="s">
        <v>380</v>
      </c>
      <c r="C240" s="4" t="s">
        <v>381</v>
      </c>
      <c r="D240" s="4" t="s">
        <v>382</v>
      </c>
      <c r="E240" s="4" t="s">
        <v>69</v>
      </c>
      <c r="F240" s="4" t="s">
        <v>276</v>
      </c>
      <c r="G240" s="4" t="s">
        <v>199</v>
      </c>
      <c r="H240" s="4" t="s">
        <v>59</v>
      </c>
      <c r="I240" s="3"/>
      <c r="J240" s="3"/>
      <c r="K240" s="3"/>
      <c r="L240" s="3"/>
      <c r="M240" s="3"/>
      <c r="N240" s="3"/>
      <c r="O240" s="3"/>
      <c r="P240" s="8"/>
      <c r="Q240" s="8"/>
      <c r="R240" s="3"/>
      <c r="S240" s="3"/>
      <c r="T240" s="3"/>
      <c r="U240" s="5" t="str">
        <f t="shared" si="14"/>
        <v/>
      </c>
    </row>
    <row r="241" spans="1:21" ht="28" customHeight="1" x14ac:dyDescent="0.35">
      <c r="A241" s="4">
        <v>8</v>
      </c>
      <c r="B241" s="4" t="s">
        <v>383</v>
      </c>
      <c r="C241" s="4" t="s">
        <v>384</v>
      </c>
      <c r="D241" s="4" t="s">
        <v>385</v>
      </c>
      <c r="E241" s="4" t="s">
        <v>69</v>
      </c>
      <c r="F241" s="4" t="s">
        <v>95</v>
      </c>
      <c r="G241" s="4" t="s">
        <v>96</v>
      </c>
      <c r="H241" s="4" t="s">
        <v>59</v>
      </c>
      <c r="I241" s="3"/>
      <c r="J241" s="3"/>
      <c r="K241" s="3"/>
      <c r="L241" s="3"/>
      <c r="M241" s="3"/>
      <c r="N241" s="3"/>
      <c r="O241" s="3"/>
      <c r="P241" s="8"/>
      <c r="Q241" s="8"/>
      <c r="R241" s="3"/>
      <c r="S241" s="3"/>
      <c r="T241" s="3"/>
      <c r="U241" s="5" t="str">
        <f t="shared" si="14"/>
        <v/>
      </c>
    </row>
    <row r="242" spans="1:21" ht="28" customHeight="1" x14ac:dyDescent="0.35">
      <c r="A242" s="4">
        <v>9</v>
      </c>
      <c r="B242" s="4" t="s">
        <v>97</v>
      </c>
      <c r="C242" s="4" t="s">
        <v>98</v>
      </c>
      <c r="D242" s="4" t="s">
        <v>99</v>
      </c>
      <c r="E242" s="4" t="s">
        <v>69</v>
      </c>
      <c r="F242" s="4" t="s">
        <v>95</v>
      </c>
      <c r="G242" s="4" t="s">
        <v>96</v>
      </c>
      <c r="H242" s="4" t="s">
        <v>59</v>
      </c>
      <c r="I242" s="3"/>
      <c r="J242" s="3"/>
      <c r="K242" s="3"/>
      <c r="L242" s="3"/>
      <c r="M242" s="3"/>
      <c r="N242" s="3"/>
      <c r="O242" s="3"/>
      <c r="P242" s="8"/>
      <c r="Q242" s="8"/>
      <c r="R242" s="3"/>
      <c r="S242" s="3"/>
      <c r="T242" s="3"/>
      <c r="U242" s="5" t="str">
        <f t="shared" si="14"/>
        <v/>
      </c>
    </row>
    <row r="243" spans="1:21" ht="28" customHeight="1" x14ac:dyDescent="0.35">
      <c r="A243" s="4">
        <v>10</v>
      </c>
      <c r="B243" s="4" t="s">
        <v>97</v>
      </c>
      <c r="C243" s="4" t="s">
        <v>100</v>
      </c>
      <c r="D243" s="4" t="s">
        <v>101</v>
      </c>
      <c r="E243" s="4" t="s">
        <v>69</v>
      </c>
      <c r="F243" s="4" t="s">
        <v>95</v>
      </c>
      <c r="G243" s="4" t="s">
        <v>102</v>
      </c>
      <c r="H243" s="4" t="s">
        <v>59</v>
      </c>
      <c r="I243" s="3"/>
      <c r="J243" s="3"/>
      <c r="K243" s="3"/>
      <c r="L243" s="3"/>
      <c r="M243" s="3"/>
      <c r="N243" s="3"/>
      <c r="O243" s="3"/>
      <c r="P243" s="8"/>
      <c r="Q243" s="8"/>
      <c r="R243" s="3"/>
      <c r="S243" s="3"/>
      <c r="T243" s="3"/>
      <c r="U243" s="5" t="str">
        <f t="shared" si="14"/>
        <v/>
      </c>
    </row>
    <row r="244" spans="1:21" ht="28" customHeight="1" x14ac:dyDescent="0.35">
      <c r="A244" s="4">
        <v>11</v>
      </c>
      <c r="B244" s="4" t="s">
        <v>103</v>
      </c>
      <c r="C244" s="4" t="s">
        <v>104</v>
      </c>
      <c r="D244" s="4" t="s">
        <v>105</v>
      </c>
      <c r="E244" s="4" t="s">
        <v>69</v>
      </c>
      <c r="F244" s="4" t="s">
        <v>95</v>
      </c>
      <c r="G244" s="4" t="s">
        <v>96</v>
      </c>
      <c r="H244" s="4" t="s">
        <v>85</v>
      </c>
      <c r="I244" s="3"/>
      <c r="J244" s="3"/>
      <c r="K244" s="3"/>
      <c r="L244" s="3"/>
      <c r="M244" s="3"/>
      <c r="N244" s="3"/>
      <c r="O244" s="3"/>
      <c r="P244" s="8"/>
      <c r="Q244" s="8"/>
      <c r="R244" s="3"/>
      <c r="S244" s="3"/>
      <c r="T244" s="3"/>
      <c r="U244" s="5" t="str">
        <f t="shared" si="14"/>
        <v/>
      </c>
    </row>
    <row r="245" spans="1:21" ht="28" customHeight="1" x14ac:dyDescent="0.35">
      <c r="A245" s="4">
        <v>12</v>
      </c>
      <c r="B245" s="4" t="s">
        <v>106</v>
      </c>
      <c r="C245" s="4" t="s">
        <v>107</v>
      </c>
      <c r="D245" s="4" t="s">
        <v>108</v>
      </c>
      <c r="E245" s="4" t="s">
        <v>109</v>
      </c>
      <c r="F245" s="4" t="s">
        <v>95</v>
      </c>
      <c r="G245" s="4" t="s">
        <v>96</v>
      </c>
      <c r="H245" s="4" t="s">
        <v>59</v>
      </c>
      <c r="I245" s="3"/>
      <c r="J245" s="3"/>
      <c r="K245" s="3"/>
      <c r="L245" s="3"/>
      <c r="M245" s="3"/>
      <c r="N245" s="3"/>
      <c r="O245" s="3"/>
      <c r="P245" s="8"/>
      <c r="Q245" s="8"/>
      <c r="R245" s="3"/>
      <c r="S245" s="3"/>
      <c r="T245" s="3"/>
      <c r="U245" s="5" t="str">
        <f t="shared" si="14"/>
        <v/>
      </c>
    </row>
    <row r="247" spans="1:21" ht="28" customHeight="1" x14ac:dyDescent="0.35">
      <c r="A247" s="9" t="s">
        <v>110</v>
      </c>
      <c r="B247" s="16"/>
      <c r="C247" s="17"/>
      <c r="D247" s="17"/>
      <c r="E247" s="17"/>
      <c r="F247" s="17"/>
      <c r="G247" s="17"/>
      <c r="H247" s="17"/>
      <c r="I247" s="17"/>
      <c r="J247" s="17"/>
      <c r="K247" s="17"/>
      <c r="L247" s="17"/>
      <c r="M247" s="17"/>
      <c r="N247" s="17"/>
      <c r="O247" s="17"/>
      <c r="P247" s="17"/>
      <c r="Q247" s="17"/>
      <c r="R247" s="17"/>
      <c r="S247" s="17"/>
      <c r="T247" s="17"/>
      <c r="U247" s="18"/>
    </row>
    <row r="248" spans="1:21" ht="28" customHeight="1" x14ac:dyDescent="0.35">
      <c r="A248" s="19" t="s">
        <v>396</v>
      </c>
      <c r="B248" s="20"/>
      <c r="C248" s="20"/>
      <c r="D248" s="20"/>
      <c r="E248" s="20"/>
      <c r="F248" s="20"/>
      <c r="G248" s="20"/>
      <c r="H248" s="20"/>
      <c r="I248" s="20"/>
      <c r="J248" s="20"/>
      <c r="K248" s="20"/>
      <c r="L248" s="20"/>
      <c r="M248" s="20"/>
      <c r="N248" s="20"/>
      <c r="O248" s="20"/>
      <c r="P248" s="20"/>
      <c r="Q248" s="20"/>
      <c r="R248" s="20"/>
      <c r="S248" s="20"/>
      <c r="T248" s="20"/>
      <c r="U248" s="21"/>
    </row>
    <row r="249" spans="1:21" ht="28" customHeight="1" x14ac:dyDescent="0.35">
      <c r="A249" s="4" t="s">
        <v>31</v>
      </c>
      <c r="B249" s="3" t="s">
        <v>228</v>
      </c>
      <c r="C249" s="4" t="s">
        <v>32</v>
      </c>
      <c r="D249" s="3"/>
      <c r="E249" s="4" t="s">
        <v>33</v>
      </c>
      <c r="F249" s="8"/>
    </row>
    <row r="250" spans="1:21" ht="28" customHeight="1" x14ac:dyDescent="0.35">
      <c r="A250" s="1" t="s">
        <v>34</v>
      </c>
      <c r="B250" s="1" t="s">
        <v>35</v>
      </c>
      <c r="C250" s="1" t="s">
        <v>36</v>
      </c>
      <c r="D250" s="1" t="s">
        <v>37</v>
      </c>
      <c r="E250" s="1" t="s">
        <v>38</v>
      </c>
      <c r="F250" s="1" t="s">
        <v>39</v>
      </c>
      <c r="G250" s="1" t="s">
        <v>40</v>
      </c>
      <c r="H250" s="1" t="s">
        <v>41</v>
      </c>
      <c r="I250" s="1" t="s">
        <v>42</v>
      </c>
      <c r="J250" s="1" t="s">
        <v>43</v>
      </c>
      <c r="K250" s="1" t="s">
        <v>44</v>
      </c>
      <c r="L250" s="1" t="s">
        <v>45</v>
      </c>
      <c r="M250" s="1" t="s">
        <v>46</v>
      </c>
      <c r="N250" s="1" t="s">
        <v>47</v>
      </c>
      <c r="O250" s="1" t="s">
        <v>48</v>
      </c>
      <c r="P250" s="1" t="s">
        <v>4</v>
      </c>
      <c r="Q250" s="1" t="s">
        <v>49</v>
      </c>
      <c r="R250" s="1" t="s">
        <v>50</v>
      </c>
      <c r="S250" s="1" t="s">
        <v>51</v>
      </c>
      <c r="T250" s="1" t="s">
        <v>52</v>
      </c>
      <c r="U250" s="1" t="s">
        <v>10</v>
      </c>
    </row>
    <row r="251" spans="1:21" ht="28" customHeight="1" x14ac:dyDescent="0.35">
      <c r="A251" s="4">
        <v>1</v>
      </c>
      <c r="B251" s="4" t="s">
        <v>97</v>
      </c>
      <c r="C251" s="4" t="s">
        <v>362</v>
      </c>
      <c r="D251" s="4" t="s">
        <v>363</v>
      </c>
      <c r="E251" s="4" t="s">
        <v>69</v>
      </c>
      <c r="F251" s="4" t="s">
        <v>364</v>
      </c>
      <c r="G251" s="4" t="s">
        <v>199</v>
      </c>
      <c r="H251" s="4" t="s">
        <v>76</v>
      </c>
      <c r="I251" s="3"/>
      <c r="J251" s="3"/>
      <c r="K251" s="3"/>
      <c r="L251" s="3"/>
      <c r="M251" s="3"/>
      <c r="N251" s="3"/>
      <c r="O251" s="3"/>
      <c r="P251" s="8"/>
      <c r="Q251" s="8"/>
      <c r="R251" s="3"/>
      <c r="S251" s="3"/>
      <c r="T251" s="3"/>
      <c r="U251" s="5" t="str">
        <f t="shared" ref="U251:U262" si="15">IF(I251="","",IF(I251="NA","Grey",IF(I251=2,"Green",IF(I251=1,"Amber","Red"))))</f>
        <v/>
      </c>
    </row>
    <row r="252" spans="1:21" ht="28" customHeight="1" x14ac:dyDescent="0.35">
      <c r="A252" s="4">
        <v>2</v>
      </c>
      <c r="B252" s="4" t="s">
        <v>365</v>
      </c>
      <c r="C252" s="4" t="s">
        <v>366</v>
      </c>
      <c r="D252" s="4" t="s">
        <v>367</v>
      </c>
      <c r="E252" s="4" t="s">
        <v>69</v>
      </c>
      <c r="F252" s="4" t="s">
        <v>276</v>
      </c>
      <c r="G252" s="4" t="s">
        <v>199</v>
      </c>
      <c r="H252" s="4" t="s">
        <v>76</v>
      </c>
      <c r="I252" s="3"/>
      <c r="J252" s="3"/>
      <c r="K252" s="3"/>
      <c r="L252" s="3"/>
      <c r="M252" s="3"/>
      <c r="N252" s="3"/>
      <c r="O252" s="3"/>
      <c r="P252" s="8"/>
      <c r="Q252" s="8"/>
      <c r="R252" s="3"/>
      <c r="S252" s="3"/>
      <c r="T252" s="3"/>
      <c r="U252" s="5" t="str">
        <f t="shared" si="15"/>
        <v/>
      </c>
    </row>
    <row r="253" spans="1:21" ht="28" customHeight="1" x14ac:dyDescent="0.35">
      <c r="A253" s="4">
        <v>3</v>
      </c>
      <c r="B253" s="4" t="s">
        <v>365</v>
      </c>
      <c r="C253" s="4" t="s">
        <v>368</v>
      </c>
      <c r="D253" s="4" t="s">
        <v>369</v>
      </c>
      <c r="E253" s="4" t="s">
        <v>69</v>
      </c>
      <c r="F253" s="4" t="s">
        <v>370</v>
      </c>
      <c r="G253" s="4" t="s">
        <v>204</v>
      </c>
      <c r="H253" s="4" t="s">
        <v>76</v>
      </c>
      <c r="I253" s="3"/>
      <c r="J253" s="3"/>
      <c r="K253" s="3"/>
      <c r="L253" s="3"/>
      <c r="M253" s="3"/>
      <c r="N253" s="3"/>
      <c r="O253" s="3"/>
      <c r="P253" s="8"/>
      <c r="Q253" s="8"/>
      <c r="R253" s="3"/>
      <c r="S253" s="3"/>
      <c r="T253" s="3"/>
      <c r="U253" s="5" t="str">
        <f t="shared" si="15"/>
        <v/>
      </c>
    </row>
    <row r="254" spans="1:21" ht="28" customHeight="1" x14ac:dyDescent="0.35">
      <c r="A254" s="4">
        <v>4</v>
      </c>
      <c r="B254" s="4" t="s">
        <v>371</v>
      </c>
      <c r="C254" s="4" t="s">
        <v>372</v>
      </c>
      <c r="D254" s="4" t="s">
        <v>373</v>
      </c>
      <c r="E254" s="4" t="s">
        <v>69</v>
      </c>
      <c r="F254" s="4" t="s">
        <v>295</v>
      </c>
      <c r="G254" s="4" t="s">
        <v>199</v>
      </c>
      <c r="H254" s="4" t="s">
        <v>59</v>
      </c>
      <c r="I254" s="3"/>
      <c r="J254" s="3"/>
      <c r="K254" s="3"/>
      <c r="L254" s="3"/>
      <c r="M254" s="3"/>
      <c r="N254" s="3"/>
      <c r="O254" s="3"/>
      <c r="P254" s="8"/>
      <c r="Q254" s="8"/>
      <c r="R254" s="3"/>
      <c r="S254" s="3"/>
      <c r="T254" s="3"/>
      <c r="U254" s="5" t="str">
        <f t="shared" si="15"/>
        <v/>
      </c>
    </row>
    <row r="255" spans="1:21" ht="28" customHeight="1" x14ac:dyDescent="0.35">
      <c r="A255" s="4">
        <v>5</v>
      </c>
      <c r="B255" s="4" t="s">
        <v>374</v>
      </c>
      <c r="C255" s="4" t="s">
        <v>375</v>
      </c>
      <c r="D255" s="4" t="s">
        <v>376</v>
      </c>
      <c r="E255" s="4" t="s">
        <v>69</v>
      </c>
      <c r="F255" s="4" t="s">
        <v>276</v>
      </c>
      <c r="G255" s="4" t="s">
        <v>199</v>
      </c>
      <c r="H255" s="4" t="s">
        <v>59</v>
      </c>
      <c r="I255" s="3"/>
      <c r="J255" s="3"/>
      <c r="K255" s="3"/>
      <c r="L255" s="3"/>
      <c r="M255" s="3"/>
      <c r="N255" s="3"/>
      <c r="O255" s="3"/>
      <c r="P255" s="8"/>
      <c r="Q255" s="8"/>
      <c r="R255" s="3"/>
      <c r="S255" s="3"/>
      <c r="T255" s="3"/>
      <c r="U255" s="5" t="str">
        <f t="shared" si="15"/>
        <v/>
      </c>
    </row>
    <row r="256" spans="1:21" ht="28" customHeight="1" x14ac:dyDescent="0.35">
      <c r="A256" s="4">
        <v>6</v>
      </c>
      <c r="B256" s="4" t="s">
        <v>377</v>
      </c>
      <c r="C256" s="4" t="s">
        <v>378</v>
      </c>
      <c r="D256" s="4" t="s">
        <v>379</v>
      </c>
      <c r="E256" s="4" t="s">
        <v>69</v>
      </c>
      <c r="F256" s="4" t="s">
        <v>276</v>
      </c>
      <c r="G256" s="4" t="s">
        <v>199</v>
      </c>
      <c r="H256" s="4" t="s">
        <v>59</v>
      </c>
      <c r="I256" s="3"/>
      <c r="J256" s="3"/>
      <c r="K256" s="3"/>
      <c r="L256" s="3"/>
      <c r="M256" s="3"/>
      <c r="N256" s="3"/>
      <c r="O256" s="3"/>
      <c r="P256" s="8"/>
      <c r="Q256" s="8"/>
      <c r="R256" s="3"/>
      <c r="S256" s="3"/>
      <c r="T256" s="3"/>
      <c r="U256" s="5" t="str">
        <f t="shared" si="15"/>
        <v/>
      </c>
    </row>
    <row r="257" spans="1:21" ht="28" customHeight="1" x14ac:dyDescent="0.35">
      <c r="A257" s="4">
        <v>7</v>
      </c>
      <c r="B257" s="4" t="s">
        <v>380</v>
      </c>
      <c r="C257" s="4" t="s">
        <v>381</v>
      </c>
      <c r="D257" s="4" t="s">
        <v>382</v>
      </c>
      <c r="E257" s="4" t="s">
        <v>69</v>
      </c>
      <c r="F257" s="4" t="s">
        <v>276</v>
      </c>
      <c r="G257" s="4" t="s">
        <v>199</v>
      </c>
      <c r="H257" s="4" t="s">
        <v>59</v>
      </c>
      <c r="I257" s="3"/>
      <c r="J257" s="3"/>
      <c r="K257" s="3"/>
      <c r="L257" s="3"/>
      <c r="M257" s="3"/>
      <c r="N257" s="3"/>
      <c r="O257" s="3"/>
      <c r="P257" s="8"/>
      <c r="Q257" s="8"/>
      <c r="R257" s="3"/>
      <c r="S257" s="3"/>
      <c r="T257" s="3"/>
      <c r="U257" s="5" t="str">
        <f t="shared" si="15"/>
        <v/>
      </c>
    </row>
    <row r="258" spans="1:21" ht="28" customHeight="1" x14ac:dyDescent="0.35">
      <c r="A258" s="4">
        <v>8</v>
      </c>
      <c r="B258" s="4" t="s">
        <v>383</v>
      </c>
      <c r="C258" s="4" t="s">
        <v>384</v>
      </c>
      <c r="D258" s="4" t="s">
        <v>385</v>
      </c>
      <c r="E258" s="4" t="s">
        <v>69</v>
      </c>
      <c r="F258" s="4" t="s">
        <v>95</v>
      </c>
      <c r="G258" s="4" t="s">
        <v>96</v>
      </c>
      <c r="H258" s="4" t="s">
        <v>59</v>
      </c>
      <c r="I258" s="3"/>
      <c r="J258" s="3"/>
      <c r="K258" s="3"/>
      <c r="L258" s="3"/>
      <c r="M258" s="3"/>
      <c r="N258" s="3"/>
      <c r="O258" s="3"/>
      <c r="P258" s="8"/>
      <c r="Q258" s="8"/>
      <c r="R258" s="3"/>
      <c r="S258" s="3"/>
      <c r="T258" s="3"/>
      <c r="U258" s="5" t="str">
        <f t="shared" si="15"/>
        <v/>
      </c>
    </row>
    <row r="259" spans="1:21" ht="28" customHeight="1" x14ac:dyDescent="0.35">
      <c r="A259" s="4">
        <v>9</v>
      </c>
      <c r="B259" s="4" t="s">
        <v>97</v>
      </c>
      <c r="C259" s="4" t="s">
        <v>98</v>
      </c>
      <c r="D259" s="4" t="s">
        <v>99</v>
      </c>
      <c r="E259" s="4" t="s">
        <v>69</v>
      </c>
      <c r="F259" s="4" t="s">
        <v>95</v>
      </c>
      <c r="G259" s="4" t="s">
        <v>96</v>
      </c>
      <c r="H259" s="4" t="s">
        <v>59</v>
      </c>
      <c r="I259" s="3"/>
      <c r="J259" s="3"/>
      <c r="K259" s="3"/>
      <c r="L259" s="3"/>
      <c r="M259" s="3"/>
      <c r="N259" s="3"/>
      <c r="O259" s="3"/>
      <c r="P259" s="8"/>
      <c r="Q259" s="8"/>
      <c r="R259" s="3"/>
      <c r="S259" s="3"/>
      <c r="T259" s="3"/>
      <c r="U259" s="5" t="str">
        <f t="shared" si="15"/>
        <v/>
      </c>
    </row>
    <row r="260" spans="1:21" ht="28" customHeight="1" x14ac:dyDescent="0.35">
      <c r="A260" s="4">
        <v>10</v>
      </c>
      <c r="B260" s="4" t="s">
        <v>97</v>
      </c>
      <c r="C260" s="4" t="s">
        <v>100</v>
      </c>
      <c r="D260" s="4" t="s">
        <v>101</v>
      </c>
      <c r="E260" s="4" t="s">
        <v>69</v>
      </c>
      <c r="F260" s="4" t="s">
        <v>95</v>
      </c>
      <c r="G260" s="4" t="s">
        <v>102</v>
      </c>
      <c r="H260" s="4" t="s">
        <v>59</v>
      </c>
      <c r="I260" s="3"/>
      <c r="J260" s="3"/>
      <c r="K260" s="3"/>
      <c r="L260" s="3"/>
      <c r="M260" s="3"/>
      <c r="N260" s="3"/>
      <c r="O260" s="3"/>
      <c r="P260" s="8"/>
      <c r="Q260" s="8"/>
      <c r="R260" s="3"/>
      <c r="S260" s="3"/>
      <c r="T260" s="3"/>
      <c r="U260" s="5" t="str">
        <f t="shared" si="15"/>
        <v/>
      </c>
    </row>
    <row r="261" spans="1:21" ht="28" customHeight="1" x14ac:dyDescent="0.35">
      <c r="A261" s="4">
        <v>11</v>
      </c>
      <c r="B261" s="4" t="s">
        <v>103</v>
      </c>
      <c r="C261" s="4" t="s">
        <v>104</v>
      </c>
      <c r="D261" s="4" t="s">
        <v>105</v>
      </c>
      <c r="E261" s="4" t="s">
        <v>69</v>
      </c>
      <c r="F261" s="4" t="s">
        <v>95</v>
      </c>
      <c r="G261" s="4" t="s">
        <v>96</v>
      </c>
      <c r="H261" s="4" t="s">
        <v>85</v>
      </c>
      <c r="I261" s="3"/>
      <c r="J261" s="3"/>
      <c r="K261" s="3"/>
      <c r="L261" s="3"/>
      <c r="M261" s="3"/>
      <c r="N261" s="3"/>
      <c r="O261" s="3"/>
      <c r="P261" s="8"/>
      <c r="Q261" s="8"/>
      <c r="R261" s="3"/>
      <c r="S261" s="3"/>
      <c r="T261" s="3"/>
      <c r="U261" s="5" t="str">
        <f t="shared" si="15"/>
        <v/>
      </c>
    </row>
    <row r="262" spans="1:21" ht="28" customHeight="1" x14ac:dyDescent="0.35">
      <c r="A262" s="4">
        <v>12</v>
      </c>
      <c r="B262" s="4" t="s">
        <v>106</v>
      </c>
      <c r="C262" s="4" t="s">
        <v>107</v>
      </c>
      <c r="D262" s="4" t="s">
        <v>108</v>
      </c>
      <c r="E262" s="4" t="s">
        <v>109</v>
      </c>
      <c r="F262" s="4" t="s">
        <v>95</v>
      </c>
      <c r="G262" s="4" t="s">
        <v>96</v>
      </c>
      <c r="H262" s="4" t="s">
        <v>59</v>
      </c>
      <c r="I262" s="3"/>
      <c r="J262" s="3"/>
      <c r="K262" s="3"/>
      <c r="L262" s="3"/>
      <c r="M262" s="3"/>
      <c r="N262" s="3"/>
      <c r="O262" s="3"/>
      <c r="P262" s="8"/>
      <c r="Q262" s="8"/>
      <c r="R262" s="3"/>
      <c r="S262" s="3"/>
      <c r="T262" s="3"/>
      <c r="U262" s="5" t="str">
        <f t="shared" si="15"/>
        <v/>
      </c>
    </row>
    <row r="264" spans="1:21" ht="28" customHeight="1" x14ac:dyDescent="0.35">
      <c r="A264" s="9" t="s">
        <v>110</v>
      </c>
      <c r="B264" s="16"/>
      <c r="C264" s="17"/>
      <c r="D264" s="17"/>
      <c r="E264" s="17"/>
      <c r="F264" s="17"/>
      <c r="G264" s="17"/>
      <c r="H264" s="17"/>
      <c r="I264" s="17"/>
      <c r="J264" s="17"/>
      <c r="K264" s="17"/>
      <c r="L264" s="17"/>
      <c r="M264" s="17"/>
      <c r="N264" s="17"/>
      <c r="O264" s="17"/>
      <c r="P264" s="17"/>
      <c r="Q264" s="17"/>
      <c r="R264" s="17"/>
      <c r="S264" s="17"/>
      <c r="T264" s="17"/>
      <c r="U264" s="18"/>
    </row>
    <row r="265" spans="1:21" ht="28" customHeight="1" x14ac:dyDescent="0.35">
      <c r="A265" s="19" t="s">
        <v>397</v>
      </c>
      <c r="B265" s="20"/>
      <c r="C265" s="20"/>
      <c r="D265" s="20"/>
      <c r="E265" s="20"/>
      <c r="F265" s="20"/>
      <c r="G265" s="20"/>
      <c r="H265" s="20"/>
      <c r="I265" s="20"/>
      <c r="J265" s="20"/>
      <c r="K265" s="20"/>
      <c r="L265" s="20"/>
      <c r="M265" s="20"/>
      <c r="N265" s="20"/>
      <c r="O265" s="20"/>
      <c r="P265" s="20"/>
      <c r="Q265" s="20"/>
      <c r="R265" s="20"/>
      <c r="S265" s="20"/>
      <c r="T265" s="20"/>
      <c r="U265" s="21"/>
    </row>
    <row r="266" spans="1:21" ht="28" customHeight="1" x14ac:dyDescent="0.35">
      <c r="A266" s="4" t="s">
        <v>31</v>
      </c>
      <c r="B266" s="3" t="s">
        <v>229</v>
      </c>
      <c r="C266" s="4" t="s">
        <v>32</v>
      </c>
      <c r="D266" s="3"/>
      <c r="E266" s="4" t="s">
        <v>33</v>
      </c>
      <c r="F266" s="8"/>
    </row>
    <row r="267" spans="1:21" ht="28" customHeight="1" x14ac:dyDescent="0.35">
      <c r="A267" s="1" t="s">
        <v>34</v>
      </c>
      <c r="B267" s="1" t="s">
        <v>35</v>
      </c>
      <c r="C267" s="1" t="s">
        <v>36</v>
      </c>
      <c r="D267" s="1" t="s">
        <v>37</v>
      </c>
      <c r="E267" s="1" t="s">
        <v>38</v>
      </c>
      <c r="F267" s="1" t="s">
        <v>39</v>
      </c>
      <c r="G267" s="1" t="s">
        <v>40</v>
      </c>
      <c r="H267" s="1" t="s">
        <v>41</v>
      </c>
      <c r="I267" s="1" t="s">
        <v>42</v>
      </c>
      <c r="J267" s="1" t="s">
        <v>43</v>
      </c>
      <c r="K267" s="1" t="s">
        <v>44</v>
      </c>
      <c r="L267" s="1" t="s">
        <v>45</v>
      </c>
      <c r="M267" s="1" t="s">
        <v>46</v>
      </c>
      <c r="N267" s="1" t="s">
        <v>47</v>
      </c>
      <c r="O267" s="1" t="s">
        <v>48</v>
      </c>
      <c r="P267" s="1" t="s">
        <v>4</v>
      </c>
      <c r="Q267" s="1" t="s">
        <v>49</v>
      </c>
      <c r="R267" s="1" t="s">
        <v>50</v>
      </c>
      <c r="S267" s="1" t="s">
        <v>51</v>
      </c>
      <c r="T267" s="1" t="s">
        <v>52</v>
      </c>
      <c r="U267" s="1" t="s">
        <v>10</v>
      </c>
    </row>
    <row r="268" spans="1:21" ht="28" customHeight="1" x14ac:dyDescent="0.35">
      <c r="A268" s="4">
        <v>1</v>
      </c>
      <c r="B268" s="4" t="s">
        <v>97</v>
      </c>
      <c r="C268" s="4" t="s">
        <v>362</v>
      </c>
      <c r="D268" s="4" t="s">
        <v>363</v>
      </c>
      <c r="E268" s="4" t="s">
        <v>69</v>
      </c>
      <c r="F268" s="4" t="s">
        <v>364</v>
      </c>
      <c r="G268" s="4" t="s">
        <v>199</v>
      </c>
      <c r="H268" s="4" t="s">
        <v>76</v>
      </c>
      <c r="I268" s="3"/>
      <c r="J268" s="3"/>
      <c r="K268" s="3"/>
      <c r="L268" s="3"/>
      <c r="M268" s="3"/>
      <c r="N268" s="3"/>
      <c r="O268" s="3"/>
      <c r="P268" s="8"/>
      <c r="Q268" s="8"/>
      <c r="R268" s="3"/>
      <c r="S268" s="3"/>
      <c r="T268" s="3"/>
      <c r="U268" s="5" t="str">
        <f t="shared" ref="U268:U279" si="16">IF(I268="","",IF(I268="NA","Grey",IF(I268=2,"Green",IF(I268=1,"Amber","Red"))))</f>
        <v/>
      </c>
    </row>
    <row r="269" spans="1:21" ht="28" customHeight="1" x14ac:dyDescent="0.35">
      <c r="A269" s="4">
        <v>2</v>
      </c>
      <c r="B269" s="4" t="s">
        <v>365</v>
      </c>
      <c r="C269" s="4" t="s">
        <v>366</v>
      </c>
      <c r="D269" s="4" t="s">
        <v>367</v>
      </c>
      <c r="E269" s="4" t="s">
        <v>69</v>
      </c>
      <c r="F269" s="4" t="s">
        <v>276</v>
      </c>
      <c r="G269" s="4" t="s">
        <v>199</v>
      </c>
      <c r="H269" s="4" t="s">
        <v>76</v>
      </c>
      <c r="I269" s="3"/>
      <c r="J269" s="3"/>
      <c r="K269" s="3"/>
      <c r="L269" s="3"/>
      <c r="M269" s="3"/>
      <c r="N269" s="3"/>
      <c r="O269" s="3"/>
      <c r="P269" s="8"/>
      <c r="Q269" s="8"/>
      <c r="R269" s="3"/>
      <c r="S269" s="3"/>
      <c r="T269" s="3"/>
      <c r="U269" s="5" t="str">
        <f t="shared" si="16"/>
        <v/>
      </c>
    </row>
    <row r="270" spans="1:21" ht="28" customHeight="1" x14ac:dyDescent="0.35">
      <c r="A270" s="4">
        <v>3</v>
      </c>
      <c r="B270" s="4" t="s">
        <v>365</v>
      </c>
      <c r="C270" s="4" t="s">
        <v>368</v>
      </c>
      <c r="D270" s="4" t="s">
        <v>369</v>
      </c>
      <c r="E270" s="4" t="s">
        <v>69</v>
      </c>
      <c r="F270" s="4" t="s">
        <v>370</v>
      </c>
      <c r="G270" s="4" t="s">
        <v>204</v>
      </c>
      <c r="H270" s="4" t="s">
        <v>76</v>
      </c>
      <c r="I270" s="3"/>
      <c r="J270" s="3"/>
      <c r="K270" s="3"/>
      <c r="L270" s="3"/>
      <c r="M270" s="3"/>
      <c r="N270" s="3"/>
      <c r="O270" s="3"/>
      <c r="P270" s="8"/>
      <c r="Q270" s="8"/>
      <c r="R270" s="3"/>
      <c r="S270" s="3"/>
      <c r="T270" s="3"/>
      <c r="U270" s="5" t="str">
        <f t="shared" si="16"/>
        <v/>
      </c>
    </row>
    <row r="271" spans="1:21" ht="28" customHeight="1" x14ac:dyDescent="0.35">
      <c r="A271" s="4">
        <v>4</v>
      </c>
      <c r="B271" s="4" t="s">
        <v>371</v>
      </c>
      <c r="C271" s="4" t="s">
        <v>372</v>
      </c>
      <c r="D271" s="4" t="s">
        <v>373</v>
      </c>
      <c r="E271" s="4" t="s">
        <v>69</v>
      </c>
      <c r="F271" s="4" t="s">
        <v>295</v>
      </c>
      <c r="G271" s="4" t="s">
        <v>199</v>
      </c>
      <c r="H271" s="4" t="s">
        <v>59</v>
      </c>
      <c r="I271" s="3"/>
      <c r="J271" s="3"/>
      <c r="K271" s="3"/>
      <c r="L271" s="3"/>
      <c r="M271" s="3"/>
      <c r="N271" s="3"/>
      <c r="O271" s="3"/>
      <c r="P271" s="8"/>
      <c r="Q271" s="8"/>
      <c r="R271" s="3"/>
      <c r="S271" s="3"/>
      <c r="T271" s="3"/>
      <c r="U271" s="5" t="str">
        <f t="shared" si="16"/>
        <v/>
      </c>
    </row>
    <row r="272" spans="1:21" ht="28" customHeight="1" x14ac:dyDescent="0.35">
      <c r="A272" s="4">
        <v>5</v>
      </c>
      <c r="B272" s="4" t="s">
        <v>374</v>
      </c>
      <c r="C272" s="4" t="s">
        <v>375</v>
      </c>
      <c r="D272" s="4" t="s">
        <v>376</v>
      </c>
      <c r="E272" s="4" t="s">
        <v>69</v>
      </c>
      <c r="F272" s="4" t="s">
        <v>276</v>
      </c>
      <c r="G272" s="4" t="s">
        <v>199</v>
      </c>
      <c r="H272" s="4" t="s">
        <v>59</v>
      </c>
      <c r="I272" s="3"/>
      <c r="J272" s="3"/>
      <c r="K272" s="3"/>
      <c r="L272" s="3"/>
      <c r="M272" s="3"/>
      <c r="N272" s="3"/>
      <c r="O272" s="3"/>
      <c r="P272" s="8"/>
      <c r="Q272" s="8"/>
      <c r="R272" s="3"/>
      <c r="S272" s="3"/>
      <c r="T272" s="3"/>
      <c r="U272" s="5" t="str">
        <f t="shared" si="16"/>
        <v/>
      </c>
    </row>
    <row r="273" spans="1:21" ht="28" customHeight="1" x14ac:dyDescent="0.35">
      <c r="A273" s="4">
        <v>6</v>
      </c>
      <c r="B273" s="4" t="s">
        <v>377</v>
      </c>
      <c r="C273" s="4" t="s">
        <v>378</v>
      </c>
      <c r="D273" s="4" t="s">
        <v>379</v>
      </c>
      <c r="E273" s="4" t="s">
        <v>69</v>
      </c>
      <c r="F273" s="4" t="s">
        <v>276</v>
      </c>
      <c r="G273" s="4" t="s">
        <v>199</v>
      </c>
      <c r="H273" s="4" t="s">
        <v>59</v>
      </c>
      <c r="I273" s="3"/>
      <c r="J273" s="3"/>
      <c r="K273" s="3"/>
      <c r="L273" s="3"/>
      <c r="M273" s="3"/>
      <c r="N273" s="3"/>
      <c r="O273" s="3"/>
      <c r="P273" s="8"/>
      <c r="Q273" s="8"/>
      <c r="R273" s="3"/>
      <c r="S273" s="3"/>
      <c r="T273" s="3"/>
      <c r="U273" s="5" t="str">
        <f t="shared" si="16"/>
        <v/>
      </c>
    </row>
    <row r="274" spans="1:21" ht="28" customHeight="1" x14ac:dyDescent="0.35">
      <c r="A274" s="4">
        <v>7</v>
      </c>
      <c r="B274" s="4" t="s">
        <v>380</v>
      </c>
      <c r="C274" s="4" t="s">
        <v>381</v>
      </c>
      <c r="D274" s="4" t="s">
        <v>382</v>
      </c>
      <c r="E274" s="4" t="s">
        <v>69</v>
      </c>
      <c r="F274" s="4" t="s">
        <v>276</v>
      </c>
      <c r="G274" s="4" t="s">
        <v>199</v>
      </c>
      <c r="H274" s="4" t="s">
        <v>59</v>
      </c>
      <c r="I274" s="3"/>
      <c r="J274" s="3"/>
      <c r="K274" s="3"/>
      <c r="L274" s="3"/>
      <c r="M274" s="3"/>
      <c r="N274" s="3"/>
      <c r="O274" s="3"/>
      <c r="P274" s="8"/>
      <c r="Q274" s="8"/>
      <c r="R274" s="3"/>
      <c r="S274" s="3"/>
      <c r="T274" s="3"/>
      <c r="U274" s="5" t="str">
        <f t="shared" si="16"/>
        <v/>
      </c>
    </row>
    <row r="275" spans="1:21" ht="28" customHeight="1" x14ac:dyDescent="0.35">
      <c r="A275" s="4">
        <v>8</v>
      </c>
      <c r="B275" s="4" t="s">
        <v>383</v>
      </c>
      <c r="C275" s="4" t="s">
        <v>384</v>
      </c>
      <c r="D275" s="4" t="s">
        <v>385</v>
      </c>
      <c r="E275" s="4" t="s">
        <v>69</v>
      </c>
      <c r="F275" s="4" t="s">
        <v>95</v>
      </c>
      <c r="G275" s="4" t="s">
        <v>96</v>
      </c>
      <c r="H275" s="4" t="s">
        <v>59</v>
      </c>
      <c r="I275" s="3"/>
      <c r="J275" s="3"/>
      <c r="K275" s="3"/>
      <c r="L275" s="3"/>
      <c r="M275" s="3"/>
      <c r="N275" s="3"/>
      <c r="O275" s="3"/>
      <c r="P275" s="8"/>
      <c r="Q275" s="8"/>
      <c r="R275" s="3"/>
      <c r="S275" s="3"/>
      <c r="T275" s="3"/>
      <c r="U275" s="5" t="str">
        <f t="shared" si="16"/>
        <v/>
      </c>
    </row>
    <row r="276" spans="1:21" ht="28" customHeight="1" x14ac:dyDescent="0.35">
      <c r="A276" s="4">
        <v>9</v>
      </c>
      <c r="B276" s="4" t="s">
        <v>97</v>
      </c>
      <c r="C276" s="4" t="s">
        <v>98</v>
      </c>
      <c r="D276" s="4" t="s">
        <v>99</v>
      </c>
      <c r="E276" s="4" t="s">
        <v>69</v>
      </c>
      <c r="F276" s="4" t="s">
        <v>95</v>
      </c>
      <c r="G276" s="4" t="s">
        <v>96</v>
      </c>
      <c r="H276" s="4" t="s">
        <v>59</v>
      </c>
      <c r="I276" s="3"/>
      <c r="J276" s="3"/>
      <c r="K276" s="3"/>
      <c r="L276" s="3"/>
      <c r="M276" s="3"/>
      <c r="N276" s="3"/>
      <c r="O276" s="3"/>
      <c r="P276" s="8"/>
      <c r="Q276" s="8"/>
      <c r="R276" s="3"/>
      <c r="S276" s="3"/>
      <c r="T276" s="3"/>
      <c r="U276" s="5" t="str">
        <f t="shared" si="16"/>
        <v/>
      </c>
    </row>
    <row r="277" spans="1:21" ht="28" customHeight="1" x14ac:dyDescent="0.35">
      <c r="A277" s="4">
        <v>10</v>
      </c>
      <c r="B277" s="4" t="s">
        <v>97</v>
      </c>
      <c r="C277" s="4" t="s">
        <v>100</v>
      </c>
      <c r="D277" s="4" t="s">
        <v>101</v>
      </c>
      <c r="E277" s="4" t="s">
        <v>69</v>
      </c>
      <c r="F277" s="4" t="s">
        <v>95</v>
      </c>
      <c r="G277" s="4" t="s">
        <v>102</v>
      </c>
      <c r="H277" s="4" t="s">
        <v>59</v>
      </c>
      <c r="I277" s="3"/>
      <c r="J277" s="3"/>
      <c r="K277" s="3"/>
      <c r="L277" s="3"/>
      <c r="M277" s="3"/>
      <c r="N277" s="3"/>
      <c r="O277" s="3"/>
      <c r="P277" s="8"/>
      <c r="Q277" s="8"/>
      <c r="R277" s="3"/>
      <c r="S277" s="3"/>
      <c r="T277" s="3"/>
      <c r="U277" s="5" t="str">
        <f t="shared" si="16"/>
        <v/>
      </c>
    </row>
    <row r="278" spans="1:21" ht="28" customHeight="1" x14ac:dyDescent="0.35">
      <c r="A278" s="4">
        <v>11</v>
      </c>
      <c r="B278" s="4" t="s">
        <v>103</v>
      </c>
      <c r="C278" s="4" t="s">
        <v>104</v>
      </c>
      <c r="D278" s="4" t="s">
        <v>105</v>
      </c>
      <c r="E278" s="4" t="s">
        <v>69</v>
      </c>
      <c r="F278" s="4" t="s">
        <v>95</v>
      </c>
      <c r="G278" s="4" t="s">
        <v>96</v>
      </c>
      <c r="H278" s="4" t="s">
        <v>85</v>
      </c>
      <c r="I278" s="3"/>
      <c r="J278" s="3"/>
      <c r="K278" s="3"/>
      <c r="L278" s="3"/>
      <c r="M278" s="3"/>
      <c r="N278" s="3"/>
      <c r="O278" s="3"/>
      <c r="P278" s="8"/>
      <c r="Q278" s="8"/>
      <c r="R278" s="3"/>
      <c r="S278" s="3"/>
      <c r="T278" s="3"/>
      <c r="U278" s="5" t="str">
        <f t="shared" si="16"/>
        <v/>
      </c>
    </row>
    <row r="279" spans="1:21" ht="28" customHeight="1" x14ac:dyDescent="0.35">
      <c r="A279" s="4">
        <v>12</v>
      </c>
      <c r="B279" s="4" t="s">
        <v>106</v>
      </c>
      <c r="C279" s="4" t="s">
        <v>107</v>
      </c>
      <c r="D279" s="4" t="s">
        <v>108</v>
      </c>
      <c r="E279" s="4" t="s">
        <v>109</v>
      </c>
      <c r="F279" s="4" t="s">
        <v>95</v>
      </c>
      <c r="G279" s="4" t="s">
        <v>96</v>
      </c>
      <c r="H279" s="4" t="s">
        <v>59</v>
      </c>
      <c r="I279" s="3"/>
      <c r="J279" s="3"/>
      <c r="K279" s="3"/>
      <c r="L279" s="3"/>
      <c r="M279" s="3"/>
      <c r="N279" s="3"/>
      <c r="O279" s="3"/>
      <c r="P279" s="8"/>
      <c r="Q279" s="8"/>
      <c r="R279" s="3"/>
      <c r="S279" s="3"/>
      <c r="T279" s="3"/>
      <c r="U279" s="5" t="str">
        <f t="shared" si="16"/>
        <v/>
      </c>
    </row>
    <row r="281" spans="1:21" ht="28" customHeight="1" x14ac:dyDescent="0.35">
      <c r="A281" s="9" t="s">
        <v>110</v>
      </c>
      <c r="B281" s="16"/>
      <c r="C281" s="17"/>
      <c r="D281" s="17"/>
      <c r="E281" s="17"/>
      <c r="F281" s="17"/>
      <c r="G281" s="17"/>
      <c r="H281" s="17"/>
      <c r="I281" s="17"/>
      <c r="J281" s="17"/>
      <c r="K281" s="17"/>
      <c r="L281" s="17"/>
      <c r="M281" s="17"/>
      <c r="N281" s="17"/>
      <c r="O281" s="17"/>
      <c r="P281" s="17"/>
      <c r="Q281" s="17"/>
      <c r="R281" s="17"/>
      <c r="S281" s="17"/>
      <c r="T281" s="17"/>
      <c r="U281" s="18"/>
    </row>
    <row r="282" spans="1:21" ht="28" customHeight="1" x14ac:dyDescent="0.35">
      <c r="A282" s="19" t="s">
        <v>398</v>
      </c>
      <c r="B282" s="20"/>
      <c r="C282" s="20"/>
      <c r="D282" s="20"/>
      <c r="E282" s="20"/>
      <c r="F282" s="20"/>
      <c r="G282" s="20"/>
      <c r="H282" s="20"/>
      <c r="I282" s="20"/>
      <c r="J282" s="20"/>
      <c r="K282" s="20"/>
      <c r="L282" s="20"/>
      <c r="M282" s="20"/>
      <c r="N282" s="20"/>
      <c r="O282" s="20"/>
      <c r="P282" s="20"/>
      <c r="Q282" s="20"/>
      <c r="R282" s="20"/>
      <c r="S282" s="20"/>
      <c r="T282" s="20"/>
      <c r="U282" s="21"/>
    </row>
    <row r="283" spans="1:21" ht="28" customHeight="1" x14ac:dyDescent="0.35">
      <c r="A283" s="4" t="s">
        <v>31</v>
      </c>
      <c r="B283" s="3" t="s">
        <v>230</v>
      </c>
      <c r="C283" s="4" t="s">
        <v>32</v>
      </c>
      <c r="D283" s="3"/>
      <c r="E283" s="4" t="s">
        <v>33</v>
      </c>
      <c r="F283" s="8"/>
    </row>
    <row r="284" spans="1:21" ht="28" customHeight="1" x14ac:dyDescent="0.35">
      <c r="A284" s="1" t="s">
        <v>34</v>
      </c>
      <c r="B284" s="1" t="s">
        <v>35</v>
      </c>
      <c r="C284" s="1" t="s">
        <v>36</v>
      </c>
      <c r="D284" s="1" t="s">
        <v>37</v>
      </c>
      <c r="E284" s="1" t="s">
        <v>38</v>
      </c>
      <c r="F284" s="1" t="s">
        <v>39</v>
      </c>
      <c r="G284" s="1" t="s">
        <v>40</v>
      </c>
      <c r="H284" s="1" t="s">
        <v>41</v>
      </c>
      <c r="I284" s="1" t="s">
        <v>42</v>
      </c>
      <c r="J284" s="1" t="s">
        <v>43</v>
      </c>
      <c r="K284" s="1" t="s">
        <v>44</v>
      </c>
      <c r="L284" s="1" t="s">
        <v>45</v>
      </c>
      <c r="M284" s="1" t="s">
        <v>46</v>
      </c>
      <c r="N284" s="1" t="s">
        <v>47</v>
      </c>
      <c r="O284" s="1" t="s">
        <v>48</v>
      </c>
      <c r="P284" s="1" t="s">
        <v>4</v>
      </c>
      <c r="Q284" s="1" t="s">
        <v>49</v>
      </c>
      <c r="R284" s="1" t="s">
        <v>50</v>
      </c>
      <c r="S284" s="1" t="s">
        <v>51</v>
      </c>
      <c r="T284" s="1" t="s">
        <v>52</v>
      </c>
      <c r="U284" s="1" t="s">
        <v>10</v>
      </c>
    </row>
    <row r="285" spans="1:21" ht="28" customHeight="1" x14ac:dyDescent="0.35">
      <c r="A285" s="4">
        <v>1</v>
      </c>
      <c r="B285" s="4" t="s">
        <v>97</v>
      </c>
      <c r="C285" s="4" t="s">
        <v>362</v>
      </c>
      <c r="D285" s="4" t="s">
        <v>363</v>
      </c>
      <c r="E285" s="4" t="s">
        <v>69</v>
      </c>
      <c r="F285" s="4" t="s">
        <v>364</v>
      </c>
      <c r="G285" s="4" t="s">
        <v>199</v>
      </c>
      <c r="H285" s="4" t="s">
        <v>76</v>
      </c>
      <c r="I285" s="3"/>
      <c r="J285" s="3"/>
      <c r="K285" s="3"/>
      <c r="L285" s="3"/>
      <c r="M285" s="3"/>
      <c r="N285" s="3"/>
      <c r="O285" s="3"/>
      <c r="P285" s="8"/>
      <c r="Q285" s="8"/>
      <c r="R285" s="3"/>
      <c r="S285" s="3"/>
      <c r="T285" s="3"/>
      <c r="U285" s="5" t="str">
        <f t="shared" ref="U285:U296" si="17">IF(I285="","",IF(I285="NA","Grey",IF(I285=2,"Green",IF(I285=1,"Amber","Red"))))</f>
        <v/>
      </c>
    </row>
    <row r="286" spans="1:21" ht="28" customHeight="1" x14ac:dyDescent="0.35">
      <c r="A286" s="4">
        <v>2</v>
      </c>
      <c r="B286" s="4" t="s">
        <v>365</v>
      </c>
      <c r="C286" s="4" t="s">
        <v>366</v>
      </c>
      <c r="D286" s="4" t="s">
        <v>367</v>
      </c>
      <c r="E286" s="4" t="s">
        <v>69</v>
      </c>
      <c r="F286" s="4" t="s">
        <v>276</v>
      </c>
      <c r="G286" s="4" t="s">
        <v>199</v>
      </c>
      <c r="H286" s="4" t="s">
        <v>76</v>
      </c>
      <c r="I286" s="3"/>
      <c r="J286" s="3"/>
      <c r="K286" s="3"/>
      <c r="L286" s="3"/>
      <c r="M286" s="3"/>
      <c r="N286" s="3"/>
      <c r="O286" s="3"/>
      <c r="P286" s="8"/>
      <c r="Q286" s="8"/>
      <c r="R286" s="3"/>
      <c r="S286" s="3"/>
      <c r="T286" s="3"/>
      <c r="U286" s="5" t="str">
        <f t="shared" si="17"/>
        <v/>
      </c>
    </row>
    <row r="287" spans="1:21" ht="28" customHeight="1" x14ac:dyDescent="0.35">
      <c r="A287" s="4">
        <v>3</v>
      </c>
      <c r="B287" s="4" t="s">
        <v>365</v>
      </c>
      <c r="C287" s="4" t="s">
        <v>368</v>
      </c>
      <c r="D287" s="4" t="s">
        <v>369</v>
      </c>
      <c r="E287" s="4" t="s">
        <v>69</v>
      </c>
      <c r="F287" s="4" t="s">
        <v>370</v>
      </c>
      <c r="G287" s="4" t="s">
        <v>204</v>
      </c>
      <c r="H287" s="4" t="s">
        <v>76</v>
      </c>
      <c r="I287" s="3"/>
      <c r="J287" s="3"/>
      <c r="K287" s="3"/>
      <c r="L287" s="3"/>
      <c r="M287" s="3"/>
      <c r="N287" s="3"/>
      <c r="O287" s="3"/>
      <c r="P287" s="8"/>
      <c r="Q287" s="8"/>
      <c r="R287" s="3"/>
      <c r="S287" s="3"/>
      <c r="T287" s="3"/>
      <c r="U287" s="5" t="str">
        <f t="shared" si="17"/>
        <v/>
      </c>
    </row>
    <row r="288" spans="1:21" ht="28" customHeight="1" x14ac:dyDescent="0.35">
      <c r="A288" s="4">
        <v>4</v>
      </c>
      <c r="B288" s="4" t="s">
        <v>371</v>
      </c>
      <c r="C288" s="4" t="s">
        <v>372</v>
      </c>
      <c r="D288" s="4" t="s">
        <v>373</v>
      </c>
      <c r="E288" s="4" t="s">
        <v>69</v>
      </c>
      <c r="F288" s="4" t="s">
        <v>295</v>
      </c>
      <c r="G288" s="4" t="s">
        <v>199</v>
      </c>
      <c r="H288" s="4" t="s">
        <v>59</v>
      </c>
      <c r="I288" s="3"/>
      <c r="J288" s="3"/>
      <c r="K288" s="3"/>
      <c r="L288" s="3"/>
      <c r="M288" s="3"/>
      <c r="N288" s="3"/>
      <c r="O288" s="3"/>
      <c r="P288" s="8"/>
      <c r="Q288" s="8"/>
      <c r="R288" s="3"/>
      <c r="S288" s="3"/>
      <c r="T288" s="3"/>
      <c r="U288" s="5" t="str">
        <f t="shared" si="17"/>
        <v/>
      </c>
    </row>
    <row r="289" spans="1:21" ht="28" customHeight="1" x14ac:dyDescent="0.35">
      <c r="A289" s="4">
        <v>5</v>
      </c>
      <c r="B289" s="4" t="s">
        <v>374</v>
      </c>
      <c r="C289" s="4" t="s">
        <v>375</v>
      </c>
      <c r="D289" s="4" t="s">
        <v>376</v>
      </c>
      <c r="E289" s="4" t="s">
        <v>69</v>
      </c>
      <c r="F289" s="4" t="s">
        <v>276</v>
      </c>
      <c r="G289" s="4" t="s">
        <v>199</v>
      </c>
      <c r="H289" s="4" t="s">
        <v>59</v>
      </c>
      <c r="I289" s="3"/>
      <c r="J289" s="3"/>
      <c r="K289" s="3"/>
      <c r="L289" s="3"/>
      <c r="M289" s="3"/>
      <c r="N289" s="3"/>
      <c r="O289" s="3"/>
      <c r="P289" s="8"/>
      <c r="Q289" s="8"/>
      <c r="R289" s="3"/>
      <c r="S289" s="3"/>
      <c r="T289" s="3"/>
      <c r="U289" s="5" t="str">
        <f t="shared" si="17"/>
        <v/>
      </c>
    </row>
    <row r="290" spans="1:21" ht="28" customHeight="1" x14ac:dyDescent="0.35">
      <c r="A290" s="4">
        <v>6</v>
      </c>
      <c r="B290" s="4" t="s">
        <v>377</v>
      </c>
      <c r="C290" s="4" t="s">
        <v>378</v>
      </c>
      <c r="D290" s="4" t="s">
        <v>379</v>
      </c>
      <c r="E290" s="4" t="s">
        <v>69</v>
      </c>
      <c r="F290" s="4" t="s">
        <v>276</v>
      </c>
      <c r="G290" s="4" t="s">
        <v>199</v>
      </c>
      <c r="H290" s="4" t="s">
        <v>59</v>
      </c>
      <c r="I290" s="3"/>
      <c r="J290" s="3"/>
      <c r="K290" s="3"/>
      <c r="L290" s="3"/>
      <c r="M290" s="3"/>
      <c r="N290" s="3"/>
      <c r="O290" s="3"/>
      <c r="P290" s="8"/>
      <c r="Q290" s="8"/>
      <c r="R290" s="3"/>
      <c r="S290" s="3"/>
      <c r="T290" s="3"/>
      <c r="U290" s="5" t="str">
        <f t="shared" si="17"/>
        <v/>
      </c>
    </row>
    <row r="291" spans="1:21" ht="28" customHeight="1" x14ac:dyDescent="0.35">
      <c r="A291" s="4">
        <v>7</v>
      </c>
      <c r="B291" s="4" t="s">
        <v>380</v>
      </c>
      <c r="C291" s="4" t="s">
        <v>381</v>
      </c>
      <c r="D291" s="4" t="s">
        <v>382</v>
      </c>
      <c r="E291" s="4" t="s">
        <v>69</v>
      </c>
      <c r="F291" s="4" t="s">
        <v>276</v>
      </c>
      <c r="G291" s="4" t="s">
        <v>199</v>
      </c>
      <c r="H291" s="4" t="s">
        <v>59</v>
      </c>
      <c r="I291" s="3"/>
      <c r="J291" s="3"/>
      <c r="K291" s="3"/>
      <c r="L291" s="3"/>
      <c r="M291" s="3"/>
      <c r="N291" s="3"/>
      <c r="O291" s="3"/>
      <c r="P291" s="8"/>
      <c r="Q291" s="8"/>
      <c r="R291" s="3"/>
      <c r="S291" s="3"/>
      <c r="T291" s="3"/>
      <c r="U291" s="5" t="str">
        <f t="shared" si="17"/>
        <v/>
      </c>
    </row>
    <row r="292" spans="1:21" ht="28" customHeight="1" x14ac:dyDescent="0.35">
      <c r="A292" s="4">
        <v>8</v>
      </c>
      <c r="B292" s="4" t="s">
        <v>383</v>
      </c>
      <c r="C292" s="4" t="s">
        <v>384</v>
      </c>
      <c r="D292" s="4" t="s">
        <v>385</v>
      </c>
      <c r="E292" s="4" t="s">
        <v>69</v>
      </c>
      <c r="F292" s="4" t="s">
        <v>95</v>
      </c>
      <c r="G292" s="4" t="s">
        <v>96</v>
      </c>
      <c r="H292" s="4" t="s">
        <v>59</v>
      </c>
      <c r="I292" s="3"/>
      <c r="J292" s="3"/>
      <c r="K292" s="3"/>
      <c r="L292" s="3"/>
      <c r="M292" s="3"/>
      <c r="N292" s="3"/>
      <c r="O292" s="3"/>
      <c r="P292" s="8"/>
      <c r="Q292" s="8"/>
      <c r="R292" s="3"/>
      <c r="S292" s="3"/>
      <c r="T292" s="3"/>
      <c r="U292" s="5" t="str">
        <f t="shared" si="17"/>
        <v/>
      </c>
    </row>
    <row r="293" spans="1:21" ht="28" customHeight="1" x14ac:dyDescent="0.35">
      <c r="A293" s="4">
        <v>9</v>
      </c>
      <c r="B293" s="4" t="s">
        <v>97</v>
      </c>
      <c r="C293" s="4" t="s">
        <v>98</v>
      </c>
      <c r="D293" s="4" t="s">
        <v>99</v>
      </c>
      <c r="E293" s="4" t="s">
        <v>69</v>
      </c>
      <c r="F293" s="4" t="s">
        <v>95</v>
      </c>
      <c r="G293" s="4" t="s">
        <v>96</v>
      </c>
      <c r="H293" s="4" t="s">
        <v>59</v>
      </c>
      <c r="I293" s="3"/>
      <c r="J293" s="3"/>
      <c r="K293" s="3"/>
      <c r="L293" s="3"/>
      <c r="M293" s="3"/>
      <c r="N293" s="3"/>
      <c r="O293" s="3"/>
      <c r="P293" s="8"/>
      <c r="Q293" s="8"/>
      <c r="R293" s="3"/>
      <c r="S293" s="3"/>
      <c r="T293" s="3"/>
      <c r="U293" s="5" t="str">
        <f t="shared" si="17"/>
        <v/>
      </c>
    </row>
    <row r="294" spans="1:21" ht="28" customHeight="1" x14ac:dyDescent="0.35">
      <c r="A294" s="4">
        <v>10</v>
      </c>
      <c r="B294" s="4" t="s">
        <v>97</v>
      </c>
      <c r="C294" s="4" t="s">
        <v>100</v>
      </c>
      <c r="D294" s="4" t="s">
        <v>101</v>
      </c>
      <c r="E294" s="4" t="s">
        <v>69</v>
      </c>
      <c r="F294" s="4" t="s">
        <v>95</v>
      </c>
      <c r="G294" s="4" t="s">
        <v>102</v>
      </c>
      <c r="H294" s="4" t="s">
        <v>59</v>
      </c>
      <c r="I294" s="3"/>
      <c r="J294" s="3"/>
      <c r="K294" s="3"/>
      <c r="L294" s="3"/>
      <c r="M294" s="3"/>
      <c r="N294" s="3"/>
      <c r="O294" s="3"/>
      <c r="P294" s="8"/>
      <c r="Q294" s="8"/>
      <c r="R294" s="3"/>
      <c r="S294" s="3"/>
      <c r="T294" s="3"/>
      <c r="U294" s="5" t="str">
        <f t="shared" si="17"/>
        <v/>
      </c>
    </row>
    <row r="295" spans="1:21" ht="28" customHeight="1" x14ac:dyDescent="0.35">
      <c r="A295" s="4">
        <v>11</v>
      </c>
      <c r="B295" s="4" t="s">
        <v>103</v>
      </c>
      <c r="C295" s="4" t="s">
        <v>104</v>
      </c>
      <c r="D295" s="4" t="s">
        <v>105</v>
      </c>
      <c r="E295" s="4" t="s">
        <v>69</v>
      </c>
      <c r="F295" s="4" t="s">
        <v>95</v>
      </c>
      <c r="G295" s="4" t="s">
        <v>96</v>
      </c>
      <c r="H295" s="4" t="s">
        <v>85</v>
      </c>
      <c r="I295" s="3"/>
      <c r="J295" s="3"/>
      <c r="K295" s="3"/>
      <c r="L295" s="3"/>
      <c r="M295" s="3"/>
      <c r="N295" s="3"/>
      <c r="O295" s="3"/>
      <c r="P295" s="8"/>
      <c r="Q295" s="8"/>
      <c r="R295" s="3"/>
      <c r="S295" s="3"/>
      <c r="T295" s="3"/>
      <c r="U295" s="5" t="str">
        <f t="shared" si="17"/>
        <v/>
      </c>
    </row>
    <row r="296" spans="1:21" ht="28" customHeight="1" x14ac:dyDescent="0.35">
      <c r="A296" s="4">
        <v>12</v>
      </c>
      <c r="B296" s="4" t="s">
        <v>106</v>
      </c>
      <c r="C296" s="4" t="s">
        <v>107</v>
      </c>
      <c r="D296" s="4" t="s">
        <v>108</v>
      </c>
      <c r="E296" s="4" t="s">
        <v>109</v>
      </c>
      <c r="F296" s="4" t="s">
        <v>95</v>
      </c>
      <c r="G296" s="4" t="s">
        <v>96</v>
      </c>
      <c r="H296" s="4" t="s">
        <v>59</v>
      </c>
      <c r="I296" s="3"/>
      <c r="J296" s="3"/>
      <c r="K296" s="3"/>
      <c r="L296" s="3"/>
      <c r="M296" s="3"/>
      <c r="N296" s="3"/>
      <c r="O296" s="3"/>
      <c r="P296" s="8"/>
      <c r="Q296" s="8"/>
      <c r="R296" s="3"/>
      <c r="S296" s="3"/>
      <c r="T296" s="3"/>
      <c r="U296" s="5" t="str">
        <f t="shared" si="17"/>
        <v/>
      </c>
    </row>
    <row r="298" spans="1:21" ht="28" customHeight="1" x14ac:dyDescent="0.35">
      <c r="A298" s="9" t="s">
        <v>110</v>
      </c>
      <c r="B298" s="16"/>
      <c r="C298" s="17"/>
      <c r="D298" s="17"/>
      <c r="E298" s="17"/>
      <c r="F298" s="17"/>
      <c r="G298" s="17"/>
      <c r="H298" s="17"/>
      <c r="I298" s="17"/>
      <c r="J298" s="17"/>
      <c r="K298" s="17"/>
      <c r="L298" s="17"/>
      <c r="M298" s="17"/>
      <c r="N298" s="17"/>
      <c r="O298" s="17"/>
      <c r="P298" s="17"/>
      <c r="Q298" s="17"/>
      <c r="R298" s="17"/>
      <c r="S298" s="17"/>
      <c r="T298" s="17"/>
      <c r="U298" s="18"/>
    </row>
    <row r="299" spans="1:21" ht="28" customHeight="1" x14ac:dyDescent="0.35">
      <c r="A299" s="19" t="s">
        <v>399</v>
      </c>
      <c r="B299" s="20"/>
      <c r="C299" s="20"/>
      <c r="D299" s="20"/>
      <c r="E299" s="20"/>
      <c r="F299" s="20"/>
      <c r="G299" s="20"/>
      <c r="H299" s="20"/>
      <c r="I299" s="20"/>
      <c r="J299" s="20"/>
      <c r="K299" s="20"/>
      <c r="L299" s="20"/>
      <c r="M299" s="20"/>
      <c r="N299" s="20"/>
      <c r="O299" s="20"/>
      <c r="P299" s="20"/>
      <c r="Q299" s="20"/>
      <c r="R299" s="20"/>
      <c r="S299" s="20"/>
      <c r="T299" s="20"/>
      <c r="U299" s="21"/>
    </row>
    <row r="300" spans="1:21" ht="28" customHeight="1" x14ac:dyDescent="0.35">
      <c r="A300" s="4" t="s">
        <v>31</v>
      </c>
      <c r="B300" s="3" t="s">
        <v>231</v>
      </c>
      <c r="C300" s="4" t="s">
        <v>32</v>
      </c>
      <c r="D300" s="3"/>
      <c r="E300" s="4" t="s">
        <v>33</v>
      </c>
      <c r="F300" s="8"/>
    </row>
    <row r="301" spans="1:21" ht="28" customHeight="1" x14ac:dyDescent="0.35">
      <c r="A301" s="1" t="s">
        <v>34</v>
      </c>
      <c r="B301" s="1" t="s">
        <v>35</v>
      </c>
      <c r="C301" s="1" t="s">
        <v>36</v>
      </c>
      <c r="D301" s="1" t="s">
        <v>37</v>
      </c>
      <c r="E301" s="1" t="s">
        <v>38</v>
      </c>
      <c r="F301" s="1" t="s">
        <v>39</v>
      </c>
      <c r="G301" s="1" t="s">
        <v>40</v>
      </c>
      <c r="H301" s="1" t="s">
        <v>41</v>
      </c>
      <c r="I301" s="1" t="s">
        <v>42</v>
      </c>
      <c r="J301" s="1" t="s">
        <v>43</v>
      </c>
      <c r="K301" s="1" t="s">
        <v>44</v>
      </c>
      <c r="L301" s="1" t="s">
        <v>45</v>
      </c>
      <c r="M301" s="1" t="s">
        <v>46</v>
      </c>
      <c r="N301" s="1" t="s">
        <v>47</v>
      </c>
      <c r="O301" s="1" t="s">
        <v>48</v>
      </c>
      <c r="P301" s="1" t="s">
        <v>4</v>
      </c>
      <c r="Q301" s="1" t="s">
        <v>49</v>
      </c>
      <c r="R301" s="1" t="s">
        <v>50</v>
      </c>
      <c r="S301" s="1" t="s">
        <v>51</v>
      </c>
      <c r="T301" s="1" t="s">
        <v>52</v>
      </c>
      <c r="U301" s="1" t="s">
        <v>10</v>
      </c>
    </row>
    <row r="302" spans="1:21" ht="28" customHeight="1" x14ac:dyDescent="0.35">
      <c r="A302" s="4">
        <v>1</v>
      </c>
      <c r="B302" s="4" t="s">
        <v>97</v>
      </c>
      <c r="C302" s="4" t="s">
        <v>362</v>
      </c>
      <c r="D302" s="4" t="s">
        <v>363</v>
      </c>
      <c r="E302" s="4" t="s">
        <v>69</v>
      </c>
      <c r="F302" s="4" t="s">
        <v>364</v>
      </c>
      <c r="G302" s="4" t="s">
        <v>199</v>
      </c>
      <c r="H302" s="4" t="s">
        <v>76</v>
      </c>
      <c r="I302" s="3"/>
      <c r="J302" s="3"/>
      <c r="K302" s="3"/>
      <c r="L302" s="3"/>
      <c r="M302" s="3"/>
      <c r="N302" s="3"/>
      <c r="O302" s="3"/>
      <c r="P302" s="8"/>
      <c r="Q302" s="8"/>
      <c r="R302" s="3"/>
      <c r="S302" s="3"/>
      <c r="T302" s="3"/>
      <c r="U302" s="5" t="str">
        <f t="shared" ref="U302:U313" si="18">IF(I302="","",IF(I302="NA","Grey",IF(I302=2,"Green",IF(I302=1,"Amber","Red"))))</f>
        <v/>
      </c>
    </row>
    <row r="303" spans="1:21" ht="28" customHeight="1" x14ac:dyDescent="0.35">
      <c r="A303" s="4">
        <v>2</v>
      </c>
      <c r="B303" s="4" t="s">
        <v>365</v>
      </c>
      <c r="C303" s="4" t="s">
        <v>366</v>
      </c>
      <c r="D303" s="4" t="s">
        <v>367</v>
      </c>
      <c r="E303" s="4" t="s">
        <v>69</v>
      </c>
      <c r="F303" s="4" t="s">
        <v>276</v>
      </c>
      <c r="G303" s="4" t="s">
        <v>199</v>
      </c>
      <c r="H303" s="4" t="s">
        <v>76</v>
      </c>
      <c r="I303" s="3"/>
      <c r="J303" s="3"/>
      <c r="K303" s="3"/>
      <c r="L303" s="3"/>
      <c r="M303" s="3"/>
      <c r="N303" s="3"/>
      <c r="O303" s="3"/>
      <c r="P303" s="8"/>
      <c r="Q303" s="8"/>
      <c r="R303" s="3"/>
      <c r="S303" s="3"/>
      <c r="T303" s="3"/>
      <c r="U303" s="5" t="str">
        <f t="shared" si="18"/>
        <v/>
      </c>
    </row>
    <row r="304" spans="1:21" ht="28" customHeight="1" x14ac:dyDescent="0.35">
      <c r="A304" s="4">
        <v>3</v>
      </c>
      <c r="B304" s="4" t="s">
        <v>365</v>
      </c>
      <c r="C304" s="4" t="s">
        <v>368</v>
      </c>
      <c r="D304" s="4" t="s">
        <v>369</v>
      </c>
      <c r="E304" s="4" t="s">
        <v>69</v>
      </c>
      <c r="F304" s="4" t="s">
        <v>370</v>
      </c>
      <c r="G304" s="4" t="s">
        <v>204</v>
      </c>
      <c r="H304" s="4" t="s">
        <v>76</v>
      </c>
      <c r="I304" s="3"/>
      <c r="J304" s="3"/>
      <c r="K304" s="3"/>
      <c r="L304" s="3"/>
      <c r="M304" s="3"/>
      <c r="N304" s="3"/>
      <c r="O304" s="3"/>
      <c r="P304" s="8"/>
      <c r="Q304" s="8"/>
      <c r="R304" s="3"/>
      <c r="S304" s="3"/>
      <c r="T304" s="3"/>
      <c r="U304" s="5" t="str">
        <f t="shared" si="18"/>
        <v/>
      </c>
    </row>
    <row r="305" spans="1:21" ht="28" customHeight="1" x14ac:dyDescent="0.35">
      <c r="A305" s="4">
        <v>4</v>
      </c>
      <c r="B305" s="4" t="s">
        <v>371</v>
      </c>
      <c r="C305" s="4" t="s">
        <v>372</v>
      </c>
      <c r="D305" s="4" t="s">
        <v>373</v>
      </c>
      <c r="E305" s="4" t="s">
        <v>69</v>
      </c>
      <c r="F305" s="4" t="s">
        <v>295</v>
      </c>
      <c r="G305" s="4" t="s">
        <v>199</v>
      </c>
      <c r="H305" s="4" t="s">
        <v>59</v>
      </c>
      <c r="I305" s="3"/>
      <c r="J305" s="3"/>
      <c r="K305" s="3"/>
      <c r="L305" s="3"/>
      <c r="M305" s="3"/>
      <c r="N305" s="3"/>
      <c r="O305" s="3"/>
      <c r="P305" s="8"/>
      <c r="Q305" s="8"/>
      <c r="R305" s="3"/>
      <c r="S305" s="3"/>
      <c r="T305" s="3"/>
      <c r="U305" s="5" t="str">
        <f t="shared" si="18"/>
        <v/>
      </c>
    </row>
    <row r="306" spans="1:21" ht="28" customHeight="1" x14ac:dyDescent="0.35">
      <c r="A306" s="4">
        <v>5</v>
      </c>
      <c r="B306" s="4" t="s">
        <v>374</v>
      </c>
      <c r="C306" s="4" t="s">
        <v>375</v>
      </c>
      <c r="D306" s="4" t="s">
        <v>376</v>
      </c>
      <c r="E306" s="4" t="s">
        <v>69</v>
      </c>
      <c r="F306" s="4" t="s">
        <v>276</v>
      </c>
      <c r="G306" s="4" t="s">
        <v>199</v>
      </c>
      <c r="H306" s="4" t="s">
        <v>59</v>
      </c>
      <c r="I306" s="3"/>
      <c r="J306" s="3"/>
      <c r="K306" s="3"/>
      <c r="L306" s="3"/>
      <c r="M306" s="3"/>
      <c r="N306" s="3"/>
      <c r="O306" s="3"/>
      <c r="P306" s="8"/>
      <c r="Q306" s="8"/>
      <c r="R306" s="3"/>
      <c r="S306" s="3"/>
      <c r="T306" s="3"/>
      <c r="U306" s="5" t="str">
        <f t="shared" si="18"/>
        <v/>
      </c>
    </row>
    <row r="307" spans="1:21" ht="28" customHeight="1" x14ac:dyDescent="0.35">
      <c r="A307" s="4">
        <v>6</v>
      </c>
      <c r="B307" s="4" t="s">
        <v>377</v>
      </c>
      <c r="C307" s="4" t="s">
        <v>378</v>
      </c>
      <c r="D307" s="4" t="s">
        <v>379</v>
      </c>
      <c r="E307" s="4" t="s">
        <v>69</v>
      </c>
      <c r="F307" s="4" t="s">
        <v>276</v>
      </c>
      <c r="G307" s="4" t="s">
        <v>199</v>
      </c>
      <c r="H307" s="4" t="s">
        <v>59</v>
      </c>
      <c r="I307" s="3"/>
      <c r="J307" s="3"/>
      <c r="K307" s="3"/>
      <c r="L307" s="3"/>
      <c r="M307" s="3"/>
      <c r="N307" s="3"/>
      <c r="O307" s="3"/>
      <c r="P307" s="8"/>
      <c r="Q307" s="8"/>
      <c r="R307" s="3"/>
      <c r="S307" s="3"/>
      <c r="T307" s="3"/>
      <c r="U307" s="5" t="str">
        <f t="shared" si="18"/>
        <v/>
      </c>
    </row>
    <row r="308" spans="1:21" ht="28" customHeight="1" x14ac:dyDescent="0.35">
      <c r="A308" s="4">
        <v>7</v>
      </c>
      <c r="B308" s="4" t="s">
        <v>380</v>
      </c>
      <c r="C308" s="4" t="s">
        <v>381</v>
      </c>
      <c r="D308" s="4" t="s">
        <v>382</v>
      </c>
      <c r="E308" s="4" t="s">
        <v>69</v>
      </c>
      <c r="F308" s="4" t="s">
        <v>276</v>
      </c>
      <c r="G308" s="4" t="s">
        <v>199</v>
      </c>
      <c r="H308" s="4" t="s">
        <v>59</v>
      </c>
      <c r="I308" s="3"/>
      <c r="J308" s="3"/>
      <c r="K308" s="3"/>
      <c r="L308" s="3"/>
      <c r="M308" s="3"/>
      <c r="N308" s="3"/>
      <c r="O308" s="3"/>
      <c r="P308" s="8"/>
      <c r="Q308" s="8"/>
      <c r="R308" s="3"/>
      <c r="S308" s="3"/>
      <c r="T308" s="3"/>
      <c r="U308" s="5" t="str">
        <f t="shared" si="18"/>
        <v/>
      </c>
    </row>
    <row r="309" spans="1:21" ht="28" customHeight="1" x14ac:dyDescent="0.35">
      <c r="A309" s="4">
        <v>8</v>
      </c>
      <c r="B309" s="4" t="s">
        <v>383</v>
      </c>
      <c r="C309" s="4" t="s">
        <v>384</v>
      </c>
      <c r="D309" s="4" t="s">
        <v>385</v>
      </c>
      <c r="E309" s="4" t="s">
        <v>69</v>
      </c>
      <c r="F309" s="4" t="s">
        <v>95</v>
      </c>
      <c r="G309" s="4" t="s">
        <v>96</v>
      </c>
      <c r="H309" s="4" t="s">
        <v>59</v>
      </c>
      <c r="I309" s="3"/>
      <c r="J309" s="3"/>
      <c r="K309" s="3"/>
      <c r="L309" s="3"/>
      <c r="M309" s="3"/>
      <c r="N309" s="3"/>
      <c r="O309" s="3"/>
      <c r="P309" s="8"/>
      <c r="Q309" s="8"/>
      <c r="R309" s="3"/>
      <c r="S309" s="3"/>
      <c r="T309" s="3"/>
      <c r="U309" s="5" t="str">
        <f t="shared" si="18"/>
        <v/>
      </c>
    </row>
    <row r="310" spans="1:21" ht="28" customHeight="1" x14ac:dyDescent="0.35">
      <c r="A310" s="4">
        <v>9</v>
      </c>
      <c r="B310" s="4" t="s">
        <v>97</v>
      </c>
      <c r="C310" s="4" t="s">
        <v>98</v>
      </c>
      <c r="D310" s="4" t="s">
        <v>99</v>
      </c>
      <c r="E310" s="4" t="s">
        <v>69</v>
      </c>
      <c r="F310" s="4" t="s">
        <v>95</v>
      </c>
      <c r="G310" s="4" t="s">
        <v>96</v>
      </c>
      <c r="H310" s="4" t="s">
        <v>59</v>
      </c>
      <c r="I310" s="3"/>
      <c r="J310" s="3"/>
      <c r="K310" s="3"/>
      <c r="L310" s="3"/>
      <c r="M310" s="3"/>
      <c r="N310" s="3"/>
      <c r="O310" s="3"/>
      <c r="P310" s="8"/>
      <c r="Q310" s="8"/>
      <c r="R310" s="3"/>
      <c r="S310" s="3"/>
      <c r="T310" s="3"/>
      <c r="U310" s="5" t="str">
        <f t="shared" si="18"/>
        <v/>
      </c>
    </row>
    <row r="311" spans="1:21" ht="28" customHeight="1" x14ac:dyDescent="0.35">
      <c r="A311" s="4">
        <v>10</v>
      </c>
      <c r="B311" s="4" t="s">
        <v>97</v>
      </c>
      <c r="C311" s="4" t="s">
        <v>100</v>
      </c>
      <c r="D311" s="4" t="s">
        <v>101</v>
      </c>
      <c r="E311" s="4" t="s">
        <v>69</v>
      </c>
      <c r="F311" s="4" t="s">
        <v>95</v>
      </c>
      <c r="G311" s="4" t="s">
        <v>102</v>
      </c>
      <c r="H311" s="4" t="s">
        <v>59</v>
      </c>
      <c r="I311" s="3"/>
      <c r="J311" s="3"/>
      <c r="K311" s="3"/>
      <c r="L311" s="3"/>
      <c r="M311" s="3"/>
      <c r="N311" s="3"/>
      <c r="O311" s="3"/>
      <c r="P311" s="8"/>
      <c r="Q311" s="8"/>
      <c r="R311" s="3"/>
      <c r="S311" s="3"/>
      <c r="T311" s="3"/>
      <c r="U311" s="5" t="str">
        <f t="shared" si="18"/>
        <v/>
      </c>
    </row>
    <row r="312" spans="1:21" ht="28" customHeight="1" x14ac:dyDescent="0.35">
      <c r="A312" s="4">
        <v>11</v>
      </c>
      <c r="B312" s="4" t="s">
        <v>103</v>
      </c>
      <c r="C312" s="4" t="s">
        <v>104</v>
      </c>
      <c r="D312" s="4" t="s">
        <v>105</v>
      </c>
      <c r="E312" s="4" t="s">
        <v>69</v>
      </c>
      <c r="F312" s="4" t="s">
        <v>95</v>
      </c>
      <c r="G312" s="4" t="s">
        <v>96</v>
      </c>
      <c r="H312" s="4" t="s">
        <v>85</v>
      </c>
      <c r="I312" s="3"/>
      <c r="J312" s="3"/>
      <c r="K312" s="3"/>
      <c r="L312" s="3"/>
      <c r="M312" s="3"/>
      <c r="N312" s="3"/>
      <c r="O312" s="3"/>
      <c r="P312" s="8"/>
      <c r="Q312" s="8"/>
      <c r="R312" s="3"/>
      <c r="S312" s="3"/>
      <c r="T312" s="3"/>
      <c r="U312" s="5" t="str">
        <f t="shared" si="18"/>
        <v/>
      </c>
    </row>
    <row r="313" spans="1:21" ht="28" customHeight="1" x14ac:dyDescent="0.35">
      <c r="A313" s="4">
        <v>12</v>
      </c>
      <c r="B313" s="4" t="s">
        <v>106</v>
      </c>
      <c r="C313" s="4" t="s">
        <v>107</v>
      </c>
      <c r="D313" s="4" t="s">
        <v>108</v>
      </c>
      <c r="E313" s="4" t="s">
        <v>109</v>
      </c>
      <c r="F313" s="4" t="s">
        <v>95</v>
      </c>
      <c r="G313" s="4" t="s">
        <v>96</v>
      </c>
      <c r="H313" s="4" t="s">
        <v>59</v>
      </c>
      <c r="I313" s="3"/>
      <c r="J313" s="3"/>
      <c r="K313" s="3"/>
      <c r="L313" s="3"/>
      <c r="M313" s="3"/>
      <c r="N313" s="3"/>
      <c r="O313" s="3"/>
      <c r="P313" s="8"/>
      <c r="Q313" s="8"/>
      <c r="R313" s="3"/>
      <c r="S313" s="3"/>
      <c r="T313" s="3"/>
      <c r="U313" s="5" t="str">
        <f t="shared" si="18"/>
        <v/>
      </c>
    </row>
    <row r="315" spans="1:21" ht="28" customHeight="1" x14ac:dyDescent="0.35">
      <c r="A315" s="9" t="s">
        <v>110</v>
      </c>
      <c r="B315" s="16"/>
      <c r="C315" s="17"/>
      <c r="D315" s="17"/>
      <c r="E315" s="17"/>
      <c r="F315" s="17"/>
      <c r="G315" s="17"/>
      <c r="H315" s="17"/>
      <c r="I315" s="17"/>
      <c r="J315" s="17"/>
      <c r="K315" s="17"/>
      <c r="L315" s="17"/>
      <c r="M315" s="17"/>
      <c r="N315" s="17"/>
      <c r="O315" s="17"/>
      <c r="P315" s="17"/>
      <c r="Q315" s="17"/>
      <c r="R315" s="17"/>
      <c r="S315" s="17"/>
      <c r="T315" s="17"/>
      <c r="U315" s="18"/>
    </row>
    <row r="316" spans="1:21" ht="28" customHeight="1" x14ac:dyDescent="0.35">
      <c r="A316" s="19" t="s">
        <v>400</v>
      </c>
      <c r="B316" s="20"/>
      <c r="C316" s="20"/>
      <c r="D316" s="20"/>
      <c r="E316" s="20"/>
      <c r="F316" s="20"/>
      <c r="G316" s="20"/>
      <c r="H316" s="20"/>
      <c r="I316" s="20"/>
      <c r="J316" s="20"/>
      <c r="K316" s="20"/>
      <c r="L316" s="20"/>
      <c r="M316" s="20"/>
      <c r="N316" s="20"/>
      <c r="O316" s="20"/>
      <c r="P316" s="20"/>
      <c r="Q316" s="20"/>
      <c r="R316" s="20"/>
      <c r="S316" s="20"/>
      <c r="T316" s="20"/>
      <c r="U316" s="21"/>
    </row>
    <row r="317" spans="1:21" ht="28" customHeight="1" x14ac:dyDescent="0.35">
      <c r="A317" s="4" t="s">
        <v>31</v>
      </c>
      <c r="B317" s="3" t="s">
        <v>232</v>
      </c>
      <c r="C317" s="4" t="s">
        <v>32</v>
      </c>
      <c r="D317" s="3"/>
      <c r="E317" s="4" t="s">
        <v>33</v>
      </c>
      <c r="F317" s="8"/>
    </row>
    <row r="318" spans="1:21" ht="28" customHeight="1" x14ac:dyDescent="0.35">
      <c r="A318" s="1" t="s">
        <v>34</v>
      </c>
      <c r="B318" s="1" t="s">
        <v>35</v>
      </c>
      <c r="C318" s="1" t="s">
        <v>36</v>
      </c>
      <c r="D318" s="1" t="s">
        <v>37</v>
      </c>
      <c r="E318" s="1" t="s">
        <v>38</v>
      </c>
      <c r="F318" s="1" t="s">
        <v>39</v>
      </c>
      <c r="G318" s="1" t="s">
        <v>40</v>
      </c>
      <c r="H318" s="1" t="s">
        <v>41</v>
      </c>
      <c r="I318" s="1" t="s">
        <v>42</v>
      </c>
      <c r="J318" s="1" t="s">
        <v>43</v>
      </c>
      <c r="K318" s="1" t="s">
        <v>44</v>
      </c>
      <c r="L318" s="1" t="s">
        <v>45</v>
      </c>
      <c r="M318" s="1" t="s">
        <v>46</v>
      </c>
      <c r="N318" s="1" t="s">
        <v>47</v>
      </c>
      <c r="O318" s="1" t="s">
        <v>48</v>
      </c>
      <c r="P318" s="1" t="s">
        <v>4</v>
      </c>
      <c r="Q318" s="1" t="s">
        <v>49</v>
      </c>
      <c r="R318" s="1" t="s">
        <v>50</v>
      </c>
      <c r="S318" s="1" t="s">
        <v>51</v>
      </c>
      <c r="T318" s="1" t="s">
        <v>52</v>
      </c>
      <c r="U318" s="1" t="s">
        <v>10</v>
      </c>
    </row>
    <row r="319" spans="1:21" ht="28" customHeight="1" x14ac:dyDescent="0.35">
      <c r="A319" s="4">
        <v>1</v>
      </c>
      <c r="B319" s="4" t="s">
        <v>97</v>
      </c>
      <c r="C319" s="4" t="s">
        <v>362</v>
      </c>
      <c r="D319" s="4" t="s">
        <v>363</v>
      </c>
      <c r="E319" s="4" t="s">
        <v>69</v>
      </c>
      <c r="F319" s="4" t="s">
        <v>364</v>
      </c>
      <c r="G319" s="4" t="s">
        <v>199</v>
      </c>
      <c r="H319" s="4" t="s">
        <v>76</v>
      </c>
      <c r="I319" s="3"/>
      <c r="J319" s="3"/>
      <c r="K319" s="3"/>
      <c r="L319" s="3"/>
      <c r="M319" s="3"/>
      <c r="N319" s="3"/>
      <c r="O319" s="3"/>
      <c r="P319" s="8"/>
      <c r="Q319" s="8"/>
      <c r="R319" s="3"/>
      <c r="S319" s="3"/>
      <c r="T319" s="3"/>
      <c r="U319" s="5" t="str">
        <f t="shared" ref="U319:U330" si="19">IF(I319="","",IF(I319="NA","Grey",IF(I319=2,"Green",IF(I319=1,"Amber","Red"))))</f>
        <v/>
      </c>
    </row>
    <row r="320" spans="1:21" ht="28" customHeight="1" x14ac:dyDescent="0.35">
      <c r="A320" s="4">
        <v>2</v>
      </c>
      <c r="B320" s="4" t="s">
        <v>365</v>
      </c>
      <c r="C320" s="4" t="s">
        <v>366</v>
      </c>
      <c r="D320" s="4" t="s">
        <v>367</v>
      </c>
      <c r="E320" s="4" t="s">
        <v>69</v>
      </c>
      <c r="F320" s="4" t="s">
        <v>276</v>
      </c>
      <c r="G320" s="4" t="s">
        <v>199</v>
      </c>
      <c r="H320" s="4" t="s">
        <v>76</v>
      </c>
      <c r="I320" s="3"/>
      <c r="J320" s="3"/>
      <c r="K320" s="3"/>
      <c r="L320" s="3"/>
      <c r="M320" s="3"/>
      <c r="N320" s="3"/>
      <c r="O320" s="3"/>
      <c r="P320" s="8"/>
      <c r="Q320" s="8"/>
      <c r="R320" s="3"/>
      <c r="S320" s="3"/>
      <c r="T320" s="3"/>
      <c r="U320" s="5" t="str">
        <f t="shared" si="19"/>
        <v/>
      </c>
    </row>
    <row r="321" spans="1:21" ht="28" customHeight="1" x14ac:dyDescent="0.35">
      <c r="A321" s="4">
        <v>3</v>
      </c>
      <c r="B321" s="4" t="s">
        <v>365</v>
      </c>
      <c r="C321" s="4" t="s">
        <v>368</v>
      </c>
      <c r="D321" s="4" t="s">
        <v>369</v>
      </c>
      <c r="E321" s="4" t="s">
        <v>69</v>
      </c>
      <c r="F321" s="4" t="s">
        <v>370</v>
      </c>
      <c r="G321" s="4" t="s">
        <v>204</v>
      </c>
      <c r="H321" s="4" t="s">
        <v>76</v>
      </c>
      <c r="I321" s="3"/>
      <c r="J321" s="3"/>
      <c r="K321" s="3"/>
      <c r="L321" s="3"/>
      <c r="M321" s="3"/>
      <c r="N321" s="3"/>
      <c r="O321" s="3"/>
      <c r="P321" s="8"/>
      <c r="Q321" s="8"/>
      <c r="R321" s="3"/>
      <c r="S321" s="3"/>
      <c r="T321" s="3"/>
      <c r="U321" s="5" t="str">
        <f t="shared" si="19"/>
        <v/>
      </c>
    </row>
    <row r="322" spans="1:21" ht="28" customHeight="1" x14ac:dyDescent="0.35">
      <c r="A322" s="4">
        <v>4</v>
      </c>
      <c r="B322" s="4" t="s">
        <v>371</v>
      </c>
      <c r="C322" s="4" t="s">
        <v>372</v>
      </c>
      <c r="D322" s="4" t="s">
        <v>373</v>
      </c>
      <c r="E322" s="4" t="s">
        <v>69</v>
      </c>
      <c r="F322" s="4" t="s">
        <v>295</v>
      </c>
      <c r="G322" s="4" t="s">
        <v>199</v>
      </c>
      <c r="H322" s="4" t="s">
        <v>59</v>
      </c>
      <c r="I322" s="3"/>
      <c r="J322" s="3"/>
      <c r="K322" s="3"/>
      <c r="L322" s="3"/>
      <c r="M322" s="3"/>
      <c r="N322" s="3"/>
      <c r="O322" s="3"/>
      <c r="P322" s="8"/>
      <c r="Q322" s="8"/>
      <c r="R322" s="3"/>
      <c r="S322" s="3"/>
      <c r="T322" s="3"/>
      <c r="U322" s="5" t="str">
        <f t="shared" si="19"/>
        <v/>
      </c>
    </row>
    <row r="323" spans="1:21" ht="28" customHeight="1" x14ac:dyDescent="0.35">
      <c r="A323" s="4">
        <v>5</v>
      </c>
      <c r="B323" s="4" t="s">
        <v>374</v>
      </c>
      <c r="C323" s="4" t="s">
        <v>375</v>
      </c>
      <c r="D323" s="4" t="s">
        <v>376</v>
      </c>
      <c r="E323" s="4" t="s">
        <v>69</v>
      </c>
      <c r="F323" s="4" t="s">
        <v>276</v>
      </c>
      <c r="G323" s="4" t="s">
        <v>199</v>
      </c>
      <c r="H323" s="4" t="s">
        <v>59</v>
      </c>
      <c r="I323" s="3"/>
      <c r="J323" s="3"/>
      <c r="K323" s="3"/>
      <c r="L323" s="3"/>
      <c r="M323" s="3"/>
      <c r="N323" s="3"/>
      <c r="O323" s="3"/>
      <c r="P323" s="8"/>
      <c r="Q323" s="8"/>
      <c r="R323" s="3"/>
      <c r="S323" s="3"/>
      <c r="T323" s="3"/>
      <c r="U323" s="5" t="str">
        <f t="shared" si="19"/>
        <v/>
      </c>
    </row>
    <row r="324" spans="1:21" ht="28" customHeight="1" x14ac:dyDescent="0.35">
      <c r="A324" s="4">
        <v>6</v>
      </c>
      <c r="B324" s="4" t="s">
        <v>377</v>
      </c>
      <c r="C324" s="4" t="s">
        <v>378</v>
      </c>
      <c r="D324" s="4" t="s">
        <v>379</v>
      </c>
      <c r="E324" s="4" t="s">
        <v>69</v>
      </c>
      <c r="F324" s="4" t="s">
        <v>276</v>
      </c>
      <c r="G324" s="4" t="s">
        <v>199</v>
      </c>
      <c r="H324" s="4" t="s">
        <v>59</v>
      </c>
      <c r="I324" s="3"/>
      <c r="J324" s="3"/>
      <c r="K324" s="3"/>
      <c r="L324" s="3"/>
      <c r="M324" s="3"/>
      <c r="N324" s="3"/>
      <c r="O324" s="3"/>
      <c r="P324" s="8"/>
      <c r="Q324" s="8"/>
      <c r="R324" s="3"/>
      <c r="S324" s="3"/>
      <c r="T324" s="3"/>
      <c r="U324" s="5" t="str">
        <f t="shared" si="19"/>
        <v/>
      </c>
    </row>
    <row r="325" spans="1:21" ht="28" customHeight="1" x14ac:dyDescent="0.35">
      <c r="A325" s="4">
        <v>7</v>
      </c>
      <c r="B325" s="4" t="s">
        <v>380</v>
      </c>
      <c r="C325" s="4" t="s">
        <v>381</v>
      </c>
      <c r="D325" s="4" t="s">
        <v>382</v>
      </c>
      <c r="E325" s="4" t="s">
        <v>69</v>
      </c>
      <c r="F325" s="4" t="s">
        <v>276</v>
      </c>
      <c r="G325" s="4" t="s">
        <v>199</v>
      </c>
      <c r="H325" s="4" t="s">
        <v>59</v>
      </c>
      <c r="I325" s="3"/>
      <c r="J325" s="3"/>
      <c r="K325" s="3"/>
      <c r="L325" s="3"/>
      <c r="M325" s="3"/>
      <c r="N325" s="3"/>
      <c r="O325" s="3"/>
      <c r="P325" s="8"/>
      <c r="Q325" s="8"/>
      <c r="R325" s="3"/>
      <c r="S325" s="3"/>
      <c r="T325" s="3"/>
      <c r="U325" s="5" t="str">
        <f t="shared" si="19"/>
        <v/>
      </c>
    </row>
    <row r="326" spans="1:21" ht="28" customHeight="1" x14ac:dyDescent="0.35">
      <c r="A326" s="4">
        <v>8</v>
      </c>
      <c r="B326" s="4" t="s">
        <v>383</v>
      </c>
      <c r="C326" s="4" t="s">
        <v>384</v>
      </c>
      <c r="D326" s="4" t="s">
        <v>385</v>
      </c>
      <c r="E326" s="4" t="s">
        <v>69</v>
      </c>
      <c r="F326" s="4" t="s">
        <v>95</v>
      </c>
      <c r="G326" s="4" t="s">
        <v>96</v>
      </c>
      <c r="H326" s="4" t="s">
        <v>59</v>
      </c>
      <c r="I326" s="3"/>
      <c r="J326" s="3"/>
      <c r="K326" s="3"/>
      <c r="L326" s="3"/>
      <c r="M326" s="3"/>
      <c r="N326" s="3"/>
      <c r="O326" s="3"/>
      <c r="P326" s="8"/>
      <c r="Q326" s="8"/>
      <c r="R326" s="3"/>
      <c r="S326" s="3"/>
      <c r="T326" s="3"/>
      <c r="U326" s="5" t="str">
        <f t="shared" si="19"/>
        <v/>
      </c>
    </row>
    <row r="327" spans="1:21" ht="28" customHeight="1" x14ac:dyDescent="0.35">
      <c r="A327" s="4">
        <v>9</v>
      </c>
      <c r="B327" s="4" t="s">
        <v>97</v>
      </c>
      <c r="C327" s="4" t="s">
        <v>98</v>
      </c>
      <c r="D327" s="4" t="s">
        <v>99</v>
      </c>
      <c r="E327" s="4" t="s">
        <v>69</v>
      </c>
      <c r="F327" s="4" t="s">
        <v>95</v>
      </c>
      <c r="G327" s="4" t="s">
        <v>96</v>
      </c>
      <c r="H327" s="4" t="s">
        <v>59</v>
      </c>
      <c r="I327" s="3"/>
      <c r="J327" s="3"/>
      <c r="K327" s="3"/>
      <c r="L327" s="3"/>
      <c r="M327" s="3"/>
      <c r="N327" s="3"/>
      <c r="O327" s="3"/>
      <c r="P327" s="8"/>
      <c r="Q327" s="8"/>
      <c r="R327" s="3"/>
      <c r="S327" s="3"/>
      <c r="T327" s="3"/>
      <c r="U327" s="5" t="str">
        <f t="shared" si="19"/>
        <v/>
      </c>
    </row>
    <row r="328" spans="1:21" ht="28" customHeight="1" x14ac:dyDescent="0.35">
      <c r="A328" s="4">
        <v>10</v>
      </c>
      <c r="B328" s="4" t="s">
        <v>97</v>
      </c>
      <c r="C328" s="4" t="s">
        <v>100</v>
      </c>
      <c r="D328" s="4" t="s">
        <v>101</v>
      </c>
      <c r="E328" s="4" t="s">
        <v>69</v>
      </c>
      <c r="F328" s="4" t="s">
        <v>95</v>
      </c>
      <c r="G328" s="4" t="s">
        <v>102</v>
      </c>
      <c r="H328" s="4" t="s">
        <v>59</v>
      </c>
      <c r="I328" s="3"/>
      <c r="J328" s="3"/>
      <c r="K328" s="3"/>
      <c r="L328" s="3"/>
      <c r="M328" s="3"/>
      <c r="N328" s="3"/>
      <c r="O328" s="3"/>
      <c r="P328" s="8"/>
      <c r="Q328" s="8"/>
      <c r="R328" s="3"/>
      <c r="S328" s="3"/>
      <c r="T328" s="3"/>
      <c r="U328" s="5" t="str">
        <f t="shared" si="19"/>
        <v/>
      </c>
    </row>
    <row r="329" spans="1:21" ht="28" customHeight="1" x14ac:dyDescent="0.35">
      <c r="A329" s="4">
        <v>11</v>
      </c>
      <c r="B329" s="4" t="s">
        <v>103</v>
      </c>
      <c r="C329" s="4" t="s">
        <v>104</v>
      </c>
      <c r="D329" s="4" t="s">
        <v>105</v>
      </c>
      <c r="E329" s="4" t="s">
        <v>69</v>
      </c>
      <c r="F329" s="4" t="s">
        <v>95</v>
      </c>
      <c r="G329" s="4" t="s">
        <v>96</v>
      </c>
      <c r="H329" s="4" t="s">
        <v>85</v>
      </c>
      <c r="I329" s="3"/>
      <c r="J329" s="3"/>
      <c r="K329" s="3"/>
      <c r="L329" s="3"/>
      <c r="M329" s="3"/>
      <c r="N329" s="3"/>
      <c r="O329" s="3"/>
      <c r="P329" s="8"/>
      <c r="Q329" s="8"/>
      <c r="R329" s="3"/>
      <c r="S329" s="3"/>
      <c r="T329" s="3"/>
      <c r="U329" s="5" t="str">
        <f t="shared" si="19"/>
        <v/>
      </c>
    </row>
    <row r="330" spans="1:21" ht="28" customHeight="1" x14ac:dyDescent="0.35">
      <c r="A330" s="4">
        <v>12</v>
      </c>
      <c r="B330" s="4" t="s">
        <v>106</v>
      </c>
      <c r="C330" s="4" t="s">
        <v>107</v>
      </c>
      <c r="D330" s="4" t="s">
        <v>108</v>
      </c>
      <c r="E330" s="4" t="s">
        <v>109</v>
      </c>
      <c r="F330" s="4" t="s">
        <v>95</v>
      </c>
      <c r="G330" s="4" t="s">
        <v>96</v>
      </c>
      <c r="H330" s="4" t="s">
        <v>59</v>
      </c>
      <c r="I330" s="3"/>
      <c r="J330" s="3"/>
      <c r="K330" s="3"/>
      <c r="L330" s="3"/>
      <c r="M330" s="3"/>
      <c r="N330" s="3"/>
      <c r="O330" s="3"/>
      <c r="P330" s="8"/>
      <c r="Q330" s="8"/>
      <c r="R330" s="3"/>
      <c r="S330" s="3"/>
      <c r="T330" s="3"/>
      <c r="U330" s="5" t="str">
        <f t="shared" si="19"/>
        <v/>
      </c>
    </row>
    <row r="332" spans="1:21" ht="28" customHeight="1" x14ac:dyDescent="0.35">
      <c r="A332" s="9" t="s">
        <v>110</v>
      </c>
      <c r="B332" s="16"/>
      <c r="C332" s="17"/>
      <c r="D332" s="17"/>
      <c r="E332" s="17"/>
      <c r="F332" s="17"/>
      <c r="G332" s="17"/>
      <c r="H332" s="17"/>
      <c r="I332" s="17"/>
      <c r="J332" s="17"/>
      <c r="K332" s="17"/>
      <c r="L332" s="17"/>
      <c r="M332" s="17"/>
      <c r="N332" s="17"/>
      <c r="O332" s="17"/>
      <c r="P332" s="17"/>
      <c r="Q332" s="17"/>
      <c r="R332" s="17"/>
      <c r="S332" s="17"/>
      <c r="T332" s="17"/>
      <c r="U332" s="18"/>
    </row>
    <row r="333" spans="1:21" ht="28" customHeight="1" x14ac:dyDescent="0.35">
      <c r="A333" s="19" t="s">
        <v>401</v>
      </c>
      <c r="B333" s="20"/>
      <c r="C333" s="20"/>
      <c r="D333" s="20"/>
      <c r="E333" s="20"/>
      <c r="F333" s="20"/>
      <c r="G333" s="20"/>
      <c r="H333" s="20"/>
      <c r="I333" s="20"/>
      <c r="J333" s="20"/>
      <c r="K333" s="20"/>
      <c r="L333" s="20"/>
      <c r="M333" s="20"/>
      <c r="N333" s="20"/>
      <c r="O333" s="20"/>
      <c r="P333" s="20"/>
      <c r="Q333" s="20"/>
      <c r="R333" s="20"/>
      <c r="S333" s="20"/>
      <c r="T333" s="20"/>
      <c r="U333" s="21"/>
    </row>
    <row r="334" spans="1:21" ht="28" customHeight="1" x14ac:dyDescent="0.35">
      <c r="A334" s="4" t="s">
        <v>31</v>
      </c>
      <c r="B334" s="3" t="s">
        <v>233</v>
      </c>
      <c r="C334" s="4" t="s">
        <v>32</v>
      </c>
      <c r="D334" s="3"/>
      <c r="E334" s="4" t="s">
        <v>33</v>
      </c>
      <c r="F334" s="8"/>
    </row>
    <row r="335" spans="1:21" ht="28" customHeight="1" x14ac:dyDescent="0.35">
      <c r="A335" s="1" t="s">
        <v>34</v>
      </c>
      <c r="B335" s="1" t="s">
        <v>35</v>
      </c>
      <c r="C335" s="1" t="s">
        <v>36</v>
      </c>
      <c r="D335" s="1" t="s">
        <v>37</v>
      </c>
      <c r="E335" s="1" t="s">
        <v>38</v>
      </c>
      <c r="F335" s="1" t="s">
        <v>39</v>
      </c>
      <c r="G335" s="1" t="s">
        <v>40</v>
      </c>
      <c r="H335" s="1" t="s">
        <v>41</v>
      </c>
      <c r="I335" s="1" t="s">
        <v>42</v>
      </c>
      <c r="J335" s="1" t="s">
        <v>43</v>
      </c>
      <c r="K335" s="1" t="s">
        <v>44</v>
      </c>
      <c r="L335" s="1" t="s">
        <v>45</v>
      </c>
      <c r="M335" s="1" t="s">
        <v>46</v>
      </c>
      <c r="N335" s="1" t="s">
        <v>47</v>
      </c>
      <c r="O335" s="1" t="s">
        <v>48</v>
      </c>
      <c r="P335" s="1" t="s">
        <v>4</v>
      </c>
      <c r="Q335" s="1" t="s">
        <v>49</v>
      </c>
      <c r="R335" s="1" t="s">
        <v>50</v>
      </c>
      <c r="S335" s="1" t="s">
        <v>51</v>
      </c>
      <c r="T335" s="1" t="s">
        <v>52</v>
      </c>
      <c r="U335" s="1" t="s">
        <v>10</v>
      </c>
    </row>
    <row r="336" spans="1:21" ht="28" customHeight="1" x14ac:dyDescent="0.35">
      <c r="A336" s="4">
        <v>1</v>
      </c>
      <c r="B336" s="4" t="s">
        <v>97</v>
      </c>
      <c r="C336" s="4" t="s">
        <v>362</v>
      </c>
      <c r="D336" s="4" t="s">
        <v>363</v>
      </c>
      <c r="E336" s="4" t="s">
        <v>69</v>
      </c>
      <c r="F336" s="4" t="s">
        <v>364</v>
      </c>
      <c r="G336" s="4" t="s">
        <v>199</v>
      </c>
      <c r="H336" s="4" t="s">
        <v>76</v>
      </c>
      <c r="I336" s="3"/>
      <c r="J336" s="3"/>
      <c r="K336" s="3"/>
      <c r="L336" s="3"/>
      <c r="M336" s="3"/>
      <c r="N336" s="3"/>
      <c r="O336" s="3"/>
      <c r="P336" s="8"/>
      <c r="Q336" s="8"/>
      <c r="R336" s="3"/>
      <c r="S336" s="3"/>
      <c r="T336" s="3"/>
      <c r="U336" s="5" t="str">
        <f t="shared" ref="U336:U347" si="20">IF(I336="","",IF(I336="NA","Grey",IF(I336=2,"Green",IF(I336=1,"Amber","Red"))))</f>
        <v/>
      </c>
    </row>
    <row r="337" spans="1:21" ht="28" customHeight="1" x14ac:dyDescent="0.35">
      <c r="A337" s="4">
        <v>2</v>
      </c>
      <c r="B337" s="4" t="s">
        <v>365</v>
      </c>
      <c r="C337" s="4" t="s">
        <v>366</v>
      </c>
      <c r="D337" s="4" t="s">
        <v>367</v>
      </c>
      <c r="E337" s="4" t="s">
        <v>69</v>
      </c>
      <c r="F337" s="4" t="s">
        <v>276</v>
      </c>
      <c r="G337" s="4" t="s">
        <v>199</v>
      </c>
      <c r="H337" s="4" t="s">
        <v>76</v>
      </c>
      <c r="I337" s="3"/>
      <c r="J337" s="3"/>
      <c r="K337" s="3"/>
      <c r="L337" s="3"/>
      <c r="M337" s="3"/>
      <c r="N337" s="3"/>
      <c r="O337" s="3"/>
      <c r="P337" s="8"/>
      <c r="Q337" s="8"/>
      <c r="R337" s="3"/>
      <c r="S337" s="3"/>
      <c r="T337" s="3"/>
      <c r="U337" s="5" t="str">
        <f t="shared" si="20"/>
        <v/>
      </c>
    </row>
    <row r="338" spans="1:21" ht="28" customHeight="1" x14ac:dyDescent="0.35">
      <c r="A338" s="4">
        <v>3</v>
      </c>
      <c r="B338" s="4" t="s">
        <v>365</v>
      </c>
      <c r="C338" s="4" t="s">
        <v>368</v>
      </c>
      <c r="D338" s="4" t="s">
        <v>369</v>
      </c>
      <c r="E338" s="4" t="s">
        <v>69</v>
      </c>
      <c r="F338" s="4" t="s">
        <v>370</v>
      </c>
      <c r="G338" s="4" t="s">
        <v>204</v>
      </c>
      <c r="H338" s="4" t="s">
        <v>76</v>
      </c>
      <c r="I338" s="3"/>
      <c r="J338" s="3"/>
      <c r="K338" s="3"/>
      <c r="L338" s="3"/>
      <c r="M338" s="3"/>
      <c r="N338" s="3"/>
      <c r="O338" s="3"/>
      <c r="P338" s="8"/>
      <c r="Q338" s="8"/>
      <c r="R338" s="3"/>
      <c r="S338" s="3"/>
      <c r="T338" s="3"/>
      <c r="U338" s="5" t="str">
        <f t="shared" si="20"/>
        <v/>
      </c>
    </row>
    <row r="339" spans="1:21" ht="28" customHeight="1" x14ac:dyDescent="0.35">
      <c r="A339" s="4">
        <v>4</v>
      </c>
      <c r="B339" s="4" t="s">
        <v>371</v>
      </c>
      <c r="C339" s="4" t="s">
        <v>372</v>
      </c>
      <c r="D339" s="4" t="s">
        <v>373</v>
      </c>
      <c r="E339" s="4" t="s">
        <v>69</v>
      </c>
      <c r="F339" s="4" t="s">
        <v>295</v>
      </c>
      <c r="G339" s="4" t="s">
        <v>199</v>
      </c>
      <c r="H339" s="4" t="s">
        <v>59</v>
      </c>
      <c r="I339" s="3"/>
      <c r="J339" s="3"/>
      <c r="K339" s="3"/>
      <c r="L339" s="3"/>
      <c r="M339" s="3"/>
      <c r="N339" s="3"/>
      <c r="O339" s="3"/>
      <c r="P339" s="8"/>
      <c r="Q339" s="8"/>
      <c r="R339" s="3"/>
      <c r="S339" s="3"/>
      <c r="T339" s="3"/>
      <c r="U339" s="5" t="str">
        <f t="shared" si="20"/>
        <v/>
      </c>
    </row>
    <row r="340" spans="1:21" ht="28" customHeight="1" x14ac:dyDescent="0.35">
      <c r="A340" s="4">
        <v>5</v>
      </c>
      <c r="B340" s="4" t="s">
        <v>374</v>
      </c>
      <c r="C340" s="4" t="s">
        <v>375</v>
      </c>
      <c r="D340" s="4" t="s">
        <v>376</v>
      </c>
      <c r="E340" s="4" t="s">
        <v>69</v>
      </c>
      <c r="F340" s="4" t="s">
        <v>276</v>
      </c>
      <c r="G340" s="4" t="s">
        <v>199</v>
      </c>
      <c r="H340" s="4" t="s">
        <v>59</v>
      </c>
      <c r="I340" s="3"/>
      <c r="J340" s="3"/>
      <c r="K340" s="3"/>
      <c r="L340" s="3"/>
      <c r="M340" s="3"/>
      <c r="N340" s="3"/>
      <c r="O340" s="3"/>
      <c r="P340" s="8"/>
      <c r="Q340" s="8"/>
      <c r="R340" s="3"/>
      <c r="S340" s="3"/>
      <c r="T340" s="3"/>
      <c r="U340" s="5" t="str">
        <f t="shared" si="20"/>
        <v/>
      </c>
    </row>
    <row r="341" spans="1:21" ht="28" customHeight="1" x14ac:dyDescent="0.35">
      <c r="A341" s="4">
        <v>6</v>
      </c>
      <c r="B341" s="4" t="s">
        <v>377</v>
      </c>
      <c r="C341" s="4" t="s">
        <v>378</v>
      </c>
      <c r="D341" s="4" t="s">
        <v>379</v>
      </c>
      <c r="E341" s="4" t="s">
        <v>69</v>
      </c>
      <c r="F341" s="4" t="s">
        <v>276</v>
      </c>
      <c r="G341" s="4" t="s">
        <v>199</v>
      </c>
      <c r="H341" s="4" t="s">
        <v>59</v>
      </c>
      <c r="I341" s="3"/>
      <c r="J341" s="3"/>
      <c r="K341" s="3"/>
      <c r="L341" s="3"/>
      <c r="M341" s="3"/>
      <c r="N341" s="3"/>
      <c r="O341" s="3"/>
      <c r="P341" s="8"/>
      <c r="Q341" s="8"/>
      <c r="R341" s="3"/>
      <c r="S341" s="3"/>
      <c r="T341" s="3"/>
      <c r="U341" s="5" t="str">
        <f t="shared" si="20"/>
        <v/>
      </c>
    </row>
    <row r="342" spans="1:21" ht="28" customHeight="1" x14ac:dyDescent="0.35">
      <c r="A342" s="4">
        <v>7</v>
      </c>
      <c r="B342" s="4" t="s">
        <v>380</v>
      </c>
      <c r="C342" s="4" t="s">
        <v>381</v>
      </c>
      <c r="D342" s="4" t="s">
        <v>382</v>
      </c>
      <c r="E342" s="4" t="s">
        <v>69</v>
      </c>
      <c r="F342" s="4" t="s">
        <v>276</v>
      </c>
      <c r="G342" s="4" t="s">
        <v>199</v>
      </c>
      <c r="H342" s="4" t="s">
        <v>59</v>
      </c>
      <c r="I342" s="3"/>
      <c r="J342" s="3"/>
      <c r="K342" s="3"/>
      <c r="L342" s="3"/>
      <c r="M342" s="3"/>
      <c r="N342" s="3"/>
      <c r="O342" s="3"/>
      <c r="P342" s="8"/>
      <c r="Q342" s="8"/>
      <c r="R342" s="3"/>
      <c r="S342" s="3"/>
      <c r="T342" s="3"/>
      <c r="U342" s="5" t="str">
        <f t="shared" si="20"/>
        <v/>
      </c>
    </row>
    <row r="343" spans="1:21" ht="28" customHeight="1" x14ac:dyDescent="0.35">
      <c r="A343" s="4">
        <v>8</v>
      </c>
      <c r="B343" s="4" t="s">
        <v>383</v>
      </c>
      <c r="C343" s="4" t="s">
        <v>384</v>
      </c>
      <c r="D343" s="4" t="s">
        <v>385</v>
      </c>
      <c r="E343" s="4" t="s">
        <v>69</v>
      </c>
      <c r="F343" s="4" t="s">
        <v>95</v>
      </c>
      <c r="G343" s="4" t="s">
        <v>96</v>
      </c>
      <c r="H343" s="4" t="s">
        <v>59</v>
      </c>
      <c r="I343" s="3"/>
      <c r="J343" s="3"/>
      <c r="K343" s="3"/>
      <c r="L343" s="3"/>
      <c r="M343" s="3"/>
      <c r="N343" s="3"/>
      <c r="O343" s="3"/>
      <c r="P343" s="8"/>
      <c r="Q343" s="8"/>
      <c r="R343" s="3"/>
      <c r="S343" s="3"/>
      <c r="T343" s="3"/>
      <c r="U343" s="5" t="str">
        <f t="shared" si="20"/>
        <v/>
      </c>
    </row>
    <row r="344" spans="1:21" ht="28" customHeight="1" x14ac:dyDescent="0.35">
      <c r="A344" s="4">
        <v>9</v>
      </c>
      <c r="B344" s="4" t="s">
        <v>97</v>
      </c>
      <c r="C344" s="4" t="s">
        <v>98</v>
      </c>
      <c r="D344" s="4" t="s">
        <v>99</v>
      </c>
      <c r="E344" s="4" t="s">
        <v>69</v>
      </c>
      <c r="F344" s="4" t="s">
        <v>95</v>
      </c>
      <c r="G344" s="4" t="s">
        <v>96</v>
      </c>
      <c r="H344" s="4" t="s">
        <v>59</v>
      </c>
      <c r="I344" s="3"/>
      <c r="J344" s="3"/>
      <c r="K344" s="3"/>
      <c r="L344" s="3"/>
      <c r="M344" s="3"/>
      <c r="N344" s="3"/>
      <c r="O344" s="3"/>
      <c r="P344" s="8"/>
      <c r="Q344" s="8"/>
      <c r="R344" s="3"/>
      <c r="S344" s="3"/>
      <c r="T344" s="3"/>
      <c r="U344" s="5" t="str">
        <f t="shared" si="20"/>
        <v/>
      </c>
    </row>
    <row r="345" spans="1:21" ht="28" customHeight="1" x14ac:dyDescent="0.35">
      <c r="A345" s="4">
        <v>10</v>
      </c>
      <c r="B345" s="4" t="s">
        <v>97</v>
      </c>
      <c r="C345" s="4" t="s">
        <v>100</v>
      </c>
      <c r="D345" s="4" t="s">
        <v>101</v>
      </c>
      <c r="E345" s="4" t="s">
        <v>69</v>
      </c>
      <c r="F345" s="4" t="s">
        <v>95</v>
      </c>
      <c r="G345" s="4" t="s">
        <v>102</v>
      </c>
      <c r="H345" s="4" t="s">
        <v>59</v>
      </c>
      <c r="I345" s="3"/>
      <c r="J345" s="3"/>
      <c r="K345" s="3"/>
      <c r="L345" s="3"/>
      <c r="M345" s="3"/>
      <c r="N345" s="3"/>
      <c r="O345" s="3"/>
      <c r="P345" s="8"/>
      <c r="Q345" s="8"/>
      <c r="R345" s="3"/>
      <c r="S345" s="3"/>
      <c r="T345" s="3"/>
      <c r="U345" s="5" t="str">
        <f t="shared" si="20"/>
        <v/>
      </c>
    </row>
    <row r="346" spans="1:21" ht="28" customHeight="1" x14ac:dyDescent="0.35">
      <c r="A346" s="4">
        <v>11</v>
      </c>
      <c r="B346" s="4" t="s">
        <v>103</v>
      </c>
      <c r="C346" s="4" t="s">
        <v>104</v>
      </c>
      <c r="D346" s="4" t="s">
        <v>105</v>
      </c>
      <c r="E346" s="4" t="s">
        <v>69</v>
      </c>
      <c r="F346" s="4" t="s">
        <v>95</v>
      </c>
      <c r="G346" s="4" t="s">
        <v>96</v>
      </c>
      <c r="H346" s="4" t="s">
        <v>85</v>
      </c>
      <c r="I346" s="3"/>
      <c r="J346" s="3"/>
      <c r="K346" s="3"/>
      <c r="L346" s="3"/>
      <c r="M346" s="3"/>
      <c r="N346" s="3"/>
      <c r="O346" s="3"/>
      <c r="P346" s="8"/>
      <c r="Q346" s="8"/>
      <c r="R346" s="3"/>
      <c r="S346" s="3"/>
      <c r="T346" s="3"/>
      <c r="U346" s="5" t="str">
        <f t="shared" si="20"/>
        <v/>
      </c>
    </row>
    <row r="347" spans="1:21" ht="28" customHeight="1" x14ac:dyDescent="0.35">
      <c r="A347" s="4">
        <v>12</v>
      </c>
      <c r="B347" s="4" t="s">
        <v>106</v>
      </c>
      <c r="C347" s="4" t="s">
        <v>107</v>
      </c>
      <c r="D347" s="4" t="s">
        <v>108</v>
      </c>
      <c r="E347" s="4" t="s">
        <v>109</v>
      </c>
      <c r="F347" s="4" t="s">
        <v>95</v>
      </c>
      <c r="G347" s="4" t="s">
        <v>96</v>
      </c>
      <c r="H347" s="4" t="s">
        <v>59</v>
      </c>
      <c r="I347" s="3"/>
      <c r="J347" s="3"/>
      <c r="K347" s="3"/>
      <c r="L347" s="3"/>
      <c r="M347" s="3"/>
      <c r="N347" s="3"/>
      <c r="O347" s="3"/>
      <c r="P347" s="8"/>
      <c r="Q347" s="8"/>
      <c r="R347" s="3"/>
      <c r="S347" s="3"/>
      <c r="T347" s="3"/>
      <c r="U347" s="5" t="str">
        <f t="shared" si="20"/>
        <v/>
      </c>
    </row>
    <row r="349" spans="1:21" ht="28" customHeight="1" x14ac:dyDescent="0.35">
      <c r="A349" s="9" t="s">
        <v>110</v>
      </c>
      <c r="B349" s="16"/>
      <c r="C349" s="17"/>
      <c r="D349" s="17"/>
      <c r="E349" s="17"/>
      <c r="F349" s="17"/>
      <c r="G349" s="17"/>
      <c r="H349" s="17"/>
      <c r="I349" s="17"/>
      <c r="J349" s="17"/>
      <c r="K349" s="17"/>
      <c r="L349" s="17"/>
      <c r="M349" s="17"/>
      <c r="N349" s="17"/>
      <c r="O349" s="17"/>
      <c r="P349" s="17"/>
      <c r="Q349" s="17"/>
      <c r="R349" s="17"/>
      <c r="S349" s="17"/>
      <c r="T349" s="17"/>
      <c r="U349" s="18"/>
    </row>
    <row r="350" spans="1:21" ht="28" customHeight="1" x14ac:dyDescent="0.35">
      <c r="A350" s="19" t="s">
        <v>402</v>
      </c>
      <c r="B350" s="20"/>
      <c r="C350" s="20"/>
      <c r="D350" s="20"/>
      <c r="E350" s="20"/>
      <c r="F350" s="20"/>
      <c r="G350" s="20"/>
      <c r="H350" s="20"/>
      <c r="I350" s="20"/>
      <c r="J350" s="20"/>
      <c r="K350" s="20"/>
      <c r="L350" s="20"/>
      <c r="M350" s="20"/>
      <c r="N350" s="20"/>
      <c r="O350" s="20"/>
      <c r="P350" s="20"/>
      <c r="Q350" s="20"/>
      <c r="R350" s="20"/>
      <c r="S350" s="20"/>
      <c r="T350" s="20"/>
      <c r="U350" s="21"/>
    </row>
    <row r="351" spans="1:21" ht="28" customHeight="1" x14ac:dyDescent="0.35">
      <c r="A351" s="4" t="s">
        <v>31</v>
      </c>
      <c r="B351" s="3" t="s">
        <v>234</v>
      </c>
      <c r="C351" s="4" t="s">
        <v>32</v>
      </c>
      <c r="D351" s="3"/>
      <c r="E351" s="4" t="s">
        <v>33</v>
      </c>
      <c r="F351" s="8"/>
    </row>
    <row r="352" spans="1:21" ht="28" customHeight="1" x14ac:dyDescent="0.35">
      <c r="A352" s="1" t="s">
        <v>34</v>
      </c>
      <c r="B352" s="1" t="s">
        <v>35</v>
      </c>
      <c r="C352" s="1" t="s">
        <v>36</v>
      </c>
      <c r="D352" s="1" t="s">
        <v>37</v>
      </c>
      <c r="E352" s="1" t="s">
        <v>38</v>
      </c>
      <c r="F352" s="1" t="s">
        <v>39</v>
      </c>
      <c r="G352" s="1" t="s">
        <v>40</v>
      </c>
      <c r="H352" s="1" t="s">
        <v>41</v>
      </c>
      <c r="I352" s="1" t="s">
        <v>42</v>
      </c>
      <c r="J352" s="1" t="s">
        <v>43</v>
      </c>
      <c r="K352" s="1" t="s">
        <v>44</v>
      </c>
      <c r="L352" s="1" t="s">
        <v>45</v>
      </c>
      <c r="M352" s="1" t="s">
        <v>46</v>
      </c>
      <c r="N352" s="1" t="s">
        <v>47</v>
      </c>
      <c r="O352" s="1" t="s">
        <v>48</v>
      </c>
      <c r="P352" s="1" t="s">
        <v>4</v>
      </c>
      <c r="Q352" s="1" t="s">
        <v>49</v>
      </c>
      <c r="R352" s="1" t="s">
        <v>50</v>
      </c>
      <c r="S352" s="1" t="s">
        <v>51</v>
      </c>
      <c r="T352" s="1" t="s">
        <v>52</v>
      </c>
      <c r="U352" s="1" t="s">
        <v>10</v>
      </c>
    </row>
    <row r="353" spans="1:21" ht="28" customHeight="1" x14ac:dyDescent="0.35">
      <c r="A353" s="4">
        <v>1</v>
      </c>
      <c r="B353" s="4" t="s">
        <v>97</v>
      </c>
      <c r="C353" s="4" t="s">
        <v>362</v>
      </c>
      <c r="D353" s="4" t="s">
        <v>363</v>
      </c>
      <c r="E353" s="4" t="s">
        <v>69</v>
      </c>
      <c r="F353" s="4" t="s">
        <v>364</v>
      </c>
      <c r="G353" s="4" t="s">
        <v>199</v>
      </c>
      <c r="H353" s="4" t="s">
        <v>76</v>
      </c>
      <c r="I353" s="3"/>
      <c r="J353" s="3"/>
      <c r="K353" s="3"/>
      <c r="L353" s="3"/>
      <c r="M353" s="3"/>
      <c r="N353" s="3"/>
      <c r="O353" s="3"/>
      <c r="P353" s="8"/>
      <c r="Q353" s="8"/>
      <c r="R353" s="3"/>
      <c r="S353" s="3"/>
      <c r="T353" s="3"/>
      <c r="U353" s="5" t="str">
        <f t="shared" ref="U353:U364" si="21">IF(I353="","",IF(I353="NA","Grey",IF(I353=2,"Green",IF(I353=1,"Amber","Red"))))</f>
        <v/>
      </c>
    </row>
    <row r="354" spans="1:21" ht="28" customHeight="1" x14ac:dyDescent="0.35">
      <c r="A354" s="4">
        <v>2</v>
      </c>
      <c r="B354" s="4" t="s">
        <v>365</v>
      </c>
      <c r="C354" s="4" t="s">
        <v>366</v>
      </c>
      <c r="D354" s="4" t="s">
        <v>367</v>
      </c>
      <c r="E354" s="4" t="s">
        <v>69</v>
      </c>
      <c r="F354" s="4" t="s">
        <v>276</v>
      </c>
      <c r="G354" s="4" t="s">
        <v>199</v>
      </c>
      <c r="H354" s="4" t="s">
        <v>76</v>
      </c>
      <c r="I354" s="3"/>
      <c r="J354" s="3"/>
      <c r="K354" s="3"/>
      <c r="L354" s="3"/>
      <c r="M354" s="3"/>
      <c r="N354" s="3"/>
      <c r="O354" s="3"/>
      <c r="P354" s="8"/>
      <c r="Q354" s="8"/>
      <c r="R354" s="3"/>
      <c r="S354" s="3"/>
      <c r="T354" s="3"/>
      <c r="U354" s="5" t="str">
        <f t="shared" si="21"/>
        <v/>
      </c>
    </row>
    <row r="355" spans="1:21" ht="28" customHeight="1" x14ac:dyDescent="0.35">
      <c r="A355" s="4">
        <v>3</v>
      </c>
      <c r="B355" s="4" t="s">
        <v>365</v>
      </c>
      <c r="C355" s="4" t="s">
        <v>368</v>
      </c>
      <c r="D355" s="4" t="s">
        <v>369</v>
      </c>
      <c r="E355" s="4" t="s">
        <v>69</v>
      </c>
      <c r="F355" s="4" t="s">
        <v>370</v>
      </c>
      <c r="G355" s="4" t="s">
        <v>204</v>
      </c>
      <c r="H355" s="4" t="s">
        <v>76</v>
      </c>
      <c r="I355" s="3"/>
      <c r="J355" s="3"/>
      <c r="K355" s="3"/>
      <c r="L355" s="3"/>
      <c r="M355" s="3"/>
      <c r="N355" s="3"/>
      <c r="O355" s="3"/>
      <c r="P355" s="8"/>
      <c r="Q355" s="8"/>
      <c r="R355" s="3"/>
      <c r="S355" s="3"/>
      <c r="T355" s="3"/>
      <c r="U355" s="5" t="str">
        <f t="shared" si="21"/>
        <v/>
      </c>
    </row>
    <row r="356" spans="1:21" ht="28" customHeight="1" x14ac:dyDescent="0.35">
      <c r="A356" s="4">
        <v>4</v>
      </c>
      <c r="B356" s="4" t="s">
        <v>371</v>
      </c>
      <c r="C356" s="4" t="s">
        <v>372</v>
      </c>
      <c r="D356" s="4" t="s">
        <v>373</v>
      </c>
      <c r="E356" s="4" t="s">
        <v>69</v>
      </c>
      <c r="F356" s="4" t="s">
        <v>295</v>
      </c>
      <c r="G356" s="4" t="s">
        <v>199</v>
      </c>
      <c r="H356" s="4" t="s">
        <v>59</v>
      </c>
      <c r="I356" s="3"/>
      <c r="J356" s="3"/>
      <c r="K356" s="3"/>
      <c r="L356" s="3"/>
      <c r="M356" s="3"/>
      <c r="N356" s="3"/>
      <c r="O356" s="3"/>
      <c r="P356" s="8"/>
      <c r="Q356" s="8"/>
      <c r="R356" s="3"/>
      <c r="S356" s="3"/>
      <c r="T356" s="3"/>
      <c r="U356" s="5" t="str">
        <f t="shared" si="21"/>
        <v/>
      </c>
    </row>
    <row r="357" spans="1:21" ht="28" customHeight="1" x14ac:dyDescent="0.35">
      <c r="A357" s="4">
        <v>5</v>
      </c>
      <c r="B357" s="4" t="s">
        <v>374</v>
      </c>
      <c r="C357" s="4" t="s">
        <v>375</v>
      </c>
      <c r="D357" s="4" t="s">
        <v>376</v>
      </c>
      <c r="E357" s="4" t="s">
        <v>69</v>
      </c>
      <c r="F357" s="4" t="s">
        <v>276</v>
      </c>
      <c r="G357" s="4" t="s">
        <v>199</v>
      </c>
      <c r="H357" s="4" t="s">
        <v>59</v>
      </c>
      <c r="I357" s="3"/>
      <c r="J357" s="3"/>
      <c r="K357" s="3"/>
      <c r="L357" s="3"/>
      <c r="M357" s="3"/>
      <c r="N357" s="3"/>
      <c r="O357" s="3"/>
      <c r="P357" s="8"/>
      <c r="Q357" s="8"/>
      <c r="R357" s="3"/>
      <c r="S357" s="3"/>
      <c r="T357" s="3"/>
      <c r="U357" s="5" t="str">
        <f t="shared" si="21"/>
        <v/>
      </c>
    </row>
    <row r="358" spans="1:21" ht="28" customHeight="1" x14ac:dyDescent="0.35">
      <c r="A358" s="4">
        <v>6</v>
      </c>
      <c r="B358" s="4" t="s">
        <v>377</v>
      </c>
      <c r="C358" s="4" t="s">
        <v>378</v>
      </c>
      <c r="D358" s="4" t="s">
        <v>379</v>
      </c>
      <c r="E358" s="4" t="s">
        <v>69</v>
      </c>
      <c r="F358" s="4" t="s">
        <v>276</v>
      </c>
      <c r="G358" s="4" t="s">
        <v>199</v>
      </c>
      <c r="H358" s="4" t="s">
        <v>59</v>
      </c>
      <c r="I358" s="3"/>
      <c r="J358" s="3"/>
      <c r="K358" s="3"/>
      <c r="L358" s="3"/>
      <c r="M358" s="3"/>
      <c r="N358" s="3"/>
      <c r="O358" s="3"/>
      <c r="P358" s="8"/>
      <c r="Q358" s="8"/>
      <c r="R358" s="3"/>
      <c r="S358" s="3"/>
      <c r="T358" s="3"/>
      <c r="U358" s="5" t="str">
        <f t="shared" si="21"/>
        <v/>
      </c>
    </row>
    <row r="359" spans="1:21" ht="28" customHeight="1" x14ac:dyDescent="0.35">
      <c r="A359" s="4">
        <v>7</v>
      </c>
      <c r="B359" s="4" t="s">
        <v>380</v>
      </c>
      <c r="C359" s="4" t="s">
        <v>381</v>
      </c>
      <c r="D359" s="4" t="s">
        <v>382</v>
      </c>
      <c r="E359" s="4" t="s">
        <v>69</v>
      </c>
      <c r="F359" s="4" t="s">
        <v>276</v>
      </c>
      <c r="G359" s="4" t="s">
        <v>199</v>
      </c>
      <c r="H359" s="4" t="s">
        <v>59</v>
      </c>
      <c r="I359" s="3"/>
      <c r="J359" s="3"/>
      <c r="K359" s="3"/>
      <c r="L359" s="3"/>
      <c r="M359" s="3"/>
      <c r="N359" s="3"/>
      <c r="O359" s="3"/>
      <c r="P359" s="8"/>
      <c r="Q359" s="8"/>
      <c r="R359" s="3"/>
      <c r="S359" s="3"/>
      <c r="T359" s="3"/>
      <c r="U359" s="5" t="str">
        <f t="shared" si="21"/>
        <v/>
      </c>
    </row>
    <row r="360" spans="1:21" ht="28" customHeight="1" x14ac:dyDescent="0.35">
      <c r="A360" s="4">
        <v>8</v>
      </c>
      <c r="B360" s="4" t="s">
        <v>383</v>
      </c>
      <c r="C360" s="4" t="s">
        <v>384</v>
      </c>
      <c r="D360" s="4" t="s">
        <v>385</v>
      </c>
      <c r="E360" s="4" t="s">
        <v>69</v>
      </c>
      <c r="F360" s="4" t="s">
        <v>95</v>
      </c>
      <c r="G360" s="4" t="s">
        <v>96</v>
      </c>
      <c r="H360" s="4" t="s">
        <v>59</v>
      </c>
      <c r="I360" s="3"/>
      <c r="J360" s="3"/>
      <c r="K360" s="3"/>
      <c r="L360" s="3"/>
      <c r="M360" s="3"/>
      <c r="N360" s="3"/>
      <c r="O360" s="3"/>
      <c r="P360" s="8"/>
      <c r="Q360" s="8"/>
      <c r="R360" s="3"/>
      <c r="S360" s="3"/>
      <c r="T360" s="3"/>
      <c r="U360" s="5" t="str">
        <f t="shared" si="21"/>
        <v/>
      </c>
    </row>
    <row r="361" spans="1:21" ht="28" customHeight="1" x14ac:dyDescent="0.35">
      <c r="A361" s="4">
        <v>9</v>
      </c>
      <c r="B361" s="4" t="s">
        <v>97</v>
      </c>
      <c r="C361" s="4" t="s">
        <v>98</v>
      </c>
      <c r="D361" s="4" t="s">
        <v>99</v>
      </c>
      <c r="E361" s="4" t="s">
        <v>69</v>
      </c>
      <c r="F361" s="4" t="s">
        <v>95</v>
      </c>
      <c r="G361" s="4" t="s">
        <v>96</v>
      </c>
      <c r="H361" s="4" t="s">
        <v>59</v>
      </c>
      <c r="I361" s="3"/>
      <c r="J361" s="3"/>
      <c r="K361" s="3"/>
      <c r="L361" s="3"/>
      <c r="M361" s="3"/>
      <c r="N361" s="3"/>
      <c r="O361" s="3"/>
      <c r="P361" s="8"/>
      <c r="Q361" s="8"/>
      <c r="R361" s="3"/>
      <c r="S361" s="3"/>
      <c r="T361" s="3"/>
      <c r="U361" s="5" t="str">
        <f t="shared" si="21"/>
        <v/>
      </c>
    </row>
    <row r="362" spans="1:21" ht="28" customHeight="1" x14ac:dyDescent="0.35">
      <c r="A362" s="4">
        <v>10</v>
      </c>
      <c r="B362" s="4" t="s">
        <v>97</v>
      </c>
      <c r="C362" s="4" t="s">
        <v>100</v>
      </c>
      <c r="D362" s="4" t="s">
        <v>101</v>
      </c>
      <c r="E362" s="4" t="s">
        <v>69</v>
      </c>
      <c r="F362" s="4" t="s">
        <v>95</v>
      </c>
      <c r="G362" s="4" t="s">
        <v>102</v>
      </c>
      <c r="H362" s="4" t="s">
        <v>59</v>
      </c>
      <c r="I362" s="3"/>
      <c r="J362" s="3"/>
      <c r="K362" s="3"/>
      <c r="L362" s="3"/>
      <c r="M362" s="3"/>
      <c r="N362" s="3"/>
      <c r="O362" s="3"/>
      <c r="P362" s="8"/>
      <c r="Q362" s="8"/>
      <c r="R362" s="3"/>
      <c r="S362" s="3"/>
      <c r="T362" s="3"/>
      <c r="U362" s="5" t="str">
        <f t="shared" si="21"/>
        <v/>
      </c>
    </row>
    <row r="363" spans="1:21" ht="28" customHeight="1" x14ac:dyDescent="0.35">
      <c r="A363" s="4">
        <v>11</v>
      </c>
      <c r="B363" s="4" t="s">
        <v>103</v>
      </c>
      <c r="C363" s="4" t="s">
        <v>104</v>
      </c>
      <c r="D363" s="4" t="s">
        <v>105</v>
      </c>
      <c r="E363" s="4" t="s">
        <v>69</v>
      </c>
      <c r="F363" s="4" t="s">
        <v>95</v>
      </c>
      <c r="G363" s="4" t="s">
        <v>96</v>
      </c>
      <c r="H363" s="4" t="s">
        <v>85</v>
      </c>
      <c r="I363" s="3"/>
      <c r="J363" s="3"/>
      <c r="K363" s="3"/>
      <c r="L363" s="3"/>
      <c r="M363" s="3"/>
      <c r="N363" s="3"/>
      <c r="O363" s="3"/>
      <c r="P363" s="8"/>
      <c r="Q363" s="8"/>
      <c r="R363" s="3"/>
      <c r="S363" s="3"/>
      <c r="T363" s="3"/>
      <c r="U363" s="5" t="str">
        <f t="shared" si="21"/>
        <v/>
      </c>
    </row>
    <row r="364" spans="1:21" ht="28" customHeight="1" x14ac:dyDescent="0.35">
      <c r="A364" s="4">
        <v>12</v>
      </c>
      <c r="B364" s="4" t="s">
        <v>106</v>
      </c>
      <c r="C364" s="4" t="s">
        <v>107</v>
      </c>
      <c r="D364" s="4" t="s">
        <v>108</v>
      </c>
      <c r="E364" s="4" t="s">
        <v>109</v>
      </c>
      <c r="F364" s="4" t="s">
        <v>95</v>
      </c>
      <c r="G364" s="4" t="s">
        <v>96</v>
      </c>
      <c r="H364" s="4" t="s">
        <v>59</v>
      </c>
      <c r="I364" s="3"/>
      <c r="J364" s="3"/>
      <c r="K364" s="3"/>
      <c r="L364" s="3"/>
      <c r="M364" s="3"/>
      <c r="N364" s="3"/>
      <c r="O364" s="3"/>
      <c r="P364" s="8"/>
      <c r="Q364" s="8"/>
      <c r="R364" s="3"/>
      <c r="S364" s="3"/>
      <c r="T364" s="3"/>
      <c r="U364" s="5" t="str">
        <f t="shared" si="21"/>
        <v/>
      </c>
    </row>
    <row r="366" spans="1:21" ht="28" customHeight="1" x14ac:dyDescent="0.35">
      <c r="A366" s="9" t="s">
        <v>110</v>
      </c>
      <c r="B366" s="16"/>
      <c r="C366" s="17"/>
      <c r="D366" s="17"/>
      <c r="E366" s="17"/>
      <c r="F366" s="17"/>
      <c r="G366" s="17"/>
      <c r="H366" s="17"/>
      <c r="I366" s="17"/>
      <c r="J366" s="17"/>
      <c r="K366" s="17"/>
      <c r="L366" s="17"/>
      <c r="M366" s="17"/>
      <c r="N366" s="17"/>
      <c r="O366" s="17"/>
      <c r="P366" s="17"/>
      <c r="Q366" s="17"/>
      <c r="R366" s="17"/>
      <c r="S366" s="17"/>
      <c r="T366" s="17"/>
      <c r="U366" s="18"/>
    </row>
    <row r="367" spans="1:21" ht="28" customHeight="1" x14ac:dyDescent="0.35">
      <c r="A367" s="19" t="s">
        <v>403</v>
      </c>
      <c r="B367" s="20"/>
      <c r="C367" s="20"/>
      <c r="D367" s="20"/>
      <c r="E367" s="20"/>
      <c r="F367" s="20"/>
      <c r="G367" s="20"/>
      <c r="H367" s="20"/>
      <c r="I367" s="20"/>
      <c r="J367" s="20"/>
      <c r="K367" s="20"/>
      <c r="L367" s="20"/>
      <c r="M367" s="20"/>
      <c r="N367" s="20"/>
      <c r="O367" s="20"/>
      <c r="P367" s="20"/>
      <c r="Q367" s="20"/>
      <c r="R367" s="20"/>
      <c r="S367" s="20"/>
      <c r="T367" s="20"/>
      <c r="U367" s="21"/>
    </row>
    <row r="368" spans="1:21" ht="28" customHeight="1" x14ac:dyDescent="0.35">
      <c r="A368" s="4" t="s">
        <v>31</v>
      </c>
      <c r="B368" s="3" t="s">
        <v>235</v>
      </c>
      <c r="C368" s="4" t="s">
        <v>32</v>
      </c>
      <c r="D368" s="3"/>
      <c r="E368" s="4" t="s">
        <v>33</v>
      </c>
      <c r="F368" s="8"/>
    </row>
    <row r="369" spans="1:21" ht="28" customHeight="1" x14ac:dyDescent="0.35">
      <c r="A369" s="1" t="s">
        <v>34</v>
      </c>
      <c r="B369" s="1" t="s">
        <v>35</v>
      </c>
      <c r="C369" s="1" t="s">
        <v>36</v>
      </c>
      <c r="D369" s="1" t="s">
        <v>37</v>
      </c>
      <c r="E369" s="1" t="s">
        <v>38</v>
      </c>
      <c r="F369" s="1" t="s">
        <v>39</v>
      </c>
      <c r="G369" s="1" t="s">
        <v>40</v>
      </c>
      <c r="H369" s="1" t="s">
        <v>41</v>
      </c>
      <c r="I369" s="1" t="s">
        <v>42</v>
      </c>
      <c r="J369" s="1" t="s">
        <v>43</v>
      </c>
      <c r="K369" s="1" t="s">
        <v>44</v>
      </c>
      <c r="L369" s="1" t="s">
        <v>45</v>
      </c>
      <c r="M369" s="1" t="s">
        <v>46</v>
      </c>
      <c r="N369" s="1" t="s">
        <v>47</v>
      </c>
      <c r="O369" s="1" t="s">
        <v>48</v>
      </c>
      <c r="P369" s="1" t="s">
        <v>4</v>
      </c>
      <c r="Q369" s="1" t="s">
        <v>49</v>
      </c>
      <c r="R369" s="1" t="s">
        <v>50</v>
      </c>
      <c r="S369" s="1" t="s">
        <v>51</v>
      </c>
      <c r="T369" s="1" t="s">
        <v>52</v>
      </c>
      <c r="U369" s="1" t="s">
        <v>10</v>
      </c>
    </row>
    <row r="370" spans="1:21" ht="28" customHeight="1" x14ac:dyDescent="0.35">
      <c r="A370" s="4">
        <v>1</v>
      </c>
      <c r="B370" s="4" t="s">
        <v>97</v>
      </c>
      <c r="C370" s="4" t="s">
        <v>362</v>
      </c>
      <c r="D370" s="4" t="s">
        <v>363</v>
      </c>
      <c r="E370" s="4" t="s">
        <v>69</v>
      </c>
      <c r="F370" s="4" t="s">
        <v>364</v>
      </c>
      <c r="G370" s="4" t="s">
        <v>199</v>
      </c>
      <c r="H370" s="4" t="s">
        <v>76</v>
      </c>
      <c r="I370" s="3"/>
      <c r="J370" s="3"/>
      <c r="K370" s="3"/>
      <c r="L370" s="3"/>
      <c r="M370" s="3"/>
      <c r="N370" s="3"/>
      <c r="O370" s="3"/>
      <c r="P370" s="8"/>
      <c r="Q370" s="8"/>
      <c r="R370" s="3"/>
      <c r="S370" s="3"/>
      <c r="T370" s="3"/>
      <c r="U370" s="5" t="str">
        <f t="shared" ref="U370:U381" si="22">IF(I370="","",IF(I370="NA","Grey",IF(I370=2,"Green",IF(I370=1,"Amber","Red"))))</f>
        <v/>
      </c>
    </row>
    <row r="371" spans="1:21" ht="28" customHeight="1" x14ac:dyDescent="0.35">
      <c r="A371" s="4">
        <v>2</v>
      </c>
      <c r="B371" s="4" t="s">
        <v>365</v>
      </c>
      <c r="C371" s="4" t="s">
        <v>366</v>
      </c>
      <c r="D371" s="4" t="s">
        <v>367</v>
      </c>
      <c r="E371" s="4" t="s">
        <v>69</v>
      </c>
      <c r="F371" s="4" t="s">
        <v>276</v>
      </c>
      <c r="G371" s="4" t="s">
        <v>199</v>
      </c>
      <c r="H371" s="4" t="s">
        <v>76</v>
      </c>
      <c r="I371" s="3"/>
      <c r="J371" s="3"/>
      <c r="K371" s="3"/>
      <c r="L371" s="3"/>
      <c r="M371" s="3"/>
      <c r="N371" s="3"/>
      <c r="O371" s="3"/>
      <c r="P371" s="8"/>
      <c r="Q371" s="8"/>
      <c r="R371" s="3"/>
      <c r="S371" s="3"/>
      <c r="T371" s="3"/>
      <c r="U371" s="5" t="str">
        <f t="shared" si="22"/>
        <v/>
      </c>
    </row>
    <row r="372" spans="1:21" ht="28" customHeight="1" x14ac:dyDescent="0.35">
      <c r="A372" s="4">
        <v>3</v>
      </c>
      <c r="B372" s="4" t="s">
        <v>365</v>
      </c>
      <c r="C372" s="4" t="s">
        <v>368</v>
      </c>
      <c r="D372" s="4" t="s">
        <v>369</v>
      </c>
      <c r="E372" s="4" t="s">
        <v>69</v>
      </c>
      <c r="F372" s="4" t="s">
        <v>370</v>
      </c>
      <c r="G372" s="4" t="s">
        <v>204</v>
      </c>
      <c r="H372" s="4" t="s">
        <v>76</v>
      </c>
      <c r="I372" s="3"/>
      <c r="J372" s="3"/>
      <c r="K372" s="3"/>
      <c r="L372" s="3"/>
      <c r="M372" s="3"/>
      <c r="N372" s="3"/>
      <c r="O372" s="3"/>
      <c r="P372" s="8"/>
      <c r="Q372" s="8"/>
      <c r="R372" s="3"/>
      <c r="S372" s="3"/>
      <c r="T372" s="3"/>
      <c r="U372" s="5" t="str">
        <f t="shared" si="22"/>
        <v/>
      </c>
    </row>
    <row r="373" spans="1:21" ht="28" customHeight="1" x14ac:dyDescent="0.35">
      <c r="A373" s="4">
        <v>4</v>
      </c>
      <c r="B373" s="4" t="s">
        <v>371</v>
      </c>
      <c r="C373" s="4" t="s">
        <v>372</v>
      </c>
      <c r="D373" s="4" t="s">
        <v>373</v>
      </c>
      <c r="E373" s="4" t="s">
        <v>69</v>
      </c>
      <c r="F373" s="4" t="s">
        <v>295</v>
      </c>
      <c r="G373" s="4" t="s">
        <v>199</v>
      </c>
      <c r="H373" s="4" t="s">
        <v>59</v>
      </c>
      <c r="I373" s="3"/>
      <c r="J373" s="3"/>
      <c r="K373" s="3"/>
      <c r="L373" s="3"/>
      <c r="M373" s="3"/>
      <c r="N373" s="3"/>
      <c r="O373" s="3"/>
      <c r="P373" s="8"/>
      <c r="Q373" s="8"/>
      <c r="R373" s="3"/>
      <c r="S373" s="3"/>
      <c r="T373" s="3"/>
      <c r="U373" s="5" t="str">
        <f t="shared" si="22"/>
        <v/>
      </c>
    </row>
    <row r="374" spans="1:21" ht="28" customHeight="1" x14ac:dyDescent="0.35">
      <c r="A374" s="4">
        <v>5</v>
      </c>
      <c r="B374" s="4" t="s">
        <v>374</v>
      </c>
      <c r="C374" s="4" t="s">
        <v>375</v>
      </c>
      <c r="D374" s="4" t="s">
        <v>376</v>
      </c>
      <c r="E374" s="4" t="s">
        <v>69</v>
      </c>
      <c r="F374" s="4" t="s">
        <v>276</v>
      </c>
      <c r="G374" s="4" t="s">
        <v>199</v>
      </c>
      <c r="H374" s="4" t="s">
        <v>59</v>
      </c>
      <c r="I374" s="3"/>
      <c r="J374" s="3"/>
      <c r="K374" s="3"/>
      <c r="L374" s="3"/>
      <c r="M374" s="3"/>
      <c r="N374" s="3"/>
      <c r="O374" s="3"/>
      <c r="P374" s="8"/>
      <c r="Q374" s="8"/>
      <c r="R374" s="3"/>
      <c r="S374" s="3"/>
      <c r="T374" s="3"/>
      <c r="U374" s="5" t="str">
        <f t="shared" si="22"/>
        <v/>
      </c>
    </row>
    <row r="375" spans="1:21" ht="28" customHeight="1" x14ac:dyDescent="0.35">
      <c r="A375" s="4">
        <v>6</v>
      </c>
      <c r="B375" s="4" t="s">
        <v>377</v>
      </c>
      <c r="C375" s="4" t="s">
        <v>378</v>
      </c>
      <c r="D375" s="4" t="s">
        <v>379</v>
      </c>
      <c r="E375" s="4" t="s">
        <v>69</v>
      </c>
      <c r="F375" s="4" t="s">
        <v>276</v>
      </c>
      <c r="G375" s="4" t="s">
        <v>199</v>
      </c>
      <c r="H375" s="4" t="s">
        <v>59</v>
      </c>
      <c r="I375" s="3"/>
      <c r="J375" s="3"/>
      <c r="K375" s="3"/>
      <c r="L375" s="3"/>
      <c r="M375" s="3"/>
      <c r="N375" s="3"/>
      <c r="O375" s="3"/>
      <c r="P375" s="8"/>
      <c r="Q375" s="8"/>
      <c r="R375" s="3"/>
      <c r="S375" s="3"/>
      <c r="T375" s="3"/>
      <c r="U375" s="5" t="str">
        <f t="shared" si="22"/>
        <v/>
      </c>
    </row>
    <row r="376" spans="1:21" ht="28" customHeight="1" x14ac:dyDescent="0.35">
      <c r="A376" s="4">
        <v>7</v>
      </c>
      <c r="B376" s="4" t="s">
        <v>380</v>
      </c>
      <c r="C376" s="4" t="s">
        <v>381</v>
      </c>
      <c r="D376" s="4" t="s">
        <v>382</v>
      </c>
      <c r="E376" s="4" t="s">
        <v>69</v>
      </c>
      <c r="F376" s="4" t="s">
        <v>276</v>
      </c>
      <c r="G376" s="4" t="s">
        <v>199</v>
      </c>
      <c r="H376" s="4" t="s">
        <v>59</v>
      </c>
      <c r="I376" s="3"/>
      <c r="J376" s="3"/>
      <c r="K376" s="3"/>
      <c r="L376" s="3"/>
      <c r="M376" s="3"/>
      <c r="N376" s="3"/>
      <c r="O376" s="3"/>
      <c r="P376" s="8"/>
      <c r="Q376" s="8"/>
      <c r="R376" s="3"/>
      <c r="S376" s="3"/>
      <c r="T376" s="3"/>
      <c r="U376" s="5" t="str">
        <f t="shared" si="22"/>
        <v/>
      </c>
    </row>
    <row r="377" spans="1:21" ht="28" customHeight="1" x14ac:dyDescent="0.35">
      <c r="A377" s="4">
        <v>8</v>
      </c>
      <c r="B377" s="4" t="s">
        <v>383</v>
      </c>
      <c r="C377" s="4" t="s">
        <v>384</v>
      </c>
      <c r="D377" s="4" t="s">
        <v>385</v>
      </c>
      <c r="E377" s="4" t="s">
        <v>69</v>
      </c>
      <c r="F377" s="4" t="s">
        <v>95</v>
      </c>
      <c r="G377" s="4" t="s">
        <v>96</v>
      </c>
      <c r="H377" s="4" t="s">
        <v>59</v>
      </c>
      <c r="I377" s="3"/>
      <c r="J377" s="3"/>
      <c r="K377" s="3"/>
      <c r="L377" s="3"/>
      <c r="M377" s="3"/>
      <c r="N377" s="3"/>
      <c r="O377" s="3"/>
      <c r="P377" s="8"/>
      <c r="Q377" s="8"/>
      <c r="R377" s="3"/>
      <c r="S377" s="3"/>
      <c r="T377" s="3"/>
      <c r="U377" s="5" t="str">
        <f t="shared" si="22"/>
        <v/>
      </c>
    </row>
    <row r="378" spans="1:21" ht="28" customHeight="1" x14ac:dyDescent="0.35">
      <c r="A378" s="4">
        <v>9</v>
      </c>
      <c r="B378" s="4" t="s">
        <v>97</v>
      </c>
      <c r="C378" s="4" t="s">
        <v>98</v>
      </c>
      <c r="D378" s="4" t="s">
        <v>99</v>
      </c>
      <c r="E378" s="4" t="s">
        <v>69</v>
      </c>
      <c r="F378" s="4" t="s">
        <v>95</v>
      </c>
      <c r="G378" s="4" t="s">
        <v>96</v>
      </c>
      <c r="H378" s="4" t="s">
        <v>59</v>
      </c>
      <c r="I378" s="3"/>
      <c r="J378" s="3"/>
      <c r="K378" s="3"/>
      <c r="L378" s="3"/>
      <c r="M378" s="3"/>
      <c r="N378" s="3"/>
      <c r="O378" s="3"/>
      <c r="P378" s="8"/>
      <c r="Q378" s="8"/>
      <c r="R378" s="3"/>
      <c r="S378" s="3"/>
      <c r="T378" s="3"/>
      <c r="U378" s="5" t="str">
        <f t="shared" si="22"/>
        <v/>
      </c>
    </row>
    <row r="379" spans="1:21" ht="28" customHeight="1" x14ac:dyDescent="0.35">
      <c r="A379" s="4">
        <v>10</v>
      </c>
      <c r="B379" s="4" t="s">
        <v>97</v>
      </c>
      <c r="C379" s="4" t="s">
        <v>100</v>
      </c>
      <c r="D379" s="4" t="s">
        <v>101</v>
      </c>
      <c r="E379" s="4" t="s">
        <v>69</v>
      </c>
      <c r="F379" s="4" t="s">
        <v>95</v>
      </c>
      <c r="G379" s="4" t="s">
        <v>102</v>
      </c>
      <c r="H379" s="4" t="s">
        <v>59</v>
      </c>
      <c r="I379" s="3"/>
      <c r="J379" s="3"/>
      <c r="K379" s="3"/>
      <c r="L379" s="3"/>
      <c r="M379" s="3"/>
      <c r="N379" s="3"/>
      <c r="O379" s="3"/>
      <c r="P379" s="8"/>
      <c r="Q379" s="8"/>
      <c r="R379" s="3"/>
      <c r="S379" s="3"/>
      <c r="T379" s="3"/>
      <c r="U379" s="5" t="str">
        <f t="shared" si="22"/>
        <v/>
      </c>
    </row>
    <row r="380" spans="1:21" ht="28" customHeight="1" x14ac:dyDescent="0.35">
      <c r="A380" s="4">
        <v>11</v>
      </c>
      <c r="B380" s="4" t="s">
        <v>103</v>
      </c>
      <c r="C380" s="4" t="s">
        <v>104</v>
      </c>
      <c r="D380" s="4" t="s">
        <v>105</v>
      </c>
      <c r="E380" s="4" t="s">
        <v>69</v>
      </c>
      <c r="F380" s="4" t="s">
        <v>95</v>
      </c>
      <c r="G380" s="4" t="s">
        <v>96</v>
      </c>
      <c r="H380" s="4" t="s">
        <v>85</v>
      </c>
      <c r="I380" s="3"/>
      <c r="J380" s="3"/>
      <c r="K380" s="3"/>
      <c r="L380" s="3"/>
      <c r="M380" s="3"/>
      <c r="N380" s="3"/>
      <c r="O380" s="3"/>
      <c r="P380" s="8"/>
      <c r="Q380" s="8"/>
      <c r="R380" s="3"/>
      <c r="S380" s="3"/>
      <c r="T380" s="3"/>
      <c r="U380" s="5" t="str">
        <f t="shared" si="22"/>
        <v/>
      </c>
    </row>
    <row r="381" spans="1:21" ht="28" customHeight="1" x14ac:dyDescent="0.35">
      <c r="A381" s="4">
        <v>12</v>
      </c>
      <c r="B381" s="4" t="s">
        <v>106</v>
      </c>
      <c r="C381" s="4" t="s">
        <v>107</v>
      </c>
      <c r="D381" s="4" t="s">
        <v>108</v>
      </c>
      <c r="E381" s="4" t="s">
        <v>109</v>
      </c>
      <c r="F381" s="4" t="s">
        <v>95</v>
      </c>
      <c r="G381" s="4" t="s">
        <v>96</v>
      </c>
      <c r="H381" s="4" t="s">
        <v>59</v>
      </c>
      <c r="I381" s="3"/>
      <c r="J381" s="3"/>
      <c r="K381" s="3"/>
      <c r="L381" s="3"/>
      <c r="M381" s="3"/>
      <c r="N381" s="3"/>
      <c r="O381" s="3"/>
      <c r="P381" s="8"/>
      <c r="Q381" s="8"/>
      <c r="R381" s="3"/>
      <c r="S381" s="3"/>
      <c r="T381" s="3"/>
      <c r="U381" s="5" t="str">
        <f t="shared" si="22"/>
        <v/>
      </c>
    </row>
    <row r="383" spans="1:21" ht="28" customHeight="1" x14ac:dyDescent="0.35">
      <c r="A383" s="9" t="s">
        <v>110</v>
      </c>
      <c r="B383" s="16"/>
      <c r="C383" s="17"/>
      <c r="D383" s="17"/>
      <c r="E383" s="17"/>
      <c r="F383" s="17"/>
      <c r="G383" s="17"/>
      <c r="H383" s="17"/>
      <c r="I383" s="17"/>
      <c r="J383" s="17"/>
      <c r="K383" s="17"/>
      <c r="L383" s="17"/>
      <c r="M383" s="17"/>
      <c r="N383" s="17"/>
      <c r="O383" s="17"/>
      <c r="P383" s="17"/>
      <c r="Q383" s="17"/>
      <c r="R383" s="17"/>
      <c r="S383" s="17"/>
      <c r="T383" s="17"/>
      <c r="U383" s="18"/>
    </row>
    <row r="384" spans="1:21" ht="28" customHeight="1" x14ac:dyDescent="0.35">
      <c r="A384" s="19" t="s">
        <v>404</v>
      </c>
      <c r="B384" s="20"/>
      <c r="C384" s="20"/>
      <c r="D384" s="20"/>
      <c r="E384" s="20"/>
      <c r="F384" s="20"/>
      <c r="G384" s="20"/>
      <c r="H384" s="20"/>
      <c r="I384" s="20"/>
      <c r="J384" s="20"/>
      <c r="K384" s="20"/>
      <c r="L384" s="20"/>
      <c r="M384" s="20"/>
      <c r="N384" s="20"/>
      <c r="O384" s="20"/>
      <c r="P384" s="20"/>
      <c r="Q384" s="20"/>
      <c r="R384" s="20"/>
      <c r="S384" s="20"/>
      <c r="T384" s="20"/>
      <c r="U384" s="21"/>
    </row>
    <row r="385" spans="1:21" ht="28" customHeight="1" x14ac:dyDescent="0.35">
      <c r="A385" s="4" t="s">
        <v>31</v>
      </c>
      <c r="B385" s="3" t="s">
        <v>236</v>
      </c>
      <c r="C385" s="4" t="s">
        <v>32</v>
      </c>
      <c r="D385" s="3"/>
      <c r="E385" s="4" t="s">
        <v>33</v>
      </c>
      <c r="F385" s="8"/>
    </row>
    <row r="386" spans="1:21" ht="28" customHeight="1" x14ac:dyDescent="0.35">
      <c r="A386" s="1" t="s">
        <v>34</v>
      </c>
      <c r="B386" s="1" t="s">
        <v>35</v>
      </c>
      <c r="C386" s="1" t="s">
        <v>36</v>
      </c>
      <c r="D386" s="1" t="s">
        <v>37</v>
      </c>
      <c r="E386" s="1" t="s">
        <v>38</v>
      </c>
      <c r="F386" s="1" t="s">
        <v>39</v>
      </c>
      <c r="G386" s="1" t="s">
        <v>40</v>
      </c>
      <c r="H386" s="1" t="s">
        <v>41</v>
      </c>
      <c r="I386" s="1" t="s">
        <v>42</v>
      </c>
      <c r="J386" s="1" t="s">
        <v>43</v>
      </c>
      <c r="K386" s="1" t="s">
        <v>44</v>
      </c>
      <c r="L386" s="1" t="s">
        <v>45</v>
      </c>
      <c r="M386" s="1" t="s">
        <v>46</v>
      </c>
      <c r="N386" s="1" t="s">
        <v>47</v>
      </c>
      <c r="O386" s="1" t="s">
        <v>48</v>
      </c>
      <c r="P386" s="1" t="s">
        <v>4</v>
      </c>
      <c r="Q386" s="1" t="s">
        <v>49</v>
      </c>
      <c r="R386" s="1" t="s">
        <v>50</v>
      </c>
      <c r="S386" s="1" t="s">
        <v>51</v>
      </c>
      <c r="T386" s="1" t="s">
        <v>52</v>
      </c>
      <c r="U386" s="1" t="s">
        <v>10</v>
      </c>
    </row>
    <row r="387" spans="1:21" ht="28" customHeight="1" x14ac:dyDescent="0.35">
      <c r="A387" s="4">
        <v>1</v>
      </c>
      <c r="B387" s="4" t="s">
        <v>97</v>
      </c>
      <c r="C387" s="4" t="s">
        <v>362</v>
      </c>
      <c r="D387" s="4" t="s">
        <v>363</v>
      </c>
      <c r="E387" s="4" t="s">
        <v>69</v>
      </c>
      <c r="F387" s="4" t="s">
        <v>364</v>
      </c>
      <c r="G387" s="4" t="s">
        <v>199</v>
      </c>
      <c r="H387" s="4" t="s">
        <v>76</v>
      </c>
      <c r="I387" s="3"/>
      <c r="J387" s="3"/>
      <c r="K387" s="3"/>
      <c r="L387" s="3"/>
      <c r="M387" s="3"/>
      <c r="N387" s="3"/>
      <c r="O387" s="3"/>
      <c r="P387" s="8"/>
      <c r="Q387" s="8"/>
      <c r="R387" s="3"/>
      <c r="S387" s="3"/>
      <c r="T387" s="3"/>
      <c r="U387" s="5" t="str">
        <f t="shared" ref="U387:U398" si="23">IF(I387="","",IF(I387="NA","Grey",IF(I387=2,"Green",IF(I387=1,"Amber","Red"))))</f>
        <v/>
      </c>
    </row>
    <row r="388" spans="1:21" ht="28" customHeight="1" x14ac:dyDescent="0.35">
      <c r="A388" s="4">
        <v>2</v>
      </c>
      <c r="B388" s="4" t="s">
        <v>365</v>
      </c>
      <c r="C388" s="4" t="s">
        <v>366</v>
      </c>
      <c r="D388" s="4" t="s">
        <v>367</v>
      </c>
      <c r="E388" s="4" t="s">
        <v>69</v>
      </c>
      <c r="F388" s="4" t="s">
        <v>276</v>
      </c>
      <c r="G388" s="4" t="s">
        <v>199</v>
      </c>
      <c r="H388" s="4" t="s">
        <v>76</v>
      </c>
      <c r="I388" s="3"/>
      <c r="J388" s="3"/>
      <c r="K388" s="3"/>
      <c r="L388" s="3"/>
      <c r="M388" s="3"/>
      <c r="N388" s="3"/>
      <c r="O388" s="3"/>
      <c r="P388" s="8"/>
      <c r="Q388" s="8"/>
      <c r="R388" s="3"/>
      <c r="S388" s="3"/>
      <c r="T388" s="3"/>
      <c r="U388" s="5" t="str">
        <f t="shared" si="23"/>
        <v/>
      </c>
    </row>
    <row r="389" spans="1:21" ht="28" customHeight="1" x14ac:dyDescent="0.35">
      <c r="A389" s="4">
        <v>3</v>
      </c>
      <c r="B389" s="4" t="s">
        <v>365</v>
      </c>
      <c r="C389" s="4" t="s">
        <v>368</v>
      </c>
      <c r="D389" s="4" t="s">
        <v>369</v>
      </c>
      <c r="E389" s="4" t="s">
        <v>69</v>
      </c>
      <c r="F389" s="4" t="s">
        <v>370</v>
      </c>
      <c r="G389" s="4" t="s">
        <v>204</v>
      </c>
      <c r="H389" s="4" t="s">
        <v>76</v>
      </c>
      <c r="I389" s="3"/>
      <c r="J389" s="3"/>
      <c r="K389" s="3"/>
      <c r="L389" s="3"/>
      <c r="M389" s="3"/>
      <c r="N389" s="3"/>
      <c r="O389" s="3"/>
      <c r="P389" s="8"/>
      <c r="Q389" s="8"/>
      <c r="R389" s="3"/>
      <c r="S389" s="3"/>
      <c r="T389" s="3"/>
      <c r="U389" s="5" t="str">
        <f t="shared" si="23"/>
        <v/>
      </c>
    </row>
    <row r="390" spans="1:21" ht="28" customHeight="1" x14ac:dyDescent="0.35">
      <c r="A390" s="4">
        <v>4</v>
      </c>
      <c r="B390" s="4" t="s">
        <v>371</v>
      </c>
      <c r="C390" s="4" t="s">
        <v>372</v>
      </c>
      <c r="D390" s="4" t="s">
        <v>373</v>
      </c>
      <c r="E390" s="4" t="s">
        <v>69</v>
      </c>
      <c r="F390" s="4" t="s">
        <v>295</v>
      </c>
      <c r="G390" s="4" t="s">
        <v>199</v>
      </c>
      <c r="H390" s="4" t="s">
        <v>59</v>
      </c>
      <c r="I390" s="3"/>
      <c r="J390" s="3"/>
      <c r="K390" s="3"/>
      <c r="L390" s="3"/>
      <c r="M390" s="3"/>
      <c r="N390" s="3"/>
      <c r="O390" s="3"/>
      <c r="P390" s="8"/>
      <c r="Q390" s="8"/>
      <c r="R390" s="3"/>
      <c r="S390" s="3"/>
      <c r="T390" s="3"/>
      <c r="U390" s="5" t="str">
        <f t="shared" si="23"/>
        <v/>
      </c>
    </row>
    <row r="391" spans="1:21" ht="28" customHeight="1" x14ac:dyDescent="0.35">
      <c r="A391" s="4">
        <v>5</v>
      </c>
      <c r="B391" s="4" t="s">
        <v>374</v>
      </c>
      <c r="C391" s="4" t="s">
        <v>375</v>
      </c>
      <c r="D391" s="4" t="s">
        <v>376</v>
      </c>
      <c r="E391" s="4" t="s">
        <v>69</v>
      </c>
      <c r="F391" s="4" t="s">
        <v>276</v>
      </c>
      <c r="G391" s="4" t="s">
        <v>199</v>
      </c>
      <c r="H391" s="4" t="s">
        <v>59</v>
      </c>
      <c r="I391" s="3"/>
      <c r="J391" s="3"/>
      <c r="K391" s="3"/>
      <c r="L391" s="3"/>
      <c r="M391" s="3"/>
      <c r="N391" s="3"/>
      <c r="O391" s="3"/>
      <c r="P391" s="8"/>
      <c r="Q391" s="8"/>
      <c r="R391" s="3"/>
      <c r="S391" s="3"/>
      <c r="T391" s="3"/>
      <c r="U391" s="5" t="str">
        <f t="shared" si="23"/>
        <v/>
      </c>
    </row>
    <row r="392" spans="1:21" ht="28" customHeight="1" x14ac:dyDescent="0.35">
      <c r="A392" s="4">
        <v>6</v>
      </c>
      <c r="B392" s="4" t="s">
        <v>377</v>
      </c>
      <c r="C392" s="4" t="s">
        <v>378</v>
      </c>
      <c r="D392" s="4" t="s">
        <v>379</v>
      </c>
      <c r="E392" s="4" t="s">
        <v>69</v>
      </c>
      <c r="F392" s="4" t="s">
        <v>276</v>
      </c>
      <c r="G392" s="4" t="s">
        <v>199</v>
      </c>
      <c r="H392" s="4" t="s">
        <v>59</v>
      </c>
      <c r="I392" s="3"/>
      <c r="J392" s="3"/>
      <c r="K392" s="3"/>
      <c r="L392" s="3"/>
      <c r="M392" s="3"/>
      <c r="N392" s="3"/>
      <c r="O392" s="3"/>
      <c r="P392" s="8"/>
      <c r="Q392" s="8"/>
      <c r="R392" s="3"/>
      <c r="S392" s="3"/>
      <c r="T392" s="3"/>
      <c r="U392" s="5" t="str">
        <f t="shared" si="23"/>
        <v/>
      </c>
    </row>
    <row r="393" spans="1:21" ht="28" customHeight="1" x14ac:dyDescent="0.35">
      <c r="A393" s="4">
        <v>7</v>
      </c>
      <c r="B393" s="4" t="s">
        <v>380</v>
      </c>
      <c r="C393" s="4" t="s">
        <v>381</v>
      </c>
      <c r="D393" s="4" t="s">
        <v>382</v>
      </c>
      <c r="E393" s="4" t="s">
        <v>69</v>
      </c>
      <c r="F393" s="4" t="s">
        <v>276</v>
      </c>
      <c r="G393" s="4" t="s">
        <v>199</v>
      </c>
      <c r="H393" s="4" t="s">
        <v>59</v>
      </c>
      <c r="I393" s="3"/>
      <c r="J393" s="3"/>
      <c r="K393" s="3"/>
      <c r="L393" s="3"/>
      <c r="M393" s="3"/>
      <c r="N393" s="3"/>
      <c r="O393" s="3"/>
      <c r="P393" s="8"/>
      <c r="Q393" s="8"/>
      <c r="R393" s="3"/>
      <c r="S393" s="3"/>
      <c r="T393" s="3"/>
      <c r="U393" s="5" t="str">
        <f t="shared" si="23"/>
        <v/>
      </c>
    </row>
    <row r="394" spans="1:21" ht="28" customHeight="1" x14ac:dyDescent="0.35">
      <c r="A394" s="4">
        <v>8</v>
      </c>
      <c r="B394" s="4" t="s">
        <v>383</v>
      </c>
      <c r="C394" s="4" t="s">
        <v>384</v>
      </c>
      <c r="D394" s="4" t="s">
        <v>385</v>
      </c>
      <c r="E394" s="4" t="s">
        <v>69</v>
      </c>
      <c r="F394" s="4" t="s">
        <v>95</v>
      </c>
      <c r="G394" s="4" t="s">
        <v>96</v>
      </c>
      <c r="H394" s="4" t="s">
        <v>59</v>
      </c>
      <c r="I394" s="3"/>
      <c r="J394" s="3"/>
      <c r="K394" s="3"/>
      <c r="L394" s="3"/>
      <c r="M394" s="3"/>
      <c r="N394" s="3"/>
      <c r="O394" s="3"/>
      <c r="P394" s="8"/>
      <c r="Q394" s="8"/>
      <c r="R394" s="3"/>
      <c r="S394" s="3"/>
      <c r="T394" s="3"/>
      <c r="U394" s="5" t="str">
        <f t="shared" si="23"/>
        <v/>
      </c>
    </row>
    <row r="395" spans="1:21" ht="28" customHeight="1" x14ac:dyDescent="0.35">
      <c r="A395" s="4">
        <v>9</v>
      </c>
      <c r="B395" s="4" t="s">
        <v>97</v>
      </c>
      <c r="C395" s="4" t="s">
        <v>98</v>
      </c>
      <c r="D395" s="4" t="s">
        <v>99</v>
      </c>
      <c r="E395" s="4" t="s">
        <v>69</v>
      </c>
      <c r="F395" s="4" t="s">
        <v>95</v>
      </c>
      <c r="G395" s="4" t="s">
        <v>96</v>
      </c>
      <c r="H395" s="4" t="s">
        <v>59</v>
      </c>
      <c r="I395" s="3"/>
      <c r="J395" s="3"/>
      <c r="K395" s="3"/>
      <c r="L395" s="3"/>
      <c r="M395" s="3"/>
      <c r="N395" s="3"/>
      <c r="O395" s="3"/>
      <c r="P395" s="8"/>
      <c r="Q395" s="8"/>
      <c r="R395" s="3"/>
      <c r="S395" s="3"/>
      <c r="T395" s="3"/>
      <c r="U395" s="5" t="str">
        <f t="shared" si="23"/>
        <v/>
      </c>
    </row>
    <row r="396" spans="1:21" ht="28" customHeight="1" x14ac:dyDescent="0.35">
      <c r="A396" s="4">
        <v>10</v>
      </c>
      <c r="B396" s="4" t="s">
        <v>97</v>
      </c>
      <c r="C396" s="4" t="s">
        <v>100</v>
      </c>
      <c r="D396" s="4" t="s">
        <v>101</v>
      </c>
      <c r="E396" s="4" t="s">
        <v>69</v>
      </c>
      <c r="F396" s="4" t="s">
        <v>95</v>
      </c>
      <c r="G396" s="4" t="s">
        <v>102</v>
      </c>
      <c r="H396" s="4" t="s">
        <v>59</v>
      </c>
      <c r="I396" s="3"/>
      <c r="J396" s="3"/>
      <c r="K396" s="3"/>
      <c r="L396" s="3"/>
      <c r="M396" s="3"/>
      <c r="N396" s="3"/>
      <c r="O396" s="3"/>
      <c r="P396" s="8"/>
      <c r="Q396" s="8"/>
      <c r="R396" s="3"/>
      <c r="S396" s="3"/>
      <c r="T396" s="3"/>
      <c r="U396" s="5" t="str">
        <f t="shared" si="23"/>
        <v/>
      </c>
    </row>
    <row r="397" spans="1:21" ht="28" customHeight="1" x14ac:dyDescent="0.35">
      <c r="A397" s="4">
        <v>11</v>
      </c>
      <c r="B397" s="4" t="s">
        <v>103</v>
      </c>
      <c r="C397" s="4" t="s">
        <v>104</v>
      </c>
      <c r="D397" s="4" t="s">
        <v>105</v>
      </c>
      <c r="E397" s="4" t="s">
        <v>69</v>
      </c>
      <c r="F397" s="4" t="s">
        <v>95</v>
      </c>
      <c r="G397" s="4" t="s">
        <v>96</v>
      </c>
      <c r="H397" s="4" t="s">
        <v>85</v>
      </c>
      <c r="I397" s="3"/>
      <c r="J397" s="3"/>
      <c r="K397" s="3"/>
      <c r="L397" s="3"/>
      <c r="M397" s="3"/>
      <c r="N397" s="3"/>
      <c r="O397" s="3"/>
      <c r="P397" s="8"/>
      <c r="Q397" s="8"/>
      <c r="R397" s="3"/>
      <c r="S397" s="3"/>
      <c r="T397" s="3"/>
      <c r="U397" s="5" t="str">
        <f t="shared" si="23"/>
        <v/>
      </c>
    </row>
    <row r="398" spans="1:21" ht="28" customHeight="1" x14ac:dyDescent="0.35">
      <c r="A398" s="4">
        <v>12</v>
      </c>
      <c r="B398" s="4" t="s">
        <v>106</v>
      </c>
      <c r="C398" s="4" t="s">
        <v>107</v>
      </c>
      <c r="D398" s="4" t="s">
        <v>108</v>
      </c>
      <c r="E398" s="4" t="s">
        <v>109</v>
      </c>
      <c r="F398" s="4" t="s">
        <v>95</v>
      </c>
      <c r="G398" s="4" t="s">
        <v>96</v>
      </c>
      <c r="H398" s="4" t="s">
        <v>59</v>
      </c>
      <c r="I398" s="3"/>
      <c r="J398" s="3"/>
      <c r="K398" s="3"/>
      <c r="L398" s="3"/>
      <c r="M398" s="3"/>
      <c r="N398" s="3"/>
      <c r="O398" s="3"/>
      <c r="P398" s="8"/>
      <c r="Q398" s="8"/>
      <c r="R398" s="3"/>
      <c r="S398" s="3"/>
      <c r="T398" s="3"/>
      <c r="U398" s="5" t="str">
        <f t="shared" si="23"/>
        <v/>
      </c>
    </row>
    <row r="400" spans="1:21" ht="28" customHeight="1" x14ac:dyDescent="0.35">
      <c r="A400" s="9" t="s">
        <v>110</v>
      </c>
      <c r="B400" s="16"/>
      <c r="C400" s="17"/>
      <c r="D400" s="17"/>
      <c r="E400" s="17"/>
      <c r="F400" s="17"/>
      <c r="G400" s="17"/>
      <c r="H400" s="17"/>
      <c r="I400" s="17"/>
      <c r="J400" s="17"/>
      <c r="K400" s="17"/>
      <c r="L400" s="17"/>
      <c r="M400" s="17"/>
      <c r="N400" s="17"/>
      <c r="O400" s="17"/>
      <c r="P400" s="17"/>
      <c r="Q400" s="17"/>
      <c r="R400" s="17"/>
      <c r="S400" s="17"/>
      <c r="T400" s="17"/>
      <c r="U400" s="18"/>
    </row>
    <row r="401" spans="1:21" ht="28" customHeight="1" x14ac:dyDescent="0.35">
      <c r="A401" s="19" t="s">
        <v>405</v>
      </c>
      <c r="B401" s="20"/>
      <c r="C401" s="20"/>
      <c r="D401" s="20"/>
      <c r="E401" s="20"/>
      <c r="F401" s="20"/>
      <c r="G401" s="20"/>
      <c r="H401" s="20"/>
      <c r="I401" s="20"/>
      <c r="J401" s="20"/>
      <c r="K401" s="20"/>
      <c r="L401" s="20"/>
      <c r="M401" s="20"/>
      <c r="N401" s="20"/>
      <c r="O401" s="20"/>
      <c r="P401" s="20"/>
      <c r="Q401" s="20"/>
      <c r="R401" s="20"/>
      <c r="S401" s="20"/>
      <c r="T401" s="20"/>
      <c r="U401" s="21"/>
    </row>
    <row r="402" spans="1:21" ht="28" customHeight="1" x14ac:dyDescent="0.35">
      <c r="A402" s="4" t="s">
        <v>31</v>
      </c>
      <c r="B402" s="3" t="s">
        <v>237</v>
      </c>
      <c r="C402" s="4" t="s">
        <v>32</v>
      </c>
      <c r="D402" s="3"/>
      <c r="E402" s="4" t="s">
        <v>33</v>
      </c>
      <c r="F402" s="8"/>
    </row>
    <row r="403" spans="1:21" ht="28" customHeight="1" x14ac:dyDescent="0.35">
      <c r="A403" s="1" t="s">
        <v>34</v>
      </c>
      <c r="B403" s="1" t="s">
        <v>35</v>
      </c>
      <c r="C403" s="1" t="s">
        <v>36</v>
      </c>
      <c r="D403" s="1" t="s">
        <v>37</v>
      </c>
      <c r="E403" s="1" t="s">
        <v>38</v>
      </c>
      <c r="F403" s="1" t="s">
        <v>39</v>
      </c>
      <c r="G403" s="1" t="s">
        <v>40</v>
      </c>
      <c r="H403" s="1" t="s">
        <v>41</v>
      </c>
      <c r="I403" s="1" t="s">
        <v>42</v>
      </c>
      <c r="J403" s="1" t="s">
        <v>43</v>
      </c>
      <c r="K403" s="1" t="s">
        <v>44</v>
      </c>
      <c r="L403" s="1" t="s">
        <v>45</v>
      </c>
      <c r="M403" s="1" t="s">
        <v>46</v>
      </c>
      <c r="N403" s="1" t="s">
        <v>47</v>
      </c>
      <c r="O403" s="1" t="s">
        <v>48</v>
      </c>
      <c r="P403" s="1" t="s">
        <v>4</v>
      </c>
      <c r="Q403" s="1" t="s">
        <v>49</v>
      </c>
      <c r="R403" s="1" t="s">
        <v>50</v>
      </c>
      <c r="S403" s="1" t="s">
        <v>51</v>
      </c>
      <c r="T403" s="1" t="s">
        <v>52</v>
      </c>
      <c r="U403" s="1" t="s">
        <v>10</v>
      </c>
    </row>
    <row r="404" spans="1:21" ht="28" customHeight="1" x14ac:dyDescent="0.35">
      <c r="A404" s="4">
        <v>1</v>
      </c>
      <c r="B404" s="4" t="s">
        <v>97</v>
      </c>
      <c r="C404" s="4" t="s">
        <v>362</v>
      </c>
      <c r="D404" s="4" t="s">
        <v>363</v>
      </c>
      <c r="E404" s="4" t="s">
        <v>69</v>
      </c>
      <c r="F404" s="4" t="s">
        <v>364</v>
      </c>
      <c r="G404" s="4" t="s">
        <v>199</v>
      </c>
      <c r="H404" s="4" t="s">
        <v>76</v>
      </c>
      <c r="I404" s="3"/>
      <c r="J404" s="3"/>
      <c r="K404" s="3"/>
      <c r="L404" s="3"/>
      <c r="M404" s="3"/>
      <c r="N404" s="3"/>
      <c r="O404" s="3"/>
      <c r="P404" s="8"/>
      <c r="Q404" s="8"/>
      <c r="R404" s="3"/>
      <c r="S404" s="3"/>
      <c r="T404" s="3"/>
      <c r="U404" s="5" t="str">
        <f t="shared" ref="U404:U415" si="24">IF(I404="","",IF(I404="NA","Grey",IF(I404=2,"Green",IF(I404=1,"Amber","Red"))))</f>
        <v/>
      </c>
    </row>
    <row r="405" spans="1:21" ht="28" customHeight="1" x14ac:dyDescent="0.35">
      <c r="A405" s="4">
        <v>2</v>
      </c>
      <c r="B405" s="4" t="s">
        <v>365</v>
      </c>
      <c r="C405" s="4" t="s">
        <v>366</v>
      </c>
      <c r="D405" s="4" t="s">
        <v>367</v>
      </c>
      <c r="E405" s="4" t="s">
        <v>69</v>
      </c>
      <c r="F405" s="4" t="s">
        <v>276</v>
      </c>
      <c r="G405" s="4" t="s">
        <v>199</v>
      </c>
      <c r="H405" s="4" t="s">
        <v>76</v>
      </c>
      <c r="I405" s="3"/>
      <c r="J405" s="3"/>
      <c r="K405" s="3"/>
      <c r="L405" s="3"/>
      <c r="M405" s="3"/>
      <c r="N405" s="3"/>
      <c r="O405" s="3"/>
      <c r="P405" s="8"/>
      <c r="Q405" s="8"/>
      <c r="R405" s="3"/>
      <c r="S405" s="3"/>
      <c r="T405" s="3"/>
      <c r="U405" s="5" t="str">
        <f t="shared" si="24"/>
        <v/>
      </c>
    </row>
    <row r="406" spans="1:21" ht="28" customHeight="1" x14ac:dyDescent="0.35">
      <c r="A406" s="4">
        <v>3</v>
      </c>
      <c r="B406" s="4" t="s">
        <v>365</v>
      </c>
      <c r="C406" s="4" t="s">
        <v>368</v>
      </c>
      <c r="D406" s="4" t="s">
        <v>369</v>
      </c>
      <c r="E406" s="4" t="s">
        <v>69</v>
      </c>
      <c r="F406" s="4" t="s">
        <v>370</v>
      </c>
      <c r="G406" s="4" t="s">
        <v>204</v>
      </c>
      <c r="H406" s="4" t="s">
        <v>76</v>
      </c>
      <c r="I406" s="3"/>
      <c r="J406" s="3"/>
      <c r="K406" s="3"/>
      <c r="L406" s="3"/>
      <c r="M406" s="3"/>
      <c r="N406" s="3"/>
      <c r="O406" s="3"/>
      <c r="P406" s="8"/>
      <c r="Q406" s="8"/>
      <c r="R406" s="3"/>
      <c r="S406" s="3"/>
      <c r="T406" s="3"/>
      <c r="U406" s="5" t="str">
        <f t="shared" si="24"/>
        <v/>
      </c>
    </row>
    <row r="407" spans="1:21" ht="28" customHeight="1" x14ac:dyDescent="0.35">
      <c r="A407" s="4">
        <v>4</v>
      </c>
      <c r="B407" s="4" t="s">
        <v>371</v>
      </c>
      <c r="C407" s="4" t="s">
        <v>372</v>
      </c>
      <c r="D407" s="4" t="s">
        <v>373</v>
      </c>
      <c r="E407" s="4" t="s">
        <v>69</v>
      </c>
      <c r="F407" s="4" t="s">
        <v>295</v>
      </c>
      <c r="G407" s="4" t="s">
        <v>199</v>
      </c>
      <c r="H407" s="4" t="s">
        <v>59</v>
      </c>
      <c r="I407" s="3"/>
      <c r="J407" s="3"/>
      <c r="K407" s="3"/>
      <c r="L407" s="3"/>
      <c r="M407" s="3"/>
      <c r="N407" s="3"/>
      <c r="O407" s="3"/>
      <c r="P407" s="8"/>
      <c r="Q407" s="8"/>
      <c r="R407" s="3"/>
      <c r="S407" s="3"/>
      <c r="T407" s="3"/>
      <c r="U407" s="5" t="str">
        <f t="shared" si="24"/>
        <v/>
      </c>
    </row>
    <row r="408" spans="1:21" ht="28" customHeight="1" x14ac:dyDescent="0.35">
      <c r="A408" s="4">
        <v>5</v>
      </c>
      <c r="B408" s="4" t="s">
        <v>374</v>
      </c>
      <c r="C408" s="4" t="s">
        <v>375</v>
      </c>
      <c r="D408" s="4" t="s">
        <v>376</v>
      </c>
      <c r="E408" s="4" t="s">
        <v>69</v>
      </c>
      <c r="F408" s="4" t="s">
        <v>276</v>
      </c>
      <c r="G408" s="4" t="s">
        <v>199</v>
      </c>
      <c r="H408" s="4" t="s">
        <v>59</v>
      </c>
      <c r="I408" s="3"/>
      <c r="J408" s="3"/>
      <c r="K408" s="3"/>
      <c r="L408" s="3"/>
      <c r="M408" s="3"/>
      <c r="N408" s="3"/>
      <c r="O408" s="3"/>
      <c r="P408" s="8"/>
      <c r="Q408" s="8"/>
      <c r="R408" s="3"/>
      <c r="S408" s="3"/>
      <c r="T408" s="3"/>
      <c r="U408" s="5" t="str">
        <f t="shared" si="24"/>
        <v/>
      </c>
    </row>
    <row r="409" spans="1:21" ht="28" customHeight="1" x14ac:dyDescent="0.35">
      <c r="A409" s="4">
        <v>6</v>
      </c>
      <c r="B409" s="4" t="s">
        <v>377</v>
      </c>
      <c r="C409" s="4" t="s">
        <v>378</v>
      </c>
      <c r="D409" s="4" t="s">
        <v>379</v>
      </c>
      <c r="E409" s="4" t="s">
        <v>69</v>
      </c>
      <c r="F409" s="4" t="s">
        <v>276</v>
      </c>
      <c r="G409" s="4" t="s">
        <v>199</v>
      </c>
      <c r="H409" s="4" t="s">
        <v>59</v>
      </c>
      <c r="I409" s="3"/>
      <c r="J409" s="3"/>
      <c r="K409" s="3"/>
      <c r="L409" s="3"/>
      <c r="M409" s="3"/>
      <c r="N409" s="3"/>
      <c r="O409" s="3"/>
      <c r="P409" s="8"/>
      <c r="Q409" s="8"/>
      <c r="R409" s="3"/>
      <c r="S409" s="3"/>
      <c r="T409" s="3"/>
      <c r="U409" s="5" t="str">
        <f t="shared" si="24"/>
        <v/>
      </c>
    </row>
    <row r="410" spans="1:21" ht="28" customHeight="1" x14ac:dyDescent="0.35">
      <c r="A410" s="4">
        <v>7</v>
      </c>
      <c r="B410" s="4" t="s">
        <v>380</v>
      </c>
      <c r="C410" s="4" t="s">
        <v>381</v>
      </c>
      <c r="D410" s="4" t="s">
        <v>382</v>
      </c>
      <c r="E410" s="4" t="s">
        <v>69</v>
      </c>
      <c r="F410" s="4" t="s">
        <v>276</v>
      </c>
      <c r="G410" s="4" t="s">
        <v>199</v>
      </c>
      <c r="H410" s="4" t="s">
        <v>59</v>
      </c>
      <c r="I410" s="3"/>
      <c r="J410" s="3"/>
      <c r="K410" s="3"/>
      <c r="L410" s="3"/>
      <c r="M410" s="3"/>
      <c r="N410" s="3"/>
      <c r="O410" s="3"/>
      <c r="P410" s="8"/>
      <c r="Q410" s="8"/>
      <c r="R410" s="3"/>
      <c r="S410" s="3"/>
      <c r="T410" s="3"/>
      <c r="U410" s="5" t="str">
        <f t="shared" si="24"/>
        <v/>
      </c>
    </row>
    <row r="411" spans="1:21" ht="28" customHeight="1" x14ac:dyDescent="0.35">
      <c r="A411" s="4">
        <v>8</v>
      </c>
      <c r="B411" s="4" t="s">
        <v>383</v>
      </c>
      <c r="C411" s="4" t="s">
        <v>384</v>
      </c>
      <c r="D411" s="4" t="s">
        <v>385</v>
      </c>
      <c r="E411" s="4" t="s">
        <v>69</v>
      </c>
      <c r="F411" s="4" t="s">
        <v>95</v>
      </c>
      <c r="G411" s="4" t="s">
        <v>96</v>
      </c>
      <c r="H411" s="4" t="s">
        <v>59</v>
      </c>
      <c r="I411" s="3"/>
      <c r="J411" s="3"/>
      <c r="K411" s="3"/>
      <c r="L411" s="3"/>
      <c r="M411" s="3"/>
      <c r="N411" s="3"/>
      <c r="O411" s="3"/>
      <c r="P411" s="8"/>
      <c r="Q411" s="8"/>
      <c r="R411" s="3"/>
      <c r="S411" s="3"/>
      <c r="T411" s="3"/>
      <c r="U411" s="5" t="str">
        <f t="shared" si="24"/>
        <v/>
      </c>
    </row>
    <row r="412" spans="1:21" ht="28" customHeight="1" x14ac:dyDescent="0.35">
      <c r="A412" s="4">
        <v>9</v>
      </c>
      <c r="B412" s="4" t="s">
        <v>97</v>
      </c>
      <c r="C412" s="4" t="s">
        <v>98</v>
      </c>
      <c r="D412" s="4" t="s">
        <v>99</v>
      </c>
      <c r="E412" s="4" t="s">
        <v>69</v>
      </c>
      <c r="F412" s="4" t="s">
        <v>95</v>
      </c>
      <c r="G412" s="4" t="s">
        <v>96</v>
      </c>
      <c r="H412" s="4" t="s">
        <v>59</v>
      </c>
      <c r="I412" s="3"/>
      <c r="J412" s="3"/>
      <c r="K412" s="3"/>
      <c r="L412" s="3"/>
      <c r="M412" s="3"/>
      <c r="N412" s="3"/>
      <c r="O412" s="3"/>
      <c r="P412" s="8"/>
      <c r="Q412" s="8"/>
      <c r="R412" s="3"/>
      <c r="S412" s="3"/>
      <c r="T412" s="3"/>
      <c r="U412" s="5" t="str">
        <f t="shared" si="24"/>
        <v/>
      </c>
    </row>
    <row r="413" spans="1:21" ht="28" customHeight="1" x14ac:dyDescent="0.35">
      <c r="A413" s="4">
        <v>10</v>
      </c>
      <c r="B413" s="4" t="s">
        <v>97</v>
      </c>
      <c r="C413" s="4" t="s">
        <v>100</v>
      </c>
      <c r="D413" s="4" t="s">
        <v>101</v>
      </c>
      <c r="E413" s="4" t="s">
        <v>69</v>
      </c>
      <c r="F413" s="4" t="s">
        <v>95</v>
      </c>
      <c r="G413" s="4" t="s">
        <v>102</v>
      </c>
      <c r="H413" s="4" t="s">
        <v>59</v>
      </c>
      <c r="I413" s="3"/>
      <c r="J413" s="3"/>
      <c r="K413" s="3"/>
      <c r="L413" s="3"/>
      <c r="M413" s="3"/>
      <c r="N413" s="3"/>
      <c r="O413" s="3"/>
      <c r="P413" s="8"/>
      <c r="Q413" s="8"/>
      <c r="R413" s="3"/>
      <c r="S413" s="3"/>
      <c r="T413" s="3"/>
      <c r="U413" s="5" t="str">
        <f t="shared" si="24"/>
        <v/>
      </c>
    </row>
    <row r="414" spans="1:21" ht="28" customHeight="1" x14ac:dyDescent="0.35">
      <c r="A414" s="4">
        <v>11</v>
      </c>
      <c r="B414" s="4" t="s">
        <v>103</v>
      </c>
      <c r="C414" s="4" t="s">
        <v>104</v>
      </c>
      <c r="D414" s="4" t="s">
        <v>105</v>
      </c>
      <c r="E414" s="4" t="s">
        <v>69</v>
      </c>
      <c r="F414" s="4" t="s">
        <v>95</v>
      </c>
      <c r="G414" s="4" t="s">
        <v>96</v>
      </c>
      <c r="H414" s="4" t="s">
        <v>85</v>
      </c>
      <c r="I414" s="3"/>
      <c r="J414" s="3"/>
      <c r="K414" s="3"/>
      <c r="L414" s="3"/>
      <c r="M414" s="3"/>
      <c r="N414" s="3"/>
      <c r="O414" s="3"/>
      <c r="P414" s="8"/>
      <c r="Q414" s="8"/>
      <c r="R414" s="3"/>
      <c r="S414" s="3"/>
      <c r="T414" s="3"/>
      <c r="U414" s="5" t="str">
        <f t="shared" si="24"/>
        <v/>
      </c>
    </row>
    <row r="415" spans="1:21" ht="28" customHeight="1" x14ac:dyDescent="0.35">
      <c r="A415" s="4">
        <v>12</v>
      </c>
      <c r="B415" s="4" t="s">
        <v>106</v>
      </c>
      <c r="C415" s="4" t="s">
        <v>107</v>
      </c>
      <c r="D415" s="4" t="s">
        <v>108</v>
      </c>
      <c r="E415" s="4" t="s">
        <v>109</v>
      </c>
      <c r="F415" s="4" t="s">
        <v>95</v>
      </c>
      <c r="G415" s="4" t="s">
        <v>96</v>
      </c>
      <c r="H415" s="4" t="s">
        <v>59</v>
      </c>
      <c r="I415" s="3"/>
      <c r="J415" s="3"/>
      <c r="K415" s="3"/>
      <c r="L415" s="3"/>
      <c r="M415" s="3"/>
      <c r="N415" s="3"/>
      <c r="O415" s="3"/>
      <c r="P415" s="8"/>
      <c r="Q415" s="8"/>
      <c r="R415" s="3"/>
      <c r="S415" s="3"/>
      <c r="T415" s="3"/>
      <c r="U415" s="5" t="str">
        <f t="shared" si="24"/>
        <v/>
      </c>
    </row>
    <row r="417" spans="1:21" ht="28" customHeight="1" x14ac:dyDescent="0.35">
      <c r="A417" s="9" t="s">
        <v>110</v>
      </c>
      <c r="B417" s="16"/>
      <c r="C417" s="17"/>
      <c r="D417" s="17"/>
      <c r="E417" s="17"/>
      <c r="F417" s="17"/>
      <c r="G417" s="17"/>
      <c r="H417" s="17"/>
      <c r="I417" s="17"/>
      <c r="J417" s="17"/>
      <c r="K417" s="17"/>
      <c r="L417" s="17"/>
      <c r="M417" s="17"/>
      <c r="N417" s="17"/>
      <c r="O417" s="17"/>
      <c r="P417" s="17"/>
      <c r="Q417" s="17"/>
      <c r="R417" s="17"/>
      <c r="S417" s="17"/>
      <c r="T417" s="17"/>
      <c r="U417" s="18"/>
    </row>
    <row r="418" spans="1:21" ht="28" customHeight="1" x14ac:dyDescent="0.35">
      <c r="A418" s="19" t="s">
        <v>406</v>
      </c>
      <c r="B418" s="20"/>
      <c r="C418" s="20"/>
      <c r="D418" s="20"/>
      <c r="E418" s="20"/>
      <c r="F418" s="20"/>
      <c r="G418" s="20"/>
      <c r="H418" s="20"/>
      <c r="I418" s="20"/>
      <c r="J418" s="20"/>
      <c r="K418" s="20"/>
      <c r="L418" s="20"/>
      <c r="M418" s="20"/>
      <c r="N418" s="20"/>
      <c r="O418" s="20"/>
      <c r="P418" s="20"/>
      <c r="Q418" s="20"/>
      <c r="R418" s="20"/>
      <c r="S418" s="20"/>
      <c r="T418" s="20"/>
      <c r="U418" s="21"/>
    </row>
    <row r="419" spans="1:21" ht="28" customHeight="1" x14ac:dyDescent="0.35">
      <c r="A419" s="4" t="s">
        <v>31</v>
      </c>
      <c r="B419" s="3" t="s">
        <v>238</v>
      </c>
      <c r="C419" s="4" t="s">
        <v>32</v>
      </c>
      <c r="D419" s="3"/>
      <c r="E419" s="4" t="s">
        <v>33</v>
      </c>
      <c r="F419" s="8"/>
    </row>
    <row r="420" spans="1:21" ht="28" customHeight="1" x14ac:dyDescent="0.35">
      <c r="A420" s="1" t="s">
        <v>34</v>
      </c>
      <c r="B420" s="1" t="s">
        <v>35</v>
      </c>
      <c r="C420" s="1" t="s">
        <v>36</v>
      </c>
      <c r="D420" s="1" t="s">
        <v>37</v>
      </c>
      <c r="E420" s="1" t="s">
        <v>38</v>
      </c>
      <c r="F420" s="1" t="s">
        <v>39</v>
      </c>
      <c r="G420" s="1" t="s">
        <v>40</v>
      </c>
      <c r="H420" s="1" t="s">
        <v>41</v>
      </c>
      <c r="I420" s="1" t="s">
        <v>42</v>
      </c>
      <c r="J420" s="1" t="s">
        <v>43</v>
      </c>
      <c r="K420" s="1" t="s">
        <v>44</v>
      </c>
      <c r="L420" s="1" t="s">
        <v>45</v>
      </c>
      <c r="M420" s="1" t="s">
        <v>46</v>
      </c>
      <c r="N420" s="1" t="s">
        <v>47</v>
      </c>
      <c r="O420" s="1" t="s">
        <v>48</v>
      </c>
      <c r="P420" s="1" t="s">
        <v>4</v>
      </c>
      <c r="Q420" s="1" t="s">
        <v>49</v>
      </c>
      <c r="R420" s="1" t="s">
        <v>50</v>
      </c>
      <c r="S420" s="1" t="s">
        <v>51</v>
      </c>
      <c r="T420" s="1" t="s">
        <v>52</v>
      </c>
      <c r="U420" s="1" t="s">
        <v>10</v>
      </c>
    </row>
    <row r="421" spans="1:21" ht="28" customHeight="1" x14ac:dyDescent="0.35">
      <c r="A421" s="4">
        <v>1</v>
      </c>
      <c r="B421" s="4" t="s">
        <v>97</v>
      </c>
      <c r="C421" s="4" t="s">
        <v>362</v>
      </c>
      <c r="D421" s="4" t="s">
        <v>363</v>
      </c>
      <c r="E421" s="4" t="s">
        <v>69</v>
      </c>
      <c r="F421" s="4" t="s">
        <v>364</v>
      </c>
      <c r="G421" s="4" t="s">
        <v>199</v>
      </c>
      <c r="H421" s="4" t="s">
        <v>76</v>
      </c>
      <c r="I421" s="3"/>
      <c r="J421" s="3"/>
      <c r="K421" s="3"/>
      <c r="L421" s="3"/>
      <c r="M421" s="3"/>
      <c r="N421" s="3"/>
      <c r="O421" s="3"/>
      <c r="P421" s="8"/>
      <c r="Q421" s="8"/>
      <c r="R421" s="3"/>
      <c r="S421" s="3"/>
      <c r="T421" s="3"/>
      <c r="U421" s="5" t="str">
        <f t="shared" ref="U421:U432" si="25">IF(I421="","",IF(I421="NA","Grey",IF(I421=2,"Green",IF(I421=1,"Amber","Red"))))</f>
        <v/>
      </c>
    </row>
    <row r="422" spans="1:21" ht="28" customHeight="1" x14ac:dyDescent="0.35">
      <c r="A422" s="4">
        <v>2</v>
      </c>
      <c r="B422" s="4" t="s">
        <v>365</v>
      </c>
      <c r="C422" s="4" t="s">
        <v>366</v>
      </c>
      <c r="D422" s="4" t="s">
        <v>367</v>
      </c>
      <c r="E422" s="4" t="s">
        <v>69</v>
      </c>
      <c r="F422" s="4" t="s">
        <v>276</v>
      </c>
      <c r="G422" s="4" t="s">
        <v>199</v>
      </c>
      <c r="H422" s="4" t="s">
        <v>76</v>
      </c>
      <c r="I422" s="3"/>
      <c r="J422" s="3"/>
      <c r="K422" s="3"/>
      <c r="L422" s="3"/>
      <c r="M422" s="3"/>
      <c r="N422" s="3"/>
      <c r="O422" s="3"/>
      <c r="P422" s="8"/>
      <c r="Q422" s="8"/>
      <c r="R422" s="3"/>
      <c r="S422" s="3"/>
      <c r="T422" s="3"/>
      <c r="U422" s="5" t="str">
        <f t="shared" si="25"/>
        <v/>
      </c>
    </row>
    <row r="423" spans="1:21" ht="28" customHeight="1" x14ac:dyDescent="0.35">
      <c r="A423" s="4">
        <v>3</v>
      </c>
      <c r="B423" s="4" t="s">
        <v>365</v>
      </c>
      <c r="C423" s="4" t="s">
        <v>368</v>
      </c>
      <c r="D423" s="4" t="s">
        <v>369</v>
      </c>
      <c r="E423" s="4" t="s">
        <v>69</v>
      </c>
      <c r="F423" s="4" t="s">
        <v>370</v>
      </c>
      <c r="G423" s="4" t="s">
        <v>204</v>
      </c>
      <c r="H423" s="4" t="s">
        <v>76</v>
      </c>
      <c r="I423" s="3"/>
      <c r="J423" s="3"/>
      <c r="K423" s="3"/>
      <c r="L423" s="3"/>
      <c r="M423" s="3"/>
      <c r="N423" s="3"/>
      <c r="O423" s="3"/>
      <c r="P423" s="8"/>
      <c r="Q423" s="8"/>
      <c r="R423" s="3"/>
      <c r="S423" s="3"/>
      <c r="T423" s="3"/>
      <c r="U423" s="5" t="str">
        <f t="shared" si="25"/>
        <v/>
      </c>
    </row>
    <row r="424" spans="1:21" ht="28" customHeight="1" x14ac:dyDescent="0.35">
      <c r="A424" s="4">
        <v>4</v>
      </c>
      <c r="B424" s="4" t="s">
        <v>371</v>
      </c>
      <c r="C424" s="4" t="s">
        <v>372</v>
      </c>
      <c r="D424" s="4" t="s">
        <v>373</v>
      </c>
      <c r="E424" s="4" t="s">
        <v>69</v>
      </c>
      <c r="F424" s="4" t="s">
        <v>295</v>
      </c>
      <c r="G424" s="4" t="s">
        <v>199</v>
      </c>
      <c r="H424" s="4" t="s">
        <v>59</v>
      </c>
      <c r="I424" s="3"/>
      <c r="J424" s="3"/>
      <c r="K424" s="3"/>
      <c r="L424" s="3"/>
      <c r="M424" s="3"/>
      <c r="N424" s="3"/>
      <c r="O424" s="3"/>
      <c r="P424" s="8"/>
      <c r="Q424" s="8"/>
      <c r="R424" s="3"/>
      <c r="S424" s="3"/>
      <c r="T424" s="3"/>
      <c r="U424" s="5" t="str">
        <f t="shared" si="25"/>
        <v/>
      </c>
    </row>
    <row r="425" spans="1:21" ht="28" customHeight="1" x14ac:dyDescent="0.35">
      <c r="A425" s="4">
        <v>5</v>
      </c>
      <c r="B425" s="4" t="s">
        <v>374</v>
      </c>
      <c r="C425" s="4" t="s">
        <v>375</v>
      </c>
      <c r="D425" s="4" t="s">
        <v>376</v>
      </c>
      <c r="E425" s="4" t="s">
        <v>69</v>
      </c>
      <c r="F425" s="4" t="s">
        <v>276</v>
      </c>
      <c r="G425" s="4" t="s">
        <v>199</v>
      </c>
      <c r="H425" s="4" t="s">
        <v>59</v>
      </c>
      <c r="I425" s="3"/>
      <c r="J425" s="3"/>
      <c r="K425" s="3"/>
      <c r="L425" s="3"/>
      <c r="M425" s="3"/>
      <c r="N425" s="3"/>
      <c r="O425" s="3"/>
      <c r="P425" s="8"/>
      <c r="Q425" s="8"/>
      <c r="R425" s="3"/>
      <c r="S425" s="3"/>
      <c r="T425" s="3"/>
      <c r="U425" s="5" t="str">
        <f t="shared" si="25"/>
        <v/>
      </c>
    </row>
    <row r="426" spans="1:21" ht="28" customHeight="1" x14ac:dyDescent="0.35">
      <c r="A426" s="4">
        <v>6</v>
      </c>
      <c r="B426" s="4" t="s">
        <v>377</v>
      </c>
      <c r="C426" s="4" t="s">
        <v>378</v>
      </c>
      <c r="D426" s="4" t="s">
        <v>379</v>
      </c>
      <c r="E426" s="4" t="s">
        <v>69</v>
      </c>
      <c r="F426" s="4" t="s">
        <v>276</v>
      </c>
      <c r="G426" s="4" t="s">
        <v>199</v>
      </c>
      <c r="H426" s="4" t="s">
        <v>59</v>
      </c>
      <c r="I426" s="3"/>
      <c r="J426" s="3"/>
      <c r="K426" s="3"/>
      <c r="L426" s="3"/>
      <c r="M426" s="3"/>
      <c r="N426" s="3"/>
      <c r="O426" s="3"/>
      <c r="P426" s="8"/>
      <c r="Q426" s="8"/>
      <c r="R426" s="3"/>
      <c r="S426" s="3"/>
      <c r="T426" s="3"/>
      <c r="U426" s="5" t="str">
        <f t="shared" si="25"/>
        <v/>
      </c>
    </row>
    <row r="427" spans="1:21" ht="28" customHeight="1" x14ac:dyDescent="0.35">
      <c r="A427" s="4">
        <v>7</v>
      </c>
      <c r="B427" s="4" t="s">
        <v>380</v>
      </c>
      <c r="C427" s="4" t="s">
        <v>381</v>
      </c>
      <c r="D427" s="4" t="s">
        <v>382</v>
      </c>
      <c r="E427" s="4" t="s">
        <v>69</v>
      </c>
      <c r="F427" s="4" t="s">
        <v>276</v>
      </c>
      <c r="G427" s="4" t="s">
        <v>199</v>
      </c>
      <c r="H427" s="4" t="s">
        <v>59</v>
      </c>
      <c r="I427" s="3"/>
      <c r="J427" s="3"/>
      <c r="K427" s="3"/>
      <c r="L427" s="3"/>
      <c r="M427" s="3"/>
      <c r="N427" s="3"/>
      <c r="O427" s="3"/>
      <c r="P427" s="8"/>
      <c r="Q427" s="8"/>
      <c r="R427" s="3"/>
      <c r="S427" s="3"/>
      <c r="T427" s="3"/>
      <c r="U427" s="5" t="str">
        <f t="shared" si="25"/>
        <v/>
      </c>
    </row>
    <row r="428" spans="1:21" ht="28" customHeight="1" x14ac:dyDescent="0.35">
      <c r="A428" s="4">
        <v>8</v>
      </c>
      <c r="B428" s="4" t="s">
        <v>383</v>
      </c>
      <c r="C428" s="4" t="s">
        <v>384</v>
      </c>
      <c r="D428" s="4" t="s">
        <v>385</v>
      </c>
      <c r="E428" s="4" t="s">
        <v>69</v>
      </c>
      <c r="F428" s="4" t="s">
        <v>95</v>
      </c>
      <c r="G428" s="4" t="s">
        <v>96</v>
      </c>
      <c r="H428" s="4" t="s">
        <v>59</v>
      </c>
      <c r="I428" s="3"/>
      <c r="J428" s="3"/>
      <c r="K428" s="3"/>
      <c r="L428" s="3"/>
      <c r="M428" s="3"/>
      <c r="N428" s="3"/>
      <c r="O428" s="3"/>
      <c r="P428" s="8"/>
      <c r="Q428" s="8"/>
      <c r="R428" s="3"/>
      <c r="S428" s="3"/>
      <c r="T428" s="3"/>
      <c r="U428" s="5" t="str">
        <f t="shared" si="25"/>
        <v/>
      </c>
    </row>
    <row r="429" spans="1:21" ht="28" customHeight="1" x14ac:dyDescent="0.35">
      <c r="A429" s="4">
        <v>9</v>
      </c>
      <c r="B429" s="4" t="s">
        <v>97</v>
      </c>
      <c r="C429" s="4" t="s">
        <v>98</v>
      </c>
      <c r="D429" s="4" t="s">
        <v>99</v>
      </c>
      <c r="E429" s="4" t="s">
        <v>69</v>
      </c>
      <c r="F429" s="4" t="s">
        <v>95</v>
      </c>
      <c r="G429" s="4" t="s">
        <v>96</v>
      </c>
      <c r="H429" s="4" t="s">
        <v>59</v>
      </c>
      <c r="I429" s="3"/>
      <c r="J429" s="3"/>
      <c r="K429" s="3"/>
      <c r="L429" s="3"/>
      <c r="M429" s="3"/>
      <c r="N429" s="3"/>
      <c r="O429" s="3"/>
      <c r="P429" s="8"/>
      <c r="Q429" s="8"/>
      <c r="R429" s="3"/>
      <c r="S429" s="3"/>
      <c r="T429" s="3"/>
      <c r="U429" s="5" t="str">
        <f t="shared" si="25"/>
        <v/>
      </c>
    </row>
    <row r="430" spans="1:21" ht="28" customHeight="1" x14ac:dyDescent="0.35">
      <c r="A430" s="4">
        <v>10</v>
      </c>
      <c r="B430" s="4" t="s">
        <v>97</v>
      </c>
      <c r="C430" s="4" t="s">
        <v>100</v>
      </c>
      <c r="D430" s="4" t="s">
        <v>101</v>
      </c>
      <c r="E430" s="4" t="s">
        <v>69</v>
      </c>
      <c r="F430" s="4" t="s">
        <v>95</v>
      </c>
      <c r="G430" s="4" t="s">
        <v>102</v>
      </c>
      <c r="H430" s="4" t="s">
        <v>59</v>
      </c>
      <c r="I430" s="3"/>
      <c r="J430" s="3"/>
      <c r="K430" s="3"/>
      <c r="L430" s="3"/>
      <c r="M430" s="3"/>
      <c r="N430" s="3"/>
      <c r="O430" s="3"/>
      <c r="P430" s="8"/>
      <c r="Q430" s="8"/>
      <c r="R430" s="3"/>
      <c r="S430" s="3"/>
      <c r="T430" s="3"/>
      <c r="U430" s="5" t="str">
        <f t="shared" si="25"/>
        <v/>
      </c>
    </row>
    <row r="431" spans="1:21" ht="28" customHeight="1" x14ac:dyDescent="0.35">
      <c r="A431" s="4">
        <v>11</v>
      </c>
      <c r="B431" s="4" t="s">
        <v>103</v>
      </c>
      <c r="C431" s="4" t="s">
        <v>104</v>
      </c>
      <c r="D431" s="4" t="s">
        <v>105</v>
      </c>
      <c r="E431" s="4" t="s">
        <v>69</v>
      </c>
      <c r="F431" s="4" t="s">
        <v>95</v>
      </c>
      <c r="G431" s="4" t="s">
        <v>96</v>
      </c>
      <c r="H431" s="4" t="s">
        <v>85</v>
      </c>
      <c r="I431" s="3"/>
      <c r="J431" s="3"/>
      <c r="K431" s="3"/>
      <c r="L431" s="3"/>
      <c r="M431" s="3"/>
      <c r="N431" s="3"/>
      <c r="O431" s="3"/>
      <c r="P431" s="8"/>
      <c r="Q431" s="8"/>
      <c r="R431" s="3"/>
      <c r="S431" s="3"/>
      <c r="T431" s="3"/>
      <c r="U431" s="5" t="str">
        <f t="shared" si="25"/>
        <v/>
      </c>
    </row>
    <row r="432" spans="1:21" ht="28" customHeight="1" x14ac:dyDescent="0.35">
      <c r="A432" s="4">
        <v>12</v>
      </c>
      <c r="B432" s="4" t="s">
        <v>106</v>
      </c>
      <c r="C432" s="4" t="s">
        <v>107</v>
      </c>
      <c r="D432" s="4" t="s">
        <v>108</v>
      </c>
      <c r="E432" s="4" t="s">
        <v>109</v>
      </c>
      <c r="F432" s="4" t="s">
        <v>95</v>
      </c>
      <c r="G432" s="4" t="s">
        <v>96</v>
      </c>
      <c r="H432" s="4" t="s">
        <v>59</v>
      </c>
      <c r="I432" s="3"/>
      <c r="J432" s="3"/>
      <c r="K432" s="3"/>
      <c r="L432" s="3"/>
      <c r="M432" s="3"/>
      <c r="N432" s="3"/>
      <c r="O432" s="3"/>
      <c r="P432" s="8"/>
      <c r="Q432" s="8"/>
      <c r="R432" s="3"/>
      <c r="S432" s="3"/>
      <c r="T432" s="3"/>
      <c r="U432" s="5" t="str">
        <f t="shared" si="25"/>
        <v/>
      </c>
    </row>
    <row r="434" spans="1:21" ht="28" customHeight="1" x14ac:dyDescent="0.35">
      <c r="A434" s="9" t="s">
        <v>110</v>
      </c>
      <c r="B434" s="16"/>
      <c r="C434" s="17"/>
      <c r="D434" s="17"/>
      <c r="E434" s="17"/>
      <c r="F434" s="17"/>
      <c r="G434" s="17"/>
      <c r="H434" s="17"/>
      <c r="I434" s="17"/>
      <c r="J434" s="17"/>
      <c r="K434" s="17"/>
      <c r="L434" s="17"/>
      <c r="M434" s="17"/>
      <c r="N434" s="17"/>
      <c r="O434" s="17"/>
      <c r="P434" s="17"/>
      <c r="Q434" s="17"/>
      <c r="R434" s="17"/>
      <c r="S434" s="17"/>
      <c r="T434" s="17"/>
      <c r="U434" s="18"/>
    </row>
    <row r="435" spans="1:21" ht="28" customHeight="1" x14ac:dyDescent="0.35">
      <c r="A435" s="19" t="s">
        <v>407</v>
      </c>
      <c r="B435" s="20"/>
      <c r="C435" s="20"/>
      <c r="D435" s="20"/>
      <c r="E435" s="20"/>
      <c r="F435" s="20"/>
      <c r="G435" s="20"/>
      <c r="H435" s="20"/>
      <c r="I435" s="20"/>
      <c r="J435" s="20"/>
      <c r="K435" s="20"/>
      <c r="L435" s="20"/>
      <c r="M435" s="20"/>
      <c r="N435" s="20"/>
      <c r="O435" s="20"/>
      <c r="P435" s="20"/>
      <c r="Q435" s="20"/>
      <c r="R435" s="20"/>
      <c r="S435" s="20"/>
      <c r="T435" s="20"/>
      <c r="U435" s="21"/>
    </row>
    <row r="436" spans="1:21" ht="28" customHeight="1" x14ac:dyDescent="0.35">
      <c r="A436" s="4" t="s">
        <v>31</v>
      </c>
      <c r="B436" s="3" t="s">
        <v>239</v>
      </c>
      <c r="C436" s="4" t="s">
        <v>32</v>
      </c>
      <c r="D436" s="3"/>
      <c r="E436" s="4" t="s">
        <v>33</v>
      </c>
      <c r="F436" s="8"/>
    </row>
    <row r="437" spans="1:21" ht="28" customHeight="1" x14ac:dyDescent="0.35">
      <c r="A437" s="1" t="s">
        <v>34</v>
      </c>
      <c r="B437" s="1" t="s">
        <v>35</v>
      </c>
      <c r="C437" s="1" t="s">
        <v>36</v>
      </c>
      <c r="D437" s="1" t="s">
        <v>37</v>
      </c>
      <c r="E437" s="1" t="s">
        <v>38</v>
      </c>
      <c r="F437" s="1" t="s">
        <v>39</v>
      </c>
      <c r="G437" s="1" t="s">
        <v>40</v>
      </c>
      <c r="H437" s="1" t="s">
        <v>41</v>
      </c>
      <c r="I437" s="1" t="s">
        <v>42</v>
      </c>
      <c r="J437" s="1" t="s">
        <v>43</v>
      </c>
      <c r="K437" s="1" t="s">
        <v>44</v>
      </c>
      <c r="L437" s="1" t="s">
        <v>45</v>
      </c>
      <c r="M437" s="1" t="s">
        <v>46</v>
      </c>
      <c r="N437" s="1" t="s">
        <v>47</v>
      </c>
      <c r="O437" s="1" t="s">
        <v>48</v>
      </c>
      <c r="P437" s="1" t="s">
        <v>4</v>
      </c>
      <c r="Q437" s="1" t="s">
        <v>49</v>
      </c>
      <c r="R437" s="1" t="s">
        <v>50</v>
      </c>
      <c r="S437" s="1" t="s">
        <v>51</v>
      </c>
      <c r="T437" s="1" t="s">
        <v>52</v>
      </c>
      <c r="U437" s="1" t="s">
        <v>10</v>
      </c>
    </row>
    <row r="438" spans="1:21" ht="28" customHeight="1" x14ac:dyDescent="0.35">
      <c r="A438" s="4">
        <v>1</v>
      </c>
      <c r="B438" s="4" t="s">
        <v>97</v>
      </c>
      <c r="C438" s="4" t="s">
        <v>362</v>
      </c>
      <c r="D438" s="4" t="s">
        <v>363</v>
      </c>
      <c r="E438" s="4" t="s">
        <v>69</v>
      </c>
      <c r="F438" s="4" t="s">
        <v>364</v>
      </c>
      <c r="G438" s="4" t="s">
        <v>199</v>
      </c>
      <c r="H438" s="4" t="s">
        <v>76</v>
      </c>
      <c r="I438" s="3"/>
      <c r="J438" s="3"/>
      <c r="K438" s="3"/>
      <c r="L438" s="3"/>
      <c r="M438" s="3"/>
      <c r="N438" s="3"/>
      <c r="O438" s="3"/>
      <c r="P438" s="8"/>
      <c r="Q438" s="8"/>
      <c r="R438" s="3"/>
      <c r="S438" s="3"/>
      <c r="T438" s="3"/>
      <c r="U438" s="5" t="str">
        <f t="shared" ref="U438:U449" si="26">IF(I438="","",IF(I438="NA","Grey",IF(I438=2,"Green",IF(I438=1,"Amber","Red"))))</f>
        <v/>
      </c>
    </row>
    <row r="439" spans="1:21" ht="28" customHeight="1" x14ac:dyDescent="0.35">
      <c r="A439" s="4">
        <v>2</v>
      </c>
      <c r="B439" s="4" t="s">
        <v>365</v>
      </c>
      <c r="C439" s="4" t="s">
        <v>366</v>
      </c>
      <c r="D439" s="4" t="s">
        <v>367</v>
      </c>
      <c r="E439" s="4" t="s">
        <v>69</v>
      </c>
      <c r="F439" s="4" t="s">
        <v>276</v>
      </c>
      <c r="G439" s="4" t="s">
        <v>199</v>
      </c>
      <c r="H439" s="4" t="s">
        <v>76</v>
      </c>
      <c r="I439" s="3"/>
      <c r="J439" s="3"/>
      <c r="K439" s="3"/>
      <c r="L439" s="3"/>
      <c r="M439" s="3"/>
      <c r="N439" s="3"/>
      <c r="O439" s="3"/>
      <c r="P439" s="8"/>
      <c r="Q439" s="8"/>
      <c r="R439" s="3"/>
      <c r="S439" s="3"/>
      <c r="T439" s="3"/>
      <c r="U439" s="5" t="str">
        <f t="shared" si="26"/>
        <v/>
      </c>
    </row>
    <row r="440" spans="1:21" ht="28" customHeight="1" x14ac:dyDescent="0.35">
      <c r="A440" s="4">
        <v>3</v>
      </c>
      <c r="B440" s="4" t="s">
        <v>365</v>
      </c>
      <c r="C440" s="4" t="s">
        <v>368</v>
      </c>
      <c r="D440" s="4" t="s">
        <v>369</v>
      </c>
      <c r="E440" s="4" t="s">
        <v>69</v>
      </c>
      <c r="F440" s="4" t="s">
        <v>370</v>
      </c>
      <c r="G440" s="4" t="s">
        <v>204</v>
      </c>
      <c r="H440" s="4" t="s">
        <v>76</v>
      </c>
      <c r="I440" s="3"/>
      <c r="J440" s="3"/>
      <c r="K440" s="3"/>
      <c r="L440" s="3"/>
      <c r="M440" s="3"/>
      <c r="N440" s="3"/>
      <c r="O440" s="3"/>
      <c r="P440" s="8"/>
      <c r="Q440" s="8"/>
      <c r="R440" s="3"/>
      <c r="S440" s="3"/>
      <c r="T440" s="3"/>
      <c r="U440" s="5" t="str">
        <f t="shared" si="26"/>
        <v/>
      </c>
    </row>
    <row r="441" spans="1:21" ht="28" customHeight="1" x14ac:dyDescent="0.35">
      <c r="A441" s="4">
        <v>4</v>
      </c>
      <c r="B441" s="4" t="s">
        <v>371</v>
      </c>
      <c r="C441" s="4" t="s">
        <v>372</v>
      </c>
      <c r="D441" s="4" t="s">
        <v>373</v>
      </c>
      <c r="E441" s="4" t="s">
        <v>69</v>
      </c>
      <c r="F441" s="4" t="s">
        <v>295</v>
      </c>
      <c r="G441" s="4" t="s">
        <v>199</v>
      </c>
      <c r="H441" s="4" t="s">
        <v>59</v>
      </c>
      <c r="I441" s="3"/>
      <c r="J441" s="3"/>
      <c r="K441" s="3"/>
      <c r="L441" s="3"/>
      <c r="M441" s="3"/>
      <c r="N441" s="3"/>
      <c r="O441" s="3"/>
      <c r="P441" s="8"/>
      <c r="Q441" s="8"/>
      <c r="R441" s="3"/>
      <c r="S441" s="3"/>
      <c r="T441" s="3"/>
      <c r="U441" s="5" t="str">
        <f t="shared" si="26"/>
        <v/>
      </c>
    </row>
    <row r="442" spans="1:21" ht="28" customHeight="1" x14ac:dyDescent="0.35">
      <c r="A442" s="4">
        <v>5</v>
      </c>
      <c r="B442" s="4" t="s">
        <v>374</v>
      </c>
      <c r="C442" s="4" t="s">
        <v>375</v>
      </c>
      <c r="D442" s="4" t="s">
        <v>376</v>
      </c>
      <c r="E442" s="4" t="s">
        <v>69</v>
      </c>
      <c r="F442" s="4" t="s">
        <v>276</v>
      </c>
      <c r="G442" s="4" t="s">
        <v>199</v>
      </c>
      <c r="H442" s="4" t="s">
        <v>59</v>
      </c>
      <c r="I442" s="3"/>
      <c r="J442" s="3"/>
      <c r="K442" s="3"/>
      <c r="L442" s="3"/>
      <c r="M442" s="3"/>
      <c r="N442" s="3"/>
      <c r="O442" s="3"/>
      <c r="P442" s="8"/>
      <c r="Q442" s="8"/>
      <c r="R442" s="3"/>
      <c r="S442" s="3"/>
      <c r="T442" s="3"/>
      <c r="U442" s="5" t="str">
        <f t="shared" si="26"/>
        <v/>
      </c>
    </row>
    <row r="443" spans="1:21" ht="28" customHeight="1" x14ac:dyDescent="0.35">
      <c r="A443" s="4">
        <v>6</v>
      </c>
      <c r="B443" s="4" t="s">
        <v>377</v>
      </c>
      <c r="C443" s="4" t="s">
        <v>378</v>
      </c>
      <c r="D443" s="4" t="s">
        <v>379</v>
      </c>
      <c r="E443" s="4" t="s">
        <v>69</v>
      </c>
      <c r="F443" s="4" t="s">
        <v>276</v>
      </c>
      <c r="G443" s="4" t="s">
        <v>199</v>
      </c>
      <c r="H443" s="4" t="s">
        <v>59</v>
      </c>
      <c r="I443" s="3"/>
      <c r="J443" s="3"/>
      <c r="K443" s="3"/>
      <c r="L443" s="3"/>
      <c r="M443" s="3"/>
      <c r="N443" s="3"/>
      <c r="O443" s="3"/>
      <c r="P443" s="8"/>
      <c r="Q443" s="8"/>
      <c r="R443" s="3"/>
      <c r="S443" s="3"/>
      <c r="T443" s="3"/>
      <c r="U443" s="5" t="str">
        <f t="shared" si="26"/>
        <v/>
      </c>
    </row>
    <row r="444" spans="1:21" ht="28" customHeight="1" x14ac:dyDescent="0.35">
      <c r="A444" s="4">
        <v>7</v>
      </c>
      <c r="B444" s="4" t="s">
        <v>380</v>
      </c>
      <c r="C444" s="4" t="s">
        <v>381</v>
      </c>
      <c r="D444" s="4" t="s">
        <v>382</v>
      </c>
      <c r="E444" s="4" t="s">
        <v>69</v>
      </c>
      <c r="F444" s="4" t="s">
        <v>276</v>
      </c>
      <c r="G444" s="4" t="s">
        <v>199</v>
      </c>
      <c r="H444" s="4" t="s">
        <v>59</v>
      </c>
      <c r="I444" s="3"/>
      <c r="J444" s="3"/>
      <c r="K444" s="3"/>
      <c r="L444" s="3"/>
      <c r="M444" s="3"/>
      <c r="N444" s="3"/>
      <c r="O444" s="3"/>
      <c r="P444" s="8"/>
      <c r="Q444" s="8"/>
      <c r="R444" s="3"/>
      <c r="S444" s="3"/>
      <c r="T444" s="3"/>
      <c r="U444" s="5" t="str">
        <f t="shared" si="26"/>
        <v/>
      </c>
    </row>
    <row r="445" spans="1:21" ht="28" customHeight="1" x14ac:dyDescent="0.35">
      <c r="A445" s="4">
        <v>8</v>
      </c>
      <c r="B445" s="4" t="s">
        <v>383</v>
      </c>
      <c r="C445" s="4" t="s">
        <v>384</v>
      </c>
      <c r="D445" s="4" t="s">
        <v>385</v>
      </c>
      <c r="E445" s="4" t="s">
        <v>69</v>
      </c>
      <c r="F445" s="4" t="s">
        <v>95</v>
      </c>
      <c r="G445" s="4" t="s">
        <v>96</v>
      </c>
      <c r="H445" s="4" t="s">
        <v>59</v>
      </c>
      <c r="I445" s="3"/>
      <c r="J445" s="3"/>
      <c r="K445" s="3"/>
      <c r="L445" s="3"/>
      <c r="M445" s="3"/>
      <c r="N445" s="3"/>
      <c r="O445" s="3"/>
      <c r="P445" s="8"/>
      <c r="Q445" s="8"/>
      <c r="R445" s="3"/>
      <c r="S445" s="3"/>
      <c r="T445" s="3"/>
      <c r="U445" s="5" t="str">
        <f t="shared" si="26"/>
        <v/>
      </c>
    </row>
    <row r="446" spans="1:21" ht="28" customHeight="1" x14ac:dyDescent="0.35">
      <c r="A446" s="4">
        <v>9</v>
      </c>
      <c r="B446" s="4" t="s">
        <v>97</v>
      </c>
      <c r="C446" s="4" t="s">
        <v>98</v>
      </c>
      <c r="D446" s="4" t="s">
        <v>99</v>
      </c>
      <c r="E446" s="4" t="s">
        <v>69</v>
      </c>
      <c r="F446" s="4" t="s">
        <v>95</v>
      </c>
      <c r="G446" s="4" t="s">
        <v>96</v>
      </c>
      <c r="H446" s="4" t="s">
        <v>59</v>
      </c>
      <c r="I446" s="3"/>
      <c r="J446" s="3"/>
      <c r="K446" s="3"/>
      <c r="L446" s="3"/>
      <c r="M446" s="3"/>
      <c r="N446" s="3"/>
      <c r="O446" s="3"/>
      <c r="P446" s="8"/>
      <c r="Q446" s="8"/>
      <c r="R446" s="3"/>
      <c r="S446" s="3"/>
      <c r="T446" s="3"/>
      <c r="U446" s="5" t="str">
        <f t="shared" si="26"/>
        <v/>
      </c>
    </row>
    <row r="447" spans="1:21" ht="28" customHeight="1" x14ac:dyDescent="0.35">
      <c r="A447" s="4">
        <v>10</v>
      </c>
      <c r="B447" s="4" t="s">
        <v>97</v>
      </c>
      <c r="C447" s="4" t="s">
        <v>100</v>
      </c>
      <c r="D447" s="4" t="s">
        <v>101</v>
      </c>
      <c r="E447" s="4" t="s">
        <v>69</v>
      </c>
      <c r="F447" s="4" t="s">
        <v>95</v>
      </c>
      <c r="G447" s="4" t="s">
        <v>102</v>
      </c>
      <c r="H447" s="4" t="s">
        <v>59</v>
      </c>
      <c r="I447" s="3"/>
      <c r="J447" s="3"/>
      <c r="K447" s="3"/>
      <c r="L447" s="3"/>
      <c r="M447" s="3"/>
      <c r="N447" s="3"/>
      <c r="O447" s="3"/>
      <c r="P447" s="8"/>
      <c r="Q447" s="8"/>
      <c r="R447" s="3"/>
      <c r="S447" s="3"/>
      <c r="T447" s="3"/>
      <c r="U447" s="5" t="str">
        <f t="shared" si="26"/>
        <v/>
      </c>
    </row>
    <row r="448" spans="1:21" ht="28" customHeight="1" x14ac:dyDescent="0.35">
      <c r="A448" s="4">
        <v>11</v>
      </c>
      <c r="B448" s="4" t="s">
        <v>103</v>
      </c>
      <c r="C448" s="4" t="s">
        <v>104</v>
      </c>
      <c r="D448" s="4" t="s">
        <v>105</v>
      </c>
      <c r="E448" s="4" t="s">
        <v>69</v>
      </c>
      <c r="F448" s="4" t="s">
        <v>95</v>
      </c>
      <c r="G448" s="4" t="s">
        <v>96</v>
      </c>
      <c r="H448" s="4" t="s">
        <v>85</v>
      </c>
      <c r="I448" s="3"/>
      <c r="J448" s="3"/>
      <c r="K448" s="3"/>
      <c r="L448" s="3"/>
      <c r="M448" s="3"/>
      <c r="N448" s="3"/>
      <c r="O448" s="3"/>
      <c r="P448" s="8"/>
      <c r="Q448" s="8"/>
      <c r="R448" s="3"/>
      <c r="S448" s="3"/>
      <c r="T448" s="3"/>
      <c r="U448" s="5" t="str">
        <f t="shared" si="26"/>
        <v/>
      </c>
    </row>
    <row r="449" spans="1:21" ht="28" customHeight="1" x14ac:dyDescent="0.35">
      <c r="A449" s="4">
        <v>12</v>
      </c>
      <c r="B449" s="4" t="s">
        <v>106</v>
      </c>
      <c r="C449" s="4" t="s">
        <v>107</v>
      </c>
      <c r="D449" s="4" t="s">
        <v>108</v>
      </c>
      <c r="E449" s="4" t="s">
        <v>109</v>
      </c>
      <c r="F449" s="4" t="s">
        <v>95</v>
      </c>
      <c r="G449" s="4" t="s">
        <v>96</v>
      </c>
      <c r="H449" s="4" t="s">
        <v>59</v>
      </c>
      <c r="I449" s="3"/>
      <c r="J449" s="3"/>
      <c r="K449" s="3"/>
      <c r="L449" s="3"/>
      <c r="M449" s="3"/>
      <c r="N449" s="3"/>
      <c r="O449" s="3"/>
      <c r="P449" s="8"/>
      <c r="Q449" s="8"/>
      <c r="R449" s="3"/>
      <c r="S449" s="3"/>
      <c r="T449" s="3"/>
      <c r="U449" s="5" t="str">
        <f t="shared" si="26"/>
        <v/>
      </c>
    </row>
    <row r="451" spans="1:21" ht="28" customHeight="1" x14ac:dyDescent="0.35">
      <c r="A451" s="9" t="s">
        <v>110</v>
      </c>
      <c r="B451" s="16"/>
      <c r="C451" s="17"/>
      <c r="D451" s="17"/>
      <c r="E451" s="17"/>
      <c r="F451" s="17"/>
      <c r="G451" s="17"/>
      <c r="H451" s="17"/>
      <c r="I451" s="17"/>
      <c r="J451" s="17"/>
      <c r="K451" s="17"/>
      <c r="L451" s="17"/>
      <c r="M451" s="17"/>
      <c r="N451" s="17"/>
      <c r="O451" s="17"/>
      <c r="P451" s="17"/>
      <c r="Q451" s="17"/>
      <c r="R451" s="17"/>
      <c r="S451" s="17"/>
      <c r="T451" s="17"/>
      <c r="U451" s="18"/>
    </row>
    <row r="452" spans="1:21" ht="28" customHeight="1" x14ac:dyDescent="0.35">
      <c r="A452" s="19" t="s">
        <v>408</v>
      </c>
      <c r="B452" s="20"/>
      <c r="C452" s="20"/>
      <c r="D452" s="20"/>
      <c r="E452" s="20"/>
      <c r="F452" s="20"/>
      <c r="G452" s="20"/>
      <c r="H452" s="20"/>
      <c r="I452" s="20"/>
      <c r="J452" s="20"/>
      <c r="K452" s="20"/>
      <c r="L452" s="20"/>
      <c r="M452" s="20"/>
      <c r="N452" s="20"/>
      <c r="O452" s="20"/>
      <c r="P452" s="20"/>
      <c r="Q452" s="20"/>
      <c r="R452" s="20"/>
      <c r="S452" s="20"/>
      <c r="T452" s="20"/>
      <c r="U452" s="21"/>
    </row>
    <row r="453" spans="1:21" ht="28" customHeight="1" x14ac:dyDescent="0.35">
      <c r="A453" s="4" t="s">
        <v>31</v>
      </c>
      <c r="B453" s="3" t="s">
        <v>240</v>
      </c>
      <c r="C453" s="4" t="s">
        <v>32</v>
      </c>
      <c r="D453" s="3"/>
      <c r="E453" s="4" t="s">
        <v>33</v>
      </c>
      <c r="F453" s="8"/>
    </row>
    <row r="454" spans="1:21" ht="28" customHeight="1" x14ac:dyDescent="0.35">
      <c r="A454" s="1" t="s">
        <v>34</v>
      </c>
      <c r="B454" s="1" t="s">
        <v>35</v>
      </c>
      <c r="C454" s="1" t="s">
        <v>36</v>
      </c>
      <c r="D454" s="1" t="s">
        <v>37</v>
      </c>
      <c r="E454" s="1" t="s">
        <v>38</v>
      </c>
      <c r="F454" s="1" t="s">
        <v>39</v>
      </c>
      <c r="G454" s="1" t="s">
        <v>40</v>
      </c>
      <c r="H454" s="1" t="s">
        <v>41</v>
      </c>
      <c r="I454" s="1" t="s">
        <v>42</v>
      </c>
      <c r="J454" s="1" t="s">
        <v>43</v>
      </c>
      <c r="K454" s="1" t="s">
        <v>44</v>
      </c>
      <c r="L454" s="1" t="s">
        <v>45</v>
      </c>
      <c r="M454" s="1" t="s">
        <v>46</v>
      </c>
      <c r="N454" s="1" t="s">
        <v>47</v>
      </c>
      <c r="O454" s="1" t="s">
        <v>48</v>
      </c>
      <c r="P454" s="1" t="s">
        <v>4</v>
      </c>
      <c r="Q454" s="1" t="s">
        <v>49</v>
      </c>
      <c r="R454" s="1" t="s">
        <v>50</v>
      </c>
      <c r="S454" s="1" t="s">
        <v>51</v>
      </c>
      <c r="T454" s="1" t="s">
        <v>52</v>
      </c>
      <c r="U454" s="1" t="s">
        <v>10</v>
      </c>
    </row>
    <row r="455" spans="1:21" ht="28" customHeight="1" x14ac:dyDescent="0.35">
      <c r="A455" s="4">
        <v>1</v>
      </c>
      <c r="B455" s="4" t="s">
        <v>97</v>
      </c>
      <c r="C455" s="4" t="s">
        <v>362</v>
      </c>
      <c r="D455" s="4" t="s">
        <v>363</v>
      </c>
      <c r="E455" s="4" t="s">
        <v>69</v>
      </c>
      <c r="F455" s="4" t="s">
        <v>364</v>
      </c>
      <c r="G455" s="4" t="s">
        <v>199</v>
      </c>
      <c r="H455" s="4" t="s">
        <v>76</v>
      </c>
      <c r="I455" s="3"/>
      <c r="J455" s="3"/>
      <c r="K455" s="3"/>
      <c r="L455" s="3"/>
      <c r="M455" s="3"/>
      <c r="N455" s="3"/>
      <c r="O455" s="3"/>
      <c r="P455" s="8"/>
      <c r="Q455" s="8"/>
      <c r="R455" s="3"/>
      <c r="S455" s="3"/>
      <c r="T455" s="3"/>
      <c r="U455" s="5" t="str">
        <f t="shared" ref="U455:U466" si="27">IF(I455="","",IF(I455="NA","Grey",IF(I455=2,"Green",IF(I455=1,"Amber","Red"))))</f>
        <v/>
      </c>
    </row>
    <row r="456" spans="1:21" ht="28" customHeight="1" x14ac:dyDescent="0.35">
      <c r="A456" s="4">
        <v>2</v>
      </c>
      <c r="B456" s="4" t="s">
        <v>365</v>
      </c>
      <c r="C456" s="4" t="s">
        <v>366</v>
      </c>
      <c r="D456" s="4" t="s">
        <v>367</v>
      </c>
      <c r="E456" s="4" t="s">
        <v>69</v>
      </c>
      <c r="F456" s="4" t="s">
        <v>276</v>
      </c>
      <c r="G456" s="4" t="s">
        <v>199</v>
      </c>
      <c r="H456" s="4" t="s">
        <v>76</v>
      </c>
      <c r="I456" s="3"/>
      <c r="J456" s="3"/>
      <c r="K456" s="3"/>
      <c r="L456" s="3"/>
      <c r="M456" s="3"/>
      <c r="N456" s="3"/>
      <c r="O456" s="3"/>
      <c r="P456" s="8"/>
      <c r="Q456" s="8"/>
      <c r="R456" s="3"/>
      <c r="S456" s="3"/>
      <c r="T456" s="3"/>
      <c r="U456" s="5" t="str">
        <f t="shared" si="27"/>
        <v/>
      </c>
    </row>
    <row r="457" spans="1:21" ht="28" customHeight="1" x14ac:dyDescent="0.35">
      <c r="A457" s="4">
        <v>3</v>
      </c>
      <c r="B457" s="4" t="s">
        <v>365</v>
      </c>
      <c r="C457" s="4" t="s">
        <v>368</v>
      </c>
      <c r="D457" s="4" t="s">
        <v>369</v>
      </c>
      <c r="E457" s="4" t="s">
        <v>69</v>
      </c>
      <c r="F457" s="4" t="s">
        <v>370</v>
      </c>
      <c r="G457" s="4" t="s">
        <v>204</v>
      </c>
      <c r="H457" s="4" t="s">
        <v>76</v>
      </c>
      <c r="I457" s="3"/>
      <c r="J457" s="3"/>
      <c r="K457" s="3"/>
      <c r="L457" s="3"/>
      <c r="M457" s="3"/>
      <c r="N457" s="3"/>
      <c r="O457" s="3"/>
      <c r="P457" s="8"/>
      <c r="Q457" s="8"/>
      <c r="R457" s="3"/>
      <c r="S457" s="3"/>
      <c r="T457" s="3"/>
      <c r="U457" s="5" t="str">
        <f t="shared" si="27"/>
        <v/>
      </c>
    </row>
    <row r="458" spans="1:21" ht="28" customHeight="1" x14ac:dyDescent="0.35">
      <c r="A458" s="4">
        <v>4</v>
      </c>
      <c r="B458" s="4" t="s">
        <v>371</v>
      </c>
      <c r="C458" s="4" t="s">
        <v>372</v>
      </c>
      <c r="D458" s="4" t="s">
        <v>373</v>
      </c>
      <c r="E458" s="4" t="s">
        <v>69</v>
      </c>
      <c r="F458" s="4" t="s">
        <v>295</v>
      </c>
      <c r="G458" s="4" t="s">
        <v>199</v>
      </c>
      <c r="H458" s="4" t="s">
        <v>59</v>
      </c>
      <c r="I458" s="3"/>
      <c r="J458" s="3"/>
      <c r="K458" s="3"/>
      <c r="L458" s="3"/>
      <c r="M458" s="3"/>
      <c r="N458" s="3"/>
      <c r="O458" s="3"/>
      <c r="P458" s="8"/>
      <c r="Q458" s="8"/>
      <c r="R458" s="3"/>
      <c r="S458" s="3"/>
      <c r="T458" s="3"/>
      <c r="U458" s="5" t="str">
        <f t="shared" si="27"/>
        <v/>
      </c>
    </row>
    <row r="459" spans="1:21" ht="28" customHeight="1" x14ac:dyDescent="0.35">
      <c r="A459" s="4">
        <v>5</v>
      </c>
      <c r="B459" s="4" t="s">
        <v>374</v>
      </c>
      <c r="C459" s="4" t="s">
        <v>375</v>
      </c>
      <c r="D459" s="4" t="s">
        <v>376</v>
      </c>
      <c r="E459" s="4" t="s">
        <v>69</v>
      </c>
      <c r="F459" s="4" t="s">
        <v>276</v>
      </c>
      <c r="G459" s="4" t="s">
        <v>199</v>
      </c>
      <c r="H459" s="4" t="s">
        <v>59</v>
      </c>
      <c r="I459" s="3"/>
      <c r="J459" s="3"/>
      <c r="K459" s="3"/>
      <c r="L459" s="3"/>
      <c r="M459" s="3"/>
      <c r="N459" s="3"/>
      <c r="O459" s="3"/>
      <c r="P459" s="8"/>
      <c r="Q459" s="8"/>
      <c r="R459" s="3"/>
      <c r="S459" s="3"/>
      <c r="T459" s="3"/>
      <c r="U459" s="5" t="str">
        <f t="shared" si="27"/>
        <v/>
      </c>
    </row>
    <row r="460" spans="1:21" ht="28" customHeight="1" x14ac:dyDescent="0.35">
      <c r="A460" s="4">
        <v>6</v>
      </c>
      <c r="B460" s="4" t="s">
        <v>377</v>
      </c>
      <c r="C460" s="4" t="s">
        <v>378</v>
      </c>
      <c r="D460" s="4" t="s">
        <v>379</v>
      </c>
      <c r="E460" s="4" t="s">
        <v>69</v>
      </c>
      <c r="F460" s="4" t="s">
        <v>276</v>
      </c>
      <c r="G460" s="4" t="s">
        <v>199</v>
      </c>
      <c r="H460" s="4" t="s">
        <v>59</v>
      </c>
      <c r="I460" s="3"/>
      <c r="J460" s="3"/>
      <c r="K460" s="3"/>
      <c r="L460" s="3"/>
      <c r="M460" s="3"/>
      <c r="N460" s="3"/>
      <c r="O460" s="3"/>
      <c r="P460" s="8"/>
      <c r="Q460" s="8"/>
      <c r="R460" s="3"/>
      <c r="S460" s="3"/>
      <c r="T460" s="3"/>
      <c r="U460" s="5" t="str">
        <f t="shared" si="27"/>
        <v/>
      </c>
    </row>
    <row r="461" spans="1:21" ht="28" customHeight="1" x14ac:dyDescent="0.35">
      <c r="A461" s="4">
        <v>7</v>
      </c>
      <c r="B461" s="4" t="s">
        <v>380</v>
      </c>
      <c r="C461" s="4" t="s">
        <v>381</v>
      </c>
      <c r="D461" s="4" t="s">
        <v>382</v>
      </c>
      <c r="E461" s="4" t="s">
        <v>69</v>
      </c>
      <c r="F461" s="4" t="s">
        <v>276</v>
      </c>
      <c r="G461" s="4" t="s">
        <v>199</v>
      </c>
      <c r="H461" s="4" t="s">
        <v>59</v>
      </c>
      <c r="I461" s="3"/>
      <c r="J461" s="3"/>
      <c r="K461" s="3"/>
      <c r="L461" s="3"/>
      <c r="M461" s="3"/>
      <c r="N461" s="3"/>
      <c r="O461" s="3"/>
      <c r="P461" s="8"/>
      <c r="Q461" s="8"/>
      <c r="R461" s="3"/>
      <c r="S461" s="3"/>
      <c r="T461" s="3"/>
      <c r="U461" s="5" t="str">
        <f t="shared" si="27"/>
        <v/>
      </c>
    </row>
    <row r="462" spans="1:21" ht="28" customHeight="1" x14ac:dyDescent="0.35">
      <c r="A462" s="4">
        <v>8</v>
      </c>
      <c r="B462" s="4" t="s">
        <v>383</v>
      </c>
      <c r="C462" s="4" t="s">
        <v>384</v>
      </c>
      <c r="D462" s="4" t="s">
        <v>385</v>
      </c>
      <c r="E462" s="4" t="s">
        <v>69</v>
      </c>
      <c r="F462" s="4" t="s">
        <v>95</v>
      </c>
      <c r="G462" s="4" t="s">
        <v>96</v>
      </c>
      <c r="H462" s="4" t="s">
        <v>59</v>
      </c>
      <c r="I462" s="3"/>
      <c r="J462" s="3"/>
      <c r="K462" s="3"/>
      <c r="L462" s="3"/>
      <c r="M462" s="3"/>
      <c r="N462" s="3"/>
      <c r="O462" s="3"/>
      <c r="P462" s="8"/>
      <c r="Q462" s="8"/>
      <c r="R462" s="3"/>
      <c r="S462" s="3"/>
      <c r="T462" s="3"/>
      <c r="U462" s="5" t="str">
        <f t="shared" si="27"/>
        <v/>
      </c>
    </row>
    <row r="463" spans="1:21" ht="28" customHeight="1" x14ac:dyDescent="0.35">
      <c r="A463" s="4">
        <v>9</v>
      </c>
      <c r="B463" s="4" t="s">
        <v>97</v>
      </c>
      <c r="C463" s="4" t="s">
        <v>98</v>
      </c>
      <c r="D463" s="4" t="s">
        <v>99</v>
      </c>
      <c r="E463" s="4" t="s">
        <v>69</v>
      </c>
      <c r="F463" s="4" t="s">
        <v>95</v>
      </c>
      <c r="G463" s="4" t="s">
        <v>96</v>
      </c>
      <c r="H463" s="4" t="s">
        <v>59</v>
      </c>
      <c r="I463" s="3"/>
      <c r="J463" s="3"/>
      <c r="K463" s="3"/>
      <c r="L463" s="3"/>
      <c r="M463" s="3"/>
      <c r="N463" s="3"/>
      <c r="O463" s="3"/>
      <c r="P463" s="8"/>
      <c r="Q463" s="8"/>
      <c r="R463" s="3"/>
      <c r="S463" s="3"/>
      <c r="T463" s="3"/>
      <c r="U463" s="5" t="str">
        <f t="shared" si="27"/>
        <v/>
      </c>
    </row>
    <row r="464" spans="1:21" ht="28" customHeight="1" x14ac:dyDescent="0.35">
      <c r="A464" s="4">
        <v>10</v>
      </c>
      <c r="B464" s="4" t="s">
        <v>97</v>
      </c>
      <c r="C464" s="4" t="s">
        <v>100</v>
      </c>
      <c r="D464" s="4" t="s">
        <v>101</v>
      </c>
      <c r="E464" s="4" t="s">
        <v>69</v>
      </c>
      <c r="F464" s="4" t="s">
        <v>95</v>
      </c>
      <c r="G464" s="4" t="s">
        <v>102</v>
      </c>
      <c r="H464" s="4" t="s">
        <v>59</v>
      </c>
      <c r="I464" s="3"/>
      <c r="J464" s="3"/>
      <c r="K464" s="3"/>
      <c r="L464" s="3"/>
      <c r="M464" s="3"/>
      <c r="N464" s="3"/>
      <c r="O464" s="3"/>
      <c r="P464" s="8"/>
      <c r="Q464" s="8"/>
      <c r="R464" s="3"/>
      <c r="S464" s="3"/>
      <c r="T464" s="3"/>
      <c r="U464" s="5" t="str">
        <f t="shared" si="27"/>
        <v/>
      </c>
    </row>
    <row r="465" spans="1:21" ht="28" customHeight="1" x14ac:dyDescent="0.35">
      <c r="A465" s="4">
        <v>11</v>
      </c>
      <c r="B465" s="4" t="s">
        <v>103</v>
      </c>
      <c r="C465" s="4" t="s">
        <v>104</v>
      </c>
      <c r="D465" s="4" t="s">
        <v>105</v>
      </c>
      <c r="E465" s="4" t="s">
        <v>69</v>
      </c>
      <c r="F465" s="4" t="s">
        <v>95</v>
      </c>
      <c r="G465" s="4" t="s">
        <v>96</v>
      </c>
      <c r="H465" s="4" t="s">
        <v>85</v>
      </c>
      <c r="I465" s="3"/>
      <c r="J465" s="3"/>
      <c r="K465" s="3"/>
      <c r="L465" s="3"/>
      <c r="M465" s="3"/>
      <c r="N465" s="3"/>
      <c r="O465" s="3"/>
      <c r="P465" s="8"/>
      <c r="Q465" s="8"/>
      <c r="R465" s="3"/>
      <c r="S465" s="3"/>
      <c r="T465" s="3"/>
      <c r="U465" s="5" t="str">
        <f t="shared" si="27"/>
        <v/>
      </c>
    </row>
    <row r="466" spans="1:21" ht="28" customHeight="1" x14ac:dyDescent="0.35">
      <c r="A466" s="4">
        <v>12</v>
      </c>
      <c r="B466" s="4" t="s">
        <v>106</v>
      </c>
      <c r="C466" s="4" t="s">
        <v>107</v>
      </c>
      <c r="D466" s="4" t="s">
        <v>108</v>
      </c>
      <c r="E466" s="4" t="s">
        <v>109</v>
      </c>
      <c r="F466" s="4" t="s">
        <v>95</v>
      </c>
      <c r="G466" s="4" t="s">
        <v>96</v>
      </c>
      <c r="H466" s="4" t="s">
        <v>59</v>
      </c>
      <c r="I466" s="3"/>
      <c r="J466" s="3"/>
      <c r="K466" s="3"/>
      <c r="L466" s="3"/>
      <c r="M466" s="3"/>
      <c r="N466" s="3"/>
      <c r="O466" s="3"/>
      <c r="P466" s="8"/>
      <c r="Q466" s="8"/>
      <c r="R466" s="3"/>
      <c r="S466" s="3"/>
      <c r="T466" s="3"/>
      <c r="U466" s="5" t="str">
        <f t="shared" si="27"/>
        <v/>
      </c>
    </row>
    <row r="468" spans="1:21" ht="28" customHeight="1" x14ac:dyDescent="0.35">
      <c r="A468" s="9" t="s">
        <v>110</v>
      </c>
      <c r="B468" s="16"/>
      <c r="C468" s="17"/>
      <c r="D468" s="17"/>
      <c r="E468" s="17"/>
      <c r="F468" s="17"/>
      <c r="G468" s="17"/>
      <c r="H468" s="17"/>
      <c r="I468" s="17"/>
      <c r="J468" s="17"/>
      <c r="K468" s="17"/>
      <c r="L468" s="17"/>
      <c r="M468" s="17"/>
      <c r="N468" s="17"/>
      <c r="O468" s="17"/>
      <c r="P468" s="17"/>
      <c r="Q468" s="17"/>
      <c r="R468" s="17"/>
      <c r="S468" s="17"/>
      <c r="T468" s="17"/>
      <c r="U468" s="18"/>
    </row>
    <row r="469" spans="1:21" ht="28" customHeight="1" x14ac:dyDescent="0.35">
      <c r="A469" s="19" t="s">
        <v>409</v>
      </c>
      <c r="B469" s="20"/>
      <c r="C469" s="20"/>
      <c r="D469" s="20"/>
      <c r="E469" s="20"/>
      <c r="F469" s="20"/>
      <c r="G469" s="20"/>
      <c r="H469" s="20"/>
      <c r="I469" s="20"/>
      <c r="J469" s="20"/>
      <c r="K469" s="20"/>
      <c r="L469" s="20"/>
      <c r="M469" s="20"/>
      <c r="N469" s="20"/>
      <c r="O469" s="20"/>
      <c r="P469" s="20"/>
      <c r="Q469" s="20"/>
      <c r="R469" s="20"/>
      <c r="S469" s="20"/>
      <c r="T469" s="20"/>
      <c r="U469" s="21"/>
    </row>
    <row r="470" spans="1:21" ht="28" customHeight="1" x14ac:dyDescent="0.35">
      <c r="A470" s="4" t="s">
        <v>31</v>
      </c>
      <c r="B470" s="3" t="s">
        <v>241</v>
      </c>
      <c r="C470" s="4" t="s">
        <v>32</v>
      </c>
      <c r="D470" s="3"/>
      <c r="E470" s="4" t="s">
        <v>33</v>
      </c>
      <c r="F470" s="8"/>
    </row>
    <row r="471" spans="1:21" ht="28" customHeight="1" x14ac:dyDescent="0.35">
      <c r="A471" s="1" t="s">
        <v>34</v>
      </c>
      <c r="B471" s="1" t="s">
        <v>35</v>
      </c>
      <c r="C471" s="1" t="s">
        <v>36</v>
      </c>
      <c r="D471" s="1" t="s">
        <v>37</v>
      </c>
      <c r="E471" s="1" t="s">
        <v>38</v>
      </c>
      <c r="F471" s="1" t="s">
        <v>39</v>
      </c>
      <c r="G471" s="1" t="s">
        <v>40</v>
      </c>
      <c r="H471" s="1" t="s">
        <v>41</v>
      </c>
      <c r="I471" s="1" t="s">
        <v>42</v>
      </c>
      <c r="J471" s="1" t="s">
        <v>43</v>
      </c>
      <c r="K471" s="1" t="s">
        <v>44</v>
      </c>
      <c r="L471" s="1" t="s">
        <v>45</v>
      </c>
      <c r="M471" s="1" t="s">
        <v>46</v>
      </c>
      <c r="N471" s="1" t="s">
        <v>47</v>
      </c>
      <c r="O471" s="1" t="s">
        <v>48</v>
      </c>
      <c r="P471" s="1" t="s">
        <v>4</v>
      </c>
      <c r="Q471" s="1" t="s">
        <v>49</v>
      </c>
      <c r="R471" s="1" t="s">
        <v>50</v>
      </c>
      <c r="S471" s="1" t="s">
        <v>51</v>
      </c>
      <c r="T471" s="1" t="s">
        <v>52</v>
      </c>
      <c r="U471" s="1" t="s">
        <v>10</v>
      </c>
    </row>
    <row r="472" spans="1:21" ht="28" customHeight="1" x14ac:dyDescent="0.35">
      <c r="A472" s="4">
        <v>1</v>
      </c>
      <c r="B472" s="4" t="s">
        <v>97</v>
      </c>
      <c r="C472" s="4" t="s">
        <v>362</v>
      </c>
      <c r="D472" s="4" t="s">
        <v>363</v>
      </c>
      <c r="E472" s="4" t="s">
        <v>69</v>
      </c>
      <c r="F472" s="4" t="s">
        <v>364</v>
      </c>
      <c r="G472" s="4" t="s">
        <v>199</v>
      </c>
      <c r="H472" s="4" t="s">
        <v>76</v>
      </c>
      <c r="I472" s="3"/>
      <c r="J472" s="3"/>
      <c r="K472" s="3"/>
      <c r="L472" s="3"/>
      <c r="M472" s="3"/>
      <c r="N472" s="3"/>
      <c r="O472" s="3"/>
      <c r="P472" s="8"/>
      <c r="Q472" s="8"/>
      <c r="R472" s="3"/>
      <c r="S472" s="3"/>
      <c r="T472" s="3"/>
      <c r="U472" s="5" t="str">
        <f t="shared" ref="U472:U483" si="28">IF(I472="","",IF(I472="NA","Grey",IF(I472=2,"Green",IF(I472=1,"Amber","Red"))))</f>
        <v/>
      </c>
    </row>
    <row r="473" spans="1:21" ht="28" customHeight="1" x14ac:dyDescent="0.35">
      <c r="A473" s="4">
        <v>2</v>
      </c>
      <c r="B473" s="4" t="s">
        <v>365</v>
      </c>
      <c r="C473" s="4" t="s">
        <v>366</v>
      </c>
      <c r="D473" s="4" t="s">
        <v>367</v>
      </c>
      <c r="E473" s="4" t="s">
        <v>69</v>
      </c>
      <c r="F473" s="4" t="s">
        <v>276</v>
      </c>
      <c r="G473" s="4" t="s">
        <v>199</v>
      </c>
      <c r="H473" s="4" t="s">
        <v>76</v>
      </c>
      <c r="I473" s="3"/>
      <c r="J473" s="3"/>
      <c r="K473" s="3"/>
      <c r="L473" s="3"/>
      <c r="M473" s="3"/>
      <c r="N473" s="3"/>
      <c r="O473" s="3"/>
      <c r="P473" s="8"/>
      <c r="Q473" s="8"/>
      <c r="R473" s="3"/>
      <c r="S473" s="3"/>
      <c r="T473" s="3"/>
      <c r="U473" s="5" t="str">
        <f t="shared" si="28"/>
        <v/>
      </c>
    </row>
    <row r="474" spans="1:21" ht="28" customHeight="1" x14ac:dyDescent="0.35">
      <c r="A474" s="4">
        <v>3</v>
      </c>
      <c r="B474" s="4" t="s">
        <v>365</v>
      </c>
      <c r="C474" s="4" t="s">
        <v>368</v>
      </c>
      <c r="D474" s="4" t="s">
        <v>369</v>
      </c>
      <c r="E474" s="4" t="s">
        <v>69</v>
      </c>
      <c r="F474" s="4" t="s">
        <v>370</v>
      </c>
      <c r="G474" s="4" t="s">
        <v>204</v>
      </c>
      <c r="H474" s="4" t="s">
        <v>76</v>
      </c>
      <c r="I474" s="3"/>
      <c r="J474" s="3"/>
      <c r="K474" s="3"/>
      <c r="L474" s="3"/>
      <c r="M474" s="3"/>
      <c r="N474" s="3"/>
      <c r="O474" s="3"/>
      <c r="P474" s="8"/>
      <c r="Q474" s="8"/>
      <c r="R474" s="3"/>
      <c r="S474" s="3"/>
      <c r="T474" s="3"/>
      <c r="U474" s="5" t="str">
        <f t="shared" si="28"/>
        <v/>
      </c>
    </row>
    <row r="475" spans="1:21" ht="28" customHeight="1" x14ac:dyDescent="0.35">
      <c r="A475" s="4">
        <v>4</v>
      </c>
      <c r="B475" s="4" t="s">
        <v>371</v>
      </c>
      <c r="C475" s="4" t="s">
        <v>372</v>
      </c>
      <c r="D475" s="4" t="s">
        <v>373</v>
      </c>
      <c r="E475" s="4" t="s">
        <v>69</v>
      </c>
      <c r="F475" s="4" t="s">
        <v>295</v>
      </c>
      <c r="G475" s="4" t="s">
        <v>199</v>
      </c>
      <c r="H475" s="4" t="s">
        <v>59</v>
      </c>
      <c r="I475" s="3"/>
      <c r="J475" s="3"/>
      <c r="K475" s="3"/>
      <c r="L475" s="3"/>
      <c r="M475" s="3"/>
      <c r="N475" s="3"/>
      <c r="O475" s="3"/>
      <c r="P475" s="8"/>
      <c r="Q475" s="8"/>
      <c r="R475" s="3"/>
      <c r="S475" s="3"/>
      <c r="T475" s="3"/>
      <c r="U475" s="5" t="str">
        <f t="shared" si="28"/>
        <v/>
      </c>
    </row>
    <row r="476" spans="1:21" ht="28" customHeight="1" x14ac:dyDescent="0.35">
      <c r="A476" s="4">
        <v>5</v>
      </c>
      <c r="B476" s="4" t="s">
        <v>374</v>
      </c>
      <c r="C476" s="4" t="s">
        <v>375</v>
      </c>
      <c r="D476" s="4" t="s">
        <v>376</v>
      </c>
      <c r="E476" s="4" t="s">
        <v>69</v>
      </c>
      <c r="F476" s="4" t="s">
        <v>276</v>
      </c>
      <c r="G476" s="4" t="s">
        <v>199</v>
      </c>
      <c r="H476" s="4" t="s">
        <v>59</v>
      </c>
      <c r="I476" s="3"/>
      <c r="J476" s="3"/>
      <c r="K476" s="3"/>
      <c r="L476" s="3"/>
      <c r="M476" s="3"/>
      <c r="N476" s="3"/>
      <c r="O476" s="3"/>
      <c r="P476" s="8"/>
      <c r="Q476" s="8"/>
      <c r="R476" s="3"/>
      <c r="S476" s="3"/>
      <c r="T476" s="3"/>
      <c r="U476" s="5" t="str">
        <f t="shared" si="28"/>
        <v/>
      </c>
    </row>
    <row r="477" spans="1:21" ht="28" customHeight="1" x14ac:dyDescent="0.35">
      <c r="A477" s="4">
        <v>6</v>
      </c>
      <c r="B477" s="4" t="s">
        <v>377</v>
      </c>
      <c r="C477" s="4" t="s">
        <v>378</v>
      </c>
      <c r="D477" s="4" t="s">
        <v>379</v>
      </c>
      <c r="E477" s="4" t="s">
        <v>69</v>
      </c>
      <c r="F477" s="4" t="s">
        <v>276</v>
      </c>
      <c r="G477" s="4" t="s">
        <v>199</v>
      </c>
      <c r="H477" s="4" t="s">
        <v>59</v>
      </c>
      <c r="I477" s="3"/>
      <c r="J477" s="3"/>
      <c r="K477" s="3"/>
      <c r="L477" s="3"/>
      <c r="M477" s="3"/>
      <c r="N477" s="3"/>
      <c r="O477" s="3"/>
      <c r="P477" s="8"/>
      <c r="Q477" s="8"/>
      <c r="R477" s="3"/>
      <c r="S477" s="3"/>
      <c r="T477" s="3"/>
      <c r="U477" s="5" t="str">
        <f t="shared" si="28"/>
        <v/>
      </c>
    </row>
    <row r="478" spans="1:21" ht="28" customHeight="1" x14ac:dyDescent="0.35">
      <c r="A478" s="4">
        <v>7</v>
      </c>
      <c r="B478" s="4" t="s">
        <v>380</v>
      </c>
      <c r="C478" s="4" t="s">
        <v>381</v>
      </c>
      <c r="D478" s="4" t="s">
        <v>382</v>
      </c>
      <c r="E478" s="4" t="s">
        <v>69</v>
      </c>
      <c r="F478" s="4" t="s">
        <v>276</v>
      </c>
      <c r="G478" s="4" t="s">
        <v>199</v>
      </c>
      <c r="H478" s="4" t="s">
        <v>59</v>
      </c>
      <c r="I478" s="3"/>
      <c r="J478" s="3"/>
      <c r="K478" s="3"/>
      <c r="L478" s="3"/>
      <c r="M478" s="3"/>
      <c r="N478" s="3"/>
      <c r="O478" s="3"/>
      <c r="P478" s="8"/>
      <c r="Q478" s="8"/>
      <c r="R478" s="3"/>
      <c r="S478" s="3"/>
      <c r="T478" s="3"/>
      <c r="U478" s="5" t="str">
        <f t="shared" si="28"/>
        <v/>
      </c>
    </row>
    <row r="479" spans="1:21" ht="28" customHeight="1" x14ac:dyDescent="0.35">
      <c r="A479" s="4">
        <v>8</v>
      </c>
      <c r="B479" s="4" t="s">
        <v>383</v>
      </c>
      <c r="C479" s="4" t="s">
        <v>384</v>
      </c>
      <c r="D479" s="4" t="s">
        <v>385</v>
      </c>
      <c r="E479" s="4" t="s">
        <v>69</v>
      </c>
      <c r="F479" s="4" t="s">
        <v>95</v>
      </c>
      <c r="G479" s="4" t="s">
        <v>96</v>
      </c>
      <c r="H479" s="4" t="s">
        <v>59</v>
      </c>
      <c r="I479" s="3"/>
      <c r="J479" s="3"/>
      <c r="K479" s="3"/>
      <c r="L479" s="3"/>
      <c r="M479" s="3"/>
      <c r="N479" s="3"/>
      <c r="O479" s="3"/>
      <c r="P479" s="8"/>
      <c r="Q479" s="8"/>
      <c r="R479" s="3"/>
      <c r="S479" s="3"/>
      <c r="T479" s="3"/>
      <c r="U479" s="5" t="str">
        <f t="shared" si="28"/>
        <v/>
      </c>
    </row>
    <row r="480" spans="1:21" ht="28" customHeight="1" x14ac:dyDescent="0.35">
      <c r="A480" s="4">
        <v>9</v>
      </c>
      <c r="B480" s="4" t="s">
        <v>97</v>
      </c>
      <c r="C480" s="4" t="s">
        <v>98</v>
      </c>
      <c r="D480" s="4" t="s">
        <v>99</v>
      </c>
      <c r="E480" s="4" t="s">
        <v>69</v>
      </c>
      <c r="F480" s="4" t="s">
        <v>95</v>
      </c>
      <c r="G480" s="4" t="s">
        <v>96</v>
      </c>
      <c r="H480" s="4" t="s">
        <v>59</v>
      </c>
      <c r="I480" s="3"/>
      <c r="J480" s="3"/>
      <c r="K480" s="3"/>
      <c r="L480" s="3"/>
      <c r="M480" s="3"/>
      <c r="N480" s="3"/>
      <c r="O480" s="3"/>
      <c r="P480" s="8"/>
      <c r="Q480" s="8"/>
      <c r="R480" s="3"/>
      <c r="S480" s="3"/>
      <c r="T480" s="3"/>
      <c r="U480" s="5" t="str">
        <f t="shared" si="28"/>
        <v/>
      </c>
    </row>
    <row r="481" spans="1:21" ht="28" customHeight="1" x14ac:dyDescent="0.35">
      <c r="A481" s="4">
        <v>10</v>
      </c>
      <c r="B481" s="4" t="s">
        <v>97</v>
      </c>
      <c r="C481" s="4" t="s">
        <v>100</v>
      </c>
      <c r="D481" s="4" t="s">
        <v>101</v>
      </c>
      <c r="E481" s="4" t="s">
        <v>69</v>
      </c>
      <c r="F481" s="4" t="s">
        <v>95</v>
      </c>
      <c r="G481" s="4" t="s">
        <v>102</v>
      </c>
      <c r="H481" s="4" t="s">
        <v>59</v>
      </c>
      <c r="I481" s="3"/>
      <c r="J481" s="3"/>
      <c r="K481" s="3"/>
      <c r="L481" s="3"/>
      <c r="M481" s="3"/>
      <c r="N481" s="3"/>
      <c r="O481" s="3"/>
      <c r="P481" s="8"/>
      <c r="Q481" s="8"/>
      <c r="R481" s="3"/>
      <c r="S481" s="3"/>
      <c r="T481" s="3"/>
      <c r="U481" s="5" t="str">
        <f t="shared" si="28"/>
        <v/>
      </c>
    </row>
    <row r="482" spans="1:21" ht="28" customHeight="1" x14ac:dyDescent="0.35">
      <c r="A482" s="4">
        <v>11</v>
      </c>
      <c r="B482" s="4" t="s">
        <v>103</v>
      </c>
      <c r="C482" s="4" t="s">
        <v>104</v>
      </c>
      <c r="D482" s="4" t="s">
        <v>105</v>
      </c>
      <c r="E482" s="4" t="s">
        <v>69</v>
      </c>
      <c r="F482" s="4" t="s">
        <v>95</v>
      </c>
      <c r="G482" s="4" t="s">
        <v>96</v>
      </c>
      <c r="H482" s="4" t="s">
        <v>85</v>
      </c>
      <c r="I482" s="3"/>
      <c r="J482" s="3"/>
      <c r="K482" s="3"/>
      <c r="L482" s="3"/>
      <c r="M482" s="3"/>
      <c r="N482" s="3"/>
      <c r="O482" s="3"/>
      <c r="P482" s="8"/>
      <c r="Q482" s="8"/>
      <c r="R482" s="3"/>
      <c r="S482" s="3"/>
      <c r="T482" s="3"/>
      <c r="U482" s="5" t="str">
        <f t="shared" si="28"/>
        <v/>
      </c>
    </row>
    <row r="483" spans="1:21" ht="28" customHeight="1" x14ac:dyDescent="0.35">
      <c r="A483" s="4">
        <v>12</v>
      </c>
      <c r="B483" s="4" t="s">
        <v>106</v>
      </c>
      <c r="C483" s="4" t="s">
        <v>107</v>
      </c>
      <c r="D483" s="4" t="s">
        <v>108</v>
      </c>
      <c r="E483" s="4" t="s">
        <v>109</v>
      </c>
      <c r="F483" s="4" t="s">
        <v>95</v>
      </c>
      <c r="G483" s="4" t="s">
        <v>96</v>
      </c>
      <c r="H483" s="4" t="s">
        <v>59</v>
      </c>
      <c r="I483" s="3"/>
      <c r="J483" s="3"/>
      <c r="K483" s="3"/>
      <c r="L483" s="3"/>
      <c r="M483" s="3"/>
      <c r="N483" s="3"/>
      <c r="O483" s="3"/>
      <c r="P483" s="8"/>
      <c r="Q483" s="8"/>
      <c r="R483" s="3"/>
      <c r="S483" s="3"/>
      <c r="T483" s="3"/>
      <c r="U483" s="5" t="str">
        <f t="shared" si="28"/>
        <v/>
      </c>
    </row>
    <row r="485" spans="1:21" ht="28" customHeight="1" x14ac:dyDescent="0.35">
      <c r="A485" s="9" t="s">
        <v>110</v>
      </c>
      <c r="B485" s="16"/>
      <c r="C485" s="17"/>
      <c r="D485" s="17"/>
      <c r="E485" s="17"/>
      <c r="F485" s="17"/>
      <c r="G485" s="17"/>
      <c r="H485" s="17"/>
      <c r="I485" s="17"/>
      <c r="J485" s="17"/>
      <c r="K485" s="17"/>
      <c r="L485" s="17"/>
      <c r="M485" s="17"/>
      <c r="N485" s="17"/>
      <c r="O485" s="17"/>
      <c r="P485" s="17"/>
      <c r="Q485" s="17"/>
      <c r="R485" s="17"/>
      <c r="S485" s="17"/>
      <c r="T485" s="17"/>
      <c r="U485" s="18"/>
    </row>
    <row r="486" spans="1:21" ht="28" customHeight="1" x14ac:dyDescent="0.35">
      <c r="A486" s="19" t="s">
        <v>410</v>
      </c>
      <c r="B486" s="20"/>
      <c r="C486" s="20"/>
      <c r="D486" s="20"/>
      <c r="E486" s="20"/>
      <c r="F486" s="20"/>
      <c r="G486" s="20"/>
      <c r="H486" s="20"/>
      <c r="I486" s="20"/>
      <c r="J486" s="20"/>
      <c r="K486" s="20"/>
      <c r="L486" s="20"/>
      <c r="M486" s="20"/>
      <c r="N486" s="20"/>
      <c r="O486" s="20"/>
      <c r="P486" s="20"/>
      <c r="Q486" s="20"/>
      <c r="R486" s="20"/>
      <c r="S486" s="20"/>
      <c r="T486" s="20"/>
      <c r="U486" s="21"/>
    </row>
    <row r="487" spans="1:21" ht="28" customHeight="1" x14ac:dyDescent="0.35">
      <c r="A487" s="4" t="s">
        <v>31</v>
      </c>
      <c r="B487" s="3" t="s">
        <v>242</v>
      </c>
      <c r="C487" s="4" t="s">
        <v>32</v>
      </c>
      <c r="D487" s="3"/>
      <c r="E487" s="4" t="s">
        <v>33</v>
      </c>
      <c r="F487" s="8"/>
    </row>
    <row r="488" spans="1:21" ht="28" customHeight="1" x14ac:dyDescent="0.35">
      <c r="A488" s="1" t="s">
        <v>34</v>
      </c>
      <c r="B488" s="1" t="s">
        <v>35</v>
      </c>
      <c r="C488" s="1" t="s">
        <v>36</v>
      </c>
      <c r="D488" s="1" t="s">
        <v>37</v>
      </c>
      <c r="E488" s="1" t="s">
        <v>38</v>
      </c>
      <c r="F488" s="1" t="s">
        <v>39</v>
      </c>
      <c r="G488" s="1" t="s">
        <v>40</v>
      </c>
      <c r="H488" s="1" t="s">
        <v>41</v>
      </c>
      <c r="I488" s="1" t="s">
        <v>42</v>
      </c>
      <c r="J488" s="1" t="s">
        <v>43</v>
      </c>
      <c r="K488" s="1" t="s">
        <v>44</v>
      </c>
      <c r="L488" s="1" t="s">
        <v>45</v>
      </c>
      <c r="M488" s="1" t="s">
        <v>46</v>
      </c>
      <c r="N488" s="1" t="s">
        <v>47</v>
      </c>
      <c r="O488" s="1" t="s">
        <v>48</v>
      </c>
      <c r="P488" s="1" t="s">
        <v>4</v>
      </c>
      <c r="Q488" s="1" t="s">
        <v>49</v>
      </c>
      <c r="R488" s="1" t="s">
        <v>50</v>
      </c>
      <c r="S488" s="1" t="s">
        <v>51</v>
      </c>
      <c r="T488" s="1" t="s">
        <v>52</v>
      </c>
      <c r="U488" s="1" t="s">
        <v>10</v>
      </c>
    </row>
    <row r="489" spans="1:21" ht="28" customHeight="1" x14ac:dyDescent="0.35">
      <c r="A489" s="4">
        <v>1</v>
      </c>
      <c r="B489" s="4" t="s">
        <v>97</v>
      </c>
      <c r="C489" s="4" t="s">
        <v>362</v>
      </c>
      <c r="D489" s="4" t="s">
        <v>363</v>
      </c>
      <c r="E489" s="4" t="s">
        <v>69</v>
      </c>
      <c r="F489" s="4" t="s">
        <v>364</v>
      </c>
      <c r="G489" s="4" t="s">
        <v>199</v>
      </c>
      <c r="H489" s="4" t="s">
        <v>76</v>
      </c>
      <c r="I489" s="3"/>
      <c r="J489" s="3"/>
      <c r="K489" s="3"/>
      <c r="L489" s="3"/>
      <c r="M489" s="3"/>
      <c r="N489" s="3"/>
      <c r="O489" s="3"/>
      <c r="P489" s="8"/>
      <c r="Q489" s="8"/>
      <c r="R489" s="3"/>
      <c r="S489" s="3"/>
      <c r="T489" s="3"/>
      <c r="U489" s="5" t="str">
        <f t="shared" ref="U489:U500" si="29">IF(I489="","",IF(I489="NA","Grey",IF(I489=2,"Green",IF(I489=1,"Amber","Red"))))</f>
        <v/>
      </c>
    </row>
    <row r="490" spans="1:21" ht="28" customHeight="1" x14ac:dyDescent="0.35">
      <c r="A490" s="4">
        <v>2</v>
      </c>
      <c r="B490" s="4" t="s">
        <v>365</v>
      </c>
      <c r="C490" s="4" t="s">
        <v>366</v>
      </c>
      <c r="D490" s="4" t="s">
        <v>367</v>
      </c>
      <c r="E490" s="4" t="s">
        <v>69</v>
      </c>
      <c r="F490" s="4" t="s">
        <v>276</v>
      </c>
      <c r="G490" s="4" t="s">
        <v>199</v>
      </c>
      <c r="H490" s="4" t="s">
        <v>76</v>
      </c>
      <c r="I490" s="3"/>
      <c r="J490" s="3"/>
      <c r="K490" s="3"/>
      <c r="L490" s="3"/>
      <c r="M490" s="3"/>
      <c r="N490" s="3"/>
      <c r="O490" s="3"/>
      <c r="P490" s="8"/>
      <c r="Q490" s="8"/>
      <c r="R490" s="3"/>
      <c r="S490" s="3"/>
      <c r="T490" s="3"/>
      <c r="U490" s="5" t="str">
        <f t="shared" si="29"/>
        <v/>
      </c>
    </row>
    <row r="491" spans="1:21" ht="28" customHeight="1" x14ac:dyDescent="0.35">
      <c r="A491" s="4">
        <v>3</v>
      </c>
      <c r="B491" s="4" t="s">
        <v>365</v>
      </c>
      <c r="C491" s="4" t="s">
        <v>368</v>
      </c>
      <c r="D491" s="4" t="s">
        <v>369</v>
      </c>
      <c r="E491" s="4" t="s">
        <v>69</v>
      </c>
      <c r="F491" s="4" t="s">
        <v>370</v>
      </c>
      <c r="G491" s="4" t="s">
        <v>204</v>
      </c>
      <c r="H491" s="4" t="s">
        <v>76</v>
      </c>
      <c r="I491" s="3"/>
      <c r="J491" s="3"/>
      <c r="K491" s="3"/>
      <c r="L491" s="3"/>
      <c r="M491" s="3"/>
      <c r="N491" s="3"/>
      <c r="O491" s="3"/>
      <c r="P491" s="8"/>
      <c r="Q491" s="8"/>
      <c r="R491" s="3"/>
      <c r="S491" s="3"/>
      <c r="T491" s="3"/>
      <c r="U491" s="5" t="str">
        <f t="shared" si="29"/>
        <v/>
      </c>
    </row>
    <row r="492" spans="1:21" ht="28" customHeight="1" x14ac:dyDescent="0.35">
      <c r="A492" s="4">
        <v>4</v>
      </c>
      <c r="B492" s="4" t="s">
        <v>371</v>
      </c>
      <c r="C492" s="4" t="s">
        <v>372</v>
      </c>
      <c r="D492" s="4" t="s">
        <v>373</v>
      </c>
      <c r="E492" s="4" t="s">
        <v>69</v>
      </c>
      <c r="F492" s="4" t="s">
        <v>295</v>
      </c>
      <c r="G492" s="4" t="s">
        <v>199</v>
      </c>
      <c r="H492" s="4" t="s">
        <v>59</v>
      </c>
      <c r="I492" s="3"/>
      <c r="J492" s="3"/>
      <c r="K492" s="3"/>
      <c r="L492" s="3"/>
      <c r="M492" s="3"/>
      <c r="N492" s="3"/>
      <c r="O492" s="3"/>
      <c r="P492" s="8"/>
      <c r="Q492" s="8"/>
      <c r="R492" s="3"/>
      <c r="S492" s="3"/>
      <c r="T492" s="3"/>
      <c r="U492" s="5" t="str">
        <f t="shared" si="29"/>
        <v/>
      </c>
    </row>
    <row r="493" spans="1:21" ht="28" customHeight="1" x14ac:dyDescent="0.35">
      <c r="A493" s="4">
        <v>5</v>
      </c>
      <c r="B493" s="4" t="s">
        <v>374</v>
      </c>
      <c r="C493" s="4" t="s">
        <v>375</v>
      </c>
      <c r="D493" s="4" t="s">
        <v>376</v>
      </c>
      <c r="E493" s="4" t="s">
        <v>69</v>
      </c>
      <c r="F493" s="4" t="s">
        <v>276</v>
      </c>
      <c r="G493" s="4" t="s">
        <v>199</v>
      </c>
      <c r="H493" s="4" t="s">
        <v>59</v>
      </c>
      <c r="I493" s="3"/>
      <c r="J493" s="3"/>
      <c r="K493" s="3"/>
      <c r="L493" s="3"/>
      <c r="M493" s="3"/>
      <c r="N493" s="3"/>
      <c r="O493" s="3"/>
      <c r="P493" s="8"/>
      <c r="Q493" s="8"/>
      <c r="R493" s="3"/>
      <c r="S493" s="3"/>
      <c r="T493" s="3"/>
      <c r="U493" s="5" t="str">
        <f t="shared" si="29"/>
        <v/>
      </c>
    </row>
    <row r="494" spans="1:21" ht="28" customHeight="1" x14ac:dyDescent="0.35">
      <c r="A494" s="4">
        <v>6</v>
      </c>
      <c r="B494" s="4" t="s">
        <v>377</v>
      </c>
      <c r="C494" s="4" t="s">
        <v>378</v>
      </c>
      <c r="D494" s="4" t="s">
        <v>379</v>
      </c>
      <c r="E494" s="4" t="s">
        <v>69</v>
      </c>
      <c r="F494" s="4" t="s">
        <v>276</v>
      </c>
      <c r="G494" s="4" t="s">
        <v>199</v>
      </c>
      <c r="H494" s="4" t="s">
        <v>59</v>
      </c>
      <c r="I494" s="3"/>
      <c r="J494" s="3"/>
      <c r="K494" s="3"/>
      <c r="L494" s="3"/>
      <c r="M494" s="3"/>
      <c r="N494" s="3"/>
      <c r="O494" s="3"/>
      <c r="P494" s="8"/>
      <c r="Q494" s="8"/>
      <c r="R494" s="3"/>
      <c r="S494" s="3"/>
      <c r="T494" s="3"/>
      <c r="U494" s="5" t="str">
        <f t="shared" si="29"/>
        <v/>
      </c>
    </row>
    <row r="495" spans="1:21" ht="28" customHeight="1" x14ac:dyDescent="0.35">
      <c r="A495" s="4">
        <v>7</v>
      </c>
      <c r="B495" s="4" t="s">
        <v>380</v>
      </c>
      <c r="C495" s="4" t="s">
        <v>381</v>
      </c>
      <c r="D495" s="4" t="s">
        <v>382</v>
      </c>
      <c r="E495" s="4" t="s">
        <v>69</v>
      </c>
      <c r="F495" s="4" t="s">
        <v>276</v>
      </c>
      <c r="G495" s="4" t="s">
        <v>199</v>
      </c>
      <c r="H495" s="4" t="s">
        <v>59</v>
      </c>
      <c r="I495" s="3"/>
      <c r="J495" s="3"/>
      <c r="K495" s="3"/>
      <c r="L495" s="3"/>
      <c r="M495" s="3"/>
      <c r="N495" s="3"/>
      <c r="O495" s="3"/>
      <c r="P495" s="8"/>
      <c r="Q495" s="8"/>
      <c r="R495" s="3"/>
      <c r="S495" s="3"/>
      <c r="T495" s="3"/>
      <c r="U495" s="5" t="str">
        <f t="shared" si="29"/>
        <v/>
      </c>
    </row>
    <row r="496" spans="1:21" ht="28" customHeight="1" x14ac:dyDescent="0.35">
      <c r="A496" s="4">
        <v>8</v>
      </c>
      <c r="B496" s="4" t="s">
        <v>383</v>
      </c>
      <c r="C496" s="4" t="s">
        <v>384</v>
      </c>
      <c r="D496" s="4" t="s">
        <v>385</v>
      </c>
      <c r="E496" s="4" t="s">
        <v>69</v>
      </c>
      <c r="F496" s="4" t="s">
        <v>95</v>
      </c>
      <c r="G496" s="4" t="s">
        <v>96</v>
      </c>
      <c r="H496" s="4" t="s">
        <v>59</v>
      </c>
      <c r="I496" s="3"/>
      <c r="J496" s="3"/>
      <c r="K496" s="3"/>
      <c r="L496" s="3"/>
      <c r="M496" s="3"/>
      <c r="N496" s="3"/>
      <c r="O496" s="3"/>
      <c r="P496" s="8"/>
      <c r="Q496" s="8"/>
      <c r="R496" s="3"/>
      <c r="S496" s="3"/>
      <c r="T496" s="3"/>
      <c r="U496" s="5" t="str">
        <f t="shared" si="29"/>
        <v/>
      </c>
    </row>
    <row r="497" spans="1:21" ht="28" customHeight="1" x14ac:dyDescent="0.35">
      <c r="A497" s="4">
        <v>9</v>
      </c>
      <c r="B497" s="4" t="s">
        <v>97</v>
      </c>
      <c r="C497" s="4" t="s">
        <v>98</v>
      </c>
      <c r="D497" s="4" t="s">
        <v>99</v>
      </c>
      <c r="E497" s="4" t="s">
        <v>69</v>
      </c>
      <c r="F497" s="4" t="s">
        <v>95</v>
      </c>
      <c r="G497" s="4" t="s">
        <v>96</v>
      </c>
      <c r="H497" s="4" t="s">
        <v>59</v>
      </c>
      <c r="I497" s="3"/>
      <c r="J497" s="3"/>
      <c r="K497" s="3"/>
      <c r="L497" s="3"/>
      <c r="M497" s="3"/>
      <c r="N497" s="3"/>
      <c r="O497" s="3"/>
      <c r="P497" s="8"/>
      <c r="Q497" s="8"/>
      <c r="R497" s="3"/>
      <c r="S497" s="3"/>
      <c r="T497" s="3"/>
      <c r="U497" s="5" t="str">
        <f t="shared" si="29"/>
        <v/>
      </c>
    </row>
    <row r="498" spans="1:21" ht="28" customHeight="1" x14ac:dyDescent="0.35">
      <c r="A498" s="4">
        <v>10</v>
      </c>
      <c r="B498" s="4" t="s">
        <v>97</v>
      </c>
      <c r="C498" s="4" t="s">
        <v>100</v>
      </c>
      <c r="D498" s="4" t="s">
        <v>101</v>
      </c>
      <c r="E498" s="4" t="s">
        <v>69</v>
      </c>
      <c r="F498" s="4" t="s">
        <v>95</v>
      </c>
      <c r="G498" s="4" t="s">
        <v>102</v>
      </c>
      <c r="H498" s="4" t="s">
        <v>59</v>
      </c>
      <c r="I498" s="3"/>
      <c r="J498" s="3"/>
      <c r="K498" s="3"/>
      <c r="L498" s="3"/>
      <c r="M498" s="3"/>
      <c r="N498" s="3"/>
      <c r="O498" s="3"/>
      <c r="P498" s="8"/>
      <c r="Q498" s="8"/>
      <c r="R498" s="3"/>
      <c r="S498" s="3"/>
      <c r="T498" s="3"/>
      <c r="U498" s="5" t="str">
        <f t="shared" si="29"/>
        <v/>
      </c>
    </row>
    <row r="499" spans="1:21" ht="28" customHeight="1" x14ac:dyDescent="0.35">
      <c r="A499" s="4">
        <v>11</v>
      </c>
      <c r="B499" s="4" t="s">
        <v>103</v>
      </c>
      <c r="C499" s="4" t="s">
        <v>104</v>
      </c>
      <c r="D499" s="4" t="s">
        <v>105</v>
      </c>
      <c r="E499" s="4" t="s">
        <v>69</v>
      </c>
      <c r="F499" s="4" t="s">
        <v>95</v>
      </c>
      <c r="G499" s="4" t="s">
        <v>96</v>
      </c>
      <c r="H499" s="4" t="s">
        <v>85</v>
      </c>
      <c r="I499" s="3"/>
      <c r="J499" s="3"/>
      <c r="K499" s="3"/>
      <c r="L499" s="3"/>
      <c r="M499" s="3"/>
      <c r="N499" s="3"/>
      <c r="O499" s="3"/>
      <c r="P499" s="8"/>
      <c r="Q499" s="8"/>
      <c r="R499" s="3"/>
      <c r="S499" s="3"/>
      <c r="T499" s="3"/>
      <c r="U499" s="5" t="str">
        <f t="shared" si="29"/>
        <v/>
      </c>
    </row>
    <row r="500" spans="1:21" ht="28" customHeight="1" x14ac:dyDescent="0.35">
      <c r="A500" s="4">
        <v>12</v>
      </c>
      <c r="B500" s="4" t="s">
        <v>106</v>
      </c>
      <c r="C500" s="4" t="s">
        <v>107</v>
      </c>
      <c r="D500" s="4" t="s">
        <v>108</v>
      </c>
      <c r="E500" s="4" t="s">
        <v>109</v>
      </c>
      <c r="F500" s="4" t="s">
        <v>95</v>
      </c>
      <c r="G500" s="4" t="s">
        <v>96</v>
      </c>
      <c r="H500" s="4" t="s">
        <v>59</v>
      </c>
      <c r="I500" s="3"/>
      <c r="J500" s="3"/>
      <c r="K500" s="3"/>
      <c r="L500" s="3"/>
      <c r="M500" s="3"/>
      <c r="N500" s="3"/>
      <c r="O500" s="3"/>
      <c r="P500" s="8"/>
      <c r="Q500" s="8"/>
      <c r="R500" s="3"/>
      <c r="S500" s="3"/>
      <c r="T500" s="3"/>
      <c r="U500" s="5" t="str">
        <f t="shared" si="29"/>
        <v/>
      </c>
    </row>
    <row r="502" spans="1:21" ht="28" customHeight="1" x14ac:dyDescent="0.35">
      <c r="A502" s="9" t="s">
        <v>110</v>
      </c>
      <c r="B502" s="16"/>
      <c r="C502" s="17"/>
      <c r="D502" s="17"/>
      <c r="E502" s="17"/>
      <c r="F502" s="17"/>
      <c r="G502" s="17"/>
      <c r="H502" s="17"/>
      <c r="I502" s="17"/>
      <c r="J502" s="17"/>
      <c r="K502" s="17"/>
      <c r="L502" s="17"/>
      <c r="M502" s="17"/>
      <c r="N502" s="17"/>
      <c r="O502" s="17"/>
      <c r="P502" s="17"/>
      <c r="Q502" s="17"/>
      <c r="R502" s="17"/>
      <c r="S502" s="17"/>
      <c r="T502" s="17"/>
      <c r="U502" s="18"/>
    </row>
    <row r="503" spans="1:21" ht="28" customHeight="1" x14ac:dyDescent="0.35">
      <c r="A503" s="19" t="s">
        <v>411</v>
      </c>
      <c r="B503" s="20"/>
      <c r="C503" s="20"/>
      <c r="D503" s="20"/>
      <c r="E503" s="20"/>
      <c r="F503" s="20"/>
      <c r="G503" s="20"/>
      <c r="H503" s="20"/>
      <c r="I503" s="20"/>
      <c r="J503" s="20"/>
      <c r="K503" s="20"/>
      <c r="L503" s="20"/>
      <c r="M503" s="20"/>
      <c r="N503" s="20"/>
      <c r="O503" s="20"/>
      <c r="P503" s="20"/>
      <c r="Q503" s="20"/>
      <c r="R503" s="20"/>
      <c r="S503" s="20"/>
      <c r="T503" s="20"/>
      <c r="U503" s="21"/>
    </row>
    <row r="504" spans="1:21" ht="28" customHeight="1" x14ac:dyDescent="0.35">
      <c r="A504" s="4" t="s">
        <v>31</v>
      </c>
      <c r="B504" s="3" t="s">
        <v>243</v>
      </c>
      <c r="C504" s="4" t="s">
        <v>32</v>
      </c>
      <c r="D504" s="3"/>
      <c r="E504" s="4" t="s">
        <v>33</v>
      </c>
      <c r="F504" s="8"/>
    </row>
    <row r="505" spans="1:21" ht="28" customHeight="1" x14ac:dyDescent="0.35">
      <c r="A505" s="1" t="s">
        <v>34</v>
      </c>
      <c r="B505" s="1" t="s">
        <v>35</v>
      </c>
      <c r="C505" s="1" t="s">
        <v>36</v>
      </c>
      <c r="D505" s="1" t="s">
        <v>37</v>
      </c>
      <c r="E505" s="1" t="s">
        <v>38</v>
      </c>
      <c r="F505" s="1" t="s">
        <v>39</v>
      </c>
      <c r="G505" s="1" t="s">
        <v>40</v>
      </c>
      <c r="H505" s="1" t="s">
        <v>41</v>
      </c>
      <c r="I505" s="1" t="s">
        <v>42</v>
      </c>
      <c r="J505" s="1" t="s">
        <v>43</v>
      </c>
      <c r="K505" s="1" t="s">
        <v>44</v>
      </c>
      <c r="L505" s="1" t="s">
        <v>45</v>
      </c>
      <c r="M505" s="1" t="s">
        <v>46</v>
      </c>
      <c r="N505" s="1" t="s">
        <v>47</v>
      </c>
      <c r="O505" s="1" t="s">
        <v>48</v>
      </c>
      <c r="P505" s="1" t="s">
        <v>4</v>
      </c>
      <c r="Q505" s="1" t="s">
        <v>49</v>
      </c>
      <c r="R505" s="1" t="s">
        <v>50</v>
      </c>
      <c r="S505" s="1" t="s">
        <v>51</v>
      </c>
      <c r="T505" s="1" t="s">
        <v>52</v>
      </c>
      <c r="U505" s="1" t="s">
        <v>10</v>
      </c>
    </row>
    <row r="506" spans="1:21" ht="28" customHeight="1" x14ac:dyDescent="0.35">
      <c r="A506" s="4">
        <v>1</v>
      </c>
      <c r="B506" s="4" t="s">
        <v>97</v>
      </c>
      <c r="C506" s="4" t="s">
        <v>362</v>
      </c>
      <c r="D506" s="4" t="s">
        <v>363</v>
      </c>
      <c r="E506" s="4" t="s">
        <v>69</v>
      </c>
      <c r="F506" s="4" t="s">
        <v>364</v>
      </c>
      <c r="G506" s="4" t="s">
        <v>199</v>
      </c>
      <c r="H506" s="4" t="s">
        <v>76</v>
      </c>
      <c r="I506" s="3"/>
      <c r="J506" s="3"/>
      <c r="K506" s="3"/>
      <c r="L506" s="3"/>
      <c r="M506" s="3"/>
      <c r="N506" s="3"/>
      <c r="O506" s="3"/>
      <c r="P506" s="8"/>
      <c r="Q506" s="8"/>
      <c r="R506" s="3"/>
      <c r="S506" s="3"/>
      <c r="T506" s="3"/>
      <c r="U506" s="5" t="str">
        <f t="shared" ref="U506:U517" si="30">IF(I506="","",IF(I506="NA","Grey",IF(I506=2,"Green",IF(I506=1,"Amber","Red"))))</f>
        <v/>
      </c>
    </row>
    <row r="507" spans="1:21" ht="28" customHeight="1" x14ac:dyDescent="0.35">
      <c r="A507" s="4">
        <v>2</v>
      </c>
      <c r="B507" s="4" t="s">
        <v>365</v>
      </c>
      <c r="C507" s="4" t="s">
        <v>366</v>
      </c>
      <c r="D507" s="4" t="s">
        <v>367</v>
      </c>
      <c r="E507" s="4" t="s">
        <v>69</v>
      </c>
      <c r="F507" s="4" t="s">
        <v>276</v>
      </c>
      <c r="G507" s="4" t="s">
        <v>199</v>
      </c>
      <c r="H507" s="4" t="s">
        <v>76</v>
      </c>
      <c r="I507" s="3"/>
      <c r="J507" s="3"/>
      <c r="K507" s="3"/>
      <c r="L507" s="3"/>
      <c r="M507" s="3"/>
      <c r="N507" s="3"/>
      <c r="O507" s="3"/>
      <c r="P507" s="8"/>
      <c r="Q507" s="8"/>
      <c r="R507" s="3"/>
      <c r="S507" s="3"/>
      <c r="T507" s="3"/>
      <c r="U507" s="5" t="str">
        <f t="shared" si="30"/>
        <v/>
      </c>
    </row>
    <row r="508" spans="1:21" ht="28" customHeight="1" x14ac:dyDescent="0.35">
      <c r="A508" s="4">
        <v>3</v>
      </c>
      <c r="B508" s="4" t="s">
        <v>365</v>
      </c>
      <c r="C508" s="4" t="s">
        <v>368</v>
      </c>
      <c r="D508" s="4" t="s">
        <v>369</v>
      </c>
      <c r="E508" s="4" t="s">
        <v>69</v>
      </c>
      <c r="F508" s="4" t="s">
        <v>370</v>
      </c>
      <c r="G508" s="4" t="s">
        <v>204</v>
      </c>
      <c r="H508" s="4" t="s">
        <v>76</v>
      </c>
      <c r="I508" s="3"/>
      <c r="J508" s="3"/>
      <c r="K508" s="3"/>
      <c r="L508" s="3"/>
      <c r="M508" s="3"/>
      <c r="N508" s="3"/>
      <c r="O508" s="3"/>
      <c r="P508" s="8"/>
      <c r="Q508" s="8"/>
      <c r="R508" s="3"/>
      <c r="S508" s="3"/>
      <c r="T508" s="3"/>
      <c r="U508" s="5" t="str">
        <f t="shared" si="30"/>
        <v/>
      </c>
    </row>
    <row r="509" spans="1:21" ht="28" customHeight="1" x14ac:dyDescent="0.35">
      <c r="A509" s="4">
        <v>4</v>
      </c>
      <c r="B509" s="4" t="s">
        <v>371</v>
      </c>
      <c r="C509" s="4" t="s">
        <v>372</v>
      </c>
      <c r="D509" s="4" t="s">
        <v>373</v>
      </c>
      <c r="E509" s="4" t="s">
        <v>69</v>
      </c>
      <c r="F509" s="4" t="s">
        <v>295</v>
      </c>
      <c r="G509" s="4" t="s">
        <v>199</v>
      </c>
      <c r="H509" s="4" t="s">
        <v>59</v>
      </c>
      <c r="I509" s="3"/>
      <c r="J509" s="3"/>
      <c r="K509" s="3"/>
      <c r="L509" s="3"/>
      <c r="M509" s="3"/>
      <c r="N509" s="3"/>
      <c r="O509" s="3"/>
      <c r="P509" s="8"/>
      <c r="Q509" s="8"/>
      <c r="R509" s="3"/>
      <c r="S509" s="3"/>
      <c r="T509" s="3"/>
      <c r="U509" s="5" t="str">
        <f t="shared" si="30"/>
        <v/>
      </c>
    </row>
    <row r="510" spans="1:21" ht="28" customHeight="1" x14ac:dyDescent="0.35">
      <c r="A510" s="4">
        <v>5</v>
      </c>
      <c r="B510" s="4" t="s">
        <v>374</v>
      </c>
      <c r="C510" s="4" t="s">
        <v>375</v>
      </c>
      <c r="D510" s="4" t="s">
        <v>376</v>
      </c>
      <c r="E510" s="4" t="s">
        <v>69</v>
      </c>
      <c r="F510" s="4" t="s">
        <v>276</v>
      </c>
      <c r="G510" s="4" t="s">
        <v>199</v>
      </c>
      <c r="H510" s="4" t="s">
        <v>59</v>
      </c>
      <c r="I510" s="3"/>
      <c r="J510" s="3"/>
      <c r="K510" s="3"/>
      <c r="L510" s="3"/>
      <c r="M510" s="3"/>
      <c r="N510" s="3"/>
      <c r="O510" s="3"/>
      <c r="P510" s="8"/>
      <c r="Q510" s="8"/>
      <c r="R510" s="3"/>
      <c r="S510" s="3"/>
      <c r="T510" s="3"/>
      <c r="U510" s="5" t="str">
        <f t="shared" si="30"/>
        <v/>
      </c>
    </row>
    <row r="511" spans="1:21" ht="28" customHeight="1" x14ac:dyDescent="0.35">
      <c r="A511" s="4">
        <v>6</v>
      </c>
      <c r="B511" s="4" t="s">
        <v>377</v>
      </c>
      <c r="C511" s="4" t="s">
        <v>378</v>
      </c>
      <c r="D511" s="4" t="s">
        <v>379</v>
      </c>
      <c r="E511" s="4" t="s">
        <v>69</v>
      </c>
      <c r="F511" s="4" t="s">
        <v>276</v>
      </c>
      <c r="G511" s="4" t="s">
        <v>199</v>
      </c>
      <c r="H511" s="4" t="s">
        <v>59</v>
      </c>
      <c r="I511" s="3"/>
      <c r="J511" s="3"/>
      <c r="K511" s="3"/>
      <c r="L511" s="3"/>
      <c r="M511" s="3"/>
      <c r="N511" s="3"/>
      <c r="O511" s="3"/>
      <c r="P511" s="8"/>
      <c r="Q511" s="8"/>
      <c r="R511" s="3"/>
      <c r="S511" s="3"/>
      <c r="T511" s="3"/>
      <c r="U511" s="5" t="str">
        <f t="shared" si="30"/>
        <v/>
      </c>
    </row>
    <row r="512" spans="1:21" ht="28" customHeight="1" x14ac:dyDescent="0.35">
      <c r="A512" s="4">
        <v>7</v>
      </c>
      <c r="B512" s="4" t="s">
        <v>380</v>
      </c>
      <c r="C512" s="4" t="s">
        <v>381</v>
      </c>
      <c r="D512" s="4" t="s">
        <v>382</v>
      </c>
      <c r="E512" s="4" t="s">
        <v>69</v>
      </c>
      <c r="F512" s="4" t="s">
        <v>276</v>
      </c>
      <c r="G512" s="4" t="s">
        <v>199</v>
      </c>
      <c r="H512" s="4" t="s">
        <v>59</v>
      </c>
      <c r="I512" s="3"/>
      <c r="J512" s="3"/>
      <c r="K512" s="3"/>
      <c r="L512" s="3"/>
      <c r="M512" s="3"/>
      <c r="N512" s="3"/>
      <c r="O512" s="3"/>
      <c r="P512" s="8"/>
      <c r="Q512" s="8"/>
      <c r="R512" s="3"/>
      <c r="S512" s="3"/>
      <c r="T512" s="3"/>
      <c r="U512" s="5" t="str">
        <f t="shared" si="30"/>
        <v/>
      </c>
    </row>
    <row r="513" spans="1:21" ht="28" customHeight="1" x14ac:dyDescent="0.35">
      <c r="A513" s="4">
        <v>8</v>
      </c>
      <c r="B513" s="4" t="s">
        <v>383</v>
      </c>
      <c r="C513" s="4" t="s">
        <v>384</v>
      </c>
      <c r="D513" s="4" t="s">
        <v>385</v>
      </c>
      <c r="E513" s="4" t="s">
        <v>69</v>
      </c>
      <c r="F513" s="4" t="s">
        <v>95</v>
      </c>
      <c r="G513" s="4" t="s">
        <v>96</v>
      </c>
      <c r="H513" s="4" t="s">
        <v>59</v>
      </c>
      <c r="I513" s="3"/>
      <c r="J513" s="3"/>
      <c r="K513" s="3"/>
      <c r="L513" s="3"/>
      <c r="M513" s="3"/>
      <c r="N513" s="3"/>
      <c r="O513" s="3"/>
      <c r="P513" s="8"/>
      <c r="Q513" s="8"/>
      <c r="R513" s="3"/>
      <c r="S513" s="3"/>
      <c r="T513" s="3"/>
      <c r="U513" s="5" t="str">
        <f t="shared" si="30"/>
        <v/>
      </c>
    </row>
    <row r="514" spans="1:21" ht="28" customHeight="1" x14ac:dyDescent="0.35">
      <c r="A514" s="4">
        <v>9</v>
      </c>
      <c r="B514" s="4" t="s">
        <v>97</v>
      </c>
      <c r="C514" s="4" t="s">
        <v>98</v>
      </c>
      <c r="D514" s="4" t="s">
        <v>99</v>
      </c>
      <c r="E514" s="4" t="s">
        <v>69</v>
      </c>
      <c r="F514" s="4" t="s">
        <v>95</v>
      </c>
      <c r="G514" s="4" t="s">
        <v>96</v>
      </c>
      <c r="H514" s="4" t="s">
        <v>59</v>
      </c>
      <c r="I514" s="3"/>
      <c r="J514" s="3"/>
      <c r="K514" s="3"/>
      <c r="L514" s="3"/>
      <c r="M514" s="3"/>
      <c r="N514" s="3"/>
      <c r="O514" s="3"/>
      <c r="P514" s="8"/>
      <c r="Q514" s="8"/>
      <c r="R514" s="3"/>
      <c r="S514" s="3"/>
      <c r="T514" s="3"/>
      <c r="U514" s="5" t="str">
        <f t="shared" si="30"/>
        <v/>
      </c>
    </row>
    <row r="515" spans="1:21" ht="28" customHeight="1" x14ac:dyDescent="0.35">
      <c r="A515" s="4">
        <v>10</v>
      </c>
      <c r="B515" s="4" t="s">
        <v>97</v>
      </c>
      <c r="C515" s="4" t="s">
        <v>100</v>
      </c>
      <c r="D515" s="4" t="s">
        <v>101</v>
      </c>
      <c r="E515" s="4" t="s">
        <v>69</v>
      </c>
      <c r="F515" s="4" t="s">
        <v>95</v>
      </c>
      <c r="G515" s="4" t="s">
        <v>102</v>
      </c>
      <c r="H515" s="4" t="s">
        <v>59</v>
      </c>
      <c r="I515" s="3"/>
      <c r="J515" s="3"/>
      <c r="K515" s="3"/>
      <c r="L515" s="3"/>
      <c r="M515" s="3"/>
      <c r="N515" s="3"/>
      <c r="O515" s="3"/>
      <c r="P515" s="8"/>
      <c r="Q515" s="8"/>
      <c r="R515" s="3"/>
      <c r="S515" s="3"/>
      <c r="T515" s="3"/>
      <c r="U515" s="5" t="str">
        <f t="shared" si="30"/>
        <v/>
      </c>
    </row>
    <row r="516" spans="1:21" ht="28" customHeight="1" x14ac:dyDescent="0.35">
      <c r="A516" s="4">
        <v>11</v>
      </c>
      <c r="B516" s="4" t="s">
        <v>103</v>
      </c>
      <c r="C516" s="4" t="s">
        <v>104</v>
      </c>
      <c r="D516" s="4" t="s">
        <v>105</v>
      </c>
      <c r="E516" s="4" t="s">
        <v>69</v>
      </c>
      <c r="F516" s="4" t="s">
        <v>95</v>
      </c>
      <c r="G516" s="4" t="s">
        <v>96</v>
      </c>
      <c r="H516" s="4" t="s">
        <v>85</v>
      </c>
      <c r="I516" s="3"/>
      <c r="J516" s="3"/>
      <c r="K516" s="3"/>
      <c r="L516" s="3"/>
      <c r="M516" s="3"/>
      <c r="N516" s="3"/>
      <c r="O516" s="3"/>
      <c r="P516" s="8"/>
      <c r="Q516" s="8"/>
      <c r="R516" s="3"/>
      <c r="S516" s="3"/>
      <c r="T516" s="3"/>
      <c r="U516" s="5" t="str">
        <f t="shared" si="30"/>
        <v/>
      </c>
    </row>
    <row r="517" spans="1:21" ht="28" customHeight="1" x14ac:dyDescent="0.35">
      <c r="A517" s="4">
        <v>12</v>
      </c>
      <c r="B517" s="4" t="s">
        <v>106</v>
      </c>
      <c r="C517" s="4" t="s">
        <v>107</v>
      </c>
      <c r="D517" s="4" t="s">
        <v>108</v>
      </c>
      <c r="E517" s="4" t="s">
        <v>109</v>
      </c>
      <c r="F517" s="4" t="s">
        <v>95</v>
      </c>
      <c r="G517" s="4" t="s">
        <v>96</v>
      </c>
      <c r="H517" s="4" t="s">
        <v>59</v>
      </c>
      <c r="I517" s="3"/>
      <c r="J517" s="3"/>
      <c r="K517" s="3"/>
      <c r="L517" s="3"/>
      <c r="M517" s="3"/>
      <c r="N517" s="3"/>
      <c r="O517" s="3"/>
      <c r="P517" s="8"/>
      <c r="Q517" s="8"/>
      <c r="R517" s="3"/>
      <c r="S517" s="3"/>
      <c r="T517" s="3"/>
      <c r="U517" s="5" t="str">
        <f t="shared" si="30"/>
        <v/>
      </c>
    </row>
    <row r="519" spans="1:21" ht="28" customHeight="1" x14ac:dyDescent="0.35">
      <c r="A519" s="9" t="s">
        <v>110</v>
      </c>
      <c r="B519" s="16"/>
      <c r="C519" s="17"/>
      <c r="D519" s="17"/>
      <c r="E519" s="17"/>
      <c r="F519" s="17"/>
      <c r="G519" s="17"/>
      <c r="H519" s="17"/>
      <c r="I519" s="17"/>
      <c r="J519" s="17"/>
      <c r="K519" s="17"/>
      <c r="L519" s="17"/>
      <c r="M519" s="17"/>
      <c r="N519" s="17"/>
      <c r="O519" s="17"/>
      <c r="P519" s="17"/>
      <c r="Q519" s="17"/>
      <c r="R519" s="17"/>
      <c r="S519" s="17"/>
      <c r="T519" s="17"/>
      <c r="U519" s="18"/>
    </row>
    <row r="520" spans="1:21" ht="28" customHeight="1" x14ac:dyDescent="0.35">
      <c r="A520" s="19" t="s">
        <v>412</v>
      </c>
      <c r="B520" s="20"/>
      <c r="C520" s="20"/>
      <c r="D520" s="20"/>
      <c r="E520" s="20"/>
      <c r="F520" s="20"/>
      <c r="G520" s="20"/>
      <c r="H520" s="20"/>
      <c r="I520" s="20"/>
      <c r="J520" s="20"/>
      <c r="K520" s="20"/>
      <c r="L520" s="20"/>
      <c r="M520" s="20"/>
      <c r="N520" s="20"/>
      <c r="O520" s="20"/>
      <c r="P520" s="20"/>
      <c r="Q520" s="20"/>
      <c r="R520" s="20"/>
      <c r="S520" s="20"/>
      <c r="T520" s="20"/>
      <c r="U520" s="21"/>
    </row>
    <row r="521" spans="1:21" ht="28" customHeight="1" x14ac:dyDescent="0.35">
      <c r="A521" s="4" t="s">
        <v>31</v>
      </c>
      <c r="B521" s="3" t="s">
        <v>244</v>
      </c>
      <c r="C521" s="4" t="s">
        <v>32</v>
      </c>
      <c r="D521" s="3"/>
      <c r="E521" s="4" t="s">
        <v>33</v>
      </c>
      <c r="F521" s="8"/>
    </row>
    <row r="522" spans="1:21" ht="28" customHeight="1" x14ac:dyDescent="0.35">
      <c r="A522" s="1" t="s">
        <v>34</v>
      </c>
      <c r="B522" s="1" t="s">
        <v>35</v>
      </c>
      <c r="C522" s="1" t="s">
        <v>36</v>
      </c>
      <c r="D522" s="1" t="s">
        <v>37</v>
      </c>
      <c r="E522" s="1" t="s">
        <v>38</v>
      </c>
      <c r="F522" s="1" t="s">
        <v>39</v>
      </c>
      <c r="G522" s="1" t="s">
        <v>40</v>
      </c>
      <c r="H522" s="1" t="s">
        <v>41</v>
      </c>
      <c r="I522" s="1" t="s">
        <v>42</v>
      </c>
      <c r="J522" s="1" t="s">
        <v>43</v>
      </c>
      <c r="K522" s="1" t="s">
        <v>44</v>
      </c>
      <c r="L522" s="1" t="s">
        <v>45</v>
      </c>
      <c r="M522" s="1" t="s">
        <v>46</v>
      </c>
      <c r="N522" s="1" t="s">
        <v>47</v>
      </c>
      <c r="O522" s="1" t="s">
        <v>48</v>
      </c>
      <c r="P522" s="1" t="s">
        <v>4</v>
      </c>
      <c r="Q522" s="1" t="s">
        <v>49</v>
      </c>
      <c r="R522" s="1" t="s">
        <v>50</v>
      </c>
      <c r="S522" s="1" t="s">
        <v>51</v>
      </c>
      <c r="T522" s="1" t="s">
        <v>52</v>
      </c>
      <c r="U522" s="1" t="s">
        <v>10</v>
      </c>
    </row>
    <row r="523" spans="1:21" ht="28" customHeight="1" x14ac:dyDescent="0.35">
      <c r="A523" s="4">
        <v>1</v>
      </c>
      <c r="B523" s="4" t="s">
        <v>97</v>
      </c>
      <c r="C523" s="4" t="s">
        <v>362</v>
      </c>
      <c r="D523" s="4" t="s">
        <v>363</v>
      </c>
      <c r="E523" s="4" t="s">
        <v>69</v>
      </c>
      <c r="F523" s="4" t="s">
        <v>364</v>
      </c>
      <c r="G523" s="4" t="s">
        <v>199</v>
      </c>
      <c r="H523" s="4" t="s">
        <v>76</v>
      </c>
      <c r="I523" s="3"/>
      <c r="J523" s="3"/>
      <c r="K523" s="3"/>
      <c r="L523" s="3"/>
      <c r="M523" s="3"/>
      <c r="N523" s="3"/>
      <c r="O523" s="3"/>
      <c r="P523" s="8"/>
      <c r="Q523" s="8"/>
      <c r="R523" s="3"/>
      <c r="S523" s="3"/>
      <c r="T523" s="3"/>
      <c r="U523" s="5" t="str">
        <f t="shared" ref="U523:U534" si="31">IF(I523="","",IF(I523="NA","Grey",IF(I523=2,"Green",IF(I523=1,"Amber","Red"))))</f>
        <v/>
      </c>
    </row>
    <row r="524" spans="1:21" ht="28" customHeight="1" x14ac:dyDescent="0.35">
      <c r="A524" s="4">
        <v>2</v>
      </c>
      <c r="B524" s="4" t="s">
        <v>365</v>
      </c>
      <c r="C524" s="4" t="s">
        <v>366</v>
      </c>
      <c r="D524" s="4" t="s">
        <v>367</v>
      </c>
      <c r="E524" s="4" t="s">
        <v>69</v>
      </c>
      <c r="F524" s="4" t="s">
        <v>276</v>
      </c>
      <c r="G524" s="4" t="s">
        <v>199</v>
      </c>
      <c r="H524" s="4" t="s">
        <v>76</v>
      </c>
      <c r="I524" s="3"/>
      <c r="J524" s="3"/>
      <c r="K524" s="3"/>
      <c r="L524" s="3"/>
      <c r="M524" s="3"/>
      <c r="N524" s="3"/>
      <c r="O524" s="3"/>
      <c r="P524" s="8"/>
      <c r="Q524" s="8"/>
      <c r="R524" s="3"/>
      <c r="S524" s="3"/>
      <c r="T524" s="3"/>
      <c r="U524" s="5" t="str">
        <f t="shared" si="31"/>
        <v/>
      </c>
    </row>
    <row r="525" spans="1:21" ht="28" customHeight="1" x14ac:dyDescent="0.35">
      <c r="A525" s="4">
        <v>3</v>
      </c>
      <c r="B525" s="4" t="s">
        <v>365</v>
      </c>
      <c r="C525" s="4" t="s">
        <v>368</v>
      </c>
      <c r="D525" s="4" t="s">
        <v>369</v>
      </c>
      <c r="E525" s="4" t="s">
        <v>69</v>
      </c>
      <c r="F525" s="4" t="s">
        <v>370</v>
      </c>
      <c r="G525" s="4" t="s">
        <v>204</v>
      </c>
      <c r="H525" s="4" t="s">
        <v>76</v>
      </c>
      <c r="I525" s="3"/>
      <c r="J525" s="3"/>
      <c r="K525" s="3"/>
      <c r="L525" s="3"/>
      <c r="M525" s="3"/>
      <c r="N525" s="3"/>
      <c r="O525" s="3"/>
      <c r="P525" s="8"/>
      <c r="Q525" s="8"/>
      <c r="R525" s="3"/>
      <c r="S525" s="3"/>
      <c r="T525" s="3"/>
      <c r="U525" s="5" t="str">
        <f t="shared" si="31"/>
        <v/>
      </c>
    </row>
    <row r="526" spans="1:21" ht="28" customHeight="1" x14ac:dyDescent="0.35">
      <c r="A526" s="4">
        <v>4</v>
      </c>
      <c r="B526" s="4" t="s">
        <v>371</v>
      </c>
      <c r="C526" s="4" t="s">
        <v>372</v>
      </c>
      <c r="D526" s="4" t="s">
        <v>373</v>
      </c>
      <c r="E526" s="4" t="s">
        <v>69</v>
      </c>
      <c r="F526" s="4" t="s">
        <v>295</v>
      </c>
      <c r="G526" s="4" t="s">
        <v>199</v>
      </c>
      <c r="H526" s="4" t="s">
        <v>59</v>
      </c>
      <c r="I526" s="3"/>
      <c r="J526" s="3"/>
      <c r="K526" s="3"/>
      <c r="L526" s="3"/>
      <c r="M526" s="3"/>
      <c r="N526" s="3"/>
      <c r="O526" s="3"/>
      <c r="P526" s="8"/>
      <c r="Q526" s="8"/>
      <c r="R526" s="3"/>
      <c r="S526" s="3"/>
      <c r="T526" s="3"/>
      <c r="U526" s="5" t="str">
        <f t="shared" si="31"/>
        <v/>
      </c>
    </row>
    <row r="527" spans="1:21" ht="28" customHeight="1" x14ac:dyDescent="0.35">
      <c r="A527" s="4">
        <v>5</v>
      </c>
      <c r="B527" s="4" t="s">
        <v>374</v>
      </c>
      <c r="C527" s="4" t="s">
        <v>375</v>
      </c>
      <c r="D527" s="4" t="s">
        <v>376</v>
      </c>
      <c r="E527" s="4" t="s">
        <v>69</v>
      </c>
      <c r="F527" s="4" t="s">
        <v>276</v>
      </c>
      <c r="G527" s="4" t="s">
        <v>199</v>
      </c>
      <c r="H527" s="4" t="s">
        <v>59</v>
      </c>
      <c r="I527" s="3"/>
      <c r="J527" s="3"/>
      <c r="K527" s="3"/>
      <c r="L527" s="3"/>
      <c r="M527" s="3"/>
      <c r="N527" s="3"/>
      <c r="O527" s="3"/>
      <c r="P527" s="8"/>
      <c r="Q527" s="8"/>
      <c r="R527" s="3"/>
      <c r="S527" s="3"/>
      <c r="T527" s="3"/>
      <c r="U527" s="5" t="str">
        <f t="shared" si="31"/>
        <v/>
      </c>
    </row>
    <row r="528" spans="1:21" ht="28" customHeight="1" x14ac:dyDescent="0.35">
      <c r="A528" s="4">
        <v>6</v>
      </c>
      <c r="B528" s="4" t="s">
        <v>377</v>
      </c>
      <c r="C528" s="4" t="s">
        <v>378</v>
      </c>
      <c r="D528" s="4" t="s">
        <v>379</v>
      </c>
      <c r="E528" s="4" t="s">
        <v>69</v>
      </c>
      <c r="F528" s="4" t="s">
        <v>276</v>
      </c>
      <c r="G528" s="4" t="s">
        <v>199</v>
      </c>
      <c r="H528" s="4" t="s">
        <v>59</v>
      </c>
      <c r="I528" s="3"/>
      <c r="J528" s="3"/>
      <c r="K528" s="3"/>
      <c r="L528" s="3"/>
      <c r="M528" s="3"/>
      <c r="N528" s="3"/>
      <c r="O528" s="3"/>
      <c r="P528" s="8"/>
      <c r="Q528" s="8"/>
      <c r="R528" s="3"/>
      <c r="S528" s="3"/>
      <c r="T528" s="3"/>
      <c r="U528" s="5" t="str">
        <f t="shared" si="31"/>
        <v/>
      </c>
    </row>
    <row r="529" spans="1:21" ht="28" customHeight="1" x14ac:dyDescent="0.35">
      <c r="A529" s="4">
        <v>7</v>
      </c>
      <c r="B529" s="4" t="s">
        <v>380</v>
      </c>
      <c r="C529" s="4" t="s">
        <v>381</v>
      </c>
      <c r="D529" s="4" t="s">
        <v>382</v>
      </c>
      <c r="E529" s="4" t="s">
        <v>69</v>
      </c>
      <c r="F529" s="4" t="s">
        <v>276</v>
      </c>
      <c r="G529" s="4" t="s">
        <v>199</v>
      </c>
      <c r="H529" s="4" t="s">
        <v>59</v>
      </c>
      <c r="I529" s="3"/>
      <c r="J529" s="3"/>
      <c r="K529" s="3"/>
      <c r="L529" s="3"/>
      <c r="M529" s="3"/>
      <c r="N529" s="3"/>
      <c r="O529" s="3"/>
      <c r="P529" s="8"/>
      <c r="Q529" s="8"/>
      <c r="R529" s="3"/>
      <c r="S529" s="3"/>
      <c r="T529" s="3"/>
      <c r="U529" s="5" t="str">
        <f t="shared" si="31"/>
        <v/>
      </c>
    </row>
    <row r="530" spans="1:21" ht="28" customHeight="1" x14ac:dyDescent="0.35">
      <c r="A530" s="4">
        <v>8</v>
      </c>
      <c r="B530" s="4" t="s">
        <v>383</v>
      </c>
      <c r="C530" s="4" t="s">
        <v>384</v>
      </c>
      <c r="D530" s="4" t="s">
        <v>385</v>
      </c>
      <c r="E530" s="4" t="s">
        <v>69</v>
      </c>
      <c r="F530" s="4" t="s">
        <v>95</v>
      </c>
      <c r="G530" s="4" t="s">
        <v>96</v>
      </c>
      <c r="H530" s="4" t="s">
        <v>59</v>
      </c>
      <c r="I530" s="3"/>
      <c r="J530" s="3"/>
      <c r="K530" s="3"/>
      <c r="L530" s="3"/>
      <c r="M530" s="3"/>
      <c r="N530" s="3"/>
      <c r="O530" s="3"/>
      <c r="P530" s="8"/>
      <c r="Q530" s="8"/>
      <c r="R530" s="3"/>
      <c r="S530" s="3"/>
      <c r="T530" s="3"/>
      <c r="U530" s="5" t="str">
        <f t="shared" si="31"/>
        <v/>
      </c>
    </row>
    <row r="531" spans="1:21" ht="28" customHeight="1" x14ac:dyDescent="0.35">
      <c r="A531" s="4">
        <v>9</v>
      </c>
      <c r="B531" s="4" t="s">
        <v>97</v>
      </c>
      <c r="C531" s="4" t="s">
        <v>98</v>
      </c>
      <c r="D531" s="4" t="s">
        <v>99</v>
      </c>
      <c r="E531" s="4" t="s">
        <v>69</v>
      </c>
      <c r="F531" s="4" t="s">
        <v>95</v>
      </c>
      <c r="G531" s="4" t="s">
        <v>96</v>
      </c>
      <c r="H531" s="4" t="s">
        <v>59</v>
      </c>
      <c r="I531" s="3"/>
      <c r="J531" s="3"/>
      <c r="K531" s="3"/>
      <c r="L531" s="3"/>
      <c r="M531" s="3"/>
      <c r="N531" s="3"/>
      <c r="O531" s="3"/>
      <c r="P531" s="8"/>
      <c r="Q531" s="8"/>
      <c r="R531" s="3"/>
      <c r="S531" s="3"/>
      <c r="T531" s="3"/>
      <c r="U531" s="5" t="str">
        <f t="shared" si="31"/>
        <v/>
      </c>
    </row>
    <row r="532" spans="1:21" ht="28" customHeight="1" x14ac:dyDescent="0.35">
      <c r="A532" s="4">
        <v>10</v>
      </c>
      <c r="B532" s="4" t="s">
        <v>97</v>
      </c>
      <c r="C532" s="4" t="s">
        <v>100</v>
      </c>
      <c r="D532" s="4" t="s">
        <v>101</v>
      </c>
      <c r="E532" s="4" t="s">
        <v>69</v>
      </c>
      <c r="F532" s="4" t="s">
        <v>95</v>
      </c>
      <c r="G532" s="4" t="s">
        <v>102</v>
      </c>
      <c r="H532" s="4" t="s">
        <v>59</v>
      </c>
      <c r="I532" s="3"/>
      <c r="J532" s="3"/>
      <c r="K532" s="3"/>
      <c r="L532" s="3"/>
      <c r="M532" s="3"/>
      <c r="N532" s="3"/>
      <c r="O532" s="3"/>
      <c r="P532" s="8"/>
      <c r="Q532" s="8"/>
      <c r="R532" s="3"/>
      <c r="S532" s="3"/>
      <c r="T532" s="3"/>
      <c r="U532" s="5" t="str">
        <f t="shared" si="31"/>
        <v/>
      </c>
    </row>
    <row r="533" spans="1:21" ht="28" customHeight="1" x14ac:dyDescent="0.35">
      <c r="A533" s="4">
        <v>11</v>
      </c>
      <c r="B533" s="4" t="s">
        <v>103</v>
      </c>
      <c r="C533" s="4" t="s">
        <v>104</v>
      </c>
      <c r="D533" s="4" t="s">
        <v>105</v>
      </c>
      <c r="E533" s="4" t="s">
        <v>69</v>
      </c>
      <c r="F533" s="4" t="s">
        <v>95</v>
      </c>
      <c r="G533" s="4" t="s">
        <v>96</v>
      </c>
      <c r="H533" s="4" t="s">
        <v>85</v>
      </c>
      <c r="I533" s="3"/>
      <c r="J533" s="3"/>
      <c r="K533" s="3"/>
      <c r="L533" s="3"/>
      <c r="M533" s="3"/>
      <c r="N533" s="3"/>
      <c r="O533" s="3"/>
      <c r="P533" s="8"/>
      <c r="Q533" s="8"/>
      <c r="R533" s="3"/>
      <c r="S533" s="3"/>
      <c r="T533" s="3"/>
      <c r="U533" s="5" t="str">
        <f t="shared" si="31"/>
        <v/>
      </c>
    </row>
    <row r="534" spans="1:21" ht="28" customHeight="1" x14ac:dyDescent="0.35">
      <c r="A534" s="4">
        <v>12</v>
      </c>
      <c r="B534" s="4" t="s">
        <v>106</v>
      </c>
      <c r="C534" s="4" t="s">
        <v>107</v>
      </c>
      <c r="D534" s="4" t="s">
        <v>108</v>
      </c>
      <c r="E534" s="4" t="s">
        <v>109</v>
      </c>
      <c r="F534" s="4" t="s">
        <v>95</v>
      </c>
      <c r="G534" s="4" t="s">
        <v>96</v>
      </c>
      <c r="H534" s="4" t="s">
        <v>59</v>
      </c>
      <c r="I534" s="3"/>
      <c r="J534" s="3"/>
      <c r="K534" s="3"/>
      <c r="L534" s="3"/>
      <c r="M534" s="3"/>
      <c r="N534" s="3"/>
      <c r="O534" s="3"/>
      <c r="P534" s="8"/>
      <c r="Q534" s="8"/>
      <c r="R534" s="3"/>
      <c r="S534" s="3"/>
      <c r="T534" s="3"/>
      <c r="U534" s="5" t="str">
        <f t="shared" si="31"/>
        <v/>
      </c>
    </row>
    <row r="536" spans="1:21" ht="28" customHeight="1" x14ac:dyDescent="0.35">
      <c r="A536" s="9" t="s">
        <v>110</v>
      </c>
      <c r="B536" s="16"/>
      <c r="C536" s="17"/>
      <c r="D536" s="17"/>
      <c r="E536" s="17"/>
      <c r="F536" s="17"/>
      <c r="G536" s="17"/>
      <c r="H536" s="17"/>
      <c r="I536" s="17"/>
      <c r="J536" s="17"/>
      <c r="K536" s="17"/>
      <c r="L536" s="17"/>
      <c r="M536" s="17"/>
      <c r="N536" s="17"/>
      <c r="O536" s="17"/>
      <c r="P536" s="17"/>
      <c r="Q536" s="17"/>
      <c r="R536" s="17"/>
      <c r="S536" s="17"/>
      <c r="T536" s="17"/>
      <c r="U536" s="18"/>
    </row>
    <row r="537" spans="1:21" ht="28" customHeight="1" x14ac:dyDescent="0.35">
      <c r="A537" s="19" t="s">
        <v>413</v>
      </c>
      <c r="B537" s="20"/>
      <c r="C537" s="20"/>
      <c r="D537" s="20"/>
      <c r="E537" s="20"/>
      <c r="F537" s="20"/>
      <c r="G537" s="20"/>
      <c r="H537" s="20"/>
      <c r="I537" s="20"/>
      <c r="J537" s="20"/>
      <c r="K537" s="20"/>
      <c r="L537" s="20"/>
      <c r="M537" s="20"/>
      <c r="N537" s="20"/>
      <c r="O537" s="20"/>
      <c r="P537" s="20"/>
      <c r="Q537" s="20"/>
      <c r="R537" s="20"/>
      <c r="S537" s="20"/>
      <c r="T537" s="20"/>
      <c r="U537" s="21"/>
    </row>
    <row r="538" spans="1:21" ht="28" customHeight="1" x14ac:dyDescent="0.35">
      <c r="A538" s="4" t="s">
        <v>31</v>
      </c>
      <c r="B538" s="3" t="s">
        <v>245</v>
      </c>
      <c r="C538" s="4" t="s">
        <v>32</v>
      </c>
      <c r="D538" s="3"/>
      <c r="E538" s="4" t="s">
        <v>33</v>
      </c>
      <c r="F538" s="8"/>
    </row>
    <row r="539" spans="1:21" ht="28" customHeight="1" x14ac:dyDescent="0.35">
      <c r="A539" s="1" t="s">
        <v>34</v>
      </c>
      <c r="B539" s="1" t="s">
        <v>35</v>
      </c>
      <c r="C539" s="1" t="s">
        <v>36</v>
      </c>
      <c r="D539" s="1" t="s">
        <v>37</v>
      </c>
      <c r="E539" s="1" t="s">
        <v>38</v>
      </c>
      <c r="F539" s="1" t="s">
        <v>39</v>
      </c>
      <c r="G539" s="1" t="s">
        <v>40</v>
      </c>
      <c r="H539" s="1" t="s">
        <v>41</v>
      </c>
      <c r="I539" s="1" t="s">
        <v>42</v>
      </c>
      <c r="J539" s="1" t="s">
        <v>43</v>
      </c>
      <c r="K539" s="1" t="s">
        <v>44</v>
      </c>
      <c r="L539" s="1" t="s">
        <v>45</v>
      </c>
      <c r="M539" s="1" t="s">
        <v>46</v>
      </c>
      <c r="N539" s="1" t="s">
        <v>47</v>
      </c>
      <c r="O539" s="1" t="s">
        <v>48</v>
      </c>
      <c r="P539" s="1" t="s">
        <v>4</v>
      </c>
      <c r="Q539" s="1" t="s">
        <v>49</v>
      </c>
      <c r="R539" s="1" t="s">
        <v>50</v>
      </c>
      <c r="S539" s="1" t="s">
        <v>51</v>
      </c>
      <c r="T539" s="1" t="s">
        <v>52</v>
      </c>
      <c r="U539" s="1" t="s">
        <v>10</v>
      </c>
    </row>
    <row r="540" spans="1:21" ht="28" customHeight="1" x14ac:dyDescent="0.35">
      <c r="A540" s="4">
        <v>1</v>
      </c>
      <c r="B540" s="4" t="s">
        <v>97</v>
      </c>
      <c r="C540" s="4" t="s">
        <v>362</v>
      </c>
      <c r="D540" s="4" t="s">
        <v>363</v>
      </c>
      <c r="E540" s="4" t="s">
        <v>69</v>
      </c>
      <c r="F540" s="4" t="s">
        <v>364</v>
      </c>
      <c r="G540" s="4" t="s">
        <v>199</v>
      </c>
      <c r="H540" s="4" t="s">
        <v>76</v>
      </c>
      <c r="I540" s="3"/>
      <c r="J540" s="3"/>
      <c r="K540" s="3"/>
      <c r="L540" s="3"/>
      <c r="M540" s="3"/>
      <c r="N540" s="3"/>
      <c r="O540" s="3"/>
      <c r="P540" s="8"/>
      <c r="Q540" s="8"/>
      <c r="R540" s="3"/>
      <c r="S540" s="3"/>
      <c r="T540" s="3"/>
      <c r="U540" s="5" t="str">
        <f t="shared" ref="U540:U551" si="32">IF(I540="","",IF(I540="NA","Grey",IF(I540=2,"Green",IF(I540=1,"Amber","Red"))))</f>
        <v/>
      </c>
    </row>
    <row r="541" spans="1:21" ht="28" customHeight="1" x14ac:dyDescent="0.35">
      <c r="A541" s="4">
        <v>2</v>
      </c>
      <c r="B541" s="4" t="s">
        <v>365</v>
      </c>
      <c r="C541" s="4" t="s">
        <v>366</v>
      </c>
      <c r="D541" s="4" t="s">
        <v>367</v>
      </c>
      <c r="E541" s="4" t="s">
        <v>69</v>
      </c>
      <c r="F541" s="4" t="s">
        <v>276</v>
      </c>
      <c r="G541" s="4" t="s">
        <v>199</v>
      </c>
      <c r="H541" s="4" t="s">
        <v>76</v>
      </c>
      <c r="I541" s="3"/>
      <c r="J541" s="3"/>
      <c r="K541" s="3"/>
      <c r="L541" s="3"/>
      <c r="M541" s="3"/>
      <c r="N541" s="3"/>
      <c r="O541" s="3"/>
      <c r="P541" s="8"/>
      <c r="Q541" s="8"/>
      <c r="R541" s="3"/>
      <c r="S541" s="3"/>
      <c r="T541" s="3"/>
      <c r="U541" s="5" t="str">
        <f t="shared" si="32"/>
        <v/>
      </c>
    </row>
    <row r="542" spans="1:21" ht="28" customHeight="1" x14ac:dyDescent="0.35">
      <c r="A542" s="4">
        <v>3</v>
      </c>
      <c r="B542" s="4" t="s">
        <v>365</v>
      </c>
      <c r="C542" s="4" t="s">
        <v>368</v>
      </c>
      <c r="D542" s="4" t="s">
        <v>369</v>
      </c>
      <c r="E542" s="4" t="s">
        <v>69</v>
      </c>
      <c r="F542" s="4" t="s">
        <v>370</v>
      </c>
      <c r="G542" s="4" t="s">
        <v>204</v>
      </c>
      <c r="H542" s="4" t="s">
        <v>76</v>
      </c>
      <c r="I542" s="3"/>
      <c r="J542" s="3"/>
      <c r="K542" s="3"/>
      <c r="L542" s="3"/>
      <c r="M542" s="3"/>
      <c r="N542" s="3"/>
      <c r="O542" s="3"/>
      <c r="P542" s="8"/>
      <c r="Q542" s="8"/>
      <c r="R542" s="3"/>
      <c r="S542" s="3"/>
      <c r="T542" s="3"/>
      <c r="U542" s="5" t="str">
        <f t="shared" si="32"/>
        <v/>
      </c>
    </row>
    <row r="543" spans="1:21" ht="28" customHeight="1" x14ac:dyDescent="0.35">
      <c r="A543" s="4">
        <v>4</v>
      </c>
      <c r="B543" s="4" t="s">
        <v>371</v>
      </c>
      <c r="C543" s="4" t="s">
        <v>372</v>
      </c>
      <c r="D543" s="4" t="s">
        <v>373</v>
      </c>
      <c r="E543" s="4" t="s">
        <v>69</v>
      </c>
      <c r="F543" s="4" t="s">
        <v>295</v>
      </c>
      <c r="G543" s="4" t="s">
        <v>199</v>
      </c>
      <c r="H543" s="4" t="s">
        <v>59</v>
      </c>
      <c r="I543" s="3"/>
      <c r="J543" s="3"/>
      <c r="K543" s="3"/>
      <c r="L543" s="3"/>
      <c r="M543" s="3"/>
      <c r="N543" s="3"/>
      <c r="O543" s="3"/>
      <c r="P543" s="8"/>
      <c r="Q543" s="8"/>
      <c r="R543" s="3"/>
      <c r="S543" s="3"/>
      <c r="T543" s="3"/>
      <c r="U543" s="5" t="str">
        <f t="shared" si="32"/>
        <v/>
      </c>
    </row>
    <row r="544" spans="1:21" ht="28" customHeight="1" x14ac:dyDescent="0.35">
      <c r="A544" s="4">
        <v>5</v>
      </c>
      <c r="B544" s="4" t="s">
        <v>374</v>
      </c>
      <c r="C544" s="4" t="s">
        <v>375</v>
      </c>
      <c r="D544" s="4" t="s">
        <v>376</v>
      </c>
      <c r="E544" s="4" t="s">
        <v>69</v>
      </c>
      <c r="F544" s="4" t="s">
        <v>276</v>
      </c>
      <c r="G544" s="4" t="s">
        <v>199</v>
      </c>
      <c r="H544" s="4" t="s">
        <v>59</v>
      </c>
      <c r="I544" s="3"/>
      <c r="J544" s="3"/>
      <c r="K544" s="3"/>
      <c r="L544" s="3"/>
      <c r="M544" s="3"/>
      <c r="N544" s="3"/>
      <c r="O544" s="3"/>
      <c r="P544" s="8"/>
      <c r="Q544" s="8"/>
      <c r="R544" s="3"/>
      <c r="S544" s="3"/>
      <c r="T544" s="3"/>
      <c r="U544" s="5" t="str">
        <f t="shared" si="32"/>
        <v/>
      </c>
    </row>
    <row r="545" spans="1:21" ht="28" customHeight="1" x14ac:dyDescent="0.35">
      <c r="A545" s="4">
        <v>6</v>
      </c>
      <c r="B545" s="4" t="s">
        <v>377</v>
      </c>
      <c r="C545" s="4" t="s">
        <v>378</v>
      </c>
      <c r="D545" s="4" t="s">
        <v>379</v>
      </c>
      <c r="E545" s="4" t="s">
        <v>69</v>
      </c>
      <c r="F545" s="4" t="s">
        <v>276</v>
      </c>
      <c r="G545" s="4" t="s">
        <v>199</v>
      </c>
      <c r="H545" s="4" t="s">
        <v>59</v>
      </c>
      <c r="I545" s="3"/>
      <c r="J545" s="3"/>
      <c r="K545" s="3"/>
      <c r="L545" s="3"/>
      <c r="M545" s="3"/>
      <c r="N545" s="3"/>
      <c r="O545" s="3"/>
      <c r="P545" s="8"/>
      <c r="Q545" s="8"/>
      <c r="R545" s="3"/>
      <c r="S545" s="3"/>
      <c r="T545" s="3"/>
      <c r="U545" s="5" t="str">
        <f t="shared" si="32"/>
        <v/>
      </c>
    </row>
    <row r="546" spans="1:21" ht="28" customHeight="1" x14ac:dyDescent="0.35">
      <c r="A546" s="4">
        <v>7</v>
      </c>
      <c r="B546" s="4" t="s">
        <v>380</v>
      </c>
      <c r="C546" s="4" t="s">
        <v>381</v>
      </c>
      <c r="D546" s="4" t="s">
        <v>382</v>
      </c>
      <c r="E546" s="4" t="s">
        <v>69</v>
      </c>
      <c r="F546" s="4" t="s">
        <v>276</v>
      </c>
      <c r="G546" s="4" t="s">
        <v>199</v>
      </c>
      <c r="H546" s="4" t="s">
        <v>59</v>
      </c>
      <c r="I546" s="3"/>
      <c r="J546" s="3"/>
      <c r="K546" s="3"/>
      <c r="L546" s="3"/>
      <c r="M546" s="3"/>
      <c r="N546" s="3"/>
      <c r="O546" s="3"/>
      <c r="P546" s="8"/>
      <c r="Q546" s="8"/>
      <c r="R546" s="3"/>
      <c r="S546" s="3"/>
      <c r="T546" s="3"/>
      <c r="U546" s="5" t="str">
        <f t="shared" si="32"/>
        <v/>
      </c>
    </row>
    <row r="547" spans="1:21" ht="28" customHeight="1" x14ac:dyDescent="0.35">
      <c r="A547" s="4">
        <v>8</v>
      </c>
      <c r="B547" s="4" t="s">
        <v>383</v>
      </c>
      <c r="C547" s="4" t="s">
        <v>384</v>
      </c>
      <c r="D547" s="4" t="s">
        <v>385</v>
      </c>
      <c r="E547" s="4" t="s">
        <v>69</v>
      </c>
      <c r="F547" s="4" t="s">
        <v>95</v>
      </c>
      <c r="G547" s="4" t="s">
        <v>96</v>
      </c>
      <c r="H547" s="4" t="s">
        <v>59</v>
      </c>
      <c r="I547" s="3"/>
      <c r="J547" s="3"/>
      <c r="K547" s="3"/>
      <c r="L547" s="3"/>
      <c r="M547" s="3"/>
      <c r="N547" s="3"/>
      <c r="O547" s="3"/>
      <c r="P547" s="8"/>
      <c r="Q547" s="8"/>
      <c r="R547" s="3"/>
      <c r="S547" s="3"/>
      <c r="T547" s="3"/>
      <c r="U547" s="5" t="str">
        <f t="shared" si="32"/>
        <v/>
      </c>
    </row>
    <row r="548" spans="1:21" ht="28" customHeight="1" x14ac:dyDescent="0.35">
      <c r="A548" s="4">
        <v>9</v>
      </c>
      <c r="B548" s="4" t="s">
        <v>97</v>
      </c>
      <c r="C548" s="4" t="s">
        <v>98</v>
      </c>
      <c r="D548" s="4" t="s">
        <v>99</v>
      </c>
      <c r="E548" s="4" t="s">
        <v>69</v>
      </c>
      <c r="F548" s="4" t="s">
        <v>95</v>
      </c>
      <c r="G548" s="4" t="s">
        <v>96</v>
      </c>
      <c r="H548" s="4" t="s">
        <v>59</v>
      </c>
      <c r="I548" s="3"/>
      <c r="J548" s="3"/>
      <c r="K548" s="3"/>
      <c r="L548" s="3"/>
      <c r="M548" s="3"/>
      <c r="N548" s="3"/>
      <c r="O548" s="3"/>
      <c r="P548" s="8"/>
      <c r="Q548" s="8"/>
      <c r="R548" s="3"/>
      <c r="S548" s="3"/>
      <c r="T548" s="3"/>
      <c r="U548" s="5" t="str">
        <f t="shared" si="32"/>
        <v/>
      </c>
    </row>
    <row r="549" spans="1:21" ht="28" customHeight="1" x14ac:dyDescent="0.35">
      <c r="A549" s="4">
        <v>10</v>
      </c>
      <c r="B549" s="4" t="s">
        <v>97</v>
      </c>
      <c r="C549" s="4" t="s">
        <v>100</v>
      </c>
      <c r="D549" s="4" t="s">
        <v>101</v>
      </c>
      <c r="E549" s="4" t="s">
        <v>69</v>
      </c>
      <c r="F549" s="4" t="s">
        <v>95</v>
      </c>
      <c r="G549" s="4" t="s">
        <v>102</v>
      </c>
      <c r="H549" s="4" t="s">
        <v>59</v>
      </c>
      <c r="I549" s="3"/>
      <c r="J549" s="3"/>
      <c r="K549" s="3"/>
      <c r="L549" s="3"/>
      <c r="M549" s="3"/>
      <c r="N549" s="3"/>
      <c r="O549" s="3"/>
      <c r="P549" s="8"/>
      <c r="Q549" s="8"/>
      <c r="R549" s="3"/>
      <c r="S549" s="3"/>
      <c r="T549" s="3"/>
      <c r="U549" s="5" t="str">
        <f t="shared" si="32"/>
        <v/>
      </c>
    </row>
    <row r="550" spans="1:21" ht="28" customHeight="1" x14ac:dyDescent="0.35">
      <c r="A550" s="4">
        <v>11</v>
      </c>
      <c r="B550" s="4" t="s">
        <v>103</v>
      </c>
      <c r="C550" s="4" t="s">
        <v>104</v>
      </c>
      <c r="D550" s="4" t="s">
        <v>105</v>
      </c>
      <c r="E550" s="4" t="s">
        <v>69</v>
      </c>
      <c r="F550" s="4" t="s">
        <v>95</v>
      </c>
      <c r="G550" s="4" t="s">
        <v>96</v>
      </c>
      <c r="H550" s="4" t="s">
        <v>85</v>
      </c>
      <c r="I550" s="3"/>
      <c r="J550" s="3"/>
      <c r="K550" s="3"/>
      <c r="L550" s="3"/>
      <c r="M550" s="3"/>
      <c r="N550" s="3"/>
      <c r="O550" s="3"/>
      <c r="P550" s="8"/>
      <c r="Q550" s="8"/>
      <c r="R550" s="3"/>
      <c r="S550" s="3"/>
      <c r="T550" s="3"/>
      <c r="U550" s="5" t="str">
        <f t="shared" si="32"/>
        <v/>
      </c>
    </row>
    <row r="551" spans="1:21" ht="28" customHeight="1" x14ac:dyDescent="0.35">
      <c r="A551" s="4">
        <v>12</v>
      </c>
      <c r="B551" s="4" t="s">
        <v>106</v>
      </c>
      <c r="C551" s="4" t="s">
        <v>107</v>
      </c>
      <c r="D551" s="4" t="s">
        <v>108</v>
      </c>
      <c r="E551" s="4" t="s">
        <v>109</v>
      </c>
      <c r="F551" s="4" t="s">
        <v>95</v>
      </c>
      <c r="G551" s="4" t="s">
        <v>96</v>
      </c>
      <c r="H551" s="4" t="s">
        <v>59</v>
      </c>
      <c r="I551" s="3"/>
      <c r="J551" s="3"/>
      <c r="K551" s="3"/>
      <c r="L551" s="3"/>
      <c r="M551" s="3"/>
      <c r="N551" s="3"/>
      <c r="O551" s="3"/>
      <c r="P551" s="8"/>
      <c r="Q551" s="8"/>
      <c r="R551" s="3"/>
      <c r="S551" s="3"/>
      <c r="T551" s="3"/>
      <c r="U551" s="5" t="str">
        <f t="shared" si="32"/>
        <v/>
      </c>
    </row>
    <row r="553" spans="1:21" ht="28" customHeight="1" x14ac:dyDescent="0.35">
      <c r="A553" s="9" t="s">
        <v>110</v>
      </c>
      <c r="B553" s="16"/>
      <c r="C553" s="17"/>
      <c r="D553" s="17"/>
      <c r="E553" s="17"/>
      <c r="F553" s="17"/>
      <c r="G553" s="17"/>
      <c r="H553" s="17"/>
      <c r="I553" s="17"/>
      <c r="J553" s="17"/>
      <c r="K553" s="17"/>
      <c r="L553" s="17"/>
      <c r="M553" s="17"/>
      <c r="N553" s="17"/>
      <c r="O553" s="17"/>
      <c r="P553" s="17"/>
      <c r="Q553" s="17"/>
      <c r="R553" s="17"/>
      <c r="S553" s="17"/>
      <c r="T553" s="17"/>
      <c r="U553" s="18"/>
    </row>
    <row r="554" spans="1:21" ht="28" customHeight="1" x14ac:dyDescent="0.35">
      <c r="A554" s="19" t="s">
        <v>414</v>
      </c>
      <c r="B554" s="20"/>
      <c r="C554" s="20"/>
      <c r="D554" s="20"/>
      <c r="E554" s="20"/>
      <c r="F554" s="20"/>
      <c r="G554" s="20"/>
      <c r="H554" s="20"/>
      <c r="I554" s="20"/>
      <c r="J554" s="20"/>
      <c r="K554" s="20"/>
      <c r="L554" s="20"/>
      <c r="M554" s="20"/>
      <c r="N554" s="20"/>
      <c r="O554" s="20"/>
      <c r="P554" s="20"/>
      <c r="Q554" s="20"/>
      <c r="R554" s="20"/>
      <c r="S554" s="20"/>
      <c r="T554" s="20"/>
      <c r="U554" s="21"/>
    </row>
    <row r="555" spans="1:21" ht="28" customHeight="1" x14ac:dyDescent="0.35">
      <c r="A555" s="4" t="s">
        <v>31</v>
      </c>
      <c r="B555" s="3" t="s">
        <v>246</v>
      </c>
      <c r="C555" s="4" t="s">
        <v>32</v>
      </c>
      <c r="D555" s="3"/>
      <c r="E555" s="4" t="s">
        <v>33</v>
      </c>
      <c r="F555" s="8"/>
    </row>
    <row r="556" spans="1:21" ht="28" customHeight="1" x14ac:dyDescent="0.35">
      <c r="A556" s="1" t="s">
        <v>34</v>
      </c>
      <c r="B556" s="1" t="s">
        <v>35</v>
      </c>
      <c r="C556" s="1" t="s">
        <v>36</v>
      </c>
      <c r="D556" s="1" t="s">
        <v>37</v>
      </c>
      <c r="E556" s="1" t="s">
        <v>38</v>
      </c>
      <c r="F556" s="1" t="s">
        <v>39</v>
      </c>
      <c r="G556" s="1" t="s">
        <v>40</v>
      </c>
      <c r="H556" s="1" t="s">
        <v>41</v>
      </c>
      <c r="I556" s="1" t="s">
        <v>42</v>
      </c>
      <c r="J556" s="1" t="s">
        <v>43</v>
      </c>
      <c r="K556" s="1" t="s">
        <v>44</v>
      </c>
      <c r="L556" s="1" t="s">
        <v>45</v>
      </c>
      <c r="M556" s="1" t="s">
        <v>46</v>
      </c>
      <c r="N556" s="1" t="s">
        <v>47</v>
      </c>
      <c r="O556" s="1" t="s">
        <v>48</v>
      </c>
      <c r="P556" s="1" t="s">
        <v>4</v>
      </c>
      <c r="Q556" s="1" t="s">
        <v>49</v>
      </c>
      <c r="R556" s="1" t="s">
        <v>50</v>
      </c>
      <c r="S556" s="1" t="s">
        <v>51</v>
      </c>
      <c r="T556" s="1" t="s">
        <v>52</v>
      </c>
      <c r="U556" s="1" t="s">
        <v>10</v>
      </c>
    </row>
    <row r="557" spans="1:21" ht="28" customHeight="1" x14ac:dyDescent="0.35">
      <c r="A557" s="4">
        <v>1</v>
      </c>
      <c r="B557" s="4" t="s">
        <v>97</v>
      </c>
      <c r="C557" s="4" t="s">
        <v>362</v>
      </c>
      <c r="D557" s="4" t="s">
        <v>363</v>
      </c>
      <c r="E557" s="4" t="s">
        <v>69</v>
      </c>
      <c r="F557" s="4" t="s">
        <v>364</v>
      </c>
      <c r="G557" s="4" t="s">
        <v>199</v>
      </c>
      <c r="H557" s="4" t="s">
        <v>76</v>
      </c>
      <c r="I557" s="3"/>
      <c r="J557" s="3"/>
      <c r="K557" s="3"/>
      <c r="L557" s="3"/>
      <c r="M557" s="3"/>
      <c r="N557" s="3"/>
      <c r="O557" s="3"/>
      <c r="P557" s="8"/>
      <c r="Q557" s="8"/>
      <c r="R557" s="3"/>
      <c r="S557" s="3"/>
      <c r="T557" s="3"/>
      <c r="U557" s="5" t="str">
        <f t="shared" ref="U557:U568" si="33">IF(I557="","",IF(I557="NA","Grey",IF(I557=2,"Green",IF(I557=1,"Amber","Red"))))</f>
        <v/>
      </c>
    </row>
    <row r="558" spans="1:21" ht="28" customHeight="1" x14ac:dyDescent="0.35">
      <c r="A558" s="4">
        <v>2</v>
      </c>
      <c r="B558" s="4" t="s">
        <v>365</v>
      </c>
      <c r="C558" s="4" t="s">
        <v>366</v>
      </c>
      <c r="D558" s="4" t="s">
        <v>367</v>
      </c>
      <c r="E558" s="4" t="s">
        <v>69</v>
      </c>
      <c r="F558" s="4" t="s">
        <v>276</v>
      </c>
      <c r="G558" s="4" t="s">
        <v>199</v>
      </c>
      <c r="H558" s="4" t="s">
        <v>76</v>
      </c>
      <c r="I558" s="3"/>
      <c r="J558" s="3"/>
      <c r="K558" s="3"/>
      <c r="L558" s="3"/>
      <c r="M558" s="3"/>
      <c r="N558" s="3"/>
      <c r="O558" s="3"/>
      <c r="P558" s="8"/>
      <c r="Q558" s="8"/>
      <c r="R558" s="3"/>
      <c r="S558" s="3"/>
      <c r="T558" s="3"/>
      <c r="U558" s="5" t="str">
        <f t="shared" si="33"/>
        <v/>
      </c>
    </row>
    <row r="559" spans="1:21" ht="28" customHeight="1" x14ac:dyDescent="0.35">
      <c r="A559" s="4">
        <v>3</v>
      </c>
      <c r="B559" s="4" t="s">
        <v>365</v>
      </c>
      <c r="C559" s="4" t="s">
        <v>368</v>
      </c>
      <c r="D559" s="4" t="s">
        <v>369</v>
      </c>
      <c r="E559" s="4" t="s">
        <v>69</v>
      </c>
      <c r="F559" s="4" t="s">
        <v>370</v>
      </c>
      <c r="G559" s="4" t="s">
        <v>204</v>
      </c>
      <c r="H559" s="4" t="s">
        <v>76</v>
      </c>
      <c r="I559" s="3"/>
      <c r="J559" s="3"/>
      <c r="K559" s="3"/>
      <c r="L559" s="3"/>
      <c r="M559" s="3"/>
      <c r="N559" s="3"/>
      <c r="O559" s="3"/>
      <c r="P559" s="8"/>
      <c r="Q559" s="8"/>
      <c r="R559" s="3"/>
      <c r="S559" s="3"/>
      <c r="T559" s="3"/>
      <c r="U559" s="5" t="str">
        <f t="shared" si="33"/>
        <v/>
      </c>
    </row>
    <row r="560" spans="1:21" ht="28" customHeight="1" x14ac:dyDescent="0.35">
      <c r="A560" s="4">
        <v>4</v>
      </c>
      <c r="B560" s="4" t="s">
        <v>371</v>
      </c>
      <c r="C560" s="4" t="s">
        <v>372</v>
      </c>
      <c r="D560" s="4" t="s">
        <v>373</v>
      </c>
      <c r="E560" s="4" t="s">
        <v>69</v>
      </c>
      <c r="F560" s="4" t="s">
        <v>295</v>
      </c>
      <c r="G560" s="4" t="s">
        <v>199</v>
      </c>
      <c r="H560" s="4" t="s">
        <v>59</v>
      </c>
      <c r="I560" s="3"/>
      <c r="J560" s="3"/>
      <c r="K560" s="3"/>
      <c r="L560" s="3"/>
      <c r="M560" s="3"/>
      <c r="N560" s="3"/>
      <c r="O560" s="3"/>
      <c r="P560" s="8"/>
      <c r="Q560" s="8"/>
      <c r="R560" s="3"/>
      <c r="S560" s="3"/>
      <c r="T560" s="3"/>
      <c r="U560" s="5" t="str">
        <f t="shared" si="33"/>
        <v/>
      </c>
    </row>
    <row r="561" spans="1:21" ht="28" customHeight="1" x14ac:dyDescent="0.35">
      <c r="A561" s="4">
        <v>5</v>
      </c>
      <c r="B561" s="4" t="s">
        <v>374</v>
      </c>
      <c r="C561" s="4" t="s">
        <v>375</v>
      </c>
      <c r="D561" s="4" t="s">
        <v>376</v>
      </c>
      <c r="E561" s="4" t="s">
        <v>69</v>
      </c>
      <c r="F561" s="4" t="s">
        <v>276</v>
      </c>
      <c r="G561" s="4" t="s">
        <v>199</v>
      </c>
      <c r="H561" s="4" t="s">
        <v>59</v>
      </c>
      <c r="I561" s="3"/>
      <c r="J561" s="3"/>
      <c r="K561" s="3"/>
      <c r="L561" s="3"/>
      <c r="M561" s="3"/>
      <c r="N561" s="3"/>
      <c r="O561" s="3"/>
      <c r="P561" s="8"/>
      <c r="Q561" s="8"/>
      <c r="R561" s="3"/>
      <c r="S561" s="3"/>
      <c r="T561" s="3"/>
      <c r="U561" s="5" t="str">
        <f t="shared" si="33"/>
        <v/>
      </c>
    </row>
    <row r="562" spans="1:21" ht="28" customHeight="1" x14ac:dyDescent="0.35">
      <c r="A562" s="4">
        <v>6</v>
      </c>
      <c r="B562" s="4" t="s">
        <v>377</v>
      </c>
      <c r="C562" s="4" t="s">
        <v>378</v>
      </c>
      <c r="D562" s="4" t="s">
        <v>379</v>
      </c>
      <c r="E562" s="4" t="s">
        <v>69</v>
      </c>
      <c r="F562" s="4" t="s">
        <v>276</v>
      </c>
      <c r="G562" s="4" t="s">
        <v>199</v>
      </c>
      <c r="H562" s="4" t="s">
        <v>59</v>
      </c>
      <c r="I562" s="3"/>
      <c r="J562" s="3"/>
      <c r="K562" s="3"/>
      <c r="L562" s="3"/>
      <c r="M562" s="3"/>
      <c r="N562" s="3"/>
      <c r="O562" s="3"/>
      <c r="P562" s="8"/>
      <c r="Q562" s="8"/>
      <c r="R562" s="3"/>
      <c r="S562" s="3"/>
      <c r="T562" s="3"/>
      <c r="U562" s="5" t="str">
        <f t="shared" si="33"/>
        <v/>
      </c>
    </row>
    <row r="563" spans="1:21" ht="28" customHeight="1" x14ac:dyDescent="0.35">
      <c r="A563" s="4">
        <v>7</v>
      </c>
      <c r="B563" s="4" t="s">
        <v>380</v>
      </c>
      <c r="C563" s="4" t="s">
        <v>381</v>
      </c>
      <c r="D563" s="4" t="s">
        <v>382</v>
      </c>
      <c r="E563" s="4" t="s">
        <v>69</v>
      </c>
      <c r="F563" s="4" t="s">
        <v>276</v>
      </c>
      <c r="G563" s="4" t="s">
        <v>199</v>
      </c>
      <c r="H563" s="4" t="s">
        <v>59</v>
      </c>
      <c r="I563" s="3"/>
      <c r="J563" s="3"/>
      <c r="K563" s="3"/>
      <c r="L563" s="3"/>
      <c r="M563" s="3"/>
      <c r="N563" s="3"/>
      <c r="O563" s="3"/>
      <c r="P563" s="8"/>
      <c r="Q563" s="8"/>
      <c r="R563" s="3"/>
      <c r="S563" s="3"/>
      <c r="T563" s="3"/>
      <c r="U563" s="5" t="str">
        <f t="shared" si="33"/>
        <v/>
      </c>
    </row>
    <row r="564" spans="1:21" ht="28" customHeight="1" x14ac:dyDescent="0.35">
      <c r="A564" s="4">
        <v>8</v>
      </c>
      <c r="B564" s="4" t="s">
        <v>383</v>
      </c>
      <c r="C564" s="4" t="s">
        <v>384</v>
      </c>
      <c r="D564" s="4" t="s">
        <v>385</v>
      </c>
      <c r="E564" s="4" t="s">
        <v>69</v>
      </c>
      <c r="F564" s="4" t="s">
        <v>95</v>
      </c>
      <c r="G564" s="4" t="s">
        <v>96</v>
      </c>
      <c r="H564" s="4" t="s">
        <v>59</v>
      </c>
      <c r="I564" s="3"/>
      <c r="J564" s="3"/>
      <c r="K564" s="3"/>
      <c r="L564" s="3"/>
      <c r="M564" s="3"/>
      <c r="N564" s="3"/>
      <c r="O564" s="3"/>
      <c r="P564" s="8"/>
      <c r="Q564" s="8"/>
      <c r="R564" s="3"/>
      <c r="S564" s="3"/>
      <c r="T564" s="3"/>
      <c r="U564" s="5" t="str">
        <f t="shared" si="33"/>
        <v/>
      </c>
    </row>
    <row r="565" spans="1:21" ht="28" customHeight="1" x14ac:dyDescent="0.35">
      <c r="A565" s="4">
        <v>9</v>
      </c>
      <c r="B565" s="4" t="s">
        <v>97</v>
      </c>
      <c r="C565" s="4" t="s">
        <v>98</v>
      </c>
      <c r="D565" s="4" t="s">
        <v>99</v>
      </c>
      <c r="E565" s="4" t="s">
        <v>69</v>
      </c>
      <c r="F565" s="4" t="s">
        <v>95</v>
      </c>
      <c r="G565" s="4" t="s">
        <v>96</v>
      </c>
      <c r="H565" s="4" t="s">
        <v>59</v>
      </c>
      <c r="I565" s="3"/>
      <c r="J565" s="3"/>
      <c r="K565" s="3"/>
      <c r="L565" s="3"/>
      <c r="M565" s="3"/>
      <c r="N565" s="3"/>
      <c r="O565" s="3"/>
      <c r="P565" s="8"/>
      <c r="Q565" s="8"/>
      <c r="R565" s="3"/>
      <c r="S565" s="3"/>
      <c r="T565" s="3"/>
      <c r="U565" s="5" t="str">
        <f t="shared" si="33"/>
        <v/>
      </c>
    </row>
    <row r="566" spans="1:21" ht="28" customHeight="1" x14ac:dyDescent="0.35">
      <c r="A566" s="4">
        <v>10</v>
      </c>
      <c r="B566" s="4" t="s">
        <v>97</v>
      </c>
      <c r="C566" s="4" t="s">
        <v>100</v>
      </c>
      <c r="D566" s="4" t="s">
        <v>101</v>
      </c>
      <c r="E566" s="4" t="s">
        <v>69</v>
      </c>
      <c r="F566" s="4" t="s">
        <v>95</v>
      </c>
      <c r="G566" s="4" t="s">
        <v>102</v>
      </c>
      <c r="H566" s="4" t="s">
        <v>59</v>
      </c>
      <c r="I566" s="3"/>
      <c r="J566" s="3"/>
      <c r="K566" s="3"/>
      <c r="L566" s="3"/>
      <c r="M566" s="3"/>
      <c r="N566" s="3"/>
      <c r="O566" s="3"/>
      <c r="P566" s="8"/>
      <c r="Q566" s="8"/>
      <c r="R566" s="3"/>
      <c r="S566" s="3"/>
      <c r="T566" s="3"/>
      <c r="U566" s="5" t="str">
        <f t="shared" si="33"/>
        <v/>
      </c>
    </row>
    <row r="567" spans="1:21" ht="28" customHeight="1" x14ac:dyDescent="0.35">
      <c r="A567" s="4">
        <v>11</v>
      </c>
      <c r="B567" s="4" t="s">
        <v>103</v>
      </c>
      <c r="C567" s="4" t="s">
        <v>104</v>
      </c>
      <c r="D567" s="4" t="s">
        <v>105</v>
      </c>
      <c r="E567" s="4" t="s">
        <v>69</v>
      </c>
      <c r="F567" s="4" t="s">
        <v>95</v>
      </c>
      <c r="G567" s="4" t="s">
        <v>96</v>
      </c>
      <c r="H567" s="4" t="s">
        <v>85</v>
      </c>
      <c r="I567" s="3"/>
      <c r="J567" s="3"/>
      <c r="K567" s="3"/>
      <c r="L567" s="3"/>
      <c r="M567" s="3"/>
      <c r="N567" s="3"/>
      <c r="O567" s="3"/>
      <c r="P567" s="8"/>
      <c r="Q567" s="8"/>
      <c r="R567" s="3"/>
      <c r="S567" s="3"/>
      <c r="T567" s="3"/>
      <c r="U567" s="5" t="str">
        <f t="shared" si="33"/>
        <v/>
      </c>
    </row>
    <row r="568" spans="1:21" ht="28" customHeight="1" x14ac:dyDescent="0.35">
      <c r="A568" s="4">
        <v>12</v>
      </c>
      <c r="B568" s="4" t="s">
        <v>106</v>
      </c>
      <c r="C568" s="4" t="s">
        <v>107</v>
      </c>
      <c r="D568" s="4" t="s">
        <v>108</v>
      </c>
      <c r="E568" s="4" t="s">
        <v>109</v>
      </c>
      <c r="F568" s="4" t="s">
        <v>95</v>
      </c>
      <c r="G568" s="4" t="s">
        <v>96</v>
      </c>
      <c r="H568" s="4" t="s">
        <v>59</v>
      </c>
      <c r="I568" s="3"/>
      <c r="J568" s="3"/>
      <c r="K568" s="3"/>
      <c r="L568" s="3"/>
      <c r="M568" s="3"/>
      <c r="N568" s="3"/>
      <c r="O568" s="3"/>
      <c r="P568" s="8"/>
      <c r="Q568" s="8"/>
      <c r="R568" s="3"/>
      <c r="S568" s="3"/>
      <c r="T568" s="3"/>
      <c r="U568" s="5" t="str">
        <f t="shared" si="33"/>
        <v/>
      </c>
    </row>
    <row r="570" spans="1:21" ht="28" customHeight="1" x14ac:dyDescent="0.35">
      <c r="A570" s="9" t="s">
        <v>110</v>
      </c>
      <c r="B570" s="16"/>
      <c r="C570" s="17"/>
      <c r="D570" s="17"/>
      <c r="E570" s="17"/>
      <c r="F570" s="17"/>
      <c r="G570" s="17"/>
      <c r="H570" s="17"/>
      <c r="I570" s="17"/>
      <c r="J570" s="17"/>
      <c r="K570" s="17"/>
      <c r="L570" s="17"/>
      <c r="M570" s="17"/>
      <c r="N570" s="17"/>
      <c r="O570" s="17"/>
      <c r="P570" s="17"/>
      <c r="Q570" s="17"/>
      <c r="R570" s="17"/>
      <c r="S570" s="17"/>
      <c r="T570" s="17"/>
      <c r="U570" s="18"/>
    </row>
    <row r="571" spans="1:21" ht="28" customHeight="1" x14ac:dyDescent="0.35">
      <c r="A571" s="19" t="s">
        <v>415</v>
      </c>
      <c r="B571" s="20"/>
      <c r="C571" s="20"/>
      <c r="D571" s="20"/>
      <c r="E571" s="20"/>
      <c r="F571" s="20"/>
      <c r="G571" s="20"/>
      <c r="H571" s="20"/>
      <c r="I571" s="20"/>
      <c r="J571" s="20"/>
      <c r="K571" s="20"/>
      <c r="L571" s="20"/>
      <c r="M571" s="20"/>
      <c r="N571" s="20"/>
      <c r="O571" s="20"/>
      <c r="P571" s="20"/>
      <c r="Q571" s="20"/>
      <c r="R571" s="20"/>
      <c r="S571" s="20"/>
      <c r="T571" s="20"/>
      <c r="U571" s="21"/>
    </row>
    <row r="572" spans="1:21" ht="28" customHeight="1" x14ac:dyDescent="0.35">
      <c r="A572" s="4" t="s">
        <v>31</v>
      </c>
      <c r="B572" s="3" t="s">
        <v>247</v>
      </c>
      <c r="C572" s="4" t="s">
        <v>32</v>
      </c>
      <c r="D572" s="3"/>
      <c r="E572" s="4" t="s">
        <v>33</v>
      </c>
      <c r="F572" s="8"/>
    </row>
    <row r="573" spans="1:21" ht="28" customHeight="1" x14ac:dyDescent="0.35">
      <c r="A573" s="1" t="s">
        <v>34</v>
      </c>
      <c r="B573" s="1" t="s">
        <v>35</v>
      </c>
      <c r="C573" s="1" t="s">
        <v>36</v>
      </c>
      <c r="D573" s="1" t="s">
        <v>37</v>
      </c>
      <c r="E573" s="1" t="s">
        <v>38</v>
      </c>
      <c r="F573" s="1" t="s">
        <v>39</v>
      </c>
      <c r="G573" s="1" t="s">
        <v>40</v>
      </c>
      <c r="H573" s="1" t="s">
        <v>41</v>
      </c>
      <c r="I573" s="1" t="s">
        <v>42</v>
      </c>
      <c r="J573" s="1" t="s">
        <v>43</v>
      </c>
      <c r="K573" s="1" t="s">
        <v>44</v>
      </c>
      <c r="L573" s="1" t="s">
        <v>45</v>
      </c>
      <c r="M573" s="1" t="s">
        <v>46</v>
      </c>
      <c r="N573" s="1" t="s">
        <v>47</v>
      </c>
      <c r="O573" s="1" t="s">
        <v>48</v>
      </c>
      <c r="P573" s="1" t="s">
        <v>4</v>
      </c>
      <c r="Q573" s="1" t="s">
        <v>49</v>
      </c>
      <c r="R573" s="1" t="s">
        <v>50</v>
      </c>
      <c r="S573" s="1" t="s">
        <v>51</v>
      </c>
      <c r="T573" s="1" t="s">
        <v>52</v>
      </c>
      <c r="U573" s="1" t="s">
        <v>10</v>
      </c>
    </row>
    <row r="574" spans="1:21" ht="28" customHeight="1" x14ac:dyDescent="0.35">
      <c r="A574" s="4">
        <v>1</v>
      </c>
      <c r="B574" s="4" t="s">
        <v>97</v>
      </c>
      <c r="C574" s="4" t="s">
        <v>362</v>
      </c>
      <c r="D574" s="4" t="s">
        <v>363</v>
      </c>
      <c r="E574" s="4" t="s">
        <v>69</v>
      </c>
      <c r="F574" s="4" t="s">
        <v>364</v>
      </c>
      <c r="G574" s="4" t="s">
        <v>199</v>
      </c>
      <c r="H574" s="4" t="s">
        <v>76</v>
      </c>
      <c r="I574" s="3"/>
      <c r="J574" s="3"/>
      <c r="K574" s="3"/>
      <c r="L574" s="3"/>
      <c r="M574" s="3"/>
      <c r="N574" s="3"/>
      <c r="O574" s="3"/>
      <c r="P574" s="8"/>
      <c r="Q574" s="8"/>
      <c r="R574" s="3"/>
      <c r="S574" s="3"/>
      <c r="T574" s="3"/>
      <c r="U574" s="5" t="str">
        <f t="shared" ref="U574:U585" si="34">IF(I574="","",IF(I574="NA","Grey",IF(I574=2,"Green",IF(I574=1,"Amber","Red"))))</f>
        <v/>
      </c>
    </row>
    <row r="575" spans="1:21" ht="28" customHeight="1" x14ac:dyDescent="0.35">
      <c r="A575" s="4">
        <v>2</v>
      </c>
      <c r="B575" s="4" t="s">
        <v>365</v>
      </c>
      <c r="C575" s="4" t="s">
        <v>366</v>
      </c>
      <c r="D575" s="4" t="s">
        <v>367</v>
      </c>
      <c r="E575" s="4" t="s">
        <v>69</v>
      </c>
      <c r="F575" s="4" t="s">
        <v>276</v>
      </c>
      <c r="G575" s="4" t="s">
        <v>199</v>
      </c>
      <c r="H575" s="4" t="s">
        <v>76</v>
      </c>
      <c r="I575" s="3"/>
      <c r="J575" s="3"/>
      <c r="K575" s="3"/>
      <c r="L575" s="3"/>
      <c r="M575" s="3"/>
      <c r="N575" s="3"/>
      <c r="O575" s="3"/>
      <c r="P575" s="8"/>
      <c r="Q575" s="8"/>
      <c r="R575" s="3"/>
      <c r="S575" s="3"/>
      <c r="T575" s="3"/>
      <c r="U575" s="5" t="str">
        <f t="shared" si="34"/>
        <v/>
      </c>
    </row>
    <row r="576" spans="1:21" ht="28" customHeight="1" x14ac:dyDescent="0.35">
      <c r="A576" s="4">
        <v>3</v>
      </c>
      <c r="B576" s="4" t="s">
        <v>365</v>
      </c>
      <c r="C576" s="4" t="s">
        <v>368</v>
      </c>
      <c r="D576" s="4" t="s">
        <v>369</v>
      </c>
      <c r="E576" s="4" t="s">
        <v>69</v>
      </c>
      <c r="F576" s="4" t="s">
        <v>370</v>
      </c>
      <c r="G576" s="4" t="s">
        <v>204</v>
      </c>
      <c r="H576" s="4" t="s">
        <v>76</v>
      </c>
      <c r="I576" s="3"/>
      <c r="J576" s="3"/>
      <c r="K576" s="3"/>
      <c r="L576" s="3"/>
      <c r="M576" s="3"/>
      <c r="N576" s="3"/>
      <c r="O576" s="3"/>
      <c r="P576" s="8"/>
      <c r="Q576" s="8"/>
      <c r="R576" s="3"/>
      <c r="S576" s="3"/>
      <c r="T576" s="3"/>
      <c r="U576" s="5" t="str">
        <f t="shared" si="34"/>
        <v/>
      </c>
    </row>
    <row r="577" spans="1:21" ht="28" customHeight="1" x14ac:dyDescent="0.35">
      <c r="A577" s="4">
        <v>4</v>
      </c>
      <c r="B577" s="4" t="s">
        <v>371</v>
      </c>
      <c r="C577" s="4" t="s">
        <v>372</v>
      </c>
      <c r="D577" s="4" t="s">
        <v>373</v>
      </c>
      <c r="E577" s="4" t="s">
        <v>69</v>
      </c>
      <c r="F577" s="4" t="s">
        <v>295</v>
      </c>
      <c r="G577" s="4" t="s">
        <v>199</v>
      </c>
      <c r="H577" s="4" t="s">
        <v>59</v>
      </c>
      <c r="I577" s="3"/>
      <c r="J577" s="3"/>
      <c r="K577" s="3"/>
      <c r="L577" s="3"/>
      <c r="M577" s="3"/>
      <c r="N577" s="3"/>
      <c r="O577" s="3"/>
      <c r="P577" s="8"/>
      <c r="Q577" s="8"/>
      <c r="R577" s="3"/>
      <c r="S577" s="3"/>
      <c r="T577" s="3"/>
      <c r="U577" s="5" t="str">
        <f t="shared" si="34"/>
        <v/>
      </c>
    </row>
    <row r="578" spans="1:21" ht="28" customHeight="1" x14ac:dyDescent="0.35">
      <c r="A578" s="4">
        <v>5</v>
      </c>
      <c r="B578" s="4" t="s">
        <v>374</v>
      </c>
      <c r="C578" s="4" t="s">
        <v>375</v>
      </c>
      <c r="D578" s="4" t="s">
        <v>376</v>
      </c>
      <c r="E578" s="4" t="s">
        <v>69</v>
      </c>
      <c r="F578" s="4" t="s">
        <v>276</v>
      </c>
      <c r="G578" s="4" t="s">
        <v>199</v>
      </c>
      <c r="H578" s="4" t="s">
        <v>59</v>
      </c>
      <c r="I578" s="3"/>
      <c r="J578" s="3"/>
      <c r="K578" s="3"/>
      <c r="L578" s="3"/>
      <c r="M578" s="3"/>
      <c r="N578" s="3"/>
      <c r="O578" s="3"/>
      <c r="P578" s="8"/>
      <c r="Q578" s="8"/>
      <c r="R578" s="3"/>
      <c r="S578" s="3"/>
      <c r="T578" s="3"/>
      <c r="U578" s="5" t="str">
        <f t="shared" si="34"/>
        <v/>
      </c>
    </row>
    <row r="579" spans="1:21" ht="28" customHeight="1" x14ac:dyDescent="0.35">
      <c r="A579" s="4">
        <v>6</v>
      </c>
      <c r="B579" s="4" t="s">
        <v>377</v>
      </c>
      <c r="C579" s="4" t="s">
        <v>378</v>
      </c>
      <c r="D579" s="4" t="s">
        <v>379</v>
      </c>
      <c r="E579" s="4" t="s">
        <v>69</v>
      </c>
      <c r="F579" s="4" t="s">
        <v>276</v>
      </c>
      <c r="G579" s="4" t="s">
        <v>199</v>
      </c>
      <c r="H579" s="4" t="s">
        <v>59</v>
      </c>
      <c r="I579" s="3"/>
      <c r="J579" s="3"/>
      <c r="K579" s="3"/>
      <c r="L579" s="3"/>
      <c r="M579" s="3"/>
      <c r="N579" s="3"/>
      <c r="O579" s="3"/>
      <c r="P579" s="8"/>
      <c r="Q579" s="8"/>
      <c r="R579" s="3"/>
      <c r="S579" s="3"/>
      <c r="T579" s="3"/>
      <c r="U579" s="5" t="str">
        <f t="shared" si="34"/>
        <v/>
      </c>
    </row>
    <row r="580" spans="1:21" ht="28" customHeight="1" x14ac:dyDescent="0.35">
      <c r="A580" s="4">
        <v>7</v>
      </c>
      <c r="B580" s="4" t="s">
        <v>380</v>
      </c>
      <c r="C580" s="4" t="s">
        <v>381</v>
      </c>
      <c r="D580" s="4" t="s">
        <v>382</v>
      </c>
      <c r="E580" s="4" t="s">
        <v>69</v>
      </c>
      <c r="F580" s="4" t="s">
        <v>276</v>
      </c>
      <c r="G580" s="4" t="s">
        <v>199</v>
      </c>
      <c r="H580" s="4" t="s">
        <v>59</v>
      </c>
      <c r="I580" s="3"/>
      <c r="J580" s="3"/>
      <c r="K580" s="3"/>
      <c r="L580" s="3"/>
      <c r="M580" s="3"/>
      <c r="N580" s="3"/>
      <c r="O580" s="3"/>
      <c r="P580" s="8"/>
      <c r="Q580" s="8"/>
      <c r="R580" s="3"/>
      <c r="S580" s="3"/>
      <c r="T580" s="3"/>
      <c r="U580" s="5" t="str">
        <f t="shared" si="34"/>
        <v/>
      </c>
    </row>
    <row r="581" spans="1:21" ht="28" customHeight="1" x14ac:dyDescent="0.35">
      <c r="A581" s="4">
        <v>8</v>
      </c>
      <c r="B581" s="4" t="s">
        <v>383</v>
      </c>
      <c r="C581" s="4" t="s">
        <v>384</v>
      </c>
      <c r="D581" s="4" t="s">
        <v>385</v>
      </c>
      <c r="E581" s="4" t="s">
        <v>69</v>
      </c>
      <c r="F581" s="4" t="s">
        <v>95</v>
      </c>
      <c r="G581" s="4" t="s">
        <v>96</v>
      </c>
      <c r="H581" s="4" t="s">
        <v>59</v>
      </c>
      <c r="I581" s="3"/>
      <c r="J581" s="3"/>
      <c r="K581" s="3"/>
      <c r="L581" s="3"/>
      <c r="M581" s="3"/>
      <c r="N581" s="3"/>
      <c r="O581" s="3"/>
      <c r="P581" s="8"/>
      <c r="Q581" s="8"/>
      <c r="R581" s="3"/>
      <c r="S581" s="3"/>
      <c r="T581" s="3"/>
      <c r="U581" s="5" t="str">
        <f t="shared" si="34"/>
        <v/>
      </c>
    </row>
    <row r="582" spans="1:21" ht="28" customHeight="1" x14ac:dyDescent="0.35">
      <c r="A582" s="4">
        <v>9</v>
      </c>
      <c r="B582" s="4" t="s">
        <v>97</v>
      </c>
      <c r="C582" s="4" t="s">
        <v>98</v>
      </c>
      <c r="D582" s="4" t="s">
        <v>99</v>
      </c>
      <c r="E582" s="4" t="s">
        <v>69</v>
      </c>
      <c r="F582" s="4" t="s">
        <v>95</v>
      </c>
      <c r="G582" s="4" t="s">
        <v>96</v>
      </c>
      <c r="H582" s="4" t="s">
        <v>59</v>
      </c>
      <c r="I582" s="3"/>
      <c r="J582" s="3"/>
      <c r="K582" s="3"/>
      <c r="L582" s="3"/>
      <c r="M582" s="3"/>
      <c r="N582" s="3"/>
      <c r="O582" s="3"/>
      <c r="P582" s="8"/>
      <c r="Q582" s="8"/>
      <c r="R582" s="3"/>
      <c r="S582" s="3"/>
      <c r="T582" s="3"/>
      <c r="U582" s="5" t="str">
        <f t="shared" si="34"/>
        <v/>
      </c>
    </row>
    <row r="583" spans="1:21" ht="28" customHeight="1" x14ac:dyDescent="0.35">
      <c r="A583" s="4">
        <v>10</v>
      </c>
      <c r="B583" s="4" t="s">
        <v>97</v>
      </c>
      <c r="C583" s="4" t="s">
        <v>100</v>
      </c>
      <c r="D583" s="4" t="s">
        <v>101</v>
      </c>
      <c r="E583" s="4" t="s">
        <v>69</v>
      </c>
      <c r="F583" s="4" t="s">
        <v>95</v>
      </c>
      <c r="G583" s="4" t="s">
        <v>102</v>
      </c>
      <c r="H583" s="4" t="s">
        <v>59</v>
      </c>
      <c r="I583" s="3"/>
      <c r="J583" s="3"/>
      <c r="K583" s="3"/>
      <c r="L583" s="3"/>
      <c r="M583" s="3"/>
      <c r="N583" s="3"/>
      <c r="O583" s="3"/>
      <c r="P583" s="8"/>
      <c r="Q583" s="8"/>
      <c r="R583" s="3"/>
      <c r="S583" s="3"/>
      <c r="T583" s="3"/>
      <c r="U583" s="5" t="str">
        <f t="shared" si="34"/>
        <v/>
      </c>
    </row>
    <row r="584" spans="1:21" ht="28" customHeight="1" x14ac:dyDescent="0.35">
      <c r="A584" s="4">
        <v>11</v>
      </c>
      <c r="B584" s="4" t="s">
        <v>103</v>
      </c>
      <c r="C584" s="4" t="s">
        <v>104</v>
      </c>
      <c r="D584" s="4" t="s">
        <v>105</v>
      </c>
      <c r="E584" s="4" t="s">
        <v>69</v>
      </c>
      <c r="F584" s="4" t="s">
        <v>95</v>
      </c>
      <c r="G584" s="4" t="s">
        <v>96</v>
      </c>
      <c r="H584" s="4" t="s">
        <v>85</v>
      </c>
      <c r="I584" s="3"/>
      <c r="J584" s="3"/>
      <c r="K584" s="3"/>
      <c r="L584" s="3"/>
      <c r="M584" s="3"/>
      <c r="N584" s="3"/>
      <c r="O584" s="3"/>
      <c r="P584" s="8"/>
      <c r="Q584" s="8"/>
      <c r="R584" s="3"/>
      <c r="S584" s="3"/>
      <c r="T584" s="3"/>
      <c r="U584" s="5" t="str">
        <f t="shared" si="34"/>
        <v/>
      </c>
    </row>
    <row r="585" spans="1:21" ht="28" customHeight="1" x14ac:dyDescent="0.35">
      <c r="A585" s="4">
        <v>12</v>
      </c>
      <c r="B585" s="4" t="s">
        <v>106</v>
      </c>
      <c r="C585" s="4" t="s">
        <v>107</v>
      </c>
      <c r="D585" s="4" t="s">
        <v>108</v>
      </c>
      <c r="E585" s="4" t="s">
        <v>109</v>
      </c>
      <c r="F585" s="4" t="s">
        <v>95</v>
      </c>
      <c r="G585" s="4" t="s">
        <v>96</v>
      </c>
      <c r="H585" s="4" t="s">
        <v>59</v>
      </c>
      <c r="I585" s="3"/>
      <c r="J585" s="3"/>
      <c r="K585" s="3"/>
      <c r="L585" s="3"/>
      <c r="M585" s="3"/>
      <c r="N585" s="3"/>
      <c r="O585" s="3"/>
      <c r="P585" s="8"/>
      <c r="Q585" s="8"/>
      <c r="R585" s="3"/>
      <c r="S585" s="3"/>
      <c r="T585" s="3"/>
      <c r="U585" s="5" t="str">
        <f t="shared" si="34"/>
        <v/>
      </c>
    </row>
    <row r="587" spans="1:21" ht="28" customHeight="1" x14ac:dyDescent="0.35">
      <c r="A587" s="9" t="s">
        <v>110</v>
      </c>
      <c r="B587" s="16"/>
      <c r="C587" s="17"/>
      <c r="D587" s="17"/>
      <c r="E587" s="17"/>
      <c r="F587" s="17"/>
      <c r="G587" s="17"/>
      <c r="H587" s="17"/>
      <c r="I587" s="17"/>
      <c r="J587" s="17"/>
      <c r="K587" s="17"/>
      <c r="L587" s="17"/>
      <c r="M587" s="17"/>
      <c r="N587" s="17"/>
      <c r="O587" s="17"/>
      <c r="P587" s="17"/>
      <c r="Q587" s="17"/>
      <c r="R587" s="17"/>
      <c r="S587" s="17"/>
      <c r="T587" s="17"/>
      <c r="U587" s="18"/>
    </row>
    <row r="588" spans="1:21" ht="28" customHeight="1" x14ac:dyDescent="0.35">
      <c r="A588" s="19" t="s">
        <v>416</v>
      </c>
      <c r="B588" s="20"/>
      <c r="C588" s="20"/>
      <c r="D588" s="20"/>
      <c r="E588" s="20"/>
      <c r="F588" s="20"/>
      <c r="G588" s="20"/>
      <c r="H588" s="20"/>
      <c r="I588" s="20"/>
      <c r="J588" s="20"/>
      <c r="K588" s="20"/>
      <c r="L588" s="20"/>
      <c r="M588" s="20"/>
      <c r="N588" s="20"/>
      <c r="O588" s="20"/>
      <c r="P588" s="20"/>
      <c r="Q588" s="20"/>
      <c r="R588" s="20"/>
      <c r="S588" s="20"/>
      <c r="T588" s="20"/>
      <c r="U588" s="21"/>
    </row>
    <row r="589" spans="1:21" ht="28" customHeight="1" x14ac:dyDescent="0.35">
      <c r="A589" s="4" t="s">
        <v>31</v>
      </c>
      <c r="B589" s="3" t="s">
        <v>248</v>
      </c>
      <c r="C589" s="4" t="s">
        <v>32</v>
      </c>
      <c r="D589" s="3"/>
      <c r="E589" s="4" t="s">
        <v>33</v>
      </c>
      <c r="F589" s="8"/>
    </row>
    <row r="590" spans="1:21" ht="28" customHeight="1" x14ac:dyDescent="0.35">
      <c r="A590" s="1" t="s">
        <v>34</v>
      </c>
      <c r="B590" s="1" t="s">
        <v>35</v>
      </c>
      <c r="C590" s="1" t="s">
        <v>36</v>
      </c>
      <c r="D590" s="1" t="s">
        <v>37</v>
      </c>
      <c r="E590" s="1" t="s">
        <v>38</v>
      </c>
      <c r="F590" s="1" t="s">
        <v>39</v>
      </c>
      <c r="G590" s="1" t="s">
        <v>40</v>
      </c>
      <c r="H590" s="1" t="s">
        <v>41</v>
      </c>
      <c r="I590" s="1" t="s">
        <v>42</v>
      </c>
      <c r="J590" s="1" t="s">
        <v>43</v>
      </c>
      <c r="K590" s="1" t="s">
        <v>44</v>
      </c>
      <c r="L590" s="1" t="s">
        <v>45</v>
      </c>
      <c r="M590" s="1" t="s">
        <v>46</v>
      </c>
      <c r="N590" s="1" t="s">
        <v>47</v>
      </c>
      <c r="O590" s="1" t="s">
        <v>48</v>
      </c>
      <c r="P590" s="1" t="s">
        <v>4</v>
      </c>
      <c r="Q590" s="1" t="s">
        <v>49</v>
      </c>
      <c r="R590" s="1" t="s">
        <v>50</v>
      </c>
      <c r="S590" s="1" t="s">
        <v>51</v>
      </c>
      <c r="T590" s="1" t="s">
        <v>52</v>
      </c>
      <c r="U590" s="1" t="s">
        <v>10</v>
      </c>
    </row>
    <row r="591" spans="1:21" ht="28" customHeight="1" x14ac:dyDescent="0.35">
      <c r="A591" s="4">
        <v>1</v>
      </c>
      <c r="B591" s="4" t="s">
        <v>97</v>
      </c>
      <c r="C591" s="4" t="s">
        <v>362</v>
      </c>
      <c r="D591" s="4" t="s">
        <v>363</v>
      </c>
      <c r="E591" s="4" t="s">
        <v>69</v>
      </c>
      <c r="F591" s="4" t="s">
        <v>364</v>
      </c>
      <c r="G591" s="4" t="s">
        <v>199</v>
      </c>
      <c r="H591" s="4" t="s">
        <v>76</v>
      </c>
      <c r="I591" s="3"/>
      <c r="J591" s="3"/>
      <c r="K591" s="3"/>
      <c r="L591" s="3"/>
      <c r="M591" s="3"/>
      <c r="N591" s="3"/>
      <c r="O591" s="3"/>
      <c r="P591" s="8"/>
      <c r="Q591" s="8"/>
      <c r="R591" s="3"/>
      <c r="S591" s="3"/>
      <c r="T591" s="3"/>
      <c r="U591" s="5" t="str">
        <f t="shared" ref="U591:U602" si="35">IF(I591="","",IF(I591="NA","Grey",IF(I591=2,"Green",IF(I591=1,"Amber","Red"))))</f>
        <v/>
      </c>
    </row>
    <row r="592" spans="1:21" ht="28" customHeight="1" x14ac:dyDescent="0.35">
      <c r="A592" s="4">
        <v>2</v>
      </c>
      <c r="B592" s="4" t="s">
        <v>365</v>
      </c>
      <c r="C592" s="4" t="s">
        <v>366</v>
      </c>
      <c r="D592" s="4" t="s">
        <v>367</v>
      </c>
      <c r="E592" s="4" t="s">
        <v>69</v>
      </c>
      <c r="F592" s="4" t="s">
        <v>276</v>
      </c>
      <c r="G592" s="4" t="s">
        <v>199</v>
      </c>
      <c r="H592" s="4" t="s">
        <v>76</v>
      </c>
      <c r="I592" s="3"/>
      <c r="J592" s="3"/>
      <c r="K592" s="3"/>
      <c r="L592" s="3"/>
      <c r="M592" s="3"/>
      <c r="N592" s="3"/>
      <c r="O592" s="3"/>
      <c r="P592" s="8"/>
      <c r="Q592" s="8"/>
      <c r="R592" s="3"/>
      <c r="S592" s="3"/>
      <c r="T592" s="3"/>
      <c r="U592" s="5" t="str">
        <f t="shared" si="35"/>
        <v/>
      </c>
    </row>
    <row r="593" spans="1:21" ht="28" customHeight="1" x14ac:dyDescent="0.35">
      <c r="A593" s="4">
        <v>3</v>
      </c>
      <c r="B593" s="4" t="s">
        <v>365</v>
      </c>
      <c r="C593" s="4" t="s">
        <v>368</v>
      </c>
      <c r="D593" s="4" t="s">
        <v>369</v>
      </c>
      <c r="E593" s="4" t="s">
        <v>69</v>
      </c>
      <c r="F593" s="4" t="s">
        <v>370</v>
      </c>
      <c r="G593" s="4" t="s">
        <v>204</v>
      </c>
      <c r="H593" s="4" t="s">
        <v>76</v>
      </c>
      <c r="I593" s="3"/>
      <c r="J593" s="3"/>
      <c r="K593" s="3"/>
      <c r="L593" s="3"/>
      <c r="M593" s="3"/>
      <c r="N593" s="3"/>
      <c r="O593" s="3"/>
      <c r="P593" s="8"/>
      <c r="Q593" s="8"/>
      <c r="R593" s="3"/>
      <c r="S593" s="3"/>
      <c r="T593" s="3"/>
      <c r="U593" s="5" t="str">
        <f t="shared" si="35"/>
        <v/>
      </c>
    </row>
    <row r="594" spans="1:21" ht="28" customHeight="1" x14ac:dyDescent="0.35">
      <c r="A594" s="4">
        <v>4</v>
      </c>
      <c r="B594" s="4" t="s">
        <v>371</v>
      </c>
      <c r="C594" s="4" t="s">
        <v>372</v>
      </c>
      <c r="D594" s="4" t="s">
        <v>373</v>
      </c>
      <c r="E594" s="4" t="s">
        <v>69</v>
      </c>
      <c r="F594" s="4" t="s">
        <v>295</v>
      </c>
      <c r="G594" s="4" t="s">
        <v>199</v>
      </c>
      <c r="H594" s="4" t="s">
        <v>59</v>
      </c>
      <c r="I594" s="3"/>
      <c r="J594" s="3"/>
      <c r="K594" s="3"/>
      <c r="L594" s="3"/>
      <c r="M594" s="3"/>
      <c r="N594" s="3"/>
      <c r="O594" s="3"/>
      <c r="P594" s="8"/>
      <c r="Q594" s="8"/>
      <c r="R594" s="3"/>
      <c r="S594" s="3"/>
      <c r="T594" s="3"/>
      <c r="U594" s="5" t="str">
        <f t="shared" si="35"/>
        <v/>
      </c>
    </row>
    <row r="595" spans="1:21" ht="28" customHeight="1" x14ac:dyDescent="0.35">
      <c r="A595" s="4">
        <v>5</v>
      </c>
      <c r="B595" s="4" t="s">
        <v>374</v>
      </c>
      <c r="C595" s="4" t="s">
        <v>375</v>
      </c>
      <c r="D595" s="4" t="s">
        <v>376</v>
      </c>
      <c r="E595" s="4" t="s">
        <v>69</v>
      </c>
      <c r="F595" s="4" t="s">
        <v>276</v>
      </c>
      <c r="G595" s="4" t="s">
        <v>199</v>
      </c>
      <c r="H595" s="4" t="s">
        <v>59</v>
      </c>
      <c r="I595" s="3"/>
      <c r="J595" s="3"/>
      <c r="K595" s="3"/>
      <c r="L595" s="3"/>
      <c r="M595" s="3"/>
      <c r="N595" s="3"/>
      <c r="O595" s="3"/>
      <c r="P595" s="8"/>
      <c r="Q595" s="8"/>
      <c r="R595" s="3"/>
      <c r="S595" s="3"/>
      <c r="T595" s="3"/>
      <c r="U595" s="5" t="str">
        <f t="shared" si="35"/>
        <v/>
      </c>
    </row>
    <row r="596" spans="1:21" ht="28" customHeight="1" x14ac:dyDescent="0.35">
      <c r="A596" s="4">
        <v>6</v>
      </c>
      <c r="B596" s="4" t="s">
        <v>377</v>
      </c>
      <c r="C596" s="4" t="s">
        <v>378</v>
      </c>
      <c r="D596" s="4" t="s">
        <v>379</v>
      </c>
      <c r="E596" s="4" t="s">
        <v>69</v>
      </c>
      <c r="F596" s="4" t="s">
        <v>276</v>
      </c>
      <c r="G596" s="4" t="s">
        <v>199</v>
      </c>
      <c r="H596" s="4" t="s">
        <v>59</v>
      </c>
      <c r="I596" s="3"/>
      <c r="J596" s="3"/>
      <c r="K596" s="3"/>
      <c r="L596" s="3"/>
      <c r="M596" s="3"/>
      <c r="N596" s="3"/>
      <c r="O596" s="3"/>
      <c r="P596" s="8"/>
      <c r="Q596" s="8"/>
      <c r="R596" s="3"/>
      <c r="S596" s="3"/>
      <c r="T596" s="3"/>
      <c r="U596" s="5" t="str">
        <f t="shared" si="35"/>
        <v/>
      </c>
    </row>
    <row r="597" spans="1:21" ht="28" customHeight="1" x14ac:dyDescent="0.35">
      <c r="A597" s="4">
        <v>7</v>
      </c>
      <c r="B597" s="4" t="s">
        <v>380</v>
      </c>
      <c r="C597" s="4" t="s">
        <v>381</v>
      </c>
      <c r="D597" s="4" t="s">
        <v>382</v>
      </c>
      <c r="E597" s="4" t="s">
        <v>69</v>
      </c>
      <c r="F597" s="4" t="s">
        <v>276</v>
      </c>
      <c r="G597" s="4" t="s">
        <v>199</v>
      </c>
      <c r="H597" s="4" t="s">
        <v>59</v>
      </c>
      <c r="I597" s="3"/>
      <c r="J597" s="3"/>
      <c r="K597" s="3"/>
      <c r="L597" s="3"/>
      <c r="M597" s="3"/>
      <c r="N597" s="3"/>
      <c r="O597" s="3"/>
      <c r="P597" s="8"/>
      <c r="Q597" s="8"/>
      <c r="R597" s="3"/>
      <c r="S597" s="3"/>
      <c r="T597" s="3"/>
      <c r="U597" s="5" t="str">
        <f t="shared" si="35"/>
        <v/>
      </c>
    </row>
    <row r="598" spans="1:21" ht="28" customHeight="1" x14ac:dyDescent="0.35">
      <c r="A598" s="4">
        <v>8</v>
      </c>
      <c r="B598" s="4" t="s">
        <v>383</v>
      </c>
      <c r="C598" s="4" t="s">
        <v>384</v>
      </c>
      <c r="D598" s="4" t="s">
        <v>385</v>
      </c>
      <c r="E598" s="4" t="s">
        <v>69</v>
      </c>
      <c r="F598" s="4" t="s">
        <v>95</v>
      </c>
      <c r="G598" s="4" t="s">
        <v>96</v>
      </c>
      <c r="H598" s="4" t="s">
        <v>59</v>
      </c>
      <c r="I598" s="3"/>
      <c r="J598" s="3"/>
      <c r="K598" s="3"/>
      <c r="L598" s="3"/>
      <c r="M598" s="3"/>
      <c r="N598" s="3"/>
      <c r="O598" s="3"/>
      <c r="P598" s="8"/>
      <c r="Q598" s="8"/>
      <c r="R598" s="3"/>
      <c r="S598" s="3"/>
      <c r="T598" s="3"/>
      <c r="U598" s="5" t="str">
        <f t="shared" si="35"/>
        <v/>
      </c>
    </row>
    <row r="599" spans="1:21" ht="28" customHeight="1" x14ac:dyDescent="0.35">
      <c r="A599" s="4">
        <v>9</v>
      </c>
      <c r="B599" s="4" t="s">
        <v>97</v>
      </c>
      <c r="C599" s="4" t="s">
        <v>98</v>
      </c>
      <c r="D599" s="4" t="s">
        <v>99</v>
      </c>
      <c r="E599" s="4" t="s">
        <v>69</v>
      </c>
      <c r="F599" s="4" t="s">
        <v>95</v>
      </c>
      <c r="G599" s="4" t="s">
        <v>96</v>
      </c>
      <c r="H599" s="4" t="s">
        <v>59</v>
      </c>
      <c r="I599" s="3"/>
      <c r="J599" s="3"/>
      <c r="K599" s="3"/>
      <c r="L599" s="3"/>
      <c r="M599" s="3"/>
      <c r="N599" s="3"/>
      <c r="O599" s="3"/>
      <c r="P599" s="8"/>
      <c r="Q599" s="8"/>
      <c r="R599" s="3"/>
      <c r="S599" s="3"/>
      <c r="T599" s="3"/>
      <c r="U599" s="5" t="str">
        <f t="shared" si="35"/>
        <v/>
      </c>
    </row>
    <row r="600" spans="1:21" ht="28" customHeight="1" x14ac:dyDescent="0.35">
      <c r="A600" s="4">
        <v>10</v>
      </c>
      <c r="B600" s="4" t="s">
        <v>97</v>
      </c>
      <c r="C600" s="4" t="s">
        <v>100</v>
      </c>
      <c r="D600" s="4" t="s">
        <v>101</v>
      </c>
      <c r="E600" s="4" t="s">
        <v>69</v>
      </c>
      <c r="F600" s="4" t="s">
        <v>95</v>
      </c>
      <c r="G600" s="4" t="s">
        <v>102</v>
      </c>
      <c r="H600" s="4" t="s">
        <v>59</v>
      </c>
      <c r="I600" s="3"/>
      <c r="J600" s="3"/>
      <c r="K600" s="3"/>
      <c r="L600" s="3"/>
      <c r="M600" s="3"/>
      <c r="N600" s="3"/>
      <c r="O600" s="3"/>
      <c r="P600" s="8"/>
      <c r="Q600" s="8"/>
      <c r="R600" s="3"/>
      <c r="S600" s="3"/>
      <c r="T600" s="3"/>
      <c r="U600" s="5" t="str">
        <f t="shared" si="35"/>
        <v/>
      </c>
    </row>
    <row r="601" spans="1:21" ht="28" customHeight="1" x14ac:dyDescent="0.35">
      <c r="A601" s="4">
        <v>11</v>
      </c>
      <c r="B601" s="4" t="s">
        <v>103</v>
      </c>
      <c r="C601" s="4" t="s">
        <v>104</v>
      </c>
      <c r="D601" s="4" t="s">
        <v>105</v>
      </c>
      <c r="E601" s="4" t="s">
        <v>69</v>
      </c>
      <c r="F601" s="4" t="s">
        <v>95</v>
      </c>
      <c r="G601" s="4" t="s">
        <v>96</v>
      </c>
      <c r="H601" s="4" t="s">
        <v>85</v>
      </c>
      <c r="I601" s="3"/>
      <c r="J601" s="3"/>
      <c r="K601" s="3"/>
      <c r="L601" s="3"/>
      <c r="M601" s="3"/>
      <c r="N601" s="3"/>
      <c r="O601" s="3"/>
      <c r="P601" s="8"/>
      <c r="Q601" s="8"/>
      <c r="R601" s="3"/>
      <c r="S601" s="3"/>
      <c r="T601" s="3"/>
      <c r="U601" s="5" t="str">
        <f t="shared" si="35"/>
        <v/>
      </c>
    </row>
    <row r="602" spans="1:21" ht="28" customHeight="1" x14ac:dyDescent="0.35">
      <c r="A602" s="4">
        <v>12</v>
      </c>
      <c r="B602" s="4" t="s">
        <v>106</v>
      </c>
      <c r="C602" s="4" t="s">
        <v>107</v>
      </c>
      <c r="D602" s="4" t="s">
        <v>108</v>
      </c>
      <c r="E602" s="4" t="s">
        <v>109</v>
      </c>
      <c r="F602" s="4" t="s">
        <v>95</v>
      </c>
      <c r="G602" s="4" t="s">
        <v>96</v>
      </c>
      <c r="H602" s="4" t="s">
        <v>59</v>
      </c>
      <c r="I602" s="3"/>
      <c r="J602" s="3"/>
      <c r="K602" s="3"/>
      <c r="L602" s="3"/>
      <c r="M602" s="3"/>
      <c r="N602" s="3"/>
      <c r="O602" s="3"/>
      <c r="P602" s="8"/>
      <c r="Q602" s="8"/>
      <c r="R602" s="3"/>
      <c r="S602" s="3"/>
      <c r="T602" s="3"/>
      <c r="U602" s="5" t="str">
        <f t="shared" si="35"/>
        <v/>
      </c>
    </row>
    <row r="604" spans="1:21" ht="28" customHeight="1" x14ac:dyDescent="0.35">
      <c r="A604" s="9" t="s">
        <v>110</v>
      </c>
      <c r="B604" s="16"/>
      <c r="C604" s="17"/>
      <c r="D604" s="17"/>
      <c r="E604" s="17"/>
      <c r="F604" s="17"/>
      <c r="G604" s="17"/>
      <c r="H604" s="17"/>
      <c r="I604" s="17"/>
      <c r="J604" s="17"/>
      <c r="K604" s="17"/>
      <c r="L604" s="17"/>
      <c r="M604" s="17"/>
      <c r="N604" s="17"/>
      <c r="O604" s="17"/>
      <c r="P604" s="17"/>
      <c r="Q604" s="17"/>
      <c r="R604" s="17"/>
      <c r="S604" s="17"/>
      <c r="T604" s="17"/>
      <c r="U604" s="18"/>
    </row>
    <row r="605" spans="1:21" ht="28" customHeight="1" x14ac:dyDescent="0.35">
      <c r="A605" s="19" t="s">
        <v>417</v>
      </c>
      <c r="B605" s="20"/>
      <c r="C605" s="20"/>
      <c r="D605" s="20"/>
      <c r="E605" s="20"/>
      <c r="F605" s="20"/>
      <c r="G605" s="20"/>
      <c r="H605" s="20"/>
      <c r="I605" s="20"/>
      <c r="J605" s="20"/>
      <c r="K605" s="20"/>
      <c r="L605" s="20"/>
      <c r="M605" s="20"/>
      <c r="N605" s="20"/>
      <c r="O605" s="20"/>
      <c r="P605" s="20"/>
      <c r="Q605" s="20"/>
      <c r="R605" s="20"/>
      <c r="S605" s="20"/>
      <c r="T605" s="20"/>
      <c r="U605" s="21"/>
    </row>
    <row r="606" spans="1:21" ht="28" customHeight="1" x14ac:dyDescent="0.35">
      <c r="A606" s="4" t="s">
        <v>31</v>
      </c>
      <c r="B606" s="3" t="s">
        <v>249</v>
      </c>
      <c r="C606" s="4" t="s">
        <v>32</v>
      </c>
      <c r="D606" s="3"/>
      <c r="E606" s="4" t="s">
        <v>33</v>
      </c>
      <c r="F606" s="8"/>
    </row>
    <row r="607" spans="1:21" ht="28" customHeight="1" x14ac:dyDescent="0.35">
      <c r="A607" s="1" t="s">
        <v>34</v>
      </c>
      <c r="B607" s="1" t="s">
        <v>35</v>
      </c>
      <c r="C607" s="1" t="s">
        <v>36</v>
      </c>
      <c r="D607" s="1" t="s">
        <v>37</v>
      </c>
      <c r="E607" s="1" t="s">
        <v>38</v>
      </c>
      <c r="F607" s="1" t="s">
        <v>39</v>
      </c>
      <c r="G607" s="1" t="s">
        <v>40</v>
      </c>
      <c r="H607" s="1" t="s">
        <v>41</v>
      </c>
      <c r="I607" s="1" t="s">
        <v>42</v>
      </c>
      <c r="J607" s="1" t="s">
        <v>43</v>
      </c>
      <c r="K607" s="1" t="s">
        <v>44</v>
      </c>
      <c r="L607" s="1" t="s">
        <v>45</v>
      </c>
      <c r="M607" s="1" t="s">
        <v>46</v>
      </c>
      <c r="N607" s="1" t="s">
        <v>47</v>
      </c>
      <c r="O607" s="1" t="s">
        <v>48</v>
      </c>
      <c r="P607" s="1" t="s">
        <v>4</v>
      </c>
      <c r="Q607" s="1" t="s">
        <v>49</v>
      </c>
      <c r="R607" s="1" t="s">
        <v>50</v>
      </c>
      <c r="S607" s="1" t="s">
        <v>51</v>
      </c>
      <c r="T607" s="1" t="s">
        <v>52</v>
      </c>
      <c r="U607" s="1" t="s">
        <v>10</v>
      </c>
    </row>
    <row r="608" spans="1:21" ht="28" customHeight="1" x14ac:dyDescent="0.35">
      <c r="A608" s="4">
        <v>1</v>
      </c>
      <c r="B608" s="4" t="s">
        <v>97</v>
      </c>
      <c r="C608" s="4" t="s">
        <v>362</v>
      </c>
      <c r="D608" s="4" t="s">
        <v>363</v>
      </c>
      <c r="E608" s="4" t="s">
        <v>69</v>
      </c>
      <c r="F608" s="4" t="s">
        <v>364</v>
      </c>
      <c r="G608" s="4" t="s">
        <v>199</v>
      </c>
      <c r="H608" s="4" t="s">
        <v>76</v>
      </c>
      <c r="I608" s="3"/>
      <c r="J608" s="3"/>
      <c r="K608" s="3"/>
      <c r="L608" s="3"/>
      <c r="M608" s="3"/>
      <c r="N608" s="3"/>
      <c r="O608" s="3"/>
      <c r="P608" s="8"/>
      <c r="Q608" s="8"/>
      <c r="R608" s="3"/>
      <c r="S608" s="3"/>
      <c r="T608" s="3"/>
      <c r="U608" s="5" t="str">
        <f t="shared" ref="U608:U619" si="36">IF(I608="","",IF(I608="NA","Grey",IF(I608=2,"Green",IF(I608=1,"Amber","Red"))))</f>
        <v/>
      </c>
    </row>
    <row r="609" spans="1:21" ht="28" customHeight="1" x14ac:dyDescent="0.35">
      <c r="A609" s="4">
        <v>2</v>
      </c>
      <c r="B609" s="4" t="s">
        <v>365</v>
      </c>
      <c r="C609" s="4" t="s">
        <v>366</v>
      </c>
      <c r="D609" s="4" t="s">
        <v>367</v>
      </c>
      <c r="E609" s="4" t="s">
        <v>69</v>
      </c>
      <c r="F609" s="4" t="s">
        <v>276</v>
      </c>
      <c r="G609" s="4" t="s">
        <v>199</v>
      </c>
      <c r="H609" s="4" t="s">
        <v>76</v>
      </c>
      <c r="I609" s="3"/>
      <c r="J609" s="3"/>
      <c r="K609" s="3"/>
      <c r="L609" s="3"/>
      <c r="M609" s="3"/>
      <c r="N609" s="3"/>
      <c r="O609" s="3"/>
      <c r="P609" s="8"/>
      <c r="Q609" s="8"/>
      <c r="R609" s="3"/>
      <c r="S609" s="3"/>
      <c r="T609" s="3"/>
      <c r="U609" s="5" t="str">
        <f t="shared" si="36"/>
        <v/>
      </c>
    </row>
    <row r="610" spans="1:21" ht="28" customHeight="1" x14ac:dyDescent="0.35">
      <c r="A610" s="4">
        <v>3</v>
      </c>
      <c r="B610" s="4" t="s">
        <v>365</v>
      </c>
      <c r="C610" s="4" t="s">
        <v>368</v>
      </c>
      <c r="D610" s="4" t="s">
        <v>369</v>
      </c>
      <c r="E610" s="4" t="s">
        <v>69</v>
      </c>
      <c r="F610" s="4" t="s">
        <v>370</v>
      </c>
      <c r="G610" s="4" t="s">
        <v>204</v>
      </c>
      <c r="H610" s="4" t="s">
        <v>76</v>
      </c>
      <c r="I610" s="3"/>
      <c r="J610" s="3"/>
      <c r="K610" s="3"/>
      <c r="L610" s="3"/>
      <c r="M610" s="3"/>
      <c r="N610" s="3"/>
      <c r="O610" s="3"/>
      <c r="P610" s="8"/>
      <c r="Q610" s="8"/>
      <c r="R610" s="3"/>
      <c r="S610" s="3"/>
      <c r="T610" s="3"/>
      <c r="U610" s="5" t="str">
        <f t="shared" si="36"/>
        <v/>
      </c>
    </row>
    <row r="611" spans="1:21" ht="28" customHeight="1" x14ac:dyDescent="0.35">
      <c r="A611" s="4">
        <v>4</v>
      </c>
      <c r="B611" s="4" t="s">
        <v>371</v>
      </c>
      <c r="C611" s="4" t="s">
        <v>372</v>
      </c>
      <c r="D611" s="4" t="s">
        <v>373</v>
      </c>
      <c r="E611" s="4" t="s">
        <v>69</v>
      </c>
      <c r="F611" s="4" t="s">
        <v>295</v>
      </c>
      <c r="G611" s="4" t="s">
        <v>199</v>
      </c>
      <c r="H611" s="4" t="s">
        <v>59</v>
      </c>
      <c r="I611" s="3"/>
      <c r="J611" s="3"/>
      <c r="K611" s="3"/>
      <c r="L611" s="3"/>
      <c r="M611" s="3"/>
      <c r="N611" s="3"/>
      <c r="O611" s="3"/>
      <c r="P611" s="8"/>
      <c r="Q611" s="8"/>
      <c r="R611" s="3"/>
      <c r="S611" s="3"/>
      <c r="T611" s="3"/>
      <c r="U611" s="5" t="str">
        <f t="shared" si="36"/>
        <v/>
      </c>
    </row>
    <row r="612" spans="1:21" ht="28" customHeight="1" x14ac:dyDescent="0.35">
      <c r="A612" s="4">
        <v>5</v>
      </c>
      <c r="B612" s="4" t="s">
        <v>374</v>
      </c>
      <c r="C612" s="4" t="s">
        <v>375</v>
      </c>
      <c r="D612" s="4" t="s">
        <v>376</v>
      </c>
      <c r="E612" s="4" t="s">
        <v>69</v>
      </c>
      <c r="F612" s="4" t="s">
        <v>276</v>
      </c>
      <c r="G612" s="4" t="s">
        <v>199</v>
      </c>
      <c r="H612" s="4" t="s">
        <v>59</v>
      </c>
      <c r="I612" s="3"/>
      <c r="J612" s="3"/>
      <c r="K612" s="3"/>
      <c r="L612" s="3"/>
      <c r="M612" s="3"/>
      <c r="N612" s="3"/>
      <c r="O612" s="3"/>
      <c r="P612" s="8"/>
      <c r="Q612" s="8"/>
      <c r="R612" s="3"/>
      <c r="S612" s="3"/>
      <c r="T612" s="3"/>
      <c r="U612" s="5" t="str">
        <f t="shared" si="36"/>
        <v/>
      </c>
    </row>
    <row r="613" spans="1:21" ht="28" customHeight="1" x14ac:dyDescent="0.35">
      <c r="A613" s="4">
        <v>6</v>
      </c>
      <c r="B613" s="4" t="s">
        <v>377</v>
      </c>
      <c r="C613" s="4" t="s">
        <v>378</v>
      </c>
      <c r="D613" s="4" t="s">
        <v>379</v>
      </c>
      <c r="E613" s="4" t="s">
        <v>69</v>
      </c>
      <c r="F613" s="4" t="s">
        <v>276</v>
      </c>
      <c r="G613" s="4" t="s">
        <v>199</v>
      </c>
      <c r="H613" s="4" t="s">
        <v>59</v>
      </c>
      <c r="I613" s="3"/>
      <c r="J613" s="3"/>
      <c r="K613" s="3"/>
      <c r="L613" s="3"/>
      <c r="M613" s="3"/>
      <c r="N613" s="3"/>
      <c r="O613" s="3"/>
      <c r="P613" s="8"/>
      <c r="Q613" s="8"/>
      <c r="R613" s="3"/>
      <c r="S613" s="3"/>
      <c r="T613" s="3"/>
      <c r="U613" s="5" t="str">
        <f t="shared" si="36"/>
        <v/>
      </c>
    </row>
    <row r="614" spans="1:21" ht="28" customHeight="1" x14ac:dyDescent="0.35">
      <c r="A614" s="4">
        <v>7</v>
      </c>
      <c r="B614" s="4" t="s">
        <v>380</v>
      </c>
      <c r="C614" s="4" t="s">
        <v>381</v>
      </c>
      <c r="D614" s="4" t="s">
        <v>382</v>
      </c>
      <c r="E614" s="4" t="s">
        <v>69</v>
      </c>
      <c r="F614" s="4" t="s">
        <v>276</v>
      </c>
      <c r="G614" s="4" t="s">
        <v>199</v>
      </c>
      <c r="H614" s="4" t="s">
        <v>59</v>
      </c>
      <c r="I614" s="3"/>
      <c r="J614" s="3"/>
      <c r="K614" s="3"/>
      <c r="L614" s="3"/>
      <c r="M614" s="3"/>
      <c r="N614" s="3"/>
      <c r="O614" s="3"/>
      <c r="P614" s="8"/>
      <c r="Q614" s="8"/>
      <c r="R614" s="3"/>
      <c r="S614" s="3"/>
      <c r="T614" s="3"/>
      <c r="U614" s="5" t="str">
        <f t="shared" si="36"/>
        <v/>
      </c>
    </row>
    <row r="615" spans="1:21" ht="28" customHeight="1" x14ac:dyDescent="0.35">
      <c r="A615" s="4">
        <v>8</v>
      </c>
      <c r="B615" s="4" t="s">
        <v>383</v>
      </c>
      <c r="C615" s="4" t="s">
        <v>384</v>
      </c>
      <c r="D615" s="4" t="s">
        <v>385</v>
      </c>
      <c r="E615" s="4" t="s">
        <v>69</v>
      </c>
      <c r="F615" s="4" t="s">
        <v>95</v>
      </c>
      <c r="G615" s="4" t="s">
        <v>96</v>
      </c>
      <c r="H615" s="4" t="s">
        <v>59</v>
      </c>
      <c r="I615" s="3"/>
      <c r="J615" s="3"/>
      <c r="K615" s="3"/>
      <c r="L615" s="3"/>
      <c r="M615" s="3"/>
      <c r="N615" s="3"/>
      <c r="O615" s="3"/>
      <c r="P615" s="8"/>
      <c r="Q615" s="8"/>
      <c r="R615" s="3"/>
      <c r="S615" s="3"/>
      <c r="T615" s="3"/>
      <c r="U615" s="5" t="str">
        <f t="shared" si="36"/>
        <v/>
      </c>
    </row>
    <row r="616" spans="1:21" ht="28" customHeight="1" x14ac:dyDescent="0.35">
      <c r="A616" s="4">
        <v>9</v>
      </c>
      <c r="B616" s="4" t="s">
        <v>97</v>
      </c>
      <c r="C616" s="4" t="s">
        <v>98</v>
      </c>
      <c r="D616" s="4" t="s">
        <v>99</v>
      </c>
      <c r="E616" s="4" t="s">
        <v>69</v>
      </c>
      <c r="F616" s="4" t="s">
        <v>95</v>
      </c>
      <c r="G616" s="4" t="s">
        <v>96</v>
      </c>
      <c r="H616" s="4" t="s">
        <v>59</v>
      </c>
      <c r="I616" s="3"/>
      <c r="J616" s="3"/>
      <c r="K616" s="3"/>
      <c r="L616" s="3"/>
      <c r="M616" s="3"/>
      <c r="N616" s="3"/>
      <c r="O616" s="3"/>
      <c r="P616" s="8"/>
      <c r="Q616" s="8"/>
      <c r="R616" s="3"/>
      <c r="S616" s="3"/>
      <c r="T616" s="3"/>
      <c r="U616" s="5" t="str">
        <f t="shared" si="36"/>
        <v/>
      </c>
    </row>
    <row r="617" spans="1:21" ht="28" customHeight="1" x14ac:dyDescent="0.35">
      <c r="A617" s="4">
        <v>10</v>
      </c>
      <c r="B617" s="4" t="s">
        <v>97</v>
      </c>
      <c r="C617" s="4" t="s">
        <v>100</v>
      </c>
      <c r="D617" s="4" t="s">
        <v>101</v>
      </c>
      <c r="E617" s="4" t="s">
        <v>69</v>
      </c>
      <c r="F617" s="4" t="s">
        <v>95</v>
      </c>
      <c r="G617" s="4" t="s">
        <v>102</v>
      </c>
      <c r="H617" s="4" t="s">
        <v>59</v>
      </c>
      <c r="I617" s="3"/>
      <c r="J617" s="3"/>
      <c r="K617" s="3"/>
      <c r="L617" s="3"/>
      <c r="M617" s="3"/>
      <c r="N617" s="3"/>
      <c r="O617" s="3"/>
      <c r="P617" s="8"/>
      <c r="Q617" s="8"/>
      <c r="R617" s="3"/>
      <c r="S617" s="3"/>
      <c r="T617" s="3"/>
      <c r="U617" s="5" t="str">
        <f t="shared" si="36"/>
        <v/>
      </c>
    </row>
    <row r="618" spans="1:21" ht="28" customHeight="1" x14ac:dyDescent="0.35">
      <c r="A618" s="4">
        <v>11</v>
      </c>
      <c r="B618" s="4" t="s">
        <v>103</v>
      </c>
      <c r="C618" s="4" t="s">
        <v>104</v>
      </c>
      <c r="D618" s="4" t="s">
        <v>105</v>
      </c>
      <c r="E618" s="4" t="s">
        <v>69</v>
      </c>
      <c r="F618" s="4" t="s">
        <v>95</v>
      </c>
      <c r="G618" s="4" t="s">
        <v>96</v>
      </c>
      <c r="H618" s="4" t="s">
        <v>85</v>
      </c>
      <c r="I618" s="3"/>
      <c r="J618" s="3"/>
      <c r="K618" s="3"/>
      <c r="L618" s="3"/>
      <c r="M618" s="3"/>
      <c r="N618" s="3"/>
      <c r="O618" s="3"/>
      <c r="P618" s="8"/>
      <c r="Q618" s="8"/>
      <c r="R618" s="3"/>
      <c r="S618" s="3"/>
      <c r="T618" s="3"/>
      <c r="U618" s="5" t="str">
        <f t="shared" si="36"/>
        <v/>
      </c>
    </row>
    <row r="619" spans="1:21" ht="28" customHeight="1" x14ac:dyDescent="0.35">
      <c r="A619" s="4">
        <v>12</v>
      </c>
      <c r="B619" s="4" t="s">
        <v>106</v>
      </c>
      <c r="C619" s="4" t="s">
        <v>107</v>
      </c>
      <c r="D619" s="4" t="s">
        <v>108</v>
      </c>
      <c r="E619" s="4" t="s">
        <v>109</v>
      </c>
      <c r="F619" s="4" t="s">
        <v>95</v>
      </c>
      <c r="G619" s="4" t="s">
        <v>96</v>
      </c>
      <c r="H619" s="4" t="s">
        <v>59</v>
      </c>
      <c r="I619" s="3"/>
      <c r="J619" s="3"/>
      <c r="K619" s="3"/>
      <c r="L619" s="3"/>
      <c r="M619" s="3"/>
      <c r="N619" s="3"/>
      <c r="O619" s="3"/>
      <c r="P619" s="8"/>
      <c r="Q619" s="8"/>
      <c r="R619" s="3"/>
      <c r="S619" s="3"/>
      <c r="T619" s="3"/>
      <c r="U619" s="5" t="str">
        <f t="shared" si="36"/>
        <v/>
      </c>
    </row>
    <row r="621" spans="1:21" ht="28" customHeight="1" x14ac:dyDescent="0.35">
      <c r="A621" s="9" t="s">
        <v>110</v>
      </c>
      <c r="B621" s="16"/>
      <c r="C621" s="17"/>
      <c r="D621" s="17"/>
      <c r="E621" s="17"/>
      <c r="F621" s="17"/>
      <c r="G621" s="17"/>
      <c r="H621" s="17"/>
      <c r="I621" s="17"/>
      <c r="J621" s="17"/>
      <c r="K621" s="17"/>
      <c r="L621" s="17"/>
      <c r="M621" s="17"/>
      <c r="N621" s="17"/>
      <c r="O621" s="17"/>
      <c r="P621" s="17"/>
      <c r="Q621" s="17"/>
      <c r="R621" s="17"/>
      <c r="S621" s="17"/>
      <c r="T621" s="17"/>
      <c r="U621" s="18"/>
    </row>
    <row r="622" spans="1:21" ht="28" customHeight="1" x14ac:dyDescent="0.35">
      <c r="A622" s="19" t="s">
        <v>418</v>
      </c>
      <c r="B622" s="20"/>
      <c r="C622" s="20"/>
      <c r="D622" s="20"/>
      <c r="E622" s="20"/>
      <c r="F622" s="20"/>
      <c r="G622" s="20"/>
      <c r="H622" s="20"/>
      <c r="I622" s="20"/>
      <c r="J622" s="20"/>
      <c r="K622" s="20"/>
      <c r="L622" s="20"/>
      <c r="M622" s="20"/>
      <c r="N622" s="20"/>
      <c r="O622" s="20"/>
      <c r="P622" s="20"/>
      <c r="Q622" s="20"/>
      <c r="R622" s="20"/>
      <c r="S622" s="20"/>
      <c r="T622" s="20"/>
      <c r="U622" s="21"/>
    </row>
    <row r="623" spans="1:21" ht="28" customHeight="1" x14ac:dyDescent="0.35">
      <c r="A623" s="4" t="s">
        <v>31</v>
      </c>
      <c r="B623" s="3" t="s">
        <v>250</v>
      </c>
      <c r="C623" s="4" t="s">
        <v>32</v>
      </c>
      <c r="D623" s="3"/>
      <c r="E623" s="4" t="s">
        <v>33</v>
      </c>
      <c r="F623" s="8"/>
    </row>
    <row r="624" spans="1:21" ht="28" customHeight="1" x14ac:dyDescent="0.35">
      <c r="A624" s="1" t="s">
        <v>34</v>
      </c>
      <c r="B624" s="1" t="s">
        <v>35</v>
      </c>
      <c r="C624" s="1" t="s">
        <v>36</v>
      </c>
      <c r="D624" s="1" t="s">
        <v>37</v>
      </c>
      <c r="E624" s="1" t="s">
        <v>38</v>
      </c>
      <c r="F624" s="1" t="s">
        <v>39</v>
      </c>
      <c r="G624" s="1" t="s">
        <v>40</v>
      </c>
      <c r="H624" s="1" t="s">
        <v>41</v>
      </c>
      <c r="I624" s="1" t="s">
        <v>42</v>
      </c>
      <c r="J624" s="1" t="s">
        <v>43</v>
      </c>
      <c r="K624" s="1" t="s">
        <v>44</v>
      </c>
      <c r="L624" s="1" t="s">
        <v>45</v>
      </c>
      <c r="M624" s="1" t="s">
        <v>46</v>
      </c>
      <c r="N624" s="1" t="s">
        <v>47</v>
      </c>
      <c r="O624" s="1" t="s">
        <v>48</v>
      </c>
      <c r="P624" s="1" t="s">
        <v>4</v>
      </c>
      <c r="Q624" s="1" t="s">
        <v>49</v>
      </c>
      <c r="R624" s="1" t="s">
        <v>50</v>
      </c>
      <c r="S624" s="1" t="s">
        <v>51</v>
      </c>
      <c r="T624" s="1" t="s">
        <v>52</v>
      </c>
      <c r="U624" s="1" t="s">
        <v>10</v>
      </c>
    </row>
    <row r="625" spans="1:21" ht="28" customHeight="1" x14ac:dyDescent="0.35">
      <c r="A625" s="4">
        <v>1</v>
      </c>
      <c r="B625" s="4" t="s">
        <v>97</v>
      </c>
      <c r="C625" s="4" t="s">
        <v>362</v>
      </c>
      <c r="D625" s="4" t="s">
        <v>363</v>
      </c>
      <c r="E625" s="4" t="s">
        <v>69</v>
      </c>
      <c r="F625" s="4" t="s">
        <v>364</v>
      </c>
      <c r="G625" s="4" t="s">
        <v>199</v>
      </c>
      <c r="H625" s="4" t="s">
        <v>76</v>
      </c>
      <c r="I625" s="3"/>
      <c r="J625" s="3"/>
      <c r="K625" s="3"/>
      <c r="L625" s="3"/>
      <c r="M625" s="3"/>
      <c r="N625" s="3"/>
      <c r="O625" s="3"/>
      <c r="P625" s="8"/>
      <c r="Q625" s="8"/>
      <c r="R625" s="3"/>
      <c r="S625" s="3"/>
      <c r="T625" s="3"/>
      <c r="U625" s="5" t="str">
        <f t="shared" ref="U625:U636" si="37">IF(I625="","",IF(I625="NA","Grey",IF(I625=2,"Green",IF(I625=1,"Amber","Red"))))</f>
        <v/>
      </c>
    </row>
    <row r="626" spans="1:21" ht="28" customHeight="1" x14ac:dyDescent="0.35">
      <c r="A626" s="4">
        <v>2</v>
      </c>
      <c r="B626" s="4" t="s">
        <v>365</v>
      </c>
      <c r="C626" s="4" t="s">
        <v>366</v>
      </c>
      <c r="D626" s="4" t="s">
        <v>367</v>
      </c>
      <c r="E626" s="4" t="s">
        <v>69</v>
      </c>
      <c r="F626" s="4" t="s">
        <v>276</v>
      </c>
      <c r="G626" s="4" t="s">
        <v>199</v>
      </c>
      <c r="H626" s="4" t="s">
        <v>76</v>
      </c>
      <c r="I626" s="3"/>
      <c r="J626" s="3"/>
      <c r="K626" s="3"/>
      <c r="L626" s="3"/>
      <c r="M626" s="3"/>
      <c r="N626" s="3"/>
      <c r="O626" s="3"/>
      <c r="P626" s="8"/>
      <c r="Q626" s="8"/>
      <c r="R626" s="3"/>
      <c r="S626" s="3"/>
      <c r="T626" s="3"/>
      <c r="U626" s="5" t="str">
        <f t="shared" si="37"/>
        <v/>
      </c>
    </row>
    <row r="627" spans="1:21" ht="28" customHeight="1" x14ac:dyDescent="0.35">
      <c r="A627" s="4">
        <v>3</v>
      </c>
      <c r="B627" s="4" t="s">
        <v>365</v>
      </c>
      <c r="C627" s="4" t="s">
        <v>368</v>
      </c>
      <c r="D627" s="4" t="s">
        <v>369</v>
      </c>
      <c r="E627" s="4" t="s">
        <v>69</v>
      </c>
      <c r="F627" s="4" t="s">
        <v>370</v>
      </c>
      <c r="G627" s="4" t="s">
        <v>204</v>
      </c>
      <c r="H627" s="4" t="s">
        <v>76</v>
      </c>
      <c r="I627" s="3"/>
      <c r="J627" s="3"/>
      <c r="K627" s="3"/>
      <c r="L627" s="3"/>
      <c r="M627" s="3"/>
      <c r="N627" s="3"/>
      <c r="O627" s="3"/>
      <c r="P627" s="8"/>
      <c r="Q627" s="8"/>
      <c r="R627" s="3"/>
      <c r="S627" s="3"/>
      <c r="T627" s="3"/>
      <c r="U627" s="5" t="str">
        <f t="shared" si="37"/>
        <v/>
      </c>
    </row>
    <row r="628" spans="1:21" ht="28" customHeight="1" x14ac:dyDescent="0.35">
      <c r="A628" s="4">
        <v>4</v>
      </c>
      <c r="B628" s="4" t="s">
        <v>371</v>
      </c>
      <c r="C628" s="4" t="s">
        <v>372</v>
      </c>
      <c r="D628" s="4" t="s">
        <v>373</v>
      </c>
      <c r="E628" s="4" t="s">
        <v>69</v>
      </c>
      <c r="F628" s="4" t="s">
        <v>295</v>
      </c>
      <c r="G628" s="4" t="s">
        <v>199</v>
      </c>
      <c r="H628" s="4" t="s">
        <v>59</v>
      </c>
      <c r="I628" s="3"/>
      <c r="J628" s="3"/>
      <c r="K628" s="3"/>
      <c r="L628" s="3"/>
      <c r="M628" s="3"/>
      <c r="N628" s="3"/>
      <c r="O628" s="3"/>
      <c r="P628" s="8"/>
      <c r="Q628" s="8"/>
      <c r="R628" s="3"/>
      <c r="S628" s="3"/>
      <c r="T628" s="3"/>
      <c r="U628" s="5" t="str">
        <f t="shared" si="37"/>
        <v/>
      </c>
    </row>
    <row r="629" spans="1:21" ht="28" customHeight="1" x14ac:dyDescent="0.35">
      <c r="A629" s="4">
        <v>5</v>
      </c>
      <c r="B629" s="4" t="s">
        <v>374</v>
      </c>
      <c r="C629" s="4" t="s">
        <v>375</v>
      </c>
      <c r="D629" s="4" t="s">
        <v>376</v>
      </c>
      <c r="E629" s="4" t="s">
        <v>69</v>
      </c>
      <c r="F629" s="4" t="s">
        <v>276</v>
      </c>
      <c r="G629" s="4" t="s">
        <v>199</v>
      </c>
      <c r="H629" s="4" t="s">
        <v>59</v>
      </c>
      <c r="I629" s="3"/>
      <c r="J629" s="3"/>
      <c r="K629" s="3"/>
      <c r="L629" s="3"/>
      <c r="M629" s="3"/>
      <c r="N629" s="3"/>
      <c r="O629" s="3"/>
      <c r="P629" s="8"/>
      <c r="Q629" s="8"/>
      <c r="R629" s="3"/>
      <c r="S629" s="3"/>
      <c r="T629" s="3"/>
      <c r="U629" s="5" t="str">
        <f t="shared" si="37"/>
        <v/>
      </c>
    </row>
    <row r="630" spans="1:21" ht="28" customHeight="1" x14ac:dyDescent="0.35">
      <c r="A630" s="4">
        <v>6</v>
      </c>
      <c r="B630" s="4" t="s">
        <v>377</v>
      </c>
      <c r="C630" s="4" t="s">
        <v>378</v>
      </c>
      <c r="D630" s="4" t="s">
        <v>379</v>
      </c>
      <c r="E630" s="4" t="s">
        <v>69</v>
      </c>
      <c r="F630" s="4" t="s">
        <v>276</v>
      </c>
      <c r="G630" s="4" t="s">
        <v>199</v>
      </c>
      <c r="H630" s="4" t="s">
        <v>59</v>
      </c>
      <c r="I630" s="3"/>
      <c r="J630" s="3"/>
      <c r="K630" s="3"/>
      <c r="L630" s="3"/>
      <c r="M630" s="3"/>
      <c r="N630" s="3"/>
      <c r="O630" s="3"/>
      <c r="P630" s="8"/>
      <c r="Q630" s="8"/>
      <c r="R630" s="3"/>
      <c r="S630" s="3"/>
      <c r="T630" s="3"/>
      <c r="U630" s="5" t="str">
        <f t="shared" si="37"/>
        <v/>
      </c>
    </row>
    <row r="631" spans="1:21" ht="28" customHeight="1" x14ac:dyDescent="0.35">
      <c r="A631" s="4">
        <v>7</v>
      </c>
      <c r="B631" s="4" t="s">
        <v>380</v>
      </c>
      <c r="C631" s="4" t="s">
        <v>381</v>
      </c>
      <c r="D631" s="4" t="s">
        <v>382</v>
      </c>
      <c r="E631" s="4" t="s">
        <v>69</v>
      </c>
      <c r="F631" s="4" t="s">
        <v>276</v>
      </c>
      <c r="G631" s="4" t="s">
        <v>199</v>
      </c>
      <c r="H631" s="4" t="s">
        <v>59</v>
      </c>
      <c r="I631" s="3"/>
      <c r="J631" s="3"/>
      <c r="K631" s="3"/>
      <c r="L631" s="3"/>
      <c r="M631" s="3"/>
      <c r="N631" s="3"/>
      <c r="O631" s="3"/>
      <c r="P631" s="8"/>
      <c r="Q631" s="8"/>
      <c r="R631" s="3"/>
      <c r="S631" s="3"/>
      <c r="T631" s="3"/>
      <c r="U631" s="5" t="str">
        <f t="shared" si="37"/>
        <v/>
      </c>
    </row>
    <row r="632" spans="1:21" ht="28" customHeight="1" x14ac:dyDescent="0.35">
      <c r="A632" s="4">
        <v>8</v>
      </c>
      <c r="B632" s="4" t="s">
        <v>383</v>
      </c>
      <c r="C632" s="4" t="s">
        <v>384</v>
      </c>
      <c r="D632" s="4" t="s">
        <v>385</v>
      </c>
      <c r="E632" s="4" t="s">
        <v>69</v>
      </c>
      <c r="F632" s="4" t="s">
        <v>95</v>
      </c>
      <c r="G632" s="4" t="s">
        <v>96</v>
      </c>
      <c r="H632" s="4" t="s">
        <v>59</v>
      </c>
      <c r="I632" s="3"/>
      <c r="J632" s="3"/>
      <c r="K632" s="3"/>
      <c r="L632" s="3"/>
      <c r="M632" s="3"/>
      <c r="N632" s="3"/>
      <c r="O632" s="3"/>
      <c r="P632" s="8"/>
      <c r="Q632" s="8"/>
      <c r="R632" s="3"/>
      <c r="S632" s="3"/>
      <c r="T632" s="3"/>
      <c r="U632" s="5" t="str">
        <f t="shared" si="37"/>
        <v/>
      </c>
    </row>
    <row r="633" spans="1:21" ht="28" customHeight="1" x14ac:dyDescent="0.35">
      <c r="A633" s="4">
        <v>9</v>
      </c>
      <c r="B633" s="4" t="s">
        <v>97</v>
      </c>
      <c r="C633" s="4" t="s">
        <v>98</v>
      </c>
      <c r="D633" s="4" t="s">
        <v>99</v>
      </c>
      <c r="E633" s="4" t="s">
        <v>69</v>
      </c>
      <c r="F633" s="4" t="s">
        <v>95</v>
      </c>
      <c r="G633" s="4" t="s">
        <v>96</v>
      </c>
      <c r="H633" s="4" t="s">
        <v>59</v>
      </c>
      <c r="I633" s="3"/>
      <c r="J633" s="3"/>
      <c r="K633" s="3"/>
      <c r="L633" s="3"/>
      <c r="M633" s="3"/>
      <c r="N633" s="3"/>
      <c r="O633" s="3"/>
      <c r="P633" s="8"/>
      <c r="Q633" s="8"/>
      <c r="R633" s="3"/>
      <c r="S633" s="3"/>
      <c r="T633" s="3"/>
      <c r="U633" s="5" t="str">
        <f t="shared" si="37"/>
        <v/>
      </c>
    </row>
    <row r="634" spans="1:21" ht="28" customHeight="1" x14ac:dyDescent="0.35">
      <c r="A634" s="4">
        <v>10</v>
      </c>
      <c r="B634" s="4" t="s">
        <v>97</v>
      </c>
      <c r="C634" s="4" t="s">
        <v>100</v>
      </c>
      <c r="D634" s="4" t="s">
        <v>101</v>
      </c>
      <c r="E634" s="4" t="s">
        <v>69</v>
      </c>
      <c r="F634" s="4" t="s">
        <v>95</v>
      </c>
      <c r="G634" s="4" t="s">
        <v>102</v>
      </c>
      <c r="H634" s="4" t="s">
        <v>59</v>
      </c>
      <c r="I634" s="3"/>
      <c r="J634" s="3"/>
      <c r="K634" s="3"/>
      <c r="L634" s="3"/>
      <c r="M634" s="3"/>
      <c r="N634" s="3"/>
      <c r="O634" s="3"/>
      <c r="P634" s="8"/>
      <c r="Q634" s="8"/>
      <c r="R634" s="3"/>
      <c r="S634" s="3"/>
      <c r="T634" s="3"/>
      <c r="U634" s="5" t="str">
        <f t="shared" si="37"/>
        <v/>
      </c>
    </row>
    <row r="635" spans="1:21" ht="28" customHeight="1" x14ac:dyDescent="0.35">
      <c r="A635" s="4">
        <v>11</v>
      </c>
      <c r="B635" s="4" t="s">
        <v>103</v>
      </c>
      <c r="C635" s="4" t="s">
        <v>104</v>
      </c>
      <c r="D635" s="4" t="s">
        <v>105</v>
      </c>
      <c r="E635" s="4" t="s">
        <v>69</v>
      </c>
      <c r="F635" s="4" t="s">
        <v>95</v>
      </c>
      <c r="G635" s="4" t="s">
        <v>96</v>
      </c>
      <c r="H635" s="4" t="s">
        <v>85</v>
      </c>
      <c r="I635" s="3"/>
      <c r="J635" s="3"/>
      <c r="K635" s="3"/>
      <c r="L635" s="3"/>
      <c r="M635" s="3"/>
      <c r="N635" s="3"/>
      <c r="O635" s="3"/>
      <c r="P635" s="8"/>
      <c r="Q635" s="8"/>
      <c r="R635" s="3"/>
      <c r="S635" s="3"/>
      <c r="T635" s="3"/>
      <c r="U635" s="5" t="str">
        <f t="shared" si="37"/>
        <v/>
      </c>
    </row>
    <row r="636" spans="1:21" ht="28" customHeight="1" x14ac:dyDescent="0.35">
      <c r="A636" s="4">
        <v>12</v>
      </c>
      <c r="B636" s="4" t="s">
        <v>106</v>
      </c>
      <c r="C636" s="4" t="s">
        <v>107</v>
      </c>
      <c r="D636" s="4" t="s">
        <v>108</v>
      </c>
      <c r="E636" s="4" t="s">
        <v>109</v>
      </c>
      <c r="F636" s="4" t="s">
        <v>95</v>
      </c>
      <c r="G636" s="4" t="s">
        <v>96</v>
      </c>
      <c r="H636" s="4" t="s">
        <v>59</v>
      </c>
      <c r="I636" s="3"/>
      <c r="J636" s="3"/>
      <c r="K636" s="3"/>
      <c r="L636" s="3"/>
      <c r="M636" s="3"/>
      <c r="N636" s="3"/>
      <c r="O636" s="3"/>
      <c r="P636" s="8"/>
      <c r="Q636" s="8"/>
      <c r="R636" s="3"/>
      <c r="S636" s="3"/>
      <c r="T636" s="3"/>
      <c r="U636" s="5" t="str">
        <f t="shared" si="37"/>
        <v/>
      </c>
    </row>
    <row r="638" spans="1:21" ht="28" customHeight="1" x14ac:dyDescent="0.35">
      <c r="A638" s="9" t="s">
        <v>110</v>
      </c>
      <c r="B638" s="16"/>
      <c r="C638" s="17"/>
      <c r="D638" s="17"/>
      <c r="E638" s="17"/>
      <c r="F638" s="17"/>
      <c r="G638" s="17"/>
      <c r="H638" s="17"/>
      <c r="I638" s="17"/>
      <c r="J638" s="17"/>
      <c r="K638" s="17"/>
      <c r="L638" s="17"/>
      <c r="M638" s="17"/>
      <c r="N638" s="17"/>
      <c r="O638" s="17"/>
      <c r="P638" s="17"/>
      <c r="Q638" s="17"/>
      <c r="R638" s="17"/>
      <c r="S638" s="17"/>
      <c r="T638" s="17"/>
      <c r="U638" s="18"/>
    </row>
    <row r="639" spans="1:21" ht="28" customHeight="1" x14ac:dyDescent="0.35">
      <c r="A639" s="19" t="s">
        <v>419</v>
      </c>
      <c r="B639" s="20"/>
      <c r="C639" s="20"/>
      <c r="D639" s="20"/>
      <c r="E639" s="20"/>
      <c r="F639" s="20"/>
      <c r="G639" s="20"/>
      <c r="H639" s="20"/>
      <c r="I639" s="20"/>
      <c r="J639" s="20"/>
      <c r="K639" s="20"/>
      <c r="L639" s="20"/>
      <c r="M639" s="20"/>
      <c r="N639" s="20"/>
      <c r="O639" s="20"/>
      <c r="P639" s="20"/>
      <c r="Q639" s="20"/>
      <c r="R639" s="20"/>
      <c r="S639" s="20"/>
      <c r="T639" s="20"/>
      <c r="U639" s="21"/>
    </row>
    <row r="640" spans="1:21" ht="28" customHeight="1" x14ac:dyDescent="0.35">
      <c r="A640" s="4" t="s">
        <v>31</v>
      </c>
      <c r="B640" s="3" t="s">
        <v>251</v>
      </c>
      <c r="C640" s="4" t="s">
        <v>32</v>
      </c>
      <c r="D640" s="3"/>
      <c r="E640" s="4" t="s">
        <v>33</v>
      </c>
      <c r="F640" s="8"/>
    </row>
    <row r="641" spans="1:21" ht="28" customHeight="1" x14ac:dyDescent="0.35">
      <c r="A641" s="1" t="s">
        <v>34</v>
      </c>
      <c r="B641" s="1" t="s">
        <v>35</v>
      </c>
      <c r="C641" s="1" t="s">
        <v>36</v>
      </c>
      <c r="D641" s="1" t="s">
        <v>37</v>
      </c>
      <c r="E641" s="1" t="s">
        <v>38</v>
      </c>
      <c r="F641" s="1" t="s">
        <v>39</v>
      </c>
      <c r="G641" s="1" t="s">
        <v>40</v>
      </c>
      <c r="H641" s="1" t="s">
        <v>41</v>
      </c>
      <c r="I641" s="1" t="s">
        <v>42</v>
      </c>
      <c r="J641" s="1" t="s">
        <v>43</v>
      </c>
      <c r="K641" s="1" t="s">
        <v>44</v>
      </c>
      <c r="L641" s="1" t="s">
        <v>45</v>
      </c>
      <c r="M641" s="1" t="s">
        <v>46</v>
      </c>
      <c r="N641" s="1" t="s">
        <v>47</v>
      </c>
      <c r="O641" s="1" t="s">
        <v>48</v>
      </c>
      <c r="P641" s="1" t="s">
        <v>4</v>
      </c>
      <c r="Q641" s="1" t="s">
        <v>49</v>
      </c>
      <c r="R641" s="1" t="s">
        <v>50</v>
      </c>
      <c r="S641" s="1" t="s">
        <v>51</v>
      </c>
      <c r="T641" s="1" t="s">
        <v>52</v>
      </c>
      <c r="U641" s="1" t="s">
        <v>10</v>
      </c>
    </row>
    <row r="642" spans="1:21" ht="28" customHeight="1" x14ac:dyDescent="0.35">
      <c r="A642" s="4">
        <v>1</v>
      </c>
      <c r="B642" s="4" t="s">
        <v>97</v>
      </c>
      <c r="C642" s="4" t="s">
        <v>362</v>
      </c>
      <c r="D642" s="4" t="s">
        <v>363</v>
      </c>
      <c r="E642" s="4" t="s">
        <v>69</v>
      </c>
      <c r="F642" s="4" t="s">
        <v>364</v>
      </c>
      <c r="G642" s="4" t="s">
        <v>199</v>
      </c>
      <c r="H642" s="4" t="s">
        <v>76</v>
      </c>
      <c r="I642" s="3"/>
      <c r="J642" s="3"/>
      <c r="K642" s="3"/>
      <c r="L642" s="3"/>
      <c r="M642" s="3"/>
      <c r="N642" s="3"/>
      <c r="O642" s="3"/>
      <c r="P642" s="8"/>
      <c r="Q642" s="8"/>
      <c r="R642" s="3"/>
      <c r="S642" s="3"/>
      <c r="T642" s="3"/>
      <c r="U642" s="5" t="str">
        <f t="shared" ref="U642:U653" si="38">IF(I642="","",IF(I642="NA","Grey",IF(I642=2,"Green",IF(I642=1,"Amber","Red"))))</f>
        <v/>
      </c>
    </row>
    <row r="643" spans="1:21" ht="28" customHeight="1" x14ac:dyDescent="0.35">
      <c r="A643" s="4">
        <v>2</v>
      </c>
      <c r="B643" s="4" t="s">
        <v>365</v>
      </c>
      <c r="C643" s="4" t="s">
        <v>366</v>
      </c>
      <c r="D643" s="4" t="s">
        <v>367</v>
      </c>
      <c r="E643" s="4" t="s">
        <v>69</v>
      </c>
      <c r="F643" s="4" t="s">
        <v>276</v>
      </c>
      <c r="G643" s="4" t="s">
        <v>199</v>
      </c>
      <c r="H643" s="4" t="s">
        <v>76</v>
      </c>
      <c r="I643" s="3"/>
      <c r="J643" s="3"/>
      <c r="K643" s="3"/>
      <c r="L643" s="3"/>
      <c r="M643" s="3"/>
      <c r="N643" s="3"/>
      <c r="O643" s="3"/>
      <c r="P643" s="8"/>
      <c r="Q643" s="8"/>
      <c r="R643" s="3"/>
      <c r="S643" s="3"/>
      <c r="T643" s="3"/>
      <c r="U643" s="5" t="str">
        <f t="shared" si="38"/>
        <v/>
      </c>
    </row>
    <row r="644" spans="1:21" ht="28" customHeight="1" x14ac:dyDescent="0.35">
      <c r="A644" s="4">
        <v>3</v>
      </c>
      <c r="B644" s="4" t="s">
        <v>365</v>
      </c>
      <c r="C644" s="4" t="s">
        <v>368</v>
      </c>
      <c r="D644" s="4" t="s">
        <v>369</v>
      </c>
      <c r="E644" s="4" t="s">
        <v>69</v>
      </c>
      <c r="F644" s="4" t="s">
        <v>370</v>
      </c>
      <c r="G644" s="4" t="s">
        <v>204</v>
      </c>
      <c r="H644" s="4" t="s">
        <v>76</v>
      </c>
      <c r="I644" s="3"/>
      <c r="J644" s="3"/>
      <c r="K644" s="3"/>
      <c r="L644" s="3"/>
      <c r="M644" s="3"/>
      <c r="N644" s="3"/>
      <c r="O644" s="3"/>
      <c r="P644" s="8"/>
      <c r="Q644" s="8"/>
      <c r="R644" s="3"/>
      <c r="S644" s="3"/>
      <c r="T644" s="3"/>
      <c r="U644" s="5" t="str">
        <f t="shared" si="38"/>
        <v/>
      </c>
    </row>
    <row r="645" spans="1:21" ht="28" customHeight="1" x14ac:dyDescent="0.35">
      <c r="A645" s="4">
        <v>4</v>
      </c>
      <c r="B645" s="4" t="s">
        <v>371</v>
      </c>
      <c r="C645" s="4" t="s">
        <v>372</v>
      </c>
      <c r="D645" s="4" t="s">
        <v>373</v>
      </c>
      <c r="E645" s="4" t="s">
        <v>69</v>
      </c>
      <c r="F645" s="4" t="s">
        <v>295</v>
      </c>
      <c r="G645" s="4" t="s">
        <v>199</v>
      </c>
      <c r="H645" s="4" t="s">
        <v>59</v>
      </c>
      <c r="I645" s="3"/>
      <c r="J645" s="3"/>
      <c r="K645" s="3"/>
      <c r="L645" s="3"/>
      <c r="M645" s="3"/>
      <c r="N645" s="3"/>
      <c r="O645" s="3"/>
      <c r="P645" s="8"/>
      <c r="Q645" s="8"/>
      <c r="R645" s="3"/>
      <c r="S645" s="3"/>
      <c r="T645" s="3"/>
      <c r="U645" s="5" t="str">
        <f t="shared" si="38"/>
        <v/>
      </c>
    </row>
    <row r="646" spans="1:21" ht="28" customHeight="1" x14ac:dyDescent="0.35">
      <c r="A646" s="4">
        <v>5</v>
      </c>
      <c r="B646" s="4" t="s">
        <v>374</v>
      </c>
      <c r="C646" s="4" t="s">
        <v>375</v>
      </c>
      <c r="D646" s="4" t="s">
        <v>376</v>
      </c>
      <c r="E646" s="4" t="s">
        <v>69</v>
      </c>
      <c r="F646" s="4" t="s">
        <v>276</v>
      </c>
      <c r="G646" s="4" t="s">
        <v>199</v>
      </c>
      <c r="H646" s="4" t="s">
        <v>59</v>
      </c>
      <c r="I646" s="3"/>
      <c r="J646" s="3"/>
      <c r="K646" s="3"/>
      <c r="L646" s="3"/>
      <c r="M646" s="3"/>
      <c r="N646" s="3"/>
      <c r="O646" s="3"/>
      <c r="P646" s="8"/>
      <c r="Q646" s="8"/>
      <c r="R646" s="3"/>
      <c r="S646" s="3"/>
      <c r="T646" s="3"/>
      <c r="U646" s="5" t="str">
        <f t="shared" si="38"/>
        <v/>
      </c>
    </row>
    <row r="647" spans="1:21" ht="28" customHeight="1" x14ac:dyDescent="0.35">
      <c r="A647" s="4">
        <v>6</v>
      </c>
      <c r="B647" s="4" t="s">
        <v>377</v>
      </c>
      <c r="C647" s="4" t="s">
        <v>378</v>
      </c>
      <c r="D647" s="4" t="s">
        <v>379</v>
      </c>
      <c r="E647" s="4" t="s">
        <v>69</v>
      </c>
      <c r="F647" s="4" t="s">
        <v>276</v>
      </c>
      <c r="G647" s="4" t="s">
        <v>199</v>
      </c>
      <c r="H647" s="4" t="s">
        <v>59</v>
      </c>
      <c r="I647" s="3"/>
      <c r="J647" s="3"/>
      <c r="K647" s="3"/>
      <c r="L647" s="3"/>
      <c r="M647" s="3"/>
      <c r="N647" s="3"/>
      <c r="O647" s="3"/>
      <c r="P647" s="8"/>
      <c r="Q647" s="8"/>
      <c r="R647" s="3"/>
      <c r="S647" s="3"/>
      <c r="T647" s="3"/>
      <c r="U647" s="5" t="str">
        <f t="shared" si="38"/>
        <v/>
      </c>
    </row>
    <row r="648" spans="1:21" ht="28" customHeight="1" x14ac:dyDescent="0.35">
      <c r="A648" s="4">
        <v>7</v>
      </c>
      <c r="B648" s="4" t="s">
        <v>380</v>
      </c>
      <c r="C648" s="4" t="s">
        <v>381</v>
      </c>
      <c r="D648" s="4" t="s">
        <v>382</v>
      </c>
      <c r="E648" s="4" t="s">
        <v>69</v>
      </c>
      <c r="F648" s="4" t="s">
        <v>276</v>
      </c>
      <c r="G648" s="4" t="s">
        <v>199</v>
      </c>
      <c r="H648" s="4" t="s">
        <v>59</v>
      </c>
      <c r="I648" s="3"/>
      <c r="J648" s="3"/>
      <c r="K648" s="3"/>
      <c r="L648" s="3"/>
      <c r="M648" s="3"/>
      <c r="N648" s="3"/>
      <c r="O648" s="3"/>
      <c r="P648" s="8"/>
      <c r="Q648" s="8"/>
      <c r="R648" s="3"/>
      <c r="S648" s="3"/>
      <c r="T648" s="3"/>
      <c r="U648" s="5" t="str">
        <f t="shared" si="38"/>
        <v/>
      </c>
    </row>
    <row r="649" spans="1:21" ht="28" customHeight="1" x14ac:dyDescent="0.35">
      <c r="A649" s="4">
        <v>8</v>
      </c>
      <c r="B649" s="4" t="s">
        <v>383</v>
      </c>
      <c r="C649" s="4" t="s">
        <v>384</v>
      </c>
      <c r="D649" s="4" t="s">
        <v>385</v>
      </c>
      <c r="E649" s="4" t="s">
        <v>69</v>
      </c>
      <c r="F649" s="4" t="s">
        <v>95</v>
      </c>
      <c r="G649" s="4" t="s">
        <v>96</v>
      </c>
      <c r="H649" s="4" t="s">
        <v>59</v>
      </c>
      <c r="I649" s="3"/>
      <c r="J649" s="3"/>
      <c r="K649" s="3"/>
      <c r="L649" s="3"/>
      <c r="M649" s="3"/>
      <c r="N649" s="3"/>
      <c r="O649" s="3"/>
      <c r="P649" s="8"/>
      <c r="Q649" s="8"/>
      <c r="R649" s="3"/>
      <c r="S649" s="3"/>
      <c r="T649" s="3"/>
      <c r="U649" s="5" t="str">
        <f t="shared" si="38"/>
        <v/>
      </c>
    </row>
    <row r="650" spans="1:21" ht="28" customHeight="1" x14ac:dyDescent="0.35">
      <c r="A650" s="4">
        <v>9</v>
      </c>
      <c r="B650" s="4" t="s">
        <v>97</v>
      </c>
      <c r="C650" s="4" t="s">
        <v>98</v>
      </c>
      <c r="D650" s="4" t="s">
        <v>99</v>
      </c>
      <c r="E650" s="4" t="s">
        <v>69</v>
      </c>
      <c r="F650" s="4" t="s">
        <v>95</v>
      </c>
      <c r="G650" s="4" t="s">
        <v>96</v>
      </c>
      <c r="H650" s="4" t="s">
        <v>59</v>
      </c>
      <c r="I650" s="3"/>
      <c r="J650" s="3"/>
      <c r="K650" s="3"/>
      <c r="L650" s="3"/>
      <c r="M650" s="3"/>
      <c r="N650" s="3"/>
      <c r="O650" s="3"/>
      <c r="P650" s="8"/>
      <c r="Q650" s="8"/>
      <c r="R650" s="3"/>
      <c r="S650" s="3"/>
      <c r="T650" s="3"/>
      <c r="U650" s="5" t="str">
        <f t="shared" si="38"/>
        <v/>
      </c>
    </row>
    <row r="651" spans="1:21" ht="28" customHeight="1" x14ac:dyDescent="0.35">
      <c r="A651" s="4">
        <v>10</v>
      </c>
      <c r="B651" s="4" t="s">
        <v>97</v>
      </c>
      <c r="C651" s="4" t="s">
        <v>100</v>
      </c>
      <c r="D651" s="4" t="s">
        <v>101</v>
      </c>
      <c r="E651" s="4" t="s">
        <v>69</v>
      </c>
      <c r="F651" s="4" t="s">
        <v>95</v>
      </c>
      <c r="G651" s="4" t="s">
        <v>102</v>
      </c>
      <c r="H651" s="4" t="s">
        <v>59</v>
      </c>
      <c r="I651" s="3"/>
      <c r="J651" s="3"/>
      <c r="K651" s="3"/>
      <c r="L651" s="3"/>
      <c r="M651" s="3"/>
      <c r="N651" s="3"/>
      <c r="O651" s="3"/>
      <c r="P651" s="8"/>
      <c r="Q651" s="8"/>
      <c r="R651" s="3"/>
      <c r="S651" s="3"/>
      <c r="T651" s="3"/>
      <c r="U651" s="5" t="str">
        <f t="shared" si="38"/>
        <v/>
      </c>
    </row>
    <row r="652" spans="1:21" ht="28" customHeight="1" x14ac:dyDescent="0.35">
      <c r="A652" s="4">
        <v>11</v>
      </c>
      <c r="B652" s="4" t="s">
        <v>103</v>
      </c>
      <c r="C652" s="4" t="s">
        <v>104</v>
      </c>
      <c r="D652" s="4" t="s">
        <v>105</v>
      </c>
      <c r="E652" s="4" t="s">
        <v>69</v>
      </c>
      <c r="F652" s="4" t="s">
        <v>95</v>
      </c>
      <c r="G652" s="4" t="s">
        <v>96</v>
      </c>
      <c r="H652" s="4" t="s">
        <v>85</v>
      </c>
      <c r="I652" s="3"/>
      <c r="J652" s="3"/>
      <c r="K652" s="3"/>
      <c r="L652" s="3"/>
      <c r="M652" s="3"/>
      <c r="N652" s="3"/>
      <c r="O652" s="3"/>
      <c r="P652" s="8"/>
      <c r="Q652" s="8"/>
      <c r="R652" s="3"/>
      <c r="S652" s="3"/>
      <c r="T652" s="3"/>
      <c r="U652" s="5" t="str">
        <f t="shared" si="38"/>
        <v/>
      </c>
    </row>
    <row r="653" spans="1:21" ht="28" customHeight="1" x14ac:dyDescent="0.35">
      <c r="A653" s="4">
        <v>12</v>
      </c>
      <c r="B653" s="4" t="s">
        <v>106</v>
      </c>
      <c r="C653" s="4" t="s">
        <v>107</v>
      </c>
      <c r="D653" s="4" t="s">
        <v>108</v>
      </c>
      <c r="E653" s="4" t="s">
        <v>109</v>
      </c>
      <c r="F653" s="4" t="s">
        <v>95</v>
      </c>
      <c r="G653" s="4" t="s">
        <v>96</v>
      </c>
      <c r="H653" s="4" t="s">
        <v>59</v>
      </c>
      <c r="I653" s="3"/>
      <c r="J653" s="3"/>
      <c r="K653" s="3"/>
      <c r="L653" s="3"/>
      <c r="M653" s="3"/>
      <c r="N653" s="3"/>
      <c r="O653" s="3"/>
      <c r="P653" s="8"/>
      <c r="Q653" s="8"/>
      <c r="R653" s="3"/>
      <c r="S653" s="3"/>
      <c r="T653" s="3"/>
      <c r="U653" s="5" t="str">
        <f t="shared" si="38"/>
        <v/>
      </c>
    </row>
    <row r="655" spans="1:21" ht="28" customHeight="1" x14ac:dyDescent="0.35">
      <c r="A655" s="9" t="s">
        <v>110</v>
      </c>
      <c r="B655" s="16"/>
      <c r="C655" s="17"/>
      <c r="D655" s="17"/>
      <c r="E655" s="17"/>
      <c r="F655" s="17"/>
      <c r="G655" s="17"/>
      <c r="H655" s="17"/>
      <c r="I655" s="17"/>
      <c r="J655" s="17"/>
      <c r="K655" s="17"/>
      <c r="L655" s="17"/>
      <c r="M655" s="17"/>
      <c r="N655" s="17"/>
      <c r="O655" s="17"/>
      <c r="P655" s="17"/>
      <c r="Q655" s="17"/>
      <c r="R655" s="17"/>
      <c r="S655" s="17"/>
      <c r="T655" s="17"/>
      <c r="U655" s="18"/>
    </row>
    <row r="656" spans="1:21" ht="28" customHeight="1" x14ac:dyDescent="0.35">
      <c r="A656" s="19" t="s">
        <v>420</v>
      </c>
      <c r="B656" s="20"/>
      <c r="C656" s="20"/>
      <c r="D656" s="20"/>
      <c r="E656" s="20"/>
      <c r="F656" s="20"/>
      <c r="G656" s="20"/>
      <c r="H656" s="20"/>
      <c r="I656" s="20"/>
      <c r="J656" s="20"/>
      <c r="K656" s="20"/>
      <c r="L656" s="20"/>
      <c r="M656" s="20"/>
      <c r="N656" s="20"/>
      <c r="O656" s="20"/>
      <c r="P656" s="20"/>
      <c r="Q656" s="20"/>
      <c r="R656" s="20"/>
      <c r="S656" s="20"/>
      <c r="T656" s="20"/>
      <c r="U656" s="21"/>
    </row>
    <row r="657" spans="1:21" ht="28" customHeight="1" x14ac:dyDescent="0.35">
      <c r="A657" s="4" t="s">
        <v>31</v>
      </c>
      <c r="B657" s="3" t="s">
        <v>252</v>
      </c>
      <c r="C657" s="4" t="s">
        <v>32</v>
      </c>
      <c r="D657" s="3"/>
      <c r="E657" s="4" t="s">
        <v>33</v>
      </c>
      <c r="F657" s="8"/>
    </row>
    <row r="658" spans="1:21" ht="28" customHeight="1" x14ac:dyDescent="0.35">
      <c r="A658" s="1" t="s">
        <v>34</v>
      </c>
      <c r="B658" s="1" t="s">
        <v>35</v>
      </c>
      <c r="C658" s="1" t="s">
        <v>36</v>
      </c>
      <c r="D658" s="1" t="s">
        <v>37</v>
      </c>
      <c r="E658" s="1" t="s">
        <v>38</v>
      </c>
      <c r="F658" s="1" t="s">
        <v>39</v>
      </c>
      <c r="G658" s="1" t="s">
        <v>40</v>
      </c>
      <c r="H658" s="1" t="s">
        <v>41</v>
      </c>
      <c r="I658" s="1" t="s">
        <v>42</v>
      </c>
      <c r="J658" s="1" t="s">
        <v>43</v>
      </c>
      <c r="K658" s="1" t="s">
        <v>44</v>
      </c>
      <c r="L658" s="1" t="s">
        <v>45</v>
      </c>
      <c r="M658" s="1" t="s">
        <v>46</v>
      </c>
      <c r="N658" s="1" t="s">
        <v>47</v>
      </c>
      <c r="O658" s="1" t="s">
        <v>48</v>
      </c>
      <c r="P658" s="1" t="s">
        <v>4</v>
      </c>
      <c r="Q658" s="1" t="s">
        <v>49</v>
      </c>
      <c r="R658" s="1" t="s">
        <v>50</v>
      </c>
      <c r="S658" s="1" t="s">
        <v>51</v>
      </c>
      <c r="T658" s="1" t="s">
        <v>52</v>
      </c>
      <c r="U658" s="1" t="s">
        <v>10</v>
      </c>
    </row>
    <row r="659" spans="1:21" ht="28" customHeight="1" x14ac:dyDescent="0.35">
      <c r="A659" s="4">
        <v>1</v>
      </c>
      <c r="B659" s="4" t="s">
        <v>97</v>
      </c>
      <c r="C659" s="4" t="s">
        <v>362</v>
      </c>
      <c r="D659" s="4" t="s">
        <v>363</v>
      </c>
      <c r="E659" s="4" t="s">
        <v>69</v>
      </c>
      <c r="F659" s="4" t="s">
        <v>364</v>
      </c>
      <c r="G659" s="4" t="s">
        <v>199</v>
      </c>
      <c r="H659" s="4" t="s">
        <v>76</v>
      </c>
      <c r="I659" s="3"/>
      <c r="J659" s="3"/>
      <c r="K659" s="3"/>
      <c r="L659" s="3"/>
      <c r="M659" s="3"/>
      <c r="N659" s="3"/>
      <c r="O659" s="3"/>
      <c r="P659" s="8"/>
      <c r="Q659" s="8"/>
      <c r="R659" s="3"/>
      <c r="S659" s="3"/>
      <c r="T659" s="3"/>
      <c r="U659" s="5" t="str">
        <f t="shared" ref="U659:U670" si="39">IF(I659="","",IF(I659="NA","Grey",IF(I659=2,"Green",IF(I659=1,"Amber","Red"))))</f>
        <v/>
      </c>
    </row>
    <row r="660" spans="1:21" ht="28" customHeight="1" x14ac:dyDescent="0.35">
      <c r="A660" s="4">
        <v>2</v>
      </c>
      <c r="B660" s="4" t="s">
        <v>365</v>
      </c>
      <c r="C660" s="4" t="s">
        <v>366</v>
      </c>
      <c r="D660" s="4" t="s">
        <v>367</v>
      </c>
      <c r="E660" s="4" t="s">
        <v>69</v>
      </c>
      <c r="F660" s="4" t="s">
        <v>276</v>
      </c>
      <c r="G660" s="4" t="s">
        <v>199</v>
      </c>
      <c r="H660" s="4" t="s">
        <v>76</v>
      </c>
      <c r="I660" s="3"/>
      <c r="J660" s="3"/>
      <c r="K660" s="3"/>
      <c r="L660" s="3"/>
      <c r="M660" s="3"/>
      <c r="N660" s="3"/>
      <c r="O660" s="3"/>
      <c r="P660" s="8"/>
      <c r="Q660" s="8"/>
      <c r="R660" s="3"/>
      <c r="S660" s="3"/>
      <c r="T660" s="3"/>
      <c r="U660" s="5" t="str">
        <f t="shared" si="39"/>
        <v/>
      </c>
    </row>
    <row r="661" spans="1:21" ht="28" customHeight="1" x14ac:dyDescent="0.35">
      <c r="A661" s="4">
        <v>3</v>
      </c>
      <c r="B661" s="4" t="s">
        <v>365</v>
      </c>
      <c r="C661" s="4" t="s">
        <v>368</v>
      </c>
      <c r="D661" s="4" t="s">
        <v>369</v>
      </c>
      <c r="E661" s="4" t="s">
        <v>69</v>
      </c>
      <c r="F661" s="4" t="s">
        <v>370</v>
      </c>
      <c r="G661" s="4" t="s">
        <v>204</v>
      </c>
      <c r="H661" s="4" t="s">
        <v>76</v>
      </c>
      <c r="I661" s="3"/>
      <c r="J661" s="3"/>
      <c r="K661" s="3"/>
      <c r="L661" s="3"/>
      <c r="M661" s="3"/>
      <c r="N661" s="3"/>
      <c r="O661" s="3"/>
      <c r="P661" s="8"/>
      <c r="Q661" s="8"/>
      <c r="R661" s="3"/>
      <c r="S661" s="3"/>
      <c r="T661" s="3"/>
      <c r="U661" s="5" t="str">
        <f t="shared" si="39"/>
        <v/>
      </c>
    </row>
    <row r="662" spans="1:21" ht="28" customHeight="1" x14ac:dyDescent="0.35">
      <c r="A662" s="4">
        <v>4</v>
      </c>
      <c r="B662" s="4" t="s">
        <v>371</v>
      </c>
      <c r="C662" s="4" t="s">
        <v>372</v>
      </c>
      <c r="D662" s="4" t="s">
        <v>373</v>
      </c>
      <c r="E662" s="4" t="s">
        <v>69</v>
      </c>
      <c r="F662" s="4" t="s">
        <v>295</v>
      </c>
      <c r="G662" s="4" t="s">
        <v>199</v>
      </c>
      <c r="H662" s="4" t="s">
        <v>59</v>
      </c>
      <c r="I662" s="3"/>
      <c r="J662" s="3"/>
      <c r="K662" s="3"/>
      <c r="L662" s="3"/>
      <c r="M662" s="3"/>
      <c r="N662" s="3"/>
      <c r="O662" s="3"/>
      <c r="P662" s="8"/>
      <c r="Q662" s="8"/>
      <c r="R662" s="3"/>
      <c r="S662" s="3"/>
      <c r="T662" s="3"/>
      <c r="U662" s="5" t="str">
        <f t="shared" si="39"/>
        <v/>
      </c>
    </row>
    <row r="663" spans="1:21" ht="28" customHeight="1" x14ac:dyDescent="0.35">
      <c r="A663" s="4">
        <v>5</v>
      </c>
      <c r="B663" s="4" t="s">
        <v>374</v>
      </c>
      <c r="C663" s="4" t="s">
        <v>375</v>
      </c>
      <c r="D663" s="4" t="s">
        <v>376</v>
      </c>
      <c r="E663" s="4" t="s">
        <v>69</v>
      </c>
      <c r="F663" s="4" t="s">
        <v>276</v>
      </c>
      <c r="G663" s="4" t="s">
        <v>199</v>
      </c>
      <c r="H663" s="4" t="s">
        <v>59</v>
      </c>
      <c r="I663" s="3"/>
      <c r="J663" s="3"/>
      <c r="K663" s="3"/>
      <c r="L663" s="3"/>
      <c r="M663" s="3"/>
      <c r="N663" s="3"/>
      <c r="O663" s="3"/>
      <c r="P663" s="8"/>
      <c r="Q663" s="8"/>
      <c r="R663" s="3"/>
      <c r="S663" s="3"/>
      <c r="T663" s="3"/>
      <c r="U663" s="5" t="str">
        <f t="shared" si="39"/>
        <v/>
      </c>
    </row>
    <row r="664" spans="1:21" ht="28" customHeight="1" x14ac:dyDescent="0.35">
      <c r="A664" s="4">
        <v>6</v>
      </c>
      <c r="B664" s="4" t="s">
        <v>377</v>
      </c>
      <c r="C664" s="4" t="s">
        <v>378</v>
      </c>
      <c r="D664" s="4" t="s">
        <v>379</v>
      </c>
      <c r="E664" s="4" t="s">
        <v>69</v>
      </c>
      <c r="F664" s="4" t="s">
        <v>276</v>
      </c>
      <c r="G664" s="4" t="s">
        <v>199</v>
      </c>
      <c r="H664" s="4" t="s">
        <v>59</v>
      </c>
      <c r="I664" s="3"/>
      <c r="J664" s="3"/>
      <c r="K664" s="3"/>
      <c r="L664" s="3"/>
      <c r="M664" s="3"/>
      <c r="N664" s="3"/>
      <c r="O664" s="3"/>
      <c r="P664" s="8"/>
      <c r="Q664" s="8"/>
      <c r="R664" s="3"/>
      <c r="S664" s="3"/>
      <c r="T664" s="3"/>
      <c r="U664" s="5" t="str">
        <f t="shared" si="39"/>
        <v/>
      </c>
    </row>
    <row r="665" spans="1:21" ht="28" customHeight="1" x14ac:dyDescent="0.35">
      <c r="A665" s="4">
        <v>7</v>
      </c>
      <c r="B665" s="4" t="s">
        <v>380</v>
      </c>
      <c r="C665" s="4" t="s">
        <v>381</v>
      </c>
      <c r="D665" s="4" t="s">
        <v>382</v>
      </c>
      <c r="E665" s="4" t="s">
        <v>69</v>
      </c>
      <c r="F665" s="4" t="s">
        <v>276</v>
      </c>
      <c r="G665" s="4" t="s">
        <v>199</v>
      </c>
      <c r="H665" s="4" t="s">
        <v>59</v>
      </c>
      <c r="I665" s="3"/>
      <c r="J665" s="3"/>
      <c r="K665" s="3"/>
      <c r="L665" s="3"/>
      <c r="M665" s="3"/>
      <c r="N665" s="3"/>
      <c r="O665" s="3"/>
      <c r="P665" s="8"/>
      <c r="Q665" s="8"/>
      <c r="R665" s="3"/>
      <c r="S665" s="3"/>
      <c r="T665" s="3"/>
      <c r="U665" s="5" t="str">
        <f t="shared" si="39"/>
        <v/>
      </c>
    </row>
    <row r="666" spans="1:21" ht="28" customHeight="1" x14ac:dyDescent="0.35">
      <c r="A666" s="4">
        <v>8</v>
      </c>
      <c r="B666" s="4" t="s">
        <v>383</v>
      </c>
      <c r="C666" s="4" t="s">
        <v>384</v>
      </c>
      <c r="D666" s="4" t="s">
        <v>385</v>
      </c>
      <c r="E666" s="4" t="s">
        <v>69</v>
      </c>
      <c r="F666" s="4" t="s">
        <v>95</v>
      </c>
      <c r="G666" s="4" t="s">
        <v>96</v>
      </c>
      <c r="H666" s="4" t="s">
        <v>59</v>
      </c>
      <c r="I666" s="3"/>
      <c r="J666" s="3"/>
      <c r="K666" s="3"/>
      <c r="L666" s="3"/>
      <c r="M666" s="3"/>
      <c r="N666" s="3"/>
      <c r="O666" s="3"/>
      <c r="P666" s="8"/>
      <c r="Q666" s="8"/>
      <c r="R666" s="3"/>
      <c r="S666" s="3"/>
      <c r="T666" s="3"/>
      <c r="U666" s="5" t="str">
        <f t="shared" si="39"/>
        <v/>
      </c>
    </row>
    <row r="667" spans="1:21" ht="28" customHeight="1" x14ac:dyDescent="0.35">
      <c r="A667" s="4">
        <v>9</v>
      </c>
      <c r="B667" s="4" t="s">
        <v>97</v>
      </c>
      <c r="C667" s="4" t="s">
        <v>98</v>
      </c>
      <c r="D667" s="4" t="s">
        <v>99</v>
      </c>
      <c r="E667" s="4" t="s">
        <v>69</v>
      </c>
      <c r="F667" s="4" t="s">
        <v>95</v>
      </c>
      <c r="G667" s="4" t="s">
        <v>96</v>
      </c>
      <c r="H667" s="4" t="s">
        <v>59</v>
      </c>
      <c r="I667" s="3"/>
      <c r="J667" s="3"/>
      <c r="K667" s="3"/>
      <c r="L667" s="3"/>
      <c r="M667" s="3"/>
      <c r="N667" s="3"/>
      <c r="O667" s="3"/>
      <c r="P667" s="8"/>
      <c r="Q667" s="8"/>
      <c r="R667" s="3"/>
      <c r="S667" s="3"/>
      <c r="T667" s="3"/>
      <c r="U667" s="5" t="str">
        <f t="shared" si="39"/>
        <v/>
      </c>
    </row>
    <row r="668" spans="1:21" ht="28" customHeight="1" x14ac:dyDescent="0.35">
      <c r="A668" s="4">
        <v>10</v>
      </c>
      <c r="B668" s="4" t="s">
        <v>97</v>
      </c>
      <c r="C668" s="4" t="s">
        <v>100</v>
      </c>
      <c r="D668" s="4" t="s">
        <v>101</v>
      </c>
      <c r="E668" s="4" t="s">
        <v>69</v>
      </c>
      <c r="F668" s="4" t="s">
        <v>95</v>
      </c>
      <c r="G668" s="4" t="s">
        <v>102</v>
      </c>
      <c r="H668" s="4" t="s">
        <v>59</v>
      </c>
      <c r="I668" s="3"/>
      <c r="J668" s="3"/>
      <c r="K668" s="3"/>
      <c r="L668" s="3"/>
      <c r="M668" s="3"/>
      <c r="N668" s="3"/>
      <c r="O668" s="3"/>
      <c r="P668" s="8"/>
      <c r="Q668" s="8"/>
      <c r="R668" s="3"/>
      <c r="S668" s="3"/>
      <c r="T668" s="3"/>
      <c r="U668" s="5" t="str">
        <f t="shared" si="39"/>
        <v/>
      </c>
    </row>
    <row r="669" spans="1:21" ht="28" customHeight="1" x14ac:dyDescent="0.35">
      <c r="A669" s="4">
        <v>11</v>
      </c>
      <c r="B669" s="4" t="s">
        <v>103</v>
      </c>
      <c r="C669" s="4" t="s">
        <v>104</v>
      </c>
      <c r="D669" s="4" t="s">
        <v>105</v>
      </c>
      <c r="E669" s="4" t="s">
        <v>69</v>
      </c>
      <c r="F669" s="4" t="s">
        <v>95</v>
      </c>
      <c r="G669" s="4" t="s">
        <v>96</v>
      </c>
      <c r="H669" s="4" t="s">
        <v>85</v>
      </c>
      <c r="I669" s="3"/>
      <c r="J669" s="3"/>
      <c r="K669" s="3"/>
      <c r="L669" s="3"/>
      <c r="M669" s="3"/>
      <c r="N669" s="3"/>
      <c r="O669" s="3"/>
      <c r="P669" s="8"/>
      <c r="Q669" s="8"/>
      <c r="R669" s="3"/>
      <c r="S669" s="3"/>
      <c r="T669" s="3"/>
      <c r="U669" s="5" t="str">
        <f t="shared" si="39"/>
        <v/>
      </c>
    </row>
    <row r="670" spans="1:21" ht="28" customHeight="1" x14ac:dyDescent="0.35">
      <c r="A670" s="4">
        <v>12</v>
      </c>
      <c r="B670" s="4" t="s">
        <v>106</v>
      </c>
      <c r="C670" s="4" t="s">
        <v>107</v>
      </c>
      <c r="D670" s="4" t="s">
        <v>108</v>
      </c>
      <c r="E670" s="4" t="s">
        <v>109</v>
      </c>
      <c r="F670" s="4" t="s">
        <v>95</v>
      </c>
      <c r="G670" s="4" t="s">
        <v>96</v>
      </c>
      <c r="H670" s="4" t="s">
        <v>59</v>
      </c>
      <c r="I670" s="3"/>
      <c r="J670" s="3"/>
      <c r="K670" s="3"/>
      <c r="L670" s="3"/>
      <c r="M670" s="3"/>
      <c r="N670" s="3"/>
      <c r="O670" s="3"/>
      <c r="P670" s="8"/>
      <c r="Q670" s="8"/>
      <c r="R670" s="3"/>
      <c r="S670" s="3"/>
      <c r="T670" s="3"/>
      <c r="U670" s="5" t="str">
        <f t="shared" si="39"/>
        <v/>
      </c>
    </row>
    <row r="672" spans="1:21" ht="28" customHeight="1" x14ac:dyDescent="0.35">
      <c r="A672" s="9" t="s">
        <v>110</v>
      </c>
      <c r="B672" s="16"/>
      <c r="C672" s="17"/>
      <c r="D672" s="17"/>
      <c r="E672" s="17"/>
      <c r="F672" s="17"/>
      <c r="G672" s="17"/>
      <c r="H672" s="17"/>
      <c r="I672" s="17"/>
      <c r="J672" s="17"/>
      <c r="K672" s="17"/>
      <c r="L672" s="17"/>
      <c r="M672" s="17"/>
      <c r="N672" s="17"/>
      <c r="O672" s="17"/>
      <c r="P672" s="17"/>
      <c r="Q672" s="17"/>
      <c r="R672" s="17"/>
      <c r="S672" s="17"/>
      <c r="T672" s="17"/>
      <c r="U672" s="18"/>
    </row>
    <row r="673" spans="1:21" ht="28" customHeight="1" x14ac:dyDescent="0.35">
      <c r="A673" s="19" t="s">
        <v>421</v>
      </c>
      <c r="B673" s="20"/>
      <c r="C673" s="20"/>
      <c r="D673" s="20"/>
      <c r="E673" s="20"/>
      <c r="F673" s="20"/>
      <c r="G673" s="20"/>
      <c r="H673" s="20"/>
      <c r="I673" s="20"/>
      <c r="J673" s="20"/>
      <c r="K673" s="20"/>
      <c r="L673" s="20"/>
      <c r="M673" s="20"/>
      <c r="N673" s="20"/>
      <c r="O673" s="20"/>
      <c r="P673" s="20"/>
      <c r="Q673" s="20"/>
      <c r="R673" s="20"/>
      <c r="S673" s="20"/>
      <c r="T673" s="20"/>
      <c r="U673" s="21"/>
    </row>
    <row r="674" spans="1:21" ht="28" customHeight="1" x14ac:dyDescent="0.35">
      <c r="A674" s="4" t="s">
        <v>31</v>
      </c>
      <c r="B674" s="3" t="s">
        <v>253</v>
      </c>
      <c r="C674" s="4" t="s">
        <v>32</v>
      </c>
      <c r="D674" s="3"/>
      <c r="E674" s="4" t="s">
        <v>33</v>
      </c>
      <c r="F674" s="8"/>
    </row>
    <row r="675" spans="1:21" ht="28" customHeight="1" x14ac:dyDescent="0.35">
      <c r="A675" s="1" t="s">
        <v>34</v>
      </c>
      <c r="B675" s="1" t="s">
        <v>35</v>
      </c>
      <c r="C675" s="1" t="s">
        <v>36</v>
      </c>
      <c r="D675" s="1" t="s">
        <v>37</v>
      </c>
      <c r="E675" s="1" t="s">
        <v>38</v>
      </c>
      <c r="F675" s="1" t="s">
        <v>39</v>
      </c>
      <c r="G675" s="1" t="s">
        <v>40</v>
      </c>
      <c r="H675" s="1" t="s">
        <v>41</v>
      </c>
      <c r="I675" s="1" t="s">
        <v>42</v>
      </c>
      <c r="J675" s="1" t="s">
        <v>43</v>
      </c>
      <c r="K675" s="1" t="s">
        <v>44</v>
      </c>
      <c r="L675" s="1" t="s">
        <v>45</v>
      </c>
      <c r="M675" s="1" t="s">
        <v>46</v>
      </c>
      <c r="N675" s="1" t="s">
        <v>47</v>
      </c>
      <c r="O675" s="1" t="s">
        <v>48</v>
      </c>
      <c r="P675" s="1" t="s">
        <v>4</v>
      </c>
      <c r="Q675" s="1" t="s">
        <v>49</v>
      </c>
      <c r="R675" s="1" t="s">
        <v>50</v>
      </c>
      <c r="S675" s="1" t="s">
        <v>51</v>
      </c>
      <c r="T675" s="1" t="s">
        <v>52</v>
      </c>
      <c r="U675" s="1" t="s">
        <v>10</v>
      </c>
    </row>
    <row r="676" spans="1:21" ht="28" customHeight="1" x14ac:dyDescent="0.35">
      <c r="A676" s="4">
        <v>1</v>
      </c>
      <c r="B676" s="4" t="s">
        <v>97</v>
      </c>
      <c r="C676" s="4" t="s">
        <v>362</v>
      </c>
      <c r="D676" s="4" t="s">
        <v>363</v>
      </c>
      <c r="E676" s="4" t="s">
        <v>69</v>
      </c>
      <c r="F676" s="4" t="s">
        <v>364</v>
      </c>
      <c r="G676" s="4" t="s">
        <v>199</v>
      </c>
      <c r="H676" s="4" t="s">
        <v>76</v>
      </c>
      <c r="I676" s="3"/>
      <c r="J676" s="3"/>
      <c r="K676" s="3"/>
      <c r="L676" s="3"/>
      <c r="M676" s="3"/>
      <c r="N676" s="3"/>
      <c r="O676" s="3"/>
      <c r="P676" s="8"/>
      <c r="Q676" s="8"/>
      <c r="R676" s="3"/>
      <c r="S676" s="3"/>
      <c r="T676" s="3"/>
      <c r="U676" s="5" t="str">
        <f t="shared" ref="U676:U687" si="40">IF(I676="","",IF(I676="NA","Grey",IF(I676=2,"Green",IF(I676=1,"Amber","Red"))))</f>
        <v/>
      </c>
    </row>
    <row r="677" spans="1:21" ht="28" customHeight="1" x14ac:dyDescent="0.35">
      <c r="A677" s="4">
        <v>2</v>
      </c>
      <c r="B677" s="4" t="s">
        <v>365</v>
      </c>
      <c r="C677" s="4" t="s">
        <v>366</v>
      </c>
      <c r="D677" s="4" t="s">
        <v>367</v>
      </c>
      <c r="E677" s="4" t="s">
        <v>69</v>
      </c>
      <c r="F677" s="4" t="s">
        <v>276</v>
      </c>
      <c r="G677" s="4" t="s">
        <v>199</v>
      </c>
      <c r="H677" s="4" t="s">
        <v>76</v>
      </c>
      <c r="I677" s="3"/>
      <c r="J677" s="3"/>
      <c r="K677" s="3"/>
      <c r="L677" s="3"/>
      <c r="M677" s="3"/>
      <c r="N677" s="3"/>
      <c r="O677" s="3"/>
      <c r="P677" s="8"/>
      <c r="Q677" s="8"/>
      <c r="R677" s="3"/>
      <c r="S677" s="3"/>
      <c r="T677" s="3"/>
      <c r="U677" s="5" t="str">
        <f t="shared" si="40"/>
        <v/>
      </c>
    </row>
    <row r="678" spans="1:21" ht="28" customHeight="1" x14ac:dyDescent="0.35">
      <c r="A678" s="4">
        <v>3</v>
      </c>
      <c r="B678" s="4" t="s">
        <v>365</v>
      </c>
      <c r="C678" s="4" t="s">
        <v>368</v>
      </c>
      <c r="D678" s="4" t="s">
        <v>369</v>
      </c>
      <c r="E678" s="4" t="s">
        <v>69</v>
      </c>
      <c r="F678" s="4" t="s">
        <v>370</v>
      </c>
      <c r="G678" s="4" t="s">
        <v>204</v>
      </c>
      <c r="H678" s="4" t="s">
        <v>76</v>
      </c>
      <c r="I678" s="3"/>
      <c r="J678" s="3"/>
      <c r="K678" s="3"/>
      <c r="L678" s="3"/>
      <c r="M678" s="3"/>
      <c r="N678" s="3"/>
      <c r="O678" s="3"/>
      <c r="P678" s="8"/>
      <c r="Q678" s="8"/>
      <c r="R678" s="3"/>
      <c r="S678" s="3"/>
      <c r="T678" s="3"/>
      <c r="U678" s="5" t="str">
        <f t="shared" si="40"/>
        <v/>
      </c>
    </row>
    <row r="679" spans="1:21" ht="28" customHeight="1" x14ac:dyDescent="0.35">
      <c r="A679" s="4">
        <v>4</v>
      </c>
      <c r="B679" s="4" t="s">
        <v>371</v>
      </c>
      <c r="C679" s="4" t="s">
        <v>372</v>
      </c>
      <c r="D679" s="4" t="s">
        <v>373</v>
      </c>
      <c r="E679" s="4" t="s">
        <v>69</v>
      </c>
      <c r="F679" s="4" t="s">
        <v>295</v>
      </c>
      <c r="G679" s="4" t="s">
        <v>199</v>
      </c>
      <c r="H679" s="4" t="s">
        <v>59</v>
      </c>
      <c r="I679" s="3"/>
      <c r="J679" s="3"/>
      <c r="K679" s="3"/>
      <c r="L679" s="3"/>
      <c r="M679" s="3"/>
      <c r="N679" s="3"/>
      <c r="O679" s="3"/>
      <c r="P679" s="8"/>
      <c r="Q679" s="8"/>
      <c r="R679" s="3"/>
      <c r="S679" s="3"/>
      <c r="T679" s="3"/>
      <c r="U679" s="5" t="str">
        <f t="shared" si="40"/>
        <v/>
      </c>
    </row>
    <row r="680" spans="1:21" ht="28" customHeight="1" x14ac:dyDescent="0.35">
      <c r="A680" s="4">
        <v>5</v>
      </c>
      <c r="B680" s="4" t="s">
        <v>374</v>
      </c>
      <c r="C680" s="4" t="s">
        <v>375</v>
      </c>
      <c r="D680" s="4" t="s">
        <v>376</v>
      </c>
      <c r="E680" s="4" t="s">
        <v>69</v>
      </c>
      <c r="F680" s="4" t="s">
        <v>276</v>
      </c>
      <c r="G680" s="4" t="s">
        <v>199</v>
      </c>
      <c r="H680" s="4" t="s">
        <v>59</v>
      </c>
      <c r="I680" s="3"/>
      <c r="J680" s="3"/>
      <c r="K680" s="3"/>
      <c r="L680" s="3"/>
      <c r="M680" s="3"/>
      <c r="N680" s="3"/>
      <c r="O680" s="3"/>
      <c r="P680" s="8"/>
      <c r="Q680" s="8"/>
      <c r="R680" s="3"/>
      <c r="S680" s="3"/>
      <c r="T680" s="3"/>
      <c r="U680" s="5" t="str">
        <f t="shared" si="40"/>
        <v/>
      </c>
    </row>
    <row r="681" spans="1:21" ht="28" customHeight="1" x14ac:dyDescent="0.35">
      <c r="A681" s="4">
        <v>6</v>
      </c>
      <c r="B681" s="4" t="s">
        <v>377</v>
      </c>
      <c r="C681" s="4" t="s">
        <v>378</v>
      </c>
      <c r="D681" s="4" t="s">
        <v>379</v>
      </c>
      <c r="E681" s="4" t="s">
        <v>69</v>
      </c>
      <c r="F681" s="4" t="s">
        <v>276</v>
      </c>
      <c r="G681" s="4" t="s">
        <v>199</v>
      </c>
      <c r="H681" s="4" t="s">
        <v>59</v>
      </c>
      <c r="I681" s="3"/>
      <c r="J681" s="3"/>
      <c r="K681" s="3"/>
      <c r="L681" s="3"/>
      <c r="M681" s="3"/>
      <c r="N681" s="3"/>
      <c r="O681" s="3"/>
      <c r="P681" s="8"/>
      <c r="Q681" s="8"/>
      <c r="R681" s="3"/>
      <c r="S681" s="3"/>
      <c r="T681" s="3"/>
      <c r="U681" s="5" t="str">
        <f t="shared" si="40"/>
        <v/>
      </c>
    </row>
    <row r="682" spans="1:21" ht="28" customHeight="1" x14ac:dyDescent="0.35">
      <c r="A682" s="4">
        <v>7</v>
      </c>
      <c r="B682" s="4" t="s">
        <v>380</v>
      </c>
      <c r="C682" s="4" t="s">
        <v>381</v>
      </c>
      <c r="D682" s="4" t="s">
        <v>382</v>
      </c>
      <c r="E682" s="4" t="s">
        <v>69</v>
      </c>
      <c r="F682" s="4" t="s">
        <v>276</v>
      </c>
      <c r="G682" s="4" t="s">
        <v>199</v>
      </c>
      <c r="H682" s="4" t="s">
        <v>59</v>
      </c>
      <c r="I682" s="3"/>
      <c r="J682" s="3"/>
      <c r="K682" s="3"/>
      <c r="L682" s="3"/>
      <c r="M682" s="3"/>
      <c r="N682" s="3"/>
      <c r="O682" s="3"/>
      <c r="P682" s="8"/>
      <c r="Q682" s="8"/>
      <c r="R682" s="3"/>
      <c r="S682" s="3"/>
      <c r="T682" s="3"/>
      <c r="U682" s="5" t="str">
        <f t="shared" si="40"/>
        <v/>
      </c>
    </row>
    <row r="683" spans="1:21" ht="28" customHeight="1" x14ac:dyDescent="0.35">
      <c r="A683" s="4">
        <v>8</v>
      </c>
      <c r="B683" s="4" t="s">
        <v>383</v>
      </c>
      <c r="C683" s="4" t="s">
        <v>384</v>
      </c>
      <c r="D683" s="4" t="s">
        <v>385</v>
      </c>
      <c r="E683" s="4" t="s">
        <v>69</v>
      </c>
      <c r="F683" s="4" t="s">
        <v>95</v>
      </c>
      <c r="G683" s="4" t="s">
        <v>96</v>
      </c>
      <c r="H683" s="4" t="s">
        <v>59</v>
      </c>
      <c r="I683" s="3"/>
      <c r="J683" s="3"/>
      <c r="K683" s="3"/>
      <c r="L683" s="3"/>
      <c r="M683" s="3"/>
      <c r="N683" s="3"/>
      <c r="O683" s="3"/>
      <c r="P683" s="8"/>
      <c r="Q683" s="8"/>
      <c r="R683" s="3"/>
      <c r="S683" s="3"/>
      <c r="T683" s="3"/>
      <c r="U683" s="5" t="str">
        <f t="shared" si="40"/>
        <v/>
      </c>
    </row>
    <row r="684" spans="1:21" ht="28" customHeight="1" x14ac:dyDescent="0.35">
      <c r="A684" s="4">
        <v>9</v>
      </c>
      <c r="B684" s="4" t="s">
        <v>97</v>
      </c>
      <c r="C684" s="4" t="s">
        <v>98</v>
      </c>
      <c r="D684" s="4" t="s">
        <v>99</v>
      </c>
      <c r="E684" s="4" t="s">
        <v>69</v>
      </c>
      <c r="F684" s="4" t="s">
        <v>95</v>
      </c>
      <c r="G684" s="4" t="s">
        <v>96</v>
      </c>
      <c r="H684" s="4" t="s">
        <v>59</v>
      </c>
      <c r="I684" s="3"/>
      <c r="J684" s="3"/>
      <c r="K684" s="3"/>
      <c r="L684" s="3"/>
      <c r="M684" s="3"/>
      <c r="N684" s="3"/>
      <c r="O684" s="3"/>
      <c r="P684" s="8"/>
      <c r="Q684" s="8"/>
      <c r="R684" s="3"/>
      <c r="S684" s="3"/>
      <c r="T684" s="3"/>
      <c r="U684" s="5" t="str">
        <f t="shared" si="40"/>
        <v/>
      </c>
    </row>
    <row r="685" spans="1:21" ht="28" customHeight="1" x14ac:dyDescent="0.35">
      <c r="A685" s="4">
        <v>10</v>
      </c>
      <c r="B685" s="4" t="s">
        <v>97</v>
      </c>
      <c r="C685" s="4" t="s">
        <v>100</v>
      </c>
      <c r="D685" s="4" t="s">
        <v>101</v>
      </c>
      <c r="E685" s="4" t="s">
        <v>69</v>
      </c>
      <c r="F685" s="4" t="s">
        <v>95</v>
      </c>
      <c r="G685" s="4" t="s">
        <v>102</v>
      </c>
      <c r="H685" s="4" t="s">
        <v>59</v>
      </c>
      <c r="I685" s="3"/>
      <c r="J685" s="3"/>
      <c r="K685" s="3"/>
      <c r="L685" s="3"/>
      <c r="M685" s="3"/>
      <c r="N685" s="3"/>
      <c r="O685" s="3"/>
      <c r="P685" s="8"/>
      <c r="Q685" s="8"/>
      <c r="R685" s="3"/>
      <c r="S685" s="3"/>
      <c r="T685" s="3"/>
      <c r="U685" s="5" t="str">
        <f t="shared" si="40"/>
        <v/>
      </c>
    </row>
    <row r="686" spans="1:21" ht="28" customHeight="1" x14ac:dyDescent="0.35">
      <c r="A686" s="4">
        <v>11</v>
      </c>
      <c r="B686" s="4" t="s">
        <v>103</v>
      </c>
      <c r="C686" s="4" t="s">
        <v>104</v>
      </c>
      <c r="D686" s="4" t="s">
        <v>105</v>
      </c>
      <c r="E686" s="4" t="s">
        <v>69</v>
      </c>
      <c r="F686" s="4" t="s">
        <v>95</v>
      </c>
      <c r="G686" s="4" t="s">
        <v>96</v>
      </c>
      <c r="H686" s="4" t="s">
        <v>85</v>
      </c>
      <c r="I686" s="3"/>
      <c r="J686" s="3"/>
      <c r="K686" s="3"/>
      <c r="L686" s="3"/>
      <c r="M686" s="3"/>
      <c r="N686" s="3"/>
      <c r="O686" s="3"/>
      <c r="P686" s="8"/>
      <c r="Q686" s="8"/>
      <c r="R686" s="3"/>
      <c r="S686" s="3"/>
      <c r="T686" s="3"/>
      <c r="U686" s="5" t="str">
        <f t="shared" si="40"/>
        <v/>
      </c>
    </row>
    <row r="687" spans="1:21" ht="28" customHeight="1" x14ac:dyDescent="0.35">
      <c r="A687" s="4">
        <v>12</v>
      </c>
      <c r="B687" s="4" t="s">
        <v>106</v>
      </c>
      <c r="C687" s="4" t="s">
        <v>107</v>
      </c>
      <c r="D687" s="4" t="s">
        <v>108</v>
      </c>
      <c r="E687" s="4" t="s">
        <v>109</v>
      </c>
      <c r="F687" s="4" t="s">
        <v>95</v>
      </c>
      <c r="G687" s="4" t="s">
        <v>96</v>
      </c>
      <c r="H687" s="4" t="s">
        <v>59</v>
      </c>
      <c r="I687" s="3"/>
      <c r="J687" s="3"/>
      <c r="K687" s="3"/>
      <c r="L687" s="3"/>
      <c r="M687" s="3"/>
      <c r="N687" s="3"/>
      <c r="O687" s="3"/>
      <c r="P687" s="8"/>
      <c r="Q687" s="8"/>
      <c r="R687" s="3"/>
      <c r="S687" s="3"/>
      <c r="T687" s="3"/>
      <c r="U687" s="5" t="str">
        <f t="shared" si="40"/>
        <v/>
      </c>
    </row>
    <row r="689" spans="1:21" ht="28" customHeight="1" x14ac:dyDescent="0.35">
      <c r="A689" s="9" t="s">
        <v>110</v>
      </c>
      <c r="B689" s="16"/>
      <c r="C689" s="17"/>
      <c r="D689" s="17"/>
      <c r="E689" s="17"/>
      <c r="F689" s="17"/>
      <c r="G689" s="17"/>
      <c r="H689" s="17"/>
      <c r="I689" s="17"/>
      <c r="J689" s="17"/>
      <c r="K689" s="17"/>
      <c r="L689" s="17"/>
      <c r="M689" s="17"/>
      <c r="N689" s="17"/>
      <c r="O689" s="17"/>
      <c r="P689" s="17"/>
      <c r="Q689" s="17"/>
      <c r="R689" s="17"/>
      <c r="S689" s="17"/>
      <c r="T689" s="17"/>
      <c r="U689" s="18"/>
    </row>
    <row r="690" spans="1:21" ht="28" customHeight="1" x14ac:dyDescent="0.35">
      <c r="A690" s="19" t="s">
        <v>422</v>
      </c>
      <c r="B690" s="20"/>
      <c r="C690" s="20"/>
      <c r="D690" s="20"/>
      <c r="E690" s="20"/>
      <c r="F690" s="20"/>
      <c r="G690" s="20"/>
      <c r="H690" s="20"/>
      <c r="I690" s="20"/>
      <c r="J690" s="20"/>
      <c r="K690" s="20"/>
      <c r="L690" s="20"/>
      <c r="M690" s="20"/>
      <c r="N690" s="20"/>
      <c r="O690" s="20"/>
      <c r="P690" s="20"/>
      <c r="Q690" s="20"/>
      <c r="R690" s="20"/>
      <c r="S690" s="20"/>
      <c r="T690" s="20"/>
      <c r="U690" s="21"/>
    </row>
    <row r="691" spans="1:21" ht="28" customHeight="1" x14ac:dyDescent="0.35">
      <c r="A691" s="4" t="s">
        <v>31</v>
      </c>
      <c r="B691" s="3" t="s">
        <v>254</v>
      </c>
      <c r="C691" s="4" t="s">
        <v>32</v>
      </c>
      <c r="D691" s="3"/>
      <c r="E691" s="4" t="s">
        <v>33</v>
      </c>
      <c r="F691" s="8"/>
    </row>
    <row r="692" spans="1:21" ht="28" customHeight="1" x14ac:dyDescent="0.35">
      <c r="A692" s="1" t="s">
        <v>34</v>
      </c>
      <c r="B692" s="1" t="s">
        <v>35</v>
      </c>
      <c r="C692" s="1" t="s">
        <v>36</v>
      </c>
      <c r="D692" s="1" t="s">
        <v>37</v>
      </c>
      <c r="E692" s="1" t="s">
        <v>38</v>
      </c>
      <c r="F692" s="1" t="s">
        <v>39</v>
      </c>
      <c r="G692" s="1" t="s">
        <v>40</v>
      </c>
      <c r="H692" s="1" t="s">
        <v>41</v>
      </c>
      <c r="I692" s="1" t="s">
        <v>42</v>
      </c>
      <c r="J692" s="1" t="s">
        <v>43</v>
      </c>
      <c r="K692" s="1" t="s">
        <v>44</v>
      </c>
      <c r="L692" s="1" t="s">
        <v>45</v>
      </c>
      <c r="M692" s="1" t="s">
        <v>46</v>
      </c>
      <c r="N692" s="1" t="s">
        <v>47</v>
      </c>
      <c r="O692" s="1" t="s">
        <v>48</v>
      </c>
      <c r="P692" s="1" t="s">
        <v>4</v>
      </c>
      <c r="Q692" s="1" t="s">
        <v>49</v>
      </c>
      <c r="R692" s="1" t="s">
        <v>50</v>
      </c>
      <c r="S692" s="1" t="s">
        <v>51</v>
      </c>
      <c r="T692" s="1" t="s">
        <v>52</v>
      </c>
      <c r="U692" s="1" t="s">
        <v>10</v>
      </c>
    </row>
    <row r="693" spans="1:21" ht="28" customHeight="1" x14ac:dyDescent="0.35">
      <c r="A693" s="4">
        <v>1</v>
      </c>
      <c r="B693" s="4" t="s">
        <v>97</v>
      </c>
      <c r="C693" s="4" t="s">
        <v>362</v>
      </c>
      <c r="D693" s="4" t="s">
        <v>363</v>
      </c>
      <c r="E693" s="4" t="s">
        <v>69</v>
      </c>
      <c r="F693" s="4" t="s">
        <v>364</v>
      </c>
      <c r="G693" s="4" t="s">
        <v>199</v>
      </c>
      <c r="H693" s="4" t="s">
        <v>76</v>
      </c>
      <c r="I693" s="3"/>
      <c r="J693" s="3"/>
      <c r="K693" s="3"/>
      <c r="L693" s="3"/>
      <c r="M693" s="3"/>
      <c r="N693" s="3"/>
      <c r="O693" s="3"/>
      <c r="P693" s="8"/>
      <c r="Q693" s="8"/>
      <c r="R693" s="3"/>
      <c r="S693" s="3"/>
      <c r="T693" s="3"/>
      <c r="U693" s="5" t="str">
        <f t="shared" ref="U693:U704" si="41">IF(I693="","",IF(I693="NA","Grey",IF(I693=2,"Green",IF(I693=1,"Amber","Red"))))</f>
        <v/>
      </c>
    </row>
    <row r="694" spans="1:21" ht="28" customHeight="1" x14ac:dyDescent="0.35">
      <c r="A694" s="4">
        <v>2</v>
      </c>
      <c r="B694" s="4" t="s">
        <v>365</v>
      </c>
      <c r="C694" s="4" t="s">
        <v>366</v>
      </c>
      <c r="D694" s="4" t="s">
        <v>367</v>
      </c>
      <c r="E694" s="4" t="s">
        <v>69</v>
      </c>
      <c r="F694" s="4" t="s">
        <v>276</v>
      </c>
      <c r="G694" s="4" t="s">
        <v>199</v>
      </c>
      <c r="H694" s="4" t="s">
        <v>76</v>
      </c>
      <c r="I694" s="3"/>
      <c r="J694" s="3"/>
      <c r="K694" s="3"/>
      <c r="L694" s="3"/>
      <c r="M694" s="3"/>
      <c r="N694" s="3"/>
      <c r="O694" s="3"/>
      <c r="P694" s="8"/>
      <c r="Q694" s="8"/>
      <c r="R694" s="3"/>
      <c r="S694" s="3"/>
      <c r="T694" s="3"/>
      <c r="U694" s="5" t="str">
        <f t="shared" si="41"/>
        <v/>
      </c>
    </row>
    <row r="695" spans="1:21" ht="28" customHeight="1" x14ac:dyDescent="0.35">
      <c r="A695" s="4">
        <v>3</v>
      </c>
      <c r="B695" s="4" t="s">
        <v>365</v>
      </c>
      <c r="C695" s="4" t="s">
        <v>368</v>
      </c>
      <c r="D695" s="4" t="s">
        <v>369</v>
      </c>
      <c r="E695" s="4" t="s">
        <v>69</v>
      </c>
      <c r="F695" s="4" t="s">
        <v>370</v>
      </c>
      <c r="G695" s="4" t="s">
        <v>204</v>
      </c>
      <c r="H695" s="4" t="s">
        <v>76</v>
      </c>
      <c r="I695" s="3"/>
      <c r="J695" s="3"/>
      <c r="K695" s="3"/>
      <c r="L695" s="3"/>
      <c r="M695" s="3"/>
      <c r="N695" s="3"/>
      <c r="O695" s="3"/>
      <c r="P695" s="8"/>
      <c r="Q695" s="8"/>
      <c r="R695" s="3"/>
      <c r="S695" s="3"/>
      <c r="T695" s="3"/>
      <c r="U695" s="5" t="str">
        <f t="shared" si="41"/>
        <v/>
      </c>
    </row>
    <row r="696" spans="1:21" ht="28" customHeight="1" x14ac:dyDescent="0.35">
      <c r="A696" s="4">
        <v>4</v>
      </c>
      <c r="B696" s="4" t="s">
        <v>371</v>
      </c>
      <c r="C696" s="4" t="s">
        <v>372</v>
      </c>
      <c r="D696" s="4" t="s">
        <v>373</v>
      </c>
      <c r="E696" s="4" t="s">
        <v>69</v>
      </c>
      <c r="F696" s="4" t="s">
        <v>295</v>
      </c>
      <c r="G696" s="4" t="s">
        <v>199</v>
      </c>
      <c r="H696" s="4" t="s">
        <v>59</v>
      </c>
      <c r="I696" s="3"/>
      <c r="J696" s="3"/>
      <c r="K696" s="3"/>
      <c r="L696" s="3"/>
      <c r="M696" s="3"/>
      <c r="N696" s="3"/>
      <c r="O696" s="3"/>
      <c r="P696" s="8"/>
      <c r="Q696" s="8"/>
      <c r="R696" s="3"/>
      <c r="S696" s="3"/>
      <c r="T696" s="3"/>
      <c r="U696" s="5" t="str">
        <f t="shared" si="41"/>
        <v/>
      </c>
    </row>
    <row r="697" spans="1:21" ht="28" customHeight="1" x14ac:dyDescent="0.35">
      <c r="A697" s="4">
        <v>5</v>
      </c>
      <c r="B697" s="4" t="s">
        <v>374</v>
      </c>
      <c r="C697" s="4" t="s">
        <v>375</v>
      </c>
      <c r="D697" s="4" t="s">
        <v>376</v>
      </c>
      <c r="E697" s="4" t="s">
        <v>69</v>
      </c>
      <c r="F697" s="4" t="s">
        <v>276</v>
      </c>
      <c r="G697" s="4" t="s">
        <v>199</v>
      </c>
      <c r="H697" s="4" t="s">
        <v>59</v>
      </c>
      <c r="I697" s="3"/>
      <c r="J697" s="3"/>
      <c r="K697" s="3"/>
      <c r="L697" s="3"/>
      <c r="M697" s="3"/>
      <c r="N697" s="3"/>
      <c r="O697" s="3"/>
      <c r="P697" s="8"/>
      <c r="Q697" s="8"/>
      <c r="R697" s="3"/>
      <c r="S697" s="3"/>
      <c r="T697" s="3"/>
      <c r="U697" s="5" t="str">
        <f t="shared" si="41"/>
        <v/>
      </c>
    </row>
    <row r="698" spans="1:21" ht="28" customHeight="1" x14ac:dyDescent="0.35">
      <c r="A698" s="4">
        <v>6</v>
      </c>
      <c r="B698" s="4" t="s">
        <v>377</v>
      </c>
      <c r="C698" s="4" t="s">
        <v>378</v>
      </c>
      <c r="D698" s="4" t="s">
        <v>379</v>
      </c>
      <c r="E698" s="4" t="s">
        <v>69</v>
      </c>
      <c r="F698" s="4" t="s">
        <v>276</v>
      </c>
      <c r="G698" s="4" t="s">
        <v>199</v>
      </c>
      <c r="H698" s="4" t="s">
        <v>59</v>
      </c>
      <c r="I698" s="3"/>
      <c r="J698" s="3"/>
      <c r="K698" s="3"/>
      <c r="L698" s="3"/>
      <c r="M698" s="3"/>
      <c r="N698" s="3"/>
      <c r="O698" s="3"/>
      <c r="P698" s="8"/>
      <c r="Q698" s="8"/>
      <c r="R698" s="3"/>
      <c r="S698" s="3"/>
      <c r="T698" s="3"/>
      <c r="U698" s="5" t="str">
        <f t="shared" si="41"/>
        <v/>
      </c>
    </row>
    <row r="699" spans="1:21" ht="28" customHeight="1" x14ac:dyDescent="0.35">
      <c r="A699" s="4">
        <v>7</v>
      </c>
      <c r="B699" s="4" t="s">
        <v>380</v>
      </c>
      <c r="C699" s="4" t="s">
        <v>381</v>
      </c>
      <c r="D699" s="4" t="s">
        <v>382</v>
      </c>
      <c r="E699" s="4" t="s">
        <v>69</v>
      </c>
      <c r="F699" s="4" t="s">
        <v>276</v>
      </c>
      <c r="G699" s="4" t="s">
        <v>199</v>
      </c>
      <c r="H699" s="4" t="s">
        <v>59</v>
      </c>
      <c r="I699" s="3"/>
      <c r="J699" s="3"/>
      <c r="K699" s="3"/>
      <c r="L699" s="3"/>
      <c r="M699" s="3"/>
      <c r="N699" s="3"/>
      <c r="O699" s="3"/>
      <c r="P699" s="8"/>
      <c r="Q699" s="8"/>
      <c r="R699" s="3"/>
      <c r="S699" s="3"/>
      <c r="T699" s="3"/>
      <c r="U699" s="5" t="str">
        <f t="shared" si="41"/>
        <v/>
      </c>
    </row>
    <row r="700" spans="1:21" ht="28" customHeight="1" x14ac:dyDescent="0.35">
      <c r="A700" s="4">
        <v>8</v>
      </c>
      <c r="B700" s="4" t="s">
        <v>383</v>
      </c>
      <c r="C700" s="4" t="s">
        <v>384</v>
      </c>
      <c r="D700" s="4" t="s">
        <v>385</v>
      </c>
      <c r="E700" s="4" t="s">
        <v>69</v>
      </c>
      <c r="F700" s="4" t="s">
        <v>95</v>
      </c>
      <c r="G700" s="4" t="s">
        <v>96</v>
      </c>
      <c r="H700" s="4" t="s">
        <v>59</v>
      </c>
      <c r="I700" s="3"/>
      <c r="J700" s="3"/>
      <c r="K700" s="3"/>
      <c r="L700" s="3"/>
      <c r="M700" s="3"/>
      <c r="N700" s="3"/>
      <c r="O700" s="3"/>
      <c r="P700" s="8"/>
      <c r="Q700" s="8"/>
      <c r="R700" s="3"/>
      <c r="S700" s="3"/>
      <c r="T700" s="3"/>
      <c r="U700" s="5" t="str">
        <f t="shared" si="41"/>
        <v/>
      </c>
    </row>
    <row r="701" spans="1:21" ht="28" customHeight="1" x14ac:dyDescent="0.35">
      <c r="A701" s="4">
        <v>9</v>
      </c>
      <c r="B701" s="4" t="s">
        <v>97</v>
      </c>
      <c r="C701" s="4" t="s">
        <v>98</v>
      </c>
      <c r="D701" s="4" t="s">
        <v>99</v>
      </c>
      <c r="E701" s="4" t="s">
        <v>69</v>
      </c>
      <c r="F701" s="4" t="s">
        <v>95</v>
      </c>
      <c r="G701" s="4" t="s">
        <v>96</v>
      </c>
      <c r="H701" s="4" t="s">
        <v>59</v>
      </c>
      <c r="I701" s="3"/>
      <c r="J701" s="3"/>
      <c r="K701" s="3"/>
      <c r="L701" s="3"/>
      <c r="M701" s="3"/>
      <c r="N701" s="3"/>
      <c r="O701" s="3"/>
      <c r="P701" s="8"/>
      <c r="Q701" s="8"/>
      <c r="R701" s="3"/>
      <c r="S701" s="3"/>
      <c r="T701" s="3"/>
      <c r="U701" s="5" t="str">
        <f t="shared" si="41"/>
        <v/>
      </c>
    </row>
    <row r="702" spans="1:21" ht="28" customHeight="1" x14ac:dyDescent="0.35">
      <c r="A702" s="4">
        <v>10</v>
      </c>
      <c r="B702" s="4" t="s">
        <v>97</v>
      </c>
      <c r="C702" s="4" t="s">
        <v>100</v>
      </c>
      <c r="D702" s="4" t="s">
        <v>101</v>
      </c>
      <c r="E702" s="4" t="s">
        <v>69</v>
      </c>
      <c r="F702" s="4" t="s">
        <v>95</v>
      </c>
      <c r="G702" s="4" t="s">
        <v>102</v>
      </c>
      <c r="H702" s="4" t="s">
        <v>59</v>
      </c>
      <c r="I702" s="3"/>
      <c r="J702" s="3"/>
      <c r="K702" s="3"/>
      <c r="L702" s="3"/>
      <c r="M702" s="3"/>
      <c r="N702" s="3"/>
      <c r="O702" s="3"/>
      <c r="P702" s="8"/>
      <c r="Q702" s="8"/>
      <c r="R702" s="3"/>
      <c r="S702" s="3"/>
      <c r="T702" s="3"/>
      <c r="U702" s="5" t="str">
        <f t="shared" si="41"/>
        <v/>
      </c>
    </row>
    <row r="703" spans="1:21" ht="28" customHeight="1" x14ac:dyDescent="0.35">
      <c r="A703" s="4">
        <v>11</v>
      </c>
      <c r="B703" s="4" t="s">
        <v>103</v>
      </c>
      <c r="C703" s="4" t="s">
        <v>104</v>
      </c>
      <c r="D703" s="4" t="s">
        <v>105</v>
      </c>
      <c r="E703" s="4" t="s">
        <v>69</v>
      </c>
      <c r="F703" s="4" t="s">
        <v>95</v>
      </c>
      <c r="G703" s="4" t="s">
        <v>96</v>
      </c>
      <c r="H703" s="4" t="s">
        <v>85</v>
      </c>
      <c r="I703" s="3"/>
      <c r="J703" s="3"/>
      <c r="K703" s="3"/>
      <c r="L703" s="3"/>
      <c r="M703" s="3"/>
      <c r="N703" s="3"/>
      <c r="O703" s="3"/>
      <c r="P703" s="8"/>
      <c r="Q703" s="8"/>
      <c r="R703" s="3"/>
      <c r="S703" s="3"/>
      <c r="T703" s="3"/>
      <c r="U703" s="5" t="str">
        <f t="shared" si="41"/>
        <v/>
      </c>
    </row>
    <row r="704" spans="1:21" ht="28" customHeight="1" x14ac:dyDescent="0.35">
      <c r="A704" s="4">
        <v>12</v>
      </c>
      <c r="B704" s="4" t="s">
        <v>106</v>
      </c>
      <c r="C704" s="4" t="s">
        <v>107</v>
      </c>
      <c r="D704" s="4" t="s">
        <v>108</v>
      </c>
      <c r="E704" s="4" t="s">
        <v>109</v>
      </c>
      <c r="F704" s="4" t="s">
        <v>95</v>
      </c>
      <c r="G704" s="4" t="s">
        <v>96</v>
      </c>
      <c r="H704" s="4" t="s">
        <v>59</v>
      </c>
      <c r="I704" s="3"/>
      <c r="J704" s="3"/>
      <c r="K704" s="3"/>
      <c r="L704" s="3"/>
      <c r="M704" s="3"/>
      <c r="N704" s="3"/>
      <c r="O704" s="3"/>
      <c r="P704" s="8"/>
      <c r="Q704" s="8"/>
      <c r="R704" s="3"/>
      <c r="S704" s="3"/>
      <c r="T704" s="3"/>
      <c r="U704" s="5" t="str">
        <f t="shared" si="41"/>
        <v/>
      </c>
    </row>
    <row r="706" spans="1:21" ht="28" customHeight="1" x14ac:dyDescent="0.35">
      <c r="A706" s="9" t="s">
        <v>110</v>
      </c>
      <c r="B706" s="16"/>
      <c r="C706" s="17"/>
      <c r="D706" s="17"/>
      <c r="E706" s="17"/>
      <c r="F706" s="17"/>
      <c r="G706" s="17"/>
      <c r="H706" s="17"/>
      <c r="I706" s="17"/>
      <c r="J706" s="17"/>
      <c r="K706" s="17"/>
      <c r="L706" s="17"/>
      <c r="M706" s="17"/>
      <c r="N706" s="17"/>
      <c r="O706" s="17"/>
      <c r="P706" s="17"/>
      <c r="Q706" s="17"/>
      <c r="R706" s="17"/>
      <c r="S706" s="17"/>
      <c r="T706" s="17"/>
      <c r="U706" s="18"/>
    </row>
    <row r="707" spans="1:21" ht="28" customHeight="1" x14ac:dyDescent="0.35">
      <c r="A707" s="19" t="s">
        <v>423</v>
      </c>
      <c r="B707" s="20"/>
      <c r="C707" s="20"/>
      <c r="D707" s="20"/>
      <c r="E707" s="20"/>
      <c r="F707" s="20"/>
      <c r="G707" s="20"/>
      <c r="H707" s="20"/>
      <c r="I707" s="20"/>
      <c r="J707" s="20"/>
      <c r="K707" s="20"/>
      <c r="L707" s="20"/>
      <c r="M707" s="20"/>
      <c r="N707" s="20"/>
      <c r="O707" s="20"/>
      <c r="P707" s="20"/>
      <c r="Q707" s="20"/>
      <c r="R707" s="20"/>
      <c r="S707" s="20"/>
      <c r="T707" s="20"/>
      <c r="U707" s="21"/>
    </row>
    <row r="708" spans="1:21" ht="28" customHeight="1" x14ac:dyDescent="0.35">
      <c r="A708" s="4" t="s">
        <v>31</v>
      </c>
      <c r="B708" s="3" t="s">
        <v>255</v>
      </c>
      <c r="C708" s="4" t="s">
        <v>32</v>
      </c>
      <c r="D708" s="3"/>
      <c r="E708" s="4" t="s">
        <v>33</v>
      </c>
      <c r="F708" s="8"/>
    </row>
    <row r="709" spans="1:21" ht="28" customHeight="1" x14ac:dyDescent="0.35">
      <c r="A709" s="1" t="s">
        <v>34</v>
      </c>
      <c r="B709" s="1" t="s">
        <v>35</v>
      </c>
      <c r="C709" s="1" t="s">
        <v>36</v>
      </c>
      <c r="D709" s="1" t="s">
        <v>37</v>
      </c>
      <c r="E709" s="1" t="s">
        <v>38</v>
      </c>
      <c r="F709" s="1" t="s">
        <v>39</v>
      </c>
      <c r="G709" s="1" t="s">
        <v>40</v>
      </c>
      <c r="H709" s="1" t="s">
        <v>41</v>
      </c>
      <c r="I709" s="1" t="s">
        <v>42</v>
      </c>
      <c r="J709" s="1" t="s">
        <v>43</v>
      </c>
      <c r="K709" s="1" t="s">
        <v>44</v>
      </c>
      <c r="L709" s="1" t="s">
        <v>45</v>
      </c>
      <c r="M709" s="1" t="s">
        <v>46</v>
      </c>
      <c r="N709" s="1" t="s">
        <v>47</v>
      </c>
      <c r="O709" s="1" t="s">
        <v>48</v>
      </c>
      <c r="P709" s="1" t="s">
        <v>4</v>
      </c>
      <c r="Q709" s="1" t="s">
        <v>49</v>
      </c>
      <c r="R709" s="1" t="s">
        <v>50</v>
      </c>
      <c r="S709" s="1" t="s">
        <v>51</v>
      </c>
      <c r="T709" s="1" t="s">
        <v>52</v>
      </c>
      <c r="U709" s="1" t="s">
        <v>10</v>
      </c>
    </row>
    <row r="710" spans="1:21" ht="28" customHeight="1" x14ac:dyDescent="0.35">
      <c r="A710" s="4">
        <v>1</v>
      </c>
      <c r="B710" s="4" t="s">
        <v>97</v>
      </c>
      <c r="C710" s="4" t="s">
        <v>362</v>
      </c>
      <c r="D710" s="4" t="s">
        <v>363</v>
      </c>
      <c r="E710" s="4" t="s">
        <v>69</v>
      </c>
      <c r="F710" s="4" t="s">
        <v>364</v>
      </c>
      <c r="G710" s="4" t="s">
        <v>199</v>
      </c>
      <c r="H710" s="4" t="s">
        <v>76</v>
      </c>
      <c r="I710" s="3"/>
      <c r="J710" s="3"/>
      <c r="K710" s="3"/>
      <c r="L710" s="3"/>
      <c r="M710" s="3"/>
      <c r="N710" s="3"/>
      <c r="O710" s="3"/>
      <c r="P710" s="8"/>
      <c r="Q710" s="8"/>
      <c r="R710" s="3"/>
      <c r="S710" s="3"/>
      <c r="T710" s="3"/>
      <c r="U710" s="5" t="str">
        <f t="shared" ref="U710:U721" si="42">IF(I710="","",IF(I710="NA","Grey",IF(I710=2,"Green",IF(I710=1,"Amber","Red"))))</f>
        <v/>
      </c>
    </row>
    <row r="711" spans="1:21" ht="28" customHeight="1" x14ac:dyDescent="0.35">
      <c r="A711" s="4">
        <v>2</v>
      </c>
      <c r="B711" s="4" t="s">
        <v>365</v>
      </c>
      <c r="C711" s="4" t="s">
        <v>366</v>
      </c>
      <c r="D711" s="4" t="s">
        <v>367</v>
      </c>
      <c r="E711" s="4" t="s">
        <v>69</v>
      </c>
      <c r="F711" s="4" t="s">
        <v>276</v>
      </c>
      <c r="G711" s="4" t="s">
        <v>199</v>
      </c>
      <c r="H711" s="4" t="s">
        <v>76</v>
      </c>
      <c r="I711" s="3"/>
      <c r="J711" s="3"/>
      <c r="K711" s="3"/>
      <c r="L711" s="3"/>
      <c r="M711" s="3"/>
      <c r="N711" s="3"/>
      <c r="O711" s="3"/>
      <c r="P711" s="8"/>
      <c r="Q711" s="8"/>
      <c r="R711" s="3"/>
      <c r="S711" s="3"/>
      <c r="T711" s="3"/>
      <c r="U711" s="5" t="str">
        <f t="shared" si="42"/>
        <v/>
      </c>
    </row>
    <row r="712" spans="1:21" ht="28" customHeight="1" x14ac:dyDescent="0.35">
      <c r="A712" s="4">
        <v>3</v>
      </c>
      <c r="B712" s="4" t="s">
        <v>365</v>
      </c>
      <c r="C712" s="4" t="s">
        <v>368</v>
      </c>
      <c r="D712" s="4" t="s">
        <v>369</v>
      </c>
      <c r="E712" s="4" t="s">
        <v>69</v>
      </c>
      <c r="F712" s="4" t="s">
        <v>370</v>
      </c>
      <c r="G712" s="4" t="s">
        <v>204</v>
      </c>
      <c r="H712" s="4" t="s">
        <v>76</v>
      </c>
      <c r="I712" s="3"/>
      <c r="J712" s="3"/>
      <c r="K712" s="3"/>
      <c r="L712" s="3"/>
      <c r="M712" s="3"/>
      <c r="N712" s="3"/>
      <c r="O712" s="3"/>
      <c r="P712" s="8"/>
      <c r="Q712" s="8"/>
      <c r="R712" s="3"/>
      <c r="S712" s="3"/>
      <c r="T712" s="3"/>
      <c r="U712" s="5" t="str">
        <f t="shared" si="42"/>
        <v/>
      </c>
    </row>
    <row r="713" spans="1:21" ht="28" customHeight="1" x14ac:dyDescent="0.35">
      <c r="A713" s="4">
        <v>4</v>
      </c>
      <c r="B713" s="4" t="s">
        <v>371</v>
      </c>
      <c r="C713" s="4" t="s">
        <v>372</v>
      </c>
      <c r="D713" s="4" t="s">
        <v>373</v>
      </c>
      <c r="E713" s="4" t="s">
        <v>69</v>
      </c>
      <c r="F713" s="4" t="s">
        <v>295</v>
      </c>
      <c r="G713" s="4" t="s">
        <v>199</v>
      </c>
      <c r="H713" s="4" t="s">
        <v>59</v>
      </c>
      <c r="I713" s="3"/>
      <c r="J713" s="3"/>
      <c r="K713" s="3"/>
      <c r="L713" s="3"/>
      <c r="M713" s="3"/>
      <c r="N713" s="3"/>
      <c r="O713" s="3"/>
      <c r="P713" s="8"/>
      <c r="Q713" s="8"/>
      <c r="R713" s="3"/>
      <c r="S713" s="3"/>
      <c r="T713" s="3"/>
      <c r="U713" s="5" t="str">
        <f t="shared" si="42"/>
        <v/>
      </c>
    </row>
    <row r="714" spans="1:21" ht="28" customHeight="1" x14ac:dyDescent="0.35">
      <c r="A714" s="4">
        <v>5</v>
      </c>
      <c r="B714" s="4" t="s">
        <v>374</v>
      </c>
      <c r="C714" s="4" t="s">
        <v>375</v>
      </c>
      <c r="D714" s="4" t="s">
        <v>376</v>
      </c>
      <c r="E714" s="4" t="s">
        <v>69</v>
      </c>
      <c r="F714" s="4" t="s">
        <v>276</v>
      </c>
      <c r="G714" s="4" t="s">
        <v>199</v>
      </c>
      <c r="H714" s="4" t="s">
        <v>59</v>
      </c>
      <c r="I714" s="3"/>
      <c r="J714" s="3"/>
      <c r="K714" s="3"/>
      <c r="L714" s="3"/>
      <c r="M714" s="3"/>
      <c r="N714" s="3"/>
      <c r="O714" s="3"/>
      <c r="P714" s="8"/>
      <c r="Q714" s="8"/>
      <c r="R714" s="3"/>
      <c r="S714" s="3"/>
      <c r="T714" s="3"/>
      <c r="U714" s="5" t="str">
        <f t="shared" si="42"/>
        <v/>
      </c>
    </row>
    <row r="715" spans="1:21" ht="28" customHeight="1" x14ac:dyDescent="0.35">
      <c r="A715" s="4">
        <v>6</v>
      </c>
      <c r="B715" s="4" t="s">
        <v>377</v>
      </c>
      <c r="C715" s="4" t="s">
        <v>378</v>
      </c>
      <c r="D715" s="4" t="s">
        <v>379</v>
      </c>
      <c r="E715" s="4" t="s">
        <v>69</v>
      </c>
      <c r="F715" s="4" t="s">
        <v>276</v>
      </c>
      <c r="G715" s="4" t="s">
        <v>199</v>
      </c>
      <c r="H715" s="4" t="s">
        <v>59</v>
      </c>
      <c r="I715" s="3"/>
      <c r="J715" s="3"/>
      <c r="K715" s="3"/>
      <c r="L715" s="3"/>
      <c r="M715" s="3"/>
      <c r="N715" s="3"/>
      <c r="O715" s="3"/>
      <c r="P715" s="8"/>
      <c r="Q715" s="8"/>
      <c r="R715" s="3"/>
      <c r="S715" s="3"/>
      <c r="T715" s="3"/>
      <c r="U715" s="5" t="str">
        <f t="shared" si="42"/>
        <v/>
      </c>
    </row>
    <row r="716" spans="1:21" ht="28" customHeight="1" x14ac:dyDescent="0.35">
      <c r="A716" s="4">
        <v>7</v>
      </c>
      <c r="B716" s="4" t="s">
        <v>380</v>
      </c>
      <c r="C716" s="4" t="s">
        <v>381</v>
      </c>
      <c r="D716" s="4" t="s">
        <v>382</v>
      </c>
      <c r="E716" s="4" t="s">
        <v>69</v>
      </c>
      <c r="F716" s="4" t="s">
        <v>276</v>
      </c>
      <c r="G716" s="4" t="s">
        <v>199</v>
      </c>
      <c r="H716" s="4" t="s">
        <v>59</v>
      </c>
      <c r="I716" s="3"/>
      <c r="J716" s="3"/>
      <c r="K716" s="3"/>
      <c r="L716" s="3"/>
      <c r="M716" s="3"/>
      <c r="N716" s="3"/>
      <c r="O716" s="3"/>
      <c r="P716" s="8"/>
      <c r="Q716" s="8"/>
      <c r="R716" s="3"/>
      <c r="S716" s="3"/>
      <c r="T716" s="3"/>
      <c r="U716" s="5" t="str">
        <f t="shared" si="42"/>
        <v/>
      </c>
    </row>
    <row r="717" spans="1:21" ht="28" customHeight="1" x14ac:dyDescent="0.35">
      <c r="A717" s="4">
        <v>8</v>
      </c>
      <c r="B717" s="4" t="s">
        <v>383</v>
      </c>
      <c r="C717" s="4" t="s">
        <v>384</v>
      </c>
      <c r="D717" s="4" t="s">
        <v>385</v>
      </c>
      <c r="E717" s="4" t="s">
        <v>69</v>
      </c>
      <c r="F717" s="4" t="s">
        <v>95</v>
      </c>
      <c r="G717" s="4" t="s">
        <v>96</v>
      </c>
      <c r="H717" s="4" t="s">
        <v>59</v>
      </c>
      <c r="I717" s="3"/>
      <c r="J717" s="3"/>
      <c r="K717" s="3"/>
      <c r="L717" s="3"/>
      <c r="M717" s="3"/>
      <c r="N717" s="3"/>
      <c r="O717" s="3"/>
      <c r="P717" s="8"/>
      <c r="Q717" s="8"/>
      <c r="R717" s="3"/>
      <c r="S717" s="3"/>
      <c r="T717" s="3"/>
      <c r="U717" s="5" t="str">
        <f t="shared" si="42"/>
        <v/>
      </c>
    </row>
    <row r="718" spans="1:21" ht="28" customHeight="1" x14ac:dyDescent="0.35">
      <c r="A718" s="4">
        <v>9</v>
      </c>
      <c r="B718" s="4" t="s">
        <v>97</v>
      </c>
      <c r="C718" s="4" t="s">
        <v>98</v>
      </c>
      <c r="D718" s="4" t="s">
        <v>99</v>
      </c>
      <c r="E718" s="4" t="s">
        <v>69</v>
      </c>
      <c r="F718" s="4" t="s">
        <v>95</v>
      </c>
      <c r="G718" s="4" t="s">
        <v>96</v>
      </c>
      <c r="H718" s="4" t="s">
        <v>59</v>
      </c>
      <c r="I718" s="3"/>
      <c r="J718" s="3"/>
      <c r="K718" s="3"/>
      <c r="L718" s="3"/>
      <c r="M718" s="3"/>
      <c r="N718" s="3"/>
      <c r="O718" s="3"/>
      <c r="P718" s="8"/>
      <c r="Q718" s="8"/>
      <c r="R718" s="3"/>
      <c r="S718" s="3"/>
      <c r="T718" s="3"/>
      <c r="U718" s="5" t="str">
        <f t="shared" si="42"/>
        <v/>
      </c>
    </row>
    <row r="719" spans="1:21" ht="28" customHeight="1" x14ac:dyDescent="0.35">
      <c r="A719" s="4">
        <v>10</v>
      </c>
      <c r="B719" s="4" t="s">
        <v>97</v>
      </c>
      <c r="C719" s="4" t="s">
        <v>100</v>
      </c>
      <c r="D719" s="4" t="s">
        <v>101</v>
      </c>
      <c r="E719" s="4" t="s">
        <v>69</v>
      </c>
      <c r="F719" s="4" t="s">
        <v>95</v>
      </c>
      <c r="G719" s="4" t="s">
        <v>102</v>
      </c>
      <c r="H719" s="4" t="s">
        <v>59</v>
      </c>
      <c r="I719" s="3"/>
      <c r="J719" s="3"/>
      <c r="K719" s="3"/>
      <c r="L719" s="3"/>
      <c r="M719" s="3"/>
      <c r="N719" s="3"/>
      <c r="O719" s="3"/>
      <c r="P719" s="8"/>
      <c r="Q719" s="8"/>
      <c r="R719" s="3"/>
      <c r="S719" s="3"/>
      <c r="T719" s="3"/>
      <c r="U719" s="5" t="str">
        <f t="shared" si="42"/>
        <v/>
      </c>
    </row>
    <row r="720" spans="1:21" ht="28" customHeight="1" x14ac:dyDescent="0.35">
      <c r="A720" s="4">
        <v>11</v>
      </c>
      <c r="B720" s="4" t="s">
        <v>103</v>
      </c>
      <c r="C720" s="4" t="s">
        <v>104</v>
      </c>
      <c r="D720" s="4" t="s">
        <v>105</v>
      </c>
      <c r="E720" s="4" t="s">
        <v>69</v>
      </c>
      <c r="F720" s="4" t="s">
        <v>95</v>
      </c>
      <c r="G720" s="4" t="s">
        <v>96</v>
      </c>
      <c r="H720" s="4" t="s">
        <v>85</v>
      </c>
      <c r="I720" s="3"/>
      <c r="J720" s="3"/>
      <c r="K720" s="3"/>
      <c r="L720" s="3"/>
      <c r="M720" s="3"/>
      <c r="N720" s="3"/>
      <c r="O720" s="3"/>
      <c r="P720" s="8"/>
      <c r="Q720" s="8"/>
      <c r="R720" s="3"/>
      <c r="S720" s="3"/>
      <c r="T720" s="3"/>
      <c r="U720" s="5" t="str">
        <f t="shared" si="42"/>
        <v/>
      </c>
    </row>
    <row r="721" spans="1:21" ht="28" customHeight="1" x14ac:dyDescent="0.35">
      <c r="A721" s="4">
        <v>12</v>
      </c>
      <c r="B721" s="4" t="s">
        <v>106</v>
      </c>
      <c r="C721" s="4" t="s">
        <v>107</v>
      </c>
      <c r="D721" s="4" t="s">
        <v>108</v>
      </c>
      <c r="E721" s="4" t="s">
        <v>109</v>
      </c>
      <c r="F721" s="4" t="s">
        <v>95</v>
      </c>
      <c r="G721" s="4" t="s">
        <v>96</v>
      </c>
      <c r="H721" s="4" t="s">
        <v>59</v>
      </c>
      <c r="I721" s="3"/>
      <c r="J721" s="3"/>
      <c r="K721" s="3"/>
      <c r="L721" s="3"/>
      <c r="M721" s="3"/>
      <c r="N721" s="3"/>
      <c r="O721" s="3"/>
      <c r="P721" s="8"/>
      <c r="Q721" s="8"/>
      <c r="R721" s="3"/>
      <c r="S721" s="3"/>
      <c r="T721" s="3"/>
      <c r="U721" s="5" t="str">
        <f t="shared" si="42"/>
        <v/>
      </c>
    </row>
    <row r="723" spans="1:21" ht="28" customHeight="1" x14ac:dyDescent="0.35">
      <c r="A723" s="9" t="s">
        <v>110</v>
      </c>
      <c r="B723" s="16"/>
      <c r="C723" s="17"/>
      <c r="D723" s="17"/>
      <c r="E723" s="17"/>
      <c r="F723" s="17"/>
      <c r="G723" s="17"/>
      <c r="H723" s="17"/>
      <c r="I723" s="17"/>
      <c r="J723" s="17"/>
      <c r="K723" s="17"/>
      <c r="L723" s="17"/>
      <c r="M723" s="17"/>
      <c r="N723" s="17"/>
      <c r="O723" s="17"/>
      <c r="P723" s="17"/>
      <c r="Q723" s="17"/>
      <c r="R723" s="17"/>
      <c r="S723" s="17"/>
      <c r="T723" s="17"/>
      <c r="U723" s="18"/>
    </row>
    <row r="724" spans="1:21" ht="28" customHeight="1" x14ac:dyDescent="0.35">
      <c r="A724" s="19" t="s">
        <v>424</v>
      </c>
      <c r="B724" s="20"/>
      <c r="C724" s="20"/>
      <c r="D724" s="20"/>
      <c r="E724" s="20"/>
      <c r="F724" s="20"/>
      <c r="G724" s="20"/>
      <c r="H724" s="20"/>
      <c r="I724" s="20"/>
      <c r="J724" s="20"/>
      <c r="K724" s="20"/>
      <c r="L724" s="20"/>
      <c r="M724" s="20"/>
      <c r="N724" s="20"/>
      <c r="O724" s="20"/>
      <c r="P724" s="20"/>
      <c r="Q724" s="20"/>
      <c r="R724" s="20"/>
      <c r="S724" s="20"/>
      <c r="T724" s="20"/>
      <c r="U724" s="21"/>
    </row>
    <row r="725" spans="1:21" ht="28" customHeight="1" x14ac:dyDescent="0.35">
      <c r="A725" s="4" t="s">
        <v>31</v>
      </c>
      <c r="B725" s="3" t="s">
        <v>256</v>
      </c>
      <c r="C725" s="4" t="s">
        <v>32</v>
      </c>
      <c r="D725" s="3"/>
      <c r="E725" s="4" t="s">
        <v>33</v>
      </c>
      <c r="F725" s="8"/>
    </row>
    <row r="726" spans="1:21" ht="28" customHeight="1" x14ac:dyDescent="0.35">
      <c r="A726" s="1" t="s">
        <v>34</v>
      </c>
      <c r="B726" s="1" t="s">
        <v>35</v>
      </c>
      <c r="C726" s="1" t="s">
        <v>36</v>
      </c>
      <c r="D726" s="1" t="s">
        <v>37</v>
      </c>
      <c r="E726" s="1" t="s">
        <v>38</v>
      </c>
      <c r="F726" s="1" t="s">
        <v>39</v>
      </c>
      <c r="G726" s="1" t="s">
        <v>40</v>
      </c>
      <c r="H726" s="1" t="s">
        <v>41</v>
      </c>
      <c r="I726" s="1" t="s">
        <v>42</v>
      </c>
      <c r="J726" s="1" t="s">
        <v>43</v>
      </c>
      <c r="K726" s="1" t="s">
        <v>44</v>
      </c>
      <c r="L726" s="1" t="s">
        <v>45</v>
      </c>
      <c r="M726" s="1" t="s">
        <v>46</v>
      </c>
      <c r="N726" s="1" t="s">
        <v>47</v>
      </c>
      <c r="O726" s="1" t="s">
        <v>48</v>
      </c>
      <c r="P726" s="1" t="s">
        <v>4</v>
      </c>
      <c r="Q726" s="1" t="s">
        <v>49</v>
      </c>
      <c r="R726" s="1" t="s">
        <v>50</v>
      </c>
      <c r="S726" s="1" t="s">
        <v>51</v>
      </c>
      <c r="T726" s="1" t="s">
        <v>52</v>
      </c>
      <c r="U726" s="1" t="s">
        <v>10</v>
      </c>
    </row>
    <row r="727" spans="1:21" ht="28" customHeight="1" x14ac:dyDescent="0.35">
      <c r="A727" s="4">
        <v>1</v>
      </c>
      <c r="B727" s="4" t="s">
        <v>97</v>
      </c>
      <c r="C727" s="4" t="s">
        <v>362</v>
      </c>
      <c r="D727" s="4" t="s">
        <v>363</v>
      </c>
      <c r="E727" s="4" t="s">
        <v>69</v>
      </c>
      <c r="F727" s="4" t="s">
        <v>364</v>
      </c>
      <c r="G727" s="4" t="s">
        <v>199</v>
      </c>
      <c r="H727" s="4" t="s">
        <v>76</v>
      </c>
      <c r="I727" s="3"/>
      <c r="J727" s="3"/>
      <c r="K727" s="3"/>
      <c r="L727" s="3"/>
      <c r="M727" s="3"/>
      <c r="N727" s="3"/>
      <c r="O727" s="3"/>
      <c r="P727" s="8"/>
      <c r="Q727" s="8"/>
      <c r="R727" s="3"/>
      <c r="S727" s="3"/>
      <c r="T727" s="3"/>
      <c r="U727" s="5" t="str">
        <f t="shared" ref="U727:U738" si="43">IF(I727="","",IF(I727="NA","Grey",IF(I727=2,"Green",IF(I727=1,"Amber","Red"))))</f>
        <v/>
      </c>
    </row>
    <row r="728" spans="1:21" ht="28" customHeight="1" x14ac:dyDescent="0.35">
      <c r="A728" s="4">
        <v>2</v>
      </c>
      <c r="B728" s="4" t="s">
        <v>365</v>
      </c>
      <c r="C728" s="4" t="s">
        <v>366</v>
      </c>
      <c r="D728" s="4" t="s">
        <v>367</v>
      </c>
      <c r="E728" s="4" t="s">
        <v>69</v>
      </c>
      <c r="F728" s="4" t="s">
        <v>276</v>
      </c>
      <c r="G728" s="4" t="s">
        <v>199</v>
      </c>
      <c r="H728" s="4" t="s">
        <v>76</v>
      </c>
      <c r="I728" s="3"/>
      <c r="J728" s="3"/>
      <c r="K728" s="3"/>
      <c r="L728" s="3"/>
      <c r="M728" s="3"/>
      <c r="N728" s="3"/>
      <c r="O728" s="3"/>
      <c r="P728" s="8"/>
      <c r="Q728" s="8"/>
      <c r="R728" s="3"/>
      <c r="S728" s="3"/>
      <c r="T728" s="3"/>
      <c r="U728" s="5" t="str">
        <f t="shared" si="43"/>
        <v/>
      </c>
    </row>
    <row r="729" spans="1:21" ht="28" customHeight="1" x14ac:dyDescent="0.35">
      <c r="A729" s="4">
        <v>3</v>
      </c>
      <c r="B729" s="4" t="s">
        <v>365</v>
      </c>
      <c r="C729" s="4" t="s">
        <v>368</v>
      </c>
      <c r="D729" s="4" t="s">
        <v>369</v>
      </c>
      <c r="E729" s="4" t="s">
        <v>69</v>
      </c>
      <c r="F729" s="4" t="s">
        <v>370</v>
      </c>
      <c r="G729" s="4" t="s">
        <v>204</v>
      </c>
      <c r="H729" s="4" t="s">
        <v>76</v>
      </c>
      <c r="I729" s="3"/>
      <c r="J729" s="3"/>
      <c r="K729" s="3"/>
      <c r="L729" s="3"/>
      <c r="M729" s="3"/>
      <c r="N729" s="3"/>
      <c r="O729" s="3"/>
      <c r="P729" s="8"/>
      <c r="Q729" s="8"/>
      <c r="R729" s="3"/>
      <c r="S729" s="3"/>
      <c r="T729" s="3"/>
      <c r="U729" s="5" t="str">
        <f t="shared" si="43"/>
        <v/>
      </c>
    </row>
    <row r="730" spans="1:21" ht="28" customHeight="1" x14ac:dyDescent="0.35">
      <c r="A730" s="4">
        <v>4</v>
      </c>
      <c r="B730" s="4" t="s">
        <v>371</v>
      </c>
      <c r="C730" s="4" t="s">
        <v>372</v>
      </c>
      <c r="D730" s="4" t="s">
        <v>373</v>
      </c>
      <c r="E730" s="4" t="s">
        <v>69</v>
      </c>
      <c r="F730" s="4" t="s">
        <v>295</v>
      </c>
      <c r="G730" s="4" t="s">
        <v>199</v>
      </c>
      <c r="H730" s="4" t="s">
        <v>59</v>
      </c>
      <c r="I730" s="3"/>
      <c r="J730" s="3"/>
      <c r="K730" s="3"/>
      <c r="L730" s="3"/>
      <c r="M730" s="3"/>
      <c r="N730" s="3"/>
      <c r="O730" s="3"/>
      <c r="P730" s="8"/>
      <c r="Q730" s="8"/>
      <c r="R730" s="3"/>
      <c r="S730" s="3"/>
      <c r="T730" s="3"/>
      <c r="U730" s="5" t="str">
        <f t="shared" si="43"/>
        <v/>
      </c>
    </row>
    <row r="731" spans="1:21" ht="28" customHeight="1" x14ac:dyDescent="0.35">
      <c r="A731" s="4">
        <v>5</v>
      </c>
      <c r="B731" s="4" t="s">
        <v>374</v>
      </c>
      <c r="C731" s="4" t="s">
        <v>375</v>
      </c>
      <c r="D731" s="4" t="s">
        <v>376</v>
      </c>
      <c r="E731" s="4" t="s">
        <v>69</v>
      </c>
      <c r="F731" s="4" t="s">
        <v>276</v>
      </c>
      <c r="G731" s="4" t="s">
        <v>199</v>
      </c>
      <c r="H731" s="4" t="s">
        <v>59</v>
      </c>
      <c r="I731" s="3"/>
      <c r="J731" s="3"/>
      <c r="K731" s="3"/>
      <c r="L731" s="3"/>
      <c r="M731" s="3"/>
      <c r="N731" s="3"/>
      <c r="O731" s="3"/>
      <c r="P731" s="8"/>
      <c r="Q731" s="8"/>
      <c r="R731" s="3"/>
      <c r="S731" s="3"/>
      <c r="T731" s="3"/>
      <c r="U731" s="5" t="str">
        <f t="shared" si="43"/>
        <v/>
      </c>
    </row>
    <row r="732" spans="1:21" ht="28" customHeight="1" x14ac:dyDescent="0.35">
      <c r="A732" s="4">
        <v>6</v>
      </c>
      <c r="B732" s="4" t="s">
        <v>377</v>
      </c>
      <c r="C732" s="4" t="s">
        <v>378</v>
      </c>
      <c r="D732" s="4" t="s">
        <v>379</v>
      </c>
      <c r="E732" s="4" t="s">
        <v>69</v>
      </c>
      <c r="F732" s="4" t="s">
        <v>276</v>
      </c>
      <c r="G732" s="4" t="s">
        <v>199</v>
      </c>
      <c r="H732" s="4" t="s">
        <v>59</v>
      </c>
      <c r="I732" s="3"/>
      <c r="J732" s="3"/>
      <c r="K732" s="3"/>
      <c r="L732" s="3"/>
      <c r="M732" s="3"/>
      <c r="N732" s="3"/>
      <c r="O732" s="3"/>
      <c r="P732" s="8"/>
      <c r="Q732" s="8"/>
      <c r="R732" s="3"/>
      <c r="S732" s="3"/>
      <c r="T732" s="3"/>
      <c r="U732" s="5" t="str">
        <f t="shared" si="43"/>
        <v/>
      </c>
    </row>
    <row r="733" spans="1:21" ht="28" customHeight="1" x14ac:dyDescent="0.35">
      <c r="A733" s="4">
        <v>7</v>
      </c>
      <c r="B733" s="4" t="s">
        <v>380</v>
      </c>
      <c r="C733" s="4" t="s">
        <v>381</v>
      </c>
      <c r="D733" s="4" t="s">
        <v>382</v>
      </c>
      <c r="E733" s="4" t="s">
        <v>69</v>
      </c>
      <c r="F733" s="4" t="s">
        <v>276</v>
      </c>
      <c r="G733" s="4" t="s">
        <v>199</v>
      </c>
      <c r="H733" s="4" t="s">
        <v>59</v>
      </c>
      <c r="I733" s="3"/>
      <c r="J733" s="3"/>
      <c r="K733" s="3"/>
      <c r="L733" s="3"/>
      <c r="M733" s="3"/>
      <c r="N733" s="3"/>
      <c r="O733" s="3"/>
      <c r="P733" s="8"/>
      <c r="Q733" s="8"/>
      <c r="R733" s="3"/>
      <c r="S733" s="3"/>
      <c r="T733" s="3"/>
      <c r="U733" s="5" t="str">
        <f t="shared" si="43"/>
        <v/>
      </c>
    </row>
    <row r="734" spans="1:21" ht="28" customHeight="1" x14ac:dyDescent="0.35">
      <c r="A734" s="4">
        <v>8</v>
      </c>
      <c r="B734" s="4" t="s">
        <v>383</v>
      </c>
      <c r="C734" s="4" t="s">
        <v>384</v>
      </c>
      <c r="D734" s="4" t="s">
        <v>385</v>
      </c>
      <c r="E734" s="4" t="s">
        <v>69</v>
      </c>
      <c r="F734" s="4" t="s">
        <v>95</v>
      </c>
      <c r="G734" s="4" t="s">
        <v>96</v>
      </c>
      <c r="H734" s="4" t="s">
        <v>59</v>
      </c>
      <c r="I734" s="3"/>
      <c r="J734" s="3"/>
      <c r="K734" s="3"/>
      <c r="L734" s="3"/>
      <c r="M734" s="3"/>
      <c r="N734" s="3"/>
      <c r="O734" s="3"/>
      <c r="P734" s="8"/>
      <c r="Q734" s="8"/>
      <c r="R734" s="3"/>
      <c r="S734" s="3"/>
      <c r="T734" s="3"/>
      <c r="U734" s="5" t="str">
        <f t="shared" si="43"/>
        <v/>
      </c>
    </row>
    <row r="735" spans="1:21" ht="28" customHeight="1" x14ac:dyDescent="0.35">
      <c r="A735" s="4">
        <v>9</v>
      </c>
      <c r="B735" s="4" t="s">
        <v>97</v>
      </c>
      <c r="C735" s="4" t="s">
        <v>98</v>
      </c>
      <c r="D735" s="4" t="s">
        <v>99</v>
      </c>
      <c r="E735" s="4" t="s">
        <v>69</v>
      </c>
      <c r="F735" s="4" t="s">
        <v>95</v>
      </c>
      <c r="G735" s="4" t="s">
        <v>96</v>
      </c>
      <c r="H735" s="4" t="s">
        <v>59</v>
      </c>
      <c r="I735" s="3"/>
      <c r="J735" s="3"/>
      <c r="K735" s="3"/>
      <c r="L735" s="3"/>
      <c r="M735" s="3"/>
      <c r="N735" s="3"/>
      <c r="O735" s="3"/>
      <c r="P735" s="8"/>
      <c r="Q735" s="8"/>
      <c r="R735" s="3"/>
      <c r="S735" s="3"/>
      <c r="T735" s="3"/>
      <c r="U735" s="5" t="str">
        <f t="shared" si="43"/>
        <v/>
      </c>
    </row>
    <row r="736" spans="1:21" ht="28" customHeight="1" x14ac:dyDescent="0.35">
      <c r="A736" s="4">
        <v>10</v>
      </c>
      <c r="B736" s="4" t="s">
        <v>97</v>
      </c>
      <c r="C736" s="4" t="s">
        <v>100</v>
      </c>
      <c r="D736" s="4" t="s">
        <v>101</v>
      </c>
      <c r="E736" s="4" t="s">
        <v>69</v>
      </c>
      <c r="F736" s="4" t="s">
        <v>95</v>
      </c>
      <c r="G736" s="4" t="s">
        <v>102</v>
      </c>
      <c r="H736" s="4" t="s">
        <v>59</v>
      </c>
      <c r="I736" s="3"/>
      <c r="J736" s="3"/>
      <c r="K736" s="3"/>
      <c r="L736" s="3"/>
      <c r="M736" s="3"/>
      <c r="N736" s="3"/>
      <c r="O736" s="3"/>
      <c r="P736" s="8"/>
      <c r="Q736" s="8"/>
      <c r="R736" s="3"/>
      <c r="S736" s="3"/>
      <c r="T736" s="3"/>
      <c r="U736" s="5" t="str">
        <f t="shared" si="43"/>
        <v/>
      </c>
    </row>
    <row r="737" spans="1:21" ht="28" customHeight="1" x14ac:dyDescent="0.35">
      <c r="A737" s="4">
        <v>11</v>
      </c>
      <c r="B737" s="4" t="s">
        <v>103</v>
      </c>
      <c r="C737" s="4" t="s">
        <v>104</v>
      </c>
      <c r="D737" s="4" t="s">
        <v>105</v>
      </c>
      <c r="E737" s="4" t="s">
        <v>69</v>
      </c>
      <c r="F737" s="4" t="s">
        <v>95</v>
      </c>
      <c r="G737" s="4" t="s">
        <v>96</v>
      </c>
      <c r="H737" s="4" t="s">
        <v>85</v>
      </c>
      <c r="I737" s="3"/>
      <c r="J737" s="3"/>
      <c r="K737" s="3"/>
      <c r="L737" s="3"/>
      <c r="M737" s="3"/>
      <c r="N737" s="3"/>
      <c r="O737" s="3"/>
      <c r="P737" s="8"/>
      <c r="Q737" s="8"/>
      <c r="R737" s="3"/>
      <c r="S737" s="3"/>
      <c r="T737" s="3"/>
      <c r="U737" s="5" t="str">
        <f t="shared" si="43"/>
        <v/>
      </c>
    </row>
    <row r="738" spans="1:21" ht="28" customHeight="1" x14ac:dyDescent="0.35">
      <c r="A738" s="4">
        <v>12</v>
      </c>
      <c r="B738" s="4" t="s">
        <v>106</v>
      </c>
      <c r="C738" s="4" t="s">
        <v>107</v>
      </c>
      <c r="D738" s="4" t="s">
        <v>108</v>
      </c>
      <c r="E738" s="4" t="s">
        <v>109</v>
      </c>
      <c r="F738" s="4" t="s">
        <v>95</v>
      </c>
      <c r="G738" s="4" t="s">
        <v>96</v>
      </c>
      <c r="H738" s="4" t="s">
        <v>59</v>
      </c>
      <c r="I738" s="3"/>
      <c r="J738" s="3"/>
      <c r="K738" s="3"/>
      <c r="L738" s="3"/>
      <c r="M738" s="3"/>
      <c r="N738" s="3"/>
      <c r="O738" s="3"/>
      <c r="P738" s="8"/>
      <c r="Q738" s="8"/>
      <c r="R738" s="3"/>
      <c r="S738" s="3"/>
      <c r="T738" s="3"/>
      <c r="U738" s="5" t="str">
        <f t="shared" si="43"/>
        <v/>
      </c>
    </row>
    <row r="740" spans="1:21" ht="28" customHeight="1" x14ac:dyDescent="0.35">
      <c r="A740" s="9" t="s">
        <v>110</v>
      </c>
      <c r="B740" s="16"/>
      <c r="C740" s="17"/>
      <c r="D740" s="17"/>
      <c r="E740" s="17"/>
      <c r="F740" s="17"/>
      <c r="G740" s="17"/>
      <c r="H740" s="17"/>
      <c r="I740" s="17"/>
      <c r="J740" s="17"/>
      <c r="K740" s="17"/>
      <c r="L740" s="17"/>
      <c r="M740" s="17"/>
      <c r="N740" s="17"/>
      <c r="O740" s="17"/>
      <c r="P740" s="17"/>
      <c r="Q740" s="17"/>
      <c r="R740" s="17"/>
      <c r="S740" s="17"/>
      <c r="T740" s="17"/>
      <c r="U740" s="18"/>
    </row>
    <row r="741" spans="1:21" ht="28" customHeight="1" x14ac:dyDescent="0.35">
      <c r="A741" s="19" t="s">
        <v>425</v>
      </c>
      <c r="B741" s="20"/>
      <c r="C741" s="20"/>
      <c r="D741" s="20"/>
      <c r="E741" s="20"/>
      <c r="F741" s="20"/>
      <c r="G741" s="20"/>
      <c r="H741" s="20"/>
      <c r="I741" s="20"/>
      <c r="J741" s="20"/>
      <c r="K741" s="20"/>
      <c r="L741" s="20"/>
      <c r="M741" s="20"/>
      <c r="N741" s="20"/>
      <c r="O741" s="20"/>
      <c r="P741" s="20"/>
      <c r="Q741" s="20"/>
      <c r="R741" s="20"/>
      <c r="S741" s="20"/>
      <c r="T741" s="20"/>
      <c r="U741" s="21"/>
    </row>
    <row r="742" spans="1:21" ht="28" customHeight="1" x14ac:dyDescent="0.35">
      <c r="A742" s="4" t="s">
        <v>31</v>
      </c>
      <c r="B742" s="3" t="s">
        <v>257</v>
      </c>
      <c r="C742" s="4" t="s">
        <v>32</v>
      </c>
      <c r="D742" s="3"/>
      <c r="E742" s="4" t="s">
        <v>33</v>
      </c>
      <c r="F742" s="8"/>
    </row>
    <row r="743" spans="1:21" ht="28" customHeight="1" x14ac:dyDescent="0.35">
      <c r="A743" s="1" t="s">
        <v>34</v>
      </c>
      <c r="B743" s="1" t="s">
        <v>35</v>
      </c>
      <c r="C743" s="1" t="s">
        <v>36</v>
      </c>
      <c r="D743" s="1" t="s">
        <v>37</v>
      </c>
      <c r="E743" s="1" t="s">
        <v>38</v>
      </c>
      <c r="F743" s="1" t="s">
        <v>39</v>
      </c>
      <c r="G743" s="1" t="s">
        <v>40</v>
      </c>
      <c r="H743" s="1" t="s">
        <v>41</v>
      </c>
      <c r="I743" s="1" t="s">
        <v>42</v>
      </c>
      <c r="J743" s="1" t="s">
        <v>43</v>
      </c>
      <c r="K743" s="1" t="s">
        <v>44</v>
      </c>
      <c r="L743" s="1" t="s">
        <v>45</v>
      </c>
      <c r="M743" s="1" t="s">
        <v>46</v>
      </c>
      <c r="N743" s="1" t="s">
        <v>47</v>
      </c>
      <c r="O743" s="1" t="s">
        <v>48</v>
      </c>
      <c r="P743" s="1" t="s">
        <v>4</v>
      </c>
      <c r="Q743" s="1" t="s">
        <v>49</v>
      </c>
      <c r="R743" s="1" t="s">
        <v>50</v>
      </c>
      <c r="S743" s="1" t="s">
        <v>51</v>
      </c>
      <c r="T743" s="1" t="s">
        <v>52</v>
      </c>
      <c r="U743" s="1" t="s">
        <v>10</v>
      </c>
    </row>
    <row r="744" spans="1:21" ht="28" customHeight="1" x14ac:dyDescent="0.35">
      <c r="A744" s="4">
        <v>1</v>
      </c>
      <c r="B744" s="4" t="s">
        <v>97</v>
      </c>
      <c r="C744" s="4" t="s">
        <v>362</v>
      </c>
      <c r="D744" s="4" t="s">
        <v>363</v>
      </c>
      <c r="E744" s="4" t="s">
        <v>69</v>
      </c>
      <c r="F744" s="4" t="s">
        <v>364</v>
      </c>
      <c r="G744" s="4" t="s">
        <v>199</v>
      </c>
      <c r="H744" s="4" t="s">
        <v>76</v>
      </c>
      <c r="I744" s="3"/>
      <c r="J744" s="3"/>
      <c r="K744" s="3"/>
      <c r="L744" s="3"/>
      <c r="M744" s="3"/>
      <c r="N744" s="3"/>
      <c r="O744" s="3"/>
      <c r="P744" s="8"/>
      <c r="Q744" s="8"/>
      <c r="R744" s="3"/>
      <c r="S744" s="3"/>
      <c r="T744" s="3"/>
      <c r="U744" s="5" t="str">
        <f t="shared" ref="U744:U755" si="44">IF(I744="","",IF(I744="NA","Grey",IF(I744=2,"Green",IF(I744=1,"Amber","Red"))))</f>
        <v/>
      </c>
    </row>
    <row r="745" spans="1:21" ht="28" customHeight="1" x14ac:dyDescent="0.35">
      <c r="A745" s="4">
        <v>2</v>
      </c>
      <c r="B745" s="4" t="s">
        <v>365</v>
      </c>
      <c r="C745" s="4" t="s">
        <v>366</v>
      </c>
      <c r="D745" s="4" t="s">
        <v>367</v>
      </c>
      <c r="E745" s="4" t="s">
        <v>69</v>
      </c>
      <c r="F745" s="4" t="s">
        <v>276</v>
      </c>
      <c r="G745" s="4" t="s">
        <v>199</v>
      </c>
      <c r="H745" s="4" t="s">
        <v>76</v>
      </c>
      <c r="I745" s="3"/>
      <c r="J745" s="3"/>
      <c r="K745" s="3"/>
      <c r="L745" s="3"/>
      <c r="M745" s="3"/>
      <c r="N745" s="3"/>
      <c r="O745" s="3"/>
      <c r="P745" s="8"/>
      <c r="Q745" s="8"/>
      <c r="R745" s="3"/>
      <c r="S745" s="3"/>
      <c r="T745" s="3"/>
      <c r="U745" s="5" t="str">
        <f t="shared" si="44"/>
        <v/>
      </c>
    </row>
    <row r="746" spans="1:21" ht="28" customHeight="1" x14ac:dyDescent="0.35">
      <c r="A746" s="4">
        <v>3</v>
      </c>
      <c r="B746" s="4" t="s">
        <v>365</v>
      </c>
      <c r="C746" s="4" t="s">
        <v>368</v>
      </c>
      <c r="D746" s="4" t="s">
        <v>369</v>
      </c>
      <c r="E746" s="4" t="s">
        <v>69</v>
      </c>
      <c r="F746" s="4" t="s">
        <v>370</v>
      </c>
      <c r="G746" s="4" t="s">
        <v>204</v>
      </c>
      <c r="H746" s="4" t="s">
        <v>76</v>
      </c>
      <c r="I746" s="3"/>
      <c r="J746" s="3"/>
      <c r="K746" s="3"/>
      <c r="L746" s="3"/>
      <c r="M746" s="3"/>
      <c r="N746" s="3"/>
      <c r="O746" s="3"/>
      <c r="P746" s="8"/>
      <c r="Q746" s="8"/>
      <c r="R746" s="3"/>
      <c r="S746" s="3"/>
      <c r="T746" s="3"/>
      <c r="U746" s="5" t="str">
        <f t="shared" si="44"/>
        <v/>
      </c>
    </row>
    <row r="747" spans="1:21" ht="28" customHeight="1" x14ac:dyDescent="0.35">
      <c r="A747" s="4">
        <v>4</v>
      </c>
      <c r="B747" s="4" t="s">
        <v>371</v>
      </c>
      <c r="C747" s="4" t="s">
        <v>372</v>
      </c>
      <c r="D747" s="4" t="s">
        <v>373</v>
      </c>
      <c r="E747" s="4" t="s">
        <v>69</v>
      </c>
      <c r="F747" s="4" t="s">
        <v>295</v>
      </c>
      <c r="G747" s="4" t="s">
        <v>199</v>
      </c>
      <c r="H747" s="4" t="s">
        <v>59</v>
      </c>
      <c r="I747" s="3"/>
      <c r="J747" s="3"/>
      <c r="K747" s="3"/>
      <c r="L747" s="3"/>
      <c r="M747" s="3"/>
      <c r="N747" s="3"/>
      <c r="O747" s="3"/>
      <c r="P747" s="8"/>
      <c r="Q747" s="8"/>
      <c r="R747" s="3"/>
      <c r="S747" s="3"/>
      <c r="T747" s="3"/>
      <c r="U747" s="5" t="str">
        <f t="shared" si="44"/>
        <v/>
      </c>
    </row>
    <row r="748" spans="1:21" ht="28" customHeight="1" x14ac:dyDescent="0.35">
      <c r="A748" s="4">
        <v>5</v>
      </c>
      <c r="B748" s="4" t="s">
        <v>374</v>
      </c>
      <c r="C748" s="4" t="s">
        <v>375</v>
      </c>
      <c r="D748" s="4" t="s">
        <v>376</v>
      </c>
      <c r="E748" s="4" t="s">
        <v>69</v>
      </c>
      <c r="F748" s="4" t="s">
        <v>276</v>
      </c>
      <c r="G748" s="4" t="s">
        <v>199</v>
      </c>
      <c r="H748" s="4" t="s">
        <v>59</v>
      </c>
      <c r="I748" s="3"/>
      <c r="J748" s="3"/>
      <c r="K748" s="3"/>
      <c r="L748" s="3"/>
      <c r="M748" s="3"/>
      <c r="N748" s="3"/>
      <c r="O748" s="3"/>
      <c r="P748" s="8"/>
      <c r="Q748" s="8"/>
      <c r="R748" s="3"/>
      <c r="S748" s="3"/>
      <c r="T748" s="3"/>
      <c r="U748" s="5" t="str">
        <f t="shared" si="44"/>
        <v/>
      </c>
    </row>
    <row r="749" spans="1:21" ht="28" customHeight="1" x14ac:dyDescent="0.35">
      <c r="A749" s="4">
        <v>6</v>
      </c>
      <c r="B749" s="4" t="s">
        <v>377</v>
      </c>
      <c r="C749" s="4" t="s">
        <v>378</v>
      </c>
      <c r="D749" s="4" t="s">
        <v>379</v>
      </c>
      <c r="E749" s="4" t="s">
        <v>69</v>
      </c>
      <c r="F749" s="4" t="s">
        <v>276</v>
      </c>
      <c r="G749" s="4" t="s">
        <v>199</v>
      </c>
      <c r="H749" s="4" t="s">
        <v>59</v>
      </c>
      <c r="I749" s="3"/>
      <c r="J749" s="3"/>
      <c r="K749" s="3"/>
      <c r="L749" s="3"/>
      <c r="M749" s="3"/>
      <c r="N749" s="3"/>
      <c r="O749" s="3"/>
      <c r="P749" s="8"/>
      <c r="Q749" s="8"/>
      <c r="R749" s="3"/>
      <c r="S749" s="3"/>
      <c r="T749" s="3"/>
      <c r="U749" s="5" t="str">
        <f t="shared" si="44"/>
        <v/>
      </c>
    </row>
    <row r="750" spans="1:21" ht="28" customHeight="1" x14ac:dyDescent="0.35">
      <c r="A750" s="4">
        <v>7</v>
      </c>
      <c r="B750" s="4" t="s">
        <v>380</v>
      </c>
      <c r="C750" s="4" t="s">
        <v>381</v>
      </c>
      <c r="D750" s="4" t="s">
        <v>382</v>
      </c>
      <c r="E750" s="4" t="s">
        <v>69</v>
      </c>
      <c r="F750" s="4" t="s">
        <v>276</v>
      </c>
      <c r="G750" s="4" t="s">
        <v>199</v>
      </c>
      <c r="H750" s="4" t="s">
        <v>59</v>
      </c>
      <c r="I750" s="3"/>
      <c r="J750" s="3"/>
      <c r="K750" s="3"/>
      <c r="L750" s="3"/>
      <c r="M750" s="3"/>
      <c r="N750" s="3"/>
      <c r="O750" s="3"/>
      <c r="P750" s="8"/>
      <c r="Q750" s="8"/>
      <c r="R750" s="3"/>
      <c r="S750" s="3"/>
      <c r="T750" s="3"/>
      <c r="U750" s="5" t="str">
        <f t="shared" si="44"/>
        <v/>
      </c>
    </row>
    <row r="751" spans="1:21" ht="28" customHeight="1" x14ac:dyDescent="0.35">
      <c r="A751" s="4">
        <v>8</v>
      </c>
      <c r="B751" s="4" t="s">
        <v>383</v>
      </c>
      <c r="C751" s="4" t="s">
        <v>384</v>
      </c>
      <c r="D751" s="4" t="s">
        <v>385</v>
      </c>
      <c r="E751" s="4" t="s">
        <v>69</v>
      </c>
      <c r="F751" s="4" t="s">
        <v>95</v>
      </c>
      <c r="G751" s="4" t="s">
        <v>96</v>
      </c>
      <c r="H751" s="4" t="s">
        <v>59</v>
      </c>
      <c r="I751" s="3"/>
      <c r="J751" s="3"/>
      <c r="K751" s="3"/>
      <c r="L751" s="3"/>
      <c r="M751" s="3"/>
      <c r="N751" s="3"/>
      <c r="O751" s="3"/>
      <c r="P751" s="8"/>
      <c r="Q751" s="8"/>
      <c r="R751" s="3"/>
      <c r="S751" s="3"/>
      <c r="T751" s="3"/>
      <c r="U751" s="5" t="str">
        <f t="shared" si="44"/>
        <v/>
      </c>
    </row>
    <row r="752" spans="1:21" ht="28" customHeight="1" x14ac:dyDescent="0.35">
      <c r="A752" s="4">
        <v>9</v>
      </c>
      <c r="B752" s="4" t="s">
        <v>97</v>
      </c>
      <c r="C752" s="4" t="s">
        <v>98</v>
      </c>
      <c r="D752" s="4" t="s">
        <v>99</v>
      </c>
      <c r="E752" s="4" t="s">
        <v>69</v>
      </c>
      <c r="F752" s="4" t="s">
        <v>95</v>
      </c>
      <c r="G752" s="4" t="s">
        <v>96</v>
      </c>
      <c r="H752" s="4" t="s">
        <v>59</v>
      </c>
      <c r="I752" s="3"/>
      <c r="J752" s="3"/>
      <c r="K752" s="3"/>
      <c r="L752" s="3"/>
      <c r="M752" s="3"/>
      <c r="N752" s="3"/>
      <c r="O752" s="3"/>
      <c r="P752" s="8"/>
      <c r="Q752" s="8"/>
      <c r="R752" s="3"/>
      <c r="S752" s="3"/>
      <c r="T752" s="3"/>
      <c r="U752" s="5" t="str">
        <f t="shared" si="44"/>
        <v/>
      </c>
    </row>
    <row r="753" spans="1:21" ht="28" customHeight="1" x14ac:dyDescent="0.35">
      <c r="A753" s="4">
        <v>10</v>
      </c>
      <c r="B753" s="4" t="s">
        <v>97</v>
      </c>
      <c r="C753" s="4" t="s">
        <v>100</v>
      </c>
      <c r="D753" s="4" t="s">
        <v>101</v>
      </c>
      <c r="E753" s="4" t="s">
        <v>69</v>
      </c>
      <c r="F753" s="4" t="s">
        <v>95</v>
      </c>
      <c r="G753" s="4" t="s">
        <v>102</v>
      </c>
      <c r="H753" s="4" t="s">
        <v>59</v>
      </c>
      <c r="I753" s="3"/>
      <c r="J753" s="3"/>
      <c r="K753" s="3"/>
      <c r="L753" s="3"/>
      <c r="M753" s="3"/>
      <c r="N753" s="3"/>
      <c r="O753" s="3"/>
      <c r="P753" s="8"/>
      <c r="Q753" s="8"/>
      <c r="R753" s="3"/>
      <c r="S753" s="3"/>
      <c r="T753" s="3"/>
      <c r="U753" s="5" t="str">
        <f t="shared" si="44"/>
        <v/>
      </c>
    </row>
    <row r="754" spans="1:21" ht="28" customHeight="1" x14ac:dyDescent="0.35">
      <c r="A754" s="4">
        <v>11</v>
      </c>
      <c r="B754" s="4" t="s">
        <v>103</v>
      </c>
      <c r="C754" s="4" t="s">
        <v>104</v>
      </c>
      <c r="D754" s="4" t="s">
        <v>105</v>
      </c>
      <c r="E754" s="4" t="s">
        <v>69</v>
      </c>
      <c r="F754" s="4" t="s">
        <v>95</v>
      </c>
      <c r="G754" s="4" t="s">
        <v>96</v>
      </c>
      <c r="H754" s="4" t="s">
        <v>85</v>
      </c>
      <c r="I754" s="3"/>
      <c r="J754" s="3"/>
      <c r="K754" s="3"/>
      <c r="L754" s="3"/>
      <c r="M754" s="3"/>
      <c r="N754" s="3"/>
      <c r="O754" s="3"/>
      <c r="P754" s="8"/>
      <c r="Q754" s="8"/>
      <c r="R754" s="3"/>
      <c r="S754" s="3"/>
      <c r="T754" s="3"/>
      <c r="U754" s="5" t="str">
        <f t="shared" si="44"/>
        <v/>
      </c>
    </row>
    <row r="755" spans="1:21" ht="28" customHeight="1" x14ac:dyDescent="0.35">
      <c r="A755" s="4">
        <v>12</v>
      </c>
      <c r="B755" s="4" t="s">
        <v>106</v>
      </c>
      <c r="C755" s="4" t="s">
        <v>107</v>
      </c>
      <c r="D755" s="4" t="s">
        <v>108</v>
      </c>
      <c r="E755" s="4" t="s">
        <v>109</v>
      </c>
      <c r="F755" s="4" t="s">
        <v>95</v>
      </c>
      <c r="G755" s="4" t="s">
        <v>96</v>
      </c>
      <c r="H755" s="4" t="s">
        <v>59</v>
      </c>
      <c r="I755" s="3"/>
      <c r="J755" s="3"/>
      <c r="K755" s="3"/>
      <c r="L755" s="3"/>
      <c r="M755" s="3"/>
      <c r="N755" s="3"/>
      <c r="O755" s="3"/>
      <c r="P755" s="8"/>
      <c r="Q755" s="8"/>
      <c r="R755" s="3"/>
      <c r="S755" s="3"/>
      <c r="T755" s="3"/>
      <c r="U755" s="5" t="str">
        <f t="shared" si="44"/>
        <v/>
      </c>
    </row>
    <row r="757" spans="1:21" ht="28" customHeight="1" x14ac:dyDescent="0.35">
      <c r="A757" s="9" t="s">
        <v>110</v>
      </c>
      <c r="B757" s="16"/>
      <c r="C757" s="17"/>
      <c r="D757" s="17"/>
      <c r="E757" s="17"/>
      <c r="F757" s="17"/>
      <c r="G757" s="17"/>
      <c r="H757" s="17"/>
      <c r="I757" s="17"/>
      <c r="J757" s="17"/>
      <c r="K757" s="17"/>
      <c r="L757" s="17"/>
      <c r="M757" s="17"/>
      <c r="N757" s="17"/>
      <c r="O757" s="17"/>
      <c r="P757" s="17"/>
      <c r="Q757" s="17"/>
      <c r="R757" s="17"/>
      <c r="S757" s="17"/>
      <c r="T757" s="17"/>
      <c r="U757" s="18"/>
    </row>
    <row r="758" spans="1:21" ht="28" customHeight="1" x14ac:dyDescent="0.35">
      <c r="A758" s="19" t="s">
        <v>426</v>
      </c>
      <c r="B758" s="20"/>
      <c r="C758" s="20"/>
      <c r="D758" s="20"/>
      <c r="E758" s="20"/>
      <c r="F758" s="20"/>
      <c r="G758" s="20"/>
      <c r="H758" s="20"/>
      <c r="I758" s="20"/>
      <c r="J758" s="20"/>
      <c r="K758" s="20"/>
      <c r="L758" s="20"/>
      <c r="M758" s="20"/>
      <c r="N758" s="20"/>
      <c r="O758" s="20"/>
      <c r="P758" s="20"/>
      <c r="Q758" s="20"/>
      <c r="R758" s="20"/>
      <c r="S758" s="20"/>
      <c r="T758" s="20"/>
      <c r="U758" s="21"/>
    </row>
    <row r="759" spans="1:21" ht="28" customHeight="1" x14ac:dyDescent="0.35">
      <c r="A759" s="4" t="s">
        <v>31</v>
      </c>
      <c r="B759" s="3" t="s">
        <v>258</v>
      </c>
      <c r="C759" s="4" t="s">
        <v>32</v>
      </c>
      <c r="D759" s="3"/>
      <c r="E759" s="4" t="s">
        <v>33</v>
      </c>
      <c r="F759" s="8"/>
    </row>
    <row r="760" spans="1:21" ht="28" customHeight="1" x14ac:dyDescent="0.35">
      <c r="A760" s="1" t="s">
        <v>34</v>
      </c>
      <c r="B760" s="1" t="s">
        <v>35</v>
      </c>
      <c r="C760" s="1" t="s">
        <v>36</v>
      </c>
      <c r="D760" s="1" t="s">
        <v>37</v>
      </c>
      <c r="E760" s="1" t="s">
        <v>38</v>
      </c>
      <c r="F760" s="1" t="s">
        <v>39</v>
      </c>
      <c r="G760" s="1" t="s">
        <v>40</v>
      </c>
      <c r="H760" s="1" t="s">
        <v>41</v>
      </c>
      <c r="I760" s="1" t="s">
        <v>42</v>
      </c>
      <c r="J760" s="1" t="s">
        <v>43</v>
      </c>
      <c r="K760" s="1" t="s">
        <v>44</v>
      </c>
      <c r="L760" s="1" t="s">
        <v>45</v>
      </c>
      <c r="M760" s="1" t="s">
        <v>46</v>
      </c>
      <c r="N760" s="1" t="s">
        <v>47</v>
      </c>
      <c r="O760" s="1" t="s">
        <v>48</v>
      </c>
      <c r="P760" s="1" t="s">
        <v>4</v>
      </c>
      <c r="Q760" s="1" t="s">
        <v>49</v>
      </c>
      <c r="R760" s="1" t="s">
        <v>50</v>
      </c>
      <c r="S760" s="1" t="s">
        <v>51</v>
      </c>
      <c r="T760" s="1" t="s">
        <v>52</v>
      </c>
      <c r="U760" s="1" t="s">
        <v>10</v>
      </c>
    </row>
    <row r="761" spans="1:21" ht="28" customHeight="1" x14ac:dyDescent="0.35">
      <c r="A761" s="4">
        <v>1</v>
      </c>
      <c r="B761" s="4" t="s">
        <v>97</v>
      </c>
      <c r="C761" s="4" t="s">
        <v>362</v>
      </c>
      <c r="D761" s="4" t="s">
        <v>363</v>
      </c>
      <c r="E761" s="4" t="s">
        <v>69</v>
      </c>
      <c r="F761" s="4" t="s">
        <v>364</v>
      </c>
      <c r="G761" s="4" t="s">
        <v>199</v>
      </c>
      <c r="H761" s="4" t="s">
        <v>76</v>
      </c>
      <c r="I761" s="3"/>
      <c r="J761" s="3"/>
      <c r="K761" s="3"/>
      <c r="L761" s="3"/>
      <c r="M761" s="3"/>
      <c r="N761" s="3"/>
      <c r="O761" s="3"/>
      <c r="P761" s="8"/>
      <c r="Q761" s="8"/>
      <c r="R761" s="3"/>
      <c r="S761" s="3"/>
      <c r="T761" s="3"/>
      <c r="U761" s="5" t="str">
        <f t="shared" ref="U761:U772" si="45">IF(I761="","",IF(I761="NA","Grey",IF(I761=2,"Green",IF(I761=1,"Amber","Red"))))</f>
        <v/>
      </c>
    </row>
    <row r="762" spans="1:21" ht="28" customHeight="1" x14ac:dyDescent="0.35">
      <c r="A762" s="4">
        <v>2</v>
      </c>
      <c r="B762" s="4" t="s">
        <v>365</v>
      </c>
      <c r="C762" s="4" t="s">
        <v>366</v>
      </c>
      <c r="D762" s="4" t="s">
        <v>367</v>
      </c>
      <c r="E762" s="4" t="s">
        <v>69</v>
      </c>
      <c r="F762" s="4" t="s">
        <v>276</v>
      </c>
      <c r="G762" s="4" t="s">
        <v>199</v>
      </c>
      <c r="H762" s="4" t="s">
        <v>76</v>
      </c>
      <c r="I762" s="3"/>
      <c r="J762" s="3"/>
      <c r="K762" s="3"/>
      <c r="L762" s="3"/>
      <c r="M762" s="3"/>
      <c r="N762" s="3"/>
      <c r="O762" s="3"/>
      <c r="P762" s="8"/>
      <c r="Q762" s="8"/>
      <c r="R762" s="3"/>
      <c r="S762" s="3"/>
      <c r="T762" s="3"/>
      <c r="U762" s="5" t="str">
        <f t="shared" si="45"/>
        <v/>
      </c>
    </row>
    <row r="763" spans="1:21" ht="28" customHeight="1" x14ac:dyDescent="0.35">
      <c r="A763" s="4">
        <v>3</v>
      </c>
      <c r="B763" s="4" t="s">
        <v>365</v>
      </c>
      <c r="C763" s="4" t="s">
        <v>368</v>
      </c>
      <c r="D763" s="4" t="s">
        <v>369</v>
      </c>
      <c r="E763" s="4" t="s">
        <v>69</v>
      </c>
      <c r="F763" s="4" t="s">
        <v>370</v>
      </c>
      <c r="G763" s="4" t="s">
        <v>204</v>
      </c>
      <c r="H763" s="4" t="s">
        <v>76</v>
      </c>
      <c r="I763" s="3"/>
      <c r="J763" s="3"/>
      <c r="K763" s="3"/>
      <c r="L763" s="3"/>
      <c r="M763" s="3"/>
      <c r="N763" s="3"/>
      <c r="O763" s="3"/>
      <c r="P763" s="8"/>
      <c r="Q763" s="8"/>
      <c r="R763" s="3"/>
      <c r="S763" s="3"/>
      <c r="T763" s="3"/>
      <c r="U763" s="5" t="str">
        <f t="shared" si="45"/>
        <v/>
      </c>
    </row>
    <row r="764" spans="1:21" ht="28" customHeight="1" x14ac:dyDescent="0.35">
      <c r="A764" s="4">
        <v>4</v>
      </c>
      <c r="B764" s="4" t="s">
        <v>371</v>
      </c>
      <c r="C764" s="4" t="s">
        <v>372</v>
      </c>
      <c r="D764" s="4" t="s">
        <v>373</v>
      </c>
      <c r="E764" s="4" t="s">
        <v>69</v>
      </c>
      <c r="F764" s="4" t="s">
        <v>295</v>
      </c>
      <c r="G764" s="4" t="s">
        <v>199</v>
      </c>
      <c r="H764" s="4" t="s">
        <v>59</v>
      </c>
      <c r="I764" s="3"/>
      <c r="J764" s="3"/>
      <c r="K764" s="3"/>
      <c r="L764" s="3"/>
      <c r="M764" s="3"/>
      <c r="N764" s="3"/>
      <c r="O764" s="3"/>
      <c r="P764" s="8"/>
      <c r="Q764" s="8"/>
      <c r="R764" s="3"/>
      <c r="S764" s="3"/>
      <c r="T764" s="3"/>
      <c r="U764" s="5" t="str">
        <f t="shared" si="45"/>
        <v/>
      </c>
    </row>
    <row r="765" spans="1:21" ht="28" customHeight="1" x14ac:dyDescent="0.35">
      <c r="A765" s="4">
        <v>5</v>
      </c>
      <c r="B765" s="4" t="s">
        <v>374</v>
      </c>
      <c r="C765" s="4" t="s">
        <v>375</v>
      </c>
      <c r="D765" s="4" t="s">
        <v>376</v>
      </c>
      <c r="E765" s="4" t="s">
        <v>69</v>
      </c>
      <c r="F765" s="4" t="s">
        <v>276</v>
      </c>
      <c r="G765" s="4" t="s">
        <v>199</v>
      </c>
      <c r="H765" s="4" t="s">
        <v>59</v>
      </c>
      <c r="I765" s="3"/>
      <c r="J765" s="3"/>
      <c r="K765" s="3"/>
      <c r="L765" s="3"/>
      <c r="M765" s="3"/>
      <c r="N765" s="3"/>
      <c r="O765" s="3"/>
      <c r="P765" s="8"/>
      <c r="Q765" s="8"/>
      <c r="R765" s="3"/>
      <c r="S765" s="3"/>
      <c r="T765" s="3"/>
      <c r="U765" s="5" t="str">
        <f t="shared" si="45"/>
        <v/>
      </c>
    </row>
    <row r="766" spans="1:21" ht="28" customHeight="1" x14ac:dyDescent="0.35">
      <c r="A766" s="4">
        <v>6</v>
      </c>
      <c r="B766" s="4" t="s">
        <v>377</v>
      </c>
      <c r="C766" s="4" t="s">
        <v>378</v>
      </c>
      <c r="D766" s="4" t="s">
        <v>379</v>
      </c>
      <c r="E766" s="4" t="s">
        <v>69</v>
      </c>
      <c r="F766" s="4" t="s">
        <v>276</v>
      </c>
      <c r="G766" s="4" t="s">
        <v>199</v>
      </c>
      <c r="H766" s="4" t="s">
        <v>59</v>
      </c>
      <c r="I766" s="3"/>
      <c r="J766" s="3"/>
      <c r="K766" s="3"/>
      <c r="L766" s="3"/>
      <c r="M766" s="3"/>
      <c r="N766" s="3"/>
      <c r="O766" s="3"/>
      <c r="P766" s="8"/>
      <c r="Q766" s="8"/>
      <c r="R766" s="3"/>
      <c r="S766" s="3"/>
      <c r="T766" s="3"/>
      <c r="U766" s="5" t="str">
        <f t="shared" si="45"/>
        <v/>
      </c>
    </row>
    <row r="767" spans="1:21" ht="28" customHeight="1" x14ac:dyDescent="0.35">
      <c r="A767" s="4">
        <v>7</v>
      </c>
      <c r="B767" s="4" t="s">
        <v>380</v>
      </c>
      <c r="C767" s="4" t="s">
        <v>381</v>
      </c>
      <c r="D767" s="4" t="s">
        <v>382</v>
      </c>
      <c r="E767" s="4" t="s">
        <v>69</v>
      </c>
      <c r="F767" s="4" t="s">
        <v>276</v>
      </c>
      <c r="G767" s="4" t="s">
        <v>199</v>
      </c>
      <c r="H767" s="4" t="s">
        <v>59</v>
      </c>
      <c r="I767" s="3"/>
      <c r="J767" s="3"/>
      <c r="K767" s="3"/>
      <c r="L767" s="3"/>
      <c r="M767" s="3"/>
      <c r="N767" s="3"/>
      <c r="O767" s="3"/>
      <c r="P767" s="8"/>
      <c r="Q767" s="8"/>
      <c r="R767" s="3"/>
      <c r="S767" s="3"/>
      <c r="T767" s="3"/>
      <c r="U767" s="5" t="str">
        <f t="shared" si="45"/>
        <v/>
      </c>
    </row>
    <row r="768" spans="1:21" ht="28" customHeight="1" x14ac:dyDescent="0.35">
      <c r="A768" s="4">
        <v>8</v>
      </c>
      <c r="B768" s="4" t="s">
        <v>383</v>
      </c>
      <c r="C768" s="4" t="s">
        <v>384</v>
      </c>
      <c r="D768" s="4" t="s">
        <v>385</v>
      </c>
      <c r="E768" s="4" t="s">
        <v>69</v>
      </c>
      <c r="F768" s="4" t="s">
        <v>95</v>
      </c>
      <c r="G768" s="4" t="s">
        <v>96</v>
      </c>
      <c r="H768" s="4" t="s">
        <v>59</v>
      </c>
      <c r="I768" s="3"/>
      <c r="J768" s="3"/>
      <c r="K768" s="3"/>
      <c r="L768" s="3"/>
      <c r="M768" s="3"/>
      <c r="N768" s="3"/>
      <c r="O768" s="3"/>
      <c r="P768" s="8"/>
      <c r="Q768" s="8"/>
      <c r="R768" s="3"/>
      <c r="S768" s="3"/>
      <c r="T768" s="3"/>
      <c r="U768" s="5" t="str">
        <f t="shared" si="45"/>
        <v/>
      </c>
    </row>
    <row r="769" spans="1:21" ht="28" customHeight="1" x14ac:dyDescent="0.35">
      <c r="A769" s="4">
        <v>9</v>
      </c>
      <c r="B769" s="4" t="s">
        <v>97</v>
      </c>
      <c r="C769" s="4" t="s">
        <v>98</v>
      </c>
      <c r="D769" s="4" t="s">
        <v>99</v>
      </c>
      <c r="E769" s="4" t="s">
        <v>69</v>
      </c>
      <c r="F769" s="4" t="s">
        <v>95</v>
      </c>
      <c r="G769" s="4" t="s">
        <v>96</v>
      </c>
      <c r="H769" s="4" t="s">
        <v>59</v>
      </c>
      <c r="I769" s="3"/>
      <c r="J769" s="3"/>
      <c r="K769" s="3"/>
      <c r="L769" s="3"/>
      <c r="M769" s="3"/>
      <c r="N769" s="3"/>
      <c r="O769" s="3"/>
      <c r="P769" s="8"/>
      <c r="Q769" s="8"/>
      <c r="R769" s="3"/>
      <c r="S769" s="3"/>
      <c r="T769" s="3"/>
      <c r="U769" s="5" t="str">
        <f t="shared" si="45"/>
        <v/>
      </c>
    </row>
    <row r="770" spans="1:21" ht="28" customHeight="1" x14ac:dyDescent="0.35">
      <c r="A770" s="4">
        <v>10</v>
      </c>
      <c r="B770" s="4" t="s">
        <v>97</v>
      </c>
      <c r="C770" s="4" t="s">
        <v>100</v>
      </c>
      <c r="D770" s="4" t="s">
        <v>101</v>
      </c>
      <c r="E770" s="4" t="s">
        <v>69</v>
      </c>
      <c r="F770" s="4" t="s">
        <v>95</v>
      </c>
      <c r="G770" s="4" t="s">
        <v>102</v>
      </c>
      <c r="H770" s="4" t="s">
        <v>59</v>
      </c>
      <c r="I770" s="3"/>
      <c r="J770" s="3"/>
      <c r="K770" s="3"/>
      <c r="L770" s="3"/>
      <c r="M770" s="3"/>
      <c r="N770" s="3"/>
      <c r="O770" s="3"/>
      <c r="P770" s="8"/>
      <c r="Q770" s="8"/>
      <c r="R770" s="3"/>
      <c r="S770" s="3"/>
      <c r="T770" s="3"/>
      <c r="U770" s="5" t="str">
        <f t="shared" si="45"/>
        <v/>
      </c>
    </row>
    <row r="771" spans="1:21" ht="28" customHeight="1" x14ac:dyDescent="0.35">
      <c r="A771" s="4">
        <v>11</v>
      </c>
      <c r="B771" s="4" t="s">
        <v>103</v>
      </c>
      <c r="C771" s="4" t="s">
        <v>104</v>
      </c>
      <c r="D771" s="4" t="s">
        <v>105</v>
      </c>
      <c r="E771" s="4" t="s">
        <v>69</v>
      </c>
      <c r="F771" s="4" t="s">
        <v>95</v>
      </c>
      <c r="G771" s="4" t="s">
        <v>96</v>
      </c>
      <c r="H771" s="4" t="s">
        <v>85</v>
      </c>
      <c r="I771" s="3"/>
      <c r="J771" s="3"/>
      <c r="K771" s="3"/>
      <c r="L771" s="3"/>
      <c r="M771" s="3"/>
      <c r="N771" s="3"/>
      <c r="O771" s="3"/>
      <c r="P771" s="8"/>
      <c r="Q771" s="8"/>
      <c r="R771" s="3"/>
      <c r="S771" s="3"/>
      <c r="T771" s="3"/>
      <c r="U771" s="5" t="str">
        <f t="shared" si="45"/>
        <v/>
      </c>
    </row>
    <row r="772" spans="1:21" ht="28" customHeight="1" x14ac:dyDescent="0.35">
      <c r="A772" s="4">
        <v>12</v>
      </c>
      <c r="B772" s="4" t="s">
        <v>106</v>
      </c>
      <c r="C772" s="4" t="s">
        <v>107</v>
      </c>
      <c r="D772" s="4" t="s">
        <v>108</v>
      </c>
      <c r="E772" s="4" t="s">
        <v>109</v>
      </c>
      <c r="F772" s="4" t="s">
        <v>95</v>
      </c>
      <c r="G772" s="4" t="s">
        <v>96</v>
      </c>
      <c r="H772" s="4" t="s">
        <v>59</v>
      </c>
      <c r="I772" s="3"/>
      <c r="J772" s="3"/>
      <c r="K772" s="3"/>
      <c r="L772" s="3"/>
      <c r="M772" s="3"/>
      <c r="N772" s="3"/>
      <c r="O772" s="3"/>
      <c r="P772" s="8"/>
      <c r="Q772" s="8"/>
      <c r="R772" s="3"/>
      <c r="S772" s="3"/>
      <c r="T772" s="3"/>
      <c r="U772" s="5" t="str">
        <f t="shared" si="45"/>
        <v/>
      </c>
    </row>
    <row r="774" spans="1:21" ht="28" customHeight="1" x14ac:dyDescent="0.35">
      <c r="A774" s="9" t="s">
        <v>110</v>
      </c>
      <c r="B774" s="16"/>
      <c r="C774" s="17"/>
      <c r="D774" s="17"/>
      <c r="E774" s="17"/>
      <c r="F774" s="17"/>
      <c r="G774" s="17"/>
      <c r="H774" s="17"/>
      <c r="I774" s="17"/>
      <c r="J774" s="17"/>
      <c r="K774" s="17"/>
      <c r="L774" s="17"/>
      <c r="M774" s="17"/>
      <c r="N774" s="17"/>
      <c r="O774" s="17"/>
      <c r="P774" s="17"/>
      <c r="Q774" s="17"/>
      <c r="R774" s="17"/>
      <c r="S774" s="17"/>
      <c r="T774" s="17"/>
      <c r="U774" s="18"/>
    </row>
    <row r="775" spans="1:21" ht="28" customHeight="1" x14ac:dyDescent="0.35">
      <c r="A775" s="19" t="s">
        <v>427</v>
      </c>
      <c r="B775" s="20"/>
      <c r="C775" s="20"/>
      <c r="D775" s="20"/>
      <c r="E775" s="20"/>
      <c r="F775" s="20"/>
      <c r="G775" s="20"/>
      <c r="H775" s="20"/>
      <c r="I775" s="20"/>
      <c r="J775" s="20"/>
      <c r="K775" s="20"/>
      <c r="L775" s="20"/>
      <c r="M775" s="20"/>
      <c r="N775" s="20"/>
      <c r="O775" s="20"/>
      <c r="P775" s="20"/>
      <c r="Q775" s="20"/>
      <c r="R775" s="20"/>
      <c r="S775" s="20"/>
      <c r="T775" s="20"/>
      <c r="U775" s="21"/>
    </row>
    <row r="776" spans="1:21" ht="28" customHeight="1" x14ac:dyDescent="0.35">
      <c r="A776" s="4" t="s">
        <v>31</v>
      </c>
      <c r="B776" s="3" t="s">
        <v>259</v>
      </c>
      <c r="C776" s="4" t="s">
        <v>32</v>
      </c>
      <c r="D776" s="3"/>
      <c r="E776" s="4" t="s">
        <v>33</v>
      </c>
      <c r="F776" s="8"/>
    </row>
    <row r="777" spans="1:21" ht="28" customHeight="1" x14ac:dyDescent="0.35">
      <c r="A777" s="1" t="s">
        <v>34</v>
      </c>
      <c r="B777" s="1" t="s">
        <v>35</v>
      </c>
      <c r="C777" s="1" t="s">
        <v>36</v>
      </c>
      <c r="D777" s="1" t="s">
        <v>37</v>
      </c>
      <c r="E777" s="1" t="s">
        <v>38</v>
      </c>
      <c r="F777" s="1" t="s">
        <v>39</v>
      </c>
      <c r="G777" s="1" t="s">
        <v>40</v>
      </c>
      <c r="H777" s="1" t="s">
        <v>41</v>
      </c>
      <c r="I777" s="1" t="s">
        <v>42</v>
      </c>
      <c r="J777" s="1" t="s">
        <v>43</v>
      </c>
      <c r="K777" s="1" t="s">
        <v>44</v>
      </c>
      <c r="L777" s="1" t="s">
        <v>45</v>
      </c>
      <c r="M777" s="1" t="s">
        <v>46</v>
      </c>
      <c r="N777" s="1" t="s">
        <v>47</v>
      </c>
      <c r="O777" s="1" t="s">
        <v>48</v>
      </c>
      <c r="P777" s="1" t="s">
        <v>4</v>
      </c>
      <c r="Q777" s="1" t="s">
        <v>49</v>
      </c>
      <c r="R777" s="1" t="s">
        <v>50</v>
      </c>
      <c r="S777" s="1" t="s">
        <v>51</v>
      </c>
      <c r="T777" s="1" t="s">
        <v>52</v>
      </c>
      <c r="U777" s="1" t="s">
        <v>10</v>
      </c>
    </row>
    <row r="778" spans="1:21" ht="28" customHeight="1" x14ac:dyDescent="0.35">
      <c r="A778" s="4">
        <v>1</v>
      </c>
      <c r="B778" s="4" t="s">
        <v>97</v>
      </c>
      <c r="C778" s="4" t="s">
        <v>362</v>
      </c>
      <c r="D778" s="4" t="s">
        <v>363</v>
      </c>
      <c r="E778" s="4" t="s">
        <v>69</v>
      </c>
      <c r="F778" s="4" t="s">
        <v>364</v>
      </c>
      <c r="G778" s="4" t="s">
        <v>199</v>
      </c>
      <c r="H778" s="4" t="s">
        <v>76</v>
      </c>
      <c r="I778" s="3"/>
      <c r="J778" s="3"/>
      <c r="K778" s="3"/>
      <c r="L778" s="3"/>
      <c r="M778" s="3"/>
      <c r="N778" s="3"/>
      <c r="O778" s="3"/>
      <c r="P778" s="8"/>
      <c r="Q778" s="8"/>
      <c r="R778" s="3"/>
      <c r="S778" s="3"/>
      <c r="T778" s="3"/>
      <c r="U778" s="5" t="str">
        <f t="shared" ref="U778:U789" si="46">IF(I778="","",IF(I778="NA","Grey",IF(I778=2,"Green",IF(I778=1,"Amber","Red"))))</f>
        <v/>
      </c>
    </row>
    <row r="779" spans="1:21" ht="28" customHeight="1" x14ac:dyDescent="0.35">
      <c r="A779" s="4">
        <v>2</v>
      </c>
      <c r="B779" s="4" t="s">
        <v>365</v>
      </c>
      <c r="C779" s="4" t="s">
        <v>366</v>
      </c>
      <c r="D779" s="4" t="s">
        <v>367</v>
      </c>
      <c r="E779" s="4" t="s">
        <v>69</v>
      </c>
      <c r="F779" s="4" t="s">
        <v>276</v>
      </c>
      <c r="G779" s="4" t="s">
        <v>199</v>
      </c>
      <c r="H779" s="4" t="s">
        <v>76</v>
      </c>
      <c r="I779" s="3"/>
      <c r="J779" s="3"/>
      <c r="K779" s="3"/>
      <c r="L779" s="3"/>
      <c r="M779" s="3"/>
      <c r="N779" s="3"/>
      <c r="O779" s="3"/>
      <c r="P779" s="8"/>
      <c r="Q779" s="8"/>
      <c r="R779" s="3"/>
      <c r="S779" s="3"/>
      <c r="T779" s="3"/>
      <c r="U779" s="5" t="str">
        <f t="shared" si="46"/>
        <v/>
      </c>
    </row>
    <row r="780" spans="1:21" ht="28" customHeight="1" x14ac:dyDescent="0.35">
      <c r="A780" s="4">
        <v>3</v>
      </c>
      <c r="B780" s="4" t="s">
        <v>365</v>
      </c>
      <c r="C780" s="4" t="s">
        <v>368</v>
      </c>
      <c r="D780" s="4" t="s">
        <v>369</v>
      </c>
      <c r="E780" s="4" t="s">
        <v>69</v>
      </c>
      <c r="F780" s="4" t="s">
        <v>370</v>
      </c>
      <c r="G780" s="4" t="s">
        <v>204</v>
      </c>
      <c r="H780" s="4" t="s">
        <v>76</v>
      </c>
      <c r="I780" s="3"/>
      <c r="J780" s="3"/>
      <c r="K780" s="3"/>
      <c r="L780" s="3"/>
      <c r="M780" s="3"/>
      <c r="N780" s="3"/>
      <c r="O780" s="3"/>
      <c r="P780" s="8"/>
      <c r="Q780" s="8"/>
      <c r="R780" s="3"/>
      <c r="S780" s="3"/>
      <c r="T780" s="3"/>
      <c r="U780" s="5" t="str">
        <f t="shared" si="46"/>
        <v/>
      </c>
    </row>
    <row r="781" spans="1:21" ht="28" customHeight="1" x14ac:dyDescent="0.35">
      <c r="A781" s="4">
        <v>4</v>
      </c>
      <c r="B781" s="4" t="s">
        <v>371</v>
      </c>
      <c r="C781" s="4" t="s">
        <v>372</v>
      </c>
      <c r="D781" s="4" t="s">
        <v>373</v>
      </c>
      <c r="E781" s="4" t="s">
        <v>69</v>
      </c>
      <c r="F781" s="4" t="s">
        <v>295</v>
      </c>
      <c r="G781" s="4" t="s">
        <v>199</v>
      </c>
      <c r="H781" s="4" t="s">
        <v>59</v>
      </c>
      <c r="I781" s="3"/>
      <c r="J781" s="3"/>
      <c r="K781" s="3"/>
      <c r="L781" s="3"/>
      <c r="M781" s="3"/>
      <c r="N781" s="3"/>
      <c r="O781" s="3"/>
      <c r="P781" s="8"/>
      <c r="Q781" s="8"/>
      <c r="R781" s="3"/>
      <c r="S781" s="3"/>
      <c r="T781" s="3"/>
      <c r="U781" s="5" t="str">
        <f t="shared" si="46"/>
        <v/>
      </c>
    </row>
    <row r="782" spans="1:21" ht="28" customHeight="1" x14ac:dyDescent="0.35">
      <c r="A782" s="4">
        <v>5</v>
      </c>
      <c r="B782" s="4" t="s">
        <v>374</v>
      </c>
      <c r="C782" s="4" t="s">
        <v>375</v>
      </c>
      <c r="D782" s="4" t="s">
        <v>376</v>
      </c>
      <c r="E782" s="4" t="s">
        <v>69</v>
      </c>
      <c r="F782" s="4" t="s">
        <v>276</v>
      </c>
      <c r="G782" s="4" t="s">
        <v>199</v>
      </c>
      <c r="H782" s="4" t="s">
        <v>59</v>
      </c>
      <c r="I782" s="3"/>
      <c r="J782" s="3"/>
      <c r="K782" s="3"/>
      <c r="L782" s="3"/>
      <c r="M782" s="3"/>
      <c r="N782" s="3"/>
      <c r="O782" s="3"/>
      <c r="P782" s="8"/>
      <c r="Q782" s="8"/>
      <c r="R782" s="3"/>
      <c r="S782" s="3"/>
      <c r="T782" s="3"/>
      <c r="U782" s="5" t="str">
        <f t="shared" si="46"/>
        <v/>
      </c>
    </row>
    <row r="783" spans="1:21" ht="28" customHeight="1" x14ac:dyDescent="0.35">
      <c r="A783" s="4">
        <v>6</v>
      </c>
      <c r="B783" s="4" t="s">
        <v>377</v>
      </c>
      <c r="C783" s="4" t="s">
        <v>378</v>
      </c>
      <c r="D783" s="4" t="s">
        <v>379</v>
      </c>
      <c r="E783" s="4" t="s">
        <v>69</v>
      </c>
      <c r="F783" s="4" t="s">
        <v>276</v>
      </c>
      <c r="G783" s="4" t="s">
        <v>199</v>
      </c>
      <c r="H783" s="4" t="s">
        <v>59</v>
      </c>
      <c r="I783" s="3"/>
      <c r="J783" s="3"/>
      <c r="K783" s="3"/>
      <c r="L783" s="3"/>
      <c r="M783" s="3"/>
      <c r="N783" s="3"/>
      <c r="O783" s="3"/>
      <c r="P783" s="8"/>
      <c r="Q783" s="8"/>
      <c r="R783" s="3"/>
      <c r="S783" s="3"/>
      <c r="T783" s="3"/>
      <c r="U783" s="5" t="str">
        <f t="shared" si="46"/>
        <v/>
      </c>
    </row>
    <row r="784" spans="1:21" ht="28" customHeight="1" x14ac:dyDescent="0.35">
      <c r="A784" s="4">
        <v>7</v>
      </c>
      <c r="B784" s="4" t="s">
        <v>380</v>
      </c>
      <c r="C784" s="4" t="s">
        <v>381</v>
      </c>
      <c r="D784" s="4" t="s">
        <v>382</v>
      </c>
      <c r="E784" s="4" t="s">
        <v>69</v>
      </c>
      <c r="F784" s="4" t="s">
        <v>276</v>
      </c>
      <c r="G784" s="4" t="s">
        <v>199</v>
      </c>
      <c r="H784" s="4" t="s">
        <v>59</v>
      </c>
      <c r="I784" s="3"/>
      <c r="J784" s="3"/>
      <c r="K784" s="3"/>
      <c r="L784" s="3"/>
      <c r="M784" s="3"/>
      <c r="N784" s="3"/>
      <c r="O784" s="3"/>
      <c r="P784" s="8"/>
      <c r="Q784" s="8"/>
      <c r="R784" s="3"/>
      <c r="S784" s="3"/>
      <c r="T784" s="3"/>
      <c r="U784" s="5" t="str">
        <f t="shared" si="46"/>
        <v/>
      </c>
    </row>
    <row r="785" spans="1:21" ht="28" customHeight="1" x14ac:dyDescent="0.35">
      <c r="A785" s="4">
        <v>8</v>
      </c>
      <c r="B785" s="4" t="s">
        <v>383</v>
      </c>
      <c r="C785" s="4" t="s">
        <v>384</v>
      </c>
      <c r="D785" s="4" t="s">
        <v>385</v>
      </c>
      <c r="E785" s="4" t="s">
        <v>69</v>
      </c>
      <c r="F785" s="4" t="s">
        <v>95</v>
      </c>
      <c r="G785" s="4" t="s">
        <v>96</v>
      </c>
      <c r="H785" s="4" t="s">
        <v>59</v>
      </c>
      <c r="I785" s="3"/>
      <c r="J785" s="3"/>
      <c r="K785" s="3"/>
      <c r="L785" s="3"/>
      <c r="M785" s="3"/>
      <c r="N785" s="3"/>
      <c r="O785" s="3"/>
      <c r="P785" s="8"/>
      <c r="Q785" s="8"/>
      <c r="R785" s="3"/>
      <c r="S785" s="3"/>
      <c r="T785" s="3"/>
      <c r="U785" s="5" t="str">
        <f t="shared" si="46"/>
        <v/>
      </c>
    </row>
    <row r="786" spans="1:21" ht="28" customHeight="1" x14ac:dyDescent="0.35">
      <c r="A786" s="4">
        <v>9</v>
      </c>
      <c r="B786" s="4" t="s">
        <v>97</v>
      </c>
      <c r="C786" s="4" t="s">
        <v>98</v>
      </c>
      <c r="D786" s="4" t="s">
        <v>99</v>
      </c>
      <c r="E786" s="4" t="s">
        <v>69</v>
      </c>
      <c r="F786" s="4" t="s">
        <v>95</v>
      </c>
      <c r="G786" s="4" t="s">
        <v>96</v>
      </c>
      <c r="H786" s="4" t="s">
        <v>59</v>
      </c>
      <c r="I786" s="3"/>
      <c r="J786" s="3"/>
      <c r="K786" s="3"/>
      <c r="L786" s="3"/>
      <c r="M786" s="3"/>
      <c r="N786" s="3"/>
      <c r="O786" s="3"/>
      <c r="P786" s="8"/>
      <c r="Q786" s="8"/>
      <c r="R786" s="3"/>
      <c r="S786" s="3"/>
      <c r="T786" s="3"/>
      <c r="U786" s="5" t="str">
        <f t="shared" si="46"/>
        <v/>
      </c>
    </row>
    <row r="787" spans="1:21" ht="28" customHeight="1" x14ac:dyDescent="0.35">
      <c r="A787" s="4">
        <v>10</v>
      </c>
      <c r="B787" s="4" t="s">
        <v>97</v>
      </c>
      <c r="C787" s="4" t="s">
        <v>100</v>
      </c>
      <c r="D787" s="4" t="s">
        <v>101</v>
      </c>
      <c r="E787" s="4" t="s">
        <v>69</v>
      </c>
      <c r="F787" s="4" t="s">
        <v>95</v>
      </c>
      <c r="G787" s="4" t="s">
        <v>102</v>
      </c>
      <c r="H787" s="4" t="s">
        <v>59</v>
      </c>
      <c r="I787" s="3"/>
      <c r="J787" s="3"/>
      <c r="K787" s="3"/>
      <c r="L787" s="3"/>
      <c r="M787" s="3"/>
      <c r="N787" s="3"/>
      <c r="O787" s="3"/>
      <c r="P787" s="8"/>
      <c r="Q787" s="8"/>
      <c r="R787" s="3"/>
      <c r="S787" s="3"/>
      <c r="T787" s="3"/>
      <c r="U787" s="5" t="str">
        <f t="shared" si="46"/>
        <v/>
      </c>
    </row>
    <row r="788" spans="1:21" ht="28" customHeight="1" x14ac:dyDescent="0.35">
      <c r="A788" s="4">
        <v>11</v>
      </c>
      <c r="B788" s="4" t="s">
        <v>103</v>
      </c>
      <c r="C788" s="4" t="s">
        <v>104</v>
      </c>
      <c r="D788" s="4" t="s">
        <v>105</v>
      </c>
      <c r="E788" s="4" t="s">
        <v>69</v>
      </c>
      <c r="F788" s="4" t="s">
        <v>95</v>
      </c>
      <c r="G788" s="4" t="s">
        <v>96</v>
      </c>
      <c r="H788" s="4" t="s">
        <v>85</v>
      </c>
      <c r="I788" s="3"/>
      <c r="J788" s="3"/>
      <c r="K788" s="3"/>
      <c r="L788" s="3"/>
      <c r="M788" s="3"/>
      <c r="N788" s="3"/>
      <c r="O788" s="3"/>
      <c r="P788" s="8"/>
      <c r="Q788" s="8"/>
      <c r="R788" s="3"/>
      <c r="S788" s="3"/>
      <c r="T788" s="3"/>
      <c r="U788" s="5" t="str">
        <f t="shared" si="46"/>
        <v/>
      </c>
    </row>
    <row r="789" spans="1:21" ht="28" customHeight="1" x14ac:dyDescent="0.35">
      <c r="A789" s="4">
        <v>12</v>
      </c>
      <c r="B789" s="4" t="s">
        <v>106</v>
      </c>
      <c r="C789" s="4" t="s">
        <v>107</v>
      </c>
      <c r="D789" s="4" t="s">
        <v>108</v>
      </c>
      <c r="E789" s="4" t="s">
        <v>109</v>
      </c>
      <c r="F789" s="4" t="s">
        <v>95</v>
      </c>
      <c r="G789" s="4" t="s">
        <v>96</v>
      </c>
      <c r="H789" s="4" t="s">
        <v>59</v>
      </c>
      <c r="I789" s="3"/>
      <c r="J789" s="3"/>
      <c r="K789" s="3"/>
      <c r="L789" s="3"/>
      <c r="M789" s="3"/>
      <c r="N789" s="3"/>
      <c r="O789" s="3"/>
      <c r="P789" s="8"/>
      <c r="Q789" s="8"/>
      <c r="R789" s="3"/>
      <c r="S789" s="3"/>
      <c r="T789" s="3"/>
      <c r="U789" s="5" t="str">
        <f t="shared" si="46"/>
        <v/>
      </c>
    </row>
    <row r="791" spans="1:21" ht="28" customHeight="1" x14ac:dyDescent="0.35">
      <c r="A791" s="9" t="s">
        <v>110</v>
      </c>
      <c r="B791" s="16"/>
      <c r="C791" s="17"/>
      <c r="D791" s="17"/>
      <c r="E791" s="17"/>
      <c r="F791" s="17"/>
      <c r="G791" s="17"/>
      <c r="H791" s="17"/>
      <c r="I791" s="17"/>
      <c r="J791" s="17"/>
      <c r="K791" s="17"/>
      <c r="L791" s="17"/>
      <c r="M791" s="17"/>
      <c r="N791" s="17"/>
      <c r="O791" s="17"/>
      <c r="P791" s="17"/>
      <c r="Q791" s="17"/>
      <c r="R791" s="17"/>
      <c r="S791" s="17"/>
      <c r="T791" s="17"/>
      <c r="U791" s="18"/>
    </row>
    <row r="792" spans="1:21" ht="28" customHeight="1" x14ac:dyDescent="0.35">
      <c r="A792" s="19" t="s">
        <v>428</v>
      </c>
      <c r="B792" s="20"/>
      <c r="C792" s="20"/>
      <c r="D792" s="20"/>
      <c r="E792" s="20"/>
      <c r="F792" s="20"/>
      <c r="G792" s="20"/>
      <c r="H792" s="20"/>
      <c r="I792" s="20"/>
      <c r="J792" s="20"/>
      <c r="K792" s="20"/>
      <c r="L792" s="20"/>
      <c r="M792" s="20"/>
      <c r="N792" s="20"/>
      <c r="O792" s="20"/>
      <c r="P792" s="20"/>
      <c r="Q792" s="20"/>
      <c r="R792" s="20"/>
      <c r="S792" s="20"/>
      <c r="T792" s="20"/>
      <c r="U792" s="21"/>
    </row>
    <row r="793" spans="1:21" ht="28" customHeight="1" x14ac:dyDescent="0.35">
      <c r="A793" s="4" t="s">
        <v>31</v>
      </c>
      <c r="B793" s="3" t="s">
        <v>260</v>
      </c>
      <c r="C793" s="4" t="s">
        <v>32</v>
      </c>
      <c r="D793" s="3"/>
      <c r="E793" s="4" t="s">
        <v>33</v>
      </c>
      <c r="F793" s="8"/>
    </row>
    <row r="794" spans="1:21" ht="28" customHeight="1" x14ac:dyDescent="0.35">
      <c r="A794" s="1" t="s">
        <v>34</v>
      </c>
      <c r="B794" s="1" t="s">
        <v>35</v>
      </c>
      <c r="C794" s="1" t="s">
        <v>36</v>
      </c>
      <c r="D794" s="1" t="s">
        <v>37</v>
      </c>
      <c r="E794" s="1" t="s">
        <v>38</v>
      </c>
      <c r="F794" s="1" t="s">
        <v>39</v>
      </c>
      <c r="G794" s="1" t="s">
        <v>40</v>
      </c>
      <c r="H794" s="1" t="s">
        <v>41</v>
      </c>
      <c r="I794" s="1" t="s">
        <v>42</v>
      </c>
      <c r="J794" s="1" t="s">
        <v>43</v>
      </c>
      <c r="K794" s="1" t="s">
        <v>44</v>
      </c>
      <c r="L794" s="1" t="s">
        <v>45</v>
      </c>
      <c r="M794" s="1" t="s">
        <v>46</v>
      </c>
      <c r="N794" s="1" t="s">
        <v>47</v>
      </c>
      <c r="O794" s="1" t="s">
        <v>48</v>
      </c>
      <c r="P794" s="1" t="s">
        <v>4</v>
      </c>
      <c r="Q794" s="1" t="s">
        <v>49</v>
      </c>
      <c r="R794" s="1" t="s">
        <v>50</v>
      </c>
      <c r="S794" s="1" t="s">
        <v>51</v>
      </c>
      <c r="T794" s="1" t="s">
        <v>52</v>
      </c>
      <c r="U794" s="1" t="s">
        <v>10</v>
      </c>
    </row>
    <row r="795" spans="1:21" ht="28" customHeight="1" x14ac:dyDescent="0.35">
      <c r="A795" s="4">
        <v>1</v>
      </c>
      <c r="B795" s="4" t="s">
        <v>97</v>
      </c>
      <c r="C795" s="4" t="s">
        <v>362</v>
      </c>
      <c r="D795" s="4" t="s">
        <v>363</v>
      </c>
      <c r="E795" s="4" t="s">
        <v>69</v>
      </c>
      <c r="F795" s="4" t="s">
        <v>364</v>
      </c>
      <c r="G795" s="4" t="s">
        <v>199</v>
      </c>
      <c r="H795" s="4" t="s">
        <v>76</v>
      </c>
      <c r="I795" s="3"/>
      <c r="J795" s="3"/>
      <c r="K795" s="3"/>
      <c r="L795" s="3"/>
      <c r="M795" s="3"/>
      <c r="N795" s="3"/>
      <c r="O795" s="3"/>
      <c r="P795" s="8"/>
      <c r="Q795" s="8"/>
      <c r="R795" s="3"/>
      <c r="S795" s="3"/>
      <c r="T795" s="3"/>
      <c r="U795" s="5" t="str">
        <f t="shared" ref="U795:U806" si="47">IF(I795="","",IF(I795="NA","Grey",IF(I795=2,"Green",IF(I795=1,"Amber","Red"))))</f>
        <v/>
      </c>
    </row>
    <row r="796" spans="1:21" ht="28" customHeight="1" x14ac:dyDescent="0.35">
      <c r="A796" s="4">
        <v>2</v>
      </c>
      <c r="B796" s="4" t="s">
        <v>365</v>
      </c>
      <c r="C796" s="4" t="s">
        <v>366</v>
      </c>
      <c r="D796" s="4" t="s">
        <v>367</v>
      </c>
      <c r="E796" s="4" t="s">
        <v>69</v>
      </c>
      <c r="F796" s="4" t="s">
        <v>276</v>
      </c>
      <c r="G796" s="4" t="s">
        <v>199</v>
      </c>
      <c r="H796" s="4" t="s">
        <v>76</v>
      </c>
      <c r="I796" s="3"/>
      <c r="J796" s="3"/>
      <c r="K796" s="3"/>
      <c r="L796" s="3"/>
      <c r="M796" s="3"/>
      <c r="N796" s="3"/>
      <c r="O796" s="3"/>
      <c r="P796" s="8"/>
      <c r="Q796" s="8"/>
      <c r="R796" s="3"/>
      <c r="S796" s="3"/>
      <c r="T796" s="3"/>
      <c r="U796" s="5" t="str">
        <f t="shared" si="47"/>
        <v/>
      </c>
    </row>
    <row r="797" spans="1:21" ht="28" customHeight="1" x14ac:dyDescent="0.35">
      <c r="A797" s="4">
        <v>3</v>
      </c>
      <c r="B797" s="4" t="s">
        <v>365</v>
      </c>
      <c r="C797" s="4" t="s">
        <v>368</v>
      </c>
      <c r="D797" s="4" t="s">
        <v>369</v>
      </c>
      <c r="E797" s="4" t="s">
        <v>69</v>
      </c>
      <c r="F797" s="4" t="s">
        <v>370</v>
      </c>
      <c r="G797" s="4" t="s">
        <v>204</v>
      </c>
      <c r="H797" s="4" t="s">
        <v>76</v>
      </c>
      <c r="I797" s="3"/>
      <c r="J797" s="3"/>
      <c r="K797" s="3"/>
      <c r="L797" s="3"/>
      <c r="M797" s="3"/>
      <c r="N797" s="3"/>
      <c r="O797" s="3"/>
      <c r="P797" s="8"/>
      <c r="Q797" s="8"/>
      <c r="R797" s="3"/>
      <c r="S797" s="3"/>
      <c r="T797" s="3"/>
      <c r="U797" s="5" t="str">
        <f t="shared" si="47"/>
        <v/>
      </c>
    </row>
    <row r="798" spans="1:21" ht="28" customHeight="1" x14ac:dyDescent="0.35">
      <c r="A798" s="4">
        <v>4</v>
      </c>
      <c r="B798" s="4" t="s">
        <v>371</v>
      </c>
      <c r="C798" s="4" t="s">
        <v>372</v>
      </c>
      <c r="D798" s="4" t="s">
        <v>373</v>
      </c>
      <c r="E798" s="4" t="s">
        <v>69</v>
      </c>
      <c r="F798" s="4" t="s">
        <v>295</v>
      </c>
      <c r="G798" s="4" t="s">
        <v>199</v>
      </c>
      <c r="H798" s="4" t="s">
        <v>59</v>
      </c>
      <c r="I798" s="3"/>
      <c r="J798" s="3"/>
      <c r="K798" s="3"/>
      <c r="L798" s="3"/>
      <c r="M798" s="3"/>
      <c r="N798" s="3"/>
      <c r="O798" s="3"/>
      <c r="P798" s="8"/>
      <c r="Q798" s="8"/>
      <c r="R798" s="3"/>
      <c r="S798" s="3"/>
      <c r="T798" s="3"/>
      <c r="U798" s="5" t="str">
        <f t="shared" si="47"/>
        <v/>
      </c>
    </row>
    <row r="799" spans="1:21" ht="28" customHeight="1" x14ac:dyDescent="0.35">
      <c r="A799" s="4">
        <v>5</v>
      </c>
      <c r="B799" s="4" t="s">
        <v>374</v>
      </c>
      <c r="C799" s="4" t="s">
        <v>375</v>
      </c>
      <c r="D799" s="4" t="s">
        <v>376</v>
      </c>
      <c r="E799" s="4" t="s">
        <v>69</v>
      </c>
      <c r="F799" s="4" t="s">
        <v>276</v>
      </c>
      <c r="G799" s="4" t="s">
        <v>199</v>
      </c>
      <c r="H799" s="4" t="s">
        <v>59</v>
      </c>
      <c r="I799" s="3"/>
      <c r="J799" s="3"/>
      <c r="K799" s="3"/>
      <c r="L799" s="3"/>
      <c r="M799" s="3"/>
      <c r="N799" s="3"/>
      <c r="O799" s="3"/>
      <c r="P799" s="8"/>
      <c r="Q799" s="8"/>
      <c r="R799" s="3"/>
      <c r="S799" s="3"/>
      <c r="T799" s="3"/>
      <c r="U799" s="5" t="str">
        <f t="shared" si="47"/>
        <v/>
      </c>
    </row>
    <row r="800" spans="1:21" ht="28" customHeight="1" x14ac:dyDescent="0.35">
      <c r="A800" s="4">
        <v>6</v>
      </c>
      <c r="B800" s="4" t="s">
        <v>377</v>
      </c>
      <c r="C800" s="4" t="s">
        <v>378</v>
      </c>
      <c r="D800" s="4" t="s">
        <v>379</v>
      </c>
      <c r="E800" s="4" t="s">
        <v>69</v>
      </c>
      <c r="F800" s="4" t="s">
        <v>276</v>
      </c>
      <c r="G800" s="4" t="s">
        <v>199</v>
      </c>
      <c r="H800" s="4" t="s">
        <v>59</v>
      </c>
      <c r="I800" s="3"/>
      <c r="J800" s="3"/>
      <c r="K800" s="3"/>
      <c r="L800" s="3"/>
      <c r="M800" s="3"/>
      <c r="N800" s="3"/>
      <c r="O800" s="3"/>
      <c r="P800" s="8"/>
      <c r="Q800" s="8"/>
      <c r="R800" s="3"/>
      <c r="S800" s="3"/>
      <c r="T800" s="3"/>
      <c r="U800" s="5" t="str">
        <f t="shared" si="47"/>
        <v/>
      </c>
    </row>
    <row r="801" spans="1:21" ht="28" customHeight="1" x14ac:dyDescent="0.35">
      <c r="A801" s="4">
        <v>7</v>
      </c>
      <c r="B801" s="4" t="s">
        <v>380</v>
      </c>
      <c r="C801" s="4" t="s">
        <v>381</v>
      </c>
      <c r="D801" s="4" t="s">
        <v>382</v>
      </c>
      <c r="E801" s="4" t="s">
        <v>69</v>
      </c>
      <c r="F801" s="4" t="s">
        <v>276</v>
      </c>
      <c r="G801" s="4" t="s">
        <v>199</v>
      </c>
      <c r="H801" s="4" t="s">
        <v>59</v>
      </c>
      <c r="I801" s="3"/>
      <c r="J801" s="3"/>
      <c r="K801" s="3"/>
      <c r="L801" s="3"/>
      <c r="M801" s="3"/>
      <c r="N801" s="3"/>
      <c r="O801" s="3"/>
      <c r="P801" s="8"/>
      <c r="Q801" s="8"/>
      <c r="R801" s="3"/>
      <c r="S801" s="3"/>
      <c r="T801" s="3"/>
      <c r="U801" s="5" t="str">
        <f t="shared" si="47"/>
        <v/>
      </c>
    </row>
    <row r="802" spans="1:21" ht="28" customHeight="1" x14ac:dyDescent="0.35">
      <c r="A802" s="4">
        <v>8</v>
      </c>
      <c r="B802" s="4" t="s">
        <v>383</v>
      </c>
      <c r="C802" s="4" t="s">
        <v>384</v>
      </c>
      <c r="D802" s="4" t="s">
        <v>385</v>
      </c>
      <c r="E802" s="4" t="s">
        <v>69</v>
      </c>
      <c r="F802" s="4" t="s">
        <v>95</v>
      </c>
      <c r="G802" s="4" t="s">
        <v>96</v>
      </c>
      <c r="H802" s="4" t="s">
        <v>59</v>
      </c>
      <c r="I802" s="3"/>
      <c r="J802" s="3"/>
      <c r="K802" s="3"/>
      <c r="L802" s="3"/>
      <c r="M802" s="3"/>
      <c r="N802" s="3"/>
      <c r="O802" s="3"/>
      <c r="P802" s="8"/>
      <c r="Q802" s="8"/>
      <c r="R802" s="3"/>
      <c r="S802" s="3"/>
      <c r="T802" s="3"/>
      <c r="U802" s="5" t="str">
        <f t="shared" si="47"/>
        <v/>
      </c>
    </row>
    <row r="803" spans="1:21" ht="28" customHeight="1" x14ac:dyDescent="0.35">
      <c r="A803" s="4">
        <v>9</v>
      </c>
      <c r="B803" s="4" t="s">
        <v>97</v>
      </c>
      <c r="C803" s="4" t="s">
        <v>98</v>
      </c>
      <c r="D803" s="4" t="s">
        <v>99</v>
      </c>
      <c r="E803" s="4" t="s">
        <v>69</v>
      </c>
      <c r="F803" s="4" t="s">
        <v>95</v>
      </c>
      <c r="G803" s="4" t="s">
        <v>96</v>
      </c>
      <c r="H803" s="4" t="s">
        <v>59</v>
      </c>
      <c r="I803" s="3"/>
      <c r="J803" s="3"/>
      <c r="K803" s="3"/>
      <c r="L803" s="3"/>
      <c r="M803" s="3"/>
      <c r="N803" s="3"/>
      <c r="O803" s="3"/>
      <c r="P803" s="8"/>
      <c r="Q803" s="8"/>
      <c r="R803" s="3"/>
      <c r="S803" s="3"/>
      <c r="T803" s="3"/>
      <c r="U803" s="5" t="str">
        <f t="shared" si="47"/>
        <v/>
      </c>
    </row>
    <row r="804" spans="1:21" ht="28" customHeight="1" x14ac:dyDescent="0.35">
      <c r="A804" s="4">
        <v>10</v>
      </c>
      <c r="B804" s="4" t="s">
        <v>97</v>
      </c>
      <c r="C804" s="4" t="s">
        <v>100</v>
      </c>
      <c r="D804" s="4" t="s">
        <v>101</v>
      </c>
      <c r="E804" s="4" t="s">
        <v>69</v>
      </c>
      <c r="F804" s="4" t="s">
        <v>95</v>
      </c>
      <c r="G804" s="4" t="s">
        <v>102</v>
      </c>
      <c r="H804" s="4" t="s">
        <v>59</v>
      </c>
      <c r="I804" s="3"/>
      <c r="J804" s="3"/>
      <c r="K804" s="3"/>
      <c r="L804" s="3"/>
      <c r="M804" s="3"/>
      <c r="N804" s="3"/>
      <c r="O804" s="3"/>
      <c r="P804" s="8"/>
      <c r="Q804" s="8"/>
      <c r="R804" s="3"/>
      <c r="S804" s="3"/>
      <c r="T804" s="3"/>
      <c r="U804" s="5" t="str">
        <f t="shared" si="47"/>
        <v/>
      </c>
    </row>
    <row r="805" spans="1:21" ht="28" customHeight="1" x14ac:dyDescent="0.35">
      <c r="A805" s="4">
        <v>11</v>
      </c>
      <c r="B805" s="4" t="s">
        <v>103</v>
      </c>
      <c r="C805" s="4" t="s">
        <v>104</v>
      </c>
      <c r="D805" s="4" t="s">
        <v>105</v>
      </c>
      <c r="E805" s="4" t="s">
        <v>69</v>
      </c>
      <c r="F805" s="4" t="s">
        <v>95</v>
      </c>
      <c r="G805" s="4" t="s">
        <v>96</v>
      </c>
      <c r="H805" s="4" t="s">
        <v>85</v>
      </c>
      <c r="I805" s="3"/>
      <c r="J805" s="3"/>
      <c r="K805" s="3"/>
      <c r="L805" s="3"/>
      <c r="M805" s="3"/>
      <c r="N805" s="3"/>
      <c r="O805" s="3"/>
      <c r="P805" s="8"/>
      <c r="Q805" s="8"/>
      <c r="R805" s="3"/>
      <c r="S805" s="3"/>
      <c r="T805" s="3"/>
      <c r="U805" s="5" t="str">
        <f t="shared" si="47"/>
        <v/>
      </c>
    </row>
    <row r="806" spans="1:21" ht="28" customHeight="1" x14ac:dyDescent="0.35">
      <c r="A806" s="4">
        <v>12</v>
      </c>
      <c r="B806" s="4" t="s">
        <v>106</v>
      </c>
      <c r="C806" s="4" t="s">
        <v>107</v>
      </c>
      <c r="D806" s="4" t="s">
        <v>108</v>
      </c>
      <c r="E806" s="4" t="s">
        <v>109</v>
      </c>
      <c r="F806" s="4" t="s">
        <v>95</v>
      </c>
      <c r="G806" s="4" t="s">
        <v>96</v>
      </c>
      <c r="H806" s="4" t="s">
        <v>59</v>
      </c>
      <c r="I806" s="3"/>
      <c r="J806" s="3"/>
      <c r="K806" s="3"/>
      <c r="L806" s="3"/>
      <c r="M806" s="3"/>
      <c r="N806" s="3"/>
      <c r="O806" s="3"/>
      <c r="P806" s="8"/>
      <c r="Q806" s="8"/>
      <c r="R806" s="3"/>
      <c r="S806" s="3"/>
      <c r="T806" s="3"/>
      <c r="U806" s="5" t="str">
        <f t="shared" si="47"/>
        <v/>
      </c>
    </row>
    <row r="808" spans="1:21" ht="28" customHeight="1" x14ac:dyDescent="0.35">
      <c r="A808" s="9" t="s">
        <v>110</v>
      </c>
      <c r="B808" s="16"/>
      <c r="C808" s="17"/>
      <c r="D808" s="17"/>
      <c r="E808" s="17"/>
      <c r="F808" s="17"/>
      <c r="G808" s="17"/>
      <c r="H808" s="17"/>
      <c r="I808" s="17"/>
      <c r="J808" s="17"/>
      <c r="K808" s="17"/>
      <c r="L808" s="17"/>
      <c r="M808" s="17"/>
      <c r="N808" s="17"/>
      <c r="O808" s="17"/>
      <c r="P808" s="17"/>
      <c r="Q808" s="17"/>
      <c r="R808" s="17"/>
      <c r="S808" s="17"/>
      <c r="T808" s="17"/>
      <c r="U808" s="18"/>
    </row>
    <row r="809" spans="1:21" ht="28" customHeight="1" x14ac:dyDescent="0.35">
      <c r="A809" s="19" t="s">
        <v>429</v>
      </c>
      <c r="B809" s="20"/>
      <c r="C809" s="20"/>
      <c r="D809" s="20"/>
      <c r="E809" s="20"/>
      <c r="F809" s="20"/>
      <c r="G809" s="20"/>
      <c r="H809" s="20"/>
      <c r="I809" s="20"/>
      <c r="J809" s="20"/>
      <c r="K809" s="20"/>
      <c r="L809" s="20"/>
      <c r="M809" s="20"/>
      <c r="N809" s="20"/>
      <c r="O809" s="20"/>
      <c r="P809" s="20"/>
      <c r="Q809" s="20"/>
      <c r="R809" s="20"/>
      <c r="S809" s="20"/>
      <c r="T809" s="20"/>
      <c r="U809" s="21"/>
    </row>
    <row r="810" spans="1:21" ht="28" customHeight="1" x14ac:dyDescent="0.35">
      <c r="A810" s="4" t="s">
        <v>31</v>
      </c>
      <c r="B810" s="3" t="s">
        <v>261</v>
      </c>
      <c r="C810" s="4" t="s">
        <v>32</v>
      </c>
      <c r="D810" s="3"/>
      <c r="E810" s="4" t="s">
        <v>33</v>
      </c>
      <c r="F810" s="8"/>
    </row>
    <row r="811" spans="1:21" ht="28" customHeight="1" x14ac:dyDescent="0.35">
      <c r="A811" s="1" t="s">
        <v>34</v>
      </c>
      <c r="B811" s="1" t="s">
        <v>35</v>
      </c>
      <c r="C811" s="1" t="s">
        <v>36</v>
      </c>
      <c r="D811" s="1" t="s">
        <v>37</v>
      </c>
      <c r="E811" s="1" t="s">
        <v>38</v>
      </c>
      <c r="F811" s="1" t="s">
        <v>39</v>
      </c>
      <c r="G811" s="1" t="s">
        <v>40</v>
      </c>
      <c r="H811" s="1" t="s">
        <v>41</v>
      </c>
      <c r="I811" s="1" t="s">
        <v>42</v>
      </c>
      <c r="J811" s="1" t="s">
        <v>43</v>
      </c>
      <c r="K811" s="1" t="s">
        <v>44</v>
      </c>
      <c r="L811" s="1" t="s">
        <v>45</v>
      </c>
      <c r="M811" s="1" t="s">
        <v>46</v>
      </c>
      <c r="N811" s="1" t="s">
        <v>47</v>
      </c>
      <c r="O811" s="1" t="s">
        <v>48</v>
      </c>
      <c r="P811" s="1" t="s">
        <v>4</v>
      </c>
      <c r="Q811" s="1" t="s">
        <v>49</v>
      </c>
      <c r="R811" s="1" t="s">
        <v>50</v>
      </c>
      <c r="S811" s="1" t="s">
        <v>51</v>
      </c>
      <c r="T811" s="1" t="s">
        <v>52</v>
      </c>
      <c r="U811" s="1" t="s">
        <v>10</v>
      </c>
    </row>
    <row r="812" spans="1:21" ht="28" customHeight="1" x14ac:dyDescent="0.35">
      <c r="A812" s="4">
        <v>1</v>
      </c>
      <c r="B812" s="4" t="s">
        <v>97</v>
      </c>
      <c r="C812" s="4" t="s">
        <v>362</v>
      </c>
      <c r="D812" s="4" t="s">
        <v>363</v>
      </c>
      <c r="E812" s="4" t="s">
        <v>69</v>
      </c>
      <c r="F812" s="4" t="s">
        <v>364</v>
      </c>
      <c r="G812" s="4" t="s">
        <v>199</v>
      </c>
      <c r="H812" s="4" t="s">
        <v>76</v>
      </c>
      <c r="I812" s="3"/>
      <c r="J812" s="3"/>
      <c r="K812" s="3"/>
      <c r="L812" s="3"/>
      <c r="M812" s="3"/>
      <c r="N812" s="3"/>
      <c r="O812" s="3"/>
      <c r="P812" s="8"/>
      <c r="Q812" s="8"/>
      <c r="R812" s="3"/>
      <c r="S812" s="3"/>
      <c r="T812" s="3"/>
      <c r="U812" s="5" t="str">
        <f t="shared" ref="U812:U823" si="48">IF(I812="","",IF(I812="NA","Grey",IF(I812=2,"Green",IF(I812=1,"Amber","Red"))))</f>
        <v/>
      </c>
    </row>
    <row r="813" spans="1:21" ht="28" customHeight="1" x14ac:dyDescent="0.35">
      <c r="A813" s="4">
        <v>2</v>
      </c>
      <c r="B813" s="4" t="s">
        <v>365</v>
      </c>
      <c r="C813" s="4" t="s">
        <v>366</v>
      </c>
      <c r="D813" s="4" t="s">
        <v>367</v>
      </c>
      <c r="E813" s="4" t="s">
        <v>69</v>
      </c>
      <c r="F813" s="4" t="s">
        <v>276</v>
      </c>
      <c r="G813" s="4" t="s">
        <v>199</v>
      </c>
      <c r="H813" s="4" t="s">
        <v>76</v>
      </c>
      <c r="I813" s="3"/>
      <c r="J813" s="3"/>
      <c r="K813" s="3"/>
      <c r="L813" s="3"/>
      <c r="M813" s="3"/>
      <c r="N813" s="3"/>
      <c r="O813" s="3"/>
      <c r="P813" s="8"/>
      <c r="Q813" s="8"/>
      <c r="R813" s="3"/>
      <c r="S813" s="3"/>
      <c r="T813" s="3"/>
      <c r="U813" s="5" t="str">
        <f t="shared" si="48"/>
        <v/>
      </c>
    </row>
    <row r="814" spans="1:21" ht="28" customHeight="1" x14ac:dyDescent="0.35">
      <c r="A814" s="4">
        <v>3</v>
      </c>
      <c r="B814" s="4" t="s">
        <v>365</v>
      </c>
      <c r="C814" s="4" t="s">
        <v>368</v>
      </c>
      <c r="D814" s="4" t="s">
        <v>369</v>
      </c>
      <c r="E814" s="4" t="s">
        <v>69</v>
      </c>
      <c r="F814" s="4" t="s">
        <v>370</v>
      </c>
      <c r="G814" s="4" t="s">
        <v>204</v>
      </c>
      <c r="H814" s="4" t="s">
        <v>76</v>
      </c>
      <c r="I814" s="3"/>
      <c r="J814" s="3"/>
      <c r="K814" s="3"/>
      <c r="L814" s="3"/>
      <c r="M814" s="3"/>
      <c r="N814" s="3"/>
      <c r="O814" s="3"/>
      <c r="P814" s="8"/>
      <c r="Q814" s="8"/>
      <c r="R814" s="3"/>
      <c r="S814" s="3"/>
      <c r="T814" s="3"/>
      <c r="U814" s="5" t="str">
        <f t="shared" si="48"/>
        <v/>
      </c>
    </row>
    <row r="815" spans="1:21" ht="28" customHeight="1" x14ac:dyDescent="0.35">
      <c r="A815" s="4">
        <v>4</v>
      </c>
      <c r="B815" s="4" t="s">
        <v>371</v>
      </c>
      <c r="C815" s="4" t="s">
        <v>372</v>
      </c>
      <c r="D815" s="4" t="s">
        <v>373</v>
      </c>
      <c r="E815" s="4" t="s">
        <v>69</v>
      </c>
      <c r="F815" s="4" t="s">
        <v>295</v>
      </c>
      <c r="G815" s="4" t="s">
        <v>199</v>
      </c>
      <c r="H815" s="4" t="s">
        <v>59</v>
      </c>
      <c r="I815" s="3"/>
      <c r="J815" s="3"/>
      <c r="K815" s="3"/>
      <c r="L815" s="3"/>
      <c r="M815" s="3"/>
      <c r="N815" s="3"/>
      <c r="O815" s="3"/>
      <c r="P815" s="8"/>
      <c r="Q815" s="8"/>
      <c r="R815" s="3"/>
      <c r="S815" s="3"/>
      <c r="T815" s="3"/>
      <c r="U815" s="5" t="str">
        <f t="shared" si="48"/>
        <v/>
      </c>
    </row>
    <row r="816" spans="1:21" ht="28" customHeight="1" x14ac:dyDescent="0.35">
      <c r="A816" s="4">
        <v>5</v>
      </c>
      <c r="B816" s="4" t="s">
        <v>374</v>
      </c>
      <c r="C816" s="4" t="s">
        <v>375</v>
      </c>
      <c r="D816" s="4" t="s">
        <v>376</v>
      </c>
      <c r="E816" s="4" t="s">
        <v>69</v>
      </c>
      <c r="F816" s="4" t="s">
        <v>276</v>
      </c>
      <c r="G816" s="4" t="s">
        <v>199</v>
      </c>
      <c r="H816" s="4" t="s">
        <v>59</v>
      </c>
      <c r="I816" s="3"/>
      <c r="J816" s="3"/>
      <c r="K816" s="3"/>
      <c r="L816" s="3"/>
      <c r="M816" s="3"/>
      <c r="N816" s="3"/>
      <c r="O816" s="3"/>
      <c r="P816" s="8"/>
      <c r="Q816" s="8"/>
      <c r="R816" s="3"/>
      <c r="S816" s="3"/>
      <c r="T816" s="3"/>
      <c r="U816" s="5" t="str">
        <f t="shared" si="48"/>
        <v/>
      </c>
    </row>
    <row r="817" spans="1:21" ht="28" customHeight="1" x14ac:dyDescent="0.35">
      <c r="A817" s="4">
        <v>6</v>
      </c>
      <c r="B817" s="4" t="s">
        <v>377</v>
      </c>
      <c r="C817" s="4" t="s">
        <v>378</v>
      </c>
      <c r="D817" s="4" t="s">
        <v>379</v>
      </c>
      <c r="E817" s="4" t="s">
        <v>69</v>
      </c>
      <c r="F817" s="4" t="s">
        <v>276</v>
      </c>
      <c r="G817" s="4" t="s">
        <v>199</v>
      </c>
      <c r="H817" s="4" t="s">
        <v>59</v>
      </c>
      <c r="I817" s="3"/>
      <c r="J817" s="3"/>
      <c r="K817" s="3"/>
      <c r="L817" s="3"/>
      <c r="M817" s="3"/>
      <c r="N817" s="3"/>
      <c r="O817" s="3"/>
      <c r="P817" s="8"/>
      <c r="Q817" s="8"/>
      <c r="R817" s="3"/>
      <c r="S817" s="3"/>
      <c r="T817" s="3"/>
      <c r="U817" s="5" t="str">
        <f t="shared" si="48"/>
        <v/>
      </c>
    </row>
    <row r="818" spans="1:21" ht="28" customHeight="1" x14ac:dyDescent="0.35">
      <c r="A818" s="4">
        <v>7</v>
      </c>
      <c r="B818" s="4" t="s">
        <v>380</v>
      </c>
      <c r="C818" s="4" t="s">
        <v>381</v>
      </c>
      <c r="D818" s="4" t="s">
        <v>382</v>
      </c>
      <c r="E818" s="4" t="s">
        <v>69</v>
      </c>
      <c r="F818" s="4" t="s">
        <v>276</v>
      </c>
      <c r="G818" s="4" t="s">
        <v>199</v>
      </c>
      <c r="H818" s="4" t="s">
        <v>59</v>
      </c>
      <c r="I818" s="3"/>
      <c r="J818" s="3"/>
      <c r="K818" s="3"/>
      <c r="L818" s="3"/>
      <c r="M818" s="3"/>
      <c r="N818" s="3"/>
      <c r="O818" s="3"/>
      <c r="P818" s="8"/>
      <c r="Q818" s="8"/>
      <c r="R818" s="3"/>
      <c r="S818" s="3"/>
      <c r="T818" s="3"/>
      <c r="U818" s="5" t="str">
        <f t="shared" si="48"/>
        <v/>
      </c>
    </row>
    <row r="819" spans="1:21" ht="28" customHeight="1" x14ac:dyDescent="0.35">
      <c r="A819" s="4">
        <v>8</v>
      </c>
      <c r="B819" s="4" t="s">
        <v>383</v>
      </c>
      <c r="C819" s="4" t="s">
        <v>384</v>
      </c>
      <c r="D819" s="4" t="s">
        <v>385</v>
      </c>
      <c r="E819" s="4" t="s">
        <v>69</v>
      </c>
      <c r="F819" s="4" t="s">
        <v>95</v>
      </c>
      <c r="G819" s="4" t="s">
        <v>96</v>
      </c>
      <c r="H819" s="4" t="s">
        <v>59</v>
      </c>
      <c r="I819" s="3"/>
      <c r="J819" s="3"/>
      <c r="K819" s="3"/>
      <c r="L819" s="3"/>
      <c r="M819" s="3"/>
      <c r="N819" s="3"/>
      <c r="O819" s="3"/>
      <c r="P819" s="8"/>
      <c r="Q819" s="8"/>
      <c r="R819" s="3"/>
      <c r="S819" s="3"/>
      <c r="T819" s="3"/>
      <c r="U819" s="5" t="str">
        <f t="shared" si="48"/>
        <v/>
      </c>
    </row>
    <row r="820" spans="1:21" ht="28" customHeight="1" x14ac:dyDescent="0.35">
      <c r="A820" s="4">
        <v>9</v>
      </c>
      <c r="B820" s="4" t="s">
        <v>97</v>
      </c>
      <c r="C820" s="4" t="s">
        <v>98</v>
      </c>
      <c r="D820" s="4" t="s">
        <v>99</v>
      </c>
      <c r="E820" s="4" t="s">
        <v>69</v>
      </c>
      <c r="F820" s="4" t="s">
        <v>95</v>
      </c>
      <c r="G820" s="4" t="s">
        <v>96</v>
      </c>
      <c r="H820" s="4" t="s">
        <v>59</v>
      </c>
      <c r="I820" s="3"/>
      <c r="J820" s="3"/>
      <c r="K820" s="3"/>
      <c r="L820" s="3"/>
      <c r="M820" s="3"/>
      <c r="N820" s="3"/>
      <c r="O820" s="3"/>
      <c r="P820" s="8"/>
      <c r="Q820" s="8"/>
      <c r="R820" s="3"/>
      <c r="S820" s="3"/>
      <c r="T820" s="3"/>
      <c r="U820" s="5" t="str">
        <f t="shared" si="48"/>
        <v/>
      </c>
    </row>
    <row r="821" spans="1:21" ht="28" customHeight="1" x14ac:dyDescent="0.35">
      <c r="A821" s="4">
        <v>10</v>
      </c>
      <c r="B821" s="4" t="s">
        <v>97</v>
      </c>
      <c r="C821" s="4" t="s">
        <v>100</v>
      </c>
      <c r="D821" s="4" t="s">
        <v>101</v>
      </c>
      <c r="E821" s="4" t="s">
        <v>69</v>
      </c>
      <c r="F821" s="4" t="s">
        <v>95</v>
      </c>
      <c r="G821" s="4" t="s">
        <v>102</v>
      </c>
      <c r="H821" s="4" t="s">
        <v>59</v>
      </c>
      <c r="I821" s="3"/>
      <c r="J821" s="3"/>
      <c r="K821" s="3"/>
      <c r="L821" s="3"/>
      <c r="M821" s="3"/>
      <c r="N821" s="3"/>
      <c r="O821" s="3"/>
      <c r="P821" s="8"/>
      <c r="Q821" s="8"/>
      <c r="R821" s="3"/>
      <c r="S821" s="3"/>
      <c r="T821" s="3"/>
      <c r="U821" s="5" t="str">
        <f t="shared" si="48"/>
        <v/>
      </c>
    </row>
    <row r="822" spans="1:21" ht="28" customHeight="1" x14ac:dyDescent="0.35">
      <c r="A822" s="4">
        <v>11</v>
      </c>
      <c r="B822" s="4" t="s">
        <v>103</v>
      </c>
      <c r="C822" s="4" t="s">
        <v>104</v>
      </c>
      <c r="D822" s="4" t="s">
        <v>105</v>
      </c>
      <c r="E822" s="4" t="s">
        <v>69</v>
      </c>
      <c r="F822" s="4" t="s">
        <v>95</v>
      </c>
      <c r="G822" s="4" t="s">
        <v>96</v>
      </c>
      <c r="H822" s="4" t="s">
        <v>85</v>
      </c>
      <c r="I822" s="3"/>
      <c r="J822" s="3"/>
      <c r="K822" s="3"/>
      <c r="L822" s="3"/>
      <c r="M822" s="3"/>
      <c r="N822" s="3"/>
      <c r="O822" s="3"/>
      <c r="P822" s="8"/>
      <c r="Q822" s="8"/>
      <c r="R822" s="3"/>
      <c r="S822" s="3"/>
      <c r="T822" s="3"/>
      <c r="U822" s="5" t="str">
        <f t="shared" si="48"/>
        <v/>
      </c>
    </row>
    <row r="823" spans="1:21" ht="28" customHeight="1" x14ac:dyDescent="0.35">
      <c r="A823" s="4">
        <v>12</v>
      </c>
      <c r="B823" s="4" t="s">
        <v>106</v>
      </c>
      <c r="C823" s="4" t="s">
        <v>107</v>
      </c>
      <c r="D823" s="4" t="s">
        <v>108</v>
      </c>
      <c r="E823" s="4" t="s">
        <v>109</v>
      </c>
      <c r="F823" s="4" t="s">
        <v>95</v>
      </c>
      <c r="G823" s="4" t="s">
        <v>96</v>
      </c>
      <c r="H823" s="4" t="s">
        <v>59</v>
      </c>
      <c r="I823" s="3"/>
      <c r="J823" s="3"/>
      <c r="K823" s="3"/>
      <c r="L823" s="3"/>
      <c r="M823" s="3"/>
      <c r="N823" s="3"/>
      <c r="O823" s="3"/>
      <c r="P823" s="8"/>
      <c r="Q823" s="8"/>
      <c r="R823" s="3"/>
      <c r="S823" s="3"/>
      <c r="T823" s="3"/>
      <c r="U823" s="5" t="str">
        <f t="shared" si="48"/>
        <v/>
      </c>
    </row>
    <row r="825" spans="1:21" ht="28" customHeight="1" x14ac:dyDescent="0.35">
      <c r="A825" s="9" t="s">
        <v>110</v>
      </c>
      <c r="B825" s="16"/>
      <c r="C825" s="17"/>
      <c r="D825" s="17"/>
      <c r="E825" s="17"/>
      <c r="F825" s="17"/>
      <c r="G825" s="17"/>
      <c r="H825" s="17"/>
      <c r="I825" s="17"/>
      <c r="J825" s="17"/>
      <c r="K825" s="17"/>
      <c r="L825" s="17"/>
      <c r="M825" s="17"/>
      <c r="N825" s="17"/>
      <c r="O825" s="17"/>
      <c r="P825" s="17"/>
      <c r="Q825" s="17"/>
      <c r="R825" s="17"/>
      <c r="S825" s="17"/>
      <c r="T825" s="17"/>
      <c r="U825" s="18"/>
    </row>
    <row r="826" spans="1:21" ht="28" customHeight="1" x14ac:dyDescent="0.35">
      <c r="A826" s="19" t="s">
        <v>430</v>
      </c>
      <c r="B826" s="20"/>
      <c r="C826" s="20"/>
      <c r="D826" s="20"/>
      <c r="E826" s="20"/>
      <c r="F826" s="20"/>
      <c r="G826" s="20"/>
      <c r="H826" s="20"/>
      <c r="I826" s="20"/>
      <c r="J826" s="20"/>
      <c r="K826" s="20"/>
      <c r="L826" s="20"/>
      <c r="M826" s="20"/>
      <c r="N826" s="20"/>
      <c r="O826" s="20"/>
      <c r="P826" s="20"/>
      <c r="Q826" s="20"/>
      <c r="R826" s="20"/>
      <c r="S826" s="20"/>
      <c r="T826" s="20"/>
      <c r="U826" s="21"/>
    </row>
    <row r="827" spans="1:21" ht="28" customHeight="1" x14ac:dyDescent="0.35">
      <c r="A827" s="4" t="s">
        <v>31</v>
      </c>
      <c r="B827" s="3" t="s">
        <v>262</v>
      </c>
      <c r="C827" s="4" t="s">
        <v>32</v>
      </c>
      <c r="D827" s="3"/>
      <c r="E827" s="4" t="s">
        <v>33</v>
      </c>
      <c r="F827" s="8"/>
    </row>
    <row r="828" spans="1:21" ht="28" customHeight="1" x14ac:dyDescent="0.35">
      <c r="A828" s="1" t="s">
        <v>34</v>
      </c>
      <c r="B828" s="1" t="s">
        <v>35</v>
      </c>
      <c r="C828" s="1" t="s">
        <v>36</v>
      </c>
      <c r="D828" s="1" t="s">
        <v>37</v>
      </c>
      <c r="E828" s="1" t="s">
        <v>38</v>
      </c>
      <c r="F828" s="1" t="s">
        <v>39</v>
      </c>
      <c r="G828" s="1" t="s">
        <v>40</v>
      </c>
      <c r="H828" s="1" t="s">
        <v>41</v>
      </c>
      <c r="I828" s="1" t="s">
        <v>42</v>
      </c>
      <c r="J828" s="1" t="s">
        <v>43</v>
      </c>
      <c r="K828" s="1" t="s">
        <v>44</v>
      </c>
      <c r="L828" s="1" t="s">
        <v>45</v>
      </c>
      <c r="M828" s="1" t="s">
        <v>46</v>
      </c>
      <c r="N828" s="1" t="s">
        <v>47</v>
      </c>
      <c r="O828" s="1" t="s">
        <v>48</v>
      </c>
      <c r="P828" s="1" t="s">
        <v>4</v>
      </c>
      <c r="Q828" s="1" t="s">
        <v>49</v>
      </c>
      <c r="R828" s="1" t="s">
        <v>50</v>
      </c>
      <c r="S828" s="1" t="s">
        <v>51</v>
      </c>
      <c r="T828" s="1" t="s">
        <v>52</v>
      </c>
      <c r="U828" s="1" t="s">
        <v>10</v>
      </c>
    </row>
    <row r="829" spans="1:21" ht="28" customHeight="1" x14ac:dyDescent="0.35">
      <c r="A829" s="4">
        <v>1</v>
      </c>
      <c r="B829" s="4" t="s">
        <v>97</v>
      </c>
      <c r="C829" s="4" t="s">
        <v>362</v>
      </c>
      <c r="D829" s="4" t="s">
        <v>363</v>
      </c>
      <c r="E829" s="4" t="s">
        <v>69</v>
      </c>
      <c r="F829" s="4" t="s">
        <v>364</v>
      </c>
      <c r="G829" s="4" t="s">
        <v>199</v>
      </c>
      <c r="H829" s="4" t="s">
        <v>76</v>
      </c>
      <c r="I829" s="3"/>
      <c r="J829" s="3"/>
      <c r="K829" s="3"/>
      <c r="L829" s="3"/>
      <c r="M829" s="3"/>
      <c r="N829" s="3"/>
      <c r="O829" s="3"/>
      <c r="P829" s="8"/>
      <c r="Q829" s="8"/>
      <c r="R829" s="3"/>
      <c r="S829" s="3"/>
      <c r="T829" s="3"/>
      <c r="U829" s="5" t="str">
        <f t="shared" ref="U829:U840" si="49">IF(I829="","",IF(I829="NA","Grey",IF(I829=2,"Green",IF(I829=1,"Amber","Red"))))</f>
        <v/>
      </c>
    </row>
    <row r="830" spans="1:21" ht="28" customHeight="1" x14ac:dyDescent="0.35">
      <c r="A830" s="4">
        <v>2</v>
      </c>
      <c r="B830" s="4" t="s">
        <v>365</v>
      </c>
      <c r="C830" s="4" t="s">
        <v>366</v>
      </c>
      <c r="D830" s="4" t="s">
        <v>367</v>
      </c>
      <c r="E830" s="4" t="s">
        <v>69</v>
      </c>
      <c r="F830" s="4" t="s">
        <v>276</v>
      </c>
      <c r="G830" s="4" t="s">
        <v>199</v>
      </c>
      <c r="H830" s="4" t="s">
        <v>76</v>
      </c>
      <c r="I830" s="3"/>
      <c r="J830" s="3"/>
      <c r="K830" s="3"/>
      <c r="L830" s="3"/>
      <c r="M830" s="3"/>
      <c r="N830" s="3"/>
      <c r="O830" s="3"/>
      <c r="P830" s="8"/>
      <c r="Q830" s="8"/>
      <c r="R830" s="3"/>
      <c r="S830" s="3"/>
      <c r="T830" s="3"/>
      <c r="U830" s="5" t="str">
        <f t="shared" si="49"/>
        <v/>
      </c>
    </row>
    <row r="831" spans="1:21" ht="28" customHeight="1" x14ac:dyDescent="0.35">
      <c r="A831" s="4">
        <v>3</v>
      </c>
      <c r="B831" s="4" t="s">
        <v>365</v>
      </c>
      <c r="C831" s="4" t="s">
        <v>368</v>
      </c>
      <c r="D831" s="4" t="s">
        <v>369</v>
      </c>
      <c r="E831" s="4" t="s">
        <v>69</v>
      </c>
      <c r="F831" s="4" t="s">
        <v>370</v>
      </c>
      <c r="G831" s="4" t="s">
        <v>204</v>
      </c>
      <c r="H831" s="4" t="s">
        <v>76</v>
      </c>
      <c r="I831" s="3"/>
      <c r="J831" s="3"/>
      <c r="K831" s="3"/>
      <c r="L831" s="3"/>
      <c r="M831" s="3"/>
      <c r="N831" s="3"/>
      <c r="O831" s="3"/>
      <c r="P831" s="8"/>
      <c r="Q831" s="8"/>
      <c r="R831" s="3"/>
      <c r="S831" s="3"/>
      <c r="T831" s="3"/>
      <c r="U831" s="5" t="str">
        <f t="shared" si="49"/>
        <v/>
      </c>
    </row>
    <row r="832" spans="1:21" ht="28" customHeight="1" x14ac:dyDescent="0.35">
      <c r="A832" s="4">
        <v>4</v>
      </c>
      <c r="B832" s="4" t="s">
        <v>371</v>
      </c>
      <c r="C832" s="4" t="s">
        <v>372</v>
      </c>
      <c r="D832" s="4" t="s">
        <v>373</v>
      </c>
      <c r="E832" s="4" t="s">
        <v>69</v>
      </c>
      <c r="F832" s="4" t="s">
        <v>295</v>
      </c>
      <c r="G832" s="4" t="s">
        <v>199</v>
      </c>
      <c r="H832" s="4" t="s">
        <v>59</v>
      </c>
      <c r="I832" s="3"/>
      <c r="J832" s="3"/>
      <c r="K832" s="3"/>
      <c r="L832" s="3"/>
      <c r="M832" s="3"/>
      <c r="N832" s="3"/>
      <c r="O832" s="3"/>
      <c r="P832" s="8"/>
      <c r="Q832" s="8"/>
      <c r="R832" s="3"/>
      <c r="S832" s="3"/>
      <c r="T832" s="3"/>
      <c r="U832" s="5" t="str">
        <f t="shared" si="49"/>
        <v/>
      </c>
    </row>
    <row r="833" spans="1:21" ht="28" customHeight="1" x14ac:dyDescent="0.35">
      <c r="A833" s="4">
        <v>5</v>
      </c>
      <c r="B833" s="4" t="s">
        <v>374</v>
      </c>
      <c r="C833" s="4" t="s">
        <v>375</v>
      </c>
      <c r="D833" s="4" t="s">
        <v>376</v>
      </c>
      <c r="E833" s="4" t="s">
        <v>69</v>
      </c>
      <c r="F833" s="4" t="s">
        <v>276</v>
      </c>
      <c r="G833" s="4" t="s">
        <v>199</v>
      </c>
      <c r="H833" s="4" t="s">
        <v>59</v>
      </c>
      <c r="I833" s="3"/>
      <c r="J833" s="3"/>
      <c r="K833" s="3"/>
      <c r="L833" s="3"/>
      <c r="M833" s="3"/>
      <c r="N833" s="3"/>
      <c r="O833" s="3"/>
      <c r="P833" s="8"/>
      <c r="Q833" s="8"/>
      <c r="R833" s="3"/>
      <c r="S833" s="3"/>
      <c r="T833" s="3"/>
      <c r="U833" s="5" t="str">
        <f t="shared" si="49"/>
        <v/>
      </c>
    </row>
    <row r="834" spans="1:21" ht="28" customHeight="1" x14ac:dyDescent="0.35">
      <c r="A834" s="4">
        <v>6</v>
      </c>
      <c r="B834" s="4" t="s">
        <v>377</v>
      </c>
      <c r="C834" s="4" t="s">
        <v>378</v>
      </c>
      <c r="D834" s="4" t="s">
        <v>379</v>
      </c>
      <c r="E834" s="4" t="s">
        <v>69</v>
      </c>
      <c r="F834" s="4" t="s">
        <v>276</v>
      </c>
      <c r="G834" s="4" t="s">
        <v>199</v>
      </c>
      <c r="H834" s="4" t="s">
        <v>59</v>
      </c>
      <c r="I834" s="3"/>
      <c r="J834" s="3"/>
      <c r="K834" s="3"/>
      <c r="L834" s="3"/>
      <c r="M834" s="3"/>
      <c r="N834" s="3"/>
      <c r="O834" s="3"/>
      <c r="P834" s="8"/>
      <c r="Q834" s="8"/>
      <c r="R834" s="3"/>
      <c r="S834" s="3"/>
      <c r="T834" s="3"/>
      <c r="U834" s="5" t="str">
        <f t="shared" si="49"/>
        <v/>
      </c>
    </row>
    <row r="835" spans="1:21" ht="28" customHeight="1" x14ac:dyDescent="0.35">
      <c r="A835" s="4">
        <v>7</v>
      </c>
      <c r="B835" s="4" t="s">
        <v>380</v>
      </c>
      <c r="C835" s="4" t="s">
        <v>381</v>
      </c>
      <c r="D835" s="4" t="s">
        <v>382</v>
      </c>
      <c r="E835" s="4" t="s">
        <v>69</v>
      </c>
      <c r="F835" s="4" t="s">
        <v>276</v>
      </c>
      <c r="G835" s="4" t="s">
        <v>199</v>
      </c>
      <c r="H835" s="4" t="s">
        <v>59</v>
      </c>
      <c r="I835" s="3"/>
      <c r="J835" s="3"/>
      <c r="K835" s="3"/>
      <c r="L835" s="3"/>
      <c r="M835" s="3"/>
      <c r="N835" s="3"/>
      <c r="O835" s="3"/>
      <c r="P835" s="8"/>
      <c r="Q835" s="8"/>
      <c r="R835" s="3"/>
      <c r="S835" s="3"/>
      <c r="T835" s="3"/>
      <c r="U835" s="5" t="str">
        <f t="shared" si="49"/>
        <v/>
      </c>
    </row>
    <row r="836" spans="1:21" ht="28" customHeight="1" x14ac:dyDescent="0.35">
      <c r="A836" s="4">
        <v>8</v>
      </c>
      <c r="B836" s="4" t="s">
        <v>383</v>
      </c>
      <c r="C836" s="4" t="s">
        <v>384</v>
      </c>
      <c r="D836" s="4" t="s">
        <v>385</v>
      </c>
      <c r="E836" s="4" t="s">
        <v>69</v>
      </c>
      <c r="F836" s="4" t="s">
        <v>95</v>
      </c>
      <c r="G836" s="4" t="s">
        <v>96</v>
      </c>
      <c r="H836" s="4" t="s">
        <v>59</v>
      </c>
      <c r="I836" s="3"/>
      <c r="J836" s="3"/>
      <c r="K836" s="3"/>
      <c r="L836" s="3"/>
      <c r="M836" s="3"/>
      <c r="N836" s="3"/>
      <c r="O836" s="3"/>
      <c r="P836" s="8"/>
      <c r="Q836" s="8"/>
      <c r="R836" s="3"/>
      <c r="S836" s="3"/>
      <c r="T836" s="3"/>
      <c r="U836" s="5" t="str">
        <f t="shared" si="49"/>
        <v/>
      </c>
    </row>
    <row r="837" spans="1:21" ht="28" customHeight="1" x14ac:dyDescent="0.35">
      <c r="A837" s="4">
        <v>9</v>
      </c>
      <c r="B837" s="4" t="s">
        <v>97</v>
      </c>
      <c r="C837" s="4" t="s">
        <v>98</v>
      </c>
      <c r="D837" s="4" t="s">
        <v>99</v>
      </c>
      <c r="E837" s="4" t="s">
        <v>69</v>
      </c>
      <c r="F837" s="4" t="s">
        <v>95</v>
      </c>
      <c r="G837" s="4" t="s">
        <v>96</v>
      </c>
      <c r="H837" s="4" t="s">
        <v>59</v>
      </c>
      <c r="I837" s="3"/>
      <c r="J837" s="3"/>
      <c r="K837" s="3"/>
      <c r="L837" s="3"/>
      <c r="M837" s="3"/>
      <c r="N837" s="3"/>
      <c r="O837" s="3"/>
      <c r="P837" s="8"/>
      <c r="Q837" s="8"/>
      <c r="R837" s="3"/>
      <c r="S837" s="3"/>
      <c r="T837" s="3"/>
      <c r="U837" s="5" t="str">
        <f t="shared" si="49"/>
        <v/>
      </c>
    </row>
    <row r="838" spans="1:21" ht="28" customHeight="1" x14ac:dyDescent="0.35">
      <c r="A838" s="4">
        <v>10</v>
      </c>
      <c r="B838" s="4" t="s">
        <v>97</v>
      </c>
      <c r="C838" s="4" t="s">
        <v>100</v>
      </c>
      <c r="D838" s="4" t="s">
        <v>101</v>
      </c>
      <c r="E838" s="4" t="s">
        <v>69</v>
      </c>
      <c r="F838" s="4" t="s">
        <v>95</v>
      </c>
      <c r="G838" s="4" t="s">
        <v>102</v>
      </c>
      <c r="H838" s="4" t="s">
        <v>59</v>
      </c>
      <c r="I838" s="3"/>
      <c r="J838" s="3"/>
      <c r="K838" s="3"/>
      <c r="L838" s="3"/>
      <c r="M838" s="3"/>
      <c r="N838" s="3"/>
      <c r="O838" s="3"/>
      <c r="P838" s="8"/>
      <c r="Q838" s="8"/>
      <c r="R838" s="3"/>
      <c r="S838" s="3"/>
      <c r="T838" s="3"/>
      <c r="U838" s="5" t="str">
        <f t="shared" si="49"/>
        <v/>
      </c>
    </row>
    <row r="839" spans="1:21" ht="28" customHeight="1" x14ac:dyDescent="0.35">
      <c r="A839" s="4">
        <v>11</v>
      </c>
      <c r="B839" s="4" t="s">
        <v>103</v>
      </c>
      <c r="C839" s="4" t="s">
        <v>104</v>
      </c>
      <c r="D839" s="4" t="s">
        <v>105</v>
      </c>
      <c r="E839" s="4" t="s">
        <v>69</v>
      </c>
      <c r="F839" s="4" t="s">
        <v>95</v>
      </c>
      <c r="G839" s="4" t="s">
        <v>96</v>
      </c>
      <c r="H839" s="4" t="s">
        <v>85</v>
      </c>
      <c r="I839" s="3"/>
      <c r="J839" s="3"/>
      <c r="K839" s="3"/>
      <c r="L839" s="3"/>
      <c r="M839" s="3"/>
      <c r="N839" s="3"/>
      <c r="O839" s="3"/>
      <c r="P839" s="8"/>
      <c r="Q839" s="8"/>
      <c r="R839" s="3"/>
      <c r="S839" s="3"/>
      <c r="T839" s="3"/>
      <c r="U839" s="5" t="str">
        <f t="shared" si="49"/>
        <v/>
      </c>
    </row>
    <row r="840" spans="1:21" ht="28" customHeight="1" x14ac:dyDescent="0.35">
      <c r="A840" s="4">
        <v>12</v>
      </c>
      <c r="B840" s="4" t="s">
        <v>106</v>
      </c>
      <c r="C840" s="4" t="s">
        <v>107</v>
      </c>
      <c r="D840" s="4" t="s">
        <v>108</v>
      </c>
      <c r="E840" s="4" t="s">
        <v>109</v>
      </c>
      <c r="F840" s="4" t="s">
        <v>95</v>
      </c>
      <c r="G840" s="4" t="s">
        <v>96</v>
      </c>
      <c r="H840" s="4" t="s">
        <v>59</v>
      </c>
      <c r="I840" s="3"/>
      <c r="J840" s="3"/>
      <c r="K840" s="3"/>
      <c r="L840" s="3"/>
      <c r="M840" s="3"/>
      <c r="N840" s="3"/>
      <c r="O840" s="3"/>
      <c r="P840" s="8"/>
      <c r="Q840" s="8"/>
      <c r="R840" s="3"/>
      <c r="S840" s="3"/>
      <c r="T840" s="3"/>
      <c r="U840" s="5" t="str">
        <f t="shared" si="49"/>
        <v/>
      </c>
    </row>
    <row r="842" spans="1:21" ht="28" customHeight="1" x14ac:dyDescent="0.35">
      <c r="A842" s="9" t="s">
        <v>110</v>
      </c>
      <c r="B842" s="16"/>
      <c r="C842" s="17"/>
      <c r="D842" s="17"/>
      <c r="E842" s="17"/>
      <c r="F842" s="17"/>
      <c r="G842" s="17"/>
      <c r="H842" s="17"/>
      <c r="I842" s="17"/>
      <c r="J842" s="17"/>
      <c r="K842" s="17"/>
      <c r="L842" s="17"/>
      <c r="M842" s="17"/>
      <c r="N842" s="17"/>
      <c r="O842" s="17"/>
      <c r="P842" s="17"/>
      <c r="Q842" s="17"/>
      <c r="R842" s="17"/>
      <c r="S842" s="17"/>
      <c r="T842" s="17"/>
      <c r="U842" s="18"/>
    </row>
    <row r="843" spans="1:21" ht="28" customHeight="1" x14ac:dyDescent="0.35">
      <c r="A843" s="19" t="s">
        <v>431</v>
      </c>
      <c r="B843" s="20"/>
      <c r="C843" s="20"/>
      <c r="D843" s="20"/>
      <c r="E843" s="20"/>
      <c r="F843" s="20"/>
      <c r="G843" s="20"/>
      <c r="H843" s="20"/>
      <c r="I843" s="20"/>
      <c r="J843" s="20"/>
      <c r="K843" s="20"/>
      <c r="L843" s="20"/>
      <c r="M843" s="20"/>
      <c r="N843" s="20"/>
      <c r="O843" s="20"/>
      <c r="P843" s="20"/>
      <c r="Q843" s="20"/>
      <c r="R843" s="20"/>
      <c r="S843" s="20"/>
      <c r="T843" s="20"/>
      <c r="U843" s="21"/>
    </row>
    <row r="844" spans="1:21" ht="28" customHeight="1" x14ac:dyDescent="0.35">
      <c r="A844" s="4" t="s">
        <v>31</v>
      </c>
      <c r="B844" s="3" t="s">
        <v>263</v>
      </c>
      <c r="C844" s="4" t="s">
        <v>32</v>
      </c>
      <c r="D844" s="3"/>
      <c r="E844" s="4" t="s">
        <v>33</v>
      </c>
      <c r="F844" s="8"/>
    </row>
    <row r="845" spans="1:21" ht="28" customHeight="1" x14ac:dyDescent="0.35">
      <c r="A845" s="1" t="s">
        <v>34</v>
      </c>
      <c r="B845" s="1" t="s">
        <v>35</v>
      </c>
      <c r="C845" s="1" t="s">
        <v>36</v>
      </c>
      <c r="D845" s="1" t="s">
        <v>37</v>
      </c>
      <c r="E845" s="1" t="s">
        <v>38</v>
      </c>
      <c r="F845" s="1" t="s">
        <v>39</v>
      </c>
      <c r="G845" s="1" t="s">
        <v>40</v>
      </c>
      <c r="H845" s="1" t="s">
        <v>41</v>
      </c>
      <c r="I845" s="1" t="s">
        <v>42</v>
      </c>
      <c r="J845" s="1" t="s">
        <v>43</v>
      </c>
      <c r="K845" s="1" t="s">
        <v>44</v>
      </c>
      <c r="L845" s="1" t="s">
        <v>45</v>
      </c>
      <c r="M845" s="1" t="s">
        <v>46</v>
      </c>
      <c r="N845" s="1" t="s">
        <v>47</v>
      </c>
      <c r="O845" s="1" t="s">
        <v>48</v>
      </c>
      <c r="P845" s="1" t="s">
        <v>4</v>
      </c>
      <c r="Q845" s="1" t="s">
        <v>49</v>
      </c>
      <c r="R845" s="1" t="s">
        <v>50</v>
      </c>
      <c r="S845" s="1" t="s">
        <v>51</v>
      </c>
      <c r="T845" s="1" t="s">
        <v>52</v>
      </c>
      <c r="U845" s="1" t="s">
        <v>10</v>
      </c>
    </row>
    <row r="846" spans="1:21" ht="28" customHeight="1" x14ac:dyDescent="0.35">
      <c r="A846" s="4">
        <v>1</v>
      </c>
      <c r="B846" s="4" t="s">
        <v>97</v>
      </c>
      <c r="C846" s="4" t="s">
        <v>362</v>
      </c>
      <c r="D846" s="4" t="s">
        <v>363</v>
      </c>
      <c r="E846" s="4" t="s">
        <v>69</v>
      </c>
      <c r="F846" s="4" t="s">
        <v>364</v>
      </c>
      <c r="G846" s="4" t="s">
        <v>199</v>
      </c>
      <c r="H846" s="4" t="s">
        <v>76</v>
      </c>
      <c r="I846" s="3"/>
      <c r="J846" s="3"/>
      <c r="K846" s="3"/>
      <c r="L846" s="3"/>
      <c r="M846" s="3"/>
      <c r="N846" s="3"/>
      <c r="O846" s="3"/>
      <c r="P846" s="8"/>
      <c r="Q846" s="8"/>
      <c r="R846" s="3"/>
      <c r="S846" s="3"/>
      <c r="T846" s="3"/>
      <c r="U846" s="5" t="str">
        <f t="shared" ref="U846:U857" si="50">IF(I846="","",IF(I846="NA","Grey",IF(I846=2,"Green",IF(I846=1,"Amber","Red"))))</f>
        <v/>
      </c>
    </row>
    <row r="847" spans="1:21" ht="28" customHeight="1" x14ac:dyDescent="0.35">
      <c r="A847" s="4">
        <v>2</v>
      </c>
      <c r="B847" s="4" t="s">
        <v>365</v>
      </c>
      <c r="C847" s="4" t="s">
        <v>366</v>
      </c>
      <c r="D847" s="4" t="s">
        <v>367</v>
      </c>
      <c r="E847" s="4" t="s">
        <v>69</v>
      </c>
      <c r="F847" s="4" t="s">
        <v>276</v>
      </c>
      <c r="G847" s="4" t="s">
        <v>199</v>
      </c>
      <c r="H847" s="4" t="s">
        <v>76</v>
      </c>
      <c r="I847" s="3"/>
      <c r="J847" s="3"/>
      <c r="K847" s="3"/>
      <c r="L847" s="3"/>
      <c r="M847" s="3"/>
      <c r="N847" s="3"/>
      <c r="O847" s="3"/>
      <c r="P847" s="8"/>
      <c r="Q847" s="8"/>
      <c r="R847" s="3"/>
      <c r="S847" s="3"/>
      <c r="T847" s="3"/>
      <c r="U847" s="5" t="str">
        <f t="shared" si="50"/>
        <v/>
      </c>
    </row>
    <row r="848" spans="1:21" ht="28" customHeight="1" x14ac:dyDescent="0.35">
      <c r="A848" s="4">
        <v>3</v>
      </c>
      <c r="B848" s="4" t="s">
        <v>365</v>
      </c>
      <c r="C848" s="4" t="s">
        <v>368</v>
      </c>
      <c r="D848" s="4" t="s">
        <v>369</v>
      </c>
      <c r="E848" s="4" t="s">
        <v>69</v>
      </c>
      <c r="F848" s="4" t="s">
        <v>370</v>
      </c>
      <c r="G848" s="4" t="s">
        <v>204</v>
      </c>
      <c r="H848" s="4" t="s">
        <v>76</v>
      </c>
      <c r="I848" s="3"/>
      <c r="J848" s="3"/>
      <c r="K848" s="3"/>
      <c r="L848" s="3"/>
      <c r="M848" s="3"/>
      <c r="N848" s="3"/>
      <c r="O848" s="3"/>
      <c r="P848" s="8"/>
      <c r="Q848" s="8"/>
      <c r="R848" s="3"/>
      <c r="S848" s="3"/>
      <c r="T848" s="3"/>
      <c r="U848" s="5" t="str">
        <f t="shared" si="50"/>
        <v/>
      </c>
    </row>
    <row r="849" spans="1:21" ht="28" customHeight="1" x14ac:dyDescent="0.35">
      <c r="A849" s="4">
        <v>4</v>
      </c>
      <c r="B849" s="4" t="s">
        <v>371</v>
      </c>
      <c r="C849" s="4" t="s">
        <v>372</v>
      </c>
      <c r="D849" s="4" t="s">
        <v>373</v>
      </c>
      <c r="E849" s="4" t="s">
        <v>69</v>
      </c>
      <c r="F849" s="4" t="s">
        <v>295</v>
      </c>
      <c r="G849" s="4" t="s">
        <v>199</v>
      </c>
      <c r="H849" s="4" t="s">
        <v>59</v>
      </c>
      <c r="I849" s="3"/>
      <c r="J849" s="3"/>
      <c r="K849" s="3"/>
      <c r="L849" s="3"/>
      <c r="M849" s="3"/>
      <c r="N849" s="3"/>
      <c r="O849" s="3"/>
      <c r="P849" s="8"/>
      <c r="Q849" s="8"/>
      <c r="R849" s="3"/>
      <c r="S849" s="3"/>
      <c r="T849" s="3"/>
      <c r="U849" s="5" t="str">
        <f t="shared" si="50"/>
        <v/>
      </c>
    </row>
    <row r="850" spans="1:21" ht="28" customHeight="1" x14ac:dyDescent="0.35">
      <c r="A850" s="4">
        <v>5</v>
      </c>
      <c r="B850" s="4" t="s">
        <v>374</v>
      </c>
      <c r="C850" s="4" t="s">
        <v>375</v>
      </c>
      <c r="D850" s="4" t="s">
        <v>376</v>
      </c>
      <c r="E850" s="4" t="s">
        <v>69</v>
      </c>
      <c r="F850" s="4" t="s">
        <v>276</v>
      </c>
      <c r="G850" s="4" t="s">
        <v>199</v>
      </c>
      <c r="H850" s="4" t="s">
        <v>59</v>
      </c>
      <c r="I850" s="3"/>
      <c r="J850" s="3"/>
      <c r="K850" s="3"/>
      <c r="L850" s="3"/>
      <c r="M850" s="3"/>
      <c r="N850" s="3"/>
      <c r="O850" s="3"/>
      <c r="P850" s="8"/>
      <c r="Q850" s="8"/>
      <c r="R850" s="3"/>
      <c r="S850" s="3"/>
      <c r="T850" s="3"/>
      <c r="U850" s="5" t="str">
        <f t="shared" si="50"/>
        <v/>
      </c>
    </row>
    <row r="851" spans="1:21" ht="28" customHeight="1" x14ac:dyDescent="0.35">
      <c r="A851" s="4">
        <v>6</v>
      </c>
      <c r="B851" s="4" t="s">
        <v>377</v>
      </c>
      <c r="C851" s="4" t="s">
        <v>378</v>
      </c>
      <c r="D851" s="4" t="s">
        <v>379</v>
      </c>
      <c r="E851" s="4" t="s">
        <v>69</v>
      </c>
      <c r="F851" s="4" t="s">
        <v>276</v>
      </c>
      <c r="G851" s="4" t="s">
        <v>199</v>
      </c>
      <c r="H851" s="4" t="s">
        <v>59</v>
      </c>
      <c r="I851" s="3"/>
      <c r="J851" s="3"/>
      <c r="K851" s="3"/>
      <c r="L851" s="3"/>
      <c r="M851" s="3"/>
      <c r="N851" s="3"/>
      <c r="O851" s="3"/>
      <c r="P851" s="8"/>
      <c r="Q851" s="8"/>
      <c r="R851" s="3"/>
      <c r="S851" s="3"/>
      <c r="T851" s="3"/>
      <c r="U851" s="5" t="str">
        <f t="shared" si="50"/>
        <v/>
      </c>
    </row>
    <row r="852" spans="1:21" ht="28" customHeight="1" x14ac:dyDescent="0.35">
      <c r="A852" s="4">
        <v>7</v>
      </c>
      <c r="B852" s="4" t="s">
        <v>380</v>
      </c>
      <c r="C852" s="4" t="s">
        <v>381</v>
      </c>
      <c r="D852" s="4" t="s">
        <v>382</v>
      </c>
      <c r="E852" s="4" t="s">
        <v>69</v>
      </c>
      <c r="F852" s="4" t="s">
        <v>276</v>
      </c>
      <c r="G852" s="4" t="s">
        <v>199</v>
      </c>
      <c r="H852" s="4" t="s">
        <v>59</v>
      </c>
      <c r="I852" s="3"/>
      <c r="J852" s="3"/>
      <c r="K852" s="3"/>
      <c r="L852" s="3"/>
      <c r="M852" s="3"/>
      <c r="N852" s="3"/>
      <c r="O852" s="3"/>
      <c r="P852" s="8"/>
      <c r="Q852" s="8"/>
      <c r="R852" s="3"/>
      <c r="S852" s="3"/>
      <c r="T852" s="3"/>
      <c r="U852" s="5" t="str">
        <f t="shared" si="50"/>
        <v/>
      </c>
    </row>
    <row r="853" spans="1:21" ht="28" customHeight="1" x14ac:dyDescent="0.35">
      <c r="A853" s="4">
        <v>8</v>
      </c>
      <c r="B853" s="4" t="s">
        <v>383</v>
      </c>
      <c r="C853" s="4" t="s">
        <v>384</v>
      </c>
      <c r="D853" s="4" t="s">
        <v>385</v>
      </c>
      <c r="E853" s="4" t="s">
        <v>69</v>
      </c>
      <c r="F853" s="4" t="s">
        <v>95</v>
      </c>
      <c r="G853" s="4" t="s">
        <v>96</v>
      </c>
      <c r="H853" s="4" t="s">
        <v>59</v>
      </c>
      <c r="I853" s="3"/>
      <c r="J853" s="3"/>
      <c r="K853" s="3"/>
      <c r="L853" s="3"/>
      <c r="M853" s="3"/>
      <c r="N853" s="3"/>
      <c r="O853" s="3"/>
      <c r="P853" s="8"/>
      <c r="Q853" s="8"/>
      <c r="R853" s="3"/>
      <c r="S853" s="3"/>
      <c r="T853" s="3"/>
      <c r="U853" s="5" t="str">
        <f t="shared" si="50"/>
        <v/>
      </c>
    </row>
    <row r="854" spans="1:21" ht="28" customHeight="1" x14ac:dyDescent="0.35">
      <c r="A854" s="4">
        <v>9</v>
      </c>
      <c r="B854" s="4" t="s">
        <v>97</v>
      </c>
      <c r="C854" s="4" t="s">
        <v>98</v>
      </c>
      <c r="D854" s="4" t="s">
        <v>99</v>
      </c>
      <c r="E854" s="4" t="s">
        <v>69</v>
      </c>
      <c r="F854" s="4" t="s">
        <v>95</v>
      </c>
      <c r="G854" s="4" t="s">
        <v>96</v>
      </c>
      <c r="H854" s="4" t="s">
        <v>59</v>
      </c>
      <c r="I854" s="3"/>
      <c r="J854" s="3"/>
      <c r="K854" s="3"/>
      <c r="L854" s="3"/>
      <c r="M854" s="3"/>
      <c r="N854" s="3"/>
      <c r="O854" s="3"/>
      <c r="P854" s="8"/>
      <c r="Q854" s="8"/>
      <c r="R854" s="3"/>
      <c r="S854" s="3"/>
      <c r="T854" s="3"/>
      <c r="U854" s="5" t="str">
        <f t="shared" si="50"/>
        <v/>
      </c>
    </row>
    <row r="855" spans="1:21" ht="28" customHeight="1" x14ac:dyDescent="0.35">
      <c r="A855" s="4">
        <v>10</v>
      </c>
      <c r="B855" s="4" t="s">
        <v>97</v>
      </c>
      <c r="C855" s="4" t="s">
        <v>100</v>
      </c>
      <c r="D855" s="4" t="s">
        <v>101</v>
      </c>
      <c r="E855" s="4" t="s">
        <v>69</v>
      </c>
      <c r="F855" s="4" t="s">
        <v>95</v>
      </c>
      <c r="G855" s="4" t="s">
        <v>102</v>
      </c>
      <c r="H855" s="4" t="s">
        <v>59</v>
      </c>
      <c r="I855" s="3"/>
      <c r="J855" s="3"/>
      <c r="K855" s="3"/>
      <c r="L855" s="3"/>
      <c r="M855" s="3"/>
      <c r="N855" s="3"/>
      <c r="O855" s="3"/>
      <c r="P855" s="8"/>
      <c r="Q855" s="8"/>
      <c r="R855" s="3"/>
      <c r="S855" s="3"/>
      <c r="T855" s="3"/>
      <c r="U855" s="5" t="str">
        <f t="shared" si="50"/>
        <v/>
      </c>
    </row>
    <row r="856" spans="1:21" ht="28" customHeight="1" x14ac:dyDescent="0.35">
      <c r="A856" s="4">
        <v>11</v>
      </c>
      <c r="B856" s="4" t="s">
        <v>103</v>
      </c>
      <c r="C856" s="4" t="s">
        <v>104</v>
      </c>
      <c r="D856" s="4" t="s">
        <v>105</v>
      </c>
      <c r="E856" s="4" t="s">
        <v>69</v>
      </c>
      <c r="F856" s="4" t="s">
        <v>95</v>
      </c>
      <c r="G856" s="4" t="s">
        <v>96</v>
      </c>
      <c r="H856" s="4" t="s">
        <v>85</v>
      </c>
      <c r="I856" s="3"/>
      <c r="J856" s="3"/>
      <c r="K856" s="3"/>
      <c r="L856" s="3"/>
      <c r="M856" s="3"/>
      <c r="N856" s="3"/>
      <c r="O856" s="3"/>
      <c r="P856" s="8"/>
      <c r="Q856" s="8"/>
      <c r="R856" s="3"/>
      <c r="S856" s="3"/>
      <c r="T856" s="3"/>
      <c r="U856" s="5" t="str">
        <f t="shared" si="50"/>
        <v/>
      </c>
    </row>
    <row r="857" spans="1:21" ht="28" customHeight="1" x14ac:dyDescent="0.35">
      <c r="A857" s="4">
        <v>12</v>
      </c>
      <c r="B857" s="4" t="s">
        <v>106</v>
      </c>
      <c r="C857" s="4" t="s">
        <v>107</v>
      </c>
      <c r="D857" s="4" t="s">
        <v>108</v>
      </c>
      <c r="E857" s="4" t="s">
        <v>109</v>
      </c>
      <c r="F857" s="4" t="s">
        <v>95</v>
      </c>
      <c r="G857" s="4" t="s">
        <v>96</v>
      </c>
      <c r="H857" s="4" t="s">
        <v>59</v>
      </c>
      <c r="I857" s="3"/>
      <c r="J857" s="3"/>
      <c r="K857" s="3"/>
      <c r="L857" s="3"/>
      <c r="M857" s="3"/>
      <c r="N857" s="3"/>
      <c r="O857" s="3"/>
      <c r="P857" s="8"/>
      <c r="Q857" s="8"/>
      <c r="R857" s="3"/>
      <c r="S857" s="3"/>
      <c r="T857" s="3"/>
      <c r="U857" s="5" t="str">
        <f t="shared" si="50"/>
        <v/>
      </c>
    </row>
    <row r="859" spans="1:21" ht="28" customHeight="1" x14ac:dyDescent="0.35">
      <c r="A859" s="9" t="s">
        <v>110</v>
      </c>
      <c r="B859" s="16"/>
      <c r="C859" s="17"/>
      <c r="D859" s="17"/>
      <c r="E859" s="17"/>
      <c r="F859" s="17"/>
      <c r="G859" s="17"/>
      <c r="H859" s="17"/>
      <c r="I859" s="17"/>
      <c r="J859" s="17"/>
      <c r="K859" s="17"/>
      <c r="L859" s="17"/>
      <c r="M859" s="17"/>
      <c r="N859" s="17"/>
      <c r="O859" s="17"/>
      <c r="P859" s="17"/>
      <c r="Q859" s="17"/>
      <c r="R859" s="17"/>
      <c r="S859" s="17"/>
      <c r="T859" s="17"/>
      <c r="U859" s="18"/>
    </row>
    <row r="860" spans="1:21" ht="28" customHeight="1" x14ac:dyDescent="0.35">
      <c r="A860" s="19" t="s">
        <v>432</v>
      </c>
      <c r="B860" s="20"/>
      <c r="C860" s="20"/>
      <c r="D860" s="20"/>
      <c r="E860" s="20"/>
      <c r="F860" s="20"/>
      <c r="G860" s="20"/>
      <c r="H860" s="20"/>
      <c r="I860" s="20"/>
      <c r="J860" s="20"/>
      <c r="K860" s="20"/>
      <c r="L860" s="20"/>
      <c r="M860" s="20"/>
      <c r="N860" s="20"/>
      <c r="O860" s="20"/>
      <c r="P860" s="20"/>
      <c r="Q860" s="20"/>
      <c r="R860" s="20"/>
      <c r="S860" s="20"/>
      <c r="T860" s="20"/>
      <c r="U860" s="21"/>
    </row>
    <row r="861" spans="1:21" ht="28" customHeight="1" x14ac:dyDescent="0.35">
      <c r="A861" s="4" t="s">
        <v>31</v>
      </c>
      <c r="B861" s="3" t="s">
        <v>264</v>
      </c>
      <c r="C861" s="4" t="s">
        <v>32</v>
      </c>
      <c r="D861" s="3"/>
      <c r="E861" s="4" t="s">
        <v>33</v>
      </c>
      <c r="F861" s="8"/>
    </row>
    <row r="862" spans="1:21" ht="28" customHeight="1" x14ac:dyDescent="0.35">
      <c r="A862" s="1" t="s">
        <v>34</v>
      </c>
      <c r="B862" s="1" t="s">
        <v>35</v>
      </c>
      <c r="C862" s="1" t="s">
        <v>36</v>
      </c>
      <c r="D862" s="1" t="s">
        <v>37</v>
      </c>
      <c r="E862" s="1" t="s">
        <v>38</v>
      </c>
      <c r="F862" s="1" t="s">
        <v>39</v>
      </c>
      <c r="G862" s="1" t="s">
        <v>40</v>
      </c>
      <c r="H862" s="1" t="s">
        <v>41</v>
      </c>
      <c r="I862" s="1" t="s">
        <v>42</v>
      </c>
      <c r="J862" s="1" t="s">
        <v>43</v>
      </c>
      <c r="K862" s="1" t="s">
        <v>44</v>
      </c>
      <c r="L862" s="1" t="s">
        <v>45</v>
      </c>
      <c r="M862" s="1" t="s">
        <v>46</v>
      </c>
      <c r="N862" s="1" t="s">
        <v>47</v>
      </c>
      <c r="O862" s="1" t="s">
        <v>48</v>
      </c>
      <c r="P862" s="1" t="s">
        <v>4</v>
      </c>
      <c r="Q862" s="1" t="s">
        <v>49</v>
      </c>
      <c r="R862" s="1" t="s">
        <v>50</v>
      </c>
      <c r="S862" s="1" t="s">
        <v>51</v>
      </c>
      <c r="T862" s="1" t="s">
        <v>52</v>
      </c>
      <c r="U862" s="1" t="s">
        <v>10</v>
      </c>
    </row>
    <row r="863" spans="1:21" ht="28" customHeight="1" x14ac:dyDescent="0.35">
      <c r="A863" s="4">
        <v>1</v>
      </c>
      <c r="B863" s="4" t="s">
        <v>97</v>
      </c>
      <c r="C863" s="4" t="s">
        <v>362</v>
      </c>
      <c r="D863" s="4" t="s">
        <v>363</v>
      </c>
      <c r="E863" s="4" t="s">
        <v>69</v>
      </c>
      <c r="F863" s="4" t="s">
        <v>364</v>
      </c>
      <c r="G863" s="4" t="s">
        <v>199</v>
      </c>
      <c r="H863" s="4" t="s">
        <v>76</v>
      </c>
      <c r="I863" s="3"/>
      <c r="J863" s="3"/>
      <c r="K863" s="3"/>
      <c r="L863" s="3"/>
      <c r="M863" s="3"/>
      <c r="N863" s="3"/>
      <c r="O863" s="3"/>
      <c r="P863" s="8"/>
      <c r="Q863" s="8"/>
      <c r="R863" s="3"/>
      <c r="S863" s="3"/>
      <c r="T863" s="3"/>
      <c r="U863" s="5" t="str">
        <f t="shared" ref="U863:U874" si="51">IF(I863="","",IF(I863="NA","Grey",IF(I863=2,"Green",IF(I863=1,"Amber","Red"))))</f>
        <v/>
      </c>
    </row>
    <row r="864" spans="1:21" ht="28" customHeight="1" x14ac:dyDescent="0.35">
      <c r="A864" s="4">
        <v>2</v>
      </c>
      <c r="B864" s="4" t="s">
        <v>365</v>
      </c>
      <c r="C864" s="4" t="s">
        <v>366</v>
      </c>
      <c r="D864" s="4" t="s">
        <v>367</v>
      </c>
      <c r="E864" s="4" t="s">
        <v>69</v>
      </c>
      <c r="F864" s="4" t="s">
        <v>276</v>
      </c>
      <c r="G864" s="4" t="s">
        <v>199</v>
      </c>
      <c r="H864" s="4" t="s">
        <v>76</v>
      </c>
      <c r="I864" s="3"/>
      <c r="J864" s="3"/>
      <c r="K864" s="3"/>
      <c r="L864" s="3"/>
      <c r="M864" s="3"/>
      <c r="N864" s="3"/>
      <c r="O864" s="3"/>
      <c r="P864" s="8"/>
      <c r="Q864" s="8"/>
      <c r="R864" s="3"/>
      <c r="S864" s="3"/>
      <c r="T864" s="3"/>
      <c r="U864" s="5" t="str">
        <f t="shared" si="51"/>
        <v/>
      </c>
    </row>
    <row r="865" spans="1:21" ht="28" customHeight="1" x14ac:dyDescent="0.35">
      <c r="A865" s="4">
        <v>3</v>
      </c>
      <c r="B865" s="4" t="s">
        <v>365</v>
      </c>
      <c r="C865" s="4" t="s">
        <v>368</v>
      </c>
      <c r="D865" s="4" t="s">
        <v>369</v>
      </c>
      <c r="E865" s="4" t="s">
        <v>69</v>
      </c>
      <c r="F865" s="4" t="s">
        <v>370</v>
      </c>
      <c r="G865" s="4" t="s">
        <v>204</v>
      </c>
      <c r="H865" s="4" t="s">
        <v>76</v>
      </c>
      <c r="I865" s="3"/>
      <c r="J865" s="3"/>
      <c r="K865" s="3"/>
      <c r="L865" s="3"/>
      <c r="M865" s="3"/>
      <c r="N865" s="3"/>
      <c r="O865" s="3"/>
      <c r="P865" s="8"/>
      <c r="Q865" s="8"/>
      <c r="R865" s="3"/>
      <c r="S865" s="3"/>
      <c r="T865" s="3"/>
      <c r="U865" s="5" t="str">
        <f t="shared" si="51"/>
        <v/>
      </c>
    </row>
    <row r="866" spans="1:21" ht="28" customHeight="1" x14ac:dyDescent="0.35">
      <c r="A866" s="4">
        <v>4</v>
      </c>
      <c r="B866" s="4" t="s">
        <v>371</v>
      </c>
      <c r="C866" s="4" t="s">
        <v>372</v>
      </c>
      <c r="D866" s="4" t="s">
        <v>373</v>
      </c>
      <c r="E866" s="4" t="s">
        <v>69</v>
      </c>
      <c r="F866" s="4" t="s">
        <v>295</v>
      </c>
      <c r="G866" s="4" t="s">
        <v>199</v>
      </c>
      <c r="H866" s="4" t="s">
        <v>59</v>
      </c>
      <c r="I866" s="3"/>
      <c r="J866" s="3"/>
      <c r="K866" s="3"/>
      <c r="L866" s="3"/>
      <c r="M866" s="3"/>
      <c r="N866" s="3"/>
      <c r="O866" s="3"/>
      <c r="P866" s="8"/>
      <c r="Q866" s="8"/>
      <c r="R866" s="3"/>
      <c r="S866" s="3"/>
      <c r="T866" s="3"/>
      <c r="U866" s="5" t="str">
        <f t="shared" si="51"/>
        <v/>
      </c>
    </row>
    <row r="867" spans="1:21" ht="28" customHeight="1" x14ac:dyDescent="0.35">
      <c r="A867" s="4">
        <v>5</v>
      </c>
      <c r="B867" s="4" t="s">
        <v>374</v>
      </c>
      <c r="C867" s="4" t="s">
        <v>375</v>
      </c>
      <c r="D867" s="4" t="s">
        <v>376</v>
      </c>
      <c r="E867" s="4" t="s">
        <v>69</v>
      </c>
      <c r="F867" s="4" t="s">
        <v>276</v>
      </c>
      <c r="G867" s="4" t="s">
        <v>199</v>
      </c>
      <c r="H867" s="4" t="s">
        <v>59</v>
      </c>
      <c r="I867" s="3"/>
      <c r="J867" s="3"/>
      <c r="K867" s="3"/>
      <c r="L867" s="3"/>
      <c r="M867" s="3"/>
      <c r="N867" s="3"/>
      <c r="O867" s="3"/>
      <c r="P867" s="8"/>
      <c r="Q867" s="8"/>
      <c r="R867" s="3"/>
      <c r="S867" s="3"/>
      <c r="T867" s="3"/>
      <c r="U867" s="5" t="str">
        <f t="shared" si="51"/>
        <v/>
      </c>
    </row>
    <row r="868" spans="1:21" ht="28" customHeight="1" x14ac:dyDescent="0.35">
      <c r="A868" s="4">
        <v>6</v>
      </c>
      <c r="B868" s="4" t="s">
        <v>377</v>
      </c>
      <c r="C868" s="4" t="s">
        <v>378</v>
      </c>
      <c r="D868" s="4" t="s">
        <v>379</v>
      </c>
      <c r="E868" s="4" t="s">
        <v>69</v>
      </c>
      <c r="F868" s="4" t="s">
        <v>276</v>
      </c>
      <c r="G868" s="4" t="s">
        <v>199</v>
      </c>
      <c r="H868" s="4" t="s">
        <v>59</v>
      </c>
      <c r="I868" s="3"/>
      <c r="J868" s="3"/>
      <c r="K868" s="3"/>
      <c r="L868" s="3"/>
      <c r="M868" s="3"/>
      <c r="N868" s="3"/>
      <c r="O868" s="3"/>
      <c r="P868" s="8"/>
      <c r="Q868" s="8"/>
      <c r="R868" s="3"/>
      <c r="S868" s="3"/>
      <c r="T868" s="3"/>
      <c r="U868" s="5" t="str">
        <f t="shared" si="51"/>
        <v/>
      </c>
    </row>
    <row r="869" spans="1:21" ht="28" customHeight="1" x14ac:dyDescent="0.35">
      <c r="A869" s="4">
        <v>7</v>
      </c>
      <c r="B869" s="4" t="s">
        <v>380</v>
      </c>
      <c r="C869" s="4" t="s">
        <v>381</v>
      </c>
      <c r="D869" s="4" t="s">
        <v>382</v>
      </c>
      <c r="E869" s="4" t="s">
        <v>69</v>
      </c>
      <c r="F869" s="4" t="s">
        <v>276</v>
      </c>
      <c r="G869" s="4" t="s">
        <v>199</v>
      </c>
      <c r="H869" s="4" t="s">
        <v>59</v>
      </c>
      <c r="I869" s="3"/>
      <c r="J869" s="3"/>
      <c r="K869" s="3"/>
      <c r="L869" s="3"/>
      <c r="M869" s="3"/>
      <c r="N869" s="3"/>
      <c r="O869" s="3"/>
      <c r="P869" s="8"/>
      <c r="Q869" s="8"/>
      <c r="R869" s="3"/>
      <c r="S869" s="3"/>
      <c r="T869" s="3"/>
      <c r="U869" s="5" t="str">
        <f t="shared" si="51"/>
        <v/>
      </c>
    </row>
    <row r="870" spans="1:21" ht="28" customHeight="1" x14ac:dyDescent="0.35">
      <c r="A870" s="4">
        <v>8</v>
      </c>
      <c r="B870" s="4" t="s">
        <v>383</v>
      </c>
      <c r="C870" s="4" t="s">
        <v>384</v>
      </c>
      <c r="D870" s="4" t="s">
        <v>385</v>
      </c>
      <c r="E870" s="4" t="s">
        <v>69</v>
      </c>
      <c r="F870" s="4" t="s">
        <v>95</v>
      </c>
      <c r="G870" s="4" t="s">
        <v>96</v>
      </c>
      <c r="H870" s="4" t="s">
        <v>59</v>
      </c>
      <c r="I870" s="3"/>
      <c r="J870" s="3"/>
      <c r="K870" s="3"/>
      <c r="L870" s="3"/>
      <c r="M870" s="3"/>
      <c r="N870" s="3"/>
      <c r="O870" s="3"/>
      <c r="P870" s="8"/>
      <c r="Q870" s="8"/>
      <c r="R870" s="3"/>
      <c r="S870" s="3"/>
      <c r="T870" s="3"/>
      <c r="U870" s="5" t="str">
        <f t="shared" si="51"/>
        <v/>
      </c>
    </row>
    <row r="871" spans="1:21" ht="28" customHeight="1" x14ac:dyDescent="0.35">
      <c r="A871" s="4">
        <v>9</v>
      </c>
      <c r="B871" s="4" t="s">
        <v>97</v>
      </c>
      <c r="C871" s="4" t="s">
        <v>98</v>
      </c>
      <c r="D871" s="4" t="s">
        <v>99</v>
      </c>
      <c r="E871" s="4" t="s">
        <v>69</v>
      </c>
      <c r="F871" s="4" t="s">
        <v>95</v>
      </c>
      <c r="G871" s="4" t="s">
        <v>96</v>
      </c>
      <c r="H871" s="4" t="s">
        <v>59</v>
      </c>
      <c r="I871" s="3"/>
      <c r="J871" s="3"/>
      <c r="K871" s="3"/>
      <c r="L871" s="3"/>
      <c r="M871" s="3"/>
      <c r="N871" s="3"/>
      <c r="O871" s="3"/>
      <c r="P871" s="8"/>
      <c r="Q871" s="8"/>
      <c r="R871" s="3"/>
      <c r="S871" s="3"/>
      <c r="T871" s="3"/>
      <c r="U871" s="5" t="str">
        <f t="shared" si="51"/>
        <v/>
      </c>
    </row>
    <row r="872" spans="1:21" ht="28" customHeight="1" x14ac:dyDescent="0.35">
      <c r="A872" s="4">
        <v>10</v>
      </c>
      <c r="B872" s="4" t="s">
        <v>97</v>
      </c>
      <c r="C872" s="4" t="s">
        <v>100</v>
      </c>
      <c r="D872" s="4" t="s">
        <v>101</v>
      </c>
      <c r="E872" s="4" t="s">
        <v>69</v>
      </c>
      <c r="F872" s="4" t="s">
        <v>95</v>
      </c>
      <c r="G872" s="4" t="s">
        <v>102</v>
      </c>
      <c r="H872" s="4" t="s">
        <v>59</v>
      </c>
      <c r="I872" s="3"/>
      <c r="J872" s="3"/>
      <c r="K872" s="3"/>
      <c r="L872" s="3"/>
      <c r="M872" s="3"/>
      <c r="N872" s="3"/>
      <c r="O872" s="3"/>
      <c r="P872" s="8"/>
      <c r="Q872" s="8"/>
      <c r="R872" s="3"/>
      <c r="S872" s="3"/>
      <c r="T872" s="3"/>
      <c r="U872" s="5" t="str">
        <f t="shared" si="51"/>
        <v/>
      </c>
    </row>
    <row r="873" spans="1:21" ht="28" customHeight="1" x14ac:dyDescent="0.35">
      <c r="A873" s="4">
        <v>11</v>
      </c>
      <c r="B873" s="4" t="s">
        <v>103</v>
      </c>
      <c r="C873" s="4" t="s">
        <v>104</v>
      </c>
      <c r="D873" s="4" t="s">
        <v>105</v>
      </c>
      <c r="E873" s="4" t="s">
        <v>69</v>
      </c>
      <c r="F873" s="4" t="s">
        <v>95</v>
      </c>
      <c r="G873" s="4" t="s">
        <v>96</v>
      </c>
      <c r="H873" s="4" t="s">
        <v>85</v>
      </c>
      <c r="I873" s="3"/>
      <c r="J873" s="3"/>
      <c r="K873" s="3"/>
      <c r="L873" s="3"/>
      <c r="M873" s="3"/>
      <c r="N873" s="3"/>
      <c r="O873" s="3"/>
      <c r="P873" s="8"/>
      <c r="Q873" s="8"/>
      <c r="R873" s="3"/>
      <c r="S873" s="3"/>
      <c r="T873" s="3"/>
      <c r="U873" s="5" t="str">
        <f t="shared" si="51"/>
        <v/>
      </c>
    </row>
    <row r="874" spans="1:21" ht="28" customHeight="1" x14ac:dyDescent="0.35">
      <c r="A874" s="4">
        <v>12</v>
      </c>
      <c r="B874" s="4" t="s">
        <v>106</v>
      </c>
      <c r="C874" s="4" t="s">
        <v>107</v>
      </c>
      <c r="D874" s="4" t="s">
        <v>108</v>
      </c>
      <c r="E874" s="4" t="s">
        <v>109</v>
      </c>
      <c r="F874" s="4" t="s">
        <v>95</v>
      </c>
      <c r="G874" s="4" t="s">
        <v>96</v>
      </c>
      <c r="H874" s="4" t="s">
        <v>59</v>
      </c>
      <c r="I874" s="3"/>
      <c r="J874" s="3"/>
      <c r="K874" s="3"/>
      <c r="L874" s="3"/>
      <c r="M874" s="3"/>
      <c r="N874" s="3"/>
      <c r="O874" s="3"/>
      <c r="P874" s="8"/>
      <c r="Q874" s="8"/>
      <c r="R874" s="3"/>
      <c r="S874" s="3"/>
      <c r="T874" s="3"/>
      <c r="U874" s="5" t="str">
        <f t="shared" si="51"/>
        <v/>
      </c>
    </row>
    <row r="876" spans="1:21" ht="28" customHeight="1" x14ac:dyDescent="0.35">
      <c r="A876" s="9" t="s">
        <v>110</v>
      </c>
      <c r="B876" s="16"/>
      <c r="C876" s="17"/>
      <c r="D876" s="17"/>
      <c r="E876" s="17"/>
      <c r="F876" s="17"/>
      <c r="G876" s="17"/>
      <c r="H876" s="17"/>
      <c r="I876" s="17"/>
      <c r="J876" s="17"/>
      <c r="K876" s="17"/>
      <c r="L876" s="17"/>
      <c r="M876" s="17"/>
      <c r="N876" s="17"/>
      <c r="O876" s="17"/>
      <c r="P876" s="17"/>
      <c r="Q876" s="17"/>
      <c r="R876" s="17"/>
      <c r="S876" s="17"/>
      <c r="T876" s="17"/>
      <c r="U876" s="18"/>
    </row>
    <row r="877" spans="1:21" ht="28" customHeight="1" x14ac:dyDescent="0.35">
      <c r="A877" s="19" t="s">
        <v>433</v>
      </c>
      <c r="B877" s="20"/>
      <c r="C877" s="20"/>
      <c r="D877" s="20"/>
      <c r="E877" s="20"/>
      <c r="F877" s="20"/>
      <c r="G877" s="20"/>
      <c r="H877" s="20"/>
      <c r="I877" s="20"/>
      <c r="J877" s="20"/>
      <c r="K877" s="20"/>
      <c r="L877" s="20"/>
      <c r="M877" s="20"/>
      <c r="N877" s="20"/>
      <c r="O877" s="20"/>
      <c r="P877" s="20"/>
      <c r="Q877" s="20"/>
      <c r="R877" s="20"/>
      <c r="S877" s="20"/>
      <c r="T877" s="20"/>
      <c r="U877" s="21"/>
    </row>
    <row r="878" spans="1:21" ht="28" customHeight="1" x14ac:dyDescent="0.35">
      <c r="A878" s="4" t="s">
        <v>31</v>
      </c>
      <c r="B878" s="3" t="s">
        <v>265</v>
      </c>
      <c r="C878" s="4" t="s">
        <v>32</v>
      </c>
      <c r="D878" s="3"/>
      <c r="E878" s="4" t="s">
        <v>33</v>
      </c>
      <c r="F878" s="8"/>
    </row>
    <row r="879" spans="1:21" ht="28" customHeight="1" x14ac:dyDescent="0.35">
      <c r="A879" s="1" t="s">
        <v>34</v>
      </c>
      <c r="B879" s="1" t="s">
        <v>35</v>
      </c>
      <c r="C879" s="1" t="s">
        <v>36</v>
      </c>
      <c r="D879" s="1" t="s">
        <v>37</v>
      </c>
      <c r="E879" s="1" t="s">
        <v>38</v>
      </c>
      <c r="F879" s="1" t="s">
        <v>39</v>
      </c>
      <c r="G879" s="1" t="s">
        <v>40</v>
      </c>
      <c r="H879" s="1" t="s">
        <v>41</v>
      </c>
      <c r="I879" s="1" t="s">
        <v>42</v>
      </c>
      <c r="J879" s="1" t="s">
        <v>43</v>
      </c>
      <c r="K879" s="1" t="s">
        <v>44</v>
      </c>
      <c r="L879" s="1" t="s">
        <v>45</v>
      </c>
      <c r="M879" s="1" t="s">
        <v>46</v>
      </c>
      <c r="N879" s="1" t="s">
        <v>47</v>
      </c>
      <c r="O879" s="1" t="s">
        <v>48</v>
      </c>
      <c r="P879" s="1" t="s">
        <v>4</v>
      </c>
      <c r="Q879" s="1" t="s">
        <v>49</v>
      </c>
      <c r="R879" s="1" t="s">
        <v>50</v>
      </c>
      <c r="S879" s="1" t="s">
        <v>51</v>
      </c>
      <c r="T879" s="1" t="s">
        <v>52</v>
      </c>
      <c r="U879" s="1" t="s">
        <v>10</v>
      </c>
    </row>
    <row r="880" spans="1:21" ht="28" customHeight="1" x14ac:dyDescent="0.35">
      <c r="A880" s="4">
        <v>1</v>
      </c>
      <c r="B880" s="4" t="s">
        <v>97</v>
      </c>
      <c r="C880" s="4" t="s">
        <v>362</v>
      </c>
      <c r="D880" s="4" t="s">
        <v>363</v>
      </c>
      <c r="E880" s="4" t="s">
        <v>69</v>
      </c>
      <c r="F880" s="4" t="s">
        <v>364</v>
      </c>
      <c r="G880" s="4" t="s">
        <v>199</v>
      </c>
      <c r="H880" s="4" t="s">
        <v>76</v>
      </c>
      <c r="I880" s="3"/>
      <c r="J880" s="3"/>
      <c r="K880" s="3"/>
      <c r="L880" s="3"/>
      <c r="M880" s="3"/>
      <c r="N880" s="3"/>
      <c r="O880" s="3"/>
      <c r="P880" s="8"/>
      <c r="Q880" s="8"/>
      <c r="R880" s="3"/>
      <c r="S880" s="3"/>
      <c r="T880" s="3"/>
      <c r="U880" s="5" t="str">
        <f t="shared" ref="U880:U891" si="52">IF(I880="","",IF(I880="NA","Grey",IF(I880=2,"Green",IF(I880=1,"Amber","Red"))))</f>
        <v/>
      </c>
    </row>
    <row r="881" spans="1:21" ht="28" customHeight="1" x14ac:dyDescent="0.35">
      <c r="A881" s="4">
        <v>2</v>
      </c>
      <c r="B881" s="4" t="s">
        <v>365</v>
      </c>
      <c r="C881" s="4" t="s">
        <v>366</v>
      </c>
      <c r="D881" s="4" t="s">
        <v>367</v>
      </c>
      <c r="E881" s="4" t="s">
        <v>69</v>
      </c>
      <c r="F881" s="4" t="s">
        <v>276</v>
      </c>
      <c r="G881" s="4" t="s">
        <v>199</v>
      </c>
      <c r="H881" s="4" t="s">
        <v>76</v>
      </c>
      <c r="I881" s="3"/>
      <c r="J881" s="3"/>
      <c r="K881" s="3"/>
      <c r="L881" s="3"/>
      <c r="M881" s="3"/>
      <c r="N881" s="3"/>
      <c r="O881" s="3"/>
      <c r="P881" s="8"/>
      <c r="Q881" s="8"/>
      <c r="R881" s="3"/>
      <c r="S881" s="3"/>
      <c r="T881" s="3"/>
      <c r="U881" s="5" t="str">
        <f t="shared" si="52"/>
        <v/>
      </c>
    </row>
    <row r="882" spans="1:21" ht="28" customHeight="1" x14ac:dyDescent="0.35">
      <c r="A882" s="4">
        <v>3</v>
      </c>
      <c r="B882" s="4" t="s">
        <v>365</v>
      </c>
      <c r="C882" s="4" t="s">
        <v>368</v>
      </c>
      <c r="D882" s="4" t="s">
        <v>369</v>
      </c>
      <c r="E882" s="4" t="s">
        <v>69</v>
      </c>
      <c r="F882" s="4" t="s">
        <v>370</v>
      </c>
      <c r="G882" s="4" t="s">
        <v>204</v>
      </c>
      <c r="H882" s="4" t="s">
        <v>76</v>
      </c>
      <c r="I882" s="3"/>
      <c r="J882" s="3"/>
      <c r="K882" s="3"/>
      <c r="L882" s="3"/>
      <c r="M882" s="3"/>
      <c r="N882" s="3"/>
      <c r="O882" s="3"/>
      <c r="P882" s="8"/>
      <c r="Q882" s="8"/>
      <c r="R882" s="3"/>
      <c r="S882" s="3"/>
      <c r="T882" s="3"/>
      <c r="U882" s="5" t="str">
        <f t="shared" si="52"/>
        <v/>
      </c>
    </row>
    <row r="883" spans="1:21" ht="28" customHeight="1" x14ac:dyDescent="0.35">
      <c r="A883" s="4">
        <v>4</v>
      </c>
      <c r="B883" s="4" t="s">
        <v>371</v>
      </c>
      <c r="C883" s="4" t="s">
        <v>372</v>
      </c>
      <c r="D883" s="4" t="s">
        <v>373</v>
      </c>
      <c r="E883" s="4" t="s">
        <v>69</v>
      </c>
      <c r="F883" s="4" t="s">
        <v>295</v>
      </c>
      <c r="G883" s="4" t="s">
        <v>199</v>
      </c>
      <c r="H883" s="4" t="s">
        <v>59</v>
      </c>
      <c r="I883" s="3"/>
      <c r="J883" s="3"/>
      <c r="K883" s="3"/>
      <c r="L883" s="3"/>
      <c r="M883" s="3"/>
      <c r="N883" s="3"/>
      <c r="O883" s="3"/>
      <c r="P883" s="8"/>
      <c r="Q883" s="8"/>
      <c r="R883" s="3"/>
      <c r="S883" s="3"/>
      <c r="T883" s="3"/>
      <c r="U883" s="5" t="str">
        <f t="shared" si="52"/>
        <v/>
      </c>
    </row>
    <row r="884" spans="1:21" ht="28" customHeight="1" x14ac:dyDescent="0.35">
      <c r="A884" s="4">
        <v>5</v>
      </c>
      <c r="B884" s="4" t="s">
        <v>374</v>
      </c>
      <c r="C884" s="4" t="s">
        <v>375</v>
      </c>
      <c r="D884" s="4" t="s">
        <v>376</v>
      </c>
      <c r="E884" s="4" t="s">
        <v>69</v>
      </c>
      <c r="F884" s="4" t="s">
        <v>276</v>
      </c>
      <c r="G884" s="4" t="s">
        <v>199</v>
      </c>
      <c r="H884" s="4" t="s">
        <v>59</v>
      </c>
      <c r="I884" s="3"/>
      <c r="J884" s="3"/>
      <c r="K884" s="3"/>
      <c r="L884" s="3"/>
      <c r="M884" s="3"/>
      <c r="N884" s="3"/>
      <c r="O884" s="3"/>
      <c r="P884" s="8"/>
      <c r="Q884" s="8"/>
      <c r="R884" s="3"/>
      <c r="S884" s="3"/>
      <c r="T884" s="3"/>
      <c r="U884" s="5" t="str">
        <f t="shared" si="52"/>
        <v/>
      </c>
    </row>
    <row r="885" spans="1:21" ht="28" customHeight="1" x14ac:dyDescent="0.35">
      <c r="A885" s="4">
        <v>6</v>
      </c>
      <c r="B885" s="4" t="s">
        <v>377</v>
      </c>
      <c r="C885" s="4" t="s">
        <v>378</v>
      </c>
      <c r="D885" s="4" t="s">
        <v>379</v>
      </c>
      <c r="E885" s="4" t="s">
        <v>69</v>
      </c>
      <c r="F885" s="4" t="s">
        <v>276</v>
      </c>
      <c r="G885" s="4" t="s">
        <v>199</v>
      </c>
      <c r="H885" s="4" t="s">
        <v>59</v>
      </c>
      <c r="I885" s="3"/>
      <c r="J885" s="3"/>
      <c r="K885" s="3"/>
      <c r="L885" s="3"/>
      <c r="M885" s="3"/>
      <c r="N885" s="3"/>
      <c r="O885" s="3"/>
      <c r="P885" s="8"/>
      <c r="Q885" s="8"/>
      <c r="R885" s="3"/>
      <c r="S885" s="3"/>
      <c r="T885" s="3"/>
      <c r="U885" s="5" t="str">
        <f t="shared" si="52"/>
        <v/>
      </c>
    </row>
    <row r="886" spans="1:21" ht="28" customHeight="1" x14ac:dyDescent="0.35">
      <c r="A886" s="4">
        <v>7</v>
      </c>
      <c r="B886" s="4" t="s">
        <v>380</v>
      </c>
      <c r="C886" s="4" t="s">
        <v>381</v>
      </c>
      <c r="D886" s="4" t="s">
        <v>382</v>
      </c>
      <c r="E886" s="4" t="s">
        <v>69</v>
      </c>
      <c r="F886" s="4" t="s">
        <v>276</v>
      </c>
      <c r="G886" s="4" t="s">
        <v>199</v>
      </c>
      <c r="H886" s="4" t="s">
        <v>59</v>
      </c>
      <c r="I886" s="3"/>
      <c r="J886" s="3"/>
      <c r="K886" s="3"/>
      <c r="L886" s="3"/>
      <c r="M886" s="3"/>
      <c r="N886" s="3"/>
      <c r="O886" s="3"/>
      <c r="P886" s="8"/>
      <c r="Q886" s="8"/>
      <c r="R886" s="3"/>
      <c r="S886" s="3"/>
      <c r="T886" s="3"/>
      <c r="U886" s="5" t="str">
        <f t="shared" si="52"/>
        <v/>
      </c>
    </row>
    <row r="887" spans="1:21" ht="28" customHeight="1" x14ac:dyDescent="0.35">
      <c r="A887" s="4">
        <v>8</v>
      </c>
      <c r="B887" s="4" t="s">
        <v>383</v>
      </c>
      <c r="C887" s="4" t="s">
        <v>384</v>
      </c>
      <c r="D887" s="4" t="s">
        <v>385</v>
      </c>
      <c r="E887" s="4" t="s">
        <v>69</v>
      </c>
      <c r="F887" s="4" t="s">
        <v>95</v>
      </c>
      <c r="G887" s="4" t="s">
        <v>96</v>
      </c>
      <c r="H887" s="4" t="s">
        <v>59</v>
      </c>
      <c r="I887" s="3"/>
      <c r="J887" s="3"/>
      <c r="K887" s="3"/>
      <c r="L887" s="3"/>
      <c r="M887" s="3"/>
      <c r="N887" s="3"/>
      <c r="O887" s="3"/>
      <c r="P887" s="8"/>
      <c r="Q887" s="8"/>
      <c r="R887" s="3"/>
      <c r="S887" s="3"/>
      <c r="T887" s="3"/>
      <c r="U887" s="5" t="str">
        <f t="shared" si="52"/>
        <v/>
      </c>
    </row>
    <row r="888" spans="1:21" ht="28" customHeight="1" x14ac:dyDescent="0.35">
      <c r="A888" s="4">
        <v>9</v>
      </c>
      <c r="B888" s="4" t="s">
        <v>97</v>
      </c>
      <c r="C888" s="4" t="s">
        <v>98</v>
      </c>
      <c r="D888" s="4" t="s">
        <v>99</v>
      </c>
      <c r="E888" s="4" t="s">
        <v>69</v>
      </c>
      <c r="F888" s="4" t="s">
        <v>95</v>
      </c>
      <c r="G888" s="4" t="s">
        <v>96</v>
      </c>
      <c r="H888" s="4" t="s">
        <v>59</v>
      </c>
      <c r="I888" s="3"/>
      <c r="J888" s="3"/>
      <c r="K888" s="3"/>
      <c r="L888" s="3"/>
      <c r="M888" s="3"/>
      <c r="N888" s="3"/>
      <c r="O888" s="3"/>
      <c r="P888" s="8"/>
      <c r="Q888" s="8"/>
      <c r="R888" s="3"/>
      <c r="S888" s="3"/>
      <c r="T888" s="3"/>
      <c r="U888" s="5" t="str">
        <f t="shared" si="52"/>
        <v/>
      </c>
    </row>
    <row r="889" spans="1:21" ht="28" customHeight="1" x14ac:dyDescent="0.35">
      <c r="A889" s="4">
        <v>10</v>
      </c>
      <c r="B889" s="4" t="s">
        <v>97</v>
      </c>
      <c r="C889" s="4" t="s">
        <v>100</v>
      </c>
      <c r="D889" s="4" t="s">
        <v>101</v>
      </c>
      <c r="E889" s="4" t="s">
        <v>69</v>
      </c>
      <c r="F889" s="4" t="s">
        <v>95</v>
      </c>
      <c r="G889" s="4" t="s">
        <v>102</v>
      </c>
      <c r="H889" s="4" t="s">
        <v>59</v>
      </c>
      <c r="I889" s="3"/>
      <c r="J889" s="3"/>
      <c r="K889" s="3"/>
      <c r="L889" s="3"/>
      <c r="M889" s="3"/>
      <c r="N889" s="3"/>
      <c r="O889" s="3"/>
      <c r="P889" s="8"/>
      <c r="Q889" s="8"/>
      <c r="R889" s="3"/>
      <c r="S889" s="3"/>
      <c r="T889" s="3"/>
      <c r="U889" s="5" t="str">
        <f t="shared" si="52"/>
        <v/>
      </c>
    </row>
    <row r="890" spans="1:21" ht="28" customHeight="1" x14ac:dyDescent="0.35">
      <c r="A890" s="4">
        <v>11</v>
      </c>
      <c r="B890" s="4" t="s">
        <v>103</v>
      </c>
      <c r="C890" s="4" t="s">
        <v>104</v>
      </c>
      <c r="D890" s="4" t="s">
        <v>105</v>
      </c>
      <c r="E890" s="4" t="s">
        <v>69</v>
      </c>
      <c r="F890" s="4" t="s">
        <v>95</v>
      </c>
      <c r="G890" s="4" t="s">
        <v>96</v>
      </c>
      <c r="H890" s="4" t="s">
        <v>85</v>
      </c>
      <c r="I890" s="3"/>
      <c r="J890" s="3"/>
      <c r="K890" s="3"/>
      <c r="L890" s="3"/>
      <c r="M890" s="3"/>
      <c r="N890" s="3"/>
      <c r="O890" s="3"/>
      <c r="P890" s="8"/>
      <c r="Q890" s="8"/>
      <c r="R890" s="3"/>
      <c r="S890" s="3"/>
      <c r="T890" s="3"/>
      <c r="U890" s="5" t="str">
        <f t="shared" si="52"/>
        <v/>
      </c>
    </row>
    <row r="891" spans="1:21" ht="28" customHeight="1" x14ac:dyDescent="0.35">
      <c r="A891" s="4">
        <v>12</v>
      </c>
      <c r="B891" s="4" t="s">
        <v>106</v>
      </c>
      <c r="C891" s="4" t="s">
        <v>107</v>
      </c>
      <c r="D891" s="4" t="s">
        <v>108</v>
      </c>
      <c r="E891" s="4" t="s">
        <v>109</v>
      </c>
      <c r="F891" s="4" t="s">
        <v>95</v>
      </c>
      <c r="G891" s="4" t="s">
        <v>96</v>
      </c>
      <c r="H891" s="4" t="s">
        <v>59</v>
      </c>
      <c r="I891" s="3"/>
      <c r="J891" s="3"/>
      <c r="K891" s="3"/>
      <c r="L891" s="3"/>
      <c r="M891" s="3"/>
      <c r="N891" s="3"/>
      <c r="O891" s="3"/>
      <c r="P891" s="8"/>
      <c r="Q891" s="8"/>
      <c r="R891" s="3"/>
      <c r="S891" s="3"/>
      <c r="T891" s="3"/>
      <c r="U891" s="5" t="str">
        <f t="shared" si="52"/>
        <v/>
      </c>
    </row>
    <row r="893" spans="1:21" ht="28" customHeight="1" x14ac:dyDescent="0.35">
      <c r="A893" s="9" t="s">
        <v>110</v>
      </c>
      <c r="B893" s="16"/>
      <c r="C893" s="17"/>
      <c r="D893" s="17"/>
      <c r="E893" s="17"/>
      <c r="F893" s="17"/>
      <c r="G893" s="17"/>
      <c r="H893" s="17"/>
      <c r="I893" s="17"/>
      <c r="J893" s="17"/>
      <c r="K893" s="17"/>
      <c r="L893" s="17"/>
      <c r="M893" s="17"/>
      <c r="N893" s="17"/>
      <c r="O893" s="17"/>
      <c r="P893" s="17"/>
      <c r="Q893" s="17"/>
      <c r="R893" s="17"/>
      <c r="S893" s="17"/>
      <c r="T893" s="17"/>
      <c r="U893" s="18"/>
    </row>
    <row r="894" spans="1:21" ht="28" customHeight="1" x14ac:dyDescent="0.35">
      <c r="A894" s="19" t="s">
        <v>434</v>
      </c>
      <c r="B894" s="20"/>
      <c r="C894" s="20"/>
      <c r="D894" s="20"/>
      <c r="E894" s="20"/>
      <c r="F894" s="20"/>
      <c r="G894" s="20"/>
      <c r="H894" s="20"/>
      <c r="I894" s="20"/>
      <c r="J894" s="20"/>
      <c r="K894" s="20"/>
      <c r="L894" s="20"/>
      <c r="M894" s="20"/>
      <c r="N894" s="20"/>
      <c r="O894" s="20"/>
      <c r="P894" s="20"/>
      <c r="Q894" s="20"/>
      <c r="R894" s="20"/>
      <c r="S894" s="20"/>
      <c r="T894" s="20"/>
      <c r="U894" s="21"/>
    </row>
    <row r="895" spans="1:21" ht="28" customHeight="1" x14ac:dyDescent="0.35">
      <c r="A895" s="4" t="s">
        <v>31</v>
      </c>
      <c r="B895" s="3" t="s">
        <v>266</v>
      </c>
      <c r="C895" s="4" t="s">
        <v>32</v>
      </c>
      <c r="D895" s="3"/>
      <c r="E895" s="4" t="s">
        <v>33</v>
      </c>
      <c r="F895" s="8"/>
    </row>
    <row r="896" spans="1:21" ht="28" customHeight="1" x14ac:dyDescent="0.35">
      <c r="A896" s="1" t="s">
        <v>34</v>
      </c>
      <c r="B896" s="1" t="s">
        <v>35</v>
      </c>
      <c r="C896" s="1" t="s">
        <v>36</v>
      </c>
      <c r="D896" s="1" t="s">
        <v>37</v>
      </c>
      <c r="E896" s="1" t="s">
        <v>38</v>
      </c>
      <c r="F896" s="1" t="s">
        <v>39</v>
      </c>
      <c r="G896" s="1" t="s">
        <v>40</v>
      </c>
      <c r="H896" s="1" t="s">
        <v>41</v>
      </c>
      <c r="I896" s="1" t="s">
        <v>42</v>
      </c>
      <c r="J896" s="1" t="s">
        <v>43</v>
      </c>
      <c r="K896" s="1" t="s">
        <v>44</v>
      </c>
      <c r="L896" s="1" t="s">
        <v>45</v>
      </c>
      <c r="M896" s="1" t="s">
        <v>46</v>
      </c>
      <c r="N896" s="1" t="s">
        <v>47</v>
      </c>
      <c r="O896" s="1" t="s">
        <v>48</v>
      </c>
      <c r="P896" s="1" t="s">
        <v>4</v>
      </c>
      <c r="Q896" s="1" t="s">
        <v>49</v>
      </c>
      <c r="R896" s="1" t="s">
        <v>50</v>
      </c>
      <c r="S896" s="1" t="s">
        <v>51</v>
      </c>
      <c r="T896" s="1" t="s">
        <v>52</v>
      </c>
      <c r="U896" s="1" t="s">
        <v>10</v>
      </c>
    </row>
    <row r="897" spans="1:21" ht="28" customHeight="1" x14ac:dyDescent="0.35">
      <c r="A897" s="4">
        <v>1</v>
      </c>
      <c r="B897" s="4" t="s">
        <v>97</v>
      </c>
      <c r="C897" s="4" t="s">
        <v>362</v>
      </c>
      <c r="D897" s="4" t="s">
        <v>363</v>
      </c>
      <c r="E897" s="4" t="s">
        <v>69</v>
      </c>
      <c r="F897" s="4" t="s">
        <v>364</v>
      </c>
      <c r="G897" s="4" t="s">
        <v>199</v>
      </c>
      <c r="H897" s="4" t="s">
        <v>76</v>
      </c>
      <c r="I897" s="3"/>
      <c r="J897" s="3"/>
      <c r="K897" s="3"/>
      <c r="L897" s="3"/>
      <c r="M897" s="3"/>
      <c r="N897" s="3"/>
      <c r="O897" s="3"/>
      <c r="P897" s="8"/>
      <c r="Q897" s="8"/>
      <c r="R897" s="3"/>
      <c r="S897" s="3"/>
      <c r="T897" s="3"/>
      <c r="U897" s="5" t="str">
        <f t="shared" ref="U897:U908" si="53">IF(I897="","",IF(I897="NA","Grey",IF(I897=2,"Green",IF(I897=1,"Amber","Red"))))</f>
        <v/>
      </c>
    </row>
    <row r="898" spans="1:21" ht="28" customHeight="1" x14ac:dyDescent="0.35">
      <c r="A898" s="4">
        <v>2</v>
      </c>
      <c r="B898" s="4" t="s">
        <v>365</v>
      </c>
      <c r="C898" s="4" t="s">
        <v>366</v>
      </c>
      <c r="D898" s="4" t="s">
        <v>367</v>
      </c>
      <c r="E898" s="4" t="s">
        <v>69</v>
      </c>
      <c r="F898" s="4" t="s">
        <v>276</v>
      </c>
      <c r="G898" s="4" t="s">
        <v>199</v>
      </c>
      <c r="H898" s="4" t="s">
        <v>76</v>
      </c>
      <c r="I898" s="3"/>
      <c r="J898" s="3"/>
      <c r="K898" s="3"/>
      <c r="L898" s="3"/>
      <c r="M898" s="3"/>
      <c r="N898" s="3"/>
      <c r="O898" s="3"/>
      <c r="P898" s="8"/>
      <c r="Q898" s="8"/>
      <c r="R898" s="3"/>
      <c r="S898" s="3"/>
      <c r="T898" s="3"/>
      <c r="U898" s="5" t="str">
        <f t="shared" si="53"/>
        <v/>
      </c>
    </row>
    <row r="899" spans="1:21" ht="28" customHeight="1" x14ac:dyDescent="0.35">
      <c r="A899" s="4">
        <v>3</v>
      </c>
      <c r="B899" s="4" t="s">
        <v>365</v>
      </c>
      <c r="C899" s="4" t="s">
        <v>368</v>
      </c>
      <c r="D899" s="4" t="s">
        <v>369</v>
      </c>
      <c r="E899" s="4" t="s">
        <v>69</v>
      </c>
      <c r="F899" s="4" t="s">
        <v>370</v>
      </c>
      <c r="G899" s="4" t="s">
        <v>204</v>
      </c>
      <c r="H899" s="4" t="s">
        <v>76</v>
      </c>
      <c r="I899" s="3"/>
      <c r="J899" s="3"/>
      <c r="K899" s="3"/>
      <c r="L899" s="3"/>
      <c r="M899" s="3"/>
      <c r="N899" s="3"/>
      <c r="O899" s="3"/>
      <c r="P899" s="8"/>
      <c r="Q899" s="8"/>
      <c r="R899" s="3"/>
      <c r="S899" s="3"/>
      <c r="T899" s="3"/>
      <c r="U899" s="5" t="str">
        <f t="shared" si="53"/>
        <v/>
      </c>
    </row>
    <row r="900" spans="1:21" ht="28" customHeight="1" x14ac:dyDescent="0.35">
      <c r="A900" s="4">
        <v>4</v>
      </c>
      <c r="B900" s="4" t="s">
        <v>371</v>
      </c>
      <c r="C900" s="4" t="s">
        <v>372</v>
      </c>
      <c r="D900" s="4" t="s">
        <v>373</v>
      </c>
      <c r="E900" s="4" t="s">
        <v>69</v>
      </c>
      <c r="F900" s="4" t="s">
        <v>295</v>
      </c>
      <c r="G900" s="4" t="s">
        <v>199</v>
      </c>
      <c r="H900" s="4" t="s">
        <v>59</v>
      </c>
      <c r="I900" s="3"/>
      <c r="J900" s="3"/>
      <c r="K900" s="3"/>
      <c r="L900" s="3"/>
      <c r="M900" s="3"/>
      <c r="N900" s="3"/>
      <c r="O900" s="3"/>
      <c r="P900" s="8"/>
      <c r="Q900" s="8"/>
      <c r="R900" s="3"/>
      <c r="S900" s="3"/>
      <c r="T900" s="3"/>
      <c r="U900" s="5" t="str">
        <f t="shared" si="53"/>
        <v/>
      </c>
    </row>
    <row r="901" spans="1:21" ht="28" customHeight="1" x14ac:dyDescent="0.35">
      <c r="A901" s="4">
        <v>5</v>
      </c>
      <c r="B901" s="4" t="s">
        <v>374</v>
      </c>
      <c r="C901" s="4" t="s">
        <v>375</v>
      </c>
      <c r="D901" s="4" t="s">
        <v>376</v>
      </c>
      <c r="E901" s="4" t="s">
        <v>69</v>
      </c>
      <c r="F901" s="4" t="s">
        <v>276</v>
      </c>
      <c r="G901" s="4" t="s">
        <v>199</v>
      </c>
      <c r="H901" s="4" t="s">
        <v>59</v>
      </c>
      <c r="I901" s="3"/>
      <c r="J901" s="3"/>
      <c r="K901" s="3"/>
      <c r="L901" s="3"/>
      <c r="M901" s="3"/>
      <c r="N901" s="3"/>
      <c r="O901" s="3"/>
      <c r="P901" s="8"/>
      <c r="Q901" s="8"/>
      <c r="R901" s="3"/>
      <c r="S901" s="3"/>
      <c r="T901" s="3"/>
      <c r="U901" s="5" t="str">
        <f t="shared" si="53"/>
        <v/>
      </c>
    </row>
    <row r="902" spans="1:21" ht="28" customHeight="1" x14ac:dyDescent="0.35">
      <c r="A902" s="4">
        <v>6</v>
      </c>
      <c r="B902" s="4" t="s">
        <v>377</v>
      </c>
      <c r="C902" s="4" t="s">
        <v>378</v>
      </c>
      <c r="D902" s="4" t="s">
        <v>379</v>
      </c>
      <c r="E902" s="4" t="s">
        <v>69</v>
      </c>
      <c r="F902" s="4" t="s">
        <v>276</v>
      </c>
      <c r="G902" s="4" t="s">
        <v>199</v>
      </c>
      <c r="H902" s="4" t="s">
        <v>59</v>
      </c>
      <c r="I902" s="3"/>
      <c r="J902" s="3"/>
      <c r="K902" s="3"/>
      <c r="L902" s="3"/>
      <c r="M902" s="3"/>
      <c r="N902" s="3"/>
      <c r="O902" s="3"/>
      <c r="P902" s="8"/>
      <c r="Q902" s="8"/>
      <c r="R902" s="3"/>
      <c r="S902" s="3"/>
      <c r="T902" s="3"/>
      <c r="U902" s="5" t="str">
        <f t="shared" si="53"/>
        <v/>
      </c>
    </row>
    <row r="903" spans="1:21" ht="28" customHeight="1" x14ac:dyDescent="0.35">
      <c r="A903" s="4">
        <v>7</v>
      </c>
      <c r="B903" s="4" t="s">
        <v>380</v>
      </c>
      <c r="C903" s="4" t="s">
        <v>381</v>
      </c>
      <c r="D903" s="4" t="s">
        <v>382</v>
      </c>
      <c r="E903" s="4" t="s">
        <v>69</v>
      </c>
      <c r="F903" s="4" t="s">
        <v>276</v>
      </c>
      <c r="G903" s="4" t="s">
        <v>199</v>
      </c>
      <c r="H903" s="4" t="s">
        <v>59</v>
      </c>
      <c r="I903" s="3"/>
      <c r="J903" s="3"/>
      <c r="K903" s="3"/>
      <c r="L903" s="3"/>
      <c r="M903" s="3"/>
      <c r="N903" s="3"/>
      <c r="O903" s="3"/>
      <c r="P903" s="8"/>
      <c r="Q903" s="8"/>
      <c r="R903" s="3"/>
      <c r="S903" s="3"/>
      <c r="T903" s="3"/>
      <c r="U903" s="5" t="str">
        <f t="shared" si="53"/>
        <v/>
      </c>
    </row>
    <row r="904" spans="1:21" ht="28" customHeight="1" x14ac:dyDescent="0.35">
      <c r="A904" s="4">
        <v>8</v>
      </c>
      <c r="B904" s="4" t="s">
        <v>383</v>
      </c>
      <c r="C904" s="4" t="s">
        <v>384</v>
      </c>
      <c r="D904" s="4" t="s">
        <v>385</v>
      </c>
      <c r="E904" s="4" t="s">
        <v>69</v>
      </c>
      <c r="F904" s="4" t="s">
        <v>95</v>
      </c>
      <c r="G904" s="4" t="s">
        <v>96</v>
      </c>
      <c r="H904" s="4" t="s">
        <v>59</v>
      </c>
      <c r="I904" s="3"/>
      <c r="J904" s="3"/>
      <c r="K904" s="3"/>
      <c r="L904" s="3"/>
      <c r="M904" s="3"/>
      <c r="N904" s="3"/>
      <c r="O904" s="3"/>
      <c r="P904" s="8"/>
      <c r="Q904" s="8"/>
      <c r="R904" s="3"/>
      <c r="S904" s="3"/>
      <c r="T904" s="3"/>
      <c r="U904" s="5" t="str">
        <f t="shared" si="53"/>
        <v/>
      </c>
    </row>
    <row r="905" spans="1:21" ht="28" customHeight="1" x14ac:dyDescent="0.35">
      <c r="A905" s="4">
        <v>9</v>
      </c>
      <c r="B905" s="4" t="s">
        <v>97</v>
      </c>
      <c r="C905" s="4" t="s">
        <v>98</v>
      </c>
      <c r="D905" s="4" t="s">
        <v>99</v>
      </c>
      <c r="E905" s="4" t="s">
        <v>69</v>
      </c>
      <c r="F905" s="4" t="s">
        <v>95</v>
      </c>
      <c r="G905" s="4" t="s">
        <v>96</v>
      </c>
      <c r="H905" s="4" t="s">
        <v>59</v>
      </c>
      <c r="I905" s="3"/>
      <c r="J905" s="3"/>
      <c r="K905" s="3"/>
      <c r="L905" s="3"/>
      <c r="M905" s="3"/>
      <c r="N905" s="3"/>
      <c r="O905" s="3"/>
      <c r="P905" s="8"/>
      <c r="Q905" s="8"/>
      <c r="R905" s="3"/>
      <c r="S905" s="3"/>
      <c r="T905" s="3"/>
      <c r="U905" s="5" t="str">
        <f t="shared" si="53"/>
        <v/>
      </c>
    </row>
    <row r="906" spans="1:21" ht="28" customHeight="1" x14ac:dyDescent="0.35">
      <c r="A906" s="4">
        <v>10</v>
      </c>
      <c r="B906" s="4" t="s">
        <v>97</v>
      </c>
      <c r="C906" s="4" t="s">
        <v>100</v>
      </c>
      <c r="D906" s="4" t="s">
        <v>101</v>
      </c>
      <c r="E906" s="4" t="s">
        <v>69</v>
      </c>
      <c r="F906" s="4" t="s">
        <v>95</v>
      </c>
      <c r="G906" s="4" t="s">
        <v>102</v>
      </c>
      <c r="H906" s="4" t="s">
        <v>59</v>
      </c>
      <c r="I906" s="3"/>
      <c r="J906" s="3"/>
      <c r="K906" s="3"/>
      <c r="L906" s="3"/>
      <c r="M906" s="3"/>
      <c r="N906" s="3"/>
      <c r="O906" s="3"/>
      <c r="P906" s="8"/>
      <c r="Q906" s="8"/>
      <c r="R906" s="3"/>
      <c r="S906" s="3"/>
      <c r="T906" s="3"/>
      <c r="U906" s="5" t="str">
        <f t="shared" si="53"/>
        <v/>
      </c>
    </row>
    <row r="907" spans="1:21" ht="28" customHeight="1" x14ac:dyDescent="0.35">
      <c r="A907" s="4">
        <v>11</v>
      </c>
      <c r="B907" s="4" t="s">
        <v>103</v>
      </c>
      <c r="C907" s="4" t="s">
        <v>104</v>
      </c>
      <c r="D907" s="4" t="s">
        <v>105</v>
      </c>
      <c r="E907" s="4" t="s">
        <v>69</v>
      </c>
      <c r="F907" s="4" t="s">
        <v>95</v>
      </c>
      <c r="G907" s="4" t="s">
        <v>96</v>
      </c>
      <c r="H907" s="4" t="s">
        <v>85</v>
      </c>
      <c r="I907" s="3"/>
      <c r="J907" s="3"/>
      <c r="K907" s="3"/>
      <c r="L907" s="3"/>
      <c r="M907" s="3"/>
      <c r="N907" s="3"/>
      <c r="O907" s="3"/>
      <c r="P907" s="8"/>
      <c r="Q907" s="8"/>
      <c r="R907" s="3"/>
      <c r="S907" s="3"/>
      <c r="T907" s="3"/>
      <c r="U907" s="5" t="str">
        <f t="shared" si="53"/>
        <v/>
      </c>
    </row>
    <row r="908" spans="1:21" ht="28" customHeight="1" x14ac:dyDescent="0.35">
      <c r="A908" s="4">
        <v>12</v>
      </c>
      <c r="B908" s="4" t="s">
        <v>106</v>
      </c>
      <c r="C908" s="4" t="s">
        <v>107</v>
      </c>
      <c r="D908" s="4" t="s">
        <v>108</v>
      </c>
      <c r="E908" s="4" t="s">
        <v>109</v>
      </c>
      <c r="F908" s="4" t="s">
        <v>95</v>
      </c>
      <c r="G908" s="4" t="s">
        <v>96</v>
      </c>
      <c r="H908" s="4" t="s">
        <v>59</v>
      </c>
      <c r="I908" s="3"/>
      <c r="J908" s="3"/>
      <c r="K908" s="3"/>
      <c r="L908" s="3"/>
      <c r="M908" s="3"/>
      <c r="N908" s="3"/>
      <c r="O908" s="3"/>
      <c r="P908" s="8"/>
      <c r="Q908" s="8"/>
      <c r="R908" s="3"/>
      <c r="S908" s="3"/>
      <c r="T908" s="3"/>
      <c r="U908" s="5" t="str">
        <f t="shared" si="53"/>
        <v/>
      </c>
    </row>
    <row r="910" spans="1:21" ht="28" customHeight="1" x14ac:dyDescent="0.35">
      <c r="A910" s="9" t="s">
        <v>110</v>
      </c>
      <c r="B910" s="16"/>
      <c r="C910" s="17"/>
      <c r="D910" s="17"/>
      <c r="E910" s="17"/>
      <c r="F910" s="17"/>
      <c r="G910" s="17"/>
      <c r="H910" s="17"/>
      <c r="I910" s="17"/>
      <c r="J910" s="17"/>
      <c r="K910" s="17"/>
      <c r="L910" s="17"/>
      <c r="M910" s="17"/>
      <c r="N910" s="17"/>
      <c r="O910" s="17"/>
      <c r="P910" s="17"/>
      <c r="Q910" s="17"/>
      <c r="R910" s="17"/>
      <c r="S910" s="17"/>
      <c r="T910" s="17"/>
      <c r="U910" s="18"/>
    </row>
    <row r="911" spans="1:21" ht="28" customHeight="1" x14ac:dyDescent="0.35">
      <c r="A911" s="19" t="s">
        <v>435</v>
      </c>
      <c r="B911" s="20"/>
      <c r="C911" s="20"/>
      <c r="D911" s="20"/>
      <c r="E911" s="20"/>
      <c r="F911" s="20"/>
      <c r="G911" s="20"/>
      <c r="H911" s="20"/>
      <c r="I911" s="20"/>
      <c r="J911" s="20"/>
      <c r="K911" s="20"/>
      <c r="L911" s="20"/>
      <c r="M911" s="20"/>
      <c r="N911" s="20"/>
      <c r="O911" s="20"/>
      <c r="P911" s="20"/>
      <c r="Q911" s="20"/>
      <c r="R911" s="20"/>
      <c r="S911" s="20"/>
      <c r="T911" s="20"/>
      <c r="U911" s="21"/>
    </row>
    <row r="912" spans="1:21" ht="28" customHeight="1" x14ac:dyDescent="0.35">
      <c r="A912" s="4" t="s">
        <v>31</v>
      </c>
      <c r="B912" s="3" t="s">
        <v>267</v>
      </c>
      <c r="C912" s="4" t="s">
        <v>32</v>
      </c>
      <c r="D912" s="3"/>
      <c r="E912" s="4" t="s">
        <v>33</v>
      </c>
      <c r="F912" s="8"/>
    </row>
    <row r="913" spans="1:21" ht="28" customHeight="1" x14ac:dyDescent="0.35">
      <c r="A913" s="1" t="s">
        <v>34</v>
      </c>
      <c r="B913" s="1" t="s">
        <v>35</v>
      </c>
      <c r="C913" s="1" t="s">
        <v>36</v>
      </c>
      <c r="D913" s="1" t="s">
        <v>37</v>
      </c>
      <c r="E913" s="1" t="s">
        <v>38</v>
      </c>
      <c r="F913" s="1" t="s">
        <v>39</v>
      </c>
      <c r="G913" s="1" t="s">
        <v>40</v>
      </c>
      <c r="H913" s="1" t="s">
        <v>41</v>
      </c>
      <c r="I913" s="1" t="s">
        <v>42</v>
      </c>
      <c r="J913" s="1" t="s">
        <v>43</v>
      </c>
      <c r="K913" s="1" t="s">
        <v>44</v>
      </c>
      <c r="L913" s="1" t="s">
        <v>45</v>
      </c>
      <c r="M913" s="1" t="s">
        <v>46</v>
      </c>
      <c r="N913" s="1" t="s">
        <v>47</v>
      </c>
      <c r="O913" s="1" t="s">
        <v>48</v>
      </c>
      <c r="P913" s="1" t="s">
        <v>4</v>
      </c>
      <c r="Q913" s="1" t="s">
        <v>49</v>
      </c>
      <c r="R913" s="1" t="s">
        <v>50</v>
      </c>
      <c r="S913" s="1" t="s">
        <v>51</v>
      </c>
      <c r="T913" s="1" t="s">
        <v>52</v>
      </c>
      <c r="U913" s="1" t="s">
        <v>10</v>
      </c>
    </row>
    <row r="914" spans="1:21" ht="28" customHeight="1" x14ac:dyDescent="0.35">
      <c r="A914" s="4">
        <v>1</v>
      </c>
      <c r="B914" s="4" t="s">
        <v>97</v>
      </c>
      <c r="C914" s="4" t="s">
        <v>362</v>
      </c>
      <c r="D914" s="4" t="s">
        <v>363</v>
      </c>
      <c r="E914" s="4" t="s">
        <v>69</v>
      </c>
      <c r="F914" s="4" t="s">
        <v>364</v>
      </c>
      <c r="G914" s="4" t="s">
        <v>199</v>
      </c>
      <c r="H914" s="4" t="s">
        <v>76</v>
      </c>
      <c r="I914" s="3"/>
      <c r="J914" s="3"/>
      <c r="K914" s="3"/>
      <c r="L914" s="3"/>
      <c r="M914" s="3"/>
      <c r="N914" s="3"/>
      <c r="O914" s="3"/>
      <c r="P914" s="8"/>
      <c r="Q914" s="8"/>
      <c r="R914" s="3"/>
      <c r="S914" s="3"/>
      <c r="T914" s="3"/>
      <c r="U914" s="5" t="str">
        <f t="shared" ref="U914:U925" si="54">IF(I914="","",IF(I914="NA","Grey",IF(I914=2,"Green",IF(I914=1,"Amber","Red"))))</f>
        <v/>
      </c>
    </row>
    <row r="915" spans="1:21" ht="28" customHeight="1" x14ac:dyDescent="0.35">
      <c r="A915" s="4">
        <v>2</v>
      </c>
      <c r="B915" s="4" t="s">
        <v>365</v>
      </c>
      <c r="C915" s="4" t="s">
        <v>366</v>
      </c>
      <c r="D915" s="4" t="s">
        <v>367</v>
      </c>
      <c r="E915" s="4" t="s">
        <v>69</v>
      </c>
      <c r="F915" s="4" t="s">
        <v>276</v>
      </c>
      <c r="G915" s="4" t="s">
        <v>199</v>
      </c>
      <c r="H915" s="4" t="s">
        <v>76</v>
      </c>
      <c r="I915" s="3"/>
      <c r="J915" s="3"/>
      <c r="K915" s="3"/>
      <c r="L915" s="3"/>
      <c r="M915" s="3"/>
      <c r="N915" s="3"/>
      <c r="O915" s="3"/>
      <c r="P915" s="8"/>
      <c r="Q915" s="8"/>
      <c r="R915" s="3"/>
      <c r="S915" s="3"/>
      <c r="T915" s="3"/>
      <c r="U915" s="5" t="str">
        <f t="shared" si="54"/>
        <v/>
      </c>
    </row>
    <row r="916" spans="1:21" ht="28" customHeight="1" x14ac:dyDescent="0.35">
      <c r="A916" s="4">
        <v>3</v>
      </c>
      <c r="B916" s="4" t="s">
        <v>365</v>
      </c>
      <c r="C916" s="4" t="s">
        <v>368</v>
      </c>
      <c r="D916" s="4" t="s">
        <v>369</v>
      </c>
      <c r="E916" s="4" t="s">
        <v>69</v>
      </c>
      <c r="F916" s="4" t="s">
        <v>370</v>
      </c>
      <c r="G916" s="4" t="s">
        <v>204</v>
      </c>
      <c r="H916" s="4" t="s">
        <v>76</v>
      </c>
      <c r="I916" s="3"/>
      <c r="J916" s="3"/>
      <c r="K916" s="3"/>
      <c r="L916" s="3"/>
      <c r="M916" s="3"/>
      <c r="N916" s="3"/>
      <c r="O916" s="3"/>
      <c r="P916" s="8"/>
      <c r="Q916" s="8"/>
      <c r="R916" s="3"/>
      <c r="S916" s="3"/>
      <c r="T916" s="3"/>
      <c r="U916" s="5" t="str">
        <f t="shared" si="54"/>
        <v/>
      </c>
    </row>
    <row r="917" spans="1:21" ht="28" customHeight="1" x14ac:dyDescent="0.35">
      <c r="A917" s="4">
        <v>4</v>
      </c>
      <c r="B917" s="4" t="s">
        <v>371</v>
      </c>
      <c r="C917" s="4" t="s">
        <v>372</v>
      </c>
      <c r="D917" s="4" t="s">
        <v>373</v>
      </c>
      <c r="E917" s="4" t="s">
        <v>69</v>
      </c>
      <c r="F917" s="4" t="s">
        <v>295</v>
      </c>
      <c r="G917" s="4" t="s">
        <v>199</v>
      </c>
      <c r="H917" s="4" t="s">
        <v>59</v>
      </c>
      <c r="I917" s="3"/>
      <c r="J917" s="3"/>
      <c r="K917" s="3"/>
      <c r="L917" s="3"/>
      <c r="M917" s="3"/>
      <c r="N917" s="3"/>
      <c r="O917" s="3"/>
      <c r="P917" s="8"/>
      <c r="Q917" s="8"/>
      <c r="R917" s="3"/>
      <c r="S917" s="3"/>
      <c r="T917" s="3"/>
      <c r="U917" s="5" t="str">
        <f t="shared" si="54"/>
        <v/>
      </c>
    </row>
    <row r="918" spans="1:21" ht="28" customHeight="1" x14ac:dyDescent="0.35">
      <c r="A918" s="4">
        <v>5</v>
      </c>
      <c r="B918" s="4" t="s">
        <v>374</v>
      </c>
      <c r="C918" s="4" t="s">
        <v>375</v>
      </c>
      <c r="D918" s="4" t="s">
        <v>376</v>
      </c>
      <c r="E918" s="4" t="s">
        <v>69</v>
      </c>
      <c r="F918" s="4" t="s">
        <v>276</v>
      </c>
      <c r="G918" s="4" t="s">
        <v>199</v>
      </c>
      <c r="H918" s="4" t="s">
        <v>59</v>
      </c>
      <c r="I918" s="3"/>
      <c r="J918" s="3"/>
      <c r="K918" s="3"/>
      <c r="L918" s="3"/>
      <c r="M918" s="3"/>
      <c r="N918" s="3"/>
      <c r="O918" s="3"/>
      <c r="P918" s="8"/>
      <c r="Q918" s="8"/>
      <c r="R918" s="3"/>
      <c r="S918" s="3"/>
      <c r="T918" s="3"/>
      <c r="U918" s="5" t="str">
        <f t="shared" si="54"/>
        <v/>
      </c>
    </row>
    <row r="919" spans="1:21" ht="28" customHeight="1" x14ac:dyDescent="0.35">
      <c r="A919" s="4">
        <v>6</v>
      </c>
      <c r="B919" s="4" t="s">
        <v>377</v>
      </c>
      <c r="C919" s="4" t="s">
        <v>378</v>
      </c>
      <c r="D919" s="4" t="s">
        <v>379</v>
      </c>
      <c r="E919" s="4" t="s">
        <v>69</v>
      </c>
      <c r="F919" s="4" t="s">
        <v>276</v>
      </c>
      <c r="G919" s="4" t="s">
        <v>199</v>
      </c>
      <c r="H919" s="4" t="s">
        <v>59</v>
      </c>
      <c r="I919" s="3"/>
      <c r="J919" s="3"/>
      <c r="K919" s="3"/>
      <c r="L919" s="3"/>
      <c r="M919" s="3"/>
      <c r="N919" s="3"/>
      <c r="O919" s="3"/>
      <c r="P919" s="8"/>
      <c r="Q919" s="8"/>
      <c r="R919" s="3"/>
      <c r="S919" s="3"/>
      <c r="T919" s="3"/>
      <c r="U919" s="5" t="str">
        <f t="shared" si="54"/>
        <v/>
      </c>
    </row>
    <row r="920" spans="1:21" ht="28" customHeight="1" x14ac:dyDescent="0.35">
      <c r="A920" s="4">
        <v>7</v>
      </c>
      <c r="B920" s="4" t="s">
        <v>380</v>
      </c>
      <c r="C920" s="4" t="s">
        <v>381</v>
      </c>
      <c r="D920" s="4" t="s">
        <v>382</v>
      </c>
      <c r="E920" s="4" t="s">
        <v>69</v>
      </c>
      <c r="F920" s="4" t="s">
        <v>276</v>
      </c>
      <c r="G920" s="4" t="s">
        <v>199</v>
      </c>
      <c r="H920" s="4" t="s">
        <v>59</v>
      </c>
      <c r="I920" s="3"/>
      <c r="J920" s="3"/>
      <c r="K920" s="3"/>
      <c r="L920" s="3"/>
      <c r="M920" s="3"/>
      <c r="N920" s="3"/>
      <c r="O920" s="3"/>
      <c r="P920" s="8"/>
      <c r="Q920" s="8"/>
      <c r="R920" s="3"/>
      <c r="S920" s="3"/>
      <c r="T920" s="3"/>
      <c r="U920" s="5" t="str">
        <f t="shared" si="54"/>
        <v/>
      </c>
    </row>
    <row r="921" spans="1:21" ht="28" customHeight="1" x14ac:dyDescent="0.35">
      <c r="A921" s="4">
        <v>8</v>
      </c>
      <c r="B921" s="4" t="s">
        <v>383</v>
      </c>
      <c r="C921" s="4" t="s">
        <v>384</v>
      </c>
      <c r="D921" s="4" t="s">
        <v>385</v>
      </c>
      <c r="E921" s="4" t="s">
        <v>69</v>
      </c>
      <c r="F921" s="4" t="s">
        <v>95</v>
      </c>
      <c r="G921" s="4" t="s">
        <v>96</v>
      </c>
      <c r="H921" s="4" t="s">
        <v>59</v>
      </c>
      <c r="I921" s="3"/>
      <c r="J921" s="3"/>
      <c r="K921" s="3"/>
      <c r="L921" s="3"/>
      <c r="M921" s="3"/>
      <c r="N921" s="3"/>
      <c r="O921" s="3"/>
      <c r="P921" s="8"/>
      <c r="Q921" s="8"/>
      <c r="R921" s="3"/>
      <c r="S921" s="3"/>
      <c r="T921" s="3"/>
      <c r="U921" s="5" t="str">
        <f t="shared" si="54"/>
        <v/>
      </c>
    </row>
    <row r="922" spans="1:21" ht="28" customHeight="1" x14ac:dyDescent="0.35">
      <c r="A922" s="4">
        <v>9</v>
      </c>
      <c r="B922" s="4" t="s">
        <v>97</v>
      </c>
      <c r="C922" s="4" t="s">
        <v>98</v>
      </c>
      <c r="D922" s="4" t="s">
        <v>99</v>
      </c>
      <c r="E922" s="4" t="s">
        <v>69</v>
      </c>
      <c r="F922" s="4" t="s">
        <v>95</v>
      </c>
      <c r="G922" s="4" t="s">
        <v>96</v>
      </c>
      <c r="H922" s="4" t="s">
        <v>59</v>
      </c>
      <c r="I922" s="3"/>
      <c r="J922" s="3"/>
      <c r="K922" s="3"/>
      <c r="L922" s="3"/>
      <c r="M922" s="3"/>
      <c r="N922" s="3"/>
      <c r="O922" s="3"/>
      <c r="P922" s="8"/>
      <c r="Q922" s="8"/>
      <c r="R922" s="3"/>
      <c r="S922" s="3"/>
      <c r="T922" s="3"/>
      <c r="U922" s="5" t="str">
        <f t="shared" si="54"/>
        <v/>
      </c>
    </row>
    <row r="923" spans="1:21" ht="28" customHeight="1" x14ac:dyDescent="0.35">
      <c r="A923" s="4">
        <v>10</v>
      </c>
      <c r="B923" s="4" t="s">
        <v>97</v>
      </c>
      <c r="C923" s="4" t="s">
        <v>100</v>
      </c>
      <c r="D923" s="4" t="s">
        <v>101</v>
      </c>
      <c r="E923" s="4" t="s">
        <v>69</v>
      </c>
      <c r="F923" s="4" t="s">
        <v>95</v>
      </c>
      <c r="G923" s="4" t="s">
        <v>102</v>
      </c>
      <c r="H923" s="4" t="s">
        <v>59</v>
      </c>
      <c r="I923" s="3"/>
      <c r="J923" s="3"/>
      <c r="K923" s="3"/>
      <c r="L923" s="3"/>
      <c r="M923" s="3"/>
      <c r="N923" s="3"/>
      <c r="O923" s="3"/>
      <c r="P923" s="8"/>
      <c r="Q923" s="8"/>
      <c r="R923" s="3"/>
      <c r="S923" s="3"/>
      <c r="T923" s="3"/>
      <c r="U923" s="5" t="str">
        <f t="shared" si="54"/>
        <v/>
      </c>
    </row>
    <row r="924" spans="1:21" ht="28" customHeight="1" x14ac:dyDescent="0.35">
      <c r="A924" s="4">
        <v>11</v>
      </c>
      <c r="B924" s="4" t="s">
        <v>103</v>
      </c>
      <c r="C924" s="4" t="s">
        <v>104</v>
      </c>
      <c r="D924" s="4" t="s">
        <v>105</v>
      </c>
      <c r="E924" s="4" t="s">
        <v>69</v>
      </c>
      <c r="F924" s="4" t="s">
        <v>95</v>
      </c>
      <c r="G924" s="4" t="s">
        <v>96</v>
      </c>
      <c r="H924" s="4" t="s">
        <v>85</v>
      </c>
      <c r="I924" s="3"/>
      <c r="J924" s="3"/>
      <c r="K924" s="3"/>
      <c r="L924" s="3"/>
      <c r="M924" s="3"/>
      <c r="N924" s="3"/>
      <c r="O924" s="3"/>
      <c r="P924" s="8"/>
      <c r="Q924" s="8"/>
      <c r="R924" s="3"/>
      <c r="S924" s="3"/>
      <c r="T924" s="3"/>
      <c r="U924" s="5" t="str">
        <f t="shared" si="54"/>
        <v/>
      </c>
    </row>
    <row r="925" spans="1:21" ht="28" customHeight="1" x14ac:dyDescent="0.35">
      <c r="A925" s="4">
        <v>12</v>
      </c>
      <c r="B925" s="4" t="s">
        <v>106</v>
      </c>
      <c r="C925" s="4" t="s">
        <v>107</v>
      </c>
      <c r="D925" s="4" t="s">
        <v>108</v>
      </c>
      <c r="E925" s="4" t="s">
        <v>109</v>
      </c>
      <c r="F925" s="4" t="s">
        <v>95</v>
      </c>
      <c r="G925" s="4" t="s">
        <v>96</v>
      </c>
      <c r="H925" s="4" t="s">
        <v>59</v>
      </c>
      <c r="I925" s="3"/>
      <c r="J925" s="3"/>
      <c r="K925" s="3"/>
      <c r="L925" s="3"/>
      <c r="M925" s="3"/>
      <c r="N925" s="3"/>
      <c r="O925" s="3"/>
      <c r="P925" s="8"/>
      <c r="Q925" s="8"/>
      <c r="R925" s="3"/>
      <c r="S925" s="3"/>
      <c r="T925" s="3"/>
      <c r="U925" s="5" t="str">
        <f t="shared" si="54"/>
        <v/>
      </c>
    </row>
    <row r="927" spans="1:21" ht="28" customHeight="1" x14ac:dyDescent="0.35">
      <c r="A927" s="9" t="s">
        <v>110</v>
      </c>
      <c r="B927" s="16"/>
      <c r="C927" s="17"/>
      <c r="D927" s="17"/>
      <c r="E927" s="17"/>
      <c r="F927" s="17"/>
      <c r="G927" s="17"/>
      <c r="H927" s="17"/>
      <c r="I927" s="17"/>
      <c r="J927" s="17"/>
      <c r="K927" s="17"/>
      <c r="L927" s="17"/>
      <c r="M927" s="17"/>
      <c r="N927" s="17"/>
      <c r="O927" s="17"/>
      <c r="P927" s="17"/>
      <c r="Q927" s="17"/>
      <c r="R927" s="17"/>
      <c r="S927" s="17"/>
      <c r="T927" s="17"/>
      <c r="U927" s="18"/>
    </row>
    <row r="928" spans="1:21" ht="28" customHeight="1" x14ac:dyDescent="0.35">
      <c r="A928" s="19" t="s">
        <v>436</v>
      </c>
      <c r="B928" s="20"/>
      <c r="C928" s="20"/>
      <c r="D928" s="20"/>
      <c r="E928" s="20"/>
      <c r="F928" s="20"/>
      <c r="G928" s="20"/>
      <c r="H928" s="20"/>
      <c r="I928" s="20"/>
      <c r="J928" s="20"/>
      <c r="K928" s="20"/>
      <c r="L928" s="20"/>
      <c r="M928" s="20"/>
      <c r="N928" s="20"/>
      <c r="O928" s="20"/>
      <c r="P928" s="20"/>
      <c r="Q928" s="20"/>
      <c r="R928" s="20"/>
      <c r="S928" s="20"/>
      <c r="T928" s="20"/>
      <c r="U928" s="21"/>
    </row>
    <row r="929" spans="1:21" ht="28" customHeight="1" x14ac:dyDescent="0.35">
      <c r="A929" s="4" t="s">
        <v>31</v>
      </c>
      <c r="B929" s="3" t="s">
        <v>268</v>
      </c>
      <c r="C929" s="4" t="s">
        <v>32</v>
      </c>
      <c r="D929" s="3"/>
      <c r="E929" s="4" t="s">
        <v>33</v>
      </c>
      <c r="F929" s="8"/>
    </row>
    <row r="930" spans="1:21" ht="28" customHeight="1" x14ac:dyDescent="0.35">
      <c r="A930" s="1" t="s">
        <v>34</v>
      </c>
      <c r="B930" s="1" t="s">
        <v>35</v>
      </c>
      <c r="C930" s="1" t="s">
        <v>36</v>
      </c>
      <c r="D930" s="1" t="s">
        <v>37</v>
      </c>
      <c r="E930" s="1" t="s">
        <v>38</v>
      </c>
      <c r="F930" s="1" t="s">
        <v>39</v>
      </c>
      <c r="G930" s="1" t="s">
        <v>40</v>
      </c>
      <c r="H930" s="1" t="s">
        <v>41</v>
      </c>
      <c r="I930" s="1" t="s">
        <v>42</v>
      </c>
      <c r="J930" s="1" t="s">
        <v>43</v>
      </c>
      <c r="K930" s="1" t="s">
        <v>44</v>
      </c>
      <c r="L930" s="1" t="s">
        <v>45</v>
      </c>
      <c r="M930" s="1" t="s">
        <v>46</v>
      </c>
      <c r="N930" s="1" t="s">
        <v>47</v>
      </c>
      <c r="O930" s="1" t="s">
        <v>48</v>
      </c>
      <c r="P930" s="1" t="s">
        <v>4</v>
      </c>
      <c r="Q930" s="1" t="s">
        <v>49</v>
      </c>
      <c r="R930" s="1" t="s">
        <v>50</v>
      </c>
      <c r="S930" s="1" t="s">
        <v>51</v>
      </c>
      <c r="T930" s="1" t="s">
        <v>52</v>
      </c>
      <c r="U930" s="1" t="s">
        <v>10</v>
      </c>
    </row>
    <row r="931" spans="1:21" ht="28" customHeight="1" x14ac:dyDescent="0.35">
      <c r="A931" s="4">
        <v>1</v>
      </c>
      <c r="B931" s="4" t="s">
        <v>97</v>
      </c>
      <c r="C931" s="4" t="s">
        <v>362</v>
      </c>
      <c r="D931" s="4" t="s">
        <v>363</v>
      </c>
      <c r="E931" s="4" t="s">
        <v>69</v>
      </c>
      <c r="F931" s="4" t="s">
        <v>364</v>
      </c>
      <c r="G931" s="4" t="s">
        <v>199</v>
      </c>
      <c r="H931" s="4" t="s">
        <v>76</v>
      </c>
      <c r="I931" s="3"/>
      <c r="J931" s="3"/>
      <c r="K931" s="3"/>
      <c r="L931" s="3"/>
      <c r="M931" s="3"/>
      <c r="N931" s="3"/>
      <c r="O931" s="3"/>
      <c r="P931" s="8"/>
      <c r="Q931" s="8"/>
      <c r="R931" s="3"/>
      <c r="S931" s="3"/>
      <c r="T931" s="3"/>
      <c r="U931" s="5" t="str">
        <f t="shared" ref="U931:U942" si="55">IF(I931="","",IF(I931="NA","Grey",IF(I931=2,"Green",IF(I931=1,"Amber","Red"))))</f>
        <v/>
      </c>
    </row>
    <row r="932" spans="1:21" ht="28" customHeight="1" x14ac:dyDescent="0.35">
      <c r="A932" s="4">
        <v>2</v>
      </c>
      <c r="B932" s="4" t="s">
        <v>365</v>
      </c>
      <c r="C932" s="4" t="s">
        <v>366</v>
      </c>
      <c r="D932" s="4" t="s">
        <v>367</v>
      </c>
      <c r="E932" s="4" t="s">
        <v>69</v>
      </c>
      <c r="F932" s="4" t="s">
        <v>276</v>
      </c>
      <c r="G932" s="4" t="s">
        <v>199</v>
      </c>
      <c r="H932" s="4" t="s">
        <v>76</v>
      </c>
      <c r="I932" s="3"/>
      <c r="J932" s="3"/>
      <c r="K932" s="3"/>
      <c r="L932" s="3"/>
      <c r="M932" s="3"/>
      <c r="N932" s="3"/>
      <c r="O932" s="3"/>
      <c r="P932" s="8"/>
      <c r="Q932" s="8"/>
      <c r="R932" s="3"/>
      <c r="S932" s="3"/>
      <c r="T932" s="3"/>
      <c r="U932" s="5" t="str">
        <f t="shared" si="55"/>
        <v/>
      </c>
    </row>
    <row r="933" spans="1:21" ht="28" customHeight="1" x14ac:dyDescent="0.35">
      <c r="A933" s="4">
        <v>3</v>
      </c>
      <c r="B933" s="4" t="s">
        <v>365</v>
      </c>
      <c r="C933" s="4" t="s">
        <v>368</v>
      </c>
      <c r="D933" s="4" t="s">
        <v>369</v>
      </c>
      <c r="E933" s="4" t="s">
        <v>69</v>
      </c>
      <c r="F933" s="4" t="s">
        <v>370</v>
      </c>
      <c r="G933" s="4" t="s">
        <v>204</v>
      </c>
      <c r="H933" s="4" t="s">
        <v>76</v>
      </c>
      <c r="I933" s="3"/>
      <c r="J933" s="3"/>
      <c r="K933" s="3"/>
      <c r="L933" s="3"/>
      <c r="M933" s="3"/>
      <c r="N933" s="3"/>
      <c r="O933" s="3"/>
      <c r="P933" s="8"/>
      <c r="Q933" s="8"/>
      <c r="R933" s="3"/>
      <c r="S933" s="3"/>
      <c r="T933" s="3"/>
      <c r="U933" s="5" t="str">
        <f t="shared" si="55"/>
        <v/>
      </c>
    </row>
    <row r="934" spans="1:21" ht="28" customHeight="1" x14ac:dyDescent="0.35">
      <c r="A934" s="4">
        <v>4</v>
      </c>
      <c r="B934" s="4" t="s">
        <v>371</v>
      </c>
      <c r="C934" s="4" t="s">
        <v>372</v>
      </c>
      <c r="D934" s="4" t="s">
        <v>373</v>
      </c>
      <c r="E934" s="4" t="s">
        <v>69</v>
      </c>
      <c r="F934" s="4" t="s">
        <v>295</v>
      </c>
      <c r="G934" s="4" t="s">
        <v>199</v>
      </c>
      <c r="H934" s="4" t="s">
        <v>59</v>
      </c>
      <c r="I934" s="3"/>
      <c r="J934" s="3"/>
      <c r="K934" s="3"/>
      <c r="L934" s="3"/>
      <c r="M934" s="3"/>
      <c r="N934" s="3"/>
      <c r="O934" s="3"/>
      <c r="P934" s="8"/>
      <c r="Q934" s="8"/>
      <c r="R934" s="3"/>
      <c r="S934" s="3"/>
      <c r="T934" s="3"/>
      <c r="U934" s="5" t="str">
        <f t="shared" si="55"/>
        <v/>
      </c>
    </row>
    <row r="935" spans="1:21" ht="28" customHeight="1" x14ac:dyDescent="0.35">
      <c r="A935" s="4">
        <v>5</v>
      </c>
      <c r="B935" s="4" t="s">
        <v>374</v>
      </c>
      <c r="C935" s="4" t="s">
        <v>375</v>
      </c>
      <c r="D935" s="4" t="s">
        <v>376</v>
      </c>
      <c r="E935" s="4" t="s">
        <v>69</v>
      </c>
      <c r="F935" s="4" t="s">
        <v>276</v>
      </c>
      <c r="G935" s="4" t="s">
        <v>199</v>
      </c>
      <c r="H935" s="4" t="s">
        <v>59</v>
      </c>
      <c r="I935" s="3"/>
      <c r="J935" s="3"/>
      <c r="K935" s="3"/>
      <c r="L935" s="3"/>
      <c r="M935" s="3"/>
      <c r="N935" s="3"/>
      <c r="O935" s="3"/>
      <c r="P935" s="8"/>
      <c r="Q935" s="8"/>
      <c r="R935" s="3"/>
      <c r="S935" s="3"/>
      <c r="T935" s="3"/>
      <c r="U935" s="5" t="str">
        <f t="shared" si="55"/>
        <v/>
      </c>
    </row>
    <row r="936" spans="1:21" ht="28" customHeight="1" x14ac:dyDescent="0.35">
      <c r="A936" s="4">
        <v>6</v>
      </c>
      <c r="B936" s="4" t="s">
        <v>377</v>
      </c>
      <c r="C936" s="4" t="s">
        <v>378</v>
      </c>
      <c r="D936" s="4" t="s">
        <v>379</v>
      </c>
      <c r="E936" s="4" t="s">
        <v>69</v>
      </c>
      <c r="F936" s="4" t="s">
        <v>276</v>
      </c>
      <c r="G936" s="4" t="s">
        <v>199</v>
      </c>
      <c r="H936" s="4" t="s">
        <v>59</v>
      </c>
      <c r="I936" s="3"/>
      <c r="J936" s="3"/>
      <c r="K936" s="3"/>
      <c r="L936" s="3"/>
      <c r="M936" s="3"/>
      <c r="N936" s="3"/>
      <c r="O936" s="3"/>
      <c r="P936" s="8"/>
      <c r="Q936" s="8"/>
      <c r="R936" s="3"/>
      <c r="S936" s="3"/>
      <c r="T936" s="3"/>
      <c r="U936" s="5" t="str">
        <f t="shared" si="55"/>
        <v/>
      </c>
    </row>
    <row r="937" spans="1:21" ht="28" customHeight="1" x14ac:dyDescent="0.35">
      <c r="A937" s="4">
        <v>7</v>
      </c>
      <c r="B937" s="4" t="s">
        <v>380</v>
      </c>
      <c r="C937" s="4" t="s">
        <v>381</v>
      </c>
      <c r="D937" s="4" t="s">
        <v>382</v>
      </c>
      <c r="E937" s="4" t="s">
        <v>69</v>
      </c>
      <c r="F937" s="4" t="s">
        <v>276</v>
      </c>
      <c r="G937" s="4" t="s">
        <v>199</v>
      </c>
      <c r="H937" s="4" t="s">
        <v>59</v>
      </c>
      <c r="I937" s="3"/>
      <c r="J937" s="3"/>
      <c r="K937" s="3"/>
      <c r="L937" s="3"/>
      <c r="M937" s="3"/>
      <c r="N937" s="3"/>
      <c r="O937" s="3"/>
      <c r="P937" s="8"/>
      <c r="Q937" s="8"/>
      <c r="R937" s="3"/>
      <c r="S937" s="3"/>
      <c r="T937" s="3"/>
      <c r="U937" s="5" t="str">
        <f t="shared" si="55"/>
        <v/>
      </c>
    </row>
    <row r="938" spans="1:21" ht="28" customHeight="1" x14ac:dyDescent="0.35">
      <c r="A938" s="4">
        <v>8</v>
      </c>
      <c r="B938" s="4" t="s">
        <v>383</v>
      </c>
      <c r="C938" s="4" t="s">
        <v>384</v>
      </c>
      <c r="D938" s="4" t="s">
        <v>385</v>
      </c>
      <c r="E938" s="4" t="s">
        <v>69</v>
      </c>
      <c r="F938" s="4" t="s">
        <v>95</v>
      </c>
      <c r="G938" s="4" t="s">
        <v>96</v>
      </c>
      <c r="H938" s="4" t="s">
        <v>59</v>
      </c>
      <c r="I938" s="3"/>
      <c r="J938" s="3"/>
      <c r="K938" s="3"/>
      <c r="L938" s="3"/>
      <c r="M938" s="3"/>
      <c r="N938" s="3"/>
      <c r="O938" s="3"/>
      <c r="P938" s="8"/>
      <c r="Q938" s="8"/>
      <c r="R938" s="3"/>
      <c r="S938" s="3"/>
      <c r="T938" s="3"/>
      <c r="U938" s="5" t="str">
        <f t="shared" si="55"/>
        <v/>
      </c>
    </row>
    <row r="939" spans="1:21" ht="28" customHeight="1" x14ac:dyDescent="0.35">
      <c r="A939" s="4">
        <v>9</v>
      </c>
      <c r="B939" s="4" t="s">
        <v>97</v>
      </c>
      <c r="C939" s="4" t="s">
        <v>98</v>
      </c>
      <c r="D939" s="4" t="s">
        <v>99</v>
      </c>
      <c r="E939" s="4" t="s">
        <v>69</v>
      </c>
      <c r="F939" s="4" t="s">
        <v>95</v>
      </c>
      <c r="G939" s="4" t="s">
        <v>96</v>
      </c>
      <c r="H939" s="4" t="s">
        <v>59</v>
      </c>
      <c r="I939" s="3"/>
      <c r="J939" s="3"/>
      <c r="K939" s="3"/>
      <c r="L939" s="3"/>
      <c r="M939" s="3"/>
      <c r="N939" s="3"/>
      <c r="O939" s="3"/>
      <c r="P939" s="8"/>
      <c r="Q939" s="8"/>
      <c r="R939" s="3"/>
      <c r="S939" s="3"/>
      <c r="T939" s="3"/>
      <c r="U939" s="5" t="str">
        <f t="shared" si="55"/>
        <v/>
      </c>
    </row>
    <row r="940" spans="1:21" ht="28" customHeight="1" x14ac:dyDescent="0.35">
      <c r="A940" s="4">
        <v>10</v>
      </c>
      <c r="B940" s="4" t="s">
        <v>97</v>
      </c>
      <c r="C940" s="4" t="s">
        <v>100</v>
      </c>
      <c r="D940" s="4" t="s">
        <v>101</v>
      </c>
      <c r="E940" s="4" t="s">
        <v>69</v>
      </c>
      <c r="F940" s="4" t="s">
        <v>95</v>
      </c>
      <c r="G940" s="4" t="s">
        <v>102</v>
      </c>
      <c r="H940" s="4" t="s">
        <v>59</v>
      </c>
      <c r="I940" s="3"/>
      <c r="J940" s="3"/>
      <c r="K940" s="3"/>
      <c r="L940" s="3"/>
      <c r="M940" s="3"/>
      <c r="N940" s="3"/>
      <c r="O940" s="3"/>
      <c r="P940" s="8"/>
      <c r="Q940" s="8"/>
      <c r="R940" s="3"/>
      <c r="S940" s="3"/>
      <c r="T940" s="3"/>
      <c r="U940" s="5" t="str">
        <f t="shared" si="55"/>
        <v/>
      </c>
    </row>
    <row r="941" spans="1:21" ht="28" customHeight="1" x14ac:dyDescent="0.35">
      <c r="A941" s="4">
        <v>11</v>
      </c>
      <c r="B941" s="4" t="s">
        <v>103</v>
      </c>
      <c r="C941" s="4" t="s">
        <v>104</v>
      </c>
      <c r="D941" s="4" t="s">
        <v>105</v>
      </c>
      <c r="E941" s="4" t="s">
        <v>69</v>
      </c>
      <c r="F941" s="4" t="s">
        <v>95</v>
      </c>
      <c r="G941" s="4" t="s">
        <v>96</v>
      </c>
      <c r="H941" s="4" t="s">
        <v>85</v>
      </c>
      <c r="I941" s="3"/>
      <c r="J941" s="3"/>
      <c r="K941" s="3"/>
      <c r="L941" s="3"/>
      <c r="M941" s="3"/>
      <c r="N941" s="3"/>
      <c r="O941" s="3"/>
      <c r="P941" s="8"/>
      <c r="Q941" s="8"/>
      <c r="R941" s="3"/>
      <c r="S941" s="3"/>
      <c r="T941" s="3"/>
      <c r="U941" s="5" t="str">
        <f t="shared" si="55"/>
        <v/>
      </c>
    </row>
    <row r="942" spans="1:21" ht="28" customHeight="1" x14ac:dyDescent="0.35">
      <c r="A942" s="4">
        <v>12</v>
      </c>
      <c r="B942" s="4" t="s">
        <v>106</v>
      </c>
      <c r="C942" s="4" t="s">
        <v>107</v>
      </c>
      <c r="D942" s="4" t="s">
        <v>108</v>
      </c>
      <c r="E942" s="4" t="s">
        <v>109</v>
      </c>
      <c r="F942" s="4" t="s">
        <v>95</v>
      </c>
      <c r="G942" s="4" t="s">
        <v>96</v>
      </c>
      <c r="H942" s="4" t="s">
        <v>59</v>
      </c>
      <c r="I942" s="3"/>
      <c r="J942" s="3"/>
      <c r="K942" s="3"/>
      <c r="L942" s="3"/>
      <c r="M942" s="3"/>
      <c r="N942" s="3"/>
      <c r="O942" s="3"/>
      <c r="P942" s="8"/>
      <c r="Q942" s="8"/>
      <c r="R942" s="3"/>
      <c r="S942" s="3"/>
      <c r="T942" s="3"/>
      <c r="U942" s="5" t="str">
        <f t="shared" si="55"/>
        <v/>
      </c>
    </row>
    <row r="944" spans="1:21" ht="28" customHeight="1" x14ac:dyDescent="0.35">
      <c r="A944" s="9" t="s">
        <v>110</v>
      </c>
      <c r="B944" s="16"/>
      <c r="C944" s="17"/>
      <c r="D944" s="17"/>
      <c r="E944" s="17"/>
      <c r="F944" s="17"/>
      <c r="G944" s="17"/>
      <c r="H944" s="17"/>
      <c r="I944" s="17"/>
      <c r="J944" s="17"/>
      <c r="K944" s="17"/>
      <c r="L944" s="17"/>
      <c r="M944" s="17"/>
      <c r="N944" s="17"/>
      <c r="O944" s="17"/>
      <c r="P944" s="17"/>
      <c r="Q944" s="17"/>
      <c r="R944" s="17"/>
      <c r="S944" s="17"/>
      <c r="T944" s="17"/>
      <c r="U944" s="18"/>
    </row>
  </sheetData>
  <sheetProtection sheet="1" objects="1" scenarios="1" formatCells="0" formatColumns="0" formatRows="0" insertRows="0" sort="0" autoFilter="0"/>
  <autoFilter ref="A4:O56" xr:uid="{00000000-0009-0000-0000-000006000000}"/>
  <mergeCells count="106">
    <mergeCell ref="A61:U61"/>
    <mergeCell ref="B94:U94"/>
    <mergeCell ref="A690:U690"/>
    <mergeCell ref="A826:U826"/>
    <mergeCell ref="A503:U503"/>
    <mergeCell ref="A214:U214"/>
    <mergeCell ref="A163:U163"/>
    <mergeCell ref="B944:U944"/>
    <mergeCell ref="B621:U621"/>
    <mergeCell ref="B332:U332"/>
    <mergeCell ref="B468:U468"/>
    <mergeCell ref="B111:U111"/>
    <mergeCell ref="B145:U145"/>
    <mergeCell ref="A843:U843"/>
    <mergeCell ref="B740:U740"/>
    <mergeCell ref="A231:U231"/>
    <mergeCell ref="A622:U622"/>
    <mergeCell ref="A333:U333"/>
    <mergeCell ref="B672:U672"/>
    <mergeCell ref="B451:U451"/>
    <mergeCell ref="B162:U162"/>
    <mergeCell ref="A401:U401"/>
    <mergeCell ref="A724:U724"/>
    <mergeCell ref="A928:U928"/>
    <mergeCell ref="B485:U485"/>
    <mergeCell ref="B927:U927"/>
    <mergeCell ref="B706:U706"/>
    <mergeCell ref="B417:U417"/>
    <mergeCell ref="B196:U196"/>
    <mergeCell ref="B230:U230"/>
    <mergeCell ref="B808:U808"/>
    <mergeCell ref="A707:U707"/>
    <mergeCell ref="A809:U809"/>
    <mergeCell ref="A486:U486"/>
    <mergeCell ref="A197:U197"/>
    <mergeCell ref="B502:U502"/>
    <mergeCell ref="B825:U825"/>
    <mergeCell ref="B315:U315"/>
    <mergeCell ref="B842:U842"/>
    <mergeCell ref="B553:U553"/>
    <mergeCell ref="A537:U537"/>
    <mergeCell ref="B655:U655"/>
    <mergeCell ref="B366:U366"/>
    <mergeCell ref="A384:U384"/>
    <mergeCell ref="A877:U877"/>
    <mergeCell ref="A554:U554"/>
    <mergeCell ref="A265:U265"/>
    <mergeCell ref="A435:U435"/>
    <mergeCell ref="A673:U673"/>
    <mergeCell ref="A1:U1"/>
    <mergeCell ref="A741:U741"/>
    <mergeCell ref="A367:U367"/>
    <mergeCell ref="A78:U78"/>
    <mergeCell ref="B859:U859"/>
    <mergeCell ref="A418:U418"/>
    <mergeCell ref="A758:U758"/>
    <mergeCell ref="A571:U571"/>
    <mergeCell ref="A469:U469"/>
    <mergeCell ref="A248:U248"/>
    <mergeCell ref="B247:U247"/>
    <mergeCell ref="B689:U689"/>
    <mergeCell ref="B77:U77"/>
    <mergeCell ref="A775:U775"/>
    <mergeCell ref="A588:U588"/>
    <mergeCell ref="A146:U146"/>
    <mergeCell ref="A95:U95"/>
    <mergeCell ref="B2:U2"/>
    <mergeCell ref="B179:U179"/>
    <mergeCell ref="A112:U112"/>
    <mergeCell ref="A605:U605"/>
    <mergeCell ref="B791:U791"/>
    <mergeCell ref="B723:U723"/>
    <mergeCell ref="B434:U434"/>
    <mergeCell ref="A129:U129"/>
    <mergeCell ref="A911:U911"/>
    <mergeCell ref="A180:U180"/>
    <mergeCell ref="A656:U656"/>
    <mergeCell ref="A299:U299"/>
    <mergeCell ref="B638:U638"/>
    <mergeCell ref="B349:U349"/>
    <mergeCell ref="B519:U519"/>
    <mergeCell ref="B128:U128"/>
    <mergeCell ref="B298:U298"/>
    <mergeCell ref="A860:U860"/>
    <mergeCell ref="A639:U639"/>
    <mergeCell ref="B536:U536"/>
    <mergeCell ref="A350:U350"/>
    <mergeCell ref="A520:U520"/>
    <mergeCell ref="B910:U910"/>
    <mergeCell ref="A894:U894"/>
    <mergeCell ref="B281:U281"/>
    <mergeCell ref="B604:U604"/>
    <mergeCell ref="B757:U757"/>
    <mergeCell ref="B213:U213"/>
    <mergeCell ref="B383:U383"/>
    <mergeCell ref="A452:U452"/>
    <mergeCell ref="B893:U893"/>
    <mergeCell ref="B570:U570"/>
    <mergeCell ref="A316:U316"/>
    <mergeCell ref="A792:U792"/>
    <mergeCell ref="A282:U282"/>
    <mergeCell ref="B876:U876"/>
    <mergeCell ref="B587:U587"/>
    <mergeCell ref="B264:U264"/>
    <mergeCell ref="B774:U774"/>
    <mergeCell ref="B400:U400"/>
  </mergeCells>
  <conditionalFormatting sqref="G5:G56">
    <cfRule type="colorScale" priority="213">
      <colorScale>
        <cfvo type="min"/>
        <cfvo type="percentile" val="50"/>
        <cfvo type="max"/>
        <color rgb="FFF8696B"/>
        <color rgb="FFFFEB84"/>
        <color rgb="FF63BE7B"/>
      </colorScale>
    </cfRule>
  </conditionalFormatting>
  <conditionalFormatting sqref="H5:H56">
    <cfRule type="containsText" dxfId="891" priority="210" operator="containsText" text="Amber">
      <formula>NOT(ISERROR(SEARCH("Amber",H5)))</formula>
    </cfRule>
    <cfRule type="containsText" dxfId="890" priority="212" operator="containsText" text="Not Started">
      <formula>NOT(ISERROR(SEARCH("Not Started",H5)))</formula>
    </cfRule>
    <cfRule type="containsText" dxfId="889" priority="211" operator="containsText" text="Green">
      <formula>NOT(ISERROR(SEARCH("Green",H5)))</formula>
    </cfRule>
    <cfRule type="containsText" dxfId="888" priority="209" operator="containsText" text="Red">
      <formula>NOT(ISERROR(SEARCH("Red",H5)))</formula>
    </cfRule>
  </conditionalFormatting>
  <conditionalFormatting sqref="U64:U75">
    <cfRule type="containsText" dxfId="887" priority="2" operator="containsText" text="Amber">
      <formula>NOT(ISERROR(SEARCH("Amber",U64)))</formula>
    </cfRule>
    <cfRule type="containsText" dxfId="886" priority="3" operator="containsText" text="Green">
      <formula>NOT(ISERROR(SEARCH("Green",U64)))</formula>
    </cfRule>
    <cfRule type="containsText" dxfId="885" priority="4" operator="containsText" text="Grey">
      <formula>NOT(ISERROR(SEARCH("Grey",U64)))</formula>
    </cfRule>
    <cfRule type="containsText" dxfId="884" priority="1" operator="containsText" text="Red">
      <formula>NOT(ISERROR(SEARCH("Red",U64)))</formula>
    </cfRule>
  </conditionalFormatting>
  <conditionalFormatting sqref="U81:U92">
    <cfRule type="containsText" dxfId="883" priority="5" operator="containsText" text="Red">
      <formula>NOT(ISERROR(SEARCH("Red",U81)))</formula>
    </cfRule>
    <cfRule type="containsText" dxfId="882" priority="6" operator="containsText" text="Amber">
      <formula>NOT(ISERROR(SEARCH("Amber",U81)))</formula>
    </cfRule>
    <cfRule type="containsText" dxfId="881" priority="7" operator="containsText" text="Green">
      <formula>NOT(ISERROR(SEARCH("Green",U81)))</formula>
    </cfRule>
    <cfRule type="containsText" dxfId="880" priority="8" operator="containsText" text="Grey">
      <formula>NOT(ISERROR(SEARCH("Grey",U81)))</formula>
    </cfRule>
  </conditionalFormatting>
  <conditionalFormatting sqref="U98:U109">
    <cfRule type="containsText" dxfId="879" priority="9" operator="containsText" text="Red">
      <formula>NOT(ISERROR(SEARCH("Red",U98)))</formula>
    </cfRule>
    <cfRule type="containsText" dxfId="878" priority="10" operator="containsText" text="Amber">
      <formula>NOT(ISERROR(SEARCH("Amber",U98)))</formula>
    </cfRule>
    <cfRule type="containsText" dxfId="877" priority="11" operator="containsText" text="Green">
      <formula>NOT(ISERROR(SEARCH("Green",U98)))</formula>
    </cfRule>
    <cfRule type="containsText" dxfId="876" priority="12" operator="containsText" text="Grey">
      <formula>NOT(ISERROR(SEARCH("Grey",U98)))</formula>
    </cfRule>
  </conditionalFormatting>
  <conditionalFormatting sqref="U115:U126">
    <cfRule type="containsText" dxfId="875" priority="16" operator="containsText" text="Grey">
      <formula>NOT(ISERROR(SEARCH("Grey",U115)))</formula>
    </cfRule>
    <cfRule type="containsText" dxfId="874" priority="15" operator="containsText" text="Green">
      <formula>NOT(ISERROR(SEARCH("Green",U115)))</formula>
    </cfRule>
    <cfRule type="containsText" dxfId="873" priority="14" operator="containsText" text="Amber">
      <formula>NOT(ISERROR(SEARCH("Amber",U115)))</formula>
    </cfRule>
    <cfRule type="containsText" dxfId="872" priority="13" operator="containsText" text="Red">
      <formula>NOT(ISERROR(SEARCH("Red",U115)))</formula>
    </cfRule>
  </conditionalFormatting>
  <conditionalFormatting sqref="U132:U143">
    <cfRule type="containsText" dxfId="871" priority="18" operator="containsText" text="Amber">
      <formula>NOT(ISERROR(SEARCH("Amber",U132)))</formula>
    </cfRule>
    <cfRule type="containsText" dxfId="870" priority="19" operator="containsText" text="Green">
      <formula>NOT(ISERROR(SEARCH("Green",U132)))</formula>
    </cfRule>
    <cfRule type="containsText" dxfId="869" priority="20" operator="containsText" text="Grey">
      <formula>NOT(ISERROR(SEARCH("Grey",U132)))</formula>
    </cfRule>
    <cfRule type="containsText" dxfId="868" priority="17" operator="containsText" text="Red">
      <formula>NOT(ISERROR(SEARCH("Red",U132)))</formula>
    </cfRule>
  </conditionalFormatting>
  <conditionalFormatting sqref="U149:U160">
    <cfRule type="containsText" dxfId="867" priority="21" operator="containsText" text="Red">
      <formula>NOT(ISERROR(SEARCH("Red",U149)))</formula>
    </cfRule>
    <cfRule type="containsText" dxfId="866" priority="22" operator="containsText" text="Amber">
      <formula>NOT(ISERROR(SEARCH("Amber",U149)))</formula>
    </cfRule>
    <cfRule type="containsText" dxfId="865" priority="23" operator="containsText" text="Green">
      <formula>NOT(ISERROR(SEARCH("Green",U149)))</formula>
    </cfRule>
    <cfRule type="containsText" dxfId="864" priority="24" operator="containsText" text="Grey">
      <formula>NOT(ISERROR(SEARCH("Grey",U149)))</formula>
    </cfRule>
  </conditionalFormatting>
  <conditionalFormatting sqref="U166:U177">
    <cfRule type="containsText" dxfId="863" priority="25" operator="containsText" text="Red">
      <formula>NOT(ISERROR(SEARCH("Red",U166)))</formula>
    </cfRule>
    <cfRule type="containsText" dxfId="862" priority="26" operator="containsText" text="Amber">
      <formula>NOT(ISERROR(SEARCH("Amber",U166)))</formula>
    </cfRule>
    <cfRule type="containsText" dxfId="861" priority="27" operator="containsText" text="Green">
      <formula>NOT(ISERROR(SEARCH("Green",U166)))</formula>
    </cfRule>
    <cfRule type="containsText" dxfId="860" priority="28" operator="containsText" text="Grey">
      <formula>NOT(ISERROR(SEARCH("Grey",U166)))</formula>
    </cfRule>
  </conditionalFormatting>
  <conditionalFormatting sqref="U183:U194">
    <cfRule type="containsText" dxfId="859" priority="30" operator="containsText" text="Amber">
      <formula>NOT(ISERROR(SEARCH("Amber",U183)))</formula>
    </cfRule>
    <cfRule type="containsText" dxfId="858" priority="31" operator="containsText" text="Green">
      <formula>NOT(ISERROR(SEARCH("Green",U183)))</formula>
    </cfRule>
    <cfRule type="containsText" dxfId="857" priority="32" operator="containsText" text="Grey">
      <formula>NOT(ISERROR(SEARCH("Grey",U183)))</formula>
    </cfRule>
    <cfRule type="containsText" dxfId="856" priority="29" operator="containsText" text="Red">
      <formula>NOT(ISERROR(SEARCH("Red",U183)))</formula>
    </cfRule>
  </conditionalFormatting>
  <conditionalFormatting sqref="U200:U211">
    <cfRule type="containsText" dxfId="855" priority="33" operator="containsText" text="Red">
      <formula>NOT(ISERROR(SEARCH("Red",U200)))</formula>
    </cfRule>
    <cfRule type="containsText" dxfId="854" priority="34" operator="containsText" text="Amber">
      <formula>NOT(ISERROR(SEARCH("Amber",U200)))</formula>
    </cfRule>
    <cfRule type="containsText" dxfId="853" priority="35" operator="containsText" text="Green">
      <formula>NOT(ISERROR(SEARCH("Green",U200)))</formula>
    </cfRule>
    <cfRule type="containsText" dxfId="852" priority="36" operator="containsText" text="Grey">
      <formula>NOT(ISERROR(SEARCH("Grey",U200)))</formula>
    </cfRule>
  </conditionalFormatting>
  <conditionalFormatting sqref="U217:U228">
    <cfRule type="containsText" dxfId="851" priority="38" operator="containsText" text="Amber">
      <formula>NOT(ISERROR(SEARCH("Amber",U217)))</formula>
    </cfRule>
    <cfRule type="containsText" dxfId="850" priority="39" operator="containsText" text="Green">
      <formula>NOT(ISERROR(SEARCH("Green",U217)))</formula>
    </cfRule>
    <cfRule type="containsText" dxfId="849" priority="40" operator="containsText" text="Grey">
      <formula>NOT(ISERROR(SEARCH("Grey",U217)))</formula>
    </cfRule>
    <cfRule type="containsText" dxfId="848" priority="37" operator="containsText" text="Red">
      <formula>NOT(ISERROR(SEARCH("Red",U217)))</formula>
    </cfRule>
  </conditionalFormatting>
  <conditionalFormatting sqref="U234:U245">
    <cfRule type="containsText" dxfId="847" priority="41" operator="containsText" text="Red">
      <formula>NOT(ISERROR(SEARCH("Red",U234)))</formula>
    </cfRule>
    <cfRule type="containsText" dxfId="846" priority="42" operator="containsText" text="Amber">
      <formula>NOT(ISERROR(SEARCH("Amber",U234)))</formula>
    </cfRule>
    <cfRule type="containsText" dxfId="845" priority="44" operator="containsText" text="Grey">
      <formula>NOT(ISERROR(SEARCH("Grey",U234)))</formula>
    </cfRule>
    <cfRule type="containsText" dxfId="844" priority="43" operator="containsText" text="Green">
      <formula>NOT(ISERROR(SEARCH("Green",U234)))</formula>
    </cfRule>
  </conditionalFormatting>
  <conditionalFormatting sqref="U251:U262">
    <cfRule type="containsText" dxfId="843" priority="45" operator="containsText" text="Red">
      <formula>NOT(ISERROR(SEARCH("Red",U251)))</formula>
    </cfRule>
    <cfRule type="containsText" dxfId="842" priority="46" operator="containsText" text="Amber">
      <formula>NOT(ISERROR(SEARCH("Amber",U251)))</formula>
    </cfRule>
    <cfRule type="containsText" dxfId="841" priority="47" operator="containsText" text="Green">
      <formula>NOT(ISERROR(SEARCH("Green",U251)))</formula>
    </cfRule>
    <cfRule type="containsText" dxfId="840" priority="48" operator="containsText" text="Grey">
      <formula>NOT(ISERROR(SEARCH("Grey",U251)))</formula>
    </cfRule>
  </conditionalFormatting>
  <conditionalFormatting sqref="U268:U279">
    <cfRule type="containsText" dxfId="839" priority="49" operator="containsText" text="Red">
      <formula>NOT(ISERROR(SEARCH("Red",U268)))</formula>
    </cfRule>
    <cfRule type="containsText" dxfId="838" priority="51" operator="containsText" text="Green">
      <formula>NOT(ISERROR(SEARCH("Green",U268)))</formula>
    </cfRule>
    <cfRule type="containsText" dxfId="837" priority="52" operator="containsText" text="Grey">
      <formula>NOT(ISERROR(SEARCH("Grey",U268)))</formula>
    </cfRule>
    <cfRule type="containsText" dxfId="836" priority="50" operator="containsText" text="Amber">
      <formula>NOT(ISERROR(SEARCH("Amber",U268)))</formula>
    </cfRule>
  </conditionalFormatting>
  <conditionalFormatting sqref="U285:U296">
    <cfRule type="containsText" dxfId="835" priority="54" operator="containsText" text="Amber">
      <formula>NOT(ISERROR(SEARCH("Amber",U285)))</formula>
    </cfRule>
    <cfRule type="containsText" dxfId="834" priority="55" operator="containsText" text="Green">
      <formula>NOT(ISERROR(SEARCH("Green",U285)))</formula>
    </cfRule>
    <cfRule type="containsText" dxfId="833" priority="56" operator="containsText" text="Grey">
      <formula>NOT(ISERROR(SEARCH("Grey",U285)))</formula>
    </cfRule>
    <cfRule type="containsText" dxfId="832" priority="53" operator="containsText" text="Red">
      <formula>NOT(ISERROR(SEARCH("Red",U285)))</formula>
    </cfRule>
  </conditionalFormatting>
  <conditionalFormatting sqref="U302:U313">
    <cfRule type="containsText" dxfId="831" priority="57" operator="containsText" text="Red">
      <formula>NOT(ISERROR(SEARCH("Red",U302)))</formula>
    </cfRule>
    <cfRule type="containsText" dxfId="830" priority="58" operator="containsText" text="Amber">
      <formula>NOT(ISERROR(SEARCH("Amber",U302)))</formula>
    </cfRule>
    <cfRule type="containsText" dxfId="829" priority="59" operator="containsText" text="Green">
      <formula>NOT(ISERROR(SEARCH("Green",U302)))</formula>
    </cfRule>
    <cfRule type="containsText" dxfId="828" priority="60" operator="containsText" text="Grey">
      <formula>NOT(ISERROR(SEARCH("Grey",U302)))</formula>
    </cfRule>
  </conditionalFormatting>
  <conditionalFormatting sqref="U319:U330">
    <cfRule type="containsText" dxfId="827" priority="62" operator="containsText" text="Amber">
      <formula>NOT(ISERROR(SEARCH("Amber",U319)))</formula>
    </cfRule>
    <cfRule type="containsText" dxfId="826" priority="63" operator="containsText" text="Green">
      <formula>NOT(ISERROR(SEARCH("Green",U319)))</formula>
    </cfRule>
    <cfRule type="containsText" dxfId="825" priority="64" operator="containsText" text="Grey">
      <formula>NOT(ISERROR(SEARCH("Grey",U319)))</formula>
    </cfRule>
    <cfRule type="containsText" dxfId="824" priority="61" operator="containsText" text="Red">
      <formula>NOT(ISERROR(SEARCH("Red",U319)))</formula>
    </cfRule>
  </conditionalFormatting>
  <conditionalFormatting sqref="U336:U347">
    <cfRule type="containsText" dxfId="823" priority="65" operator="containsText" text="Red">
      <formula>NOT(ISERROR(SEARCH("Red",U336)))</formula>
    </cfRule>
    <cfRule type="containsText" dxfId="822" priority="66" operator="containsText" text="Amber">
      <formula>NOT(ISERROR(SEARCH("Amber",U336)))</formula>
    </cfRule>
    <cfRule type="containsText" dxfId="821" priority="67" operator="containsText" text="Green">
      <formula>NOT(ISERROR(SEARCH("Green",U336)))</formula>
    </cfRule>
    <cfRule type="containsText" dxfId="820" priority="68" operator="containsText" text="Grey">
      <formula>NOT(ISERROR(SEARCH("Grey",U336)))</formula>
    </cfRule>
  </conditionalFormatting>
  <conditionalFormatting sqref="U353:U364">
    <cfRule type="containsText" dxfId="819" priority="69" operator="containsText" text="Red">
      <formula>NOT(ISERROR(SEARCH("Red",U353)))</formula>
    </cfRule>
    <cfRule type="containsText" dxfId="818" priority="70" operator="containsText" text="Amber">
      <formula>NOT(ISERROR(SEARCH("Amber",U353)))</formula>
    </cfRule>
    <cfRule type="containsText" dxfId="817" priority="71" operator="containsText" text="Green">
      <formula>NOT(ISERROR(SEARCH("Green",U353)))</formula>
    </cfRule>
    <cfRule type="containsText" dxfId="816" priority="72" operator="containsText" text="Grey">
      <formula>NOT(ISERROR(SEARCH("Grey",U353)))</formula>
    </cfRule>
  </conditionalFormatting>
  <conditionalFormatting sqref="U370:U381">
    <cfRule type="containsText" dxfId="815" priority="73" operator="containsText" text="Red">
      <formula>NOT(ISERROR(SEARCH("Red",U370)))</formula>
    </cfRule>
    <cfRule type="containsText" dxfId="814" priority="74" operator="containsText" text="Amber">
      <formula>NOT(ISERROR(SEARCH("Amber",U370)))</formula>
    </cfRule>
    <cfRule type="containsText" dxfId="813" priority="75" operator="containsText" text="Green">
      <formula>NOT(ISERROR(SEARCH("Green",U370)))</formula>
    </cfRule>
    <cfRule type="containsText" dxfId="812" priority="76" operator="containsText" text="Grey">
      <formula>NOT(ISERROR(SEARCH("Grey",U370)))</formula>
    </cfRule>
  </conditionalFormatting>
  <conditionalFormatting sqref="U387:U398">
    <cfRule type="containsText" dxfId="811" priority="77" operator="containsText" text="Red">
      <formula>NOT(ISERROR(SEARCH("Red",U387)))</formula>
    </cfRule>
    <cfRule type="containsText" dxfId="810" priority="78" operator="containsText" text="Amber">
      <formula>NOT(ISERROR(SEARCH("Amber",U387)))</formula>
    </cfRule>
    <cfRule type="containsText" dxfId="809" priority="79" operator="containsText" text="Green">
      <formula>NOT(ISERROR(SEARCH("Green",U387)))</formula>
    </cfRule>
    <cfRule type="containsText" dxfId="808" priority="80" operator="containsText" text="Grey">
      <formula>NOT(ISERROR(SEARCH("Grey",U387)))</formula>
    </cfRule>
  </conditionalFormatting>
  <conditionalFormatting sqref="U404:U415">
    <cfRule type="containsText" dxfId="807" priority="81" operator="containsText" text="Red">
      <formula>NOT(ISERROR(SEARCH("Red",U404)))</formula>
    </cfRule>
    <cfRule type="containsText" dxfId="806" priority="82" operator="containsText" text="Amber">
      <formula>NOT(ISERROR(SEARCH("Amber",U404)))</formula>
    </cfRule>
    <cfRule type="containsText" dxfId="805" priority="84" operator="containsText" text="Grey">
      <formula>NOT(ISERROR(SEARCH("Grey",U404)))</formula>
    </cfRule>
    <cfRule type="containsText" dxfId="804" priority="83" operator="containsText" text="Green">
      <formula>NOT(ISERROR(SEARCH("Green",U404)))</formula>
    </cfRule>
  </conditionalFormatting>
  <conditionalFormatting sqref="U421:U432">
    <cfRule type="containsText" dxfId="803" priority="86" operator="containsText" text="Amber">
      <formula>NOT(ISERROR(SEARCH("Amber",U421)))</formula>
    </cfRule>
    <cfRule type="containsText" dxfId="802" priority="87" operator="containsText" text="Green">
      <formula>NOT(ISERROR(SEARCH("Green",U421)))</formula>
    </cfRule>
    <cfRule type="containsText" dxfId="801" priority="88" operator="containsText" text="Grey">
      <formula>NOT(ISERROR(SEARCH("Grey",U421)))</formula>
    </cfRule>
    <cfRule type="containsText" dxfId="800" priority="85" operator="containsText" text="Red">
      <formula>NOT(ISERROR(SEARCH("Red",U421)))</formula>
    </cfRule>
  </conditionalFormatting>
  <conditionalFormatting sqref="U438:U449">
    <cfRule type="containsText" dxfId="799" priority="89" operator="containsText" text="Red">
      <formula>NOT(ISERROR(SEARCH("Red",U438)))</formula>
    </cfRule>
    <cfRule type="containsText" dxfId="798" priority="90" operator="containsText" text="Amber">
      <formula>NOT(ISERROR(SEARCH("Amber",U438)))</formula>
    </cfRule>
    <cfRule type="containsText" dxfId="797" priority="91" operator="containsText" text="Green">
      <formula>NOT(ISERROR(SEARCH("Green",U438)))</formula>
    </cfRule>
    <cfRule type="containsText" dxfId="796" priority="92" operator="containsText" text="Grey">
      <formula>NOT(ISERROR(SEARCH("Grey",U438)))</formula>
    </cfRule>
  </conditionalFormatting>
  <conditionalFormatting sqref="U455:U466">
    <cfRule type="containsText" dxfId="795" priority="94" operator="containsText" text="Amber">
      <formula>NOT(ISERROR(SEARCH("Amber",U455)))</formula>
    </cfRule>
    <cfRule type="containsText" dxfId="794" priority="95" operator="containsText" text="Green">
      <formula>NOT(ISERROR(SEARCH("Green",U455)))</formula>
    </cfRule>
    <cfRule type="containsText" dxfId="793" priority="96" operator="containsText" text="Grey">
      <formula>NOT(ISERROR(SEARCH("Grey",U455)))</formula>
    </cfRule>
    <cfRule type="containsText" dxfId="792" priority="93" operator="containsText" text="Red">
      <formula>NOT(ISERROR(SEARCH("Red",U455)))</formula>
    </cfRule>
  </conditionalFormatting>
  <conditionalFormatting sqref="U472:U483">
    <cfRule type="containsText" dxfId="791" priority="98" operator="containsText" text="Amber">
      <formula>NOT(ISERROR(SEARCH("Amber",U472)))</formula>
    </cfRule>
    <cfRule type="containsText" dxfId="790" priority="99" operator="containsText" text="Green">
      <formula>NOT(ISERROR(SEARCH("Green",U472)))</formula>
    </cfRule>
    <cfRule type="containsText" dxfId="789" priority="100" operator="containsText" text="Grey">
      <formula>NOT(ISERROR(SEARCH("Grey",U472)))</formula>
    </cfRule>
    <cfRule type="containsText" dxfId="788" priority="97" operator="containsText" text="Red">
      <formula>NOT(ISERROR(SEARCH("Red",U472)))</formula>
    </cfRule>
  </conditionalFormatting>
  <conditionalFormatting sqref="U489:U500">
    <cfRule type="containsText" dxfId="787" priority="101" operator="containsText" text="Red">
      <formula>NOT(ISERROR(SEARCH("Red",U489)))</formula>
    </cfRule>
    <cfRule type="containsText" dxfId="786" priority="102" operator="containsText" text="Amber">
      <formula>NOT(ISERROR(SEARCH("Amber",U489)))</formula>
    </cfRule>
    <cfRule type="containsText" dxfId="785" priority="104" operator="containsText" text="Grey">
      <formula>NOT(ISERROR(SEARCH("Grey",U489)))</formula>
    </cfRule>
    <cfRule type="containsText" dxfId="784" priority="103" operator="containsText" text="Green">
      <formula>NOT(ISERROR(SEARCH("Green",U489)))</formula>
    </cfRule>
  </conditionalFormatting>
  <conditionalFormatting sqref="U506:U517">
    <cfRule type="containsText" dxfId="783" priority="106" operator="containsText" text="Amber">
      <formula>NOT(ISERROR(SEARCH("Amber",U506)))</formula>
    </cfRule>
    <cfRule type="containsText" dxfId="782" priority="107" operator="containsText" text="Green">
      <formula>NOT(ISERROR(SEARCH("Green",U506)))</formula>
    </cfRule>
    <cfRule type="containsText" dxfId="781" priority="108" operator="containsText" text="Grey">
      <formula>NOT(ISERROR(SEARCH("Grey",U506)))</formula>
    </cfRule>
    <cfRule type="containsText" dxfId="780" priority="105" operator="containsText" text="Red">
      <formula>NOT(ISERROR(SEARCH("Red",U506)))</formula>
    </cfRule>
  </conditionalFormatting>
  <conditionalFormatting sqref="U523:U534">
    <cfRule type="containsText" dxfId="779" priority="109" operator="containsText" text="Red">
      <formula>NOT(ISERROR(SEARCH("Red",U523)))</formula>
    </cfRule>
    <cfRule type="containsText" dxfId="778" priority="110" operator="containsText" text="Amber">
      <formula>NOT(ISERROR(SEARCH("Amber",U523)))</formula>
    </cfRule>
    <cfRule type="containsText" dxfId="777" priority="111" operator="containsText" text="Green">
      <formula>NOT(ISERROR(SEARCH("Green",U523)))</formula>
    </cfRule>
    <cfRule type="containsText" dxfId="776" priority="112" operator="containsText" text="Grey">
      <formula>NOT(ISERROR(SEARCH("Grey",U523)))</formula>
    </cfRule>
  </conditionalFormatting>
  <conditionalFormatting sqref="U540:U551">
    <cfRule type="containsText" dxfId="775" priority="114" operator="containsText" text="Amber">
      <formula>NOT(ISERROR(SEARCH("Amber",U540)))</formula>
    </cfRule>
    <cfRule type="containsText" dxfId="774" priority="115" operator="containsText" text="Green">
      <formula>NOT(ISERROR(SEARCH("Green",U540)))</formula>
    </cfRule>
    <cfRule type="containsText" dxfId="773" priority="116" operator="containsText" text="Grey">
      <formula>NOT(ISERROR(SEARCH("Grey",U540)))</formula>
    </cfRule>
    <cfRule type="containsText" dxfId="772" priority="113" operator="containsText" text="Red">
      <formula>NOT(ISERROR(SEARCH("Red",U540)))</formula>
    </cfRule>
  </conditionalFormatting>
  <conditionalFormatting sqref="U557:U568">
    <cfRule type="containsText" dxfId="771" priority="117" operator="containsText" text="Red">
      <formula>NOT(ISERROR(SEARCH("Red",U557)))</formula>
    </cfRule>
    <cfRule type="containsText" dxfId="770" priority="118" operator="containsText" text="Amber">
      <formula>NOT(ISERROR(SEARCH("Amber",U557)))</formula>
    </cfRule>
    <cfRule type="containsText" dxfId="769" priority="119" operator="containsText" text="Green">
      <formula>NOT(ISERROR(SEARCH("Green",U557)))</formula>
    </cfRule>
    <cfRule type="containsText" dxfId="768" priority="120" operator="containsText" text="Grey">
      <formula>NOT(ISERROR(SEARCH("Grey",U557)))</formula>
    </cfRule>
  </conditionalFormatting>
  <conditionalFormatting sqref="U574:U585">
    <cfRule type="containsText" dxfId="767" priority="121" operator="containsText" text="Red">
      <formula>NOT(ISERROR(SEARCH("Red",U574)))</formula>
    </cfRule>
    <cfRule type="containsText" dxfId="766" priority="122" operator="containsText" text="Amber">
      <formula>NOT(ISERROR(SEARCH("Amber",U574)))</formula>
    </cfRule>
    <cfRule type="containsText" dxfId="765" priority="123" operator="containsText" text="Green">
      <formula>NOT(ISERROR(SEARCH("Green",U574)))</formula>
    </cfRule>
    <cfRule type="containsText" dxfId="764" priority="124" operator="containsText" text="Grey">
      <formula>NOT(ISERROR(SEARCH("Grey",U574)))</formula>
    </cfRule>
  </conditionalFormatting>
  <conditionalFormatting sqref="U591:U602">
    <cfRule type="containsText" dxfId="763" priority="125" operator="containsText" text="Red">
      <formula>NOT(ISERROR(SEARCH("Red",U591)))</formula>
    </cfRule>
    <cfRule type="containsText" dxfId="762" priority="126" operator="containsText" text="Amber">
      <formula>NOT(ISERROR(SEARCH("Amber",U591)))</formula>
    </cfRule>
    <cfRule type="containsText" dxfId="761" priority="127" operator="containsText" text="Green">
      <formula>NOT(ISERROR(SEARCH("Green",U591)))</formula>
    </cfRule>
    <cfRule type="containsText" dxfId="760" priority="128" operator="containsText" text="Grey">
      <formula>NOT(ISERROR(SEARCH("Grey",U591)))</formula>
    </cfRule>
  </conditionalFormatting>
  <conditionalFormatting sqref="U608:U619">
    <cfRule type="containsText" dxfId="759" priority="129" operator="containsText" text="Red">
      <formula>NOT(ISERROR(SEARCH("Red",U608)))</formula>
    </cfRule>
    <cfRule type="containsText" dxfId="758" priority="130" operator="containsText" text="Amber">
      <formula>NOT(ISERROR(SEARCH("Amber",U608)))</formula>
    </cfRule>
    <cfRule type="containsText" dxfId="757" priority="131" operator="containsText" text="Green">
      <formula>NOT(ISERROR(SEARCH("Green",U608)))</formula>
    </cfRule>
    <cfRule type="containsText" dxfId="756" priority="132" operator="containsText" text="Grey">
      <formula>NOT(ISERROR(SEARCH("Grey",U608)))</formula>
    </cfRule>
  </conditionalFormatting>
  <conditionalFormatting sqref="U625:U636">
    <cfRule type="containsText" dxfId="755" priority="133" operator="containsText" text="Red">
      <formula>NOT(ISERROR(SEARCH("Red",U625)))</formula>
    </cfRule>
    <cfRule type="containsText" dxfId="754" priority="134" operator="containsText" text="Amber">
      <formula>NOT(ISERROR(SEARCH("Amber",U625)))</formula>
    </cfRule>
    <cfRule type="containsText" dxfId="753" priority="135" operator="containsText" text="Green">
      <formula>NOT(ISERROR(SEARCH("Green",U625)))</formula>
    </cfRule>
    <cfRule type="containsText" dxfId="752" priority="136" operator="containsText" text="Grey">
      <formula>NOT(ISERROR(SEARCH("Grey",U625)))</formula>
    </cfRule>
  </conditionalFormatting>
  <conditionalFormatting sqref="U642:U653">
    <cfRule type="containsText" dxfId="751" priority="138" operator="containsText" text="Amber">
      <formula>NOT(ISERROR(SEARCH("Amber",U642)))</formula>
    </cfRule>
    <cfRule type="containsText" dxfId="750" priority="139" operator="containsText" text="Green">
      <formula>NOT(ISERROR(SEARCH("Green",U642)))</formula>
    </cfRule>
    <cfRule type="containsText" dxfId="749" priority="140" operator="containsText" text="Grey">
      <formula>NOT(ISERROR(SEARCH("Grey",U642)))</formula>
    </cfRule>
    <cfRule type="containsText" dxfId="748" priority="137" operator="containsText" text="Red">
      <formula>NOT(ISERROR(SEARCH("Red",U642)))</formula>
    </cfRule>
  </conditionalFormatting>
  <conditionalFormatting sqref="U659:U670">
    <cfRule type="containsText" dxfId="747" priority="141" operator="containsText" text="Red">
      <formula>NOT(ISERROR(SEARCH("Red",U659)))</formula>
    </cfRule>
    <cfRule type="containsText" dxfId="746" priority="142" operator="containsText" text="Amber">
      <formula>NOT(ISERROR(SEARCH("Amber",U659)))</formula>
    </cfRule>
    <cfRule type="containsText" dxfId="745" priority="143" operator="containsText" text="Green">
      <formula>NOT(ISERROR(SEARCH("Green",U659)))</formula>
    </cfRule>
    <cfRule type="containsText" dxfId="744" priority="144" operator="containsText" text="Grey">
      <formula>NOT(ISERROR(SEARCH("Grey",U659)))</formula>
    </cfRule>
  </conditionalFormatting>
  <conditionalFormatting sqref="U676:U687">
    <cfRule type="containsText" dxfId="743" priority="146" operator="containsText" text="Amber">
      <formula>NOT(ISERROR(SEARCH("Amber",U676)))</formula>
    </cfRule>
    <cfRule type="containsText" dxfId="742" priority="147" operator="containsText" text="Green">
      <formula>NOT(ISERROR(SEARCH("Green",U676)))</formula>
    </cfRule>
    <cfRule type="containsText" dxfId="741" priority="148" operator="containsText" text="Grey">
      <formula>NOT(ISERROR(SEARCH("Grey",U676)))</formula>
    </cfRule>
    <cfRule type="containsText" dxfId="740" priority="145" operator="containsText" text="Red">
      <formula>NOT(ISERROR(SEARCH("Red",U676)))</formula>
    </cfRule>
  </conditionalFormatting>
  <conditionalFormatting sqref="U693:U704">
    <cfRule type="containsText" dxfId="739" priority="149" operator="containsText" text="Red">
      <formula>NOT(ISERROR(SEARCH("Red",U693)))</formula>
    </cfRule>
    <cfRule type="containsText" dxfId="738" priority="150" operator="containsText" text="Amber">
      <formula>NOT(ISERROR(SEARCH("Amber",U693)))</formula>
    </cfRule>
    <cfRule type="containsText" dxfId="737" priority="151" operator="containsText" text="Green">
      <formula>NOT(ISERROR(SEARCH("Green",U693)))</formula>
    </cfRule>
    <cfRule type="containsText" dxfId="736" priority="152" operator="containsText" text="Grey">
      <formula>NOT(ISERROR(SEARCH("Grey",U693)))</formula>
    </cfRule>
  </conditionalFormatting>
  <conditionalFormatting sqref="U710:U721">
    <cfRule type="containsText" dxfId="735" priority="154" operator="containsText" text="Amber">
      <formula>NOT(ISERROR(SEARCH("Amber",U710)))</formula>
    </cfRule>
    <cfRule type="containsText" dxfId="734" priority="155" operator="containsText" text="Green">
      <formula>NOT(ISERROR(SEARCH("Green",U710)))</formula>
    </cfRule>
    <cfRule type="containsText" dxfId="733" priority="156" operator="containsText" text="Grey">
      <formula>NOT(ISERROR(SEARCH("Grey",U710)))</formula>
    </cfRule>
    <cfRule type="containsText" dxfId="732" priority="153" operator="containsText" text="Red">
      <formula>NOT(ISERROR(SEARCH("Red",U710)))</formula>
    </cfRule>
  </conditionalFormatting>
  <conditionalFormatting sqref="U727:U738">
    <cfRule type="containsText" dxfId="731" priority="157" operator="containsText" text="Red">
      <formula>NOT(ISERROR(SEARCH("Red",U727)))</formula>
    </cfRule>
    <cfRule type="containsText" dxfId="730" priority="158" operator="containsText" text="Amber">
      <formula>NOT(ISERROR(SEARCH("Amber",U727)))</formula>
    </cfRule>
    <cfRule type="containsText" dxfId="729" priority="160" operator="containsText" text="Grey">
      <formula>NOT(ISERROR(SEARCH("Grey",U727)))</formula>
    </cfRule>
    <cfRule type="containsText" dxfId="728" priority="159" operator="containsText" text="Green">
      <formula>NOT(ISERROR(SEARCH("Green",U727)))</formula>
    </cfRule>
  </conditionalFormatting>
  <conditionalFormatting sqref="U744:U755">
    <cfRule type="containsText" dxfId="727" priority="162" operator="containsText" text="Amber">
      <formula>NOT(ISERROR(SEARCH("Amber",U744)))</formula>
    </cfRule>
    <cfRule type="containsText" dxfId="726" priority="163" operator="containsText" text="Green">
      <formula>NOT(ISERROR(SEARCH("Green",U744)))</formula>
    </cfRule>
    <cfRule type="containsText" dxfId="725" priority="164" operator="containsText" text="Grey">
      <formula>NOT(ISERROR(SEARCH("Grey",U744)))</formula>
    </cfRule>
    <cfRule type="containsText" dxfId="724" priority="161" operator="containsText" text="Red">
      <formula>NOT(ISERROR(SEARCH("Red",U744)))</formula>
    </cfRule>
  </conditionalFormatting>
  <conditionalFormatting sqref="U761:U772">
    <cfRule type="containsText" dxfId="723" priority="165" operator="containsText" text="Red">
      <formula>NOT(ISERROR(SEARCH("Red",U761)))</formula>
    </cfRule>
    <cfRule type="containsText" dxfId="722" priority="166" operator="containsText" text="Amber">
      <formula>NOT(ISERROR(SEARCH("Amber",U761)))</formula>
    </cfRule>
    <cfRule type="containsText" dxfId="721" priority="167" operator="containsText" text="Green">
      <formula>NOT(ISERROR(SEARCH("Green",U761)))</formula>
    </cfRule>
    <cfRule type="containsText" dxfId="720" priority="168" operator="containsText" text="Grey">
      <formula>NOT(ISERROR(SEARCH("Grey",U761)))</formula>
    </cfRule>
  </conditionalFormatting>
  <conditionalFormatting sqref="U778:U789">
    <cfRule type="containsText" dxfId="719" priority="170" operator="containsText" text="Amber">
      <formula>NOT(ISERROR(SEARCH("Amber",U778)))</formula>
    </cfRule>
    <cfRule type="containsText" dxfId="718" priority="171" operator="containsText" text="Green">
      <formula>NOT(ISERROR(SEARCH("Green",U778)))</formula>
    </cfRule>
    <cfRule type="containsText" dxfId="717" priority="172" operator="containsText" text="Grey">
      <formula>NOT(ISERROR(SEARCH("Grey",U778)))</formula>
    </cfRule>
    <cfRule type="containsText" dxfId="716" priority="169" operator="containsText" text="Red">
      <formula>NOT(ISERROR(SEARCH("Red",U778)))</formula>
    </cfRule>
  </conditionalFormatting>
  <conditionalFormatting sqref="U795:U806">
    <cfRule type="containsText" dxfId="715" priority="173" operator="containsText" text="Red">
      <formula>NOT(ISERROR(SEARCH("Red",U795)))</formula>
    </cfRule>
    <cfRule type="containsText" dxfId="714" priority="174" operator="containsText" text="Amber">
      <formula>NOT(ISERROR(SEARCH("Amber",U795)))</formula>
    </cfRule>
    <cfRule type="containsText" dxfId="713" priority="175" operator="containsText" text="Green">
      <formula>NOT(ISERROR(SEARCH("Green",U795)))</formula>
    </cfRule>
    <cfRule type="containsText" dxfId="712" priority="176" operator="containsText" text="Grey">
      <formula>NOT(ISERROR(SEARCH("Grey",U795)))</formula>
    </cfRule>
  </conditionalFormatting>
  <conditionalFormatting sqref="U812:U823">
    <cfRule type="containsText" dxfId="711" priority="177" operator="containsText" text="Red">
      <formula>NOT(ISERROR(SEARCH("Red",U812)))</formula>
    </cfRule>
    <cfRule type="containsText" dxfId="710" priority="178" operator="containsText" text="Amber">
      <formula>NOT(ISERROR(SEARCH("Amber",U812)))</formula>
    </cfRule>
    <cfRule type="containsText" dxfId="709" priority="179" operator="containsText" text="Green">
      <formula>NOT(ISERROR(SEARCH("Green",U812)))</formula>
    </cfRule>
    <cfRule type="containsText" dxfId="708" priority="180" operator="containsText" text="Grey">
      <formula>NOT(ISERROR(SEARCH("Grey",U812)))</formula>
    </cfRule>
  </conditionalFormatting>
  <conditionalFormatting sqref="U829:U840">
    <cfRule type="containsText" dxfId="707" priority="181" operator="containsText" text="Red">
      <formula>NOT(ISERROR(SEARCH("Red",U829)))</formula>
    </cfRule>
    <cfRule type="containsText" dxfId="706" priority="182" operator="containsText" text="Amber">
      <formula>NOT(ISERROR(SEARCH("Amber",U829)))</formula>
    </cfRule>
    <cfRule type="containsText" dxfId="705" priority="183" operator="containsText" text="Green">
      <formula>NOT(ISERROR(SEARCH("Green",U829)))</formula>
    </cfRule>
    <cfRule type="containsText" dxfId="704" priority="184" operator="containsText" text="Grey">
      <formula>NOT(ISERROR(SEARCH("Grey",U829)))</formula>
    </cfRule>
  </conditionalFormatting>
  <conditionalFormatting sqref="U846:U857">
    <cfRule type="containsText" dxfId="703" priority="185" operator="containsText" text="Red">
      <formula>NOT(ISERROR(SEARCH("Red",U846)))</formula>
    </cfRule>
    <cfRule type="containsText" dxfId="702" priority="186" operator="containsText" text="Amber">
      <formula>NOT(ISERROR(SEARCH("Amber",U846)))</formula>
    </cfRule>
    <cfRule type="containsText" dxfId="701" priority="188" operator="containsText" text="Grey">
      <formula>NOT(ISERROR(SEARCH("Grey",U846)))</formula>
    </cfRule>
    <cfRule type="containsText" dxfId="700" priority="187" operator="containsText" text="Green">
      <formula>NOT(ISERROR(SEARCH("Green",U846)))</formula>
    </cfRule>
  </conditionalFormatting>
  <conditionalFormatting sqref="U863:U874">
    <cfRule type="containsText" dxfId="699" priority="190" operator="containsText" text="Amber">
      <formula>NOT(ISERROR(SEARCH("Amber",U863)))</formula>
    </cfRule>
    <cfRule type="containsText" dxfId="698" priority="191" operator="containsText" text="Green">
      <formula>NOT(ISERROR(SEARCH("Green",U863)))</formula>
    </cfRule>
    <cfRule type="containsText" dxfId="697" priority="192" operator="containsText" text="Grey">
      <formula>NOT(ISERROR(SEARCH("Grey",U863)))</formula>
    </cfRule>
    <cfRule type="containsText" dxfId="696" priority="189" operator="containsText" text="Red">
      <formula>NOT(ISERROR(SEARCH("Red",U863)))</formula>
    </cfRule>
  </conditionalFormatting>
  <conditionalFormatting sqref="U880:U891">
    <cfRule type="containsText" dxfId="695" priority="193" operator="containsText" text="Red">
      <formula>NOT(ISERROR(SEARCH("Red",U880)))</formula>
    </cfRule>
    <cfRule type="containsText" dxfId="694" priority="194" operator="containsText" text="Amber">
      <formula>NOT(ISERROR(SEARCH("Amber",U880)))</formula>
    </cfRule>
    <cfRule type="containsText" dxfId="693" priority="195" operator="containsText" text="Green">
      <formula>NOT(ISERROR(SEARCH("Green",U880)))</formula>
    </cfRule>
    <cfRule type="containsText" dxfId="692" priority="196" operator="containsText" text="Grey">
      <formula>NOT(ISERROR(SEARCH("Grey",U880)))</formula>
    </cfRule>
  </conditionalFormatting>
  <conditionalFormatting sqref="U897:U908">
    <cfRule type="containsText" dxfId="691" priority="198" operator="containsText" text="Amber">
      <formula>NOT(ISERROR(SEARCH("Amber",U897)))</formula>
    </cfRule>
    <cfRule type="containsText" dxfId="690" priority="199" operator="containsText" text="Green">
      <formula>NOT(ISERROR(SEARCH("Green",U897)))</formula>
    </cfRule>
    <cfRule type="containsText" dxfId="689" priority="200" operator="containsText" text="Grey">
      <formula>NOT(ISERROR(SEARCH("Grey",U897)))</formula>
    </cfRule>
    <cfRule type="containsText" dxfId="688" priority="197" operator="containsText" text="Red">
      <formula>NOT(ISERROR(SEARCH("Red",U897)))</formula>
    </cfRule>
  </conditionalFormatting>
  <conditionalFormatting sqref="U914:U925">
    <cfRule type="containsText" dxfId="687" priority="202" operator="containsText" text="Amber">
      <formula>NOT(ISERROR(SEARCH("Amber",U914)))</formula>
    </cfRule>
    <cfRule type="containsText" dxfId="686" priority="203" operator="containsText" text="Green">
      <formula>NOT(ISERROR(SEARCH("Green",U914)))</formula>
    </cfRule>
    <cfRule type="containsText" dxfId="685" priority="204" operator="containsText" text="Grey">
      <formula>NOT(ISERROR(SEARCH("Grey",U914)))</formula>
    </cfRule>
    <cfRule type="containsText" dxfId="684" priority="201" operator="containsText" text="Red">
      <formula>NOT(ISERROR(SEARCH("Red",U914)))</formula>
    </cfRule>
  </conditionalFormatting>
  <conditionalFormatting sqref="U931:U942">
    <cfRule type="containsText" dxfId="683" priority="205" operator="containsText" text="Red">
      <formula>NOT(ISERROR(SEARCH("Red",U931)))</formula>
    </cfRule>
    <cfRule type="containsText" dxfId="682" priority="206" operator="containsText" text="Amber">
      <formula>NOT(ISERROR(SEARCH("Amber",U931)))</formula>
    </cfRule>
    <cfRule type="containsText" dxfId="681" priority="207" operator="containsText" text="Green">
      <formula>NOT(ISERROR(SEARCH("Green",U931)))</formula>
    </cfRule>
    <cfRule type="containsText" dxfId="680" priority="208" operator="containsText" text="Grey">
      <formula>NOT(ISERROR(SEARCH("Grey",U931)))</formula>
    </cfRule>
  </conditionalFormatting>
  <dataValidations count="4">
    <dataValidation type="list" allowBlank="1" showInputMessage="1" showErrorMessage="1" sqref="I64:I75 I81:I92 I98:I109 I115:I126 I132:I143 I149:I160 I166:I177 I183:I194 I200:I211 I217:I228 I234:I245 I251:I262 I268:I279 I285:I296 I302:I313 I319:I330 I336:I347 I353:I364 I370:I381 I387:I398 I404:I415 I421:I432 I438:I449 I455:I466 I472:I483 I489:I500 I506:I517 I523:I534 I540:I551 I557:I568 I574:I585 I591:I602 I608:I619 I625:I636 I642:I653 I659:I670 I676:I687 I693:I704 I710:I721 I727:I738 I744:I755 I761:I772 I778:I789 I795:I806 I812:I823 I829:I840 I846:I857 I863:I874 I880:I891 I897:I908 I914:I925 I931:I942" xr:uid="{00000000-0002-0000-0600-000000000000}">
      <formula1>"2,1,0,NA"</formula1>
    </dataValidation>
    <dataValidation type="list" allowBlank="1" showInputMessage="1" showErrorMessage="1" sqref="H64:H75 H81:H92 H98:H109 H115:H126 H132:H143 H149:H160 H166:H177 H183:H194 H200:H211 H217:H228 H234:H245 H251:H262 H268:H279 H285:H296 H302:H313 H319:H330 H336:H347 H353:H364 H370:H381 H387:H398 H404:H415 H421:H432 H438:H449 H455:H466 H472:H483 H489:H500 H506:H517 H523:H534 H540:H551 H557:H568 H574:H585 H591:H602 H608:H619 H625:H636 H642:H653 H659:H670 H676:H687 H693:H704 H710:H721 H727:H738 H744:H755 H761:H772 H778:H789 H795:H806 H812:H823 H829:H840 H846:H857 H863:H874 H880:H891 H897:H908 H914:H925 H931:H942" xr:uid="{00000000-0002-0000-0600-000001000000}">
      <formula1>"Critical,High,Medium,Low"</formula1>
    </dataValidation>
    <dataValidation type="list" allowBlank="1" showInputMessage="1" showErrorMessage="1" sqref="S64:S75 S81:S92 S98:S109 S115:S126 S132:S143 S149:S160 S166:S177 S183:S194 S200:S211 S217:S228 S234:S245 S251:S262 S268:S279 S285:S296 S302:S313 S319:S330 S336:S347 S353:S364 S370:S381 S387:S398 S404:S415 S421:S432 S438:S449 S455:S466 S472:S483 S489:S500 S506:S517 S523:S534 S540:S551 S557:S568 S574:S585 S591:S602 S608:S619 S625:S636 S642:S653 S659:S670 S676:S687 S693:S704 S710:S721 S727:S738 S744:S755 S761:S772 S778:S789 S795:S806 S812:S823 S829:S840 S846:S857 S863:S874 S880:S891 S897:S908 S914:S925 S931:S942" xr:uid="{00000000-0002-0000-0600-000002000000}">
      <formula1>"Yes,No,N/A"</formula1>
    </dataValidation>
    <dataValidation type="list" allowBlank="1" showInputMessage="1" showErrorMessage="1" sqref="T64:T75 T81:T92 T98:T109 T115:T126 T132:T143 T149:T160 T166:T177 T183:T194 T200:T211 T217:T228 T234:T245 T251:T262 T268:T279 T285:T296 T302:T313 T319:T330 T336:T347 T353:T364 T370:T381 T387:T398 T404:T415 T421:T432 T438:T449 T455:T466 T472:T483 T489:T500 T506:T517 T523:T534 T540:T551 T557:T568 T574:T585 T591:T602 T608:T619 T625:T636 T642:T653 T659:T670 T676:T687 T693:T704 T710:T721 T727:T738 T744:T755 T761:T772 T778:T789 T795:T806 T812:T823 T829:T840 T846:T857 T863:T874 T880:T891 T897:T908 T914:T925 T931:T942" xr:uid="{00000000-0002-0000-0600-000003000000}">
      <formula1>"Not Started,In Progress,Completed,Verified,Closed"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944"/>
  <sheetViews>
    <sheetView showGridLines="0" workbookViewId="0">
      <selection sqref="A1:U1"/>
    </sheetView>
  </sheetViews>
  <sheetFormatPr defaultRowHeight="28" customHeight="1" x14ac:dyDescent="0.35"/>
  <cols>
    <col min="1" max="1" width="7.7265625" customWidth="1"/>
    <col min="2" max="2" width="18.7265625" customWidth="1"/>
    <col min="3" max="3" width="42.7265625" customWidth="1"/>
    <col min="4" max="4" width="28.7265625" customWidth="1"/>
    <col min="5" max="6" width="18.7265625" customWidth="1"/>
    <col min="7" max="7" width="24.7265625" customWidth="1"/>
    <col min="8" max="9" width="13.7265625" customWidth="1"/>
    <col min="10" max="10" width="28.7265625" customWidth="1"/>
    <col min="11" max="11" width="30.7265625" customWidth="1"/>
    <col min="12" max="12" width="32.7265625" customWidth="1"/>
    <col min="13" max="13" width="28.7265625" customWidth="1"/>
    <col min="14" max="14" width="32.7265625" customWidth="1"/>
    <col min="15" max="15" width="20.7265625" customWidth="1"/>
    <col min="16" max="17" width="13.7265625" customWidth="1"/>
    <col min="18" max="18" width="18.7265625" customWidth="1"/>
    <col min="19" max="20" width="14.7265625" customWidth="1"/>
    <col min="21" max="21" width="10.7265625" customWidth="1"/>
  </cols>
  <sheetData>
    <row r="1" spans="1:21" ht="28" customHeight="1" x14ac:dyDescent="0.35">
      <c r="A1" s="24" t="s">
        <v>437</v>
      </c>
      <c r="B1" s="20"/>
      <c r="C1" s="20"/>
      <c r="D1" s="20"/>
      <c r="E1" s="20"/>
      <c r="F1" s="20"/>
      <c r="G1" s="20"/>
      <c r="H1" s="20"/>
      <c r="I1" s="20"/>
      <c r="J1" s="20"/>
      <c r="K1" s="20"/>
      <c r="L1" s="20"/>
      <c r="M1" s="20"/>
      <c r="N1" s="20"/>
      <c r="O1" s="20"/>
      <c r="P1" s="20"/>
      <c r="Q1" s="20"/>
      <c r="R1" s="20"/>
      <c r="S1" s="20"/>
      <c r="T1" s="20"/>
      <c r="U1" s="21"/>
    </row>
    <row r="2" spans="1:21" ht="28" customHeight="1" x14ac:dyDescent="0.35">
      <c r="A2" s="9" t="s">
        <v>1</v>
      </c>
      <c r="B2" s="22" t="s">
        <v>2</v>
      </c>
      <c r="C2" s="23"/>
      <c r="D2" s="23"/>
      <c r="E2" s="23"/>
      <c r="F2" s="23"/>
      <c r="G2" s="23"/>
      <c r="H2" s="23"/>
      <c r="I2" s="23"/>
      <c r="J2" s="23"/>
      <c r="K2" s="23"/>
      <c r="L2" s="23"/>
      <c r="M2" s="23"/>
      <c r="N2" s="23"/>
      <c r="O2" s="23"/>
      <c r="P2" s="23"/>
      <c r="Q2" s="23"/>
      <c r="R2" s="23"/>
      <c r="S2" s="23"/>
      <c r="T2" s="23"/>
      <c r="U2" s="23"/>
    </row>
    <row r="4" spans="1:21" ht="28" customHeight="1" x14ac:dyDescent="0.3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21" ht="28" customHeight="1" x14ac:dyDescent="0.35">
      <c r="A5" s="4" t="s">
        <v>217</v>
      </c>
      <c r="B5" s="7">
        <v>46023</v>
      </c>
      <c r="C5" s="8"/>
      <c r="D5" s="3"/>
      <c r="E5" s="5">
        <f>SUMIF(I64:I75,"&gt;=0",I64:I75)</f>
        <v>0</v>
      </c>
      <c r="F5" s="5">
        <f>COUNT(I64:I75)*2</f>
        <v>0</v>
      </c>
      <c r="G5" s="6" t="str">
        <f t="shared" ref="G5:G36" si="0">IF(F5=0,"",E5/F5)</f>
        <v/>
      </c>
      <c r="H5" s="5" t="str">
        <f t="shared" ref="H5:H36" si="1">IF(G5="","Not Started",IF(G5&gt;=0.9,"Green",IF(G5&gt;=0.75,"Amber","Red")))</f>
        <v>Not Started</v>
      </c>
      <c r="I5" s="5">
        <f>COUNTIFS(H64:H75,"Critical",I64:I75,"&lt;2")+COUNTIFS(H64:H75,"High",I64:I75,"&lt;2")</f>
        <v>0</v>
      </c>
      <c r="J5" s="5">
        <f>COUNTIF(T64:T75,"In Progress")+COUNTIF(T64:T75,"Not Started")</f>
        <v>0</v>
      </c>
      <c r="K5" s="5">
        <f ca="1">COUNTIFS(P64:P75,"&lt;"&amp;TODAY(),Q64:Q75,"")</f>
        <v>0</v>
      </c>
      <c r="L5" s="3"/>
      <c r="M5" s="3"/>
      <c r="N5" s="3"/>
      <c r="O5" s="3"/>
    </row>
    <row r="6" spans="1:21" ht="28" customHeight="1" x14ac:dyDescent="0.35">
      <c r="A6" s="4" t="s">
        <v>218</v>
      </c>
      <c r="B6" s="7">
        <v>46030</v>
      </c>
      <c r="C6" s="8"/>
      <c r="D6" s="3"/>
      <c r="E6" s="5">
        <f>SUMIF(I81:I92,"&gt;=0",I81:I92)</f>
        <v>0</v>
      </c>
      <c r="F6" s="5">
        <f>COUNT(I81:I92)*2</f>
        <v>0</v>
      </c>
      <c r="G6" s="6" t="str">
        <f t="shared" si="0"/>
        <v/>
      </c>
      <c r="H6" s="5" t="str">
        <f t="shared" si="1"/>
        <v>Not Started</v>
      </c>
      <c r="I6" s="5">
        <f>COUNTIFS(H81:H92,"Critical",I81:I92,"&lt;2")+COUNTIFS(H81:H92,"High",I81:I92,"&lt;2")</f>
        <v>0</v>
      </c>
      <c r="J6" s="5">
        <f>COUNTIF(T81:T92,"In Progress")+COUNTIF(T81:T92,"Not Started")</f>
        <v>0</v>
      </c>
      <c r="K6" s="5">
        <f ca="1">COUNTIFS(P81:P92,"&lt;"&amp;TODAY(),Q81:Q92,"")</f>
        <v>0</v>
      </c>
      <c r="L6" s="3"/>
      <c r="M6" s="3"/>
      <c r="N6" s="3"/>
      <c r="O6" s="3"/>
    </row>
    <row r="7" spans="1:21" ht="28" customHeight="1" x14ac:dyDescent="0.35">
      <c r="A7" s="4" t="s">
        <v>219</v>
      </c>
      <c r="B7" s="7">
        <v>46037</v>
      </c>
      <c r="C7" s="8"/>
      <c r="D7" s="3"/>
      <c r="E7" s="5">
        <f>SUMIF(I98:I109,"&gt;=0",I98:I109)</f>
        <v>0</v>
      </c>
      <c r="F7" s="5">
        <f>COUNT(I98:I109)*2</f>
        <v>0</v>
      </c>
      <c r="G7" s="6" t="str">
        <f t="shared" si="0"/>
        <v/>
      </c>
      <c r="H7" s="5" t="str">
        <f t="shared" si="1"/>
        <v>Not Started</v>
      </c>
      <c r="I7" s="5">
        <f>COUNTIFS(H98:H109,"Critical",I98:I109,"&lt;2")+COUNTIFS(H98:H109,"High",I98:I109,"&lt;2")</f>
        <v>0</v>
      </c>
      <c r="J7" s="5">
        <f>COUNTIF(T98:T109,"In Progress")+COUNTIF(T98:T109,"Not Started")</f>
        <v>0</v>
      </c>
      <c r="K7" s="5">
        <f ca="1">COUNTIFS(P98:P109,"&lt;"&amp;TODAY(),Q98:Q109,"")</f>
        <v>0</v>
      </c>
      <c r="L7" s="3"/>
      <c r="M7" s="3"/>
      <c r="N7" s="3"/>
      <c r="O7" s="3"/>
    </row>
    <row r="8" spans="1:21" ht="28" customHeight="1" x14ac:dyDescent="0.35">
      <c r="A8" s="4" t="s">
        <v>220</v>
      </c>
      <c r="B8" s="7">
        <v>46044</v>
      </c>
      <c r="C8" s="8"/>
      <c r="D8" s="3"/>
      <c r="E8" s="5">
        <f>SUMIF(I115:I126,"&gt;=0",I115:I126)</f>
        <v>0</v>
      </c>
      <c r="F8" s="5">
        <f>COUNT(I115:I126)*2</f>
        <v>0</v>
      </c>
      <c r="G8" s="6" t="str">
        <f t="shared" si="0"/>
        <v/>
      </c>
      <c r="H8" s="5" t="str">
        <f t="shared" si="1"/>
        <v>Not Started</v>
      </c>
      <c r="I8" s="5">
        <f>COUNTIFS(H115:H126,"Critical",I115:I126,"&lt;2")+COUNTIFS(H115:H126,"High",I115:I126,"&lt;2")</f>
        <v>0</v>
      </c>
      <c r="J8" s="5">
        <f>COUNTIF(T115:T126,"In Progress")+COUNTIF(T115:T126,"Not Started")</f>
        <v>0</v>
      </c>
      <c r="K8" s="5">
        <f ca="1">COUNTIFS(P115:P126,"&lt;"&amp;TODAY(),Q115:Q126,"")</f>
        <v>0</v>
      </c>
      <c r="L8" s="3"/>
      <c r="M8" s="3"/>
      <c r="N8" s="3"/>
      <c r="O8" s="3"/>
    </row>
    <row r="9" spans="1:21" ht="28" customHeight="1" x14ac:dyDescent="0.35">
      <c r="A9" s="4" t="s">
        <v>221</v>
      </c>
      <c r="B9" s="7">
        <v>46051</v>
      </c>
      <c r="C9" s="8"/>
      <c r="D9" s="3"/>
      <c r="E9" s="5">
        <f>SUMIF(I132:I143,"&gt;=0",I132:I143)</f>
        <v>0</v>
      </c>
      <c r="F9" s="5">
        <f>COUNT(I132:I143)*2</f>
        <v>0</v>
      </c>
      <c r="G9" s="6" t="str">
        <f t="shared" si="0"/>
        <v/>
      </c>
      <c r="H9" s="5" t="str">
        <f t="shared" si="1"/>
        <v>Not Started</v>
      </c>
      <c r="I9" s="5">
        <f>COUNTIFS(H132:H143,"Critical",I132:I143,"&lt;2")+COUNTIFS(H132:H143,"High",I132:I143,"&lt;2")</f>
        <v>0</v>
      </c>
      <c r="J9" s="5">
        <f>COUNTIF(T132:T143,"In Progress")+COUNTIF(T132:T143,"Not Started")</f>
        <v>0</v>
      </c>
      <c r="K9" s="5">
        <f ca="1">COUNTIFS(P132:P143,"&lt;"&amp;TODAY(),Q132:Q143,"")</f>
        <v>0</v>
      </c>
      <c r="L9" s="3"/>
      <c r="M9" s="3"/>
      <c r="N9" s="3"/>
      <c r="O9" s="3"/>
    </row>
    <row r="10" spans="1:21" ht="28" customHeight="1" x14ac:dyDescent="0.35">
      <c r="A10" s="4" t="s">
        <v>222</v>
      </c>
      <c r="B10" s="7">
        <v>46058</v>
      </c>
      <c r="C10" s="8"/>
      <c r="D10" s="3"/>
      <c r="E10" s="5">
        <f>SUMIF(I149:I160,"&gt;=0",I149:I160)</f>
        <v>0</v>
      </c>
      <c r="F10" s="5">
        <f>COUNT(I149:I160)*2</f>
        <v>0</v>
      </c>
      <c r="G10" s="6" t="str">
        <f t="shared" si="0"/>
        <v/>
      </c>
      <c r="H10" s="5" t="str">
        <f t="shared" si="1"/>
        <v>Not Started</v>
      </c>
      <c r="I10" s="5">
        <f>COUNTIFS(H149:H160,"Critical",I149:I160,"&lt;2")+COUNTIFS(H149:H160,"High",I149:I160,"&lt;2")</f>
        <v>0</v>
      </c>
      <c r="J10" s="5">
        <f>COUNTIF(T149:T160,"In Progress")+COUNTIF(T149:T160,"Not Started")</f>
        <v>0</v>
      </c>
      <c r="K10" s="5">
        <f ca="1">COUNTIFS(P149:P160,"&lt;"&amp;TODAY(),Q149:Q160,"")</f>
        <v>0</v>
      </c>
      <c r="L10" s="3"/>
      <c r="M10" s="3"/>
      <c r="N10" s="3"/>
      <c r="O10" s="3"/>
    </row>
    <row r="11" spans="1:21" ht="28" customHeight="1" x14ac:dyDescent="0.35">
      <c r="A11" s="4" t="s">
        <v>223</v>
      </c>
      <c r="B11" s="7">
        <v>46065</v>
      </c>
      <c r="C11" s="8"/>
      <c r="D11" s="3"/>
      <c r="E11" s="5">
        <f>SUMIF(I166:I177,"&gt;=0",I166:I177)</f>
        <v>0</v>
      </c>
      <c r="F11" s="5">
        <f>COUNT(I166:I177)*2</f>
        <v>0</v>
      </c>
      <c r="G11" s="6" t="str">
        <f t="shared" si="0"/>
        <v/>
      </c>
      <c r="H11" s="5" t="str">
        <f t="shared" si="1"/>
        <v>Not Started</v>
      </c>
      <c r="I11" s="5">
        <f>COUNTIFS(H166:H177,"Critical",I166:I177,"&lt;2")+COUNTIFS(H166:H177,"High",I166:I177,"&lt;2")</f>
        <v>0</v>
      </c>
      <c r="J11" s="5">
        <f>COUNTIF(T166:T177,"In Progress")+COUNTIF(T166:T177,"Not Started")</f>
        <v>0</v>
      </c>
      <c r="K11" s="5">
        <f ca="1">COUNTIFS(P166:P177,"&lt;"&amp;TODAY(),Q166:Q177,"")</f>
        <v>0</v>
      </c>
      <c r="L11" s="3"/>
      <c r="M11" s="3"/>
      <c r="N11" s="3"/>
      <c r="O11" s="3"/>
    </row>
    <row r="12" spans="1:21" ht="28" customHeight="1" x14ac:dyDescent="0.35">
      <c r="A12" s="4" t="s">
        <v>224</v>
      </c>
      <c r="B12" s="7">
        <v>46072</v>
      </c>
      <c r="C12" s="8"/>
      <c r="D12" s="3"/>
      <c r="E12" s="5">
        <f>SUMIF(I183:I194,"&gt;=0",I183:I194)</f>
        <v>0</v>
      </c>
      <c r="F12" s="5">
        <f>COUNT(I183:I194)*2</f>
        <v>0</v>
      </c>
      <c r="G12" s="6" t="str">
        <f t="shared" si="0"/>
        <v/>
      </c>
      <c r="H12" s="5" t="str">
        <f t="shared" si="1"/>
        <v>Not Started</v>
      </c>
      <c r="I12" s="5">
        <f>COUNTIFS(H183:H194,"Critical",I183:I194,"&lt;2")+COUNTIFS(H183:H194,"High",I183:I194,"&lt;2")</f>
        <v>0</v>
      </c>
      <c r="J12" s="5">
        <f>COUNTIF(T183:T194,"In Progress")+COUNTIF(T183:T194,"Not Started")</f>
        <v>0</v>
      </c>
      <c r="K12" s="5">
        <f ca="1">COUNTIFS(P183:P194,"&lt;"&amp;TODAY(),Q183:Q194,"")</f>
        <v>0</v>
      </c>
      <c r="L12" s="3"/>
      <c r="M12" s="3"/>
      <c r="N12" s="3"/>
      <c r="O12" s="3"/>
    </row>
    <row r="13" spans="1:21" ht="28" customHeight="1" x14ac:dyDescent="0.35">
      <c r="A13" s="4" t="s">
        <v>225</v>
      </c>
      <c r="B13" s="7">
        <v>46079</v>
      </c>
      <c r="C13" s="8"/>
      <c r="D13" s="3"/>
      <c r="E13" s="5">
        <f>SUMIF(I200:I211,"&gt;=0",I200:I211)</f>
        <v>0</v>
      </c>
      <c r="F13" s="5">
        <f>COUNT(I200:I211)*2</f>
        <v>0</v>
      </c>
      <c r="G13" s="6" t="str">
        <f t="shared" si="0"/>
        <v/>
      </c>
      <c r="H13" s="5" t="str">
        <f t="shared" si="1"/>
        <v>Not Started</v>
      </c>
      <c r="I13" s="5">
        <f>COUNTIFS(H200:H211,"Critical",I200:I211,"&lt;2")+COUNTIFS(H200:H211,"High",I200:I211,"&lt;2")</f>
        <v>0</v>
      </c>
      <c r="J13" s="5">
        <f>COUNTIF(T200:T211,"In Progress")+COUNTIF(T200:T211,"Not Started")</f>
        <v>0</v>
      </c>
      <c r="K13" s="5">
        <f ca="1">COUNTIFS(P200:P211,"&lt;"&amp;TODAY(),Q200:Q211,"")</f>
        <v>0</v>
      </c>
      <c r="L13" s="3"/>
      <c r="M13" s="3"/>
      <c r="N13" s="3"/>
      <c r="O13" s="3"/>
    </row>
    <row r="14" spans="1:21" ht="28" customHeight="1" x14ac:dyDescent="0.35">
      <c r="A14" s="4" t="s">
        <v>226</v>
      </c>
      <c r="B14" s="7">
        <v>46086</v>
      </c>
      <c r="C14" s="8"/>
      <c r="D14" s="3"/>
      <c r="E14" s="5">
        <f>SUMIF(I217:I228,"&gt;=0",I217:I228)</f>
        <v>0</v>
      </c>
      <c r="F14" s="5">
        <f>COUNT(I217:I228)*2</f>
        <v>0</v>
      </c>
      <c r="G14" s="6" t="str">
        <f t="shared" si="0"/>
        <v/>
      </c>
      <c r="H14" s="5" t="str">
        <f t="shared" si="1"/>
        <v>Not Started</v>
      </c>
      <c r="I14" s="5">
        <f>COUNTIFS(H217:H228,"Critical",I217:I228,"&lt;2")+COUNTIFS(H217:H228,"High",I217:I228,"&lt;2")</f>
        <v>0</v>
      </c>
      <c r="J14" s="5">
        <f>COUNTIF(T217:T228,"In Progress")+COUNTIF(T217:T228,"Not Started")</f>
        <v>0</v>
      </c>
      <c r="K14" s="5">
        <f ca="1">COUNTIFS(P217:P228,"&lt;"&amp;TODAY(),Q217:Q228,"")</f>
        <v>0</v>
      </c>
      <c r="L14" s="3"/>
      <c r="M14" s="3"/>
      <c r="N14" s="3"/>
      <c r="O14" s="3"/>
    </row>
    <row r="15" spans="1:21" ht="28" customHeight="1" x14ac:dyDescent="0.35">
      <c r="A15" s="4" t="s">
        <v>227</v>
      </c>
      <c r="B15" s="7">
        <v>46093</v>
      </c>
      <c r="C15" s="8"/>
      <c r="D15" s="3"/>
      <c r="E15" s="5">
        <f>SUMIF(I234:I245,"&gt;=0",I234:I245)</f>
        <v>0</v>
      </c>
      <c r="F15" s="5">
        <f>COUNT(I234:I245)*2</f>
        <v>0</v>
      </c>
      <c r="G15" s="6" t="str">
        <f t="shared" si="0"/>
        <v/>
      </c>
      <c r="H15" s="5" t="str">
        <f t="shared" si="1"/>
        <v>Not Started</v>
      </c>
      <c r="I15" s="5">
        <f>COUNTIFS(H234:H245,"Critical",I234:I245,"&lt;2")+COUNTIFS(H234:H245,"High",I234:I245,"&lt;2")</f>
        <v>0</v>
      </c>
      <c r="J15" s="5">
        <f>COUNTIF(T234:T245,"In Progress")+COUNTIF(T234:T245,"Not Started")</f>
        <v>0</v>
      </c>
      <c r="K15" s="5">
        <f ca="1">COUNTIFS(P234:P245,"&lt;"&amp;TODAY(),Q234:Q245,"")</f>
        <v>0</v>
      </c>
      <c r="L15" s="3"/>
      <c r="M15" s="3"/>
      <c r="N15" s="3"/>
      <c r="O15" s="3"/>
    </row>
    <row r="16" spans="1:21" ht="28" customHeight="1" x14ac:dyDescent="0.35">
      <c r="A16" s="4" t="s">
        <v>228</v>
      </c>
      <c r="B16" s="7">
        <v>46100</v>
      </c>
      <c r="C16" s="8"/>
      <c r="D16" s="3"/>
      <c r="E16" s="5">
        <f>SUMIF(I251:I262,"&gt;=0",I251:I262)</f>
        <v>0</v>
      </c>
      <c r="F16" s="5">
        <f>COUNT(I251:I262)*2</f>
        <v>0</v>
      </c>
      <c r="G16" s="6" t="str">
        <f t="shared" si="0"/>
        <v/>
      </c>
      <c r="H16" s="5" t="str">
        <f t="shared" si="1"/>
        <v>Not Started</v>
      </c>
      <c r="I16" s="5">
        <f>COUNTIFS(H251:H262,"Critical",I251:I262,"&lt;2")+COUNTIFS(H251:H262,"High",I251:I262,"&lt;2")</f>
        <v>0</v>
      </c>
      <c r="J16" s="5">
        <f>COUNTIF(T251:T262,"In Progress")+COUNTIF(T251:T262,"Not Started")</f>
        <v>0</v>
      </c>
      <c r="K16" s="5">
        <f ca="1">COUNTIFS(P251:P262,"&lt;"&amp;TODAY(),Q251:Q262,"")</f>
        <v>0</v>
      </c>
      <c r="L16" s="3"/>
      <c r="M16" s="3"/>
      <c r="N16" s="3"/>
      <c r="O16" s="3"/>
    </row>
    <row r="17" spans="1:15" ht="28" customHeight="1" x14ac:dyDescent="0.35">
      <c r="A17" s="4" t="s">
        <v>229</v>
      </c>
      <c r="B17" s="7">
        <v>46107</v>
      </c>
      <c r="C17" s="8"/>
      <c r="D17" s="3"/>
      <c r="E17" s="5">
        <f>SUMIF(I268:I279,"&gt;=0",I268:I279)</f>
        <v>0</v>
      </c>
      <c r="F17" s="5">
        <f>COUNT(I268:I279)*2</f>
        <v>0</v>
      </c>
      <c r="G17" s="6" t="str">
        <f t="shared" si="0"/>
        <v/>
      </c>
      <c r="H17" s="5" t="str">
        <f t="shared" si="1"/>
        <v>Not Started</v>
      </c>
      <c r="I17" s="5">
        <f>COUNTIFS(H268:H279,"Critical",I268:I279,"&lt;2")+COUNTIFS(H268:H279,"High",I268:I279,"&lt;2")</f>
        <v>0</v>
      </c>
      <c r="J17" s="5">
        <f>COUNTIF(T268:T279,"In Progress")+COUNTIF(T268:T279,"Not Started")</f>
        <v>0</v>
      </c>
      <c r="K17" s="5">
        <f ca="1">COUNTIFS(P268:P279,"&lt;"&amp;TODAY(),Q268:Q279,"")</f>
        <v>0</v>
      </c>
      <c r="L17" s="3"/>
      <c r="M17" s="3"/>
      <c r="N17" s="3"/>
      <c r="O17" s="3"/>
    </row>
    <row r="18" spans="1:15" ht="28" customHeight="1" x14ac:dyDescent="0.35">
      <c r="A18" s="4" t="s">
        <v>230</v>
      </c>
      <c r="B18" s="7">
        <v>46114</v>
      </c>
      <c r="C18" s="8"/>
      <c r="D18" s="3"/>
      <c r="E18" s="5">
        <f>SUMIF(I285:I296,"&gt;=0",I285:I296)</f>
        <v>0</v>
      </c>
      <c r="F18" s="5">
        <f>COUNT(I285:I296)*2</f>
        <v>0</v>
      </c>
      <c r="G18" s="6" t="str">
        <f t="shared" si="0"/>
        <v/>
      </c>
      <c r="H18" s="5" t="str">
        <f t="shared" si="1"/>
        <v>Not Started</v>
      </c>
      <c r="I18" s="5">
        <f>COUNTIFS(H285:H296,"Critical",I285:I296,"&lt;2")+COUNTIFS(H285:H296,"High",I285:I296,"&lt;2")</f>
        <v>0</v>
      </c>
      <c r="J18" s="5">
        <f>COUNTIF(T285:T296,"In Progress")+COUNTIF(T285:T296,"Not Started")</f>
        <v>0</v>
      </c>
      <c r="K18" s="5">
        <f ca="1">COUNTIFS(P285:P296,"&lt;"&amp;TODAY(),Q285:Q296,"")</f>
        <v>0</v>
      </c>
      <c r="L18" s="3"/>
      <c r="M18" s="3"/>
      <c r="N18" s="3"/>
      <c r="O18" s="3"/>
    </row>
    <row r="19" spans="1:15" ht="28" customHeight="1" x14ac:dyDescent="0.35">
      <c r="A19" s="4" t="s">
        <v>231</v>
      </c>
      <c r="B19" s="7">
        <v>46121</v>
      </c>
      <c r="C19" s="8"/>
      <c r="D19" s="3"/>
      <c r="E19" s="5">
        <f>SUMIF(I302:I313,"&gt;=0",I302:I313)</f>
        <v>0</v>
      </c>
      <c r="F19" s="5">
        <f>COUNT(I302:I313)*2</f>
        <v>0</v>
      </c>
      <c r="G19" s="6" t="str">
        <f t="shared" si="0"/>
        <v/>
      </c>
      <c r="H19" s="5" t="str">
        <f t="shared" si="1"/>
        <v>Not Started</v>
      </c>
      <c r="I19" s="5">
        <f>COUNTIFS(H302:H313,"Critical",I302:I313,"&lt;2")+COUNTIFS(H302:H313,"High",I302:I313,"&lt;2")</f>
        <v>0</v>
      </c>
      <c r="J19" s="5">
        <f>COUNTIF(T302:T313,"In Progress")+COUNTIF(T302:T313,"Not Started")</f>
        <v>0</v>
      </c>
      <c r="K19" s="5">
        <f ca="1">COUNTIFS(P302:P313,"&lt;"&amp;TODAY(),Q302:Q313,"")</f>
        <v>0</v>
      </c>
      <c r="L19" s="3"/>
      <c r="M19" s="3"/>
      <c r="N19" s="3"/>
      <c r="O19" s="3"/>
    </row>
    <row r="20" spans="1:15" ht="28" customHeight="1" x14ac:dyDescent="0.35">
      <c r="A20" s="4" t="s">
        <v>232</v>
      </c>
      <c r="B20" s="7">
        <v>46128</v>
      </c>
      <c r="C20" s="8"/>
      <c r="D20" s="3"/>
      <c r="E20" s="5">
        <f>SUMIF(I319:I330,"&gt;=0",I319:I330)</f>
        <v>0</v>
      </c>
      <c r="F20" s="5">
        <f>COUNT(I319:I330)*2</f>
        <v>0</v>
      </c>
      <c r="G20" s="6" t="str">
        <f t="shared" si="0"/>
        <v/>
      </c>
      <c r="H20" s="5" t="str">
        <f t="shared" si="1"/>
        <v>Not Started</v>
      </c>
      <c r="I20" s="5">
        <f>COUNTIFS(H319:H330,"Critical",I319:I330,"&lt;2")+COUNTIFS(H319:H330,"High",I319:I330,"&lt;2")</f>
        <v>0</v>
      </c>
      <c r="J20" s="5">
        <f>COUNTIF(T319:T330,"In Progress")+COUNTIF(T319:T330,"Not Started")</f>
        <v>0</v>
      </c>
      <c r="K20" s="5">
        <f ca="1">COUNTIFS(P319:P330,"&lt;"&amp;TODAY(),Q319:Q330,"")</f>
        <v>0</v>
      </c>
      <c r="L20" s="3"/>
      <c r="M20" s="3"/>
      <c r="N20" s="3"/>
      <c r="O20" s="3"/>
    </row>
    <row r="21" spans="1:15" ht="28" customHeight="1" x14ac:dyDescent="0.35">
      <c r="A21" s="4" t="s">
        <v>233</v>
      </c>
      <c r="B21" s="7">
        <v>46135</v>
      </c>
      <c r="C21" s="8"/>
      <c r="D21" s="3"/>
      <c r="E21" s="5">
        <f>SUMIF(I336:I347,"&gt;=0",I336:I347)</f>
        <v>0</v>
      </c>
      <c r="F21" s="5">
        <f>COUNT(I336:I347)*2</f>
        <v>0</v>
      </c>
      <c r="G21" s="6" t="str">
        <f t="shared" si="0"/>
        <v/>
      </c>
      <c r="H21" s="5" t="str">
        <f t="shared" si="1"/>
        <v>Not Started</v>
      </c>
      <c r="I21" s="5">
        <f>COUNTIFS(H336:H347,"Critical",I336:I347,"&lt;2")+COUNTIFS(H336:H347,"High",I336:I347,"&lt;2")</f>
        <v>0</v>
      </c>
      <c r="J21" s="5">
        <f>COUNTIF(T336:T347,"In Progress")+COUNTIF(T336:T347,"Not Started")</f>
        <v>0</v>
      </c>
      <c r="K21" s="5">
        <f ca="1">COUNTIFS(P336:P347,"&lt;"&amp;TODAY(),Q336:Q347,"")</f>
        <v>0</v>
      </c>
      <c r="L21" s="3"/>
      <c r="M21" s="3"/>
      <c r="N21" s="3"/>
      <c r="O21" s="3"/>
    </row>
    <row r="22" spans="1:15" ht="28" customHeight="1" x14ac:dyDescent="0.35">
      <c r="A22" s="4" t="s">
        <v>234</v>
      </c>
      <c r="B22" s="7">
        <v>46142</v>
      </c>
      <c r="C22" s="8"/>
      <c r="D22" s="3"/>
      <c r="E22" s="5">
        <f>SUMIF(I353:I364,"&gt;=0",I353:I364)</f>
        <v>0</v>
      </c>
      <c r="F22" s="5">
        <f>COUNT(I353:I364)*2</f>
        <v>0</v>
      </c>
      <c r="G22" s="6" t="str">
        <f t="shared" si="0"/>
        <v/>
      </c>
      <c r="H22" s="5" t="str">
        <f t="shared" si="1"/>
        <v>Not Started</v>
      </c>
      <c r="I22" s="5">
        <f>COUNTIFS(H353:H364,"Critical",I353:I364,"&lt;2")+COUNTIFS(H353:H364,"High",I353:I364,"&lt;2")</f>
        <v>0</v>
      </c>
      <c r="J22" s="5">
        <f>COUNTIF(T353:T364,"In Progress")+COUNTIF(T353:T364,"Not Started")</f>
        <v>0</v>
      </c>
      <c r="K22" s="5">
        <f ca="1">COUNTIFS(P353:P364,"&lt;"&amp;TODAY(),Q353:Q364,"")</f>
        <v>0</v>
      </c>
      <c r="L22" s="3"/>
      <c r="M22" s="3"/>
      <c r="N22" s="3"/>
      <c r="O22" s="3"/>
    </row>
    <row r="23" spans="1:15" ht="28" customHeight="1" x14ac:dyDescent="0.35">
      <c r="A23" s="4" t="s">
        <v>235</v>
      </c>
      <c r="B23" s="7">
        <v>46149</v>
      </c>
      <c r="C23" s="8"/>
      <c r="D23" s="3"/>
      <c r="E23" s="5">
        <f>SUMIF(I370:I381,"&gt;=0",I370:I381)</f>
        <v>0</v>
      </c>
      <c r="F23" s="5">
        <f>COUNT(I370:I381)*2</f>
        <v>0</v>
      </c>
      <c r="G23" s="6" t="str">
        <f t="shared" si="0"/>
        <v/>
      </c>
      <c r="H23" s="5" t="str">
        <f t="shared" si="1"/>
        <v>Not Started</v>
      </c>
      <c r="I23" s="5">
        <f>COUNTIFS(H370:H381,"Critical",I370:I381,"&lt;2")+COUNTIFS(H370:H381,"High",I370:I381,"&lt;2")</f>
        <v>0</v>
      </c>
      <c r="J23" s="5">
        <f>COUNTIF(T370:T381,"In Progress")+COUNTIF(T370:T381,"Not Started")</f>
        <v>0</v>
      </c>
      <c r="K23" s="5">
        <f ca="1">COUNTIFS(P370:P381,"&lt;"&amp;TODAY(),Q370:Q381,"")</f>
        <v>0</v>
      </c>
      <c r="L23" s="3"/>
      <c r="M23" s="3"/>
      <c r="N23" s="3"/>
      <c r="O23" s="3"/>
    </row>
    <row r="24" spans="1:15" ht="28" customHeight="1" x14ac:dyDescent="0.35">
      <c r="A24" s="4" t="s">
        <v>236</v>
      </c>
      <c r="B24" s="7">
        <v>46156</v>
      </c>
      <c r="C24" s="8"/>
      <c r="D24" s="3"/>
      <c r="E24" s="5">
        <f>SUMIF(I387:I398,"&gt;=0",I387:I398)</f>
        <v>0</v>
      </c>
      <c r="F24" s="5">
        <f>COUNT(I387:I398)*2</f>
        <v>0</v>
      </c>
      <c r="G24" s="6" t="str">
        <f t="shared" si="0"/>
        <v/>
      </c>
      <c r="H24" s="5" t="str">
        <f t="shared" si="1"/>
        <v>Not Started</v>
      </c>
      <c r="I24" s="5">
        <f>COUNTIFS(H387:H398,"Critical",I387:I398,"&lt;2")+COUNTIFS(H387:H398,"High",I387:I398,"&lt;2")</f>
        <v>0</v>
      </c>
      <c r="J24" s="5">
        <f>COUNTIF(T387:T398,"In Progress")+COUNTIF(T387:T398,"Not Started")</f>
        <v>0</v>
      </c>
      <c r="K24" s="5">
        <f ca="1">COUNTIFS(P387:P398,"&lt;"&amp;TODAY(),Q387:Q398,"")</f>
        <v>0</v>
      </c>
      <c r="L24" s="3"/>
      <c r="M24" s="3"/>
      <c r="N24" s="3"/>
      <c r="O24" s="3"/>
    </row>
    <row r="25" spans="1:15" ht="28" customHeight="1" x14ac:dyDescent="0.35">
      <c r="A25" s="4" t="s">
        <v>237</v>
      </c>
      <c r="B25" s="7">
        <v>46163</v>
      </c>
      <c r="C25" s="8"/>
      <c r="D25" s="3"/>
      <c r="E25" s="5">
        <f>SUMIF(I404:I415,"&gt;=0",I404:I415)</f>
        <v>0</v>
      </c>
      <c r="F25" s="5">
        <f>COUNT(I404:I415)*2</f>
        <v>0</v>
      </c>
      <c r="G25" s="6" t="str">
        <f t="shared" si="0"/>
        <v/>
      </c>
      <c r="H25" s="5" t="str">
        <f t="shared" si="1"/>
        <v>Not Started</v>
      </c>
      <c r="I25" s="5">
        <f>COUNTIFS(H404:H415,"Critical",I404:I415,"&lt;2")+COUNTIFS(H404:H415,"High",I404:I415,"&lt;2")</f>
        <v>0</v>
      </c>
      <c r="J25" s="5">
        <f>COUNTIF(T404:T415,"In Progress")+COUNTIF(T404:T415,"Not Started")</f>
        <v>0</v>
      </c>
      <c r="K25" s="5">
        <f ca="1">COUNTIFS(P404:P415,"&lt;"&amp;TODAY(),Q404:Q415,"")</f>
        <v>0</v>
      </c>
      <c r="L25" s="3"/>
      <c r="M25" s="3"/>
      <c r="N25" s="3"/>
      <c r="O25" s="3"/>
    </row>
    <row r="26" spans="1:15" ht="28" customHeight="1" x14ac:dyDescent="0.35">
      <c r="A26" s="4" t="s">
        <v>238</v>
      </c>
      <c r="B26" s="7">
        <v>46170</v>
      </c>
      <c r="C26" s="8"/>
      <c r="D26" s="3"/>
      <c r="E26" s="5">
        <f>SUMIF(I421:I432,"&gt;=0",I421:I432)</f>
        <v>0</v>
      </c>
      <c r="F26" s="5">
        <f>COUNT(I421:I432)*2</f>
        <v>0</v>
      </c>
      <c r="G26" s="6" t="str">
        <f t="shared" si="0"/>
        <v/>
      </c>
      <c r="H26" s="5" t="str">
        <f t="shared" si="1"/>
        <v>Not Started</v>
      </c>
      <c r="I26" s="5">
        <f>COUNTIFS(H421:H432,"Critical",I421:I432,"&lt;2")+COUNTIFS(H421:H432,"High",I421:I432,"&lt;2")</f>
        <v>0</v>
      </c>
      <c r="J26" s="5">
        <f>COUNTIF(T421:T432,"In Progress")+COUNTIF(T421:T432,"Not Started")</f>
        <v>0</v>
      </c>
      <c r="K26" s="5">
        <f ca="1">COUNTIFS(P421:P432,"&lt;"&amp;TODAY(),Q421:Q432,"")</f>
        <v>0</v>
      </c>
      <c r="L26" s="3"/>
      <c r="M26" s="3"/>
      <c r="N26" s="3"/>
      <c r="O26" s="3"/>
    </row>
    <row r="27" spans="1:15" ht="28" customHeight="1" x14ac:dyDescent="0.35">
      <c r="A27" s="4" t="s">
        <v>239</v>
      </c>
      <c r="B27" s="7">
        <v>46177</v>
      </c>
      <c r="C27" s="8"/>
      <c r="D27" s="3"/>
      <c r="E27" s="5">
        <f>SUMIF(I438:I449,"&gt;=0",I438:I449)</f>
        <v>0</v>
      </c>
      <c r="F27" s="5">
        <f>COUNT(I438:I449)*2</f>
        <v>0</v>
      </c>
      <c r="G27" s="6" t="str">
        <f t="shared" si="0"/>
        <v/>
      </c>
      <c r="H27" s="5" t="str">
        <f t="shared" si="1"/>
        <v>Not Started</v>
      </c>
      <c r="I27" s="5">
        <f>COUNTIFS(H438:H449,"Critical",I438:I449,"&lt;2")+COUNTIFS(H438:H449,"High",I438:I449,"&lt;2")</f>
        <v>0</v>
      </c>
      <c r="J27" s="5">
        <f>COUNTIF(T438:T449,"In Progress")+COUNTIF(T438:T449,"Not Started")</f>
        <v>0</v>
      </c>
      <c r="K27" s="5">
        <f ca="1">COUNTIFS(P438:P449,"&lt;"&amp;TODAY(),Q438:Q449,"")</f>
        <v>0</v>
      </c>
      <c r="L27" s="3"/>
      <c r="M27" s="3"/>
      <c r="N27" s="3"/>
      <c r="O27" s="3"/>
    </row>
    <row r="28" spans="1:15" ht="28" customHeight="1" x14ac:dyDescent="0.35">
      <c r="A28" s="4" t="s">
        <v>240</v>
      </c>
      <c r="B28" s="7">
        <v>46184</v>
      </c>
      <c r="C28" s="8"/>
      <c r="D28" s="3"/>
      <c r="E28" s="5">
        <f>SUMIF(I455:I466,"&gt;=0",I455:I466)</f>
        <v>0</v>
      </c>
      <c r="F28" s="5">
        <f>COUNT(I455:I466)*2</f>
        <v>0</v>
      </c>
      <c r="G28" s="6" t="str">
        <f t="shared" si="0"/>
        <v/>
      </c>
      <c r="H28" s="5" t="str">
        <f t="shared" si="1"/>
        <v>Not Started</v>
      </c>
      <c r="I28" s="5">
        <f>COUNTIFS(H455:H466,"Critical",I455:I466,"&lt;2")+COUNTIFS(H455:H466,"High",I455:I466,"&lt;2")</f>
        <v>0</v>
      </c>
      <c r="J28" s="5">
        <f>COUNTIF(T455:T466,"In Progress")+COUNTIF(T455:T466,"Not Started")</f>
        <v>0</v>
      </c>
      <c r="K28" s="5">
        <f ca="1">COUNTIFS(P455:P466,"&lt;"&amp;TODAY(),Q455:Q466,"")</f>
        <v>0</v>
      </c>
      <c r="L28" s="3"/>
      <c r="M28" s="3"/>
      <c r="N28" s="3"/>
      <c r="O28" s="3"/>
    </row>
    <row r="29" spans="1:15" ht="28" customHeight="1" x14ac:dyDescent="0.35">
      <c r="A29" s="4" t="s">
        <v>241</v>
      </c>
      <c r="B29" s="7">
        <v>46191</v>
      </c>
      <c r="C29" s="8"/>
      <c r="D29" s="3"/>
      <c r="E29" s="5">
        <f>SUMIF(I472:I483,"&gt;=0",I472:I483)</f>
        <v>0</v>
      </c>
      <c r="F29" s="5">
        <f>COUNT(I472:I483)*2</f>
        <v>0</v>
      </c>
      <c r="G29" s="6" t="str">
        <f t="shared" si="0"/>
        <v/>
      </c>
      <c r="H29" s="5" t="str">
        <f t="shared" si="1"/>
        <v>Not Started</v>
      </c>
      <c r="I29" s="5">
        <f>COUNTIFS(H472:H483,"Critical",I472:I483,"&lt;2")+COUNTIFS(H472:H483,"High",I472:I483,"&lt;2")</f>
        <v>0</v>
      </c>
      <c r="J29" s="5">
        <f>COUNTIF(T472:T483,"In Progress")+COUNTIF(T472:T483,"Not Started")</f>
        <v>0</v>
      </c>
      <c r="K29" s="5">
        <f ca="1">COUNTIFS(P472:P483,"&lt;"&amp;TODAY(),Q472:Q483,"")</f>
        <v>0</v>
      </c>
      <c r="L29" s="3"/>
      <c r="M29" s="3"/>
      <c r="N29" s="3"/>
      <c r="O29" s="3"/>
    </row>
    <row r="30" spans="1:15" ht="28" customHeight="1" x14ac:dyDescent="0.35">
      <c r="A30" s="4" t="s">
        <v>242</v>
      </c>
      <c r="B30" s="7">
        <v>46198</v>
      </c>
      <c r="C30" s="8"/>
      <c r="D30" s="3"/>
      <c r="E30" s="5">
        <f>SUMIF(I489:I500,"&gt;=0",I489:I500)</f>
        <v>0</v>
      </c>
      <c r="F30" s="5">
        <f>COUNT(I489:I500)*2</f>
        <v>0</v>
      </c>
      <c r="G30" s="6" t="str">
        <f t="shared" si="0"/>
        <v/>
      </c>
      <c r="H30" s="5" t="str">
        <f t="shared" si="1"/>
        <v>Not Started</v>
      </c>
      <c r="I30" s="5">
        <f>COUNTIFS(H489:H500,"Critical",I489:I500,"&lt;2")+COUNTIFS(H489:H500,"High",I489:I500,"&lt;2")</f>
        <v>0</v>
      </c>
      <c r="J30" s="5">
        <f>COUNTIF(T489:T500,"In Progress")+COUNTIF(T489:T500,"Not Started")</f>
        <v>0</v>
      </c>
      <c r="K30" s="5">
        <f ca="1">COUNTIFS(P489:P500,"&lt;"&amp;TODAY(),Q489:Q500,"")</f>
        <v>0</v>
      </c>
      <c r="L30" s="3"/>
      <c r="M30" s="3"/>
      <c r="N30" s="3"/>
      <c r="O30" s="3"/>
    </row>
    <row r="31" spans="1:15" ht="28" customHeight="1" x14ac:dyDescent="0.35">
      <c r="A31" s="4" t="s">
        <v>243</v>
      </c>
      <c r="B31" s="7">
        <v>46205</v>
      </c>
      <c r="C31" s="8"/>
      <c r="D31" s="3"/>
      <c r="E31" s="5">
        <f>SUMIF(I506:I517,"&gt;=0",I506:I517)</f>
        <v>0</v>
      </c>
      <c r="F31" s="5">
        <f>COUNT(I506:I517)*2</f>
        <v>0</v>
      </c>
      <c r="G31" s="6" t="str">
        <f t="shared" si="0"/>
        <v/>
      </c>
      <c r="H31" s="5" t="str">
        <f t="shared" si="1"/>
        <v>Not Started</v>
      </c>
      <c r="I31" s="5">
        <f>COUNTIFS(H506:H517,"Critical",I506:I517,"&lt;2")+COUNTIFS(H506:H517,"High",I506:I517,"&lt;2")</f>
        <v>0</v>
      </c>
      <c r="J31" s="5">
        <f>COUNTIF(T506:T517,"In Progress")+COUNTIF(T506:T517,"Not Started")</f>
        <v>0</v>
      </c>
      <c r="K31" s="5">
        <f ca="1">COUNTIFS(P506:P517,"&lt;"&amp;TODAY(),Q506:Q517,"")</f>
        <v>0</v>
      </c>
      <c r="L31" s="3"/>
      <c r="M31" s="3"/>
      <c r="N31" s="3"/>
      <c r="O31" s="3"/>
    </row>
    <row r="32" spans="1:15" ht="28" customHeight="1" x14ac:dyDescent="0.35">
      <c r="A32" s="4" t="s">
        <v>244</v>
      </c>
      <c r="B32" s="7">
        <v>46212</v>
      </c>
      <c r="C32" s="8"/>
      <c r="D32" s="3"/>
      <c r="E32" s="5">
        <f>SUMIF(I523:I534,"&gt;=0",I523:I534)</f>
        <v>0</v>
      </c>
      <c r="F32" s="5">
        <f>COUNT(I523:I534)*2</f>
        <v>0</v>
      </c>
      <c r="G32" s="6" t="str">
        <f t="shared" si="0"/>
        <v/>
      </c>
      <c r="H32" s="5" t="str">
        <f t="shared" si="1"/>
        <v>Not Started</v>
      </c>
      <c r="I32" s="5">
        <f>COUNTIFS(H523:H534,"Critical",I523:I534,"&lt;2")+COUNTIFS(H523:H534,"High",I523:I534,"&lt;2")</f>
        <v>0</v>
      </c>
      <c r="J32" s="5">
        <f>COUNTIF(T523:T534,"In Progress")+COUNTIF(T523:T534,"Not Started")</f>
        <v>0</v>
      </c>
      <c r="K32" s="5">
        <f ca="1">COUNTIFS(P523:P534,"&lt;"&amp;TODAY(),Q523:Q534,"")</f>
        <v>0</v>
      </c>
      <c r="L32" s="3"/>
      <c r="M32" s="3"/>
      <c r="N32" s="3"/>
      <c r="O32" s="3"/>
    </row>
    <row r="33" spans="1:15" ht="28" customHeight="1" x14ac:dyDescent="0.35">
      <c r="A33" s="4" t="s">
        <v>245</v>
      </c>
      <c r="B33" s="7">
        <v>46219</v>
      </c>
      <c r="C33" s="8"/>
      <c r="D33" s="3"/>
      <c r="E33" s="5">
        <f>SUMIF(I540:I551,"&gt;=0",I540:I551)</f>
        <v>0</v>
      </c>
      <c r="F33" s="5">
        <f>COUNT(I540:I551)*2</f>
        <v>0</v>
      </c>
      <c r="G33" s="6" t="str">
        <f t="shared" si="0"/>
        <v/>
      </c>
      <c r="H33" s="5" t="str">
        <f t="shared" si="1"/>
        <v>Not Started</v>
      </c>
      <c r="I33" s="5">
        <f>COUNTIFS(H540:H551,"Critical",I540:I551,"&lt;2")+COUNTIFS(H540:H551,"High",I540:I551,"&lt;2")</f>
        <v>0</v>
      </c>
      <c r="J33" s="5">
        <f>COUNTIF(T540:T551,"In Progress")+COUNTIF(T540:T551,"Not Started")</f>
        <v>0</v>
      </c>
      <c r="K33" s="5">
        <f ca="1">COUNTIFS(P540:P551,"&lt;"&amp;TODAY(),Q540:Q551,"")</f>
        <v>0</v>
      </c>
      <c r="L33" s="3"/>
      <c r="M33" s="3"/>
      <c r="N33" s="3"/>
      <c r="O33" s="3"/>
    </row>
    <row r="34" spans="1:15" ht="28" customHeight="1" x14ac:dyDescent="0.35">
      <c r="A34" s="4" t="s">
        <v>246</v>
      </c>
      <c r="B34" s="7">
        <v>46226</v>
      </c>
      <c r="C34" s="8"/>
      <c r="D34" s="3"/>
      <c r="E34" s="5">
        <f>SUMIF(I557:I568,"&gt;=0",I557:I568)</f>
        <v>0</v>
      </c>
      <c r="F34" s="5">
        <f>COUNT(I557:I568)*2</f>
        <v>0</v>
      </c>
      <c r="G34" s="6" t="str">
        <f t="shared" si="0"/>
        <v/>
      </c>
      <c r="H34" s="5" t="str">
        <f t="shared" si="1"/>
        <v>Not Started</v>
      </c>
      <c r="I34" s="5">
        <f>COUNTIFS(H557:H568,"Critical",I557:I568,"&lt;2")+COUNTIFS(H557:H568,"High",I557:I568,"&lt;2")</f>
        <v>0</v>
      </c>
      <c r="J34" s="5">
        <f>COUNTIF(T557:T568,"In Progress")+COUNTIF(T557:T568,"Not Started")</f>
        <v>0</v>
      </c>
      <c r="K34" s="5">
        <f ca="1">COUNTIFS(P557:P568,"&lt;"&amp;TODAY(),Q557:Q568,"")</f>
        <v>0</v>
      </c>
      <c r="L34" s="3"/>
      <c r="M34" s="3"/>
      <c r="N34" s="3"/>
      <c r="O34" s="3"/>
    </row>
    <row r="35" spans="1:15" ht="28" customHeight="1" x14ac:dyDescent="0.35">
      <c r="A35" s="4" t="s">
        <v>247</v>
      </c>
      <c r="B35" s="7">
        <v>46233</v>
      </c>
      <c r="C35" s="8"/>
      <c r="D35" s="3"/>
      <c r="E35" s="5">
        <f>SUMIF(I574:I585,"&gt;=0",I574:I585)</f>
        <v>0</v>
      </c>
      <c r="F35" s="5">
        <f>COUNT(I574:I585)*2</f>
        <v>0</v>
      </c>
      <c r="G35" s="6" t="str">
        <f t="shared" si="0"/>
        <v/>
      </c>
      <c r="H35" s="5" t="str">
        <f t="shared" si="1"/>
        <v>Not Started</v>
      </c>
      <c r="I35" s="5">
        <f>COUNTIFS(H574:H585,"Critical",I574:I585,"&lt;2")+COUNTIFS(H574:H585,"High",I574:I585,"&lt;2")</f>
        <v>0</v>
      </c>
      <c r="J35" s="5">
        <f>COUNTIF(T574:T585,"In Progress")+COUNTIF(T574:T585,"Not Started")</f>
        <v>0</v>
      </c>
      <c r="K35" s="5">
        <f ca="1">COUNTIFS(P574:P585,"&lt;"&amp;TODAY(),Q574:Q585,"")</f>
        <v>0</v>
      </c>
      <c r="L35" s="3"/>
      <c r="M35" s="3"/>
      <c r="N35" s="3"/>
      <c r="O35" s="3"/>
    </row>
    <row r="36" spans="1:15" ht="28" customHeight="1" x14ac:dyDescent="0.35">
      <c r="A36" s="4" t="s">
        <v>248</v>
      </c>
      <c r="B36" s="7">
        <v>46240</v>
      </c>
      <c r="C36" s="8"/>
      <c r="D36" s="3"/>
      <c r="E36" s="5">
        <f>SUMIF(I591:I602,"&gt;=0",I591:I602)</f>
        <v>0</v>
      </c>
      <c r="F36" s="5">
        <f>COUNT(I591:I602)*2</f>
        <v>0</v>
      </c>
      <c r="G36" s="6" t="str">
        <f t="shared" si="0"/>
        <v/>
      </c>
      <c r="H36" s="5" t="str">
        <f t="shared" si="1"/>
        <v>Not Started</v>
      </c>
      <c r="I36" s="5">
        <f>COUNTIFS(H591:H602,"Critical",I591:I602,"&lt;2")+COUNTIFS(H591:H602,"High",I591:I602,"&lt;2")</f>
        <v>0</v>
      </c>
      <c r="J36" s="5">
        <f>COUNTIF(T591:T602,"In Progress")+COUNTIF(T591:T602,"Not Started")</f>
        <v>0</v>
      </c>
      <c r="K36" s="5">
        <f ca="1">COUNTIFS(P591:P602,"&lt;"&amp;TODAY(),Q591:Q602,"")</f>
        <v>0</v>
      </c>
      <c r="L36" s="3"/>
      <c r="M36" s="3"/>
      <c r="N36" s="3"/>
      <c r="O36" s="3"/>
    </row>
    <row r="37" spans="1:15" ht="28" customHeight="1" x14ac:dyDescent="0.35">
      <c r="A37" s="4" t="s">
        <v>249</v>
      </c>
      <c r="B37" s="7">
        <v>46247</v>
      </c>
      <c r="C37" s="8"/>
      <c r="D37" s="3"/>
      <c r="E37" s="5">
        <f>SUMIF(I608:I619,"&gt;=0",I608:I619)</f>
        <v>0</v>
      </c>
      <c r="F37" s="5">
        <f>COUNT(I608:I619)*2</f>
        <v>0</v>
      </c>
      <c r="G37" s="6" t="str">
        <f t="shared" ref="G37:G68" si="2">IF(F37=0,"",E37/F37)</f>
        <v/>
      </c>
      <c r="H37" s="5" t="str">
        <f t="shared" ref="H37:H68" si="3">IF(G37="","Not Started",IF(G37&gt;=0.9,"Green",IF(G37&gt;=0.75,"Amber","Red")))</f>
        <v>Not Started</v>
      </c>
      <c r="I37" s="5">
        <f>COUNTIFS(H608:H619,"Critical",I608:I619,"&lt;2")+COUNTIFS(H608:H619,"High",I608:I619,"&lt;2")</f>
        <v>0</v>
      </c>
      <c r="J37" s="5">
        <f>COUNTIF(T608:T619,"In Progress")+COUNTIF(T608:T619,"Not Started")</f>
        <v>0</v>
      </c>
      <c r="K37" s="5">
        <f ca="1">COUNTIFS(P608:P619,"&lt;"&amp;TODAY(),Q608:Q619,"")</f>
        <v>0</v>
      </c>
      <c r="L37" s="3"/>
      <c r="M37" s="3"/>
      <c r="N37" s="3"/>
      <c r="O37" s="3"/>
    </row>
    <row r="38" spans="1:15" ht="28" customHeight="1" x14ac:dyDescent="0.35">
      <c r="A38" s="4" t="s">
        <v>250</v>
      </c>
      <c r="B38" s="7">
        <v>46254</v>
      </c>
      <c r="C38" s="8"/>
      <c r="D38" s="3"/>
      <c r="E38" s="5">
        <f>SUMIF(I625:I636,"&gt;=0",I625:I636)</f>
        <v>0</v>
      </c>
      <c r="F38" s="5">
        <f>COUNT(I625:I636)*2</f>
        <v>0</v>
      </c>
      <c r="G38" s="6" t="str">
        <f t="shared" si="2"/>
        <v/>
      </c>
      <c r="H38" s="5" t="str">
        <f t="shared" si="3"/>
        <v>Not Started</v>
      </c>
      <c r="I38" s="5">
        <f>COUNTIFS(H625:H636,"Critical",I625:I636,"&lt;2")+COUNTIFS(H625:H636,"High",I625:I636,"&lt;2")</f>
        <v>0</v>
      </c>
      <c r="J38" s="5">
        <f>COUNTIF(T625:T636,"In Progress")+COUNTIF(T625:T636,"Not Started")</f>
        <v>0</v>
      </c>
      <c r="K38" s="5">
        <f ca="1">COUNTIFS(P625:P636,"&lt;"&amp;TODAY(),Q625:Q636,"")</f>
        <v>0</v>
      </c>
      <c r="L38" s="3"/>
      <c r="M38" s="3"/>
      <c r="N38" s="3"/>
      <c r="O38" s="3"/>
    </row>
    <row r="39" spans="1:15" ht="28" customHeight="1" x14ac:dyDescent="0.35">
      <c r="A39" s="4" t="s">
        <v>251</v>
      </c>
      <c r="B39" s="7">
        <v>46261</v>
      </c>
      <c r="C39" s="8"/>
      <c r="D39" s="3"/>
      <c r="E39" s="5">
        <f>SUMIF(I642:I653,"&gt;=0",I642:I653)</f>
        <v>0</v>
      </c>
      <c r="F39" s="5">
        <f>COUNT(I642:I653)*2</f>
        <v>0</v>
      </c>
      <c r="G39" s="6" t="str">
        <f t="shared" si="2"/>
        <v/>
      </c>
      <c r="H39" s="5" t="str">
        <f t="shared" si="3"/>
        <v>Not Started</v>
      </c>
      <c r="I39" s="5">
        <f>COUNTIFS(H642:H653,"Critical",I642:I653,"&lt;2")+COUNTIFS(H642:H653,"High",I642:I653,"&lt;2")</f>
        <v>0</v>
      </c>
      <c r="J39" s="5">
        <f>COUNTIF(T642:T653,"In Progress")+COUNTIF(T642:T653,"Not Started")</f>
        <v>0</v>
      </c>
      <c r="K39" s="5">
        <f ca="1">COUNTIFS(P642:P653,"&lt;"&amp;TODAY(),Q642:Q653,"")</f>
        <v>0</v>
      </c>
      <c r="L39" s="3"/>
      <c r="M39" s="3"/>
      <c r="N39" s="3"/>
      <c r="O39" s="3"/>
    </row>
    <row r="40" spans="1:15" ht="28" customHeight="1" x14ac:dyDescent="0.35">
      <c r="A40" s="4" t="s">
        <v>252</v>
      </c>
      <c r="B40" s="7">
        <v>46268</v>
      </c>
      <c r="C40" s="8"/>
      <c r="D40" s="3"/>
      <c r="E40" s="5">
        <f>SUMIF(I659:I670,"&gt;=0",I659:I670)</f>
        <v>0</v>
      </c>
      <c r="F40" s="5">
        <f>COUNT(I659:I670)*2</f>
        <v>0</v>
      </c>
      <c r="G40" s="6" t="str">
        <f t="shared" si="2"/>
        <v/>
      </c>
      <c r="H40" s="5" t="str">
        <f t="shared" si="3"/>
        <v>Not Started</v>
      </c>
      <c r="I40" s="5">
        <f>COUNTIFS(H659:H670,"Critical",I659:I670,"&lt;2")+COUNTIFS(H659:H670,"High",I659:I670,"&lt;2")</f>
        <v>0</v>
      </c>
      <c r="J40" s="5">
        <f>COUNTIF(T659:T670,"In Progress")+COUNTIF(T659:T670,"Not Started")</f>
        <v>0</v>
      </c>
      <c r="K40" s="5">
        <f ca="1">COUNTIFS(P659:P670,"&lt;"&amp;TODAY(),Q659:Q670,"")</f>
        <v>0</v>
      </c>
      <c r="L40" s="3"/>
      <c r="M40" s="3"/>
      <c r="N40" s="3"/>
      <c r="O40" s="3"/>
    </row>
    <row r="41" spans="1:15" ht="28" customHeight="1" x14ac:dyDescent="0.35">
      <c r="A41" s="4" t="s">
        <v>253</v>
      </c>
      <c r="B41" s="7">
        <v>46275</v>
      </c>
      <c r="C41" s="8"/>
      <c r="D41" s="3"/>
      <c r="E41" s="5">
        <f>SUMIF(I676:I687,"&gt;=0",I676:I687)</f>
        <v>0</v>
      </c>
      <c r="F41" s="5">
        <f>COUNT(I676:I687)*2</f>
        <v>0</v>
      </c>
      <c r="G41" s="6" t="str">
        <f t="shared" si="2"/>
        <v/>
      </c>
      <c r="H41" s="5" t="str">
        <f t="shared" si="3"/>
        <v>Not Started</v>
      </c>
      <c r="I41" s="5">
        <f>COUNTIFS(H676:H687,"Critical",I676:I687,"&lt;2")+COUNTIFS(H676:H687,"High",I676:I687,"&lt;2")</f>
        <v>0</v>
      </c>
      <c r="J41" s="5">
        <f>COUNTIF(T676:T687,"In Progress")+COUNTIF(T676:T687,"Not Started")</f>
        <v>0</v>
      </c>
      <c r="K41" s="5">
        <f ca="1">COUNTIFS(P676:P687,"&lt;"&amp;TODAY(),Q676:Q687,"")</f>
        <v>0</v>
      </c>
      <c r="L41" s="3"/>
      <c r="M41" s="3"/>
      <c r="N41" s="3"/>
      <c r="O41" s="3"/>
    </row>
    <row r="42" spans="1:15" ht="28" customHeight="1" x14ac:dyDescent="0.35">
      <c r="A42" s="4" t="s">
        <v>254</v>
      </c>
      <c r="B42" s="7">
        <v>46282</v>
      </c>
      <c r="C42" s="8"/>
      <c r="D42" s="3"/>
      <c r="E42" s="5">
        <f>SUMIF(I693:I704,"&gt;=0",I693:I704)</f>
        <v>0</v>
      </c>
      <c r="F42" s="5">
        <f>COUNT(I693:I704)*2</f>
        <v>0</v>
      </c>
      <c r="G42" s="6" t="str">
        <f t="shared" si="2"/>
        <v/>
      </c>
      <c r="H42" s="5" t="str">
        <f t="shared" si="3"/>
        <v>Not Started</v>
      </c>
      <c r="I42" s="5">
        <f>COUNTIFS(H693:H704,"Critical",I693:I704,"&lt;2")+COUNTIFS(H693:H704,"High",I693:I704,"&lt;2")</f>
        <v>0</v>
      </c>
      <c r="J42" s="5">
        <f>COUNTIF(T693:T704,"In Progress")+COUNTIF(T693:T704,"Not Started")</f>
        <v>0</v>
      </c>
      <c r="K42" s="5">
        <f ca="1">COUNTIFS(P693:P704,"&lt;"&amp;TODAY(),Q693:Q704,"")</f>
        <v>0</v>
      </c>
      <c r="L42" s="3"/>
      <c r="M42" s="3"/>
      <c r="N42" s="3"/>
      <c r="O42" s="3"/>
    </row>
    <row r="43" spans="1:15" ht="28" customHeight="1" x14ac:dyDescent="0.35">
      <c r="A43" s="4" t="s">
        <v>255</v>
      </c>
      <c r="B43" s="7">
        <v>46289</v>
      </c>
      <c r="C43" s="8"/>
      <c r="D43" s="3"/>
      <c r="E43" s="5">
        <f>SUMIF(I710:I721,"&gt;=0",I710:I721)</f>
        <v>0</v>
      </c>
      <c r="F43" s="5">
        <f>COUNT(I710:I721)*2</f>
        <v>0</v>
      </c>
      <c r="G43" s="6" t="str">
        <f t="shared" si="2"/>
        <v/>
      </c>
      <c r="H43" s="5" t="str">
        <f t="shared" si="3"/>
        <v>Not Started</v>
      </c>
      <c r="I43" s="5">
        <f>COUNTIFS(H710:H721,"Critical",I710:I721,"&lt;2")+COUNTIFS(H710:H721,"High",I710:I721,"&lt;2")</f>
        <v>0</v>
      </c>
      <c r="J43" s="5">
        <f>COUNTIF(T710:T721,"In Progress")+COUNTIF(T710:T721,"Not Started")</f>
        <v>0</v>
      </c>
      <c r="K43" s="5">
        <f ca="1">COUNTIFS(P710:P721,"&lt;"&amp;TODAY(),Q710:Q721,"")</f>
        <v>0</v>
      </c>
      <c r="L43" s="3"/>
      <c r="M43" s="3"/>
      <c r="N43" s="3"/>
      <c r="O43" s="3"/>
    </row>
    <row r="44" spans="1:15" ht="28" customHeight="1" x14ac:dyDescent="0.35">
      <c r="A44" s="4" t="s">
        <v>256</v>
      </c>
      <c r="B44" s="7">
        <v>46296</v>
      </c>
      <c r="C44" s="8"/>
      <c r="D44" s="3"/>
      <c r="E44" s="5">
        <f>SUMIF(I727:I738,"&gt;=0",I727:I738)</f>
        <v>0</v>
      </c>
      <c r="F44" s="5">
        <f>COUNT(I727:I738)*2</f>
        <v>0</v>
      </c>
      <c r="G44" s="6" t="str">
        <f t="shared" si="2"/>
        <v/>
      </c>
      <c r="H44" s="5" t="str">
        <f t="shared" si="3"/>
        <v>Not Started</v>
      </c>
      <c r="I44" s="5">
        <f>COUNTIFS(H727:H738,"Critical",I727:I738,"&lt;2")+COUNTIFS(H727:H738,"High",I727:I738,"&lt;2")</f>
        <v>0</v>
      </c>
      <c r="J44" s="5">
        <f>COUNTIF(T727:T738,"In Progress")+COUNTIF(T727:T738,"Not Started")</f>
        <v>0</v>
      </c>
      <c r="K44" s="5">
        <f ca="1">COUNTIFS(P727:P738,"&lt;"&amp;TODAY(),Q727:Q738,"")</f>
        <v>0</v>
      </c>
      <c r="L44" s="3"/>
      <c r="M44" s="3"/>
      <c r="N44" s="3"/>
      <c r="O44" s="3"/>
    </row>
    <row r="45" spans="1:15" ht="28" customHeight="1" x14ac:dyDescent="0.35">
      <c r="A45" s="4" t="s">
        <v>257</v>
      </c>
      <c r="B45" s="7">
        <v>46303</v>
      </c>
      <c r="C45" s="8"/>
      <c r="D45" s="3"/>
      <c r="E45" s="5">
        <f>SUMIF(I744:I755,"&gt;=0",I744:I755)</f>
        <v>0</v>
      </c>
      <c r="F45" s="5">
        <f>COUNT(I744:I755)*2</f>
        <v>0</v>
      </c>
      <c r="G45" s="6" t="str">
        <f t="shared" si="2"/>
        <v/>
      </c>
      <c r="H45" s="5" t="str">
        <f t="shared" si="3"/>
        <v>Not Started</v>
      </c>
      <c r="I45" s="5">
        <f>COUNTIFS(H744:H755,"Critical",I744:I755,"&lt;2")+COUNTIFS(H744:H755,"High",I744:I755,"&lt;2")</f>
        <v>0</v>
      </c>
      <c r="J45" s="5">
        <f>COUNTIF(T744:T755,"In Progress")+COUNTIF(T744:T755,"Not Started")</f>
        <v>0</v>
      </c>
      <c r="K45" s="5">
        <f ca="1">COUNTIFS(P744:P755,"&lt;"&amp;TODAY(),Q744:Q755,"")</f>
        <v>0</v>
      </c>
      <c r="L45" s="3"/>
      <c r="M45" s="3"/>
      <c r="N45" s="3"/>
      <c r="O45" s="3"/>
    </row>
    <row r="46" spans="1:15" ht="28" customHeight="1" x14ac:dyDescent="0.35">
      <c r="A46" s="4" t="s">
        <v>258</v>
      </c>
      <c r="B46" s="7">
        <v>46310</v>
      </c>
      <c r="C46" s="8"/>
      <c r="D46" s="3"/>
      <c r="E46" s="5">
        <f>SUMIF(I761:I772,"&gt;=0",I761:I772)</f>
        <v>0</v>
      </c>
      <c r="F46" s="5">
        <f>COUNT(I761:I772)*2</f>
        <v>0</v>
      </c>
      <c r="G46" s="6" t="str">
        <f t="shared" si="2"/>
        <v/>
      </c>
      <c r="H46" s="5" t="str">
        <f t="shared" si="3"/>
        <v>Not Started</v>
      </c>
      <c r="I46" s="5">
        <f>COUNTIFS(H761:H772,"Critical",I761:I772,"&lt;2")+COUNTIFS(H761:H772,"High",I761:I772,"&lt;2")</f>
        <v>0</v>
      </c>
      <c r="J46" s="5">
        <f>COUNTIF(T761:T772,"In Progress")+COUNTIF(T761:T772,"Not Started")</f>
        <v>0</v>
      </c>
      <c r="K46" s="5">
        <f ca="1">COUNTIFS(P761:P772,"&lt;"&amp;TODAY(),Q761:Q772,"")</f>
        <v>0</v>
      </c>
      <c r="L46" s="3"/>
      <c r="M46" s="3"/>
      <c r="N46" s="3"/>
      <c r="O46" s="3"/>
    </row>
    <row r="47" spans="1:15" ht="28" customHeight="1" x14ac:dyDescent="0.35">
      <c r="A47" s="4" t="s">
        <v>259</v>
      </c>
      <c r="B47" s="7">
        <v>46317</v>
      </c>
      <c r="C47" s="8"/>
      <c r="D47" s="3"/>
      <c r="E47" s="5">
        <f>SUMIF(I778:I789,"&gt;=0",I778:I789)</f>
        <v>0</v>
      </c>
      <c r="F47" s="5">
        <f>COUNT(I778:I789)*2</f>
        <v>0</v>
      </c>
      <c r="G47" s="6" t="str">
        <f t="shared" si="2"/>
        <v/>
      </c>
      <c r="H47" s="5" t="str">
        <f t="shared" si="3"/>
        <v>Not Started</v>
      </c>
      <c r="I47" s="5">
        <f>COUNTIFS(H778:H789,"Critical",I778:I789,"&lt;2")+COUNTIFS(H778:H789,"High",I778:I789,"&lt;2")</f>
        <v>0</v>
      </c>
      <c r="J47" s="5">
        <f>COUNTIF(T778:T789,"In Progress")+COUNTIF(T778:T789,"Not Started")</f>
        <v>0</v>
      </c>
      <c r="K47" s="5">
        <f ca="1">COUNTIFS(P778:P789,"&lt;"&amp;TODAY(),Q778:Q789,"")</f>
        <v>0</v>
      </c>
      <c r="L47" s="3"/>
      <c r="M47" s="3"/>
      <c r="N47" s="3"/>
      <c r="O47" s="3"/>
    </row>
    <row r="48" spans="1:15" ht="28" customHeight="1" x14ac:dyDescent="0.35">
      <c r="A48" s="4" t="s">
        <v>260</v>
      </c>
      <c r="B48" s="7">
        <v>46324</v>
      </c>
      <c r="C48" s="8"/>
      <c r="D48" s="3"/>
      <c r="E48" s="5">
        <f>SUMIF(I795:I806,"&gt;=0",I795:I806)</f>
        <v>0</v>
      </c>
      <c r="F48" s="5">
        <f>COUNT(I795:I806)*2</f>
        <v>0</v>
      </c>
      <c r="G48" s="6" t="str">
        <f t="shared" si="2"/>
        <v/>
      </c>
      <c r="H48" s="5" t="str">
        <f t="shared" si="3"/>
        <v>Not Started</v>
      </c>
      <c r="I48" s="5">
        <f>COUNTIFS(H795:H806,"Critical",I795:I806,"&lt;2")+COUNTIFS(H795:H806,"High",I795:I806,"&lt;2")</f>
        <v>0</v>
      </c>
      <c r="J48" s="5">
        <f>COUNTIF(T795:T806,"In Progress")+COUNTIF(T795:T806,"Not Started")</f>
        <v>0</v>
      </c>
      <c r="K48" s="5">
        <f ca="1">COUNTIFS(P795:P806,"&lt;"&amp;TODAY(),Q795:Q806,"")</f>
        <v>0</v>
      </c>
      <c r="L48" s="3"/>
      <c r="M48" s="3"/>
      <c r="N48" s="3"/>
      <c r="O48" s="3"/>
    </row>
    <row r="49" spans="1:21" ht="28" customHeight="1" x14ac:dyDescent="0.35">
      <c r="A49" s="4" t="s">
        <v>261</v>
      </c>
      <c r="B49" s="7">
        <v>46331</v>
      </c>
      <c r="C49" s="8"/>
      <c r="D49" s="3"/>
      <c r="E49" s="5">
        <f>SUMIF(I812:I823,"&gt;=0",I812:I823)</f>
        <v>0</v>
      </c>
      <c r="F49" s="5">
        <f>COUNT(I812:I823)*2</f>
        <v>0</v>
      </c>
      <c r="G49" s="6" t="str">
        <f t="shared" si="2"/>
        <v/>
      </c>
      <c r="H49" s="5" t="str">
        <f t="shared" si="3"/>
        <v>Not Started</v>
      </c>
      <c r="I49" s="5">
        <f>COUNTIFS(H812:H823,"Critical",I812:I823,"&lt;2")+COUNTIFS(H812:H823,"High",I812:I823,"&lt;2")</f>
        <v>0</v>
      </c>
      <c r="J49" s="5">
        <f>COUNTIF(T812:T823,"In Progress")+COUNTIF(T812:T823,"Not Started")</f>
        <v>0</v>
      </c>
      <c r="K49" s="5">
        <f ca="1">COUNTIFS(P812:P823,"&lt;"&amp;TODAY(),Q812:Q823,"")</f>
        <v>0</v>
      </c>
      <c r="L49" s="3"/>
      <c r="M49" s="3"/>
      <c r="N49" s="3"/>
      <c r="O49" s="3"/>
    </row>
    <row r="50" spans="1:21" ht="28" customHeight="1" x14ac:dyDescent="0.35">
      <c r="A50" s="4" t="s">
        <v>262</v>
      </c>
      <c r="B50" s="7">
        <v>46338</v>
      </c>
      <c r="C50" s="8"/>
      <c r="D50" s="3"/>
      <c r="E50" s="5">
        <f>SUMIF(I829:I840,"&gt;=0",I829:I840)</f>
        <v>0</v>
      </c>
      <c r="F50" s="5">
        <f>COUNT(I829:I840)*2</f>
        <v>0</v>
      </c>
      <c r="G50" s="6" t="str">
        <f t="shared" si="2"/>
        <v/>
      </c>
      <c r="H50" s="5" t="str">
        <f t="shared" si="3"/>
        <v>Not Started</v>
      </c>
      <c r="I50" s="5">
        <f>COUNTIFS(H829:H840,"Critical",I829:I840,"&lt;2")+COUNTIFS(H829:H840,"High",I829:I840,"&lt;2")</f>
        <v>0</v>
      </c>
      <c r="J50" s="5">
        <f>COUNTIF(T829:T840,"In Progress")+COUNTIF(T829:T840,"Not Started")</f>
        <v>0</v>
      </c>
      <c r="K50" s="5">
        <f ca="1">COUNTIFS(P829:P840,"&lt;"&amp;TODAY(),Q829:Q840,"")</f>
        <v>0</v>
      </c>
      <c r="L50" s="3"/>
      <c r="M50" s="3"/>
      <c r="N50" s="3"/>
      <c r="O50" s="3"/>
    </row>
    <row r="51" spans="1:21" ht="28" customHeight="1" x14ac:dyDescent="0.35">
      <c r="A51" s="4" t="s">
        <v>263</v>
      </c>
      <c r="B51" s="7">
        <v>46345</v>
      </c>
      <c r="C51" s="8"/>
      <c r="D51" s="3"/>
      <c r="E51" s="5">
        <f>SUMIF(I846:I857,"&gt;=0",I846:I857)</f>
        <v>0</v>
      </c>
      <c r="F51" s="5">
        <f>COUNT(I846:I857)*2</f>
        <v>0</v>
      </c>
      <c r="G51" s="6" t="str">
        <f t="shared" si="2"/>
        <v/>
      </c>
      <c r="H51" s="5" t="str">
        <f t="shared" si="3"/>
        <v>Not Started</v>
      </c>
      <c r="I51" s="5">
        <f>COUNTIFS(H846:H857,"Critical",I846:I857,"&lt;2")+COUNTIFS(H846:H857,"High",I846:I857,"&lt;2")</f>
        <v>0</v>
      </c>
      <c r="J51" s="5">
        <f>COUNTIF(T846:T857,"In Progress")+COUNTIF(T846:T857,"Not Started")</f>
        <v>0</v>
      </c>
      <c r="K51" s="5">
        <f ca="1">COUNTIFS(P846:P857,"&lt;"&amp;TODAY(),Q846:Q857,"")</f>
        <v>0</v>
      </c>
      <c r="L51" s="3"/>
      <c r="M51" s="3"/>
      <c r="N51" s="3"/>
      <c r="O51" s="3"/>
    </row>
    <row r="52" spans="1:21" ht="28" customHeight="1" x14ac:dyDescent="0.35">
      <c r="A52" s="4" t="s">
        <v>264</v>
      </c>
      <c r="B52" s="7">
        <v>46352</v>
      </c>
      <c r="C52" s="8"/>
      <c r="D52" s="3"/>
      <c r="E52" s="5">
        <f>SUMIF(I863:I874,"&gt;=0",I863:I874)</f>
        <v>0</v>
      </c>
      <c r="F52" s="5">
        <f>COUNT(I863:I874)*2</f>
        <v>0</v>
      </c>
      <c r="G52" s="6" t="str">
        <f t="shared" si="2"/>
        <v/>
      </c>
      <c r="H52" s="5" t="str">
        <f t="shared" si="3"/>
        <v>Not Started</v>
      </c>
      <c r="I52" s="5">
        <f>COUNTIFS(H863:H874,"Critical",I863:I874,"&lt;2")+COUNTIFS(H863:H874,"High",I863:I874,"&lt;2")</f>
        <v>0</v>
      </c>
      <c r="J52" s="5">
        <f>COUNTIF(T863:T874,"In Progress")+COUNTIF(T863:T874,"Not Started")</f>
        <v>0</v>
      </c>
      <c r="K52" s="5">
        <f ca="1">COUNTIFS(P863:P874,"&lt;"&amp;TODAY(),Q863:Q874,"")</f>
        <v>0</v>
      </c>
      <c r="L52" s="3"/>
      <c r="M52" s="3"/>
      <c r="N52" s="3"/>
      <c r="O52" s="3"/>
    </row>
    <row r="53" spans="1:21" ht="28" customHeight="1" x14ac:dyDescent="0.35">
      <c r="A53" s="4" t="s">
        <v>265</v>
      </c>
      <c r="B53" s="7">
        <v>46359</v>
      </c>
      <c r="C53" s="8"/>
      <c r="D53" s="3"/>
      <c r="E53" s="5">
        <f>SUMIF(I880:I891,"&gt;=0",I880:I891)</f>
        <v>0</v>
      </c>
      <c r="F53" s="5">
        <f>COUNT(I880:I891)*2</f>
        <v>0</v>
      </c>
      <c r="G53" s="6" t="str">
        <f t="shared" si="2"/>
        <v/>
      </c>
      <c r="H53" s="5" t="str">
        <f t="shared" si="3"/>
        <v>Not Started</v>
      </c>
      <c r="I53" s="5">
        <f>COUNTIFS(H880:H891,"Critical",I880:I891,"&lt;2")+COUNTIFS(H880:H891,"High",I880:I891,"&lt;2")</f>
        <v>0</v>
      </c>
      <c r="J53" s="5">
        <f>COUNTIF(T880:T891,"In Progress")+COUNTIF(T880:T891,"Not Started")</f>
        <v>0</v>
      </c>
      <c r="K53" s="5">
        <f ca="1">COUNTIFS(P880:P891,"&lt;"&amp;TODAY(),Q880:Q891,"")</f>
        <v>0</v>
      </c>
      <c r="L53" s="3"/>
      <c r="M53" s="3"/>
      <c r="N53" s="3"/>
      <c r="O53" s="3"/>
    </row>
    <row r="54" spans="1:21" ht="28" customHeight="1" x14ac:dyDescent="0.35">
      <c r="A54" s="4" t="s">
        <v>266</v>
      </c>
      <c r="B54" s="7">
        <v>46366</v>
      </c>
      <c r="C54" s="8"/>
      <c r="D54" s="3"/>
      <c r="E54" s="5">
        <f>SUMIF(I897:I908,"&gt;=0",I897:I908)</f>
        <v>0</v>
      </c>
      <c r="F54" s="5">
        <f>COUNT(I897:I908)*2</f>
        <v>0</v>
      </c>
      <c r="G54" s="6" t="str">
        <f t="shared" si="2"/>
        <v/>
      </c>
      <c r="H54" s="5" t="str">
        <f t="shared" si="3"/>
        <v>Not Started</v>
      </c>
      <c r="I54" s="5">
        <f>COUNTIFS(H897:H908,"Critical",I897:I908,"&lt;2")+COUNTIFS(H897:H908,"High",I897:I908,"&lt;2")</f>
        <v>0</v>
      </c>
      <c r="J54" s="5">
        <f>COUNTIF(T897:T908,"In Progress")+COUNTIF(T897:T908,"Not Started")</f>
        <v>0</v>
      </c>
      <c r="K54" s="5">
        <f ca="1">COUNTIFS(P897:P908,"&lt;"&amp;TODAY(),Q897:Q908,"")</f>
        <v>0</v>
      </c>
      <c r="L54" s="3"/>
      <c r="M54" s="3"/>
      <c r="N54" s="3"/>
      <c r="O54" s="3"/>
    </row>
    <row r="55" spans="1:21" ht="28" customHeight="1" x14ac:dyDescent="0.35">
      <c r="A55" s="4" t="s">
        <v>267</v>
      </c>
      <c r="B55" s="7">
        <v>46373</v>
      </c>
      <c r="C55" s="8"/>
      <c r="D55" s="3"/>
      <c r="E55" s="5">
        <f>SUMIF(I914:I925,"&gt;=0",I914:I925)</f>
        <v>0</v>
      </c>
      <c r="F55" s="5">
        <f>COUNT(I914:I925)*2</f>
        <v>0</v>
      </c>
      <c r="G55" s="6" t="str">
        <f t="shared" si="2"/>
        <v/>
      </c>
      <c r="H55" s="5" t="str">
        <f t="shared" si="3"/>
        <v>Not Started</v>
      </c>
      <c r="I55" s="5">
        <f>COUNTIFS(H914:H925,"Critical",I914:I925,"&lt;2")+COUNTIFS(H914:H925,"High",I914:I925,"&lt;2")</f>
        <v>0</v>
      </c>
      <c r="J55" s="5">
        <f>COUNTIF(T914:T925,"In Progress")+COUNTIF(T914:T925,"Not Started")</f>
        <v>0</v>
      </c>
      <c r="K55" s="5">
        <f ca="1">COUNTIFS(P914:P925,"&lt;"&amp;TODAY(),Q914:Q925,"")</f>
        <v>0</v>
      </c>
      <c r="L55" s="3"/>
      <c r="M55" s="3"/>
      <c r="N55" s="3"/>
      <c r="O55" s="3"/>
    </row>
    <row r="56" spans="1:21" ht="28" customHeight="1" x14ac:dyDescent="0.35">
      <c r="A56" s="4" t="s">
        <v>268</v>
      </c>
      <c r="B56" s="7">
        <v>46380</v>
      </c>
      <c r="C56" s="8"/>
      <c r="D56" s="3"/>
      <c r="E56" s="5">
        <f>SUMIF(I931:I942,"&gt;=0",I931:I942)</f>
        <v>0</v>
      </c>
      <c r="F56" s="5">
        <f>COUNT(I931:I942)*2</f>
        <v>0</v>
      </c>
      <c r="G56" s="6" t="str">
        <f t="shared" si="2"/>
        <v/>
      </c>
      <c r="H56" s="5" t="str">
        <f t="shared" si="3"/>
        <v>Not Started</v>
      </c>
      <c r="I56" s="5">
        <f>COUNTIFS(H931:H942,"Critical",I931:I942,"&lt;2")+COUNTIFS(H931:H942,"High",I931:I942,"&lt;2")</f>
        <v>0</v>
      </c>
      <c r="J56" s="5">
        <f>COUNTIF(T931:T942,"In Progress")+COUNTIF(T931:T942,"Not Started")</f>
        <v>0</v>
      </c>
      <c r="K56" s="5">
        <f ca="1">COUNTIFS(P931:P942,"&lt;"&amp;TODAY(),Q931:Q942,"")</f>
        <v>0</v>
      </c>
      <c r="L56" s="3"/>
      <c r="M56" s="3"/>
      <c r="N56" s="3"/>
      <c r="O56" s="3"/>
    </row>
    <row r="61" spans="1:21" ht="28" customHeight="1" x14ac:dyDescent="0.35">
      <c r="A61" s="19" t="s">
        <v>438</v>
      </c>
      <c r="B61" s="20"/>
      <c r="C61" s="20"/>
      <c r="D61" s="20"/>
      <c r="E61" s="20"/>
      <c r="F61" s="20"/>
      <c r="G61" s="20"/>
      <c r="H61" s="20"/>
      <c r="I61" s="20"/>
      <c r="J61" s="20"/>
      <c r="K61" s="20"/>
      <c r="L61" s="20"/>
      <c r="M61" s="20"/>
      <c r="N61" s="20"/>
      <c r="O61" s="20"/>
      <c r="P61" s="20"/>
      <c r="Q61" s="20"/>
      <c r="R61" s="20"/>
      <c r="S61" s="20"/>
      <c r="T61" s="20"/>
      <c r="U61" s="21"/>
    </row>
    <row r="62" spans="1:21" ht="28" customHeight="1" x14ac:dyDescent="0.35">
      <c r="A62" s="4" t="s">
        <v>31</v>
      </c>
      <c r="B62" s="3" t="s">
        <v>217</v>
      </c>
      <c r="C62" s="4" t="s">
        <v>32</v>
      </c>
      <c r="D62" s="3"/>
      <c r="E62" s="4" t="s">
        <v>33</v>
      </c>
      <c r="F62" s="8"/>
    </row>
    <row r="63" spans="1:21" ht="28" customHeight="1" x14ac:dyDescent="0.35">
      <c r="A63" s="1" t="s">
        <v>34</v>
      </c>
      <c r="B63" s="1" t="s">
        <v>35</v>
      </c>
      <c r="C63" s="1" t="s">
        <v>36</v>
      </c>
      <c r="D63" s="1" t="s">
        <v>37</v>
      </c>
      <c r="E63" s="1" t="s">
        <v>38</v>
      </c>
      <c r="F63" s="1" t="s">
        <v>39</v>
      </c>
      <c r="G63" s="1" t="s">
        <v>40</v>
      </c>
      <c r="H63" s="1" t="s">
        <v>41</v>
      </c>
      <c r="I63" s="1" t="s">
        <v>42</v>
      </c>
      <c r="J63" s="1" t="s">
        <v>43</v>
      </c>
      <c r="K63" s="1" t="s">
        <v>44</v>
      </c>
      <c r="L63" s="1" t="s">
        <v>45</v>
      </c>
      <c r="M63" s="1" t="s">
        <v>46</v>
      </c>
      <c r="N63" s="1" t="s">
        <v>47</v>
      </c>
      <c r="O63" s="1" t="s">
        <v>48</v>
      </c>
      <c r="P63" s="1" t="s">
        <v>4</v>
      </c>
      <c r="Q63" s="1" t="s">
        <v>49</v>
      </c>
      <c r="R63" s="1" t="s">
        <v>50</v>
      </c>
      <c r="S63" s="1" t="s">
        <v>51</v>
      </c>
      <c r="T63" s="1" t="s">
        <v>52</v>
      </c>
      <c r="U63" s="1" t="s">
        <v>10</v>
      </c>
    </row>
    <row r="64" spans="1:21" ht="28" customHeight="1" x14ac:dyDescent="0.35">
      <c r="A64" s="4">
        <v>1</v>
      </c>
      <c r="B64" s="4" t="s">
        <v>439</v>
      </c>
      <c r="C64" s="4" t="s">
        <v>440</v>
      </c>
      <c r="D64" s="4" t="s">
        <v>441</v>
      </c>
      <c r="E64" s="4" t="s">
        <v>69</v>
      </c>
      <c r="F64" s="4" t="s">
        <v>370</v>
      </c>
      <c r="G64" s="4" t="s">
        <v>204</v>
      </c>
      <c r="H64" s="4" t="s">
        <v>59</v>
      </c>
      <c r="I64" s="3"/>
      <c r="J64" s="3"/>
      <c r="K64" s="3"/>
      <c r="L64" s="3"/>
      <c r="M64" s="3"/>
      <c r="N64" s="3"/>
      <c r="O64" s="3"/>
      <c r="P64" s="8"/>
      <c r="Q64" s="8"/>
      <c r="R64" s="3"/>
      <c r="S64" s="3"/>
      <c r="T64" s="3"/>
      <c r="U64" s="5" t="str">
        <f t="shared" ref="U64:U75" si="4">IF(I64="","",IF(I64="NA","Grey",IF(I64=2,"Green",IF(I64=1,"Amber","Red"))))</f>
        <v/>
      </c>
    </row>
    <row r="65" spans="1:21" ht="28" customHeight="1" x14ac:dyDescent="0.35">
      <c r="A65" s="4">
        <v>2</v>
      </c>
      <c r="B65" s="4" t="s">
        <v>442</v>
      </c>
      <c r="C65" s="4" t="s">
        <v>443</v>
      </c>
      <c r="D65" s="4" t="s">
        <v>444</v>
      </c>
      <c r="E65" s="4" t="s">
        <v>69</v>
      </c>
      <c r="F65" s="4" t="s">
        <v>95</v>
      </c>
      <c r="G65" s="4" t="s">
        <v>102</v>
      </c>
      <c r="H65" s="4" t="s">
        <v>59</v>
      </c>
      <c r="I65" s="3"/>
      <c r="J65" s="3"/>
      <c r="K65" s="3"/>
      <c r="L65" s="3"/>
      <c r="M65" s="3"/>
      <c r="N65" s="3"/>
      <c r="O65" s="3"/>
      <c r="P65" s="8"/>
      <c r="Q65" s="8"/>
      <c r="R65" s="3"/>
      <c r="S65" s="3"/>
      <c r="T65" s="3"/>
      <c r="U65" s="5" t="str">
        <f t="shared" si="4"/>
        <v/>
      </c>
    </row>
    <row r="66" spans="1:21" ht="28" customHeight="1" x14ac:dyDescent="0.35">
      <c r="A66" s="4">
        <v>3</v>
      </c>
      <c r="B66" s="4" t="s">
        <v>445</v>
      </c>
      <c r="C66" s="4" t="s">
        <v>446</v>
      </c>
      <c r="D66" s="4" t="s">
        <v>369</v>
      </c>
      <c r="E66" s="4" t="s">
        <v>69</v>
      </c>
      <c r="F66" s="4" t="s">
        <v>370</v>
      </c>
      <c r="G66" s="4" t="s">
        <v>204</v>
      </c>
      <c r="H66" s="4" t="s">
        <v>76</v>
      </c>
      <c r="I66" s="3"/>
      <c r="J66" s="3"/>
      <c r="K66" s="3"/>
      <c r="L66" s="3"/>
      <c r="M66" s="3"/>
      <c r="N66" s="3"/>
      <c r="O66" s="3"/>
      <c r="P66" s="8"/>
      <c r="Q66" s="8"/>
      <c r="R66" s="3"/>
      <c r="S66" s="3"/>
      <c r="T66" s="3"/>
      <c r="U66" s="5" t="str">
        <f t="shared" si="4"/>
        <v/>
      </c>
    </row>
    <row r="67" spans="1:21" ht="28" customHeight="1" x14ac:dyDescent="0.35">
      <c r="A67" s="4">
        <v>4</v>
      </c>
      <c r="B67" s="4" t="s">
        <v>447</v>
      </c>
      <c r="C67" s="4" t="s">
        <v>448</v>
      </c>
      <c r="D67" s="4" t="s">
        <v>449</v>
      </c>
      <c r="E67" s="4" t="s">
        <v>109</v>
      </c>
      <c r="F67" s="4" t="s">
        <v>276</v>
      </c>
      <c r="G67" s="4" t="s">
        <v>199</v>
      </c>
      <c r="H67" s="4" t="s">
        <v>59</v>
      </c>
      <c r="I67" s="3"/>
      <c r="J67" s="3"/>
      <c r="K67" s="3"/>
      <c r="L67" s="3"/>
      <c r="M67" s="3"/>
      <c r="N67" s="3"/>
      <c r="O67" s="3"/>
      <c r="P67" s="8"/>
      <c r="Q67" s="8"/>
      <c r="R67" s="3"/>
      <c r="S67" s="3"/>
      <c r="T67" s="3"/>
      <c r="U67" s="5" t="str">
        <f t="shared" si="4"/>
        <v/>
      </c>
    </row>
    <row r="68" spans="1:21" ht="28" customHeight="1" x14ac:dyDescent="0.35">
      <c r="A68" s="4">
        <v>5</v>
      </c>
      <c r="B68" s="4" t="s">
        <v>450</v>
      </c>
      <c r="C68" s="4" t="s">
        <v>451</v>
      </c>
      <c r="D68" s="4" t="s">
        <v>452</v>
      </c>
      <c r="E68" s="4" t="s">
        <v>69</v>
      </c>
      <c r="F68" s="4" t="s">
        <v>276</v>
      </c>
      <c r="G68" s="4" t="s">
        <v>199</v>
      </c>
      <c r="H68" s="4" t="s">
        <v>59</v>
      </c>
      <c r="I68" s="3"/>
      <c r="J68" s="3"/>
      <c r="K68" s="3"/>
      <c r="L68" s="3"/>
      <c r="M68" s="3"/>
      <c r="N68" s="3"/>
      <c r="O68" s="3"/>
      <c r="P68" s="8"/>
      <c r="Q68" s="8"/>
      <c r="R68" s="3"/>
      <c r="S68" s="3"/>
      <c r="T68" s="3"/>
      <c r="U68" s="5" t="str">
        <f t="shared" si="4"/>
        <v/>
      </c>
    </row>
    <row r="69" spans="1:21" ht="28" customHeight="1" x14ac:dyDescent="0.35">
      <c r="A69" s="4">
        <v>6</v>
      </c>
      <c r="B69" s="4" t="s">
        <v>453</v>
      </c>
      <c r="C69" s="4" t="s">
        <v>454</v>
      </c>
      <c r="D69" s="4" t="s">
        <v>455</v>
      </c>
      <c r="E69" s="4" t="s">
        <v>69</v>
      </c>
      <c r="F69" s="4" t="s">
        <v>284</v>
      </c>
      <c r="G69" s="4" t="s">
        <v>204</v>
      </c>
      <c r="H69" s="4" t="s">
        <v>76</v>
      </c>
      <c r="I69" s="3"/>
      <c r="J69" s="3"/>
      <c r="K69" s="3"/>
      <c r="L69" s="3"/>
      <c r="M69" s="3"/>
      <c r="N69" s="3"/>
      <c r="O69" s="3"/>
      <c r="P69" s="8"/>
      <c r="Q69" s="8"/>
      <c r="R69" s="3"/>
      <c r="S69" s="3"/>
      <c r="T69" s="3"/>
      <c r="U69" s="5" t="str">
        <f t="shared" si="4"/>
        <v/>
      </c>
    </row>
    <row r="70" spans="1:21" ht="28" customHeight="1" x14ac:dyDescent="0.35">
      <c r="A70" s="4">
        <v>7</v>
      </c>
      <c r="B70" s="4" t="s">
        <v>456</v>
      </c>
      <c r="C70" s="4" t="s">
        <v>457</v>
      </c>
      <c r="D70" s="4" t="s">
        <v>458</v>
      </c>
      <c r="E70" s="4" t="s">
        <v>69</v>
      </c>
      <c r="F70" s="4" t="s">
        <v>459</v>
      </c>
      <c r="G70" s="4" t="s">
        <v>209</v>
      </c>
      <c r="H70" s="4" t="s">
        <v>59</v>
      </c>
      <c r="I70" s="3"/>
      <c r="J70" s="3"/>
      <c r="K70" s="3"/>
      <c r="L70" s="3"/>
      <c r="M70" s="3"/>
      <c r="N70" s="3"/>
      <c r="O70" s="3"/>
      <c r="P70" s="8"/>
      <c r="Q70" s="8"/>
      <c r="R70" s="3"/>
      <c r="S70" s="3"/>
      <c r="T70" s="3"/>
      <c r="U70" s="5" t="str">
        <f t="shared" si="4"/>
        <v/>
      </c>
    </row>
    <row r="71" spans="1:21" ht="28" customHeight="1" x14ac:dyDescent="0.35">
      <c r="A71" s="4">
        <v>8</v>
      </c>
      <c r="B71" s="4" t="s">
        <v>460</v>
      </c>
      <c r="C71" s="4" t="s">
        <v>461</v>
      </c>
      <c r="D71" s="4" t="s">
        <v>462</v>
      </c>
      <c r="E71" s="4" t="s">
        <v>69</v>
      </c>
      <c r="F71" s="4" t="s">
        <v>95</v>
      </c>
      <c r="G71" s="4" t="s">
        <v>102</v>
      </c>
      <c r="H71" s="4" t="s">
        <v>59</v>
      </c>
      <c r="I71" s="3"/>
      <c r="J71" s="3"/>
      <c r="K71" s="3"/>
      <c r="L71" s="3"/>
      <c r="M71" s="3"/>
      <c r="N71" s="3"/>
      <c r="O71" s="3"/>
      <c r="P71" s="8"/>
      <c r="Q71" s="8"/>
      <c r="R71" s="3"/>
      <c r="S71" s="3"/>
      <c r="T71" s="3"/>
      <c r="U71" s="5" t="str">
        <f t="shared" si="4"/>
        <v/>
      </c>
    </row>
    <row r="72" spans="1:21" ht="28" customHeight="1" x14ac:dyDescent="0.35">
      <c r="A72" s="4">
        <v>9</v>
      </c>
      <c r="B72" s="4" t="s">
        <v>97</v>
      </c>
      <c r="C72" s="4" t="s">
        <v>98</v>
      </c>
      <c r="D72" s="4" t="s">
        <v>99</v>
      </c>
      <c r="E72" s="4" t="s">
        <v>69</v>
      </c>
      <c r="F72" s="4" t="s">
        <v>95</v>
      </c>
      <c r="G72" s="4" t="s">
        <v>96</v>
      </c>
      <c r="H72" s="4" t="s">
        <v>59</v>
      </c>
      <c r="I72" s="3"/>
      <c r="J72" s="3"/>
      <c r="K72" s="3"/>
      <c r="L72" s="3"/>
      <c r="M72" s="3"/>
      <c r="N72" s="3"/>
      <c r="O72" s="3"/>
      <c r="P72" s="8"/>
      <c r="Q72" s="8"/>
      <c r="R72" s="3"/>
      <c r="S72" s="3"/>
      <c r="T72" s="3"/>
      <c r="U72" s="5" t="str">
        <f t="shared" si="4"/>
        <v/>
      </c>
    </row>
    <row r="73" spans="1:21" ht="28" customHeight="1" x14ac:dyDescent="0.35">
      <c r="A73" s="4">
        <v>10</v>
      </c>
      <c r="B73" s="4" t="s">
        <v>97</v>
      </c>
      <c r="C73" s="4" t="s">
        <v>100</v>
      </c>
      <c r="D73" s="4" t="s">
        <v>101</v>
      </c>
      <c r="E73" s="4" t="s">
        <v>69</v>
      </c>
      <c r="F73" s="4" t="s">
        <v>95</v>
      </c>
      <c r="G73" s="4" t="s">
        <v>102</v>
      </c>
      <c r="H73" s="4" t="s">
        <v>59</v>
      </c>
      <c r="I73" s="3"/>
      <c r="J73" s="3"/>
      <c r="K73" s="3"/>
      <c r="L73" s="3"/>
      <c r="M73" s="3"/>
      <c r="N73" s="3"/>
      <c r="O73" s="3"/>
      <c r="P73" s="8"/>
      <c r="Q73" s="8"/>
      <c r="R73" s="3"/>
      <c r="S73" s="3"/>
      <c r="T73" s="3"/>
      <c r="U73" s="5" t="str">
        <f t="shared" si="4"/>
        <v/>
      </c>
    </row>
    <row r="74" spans="1:21" ht="28" customHeight="1" x14ac:dyDescent="0.35">
      <c r="A74" s="4">
        <v>11</v>
      </c>
      <c r="B74" s="4" t="s">
        <v>103</v>
      </c>
      <c r="C74" s="4" t="s">
        <v>104</v>
      </c>
      <c r="D74" s="4" t="s">
        <v>105</v>
      </c>
      <c r="E74" s="4" t="s">
        <v>69</v>
      </c>
      <c r="F74" s="4" t="s">
        <v>95</v>
      </c>
      <c r="G74" s="4" t="s">
        <v>96</v>
      </c>
      <c r="H74" s="4" t="s">
        <v>85</v>
      </c>
      <c r="I74" s="3"/>
      <c r="J74" s="3"/>
      <c r="K74" s="3"/>
      <c r="L74" s="3"/>
      <c r="M74" s="3"/>
      <c r="N74" s="3"/>
      <c r="O74" s="3"/>
      <c r="P74" s="8"/>
      <c r="Q74" s="8"/>
      <c r="R74" s="3"/>
      <c r="S74" s="3"/>
      <c r="T74" s="3"/>
      <c r="U74" s="5" t="str">
        <f t="shared" si="4"/>
        <v/>
      </c>
    </row>
    <row r="75" spans="1:21" ht="28" customHeight="1" x14ac:dyDescent="0.35">
      <c r="A75" s="4">
        <v>12</v>
      </c>
      <c r="B75" s="4" t="s">
        <v>106</v>
      </c>
      <c r="C75" s="4" t="s">
        <v>107</v>
      </c>
      <c r="D75" s="4" t="s">
        <v>108</v>
      </c>
      <c r="E75" s="4" t="s">
        <v>109</v>
      </c>
      <c r="F75" s="4" t="s">
        <v>95</v>
      </c>
      <c r="G75" s="4" t="s">
        <v>96</v>
      </c>
      <c r="H75" s="4" t="s">
        <v>59</v>
      </c>
      <c r="I75" s="3"/>
      <c r="J75" s="3"/>
      <c r="K75" s="3"/>
      <c r="L75" s="3"/>
      <c r="M75" s="3"/>
      <c r="N75" s="3"/>
      <c r="O75" s="3"/>
      <c r="P75" s="8"/>
      <c r="Q75" s="8"/>
      <c r="R75" s="3"/>
      <c r="S75" s="3"/>
      <c r="T75" s="3"/>
      <c r="U75" s="5" t="str">
        <f t="shared" si="4"/>
        <v/>
      </c>
    </row>
    <row r="77" spans="1:21" ht="28" customHeight="1" x14ac:dyDescent="0.35">
      <c r="A77" s="9" t="s">
        <v>110</v>
      </c>
      <c r="B77" s="16"/>
      <c r="C77" s="17"/>
      <c r="D77" s="17"/>
      <c r="E77" s="17"/>
      <c r="F77" s="17"/>
      <c r="G77" s="17"/>
      <c r="H77" s="17"/>
      <c r="I77" s="17"/>
      <c r="J77" s="17"/>
      <c r="K77" s="17"/>
      <c r="L77" s="17"/>
      <c r="M77" s="17"/>
      <c r="N77" s="17"/>
      <c r="O77" s="17"/>
      <c r="P77" s="17"/>
      <c r="Q77" s="17"/>
      <c r="R77" s="17"/>
      <c r="S77" s="17"/>
      <c r="T77" s="17"/>
      <c r="U77" s="18"/>
    </row>
    <row r="78" spans="1:21" ht="28" customHeight="1" x14ac:dyDescent="0.35">
      <c r="A78" s="19" t="s">
        <v>463</v>
      </c>
      <c r="B78" s="20"/>
      <c r="C78" s="20"/>
      <c r="D78" s="20"/>
      <c r="E78" s="20"/>
      <c r="F78" s="20"/>
      <c r="G78" s="20"/>
      <c r="H78" s="20"/>
      <c r="I78" s="20"/>
      <c r="J78" s="20"/>
      <c r="K78" s="20"/>
      <c r="L78" s="20"/>
      <c r="M78" s="20"/>
      <c r="N78" s="20"/>
      <c r="O78" s="20"/>
      <c r="P78" s="20"/>
      <c r="Q78" s="20"/>
      <c r="R78" s="20"/>
      <c r="S78" s="20"/>
      <c r="T78" s="20"/>
      <c r="U78" s="21"/>
    </row>
    <row r="79" spans="1:21" ht="28" customHeight="1" x14ac:dyDescent="0.35">
      <c r="A79" s="4" t="s">
        <v>31</v>
      </c>
      <c r="B79" s="3" t="s">
        <v>218</v>
      </c>
      <c r="C79" s="4" t="s">
        <v>32</v>
      </c>
      <c r="D79" s="3"/>
      <c r="E79" s="4" t="s">
        <v>33</v>
      </c>
      <c r="F79" s="8"/>
    </row>
    <row r="80" spans="1:21" ht="28" customHeight="1" x14ac:dyDescent="0.35">
      <c r="A80" s="1" t="s">
        <v>34</v>
      </c>
      <c r="B80" s="1" t="s">
        <v>35</v>
      </c>
      <c r="C80" s="1" t="s">
        <v>36</v>
      </c>
      <c r="D80" s="1" t="s">
        <v>37</v>
      </c>
      <c r="E80" s="1" t="s">
        <v>38</v>
      </c>
      <c r="F80" s="1" t="s">
        <v>39</v>
      </c>
      <c r="G80" s="1" t="s">
        <v>40</v>
      </c>
      <c r="H80" s="1" t="s">
        <v>41</v>
      </c>
      <c r="I80" s="1" t="s">
        <v>42</v>
      </c>
      <c r="J80" s="1" t="s">
        <v>43</v>
      </c>
      <c r="K80" s="1" t="s">
        <v>44</v>
      </c>
      <c r="L80" s="1" t="s">
        <v>45</v>
      </c>
      <c r="M80" s="1" t="s">
        <v>46</v>
      </c>
      <c r="N80" s="1" t="s">
        <v>47</v>
      </c>
      <c r="O80" s="1" t="s">
        <v>48</v>
      </c>
      <c r="P80" s="1" t="s">
        <v>4</v>
      </c>
      <c r="Q80" s="1" t="s">
        <v>49</v>
      </c>
      <c r="R80" s="1" t="s">
        <v>50</v>
      </c>
      <c r="S80" s="1" t="s">
        <v>51</v>
      </c>
      <c r="T80" s="1" t="s">
        <v>52</v>
      </c>
      <c r="U80" s="1" t="s">
        <v>10</v>
      </c>
    </row>
    <row r="81" spans="1:21" ht="28" customHeight="1" x14ac:dyDescent="0.35">
      <c r="A81" s="4">
        <v>1</v>
      </c>
      <c r="B81" s="4" t="s">
        <v>439</v>
      </c>
      <c r="C81" s="4" t="s">
        <v>440</v>
      </c>
      <c r="D81" s="4" t="s">
        <v>441</v>
      </c>
      <c r="E81" s="4" t="s">
        <v>69</v>
      </c>
      <c r="F81" s="4" t="s">
        <v>370</v>
      </c>
      <c r="G81" s="4" t="s">
        <v>204</v>
      </c>
      <c r="H81" s="4" t="s">
        <v>59</v>
      </c>
      <c r="I81" s="3"/>
      <c r="J81" s="3"/>
      <c r="K81" s="3"/>
      <c r="L81" s="3"/>
      <c r="M81" s="3"/>
      <c r="N81" s="3"/>
      <c r="O81" s="3"/>
      <c r="P81" s="8"/>
      <c r="Q81" s="8"/>
      <c r="R81" s="3"/>
      <c r="S81" s="3"/>
      <c r="T81" s="3"/>
      <c r="U81" s="5" t="str">
        <f t="shared" ref="U81:U92" si="5">IF(I81="","",IF(I81="NA","Grey",IF(I81=2,"Green",IF(I81=1,"Amber","Red"))))</f>
        <v/>
      </c>
    </row>
    <row r="82" spans="1:21" ht="28" customHeight="1" x14ac:dyDescent="0.35">
      <c r="A82" s="4">
        <v>2</v>
      </c>
      <c r="B82" s="4" t="s">
        <v>442</v>
      </c>
      <c r="C82" s="4" t="s">
        <v>443</v>
      </c>
      <c r="D82" s="4" t="s">
        <v>444</v>
      </c>
      <c r="E82" s="4" t="s">
        <v>69</v>
      </c>
      <c r="F82" s="4" t="s">
        <v>95</v>
      </c>
      <c r="G82" s="4" t="s">
        <v>102</v>
      </c>
      <c r="H82" s="4" t="s">
        <v>59</v>
      </c>
      <c r="I82" s="3"/>
      <c r="J82" s="3"/>
      <c r="K82" s="3"/>
      <c r="L82" s="3"/>
      <c r="M82" s="3"/>
      <c r="N82" s="3"/>
      <c r="O82" s="3"/>
      <c r="P82" s="8"/>
      <c r="Q82" s="8"/>
      <c r="R82" s="3"/>
      <c r="S82" s="3"/>
      <c r="T82" s="3"/>
      <c r="U82" s="5" t="str">
        <f t="shared" si="5"/>
        <v/>
      </c>
    </row>
    <row r="83" spans="1:21" ht="28" customHeight="1" x14ac:dyDescent="0.35">
      <c r="A83" s="4">
        <v>3</v>
      </c>
      <c r="B83" s="4" t="s">
        <v>445</v>
      </c>
      <c r="C83" s="4" t="s">
        <v>446</v>
      </c>
      <c r="D83" s="4" t="s">
        <v>369</v>
      </c>
      <c r="E83" s="4" t="s">
        <v>69</v>
      </c>
      <c r="F83" s="4" t="s">
        <v>370</v>
      </c>
      <c r="G83" s="4" t="s">
        <v>204</v>
      </c>
      <c r="H83" s="4" t="s">
        <v>76</v>
      </c>
      <c r="I83" s="3"/>
      <c r="J83" s="3"/>
      <c r="K83" s="3"/>
      <c r="L83" s="3"/>
      <c r="M83" s="3"/>
      <c r="N83" s="3"/>
      <c r="O83" s="3"/>
      <c r="P83" s="8"/>
      <c r="Q83" s="8"/>
      <c r="R83" s="3"/>
      <c r="S83" s="3"/>
      <c r="T83" s="3"/>
      <c r="U83" s="5" t="str">
        <f t="shared" si="5"/>
        <v/>
      </c>
    </row>
    <row r="84" spans="1:21" ht="28" customHeight="1" x14ac:dyDescent="0.35">
      <c r="A84" s="4">
        <v>4</v>
      </c>
      <c r="B84" s="4" t="s">
        <v>447</v>
      </c>
      <c r="C84" s="4" t="s">
        <v>448</v>
      </c>
      <c r="D84" s="4" t="s">
        <v>449</v>
      </c>
      <c r="E84" s="4" t="s">
        <v>109</v>
      </c>
      <c r="F84" s="4" t="s">
        <v>276</v>
      </c>
      <c r="G84" s="4" t="s">
        <v>199</v>
      </c>
      <c r="H84" s="4" t="s">
        <v>59</v>
      </c>
      <c r="I84" s="3"/>
      <c r="J84" s="3"/>
      <c r="K84" s="3"/>
      <c r="L84" s="3"/>
      <c r="M84" s="3"/>
      <c r="N84" s="3"/>
      <c r="O84" s="3"/>
      <c r="P84" s="8"/>
      <c r="Q84" s="8"/>
      <c r="R84" s="3"/>
      <c r="S84" s="3"/>
      <c r="T84" s="3"/>
      <c r="U84" s="5" t="str">
        <f t="shared" si="5"/>
        <v/>
      </c>
    </row>
    <row r="85" spans="1:21" ht="28" customHeight="1" x14ac:dyDescent="0.35">
      <c r="A85" s="4">
        <v>5</v>
      </c>
      <c r="B85" s="4" t="s">
        <v>450</v>
      </c>
      <c r="C85" s="4" t="s">
        <v>451</v>
      </c>
      <c r="D85" s="4" t="s">
        <v>452</v>
      </c>
      <c r="E85" s="4" t="s">
        <v>69</v>
      </c>
      <c r="F85" s="4" t="s">
        <v>276</v>
      </c>
      <c r="G85" s="4" t="s">
        <v>199</v>
      </c>
      <c r="H85" s="4" t="s">
        <v>59</v>
      </c>
      <c r="I85" s="3"/>
      <c r="J85" s="3"/>
      <c r="K85" s="3"/>
      <c r="L85" s="3"/>
      <c r="M85" s="3"/>
      <c r="N85" s="3"/>
      <c r="O85" s="3"/>
      <c r="P85" s="8"/>
      <c r="Q85" s="8"/>
      <c r="R85" s="3"/>
      <c r="S85" s="3"/>
      <c r="T85" s="3"/>
      <c r="U85" s="5" t="str">
        <f t="shared" si="5"/>
        <v/>
      </c>
    </row>
    <row r="86" spans="1:21" ht="28" customHeight="1" x14ac:dyDescent="0.35">
      <c r="A86" s="4">
        <v>6</v>
      </c>
      <c r="B86" s="4" t="s">
        <v>453</v>
      </c>
      <c r="C86" s="4" t="s">
        <v>454</v>
      </c>
      <c r="D86" s="4" t="s">
        <v>455</v>
      </c>
      <c r="E86" s="4" t="s">
        <v>69</v>
      </c>
      <c r="F86" s="4" t="s">
        <v>284</v>
      </c>
      <c r="G86" s="4" t="s">
        <v>204</v>
      </c>
      <c r="H86" s="4" t="s">
        <v>76</v>
      </c>
      <c r="I86" s="3"/>
      <c r="J86" s="3"/>
      <c r="K86" s="3"/>
      <c r="L86" s="3"/>
      <c r="M86" s="3"/>
      <c r="N86" s="3"/>
      <c r="O86" s="3"/>
      <c r="P86" s="8"/>
      <c r="Q86" s="8"/>
      <c r="R86" s="3"/>
      <c r="S86" s="3"/>
      <c r="T86" s="3"/>
      <c r="U86" s="5" t="str">
        <f t="shared" si="5"/>
        <v/>
      </c>
    </row>
    <row r="87" spans="1:21" ht="28" customHeight="1" x14ac:dyDescent="0.35">
      <c r="A87" s="4">
        <v>7</v>
      </c>
      <c r="B87" s="4" t="s">
        <v>456</v>
      </c>
      <c r="C87" s="4" t="s">
        <v>457</v>
      </c>
      <c r="D87" s="4" t="s">
        <v>458</v>
      </c>
      <c r="E87" s="4" t="s">
        <v>69</v>
      </c>
      <c r="F87" s="4" t="s">
        <v>459</v>
      </c>
      <c r="G87" s="4" t="s">
        <v>209</v>
      </c>
      <c r="H87" s="4" t="s">
        <v>59</v>
      </c>
      <c r="I87" s="3"/>
      <c r="J87" s="3"/>
      <c r="K87" s="3"/>
      <c r="L87" s="3"/>
      <c r="M87" s="3"/>
      <c r="N87" s="3"/>
      <c r="O87" s="3"/>
      <c r="P87" s="8"/>
      <c r="Q87" s="8"/>
      <c r="R87" s="3"/>
      <c r="S87" s="3"/>
      <c r="T87" s="3"/>
      <c r="U87" s="5" t="str">
        <f t="shared" si="5"/>
        <v/>
      </c>
    </row>
    <row r="88" spans="1:21" ht="28" customHeight="1" x14ac:dyDescent="0.35">
      <c r="A88" s="4">
        <v>8</v>
      </c>
      <c r="B88" s="4" t="s">
        <v>460</v>
      </c>
      <c r="C88" s="4" t="s">
        <v>461</v>
      </c>
      <c r="D88" s="4" t="s">
        <v>462</v>
      </c>
      <c r="E88" s="4" t="s">
        <v>69</v>
      </c>
      <c r="F88" s="4" t="s">
        <v>95</v>
      </c>
      <c r="G88" s="4" t="s">
        <v>102</v>
      </c>
      <c r="H88" s="4" t="s">
        <v>59</v>
      </c>
      <c r="I88" s="3"/>
      <c r="J88" s="3"/>
      <c r="K88" s="3"/>
      <c r="L88" s="3"/>
      <c r="M88" s="3"/>
      <c r="N88" s="3"/>
      <c r="O88" s="3"/>
      <c r="P88" s="8"/>
      <c r="Q88" s="8"/>
      <c r="R88" s="3"/>
      <c r="S88" s="3"/>
      <c r="T88" s="3"/>
      <c r="U88" s="5" t="str">
        <f t="shared" si="5"/>
        <v/>
      </c>
    </row>
    <row r="89" spans="1:21" ht="28" customHeight="1" x14ac:dyDescent="0.35">
      <c r="A89" s="4">
        <v>9</v>
      </c>
      <c r="B89" s="4" t="s">
        <v>97</v>
      </c>
      <c r="C89" s="4" t="s">
        <v>98</v>
      </c>
      <c r="D89" s="4" t="s">
        <v>99</v>
      </c>
      <c r="E89" s="4" t="s">
        <v>69</v>
      </c>
      <c r="F89" s="4" t="s">
        <v>95</v>
      </c>
      <c r="G89" s="4" t="s">
        <v>96</v>
      </c>
      <c r="H89" s="4" t="s">
        <v>59</v>
      </c>
      <c r="I89" s="3"/>
      <c r="J89" s="3"/>
      <c r="K89" s="3"/>
      <c r="L89" s="3"/>
      <c r="M89" s="3"/>
      <c r="N89" s="3"/>
      <c r="O89" s="3"/>
      <c r="P89" s="8"/>
      <c r="Q89" s="8"/>
      <c r="R89" s="3"/>
      <c r="S89" s="3"/>
      <c r="T89" s="3"/>
      <c r="U89" s="5" t="str">
        <f t="shared" si="5"/>
        <v/>
      </c>
    </row>
    <row r="90" spans="1:21" ht="28" customHeight="1" x14ac:dyDescent="0.35">
      <c r="A90" s="4">
        <v>10</v>
      </c>
      <c r="B90" s="4" t="s">
        <v>97</v>
      </c>
      <c r="C90" s="4" t="s">
        <v>100</v>
      </c>
      <c r="D90" s="4" t="s">
        <v>101</v>
      </c>
      <c r="E90" s="4" t="s">
        <v>69</v>
      </c>
      <c r="F90" s="4" t="s">
        <v>95</v>
      </c>
      <c r="G90" s="4" t="s">
        <v>102</v>
      </c>
      <c r="H90" s="4" t="s">
        <v>59</v>
      </c>
      <c r="I90" s="3"/>
      <c r="J90" s="3"/>
      <c r="K90" s="3"/>
      <c r="L90" s="3"/>
      <c r="M90" s="3"/>
      <c r="N90" s="3"/>
      <c r="O90" s="3"/>
      <c r="P90" s="8"/>
      <c r="Q90" s="8"/>
      <c r="R90" s="3"/>
      <c r="S90" s="3"/>
      <c r="T90" s="3"/>
      <c r="U90" s="5" t="str">
        <f t="shared" si="5"/>
        <v/>
      </c>
    </row>
    <row r="91" spans="1:21" ht="28" customHeight="1" x14ac:dyDescent="0.35">
      <c r="A91" s="4">
        <v>11</v>
      </c>
      <c r="B91" s="4" t="s">
        <v>103</v>
      </c>
      <c r="C91" s="4" t="s">
        <v>104</v>
      </c>
      <c r="D91" s="4" t="s">
        <v>105</v>
      </c>
      <c r="E91" s="4" t="s">
        <v>69</v>
      </c>
      <c r="F91" s="4" t="s">
        <v>95</v>
      </c>
      <c r="G91" s="4" t="s">
        <v>96</v>
      </c>
      <c r="H91" s="4" t="s">
        <v>85</v>
      </c>
      <c r="I91" s="3"/>
      <c r="J91" s="3"/>
      <c r="K91" s="3"/>
      <c r="L91" s="3"/>
      <c r="M91" s="3"/>
      <c r="N91" s="3"/>
      <c r="O91" s="3"/>
      <c r="P91" s="8"/>
      <c r="Q91" s="8"/>
      <c r="R91" s="3"/>
      <c r="S91" s="3"/>
      <c r="T91" s="3"/>
      <c r="U91" s="5" t="str">
        <f t="shared" si="5"/>
        <v/>
      </c>
    </row>
    <row r="92" spans="1:21" ht="28" customHeight="1" x14ac:dyDescent="0.35">
      <c r="A92" s="4">
        <v>12</v>
      </c>
      <c r="B92" s="4" t="s">
        <v>106</v>
      </c>
      <c r="C92" s="4" t="s">
        <v>107</v>
      </c>
      <c r="D92" s="4" t="s">
        <v>108</v>
      </c>
      <c r="E92" s="4" t="s">
        <v>109</v>
      </c>
      <c r="F92" s="4" t="s">
        <v>95</v>
      </c>
      <c r="G92" s="4" t="s">
        <v>96</v>
      </c>
      <c r="H92" s="4" t="s">
        <v>59</v>
      </c>
      <c r="I92" s="3"/>
      <c r="J92" s="3"/>
      <c r="K92" s="3"/>
      <c r="L92" s="3"/>
      <c r="M92" s="3"/>
      <c r="N92" s="3"/>
      <c r="O92" s="3"/>
      <c r="P92" s="8"/>
      <c r="Q92" s="8"/>
      <c r="R92" s="3"/>
      <c r="S92" s="3"/>
      <c r="T92" s="3"/>
      <c r="U92" s="5" t="str">
        <f t="shared" si="5"/>
        <v/>
      </c>
    </row>
    <row r="94" spans="1:21" ht="28" customHeight="1" x14ac:dyDescent="0.35">
      <c r="A94" s="9" t="s">
        <v>110</v>
      </c>
      <c r="B94" s="16"/>
      <c r="C94" s="17"/>
      <c r="D94" s="17"/>
      <c r="E94" s="17"/>
      <c r="F94" s="17"/>
      <c r="G94" s="17"/>
      <c r="H94" s="17"/>
      <c r="I94" s="17"/>
      <c r="J94" s="17"/>
      <c r="K94" s="17"/>
      <c r="L94" s="17"/>
      <c r="M94" s="17"/>
      <c r="N94" s="17"/>
      <c r="O94" s="17"/>
      <c r="P94" s="17"/>
      <c r="Q94" s="17"/>
      <c r="R94" s="17"/>
      <c r="S94" s="17"/>
      <c r="T94" s="17"/>
      <c r="U94" s="18"/>
    </row>
    <row r="95" spans="1:21" ht="28" customHeight="1" x14ac:dyDescent="0.35">
      <c r="A95" s="19" t="s">
        <v>464</v>
      </c>
      <c r="B95" s="20"/>
      <c r="C95" s="20"/>
      <c r="D95" s="20"/>
      <c r="E95" s="20"/>
      <c r="F95" s="20"/>
      <c r="G95" s="20"/>
      <c r="H95" s="20"/>
      <c r="I95" s="20"/>
      <c r="J95" s="20"/>
      <c r="K95" s="20"/>
      <c r="L95" s="20"/>
      <c r="M95" s="20"/>
      <c r="N95" s="20"/>
      <c r="O95" s="20"/>
      <c r="P95" s="20"/>
      <c r="Q95" s="20"/>
      <c r="R95" s="20"/>
      <c r="S95" s="20"/>
      <c r="T95" s="20"/>
      <c r="U95" s="21"/>
    </row>
    <row r="96" spans="1:21" ht="28" customHeight="1" x14ac:dyDescent="0.35">
      <c r="A96" s="4" t="s">
        <v>31</v>
      </c>
      <c r="B96" s="3" t="s">
        <v>219</v>
      </c>
      <c r="C96" s="4" t="s">
        <v>32</v>
      </c>
      <c r="D96" s="3"/>
      <c r="E96" s="4" t="s">
        <v>33</v>
      </c>
      <c r="F96" s="8"/>
    </row>
    <row r="97" spans="1:21" ht="28" customHeight="1" x14ac:dyDescent="0.35">
      <c r="A97" s="1" t="s">
        <v>34</v>
      </c>
      <c r="B97" s="1" t="s">
        <v>35</v>
      </c>
      <c r="C97" s="1" t="s">
        <v>36</v>
      </c>
      <c r="D97" s="1" t="s">
        <v>37</v>
      </c>
      <c r="E97" s="1" t="s">
        <v>38</v>
      </c>
      <c r="F97" s="1" t="s">
        <v>39</v>
      </c>
      <c r="G97" s="1" t="s">
        <v>40</v>
      </c>
      <c r="H97" s="1" t="s">
        <v>41</v>
      </c>
      <c r="I97" s="1" t="s">
        <v>42</v>
      </c>
      <c r="J97" s="1" t="s">
        <v>43</v>
      </c>
      <c r="K97" s="1" t="s">
        <v>44</v>
      </c>
      <c r="L97" s="1" t="s">
        <v>45</v>
      </c>
      <c r="M97" s="1" t="s">
        <v>46</v>
      </c>
      <c r="N97" s="1" t="s">
        <v>47</v>
      </c>
      <c r="O97" s="1" t="s">
        <v>48</v>
      </c>
      <c r="P97" s="1" t="s">
        <v>4</v>
      </c>
      <c r="Q97" s="1" t="s">
        <v>49</v>
      </c>
      <c r="R97" s="1" t="s">
        <v>50</v>
      </c>
      <c r="S97" s="1" t="s">
        <v>51</v>
      </c>
      <c r="T97" s="1" t="s">
        <v>52</v>
      </c>
      <c r="U97" s="1" t="s">
        <v>10</v>
      </c>
    </row>
    <row r="98" spans="1:21" ht="28" customHeight="1" x14ac:dyDescent="0.35">
      <c r="A98" s="4">
        <v>1</v>
      </c>
      <c r="B98" s="4" t="s">
        <v>439</v>
      </c>
      <c r="C98" s="4" t="s">
        <v>440</v>
      </c>
      <c r="D98" s="4" t="s">
        <v>441</v>
      </c>
      <c r="E98" s="4" t="s">
        <v>69</v>
      </c>
      <c r="F98" s="4" t="s">
        <v>370</v>
      </c>
      <c r="G98" s="4" t="s">
        <v>204</v>
      </c>
      <c r="H98" s="4" t="s">
        <v>59</v>
      </c>
      <c r="I98" s="3"/>
      <c r="J98" s="3"/>
      <c r="K98" s="3"/>
      <c r="L98" s="3"/>
      <c r="M98" s="3"/>
      <c r="N98" s="3"/>
      <c r="O98" s="3"/>
      <c r="P98" s="8"/>
      <c r="Q98" s="8"/>
      <c r="R98" s="3"/>
      <c r="S98" s="3"/>
      <c r="T98" s="3"/>
      <c r="U98" s="5" t="str">
        <f t="shared" ref="U98:U109" si="6">IF(I98="","",IF(I98="NA","Grey",IF(I98=2,"Green",IF(I98=1,"Amber","Red"))))</f>
        <v/>
      </c>
    </row>
    <row r="99" spans="1:21" ht="28" customHeight="1" x14ac:dyDescent="0.35">
      <c r="A99" s="4">
        <v>2</v>
      </c>
      <c r="B99" s="4" t="s">
        <v>442</v>
      </c>
      <c r="C99" s="4" t="s">
        <v>443</v>
      </c>
      <c r="D99" s="4" t="s">
        <v>444</v>
      </c>
      <c r="E99" s="4" t="s">
        <v>69</v>
      </c>
      <c r="F99" s="4" t="s">
        <v>95</v>
      </c>
      <c r="G99" s="4" t="s">
        <v>102</v>
      </c>
      <c r="H99" s="4" t="s">
        <v>59</v>
      </c>
      <c r="I99" s="3"/>
      <c r="J99" s="3"/>
      <c r="K99" s="3"/>
      <c r="L99" s="3"/>
      <c r="M99" s="3"/>
      <c r="N99" s="3"/>
      <c r="O99" s="3"/>
      <c r="P99" s="8"/>
      <c r="Q99" s="8"/>
      <c r="R99" s="3"/>
      <c r="S99" s="3"/>
      <c r="T99" s="3"/>
      <c r="U99" s="5" t="str">
        <f t="shared" si="6"/>
        <v/>
      </c>
    </row>
    <row r="100" spans="1:21" ht="28" customHeight="1" x14ac:dyDescent="0.35">
      <c r="A100" s="4">
        <v>3</v>
      </c>
      <c r="B100" s="4" t="s">
        <v>445</v>
      </c>
      <c r="C100" s="4" t="s">
        <v>446</v>
      </c>
      <c r="D100" s="4" t="s">
        <v>369</v>
      </c>
      <c r="E100" s="4" t="s">
        <v>69</v>
      </c>
      <c r="F100" s="4" t="s">
        <v>370</v>
      </c>
      <c r="G100" s="4" t="s">
        <v>204</v>
      </c>
      <c r="H100" s="4" t="s">
        <v>76</v>
      </c>
      <c r="I100" s="3"/>
      <c r="J100" s="3"/>
      <c r="K100" s="3"/>
      <c r="L100" s="3"/>
      <c r="M100" s="3"/>
      <c r="N100" s="3"/>
      <c r="O100" s="3"/>
      <c r="P100" s="8"/>
      <c r="Q100" s="8"/>
      <c r="R100" s="3"/>
      <c r="S100" s="3"/>
      <c r="T100" s="3"/>
      <c r="U100" s="5" t="str">
        <f t="shared" si="6"/>
        <v/>
      </c>
    </row>
    <row r="101" spans="1:21" ht="28" customHeight="1" x14ac:dyDescent="0.35">
      <c r="A101" s="4">
        <v>4</v>
      </c>
      <c r="B101" s="4" t="s">
        <v>447</v>
      </c>
      <c r="C101" s="4" t="s">
        <v>448</v>
      </c>
      <c r="D101" s="4" t="s">
        <v>449</v>
      </c>
      <c r="E101" s="4" t="s">
        <v>109</v>
      </c>
      <c r="F101" s="4" t="s">
        <v>276</v>
      </c>
      <c r="G101" s="4" t="s">
        <v>199</v>
      </c>
      <c r="H101" s="4" t="s">
        <v>59</v>
      </c>
      <c r="I101" s="3"/>
      <c r="J101" s="3"/>
      <c r="K101" s="3"/>
      <c r="L101" s="3"/>
      <c r="M101" s="3"/>
      <c r="N101" s="3"/>
      <c r="O101" s="3"/>
      <c r="P101" s="8"/>
      <c r="Q101" s="8"/>
      <c r="R101" s="3"/>
      <c r="S101" s="3"/>
      <c r="T101" s="3"/>
      <c r="U101" s="5" t="str">
        <f t="shared" si="6"/>
        <v/>
      </c>
    </row>
    <row r="102" spans="1:21" ht="28" customHeight="1" x14ac:dyDescent="0.35">
      <c r="A102" s="4">
        <v>5</v>
      </c>
      <c r="B102" s="4" t="s">
        <v>450</v>
      </c>
      <c r="C102" s="4" t="s">
        <v>451</v>
      </c>
      <c r="D102" s="4" t="s">
        <v>452</v>
      </c>
      <c r="E102" s="4" t="s">
        <v>69</v>
      </c>
      <c r="F102" s="4" t="s">
        <v>276</v>
      </c>
      <c r="G102" s="4" t="s">
        <v>199</v>
      </c>
      <c r="H102" s="4" t="s">
        <v>59</v>
      </c>
      <c r="I102" s="3"/>
      <c r="J102" s="3"/>
      <c r="K102" s="3"/>
      <c r="L102" s="3"/>
      <c r="M102" s="3"/>
      <c r="N102" s="3"/>
      <c r="O102" s="3"/>
      <c r="P102" s="8"/>
      <c r="Q102" s="8"/>
      <c r="R102" s="3"/>
      <c r="S102" s="3"/>
      <c r="T102" s="3"/>
      <c r="U102" s="5" t="str">
        <f t="shared" si="6"/>
        <v/>
      </c>
    </row>
    <row r="103" spans="1:21" ht="28" customHeight="1" x14ac:dyDescent="0.35">
      <c r="A103" s="4">
        <v>6</v>
      </c>
      <c r="B103" s="4" t="s">
        <v>453</v>
      </c>
      <c r="C103" s="4" t="s">
        <v>454</v>
      </c>
      <c r="D103" s="4" t="s">
        <v>455</v>
      </c>
      <c r="E103" s="4" t="s">
        <v>69</v>
      </c>
      <c r="F103" s="4" t="s">
        <v>284</v>
      </c>
      <c r="G103" s="4" t="s">
        <v>204</v>
      </c>
      <c r="H103" s="4" t="s">
        <v>76</v>
      </c>
      <c r="I103" s="3"/>
      <c r="J103" s="3"/>
      <c r="K103" s="3"/>
      <c r="L103" s="3"/>
      <c r="M103" s="3"/>
      <c r="N103" s="3"/>
      <c r="O103" s="3"/>
      <c r="P103" s="8"/>
      <c r="Q103" s="8"/>
      <c r="R103" s="3"/>
      <c r="S103" s="3"/>
      <c r="T103" s="3"/>
      <c r="U103" s="5" t="str">
        <f t="shared" si="6"/>
        <v/>
      </c>
    </row>
    <row r="104" spans="1:21" ht="28" customHeight="1" x14ac:dyDescent="0.35">
      <c r="A104" s="4">
        <v>7</v>
      </c>
      <c r="B104" s="4" t="s">
        <v>456</v>
      </c>
      <c r="C104" s="4" t="s">
        <v>457</v>
      </c>
      <c r="D104" s="4" t="s">
        <v>458</v>
      </c>
      <c r="E104" s="4" t="s">
        <v>69</v>
      </c>
      <c r="F104" s="4" t="s">
        <v>459</v>
      </c>
      <c r="G104" s="4" t="s">
        <v>209</v>
      </c>
      <c r="H104" s="4" t="s">
        <v>59</v>
      </c>
      <c r="I104" s="3"/>
      <c r="J104" s="3"/>
      <c r="K104" s="3"/>
      <c r="L104" s="3"/>
      <c r="M104" s="3"/>
      <c r="N104" s="3"/>
      <c r="O104" s="3"/>
      <c r="P104" s="8"/>
      <c r="Q104" s="8"/>
      <c r="R104" s="3"/>
      <c r="S104" s="3"/>
      <c r="T104" s="3"/>
      <c r="U104" s="5" t="str">
        <f t="shared" si="6"/>
        <v/>
      </c>
    </row>
    <row r="105" spans="1:21" ht="28" customHeight="1" x14ac:dyDescent="0.35">
      <c r="A105" s="4">
        <v>8</v>
      </c>
      <c r="B105" s="4" t="s">
        <v>460</v>
      </c>
      <c r="C105" s="4" t="s">
        <v>461</v>
      </c>
      <c r="D105" s="4" t="s">
        <v>462</v>
      </c>
      <c r="E105" s="4" t="s">
        <v>69</v>
      </c>
      <c r="F105" s="4" t="s">
        <v>95</v>
      </c>
      <c r="G105" s="4" t="s">
        <v>102</v>
      </c>
      <c r="H105" s="4" t="s">
        <v>59</v>
      </c>
      <c r="I105" s="3"/>
      <c r="J105" s="3"/>
      <c r="K105" s="3"/>
      <c r="L105" s="3"/>
      <c r="M105" s="3"/>
      <c r="N105" s="3"/>
      <c r="O105" s="3"/>
      <c r="P105" s="8"/>
      <c r="Q105" s="8"/>
      <c r="R105" s="3"/>
      <c r="S105" s="3"/>
      <c r="T105" s="3"/>
      <c r="U105" s="5" t="str">
        <f t="shared" si="6"/>
        <v/>
      </c>
    </row>
    <row r="106" spans="1:21" ht="28" customHeight="1" x14ac:dyDescent="0.35">
      <c r="A106" s="4">
        <v>9</v>
      </c>
      <c r="B106" s="4" t="s">
        <v>97</v>
      </c>
      <c r="C106" s="4" t="s">
        <v>98</v>
      </c>
      <c r="D106" s="4" t="s">
        <v>99</v>
      </c>
      <c r="E106" s="4" t="s">
        <v>69</v>
      </c>
      <c r="F106" s="4" t="s">
        <v>95</v>
      </c>
      <c r="G106" s="4" t="s">
        <v>96</v>
      </c>
      <c r="H106" s="4" t="s">
        <v>59</v>
      </c>
      <c r="I106" s="3"/>
      <c r="J106" s="3"/>
      <c r="K106" s="3"/>
      <c r="L106" s="3"/>
      <c r="M106" s="3"/>
      <c r="N106" s="3"/>
      <c r="O106" s="3"/>
      <c r="P106" s="8"/>
      <c r="Q106" s="8"/>
      <c r="R106" s="3"/>
      <c r="S106" s="3"/>
      <c r="T106" s="3"/>
      <c r="U106" s="5" t="str">
        <f t="shared" si="6"/>
        <v/>
      </c>
    </row>
    <row r="107" spans="1:21" ht="28" customHeight="1" x14ac:dyDescent="0.35">
      <c r="A107" s="4">
        <v>10</v>
      </c>
      <c r="B107" s="4" t="s">
        <v>97</v>
      </c>
      <c r="C107" s="4" t="s">
        <v>100</v>
      </c>
      <c r="D107" s="4" t="s">
        <v>101</v>
      </c>
      <c r="E107" s="4" t="s">
        <v>69</v>
      </c>
      <c r="F107" s="4" t="s">
        <v>95</v>
      </c>
      <c r="G107" s="4" t="s">
        <v>102</v>
      </c>
      <c r="H107" s="4" t="s">
        <v>59</v>
      </c>
      <c r="I107" s="3"/>
      <c r="J107" s="3"/>
      <c r="K107" s="3"/>
      <c r="L107" s="3"/>
      <c r="M107" s="3"/>
      <c r="N107" s="3"/>
      <c r="O107" s="3"/>
      <c r="P107" s="8"/>
      <c r="Q107" s="8"/>
      <c r="R107" s="3"/>
      <c r="S107" s="3"/>
      <c r="T107" s="3"/>
      <c r="U107" s="5" t="str">
        <f t="shared" si="6"/>
        <v/>
      </c>
    </row>
    <row r="108" spans="1:21" ht="28" customHeight="1" x14ac:dyDescent="0.35">
      <c r="A108" s="4">
        <v>11</v>
      </c>
      <c r="B108" s="4" t="s">
        <v>103</v>
      </c>
      <c r="C108" s="4" t="s">
        <v>104</v>
      </c>
      <c r="D108" s="4" t="s">
        <v>105</v>
      </c>
      <c r="E108" s="4" t="s">
        <v>69</v>
      </c>
      <c r="F108" s="4" t="s">
        <v>95</v>
      </c>
      <c r="G108" s="4" t="s">
        <v>96</v>
      </c>
      <c r="H108" s="4" t="s">
        <v>85</v>
      </c>
      <c r="I108" s="3"/>
      <c r="J108" s="3"/>
      <c r="K108" s="3"/>
      <c r="L108" s="3"/>
      <c r="M108" s="3"/>
      <c r="N108" s="3"/>
      <c r="O108" s="3"/>
      <c r="P108" s="8"/>
      <c r="Q108" s="8"/>
      <c r="R108" s="3"/>
      <c r="S108" s="3"/>
      <c r="T108" s="3"/>
      <c r="U108" s="5" t="str">
        <f t="shared" si="6"/>
        <v/>
      </c>
    </row>
    <row r="109" spans="1:21" ht="28" customHeight="1" x14ac:dyDescent="0.35">
      <c r="A109" s="4">
        <v>12</v>
      </c>
      <c r="B109" s="4" t="s">
        <v>106</v>
      </c>
      <c r="C109" s="4" t="s">
        <v>107</v>
      </c>
      <c r="D109" s="4" t="s">
        <v>108</v>
      </c>
      <c r="E109" s="4" t="s">
        <v>109</v>
      </c>
      <c r="F109" s="4" t="s">
        <v>95</v>
      </c>
      <c r="G109" s="4" t="s">
        <v>96</v>
      </c>
      <c r="H109" s="4" t="s">
        <v>59</v>
      </c>
      <c r="I109" s="3"/>
      <c r="J109" s="3"/>
      <c r="K109" s="3"/>
      <c r="L109" s="3"/>
      <c r="M109" s="3"/>
      <c r="N109" s="3"/>
      <c r="O109" s="3"/>
      <c r="P109" s="8"/>
      <c r="Q109" s="8"/>
      <c r="R109" s="3"/>
      <c r="S109" s="3"/>
      <c r="T109" s="3"/>
      <c r="U109" s="5" t="str">
        <f t="shared" si="6"/>
        <v/>
      </c>
    </row>
    <row r="111" spans="1:21" ht="28" customHeight="1" x14ac:dyDescent="0.35">
      <c r="A111" s="9" t="s">
        <v>110</v>
      </c>
      <c r="B111" s="16"/>
      <c r="C111" s="17"/>
      <c r="D111" s="17"/>
      <c r="E111" s="17"/>
      <c r="F111" s="17"/>
      <c r="G111" s="17"/>
      <c r="H111" s="17"/>
      <c r="I111" s="17"/>
      <c r="J111" s="17"/>
      <c r="K111" s="17"/>
      <c r="L111" s="17"/>
      <c r="M111" s="17"/>
      <c r="N111" s="17"/>
      <c r="O111" s="17"/>
      <c r="P111" s="17"/>
      <c r="Q111" s="17"/>
      <c r="R111" s="17"/>
      <c r="S111" s="17"/>
      <c r="T111" s="17"/>
      <c r="U111" s="18"/>
    </row>
    <row r="112" spans="1:21" ht="28" customHeight="1" x14ac:dyDescent="0.35">
      <c r="A112" s="19" t="s">
        <v>465</v>
      </c>
      <c r="B112" s="20"/>
      <c r="C112" s="20"/>
      <c r="D112" s="20"/>
      <c r="E112" s="20"/>
      <c r="F112" s="20"/>
      <c r="G112" s="20"/>
      <c r="H112" s="20"/>
      <c r="I112" s="20"/>
      <c r="J112" s="20"/>
      <c r="K112" s="20"/>
      <c r="L112" s="20"/>
      <c r="M112" s="20"/>
      <c r="N112" s="20"/>
      <c r="O112" s="20"/>
      <c r="P112" s="20"/>
      <c r="Q112" s="20"/>
      <c r="R112" s="20"/>
      <c r="S112" s="20"/>
      <c r="T112" s="20"/>
      <c r="U112" s="21"/>
    </row>
    <row r="113" spans="1:21" ht="28" customHeight="1" x14ac:dyDescent="0.35">
      <c r="A113" s="4" t="s">
        <v>31</v>
      </c>
      <c r="B113" s="3" t="s">
        <v>220</v>
      </c>
      <c r="C113" s="4" t="s">
        <v>32</v>
      </c>
      <c r="D113" s="3"/>
      <c r="E113" s="4" t="s">
        <v>33</v>
      </c>
      <c r="F113" s="8"/>
    </row>
    <row r="114" spans="1:21" ht="28" customHeight="1" x14ac:dyDescent="0.35">
      <c r="A114" s="1" t="s">
        <v>34</v>
      </c>
      <c r="B114" s="1" t="s">
        <v>35</v>
      </c>
      <c r="C114" s="1" t="s">
        <v>36</v>
      </c>
      <c r="D114" s="1" t="s">
        <v>37</v>
      </c>
      <c r="E114" s="1" t="s">
        <v>38</v>
      </c>
      <c r="F114" s="1" t="s">
        <v>39</v>
      </c>
      <c r="G114" s="1" t="s">
        <v>40</v>
      </c>
      <c r="H114" s="1" t="s">
        <v>41</v>
      </c>
      <c r="I114" s="1" t="s">
        <v>42</v>
      </c>
      <c r="J114" s="1" t="s">
        <v>43</v>
      </c>
      <c r="K114" s="1" t="s">
        <v>44</v>
      </c>
      <c r="L114" s="1" t="s">
        <v>45</v>
      </c>
      <c r="M114" s="1" t="s">
        <v>46</v>
      </c>
      <c r="N114" s="1" t="s">
        <v>47</v>
      </c>
      <c r="O114" s="1" t="s">
        <v>48</v>
      </c>
      <c r="P114" s="1" t="s">
        <v>4</v>
      </c>
      <c r="Q114" s="1" t="s">
        <v>49</v>
      </c>
      <c r="R114" s="1" t="s">
        <v>50</v>
      </c>
      <c r="S114" s="1" t="s">
        <v>51</v>
      </c>
      <c r="T114" s="1" t="s">
        <v>52</v>
      </c>
      <c r="U114" s="1" t="s">
        <v>10</v>
      </c>
    </row>
    <row r="115" spans="1:21" ht="28" customHeight="1" x14ac:dyDescent="0.35">
      <c r="A115" s="4">
        <v>1</v>
      </c>
      <c r="B115" s="4" t="s">
        <v>439</v>
      </c>
      <c r="C115" s="4" t="s">
        <v>440</v>
      </c>
      <c r="D115" s="4" t="s">
        <v>441</v>
      </c>
      <c r="E115" s="4" t="s">
        <v>69</v>
      </c>
      <c r="F115" s="4" t="s">
        <v>370</v>
      </c>
      <c r="G115" s="4" t="s">
        <v>204</v>
      </c>
      <c r="H115" s="4" t="s">
        <v>59</v>
      </c>
      <c r="I115" s="3"/>
      <c r="J115" s="3"/>
      <c r="K115" s="3"/>
      <c r="L115" s="3"/>
      <c r="M115" s="3"/>
      <c r="N115" s="3"/>
      <c r="O115" s="3"/>
      <c r="P115" s="8"/>
      <c r="Q115" s="8"/>
      <c r="R115" s="3"/>
      <c r="S115" s="3"/>
      <c r="T115" s="3"/>
      <c r="U115" s="5" t="str">
        <f t="shared" ref="U115:U126" si="7">IF(I115="","",IF(I115="NA","Grey",IF(I115=2,"Green",IF(I115=1,"Amber","Red"))))</f>
        <v/>
      </c>
    </row>
    <row r="116" spans="1:21" ht="28" customHeight="1" x14ac:dyDescent="0.35">
      <c r="A116" s="4">
        <v>2</v>
      </c>
      <c r="B116" s="4" t="s">
        <v>442</v>
      </c>
      <c r="C116" s="4" t="s">
        <v>443</v>
      </c>
      <c r="D116" s="4" t="s">
        <v>444</v>
      </c>
      <c r="E116" s="4" t="s">
        <v>69</v>
      </c>
      <c r="F116" s="4" t="s">
        <v>95</v>
      </c>
      <c r="G116" s="4" t="s">
        <v>102</v>
      </c>
      <c r="H116" s="4" t="s">
        <v>59</v>
      </c>
      <c r="I116" s="3"/>
      <c r="J116" s="3"/>
      <c r="K116" s="3"/>
      <c r="L116" s="3"/>
      <c r="M116" s="3"/>
      <c r="N116" s="3"/>
      <c r="O116" s="3"/>
      <c r="P116" s="8"/>
      <c r="Q116" s="8"/>
      <c r="R116" s="3"/>
      <c r="S116" s="3"/>
      <c r="T116" s="3"/>
      <c r="U116" s="5" t="str">
        <f t="shared" si="7"/>
        <v/>
      </c>
    </row>
    <row r="117" spans="1:21" ht="28" customHeight="1" x14ac:dyDescent="0.35">
      <c r="A117" s="4">
        <v>3</v>
      </c>
      <c r="B117" s="4" t="s">
        <v>445</v>
      </c>
      <c r="C117" s="4" t="s">
        <v>446</v>
      </c>
      <c r="D117" s="4" t="s">
        <v>369</v>
      </c>
      <c r="E117" s="4" t="s">
        <v>69</v>
      </c>
      <c r="F117" s="4" t="s">
        <v>370</v>
      </c>
      <c r="G117" s="4" t="s">
        <v>204</v>
      </c>
      <c r="H117" s="4" t="s">
        <v>76</v>
      </c>
      <c r="I117" s="3"/>
      <c r="J117" s="3"/>
      <c r="K117" s="3"/>
      <c r="L117" s="3"/>
      <c r="M117" s="3"/>
      <c r="N117" s="3"/>
      <c r="O117" s="3"/>
      <c r="P117" s="8"/>
      <c r="Q117" s="8"/>
      <c r="R117" s="3"/>
      <c r="S117" s="3"/>
      <c r="T117" s="3"/>
      <c r="U117" s="5" t="str">
        <f t="shared" si="7"/>
        <v/>
      </c>
    </row>
    <row r="118" spans="1:21" ht="28" customHeight="1" x14ac:dyDescent="0.35">
      <c r="A118" s="4">
        <v>4</v>
      </c>
      <c r="B118" s="4" t="s">
        <v>447</v>
      </c>
      <c r="C118" s="4" t="s">
        <v>448</v>
      </c>
      <c r="D118" s="4" t="s">
        <v>449</v>
      </c>
      <c r="E118" s="4" t="s">
        <v>109</v>
      </c>
      <c r="F118" s="4" t="s">
        <v>276</v>
      </c>
      <c r="G118" s="4" t="s">
        <v>199</v>
      </c>
      <c r="H118" s="4" t="s">
        <v>59</v>
      </c>
      <c r="I118" s="3"/>
      <c r="J118" s="3"/>
      <c r="K118" s="3"/>
      <c r="L118" s="3"/>
      <c r="M118" s="3"/>
      <c r="N118" s="3"/>
      <c r="O118" s="3"/>
      <c r="P118" s="8"/>
      <c r="Q118" s="8"/>
      <c r="R118" s="3"/>
      <c r="S118" s="3"/>
      <c r="T118" s="3"/>
      <c r="U118" s="5" t="str">
        <f t="shared" si="7"/>
        <v/>
      </c>
    </row>
    <row r="119" spans="1:21" ht="28" customHeight="1" x14ac:dyDescent="0.35">
      <c r="A119" s="4">
        <v>5</v>
      </c>
      <c r="B119" s="4" t="s">
        <v>450</v>
      </c>
      <c r="C119" s="4" t="s">
        <v>451</v>
      </c>
      <c r="D119" s="4" t="s">
        <v>452</v>
      </c>
      <c r="E119" s="4" t="s">
        <v>69</v>
      </c>
      <c r="F119" s="4" t="s">
        <v>276</v>
      </c>
      <c r="G119" s="4" t="s">
        <v>199</v>
      </c>
      <c r="H119" s="4" t="s">
        <v>59</v>
      </c>
      <c r="I119" s="3"/>
      <c r="J119" s="3"/>
      <c r="K119" s="3"/>
      <c r="L119" s="3"/>
      <c r="M119" s="3"/>
      <c r="N119" s="3"/>
      <c r="O119" s="3"/>
      <c r="P119" s="8"/>
      <c r="Q119" s="8"/>
      <c r="R119" s="3"/>
      <c r="S119" s="3"/>
      <c r="T119" s="3"/>
      <c r="U119" s="5" t="str">
        <f t="shared" si="7"/>
        <v/>
      </c>
    </row>
    <row r="120" spans="1:21" ht="28" customHeight="1" x14ac:dyDescent="0.35">
      <c r="A120" s="4">
        <v>6</v>
      </c>
      <c r="B120" s="4" t="s">
        <v>453</v>
      </c>
      <c r="C120" s="4" t="s">
        <v>454</v>
      </c>
      <c r="D120" s="4" t="s">
        <v>455</v>
      </c>
      <c r="E120" s="4" t="s">
        <v>69</v>
      </c>
      <c r="F120" s="4" t="s">
        <v>284</v>
      </c>
      <c r="G120" s="4" t="s">
        <v>204</v>
      </c>
      <c r="H120" s="4" t="s">
        <v>76</v>
      </c>
      <c r="I120" s="3"/>
      <c r="J120" s="3"/>
      <c r="K120" s="3"/>
      <c r="L120" s="3"/>
      <c r="M120" s="3"/>
      <c r="N120" s="3"/>
      <c r="O120" s="3"/>
      <c r="P120" s="8"/>
      <c r="Q120" s="8"/>
      <c r="R120" s="3"/>
      <c r="S120" s="3"/>
      <c r="T120" s="3"/>
      <c r="U120" s="5" t="str">
        <f t="shared" si="7"/>
        <v/>
      </c>
    </row>
    <row r="121" spans="1:21" ht="28" customHeight="1" x14ac:dyDescent="0.35">
      <c r="A121" s="4">
        <v>7</v>
      </c>
      <c r="B121" s="4" t="s">
        <v>456</v>
      </c>
      <c r="C121" s="4" t="s">
        <v>457</v>
      </c>
      <c r="D121" s="4" t="s">
        <v>458</v>
      </c>
      <c r="E121" s="4" t="s">
        <v>69</v>
      </c>
      <c r="F121" s="4" t="s">
        <v>459</v>
      </c>
      <c r="G121" s="4" t="s">
        <v>209</v>
      </c>
      <c r="H121" s="4" t="s">
        <v>59</v>
      </c>
      <c r="I121" s="3"/>
      <c r="J121" s="3"/>
      <c r="K121" s="3"/>
      <c r="L121" s="3"/>
      <c r="M121" s="3"/>
      <c r="N121" s="3"/>
      <c r="O121" s="3"/>
      <c r="P121" s="8"/>
      <c r="Q121" s="8"/>
      <c r="R121" s="3"/>
      <c r="S121" s="3"/>
      <c r="T121" s="3"/>
      <c r="U121" s="5" t="str">
        <f t="shared" si="7"/>
        <v/>
      </c>
    </row>
    <row r="122" spans="1:21" ht="28" customHeight="1" x14ac:dyDescent="0.35">
      <c r="A122" s="4">
        <v>8</v>
      </c>
      <c r="B122" s="4" t="s">
        <v>460</v>
      </c>
      <c r="C122" s="4" t="s">
        <v>461</v>
      </c>
      <c r="D122" s="4" t="s">
        <v>462</v>
      </c>
      <c r="E122" s="4" t="s">
        <v>69</v>
      </c>
      <c r="F122" s="4" t="s">
        <v>95</v>
      </c>
      <c r="G122" s="4" t="s">
        <v>102</v>
      </c>
      <c r="H122" s="4" t="s">
        <v>59</v>
      </c>
      <c r="I122" s="3"/>
      <c r="J122" s="3"/>
      <c r="K122" s="3"/>
      <c r="L122" s="3"/>
      <c r="M122" s="3"/>
      <c r="N122" s="3"/>
      <c r="O122" s="3"/>
      <c r="P122" s="8"/>
      <c r="Q122" s="8"/>
      <c r="R122" s="3"/>
      <c r="S122" s="3"/>
      <c r="T122" s="3"/>
      <c r="U122" s="5" t="str">
        <f t="shared" si="7"/>
        <v/>
      </c>
    </row>
    <row r="123" spans="1:21" ht="28" customHeight="1" x14ac:dyDescent="0.35">
      <c r="A123" s="4">
        <v>9</v>
      </c>
      <c r="B123" s="4" t="s">
        <v>97</v>
      </c>
      <c r="C123" s="4" t="s">
        <v>98</v>
      </c>
      <c r="D123" s="4" t="s">
        <v>99</v>
      </c>
      <c r="E123" s="4" t="s">
        <v>69</v>
      </c>
      <c r="F123" s="4" t="s">
        <v>95</v>
      </c>
      <c r="G123" s="4" t="s">
        <v>96</v>
      </c>
      <c r="H123" s="4" t="s">
        <v>59</v>
      </c>
      <c r="I123" s="3"/>
      <c r="J123" s="3"/>
      <c r="K123" s="3"/>
      <c r="L123" s="3"/>
      <c r="M123" s="3"/>
      <c r="N123" s="3"/>
      <c r="O123" s="3"/>
      <c r="P123" s="8"/>
      <c r="Q123" s="8"/>
      <c r="R123" s="3"/>
      <c r="S123" s="3"/>
      <c r="T123" s="3"/>
      <c r="U123" s="5" t="str">
        <f t="shared" si="7"/>
        <v/>
      </c>
    </row>
    <row r="124" spans="1:21" ht="28" customHeight="1" x14ac:dyDescent="0.35">
      <c r="A124" s="4">
        <v>10</v>
      </c>
      <c r="B124" s="4" t="s">
        <v>97</v>
      </c>
      <c r="C124" s="4" t="s">
        <v>100</v>
      </c>
      <c r="D124" s="4" t="s">
        <v>101</v>
      </c>
      <c r="E124" s="4" t="s">
        <v>69</v>
      </c>
      <c r="F124" s="4" t="s">
        <v>95</v>
      </c>
      <c r="G124" s="4" t="s">
        <v>102</v>
      </c>
      <c r="H124" s="4" t="s">
        <v>59</v>
      </c>
      <c r="I124" s="3"/>
      <c r="J124" s="3"/>
      <c r="K124" s="3"/>
      <c r="L124" s="3"/>
      <c r="M124" s="3"/>
      <c r="N124" s="3"/>
      <c r="O124" s="3"/>
      <c r="P124" s="8"/>
      <c r="Q124" s="8"/>
      <c r="R124" s="3"/>
      <c r="S124" s="3"/>
      <c r="T124" s="3"/>
      <c r="U124" s="5" t="str">
        <f t="shared" si="7"/>
        <v/>
      </c>
    </row>
    <row r="125" spans="1:21" ht="28" customHeight="1" x14ac:dyDescent="0.35">
      <c r="A125" s="4">
        <v>11</v>
      </c>
      <c r="B125" s="4" t="s">
        <v>103</v>
      </c>
      <c r="C125" s="4" t="s">
        <v>104</v>
      </c>
      <c r="D125" s="4" t="s">
        <v>105</v>
      </c>
      <c r="E125" s="4" t="s">
        <v>69</v>
      </c>
      <c r="F125" s="4" t="s">
        <v>95</v>
      </c>
      <c r="G125" s="4" t="s">
        <v>96</v>
      </c>
      <c r="H125" s="4" t="s">
        <v>85</v>
      </c>
      <c r="I125" s="3"/>
      <c r="J125" s="3"/>
      <c r="K125" s="3"/>
      <c r="L125" s="3"/>
      <c r="M125" s="3"/>
      <c r="N125" s="3"/>
      <c r="O125" s="3"/>
      <c r="P125" s="8"/>
      <c r="Q125" s="8"/>
      <c r="R125" s="3"/>
      <c r="S125" s="3"/>
      <c r="T125" s="3"/>
      <c r="U125" s="5" t="str">
        <f t="shared" si="7"/>
        <v/>
      </c>
    </row>
    <row r="126" spans="1:21" ht="28" customHeight="1" x14ac:dyDescent="0.35">
      <c r="A126" s="4">
        <v>12</v>
      </c>
      <c r="B126" s="4" t="s">
        <v>106</v>
      </c>
      <c r="C126" s="4" t="s">
        <v>107</v>
      </c>
      <c r="D126" s="4" t="s">
        <v>108</v>
      </c>
      <c r="E126" s="4" t="s">
        <v>109</v>
      </c>
      <c r="F126" s="4" t="s">
        <v>95</v>
      </c>
      <c r="G126" s="4" t="s">
        <v>96</v>
      </c>
      <c r="H126" s="4" t="s">
        <v>59</v>
      </c>
      <c r="I126" s="3"/>
      <c r="J126" s="3"/>
      <c r="K126" s="3"/>
      <c r="L126" s="3"/>
      <c r="M126" s="3"/>
      <c r="N126" s="3"/>
      <c r="O126" s="3"/>
      <c r="P126" s="8"/>
      <c r="Q126" s="8"/>
      <c r="R126" s="3"/>
      <c r="S126" s="3"/>
      <c r="T126" s="3"/>
      <c r="U126" s="5" t="str">
        <f t="shared" si="7"/>
        <v/>
      </c>
    </row>
    <row r="128" spans="1:21" ht="28" customHeight="1" x14ac:dyDescent="0.35">
      <c r="A128" s="9" t="s">
        <v>110</v>
      </c>
      <c r="B128" s="16"/>
      <c r="C128" s="17"/>
      <c r="D128" s="17"/>
      <c r="E128" s="17"/>
      <c r="F128" s="17"/>
      <c r="G128" s="17"/>
      <c r="H128" s="17"/>
      <c r="I128" s="17"/>
      <c r="J128" s="17"/>
      <c r="K128" s="17"/>
      <c r="L128" s="17"/>
      <c r="M128" s="17"/>
      <c r="N128" s="17"/>
      <c r="O128" s="17"/>
      <c r="P128" s="17"/>
      <c r="Q128" s="17"/>
      <c r="R128" s="17"/>
      <c r="S128" s="17"/>
      <c r="T128" s="17"/>
      <c r="U128" s="18"/>
    </row>
    <row r="129" spans="1:21" ht="28" customHeight="1" x14ac:dyDescent="0.35">
      <c r="A129" s="19" t="s">
        <v>466</v>
      </c>
      <c r="B129" s="20"/>
      <c r="C129" s="20"/>
      <c r="D129" s="20"/>
      <c r="E129" s="20"/>
      <c r="F129" s="20"/>
      <c r="G129" s="20"/>
      <c r="H129" s="20"/>
      <c r="I129" s="20"/>
      <c r="J129" s="20"/>
      <c r="K129" s="20"/>
      <c r="L129" s="20"/>
      <c r="M129" s="20"/>
      <c r="N129" s="20"/>
      <c r="O129" s="20"/>
      <c r="P129" s="20"/>
      <c r="Q129" s="20"/>
      <c r="R129" s="20"/>
      <c r="S129" s="20"/>
      <c r="T129" s="20"/>
      <c r="U129" s="21"/>
    </row>
    <row r="130" spans="1:21" ht="28" customHeight="1" x14ac:dyDescent="0.35">
      <c r="A130" s="4" t="s">
        <v>31</v>
      </c>
      <c r="B130" s="3" t="s">
        <v>221</v>
      </c>
      <c r="C130" s="4" t="s">
        <v>32</v>
      </c>
      <c r="D130" s="3"/>
      <c r="E130" s="4" t="s">
        <v>33</v>
      </c>
      <c r="F130" s="8"/>
    </row>
    <row r="131" spans="1:21" ht="28" customHeight="1" x14ac:dyDescent="0.35">
      <c r="A131" s="1" t="s">
        <v>34</v>
      </c>
      <c r="B131" s="1" t="s">
        <v>35</v>
      </c>
      <c r="C131" s="1" t="s">
        <v>36</v>
      </c>
      <c r="D131" s="1" t="s">
        <v>37</v>
      </c>
      <c r="E131" s="1" t="s">
        <v>38</v>
      </c>
      <c r="F131" s="1" t="s">
        <v>39</v>
      </c>
      <c r="G131" s="1" t="s">
        <v>40</v>
      </c>
      <c r="H131" s="1" t="s">
        <v>41</v>
      </c>
      <c r="I131" s="1" t="s">
        <v>42</v>
      </c>
      <c r="J131" s="1" t="s">
        <v>43</v>
      </c>
      <c r="K131" s="1" t="s">
        <v>44</v>
      </c>
      <c r="L131" s="1" t="s">
        <v>45</v>
      </c>
      <c r="M131" s="1" t="s">
        <v>46</v>
      </c>
      <c r="N131" s="1" t="s">
        <v>47</v>
      </c>
      <c r="O131" s="1" t="s">
        <v>48</v>
      </c>
      <c r="P131" s="1" t="s">
        <v>4</v>
      </c>
      <c r="Q131" s="1" t="s">
        <v>49</v>
      </c>
      <c r="R131" s="1" t="s">
        <v>50</v>
      </c>
      <c r="S131" s="1" t="s">
        <v>51</v>
      </c>
      <c r="T131" s="1" t="s">
        <v>52</v>
      </c>
      <c r="U131" s="1" t="s">
        <v>10</v>
      </c>
    </row>
    <row r="132" spans="1:21" ht="28" customHeight="1" x14ac:dyDescent="0.35">
      <c r="A132" s="4">
        <v>1</v>
      </c>
      <c r="B132" s="4" t="s">
        <v>439</v>
      </c>
      <c r="C132" s="4" t="s">
        <v>440</v>
      </c>
      <c r="D132" s="4" t="s">
        <v>441</v>
      </c>
      <c r="E132" s="4" t="s">
        <v>69</v>
      </c>
      <c r="F132" s="4" t="s">
        <v>370</v>
      </c>
      <c r="G132" s="4" t="s">
        <v>204</v>
      </c>
      <c r="H132" s="4" t="s">
        <v>59</v>
      </c>
      <c r="I132" s="3"/>
      <c r="J132" s="3"/>
      <c r="K132" s="3"/>
      <c r="L132" s="3"/>
      <c r="M132" s="3"/>
      <c r="N132" s="3"/>
      <c r="O132" s="3"/>
      <c r="P132" s="8"/>
      <c r="Q132" s="8"/>
      <c r="R132" s="3"/>
      <c r="S132" s="3"/>
      <c r="T132" s="3"/>
      <c r="U132" s="5" t="str">
        <f t="shared" ref="U132:U143" si="8">IF(I132="","",IF(I132="NA","Grey",IF(I132=2,"Green",IF(I132=1,"Amber","Red"))))</f>
        <v/>
      </c>
    </row>
    <row r="133" spans="1:21" ht="28" customHeight="1" x14ac:dyDescent="0.35">
      <c r="A133" s="4">
        <v>2</v>
      </c>
      <c r="B133" s="4" t="s">
        <v>442</v>
      </c>
      <c r="C133" s="4" t="s">
        <v>443</v>
      </c>
      <c r="D133" s="4" t="s">
        <v>444</v>
      </c>
      <c r="E133" s="4" t="s">
        <v>69</v>
      </c>
      <c r="F133" s="4" t="s">
        <v>95</v>
      </c>
      <c r="G133" s="4" t="s">
        <v>102</v>
      </c>
      <c r="H133" s="4" t="s">
        <v>59</v>
      </c>
      <c r="I133" s="3"/>
      <c r="J133" s="3"/>
      <c r="K133" s="3"/>
      <c r="L133" s="3"/>
      <c r="M133" s="3"/>
      <c r="N133" s="3"/>
      <c r="O133" s="3"/>
      <c r="P133" s="8"/>
      <c r="Q133" s="8"/>
      <c r="R133" s="3"/>
      <c r="S133" s="3"/>
      <c r="T133" s="3"/>
      <c r="U133" s="5" t="str">
        <f t="shared" si="8"/>
        <v/>
      </c>
    </row>
    <row r="134" spans="1:21" ht="28" customHeight="1" x14ac:dyDescent="0.35">
      <c r="A134" s="4">
        <v>3</v>
      </c>
      <c r="B134" s="4" t="s">
        <v>445</v>
      </c>
      <c r="C134" s="4" t="s">
        <v>446</v>
      </c>
      <c r="D134" s="4" t="s">
        <v>369</v>
      </c>
      <c r="E134" s="4" t="s">
        <v>69</v>
      </c>
      <c r="F134" s="4" t="s">
        <v>370</v>
      </c>
      <c r="G134" s="4" t="s">
        <v>204</v>
      </c>
      <c r="H134" s="4" t="s">
        <v>76</v>
      </c>
      <c r="I134" s="3"/>
      <c r="J134" s="3"/>
      <c r="K134" s="3"/>
      <c r="L134" s="3"/>
      <c r="M134" s="3"/>
      <c r="N134" s="3"/>
      <c r="O134" s="3"/>
      <c r="P134" s="8"/>
      <c r="Q134" s="8"/>
      <c r="R134" s="3"/>
      <c r="S134" s="3"/>
      <c r="T134" s="3"/>
      <c r="U134" s="5" t="str">
        <f t="shared" si="8"/>
        <v/>
      </c>
    </row>
    <row r="135" spans="1:21" ht="28" customHeight="1" x14ac:dyDescent="0.35">
      <c r="A135" s="4">
        <v>4</v>
      </c>
      <c r="B135" s="4" t="s">
        <v>447</v>
      </c>
      <c r="C135" s="4" t="s">
        <v>448</v>
      </c>
      <c r="D135" s="4" t="s">
        <v>449</v>
      </c>
      <c r="E135" s="4" t="s">
        <v>109</v>
      </c>
      <c r="F135" s="4" t="s">
        <v>276</v>
      </c>
      <c r="G135" s="4" t="s">
        <v>199</v>
      </c>
      <c r="H135" s="4" t="s">
        <v>59</v>
      </c>
      <c r="I135" s="3"/>
      <c r="J135" s="3"/>
      <c r="K135" s="3"/>
      <c r="L135" s="3"/>
      <c r="M135" s="3"/>
      <c r="N135" s="3"/>
      <c r="O135" s="3"/>
      <c r="P135" s="8"/>
      <c r="Q135" s="8"/>
      <c r="R135" s="3"/>
      <c r="S135" s="3"/>
      <c r="T135" s="3"/>
      <c r="U135" s="5" t="str">
        <f t="shared" si="8"/>
        <v/>
      </c>
    </row>
    <row r="136" spans="1:21" ht="28" customHeight="1" x14ac:dyDescent="0.35">
      <c r="A136" s="4">
        <v>5</v>
      </c>
      <c r="B136" s="4" t="s">
        <v>450</v>
      </c>
      <c r="C136" s="4" t="s">
        <v>451</v>
      </c>
      <c r="D136" s="4" t="s">
        <v>452</v>
      </c>
      <c r="E136" s="4" t="s">
        <v>69</v>
      </c>
      <c r="F136" s="4" t="s">
        <v>276</v>
      </c>
      <c r="G136" s="4" t="s">
        <v>199</v>
      </c>
      <c r="H136" s="4" t="s">
        <v>59</v>
      </c>
      <c r="I136" s="3"/>
      <c r="J136" s="3"/>
      <c r="K136" s="3"/>
      <c r="L136" s="3"/>
      <c r="M136" s="3"/>
      <c r="N136" s="3"/>
      <c r="O136" s="3"/>
      <c r="P136" s="8"/>
      <c r="Q136" s="8"/>
      <c r="R136" s="3"/>
      <c r="S136" s="3"/>
      <c r="T136" s="3"/>
      <c r="U136" s="5" t="str">
        <f t="shared" si="8"/>
        <v/>
      </c>
    </row>
    <row r="137" spans="1:21" ht="28" customHeight="1" x14ac:dyDescent="0.35">
      <c r="A137" s="4">
        <v>6</v>
      </c>
      <c r="B137" s="4" t="s">
        <v>453</v>
      </c>
      <c r="C137" s="4" t="s">
        <v>454</v>
      </c>
      <c r="D137" s="4" t="s">
        <v>455</v>
      </c>
      <c r="E137" s="4" t="s">
        <v>69</v>
      </c>
      <c r="F137" s="4" t="s">
        <v>284</v>
      </c>
      <c r="G137" s="4" t="s">
        <v>204</v>
      </c>
      <c r="H137" s="4" t="s">
        <v>76</v>
      </c>
      <c r="I137" s="3"/>
      <c r="J137" s="3"/>
      <c r="K137" s="3"/>
      <c r="L137" s="3"/>
      <c r="M137" s="3"/>
      <c r="N137" s="3"/>
      <c r="O137" s="3"/>
      <c r="P137" s="8"/>
      <c r="Q137" s="8"/>
      <c r="R137" s="3"/>
      <c r="S137" s="3"/>
      <c r="T137" s="3"/>
      <c r="U137" s="5" t="str">
        <f t="shared" si="8"/>
        <v/>
      </c>
    </row>
    <row r="138" spans="1:21" ht="28" customHeight="1" x14ac:dyDescent="0.35">
      <c r="A138" s="4">
        <v>7</v>
      </c>
      <c r="B138" s="4" t="s">
        <v>456</v>
      </c>
      <c r="C138" s="4" t="s">
        <v>457</v>
      </c>
      <c r="D138" s="4" t="s">
        <v>458</v>
      </c>
      <c r="E138" s="4" t="s">
        <v>69</v>
      </c>
      <c r="F138" s="4" t="s">
        <v>459</v>
      </c>
      <c r="G138" s="4" t="s">
        <v>209</v>
      </c>
      <c r="H138" s="4" t="s">
        <v>59</v>
      </c>
      <c r="I138" s="3"/>
      <c r="J138" s="3"/>
      <c r="K138" s="3"/>
      <c r="L138" s="3"/>
      <c r="M138" s="3"/>
      <c r="N138" s="3"/>
      <c r="O138" s="3"/>
      <c r="P138" s="8"/>
      <c r="Q138" s="8"/>
      <c r="R138" s="3"/>
      <c r="S138" s="3"/>
      <c r="T138" s="3"/>
      <c r="U138" s="5" t="str">
        <f t="shared" si="8"/>
        <v/>
      </c>
    </row>
    <row r="139" spans="1:21" ht="28" customHeight="1" x14ac:dyDescent="0.35">
      <c r="A139" s="4">
        <v>8</v>
      </c>
      <c r="B139" s="4" t="s">
        <v>460</v>
      </c>
      <c r="C139" s="4" t="s">
        <v>461</v>
      </c>
      <c r="D139" s="4" t="s">
        <v>462</v>
      </c>
      <c r="E139" s="4" t="s">
        <v>69</v>
      </c>
      <c r="F139" s="4" t="s">
        <v>95</v>
      </c>
      <c r="G139" s="4" t="s">
        <v>102</v>
      </c>
      <c r="H139" s="4" t="s">
        <v>59</v>
      </c>
      <c r="I139" s="3"/>
      <c r="J139" s="3"/>
      <c r="K139" s="3"/>
      <c r="L139" s="3"/>
      <c r="M139" s="3"/>
      <c r="N139" s="3"/>
      <c r="O139" s="3"/>
      <c r="P139" s="8"/>
      <c r="Q139" s="8"/>
      <c r="R139" s="3"/>
      <c r="S139" s="3"/>
      <c r="T139" s="3"/>
      <c r="U139" s="5" t="str">
        <f t="shared" si="8"/>
        <v/>
      </c>
    </row>
    <row r="140" spans="1:21" ht="28" customHeight="1" x14ac:dyDescent="0.35">
      <c r="A140" s="4">
        <v>9</v>
      </c>
      <c r="B140" s="4" t="s">
        <v>97</v>
      </c>
      <c r="C140" s="4" t="s">
        <v>98</v>
      </c>
      <c r="D140" s="4" t="s">
        <v>99</v>
      </c>
      <c r="E140" s="4" t="s">
        <v>69</v>
      </c>
      <c r="F140" s="4" t="s">
        <v>95</v>
      </c>
      <c r="G140" s="4" t="s">
        <v>96</v>
      </c>
      <c r="H140" s="4" t="s">
        <v>59</v>
      </c>
      <c r="I140" s="3"/>
      <c r="J140" s="3"/>
      <c r="K140" s="3"/>
      <c r="L140" s="3"/>
      <c r="M140" s="3"/>
      <c r="N140" s="3"/>
      <c r="O140" s="3"/>
      <c r="P140" s="8"/>
      <c r="Q140" s="8"/>
      <c r="R140" s="3"/>
      <c r="S140" s="3"/>
      <c r="T140" s="3"/>
      <c r="U140" s="5" t="str">
        <f t="shared" si="8"/>
        <v/>
      </c>
    </row>
    <row r="141" spans="1:21" ht="28" customHeight="1" x14ac:dyDescent="0.35">
      <c r="A141" s="4">
        <v>10</v>
      </c>
      <c r="B141" s="4" t="s">
        <v>97</v>
      </c>
      <c r="C141" s="4" t="s">
        <v>100</v>
      </c>
      <c r="D141" s="4" t="s">
        <v>101</v>
      </c>
      <c r="E141" s="4" t="s">
        <v>69</v>
      </c>
      <c r="F141" s="4" t="s">
        <v>95</v>
      </c>
      <c r="G141" s="4" t="s">
        <v>102</v>
      </c>
      <c r="H141" s="4" t="s">
        <v>59</v>
      </c>
      <c r="I141" s="3"/>
      <c r="J141" s="3"/>
      <c r="K141" s="3"/>
      <c r="L141" s="3"/>
      <c r="M141" s="3"/>
      <c r="N141" s="3"/>
      <c r="O141" s="3"/>
      <c r="P141" s="8"/>
      <c r="Q141" s="8"/>
      <c r="R141" s="3"/>
      <c r="S141" s="3"/>
      <c r="T141" s="3"/>
      <c r="U141" s="5" t="str">
        <f t="shared" si="8"/>
        <v/>
      </c>
    </row>
    <row r="142" spans="1:21" ht="28" customHeight="1" x14ac:dyDescent="0.35">
      <c r="A142" s="4">
        <v>11</v>
      </c>
      <c r="B142" s="4" t="s">
        <v>103</v>
      </c>
      <c r="C142" s="4" t="s">
        <v>104</v>
      </c>
      <c r="D142" s="4" t="s">
        <v>105</v>
      </c>
      <c r="E142" s="4" t="s">
        <v>69</v>
      </c>
      <c r="F142" s="4" t="s">
        <v>95</v>
      </c>
      <c r="G142" s="4" t="s">
        <v>96</v>
      </c>
      <c r="H142" s="4" t="s">
        <v>85</v>
      </c>
      <c r="I142" s="3"/>
      <c r="J142" s="3"/>
      <c r="K142" s="3"/>
      <c r="L142" s="3"/>
      <c r="M142" s="3"/>
      <c r="N142" s="3"/>
      <c r="O142" s="3"/>
      <c r="P142" s="8"/>
      <c r="Q142" s="8"/>
      <c r="R142" s="3"/>
      <c r="S142" s="3"/>
      <c r="T142" s="3"/>
      <c r="U142" s="5" t="str">
        <f t="shared" si="8"/>
        <v/>
      </c>
    </row>
    <row r="143" spans="1:21" ht="28" customHeight="1" x14ac:dyDescent="0.35">
      <c r="A143" s="4">
        <v>12</v>
      </c>
      <c r="B143" s="4" t="s">
        <v>106</v>
      </c>
      <c r="C143" s="4" t="s">
        <v>107</v>
      </c>
      <c r="D143" s="4" t="s">
        <v>108</v>
      </c>
      <c r="E143" s="4" t="s">
        <v>109</v>
      </c>
      <c r="F143" s="4" t="s">
        <v>95</v>
      </c>
      <c r="G143" s="4" t="s">
        <v>96</v>
      </c>
      <c r="H143" s="4" t="s">
        <v>59</v>
      </c>
      <c r="I143" s="3"/>
      <c r="J143" s="3"/>
      <c r="K143" s="3"/>
      <c r="L143" s="3"/>
      <c r="M143" s="3"/>
      <c r="N143" s="3"/>
      <c r="O143" s="3"/>
      <c r="P143" s="8"/>
      <c r="Q143" s="8"/>
      <c r="R143" s="3"/>
      <c r="S143" s="3"/>
      <c r="T143" s="3"/>
      <c r="U143" s="5" t="str">
        <f t="shared" si="8"/>
        <v/>
      </c>
    </row>
    <row r="145" spans="1:21" ht="28" customHeight="1" x14ac:dyDescent="0.35">
      <c r="A145" s="9" t="s">
        <v>110</v>
      </c>
      <c r="B145" s="16"/>
      <c r="C145" s="17"/>
      <c r="D145" s="17"/>
      <c r="E145" s="17"/>
      <c r="F145" s="17"/>
      <c r="G145" s="17"/>
      <c r="H145" s="17"/>
      <c r="I145" s="17"/>
      <c r="J145" s="17"/>
      <c r="K145" s="17"/>
      <c r="L145" s="17"/>
      <c r="M145" s="17"/>
      <c r="N145" s="17"/>
      <c r="O145" s="17"/>
      <c r="P145" s="17"/>
      <c r="Q145" s="17"/>
      <c r="R145" s="17"/>
      <c r="S145" s="17"/>
      <c r="T145" s="17"/>
      <c r="U145" s="18"/>
    </row>
    <row r="146" spans="1:21" ht="28" customHeight="1" x14ac:dyDescent="0.35">
      <c r="A146" s="19" t="s">
        <v>467</v>
      </c>
      <c r="B146" s="20"/>
      <c r="C146" s="20"/>
      <c r="D146" s="20"/>
      <c r="E146" s="20"/>
      <c r="F146" s="20"/>
      <c r="G146" s="20"/>
      <c r="H146" s="20"/>
      <c r="I146" s="20"/>
      <c r="J146" s="20"/>
      <c r="K146" s="20"/>
      <c r="L146" s="20"/>
      <c r="M146" s="20"/>
      <c r="N146" s="20"/>
      <c r="O146" s="20"/>
      <c r="P146" s="20"/>
      <c r="Q146" s="20"/>
      <c r="R146" s="20"/>
      <c r="S146" s="20"/>
      <c r="T146" s="20"/>
      <c r="U146" s="21"/>
    </row>
    <row r="147" spans="1:21" ht="28" customHeight="1" x14ac:dyDescent="0.35">
      <c r="A147" s="4" t="s">
        <v>31</v>
      </c>
      <c r="B147" s="3" t="s">
        <v>222</v>
      </c>
      <c r="C147" s="4" t="s">
        <v>32</v>
      </c>
      <c r="D147" s="3"/>
      <c r="E147" s="4" t="s">
        <v>33</v>
      </c>
      <c r="F147" s="8"/>
    </row>
    <row r="148" spans="1:21" ht="28" customHeight="1" x14ac:dyDescent="0.35">
      <c r="A148" s="1" t="s">
        <v>34</v>
      </c>
      <c r="B148" s="1" t="s">
        <v>35</v>
      </c>
      <c r="C148" s="1" t="s">
        <v>36</v>
      </c>
      <c r="D148" s="1" t="s">
        <v>37</v>
      </c>
      <c r="E148" s="1" t="s">
        <v>38</v>
      </c>
      <c r="F148" s="1" t="s">
        <v>39</v>
      </c>
      <c r="G148" s="1" t="s">
        <v>40</v>
      </c>
      <c r="H148" s="1" t="s">
        <v>41</v>
      </c>
      <c r="I148" s="1" t="s">
        <v>42</v>
      </c>
      <c r="J148" s="1" t="s">
        <v>43</v>
      </c>
      <c r="K148" s="1" t="s">
        <v>44</v>
      </c>
      <c r="L148" s="1" t="s">
        <v>45</v>
      </c>
      <c r="M148" s="1" t="s">
        <v>46</v>
      </c>
      <c r="N148" s="1" t="s">
        <v>47</v>
      </c>
      <c r="O148" s="1" t="s">
        <v>48</v>
      </c>
      <c r="P148" s="1" t="s">
        <v>4</v>
      </c>
      <c r="Q148" s="1" t="s">
        <v>49</v>
      </c>
      <c r="R148" s="1" t="s">
        <v>50</v>
      </c>
      <c r="S148" s="1" t="s">
        <v>51</v>
      </c>
      <c r="T148" s="1" t="s">
        <v>52</v>
      </c>
      <c r="U148" s="1" t="s">
        <v>10</v>
      </c>
    </row>
    <row r="149" spans="1:21" ht="28" customHeight="1" x14ac:dyDescent="0.35">
      <c r="A149" s="4">
        <v>1</v>
      </c>
      <c r="B149" s="4" t="s">
        <v>439</v>
      </c>
      <c r="C149" s="4" t="s">
        <v>440</v>
      </c>
      <c r="D149" s="4" t="s">
        <v>441</v>
      </c>
      <c r="E149" s="4" t="s">
        <v>69</v>
      </c>
      <c r="F149" s="4" t="s">
        <v>370</v>
      </c>
      <c r="G149" s="4" t="s">
        <v>204</v>
      </c>
      <c r="H149" s="4" t="s">
        <v>59</v>
      </c>
      <c r="I149" s="3"/>
      <c r="J149" s="3"/>
      <c r="K149" s="3"/>
      <c r="L149" s="3"/>
      <c r="M149" s="3"/>
      <c r="N149" s="3"/>
      <c r="O149" s="3"/>
      <c r="P149" s="8"/>
      <c r="Q149" s="8"/>
      <c r="R149" s="3"/>
      <c r="S149" s="3"/>
      <c r="T149" s="3"/>
      <c r="U149" s="5" t="str">
        <f t="shared" ref="U149:U160" si="9">IF(I149="","",IF(I149="NA","Grey",IF(I149=2,"Green",IF(I149=1,"Amber","Red"))))</f>
        <v/>
      </c>
    </row>
    <row r="150" spans="1:21" ht="28" customHeight="1" x14ac:dyDescent="0.35">
      <c r="A150" s="4">
        <v>2</v>
      </c>
      <c r="B150" s="4" t="s">
        <v>442</v>
      </c>
      <c r="C150" s="4" t="s">
        <v>443</v>
      </c>
      <c r="D150" s="4" t="s">
        <v>444</v>
      </c>
      <c r="E150" s="4" t="s">
        <v>69</v>
      </c>
      <c r="F150" s="4" t="s">
        <v>95</v>
      </c>
      <c r="G150" s="4" t="s">
        <v>102</v>
      </c>
      <c r="H150" s="4" t="s">
        <v>59</v>
      </c>
      <c r="I150" s="3"/>
      <c r="J150" s="3"/>
      <c r="K150" s="3"/>
      <c r="L150" s="3"/>
      <c r="M150" s="3"/>
      <c r="N150" s="3"/>
      <c r="O150" s="3"/>
      <c r="P150" s="8"/>
      <c r="Q150" s="8"/>
      <c r="R150" s="3"/>
      <c r="S150" s="3"/>
      <c r="T150" s="3"/>
      <c r="U150" s="5" t="str">
        <f t="shared" si="9"/>
        <v/>
      </c>
    </row>
    <row r="151" spans="1:21" ht="28" customHeight="1" x14ac:dyDescent="0.35">
      <c r="A151" s="4">
        <v>3</v>
      </c>
      <c r="B151" s="4" t="s">
        <v>445</v>
      </c>
      <c r="C151" s="4" t="s">
        <v>446</v>
      </c>
      <c r="D151" s="4" t="s">
        <v>369</v>
      </c>
      <c r="E151" s="4" t="s">
        <v>69</v>
      </c>
      <c r="F151" s="4" t="s">
        <v>370</v>
      </c>
      <c r="G151" s="4" t="s">
        <v>204</v>
      </c>
      <c r="H151" s="4" t="s">
        <v>76</v>
      </c>
      <c r="I151" s="3"/>
      <c r="J151" s="3"/>
      <c r="K151" s="3"/>
      <c r="L151" s="3"/>
      <c r="M151" s="3"/>
      <c r="N151" s="3"/>
      <c r="O151" s="3"/>
      <c r="P151" s="8"/>
      <c r="Q151" s="8"/>
      <c r="R151" s="3"/>
      <c r="S151" s="3"/>
      <c r="T151" s="3"/>
      <c r="U151" s="5" t="str">
        <f t="shared" si="9"/>
        <v/>
      </c>
    </row>
    <row r="152" spans="1:21" ht="28" customHeight="1" x14ac:dyDescent="0.35">
      <c r="A152" s="4">
        <v>4</v>
      </c>
      <c r="B152" s="4" t="s">
        <v>447</v>
      </c>
      <c r="C152" s="4" t="s">
        <v>448</v>
      </c>
      <c r="D152" s="4" t="s">
        <v>449</v>
      </c>
      <c r="E152" s="4" t="s">
        <v>109</v>
      </c>
      <c r="F152" s="4" t="s">
        <v>276</v>
      </c>
      <c r="G152" s="4" t="s">
        <v>199</v>
      </c>
      <c r="H152" s="4" t="s">
        <v>59</v>
      </c>
      <c r="I152" s="3"/>
      <c r="J152" s="3"/>
      <c r="K152" s="3"/>
      <c r="L152" s="3"/>
      <c r="M152" s="3"/>
      <c r="N152" s="3"/>
      <c r="O152" s="3"/>
      <c r="P152" s="8"/>
      <c r="Q152" s="8"/>
      <c r="R152" s="3"/>
      <c r="S152" s="3"/>
      <c r="T152" s="3"/>
      <c r="U152" s="5" t="str">
        <f t="shared" si="9"/>
        <v/>
      </c>
    </row>
    <row r="153" spans="1:21" ht="28" customHeight="1" x14ac:dyDescent="0.35">
      <c r="A153" s="4">
        <v>5</v>
      </c>
      <c r="B153" s="4" t="s">
        <v>450</v>
      </c>
      <c r="C153" s="4" t="s">
        <v>451</v>
      </c>
      <c r="D153" s="4" t="s">
        <v>452</v>
      </c>
      <c r="E153" s="4" t="s">
        <v>69</v>
      </c>
      <c r="F153" s="4" t="s">
        <v>276</v>
      </c>
      <c r="G153" s="4" t="s">
        <v>199</v>
      </c>
      <c r="H153" s="4" t="s">
        <v>59</v>
      </c>
      <c r="I153" s="3"/>
      <c r="J153" s="3"/>
      <c r="K153" s="3"/>
      <c r="L153" s="3"/>
      <c r="M153" s="3"/>
      <c r="N153" s="3"/>
      <c r="O153" s="3"/>
      <c r="P153" s="8"/>
      <c r="Q153" s="8"/>
      <c r="R153" s="3"/>
      <c r="S153" s="3"/>
      <c r="T153" s="3"/>
      <c r="U153" s="5" t="str">
        <f t="shared" si="9"/>
        <v/>
      </c>
    </row>
    <row r="154" spans="1:21" ht="28" customHeight="1" x14ac:dyDescent="0.35">
      <c r="A154" s="4">
        <v>6</v>
      </c>
      <c r="B154" s="4" t="s">
        <v>453</v>
      </c>
      <c r="C154" s="4" t="s">
        <v>454</v>
      </c>
      <c r="D154" s="4" t="s">
        <v>455</v>
      </c>
      <c r="E154" s="4" t="s">
        <v>69</v>
      </c>
      <c r="F154" s="4" t="s">
        <v>284</v>
      </c>
      <c r="G154" s="4" t="s">
        <v>204</v>
      </c>
      <c r="H154" s="4" t="s">
        <v>76</v>
      </c>
      <c r="I154" s="3"/>
      <c r="J154" s="3"/>
      <c r="K154" s="3"/>
      <c r="L154" s="3"/>
      <c r="M154" s="3"/>
      <c r="N154" s="3"/>
      <c r="O154" s="3"/>
      <c r="P154" s="8"/>
      <c r="Q154" s="8"/>
      <c r="R154" s="3"/>
      <c r="S154" s="3"/>
      <c r="T154" s="3"/>
      <c r="U154" s="5" t="str">
        <f t="shared" si="9"/>
        <v/>
      </c>
    </row>
    <row r="155" spans="1:21" ht="28" customHeight="1" x14ac:dyDescent="0.35">
      <c r="A155" s="4">
        <v>7</v>
      </c>
      <c r="B155" s="4" t="s">
        <v>456</v>
      </c>
      <c r="C155" s="4" t="s">
        <v>457</v>
      </c>
      <c r="D155" s="4" t="s">
        <v>458</v>
      </c>
      <c r="E155" s="4" t="s">
        <v>69</v>
      </c>
      <c r="F155" s="4" t="s">
        <v>459</v>
      </c>
      <c r="G155" s="4" t="s">
        <v>209</v>
      </c>
      <c r="H155" s="4" t="s">
        <v>59</v>
      </c>
      <c r="I155" s="3"/>
      <c r="J155" s="3"/>
      <c r="K155" s="3"/>
      <c r="L155" s="3"/>
      <c r="M155" s="3"/>
      <c r="N155" s="3"/>
      <c r="O155" s="3"/>
      <c r="P155" s="8"/>
      <c r="Q155" s="8"/>
      <c r="R155" s="3"/>
      <c r="S155" s="3"/>
      <c r="T155" s="3"/>
      <c r="U155" s="5" t="str">
        <f t="shared" si="9"/>
        <v/>
      </c>
    </row>
    <row r="156" spans="1:21" ht="28" customHeight="1" x14ac:dyDescent="0.35">
      <c r="A156" s="4">
        <v>8</v>
      </c>
      <c r="B156" s="4" t="s">
        <v>460</v>
      </c>
      <c r="C156" s="4" t="s">
        <v>461</v>
      </c>
      <c r="D156" s="4" t="s">
        <v>462</v>
      </c>
      <c r="E156" s="4" t="s">
        <v>69</v>
      </c>
      <c r="F156" s="4" t="s">
        <v>95</v>
      </c>
      <c r="G156" s="4" t="s">
        <v>102</v>
      </c>
      <c r="H156" s="4" t="s">
        <v>59</v>
      </c>
      <c r="I156" s="3"/>
      <c r="J156" s="3"/>
      <c r="K156" s="3"/>
      <c r="L156" s="3"/>
      <c r="M156" s="3"/>
      <c r="N156" s="3"/>
      <c r="O156" s="3"/>
      <c r="P156" s="8"/>
      <c r="Q156" s="8"/>
      <c r="R156" s="3"/>
      <c r="S156" s="3"/>
      <c r="T156" s="3"/>
      <c r="U156" s="5" t="str">
        <f t="shared" si="9"/>
        <v/>
      </c>
    </row>
    <row r="157" spans="1:21" ht="28" customHeight="1" x14ac:dyDescent="0.35">
      <c r="A157" s="4">
        <v>9</v>
      </c>
      <c r="B157" s="4" t="s">
        <v>97</v>
      </c>
      <c r="C157" s="4" t="s">
        <v>98</v>
      </c>
      <c r="D157" s="4" t="s">
        <v>99</v>
      </c>
      <c r="E157" s="4" t="s">
        <v>69</v>
      </c>
      <c r="F157" s="4" t="s">
        <v>95</v>
      </c>
      <c r="G157" s="4" t="s">
        <v>96</v>
      </c>
      <c r="H157" s="4" t="s">
        <v>59</v>
      </c>
      <c r="I157" s="3"/>
      <c r="J157" s="3"/>
      <c r="K157" s="3"/>
      <c r="L157" s="3"/>
      <c r="M157" s="3"/>
      <c r="N157" s="3"/>
      <c r="O157" s="3"/>
      <c r="P157" s="8"/>
      <c r="Q157" s="8"/>
      <c r="R157" s="3"/>
      <c r="S157" s="3"/>
      <c r="T157" s="3"/>
      <c r="U157" s="5" t="str">
        <f t="shared" si="9"/>
        <v/>
      </c>
    </row>
    <row r="158" spans="1:21" ht="28" customHeight="1" x14ac:dyDescent="0.35">
      <c r="A158" s="4">
        <v>10</v>
      </c>
      <c r="B158" s="4" t="s">
        <v>97</v>
      </c>
      <c r="C158" s="4" t="s">
        <v>100</v>
      </c>
      <c r="D158" s="4" t="s">
        <v>101</v>
      </c>
      <c r="E158" s="4" t="s">
        <v>69</v>
      </c>
      <c r="F158" s="4" t="s">
        <v>95</v>
      </c>
      <c r="G158" s="4" t="s">
        <v>102</v>
      </c>
      <c r="H158" s="4" t="s">
        <v>59</v>
      </c>
      <c r="I158" s="3"/>
      <c r="J158" s="3"/>
      <c r="K158" s="3"/>
      <c r="L158" s="3"/>
      <c r="M158" s="3"/>
      <c r="N158" s="3"/>
      <c r="O158" s="3"/>
      <c r="P158" s="8"/>
      <c r="Q158" s="8"/>
      <c r="R158" s="3"/>
      <c r="S158" s="3"/>
      <c r="T158" s="3"/>
      <c r="U158" s="5" t="str">
        <f t="shared" si="9"/>
        <v/>
      </c>
    </row>
    <row r="159" spans="1:21" ht="28" customHeight="1" x14ac:dyDescent="0.35">
      <c r="A159" s="4">
        <v>11</v>
      </c>
      <c r="B159" s="4" t="s">
        <v>103</v>
      </c>
      <c r="C159" s="4" t="s">
        <v>104</v>
      </c>
      <c r="D159" s="4" t="s">
        <v>105</v>
      </c>
      <c r="E159" s="4" t="s">
        <v>69</v>
      </c>
      <c r="F159" s="4" t="s">
        <v>95</v>
      </c>
      <c r="G159" s="4" t="s">
        <v>96</v>
      </c>
      <c r="H159" s="4" t="s">
        <v>85</v>
      </c>
      <c r="I159" s="3"/>
      <c r="J159" s="3"/>
      <c r="K159" s="3"/>
      <c r="L159" s="3"/>
      <c r="M159" s="3"/>
      <c r="N159" s="3"/>
      <c r="O159" s="3"/>
      <c r="P159" s="8"/>
      <c r="Q159" s="8"/>
      <c r="R159" s="3"/>
      <c r="S159" s="3"/>
      <c r="T159" s="3"/>
      <c r="U159" s="5" t="str">
        <f t="shared" si="9"/>
        <v/>
      </c>
    </row>
    <row r="160" spans="1:21" ht="28" customHeight="1" x14ac:dyDescent="0.35">
      <c r="A160" s="4">
        <v>12</v>
      </c>
      <c r="B160" s="4" t="s">
        <v>106</v>
      </c>
      <c r="C160" s="4" t="s">
        <v>107</v>
      </c>
      <c r="D160" s="4" t="s">
        <v>108</v>
      </c>
      <c r="E160" s="4" t="s">
        <v>109</v>
      </c>
      <c r="F160" s="4" t="s">
        <v>95</v>
      </c>
      <c r="G160" s="4" t="s">
        <v>96</v>
      </c>
      <c r="H160" s="4" t="s">
        <v>59</v>
      </c>
      <c r="I160" s="3"/>
      <c r="J160" s="3"/>
      <c r="K160" s="3"/>
      <c r="L160" s="3"/>
      <c r="M160" s="3"/>
      <c r="N160" s="3"/>
      <c r="O160" s="3"/>
      <c r="P160" s="8"/>
      <c r="Q160" s="8"/>
      <c r="R160" s="3"/>
      <c r="S160" s="3"/>
      <c r="T160" s="3"/>
      <c r="U160" s="5" t="str">
        <f t="shared" si="9"/>
        <v/>
      </c>
    </row>
    <row r="162" spans="1:21" ht="28" customHeight="1" x14ac:dyDescent="0.35">
      <c r="A162" s="9" t="s">
        <v>110</v>
      </c>
      <c r="B162" s="16"/>
      <c r="C162" s="17"/>
      <c r="D162" s="17"/>
      <c r="E162" s="17"/>
      <c r="F162" s="17"/>
      <c r="G162" s="17"/>
      <c r="H162" s="17"/>
      <c r="I162" s="17"/>
      <c r="J162" s="17"/>
      <c r="K162" s="17"/>
      <c r="L162" s="17"/>
      <c r="M162" s="17"/>
      <c r="N162" s="17"/>
      <c r="O162" s="17"/>
      <c r="P162" s="17"/>
      <c r="Q162" s="17"/>
      <c r="R162" s="17"/>
      <c r="S162" s="17"/>
      <c r="T162" s="17"/>
      <c r="U162" s="18"/>
    </row>
    <row r="163" spans="1:21" ht="28" customHeight="1" x14ac:dyDescent="0.35">
      <c r="A163" s="19" t="s">
        <v>468</v>
      </c>
      <c r="B163" s="20"/>
      <c r="C163" s="20"/>
      <c r="D163" s="20"/>
      <c r="E163" s="20"/>
      <c r="F163" s="20"/>
      <c r="G163" s="20"/>
      <c r="H163" s="20"/>
      <c r="I163" s="20"/>
      <c r="J163" s="20"/>
      <c r="K163" s="20"/>
      <c r="L163" s="20"/>
      <c r="M163" s="20"/>
      <c r="N163" s="20"/>
      <c r="O163" s="20"/>
      <c r="P163" s="20"/>
      <c r="Q163" s="20"/>
      <c r="R163" s="20"/>
      <c r="S163" s="20"/>
      <c r="T163" s="20"/>
      <c r="U163" s="21"/>
    </row>
    <row r="164" spans="1:21" ht="28" customHeight="1" x14ac:dyDescent="0.35">
      <c r="A164" s="4" t="s">
        <v>31</v>
      </c>
      <c r="B164" s="3" t="s">
        <v>223</v>
      </c>
      <c r="C164" s="4" t="s">
        <v>32</v>
      </c>
      <c r="D164" s="3"/>
      <c r="E164" s="4" t="s">
        <v>33</v>
      </c>
      <c r="F164" s="8"/>
    </row>
    <row r="165" spans="1:21" ht="28" customHeight="1" x14ac:dyDescent="0.35">
      <c r="A165" s="1" t="s">
        <v>34</v>
      </c>
      <c r="B165" s="1" t="s">
        <v>35</v>
      </c>
      <c r="C165" s="1" t="s">
        <v>36</v>
      </c>
      <c r="D165" s="1" t="s">
        <v>37</v>
      </c>
      <c r="E165" s="1" t="s">
        <v>38</v>
      </c>
      <c r="F165" s="1" t="s">
        <v>39</v>
      </c>
      <c r="G165" s="1" t="s">
        <v>40</v>
      </c>
      <c r="H165" s="1" t="s">
        <v>41</v>
      </c>
      <c r="I165" s="1" t="s">
        <v>42</v>
      </c>
      <c r="J165" s="1" t="s">
        <v>43</v>
      </c>
      <c r="K165" s="1" t="s">
        <v>44</v>
      </c>
      <c r="L165" s="1" t="s">
        <v>45</v>
      </c>
      <c r="M165" s="1" t="s">
        <v>46</v>
      </c>
      <c r="N165" s="1" t="s">
        <v>47</v>
      </c>
      <c r="O165" s="1" t="s">
        <v>48</v>
      </c>
      <c r="P165" s="1" t="s">
        <v>4</v>
      </c>
      <c r="Q165" s="1" t="s">
        <v>49</v>
      </c>
      <c r="R165" s="1" t="s">
        <v>50</v>
      </c>
      <c r="S165" s="1" t="s">
        <v>51</v>
      </c>
      <c r="T165" s="1" t="s">
        <v>52</v>
      </c>
      <c r="U165" s="1" t="s">
        <v>10</v>
      </c>
    </row>
    <row r="166" spans="1:21" ht="28" customHeight="1" x14ac:dyDescent="0.35">
      <c r="A166" s="4">
        <v>1</v>
      </c>
      <c r="B166" s="4" t="s">
        <v>439</v>
      </c>
      <c r="C166" s="4" t="s">
        <v>440</v>
      </c>
      <c r="D166" s="4" t="s">
        <v>441</v>
      </c>
      <c r="E166" s="4" t="s">
        <v>69</v>
      </c>
      <c r="F166" s="4" t="s">
        <v>370</v>
      </c>
      <c r="G166" s="4" t="s">
        <v>204</v>
      </c>
      <c r="H166" s="4" t="s">
        <v>59</v>
      </c>
      <c r="I166" s="3"/>
      <c r="J166" s="3"/>
      <c r="K166" s="3"/>
      <c r="L166" s="3"/>
      <c r="M166" s="3"/>
      <c r="N166" s="3"/>
      <c r="O166" s="3"/>
      <c r="P166" s="8"/>
      <c r="Q166" s="8"/>
      <c r="R166" s="3"/>
      <c r="S166" s="3"/>
      <c r="T166" s="3"/>
      <c r="U166" s="5" t="str">
        <f t="shared" ref="U166:U177" si="10">IF(I166="","",IF(I166="NA","Grey",IF(I166=2,"Green",IF(I166=1,"Amber","Red"))))</f>
        <v/>
      </c>
    </row>
    <row r="167" spans="1:21" ht="28" customHeight="1" x14ac:dyDescent="0.35">
      <c r="A167" s="4">
        <v>2</v>
      </c>
      <c r="B167" s="4" t="s">
        <v>442</v>
      </c>
      <c r="C167" s="4" t="s">
        <v>443</v>
      </c>
      <c r="D167" s="4" t="s">
        <v>444</v>
      </c>
      <c r="E167" s="4" t="s">
        <v>69</v>
      </c>
      <c r="F167" s="4" t="s">
        <v>95</v>
      </c>
      <c r="G167" s="4" t="s">
        <v>102</v>
      </c>
      <c r="H167" s="4" t="s">
        <v>59</v>
      </c>
      <c r="I167" s="3"/>
      <c r="J167" s="3"/>
      <c r="K167" s="3"/>
      <c r="L167" s="3"/>
      <c r="M167" s="3"/>
      <c r="N167" s="3"/>
      <c r="O167" s="3"/>
      <c r="P167" s="8"/>
      <c r="Q167" s="8"/>
      <c r="R167" s="3"/>
      <c r="S167" s="3"/>
      <c r="T167" s="3"/>
      <c r="U167" s="5" t="str">
        <f t="shared" si="10"/>
        <v/>
      </c>
    </row>
    <row r="168" spans="1:21" ht="28" customHeight="1" x14ac:dyDescent="0.35">
      <c r="A168" s="4">
        <v>3</v>
      </c>
      <c r="B168" s="4" t="s">
        <v>445</v>
      </c>
      <c r="C168" s="4" t="s">
        <v>446</v>
      </c>
      <c r="D168" s="4" t="s">
        <v>369</v>
      </c>
      <c r="E168" s="4" t="s">
        <v>69</v>
      </c>
      <c r="F168" s="4" t="s">
        <v>370</v>
      </c>
      <c r="G168" s="4" t="s">
        <v>204</v>
      </c>
      <c r="H168" s="4" t="s">
        <v>76</v>
      </c>
      <c r="I168" s="3"/>
      <c r="J168" s="3"/>
      <c r="K168" s="3"/>
      <c r="L168" s="3"/>
      <c r="M168" s="3"/>
      <c r="N168" s="3"/>
      <c r="O168" s="3"/>
      <c r="P168" s="8"/>
      <c r="Q168" s="8"/>
      <c r="R168" s="3"/>
      <c r="S168" s="3"/>
      <c r="T168" s="3"/>
      <c r="U168" s="5" t="str">
        <f t="shared" si="10"/>
        <v/>
      </c>
    </row>
    <row r="169" spans="1:21" ht="28" customHeight="1" x14ac:dyDescent="0.35">
      <c r="A169" s="4">
        <v>4</v>
      </c>
      <c r="B169" s="4" t="s">
        <v>447</v>
      </c>
      <c r="C169" s="4" t="s">
        <v>448</v>
      </c>
      <c r="D169" s="4" t="s">
        <v>449</v>
      </c>
      <c r="E169" s="4" t="s">
        <v>109</v>
      </c>
      <c r="F169" s="4" t="s">
        <v>276</v>
      </c>
      <c r="G169" s="4" t="s">
        <v>199</v>
      </c>
      <c r="H169" s="4" t="s">
        <v>59</v>
      </c>
      <c r="I169" s="3"/>
      <c r="J169" s="3"/>
      <c r="K169" s="3"/>
      <c r="L169" s="3"/>
      <c r="M169" s="3"/>
      <c r="N169" s="3"/>
      <c r="O169" s="3"/>
      <c r="P169" s="8"/>
      <c r="Q169" s="8"/>
      <c r="R169" s="3"/>
      <c r="S169" s="3"/>
      <c r="T169" s="3"/>
      <c r="U169" s="5" t="str">
        <f t="shared" si="10"/>
        <v/>
      </c>
    </row>
    <row r="170" spans="1:21" ht="28" customHeight="1" x14ac:dyDescent="0.35">
      <c r="A170" s="4">
        <v>5</v>
      </c>
      <c r="B170" s="4" t="s">
        <v>450</v>
      </c>
      <c r="C170" s="4" t="s">
        <v>451</v>
      </c>
      <c r="D170" s="4" t="s">
        <v>452</v>
      </c>
      <c r="E170" s="4" t="s">
        <v>69</v>
      </c>
      <c r="F170" s="4" t="s">
        <v>276</v>
      </c>
      <c r="G170" s="4" t="s">
        <v>199</v>
      </c>
      <c r="H170" s="4" t="s">
        <v>59</v>
      </c>
      <c r="I170" s="3"/>
      <c r="J170" s="3"/>
      <c r="K170" s="3"/>
      <c r="L170" s="3"/>
      <c r="M170" s="3"/>
      <c r="N170" s="3"/>
      <c r="O170" s="3"/>
      <c r="P170" s="8"/>
      <c r="Q170" s="8"/>
      <c r="R170" s="3"/>
      <c r="S170" s="3"/>
      <c r="T170" s="3"/>
      <c r="U170" s="5" t="str">
        <f t="shared" si="10"/>
        <v/>
      </c>
    </row>
    <row r="171" spans="1:21" ht="28" customHeight="1" x14ac:dyDescent="0.35">
      <c r="A171" s="4">
        <v>6</v>
      </c>
      <c r="B171" s="4" t="s">
        <v>453</v>
      </c>
      <c r="C171" s="4" t="s">
        <v>454</v>
      </c>
      <c r="D171" s="4" t="s">
        <v>455</v>
      </c>
      <c r="E171" s="4" t="s">
        <v>69</v>
      </c>
      <c r="F171" s="4" t="s">
        <v>284</v>
      </c>
      <c r="G171" s="4" t="s">
        <v>204</v>
      </c>
      <c r="H171" s="4" t="s">
        <v>76</v>
      </c>
      <c r="I171" s="3"/>
      <c r="J171" s="3"/>
      <c r="K171" s="3"/>
      <c r="L171" s="3"/>
      <c r="M171" s="3"/>
      <c r="N171" s="3"/>
      <c r="O171" s="3"/>
      <c r="P171" s="8"/>
      <c r="Q171" s="8"/>
      <c r="R171" s="3"/>
      <c r="S171" s="3"/>
      <c r="T171" s="3"/>
      <c r="U171" s="5" t="str">
        <f t="shared" si="10"/>
        <v/>
      </c>
    </row>
    <row r="172" spans="1:21" ht="28" customHeight="1" x14ac:dyDescent="0.35">
      <c r="A172" s="4">
        <v>7</v>
      </c>
      <c r="B172" s="4" t="s">
        <v>456</v>
      </c>
      <c r="C172" s="4" t="s">
        <v>457</v>
      </c>
      <c r="D172" s="4" t="s">
        <v>458</v>
      </c>
      <c r="E172" s="4" t="s">
        <v>69</v>
      </c>
      <c r="F172" s="4" t="s">
        <v>459</v>
      </c>
      <c r="G172" s="4" t="s">
        <v>209</v>
      </c>
      <c r="H172" s="4" t="s">
        <v>59</v>
      </c>
      <c r="I172" s="3"/>
      <c r="J172" s="3"/>
      <c r="K172" s="3"/>
      <c r="L172" s="3"/>
      <c r="M172" s="3"/>
      <c r="N172" s="3"/>
      <c r="O172" s="3"/>
      <c r="P172" s="8"/>
      <c r="Q172" s="8"/>
      <c r="R172" s="3"/>
      <c r="S172" s="3"/>
      <c r="T172" s="3"/>
      <c r="U172" s="5" t="str">
        <f t="shared" si="10"/>
        <v/>
      </c>
    </row>
    <row r="173" spans="1:21" ht="28" customHeight="1" x14ac:dyDescent="0.35">
      <c r="A173" s="4">
        <v>8</v>
      </c>
      <c r="B173" s="4" t="s">
        <v>460</v>
      </c>
      <c r="C173" s="4" t="s">
        <v>461</v>
      </c>
      <c r="D173" s="4" t="s">
        <v>462</v>
      </c>
      <c r="E173" s="4" t="s">
        <v>69</v>
      </c>
      <c r="F173" s="4" t="s">
        <v>95</v>
      </c>
      <c r="G173" s="4" t="s">
        <v>102</v>
      </c>
      <c r="H173" s="4" t="s">
        <v>59</v>
      </c>
      <c r="I173" s="3"/>
      <c r="J173" s="3"/>
      <c r="K173" s="3"/>
      <c r="L173" s="3"/>
      <c r="M173" s="3"/>
      <c r="N173" s="3"/>
      <c r="O173" s="3"/>
      <c r="P173" s="8"/>
      <c r="Q173" s="8"/>
      <c r="R173" s="3"/>
      <c r="S173" s="3"/>
      <c r="T173" s="3"/>
      <c r="U173" s="5" t="str">
        <f t="shared" si="10"/>
        <v/>
      </c>
    </row>
    <row r="174" spans="1:21" ht="28" customHeight="1" x14ac:dyDescent="0.35">
      <c r="A174" s="4">
        <v>9</v>
      </c>
      <c r="B174" s="4" t="s">
        <v>97</v>
      </c>
      <c r="C174" s="4" t="s">
        <v>98</v>
      </c>
      <c r="D174" s="4" t="s">
        <v>99</v>
      </c>
      <c r="E174" s="4" t="s">
        <v>69</v>
      </c>
      <c r="F174" s="4" t="s">
        <v>95</v>
      </c>
      <c r="G174" s="4" t="s">
        <v>96</v>
      </c>
      <c r="H174" s="4" t="s">
        <v>59</v>
      </c>
      <c r="I174" s="3"/>
      <c r="J174" s="3"/>
      <c r="K174" s="3"/>
      <c r="L174" s="3"/>
      <c r="M174" s="3"/>
      <c r="N174" s="3"/>
      <c r="O174" s="3"/>
      <c r="P174" s="8"/>
      <c r="Q174" s="8"/>
      <c r="R174" s="3"/>
      <c r="S174" s="3"/>
      <c r="T174" s="3"/>
      <c r="U174" s="5" t="str">
        <f t="shared" si="10"/>
        <v/>
      </c>
    </row>
    <row r="175" spans="1:21" ht="28" customHeight="1" x14ac:dyDescent="0.35">
      <c r="A175" s="4">
        <v>10</v>
      </c>
      <c r="B175" s="4" t="s">
        <v>97</v>
      </c>
      <c r="C175" s="4" t="s">
        <v>100</v>
      </c>
      <c r="D175" s="4" t="s">
        <v>101</v>
      </c>
      <c r="E175" s="4" t="s">
        <v>69</v>
      </c>
      <c r="F175" s="4" t="s">
        <v>95</v>
      </c>
      <c r="G175" s="4" t="s">
        <v>102</v>
      </c>
      <c r="H175" s="4" t="s">
        <v>59</v>
      </c>
      <c r="I175" s="3"/>
      <c r="J175" s="3"/>
      <c r="K175" s="3"/>
      <c r="L175" s="3"/>
      <c r="M175" s="3"/>
      <c r="N175" s="3"/>
      <c r="O175" s="3"/>
      <c r="P175" s="8"/>
      <c r="Q175" s="8"/>
      <c r="R175" s="3"/>
      <c r="S175" s="3"/>
      <c r="T175" s="3"/>
      <c r="U175" s="5" t="str">
        <f t="shared" si="10"/>
        <v/>
      </c>
    </row>
    <row r="176" spans="1:21" ht="28" customHeight="1" x14ac:dyDescent="0.35">
      <c r="A176" s="4">
        <v>11</v>
      </c>
      <c r="B176" s="4" t="s">
        <v>103</v>
      </c>
      <c r="C176" s="4" t="s">
        <v>104</v>
      </c>
      <c r="D176" s="4" t="s">
        <v>105</v>
      </c>
      <c r="E176" s="4" t="s">
        <v>69</v>
      </c>
      <c r="F176" s="4" t="s">
        <v>95</v>
      </c>
      <c r="G176" s="4" t="s">
        <v>96</v>
      </c>
      <c r="H176" s="4" t="s">
        <v>85</v>
      </c>
      <c r="I176" s="3"/>
      <c r="J176" s="3"/>
      <c r="K176" s="3"/>
      <c r="L176" s="3"/>
      <c r="M176" s="3"/>
      <c r="N176" s="3"/>
      <c r="O176" s="3"/>
      <c r="P176" s="8"/>
      <c r="Q176" s="8"/>
      <c r="R176" s="3"/>
      <c r="S176" s="3"/>
      <c r="T176" s="3"/>
      <c r="U176" s="5" t="str">
        <f t="shared" si="10"/>
        <v/>
      </c>
    </row>
    <row r="177" spans="1:21" ht="28" customHeight="1" x14ac:dyDescent="0.35">
      <c r="A177" s="4">
        <v>12</v>
      </c>
      <c r="B177" s="4" t="s">
        <v>106</v>
      </c>
      <c r="C177" s="4" t="s">
        <v>107</v>
      </c>
      <c r="D177" s="4" t="s">
        <v>108</v>
      </c>
      <c r="E177" s="4" t="s">
        <v>109</v>
      </c>
      <c r="F177" s="4" t="s">
        <v>95</v>
      </c>
      <c r="G177" s="4" t="s">
        <v>96</v>
      </c>
      <c r="H177" s="4" t="s">
        <v>59</v>
      </c>
      <c r="I177" s="3"/>
      <c r="J177" s="3"/>
      <c r="K177" s="3"/>
      <c r="L177" s="3"/>
      <c r="M177" s="3"/>
      <c r="N177" s="3"/>
      <c r="O177" s="3"/>
      <c r="P177" s="8"/>
      <c r="Q177" s="8"/>
      <c r="R177" s="3"/>
      <c r="S177" s="3"/>
      <c r="T177" s="3"/>
      <c r="U177" s="5" t="str">
        <f t="shared" si="10"/>
        <v/>
      </c>
    </row>
    <row r="179" spans="1:21" ht="28" customHeight="1" x14ac:dyDescent="0.35">
      <c r="A179" s="9" t="s">
        <v>110</v>
      </c>
      <c r="B179" s="16"/>
      <c r="C179" s="17"/>
      <c r="D179" s="17"/>
      <c r="E179" s="17"/>
      <c r="F179" s="17"/>
      <c r="G179" s="17"/>
      <c r="H179" s="17"/>
      <c r="I179" s="17"/>
      <c r="J179" s="17"/>
      <c r="K179" s="17"/>
      <c r="L179" s="17"/>
      <c r="M179" s="17"/>
      <c r="N179" s="17"/>
      <c r="O179" s="17"/>
      <c r="P179" s="17"/>
      <c r="Q179" s="17"/>
      <c r="R179" s="17"/>
      <c r="S179" s="17"/>
      <c r="T179" s="17"/>
      <c r="U179" s="18"/>
    </row>
    <row r="180" spans="1:21" ht="28" customHeight="1" x14ac:dyDescent="0.35">
      <c r="A180" s="19" t="s">
        <v>469</v>
      </c>
      <c r="B180" s="20"/>
      <c r="C180" s="20"/>
      <c r="D180" s="20"/>
      <c r="E180" s="20"/>
      <c r="F180" s="20"/>
      <c r="G180" s="20"/>
      <c r="H180" s="20"/>
      <c r="I180" s="20"/>
      <c r="J180" s="20"/>
      <c r="K180" s="20"/>
      <c r="L180" s="20"/>
      <c r="M180" s="20"/>
      <c r="N180" s="20"/>
      <c r="O180" s="20"/>
      <c r="P180" s="20"/>
      <c r="Q180" s="20"/>
      <c r="R180" s="20"/>
      <c r="S180" s="20"/>
      <c r="T180" s="20"/>
      <c r="U180" s="21"/>
    </row>
    <row r="181" spans="1:21" ht="28" customHeight="1" x14ac:dyDescent="0.35">
      <c r="A181" s="4" t="s">
        <v>31</v>
      </c>
      <c r="B181" s="3" t="s">
        <v>224</v>
      </c>
      <c r="C181" s="4" t="s">
        <v>32</v>
      </c>
      <c r="D181" s="3"/>
      <c r="E181" s="4" t="s">
        <v>33</v>
      </c>
      <c r="F181" s="8"/>
    </row>
    <row r="182" spans="1:21" ht="28" customHeight="1" x14ac:dyDescent="0.35">
      <c r="A182" s="1" t="s">
        <v>34</v>
      </c>
      <c r="B182" s="1" t="s">
        <v>35</v>
      </c>
      <c r="C182" s="1" t="s">
        <v>36</v>
      </c>
      <c r="D182" s="1" t="s">
        <v>37</v>
      </c>
      <c r="E182" s="1" t="s">
        <v>38</v>
      </c>
      <c r="F182" s="1" t="s">
        <v>39</v>
      </c>
      <c r="G182" s="1" t="s">
        <v>40</v>
      </c>
      <c r="H182" s="1" t="s">
        <v>41</v>
      </c>
      <c r="I182" s="1" t="s">
        <v>42</v>
      </c>
      <c r="J182" s="1" t="s">
        <v>43</v>
      </c>
      <c r="K182" s="1" t="s">
        <v>44</v>
      </c>
      <c r="L182" s="1" t="s">
        <v>45</v>
      </c>
      <c r="M182" s="1" t="s">
        <v>46</v>
      </c>
      <c r="N182" s="1" t="s">
        <v>47</v>
      </c>
      <c r="O182" s="1" t="s">
        <v>48</v>
      </c>
      <c r="P182" s="1" t="s">
        <v>4</v>
      </c>
      <c r="Q182" s="1" t="s">
        <v>49</v>
      </c>
      <c r="R182" s="1" t="s">
        <v>50</v>
      </c>
      <c r="S182" s="1" t="s">
        <v>51</v>
      </c>
      <c r="T182" s="1" t="s">
        <v>52</v>
      </c>
      <c r="U182" s="1" t="s">
        <v>10</v>
      </c>
    </row>
    <row r="183" spans="1:21" ht="28" customHeight="1" x14ac:dyDescent="0.35">
      <c r="A183" s="4">
        <v>1</v>
      </c>
      <c r="B183" s="4" t="s">
        <v>439</v>
      </c>
      <c r="C183" s="4" t="s">
        <v>440</v>
      </c>
      <c r="D183" s="4" t="s">
        <v>441</v>
      </c>
      <c r="E183" s="4" t="s">
        <v>69</v>
      </c>
      <c r="F183" s="4" t="s">
        <v>370</v>
      </c>
      <c r="G183" s="4" t="s">
        <v>204</v>
      </c>
      <c r="H183" s="4" t="s">
        <v>59</v>
      </c>
      <c r="I183" s="3"/>
      <c r="J183" s="3"/>
      <c r="K183" s="3"/>
      <c r="L183" s="3"/>
      <c r="M183" s="3"/>
      <c r="N183" s="3"/>
      <c r="O183" s="3"/>
      <c r="P183" s="8"/>
      <c r="Q183" s="8"/>
      <c r="R183" s="3"/>
      <c r="S183" s="3"/>
      <c r="T183" s="3"/>
      <c r="U183" s="5" t="str">
        <f t="shared" ref="U183:U194" si="11">IF(I183="","",IF(I183="NA","Grey",IF(I183=2,"Green",IF(I183=1,"Amber","Red"))))</f>
        <v/>
      </c>
    </row>
    <row r="184" spans="1:21" ht="28" customHeight="1" x14ac:dyDescent="0.35">
      <c r="A184" s="4">
        <v>2</v>
      </c>
      <c r="B184" s="4" t="s">
        <v>442</v>
      </c>
      <c r="C184" s="4" t="s">
        <v>443</v>
      </c>
      <c r="D184" s="4" t="s">
        <v>444</v>
      </c>
      <c r="E184" s="4" t="s">
        <v>69</v>
      </c>
      <c r="F184" s="4" t="s">
        <v>95</v>
      </c>
      <c r="G184" s="4" t="s">
        <v>102</v>
      </c>
      <c r="H184" s="4" t="s">
        <v>59</v>
      </c>
      <c r="I184" s="3"/>
      <c r="J184" s="3"/>
      <c r="K184" s="3"/>
      <c r="L184" s="3"/>
      <c r="M184" s="3"/>
      <c r="N184" s="3"/>
      <c r="O184" s="3"/>
      <c r="P184" s="8"/>
      <c r="Q184" s="8"/>
      <c r="R184" s="3"/>
      <c r="S184" s="3"/>
      <c r="T184" s="3"/>
      <c r="U184" s="5" t="str">
        <f t="shared" si="11"/>
        <v/>
      </c>
    </row>
    <row r="185" spans="1:21" ht="28" customHeight="1" x14ac:dyDescent="0.35">
      <c r="A185" s="4">
        <v>3</v>
      </c>
      <c r="B185" s="4" t="s">
        <v>445</v>
      </c>
      <c r="C185" s="4" t="s">
        <v>446</v>
      </c>
      <c r="D185" s="4" t="s">
        <v>369</v>
      </c>
      <c r="E185" s="4" t="s">
        <v>69</v>
      </c>
      <c r="F185" s="4" t="s">
        <v>370</v>
      </c>
      <c r="G185" s="4" t="s">
        <v>204</v>
      </c>
      <c r="H185" s="4" t="s">
        <v>76</v>
      </c>
      <c r="I185" s="3"/>
      <c r="J185" s="3"/>
      <c r="K185" s="3"/>
      <c r="L185" s="3"/>
      <c r="M185" s="3"/>
      <c r="N185" s="3"/>
      <c r="O185" s="3"/>
      <c r="P185" s="8"/>
      <c r="Q185" s="8"/>
      <c r="R185" s="3"/>
      <c r="S185" s="3"/>
      <c r="T185" s="3"/>
      <c r="U185" s="5" t="str">
        <f t="shared" si="11"/>
        <v/>
      </c>
    </row>
    <row r="186" spans="1:21" ht="28" customHeight="1" x14ac:dyDescent="0.35">
      <c r="A186" s="4">
        <v>4</v>
      </c>
      <c r="B186" s="4" t="s">
        <v>447</v>
      </c>
      <c r="C186" s="4" t="s">
        <v>448</v>
      </c>
      <c r="D186" s="4" t="s">
        <v>449</v>
      </c>
      <c r="E186" s="4" t="s">
        <v>109</v>
      </c>
      <c r="F186" s="4" t="s">
        <v>276</v>
      </c>
      <c r="G186" s="4" t="s">
        <v>199</v>
      </c>
      <c r="H186" s="4" t="s">
        <v>59</v>
      </c>
      <c r="I186" s="3"/>
      <c r="J186" s="3"/>
      <c r="K186" s="3"/>
      <c r="L186" s="3"/>
      <c r="M186" s="3"/>
      <c r="N186" s="3"/>
      <c r="O186" s="3"/>
      <c r="P186" s="8"/>
      <c r="Q186" s="8"/>
      <c r="R186" s="3"/>
      <c r="S186" s="3"/>
      <c r="T186" s="3"/>
      <c r="U186" s="5" t="str">
        <f t="shared" si="11"/>
        <v/>
      </c>
    </row>
    <row r="187" spans="1:21" ht="28" customHeight="1" x14ac:dyDescent="0.35">
      <c r="A187" s="4">
        <v>5</v>
      </c>
      <c r="B187" s="4" t="s">
        <v>450</v>
      </c>
      <c r="C187" s="4" t="s">
        <v>451</v>
      </c>
      <c r="D187" s="4" t="s">
        <v>452</v>
      </c>
      <c r="E187" s="4" t="s">
        <v>69</v>
      </c>
      <c r="F187" s="4" t="s">
        <v>276</v>
      </c>
      <c r="G187" s="4" t="s">
        <v>199</v>
      </c>
      <c r="H187" s="4" t="s">
        <v>59</v>
      </c>
      <c r="I187" s="3"/>
      <c r="J187" s="3"/>
      <c r="K187" s="3"/>
      <c r="L187" s="3"/>
      <c r="M187" s="3"/>
      <c r="N187" s="3"/>
      <c r="O187" s="3"/>
      <c r="P187" s="8"/>
      <c r="Q187" s="8"/>
      <c r="R187" s="3"/>
      <c r="S187" s="3"/>
      <c r="T187" s="3"/>
      <c r="U187" s="5" t="str">
        <f t="shared" si="11"/>
        <v/>
      </c>
    </row>
    <row r="188" spans="1:21" ht="28" customHeight="1" x14ac:dyDescent="0.35">
      <c r="A188" s="4">
        <v>6</v>
      </c>
      <c r="B188" s="4" t="s">
        <v>453</v>
      </c>
      <c r="C188" s="4" t="s">
        <v>454</v>
      </c>
      <c r="D188" s="4" t="s">
        <v>455</v>
      </c>
      <c r="E188" s="4" t="s">
        <v>69</v>
      </c>
      <c r="F188" s="4" t="s">
        <v>284</v>
      </c>
      <c r="G188" s="4" t="s">
        <v>204</v>
      </c>
      <c r="H188" s="4" t="s">
        <v>76</v>
      </c>
      <c r="I188" s="3"/>
      <c r="J188" s="3"/>
      <c r="K188" s="3"/>
      <c r="L188" s="3"/>
      <c r="M188" s="3"/>
      <c r="N188" s="3"/>
      <c r="O188" s="3"/>
      <c r="P188" s="8"/>
      <c r="Q188" s="8"/>
      <c r="R188" s="3"/>
      <c r="S188" s="3"/>
      <c r="T188" s="3"/>
      <c r="U188" s="5" t="str">
        <f t="shared" si="11"/>
        <v/>
      </c>
    </row>
    <row r="189" spans="1:21" ht="28" customHeight="1" x14ac:dyDescent="0.35">
      <c r="A189" s="4">
        <v>7</v>
      </c>
      <c r="B189" s="4" t="s">
        <v>456</v>
      </c>
      <c r="C189" s="4" t="s">
        <v>457</v>
      </c>
      <c r="D189" s="4" t="s">
        <v>458</v>
      </c>
      <c r="E189" s="4" t="s">
        <v>69</v>
      </c>
      <c r="F189" s="4" t="s">
        <v>459</v>
      </c>
      <c r="G189" s="4" t="s">
        <v>209</v>
      </c>
      <c r="H189" s="4" t="s">
        <v>59</v>
      </c>
      <c r="I189" s="3"/>
      <c r="J189" s="3"/>
      <c r="K189" s="3"/>
      <c r="L189" s="3"/>
      <c r="M189" s="3"/>
      <c r="N189" s="3"/>
      <c r="O189" s="3"/>
      <c r="P189" s="8"/>
      <c r="Q189" s="8"/>
      <c r="R189" s="3"/>
      <c r="S189" s="3"/>
      <c r="T189" s="3"/>
      <c r="U189" s="5" t="str">
        <f t="shared" si="11"/>
        <v/>
      </c>
    </row>
    <row r="190" spans="1:21" ht="28" customHeight="1" x14ac:dyDescent="0.35">
      <c r="A190" s="4">
        <v>8</v>
      </c>
      <c r="B190" s="4" t="s">
        <v>460</v>
      </c>
      <c r="C190" s="4" t="s">
        <v>461</v>
      </c>
      <c r="D190" s="4" t="s">
        <v>462</v>
      </c>
      <c r="E190" s="4" t="s">
        <v>69</v>
      </c>
      <c r="F190" s="4" t="s">
        <v>95</v>
      </c>
      <c r="G190" s="4" t="s">
        <v>102</v>
      </c>
      <c r="H190" s="4" t="s">
        <v>59</v>
      </c>
      <c r="I190" s="3"/>
      <c r="J190" s="3"/>
      <c r="K190" s="3"/>
      <c r="L190" s="3"/>
      <c r="M190" s="3"/>
      <c r="N190" s="3"/>
      <c r="O190" s="3"/>
      <c r="P190" s="8"/>
      <c r="Q190" s="8"/>
      <c r="R190" s="3"/>
      <c r="S190" s="3"/>
      <c r="T190" s="3"/>
      <c r="U190" s="5" t="str">
        <f t="shared" si="11"/>
        <v/>
      </c>
    </row>
    <row r="191" spans="1:21" ht="28" customHeight="1" x14ac:dyDescent="0.35">
      <c r="A191" s="4">
        <v>9</v>
      </c>
      <c r="B191" s="4" t="s">
        <v>97</v>
      </c>
      <c r="C191" s="4" t="s">
        <v>98</v>
      </c>
      <c r="D191" s="4" t="s">
        <v>99</v>
      </c>
      <c r="E191" s="4" t="s">
        <v>69</v>
      </c>
      <c r="F191" s="4" t="s">
        <v>95</v>
      </c>
      <c r="G191" s="4" t="s">
        <v>96</v>
      </c>
      <c r="H191" s="4" t="s">
        <v>59</v>
      </c>
      <c r="I191" s="3"/>
      <c r="J191" s="3"/>
      <c r="K191" s="3"/>
      <c r="L191" s="3"/>
      <c r="M191" s="3"/>
      <c r="N191" s="3"/>
      <c r="O191" s="3"/>
      <c r="P191" s="8"/>
      <c r="Q191" s="8"/>
      <c r="R191" s="3"/>
      <c r="S191" s="3"/>
      <c r="T191" s="3"/>
      <c r="U191" s="5" t="str">
        <f t="shared" si="11"/>
        <v/>
      </c>
    </row>
    <row r="192" spans="1:21" ht="28" customHeight="1" x14ac:dyDescent="0.35">
      <c r="A192" s="4">
        <v>10</v>
      </c>
      <c r="B192" s="4" t="s">
        <v>97</v>
      </c>
      <c r="C192" s="4" t="s">
        <v>100</v>
      </c>
      <c r="D192" s="4" t="s">
        <v>101</v>
      </c>
      <c r="E192" s="4" t="s">
        <v>69</v>
      </c>
      <c r="F192" s="4" t="s">
        <v>95</v>
      </c>
      <c r="G192" s="4" t="s">
        <v>102</v>
      </c>
      <c r="H192" s="4" t="s">
        <v>59</v>
      </c>
      <c r="I192" s="3"/>
      <c r="J192" s="3"/>
      <c r="K192" s="3"/>
      <c r="L192" s="3"/>
      <c r="M192" s="3"/>
      <c r="N192" s="3"/>
      <c r="O192" s="3"/>
      <c r="P192" s="8"/>
      <c r="Q192" s="8"/>
      <c r="R192" s="3"/>
      <c r="S192" s="3"/>
      <c r="T192" s="3"/>
      <c r="U192" s="5" t="str">
        <f t="shared" si="11"/>
        <v/>
      </c>
    </row>
    <row r="193" spans="1:21" ht="28" customHeight="1" x14ac:dyDescent="0.35">
      <c r="A193" s="4">
        <v>11</v>
      </c>
      <c r="B193" s="4" t="s">
        <v>103</v>
      </c>
      <c r="C193" s="4" t="s">
        <v>104</v>
      </c>
      <c r="D193" s="4" t="s">
        <v>105</v>
      </c>
      <c r="E193" s="4" t="s">
        <v>69</v>
      </c>
      <c r="F193" s="4" t="s">
        <v>95</v>
      </c>
      <c r="G193" s="4" t="s">
        <v>96</v>
      </c>
      <c r="H193" s="4" t="s">
        <v>85</v>
      </c>
      <c r="I193" s="3"/>
      <c r="J193" s="3"/>
      <c r="K193" s="3"/>
      <c r="L193" s="3"/>
      <c r="M193" s="3"/>
      <c r="N193" s="3"/>
      <c r="O193" s="3"/>
      <c r="P193" s="8"/>
      <c r="Q193" s="8"/>
      <c r="R193" s="3"/>
      <c r="S193" s="3"/>
      <c r="T193" s="3"/>
      <c r="U193" s="5" t="str">
        <f t="shared" si="11"/>
        <v/>
      </c>
    </row>
    <row r="194" spans="1:21" ht="28" customHeight="1" x14ac:dyDescent="0.35">
      <c r="A194" s="4">
        <v>12</v>
      </c>
      <c r="B194" s="4" t="s">
        <v>106</v>
      </c>
      <c r="C194" s="4" t="s">
        <v>107</v>
      </c>
      <c r="D194" s="4" t="s">
        <v>108</v>
      </c>
      <c r="E194" s="4" t="s">
        <v>109</v>
      </c>
      <c r="F194" s="4" t="s">
        <v>95</v>
      </c>
      <c r="G194" s="4" t="s">
        <v>96</v>
      </c>
      <c r="H194" s="4" t="s">
        <v>59</v>
      </c>
      <c r="I194" s="3"/>
      <c r="J194" s="3"/>
      <c r="K194" s="3"/>
      <c r="L194" s="3"/>
      <c r="M194" s="3"/>
      <c r="N194" s="3"/>
      <c r="O194" s="3"/>
      <c r="P194" s="8"/>
      <c r="Q194" s="8"/>
      <c r="R194" s="3"/>
      <c r="S194" s="3"/>
      <c r="T194" s="3"/>
      <c r="U194" s="5" t="str">
        <f t="shared" si="11"/>
        <v/>
      </c>
    </row>
    <row r="196" spans="1:21" ht="28" customHeight="1" x14ac:dyDescent="0.35">
      <c r="A196" s="9" t="s">
        <v>110</v>
      </c>
      <c r="B196" s="16"/>
      <c r="C196" s="17"/>
      <c r="D196" s="17"/>
      <c r="E196" s="17"/>
      <c r="F196" s="17"/>
      <c r="G196" s="17"/>
      <c r="H196" s="17"/>
      <c r="I196" s="17"/>
      <c r="J196" s="17"/>
      <c r="K196" s="17"/>
      <c r="L196" s="17"/>
      <c r="M196" s="17"/>
      <c r="N196" s="17"/>
      <c r="O196" s="17"/>
      <c r="P196" s="17"/>
      <c r="Q196" s="17"/>
      <c r="R196" s="17"/>
      <c r="S196" s="17"/>
      <c r="T196" s="17"/>
      <c r="U196" s="18"/>
    </row>
    <row r="197" spans="1:21" ht="28" customHeight="1" x14ac:dyDescent="0.35">
      <c r="A197" s="19" t="s">
        <v>470</v>
      </c>
      <c r="B197" s="20"/>
      <c r="C197" s="20"/>
      <c r="D197" s="20"/>
      <c r="E197" s="20"/>
      <c r="F197" s="20"/>
      <c r="G197" s="20"/>
      <c r="H197" s="20"/>
      <c r="I197" s="20"/>
      <c r="J197" s="20"/>
      <c r="K197" s="20"/>
      <c r="L197" s="20"/>
      <c r="M197" s="20"/>
      <c r="N197" s="20"/>
      <c r="O197" s="20"/>
      <c r="P197" s="20"/>
      <c r="Q197" s="20"/>
      <c r="R197" s="20"/>
      <c r="S197" s="20"/>
      <c r="T197" s="20"/>
      <c r="U197" s="21"/>
    </row>
    <row r="198" spans="1:21" ht="28" customHeight="1" x14ac:dyDescent="0.35">
      <c r="A198" s="4" t="s">
        <v>31</v>
      </c>
      <c r="B198" s="3" t="s">
        <v>225</v>
      </c>
      <c r="C198" s="4" t="s">
        <v>32</v>
      </c>
      <c r="D198" s="3"/>
      <c r="E198" s="4" t="s">
        <v>33</v>
      </c>
      <c r="F198" s="8"/>
    </row>
    <row r="199" spans="1:21" ht="28" customHeight="1" x14ac:dyDescent="0.35">
      <c r="A199" s="1" t="s">
        <v>34</v>
      </c>
      <c r="B199" s="1" t="s">
        <v>35</v>
      </c>
      <c r="C199" s="1" t="s">
        <v>36</v>
      </c>
      <c r="D199" s="1" t="s">
        <v>37</v>
      </c>
      <c r="E199" s="1" t="s">
        <v>38</v>
      </c>
      <c r="F199" s="1" t="s">
        <v>39</v>
      </c>
      <c r="G199" s="1" t="s">
        <v>40</v>
      </c>
      <c r="H199" s="1" t="s">
        <v>41</v>
      </c>
      <c r="I199" s="1" t="s">
        <v>42</v>
      </c>
      <c r="J199" s="1" t="s">
        <v>43</v>
      </c>
      <c r="K199" s="1" t="s">
        <v>44</v>
      </c>
      <c r="L199" s="1" t="s">
        <v>45</v>
      </c>
      <c r="M199" s="1" t="s">
        <v>46</v>
      </c>
      <c r="N199" s="1" t="s">
        <v>47</v>
      </c>
      <c r="O199" s="1" t="s">
        <v>48</v>
      </c>
      <c r="P199" s="1" t="s">
        <v>4</v>
      </c>
      <c r="Q199" s="1" t="s">
        <v>49</v>
      </c>
      <c r="R199" s="1" t="s">
        <v>50</v>
      </c>
      <c r="S199" s="1" t="s">
        <v>51</v>
      </c>
      <c r="T199" s="1" t="s">
        <v>52</v>
      </c>
      <c r="U199" s="1" t="s">
        <v>10</v>
      </c>
    </row>
    <row r="200" spans="1:21" ht="28" customHeight="1" x14ac:dyDescent="0.35">
      <c r="A200" s="4">
        <v>1</v>
      </c>
      <c r="B200" s="4" t="s">
        <v>439</v>
      </c>
      <c r="C200" s="4" t="s">
        <v>440</v>
      </c>
      <c r="D200" s="4" t="s">
        <v>441</v>
      </c>
      <c r="E200" s="4" t="s">
        <v>69</v>
      </c>
      <c r="F200" s="4" t="s">
        <v>370</v>
      </c>
      <c r="G200" s="4" t="s">
        <v>204</v>
      </c>
      <c r="H200" s="4" t="s">
        <v>59</v>
      </c>
      <c r="I200" s="3"/>
      <c r="J200" s="3"/>
      <c r="K200" s="3"/>
      <c r="L200" s="3"/>
      <c r="M200" s="3"/>
      <c r="N200" s="3"/>
      <c r="O200" s="3"/>
      <c r="P200" s="8"/>
      <c r="Q200" s="8"/>
      <c r="R200" s="3"/>
      <c r="S200" s="3"/>
      <c r="T200" s="3"/>
      <c r="U200" s="5" t="str">
        <f t="shared" ref="U200:U211" si="12">IF(I200="","",IF(I200="NA","Grey",IF(I200=2,"Green",IF(I200=1,"Amber","Red"))))</f>
        <v/>
      </c>
    </row>
    <row r="201" spans="1:21" ht="28" customHeight="1" x14ac:dyDescent="0.35">
      <c r="A201" s="4">
        <v>2</v>
      </c>
      <c r="B201" s="4" t="s">
        <v>442</v>
      </c>
      <c r="C201" s="4" t="s">
        <v>443</v>
      </c>
      <c r="D201" s="4" t="s">
        <v>444</v>
      </c>
      <c r="E201" s="4" t="s">
        <v>69</v>
      </c>
      <c r="F201" s="4" t="s">
        <v>95</v>
      </c>
      <c r="G201" s="4" t="s">
        <v>102</v>
      </c>
      <c r="H201" s="4" t="s">
        <v>59</v>
      </c>
      <c r="I201" s="3"/>
      <c r="J201" s="3"/>
      <c r="K201" s="3"/>
      <c r="L201" s="3"/>
      <c r="M201" s="3"/>
      <c r="N201" s="3"/>
      <c r="O201" s="3"/>
      <c r="P201" s="8"/>
      <c r="Q201" s="8"/>
      <c r="R201" s="3"/>
      <c r="S201" s="3"/>
      <c r="T201" s="3"/>
      <c r="U201" s="5" t="str">
        <f t="shared" si="12"/>
        <v/>
      </c>
    </row>
    <row r="202" spans="1:21" ht="28" customHeight="1" x14ac:dyDescent="0.35">
      <c r="A202" s="4">
        <v>3</v>
      </c>
      <c r="B202" s="4" t="s">
        <v>445</v>
      </c>
      <c r="C202" s="4" t="s">
        <v>446</v>
      </c>
      <c r="D202" s="4" t="s">
        <v>369</v>
      </c>
      <c r="E202" s="4" t="s">
        <v>69</v>
      </c>
      <c r="F202" s="4" t="s">
        <v>370</v>
      </c>
      <c r="G202" s="4" t="s">
        <v>204</v>
      </c>
      <c r="H202" s="4" t="s">
        <v>76</v>
      </c>
      <c r="I202" s="3"/>
      <c r="J202" s="3"/>
      <c r="K202" s="3"/>
      <c r="L202" s="3"/>
      <c r="M202" s="3"/>
      <c r="N202" s="3"/>
      <c r="O202" s="3"/>
      <c r="P202" s="8"/>
      <c r="Q202" s="8"/>
      <c r="R202" s="3"/>
      <c r="S202" s="3"/>
      <c r="T202" s="3"/>
      <c r="U202" s="5" t="str">
        <f t="shared" si="12"/>
        <v/>
      </c>
    </row>
    <row r="203" spans="1:21" ht="28" customHeight="1" x14ac:dyDescent="0.35">
      <c r="A203" s="4">
        <v>4</v>
      </c>
      <c r="B203" s="4" t="s">
        <v>447</v>
      </c>
      <c r="C203" s="4" t="s">
        <v>448</v>
      </c>
      <c r="D203" s="4" t="s">
        <v>449</v>
      </c>
      <c r="E203" s="4" t="s">
        <v>109</v>
      </c>
      <c r="F203" s="4" t="s">
        <v>276</v>
      </c>
      <c r="G203" s="4" t="s">
        <v>199</v>
      </c>
      <c r="H203" s="4" t="s">
        <v>59</v>
      </c>
      <c r="I203" s="3"/>
      <c r="J203" s="3"/>
      <c r="K203" s="3"/>
      <c r="L203" s="3"/>
      <c r="M203" s="3"/>
      <c r="N203" s="3"/>
      <c r="O203" s="3"/>
      <c r="P203" s="8"/>
      <c r="Q203" s="8"/>
      <c r="R203" s="3"/>
      <c r="S203" s="3"/>
      <c r="T203" s="3"/>
      <c r="U203" s="5" t="str">
        <f t="shared" si="12"/>
        <v/>
      </c>
    </row>
    <row r="204" spans="1:21" ht="28" customHeight="1" x14ac:dyDescent="0.35">
      <c r="A204" s="4">
        <v>5</v>
      </c>
      <c r="B204" s="4" t="s">
        <v>450</v>
      </c>
      <c r="C204" s="4" t="s">
        <v>451</v>
      </c>
      <c r="D204" s="4" t="s">
        <v>452</v>
      </c>
      <c r="E204" s="4" t="s">
        <v>69</v>
      </c>
      <c r="F204" s="4" t="s">
        <v>276</v>
      </c>
      <c r="G204" s="4" t="s">
        <v>199</v>
      </c>
      <c r="H204" s="4" t="s">
        <v>59</v>
      </c>
      <c r="I204" s="3"/>
      <c r="J204" s="3"/>
      <c r="K204" s="3"/>
      <c r="L204" s="3"/>
      <c r="M204" s="3"/>
      <c r="N204" s="3"/>
      <c r="O204" s="3"/>
      <c r="P204" s="8"/>
      <c r="Q204" s="8"/>
      <c r="R204" s="3"/>
      <c r="S204" s="3"/>
      <c r="T204" s="3"/>
      <c r="U204" s="5" t="str">
        <f t="shared" si="12"/>
        <v/>
      </c>
    </row>
    <row r="205" spans="1:21" ht="28" customHeight="1" x14ac:dyDescent="0.35">
      <c r="A205" s="4">
        <v>6</v>
      </c>
      <c r="B205" s="4" t="s">
        <v>453</v>
      </c>
      <c r="C205" s="4" t="s">
        <v>454</v>
      </c>
      <c r="D205" s="4" t="s">
        <v>455</v>
      </c>
      <c r="E205" s="4" t="s">
        <v>69</v>
      </c>
      <c r="F205" s="4" t="s">
        <v>284</v>
      </c>
      <c r="G205" s="4" t="s">
        <v>204</v>
      </c>
      <c r="H205" s="4" t="s">
        <v>76</v>
      </c>
      <c r="I205" s="3"/>
      <c r="J205" s="3"/>
      <c r="K205" s="3"/>
      <c r="L205" s="3"/>
      <c r="M205" s="3"/>
      <c r="N205" s="3"/>
      <c r="O205" s="3"/>
      <c r="P205" s="8"/>
      <c r="Q205" s="8"/>
      <c r="R205" s="3"/>
      <c r="S205" s="3"/>
      <c r="T205" s="3"/>
      <c r="U205" s="5" t="str">
        <f t="shared" si="12"/>
        <v/>
      </c>
    </row>
    <row r="206" spans="1:21" ht="28" customHeight="1" x14ac:dyDescent="0.35">
      <c r="A206" s="4">
        <v>7</v>
      </c>
      <c r="B206" s="4" t="s">
        <v>456</v>
      </c>
      <c r="C206" s="4" t="s">
        <v>457</v>
      </c>
      <c r="D206" s="4" t="s">
        <v>458</v>
      </c>
      <c r="E206" s="4" t="s">
        <v>69</v>
      </c>
      <c r="F206" s="4" t="s">
        <v>459</v>
      </c>
      <c r="G206" s="4" t="s">
        <v>209</v>
      </c>
      <c r="H206" s="4" t="s">
        <v>59</v>
      </c>
      <c r="I206" s="3"/>
      <c r="J206" s="3"/>
      <c r="K206" s="3"/>
      <c r="L206" s="3"/>
      <c r="M206" s="3"/>
      <c r="N206" s="3"/>
      <c r="O206" s="3"/>
      <c r="P206" s="8"/>
      <c r="Q206" s="8"/>
      <c r="R206" s="3"/>
      <c r="S206" s="3"/>
      <c r="T206" s="3"/>
      <c r="U206" s="5" t="str">
        <f t="shared" si="12"/>
        <v/>
      </c>
    </row>
    <row r="207" spans="1:21" ht="28" customHeight="1" x14ac:dyDescent="0.35">
      <c r="A207" s="4">
        <v>8</v>
      </c>
      <c r="B207" s="4" t="s">
        <v>460</v>
      </c>
      <c r="C207" s="4" t="s">
        <v>461</v>
      </c>
      <c r="D207" s="4" t="s">
        <v>462</v>
      </c>
      <c r="E207" s="4" t="s">
        <v>69</v>
      </c>
      <c r="F207" s="4" t="s">
        <v>95</v>
      </c>
      <c r="G207" s="4" t="s">
        <v>102</v>
      </c>
      <c r="H207" s="4" t="s">
        <v>59</v>
      </c>
      <c r="I207" s="3"/>
      <c r="J207" s="3"/>
      <c r="K207" s="3"/>
      <c r="L207" s="3"/>
      <c r="M207" s="3"/>
      <c r="N207" s="3"/>
      <c r="O207" s="3"/>
      <c r="P207" s="8"/>
      <c r="Q207" s="8"/>
      <c r="R207" s="3"/>
      <c r="S207" s="3"/>
      <c r="T207" s="3"/>
      <c r="U207" s="5" t="str">
        <f t="shared" si="12"/>
        <v/>
      </c>
    </row>
    <row r="208" spans="1:21" ht="28" customHeight="1" x14ac:dyDescent="0.35">
      <c r="A208" s="4">
        <v>9</v>
      </c>
      <c r="B208" s="4" t="s">
        <v>97</v>
      </c>
      <c r="C208" s="4" t="s">
        <v>98</v>
      </c>
      <c r="D208" s="4" t="s">
        <v>99</v>
      </c>
      <c r="E208" s="4" t="s">
        <v>69</v>
      </c>
      <c r="F208" s="4" t="s">
        <v>95</v>
      </c>
      <c r="G208" s="4" t="s">
        <v>96</v>
      </c>
      <c r="H208" s="4" t="s">
        <v>59</v>
      </c>
      <c r="I208" s="3"/>
      <c r="J208" s="3"/>
      <c r="K208" s="3"/>
      <c r="L208" s="3"/>
      <c r="M208" s="3"/>
      <c r="N208" s="3"/>
      <c r="O208" s="3"/>
      <c r="P208" s="8"/>
      <c r="Q208" s="8"/>
      <c r="R208" s="3"/>
      <c r="S208" s="3"/>
      <c r="T208" s="3"/>
      <c r="U208" s="5" t="str">
        <f t="shared" si="12"/>
        <v/>
      </c>
    </row>
    <row r="209" spans="1:21" ht="28" customHeight="1" x14ac:dyDescent="0.35">
      <c r="A209" s="4">
        <v>10</v>
      </c>
      <c r="B209" s="4" t="s">
        <v>97</v>
      </c>
      <c r="C209" s="4" t="s">
        <v>100</v>
      </c>
      <c r="D209" s="4" t="s">
        <v>101</v>
      </c>
      <c r="E209" s="4" t="s">
        <v>69</v>
      </c>
      <c r="F209" s="4" t="s">
        <v>95</v>
      </c>
      <c r="G209" s="4" t="s">
        <v>102</v>
      </c>
      <c r="H209" s="4" t="s">
        <v>59</v>
      </c>
      <c r="I209" s="3"/>
      <c r="J209" s="3"/>
      <c r="K209" s="3"/>
      <c r="L209" s="3"/>
      <c r="M209" s="3"/>
      <c r="N209" s="3"/>
      <c r="O209" s="3"/>
      <c r="P209" s="8"/>
      <c r="Q209" s="8"/>
      <c r="R209" s="3"/>
      <c r="S209" s="3"/>
      <c r="T209" s="3"/>
      <c r="U209" s="5" t="str">
        <f t="shared" si="12"/>
        <v/>
      </c>
    </row>
    <row r="210" spans="1:21" ht="28" customHeight="1" x14ac:dyDescent="0.35">
      <c r="A210" s="4">
        <v>11</v>
      </c>
      <c r="B210" s="4" t="s">
        <v>103</v>
      </c>
      <c r="C210" s="4" t="s">
        <v>104</v>
      </c>
      <c r="D210" s="4" t="s">
        <v>105</v>
      </c>
      <c r="E210" s="4" t="s">
        <v>69</v>
      </c>
      <c r="F210" s="4" t="s">
        <v>95</v>
      </c>
      <c r="G210" s="4" t="s">
        <v>96</v>
      </c>
      <c r="H210" s="4" t="s">
        <v>85</v>
      </c>
      <c r="I210" s="3"/>
      <c r="J210" s="3"/>
      <c r="K210" s="3"/>
      <c r="L210" s="3"/>
      <c r="M210" s="3"/>
      <c r="N210" s="3"/>
      <c r="O210" s="3"/>
      <c r="P210" s="8"/>
      <c r="Q210" s="8"/>
      <c r="R210" s="3"/>
      <c r="S210" s="3"/>
      <c r="T210" s="3"/>
      <c r="U210" s="5" t="str">
        <f t="shared" si="12"/>
        <v/>
      </c>
    </row>
    <row r="211" spans="1:21" ht="28" customHeight="1" x14ac:dyDescent="0.35">
      <c r="A211" s="4">
        <v>12</v>
      </c>
      <c r="B211" s="4" t="s">
        <v>106</v>
      </c>
      <c r="C211" s="4" t="s">
        <v>107</v>
      </c>
      <c r="D211" s="4" t="s">
        <v>108</v>
      </c>
      <c r="E211" s="4" t="s">
        <v>109</v>
      </c>
      <c r="F211" s="4" t="s">
        <v>95</v>
      </c>
      <c r="G211" s="4" t="s">
        <v>96</v>
      </c>
      <c r="H211" s="4" t="s">
        <v>59</v>
      </c>
      <c r="I211" s="3"/>
      <c r="J211" s="3"/>
      <c r="K211" s="3"/>
      <c r="L211" s="3"/>
      <c r="M211" s="3"/>
      <c r="N211" s="3"/>
      <c r="O211" s="3"/>
      <c r="P211" s="8"/>
      <c r="Q211" s="8"/>
      <c r="R211" s="3"/>
      <c r="S211" s="3"/>
      <c r="T211" s="3"/>
      <c r="U211" s="5" t="str">
        <f t="shared" si="12"/>
        <v/>
      </c>
    </row>
    <row r="213" spans="1:21" ht="28" customHeight="1" x14ac:dyDescent="0.35">
      <c r="A213" s="9" t="s">
        <v>110</v>
      </c>
      <c r="B213" s="16"/>
      <c r="C213" s="17"/>
      <c r="D213" s="17"/>
      <c r="E213" s="17"/>
      <c r="F213" s="17"/>
      <c r="G213" s="17"/>
      <c r="H213" s="17"/>
      <c r="I213" s="17"/>
      <c r="J213" s="17"/>
      <c r="K213" s="17"/>
      <c r="L213" s="17"/>
      <c r="M213" s="17"/>
      <c r="N213" s="17"/>
      <c r="O213" s="17"/>
      <c r="P213" s="17"/>
      <c r="Q213" s="17"/>
      <c r="R213" s="17"/>
      <c r="S213" s="17"/>
      <c r="T213" s="17"/>
      <c r="U213" s="18"/>
    </row>
    <row r="214" spans="1:21" ht="28" customHeight="1" x14ac:dyDescent="0.35">
      <c r="A214" s="19" t="s">
        <v>471</v>
      </c>
      <c r="B214" s="20"/>
      <c r="C214" s="20"/>
      <c r="D214" s="20"/>
      <c r="E214" s="20"/>
      <c r="F214" s="20"/>
      <c r="G214" s="20"/>
      <c r="H214" s="20"/>
      <c r="I214" s="20"/>
      <c r="J214" s="20"/>
      <c r="K214" s="20"/>
      <c r="L214" s="20"/>
      <c r="M214" s="20"/>
      <c r="N214" s="20"/>
      <c r="O214" s="20"/>
      <c r="P214" s="20"/>
      <c r="Q214" s="20"/>
      <c r="R214" s="20"/>
      <c r="S214" s="20"/>
      <c r="T214" s="20"/>
      <c r="U214" s="21"/>
    </row>
    <row r="215" spans="1:21" ht="28" customHeight="1" x14ac:dyDescent="0.35">
      <c r="A215" s="4" t="s">
        <v>31</v>
      </c>
      <c r="B215" s="3" t="s">
        <v>226</v>
      </c>
      <c r="C215" s="4" t="s">
        <v>32</v>
      </c>
      <c r="D215" s="3"/>
      <c r="E215" s="4" t="s">
        <v>33</v>
      </c>
      <c r="F215" s="8"/>
    </row>
    <row r="216" spans="1:21" ht="28" customHeight="1" x14ac:dyDescent="0.35">
      <c r="A216" s="1" t="s">
        <v>34</v>
      </c>
      <c r="B216" s="1" t="s">
        <v>35</v>
      </c>
      <c r="C216" s="1" t="s">
        <v>36</v>
      </c>
      <c r="D216" s="1" t="s">
        <v>37</v>
      </c>
      <c r="E216" s="1" t="s">
        <v>38</v>
      </c>
      <c r="F216" s="1" t="s">
        <v>39</v>
      </c>
      <c r="G216" s="1" t="s">
        <v>40</v>
      </c>
      <c r="H216" s="1" t="s">
        <v>41</v>
      </c>
      <c r="I216" s="1" t="s">
        <v>42</v>
      </c>
      <c r="J216" s="1" t="s">
        <v>43</v>
      </c>
      <c r="K216" s="1" t="s">
        <v>44</v>
      </c>
      <c r="L216" s="1" t="s">
        <v>45</v>
      </c>
      <c r="M216" s="1" t="s">
        <v>46</v>
      </c>
      <c r="N216" s="1" t="s">
        <v>47</v>
      </c>
      <c r="O216" s="1" t="s">
        <v>48</v>
      </c>
      <c r="P216" s="1" t="s">
        <v>4</v>
      </c>
      <c r="Q216" s="1" t="s">
        <v>49</v>
      </c>
      <c r="R216" s="1" t="s">
        <v>50</v>
      </c>
      <c r="S216" s="1" t="s">
        <v>51</v>
      </c>
      <c r="T216" s="1" t="s">
        <v>52</v>
      </c>
      <c r="U216" s="1" t="s">
        <v>10</v>
      </c>
    </row>
    <row r="217" spans="1:21" ht="28" customHeight="1" x14ac:dyDescent="0.35">
      <c r="A217" s="4">
        <v>1</v>
      </c>
      <c r="B217" s="4" t="s">
        <v>439</v>
      </c>
      <c r="C217" s="4" t="s">
        <v>440</v>
      </c>
      <c r="D217" s="4" t="s">
        <v>441</v>
      </c>
      <c r="E217" s="4" t="s">
        <v>69</v>
      </c>
      <c r="F217" s="4" t="s">
        <v>370</v>
      </c>
      <c r="G217" s="4" t="s">
        <v>204</v>
      </c>
      <c r="H217" s="4" t="s">
        <v>59</v>
      </c>
      <c r="I217" s="3"/>
      <c r="J217" s="3"/>
      <c r="K217" s="3"/>
      <c r="L217" s="3"/>
      <c r="M217" s="3"/>
      <c r="N217" s="3"/>
      <c r="O217" s="3"/>
      <c r="P217" s="8"/>
      <c r="Q217" s="8"/>
      <c r="R217" s="3"/>
      <c r="S217" s="3"/>
      <c r="T217" s="3"/>
      <c r="U217" s="5" t="str">
        <f t="shared" ref="U217:U228" si="13">IF(I217="","",IF(I217="NA","Grey",IF(I217=2,"Green",IF(I217=1,"Amber","Red"))))</f>
        <v/>
      </c>
    </row>
    <row r="218" spans="1:21" ht="28" customHeight="1" x14ac:dyDescent="0.35">
      <c r="A218" s="4">
        <v>2</v>
      </c>
      <c r="B218" s="4" t="s">
        <v>442</v>
      </c>
      <c r="C218" s="4" t="s">
        <v>443</v>
      </c>
      <c r="D218" s="4" t="s">
        <v>444</v>
      </c>
      <c r="E218" s="4" t="s">
        <v>69</v>
      </c>
      <c r="F218" s="4" t="s">
        <v>95</v>
      </c>
      <c r="G218" s="4" t="s">
        <v>102</v>
      </c>
      <c r="H218" s="4" t="s">
        <v>59</v>
      </c>
      <c r="I218" s="3"/>
      <c r="J218" s="3"/>
      <c r="K218" s="3"/>
      <c r="L218" s="3"/>
      <c r="M218" s="3"/>
      <c r="N218" s="3"/>
      <c r="O218" s="3"/>
      <c r="P218" s="8"/>
      <c r="Q218" s="8"/>
      <c r="R218" s="3"/>
      <c r="S218" s="3"/>
      <c r="T218" s="3"/>
      <c r="U218" s="5" t="str">
        <f t="shared" si="13"/>
        <v/>
      </c>
    </row>
    <row r="219" spans="1:21" ht="28" customHeight="1" x14ac:dyDescent="0.35">
      <c r="A219" s="4">
        <v>3</v>
      </c>
      <c r="B219" s="4" t="s">
        <v>445</v>
      </c>
      <c r="C219" s="4" t="s">
        <v>446</v>
      </c>
      <c r="D219" s="4" t="s">
        <v>369</v>
      </c>
      <c r="E219" s="4" t="s">
        <v>69</v>
      </c>
      <c r="F219" s="4" t="s">
        <v>370</v>
      </c>
      <c r="G219" s="4" t="s">
        <v>204</v>
      </c>
      <c r="H219" s="4" t="s">
        <v>76</v>
      </c>
      <c r="I219" s="3"/>
      <c r="J219" s="3"/>
      <c r="K219" s="3"/>
      <c r="L219" s="3"/>
      <c r="M219" s="3"/>
      <c r="N219" s="3"/>
      <c r="O219" s="3"/>
      <c r="P219" s="8"/>
      <c r="Q219" s="8"/>
      <c r="R219" s="3"/>
      <c r="S219" s="3"/>
      <c r="T219" s="3"/>
      <c r="U219" s="5" t="str">
        <f t="shared" si="13"/>
        <v/>
      </c>
    </row>
    <row r="220" spans="1:21" ht="28" customHeight="1" x14ac:dyDescent="0.35">
      <c r="A220" s="4">
        <v>4</v>
      </c>
      <c r="B220" s="4" t="s">
        <v>447</v>
      </c>
      <c r="C220" s="4" t="s">
        <v>448</v>
      </c>
      <c r="D220" s="4" t="s">
        <v>449</v>
      </c>
      <c r="E220" s="4" t="s">
        <v>109</v>
      </c>
      <c r="F220" s="4" t="s">
        <v>276</v>
      </c>
      <c r="G220" s="4" t="s">
        <v>199</v>
      </c>
      <c r="H220" s="4" t="s">
        <v>59</v>
      </c>
      <c r="I220" s="3"/>
      <c r="J220" s="3"/>
      <c r="K220" s="3"/>
      <c r="L220" s="3"/>
      <c r="M220" s="3"/>
      <c r="N220" s="3"/>
      <c r="O220" s="3"/>
      <c r="P220" s="8"/>
      <c r="Q220" s="8"/>
      <c r="R220" s="3"/>
      <c r="S220" s="3"/>
      <c r="T220" s="3"/>
      <c r="U220" s="5" t="str">
        <f t="shared" si="13"/>
        <v/>
      </c>
    </row>
    <row r="221" spans="1:21" ht="28" customHeight="1" x14ac:dyDescent="0.35">
      <c r="A221" s="4">
        <v>5</v>
      </c>
      <c r="B221" s="4" t="s">
        <v>450</v>
      </c>
      <c r="C221" s="4" t="s">
        <v>451</v>
      </c>
      <c r="D221" s="4" t="s">
        <v>452</v>
      </c>
      <c r="E221" s="4" t="s">
        <v>69</v>
      </c>
      <c r="F221" s="4" t="s">
        <v>276</v>
      </c>
      <c r="G221" s="4" t="s">
        <v>199</v>
      </c>
      <c r="H221" s="4" t="s">
        <v>59</v>
      </c>
      <c r="I221" s="3"/>
      <c r="J221" s="3"/>
      <c r="K221" s="3"/>
      <c r="L221" s="3"/>
      <c r="M221" s="3"/>
      <c r="N221" s="3"/>
      <c r="O221" s="3"/>
      <c r="P221" s="8"/>
      <c r="Q221" s="8"/>
      <c r="R221" s="3"/>
      <c r="S221" s="3"/>
      <c r="T221" s="3"/>
      <c r="U221" s="5" t="str">
        <f t="shared" si="13"/>
        <v/>
      </c>
    </row>
    <row r="222" spans="1:21" ht="28" customHeight="1" x14ac:dyDescent="0.35">
      <c r="A222" s="4">
        <v>6</v>
      </c>
      <c r="B222" s="4" t="s">
        <v>453</v>
      </c>
      <c r="C222" s="4" t="s">
        <v>454</v>
      </c>
      <c r="D222" s="4" t="s">
        <v>455</v>
      </c>
      <c r="E222" s="4" t="s">
        <v>69</v>
      </c>
      <c r="F222" s="4" t="s">
        <v>284</v>
      </c>
      <c r="G222" s="4" t="s">
        <v>204</v>
      </c>
      <c r="H222" s="4" t="s">
        <v>76</v>
      </c>
      <c r="I222" s="3"/>
      <c r="J222" s="3"/>
      <c r="K222" s="3"/>
      <c r="L222" s="3"/>
      <c r="M222" s="3"/>
      <c r="N222" s="3"/>
      <c r="O222" s="3"/>
      <c r="P222" s="8"/>
      <c r="Q222" s="8"/>
      <c r="R222" s="3"/>
      <c r="S222" s="3"/>
      <c r="T222" s="3"/>
      <c r="U222" s="5" t="str">
        <f t="shared" si="13"/>
        <v/>
      </c>
    </row>
    <row r="223" spans="1:21" ht="28" customHeight="1" x14ac:dyDescent="0.35">
      <c r="A223" s="4">
        <v>7</v>
      </c>
      <c r="B223" s="4" t="s">
        <v>456</v>
      </c>
      <c r="C223" s="4" t="s">
        <v>457</v>
      </c>
      <c r="D223" s="4" t="s">
        <v>458</v>
      </c>
      <c r="E223" s="4" t="s">
        <v>69</v>
      </c>
      <c r="F223" s="4" t="s">
        <v>459</v>
      </c>
      <c r="G223" s="4" t="s">
        <v>209</v>
      </c>
      <c r="H223" s="4" t="s">
        <v>59</v>
      </c>
      <c r="I223" s="3"/>
      <c r="J223" s="3"/>
      <c r="K223" s="3"/>
      <c r="L223" s="3"/>
      <c r="M223" s="3"/>
      <c r="N223" s="3"/>
      <c r="O223" s="3"/>
      <c r="P223" s="8"/>
      <c r="Q223" s="8"/>
      <c r="R223" s="3"/>
      <c r="S223" s="3"/>
      <c r="T223" s="3"/>
      <c r="U223" s="5" t="str">
        <f t="shared" si="13"/>
        <v/>
      </c>
    </row>
    <row r="224" spans="1:21" ht="28" customHeight="1" x14ac:dyDescent="0.35">
      <c r="A224" s="4">
        <v>8</v>
      </c>
      <c r="B224" s="4" t="s">
        <v>460</v>
      </c>
      <c r="C224" s="4" t="s">
        <v>461</v>
      </c>
      <c r="D224" s="4" t="s">
        <v>462</v>
      </c>
      <c r="E224" s="4" t="s">
        <v>69</v>
      </c>
      <c r="F224" s="4" t="s">
        <v>95</v>
      </c>
      <c r="G224" s="4" t="s">
        <v>102</v>
      </c>
      <c r="H224" s="4" t="s">
        <v>59</v>
      </c>
      <c r="I224" s="3"/>
      <c r="J224" s="3"/>
      <c r="K224" s="3"/>
      <c r="L224" s="3"/>
      <c r="M224" s="3"/>
      <c r="N224" s="3"/>
      <c r="O224" s="3"/>
      <c r="P224" s="8"/>
      <c r="Q224" s="8"/>
      <c r="R224" s="3"/>
      <c r="S224" s="3"/>
      <c r="T224" s="3"/>
      <c r="U224" s="5" t="str">
        <f t="shared" si="13"/>
        <v/>
      </c>
    </row>
    <row r="225" spans="1:21" ht="28" customHeight="1" x14ac:dyDescent="0.35">
      <c r="A225" s="4">
        <v>9</v>
      </c>
      <c r="B225" s="4" t="s">
        <v>97</v>
      </c>
      <c r="C225" s="4" t="s">
        <v>98</v>
      </c>
      <c r="D225" s="4" t="s">
        <v>99</v>
      </c>
      <c r="E225" s="4" t="s">
        <v>69</v>
      </c>
      <c r="F225" s="4" t="s">
        <v>95</v>
      </c>
      <c r="G225" s="4" t="s">
        <v>96</v>
      </c>
      <c r="H225" s="4" t="s">
        <v>59</v>
      </c>
      <c r="I225" s="3"/>
      <c r="J225" s="3"/>
      <c r="K225" s="3"/>
      <c r="L225" s="3"/>
      <c r="M225" s="3"/>
      <c r="N225" s="3"/>
      <c r="O225" s="3"/>
      <c r="P225" s="8"/>
      <c r="Q225" s="8"/>
      <c r="R225" s="3"/>
      <c r="S225" s="3"/>
      <c r="T225" s="3"/>
      <c r="U225" s="5" t="str">
        <f t="shared" si="13"/>
        <v/>
      </c>
    </row>
    <row r="226" spans="1:21" ht="28" customHeight="1" x14ac:dyDescent="0.35">
      <c r="A226" s="4">
        <v>10</v>
      </c>
      <c r="B226" s="4" t="s">
        <v>97</v>
      </c>
      <c r="C226" s="4" t="s">
        <v>100</v>
      </c>
      <c r="D226" s="4" t="s">
        <v>101</v>
      </c>
      <c r="E226" s="4" t="s">
        <v>69</v>
      </c>
      <c r="F226" s="4" t="s">
        <v>95</v>
      </c>
      <c r="G226" s="4" t="s">
        <v>102</v>
      </c>
      <c r="H226" s="4" t="s">
        <v>59</v>
      </c>
      <c r="I226" s="3"/>
      <c r="J226" s="3"/>
      <c r="K226" s="3"/>
      <c r="L226" s="3"/>
      <c r="M226" s="3"/>
      <c r="N226" s="3"/>
      <c r="O226" s="3"/>
      <c r="P226" s="8"/>
      <c r="Q226" s="8"/>
      <c r="R226" s="3"/>
      <c r="S226" s="3"/>
      <c r="T226" s="3"/>
      <c r="U226" s="5" t="str">
        <f t="shared" si="13"/>
        <v/>
      </c>
    </row>
    <row r="227" spans="1:21" ht="28" customHeight="1" x14ac:dyDescent="0.35">
      <c r="A227" s="4">
        <v>11</v>
      </c>
      <c r="B227" s="4" t="s">
        <v>103</v>
      </c>
      <c r="C227" s="4" t="s">
        <v>104</v>
      </c>
      <c r="D227" s="4" t="s">
        <v>105</v>
      </c>
      <c r="E227" s="4" t="s">
        <v>69</v>
      </c>
      <c r="F227" s="4" t="s">
        <v>95</v>
      </c>
      <c r="G227" s="4" t="s">
        <v>96</v>
      </c>
      <c r="H227" s="4" t="s">
        <v>85</v>
      </c>
      <c r="I227" s="3"/>
      <c r="J227" s="3"/>
      <c r="K227" s="3"/>
      <c r="L227" s="3"/>
      <c r="M227" s="3"/>
      <c r="N227" s="3"/>
      <c r="O227" s="3"/>
      <c r="P227" s="8"/>
      <c r="Q227" s="8"/>
      <c r="R227" s="3"/>
      <c r="S227" s="3"/>
      <c r="T227" s="3"/>
      <c r="U227" s="5" t="str">
        <f t="shared" si="13"/>
        <v/>
      </c>
    </row>
    <row r="228" spans="1:21" ht="28" customHeight="1" x14ac:dyDescent="0.35">
      <c r="A228" s="4">
        <v>12</v>
      </c>
      <c r="B228" s="4" t="s">
        <v>106</v>
      </c>
      <c r="C228" s="4" t="s">
        <v>107</v>
      </c>
      <c r="D228" s="4" t="s">
        <v>108</v>
      </c>
      <c r="E228" s="4" t="s">
        <v>109</v>
      </c>
      <c r="F228" s="4" t="s">
        <v>95</v>
      </c>
      <c r="G228" s="4" t="s">
        <v>96</v>
      </c>
      <c r="H228" s="4" t="s">
        <v>59</v>
      </c>
      <c r="I228" s="3"/>
      <c r="J228" s="3"/>
      <c r="K228" s="3"/>
      <c r="L228" s="3"/>
      <c r="M228" s="3"/>
      <c r="N228" s="3"/>
      <c r="O228" s="3"/>
      <c r="P228" s="8"/>
      <c r="Q228" s="8"/>
      <c r="R228" s="3"/>
      <c r="S228" s="3"/>
      <c r="T228" s="3"/>
      <c r="U228" s="5" t="str">
        <f t="shared" si="13"/>
        <v/>
      </c>
    </row>
    <row r="230" spans="1:21" ht="28" customHeight="1" x14ac:dyDescent="0.35">
      <c r="A230" s="9" t="s">
        <v>110</v>
      </c>
      <c r="B230" s="16"/>
      <c r="C230" s="17"/>
      <c r="D230" s="17"/>
      <c r="E230" s="17"/>
      <c r="F230" s="17"/>
      <c r="G230" s="17"/>
      <c r="H230" s="17"/>
      <c r="I230" s="17"/>
      <c r="J230" s="17"/>
      <c r="K230" s="17"/>
      <c r="L230" s="17"/>
      <c r="M230" s="17"/>
      <c r="N230" s="17"/>
      <c r="O230" s="17"/>
      <c r="P230" s="17"/>
      <c r="Q230" s="17"/>
      <c r="R230" s="17"/>
      <c r="S230" s="17"/>
      <c r="T230" s="17"/>
      <c r="U230" s="18"/>
    </row>
    <row r="231" spans="1:21" ht="28" customHeight="1" x14ac:dyDescent="0.35">
      <c r="A231" s="19" t="s">
        <v>472</v>
      </c>
      <c r="B231" s="20"/>
      <c r="C231" s="20"/>
      <c r="D231" s="20"/>
      <c r="E231" s="20"/>
      <c r="F231" s="20"/>
      <c r="G231" s="20"/>
      <c r="H231" s="20"/>
      <c r="I231" s="20"/>
      <c r="J231" s="20"/>
      <c r="K231" s="20"/>
      <c r="L231" s="20"/>
      <c r="M231" s="20"/>
      <c r="N231" s="20"/>
      <c r="O231" s="20"/>
      <c r="P231" s="20"/>
      <c r="Q231" s="20"/>
      <c r="R231" s="20"/>
      <c r="S231" s="20"/>
      <c r="T231" s="20"/>
      <c r="U231" s="21"/>
    </row>
    <row r="232" spans="1:21" ht="28" customHeight="1" x14ac:dyDescent="0.35">
      <c r="A232" s="4" t="s">
        <v>31</v>
      </c>
      <c r="B232" s="3" t="s">
        <v>227</v>
      </c>
      <c r="C232" s="4" t="s">
        <v>32</v>
      </c>
      <c r="D232" s="3"/>
      <c r="E232" s="4" t="s">
        <v>33</v>
      </c>
      <c r="F232" s="8"/>
    </row>
    <row r="233" spans="1:21" ht="28" customHeight="1" x14ac:dyDescent="0.35">
      <c r="A233" s="1" t="s">
        <v>34</v>
      </c>
      <c r="B233" s="1" t="s">
        <v>35</v>
      </c>
      <c r="C233" s="1" t="s">
        <v>36</v>
      </c>
      <c r="D233" s="1" t="s">
        <v>37</v>
      </c>
      <c r="E233" s="1" t="s">
        <v>38</v>
      </c>
      <c r="F233" s="1" t="s">
        <v>39</v>
      </c>
      <c r="G233" s="1" t="s">
        <v>40</v>
      </c>
      <c r="H233" s="1" t="s">
        <v>41</v>
      </c>
      <c r="I233" s="1" t="s">
        <v>42</v>
      </c>
      <c r="J233" s="1" t="s">
        <v>43</v>
      </c>
      <c r="K233" s="1" t="s">
        <v>44</v>
      </c>
      <c r="L233" s="1" t="s">
        <v>45</v>
      </c>
      <c r="M233" s="1" t="s">
        <v>46</v>
      </c>
      <c r="N233" s="1" t="s">
        <v>47</v>
      </c>
      <c r="O233" s="1" t="s">
        <v>48</v>
      </c>
      <c r="P233" s="1" t="s">
        <v>4</v>
      </c>
      <c r="Q233" s="1" t="s">
        <v>49</v>
      </c>
      <c r="R233" s="1" t="s">
        <v>50</v>
      </c>
      <c r="S233" s="1" t="s">
        <v>51</v>
      </c>
      <c r="T233" s="1" t="s">
        <v>52</v>
      </c>
      <c r="U233" s="1" t="s">
        <v>10</v>
      </c>
    </row>
    <row r="234" spans="1:21" ht="28" customHeight="1" x14ac:dyDescent="0.35">
      <c r="A234" s="4">
        <v>1</v>
      </c>
      <c r="B234" s="4" t="s">
        <v>439</v>
      </c>
      <c r="C234" s="4" t="s">
        <v>440</v>
      </c>
      <c r="D234" s="4" t="s">
        <v>441</v>
      </c>
      <c r="E234" s="4" t="s">
        <v>69</v>
      </c>
      <c r="F234" s="4" t="s">
        <v>370</v>
      </c>
      <c r="G234" s="4" t="s">
        <v>204</v>
      </c>
      <c r="H234" s="4" t="s">
        <v>59</v>
      </c>
      <c r="I234" s="3"/>
      <c r="J234" s="3"/>
      <c r="K234" s="3"/>
      <c r="L234" s="3"/>
      <c r="M234" s="3"/>
      <c r="N234" s="3"/>
      <c r="O234" s="3"/>
      <c r="P234" s="8"/>
      <c r="Q234" s="8"/>
      <c r="R234" s="3"/>
      <c r="S234" s="3"/>
      <c r="T234" s="3"/>
      <c r="U234" s="5" t="str">
        <f t="shared" ref="U234:U245" si="14">IF(I234="","",IF(I234="NA","Grey",IF(I234=2,"Green",IF(I234=1,"Amber","Red"))))</f>
        <v/>
      </c>
    </row>
    <row r="235" spans="1:21" ht="28" customHeight="1" x14ac:dyDescent="0.35">
      <c r="A235" s="4">
        <v>2</v>
      </c>
      <c r="B235" s="4" t="s">
        <v>442</v>
      </c>
      <c r="C235" s="4" t="s">
        <v>443</v>
      </c>
      <c r="D235" s="4" t="s">
        <v>444</v>
      </c>
      <c r="E235" s="4" t="s">
        <v>69</v>
      </c>
      <c r="F235" s="4" t="s">
        <v>95</v>
      </c>
      <c r="G235" s="4" t="s">
        <v>102</v>
      </c>
      <c r="H235" s="4" t="s">
        <v>59</v>
      </c>
      <c r="I235" s="3"/>
      <c r="J235" s="3"/>
      <c r="K235" s="3"/>
      <c r="L235" s="3"/>
      <c r="M235" s="3"/>
      <c r="N235" s="3"/>
      <c r="O235" s="3"/>
      <c r="P235" s="8"/>
      <c r="Q235" s="8"/>
      <c r="R235" s="3"/>
      <c r="S235" s="3"/>
      <c r="T235" s="3"/>
      <c r="U235" s="5" t="str">
        <f t="shared" si="14"/>
        <v/>
      </c>
    </row>
    <row r="236" spans="1:21" ht="28" customHeight="1" x14ac:dyDescent="0.35">
      <c r="A236" s="4">
        <v>3</v>
      </c>
      <c r="B236" s="4" t="s">
        <v>445</v>
      </c>
      <c r="C236" s="4" t="s">
        <v>446</v>
      </c>
      <c r="D236" s="4" t="s">
        <v>369</v>
      </c>
      <c r="E236" s="4" t="s">
        <v>69</v>
      </c>
      <c r="F236" s="4" t="s">
        <v>370</v>
      </c>
      <c r="G236" s="4" t="s">
        <v>204</v>
      </c>
      <c r="H236" s="4" t="s">
        <v>76</v>
      </c>
      <c r="I236" s="3"/>
      <c r="J236" s="3"/>
      <c r="K236" s="3"/>
      <c r="L236" s="3"/>
      <c r="M236" s="3"/>
      <c r="N236" s="3"/>
      <c r="O236" s="3"/>
      <c r="P236" s="8"/>
      <c r="Q236" s="8"/>
      <c r="R236" s="3"/>
      <c r="S236" s="3"/>
      <c r="T236" s="3"/>
      <c r="U236" s="5" t="str">
        <f t="shared" si="14"/>
        <v/>
      </c>
    </row>
    <row r="237" spans="1:21" ht="28" customHeight="1" x14ac:dyDescent="0.35">
      <c r="A237" s="4">
        <v>4</v>
      </c>
      <c r="B237" s="4" t="s">
        <v>447</v>
      </c>
      <c r="C237" s="4" t="s">
        <v>448</v>
      </c>
      <c r="D237" s="4" t="s">
        <v>449</v>
      </c>
      <c r="E237" s="4" t="s">
        <v>109</v>
      </c>
      <c r="F237" s="4" t="s">
        <v>276</v>
      </c>
      <c r="G237" s="4" t="s">
        <v>199</v>
      </c>
      <c r="H237" s="4" t="s">
        <v>59</v>
      </c>
      <c r="I237" s="3"/>
      <c r="J237" s="3"/>
      <c r="K237" s="3"/>
      <c r="L237" s="3"/>
      <c r="M237" s="3"/>
      <c r="N237" s="3"/>
      <c r="O237" s="3"/>
      <c r="P237" s="8"/>
      <c r="Q237" s="8"/>
      <c r="R237" s="3"/>
      <c r="S237" s="3"/>
      <c r="T237" s="3"/>
      <c r="U237" s="5" t="str">
        <f t="shared" si="14"/>
        <v/>
      </c>
    </row>
    <row r="238" spans="1:21" ht="28" customHeight="1" x14ac:dyDescent="0.35">
      <c r="A238" s="4">
        <v>5</v>
      </c>
      <c r="B238" s="4" t="s">
        <v>450</v>
      </c>
      <c r="C238" s="4" t="s">
        <v>451</v>
      </c>
      <c r="D238" s="4" t="s">
        <v>452</v>
      </c>
      <c r="E238" s="4" t="s">
        <v>69</v>
      </c>
      <c r="F238" s="4" t="s">
        <v>276</v>
      </c>
      <c r="G238" s="4" t="s">
        <v>199</v>
      </c>
      <c r="H238" s="4" t="s">
        <v>59</v>
      </c>
      <c r="I238" s="3"/>
      <c r="J238" s="3"/>
      <c r="K238" s="3"/>
      <c r="L238" s="3"/>
      <c r="M238" s="3"/>
      <c r="N238" s="3"/>
      <c r="O238" s="3"/>
      <c r="P238" s="8"/>
      <c r="Q238" s="8"/>
      <c r="R238" s="3"/>
      <c r="S238" s="3"/>
      <c r="T238" s="3"/>
      <c r="U238" s="5" t="str">
        <f t="shared" si="14"/>
        <v/>
      </c>
    </row>
    <row r="239" spans="1:21" ht="28" customHeight="1" x14ac:dyDescent="0.35">
      <c r="A239" s="4">
        <v>6</v>
      </c>
      <c r="B239" s="4" t="s">
        <v>453</v>
      </c>
      <c r="C239" s="4" t="s">
        <v>454</v>
      </c>
      <c r="D239" s="4" t="s">
        <v>455</v>
      </c>
      <c r="E239" s="4" t="s">
        <v>69</v>
      </c>
      <c r="F239" s="4" t="s">
        <v>284</v>
      </c>
      <c r="G239" s="4" t="s">
        <v>204</v>
      </c>
      <c r="H239" s="4" t="s">
        <v>76</v>
      </c>
      <c r="I239" s="3"/>
      <c r="J239" s="3"/>
      <c r="K239" s="3"/>
      <c r="L239" s="3"/>
      <c r="M239" s="3"/>
      <c r="N239" s="3"/>
      <c r="O239" s="3"/>
      <c r="P239" s="8"/>
      <c r="Q239" s="8"/>
      <c r="R239" s="3"/>
      <c r="S239" s="3"/>
      <c r="T239" s="3"/>
      <c r="U239" s="5" t="str">
        <f t="shared" si="14"/>
        <v/>
      </c>
    </row>
    <row r="240" spans="1:21" ht="28" customHeight="1" x14ac:dyDescent="0.35">
      <c r="A240" s="4">
        <v>7</v>
      </c>
      <c r="B240" s="4" t="s">
        <v>456</v>
      </c>
      <c r="C240" s="4" t="s">
        <v>457</v>
      </c>
      <c r="D240" s="4" t="s">
        <v>458</v>
      </c>
      <c r="E240" s="4" t="s">
        <v>69</v>
      </c>
      <c r="F240" s="4" t="s">
        <v>459</v>
      </c>
      <c r="G240" s="4" t="s">
        <v>209</v>
      </c>
      <c r="H240" s="4" t="s">
        <v>59</v>
      </c>
      <c r="I240" s="3"/>
      <c r="J240" s="3"/>
      <c r="K240" s="3"/>
      <c r="L240" s="3"/>
      <c r="M240" s="3"/>
      <c r="N240" s="3"/>
      <c r="O240" s="3"/>
      <c r="P240" s="8"/>
      <c r="Q240" s="8"/>
      <c r="R240" s="3"/>
      <c r="S240" s="3"/>
      <c r="T240" s="3"/>
      <c r="U240" s="5" t="str">
        <f t="shared" si="14"/>
        <v/>
      </c>
    </row>
    <row r="241" spans="1:21" ht="28" customHeight="1" x14ac:dyDescent="0.35">
      <c r="A241" s="4">
        <v>8</v>
      </c>
      <c r="B241" s="4" t="s">
        <v>460</v>
      </c>
      <c r="C241" s="4" t="s">
        <v>461</v>
      </c>
      <c r="D241" s="4" t="s">
        <v>462</v>
      </c>
      <c r="E241" s="4" t="s">
        <v>69</v>
      </c>
      <c r="F241" s="4" t="s">
        <v>95</v>
      </c>
      <c r="G241" s="4" t="s">
        <v>102</v>
      </c>
      <c r="H241" s="4" t="s">
        <v>59</v>
      </c>
      <c r="I241" s="3"/>
      <c r="J241" s="3"/>
      <c r="K241" s="3"/>
      <c r="L241" s="3"/>
      <c r="M241" s="3"/>
      <c r="N241" s="3"/>
      <c r="O241" s="3"/>
      <c r="P241" s="8"/>
      <c r="Q241" s="8"/>
      <c r="R241" s="3"/>
      <c r="S241" s="3"/>
      <c r="T241" s="3"/>
      <c r="U241" s="5" t="str">
        <f t="shared" si="14"/>
        <v/>
      </c>
    </row>
    <row r="242" spans="1:21" ht="28" customHeight="1" x14ac:dyDescent="0.35">
      <c r="A242" s="4">
        <v>9</v>
      </c>
      <c r="B242" s="4" t="s">
        <v>97</v>
      </c>
      <c r="C242" s="4" t="s">
        <v>98</v>
      </c>
      <c r="D242" s="4" t="s">
        <v>99</v>
      </c>
      <c r="E242" s="4" t="s">
        <v>69</v>
      </c>
      <c r="F242" s="4" t="s">
        <v>95</v>
      </c>
      <c r="G242" s="4" t="s">
        <v>96</v>
      </c>
      <c r="H242" s="4" t="s">
        <v>59</v>
      </c>
      <c r="I242" s="3"/>
      <c r="J242" s="3"/>
      <c r="K242" s="3"/>
      <c r="L242" s="3"/>
      <c r="M242" s="3"/>
      <c r="N242" s="3"/>
      <c r="O242" s="3"/>
      <c r="P242" s="8"/>
      <c r="Q242" s="8"/>
      <c r="R242" s="3"/>
      <c r="S242" s="3"/>
      <c r="T242" s="3"/>
      <c r="U242" s="5" t="str">
        <f t="shared" si="14"/>
        <v/>
      </c>
    </row>
    <row r="243" spans="1:21" ht="28" customHeight="1" x14ac:dyDescent="0.35">
      <c r="A243" s="4">
        <v>10</v>
      </c>
      <c r="B243" s="4" t="s">
        <v>97</v>
      </c>
      <c r="C243" s="4" t="s">
        <v>100</v>
      </c>
      <c r="D243" s="4" t="s">
        <v>101</v>
      </c>
      <c r="E243" s="4" t="s">
        <v>69</v>
      </c>
      <c r="F243" s="4" t="s">
        <v>95</v>
      </c>
      <c r="G243" s="4" t="s">
        <v>102</v>
      </c>
      <c r="H243" s="4" t="s">
        <v>59</v>
      </c>
      <c r="I243" s="3"/>
      <c r="J243" s="3"/>
      <c r="K243" s="3"/>
      <c r="L243" s="3"/>
      <c r="M243" s="3"/>
      <c r="N243" s="3"/>
      <c r="O243" s="3"/>
      <c r="P243" s="8"/>
      <c r="Q243" s="8"/>
      <c r="R243" s="3"/>
      <c r="S243" s="3"/>
      <c r="T243" s="3"/>
      <c r="U243" s="5" t="str">
        <f t="shared" si="14"/>
        <v/>
      </c>
    </row>
    <row r="244" spans="1:21" ht="28" customHeight="1" x14ac:dyDescent="0.35">
      <c r="A244" s="4">
        <v>11</v>
      </c>
      <c r="B244" s="4" t="s">
        <v>103</v>
      </c>
      <c r="C244" s="4" t="s">
        <v>104</v>
      </c>
      <c r="D244" s="4" t="s">
        <v>105</v>
      </c>
      <c r="E244" s="4" t="s">
        <v>69</v>
      </c>
      <c r="F244" s="4" t="s">
        <v>95</v>
      </c>
      <c r="G244" s="4" t="s">
        <v>96</v>
      </c>
      <c r="H244" s="4" t="s">
        <v>85</v>
      </c>
      <c r="I244" s="3"/>
      <c r="J244" s="3"/>
      <c r="K244" s="3"/>
      <c r="L244" s="3"/>
      <c r="M244" s="3"/>
      <c r="N244" s="3"/>
      <c r="O244" s="3"/>
      <c r="P244" s="8"/>
      <c r="Q244" s="8"/>
      <c r="R244" s="3"/>
      <c r="S244" s="3"/>
      <c r="T244" s="3"/>
      <c r="U244" s="5" t="str">
        <f t="shared" si="14"/>
        <v/>
      </c>
    </row>
    <row r="245" spans="1:21" ht="28" customHeight="1" x14ac:dyDescent="0.35">
      <c r="A245" s="4">
        <v>12</v>
      </c>
      <c r="B245" s="4" t="s">
        <v>106</v>
      </c>
      <c r="C245" s="4" t="s">
        <v>107</v>
      </c>
      <c r="D245" s="4" t="s">
        <v>108</v>
      </c>
      <c r="E245" s="4" t="s">
        <v>109</v>
      </c>
      <c r="F245" s="4" t="s">
        <v>95</v>
      </c>
      <c r="G245" s="4" t="s">
        <v>96</v>
      </c>
      <c r="H245" s="4" t="s">
        <v>59</v>
      </c>
      <c r="I245" s="3"/>
      <c r="J245" s="3"/>
      <c r="K245" s="3"/>
      <c r="L245" s="3"/>
      <c r="M245" s="3"/>
      <c r="N245" s="3"/>
      <c r="O245" s="3"/>
      <c r="P245" s="8"/>
      <c r="Q245" s="8"/>
      <c r="R245" s="3"/>
      <c r="S245" s="3"/>
      <c r="T245" s="3"/>
      <c r="U245" s="5" t="str">
        <f t="shared" si="14"/>
        <v/>
      </c>
    </row>
    <row r="247" spans="1:21" ht="28" customHeight="1" x14ac:dyDescent="0.35">
      <c r="A247" s="9" t="s">
        <v>110</v>
      </c>
      <c r="B247" s="16"/>
      <c r="C247" s="17"/>
      <c r="D247" s="17"/>
      <c r="E247" s="17"/>
      <c r="F247" s="17"/>
      <c r="G247" s="17"/>
      <c r="H247" s="17"/>
      <c r="I247" s="17"/>
      <c r="J247" s="17"/>
      <c r="K247" s="17"/>
      <c r="L247" s="17"/>
      <c r="M247" s="17"/>
      <c r="N247" s="17"/>
      <c r="O247" s="17"/>
      <c r="P247" s="17"/>
      <c r="Q247" s="17"/>
      <c r="R247" s="17"/>
      <c r="S247" s="17"/>
      <c r="T247" s="17"/>
      <c r="U247" s="18"/>
    </row>
    <row r="248" spans="1:21" ht="28" customHeight="1" x14ac:dyDescent="0.35">
      <c r="A248" s="19" t="s">
        <v>473</v>
      </c>
      <c r="B248" s="20"/>
      <c r="C248" s="20"/>
      <c r="D248" s="20"/>
      <c r="E248" s="20"/>
      <c r="F248" s="20"/>
      <c r="G248" s="20"/>
      <c r="H248" s="20"/>
      <c r="I248" s="20"/>
      <c r="J248" s="20"/>
      <c r="K248" s="20"/>
      <c r="L248" s="20"/>
      <c r="M248" s="20"/>
      <c r="N248" s="20"/>
      <c r="O248" s="20"/>
      <c r="P248" s="20"/>
      <c r="Q248" s="20"/>
      <c r="R248" s="20"/>
      <c r="S248" s="20"/>
      <c r="T248" s="20"/>
      <c r="U248" s="21"/>
    </row>
    <row r="249" spans="1:21" ht="28" customHeight="1" x14ac:dyDescent="0.35">
      <c r="A249" s="4" t="s">
        <v>31</v>
      </c>
      <c r="B249" s="3" t="s">
        <v>228</v>
      </c>
      <c r="C249" s="4" t="s">
        <v>32</v>
      </c>
      <c r="D249" s="3"/>
      <c r="E249" s="4" t="s">
        <v>33</v>
      </c>
      <c r="F249" s="8"/>
    </row>
    <row r="250" spans="1:21" ht="28" customHeight="1" x14ac:dyDescent="0.35">
      <c r="A250" s="1" t="s">
        <v>34</v>
      </c>
      <c r="B250" s="1" t="s">
        <v>35</v>
      </c>
      <c r="C250" s="1" t="s">
        <v>36</v>
      </c>
      <c r="D250" s="1" t="s">
        <v>37</v>
      </c>
      <c r="E250" s="1" t="s">
        <v>38</v>
      </c>
      <c r="F250" s="1" t="s">
        <v>39</v>
      </c>
      <c r="G250" s="1" t="s">
        <v>40</v>
      </c>
      <c r="H250" s="1" t="s">
        <v>41</v>
      </c>
      <c r="I250" s="1" t="s">
        <v>42</v>
      </c>
      <c r="J250" s="1" t="s">
        <v>43</v>
      </c>
      <c r="K250" s="1" t="s">
        <v>44</v>
      </c>
      <c r="L250" s="1" t="s">
        <v>45</v>
      </c>
      <c r="M250" s="1" t="s">
        <v>46</v>
      </c>
      <c r="N250" s="1" t="s">
        <v>47</v>
      </c>
      <c r="O250" s="1" t="s">
        <v>48</v>
      </c>
      <c r="P250" s="1" t="s">
        <v>4</v>
      </c>
      <c r="Q250" s="1" t="s">
        <v>49</v>
      </c>
      <c r="R250" s="1" t="s">
        <v>50</v>
      </c>
      <c r="S250" s="1" t="s">
        <v>51</v>
      </c>
      <c r="T250" s="1" t="s">
        <v>52</v>
      </c>
      <c r="U250" s="1" t="s">
        <v>10</v>
      </c>
    </row>
    <row r="251" spans="1:21" ht="28" customHeight="1" x14ac:dyDescent="0.35">
      <c r="A251" s="4">
        <v>1</v>
      </c>
      <c r="B251" s="4" t="s">
        <v>439</v>
      </c>
      <c r="C251" s="4" t="s">
        <v>440</v>
      </c>
      <c r="D251" s="4" t="s">
        <v>441</v>
      </c>
      <c r="E251" s="4" t="s">
        <v>69</v>
      </c>
      <c r="F251" s="4" t="s">
        <v>370</v>
      </c>
      <c r="G251" s="4" t="s">
        <v>204</v>
      </c>
      <c r="H251" s="4" t="s">
        <v>59</v>
      </c>
      <c r="I251" s="3"/>
      <c r="J251" s="3"/>
      <c r="K251" s="3"/>
      <c r="L251" s="3"/>
      <c r="M251" s="3"/>
      <c r="N251" s="3"/>
      <c r="O251" s="3"/>
      <c r="P251" s="8"/>
      <c r="Q251" s="8"/>
      <c r="R251" s="3"/>
      <c r="S251" s="3"/>
      <c r="T251" s="3"/>
      <c r="U251" s="5" t="str">
        <f t="shared" ref="U251:U262" si="15">IF(I251="","",IF(I251="NA","Grey",IF(I251=2,"Green",IF(I251=1,"Amber","Red"))))</f>
        <v/>
      </c>
    </row>
    <row r="252" spans="1:21" ht="28" customHeight="1" x14ac:dyDescent="0.35">
      <c r="A252" s="4">
        <v>2</v>
      </c>
      <c r="B252" s="4" t="s">
        <v>442</v>
      </c>
      <c r="C252" s="4" t="s">
        <v>443</v>
      </c>
      <c r="D252" s="4" t="s">
        <v>444</v>
      </c>
      <c r="E252" s="4" t="s">
        <v>69</v>
      </c>
      <c r="F252" s="4" t="s">
        <v>95</v>
      </c>
      <c r="G252" s="4" t="s">
        <v>102</v>
      </c>
      <c r="H252" s="4" t="s">
        <v>59</v>
      </c>
      <c r="I252" s="3"/>
      <c r="J252" s="3"/>
      <c r="K252" s="3"/>
      <c r="L252" s="3"/>
      <c r="M252" s="3"/>
      <c r="N252" s="3"/>
      <c r="O252" s="3"/>
      <c r="P252" s="8"/>
      <c r="Q252" s="8"/>
      <c r="R252" s="3"/>
      <c r="S252" s="3"/>
      <c r="T252" s="3"/>
      <c r="U252" s="5" t="str">
        <f t="shared" si="15"/>
        <v/>
      </c>
    </row>
    <row r="253" spans="1:21" ht="28" customHeight="1" x14ac:dyDescent="0.35">
      <c r="A253" s="4">
        <v>3</v>
      </c>
      <c r="B253" s="4" t="s">
        <v>445</v>
      </c>
      <c r="C253" s="4" t="s">
        <v>446</v>
      </c>
      <c r="D253" s="4" t="s">
        <v>369</v>
      </c>
      <c r="E253" s="4" t="s">
        <v>69</v>
      </c>
      <c r="F253" s="4" t="s">
        <v>370</v>
      </c>
      <c r="G253" s="4" t="s">
        <v>204</v>
      </c>
      <c r="H253" s="4" t="s">
        <v>76</v>
      </c>
      <c r="I253" s="3"/>
      <c r="J253" s="3"/>
      <c r="K253" s="3"/>
      <c r="L253" s="3"/>
      <c r="M253" s="3"/>
      <c r="N253" s="3"/>
      <c r="O253" s="3"/>
      <c r="P253" s="8"/>
      <c r="Q253" s="8"/>
      <c r="R253" s="3"/>
      <c r="S253" s="3"/>
      <c r="T253" s="3"/>
      <c r="U253" s="5" t="str">
        <f t="shared" si="15"/>
        <v/>
      </c>
    </row>
    <row r="254" spans="1:21" ht="28" customHeight="1" x14ac:dyDescent="0.35">
      <c r="A254" s="4">
        <v>4</v>
      </c>
      <c r="B254" s="4" t="s">
        <v>447</v>
      </c>
      <c r="C254" s="4" t="s">
        <v>448</v>
      </c>
      <c r="D254" s="4" t="s">
        <v>449</v>
      </c>
      <c r="E254" s="4" t="s">
        <v>109</v>
      </c>
      <c r="F254" s="4" t="s">
        <v>276</v>
      </c>
      <c r="G254" s="4" t="s">
        <v>199</v>
      </c>
      <c r="H254" s="4" t="s">
        <v>59</v>
      </c>
      <c r="I254" s="3"/>
      <c r="J254" s="3"/>
      <c r="K254" s="3"/>
      <c r="L254" s="3"/>
      <c r="M254" s="3"/>
      <c r="N254" s="3"/>
      <c r="O254" s="3"/>
      <c r="P254" s="8"/>
      <c r="Q254" s="8"/>
      <c r="R254" s="3"/>
      <c r="S254" s="3"/>
      <c r="T254" s="3"/>
      <c r="U254" s="5" t="str">
        <f t="shared" si="15"/>
        <v/>
      </c>
    </row>
    <row r="255" spans="1:21" ht="28" customHeight="1" x14ac:dyDescent="0.35">
      <c r="A255" s="4">
        <v>5</v>
      </c>
      <c r="B255" s="4" t="s">
        <v>450</v>
      </c>
      <c r="C255" s="4" t="s">
        <v>451</v>
      </c>
      <c r="D255" s="4" t="s">
        <v>452</v>
      </c>
      <c r="E255" s="4" t="s">
        <v>69</v>
      </c>
      <c r="F255" s="4" t="s">
        <v>276</v>
      </c>
      <c r="G255" s="4" t="s">
        <v>199</v>
      </c>
      <c r="H255" s="4" t="s">
        <v>59</v>
      </c>
      <c r="I255" s="3"/>
      <c r="J255" s="3"/>
      <c r="K255" s="3"/>
      <c r="L255" s="3"/>
      <c r="M255" s="3"/>
      <c r="N255" s="3"/>
      <c r="O255" s="3"/>
      <c r="P255" s="8"/>
      <c r="Q255" s="8"/>
      <c r="R255" s="3"/>
      <c r="S255" s="3"/>
      <c r="T255" s="3"/>
      <c r="U255" s="5" t="str">
        <f t="shared" si="15"/>
        <v/>
      </c>
    </row>
    <row r="256" spans="1:21" ht="28" customHeight="1" x14ac:dyDescent="0.35">
      <c r="A256" s="4">
        <v>6</v>
      </c>
      <c r="B256" s="4" t="s">
        <v>453</v>
      </c>
      <c r="C256" s="4" t="s">
        <v>454</v>
      </c>
      <c r="D256" s="4" t="s">
        <v>455</v>
      </c>
      <c r="E256" s="4" t="s">
        <v>69</v>
      </c>
      <c r="F256" s="4" t="s">
        <v>284</v>
      </c>
      <c r="G256" s="4" t="s">
        <v>204</v>
      </c>
      <c r="H256" s="4" t="s">
        <v>76</v>
      </c>
      <c r="I256" s="3"/>
      <c r="J256" s="3"/>
      <c r="K256" s="3"/>
      <c r="L256" s="3"/>
      <c r="M256" s="3"/>
      <c r="N256" s="3"/>
      <c r="O256" s="3"/>
      <c r="P256" s="8"/>
      <c r="Q256" s="8"/>
      <c r="R256" s="3"/>
      <c r="S256" s="3"/>
      <c r="T256" s="3"/>
      <c r="U256" s="5" t="str">
        <f t="shared" si="15"/>
        <v/>
      </c>
    </row>
    <row r="257" spans="1:21" ht="28" customHeight="1" x14ac:dyDescent="0.35">
      <c r="A257" s="4">
        <v>7</v>
      </c>
      <c r="B257" s="4" t="s">
        <v>456</v>
      </c>
      <c r="C257" s="4" t="s">
        <v>457</v>
      </c>
      <c r="D257" s="4" t="s">
        <v>458</v>
      </c>
      <c r="E257" s="4" t="s">
        <v>69</v>
      </c>
      <c r="F257" s="4" t="s">
        <v>459</v>
      </c>
      <c r="G257" s="4" t="s">
        <v>209</v>
      </c>
      <c r="H257" s="4" t="s">
        <v>59</v>
      </c>
      <c r="I257" s="3"/>
      <c r="J257" s="3"/>
      <c r="K257" s="3"/>
      <c r="L257" s="3"/>
      <c r="M257" s="3"/>
      <c r="N257" s="3"/>
      <c r="O257" s="3"/>
      <c r="P257" s="8"/>
      <c r="Q257" s="8"/>
      <c r="R257" s="3"/>
      <c r="S257" s="3"/>
      <c r="T257" s="3"/>
      <c r="U257" s="5" t="str">
        <f t="shared" si="15"/>
        <v/>
      </c>
    </row>
    <row r="258" spans="1:21" ht="28" customHeight="1" x14ac:dyDescent="0.35">
      <c r="A258" s="4">
        <v>8</v>
      </c>
      <c r="B258" s="4" t="s">
        <v>460</v>
      </c>
      <c r="C258" s="4" t="s">
        <v>461</v>
      </c>
      <c r="D258" s="4" t="s">
        <v>462</v>
      </c>
      <c r="E258" s="4" t="s">
        <v>69</v>
      </c>
      <c r="F258" s="4" t="s">
        <v>95</v>
      </c>
      <c r="G258" s="4" t="s">
        <v>102</v>
      </c>
      <c r="H258" s="4" t="s">
        <v>59</v>
      </c>
      <c r="I258" s="3"/>
      <c r="J258" s="3"/>
      <c r="K258" s="3"/>
      <c r="L258" s="3"/>
      <c r="M258" s="3"/>
      <c r="N258" s="3"/>
      <c r="O258" s="3"/>
      <c r="P258" s="8"/>
      <c r="Q258" s="8"/>
      <c r="R258" s="3"/>
      <c r="S258" s="3"/>
      <c r="T258" s="3"/>
      <c r="U258" s="5" t="str">
        <f t="shared" si="15"/>
        <v/>
      </c>
    </row>
    <row r="259" spans="1:21" ht="28" customHeight="1" x14ac:dyDescent="0.35">
      <c r="A259" s="4">
        <v>9</v>
      </c>
      <c r="B259" s="4" t="s">
        <v>97</v>
      </c>
      <c r="C259" s="4" t="s">
        <v>98</v>
      </c>
      <c r="D259" s="4" t="s">
        <v>99</v>
      </c>
      <c r="E259" s="4" t="s">
        <v>69</v>
      </c>
      <c r="F259" s="4" t="s">
        <v>95</v>
      </c>
      <c r="G259" s="4" t="s">
        <v>96</v>
      </c>
      <c r="H259" s="4" t="s">
        <v>59</v>
      </c>
      <c r="I259" s="3"/>
      <c r="J259" s="3"/>
      <c r="K259" s="3"/>
      <c r="L259" s="3"/>
      <c r="M259" s="3"/>
      <c r="N259" s="3"/>
      <c r="O259" s="3"/>
      <c r="P259" s="8"/>
      <c r="Q259" s="8"/>
      <c r="R259" s="3"/>
      <c r="S259" s="3"/>
      <c r="T259" s="3"/>
      <c r="U259" s="5" t="str">
        <f t="shared" si="15"/>
        <v/>
      </c>
    </row>
    <row r="260" spans="1:21" ht="28" customHeight="1" x14ac:dyDescent="0.35">
      <c r="A260" s="4">
        <v>10</v>
      </c>
      <c r="B260" s="4" t="s">
        <v>97</v>
      </c>
      <c r="C260" s="4" t="s">
        <v>100</v>
      </c>
      <c r="D260" s="4" t="s">
        <v>101</v>
      </c>
      <c r="E260" s="4" t="s">
        <v>69</v>
      </c>
      <c r="F260" s="4" t="s">
        <v>95</v>
      </c>
      <c r="G260" s="4" t="s">
        <v>102</v>
      </c>
      <c r="H260" s="4" t="s">
        <v>59</v>
      </c>
      <c r="I260" s="3"/>
      <c r="J260" s="3"/>
      <c r="K260" s="3"/>
      <c r="L260" s="3"/>
      <c r="M260" s="3"/>
      <c r="N260" s="3"/>
      <c r="O260" s="3"/>
      <c r="P260" s="8"/>
      <c r="Q260" s="8"/>
      <c r="R260" s="3"/>
      <c r="S260" s="3"/>
      <c r="T260" s="3"/>
      <c r="U260" s="5" t="str">
        <f t="shared" si="15"/>
        <v/>
      </c>
    </row>
    <row r="261" spans="1:21" ht="28" customHeight="1" x14ac:dyDescent="0.35">
      <c r="A261" s="4">
        <v>11</v>
      </c>
      <c r="B261" s="4" t="s">
        <v>103</v>
      </c>
      <c r="C261" s="4" t="s">
        <v>104</v>
      </c>
      <c r="D261" s="4" t="s">
        <v>105</v>
      </c>
      <c r="E261" s="4" t="s">
        <v>69</v>
      </c>
      <c r="F261" s="4" t="s">
        <v>95</v>
      </c>
      <c r="G261" s="4" t="s">
        <v>96</v>
      </c>
      <c r="H261" s="4" t="s">
        <v>85</v>
      </c>
      <c r="I261" s="3"/>
      <c r="J261" s="3"/>
      <c r="K261" s="3"/>
      <c r="L261" s="3"/>
      <c r="M261" s="3"/>
      <c r="N261" s="3"/>
      <c r="O261" s="3"/>
      <c r="P261" s="8"/>
      <c r="Q261" s="8"/>
      <c r="R261" s="3"/>
      <c r="S261" s="3"/>
      <c r="T261" s="3"/>
      <c r="U261" s="5" t="str">
        <f t="shared" si="15"/>
        <v/>
      </c>
    </row>
    <row r="262" spans="1:21" ht="28" customHeight="1" x14ac:dyDescent="0.35">
      <c r="A262" s="4">
        <v>12</v>
      </c>
      <c r="B262" s="4" t="s">
        <v>106</v>
      </c>
      <c r="C262" s="4" t="s">
        <v>107</v>
      </c>
      <c r="D262" s="4" t="s">
        <v>108</v>
      </c>
      <c r="E262" s="4" t="s">
        <v>109</v>
      </c>
      <c r="F262" s="4" t="s">
        <v>95</v>
      </c>
      <c r="G262" s="4" t="s">
        <v>96</v>
      </c>
      <c r="H262" s="4" t="s">
        <v>59</v>
      </c>
      <c r="I262" s="3"/>
      <c r="J262" s="3"/>
      <c r="K262" s="3"/>
      <c r="L262" s="3"/>
      <c r="M262" s="3"/>
      <c r="N262" s="3"/>
      <c r="O262" s="3"/>
      <c r="P262" s="8"/>
      <c r="Q262" s="8"/>
      <c r="R262" s="3"/>
      <c r="S262" s="3"/>
      <c r="T262" s="3"/>
      <c r="U262" s="5" t="str">
        <f t="shared" si="15"/>
        <v/>
      </c>
    </row>
    <row r="264" spans="1:21" ht="28" customHeight="1" x14ac:dyDescent="0.35">
      <c r="A264" s="9" t="s">
        <v>110</v>
      </c>
      <c r="B264" s="16"/>
      <c r="C264" s="17"/>
      <c r="D264" s="17"/>
      <c r="E264" s="17"/>
      <c r="F264" s="17"/>
      <c r="G264" s="17"/>
      <c r="H264" s="17"/>
      <c r="I264" s="17"/>
      <c r="J264" s="17"/>
      <c r="K264" s="17"/>
      <c r="L264" s="17"/>
      <c r="M264" s="17"/>
      <c r="N264" s="17"/>
      <c r="O264" s="17"/>
      <c r="P264" s="17"/>
      <c r="Q264" s="17"/>
      <c r="R264" s="17"/>
      <c r="S264" s="17"/>
      <c r="T264" s="17"/>
      <c r="U264" s="18"/>
    </row>
    <row r="265" spans="1:21" ht="28" customHeight="1" x14ac:dyDescent="0.35">
      <c r="A265" s="19" t="s">
        <v>474</v>
      </c>
      <c r="B265" s="20"/>
      <c r="C265" s="20"/>
      <c r="D265" s="20"/>
      <c r="E265" s="20"/>
      <c r="F265" s="20"/>
      <c r="G265" s="20"/>
      <c r="H265" s="20"/>
      <c r="I265" s="20"/>
      <c r="J265" s="20"/>
      <c r="K265" s="20"/>
      <c r="L265" s="20"/>
      <c r="M265" s="20"/>
      <c r="N265" s="20"/>
      <c r="O265" s="20"/>
      <c r="P265" s="20"/>
      <c r="Q265" s="20"/>
      <c r="R265" s="20"/>
      <c r="S265" s="20"/>
      <c r="T265" s="20"/>
      <c r="U265" s="21"/>
    </row>
    <row r="266" spans="1:21" ht="28" customHeight="1" x14ac:dyDescent="0.35">
      <c r="A266" s="4" t="s">
        <v>31</v>
      </c>
      <c r="B266" s="3" t="s">
        <v>229</v>
      </c>
      <c r="C266" s="4" t="s">
        <v>32</v>
      </c>
      <c r="D266" s="3"/>
      <c r="E266" s="4" t="s">
        <v>33</v>
      </c>
      <c r="F266" s="8"/>
    </row>
    <row r="267" spans="1:21" ht="28" customHeight="1" x14ac:dyDescent="0.35">
      <c r="A267" s="1" t="s">
        <v>34</v>
      </c>
      <c r="B267" s="1" t="s">
        <v>35</v>
      </c>
      <c r="C267" s="1" t="s">
        <v>36</v>
      </c>
      <c r="D267" s="1" t="s">
        <v>37</v>
      </c>
      <c r="E267" s="1" t="s">
        <v>38</v>
      </c>
      <c r="F267" s="1" t="s">
        <v>39</v>
      </c>
      <c r="G267" s="1" t="s">
        <v>40</v>
      </c>
      <c r="H267" s="1" t="s">
        <v>41</v>
      </c>
      <c r="I267" s="1" t="s">
        <v>42</v>
      </c>
      <c r="J267" s="1" t="s">
        <v>43</v>
      </c>
      <c r="K267" s="1" t="s">
        <v>44</v>
      </c>
      <c r="L267" s="1" t="s">
        <v>45</v>
      </c>
      <c r="M267" s="1" t="s">
        <v>46</v>
      </c>
      <c r="N267" s="1" t="s">
        <v>47</v>
      </c>
      <c r="O267" s="1" t="s">
        <v>48</v>
      </c>
      <c r="P267" s="1" t="s">
        <v>4</v>
      </c>
      <c r="Q267" s="1" t="s">
        <v>49</v>
      </c>
      <c r="R267" s="1" t="s">
        <v>50</v>
      </c>
      <c r="S267" s="1" t="s">
        <v>51</v>
      </c>
      <c r="T267" s="1" t="s">
        <v>52</v>
      </c>
      <c r="U267" s="1" t="s">
        <v>10</v>
      </c>
    </row>
    <row r="268" spans="1:21" ht="28" customHeight="1" x14ac:dyDescent="0.35">
      <c r="A268" s="4">
        <v>1</v>
      </c>
      <c r="B268" s="4" t="s">
        <v>439</v>
      </c>
      <c r="C268" s="4" t="s">
        <v>440</v>
      </c>
      <c r="D268" s="4" t="s">
        <v>441</v>
      </c>
      <c r="E268" s="4" t="s">
        <v>69</v>
      </c>
      <c r="F268" s="4" t="s">
        <v>370</v>
      </c>
      <c r="G268" s="4" t="s">
        <v>204</v>
      </c>
      <c r="H268" s="4" t="s">
        <v>59</v>
      </c>
      <c r="I268" s="3"/>
      <c r="J268" s="3"/>
      <c r="K268" s="3"/>
      <c r="L268" s="3"/>
      <c r="M268" s="3"/>
      <c r="N268" s="3"/>
      <c r="O268" s="3"/>
      <c r="P268" s="8"/>
      <c r="Q268" s="8"/>
      <c r="R268" s="3"/>
      <c r="S268" s="3"/>
      <c r="T268" s="3"/>
      <c r="U268" s="5" t="str">
        <f t="shared" ref="U268:U279" si="16">IF(I268="","",IF(I268="NA","Grey",IF(I268=2,"Green",IF(I268=1,"Amber","Red"))))</f>
        <v/>
      </c>
    </row>
    <row r="269" spans="1:21" ht="28" customHeight="1" x14ac:dyDescent="0.35">
      <c r="A269" s="4">
        <v>2</v>
      </c>
      <c r="B269" s="4" t="s">
        <v>442</v>
      </c>
      <c r="C269" s="4" t="s">
        <v>443</v>
      </c>
      <c r="D269" s="4" t="s">
        <v>444</v>
      </c>
      <c r="E269" s="4" t="s">
        <v>69</v>
      </c>
      <c r="F269" s="4" t="s">
        <v>95</v>
      </c>
      <c r="G269" s="4" t="s">
        <v>102</v>
      </c>
      <c r="H269" s="4" t="s">
        <v>59</v>
      </c>
      <c r="I269" s="3"/>
      <c r="J269" s="3"/>
      <c r="K269" s="3"/>
      <c r="L269" s="3"/>
      <c r="M269" s="3"/>
      <c r="N269" s="3"/>
      <c r="O269" s="3"/>
      <c r="P269" s="8"/>
      <c r="Q269" s="8"/>
      <c r="R269" s="3"/>
      <c r="S269" s="3"/>
      <c r="T269" s="3"/>
      <c r="U269" s="5" t="str">
        <f t="shared" si="16"/>
        <v/>
      </c>
    </row>
    <row r="270" spans="1:21" ht="28" customHeight="1" x14ac:dyDescent="0.35">
      <c r="A270" s="4">
        <v>3</v>
      </c>
      <c r="B270" s="4" t="s">
        <v>445</v>
      </c>
      <c r="C270" s="4" t="s">
        <v>446</v>
      </c>
      <c r="D270" s="4" t="s">
        <v>369</v>
      </c>
      <c r="E270" s="4" t="s">
        <v>69</v>
      </c>
      <c r="F270" s="4" t="s">
        <v>370</v>
      </c>
      <c r="G270" s="4" t="s">
        <v>204</v>
      </c>
      <c r="H270" s="4" t="s">
        <v>76</v>
      </c>
      <c r="I270" s="3"/>
      <c r="J270" s="3"/>
      <c r="K270" s="3"/>
      <c r="L270" s="3"/>
      <c r="M270" s="3"/>
      <c r="N270" s="3"/>
      <c r="O270" s="3"/>
      <c r="P270" s="8"/>
      <c r="Q270" s="8"/>
      <c r="R270" s="3"/>
      <c r="S270" s="3"/>
      <c r="T270" s="3"/>
      <c r="U270" s="5" t="str">
        <f t="shared" si="16"/>
        <v/>
      </c>
    </row>
    <row r="271" spans="1:21" ht="28" customHeight="1" x14ac:dyDescent="0.35">
      <c r="A271" s="4">
        <v>4</v>
      </c>
      <c r="B271" s="4" t="s">
        <v>447</v>
      </c>
      <c r="C271" s="4" t="s">
        <v>448</v>
      </c>
      <c r="D271" s="4" t="s">
        <v>449</v>
      </c>
      <c r="E271" s="4" t="s">
        <v>109</v>
      </c>
      <c r="F271" s="4" t="s">
        <v>276</v>
      </c>
      <c r="G271" s="4" t="s">
        <v>199</v>
      </c>
      <c r="H271" s="4" t="s">
        <v>59</v>
      </c>
      <c r="I271" s="3"/>
      <c r="J271" s="3"/>
      <c r="K271" s="3"/>
      <c r="L271" s="3"/>
      <c r="M271" s="3"/>
      <c r="N271" s="3"/>
      <c r="O271" s="3"/>
      <c r="P271" s="8"/>
      <c r="Q271" s="8"/>
      <c r="R271" s="3"/>
      <c r="S271" s="3"/>
      <c r="T271" s="3"/>
      <c r="U271" s="5" t="str">
        <f t="shared" si="16"/>
        <v/>
      </c>
    </row>
    <row r="272" spans="1:21" ht="28" customHeight="1" x14ac:dyDescent="0.35">
      <c r="A272" s="4">
        <v>5</v>
      </c>
      <c r="B272" s="4" t="s">
        <v>450</v>
      </c>
      <c r="C272" s="4" t="s">
        <v>451</v>
      </c>
      <c r="D272" s="4" t="s">
        <v>452</v>
      </c>
      <c r="E272" s="4" t="s">
        <v>69</v>
      </c>
      <c r="F272" s="4" t="s">
        <v>276</v>
      </c>
      <c r="G272" s="4" t="s">
        <v>199</v>
      </c>
      <c r="H272" s="4" t="s">
        <v>59</v>
      </c>
      <c r="I272" s="3"/>
      <c r="J272" s="3"/>
      <c r="K272" s="3"/>
      <c r="L272" s="3"/>
      <c r="M272" s="3"/>
      <c r="N272" s="3"/>
      <c r="O272" s="3"/>
      <c r="P272" s="8"/>
      <c r="Q272" s="8"/>
      <c r="R272" s="3"/>
      <c r="S272" s="3"/>
      <c r="T272" s="3"/>
      <c r="U272" s="5" t="str">
        <f t="shared" si="16"/>
        <v/>
      </c>
    </row>
    <row r="273" spans="1:21" ht="28" customHeight="1" x14ac:dyDescent="0.35">
      <c r="A273" s="4">
        <v>6</v>
      </c>
      <c r="B273" s="4" t="s">
        <v>453</v>
      </c>
      <c r="C273" s="4" t="s">
        <v>454</v>
      </c>
      <c r="D273" s="4" t="s">
        <v>455</v>
      </c>
      <c r="E273" s="4" t="s">
        <v>69</v>
      </c>
      <c r="F273" s="4" t="s">
        <v>284</v>
      </c>
      <c r="G273" s="4" t="s">
        <v>204</v>
      </c>
      <c r="H273" s="4" t="s">
        <v>76</v>
      </c>
      <c r="I273" s="3"/>
      <c r="J273" s="3"/>
      <c r="K273" s="3"/>
      <c r="L273" s="3"/>
      <c r="M273" s="3"/>
      <c r="N273" s="3"/>
      <c r="O273" s="3"/>
      <c r="P273" s="8"/>
      <c r="Q273" s="8"/>
      <c r="R273" s="3"/>
      <c r="S273" s="3"/>
      <c r="T273" s="3"/>
      <c r="U273" s="5" t="str">
        <f t="shared" si="16"/>
        <v/>
      </c>
    </row>
    <row r="274" spans="1:21" ht="28" customHeight="1" x14ac:dyDescent="0.35">
      <c r="A274" s="4">
        <v>7</v>
      </c>
      <c r="B274" s="4" t="s">
        <v>456</v>
      </c>
      <c r="C274" s="4" t="s">
        <v>457</v>
      </c>
      <c r="D274" s="4" t="s">
        <v>458</v>
      </c>
      <c r="E274" s="4" t="s">
        <v>69</v>
      </c>
      <c r="F274" s="4" t="s">
        <v>459</v>
      </c>
      <c r="G274" s="4" t="s">
        <v>209</v>
      </c>
      <c r="H274" s="4" t="s">
        <v>59</v>
      </c>
      <c r="I274" s="3"/>
      <c r="J274" s="3"/>
      <c r="K274" s="3"/>
      <c r="L274" s="3"/>
      <c r="M274" s="3"/>
      <c r="N274" s="3"/>
      <c r="O274" s="3"/>
      <c r="P274" s="8"/>
      <c r="Q274" s="8"/>
      <c r="R274" s="3"/>
      <c r="S274" s="3"/>
      <c r="T274" s="3"/>
      <c r="U274" s="5" t="str">
        <f t="shared" si="16"/>
        <v/>
      </c>
    </row>
    <row r="275" spans="1:21" ht="28" customHeight="1" x14ac:dyDescent="0.35">
      <c r="A275" s="4">
        <v>8</v>
      </c>
      <c r="B275" s="4" t="s">
        <v>460</v>
      </c>
      <c r="C275" s="4" t="s">
        <v>461</v>
      </c>
      <c r="D275" s="4" t="s">
        <v>462</v>
      </c>
      <c r="E275" s="4" t="s">
        <v>69</v>
      </c>
      <c r="F275" s="4" t="s">
        <v>95</v>
      </c>
      <c r="G275" s="4" t="s">
        <v>102</v>
      </c>
      <c r="H275" s="4" t="s">
        <v>59</v>
      </c>
      <c r="I275" s="3"/>
      <c r="J275" s="3"/>
      <c r="K275" s="3"/>
      <c r="L275" s="3"/>
      <c r="M275" s="3"/>
      <c r="N275" s="3"/>
      <c r="O275" s="3"/>
      <c r="P275" s="8"/>
      <c r="Q275" s="8"/>
      <c r="R275" s="3"/>
      <c r="S275" s="3"/>
      <c r="T275" s="3"/>
      <c r="U275" s="5" t="str">
        <f t="shared" si="16"/>
        <v/>
      </c>
    </row>
    <row r="276" spans="1:21" ht="28" customHeight="1" x14ac:dyDescent="0.35">
      <c r="A276" s="4">
        <v>9</v>
      </c>
      <c r="B276" s="4" t="s">
        <v>97</v>
      </c>
      <c r="C276" s="4" t="s">
        <v>98</v>
      </c>
      <c r="D276" s="4" t="s">
        <v>99</v>
      </c>
      <c r="E276" s="4" t="s">
        <v>69</v>
      </c>
      <c r="F276" s="4" t="s">
        <v>95</v>
      </c>
      <c r="G276" s="4" t="s">
        <v>96</v>
      </c>
      <c r="H276" s="4" t="s">
        <v>59</v>
      </c>
      <c r="I276" s="3"/>
      <c r="J276" s="3"/>
      <c r="K276" s="3"/>
      <c r="L276" s="3"/>
      <c r="M276" s="3"/>
      <c r="N276" s="3"/>
      <c r="O276" s="3"/>
      <c r="P276" s="8"/>
      <c r="Q276" s="8"/>
      <c r="R276" s="3"/>
      <c r="S276" s="3"/>
      <c r="T276" s="3"/>
      <c r="U276" s="5" t="str">
        <f t="shared" si="16"/>
        <v/>
      </c>
    </row>
    <row r="277" spans="1:21" ht="28" customHeight="1" x14ac:dyDescent="0.35">
      <c r="A277" s="4">
        <v>10</v>
      </c>
      <c r="B277" s="4" t="s">
        <v>97</v>
      </c>
      <c r="C277" s="4" t="s">
        <v>100</v>
      </c>
      <c r="D277" s="4" t="s">
        <v>101</v>
      </c>
      <c r="E277" s="4" t="s">
        <v>69</v>
      </c>
      <c r="F277" s="4" t="s">
        <v>95</v>
      </c>
      <c r="G277" s="4" t="s">
        <v>102</v>
      </c>
      <c r="H277" s="4" t="s">
        <v>59</v>
      </c>
      <c r="I277" s="3"/>
      <c r="J277" s="3"/>
      <c r="K277" s="3"/>
      <c r="L277" s="3"/>
      <c r="M277" s="3"/>
      <c r="N277" s="3"/>
      <c r="O277" s="3"/>
      <c r="P277" s="8"/>
      <c r="Q277" s="8"/>
      <c r="R277" s="3"/>
      <c r="S277" s="3"/>
      <c r="T277" s="3"/>
      <c r="U277" s="5" t="str">
        <f t="shared" si="16"/>
        <v/>
      </c>
    </row>
    <row r="278" spans="1:21" ht="28" customHeight="1" x14ac:dyDescent="0.35">
      <c r="A278" s="4">
        <v>11</v>
      </c>
      <c r="B278" s="4" t="s">
        <v>103</v>
      </c>
      <c r="C278" s="4" t="s">
        <v>104</v>
      </c>
      <c r="D278" s="4" t="s">
        <v>105</v>
      </c>
      <c r="E278" s="4" t="s">
        <v>69</v>
      </c>
      <c r="F278" s="4" t="s">
        <v>95</v>
      </c>
      <c r="G278" s="4" t="s">
        <v>96</v>
      </c>
      <c r="H278" s="4" t="s">
        <v>85</v>
      </c>
      <c r="I278" s="3"/>
      <c r="J278" s="3"/>
      <c r="K278" s="3"/>
      <c r="L278" s="3"/>
      <c r="M278" s="3"/>
      <c r="N278" s="3"/>
      <c r="O278" s="3"/>
      <c r="P278" s="8"/>
      <c r="Q278" s="8"/>
      <c r="R278" s="3"/>
      <c r="S278" s="3"/>
      <c r="T278" s="3"/>
      <c r="U278" s="5" t="str">
        <f t="shared" si="16"/>
        <v/>
      </c>
    </row>
    <row r="279" spans="1:21" ht="28" customHeight="1" x14ac:dyDescent="0.35">
      <c r="A279" s="4">
        <v>12</v>
      </c>
      <c r="B279" s="4" t="s">
        <v>106</v>
      </c>
      <c r="C279" s="4" t="s">
        <v>107</v>
      </c>
      <c r="D279" s="4" t="s">
        <v>108</v>
      </c>
      <c r="E279" s="4" t="s">
        <v>109</v>
      </c>
      <c r="F279" s="4" t="s">
        <v>95</v>
      </c>
      <c r="G279" s="4" t="s">
        <v>96</v>
      </c>
      <c r="H279" s="4" t="s">
        <v>59</v>
      </c>
      <c r="I279" s="3"/>
      <c r="J279" s="3"/>
      <c r="K279" s="3"/>
      <c r="L279" s="3"/>
      <c r="M279" s="3"/>
      <c r="N279" s="3"/>
      <c r="O279" s="3"/>
      <c r="P279" s="8"/>
      <c r="Q279" s="8"/>
      <c r="R279" s="3"/>
      <c r="S279" s="3"/>
      <c r="T279" s="3"/>
      <c r="U279" s="5" t="str">
        <f t="shared" si="16"/>
        <v/>
      </c>
    </row>
    <row r="281" spans="1:21" ht="28" customHeight="1" x14ac:dyDescent="0.35">
      <c r="A281" s="9" t="s">
        <v>110</v>
      </c>
      <c r="B281" s="16"/>
      <c r="C281" s="17"/>
      <c r="D281" s="17"/>
      <c r="E281" s="17"/>
      <c r="F281" s="17"/>
      <c r="G281" s="17"/>
      <c r="H281" s="17"/>
      <c r="I281" s="17"/>
      <c r="J281" s="17"/>
      <c r="K281" s="17"/>
      <c r="L281" s="17"/>
      <c r="M281" s="17"/>
      <c r="N281" s="17"/>
      <c r="O281" s="17"/>
      <c r="P281" s="17"/>
      <c r="Q281" s="17"/>
      <c r="R281" s="17"/>
      <c r="S281" s="17"/>
      <c r="T281" s="17"/>
      <c r="U281" s="18"/>
    </row>
    <row r="282" spans="1:21" ht="28" customHeight="1" x14ac:dyDescent="0.35">
      <c r="A282" s="19" t="s">
        <v>475</v>
      </c>
      <c r="B282" s="20"/>
      <c r="C282" s="20"/>
      <c r="D282" s="20"/>
      <c r="E282" s="20"/>
      <c r="F282" s="20"/>
      <c r="G282" s="20"/>
      <c r="H282" s="20"/>
      <c r="I282" s="20"/>
      <c r="J282" s="20"/>
      <c r="K282" s="20"/>
      <c r="L282" s="20"/>
      <c r="M282" s="20"/>
      <c r="N282" s="20"/>
      <c r="O282" s="20"/>
      <c r="P282" s="20"/>
      <c r="Q282" s="20"/>
      <c r="R282" s="20"/>
      <c r="S282" s="20"/>
      <c r="T282" s="20"/>
      <c r="U282" s="21"/>
    </row>
    <row r="283" spans="1:21" ht="28" customHeight="1" x14ac:dyDescent="0.35">
      <c r="A283" s="4" t="s">
        <v>31</v>
      </c>
      <c r="B283" s="3" t="s">
        <v>230</v>
      </c>
      <c r="C283" s="4" t="s">
        <v>32</v>
      </c>
      <c r="D283" s="3"/>
      <c r="E283" s="4" t="s">
        <v>33</v>
      </c>
      <c r="F283" s="8"/>
    </row>
    <row r="284" spans="1:21" ht="28" customHeight="1" x14ac:dyDescent="0.35">
      <c r="A284" s="1" t="s">
        <v>34</v>
      </c>
      <c r="B284" s="1" t="s">
        <v>35</v>
      </c>
      <c r="C284" s="1" t="s">
        <v>36</v>
      </c>
      <c r="D284" s="1" t="s">
        <v>37</v>
      </c>
      <c r="E284" s="1" t="s">
        <v>38</v>
      </c>
      <c r="F284" s="1" t="s">
        <v>39</v>
      </c>
      <c r="G284" s="1" t="s">
        <v>40</v>
      </c>
      <c r="H284" s="1" t="s">
        <v>41</v>
      </c>
      <c r="I284" s="1" t="s">
        <v>42</v>
      </c>
      <c r="J284" s="1" t="s">
        <v>43</v>
      </c>
      <c r="K284" s="1" t="s">
        <v>44</v>
      </c>
      <c r="L284" s="1" t="s">
        <v>45</v>
      </c>
      <c r="M284" s="1" t="s">
        <v>46</v>
      </c>
      <c r="N284" s="1" t="s">
        <v>47</v>
      </c>
      <c r="O284" s="1" t="s">
        <v>48</v>
      </c>
      <c r="P284" s="1" t="s">
        <v>4</v>
      </c>
      <c r="Q284" s="1" t="s">
        <v>49</v>
      </c>
      <c r="R284" s="1" t="s">
        <v>50</v>
      </c>
      <c r="S284" s="1" t="s">
        <v>51</v>
      </c>
      <c r="T284" s="1" t="s">
        <v>52</v>
      </c>
      <c r="U284" s="1" t="s">
        <v>10</v>
      </c>
    </row>
    <row r="285" spans="1:21" ht="28" customHeight="1" x14ac:dyDescent="0.35">
      <c r="A285" s="4">
        <v>1</v>
      </c>
      <c r="B285" s="4" t="s">
        <v>439</v>
      </c>
      <c r="C285" s="4" t="s">
        <v>440</v>
      </c>
      <c r="D285" s="4" t="s">
        <v>441</v>
      </c>
      <c r="E285" s="4" t="s">
        <v>69</v>
      </c>
      <c r="F285" s="4" t="s">
        <v>370</v>
      </c>
      <c r="G285" s="4" t="s">
        <v>204</v>
      </c>
      <c r="H285" s="4" t="s">
        <v>59</v>
      </c>
      <c r="I285" s="3"/>
      <c r="J285" s="3"/>
      <c r="K285" s="3"/>
      <c r="L285" s="3"/>
      <c r="M285" s="3"/>
      <c r="N285" s="3"/>
      <c r="O285" s="3"/>
      <c r="P285" s="8"/>
      <c r="Q285" s="8"/>
      <c r="R285" s="3"/>
      <c r="S285" s="3"/>
      <c r="T285" s="3"/>
      <c r="U285" s="5" t="str">
        <f t="shared" ref="U285:U296" si="17">IF(I285="","",IF(I285="NA","Grey",IF(I285=2,"Green",IF(I285=1,"Amber","Red"))))</f>
        <v/>
      </c>
    </row>
    <row r="286" spans="1:21" ht="28" customHeight="1" x14ac:dyDescent="0.35">
      <c r="A286" s="4">
        <v>2</v>
      </c>
      <c r="B286" s="4" t="s">
        <v>442</v>
      </c>
      <c r="C286" s="4" t="s">
        <v>443</v>
      </c>
      <c r="D286" s="4" t="s">
        <v>444</v>
      </c>
      <c r="E286" s="4" t="s">
        <v>69</v>
      </c>
      <c r="F286" s="4" t="s">
        <v>95</v>
      </c>
      <c r="G286" s="4" t="s">
        <v>102</v>
      </c>
      <c r="H286" s="4" t="s">
        <v>59</v>
      </c>
      <c r="I286" s="3"/>
      <c r="J286" s="3"/>
      <c r="K286" s="3"/>
      <c r="L286" s="3"/>
      <c r="M286" s="3"/>
      <c r="N286" s="3"/>
      <c r="O286" s="3"/>
      <c r="P286" s="8"/>
      <c r="Q286" s="8"/>
      <c r="R286" s="3"/>
      <c r="S286" s="3"/>
      <c r="T286" s="3"/>
      <c r="U286" s="5" t="str">
        <f t="shared" si="17"/>
        <v/>
      </c>
    </row>
    <row r="287" spans="1:21" ht="28" customHeight="1" x14ac:dyDescent="0.35">
      <c r="A287" s="4">
        <v>3</v>
      </c>
      <c r="B287" s="4" t="s">
        <v>445</v>
      </c>
      <c r="C287" s="4" t="s">
        <v>446</v>
      </c>
      <c r="D287" s="4" t="s">
        <v>369</v>
      </c>
      <c r="E287" s="4" t="s">
        <v>69</v>
      </c>
      <c r="F287" s="4" t="s">
        <v>370</v>
      </c>
      <c r="G287" s="4" t="s">
        <v>204</v>
      </c>
      <c r="H287" s="4" t="s">
        <v>76</v>
      </c>
      <c r="I287" s="3"/>
      <c r="J287" s="3"/>
      <c r="K287" s="3"/>
      <c r="L287" s="3"/>
      <c r="M287" s="3"/>
      <c r="N287" s="3"/>
      <c r="O287" s="3"/>
      <c r="P287" s="8"/>
      <c r="Q287" s="8"/>
      <c r="R287" s="3"/>
      <c r="S287" s="3"/>
      <c r="T287" s="3"/>
      <c r="U287" s="5" t="str">
        <f t="shared" si="17"/>
        <v/>
      </c>
    </row>
    <row r="288" spans="1:21" ht="28" customHeight="1" x14ac:dyDescent="0.35">
      <c r="A288" s="4">
        <v>4</v>
      </c>
      <c r="B288" s="4" t="s">
        <v>447</v>
      </c>
      <c r="C288" s="4" t="s">
        <v>448</v>
      </c>
      <c r="D288" s="4" t="s">
        <v>449</v>
      </c>
      <c r="E288" s="4" t="s">
        <v>109</v>
      </c>
      <c r="F288" s="4" t="s">
        <v>276</v>
      </c>
      <c r="G288" s="4" t="s">
        <v>199</v>
      </c>
      <c r="H288" s="4" t="s">
        <v>59</v>
      </c>
      <c r="I288" s="3"/>
      <c r="J288" s="3"/>
      <c r="K288" s="3"/>
      <c r="L288" s="3"/>
      <c r="M288" s="3"/>
      <c r="N288" s="3"/>
      <c r="O288" s="3"/>
      <c r="P288" s="8"/>
      <c r="Q288" s="8"/>
      <c r="R288" s="3"/>
      <c r="S288" s="3"/>
      <c r="T288" s="3"/>
      <c r="U288" s="5" t="str">
        <f t="shared" si="17"/>
        <v/>
      </c>
    </row>
    <row r="289" spans="1:21" ht="28" customHeight="1" x14ac:dyDescent="0.35">
      <c r="A289" s="4">
        <v>5</v>
      </c>
      <c r="B289" s="4" t="s">
        <v>450</v>
      </c>
      <c r="C289" s="4" t="s">
        <v>451</v>
      </c>
      <c r="D289" s="4" t="s">
        <v>452</v>
      </c>
      <c r="E289" s="4" t="s">
        <v>69</v>
      </c>
      <c r="F289" s="4" t="s">
        <v>276</v>
      </c>
      <c r="G289" s="4" t="s">
        <v>199</v>
      </c>
      <c r="H289" s="4" t="s">
        <v>59</v>
      </c>
      <c r="I289" s="3"/>
      <c r="J289" s="3"/>
      <c r="K289" s="3"/>
      <c r="L289" s="3"/>
      <c r="M289" s="3"/>
      <c r="N289" s="3"/>
      <c r="O289" s="3"/>
      <c r="P289" s="8"/>
      <c r="Q289" s="8"/>
      <c r="R289" s="3"/>
      <c r="S289" s="3"/>
      <c r="T289" s="3"/>
      <c r="U289" s="5" t="str">
        <f t="shared" si="17"/>
        <v/>
      </c>
    </row>
    <row r="290" spans="1:21" ht="28" customHeight="1" x14ac:dyDescent="0.35">
      <c r="A290" s="4">
        <v>6</v>
      </c>
      <c r="B290" s="4" t="s">
        <v>453</v>
      </c>
      <c r="C290" s="4" t="s">
        <v>454</v>
      </c>
      <c r="D290" s="4" t="s">
        <v>455</v>
      </c>
      <c r="E290" s="4" t="s">
        <v>69</v>
      </c>
      <c r="F290" s="4" t="s">
        <v>284</v>
      </c>
      <c r="G290" s="4" t="s">
        <v>204</v>
      </c>
      <c r="H290" s="4" t="s">
        <v>76</v>
      </c>
      <c r="I290" s="3"/>
      <c r="J290" s="3"/>
      <c r="K290" s="3"/>
      <c r="L290" s="3"/>
      <c r="M290" s="3"/>
      <c r="N290" s="3"/>
      <c r="O290" s="3"/>
      <c r="P290" s="8"/>
      <c r="Q290" s="8"/>
      <c r="R290" s="3"/>
      <c r="S290" s="3"/>
      <c r="T290" s="3"/>
      <c r="U290" s="5" t="str">
        <f t="shared" si="17"/>
        <v/>
      </c>
    </row>
    <row r="291" spans="1:21" ht="28" customHeight="1" x14ac:dyDescent="0.35">
      <c r="A291" s="4">
        <v>7</v>
      </c>
      <c r="B291" s="4" t="s">
        <v>456</v>
      </c>
      <c r="C291" s="4" t="s">
        <v>457</v>
      </c>
      <c r="D291" s="4" t="s">
        <v>458</v>
      </c>
      <c r="E291" s="4" t="s">
        <v>69</v>
      </c>
      <c r="F291" s="4" t="s">
        <v>459</v>
      </c>
      <c r="G291" s="4" t="s">
        <v>209</v>
      </c>
      <c r="H291" s="4" t="s">
        <v>59</v>
      </c>
      <c r="I291" s="3"/>
      <c r="J291" s="3"/>
      <c r="K291" s="3"/>
      <c r="L291" s="3"/>
      <c r="M291" s="3"/>
      <c r="N291" s="3"/>
      <c r="O291" s="3"/>
      <c r="P291" s="8"/>
      <c r="Q291" s="8"/>
      <c r="R291" s="3"/>
      <c r="S291" s="3"/>
      <c r="T291" s="3"/>
      <c r="U291" s="5" t="str">
        <f t="shared" si="17"/>
        <v/>
      </c>
    </row>
    <row r="292" spans="1:21" ht="28" customHeight="1" x14ac:dyDescent="0.35">
      <c r="A292" s="4">
        <v>8</v>
      </c>
      <c r="B292" s="4" t="s">
        <v>460</v>
      </c>
      <c r="C292" s="4" t="s">
        <v>461</v>
      </c>
      <c r="D292" s="4" t="s">
        <v>462</v>
      </c>
      <c r="E292" s="4" t="s">
        <v>69</v>
      </c>
      <c r="F292" s="4" t="s">
        <v>95</v>
      </c>
      <c r="G292" s="4" t="s">
        <v>102</v>
      </c>
      <c r="H292" s="4" t="s">
        <v>59</v>
      </c>
      <c r="I292" s="3"/>
      <c r="J292" s="3"/>
      <c r="K292" s="3"/>
      <c r="L292" s="3"/>
      <c r="M292" s="3"/>
      <c r="N292" s="3"/>
      <c r="O292" s="3"/>
      <c r="P292" s="8"/>
      <c r="Q292" s="8"/>
      <c r="R292" s="3"/>
      <c r="S292" s="3"/>
      <c r="T292" s="3"/>
      <c r="U292" s="5" t="str">
        <f t="shared" si="17"/>
        <v/>
      </c>
    </row>
    <row r="293" spans="1:21" ht="28" customHeight="1" x14ac:dyDescent="0.35">
      <c r="A293" s="4">
        <v>9</v>
      </c>
      <c r="B293" s="4" t="s">
        <v>97</v>
      </c>
      <c r="C293" s="4" t="s">
        <v>98</v>
      </c>
      <c r="D293" s="4" t="s">
        <v>99</v>
      </c>
      <c r="E293" s="4" t="s">
        <v>69</v>
      </c>
      <c r="F293" s="4" t="s">
        <v>95</v>
      </c>
      <c r="G293" s="4" t="s">
        <v>96</v>
      </c>
      <c r="H293" s="4" t="s">
        <v>59</v>
      </c>
      <c r="I293" s="3"/>
      <c r="J293" s="3"/>
      <c r="K293" s="3"/>
      <c r="L293" s="3"/>
      <c r="M293" s="3"/>
      <c r="N293" s="3"/>
      <c r="O293" s="3"/>
      <c r="P293" s="8"/>
      <c r="Q293" s="8"/>
      <c r="R293" s="3"/>
      <c r="S293" s="3"/>
      <c r="T293" s="3"/>
      <c r="U293" s="5" t="str">
        <f t="shared" si="17"/>
        <v/>
      </c>
    </row>
    <row r="294" spans="1:21" ht="28" customHeight="1" x14ac:dyDescent="0.35">
      <c r="A294" s="4">
        <v>10</v>
      </c>
      <c r="B294" s="4" t="s">
        <v>97</v>
      </c>
      <c r="C294" s="4" t="s">
        <v>100</v>
      </c>
      <c r="D294" s="4" t="s">
        <v>101</v>
      </c>
      <c r="E294" s="4" t="s">
        <v>69</v>
      </c>
      <c r="F294" s="4" t="s">
        <v>95</v>
      </c>
      <c r="G294" s="4" t="s">
        <v>102</v>
      </c>
      <c r="H294" s="4" t="s">
        <v>59</v>
      </c>
      <c r="I294" s="3"/>
      <c r="J294" s="3"/>
      <c r="K294" s="3"/>
      <c r="L294" s="3"/>
      <c r="M294" s="3"/>
      <c r="N294" s="3"/>
      <c r="O294" s="3"/>
      <c r="P294" s="8"/>
      <c r="Q294" s="8"/>
      <c r="R294" s="3"/>
      <c r="S294" s="3"/>
      <c r="T294" s="3"/>
      <c r="U294" s="5" t="str">
        <f t="shared" si="17"/>
        <v/>
      </c>
    </row>
    <row r="295" spans="1:21" ht="28" customHeight="1" x14ac:dyDescent="0.35">
      <c r="A295" s="4">
        <v>11</v>
      </c>
      <c r="B295" s="4" t="s">
        <v>103</v>
      </c>
      <c r="C295" s="4" t="s">
        <v>104</v>
      </c>
      <c r="D295" s="4" t="s">
        <v>105</v>
      </c>
      <c r="E295" s="4" t="s">
        <v>69</v>
      </c>
      <c r="F295" s="4" t="s">
        <v>95</v>
      </c>
      <c r="G295" s="4" t="s">
        <v>96</v>
      </c>
      <c r="H295" s="4" t="s">
        <v>85</v>
      </c>
      <c r="I295" s="3"/>
      <c r="J295" s="3"/>
      <c r="K295" s="3"/>
      <c r="L295" s="3"/>
      <c r="M295" s="3"/>
      <c r="N295" s="3"/>
      <c r="O295" s="3"/>
      <c r="P295" s="8"/>
      <c r="Q295" s="8"/>
      <c r="R295" s="3"/>
      <c r="S295" s="3"/>
      <c r="T295" s="3"/>
      <c r="U295" s="5" t="str">
        <f t="shared" si="17"/>
        <v/>
      </c>
    </row>
    <row r="296" spans="1:21" ht="28" customHeight="1" x14ac:dyDescent="0.35">
      <c r="A296" s="4">
        <v>12</v>
      </c>
      <c r="B296" s="4" t="s">
        <v>106</v>
      </c>
      <c r="C296" s="4" t="s">
        <v>107</v>
      </c>
      <c r="D296" s="4" t="s">
        <v>108</v>
      </c>
      <c r="E296" s="4" t="s">
        <v>109</v>
      </c>
      <c r="F296" s="4" t="s">
        <v>95</v>
      </c>
      <c r="G296" s="4" t="s">
        <v>96</v>
      </c>
      <c r="H296" s="4" t="s">
        <v>59</v>
      </c>
      <c r="I296" s="3"/>
      <c r="J296" s="3"/>
      <c r="K296" s="3"/>
      <c r="L296" s="3"/>
      <c r="M296" s="3"/>
      <c r="N296" s="3"/>
      <c r="O296" s="3"/>
      <c r="P296" s="8"/>
      <c r="Q296" s="8"/>
      <c r="R296" s="3"/>
      <c r="S296" s="3"/>
      <c r="T296" s="3"/>
      <c r="U296" s="5" t="str">
        <f t="shared" si="17"/>
        <v/>
      </c>
    </row>
    <row r="298" spans="1:21" ht="28" customHeight="1" x14ac:dyDescent="0.35">
      <c r="A298" s="9" t="s">
        <v>110</v>
      </c>
      <c r="B298" s="16"/>
      <c r="C298" s="17"/>
      <c r="D298" s="17"/>
      <c r="E298" s="17"/>
      <c r="F298" s="17"/>
      <c r="G298" s="17"/>
      <c r="H298" s="17"/>
      <c r="I298" s="17"/>
      <c r="J298" s="17"/>
      <c r="K298" s="17"/>
      <c r="L298" s="17"/>
      <c r="M298" s="17"/>
      <c r="N298" s="17"/>
      <c r="O298" s="17"/>
      <c r="P298" s="17"/>
      <c r="Q298" s="17"/>
      <c r="R298" s="17"/>
      <c r="S298" s="17"/>
      <c r="T298" s="17"/>
      <c r="U298" s="18"/>
    </row>
    <row r="299" spans="1:21" ht="28" customHeight="1" x14ac:dyDescent="0.35">
      <c r="A299" s="19" t="s">
        <v>476</v>
      </c>
      <c r="B299" s="20"/>
      <c r="C299" s="20"/>
      <c r="D299" s="20"/>
      <c r="E299" s="20"/>
      <c r="F299" s="20"/>
      <c r="G299" s="20"/>
      <c r="H299" s="20"/>
      <c r="I299" s="20"/>
      <c r="J299" s="20"/>
      <c r="K299" s="20"/>
      <c r="L299" s="20"/>
      <c r="M299" s="20"/>
      <c r="N299" s="20"/>
      <c r="O299" s="20"/>
      <c r="P299" s="20"/>
      <c r="Q299" s="20"/>
      <c r="R299" s="20"/>
      <c r="S299" s="20"/>
      <c r="T299" s="20"/>
      <c r="U299" s="21"/>
    </row>
    <row r="300" spans="1:21" ht="28" customHeight="1" x14ac:dyDescent="0.35">
      <c r="A300" s="4" t="s">
        <v>31</v>
      </c>
      <c r="B300" s="3" t="s">
        <v>231</v>
      </c>
      <c r="C300" s="4" t="s">
        <v>32</v>
      </c>
      <c r="D300" s="3"/>
      <c r="E300" s="4" t="s">
        <v>33</v>
      </c>
      <c r="F300" s="8"/>
    </row>
    <row r="301" spans="1:21" ht="28" customHeight="1" x14ac:dyDescent="0.35">
      <c r="A301" s="1" t="s">
        <v>34</v>
      </c>
      <c r="B301" s="1" t="s">
        <v>35</v>
      </c>
      <c r="C301" s="1" t="s">
        <v>36</v>
      </c>
      <c r="D301" s="1" t="s">
        <v>37</v>
      </c>
      <c r="E301" s="1" t="s">
        <v>38</v>
      </c>
      <c r="F301" s="1" t="s">
        <v>39</v>
      </c>
      <c r="G301" s="1" t="s">
        <v>40</v>
      </c>
      <c r="H301" s="1" t="s">
        <v>41</v>
      </c>
      <c r="I301" s="1" t="s">
        <v>42</v>
      </c>
      <c r="J301" s="1" t="s">
        <v>43</v>
      </c>
      <c r="K301" s="1" t="s">
        <v>44</v>
      </c>
      <c r="L301" s="1" t="s">
        <v>45</v>
      </c>
      <c r="M301" s="1" t="s">
        <v>46</v>
      </c>
      <c r="N301" s="1" t="s">
        <v>47</v>
      </c>
      <c r="O301" s="1" t="s">
        <v>48</v>
      </c>
      <c r="P301" s="1" t="s">
        <v>4</v>
      </c>
      <c r="Q301" s="1" t="s">
        <v>49</v>
      </c>
      <c r="R301" s="1" t="s">
        <v>50</v>
      </c>
      <c r="S301" s="1" t="s">
        <v>51</v>
      </c>
      <c r="T301" s="1" t="s">
        <v>52</v>
      </c>
      <c r="U301" s="1" t="s">
        <v>10</v>
      </c>
    </row>
    <row r="302" spans="1:21" ht="28" customHeight="1" x14ac:dyDescent="0.35">
      <c r="A302" s="4">
        <v>1</v>
      </c>
      <c r="B302" s="4" t="s">
        <v>439</v>
      </c>
      <c r="C302" s="4" t="s">
        <v>440</v>
      </c>
      <c r="D302" s="4" t="s">
        <v>441</v>
      </c>
      <c r="E302" s="4" t="s">
        <v>69</v>
      </c>
      <c r="F302" s="4" t="s">
        <v>370</v>
      </c>
      <c r="G302" s="4" t="s">
        <v>204</v>
      </c>
      <c r="H302" s="4" t="s">
        <v>59</v>
      </c>
      <c r="I302" s="3"/>
      <c r="J302" s="3"/>
      <c r="K302" s="3"/>
      <c r="L302" s="3"/>
      <c r="M302" s="3"/>
      <c r="N302" s="3"/>
      <c r="O302" s="3"/>
      <c r="P302" s="8"/>
      <c r="Q302" s="8"/>
      <c r="R302" s="3"/>
      <c r="S302" s="3"/>
      <c r="T302" s="3"/>
      <c r="U302" s="5" t="str">
        <f t="shared" ref="U302:U313" si="18">IF(I302="","",IF(I302="NA","Grey",IF(I302=2,"Green",IF(I302=1,"Amber","Red"))))</f>
        <v/>
      </c>
    </row>
    <row r="303" spans="1:21" ht="28" customHeight="1" x14ac:dyDescent="0.35">
      <c r="A303" s="4">
        <v>2</v>
      </c>
      <c r="B303" s="4" t="s">
        <v>442</v>
      </c>
      <c r="C303" s="4" t="s">
        <v>443</v>
      </c>
      <c r="D303" s="4" t="s">
        <v>444</v>
      </c>
      <c r="E303" s="4" t="s">
        <v>69</v>
      </c>
      <c r="F303" s="4" t="s">
        <v>95</v>
      </c>
      <c r="G303" s="4" t="s">
        <v>102</v>
      </c>
      <c r="H303" s="4" t="s">
        <v>59</v>
      </c>
      <c r="I303" s="3"/>
      <c r="J303" s="3"/>
      <c r="K303" s="3"/>
      <c r="L303" s="3"/>
      <c r="M303" s="3"/>
      <c r="N303" s="3"/>
      <c r="O303" s="3"/>
      <c r="P303" s="8"/>
      <c r="Q303" s="8"/>
      <c r="R303" s="3"/>
      <c r="S303" s="3"/>
      <c r="T303" s="3"/>
      <c r="U303" s="5" t="str">
        <f t="shared" si="18"/>
        <v/>
      </c>
    </row>
    <row r="304" spans="1:21" ht="28" customHeight="1" x14ac:dyDescent="0.35">
      <c r="A304" s="4">
        <v>3</v>
      </c>
      <c r="B304" s="4" t="s">
        <v>445</v>
      </c>
      <c r="C304" s="4" t="s">
        <v>446</v>
      </c>
      <c r="D304" s="4" t="s">
        <v>369</v>
      </c>
      <c r="E304" s="4" t="s">
        <v>69</v>
      </c>
      <c r="F304" s="4" t="s">
        <v>370</v>
      </c>
      <c r="G304" s="4" t="s">
        <v>204</v>
      </c>
      <c r="H304" s="4" t="s">
        <v>76</v>
      </c>
      <c r="I304" s="3"/>
      <c r="J304" s="3"/>
      <c r="K304" s="3"/>
      <c r="L304" s="3"/>
      <c r="M304" s="3"/>
      <c r="N304" s="3"/>
      <c r="O304" s="3"/>
      <c r="P304" s="8"/>
      <c r="Q304" s="8"/>
      <c r="R304" s="3"/>
      <c r="S304" s="3"/>
      <c r="T304" s="3"/>
      <c r="U304" s="5" t="str">
        <f t="shared" si="18"/>
        <v/>
      </c>
    </row>
    <row r="305" spans="1:21" ht="28" customHeight="1" x14ac:dyDescent="0.35">
      <c r="A305" s="4">
        <v>4</v>
      </c>
      <c r="B305" s="4" t="s">
        <v>447</v>
      </c>
      <c r="C305" s="4" t="s">
        <v>448</v>
      </c>
      <c r="D305" s="4" t="s">
        <v>449</v>
      </c>
      <c r="E305" s="4" t="s">
        <v>109</v>
      </c>
      <c r="F305" s="4" t="s">
        <v>276</v>
      </c>
      <c r="G305" s="4" t="s">
        <v>199</v>
      </c>
      <c r="H305" s="4" t="s">
        <v>59</v>
      </c>
      <c r="I305" s="3"/>
      <c r="J305" s="3"/>
      <c r="K305" s="3"/>
      <c r="L305" s="3"/>
      <c r="M305" s="3"/>
      <c r="N305" s="3"/>
      <c r="O305" s="3"/>
      <c r="P305" s="8"/>
      <c r="Q305" s="8"/>
      <c r="R305" s="3"/>
      <c r="S305" s="3"/>
      <c r="T305" s="3"/>
      <c r="U305" s="5" t="str">
        <f t="shared" si="18"/>
        <v/>
      </c>
    </row>
    <row r="306" spans="1:21" ht="28" customHeight="1" x14ac:dyDescent="0.35">
      <c r="A306" s="4">
        <v>5</v>
      </c>
      <c r="B306" s="4" t="s">
        <v>450</v>
      </c>
      <c r="C306" s="4" t="s">
        <v>451</v>
      </c>
      <c r="D306" s="4" t="s">
        <v>452</v>
      </c>
      <c r="E306" s="4" t="s">
        <v>69</v>
      </c>
      <c r="F306" s="4" t="s">
        <v>276</v>
      </c>
      <c r="G306" s="4" t="s">
        <v>199</v>
      </c>
      <c r="H306" s="4" t="s">
        <v>59</v>
      </c>
      <c r="I306" s="3"/>
      <c r="J306" s="3"/>
      <c r="K306" s="3"/>
      <c r="L306" s="3"/>
      <c r="M306" s="3"/>
      <c r="N306" s="3"/>
      <c r="O306" s="3"/>
      <c r="P306" s="8"/>
      <c r="Q306" s="8"/>
      <c r="R306" s="3"/>
      <c r="S306" s="3"/>
      <c r="T306" s="3"/>
      <c r="U306" s="5" t="str">
        <f t="shared" si="18"/>
        <v/>
      </c>
    </row>
    <row r="307" spans="1:21" ht="28" customHeight="1" x14ac:dyDescent="0.35">
      <c r="A307" s="4">
        <v>6</v>
      </c>
      <c r="B307" s="4" t="s">
        <v>453</v>
      </c>
      <c r="C307" s="4" t="s">
        <v>454</v>
      </c>
      <c r="D307" s="4" t="s">
        <v>455</v>
      </c>
      <c r="E307" s="4" t="s">
        <v>69</v>
      </c>
      <c r="F307" s="4" t="s">
        <v>284</v>
      </c>
      <c r="G307" s="4" t="s">
        <v>204</v>
      </c>
      <c r="H307" s="4" t="s">
        <v>76</v>
      </c>
      <c r="I307" s="3"/>
      <c r="J307" s="3"/>
      <c r="K307" s="3"/>
      <c r="L307" s="3"/>
      <c r="M307" s="3"/>
      <c r="N307" s="3"/>
      <c r="O307" s="3"/>
      <c r="P307" s="8"/>
      <c r="Q307" s="8"/>
      <c r="R307" s="3"/>
      <c r="S307" s="3"/>
      <c r="T307" s="3"/>
      <c r="U307" s="5" t="str">
        <f t="shared" si="18"/>
        <v/>
      </c>
    </row>
    <row r="308" spans="1:21" ht="28" customHeight="1" x14ac:dyDescent="0.35">
      <c r="A308" s="4">
        <v>7</v>
      </c>
      <c r="B308" s="4" t="s">
        <v>456</v>
      </c>
      <c r="C308" s="4" t="s">
        <v>457</v>
      </c>
      <c r="D308" s="4" t="s">
        <v>458</v>
      </c>
      <c r="E308" s="4" t="s">
        <v>69</v>
      </c>
      <c r="F308" s="4" t="s">
        <v>459</v>
      </c>
      <c r="G308" s="4" t="s">
        <v>209</v>
      </c>
      <c r="H308" s="4" t="s">
        <v>59</v>
      </c>
      <c r="I308" s="3"/>
      <c r="J308" s="3"/>
      <c r="K308" s="3"/>
      <c r="L308" s="3"/>
      <c r="M308" s="3"/>
      <c r="N308" s="3"/>
      <c r="O308" s="3"/>
      <c r="P308" s="8"/>
      <c r="Q308" s="8"/>
      <c r="R308" s="3"/>
      <c r="S308" s="3"/>
      <c r="T308" s="3"/>
      <c r="U308" s="5" t="str">
        <f t="shared" si="18"/>
        <v/>
      </c>
    </row>
    <row r="309" spans="1:21" ht="28" customHeight="1" x14ac:dyDescent="0.35">
      <c r="A309" s="4">
        <v>8</v>
      </c>
      <c r="B309" s="4" t="s">
        <v>460</v>
      </c>
      <c r="C309" s="4" t="s">
        <v>461</v>
      </c>
      <c r="D309" s="4" t="s">
        <v>462</v>
      </c>
      <c r="E309" s="4" t="s">
        <v>69</v>
      </c>
      <c r="F309" s="4" t="s">
        <v>95</v>
      </c>
      <c r="G309" s="4" t="s">
        <v>102</v>
      </c>
      <c r="H309" s="4" t="s">
        <v>59</v>
      </c>
      <c r="I309" s="3"/>
      <c r="J309" s="3"/>
      <c r="K309" s="3"/>
      <c r="L309" s="3"/>
      <c r="M309" s="3"/>
      <c r="N309" s="3"/>
      <c r="O309" s="3"/>
      <c r="P309" s="8"/>
      <c r="Q309" s="8"/>
      <c r="R309" s="3"/>
      <c r="S309" s="3"/>
      <c r="T309" s="3"/>
      <c r="U309" s="5" t="str">
        <f t="shared" si="18"/>
        <v/>
      </c>
    </row>
    <row r="310" spans="1:21" ht="28" customHeight="1" x14ac:dyDescent="0.35">
      <c r="A310" s="4">
        <v>9</v>
      </c>
      <c r="B310" s="4" t="s">
        <v>97</v>
      </c>
      <c r="C310" s="4" t="s">
        <v>98</v>
      </c>
      <c r="D310" s="4" t="s">
        <v>99</v>
      </c>
      <c r="E310" s="4" t="s">
        <v>69</v>
      </c>
      <c r="F310" s="4" t="s">
        <v>95</v>
      </c>
      <c r="G310" s="4" t="s">
        <v>96</v>
      </c>
      <c r="H310" s="4" t="s">
        <v>59</v>
      </c>
      <c r="I310" s="3"/>
      <c r="J310" s="3"/>
      <c r="K310" s="3"/>
      <c r="L310" s="3"/>
      <c r="M310" s="3"/>
      <c r="N310" s="3"/>
      <c r="O310" s="3"/>
      <c r="P310" s="8"/>
      <c r="Q310" s="8"/>
      <c r="R310" s="3"/>
      <c r="S310" s="3"/>
      <c r="T310" s="3"/>
      <c r="U310" s="5" t="str">
        <f t="shared" si="18"/>
        <v/>
      </c>
    </row>
    <row r="311" spans="1:21" ht="28" customHeight="1" x14ac:dyDescent="0.35">
      <c r="A311" s="4">
        <v>10</v>
      </c>
      <c r="B311" s="4" t="s">
        <v>97</v>
      </c>
      <c r="C311" s="4" t="s">
        <v>100</v>
      </c>
      <c r="D311" s="4" t="s">
        <v>101</v>
      </c>
      <c r="E311" s="4" t="s">
        <v>69</v>
      </c>
      <c r="F311" s="4" t="s">
        <v>95</v>
      </c>
      <c r="G311" s="4" t="s">
        <v>102</v>
      </c>
      <c r="H311" s="4" t="s">
        <v>59</v>
      </c>
      <c r="I311" s="3"/>
      <c r="J311" s="3"/>
      <c r="K311" s="3"/>
      <c r="L311" s="3"/>
      <c r="M311" s="3"/>
      <c r="N311" s="3"/>
      <c r="O311" s="3"/>
      <c r="P311" s="8"/>
      <c r="Q311" s="8"/>
      <c r="R311" s="3"/>
      <c r="S311" s="3"/>
      <c r="T311" s="3"/>
      <c r="U311" s="5" t="str">
        <f t="shared" si="18"/>
        <v/>
      </c>
    </row>
    <row r="312" spans="1:21" ht="28" customHeight="1" x14ac:dyDescent="0.35">
      <c r="A312" s="4">
        <v>11</v>
      </c>
      <c r="B312" s="4" t="s">
        <v>103</v>
      </c>
      <c r="C312" s="4" t="s">
        <v>104</v>
      </c>
      <c r="D312" s="4" t="s">
        <v>105</v>
      </c>
      <c r="E312" s="4" t="s">
        <v>69</v>
      </c>
      <c r="F312" s="4" t="s">
        <v>95</v>
      </c>
      <c r="G312" s="4" t="s">
        <v>96</v>
      </c>
      <c r="H312" s="4" t="s">
        <v>85</v>
      </c>
      <c r="I312" s="3"/>
      <c r="J312" s="3"/>
      <c r="K312" s="3"/>
      <c r="L312" s="3"/>
      <c r="M312" s="3"/>
      <c r="N312" s="3"/>
      <c r="O312" s="3"/>
      <c r="P312" s="8"/>
      <c r="Q312" s="8"/>
      <c r="R312" s="3"/>
      <c r="S312" s="3"/>
      <c r="T312" s="3"/>
      <c r="U312" s="5" t="str">
        <f t="shared" si="18"/>
        <v/>
      </c>
    </row>
    <row r="313" spans="1:21" ht="28" customHeight="1" x14ac:dyDescent="0.35">
      <c r="A313" s="4">
        <v>12</v>
      </c>
      <c r="B313" s="4" t="s">
        <v>106</v>
      </c>
      <c r="C313" s="4" t="s">
        <v>107</v>
      </c>
      <c r="D313" s="4" t="s">
        <v>108</v>
      </c>
      <c r="E313" s="4" t="s">
        <v>109</v>
      </c>
      <c r="F313" s="4" t="s">
        <v>95</v>
      </c>
      <c r="G313" s="4" t="s">
        <v>96</v>
      </c>
      <c r="H313" s="4" t="s">
        <v>59</v>
      </c>
      <c r="I313" s="3"/>
      <c r="J313" s="3"/>
      <c r="K313" s="3"/>
      <c r="L313" s="3"/>
      <c r="M313" s="3"/>
      <c r="N313" s="3"/>
      <c r="O313" s="3"/>
      <c r="P313" s="8"/>
      <c r="Q313" s="8"/>
      <c r="R313" s="3"/>
      <c r="S313" s="3"/>
      <c r="T313" s="3"/>
      <c r="U313" s="5" t="str">
        <f t="shared" si="18"/>
        <v/>
      </c>
    </row>
    <row r="315" spans="1:21" ht="28" customHeight="1" x14ac:dyDescent="0.35">
      <c r="A315" s="9" t="s">
        <v>110</v>
      </c>
      <c r="B315" s="16"/>
      <c r="C315" s="17"/>
      <c r="D315" s="17"/>
      <c r="E315" s="17"/>
      <c r="F315" s="17"/>
      <c r="G315" s="17"/>
      <c r="H315" s="17"/>
      <c r="I315" s="17"/>
      <c r="J315" s="17"/>
      <c r="K315" s="17"/>
      <c r="L315" s="17"/>
      <c r="M315" s="17"/>
      <c r="N315" s="17"/>
      <c r="O315" s="17"/>
      <c r="P315" s="17"/>
      <c r="Q315" s="17"/>
      <c r="R315" s="17"/>
      <c r="S315" s="17"/>
      <c r="T315" s="17"/>
      <c r="U315" s="18"/>
    </row>
    <row r="316" spans="1:21" ht="28" customHeight="1" x14ac:dyDescent="0.35">
      <c r="A316" s="19" t="s">
        <v>477</v>
      </c>
      <c r="B316" s="20"/>
      <c r="C316" s="20"/>
      <c r="D316" s="20"/>
      <c r="E316" s="20"/>
      <c r="F316" s="20"/>
      <c r="G316" s="20"/>
      <c r="H316" s="20"/>
      <c r="I316" s="20"/>
      <c r="J316" s="20"/>
      <c r="K316" s="20"/>
      <c r="L316" s="20"/>
      <c r="M316" s="20"/>
      <c r="N316" s="20"/>
      <c r="O316" s="20"/>
      <c r="P316" s="20"/>
      <c r="Q316" s="20"/>
      <c r="R316" s="20"/>
      <c r="S316" s="20"/>
      <c r="T316" s="20"/>
      <c r="U316" s="21"/>
    </row>
    <row r="317" spans="1:21" ht="28" customHeight="1" x14ac:dyDescent="0.35">
      <c r="A317" s="4" t="s">
        <v>31</v>
      </c>
      <c r="B317" s="3" t="s">
        <v>232</v>
      </c>
      <c r="C317" s="4" t="s">
        <v>32</v>
      </c>
      <c r="D317" s="3"/>
      <c r="E317" s="4" t="s">
        <v>33</v>
      </c>
      <c r="F317" s="8"/>
    </row>
    <row r="318" spans="1:21" ht="28" customHeight="1" x14ac:dyDescent="0.35">
      <c r="A318" s="1" t="s">
        <v>34</v>
      </c>
      <c r="B318" s="1" t="s">
        <v>35</v>
      </c>
      <c r="C318" s="1" t="s">
        <v>36</v>
      </c>
      <c r="D318" s="1" t="s">
        <v>37</v>
      </c>
      <c r="E318" s="1" t="s">
        <v>38</v>
      </c>
      <c r="F318" s="1" t="s">
        <v>39</v>
      </c>
      <c r="G318" s="1" t="s">
        <v>40</v>
      </c>
      <c r="H318" s="1" t="s">
        <v>41</v>
      </c>
      <c r="I318" s="1" t="s">
        <v>42</v>
      </c>
      <c r="J318" s="1" t="s">
        <v>43</v>
      </c>
      <c r="K318" s="1" t="s">
        <v>44</v>
      </c>
      <c r="L318" s="1" t="s">
        <v>45</v>
      </c>
      <c r="M318" s="1" t="s">
        <v>46</v>
      </c>
      <c r="N318" s="1" t="s">
        <v>47</v>
      </c>
      <c r="O318" s="1" t="s">
        <v>48</v>
      </c>
      <c r="P318" s="1" t="s">
        <v>4</v>
      </c>
      <c r="Q318" s="1" t="s">
        <v>49</v>
      </c>
      <c r="R318" s="1" t="s">
        <v>50</v>
      </c>
      <c r="S318" s="1" t="s">
        <v>51</v>
      </c>
      <c r="T318" s="1" t="s">
        <v>52</v>
      </c>
      <c r="U318" s="1" t="s">
        <v>10</v>
      </c>
    </row>
    <row r="319" spans="1:21" ht="28" customHeight="1" x14ac:dyDescent="0.35">
      <c r="A319" s="4">
        <v>1</v>
      </c>
      <c r="B319" s="4" t="s">
        <v>439</v>
      </c>
      <c r="C319" s="4" t="s">
        <v>440</v>
      </c>
      <c r="D319" s="4" t="s">
        <v>441</v>
      </c>
      <c r="E319" s="4" t="s">
        <v>69</v>
      </c>
      <c r="F319" s="4" t="s">
        <v>370</v>
      </c>
      <c r="G319" s="4" t="s">
        <v>204</v>
      </c>
      <c r="H319" s="4" t="s">
        <v>59</v>
      </c>
      <c r="I319" s="3"/>
      <c r="J319" s="3"/>
      <c r="K319" s="3"/>
      <c r="L319" s="3"/>
      <c r="M319" s="3"/>
      <c r="N319" s="3"/>
      <c r="O319" s="3"/>
      <c r="P319" s="8"/>
      <c r="Q319" s="8"/>
      <c r="R319" s="3"/>
      <c r="S319" s="3"/>
      <c r="T319" s="3"/>
      <c r="U319" s="5" t="str">
        <f t="shared" ref="U319:U330" si="19">IF(I319="","",IF(I319="NA","Grey",IF(I319=2,"Green",IF(I319=1,"Amber","Red"))))</f>
        <v/>
      </c>
    </row>
    <row r="320" spans="1:21" ht="28" customHeight="1" x14ac:dyDescent="0.35">
      <c r="A320" s="4">
        <v>2</v>
      </c>
      <c r="B320" s="4" t="s">
        <v>442</v>
      </c>
      <c r="C320" s="4" t="s">
        <v>443</v>
      </c>
      <c r="D320" s="4" t="s">
        <v>444</v>
      </c>
      <c r="E320" s="4" t="s">
        <v>69</v>
      </c>
      <c r="F320" s="4" t="s">
        <v>95</v>
      </c>
      <c r="G320" s="4" t="s">
        <v>102</v>
      </c>
      <c r="H320" s="4" t="s">
        <v>59</v>
      </c>
      <c r="I320" s="3"/>
      <c r="J320" s="3"/>
      <c r="K320" s="3"/>
      <c r="L320" s="3"/>
      <c r="M320" s="3"/>
      <c r="N320" s="3"/>
      <c r="O320" s="3"/>
      <c r="P320" s="8"/>
      <c r="Q320" s="8"/>
      <c r="R320" s="3"/>
      <c r="S320" s="3"/>
      <c r="T320" s="3"/>
      <c r="U320" s="5" t="str">
        <f t="shared" si="19"/>
        <v/>
      </c>
    </row>
    <row r="321" spans="1:21" ht="28" customHeight="1" x14ac:dyDescent="0.35">
      <c r="A321" s="4">
        <v>3</v>
      </c>
      <c r="B321" s="4" t="s">
        <v>445</v>
      </c>
      <c r="C321" s="4" t="s">
        <v>446</v>
      </c>
      <c r="D321" s="4" t="s">
        <v>369</v>
      </c>
      <c r="E321" s="4" t="s">
        <v>69</v>
      </c>
      <c r="F321" s="4" t="s">
        <v>370</v>
      </c>
      <c r="G321" s="4" t="s">
        <v>204</v>
      </c>
      <c r="H321" s="4" t="s">
        <v>76</v>
      </c>
      <c r="I321" s="3"/>
      <c r="J321" s="3"/>
      <c r="K321" s="3"/>
      <c r="L321" s="3"/>
      <c r="M321" s="3"/>
      <c r="N321" s="3"/>
      <c r="O321" s="3"/>
      <c r="P321" s="8"/>
      <c r="Q321" s="8"/>
      <c r="R321" s="3"/>
      <c r="S321" s="3"/>
      <c r="T321" s="3"/>
      <c r="U321" s="5" t="str">
        <f t="shared" si="19"/>
        <v/>
      </c>
    </row>
    <row r="322" spans="1:21" ht="28" customHeight="1" x14ac:dyDescent="0.35">
      <c r="A322" s="4">
        <v>4</v>
      </c>
      <c r="B322" s="4" t="s">
        <v>447</v>
      </c>
      <c r="C322" s="4" t="s">
        <v>448</v>
      </c>
      <c r="D322" s="4" t="s">
        <v>449</v>
      </c>
      <c r="E322" s="4" t="s">
        <v>109</v>
      </c>
      <c r="F322" s="4" t="s">
        <v>276</v>
      </c>
      <c r="G322" s="4" t="s">
        <v>199</v>
      </c>
      <c r="H322" s="4" t="s">
        <v>59</v>
      </c>
      <c r="I322" s="3"/>
      <c r="J322" s="3"/>
      <c r="K322" s="3"/>
      <c r="L322" s="3"/>
      <c r="M322" s="3"/>
      <c r="N322" s="3"/>
      <c r="O322" s="3"/>
      <c r="P322" s="8"/>
      <c r="Q322" s="8"/>
      <c r="R322" s="3"/>
      <c r="S322" s="3"/>
      <c r="T322" s="3"/>
      <c r="U322" s="5" t="str">
        <f t="shared" si="19"/>
        <v/>
      </c>
    </row>
    <row r="323" spans="1:21" ht="28" customHeight="1" x14ac:dyDescent="0.35">
      <c r="A323" s="4">
        <v>5</v>
      </c>
      <c r="B323" s="4" t="s">
        <v>450</v>
      </c>
      <c r="C323" s="4" t="s">
        <v>451</v>
      </c>
      <c r="D323" s="4" t="s">
        <v>452</v>
      </c>
      <c r="E323" s="4" t="s">
        <v>69</v>
      </c>
      <c r="F323" s="4" t="s">
        <v>276</v>
      </c>
      <c r="G323" s="4" t="s">
        <v>199</v>
      </c>
      <c r="H323" s="4" t="s">
        <v>59</v>
      </c>
      <c r="I323" s="3"/>
      <c r="J323" s="3"/>
      <c r="K323" s="3"/>
      <c r="L323" s="3"/>
      <c r="M323" s="3"/>
      <c r="N323" s="3"/>
      <c r="O323" s="3"/>
      <c r="P323" s="8"/>
      <c r="Q323" s="8"/>
      <c r="R323" s="3"/>
      <c r="S323" s="3"/>
      <c r="T323" s="3"/>
      <c r="U323" s="5" t="str">
        <f t="shared" si="19"/>
        <v/>
      </c>
    </row>
    <row r="324" spans="1:21" ht="28" customHeight="1" x14ac:dyDescent="0.35">
      <c r="A324" s="4">
        <v>6</v>
      </c>
      <c r="B324" s="4" t="s">
        <v>453</v>
      </c>
      <c r="C324" s="4" t="s">
        <v>454</v>
      </c>
      <c r="D324" s="4" t="s">
        <v>455</v>
      </c>
      <c r="E324" s="4" t="s">
        <v>69</v>
      </c>
      <c r="F324" s="4" t="s">
        <v>284</v>
      </c>
      <c r="G324" s="4" t="s">
        <v>204</v>
      </c>
      <c r="H324" s="4" t="s">
        <v>76</v>
      </c>
      <c r="I324" s="3"/>
      <c r="J324" s="3"/>
      <c r="K324" s="3"/>
      <c r="L324" s="3"/>
      <c r="M324" s="3"/>
      <c r="N324" s="3"/>
      <c r="O324" s="3"/>
      <c r="P324" s="8"/>
      <c r="Q324" s="8"/>
      <c r="R324" s="3"/>
      <c r="S324" s="3"/>
      <c r="T324" s="3"/>
      <c r="U324" s="5" t="str">
        <f t="shared" si="19"/>
        <v/>
      </c>
    </row>
    <row r="325" spans="1:21" ht="28" customHeight="1" x14ac:dyDescent="0.35">
      <c r="A325" s="4">
        <v>7</v>
      </c>
      <c r="B325" s="4" t="s">
        <v>456</v>
      </c>
      <c r="C325" s="4" t="s">
        <v>457</v>
      </c>
      <c r="D325" s="4" t="s">
        <v>458</v>
      </c>
      <c r="E325" s="4" t="s">
        <v>69</v>
      </c>
      <c r="F325" s="4" t="s">
        <v>459</v>
      </c>
      <c r="G325" s="4" t="s">
        <v>209</v>
      </c>
      <c r="H325" s="4" t="s">
        <v>59</v>
      </c>
      <c r="I325" s="3"/>
      <c r="J325" s="3"/>
      <c r="K325" s="3"/>
      <c r="L325" s="3"/>
      <c r="M325" s="3"/>
      <c r="N325" s="3"/>
      <c r="O325" s="3"/>
      <c r="P325" s="8"/>
      <c r="Q325" s="8"/>
      <c r="R325" s="3"/>
      <c r="S325" s="3"/>
      <c r="T325" s="3"/>
      <c r="U325" s="5" t="str">
        <f t="shared" si="19"/>
        <v/>
      </c>
    </row>
    <row r="326" spans="1:21" ht="28" customHeight="1" x14ac:dyDescent="0.35">
      <c r="A326" s="4">
        <v>8</v>
      </c>
      <c r="B326" s="4" t="s">
        <v>460</v>
      </c>
      <c r="C326" s="4" t="s">
        <v>461</v>
      </c>
      <c r="D326" s="4" t="s">
        <v>462</v>
      </c>
      <c r="E326" s="4" t="s">
        <v>69</v>
      </c>
      <c r="F326" s="4" t="s">
        <v>95</v>
      </c>
      <c r="G326" s="4" t="s">
        <v>102</v>
      </c>
      <c r="H326" s="4" t="s">
        <v>59</v>
      </c>
      <c r="I326" s="3"/>
      <c r="J326" s="3"/>
      <c r="K326" s="3"/>
      <c r="L326" s="3"/>
      <c r="M326" s="3"/>
      <c r="N326" s="3"/>
      <c r="O326" s="3"/>
      <c r="P326" s="8"/>
      <c r="Q326" s="8"/>
      <c r="R326" s="3"/>
      <c r="S326" s="3"/>
      <c r="T326" s="3"/>
      <c r="U326" s="5" t="str">
        <f t="shared" si="19"/>
        <v/>
      </c>
    </row>
    <row r="327" spans="1:21" ht="28" customHeight="1" x14ac:dyDescent="0.35">
      <c r="A327" s="4">
        <v>9</v>
      </c>
      <c r="B327" s="4" t="s">
        <v>97</v>
      </c>
      <c r="C327" s="4" t="s">
        <v>98</v>
      </c>
      <c r="D327" s="4" t="s">
        <v>99</v>
      </c>
      <c r="E327" s="4" t="s">
        <v>69</v>
      </c>
      <c r="F327" s="4" t="s">
        <v>95</v>
      </c>
      <c r="G327" s="4" t="s">
        <v>96</v>
      </c>
      <c r="H327" s="4" t="s">
        <v>59</v>
      </c>
      <c r="I327" s="3"/>
      <c r="J327" s="3"/>
      <c r="K327" s="3"/>
      <c r="L327" s="3"/>
      <c r="M327" s="3"/>
      <c r="N327" s="3"/>
      <c r="O327" s="3"/>
      <c r="P327" s="8"/>
      <c r="Q327" s="8"/>
      <c r="R327" s="3"/>
      <c r="S327" s="3"/>
      <c r="T327" s="3"/>
      <c r="U327" s="5" t="str">
        <f t="shared" si="19"/>
        <v/>
      </c>
    </row>
    <row r="328" spans="1:21" ht="28" customHeight="1" x14ac:dyDescent="0.35">
      <c r="A328" s="4">
        <v>10</v>
      </c>
      <c r="B328" s="4" t="s">
        <v>97</v>
      </c>
      <c r="C328" s="4" t="s">
        <v>100</v>
      </c>
      <c r="D328" s="4" t="s">
        <v>101</v>
      </c>
      <c r="E328" s="4" t="s">
        <v>69</v>
      </c>
      <c r="F328" s="4" t="s">
        <v>95</v>
      </c>
      <c r="G328" s="4" t="s">
        <v>102</v>
      </c>
      <c r="H328" s="4" t="s">
        <v>59</v>
      </c>
      <c r="I328" s="3"/>
      <c r="J328" s="3"/>
      <c r="K328" s="3"/>
      <c r="L328" s="3"/>
      <c r="M328" s="3"/>
      <c r="N328" s="3"/>
      <c r="O328" s="3"/>
      <c r="P328" s="8"/>
      <c r="Q328" s="8"/>
      <c r="R328" s="3"/>
      <c r="S328" s="3"/>
      <c r="T328" s="3"/>
      <c r="U328" s="5" t="str">
        <f t="shared" si="19"/>
        <v/>
      </c>
    </row>
    <row r="329" spans="1:21" ht="28" customHeight="1" x14ac:dyDescent="0.35">
      <c r="A329" s="4">
        <v>11</v>
      </c>
      <c r="B329" s="4" t="s">
        <v>103</v>
      </c>
      <c r="C329" s="4" t="s">
        <v>104</v>
      </c>
      <c r="D329" s="4" t="s">
        <v>105</v>
      </c>
      <c r="E329" s="4" t="s">
        <v>69</v>
      </c>
      <c r="F329" s="4" t="s">
        <v>95</v>
      </c>
      <c r="G329" s="4" t="s">
        <v>96</v>
      </c>
      <c r="H329" s="4" t="s">
        <v>85</v>
      </c>
      <c r="I329" s="3"/>
      <c r="J329" s="3"/>
      <c r="K329" s="3"/>
      <c r="L329" s="3"/>
      <c r="M329" s="3"/>
      <c r="N329" s="3"/>
      <c r="O329" s="3"/>
      <c r="P329" s="8"/>
      <c r="Q329" s="8"/>
      <c r="R329" s="3"/>
      <c r="S329" s="3"/>
      <c r="T329" s="3"/>
      <c r="U329" s="5" t="str">
        <f t="shared" si="19"/>
        <v/>
      </c>
    </row>
    <row r="330" spans="1:21" ht="28" customHeight="1" x14ac:dyDescent="0.35">
      <c r="A330" s="4">
        <v>12</v>
      </c>
      <c r="B330" s="4" t="s">
        <v>106</v>
      </c>
      <c r="C330" s="4" t="s">
        <v>107</v>
      </c>
      <c r="D330" s="4" t="s">
        <v>108</v>
      </c>
      <c r="E330" s="4" t="s">
        <v>109</v>
      </c>
      <c r="F330" s="4" t="s">
        <v>95</v>
      </c>
      <c r="G330" s="4" t="s">
        <v>96</v>
      </c>
      <c r="H330" s="4" t="s">
        <v>59</v>
      </c>
      <c r="I330" s="3"/>
      <c r="J330" s="3"/>
      <c r="K330" s="3"/>
      <c r="L330" s="3"/>
      <c r="M330" s="3"/>
      <c r="N330" s="3"/>
      <c r="O330" s="3"/>
      <c r="P330" s="8"/>
      <c r="Q330" s="8"/>
      <c r="R330" s="3"/>
      <c r="S330" s="3"/>
      <c r="T330" s="3"/>
      <c r="U330" s="5" t="str">
        <f t="shared" si="19"/>
        <v/>
      </c>
    </row>
    <row r="332" spans="1:21" ht="28" customHeight="1" x14ac:dyDescent="0.35">
      <c r="A332" s="9" t="s">
        <v>110</v>
      </c>
      <c r="B332" s="16"/>
      <c r="C332" s="17"/>
      <c r="D332" s="17"/>
      <c r="E332" s="17"/>
      <c r="F332" s="17"/>
      <c r="G332" s="17"/>
      <c r="H332" s="17"/>
      <c r="I332" s="17"/>
      <c r="J332" s="17"/>
      <c r="K332" s="17"/>
      <c r="L332" s="17"/>
      <c r="M332" s="17"/>
      <c r="N332" s="17"/>
      <c r="O332" s="17"/>
      <c r="P332" s="17"/>
      <c r="Q332" s="17"/>
      <c r="R332" s="17"/>
      <c r="S332" s="17"/>
      <c r="T332" s="17"/>
      <c r="U332" s="18"/>
    </row>
    <row r="333" spans="1:21" ht="28" customHeight="1" x14ac:dyDescent="0.35">
      <c r="A333" s="19" t="s">
        <v>478</v>
      </c>
      <c r="B333" s="20"/>
      <c r="C333" s="20"/>
      <c r="D333" s="20"/>
      <c r="E333" s="20"/>
      <c r="F333" s="20"/>
      <c r="G333" s="20"/>
      <c r="H333" s="20"/>
      <c r="I333" s="20"/>
      <c r="J333" s="20"/>
      <c r="K333" s="20"/>
      <c r="L333" s="20"/>
      <c r="M333" s="20"/>
      <c r="N333" s="20"/>
      <c r="O333" s="20"/>
      <c r="P333" s="20"/>
      <c r="Q333" s="20"/>
      <c r="R333" s="20"/>
      <c r="S333" s="20"/>
      <c r="T333" s="20"/>
      <c r="U333" s="21"/>
    </row>
    <row r="334" spans="1:21" ht="28" customHeight="1" x14ac:dyDescent="0.35">
      <c r="A334" s="4" t="s">
        <v>31</v>
      </c>
      <c r="B334" s="3" t="s">
        <v>233</v>
      </c>
      <c r="C334" s="4" t="s">
        <v>32</v>
      </c>
      <c r="D334" s="3"/>
      <c r="E334" s="4" t="s">
        <v>33</v>
      </c>
      <c r="F334" s="8"/>
    </row>
    <row r="335" spans="1:21" ht="28" customHeight="1" x14ac:dyDescent="0.35">
      <c r="A335" s="1" t="s">
        <v>34</v>
      </c>
      <c r="B335" s="1" t="s">
        <v>35</v>
      </c>
      <c r="C335" s="1" t="s">
        <v>36</v>
      </c>
      <c r="D335" s="1" t="s">
        <v>37</v>
      </c>
      <c r="E335" s="1" t="s">
        <v>38</v>
      </c>
      <c r="F335" s="1" t="s">
        <v>39</v>
      </c>
      <c r="G335" s="1" t="s">
        <v>40</v>
      </c>
      <c r="H335" s="1" t="s">
        <v>41</v>
      </c>
      <c r="I335" s="1" t="s">
        <v>42</v>
      </c>
      <c r="J335" s="1" t="s">
        <v>43</v>
      </c>
      <c r="K335" s="1" t="s">
        <v>44</v>
      </c>
      <c r="L335" s="1" t="s">
        <v>45</v>
      </c>
      <c r="M335" s="1" t="s">
        <v>46</v>
      </c>
      <c r="N335" s="1" t="s">
        <v>47</v>
      </c>
      <c r="O335" s="1" t="s">
        <v>48</v>
      </c>
      <c r="P335" s="1" t="s">
        <v>4</v>
      </c>
      <c r="Q335" s="1" t="s">
        <v>49</v>
      </c>
      <c r="R335" s="1" t="s">
        <v>50</v>
      </c>
      <c r="S335" s="1" t="s">
        <v>51</v>
      </c>
      <c r="T335" s="1" t="s">
        <v>52</v>
      </c>
      <c r="U335" s="1" t="s">
        <v>10</v>
      </c>
    </row>
    <row r="336" spans="1:21" ht="28" customHeight="1" x14ac:dyDescent="0.35">
      <c r="A336" s="4">
        <v>1</v>
      </c>
      <c r="B336" s="4" t="s">
        <v>439</v>
      </c>
      <c r="C336" s="4" t="s">
        <v>440</v>
      </c>
      <c r="D336" s="4" t="s">
        <v>441</v>
      </c>
      <c r="E336" s="4" t="s">
        <v>69</v>
      </c>
      <c r="F336" s="4" t="s">
        <v>370</v>
      </c>
      <c r="G336" s="4" t="s">
        <v>204</v>
      </c>
      <c r="H336" s="4" t="s">
        <v>59</v>
      </c>
      <c r="I336" s="3"/>
      <c r="J336" s="3"/>
      <c r="K336" s="3"/>
      <c r="L336" s="3"/>
      <c r="M336" s="3"/>
      <c r="N336" s="3"/>
      <c r="O336" s="3"/>
      <c r="P336" s="8"/>
      <c r="Q336" s="8"/>
      <c r="R336" s="3"/>
      <c r="S336" s="3"/>
      <c r="T336" s="3"/>
      <c r="U336" s="5" t="str">
        <f t="shared" ref="U336:U347" si="20">IF(I336="","",IF(I336="NA","Grey",IF(I336=2,"Green",IF(I336=1,"Amber","Red"))))</f>
        <v/>
      </c>
    </row>
    <row r="337" spans="1:21" ht="28" customHeight="1" x14ac:dyDescent="0.35">
      <c r="A337" s="4">
        <v>2</v>
      </c>
      <c r="B337" s="4" t="s">
        <v>442</v>
      </c>
      <c r="C337" s="4" t="s">
        <v>443</v>
      </c>
      <c r="D337" s="4" t="s">
        <v>444</v>
      </c>
      <c r="E337" s="4" t="s">
        <v>69</v>
      </c>
      <c r="F337" s="4" t="s">
        <v>95</v>
      </c>
      <c r="G337" s="4" t="s">
        <v>102</v>
      </c>
      <c r="H337" s="4" t="s">
        <v>59</v>
      </c>
      <c r="I337" s="3"/>
      <c r="J337" s="3"/>
      <c r="K337" s="3"/>
      <c r="L337" s="3"/>
      <c r="M337" s="3"/>
      <c r="N337" s="3"/>
      <c r="O337" s="3"/>
      <c r="P337" s="8"/>
      <c r="Q337" s="8"/>
      <c r="R337" s="3"/>
      <c r="S337" s="3"/>
      <c r="T337" s="3"/>
      <c r="U337" s="5" t="str">
        <f t="shared" si="20"/>
        <v/>
      </c>
    </row>
    <row r="338" spans="1:21" ht="28" customHeight="1" x14ac:dyDescent="0.35">
      <c r="A338" s="4">
        <v>3</v>
      </c>
      <c r="B338" s="4" t="s">
        <v>445</v>
      </c>
      <c r="C338" s="4" t="s">
        <v>446</v>
      </c>
      <c r="D338" s="4" t="s">
        <v>369</v>
      </c>
      <c r="E338" s="4" t="s">
        <v>69</v>
      </c>
      <c r="F338" s="4" t="s">
        <v>370</v>
      </c>
      <c r="G338" s="4" t="s">
        <v>204</v>
      </c>
      <c r="H338" s="4" t="s">
        <v>76</v>
      </c>
      <c r="I338" s="3"/>
      <c r="J338" s="3"/>
      <c r="K338" s="3"/>
      <c r="L338" s="3"/>
      <c r="M338" s="3"/>
      <c r="N338" s="3"/>
      <c r="O338" s="3"/>
      <c r="P338" s="8"/>
      <c r="Q338" s="8"/>
      <c r="R338" s="3"/>
      <c r="S338" s="3"/>
      <c r="T338" s="3"/>
      <c r="U338" s="5" t="str">
        <f t="shared" si="20"/>
        <v/>
      </c>
    </row>
    <row r="339" spans="1:21" ht="28" customHeight="1" x14ac:dyDescent="0.35">
      <c r="A339" s="4">
        <v>4</v>
      </c>
      <c r="B339" s="4" t="s">
        <v>447</v>
      </c>
      <c r="C339" s="4" t="s">
        <v>448</v>
      </c>
      <c r="D339" s="4" t="s">
        <v>449</v>
      </c>
      <c r="E339" s="4" t="s">
        <v>109</v>
      </c>
      <c r="F339" s="4" t="s">
        <v>276</v>
      </c>
      <c r="G339" s="4" t="s">
        <v>199</v>
      </c>
      <c r="H339" s="4" t="s">
        <v>59</v>
      </c>
      <c r="I339" s="3"/>
      <c r="J339" s="3"/>
      <c r="K339" s="3"/>
      <c r="L339" s="3"/>
      <c r="M339" s="3"/>
      <c r="N339" s="3"/>
      <c r="O339" s="3"/>
      <c r="P339" s="8"/>
      <c r="Q339" s="8"/>
      <c r="R339" s="3"/>
      <c r="S339" s="3"/>
      <c r="T339" s="3"/>
      <c r="U339" s="5" t="str">
        <f t="shared" si="20"/>
        <v/>
      </c>
    </row>
    <row r="340" spans="1:21" ht="28" customHeight="1" x14ac:dyDescent="0.35">
      <c r="A340" s="4">
        <v>5</v>
      </c>
      <c r="B340" s="4" t="s">
        <v>450</v>
      </c>
      <c r="C340" s="4" t="s">
        <v>451</v>
      </c>
      <c r="D340" s="4" t="s">
        <v>452</v>
      </c>
      <c r="E340" s="4" t="s">
        <v>69</v>
      </c>
      <c r="F340" s="4" t="s">
        <v>276</v>
      </c>
      <c r="G340" s="4" t="s">
        <v>199</v>
      </c>
      <c r="H340" s="4" t="s">
        <v>59</v>
      </c>
      <c r="I340" s="3"/>
      <c r="J340" s="3"/>
      <c r="K340" s="3"/>
      <c r="L340" s="3"/>
      <c r="M340" s="3"/>
      <c r="N340" s="3"/>
      <c r="O340" s="3"/>
      <c r="P340" s="8"/>
      <c r="Q340" s="8"/>
      <c r="R340" s="3"/>
      <c r="S340" s="3"/>
      <c r="T340" s="3"/>
      <c r="U340" s="5" t="str">
        <f t="shared" si="20"/>
        <v/>
      </c>
    </row>
    <row r="341" spans="1:21" ht="28" customHeight="1" x14ac:dyDescent="0.35">
      <c r="A341" s="4">
        <v>6</v>
      </c>
      <c r="B341" s="4" t="s">
        <v>453</v>
      </c>
      <c r="C341" s="4" t="s">
        <v>454</v>
      </c>
      <c r="D341" s="4" t="s">
        <v>455</v>
      </c>
      <c r="E341" s="4" t="s">
        <v>69</v>
      </c>
      <c r="F341" s="4" t="s">
        <v>284</v>
      </c>
      <c r="G341" s="4" t="s">
        <v>204</v>
      </c>
      <c r="H341" s="4" t="s">
        <v>76</v>
      </c>
      <c r="I341" s="3"/>
      <c r="J341" s="3"/>
      <c r="K341" s="3"/>
      <c r="L341" s="3"/>
      <c r="M341" s="3"/>
      <c r="N341" s="3"/>
      <c r="O341" s="3"/>
      <c r="P341" s="8"/>
      <c r="Q341" s="8"/>
      <c r="R341" s="3"/>
      <c r="S341" s="3"/>
      <c r="T341" s="3"/>
      <c r="U341" s="5" t="str">
        <f t="shared" si="20"/>
        <v/>
      </c>
    </row>
    <row r="342" spans="1:21" ht="28" customHeight="1" x14ac:dyDescent="0.35">
      <c r="A342" s="4">
        <v>7</v>
      </c>
      <c r="B342" s="4" t="s">
        <v>456</v>
      </c>
      <c r="C342" s="4" t="s">
        <v>457</v>
      </c>
      <c r="D342" s="4" t="s">
        <v>458</v>
      </c>
      <c r="E342" s="4" t="s">
        <v>69</v>
      </c>
      <c r="F342" s="4" t="s">
        <v>459</v>
      </c>
      <c r="G342" s="4" t="s">
        <v>209</v>
      </c>
      <c r="H342" s="4" t="s">
        <v>59</v>
      </c>
      <c r="I342" s="3"/>
      <c r="J342" s="3"/>
      <c r="K342" s="3"/>
      <c r="L342" s="3"/>
      <c r="M342" s="3"/>
      <c r="N342" s="3"/>
      <c r="O342" s="3"/>
      <c r="P342" s="8"/>
      <c r="Q342" s="8"/>
      <c r="R342" s="3"/>
      <c r="S342" s="3"/>
      <c r="T342" s="3"/>
      <c r="U342" s="5" t="str">
        <f t="shared" si="20"/>
        <v/>
      </c>
    </row>
    <row r="343" spans="1:21" ht="28" customHeight="1" x14ac:dyDescent="0.35">
      <c r="A343" s="4">
        <v>8</v>
      </c>
      <c r="B343" s="4" t="s">
        <v>460</v>
      </c>
      <c r="C343" s="4" t="s">
        <v>461</v>
      </c>
      <c r="D343" s="4" t="s">
        <v>462</v>
      </c>
      <c r="E343" s="4" t="s">
        <v>69</v>
      </c>
      <c r="F343" s="4" t="s">
        <v>95</v>
      </c>
      <c r="G343" s="4" t="s">
        <v>102</v>
      </c>
      <c r="H343" s="4" t="s">
        <v>59</v>
      </c>
      <c r="I343" s="3"/>
      <c r="J343" s="3"/>
      <c r="K343" s="3"/>
      <c r="L343" s="3"/>
      <c r="M343" s="3"/>
      <c r="N343" s="3"/>
      <c r="O343" s="3"/>
      <c r="P343" s="8"/>
      <c r="Q343" s="8"/>
      <c r="R343" s="3"/>
      <c r="S343" s="3"/>
      <c r="T343" s="3"/>
      <c r="U343" s="5" t="str">
        <f t="shared" si="20"/>
        <v/>
      </c>
    </row>
    <row r="344" spans="1:21" ht="28" customHeight="1" x14ac:dyDescent="0.35">
      <c r="A344" s="4">
        <v>9</v>
      </c>
      <c r="B344" s="4" t="s">
        <v>97</v>
      </c>
      <c r="C344" s="4" t="s">
        <v>98</v>
      </c>
      <c r="D344" s="4" t="s">
        <v>99</v>
      </c>
      <c r="E344" s="4" t="s">
        <v>69</v>
      </c>
      <c r="F344" s="4" t="s">
        <v>95</v>
      </c>
      <c r="G344" s="4" t="s">
        <v>96</v>
      </c>
      <c r="H344" s="4" t="s">
        <v>59</v>
      </c>
      <c r="I344" s="3"/>
      <c r="J344" s="3"/>
      <c r="K344" s="3"/>
      <c r="L344" s="3"/>
      <c r="M344" s="3"/>
      <c r="N344" s="3"/>
      <c r="O344" s="3"/>
      <c r="P344" s="8"/>
      <c r="Q344" s="8"/>
      <c r="R344" s="3"/>
      <c r="S344" s="3"/>
      <c r="T344" s="3"/>
      <c r="U344" s="5" t="str">
        <f t="shared" si="20"/>
        <v/>
      </c>
    </row>
    <row r="345" spans="1:21" ht="28" customHeight="1" x14ac:dyDescent="0.35">
      <c r="A345" s="4">
        <v>10</v>
      </c>
      <c r="B345" s="4" t="s">
        <v>97</v>
      </c>
      <c r="C345" s="4" t="s">
        <v>100</v>
      </c>
      <c r="D345" s="4" t="s">
        <v>101</v>
      </c>
      <c r="E345" s="4" t="s">
        <v>69</v>
      </c>
      <c r="F345" s="4" t="s">
        <v>95</v>
      </c>
      <c r="G345" s="4" t="s">
        <v>102</v>
      </c>
      <c r="H345" s="4" t="s">
        <v>59</v>
      </c>
      <c r="I345" s="3"/>
      <c r="J345" s="3"/>
      <c r="K345" s="3"/>
      <c r="L345" s="3"/>
      <c r="M345" s="3"/>
      <c r="N345" s="3"/>
      <c r="O345" s="3"/>
      <c r="P345" s="8"/>
      <c r="Q345" s="8"/>
      <c r="R345" s="3"/>
      <c r="S345" s="3"/>
      <c r="T345" s="3"/>
      <c r="U345" s="5" t="str">
        <f t="shared" si="20"/>
        <v/>
      </c>
    </row>
    <row r="346" spans="1:21" ht="28" customHeight="1" x14ac:dyDescent="0.35">
      <c r="A346" s="4">
        <v>11</v>
      </c>
      <c r="B346" s="4" t="s">
        <v>103</v>
      </c>
      <c r="C346" s="4" t="s">
        <v>104</v>
      </c>
      <c r="D346" s="4" t="s">
        <v>105</v>
      </c>
      <c r="E346" s="4" t="s">
        <v>69</v>
      </c>
      <c r="F346" s="4" t="s">
        <v>95</v>
      </c>
      <c r="G346" s="4" t="s">
        <v>96</v>
      </c>
      <c r="H346" s="4" t="s">
        <v>85</v>
      </c>
      <c r="I346" s="3"/>
      <c r="J346" s="3"/>
      <c r="K346" s="3"/>
      <c r="L346" s="3"/>
      <c r="M346" s="3"/>
      <c r="N346" s="3"/>
      <c r="O346" s="3"/>
      <c r="P346" s="8"/>
      <c r="Q346" s="8"/>
      <c r="R346" s="3"/>
      <c r="S346" s="3"/>
      <c r="T346" s="3"/>
      <c r="U346" s="5" t="str">
        <f t="shared" si="20"/>
        <v/>
      </c>
    </row>
    <row r="347" spans="1:21" ht="28" customHeight="1" x14ac:dyDescent="0.35">
      <c r="A347" s="4">
        <v>12</v>
      </c>
      <c r="B347" s="4" t="s">
        <v>106</v>
      </c>
      <c r="C347" s="4" t="s">
        <v>107</v>
      </c>
      <c r="D347" s="4" t="s">
        <v>108</v>
      </c>
      <c r="E347" s="4" t="s">
        <v>109</v>
      </c>
      <c r="F347" s="4" t="s">
        <v>95</v>
      </c>
      <c r="G347" s="4" t="s">
        <v>96</v>
      </c>
      <c r="H347" s="4" t="s">
        <v>59</v>
      </c>
      <c r="I347" s="3"/>
      <c r="J347" s="3"/>
      <c r="K347" s="3"/>
      <c r="L347" s="3"/>
      <c r="M347" s="3"/>
      <c r="N347" s="3"/>
      <c r="O347" s="3"/>
      <c r="P347" s="8"/>
      <c r="Q347" s="8"/>
      <c r="R347" s="3"/>
      <c r="S347" s="3"/>
      <c r="T347" s="3"/>
      <c r="U347" s="5" t="str">
        <f t="shared" si="20"/>
        <v/>
      </c>
    </row>
    <row r="349" spans="1:21" ht="28" customHeight="1" x14ac:dyDescent="0.35">
      <c r="A349" s="9" t="s">
        <v>110</v>
      </c>
      <c r="B349" s="16"/>
      <c r="C349" s="17"/>
      <c r="D349" s="17"/>
      <c r="E349" s="17"/>
      <c r="F349" s="17"/>
      <c r="G349" s="17"/>
      <c r="H349" s="17"/>
      <c r="I349" s="17"/>
      <c r="J349" s="17"/>
      <c r="K349" s="17"/>
      <c r="L349" s="17"/>
      <c r="M349" s="17"/>
      <c r="N349" s="17"/>
      <c r="O349" s="17"/>
      <c r="P349" s="17"/>
      <c r="Q349" s="17"/>
      <c r="R349" s="17"/>
      <c r="S349" s="17"/>
      <c r="T349" s="17"/>
      <c r="U349" s="18"/>
    </row>
    <row r="350" spans="1:21" ht="28" customHeight="1" x14ac:dyDescent="0.35">
      <c r="A350" s="19" t="s">
        <v>479</v>
      </c>
      <c r="B350" s="20"/>
      <c r="C350" s="20"/>
      <c r="D350" s="20"/>
      <c r="E350" s="20"/>
      <c r="F350" s="20"/>
      <c r="G350" s="20"/>
      <c r="H350" s="20"/>
      <c r="I350" s="20"/>
      <c r="J350" s="20"/>
      <c r="K350" s="20"/>
      <c r="L350" s="20"/>
      <c r="M350" s="20"/>
      <c r="N350" s="20"/>
      <c r="O350" s="20"/>
      <c r="P350" s="20"/>
      <c r="Q350" s="20"/>
      <c r="R350" s="20"/>
      <c r="S350" s="20"/>
      <c r="T350" s="20"/>
      <c r="U350" s="21"/>
    </row>
    <row r="351" spans="1:21" ht="28" customHeight="1" x14ac:dyDescent="0.35">
      <c r="A351" s="4" t="s">
        <v>31</v>
      </c>
      <c r="B351" s="3" t="s">
        <v>234</v>
      </c>
      <c r="C351" s="4" t="s">
        <v>32</v>
      </c>
      <c r="D351" s="3"/>
      <c r="E351" s="4" t="s">
        <v>33</v>
      </c>
      <c r="F351" s="8"/>
    </row>
    <row r="352" spans="1:21" ht="28" customHeight="1" x14ac:dyDescent="0.35">
      <c r="A352" s="1" t="s">
        <v>34</v>
      </c>
      <c r="B352" s="1" t="s">
        <v>35</v>
      </c>
      <c r="C352" s="1" t="s">
        <v>36</v>
      </c>
      <c r="D352" s="1" t="s">
        <v>37</v>
      </c>
      <c r="E352" s="1" t="s">
        <v>38</v>
      </c>
      <c r="F352" s="1" t="s">
        <v>39</v>
      </c>
      <c r="G352" s="1" t="s">
        <v>40</v>
      </c>
      <c r="H352" s="1" t="s">
        <v>41</v>
      </c>
      <c r="I352" s="1" t="s">
        <v>42</v>
      </c>
      <c r="J352" s="1" t="s">
        <v>43</v>
      </c>
      <c r="K352" s="1" t="s">
        <v>44</v>
      </c>
      <c r="L352" s="1" t="s">
        <v>45</v>
      </c>
      <c r="M352" s="1" t="s">
        <v>46</v>
      </c>
      <c r="N352" s="1" t="s">
        <v>47</v>
      </c>
      <c r="O352" s="1" t="s">
        <v>48</v>
      </c>
      <c r="P352" s="1" t="s">
        <v>4</v>
      </c>
      <c r="Q352" s="1" t="s">
        <v>49</v>
      </c>
      <c r="R352" s="1" t="s">
        <v>50</v>
      </c>
      <c r="S352" s="1" t="s">
        <v>51</v>
      </c>
      <c r="T352" s="1" t="s">
        <v>52</v>
      </c>
      <c r="U352" s="1" t="s">
        <v>10</v>
      </c>
    </row>
    <row r="353" spans="1:21" ht="28" customHeight="1" x14ac:dyDescent="0.35">
      <c r="A353" s="4">
        <v>1</v>
      </c>
      <c r="B353" s="4" t="s">
        <v>439</v>
      </c>
      <c r="C353" s="4" t="s">
        <v>440</v>
      </c>
      <c r="D353" s="4" t="s">
        <v>441</v>
      </c>
      <c r="E353" s="4" t="s">
        <v>69</v>
      </c>
      <c r="F353" s="4" t="s">
        <v>370</v>
      </c>
      <c r="G353" s="4" t="s">
        <v>204</v>
      </c>
      <c r="H353" s="4" t="s">
        <v>59</v>
      </c>
      <c r="I353" s="3"/>
      <c r="J353" s="3"/>
      <c r="K353" s="3"/>
      <c r="L353" s="3"/>
      <c r="M353" s="3"/>
      <c r="N353" s="3"/>
      <c r="O353" s="3"/>
      <c r="P353" s="8"/>
      <c r="Q353" s="8"/>
      <c r="R353" s="3"/>
      <c r="S353" s="3"/>
      <c r="T353" s="3"/>
      <c r="U353" s="5" t="str">
        <f t="shared" ref="U353:U364" si="21">IF(I353="","",IF(I353="NA","Grey",IF(I353=2,"Green",IF(I353=1,"Amber","Red"))))</f>
        <v/>
      </c>
    </row>
    <row r="354" spans="1:21" ht="28" customHeight="1" x14ac:dyDescent="0.35">
      <c r="A354" s="4">
        <v>2</v>
      </c>
      <c r="B354" s="4" t="s">
        <v>442</v>
      </c>
      <c r="C354" s="4" t="s">
        <v>443</v>
      </c>
      <c r="D354" s="4" t="s">
        <v>444</v>
      </c>
      <c r="E354" s="4" t="s">
        <v>69</v>
      </c>
      <c r="F354" s="4" t="s">
        <v>95</v>
      </c>
      <c r="G354" s="4" t="s">
        <v>102</v>
      </c>
      <c r="H354" s="4" t="s">
        <v>59</v>
      </c>
      <c r="I354" s="3"/>
      <c r="J354" s="3"/>
      <c r="K354" s="3"/>
      <c r="L354" s="3"/>
      <c r="M354" s="3"/>
      <c r="N354" s="3"/>
      <c r="O354" s="3"/>
      <c r="P354" s="8"/>
      <c r="Q354" s="8"/>
      <c r="R354" s="3"/>
      <c r="S354" s="3"/>
      <c r="T354" s="3"/>
      <c r="U354" s="5" t="str">
        <f t="shared" si="21"/>
        <v/>
      </c>
    </row>
    <row r="355" spans="1:21" ht="28" customHeight="1" x14ac:dyDescent="0.35">
      <c r="A355" s="4">
        <v>3</v>
      </c>
      <c r="B355" s="4" t="s">
        <v>445</v>
      </c>
      <c r="C355" s="4" t="s">
        <v>446</v>
      </c>
      <c r="D355" s="4" t="s">
        <v>369</v>
      </c>
      <c r="E355" s="4" t="s">
        <v>69</v>
      </c>
      <c r="F355" s="4" t="s">
        <v>370</v>
      </c>
      <c r="G355" s="4" t="s">
        <v>204</v>
      </c>
      <c r="H355" s="4" t="s">
        <v>76</v>
      </c>
      <c r="I355" s="3"/>
      <c r="J355" s="3"/>
      <c r="K355" s="3"/>
      <c r="L355" s="3"/>
      <c r="M355" s="3"/>
      <c r="N355" s="3"/>
      <c r="O355" s="3"/>
      <c r="P355" s="8"/>
      <c r="Q355" s="8"/>
      <c r="R355" s="3"/>
      <c r="S355" s="3"/>
      <c r="T355" s="3"/>
      <c r="U355" s="5" t="str">
        <f t="shared" si="21"/>
        <v/>
      </c>
    </row>
    <row r="356" spans="1:21" ht="28" customHeight="1" x14ac:dyDescent="0.35">
      <c r="A356" s="4">
        <v>4</v>
      </c>
      <c r="B356" s="4" t="s">
        <v>447</v>
      </c>
      <c r="C356" s="4" t="s">
        <v>448</v>
      </c>
      <c r="D356" s="4" t="s">
        <v>449</v>
      </c>
      <c r="E356" s="4" t="s">
        <v>109</v>
      </c>
      <c r="F356" s="4" t="s">
        <v>276</v>
      </c>
      <c r="G356" s="4" t="s">
        <v>199</v>
      </c>
      <c r="H356" s="4" t="s">
        <v>59</v>
      </c>
      <c r="I356" s="3"/>
      <c r="J356" s="3"/>
      <c r="K356" s="3"/>
      <c r="L356" s="3"/>
      <c r="M356" s="3"/>
      <c r="N356" s="3"/>
      <c r="O356" s="3"/>
      <c r="P356" s="8"/>
      <c r="Q356" s="8"/>
      <c r="R356" s="3"/>
      <c r="S356" s="3"/>
      <c r="T356" s="3"/>
      <c r="U356" s="5" t="str">
        <f t="shared" si="21"/>
        <v/>
      </c>
    </row>
    <row r="357" spans="1:21" ht="28" customHeight="1" x14ac:dyDescent="0.35">
      <c r="A357" s="4">
        <v>5</v>
      </c>
      <c r="B357" s="4" t="s">
        <v>450</v>
      </c>
      <c r="C357" s="4" t="s">
        <v>451</v>
      </c>
      <c r="D357" s="4" t="s">
        <v>452</v>
      </c>
      <c r="E357" s="4" t="s">
        <v>69</v>
      </c>
      <c r="F357" s="4" t="s">
        <v>276</v>
      </c>
      <c r="G357" s="4" t="s">
        <v>199</v>
      </c>
      <c r="H357" s="4" t="s">
        <v>59</v>
      </c>
      <c r="I357" s="3"/>
      <c r="J357" s="3"/>
      <c r="K357" s="3"/>
      <c r="L357" s="3"/>
      <c r="M357" s="3"/>
      <c r="N357" s="3"/>
      <c r="O357" s="3"/>
      <c r="P357" s="8"/>
      <c r="Q357" s="8"/>
      <c r="R357" s="3"/>
      <c r="S357" s="3"/>
      <c r="T357" s="3"/>
      <c r="U357" s="5" t="str">
        <f t="shared" si="21"/>
        <v/>
      </c>
    </row>
    <row r="358" spans="1:21" ht="28" customHeight="1" x14ac:dyDescent="0.35">
      <c r="A358" s="4">
        <v>6</v>
      </c>
      <c r="B358" s="4" t="s">
        <v>453</v>
      </c>
      <c r="C358" s="4" t="s">
        <v>454</v>
      </c>
      <c r="D358" s="4" t="s">
        <v>455</v>
      </c>
      <c r="E358" s="4" t="s">
        <v>69</v>
      </c>
      <c r="F358" s="4" t="s">
        <v>284</v>
      </c>
      <c r="G358" s="4" t="s">
        <v>204</v>
      </c>
      <c r="H358" s="4" t="s">
        <v>76</v>
      </c>
      <c r="I358" s="3"/>
      <c r="J358" s="3"/>
      <c r="K358" s="3"/>
      <c r="L358" s="3"/>
      <c r="M358" s="3"/>
      <c r="N358" s="3"/>
      <c r="O358" s="3"/>
      <c r="P358" s="8"/>
      <c r="Q358" s="8"/>
      <c r="R358" s="3"/>
      <c r="S358" s="3"/>
      <c r="T358" s="3"/>
      <c r="U358" s="5" t="str">
        <f t="shared" si="21"/>
        <v/>
      </c>
    </row>
    <row r="359" spans="1:21" ht="28" customHeight="1" x14ac:dyDescent="0.35">
      <c r="A359" s="4">
        <v>7</v>
      </c>
      <c r="B359" s="4" t="s">
        <v>456</v>
      </c>
      <c r="C359" s="4" t="s">
        <v>457</v>
      </c>
      <c r="D359" s="4" t="s">
        <v>458</v>
      </c>
      <c r="E359" s="4" t="s">
        <v>69</v>
      </c>
      <c r="F359" s="4" t="s">
        <v>459</v>
      </c>
      <c r="G359" s="4" t="s">
        <v>209</v>
      </c>
      <c r="H359" s="4" t="s">
        <v>59</v>
      </c>
      <c r="I359" s="3"/>
      <c r="J359" s="3"/>
      <c r="K359" s="3"/>
      <c r="L359" s="3"/>
      <c r="M359" s="3"/>
      <c r="N359" s="3"/>
      <c r="O359" s="3"/>
      <c r="P359" s="8"/>
      <c r="Q359" s="8"/>
      <c r="R359" s="3"/>
      <c r="S359" s="3"/>
      <c r="T359" s="3"/>
      <c r="U359" s="5" t="str">
        <f t="shared" si="21"/>
        <v/>
      </c>
    </row>
    <row r="360" spans="1:21" ht="28" customHeight="1" x14ac:dyDescent="0.35">
      <c r="A360" s="4">
        <v>8</v>
      </c>
      <c r="B360" s="4" t="s">
        <v>460</v>
      </c>
      <c r="C360" s="4" t="s">
        <v>461</v>
      </c>
      <c r="D360" s="4" t="s">
        <v>462</v>
      </c>
      <c r="E360" s="4" t="s">
        <v>69</v>
      </c>
      <c r="F360" s="4" t="s">
        <v>95</v>
      </c>
      <c r="G360" s="4" t="s">
        <v>102</v>
      </c>
      <c r="H360" s="4" t="s">
        <v>59</v>
      </c>
      <c r="I360" s="3"/>
      <c r="J360" s="3"/>
      <c r="K360" s="3"/>
      <c r="L360" s="3"/>
      <c r="M360" s="3"/>
      <c r="N360" s="3"/>
      <c r="O360" s="3"/>
      <c r="P360" s="8"/>
      <c r="Q360" s="8"/>
      <c r="R360" s="3"/>
      <c r="S360" s="3"/>
      <c r="T360" s="3"/>
      <c r="U360" s="5" t="str">
        <f t="shared" si="21"/>
        <v/>
      </c>
    </row>
    <row r="361" spans="1:21" ht="28" customHeight="1" x14ac:dyDescent="0.35">
      <c r="A361" s="4">
        <v>9</v>
      </c>
      <c r="B361" s="4" t="s">
        <v>97</v>
      </c>
      <c r="C361" s="4" t="s">
        <v>98</v>
      </c>
      <c r="D361" s="4" t="s">
        <v>99</v>
      </c>
      <c r="E361" s="4" t="s">
        <v>69</v>
      </c>
      <c r="F361" s="4" t="s">
        <v>95</v>
      </c>
      <c r="G361" s="4" t="s">
        <v>96</v>
      </c>
      <c r="H361" s="4" t="s">
        <v>59</v>
      </c>
      <c r="I361" s="3"/>
      <c r="J361" s="3"/>
      <c r="K361" s="3"/>
      <c r="L361" s="3"/>
      <c r="M361" s="3"/>
      <c r="N361" s="3"/>
      <c r="O361" s="3"/>
      <c r="P361" s="8"/>
      <c r="Q361" s="8"/>
      <c r="R361" s="3"/>
      <c r="S361" s="3"/>
      <c r="T361" s="3"/>
      <c r="U361" s="5" t="str">
        <f t="shared" si="21"/>
        <v/>
      </c>
    </row>
    <row r="362" spans="1:21" ht="28" customHeight="1" x14ac:dyDescent="0.35">
      <c r="A362" s="4">
        <v>10</v>
      </c>
      <c r="B362" s="4" t="s">
        <v>97</v>
      </c>
      <c r="C362" s="4" t="s">
        <v>100</v>
      </c>
      <c r="D362" s="4" t="s">
        <v>101</v>
      </c>
      <c r="E362" s="4" t="s">
        <v>69</v>
      </c>
      <c r="F362" s="4" t="s">
        <v>95</v>
      </c>
      <c r="G362" s="4" t="s">
        <v>102</v>
      </c>
      <c r="H362" s="4" t="s">
        <v>59</v>
      </c>
      <c r="I362" s="3"/>
      <c r="J362" s="3"/>
      <c r="K362" s="3"/>
      <c r="L362" s="3"/>
      <c r="M362" s="3"/>
      <c r="N362" s="3"/>
      <c r="O362" s="3"/>
      <c r="P362" s="8"/>
      <c r="Q362" s="8"/>
      <c r="R362" s="3"/>
      <c r="S362" s="3"/>
      <c r="T362" s="3"/>
      <c r="U362" s="5" t="str">
        <f t="shared" si="21"/>
        <v/>
      </c>
    </row>
    <row r="363" spans="1:21" ht="28" customHeight="1" x14ac:dyDescent="0.35">
      <c r="A363" s="4">
        <v>11</v>
      </c>
      <c r="B363" s="4" t="s">
        <v>103</v>
      </c>
      <c r="C363" s="4" t="s">
        <v>104</v>
      </c>
      <c r="D363" s="4" t="s">
        <v>105</v>
      </c>
      <c r="E363" s="4" t="s">
        <v>69</v>
      </c>
      <c r="F363" s="4" t="s">
        <v>95</v>
      </c>
      <c r="G363" s="4" t="s">
        <v>96</v>
      </c>
      <c r="H363" s="4" t="s">
        <v>85</v>
      </c>
      <c r="I363" s="3"/>
      <c r="J363" s="3"/>
      <c r="K363" s="3"/>
      <c r="L363" s="3"/>
      <c r="M363" s="3"/>
      <c r="N363" s="3"/>
      <c r="O363" s="3"/>
      <c r="P363" s="8"/>
      <c r="Q363" s="8"/>
      <c r="R363" s="3"/>
      <c r="S363" s="3"/>
      <c r="T363" s="3"/>
      <c r="U363" s="5" t="str">
        <f t="shared" si="21"/>
        <v/>
      </c>
    </row>
    <row r="364" spans="1:21" ht="28" customHeight="1" x14ac:dyDescent="0.35">
      <c r="A364" s="4">
        <v>12</v>
      </c>
      <c r="B364" s="4" t="s">
        <v>106</v>
      </c>
      <c r="C364" s="4" t="s">
        <v>107</v>
      </c>
      <c r="D364" s="4" t="s">
        <v>108</v>
      </c>
      <c r="E364" s="4" t="s">
        <v>109</v>
      </c>
      <c r="F364" s="4" t="s">
        <v>95</v>
      </c>
      <c r="G364" s="4" t="s">
        <v>96</v>
      </c>
      <c r="H364" s="4" t="s">
        <v>59</v>
      </c>
      <c r="I364" s="3"/>
      <c r="J364" s="3"/>
      <c r="K364" s="3"/>
      <c r="L364" s="3"/>
      <c r="M364" s="3"/>
      <c r="N364" s="3"/>
      <c r="O364" s="3"/>
      <c r="P364" s="8"/>
      <c r="Q364" s="8"/>
      <c r="R364" s="3"/>
      <c r="S364" s="3"/>
      <c r="T364" s="3"/>
      <c r="U364" s="5" t="str">
        <f t="shared" si="21"/>
        <v/>
      </c>
    </row>
    <row r="366" spans="1:21" ht="28" customHeight="1" x14ac:dyDescent="0.35">
      <c r="A366" s="9" t="s">
        <v>110</v>
      </c>
      <c r="B366" s="16"/>
      <c r="C366" s="17"/>
      <c r="D366" s="17"/>
      <c r="E366" s="17"/>
      <c r="F366" s="17"/>
      <c r="G366" s="17"/>
      <c r="H366" s="17"/>
      <c r="I366" s="17"/>
      <c r="J366" s="17"/>
      <c r="K366" s="17"/>
      <c r="L366" s="17"/>
      <c r="M366" s="17"/>
      <c r="N366" s="17"/>
      <c r="O366" s="17"/>
      <c r="P366" s="17"/>
      <c r="Q366" s="17"/>
      <c r="R366" s="17"/>
      <c r="S366" s="17"/>
      <c r="T366" s="17"/>
      <c r="U366" s="18"/>
    </row>
    <row r="367" spans="1:21" ht="28" customHeight="1" x14ac:dyDescent="0.35">
      <c r="A367" s="19" t="s">
        <v>480</v>
      </c>
      <c r="B367" s="20"/>
      <c r="C367" s="20"/>
      <c r="D367" s="20"/>
      <c r="E367" s="20"/>
      <c r="F367" s="20"/>
      <c r="G367" s="20"/>
      <c r="H367" s="20"/>
      <c r="I367" s="20"/>
      <c r="J367" s="20"/>
      <c r="K367" s="20"/>
      <c r="L367" s="20"/>
      <c r="M367" s="20"/>
      <c r="N367" s="20"/>
      <c r="O367" s="20"/>
      <c r="P367" s="20"/>
      <c r="Q367" s="20"/>
      <c r="R367" s="20"/>
      <c r="S367" s="20"/>
      <c r="T367" s="20"/>
      <c r="U367" s="21"/>
    </row>
    <row r="368" spans="1:21" ht="28" customHeight="1" x14ac:dyDescent="0.35">
      <c r="A368" s="4" t="s">
        <v>31</v>
      </c>
      <c r="B368" s="3" t="s">
        <v>235</v>
      </c>
      <c r="C368" s="4" t="s">
        <v>32</v>
      </c>
      <c r="D368" s="3"/>
      <c r="E368" s="4" t="s">
        <v>33</v>
      </c>
      <c r="F368" s="8"/>
    </row>
    <row r="369" spans="1:21" ht="28" customHeight="1" x14ac:dyDescent="0.35">
      <c r="A369" s="1" t="s">
        <v>34</v>
      </c>
      <c r="B369" s="1" t="s">
        <v>35</v>
      </c>
      <c r="C369" s="1" t="s">
        <v>36</v>
      </c>
      <c r="D369" s="1" t="s">
        <v>37</v>
      </c>
      <c r="E369" s="1" t="s">
        <v>38</v>
      </c>
      <c r="F369" s="1" t="s">
        <v>39</v>
      </c>
      <c r="G369" s="1" t="s">
        <v>40</v>
      </c>
      <c r="H369" s="1" t="s">
        <v>41</v>
      </c>
      <c r="I369" s="1" t="s">
        <v>42</v>
      </c>
      <c r="J369" s="1" t="s">
        <v>43</v>
      </c>
      <c r="K369" s="1" t="s">
        <v>44</v>
      </c>
      <c r="L369" s="1" t="s">
        <v>45</v>
      </c>
      <c r="M369" s="1" t="s">
        <v>46</v>
      </c>
      <c r="N369" s="1" t="s">
        <v>47</v>
      </c>
      <c r="O369" s="1" t="s">
        <v>48</v>
      </c>
      <c r="P369" s="1" t="s">
        <v>4</v>
      </c>
      <c r="Q369" s="1" t="s">
        <v>49</v>
      </c>
      <c r="R369" s="1" t="s">
        <v>50</v>
      </c>
      <c r="S369" s="1" t="s">
        <v>51</v>
      </c>
      <c r="T369" s="1" t="s">
        <v>52</v>
      </c>
      <c r="U369" s="1" t="s">
        <v>10</v>
      </c>
    </row>
    <row r="370" spans="1:21" ht="28" customHeight="1" x14ac:dyDescent="0.35">
      <c r="A370" s="4">
        <v>1</v>
      </c>
      <c r="B370" s="4" t="s">
        <v>439</v>
      </c>
      <c r="C370" s="4" t="s">
        <v>440</v>
      </c>
      <c r="D370" s="4" t="s">
        <v>441</v>
      </c>
      <c r="E370" s="4" t="s">
        <v>69</v>
      </c>
      <c r="F370" s="4" t="s">
        <v>370</v>
      </c>
      <c r="G370" s="4" t="s">
        <v>204</v>
      </c>
      <c r="H370" s="4" t="s">
        <v>59</v>
      </c>
      <c r="I370" s="3"/>
      <c r="J370" s="3"/>
      <c r="K370" s="3"/>
      <c r="L370" s="3"/>
      <c r="M370" s="3"/>
      <c r="N370" s="3"/>
      <c r="O370" s="3"/>
      <c r="P370" s="8"/>
      <c r="Q370" s="8"/>
      <c r="R370" s="3"/>
      <c r="S370" s="3"/>
      <c r="T370" s="3"/>
      <c r="U370" s="5" t="str">
        <f t="shared" ref="U370:U381" si="22">IF(I370="","",IF(I370="NA","Grey",IF(I370=2,"Green",IF(I370=1,"Amber","Red"))))</f>
        <v/>
      </c>
    </row>
    <row r="371" spans="1:21" ht="28" customHeight="1" x14ac:dyDescent="0.35">
      <c r="A371" s="4">
        <v>2</v>
      </c>
      <c r="B371" s="4" t="s">
        <v>442</v>
      </c>
      <c r="C371" s="4" t="s">
        <v>443</v>
      </c>
      <c r="D371" s="4" t="s">
        <v>444</v>
      </c>
      <c r="E371" s="4" t="s">
        <v>69</v>
      </c>
      <c r="F371" s="4" t="s">
        <v>95</v>
      </c>
      <c r="G371" s="4" t="s">
        <v>102</v>
      </c>
      <c r="H371" s="4" t="s">
        <v>59</v>
      </c>
      <c r="I371" s="3"/>
      <c r="J371" s="3"/>
      <c r="K371" s="3"/>
      <c r="L371" s="3"/>
      <c r="M371" s="3"/>
      <c r="N371" s="3"/>
      <c r="O371" s="3"/>
      <c r="P371" s="8"/>
      <c r="Q371" s="8"/>
      <c r="R371" s="3"/>
      <c r="S371" s="3"/>
      <c r="T371" s="3"/>
      <c r="U371" s="5" t="str">
        <f t="shared" si="22"/>
        <v/>
      </c>
    </row>
    <row r="372" spans="1:21" ht="28" customHeight="1" x14ac:dyDescent="0.35">
      <c r="A372" s="4">
        <v>3</v>
      </c>
      <c r="B372" s="4" t="s">
        <v>445</v>
      </c>
      <c r="C372" s="4" t="s">
        <v>446</v>
      </c>
      <c r="D372" s="4" t="s">
        <v>369</v>
      </c>
      <c r="E372" s="4" t="s">
        <v>69</v>
      </c>
      <c r="F372" s="4" t="s">
        <v>370</v>
      </c>
      <c r="G372" s="4" t="s">
        <v>204</v>
      </c>
      <c r="H372" s="4" t="s">
        <v>76</v>
      </c>
      <c r="I372" s="3"/>
      <c r="J372" s="3"/>
      <c r="K372" s="3"/>
      <c r="L372" s="3"/>
      <c r="M372" s="3"/>
      <c r="N372" s="3"/>
      <c r="O372" s="3"/>
      <c r="P372" s="8"/>
      <c r="Q372" s="8"/>
      <c r="R372" s="3"/>
      <c r="S372" s="3"/>
      <c r="T372" s="3"/>
      <c r="U372" s="5" t="str">
        <f t="shared" si="22"/>
        <v/>
      </c>
    </row>
    <row r="373" spans="1:21" ht="28" customHeight="1" x14ac:dyDescent="0.35">
      <c r="A373" s="4">
        <v>4</v>
      </c>
      <c r="B373" s="4" t="s">
        <v>447</v>
      </c>
      <c r="C373" s="4" t="s">
        <v>448</v>
      </c>
      <c r="D373" s="4" t="s">
        <v>449</v>
      </c>
      <c r="E373" s="4" t="s">
        <v>109</v>
      </c>
      <c r="F373" s="4" t="s">
        <v>276</v>
      </c>
      <c r="G373" s="4" t="s">
        <v>199</v>
      </c>
      <c r="H373" s="4" t="s">
        <v>59</v>
      </c>
      <c r="I373" s="3"/>
      <c r="J373" s="3"/>
      <c r="K373" s="3"/>
      <c r="L373" s="3"/>
      <c r="M373" s="3"/>
      <c r="N373" s="3"/>
      <c r="O373" s="3"/>
      <c r="P373" s="8"/>
      <c r="Q373" s="8"/>
      <c r="R373" s="3"/>
      <c r="S373" s="3"/>
      <c r="T373" s="3"/>
      <c r="U373" s="5" t="str">
        <f t="shared" si="22"/>
        <v/>
      </c>
    </row>
    <row r="374" spans="1:21" ht="28" customHeight="1" x14ac:dyDescent="0.35">
      <c r="A374" s="4">
        <v>5</v>
      </c>
      <c r="B374" s="4" t="s">
        <v>450</v>
      </c>
      <c r="C374" s="4" t="s">
        <v>451</v>
      </c>
      <c r="D374" s="4" t="s">
        <v>452</v>
      </c>
      <c r="E374" s="4" t="s">
        <v>69</v>
      </c>
      <c r="F374" s="4" t="s">
        <v>276</v>
      </c>
      <c r="G374" s="4" t="s">
        <v>199</v>
      </c>
      <c r="H374" s="4" t="s">
        <v>59</v>
      </c>
      <c r="I374" s="3"/>
      <c r="J374" s="3"/>
      <c r="K374" s="3"/>
      <c r="L374" s="3"/>
      <c r="M374" s="3"/>
      <c r="N374" s="3"/>
      <c r="O374" s="3"/>
      <c r="P374" s="8"/>
      <c r="Q374" s="8"/>
      <c r="R374" s="3"/>
      <c r="S374" s="3"/>
      <c r="T374" s="3"/>
      <c r="U374" s="5" t="str">
        <f t="shared" si="22"/>
        <v/>
      </c>
    </row>
    <row r="375" spans="1:21" ht="28" customHeight="1" x14ac:dyDescent="0.35">
      <c r="A375" s="4">
        <v>6</v>
      </c>
      <c r="B375" s="4" t="s">
        <v>453</v>
      </c>
      <c r="C375" s="4" t="s">
        <v>454</v>
      </c>
      <c r="D375" s="4" t="s">
        <v>455</v>
      </c>
      <c r="E375" s="4" t="s">
        <v>69</v>
      </c>
      <c r="F375" s="4" t="s">
        <v>284</v>
      </c>
      <c r="G375" s="4" t="s">
        <v>204</v>
      </c>
      <c r="H375" s="4" t="s">
        <v>76</v>
      </c>
      <c r="I375" s="3"/>
      <c r="J375" s="3"/>
      <c r="K375" s="3"/>
      <c r="L375" s="3"/>
      <c r="M375" s="3"/>
      <c r="N375" s="3"/>
      <c r="O375" s="3"/>
      <c r="P375" s="8"/>
      <c r="Q375" s="8"/>
      <c r="R375" s="3"/>
      <c r="S375" s="3"/>
      <c r="T375" s="3"/>
      <c r="U375" s="5" t="str">
        <f t="shared" si="22"/>
        <v/>
      </c>
    </row>
    <row r="376" spans="1:21" ht="28" customHeight="1" x14ac:dyDescent="0.35">
      <c r="A376" s="4">
        <v>7</v>
      </c>
      <c r="B376" s="4" t="s">
        <v>456</v>
      </c>
      <c r="C376" s="4" t="s">
        <v>457</v>
      </c>
      <c r="D376" s="4" t="s">
        <v>458</v>
      </c>
      <c r="E376" s="4" t="s">
        <v>69</v>
      </c>
      <c r="F376" s="4" t="s">
        <v>459</v>
      </c>
      <c r="G376" s="4" t="s">
        <v>209</v>
      </c>
      <c r="H376" s="4" t="s">
        <v>59</v>
      </c>
      <c r="I376" s="3"/>
      <c r="J376" s="3"/>
      <c r="K376" s="3"/>
      <c r="L376" s="3"/>
      <c r="M376" s="3"/>
      <c r="N376" s="3"/>
      <c r="O376" s="3"/>
      <c r="P376" s="8"/>
      <c r="Q376" s="8"/>
      <c r="R376" s="3"/>
      <c r="S376" s="3"/>
      <c r="T376" s="3"/>
      <c r="U376" s="5" t="str">
        <f t="shared" si="22"/>
        <v/>
      </c>
    </row>
    <row r="377" spans="1:21" ht="28" customHeight="1" x14ac:dyDescent="0.35">
      <c r="A377" s="4">
        <v>8</v>
      </c>
      <c r="B377" s="4" t="s">
        <v>460</v>
      </c>
      <c r="C377" s="4" t="s">
        <v>461</v>
      </c>
      <c r="D377" s="4" t="s">
        <v>462</v>
      </c>
      <c r="E377" s="4" t="s">
        <v>69</v>
      </c>
      <c r="F377" s="4" t="s">
        <v>95</v>
      </c>
      <c r="G377" s="4" t="s">
        <v>102</v>
      </c>
      <c r="H377" s="4" t="s">
        <v>59</v>
      </c>
      <c r="I377" s="3"/>
      <c r="J377" s="3"/>
      <c r="K377" s="3"/>
      <c r="L377" s="3"/>
      <c r="M377" s="3"/>
      <c r="N377" s="3"/>
      <c r="O377" s="3"/>
      <c r="P377" s="8"/>
      <c r="Q377" s="8"/>
      <c r="R377" s="3"/>
      <c r="S377" s="3"/>
      <c r="T377" s="3"/>
      <c r="U377" s="5" t="str">
        <f t="shared" si="22"/>
        <v/>
      </c>
    </row>
    <row r="378" spans="1:21" ht="28" customHeight="1" x14ac:dyDescent="0.35">
      <c r="A378" s="4">
        <v>9</v>
      </c>
      <c r="B378" s="4" t="s">
        <v>97</v>
      </c>
      <c r="C378" s="4" t="s">
        <v>98</v>
      </c>
      <c r="D378" s="4" t="s">
        <v>99</v>
      </c>
      <c r="E378" s="4" t="s">
        <v>69</v>
      </c>
      <c r="F378" s="4" t="s">
        <v>95</v>
      </c>
      <c r="G378" s="4" t="s">
        <v>96</v>
      </c>
      <c r="H378" s="4" t="s">
        <v>59</v>
      </c>
      <c r="I378" s="3"/>
      <c r="J378" s="3"/>
      <c r="K378" s="3"/>
      <c r="L378" s="3"/>
      <c r="M378" s="3"/>
      <c r="N378" s="3"/>
      <c r="O378" s="3"/>
      <c r="P378" s="8"/>
      <c r="Q378" s="8"/>
      <c r="R378" s="3"/>
      <c r="S378" s="3"/>
      <c r="T378" s="3"/>
      <c r="U378" s="5" t="str">
        <f t="shared" si="22"/>
        <v/>
      </c>
    </row>
    <row r="379" spans="1:21" ht="28" customHeight="1" x14ac:dyDescent="0.35">
      <c r="A379" s="4">
        <v>10</v>
      </c>
      <c r="B379" s="4" t="s">
        <v>97</v>
      </c>
      <c r="C379" s="4" t="s">
        <v>100</v>
      </c>
      <c r="D379" s="4" t="s">
        <v>101</v>
      </c>
      <c r="E379" s="4" t="s">
        <v>69</v>
      </c>
      <c r="F379" s="4" t="s">
        <v>95</v>
      </c>
      <c r="G379" s="4" t="s">
        <v>102</v>
      </c>
      <c r="H379" s="4" t="s">
        <v>59</v>
      </c>
      <c r="I379" s="3"/>
      <c r="J379" s="3"/>
      <c r="K379" s="3"/>
      <c r="L379" s="3"/>
      <c r="M379" s="3"/>
      <c r="N379" s="3"/>
      <c r="O379" s="3"/>
      <c r="P379" s="8"/>
      <c r="Q379" s="8"/>
      <c r="R379" s="3"/>
      <c r="S379" s="3"/>
      <c r="T379" s="3"/>
      <c r="U379" s="5" t="str">
        <f t="shared" si="22"/>
        <v/>
      </c>
    </row>
    <row r="380" spans="1:21" ht="28" customHeight="1" x14ac:dyDescent="0.35">
      <c r="A380" s="4">
        <v>11</v>
      </c>
      <c r="B380" s="4" t="s">
        <v>103</v>
      </c>
      <c r="C380" s="4" t="s">
        <v>104</v>
      </c>
      <c r="D380" s="4" t="s">
        <v>105</v>
      </c>
      <c r="E380" s="4" t="s">
        <v>69</v>
      </c>
      <c r="F380" s="4" t="s">
        <v>95</v>
      </c>
      <c r="G380" s="4" t="s">
        <v>96</v>
      </c>
      <c r="H380" s="4" t="s">
        <v>85</v>
      </c>
      <c r="I380" s="3"/>
      <c r="J380" s="3"/>
      <c r="K380" s="3"/>
      <c r="L380" s="3"/>
      <c r="M380" s="3"/>
      <c r="N380" s="3"/>
      <c r="O380" s="3"/>
      <c r="P380" s="8"/>
      <c r="Q380" s="8"/>
      <c r="R380" s="3"/>
      <c r="S380" s="3"/>
      <c r="T380" s="3"/>
      <c r="U380" s="5" t="str">
        <f t="shared" si="22"/>
        <v/>
      </c>
    </row>
    <row r="381" spans="1:21" ht="28" customHeight="1" x14ac:dyDescent="0.35">
      <c r="A381" s="4">
        <v>12</v>
      </c>
      <c r="B381" s="4" t="s">
        <v>106</v>
      </c>
      <c r="C381" s="4" t="s">
        <v>107</v>
      </c>
      <c r="D381" s="4" t="s">
        <v>108</v>
      </c>
      <c r="E381" s="4" t="s">
        <v>109</v>
      </c>
      <c r="F381" s="4" t="s">
        <v>95</v>
      </c>
      <c r="G381" s="4" t="s">
        <v>96</v>
      </c>
      <c r="H381" s="4" t="s">
        <v>59</v>
      </c>
      <c r="I381" s="3"/>
      <c r="J381" s="3"/>
      <c r="K381" s="3"/>
      <c r="L381" s="3"/>
      <c r="M381" s="3"/>
      <c r="N381" s="3"/>
      <c r="O381" s="3"/>
      <c r="P381" s="8"/>
      <c r="Q381" s="8"/>
      <c r="R381" s="3"/>
      <c r="S381" s="3"/>
      <c r="T381" s="3"/>
      <c r="U381" s="5" t="str">
        <f t="shared" si="22"/>
        <v/>
      </c>
    </row>
    <row r="383" spans="1:21" ht="28" customHeight="1" x14ac:dyDescent="0.35">
      <c r="A383" s="9" t="s">
        <v>110</v>
      </c>
      <c r="B383" s="16"/>
      <c r="C383" s="17"/>
      <c r="D383" s="17"/>
      <c r="E383" s="17"/>
      <c r="F383" s="17"/>
      <c r="G383" s="17"/>
      <c r="H383" s="17"/>
      <c r="I383" s="17"/>
      <c r="J383" s="17"/>
      <c r="K383" s="17"/>
      <c r="L383" s="17"/>
      <c r="M383" s="17"/>
      <c r="N383" s="17"/>
      <c r="O383" s="17"/>
      <c r="P383" s="17"/>
      <c r="Q383" s="17"/>
      <c r="R383" s="17"/>
      <c r="S383" s="17"/>
      <c r="T383" s="17"/>
      <c r="U383" s="18"/>
    </row>
    <row r="384" spans="1:21" ht="28" customHeight="1" x14ac:dyDescent="0.35">
      <c r="A384" s="19" t="s">
        <v>481</v>
      </c>
      <c r="B384" s="20"/>
      <c r="C384" s="20"/>
      <c r="D384" s="20"/>
      <c r="E384" s="20"/>
      <c r="F384" s="20"/>
      <c r="G384" s="20"/>
      <c r="H384" s="20"/>
      <c r="I384" s="20"/>
      <c r="J384" s="20"/>
      <c r="K384" s="20"/>
      <c r="L384" s="20"/>
      <c r="M384" s="20"/>
      <c r="N384" s="20"/>
      <c r="O384" s="20"/>
      <c r="P384" s="20"/>
      <c r="Q384" s="20"/>
      <c r="R384" s="20"/>
      <c r="S384" s="20"/>
      <c r="T384" s="20"/>
      <c r="U384" s="21"/>
    </row>
    <row r="385" spans="1:21" ht="28" customHeight="1" x14ac:dyDescent="0.35">
      <c r="A385" s="4" t="s">
        <v>31</v>
      </c>
      <c r="B385" s="3" t="s">
        <v>236</v>
      </c>
      <c r="C385" s="4" t="s">
        <v>32</v>
      </c>
      <c r="D385" s="3"/>
      <c r="E385" s="4" t="s">
        <v>33</v>
      </c>
      <c r="F385" s="8"/>
    </row>
    <row r="386" spans="1:21" ht="28" customHeight="1" x14ac:dyDescent="0.35">
      <c r="A386" s="1" t="s">
        <v>34</v>
      </c>
      <c r="B386" s="1" t="s">
        <v>35</v>
      </c>
      <c r="C386" s="1" t="s">
        <v>36</v>
      </c>
      <c r="D386" s="1" t="s">
        <v>37</v>
      </c>
      <c r="E386" s="1" t="s">
        <v>38</v>
      </c>
      <c r="F386" s="1" t="s">
        <v>39</v>
      </c>
      <c r="G386" s="1" t="s">
        <v>40</v>
      </c>
      <c r="H386" s="1" t="s">
        <v>41</v>
      </c>
      <c r="I386" s="1" t="s">
        <v>42</v>
      </c>
      <c r="J386" s="1" t="s">
        <v>43</v>
      </c>
      <c r="K386" s="1" t="s">
        <v>44</v>
      </c>
      <c r="L386" s="1" t="s">
        <v>45</v>
      </c>
      <c r="M386" s="1" t="s">
        <v>46</v>
      </c>
      <c r="N386" s="1" t="s">
        <v>47</v>
      </c>
      <c r="O386" s="1" t="s">
        <v>48</v>
      </c>
      <c r="P386" s="1" t="s">
        <v>4</v>
      </c>
      <c r="Q386" s="1" t="s">
        <v>49</v>
      </c>
      <c r="R386" s="1" t="s">
        <v>50</v>
      </c>
      <c r="S386" s="1" t="s">
        <v>51</v>
      </c>
      <c r="T386" s="1" t="s">
        <v>52</v>
      </c>
      <c r="U386" s="1" t="s">
        <v>10</v>
      </c>
    </row>
    <row r="387" spans="1:21" ht="28" customHeight="1" x14ac:dyDescent="0.35">
      <c r="A387" s="4">
        <v>1</v>
      </c>
      <c r="B387" s="4" t="s">
        <v>439</v>
      </c>
      <c r="C387" s="4" t="s">
        <v>440</v>
      </c>
      <c r="D387" s="4" t="s">
        <v>441</v>
      </c>
      <c r="E387" s="4" t="s">
        <v>69</v>
      </c>
      <c r="F387" s="4" t="s">
        <v>370</v>
      </c>
      <c r="G387" s="4" t="s">
        <v>204</v>
      </c>
      <c r="H387" s="4" t="s">
        <v>59</v>
      </c>
      <c r="I387" s="3"/>
      <c r="J387" s="3"/>
      <c r="K387" s="3"/>
      <c r="L387" s="3"/>
      <c r="M387" s="3"/>
      <c r="N387" s="3"/>
      <c r="O387" s="3"/>
      <c r="P387" s="8"/>
      <c r="Q387" s="8"/>
      <c r="R387" s="3"/>
      <c r="S387" s="3"/>
      <c r="T387" s="3"/>
      <c r="U387" s="5" t="str">
        <f t="shared" ref="U387:U398" si="23">IF(I387="","",IF(I387="NA","Grey",IF(I387=2,"Green",IF(I387=1,"Amber","Red"))))</f>
        <v/>
      </c>
    </row>
    <row r="388" spans="1:21" ht="28" customHeight="1" x14ac:dyDescent="0.35">
      <c r="A388" s="4">
        <v>2</v>
      </c>
      <c r="B388" s="4" t="s">
        <v>442</v>
      </c>
      <c r="C388" s="4" t="s">
        <v>443</v>
      </c>
      <c r="D388" s="4" t="s">
        <v>444</v>
      </c>
      <c r="E388" s="4" t="s">
        <v>69</v>
      </c>
      <c r="F388" s="4" t="s">
        <v>95</v>
      </c>
      <c r="G388" s="4" t="s">
        <v>102</v>
      </c>
      <c r="H388" s="4" t="s">
        <v>59</v>
      </c>
      <c r="I388" s="3"/>
      <c r="J388" s="3"/>
      <c r="K388" s="3"/>
      <c r="L388" s="3"/>
      <c r="M388" s="3"/>
      <c r="N388" s="3"/>
      <c r="O388" s="3"/>
      <c r="P388" s="8"/>
      <c r="Q388" s="8"/>
      <c r="R388" s="3"/>
      <c r="S388" s="3"/>
      <c r="T388" s="3"/>
      <c r="U388" s="5" t="str">
        <f t="shared" si="23"/>
        <v/>
      </c>
    </row>
    <row r="389" spans="1:21" ht="28" customHeight="1" x14ac:dyDescent="0.35">
      <c r="A389" s="4">
        <v>3</v>
      </c>
      <c r="B389" s="4" t="s">
        <v>445</v>
      </c>
      <c r="C389" s="4" t="s">
        <v>446</v>
      </c>
      <c r="D389" s="4" t="s">
        <v>369</v>
      </c>
      <c r="E389" s="4" t="s">
        <v>69</v>
      </c>
      <c r="F389" s="4" t="s">
        <v>370</v>
      </c>
      <c r="G389" s="4" t="s">
        <v>204</v>
      </c>
      <c r="H389" s="4" t="s">
        <v>76</v>
      </c>
      <c r="I389" s="3"/>
      <c r="J389" s="3"/>
      <c r="K389" s="3"/>
      <c r="L389" s="3"/>
      <c r="M389" s="3"/>
      <c r="N389" s="3"/>
      <c r="O389" s="3"/>
      <c r="P389" s="8"/>
      <c r="Q389" s="8"/>
      <c r="R389" s="3"/>
      <c r="S389" s="3"/>
      <c r="T389" s="3"/>
      <c r="U389" s="5" t="str">
        <f t="shared" si="23"/>
        <v/>
      </c>
    </row>
    <row r="390" spans="1:21" ht="28" customHeight="1" x14ac:dyDescent="0.35">
      <c r="A390" s="4">
        <v>4</v>
      </c>
      <c r="B390" s="4" t="s">
        <v>447</v>
      </c>
      <c r="C390" s="4" t="s">
        <v>448</v>
      </c>
      <c r="D390" s="4" t="s">
        <v>449</v>
      </c>
      <c r="E390" s="4" t="s">
        <v>109</v>
      </c>
      <c r="F390" s="4" t="s">
        <v>276</v>
      </c>
      <c r="G390" s="4" t="s">
        <v>199</v>
      </c>
      <c r="H390" s="4" t="s">
        <v>59</v>
      </c>
      <c r="I390" s="3"/>
      <c r="J390" s="3"/>
      <c r="K390" s="3"/>
      <c r="L390" s="3"/>
      <c r="M390" s="3"/>
      <c r="N390" s="3"/>
      <c r="O390" s="3"/>
      <c r="P390" s="8"/>
      <c r="Q390" s="8"/>
      <c r="R390" s="3"/>
      <c r="S390" s="3"/>
      <c r="T390" s="3"/>
      <c r="U390" s="5" t="str">
        <f t="shared" si="23"/>
        <v/>
      </c>
    </row>
    <row r="391" spans="1:21" ht="28" customHeight="1" x14ac:dyDescent="0.35">
      <c r="A391" s="4">
        <v>5</v>
      </c>
      <c r="B391" s="4" t="s">
        <v>450</v>
      </c>
      <c r="C391" s="4" t="s">
        <v>451</v>
      </c>
      <c r="D391" s="4" t="s">
        <v>452</v>
      </c>
      <c r="E391" s="4" t="s">
        <v>69</v>
      </c>
      <c r="F391" s="4" t="s">
        <v>276</v>
      </c>
      <c r="G391" s="4" t="s">
        <v>199</v>
      </c>
      <c r="H391" s="4" t="s">
        <v>59</v>
      </c>
      <c r="I391" s="3"/>
      <c r="J391" s="3"/>
      <c r="K391" s="3"/>
      <c r="L391" s="3"/>
      <c r="M391" s="3"/>
      <c r="N391" s="3"/>
      <c r="O391" s="3"/>
      <c r="P391" s="8"/>
      <c r="Q391" s="8"/>
      <c r="R391" s="3"/>
      <c r="S391" s="3"/>
      <c r="T391" s="3"/>
      <c r="U391" s="5" t="str">
        <f t="shared" si="23"/>
        <v/>
      </c>
    </row>
    <row r="392" spans="1:21" ht="28" customHeight="1" x14ac:dyDescent="0.35">
      <c r="A392" s="4">
        <v>6</v>
      </c>
      <c r="B392" s="4" t="s">
        <v>453</v>
      </c>
      <c r="C392" s="4" t="s">
        <v>454</v>
      </c>
      <c r="D392" s="4" t="s">
        <v>455</v>
      </c>
      <c r="E392" s="4" t="s">
        <v>69</v>
      </c>
      <c r="F392" s="4" t="s">
        <v>284</v>
      </c>
      <c r="G392" s="4" t="s">
        <v>204</v>
      </c>
      <c r="H392" s="4" t="s">
        <v>76</v>
      </c>
      <c r="I392" s="3"/>
      <c r="J392" s="3"/>
      <c r="K392" s="3"/>
      <c r="L392" s="3"/>
      <c r="M392" s="3"/>
      <c r="N392" s="3"/>
      <c r="O392" s="3"/>
      <c r="P392" s="8"/>
      <c r="Q392" s="8"/>
      <c r="R392" s="3"/>
      <c r="S392" s="3"/>
      <c r="T392" s="3"/>
      <c r="U392" s="5" t="str">
        <f t="shared" si="23"/>
        <v/>
      </c>
    </row>
    <row r="393" spans="1:21" ht="28" customHeight="1" x14ac:dyDescent="0.35">
      <c r="A393" s="4">
        <v>7</v>
      </c>
      <c r="B393" s="4" t="s">
        <v>456</v>
      </c>
      <c r="C393" s="4" t="s">
        <v>457</v>
      </c>
      <c r="D393" s="4" t="s">
        <v>458</v>
      </c>
      <c r="E393" s="4" t="s">
        <v>69</v>
      </c>
      <c r="F393" s="4" t="s">
        <v>459</v>
      </c>
      <c r="G393" s="4" t="s">
        <v>209</v>
      </c>
      <c r="H393" s="4" t="s">
        <v>59</v>
      </c>
      <c r="I393" s="3"/>
      <c r="J393" s="3"/>
      <c r="K393" s="3"/>
      <c r="L393" s="3"/>
      <c r="M393" s="3"/>
      <c r="N393" s="3"/>
      <c r="O393" s="3"/>
      <c r="P393" s="8"/>
      <c r="Q393" s="8"/>
      <c r="R393" s="3"/>
      <c r="S393" s="3"/>
      <c r="T393" s="3"/>
      <c r="U393" s="5" t="str">
        <f t="shared" si="23"/>
        <v/>
      </c>
    </row>
    <row r="394" spans="1:21" ht="28" customHeight="1" x14ac:dyDescent="0.35">
      <c r="A394" s="4">
        <v>8</v>
      </c>
      <c r="B394" s="4" t="s">
        <v>460</v>
      </c>
      <c r="C394" s="4" t="s">
        <v>461</v>
      </c>
      <c r="D394" s="4" t="s">
        <v>462</v>
      </c>
      <c r="E394" s="4" t="s">
        <v>69</v>
      </c>
      <c r="F394" s="4" t="s">
        <v>95</v>
      </c>
      <c r="G394" s="4" t="s">
        <v>102</v>
      </c>
      <c r="H394" s="4" t="s">
        <v>59</v>
      </c>
      <c r="I394" s="3"/>
      <c r="J394" s="3"/>
      <c r="K394" s="3"/>
      <c r="L394" s="3"/>
      <c r="M394" s="3"/>
      <c r="N394" s="3"/>
      <c r="O394" s="3"/>
      <c r="P394" s="8"/>
      <c r="Q394" s="8"/>
      <c r="R394" s="3"/>
      <c r="S394" s="3"/>
      <c r="T394" s="3"/>
      <c r="U394" s="5" t="str">
        <f t="shared" si="23"/>
        <v/>
      </c>
    </row>
    <row r="395" spans="1:21" ht="28" customHeight="1" x14ac:dyDescent="0.35">
      <c r="A395" s="4">
        <v>9</v>
      </c>
      <c r="B395" s="4" t="s">
        <v>97</v>
      </c>
      <c r="C395" s="4" t="s">
        <v>98</v>
      </c>
      <c r="D395" s="4" t="s">
        <v>99</v>
      </c>
      <c r="E395" s="4" t="s">
        <v>69</v>
      </c>
      <c r="F395" s="4" t="s">
        <v>95</v>
      </c>
      <c r="G395" s="4" t="s">
        <v>96</v>
      </c>
      <c r="H395" s="4" t="s">
        <v>59</v>
      </c>
      <c r="I395" s="3"/>
      <c r="J395" s="3"/>
      <c r="K395" s="3"/>
      <c r="L395" s="3"/>
      <c r="M395" s="3"/>
      <c r="N395" s="3"/>
      <c r="O395" s="3"/>
      <c r="P395" s="8"/>
      <c r="Q395" s="8"/>
      <c r="R395" s="3"/>
      <c r="S395" s="3"/>
      <c r="T395" s="3"/>
      <c r="U395" s="5" t="str">
        <f t="shared" si="23"/>
        <v/>
      </c>
    </row>
    <row r="396" spans="1:21" ht="28" customHeight="1" x14ac:dyDescent="0.35">
      <c r="A396" s="4">
        <v>10</v>
      </c>
      <c r="B396" s="4" t="s">
        <v>97</v>
      </c>
      <c r="C396" s="4" t="s">
        <v>100</v>
      </c>
      <c r="D396" s="4" t="s">
        <v>101</v>
      </c>
      <c r="E396" s="4" t="s">
        <v>69</v>
      </c>
      <c r="F396" s="4" t="s">
        <v>95</v>
      </c>
      <c r="G396" s="4" t="s">
        <v>102</v>
      </c>
      <c r="H396" s="4" t="s">
        <v>59</v>
      </c>
      <c r="I396" s="3"/>
      <c r="J396" s="3"/>
      <c r="K396" s="3"/>
      <c r="L396" s="3"/>
      <c r="M396" s="3"/>
      <c r="N396" s="3"/>
      <c r="O396" s="3"/>
      <c r="P396" s="8"/>
      <c r="Q396" s="8"/>
      <c r="R396" s="3"/>
      <c r="S396" s="3"/>
      <c r="T396" s="3"/>
      <c r="U396" s="5" t="str">
        <f t="shared" si="23"/>
        <v/>
      </c>
    </row>
    <row r="397" spans="1:21" ht="28" customHeight="1" x14ac:dyDescent="0.35">
      <c r="A397" s="4">
        <v>11</v>
      </c>
      <c r="B397" s="4" t="s">
        <v>103</v>
      </c>
      <c r="C397" s="4" t="s">
        <v>104</v>
      </c>
      <c r="D397" s="4" t="s">
        <v>105</v>
      </c>
      <c r="E397" s="4" t="s">
        <v>69</v>
      </c>
      <c r="F397" s="4" t="s">
        <v>95</v>
      </c>
      <c r="G397" s="4" t="s">
        <v>96</v>
      </c>
      <c r="H397" s="4" t="s">
        <v>85</v>
      </c>
      <c r="I397" s="3"/>
      <c r="J397" s="3"/>
      <c r="K397" s="3"/>
      <c r="L397" s="3"/>
      <c r="M397" s="3"/>
      <c r="N397" s="3"/>
      <c r="O397" s="3"/>
      <c r="P397" s="8"/>
      <c r="Q397" s="8"/>
      <c r="R397" s="3"/>
      <c r="S397" s="3"/>
      <c r="T397" s="3"/>
      <c r="U397" s="5" t="str">
        <f t="shared" si="23"/>
        <v/>
      </c>
    </row>
    <row r="398" spans="1:21" ht="28" customHeight="1" x14ac:dyDescent="0.35">
      <c r="A398" s="4">
        <v>12</v>
      </c>
      <c r="B398" s="4" t="s">
        <v>106</v>
      </c>
      <c r="C398" s="4" t="s">
        <v>107</v>
      </c>
      <c r="D398" s="4" t="s">
        <v>108</v>
      </c>
      <c r="E398" s="4" t="s">
        <v>109</v>
      </c>
      <c r="F398" s="4" t="s">
        <v>95</v>
      </c>
      <c r="G398" s="4" t="s">
        <v>96</v>
      </c>
      <c r="H398" s="4" t="s">
        <v>59</v>
      </c>
      <c r="I398" s="3"/>
      <c r="J398" s="3"/>
      <c r="K398" s="3"/>
      <c r="L398" s="3"/>
      <c r="M398" s="3"/>
      <c r="N398" s="3"/>
      <c r="O398" s="3"/>
      <c r="P398" s="8"/>
      <c r="Q398" s="8"/>
      <c r="R398" s="3"/>
      <c r="S398" s="3"/>
      <c r="T398" s="3"/>
      <c r="U398" s="5" t="str">
        <f t="shared" si="23"/>
        <v/>
      </c>
    </row>
    <row r="400" spans="1:21" ht="28" customHeight="1" x14ac:dyDescent="0.35">
      <c r="A400" s="9" t="s">
        <v>110</v>
      </c>
      <c r="B400" s="16"/>
      <c r="C400" s="17"/>
      <c r="D400" s="17"/>
      <c r="E400" s="17"/>
      <c r="F400" s="17"/>
      <c r="G400" s="17"/>
      <c r="H400" s="17"/>
      <c r="I400" s="17"/>
      <c r="J400" s="17"/>
      <c r="K400" s="17"/>
      <c r="L400" s="17"/>
      <c r="M400" s="17"/>
      <c r="N400" s="17"/>
      <c r="O400" s="17"/>
      <c r="P400" s="17"/>
      <c r="Q400" s="17"/>
      <c r="R400" s="17"/>
      <c r="S400" s="17"/>
      <c r="T400" s="17"/>
      <c r="U400" s="18"/>
    </row>
    <row r="401" spans="1:21" ht="28" customHeight="1" x14ac:dyDescent="0.35">
      <c r="A401" s="19" t="s">
        <v>482</v>
      </c>
      <c r="B401" s="20"/>
      <c r="C401" s="20"/>
      <c r="D401" s="20"/>
      <c r="E401" s="20"/>
      <c r="F401" s="20"/>
      <c r="G401" s="20"/>
      <c r="H401" s="20"/>
      <c r="I401" s="20"/>
      <c r="J401" s="20"/>
      <c r="K401" s="20"/>
      <c r="L401" s="20"/>
      <c r="M401" s="20"/>
      <c r="N401" s="20"/>
      <c r="O401" s="20"/>
      <c r="P401" s="20"/>
      <c r="Q401" s="20"/>
      <c r="R401" s="20"/>
      <c r="S401" s="20"/>
      <c r="T401" s="20"/>
      <c r="U401" s="21"/>
    </row>
    <row r="402" spans="1:21" ht="28" customHeight="1" x14ac:dyDescent="0.35">
      <c r="A402" s="4" t="s">
        <v>31</v>
      </c>
      <c r="B402" s="3" t="s">
        <v>237</v>
      </c>
      <c r="C402" s="4" t="s">
        <v>32</v>
      </c>
      <c r="D402" s="3"/>
      <c r="E402" s="4" t="s">
        <v>33</v>
      </c>
      <c r="F402" s="8"/>
    </row>
    <row r="403" spans="1:21" ht="28" customHeight="1" x14ac:dyDescent="0.35">
      <c r="A403" s="1" t="s">
        <v>34</v>
      </c>
      <c r="B403" s="1" t="s">
        <v>35</v>
      </c>
      <c r="C403" s="1" t="s">
        <v>36</v>
      </c>
      <c r="D403" s="1" t="s">
        <v>37</v>
      </c>
      <c r="E403" s="1" t="s">
        <v>38</v>
      </c>
      <c r="F403" s="1" t="s">
        <v>39</v>
      </c>
      <c r="G403" s="1" t="s">
        <v>40</v>
      </c>
      <c r="H403" s="1" t="s">
        <v>41</v>
      </c>
      <c r="I403" s="1" t="s">
        <v>42</v>
      </c>
      <c r="J403" s="1" t="s">
        <v>43</v>
      </c>
      <c r="K403" s="1" t="s">
        <v>44</v>
      </c>
      <c r="L403" s="1" t="s">
        <v>45</v>
      </c>
      <c r="M403" s="1" t="s">
        <v>46</v>
      </c>
      <c r="N403" s="1" t="s">
        <v>47</v>
      </c>
      <c r="O403" s="1" t="s">
        <v>48</v>
      </c>
      <c r="P403" s="1" t="s">
        <v>4</v>
      </c>
      <c r="Q403" s="1" t="s">
        <v>49</v>
      </c>
      <c r="R403" s="1" t="s">
        <v>50</v>
      </c>
      <c r="S403" s="1" t="s">
        <v>51</v>
      </c>
      <c r="T403" s="1" t="s">
        <v>52</v>
      </c>
      <c r="U403" s="1" t="s">
        <v>10</v>
      </c>
    </row>
    <row r="404" spans="1:21" ht="28" customHeight="1" x14ac:dyDescent="0.35">
      <c r="A404" s="4">
        <v>1</v>
      </c>
      <c r="B404" s="4" t="s">
        <v>439</v>
      </c>
      <c r="C404" s="4" t="s">
        <v>440</v>
      </c>
      <c r="D404" s="4" t="s">
        <v>441</v>
      </c>
      <c r="E404" s="4" t="s">
        <v>69</v>
      </c>
      <c r="F404" s="4" t="s">
        <v>370</v>
      </c>
      <c r="G404" s="4" t="s">
        <v>204</v>
      </c>
      <c r="H404" s="4" t="s">
        <v>59</v>
      </c>
      <c r="I404" s="3"/>
      <c r="J404" s="3"/>
      <c r="K404" s="3"/>
      <c r="L404" s="3"/>
      <c r="M404" s="3"/>
      <c r="N404" s="3"/>
      <c r="O404" s="3"/>
      <c r="P404" s="8"/>
      <c r="Q404" s="8"/>
      <c r="R404" s="3"/>
      <c r="S404" s="3"/>
      <c r="T404" s="3"/>
      <c r="U404" s="5" t="str">
        <f t="shared" ref="U404:U415" si="24">IF(I404="","",IF(I404="NA","Grey",IF(I404=2,"Green",IF(I404=1,"Amber","Red"))))</f>
        <v/>
      </c>
    </row>
    <row r="405" spans="1:21" ht="28" customHeight="1" x14ac:dyDescent="0.35">
      <c r="A405" s="4">
        <v>2</v>
      </c>
      <c r="B405" s="4" t="s">
        <v>442</v>
      </c>
      <c r="C405" s="4" t="s">
        <v>443</v>
      </c>
      <c r="D405" s="4" t="s">
        <v>444</v>
      </c>
      <c r="E405" s="4" t="s">
        <v>69</v>
      </c>
      <c r="F405" s="4" t="s">
        <v>95</v>
      </c>
      <c r="G405" s="4" t="s">
        <v>102</v>
      </c>
      <c r="H405" s="4" t="s">
        <v>59</v>
      </c>
      <c r="I405" s="3"/>
      <c r="J405" s="3"/>
      <c r="K405" s="3"/>
      <c r="L405" s="3"/>
      <c r="M405" s="3"/>
      <c r="N405" s="3"/>
      <c r="O405" s="3"/>
      <c r="P405" s="8"/>
      <c r="Q405" s="8"/>
      <c r="R405" s="3"/>
      <c r="S405" s="3"/>
      <c r="T405" s="3"/>
      <c r="U405" s="5" t="str">
        <f t="shared" si="24"/>
        <v/>
      </c>
    </row>
    <row r="406" spans="1:21" ht="28" customHeight="1" x14ac:dyDescent="0.35">
      <c r="A406" s="4">
        <v>3</v>
      </c>
      <c r="B406" s="4" t="s">
        <v>445</v>
      </c>
      <c r="C406" s="4" t="s">
        <v>446</v>
      </c>
      <c r="D406" s="4" t="s">
        <v>369</v>
      </c>
      <c r="E406" s="4" t="s">
        <v>69</v>
      </c>
      <c r="F406" s="4" t="s">
        <v>370</v>
      </c>
      <c r="G406" s="4" t="s">
        <v>204</v>
      </c>
      <c r="H406" s="4" t="s">
        <v>76</v>
      </c>
      <c r="I406" s="3"/>
      <c r="J406" s="3"/>
      <c r="K406" s="3"/>
      <c r="L406" s="3"/>
      <c r="M406" s="3"/>
      <c r="N406" s="3"/>
      <c r="O406" s="3"/>
      <c r="P406" s="8"/>
      <c r="Q406" s="8"/>
      <c r="R406" s="3"/>
      <c r="S406" s="3"/>
      <c r="T406" s="3"/>
      <c r="U406" s="5" t="str">
        <f t="shared" si="24"/>
        <v/>
      </c>
    </row>
    <row r="407" spans="1:21" ht="28" customHeight="1" x14ac:dyDescent="0.35">
      <c r="A407" s="4">
        <v>4</v>
      </c>
      <c r="B407" s="4" t="s">
        <v>447</v>
      </c>
      <c r="C407" s="4" t="s">
        <v>448</v>
      </c>
      <c r="D407" s="4" t="s">
        <v>449</v>
      </c>
      <c r="E407" s="4" t="s">
        <v>109</v>
      </c>
      <c r="F407" s="4" t="s">
        <v>276</v>
      </c>
      <c r="G407" s="4" t="s">
        <v>199</v>
      </c>
      <c r="H407" s="4" t="s">
        <v>59</v>
      </c>
      <c r="I407" s="3"/>
      <c r="J407" s="3"/>
      <c r="K407" s="3"/>
      <c r="L407" s="3"/>
      <c r="M407" s="3"/>
      <c r="N407" s="3"/>
      <c r="O407" s="3"/>
      <c r="P407" s="8"/>
      <c r="Q407" s="8"/>
      <c r="R407" s="3"/>
      <c r="S407" s="3"/>
      <c r="T407" s="3"/>
      <c r="U407" s="5" t="str">
        <f t="shared" si="24"/>
        <v/>
      </c>
    </row>
    <row r="408" spans="1:21" ht="28" customHeight="1" x14ac:dyDescent="0.35">
      <c r="A408" s="4">
        <v>5</v>
      </c>
      <c r="B408" s="4" t="s">
        <v>450</v>
      </c>
      <c r="C408" s="4" t="s">
        <v>451</v>
      </c>
      <c r="D408" s="4" t="s">
        <v>452</v>
      </c>
      <c r="E408" s="4" t="s">
        <v>69</v>
      </c>
      <c r="F408" s="4" t="s">
        <v>276</v>
      </c>
      <c r="G408" s="4" t="s">
        <v>199</v>
      </c>
      <c r="H408" s="4" t="s">
        <v>59</v>
      </c>
      <c r="I408" s="3"/>
      <c r="J408" s="3"/>
      <c r="K408" s="3"/>
      <c r="L408" s="3"/>
      <c r="M408" s="3"/>
      <c r="N408" s="3"/>
      <c r="O408" s="3"/>
      <c r="P408" s="8"/>
      <c r="Q408" s="8"/>
      <c r="R408" s="3"/>
      <c r="S408" s="3"/>
      <c r="T408" s="3"/>
      <c r="U408" s="5" t="str">
        <f t="shared" si="24"/>
        <v/>
      </c>
    </row>
    <row r="409" spans="1:21" ht="28" customHeight="1" x14ac:dyDescent="0.35">
      <c r="A409" s="4">
        <v>6</v>
      </c>
      <c r="B409" s="4" t="s">
        <v>453</v>
      </c>
      <c r="C409" s="4" t="s">
        <v>454</v>
      </c>
      <c r="D409" s="4" t="s">
        <v>455</v>
      </c>
      <c r="E409" s="4" t="s">
        <v>69</v>
      </c>
      <c r="F409" s="4" t="s">
        <v>284</v>
      </c>
      <c r="G409" s="4" t="s">
        <v>204</v>
      </c>
      <c r="H409" s="4" t="s">
        <v>76</v>
      </c>
      <c r="I409" s="3"/>
      <c r="J409" s="3"/>
      <c r="K409" s="3"/>
      <c r="L409" s="3"/>
      <c r="M409" s="3"/>
      <c r="N409" s="3"/>
      <c r="O409" s="3"/>
      <c r="P409" s="8"/>
      <c r="Q409" s="8"/>
      <c r="R409" s="3"/>
      <c r="S409" s="3"/>
      <c r="T409" s="3"/>
      <c r="U409" s="5" t="str">
        <f t="shared" si="24"/>
        <v/>
      </c>
    </row>
    <row r="410" spans="1:21" ht="28" customHeight="1" x14ac:dyDescent="0.35">
      <c r="A410" s="4">
        <v>7</v>
      </c>
      <c r="B410" s="4" t="s">
        <v>456</v>
      </c>
      <c r="C410" s="4" t="s">
        <v>457</v>
      </c>
      <c r="D410" s="4" t="s">
        <v>458</v>
      </c>
      <c r="E410" s="4" t="s">
        <v>69</v>
      </c>
      <c r="F410" s="4" t="s">
        <v>459</v>
      </c>
      <c r="G410" s="4" t="s">
        <v>209</v>
      </c>
      <c r="H410" s="4" t="s">
        <v>59</v>
      </c>
      <c r="I410" s="3"/>
      <c r="J410" s="3"/>
      <c r="K410" s="3"/>
      <c r="L410" s="3"/>
      <c r="M410" s="3"/>
      <c r="N410" s="3"/>
      <c r="O410" s="3"/>
      <c r="P410" s="8"/>
      <c r="Q410" s="8"/>
      <c r="R410" s="3"/>
      <c r="S410" s="3"/>
      <c r="T410" s="3"/>
      <c r="U410" s="5" t="str">
        <f t="shared" si="24"/>
        <v/>
      </c>
    </row>
    <row r="411" spans="1:21" ht="28" customHeight="1" x14ac:dyDescent="0.35">
      <c r="A411" s="4">
        <v>8</v>
      </c>
      <c r="B411" s="4" t="s">
        <v>460</v>
      </c>
      <c r="C411" s="4" t="s">
        <v>461</v>
      </c>
      <c r="D411" s="4" t="s">
        <v>462</v>
      </c>
      <c r="E411" s="4" t="s">
        <v>69</v>
      </c>
      <c r="F411" s="4" t="s">
        <v>95</v>
      </c>
      <c r="G411" s="4" t="s">
        <v>102</v>
      </c>
      <c r="H411" s="4" t="s">
        <v>59</v>
      </c>
      <c r="I411" s="3"/>
      <c r="J411" s="3"/>
      <c r="K411" s="3"/>
      <c r="L411" s="3"/>
      <c r="M411" s="3"/>
      <c r="N411" s="3"/>
      <c r="O411" s="3"/>
      <c r="P411" s="8"/>
      <c r="Q411" s="8"/>
      <c r="R411" s="3"/>
      <c r="S411" s="3"/>
      <c r="T411" s="3"/>
      <c r="U411" s="5" t="str">
        <f t="shared" si="24"/>
        <v/>
      </c>
    </row>
    <row r="412" spans="1:21" ht="28" customHeight="1" x14ac:dyDescent="0.35">
      <c r="A412" s="4">
        <v>9</v>
      </c>
      <c r="B412" s="4" t="s">
        <v>97</v>
      </c>
      <c r="C412" s="4" t="s">
        <v>98</v>
      </c>
      <c r="D412" s="4" t="s">
        <v>99</v>
      </c>
      <c r="E412" s="4" t="s">
        <v>69</v>
      </c>
      <c r="F412" s="4" t="s">
        <v>95</v>
      </c>
      <c r="G412" s="4" t="s">
        <v>96</v>
      </c>
      <c r="H412" s="4" t="s">
        <v>59</v>
      </c>
      <c r="I412" s="3"/>
      <c r="J412" s="3"/>
      <c r="K412" s="3"/>
      <c r="L412" s="3"/>
      <c r="M412" s="3"/>
      <c r="N412" s="3"/>
      <c r="O412" s="3"/>
      <c r="P412" s="8"/>
      <c r="Q412" s="8"/>
      <c r="R412" s="3"/>
      <c r="S412" s="3"/>
      <c r="T412" s="3"/>
      <c r="U412" s="5" t="str">
        <f t="shared" si="24"/>
        <v/>
      </c>
    </row>
    <row r="413" spans="1:21" ht="28" customHeight="1" x14ac:dyDescent="0.35">
      <c r="A413" s="4">
        <v>10</v>
      </c>
      <c r="B413" s="4" t="s">
        <v>97</v>
      </c>
      <c r="C413" s="4" t="s">
        <v>100</v>
      </c>
      <c r="D413" s="4" t="s">
        <v>101</v>
      </c>
      <c r="E413" s="4" t="s">
        <v>69</v>
      </c>
      <c r="F413" s="4" t="s">
        <v>95</v>
      </c>
      <c r="G413" s="4" t="s">
        <v>102</v>
      </c>
      <c r="H413" s="4" t="s">
        <v>59</v>
      </c>
      <c r="I413" s="3"/>
      <c r="J413" s="3"/>
      <c r="K413" s="3"/>
      <c r="L413" s="3"/>
      <c r="M413" s="3"/>
      <c r="N413" s="3"/>
      <c r="O413" s="3"/>
      <c r="P413" s="8"/>
      <c r="Q413" s="8"/>
      <c r="R413" s="3"/>
      <c r="S413" s="3"/>
      <c r="T413" s="3"/>
      <c r="U413" s="5" t="str">
        <f t="shared" si="24"/>
        <v/>
      </c>
    </row>
    <row r="414" spans="1:21" ht="28" customHeight="1" x14ac:dyDescent="0.35">
      <c r="A414" s="4">
        <v>11</v>
      </c>
      <c r="B414" s="4" t="s">
        <v>103</v>
      </c>
      <c r="C414" s="4" t="s">
        <v>104</v>
      </c>
      <c r="D414" s="4" t="s">
        <v>105</v>
      </c>
      <c r="E414" s="4" t="s">
        <v>69</v>
      </c>
      <c r="F414" s="4" t="s">
        <v>95</v>
      </c>
      <c r="G414" s="4" t="s">
        <v>96</v>
      </c>
      <c r="H414" s="4" t="s">
        <v>85</v>
      </c>
      <c r="I414" s="3"/>
      <c r="J414" s="3"/>
      <c r="K414" s="3"/>
      <c r="L414" s="3"/>
      <c r="M414" s="3"/>
      <c r="N414" s="3"/>
      <c r="O414" s="3"/>
      <c r="P414" s="8"/>
      <c r="Q414" s="8"/>
      <c r="R414" s="3"/>
      <c r="S414" s="3"/>
      <c r="T414" s="3"/>
      <c r="U414" s="5" t="str">
        <f t="shared" si="24"/>
        <v/>
      </c>
    </row>
    <row r="415" spans="1:21" ht="28" customHeight="1" x14ac:dyDescent="0.35">
      <c r="A415" s="4">
        <v>12</v>
      </c>
      <c r="B415" s="4" t="s">
        <v>106</v>
      </c>
      <c r="C415" s="4" t="s">
        <v>107</v>
      </c>
      <c r="D415" s="4" t="s">
        <v>108</v>
      </c>
      <c r="E415" s="4" t="s">
        <v>109</v>
      </c>
      <c r="F415" s="4" t="s">
        <v>95</v>
      </c>
      <c r="G415" s="4" t="s">
        <v>96</v>
      </c>
      <c r="H415" s="4" t="s">
        <v>59</v>
      </c>
      <c r="I415" s="3"/>
      <c r="J415" s="3"/>
      <c r="K415" s="3"/>
      <c r="L415" s="3"/>
      <c r="M415" s="3"/>
      <c r="N415" s="3"/>
      <c r="O415" s="3"/>
      <c r="P415" s="8"/>
      <c r="Q415" s="8"/>
      <c r="R415" s="3"/>
      <c r="S415" s="3"/>
      <c r="T415" s="3"/>
      <c r="U415" s="5" t="str">
        <f t="shared" si="24"/>
        <v/>
      </c>
    </row>
    <row r="417" spans="1:21" ht="28" customHeight="1" x14ac:dyDescent="0.35">
      <c r="A417" s="9" t="s">
        <v>110</v>
      </c>
      <c r="B417" s="16"/>
      <c r="C417" s="17"/>
      <c r="D417" s="17"/>
      <c r="E417" s="17"/>
      <c r="F417" s="17"/>
      <c r="G417" s="17"/>
      <c r="H417" s="17"/>
      <c r="I417" s="17"/>
      <c r="J417" s="17"/>
      <c r="K417" s="17"/>
      <c r="L417" s="17"/>
      <c r="M417" s="17"/>
      <c r="N417" s="17"/>
      <c r="O417" s="17"/>
      <c r="P417" s="17"/>
      <c r="Q417" s="17"/>
      <c r="R417" s="17"/>
      <c r="S417" s="17"/>
      <c r="T417" s="17"/>
      <c r="U417" s="18"/>
    </row>
    <row r="418" spans="1:21" ht="28" customHeight="1" x14ac:dyDescent="0.35">
      <c r="A418" s="19" t="s">
        <v>483</v>
      </c>
      <c r="B418" s="20"/>
      <c r="C418" s="20"/>
      <c r="D418" s="20"/>
      <c r="E418" s="20"/>
      <c r="F418" s="20"/>
      <c r="G418" s="20"/>
      <c r="H418" s="20"/>
      <c r="I418" s="20"/>
      <c r="J418" s="20"/>
      <c r="K418" s="20"/>
      <c r="L418" s="20"/>
      <c r="M418" s="20"/>
      <c r="N418" s="20"/>
      <c r="O418" s="20"/>
      <c r="P418" s="20"/>
      <c r="Q418" s="20"/>
      <c r="R418" s="20"/>
      <c r="S418" s="20"/>
      <c r="T418" s="20"/>
      <c r="U418" s="21"/>
    </row>
    <row r="419" spans="1:21" ht="28" customHeight="1" x14ac:dyDescent="0.35">
      <c r="A419" s="4" t="s">
        <v>31</v>
      </c>
      <c r="B419" s="3" t="s">
        <v>238</v>
      </c>
      <c r="C419" s="4" t="s">
        <v>32</v>
      </c>
      <c r="D419" s="3"/>
      <c r="E419" s="4" t="s">
        <v>33</v>
      </c>
      <c r="F419" s="8"/>
    </row>
    <row r="420" spans="1:21" ht="28" customHeight="1" x14ac:dyDescent="0.35">
      <c r="A420" s="1" t="s">
        <v>34</v>
      </c>
      <c r="B420" s="1" t="s">
        <v>35</v>
      </c>
      <c r="C420" s="1" t="s">
        <v>36</v>
      </c>
      <c r="D420" s="1" t="s">
        <v>37</v>
      </c>
      <c r="E420" s="1" t="s">
        <v>38</v>
      </c>
      <c r="F420" s="1" t="s">
        <v>39</v>
      </c>
      <c r="G420" s="1" t="s">
        <v>40</v>
      </c>
      <c r="H420" s="1" t="s">
        <v>41</v>
      </c>
      <c r="I420" s="1" t="s">
        <v>42</v>
      </c>
      <c r="J420" s="1" t="s">
        <v>43</v>
      </c>
      <c r="K420" s="1" t="s">
        <v>44</v>
      </c>
      <c r="L420" s="1" t="s">
        <v>45</v>
      </c>
      <c r="M420" s="1" t="s">
        <v>46</v>
      </c>
      <c r="N420" s="1" t="s">
        <v>47</v>
      </c>
      <c r="O420" s="1" t="s">
        <v>48</v>
      </c>
      <c r="P420" s="1" t="s">
        <v>4</v>
      </c>
      <c r="Q420" s="1" t="s">
        <v>49</v>
      </c>
      <c r="R420" s="1" t="s">
        <v>50</v>
      </c>
      <c r="S420" s="1" t="s">
        <v>51</v>
      </c>
      <c r="T420" s="1" t="s">
        <v>52</v>
      </c>
      <c r="U420" s="1" t="s">
        <v>10</v>
      </c>
    </row>
    <row r="421" spans="1:21" ht="28" customHeight="1" x14ac:dyDescent="0.35">
      <c r="A421" s="4">
        <v>1</v>
      </c>
      <c r="B421" s="4" t="s">
        <v>439</v>
      </c>
      <c r="C421" s="4" t="s">
        <v>440</v>
      </c>
      <c r="D421" s="4" t="s">
        <v>441</v>
      </c>
      <c r="E421" s="4" t="s">
        <v>69</v>
      </c>
      <c r="F421" s="4" t="s">
        <v>370</v>
      </c>
      <c r="G421" s="4" t="s">
        <v>204</v>
      </c>
      <c r="H421" s="4" t="s">
        <v>59</v>
      </c>
      <c r="I421" s="3"/>
      <c r="J421" s="3"/>
      <c r="K421" s="3"/>
      <c r="L421" s="3"/>
      <c r="M421" s="3"/>
      <c r="N421" s="3"/>
      <c r="O421" s="3"/>
      <c r="P421" s="8"/>
      <c r="Q421" s="8"/>
      <c r="R421" s="3"/>
      <c r="S421" s="3"/>
      <c r="T421" s="3"/>
      <c r="U421" s="5" t="str">
        <f t="shared" ref="U421:U432" si="25">IF(I421="","",IF(I421="NA","Grey",IF(I421=2,"Green",IF(I421=1,"Amber","Red"))))</f>
        <v/>
      </c>
    </row>
    <row r="422" spans="1:21" ht="28" customHeight="1" x14ac:dyDescent="0.35">
      <c r="A422" s="4">
        <v>2</v>
      </c>
      <c r="B422" s="4" t="s">
        <v>442</v>
      </c>
      <c r="C422" s="4" t="s">
        <v>443</v>
      </c>
      <c r="D422" s="4" t="s">
        <v>444</v>
      </c>
      <c r="E422" s="4" t="s">
        <v>69</v>
      </c>
      <c r="F422" s="4" t="s">
        <v>95</v>
      </c>
      <c r="G422" s="4" t="s">
        <v>102</v>
      </c>
      <c r="H422" s="4" t="s">
        <v>59</v>
      </c>
      <c r="I422" s="3"/>
      <c r="J422" s="3"/>
      <c r="K422" s="3"/>
      <c r="L422" s="3"/>
      <c r="M422" s="3"/>
      <c r="N422" s="3"/>
      <c r="O422" s="3"/>
      <c r="P422" s="8"/>
      <c r="Q422" s="8"/>
      <c r="R422" s="3"/>
      <c r="S422" s="3"/>
      <c r="T422" s="3"/>
      <c r="U422" s="5" t="str">
        <f t="shared" si="25"/>
        <v/>
      </c>
    </row>
    <row r="423" spans="1:21" ht="28" customHeight="1" x14ac:dyDescent="0.35">
      <c r="A423" s="4">
        <v>3</v>
      </c>
      <c r="B423" s="4" t="s">
        <v>445</v>
      </c>
      <c r="C423" s="4" t="s">
        <v>446</v>
      </c>
      <c r="D423" s="4" t="s">
        <v>369</v>
      </c>
      <c r="E423" s="4" t="s">
        <v>69</v>
      </c>
      <c r="F423" s="4" t="s">
        <v>370</v>
      </c>
      <c r="G423" s="4" t="s">
        <v>204</v>
      </c>
      <c r="H423" s="4" t="s">
        <v>76</v>
      </c>
      <c r="I423" s="3"/>
      <c r="J423" s="3"/>
      <c r="K423" s="3"/>
      <c r="L423" s="3"/>
      <c r="M423" s="3"/>
      <c r="N423" s="3"/>
      <c r="O423" s="3"/>
      <c r="P423" s="8"/>
      <c r="Q423" s="8"/>
      <c r="R423" s="3"/>
      <c r="S423" s="3"/>
      <c r="T423" s="3"/>
      <c r="U423" s="5" t="str">
        <f t="shared" si="25"/>
        <v/>
      </c>
    </row>
    <row r="424" spans="1:21" ht="28" customHeight="1" x14ac:dyDescent="0.35">
      <c r="A424" s="4">
        <v>4</v>
      </c>
      <c r="B424" s="4" t="s">
        <v>447</v>
      </c>
      <c r="C424" s="4" t="s">
        <v>448</v>
      </c>
      <c r="D424" s="4" t="s">
        <v>449</v>
      </c>
      <c r="E424" s="4" t="s">
        <v>109</v>
      </c>
      <c r="F424" s="4" t="s">
        <v>276</v>
      </c>
      <c r="G424" s="4" t="s">
        <v>199</v>
      </c>
      <c r="H424" s="4" t="s">
        <v>59</v>
      </c>
      <c r="I424" s="3"/>
      <c r="J424" s="3"/>
      <c r="K424" s="3"/>
      <c r="L424" s="3"/>
      <c r="M424" s="3"/>
      <c r="N424" s="3"/>
      <c r="O424" s="3"/>
      <c r="P424" s="8"/>
      <c r="Q424" s="8"/>
      <c r="R424" s="3"/>
      <c r="S424" s="3"/>
      <c r="T424" s="3"/>
      <c r="U424" s="5" t="str">
        <f t="shared" si="25"/>
        <v/>
      </c>
    </row>
    <row r="425" spans="1:21" ht="28" customHeight="1" x14ac:dyDescent="0.35">
      <c r="A425" s="4">
        <v>5</v>
      </c>
      <c r="B425" s="4" t="s">
        <v>450</v>
      </c>
      <c r="C425" s="4" t="s">
        <v>451</v>
      </c>
      <c r="D425" s="4" t="s">
        <v>452</v>
      </c>
      <c r="E425" s="4" t="s">
        <v>69</v>
      </c>
      <c r="F425" s="4" t="s">
        <v>276</v>
      </c>
      <c r="G425" s="4" t="s">
        <v>199</v>
      </c>
      <c r="H425" s="4" t="s">
        <v>59</v>
      </c>
      <c r="I425" s="3"/>
      <c r="J425" s="3"/>
      <c r="K425" s="3"/>
      <c r="L425" s="3"/>
      <c r="M425" s="3"/>
      <c r="N425" s="3"/>
      <c r="O425" s="3"/>
      <c r="P425" s="8"/>
      <c r="Q425" s="8"/>
      <c r="R425" s="3"/>
      <c r="S425" s="3"/>
      <c r="T425" s="3"/>
      <c r="U425" s="5" t="str">
        <f t="shared" si="25"/>
        <v/>
      </c>
    </row>
    <row r="426" spans="1:21" ht="28" customHeight="1" x14ac:dyDescent="0.35">
      <c r="A426" s="4">
        <v>6</v>
      </c>
      <c r="B426" s="4" t="s">
        <v>453</v>
      </c>
      <c r="C426" s="4" t="s">
        <v>454</v>
      </c>
      <c r="D426" s="4" t="s">
        <v>455</v>
      </c>
      <c r="E426" s="4" t="s">
        <v>69</v>
      </c>
      <c r="F426" s="4" t="s">
        <v>284</v>
      </c>
      <c r="G426" s="4" t="s">
        <v>204</v>
      </c>
      <c r="H426" s="4" t="s">
        <v>76</v>
      </c>
      <c r="I426" s="3"/>
      <c r="J426" s="3"/>
      <c r="K426" s="3"/>
      <c r="L426" s="3"/>
      <c r="M426" s="3"/>
      <c r="N426" s="3"/>
      <c r="O426" s="3"/>
      <c r="P426" s="8"/>
      <c r="Q426" s="8"/>
      <c r="R426" s="3"/>
      <c r="S426" s="3"/>
      <c r="T426" s="3"/>
      <c r="U426" s="5" t="str">
        <f t="shared" si="25"/>
        <v/>
      </c>
    </row>
    <row r="427" spans="1:21" ht="28" customHeight="1" x14ac:dyDescent="0.35">
      <c r="A427" s="4">
        <v>7</v>
      </c>
      <c r="B427" s="4" t="s">
        <v>456</v>
      </c>
      <c r="C427" s="4" t="s">
        <v>457</v>
      </c>
      <c r="D427" s="4" t="s">
        <v>458</v>
      </c>
      <c r="E427" s="4" t="s">
        <v>69</v>
      </c>
      <c r="F427" s="4" t="s">
        <v>459</v>
      </c>
      <c r="G427" s="4" t="s">
        <v>209</v>
      </c>
      <c r="H427" s="4" t="s">
        <v>59</v>
      </c>
      <c r="I427" s="3"/>
      <c r="J427" s="3"/>
      <c r="K427" s="3"/>
      <c r="L427" s="3"/>
      <c r="M427" s="3"/>
      <c r="N427" s="3"/>
      <c r="O427" s="3"/>
      <c r="P427" s="8"/>
      <c r="Q427" s="8"/>
      <c r="R427" s="3"/>
      <c r="S427" s="3"/>
      <c r="T427" s="3"/>
      <c r="U427" s="5" t="str">
        <f t="shared" si="25"/>
        <v/>
      </c>
    </row>
    <row r="428" spans="1:21" ht="28" customHeight="1" x14ac:dyDescent="0.35">
      <c r="A428" s="4">
        <v>8</v>
      </c>
      <c r="B428" s="4" t="s">
        <v>460</v>
      </c>
      <c r="C428" s="4" t="s">
        <v>461</v>
      </c>
      <c r="D428" s="4" t="s">
        <v>462</v>
      </c>
      <c r="E428" s="4" t="s">
        <v>69</v>
      </c>
      <c r="F428" s="4" t="s">
        <v>95</v>
      </c>
      <c r="G428" s="4" t="s">
        <v>102</v>
      </c>
      <c r="H428" s="4" t="s">
        <v>59</v>
      </c>
      <c r="I428" s="3"/>
      <c r="J428" s="3"/>
      <c r="K428" s="3"/>
      <c r="L428" s="3"/>
      <c r="M428" s="3"/>
      <c r="N428" s="3"/>
      <c r="O428" s="3"/>
      <c r="P428" s="8"/>
      <c r="Q428" s="8"/>
      <c r="R428" s="3"/>
      <c r="S428" s="3"/>
      <c r="T428" s="3"/>
      <c r="U428" s="5" t="str">
        <f t="shared" si="25"/>
        <v/>
      </c>
    </row>
    <row r="429" spans="1:21" ht="28" customHeight="1" x14ac:dyDescent="0.35">
      <c r="A429" s="4">
        <v>9</v>
      </c>
      <c r="B429" s="4" t="s">
        <v>97</v>
      </c>
      <c r="C429" s="4" t="s">
        <v>98</v>
      </c>
      <c r="D429" s="4" t="s">
        <v>99</v>
      </c>
      <c r="E429" s="4" t="s">
        <v>69</v>
      </c>
      <c r="F429" s="4" t="s">
        <v>95</v>
      </c>
      <c r="G429" s="4" t="s">
        <v>96</v>
      </c>
      <c r="H429" s="4" t="s">
        <v>59</v>
      </c>
      <c r="I429" s="3"/>
      <c r="J429" s="3"/>
      <c r="K429" s="3"/>
      <c r="L429" s="3"/>
      <c r="M429" s="3"/>
      <c r="N429" s="3"/>
      <c r="O429" s="3"/>
      <c r="P429" s="8"/>
      <c r="Q429" s="8"/>
      <c r="R429" s="3"/>
      <c r="S429" s="3"/>
      <c r="T429" s="3"/>
      <c r="U429" s="5" t="str">
        <f t="shared" si="25"/>
        <v/>
      </c>
    </row>
    <row r="430" spans="1:21" ht="28" customHeight="1" x14ac:dyDescent="0.35">
      <c r="A430" s="4">
        <v>10</v>
      </c>
      <c r="B430" s="4" t="s">
        <v>97</v>
      </c>
      <c r="C430" s="4" t="s">
        <v>100</v>
      </c>
      <c r="D430" s="4" t="s">
        <v>101</v>
      </c>
      <c r="E430" s="4" t="s">
        <v>69</v>
      </c>
      <c r="F430" s="4" t="s">
        <v>95</v>
      </c>
      <c r="G430" s="4" t="s">
        <v>102</v>
      </c>
      <c r="H430" s="4" t="s">
        <v>59</v>
      </c>
      <c r="I430" s="3"/>
      <c r="J430" s="3"/>
      <c r="K430" s="3"/>
      <c r="L430" s="3"/>
      <c r="M430" s="3"/>
      <c r="N430" s="3"/>
      <c r="O430" s="3"/>
      <c r="P430" s="8"/>
      <c r="Q430" s="8"/>
      <c r="R430" s="3"/>
      <c r="S430" s="3"/>
      <c r="T430" s="3"/>
      <c r="U430" s="5" t="str">
        <f t="shared" si="25"/>
        <v/>
      </c>
    </row>
    <row r="431" spans="1:21" ht="28" customHeight="1" x14ac:dyDescent="0.35">
      <c r="A431" s="4">
        <v>11</v>
      </c>
      <c r="B431" s="4" t="s">
        <v>103</v>
      </c>
      <c r="C431" s="4" t="s">
        <v>104</v>
      </c>
      <c r="D431" s="4" t="s">
        <v>105</v>
      </c>
      <c r="E431" s="4" t="s">
        <v>69</v>
      </c>
      <c r="F431" s="4" t="s">
        <v>95</v>
      </c>
      <c r="G431" s="4" t="s">
        <v>96</v>
      </c>
      <c r="H431" s="4" t="s">
        <v>85</v>
      </c>
      <c r="I431" s="3"/>
      <c r="J431" s="3"/>
      <c r="K431" s="3"/>
      <c r="L431" s="3"/>
      <c r="M431" s="3"/>
      <c r="N431" s="3"/>
      <c r="O431" s="3"/>
      <c r="P431" s="8"/>
      <c r="Q431" s="8"/>
      <c r="R431" s="3"/>
      <c r="S431" s="3"/>
      <c r="T431" s="3"/>
      <c r="U431" s="5" t="str">
        <f t="shared" si="25"/>
        <v/>
      </c>
    </row>
    <row r="432" spans="1:21" ht="28" customHeight="1" x14ac:dyDescent="0.35">
      <c r="A432" s="4">
        <v>12</v>
      </c>
      <c r="B432" s="4" t="s">
        <v>106</v>
      </c>
      <c r="C432" s="4" t="s">
        <v>107</v>
      </c>
      <c r="D432" s="4" t="s">
        <v>108</v>
      </c>
      <c r="E432" s="4" t="s">
        <v>109</v>
      </c>
      <c r="F432" s="4" t="s">
        <v>95</v>
      </c>
      <c r="G432" s="4" t="s">
        <v>96</v>
      </c>
      <c r="H432" s="4" t="s">
        <v>59</v>
      </c>
      <c r="I432" s="3"/>
      <c r="J432" s="3"/>
      <c r="K432" s="3"/>
      <c r="L432" s="3"/>
      <c r="M432" s="3"/>
      <c r="N432" s="3"/>
      <c r="O432" s="3"/>
      <c r="P432" s="8"/>
      <c r="Q432" s="8"/>
      <c r="R432" s="3"/>
      <c r="S432" s="3"/>
      <c r="T432" s="3"/>
      <c r="U432" s="5" t="str">
        <f t="shared" si="25"/>
        <v/>
      </c>
    </row>
    <row r="434" spans="1:21" ht="28" customHeight="1" x14ac:dyDescent="0.35">
      <c r="A434" s="9" t="s">
        <v>110</v>
      </c>
      <c r="B434" s="16"/>
      <c r="C434" s="17"/>
      <c r="D434" s="17"/>
      <c r="E434" s="17"/>
      <c r="F434" s="17"/>
      <c r="G434" s="17"/>
      <c r="H434" s="17"/>
      <c r="I434" s="17"/>
      <c r="J434" s="17"/>
      <c r="K434" s="17"/>
      <c r="L434" s="17"/>
      <c r="M434" s="17"/>
      <c r="N434" s="17"/>
      <c r="O434" s="17"/>
      <c r="P434" s="17"/>
      <c r="Q434" s="17"/>
      <c r="R434" s="17"/>
      <c r="S434" s="17"/>
      <c r="T434" s="17"/>
      <c r="U434" s="18"/>
    </row>
    <row r="435" spans="1:21" ht="28" customHeight="1" x14ac:dyDescent="0.35">
      <c r="A435" s="19" t="s">
        <v>484</v>
      </c>
      <c r="B435" s="20"/>
      <c r="C435" s="20"/>
      <c r="D435" s="20"/>
      <c r="E435" s="20"/>
      <c r="F435" s="20"/>
      <c r="G435" s="20"/>
      <c r="H435" s="20"/>
      <c r="I435" s="20"/>
      <c r="J435" s="20"/>
      <c r="K435" s="20"/>
      <c r="L435" s="20"/>
      <c r="M435" s="20"/>
      <c r="N435" s="20"/>
      <c r="O435" s="20"/>
      <c r="P435" s="20"/>
      <c r="Q435" s="20"/>
      <c r="R435" s="20"/>
      <c r="S435" s="20"/>
      <c r="T435" s="20"/>
      <c r="U435" s="21"/>
    </row>
    <row r="436" spans="1:21" ht="28" customHeight="1" x14ac:dyDescent="0.35">
      <c r="A436" s="4" t="s">
        <v>31</v>
      </c>
      <c r="B436" s="3" t="s">
        <v>239</v>
      </c>
      <c r="C436" s="4" t="s">
        <v>32</v>
      </c>
      <c r="D436" s="3"/>
      <c r="E436" s="4" t="s">
        <v>33</v>
      </c>
      <c r="F436" s="8"/>
    </row>
    <row r="437" spans="1:21" ht="28" customHeight="1" x14ac:dyDescent="0.35">
      <c r="A437" s="1" t="s">
        <v>34</v>
      </c>
      <c r="B437" s="1" t="s">
        <v>35</v>
      </c>
      <c r="C437" s="1" t="s">
        <v>36</v>
      </c>
      <c r="D437" s="1" t="s">
        <v>37</v>
      </c>
      <c r="E437" s="1" t="s">
        <v>38</v>
      </c>
      <c r="F437" s="1" t="s">
        <v>39</v>
      </c>
      <c r="G437" s="1" t="s">
        <v>40</v>
      </c>
      <c r="H437" s="1" t="s">
        <v>41</v>
      </c>
      <c r="I437" s="1" t="s">
        <v>42</v>
      </c>
      <c r="J437" s="1" t="s">
        <v>43</v>
      </c>
      <c r="K437" s="1" t="s">
        <v>44</v>
      </c>
      <c r="L437" s="1" t="s">
        <v>45</v>
      </c>
      <c r="M437" s="1" t="s">
        <v>46</v>
      </c>
      <c r="N437" s="1" t="s">
        <v>47</v>
      </c>
      <c r="O437" s="1" t="s">
        <v>48</v>
      </c>
      <c r="P437" s="1" t="s">
        <v>4</v>
      </c>
      <c r="Q437" s="1" t="s">
        <v>49</v>
      </c>
      <c r="R437" s="1" t="s">
        <v>50</v>
      </c>
      <c r="S437" s="1" t="s">
        <v>51</v>
      </c>
      <c r="T437" s="1" t="s">
        <v>52</v>
      </c>
      <c r="U437" s="1" t="s">
        <v>10</v>
      </c>
    </row>
    <row r="438" spans="1:21" ht="28" customHeight="1" x14ac:dyDescent="0.35">
      <c r="A438" s="4">
        <v>1</v>
      </c>
      <c r="B438" s="4" t="s">
        <v>439</v>
      </c>
      <c r="C438" s="4" t="s">
        <v>440</v>
      </c>
      <c r="D438" s="4" t="s">
        <v>441</v>
      </c>
      <c r="E438" s="4" t="s">
        <v>69</v>
      </c>
      <c r="F438" s="4" t="s">
        <v>370</v>
      </c>
      <c r="G438" s="4" t="s">
        <v>204</v>
      </c>
      <c r="H438" s="4" t="s">
        <v>59</v>
      </c>
      <c r="I438" s="3"/>
      <c r="J438" s="3"/>
      <c r="K438" s="3"/>
      <c r="L438" s="3"/>
      <c r="M438" s="3"/>
      <c r="N438" s="3"/>
      <c r="O438" s="3"/>
      <c r="P438" s="8"/>
      <c r="Q438" s="8"/>
      <c r="R438" s="3"/>
      <c r="S438" s="3"/>
      <c r="T438" s="3"/>
      <c r="U438" s="5" t="str">
        <f t="shared" ref="U438:U449" si="26">IF(I438="","",IF(I438="NA","Grey",IF(I438=2,"Green",IF(I438=1,"Amber","Red"))))</f>
        <v/>
      </c>
    </row>
    <row r="439" spans="1:21" ht="28" customHeight="1" x14ac:dyDescent="0.35">
      <c r="A439" s="4">
        <v>2</v>
      </c>
      <c r="B439" s="4" t="s">
        <v>442</v>
      </c>
      <c r="C439" s="4" t="s">
        <v>443</v>
      </c>
      <c r="D439" s="4" t="s">
        <v>444</v>
      </c>
      <c r="E439" s="4" t="s">
        <v>69</v>
      </c>
      <c r="F439" s="4" t="s">
        <v>95</v>
      </c>
      <c r="G439" s="4" t="s">
        <v>102</v>
      </c>
      <c r="H439" s="4" t="s">
        <v>59</v>
      </c>
      <c r="I439" s="3"/>
      <c r="J439" s="3"/>
      <c r="K439" s="3"/>
      <c r="L439" s="3"/>
      <c r="M439" s="3"/>
      <c r="N439" s="3"/>
      <c r="O439" s="3"/>
      <c r="P439" s="8"/>
      <c r="Q439" s="8"/>
      <c r="R439" s="3"/>
      <c r="S439" s="3"/>
      <c r="T439" s="3"/>
      <c r="U439" s="5" t="str">
        <f t="shared" si="26"/>
        <v/>
      </c>
    </row>
    <row r="440" spans="1:21" ht="28" customHeight="1" x14ac:dyDescent="0.35">
      <c r="A440" s="4">
        <v>3</v>
      </c>
      <c r="B440" s="4" t="s">
        <v>445</v>
      </c>
      <c r="C440" s="4" t="s">
        <v>446</v>
      </c>
      <c r="D440" s="4" t="s">
        <v>369</v>
      </c>
      <c r="E440" s="4" t="s">
        <v>69</v>
      </c>
      <c r="F440" s="4" t="s">
        <v>370</v>
      </c>
      <c r="G440" s="4" t="s">
        <v>204</v>
      </c>
      <c r="H440" s="4" t="s">
        <v>76</v>
      </c>
      <c r="I440" s="3"/>
      <c r="J440" s="3"/>
      <c r="K440" s="3"/>
      <c r="L440" s="3"/>
      <c r="M440" s="3"/>
      <c r="N440" s="3"/>
      <c r="O440" s="3"/>
      <c r="P440" s="8"/>
      <c r="Q440" s="8"/>
      <c r="R440" s="3"/>
      <c r="S440" s="3"/>
      <c r="T440" s="3"/>
      <c r="U440" s="5" t="str">
        <f t="shared" si="26"/>
        <v/>
      </c>
    </row>
    <row r="441" spans="1:21" ht="28" customHeight="1" x14ac:dyDescent="0.35">
      <c r="A441" s="4">
        <v>4</v>
      </c>
      <c r="B441" s="4" t="s">
        <v>447</v>
      </c>
      <c r="C441" s="4" t="s">
        <v>448</v>
      </c>
      <c r="D441" s="4" t="s">
        <v>449</v>
      </c>
      <c r="E441" s="4" t="s">
        <v>109</v>
      </c>
      <c r="F441" s="4" t="s">
        <v>276</v>
      </c>
      <c r="G441" s="4" t="s">
        <v>199</v>
      </c>
      <c r="H441" s="4" t="s">
        <v>59</v>
      </c>
      <c r="I441" s="3"/>
      <c r="J441" s="3"/>
      <c r="K441" s="3"/>
      <c r="L441" s="3"/>
      <c r="M441" s="3"/>
      <c r="N441" s="3"/>
      <c r="O441" s="3"/>
      <c r="P441" s="8"/>
      <c r="Q441" s="8"/>
      <c r="R441" s="3"/>
      <c r="S441" s="3"/>
      <c r="T441" s="3"/>
      <c r="U441" s="5" t="str">
        <f t="shared" si="26"/>
        <v/>
      </c>
    </row>
    <row r="442" spans="1:21" ht="28" customHeight="1" x14ac:dyDescent="0.35">
      <c r="A442" s="4">
        <v>5</v>
      </c>
      <c r="B442" s="4" t="s">
        <v>450</v>
      </c>
      <c r="C442" s="4" t="s">
        <v>451</v>
      </c>
      <c r="D442" s="4" t="s">
        <v>452</v>
      </c>
      <c r="E442" s="4" t="s">
        <v>69</v>
      </c>
      <c r="F442" s="4" t="s">
        <v>276</v>
      </c>
      <c r="G442" s="4" t="s">
        <v>199</v>
      </c>
      <c r="H442" s="4" t="s">
        <v>59</v>
      </c>
      <c r="I442" s="3"/>
      <c r="J442" s="3"/>
      <c r="K442" s="3"/>
      <c r="L442" s="3"/>
      <c r="M442" s="3"/>
      <c r="N442" s="3"/>
      <c r="O442" s="3"/>
      <c r="P442" s="8"/>
      <c r="Q442" s="8"/>
      <c r="R442" s="3"/>
      <c r="S442" s="3"/>
      <c r="T442" s="3"/>
      <c r="U442" s="5" t="str">
        <f t="shared" si="26"/>
        <v/>
      </c>
    </row>
    <row r="443" spans="1:21" ht="28" customHeight="1" x14ac:dyDescent="0.35">
      <c r="A443" s="4">
        <v>6</v>
      </c>
      <c r="B443" s="4" t="s">
        <v>453</v>
      </c>
      <c r="C443" s="4" t="s">
        <v>454</v>
      </c>
      <c r="D443" s="4" t="s">
        <v>455</v>
      </c>
      <c r="E443" s="4" t="s">
        <v>69</v>
      </c>
      <c r="F443" s="4" t="s">
        <v>284</v>
      </c>
      <c r="G443" s="4" t="s">
        <v>204</v>
      </c>
      <c r="H443" s="4" t="s">
        <v>76</v>
      </c>
      <c r="I443" s="3"/>
      <c r="J443" s="3"/>
      <c r="K443" s="3"/>
      <c r="L443" s="3"/>
      <c r="M443" s="3"/>
      <c r="N443" s="3"/>
      <c r="O443" s="3"/>
      <c r="P443" s="8"/>
      <c r="Q443" s="8"/>
      <c r="R443" s="3"/>
      <c r="S443" s="3"/>
      <c r="T443" s="3"/>
      <c r="U443" s="5" t="str">
        <f t="shared" si="26"/>
        <v/>
      </c>
    </row>
    <row r="444" spans="1:21" ht="28" customHeight="1" x14ac:dyDescent="0.35">
      <c r="A444" s="4">
        <v>7</v>
      </c>
      <c r="B444" s="4" t="s">
        <v>456</v>
      </c>
      <c r="C444" s="4" t="s">
        <v>457</v>
      </c>
      <c r="D444" s="4" t="s">
        <v>458</v>
      </c>
      <c r="E444" s="4" t="s">
        <v>69</v>
      </c>
      <c r="F444" s="4" t="s">
        <v>459</v>
      </c>
      <c r="G444" s="4" t="s">
        <v>209</v>
      </c>
      <c r="H444" s="4" t="s">
        <v>59</v>
      </c>
      <c r="I444" s="3"/>
      <c r="J444" s="3"/>
      <c r="K444" s="3"/>
      <c r="L444" s="3"/>
      <c r="M444" s="3"/>
      <c r="N444" s="3"/>
      <c r="O444" s="3"/>
      <c r="P444" s="8"/>
      <c r="Q444" s="8"/>
      <c r="R444" s="3"/>
      <c r="S444" s="3"/>
      <c r="T444" s="3"/>
      <c r="U444" s="5" t="str">
        <f t="shared" si="26"/>
        <v/>
      </c>
    </row>
    <row r="445" spans="1:21" ht="28" customHeight="1" x14ac:dyDescent="0.35">
      <c r="A445" s="4">
        <v>8</v>
      </c>
      <c r="B445" s="4" t="s">
        <v>460</v>
      </c>
      <c r="C445" s="4" t="s">
        <v>461</v>
      </c>
      <c r="D445" s="4" t="s">
        <v>462</v>
      </c>
      <c r="E445" s="4" t="s">
        <v>69</v>
      </c>
      <c r="F445" s="4" t="s">
        <v>95</v>
      </c>
      <c r="G445" s="4" t="s">
        <v>102</v>
      </c>
      <c r="H445" s="4" t="s">
        <v>59</v>
      </c>
      <c r="I445" s="3"/>
      <c r="J445" s="3"/>
      <c r="K445" s="3"/>
      <c r="L445" s="3"/>
      <c r="M445" s="3"/>
      <c r="N445" s="3"/>
      <c r="O445" s="3"/>
      <c r="P445" s="8"/>
      <c r="Q445" s="8"/>
      <c r="R445" s="3"/>
      <c r="S445" s="3"/>
      <c r="T445" s="3"/>
      <c r="U445" s="5" t="str">
        <f t="shared" si="26"/>
        <v/>
      </c>
    </row>
    <row r="446" spans="1:21" ht="28" customHeight="1" x14ac:dyDescent="0.35">
      <c r="A446" s="4">
        <v>9</v>
      </c>
      <c r="B446" s="4" t="s">
        <v>97</v>
      </c>
      <c r="C446" s="4" t="s">
        <v>98</v>
      </c>
      <c r="D446" s="4" t="s">
        <v>99</v>
      </c>
      <c r="E446" s="4" t="s">
        <v>69</v>
      </c>
      <c r="F446" s="4" t="s">
        <v>95</v>
      </c>
      <c r="G446" s="4" t="s">
        <v>96</v>
      </c>
      <c r="H446" s="4" t="s">
        <v>59</v>
      </c>
      <c r="I446" s="3"/>
      <c r="J446" s="3"/>
      <c r="K446" s="3"/>
      <c r="L446" s="3"/>
      <c r="M446" s="3"/>
      <c r="N446" s="3"/>
      <c r="O446" s="3"/>
      <c r="P446" s="8"/>
      <c r="Q446" s="8"/>
      <c r="R446" s="3"/>
      <c r="S446" s="3"/>
      <c r="T446" s="3"/>
      <c r="U446" s="5" t="str">
        <f t="shared" si="26"/>
        <v/>
      </c>
    </row>
    <row r="447" spans="1:21" ht="28" customHeight="1" x14ac:dyDescent="0.35">
      <c r="A447" s="4">
        <v>10</v>
      </c>
      <c r="B447" s="4" t="s">
        <v>97</v>
      </c>
      <c r="C447" s="4" t="s">
        <v>100</v>
      </c>
      <c r="D447" s="4" t="s">
        <v>101</v>
      </c>
      <c r="E447" s="4" t="s">
        <v>69</v>
      </c>
      <c r="F447" s="4" t="s">
        <v>95</v>
      </c>
      <c r="G447" s="4" t="s">
        <v>102</v>
      </c>
      <c r="H447" s="4" t="s">
        <v>59</v>
      </c>
      <c r="I447" s="3"/>
      <c r="J447" s="3"/>
      <c r="K447" s="3"/>
      <c r="L447" s="3"/>
      <c r="M447" s="3"/>
      <c r="N447" s="3"/>
      <c r="O447" s="3"/>
      <c r="P447" s="8"/>
      <c r="Q447" s="8"/>
      <c r="R447" s="3"/>
      <c r="S447" s="3"/>
      <c r="T447" s="3"/>
      <c r="U447" s="5" t="str">
        <f t="shared" si="26"/>
        <v/>
      </c>
    </row>
    <row r="448" spans="1:21" ht="28" customHeight="1" x14ac:dyDescent="0.35">
      <c r="A448" s="4">
        <v>11</v>
      </c>
      <c r="B448" s="4" t="s">
        <v>103</v>
      </c>
      <c r="C448" s="4" t="s">
        <v>104</v>
      </c>
      <c r="D448" s="4" t="s">
        <v>105</v>
      </c>
      <c r="E448" s="4" t="s">
        <v>69</v>
      </c>
      <c r="F448" s="4" t="s">
        <v>95</v>
      </c>
      <c r="G448" s="4" t="s">
        <v>96</v>
      </c>
      <c r="H448" s="4" t="s">
        <v>85</v>
      </c>
      <c r="I448" s="3"/>
      <c r="J448" s="3"/>
      <c r="K448" s="3"/>
      <c r="L448" s="3"/>
      <c r="M448" s="3"/>
      <c r="N448" s="3"/>
      <c r="O448" s="3"/>
      <c r="P448" s="8"/>
      <c r="Q448" s="8"/>
      <c r="R448" s="3"/>
      <c r="S448" s="3"/>
      <c r="T448" s="3"/>
      <c r="U448" s="5" t="str">
        <f t="shared" si="26"/>
        <v/>
      </c>
    </row>
    <row r="449" spans="1:21" ht="28" customHeight="1" x14ac:dyDescent="0.35">
      <c r="A449" s="4">
        <v>12</v>
      </c>
      <c r="B449" s="4" t="s">
        <v>106</v>
      </c>
      <c r="C449" s="4" t="s">
        <v>107</v>
      </c>
      <c r="D449" s="4" t="s">
        <v>108</v>
      </c>
      <c r="E449" s="4" t="s">
        <v>109</v>
      </c>
      <c r="F449" s="4" t="s">
        <v>95</v>
      </c>
      <c r="G449" s="4" t="s">
        <v>96</v>
      </c>
      <c r="H449" s="4" t="s">
        <v>59</v>
      </c>
      <c r="I449" s="3"/>
      <c r="J449" s="3"/>
      <c r="K449" s="3"/>
      <c r="L449" s="3"/>
      <c r="M449" s="3"/>
      <c r="N449" s="3"/>
      <c r="O449" s="3"/>
      <c r="P449" s="8"/>
      <c r="Q449" s="8"/>
      <c r="R449" s="3"/>
      <c r="S449" s="3"/>
      <c r="T449" s="3"/>
      <c r="U449" s="5" t="str">
        <f t="shared" si="26"/>
        <v/>
      </c>
    </row>
    <row r="451" spans="1:21" ht="28" customHeight="1" x14ac:dyDescent="0.35">
      <c r="A451" s="9" t="s">
        <v>110</v>
      </c>
      <c r="B451" s="16"/>
      <c r="C451" s="17"/>
      <c r="D451" s="17"/>
      <c r="E451" s="17"/>
      <c r="F451" s="17"/>
      <c r="G451" s="17"/>
      <c r="H451" s="17"/>
      <c r="I451" s="17"/>
      <c r="J451" s="17"/>
      <c r="K451" s="17"/>
      <c r="L451" s="17"/>
      <c r="M451" s="17"/>
      <c r="N451" s="17"/>
      <c r="O451" s="17"/>
      <c r="P451" s="17"/>
      <c r="Q451" s="17"/>
      <c r="R451" s="17"/>
      <c r="S451" s="17"/>
      <c r="T451" s="17"/>
      <c r="U451" s="18"/>
    </row>
    <row r="452" spans="1:21" ht="28" customHeight="1" x14ac:dyDescent="0.35">
      <c r="A452" s="19" t="s">
        <v>485</v>
      </c>
      <c r="B452" s="20"/>
      <c r="C452" s="20"/>
      <c r="D452" s="20"/>
      <c r="E452" s="20"/>
      <c r="F452" s="20"/>
      <c r="G452" s="20"/>
      <c r="H452" s="20"/>
      <c r="I452" s="20"/>
      <c r="J452" s="20"/>
      <c r="K452" s="20"/>
      <c r="L452" s="20"/>
      <c r="M452" s="20"/>
      <c r="N452" s="20"/>
      <c r="O452" s="20"/>
      <c r="P452" s="20"/>
      <c r="Q452" s="20"/>
      <c r="R452" s="20"/>
      <c r="S452" s="20"/>
      <c r="T452" s="20"/>
      <c r="U452" s="21"/>
    </row>
    <row r="453" spans="1:21" ht="28" customHeight="1" x14ac:dyDescent="0.35">
      <c r="A453" s="4" t="s">
        <v>31</v>
      </c>
      <c r="B453" s="3" t="s">
        <v>240</v>
      </c>
      <c r="C453" s="4" t="s">
        <v>32</v>
      </c>
      <c r="D453" s="3"/>
      <c r="E453" s="4" t="s">
        <v>33</v>
      </c>
      <c r="F453" s="8"/>
    </row>
    <row r="454" spans="1:21" ht="28" customHeight="1" x14ac:dyDescent="0.35">
      <c r="A454" s="1" t="s">
        <v>34</v>
      </c>
      <c r="B454" s="1" t="s">
        <v>35</v>
      </c>
      <c r="C454" s="1" t="s">
        <v>36</v>
      </c>
      <c r="D454" s="1" t="s">
        <v>37</v>
      </c>
      <c r="E454" s="1" t="s">
        <v>38</v>
      </c>
      <c r="F454" s="1" t="s">
        <v>39</v>
      </c>
      <c r="G454" s="1" t="s">
        <v>40</v>
      </c>
      <c r="H454" s="1" t="s">
        <v>41</v>
      </c>
      <c r="I454" s="1" t="s">
        <v>42</v>
      </c>
      <c r="J454" s="1" t="s">
        <v>43</v>
      </c>
      <c r="K454" s="1" t="s">
        <v>44</v>
      </c>
      <c r="L454" s="1" t="s">
        <v>45</v>
      </c>
      <c r="M454" s="1" t="s">
        <v>46</v>
      </c>
      <c r="N454" s="1" t="s">
        <v>47</v>
      </c>
      <c r="O454" s="1" t="s">
        <v>48</v>
      </c>
      <c r="P454" s="1" t="s">
        <v>4</v>
      </c>
      <c r="Q454" s="1" t="s">
        <v>49</v>
      </c>
      <c r="R454" s="1" t="s">
        <v>50</v>
      </c>
      <c r="S454" s="1" t="s">
        <v>51</v>
      </c>
      <c r="T454" s="1" t="s">
        <v>52</v>
      </c>
      <c r="U454" s="1" t="s">
        <v>10</v>
      </c>
    </row>
    <row r="455" spans="1:21" ht="28" customHeight="1" x14ac:dyDescent="0.35">
      <c r="A455" s="4">
        <v>1</v>
      </c>
      <c r="B455" s="4" t="s">
        <v>439</v>
      </c>
      <c r="C455" s="4" t="s">
        <v>440</v>
      </c>
      <c r="D455" s="4" t="s">
        <v>441</v>
      </c>
      <c r="E455" s="4" t="s">
        <v>69</v>
      </c>
      <c r="F455" s="4" t="s">
        <v>370</v>
      </c>
      <c r="G455" s="4" t="s">
        <v>204</v>
      </c>
      <c r="H455" s="4" t="s">
        <v>59</v>
      </c>
      <c r="I455" s="3"/>
      <c r="J455" s="3"/>
      <c r="K455" s="3"/>
      <c r="L455" s="3"/>
      <c r="M455" s="3"/>
      <c r="N455" s="3"/>
      <c r="O455" s="3"/>
      <c r="P455" s="8"/>
      <c r="Q455" s="8"/>
      <c r="R455" s="3"/>
      <c r="S455" s="3"/>
      <c r="T455" s="3"/>
      <c r="U455" s="5" t="str">
        <f t="shared" ref="U455:U466" si="27">IF(I455="","",IF(I455="NA","Grey",IF(I455=2,"Green",IF(I455=1,"Amber","Red"))))</f>
        <v/>
      </c>
    </row>
    <row r="456" spans="1:21" ht="28" customHeight="1" x14ac:dyDescent="0.35">
      <c r="A456" s="4">
        <v>2</v>
      </c>
      <c r="B456" s="4" t="s">
        <v>442</v>
      </c>
      <c r="C456" s="4" t="s">
        <v>443</v>
      </c>
      <c r="D456" s="4" t="s">
        <v>444</v>
      </c>
      <c r="E456" s="4" t="s">
        <v>69</v>
      </c>
      <c r="F456" s="4" t="s">
        <v>95</v>
      </c>
      <c r="G456" s="4" t="s">
        <v>102</v>
      </c>
      <c r="H456" s="4" t="s">
        <v>59</v>
      </c>
      <c r="I456" s="3"/>
      <c r="J456" s="3"/>
      <c r="K456" s="3"/>
      <c r="L456" s="3"/>
      <c r="M456" s="3"/>
      <c r="N456" s="3"/>
      <c r="O456" s="3"/>
      <c r="P456" s="8"/>
      <c r="Q456" s="8"/>
      <c r="R456" s="3"/>
      <c r="S456" s="3"/>
      <c r="T456" s="3"/>
      <c r="U456" s="5" t="str">
        <f t="shared" si="27"/>
        <v/>
      </c>
    </row>
    <row r="457" spans="1:21" ht="28" customHeight="1" x14ac:dyDescent="0.35">
      <c r="A457" s="4">
        <v>3</v>
      </c>
      <c r="B457" s="4" t="s">
        <v>445</v>
      </c>
      <c r="C457" s="4" t="s">
        <v>446</v>
      </c>
      <c r="D457" s="4" t="s">
        <v>369</v>
      </c>
      <c r="E457" s="4" t="s">
        <v>69</v>
      </c>
      <c r="F457" s="4" t="s">
        <v>370</v>
      </c>
      <c r="G457" s="4" t="s">
        <v>204</v>
      </c>
      <c r="H457" s="4" t="s">
        <v>76</v>
      </c>
      <c r="I457" s="3"/>
      <c r="J457" s="3"/>
      <c r="K457" s="3"/>
      <c r="L457" s="3"/>
      <c r="M457" s="3"/>
      <c r="N457" s="3"/>
      <c r="O457" s="3"/>
      <c r="P457" s="8"/>
      <c r="Q457" s="8"/>
      <c r="R457" s="3"/>
      <c r="S457" s="3"/>
      <c r="T457" s="3"/>
      <c r="U457" s="5" t="str">
        <f t="shared" si="27"/>
        <v/>
      </c>
    </row>
    <row r="458" spans="1:21" ht="28" customHeight="1" x14ac:dyDescent="0.35">
      <c r="A458" s="4">
        <v>4</v>
      </c>
      <c r="B458" s="4" t="s">
        <v>447</v>
      </c>
      <c r="C458" s="4" t="s">
        <v>448</v>
      </c>
      <c r="D458" s="4" t="s">
        <v>449</v>
      </c>
      <c r="E458" s="4" t="s">
        <v>109</v>
      </c>
      <c r="F458" s="4" t="s">
        <v>276</v>
      </c>
      <c r="G458" s="4" t="s">
        <v>199</v>
      </c>
      <c r="H458" s="4" t="s">
        <v>59</v>
      </c>
      <c r="I458" s="3"/>
      <c r="J458" s="3"/>
      <c r="K458" s="3"/>
      <c r="L458" s="3"/>
      <c r="M458" s="3"/>
      <c r="N458" s="3"/>
      <c r="O458" s="3"/>
      <c r="P458" s="8"/>
      <c r="Q458" s="8"/>
      <c r="R458" s="3"/>
      <c r="S458" s="3"/>
      <c r="T458" s="3"/>
      <c r="U458" s="5" t="str">
        <f t="shared" si="27"/>
        <v/>
      </c>
    </row>
    <row r="459" spans="1:21" ht="28" customHeight="1" x14ac:dyDescent="0.35">
      <c r="A459" s="4">
        <v>5</v>
      </c>
      <c r="B459" s="4" t="s">
        <v>450</v>
      </c>
      <c r="C459" s="4" t="s">
        <v>451</v>
      </c>
      <c r="D459" s="4" t="s">
        <v>452</v>
      </c>
      <c r="E459" s="4" t="s">
        <v>69</v>
      </c>
      <c r="F459" s="4" t="s">
        <v>276</v>
      </c>
      <c r="G459" s="4" t="s">
        <v>199</v>
      </c>
      <c r="H459" s="4" t="s">
        <v>59</v>
      </c>
      <c r="I459" s="3"/>
      <c r="J459" s="3"/>
      <c r="K459" s="3"/>
      <c r="L459" s="3"/>
      <c r="M459" s="3"/>
      <c r="N459" s="3"/>
      <c r="O459" s="3"/>
      <c r="P459" s="8"/>
      <c r="Q459" s="8"/>
      <c r="R459" s="3"/>
      <c r="S459" s="3"/>
      <c r="T459" s="3"/>
      <c r="U459" s="5" t="str">
        <f t="shared" si="27"/>
        <v/>
      </c>
    </row>
    <row r="460" spans="1:21" ht="28" customHeight="1" x14ac:dyDescent="0.35">
      <c r="A460" s="4">
        <v>6</v>
      </c>
      <c r="B460" s="4" t="s">
        <v>453</v>
      </c>
      <c r="C460" s="4" t="s">
        <v>454</v>
      </c>
      <c r="D460" s="4" t="s">
        <v>455</v>
      </c>
      <c r="E460" s="4" t="s">
        <v>69</v>
      </c>
      <c r="F460" s="4" t="s">
        <v>284</v>
      </c>
      <c r="G460" s="4" t="s">
        <v>204</v>
      </c>
      <c r="H460" s="4" t="s">
        <v>76</v>
      </c>
      <c r="I460" s="3"/>
      <c r="J460" s="3"/>
      <c r="K460" s="3"/>
      <c r="L460" s="3"/>
      <c r="M460" s="3"/>
      <c r="N460" s="3"/>
      <c r="O460" s="3"/>
      <c r="P460" s="8"/>
      <c r="Q460" s="8"/>
      <c r="R460" s="3"/>
      <c r="S460" s="3"/>
      <c r="T460" s="3"/>
      <c r="U460" s="5" t="str">
        <f t="shared" si="27"/>
        <v/>
      </c>
    </row>
    <row r="461" spans="1:21" ht="28" customHeight="1" x14ac:dyDescent="0.35">
      <c r="A461" s="4">
        <v>7</v>
      </c>
      <c r="B461" s="4" t="s">
        <v>456</v>
      </c>
      <c r="C461" s="4" t="s">
        <v>457</v>
      </c>
      <c r="D461" s="4" t="s">
        <v>458</v>
      </c>
      <c r="E461" s="4" t="s">
        <v>69</v>
      </c>
      <c r="F461" s="4" t="s">
        <v>459</v>
      </c>
      <c r="G461" s="4" t="s">
        <v>209</v>
      </c>
      <c r="H461" s="4" t="s">
        <v>59</v>
      </c>
      <c r="I461" s="3"/>
      <c r="J461" s="3"/>
      <c r="K461" s="3"/>
      <c r="L461" s="3"/>
      <c r="M461" s="3"/>
      <c r="N461" s="3"/>
      <c r="O461" s="3"/>
      <c r="P461" s="8"/>
      <c r="Q461" s="8"/>
      <c r="R461" s="3"/>
      <c r="S461" s="3"/>
      <c r="T461" s="3"/>
      <c r="U461" s="5" t="str">
        <f t="shared" si="27"/>
        <v/>
      </c>
    </row>
    <row r="462" spans="1:21" ht="28" customHeight="1" x14ac:dyDescent="0.35">
      <c r="A462" s="4">
        <v>8</v>
      </c>
      <c r="B462" s="4" t="s">
        <v>460</v>
      </c>
      <c r="C462" s="4" t="s">
        <v>461</v>
      </c>
      <c r="D462" s="4" t="s">
        <v>462</v>
      </c>
      <c r="E462" s="4" t="s">
        <v>69</v>
      </c>
      <c r="F462" s="4" t="s">
        <v>95</v>
      </c>
      <c r="G462" s="4" t="s">
        <v>102</v>
      </c>
      <c r="H462" s="4" t="s">
        <v>59</v>
      </c>
      <c r="I462" s="3"/>
      <c r="J462" s="3"/>
      <c r="K462" s="3"/>
      <c r="L462" s="3"/>
      <c r="M462" s="3"/>
      <c r="N462" s="3"/>
      <c r="O462" s="3"/>
      <c r="P462" s="8"/>
      <c r="Q462" s="8"/>
      <c r="R462" s="3"/>
      <c r="S462" s="3"/>
      <c r="T462" s="3"/>
      <c r="U462" s="5" t="str">
        <f t="shared" si="27"/>
        <v/>
      </c>
    </row>
    <row r="463" spans="1:21" ht="28" customHeight="1" x14ac:dyDescent="0.35">
      <c r="A463" s="4">
        <v>9</v>
      </c>
      <c r="B463" s="4" t="s">
        <v>97</v>
      </c>
      <c r="C463" s="4" t="s">
        <v>98</v>
      </c>
      <c r="D463" s="4" t="s">
        <v>99</v>
      </c>
      <c r="E463" s="4" t="s">
        <v>69</v>
      </c>
      <c r="F463" s="4" t="s">
        <v>95</v>
      </c>
      <c r="G463" s="4" t="s">
        <v>96</v>
      </c>
      <c r="H463" s="4" t="s">
        <v>59</v>
      </c>
      <c r="I463" s="3"/>
      <c r="J463" s="3"/>
      <c r="K463" s="3"/>
      <c r="L463" s="3"/>
      <c r="M463" s="3"/>
      <c r="N463" s="3"/>
      <c r="O463" s="3"/>
      <c r="P463" s="8"/>
      <c r="Q463" s="8"/>
      <c r="R463" s="3"/>
      <c r="S463" s="3"/>
      <c r="T463" s="3"/>
      <c r="U463" s="5" t="str">
        <f t="shared" si="27"/>
        <v/>
      </c>
    </row>
    <row r="464" spans="1:21" ht="28" customHeight="1" x14ac:dyDescent="0.35">
      <c r="A464" s="4">
        <v>10</v>
      </c>
      <c r="B464" s="4" t="s">
        <v>97</v>
      </c>
      <c r="C464" s="4" t="s">
        <v>100</v>
      </c>
      <c r="D464" s="4" t="s">
        <v>101</v>
      </c>
      <c r="E464" s="4" t="s">
        <v>69</v>
      </c>
      <c r="F464" s="4" t="s">
        <v>95</v>
      </c>
      <c r="G464" s="4" t="s">
        <v>102</v>
      </c>
      <c r="H464" s="4" t="s">
        <v>59</v>
      </c>
      <c r="I464" s="3"/>
      <c r="J464" s="3"/>
      <c r="K464" s="3"/>
      <c r="L464" s="3"/>
      <c r="M464" s="3"/>
      <c r="N464" s="3"/>
      <c r="O464" s="3"/>
      <c r="P464" s="8"/>
      <c r="Q464" s="8"/>
      <c r="R464" s="3"/>
      <c r="S464" s="3"/>
      <c r="T464" s="3"/>
      <c r="U464" s="5" t="str">
        <f t="shared" si="27"/>
        <v/>
      </c>
    </row>
    <row r="465" spans="1:21" ht="28" customHeight="1" x14ac:dyDescent="0.35">
      <c r="A465" s="4">
        <v>11</v>
      </c>
      <c r="B465" s="4" t="s">
        <v>103</v>
      </c>
      <c r="C465" s="4" t="s">
        <v>104</v>
      </c>
      <c r="D465" s="4" t="s">
        <v>105</v>
      </c>
      <c r="E465" s="4" t="s">
        <v>69</v>
      </c>
      <c r="F465" s="4" t="s">
        <v>95</v>
      </c>
      <c r="G465" s="4" t="s">
        <v>96</v>
      </c>
      <c r="H465" s="4" t="s">
        <v>85</v>
      </c>
      <c r="I465" s="3"/>
      <c r="J465" s="3"/>
      <c r="K465" s="3"/>
      <c r="L465" s="3"/>
      <c r="M465" s="3"/>
      <c r="N465" s="3"/>
      <c r="O465" s="3"/>
      <c r="P465" s="8"/>
      <c r="Q465" s="8"/>
      <c r="R465" s="3"/>
      <c r="S465" s="3"/>
      <c r="T465" s="3"/>
      <c r="U465" s="5" t="str">
        <f t="shared" si="27"/>
        <v/>
      </c>
    </row>
    <row r="466" spans="1:21" ht="28" customHeight="1" x14ac:dyDescent="0.35">
      <c r="A466" s="4">
        <v>12</v>
      </c>
      <c r="B466" s="4" t="s">
        <v>106</v>
      </c>
      <c r="C466" s="4" t="s">
        <v>107</v>
      </c>
      <c r="D466" s="4" t="s">
        <v>108</v>
      </c>
      <c r="E466" s="4" t="s">
        <v>109</v>
      </c>
      <c r="F466" s="4" t="s">
        <v>95</v>
      </c>
      <c r="G466" s="4" t="s">
        <v>96</v>
      </c>
      <c r="H466" s="4" t="s">
        <v>59</v>
      </c>
      <c r="I466" s="3"/>
      <c r="J466" s="3"/>
      <c r="K466" s="3"/>
      <c r="L466" s="3"/>
      <c r="M466" s="3"/>
      <c r="N466" s="3"/>
      <c r="O466" s="3"/>
      <c r="P466" s="8"/>
      <c r="Q466" s="8"/>
      <c r="R466" s="3"/>
      <c r="S466" s="3"/>
      <c r="T466" s="3"/>
      <c r="U466" s="5" t="str">
        <f t="shared" si="27"/>
        <v/>
      </c>
    </row>
    <row r="468" spans="1:21" ht="28" customHeight="1" x14ac:dyDescent="0.35">
      <c r="A468" s="9" t="s">
        <v>110</v>
      </c>
      <c r="B468" s="16"/>
      <c r="C468" s="17"/>
      <c r="D468" s="17"/>
      <c r="E468" s="17"/>
      <c r="F468" s="17"/>
      <c r="G468" s="17"/>
      <c r="H468" s="17"/>
      <c r="I468" s="17"/>
      <c r="J468" s="17"/>
      <c r="K468" s="17"/>
      <c r="L468" s="17"/>
      <c r="M468" s="17"/>
      <c r="N468" s="17"/>
      <c r="O468" s="17"/>
      <c r="P468" s="17"/>
      <c r="Q468" s="17"/>
      <c r="R468" s="17"/>
      <c r="S468" s="17"/>
      <c r="T468" s="17"/>
      <c r="U468" s="18"/>
    </row>
    <row r="469" spans="1:21" ht="28" customHeight="1" x14ac:dyDescent="0.35">
      <c r="A469" s="19" t="s">
        <v>486</v>
      </c>
      <c r="B469" s="20"/>
      <c r="C469" s="20"/>
      <c r="D469" s="20"/>
      <c r="E469" s="20"/>
      <c r="F469" s="20"/>
      <c r="G469" s="20"/>
      <c r="H469" s="20"/>
      <c r="I469" s="20"/>
      <c r="J469" s="20"/>
      <c r="K469" s="20"/>
      <c r="L469" s="20"/>
      <c r="M469" s="20"/>
      <c r="N469" s="20"/>
      <c r="O469" s="20"/>
      <c r="P469" s="20"/>
      <c r="Q469" s="20"/>
      <c r="R469" s="20"/>
      <c r="S469" s="20"/>
      <c r="T469" s="20"/>
      <c r="U469" s="21"/>
    </row>
    <row r="470" spans="1:21" ht="28" customHeight="1" x14ac:dyDescent="0.35">
      <c r="A470" s="4" t="s">
        <v>31</v>
      </c>
      <c r="B470" s="3" t="s">
        <v>241</v>
      </c>
      <c r="C470" s="4" t="s">
        <v>32</v>
      </c>
      <c r="D470" s="3"/>
      <c r="E470" s="4" t="s">
        <v>33</v>
      </c>
      <c r="F470" s="8"/>
    </row>
    <row r="471" spans="1:21" ht="28" customHeight="1" x14ac:dyDescent="0.35">
      <c r="A471" s="1" t="s">
        <v>34</v>
      </c>
      <c r="B471" s="1" t="s">
        <v>35</v>
      </c>
      <c r="C471" s="1" t="s">
        <v>36</v>
      </c>
      <c r="D471" s="1" t="s">
        <v>37</v>
      </c>
      <c r="E471" s="1" t="s">
        <v>38</v>
      </c>
      <c r="F471" s="1" t="s">
        <v>39</v>
      </c>
      <c r="G471" s="1" t="s">
        <v>40</v>
      </c>
      <c r="H471" s="1" t="s">
        <v>41</v>
      </c>
      <c r="I471" s="1" t="s">
        <v>42</v>
      </c>
      <c r="J471" s="1" t="s">
        <v>43</v>
      </c>
      <c r="K471" s="1" t="s">
        <v>44</v>
      </c>
      <c r="L471" s="1" t="s">
        <v>45</v>
      </c>
      <c r="M471" s="1" t="s">
        <v>46</v>
      </c>
      <c r="N471" s="1" t="s">
        <v>47</v>
      </c>
      <c r="O471" s="1" t="s">
        <v>48</v>
      </c>
      <c r="P471" s="1" t="s">
        <v>4</v>
      </c>
      <c r="Q471" s="1" t="s">
        <v>49</v>
      </c>
      <c r="R471" s="1" t="s">
        <v>50</v>
      </c>
      <c r="S471" s="1" t="s">
        <v>51</v>
      </c>
      <c r="T471" s="1" t="s">
        <v>52</v>
      </c>
      <c r="U471" s="1" t="s">
        <v>10</v>
      </c>
    </row>
    <row r="472" spans="1:21" ht="28" customHeight="1" x14ac:dyDescent="0.35">
      <c r="A472" s="4">
        <v>1</v>
      </c>
      <c r="B472" s="4" t="s">
        <v>439</v>
      </c>
      <c r="C472" s="4" t="s">
        <v>440</v>
      </c>
      <c r="D472" s="4" t="s">
        <v>441</v>
      </c>
      <c r="E472" s="4" t="s">
        <v>69</v>
      </c>
      <c r="F472" s="4" t="s">
        <v>370</v>
      </c>
      <c r="G472" s="4" t="s">
        <v>204</v>
      </c>
      <c r="H472" s="4" t="s">
        <v>59</v>
      </c>
      <c r="I472" s="3"/>
      <c r="J472" s="3"/>
      <c r="K472" s="3"/>
      <c r="L472" s="3"/>
      <c r="M472" s="3"/>
      <c r="N472" s="3"/>
      <c r="O472" s="3"/>
      <c r="P472" s="8"/>
      <c r="Q472" s="8"/>
      <c r="R472" s="3"/>
      <c r="S472" s="3"/>
      <c r="T472" s="3"/>
      <c r="U472" s="5" t="str">
        <f t="shared" ref="U472:U483" si="28">IF(I472="","",IF(I472="NA","Grey",IF(I472=2,"Green",IF(I472=1,"Amber","Red"))))</f>
        <v/>
      </c>
    </row>
    <row r="473" spans="1:21" ht="28" customHeight="1" x14ac:dyDescent="0.35">
      <c r="A473" s="4">
        <v>2</v>
      </c>
      <c r="B473" s="4" t="s">
        <v>442</v>
      </c>
      <c r="C473" s="4" t="s">
        <v>443</v>
      </c>
      <c r="D473" s="4" t="s">
        <v>444</v>
      </c>
      <c r="E473" s="4" t="s">
        <v>69</v>
      </c>
      <c r="F473" s="4" t="s">
        <v>95</v>
      </c>
      <c r="G473" s="4" t="s">
        <v>102</v>
      </c>
      <c r="H473" s="4" t="s">
        <v>59</v>
      </c>
      <c r="I473" s="3"/>
      <c r="J473" s="3"/>
      <c r="K473" s="3"/>
      <c r="L473" s="3"/>
      <c r="M473" s="3"/>
      <c r="N473" s="3"/>
      <c r="O473" s="3"/>
      <c r="P473" s="8"/>
      <c r="Q473" s="8"/>
      <c r="R473" s="3"/>
      <c r="S473" s="3"/>
      <c r="T473" s="3"/>
      <c r="U473" s="5" t="str">
        <f t="shared" si="28"/>
        <v/>
      </c>
    </row>
    <row r="474" spans="1:21" ht="28" customHeight="1" x14ac:dyDescent="0.35">
      <c r="A474" s="4">
        <v>3</v>
      </c>
      <c r="B474" s="4" t="s">
        <v>445</v>
      </c>
      <c r="C474" s="4" t="s">
        <v>446</v>
      </c>
      <c r="D474" s="4" t="s">
        <v>369</v>
      </c>
      <c r="E474" s="4" t="s">
        <v>69</v>
      </c>
      <c r="F474" s="4" t="s">
        <v>370</v>
      </c>
      <c r="G474" s="4" t="s">
        <v>204</v>
      </c>
      <c r="H474" s="4" t="s">
        <v>76</v>
      </c>
      <c r="I474" s="3"/>
      <c r="J474" s="3"/>
      <c r="K474" s="3"/>
      <c r="L474" s="3"/>
      <c r="M474" s="3"/>
      <c r="N474" s="3"/>
      <c r="O474" s="3"/>
      <c r="P474" s="8"/>
      <c r="Q474" s="8"/>
      <c r="R474" s="3"/>
      <c r="S474" s="3"/>
      <c r="T474" s="3"/>
      <c r="U474" s="5" t="str">
        <f t="shared" si="28"/>
        <v/>
      </c>
    </row>
    <row r="475" spans="1:21" ht="28" customHeight="1" x14ac:dyDescent="0.35">
      <c r="A475" s="4">
        <v>4</v>
      </c>
      <c r="B475" s="4" t="s">
        <v>447</v>
      </c>
      <c r="C475" s="4" t="s">
        <v>448</v>
      </c>
      <c r="D475" s="4" t="s">
        <v>449</v>
      </c>
      <c r="E475" s="4" t="s">
        <v>109</v>
      </c>
      <c r="F475" s="4" t="s">
        <v>276</v>
      </c>
      <c r="G475" s="4" t="s">
        <v>199</v>
      </c>
      <c r="H475" s="4" t="s">
        <v>59</v>
      </c>
      <c r="I475" s="3"/>
      <c r="J475" s="3"/>
      <c r="K475" s="3"/>
      <c r="L475" s="3"/>
      <c r="M475" s="3"/>
      <c r="N475" s="3"/>
      <c r="O475" s="3"/>
      <c r="P475" s="8"/>
      <c r="Q475" s="8"/>
      <c r="R475" s="3"/>
      <c r="S475" s="3"/>
      <c r="T475" s="3"/>
      <c r="U475" s="5" t="str">
        <f t="shared" si="28"/>
        <v/>
      </c>
    </row>
    <row r="476" spans="1:21" ht="28" customHeight="1" x14ac:dyDescent="0.35">
      <c r="A476" s="4">
        <v>5</v>
      </c>
      <c r="B476" s="4" t="s">
        <v>450</v>
      </c>
      <c r="C476" s="4" t="s">
        <v>451</v>
      </c>
      <c r="D476" s="4" t="s">
        <v>452</v>
      </c>
      <c r="E476" s="4" t="s">
        <v>69</v>
      </c>
      <c r="F476" s="4" t="s">
        <v>276</v>
      </c>
      <c r="G476" s="4" t="s">
        <v>199</v>
      </c>
      <c r="H476" s="4" t="s">
        <v>59</v>
      </c>
      <c r="I476" s="3"/>
      <c r="J476" s="3"/>
      <c r="K476" s="3"/>
      <c r="L476" s="3"/>
      <c r="M476" s="3"/>
      <c r="N476" s="3"/>
      <c r="O476" s="3"/>
      <c r="P476" s="8"/>
      <c r="Q476" s="8"/>
      <c r="R476" s="3"/>
      <c r="S476" s="3"/>
      <c r="T476" s="3"/>
      <c r="U476" s="5" t="str">
        <f t="shared" si="28"/>
        <v/>
      </c>
    </row>
    <row r="477" spans="1:21" ht="28" customHeight="1" x14ac:dyDescent="0.35">
      <c r="A477" s="4">
        <v>6</v>
      </c>
      <c r="B477" s="4" t="s">
        <v>453</v>
      </c>
      <c r="C477" s="4" t="s">
        <v>454</v>
      </c>
      <c r="D477" s="4" t="s">
        <v>455</v>
      </c>
      <c r="E477" s="4" t="s">
        <v>69</v>
      </c>
      <c r="F477" s="4" t="s">
        <v>284</v>
      </c>
      <c r="G477" s="4" t="s">
        <v>204</v>
      </c>
      <c r="H477" s="4" t="s">
        <v>76</v>
      </c>
      <c r="I477" s="3"/>
      <c r="J477" s="3"/>
      <c r="K477" s="3"/>
      <c r="L477" s="3"/>
      <c r="M477" s="3"/>
      <c r="N477" s="3"/>
      <c r="O477" s="3"/>
      <c r="P477" s="8"/>
      <c r="Q477" s="8"/>
      <c r="R477" s="3"/>
      <c r="S477" s="3"/>
      <c r="T477" s="3"/>
      <c r="U477" s="5" t="str">
        <f t="shared" si="28"/>
        <v/>
      </c>
    </row>
    <row r="478" spans="1:21" ht="28" customHeight="1" x14ac:dyDescent="0.35">
      <c r="A478" s="4">
        <v>7</v>
      </c>
      <c r="B478" s="4" t="s">
        <v>456</v>
      </c>
      <c r="C478" s="4" t="s">
        <v>457</v>
      </c>
      <c r="D478" s="4" t="s">
        <v>458</v>
      </c>
      <c r="E478" s="4" t="s">
        <v>69</v>
      </c>
      <c r="F478" s="4" t="s">
        <v>459</v>
      </c>
      <c r="G478" s="4" t="s">
        <v>209</v>
      </c>
      <c r="H478" s="4" t="s">
        <v>59</v>
      </c>
      <c r="I478" s="3"/>
      <c r="J478" s="3"/>
      <c r="K478" s="3"/>
      <c r="L478" s="3"/>
      <c r="M478" s="3"/>
      <c r="N478" s="3"/>
      <c r="O478" s="3"/>
      <c r="P478" s="8"/>
      <c r="Q478" s="8"/>
      <c r="R478" s="3"/>
      <c r="S478" s="3"/>
      <c r="T478" s="3"/>
      <c r="U478" s="5" t="str">
        <f t="shared" si="28"/>
        <v/>
      </c>
    </row>
    <row r="479" spans="1:21" ht="28" customHeight="1" x14ac:dyDescent="0.35">
      <c r="A479" s="4">
        <v>8</v>
      </c>
      <c r="B479" s="4" t="s">
        <v>460</v>
      </c>
      <c r="C479" s="4" t="s">
        <v>461</v>
      </c>
      <c r="D479" s="4" t="s">
        <v>462</v>
      </c>
      <c r="E479" s="4" t="s">
        <v>69</v>
      </c>
      <c r="F479" s="4" t="s">
        <v>95</v>
      </c>
      <c r="G479" s="4" t="s">
        <v>102</v>
      </c>
      <c r="H479" s="4" t="s">
        <v>59</v>
      </c>
      <c r="I479" s="3"/>
      <c r="J479" s="3"/>
      <c r="K479" s="3"/>
      <c r="L479" s="3"/>
      <c r="M479" s="3"/>
      <c r="N479" s="3"/>
      <c r="O479" s="3"/>
      <c r="P479" s="8"/>
      <c r="Q479" s="8"/>
      <c r="R479" s="3"/>
      <c r="S479" s="3"/>
      <c r="T479" s="3"/>
      <c r="U479" s="5" t="str">
        <f t="shared" si="28"/>
        <v/>
      </c>
    </row>
    <row r="480" spans="1:21" ht="28" customHeight="1" x14ac:dyDescent="0.35">
      <c r="A480" s="4">
        <v>9</v>
      </c>
      <c r="B480" s="4" t="s">
        <v>97</v>
      </c>
      <c r="C480" s="4" t="s">
        <v>98</v>
      </c>
      <c r="D480" s="4" t="s">
        <v>99</v>
      </c>
      <c r="E480" s="4" t="s">
        <v>69</v>
      </c>
      <c r="F480" s="4" t="s">
        <v>95</v>
      </c>
      <c r="G480" s="4" t="s">
        <v>96</v>
      </c>
      <c r="H480" s="4" t="s">
        <v>59</v>
      </c>
      <c r="I480" s="3"/>
      <c r="J480" s="3"/>
      <c r="K480" s="3"/>
      <c r="L480" s="3"/>
      <c r="M480" s="3"/>
      <c r="N480" s="3"/>
      <c r="O480" s="3"/>
      <c r="P480" s="8"/>
      <c r="Q480" s="8"/>
      <c r="R480" s="3"/>
      <c r="S480" s="3"/>
      <c r="T480" s="3"/>
      <c r="U480" s="5" t="str">
        <f t="shared" si="28"/>
        <v/>
      </c>
    </row>
    <row r="481" spans="1:21" ht="28" customHeight="1" x14ac:dyDescent="0.35">
      <c r="A481" s="4">
        <v>10</v>
      </c>
      <c r="B481" s="4" t="s">
        <v>97</v>
      </c>
      <c r="C481" s="4" t="s">
        <v>100</v>
      </c>
      <c r="D481" s="4" t="s">
        <v>101</v>
      </c>
      <c r="E481" s="4" t="s">
        <v>69</v>
      </c>
      <c r="F481" s="4" t="s">
        <v>95</v>
      </c>
      <c r="G481" s="4" t="s">
        <v>102</v>
      </c>
      <c r="H481" s="4" t="s">
        <v>59</v>
      </c>
      <c r="I481" s="3"/>
      <c r="J481" s="3"/>
      <c r="K481" s="3"/>
      <c r="L481" s="3"/>
      <c r="M481" s="3"/>
      <c r="N481" s="3"/>
      <c r="O481" s="3"/>
      <c r="P481" s="8"/>
      <c r="Q481" s="8"/>
      <c r="R481" s="3"/>
      <c r="S481" s="3"/>
      <c r="T481" s="3"/>
      <c r="U481" s="5" t="str">
        <f t="shared" si="28"/>
        <v/>
      </c>
    </row>
    <row r="482" spans="1:21" ht="28" customHeight="1" x14ac:dyDescent="0.35">
      <c r="A482" s="4">
        <v>11</v>
      </c>
      <c r="B482" s="4" t="s">
        <v>103</v>
      </c>
      <c r="C482" s="4" t="s">
        <v>104</v>
      </c>
      <c r="D482" s="4" t="s">
        <v>105</v>
      </c>
      <c r="E482" s="4" t="s">
        <v>69</v>
      </c>
      <c r="F482" s="4" t="s">
        <v>95</v>
      </c>
      <c r="G482" s="4" t="s">
        <v>96</v>
      </c>
      <c r="H482" s="4" t="s">
        <v>85</v>
      </c>
      <c r="I482" s="3"/>
      <c r="J482" s="3"/>
      <c r="K482" s="3"/>
      <c r="L482" s="3"/>
      <c r="M482" s="3"/>
      <c r="N482" s="3"/>
      <c r="O482" s="3"/>
      <c r="P482" s="8"/>
      <c r="Q482" s="8"/>
      <c r="R482" s="3"/>
      <c r="S482" s="3"/>
      <c r="T482" s="3"/>
      <c r="U482" s="5" t="str">
        <f t="shared" si="28"/>
        <v/>
      </c>
    </row>
    <row r="483" spans="1:21" ht="28" customHeight="1" x14ac:dyDescent="0.35">
      <c r="A483" s="4">
        <v>12</v>
      </c>
      <c r="B483" s="4" t="s">
        <v>106</v>
      </c>
      <c r="C483" s="4" t="s">
        <v>107</v>
      </c>
      <c r="D483" s="4" t="s">
        <v>108</v>
      </c>
      <c r="E483" s="4" t="s">
        <v>109</v>
      </c>
      <c r="F483" s="4" t="s">
        <v>95</v>
      </c>
      <c r="G483" s="4" t="s">
        <v>96</v>
      </c>
      <c r="H483" s="4" t="s">
        <v>59</v>
      </c>
      <c r="I483" s="3"/>
      <c r="J483" s="3"/>
      <c r="K483" s="3"/>
      <c r="L483" s="3"/>
      <c r="M483" s="3"/>
      <c r="N483" s="3"/>
      <c r="O483" s="3"/>
      <c r="P483" s="8"/>
      <c r="Q483" s="8"/>
      <c r="R483" s="3"/>
      <c r="S483" s="3"/>
      <c r="T483" s="3"/>
      <c r="U483" s="5" t="str">
        <f t="shared" si="28"/>
        <v/>
      </c>
    </row>
    <row r="485" spans="1:21" ht="28" customHeight="1" x14ac:dyDescent="0.35">
      <c r="A485" s="9" t="s">
        <v>110</v>
      </c>
      <c r="B485" s="16"/>
      <c r="C485" s="17"/>
      <c r="D485" s="17"/>
      <c r="E485" s="17"/>
      <c r="F485" s="17"/>
      <c r="G485" s="17"/>
      <c r="H485" s="17"/>
      <c r="I485" s="17"/>
      <c r="J485" s="17"/>
      <c r="K485" s="17"/>
      <c r="L485" s="17"/>
      <c r="M485" s="17"/>
      <c r="N485" s="17"/>
      <c r="O485" s="17"/>
      <c r="P485" s="17"/>
      <c r="Q485" s="17"/>
      <c r="R485" s="17"/>
      <c r="S485" s="17"/>
      <c r="T485" s="17"/>
      <c r="U485" s="18"/>
    </row>
    <row r="486" spans="1:21" ht="28" customHeight="1" x14ac:dyDescent="0.35">
      <c r="A486" s="19" t="s">
        <v>487</v>
      </c>
      <c r="B486" s="20"/>
      <c r="C486" s="20"/>
      <c r="D486" s="20"/>
      <c r="E486" s="20"/>
      <c r="F486" s="20"/>
      <c r="G486" s="20"/>
      <c r="H486" s="20"/>
      <c r="I486" s="20"/>
      <c r="J486" s="20"/>
      <c r="K486" s="20"/>
      <c r="L486" s="20"/>
      <c r="M486" s="20"/>
      <c r="N486" s="20"/>
      <c r="O486" s="20"/>
      <c r="P486" s="20"/>
      <c r="Q486" s="20"/>
      <c r="R486" s="20"/>
      <c r="S486" s="20"/>
      <c r="T486" s="20"/>
      <c r="U486" s="21"/>
    </row>
    <row r="487" spans="1:21" ht="28" customHeight="1" x14ac:dyDescent="0.35">
      <c r="A487" s="4" t="s">
        <v>31</v>
      </c>
      <c r="B487" s="3" t="s">
        <v>242</v>
      </c>
      <c r="C487" s="4" t="s">
        <v>32</v>
      </c>
      <c r="D487" s="3"/>
      <c r="E487" s="4" t="s">
        <v>33</v>
      </c>
      <c r="F487" s="8"/>
    </row>
    <row r="488" spans="1:21" ht="28" customHeight="1" x14ac:dyDescent="0.35">
      <c r="A488" s="1" t="s">
        <v>34</v>
      </c>
      <c r="B488" s="1" t="s">
        <v>35</v>
      </c>
      <c r="C488" s="1" t="s">
        <v>36</v>
      </c>
      <c r="D488" s="1" t="s">
        <v>37</v>
      </c>
      <c r="E488" s="1" t="s">
        <v>38</v>
      </c>
      <c r="F488" s="1" t="s">
        <v>39</v>
      </c>
      <c r="G488" s="1" t="s">
        <v>40</v>
      </c>
      <c r="H488" s="1" t="s">
        <v>41</v>
      </c>
      <c r="I488" s="1" t="s">
        <v>42</v>
      </c>
      <c r="J488" s="1" t="s">
        <v>43</v>
      </c>
      <c r="K488" s="1" t="s">
        <v>44</v>
      </c>
      <c r="L488" s="1" t="s">
        <v>45</v>
      </c>
      <c r="M488" s="1" t="s">
        <v>46</v>
      </c>
      <c r="N488" s="1" t="s">
        <v>47</v>
      </c>
      <c r="O488" s="1" t="s">
        <v>48</v>
      </c>
      <c r="P488" s="1" t="s">
        <v>4</v>
      </c>
      <c r="Q488" s="1" t="s">
        <v>49</v>
      </c>
      <c r="R488" s="1" t="s">
        <v>50</v>
      </c>
      <c r="S488" s="1" t="s">
        <v>51</v>
      </c>
      <c r="T488" s="1" t="s">
        <v>52</v>
      </c>
      <c r="U488" s="1" t="s">
        <v>10</v>
      </c>
    </row>
    <row r="489" spans="1:21" ht="28" customHeight="1" x14ac:dyDescent="0.35">
      <c r="A489" s="4">
        <v>1</v>
      </c>
      <c r="B489" s="4" t="s">
        <v>439</v>
      </c>
      <c r="C489" s="4" t="s">
        <v>440</v>
      </c>
      <c r="D489" s="4" t="s">
        <v>441</v>
      </c>
      <c r="E489" s="4" t="s">
        <v>69</v>
      </c>
      <c r="F489" s="4" t="s">
        <v>370</v>
      </c>
      <c r="G489" s="4" t="s">
        <v>204</v>
      </c>
      <c r="H489" s="4" t="s">
        <v>59</v>
      </c>
      <c r="I489" s="3"/>
      <c r="J489" s="3"/>
      <c r="K489" s="3"/>
      <c r="L489" s="3"/>
      <c r="M489" s="3"/>
      <c r="N489" s="3"/>
      <c r="O489" s="3"/>
      <c r="P489" s="8"/>
      <c r="Q489" s="8"/>
      <c r="R489" s="3"/>
      <c r="S489" s="3"/>
      <c r="T489" s="3"/>
      <c r="U489" s="5" t="str">
        <f t="shared" ref="U489:U500" si="29">IF(I489="","",IF(I489="NA","Grey",IF(I489=2,"Green",IF(I489=1,"Amber","Red"))))</f>
        <v/>
      </c>
    </row>
    <row r="490" spans="1:21" ht="28" customHeight="1" x14ac:dyDescent="0.35">
      <c r="A490" s="4">
        <v>2</v>
      </c>
      <c r="B490" s="4" t="s">
        <v>442</v>
      </c>
      <c r="C490" s="4" t="s">
        <v>443</v>
      </c>
      <c r="D490" s="4" t="s">
        <v>444</v>
      </c>
      <c r="E490" s="4" t="s">
        <v>69</v>
      </c>
      <c r="F490" s="4" t="s">
        <v>95</v>
      </c>
      <c r="G490" s="4" t="s">
        <v>102</v>
      </c>
      <c r="H490" s="4" t="s">
        <v>59</v>
      </c>
      <c r="I490" s="3"/>
      <c r="J490" s="3"/>
      <c r="K490" s="3"/>
      <c r="L490" s="3"/>
      <c r="M490" s="3"/>
      <c r="N490" s="3"/>
      <c r="O490" s="3"/>
      <c r="P490" s="8"/>
      <c r="Q490" s="8"/>
      <c r="R490" s="3"/>
      <c r="S490" s="3"/>
      <c r="T490" s="3"/>
      <c r="U490" s="5" t="str">
        <f t="shared" si="29"/>
        <v/>
      </c>
    </row>
    <row r="491" spans="1:21" ht="28" customHeight="1" x14ac:dyDescent="0.35">
      <c r="A491" s="4">
        <v>3</v>
      </c>
      <c r="B491" s="4" t="s">
        <v>445</v>
      </c>
      <c r="C491" s="4" t="s">
        <v>446</v>
      </c>
      <c r="D491" s="4" t="s">
        <v>369</v>
      </c>
      <c r="E491" s="4" t="s">
        <v>69</v>
      </c>
      <c r="F491" s="4" t="s">
        <v>370</v>
      </c>
      <c r="G491" s="4" t="s">
        <v>204</v>
      </c>
      <c r="H491" s="4" t="s">
        <v>76</v>
      </c>
      <c r="I491" s="3"/>
      <c r="J491" s="3"/>
      <c r="K491" s="3"/>
      <c r="L491" s="3"/>
      <c r="M491" s="3"/>
      <c r="N491" s="3"/>
      <c r="O491" s="3"/>
      <c r="P491" s="8"/>
      <c r="Q491" s="8"/>
      <c r="R491" s="3"/>
      <c r="S491" s="3"/>
      <c r="T491" s="3"/>
      <c r="U491" s="5" t="str">
        <f t="shared" si="29"/>
        <v/>
      </c>
    </row>
    <row r="492" spans="1:21" ht="28" customHeight="1" x14ac:dyDescent="0.35">
      <c r="A492" s="4">
        <v>4</v>
      </c>
      <c r="B492" s="4" t="s">
        <v>447</v>
      </c>
      <c r="C492" s="4" t="s">
        <v>448</v>
      </c>
      <c r="D492" s="4" t="s">
        <v>449</v>
      </c>
      <c r="E492" s="4" t="s">
        <v>109</v>
      </c>
      <c r="F492" s="4" t="s">
        <v>276</v>
      </c>
      <c r="G492" s="4" t="s">
        <v>199</v>
      </c>
      <c r="H492" s="4" t="s">
        <v>59</v>
      </c>
      <c r="I492" s="3"/>
      <c r="J492" s="3"/>
      <c r="K492" s="3"/>
      <c r="L492" s="3"/>
      <c r="M492" s="3"/>
      <c r="N492" s="3"/>
      <c r="O492" s="3"/>
      <c r="P492" s="8"/>
      <c r="Q492" s="8"/>
      <c r="R492" s="3"/>
      <c r="S492" s="3"/>
      <c r="T492" s="3"/>
      <c r="U492" s="5" t="str">
        <f t="shared" si="29"/>
        <v/>
      </c>
    </row>
    <row r="493" spans="1:21" ht="28" customHeight="1" x14ac:dyDescent="0.35">
      <c r="A493" s="4">
        <v>5</v>
      </c>
      <c r="B493" s="4" t="s">
        <v>450</v>
      </c>
      <c r="C493" s="4" t="s">
        <v>451</v>
      </c>
      <c r="D493" s="4" t="s">
        <v>452</v>
      </c>
      <c r="E493" s="4" t="s">
        <v>69</v>
      </c>
      <c r="F493" s="4" t="s">
        <v>276</v>
      </c>
      <c r="G493" s="4" t="s">
        <v>199</v>
      </c>
      <c r="H493" s="4" t="s">
        <v>59</v>
      </c>
      <c r="I493" s="3"/>
      <c r="J493" s="3"/>
      <c r="K493" s="3"/>
      <c r="L493" s="3"/>
      <c r="M493" s="3"/>
      <c r="N493" s="3"/>
      <c r="O493" s="3"/>
      <c r="P493" s="8"/>
      <c r="Q493" s="8"/>
      <c r="R493" s="3"/>
      <c r="S493" s="3"/>
      <c r="T493" s="3"/>
      <c r="U493" s="5" t="str">
        <f t="shared" si="29"/>
        <v/>
      </c>
    </row>
    <row r="494" spans="1:21" ht="28" customHeight="1" x14ac:dyDescent="0.35">
      <c r="A494" s="4">
        <v>6</v>
      </c>
      <c r="B494" s="4" t="s">
        <v>453</v>
      </c>
      <c r="C494" s="4" t="s">
        <v>454</v>
      </c>
      <c r="D494" s="4" t="s">
        <v>455</v>
      </c>
      <c r="E494" s="4" t="s">
        <v>69</v>
      </c>
      <c r="F494" s="4" t="s">
        <v>284</v>
      </c>
      <c r="G494" s="4" t="s">
        <v>204</v>
      </c>
      <c r="H494" s="4" t="s">
        <v>76</v>
      </c>
      <c r="I494" s="3"/>
      <c r="J494" s="3"/>
      <c r="K494" s="3"/>
      <c r="L494" s="3"/>
      <c r="M494" s="3"/>
      <c r="N494" s="3"/>
      <c r="O494" s="3"/>
      <c r="P494" s="8"/>
      <c r="Q494" s="8"/>
      <c r="R494" s="3"/>
      <c r="S494" s="3"/>
      <c r="T494" s="3"/>
      <c r="U494" s="5" t="str">
        <f t="shared" si="29"/>
        <v/>
      </c>
    </row>
    <row r="495" spans="1:21" ht="28" customHeight="1" x14ac:dyDescent="0.35">
      <c r="A495" s="4">
        <v>7</v>
      </c>
      <c r="B495" s="4" t="s">
        <v>456</v>
      </c>
      <c r="C495" s="4" t="s">
        <v>457</v>
      </c>
      <c r="D495" s="4" t="s">
        <v>458</v>
      </c>
      <c r="E495" s="4" t="s">
        <v>69</v>
      </c>
      <c r="F495" s="4" t="s">
        <v>459</v>
      </c>
      <c r="G495" s="4" t="s">
        <v>209</v>
      </c>
      <c r="H495" s="4" t="s">
        <v>59</v>
      </c>
      <c r="I495" s="3"/>
      <c r="J495" s="3"/>
      <c r="K495" s="3"/>
      <c r="L495" s="3"/>
      <c r="M495" s="3"/>
      <c r="N495" s="3"/>
      <c r="O495" s="3"/>
      <c r="P495" s="8"/>
      <c r="Q495" s="8"/>
      <c r="R495" s="3"/>
      <c r="S495" s="3"/>
      <c r="T495" s="3"/>
      <c r="U495" s="5" t="str">
        <f t="shared" si="29"/>
        <v/>
      </c>
    </row>
    <row r="496" spans="1:21" ht="28" customHeight="1" x14ac:dyDescent="0.35">
      <c r="A496" s="4">
        <v>8</v>
      </c>
      <c r="B496" s="4" t="s">
        <v>460</v>
      </c>
      <c r="C496" s="4" t="s">
        <v>461</v>
      </c>
      <c r="D496" s="4" t="s">
        <v>462</v>
      </c>
      <c r="E496" s="4" t="s">
        <v>69</v>
      </c>
      <c r="F496" s="4" t="s">
        <v>95</v>
      </c>
      <c r="G496" s="4" t="s">
        <v>102</v>
      </c>
      <c r="H496" s="4" t="s">
        <v>59</v>
      </c>
      <c r="I496" s="3"/>
      <c r="J496" s="3"/>
      <c r="K496" s="3"/>
      <c r="L496" s="3"/>
      <c r="M496" s="3"/>
      <c r="N496" s="3"/>
      <c r="O496" s="3"/>
      <c r="P496" s="8"/>
      <c r="Q496" s="8"/>
      <c r="R496" s="3"/>
      <c r="S496" s="3"/>
      <c r="T496" s="3"/>
      <c r="U496" s="5" t="str">
        <f t="shared" si="29"/>
        <v/>
      </c>
    </row>
    <row r="497" spans="1:21" ht="28" customHeight="1" x14ac:dyDescent="0.35">
      <c r="A497" s="4">
        <v>9</v>
      </c>
      <c r="B497" s="4" t="s">
        <v>97</v>
      </c>
      <c r="C497" s="4" t="s">
        <v>98</v>
      </c>
      <c r="D497" s="4" t="s">
        <v>99</v>
      </c>
      <c r="E497" s="4" t="s">
        <v>69</v>
      </c>
      <c r="F497" s="4" t="s">
        <v>95</v>
      </c>
      <c r="G497" s="4" t="s">
        <v>96</v>
      </c>
      <c r="H497" s="4" t="s">
        <v>59</v>
      </c>
      <c r="I497" s="3"/>
      <c r="J497" s="3"/>
      <c r="K497" s="3"/>
      <c r="L497" s="3"/>
      <c r="M497" s="3"/>
      <c r="N497" s="3"/>
      <c r="O497" s="3"/>
      <c r="P497" s="8"/>
      <c r="Q497" s="8"/>
      <c r="R497" s="3"/>
      <c r="S497" s="3"/>
      <c r="T497" s="3"/>
      <c r="U497" s="5" t="str">
        <f t="shared" si="29"/>
        <v/>
      </c>
    </row>
    <row r="498" spans="1:21" ht="28" customHeight="1" x14ac:dyDescent="0.35">
      <c r="A498" s="4">
        <v>10</v>
      </c>
      <c r="B498" s="4" t="s">
        <v>97</v>
      </c>
      <c r="C498" s="4" t="s">
        <v>100</v>
      </c>
      <c r="D498" s="4" t="s">
        <v>101</v>
      </c>
      <c r="E498" s="4" t="s">
        <v>69</v>
      </c>
      <c r="F498" s="4" t="s">
        <v>95</v>
      </c>
      <c r="G498" s="4" t="s">
        <v>102</v>
      </c>
      <c r="H498" s="4" t="s">
        <v>59</v>
      </c>
      <c r="I498" s="3"/>
      <c r="J498" s="3"/>
      <c r="K498" s="3"/>
      <c r="L498" s="3"/>
      <c r="M498" s="3"/>
      <c r="N498" s="3"/>
      <c r="O498" s="3"/>
      <c r="P498" s="8"/>
      <c r="Q498" s="8"/>
      <c r="R498" s="3"/>
      <c r="S498" s="3"/>
      <c r="T498" s="3"/>
      <c r="U498" s="5" t="str">
        <f t="shared" si="29"/>
        <v/>
      </c>
    </row>
    <row r="499" spans="1:21" ht="28" customHeight="1" x14ac:dyDescent="0.35">
      <c r="A499" s="4">
        <v>11</v>
      </c>
      <c r="B499" s="4" t="s">
        <v>103</v>
      </c>
      <c r="C499" s="4" t="s">
        <v>104</v>
      </c>
      <c r="D499" s="4" t="s">
        <v>105</v>
      </c>
      <c r="E499" s="4" t="s">
        <v>69</v>
      </c>
      <c r="F499" s="4" t="s">
        <v>95</v>
      </c>
      <c r="G499" s="4" t="s">
        <v>96</v>
      </c>
      <c r="H499" s="4" t="s">
        <v>85</v>
      </c>
      <c r="I499" s="3"/>
      <c r="J499" s="3"/>
      <c r="K499" s="3"/>
      <c r="L499" s="3"/>
      <c r="M499" s="3"/>
      <c r="N499" s="3"/>
      <c r="O499" s="3"/>
      <c r="P499" s="8"/>
      <c r="Q499" s="8"/>
      <c r="R499" s="3"/>
      <c r="S499" s="3"/>
      <c r="T499" s="3"/>
      <c r="U499" s="5" t="str">
        <f t="shared" si="29"/>
        <v/>
      </c>
    </row>
    <row r="500" spans="1:21" ht="28" customHeight="1" x14ac:dyDescent="0.35">
      <c r="A500" s="4">
        <v>12</v>
      </c>
      <c r="B500" s="4" t="s">
        <v>106</v>
      </c>
      <c r="C500" s="4" t="s">
        <v>107</v>
      </c>
      <c r="D500" s="4" t="s">
        <v>108</v>
      </c>
      <c r="E500" s="4" t="s">
        <v>109</v>
      </c>
      <c r="F500" s="4" t="s">
        <v>95</v>
      </c>
      <c r="G500" s="4" t="s">
        <v>96</v>
      </c>
      <c r="H500" s="4" t="s">
        <v>59</v>
      </c>
      <c r="I500" s="3"/>
      <c r="J500" s="3"/>
      <c r="K500" s="3"/>
      <c r="L500" s="3"/>
      <c r="M500" s="3"/>
      <c r="N500" s="3"/>
      <c r="O500" s="3"/>
      <c r="P500" s="8"/>
      <c r="Q500" s="8"/>
      <c r="R500" s="3"/>
      <c r="S500" s="3"/>
      <c r="T500" s="3"/>
      <c r="U500" s="5" t="str">
        <f t="shared" si="29"/>
        <v/>
      </c>
    </row>
    <row r="502" spans="1:21" ht="28" customHeight="1" x14ac:dyDescent="0.35">
      <c r="A502" s="9" t="s">
        <v>110</v>
      </c>
      <c r="B502" s="16"/>
      <c r="C502" s="17"/>
      <c r="D502" s="17"/>
      <c r="E502" s="17"/>
      <c r="F502" s="17"/>
      <c r="G502" s="17"/>
      <c r="H502" s="17"/>
      <c r="I502" s="17"/>
      <c r="J502" s="17"/>
      <c r="K502" s="17"/>
      <c r="L502" s="17"/>
      <c r="M502" s="17"/>
      <c r="N502" s="17"/>
      <c r="O502" s="17"/>
      <c r="P502" s="17"/>
      <c r="Q502" s="17"/>
      <c r="R502" s="17"/>
      <c r="S502" s="17"/>
      <c r="T502" s="17"/>
      <c r="U502" s="18"/>
    </row>
    <row r="503" spans="1:21" ht="28" customHeight="1" x14ac:dyDescent="0.35">
      <c r="A503" s="19" t="s">
        <v>488</v>
      </c>
      <c r="B503" s="20"/>
      <c r="C503" s="20"/>
      <c r="D503" s="20"/>
      <c r="E503" s="20"/>
      <c r="F503" s="20"/>
      <c r="G503" s="20"/>
      <c r="H503" s="20"/>
      <c r="I503" s="20"/>
      <c r="J503" s="20"/>
      <c r="K503" s="20"/>
      <c r="L503" s="20"/>
      <c r="M503" s="20"/>
      <c r="N503" s="20"/>
      <c r="O503" s="20"/>
      <c r="P503" s="20"/>
      <c r="Q503" s="20"/>
      <c r="R503" s="20"/>
      <c r="S503" s="20"/>
      <c r="T503" s="20"/>
      <c r="U503" s="21"/>
    </row>
    <row r="504" spans="1:21" ht="28" customHeight="1" x14ac:dyDescent="0.35">
      <c r="A504" s="4" t="s">
        <v>31</v>
      </c>
      <c r="B504" s="3" t="s">
        <v>243</v>
      </c>
      <c r="C504" s="4" t="s">
        <v>32</v>
      </c>
      <c r="D504" s="3"/>
      <c r="E504" s="4" t="s">
        <v>33</v>
      </c>
      <c r="F504" s="8"/>
    </row>
    <row r="505" spans="1:21" ht="28" customHeight="1" x14ac:dyDescent="0.35">
      <c r="A505" s="1" t="s">
        <v>34</v>
      </c>
      <c r="B505" s="1" t="s">
        <v>35</v>
      </c>
      <c r="C505" s="1" t="s">
        <v>36</v>
      </c>
      <c r="D505" s="1" t="s">
        <v>37</v>
      </c>
      <c r="E505" s="1" t="s">
        <v>38</v>
      </c>
      <c r="F505" s="1" t="s">
        <v>39</v>
      </c>
      <c r="G505" s="1" t="s">
        <v>40</v>
      </c>
      <c r="H505" s="1" t="s">
        <v>41</v>
      </c>
      <c r="I505" s="1" t="s">
        <v>42</v>
      </c>
      <c r="J505" s="1" t="s">
        <v>43</v>
      </c>
      <c r="K505" s="1" t="s">
        <v>44</v>
      </c>
      <c r="L505" s="1" t="s">
        <v>45</v>
      </c>
      <c r="M505" s="1" t="s">
        <v>46</v>
      </c>
      <c r="N505" s="1" t="s">
        <v>47</v>
      </c>
      <c r="O505" s="1" t="s">
        <v>48</v>
      </c>
      <c r="P505" s="1" t="s">
        <v>4</v>
      </c>
      <c r="Q505" s="1" t="s">
        <v>49</v>
      </c>
      <c r="R505" s="1" t="s">
        <v>50</v>
      </c>
      <c r="S505" s="1" t="s">
        <v>51</v>
      </c>
      <c r="T505" s="1" t="s">
        <v>52</v>
      </c>
      <c r="U505" s="1" t="s">
        <v>10</v>
      </c>
    </row>
    <row r="506" spans="1:21" ht="28" customHeight="1" x14ac:dyDescent="0.35">
      <c r="A506" s="4">
        <v>1</v>
      </c>
      <c r="B506" s="4" t="s">
        <v>439</v>
      </c>
      <c r="C506" s="4" t="s">
        <v>440</v>
      </c>
      <c r="D506" s="4" t="s">
        <v>441</v>
      </c>
      <c r="E506" s="4" t="s">
        <v>69</v>
      </c>
      <c r="F506" s="4" t="s">
        <v>370</v>
      </c>
      <c r="G506" s="4" t="s">
        <v>204</v>
      </c>
      <c r="H506" s="4" t="s">
        <v>59</v>
      </c>
      <c r="I506" s="3"/>
      <c r="J506" s="3"/>
      <c r="K506" s="3"/>
      <c r="L506" s="3"/>
      <c r="M506" s="3"/>
      <c r="N506" s="3"/>
      <c r="O506" s="3"/>
      <c r="P506" s="8"/>
      <c r="Q506" s="8"/>
      <c r="R506" s="3"/>
      <c r="S506" s="3"/>
      <c r="T506" s="3"/>
      <c r="U506" s="5" t="str">
        <f t="shared" ref="U506:U517" si="30">IF(I506="","",IF(I506="NA","Grey",IF(I506=2,"Green",IF(I506=1,"Amber","Red"))))</f>
        <v/>
      </c>
    </row>
    <row r="507" spans="1:21" ht="28" customHeight="1" x14ac:dyDescent="0.35">
      <c r="A507" s="4">
        <v>2</v>
      </c>
      <c r="B507" s="4" t="s">
        <v>442</v>
      </c>
      <c r="C507" s="4" t="s">
        <v>443</v>
      </c>
      <c r="D507" s="4" t="s">
        <v>444</v>
      </c>
      <c r="E507" s="4" t="s">
        <v>69</v>
      </c>
      <c r="F507" s="4" t="s">
        <v>95</v>
      </c>
      <c r="G507" s="4" t="s">
        <v>102</v>
      </c>
      <c r="H507" s="4" t="s">
        <v>59</v>
      </c>
      <c r="I507" s="3"/>
      <c r="J507" s="3"/>
      <c r="K507" s="3"/>
      <c r="L507" s="3"/>
      <c r="M507" s="3"/>
      <c r="N507" s="3"/>
      <c r="O507" s="3"/>
      <c r="P507" s="8"/>
      <c r="Q507" s="8"/>
      <c r="R507" s="3"/>
      <c r="S507" s="3"/>
      <c r="T507" s="3"/>
      <c r="U507" s="5" t="str">
        <f t="shared" si="30"/>
        <v/>
      </c>
    </row>
    <row r="508" spans="1:21" ht="28" customHeight="1" x14ac:dyDescent="0.35">
      <c r="A508" s="4">
        <v>3</v>
      </c>
      <c r="B508" s="4" t="s">
        <v>445</v>
      </c>
      <c r="C508" s="4" t="s">
        <v>446</v>
      </c>
      <c r="D508" s="4" t="s">
        <v>369</v>
      </c>
      <c r="E508" s="4" t="s">
        <v>69</v>
      </c>
      <c r="F508" s="4" t="s">
        <v>370</v>
      </c>
      <c r="G508" s="4" t="s">
        <v>204</v>
      </c>
      <c r="H508" s="4" t="s">
        <v>76</v>
      </c>
      <c r="I508" s="3"/>
      <c r="J508" s="3"/>
      <c r="K508" s="3"/>
      <c r="L508" s="3"/>
      <c r="M508" s="3"/>
      <c r="N508" s="3"/>
      <c r="O508" s="3"/>
      <c r="P508" s="8"/>
      <c r="Q508" s="8"/>
      <c r="R508" s="3"/>
      <c r="S508" s="3"/>
      <c r="T508" s="3"/>
      <c r="U508" s="5" t="str">
        <f t="shared" si="30"/>
        <v/>
      </c>
    </row>
    <row r="509" spans="1:21" ht="28" customHeight="1" x14ac:dyDescent="0.35">
      <c r="A509" s="4">
        <v>4</v>
      </c>
      <c r="B509" s="4" t="s">
        <v>447</v>
      </c>
      <c r="C509" s="4" t="s">
        <v>448</v>
      </c>
      <c r="D509" s="4" t="s">
        <v>449</v>
      </c>
      <c r="E509" s="4" t="s">
        <v>109</v>
      </c>
      <c r="F509" s="4" t="s">
        <v>276</v>
      </c>
      <c r="G509" s="4" t="s">
        <v>199</v>
      </c>
      <c r="H509" s="4" t="s">
        <v>59</v>
      </c>
      <c r="I509" s="3"/>
      <c r="J509" s="3"/>
      <c r="K509" s="3"/>
      <c r="L509" s="3"/>
      <c r="M509" s="3"/>
      <c r="N509" s="3"/>
      <c r="O509" s="3"/>
      <c r="P509" s="8"/>
      <c r="Q509" s="8"/>
      <c r="R509" s="3"/>
      <c r="S509" s="3"/>
      <c r="T509" s="3"/>
      <c r="U509" s="5" t="str">
        <f t="shared" si="30"/>
        <v/>
      </c>
    </row>
    <row r="510" spans="1:21" ht="28" customHeight="1" x14ac:dyDescent="0.35">
      <c r="A510" s="4">
        <v>5</v>
      </c>
      <c r="B510" s="4" t="s">
        <v>450</v>
      </c>
      <c r="C510" s="4" t="s">
        <v>451</v>
      </c>
      <c r="D510" s="4" t="s">
        <v>452</v>
      </c>
      <c r="E510" s="4" t="s">
        <v>69</v>
      </c>
      <c r="F510" s="4" t="s">
        <v>276</v>
      </c>
      <c r="G510" s="4" t="s">
        <v>199</v>
      </c>
      <c r="H510" s="4" t="s">
        <v>59</v>
      </c>
      <c r="I510" s="3"/>
      <c r="J510" s="3"/>
      <c r="K510" s="3"/>
      <c r="L510" s="3"/>
      <c r="M510" s="3"/>
      <c r="N510" s="3"/>
      <c r="O510" s="3"/>
      <c r="P510" s="8"/>
      <c r="Q510" s="8"/>
      <c r="R510" s="3"/>
      <c r="S510" s="3"/>
      <c r="T510" s="3"/>
      <c r="U510" s="5" t="str">
        <f t="shared" si="30"/>
        <v/>
      </c>
    </row>
    <row r="511" spans="1:21" ht="28" customHeight="1" x14ac:dyDescent="0.35">
      <c r="A511" s="4">
        <v>6</v>
      </c>
      <c r="B511" s="4" t="s">
        <v>453</v>
      </c>
      <c r="C511" s="4" t="s">
        <v>454</v>
      </c>
      <c r="D511" s="4" t="s">
        <v>455</v>
      </c>
      <c r="E511" s="4" t="s">
        <v>69</v>
      </c>
      <c r="F511" s="4" t="s">
        <v>284</v>
      </c>
      <c r="G511" s="4" t="s">
        <v>204</v>
      </c>
      <c r="H511" s="4" t="s">
        <v>76</v>
      </c>
      <c r="I511" s="3"/>
      <c r="J511" s="3"/>
      <c r="K511" s="3"/>
      <c r="L511" s="3"/>
      <c r="M511" s="3"/>
      <c r="N511" s="3"/>
      <c r="O511" s="3"/>
      <c r="P511" s="8"/>
      <c r="Q511" s="8"/>
      <c r="R511" s="3"/>
      <c r="S511" s="3"/>
      <c r="T511" s="3"/>
      <c r="U511" s="5" t="str">
        <f t="shared" si="30"/>
        <v/>
      </c>
    </row>
    <row r="512" spans="1:21" ht="28" customHeight="1" x14ac:dyDescent="0.35">
      <c r="A512" s="4">
        <v>7</v>
      </c>
      <c r="B512" s="4" t="s">
        <v>456</v>
      </c>
      <c r="C512" s="4" t="s">
        <v>457</v>
      </c>
      <c r="D512" s="4" t="s">
        <v>458</v>
      </c>
      <c r="E512" s="4" t="s">
        <v>69</v>
      </c>
      <c r="F512" s="4" t="s">
        <v>459</v>
      </c>
      <c r="G512" s="4" t="s">
        <v>209</v>
      </c>
      <c r="H512" s="4" t="s">
        <v>59</v>
      </c>
      <c r="I512" s="3"/>
      <c r="J512" s="3"/>
      <c r="K512" s="3"/>
      <c r="L512" s="3"/>
      <c r="M512" s="3"/>
      <c r="N512" s="3"/>
      <c r="O512" s="3"/>
      <c r="P512" s="8"/>
      <c r="Q512" s="8"/>
      <c r="R512" s="3"/>
      <c r="S512" s="3"/>
      <c r="T512" s="3"/>
      <c r="U512" s="5" t="str">
        <f t="shared" si="30"/>
        <v/>
      </c>
    </row>
    <row r="513" spans="1:21" ht="28" customHeight="1" x14ac:dyDescent="0.35">
      <c r="A513" s="4">
        <v>8</v>
      </c>
      <c r="B513" s="4" t="s">
        <v>460</v>
      </c>
      <c r="C513" s="4" t="s">
        <v>461</v>
      </c>
      <c r="D513" s="4" t="s">
        <v>462</v>
      </c>
      <c r="E513" s="4" t="s">
        <v>69</v>
      </c>
      <c r="F513" s="4" t="s">
        <v>95</v>
      </c>
      <c r="G513" s="4" t="s">
        <v>102</v>
      </c>
      <c r="H513" s="4" t="s">
        <v>59</v>
      </c>
      <c r="I513" s="3"/>
      <c r="J513" s="3"/>
      <c r="K513" s="3"/>
      <c r="L513" s="3"/>
      <c r="M513" s="3"/>
      <c r="N513" s="3"/>
      <c r="O513" s="3"/>
      <c r="P513" s="8"/>
      <c r="Q513" s="8"/>
      <c r="R513" s="3"/>
      <c r="S513" s="3"/>
      <c r="T513" s="3"/>
      <c r="U513" s="5" t="str">
        <f t="shared" si="30"/>
        <v/>
      </c>
    </row>
    <row r="514" spans="1:21" ht="28" customHeight="1" x14ac:dyDescent="0.35">
      <c r="A514" s="4">
        <v>9</v>
      </c>
      <c r="B514" s="4" t="s">
        <v>97</v>
      </c>
      <c r="C514" s="4" t="s">
        <v>98</v>
      </c>
      <c r="D514" s="4" t="s">
        <v>99</v>
      </c>
      <c r="E514" s="4" t="s">
        <v>69</v>
      </c>
      <c r="F514" s="4" t="s">
        <v>95</v>
      </c>
      <c r="G514" s="4" t="s">
        <v>96</v>
      </c>
      <c r="H514" s="4" t="s">
        <v>59</v>
      </c>
      <c r="I514" s="3"/>
      <c r="J514" s="3"/>
      <c r="K514" s="3"/>
      <c r="L514" s="3"/>
      <c r="M514" s="3"/>
      <c r="N514" s="3"/>
      <c r="O514" s="3"/>
      <c r="P514" s="8"/>
      <c r="Q514" s="8"/>
      <c r="R514" s="3"/>
      <c r="S514" s="3"/>
      <c r="T514" s="3"/>
      <c r="U514" s="5" t="str">
        <f t="shared" si="30"/>
        <v/>
      </c>
    </row>
    <row r="515" spans="1:21" ht="28" customHeight="1" x14ac:dyDescent="0.35">
      <c r="A515" s="4">
        <v>10</v>
      </c>
      <c r="B515" s="4" t="s">
        <v>97</v>
      </c>
      <c r="C515" s="4" t="s">
        <v>100</v>
      </c>
      <c r="D515" s="4" t="s">
        <v>101</v>
      </c>
      <c r="E515" s="4" t="s">
        <v>69</v>
      </c>
      <c r="F515" s="4" t="s">
        <v>95</v>
      </c>
      <c r="G515" s="4" t="s">
        <v>102</v>
      </c>
      <c r="H515" s="4" t="s">
        <v>59</v>
      </c>
      <c r="I515" s="3"/>
      <c r="J515" s="3"/>
      <c r="K515" s="3"/>
      <c r="L515" s="3"/>
      <c r="M515" s="3"/>
      <c r="N515" s="3"/>
      <c r="O515" s="3"/>
      <c r="P515" s="8"/>
      <c r="Q515" s="8"/>
      <c r="R515" s="3"/>
      <c r="S515" s="3"/>
      <c r="T515" s="3"/>
      <c r="U515" s="5" t="str">
        <f t="shared" si="30"/>
        <v/>
      </c>
    </row>
    <row r="516" spans="1:21" ht="28" customHeight="1" x14ac:dyDescent="0.35">
      <c r="A516" s="4">
        <v>11</v>
      </c>
      <c r="B516" s="4" t="s">
        <v>103</v>
      </c>
      <c r="C516" s="4" t="s">
        <v>104</v>
      </c>
      <c r="D516" s="4" t="s">
        <v>105</v>
      </c>
      <c r="E516" s="4" t="s">
        <v>69</v>
      </c>
      <c r="F516" s="4" t="s">
        <v>95</v>
      </c>
      <c r="G516" s="4" t="s">
        <v>96</v>
      </c>
      <c r="H516" s="4" t="s">
        <v>85</v>
      </c>
      <c r="I516" s="3"/>
      <c r="J516" s="3"/>
      <c r="K516" s="3"/>
      <c r="L516" s="3"/>
      <c r="M516" s="3"/>
      <c r="N516" s="3"/>
      <c r="O516" s="3"/>
      <c r="P516" s="8"/>
      <c r="Q516" s="8"/>
      <c r="R516" s="3"/>
      <c r="S516" s="3"/>
      <c r="T516" s="3"/>
      <c r="U516" s="5" t="str">
        <f t="shared" si="30"/>
        <v/>
      </c>
    </row>
    <row r="517" spans="1:21" ht="28" customHeight="1" x14ac:dyDescent="0.35">
      <c r="A517" s="4">
        <v>12</v>
      </c>
      <c r="B517" s="4" t="s">
        <v>106</v>
      </c>
      <c r="C517" s="4" t="s">
        <v>107</v>
      </c>
      <c r="D517" s="4" t="s">
        <v>108</v>
      </c>
      <c r="E517" s="4" t="s">
        <v>109</v>
      </c>
      <c r="F517" s="4" t="s">
        <v>95</v>
      </c>
      <c r="G517" s="4" t="s">
        <v>96</v>
      </c>
      <c r="H517" s="4" t="s">
        <v>59</v>
      </c>
      <c r="I517" s="3"/>
      <c r="J517" s="3"/>
      <c r="K517" s="3"/>
      <c r="L517" s="3"/>
      <c r="M517" s="3"/>
      <c r="N517" s="3"/>
      <c r="O517" s="3"/>
      <c r="P517" s="8"/>
      <c r="Q517" s="8"/>
      <c r="R517" s="3"/>
      <c r="S517" s="3"/>
      <c r="T517" s="3"/>
      <c r="U517" s="5" t="str">
        <f t="shared" si="30"/>
        <v/>
      </c>
    </row>
    <row r="519" spans="1:21" ht="28" customHeight="1" x14ac:dyDescent="0.35">
      <c r="A519" s="9" t="s">
        <v>110</v>
      </c>
      <c r="B519" s="16"/>
      <c r="C519" s="17"/>
      <c r="D519" s="17"/>
      <c r="E519" s="17"/>
      <c r="F519" s="17"/>
      <c r="G519" s="17"/>
      <c r="H519" s="17"/>
      <c r="I519" s="17"/>
      <c r="J519" s="17"/>
      <c r="K519" s="17"/>
      <c r="L519" s="17"/>
      <c r="M519" s="17"/>
      <c r="N519" s="17"/>
      <c r="O519" s="17"/>
      <c r="P519" s="17"/>
      <c r="Q519" s="17"/>
      <c r="R519" s="17"/>
      <c r="S519" s="17"/>
      <c r="T519" s="17"/>
      <c r="U519" s="18"/>
    </row>
    <row r="520" spans="1:21" ht="28" customHeight="1" x14ac:dyDescent="0.35">
      <c r="A520" s="19" t="s">
        <v>489</v>
      </c>
      <c r="B520" s="20"/>
      <c r="C520" s="20"/>
      <c r="D520" s="20"/>
      <c r="E520" s="20"/>
      <c r="F520" s="20"/>
      <c r="G520" s="20"/>
      <c r="H520" s="20"/>
      <c r="I520" s="20"/>
      <c r="J520" s="20"/>
      <c r="K520" s="20"/>
      <c r="L520" s="20"/>
      <c r="M520" s="20"/>
      <c r="N520" s="20"/>
      <c r="O520" s="20"/>
      <c r="P520" s="20"/>
      <c r="Q520" s="20"/>
      <c r="R520" s="20"/>
      <c r="S520" s="20"/>
      <c r="T520" s="20"/>
      <c r="U520" s="21"/>
    </row>
    <row r="521" spans="1:21" ht="28" customHeight="1" x14ac:dyDescent="0.35">
      <c r="A521" s="4" t="s">
        <v>31</v>
      </c>
      <c r="B521" s="3" t="s">
        <v>244</v>
      </c>
      <c r="C521" s="4" t="s">
        <v>32</v>
      </c>
      <c r="D521" s="3"/>
      <c r="E521" s="4" t="s">
        <v>33</v>
      </c>
      <c r="F521" s="8"/>
    </row>
    <row r="522" spans="1:21" ht="28" customHeight="1" x14ac:dyDescent="0.35">
      <c r="A522" s="1" t="s">
        <v>34</v>
      </c>
      <c r="B522" s="1" t="s">
        <v>35</v>
      </c>
      <c r="C522" s="1" t="s">
        <v>36</v>
      </c>
      <c r="D522" s="1" t="s">
        <v>37</v>
      </c>
      <c r="E522" s="1" t="s">
        <v>38</v>
      </c>
      <c r="F522" s="1" t="s">
        <v>39</v>
      </c>
      <c r="G522" s="1" t="s">
        <v>40</v>
      </c>
      <c r="H522" s="1" t="s">
        <v>41</v>
      </c>
      <c r="I522" s="1" t="s">
        <v>42</v>
      </c>
      <c r="J522" s="1" t="s">
        <v>43</v>
      </c>
      <c r="K522" s="1" t="s">
        <v>44</v>
      </c>
      <c r="L522" s="1" t="s">
        <v>45</v>
      </c>
      <c r="M522" s="1" t="s">
        <v>46</v>
      </c>
      <c r="N522" s="1" t="s">
        <v>47</v>
      </c>
      <c r="O522" s="1" t="s">
        <v>48</v>
      </c>
      <c r="P522" s="1" t="s">
        <v>4</v>
      </c>
      <c r="Q522" s="1" t="s">
        <v>49</v>
      </c>
      <c r="R522" s="1" t="s">
        <v>50</v>
      </c>
      <c r="S522" s="1" t="s">
        <v>51</v>
      </c>
      <c r="T522" s="1" t="s">
        <v>52</v>
      </c>
      <c r="U522" s="1" t="s">
        <v>10</v>
      </c>
    </row>
    <row r="523" spans="1:21" ht="28" customHeight="1" x14ac:dyDescent="0.35">
      <c r="A523" s="4">
        <v>1</v>
      </c>
      <c r="B523" s="4" t="s">
        <v>439</v>
      </c>
      <c r="C523" s="4" t="s">
        <v>440</v>
      </c>
      <c r="D523" s="4" t="s">
        <v>441</v>
      </c>
      <c r="E523" s="4" t="s">
        <v>69</v>
      </c>
      <c r="F523" s="4" t="s">
        <v>370</v>
      </c>
      <c r="G523" s="4" t="s">
        <v>204</v>
      </c>
      <c r="H523" s="4" t="s">
        <v>59</v>
      </c>
      <c r="I523" s="3"/>
      <c r="J523" s="3"/>
      <c r="K523" s="3"/>
      <c r="L523" s="3"/>
      <c r="M523" s="3"/>
      <c r="N523" s="3"/>
      <c r="O523" s="3"/>
      <c r="P523" s="8"/>
      <c r="Q523" s="8"/>
      <c r="R523" s="3"/>
      <c r="S523" s="3"/>
      <c r="T523" s="3"/>
      <c r="U523" s="5" t="str">
        <f t="shared" ref="U523:U534" si="31">IF(I523="","",IF(I523="NA","Grey",IF(I523=2,"Green",IF(I523=1,"Amber","Red"))))</f>
        <v/>
      </c>
    </row>
    <row r="524" spans="1:21" ht="28" customHeight="1" x14ac:dyDescent="0.35">
      <c r="A524" s="4">
        <v>2</v>
      </c>
      <c r="B524" s="4" t="s">
        <v>442</v>
      </c>
      <c r="C524" s="4" t="s">
        <v>443</v>
      </c>
      <c r="D524" s="4" t="s">
        <v>444</v>
      </c>
      <c r="E524" s="4" t="s">
        <v>69</v>
      </c>
      <c r="F524" s="4" t="s">
        <v>95</v>
      </c>
      <c r="G524" s="4" t="s">
        <v>102</v>
      </c>
      <c r="H524" s="4" t="s">
        <v>59</v>
      </c>
      <c r="I524" s="3"/>
      <c r="J524" s="3"/>
      <c r="K524" s="3"/>
      <c r="L524" s="3"/>
      <c r="M524" s="3"/>
      <c r="N524" s="3"/>
      <c r="O524" s="3"/>
      <c r="P524" s="8"/>
      <c r="Q524" s="8"/>
      <c r="R524" s="3"/>
      <c r="S524" s="3"/>
      <c r="T524" s="3"/>
      <c r="U524" s="5" t="str">
        <f t="shared" si="31"/>
        <v/>
      </c>
    </row>
    <row r="525" spans="1:21" ht="28" customHeight="1" x14ac:dyDescent="0.35">
      <c r="A525" s="4">
        <v>3</v>
      </c>
      <c r="B525" s="4" t="s">
        <v>445</v>
      </c>
      <c r="C525" s="4" t="s">
        <v>446</v>
      </c>
      <c r="D525" s="4" t="s">
        <v>369</v>
      </c>
      <c r="E525" s="4" t="s">
        <v>69</v>
      </c>
      <c r="F525" s="4" t="s">
        <v>370</v>
      </c>
      <c r="G525" s="4" t="s">
        <v>204</v>
      </c>
      <c r="H525" s="4" t="s">
        <v>76</v>
      </c>
      <c r="I525" s="3"/>
      <c r="J525" s="3"/>
      <c r="K525" s="3"/>
      <c r="L525" s="3"/>
      <c r="M525" s="3"/>
      <c r="N525" s="3"/>
      <c r="O525" s="3"/>
      <c r="P525" s="8"/>
      <c r="Q525" s="8"/>
      <c r="R525" s="3"/>
      <c r="S525" s="3"/>
      <c r="T525" s="3"/>
      <c r="U525" s="5" t="str">
        <f t="shared" si="31"/>
        <v/>
      </c>
    </row>
    <row r="526" spans="1:21" ht="28" customHeight="1" x14ac:dyDescent="0.35">
      <c r="A526" s="4">
        <v>4</v>
      </c>
      <c r="B526" s="4" t="s">
        <v>447</v>
      </c>
      <c r="C526" s="4" t="s">
        <v>448</v>
      </c>
      <c r="D526" s="4" t="s">
        <v>449</v>
      </c>
      <c r="E526" s="4" t="s">
        <v>109</v>
      </c>
      <c r="F526" s="4" t="s">
        <v>276</v>
      </c>
      <c r="G526" s="4" t="s">
        <v>199</v>
      </c>
      <c r="H526" s="4" t="s">
        <v>59</v>
      </c>
      <c r="I526" s="3"/>
      <c r="J526" s="3"/>
      <c r="K526" s="3"/>
      <c r="L526" s="3"/>
      <c r="M526" s="3"/>
      <c r="N526" s="3"/>
      <c r="O526" s="3"/>
      <c r="P526" s="8"/>
      <c r="Q526" s="8"/>
      <c r="R526" s="3"/>
      <c r="S526" s="3"/>
      <c r="T526" s="3"/>
      <c r="U526" s="5" t="str">
        <f t="shared" si="31"/>
        <v/>
      </c>
    </row>
    <row r="527" spans="1:21" ht="28" customHeight="1" x14ac:dyDescent="0.35">
      <c r="A527" s="4">
        <v>5</v>
      </c>
      <c r="B527" s="4" t="s">
        <v>450</v>
      </c>
      <c r="C527" s="4" t="s">
        <v>451</v>
      </c>
      <c r="D527" s="4" t="s">
        <v>452</v>
      </c>
      <c r="E527" s="4" t="s">
        <v>69</v>
      </c>
      <c r="F527" s="4" t="s">
        <v>276</v>
      </c>
      <c r="G527" s="4" t="s">
        <v>199</v>
      </c>
      <c r="H527" s="4" t="s">
        <v>59</v>
      </c>
      <c r="I527" s="3"/>
      <c r="J527" s="3"/>
      <c r="K527" s="3"/>
      <c r="L527" s="3"/>
      <c r="M527" s="3"/>
      <c r="N527" s="3"/>
      <c r="O527" s="3"/>
      <c r="P527" s="8"/>
      <c r="Q527" s="8"/>
      <c r="R527" s="3"/>
      <c r="S527" s="3"/>
      <c r="T527" s="3"/>
      <c r="U527" s="5" t="str">
        <f t="shared" si="31"/>
        <v/>
      </c>
    </row>
    <row r="528" spans="1:21" ht="28" customHeight="1" x14ac:dyDescent="0.35">
      <c r="A528" s="4">
        <v>6</v>
      </c>
      <c r="B528" s="4" t="s">
        <v>453</v>
      </c>
      <c r="C528" s="4" t="s">
        <v>454</v>
      </c>
      <c r="D528" s="4" t="s">
        <v>455</v>
      </c>
      <c r="E528" s="4" t="s">
        <v>69</v>
      </c>
      <c r="F528" s="4" t="s">
        <v>284</v>
      </c>
      <c r="G528" s="4" t="s">
        <v>204</v>
      </c>
      <c r="H528" s="4" t="s">
        <v>76</v>
      </c>
      <c r="I528" s="3"/>
      <c r="J528" s="3"/>
      <c r="K528" s="3"/>
      <c r="L528" s="3"/>
      <c r="M528" s="3"/>
      <c r="N528" s="3"/>
      <c r="O528" s="3"/>
      <c r="P528" s="8"/>
      <c r="Q528" s="8"/>
      <c r="R528" s="3"/>
      <c r="S528" s="3"/>
      <c r="T528" s="3"/>
      <c r="U528" s="5" t="str">
        <f t="shared" si="31"/>
        <v/>
      </c>
    </row>
    <row r="529" spans="1:21" ht="28" customHeight="1" x14ac:dyDescent="0.35">
      <c r="A529" s="4">
        <v>7</v>
      </c>
      <c r="B529" s="4" t="s">
        <v>456</v>
      </c>
      <c r="C529" s="4" t="s">
        <v>457</v>
      </c>
      <c r="D529" s="4" t="s">
        <v>458</v>
      </c>
      <c r="E529" s="4" t="s">
        <v>69</v>
      </c>
      <c r="F529" s="4" t="s">
        <v>459</v>
      </c>
      <c r="G529" s="4" t="s">
        <v>209</v>
      </c>
      <c r="H529" s="4" t="s">
        <v>59</v>
      </c>
      <c r="I529" s="3"/>
      <c r="J529" s="3"/>
      <c r="K529" s="3"/>
      <c r="L529" s="3"/>
      <c r="M529" s="3"/>
      <c r="N529" s="3"/>
      <c r="O529" s="3"/>
      <c r="P529" s="8"/>
      <c r="Q529" s="8"/>
      <c r="R529" s="3"/>
      <c r="S529" s="3"/>
      <c r="T529" s="3"/>
      <c r="U529" s="5" t="str">
        <f t="shared" si="31"/>
        <v/>
      </c>
    </row>
    <row r="530" spans="1:21" ht="28" customHeight="1" x14ac:dyDescent="0.35">
      <c r="A530" s="4">
        <v>8</v>
      </c>
      <c r="B530" s="4" t="s">
        <v>460</v>
      </c>
      <c r="C530" s="4" t="s">
        <v>461</v>
      </c>
      <c r="D530" s="4" t="s">
        <v>462</v>
      </c>
      <c r="E530" s="4" t="s">
        <v>69</v>
      </c>
      <c r="F530" s="4" t="s">
        <v>95</v>
      </c>
      <c r="G530" s="4" t="s">
        <v>102</v>
      </c>
      <c r="H530" s="4" t="s">
        <v>59</v>
      </c>
      <c r="I530" s="3"/>
      <c r="J530" s="3"/>
      <c r="K530" s="3"/>
      <c r="L530" s="3"/>
      <c r="M530" s="3"/>
      <c r="N530" s="3"/>
      <c r="O530" s="3"/>
      <c r="P530" s="8"/>
      <c r="Q530" s="8"/>
      <c r="R530" s="3"/>
      <c r="S530" s="3"/>
      <c r="T530" s="3"/>
      <c r="U530" s="5" t="str">
        <f t="shared" si="31"/>
        <v/>
      </c>
    </row>
    <row r="531" spans="1:21" ht="28" customHeight="1" x14ac:dyDescent="0.35">
      <c r="A531" s="4">
        <v>9</v>
      </c>
      <c r="B531" s="4" t="s">
        <v>97</v>
      </c>
      <c r="C531" s="4" t="s">
        <v>98</v>
      </c>
      <c r="D531" s="4" t="s">
        <v>99</v>
      </c>
      <c r="E531" s="4" t="s">
        <v>69</v>
      </c>
      <c r="F531" s="4" t="s">
        <v>95</v>
      </c>
      <c r="G531" s="4" t="s">
        <v>96</v>
      </c>
      <c r="H531" s="4" t="s">
        <v>59</v>
      </c>
      <c r="I531" s="3"/>
      <c r="J531" s="3"/>
      <c r="K531" s="3"/>
      <c r="L531" s="3"/>
      <c r="M531" s="3"/>
      <c r="N531" s="3"/>
      <c r="O531" s="3"/>
      <c r="P531" s="8"/>
      <c r="Q531" s="8"/>
      <c r="R531" s="3"/>
      <c r="S531" s="3"/>
      <c r="T531" s="3"/>
      <c r="U531" s="5" t="str">
        <f t="shared" si="31"/>
        <v/>
      </c>
    </row>
    <row r="532" spans="1:21" ht="28" customHeight="1" x14ac:dyDescent="0.35">
      <c r="A532" s="4">
        <v>10</v>
      </c>
      <c r="B532" s="4" t="s">
        <v>97</v>
      </c>
      <c r="C532" s="4" t="s">
        <v>100</v>
      </c>
      <c r="D532" s="4" t="s">
        <v>101</v>
      </c>
      <c r="E532" s="4" t="s">
        <v>69</v>
      </c>
      <c r="F532" s="4" t="s">
        <v>95</v>
      </c>
      <c r="G532" s="4" t="s">
        <v>102</v>
      </c>
      <c r="H532" s="4" t="s">
        <v>59</v>
      </c>
      <c r="I532" s="3"/>
      <c r="J532" s="3"/>
      <c r="K532" s="3"/>
      <c r="L532" s="3"/>
      <c r="M532" s="3"/>
      <c r="N532" s="3"/>
      <c r="O532" s="3"/>
      <c r="P532" s="8"/>
      <c r="Q532" s="8"/>
      <c r="R532" s="3"/>
      <c r="S532" s="3"/>
      <c r="T532" s="3"/>
      <c r="U532" s="5" t="str">
        <f t="shared" si="31"/>
        <v/>
      </c>
    </row>
    <row r="533" spans="1:21" ht="28" customHeight="1" x14ac:dyDescent="0.35">
      <c r="A533" s="4">
        <v>11</v>
      </c>
      <c r="B533" s="4" t="s">
        <v>103</v>
      </c>
      <c r="C533" s="4" t="s">
        <v>104</v>
      </c>
      <c r="D533" s="4" t="s">
        <v>105</v>
      </c>
      <c r="E533" s="4" t="s">
        <v>69</v>
      </c>
      <c r="F533" s="4" t="s">
        <v>95</v>
      </c>
      <c r="G533" s="4" t="s">
        <v>96</v>
      </c>
      <c r="H533" s="4" t="s">
        <v>85</v>
      </c>
      <c r="I533" s="3"/>
      <c r="J533" s="3"/>
      <c r="K533" s="3"/>
      <c r="L533" s="3"/>
      <c r="M533" s="3"/>
      <c r="N533" s="3"/>
      <c r="O533" s="3"/>
      <c r="P533" s="8"/>
      <c r="Q533" s="8"/>
      <c r="R533" s="3"/>
      <c r="S533" s="3"/>
      <c r="T533" s="3"/>
      <c r="U533" s="5" t="str">
        <f t="shared" si="31"/>
        <v/>
      </c>
    </row>
    <row r="534" spans="1:21" ht="28" customHeight="1" x14ac:dyDescent="0.35">
      <c r="A534" s="4">
        <v>12</v>
      </c>
      <c r="B534" s="4" t="s">
        <v>106</v>
      </c>
      <c r="C534" s="4" t="s">
        <v>107</v>
      </c>
      <c r="D534" s="4" t="s">
        <v>108</v>
      </c>
      <c r="E534" s="4" t="s">
        <v>109</v>
      </c>
      <c r="F534" s="4" t="s">
        <v>95</v>
      </c>
      <c r="G534" s="4" t="s">
        <v>96</v>
      </c>
      <c r="H534" s="4" t="s">
        <v>59</v>
      </c>
      <c r="I534" s="3"/>
      <c r="J534" s="3"/>
      <c r="K534" s="3"/>
      <c r="L534" s="3"/>
      <c r="M534" s="3"/>
      <c r="N534" s="3"/>
      <c r="O534" s="3"/>
      <c r="P534" s="8"/>
      <c r="Q534" s="8"/>
      <c r="R534" s="3"/>
      <c r="S534" s="3"/>
      <c r="T534" s="3"/>
      <c r="U534" s="5" t="str">
        <f t="shared" si="31"/>
        <v/>
      </c>
    </row>
    <row r="536" spans="1:21" ht="28" customHeight="1" x14ac:dyDescent="0.35">
      <c r="A536" s="9" t="s">
        <v>110</v>
      </c>
      <c r="B536" s="16"/>
      <c r="C536" s="17"/>
      <c r="D536" s="17"/>
      <c r="E536" s="17"/>
      <c r="F536" s="17"/>
      <c r="G536" s="17"/>
      <c r="H536" s="17"/>
      <c r="I536" s="17"/>
      <c r="J536" s="17"/>
      <c r="K536" s="17"/>
      <c r="L536" s="17"/>
      <c r="M536" s="17"/>
      <c r="N536" s="17"/>
      <c r="O536" s="17"/>
      <c r="P536" s="17"/>
      <c r="Q536" s="17"/>
      <c r="R536" s="17"/>
      <c r="S536" s="17"/>
      <c r="T536" s="17"/>
      <c r="U536" s="18"/>
    </row>
    <row r="537" spans="1:21" ht="28" customHeight="1" x14ac:dyDescent="0.35">
      <c r="A537" s="19" t="s">
        <v>490</v>
      </c>
      <c r="B537" s="20"/>
      <c r="C537" s="20"/>
      <c r="D537" s="20"/>
      <c r="E537" s="20"/>
      <c r="F537" s="20"/>
      <c r="G537" s="20"/>
      <c r="H537" s="20"/>
      <c r="I537" s="20"/>
      <c r="J537" s="20"/>
      <c r="K537" s="20"/>
      <c r="L537" s="20"/>
      <c r="M537" s="20"/>
      <c r="N537" s="20"/>
      <c r="O537" s="20"/>
      <c r="P537" s="20"/>
      <c r="Q537" s="20"/>
      <c r="R537" s="20"/>
      <c r="S537" s="20"/>
      <c r="T537" s="20"/>
      <c r="U537" s="21"/>
    </row>
    <row r="538" spans="1:21" ht="28" customHeight="1" x14ac:dyDescent="0.35">
      <c r="A538" s="4" t="s">
        <v>31</v>
      </c>
      <c r="B538" s="3" t="s">
        <v>245</v>
      </c>
      <c r="C538" s="4" t="s">
        <v>32</v>
      </c>
      <c r="D538" s="3"/>
      <c r="E538" s="4" t="s">
        <v>33</v>
      </c>
      <c r="F538" s="8"/>
    </row>
    <row r="539" spans="1:21" ht="28" customHeight="1" x14ac:dyDescent="0.35">
      <c r="A539" s="1" t="s">
        <v>34</v>
      </c>
      <c r="B539" s="1" t="s">
        <v>35</v>
      </c>
      <c r="C539" s="1" t="s">
        <v>36</v>
      </c>
      <c r="D539" s="1" t="s">
        <v>37</v>
      </c>
      <c r="E539" s="1" t="s">
        <v>38</v>
      </c>
      <c r="F539" s="1" t="s">
        <v>39</v>
      </c>
      <c r="G539" s="1" t="s">
        <v>40</v>
      </c>
      <c r="H539" s="1" t="s">
        <v>41</v>
      </c>
      <c r="I539" s="1" t="s">
        <v>42</v>
      </c>
      <c r="J539" s="1" t="s">
        <v>43</v>
      </c>
      <c r="K539" s="1" t="s">
        <v>44</v>
      </c>
      <c r="L539" s="1" t="s">
        <v>45</v>
      </c>
      <c r="M539" s="1" t="s">
        <v>46</v>
      </c>
      <c r="N539" s="1" t="s">
        <v>47</v>
      </c>
      <c r="O539" s="1" t="s">
        <v>48</v>
      </c>
      <c r="P539" s="1" t="s">
        <v>4</v>
      </c>
      <c r="Q539" s="1" t="s">
        <v>49</v>
      </c>
      <c r="R539" s="1" t="s">
        <v>50</v>
      </c>
      <c r="S539" s="1" t="s">
        <v>51</v>
      </c>
      <c r="T539" s="1" t="s">
        <v>52</v>
      </c>
      <c r="U539" s="1" t="s">
        <v>10</v>
      </c>
    </row>
    <row r="540" spans="1:21" ht="28" customHeight="1" x14ac:dyDescent="0.35">
      <c r="A540" s="4">
        <v>1</v>
      </c>
      <c r="B540" s="4" t="s">
        <v>439</v>
      </c>
      <c r="C540" s="4" t="s">
        <v>440</v>
      </c>
      <c r="D540" s="4" t="s">
        <v>441</v>
      </c>
      <c r="E540" s="4" t="s">
        <v>69</v>
      </c>
      <c r="F540" s="4" t="s">
        <v>370</v>
      </c>
      <c r="G540" s="4" t="s">
        <v>204</v>
      </c>
      <c r="H540" s="4" t="s">
        <v>59</v>
      </c>
      <c r="I540" s="3"/>
      <c r="J540" s="3"/>
      <c r="K540" s="3"/>
      <c r="L540" s="3"/>
      <c r="M540" s="3"/>
      <c r="N540" s="3"/>
      <c r="O540" s="3"/>
      <c r="P540" s="8"/>
      <c r="Q540" s="8"/>
      <c r="R540" s="3"/>
      <c r="S540" s="3"/>
      <c r="T540" s="3"/>
      <c r="U540" s="5" t="str">
        <f t="shared" ref="U540:U551" si="32">IF(I540="","",IF(I540="NA","Grey",IF(I540=2,"Green",IF(I540=1,"Amber","Red"))))</f>
        <v/>
      </c>
    </row>
    <row r="541" spans="1:21" ht="28" customHeight="1" x14ac:dyDescent="0.35">
      <c r="A541" s="4">
        <v>2</v>
      </c>
      <c r="B541" s="4" t="s">
        <v>442</v>
      </c>
      <c r="C541" s="4" t="s">
        <v>443</v>
      </c>
      <c r="D541" s="4" t="s">
        <v>444</v>
      </c>
      <c r="E541" s="4" t="s">
        <v>69</v>
      </c>
      <c r="F541" s="4" t="s">
        <v>95</v>
      </c>
      <c r="G541" s="4" t="s">
        <v>102</v>
      </c>
      <c r="H541" s="4" t="s">
        <v>59</v>
      </c>
      <c r="I541" s="3"/>
      <c r="J541" s="3"/>
      <c r="K541" s="3"/>
      <c r="L541" s="3"/>
      <c r="M541" s="3"/>
      <c r="N541" s="3"/>
      <c r="O541" s="3"/>
      <c r="P541" s="8"/>
      <c r="Q541" s="8"/>
      <c r="R541" s="3"/>
      <c r="S541" s="3"/>
      <c r="T541" s="3"/>
      <c r="U541" s="5" t="str">
        <f t="shared" si="32"/>
        <v/>
      </c>
    </row>
    <row r="542" spans="1:21" ht="28" customHeight="1" x14ac:dyDescent="0.35">
      <c r="A542" s="4">
        <v>3</v>
      </c>
      <c r="B542" s="4" t="s">
        <v>445</v>
      </c>
      <c r="C542" s="4" t="s">
        <v>446</v>
      </c>
      <c r="D542" s="4" t="s">
        <v>369</v>
      </c>
      <c r="E542" s="4" t="s">
        <v>69</v>
      </c>
      <c r="F542" s="4" t="s">
        <v>370</v>
      </c>
      <c r="G542" s="4" t="s">
        <v>204</v>
      </c>
      <c r="H542" s="4" t="s">
        <v>76</v>
      </c>
      <c r="I542" s="3"/>
      <c r="J542" s="3"/>
      <c r="K542" s="3"/>
      <c r="L542" s="3"/>
      <c r="M542" s="3"/>
      <c r="N542" s="3"/>
      <c r="O542" s="3"/>
      <c r="P542" s="8"/>
      <c r="Q542" s="8"/>
      <c r="R542" s="3"/>
      <c r="S542" s="3"/>
      <c r="T542" s="3"/>
      <c r="U542" s="5" t="str">
        <f t="shared" si="32"/>
        <v/>
      </c>
    </row>
    <row r="543" spans="1:21" ht="28" customHeight="1" x14ac:dyDescent="0.35">
      <c r="A543" s="4">
        <v>4</v>
      </c>
      <c r="B543" s="4" t="s">
        <v>447</v>
      </c>
      <c r="C543" s="4" t="s">
        <v>448</v>
      </c>
      <c r="D543" s="4" t="s">
        <v>449</v>
      </c>
      <c r="E543" s="4" t="s">
        <v>109</v>
      </c>
      <c r="F543" s="4" t="s">
        <v>276</v>
      </c>
      <c r="G543" s="4" t="s">
        <v>199</v>
      </c>
      <c r="H543" s="4" t="s">
        <v>59</v>
      </c>
      <c r="I543" s="3"/>
      <c r="J543" s="3"/>
      <c r="K543" s="3"/>
      <c r="L543" s="3"/>
      <c r="M543" s="3"/>
      <c r="N543" s="3"/>
      <c r="O543" s="3"/>
      <c r="P543" s="8"/>
      <c r="Q543" s="8"/>
      <c r="R543" s="3"/>
      <c r="S543" s="3"/>
      <c r="T543" s="3"/>
      <c r="U543" s="5" t="str">
        <f t="shared" si="32"/>
        <v/>
      </c>
    </row>
    <row r="544" spans="1:21" ht="28" customHeight="1" x14ac:dyDescent="0.35">
      <c r="A544" s="4">
        <v>5</v>
      </c>
      <c r="B544" s="4" t="s">
        <v>450</v>
      </c>
      <c r="C544" s="4" t="s">
        <v>451</v>
      </c>
      <c r="D544" s="4" t="s">
        <v>452</v>
      </c>
      <c r="E544" s="4" t="s">
        <v>69</v>
      </c>
      <c r="F544" s="4" t="s">
        <v>276</v>
      </c>
      <c r="G544" s="4" t="s">
        <v>199</v>
      </c>
      <c r="H544" s="4" t="s">
        <v>59</v>
      </c>
      <c r="I544" s="3"/>
      <c r="J544" s="3"/>
      <c r="K544" s="3"/>
      <c r="L544" s="3"/>
      <c r="M544" s="3"/>
      <c r="N544" s="3"/>
      <c r="O544" s="3"/>
      <c r="P544" s="8"/>
      <c r="Q544" s="8"/>
      <c r="R544" s="3"/>
      <c r="S544" s="3"/>
      <c r="T544" s="3"/>
      <c r="U544" s="5" t="str">
        <f t="shared" si="32"/>
        <v/>
      </c>
    </row>
    <row r="545" spans="1:21" ht="28" customHeight="1" x14ac:dyDescent="0.35">
      <c r="A545" s="4">
        <v>6</v>
      </c>
      <c r="B545" s="4" t="s">
        <v>453</v>
      </c>
      <c r="C545" s="4" t="s">
        <v>454</v>
      </c>
      <c r="D545" s="4" t="s">
        <v>455</v>
      </c>
      <c r="E545" s="4" t="s">
        <v>69</v>
      </c>
      <c r="F545" s="4" t="s">
        <v>284</v>
      </c>
      <c r="G545" s="4" t="s">
        <v>204</v>
      </c>
      <c r="H545" s="4" t="s">
        <v>76</v>
      </c>
      <c r="I545" s="3"/>
      <c r="J545" s="3"/>
      <c r="K545" s="3"/>
      <c r="L545" s="3"/>
      <c r="M545" s="3"/>
      <c r="N545" s="3"/>
      <c r="O545" s="3"/>
      <c r="P545" s="8"/>
      <c r="Q545" s="8"/>
      <c r="R545" s="3"/>
      <c r="S545" s="3"/>
      <c r="T545" s="3"/>
      <c r="U545" s="5" t="str">
        <f t="shared" si="32"/>
        <v/>
      </c>
    </row>
    <row r="546" spans="1:21" ht="28" customHeight="1" x14ac:dyDescent="0.35">
      <c r="A546" s="4">
        <v>7</v>
      </c>
      <c r="B546" s="4" t="s">
        <v>456</v>
      </c>
      <c r="C546" s="4" t="s">
        <v>457</v>
      </c>
      <c r="D546" s="4" t="s">
        <v>458</v>
      </c>
      <c r="E546" s="4" t="s">
        <v>69</v>
      </c>
      <c r="F546" s="4" t="s">
        <v>459</v>
      </c>
      <c r="G546" s="4" t="s">
        <v>209</v>
      </c>
      <c r="H546" s="4" t="s">
        <v>59</v>
      </c>
      <c r="I546" s="3"/>
      <c r="J546" s="3"/>
      <c r="K546" s="3"/>
      <c r="L546" s="3"/>
      <c r="M546" s="3"/>
      <c r="N546" s="3"/>
      <c r="O546" s="3"/>
      <c r="P546" s="8"/>
      <c r="Q546" s="8"/>
      <c r="R546" s="3"/>
      <c r="S546" s="3"/>
      <c r="T546" s="3"/>
      <c r="U546" s="5" t="str">
        <f t="shared" si="32"/>
        <v/>
      </c>
    </row>
    <row r="547" spans="1:21" ht="28" customHeight="1" x14ac:dyDescent="0.35">
      <c r="A547" s="4">
        <v>8</v>
      </c>
      <c r="B547" s="4" t="s">
        <v>460</v>
      </c>
      <c r="C547" s="4" t="s">
        <v>461</v>
      </c>
      <c r="D547" s="4" t="s">
        <v>462</v>
      </c>
      <c r="E547" s="4" t="s">
        <v>69</v>
      </c>
      <c r="F547" s="4" t="s">
        <v>95</v>
      </c>
      <c r="G547" s="4" t="s">
        <v>102</v>
      </c>
      <c r="H547" s="4" t="s">
        <v>59</v>
      </c>
      <c r="I547" s="3"/>
      <c r="J547" s="3"/>
      <c r="K547" s="3"/>
      <c r="L547" s="3"/>
      <c r="M547" s="3"/>
      <c r="N547" s="3"/>
      <c r="O547" s="3"/>
      <c r="P547" s="8"/>
      <c r="Q547" s="8"/>
      <c r="R547" s="3"/>
      <c r="S547" s="3"/>
      <c r="T547" s="3"/>
      <c r="U547" s="5" t="str">
        <f t="shared" si="32"/>
        <v/>
      </c>
    </row>
    <row r="548" spans="1:21" ht="28" customHeight="1" x14ac:dyDescent="0.35">
      <c r="A548" s="4">
        <v>9</v>
      </c>
      <c r="B548" s="4" t="s">
        <v>97</v>
      </c>
      <c r="C548" s="4" t="s">
        <v>98</v>
      </c>
      <c r="D548" s="4" t="s">
        <v>99</v>
      </c>
      <c r="E548" s="4" t="s">
        <v>69</v>
      </c>
      <c r="F548" s="4" t="s">
        <v>95</v>
      </c>
      <c r="G548" s="4" t="s">
        <v>96</v>
      </c>
      <c r="H548" s="4" t="s">
        <v>59</v>
      </c>
      <c r="I548" s="3"/>
      <c r="J548" s="3"/>
      <c r="K548" s="3"/>
      <c r="L548" s="3"/>
      <c r="M548" s="3"/>
      <c r="N548" s="3"/>
      <c r="O548" s="3"/>
      <c r="P548" s="8"/>
      <c r="Q548" s="8"/>
      <c r="R548" s="3"/>
      <c r="S548" s="3"/>
      <c r="T548" s="3"/>
      <c r="U548" s="5" t="str">
        <f t="shared" si="32"/>
        <v/>
      </c>
    </row>
    <row r="549" spans="1:21" ht="28" customHeight="1" x14ac:dyDescent="0.35">
      <c r="A549" s="4">
        <v>10</v>
      </c>
      <c r="B549" s="4" t="s">
        <v>97</v>
      </c>
      <c r="C549" s="4" t="s">
        <v>100</v>
      </c>
      <c r="D549" s="4" t="s">
        <v>101</v>
      </c>
      <c r="E549" s="4" t="s">
        <v>69</v>
      </c>
      <c r="F549" s="4" t="s">
        <v>95</v>
      </c>
      <c r="G549" s="4" t="s">
        <v>102</v>
      </c>
      <c r="H549" s="4" t="s">
        <v>59</v>
      </c>
      <c r="I549" s="3"/>
      <c r="J549" s="3"/>
      <c r="K549" s="3"/>
      <c r="L549" s="3"/>
      <c r="M549" s="3"/>
      <c r="N549" s="3"/>
      <c r="O549" s="3"/>
      <c r="P549" s="8"/>
      <c r="Q549" s="8"/>
      <c r="R549" s="3"/>
      <c r="S549" s="3"/>
      <c r="T549" s="3"/>
      <c r="U549" s="5" t="str">
        <f t="shared" si="32"/>
        <v/>
      </c>
    </row>
    <row r="550" spans="1:21" ht="28" customHeight="1" x14ac:dyDescent="0.35">
      <c r="A550" s="4">
        <v>11</v>
      </c>
      <c r="B550" s="4" t="s">
        <v>103</v>
      </c>
      <c r="C550" s="4" t="s">
        <v>104</v>
      </c>
      <c r="D550" s="4" t="s">
        <v>105</v>
      </c>
      <c r="E550" s="4" t="s">
        <v>69</v>
      </c>
      <c r="F550" s="4" t="s">
        <v>95</v>
      </c>
      <c r="G550" s="4" t="s">
        <v>96</v>
      </c>
      <c r="H550" s="4" t="s">
        <v>85</v>
      </c>
      <c r="I550" s="3"/>
      <c r="J550" s="3"/>
      <c r="K550" s="3"/>
      <c r="L550" s="3"/>
      <c r="M550" s="3"/>
      <c r="N550" s="3"/>
      <c r="O550" s="3"/>
      <c r="P550" s="8"/>
      <c r="Q550" s="8"/>
      <c r="R550" s="3"/>
      <c r="S550" s="3"/>
      <c r="T550" s="3"/>
      <c r="U550" s="5" t="str">
        <f t="shared" si="32"/>
        <v/>
      </c>
    </row>
    <row r="551" spans="1:21" ht="28" customHeight="1" x14ac:dyDescent="0.35">
      <c r="A551" s="4">
        <v>12</v>
      </c>
      <c r="B551" s="4" t="s">
        <v>106</v>
      </c>
      <c r="C551" s="4" t="s">
        <v>107</v>
      </c>
      <c r="D551" s="4" t="s">
        <v>108</v>
      </c>
      <c r="E551" s="4" t="s">
        <v>109</v>
      </c>
      <c r="F551" s="4" t="s">
        <v>95</v>
      </c>
      <c r="G551" s="4" t="s">
        <v>96</v>
      </c>
      <c r="H551" s="4" t="s">
        <v>59</v>
      </c>
      <c r="I551" s="3"/>
      <c r="J551" s="3"/>
      <c r="K551" s="3"/>
      <c r="L551" s="3"/>
      <c r="M551" s="3"/>
      <c r="N551" s="3"/>
      <c r="O551" s="3"/>
      <c r="P551" s="8"/>
      <c r="Q551" s="8"/>
      <c r="R551" s="3"/>
      <c r="S551" s="3"/>
      <c r="T551" s="3"/>
      <c r="U551" s="5" t="str">
        <f t="shared" si="32"/>
        <v/>
      </c>
    </row>
    <row r="553" spans="1:21" ht="28" customHeight="1" x14ac:dyDescent="0.35">
      <c r="A553" s="9" t="s">
        <v>110</v>
      </c>
      <c r="B553" s="16"/>
      <c r="C553" s="17"/>
      <c r="D553" s="17"/>
      <c r="E553" s="17"/>
      <c r="F553" s="17"/>
      <c r="G553" s="17"/>
      <c r="H553" s="17"/>
      <c r="I553" s="17"/>
      <c r="J553" s="17"/>
      <c r="K553" s="17"/>
      <c r="L553" s="17"/>
      <c r="M553" s="17"/>
      <c r="N553" s="17"/>
      <c r="O553" s="17"/>
      <c r="P553" s="17"/>
      <c r="Q553" s="17"/>
      <c r="R553" s="17"/>
      <c r="S553" s="17"/>
      <c r="T553" s="17"/>
      <c r="U553" s="18"/>
    </row>
    <row r="554" spans="1:21" ht="28" customHeight="1" x14ac:dyDescent="0.35">
      <c r="A554" s="19" t="s">
        <v>491</v>
      </c>
      <c r="B554" s="20"/>
      <c r="C554" s="20"/>
      <c r="D554" s="20"/>
      <c r="E554" s="20"/>
      <c r="F554" s="20"/>
      <c r="G554" s="20"/>
      <c r="H554" s="20"/>
      <c r="I554" s="20"/>
      <c r="J554" s="20"/>
      <c r="K554" s="20"/>
      <c r="L554" s="20"/>
      <c r="M554" s="20"/>
      <c r="N554" s="20"/>
      <c r="O554" s="20"/>
      <c r="P554" s="20"/>
      <c r="Q554" s="20"/>
      <c r="R554" s="20"/>
      <c r="S554" s="20"/>
      <c r="T554" s="20"/>
      <c r="U554" s="21"/>
    </row>
    <row r="555" spans="1:21" ht="28" customHeight="1" x14ac:dyDescent="0.35">
      <c r="A555" s="4" t="s">
        <v>31</v>
      </c>
      <c r="B555" s="3" t="s">
        <v>246</v>
      </c>
      <c r="C555" s="4" t="s">
        <v>32</v>
      </c>
      <c r="D555" s="3"/>
      <c r="E555" s="4" t="s">
        <v>33</v>
      </c>
      <c r="F555" s="8"/>
    </row>
    <row r="556" spans="1:21" ht="28" customHeight="1" x14ac:dyDescent="0.35">
      <c r="A556" s="1" t="s">
        <v>34</v>
      </c>
      <c r="B556" s="1" t="s">
        <v>35</v>
      </c>
      <c r="C556" s="1" t="s">
        <v>36</v>
      </c>
      <c r="D556" s="1" t="s">
        <v>37</v>
      </c>
      <c r="E556" s="1" t="s">
        <v>38</v>
      </c>
      <c r="F556" s="1" t="s">
        <v>39</v>
      </c>
      <c r="G556" s="1" t="s">
        <v>40</v>
      </c>
      <c r="H556" s="1" t="s">
        <v>41</v>
      </c>
      <c r="I556" s="1" t="s">
        <v>42</v>
      </c>
      <c r="J556" s="1" t="s">
        <v>43</v>
      </c>
      <c r="K556" s="1" t="s">
        <v>44</v>
      </c>
      <c r="L556" s="1" t="s">
        <v>45</v>
      </c>
      <c r="M556" s="1" t="s">
        <v>46</v>
      </c>
      <c r="N556" s="1" t="s">
        <v>47</v>
      </c>
      <c r="O556" s="1" t="s">
        <v>48</v>
      </c>
      <c r="P556" s="1" t="s">
        <v>4</v>
      </c>
      <c r="Q556" s="1" t="s">
        <v>49</v>
      </c>
      <c r="R556" s="1" t="s">
        <v>50</v>
      </c>
      <c r="S556" s="1" t="s">
        <v>51</v>
      </c>
      <c r="T556" s="1" t="s">
        <v>52</v>
      </c>
      <c r="U556" s="1" t="s">
        <v>10</v>
      </c>
    </row>
    <row r="557" spans="1:21" ht="28" customHeight="1" x14ac:dyDescent="0.35">
      <c r="A557" s="4">
        <v>1</v>
      </c>
      <c r="B557" s="4" t="s">
        <v>439</v>
      </c>
      <c r="C557" s="4" t="s">
        <v>440</v>
      </c>
      <c r="D557" s="4" t="s">
        <v>441</v>
      </c>
      <c r="E557" s="4" t="s">
        <v>69</v>
      </c>
      <c r="F557" s="4" t="s">
        <v>370</v>
      </c>
      <c r="G557" s="4" t="s">
        <v>204</v>
      </c>
      <c r="H557" s="4" t="s">
        <v>59</v>
      </c>
      <c r="I557" s="3"/>
      <c r="J557" s="3"/>
      <c r="K557" s="3"/>
      <c r="L557" s="3"/>
      <c r="M557" s="3"/>
      <c r="N557" s="3"/>
      <c r="O557" s="3"/>
      <c r="P557" s="8"/>
      <c r="Q557" s="8"/>
      <c r="R557" s="3"/>
      <c r="S557" s="3"/>
      <c r="T557" s="3"/>
      <c r="U557" s="5" t="str">
        <f t="shared" ref="U557:U568" si="33">IF(I557="","",IF(I557="NA","Grey",IF(I557=2,"Green",IF(I557=1,"Amber","Red"))))</f>
        <v/>
      </c>
    </row>
    <row r="558" spans="1:21" ht="28" customHeight="1" x14ac:dyDescent="0.35">
      <c r="A558" s="4">
        <v>2</v>
      </c>
      <c r="B558" s="4" t="s">
        <v>442</v>
      </c>
      <c r="C558" s="4" t="s">
        <v>443</v>
      </c>
      <c r="D558" s="4" t="s">
        <v>444</v>
      </c>
      <c r="E558" s="4" t="s">
        <v>69</v>
      </c>
      <c r="F558" s="4" t="s">
        <v>95</v>
      </c>
      <c r="G558" s="4" t="s">
        <v>102</v>
      </c>
      <c r="H558" s="4" t="s">
        <v>59</v>
      </c>
      <c r="I558" s="3"/>
      <c r="J558" s="3"/>
      <c r="K558" s="3"/>
      <c r="L558" s="3"/>
      <c r="M558" s="3"/>
      <c r="N558" s="3"/>
      <c r="O558" s="3"/>
      <c r="P558" s="8"/>
      <c r="Q558" s="8"/>
      <c r="R558" s="3"/>
      <c r="S558" s="3"/>
      <c r="T558" s="3"/>
      <c r="U558" s="5" t="str">
        <f t="shared" si="33"/>
        <v/>
      </c>
    </row>
    <row r="559" spans="1:21" ht="28" customHeight="1" x14ac:dyDescent="0.35">
      <c r="A559" s="4">
        <v>3</v>
      </c>
      <c r="B559" s="4" t="s">
        <v>445</v>
      </c>
      <c r="C559" s="4" t="s">
        <v>446</v>
      </c>
      <c r="D559" s="4" t="s">
        <v>369</v>
      </c>
      <c r="E559" s="4" t="s">
        <v>69</v>
      </c>
      <c r="F559" s="4" t="s">
        <v>370</v>
      </c>
      <c r="G559" s="4" t="s">
        <v>204</v>
      </c>
      <c r="H559" s="4" t="s">
        <v>76</v>
      </c>
      <c r="I559" s="3"/>
      <c r="J559" s="3"/>
      <c r="K559" s="3"/>
      <c r="L559" s="3"/>
      <c r="M559" s="3"/>
      <c r="N559" s="3"/>
      <c r="O559" s="3"/>
      <c r="P559" s="8"/>
      <c r="Q559" s="8"/>
      <c r="R559" s="3"/>
      <c r="S559" s="3"/>
      <c r="T559" s="3"/>
      <c r="U559" s="5" t="str">
        <f t="shared" si="33"/>
        <v/>
      </c>
    </row>
    <row r="560" spans="1:21" ht="28" customHeight="1" x14ac:dyDescent="0.35">
      <c r="A560" s="4">
        <v>4</v>
      </c>
      <c r="B560" s="4" t="s">
        <v>447</v>
      </c>
      <c r="C560" s="4" t="s">
        <v>448</v>
      </c>
      <c r="D560" s="4" t="s">
        <v>449</v>
      </c>
      <c r="E560" s="4" t="s">
        <v>109</v>
      </c>
      <c r="F560" s="4" t="s">
        <v>276</v>
      </c>
      <c r="G560" s="4" t="s">
        <v>199</v>
      </c>
      <c r="H560" s="4" t="s">
        <v>59</v>
      </c>
      <c r="I560" s="3"/>
      <c r="J560" s="3"/>
      <c r="K560" s="3"/>
      <c r="L560" s="3"/>
      <c r="M560" s="3"/>
      <c r="N560" s="3"/>
      <c r="O560" s="3"/>
      <c r="P560" s="8"/>
      <c r="Q560" s="8"/>
      <c r="R560" s="3"/>
      <c r="S560" s="3"/>
      <c r="T560" s="3"/>
      <c r="U560" s="5" t="str">
        <f t="shared" si="33"/>
        <v/>
      </c>
    </row>
    <row r="561" spans="1:21" ht="28" customHeight="1" x14ac:dyDescent="0.35">
      <c r="A561" s="4">
        <v>5</v>
      </c>
      <c r="B561" s="4" t="s">
        <v>450</v>
      </c>
      <c r="C561" s="4" t="s">
        <v>451</v>
      </c>
      <c r="D561" s="4" t="s">
        <v>452</v>
      </c>
      <c r="E561" s="4" t="s">
        <v>69</v>
      </c>
      <c r="F561" s="4" t="s">
        <v>276</v>
      </c>
      <c r="G561" s="4" t="s">
        <v>199</v>
      </c>
      <c r="H561" s="4" t="s">
        <v>59</v>
      </c>
      <c r="I561" s="3"/>
      <c r="J561" s="3"/>
      <c r="K561" s="3"/>
      <c r="L561" s="3"/>
      <c r="M561" s="3"/>
      <c r="N561" s="3"/>
      <c r="O561" s="3"/>
      <c r="P561" s="8"/>
      <c r="Q561" s="8"/>
      <c r="R561" s="3"/>
      <c r="S561" s="3"/>
      <c r="T561" s="3"/>
      <c r="U561" s="5" t="str">
        <f t="shared" si="33"/>
        <v/>
      </c>
    </row>
    <row r="562" spans="1:21" ht="28" customHeight="1" x14ac:dyDescent="0.35">
      <c r="A562" s="4">
        <v>6</v>
      </c>
      <c r="B562" s="4" t="s">
        <v>453</v>
      </c>
      <c r="C562" s="4" t="s">
        <v>454</v>
      </c>
      <c r="D562" s="4" t="s">
        <v>455</v>
      </c>
      <c r="E562" s="4" t="s">
        <v>69</v>
      </c>
      <c r="F562" s="4" t="s">
        <v>284</v>
      </c>
      <c r="G562" s="4" t="s">
        <v>204</v>
      </c>
      <c r="H562" s="4" t="s">
        <v>76</v>
      </c>
      <c r="I562" s="3"/>
      <c r="J562" s="3"/>
      <c r="K562" s="3"/>
      <c r="L562" s="3"/>
      <c r="M562" s="3"/>
      <c r="N562" s="3"/>
      <c r="O562" s="3"/>
      <c r="P562" s="8"/>
      <c r="Q562" s="8"/>
      <c r="R562" s="3"/>
      <c r="S562" s="3"/>
      <c r="T562" s="3"/>
      <c r="U562" s="5" t="str">
        <f t="shared" si="33"/>
        <v/>
      </c>
    </row>
    <row r="563" spans="1:21" ht="28" customHeight="1" x14ac:dyDescent="0.35">
      <c r="A563" s="4">
        <v>7</v>
      </c>
      <c r="B563" s="4" t="s">
        <v>456</v>
      </c>
      <c r="C563" s="4" t="s">
        <v>457</v>
      </c>
      <c r="D563" s="4" t="s">
        <v>458</v>
      </c>
      <c r="E563" s="4" t="s">
        <v>69</v>
      </c>
      <c r="F563" s="4" t="s">
        <v>459</v>
      </c>
      <c r="G563" s="4" t="s">
        <v>209</v>
      </c>
      <c r="H563" s="4" t="s">
        <v>59</v>
      </c>
      <c r="I563" s="3"/>
      <c r="J563" s="3"/>
      <c r="K563" s="3"/>
      <c r="L563" s="3"/>
      <c r="M563" s="3"/>
      <c r="N563" s="3"/>
      <c r="O563" s="3"/>
      <c r="P563" s="8"/>
      <c r="Q563" s="8"/>
      <c r="R563" s="3"/>
      <c r="S563" s="3"/>
      <c r="T563" s="3"/>
      <c r="U563" s="5" t="str">
        <f t="shared" si="33"/>
        <v/>
      </c>
    </row>
    <row r="564" spans="1:21" ht="28" customHeight="1" x14ac:dyDescent="0.35">
      <c r="A564" s="4">
        <v>8</v>
      </c>
      <c r="B564" s="4" t="s">
        <v>460</v>
      </c>
      <c r="C564" s="4" t="s">
        <v>461</v>
      </c>
      <c r="D564" s="4" t="s">
        <v>462</v>
      </c>
      <c r="E564" s="4" t="s">
        <v>69</v>
      </c>
      <c r="F564" s="4" t="s">
        <v>95</v>
      </c>
      <c r="G564" s="4" t="s">
        <v>102</v>
      </c>
      <c r="H564" s="4" t="s">
        <v>59</v>
      </c>
      <c r="I564" s="3"/>
      <c r="J564" s="3"/>
      <c r="K564" s="3"/>
      <c r="L564" s="3"/>
      <c r="M564" s="3"/>
      <c r="N564" s="3"/>
      <c r="O564" s="3"/>
      <c r="P564" s="8"/>
      <c r="Q564" s="8"/>
      <c r="R564" s="3"/>
      <c r="S564" s="3"/>
      <c r="T564" s="3"/>
      <c r="U564" s="5" t="str">
        <f t="shared" si="33"/>
        <v/>
      </c>
    </row>
    <row r="565" spans="1:21" ht="28" customHeight="1" x14ac:dyDescent="0.35">
      <c r="A565" s="4">
        <v>9</v>
      </c>
      <c r="B565" s="4" t="s">
        <v>97</v>
      </c>
      <c r="C565" s="4" t="s">
        <v>98</v>
      </c>
      <c r="D565" s="4" t="s">
        <v>99</v>
      </c>
      <c r="E565" s="4" t="s">
        <v>69</v>
      </c>
      <c r="F565" s="4" t="s">
        <v>95</v>
      </c>
      <c r="G565" s="4" t="s">
        <v>96</v>
      </c>
      <c r="H565" s="4" t="s">
        <v>59</v>
      </c>
      <c r="I565" s="3"/>
      <c r="J565" s="3"/>
      <c r="K565" s="3"/>
      <c r="L565" s="3"/>
      <c r="M565" s="3"/>
      <c r="N565" s="3"/>
      <c r="O565" s="3"/>
      <c r="P565" s="8"/>
      <c r="Q565" s="8"/>
      <c r="R565" s="3"/>
      <c r="S565" s="3"/>
      <c r="T565" s="3"/>
      <c r="U565" s="5" t="str">
        <f t="shared" si="33"/>
        <v/>
      </c>
    </row>
    <row r="566" spans="1:21" ht="28" customHeight="1" x14ac:dyDescent="0.35">
      <c r="A566" s="4">
        <v>10</v>
      </c>
      <c r="B566" s="4" t="s">
        <v>97</v>
      </c>
      <c r="C566" s="4" t="s">
        <v>100</v>
      </c>
      <c r="D566" s="4" t="s">
        <v>101</v>
      </c>
      <c r="E566" s="4" t="s">
        <v>69</v>
      </c>
      <c r="F566" s="4" t="s">
        <v>95</v>
      </c>
      <c r="G566" s="4" t="s">
        <v>102</v>
      </c>
      <c r="H566" s="4" t="s">
        <v>59</v>
      </c>
      <c r="I566" s="3"/>
      <c r="J566" s="3"/>
      <c r="K566" s="3"/>
      <c r="L566" s="3"/>
      <c r="M566" s="3"/>
      <c r="N566" s="3"/>
      <c r="O566" s="3"/>
      <c r="P566" s="8"/>
      <c r="Q566" s="8"/>
      <c r="R566" s="3"/>
      <c r="S566" s="3"/>
      <c r="T566" s="3"/>
      <c r="U566" s="5" t="str">
        <f t="shared" si="33"/>
        <v/>
      </c>
    </row>
    <row r="567" spans="1:21" ht="28" customHeight="1" x14ac:dyDescent="0.35">
      <c r="A567" s="4">
        <v>11</v>
      </c>
      <c r="B567" s="4" t="s">
        <v>103</v>
      </c>
      <c r="C567" s="4" t="s">
        <v>104</v>
      </c>
      <c r="D567" s="4" t="s">
        <v>105</v>
      </c>
      <c r="E567" s="4" t="s">
        <v>69</v>
      </c>
      <c r="F567" s="4" t="s">
        <v>95</v>
      </c>
      <c r="G567" s="4" t="s">
        <v>96</v>
      </c>
      <c r="H567" s="4" t="s">
        <v>85</v>
      </c>
      <c r="I567" s="3"/>
      <c r="J567" s="3"/>
      <c r="K567" s="3"/>
      <c r="L567" s="3"/>
      <c r="M567" s="3"/>
      <c r="N567" s="3"/>
      <c r="O567" s="3"/>
      <c r="P567" s="8"/>
      <c r="Q567" s="8"/>
      <c r="R567" s="3"/>
      <c r="S567" s="3"/>
      <c r="T567" s="3"/>
      <c r="U567" s="5" t="str">
        <f t="shared" si="33"/>
        <v/>
      </c>
    </row>
    <row r="568" spans="1:21" ht="28" customHeight="1" x14ac:dyDescent="0.35">
      <c r="A568" s="4">
        <v>12</v>
      </c>
      <c r="B568" s="4" t="s">
        <v>106</v>
      </c>
      <c r="C568" s="4" t="s">
        <v>107</v>
      </c>
      <c r="D568" s="4" t="s">
        <v>108</v>
      </c>
      <c r="E568" s="4" t="s">
        <v>109</v>
      </c>
      <c r="F568" s="4" t="s">
        <v>95</v>
      </c>
      <c r="G568" s="4" t="s">
        <v>96</v>
      </c>
      <c r="H568" s="4" t="s">
        <v>59</v>
      </c>
      <c r="I568" s="3"/>
      <c r="J568" s="3"/>
      <c r="K568" s="3"/>
      <c r="L568" s="3"/>
      <c r="M568" s="3"/>
      <c r="N568" s="3"/>
      <c r="O568" s="3"/>
      <c r="P568" s="8"/>
      <c r="Q568" s="8"/>
      <c r="R568" s="3"/>
      <c r="S568" s="3"/>
      <c r="T568" s="3"/>
      <c r="U568" s="5" t="str">
        <f t="shared" si="33"/>
        <v/>
      </c>
    </row>
    <row r="570" spans="1:21" ht="28" customHeight="1" x14ac:dyDescent="0.35">
      <c r="A570" s="9" t="s">
        <v>110</v>
      </c>
      <c r="B570" s="16"/>
      <c r="C570" s="17"/>
      <c r="D570" s="17"/>
      <c r="E570" s="17"/>
      <c r="F570" s="17"/>
      <c r="G570" s="17"/>
      <c r="H570" s="17"/>
      <c r="I570" s="17"/>
      <c r="J570" s="17"/>
      <c r="K570" s="17"/>
      <c r="L570" s="17"/>
      <c r="M570" s="17"/>
      <c r="N570" s="17"/>
      <c r="O570" s="17"/>
      <c r="P570" s="17"/>
      <c r="Q570" s="17"/>
      <c r="R570" s="17"/>
      <c r="S570" s="17"/>
      <c r="T570" s="17"/>
      <c r="U570" s="18"/>
    </row>
    <row r="571" spans="1:21" ht="28" customHeight="1" x14ac:dyDescent="0.35">
      <c r="A571" s="19" t="s">
        <v>492</v>
      </c>
      <c r="B571" s="20"/>
      <c r="C571" s="20"/>
      <c r="D571" s="20"/>
      <c r="E571" s="20"/>
      <c r="F571" s="20"/>
      <c r="G571" s="20"/>
      <c r="H571" s="20"/>
      <c r="I571" s="20"/>
      <c r="J571" s="20"/>
      <c r="K571" s="20"/>
      <c r="L571" s="20"/>
      <c r="M571" s="20"/>
      <c r="N571" s="20"/>
      <c r="O571" s="20"/>
      <c r="P571" s="20"/>
      <c r="Q571" s="20"/>
      <c r="R571" s="20"/>
      <c r="S571" s="20"/>
      <c r="T571" s="20"/>
      <c r="U571" s="21"/>
    </row>
    <row r="572" spans="1:21" ht="28" customHeight="1" x14ac:dyDescent="0.35">
      <c r="A572" s="4" t="s">
        <v>31</v>
      </c>
      <c r="B572" s="3" t="s">
        <v>247</v>
      </c>
      <c r="C572" s="4" t="s">
        <v>32</v>
      </c>
      <c r="D572" s="3"/>
      <c r="E572" s="4" t="s">
        <v>33</v>
      </c>
      <c r="F572" s="8"/>
    </row>
    <row r="573" spans="1:21" ht="28" customHeight="1" x14ac:dyDescent="0.35">
      <c r="A573" s="1" t="s">
        <v>34</v>
      </c>
      <c r="B573" s="1" t="s">
        <v>35</v>
      </c>
      <c r="C573" s="1" t="s">
        <v>36</v>
      </c>
      <c r="D573" s="1" t="s">
        <v>37</v>
      </c>
      <c r="E573" s="1" t="s">
        <v>38</v>
      </c>
      <c r="F573" s="1" t="s">
        <v>39</v>
      </c>
      <c r="G573" s="1" t="s">
        <v>40</v>
      </c>
      <c r="H573" s="1" t="s">
        <v>41</v>
      </c>
      <c r="I573" s="1" t="s">
        <v>42</v>
      </c>
      <c r="J573" s="1" t="s">
        <v>43</v>
      </c>
      <c r="K573" s="1" t="s">
        <v>44</v>
      </c>
      <c r="L573" s="1" t="s">
        <v>45</v>
      </c>
      <c r="M573" s="1" t="s">
        <v>46</v>
      </c>
      <c r="N573" s="1" t="s">
        <v>47</v>
      </c>
      <c r="O573" s="1" t="s">
        <v>48</v>
      </c>
      <c r="P573" s="1" t="s">
        <v>4</v>
      </c>
      <c r="Q573" s="1" t="s">
        <v>49</v>
      </c>
      <c r="R573" s="1" t="s">
        <v>50</v>
      </c>
      <c r="S573" s="1" t="s">
        <v>51</v>
      </c>
      <c r="T573" s="1" t="s">
        <v>52</v>
      </c>
      <c r="U573" s="1" t="s">
        <v>10</v>
      </c>
    </row>
    <row r="574" spans="1:21" ht="28" customHeight="1" x14ac:dyDescent="0.35">
      <c r="A574" s="4">
        <v>1</v>
      </c>
      <c r="B574" s="4" t="s">
        <v>439</v>
      </c>
      <c r="C574" s="4" t="s">
        <v>440</v>
      </c>
      <c r="D574" s="4" t="s">
        <v>441</v>
      </c>
      <c r="E574" s="4" t="s">
        <v>69</v>
      </c>
      <c r="F574" s="4" t="s">
        <v>370</v>
      </c>
      <c r="G574" s="4" t="s">
        <v>204</v>
      </c>
      <c r="H574" s="4" t="s">
        <v>59</v>
      </c>
      <c r="I574" s="3"/>
      <c r="J574" s="3"/>
      <c r="K574" s="3"/>
      <c r="L574" s="3"/>
      <c r="M574" s="3"/>
      <c r="N574" s="3"/>
      <c r="O574" s="3"/>
      <c r="P574" s="8"/>
      <c r="Q574" s="8"/>
      <c r="R574" s="3"/>
      <c r="S574" s="3"/>
      <c r="T574" s="3"/>
      <c r="U574" s="5" t="str">
        <f t="shared" ref="U574:U585" si="34">IF(I574="","",IF(I574="NA","Grey",IF(I574=2,"Green",IF(I574=1,"Amber","Red"))))</f>
        <v/>
      </c>
    </row>
    <row r="575" spans="1:21" ht="28" customHeight="1" x14ac:dyDescent="0.35">
      <c r="A575" s="4">
        <v>2</v>
      </c>
      <c r="B575" s="4" t="s">
        <v>442</v>
      </c>
      <c r="C575" s="4" t="s">
        <v>443</v>
      </c>
      <c r="D575" s="4" t="s">
        <v>444</v>
      </c>
      <c r="E575" s="4" t="s">
        <v>69</v>
      </c>
      <c r="F575" s="4" t="s">
        <v>95</v>
      </c>
      <c r="G575" s="4" t="s">
        <v>102</v>
      </c>
      <c r="H575" s="4" t="s">
        <v>59</v>
      </c>
      <c r="I575" s="3"/>
      <c r="J575" s="3"/>
      <c r="K575" s="3"/>
      <c r="L575" s="3"/>
      <c r="M575" s="3"/>
      <c r="N575" s="3"/>
      <c r="O575" s="3"/>
      <c r="P575" s="8"/>
      <c r="Q575" s="8"/>
      <c r="R575" s="3"/>
      <c r="S575" s="3"/>
      <c r="T575" s="3"/>
      <c r="U575" s="5" t="str">
        <f t="shared" si="34"/>
        <v/>
      </c>
    </row>
    <row r="576" spans="1:21" ht="28" customHeight="1" x14ac:dyDescent="0.35">
      <c r="A576" s="4">
        <v>3</v>
      </c>
      <c r="B576" s="4" t="s">
        <v>445</v>
      </c>
      <c r="C576" s="4" t="s">
        <v>446</v>
      </c>
      <c r="D576" s="4" t="s">
        <v>369</v>
      </c>
      <c r="E576" s="4" t="s">
        <v>69</v>
      </c>
      <c r="F576" s="4" t="s">
        <v>370</v>
      </c>
      <c r="G576" s="4" t="s">
        <v>204</v>
      </c>
      <c r="H576" s="4" t="s">
        <v>76</v>
      </c>
      <c r="I576" s="3"/>
      <c r="J576" s="3"/>
      <c r="K576" s="3"/>
      <c r="L576" s="3"/>
      <c r="M576" s="3"/>
      <c r="N576" s="3"/>
      <c r="O576" s="3"/>
      <c r="P576" s="8"/>
      <c r="Q576" s="8"/>
      <c r="R576" s="3"/>
      <c r="S576" s="3"/>
      <c r="T576" s="3"/>
      <c r="U576" s="5" t="str">
        <f t="shared" si="34"/>
        <v/>
      </c>
    </row>
    <row r="577" spans="1:21" ht="28" customHeight="1" x14ac:dyDescent="0.35">
      <c r="A577" s="4">
        <v>4</v>
      </c>
      <c r="B577" s="4" t="s">
        <v>447</v>
      </c>
      <c r="C577" s="4" t="s">
        <v>448</v>
      </c>
      <c r="D577" s="4" t="s">
        <v>449</v>
      </c>
      <c r="E577" s="4" t="s">
        <v>109</v>
      </c>
      <c r="F577" s="4" t="s">
        <v>276</v>
      </c>
      <c r="G577" s="4" t="s">
        <v>199</v>
      </c>
      <c r="H577" s="4" t="s">
        <v>59</v>
      </c>
      <c r="I577" s="3"/>
      <c r="J577" s="3"/>
      <c r="K577" s="3"/>
      <c r="L577" s="3"/>
      <c r="M577" s="3"/>
      <c r="N577" s="3"/>
      <c r="O577" s="3"/>
      <c r="P577" s="8"/>
      <c r="Q577" s="8"/>
      <c r="R577" s="3"/>
      <c r="S577" s="3"/>
      <c r="T577" s="3"/>
      <c r="U577" s="5" t="str">
        <f t="shared" si="34"/>
        <v/>
      </c>
    </row>
    <row r="578" spans="1:21" ht="28" customHeight="1" x14ac:dyDescent="0.35">
      <c r="A578" s="4">
        <v>5</v>
      </c>
      <c r="B578" s="4" t="s">
        <v>450</v>
      </c>
      <c r="C578" s="4" t="s">
        <v>451</v>
      </c>
      <c r="D578" s="4" t="s">
        <v>452</v>
      </c>
      <c r="E578" s="4" t="s">
        <v>69</v>
      </c>
      <c r="F578" s="4" t="s">
        <v>276</v>
      </c>
      <c r="G578" s="4" t="s">
        <v>199</v>
      </c>
      <c r="H578" s="4" t="s">
        <v>59</v>
      </c>
      <c r="I578" s="3"/>
      <c r="J578" s="3"/>
      <c r="K578" s="3"/>
      <c r="L578" s="3"/>
      <c r="M578" s="3"/>
      <c r="N578" s="3"/>
      <c r="O578" s="3"/>
      <c r="P578" s="8"/>
      <c r="Q578" s="8"/>
      <c r="R578" s="3"/>
      <c r="S578" s="3"/>
      <c r="T578" s="3"/>
      <c r="U578" s="5" t="str">
        <f t="shared" si="34"/>
        <v/>
      </c>
    </row>
    <row r="579" spans="1:21" ht="28" customHeight="1" x14ac:dyDescent="0.35">
      <c r="A579" s="4">
        <v>6</v>
      </c>
      <c r="B579" s="4" t="s">
        <v>453</v>
      </c>
      <c r="C579" s="4" t="s">
        <v>454</v>
      </c>
      <c r="D579" s="4" t="s">
        <v>455</v>
      </c>
      <c r="E579" s="4" t="s">
        <v>69</v>
      </c>
      <c r="F579" s="4" t="s">
        <v>284</v>
      </c>
      <c r="G579" s="4" t="s">
        <v>204</v>
      </c>
      <c r="H579" s="4" t="s">
        <v>76</v>
      </c>
      <c r="I579" s="3"/>
      <c r="J579" s="3"/>
      <c r="K579" s="3"/>
      <c r="L579" s="3"/>
      <c r="M579" s="3"/>
      <c r="N579" s="3"/>
      <c r="O579" s="3"/>
      <c r="P579" s="8"/>
      <c r="Q579" s="8"/>
      <c r="R579" s="3"/>
      <c r="S579" s="3"/>
      <c r="T579" s="3"/>
      <c r="U579" s="5" t="str">
        <f t="shared" si="34"/>
        <v/>
      </c>
    </row>
    <row r="580" spans="1:21" ht="28" customHeight="1" x14ac:dyDescent="0.35">
      <c r="A580" s="4">
        <v>7</v>
      </c>
      <c r="B580" s="4" t="s">
        <v>456</v>
      </c>
      <c r="C580" s="4" t="s">
        <v>457</v>
      </c>
      <c r="D580" s="4" t="s">
        <v>458</v>
      </c>
      <c r="E580" s="4" t="s">
        <v>69</v>
      </c>
      <c r="F580" s="4" t="s">
        <v>459</v>
      </c>
      <c r="G580" s="4" t="s">
        <v>209</v>
      </c>
      <c r="H580" s="4" t="s">
        <v>59</v>
      </c>
      <c r="I580" s="3"/>
      <c r="J580" s="3"/>
      <c r="K580" s="3"/>
      <c r="L580" s="3"/>
      <c r="M580" s="3"/>
      <c r="N580" s="3"/>
      <c r="O580" s="3"/>
      <c r="P580" s="8"/>
      <c r="Q580" s="8"/>
      <c r="R580" s="3"/>
      <c r="S580" s="3"/>
      <c r="T580" s="3"/>
      <c r="U580" s="5" t="str">
        <f t="shared" si="34"/>
        <v/>
      </c>
    </row>
    <row r="581" spans="1:21" ht="28" customHeight="1" x14ac:dyDescent="0.35">
      <c r="A581" s="4">
        <v>8</v>
      </c>
      <c r="B581" s="4" t="s">
        <v>460</v>
      </c>
      <c r="C581" s="4" t="s">
        <v>461</v>
      </c>
      <c r="D581" s="4" t="s">
        <v>462</v>
      </c>
      <c r="E581" s="4" t="s">
        <v>69</v>
      </c>
      <c r="F581" s="4" t="s">
        <v>95</v>
      </c>
      <c r="G581" s="4" t="s">
        <v>102</v>
      </c>
      <c r="H581" s="4" t="s">
        <v>59</v>
      </c>
      <c r="I581" s="3"/>
      <c r="J581" s="3"/>
      <c r="K581" s="3"/>
      <c r="L581" s="3"/>
      <c r="M581" s="3"/>
      <c r="N581" s="3"/>
      <c r="O581" s="3"/>
      <c r="P581" s="8"/>
      <c r="Q581" s="8"/>
      <c r="R581" s="3"/>
      <c r="S581" s="3"/>
      <c r="T581" s="3"/>
      <c r="U581" s="5" t="str">
        <f t="shared" si="34"/>
        <v/>
      </c>
    </row>
    <row r="582" spans="1:21" ht="28" customHeight="1" x14ac:dyDescent="0.35">
      <c r="A582" s="4">
        <v>9</v>
      </c>
      <c r="B582" s="4" t="s">
        <v>97</v>
      </c>
      <c r="C582" s="4" t="s">
        <v>98</v>
      </c>
      <c r="D582" s="4" t="s">
        <v>99</v>
      </c>
      <c r="E582" s="4" t="s">
        <v>69</v>
      </c>
      <c r="F582" s="4" t="s">
        <v>95</v>
      </c>
      <c r="G582" s="4" t="s">
        <v>96</v>
      </c>
      <c r="H582" s="4" t="s">
        <v>59</v>
      </c>
      <c r="I582" s="3"/>
      <c r="J582" s="3"/>
      <c r="K582" s="3"/>
      <c r="L582" s="3"/>
      <c r="M582" s="3"/>
      <c r="N582" s="3"/>
      <c r="O582" s="3"/>
      <c r="P582" s="8"/>
      <c r="Q582" s="8"/>
      <c r="R582" s="3"/>
      <c r="S582" s="3"/>
      <c r="T582" s="3"/>
      <c r="U582" s="5" t="str">
        <f t="shared" si="34"/>
        <v/>
      </c>
    </row>
    <row r="583" spans="1:21" ht="28" customHeight="1" x14ac:dyDescent="0.35">
      <c r="A583" s="4">
        <v>10</v>
      </c>
      <c r="B583" s="4" t="s">
        <v>97</v>
      </c>
      <c r="C583" s="4" t="s">
        <v>100</v>
      </c>
      <c r="D583" s="4" t="s">
        <v>101</v>
      </c>
      <c r="E583" s="4" t="s">
        <v>69</v>
      </c>
      <c r="F583" s="4" t="s">
        <v>95</v>
      </c>
      <c r="G583" s="4" t="s">
        <v>102</v>
      </c>
      <c r="H583" s="4" t="s">
        <v>59</v>
      </c>
      <c r="I583" s="3"/>
      <c r="J583" s="3"/>
      <c r="K583" s="3"/>
      <c r="L583" s="3"/>
      <c r="M583" s="3"/>
      <c r="N583" s="3"/>
      <c r="O583" s="3"/>
      <c r="P583" s="8"/>
      <c r="Q583" s="8"/>
      <c r="R583" s="3"/>
      <c r="S583" s="3"/>
      <c r="T583" s="3"/>
      <c r="U583" s="5" t="str">
        <f t="shared" si="34"/>
        <v/>
      </c>
    </row>
    <row r="584" spans="1:21" ht="28" customHeight="1" x14ac:dyDescent="0.35">
      <c r="A584" s="4">
        <v>11</v>
      </c>
      <c r="B584" s="4" t="s">
        <v>103</v>
      </c>
      <c r="C584" s="4" t="s">
        <v>104</v>
      </c>
      <c r="D584" s="4" t="s">
        <v>105</v>
      </c>
      <c r="E584" s="4" t="s">
        <v>69</v>
      </c>
      <c r="F584" s="4" t="s">
        <v>95</v>
      </c>
      <c r="G584" s="4" t="s">
        <v>96</v>
      </c>
      <c r="H584" s="4" t="s">
        <v>85</v>
      </c>
      <c r="I584" s="3"/>
      <c r="J584" s="3"/>
      <c r="K584" s="3"/>
      <c r="L584" s="3"/>
      <c r="M584" s="3"/>
      <c r="N584" s="3"/>
      <c r="O584" s="3"/>
      <c r="P584" s="8"/>
      <c r="Q584" s="8"/>
      <c r="R584" s="3"/>
      <c r="S584" s="3"/>
      <c r="T584" s="3"/>
      <c r="U584" s="5" t="str">
        <f t="shared" si="34"/>
        <v/>
      </c>
    </row>
    <row r="585" spans="1:21" ht="28" customHeight="1" x14ac:dyDescent="0.35">
      <c r="A585" s="4">
        <v>12</v>
      </c>
      <c r="B585" s="4" t="s">
        <v>106</v>
      </c>
      <c r="C585" s="4" t="s">
        <v>107</v>
      </c>
      <c r="D585" s="4" t="s">
        <v>108</v>
      </c>
      <c r="E585" s="4" t="s">
        <v>109</v>
      </c>
      <c r="F585" s="4" t="s">
        <v>95</v>
      </c>
      <c r="G585" s="4" t="s">
        <v>96</v>
      </c>
      <c r="H585" s="4" t="s">
        <v>59</v>
      </c>
      <c r="I585" s="3"/>
      <c r="J585" s="3"/>
      <c r="K585" s="3"/>
      <c r="L585" s="3"/>
      <c r="M585" s="3"/>
      <c r="N585" s="3"/>
      <c r="O585" s="3"/>
      <c r="P585" s="8"/>
      <c r="Q585" s="8"/>
      <c r="R585" s="3"/>
      <c r="S585" s="3"/>
      <c r="T585" s="3"/>
      <c r="U585" s="5" t="str">
        <f t="shared" si="34"/>
        <v/>
      </c>
    </row>
    <row r="587" spans="1:21" ht="28" customHeight="1" x14ac:dyDescent="0.35">
      <c r="A587" s="9" t="s">
        <v>110</v>
      </c>
      <c r="B587" s="16"/>
      <c r="C587" s="17"/>
      <c r="D587" s="17"/>
      <c r="E587" s="17"/>
      <c r="F587" s="17"/>
      <c r="G587" s="17"/>
      <c r="H587" s="17"/>
      <c r="I587" s="17"/>
      <c r="J587" s="17"/>
      <c r="K587" s="17"/>
      <c r="L587" s="17"/>
      <c r="M587" s="17"/>
      <c r="N587" s="17"/>
      <c r="O587" s="17"/>
      <c r="P587" s="17"/>
      <c r="Q587" s="17"/>
      <c r="R587" s="17"/>
      <c r="S587" s="17"/>
      <c r="T587" s="17"/>
      <c r="U587" s="18"/>
    </row>
    <row r="588" spans="1:21" ht="28" customHeight="1" x14ac:dyDescent="0.35">
      <c r="A588" s="19" t="s">
        <v>493</v>
      </c>
      <c r="B588" s="20"/>
      <c r="C588" s="20"/>
      <c r="D588" s="20"/>
      <c r="E588" s="20"/>
      <c r="F588" s="20"/>
      <c r="G588" s="20"/>
      <c r="H588" s="20"/>
      <c r="I588" s="20"/>
      <c r="J588" s="20"/>
      <c r="K588" s="20"/>
      <c r="L588" s="20"/>
      <c r="M588" s="20"/>
      <c r="N588" s="20"/>
      <c r="O588" s="20"/>
      <c r="P588" s="20"/>
      <c r="Q588" s="20"/>
      <c r="R588" s="20"/>
      <c r="S588" s="20"/>
      <c r="T588" s="20"/>
      <c r="U588" s="21"/>
    </row>
    <row r="589" spans="1:21" ht="28" customHeight="1" x14ac:dyDescent="0.35">
      <c r="A589" s="4" t="s">
        <v>31</v>
      </c>
      <c r="B589" s="3" t="s">
        <v>248</v>
      </c>
      <c r="C589" s="4" t="s">
        <v>32</v>
      </c>
      <c r="D589" s="3"/>
      <c r="E589" s="4" t="s">
        <v>33</v>
      </c>
      <c r="F589" s="8"/>
    </row>
    <row r="590" spans="1:21" ht="28" customHeight="1" x14ac:dyDescent="0.35">
      <c r="A590" s="1" t="s">
        <v>34</v>
      </c>
      <c r="B590" s="1" t="s">
        <v>35</v>
      </c>
      <c r="C590" s="1" t="s">
        <v>36</v>
      </c>
      <c r="D590" s="1" t="s">
        <v>37</v>
      </c>
      <c r="E590" s="1" t="s">
        <v>38</v>
      </c>
      <c r="F590" s="1" t="s">
        <v>39</v>
      </c>
      <c r="G590" s="1" t="s">
        <v>40</v>
      </c>
      <c r="H590" s="1" t="s">
        <v>41</v>
      </c>
      <c r="I590" s="1" t="s">
        <v>42</v>
      </c>
      <c r="J590" s="1" t="s">
        <v>43</v>
      </c>
      <c r="K590" s="1" t="s">
        <v>44</v>
      </c>
      <c r="L590" s="1" t="s">
        <v>45</v>
      </c>
      <c r="M590" s="1" t="s">
        <v>46</v>
      </c>
      <c r="N590" s="1" t="s">
        <v>47</v>
      </c>
      <c r="O590" s="1" t="s">
        <v>48</v>
      </c>
      <c r="P590" s="1" t="s">
        <v>4</v>
      </c>
      <c r="Q590" s="1" t="s">
        <v>49</v>
      </c>
      <c r="R590" s="1" t="s">
        <v>50</v>
      </c>
      <c r="S590" s="1" t="s">
        <v>51</v>
      </c>
      <c r="T590" s="1" t="s">
        <v>52</v>
      </c>
      <c r="U590" s="1" t="s">
        <v>10</v>
      </c>
    </row>
    <row r="591" spans="1:21" ht="28" customHeight="1" x14ac:dyDescent="0.35">
      <c r="A591" s="4">
        <v>1</v>
      </c>
      <c r="B591" s="4" t="s">
        <v>439</v>
      </c>
      <c r="C591" s="4" t="s">
        <v>440</v>
      </c>
      <c r="D591" s="4" t="s">
        <v>441</v>
      </c>
      <c r="E591" s="4" t="s">
        <v>69</v>
      </c>
      <c r="F591" s="4" t="s">
        <v>370</v>
      </c>
      <c r="G591" s="4" t="s">
        <v>204</v>
      </c>
      <c r="H591" s="4" t="s">
        <v>59</v>
      </c>
      <c r="I591" s="3"/>
      <c r="J591" s="3"/>
      <c r="K591" s="3"/>
      <c r="L591" s="3"/>
      <c r="M591" s="3"/>
      <c r="N591" s="3"/>
      <c r="O591" s="3"/>
      <c r="P591" s="8"/>
      <c r="Q591" s="8"/>
      <c r="R591" s="3"/>
      <c r="S591" s="3"/>
      <c r="T591" s="3"/>
      <c r="U591" s="5" t="str">
        <f t="shared" ref="U591:U602" si="35">IF(I591="","",IF(I591="NA","Grey",IF(I591=2,"Green",IF(I591=1,"Amber","Red"))))</f>
        <v/>
      </c>
    </row>
    <row r="592" spans="1:21" ht="28" customHeight="1" x14ac:dyDescent="0.35">
      <c r="A592" s="4">
        <v>2</v>
      </c>
      <c r="B592" s="4" t="s">
        <v>442</v>
      </c>
      <c r="C592" s="4" t="s">
        <v>443</v>
      </c>
      <c r="D592" s="4" t="s">
        <v>444</v>
      </c>
      <c r="E592" s="4" t="s">
        <v>69</v>
      </c>
      <c r="F592" s="4" t="s">
        <v>95</v>
      </c>
      <c r="G592" s="4" t="s">
        <v>102</v>
      </c>
      <c r="H592" s="4" t="s">
        <v>59</v>
      </c>
      <c r="I592" s="3"/>
      <c r="J592" s="3"/>
      <c r="K592" s="3"/>
      <c r="L592" s="3"/>
      <c r="M592" s="3"/>
      <c r="N592" s="3"/>
      <c r="O592" s="3"/>
      <c r="P592" s="8"/>
      <c r="Q592" s="8"/>
      <c r="R592" s="3"/>
      <c r="S592" s="3"/>
      <c r="T592" s="3"/>
      <c r="U592" s="5" t="str">
        <f t="shared" si="35"/>
        <v/>
      </c>
    </row>
    <row r="593" spans="1:21" ht="28" customHeight="1" x14ac:dyDescent="0.35">
      <c r="A593" s="4">
        <v>3</v>
      </c>
      <c r="B593" s="4" t="s">
        <v>445</v>
      </c>
      <c r="C593" s="4" t="s">
        <v>446</v>
      </c>
      <c r="D593" s="4" t="s">
        <v>369</v>
      </c>
      <c r="E593" s="4" t="s">
        <v>69</v>
      </c>
      <c r="F593" s="4" t="s">
        <v>370</v>
      </c>
      <c r="G593" s="4" t="s">
        <v>204</v>
      </c>
      <c r="H593" s="4" t="s">
        <v>76</v>
      </c>
      <c r="I593" s="3"/>
      <c r="J593" s="3"/>
      <c r="K593" s="3"/>
      <c r="L593" s="3"/>
      <c r="M593" s="3"/>
      <c r="N593" s="3"/>
      <c r="O593" s="3"/>
      <c r="P593" s="8"/>
      <c r="Q593" s="8"/>
      <c r="R593" s="3"/>
      <c r="S593" s="3"/>
      <c r="T593" s="3"/>
      <c r="U593" s="5" t="str">
        <f t="shared" si="35"/>
        <v/>
      </c>
    </row>
    <row r="594" spans="1:21" ht="28" customHeight="1" x14ac:dyDescent="0.35">
      <c r="A594" s="4">
        <v>4</v>
      </c>
      <c r="B594" s="4" t="s">
        <v>447</v>
      </c>
      <c r="C594" s="4" t="s">
        <v>448</v>
      </c>
      <c r="D594" s="4" t="s">
        <v>449</v>
      </c>
      <c r="E594" s="4" t="s">
        <v>109</v>
      </c>
      <c r="F594" s="4" t="s">
        <v>276</v>
      </c>
      <c r="G594" s="4" t="s">
        <v>199</v>
      </c>
      <c r="H594" s="4" t="s">
        <v>59</v>
      </c>
      <c r="I594" s="3"/>
      <c r="J594" s="3"/>
      <c r="K594" s="3"/>
      <c r="L594" s="3"/>
      <c r="M594" s="3"/>
      <c r="N594" s="3"/>
      <c r="O594" s="3"/>
      <c r="P594" s="8"/>
      <c r="Q594" s="8"/>
      <c r="R594" s="3"/>
      <c r="S594" s="3"/>
      <c r="T594" s="3"/>
      <c r="U594" s="5" t="str">
        <f t="shared" si="35"/>
        <v/>
      </c>
    </row>
    <row r="595" spans="1:21" ht="28" customHeight="1" x14ac:dyDescent="0.35">
      <c r="A595" s="4">
        <v>5</v>
      </c>
      <c r="B595" s="4" t="s">
        <v>450</v>
      </c>
      <c r="C595" s="4" t="s">
        <v>451</v>
      </c>
      <c r="D595" s="4" t="s">
        <v>452</v>
      </c>
      <c r="E595" s="4" t="s">
        <v>69</v>
      </c>
      <c r="F595" s="4" t="s">
        <v>276</v>
      </c>
      <c r="G595" s="4" t="s">
        <v>199</v>
      </c>
      <c r="H595" s="4" t="s">
        <v>59</v>
      </c>
      <c r="I595" s="3"/>
      <c r="J595" s="3"/>
      <c r="K595" s="3"/>
      <c r="L595" s="3"/>
      <c r="M595" s="3"/>
      <c r="N595" s="3"/>
      <c r="O595" s="3"/>
      <c r="P595" s="8"/>
      <c r="Q595" s="8"/>
      <c r="R595" s="3"/>
      <c r="S595" s="3"/>
      <c r="T595" s="3"/>
      <c r="U595" s="5" t="str">
        <f t="shared" si="35"/>
        <v/>
      </c>
    </row>
    <row r="596" spans="1:21" ht="28" customHeight="1" x14ac:dyDescent="0.35">
      <c r="A596" s="4">
        <v>6</v>
      </c>
      <c r="B596" s="4" t="s">
        <v>453</v>
      </c>
      <c r="C596" s="4" t="s">
        <v>454</v>
      </c>
      <c r="D596" s="4" t="s">
        <v>455</v>
      </c>
      <c r="E596" s="4" t="s">
        <v>69</v>
      </c>
      <c r="F596" s="4" t="s">
        <v>284</v>
      </c>
      <c r="G596" s="4" t="s">
        <v>204</v>
      </c>
      <c r="H596" s="4" t="s">
        <v>76</v>
      </c>
      <c r="I596" s="3"/>
      <c r="J596" s="3"/>
      <c r="K596" s="3"/>
      <c r="L596" s="3"/>
      <c r="M596" s="3"/>
      <c r="N596" s="3"/>
      <c r="O596" s="3"/>
      <c r="P596" s="8"/>
      <c r="Q596" s="8"/>
      <c r="R596" s="3"/>
      <c r="S596" s="3"/>
      <c r="T596" s="3"/>
      <c r="U596" s="5" t="str">
        <f t="shared" si="35"/>
        <v/>
      </c>
    </row>
    <row r="597" spans="1:21" ht="28" customHeight="1" x14ac:dyDescent="0.35">
      <c r="A597" s="4">
        <v>7</v>
      </c>
      <c r="B597" s="4" t="s">
        <v>456</v>
      </c>
      <c r="C597" s="4" t="s">
        <v>457</v>
      </c>
      <c r="D597" s="4" t="s">
        <v>458</v>
      </c>
      <c r="E597" s="4" t="s">
        <v>69</v>
      </c>
      <c r="F597" s="4" t="s">
        <v>459</v>
      </c>
      <c r="G597" s="4" t="s">
        <v>209</v>
      </c>
      <c r="H597" s="4" t="s">
        <v>59</v>
      </c>
      <c r="I597" s="3"/>
      <c r="J597" s="3"/>
      <c r="K597" s="3"/>
      <c r="L597" s="3"/>
      <c r="M597" s="3"/>
      <c r="N597" s="3"/>
      <c r="O597" s="3"/>
      <c r="P597" s="8"/>
      <c r="Q597" s="8"/>
      <c r="R597" s="3"/>
      <c r="S597" s="3"/>
      <c r="T597" s="3"/>
      <c r="U597" s="5" t="str">
        <f t="shared" si="35"/>
        <v/>
      </c>
    </row>
    <row r="598" spans="1:21" ht="28" customHeight="1" x14ac:dyDescent="0.35">
      <c r="A598" s="4">
        <v>8</v>
      </c>
      <c r="B598" s="4" t="s">
        <v>460</v>
      </c>
      <c r="C598" s="4" t="s">
        <v>461</v>
      </c>
      <c r="D598" s="4" t="s">
        <v>462</v>
      </c>
      <c r="E598" s="4" t="s">
        <v>69</v>
      </c>
      <c r="F598" s="4" t="s">
        <v>95</v>
      </c>
      <c r="G598" s="4" t="s">
        <v>102</v>
      </c>
      <c r="H598" s="4" t="s">
        <v>59</v>
      </c>
      <c r="I598" s="3"/>
      <c r="J598" s="3"/>
      <c r="K598" s="3"/>
      <c r="L598" s="3"/>
      <c r="M598" s="3"/>
      <c r="N598" s="3"/>
      <c r="O598" s="3"/>
      <c r="P598" s="8"/>
      <c r="Q598" s="8"/>
      <c r="R598" s="3"/>
      <c r="S598" s="3"/>
      <c r="T598" s="3"/>
      <c r="U598" s="5" t="str">
        <f t="shared" si="35"/>
        <v/>
      </c>
    </row>
    <row r="599" spans="1:21" ht="28" customHeight="1" x14ac:dyDescent="0.35">
      <c r="A599" s="4">
        <v>9</v>
      </c>
      <c r="B599" s="4" t="s">
        <v>97</v>
      </c>
      <c r="C599" s="4" t="s">
        <v>98</v>
      </c>
      <c r="D599" s="4" t="s">
        <v>99</v>
      </c>
      <c r="E599" s="4" t="s">
        <v>69</v>
      </c>
      <c r="F599" s="4" t="s">
        <v>95</v>
      </c>
      <c r="G599" s="4" t="s">
        <v>96</v>
      </c>
      <c r="H599" s="4" t="s">
        <v>59</v>
      </c>
      <c r="I599" s="3"/>
      <c r="J599" s="3"/>
      <c r="K599" s="3"/>
      <c r="L599" s="3"/>
      <c r="M599" s="3"/>
      <c r="N599" s="3"/>
      <c r="O599" s="3"/>
      <c r="P599" s="8"/>
      <c r="Q599" s="8"/>
      <c r="R599" s="3"/>
      <c r="S599" s="3"/>
      <c r="T599" s="3"/>
      <c r="U599" s="5" t="str">
        <f t="shared" si="35"/>
        <v/>
      </c>
    </row>
    <row r="600" spans="1:21" ht="28" customHeight="1" x14ac:dyDescent="0.35">
      <c r="A600" s="4">
        <v>10</v>
      </c>
      <c r="B600" s="4" t="s">
        <v>97</v>
      </c>
      <c r="C600" s="4" t="s">
        <v>100</v>
      </c>
      <c r="D600" s="4" t="s">
        <v>101</v>
      </c>
      <c r="E600" s="4" t="s">
        <v>69</v>
      </c>
      <c r="F600" s="4" t="s">
        <v>95</v>
      </c>
      <c r="G600" s="4" t="s">
        <v>102</v>
      </c>
      <c r="H600" s="4" t="s">
        <v>59</v>
      </c>
      <c r="I600" s="3"/>
      <c r="J600" s="3"/>
      <c r="K600" s="3"/>
      <c r="L600" s="3"/>
      <c r="M600" s="3"/>
      <c r="N600" s="3"/>
      <c r="O600" s="3"/>
      <c r="P600" s="8"/>
      <c r="Q600" s="8"/>
      <c r="R600" s="3"/>
      <c r="S600" s="3"/>
      <c r="T600" s="3"/>
      <c r="U600" s="5" t="str">
        <f t="shared" si="35"/>
        <v/>
      </c>
    </row>
    <row r="601" spans="1:21" ht="28" customHeight="1" x14ac:dyDescent="0.35">
      <c r="A601" s="4">
        <v>11</v>
      </c>
      <c r="B601" s="4" t="s">
        <v>103</v>
      </c>
      <c r="C601" s="4" t="s">
        <v>104</v>
      </c>
      <c r="D601" s="4" t="s">
        <v>105</v>
      </c>
      <c r="E601" s="4" t="s">
        <v>69</v>
      </c>
      <c r="F601" s="4" t="s">
        <v>95</v>
      </c>
      <c r="G601" s="4" t="s">
        <v>96</v>
      </c>
      <c r="H601" s="4" t="s">
        <v>85</v>
      </c>
      <c r="I601" s="3"/>
      <c r="J601" s="3"/>
      <c r="K601" s="3"/>
      <c r="L601" s="3"/>
      <c r="M601" s="3"/>
      <c r="N601" s="3"/>
      <c r="O601" s="3"/>
      <c r="P601" s="8"/>
      <c r="Q601" s="8"/>
      <c r="R601" s="3"/>
      <c r="S601" s="3"/>
      <c r="T601" s="3"/>
      <c r="U601" s="5" t="str">
        <f t="shared" si="35"/>
        <v/>
      </c>
    </row>
    <row r="602" spans="1:21" ht="28" customHeight="1" x14ac:dyDescent="0.35">
      <c r="A602" s="4">
        <v>12</v>
      </c>
      <c r="B602" s="4" t="s">
        <v>106</v>
      </c>
      <c r="C602" s="4" t="s">
        <v>107</v>
      </c>
      <c r="D602" s="4" t="s">
        <v>108</v>
      </c>
      <c r="E602" s="4" t="s">
        <v>109</v>
      </c>
      <c r="F602" s="4" t="s">
        <v>95</v>
      </c>
      <c r="G602" s="4" t="s">
        <v>96</v>
      </c>
      <c r="H602" s="4" t="s">
        <v>59</v>
      </c>
      <c r="I602" s="3"/>
      <c r="J602" s="3"/>
      <c r="K602" s="3"/>
      <c r="L602" s="3"/>
      <c r="M602" s="3"/>
      <c r="N602" s="3"/>
      <c r="O602" s="3"/>
      <c r="P602" s="8"/>
      <c r="Q602" s="8"/>
      <c r="R602" s="3"/>
      <c r="S602" s="3"/>
      <c r="T602" s="3"/>
      <c r="U602" s="5" t="str">
        <f t="shared" si="35"/>
        <v/>
      </c>
    </row>
    <row r="604" spans="1:21" ht="28" customHeight="1" x14ac:dyDescent="0.35">
      <c r="A604" s="9" t="s">
        <v>110</v>
      </c>
      <c r="B604" s="16"/>
      <c r="C604" s="17"/>
      <c r="D604" s="17"/>
      <c r="E604" s="17"/>
      <c r="F604" s="17"/>
      <c r="G604" s="17"/>
      <c r="H604" s="17"/>
      <c r="I604" s="17"/>
      <c r="J604" s="17"/>
      <c r="K604" s="17"/>
      <c r="L604" s="17"/>
      <c r="M604" s="17"/>
      <c r="N604" s="17"/>
      <c r="O604" s="17"/>
      <c r="P604" s="17"/>
      <c r="Q604" s="17"/>
      <c r="R604" s="17"/>
      <c r="S604" s="17"/>
      <c r="T604" s="17"/>
      <c r="U604" s="18"/>
    </row>
    <row r="605" spans="1:21" ht="28" customHeight="1" x14ac:dyDescent="0.35">
      <c r="A605" s="19" t="s">
        <v>494</v>
      </c>
      <c r="B605" s="20"/>
      <c r="C605" s="20"/>
      <c r="D605" s="20"/>
      <c r="E605" s="20"/>
      <c r="F605" s="20"/>
      <c r="G605" s="20"/>
      <c r="H605" s="20"/>
      <c r="I605" s="20"/>
      <c r="J605" s="20"/>
      <c r="K605" s="20"/>
      <c r="L605" s="20"/>
      <c r="M605" s="20"/>
      <c r="N605" s="20"/>
      <c r="O605" s="20"/>
      <c r="P605" s="20"/>
      <c r="Q605" s="20"/>
      <c r="R605" s="20"/>
      <c r="S605" s="20"/>
      <c r="T605" s="20"/>
      <c r="U605" s="21"/>
    </row>
    <row r="606" spans="1:21" ht="28" customHeight="1" x14ac:dyDescent="0.35">
      <c r="A606" s="4" t="s">
        <v>31</v>
      </c>
      <c r="B606" s="3" t="s">
        <v>249</v>
      </c>
      <c r="C606" s="4" t="s">
        <v>32</v>
      </c>
      <c r="D606" s="3"/>
      <c r="E606" s="4" t="s">
        <v>33</v>
      </c>
      <c r="F606" s="8"/>
    </row>
    <row r="607" spans="1:21" ht="28" customHeight="1" x14ac:dyDescent="0.35">
      <c r="A607" s="1" t="s">
        <v>34</v>
      </c>
      <c r="B607" s="1" t="s">
        <v>35</v>
      </c>
      <c r="C607" s="1" t="s">
        <v>36</v>
      </c>
      <c r="D607" s="1" t="s">
        <v>37</v>
      </c>
      <c r="E607" s="1" t="s">
        <v>38</v>
      </c>
      <c r="F607" s="1" t="s">
        <v>39</v>
      </c>
      <c r="G607" s="1" t="s">
        <v>40</v>
      </c>
      <c r="H607" s="1" t="s">
        <v>41</v>
      </c>
      <c r="I607" s="1" t="s">
        <v>42</v>
      </c>
      <c r="J607" s="1" t="s">
        <v>43</v>
      </c>
      <c r="K607" s="1" t="s">
        <v>44</v>
      </c>
      <c r="L607" s="1" t="s">
        <v>45</v>
      </c>
      <c r="M607" s="1" t="s">
        <v>46</v>
      </c>
      <c r="N607" s="1" t="s">
        <v>47</v>
      </c>
      <c r="O607" s="1" t="s">
        <v>48</v>
      </c>
      <c r="P607" s="1" t="s">
        <v>4</v>
      </c>
      <c r="Q607" s="1" t="s">
        <v>49</v>
      </c>
      <c r="R607" s="1" t="s">
        <v>50</v>
      </c>
      <c r="S607" s="1" t="s">
        <v>51</v>
      </c>
      <c r="T607" s="1" t="s">
        <v>52</v>
      </c>
      <c r="U607" s="1" t="s">
        <v>10</v>
      </c>
    </row>
    <row r="608" spans="1:21" ht="28" customHeight="1" x14ac:dyDescent="0.35">
      <c r="A608" s="4">
        <v>1</v>
      </c>
      <c r="B608" s="4" t="s">
        <v>439</v>
      </c>
      <c r="C608" s="4" t="s">
        <v>440</v>
      </c>
      <c r="D608" s="4" t="s">
        <v>441</v>
      </c>
      <c r="E608" s="4" t="s">
        <v>69</v>
      </c>
      <c r="F608" s="4" t="s">
        <v>370</v>
      </c>
      <c r="G608" s="4" t="s">
        <v>204</v>
      </c>
      <c r="H608" s="4" t="s">
        <v>59</v>
      </c>
      <c r="I608" s="3"/>
      <c r="J608" s="3"/>
      <c r="K608" s="3"/>
      <c r="L608" s="3"/>
      <c r="M608" s="3"/>
      <c r="N608" s="3"/>
      <c r="O608" s="3"/>
      <c r="P608" s="8"/>
      <c r="Q608" s="8"/>
      <c r="R608" s="3"/>
      <c r="S608" s="3"/>
      <c r="T608" s="3"/>
      <c r="U608" s="5" t="str">
        <f t="shared" ref="U608:U619" si="36">IF(I608="","",IF(I608="NA","Grey",IF(I608=2,"Green",IF(I608=1,"Amber","Red"))))</f>
        <v/>
      </c>
    </row>
    <row r="609" spans="1:21" ht="28" customHeight="1" x14ac:dyDescent="0.35">
      <c r="A609" s="4">
        <v>2</v>
      </c>
      <c r="B609" s="4" t="s">
        <v>442</v>
      </c>
      <c r="C609" s="4" t="s">
        <v>443</v>
      </c>
      <c r="D609" s="4" t="s">
        <v>444</v>
      </c>
      <c r="E609" s="4" t="s">
        <v>69</v>
      </c>
      <c r="F609" s="4" t="s">
        <v>95</v>
      </c>
      <c r="G609" s="4" t="s">
        <v>102</v>
      </c>
      <c r="H609" s="4" t="s">
        <v>59</v>
      </c>
      <c r="I609" s="3"/>
      <c r="J609" s="3"/>
      <c r="K609" s="3"/>
      <c r="L609" s="3"/>
      <c r="M609" s="3"/>
      <c r="N609" s="3"/>
      <c r="O609" s="3"/>
      <c r="P609" s="8"/>
      <c r="Q609" s="8"/>
      <c r="R609" s="3"/>
      <c r="S609" s="3"/>
      <c r="T609" s="3"/>
      <c r="U609" s="5" t="str">
        <f t="shared" si="36"/>
        <v/>
      </c>
    </row>
    <row r="610" spans="1:21" ht="28" customHeight="1" x14ac:dyDescent="0.35">
      <c r="A610" s="4">
        <v>3</v>
      </c>
      <c r="B610" s="4" t="s">
        <v>445</v>
      </c>
      <c r="C610" s="4" t="s">
        <v>446</v>
      </c>
      <c r="D610" s="4" t="s">
        <v>369</v>
      </c>
      <c r="E610" s="4" t="s">
        <v>69</v>
      </c>
      <c r="F610" s="4" t="s">
        <v>370</v>
      </c>
      <c r="G610" s="4" t="s">
        <v>204</v>
      </c>
      <c r="H610" s="4" t="s">
        <v>76</v>
      </c>
      <c r="I610" s="3"/>
      <c r="J610" s="3"/>
      <c r="K610" s="3"/>
      <c r="L610" s="3"/>
      <c r="M610" s="3"/>
      <c r="N610" s="3"/>
      <c r="O610" s="3"/>
      <c r="P610" s="8"/>
      <c r="Q610" s="8"/>
      <c r="R610" s="3"/>
      <c r="S610" s="3"/>
      <c r="T610" s="3"/>
      <c r="U610" s="5" t="str">
        <f t="shared" si="36"/>
        <v/>
      </c>
    </row>
    <row r="611" spans="1:21" ht="28" customHeight="1" x14ac:dyDescent="0.35">
      <c r="A611" s="4">
        <v>4</v>
      </c>
      <c r="B611" s="4" t="s">
        <v>447</v>
      </c>
      <c r="C611" s="4" t="s">
        <v>448</v>
      </c>
      <c r="D611" s="4" t="s">
        <v>449</v>
      </c>
      <c r="E611" s="4" t="s">
        <v>109</v>
      </c>
      <c r="F611" s="4" t="s">
        <v>276</v>
      </c>
      <c r="G611" s="4" t="s">
        <v>199</v>
      </c>
      <c r="H611" s="4" t="s">
        <v>59</v>
      </c>
      <c r="I611" s="3"/>
      <c r="J611" s="3"/>
      <c r="K611" s="3"/>
      <c r="L611" s="3"/>
      <c r="M611" s="3"/>
      <c r="N611" s="3"/>
      <c r="O611" s="3"/>
      <c r="P611" s="8"/>
      <c r="Q611" s="8"/>
      <c r="R611" s="3"/>
      <c r="S611" s="3"/>
      <c r="T611" s="3"/>
      <c r="U611" s="5" t="str">
        <f t="shared" si="36"/>
        <v/>
      </c>
    </row>
    <row r="612" spans="1:21" ht="28" customHeight="1" x14ac:dyDescent="0.35">
      <c r="A612" s="4">
        <v>5</v>
      </c>
      <c r="B612" s="4" t="s">
        <v>450</v>
      </c>
      <c r="C612" s="4" t="s">
        <v>451</v>
      </c>
      <c r="D612" s="4" t="s">
        <v>452</v>
      </c>
      <c r="E612" s="4" t="s">
        <v>69</v>
      </c>
      <c r="F612" s="4" t="s">
        <v>276</v>
      </c>
      <c r="G612" s="4" t="s">
        <v>199</v>
      </c>
      <c r="H612" s="4" t="s">
        <v>59</v>
      </c>
      <c r="I612" s="3"/>
      <c r="J612" s="3"/>
      <c r="K612" s="3"/>
      <c r="L612" s="3"/>
      <c r="M612" s="3"/>
      <c r="N612" s="3"/>
      <c r="O612" s="3"/>
      <c r="P612" s="8"/>
      <c r="Q612" s="8"/>
      <c r="R612" s="3"/>
      <c r="S612" s="3"/>
      <c r="T612" s="3"/>
      <c r="U612" s="5" t="str">
        <f t="shared" si="36"/>
        <v/>
      </c>
    </row>
    <row r="613" spans="1:21" ht="28" customHeight="1" x14ac:dyDescent="0.35">
      <c r="A613" s="4">
        <v>6</v>
      </c>
      <c r="B613" s="4" t="s">
        <v>453</v>
      </c>
      <c r="C613" s="4" t="s">
        <v>454</v>
      </c>
      <c r="D613" s="4" t="s">
        <v>455</v>
      </c>
      <c r="E613" s="4" t="s">
        <v>69</v>
      </c>
      <c r="F613" s="4" t="s">
        <v>284</v>
      </c>
      <c r="G613" s="4" t="s">
        <v>204</v>
      </c>
      <c r="H613" s="4" t="s">
        <v>76</v>
      </c>
      <c r="I613" s="3"/>
      <c r="J613" s="3"/>
      <c r="K613" s="3"/>
      <c r="L613" s="3"/>
      <c r="M613" s="3"/>
      <c r="N613" s="3"/>
      <c r="O613" s="3"/>
      <c r="P613" s="8"/>
      <c r="Q613" s="8"/>
      <c r="R613" s="3"/>
      <c r="S613" s="3"/>
      <c r="T613" s="3"/>
      <c r="U613" s="5" t="str">
        <f t="shared" si="36"/>
        <v/>
      </c>
    </row>
    <row r="614" spans="1:21" ht="28" customHeight="1" x14ac:dyDescent="0.35">
      <c r="A614" s="4">
        <v>7</v>
      </c>
      <c r="B614" s="4" t="s">
        <v>456</v>
      </c>
      <c r="C614" s="4" t="s">
        <v>457</v>
      </c>
      <c r="D614" s="4" t="s">
        <v>458</v>
      </c>
      <c r="E614" s="4" t="s">
        <v>69</v>
      </c>
      <c r="F614" s="4" t="s">
        <v>459</v>
      </c>
      <c r="G614" s="4" t="s">
        <v>209</v>
      </c>
      <c r="H614" s="4" t="s">
        <v>59</v>
      </c>
      <c r="I614" s="3"/>
      <c r="J614" s="3"/>
      <c r="K614" s="3"/>
      <c r="L614" s="3"/>
      <c r="M614" s="3"/>
      <c r="N614" s="3"/>
      <c r="O614" s="3"/>
      <c r="P614" s="8"/>
      <c r="Q614" s="8"/>
      <c r="R614" s="3"/>
      <c r="S614" s="3"/>
      <c r="T614" s="3"/>
      <c r="U614" s="5" t="str">
        <f t="shared" si="36"/>
        <v/>
      </c>
    </row>
    <row r="615" spans="1:21" ht="28" customHeight="1" x14ac:dyDescent="0.35">
      <c r="A615" s="4">
        <v>8</v>
      </c>
      <c r="B615" s="4" t="s">
        <v>460</v>
      </c>
      <c r="C615" s="4" t="s">
        <v>461</v>
      </c>
      <c r="D615" s="4" t="s">
        <v>462</v>
      </c>
      <c r="E615" s="4" t="s">
        <v>69</v>
      </c>
      <c r="F615" s="4" t="s">
        <v>95</v>
      </c>
      <c r="G615" s="4" t="s">
        <v>102</v>
      </c>
      <c r="H615" s="4" t="s">
        <v>59</v>
      </c>
      <c r="I615" s="3"/>
      <c r="J615" s="3"/>
      <c r="K615" s="3"/>
      <c r="L615" s="3"/>
      <c r="M615" s="3"/>
      <c r="N615" s="3"/>
      <c r="O615" s="3"/>
      <c r="P615" s="8"/>
      <c r="Q615" s="8"/>
      <c r="R615" s="3"/>
      <c r="S615" s="3"/>
      <c r="T615" s="3"/>
      <c r="U615" s="5" t="str">
        <f t="shared" si="36"/>
        <v/>
      </c>
    </row>
    <row r="616" spans="1:21" ht="28" customHeight="1" x14ac:dyDescent="0.35">
      <c r="A616" s="4">
        <v>9</v>
      </c>
      <c r="B616" s="4" t="s">
        <v>97</v>
      </c>
      <c r="C616" s="4" t="s">
        <v>98</v>
      </c>
      <c r="D616" s="4" t="s">
        <v>99</v>
      </c>
      <c r="E616" s="4" t="s">
        <v>69</v>
      </c>
      <c r="F616" s="4" t="s">
        <v>95</v>
      </c>
      <c r="G616" s="4" t="s">
        <v>96</v>
      </c>
      <c r="H616" s="4" t="s">
        <v>59</v>
      </c>
      <c r="I616" s="3"/>
      <c r="J616" s="3"/>
      <c r="K616" s="3"/>
      <c r="L616" s="3"/>
      <c r="M616" s="3"/>
      <c r="N616" s="3"/>
      <c r="O616" s="3"/>
      <c r="P616" s="8"/>
      <c r="Q616" s="8"/>
      <c r="R616" s="3"/>
      <c r="S616" s="3"/>
      <c r="T616" s="3"/>
      <c r="U616" s="5" t="str">
        <f t="shared" si="36"/>
        <v/>
      </c>
    </row>
    <row r="617" spans="1:21" ht="28" customHeight="1" x14ac:dyDescent="0.35">
      <c r="A617" s="4">
        <v>10</v>
      </c>
      <c r="B617" s="4" t="s">
        <v>97</v>
      </c>
      <c r="C617" s="4" t="s">
        <v>100</v>
      </c>
      <c r="D617" s="4" t="s">
        <v>101</v>
      </c>
      <c r="E617" s="4" t="s">
        <v>69</v>
      </c>
      <c r="F617" s="4" t="s">
        <v>95</v>
      </c>
      <c r="G617" s="4" t="s">
        <v>102</v>
      </c>
      <c r="H617" s="4" t="s">
        <v>59</v>
      </c>
      <c r="I617" s="3"/>
      <c r="J617" s="3"/>
      <c r="K617" s="3"/>
      <c r="L617" s="3"/>
      <c r="M617" s="3"/>
      <c r="N617" s="3"/>
      <c r="O617" s="3"/>
      <c r="P617" s="8"/>
      <c r="Q617" s="8"/>
      <c r="R617" s="3"/>
      <c r="S617" s="3"/>
      <c r="T617" s="3"/>
      <c r="U617" s="5" t="str">
        <f t="shared" si="36"/>
        <v/>
      </c>
    </row>
    <row r="618" spans="1:21" ht="28" customHeight="1" x14ac:dyDescent="0.35">
      <c r="A618" s="4">
        <v>11</v>
      </c>
      <c r="B618" s="4" t="s">
        <v>103</v>
      </c>
      <c r="C618" s="4" t="s">
        <v>104</v>
      </c>
      <c r="D618" s="4" t="s">
        <v>105</v>
      </c>
      <c r="E618" s="4" t="s">
        <v>69</v>
      </c>
      <c r="F618" s="4" t="s">
        <v>95</v>
      </c>
      <c r="G618" s="4" t="s">
        <v>96</v>
      </c>
      <c r="H618" s="4" t="s">
        <v>85</v>
      </c>
      <c r="I618" s="3"/>
      <c r="J618" s="3"/>
      <c r="K618" s="3"/>
      <c r="L618" s="3"/>
      <c r="M618" s="3"/>
      <c r="N618" s="3"/>
      <c r="O618" s="3"/>
      <c r="P618" s="8"/>
      <c r="Q618" s="8"/>
      <c r="R618" s="3"/>
      <c r="S618" s="3"/>
      <c r="T618" s="3"/>
      <c r="U618" s="5" t="str">
        <f t="shared" si="36"/>
        <v/>
      </c>
    </row>
    <row r="619" spans="1:21" ht="28" customHeight="1" x14ac:dyDescent="0.35">
      <c r="A619" s="4">
        <v>12</v>
      </c>
      <c r="B619" s="4" t="s">
        <v>106</v>
      </c>
      <c r="C619" s="4" t="s">
        <v>107</v>
      </c>
      <c r="D619" s="4" t="s">
        <v>108</v>
      </c>
      <c r="E619" s="4" t="s">
        <v>109</v>
      </c>
      <c r="F619" s="4" t="s">
        <v>95</v>
      </c>
      <c r="G619" s="4" t="s">
        <v>96</v>
      </c>
      <c r="H619" s="4" t="s">
        <v>59</v>
      </c>
      <c r="I619" s="3"/>
      <c r="J619" s="3"/>
      <c r="K619" s="3"/>
      <c r="L619" s="3"/>
      <c r="M619" s="3"/>
      <c r="N619" s="3"/>
      <c r="O619" s="3"/>
      <c r="P619" s="8"/>
      <c r="Q619" s="8"/>
      <c r="R619" s="3"/>
      <c r="S619" s="3"/>
      <c r="T619" s="3"/>
      <c r="U619" s="5" t="str">
        <f t="shared" si="36"/>
        <v/>
      </c>
    </row>
    <row r="621" spans="1:21" ht="28" customHeight="1" x14ac:dyDescent="0.35">
      <c r="A621" s="9" t="s">
        <v>110</v>
      </c>
      <c r="B621" s="16"/>
      <c r="C621" s="17"/>
      <c r="D621" s="17"/>
      <c r="E621" s="17"/>
      <c r="F621" s="17"/>
      <c r="G621" s="17"/>
      <c r="H621" s="17"/>
      <c r="I621" s="17"/>
      <c r="J621" s="17"/>
      <c r="K621" s="17"/>
      <c r="L621" s="17"/>
      <c r="M621" s="17"/>
      <c r="N621" s="17"/>
      <c r="O621" s="17"/>
      <c r="P621" s="17"/>
      <c r="Q621" s="17"/>
      <c r="R621" s="17"/>
      <c r="S621" s="17"/>
      <c r="T621" s="17"/>
      <c r="U621" s="18"/>
    </row>
    <row r="622" spans="1:21" ht="28" customHeight="1" x14ac:dyDescent="0.35">
      <c r="A622" s="19" t="s">
        <v>495</v>
      </c>
      <c r="B622" s="20"/>
      <c r="C622" s="20"/>
      <c r="D622" s="20"/>
      <c r="E622" s="20"/>
      <c r="F622" s="20"/>
      <c r="G622" s="20"/>
      <c r="H622" s="20"/>
      <c r="I622" s="20"/>
      <c r="J622" s="20"/>
      <c r="K622" s="20"/>
      <c r="L622" s="20"/>
      <c r="M622" s="20"/>
      <c r="N622" s="20"/>
      <c r="O622" s="20"/>
      <c r="P622" s="20"/>
      <c r="Q622" s="20"/>
      <c r="R622" s="20"/>
      <c r="S622" s="20"/>
      <c r="T622" s="20"/>
      <c r="U622" s="21"/>
    </row>
    <row r="623" spans="1:21" ht="28" customHeight="1" x14ac:dyDescent="0.35">
      <c r="A623" s="4" t="s">
        <v>31</v>
      </c>
      <c r="B623" s="3" t="s">
        <v>250</v>
      </c>
      <c r="C623" s="4" t="s">
        <v>32</v>
      </c>
      <c r="D623" s="3"/>
      <c r="E623" s="4" t="s">
        <v>33</v>
      </c>
      <c r="F623" s="8"/>
    </row>
    <row r="624" spans="1:21" ht="28" customHeight="1" x14ac:dyDescent="0.35">
      <c r="A624" s="1" t="s">
        <v>34</v>
      </c>
      <c r="B624" s="1" t="s">
        <v>35</v>
      </c>
      <c r="C624" s="1" t="s">
        <v>36</v>
      </c>
      <c r="D624" s="1" t="s">
        <v>37</v>
      </c>
      <c r="E624" s="1" t="s">
        <v>38</v>
      </c>
      <c r="F624" s="1" t="s">
        <v>39</v>
      </c>
      <c r="G624" s="1" t="s">
        <v>40</v>
      </c>
      <c r="H624" s="1" t="s">
        <v>41</v>
      </c>
      <c r="I624" s="1" t="s">
        <v>42</v>
      </c>
      <c r="J624" s="1" t="s">
        <v>43</v>
      </c>
      <c r="K624" s="1" t="s">
        <v>44</v>
      </c>
      <c r="L624" s="1" t="s">
        <v>45</v>
      </c>
      <c r="M624" s="1" t="s">
        <v>46</v>
      </c>
      <c r="N624" s="1" t="s">
        <v>47</v>
      </c>
      <c r="O624" s="1" t="s">
        <v>48</v>
      </c>
      <c r="P624" s="1" t="s">
        <v>4</v>
      </c>
      <c r="Q624" s="1" t="s">
        <v>49</v>
      </c>
      <c r="R624" s="1" t="s">
        <v>50</v>
      </c>
      <c r="S624" s="1" t="s">
        <v>51</v>
      </c>
      <c r="T624" s="1" t="s">
        <v>52</v>
      </c>
      <c r="U624" s="1" t="s">
        <v>10</v>
      </c>
    </row>
    <row r="625" spans="1:21" ht="28" customHeight="1" x14ac:dyDescent="0.35">
      <c r="A625" s="4">
        <v>1</v>
      </c>
      <c r="B625" s="4" t="s">
        <v>439</v>
      </c>
      <c r="C625" s="4" t="s">
        <v>440</v>
      </c>
      <c r="D625" s="4" t="s">
        <v>441</v>
      </c>
      <c r="E625" s="4" t="s">
        <v>69</v>
      </c>
      <c r="F625" s="4" t="s">
        <v>370</v>
      </c>
      <c r="G625" s="4" t="s">
        <v>204</v>
      </c>
      <c r="H625" s="4" t="s">
        <v>59</v>
      </c>
      <c r="I625" s="3"/>
      <c r="J625" s="3"/>
      <c r="K625" s="3"/>
      <c r="L625" s="3"/>
      <c r="M625" s="3"/>
      <c r="N625" s="3"/>
      <c r="O625" s="3"/>
      <c r="P625" s="8"/>
      <c r="Q625" s="8"/>
      <c r="R625" s="3"/>
      <c r="S625" s="3"/>
      <c r="T625" s="3"/>
      <c r="U625" s="5" t="str">
        <f t="shared" ref="U625:U636" si="37">IF(I625="","",IF(I625="NA","Grey",IF(I625=2,"Green",IF(I625=1,"Amber","Red"))))</f>
        <v/>
      </c>
    </row>
    <row r="626" spans="1:21" ht="28" customHeight="1" x14ac:dyDescent="0.35">
      <c r="A626" s="4">
        <v>2</v>
      </c>
      <c r="B626" s="4" t="s">
        <v>442</v>
      </c>
      <c r="C626" s="4" t="s">
        <v>443</v>
      </c>
      <c r="D626" s="4" t="s">
        <v>444</v>
      </c>
      <c r="E626" s="4" t="s">
        <v>69</v>
      </c>
      <c r="F626" s="4" t="s">
        <v>95</v>
      </c>
      <c r="G626" s="4" t="s">
        <v>102</v>
      </c>
      <c r="H626" s="4" t="s">
        <v>59</v>
      </c>
      <c r="I626" s="3"/>
      <c r="J626" s="3"/>
      <c r="K626" s="3"/>
      <c r="L626" s="3"/>
      <c r="M626" s="3"/>
      <c r="N626" s="3"/>
      <c r="O626" s="3"/>
      <c r="P626" s="8"/>
      <c r="Q626" s="8"/>
      <c r="R626" s="3"/>
      <c r="S626" s="3"/>
      <c r="T626" s="3"/>
      <c r="U626" s="5" t="str">
        <f t="shared" si="37"/>
        <v/>
      </c>
    </row>
    <row r="627" spans="1:21" ht="28" customHeight="1" x14ac:dyDescent="0.35">
      <c r="A627" s="4">
        <v>3</v>
      </c>
      <c r="B627" s="4" t="s">
        <v>445</v>
      </c>
      <c r="C627" s="4" t="s">
        <v>446</v>
      </c>
      <c r="D627" s="4" t="s">
        <v>369</v>
      </c>
      <c r="E627" s="4" t="s">
        <v>69</v>
      </c>
      <c r="F627" s="4" t="s">
        <v>370</v>
      </c>
      <c r="G627" s="4" t="s">
        <v>204</v>
      </c>
      <c r="H627" s="4" t="s">
        <v>76</v>
      </c>
      <c r="I627" s="3"/>
      <c r="J627" s="3"/>
      <c r="K627" s="3"/>
      <c r="L627" s="3"/>
      <c r="M627" s="3"/>
      <c r="N627" s="3"/>
      <c r="O627" s="3"/>
      <c r="P627" s="8"/>
      <c r="Q627" s="8"/>
      <c r="R627" s="3"/>
      <c r="S627" s="3"/>
      <c r="T627" s="3"/>
      <c r="U627" s="5" t="str">
        <f t="shared" si="37"/>
        <v/>
      </c>
    </row>
    <row r="628" spans="1:21" ht="28" customHeight="1" x14ac:dyDescent="0.35">
      <c r="A628" s="4">
        <v>4</v>
      </c>
      <c r="B628" s="4" t="s">
        <v>447</v>
      </c>
      <c r="C628" s="4" t="s">
        <v>448</v>
      </c>
      <c r="D628" s="4" t="s">
        <v>449</v>
      </c>
      <c r="E628" s="4" t="s">
        <v>109</v>
      </c>
      <c r="F628" s="4" t="s">
        <v>276</v>
      </c>
      <c r="G628" s="4" t="s">
        <v>199</v>
      </c>
      <c r="H628" s="4" t="s">
        <v>59</v>
      </c>
      <c r="I628" s="3"/>
      <c r="J628" s="3"/>
      <c r="K628" s="3"/>
      <c r="L628" s="3"/>
      <c r="M628" s="3"/>
      <c r="N628" s="3"/>
      <c r="O628" s="3"/>
      <c r="P628" s="8"/>
      <c r="Q628" s="8"/>
      <c r="R628" s="3"/>
      <c r="S628" s="3"/>
      <c r="T628" s="3"/>
      <c r="U628" s="5" t="str">
        <f t="shared" si="37"/>
        <v/>
      </c>
    </row>
    <row r="629" spans="1:21" ht="28" customHeight="1" x14ac:dyDescent="0.35">
      <c r="A629" s="4">
        <v>5</v>
      </c>
      <c r="B629" s="4" t="s">
        <v>450</v>
      </c>
      <c r="C629" s="4" t="s">
        <v>451</v>
      </c>
      <c r="D629" s="4" t="s">
        <v>452</v>
      </c>
      <c r="E629" s="4" t="s">
        <v>69</v>
      </c>
      <c r="F629" s="4" t="s">
        <v>276</v>
      </c>
      <c r="G629" s="4" t="s">
        <v>199</v>
      </c>
      <c r="H629" s="4" t="s">
        <v>59</v>
      </c>
      <c r="I629" s="3"/>
      <c r="J629" s="3"/>
      <c r="K629" s="3"/>
      <c r="L629" s="3"/>
      <c r="M629" s="3"/>
      <c r="N629" s="3"/>
      <c r="O629" s="3"/>
      <c r="P629" s="8"/>
      <c r="Q629" s="8"/>
      <c r="R629" s="3"/>
      <c r="S629" s="3"/>
      <c r="T629" s="3"/>
      <c r="U629" s="5" t="str">
        <f t="shared" si="37"/>
        <v/>
      </c>
    </row>
    <row r="630" spans="1:21" ht="28" customHeight="1" x14ac:dyDescent="0.35">
      <c r="A630" s="4">
        <v>6</v>
      </c>
      <c r="B630" s="4" t="s">
        <v>453</v>
      </c>
      <c r="C630" s="4" t="s">
        <v>454</v>
      </c>
      <c r="D630" s="4" t="s">
        <v>455</v>
      </c>
      <c r="E630" s="4" t="s">
        <v>69</v>
      </c>
      <c r="F630" s="4" t="s">
        <v>284</v>
      </c>
      <c r="G630" s="4" t="s">
        <v>204</v>
      </c>
      <c r="H630" s="4" t="s">
        <v>76</v>
      </c>
      <c r="I630" s="3"/>
      <c r="J630" s="3"/>
      <c r="K630" s="3"/>
      <c r="L630" s="3"/>
      <c r="M630" s="3"/>
      <c r="N630" s="3"/>
      <c r="O630" s="3"/>
      <c r="P630" s="8"/>
      <c r="Q630" s="8"/>
      <c r="R630" s="3"/>
      <c r="S630" s="3"/>
      <c r="T630" s="3"/>
      <c r="U630" s="5" t="str">
        <f t="shared" si="37"/>
        <v/>
      </c>
    </row>
    <row r="631" spans="1:21" ht="28" customHeight="1" x14ac:dyDescent="0.35">
      <c r="A631" s="4">
        <v>7</v>
      </c>
      <c r="B631" s="4" t="s">
        <v>456</v>
      </c>
      <c r="C631" s="4" t="s">
        <v>457</v>
      </c>
      <c r="D631" s="4" t="s">
        <v>458</v>
      </c>
      <c r="E631" s="4" t="s">
        <v>69</v>
      </c>
      <c r="F631" s="4" t="s">
        <v>459</v>
      </c>
      <c r="G631" s="4" t="s">
        <v>209</v>
      </c>
      <c r="H631" s="4" t="s">
        <v>59</v>
      </c>
      <c r="I631" s="3"/>
      <c r="J631" s="3"/>
      <c r="K631" s="3"/>
      <c r="L631" s="3"/>
      <c r="M631" s="3"/>
      <c r="N631" s="3"/>
      <c r="O631" s="3"/>
      <c r="P631" s="8"/>
      <c r="Q631" s="8"/>
      <c r="R631" s="3"/>
      <c r="S631" s="3"/>
      <c r="T631" s="3"/>
      <c r="U631" s="5" t="str">
        <f t="shared" si="37"/>
        <v/>
      </c>
    </row>
    <row r="632" spans="1:21" ht="28" customHeight="1" x14ac:dyDescent="0.35">
      <c r="A632" s="4">
        <v>8</v>
      </c>
      <c r="B632" s="4" t="s">
        <v>460</v>
      </c>
      <c r="C632" s="4" t="s">
        <v>461</v>
      </c>
      <c r="D632" s="4" t="s">
        <v>462</v>
      </c>
      <c r="E632" s="4" t="s">
        <v>69</v>
      </c>
      <c r="F632" s="4" t="s">
        <v>95</v>
      </c>
      <c r="G632" s="4" t="s">
        <v>102</v>
      </c>
      <c r="H632" s="4" t="s">
        <v>59</v>
      </c>
      <c r="I632" s="3"/>
      <c r="J632" s="3"/>
      <c r="K632" s="3"/>
      <c r="L632" s="3"/>
      <c r="M632" s="3"/>
      <c r="N632" s="3"/>
      <c r="O632" s="3"/>
      <c r="P632" s="8"/>
      <c r="Q632" s="8"/>
      <c r="R632" s="3"/>
      <c r="S632" s="3"/>
      <c r="T632" s="3"/>
      <c r="U632" s="5" t="str">
        <f t="shared" si="37"/>
        <v/>
      </c>
    </row>
    <row r="633" spans="1:21" ht="28" customHeight="1" x14ac:dyDescent="0.35">
      <c r="A633" s="4">
        <v>9</v>
      </c>
      <c r="B633" s="4" t="s">
        <v>97</v>
      </c>
      <c r="C633" s="4" t="s">
        <v>98</v>
      </c>
      <c r="D633" s="4" t="s">
        <v>99</v>
      </c>
      <c r="E633" s="4" t="s">
        <v>69</v>
      </c>
      <c r="F633" s="4" t="s">
        <v>95</v>
      </c>
      <c r="G633" s="4" t="s">
        <v>96</v>
      </c>
      <c r="H633" s="4" t="s">
        <v>59</v>
      </c>
      <c r="I633" s="3"/>
      <c r="J633" s="3"/>
      <c r="K633" s="3"/>
      <c r="L633" s="3"/>
      <c r="M633" s="3"/>
      <c r="N633" s="3"/>
      <c r="O633" s="3"/>
      <c r="P633" s="8"/>
      <c r="Q633" s="8"/>
      <c r="R633" s="3"/>
      <c r="S633" s="3"/>
      <c r="T633" s="3"/>
      <c r="U633" s="5" t="str">
        <f t="shared" si="37"/>
        <v/>
      </c>
    </row>
    <row r="634" spans="1:21" ht="28" customHeight="1" x14ac:dyDescent="0.35">
      <c r="A634" s="4">
        <v>10</v>
      </c>
      <c r="B634" s="4" t="s">
        <v>97</v>
      </c>
      <c r="C634" s="4" t="s">
        <v>100</v>
      </c>
      <c r="D634" s="4" t="s">
        <v>101</v>
      </c>
      <c r="E634" s="4" t="s">
        <v>69</v>
      </c>
      <c r="F634" s="4" t="s">
        <v>95</v>
      </c>
      <c r="G634" s="4" t="s">
        <v>102</v>
      </c>
      <c r="H634" s="4" t="s">
        <v>59</v>
      </c>
      <c r="I634" s="3"/>
      <c r="J634" s="3"/>
      <c r="K634" s="3"/>
      <c r="L634" s="3"/>
      <c r="M634" s="3"/>
      <c r="N634" s="3"/>
      <c r="O634" s="3"/>
      <c r="P634" s="8"/>
      <c r="Q634" s="8"/>
      <c r="R634" s="3"/>
      <c r="S634" s="3"/>
      <c r="T634" s="3"/>
      <c r="U634" s="5" t="str">
        <f t="shared" si="37"/>
        <v/>
      </c>
    </row>
    <row r="635" spans="1:21" ht="28" customHeight="1" x14ac:dyDescent="0.35">
      <c r="A635" s="4">
        <v>11</v>
      </c>
      <c r="B635" s="4" t="s">
        <v>103</v>
      </c>
      <c r="C635" s="4" t="s">
        <v>104</v>
      </c>
      <c r="D635" s="4" t="s">
        <v>105</v>
      </c>
      <c r="E635" s="4" t="s">
        <v>69</v>
      </c>
      <c r="F635" s="4" t="s">
        <v>95</v>
      </c>
      <c r="G635" s="4" t="s">
        <v>96</v>
      </c>
      <c r="H635" s="4" t="s">
        <v>85</v>
      </c>
      <c r="I635" s="3"/>
      <c r="J635" s="3"/>
      <c r="K635" s="3"/>
      <c r="L635" s="3"/>
      <c r="M635" s="3"/>
      <c r="N635" s="3"/>
      <c r="O635" s="3"/>
      <c r="P635" s="8"/>
      <c r="Q635" s="8"/>
      <c r="R635" s="3"/>
      <c r="S635" s="3"/>
      <c r="T635" s="3"/>
      <c r="U635" s="5" t="str">
        <f t="shared" si="37"/>
        <v/>
      </c>
    </row>
    <row r="636" spans="1:21" ht="28" customHeight="1" x14ac:dyDescent="0.35">
      <c r="A636" s="4">
        <v>12</v>
      </c>
      <c r="B636" s="4" t="s">
        <v>106</v>
      </c>
      <c r="C636" s="4" t="s">
        <v>107</v>
      </c>
      <c r="D636" s="4" t="s">
        <v>108</v>
      </c>
      <c r="E636" s="4" t="s">
        <v>109</v>
      </c>
      <c r="F636" s="4" t="s">
        <v>95</v>
      </c>
      <c r="G636" s="4" t="s">
        <v>96</v>
      </c>
      <c r="H636" s="4" t="s">
        <v>59</v>
      </c>
      <c r="I636" s="3"/>
      <c r="J636" s="3"/>
      <c r="K636" s="3"/>
      <c r="L636" s="3"/>
      <c r="M636" s="3"/>
      <c r="N636" s="3"/>
      <c r="O636" s="3"/>
      <c r="P636" s="8"/>
      <c r="Q636" s="8"/>
      <c r="R636" s="3"/>
      <c r="S636" s="3"/>
      <c r="T636" s="3"/>
      <c r="U636" s="5" t="str">
        <f t="shared" si="37"/>
        <v/>
      </c>
    </row>
    <row r="638" spans="1:21" ht="28" customHeight="1" x14ac:dyDescent="0.35">
      <c r="A638" s="9" t="s">
        <v>110</v>
      </c>
      <c r="B638" s="16"/>
      <c r="C638" s="17"/>
      <c r="D638" s="17"/>
      <c r="E638" s="17"/>
      <c r="F638" s="17"/>
      <c r="G638" s="17"/>
      <c r="H638" s="17"/>
      <c r="I638" s="17"/>
      <c r="J638" s="17"/>
      <c r="K638" s="17"/>
      <c r="L638" s="17"/>
      <c r="M638" s="17"/>
      <c r="N638" s="17"/>
      <c r="O638" s="17"/>
      <c r="P638" s="17"/>
      <c r="Q638" s="17"/>
      <c r="R638" s="17"/>
      <c r="S638" s="17"/>
      <c r="T638" s="17"/>
      <c r="U638" s="18"/>
    </row>
    <row r="639" spans="1:21" ht="28" customHeight="1" x14ac:dyDescent="0.35">
      <c r="A639" s="19" t="s">
        <v>496</v>
      </c>
      <c r="B639" s="20"/>
      <c r="C639" s="20"/>
      <c r="D639" s="20"/>
      <c r="E639" s="20"/>
      <c r="F639" s="20"/>
      <c r="G639" s="20"/>
      <c r="H639" s="20"/>
      <c r="I639" s="20"/>
      <c r="J639" s="20"/>
      <c r="K639" s="20"/>
      <c r="L639" s="20"/>
      <c r="M639" s="20"/>
      <c r="N639" s="20"/>
      <c r="O639" s="20"/>
      <c r="P639" s="20"/>
      <c r="Q639" s="20"/>
      <c r="R639" s="20"/>
      <c r="S639" s="20"/>
      <c r="T639" s="20"/>
      <c r="U639" s="21"/>
    </row>
    <row r="640" spans="1:21" ht="28" customHeight="1" x14ac:dyDescent="0.35">
      <c r="A640" s="4" t="s">
        <v>31</v>
      </c>
      <c r="B640" s="3" t="s">
        <v>251</v>
      </c>
      <c r="C640" s="4" t="s">
        <v>32</v>
      </c>
      <c r="D640" s="3"/>
      <c r="E640" s="4" t="s">
        <v>33</v>
      </c>
      <c r="F640" s="8"/>
    </row>
    <row r="641" spans="1:21" ht="28" customHeight="1" x14ac:dyDescent="0.35">
      <c r="A641" s="1" t="s">
        <v>34</v>
      </c>
      <c r="B641" s="1" t="s">
        <v>35</v>
      </c>
      <c r="C641" s="1" t="s">
        <v>36</v>
      </c>
      <c r="D641" s="1" t="s">
        <v>37</v>
      </c>
      <c r="E641" s="1" t="s">
        <v>38</v>
      </c>
      <c r="F641" s="1" t="s">
        <v>39</v>
      </c>
      <c r="G641" s="1" t="s">
        <v>40</v>
      </c>
      <c r="H641" s="1" t="s">
        <v>41</v>
      </c>
      <c r="I641" s="1" t="s">
        <v>42</v>
      </c>
      <c r="J641" s="1" t="s">
        <v>43</v>
      </c>
      <c r="K641" s="1" t="s">
        <v>44</v>
      </c>
      <c r="L641" s="1" t="s">
        <v>45</v>
      </c>
      <c r="M641" s="1" t="s">
        <v>46</v>
      </c>
      <c r="N641" s="1" t="s">
        <v>47</v>
      </c>
      <c r="O641" s="1" t="s">
        <v>48</v>
      </c>
      <c r="P641" s="1" t="s">
        <v>4</v>
      </c>
      <c r="Q641" s="1" t="s">
        <v>49</v>
      </c>
      <c r="R641" s="1" t="s">
        <v>50</v>
      </c>
      <c r="S641" s="1" t="s">
        <v>51</v>
      </c>
      <c r="T641" s="1" t="s">
        <v>52</v>
      </c>
      <c r="U641" s="1" t="s">
        <v>10</v>
      </c>
    </row>
    <row r="642" spans="1:21" ht="28" customHeight="1" x14ac:dyDescent="0.35">
      <c r="A642" s="4">
        <v>1</v>
      </c>
      <c r="B642" s="4" t="s">
        <v>439</v>
      </c>
      <c r="C642" s="4" t="s">
        <v>440</v>
      </c>
      <c r="D642" s="4" t="s">
        <v>441</v>
      </c>
      <c r="E642" s="4" t="s">
        <v>69</v>
      </c>
      <c r="F642" s="4" t="s">
        <v>370</v>
      </c>
      <c r="G642" s="4" t="s">
        <v>204</v>
      </c>
      <c r="H642" s="4" t="s">
        <v>59</v>
      </c>
      <c r="I642" s="3"/>
      <c r="J642" s="3"/>
      <c r="K642" s="3"/>
      <c r="L642" s="3"/>
      <c r="M642" s="3"/>
      <c r="N642" s="3"/>
      <c r="O642" s="3"/>
      <c r="P642" s="8"/>
      <c r="Q642" s="8"/>
      <c r="R642" s="3"/>
      <c r="S642" s="3"/>
      <c r="T642" s="3"/>
      <c r="U642" s="5" t="str">
        <f t="shared" ref="U642:U653" si="38">IF(I642="","",IF(I642="NA","Grey",IF(I642=2,"Green",IF(I642=1,"Amber","Red"))))</f>
        <v/>
      </c>
    </row>
    <row r="643" spans="1:21" ht="28" customHeight="1" x14ac:dyDescent="0.35">
      <c r="A643" s="4">
        <v>2</v>
      </c>
      <c r="B643" s="4" t="s">
        <v>442</v>
      </c>
      <c r="C643" s="4" t="s">
        <v>443</v>
      </c>
      <c r="D643" s="4" t="s">
        <v>444</v>
      </c>
      <c r="E643" s="4" t="s">
        <v>69</v>
      </c>
      <c r="F643" s="4" t="s">
        <v>95</v>
      </c>
      <c r="G643" s="4" t="s">
        <v>102</v>
      </c>
      <c r="H643" s="4" t="s">
        <v>59</v>
      </c>
      <c r="I643" s="3"/>
      <c r="J643" s="3"/>
      <c r="K643" s="3"/>
      <c r="L643" s="3"/>
      <c r="M643" s="3"/>
      <c r="N643" s="3"/>
      <c r="O643" s="3"/>
      <c r="P643" s="8"/>
      <c r="Q643" s="8"/>
      <c r="R643" s="3"/>
      <c r="S643" s="3"/>
      <c r="T643" s="3"/>
      <c r="U643" s="5" t="str">
        <f t="shared" si="38"/>
        <v/>
      </c>
    </row>
    <row r="644" spans="1:21" ht="28" customHeight="1" x14ac:dyDescent="0.35">
      <c r="A644" s="4">
        <v>3</v>
      </c>
      <c r="B644" s="4" t="s">
        <v>445</v>
      </c>
      <c r="C644" s="4" t="s">
        <v>446</v>
      </c>
      <c r="D644" s="4" t="s">
        <v>369</v>
      </c>
      <c r="E644" s="4" t="s">
        <v>69</v>
      </c>
      <c r="F644" s="4" t="s">
        <v>370</v>
      </c>
      <c r="G644" s="4" t="s">
        <v>204</v>
      </c>
      <c r="H644" s="4" t="s">
        <v>76</v>
      </c>
      <c r="I644" s="3"/>
      <c r="J644" s="3"/>
      <c r="K644" s="3"/>
      <c r="L644" s="3"/>
      <c r="M644" s="3"/>
      <c r="N644" s="3"/>
      <c r="O644" s="3"/>
      <c r="P644" s="8"/>
      <c r="Q644" s="8"/>
      <c r="R644" s="3"/>
      <c r="S644" s="3"/>
      <c r="T644" s="3"/>
      <c r="U644" s="5" t="str">
        <f t="shared" si="38"/>
        <v/>
      </c>
    </row>
    <row r="645" spans="1:21" ht="28" customHeight="1" x14ac:dyDescent="0.35">
      <c r="A645" s="4">
        <v>4</v>
      </c>
      <c r="B645" s="4" t="s">
        <v>447</v>
      </c>
      <c r="C645" s="4" t="s">
        <v>448</v>
      </c>
      <c r="D645" s="4" t="s">
        <v>449</v>
      </c>
      <c r="E645" s="4" t="s">
        <v>109</v>
      </c>
      <c r="F645" s="4" t="s">
        <v>276</v>
      </c>
      <c r="G645" s="4" t="s">
        <v>199</v>
      </c>
      <c r="H645" s="4" t="s">
        <v>59</v>
      </c>
      <c r="I645" s="3"/>
      <c r="J645" s="3"/>
      <c r="K645" s="3"/>
      <c r="L645" s="3"/>
      <c r="M645" s="3"/>
      <c r="N645" s="3"/>
      <c r="O645" s="3"/>
      <c r="P645" s="8"/>
      <c r="Q645" s="8"/>
      <c r="R645" s="3"/>
      <c r="S645" s="3"/>
      <c r="T645" s="3"/>
      <c r="U645" s="5" t="str">
        <f t="shared" si="38"/>
        <v/>
      </c>
    </row>
    <row r="646" spans="1:21" ht="28" customHeight="1" x14ac:dyDescent="0.35">
      <c r="A646" s="4">
        <v>5</v>
      </c>
      <c r="B646" s="4" t="s">
        <v>450</v>
      </c>
      <c r="C646" s="4" t="s">
        <v>451</v>
      </c>
      <c r="D646" s="4" t="s">
        <v>452</v>
      </c>
      <c r="E646" s="4" t="s">
        <v>69</v>
      </c>
      <c r="F646" s="4" t="s">
        <v>276</v>
      </c>
      <c r="G646" s="4" t="s">
        <v>199</v>
      </c>
      <c r="H646" s="4" t="s">
        <v>59</v>
      </c>
      <c r="I646" s="3"/>
      <c r="J646" s="3"/>
      <c r="K646" s="3"/>
      <c r="L646" s="3"/>
      <c r="M646" s="3"/>
      <c r="N646" s="3"/>
      <c r="O646" s="3"/>
      <c r="P646" s="8"/>
      <c r="Q646" s="8"/>
      <c r="R646" s="3"/>
      <c r="S646" s="3"/>
      <c r="T646" s="3"/>
      <c r="U646" s="5" t="str">
        <f t="shared" si="38"/>
        <v/>
      </c>
    </row>
    <row r="647" spans="1:21" ht="28" customHeight="1" x14ac:dyDescent="0.35">
      <c r="A647" s="4">
        <v>6</v>
      </c>
      <c r="B647" s="4" t="s">
        <v>453</v>
      </c>
      <c r="C647" s="4" t="s">
        <v>454</v>
      </c>
      <c r="D647" s="4" t="s">
        <v>455</v>
      </c>
      <c r="E647" s="4" t="s">
        <v>69</v>
      </c>
      <c r="F647" s="4" t="s">
        <v>284</v>
      </c>
      <c r="G647" s="4" t="s">
        <v>204</v>
      </c>
      <c r="H647" s="4" t="s">
        <v>76</v>
      </c>
      <c r="I647" s="3"/>
      <c r="J647" s="3"/>
      <c r="K647" s="3"/>
      <c r="L647" s="3"/>
      <c r="M647" s="3"/>
      <c r="N647" s="3"/>
      <c r="O647" s="3"/>
      <c r="P647" s="8"/>
      <c r="Q647" s="8"/>
      <c r="R647" s="3"/>
      <c r="S647" s="3"/>
      <c r="T647" s="3"/>
      <c r="U647" s="5" t="str">
        <f t="shared" si="38"/>
        <v/>
      </c>
    </row>
    <row r="648" spans="1:21" ht="28" customHeight="1" x14ac:dyDescent="0.35">
      <c r="A648" s="4">
        <v>7</v>
      </c>
      <c r="B648" s="4" t="s">
        <v>456</v>
      </c>
      <c r="C648" s="4" t="s">
        <v>457</v>
      </c>
      <c r="D648" s="4" t="s">
        <v>458</v>
      </c>
      <c r="E648" s="4" t="s">
        <v>69</v>
      </c>
      <c r="F648" s="4" t="s">
        <v>459</v>
      </c>
      <c r="G648" s="4" t="s">
        <v>209</v>
      </c>
      <c r="H648" s="4" t="s">
        <v>59</v>
      </c>
      <c r="I648" s="3"/>
      <c r="J648" s="3"/>
      <c r="K648" s="3"/>
      <c r="L648" s="3"/>
      <c r="M648" s="3"/>
      <c r="N648" s="3"/>
      <c r="O648" s="3"/>
      <c r="P648" s="8"/>
      <c r="Q648" s="8"/>
      <c r="R648" s="3"/>
      <c r="S648" s="3"/>
      <c r="T648" s="3"/>
      <c r="U648" s="5" t="str">
        <f t="shared" si="38"/>
        <v/>
      </c>
    </row>
    <row r="649" spans="1:21" ht="28" customHeight="1" x14ac:dyDescent="0.35">
      <c r="A649" s="4">
        <v>8</v>
      </c>
      <c r="B649" s="4" t="s">
        <v>460</v>
      </c>
      <c r="C649" s="4" t="s">
        <v>461</v>
      </c>
      <c r="D649" s="4" t="s">
        <v>462</v>
      </c>
      <c r="E649" s="4" t="s">
        <v>69</v>
      </c>
      <c r="F649" s="4" t="s">
        <v>95</v>
      </c>
      <c r="G649" s="4" t="s">
        <v>102</v>
      </c>
      <c r="H649" s="4" t="s">
        <v>59</v>
      </c>
      <c r="I649" s="3"/>
      <c r="J649" s="3"/>
      <c r="K649" s="3"/>
      <c r="L649" s="3"/>
      <c r="M649" s="3"/>
      <c r="N649" s="3"/>
      <c r="O649" s="3"/>
      <c r="P649" s="8"/>
      <c r="Q649" s="8"/>
      <c r="R649" s="3"/>
      <c r="S649" s="3"/>
      <c r="T649" s="3"/>
      <c r="U649" s="5" t="str">
        <f t="shared" si="38"/>
        <v/>
      </c>
    </row>
    <row r="650" spans="1:21" ht="28" customHeight="1" x14ac:dyDescent="0.35">
      <c r="A650" s="4">
        <v>9</v>
      </c>
      <c r="B650" s="4" t="s">
        <v>97</v>
      </c>
      <c r="C650" s="4" t="s">
        <v>98</v>
      </c>
      <c r="D650" s="4" t="s">
        <v>99</v>
      </c>
      <c r="E650" s="4" t="s">
        <v>69</v>
      </c>
      <c r="F650" s="4" t="s">
        <v>95</v>
      </c>
      <c r="G650" s="4" t="s">
        <v>96</v>
      </c>
      <c r="H650" s="4" t="s">
        <v>59</v>
      </c>
      <c r="I650" s="3"/>
      <c r="J650" s="3"/>
      <c r="K650" s="3"/>
      <c r="L650" s="3"/>
      <c r="M650" s="3"/>
      <c r="N650" s="3"/>
      <c r="O650" s="3"/>
      <c r="P650" s="8"/>
      <c r="Q650" s="8"/>
      <c r="R650" s="3"/>
      <c r="S650" s="3"/>
      <c r="T650" s="3"/>
      <c r="U650" s="5" t="str">
        <f t="shared" si="38"/>
        <v/>
      </c>
    </row>
    <row r="651" spans="1:21" ht="28" customHeight="1" x14ac:dyDescent="0.35">
      <c r="A651" s="4">
        <v>10</v>
      </c>
      <c r="B651" s="4" t="s">
        <v>97</v>
      </c>
      <c r="C651" s="4" t="s">
        <v>100</v>
      </c>
      <c r="D651" s="4" t="s">
        <v>101</v>
      </c>
      <c r="E651" s="4" t="s">
        <v>69</v>
      </c>
      <c r="F651" s="4" t="s">
        <v>95</v>
      </c>
      <c r="G651" s="4" t="s">
        <v>102</v>
      </c>
      <c r="H651" s="4" t="s">
        <v>59</v>
      </c>
      <c r="I651" s="3"/>
      <c r="J651" s="3"/>
      <c r="K651" s="3"/>
      <c r="L651" s="3"/>
      <c r="M651" s="3"/>
      <c r="N651" s="3"/>
      <c r="O651" s="3"/>
      <c r="P651" s="8"/>
      <c r="Q651" s="8"/>
      <c r="R651" s="3"/>
      <c r="S651" s="3"/>
      <c r="T651" s="3"/>
      <c r="U651" s="5" t="str">
        <f t="shared" si="38"/>
        <v/>
      </c>
    </row>
    <row r="652" spans="1:21" ht="28" customHeight="1" x14ac:dyDescent="0.35">
      <c r="A652" s="4">
        <v>11</v>
      </c>
      <c r="B652" s="4" t="s">
        <v>103</v>
      </c>
      <c r="C652" s="4" t="s">
        <v>104</v>
      </c>
      <c r="D652" s="4" t="s">
        <v>105</v>
      </c>
      <c r="E652" s="4" t="s">
        <v>69</v>
      </c>
      <c r="F652" s="4" t="s">
        <v>95</v>
      </c>
      <c r="G652" s="4" t="s">
        <v>96</v>
      </c>
      <c r="H652" s="4" t="s">
        <v>85</v>
      </c>
      <c r="I652" s="3"/>
      <c r="J652" s="3"/>
      <c r="K652" s="3"/>
      <c r="L652" s="3"/>
      <c r="M652" s="3"/>
      <c r="N652" s="3"/>
      <c r="O652" s="3"/>
      <c r="P652" s="8"/>
      <c r="Q652" s="8"/>
      <c r="R652" s="3"/>
      <c r="S652" s="3"/>
      <c r="T652" s="3"/>
      <c r="U652" s="5" t="str">
        <f t="shared" si="38"/>
        <v/>
      </c>
    </row>
    <row r="653" spans="1:21" ht="28" customHeight="1" x14ac:dyDescent="0.35">
      <c r="A653" s="4">
        <v>12</v>
      </c>
      <c r="B653" s="4" t="s">
        <v>106</v>
      </c>
      <c r="C653" s="4" t="s">
        <v>107</v>
      </c>
      <c r="D653" s="4" t="s">
        <v>108</v>
      </c>
      <c r="E653" s="4" t="s">
        <v>109</v>
      </c>
      <c r="F653" s="4" t="s">
        <v>95</v>
      </c>
      <c r="G653" s="4" t="s">
        <v>96</v>
      </c>
      <c r="H653" s="4" t="s">
        <v>59</v>
      </c>
      <c r="I653" s="3"/>
      <c r="J653" s="3"/>
      <c r="K653" s="3"/>
      <c r="L653" s="3"/>
      <c r="M653" s="3"/>
      <c r="N653" s="3"/>
      <c r="O653" s="3"/>
      <c r="P653" s="8"/>
      <c r="Q653" s="8"/>
      <c r="R653" s="3"/>
      <c r="S653" s="3"/>
      <c r="T653" s="3"/>
      <c r="U653" s="5" t="str">
        <f t="shared" si="38"/>
        <v/>
      </c>
    </row>
    <row r="655" spans="1:21" ht="28" customHeight="1" x14ac:dyDescent="0.35">
      <c r="A655" s="9" t="s">
        <v>110</v>
      </c>
      <c r="B655" s="16"/>
      <c r="C655" s="17"/>
      <c r="D655" s="17"/>
      <c r="E655" s="17"/>
      <c r="F655" s="17"/>
      <c r="G655" s="17"/>
      <c r="H655" s="17"/>
      <c r="I655" s="17"/>
      <c r="J655" s="17"/>
      <c r="K655" s="17"/>
      <c r="L655" s="17"/>
      <c r="M655" s="17"/>
      <c r="N655" s="17"/>
      <c r="O655" s="17"/>
      <c r="P655" s="17"/>
      <c r="Q655" s="17"/>
      <c r="R655" s="17"/>
      <c r="S655" s="17"/>
      <c r="T655" s="17"/>
      <c r="U655" s="18"/>
    </row>
    <row r="656" spans="1:21" ht="28" customHeight="1" x14ac:dyDescent="0.35">
      <c r="A656" s="19" t="s">
        <v>497</v>
      </c>
      <c r="B656" s="20"/>
      <c r="C656" s="20"/>
      <c r="D656" s="20"/>
      <c r="E656" s="20"/>
      <c r="F656" s="20"/>
      <c r="G656" s="20"/>
      <c r="H656" s="20"/>
      <c r="I656" s="20"/>
      <c r="J656" s="20"/>
      <c r="K656" s="20"/>
      <c r="L656" s="20"/>
      <c r="M656" s="20"/>
      <c r="N656" s="20"/>
      <c r="O656" s="20"/>
      <c r="P656" s="20"/>
      <c r="Q656" s="20"/>
      <c r="R656" s="20"/>
      <c r="S656" s="20"/>
      <c r="T656" s="20"/>
      <c r="U656" s="21"/>
    </row>
    <row r="657" spans="1:21" ht="28" customHeight="1" x14ac:dyDescent="0.35">
      <c r="A657" s="4" t="s">
        <v>31</v>
      </c>
      <c r="B657" s="3" t="s">
        <v>252</v>
      </c>
      <c r="C657" s="4" t="s">
        <v>32</v>
      </c>
      <c r="D657" s="3"/>
      <c r="E657" s="4" t="s">
        <v>33</v>
      </c>
      <c r="F657" s="8"/>
    </row>
    <row r="658" spans="1:21" ht="28" customHeight="1" x14ac:dyDescent="0.35">
      <c r="A658" s="1" t="s">
        <v>34</v>
      </c>
      <c r="B658" s="1" t="s">
        <v>35</v>
      </c>
      <c r="C658" s="1" t="s">
        <v>36</v>
      </c>
      <c r="D658" s="1" t="s">
        <v>37</v>
      </c>
      <c r="E658" s="1" t="s">
        <v>38</v>
      </c>
      <c r="F658" s="1" t="s">
        <v>39</v>
      </c>
      <c r="G658" s="1" t="s">
        <v>40</v>
      </c>
      <c r="H658" s="1" t="s">
        <v>41</v>
      </c>
      <c r="I658" s="1" t="s">
        <v>42</v>
      </c>
      <c r="J658" s="1" t="s">
        <v>43</v>
      </c>
      <c r="K658" s="1" t="s">
        <v>44</v>
      </c>
      <c r="L658" s="1" t="s">
        <v>45</v>
      </c>
      <c r="M658" s="1" t="s">
        <v>46</v>
      </c>
      <c r="N658" s="1" t="s">
        <v>47</v>
      </c>
      <c r="O658" s="1" t="s">
        <v>48</v>
      </c>
      <c r="P658" s="1" t="s">
        <v>4</v>
      </c>
      <c r="Q658" s="1" t="s">
        <v>49</v>
      </c>
      <c r="R658" s="1" t="s">
        <v>50</v>
      </c>
      <c r="S658" s="1" t="s">
        <v>51</v>
      </c>
      <c r="T658" s="1" t="s">
        <v>52</v>
      </c>
      <c r="U658" s="1" t="s">
        <v>10</v>
      </c>
    </row>
    <row r="659" spans="1:21" ht="28" customHeight="1" x14ac:dyDescent="0.35">
      <c r="A659" s="4">
        <v>1</v>
      </c>
      <c r="B659" s="4" t="s">
        <v>439</v>
      </c>
      <c r="C659" s="4" t="s">
        <v>440</v>
      </c>
      <c r="D659" s="4" t="s">
        <v>441</v>
      </c>
      <c r="E659" s="4" t="s">
        <v>69</v>
      </c>
      <c r="F659" s="4" t="s">
        <v>370</v>
      </c>
      <c r="G659" s="4" t="s">
        <v>204</v>
      </c>
      <c r="H659" s="4" t="s">
        <v>59</v>
      </c>
      <c r="I659" s="3"/>
      <c r="J659" s="3"/>
      <c r="K659" s="3"/>
      <c r="L659" s="3"/>
      <c r="M659" s="3"/>
      <c r="N659" s="3"/>
      <c r="O659" s="3"/>
      <c r="P659" s="8"/>
      <c r="Q659" s="8"/>
      <c r="R659" s="3"/>
      <c r="S659" s="3"/>
      <c r="T659" s="3"/>
      <c r="U659" s="5" t="str">
        <f t="shared" ref="U659:U670" si="39">IF(I659="","",IF(I659="NA","Grey",IF(I659=2,"Green",IF(I659=1,"Amber","Red"))))</f>
        <v/>
      </c>
    </row>
    <row r="660" spans="1:21" ht="28" customHeight="1" x14ac:dyDescent="0.35">
      <c r="A660" s="4">
        <v>2</v>
      </c>
      <c r="B660" s="4" t="s">
        <v>442</v>
      </c>
      <c r="C660" s="4" t="s">
        <v>443</v>
      </c>
      <c r="D660" s="4" t="s">
        <v>444</v>
      </c>
      <c r="E660" s="4" t="s">
        <v>69</v>
      </c>
      <c r="F660" s="4" t="s">
        <v>95</v>
      </c>
      <c r="G660" s="4" t="s">
        <v>102</v>
      </c>
      <c r="H660" s="4" t="s">
        <v>59</v>
      </c>
      <c r="I660" s="3"/>
      <c r="J660" s="3"/>
      <c r="K660" s="3"/>
      <c r="L660" s="3"/>
      <c r="M660" s="3"/>
      <c r="N660" s="3"/>
      <c r="O660" s="3"/>
      <c r="P660" s="8"/>
      <c r="Q660" s="8"/>
      <c r="R660" s="3"/>
      <c r="S660" s="3"/>
      <c r="T660" s="3"/>
      <c r="U660" s="5" t="str">
        <f t="shared" si="39"/>
        <v/>
      </c>
    </row>
    <row r="661" spans="1:21" ht="28" customHeight="1" x14ac:dyDescent="0.35">
      <c r="A661" s="4">
        <v>3</v>
      </c>
      <c r="B661" s="4" t="s">
        <v>445</v>
      </c>
      <c r="C661" s="4" t="s">
        <v>446</v>
      </c>
      <c r="D661" s="4" t="s">
        <v>369</v>
      </c>
      <c r="E661" s="4" t="s">
        <v>69</v>
      </c>
      <c r="F661" s="4" t="s">
        <v>370</v>
      </c>
      <c r="G661" s="4" t="s">
        <v>204</v>
      </c>
      <c r="H661" s="4" t="s">
        <v>76</v>
      </c>
      <c r="I661" s="3"/>
      <c r="J661" s="3"/>
      <c r="K661" s="3"/>
      <c r="L661" s="3"/>
      <c r="M661" s="3"/>
      <c r="N661" s="3"/>
      <c r="O661" s="3"/>
      <c r="P661" s="8"/>
      <c r="Q661" s="8"/>
      <c r="R661" s="3"/>
      <c r="S661" s="3"/>
      <c r="T661" s="3"/>
      <c r="U661" s="5" t="str">
        <f t="shared" si="39"/>
        <v/>
      </c>
    </row>
    <row r="662" spans="1:21" ht="28" customHeight="1" x14ac:dyDescent="0.35">
      <c r="A662" s="4">
        <v>4</v>
      </c>
      <c r="B662" s="4" t="s">
        <v>447</v>
      </c>
      <c r="C662" s="4" t="s">
        <v>448</v>
      </c>
      <c r="D662" s="4" t="s">
        <v>449</v>
      </c>
      <c r="E662" s="4" t="s">
        <v>109</v>
      </c>
      <c r="F662" s="4" t="s">
        <v>276</v>
      </c>
      <c r="G662" s="4" t="s">
        <v>199</v>
      </c>
      <c r="H662" s="4" t="s">
        <v>59</v>
      </c>
      <c r="I662" s="3"/>
      <c r="J662" s="3"/>
      <c r="K662" s="3"/>
      <c r="L662" s="3"/>
      <c r="M662" s="3"/>
      <c r="N662" s="3"/>
      <c r="O662" s="3"/>
      <c r="P662" s="8"/>
      <c r="Q662" s="8"/>
      <c r="R662" s="3"/>
      <c r="S662" s="3"/>
      <c r="T662" s="3"/>
      <c r="U662" s="5" t="str">
        <f t="shared" si="39"/>
        <v/>
      </c>
    </row>
    <row r="663" spans="1:21" ht="28" customHeight="1" x14ac:dyDescent="0.35">
      <c r="A663" s="4">
        <v>5</v>
      </c>
      <c r="B663" s="4" t="s">
        <v>450</v>
      </c>
      <c r="C663" s="4" t="s">
        <v>451</v>
      </c>
      <c r="D663" s="4" t="s">
        <v>452</v>
      </c>
      <c r="E663" s="4" t="s">
        <v>69</v>
      </c>
      <c r="F663" s="4" t="s">
        <v>276</v>
      </c>
      <c r="G663" s="4" t="s">
        <v>199</v>
      </c>
      <c r="H663" s="4" t="s">
        <v>59</v>
      </c>
      <c r="I663" s="3"/>
      <c r="J663" s="3"/>
      <c r="K663" s="3"/>
      <c r="L663" s="3"/>
      <c r="M663" s="3"/>
      <c r="N663" s="3"/>
      <c r="O663" s="3"/>
      <c r="P663" s="8"/>
      <c r="Q663" s="8"/>
      <c r="R663" s="3"/>
      <c r="S663" s="3"/>
      <c r="T663" s="3"/>
      <c r="U663" s="5" t="str">
        <f t="shared" si="39"/>
        <v/>
      </c>
    </row>
    <row r="664" spans="1:21" ht="28" customHeight="1" x14ac:dyDescent="0.35">
      <c r="A664" s="4">
        <v>6</v>
      </c>
      <c r="B664" s="4" t="s">
        <v>453</v>
      </c>
      <c r="C664" s="4" t="s">
        <v>454</v>
      </c>
      <c r="D664" s="4" t="s">
        <v>455</v>
      </c>
      <c r="E664" s="4" t="s">
        <v>69</v>
      </c>
      <c r="F664" s="4" t="s">
        <v>284</v>
      </c>
      <c r="G664" s="4" t="s">
        <v>204</v>
      </c>
      <c r="H664" s="4" t="s">
        <v>76</v>
      </c>
      <c r="I664" s="3"/>
      <c r="J664" s="3"/>
      <c r="K664" s="3"/>
      <c r="L664" s="3"/>
      <c r="M664" s="3"/>
      <c r="N664" s="3"/>
      <c r="O664" s="3"/>
      <c r="P664" s="8"/>
      <c r="Q664" s="8"/>
      <c r="R664" s="3"/>
      <c r="S664" s="3"/>
      <c r="T664" s="3"/>
      <c r="U664" s="5" t="str">
        <f t="shared" si="39"/>
        <v/>
      </c>
    </row>
    <row r="665" spans="1:21" ht="28" customHeight="1" x14ac:dyDescent="0.35">
      <c r="A665" s="4">
        <v>7</v>
      </c>
      <c r="B665" s="4" t="s">
        <v>456</v>
      </c>
      <c r="C665" s="4" t="s">
        <v>457</v>
      </c>
      <c r="D665" s="4" t="s">
        <v>458</v>
      </c>
      <c r="E665" s="4" t="s">
        <v>69</v>
      </c>
      <c r="F665" s="4" t="s">
        <v>459</v>
      </c>
      <c r="G665" s="4" t="s">
        <v>209</v>
      </c>
      <c r="H665" s="4" t="s">
        <v>59</v>
      </c>
      <c r="I665" s="3"/>
      <c r="J665" s="3"/>
      <c r="K665" s="3"/>
      <c r="L665" s="3"/>
      <c r="M665" s="3"/>
      <c r="N665" s="3"/>
      <c r="O665" s="3"/>
      <c r="P665" s="8"/>
      <c r="Q665" s="8"/>
      <c r="R665" s="3"/>
      <c r="S665" s="3"/>
      <c r="T665" s="3"/>
      <c r="U665" s="5" t="str">
        <f t="shared" si="39"/>
        <v/>
      </c>
    </row>
    <row r="666" spans="1:21" ht="28" customHeight="1" x14ac:dyDescent="0.35">
      <c r="A666" s="4">
        <v>8</v>
      </c>
      <c r="B666" s="4" t="s">
        <v>460</v>
      </c>
      <c r="C666" s="4" t="s">
        <v>461</v>
      </c>
      <c r="D666" s="4" t="s">
        <v>462</v>
      </c>
      <c r="E666" s="4" t="s">
        <v>69</v>
      </c>
      <c r="F666" s="4" t="s">
        <v>95</v>
      </c>
      <c r="G666" s="4" t="s">
        <v>102</v>
      </c>
      <c r="H666" s="4" t="s">
        <v>59</v>
      </c>
      <c r="I666" s="3"/>
      <c r="J666" s="3"/>
      <c r="K666" s="3"/>
      <c r="L666" s="3"/>
      <c r="M666" s="3"/>
      <c r="N666" s="3"/>
      <c r="O666" s="3"/>
      <c r="P666" s="8"/>
      <c r="Q666" s="8"/>
      <c r="R666" s="3"/>
      <c r="S666" s="3"/>
      <c r="T666" s="3"/>
      <c r="U666" s="5" t="str">
        <f t="shared" si="39"/>
        <v/>
      </c>
    </row>
    <row r="667" spans="1:21" ht="28" customHeight="1" x14ac:dyDescent="0.35">
      <c r="A667" s="4">
        <v>9</v>
      </c>
      <c r="B667" s="4" t="s">
        <v>97</v>
      </c>
      <c r="C667" s="4" t="s">
        <v>98</v>
      </c>
      <c r="D667" s="4" t="s">
        <v>99</v>
      </c>
      <c r="E667" s="4" t="s">
        <v>69</v>
      </c>
      <c r="F667" s="4" t="s">
        <v>95</v>
      </c>
      <c r="G667" s="4" t="s">
        <v>96</v>
      </c>
      <c r="H667" s="4" t="s">
        <v>59</v>
      </c>
      <c r="I667" s="3"/>
      <c r="J667" s="3"/>
      <c r="K667" s="3"/>
      <c r="L667" s="3"/>
      <c r="M667" s="3"/>
      <c r="N667" s="3"/>
      <c r="O667" s="3"/>
      <c r="P667" s="8"/>
      <c r="Q667" s="8"/>
      <c r="R667" s="3"/>
      <c r="S667" s="3"/>
      <c r="T667" s="3"/>
      <c r="U667" s="5" t="str">
        <f t="shared" si="39"/>
        <v/>
      </c>
    </row>
    <row r="668" spans="1:21" ht="28" customHeight="1" x14ac:dyDescent="0.35">
      <c r="A668" s="4">
        <v>10</v>
      </c>
      <c r="B668" s="4" t="s">
        <v>97</v>
      </c>
      <c r="C668" s="4" t="s">
        <v>100</v>
      </c>
      <c r="D668" s="4" t="s">
        <v>101</v>
      </c>
      <c r="E668" s="4" t="s">
        <v>69</v>
      </c>
      <c r="F668" s="4" t="s">
        <v>95</v>
      </c>
      <c r="G668" s="4" t="s">
        <v>102</v>
      </c>
      <c r="H668" s="4" t="s">
        <v>59</v>
      </c>
      <c r="I668" s="3"/>
      <c r="J668" s="3"/>
      <c r="K668" s="3"/>
      <c r="L668" s="3"/>
      <c r="M668" s="3"/>
      <c r="N668" s="3"/>
      <c r="O668" s="3"/>
      <c r="P668" s="8"/>
      <c r="Q668" s="8"/>
      <c r="R668" s="3"/>
      <c r="S668" s="3"/>
      <c r="T668" s="3"/>
      <c r="U668" s="5" t="str">
        <f t="shared" si="39"/>
        <v/>
      </c>
    </row>
    <row r="669" spans="1:21" ht="28" customHeight="1" x14ac:dyDescent="0.35">
      <c r="A669" s="4">
        <v>11</v>
      </c>
      <c r="B669" s="4" t="s">
        <v>103</v>
      </c>
      <c r="C669" s="4" t="s">
        <v>104</v>
      </c>
      <c r="D669" s="4" t="s">
        <v>105</v>
      </c>
      <c r="E669" s="4" t="s">
        <v>69</v>
      </c>
      <c r="F669" s="4" t="s">
        <v>95</v>
      </c>
      <c r="G669" s="4" t="s">
        <v>96</v>
      </c>
      <c r="H669" s="4" t="s">
        <v>85</v>
      </c>
      <c r="I669" s="3"/>
      <c r="J669" s="3"/>
      <c r="K669" s="3"/>
      <c r="L669" s="3"/>
      <c r="M669" s="3"/>
      <c r="N669" s="3"/>
      <c r="O669" s="3"/>
      <c r="P669" s="8"/>
      <c r="Q669" s="8"/>
      <c r="R669" s="3"/>
      <c r="S669" s="3"/>
      <c r="T669" s="3"/>
      <c r="U669" s="5" t="str">
        <f t="shared" si="39"/>
        <v/>
      </c>
    </row>
    <row r="670" spans="1:21" ht="28" customHeight="1" x14ac:dyDescent="0.35">
      <c r="A670" s="4">
        <v>12</v>
      </c>
      <c r="B670" s="4" t="s">
        <v>106</v>
      </c>
      <c r="C670" s="4" t="s">
        <v>107</v>
      </c>
      <c r="D670" s="4" t="s">
        <v>108</v>
      </c>
      <c r="E670" s="4" t="s">
        <v>109</v>
      </c>
      <c r="F670" s="4" t="s">
        <v>95</v>
      </c>
      <c r="G670" s="4" t="s">
        <v>96</v>
      </c>
      <c r="H670" s="4" t="s">
        <v>59</v>
      </c>
      <c r="I670" s="3"/>
      <c r="J670" s="3"/>
      <c r="K670" s="3"/>
      <c r="L670" s="3"/>
      <c r="M670" s="3"/>
      <c r="N670" s="3"/>
      <c r="O670" s="3"/>
      <c r="P670" s="8"/>
      <c r="Q670" s="8"/>
      <c r="R670" s="3"/>
      <c r="S670" s="3"/>
      <c r="T670" s="3"/>
      <c r="U670" s="5" t="str">
        <f t="shared" si="39"/>
        <v/>
      </c>
    </row>
    <row r="672" spans="1:21" ht="28" customHeight="1" x14ac:dyDescent="0.35">
      <c r="A672" s="9" t="s">
        <v>110</v>
      </c>
      <c r="B672" s="16"/>
      <c r="C672" s="17"/>
      <c r="D672" s="17"/>
      <c r="E672" s="17"/>
      <c r="F672" s="17"/>
      <c r="G672" s="17"/>
      <c r="H672" s="17"/>
      <c r="I672" s="17"/>
      <c r="J672" s="17"/>
      <c r="K672" s="17"/>
      <c r="L672" s="17"/>
      <c r="M672" s="17"/>
      <c r="N672" s="17"/>
      <c r="O672" s="17"/>
      <c r="P672" s="17"/>
      <c r="Q672" s="17"/>
      <c r="R672" s="17"/>
      <c r="S672" s="17"/>
      <c r="T672" s="17"/>
      <c r="U672" s="18"/>
    </row>
    <row r="673" spans="1:21" ht="28" customHeight="1" x14ac:dyDescent="0.35">
      <c r="A673" s="19" t="s">
        <v>498</v>
      </c>
      <c r="B673" s="20"/>
      <c r="C673" s="20"/>
      <c r="D673" s="20"/>
      <c r="E673" s="20"/>
      <c r="F673" s="20"/>
      <c r="G673" s="20"/>
      <c r="H673" s="20"/>
      <c r="I673" s="20"/>
      <c r="J673" s="20"/>
      <c r="K673" s="20"/>
      <c r="L673" s="20"/>
      <c r="M673" s="20"/>
      <c r="N673" s="20"/>
      <c r="O673" s="20"/>
      <c r="P673" s="20"/>
      <c r="Q673" s="20"/>
      <c r="R673" s="20"/>
      <c r="S673" s="20"/>
      <c r="T673" s="20"/>
      <c r="U673" s="21"/>
    </row>
    <row r="674" spans="1:21" ht="28" customHeight="1" x14ac:dyDescent="0.35">
      <c r="A674" s="4" t="s">
        <v>31</v>
      </c>
      <c r="B674" s="3" t="s">
        <v>253</v>
      </c>
      <c r="C674" s="4" t="s">
        <v>32</v>
      </c>
      <c r="D674" s="3"/>
      <c r="E674" s="4" t="s">
        <v>33</v>
      </c>
      <c r="F674" s="8"/>
    </row>
    <row r="675" spans="1:21" ht="28" customHeight="1" x14ac:dyDescent="0.35">
      <c r="A675" s="1" t="s">
        <v>34</v>
      </c>
      <c r="B675" s="1" t="s">
        <v>35</v>
      </c>
      <c r="C675" s="1" t="s">
        <v>36</v>
      </c>
      <c r="D675" s="1" t="s">
        <v>37</v>
      </c>
      <c r="E675" s="1" t="s">
        <v>38</v>
      </c>
      <c r="F675" s="1" t="s">
        <v>39</v>
      </c>
      <c r="G675" s="1" t="s">
        <v>40</v>
      </c>
      <c r="H675" s="1" t="s">
        <v>41</v>
      </c>
      <c r="I675" s="1" t="s">
        <v>42</v>
      </c>
      <c r="J675" s="1" t="s">
        <v>43</v>
      </c>
      <c r="K675" s="1" t="s">
        <v>44</v>
      </c>
      <c r="L675" s="1" t="s">
        <v>45</v>
      </c>
      <c r="M675" s="1" t="s">
        <v>46</v>
      </c>
      <c r="N675" s="1" t="s">
        <v>47</v>
      </c>
      <c r="O675" s="1" t="s">
        <v>48</v>
      </c>
      <c r="P675" s="1" t="s">
        <v>4</v>
      </c>
      <c r="Q675" s="1" t="s">
        <v>49</v>
      </c>
      <c r="R675" s="1" t="s">
        <v>50</v>
      </c>
      <c r="S675" s="1" t="s">
        <v>51</v>
      </c>
      <c r="T675" s="1" t="s">
        <v>52</v>
      </c>
      <c r="U675" s="1" t="s">
        <v>10</v>
      </c>
    </row>
    <row r="676" spans="1:21" ht="28" customHeight="1" x14ac:dyDescent="0.35">
      <c r="A676" s="4">
        <v>1</v>
      </c>
      <c r="B676" s="4" t="s">
        <v>439</v>
      </c>
      <c r="C676" s="4" t="s">
        <v>440</v>
      </c>
      <c r="D676" s="4" t="s">
        <v>441</v>
      </c>
      <c r="E676" s="4" t="s">
        <v>69</v>
      </c>
      <c r="F676" s="4" t="s">
        <v>370</v>
      </c>
      <c r="G676" s="4" t="s">
        <v>204</v>
      </c>
      <c r="H676" s="4" t="s">
        <v>59</v>
      </c>
      <c r="I676" s="3"/>
      <c r="J676" s="3"/>
      <c r="K676" s="3"/>
      <c r="L676" s="3"/>
      <c r="M676" s="3"/>
      <c r="N676" s="3"/>
      <c r="O676" s="3"/>
      <c r="P676" s="8"/>
      <c r="Q676" s="8"/>
      <c r="R676" s="3"/>
      <c r="S676" s="3"/>
      <c r="T676" s="3"/>
      <c r="U676" s="5" t="str">
        <f t="shared" ref="U676:U687" si="40">IF(I676="","",IF(I676="NA","Grey",IF(I676=2,"Green",IF(I676=1,"Amber","Red"))))</f>
        <v/>
      </c>
    </row>
    <row r="677" spans="1:21" ht="28" customHeight="1" x14ac:dyDescent="0.35">
      <c r="A677" s="4">
        <v>2</v>
      </c>
      <c r="B677" s="4" t="s">
        <v>442</v>
      </c>
      <c r="C677" s="4" t="s">
        <v>443</v>
      </c>
      <c r="D677" s="4" t="s">
        <v>444</v>
      </c>
      <c r="E677" s="4" t="s">
        <v>69</v>
      </c>
      <c r="F677" s="4" t="s">
        <v>95</v>
      </c>
      <c r="G677" s="4" t="s">
        <v>102</v>
      </c>
      <c r="H677" s="4" t="s">
        <v>59</v>
      </c>
      <c r="I677" s="3"/>
      <c r="J677" s="3"/>
      <c r="K677" s="3"/>
      <c r="L677" s="3"/>
      <c r="M677" s="3"/>
      <c r="N677" s="3"/>
      <c r="O677" s="3"/>
      <c r="P677" s="8"/>
      <c r="Q677" s="8"/>
      <c r="R677" s="3"/>
      <c r="S677" s="3"/>
      <c r="T677" s="3"/>
      <c r="U677" s="5" t="str">
        <f t="shared" si="40"/>
        <v/>
      </c>
    </row>
    <row r="678" spans="1:21" ht="28" customHeight="1" x14ac:dyDescent="0.35">
      <c r="A678" s="4">
        <v>3</v>
      </c>
      <c r="B678" s="4" t="s">
        <v>445</v>
      </c>
      <c r="C678" s="4" t="s">
        <v>446</v>
      </c>
      <c r="D678" s="4" t="s">
        <v>369</v>
      </c>
      <c r="E678" s="4" t="s">
        <v>69</v>
      </c>
      <c r="F678" s="4" t="s">
        <v>370</v>
      </c>
      <c r="G678" s="4" t="s">
        <v>204</v>
      </c>
      <c r="H678" s="4" t="s">
        <v>76</v>
      </c>
      <c r="I678" s="3"/>
      <c r="J678" s="3"/>
      <c r="K678" s="3"/>
      <c r="L678" s="3"/>
      <c r="M678" s="3"/>
      <c r="N678" s="3"/>
      <c r="O678" s="3"/>
      <c r="P678" s="8"/>
      <c r="Q678" s="8"/>
      <c r="R678" s="3"/>
      <c r="S678" s="3"/>
      <c r="T678" s="3"/>
      <c r="U678" s="5" t="str">
        <f t="shared" si="40"/>
        <v/>
      </c>
    </row>
    <row r="679" spans="1:21" ht="28" customHeight="1" x14ac:dyDescent="0.35">
      <c r="A679" s="4">
        <v>4</v>
      </c>
      <c r="B679" s="4" t="s">
        <v>447</v>
      </c>
      <c r="C679" s="4" t="s">
        <v>448</v>
      </c>
      <c r="D679" s="4" t="s">
        <v>449</v>
      </c>
      <c r="E679" s="4" t="s">
        <v>109</v>
      </c>
      <c r="F679" s="4" t="s">
        <v>276</v>
      </c>
      <c r="G679" s="4" t="s">
        <v>199</v>
      </c>
      <c r="H679" s="4" t="s">
        <v>59</v>
      </c>
      <c r="I679" s="3"/>
      <c r="J679" s="3"/>
      <c r="K679" s="3"/>
      <c r="L679" s="3"/>
      <c r="M679" s="3"/>
      <c r="N679" s="3"/>
      <c r="O679" s="3"/>
      <c r="P679" s="8"/>
      <c r="Q679" s="8"/>
      <c r="R679" s="3"/>
      <c r="S679" s="3"/>
      <c r="T679" s="3"/>
      <c r="U679" s="5" t="str">
        <f t="shared" si="40"/>
        <v/>
      </c>
    </row>
    <row r="680" spans="1:21" ht="28" customHeight="1" x14ac:dyDescent="0.35">
      <c r="A680" s="4">
        <v>5</v>
      </c>
      <c r="B680" s="4" t="s">
        <v>450</v>
      </c>
      <c r="C680" s="4" t="s">
        <v>451</v>
      </c>
      <c r="D680" s="4" t="s">
        <v>452</v>
      </c>
      <c r="E680" s="4" t="s">
        <v>69</v>
      </c>
      <c r="F680" s="4" t="s">
        <v>276</v>
      </c>
      <c r="G680" s="4" t="s">
        <v>199</v>
      </c>
      <c r="H680" s="4" t="s">
        <v>59</v>
      </c>
      <c r="I680" s="3"/>
      <c r="J680" s="3"/>
      <c r="K680" s="3"/>
      <c r="L680" s="3"/>
      <c r="M680" s="3"/>
      <c r="N680" s="3"/>
      <c r="O680" s="3"/>
      <c r="P680" s="8"/>
      <c r="Q680" s="8"/>
      <c r="R680" s="3"/>
      <c r="S680" s="3"/>
      <c r="T680" s="3"/>
      <c r="U680" s="5" t="str">
        <f t="shared" si="40"/>
        <v/>
      </c>
    </row>
    <row r="681" spans="1:21" ht="28" customHeight="1" x14ac:dyDescent="0.35">
      <c r="A681" s="4">
        <v>6</v>
      </c>
      <c r="B681" s="4" t="s">
        <v>453</v>
      </c>
      <c r="C681" s="4" t="s">
        <v>454</v>
      </c>
      <c r="D681" s="4" t="s">
        <v>455</v>
      </c>
      <c r="E681" s="4" t="s">
        <v>69</v>
      </c>
      <c r="F681" s="4" t="s">
        <v>284</v>
      </c>
      <c r="G681" s="4" t="s">
        <v>204</v>
      </c>
      <c r="H681" s="4" t="s">
        <v>76</v>
      </c>
      <c r="I681" s="3"/>
      <c r="J681" s="3"/>
      <c r="K681" s="3"/>
      <c r="L681" s="3"/>
      <c r="M681" s="3"/>
      <c r="N681" s="3"/>
      <c r="O681" s="3"/>
      <c r="P681" s="8"/>
      <c r="Q681" s="8"/>
      <c r="R681" s="3"/>
      <c r="S681" s="3"/>
      <c r="T681" s="3"/>
      <c r="U681" s="5" t="str">
        <f t="shared" si="40"/>
        <v/>
      </c>
    </row>
    <row r="682" spans="1:21" ht="28" customHeight="1" x14ac:dyDescent="0.35">
      <c r="A682" s="4">
        <v>7</v>
      </c>
      <c r="B682" s="4" t="s">
        <v>456</v>
      </c>
      <c r="C682" s="4" t="s">
        <v>457</v>
      </c>
      <c r="D682" s="4" t="s">
        <v>458</v>
      </c>
      <c r="E682" s="4" t="s">
        <v>69</v>
      </c>
      <c r="F682" s="4" t="s">
        <v>459</v>
      </c>
      <c r="G682" s="4" t="s">
        <v>209</v>
      </c>
      <c r="H682" s="4" t="s">
        <v>59</v>
      </c>
      <c r="I682" s="3"/>
      <c r="J682" s="3"/>
      <c r="K682" s="3"/>
      <c r="L682" s="3"/>
      <c r="M682" s="3"/>
      <c r="N682" s="3"/>
      <c r="O682" s="3"/>
      <c r="P682" s="8"/>
      <c r="Q682" s="8"/>
      <c r="R682" s="3"/>
      <c r="S682" s="3"/>
      <c r="T682" s="3"/>
      <c r="U682" s="5" t="str">
        <f t="shared" si="40"/>
        <v/>
      </c>
    </row>
    <row r="683" spans="1:21" ht="28" customHeight="1" x14ac:dyDescent="0.35">
      <c r="A683" s="4">
        <v>8</v>
      </c>
      <c r="B683" s="4" t="s">
        <v>460</v>
      </c>
      <c r="C683" s="4" t="s">
        <v>461</v>
      </c>
      <c r="D683" s="4" t="s">
        <v>462</v>
      </c>
      <c r="E683" s="4" t="s">
        <v>69</v>
      </c>
      <c r="F683" s="4" t="s">
        <v>95</v>
      </c>
      <c r="G683" s="4" t="s">
        <v>102</v>
      </c>
      <c r="H683" s="4" t="s">
        <v>59</v>
      </c>
      <c r="I683" s="3"/>
      <c r="J683" s="3"/>
      <c r="K683" s="3"/>
      <c r="L683" s="3"/>
      <c r="M683" s="3"/>
      <c r="N683" s="3"/>
      <c r="O683" s="3"/>
      <c r="P683" s="8"/>
      <c r="Q683" s="8"/>
      <c r="R683" s="3"/>
      <c r="S683" s="3"/>
      <c r="T683" s="3"/>
      <c r="U683" s="5" t="str">
        <f t="shared" si="40"/>
        <v/>
      </c>
    </row>
    <row r="684" spans="1:21" ht="28" customHeight="1" x14ac:dyDescent="0.35">
      <c r="A684" s="4">
        <v>9</v>
      </c>
      <c r="B684" s="4" t="s">
        <v>97</v>
      </c>
      <c r="C684" s="4" t="s">
        <v>98</v>
      </c>
      <c r="D684" s="4" t="s">
        <v>99</v>
      </c>
      <c r="E684" s="4" t="s">
        <v>69</v>
      </c>
      <c r="F684" s="4" t="s">
        <v>95</v>
      </c>
      <c r="G684" s="4" t="s">
        <v>96</v>
      </c>
      <c r="H684" s="4" t="s">
        <v>59</v>
      </c>
      <c r="I684" s="3"/>
      <c r="J684" s="3"/>
      <c r="K684" s="3"/>
      <c r="L684" s="3"/>
      <c r="M684" s="3"/>
      <c r="N684" s="3"/>
      <c r="O684" s="3"/>
      <c r="P684" s="8"/>
      <c r="Q684" s="8"/>
      <c r="R684" s="3"/>
      <c r="S684" s="3"/>
      <c r="T684" s="3"/>
      <c r="U684" s="5" t="str">
        <f t="shared" si="40"/>
        <v/>
      </c>
    </row>
    <row r="685" spans="1:21" ht="28" customHeight="1" x14ac:dyDescent="0.35">
      <c r="A685" s="4">
        <v>10</v>
      </c>
      <c r="B685" s="4" t="s">
        <v>97</v>
      </c>
      <c r="C685" s="4" t="s">
        <v>100</v>
      </c>
      <c r="D685" s="4" t="s">
        <v>101</v>
      </c>
      <c r="E685" s="4" t="s">
        <v>69</v>
      </c>
      <c r="F685" s="4" t="s">
        <v>95</v>
      </c>
      <c r="G685" s="4" t="s">
        <v>102</v>
      </c>
      <c r="H685" s="4" t="s">
        <v>59</v>
      </c>
      <c r="I685" s="3"/>
      <c r="J685" s="3"/>
      <c r="K685" s="3"/>
      <c r="L685" s="3"/>
      <c r="M685" s="3"/>
      <c r="N685" s="3"/>
      <c r="O685" s="3"/>
      <c r="P685" s="8"/>
      <c r="Q685" s="8"/>
      <c r="R685" s="3"/>
      <c r="S685" s="3"/>
      <c r="T685" s="3"/>
      <c r="U685" s="5" t="str">
        <f t="shared" si="40"/>
        <v/>
      </c>
    </row>
    <row r="686" spans="1:21" ht="28" customHeight="1" x14ac:dyDescent="0.35">
      <c r="A686" s="4">
        <v>11</v>
      </c>
      <c r="B686" s="4" t="s">
        <v>103</v>
      </c>
      <c r="C686" s="4" t="s">
        <v>104</v>
      </c>
      <c r="D686" s="4" t="s">
        <v>105</v>
      </c>
      <c r="E686" s="4" t="s">
        <v>69</v>
      </c>
      <c r="F686" s="4" t="s">
        <v>95</v>
      </c>
      <c r="G686" s="4" t="s">
        <v>96</v>
      </c>
      <c r="H686" s="4" t="s">
        <v>85</v>
      </c>
      <c r="I686" s="3"/>
      <c r="J686" s="3"/>
      <c r="K686" s="3"/>
      <c r="L686" s="3"/>
      <c r="M686" s="3"/>
      <c r="N686" s="3"/>
      <c r="O686" s="3"/>
      <c r="P686" s="8"/>
      <c r="Q686" s="8"/>
      <c r="R686" s="3"/>
      <c r="S686" s="3"/>
      <c r="T686" s="3"/>
      <c r="U686" s="5" t="str">
        <f t="shared" si="40"/>
        <v/>
      </c>
    </row>
    <row r="687" spans="1:21" ht="28" customHeight="1" x14ac:dyDescent="0.35">
      <c r="A687" s="4">
        <v>12</v>
      </c>
      <c r="B687" s="4" t="s">
        <v>106</v>
      </c>
      <c r="C687" s="4" t="s">
        <v>107</v>
      </c>
      <c r="D687" s="4" t="s">
        <v>108</v>
      </c>
      <c r="E687" s="4" t="s">
        <v>109</v>
      </c>
      <c r="F687" s="4" t="s">
        <v>95</v>
      </c>
      <c r="G687" s="4" t="s">
        <v>96</v>
      </c>
      <c r="H687" s="4" t="s">
        <v>59</v>
      </c>
      <c r="I687" s="3"/>
      <c r="J687" s="3"/>
      <c r="K687" s="3"/>
      <c r="L687" s="3"/>
      <c r="M687" s="3"/>
      <c r="N687" s="3"/>
      <c r="O687" s="3"/>
      <c r="P687" s="8"/>
      <c r="Q687" s="8"/>
      <c r="R687" s="3"/>
      <c r="S687" s="3"/>
      <c r="T687" s="3"/>
      <c r="U687" s="5" t="str">
        <f t="shared" si="40"/>
        <v/>
      </c>
    </row>
    <row r="689" spans="1:21" ht="28" customHeight="1" x14ac:dyDescent="0.35">
      <c r="A689" s="9" t="s">
        <v>110</v>
      </c>
      <c r="B689" s="16"/>
      <c r="C689" s="17"/>
      <c r="D689" s="17"/>
      <c r="E689" s="17"/>
      <c r="F689" s="17"/>
      <c r="G689" s="17"/>
      <c r="H689" s="17"/>
      <c r="I689" s="17"/>
      <c r="J689" s="17"/>
      <c r="K689" s="17"/>
      <c r="L689" s="17"/>
      <c r="M689" s="17"/>
      <c r="N689" s="17"/>
      <c r="O689" s="17"/>
      <c r="P689" s="17"/>
      <c r="Q689" s="17"/>
      <c r="R689" s="17"/>
      <c r="S689" s="17"/>
      <c r="T689" s="17"/>
      <c r="U689" s="18"/>
    </row>
    <row r="690" spans="1:21" ht="28" customHeight="1" x14ac:dyDescent="0.35">
      <c r="A690" s="19" t="s">
        <v>499</v>
      </c>
      <c r="B690" s="20"/>
      <c r="C690" s="20"/>
      <c r="D690" s="20"/>
      <c r="E690" s="20"/>
      <c r="F690" s="20"/>
      <c r="G690" s="20"/>
      <c r="H690" s="20"/>
      <c r="I690" s="20"/>
      <c r="J690" s="20"/>
      <c r="K690" s="20"/>
      <c r="L690" s="20"/>
      <c r="M690" s="20"/>
      <c r="N690" s="20"/>
      <c r="O690" s="20"/>
      <c r="P690" s="20"/>
      <c r="Q690" s="20"/>
      <c r="R690" s="20"/>
      <c r="S690" s="20"/>
      <c r="T690" s="20"/>
      <c r="U690" s="21"/>
    </row>
    <row r="691" spans="1:21" ht="28" customHeight="1" x14ac:dyDescent="0.35">
      <c r="A691" s="4" t="s">
        <v>31</v>
      </c>
      <c r="B691" s="3" t="s">
        <v>254</v>
      </c>
      <c r="C691" s="4" t="s">
        <v>32</v>
      </c>
      <c r="D691" s="3"/>
      <c r="E691" s="4" t="s">
        <v>33</v>
      </c>
      <c r="F691" s="8"/>
    </row>
    <row r="692" spans="1:21" ht="28" customHeight="1" x14ac:dyDescent="0.35">
      <c r="A692" s="1" t="s">
        <v>34</v>
      </c>
      <c r="B692" s="1" t="s">
        <v>35</v>
      </c>
      <c r="C692" s="1" t="s">
        <v>36</v>
      </c>
      <c r="D692" s="1" t="s">
        <v>37</v>
      </c>
      <c r="E692" s="1" t="s">
        <v>38</v>
      </c>
      <c r="F692" s="1" t="s">
        <v>39</v>
      </c>
      <c r="G692" s="1" t="s">
        <v>40</v>
      </c>
      <c r="H692" s="1" t="s">
        <v>41</v>
      </c>
      <c r="I692" s="1" t="s">
        <v>42</v>
      </c>
      <c r="J692" s="1" t="s">
        <v>43</v>
      </c>
      <c r="K692" s="1" t="s">
        <v>44</v>
      </c>
      <c r="L692" s="1" t="s">
        <v>45</v>
      </c>
      <c r="M692" s="1" t="s">
        <v>46</v>
      </c>
      <c r="N692" s="1" t="s">
        <v>47</v>
      </c>
      <c r="O692" s="1" t="s">
        <v>48</v>
      </c>
      <c r="P692" s="1" t="s">
        <v>4</v>
      </c>
      <c r="Q692" s="1" t="s">
        <v>49</v>
      </c>
      <c r="R692" s="1" t="s">
        <v>50</v>
      </c>
      <c r="S692" s="1" t="s">
        <v>51</v>
      </c>
      <c r="T692" s="1" t="s">
        <v>52</v>
      </c>
      <c r="U692" s="1" t="s">
        <v>10</v>
      </c>
    </row>
    <row r="693" spans="1:21" ht="28" customHeight="1" x14ac:dyDescent="0.35">
      <c r="A693" s="4">
        <v>1</v>
      </c>
      <c r="B693" s="4" t="s">
        <v>439</v>
      </c>
      <c r="C693" s="4" t="s">
        <v>440</v>
      </c>
      <c r="D693" s="4" t="s">
        <v>441</v>
      </c>
      <c r="E693" s="4" t="s">
        <v>69</v>
      </c>
      <c r="F693" s="4" t="s">
        <v>370</v>
      </c>
      <c r="G693" s="4" t="s">
        <v>204</v>
      </c>
      <c r="H693" s="4" t="s">
        <v>59</v>
      </c>
      <c r="I693" s="3"/>
      <c r="J693" s="3"/>
      <c r="K693" s="3"/>
      <c r="L693" s="3"/>
      <c r="M693" s="3"/>
      <c r="N693" s="3"/>
      <c r="O693" s="3"/>
      <c r="P693" s="8"/>
      <c r="Q693" s="8"/>
      <c r="R693" s="3"/>
      <c r="S693" s="3"/>
      <c r="T693" s="3"/>
      <c r="U693" s="5" t="str">
        <f t="shared" ref="U693:U704" si="41">IF(I693="","",IF(I693="NA","Grey",IF(I693=2,"Green",IF(I693=1,"Amber","Red"))))</f>
        <v/>
      </c>
    </row>
    <row r="694" spans="1:21" ht="28" customHeight="1" x14ac:dyDescent="0.35">
      <c r="A694" s="4">
        <v>2</v>
      </c>
      <c r="B694" s="4" t="s">
        <v>442</v>
      </c>
      <c r="C694" s="4" t="s">
        <v>443</v>
      </c>
      <c r="D694" s="4" t="s">
        <v>444</v>
      </c>
      <c r="E694" s="4" t="s">
        <v>69</v>
      </c>
      <c r="F694" s="4" t="s">
        <v>95</v>
      </c>
      <c r="G694" s="4" t="s">
        <v>102</v>
      </c>
      <c r="H694" s="4" t="s">
        <v>59</v>
      </c>
      <c r="I694" s="3"/>
      <c r="J694" s="3"/>
      <c r="K694" s="3"/>
      <c r="L694" s="3"/>
      <c r="M694" s="3"/>
      <c r="N694" s="3"/>
      <c r="O694" s="3"/>
      <c r="P694" s="8"/>
      <c r="Q694" s="8"/>
      <c r="R694" s="3"/>
      <c r="S694" s="3"/>
      <c r="T694" s="3"/>
      <c r="U694" s="5" t="str">
        <f t="shared" si="41"/>
        <v/>
      </c>
    </row>
    <row r="695" spans="1:21" ht="28" customHeight="1" x14ac:dyDescent="0.35">
      <c r="A695" s="4">
        <v>3</v>
      </c>
      <c r="B695" s="4" t="s">
        <v>445</v>
      </c>
      <c r="C695" s="4" t="s">
        <v>446</v>
      </c>
      <c r="D695" s="4" t="s">
        <v>369</v>
      </c>
      <c r="E695" s="4" t="s">
        <v>69</v>
      </c>
      <c r="F695" s="4" t="s">
        <v>370</v>
      </c>
      <c r="G695" s="4" t="s">
        <v>204</v>
      </c>
      <c r="H695" s="4" t="s">
        <v>76</v>
      </c>
      <c r="I695" s="3"/>
      <c r="J695" s="3"/>
      <c r="K695" s="3"/>
      <c r="L695" s="3"/>
      <c r="M695" s="3"/>
      <c r="N695" s="3"/>
      <c r="O695" s="3"/>
      <c r="P695" s="8"/>
      <c r="Q695" s="8"/>
      <c r="R695" s="3"/>
      <c r="S695" s="3"/>
      <c r="T695" s="3"/>
      <c r="U695" s="5" t="str">
        <f t="shared" si="41"/>
        <v/>
      </c>
    </row>
    <row r="696" spans="1:21" ht="28" customHeight="1" x14ac:dyDescent="0.35">
      <c r="A696" s="4">
        <v>4</v>
      </c>
      <c r="B696" s="4" t="s">
        <v>447</v>
      </c>
      <c r="C696" s="4" t="s">
        <v>448</v>
      </c>
      <c r="D696" s="4" t="s">
        <v>449</v>
      </c>
      <c r="E696" s="4" t="s">
        <v>109</v>
      </c>
      <c r="F696" s="4" t="s">
        <v>276</v>
      </c>
      <c r="G696" s="4" t="s">
        <v>199</v>
      </c>
      <c r="H696" s="4" t="s">
        <v>59</v>
      </c>
      <c r="I696" s="3"/>
      <c r="J696" s="3"/>
      <c r="K696" s="3"/>
      <c r="L696" s="3"/>
      <c r="M696" s="3"/>
      <c r="N696" s="3"/>
      <c r="O696" s="3"/>
      <c r="P696" s="8"/>
      <c r="Q696" s="8"/>
      <c r="R696" s="3"/>
      <c r="S696" s="3"/>
      <c r="T696" s="3"/>
      <c r="U696" s="5" t="str">
        <f t="shared" si="41"/>
        <v/>
      </c>
    </row>
    <row r="697" spans="1:21" ht="28" customHeight="1" x14ac:dyDescent="0.35">
      <c r="A697" s="4">
        <v>5</v>
      </c>
      <c r="B697" s="4" t="s">
        <v>450</v>
      </c>
      <c r="C697" s="4" t="s">
        <v>451</v>
      </c>
      <c r="D697" s="4" t="s">
        <v>452</v>
      </c>
      <c r="E697" s="4" t="s">
        <v>69</v>
      </c>
      <c r="F697" s="4" t="s">
        <v>276</v>
      </c>
      <c r="G697" s="4" t="s">
        <v>199</v>
      </c>
      <c r="H697" s="4" t="s">
        <v>59</v>
      </c>
      <c r="I697" s="3"/>
      <c r="J697" s="3"/>
      <c r="K697" s="3"/>
      <c r="L697" s="3"/>
      <c r="M697" s="3"/>
      <c r="N697" s="3"/>
      <c r="O697" s="3"/>
      <c r="P697" s="8"/>
      <c r="Q697" s="8"/>
      <c r="R697" s="3"/>
      <c r="S697" s="3"/>
      <c r="T697" s="3"/>
      <c r="U697" s="5" t="str">
        <f t="shared" si="41"/>
        <v/>
      </c>
    </row>
    <row r="698" spans="1:21" ht="28" customHeight="1" x14ac:dyDescent="0.35">
      <c r="A698" s="4">
        <v>6</v>
      </c>
      <c r="B698" s="4" t="s">
        <v>453</v>
      </c>
      <c r="C698" s="4" t="s">
        <v>454</v>
      </c>
      <c r="D698" s="4" t="s">
        <v>455</v>
      </c>
      <c r="E698" s="4" t="s">
        <v>69</v>
      </c>
      <c r="F698" s="4" t="s">
        <v>284</v>
      </c>
      <c r="G698" s="4" t="s">
        <v>204</v>
      </c>
      <c r="H698" s="4" t="s">
        <v>76</v>
      </c>
      <c r="I698" s="3"/>
      <c r="J698" s="3"/>
      <c r="K698" s="3"/>
      <c r="L698" s="3"/>
      <c r="M698" s="3"/>
      <c r="N698" s="3"/>
      <c r="O698" s="3"/>
      <c r="P698" s="8"/>
      <c r="Q698" s="8"/>
      <c r="R698" s="3"/>
      <c r="S698" s="3"/>
      <c r="T698" s="3"/>
      <c r="U698" s="5" t="str">
        <f t="shared" si="41"/>
        <v/>
      </c>
    </row>
    <row r="699" spans="1:21" ht="28" customHeight="1" x14ac:dyDescent="0.35">
      <c r="A699" s="4">
        <v>7</v>
      </c>
      <c r="B699" s="4" t="s">
        <v>456</v>
      </c>
      <c r="C699" s="4" t="s">
        <v>457</v>
      </c>
      <c r="D699" s="4" t="s">
        <v>458</v>
      </c>
      <c r="E699" s="4" t="s">
        <v>69</v>
      </c>
      <c r="F699" s="4" t="s">
        <v>459</v>
      </c>
      <c r="G699" s="4" t="s">
        <v>209</v>
      </c>
      <c r="H699" s="4" t="s">
        <v>59</v>
      </c>
      <c r="I699" s="3"/>
      <c r="J699" s="3"/>
      <c r="K699" s="3"/>
      <c r="L699" s="3"/>
      <c r="M699" s="3"/>
      <c r="N699" s="3"/>
      <c r="O699" s="3"/>
      <c r="P699" s="8"/>
      <c r="Q699" s="8"/>
      <c r="R699" s="3"/>
      <c r="S699" s="3"/>
      <c r="T699" s="3"/>
      <c r="U699" s="5" t="str">
        <f t="shared" si="41"/>
        <v/>
      </c>
    </row>
    <row r="700" spans="1:21" ht="28" customHeight="1" x14ac:dyDescent="0.35">
      <c r="A700" s="4">
        <v>8</v>
      </c>
      <c r="B700" s="4" t="s">
        <v>460</v>
      </c>
      <c r="C700" s="4" t="s">
        <v>461</v>
      </c>
      <c r="D700" s="4" t="s">
        <v>462</v>
      </c>
      <c r="E700" s="4" t="s">
        <v>69</v>
      </c>
      <c r="F700" s="4" t="s">
        <v>95</v>
      </c>
      <c r="G700" s="4" t="s">
        <v>102</v>
      </c>
      <c r="H700" s="4" t="s">
        <v>59</v>
      </c>
      <c r="I700" s="3"/>
      <c r="J700" s="3"/>
      <c r="K700" s="3"/>
      <c r="L700" s="3"/>
      <c r="M700" s="3"/>
      <c r="N700" s="3"/>
      <c r="O700" s="3"/>
      <c r="P700" s="8"/>
      <c r="Q700" s="8"/>
      <c r="R700" s="3"/>
      <c r="S700" s="3"/>
      <c r="T700" s="3"/>
      <c r="U700" s="5" t="str">
        <f t="shared" si="41"/>
        <v/>
      </c>
    </row>
    <row r="701" spans="1:21" ht="28" customHeight="1" x14ac:dyDescent="0.35">
      <c r="A701" s="4">
        <v>9</v>
      </c>
      <c r="B701" s="4" t="s">
        <v>97</v>
      </c>
      <c r="C701" s="4" t="s">
        <v>98</v>
      </c>
      <c r="D701" s="4" t="s">
        <v>99</v>
      </c>
      <c r="E701" s="4" t="s">
        <v>69</v>
      </c>
      <c r="F701" s="4" t="s">
        <v>95</v>
      </c>
      <c r="G701" s="4" t="s">
        <v>96</v>
      </c>
      <c r="H701" s="4" t="s">
        <v>59</v>
      </c>
      <c r="I701" s="3"/>
      <c r="J701" s="3"/>
      <c r="K701" s="3"/>
      <c r="L701" s="3"/>
      <c r="M701" s="3"/>
      <c r="N701" s="3"/>
      <c r="O701" s="3"/>
      <c r="P701" s="8"/>
      <c r="Q701" s="8"/>
      <c r="R701" s="3"/>
      <c r="S701" s="3"/>
      <c r="T701" s="3"/>
      <c r="U701" s="5" t="str">
        <f t="shared" si="41"/>
        <v/>
      </c>
    </row>
    <row r="702" spans="1:21" ht="28" customHeight="1" x14ac:dyDescent="0.35">
      <c r="A702" s="4">
        <v>10</v>
      </c>
      <c r="B702" s="4" t="s">
        <v>97</v>
      </c>
      <c r="C702" s="4" t="s">
        <v>100</v>
      </c>
      <c r="D702" s="4" t="s">
        <v>101</v>
      </c>
      <c r="E702" s="4" t="s">
        <v>69</v>
      </c>
      <c r="F702" s="4" t="s">
        <v>95</v>
      </c>
      <c r="G702" s="4" t="s">
        <v>102</v>
      </c>
      <c r="H702" s="4" t="s">
        <v>59</v>
      </c>
      <c r="I702" s="3"/>
      <c r="J702" s="3"/>
      <c r="K702" s="3"/>
      <c r="L702" s="3"/>
      <c r="M702" s="3"/>
      <c r="N702" s="3"/>
      <c r="O702" s="3"/>
      <c r="P702" s="8"/>
      <c r="Q702" s="8"/>
      <c r="R702" s="3"/>
      <c r="S702" s="3"/>
      <c r="T702" s="3"/>
      <c r="U702" s="5" t="str">
        <f t="shared" si="41"/>
        <v/>
      </c>
    </row>
    <row r="703" spans="1:21" ht="28" customHeight="1" x14ac:dyDescent="0.35">
      <c r="A703" s="4">
        <v>11</v>
      </c>
      <c r="B703" s="4" t="s">
        <v>103</v>
      </c>
      <c r="C703" s="4" t="s">
        <v>104</v>
      </c>
      <c r="D703" s="4" t="s">
        <v>105</v>
      </c>
      <c r="E703" s="4" t="s">
        <v>69</v>
      </c>
      <c r="F703" s="4" t="s">
        <v>95</v>
      </c>
      <c r="G703" s="4" t="s">
        <v>96</v>
      </c>
      <c r="H703" s="4" t="s">
        <v>85</v>
      </c>
      <c r="I703" s="3"/>
      <c r="J703" s="3"/>
      <c r="K703" s="3"/>
      <c r="L703" s="3"/>
      <c r="M703" s="3"/>
      <c r="N703" s="3"/>
      <c r="O703" s="3"/>
      <c r="P703" s="8"/>
      <c r="Q703" s="8"/>
      <c r="R703" s="3"/>
      <c r="S703" s="3"/>
      <c r="T703" s="3"/>
      <c r="U703" s="5" t="str">
        <f t="shared" si="41"/>
        <v/>
      </c>
    </row>
    <row r="704" spans="1:21" ht="28" customHeight="1" x14ac:dyDescent="0.35">
      <c r="A704" s="4">
        <v>12</v>
      </c>
      <c r="B704" s="4" t="s">
        <v>106</v>
      </c>
      <c r="C704" s="4" t="s">
        <v>107</v>
      </c>
      <c r="D704" s="4" t="s">
        <v>108</v>
      </c>
      <c r="E704" s="4" t="s">
        <v>109</v>
      </c>
      <c r="F704" s="4" t="s">
        <v>95</v>
      </c>
      <c r="G704" s="4" t="s">
        <v>96</v>
      </c>
      <c r="H704" s="4" t="s">
        <v>59</v>
      </c>
      <c r="I704" s="3"/>
      <c r="J704" s="3"/>
      <c r="K704" s="3"/>
      <c r="L704" s="3"/>
      <c r="M704" s="3"/>
      <c r="N704" s="3"/>
      <c r="O704" s="3"/>
      <c r="P704" s="8"/>
      <c r="Q704" s="8"/>
      <c r="R704" s="3"/>
      <c r="S704" s="3"/>
      <c r="T704" s="3"/>
      <c r="U704" s="5" t="str">
        <f t="shared" si="41"/>
        <v/>
      </c>
    </row>
    <row r="706" spans="1:21" ht="28" customHeight="1" x14ac:dyDescent="0.35">
      <c r="A706" s="9" t="s">
        <v>110</v>
      </c>
      <c r="B706" s="16"/>
      <c r="C706" s="17"/>
      <c r="D706" s="17"/>
      <c r="E706" s="17"/>
      <c r="F706" s="17"/>
      <c r="G706" s="17"/>
      <c r="H706" s="17"/>
      <c r="I706" s="17"/>
      <c r="J706" s="17"/>
      <c r="K706" s="17"/>
      <c r="L706" s="17"/>
      <c r="M706" s="17"/>
      <c r="N706" s="17"/>
      <c r="O706" s="17"/>
      <c r="P706" s="17"/>
      <c r="Q706" s="17"/>
      <c r="R706" s="17"/>
      <c r="S706" s="17"/>
      <c r="T706" s="17"/>
      <c r="U706" s="18"/>
    </row>
    <row r="707" spans="1:21" ht="28" customHeight="1" x14ac:dyDescent="0.35">
      <c r="A707" s="19" t="s">
        <v>500</v>
      </c>
      <c r="B707" s="20"/>
      <c r="C707" s="20"/>
      <c r="D707" s="20"/>
      <c r="E707" s="20"/>
      <c r="F707" s="20"/>
      <c r="G707" s="20"/>
      <c r="H707" s="20"/>
      <c r="I707" s="20"/>
      <c r="J707" s="20"/>
      <c r="K707" s="20"/>
      <c r="L707" s="20"/>
      <c r="M707" s="20"/>
      <c r="N707" s="20"/>
      <c r="O707" s="20"/>
      <c r="P707" s="20"/>
      <c r="Q707" s="20"/>
      <c r="R707" s="20"/>
      <c r="S707" s="20"/>
      <c r="T707" s="20"/>
      <c r="U707" s="21"/>
    </row>
    <row r="708" spans="1:21" ht="28" customHeight="1" x14ac:dyDescent="0.35">
      <c r="A708" s="4" t="s">
        <v>31</v>
      </c>
      <c r="B708" s="3" t="s">
        <v>255</v>
      </c>
      <c r="C708" s="4" t="s">
        <v>32</v>
      </c>
      <c r="D708" s="3"/>
      <c r="E708" s="4" t="s">
        <v>33</v>
      </c>
      <c r="F708" s="8"/>
    </row>
    <row r="709" spans="1:21" ht="28" customHeight="1" x14ac:dyDescent="0.35">
      <c r="A709" s="1" t="s">
        <v>34</v>
      </c>
      <c r="B709" s="1" t="s">
        <v>35</v>
      </c>
      <c r="C709" s="1" t="s">
        <v>36</v>
      </c>
      <c r="D709" s="1" t="s">
        <v>37</v>
      </c>
      <c r="E709" s="1" t="s">
        <v>38</v>
      </c>
      <c r="F709" s="1" t="s">
        <v>39</v>
      </c>
      <c r="G709" s="1" t="s">
        <v>40</v>
      </c>
      <c r="H709" s="1" t="s">
        <v>41</v>
      </c>
      <c r="I709" s="1" t="s">
        <v>42</v>
      </c>
      <c r="J709" s="1" t="s">
        <v>43</v>
      </c>
      <c r="K709" s="1" t="s">
        <v>44</v>
      </c>
      <c r="L709" s="1" t="s">
        <v>45</v>
      </c>
      <c r="M709" s="1" t="s">
        <v>46</v>
      </c>
      <c r="N709" s="1" t="s">
        <v>47</v>
      </c>
      <c r="O709" s="1" t="s">
        <v>48</v>
      </c>
      <c r="P709" s="1" t="s">
        <v>4</v>
      </c>
      <c r="Q709" s="1" t="s">
        <v>49</v>
      </c>
      <c r="R709" s="1" t="s">
        <v>50</v>
      </c>
      <c r="S709" s="1" t="s">
        <v>51</v>
      </c>
      <c r="T709" s="1" t="s">
        <v>52</v>
      </c>
      <c r="U709" s="1" t="s">
        <v>10</v>
      </c>
    </row>
    <row r="710" spans="1:21" ht="28" customHeight="1" x14ac:dyDescent="0.35">
      <c r="A710" s="4">
        <v>1</v>
      </c>
      <c r="B710" s="4" t="s">
        <v>439</v>
      </c>
      <c r="C710" s="4" t="s">
        <v>440</v>
      </c>
      <c r="D710" s="4" t="s">
        <v>441</v>
      </c>
      <c r="E710" s="4" t="s">
        <v>69</v>
      </c>
      <c r="F710" s="4" t="s">
        <v>370</v>
      </c>
      <c r="G710" s="4" t="s">
        <v>204</v>
      </c>
      <c r="H710" s="4" t="s">
        <v>59</v>
      </c>
      <c r="I710" s="3"/>
      <c r="J710" s="3"/>
      <c r="K710" s="3"/>
      <c r="L710" s="3"/>
      <c r="M710" s="3"/>
      <c r="N710" s="3"/>
      <c r="O710" s="3"/>
      <c r="P710" s="8"/>
      <c r="Q710" s="8"/>
      <c r="R710" s="3"/>
      <c r="S710" s="3"/>
      <c r="T710" s="3"/>
      <c r="U710" s="5" t="str">
        <f t="shared" ref="U710:U721" si="42">IF(I710="","",IF(I710="NA","Grey",IF(I710=2,"Green",IF(I710=1,"Amber","Red"))))</f>
        <v/>
      </c>
    </row>
    <row r="711" spans="1:21" ht="28" customHeight="1" x14ac:dyDescent="0.35">
      <c r="A711" s="4">
        <v>2</v>
      </c>
      <c r="B711" s="4" t="s">
        <v>442</v>
      </c>
      <c r="C711" s="4" t="s">
        <v>443</v>
      </c>
      <c r="D711" s="4" t="s">
        <v>444</v>
      </c>
      <c r="E711" s="4" t="s">
        <v>69</v>
      </c>
      <c r="F711" s="4" t="s">
        <v>95</v>
      </c>
      <c r="G711" s="4" t="s">
        <v>102</v>
      </c>
      <c r="H711" s="4" t="s">
        <v>59</v>
      </c>
      <c r="I711" s="3"/>
      <c r="J711" s="3"/>
      <c r="K711" s="3"/>
      <c r="L711" s="3"/>
      <c r="M711" s="3"/>
      <c r="N711" s="3"/>
      <c r="O711" s="3"/>
      <c r="P711" s="8"/>
      <c r="Q711" s="8"/>
      <c r="R711" s="3"/>
      <c r="S711" s="3"/>
      <c r="T711" s="3"/>
      <c r="U711" s="5" t="str">
        <f t="shared" si="42"/>
        <v/>
      </c>
    </row>
    <row r="712" spans="1:21" ht="28" customHeight="1" x14ac:dyDescent="0.35">
      <c r="A712" s="4">
        <v>3</v>
      </c>
      <c r="B712" s="4" t="s">
        <v>445</v>
      </c>
      <c r="C712" s="4" t="s">
        <v>446</v>
      </c>
      <c r="D712" s="4" t="s">
        <v>369</v>
      </c>
      <c r="E712" s="4" t="s">
        <v>69</v>
      </c>
      <c r="F712" s="4" t="s">
        <v>370</v>
      </c>
      <c r="G712" s="4" t="s">
        <v>204</v>
      </c>
      <c r="H712" s="4" t="s">
        <v>76</v>
      </c>
      <c r="I712" s="3"/>
      <c r="J712" s="3"/>
      <c r="K712" s="3"/>
      <c r="L712" s="3"/>
      <c r="M712" s="3"/>
      <c r="N712" s="3"/>
      <c r="O712" s="3"/>
      <c r="P712" s="8"/>
      <c r="Q712" s="8"/>
      <c r="R712" s="3"/>
      <c r="S712" s="3"/>
      <c r="T712" s="3"/>
      <c r="U712" s="5" t="str">
        <f t="shared" si="42"/>
        <v/>
      </c>
    </row>
    <row r="713" spans="1:21" ht="28" customHeight="1" x14ac:dyDescent="0.35">
      <c r="A713" s="4">
        <v>4</v>
      </c>
      <c r="B713" s="4" t="s">
        <v>447</v>
      </c>
      <c r="C713" s="4" t="s">
        <v>448</v>
      </c>
      <c r="D713" s="4" t="s">
        <v>449</v>
      </c>
      <c r="E713" s="4" t="s">
        <v>109</v>
      </c>
      <c r="F713" s="4" t="s">
        <v>276</v>
      </c>
      <c r="G713" s="4" t="s">
        <v>199</v>
      </c>
      <c r="H713" s="4" t="s">
        <v>59</v>
      </c>
      <c r="I713" s="3"/>
      <c r="J713" s="3"/>
      <c r="K713" s="3"/>
      <c r="L713" s="3"/>
      <c r="M713" s="3"/>
      <c r="N713" s="3"/>
      <c r="O713" s="3"/>
      <c r="P713" s="8"/>
      <c r="Q713" s="8"/>
      <c r="R713" s="3"/>
      <c r="S713" s="3"/>
      <c r="T713" s="3"/>
      <c r="U713" s="5" t="str">
        <f t="shared" si="42"/>
        <v/>
      </c>
    </row>
    <row r="714" spans="1:21" ht="28" customHeight="1" x14ac:dyDescent="0.35">
      <c r="A714" s="4">
        <v>5</v>
      </c>
      <c r="B714" s="4" t="s">
        <v>450</v>
      </c>
      <c r="C714" s="4" t="s">
        <v>451</v>
      </c>
      <c r="D714" s="4" t="s">
        <v>452</v>
      </c>
      <c r="E714" s="4" t="s">
        <v>69</v>
      </c>
      <c r="F714" s="4" t="s">
        <v>276</v>
      </c>
      <c r="G714" s="4" t="s">
        <v>199</v>
      </c>
      <c r="H714" s="4" t="s">
        <v>59</v>
      </c>
      <c r="I714" s="3"/>
      <c r="J714" s="3"/>
      <c r="K714" s="3"/>
      <c r="L714" s="3"/>
      <c r="M714" s="3"/>
      <c r="N714" s="3"/>
      <c r="O714" s="3"/>
      <c r="P714" s="8"/>
      <c r="Q714" s="8"/>
      <c r="R714" s="3"/>
      <c r="S714" s="3"/>
      <c r="T714" s="3"/>
      <c r="U714" s="5" t="str">
        <f t="shared" si="42"/>
        <v/>
      </c>
    </row>
    <row r="715" spans="1:21" ht="28" customHeight="1" x14ac:dyDescent="0.35">
      <c r="A715" s="4">
        <v>6</v>
      </c>
      <c r="B715" s="4" t="s">
        <v>453</v>
      </c>
      <c r="C715" s="4" t="s">
        <v>454</v>
      </c>
      <c r="D715" s="4" t="s">
        <v>455</v>
      </c>
      <c r="E715" s="4" t="s">
        <v>69</v>
      </c>
      <c r="F715" s="4" t="s">
        <v>284</v>
      </c>
      <c r="G715" s="4" t="s">
        <v>204</v>
      </c>
      <c r="H715" s="4" t="s">
        <v>76</v>
      </c>
      <c r="I715" s="3"/>
      <c r="J715" s="3"/>
      <c r="K715" s="3"/>
      <c r="L715" s="3"/>
      <c r="M715" s="3"/>
      <c r="N715" s="3"/>
      <c r="O715" s="3"/>
      <c r="P715" s="8"/>
      <c r="Q715" s="8"/>
      <c r="R715" s="3"/>
      <c r="S715" s="3"/>
      <c r="T715" s="3"/>
      <c r="U715" s="5" t="str">
        <f t="shared" si="42"/>
        <v/>
      </c>
    </row>
    <row r="716" spans="1:21" ht="28" customHeight="1" x14ac:dyDescent="0.35">
      <c r="A716" s="4">
        <v>7</v>
      </c>
      <c r="B716" s="4" t="s">
        <v>456</v>
      </c>
      <c r="C716" s="4" t="s">
        <v>457</v>
      </c>
      <c r="D716" s="4" t="s">
        <v>458</v>
      </c>
      <c r="E716" s="4" t="s">
        <v>69</v>
      </c>
      <c r="F716" s="4" t="s">
        <v>459</v>
      </c>
      <c r="G716" s="4" t="s">
        <v>209</v>
      </c>
      <c r="H716" s="4" t="s">
        <v>59</v>
      </c>
      <c r="I716" s="3"/>
      <c r="J716" s="3"/>
      <c r="K716" s="3"/>
      <c r="L716" s="3"/>
      <c r="M716" s="3"/>
      <c r="N716" s="3"/>
      <c r="O716" s="3"/>
      <c r="P716" s="8"/>
      <c r="Q716" s="8"/>
      <c r="R716" s="3"/>
      <c r="S716" s="3"/>
      <c r="T716" s="3"/>
      <c r="U716" s="5" t="str">
        <f t="shared" si="42"/>
        <v/>
      </c>
    </row>
    <row r="717" spans="1:21" ht="28" customHeight="1" x14ac:dyDescent="0.35">
      <c r="A717" s="4">
        <v>8</v>
      </c>
      <c r="B717" s="4" t="s">
        <v>460</v>
      </c>
      <c r="C717" s="4" t="s">
        <v>461</v>
      </c>
      <c r="D717" s="4" t="s">
        <v>462</v>
      </c>
      <c r="E717" s="4" t="s">
        <v>69</v>
      </c>
      <c r="F717" s="4" t="s">
        <v>95</v>
      </c>
      <c r="G717" s="4" t="s">
        <v>102</v>
      </c>
      <c r="H717" s="4" t="s">
        <v>59</v>
      </c>
      <c r="I717" s="3"/>
      <c r="J717" s="3"/>
      <c r="K717" s="3"/>
      <c r="L717" s="3"/>
      <c r="M717" s="3"/>
      <c r="N717" s="3"/>
      <c r="O717" s="3"/>
      <c r="P717" s="8"/>
      <c r="Q717" s="8"/>
      <c r="R717" s="3"/>
      <c r="S717" s="3"/>
      <c r="T717" s="3"/>
      <c r="U717" s="5" t="str">
        <f t="shared" si="42"/>
        <v/>
      </c>
    </row>
    <row r="718" spans="1:21" ht="28" customHeight="1" x14ac:dyDescent="0.35">
      <c r="A718" s="4">
        <v>9</v>
      </c>
      <c r="B718" s="4" t="s">
        <v>97</v>
      </c>
      <c r="C718" s="4" t="s">
        <v>98</v>
      </c>
      <c r="D718" s="4" t="s">
        <v>99</v>
      </c>
      <c r="E718" s="4" t="s">
        <v>69</v>
      </c>
      <c r="F718" s="4" t="s">
        <v>95</v>
      </c>
      <c r="G718" s="4" t="s">
        <v>96</v>
      </c>
      <c r="H718" s="4" t="s">
        <v>59</v>
      </c>
      <c r="I718" s="3"/>
      <c r="J718" s="3"/>
      <c r="K718" s="3"/>
      <c r="L718" s="3"/>
      <c r="M718" s="3"/>
      <c r="N718" s="3"/>
      <c r="O718" s="3"/>
      <c r="P718" s="8"/>
      <c r="Q718" s="8"/>
      <c r="R718" s="3"/>
      <c r="S718" s="3"/>
      <c r="T718" s="3"/>
      <c r="U718" s="5" t="str">
        <f t="shared" si="42"/>
        <v/>
      </c>
    </row>
    <row r="719" spans="1:21" ht="28" customHeight="1" x14ac:dyDescent="0.35">
      <c r="A719" s="4">
        <v>10</v>
      </c>
      <c r="B719" s="4" t="s">
        <v>97</v>
      </c>
      <c r="C719" s="4" t="s">
        <v>100</v>
      </c>
      <c r="D719" s="4" t="s">
        <v>101</v>
      </c>
      <c r="E719" s="4" t="s">
        <v>69</v>
      </c>
      <c r="F719" s="4" t="s">
        <v>95</v>
      </c>
      <c r="G719" s="4" t="s">
        <v>102</v>
      </c>
      <c r="H719" s="4" t="s">
        <v>59</v>
      </c>
      <c r="I719" s="3"/>
      <c r="J719" s="3"/>
      <c r="K719" s="3"/>
      <c r="L719" s="3"/>
      <c r="M719" s="3"/>
      <c r="N719" s="3"/>
      <c r="O719" s="3"/>
      <c r="P719" s="8"/>
      <c r="Q719" s="8"/>
      <c r="R719" s="3"/>
      <c r="S719" s="3"/>
      <c r="T719" s="3"/>
      <c r="U719" s="5" t="str">
        <f t="shared" si="42"/>
        <v/>
      </c>
    </row>
    <row r="720" spans="1:21" ht="28" customHeight="1" x14ac:dyDescent="0.35">
      <c r="A720" s="4">
        <v>11</v>
      </c>
      <c r="B720" s="4" t="s">
        <v>103</v>
      </c>
      <c r="C720" s="4" t="s">
        <v>104</v>
      </c>
      <c r="D720" s="4" t="s">
        <v>105</v>
      </c>
      <c r="E720" s="4" t="s">
        <v>69</v>
      </c>
      <c r="F720" s="4" t="s">
        <v>95</v>
      </c>
      <c r="G720" s="4" t="s">
        <v>96</v>
      </c>
      <c r="H720" s="4" t="s">
        <v>85</v>
      </c>
      <c r="I720" s="3"/>
      <c r="J720" s="3"/>
      <c r="K720" s="3"/>
      <c r="L720" s="3"/>
      <c r="M720" s="3"/>
      <c r="N720" s="3"/>
      <c r="O720" s="3"/>
      <c r="P720" s="8"/>
      <c r="Q720" s="8"/>
      <c r="R720" s="3"/>
      <c r="S720" s="3"/>
      <c r="T720" s="3"/>
      <c r="U720" s="5" t="str">
        <f t="shared" si="42"/>
        <v/>
      </c>
    </row>
    <row r="721" spans="1:21" ht="28" customHeight="1" x14ac:dyDescent="0.35">
      <c r="A721" s="4">
        <v>12</v>
      </c>
      <c r="B721" s="4" t="s">
        <v>106</v>
      </c>
      <c r="C721" s="4" t="s">
        <v>107</v>
      </c>
      <c r="D721" s="4" t="s">
        <v>108</v>
      </c>
      <c r="E721" s="4" t="s">
        <v>109</v>
      </c>
      <c r="F721" s="4" t="s">
        <v>95</v>
      </c>
      <c r="G721" s="4" t="s">
        <v>96</v>
      </c>
      <c r="H721" s="4" t="s">
        <v>59</v>
      </c>
      <c r="I721" s="3"/>
      <c r="J721" s="3"/>
      <c r="K721" s="3"/>
      <c r="L721" s="3"/>
      <c r="M721" s="3"/>
      <c r="N721" s="3"/>
      <c r="O721" s="3"/>
      <c r="P721" s="8"/>
      <c r="Q721" s="8"/>
      <c r="R721" s="3"/>
      <c r="S721" s="3"/>
      <c r="T721" s="3"/>
      <c r="U721" s="5" t="str">
        <f t="shared" si="42"/>
        <v/>
      </c>
    </row>
    <row r="723" spans="1:21" ht="28" customHeight="1" x14ac:dyDescent="0.35">
      <c r="A723" s="9" t="s">
        <v>110</v>
      </c>
      <c r="B723" s="16"/>
      <c r="C723" s="17"/>
      <c r="D723" s="17"/>
      <c r="E723" s="17"/>
      <c r="F723" s="17"/>
      <c r="G723" s="17"/>
      <c r="H723" s="17"/>
      <c r="I723" s="17"/>
      <c r="J723" s="17"/>
      <c r="K723" s="17"/>
      <c r="L723" s="17"/>
      <c r="M723" s="17"/>
      <c r="N723" s="17"/>
      <c r="O723" s="17"/>
      <c r="P723" s="17"/>
      <c r="Q723" s="17"/>
      <c r="R723" s="17"/>
      <c r="S723" s="17"/>
      <c r="T723" s="17"/>
      <c r="U723" s="18"/>
    </row>
    <row r="724" spans="1:21" ht="28" customHeight="1" x14ac:dyDescent="0.35">
      <c r="A724" s="19" t="s">
        <v>501</v>
      </c>
      <c r="B724" s="20"/>
      <c r="C724" s="20"/>
      <c r="D724" s="20"/>
      <c r="E724" s="20"/>
      <c r="F724" s="20"/>
      <c r="G724" s="20"/>
      <c r="H724" s="20"/>
      <c r="I724" s="20"/>
      <c r="J724" s="20"/>
      <c r="K724" s="20"/>
      <c r="L724" s="20"/>
      <c r="M724" s="20"/>
      <c r="N724" s="20"/>
      <c r="O724" s="20"/>
      <c r="P724" s="20"/>
      <c r="Q724" s="20"/>
      <c r="R724" s="20"/>
      <c r="S724" s="20"/>
      <c r="T724" s="20"/>
      <c r="U724" s="21"/>
    </row>
    <row r="725" spans="1:21" ht="28" customHeight="1" x14ac:dyDescent="0.35">
      <c r="A725" s="4" t="s">
        <v>31</v>
      </c>
      <c r="B725" s="3" t="s">
        <v>256</v>
      </c>
      <c r="C725" s="4" t="s">
        <v>32</v>
      </c>
      <c r="D725" s="3"/>
      <c r="E725" s="4" t="s">
        <v>33</v>
      </c>
      <c r="F725" s="8"/>
    </row>
    <row r="726" spans="1:21" ht="28" customHeight="1" x14ac:dyDescent="0.35">
      <c r="A726" s="1" t="s">
        <v>34</v>
      </c>
      <c r="B726" s="1" t="s">
        <v>35</v>
      </c>
      <c r="C726" s="1" t="s">
        <v>36</v>
      </c>
      <c r="D726" s="1" t="s">
        <v>37</v>
      </c>
      <c r="E726" s="1" t="s">
        <v>38</v>
      </c>
      <c r="F726" s="1" t="s">
        <v>39</v>
      </c>
      <c r="G726" s="1" t="s">
        <v>40</v>
      </c>
      <c r="H726" s="1" t="s">
        <v>41</v>
      </c>
      <c r="I726" s="1" t="s">
        <v>42</v>
      </c>
      <c r="J726" s="1" t="s">
        <v>43</v>
      </c>
      <c r="K726" s="1" t="s">
        <v>44</v>
      </c>
      <c r="L726" s="1" t="s">
        <v>45</v>
      </c>
      <c r="M726" s="1" t="s">
        <v>46</v>
      </c>
      <c r="N726" s="1" t="s">
        <v>47</v>
      </c>
      <c r="O726" s="1" t="s">
        <v>48</v>
      </c>
      <c r="P726" s="1" t="s">
        <v>4</v>
      </c>
      <c r="Q726" s="1" t="s">
        <v>49</v>
      </c>
      <c r="R726" s="1" t="s">
        <v>50</v>
      </c>
      <c r="S726" s="1" t="s">
        <v>51</v>
      </c>
      <c r="T726" s="1" t="s">
        <v>52</v>
      </c>
      <c r="U726" s="1" t="s">
        <v>10</v>
      </c>
    </row>
    <row r="727" spans="1:21" ht="28" customHeight="1" x14ac:dyDescent="0.35">
      <c r="A727" s="4">
        <v>1</v>
      </c>
      <c r="B727" s="4" t="s">
        <v>439</v>
      </c>
      <c r="C727" s="4" t="s">
        <v>440</v>
      </c>
      <c r="D727" s="4" t="s">
        <v>441</v>
      </c>
      <c r="E727" s="4" t="s">
        <v>69</v>
      </c>
      <c r="F727" s="4" t="s">
        <v>370</v>
      </c>
      <c r="G727" s="4" t="s">
        <v>204</v>
      </c>
      <c r="H727" s="4" t="s">
        <v>59</v>
      </c>
      <c r="I727" s="3"/>
      <c r="J727" s="3"/>
      <c r="K727" s="3"/>
      <c r="L727" s="3"/>
      <c r="M727" s="3"/>
      <c r="N727" s="3"/>
      <c r="O727" s="3"/>
      <c r="P727" s="8"/>
      <c r="Q727" s="8"/>
      <c r="R727" s="3"/>
      <c r="S727" s="3"/>
      <c r="T727" s="3"/>
      <c r="U727" s="5" t="str">
        <f t="shared" ref="U727:U738" si="43">IF(I727="","",IF(I727="NA","Grey",IF(I727=2,"Green",IF(I727=1,"Amber","Red"))))</f>
        <v/>
      </c>
    </row>
    <row r="728" spans="1:21" ht="28" customHeight="1" x14ac:dyDescent="0.35">
      <c r="A728" s="4">
        <v>2</v>
      </c>
      <c r="B728" s="4" t="s">
        <v>442</v>
      </c>
      <c r="C728" s="4" t="s">
        <v>443</v>
      </c>
      <c r="D728" s="4" t="s">
        <v>444</v>
      </c>
      <c r="E728" s="4" t="s">
        <v>69</v>
      </c>
      <c r="F728" s="4" t="s">
        <v>95</v>
      </c>
      <c r="G728" s="4" t="s">
        <v>102</v>
      </c>
      <c r="H728" s="4" t="s">
        <v>59</v>
      </c>
      <c r="I728" s="3"/>
      <c r="J728" s="3"/>
      <c r="K728" s="3"/>
      <c r="L728" s="3"/>
      <c r="M728" s="3"/>
      <c r="N728" s="3"/>
      <c r="O728" s="3"/>
      <c r="P728" s="8"/>
      <c r="Q728" s="8"/>
      <c r="R728" s="3"/>
      <c r="S728" s="3"/>
      <c r="T728" s="3"/>
      <c r="U728" s="5" t="str">
        <f t="shared" si="43"/>
        <v/>
      </c>
    </row>
    <row r="729" spans="1:21" ht="28" customHeight="1" x14ac:dyDescent="0.35">
      <c r="A729" s="4">
        <v>3</v>
      </c>
      <c r="B729" s="4" t="s">
        <v>445</v>
      </c>
      <c r="C729" s="4" t="s">
        <v>446</v>
      </c>
      <c r="D729" s="4" t="s">
        <v>369</v>
      </c>
      <c r="E729" s="4" t="s">
        <v>69</v>
      </c>
      <c r="F729" s="4" t="s">
        <v>370</v>
      </c>
      <c r="G729" s="4" t="s">
        <v>204</v>
      </c>
      <c r="H729" s="4" t="s">
        <v>76</v>
      </c>
      <c r="I729" s="3"/>
      <c r="J729" s="3"/>
      <c r="K729" s="3"/>
      <c r="L729" s="3"/>
      <c r="M729" s="3"/>
      <c r="N729" s="3"/>
      <c r="O729" s="3"/>
      <c r="P729" s="8"/>
      <c r="Q729" s="8"/>
      <c r="R729" s="3"/>
      <c r="S729" s="3"/>
      <c r="T729" s="3"/>
      <c r="U729" s="5" t="str">
        <f t="shared" si="43"/>
        <v/>
      </c>
    </row>
    <row r="730" spans="1:21" ht="28" customHeight="1" x14ac:dyDescent="0.35">
      <c r="A730" s="4">
        <v>4</v>
      </c>
      <c r="B730" s="4" t="s">
        <v>447</v>
      </c>
      <c r="C730" s="4" t="s">
        <v>448</v>
      </c>
      <c r="D730" s="4" t="s">
        <v>449</v>
      </c>
      <c r="E730" s="4" t="s">
        <v>109</v>
      </c>
      <c r="F730" s="4" t="s">
        <v>276</v>
      </c>
      <c r="G730" s="4" t="s">
        <v>199</v>
      </c>
      <c r="H730" s="4" t="s">
        <v>59</v>
      </c>
      <c r="I730" s="3"/>
      <c r="J730" s="3"/>
      <c r="K730" s="3"/>
      <c r="L730" s="3"/>
      <c r="M730" s="3"/>
      <c r="N730" s="3"/>
      <c r="O730" s="3"/>
      <c r="P730" s="8"/>
      <c r="Q730" s="8"/>
      <c r="R730" s="3"/>
      <c r="S730" s="3"/>
      <c r="T730" s="3"/>
      <c r="U730" s="5" t="str">
        <f t="shared" si="43"/>
        <v/>
      </c>
    </row>
    <row r="731" spans="1:21" ht="28" customHeight="1" x14ac:dyDescent="0.35">
      <c r="A731" s="4">
        <v>5</v>
      </c>
      <c r="B731" s="4" t="s">
        <v>450</v>
      </c>
      <c r="C731" s="4" t="s">
        <v>451</v>
      </c>
      <c r="D731" s="4" t="s">
        <v>452</v>
      </c>
      <c r="E731" s="4" t="s">
        <v>69</v>
      </c>
      <c r="F731" s="4" t="s">
        <v>276</v>
      </c>
      <c r="G731" s="4" t="s">
        <v>199</v>
      </c>
      <c r="H731" s="4" t="s">
        <v>59</v>
      </c>
      <c r="I731" s="3"/>
      <c r="J731" s="3"/>
      <c r="K731" s="3"/>
      <c r="L731" s="3"/>
      <c r="M731" s="3"/>
      <c r="N731" s="3"/>
      <c r="O731" s="3"/>
      <c r="P731" s="8"/>
      <c r="Q731" s="8"/>
      <c r="R731" s="3"/>
      <c r="S731" s="3"/>
      <c r="T731" s="3"/>
      <c r="U731" s="5" t="str">
        <f t="shared" si="43"/>
        <v/>
      </c>
    </row>
    <row r="732" spans="1:21" ht="28" customHeight="1" x14ac:dyDescent="0.35">
      <c r="A732" s="4">
        <v>6</v>
      </c>
      <c r="B732" s="4" t="s">
        <v>453</v>
      </c>
      <c r="C732" s="4" t="s">
        <v>454</v>
      </c>
      <c r="D732" s="4" t="s">
        <v>455</v>
      </c>
      <c r="E732" s="4" t="s">
        <v>69</v>
      </c>
      <c r="F732" s="4" t="s">
        <v>284</v>
      </c>
      <c r="G732" s="4" t="s">
        <v>204</v>
      </c>
      <c r="H732" s="4" t="s">
        <v>76</v>
      </c>
      <c r="I732" s="3"/>
      <c r="J732" s="3"/>
      <c r="K732" s="3"/>
      <c r="L732" s="3"/>
      <c r="M732" s="3"/>
      <c r="N732" s="3"/>
      <c r="O732" s="3"/>
      <c r="P732" s="8"/>
      <c r="Q732" s="8"/>
      <c r="R732" s="3"/>
      <c r="S732" s="3"/>
      <c r="T732" s="3"/>
      <c r="U732" s="5" t="str">
        <f t="shared" si="43"/>
        <v/>
      </c>
    </row>
    <row r="733" spans="1:21" ht="28" customHeight="1" x14ac:dyDescent="0.35">
      <c r="A733" s="4">
        <v>7</v>
      </c>
      <c r="B733" s="4" t="s">
        <v>456</v>
      </c>
      <c r="C733" s="4" t="s">
        <v>457</v>
      </c>
      <c r="D733" s="4" t="s">
        <v>458</v>
      </c>
      <c r="E733" s="4" t="s">
        <v>69</v>
      </c>
      <c r="F733" s="4" t="s">
        <v>459</v>
      </c>
      <c r="G733" s="4" t="s">
        <v>209</v>
      </c>
      <c r="H733" s="4" t="s">
        <v>59</v>
      </c>
      <c r="I733" s="3"/>
      <c r="J733" s="3"/>
      <c r="K733" s="3"/>
      <c r="L733" s="3"/>
      <c r="M733" s="3"/>
      <c r="N733" s="3"/>
      <c r="O733" s="3"/>
      <c r="P733" s="8"/>
      <c r="Q733" s="8"/>
      <c r="R733" s="3"/>
      <c r="S733" s="3"/>
      <c r="T733" s="3"/>
      <c r="U733" s="5" t="str">
        <f t="shared" si="43"/>
        <v/>
      </c>
    </row>
    <row r="734" spans="1:21" ht="28" customHeight="1" x14ac:dyDescent="0.35">
      <c r="A734" s="4">
        <v>8</v>
      </c>
      <c r="B734" s="4" t="s">
        <v>460</v>
      </c>
      <c r="C734" s="4" t="s">
        <v>461</v>
      </c>
      <c r="D734" s="4" t="s">
        <v>462</v>
      </c>
      <c r="E734" s="4" t="s">
        <v>69</v>
      </c>
      <c r="F734" s="4" t="s">
        <v>95</v>
      </c>
      <c r="G734" s="4" t="s">
        <v>102</v>
      </c>
      <c r="H734" s="4" t="s">
        <v>59</v>
      </c>
      <c r="I734" s="3"/>
      <c r="J734" s="3"/>
      <c r="K734" s="3"/>
      <c r="L734" s="3"/>
      <c r="M734" s="3"/>
      <c r="N734" s="3"/>
      <c r="O734" s="3"/>
      <c r="P734" s="8"/>
      <c r="Q734" s="8"/>
      <c r="R734" s="3"/>
      <c r="S734" s="3"/>
      <c r="T734" s="3"/>
      <c r="U734" s="5" t="str">
        <f t="shared" si="43"/>
        <v/>
      </c>
    </row>
    <row r="735" spans="1:21" ht="28" customHeight="1" x14ac:dyDescent="0.35">
      <c r="A735" s="4">
        <v>9</v>
      </c>
      <c r="B735" s="4" t="s">
        <v>97</v>
      </c>
      <c r="C735" s="4" t="s">
        <v>98</v>
      </c>
      <c r="D735" s="4" t="s">
        <v>99</v>
      </c>
      <c r="E735" s="4" t="s">
        <v>69</v>
      </c>
      <c r="F735" s="4" t="s">
        <v>95</v>
      </c>
      <c r="G735" s="4" t="s">
        <v>96</v>
      </c>
      <c r="H735" s="4" t="s">
        <v>59</v>
      </c>
      <c r="I735" s="3"/>
      <c r="J735" s="3"/>
      <c r="K735" s="3"/>
      <c r="L735" s="3"/>
      <c r="M735" s="3"/>
      <c r="N735" s="3"/>
      <c r="O735" s="3"/>
      <c r="P735" s="8"/>
      <c r="Q735" s="8"/>
      <c r="R735" s="3"/>
      <c r="S735" s="3"/>
      <c r="T735" s="3"/>
      <c r="U735" s="5" t="str">
        <f t="shared" si="43"/>
        <v/>
      </c>
    </row>
    <row r="736" spans="1:21" ht="28" customHeight="1" x14ac:dyDescent="0.35">
      <c r="A736" s="4">
        <v>10</v>
      </c>
      <c r="B736" s="4" t="s">
        <v>97</v>
      </c>
      <c r="C736" s="4" t="s">
        <v>100</v>
      </c>
      <c r="D736" s="4" t="s">
        <v>101</v>
      </c>
      <c r="E736" s="4" t="s">
        <v>69</v>
      </c>
      <c r="F736" s="4" t="s">
        <v>95</v>
      </c>
      <c r="G736" s="4" t="s">
        <v>102</v>
      </c>
      <c r="H736" s="4" t="s">
        <v>59</v>
      </c>
      <c r="I736" s="3"/>
      <c r="J736" s="3"/>
      <c r="K736" s="3"/>
      <c r="L736" s="3"/>
      <c r="M736" s="3"/>
      <c r="N736" s="3"/>
      <c r="O736" s="3"/>
      <c r="P736" s="8"/>
      <c r="Q736" s="8"/>
      <c r="R736" s="3"/>
      <c r="S736" s="3"/>
      <c r="T736" s="3"/>
      <c r="U736" s="5" t="str">
        <f t="shared" si="43"/>
        <v/>
      </c>
    </row>
    <row r="737" spans="1:21" ht="28" customHeight="1" x14ac:dyDescent="0.35">
      <c r="A737" s="4">
        <v>11</v>
      </c>
      <c r="B737" s="4" t="s">
        <v>103</v>
      </c>
      <c r="C737" s="4" t="s">
        <v>104</v>
      </c>
      <c r="D737" s="4" t="s">
        <v>105</v>
      </c>
      <c r="E737" s="4" t="s">
        <v>69</v>
      </c>
      <c r="F737" s="4" t="s">
        <v>95</v>
      </c>
      <c r="G737" s="4" t="s">
        <v>96</v>
      </c>
      <c r="H737" s="4" t="s">
        <v>85</v>
      </c>
      <c r="I737" s="3"/>
      <c r="J737" s="3"/>
      <c r="K737" s="3"/>
      <c r="L737" s="3"/>
      <c r="M737" s="3"/>
      <c r="N737" s="3"/>
      <c r="O737" s="3"/>
      <c r="P737" s="8"/>
      <c r="Q737" s="8"/>
      <c r="R737" s="3"/>
      <c r="S737" s="3"/>
      <c r="T737" s="3"/>
      <c r="U737" s="5" t="str">
        <f t="shared" si="43"/>
        <v/>
      </c>
    </row>
    <row r="738" spans="1:21" ht="28" customHeight="1" x14ac:dyDescent="0.35">
      <c r="A738" s="4">
        <v>12</v>
      </c>
      <c r="B738" s="4" t="s">
        <v>106</v>
      </c>
      <c r="C738" s="4" t="s">
        <v>107</v>
      </c>
      <c r="D738" s="4" t="s">
        <v>108</v>
      </c>
      <c r="E738" s="4" t="s">
        <v>109</v>
      </c>
      <c r="F738" s="4" t="s">
        <v>95</v>
      </c>
      <c r="G738" s="4" t="s">
        <v>96</v>
      </c>
      <c r="H738" s="4" t="s">
        <v>59</v>
      </c>
      <c r="I738" s="3"/>
      <c r="J738" s="3"/>
      <c r="K738" s="3"/>
      <c r="L738" s="3"/>
      <c r="M738" s="3"/>
      <c r="N738" s="3"/>
      <c r="O738" s="3"/>
      <c r="P738" s="8"/>
      <c r="Q738" s="8"/>
      <c r="R738" s="3"/>
      <c r="S738" s="3"/>
      <c r="T738" s="3"/>
      <c r="U738" s="5" t="str">
        <f t="shared" si="43"/>
        <v/>
      </c>
    </row>
    <row r="740" spans="1:21" ht="28" customHeight="1" x14ac:dyDescent="0.35">
      <c r="A740" s="9" t="s">
        <v>110</v>
      </c>
      <c r="B740" s="16"/>
      <c r="C740" s="17"/>
      <c r="D740" s="17"/>
      <c r="E740" s="17"/>
      <c r="F740" s="17"/>
      <c r="G740" s="17"/>
      <c r="H740" s="17"/>
      <c r="I740" s="17"/>
      <c r="J740" s="17"/>
      <c r="K740" s="17"/>
      <c r="L740" s="17"/>
      <c r="M740" s="17"/>
      <c r="N740" s="17"/>
      <c r="O740" s="17"/>
      <c r="P740" s="17"/>
      <c r="Q740" s="17"/>
      <c r="R740" s="17"/>
      <c r="S740" s="17"/>
      <c r="T740" s="17"/>
      <c r="U740" s="18"/>
    </row>
    <row r="741" spans="1:21" ht="28" customHeight="1" x14ac:dyDescent="0.35">
      <c r="A741" s="19" t="s">
        <v>502</v>
      </c>
      <c r="B741" s="20"/>
      <c r="C741" s="20"/>
      <c r="D741" s="20"/>
      <c r="E741" s="20"/>
      <c r="F741" s="20"/>
      <c r="G741" s="20"/>
      <c r="H741" s="20"/>
      <c r="I741" s="20"/>
      <c r="J741" s="20"/>
      <c r="K741" s="20"/>
      <c r="L741" s="20"/>
      <c r="M741" s="20"/>
      <c r="N741" s="20"/>
      <c r="O741" s="20"/>
      <c r="P741" s="20"/>
      <c r="Q741" s="20"/>
      <c r="R741" s="20"/>
      <c r="S741" s="20"/>
      <c r="T741" s="20"/>
      <c r="U741" s="21"/>
    </row>
    <row r="742" spans="1:21" ht="28" customHeight="1" x14ac:dyDescent="0.35">
      <c r="A742" s="4" t="s">
        <v>31</v>
      </c>
      <c r="B742" s="3" t="s">
        <v>257</v>
      </c>
      <c r="C742" s="4" t="s">
        <v>32</v>
      </c>
      <c r="D742" s="3"/>
      <c r="E742" s="4" t="s">
        <v>33</v>
      </c>
      <c r="F742" s="8"/>
    </row>
    <row r="743" spans="1:21" ht="28" customHeight="1" x14ac:dyDescent="0.35">
      <c r="A743" s="1" t="s">
        <v>34</v>
      </c>
      <c r="B743" s="1" t="s">
        <v>35</v>
      </c>
      <c r="C743" s="1" t="s">
        <v>36</v>
      </c>
      <c r="D743" s="1" t="s">
        <v>37</v>
      </c>
      <c r="E743" s="1" t="s">
        <v>38</v>
      </c>
      <c r="F743" s="1" t="s">
        <v>39</v>
      </c>
      <c r="G743" s="1" t="s">
        <v>40</v>
      </c>
      <c r="H743" s="1" t="s">
        <v>41</v>
      </c>
      <c r="I743" s="1" t="s">
        <v>42</v>
      </c>
      <c r="J743" s="1" t="s">
        <v>43</v>
      </c>
      <c r="K743" s="1" t="s">
        <v>44</v>
      </c>
      <c r="L743" s="1" t="s">
        <v>45</v>
      </c>
      <c r="M743" s="1" t="s">
        <v>46</v>
      </c>
      <c r="N743" s="1" t="s">
        <v>47</v>
      </c>
      <c r="O743" s="1" t="s">
        <v>48</v>
      </c>
      <c r="P743" s="1" t="s">
        <v>4</v>
      </c>
      <c r="Q743" s="1" t="s">
        <v>49</v>
      </c>
      <c r="R743" s="1" t="s">
        <v>50</v>
      </c>
      <c r="S743" s="1" t="s">
        <v>51</v>
      </c>
      <c r="T743" s="1" t="s">
        <v>52</v>
      </c>
      <c r="U743" s="1" t="s">
        <v>10</v>
      </c>
    </row>
    <row r="744" spans="1:21" ht="28" customHeight="1" x14ac:dyDescent="0.35">
      <c r="A744" s="4">
        <v>1</v>
      </c>
      <c r="B744" s="4" t="s">
        <v>439</v>
      </c>
      <c r="C744" s="4" t="s">
        <v>440</v>
      </c>
      <c r="D744" s="4" t="s">
        <v>441</v>
      </c>
      <c r="E744" s="4" t="s">
        <v>69</v>
      </c>
      <c r="F744" s="4" t="s">
        <v>370</v>
      </c>
      <c r="G744" s="4" t="s">
        <v>204</v>
      </c>
      <c r="H744" s="4" t="s">
        <v>59</v>
      </c>
      <c r="I744" s="3"/>
      <c r="J744" s="3"/>
      <c r="K744" s="3"/>
      <c r="L744" s="3"/>
      <c r="M744" s="3"/>
      <c r="N744" s="3"/>
      <c r="O744" s="3"/>
      <c r="P744" s="8"/>
      <c r="Q744" s="8"/>
      <c r="R744" s="3"/>
      <c r="S744" s="3"/>
      <c r="T744" s="3"/>
      <c r="U744" s="5" t="str">
        <f t="shared" ref="U744:U755" si="44">IF(I744="","",IF(I744="NA","Grey",IF(I744=2,"Green",IF(I744=1,"Amber","Red"))))</f>
        <v/>
      </c>
    </row>
    <row r="745" spans="1:21" ht="28" customHeight="1" x14ac:dyDescent="0.35">
      <c r="A745" s="4">
        <v>2</v>
      </c>
      <c r="B745" s="4" t="s">
        <v>442</v>
      </c>
      <c r="C745" s="4" t="s">
        <v>443</v>
      </c>
      <c r="D745" s="4" t="s">
        <v>444</v>
      </c>
      <c r="E745" s="4" t="s">
        <v>69</v>
      </c>
      <c r="F745" s="4" t="s">
        <v>95</v>
      </c>
      <c r="G745" s="4" t="s">
        <v>102</v>
      </c>
      <c r="H745" s="4" t="s">
        <v>59</v>
      </c>
      <c r="I745" s="3"/>
      <c r="J745" s="3"/>
      <c r="K745" s="3"/>
      <c r="L745" s="3"/>
      <c r="M745" s="3"/>
      <c r="N745" s="3"/>
      <c r="O745" s="3"/>
      <c r="P745" s="8"/>
      <c r="Q745" s="8"/>
      <c r="R745" s="3"/>
      <c r="S745" s="3"/>
      <c r="T745" s="3"/>
      <c r="U745" s="5" t="str">
        <f t="shared" si="44"/>
        <v/>
      </c>
    </row>
    <row r="746" spans="1:21" ht="28" customHeight="1" x14ac:dyDescent="0.35">
      <c r="A746" s="4">
        <v>3</v>
      </c>
      <c r="B746" s="4" t="s">
        <v>445</v>
      </c>
      <c r="C746" s="4" t="s">
        <v>446</v>
      </c>
      <c r="D746" s="4" t="s">
        <v>369</v>
      </c>
      <c r="E746" s="4" t="s">
        <v>69</v>
      </c>
      <c r="F746" s="4" t="s">
        <v>370</v>
      </c>
      <c r="G746" s="4" t="s">
        <v>204</v>
      </c>
      <c r="H746" s="4" t="s">
        <v>76</v>
      </c>
      <c r="I746" s="3"/>
      <c r="J746" s="3"/>
      <c r="K746" s="3"/>
      <c r="L746" s="3"/>
      <c r="M746" s="3"/>
      <c r="N746" s="3"/>
      <c r="O746" s="3"/>
      <c r="P746" s="8"/>
      <c r="Q746" s="8"/>
      <c r="R746" s="3"/>
      <c r="S746" s="3"/>
      <c r="T746" s="3"/>
      <c r="U746" s="5" t="str">
        <f t="shared" si="44"/>
        <v/>
      </c>
    </row>
    <row r="747" spans="1:21" ht="28" customHeight="1" x14ac:dyDescent="0.35">
      <c r="A747" s="4">
        <v>4</v>
      </c>
      <c r="B747" s="4" t="s">
        <v>447</v>
      </c>
      <c r="C747" s="4" t="s">
        <v>448</v>
      </c>
      <c r="D747" s="4" t="s">
        <v>449</v>
      </c>
      <c r="E747" s="4" t="s">
        <v>109</v>
      </c>
      <c r="F747" s="4" t="s">
        <v>276</v>
      </c>
      <c r="G747" s="4" t="s">
        <v>199</v>
      </c>
      <c r="H747" s="4" t="s">
        <v>59</v>
      </c>
      <c r="I747" s="3"/>
      <c r="J747" s="3"/>
      <c r="K747" s="3"/>
      <c r="L747" s="3"/>
      <c r="M747" s="3"/>
      <c r="N747" s="3"/>
      <c r="O747" s="3"/>
      <c r="P747" s="8"/>
      <c r="Q747" s="8"/>
      <c r="R747" s="3"/>
      <c r="S747" s="3"/>
      <c r="T747" s="3"/>
      <c r="U747" s="5" t="str">
        <f t="shared" si="44"/>
        <v/>
      </c>
    </row>
    <row r="748" spans="1:21" ht="28" customHeight="1" x14ac:dyDescent="0.35">
      <c r="A748" s="4">
        <v>5</v>
      </c>
      <c r="B748" s="4" t="s">
        <v>450</v>
      </c>
      <c r="C748" s="4" t="s">
        <v>451</v>
      </c>
      <c r="D748" s="4" t="s">
        <v>452</v>
      </c>
      <c r="E748" s="4" t="s">
        <v>69</v>
      </c>
      <c r="F748" s="4" t="s">
        <v>276</v>
      </c>
      <c r="G748" s="4" t="s">
        <v>199</v>
      </c>
      <c r="H748" s="4" t="s">
        <v>59</v>
      </c>
      <c r="I748" s="3"/>
      <c r="J748" s="3"/>
      <c r="K748" s="3"/>
      <c r="L748" s="3"/>
      <c r="M748" s="3"/>
      <c r="N748" s="3"/>
      <c r="O748" s="3"/>
      <c r="P748" s="8"/>
      <c r="Q748" s="8"/>
      <c r="R748" s="3"/>
      <c r="S748" s="3"/>
      <c r="T748" s="3"/>
      <c r="U748" s="5" t="str">
        <f t="shared" si="44"/>
        <v/>
      </c>
    </row>
    <row r="749" spans="1:21" ht="28" customHeight="1" x14ac:dyDescent="0.35">
      <c r="A749" s="4">
        <v>6</v>
      </c>
      <c r="B749" s="4" t="s">
        <v>453</v>
      </c>
      <c r="C749" s="4" t="s">
        <v>454</v>
      </c>
      <c r="D749" s="4" t="s">
        <v>455</v>
      </c>
      <c r="E749" s="4" t="s">
        <v>69</v>
      </c>
      <c r="F749" s="4" t="s">
        <v>284</v>
      </c>
      <c r="G749" s="4" t="s">
        <v>204</v>
      </c>
      <c r="H749" s="4" t="s">
        <v>76</v>
      </c>
      <c r="I749" s="3"/>
      <c r="J749" s="3"/>
      <c r="K749" s="3"/>
      <c r="L749" s="3"/>
      <c r="M749" s="3"/>
      <c r="N749" s="3"/>
      <c r="O749" s="3"/>
      <c r="P749" s="8"/>
      <c r="Q749" s="8"/>
      <c r="R749" s="3"/>
      <c r="S749" s="3"/>
      <c r="T749" s="3"/>
      <c r="U749" s="5" t="str">
        <f t="shared" si="44"/>
        <v/>
      </c>
    </row>
    <row r="750" spans="1:21" ht="28" customHeight="1" x14ac:dyDescent="0.35">
      <c r="A750" s="4">
        <v>7</v>
      </c>
      <c r="B750" s="4" t="s">
        <v>456</v>
      </c>
      <c r="C750" s="4" t="s">
        <v>457</v>
      </c>
      <c r="D750" s="4" t="s">
        <v>458</v>
      </c>
      <c r="E750" s="4" t="s">
        <v>69</v>
      </c>
      <c r="F750" s="4" t="s">
        <v>459</v>
      </c>
      <c r="G750" s="4" t="s">
        <v>209</v>
      </c>
      <c r="H750" s="4" t="s">
        <v>59</v>
      </c>
      <c r="I750" s="3"/>
      <c r="J750" s="3"/>
      <c r="K750" s="3"/>
      <c r="L750" s="3"/>
      <c r="M750" s="3"/>
      <c r="N750" s="3"/>
      <c r="O750" s="3"/>
      <c r="P750" s="8"/>
      <c r="Q750" s="8"/>
      <c r="R750" s="3"/>
      <c r="S750" s="3"/>
      <c r="T750" s="3"/>
      <c r="U750" s="5" t="str">
        <f t="shared" si="44"/>
        <v/>
      </c>
    </row>
    <row r="751" spans="1:21" ht="28" customHeight="1" x14ac:dyDescent="0.35">
      <c r="A751" s="4">
        <v>8</v>
      </c>
      <c r="B751" s="4" t="s">
        <v>460</v>
      </c>
      <c r="C751" s="4" t="s">
        <v>461</v>
      </c>
      <c r="D751" s="4" t="s">
        <v>462</v>
      </c>
      <c r="E751" s="4" t="s">
        <v>69</v>
      </c>
      <c r="F751" s="4" t="s">
        <v>95</v>
      </c>
      <c r="G751" s="4" t="s">
        <v>102</v>
      </c>
      <c r="H751" s="4" t="s">
        <v>59</v>
      </c>
      <c r="I751" s="3"/>
      <c r="J751" s="3"/>
      <c r="K751" s="3"/>
      <c r="L751" s="3"/>
      <c r="M751" s="3"/>
      <c r="N751" s="3"/>
      <c r="O751" s="3"/>
      <c r="P751" s="8"/>
      <c r="Q751" s="8"/>
      <c r="R751" s="3"/>
      <c r="S751" s="3"/>
      <c r="T751" s="3"/>
      <c r="U751" s="5" t="str">
        <f t="shared" si="44"/>
        <v/>
      </c>
    </row>
    <row r="752" spans="1:21" ht="28" customHeight="1" x14ac:dyDescent="0.35">
      <c r="A752" s="4">
        <v>9</v>
      </c>
      <c r="B752" s="4" t="s">
        <v>97</v>
      </c>
      <c r="C752" s="4" t="s">
        <v>98</v>
      </c>
      <c r="D752" s="4" t="s">
        <v>99</v>
      </c>
      <c r="E752" s="4" t="s">
        <v>69</v>
      </c>
      <c r="F752" s="4" t="s">
        <v>95</v>
      </c>
      <c r="G752" s="4" t="s">
        <v>96</v>
      </c>
      <c r="H752" s="4" t="s">
        <v>59</v>
      </c>
      <c r="I752" s="3"/>
      <c r="J752" s="3"/>
      <c r="K752" s="3"/>
      <c r="L752" s="3"/>
      <c r="M752" s="3"/>
      <c r="N752" s="3"/>
      <c r="O752" s="3"/>
      <c r="P752" s="8"/>
      <c r="Q752" s="8"/>
      <c r="R752" s="3"/>
      <c r="S752" s="3"/>
      <c r="T752" s="3"/>
      <c r="U752" s="5" t="str">
        <f t="shared" si="44"/>
        <v/>
      </c>
    </row>
    <row r="753" spans="1:21" ht="28" customHeight="1" x14ac:dyDescent="0.35">
      <c r="A753" s="4">
        <v>10</v>
      </c>
      <c r="B753" s="4" t="s">
        <v>97</v>
      </c>
      <c r="C753" s="4" t="s">
        <v>100</v>
      </c>
      <c r="D753" s="4" t="s">
        <v>101</v>
      </c>
      <c r="E753" s="4" t="s">
        <v>69</v>
      </c>
      <c r="F753" s="4" t="s">
        <v>95</v>
      </c>
      <c r="G753" s="4" t="s">
        <v>102</v>
      </c>
      <c r="H753" s="4" t="s">
        <v>59</v>
      </c>
      <c r="I753" s="3"/>
      <c r="J753" s="3"/>
      <c r="K753" s="3"/>
      <c r="L753" s="3"/>
      <c r="M753" s="3"/>
      <c r="N753" s="3"/>
      <c r="O753" s="3"/>
      <c r="P753" s="8"/>
      <c r="Q753" s="8"/>
      <c r="R753" s="3"/>
      <c r="S753" s="3"/>
      <c r="T753" s="3"/>
      <c r="U753" s="5" t="str">
        <f t="shared" si="44"/>
        <v/>
      </c>
    </row>
    <row r="754" spans="1:21" ht="28" customHeight="1" x14ac:dyDescent="0.35">
      <c r="A754" s="4">
        <v>11</v>
      </c>
      <c r="B754" s="4" t="s">
        <v>103</v>
      </c>
      <c r="C754" s="4" t="s">
        <v>104</v>
      </c>
      <c r="D754" s="4" t="s">
        <v>105</v>
      </c>
      <c r="E754" s="4" t="s">
        <v>69</v>
      </c>
      <c r="F754" s="4" t="s">
        <v>95</v>
      </c>
      <c r="G754" s="4" t="s">
        <v>96</v>
      </c>
      <c r="H754" s="4" t="s">
        <v>85</v>
      </c>
      <c r="I754" s="3"/>
      <c r="J754" s="3"/>
      <c r="K754" s="3"/>
      <c r="L754" s="3"/>
      <c r="M754" s="3"/>
      <c r="N754" s="3"/>
      <c r="O754" s="3"/>
      <c r="P754" s="8"/>
      <c r="Q754" s="8"/>
      <c r="R754" s="3"/>
      <c r="S754" s="3"/>
      <c r="T754" s="3"/>
      <c r="U754" s="5" t="str">
        <f t="shared" si="44"/>
        <v/>
      </c>
    </row>
    <row r="755" spans="1:21" ht="28" customHeight="1" x14ac:dyDescent="0.35">
      <c r="A755" s="4">
        <v>12</v>
      </c>
      <c r="B755" s="4" t="s">
        <v>106</v>
      </c>
      <c r="C755" s="4" t="s">
        <v>107</v>
      </c>
      <c r="D755" s="4" t="s">
        <v>108</v>
      </c>
      <c r="E755" s="4" t="s">
        <v>109</v>
      </c>
      <c r="F755" s="4" t="s">
        <v>95</v>
      </c>
      <c r="G755" s="4" t="s">
        <v>96</v>
      </c>
      <c r="H755" s="4" t="s">
        <v>59</v>
      </c>
      <c r="I755" s="3"/>
      <c r="J755" s="3"/>
      <c r="K755" s="3"/>
      <c r="L755" s="3"/>
      <c r="M755" s="3"/>
      <c r="N755" s="3"/>
      <c r="O755" s="3"/>
      <c r="P755" s="8"/>
      <c r="Q755" s="8"/>
      <c r="R755" s="3"/>
      <c r="S755" s="3"/>
      <c r="T755" s="3"/>
      <c r="U755" s="5" t="str">
        <f t="shared" si="44"/>
        <v/>
      </c>
    </row>
    <row r="757" spans="1:21" ht="28" customHeight="1" x14ac:dyDescent="0.35">
      <c r="A757" s="9" t="s">
        <v>110</v>
      </c>
      <c r="B757" s="16"/>
      <c r="C757" s="17"/>
      <c r="D757" s="17"/>
      <c r="E757" s="17"/>
      <c r="F757" s="17"/>
      <c r="G757" s="17"/>
      <c r="H757" s="17"/>
      <c r="I757" s="17"/>
      <c r="J757" s="17"/>
      <c r="K757" s="17"/>
      <c r="L757" s="17"/>
      <c r="M757" s="17"/>
      <c r="N757" s="17"/>
      <c r="O757" s="17"/>
      <c r="P757" s="17"/>
      <c r="Q757" s="17"/>
      <c r="R757" s="17"/>
      <c r="S757" s="17"/>
      <c r="T757" s="17"/>
      <c r="U757" s="18"/>
    </row>
    <row r="758" spans="1:21" ht="28" customHeight="1" x14ac:dyDescent="0.35">
      <c r="A758" s="19" t="s">
        <v>503</v>
      </c>
      <c r="B758" s="20"/>
      <c r="C758" s="20"/>
      <c r="D758" s="20"/>
      <c r="E758" s="20"/>
      <c r="F758" s="20"/>
      <c r="G758" s="20"/>
      <c r="H758" s="20"/>
      <c r="I758" s="20"/>
      <c r="J758" s="20"/>
      <c r="K758" s="20"/>
      <c r="L758" s="20"/>
      <c r="M758" s="20"/>
      <c r="N758" s="20"/>
      <c r="O758" s="20"/>
      <c r="P758" s="20"/>
      <c r="Q758" s="20"/>
      <c r="R758" s="20"/>
      <c r="S758" s="20"/>
      <c r="T758" s="20"/>
      <c r="U758" s="21"/>
    </row>
    <row r="759" spans="1:21" ht="28" customHeight="1" x14ac:dyDescent="0.35">
      <c r="A759" s="4" t="s">
        <v>31</v>
      </c>
      <c r="B759" s="3" t="s">
        <v>258</v>
      </c>
      <c r="C759" s="4" t="s">
        <v>32</v>
      </c>
      <c r="D759" s="3"/>
      <c r="E759" s="4" t="s">
        <v>33</v>
      </c>
      <c r="F759" s="8"/>
    </row>
    <row r="760" spans="1:21" ht="28" customHeight="1" x14ac:dyDescent="0.35">
      <c r="A760" s="1" t="s">
        <v>34</v>
      </c>
      <c r="B760" s="1" t="s">
        <v>35</v>
      </c>
      <c r="C760" s="1" t="s">
        <v>36</v>
      </c>
      <c r="D760" s="1" t="s">
        <v>37</v>
      </c>
      <c r="E760" s="1" t="s">
        <v>38</v>
      </c>
      <c r="F760" s="1" t="s">
        <v>39</v>
      </c>
      <c r="G760" s="1" t="s">
        <v>40</v>
      </c>
      <c r="H760" s="1" t="s">
        <v>41</v>
      </c>
      <c r="I760" s="1" t="s">
        <v>42</v>
      </c>
      <c r="J760" s="1" t="s">
        <v>43</v>
      </c>
      <c r="K760" s="1" t="s">
        <v>44</v>
      </c>
      <c r="L760" s="1" t="s">
        <v>45</v>
      </c>
      <c r="M760" s="1" t="s">
        <v>46</v>
      </c>
      <c r="N760" s="1" t="s">
        <v>47</v>
      </c>
      <c r="O760" s="1" t="s">
        <v>48</v>
      </c>
      <c r="P760" s="1" t="s">
        <v>4</v>
      </c>
      <c r="Q760" s="1" t="s">
        <v>49</v>
      </c>
      <c r="R760" s="1" t="s">
        <v>50</v>
      </c>
      <c r="S760" s="1" t="s">
        <v>51</v>
      </c>
      <c r="T760" s="1" t="s">
        <v>52</v>
      </c>
      <c r="U760" s="1" t="s">
        <v>10</v>
      </c>
    </row>
    <row r="761" spans="1:21" ht="28" customHeight="1" x14ac:dyDescent="0.35">
      <c r="A761" s="4">
        <v>1</v>
      </c>
      <c r="B761" s="4" t="s">
        <v>439</v>
      </c>
      <c r="C761" s="4" t="s">
        <v>440</v>
      </c>
      <c r="D761" s="4" t="s">
        <v>441</v>
      </c>
      <c r="E761" s="4" t="s">
        <v>69</v>
      </c>
      <c r="F761" s="4" t="s">
        <v>370</v>
      </c>
      <c r="G761" s="4" t="s">
        <v>204</v>
      </c>
      <c r="H761" s="4" t="s">
        <v>59</v>
      </c>
      <c r="I761" s="3"/>
      <c r="J761" s="3"/>
      <c r="K761" s="3"/>
      <c r="L761" s="3"/>
      <c r="M761" s="3"/>
      <c r="N761" s="3"/>
      <c r="O761" s="3"/>
      <c r="P761" s="8"/>
      <c r="Q761" s="8"/>
      <c r="R761" s="3"/>
      <c r="S761" s="3"/>
      <c r="T761" s="3"/>
      <c r="U761" s="5" t="str">
        <f t="shared" ref="U761:U772" si="45">IF(I761="","",IF(I761="NA","Grey",IF(I761=2,"Green",IF(I761=1,"Amber","Red"))))</f>
        <v/>
      </c>
    </row>
    <row r="762" spans="1:21" ht="28" customHeight="1" x14ac:dyDescent="0.35">
      <c r="A762" s="4">
        <v>2</v>
      </c>
      <c r="B762" s="4" t="s">
        <v>442</v>
      </c>
      <c r="C762" s="4" t="s">
        <v>443</v>
      </c>
      <c r="D762" s="4" t="s">
        <v>444</v>
      </c>
      <c r="E762" s="4" t="s">
        <v>69</v>
      </c>
      <c r="F762" s="4" t="s">
        <v>95</v>
      </c>
      <c r="G762" s="4" t="s">
        <v>102</v>
      </c>
      <c r="H762" s="4" t="s">
        <v>59</v>
      </c>
      <c r="I762" s="3"/>
      <c r="J762" s="3"/>
      <c r="K762" s="3"/>
      <c r="L762" s="3"/>
      <c r="M762" s="3"/>
      <c r="N762" s="3"/>
      <c r="O762" s="3"/>
      <c r="P762" s="8"/>
      <c r="Q762" s="8"/>
      <c r="R762" s="3"/>
      <c r="S762" s="3"/>
      <c r="T762" s="3"/>
      <c r="U762" s="5" t="str">
        <f t="shared" si="45"/>
        <v/>
      </c>
    </row>
    <row r="763" spans="1:21" ht="28" customHeight="1" x14ac:dyDescent="0.35">
      <c r="A763" s="4">
        <v>3</v>
      </c>
      <c r="B763" s="4" t="s">
        <v>445</v>
      </c>
      <c r="C763" s="4" t="s">
        <v>446</v>
      </c>
      <c r="D763" s="4" t="s">
        <v>369</v>
      </c>
      <c r="E763" s="4" t="s">
        <v>69</v>
      </c>
      <c r="F763" s="4" t="s">
        <v>370</v>
      </c>
      <c r="G763" s="4" t="s">
        <v>204</v>
      </c>
      <c r="H763" s="4" t="s">
        <v>76</v>
      </c>
      <c r="I763" s="3"/>
      <c r="J763" s="3"/>
      <c r="K763" s="3"/>
      <c r="L763" s="3"/>
      <c r="M763" s="3"/>
      <c r="N763" s="3"/>
      <c r="O763" s="3"/>
      <c r="P763" s="8"/>
      <c r="Q763" s="8"/>
      <c r="R763" s="3"/>
      <c r="S763" s="3"/>
      <c r="T763" s="3"/>
      <c r="U763" s="5" t="str">
        <f t="shared" si="45"/>
        <v/>
      </c>
    </row>
    <row r="764" spans="1:21" ht="28" customHeight="1" x14ac:dyDescent="0.35">
      <c r="A764" s="4">
        <v>4</v>
      </c>
      <c r="B764" s="4" t="s">
        <v>447</v>
      </c>
      <c r="C764" s="4" t="s">
        <v>448</v>
      </c>
      <c r="D764" s="4" t="s">
        <v>449</v>
      </c>
      <c r="E764" s="4" t="s">
        <v>109</v>
      </c>
      <c r="F764" s="4" t="s">
        <v>276</v>
      </c>
      <c r="G764" s="4" t="s">
        <v>199</v>
      </c>
      <c r="H764" s="4" t="s">
        <v>59</v>
      </c>
      <c r="I764" s="3"/>
      <c r="J764" s="3"/>
      <c r="K764" s="3"/>
      <c r="L764" s="3"/>
      <c r="M764" s="3"/>
      <c r="N764" s="3"/>
      <c r="O764" s="3"/>
      <c r="P764" s="8"/>
      <c r="Q764" s="8"/>
      <c r="R764" s="3"/>
      <c r="S764" s="3"/>
      <c r="T764" s="3"/>
      <c r="U764" s="5" t="str">
        <f t="shared" si="45"/>
        <v/>
      </c>
    </row>
    <row r="765" spans="1:21" ht="28" customHeight="1" x14ac:dyDescent="0.35">
      <c r="A765" s="4">
        <v>5</v>
      </c>
      <c r="B765" s="4" t="s">
        <v>450</v>
      </c>
      <c r="C765" s="4" t="s">
        <v>451</v>
      </c>
      <c r="D765" s="4" t="s">
        <v>452</v>
      </c>
      <c r="E765" s="4" t="s">
        <v>69</v>
      </c>
      <c r="F765" s="4" t="s">
        <v>276</v>
      </c>
      <c r="G765" s="4" t="s">
        <v>199</v>
      </c>
      <c r="H765" s="4" t="s">
        <v>59</v>
      </c>
      <c r="I765" s="3"/>
      <c r="J765" s="3"/>
      <c r="K765" s="3"/>
      <c r="L765" s="3"/>
      <c r="M765" s="3"/>
      <c r="N765" s="3"/>
      <c r="O765" s="3"/>
      <c r="P765" s="8"/>
      <c r="Q765" s="8"/>
      <c r="R765" s="3"/>
      <c r="S765" s="3"/>
      <c r="T765" s="3"/>
      <c r="U765" s="5" t="str">
        <f t="shared" si="45"/>
        <v/>
      </c>
    </row>
    <row r="766" spans="1:21" ht="28" customHeight="1" x14ac:dyDescent="0.35">
      <c r="A766" s="4">
        <v>6</v>
      </c>
      <c r="B766" s="4" t="s">
        <v>453</v>
      </c>
      <c r="C766" s="4" t="s">
        <v>454</v>
      </c>
      <c r="D766" s="4" t="s">
        <v>455</v>
      </c>
      <c r="E766" s="4" t="s">
        <v>69</v>
      </c>
      <c r="F766" s="4" t="s">
        <v>284</v>
      </c>
      <c r="G766" s="4" t="s">
        <v>204</v>
      </c>
      <c r="H766" s="4" t="s">
        <v>76</v>
      </c>
      <c r="I766" s="3"/>
      <c r="J766" s="3"/>
      <c r="K766" s="3"/>
      <c r="L766" s="3"/>
      <c r="M766" s="3"/>
      <c r="N766" s="3"/>
      <c r="O766" s="3"/>
      <c r="P766" s="8"/>
      <c r="Q766" s="8"/>
      <c r="R766" s="3"/>
      <c r="S766" s="3"/>
      <c r="T766" s="3"/>
      <c r="U766" s="5" t="str">
        <f t="shared" si="45"/>
        <v/>
      </c>
    </row>
    <row r="767" spans="1:21" ht="28" customHeight="1" x14ac:dyDescent="0.35">
      <c r="A767" s="4">
        <v>7</v>
      </c>
      <c r="B767" s="4" t="s">
        <v>456</v>
      </c>
      <c r="C767" s="4" t="s">
        <v>457</v>
      </c>
      <c r="D767" s="4" t="s">
        <v>458</v>
      </c>
      <c r="E767" s="4" t="s">
        <v>69</v>
      </c>
      <c r="F767" s="4" t="s">
        <v>459</v>
      </c>
      <c r="G767" s="4" t="s">
        <v>209</v>
      </c>
      <c r="H767" s="4" t="s">
        <v>59</v>
      </c>
      <c r="I767" s="3"/>
      <c r="J767" s="3"/>
      <c r="K767" s="3"/>
      <c r="L767" s="3"/>
      <c r="M767" s="3"/>
      <c r="N767" s="3"/>
      <c r="O767" s="3"/>
      <c r="P767" s="8"/>
      <c r="Q767" s="8"/>
      <c r="R767" s="3"/>
      <c r="S767" s="3"/>
      <c r="T767" s="3"/>
      <c r="U767" s="5" t="str">
        <f t="shared" si="45"/>
        <v/>
      </c>
    </row>
    <row r="768" spans="1:21" ht="28" customHeight="1" x14ac:dyDescent="0.35">
      <c r="A768" s="4">
        <v>8</v>
      </c>
      <c r="B768" s="4" t="s">
        <v>460</v>
      </c>
      <c r="C768" s="4" t="s">
        <v>461</v>
      </c>
      <c r="D768" s="4" t="s">
        <v>462</v>
      </c>
      <c r="E768" s="4" t="s">
        <v>69</v>
      </c>
      <c r="F768" s="4" t="s">
        <v>95</v>
      </c>
      <c r="G768" s="4" t="s">
        <v>102</v>
      </c>
      <c r="H768" s="4" t="s">
        <v>59</v>
      </c>
      <c r="I768" s="3"/>
      <c r="J768" s="3"/>
      <c r="K768" s="3"/>
      <c r="L768" s="3"/>
      <c r="M768" s="3"/>
      <c r="N768" s="3"/>
      <c r="O768" s="3"/>
      <c r="P768" s="8"/>
      <c r="Q768" s="8"/>
      <c r="R768" s="3"/>
      <c r="S768" s="3"/>
      <c r="T768" s="3"/>
      <c r="U768" s="5" t="str">
        <f t="shared" si="45"/>
        <v/>
      </c>
    </row>
    <row r="769" spans="1:21" ht="28" customHeight="1" x14ac:dyDescent="0.35">
      <c r="A769" s="4">
        <v>9</v>
      </c>
      <c r="B769" s="4" t="s">
        <v>97</v>
      </c>
      <c r="C769" s="4" t="s">
        <v>98</v>
      </c>
      <c r="D769" s="4" t="s">
        <v>99</v>
      </c>
      <c r="E769" s="4" t="s">
        <v>69</v>
      </c>
      <c r="F769" s="4" t="s">
        <v>95</v>
      </c>
      <c r="G769" s="4" t="s">
        <v>96</v>
      </c>
      <c r="H769" s="4" t="s">
        <v>59</v>
      </c>
      <c r="I769" s="3"/>
      <c r="J769" s="3"/>
      <c r="K769" s="3"/>
      <c r="L769" s="3"/>
      <c r="M769" s="3"/>
      <c r="N769" s="3"/>
      <c r="O769" s="3"/>
      <c r="P769" s="8"/>
      <c r="Q769" s="8"/>
      <c r="R769" s="3"/>
      <c r="S769" s="3"/>
      <c r="T769" s="3"/>
      <c r="U769" s="5" t="str">
        <f t="shared" si="45"/>
        <v/>
      </c>
    </row>
    <row r="770" spans="1:21" ht="28" customHeight="1" x14ac:dyDescent="0.35">
      <c r="A770" s="4">
        <v>10</v>
      </c>
      <c r="B770" s="4" t="s">
        <v>97</v>
      </c>
      <c r="C770" s="4" t="s">
        <v>100</v>
      </c>
      <c r="D770" s="4" t="s">
        <v>101</v>
      </c>
      <c r="E770" s="4" t="s">
        <v>69</v>
      </c>
      <c r="F770" s="4" t="s">
        <v>95</v>
      </c>
      <c r="G770" s="4" t="s">
        <v>102</v>
      </c>
      <c r="H770" s="4" t="s">
        <v>59</v>
      </c>
      <c r="I770" s="3"/>
      <c r="J770" s="3"/>
      <c r="K770" s="3"/>
      <c r="L770" s="3"/>
      <c r="M770" s="3"/>
      <c r="N770" s="3"/>
      <c r="O770" s="3"/>
      <c r="P770" s="8"/>
      <c r="Q770" s="8"/>
      <c r="R770" s="3"/>
      <c r="S770" s="3"/>
      <c r="T770" s="3"/>
      <c r="U770" s="5" t="str">
        <f t="shared" si="45"/>
        <v/>
      </c>
    </row>
    <row r="771" spans="1:21" ht="28" customHeight="1" x14ac:dyDescent="0.35">
      <c r="A771" s="4">
        <v>11</v>
      </c>
      <c r="B771" s="4" t="s">
        <v>103</v>
      </c>
      <c r="C771" s="4" t="s">
        <v>104</v>
      </c>
      <c r="D771" s="4" t="s">
        <v>105</v>
      </c>
      <c r="E771" s="4" t="s">
        <v>69</v>
      </c>
      <c r="F771" s="4" t="s">
        <v>95</v>
      </c>
      <c r="G771" s="4" t="s">
        <v>96</v>
      </c>
      <c r="H771" s="4" t="s">
        <v>85</v>
      </c>
      <c r="I771" s="3"/>
      <c r="J771" s="3"/>
      <c r="K771" s="3"/>
      <c r="L771" s="3"/>
      <c r="M771" s="3"/>
      <c r="N771" s="3"/>
      <c r="O771" s="3"/>
      <c r="P771" s="8"/>
      <c r="Q771" s="8"/>
      <c r="R771" s="3"/>
      <c r="S771" s="3"/>
      <c r="T771" s="3"/>
      <c r="U771" s="5" t="str">
        <f t="shared" si="45"/>
        <v/>
      </c>
    </row>
    <row r="772" spans="1:21" ht="28" customHeight="1" x14ac:dyDescent="0.35">
      <c r="A772" s="4">
        <v>12</v>
      </c>
      <c r="B772" s="4" t="s">
        <v>106</v>
      </c>
      <c r="C772" s="4" t="s">
        <v>107</v>
      </c>
      <c r="D772" s="4" t="s">
        <v>108</v>
      </c>
      <c r="E772" s="4" t="s">
        <v>109</v>
      </c>
      <c r="F772" s="4" t="s">
        <v>95</v>
      </c>
      <c r="G772" s="4" t="s">
        <v>96</v>
      </c>
      <c r="H772" s="4" t="s">
        <v>59</v>
      </c>
      <c r="I772" s="3"/>
      <c r="J772" s="3"/>
      <c r="K772" s="3"/>
      <c r="L772" s="3"/>
      <c r="M772" s="3"/>
      <c r="N772" s="3"/>
      <c r="O772" s="3"/>
      <c r="P772" s="8"/>
      <c r="Q772" s="8"/>
      <c r="R772" s="3"/>
      <c r="S772" s="3"/>
      <c r="T772" s="3"/>
      <c r="U772" s="5" t="str">
        <f t="shared" si="45"/>
        <v/>
      </c>
    </row>
    <row r="774" spans="1:21" ht="28" customHeight="1" x14ac:dyDescent="0.35">
      <c r="A774" s="9" t="s">
        <v>110</v>
      </c>
      <c r="B774" s="16"/>
      <c r="C774" s="17"/>
      <c r="D774" s="17"/>
      <c r="E774" s="17"/>
      <c r="F774" s="17"/>
      <c r="G774" s="17"/>
      <c r="H774" s="17"/>
      <c r="I774" s="17"/>
      <c r="J774" s="17"/>
      <c r="K774" s="17"/>
      <c r="L774" s="17"/>
      <c r="M774" s="17"/>
      <c r="N774" s="17"/>
      <c r="O774" s="17"/>
      <c r="P774" s="17"/>
      <c r="Q774" s="17"/>
      <c r="R774" s="17"/>
      <c r="S774" s="17"/>
      <c r="T774" s="17"/>
      <c r="U774" s="18"/>
    </row>
    <row r="775" spans="1:21" ht="28" customHeight="1" x14ac:dyDescent="0.35">
      <c r="A775" s="19" t="s">
        <v>504</v>
      </c>
      <c r="B775" s="20"/>
      <c r="C775" s="20"/>
      <c r="D775" s="20"/>
      <c r="E775" s="20"/>
      <c r="F775" s="20"/>
      <c r="G775" s="20"/>
      <c r="H775" s="20"/>
      <c r="I775" s="20"/>
      <c r="J775" s="20"/>
      <c r="K775" s="20"/>
      <c r="L775" s="20"/>
      <c r="M775" s="20"/>
      <c r="N775" s="20"/>
      <c r="O775" s="20"/>
      <c r="P775" s="20"/>
      <c r="Q775" s="20"/>
      <c r="R775" s="20"/>
      <c r="S775" s="20"/>
      <c r="T775" s="20"/>
      <c r="U775" s="21"/>
    </row>
    <row r="776" spans="1:21" ht="28" customHeight="1" x14ac:dyDescent="0.35">
      <c r="A776" s="4" t="s">
        <v>31</v>
      </c>
      <c r="B776" s="3" t="s">
        <v>259</v>
      </c>
      <c r="C776" s="4" t="s">
        <v>32</v>
      </c>
      <c r="D776" s="3"/>
      <c r="E776" s="4" t="s">
        <v>33</v>
      </c>
      <c r="F776" s="8"/>
    </row>
    <row r="777" spans="1:21" ht="28" customHeight="1" x14ac:dyDescent="0.35">
      <c r="A777" s="1" t="s">
        <v>34</v>
      </c>
      <c r="B777" s="1" t="s">
        <v>35</v>
      </c>
      <c r="C777" s="1" t="s">
        <v>36</v>
      </c>
      <c r="D777" s="1" t="s">
        <v>37</v>
      </c>
      <c r="E777" s="1" t="s">
        <v>38</v>
      </c>
      <c r="F777" s="1" t="s">
        <v>39</v>
      </c>
      <c r="G777" s="1" t="s">
        <v>40</v>
      </c>
      <c r="H777" s="1" t="s">
        <v>41</v>
      </c>
      <c r="I777" s="1" t="s">
        <v>42</v>
      </c>
      <c r="J777" s="1" t="s">
        <v>43</v>
      </c>
      <c r="K777" s="1" t="s">
        <v>44</v>
      </c>
      <c r="L777" s="1" t="s">
        <v>45</v>
      </c>
      <c r="M777" s="1" t="s">
        <v>46</v>
      </c>
      <c r="N777" s="1" t="s">
        <v>47</v>
      </c>
      <c r="O777" s="1" t="s">
        <v>48</v>
      </c>
      <c r="P777" s="1" t="s">
        <v>4</v>
      </c>
      <c r="Q777" s="1" t="s">
        <v>49</v>
      </c>
      <c r="R777" s="1" t="s">
        <v>50</v>
      </c>
      <c r="S777" s="1" t="s">
        <v>51</v>
      </c>
      <c r="T777" s="1" t="s">
        <v>52</v>
      </c>
      <c r="U777" s="1" t="s">
        <v>10</v>
      </c>
    </row>
    <row r="778" spans="1:21" ht="28" customHeight="1" x14ac:dyDescent="0.35">
      <c r="A778" s="4">
        <v>1</v>
      </c>
      <c r="B778" s="4" t="s">
        <v>439</v>
      </c>
      <c r="C778" s="4" t="s">
        <v>440</v>
      </c>
      <c r="D778" s="4" t="s">
        <v>441</v>
      </c>
      <c r="E778" s="4" t="s">
        <v>69</v>
      </c>
      <c r="F778" s="4" t="s">
        <v>370</v>
      </c>
      <c r="G778" s="4" t="s">
        <v>204</v>
      </c>
      <c r="H778" s="4" t="s">
        <v>59</v>
      </c>
      <c r="I778" s="3"/>
      <c r="J778" s="3"/>
      <c r="K778" s="3"/>
      <c r="L778" s="3"/>
      <c r="M778" s="3"/>
      <c r="N778" s="3"/>
      <c r="O778" s="3"/>
      <c r="P778" s="8"/>
      <c r="Q778" s="8"/>
      <c r="R778" s="3"/>
      <c r="S778" s="3"/>
      <c r="T778" s="3"/>
      <c r="U778" s="5" t="str">
        <f t="shared" ref="U778:U789" si="46">IF(I778="","",IF(I778="NA","Grey",IF(I778=2,"Green",IF(I778=1,"Amber","Red"))))</f>
        <v/>
      </c>
    </row>
    <row r="779" spans="1:21" ht="28" customHeight="1" x14ac:dyDescent="0.35">
      <c r="A779" s="4">
        <v>2</v>
      </c>
      <c r="B779" s="4" t="s">
        <v>442</v>
      </c>
      <c r="C779" s="4" t="s">
        <v>443</v>
      </c>
      <c r="D779" s="4" t="s">
        <v>444</v>
      </c>
      <c r="E779" s="4" t="s">
        <v>69</v>
      </c>
      <c r="F779" s="4" t="s">
        <v>95</v>
      </c>
      <c r="G779" s="4" t="s">
        <v>102</v>
      </c>
      <c r="H779" s="4" t="s">
        <v>59</v>
      </c>
      <c r="I779" s="3"/>
      <c r="J779" s="3"/>
      <c r="K779" s="3"/>
      <c r="L779" s="3"/>
      <c r="M779" s="3"/>
      <c r="N779" s="3"/>
      <c r="O779" s="3"/>
      <c r="P779" s="8"/>
      <c r="Q779" s="8"/>
      <c r="R779" s="3"/>
      <c r="S779" s="3"/>
      <c r="T779" s="3"/>
      <c r="U779" s="5" t="str">
        <f t="shared" si="46"/>
        <v/>
      </c>
    </row>
    <row r="780" spans="1:21" ht="28" customHeight="1" x14ac:dyDescent="0.35">
      <c r="A780" s="4">
        <v>3</v>
      </c>
      <c r="B780" s="4" t="s">
        <v>445</v>
      </c>
      <c r="C780" s="4" t="s">
        <v>446</v>
      </c>
      <c r="D780" s="4" t="s">
        <v>369</v>
      </c>
      <c r="E780" s="4" t="s">
        <v>69</v>
      </c>
      <c r="F780" s="4" t="s">
        <v>370</v>
      </c>
      <c r="G780" s="4" t="s">
        <v>204</v>
      </c>
      <c r="H780" s="4" t="s">
        <v>76</v>
      </c>
      <c r="I780" s="3"/>
      <c r="J780" s="3"/>
      <c r="K780" s="3"/>
      <c r="L780" s="3"/>
      <c r="M780" s="3"/>
      <c r="N780" s="3"/>
      <c r="O780" s="3"/>
      <c r="P780" s="8"/>
      <c r="Q780" s="8"/>
      <c r="R780" s="3"/>
      <c r="S780" s="3"/>
      <c r="T780" s="3"/>
      <c r="U780" s="5" t="str">
        <f t="shared" si="46"/>
        <v/>
      </c>
    </row>
    <row r="781" spans="1:21" ht="28" customHeight="1" x14ac:dyDescent="0.35">
      <c r="A781" s="4">
        <v>4</v>
      </c>
      <c r="B781" s="4" t="s">
        <v>447</v>
      </c>
      <c r="C781" s="4" t="s">
        <v>448</v>
      </c>
      <c r="D781" s="4" t="s">
        <v>449</v>
      </c>
      <c r="E781" s="4" t="s">
        <v>109</v>
      </c>
      <c r="F781" s="4" t="s">
        <v>276</v>
      </c>
      <c r="G781" s="4" t="s">
        <v>199</v>
      </c>
      <c r="H781" s="4" t="s">
        <v>59</v>
      </c>
      <c r="I781" s="3"/>
      <c r="J781" s="3"/>
      <c r="K781" s="3"/>
      <c r="L781" s="3"/>
      <c r="M781" s="3"/>
      <c r="N781" s="3"/>
      <c r="O781" s="3"/>
      <c r="P781" s="8"/>
      <c r="Q781" s="8"/>
      <c r="R781" s="3"/>
      <c r="S781" s="3"/>
      <c r="T781" s="3"/>
      <c r="U781" s="5" t="str">
        <f t="shared" si="46"/>
        <v/>
      </c>
    </row>
    <row r="782" spans="1:21" ht="28" customHeight="1" x14ac:dyDescent="0.35">
      <c r="A782" s="4">
        <v>5</v>
      </c>
      <c r="B782" s="4" t="s">
        <v>450</v>
      </c>
      <c r="C782" s="4" t="s">
        <v>451</v>
      </c>
      <c r="D782" s="4" t="s">
        <v>452</v>
      </c>
      <c r="E782" s="4" t="s">
        <v>69</v>
      </c>
      <c r="F782" s="4" t="s">
        <v>276</v>
      </c>
      <c r="G782" s="4" t="s">
        <v>199</v>
      </c>
      <c r="H782" s="4" t="s">
        <v>59</v>
      </c>
      <c r="I782" s="3"/>
      <c r="J782" s="3"/>
      <c r="K782" s="3"/>
      <c r="L782" s="3"/>
      <c r="M782" s="3"/>
      <c r="N782" s="3"/>
      <c r="O782" s="3"/>
      <c r="P782" s="8"/>
      <c r="Q782" s="8"/>
      <c r="R782" s="3"/>
      <c r="S782" s="3"/>
      <c r="T782" s="3"/>
      <c r="U782" s="5" t="str">
        <f t="shared" si="46"/>
        <v/>
      </c>
    </row>
    <row r="783" spans="1:21" ht="28" customHeight="1" x14ac:dyDescent="0.35">
      <c r="A783" s="4">
        <v>6</v>
      </c>
      <c r="B783" s="4" t="s">
        <v>453</v>
      </c>
      <c r="C783" s="4" t="s">
        <v>454</v>
      </c>
      <c r="D783" s="4" t="s">
        <v>455</v>
      </c>
      <c r="E783" s="4" t="s">
        <v>69</v>
      </c>
      <c r="F783" s="4" t="s">
        <v>284</v>
      </c>
      <c r="G783" s="4" t="s">
        <v>204</v>
      </c>
      <c r="H783" s="4" t="s">
        <v>76</v>
      </c>
      <c r="I783" s="3"/>
      <c r="J783" s="3"/>
      <c r="K783" s="3"/>
      <c r="L783" s="3"/>
      <c r="M783" s="3"/>
      <c r="N783" s="3"/>
      <c r="O783" s="3"/>
      <c r="P783" s="8"/>
      <c r="Q783" s="8"/>
      <c r="R783" s="3"/>
      <c r="S783" s="3"/>
      <c r="T783" s="3"/>
      <c r="U783" s="5" t="str">
        <f t="shared" si="46"/>
        <v/>
      </c>
    </row>
    <row r="784" spans="1:21" ht="28" customHeight="1" x14ac:dyDescent="0.35">
      <c r="A784" s="4">
        <v>7</v>
      </c>
      <c r="B784" s="4" t="s">
        <v>456</v>
      </c>
      <c r="C784" s="4" t="s">
        <v>457</v>
      </c>
      <c r="D784" s="4" t="s">
        <v>458</v>
      </c>
      <c r="E784" s="4" t="s">
        <v>69</v>
      </c>
      <c r="F784" s="4" t="s">
        <v>459</v>
      </c>
      <c r="G784" s="4" t="s">
        <v>209</v>
      </c>
      <c r="H784" s="4" t="s">
        <v>59</v>
      </c>
      <c r="I784" s="3"/>
      <c r="J784" s="3"/>
      <c r="K784" s="3"/>
      <c r="L784" s="3"/>
      <c r="M784" s="3"/>
      <c r="N784" s="3"/>
      <c r="O784" s="3"/>
      <c r="P784" s="8"/>
      <c r="Q784" s="8"/>
      <c r="R784" s="3"/>
      <c r="S784" s="3"/>
      <c r="T784" s="3"/>
      <c r="U784" s="5" t="str">
        <f t="shared" si="46"/>
        <v/>
      </c>
    </row>
    <row r="785" spans="1:21" ht="28" customHeight="1" x14ac:dyDescent="0.35">
      <c r="A785" s="4">
        <v>8</v>
      </c>
      <c r="B785" s="4" t="s">
        <v>460</v>
      </c>
      <c r="C785" s="4" t="s">
        <v>461</v>
      </c>
      <c r="D785" s="4" t="s">
        <v>462</v>
      </c>
      <c r="E785" s="4" t="s">
        <v>69</v>
      </c>
      <c r="F785" s="4" t="s">
        <v>95</v>
      </c>
      <c r="G785" s="4" t="s">
        <v>102</v>
      </c>
      <c r="H785" s="4" t="s">
        <v>59</v>
      </c>
      <c r="I785" s="3"/>
      <c r="J785" s="3"/>
      <c r="K785" s="3"/>
      <c r="L785" s="3"/>
      <c r="M785" s="3"/>
      <c r="N785" s="3"/>
      <c r="O785" s="3"/>
      <c r="P785" s="8"/>
      <c r="Q785" s="8"/>
      <c r="R785" s="3"/>
      <c r="S785" s="3"/>
      <c r="T785" s="3"/>
      <c r="U785" s="5" t="str">
        <f t="shared" si="46"/>
        <v/>
      </c>
    </row>
    <row r="786" spans="1:21" ht="28" customHeight="1" x14ac:dyDescent="0.35">
      <c r="A786" s="4">
        <v>9</v>
      </c>
      <c r="B786" s="4" t="s">
        <v>97</v>
      </c>
      <c r="C786" s="4" t="s">
        <v>98</v>
      </c>
      <c r="D786" s="4" t="s">
        <v>99</v>
      </c>
      <c r="E786" s="4" t="s">
        <v>69</v>
      </c>
      <c r="F786" s="4" t="s">
        <v>95</v>
      </c>
      <c r="G786" s="4" t="s">
        <v>96</v>
      </c>
      <c r="H786" s="4" t="s">
        <v>59</v>
      </c>
      <c r="I786" s="3"/>
      <c r="J786" s="3"/>
      <c r="K786" s="3"/>
      <c r="L786" s="3"/>
      <c r="M786" s="3"/>
      <c r="N786" s="3"/>
      <c r="O786" s="3"/>
      <c r="P786" s="8"/>
      <c r="Q786" s="8"/>
      <c r="R786" s="3"/>
      <c r="S786" s="3"/>
      <c r="T786" s="3"/>
      <c r="U786" s="5" t="str">
        <f t="shared" si="46"/>
        <v/>
      </c>
    </row>
    <row r="787" spans="1:21" ht="28" customHeight="1" x14ac:dyDescent="0.35">
      <c r="A787" s="4">
        <v>10</v>
      </c>
      <c r="B787" s="4" t="s">
        <v>97</v>
      </c>
      <c r="C787" s="4" t="s">
        <v>100</v>
      </c>
      <c r="D787" s="4" t="s">
        <v>101</v>
      </c>
      <c r="E787" s="4" t="s">
        <v>69</v>
      </c>
      <c r="F787" s="4" t="s">
        <v>95</v>
      </c>
      <c r="G787" s="4" t="s">
        <v>102</v>
      </c>
      <c r="H787" s="4" t="s">
        <v>59</v>
      </c>
      <c r="I787" s="3"/>
      <c r="J787" s="3"/>
      <c r="K787" s="3"/>
      <c r="L787" s="3"/>
      <c r="M787" s="3"/>
      <c r="N787" s="3"/>
      <c r="O787" s="3"/>
      <c r="P787" s="8"/>
      <c r="Q787" s="8"/>
      <c r="R787" s="3"/>
      <c r="S787" s="3"/>
      <c r="T787" s="3"/>
      <c r="U787" s="5" t="str">
        <f t="shared" si="46"/>
        <v/>
      </c>
    </row>
    <row r="788" spans="1:21" ht="28" customHeight="1" x14ac:dyDescent="0.35">
      <c r="A788" s="4">
        <v>11</v>
      </c>
      <c r="B788" s="4" t="s">
        <v>103</v>
      </c>
      <c r="C788" s="4" t="s">
        <v>104</v>
      </c>
      <c r="D788" s="4" t="s">
        <v>105</v>
      </c>
      <c r="E788" s="4" t="s">
        <v>69</v>
      </c>
      <c r="F788" s="4" t="s">
        <v>95</v>
      </c>
      <c r="G788" s="4" t="s">
        <v>96</v>
      </c>
      <c r="H788" s="4" t="s">
        <v>85</v>
      </c>
      <c r="I788" s="3"/>
      <c r="J788" s="3"/>
      <c r="K788" s="3"/>
      <c r="L788" s="3"/>
      <c r="M788" s="3"/>
      <c r="N788" s="3"/>
      <c r="O788" s="3"/>
      <c r="P788" s="8"/>
      <c r="Q788" s="8"/>
      <c r="R788" s="3"/>
      <c r="S788" s="3"/>
      <c r="T788" s="3"/>
      <c r="U788" s="5" t="str">
        <f t="shared" si="46"/>
        <v/>
      </c>
    </row>
    <row r="789" spans="1:21" ht="28" customHeight="1" x14ac:dyDescent="0.35">
      <c r="A789" s="4">
        <v>12</v>
      </c>
      <c r="B789" s="4" t="s">
        <v>106</v>
      </c>
      <c r="C789" s="4" t="s">
        <v>107</v>
      </c>
      <c r="D789" s="4" t="s">
        <v>108</v>
      </c>
      <c r="E789" s="4" t="s">
        <v>109</v>
      </c>
      <c r="F789" s="4" t="s">
        <v>95</v>
      </c>
      <c r="G789" s="4" t="s">
        <v>96</v>
      </c>
      <c r="H789" s="4" t="s">
        <v>59</v>
      </c>
      <c r="I789" s="3"/>
      <c r="J789" s="3"/>
      <c r="K789" s="3"/>
      <c r="L789" s="3"/>
      <c r="M789" s="3"/>
      <c r="N789" s="3"/>
      <c r="O789" s="3"/>
      <c r="P789" s="8"/>
      <c r="Q789" s="8"/>
      <c r="R789" s="3"/>
      <c r="S789" s="3"/>
      <c r="T789" s="3"/>
      <c r="U789" s="5" t="str">
        <f t="shared" si="46"/>
        <v/>
      </c>
    </row>
    <row r="791" spans="1:21" ht="28" customHeight="1" x14ac:dyDescent="0.35">
      <c r="A791" s="9" t="s">
        <v>110</v>
      </c>
      <c r="B791" s="16"/>
      <c r="C791" s="17"/>
      <c r="D791" s="17"/>
      <c r="E791" s="17"/>
      <c r="F791" s="17"/>
      <c r="G791" s="17"/>
      <c r="H791" s="17"/>
      <c r="I791" s="17"/>
      <c r="J791" s="17"/>
      <c r="K791" s="17"/>
      <c r="L791" s="17"/>
      <c r="M791" s="17"/>
      <c r="N791" s="17"/>
      <c r="O791" s="17"/>
      <c r="P791" s="17"/>
      <c r="Q791" s="17"/>
      <c r="R791" s="17"/>
      <c r="S791" s="17"/>
      <c r="T791" s="17"/>
      <c r="U791" s="18"/>
    </row>
    <row r="792" spans="1:21" ht="28" customHeight="1" x14ac:dyDescent="0.35">
      <c r="A792" s="19" t="s">
        <v>505</v>
      </c>
      <c r="B792" s="20"/>
      <c r="C792" s="20"/>
      <c r="D792" s="20"/>
      <c r="E792" s="20"/>
      <c r="F792" s="20"/>
      <c r="G792" s="20"/>
      <c r="H792" s="20"/>
      <c r="I792" s="20"/>
      <c r="J792" s="20"/>
      <c r="K792" s="20"/>
      <c r="L792" s="20"/>
      <c r="M792" s="20"/>
      <c r="N792" s="20"/>
      <c r="O792" s="20"/>
      <c r="P792" s="20"/>
      <c r="Q792" s="20"/>
      <c r="R792" s="20"/>
      <c r="S792" s="20"/>
      <c r="T792" s="20"/>
      <c r="U792" s="21"/>
    </row>
    <row r="793" spans="1:21" ht="28" customHeight="1" x14ac:dyDescent="0.35">
      <c r="A793" s="4" t="s">
        <v>31</v>
      </c>
      <c r="B793" s="3" t="s">
        <v>260</v>
      </c>
      <c r="C793" s="4" t="s">
        <v>32</v>
      </c>
      <c r="D793" s="3"/>
      <c r="E793" s="4" t="s">
        <v>33</v>
      </c>
      <c r="F793" s="8"/>
    </row>
    <row r="794" spans="1:21" ht="28" customHeight="1" x14ac:dyDescent="0.35">
      <c r="A794" s="1" t="s">
        <v>34</v>
      </c>
      <c r="B794" s="1" t="s">
        <v>35</v>
      </c>
      <c r="C794" s="1" t="s">
        <v>36</v>
      </c>
      <c r="D794" s="1" t="s">
        <v>37</v>
      </c>
      <c r="E794" s="1" t="s">
        <v>38</v>
      </c>
      <c r="F794" s="1" t="s">
        <v>39</v>
      </c>
      <c r="G794" s="1" t="s">
        <v>40</v>
      </c>
      <c r="H794" s="1" t="s">
        <v>41</v>
      </c>
      <c r="I794" s="1" t="s">
        <v>42</v>
      </c>
      <c r="J794" s="1" t="s">
        <v>43</v>
      </c>
      <c r="K794" s="1" t="s">
        <v>44</v>
      </c>
      <c r="L794" s="1" t="s">
        <v>45</v>
      </c>
      <c r="M794" s="1" t="s">
        <v>46</v>
      </c>
      <c r="N794" s="1" t="s">
        <v>47</v>
      </c>
      <c r="O794" s="1" t="s">
        <v>48</v>
      </c>
      <c r="P794" s="1" t="s">
        <v>4</v>
      </c>
      <c r="Q794" s="1" t="s">
        <v>49</v>
      </c>
      <c r="R794" s="1" t="s">
        <v>50</v>
      </c>
      <c r="S794" s="1" t="s">
        <v>51</v>
      </c>
      <c r="T794" s="1" t="s">
        <v>52</v>
      </c>
      <c r="U794" s="1" t="s">
        <v>10</v>
      </c>
    </row>
    <row r="795" spans="1:21" ht="28" customHeight="1" x14ac:dyDescent="0.35">
      <c r="A795" s="4">
        <v>1</v>
      </c>
      <c r="B795" s="4" t="s">
        <v>439</v>
      </c>
      <c r="C795" s="4" t="s">
        <v>440</v>
      </c>
      <c r="D795" s="4" t="s">
        <v>441</v>
      </c>
      <c r="E795" s="4" t="s">
        <v>69</v>
      </c>
      <c r="F795" s="4" t="s">
        <v>370</v>
      </c>
      <c r="G795" s="4" t="s">
        <v>204</v>
      </c>
      <c r="H795" s="4" t="s">
        <v>59</v>
      </c>
      <c r="I795" s="3"/>
      <c r="J795" s="3"/>
      <c r="K795" s="3"/>
      <c r="L795" s="3"/>
      <c r="M795" s="3"/>
      <c r="N795" s="3"/>
      <c r="O795" s="3"/>
      <c r="P795" s="8"/>
      <c r="Q795" s="8"/>
      <c r="R795" s="3"/>
      <c r="S795" s="3"/>
      <c r="T795" s="3"/>
      <c r="U795" s="5" t="str">
        <f t="shared" ref="U795:U806" si="47">IF(I795="","",IF(I795="NA","Grey",IF(I795=2,"Green",IF(I795=1,"Amber","Red"))))</f>
        <v/>
      </c>
    </row>
    <row r="796" spans="1:21" ht="28" customHeight="1" x14ac:dyDescent="0.35">
      <c r="A796" s="4">
        <v>2</v>
      </c>
      <c r="B796" s="4" t="s">
        <v>442</v>
      </c>
      <c r="C796" s="4" t="s">
        <v>443</v>
      </c>
      <c r="D796" s="4" t="s">
        <v>444</v>
      </c>
      <c r="E796" s="4" t="s">
        <v>69</v>
      </c>
      <c r="F796" s="4" t="s">
        <v>95</v>
      </c>
      <c r="G796" s="4" t="s">
        <v>102</v>
      </c>
      <c r="H796" s="4" t="s">
        <v>59</v>
      </c>
      <c r="I796" s="3"/>
      <c r="J796" s="3"/>
      <c r="K796" s="3"/>
      <c r="L796" s="3"/>
      <c r="M796" s="3"/>
      <c r="N796" s="3"/>
      <c r="O796" s="3"/>
      <c r="P796" s="8"/>
      <c r="Q796" s="8"/>
      <c r="R796" s="3"/>
      <c r="S796" s="3"/>
      <c r="T796" s="3"/>
      <c r="U796" s="5" t="str">
        <f t="shared" si="47"/>
        <v/>
      </c>
    </row>
    <row r="797" spans="1:21" ht="28" customHeight="1" x14ac:dyDescent="0.35">
      <c r="A797" s="4">
        <v>3</v>
      </c>
      <c r="B797" s="4" t="s">
        <v>445</v>
      </c>
      <c r="C797" s="4" t="s">
        <v>446</v>
      </c>
      <c r="D797" s="4" t="s">
        <v>369</v>
      </c>
      <c r="E797" s="4" t="s">
        <v>69</v>
      </c>
      <c r="F797" s="4" t="s">
        <v>370</v>
      </c>
      <c r="G797" s="4" t="s">
        <v>204</v>
      </c>
      <c r="H797" s="4" t="s">
        <v>76</v>
      </c>
      <c r="I797" s="3"/>
      <c r="J797" s="3"/>
      <c r="K797" s="3"/>
      <c r="L797" s="3"/>
      <c r="M797" s="3"/>
      <c r="N797" s="3"/>
      <c r="O797" s="3"/>
      <c r="P797" s="8"/>
      <c r="Q797" s="8"/>
      <c r="R797" s="3"/>
      <c r="S797" s="3"/>
      <c r="T797" s="3"/>
      <c r="U797" s="5" t="str">
        <f t="shared" si="47"/>
        <v/>
      </c>
    </row>
    <row r="798" spans="1:21" ht="28" customHeight="1" x14ac:dyDescent="0.35">
      <c r="A798" s="4">
        <v>4</v>
      </c>
      <c r="B798" s="4" t="s">
        <v>447</v>
      </c>
      <c r="C798" s="4" t="s">
        <v>448</v>
      </c>
      <c r="D798" s="4" t="s">
        <v>449</v>
      </c>
      <c r="E798" s="4" t="s">
        <v>109</v>
      </c>
      <c r="F798" s="4" t="s">
        <v>276</v>
      </c>
      <c r="G798" s="4" t="s">
        <v>199</v>
      </c>
      <c r="H798" s="4" t="s">
        <v>59</v>
      </c>
      <c r="I798" s="3"/>
      <c r="J798" s="3"/>
      <c r="K798" s="3"/>
      <c r="L798" s="3"/>
      <c r="M798" s="3"/>
      <c r="N798" s="3"/>
      <c r="O798" s="3"/>
      <c r="P798" s="8"/>
      <c r="Q798" s="8"/>
      <c r="R798" s="3"/>
      <c r="S798" s="3"/>
      <c r="T798" s="3"/>
      <c r="U798" s="5" t="str">
        <f t="shared" si="47"/>
        <v/>
      </c>
    </row>
    <row r="799" spans="1:21" ht="28" customHeight="1" x14ac:dyDescent="0.35">
      <c r="A799" s="4">
        <v>5</v>
      </c>
      <c r="B799" s="4" t="s">
        <v>450</v>
      </c>
      <c r="C799" s="4" t="s">
        <v>451</v>
      </c>
      <c r="D799" s="4" t="s">
        <v>452</v>
      </c>
      <c r="E799" s="4" t="s">
        <v>69</v>
      </c>
      <c r="F799" s="4" t="s">
        <v>276</v>
      </c>
      <c r="G799" s="4" t="s">
        <v>199</v>
      </c>
      <c r="H799" s="4" t="s">
        <v>59</v>
      </c>
      <c r="I799" s="3"/>
      <c r="J799" s="3"/>
      <c r="K799" s="3"/>
      <c r="L799" s="3"/>
      <c r="M799" s="3"/>
      <c r="N799" s="3"/>
      <c r="O799" s="3"/>
      <c r="P799" s="8"/>
      <c r="Q799" s="8"/>
      <c r="R799" s="3"/>
      <c r="S799" s="3"/>
      <c r="T799" s="3"/>
      <c r="U799" s="5" t="str">
        <f t="shared" si="47"/>
        <v/>
      </c>
    </row>
    <row r="800" spans="1:21" ht="28" customHeight="1" x14ac:dyDescent="0.35">
      <c r="A800" s="4">
        <v>6</v>
      </c>
      <c r="B800" s="4" t="s">
        <v>453</v>
      </c>
      <c r="C800" s="4" t="s">
        <v>454</v>
      </c>
      <c r="D800" s="4" t="s">
        <v>455</v>
      </c>
      <c r="E800" s="4" t="s">
        <v>69</v>
      </c>
      <c r="F800" s="4" t="s">
        <v>284</v>
      </c>
      <c r="G800" s="4" t="s">
        <v>204</v>
      </c>
      <c r="H800" s="4" t="s">
        <v>76</v>
      </c>
      <c r="I800" s="3"/>
      <c r="J800" s="3"/>
      <c r="K800" s="3"/>
      <c r="L800" s="3"/>
      <c r="M800" s="3"/>
      <c r="N800" s="3"/>
      <c r="O800" s="3"/>
      <c r="P800" s="8"/>
      <c r="Q800" s="8"/>
      <c r="R800" s="3"/>
      <c r="S800" s="3"/>
      <c r="T800" s="3"/>
      <c r="U800" s="5" t="str">
        <f t="shared" si="47"/>
        <v/>
      </c>
    </row>
    <row r="801" spans="1:21" ht="28" customHeight="1" x14ac:dyDescent="0.35">
      <c r="A801" s="4">
        <v>7</v>
      </c>
      <c r="B801" s="4" t="s">
        <v>456</v>
      </c>
      <c r="C801" s="4" t="s">
        <v>457</v>
      </c>
      <c r="D801" s="4" t="s">
        <v>458</v>
      </c>
      <c r="E801" s="4" t="s">
        <v>69</v>
      </c>
      <c r="F801" s="4" t="s">
        <v>459</v>
      </c>
      <c r="G801" s="4" t="s">
        <v>209</v>
      </c>
      <c r="H801" s="4" t="s">
        <v>59</v>
      </c>
      <c r="I801" s="3"/>
      <c r="J801" s="3"/>
      <c r="K801" s="3"/>
      <c r="L801" s="3"/>
      <c r="M801" s="3"/>
      <c r="N801" s="3"/>
      <c r="O801" s="3"/>
      <c r="P801" s="8"/>
      <c r="Q801" s="8"/>
      <c r="R801" s="3"/>
      <c r="S801" s="3"/>
      <c r="T801" s="3"/>
      <c r="U801" s="5" t="str">
        <f t="shared" si="47"/>
        <v/>
      </c>
    </row>
    <row r="802" spans="1:21" ht="28" customHeight="1" x14ac:dyDescent="0.35">
      <c r="A802" s="4">
        <v>8</v>
      </c>
      <c r="B802" s="4" t="s">
        <v>460</v>
      </c>
      <c r="C802" s="4" t="s">
        <v>461</v>
      </c>
      <c r="D802" s="4" t="s">
        <v>462</v>
      </c>
      <c r="E802" s="4" t="s">
        <v>69</v>
      </c>
      <c r="F802" s="4" t="s">
        <v>95</v>
      </c>
      <c r="G802" s="4" t="s">
        <v>102</v>
      </c>
      <c r="H802" s="4" t="s">
        <v>59</v>
      </c>
      <c r="I802" s="3"/>
      <c r="J802" s="3"/>
      <c r="K802" s="3"/>
      <c r="L802" s="3"/>
      <c r="M802" s="3"/>
      <c r="N802" s="3"/>
      <c r="O802" s="3"/>
      <c r="P802" s="8"/>
      <c r="Q802" s="8"/>
      <c r="R802" s="3"/>
      <c r="S802" s="3"/>
      <c r="T802" s="3"/>
      <c r="U802" s="5" t="str">
        <f t="shared" si="47"/>
        <v/>
      </c>
    </row>
    <row r="803" spans="1:21" ht="28" customHeight="1" x14ac:dyDescent="0.35">
      <c r="A803" s="4">
        <v>9</v>
      </c>
      <c r="B803" s="4" t="s">
        <v>97</v>
      </c>
      <c r="C803" s="4" t="s">
        <v>98</v>
      </c>
      <c r="D803" s="4" t="s">
        <v>99</v>
      </c>
      <c r="E803" s="4" t="s">
        <v>69</v>
      </c>
      <c r="F803" s="4" t="s">
        <v>95</v>
      </c>
      <c r="G803" s="4" t="s">
        <v>96</v>
      </c>
      <c r="H803" s="4" t="s">
        <v>59</v>
      </c>
      <c r="I803" s="3"/>
      <c r="J803" s="3"/>
      <c r="K803" s="3"/>
      <c r="L803" s="3"/>
      <c r="M803" s="3"/>
      <c r="N803" s="3"/>
      <c r="O803" s="3"/>
      <c r="P803" s="8"/>
      <c r="Q803" s="8"/>
      <c r="R803" s="3"/>
      <c r="S803" s="3"/>
      <c r="T803" s="3"/>
      <c r="U803" s="5" t="str">
        <f t="shared" si="47"/>
        <v/>
      </c>
    </row>
    <row r="804" spans="1:21" ht="28" customHeight="1" x14ac:dyDescent="0.35">
      <c r="A804" s="4">
        <v>10</v>
      </c>
      <c r="B804" s="4" t="s">
        <v>97</v>
      </c>
      <c r="C804" s="4" t="s">
        <v>100</v>
      </c>
      <c r="D804" s="4" t="s">
        <v>101</v>
      </c>
      <c r="E804" s="4" t="s">
        <v>69</v>
      </c>
      <c r="F804" s="4" t="s">
        <v>95</v>
      </c>
      <c r="G804" s="4" t="s">
        <v>102</v>
      </c>
      <c r="H804" s="4" t="s">
        <v>59</v>
      </c>
      <c r="I804" s="3"/>
      <c r="J804" s="3"/>
      <c r="K804" s="3"/>
      <c r="L804" s="3"/>
      <c r="M804" s="3"/>
      <c r="N804" s="3"/>
      <c r="O804" s="3"/>
      <c r="P804" s="8"/>
      <c r="Q804" s="8"/>
      <c r="R804" s="3"/>
      <c r="S804" s="3"/>
      <c r="T804" s="3"/>
      <c r="U804" s="5" t="str">
        <f t="shared" si="47"/>
        <v/>
      </c>
    </row>
    <row r="805" spans="1:21" ht="28" customHeight="1" x14ac:dyDescent="0.35">
      <c r="A805" s="4">
        <v>11</v>
      </c>
      <c r="B805" s="4" t="s">
        <v>103</v>
      </c>
      <c r="C805" s="4" t="s">
        <v>104</v>
      </c>
      <c r="D805" s="4" t="s">
        <v>105</v>
      </c>
      <c r="E805" s="4" t="s">
        <v>69</v>
      </c>
      <c r="F805" s="4" t="s">
        <v>95</v>
      </c>
      <c r="G805" s="4" t="s">
        <v>96</v>
      </c>
      <c r="H805" s="4" t="s">
        <v>85</v>
      </c>
      <c r="I805" s="3"/>
      <c r="J805" s="3"/>
      <c r="K805" s="3"/>
      <c r="L805" s="3"/>
      <c r="M805" s="3"/>
      <c r="N805" s="3"/>
      <c r="O805" s="3"/>
      <c r="P805" s="8"/>
      <c r="Q805" s="8"/>
      <c r="R805" s="3"/>
      <c r="S805" s="3"/>
      <c r="T805" s="3"/>
      <c r="U805" s="5" t="str">
        <f t="shared" si="47"/>
        <v/>
      </c>
    </row>
    <row r="806" spans="1:21" ht="28" customHeight="1" x14ac:dyDescent="0.35">
      <c r="A806" s="4">
        <v>12</v>
      </c>
      <c r="B806" s="4" t="s">
        <v>106</v>
      </c>
      <c r="C806" s="4" t="s">
        <v>107</v>
      </c>
      <c r="D806" s="4" t="s">
        <v>108</v>
      </c>
      <c r="E806" s="4" t="s">
        <v>109</v>
      </c>
      <c r="F806" s="4" t="s">
        <v>95</v>
      </c>
      <c r="G806" s="4" t="s">
        <v>96</v>
      </c>
      <c r="H806" s="4" t="s">
        <v>59</v>
      </c>
      <c r="I806" s="3"/>
      <c r="J806" s="3"/>
      <c r="K806" s="3"/>
      <c r="L806" s="3"/>
      <c r="M806" s="3"/>
      <c r="N806" s="3"/>
      <c r="O806" s="3"/>
      <c r="P806" s="8"/>
      <c r="Q806" s="8"/>
      <c r="R806" s="3"/>
      <c r="S806" s="3"/>
      <c r="T806" s="3"/>
      <c r="U806" s="5" t="str">
        <f t="shared" si="47"/>
        <v/>
      </c>
    </row>
    <row r="808" spans="1:21" ht="28" customHeight="1" x14ac:dyDescent="0.35">
      <c r="A808" s="9" t="s">
        <v>110</v>
      </c>
      <c r="B808" s="16"/>
      <c r="C808" s="17"/>
      <c r="D808" s="17"/>
      <c r="E808" s="17"/>
      <c r="F808" s="17"/>
      <c r="G808" s="17"/>
      <c r="H808" s="17"/>
      <c r="I808" s="17"/>
      <c r="J808" s="17"/>
      <c r="K808" s="17"/>
      <c r="L808" s="17"/>
      <c r="M808" s="17"/>
      <c r="N808" s="17"/>
      <c r="O808" s="17"/>
      <c r="P808" s="17"/>
      <c r="Q808" s="17"/>
      <c r="R808" s="17"/>
      <c r="S808" s="17"/>
      <c r="T808" s="17"/>
      <c r="U808" s="18"/>
    </row>
    <row r="809" spans="1:21" ht="28" customHeight="1" x14ac:dyDescent="0.35">
      <c r="A809" s="19" t="s">
        <v>506</v>
      </c>
      <c r="B809" s="20"/>
      <c r="C809" s="20"/>
      <c r="D809" s="20"/>
      <c r="E809" s="20"/>
      <c r="F809" s="20"/>
      <c r="G809" s="20"/>
      <c r="H809" s="20"/>
      <c r="I809" s="20"/>
      <c r="J809" s="20"/>
      <c r="K809" s="20"/>
      <c r="L809" s="20"/>
      <c r="M809" s="20"/>
      <c r="N809" s="20"/>
      <c r="O809" s="20"/>
      <c r="P809" s="20"/>
      <c r="Q809" s="20"/>
      <c r="R809" s="20"/>
      <c r="S809" s="20"/>
      <c r="T809" s="20"/>
      <c r="U809" s="21"/>
    </row>
    <row r="810" spans="1:21" ht="28" customHeight="1" x14ac:dyDescent="0.35">
      <c r="A810" s="4" t="s">
        <v>31</v>
      </c>
      <c r="B810" s="3" t="s">
        <v>261</v>
      </c>
      <c r="C810" s="4" t="s">
        <v>32</v>
      </c>
      <c r="D810" s="3"/>
      <c r="E810" s="4" t="s">
        <v>33</v>
      </c>
      <c r="F810" s="8"/>
    </row>
    <row r="811" spans="1:21" ht="28" customHeight="1" x14ac:dyDescent="0.35">
      <c r="A811" s="1" t="s">
        <v>34</v>
      </c>
      <c r="B811" s="1" t="s">
        <v>35</v>
      </c>
      <c r="C811" s="1" t="s">
        <v>36</v>
      </c>
      <c r="D811" s="1" t="s">
        <v>37</v>
      </c>
      <c r="E811" s="1" t="s">
        <v>38</v>
      </c>
      <c r="F811" s="1" t="s">
        <v>39</v>
      </c>
      <c r="G811" s="1" t="s">
        <v>40</v>
      </c>
      <c r="H811" s="1" t="s">
        <v>41</v>
      </c>
      <c r="I811" s="1" t="s">
        <v>42</v>
      </c>
      <c r="J811" s="1" t="s">
        <v>43</v>
      </c>
      <c r="K811" s="1" t="s">
        <v>44</v>
      </c>
      <c r="L811" s="1" t="s">
        <v>45</v>
      </c>
      <c r="M811" s="1" t="s">
        <v>46</v>
      </c>
      <c r="N811" s="1" t="s">
        <v>47</v>
      </c>
      <c r="O811" s="1" t="s">
        <v>48</v>
      </c>
      <c r="P811" s="1" t="s">
        <v>4</v>
      </c>
      <c r="Q811" s="1" t="s">
        <v>49</v>
      </c>
      <c r="R811" s="1" t="s">
        <v>50</v>
      </c>
      <c r="S811" s="1" t="s">
        <v>51</v>
      </c>
      <c r="T811" s="1" t="s">
        <v>52</v>
      </c>
      <c r="U811" s="1" t="s">
        <v>10</v>
      </c>
    </row>
    <row r="812" spans="1:21" ht="28" customHeight="1" x14ac:dyDescent="0.35">
      <c r="A812" s="4">
        <v>1</v>
      </c>
      <c r="B812" s="4" t="s">
        <v>439</v>
      </c>
      <c r="C812" s="4" t="s">
        <v>440</v>
      </c>
      <c r="D812" s="4" t="s">
        <v>441</v>
      </c>
      <c r="E812" s="4" t="s">
        <v>69</v>
      </c>
      <c r="F812" s="4" t="s">
        <v>370</v>
      </c>
      <c r="G812" s="4" t="s">
        <v>204</v>
      </c>
      <c r="H812" s="4" t="s">
        <v>59</v>
      </c>
      <c r="I812" s="3"/>
      <c r="J812" s="3"/>
      <c r="K812" s="3"/>
      <c r="L812" s="3"/>
      <c r="M812" s="3"/>
      <c r="N812" s="3"/>
      <c r="O812" s="3"/>
      <c r="P812" s="8"/>
      <c r="Q812" s="8"/>
      <c r="R812" s="3"/>
      <c r="S812" s="3"/>
      <c r="T812" s="3"/>
      <c r="U812" s="5" t="str">
        <f t="shared" ref="U812:U823" si="48">IF(I812="","",IF(I812="NA","Grey",IF(I812=2,"Green",IF(I812=1,"Amber","Red"))))</f>
        <v/>
      </c>
    </row>
    <row r="813" spans="1:21" ht="28" customHeight="1" x14ac:dyDescent="0.35">
      <c r="A813" s="4">
        <v>2</v>
      </c>
      <c r="B813" s="4" t="s">
        <v>442</v>
      </c>
      <c r="C813" s="4" t="s">
        <v>443</v>
      </c>
      <c r="D813" s="4" t="s">
        <v>444</v>
      </c>
      <c r="E813" s="4" t="s">
        <v>69</v>
      </c>
      <c r="F813" s="4" t="s">
        <v>95</v>
      </c>
      <c r="G813" s="4" t="s">
        <v>102</v>
      </c>
      <c r="H813" s="4" t="s">
        <v>59</v>
      </c>
      <c r="I813" s="3"/>
      <c r="J813" s="3"/>
      <c r="K813" s="3"/>
      <c r="L813" s="3"/>
      <c r="M813" s="3"/>
      <c r="N813" s="3"/>
      <c r="O813" s="3"/>
      <c r="P813" s="8"/>
      <c r="Q813" s="8"/>
      <c r="R813" s="3"/>
      <c r="S813" s="3"/>
      <c r="T813" s="3"/>
      <c r="U813" s="5" t="str">
        <f t="shared" si="48"/>
        <v/>
      </c>
    </row>
    <row r="814" spans="1:21" ht="28" customHeight="1" x14ac:dyDescent="0.35">
      <c r="A814" s="4">
        <v>3</v>
      </c>
      <c r="B814" s="4" t="s">
        <v>445</v>
      </c>
      <c r="C814" s="4" t="s">
        <v>446</v>
      </c>
      <c r="D814" s="4" t="s">
        <v>369</v>
      </c>
      <c r="E814" s="4" t="s">
        <v>69</v>
      </c>
      <c r="F814" s="4" t="s">
        <v>370</v>
      </c>
      <c r="G814" s="4" t="s">
        <v>204</v>
      </c>
      <c r="H814" s="4" t="s">
        <v>76</v>
      </c>
      <c r="I814" s="3"/>
      <c r="J814" s="3"/>
      <c r="K814" s="3"/>
      <c r="L814" s="3"/>
      <c r="M814" s="3"/>
      <c r="N814" s="3"/>
      <c r="O814" s="3"/>
      <c r="P814" s="8"/>
      <c r="Q814" s="8"/>
      <c r="R814" s="3"/>
      <c r="S814" s="3"/>
      <c r="T814" s="3"/>
      <c r="U814" s="5" t="str">
        <f t="shared" si="48"/>
        <v/>
      </c>
    </row>
    <row r="815" spans="1:21" ht="28" customHeight="1" x14ac:dyDescent="0.35">
      <c r="A815" s="4">
        <v>4</v>
      </c>
      <c r="B815" s="4" t="s">
        <v>447</v>
      </c>
      <c r="C815" s="4" t="s">
        <v>448</v>
      </c>
      <c r="D815" s="4" t="s">
        <v>449</v>
      </c>
      <c r="E815" s="4" t="s">
        <v>109</v>
      </c>
      <c r="F815" s="4" t="s">
        <v>276</v>
      </c>
      <c r="G815" s="4" t="s">
        <v>199</v>
      </c>
      <c r="H815" s="4" t="s">
        <v>59</v>
      </c>
      <c r="I815" s="3"/>
      <c r="J815" s="3"/>
      <c r="K815" s="3"/>
      <c r="L815" s="3"/>
      <c r="M815" s="3"/>
      <c r="N815" s="3"/>
      <c r="O815" s="3"/>
      <c r="P815" s="8"/>
      <c r="Q815" s="8"/>
      <c r="R815" s="3"/>
      <c r="S815" s="3"/>
      <c r="T815" s="3"/>
      <c r="U815" s="5" t="str">
        <f t="shared" si="48"/>
        <v/>
      </c>
    </row>
    <row r="816" spans="1:21" ht="28" customHeight="1" x14ac:dyDescent="0.35">
      <c r="A816" s="4">
        <v>5</v>
      </c>
      <c r="B816" s="4" t="s">
        <v>450</v>
      </c>
      <c r="C816" s="4" t="s">
        <v>451</v>
      </c>
      <c r="D816" s="4" t="s">
        <v>452</v>
      </c>
      <c r="E816" s="4" t="s">
        <v>69</v>
      </c>
      <c r="F816" s="4" t="s">
        <v>276</v>
      </c>
      <c r="G816" s="4" t="s">
        <v>199</v>
      </c>
      <c r="H816" s="4" t="s">
        <v>59</v>
      </c>
      <c r="I816" s="3"/>
      <c r="J816" s="3"/>
      <c r="K816" s="3"/>
      <c r="L816" s="3"/>
      <c r="M816" s="3"/>
      <c r="N816" s="3"/>
      <c r="O816" s="3"/>
      <c r="P816" s="8"/>
      <c r="Q816" s="8"/>
      <c r="R816" s="3"/>
      <c r="S816" s="3"/>
      <c r="T816" s="3"/>
      <c r="U816" s="5" t="str">
        <f t="shared" si="48"/>
        <v/>
      </c>
    </row>
    <row r="817" spans="1:21" ht="28" customHeight="1" x14ac:dyDescent="0.35">
      <c r="A817" s="4">
        <v>6</v>
      </c>
      <c r="B817" s="4" t="s">
        <v>453</v>
      </c>
      <c r="C817" s="4" t="s">
        <v>454</v>
      </c>
      <c r="D817" s="4" t="s">
        <v>455</v>
      </c>
      <c r="E817" s="4" t="s">
        <v>69</v>
      </c>
      <c r="F817" s="4" t="s">
        <v>284</v>
      </c>
      <c r="G817" s="4" t="s">
        <v>204</v>
      </c>
      <c r="H817" s="4" t="s">
        <v>76</v>
      </c>
      <c r="I817" s="3"/>
      <c r="J817" s="3"/>
      <c r="K817" s="3"/>
      <c r="L817" s="3"/>
      <c r="M817" s="3"/>
      <c r="N817" s="3"/>
      <c r="O817" s="3"/>
      <c r="P817" s="8"/>
      <c r="Q817" s="8"/>
      <c r="R817" s="3"/>
      <c r="S817" s="3"/>
      <c r="T817" s="3"/>
      <c r="U817" s="5" t="str">
        <f t="shared" si="48"/>
        <v/>
      </c>
    </row>
    <row r="818" spans="1:21" ht="28" customHeight="1" x14ac:dyDescent="0.35">
      <c r="A818" s="4">
        <v>7</v>
      </c>
      <c r="B818" s="4" t="s">
        <v>456</v>
      </c>
      <c r="C818" s="4" t="s">
        <v>457</v>
      </c>
      <c r="D818" s="4" t="s">
        <v>458</v>
      </c>
      <c r="E818" s="4" t="s">
        <v>69</v>
      </c>
      <c r="F818" s="4" t="s">
        <v>459</v>
      </c>
      <c r="G818" s="4" t="s">
        <v>209</v>
      </c>
      <c r="H818" s="4" t="s">
        <v>59</v>
      </c>
      <c r="I818" s="3"/>
      <c r="J818" s="3"/>
      <c r="K818" s="3"/>
      <c r="L818" s="3"/>
      <c r="M818" s="3"/>
      <c r="N818" s="3"/>
      <c r="O818" s="3"/>
      <c r="P818" s="8"/>
      <c r="Q818" s="8"/>
      <c r="R818" s="3"/>
      <c r="S818" s="3"/>
      <c r="T818" s="3"/>
      <c r="U818" s="5" t="str">
        <f t="shared" si="48"/>
        <v/>
      </c>
    </row>
    <row r="819" spans="1:21" ht="28" customHeight="1" x14ac:dyDescent="0.35">
      <c r="A819" s="4">
        <v>8</v>
      </c>
      <c r="B819" s="4" t="s">
        <v>460</v>
      </c>
      <c r="C819" s="4" t="s">
        <v>461</v>
      </c>
      <c r="D819" s="4" t="s">
        <v>462</v>
      </c>
      <c r="E819" s="4" t="s">
        <v>69</v>
      </c>
      <c r="F819" s="4" t="s">
        <v>95</v>
      </c>
      <c r="G819" s="4" t="s">
        <v>102</v>
      </c>
      <c r="H819" s="4" t="s">
        <v>59</v>
      </c>
      <c r="I819" s="3"/>
      <c r="J819" s="3"/>
      <c r="K819" s="3"/>
      <c r="L819" s="3"/>
      <c r="M819" s="3"/>
      <c r="N819" s="3"/>
      <c r="O819" s="3"/>
      <c r="P819" s="8"/>
      <c r="Q819" s="8"/>
      <c r="R819" s="3"/>
      <c r="S819" s="3"/>
      <c r="T819" s="3"/>
      <c r="U819" s="5" t="str">
        <f t="shared" si="48"/>
        <v/>
      </c>
    </row>
    <row r="820" spans="1:21" ht="28" customHeight="1" x14ac:dyDescent="0.35">
      <c r="A820" s="4">
        <v>9</v>
      </c>
      <c r="B820" s="4" t="s">
        <v>97</v>
      </c>
      <c r="C820" s="4" t="s">
        <v>98</v>
      </c>
      <c r="D820" s="4" t="s">
        <v>99</v>
      </c>
      <c r="E820" s="4" t="s">
        <v>69</v>
      </c>
      <c r="F820" s="4" t="s">
        <v>95</v>
      </c>
      <c r="G820" s="4" t="s">
        <v>96</v>
      </c>
      <c r="H820" s="4" t="s">
        <v>59</v>
      </c>
      <c r="I820" s="3"/>
      <c r="J820" s="3"/>
      <c r="K820" s="3"/>
      <c r="L820" s="3"/>
      <c r="M820" s="3"/>
      <c r="N820" s="3"/>
      <c r="O820" s="3"/>
      <c r="P820" s="8"/>
      <c r="Q820" s="8"/>
      <c r="R820" s="3"/>
      <c r="S820" s="3"/>
      <c r="T820" s="3"/>
      <c r="U820" s="5" t="str">
        <f t="shared" si="48"/>
        <v/>
      </c>
    </row>
    <row r="821" spans="1:21" ht="28" customHeight="1" x14ac:dyDescent="0.35">
      <c r="A821" s="4">
        <v>10</v>
      </c>
      <c r="B821" s="4" t="s">
        <v>97</v>
      </c>
      <c r="C821" s="4" t="s">
        <v>100</v>
      </c>
      <c r="D821" s="4" t="s">
        <v>101</v>
      </c>
      <c r="E821" s="4" t="s">
        <v>69</v>
      </c>
      <c r="F821" s="4" t="s">
        <v>95</v>
      </c>
      <c r="G821" s="4" t="s">
        <v>102</v>
      </c>
      <c r="H821" s="4" t="s">
        <v>59</v>
      </c>
      <c r="I821" s="3"/>
      <c r="J821" s="3"/>
      <c r="K821" s="3"/>
      <c r="L821" s="3"/>
      <c r="M821" s="3"/>
      <c r="N821" s="3"/>
      <c r="O821" s="3"/>
      <c r="P821" s="8"/>
      <c r="Q821" s="8"/>
      <c r="R821" s="3"/>
      <c r="S821" s="3"/>
      <c r="T821" s="3"/>
      <c r="U821" s="5" t="str">
        <f t="shared" si="48"/>
        <v/>
      </c>
    </row>
    <row r="822" spans="1:21" ht="28" customHeight="1" x14ac:dyDescent="0.35">
      <c r="A822" s="4">
        <v>11</v>
      </c>
      <c r="B822" s="4" t="s">
        <v>103</v>
      </c>
      <c r="C822" s="4" t="s">
        <v>104</v>
      </c>
      <c r="D822" s="4" t="s">
        <v>105</v>
      </c>
      <c r="E822" s="4" t="s">
        <v>69</v>
      </c>
      <c r="F822" s="4" t="s">
        <v>95</v>
      </c>
      <c r="G822" s="4" t="s">
        <v>96</v>
      </c>
      <c r="H822" s="4" t="s">
        <v>85</v>
      </c>
      <c r="I822" s="3"/>
      <c r="J822" s="3"/>
      <c r="K822" s="3"/>
      <c r="L822" s="3"/>
      <c r="M822" s="3"/>
      <c r="N822" s="3"/>
      <c r="O822" s="3"/>
      <c r="P822" s="8"/>
      <c r="Q822" s="8"/>
      <c r="R822" s="3"/>
      <c r="S822" s="3"/>
      <c r="T822" s="3"/>
      <c r="U822" s="5" t="str">
        <f t="shared" si="48"/>
        <v/>
      </c>
    </row>
    <row r="823" spans="1:21" ht="28" customHeight="1" x14ac:dyDescent="0.35">
      <c r="A823" s="4">
        <v>12</v>
      </c>
      <c r="B823" s="4" t="s">
        <v>106</v>
      </c>
      <c r="C823" s="4" t="s">
        <v>107</v>
      </c>
      <c r="D823" s="4" t="s">
        <v>108</v>
      </c>
      <c r="E823" s="4" t="s">
        <v>109</v>
      </c>
      <c r="F823" s="4" t="s">
        <v>95</v>
      </c>
      <c r="G823" s="4" t="s">
        <v>96</v>
      </c>
      <c r="H823" s="4" t="s">
        <v>59</v>
      </c>
      <c r="I823" s="3"/>
      <c r="J823" s="3"/>
      <c r="K823" s="3"/>
      <c r="L823" s="3"/>
      <c r="M823" s="3"/>
      <c r="N823" s="3"/>
      <c r="O823" s="3"/>
      <c r="P823" s="8"/>
      <c r="Q823" s="8"/>
      <c r="R823" s="3"/>
      <c r="S823" s="3"/>
      <c r="T823" s="3"/>
      <c r="U823" s="5" t="str">
        <f t="shared" si="48"/>
        <v/>
      </c>
    </row>
    <row r="825" spans="1:21" ht="28" customHeight="1" x14ac:dyDescent="0.35">
      <c r="A825" s="9" t="s">
        <v>110</v>
      </c>
      <c r="B825" s="16"/>
      <c r="C825" s="17"/>
      <c r="D825" s="17"/>
      <c r="E825" s="17"/>
      <c r="F825" s="17"/>
      <c r="G825" s="17"/>
      <c r="H825" s="17"/>
      <c r="I825" s="17"/>
      <c r="J825" s="17"/>
      <c r="K825" s="17"/>
      <c r="L825" s="17"/>
      <c r="M825" s="17"/>
      <c r="N825" s="17"/>
      <c r="O825" s="17"/>
      <c r="P825" s="17"/>
      <c r="Q825" s="17"/>
      <c r="R825" s="17"/>
      <c r="S825" s="17"/>
      <c r="T825" s="17"/>
      <c r="U825" s="18"/>
    </row>
    <row r="826" spans="1:21" ht="28" customHeight="1" x14ac:dyDescent="0.35">
      <c r="A826" s="19" t="s">
        <v>507</v>
      </c>
      <c r="B826" s="20"/>
      <c r="C826" s="20"/>
      <c r="D826" s="20"/>
      <c r="E826" s="20"/>
      <c r="F826" s="20"/>
      <c r="G826" s="20"/>
      <c r="H826" s="20"/>
      <c r="I826" s="20"/>
      <c r="J826" s="20"/>
      <c r="K826" s="20"/>
      <c r="L826" s="20"/>
      <c r="M826" s="20"/>
      <c r="N826" s="20"/>
      <c r="O826" s="20"/>
      <c r="P826" s="20"/>
      <c r="Q826" s="20"/>
      <c r="R826" s="20"/>
      <c r="S826" s="20"/>
      <c r="T826" s="20"/>
      <c r="U826" s="21"/>
    </row>
    <row r="827" spans="1:21" ht="28" customHeight="1" x14ac:dyDescent="0.35">
      <c r="A827" s="4" t="s">
        <v>31</v>
      </c>
      <c r="B827" s="3" t="s">
        <v>262</v>
      </c>
      <c r="C827" s="4" t="s">
        <v>32</v>
      </c>
      <c r="D827" s="3"/>
      <c r="E827" s="4" t="s">
        <v>33</v>
      </c>
      <c r="F827" s="8"/>
    </row>
    <row r="828" spans="1:21" ht="28" customHeight="1" x14ac:dyDescent="0.35">
      <c r="A828" s="1" t="s">
        <v>34</v>
      </c>
      <c r="B828" s="1" t="s">
        <v>35</v>
      </c>
      <c r="C828" s="1" t="s">
        <v>36</v>
      </c>
      <c r="D828" s="1" t="s">
        <v>37</v>
      </c>
      <c r="E828" s="1" t="s">
        <v>38</v>
      </c>
      <c r="F828" s="1" t="s">
        <v>39</v>
      </c>
      <c r="G828" s="1" t="s">
        <v>40</v>
      </c>
      <c r="H828" s="1" t="s">
        <v>41</v>
      </c>
      <c r="I828" s="1" t="s">
        <v>42</v>
      </c>
      <c r="J828" s="1" t="s">
        <v>43</v>
      </c>
      <c r="K828" s="1" t="s">
        <v>44</v>
      </c>
      <c r="L828" s="1" t="s">
        <v>45</v>
      </c>
      <c r="M828" s="1" t="s">
        <v>46</v>
      </c>
      <c r="N828" s="1" t="s">
        <v>47</v>
      </c>
      <c r="O828" s="1" t="s">
        <v>48</v>
      </c>
      <c r="P828" s="1" t="s">
        <v>4</v>
      </c>
      <c r="Q828" s="1" t="s">
        <v>49</v>
      </c>
      <c r="R828" s="1" t="s">
        <v>50</v>
      </c>
      <c r="S828" s="1" t="s">
        <v>51</v>
      </c>
      <c r="T828" s="1" t="s">
        <v>52</v>
      </c>
      <c r="U828" s="1" t="s">
        <v>10</v>
      </c>
    </row>
    <row r="829" spans="1:21" ht="28" customHeight="1" x14ac:dyDescent="0.35">
      <c r="A829" s="4">
        <v>1</v>
      </c>
      <c r="B829" s="4" t="s">
        <v>439</v>
      </c>
      <c r="C829" s="4" t="s">
        <v>440</v>
      </c>
      <c r="D829" s="4" t="s">
        <v>441</v>
      </c>
      <c r="E829" s="4" t="s">
        <v>69</v>
      </c>
      <c r="F829" s="4" t="s">
        <v>370</v>
      </c>
      <c r="G829" s="4" t="s">
        <v>204</v>
      </c>
      <c r="H829" s="4" t="s">
        <v>59</v>
      </c>
      <c r="I829" s="3"/>
      <c r="J829" s="3"/>
      <c r="K829" s="3"/>
      <c r="L829" s="3"/>
      <c r="M829" s="3"/>
      <c r="N829" s="3"/>
      <c r="O829" s="3"/>
      <c r="P829" s="8"/>
      <c r="Q829" s="8"/>
      <c r="R829" s="3"/>
      <c r="S829" s="3"/>
      <c r="T829" s="3"/>
      <c r="U829" s="5" t="str">
        <f t="shared" ref="U829:U840" si="49">IF(I829="","",IF(I829="NA","Grey",IF(I829=2,"Green",IF(I829=1,"Amber","Red"))))</f>
        <v/>
      </c>
    </row>
    <row r="830" spans="1:21" ht="28" customHeight="1" x14ac:dyDescent="0.35">
      <c r="A830" s="4">
        <v>2</v>
      </c>
      <c r="B830" s="4" t="s">
        <v>442</v>
      </c>
      <c r="C830" s="4" t="s">
        <v>443</v>
      </c>
      <c r="D830" s="4" t="s">
        <v>444</v>
      </c>
      <c r="E830" s="4" t="s">
        <v>69</v>
      </c>
      <c r="F830" s="4" t="s">
        <v>95</v>
      </c>
      <c r="G830" s="4" t="s">
        <v>102</v>
      </c>
      <c r="H830" s="4" t="s">
        <v>59</v>
      </c>
      <c r="I830" s="3"/>
      <c r="J830" s="3"/>
      <c r="K830" s="3"/>
      <c r="L830" s="3"/>
      <c r="M830" s="3"/>
      <c r="N830" s="3"/>
      <c r="O830" s="3"/>
      <c r="P830" s="8"/>
      <c r="Q830" s="8"/>
      <c r="R830" s="3"/>
      <c r="S830" s="3"/>
      <c r="T830" s="3"/>
      <c r="U830" s="5" t="str">
        <f t="shared" si="49"/>
        <v/>
      </c>
    </row>
    <row r="831" spans="1:21" ht="28" customHeight="1" x14ac:dyDescent="0.35">
      <c r="A831" s="4">
        <v>3</v>
      </c>
      <c r="B831" s="4" t="s">
        <v>445</v>
      </c>
      <c r="C831" s="4" t="s">
        <v>446</v>
      </c>
      <c r="D831" s="4" t="s">
        <v>369</v>
      </c>
      <c r="E831" s="4" t="s">
        <v>69</v>
      </c>
      <c r="F831" s="4" t="s">
        <v>370</v>
      </c>
      <c r="G831" s="4" t="s">
        <v>204</v>
      </c>
      <c r="H831" s="4" t="s">
        <v>76</v>
      </c>
      <c r="I831" s="3"/>
      <c r="J831" s="3"/>
      <c r="K831" s="3"/>
      <c r="L831" s="3"/>
      <c r="M831" s="3"/>
      <c r="N831" s="3"/>
      <c r="O831" s="3"/>
      <c r="P831" s="8"/>
      <c r="Q831" s="8"/>
      <c r="R831" s="3"/>
      <c r="S831" s="3"/>
      <c r="T831" s="3"/>
      <c r="U831" s="5" t="str">
        <f t="shared" si="49"/>
        <v/>
      </c>
    </row>
    <row r="832" spans="1:21" ht="28" customHeight="1" x14ac:dyDescent="0.35">
      <c r="A832" s="4">
        <v>4</v>
      </c>
      <c r="B832" s="4" t="s">
        <v>447</v>
      </c>
      <c r="C832" s="4" t="s">
        <v>448</v>
      </c>
      <c r="D832" s="4" t="s">
        <v>449</v>
      </c>
      <c r="E832" s="4" t="s">
        <v>109</v>
      </c>
      <c r="F832" s="4" t="s">
        <v>276</v>
      </c>
      <c r="G832" s="4" t="s">
        <v>199</v>
      </c>
      <c r="H832" s="4" t="s">
        <v>59</v>
      </c>
      <c r="I832" s="3"/>
      <c r="J832" s="3"/>
      <c r="K832" s="3"/>
      <c r="L832" s="3"/>
      <c r="M832" s="3"/>
      <c r="N832" s="3"/>
      <c r="O832" s="3"/>
      <c r="P832" s="8"/>
      <c r="Q832" s="8"/>
      <c r="R832" s="3"/>
      <c r="S832" s="3"/>
      <c r="T832" s="3"/>
      <c r="U832" s="5" t="str">
        <f t="shared" si="49"/>
        <v/>
      </c>
    </row>
    <row r="833" spans="1:21" ht="28" customHeight="1" x14ac:dyDescent="0.35">
      <c r="A833" s="4">
        <v>5</v>
      </c>
      <c r="B833" s="4" t="s">
        <v>450</v>
      </c>
      <c r="C833" s="4" t="s">
        <v>451</v>
      </c>
      <c r="D833" s="4" t="s">
        <v>452</v>
      </c>
      <c r="E833" s="4" t="s">
        <v>69</v>
      </c>
      <c r="F833" s="4" t="s">
        <v>276</v>
      </c>
      <c r="G833" s="4" t="s">
        <v>199</v>
      </c>
      <c r="H833" s="4" t="s">
        <v>59</v>
      </c>
      <c r="I833" s="3"/>
      <c r="J833" s="3"/>
      <c r="K833" s="3"/>
      <c r="L833" s="3"/>
      <c r="M833" s="3"/>
      <c r="N833" s="3"/>
      <c r="O833" s="3"/>
      <c r="P833" s="8"/>
      <c r="Q833" s="8"/>
      <c r="R833" s="3"/>
      <c r="S833" s="3"/>
      <c r="T833" s="3"/>
      <c r="U833" s="5" t="str">
        <f t="shared" si="49"/>
        <v/>
      </c>
    </row>
    <row r="834" spans="1:21" ht="28" customHeight="1" x14ac:dyDescent="0.35">
      <c r="A834" s="4">
        <v>6</v>
      </c>
      <c r="B834" s="4" t="s">
        <v>453</v>
      </c>
      <c r="C834" s="4" t="s">
        <v>454</v>
      </c>
      <c r="D834" s="4" t="s">
        <v>455</v>
      </c>
      <c r="E834" s="4" t="s">
        <v>69</v>
      </c>
      <c r="F834" s="4" t="s">
        <v>284</v>
      </c>
      <c r="G834" s="4" t="s">
        <v>204</v>
      </c>
      <c r="H834" s="4" t="s">
        <v>76</v>
      </c>
      <c r="I834" s="3"/>
      <c r="J834" s="3"/>
      <c r="K834" s="3"/>
      <c r="L834" s="3"/>
      <c r="M834" s="3"/>
      <c r="N834" s="3"/>
      <c r="O834" s="3"/>
      <c r="P834" s="8"/>
      <c r="Q834" s="8"/>
      <c r="R834" s="3"/>
      <c r="S834" s="3"/>
      <c r="T834" s="3"/>
      <c r="U834" s="5" t="str">
        <f t="shared" si="49"/>
        <v/>
      </c>
    </row>
    <row r="835" spans="1:21" ht="28" customHeight="1" x14ac:dyDescent="0.35">
      <c r="A835" s="4">
        <v>7</v>
      </c>
      <c r="B835" s="4" t="s">
        <v>456</v>
      </c>
      <c r="C835" s="4" t="s">
        <v>457</v>
      </c>
      <c r="D835" s="4" t="s">
        <v>458</v>
      </c>
      <c r="E835" s="4" t="s">
        <v>69</v>
      </c>
      <c r="F835" s="4" t="s">
        <v>459</v>
      </c>
      <c r="G835" s="4" t="s">
        <v>209</v>
      </c>
      <c r="H835" s="4" t="s">
        <v>59</v>
      </c>
      <c r="I835" s="3"/>
      <c r="J835" s="3"/>
      <c r="K835" s="3"/>
      <c r="L835" s="3"/>
      <c r="M835" s="3"/>
      <c r="N835" s="3"/>
      <c r="O835" s="3"/>
      <c r="P835" s="8"/>
      <c r="Q835" s="8"/>
      <c r="R835" s="3"/>
      <c r="S835" s="3"/>
      <c r="T835" s="3"/>
      <c r="U835" s="5" t="str">
        <f t="shared" si="49"/>
        <v/>
      </c>
    </row>
    <row r="836" spans="1:21" ht="28" customHeight="1" x14ac:dyDescent="0.35">
      <c r="A836" s="4">
        <v>8</v>
      </c>
      <c r="B836" s="4" t="s">
        <v>460</v>
      </c>
      <c r="C836" s="4" t="s">
        <v>461</v>
      </c>
      <c r="D836" s="4" t="s">
        <v>462</v>
      </c>
      <c r="E836" s="4" t="s">
        <v>69</v>
      </c>
      <c r="F836" s="4" t="s">
        <v>95</v>
      </c>
      <c r="G836" s="4" t="s">
        <v>102</v>
      </c>
      <c r="H836" s="4" t="s">
        <v>59</v>
      </c>
      <c r="I836" s="3"/>
      <c r="J836" s="3"/>
      <c r="K836" s="3"/>
      <c r="L836" s="3"/>
      <c r="M836" s="3"/>
      <c r="N836" s="3"/>
      <c r="O836" s="3"/>
      <c r="P836" s="8"/>
      <c r="Q836" s="8"/>
      <c r="R836" s="3"/>
      <c r="S836" s="3"/>
      <c r="T836" s="3"/>
      <c r="U836" s="5" t="str">
        <f t="shared" si="49"/>
        <v/>
      </c>
    </row>
    <row r="837" spans="1:21" ht="28" customHeight="1" x14ac:dyDescent="0.35">
      <c r="A837" s="4">
        <v>9</v>
      </c>
      <c r="B837" s="4" t="s">
        <v>97</v>
      </c>
      <c r="C837" s="4" t="s">
        <v>98</v>
      </c>
      <c r="D837" s="4" t="s">
        <v>99</v>
      </c>
      <c r="E837" s="4" t="s">
        <v>69</v>
      </c>
      <c r="F837" s="4" t="s">
        <v>95</v>
      </c>
      <c r="G837" s="4" t="s">
        <v>96</v>
      </c>
      <c r="H837" s="4" t="s">
        <v>59</v>
      </c>
      <c r="I837" s="3"/>
      <c r="J837" s="3"/>
      <c r="K837" s="3"/>
      <c r="L837" s="3"/>
      <c r="M837" s="3"/>
      <c r="N837" s="3"/>
      <c r="O837" s="3"/>
      <c r="P837" s="8"/>
      <c r="Q837" s="8"/>
      <c r="R837" s="3"/>
      <c r="S837" s="3"/>
      <c r="T837" s="3"/>
      <c r="U837" s="5" t="str">
        <f t="shared" si="49"/>
        <v/>
      </c>
    </row>
    <row r="838" spans="1:21" ht="28" customHeight="1" x14ac:dyDescent="0.35">
      <c r="A838" s="4">
        <v>10</v>
      </c>
      <c r="B838" s="4" t="s">
        <v>97</v>
      </c>
      <c r="C838" s="4" t="s">
        <v>100</v>
      </c>
      <c r="D838" s="4" t="s">
        <v>101</v>
      </c>
      <c r="E838" s="4" t="s">
        <v>69</v>
      </c>
      <c r="F838" s="4" t="s">
        <v>95</v>
      </c>
      <c r="G838" s="4" t="s">
        <v>102</v>
      </c>
      <c r="H838" s="4" t="s">
        <v>59</v>
      </c>
      <c r="I838" s="3"/>
      <c r="J838" s="3"/>
      <c r="K838" s="3"/>
      <c r="L838" s="3"/>
      <c r="M838" s="3"/>
      <c r="N838" s="3"/>
      <c r="O838" s="3"/>
      <c r="P838" s="8"/>
      <c r="Q838" s="8"/>
      <c r="R838" s="3"/>
      <c r="S838" s="3"/>
      <c r="T838" s="3"/>
      <c r="U838" s="5" t="str">
        <f t="shared" si="49"/>
        <v/>
      </c>
    </row>
    <row r="839" spans="1:21" ht="28" customHeight="1" x14ac:dyDescent="0.35">
      <c r="A839" s="4">
        <v>11</v>
      </c>
      <c r="B839" s="4" t="s">
        <v>103</v>
      </c>
      <c r="C839" s="4" t="s">
        <v>104</v>
      </c>
      <c r="D839" s="4" t="s">
        <v>105</v>
      </c>
      <c r="E839" s="4" t="s">
        <v>69</v>
      </c>
      <c r="F839" s="4" t="s">
        <v>95</v>
      </c>
      <c r="G839" s="4" t="s">
        <v>96</v>
      </c>
      <c r="H839" s="4" t="s">
        <v>85</v>
      </c>
      <c r="I839" s="3"/>
      <c r="J839" s="3"/>
      <c r="K839" s="3"/>
      <c r="L839" s="3"/>
      <c r="M839" s="3"/>
      <c r="N839" s="3"/>
      <c r="O839" s="3"/>
      <c r="P839" s="8"/>
      <c r="Q839" s="8"/>
      <c r="R839" s="3"/>
      <c r="S839" s="3"/>
      <c r="T839" s="3"/>
      <c r="U839" s="5" t="str">
        <f t="shared" si="49"/>
        <v/>
      </c>
    </row>
    <row r="840" spans="1:21" ht="28" customHeight="1" x14ac:dyDescent="0.35">
      <c r="A840" s="4">
        <v>12</v>
      </c>
      <c r="B840" s="4" t="s">
        <v>106</v>
      </c>
      <c r="C840" s="4" t="s">
        <v>107</v>
      </c>
      <c r="D840" s="4" t="s">
        <v>108</v>
      </c>
      <c r="E840" s="4" t="s">
        <v>109</v>
      </c>
      <c r="F840" s="4" t="s">
        <v>95</v>
      </c>
      <c r="G840" s="4" t="s">
        <v>96</v>
      </c>
      <c r="H840" s="4" t="s">
        <v>59</v>
      </c>
      <c r="I840" s="3"/>
      <c r="J840" s="3"/>
      <c r="K840" s="3"/>
      <c r="L840" s="3"/>
      <c r="M840" s="3"/>
      <c r="N840" s="3"/>
      <c r="O840" s="3"/>
      <c r="P840" s="8"/>
      <c r="Q840" s="8"/>
      <c r="R840" s="3"/>
      <c r="S840" s="3"/>
      <c r="T840" s="3"/>
      <c r="U840" s="5" t="str">
        <f t="shared" si="49"/>
        <v/>
      </c>
    </row>
    <row r="842" spans="1:21" ht="28" customHeight="1" x14ac:dyDescent="0.35">
      <c r="A842" s="9" t="s">
        <v>110</v>
      </c>
      <c r="B842" s="16"/>
      <c r="C842" s="17"/>
      <c r="D842" s="17"/>
      <c r="E842" s="17"/>
      <c r="F842" s="17"/>
      <c r="G842" s="17"/>
      <c r="H842" s="17"/>
      <c r="I842" s="17"/>
      <c r="J842" s="17"/>
      <c r="K842" s="17"/>
      <c r="L842" s="17"/>
      <c r="M842" s="17"/>
      <c r="N842" s="17"/>
      <c r="O842" s="17"/>
      <c r="P842" s="17"/>
      <c r="Q842" s="17"/>
      <c r="R842" s="17"/>
      <c r="S842" s="17"/>
      <c r="T842" s="17"/>
      <c r="U842" s="18"/>
    </row>
    <row r="843" spans="1:21" ht="28" customHeight="1" x14ac:dyDescent="0.35">
      <c r="A843" s="19" t="s">
        <v>508</v>
      </c>
      <c r="B843" s="20"/>
      <c r="C843" s="20"/>
      <c r="D843" s="20"/>
      <c r="E843" s="20"/>
      <c r="F843" s="20"/>
      <c r="G843" s="20"/>
      <c r="H843" s="20"/>
      <c r="I843" s="20"/>
      <c r="J843" s="20"/>
      <c r="K843" s="20"/>
      <c r="L843" s="20"/>
      <c r="M843" s="20"/>
      <c r="N843" s="20"/>
      <c r="O843" s="20"/>
      <c r="P843" s="20"/>
      <c r="Q843" s="20"/>
      <c r="R843" s="20"/>
      <c r="S843" s="20"/>
      <c r="T843" s="20"/>
      <c r="U843" s="21"/>
    </row>
    <row r="844" spans="1:21" ht="28" customHeight="1" x14ac:dyDescent="0.35">
      <c r="A844" s="4" t="s">
        <v>31</v>
      </c>
      <c r="B844" s="3" t="s">
        <v>263</v>
      </c>
      <c r="C844" s="4" t="s">
        <v>32</v>
      </c>
      <c r="D844" s="3"/>
      <c r="E844" s="4" t="s">
        <v>33</v>
      </c>
      <c r="F844" s="8"/>
    </row>
    <row r="845" spans="1:21" ht="28" customHeight="1" x14ac:dyDescent="0.35">
      <c r="A845" s="1" t="s">
        <v>34</v>
      </c>
      <c r="B845" s="1" t="s">
        <v>35</v>
      </c>
      <c r="C845" s="1" t="s">
        <v>36</v>
      </c>
      <c r="D845" s="1" t="s">
        <v>37</v>
      </c>
      <c r="E845" s="1" t="s">
        <v>38</v>
      </c>
      <c r="F845" s="1" t="s">
        <v>39</v>
      </c>
      <c r="G845" s="1" t="s">
        <v>40</v>
      </c>
      <c r="H845" s="1" t="s">
        <v>41</v>
      </c>
      <c r="I845" s="1" t="s">
        <v>42</v>
      </c>
      <c r="J845" s="1" t="s">
        <v>43</v>
      </c>
      <c r="K845" s="1" t="s">
        <v>44</v>
      </c>
      <c r="L845" s="1" t="s">
        <v>45</v>
      </c>
      <c r="M845" s="1" t="s">
        <v>46</v>
      </c>
      <c r="N845" s="1" t="s">
        <v>47</v>
      </c>
      <c r="O845" s="1" t="s">
        <v>48</v>
      </c>
      <c r="P845" s="1" t="s">
        <v>4</v>
      </c>
      <c r="Q845" s="1" t="s">
        <v>49</v>
      </c>
      <c r="R845" s="1" t="s">
        <v>50</v>
      </c>
      <c r="S845" s="1" t="s">
        <v>51</v>
      </c>
      <c r="T845" s="1" t="s">
        <v>52</v>
      </c>
      <c r="U845" s="1" t="s">
        <v>10</v>
      </c>
    </row>
    <row r="846" spans="1:21" ht="28" customHeight="1" x14ac:dyDescent="0.35">
      <c r="A846" s="4">
        <v>1</v>
      </c>
      <c r="B846" s="4" t="s">
        <v>439</v>
      </c>
      <c r="C846" s="4" t="s">
        <v>440</v>
      </c>
      <c r="D846" s="4" t="s">
        <v>441</v>
      </c>
      <c r="E846" s="4" t="s">
        <v>69</v>
      </c>
      <c r="F846" s="4" t="s">
        <v>370</v>
      </c>
      <c r="G846" s="4" t="s">
        <v>204</v>
      </c>
      <c r="H846" s="4" t="s">
        <v>59</v>
      </c>
      <c r="I846" s="3"/>
      <c r="J846" s="3"/>
      <c r="K846" s="3"/>
      <c r="L846" s="3"/>
      <c r="M846" s="3"/>
      <c r="N846" s="3"/>
      <c r="O846" s="3"/>
      <c r="P846" s="8"/>
      <c r="Q846" s="8"/>
      <c r="R846" s="3"/>
      <c r="S846" s="3"/>
      <c r="T846" s="3"/>
      <c r="U846" s="5" t="str">
        <f t="shared" ref="U846:U857" si="50">IF(I846="","",IF(I846="NA","Grey",IF(I846=2,"Green",IF(I846=1,"Amber","Red"))))</f>
        <v/>
      </c>
    </row>
    <row r="847" spans="1:21" ht="28" customHeight="1" x14ac:dyDescent="0.35">
      <c r="A847" s="4">
        <v>2</v>
      </c>
      <c r="B847" s="4" t="s">
        <v>442</v>
      </c>
      <c r="C847" s="4" t="s">
        <v>443</v>
      </c>
      <c r="D847" s="4" t="s">
        <v>444</v>
      </c>
      <c r="E847" s="4" t="s">
        <v>69</v>
      </c>
      <c r="F847" s="4" t="s">
        <v>95</v>
      </c>
      <c r="G847" s="4" t="s">
        <v>102</v>
      </c>
      <c r="H847" s="4" t="s">
        <v>59</v>
      </c>
      <c r="I847" s="3"/>
      <c r="J847" s="3"/>
      <c r="K847" s="3"/>
      <c r="L847" s="3"/>
      <c r="M847" s="3"/>
      <c r="N847" s="3"/>
      <c r="O847" s="3"/>
      <c r="P847" s="8"/>
      <c r="Q847" s="8"/>
      <c r="R847" s="3"/>
      <c r="S847" s="3"/>
      <c r="T847" s="3"/>
      <c r="U847" s="5" t="str">
        <f t="shared" si="50"/>
        <v/>
      </c>
    </row>
    <row r="848" spans="1:21" ht="28" customHeight="1" x14ac:dyDescent="0.35">
      <c r="A848" s="4">
        <v>3</v>
      </c>
      <c r="B848" s="4" t="s">
        <v>445</v>
      </c>
      <c r="C848" s="4" t="s">
        <v>446</v>
      </c>
      <c r="D848" s="4" t="s">
        <v>369</v>
      </c>
      <c r="E848" s="4" t="s">
        <v>69</v>
      </c>
      <c r="F848" s="4" t="s">
        <v>370</v>
      </c>
      <c r="G848" s="4" t="s">
        <v>204</v>
      </c>
      <c r="H848" s="4" t="s">
        <v>76</v>
      </c>
      <c r="I848" s="3"/>
      <c r="J848" s="3"/>
      <c r="K848" s="3"/>
      <c r="L848" s="3"/>
      <c r="M848" s="3"/>
      <c r="N848" s="3"/>
      <c r="O848" s="3"/>
      <c r="P848" s="8"/>
      <c r="Q848" s="8"/>
      <c r="R848" s="3"/>
      <c r="S848" s="3"/>
      <c r="T848" s="3"/>
      <c r="U848" s="5" t="str">
        <f t="shared" si="50"/>
        <v/>
      </c>
    </row>
    <row r="849" spans="1:21" ht="28" customHeight="1" x14ac:dyDescent="0.35">
      <c r="A849" s="4">
        <v>4</v>
      </c>
      <c r="B849" s="4" t="s">
        <v>447</v>
      </c>
      <c r="C849" s="4" t="s">
        <v>448</v>
      </c>
      <c r="D849" s="4" t="s">
        <v>449</v>
      </c>
      <c r="E849" s="4" t="s">
        <v>109</v>
      </c>
      <c r="F849" s="4" t="s">
        <v>276</v>
      </c>
      <c r="G849" s="4" t="s">
        <v>199</v>
      </c>
      <c r="H849" s="4" t="s">
        <v>59</v>
      </c>
      <c r="I849" s="3"/>
      <c r="J849" s="3"/>
      <c r="K849" s="3"/>
      <c r="L849" s="3"/>
      <c r="M849" s="3"/>
      <c r="N849" s="3"/>
      <c r="O849" s="3"/>
      <c r="P849" s="8"/>
      <c r="Q849" s="8"/>
      <c r="R849" s="3"/>
      <c r="S849" s="3"/>
      <c r="T849" s="3"/>
      <c r="U849" s="5" t="str">
        <f t="shared" si="50"/>
        <v/>
      </c>
    </row>
    <row r="850" spans="1:21" ht="28" customHeight="1" x14ac:dyDescent="0.35">
      <c r="A850" s="4">
        <v>5</v>
      </c>
      <c r="B850" s="4" t="s">
        <v>450</v>
      </c>
      <c r="C850" s="4" t="s">
        <v>451</v>
      </c>
      <c r="D850" s="4" t="s">
        <v>452</v>
      </c>
      <c r="E850" s="4" t="s">
        <v>69</v>
      </c>
      <c r="F850" s="4" t="s">
        <v>276</v>
      </c>
      <c r="G850" s="4" t="s">
        <v>199</v>
      </c>
      <c r="H850" s="4" t="s">
        <v>59</v>
      </c>
      <c r="I850" s="3"/>
      <c r="J850" s="3"/>
      <c r="K850" s="3"/>
      <c r="L850" s="3"/>
      <c r="M850" s="3"/>
      <c r="N850" s="3"/>
      <c r="O850" s="3"/>
      <c r="P850" s="8"/>
      <c r="Q850" s="8"/>
      <c r="R850" s="3"/>
      <c r="S850" s="3"/>
      <c r="T850" s="3"/>
      <c r="U850" s="5" t="str">
        <f t="shared" si="50"/>
        <v/>
      </c>
    </row>
    <row r="851" spans="1:21" ht="28" customHeight="1" x14ac:dyDescent="0.35">
      <c r="A851" s="4">
        <v>6</v>
      </c>
      <c r="B851" s="4" t="s">
        <v>453</v>
      </c>
      <c r="C851" s="4" t="s">
        <v>454</v>
      </c>
      <c r="D851" s="4" t="s">
        <v>455</v>
      </c>
      <c r="E851" s="4" t="s">
        <v>69</v>
      </c>
      <c r="F851" s="4" t="s">
        <v>284</v>
      </c>
      <c r="G851" s="4" t="s">
        <v>204</v>
      </c>
      <c r="H851" s="4" t="s">
        <v>76</v>
      </c>
      <c r="I851" s="3"/>
      <c r="J851" s="3"/>
      <c r="K851" s="3"/>
      <c r="L851" s="3"/>
      <c r="M851" s="3"/>
      <c r="N851" s="3"/>
      <c r="O851" s="3"/>
      <c r="P851" s="8"/>
      <c r="Q851" s="8"/>
      <c r="R851" s="3"/>
      <c r="S851" s="3"/>
      <c r="T851" s="3"/>
      <c r="U851" s="5" t="str">
        <f t="shared" si="50"/>
        <v/>
      </c>
    </row>
    <row r="852" spans="1:21" ht="28" customHeight="1" x14ac:dyDescent="0.35">
      <c r="A852" s="4">
        <v>7</v>
      </c>
      <c r="B852" s="4" t="s">
        <v>456</v>
      </c>
      <c r="C852" s="4" t="s">
        <v>457</v>
      </c>
      <c r="D852" s="4" t="s">
        <v>458</v>
      </c>
      <c r="E852" s="4" t="s">
        <v>69</v>
      </c>
      <c r="F852" s="4" t="s">
        <v>459</v>
      </c>
      <c r="G852" s="4" t="s">
        <v>209</v>
      </c>
      <c r="H852" s="4" t="s">
        <v>59</v>
      </c>
      <c r="I852" s="3"/>
      <c r="J852" s="3"/>
      <c r="K852" s="3"/>
      <c r="L852" s="3"/>
      <c r="M852" s="3"/>
      <c r="N852" s="3"/>
      <c r="O852" s="3"/>
      <c r="P852" s="8"/>
      <c r="Q852" s="8"/>
      <c r="R852" s="3"/>
      <c r="S852" s="3"/>
      <c r="T852" s="3"/>
      <c r="U852" s="5" t="str">
        <f t="shared" si="50"/>
        <v/>
      </c>
    </row>
    <row r="853" spans="1:21" ht="28" customHeight="1" x14ac:dyDescent="0.35">
      <c r="A853" s="4">
        <v>8</v>
      </c>
      <c r="B853" s="4" t="s">
        <v>460</v>
      </c>
      <c r="C853" s="4" t="s">
        <v>461</v>
      </c>
      <c r="D853" s="4" t="s">
        <v>462</v>
      </c>
      <c r="E853" s="4" t="s">
        <v>69</v>
      </c>
      <c r="F853" s="4" t="s">
        <v>95</v>
      </c>
      <c r="G853" s="4" t="s">
        <v>102</v>
      </c>
      <c r="H853" s="4" t="s">
        <v>59</v>
      </c>
      <c r="I853" s="3"/>
      <c r="J853" s="3"/>
      <c r="K853" s="3"/>
      <c r="L853" s="3"/>
      <c r="M853" s="3"/>
      <c r="N853" s="3"/>
      <c r="O853" s="3"/>
      <c r="P853" s="8"/>
      <c r="Q853" s="8"/>
      <c r="R853" s="3"/>
      <c r="S853" s="3"/>
      <c r="T853" s="3"/>
      <c r="U853" s="5" t="str">
        <f t="shared" si="50"/>
        <v/>
      </c>
    </row>
    <row r="854" spans="1:21" ht="28" customHeight="1" x14ac:dyDescent="0.35">
      <c r="A854" s="4">
        <v>9</v>
      </c>
      <c r="B854" s="4" t="s">
        <v>97</v>
      </c>
      <c r="C854" s="4" t="s">
        <v>98</v>
      </c>
      <c r="D854" s="4" t="s">
        <v>99</v>
      </c>
      <c r="E854" s="4" t="s">
        <v>69</v>
      </c>
      <c r="F854" s="4" t="s">
        <v>95</v>
      </c>
      <c r="G854" s="4" t="s">
        <v>96</v>
      </c>
      <c r="H854" s="4" t="s">
        <v>59</v>
      </c>
      <c r="I854" s="3"/>
      <c r="J854" s="3"/>
      <c r="K854" s="3"/>
      <c r="L854" s="3"/>
      <c r="M854" s="3"/>
      <c r="N854" s="3"/>
      <c r="O854" s="3"/>
      <c r="P854" s="8"/>
      <c r="Q854" s="8"/>
      <c r="R854" s="3"/>
      <c r="S854" s="3"/>
      <c r="T854" s="3"/>
      <c r="U854" s="5" t="str">
        <f t="shared" si="50"/>
        <v/>
      </c>
    </row>
    <row r="855" spans="1:21" ht="28" customHeight="1" x14ac:dyDescent="0.35">
      <c r="A855" s="4">
        <v>10</v>
      </c>
      <c r="B855" s="4" t="s">
        <v>97</v>
      </c>
      <c r="C855" s="4" t="s">
        <v>100</v>
      </c>
      <c r="D855" s="4" t="s">
        <v>101</v>
      </c>
      <c r="E855" s="4" t="s">
        <v>69</v>
      </c>
      <c r="F855" s="4" t="s">
        <v>95</v>
      </c>
      <c r="G855" s="4" t="s">
        <v>102</v>
      </c>
      <c r="H855" s="4" t="s">
        <v>59</v>
      </c>
      <c r="I855" s="3"/>
      <c r="J855" s="3"/>
      <c r="K855" s="3"/>
      <c r="L855" s="3"/>
      <c r="M855" s="3"/>
      <c r="N855" s="3"/>
      <c r="O855" s="3"/>
      <c r="P855" s="8"/>
      <c r="Q855" s="8"/>
      <c r="R855" s="3"/>
      <c r="S855" s="3"/>
      <c r="T855" s="3"/>
      <c r="U855" s="5" t="str">
        <f t="shared" si="50"/>
        <v/>
      </c>
    </row>
    <row r="856" spans="1:21" ht="28" customHeight="1" x14ac:dyDescent="0.35">
      <c r="A856" s="4">
        <v>11</v>
      </c>
      <c r="B856" s="4" t="s">
        <v>103</v>
      </c>
      <c r="C856" s="4" t="s">
        <v>104</v>
      </c>
      <c r="D856" s="4" t="s">
        <v>105</v>
      </c>
      <c r="E856" s="4" t="s">
        <v>69</v>
      </c>
      <c r="F856" s="4" t="s">
        <v>95</v>
      </c>
      <c r="G856" s="4" t="s">
        <v>96</v>
      </c>
      <c r="H856" s="4" t="s">
        <v>85</v>
      </c>
      <c r="I856" s="3"/>
      <c r="J856" s="3"/>
      <c r="K856" s="3"/>
      <c r="L856" s="3"/>
      <c r="M856" s="3"/>
      <c r="N856" s="3"/>
      <c r="O856" s="3"/>
      <c r="P856" s="8"/>
      <c r="Q856" s="8"/>
      <c r="R856" s="3"/>
      <c r="S856" s="3"/>
      <c r="T856" s="3"/>
      <c r="U856" s="5" t="str">
        <f t="shared" si="50"/>
        <v/>
      </c>
    </row>
    <row r="857" spans="1:21" ht="28" customHeight="1" x14ac:dyDescent="0.35">
      <c r="A857" s="4">
        <v>12</v>
      </c>
      <c r="B857" s="4" t="s">
        <v>106</v>
      </c>
      <c r="C857" s="4" t="s">
        <v>107</v>
      </c>
      <c r="D857" s="4" t="s">
        <v>108</v>
      </c>
      <c r="E857" s="4" t="s">
        <v>109</v>
      </c>
      <c r="F857" s="4" t="s">
        <v>95</v>
      </c>
      <c r="G857" s="4" t="s">
        <v>96</v>
      </c>
      <c r="H857" s="4" t="s">
        <v>59</v>
      </c>
      <c r="I857" s="3"/>
      <c r="J857" s="3"/>
      <c r="K857" s="3"/>
      <c r="L857" s="3"/>
      <c r="M857" s="3"/>
      <c r="N857" s="3"/>
      <c r="O857" s="3"/>
      <c r="P857" s="8"/>
      <c r="Q857" s="8"/>
      <c r="R857" s="3"/>
      <c r="S857" s="3"/>
      <c r="T857" s="3"/>
      <c r="U857" s="5" t="str">
        <f t="shared" si="50"/>
        <v/>
      </c>
    </row>
    <row r="859" spans="1:21" ht="28" customHeight="1" x14ac:dyDescent="0.35">
      <c r="A859" s="9" t="s">
        <v>110</v>
      </c>
      <c r="B859" s="16"/>
      <c r="C859" s="17"/>
      <c r="D859" s="17"/>
      <c r="E859" s="17"/>
      <c r="F859" s="17"/>
      <c r="G859" s="17"/>
      <c r="H859" s="17"/>
      <c r="I859" s="17"/>
      <c r="J859" s="17"/>
      <c r="K859" s="17"/>
      <c r="L859" s="17"/>
      <c r="M859" s="17"/>
      <c r="N859" s="17"/>
      <c r="O859" s="17"/>
      <c r="P859" s="17"/>
      <c r="Q859" s="17"/>
      <c r="R859" s="17"/>
      <c r="S859" s="17"/>
      <c r="T859" s="17"/>
      <c r="U859" s="18"/>
    </row>
    <row r="860" spans="1:21" ht="28" customHeight="1" x14ac:dyDescent="0.35">
      <c r="A860" s="19" t="s">
        <v>509</v>
      </c>
      <c r="B860" s="20"/>
      <c r="C860" s="20"/>
      <c r="D860" s="20"/>
      <c r="E860" s="20"/>
      <c r="F860" s="20"/>
      <c r="G860" s="20"/>
      <c r="H860" s="20"/>
      <c r="I860" s="20"/>
      <c r="J860" s="20"/>
      <c r="K860" s="20"/>
      <c r="L860" s="20"/>
      <c r="M860" s="20"/>
      <c r="N860" s="20"/>
      <c r="O860" s="20"/>
      <c r="P860" s="20"/>
      <c r="Q860" s="20"/>
      <c r="R860" s="20"/>
      <c r="S860" s="20"/>
      <c r="T860" s="20"/>
      <c r="U860" s="21"/>
    </row>
    <row r="861" spans="1:21" ht="28" customHeight="1" x14ac:dyDescent="0.35">
      <c r="A861" s="4" t="s">
        <v>31</v>
      </c>
      <c r="B861" s="3" t="s">
        <v>264</v>
      </c>
      <c r="C861" s="4" t="s">
        <v>32</v>
      </c>
      <c r="D861" s="3"/>
      <c r="E861" s="4" t="s">
        <v>33</v>
      </c>
      <c r="F861" s="8"/>
    </row>
    <row r="862" spans="1:21" ht="28" customHeight="1" x14ac:dyDescent="0.35">
      <c r="A862" s="1" t="s">
        <v>34</v>
      </c>
      <c r="B862" s="1" t="s">
        <v>35</v>
      </c>
      <c r="C862" s="1" t="s">
        <v>36</v>
      </c>
      <c r="D862" s="1" t="s">
        <v>37</v>
      </c>
      <c r="E862" s="1" t="s">
        <v>38</v>
      </c>
      <c r="F862" s="1" t="s">
        <v>39</v>
      </c>
      <c r="G862" s="1" t="s">
        <v>40</v>
      </c>
      <c r="H862" s="1" t="s">
        <v>41</v>
      </c>
      <c r="I862" s="1" t="s">
        <v>42</v>
      </c>
      <c r="J862" s="1" t="s">
        <v>43</v>
      </c>
      <c r="K862" s="1" t="s">
        <v>44</v>
      </c>
      <c r="L862" s="1" t="s">
        <v>45</v>
      </c>
      <c r="M862" s="1" t="s">
        <v>46</v>
      </c>
      <c r="N862" s="1" t="s">
        <v>47</v>
      </c>
      <c r="O862" s="1" t="s">
        <v>48</v>
      </c>
      <c r="P862" s="1" t="s">
        <v>4</v>
      </c>
      <c r="Q862" s="1" t="s">
        <v>49</v>
      </c>
      <c r="R862" s="1" t="s">
        <v>50</v>
      </c>
      <c r="S862" s="1" t="s">
        <v>51</v>
      </c>
      <c r="T862" s="1" t="s">
        <v>52</v>
      </c>
      <c r="U862" s="1" t="s">
        <v>10</v>
      </c>
    </row>
    <row r="863" spans="1:21" ht="28" customHeight="1" x14ac:dyDescent="0.35">
      <c r="A863" s="4">
        <v>1</v>
      </c>
      <c r="B863" s="4" t="s">
        <v>439</v>
      </c>
      <c r="C863" s="4" t="s">
        <v>440</v>
      </c>
      <c r="D863" s="4" t="s">
        <v>441</v>
      </c>
      <c r="E863" s="4" t="s">
        <v>69</v>
      </c>
      <c r="F863" s="4" t="s">
        <v>370</v>
      </c>
      <c r="G863" s="4" t="s">
        <v>204</v>
      </c>
      <c r="H863" s="4" t="s">
        <v>59</v>
      </c>
      <c r="I863" s="3"/>
      <c r="J863" s="3"/>
      <c r="K863" s="3"/>
      <c r="L863" s="3"/>
      <c r="M863" s="3"/>
      <c r="N863" s="3"/>
      <c r="O863" s="3"/>
      <c r="P863" s="8"/>
      <c r="Q863" s="8"/>
      <c r="R863" s="3"/>
      <c r="S863" s="3"/>
      <c r="T863" s="3"/>
      <c r="U863" s="5" t="str">
        <f t="shared" ref="U863:U874" si="51">IF(I863="","",IF(I863="NA","Grey",IF(I863=2,"Green",IF(I863=1,"Amber","Red"))))</f>
        <v/>
      </c>
    </row>
    <row r="864" spans="1:21" ht="28" customHeight="1" x14ac:dyDescent="0.35">
      <c r="A864" s="4">
        <v>2</v>
      </c>
      <c r="B864" s="4" t="s">
        <v>442</v>
      </c>
      <c r="C864" s="4" t="s">
        <v>443</v>
      </c>
      <c r="D864" s="4" t="s">
        <v>444</v>
      </c>
      <c r="E864" s="4" t="s">
        <v>69</v>
      </c>
      <c r="F864" s="4" t="s">
        <v>95</v>
      </c>
      <c r="G864" s="4" t="s">
        <v>102</v>
      </c>
      <c r="H864" s="4" t="s">
        <v>59</v>
      </c>
      <c r="I864" s="3"/>
      <c r="J864" s="3"/>
      <c r="K864" s="3"/>
      <c r="L864" s="3"/>
      <c r="M864" s="3"/>
      <c r="N864" s="3"/>
      <c r="O864" s="3"/>
      <c r="P864" s="8"/>
      <c r="Q864" s="8"/>
      <c r="R864" s="3"/>
      <c r="S864" s="3"/>
      <c r="T864" s="3"/>
      <c r="U864" s="5" t="str">
        <f t="shared" si="51"/>
        <v/>
      </c>
    </row>
    <row r="865" spans="1:21" ht="28" customHeight="1" x14ac:dyDescent="0.35">
      <c r="A865" s="4">
        <v>3</v>
      </c>
      <c r="B865" s="4" t="s">
        <v>445</v>
      </c>
      <c r="C865" s="4" t="s">
        <v>446</v>
      </c>
      <c r="D865" s="4" t="s">
        <v>369</v>
      </c>
      <c r="E865" s="4" t="s">
        <v>69</v>
      </c>
      <c r="F865" s="4" t="s">
        <v>370</v>
      </c>
      <c r="G865" s="4" t="s">
        <v>204</v>
      </c>
      <c r="H865" s="4" t="s">
        <v>76</v>
      </c>
      <c r="I865" s="3"/>
      <c r="J865" s="3"/>
      <c r="K865" s="3"/>
      <c r="L865" s="3"/>
      <c r="M865" s="3"/>
      <c r="N865" s="3"/>
      <c r="O865" s="3"/>
      <c r="P865" s="8"/>
      <c r="Q865" s="8"/>
      <c r="R865" s="3"/>
      <c r="S865" s="3"/>
      <c r="T865" s="3"/>
      <c r="U865" s="5" t="str">
        <f t="shared" si="51"/>
        <v/>
      </c>
    </row>
    <row r="866" spans="1:21" ht="28" customHeight="1" x14ac:dyDescent="0.35">
      <c r="A866" s="4">
        <v>4</v>
      </c>
      <c r="B866" s="4" t="s">
        <v>447</v>
      </c>
      <c r="C866" s="4" t="s">
        <v>448</v>
      </c>
      <c r="D866" s="4" t="s">
        <v>449</v>
      </c>
      <c r="E866" s="4" t="s">
        <v>109</v>
      </c>
      <c r="F866" s="4" t="s">
        <v>276</v>
      </c>
      <c r="G866" s="4" t="s">
        <v>199</v>
      </c>
      <c r="H866" s="4" t="s">
        <v>59</v>
      </c>
      <c r="I866" s="3"/>
      <c r="J866" s="3"/>
      <c r="K866" s="3"/>
      <c r="L866" s="3"/>
      <c r="M866" s="3"/>
      <c r="N866" s="3"/>
      <c r="O866" s="3"/>
      <c r="P866" s="8"/>
      <c r="Q866" s="8"/>
      <c r="R866" s="3"/>
      <c r="S866" s="3"/>
      <c r="T866" s="3"/>
      <c r="U866" s="5" t="str">
        <f t="shared" si="51"/>
        <v/>
      </c>
    </row>
    <row r="867" spans="1:21" ht="28" customHeight="1" x14ac:dyDescent="0.35">
      <c r="A867" s="4">
        <v>5</v>
      </c>
      <c r="B867" s="4" t="s">
        <v>450</v>
      </c>
      <c r="C867" s="4" t="s">
        <v>451</v>
      </c>
      <c r="D867" s="4" t="s">
        <v>452</v>
      </c>
      <c r="E867" s="4" t="s">
        <v>69</v>
      </c>
      <c r="F867" s="4" t="s">
        <v>276</v>
      </c>
      <c r="G867" s="4" t="s">
        <v>199</v>
      </c>
      <c r="H867" s="4" t="s">
        <v>59</v>
      </c>
      <c r="I867" s="3"/>
      <c r="J867" s="3"/>
      <c r="K867" s="3"/>
      <c r="L867" s="3"/>
      <c r="M867" s="3"/>
      <c r="N867" s="3"/>
      <c r="O867" s="3"/>
      <c r="P867" s="8"/>
      <c r="Q867" s="8"/>
      <c r="R867" s="3"/>
      <c r="S867" s="3"/>
      <c r="T867" s="3"/>
      <c r="U867" s="5" t="str">
        <f t="shared" si="51"/>
        <v/>
      </c>
    </row>
    <row r="868" spans="1:21" ht="28" customHeight="1" x14ac:dyDescent="0.35">
      <c r="A868" s="4">
        <v>6</v>
      </c>
      <c r="B868" s="4" t="s">
        <v>453</v>
      </c>
      <c r="C868" s="4" t="s">
        <v>454</v>
      </c>
      <c r="D868" s="4" t="s">
        <v>455</v>
      </c>
      <c r="E868" s="4" t="s">
        <v>69</v>
      </c>
      <c r="F868" s="4" t="s">
        <v>284</v>
      </c>
      <c r="G868" s="4" t="s">
        <v>204</v>
      </c>
      <c r="H868" s="4" t="s">
        <v>76</v>
      </c>
      <c r="I868" s="3"/>
      <c r="J868" s="3"/>
      <c r="K868" s="3"/>
      <c r="L868" s="3"/>
      <c r="M868" s="3"/>
      <c r="N868" s="3"/>
      <c r="O868" s="3"/>
      <c r="P868" s="8"/>
      <c r="Q868" s="8"/>
      <c r="R868" s="3"/>
      <c r="S868" s="3"/>
      <c r="T868" s="3"/>
      <c r="U868" s="5" t="str">
        <f t="shared" si="51"/>
        <v/>
      </c>
    </row>
    <row r="869" spans="1:21" ht="28" customHeight="1" x14ac:dyDescent="0.35">
      <c r="A869" s="4">
        <v>7</v>
      </c>
      <c r="B869" s="4" t="s">
        <v>456</v>
      </c>
      <c r="C869" s="4" t="s">
        <v>457</v>
      </c>
      <c r="D869" s="4" t="s">
        <v>458</v>
      </c>
      <c r="E869" s="4" t="s">
        <v>69</v>
      </c>
      <c r="F869" s="4" t="s">
        <v>459</v>
      </c>
      <c r="G869" s="4" t="s">
        <v>209</v>
      </c>
      <c r="H869" s="4" t="s">
        <v>59</v>
      </c>
      <c r="I869" s="3"/>
      <c r="J869" s="3"/>
      <c r="K869" s="3"/>
      <c r="L869" s="3"/>
      <c r="M869" s="3"/>
      <c r="N869" s="3"/>
      <c r="O869" s="3"/>
      <c r="P869" s="8"/>
      <c r="Q869" s="8"/>
      <c r="R869" s="3"/>
      <c r="S869" s="3"/>
      <c r="T869" s="3"/>
      <c r="U869" s="5" t="str">
        <f t="shared" si="51"/>
        <v/>
      </c>
    </row>
    <row r="870" spans="1:21" ht="28" customHeight="1" x14ac:dyDescent="0.35">
      <c r="A870" s="4">
        <v>8</v>
      </c>
      <c r="B870" s="4" t="s">
        <v>460</v>
      </c>
      <c r="C870" s="4" t="s">
        <v>461</v>
      </c>
      <c r="D870" s="4" t="s">
        <v>462</v>
      </c>
      <c r="E870" s="4" t="s">
        <v>69</v>
      </c>
      <c r="F870" s="4" t="s">
        <v>95</v>
      </c>
      <c r="G870" s="4" t="s">
        <v>102</v>
      </c>
      <c r="H870" s="4" t="s">
        <v>59</v>
      </c>
      <c r="I870" s="3"/>
      <c r="J870" s="3"/>
      <c r="K870" s="3"/>
      <c r="L870" s="3"/>
      <c r="M870" s="3"/>
      <c r="N870" s="3"/>
      <c r="O870" s="3"/>
      <c r="P870" s="8"/>
      <c r="Q870" s="8"/>
      <c r="R870" s="3"/>
      <c r="S870" s="3"/>
      <c r="T870" s="3"/>
      <c r="U870" s="5" t="str">
        <f t="shared" si="51"/>
        <v/>
      </c>
    </row>
    <row r="871" spans="1:21" ht="28" customHeight="1" x14ac:dyDescent="0.35">
      <c r="A871" s="4">
        <v>9</v>
      </c>
      <c r="B871" s="4" t="s">
        <v>97</v>
      </c>
      <c r="C871" s="4" t="s">
        <v>98</v>
      </c>
      <c r="D871" s="4" t="s">
        <v>99</v>
      </c>
      <c r="E871" s="4" t="s">
        <v>69</v>
      </c>
      <c r="F871" s="4" t="s">
        <v>95</v>
      </c>
      <c r="G871" s="4" t="s">
        <v>96</v>
      </c>
      <c r="H871" s="4" t="s">
        <v>59</v>
      </c>
      <c r="I871" s="3"/>
      <c r="J871" s="3"/>
      <c r="K871" s="3"/>
      <c r="L871" s="3"/>
      <c r="M871" s="3"/>
      <c r="N871" s="3"/>
      <c r="O871" s="3"/>
      <c r="P871" s="8"/>
      <c r="Q871" s="8"/>
      <c r="R871" s="3"/>
      <c r="S871" s="3"/>
      <c r="T871" s="3"/>
      <c r="U871" s="5" t="str">
        <f t="shared" si="51"/>
        <v/>
      </c>
    </row>
    <row r="872" spans="1:21" ht="28" customHeight="1" x14ac:dyDescent="0.35">
      <c r="A872" s="4">
        <v>10</v>
      </c>
      <c r="B872" s="4" t="s">
        <v>97</v>
      </c>
      <c r="C872" s="4" t="s">
        <v>100</v>
      </c>
      <c r="D872" s="4" t="s">
        <v>101</v>
      </c>
      <c r="E872" s="4" t="s">
        <v>69</v>
      </c>
      <c r="F872" s="4" t="s">
        <v>95</v>
      </c>
      <c r="G872" s="4" t="s">
        <v>102</v>
      </c>
      <c r="H872" s="4" t="s">
        <v>59</v>
      </c>
      <c r="I872" s="3"/>
      <c r="J872" s="3"/>
      <c r="K872" s="3"/>
      <c r="L872" s="3"/>
      <c r="M872" s="3"/>
      <c r="N872" s="3"/>
      <c r="O872" s="3"/>
      <c r="P872" s="8"/>
      <c r="Q872" s="8"/>
      <c r="R872" s="3"/>
      <c r="S872" s="3"/>
      <c r="T872" s="3"/>
      <c r="U872" s="5" t="str">
        <f t="shared" si="51"/>
        <v/>
      </c>
    </row>
    <row r="873" spans="1:21" ht="28" customHeight="1" x14ac:dyDescent="0.35">
      <c r="A873" s="4">
        <v>11</v>
      </c>
      <c r="B873" s="4" t="s">
        <v>103</v>
      </c>
      <c r="C873" s="4" t="s">
        <v>104</v>
      </c>
      <c r="D873" s="4" t="s">
        <v>105</v>
      </c>
      <c r="E873" s="4" t="s">
        <v>69</v>
      </c>
      <c r="F873" s="4" t="s">
        <v>95</v>
      </c>
      <c r="G873" s="4" t="s">
        <v>96</v>
      </c>
      <c r="H873" s="4" t="s">
        <v>85</v>
      </c>
      <c r="I873" s="3"/>
      <c r="J873" s="3"/>
      <c r="K873" s="3"/>
      <c r="L873" s="3"/>
      <c r="M873" s="3"/>
      <c r="N873" s="3"/>
      <c r="O873" s="3"/>
      <c r="P873" s="8"/>
      <c r="Q873" s="8"/>
      <c r="R873" s="3"/>
      <c r="S873" s="3"/>
      <c r="T873" s="3"/>
      <c r="U873" s="5" t="str">
        <f t="shared" si="51"/>
        <v/>
      </c>
    </row>
    <row r="874" spans="1:21" ht="28" customHeight="1" x14ac:dyDescent="0.35">
      <c r="A874" s="4">
        <v>12</v>
      </c>
      <c r="B874" s="4" t="s">
        <v>106</v>
      </c>
      <c r="C874" s="4" t="s">
        <v>107</v>
      </c>
      <c r="D874" s="4" t="s">
        <v>108</v>
      </c>
      <c r="E874" s="4" t="s">
        <v>109</v>
      </c>
      <c r="F874" s="4" t="s">
        <v>95</v>
      </c>
      <c r="G874" s="4" t="s">
        <v>96</v>
      </c>
      <c r="H874" s="4" t="s">
        <v>59</v>
      </c>
      <c r="I874" s="3"/>
      <c r="J874" s="3"/>
      <c r="K874" s="3"/>
      <c r="L874" s="3"/>
      <c r="M874" s="3"/>
      <c r="N874" s="3"/>
      <c r="O874" s="3"/>
      <c r="P874" s="8"/>
      <c r="Q874" s="8"/>
      <c r="R874" s="3"/>
      <c r="S874" s="3"/>
      <c r="T874" s="3"/>
      <c r="U874" s="5" t="str">
        <f t="shared" si="51"/>
        <v/>
      </c>
    </row>
    <row r="876" spans="1:21" ht="28" customHeight="1" x14ac:dyDescent="0.35">
      <c r="A876" s="9" t="s">
        <v>110</v>
      </c>
      <c r="B876" s="16"/>
      <c r="C876" s="17"/>
      <c r="D876" s="17"/>
      <c r="E876" s="17"/>
      <c r="F876" s="17"/>
      <c r="G876" s="17"/>
      <c r="H876" s="17"/>
      <c r="I876" s="17"/>
      <c r="J876" s="17"/>
      <c r="K876" s="17"/>
      <c r="L876" s="17"/>
      <c r="M876" s="17"/>
      <c r="N876" s="17"/>
      <c r="O876" s="17"/>
      <c r="P876" s="17"/>
      <c r="Q876" s="17"/>
      <c r="R876" s="17"/>
      <c r="S876" s="17"/>
      <c r="T876" s="17"/>
      <c r="U876" s="18"/>
    </row>
    <row r="877" spans="1:21" ht="28" customHeight="1" x14ac:dyDescent="0.35">
      <c r="A877" s="19" t="s">
        <v>510</v>
      </c>
      <c r="B877" s="20"/>
      <c r="C877" s="20"/>
      <c r="D877" s="20"/>
      <c r="E877" s="20"/>
      <c r="F877" s="20"/>
      <c r="G877" s="20"/>
      <c r="H877" s="20"/>
      <c r="I877" s="20"/>
      <c r="J877" s="20"/>
      <c r="K877" s="20"/>
      <c r="L877" s="20"/>
      <c r="M877" s="20"/>
      <c r="N877" s="20"/>
      <c r="O877" s="20"/>
      <c r="P877" s="20"/>
      <c r="Q877" s="20"/>
      <c r="R877" s="20"/>
      <c r="S877" s="20"/>
      <c r="T877" s="20"/>
      <c r="U877" s="21"/>
    </row>
    <row r="878" spans="1:21" ht="28" customHeight="1" x14ac:dyDescent="0.35">
      <c r="A878" s="4" t="s">
        <v>31</v>
      </c>
      <c r="B878" s="3" t="s">
        <v>265</v>
      </c>
      <c r="C878" s="4" t="s">
        <v>32</v>
      </c>
      <c r="D878" s="3"/>
      <c r="E878" s="4" t="s">
        <v>33</v>
      </c>
      <c r="F878" s="8"/>
    </row>
    <row r="879" spans="1:21" ht="28" customHeight="1" x14ac:dyDescent="0.35">
      <c r="A879" s="1" t="s">
        <v>34</v>
      </c>
      <c r="B879" s="1" t="s">
        <v>35</v>
      </c>
      <c r="C879" s="1" t="s">
        <v>36</v>
      </c>
      <c r="D879" s="1" t="s">
        <v>37</v>
      </c>
      <c r="E879" s="1" t="s">
        <v>38</v>
      </c>
      <c r="F879" s="1" t="s">
        <v>39</v>
      </c>
      <c r="G879" s="1" t="s">
        <v>40</v>
      </c>
      <c r="H879" s="1" t="s">
        <v>41</v>
      </c>
      <c r="I879" s="1" t="s">
        <v>42</v>
      </c>
      <c r="J879" s="1" t="s">
        <v>43</v>
      </c>
      <c r="K879" s="1" t="s">
        <v>44</v>
      </c>
      <c r="L879" s="1" t="s">
        <v>45</v>
      </c>
      <c r="M879" s="1" t="s">
        <v>46</v>
      </c>
      <c r="N879" s="1" t="s">
        <v>47</v>
      </c>
      <c r="O879" s="1" t="s">
        <v>48</v>
      </c>
      <c r="P879" s="1" t="s">
        <v>4</v>
      </c>
      <c r="Q879" s="1" t="s">
        <v>49</v>
      </c>
      <c r="R879" s="1" t="s">
        <v>50</v>
      </c>
      <c r="S879" s="1" t="s">
        <v>51</v>
      </c>
      <c r="T879" s="1" t="s">
        <v>52</v>
      </c>
      <c r="U879" s="1" t="s">
        <v>10</v>
      </c>
    </row>
    <row r="880" spans="1:21" ht="28" customHeight="1" x14ac:dyDescent="0.35">
      <c r="A880" s="4">
        <v>1</v>
      </c>
      <c r="B880" s="4" t="s">
        <v>439</v>
      </c>
      <c r="C880" s="4" t="s">
        <v>440</v>
      </c>
      <c r="D880" s="4" t="s">
        <v>441</v>
      </c>
      <c r="E880" s="4" t="s">
        <v>69</v>
      </c>
      <c r="F880" s="4" t="s">
        <v>370</v>
      </c>
      <c r="G880" s="4" t="s">
        <v>204</v>
      </c>
      <c r="H880" s="4" t="s">
        <v>59</v>
      </c>
      <c r="I880" s="3"/>
      <c r="J880" s="3"/>
      <c r="K880" s="3"/>
      <c r="L880" s="3"/>
      <c r="M880" s="3"/>
      <c r="N880" s="3"/>
      <c r="O880" s="3"/>
      <c r="P880" s="8"/>
      <c r="Q880" s="8"/>
      <c r="R880" s="3"/>
      <c r="S880" s="3"/>
      <c r="T880" s="3"/>
      <c r="U880" s="5" t="str">
        <f t="shared" ref="U880:U891" si="52">IF(I880="","",IF(I880="NA","Grey",IF(I880=2,"Green",IF(I880=1,"Amber","Red"))))</f>
        <v/>
      </c>
    </row>
    <row r="881" spans="1:21" ht="28" customHeight="1" x14ac:dyDescent="0.35">
      <c r="A881" s="4">
        <v>2</v>
      </c>
      <c r="B881" s="4" t="s">
        <v>442</v>
      </c>
      <c r="C881" s="4" t="s">
        <v>443</v>
      </c>
      <c r="D881" s="4" t="s">
        <v>444</v>
      </c>
      <c r="E881" s="4" t="s">
        <v>69</v>
      </c>
      <c r="F881" s="4" t="s">
        <v>95</v>
      </c>
      <c r="G881" s="4" t="s">
        <v>102</v>
      </c>
      <c r="H881" s="4" t="s">
        <v>59</v>
      </c>
      <c r="I881" s="3"/>
      <c r="J881" s="3"/>
      <c r="K881" s="3"/>
      <c r="L881" s="3"/>
      <c r="M881" s="3"/>
      <c r="N881" s="3"/>
      <c r="O881" s="3"/>
      <c r="P881" s="8"/>
      <c r="Q881" s="8"/>
      <c r="R881" s="3"/>
      <c r="S881" s="3"/>
      <c r="T881" s="3"/>
      <c r="U881" s="5" t="str">
        <f t="shared" si="52"/>
        <v/>
      </c>
    </row>
    <row r="882" spans="1:21" ht="28" customHeight="1" x14ac:dyDescent="0.35">
      <c r="A882" s="4">
        <v>3</v>
      </c>
      <c r="B882" s="4" t="s">
        <v>445</v>
      </c>
      <c r="C882" s="4" t="s">
        <v>446</v>
      </c>
      <c r="D882" s="4" t="s">
        <v>369</v>
      </c>
      <c r="E882" s="4" t="s">
        <v>69</v>
      </c>
      <c r="F882" s="4" t="s">
        <v>370</v>
      </c>
      <c r="G882" s="4" t="s">
        <v>204</v>
      </c>
      <c r="H882" s="4" t="s">
        <v>76</v>
      </c>
      <c r="I882" s="3"/>
      <c r="J882" s="3"/>
      <c r="K882" s="3"/>
      <c r="L882" s="3"/>
      <c r="M882" s="3"/>
      <c r="N882" s="3"/>
      <c r="O882" s="3"/>
      <c r="P882" s="8"/>
      <c r="Q882" s="8"/>
      <c r="R882" s="3"/>
      <c r="S882" s="3"/>
      <c r="T882" s="3"/>
      <c r="U882" s="5" t="str">
        <f t="shared" si="52"/>
        <v/>
      </c>
    </row>
    <row r="883" spans="1:21" ht="28" customHeight="1" x14ac:dyDescent="0.35">
      <c r="A883" s="4">
        <v>4</v>
      </c>
      <c r="B883" s="4" t="s">
        <v>447</v>
      </c>
      <c r="C883" s="4" t="s">
        <v>448</v>
      </c>
      <c r="D883" s="4" t="s">
        <v>449</v>
      </c>
      <c r="E883" s="4" t="s">
        <v>109</v>
      </c>
      <c r="F883" s="4" t="s">
        <v>276</v>
      </c>
      <c r="G883" s="4" t="s">
        <v>199</v>
      </c>
      <c r="H883" s="4" t="s">
        <v>59</v>
      </c>
      <c r="I883" s="3"/>
      <c r="J883" s="3"/>
      <c r="K883" s="3"/>
      <c r="L883" s="3"/>
      <c r="M883" s="3"/>
      <c r="N883" s="3"/>
      <c r="O883" s="3"/>
      <c r="P883" s="8"/>
      <c r="Q883" s="8"/>
      <c r="R883" s="3"/>
      <c r="S883" s="3"/>
      <c r="T883" s="3"/>
      <c r="U883" s="5" t="str">
        <f t="shared" si="52"/>
        <v/>
      </c>
    </row>
    <row r="884" spans="1:21" ht="28" customHeight="1" x14ac:dyDescent="0.35">
      <c r="A884" s="4">
        <v>5</v>
      </c>
      <c r="B884" s="4" t="s">
        <v>450</v>
      </c>
      <c r="C884" s="4" t="s">
        <v>451</v>
      </c>
      <c r="D884" s="4" t="s">
        <v>452</v>
      </c>
      <c r="E884" s="4" t="s">
        <v>69</v>
      </c>
      <c r="F884" s="4" t="s">
        <v>276</v>
      </c>
      <c r="G884" s="4" t="s">
        <v>199</v>
      </c>
      <c r="H884" s="4" t="s">
        <v>59</v>
      </c>
      <c r="I884" s="3"/>
      <c r="J884" s="3"/>
      <c r="K884" s="3"/>
      <c r="L884" s="3"/>
      <c r="M884" s="3"/>
      <c r="N884" s="3"/>
      <c r="O884" s="3"/>
      <c r="P884" s="8"/>
      <c r="Q884" s="8"/>
      <c r="R884" s="3"/>
      <c r="S884" s="3"/>
      <c r="T884" s="3"/>
      <c r="U884" s="5" t="str">
        <f t="shared" si="52"/>
        <v/>
      </c>
    </row>
    <row r="885" spans="1:21" ht="28" customHeight="1" x14ac:dyDescent="0.35">
      <c r="A885" s="4">
        <v>6</v>
      </c>
      <c r="B885" s="4" t="s">
        <v>453</v>
      </c>
      <c r="C885" s="4" t="s">
        <v>454</v>
      </c>
      <c r="D885" s="4" t="s">
        <v>455</v>
      </c>
      <c r="E885" s="4" t="s">
        <v>69</v>
      </c>
      <c r="F885" s="4" t="s">
        <v>284</v>
      </c>
      <c r="G885" s="4" t="s">
        <v>204</v>
      </c>
      <c r="H885" s="4" t="s">
        <v>76</v>
      </c>
      <c r="I885" s="3"/>
      <c r="J885" s="3"/>
      <c r="K885" s="3"/>
      <c r="L885" s="3"/>
      <c r="M885" s="3"/>
      <c r="N885" s="3"/>
      <c r="O885" s="3"/>
      <c r="P885" s="8"/>
      <c r="Q885" s="8"/>
      <c r="R885" s="3"/>
      <c r="S885" s="3"/>
      <c r="T885" s="3"/>
      <c r="U885" s="5" t="str">
        <f t="shared" si="52"/>
        <v/>
      </c>
    </row>
    <row r="886" spans="1:21" ht="28" customHeight="1" x14ac:dyDescent="0.35">
      <c r="A886" s="4">
        <v>7</v>
      </c>
      <c r="B886" s="4" t="s">
        <v>456</v>
      </c>
      <c r="C886" s="4" t="s">
        <v>457</v>
      </c>
      <c r="D886" s="4" t="s">
        <v>458</v>
      </c>
      <c r="E886" s="4" t="s">
        <v>69</v>
      </c>
      <c r="F886" s="4" t="s">
        <v>459</v>
      </c>
      <c r="G886" s="4" t="s">
        <v>209</v>
      </c>
      <c r="H886" s="4" t="s">
        <v>59</v>
      </c>
      <c r="I886" s="3"/>
      <c r="J886" s="3"/>
      <c r="K886" s="3"/>
      <c r="L886" s="3"/>
      <c r="M886" s="3"/>
      <c r="N886" s="3"/>
      <c r="O886" s="3"/>
      <c r="P886" s="8"/>
      <c r="Q886" s="8"/>
      <c r="R886" s="3"/>
      <c r="S886" s="3"/>
      <c r="T886" s="3"/>
      <c r="U886" s="5" t="str">
        <f t="shared" si="52"/>
        <v/>
      </c>
    </row>
    <row r="887" spans="1:21" ht="28" customHeight="1" x14ac:dyDescent="0.35">
      <c r="A887" s="4">
        <v>8</v>
      </c>
      <c r="B887" s="4" t="s">
        <v>460</v>
      </c>
      <c r="C887" s="4" t="s">
        <v>461</v>
      </c>
      <c r="D887" s="4" t="s">
        <v>462</v>
      </c>
      <c r="E887" s="4" t="s">
        <v>69</v>
      </c>
      <c r="F887" s="4" t="s">
        <v>95</v>
      </c>
      <c r="G887" s="4" t="s">
        <v>102</v>
      </c>
      <c r="H887" s="4" t="s">
        <v>59</v>
      </c>
      <c r="I887" s="3"/>
      <c r="J887" s="3"/>
      <c r="K887" s="3"/>
      <c r="L887" s="3"/>
      <c r="M887" s="3"/>
      <c r="N887" s="3"/>
      <c r="O887" s="3"/>
      <c r="P887" s="8"/>
      <c r="Q887" s="8"/>
      <c r="R887" s="3"/>
      <c r="S887" s="3"/>
      <c r="T887" s="3"/>
      <c r="U887" s="5" t="str">
        <f t="shared" si="52"/>
        <v/>
      </c>
    </row>
    <row r="888" spans="1:21" ht="28" customHeight="1" x14ac:dyDescent="0.35">
      <c r="A888" s="4">
        <v>9</v>
      </c>
      <c r="B888" s="4" t="s">
        <v>97</v>
      </c>
      <c r="C888" s="4" t="s">
        <v>98</v>
      </c>
      <c r="D888" s="4" t="s">
        <v>99</v>
      </c>
      <c r="E888" s="4" t="s">
        <v>69</v>
      </c>
      <c r="F888" s="4" t="s">
        <v>95</v>
      </c>
      <c r="G888" s="4" t="s">
        <v>96</v>
      </c>
      <c r="H888" s="4" t="s">
        <v>59</v>
      </c>
      <c r="I888" s="3"/>
      <c r="J888" s="3"/>
      <c r="K888" s="3"/>
      <c r="L888" s="3"/>
      <c r="M888" s="3"/>
      <c r="N888" s="3"/>
      <c r="O888" s="3"/>
      <c r="P888" s="8"/>
      <c r="Q888" s="8"/>
      <c r="R888" s="3"/>
      <c r="S888" s="3"/>
      <c r="T888" s="3"/>
      <c r="U888" s="5" t="str">
        <f t="shared" si="52"/>
        <v/>
      </c>
    </row>
    <row r="889" spans="1:21" ht="28" customHeight="1" x14ac:dyDescent="0.35">
      <c r="A889" s="4">
        <v>10</v>
      </c>
      <c r="B889" s="4" t="s">
        <v>97</v>
      </c>
      <c r="C889" s="4" t="s">
        <v>100</v>
      </c>
      <c r="D889" s="4" t="s">
        <v>101</v>
      </c>
      <c r="E889" s="4" t="s">
        <v>69</v>
      </c>
      <c r="F889" s="4" t="s">
        <v>95</v>
      </c>
      <c r="G889" s="4" t="s">
        <v>102</v>
      </c>
      <c r="H889" s="4" t="s">
        <v>59</v>
      </c>
      <c r="I889" s="3"/>
      <c r="J889" s="3"/>
      <c r="K889" s="3"/>
      <c r="L889" s="3"/>
      <c r="M889" s="3"/>
      <c r="N889" s="3"/>
      <c r="O889" s="3"/>
      <c r="P889" s="8"/>
      <c r="Q889" s="8"/>
      <c r="R889" s="3"/>
      <c r="S889" s="3"/>
      <c r="T889" s="3"/>
      <c r="U889" s="5" t="str">
        <f t="shared" si="52"/>
        <v/>
      </c>
    </row>
    <row r="890" spans="1:21" ht="28" customHeight="1" x14ac:dyDescent="0.35">
      <c r="A890" s="4">
        <v>11</v>
      </c>
      <c r="B890" s="4" t="s">
        <v>103</v>
      </c>
      <c r="C890" s="4" t="s">
        <v>104</v>
      </c>
      <c r="D890" s="4" t="s">
        <v>105</v>
      </c>
      <c r="E890" s="4" t="s">
        <v>69</v>
      </c>
      <c r="F890" s="4" t="s">
        <v>95</v>
      </c>
      <c r="G890" s="4" t="s">
        <v>96</v>
      </c>
      <c r="H890" s="4" t="s">
        <v>85</v>
      </c>
      <c r="I890" s="3"/>
      <c r="J890" s="3"/>
      <c r="K890" s="3"/>
      <c r="L890" s="3"/>
      <c r="M890" s="3"/>
      <c r="N890" s="3"/>
      <c r="O890" s="3"/>
      <c r="P890" s="8"/>
      <c r="Q890" s="8"/>
      <c r="R890" s="3"/>
      <c r="S890" s="3"/>
      <c r="T890" s="3"/>
      <c r="U890" s="5" t="str">
        <f t="shared" si="52"/>
        <v/>
      </c>
    </row>
    <row r="891" spans="1:21" ht="28" customHeight="1" x14ac:dyDescent="0.35">
      <c r="A891" s="4">
        <v>12</v>
      </c>
      <c r="B891" s="4" t="s">
        <v>106</v>
      </c>
      <c r="C891" s="4" t="s">
        <v>107</v>
      </c>
      <c r="D891" s="4" t="s">
        <v>108</v>
      </c>
      <c r="E891" s="4" t="s">
        <v>109</v>
      </c>
      <c r="F891" s="4" t="s">
        <v>95</v>
      </c>
      <c r="G891" s="4" t="s">
        <v>96</v>
      </c>
      <c r="H891" s="4" t="s">
        <v>59</v>
      </c>
      <c r="I891" s="3"/>
      <c r="J891" s="3"/>
      <c r="K891" s="3"/>
      <c r="L891" s="3"/>
      <c r="M891" s="3"/>
      <c r="N891" s="3"/>
      <c r="O891" s="3"/>
      <c r="P891" s="8"/>
      <c r="Q891" s="8"/>
      <c r="R891" s="3"/>
      <c r="S891" s="3"/>
      <c r="T891" s="3"/>
      <c r="U891" s="5" t="str">
        <f t="shared" si="52"/>
        <v/>
      </c>
    </row>
    <row r="893" spans="1:21" ht="28" customHeight="1" x14ac:dyDescent="0.35">
      <c r="A893" s="9" t="s">
        <v>110</v>
      </c>
      <c r="B893" s="16"/>
      <c r="C893" s="17"/>
      <c r="D893" s="17"/>
      <c r="E893" s="17"/>
      <c r="F893" s="17"/>
      <c r="G893" s="17"/>
      <c r="H893" s="17"/>
      <c r="I893" s="17"/>
      <c r="J893" s="17"/>
      <c r="K893" s="17"/>
      <c r="L893" s="17"/>
      <c r="M893" s="17"/>
      <c r="N893" s="17"/>
      <c r="O893" s="17"/>
      <c r="P893" s="17"/>
      <c r="Q893" s="17"/>
      <c r="R893" s="17"/>
      <c r="S893" s="17"/>
      <c r="T893" s="17"/>
      <c r="U893" s="18"/>
    </row>
    <row r="894" spans="1:21" ht="28" customHeight="1" x14ac:dyDescent="0.35">
      <c r="A894" s="19" t="s">
        <v>511</v>
      </c>
      <c r="B894" s="20"/>
      <c r="C894" s="20"/>
      <c r="D894" s="20"/>
      <c r="E894" s="20"/>
      <c r="F894" s="20"/>
      <c r="G894" s="20"/>
      <c r="H894" s="20"/>
      <c r="I894" s="20"/>
      <c r="J894" s="20"/>
      <c r="K894" s="20"/>
      <c r="L894" s="20"/>
      <c r="M894" s="20"/>
      <c r="N894" s="20"/>
      <c r="O894" s="20"/>
      <c r="P894" s="20"/>
      <c r="Q894" s="20"/>
      <c r="R894" s="20"/>
      <c r="S894" s="20"/>
      <c r="T894" s="20"/>
      <c r="U894" s="21"/>
    </row>
    <row r="895" spans="1:21" ht="28" customHeight="1" x14ac:dyDescent="0.35">
      <c r="A895" s="4" t="s">
        <v>31</v>
      </c>
      <c r="B895" s="3" t="s">
        <v>266</v>
      </c>
      <c r="C895" s="4" t="s">
        <v>32</v>
      </c>
      <c r="D895" s="3"/>
      <c r="E895" s="4" t="s">
        <v>33</v>
      </c>
      <c r="F895" s="8"/>
    </row>
    <row r="896" spans="1:21" ht="28" customHeight="1" x14ac:dyDescent="0.35">
      <c r="A896" s="1" t="s">
        <v>34</v>
      </c>
      <c r="B896" s="1" t="s">
        <v>35</v>
      </c>
      <c r="C896" s="1" t="s">
        <v>36</v>
      </c>
      <c r="D896" s="1" t="s">
        <v>37</v>
      </c>
      <c r="E896" s="1" t="s">
        <v>38</v>
      </c>
      <c r="F896" s="1" t="s">
        <v>39</v>
      </c>
      <c r="G896" s="1" t="s">
        <v>40</v>
      </c>
      <c r="H896" s="1" t="s">
        <v>41</v>
      </c>
      <c r="I896" s="1" t="s">
        <v>42</v>
      </c>
      <c r="J896" s="1" t="s">
        <v>43</v>
      </c>
      <c r="K896" s="1" t="s">
        <v>44</v>
      </c>
      <c r="L896" s="1" t="s">
        <v>45</v>
      </c>
      <c r="M896" s="1" t="s">
        <v>46</v>
      </c>
      <c r="N896" s="1" t="s">
        <v>47</v>
      </c>
      <c r="O896" s="1" t="s">
        <v>48</v>
      </c>
      <c r="P896" s="1" t="s">
        <v>4</v>
      </c>
      <c r="Q896" s="1" t="s">
        <v>49</v>
      </c>
      <c r="R896" s="1" t="s">
        <v>50</v>
      </c>
      <c r="S896" s="1" t="s">
        <v>51</v>
      </c>
      <c r="T896" s="1" t="s">
        <v>52</v>
      </c>
      <c r="U896" s="1" t="s">
        <v>10</v>
      </c>
    </row>
    <row r="897" spans="1:21" ht="28" customHeight="1" x14ac:dyDescent="0.35">
      <c r="A897" s="4">
        <v>1</v>
      </c>
      <c r="B897" s="4" t="s">
        <v>439</v>
      </c>
      <c r="C897" s="4" t="s">
        <v>440</v>
      </c>
      <c r="D897" s="4" t="s">
        <v>441</v>
      </c>
      <c r="E897" s="4" t="s">
        <v>69</v>
      </c>
      <c r="F897" s="4" t="s">
        <v>370</v>
      </c>
      <c r="G897" s="4" t="s">
        <v>204</v>
      </c>
      <c r="H897" s="4" t="s">
        <v>59</v>
      </c>
      <c r="I897" s="3"/>
      <c r="J897" s="3"/>
      <c r="K897" s="3"/>
      <c r="L897" s="3"/>
      <c r="M897" s="3"/>
      <c r="N897" s="3"/>
      <c r="O897" s="3"/>
      <c r="P897" s="8"/>
      <c r="Q897" s="8"/>
      <c r="R897" s="3"/>
      <c r="S897" s="3"/>
      <c r="T897" s="3"/>
      <c r="U897" s="5" t="str">
        <f t="shared" ref="U897:U908" si="53">IF(I897="","",IF(I897="NA","Grey",IF(I897=2,"Green",IF(I897=1,"Amber","Red"))))</f>
        <v/>
      </c>
    </row>
    <row r="898" spans="1:21" ht="28" customHeight="1" x14ac:dyDescent="0.35">
      <c r="A898" s="4">
        <v>2</v>
      </c>
      <c r="B898" s="4" t="s">
        <v>442</v>
      </c>
      <c r="C898" s="4" t="s">
        <v>443</v>
      </c>
      <c r="D898" s="4" t="s">
        <v>444</v>
      </c>
      <c r="E898" s="4" t="s">
        <v>69</v>
      </c>
      <c r="F898" s="4" t="s">
        <v>95</v>
      </c>
      <c r="G898" s="4" t="s">
        <v>102</v>
      </c>
      <c r="H898" s="4" t="s">
        <v>59</v>
      </c>
      <c r="I898" s="3"/>
      <c r="J898" s="3"/>
      <c r="K898" s="3"/>
      <c r="L898" s="3"/>
      <c r="M898" s="3"/>
      <c r="N898" s="3"/>
      <c r="O898" s="3"/>
      <c r="P898" s="8"/>
      <c r="Q898" s="8"/>
      <c r="R898" s="3"/>
      <c r="S898" s="3"/>
      <c r="T898" s="3"/>
      <c r="U898" s="5" t="str">
        <f t="shared" si="53"/>
        <v/>
      </c>
    </row>
    <row r="899" spans="1:21" ht="28" customHeight="1" x14ac:dyDescent="0.35">
      <c r="A899" s="4">
        <v>3</v>
      </c>
      <c r="B899" s="4" t="s">
        <v>445</v>
      </c>
      <c r="C899" s="4" t="s">
        <v>446</v>
      </c>
      <c r="D899" s="4" t="s">
        <v>369</v>
      </c>
      <c r="E899" s="4" t="s">
        <v>69</v>
      </c>
      <c r="F899" s="4" t="s">
        <v>370</v>
      </c>
      <c r="G899" s="4" t="s">
        <v>204</v>
      </c>
      <c r="H899" s="4" t="s">
        <v>76</v>
      </c>
      <c r="I899" s="3"/>
      <c r="J899" s="3"/>
      <c r="K899" s="3"/>
      <c r="L899" s="3"/>
      <c r="M899" s="3"/>
      <c r="N899" s="3"/>
      <c r="O899" s="3"/>
      <c r="P899" s="8"/>
      <c r="Q899" s="8"/>
      <c r="R899" s="3"/>
      <c r="S899" s="3"/>
      <c r="T899" s="3"/>
      <c r="U899" s="5" t="str">
        <f t="shared" si="53"/>
        <v/>
      </c>
    </row>
    <row r="900" spans="1:21" ht="28" customHeight="1" x14ac:dyDescent="0.35">
      <c r="A900" s="4">
        <v>4</v>
      </c>
      <c r="B900" s="4" t="s">
        <v>447</v>
      </c>
      <c r="C900" s="4" t="s">
        <v>448</v>
      </c>
      <c r="D900" s="4" t="s">
        <v>449</v>
      </c>
      <c r="E900" s="4" t="s">
        <v>109</v>
      </c>
      <c r="F900" s="4" t="s">
        <v>276</v>
      </c>
      <c r="G900" s="4" t="s">
        <v>199</v>
      </c>
      <c r="H900" s="4" t="s">
        <v>59</v>
      </c>
      <c r="I900" s="3"/>
      <c r="J900" s="3"/>
      <c r="K900" s="3"/>
      <c r="L900" s="3"/>
      <c r="M900" s="3"/>
      <c r="N900" s="3"/>
      <c r="O900" s="3"/>
      <c r="P900" s="8"/>
      <c r="Q900" s="8"/>
      <c r="R900" s="3"/>
      <c r="S900" s="3"/>
      <c r="T900" s="3"/>
      <c r="U900" s="5" t="str">
        <f t="shared" si="53"/>
        <v/>
      </c>
    </row>
    <row r="901" spans="1:21" ht="28" customHeight="1" x14ac:dyDescent="0.35">
      <c r="A901" s="4">
        <v>5</v>
      </c>
      <c r="B901" s="4" t="s">
        <v>450</v>
      </c>
      <c r="C901" s="4" t="s">
        <v>451</v>
      </c>
      <c r="D901" s="4" t="s">
        <v>452</v>
      </c>
      <c r="E901" s="4" t="s">
        <v>69</v>
      </c>
      <c r="F901" s="4" t="s">
        <v>276</v>
      </c>
      <c r="G901" s="4" t="s">
        <v>199</v>
      </c>
      <c r="H901" s="4" t="s">
        <v>59</v>
      </c>
      <c r="I901" s="3"/>
      <c r="J901" s="3"/>
      <c r="K901" s="3"/>
      <c r="L901" s="3"/>
      <c r="M901" s="3"/>
      <c r="N901" s="3"/>
      <c r="O901" s="3"/>
      <c r="P901" s="8"/>
      <c r="Q901" s="8"/>
      <c r="R901" s="3"/>
      <c r="S901" s="3"/>
      <c r="T901" s="3"/>
      <c r="U901" s="5" t="str">
        <f t="shared" si="53"/>
        <v/>
      </c>
    </row>
    <row r="902" spans="1:21" ht="28" customHeight="1" x14ac:dyDescent="0.35">
      <c r="A902" s="4">
        <v>6</v>
      </c>
      <c r="B902" s="4" t="s">
        <v>453</v>
      </c>
      <c r="C902" s="4" t="s">
        <v>454</v>
      </c>
      <c r="D902" s="4" t="s">
        <v>455</v>
      </c>
      <c r="E902" s="4" t="s">
        <v>69</v>
      </c>
      <c r="F902" s="4" t="s">
        <v>284</v>
      </c>
      <c r="G902" s="4" t="s">
        <v>204</v>
      </c>
      <c r="H902" s="4" t="s">
        <v>76</v>
      </c>
      <c r="I902" s="3"/>
      <c r="J902" s="3"/>
      <c r="K902" s="3"/>
      <c r="L902" s="3"/>
      <c r="M902" s="3"/>
      <c r="N902" s="3"/>
      <c r="O902" s="3"/>
      <c r="P902" s="8"/>
      <c r="Q902" s="8"/>
      <c r="R902" s="3"/>
      <c r="S902" s="3"/>
      <c r="T902" s="3"/>
      <c r="U902" s="5" t="str">
        <f t="shared" si="53"/>
        <v/>
      </c>
    </row>
    <row r="903" spans="1:21" ht="28" customHeight="1" x14ac:dyDescent="0.35">
      <c r="A903" s="4">
        <v>7</v>
      </c>
      <c r="B903" s="4" t="s">
        <v>456</v>
      </c>
      <c r="C903" s="4" t="s">
        <v>457</v>
      </c>
      <c r="D903" s="4" t="s">
        <v>458</v>
      </c>
      <c r="E903" s="4" t="s">
        <v>69</v>
      </c>
      <c r="F903" s="4" t="s">
        <v>459</v>
      </c>
      <c r="G903" s="4" t="s">
        <v>209</v>
      </c>
      <c r="H903" s="4" t="s">
        <v>59</v>
      </c>
      <c r="I903" s="3"/>
      <c r="J903" s="3"/>
      <c r="K903" s="3"/>
      <c r="L903" s="3"/>
      <c r="M903" s="3"/>
      <c r="N903" s="3"/>
      <c r="O903" s="3"/>
      <c r="P903" s="8"/>
      <c r="Q903" s="8"/>
      <c r="R903" s="3"/>
      <c r="S903" s="3"/>
      <c r="T903" s="3"/>
      <c r="U903" s="5" t="str">
        <f t="shared" si="53"/>
        <v/>
      </c>
    </row>
    <row r="904" spans="1:21" ht="28" customHeight="1" x14ac:dyDescent="0.35">
      <c r="A904" s="4">
        <v>8</v>
      </c>
      <c r="B904" s="4" t="s">
        <v>460</v>
      </c>
      <c r="C904" s="4" t="s">
        <v>461</v>
      </c>
      <c r="D904" s="4" t="s">
        <v>462</v>
      </c>
      <c r="E904" s="4" t="s">
        <v>69</v>
      </c>
      <c r="F904" s="4" t="s">
        <v>95</v>
      </c>
      <c r="G904" s="4" t="s">
        <v>102</v>
      </c>
      <c r="H904" s="4" t="s">
        <v>59</v>
      </c>
      <c r="I904" s="3"/>
      <c r="J904" s="3"/>
      <c r="K904" s="3"/>
      <c r="L904" s="3"/>
      <c r="M904" s="3"/>
      <c r="N904" s="3"/>
      <c r="O904" s="3"/>
      <c r="P904" s="8"/>
      <c r="Q904" s="8"/>
      <c r="R904" s="3"/>
      <c r="S904" s="3"/>
      <c r="T904" s="3"/>
      <c r="U904" s="5" t="str">
        <f t="shared" si="53"/>
        <v/>
      </c>
    </row>
    <row r="905" spans="1:21" ht="28" customHeight="1" x14ac:dyDescent="0.35">
      <c r="A905" s="4">
        <v>9</v>
      </c>
      <c r="B905" s="4" t="s">
        <v>97</v>
      </c>
      <c r="C905" s="4" t="s">
        <v>98</v>
      </c>
      <c r="D905" s="4" t="s">
        <v>99</v>
      </c>
      <c r="E905" s="4" t="s">
        <v>69</v>
      </c>
      <c r="F905" s="4" t="s">
        <v>95</v>
      </c>
      <c r="G905" s="4" t="s">
        <v>96</v>
      </c>
      <c r="H905" s="4" t="s">
        <v>59</v>
      </c>
      <c r="I905" s="3"/>
      <c r="J905" s="3"/>
      <c r="K905" s="3"/>
      <c r="L905" s="3"/>
      <c r="M905" s="3"/>
      <c r="N905" s="3"/>
      <c r="O905" s="3"/>
      <c r="P905" s="8"/>
      <c r="Q905" s="8"/>
      <c r="R905" s="3"/>
      <c r="S905" s="3"/>
      <c r="T905" s="3"/>
      <c r="U905" s="5" t="str">
        <f t="shared" si="53"/>
        <v/>
      </c>
    </row>
    <row r="906" spans="1:21" ht="28" customHeight="1" x14ac:dyDescent="0.35">
      <c r="A906" s="4">
        <v>10</v>
      </c>
      <c r="B906" s="4" t="s">
        <v>97</v>
      </c>
      <c r="C906" s="4" t="s">
        <v>100</v>
      </c>
      <c r="D906" s="4" t="s">
        <v>101</v>
      </c>
      <c r="E906" s="4" t="s">
        <v>69</v>
      </c>
      <c r="F906" s="4" t="s">
        <v>95</v>
      </c>
      <c r="G906" s="4" t="s">
        <v>102</v>
      </c>
      <c r="H906" s="4" t="s">
        <v>59</v>
      </c>
      <c r="I906" s="3"/>
      <c r="J906" s="3"/>
      <c r="K906" s="3"/>
      <c r="L906" s="3"/>
      <c r="M906" s="3"/>
      <c r="N906" s="3"/>
      <c r="O906" s="3"/>
      <c r="P906" s="8"/>
      <c r="Q906" s="8"/>
      <c r="R906" s="3"/>
      <c r="S906" s="3"/>
      <c r="T906" s="3"/>
      <c r="U906" s="5" t="str">
        <f t="shared" si="53"/>
        <v/>
      </c>
    </row>
    <row r="907" spans="1:21" ht="28" customHeight="1" x14ac:dyDescent="0.35">
      <c r="A907" s="4">
        <v>11</v>
      </c>
      <c r="B907" s="4" t="s">
        <v>103</v>
      </c>
      <c r="C907" s="4" t="s">
        <v>104</v>
      </c>
      <c r="D907" s="4" t="s">
        <v>105</v>
      </c>
      <c r="E907" s="4" t="s">
        <v>69</v>
      </c>
      <c r="F907" s="4" t="s">
        <v>95</v>
      </c>
      <c r="G907" s="4" t="s">
        <v>96</v>
      </c>
      <c r="H907" s="4" t="s">
        <v>85</v>
      </c>
      <c r="I907" s="3"/>
      <c r="J907" s="3"/>
      <c r="K907" s="3"/>
      <c r="L907" s="3"/>
      <c r="M907" s="3"/>
      <c r="N907" s="3"/>
      <c r="O907" s="3"/>
      <c r="P907" s="8"/>
      <c r="Q907" s="8"/>
      <c r="R907" s="3"/>
      <c r="S907" s="3"/>
      <c r="T907" s="3"/>
      <c r="U907" s="5" t="str">
        <f t="shared" si="53"/>
        <v/>
      </c>
    </row>
    <row r="908" spans="1:21" ht="28" customHeight="1" x14ac:dyDescent="0.35">
      <c r="A908" s="4">
        <v>12</v>
      </c>
      <c r="B908" s="4" t="s">
        <v>106</v>
      </c>
      <c r="C908" s="4" t="s">
        <v>107</v>
      </c>
      <c r="D908" s="4" t="s">
        <v>108</v>
      </c>
      <c r="E908" s="4" t="s">
        <v>109</v>
      </c>
      <c r="F908" s="4" t="s">
        <v>95</v>
      </c>
      <c r="G908" s="4" t="s">
        <v>96</v>
      </c>
      <c r="H908" s="4" t="s">
        <v>59</v>
      </c>
      <c r="I908" s="3"/>
      <c r="J908" s="3"/>
      <c r="K908" s="3"/>
      <c r="L908" s="3"/>
      <c r="M908" s="3"/>
      <c r="N908" s="3"/>
      <c r="O908" s="3"/>
      <c r="P908" s="8"/>
      <c r="Q908" s="8"/>
      <c r="R908" s="3"/>
      <c r="S908" s="3"/>
      <c r="T908" s="3"/>
      <c r="U908" s="5" t="str">
        <f t="shared" si="53"/>
        <v/>
      </c>
    </row>
    <row r="910" spans="1:21" ht="28" customHeight="1" x14ac:dyDescent="0.35">
      <c r="A910" s="9" t="s">
        <v>110</v>
      </c>
      <c r="B910" s="16"/>
      <c r="C910" s="17"/>
      <c r="D910" s="17"/>
      <c r="E910" s="17"/>
      <c r="F910" s="17"/>
      <c r="G910" s="17"/>
      <c r="H910" s="17"/>
      <c r="I910" s="17"/>
      <c r="J910" s="17"/>
      <c r="K910" s="17"/>
      <c r="L910" s="17"/>
      <c r="M910" s="17"/>
      <c r="N910" s="17"/>
      <c r="O910" s="17"/>
      <c r="P910" s="17"/>
      <c r="Q910" s="17"/>
      <c r="R910" s="17"/>
      <c r="S910" s="17"/>
      <c r="T910" s="17"/>
      <c r="U910" s="18"/>
    </row>
    <row r="911" spans="1:21" ht="28" customHeight="1" x14ac:dyDescent="0.35">
      <c r="A911" s="19" t="s">
        <v>512</v>
      </c>
      <c r="B911" s="20"/>
      <c r="C911" s="20"/>
      <c r="D911" s="20"/>
      <c r="E911" s="20"/>
      <c r="F911" s="20"/>
      <c r="G911" s="20"/>
      <c r="H911" s="20"/>
      <c r="I911" s="20"/>
      <c r="J911" s="20"/>
      <c r="K911" s="20"/>
      <c r="L911" s="20"/>
      <c r="M911" s="20"/>
      <c r="N911" s="20"/>
      <c r="O911" s="20"/>
      <c r="P911" s="20"/>
      <c r="Q911" s="20"/>
      <c r="R911" s="20"/>
      <c r="S911" s="20"/>
      <c r="T911" s="20"/>
      <c r="U911" s="21"/>
    </row>
    <row r="912" spans="1:21" ht="28" customHeight="1" x14ac:dyDescent="0.35">
      <c r="A912" s="4" t="s">
        <v>31</v>
      </c>
      <c r="B912" s="3" t="s">
        <v>267</v>
      </c>
      <c r="C912" s="4" t="s">
        <v>32</v>
      </c>
      <c r="D912" s="3"/>
      <c r="E912" s="4" t="s">
        <v>33</v>
      </c>
      <c r="F912" s="8"/>
    </row>
    <row r="913" spans="1:21" ht="28" customHeight="1" x14ac:dyDescent="0.35">
      <c r="A913" s="1" t="s">
        <v>34</v>
      </c>
      <c r="B913" s="1" t="s">
        <v>35</v>
      </c>
      <c r="C913" s="1" t="s">
        <v>36</v>
      </c>
      <c r="D913" s="1" t="s">
        <v>37</v>
      </c>
      <c r="E913" s="1" t="s">
        <v>38</v>
      </c>
      <c r="F913" s="1" t="s">
        <v>39</v>
      </c>
      <c r="G913" s="1" t="s">
        <v>40</v>
      </c>
      <c r="H913" s="1" t="s">
        <v>41</v>
      </c>
      <c r="I913" s="1" t="s">
        <v>42</v>
      </c>
      <c r="J913" s="1" t="s">
        <v>43</v>
      </c>
      <c r="K913" s="1" t="s">
        <v>44</v>
      </c>
      <c r="L913" s="1" t="s">
        <v>45</v>
      </c>
      <c r="M913" s="1" t="s">
        <v>46</v>
      </c>
      <c r="N913" s="1" t="s">
        <v>47</v>
      </c>
      <c r="O913" s="1" t="s">
        <v>48</v>
      </c>
      <c r="P913" s="1" t="s">
        <v>4</v>
      </c>
      <c r="Q913" s="1" t="s">
        <v>49</v>
      </c>
      <c r="R913" s="1" t="s">
        <v>50</v>
      </c>
      <c r="S913" s="1" t="s">
        <v>51</v>
      </c>
      <c r="T913" s="1" t="s">
        <v>52</v>
      </c>
      <c r="U913" s="1" t="s">
        <v>10</v>
      </c>
    </row>
    <row r="914" spans="1:21" ht="28" customHeight="1" x14ac:dyDescent="0.35">
      <c r="A914" s="4">
        <v>1</v>
      </c>
      <c r="B914" s="4" t="s">
        <v>439</v>
      </c>
      <c r="C914" s="4" t="s">
        <v>440</v>
      </c>
      <c r="D914" s="4" t="s">
        <v>441</v>
      </c>
      <c r="E914" s="4" t="s">
        <v>69</v>
      </c>
      <c r="F914" s="4" t="s">
        <v>370</v>
      </c>
      <c r="G914" s="4" t="s">
        <v>204</v>
      </c>
      <c r="H914" s="4" t="s">
        <v>59</v>
      </c>
      <c r="I914" s="3"/>
      <c r="J914" s="3"/>
      <c r="K914" s="3"/>
      <c r="L914" s="3"/>
      <c r="M914" s="3"/>
      <c r="N914" s="3"/>
      <c r="O914" s="3"/>
      <c r="P914" s="8"/>
      <c r="Q914" s="8"/>
      <c r="R914" s="3"/>
      <c r="S914" s="3"/>
      <c r="T914" s="3"/>
      <c r="U914" s="5" t="str">
        <f t="shared" ref="U914:U925" si="54">IF(I914="","",IF(I914="NA","Grey",IF(I914=2,"Green",IF(I914=1,"Amber","Red"))))</f>
        <v/>
      </c>
    </row>
    <row r="915" spans="1:21" ht="28" customHeight="1" x14ac:dyDescent="0.35">
      <c r="A915" s="4">
        <v>2</v>
      </c>
      <c r="B915" s="4" t="s">
        <v>442</v>
      </c>
      <c r="C915" s="4" t="s">
        <v>443</v>
      </c>
      <c r="D915" s="4" t="s">
        <v>444</v>
      </c>
      <c r="E915" s="4" t="s">
        <v>69</v>
      </c>
      <c r="F915" s="4" t="s">
        <v>95</v>
      </c>
      <c r="G915" s="4" t="s">
        <v>102</v>
      </c>
      <c r="H915" s="4" t="s">
        <v>59</v>
      </c>
      <c r="I915" s="3"/>
      <c r="J915" s="3"/>
      <c r="K915" s="3"/>
      <c r="L915" s="3"/>
      <c r="M915" s="3"/>
      <c r="N915" s="3"/>
      <c r="O915" s="3"/>
      <c r="P915" s="8"/>
      <c r="Q915" s="8"/>
      <c r="R915" s="3"/>
      <c r="S915" s="3"/>
      <c r="T915" s="3"/>
      <c r="U915" s="5" t="str">
        <f t="shared" si="54"/>
        <v/>
      </c>
    </row>
    <row r="916" spans="1:21" ht="28" customHeight="1" x14ac:dyDescent="0.35">
      <c r="A916" s="4">
        <v>3</v>
      </c>
      <c r="B916" s="4" t="s">
        <v>445</v>
      </c>
      <c r="C916" s="4" t="s">
        <v>446</v>
      </c>
      <c r="D916" s="4" t="s">
        <v>369</v>
      </c>
      <c r="E916" s="4" t="s">
        <v>69</v>
      </c>
      <c r="F916" s="4" t="s">
        <v>370</v>
      </c>
      <c r="G916" s="4" t="s">
        <v>204</v>
      </c>
      <c r="H916" s="4" t="s">
        <v>76</v>
      </c>
      <c r="I916" s="3"/>
      <c r="J916" s="3"/>
      <c r="K916" s="3"/>
      <c r="L916" s="3"/>
      <c r="M916" s="3"/>
      <c r="N916" s="3"/>
      <c r="O916" s="3"/>
      <c r="P916" s="8"/>
      <c r="Q916" s="8"/>
      <c r="R916" s="3"/>
      <c r="S916" s="3"/>
      <c r="T916" s="3"/>
      <c r="U916" s="5" t="str">
        <f t="shared" si="54"/>
        <v/>
      </c>
    </row>
    <row r="917" spans="1:21" ht="28" customHeight="1" x14ac:dyDescent="0.35">
      <c r="A917" s="4">
        <v>4</v>
      </c>
      <c r="B917" s="4" t="s">
        <v>447</v>
      </c>
      <c r="C917" s="4" t="s">
        <v>448</v>
      </c>
      <c r="D917" s="4" t="s">
        <v>449</v>
      </c>
      <c r="E917" s="4" t="s">
        <v>109</v>
      </c>
      <c r="F917" s="4" t="s">
        <v>276</v>
      </c>
      <c r="G917" s="4" t="s">
        <v>199</v>
      </c>
      <c r="H917" s="4" t="s">
        <v>59</v>
      </c>
      <c r="I917" s="3"/>
      <c r="J917" s="3"/>
      <c r="K917" s="3"/>
      <c r="L917" s="3"/>
      <c r="M917" s="3"/>
      <c r="N917" s="3"/>
      <c r="O917" s="3"/>
      <c r="P917" s="8"/>
      <c r="Q917" s="8"/>
      <c r="R917" s="3"/>
      <c r="S917" s="3"/>
      <c r="T917" s="3"/>
      <c r="U917" s="5" t="str">
        <f t="shared" si="54"/>
        <v/>
      </c>
    </row>
    <row r="918" spans="1:21" ht="28" customHeight="1" x14ac:dyDescent="0.35">
      <c r="A918" s="4">
        <v>5</v>
      </c>
      <c r="B918" s="4" t="s">
        <v>450</v>
      </c>
      <c r="C918" s="4" t="s">
        <v>451</v>
      </c>
      <c r="D918" s="4" t="s">
        <v>452</v>
      </c>
      <c r="E918" s="4" t="s">
        <v>69</v>
      </c>
      <c r="F918" s="4" t="s">
        <v>276</v>
      </c>
      <c r="G918" s="4" t="s">
        <v>199</v>
      </c>
      <c r="H918" s="4" t="s">
        <v>59</v>
      </c>
      <c r="I918" s="3"/>
      <c r="J918" s="3"/>
      <c r="K918" s="3"/>
      <c r="L918" s="3"/>
      <c r="M918" s="3"/>
      <c r="N918" s="3"/>
      <c r="O918" s="3"/>
      <c r="P918" s="8"/>
      <c r="Q918" s="8"/>
      <c r="R918" s="3"/>
      <c r="S918" s="3"/>
      <c r="T918" s="3"/>
      <c r="U918" s="5" t="str">
        <f t="shared" si="54"/>
        <v/>
      </c>
    </row>
    <row r="919" spans="1:21" ht="28" customHeight="1" x14ac:dyDescent="0.35">
      <c r="A919" s="4">
        <v>6</v>
      </c>
      <c r="B919" s="4" t="s">
        <v>453</v>
      </c>
      <c r="C919" s="4" t="s">
        <v>454</v>
      </c>
      <c r="D919" s="4" t="s">
        <v>455</v>
      </c>
      <c r="E919" s="4" t="s">
        <v>69</v>
      </c>
      <c r="F919" s="4" t="s">
        <v>284</v>
      </c>
      <c r="G919" s="4" t="s">
        <v>204</v>
      </c>
      <c r="H919" s="4" t="s">
        <v>76</v>
      </c>
      <c r="I919" s="3"/>
      <c r="J919" s="3"/>
      <c r="K919" s="3"/>
      <c r="L919" s="3"/>
      <c r="M919" s="3"/>
      <c r="N919" s="3"/>
      <c r="O919" s="3"/>
      <c r="P919" s="8"/>
      <c r="Q919" s="8"/>
      <c r="R919" s="3"/>
      <c r="S919" s="3"/>
      <c r="T919" s="3"/>
      <c r="U919" s="5" t="str">
        <f t="shared" si="54"/>
        <v/>
      </c>
    </row>
    <row r="920" spans="1:21" ht="28" customHeight="1" x14ac:dyDescent="0.35">
      <c r="A920" s="4">
        <v>7</v>
      </c>
      <c r="B920" s="4" t="s">
        <v>456</v>
      </c>
      <c r="C920" s="4" t="s">
        <v>457</v>
      </c>
      <c r="D920" s="4" t="s">
        <v>458</v>
      </c>
      <c r="E920" s="4" t="s">
        <v>69</v>
      </c>
      <c r="F920" s="4" t="s">
        <v>459</v>
      </c>
      <c r="G920" s="4" t="s">
        <v>209</v>
      </c>
      <c r="H920" s="4" t="s">
        <v>59</v>
      </c>
      <c r="I920" s="3"/>
      <c r="J920" s="3"/>
      <c r="K920" s="3"/>
      <c r="L920" s="3"/>
      <c r="M920" s="3"/>
      <c r="N920" s="3"/>
      <c r="O920" s="3"/>
      <c r="P920" s="8"/>
      <c r="Q920" s="8"/>
      <c r="R920" s="3"/>
      <c r="S920" s="3"/>
      <c r="T920" s="3"/>
      <c r="U920" s="5" t="str">
        <f t="shared" si="54"/>
        <v/>
      </c>
    </row>
    <row r="921" spans="1:21" ht="28" customHeight="1" x14ac:dyDescent="0.35">
      <c r="A921" s="4">
        <v>8</v>
      </c>
      <c r="B921" s="4" t="s">
        <v>460</v>
      </c>
      <c r="C921" s="4" t="s">
        <v>461</v>
      </c>
      <c r="D921" s="4" t="s">
        <v>462</v>
      </c>
      <c r="E921" s="4" t="s">
        <v>69</v>
      </c>
      <c r="F921" s="4" t="s">
        <v>95</v>
      </c>
      <c r="G921" s="4" t="s">
        <v>102</v>
      </c>
      <c r="H921" s="4" t="s">
        <v>59</v>
      </c>
      <c r="I921" s="3"/>
      <c r="J921" s="3"/>
      <c r="K921" s="3"/>
      <c r="L921" s="3"/>
      <c r="M921" s="3"/>
      <c r="N921" s="3"/>
      <c r="O921" s="3"/>
      <c r="P921" s="8"/>
      <c r="Q921" s="8"/>
      <c r="R921" s="3"/>
      <c r="S921" s="3"/>
      <c r="T921" s="3"/>
      <c r="U921" s="5" t="str">
        <f t="shared" si="54"/>
        <v/>
      </c>
    </row>
    <row r="922" spans="1:21" ht="28" customHeight="1" x14ac:dyDescent="0.35">
      <c r="A922" s="4">
        <v>9</v>
      </c>
      <c r="B922" s="4" t="s">
        <v>97</v>
      </c>
      <c r="C922" s="4" t="s">
        <v>98</v>
      </c>
      <c r="D922" s="4" t="s">
        <v>99</v>
      </c>
      <c r="E922" s="4" t="s">
        <v>69</v>
      </c>
      <c r="F922" s="4" t="s">
        <v>95</v>
      </c>
      <c r="G922" s="4" t="s">
        <v>96</v>
      </c>
      <c r="H922" s="4" t="s">
        <v>59</v>
      </c>
      <c r="I922" s="3"/>
      <c r="J922" s="3"/>
      <c r="K922" s="3"/>
      <c r="L922" s="3"/>
      <c r="M922" s="3"/>
      <c r="N922" s="3"/>
      <c r="O922" s="3"/>
      <c r="P922" s="8"/>
      <c r="Q922" s="8"/>
      <c r="R922" s="3"/>
      <c r="S922" s="3"/>
      <c r="T922" s="3"/>
      <c r="U922" s="5" t="str">
        <f t="shared" si="54"/>
        <v/>
      </c>
    </row>
    <row r="923" spans="1:21" ht="28" customHeight="1" x14ac:dyDescent="0.35">
      <c r="A923" s="4">
        <v>10</v>
      </c>
      <c r="B923" s="4" t="s">
        <v>97</v>
      </c>
      <c r="C923" s="4" t="s">
        <v>100</v>
      </c>
      <c r="D923" s="4" t="s">
        <v>101</v>
      </c>
      <c r="E923" s="4" t="s">
        <v>69</v>
      </c>
      <c r="F923" s="4" t="s">
        <v>95</v>
      </c>
      <c r="G923" s="4" t="s">
        <v>102</v>
      </c>
      <c r="H923" s="4" t="s">
        <v>59</v>
      </c>
      <c r="I923" s="3"/>
      <c r="J923" s="3"/>
      <c r="K923" s="3"/>
      <c r="L923" s="3"/>
      <c r="M923" s="3"/>
      <c r="N923" s="3"/>
      <c r="O923" s="3"/>
      <c r="P923" s="8"/>
      <c r="Q923" s="8"/>
      <c r="R923" s="3"/>
      <c r="S923" s="3"/>
      <c r="T923" s="3"/>
      <c r="U923" s="5" t="str">
        <f t="shared" si="54"/>
        <v/>
      </c>
    </row>
    <row r="924" spans="1:21" ht="28" customHeight="1" x14ac:dyDescent="0.35">
      <c r="A924" s="4">
        <v>11</v>
      </c>
      <c r="B924" s="4" t="s">
        <v>103</v>
      </c>
      <c r="C924" s="4" t="s">
        <v>104</v>
      </c>
      <c r="D924" s="4" t="s">
        <v>105</v>
      </c>
      <c r="E924" s="4" t="s">
        <v>69</v>
      </c>
      <c r="F924" s="4" t="s">
        <v>95</v>
      </c>
      <c r="G924" s="4" t="s">
        <v>96</v>
      </c>
      <c r="H924" s="4" t="s">
        <v>85</v>
      </c>
      <c r="I924" s="3"/>
      <c r="J924" s="3"/>
      <c r="K924" s="3"/>
      <c r="L924" s="3"/>
      <c r="M924" s="3"/>
      <c r="N924" s="3"/>
      <c r="O924" s="3"/>
      <c r="P924" s="8"/>
      <c r="Q924" s="8"/>
      <c r="R924" s="3"/>
      <c r="S924" s="3"/>
      <c r="T924" s="3"/>
      <c r="U924" s="5" t="str">
        <f t="shared" si="54"/>
        <v/>
      </c>
    </row>
    <row r="925" spans="1:21" ht="28" customHeight="1" x14ac:dyDescent="0.35">
      <c r="A925" s="4">
        <v>12</v>
      </c>
      <c r="B925" s="4" t="s">
        <v>106</v>
      </c>
      <c r="C925" s="4" t="s">
        <v>107</v>
      </c>
      <c r="D925" s="4" t="s">
        <v>108</v>
      </c>
      <c r="E925" s="4" t="s">
        <v>109</v>
      </c>
      <c r="F925" s="4" t="s">
        <v>95</v>
      </c>
      <c r="G925" s="4" t="s">
        <v>96</v>
      </c>
      <c r="H925" s="4" t="s">
        <v>59</v>
      </c>
      <c r="I925" s="3"/>
      <c r="J925" s="3"/>
      <c r="K925" s="3"/>
      <c r="L925" s="3"/>
      <c r="M925" s="3"/>
      <c r="N925" s="3"/>
      <c r="O925" s="3"/>
      <c r="P925" s="8"/>
      <c r="Q925" s="8"/>
      <c r="R925" s="3"/>
      <c r="S925" s="3"/>
      <c r="T925" s="3"/>
      <c r="U925" s="5" t="str">
        <f t="shared" si="54"/>
        <v/>
      </c>
    </row>
    <row r="927" spans="1:21" ht="28" customHeight="1" x14ac:dyDescent="0.35">
      <c r="A927" s="9" t="s">
        <v>110</v>
      </c>
      <c r="B927" s="16"/>
      <c r="C927" s="17"/>
      <c r="D927" s="17"/>
      <c r="E927" s="17"/>
      <c r="F927" s="17"/>
      <c r="G927" s="17"/>
      <c r="H927" s="17"/>
      <c r="I927" s="17"/>
      <c r="J927" s="17"/>
      <c r="K927" s="17"/>
      <c r="L927" s="17"/>
      <c r="M927" s="17"/>
      <c r="N927" s="17"/>
      <c r="O927" s="17"/>
      <c r="P927" s="17"/>
      <c r="Q927" s="17"/>
      <c r="R927" s="17"/>
      <c r="S927" s="17"/>
      <c r="T927" s="17"/>
      <c r="U927" s="18"/>
    </row>
    <row r="928" spans="1:21" ht="28" customHeight="1" x14ac:dyDescent="0.35">
      <c r="A928" s="19" t="s">
        <v>513</v>
      </c>
      <c r="B928" s="20"/>
      <c r="C928" s="20"/>
      <c r="D928" s="20"/>
      <c r="E928" s="20"/>
      <c r="F928" s="20"/>
      <c r="G928" s="20"/>
      <c r="H928" s="20"/>
      <c r="I928" s="20"/>
      <c r="J928" s="20"/>
      <c r="K928" s="20"/>
      <c r="L928" s="20"/>
      <c r="M928" s="20"/>
      <c r="N928" s="20"/>
      <c r="O928" s="20"/>
      <c r="P928" s="20"/>
      <c r="Q928" s="20"/>
      <c r="R928" s="20"/>
      <c r="S928" s="20"/>
      <c r="T928" s="20"/>
      <c r="U928" s="21"/>
    </row>
    <row r="929" spans="1:21" ht="28" customHeight="1" x14ac:dyDescent="0.35">
      <c r="A929" s="4" t="s">
        <v>31</v>
      </c>
      <c r="B929" s="3" t="s">
        <v>268</v>
      </c>
      <c r="C929" s="4" t="s">
        <v>32</v>
      </c>
      <c r="D929" s="3"/>
      <c r="E929" s="4" t="s">
        <v>33</v>
      </c>
      <c r="F929" s="8"/>
    </row>
    <row r="930" spans="1:21" ht="28" customHeight="1" x14ac:dyDescent="0.35">
      <c r="A930" s="1" t="s">
        <v>34</v>
      </c>
      <c r="B930" s="1" t="s">
        <v>35</v>
      </c>
      <c r="C930" s="1" t="s">
        <v>36</v>
      </c>
      <c r="D930" s="1" t="s">
        <v>37</v>
      </c>
      <c r="E930" s="1" t="s">
        <v>38</v>
      </c>
      <c r="F930" s="1" t="s">
        <v>39</v>
      </c>
      <c r="G930" s="1" t="s">
        <v>40</v>
      </c>
      <c r="H930" s="1" t="s">
        <v>41</v>
      </c>
      <c r="I930" s="1" t="s">
        <v>42</v>
      </c>
      <c r="J930" s="1" t="s">
        <v>43</v>
      </c>
      <c r="K930" s="1" t="s">
        <v>44</v>
      </c>
      <c r="L930" s="1" t="s">
        <v>45</v>
      </c>
      <c r="M930" s="1" t="s">
        <v>46</v>
      </c>
      <c r="N930" s="1" t="s">
        <v>47</v>
      </c>
      <c r="O930" s="1" t="s">
        <v>48</v>
      </c>
      <c r="P930" s="1" t="s">
        <v>4</v>
      </c>
      <c r="Q930" s="1" t="s">
        <v>49</v>
      </c>
      <c r="R930" s="1" t="s">
        <v>50</v>
      </c>
      <c r="S930" s="1" t="s">
        <v>51</v>
      </c>
      <c r="T930" s="1" t="s">
        <v>52</v>
      </c>
      <c r="U930" s="1" t="s">
        <v>10</v>
      </c>
    </row>
    <row r="931" spans="1:21" ht="28" customHeight="1" x14ac:dyDescent="0.35">
      <c r="A931" s="4">
        <v>1</v>
      </c>
      <c r="B931" s="4" t="s">
        <v>439</v>
      </c>
      <c r="C931" s="4" t="s">
        <v>440</v>
      </c>
      <c r="D931" s="4" t="s">
        <v>441</v>
      </c>
      <c r="E931" s="4" t="s">
        <v>69</v>
      </c>
      <c r="F931" s="4" t="s">
        <v>370</v>
      </c>
      <c r="G931" s="4" t="s">
        <v>204</v>
      </c>
      <c r="H931" s="4" t="s">
        <v>59</v>
      </c>
      <c r="I931" s="3"/>
      <c r="J931" s="3"/>
      <c r="K931" s="3"/>
      <c r="L931" s="3"/>
      <c r="M931" s="3"/>
      <c r="N931" s="3"/>
      <c r="O931" s="3"/>
      <c r="P931" s="8"/>
      <c r="Q931" s="8"/>
      <c r="R931" s="3"/>
      <c r="S931" s="3"/>
      <c r="T931" s="3"/>
      <c r="U931" s="5" t="str">
        <f t="shared" ref="U931:U942" si="55">IF(I931="","",IF(I931="NA","Grey",IF(I931=2,"Green",IF(I931=1,"Amber","Red"))))</f>
        <v/>
      </c>
    </row>
    <row r="932" spans="1:21" ht="28" customHeight="1" x14ac:dyDescent="0.35">
      <c r="A932" s="4">
        <v>2</v>
      </c>
      <c r="B932" s="4" t="s">
        <v>442</v>
      </c>
      <c r="C932" s="4" t="s">
        <v>443</v>
      </c>
      <c r="D932" s="4" t="s">
        <v>444</v>
      </c>
      <c r="E932" s="4" t="s">
        <v>69</v>
      </c>
      <c r="F932" s="4" t="s">
        <v>95</v>
      </c>
      <c r="G932" s="4" t="s">
        <v>102</v>
      </c>
      <c r="H932" s="4" t="s">
        <v>59</v>
      </c>
      <c r="I932" s="3"/>
      <c r="J932" s="3"/>
      <c r="K932" s="3"/>
      <c r="L932" s="3"/>
      <c r="M932" s="3"/>
      <c r="N932" s="3"/>
      <c r="O932" s="3"/>
      <c r="P932" s="8"/>
      <c r="Q932" s="8"/>
      <c r="R932" s="3"/>
      <c r="S932" s="3"/>
      <c r="T932" s="3"/>
      <c r="U932" s="5" t="str">
        <f t="shared" si="55"/>
        <v/>
      </c>
    </row>
    <row r="933" spans="1:21" ht="28" customHeight="1" x14ac:dyDescent="0.35">
      <c r="A933" s="4">
        <v>3</v>
      </c>
      <c r="B933" s="4" t="s">
        <v>445</v>
      </c>
      <c r="C933" s="4" t="s">
        <v>446</v>
      </c>
      <c r="D933" s="4" t="s">
        <v>369</v>
      </c>
      <c r="E933" s="4" t="s">
        <v>69</v>
      </c>
      <c r="F933" s="4" t="s">
        <v>370</v>
      </c>
      <c r="G933" s="4" t="s">
        <v>204</v>
      </c>
      <c r="H933" s="4" t="s">
        <v>76</v>
      </c>
      <c r="I933" s="3"/>
      <c r="J933" s="3"/>
      <c r="K933" s="3"/>
      <c r="L933" s="3"/>
      <c r="M933" s="3"/>
      <c r="N933" s="3"/>
      <c r="O933" s="3"/>
      <c r="P933" s="8"/>
      <c r="Q933" s="8"/>
      <c r="R933" s="3"/>
      <c r="S933" s="3"/>
      <c r="T933" s="3"/>
      <c r="U933" s="5" t="str">
        <f t="shared" si="55"/>
        <v/>
      </c>
    </row>
    <row r="934" spans="1:21" ht="28" customHeight="1" x14ac:dyDescent="0.35">
      <c r="A934" s="4">
        <v>4</v>
      </c>
      <c r="B934" s="4" t="s">
        <v>447</v>
      </c>
      <c r="C934" s="4" t="s">
        <v>448</v>
      </c>
      <c r="D934" s="4" t="s">
        <v>449</v>
      </c>
      <c r="E934" s="4" t="s">
        <v>109</v>
      </c>
      <c r="F934" s="4" t="s">
        <v>276</v>
      </c>
      <c r="G934" s="4" t="s">
        <v>199</v>
      </c>
      <c r="H934" s="4" t="s">
        <v>59</v>
      </c>
      <c r="I934" s="3"/>
      <c r="J934" s="3"/>
      <c r="K934" s="3"/>
      <c r="L934" s="3"/>
      <c r="M934" s="3"/>
      <c r="N934" s="3"/>
      <c r="O934" s="3"/>
      <c r="P934" s="8"/>
      <c r="Q934" s="8"/>
      <c r="R934" s="3"/>
      <c r="S934" s="3"/>
      <c r="T934" s="3"/>
      <c r="U934" s="5" t="str">
        <f t="shared" si="55"/>
        <v/>
      </c>
    </row>
    <row r="935" spans="1:21" ht="28" customHeight="1" x14ac:dyDescent="0.35">
      <c r="A935" s="4">
        <v>5</v>
      </c>
      <c r="B935" s="4" t="s">
        <v>450</v>
      </c>
      <c r="C935" s="4" t="s">
        <v>451</v>
      </c>
      <c r="D935" s="4" t="s">
        <v>452</v>
      </c>
      <c r="E935" s="4" t="s">
        <v>69</v>
      </c>
      <c r="F935" s="4" t="s">
        <v>276</v>
      </c>
      <c r="G935" s="4" t="s">
        <v>199</v>
      </c>
      <c r="H935" s="4" t="s">
        <v>59</v>
      </c>
      <c r="I935" s="3"/>
      <c r="J935" s="3"/>
      <c r="K935" s="3"/>
      <c r="L935" s="3"/>
      <c r="M935" s="3"/>
      <c r="N935" s="3"/>
      <c r="O935" s="3"/>
      <c r="P935" s="8"/>
      <c r="Q935" s="8"/>
      <c r="R935" s="3"/>
      <c r="S935" s="3"/>
      <c r="T935" s="3"/>
      <c r="U935" s="5" t="str">
        <f t="shared" si="55"/>
        <v/>
      </c>
    </row>
    <row r="936" spans="1:21" ht="28" customHeight="1" x14ac:dyDescent="0.35">
      <c r="A936" s="4">
        <v>6</v>
      </c>
      <c r="B936" s="4" t="s">
        <v>453</v>
      </c>
      <c r="C936" s="4" t="s">
        <v>454</v>
      </c>
      <c r="D936" s="4" t="s">
        <v>455</v>
      </c>
      <c r="E936" s="4" t="s">
        <v>69</v>
      </c>
      <c r="F936" s="4" t="s">
        <v>284</v>
      </c>
      <c r="G936" s="4" t="s">
        <v>204</v>
      </c>
      <c r="H936" s="4" t="s">
        <v>76</v>
      </c>
      <c r="I936" s="3"/>
      <c r="J936" s="3"/>
      <c r="K936" s="3"/>
      <c r="L936" s="3"/>
      <c r="M936" s="3"/>
      <c r="N936" s="3"/>
      <c r="O936" s="3"/>
      <c r="P936" s="8"/>
      <c r="Q936" s="8"/>
      <c r="R936" s="3"/>
      <c r="S936" s="3"/>
      <c r="T936" s="3"/>
      <c r="U936" s="5" t="str">
        <f t="shared" si="55"/>
        <v/>
      </c>
    </row>
    <row r="937" spans="1:21" ht="28" customHeight="1" x14ac:dyDescent="0.35">
      <c r="A937" s="4">
        <v>7</v>
      </c>
      <c r="B937" s="4" t="s">
        <v>456</v>
      </c>
      <c r="C937" s="4" t="s">
        <v>457</v>
      </c>
      <c r="D937" s="4" t="s">
        <v>458</v>
      </c>
      <c r="E937" s="4" t="s">
        <v>69</v>
      </c>
      <c r="F937" s="4" t="s">
        <v>459</v>
      </c>
      <c r="G937" s="4" t="s">
        <v>209</v>
      </c>
      <c r="H937" s="4" t="s">
        <v>59</v>
      </c>
      <c r="I937" s="3"/>
      <c r="J937" s="3"/>
      <c r="K937" s="3"/>
      <c r="L937" s="3"/>
      <c r="M937" s="3"/>
      <c r="N937" s="3"/>
      <c r="O937" s="3"/>
      <c r="P937" s="8"/>
      <c r="Q937" s="8"/>
      <c r="R937" s="3"/>
      <c r="S937" s="3"/>
      <c r="T937" s="3"/>
      <c r="U937" s="5" t="str">
        <f t="shared" si="55"/>
        <v/>
      </c>
    </row>
    <row r="938" spans="1:21" ht="28" customHeight="1" x14ac:dyDescent="0.35">
      <c r="A938" s="4">
        <v>8</v>
      </c>
      <c r="B938" s="4" t="s">
        <v>460</v>
      </c>
      <c r="C938" s="4" t="s">
        <v>461</v>
      </c>
      <c r="D938" s="4" t="s">
        <v>462</v>
      </c>
      <c r="E938" s="4" t="s">
        <v>69</v>
      </c>
      <c r="F938" s="4" t="s">
        <v>95</v>
      </c>
      <c r="G938" s="4" t="s">
        <v>102</v>
      </c>
      <c r="H938" s="4" t="s">
        <v>59</v>
      </c>
      <c r="I938" s="3"/>
      <c r="J938" s="3"/>
      <c r="K938" s="3"/>
      <c r="L938" s="3"/>
      <c r="M938" s="3"/>
      <c r="N938" s="3"/>
      <c r="O938" s="3"/>
      <c r="P938" s="8"/>
      <c r="Q938" s="8"/>
      <c r="R938" s="3"/>
      <c r="S938" s="3"/>
      <c r="T938" s="3"/>
      <c r="U938" s="5" t="str">
        <f t="shared" si="55"/>
        <v/>
      </c>
    </row>
    <row r="939" spans="1:21" ht="28" customHeight="1" x14ac:dyDescent="0.35">
      <c r="A939" s="4">
        <v>9</v>
      </c>
      <c r="B939" s="4" t="s">
        <v>97</v>
      </c>
      <c r="C939" s="4" t="s">
        <v>98</v>
      </c>
      <c r="D939" s="4" t="s">
        <v>99</v>
      </c>
      <c r="E939" s="4" t="s">
        <v>69</v>
      </c>
      <c r="F939" s="4" t="s">
        <v>95</v>
      </c>
      <c r="G939" s="4" t="s">
        <v>96</v>
      </c>
      <c r="H939" s="4" t="s">
        <v>59</v>
      </c>
      <c r="I939" s="3"/>
      <c r="J939" s="3"/>
      <c r="K939" s="3"/>
      <c r="L939" s="3"/>
      <c r="M939" s="3"/>
      <c r="N939" s="3"/>
      <c r="O939" s="3"/>
      <c r="P939" s="8"/>
      <c r="Q939" s="8"/>
      <c r="R939" s="3"/>
      <c r="S939" s="3"/>
      <c r="T939" s="3"/>
      <c r="U939" s="5" t="str">
        <f t="shared" si="55"/>
        <v/>
      </c>
    </row>
    <row r="940" spans="1:21" ht="28" customHeight="1" x14ac:dyDescent="0.35">
      <c r="A940" s="4">
        <v>10</v>
      </c>
      <c r="B940" s="4" t="s">
        <v>97</v>
      </c>
      <c r="C940" s="4" t="s">
        <v>100</v>
      </c>
      <c r="D940" s="4" t="s">
        <v>101</v>
      </c>
      <c r="E940" s="4" t="s">
        <v>69</v>
      </c>
      <c r="F940" s="4" t="s">
        <v>95</v>
      </c>
      <c r="G940" s="4" t="s">
        <v>102</v>
      </c>
      <c r="H940" s="4" t="s">
        <v>59</v>
      </c>
      <c r="I940" s="3"/>
      <c r="J940" s="3"/>
      <c r="K940" s="3"/>
      <c r="L940" s="3"/>
      <c r="M940" s="3"/>
      <c r="N940" s="3"/>
      <c r="O940" s="3"/>
      <c r="P940" s="8"/>
      <c r="Q940" s="8"/>
      <c r="R940" s="3"/>
      <c r="S940" s="3"/>
      <c r="T940" s="3"/>
      <c r="U940" s="5" t="str">
        <f t="shared" si="55"/>
        <v/>
      </c>
    </row>
    <row r="941" spans="1:21" ht="28" customHeight="1" x14ac:dyDescent="0.35">
      <c r="A941" s="4">
        <v>11</v>
      </c>
      <c r="B941" s="4" t="s">
        <v>103</v>
      </c>
      <c r="C941" s="4" t="s">
        <v>104</v>
      </c>
      <c r="D941" s="4" t="s">
        <v>105</v>
      </c>
      <c r="E941" s="4" t="s">
        <v>69</v>
      </c>
      <c r="F941" s="4" t="s">
        <v>95</v>
      </c>
      <c r="G941" s="4" t="s">
        <v>96</v>
      </c>
      <c r="H941" s="4" t="s">
        <v>85</v>
      </c>
      <c r="I941" s="3"/>
      <c r="J941" s="3"/>
      <c r="K941" s="3"/>
      <c r="L941" s="3"/>
      <c r="M941" s="3"/>
      <c r="N941" s="3"/>
      <c r="O941" s="3"/>
      <c r="P941" s="8"/>
      <c r="Q941" s="8"/>
      <c r="R941" s="3"/>
      <c r="S941" s="3"/>
      <c r="T941" s="3"/>
      <c r="U941" s="5" t="str">
        <f t="shared" si="55"/>
        <v/>
      </c>
    </row>
    <row r="942" spans="1:21" ht="28" customHeight="1" x14ac:dyDescent="0.35">
      <c r="A942" s="4">
        <v>12</v>
      </c>
      <c r="B942" s="4" t="s">
        <v>106</v>
      </c>
      <c r="C942" s="4" t="s">
        <v>107</v>
      </c>
      <c r="D942" s="4" t="s">
        <v>108</v>
      </c>
      <c r="E942" s="4" t="s">
        <v>109</v>
      </c>
      <c r="F942" s="4" t="s">
        <v>95</v>
      </c>
      <c r="G942" s="4" t="s">
        <v>96</v>
      </c>
      <c r="H942" s="4" t="s">
        <v>59</v>
      </c>
      <c r="I942" s="3"/>
      <c r="J942" s="3"/>
      <c r="K942" s="3"/>
      <c r="L942" s="3"/>
      <c r="M942" s="3"/>
      <c r="N942" s="3"/>
      <c r="O942" s="3"/>
      <c r="P942" s="8"/>
      <c r="Q942" s="8"/>
      <c r="R942" s="3"/>
      <c r="S942" s="3"/>
      <c r="T942" s="3"/>
      <c r="U942" s="5" t="str">
        <f t="shared" si="55"/>
        <v/>
      </c>
    </row>
    <row r="944" spans="1:21" ht="28" customHeight="1" x14ac:dyDescent="0.35">
      <c r="A944" s="9" t="s">
        <v>110</v>
      </c>
      <c r="B944" s="16"/>
      <c r="C944" s="17"/>
      <c r="D944" s="17"/>
      <c r="E944" s="17"/>
      <c r="F944" s="17"/>
      <c r="G944" s="17"/>
      <c r="H944" s="17"/>
      <c r="I944" s="17"/>
      <c r="J944" s="17"/>
      <c r="K944" s="17"/>
      <c r="L944" s="17"/>
      <c r="M944" s="17"/>
      <c r="N944" s="17"/>
      <c r="O944" s="17"/>
      <c r="P944" s="17"/>
      <c r="Q944" s="17"/>
      <c r="R944" s="17"/>
      <c r="S944" s="17"/>
      <c r="T944" s="17"/>
      <c r="U944" s="18"/>
    </row>
  </sheetData>
  <sheetProtection sheet="1" objects="1" scenarios="1" formatCells="0" formatColumns="0" formatRows="0" insertRows="0" sort="0" autoFilter="0"/>
  <autoFilter ref="A4:O56" xr:uid="{00000000-0009-0000-0000-000007000000}"/>
  <mergeCells count="106">
    <mergeCell ref="A61:U61"/>
    <mergeCell ref="B94:U94"/>
    <mergeCell ref="A690:U690"/>
    <mergeCell ref="A826:U826"/>
    <mergeCell ref="A503:U503"/>
    <mergeCell ref="A214:U214"/>
    <mergeCell ref="A163:U163"/>
    <mergeCell ref="B944:U944"/>
    <mergeCell ref="B621:U621"/>
    <mergeCell ref="B332:U332"/>
    <mergeCell ref="B468:U468"/>
    <mergeCell ref="B111:U111"/>
    <mergeCell ref="B145:U145"/>
    <mergeCell ref="A843:U843"/>
    <mergeCell ref="B740:U740"/>
    <mergeCell ref="A231:U231"/>
    <mergeCell ref="A622:U622"/>
    <mergeCell ref="A333:U333"/>
    <mergeCell ref="B672:U672"/>
    <mergeCell ref="B451:U451"/>
    <mergeCell ref="B162:U162"/>
    <mergeCell ref="A401:U401"/>
    <mergeCell ref="A724:U724"/>
    <mergeCell ref="A928:U928"/>
    <mergeCell ref="B485:U485"/>
    <mergeCell ref="B927:U927"/>
    <mergeCell ref="B706:U706"/>
    <mergeCell ref="B417:U417"/>
    <mergeCell ref="B196:U196"/>
    <mergeCell ref="B230:U230"/>
    <mergeCell ref="B808:U808"/>
    <mergeCell ref="A707:U707"/>
    <mergeCell ref="A809:U809"/>
    <mergeCell ref="A486:U486"/>
    <mergeCell ref="A197:U197"/>
    <mergeCell ref="B502:U502"/>
    <mergeCell ref="B825:U825"/>
    <mergeCell ref="B315:U315"/>
    <mergeCell ref="B842:U842"/>
    <mergeCell ref="B553:U553"/>
    <mergeCell ref="A537:U537"/>
    <mergeCell ref="B655:U655"/>
    <mergeCell ref="B366:U366"/>
    <mergeCell ref="A384:U384"/>
    <mergeCell ref="A877:U877"/>
    <mergeCell ref="A554:U554"/>
    <mergeCell ref="A265:U265"/>
    <mergeCell ref="A435:U435"/>
    <mergeCell ref="A673:U673"/>
    <mergeCell ref="A1:U1"/>
    <mergeCell ref="A741:U741"/>
    <mergeCell ref="A367:U367"/>
    <mergeCell ref="A78:U78"/>
    <mergeCell ref="B859:U859"/>
    <mergeCell ref="A418:U418"/>
    <mergeCell ref="A758:U758"/>
    <mergeCell ref="A571:U571"/>
    <mergeCell ref="A469:U469"/>
    <mergeCell ref="A248:U248"/>
    <mergeCell ref="B247:U247"/>
    <mergeCell ref="B689:U689"/>
    <mergeCell ref="B77:U77"/>
    <mergeCell ref="A775:U775"/>
    <mergeCell ref="A588:U588"/>
    <mergeCell ref="A146:U146"/>
    <mergeCell ref="A95:U95"/>
    <mergeCell ref="B2:U2"/>
    <mergeCell ref="B179:U179"/>
    <mergeCell ref="A112:U112"/>
    <mergeCell ref="A605:U605"/>
    <mergeCell ref="B791:U791"/>
    <mergeCell ref="B723:U723"/>
    <mergeCell ref="B434:U434"/>
    <mergeCell ref="A129:U129"/>
    <mergeCell ref="A911:U911"/>
    <mergeCell ref="A180:U180"/>
    <mergeCell ref="A656:U656"/>
    <mergeCell ref="A299:U299"/>
    <mergeCell ref="B638:U638"/>
    <mergeCell ref="B349:U349"/>
    <mergeCell ref="B519:U519"/>
    <mergeCell ref="B128:U128"/>
    <mergeCell ref="B298:U298"/>
    <mergeCell ref="A860:U860"/>
    <mergeCell ref="A639:U639"/>
    <mergeCell ref="B536:U536"/>
    <mergeCell ref="A350:U350"/>
    <mergeCell ref="A520:U520"/>
    <mergeCell ref="B910:U910"/>
    <mergeCell ref="A894:U894"/>
    <mergeCell ref="B281:U281"/>
    <mergeCell ref="B604:U604"/>
    <mergeCell ref="B757:U757"/>
    <mergeCell ref="B213:U213"/>
    <mergeCell ref="B383:U383"/>
    <mergeCell ref="A452:U452"/>
    <mergeCell ref="B893:U893"/>
    <mergeCell ref="B570:U570"/>
    <mergeCell ref="A316:U316"/>
    <mergeCell ref="A792:U792"/>
    <mergeCell ref="A282:U282"/>
    <mergeCell ref="B876:U876"/>
    <mergeCell ref="B587:U587"/>
    <mergeCell ref="B264:U264"/>
    <mergeCell ref="B774:U774"/>
    <mergeCell ref="B400:U400"/>
  </mergeCells>
  <conditionalFormatting sqref="G5:G56">
    <cfRule type="colorScale" priority="213">
      <colorScale>
        <cfvo type="min"/>
        <cfvo type="percentile" val="50"/>
        <cfvo type="max"/>
        <color rgb="FFF8696B"/>
        <color rgb="FFFFEB84"/>
        <color rgb="FF63BE7B"/>
      </colorScale>
    </cfRule>
  </conditionalFormatting>
  <conditionalFormatting sqref="H5:H56">
    <cfRule type="containsText" dxfId="679" priority="210" operator="containsText" text="Amber">
      <formula>NOT(ISERROR(SEARCH("Amber",H5)))</formula>
    </cfRule>
    <cfRule type="containsText" dxfId="678" priority="212" operator="containsText" text="Not Started">
      <formula>NOT(ISERROR(SEARCH("Not Started",H5)))</formula>
    </cfRule>
    <cfRule type="containsText" dxfId="677" priority="211" operator="containsText" text="Green">
      <formula>NOT(ISERROR(SEARCH("Green",H5)))</formula>
    </cfRule>
    <cfRule type="containsText" dxfId="676" priority="209" operator="containsText" text="Red">
      <formula>NOT(ISERROR(SEARCH("Red",H5)))</formula>
    </cfRule>
  </conditionalFormatting>
  <conditionalFormatting sqref="U64:U75">
    <cfRule type="containsText" dxfId="675" priority="2" operator="containsText" text="Amber">
      <formula>NOT(ISERROR(SEARCH("Amber",U64)))</formula>
    </cfRule>
    <cfRule type="containsText" dxfId="674" priority="3" operator="containsText" text="Green">
      <formula>NOT(ISERROR(SEARCH("Green",U64)))</formula>
    </cfRule>
    <cfRule type="containsText" dxfId="673" priority="4" operator="containsText" text="Grey">
      <formula>NOT(ISERROR(SEARCH("Grey",U64)))</formula>
    </cfRule>
    <cfRule type="containsText" dxfId="672" priority="1" operator="containsText" text="Red">
      <formula>NOT(ISERROR(SEARCH("Red",U64)))</formula>
    </cfRule>
  </conditionalFormatting>
  <conditionalFormatting sqref="U81:U92">
    <cfRule type="containsText" dxfId="671" priority="5" operator="containsText" text="Red">
      <formula>NOT(ISERROR(SEARCH("Red",U81)))</formula>
    </cfRule>
    <cfRule type="containsText" dxfId="670" priority="6" operator="containsText" text="Amber">
      <formula>NOT(ISERROR(SEARCH("Amber",U81)))</formula>
    </cfRule>
    <cfRule type="containsText" dxfId="669" priority="7" operator="containsText" text="Green">
      <formula>NOT(ISERROR(SEARCH("Green",U81)))</formula>
    </cfRule>
    <cfRule type="containsText" dxfId="668" priority="8" operator="containsText" text="Grey">
      <formula>NOT(ISERROR(SEARCH("Grey",U81)))</formula>
    </cfRule>
  </conditionalFormatting>
  <conditionalFormatting sqref="U98:U109">
    <cfRule type="containsText" dxfId="667" priority="9" operator="containsText" text="Red">
      <formula>NOT(ISERROR(SEARCH("Red",U98)))</formula>
    </cfRule>
    <cfRule type="containsText" dxfId="666" priority="10" operator="containsText" text="Amber">
      <formula>NOT(ISERROR(SEARCH("Amber",U98)))</formula>
    </cfRule>
    <cfRule type="containsText" dxfId="665" priority="11" operator="containsText" text="Green">
      <formula>NOT(ISERROR(SEARCH("Green",U98)))</formula>
    </cfRule>
    <cfRule type="containsText" dxfId="664" priority="12" operator="containsText" text="Grey">
      <formula>NOT(ISERROR(SEARCH("Grey",U98)))</formula>
    </cfRule>
  </conditionalFormatting>
  <conditionalFormatting sqref="U115:U126">
    <cfRule type="containsText" dxfId="663" priority="16" operator="containsText" text="Grey">
      <formula>NOT(ISERROR(SEARCH("Grey",U115)))</formula>
    </cfRule>
    <cfRule type="containsText" dxfId="662" priority="15" operator="containsText" text="Green">
      <formula>NOT(ISERROR(SEARCH("Green",U115)))</formula>
    </cfRule>
    <cfRule type="containsText" dxfId="661" priority="14" operator="containsText" text="Amber">
      <formula>NOT(ISERROR(SEARCH("Amber",U115)))</formula>
    </cfRule>
    <cfRule type="containsText" dxfId="660" priority="13" operator="containsText" text="Red">
      <formula>NOT(ISERROR(SEARCH("Red",U115)))</formula>
    </cfRule>
  </conditionalFormatting>
  <conditionalFormatting sqref="U132:U143">
    <cfRule type="containsText" dxfId="659" priority="18" operator="containsText" text="Amber">
      <formula>NOT(ISERROR(SEARCH("Amber",U132)))</formula>
    </cfRule>
    <cfRule type="containsText" dxfId="658" priority="19" operator="containsText" text="Green">
      <formula>NOT(ISERROR(SEARCH("Green",U132)))</formula>
    </cfRule>
    <cfRule type="containsText" dxfId="657" priority="20" operator="containsText" text="Grey">
      <formula>NOT(ISERROR(SEARCH("Grey",U132)))</formula>
    </cfRule>
    <cfRule type="containsText" dxfId="656" priority="17" operator="containsText" text="Red">
      <formula>NOT(ISERROR(SEARCH("Red",U132)))</formula>
    </cfRule>
  </conditionalFormatting>
  <conditionalFormatting sqref="U149:U160">
    <cfRule type="containsText" dxfId="655" priority="21" operator="containsText" text="Red">
      <formula>NOT(ISERROR(SEARCH("Red",U149)))</formula>
    </cfRule>
    <cfRule type="containsText" dxfId="654" priority="22" operator="containsText" text="Amber">
      <formula>NOT(ISERROR(SEARCH("Amber",U149)))</formula>
    </cfRule>
    <cfRule type="containsText" dxfId="653" priority="23" operator="containsText" text="Green">
      <formula>NOT(ISERROR(SEARCH("Green",U149)))</formula>
    </cfRule>
    <cfRule type="containsText" dxfId="652" priority="24" operator="containsText" text="Grey">
      <formula>NOT(ISERROR(SEARCH("Grey",U149)))</formula>
    </cfRule>
  </conditionalFormatting>
  <conditionalFormatting sqref="U166:U177">
    <cfRule type="containsText" dxfId="651" priority="25" operator="containsText" text="Red">
      <formula>NOT(ISERROR(SEARCH("Red",U166)))</formula>
    </cfRule>
    <cfRule type="containsText" dxfId="650" priority="26" operator="containsText" text="Amber">
      <formula>NOT(ISERROR(SEARCH("Amber",U166)))</formula>
    </cfRule>
    <cfRule type="containsText" dxfId="649" priority="27" operator="containsText" text="Green">
      <formula>NOT(ISERROR(SEARCH("Green",U166)))</formula>
    </cfRule>
    <cfRule type="containsText" dxfId="648" priority="28" operator="containsText" text="Grey">
      <formula>NOT(ISERROR(SEARCH("Grey",U166)))</formula>
    </cfRule>
  </conditionalFormatting>
  <conditionalFormatting sqref="U183:U194">
    <cfRule type="containsText" dxfId="647" priority="30" operator="containsText" text="Amber">
      <formula>NOT(ISERROR(SEARCH("Amber",U183)))</formula>
    </cfRule>
    <cfRule type="containsText" dxfId="646" priority="31" operator="containsText" text="Green">
      <formula>NOT(ISERROR(SEARCH("Green",U183)))</formula>
    </cfRule>
    <cfRule type="containsText" dxfId="645" priority="32" operator="containsText" text="Grey">
      <formula>NOT(ISERROR(SEARCH("Grey",U183)))</formula>
    </cfRule>
    <cfRule type="containsText" dxfId="644" priority="29" operator="containsText" text="Red">
      <formula>NOT(ISERROR(SEARCH("Red",U183)))</formula>
    </cfRule>
  </conditionalFormatting>
  <conditionalFormatting sqref="U200:U211">
    <cfRule type="containsText" dxfId="643" priority="33" operator="containsText" text="Red">
      <formula>NOT(ISERROR(SEARCH("Red",U200)))</formula>
    </cfRule>
    <cfRule type="containsText" dxfId="642" priority="34" operator="containsText" text="Amber">
      <formula>NOT(ISERROR(SEARCH("Amber",U200)))</formula>
    </cfRule>
    <cfRule type="containsText" dxfId="641" priority="35" operator="containsText" text="Green">
      <formula>NOT(ISERROR(SEARCH("Green",U200)))</formula>
    </cfRule>
    <cfRule type="containsText" dxfId="640" priority="36" operator="containsText" text="Grey">
      <formula>NOT(ISERROR(SEARCH("Grey",U200)))</formula>
    </cfRule>
  </conditionalFormatting>
  <conditionalFormatting sqref="U217:U228">
    <cfRule type="containsText" dxfId="639" priority="38" operator="containsText" text="Amber">
      <formula>NOT(ISERROR(SEARCH("Amber",U217)))</formula>
    </cfRule>
    <cfRule type="containsText" dxfId="638" priority="39" operator="containsText" text="Green">
      <formula>NOT(ISERROR(SEARCH("Green",U217)))</formula>
    </cfRule>
    <cfRule type="containsText" dxfId="637" priority="40" operator="containsText" text="Grey">
      <formula>NOT(ISERROR(SEARCH("Grey",U217)))</formula>
    </cfRule>
    <cfRule type="containsText" dxfId="636" priority="37" operator="containsText" text="Red">
      <formula>NOT(ISERROR(SEARCH("Red",U217)))</formula>
    </cfRule>
  </conditionalFormatting>
  <conditionalFormatting sqref="U234:U245">
    <cfRule type="containsText" dxfId="635" priority="41" operator="containsText" text="Red">
      <formula>NOT(ISERROR(SEARCH("Red",U234)))</formula>
    </cfRule>
    <cfRule type="containsText" dxfId="634" priority="42" operator="containsText" text="Amber">
      <formula>NOT(ISERROR(SEARCH("Amber",U234)))</formula>
    </cfRule>
    <cfRule type="containsText" dxfId="633" priority="44" operator="containsText" text="Grey">
      <formula>NOT(ISERROR(SEARCH("Grey",U234)))</formula>
    </cfRule>
    <cfRule type="containsText" dxfId="632" priority="43" operator="containsText" text="Green">
      <formula>NOT(ISERROR(SEARCH("Green",U234)))</formula>
    </cfRule>
  </conditionalFormatting>
  <conditionalFormatting sqref="U251:U262">
    <cfRule type="containsText" dxfId="631" priority="45" operator="containsText" text="Red">
      <formula>NOT(ISERROR(SEARCH("Red",U251)))</formula>
    </cfRule>
    <cfRule type="containsText" dxfId="630" priority="46" operator="containsText" text="Amber">
      <formula>NOT(ISERROR(SEARCH("Amber",U251)))</formula>
    </cfRule>
    <cfRule type="containsText" dxfId="629" priority="47" operator="containsText" text="Green">
      <formula>NOT(ISERROR(SEARCH("Green",U251)))</formula>
    </cfRule>
    <cfRule type="containsText" dxfId="628" priority="48" operator="containsText" text="Grey">
      <formula>NOT(ISERROR(SEARCH("Grey",U251)))</formula>
    </cfRule>
  </conditionalFormatting>
  <conditionalFormatting sqref="U268:U279">
    <cfRule type="containsText" dxfId="627" priority="49" operator="containsText" text="Red">
      <formula>NOT(ISERROR(SEARCH("Red",U268)))</formula>
    </cfRule>
    <cfRule type="containsText" dxfId="626" priority="51" operator="containsText" text="Green">
      <formula>NOT(ISERROR(SEARCH("Green",U268)))</formula>
    </cfRule>
    <cfRule type="containsText" dxfId="625" priority="52" operator="containsText" text="Grey">
      <formula>NOT(ISERROR(SEARCH("Grey",U268)))</formula>
    </cfRule>
    <cfRule type="containsText" dxfId="624" priority="50" operator="containsText" text="Amber">
      <formula>NOT(ISERROR(SEARCH("Amber",U268)))</formula>
    </cfRule>
  </conditionalFormatting>
  <conditionalFormatting sqref="U285:U296">
    <cfRule type="containsText" dxfId="623" priority="54" operator="containsText" text="Amber">
      <formula>NOT(ISERROR(SEARCH("Amber",U285)))</formula>
    </cfRule>
    <cfRule type="containsText" dxfId="622" priority="55" operator="containsText" text="Green">
      <formula>NOT(ISERROR(SEARCH("Green",U285)))</formula>
    </cfRule>
    <cfRule type="containsText" dxfId="621" priority="56" operator="containsText" text="Grey">
      <formula>NOT(ISERROR(SEARCH("Grey",U285)))</formula>
    </cfRule>
    <cfRule type="containsText" dxfId="620" priority="53" operator="containsText" text="Red">
      <formula>NOT(ISERROR(SEARCH("Red",U285)))</formula>
    </cfRule>
  </conditionalFormatting>
  <conditionalFormatting sqref="U302:U313">
    <cfRule type="containsText" dxfId="619" priority="57" operator="containsText" text="Red">
      <formula>NOT(ISERROR(SEARCH("Red",U302)))</formula>
    </cfRule>
    <cfRule type="containsText" dxfId="618" priority="58" operator="containsText" text="Amber">
      <formula>NOT(ISERROR(SEARCH("Amber",U302)))</formula>
    </cfRule>
    <cfRule type="containsText" dxfId="617" priority="59" operator="containsText" text="Green">
      <formula>NOT(ISERROR(SEARCH("Green",U302)))</formula>
    </cfRule>
    <cfRule type="containsText" dxfId="616" priority="60" operator="containsText" text="Grey">
      <formula>NOT(ISERROR(SEARCH("Grey",U302)))</formula>
    </cfRule>
  </conditionalFormatting>
  <conditionalFormatting sqref="U319:U330">
    <cfRule type="containsText" dxfId="615" priority="62" operator="containsText" text="Amber">
      <formula>NOT(ISERROR(SEARCH("Amber",U319)))</formula>
    </cfRule>
    <cfRule type="containsText" dxfId="614" priority="63" operator="containsText" text="Green">
      <formula>NOT(ISERROR(SEARCH("Green",U319)))</formula>
    </cfRule>
    <cfRule type="containsText" dxfId="613" priority="64" operator="containsText" text="Grey">
      <formula>NOT(ISERROR(SEARCH("Grey",U319)))</formula>
    </cfRule>
    <cfRule type="containsText" dxfId="612" priority="61" operator="containsText" text="Red">
      <formula>NOT(ISERROR(SEARCH("Red",U319)))</formula>
    </cfRule>
  </conditionalFormatting>
  <conditionalFormatting sqref="U336:U347">
    <cfRule type="containsText" dxfId="611" priority="65" operator="containsText" text="Red">
      <formula>NOT(ISERROR(SEARCH("Red",U336)))</formula>
    </cfRule>
    <cfRule type="containsText" dxfId="610" priority="66" operator="containsText" text="Amber">
      <formula>NOT(ISERROR(SEARCH("Amber",U336)))</formula>
    </cfRule>
    <cfRule type="containsText" dxfId="609" priority="67" operator="containsText" text="Green">
      <formula>NOT(ISERROR(SEARCH("Green",U336)))</formula>
    </cfRule>
    <cfRule type="containsText" dxfId="608" priority="68" operator="containsText" text="Grey">
      <formula>NOT(ISERROR(SEARCH("Grey",U336)))</formula>
    </cfRule>
  </conditionalFormatting>
  <conditionalFormatting sqref="U353:U364">
    <cfRule type="containsText" dxfId="607" priority="69" operator="containsText" text="Red">
      <formula>NOT(ISERROR(SEARCH("Red",U353)))</formula>
    </cfRule>
    <cfRule type="containsText" dxfId="606" priority="70" operator="containsText" text="Amber">
      <formula>NOT(ISERROR(SEARCH("Amber",U353)))</formula>
    </cfRule>
    <cfRule type="containsText" dxfId="605" priority="71" operator="containsText" text="Green">
      <formula>NOT(ISERROR(SEARCH("Green",U353)))</formula>
    </cfRule>
    <cfRule type="containsText" dxfId="604" priority="72" operator="containsText" text="Grey">
      <formula>NOT(ISERROR(SEARCH("Grey",U353)))</formula>
    </cfRule>
  </conditionalFormatting>
  <conditionalFormatting sqref="U370:U381">
    <cfRule type="containsText" dxfId="603" priority="73" operator="containsText" text="Red">
      <formula>NOT(ISERROR(SEARCH("Red",U370)))</formula>
    </cfRule>
    <cfRule type="containsText" dxfId="602" priority="74" operator="containsText" text="Amber">
      <formula>NOT(ISERROR(SEARCH("Amber",U370)))</formula>
    </cfRule>
    <cfRule type="containsText" dxfId="601" priority="75" operator="containsText" text="Green">
      <formula>NOT(ISERROR(SEARCH("Green",U370)))</formula>
    </cfRule>
    <cfRule type="containsText" dxfId="600" priority="76" operator="containsText" text="Grey">
      <formula>NOT(ISERROR(SEARCH("Grey",U370)))</formula>
    </cfRule>
  </conditionalFormatting>
  <conditionalFormatting sqref="U387:U398">
    <cfRule type="containsText" dxfId="599" priority="77" operator="containsText" text="Red">
      <formula>NOT(ISERROR(SEARCH("Red",U387)))</formula>
    </cfRule>
    <cfRule type="containsText" dxfId="598" priority="78" operator="containsText" text="Amber">
      <formula>NOT(ISERROR(SEARCH("Amber",U387)))</formula>
    </cfRule>
    <cfRule type="containsText" dxfId="597" priority="79" operator="containsText" text="Green">
      <formula>NOT(ISERROR(SEARCH("Green",U387)))</formula>
    </cfRule>
    <cfRule type="containsText" dxfId="596" priority="80" operator="containsText" text="Grey">
      <formula>NOT(ISERROR(SEARCH("Grey",U387)))</formula>
    </cfRule>
  </conditionalFormatting>
  <conditionalFormatting sqref="U404:U415">
    <cfRule type="containsText" dxfId="595" priority="81" operator="containsText" text="Red">
      <formula>NOT(ISERROR(SEARCH("Red",U404)))</formula>
    </cfRule>
    <cfRule type="containsText" dxfId="594" priority="82" operator="containsText" text="Amber">
      <formula>NOT(ISERROR(SEARCH("Amber",U404)))</formula>
    </cfRule>
    <cfRule type="containsText" dxfId="593" priority="84" operator="containsText" text="Grey">
      <formula>NOT(ISERROR(SEARCH("Grey",U404)))</formula>
    </cfRule>
    <cfRule type="containsText" dxfId="592" priority="83" operator="containsText" text="Green">
      <formula>NOT(ISERROR(SEARCH("Green",U404)))</formula>
    </cfRule>
  </conditionalFormatting>
  <conditionalFormatting sqref="U421:U432">
    <cfRule type="containsText" dxfId="591" priority="86" operator="containsText" text="Amber">
      <formula>NOT(ISERROR(SEARCH("Amber",U421)))</formula>
    </cfRule>
    <cfRule type="containsText" dxfId="590" priority="87" operator="containsText" text="Green">
      <formula>NOT(ISERROR(SEARCH("Green",U421)))</formula>
    </cfRule>
    <cfRule type="containsText" dxfId="589" priority="88" operator="containsText" text="Grey">
      <formula>NOT(ISERROR(SEARCH("Grey",U421)))</formula>
    </cfRule>
    <cfRule type="containsText" dxfId="588" priority="85" operator="containsText" text="Red">
      <formula>NOT(ISERROR(SEARCH("Red",U421)))</formula>
    </cfRule>
  </conditionalFormatting>
  <conditionalFormatting sqref="U438:U449">
    <cfRule type="containsText" dxfId="587" priority="89" operator="containsText" text="Red">
      <formula>NOT(ISERROR(SEARCH("Red",U438)))</formula>
    </cfRule>
    <cfRule type="containsText" dxfId="586" priority="90" operator="containsText" text="Amber">
      <formula>NOT(ISERROR(SEARCH("Amber",U438)))</formula>
    </cfRule>
    <cfRule type="containsText" dxfId="585" priority="91" operator="containsText" text="Green">
      <formula>NOT(ISERROR(SEARCH("Green",U438)))</formula>
    </cfRule>
    <cfRule type="containsText" dxfId="584" priority="92" operator="containsText" text="Grey">
      <formula>NOT(ISERROR(SEARCH("Grey",U438)))</formula>
    </cfRule>
  </conditionalFormatting>
  <conditionalFormatting sqref="U455:U466">
    <cfRule type="containsText" dxfId="583" priority="94" operator="containsText" text="Amber">
      <formula>NOT(ISERROR(SEARCH("Amber",U455)))</formula>
    </cfRule>
    <cfRule type="containsText" dxfId="582" priority="95" operator="containsText" text="Green">
      <formula>NOT(ISERROR(SEARCH("Green",U455)))</formula>
    </cfRule>
    <cfRule type="containsText" dxfId="581" priority="96" operator="containsText" text="Grey">
      <formula>NOT(ISERROR(SEARCH("Grey",U455)))</formula>
    </cfRule>
    <cfRule type="containsText" dxfId="580" priority="93" operator="containsText" text="Red">
      <formula>NOT(ISERROR(SEARCH("Red",U455)))</formula>
    </cfRule>
  </conditionalFormatting>
  <conditionalFormatting sqref="U472:U483">
    <cfRule type="containsText" dxfId="579" priority="98" operator="containsText" text="Amber">
      <formula>NOT(ISERROR(SEARCH("Amber",U472)))</formula>
    </cfRule>
    <cfRule type="containsText" dxfId="578" priority="99" operator="containsText" text="Green">
      <formula>NOT(ISERROR(SEARCH("Green",U472)))</formula>
    </cfRule>
    <cfRule type="containsText" dxfId="577" priority="100" operator="containsText" text="Grey">
      <formula>NOT(ISERROR(SEARCH("Grey",U472)))</formula>
    </cfRule>
    <cfRule type="containsText" dxfId="576" priority="97" operator="containsText" text="Red">
      <formula>NOT(ISERROR(SEARCH("Red",U472)))</formula>
    </cfRule>
  </conditionalFormatting>
  <conditionalFormatting sqref="U489:U500">
    <cfRule type="containsText" dxfId="575" priority="101" operator="containsText" text="Red">
      <formula>NOT(ISERROR(SEARCH("Red",U489)))</formula>
    </cfRule>
    <cfRule type="containsText" dxfId="574" priority="102" operator="containsText" text="Amber">
      <formula>NOT(ISERROR(SEARCH("Amber",U489)))</formula>
    </cfRule>
    <cfRule type="containsText" dxfId="573" priority="104" operator="containsText" text="Grey">
      <formula>NOT(ISERROR(SEARCH("Grey",U489)))</formula>
    </cfRule>
    <cfRule type="containsText" dxfId="572" priority="103" operator="containsText" text="Green">
      <formula>NOT(ISERROR(SEARCH("Green",U489)))</formula>
    </cfRule>
  </conditionalFormatting>
  <conditionalFormatting sqref="U506:U517">
    <cfRule type="containsText" dxfId="571" priority="106" operator="containsText" text="Amber">
      <formula>NOT(ISERROR(SEARCH("Amber",U506)))</formula>
    </cfRule>
    <cfRule type="containsText" dxfId="570" priority="107" operator="containsText" text="Green">
      <formula>NOT(ISERROR(SEARCH("Green",U506)))</formula>
    </cfRule>
    <cfRule type="containsText" dxfId="569" priority="108" operator="containsText" text="Grey">
      <formula>NOT(ISERROR(SEARCH("Grey",U506)))</formula>
    </cfRule>
    <cfRule type="containsText" dxfId="568" priority="105" operator="containsText" text="Red">
      <formula>NOT(ISERROR(SEARCH("Red",U506)))</formula>
    </cfRule>
  </conditionalFormatting>
  <conditionalFormatting sqref="U523:U534">
    <cfRule type="containsText" dxfId="567" priority="109" operator="containsText" text="Red">
      <formula>NOT(ISERROR(SEARCH("Red",U523)))</formula>
    </cfRule>
    <cfRule type="containsText" dxfId="566" priority="110" operator="containsText" text="Amber">
      <formula>NOT(ISERROR(SEARCH("Amber",U523)))</formula>
    </cfRule>
    <cfRule type="containsText" dxfId="565" priority="111" operator="containsText" text="Green">
      <formula>NOT(ISERROR(SEARCH("Green",U523)))</formula>
    </cfRule>
    <cfRule type="containsText" dxfId="564" priority="112" operator="containsText" text="Grey">
      <formula>NOT(ISERROR(SEARCH("Grey",U523)))</formula>
    </cfRule>
  </conditionalFormatting>
  <conditionalFormatting sqref="U540:U551">
    <cfRule type="containsText" dxfId="563" priority="114" operator="containsText" text="Amber">
      <formula>NOT(ISERROR(SEARCH("Amber",U540)))</formula>
    </cfRule>
    <cfRule type="containsText" dxfId="562" priority="115" operator="containsText" text="Green">
      <formula>NOT(ISERROR(SEARCH("Green",U540)))</formula>
    </cfRule>
    <cfRule type="containsText" dxfId="561" priority="116" operator="containsText" text="Grey">
      <formula>NOT(ISERROR(SEARCH("Grey",U540)))</formula>
    </cfRule>
    <cfRule type="containsText" dxfId="560" priority="113" operator="containsText" text="Red">
      <formula>NOT(ISERROR(SEARCH("Red",U540)))</formula>
    </cfRule>
  </conditionalFormatting>
  <conditionalFormatting sqref="U557:U568">
    <cfRule type="containsText" dxfId="559" priority="117" operator="containsText" text="Red">
      <formula>NOT(ISERROR(SEARCH("Red",U557)))</formula>
    </cfRule>
    <cfRule type="containsText" dxfId="558" priority="118" operator="containsText" text="Amber">
      <formula>NOT(ISERROR(SEARCH("Amber",U557)))</formula>
    </cfRule>
    <cfRule type="containsText" dxfId="557" priority="119" operator="containsText" text="Green">
      <formula>NOT(ISERROR(SEARCH("Green",U557)))</formula>
    </cfRule>
    <cfRule type="containsText" dxfId="556" priority="120" operator="containsText" text="Grey">
      <formula>NOT(ISERROR(SEARCH("Grey",U557)))</formula>
    </cfRule>
  </conditionalFormatting>
  <conditionalFormatting sqref="U574:U585">
    <cfRule type="containsText" dxfId="555" priority="121" operator="containsText" text="Red">
      <formula>NOT(ISERROR(SEARCH("Red",U574)))</formula>
    </cfRule>
    <cfRule type="containsText" dxfId="554" priority="122" operator="containsText" text="Amber">
      <formula>NOT(ISERROR(SEARCH("Amber",U574)))</formula>
    </cfRule>
    <cfRule type="containsText" dxfId="553" priority="123" operator="containsText" text="Green">
      <formula>NOT(ISERROR(SEARCH("Green",U574)))</formula>
    </cfRule>
    <cfRule type="containsText" dxfId="552" priority="124" operator="containsText" text="Grey">
      <formula>NOT(ISERROR(SEARCH("Grey",U574)))</formula>
    </cfRule>
  </conditionalFormatting>
  <conditionalFormatting sqref="U591:U602">
    <cfRule type="containsText" dxfId="551" priority="125" operator="containsText" text="Red">
      <formula>NOT(ISERROR(SEARCH("Red",U591)))</formula>
    </cfRule>
    <cfRule type="containsText" dxfId="550" priority="126" operator="containsText" text="Amber">
      <formula>NOT(ISERROR(SEARCH("Amber",U591)))</formula>
    </cfRule>
    <cfRule type="containsText" dxfId="549" priority="127" operator="containsText" text="Green">
      <formula>NOT(ISERROR(SEARCH("Green",U591)))</formula>
    </cfRule>
    <cfRule type="containsText" dxfId="548" priority="128" operator="containsText" text="Grey">
      <formula>NOT(ISERROR(SEARCH("Grey",U591)))</formula>
    </cfRule>
  </conditionalFormatting>
  <conditionalFormatting sqref="U608:U619">
    <cfRule type="containsText" dxfId="547" priority="129" operator="containsText" text="Red">
      <formula>NOT(ISERROR(SEARCH("Red",U608)))</formula>
    </cfRule>
    <cfRule type="containsText" dxfId="546" priority="130" operator="containsText" text="Amber">
      <formula>NOT(ISERROR(SEARCH("Amber",U608)))</formula>
    </cfRule>
    <cfRule type="containsText" dxfId="545" priority="131" operator="containsText" text="Green">
      <formula>NOT(ISERROR(SEARCH("Green",U608)))</formula>
    </cfRule>
    <cfRule type="containsText" dxfId="544" priority="132" operator="containsText" text="Grey">
      <formula>NOT(ISERROR(SEARCH("Grey",U608)))</formula>
    </cfRule>
  </conditionalFormatting>
  <conditionalFormatting sqref="U625:U636">
    <cfRule type="containsText" dxfId="543" priority="133" operator="containsText" text="Red">
      <formula>NOT(ISERROR(SEARCH("Red",U625)))</formula>
    </cfRule>
    <cfRule type="containsText" dxfId="542" priority="134" operator="containsText" text="Amber">
      <formula>NOT(ISERROR(SEARCH("Amber",U625)))</formula>
    </cfRule>
    <cfRule type="containsText" dxfId="541" priority="135" operator="containsText" text="Green">
      <formula>NOT(ISERROR(SEARCH("Green",U625)))</formula>
    </cfRule>
    <cfRule type="containsText" dxfId="540" priority="136" operator="containsText" text="Grey">
      <formula>NOT(ISERROR(SEARCH("Grey",U625)))</formula>
    </cfRule>
  </conditionalFormatting>
  <conditionalFormatting sqref="U642:U653">
    <cfRule type="containsText" dxfId="539" priority="138" operator="containsText" text="Amber">
      <formula>NOT(ISERROR(SEARCH("Amber",U642)))</formula>
    </cfRule>
    <cfRule type="containsText" dxfId="538" priority="139" operator="containsText" text="Green">
      <formula>NOT(ISERROR(SEARCH("Green",U642)))</formula>
    </cfRule>
    <cfRule type="containsText" dxfId="537" priority="140" operator="containsText" text="Grey">
      <formula>NOT(ISERROR(SEARCH("Grey",U642)))</formula>
    </cfRule>
    <cfRule type="containsText" dxfId="536" priority="137" operator="containsText" text="Red">
      <formula>NOT(ISERROR(SEARCH("Red",U642)))</formula>
    </cfRule>
  </conditionalFormatting>
  <conditionalFormatting sqref="U659:U670">
    <cfRule type="containsText" dxfId="535" priority="141" operator="containsText" text="Red">
      <formula>NOT(ISERROR(SEARCH("Red",U659)))</formula>
    </cfRule>
    <cfRule type="containsText" dxfId="534" priority="142" operator="containsText" text="Amber">
      <formula>NOT(ISERROR(SEARCH("Amber",U659)))</formula>
    </cfRule>
    <cfRule type="containsText" dxfId="533" priority="143" operator="containsText" text="Green">
      <formula>NOT(ISERROR(SEARCH("Green",U659)))</formula>
    </cfRule>
    <cfRule type="containsText" dxfId="532" priority="144" operator="containsText" text="Grey">
      <formula>NOT(ISERROR(SEARCH("Grey",U659)))</formula>
    </cfRule>
  </conditionalFormatting>
  <conditionalFormatting sqref="U676:U687">
    <cfRule type="containsText" dxfId="531" priority="146" operator="containsText" text="Amber">
      <formula>NOT(ISERROR(SEARCH("Amber",U676)))</formula>
    </cfRule>
    <cfRule type="containsText" dxfId="530" priority="147" operator="containsText" text="Green">
      <formula>NOT(ISERROR(SEARCH("Green",U676)))</formula>
    </cfRule>
    <cfRule type="containsText" dxfId="529" priority="148" operator="containsText" text="Grey">
      <formula>NOT(ISERROR(SEARCH("Grey",U676)))</formula>
    </cfRule>
    <cfRule type="containsText" dxfId="528" priority="145" operator="containsText" text="Red">
      <formula>NOT(ISERROR(SEARCH("Red",U676)))</formula>
    </cfRule>
  </conditionalFormatting>
  <conditionalFormatting sqref="U693:U704">
    <cfRule type="containsText" dxfId="527" priority="149" operator="containsText" text="Red">
      <formula>NOT(ISERROR(SEARCH("Red",U693)))</formula>
    </cfRule>
    <cfRule type="containsText" dxfId="526" priority="150" operator="containsText" text="Amber">
      <formula>NOT(ISERROR(SEARCH("Amber",U693)))</formula>
    </cfRule>
    <cfRule type="containsText" dxfId="525" priority="151" operator="containsText" text="Green">
      <formula>NOT(ISERROR(SEARCH("Green",U693)))</formula>
    </cfRule>
    <cfRule type="containsText" dxfId="524" priority="152" operator="containsText" text="Grey">
      <formula>NOT(ISERROR(SEARCH("Grey",U693)))</formula>
    </cfRule>
  </conditionalFormatting>
  <conditionalFormatting sqref="U710:U721">
    <cfRule type="containsText" dxfId="523" priority="154" operator="containsText" text="Amber">
      <formula>NOT(ISERROR(SEARCH("Amber",U710)))</formula>
    </cfRule>
    <cfRule type="containsText" dxfId="522" priority="155" operator="containsText" text="Green">
      <formula>NOT(ISERROR(SEARCH("Green",U710)))</formula>
    </cfRule>
    <cfRule type="containsText" dxfId="521" priority="156" operator="containsText" text="Grey">
      <formula>NOT(ISERROR(SEARCH("Grey",U710)))</formula>
    </cfRule>
    <cfRule type="containsText" dxfId="520" priority="153" operator="containsText" text="Red">
      <formula>NOT(ISERROR(SEARCH("Red",U710)))</formula>
    </cfRule>
  </conditionalFormatting>
  <conditionalFormatting sqref="U727:U738">
    <cfRule type="containsText" dxfId="519" priority="157" operator="containsText" text="Red">
      <formula>NOT(ISERROR(SEARCH("Red",U727)))</formula>
    </cfRule>
    <cfRule type="containsText" dxfId="518" priority="158" operator="containsText" text="Amber">
      <formula>NOT(ISERROR(SEARCH("Amber",U727)))</formula>
    </cfRule>
    <cfRule type="containsText" dxfId="517" priority="160" operator="containsText" text="Grey">
      <formula>NOT(ISERROR(SEARCH("Grey",U727)))</formula>
    </cfRule>
    <cfRule type="containsText" dxfId="516" priority="159" operator="containsText" text="Green">
      <formula>NOT(ISERROR(SEARCH("Green",U727)))</formula>
    </cfRule>
  </conditionalFormatting>
  <conditionalFormatting sqref="U744:U755">
    <cfRule type="containsText" dxfId="515" priority="162" operator="containsText" text="Amber">
      <formula>NOT(ISERROR(SEARCH("Amber",U744)))</formula>
    </cfRule>
    <cfRule type="containsText" dxfId="514" priority="163" operator="containsText" text="Green">
      <formula>NOT(ISERROR(SEARCH("Green",U744)))</formula>
    </cfRule>
    <cfRule type="containsText" dxfId="513" priority="164" operator="containsText" text="Grey">
      <formula>NOT(ISERROR(SEARCH("Grey",U744)))</formula>
    </cfRule>
    <cfRule type="containsText" dxfId="512" priority="161" operator="containsText" text="Red">
      <formula>NOT(ISERROR(SEARCH("Red",U744)))</formula>
    </cfRule>
  </conditionalFormatting>
  <conditionalFormatting sqref="U761:U772">
    <cfRule type="containsText" dxfId="511" priority="165" operator="containsText" text="Red">
      <formula>NOT(ISERROR(SEARCH("Red",U761)))</formula>
    </cfRule>
    <cfRule type="containsText" dxfId="510" priority="166" operator="containsText" text="Amber">
      <formula>NOT(ISERROR(SEARCH("Amber",U761)))</formula>
    </cfRule>
    <cfRule type="containsText" dxfId="509" priority="167" operator="containsText" text="Green">
      <formula>NOT(ISERROR(SEARCH("Green",U761)))</formula>
    </cfRule>
    <cfRule type="containsText" dxfId="508" priority="168" operator="containsText" text="Grey">
      <formula>NOT(ISERROR(SEARCH("Grey",U761)))</formula>
    </cfRule>
  </conditionalFormatting>
  <conditionalFormatting sqref="U778:U789">
    <cfRule type="containsText" dxfId="507" priority="170" operator="containsText" text="Amber">
      <formula>NOT(ISERROR(SEARCH("Amber",U778)))</formula>
    </cfRule>
    <cfRule type="containsText" dxfId="506" priority="171" operator="containsText" text="Green">
      <formula>NOT(ISERROR(SEARCH("Green",U778)))</formula>
    </cfRule>
    <cfRule type="containsText" dxfId="505" priority="172" operator="containsText" text="Grey">
      <formula>NOT(ISERROR(SEARCH("Grey",U778)))</formula>
    </cfRule>
    <cfRule type="containsText" dxfId="504" priority="169" operator="containsText" text="Red">
      <formula>NOT(ISERROR(SEARCH("Red",U778)))</formula>
    </cfRule>
  </conditionalFormatting>
  <conditionalFormatting sqref="U795:U806">
    <cfRule type="containsText" dxfId="503" priority="173" operator="containsText" text="Red">
      <formula>NOT(ISERROR(SEARCH("Red",U795)))</formula>
    </cfRule>
    <cfRule type="containsText" dxfId="502" priority="174" operator="containsText" text="Amber">
      <formula>NOT(ISERROR(SEARCH("Amber",U795)))</formula>
    </cfRule>
    <cfRule type="containsText" dxfId="501" priority="175" operator="containsText" text="Green">
      <formula>NOT(ISERROR(SEARCH("Green",U795)))</formula>
    </cfRule>
    <cfRule type="containsText" dxfId="500" priority="176" operator="containsText" text="Grey">
      <formula>NOT(ISERROR(SEARCH("Grey",U795)))</formula>
    </cfRule>
  </conditionalFormatting>
  <conditionalFormatting sqref="U812:U823">
    <cfRule type="containsText" dxfId="499" priority="177" operator="containsText" text="Red">
      <formula>NOT(ISERROR(SEARCH("Red",U812)))</formula>
    </cfRule>
    <cfRule type="containsText" dxfId="498" priority="178" operator="containsText" text="Amber">
      <formula>NOT(ISERROR(SEARCH("Amber",U812)))</formula>
    </cfRule>
    <cfRule type="containsText" dxfId="497" priority="179" operator="containsText" text="Green">
      <formula>NOT(ISERROR(SEARCH("Green",U812)))</formula>
    </cfRule>
    <cfRule type="containsText" dxfId="496" priority="180" operator="containsText" text="Grey">
      <formula>NOT(ISERROR(SEARCH("Grey",U812)))</formula>
    </cfRule>
  </conditionalFormatting>
  <conditionalFormatting sqref="U829:U840">
    <cfRule type="containsText" dxfId="495" priority="181" operator="containsText" text="Red">
      <formula>NOT(ISERROR(SEARCH("Red",U829)))</formula>
    </cfRule>
    <cfRule type="containsText" dxfId="494" priority="182" operator="containsText" text="Amber">
      <formula>NOT(ISERROR(SEARCH("Amber",U829)))</formula>
    </cfRule>
    <cfRule type="containsText" dxfId="493" priority="183" operator="containsText" text="Green">
      <formula>NOT(ISERROR(SEARCH("Green",U829)))</formula>
    </cfRule>
    <cfRule type="containsText" dxfId="492" priority="184" operator="containsText" text="Grey">
      <formula>NOT(ISERROR(SEARCH("Grey",U829)))</formula>
    </cfRule>
  </conditionalFormatting>
  <conditionalFormatting sqref="U846:U857">
    <cfRule type="containsText" dxfId="491" priority="185" operator="containsText" text="Red">
      <formula>NOT(ISERROR(SEARCH("Red",U846)))</formula>
    </cfRule>
    <cfRule type="containsText" dxfId="490" priority="186" operator="containsText" text="Amber">
      <formula>NOT(ISERROR(SEARCH("Amber",U846)))</formula>
    </cfRule>
    <cfRule type="containsText" dxfId="489" priority="188" operator="containsText" text="Grey">
      <formula>NOT(ISERROR(SEARCH("Grey",U846)))</formula>
    </cfRule>
    <cfRule type="containsText" dxfId="488" priority="187" operator="containsText" text="Green">
      <formula>NOT(ISERROR(SEARCH("Green",U846)))</formula>
    </cfRule>
  </conditionalFormatting>
  <conditionalFormatting sqref="U863:U874">
    <cfRule type="containsText" dxfId="487" priority="190" operator="containsText" text="Amber">
      <formula>NOT(ISERROR(SEARCH("Amber",U863)))</formula>
    </cfRule>
    <cfRule type="containsText" dxfId="486" priority="191" operator="containsText" text="Green">
      <formula>NOT(ISERROR(SEARCH("Green",U863)))</formula>
    </cfRule>
    <cfRule type="containsText" dxfId="485" priority="192" operator="containsText" text="Grey">
      <formula>NOT(ISERROR(SEARCH("Grey",U863)))</formula>
    </cfRule>
    <cfRule type="containsText" dxfId="484" priority="189" operator="containsText" text="Red">
      <formula>NOT(ISERROR(SEARCH("Red",U863)))</formula>
    </cfRule>
  </conditionalFormatting>
  <conditionalFormatting sqref="U880:U891">
    <cfRule type="containsText" dxfId="483" priority="193" operator="containsText" text="Red">
      <formula>NOT(ISERROR(SEARCH("Red",U880)))</formula>
    </cfRule>
    <cfRule type="containsText" dxfId="482" priority="194" operator="containsText" text="Amber">
      <formula>NOT(ISERROR(SEARCH("Amber",U880)))</formula>
    </cfRule>
    <cfRule type="containsText" dxfId="481" priority="195" operator="containsText" text="Green">
      <formula>NOT(ISERROR(SEARCH("Green",U880)))</formula>
    </cfRule>
    <cfRule type="containsText" dxfId="480" priority="196" operator="containsText" text="Grey">
      <formula>NOT(ISERROR(SEARCH("Grey",U880)))</formula>
    </cfRule>
  </conditionalFormatting>
  <conditionalFormatting sqref="U897:U908">
    <cfRule type="containsText" dxfId="479" priority="198" operator="containsText" text="Amber">
      <formula>NOT(ISERROR(SEARCH("Amber",U897)))</formula>
    </cfRule>
    <cfRule type="containsText" dxfId="478" priority="199" operator="containsText" text="Green">
      <formula>NOT(ISERROR(SEARCH("Green",U897)))</formula>
    </cfRule>
    <cfRule type="containsText" dxfId="477" priority="200" operator="containsText" text="Grey">
      <formula>NOT(ISERROR(SEARCH("Grey",U897)))</formula>
    </cfRule>
    <cfRule type="containsText" dxfId="476" priority="197" operator="containsText" text="Red">
      <formula>NOT(ISERROR(SEARCH("Red",U897)))</formula>
    </cfRule>
  </conditionalFormatting>
  <conditionalFormatting sqref="U914:U925">
    <cfRule type="containsText" dxfId="475" priority="202" operator="containsText" text="Amber">
      <formula>NOT(ISERROR(SEARCH("Amber",U914)))</formula>
    </cfRule>
    <cfRule type="containsText" dxfId="474" priority="203" operator="containsText" text="Green">
      <formula>NOT(ISERROR(SEARCH("Green",U914)))</formula>
    </cfRule>
    <cfRule type="containsText" dxfId="473" priority="204" operator="containsText" text="Grey">
      <formula>NOT(ISERROR(SEARCH("Grey",U914)))</formula>
    </cfRule>
    <cfRule type="containsText" dxfId="472" priority="201" operator="containsText" text="Red">
      <formula>NOT(ISERROR(SEARCH("Red",U914)))</formula>
    </cfRule>
  </conditionalFormatting>
  <conditionalFormatting sqref="U931:U942">
    <cfRule type="containsText" dxfId="471" priority="205" operator="containsText" text="Red">
      <formula>NOT(ISERROR(SEARCH("Red",U931)))</formula>
    </cfRule>
    <cfRule type="containsText" dxfId="470" priority="206" operator="containsText" text="Amber">
      <formula>NOT(ISERROR(SEARCH("Amber",U931)))</formula>
    </cfRule>
    <cfRule type="containsText" dxfId="469" priority="207" operator="containsText" text="Green">
      <formula>NOT(ISERROR(SEARCH("Green",U931)))</formula>
    </cfRule>
    <cfRule type="containsText" dxfId="468" priority="208" operator="containsText" text="Grey">
      <formula>NOT(ISERROR(SEARCH("Grey",U931)))</formula>
    </cfRule>
  </conditionalFormatting>
  <dataValidations count="4">
    <dataValidation type="list" allowBlank="1" showInputMessage="1" showErrorMessage="1" sqref="I64:I75 I81:I92 I98:I109 I115:I126 I132:I143 I149:I160 I166:I177 I183:I194 I200:I211 I217:I228 I234:I245 I251:I262 I268:I279 I285:I296 I302:I313 I319:I330 I336:I347 I353:I364 I370:I381 I387:I398 I404:I415 I421:I432 I438:I449 I455:I466 I472:I483 I489:I500 I506:I517 I523:I534 I540:I551 I557:I568 I574:I585 I591:I602 I608:I619 I625:I636 I642:I653 I659:I670 I676:I687 I693:I704 I710:I721 I727:I738 I744:I755 I761:I772 I778:I789 I795:I806 I812:I823 I829:I840 I846:I857 I863:I874 I880:I891 I897:I908 I914:I925 I931:I942" xr:uid="{00000000-0002-0000-0700-000000000000}">
      <formula1>"2,1,0,NA"</formula1>
    </dataValidation>
    <dataValidation type="list" allowBlank="1" showInputMessage="1" showErrorMessage="1" sqref="H64:H75 H81:H92 H98:H109 H115:H126 H132:H143 H149:H160 H166:H177 H183:H194 H200:H211 H217:H228 H234:H245 H251:H262 H268:H279 H285:H296 H302:H313 H319:H330 H336:H347 H353:H364 H370:H381 H387:H398 H404:H415 H421:H432 H438:H449 H455:H466 H472:H483 H489:H500 H506:H517 H523:H534 H540:H551 H557:H568 H574:H585 H591:H602 H608:H619 H625:H636 H642:H653 H659:H670 H676:H687 H693:H704 H710:H721 H727:H738 H744:H755 H761:H772 H778:H789 H795:H806 H812:H823 H829:H840 H846:H857 H863:H874 H880:H891 H897:H908 H914:H925 H931:H942" xr:uid="{00000000-0002-0000-0700-000001000000}">
      <formula1>"Critical,High,Medium,Low"</formula1>
    </dataValidation>
    <dataValidation type="list" allowBlank="1" showInputMessage="1" showErrorMessage="1" sqref="S64:S75 S81:S92 S98:S109 S115:S126 S132:S143 S149:S160 S166:S177 S183:S194 S200:S211 S217:S228 S234:S245 S251:S262 S268:S279 S285:S296 S302:S313 S319:S330 S336:S347 S353:S364 S370:S381 S387:S398 S404:S415 S421:S432 S438:S449 S455:S466 S472:S483 S489:S500 S506:S517 S523:S534 S540:S551 S557:S568 S574:S585 S591:S602 S608:S619 S625:S636 S642:S653 S659:S670 S676:S687 S693:S704 S710:S721 S727:S738 S744:S755 S761:S772 S778:S789 S795:S806 S812:S823 S829:S840 S846:S857 S863:S874 S880:S891 S897:S908 S914:S925 S931:S942" xr:uid="{00000000-0002-0000-0700-000002000000}">
      <formula1>"Yes,No,N/A"</formula1>
    </dataValidation>
    <dataValidation type="list" allowBlank="1" showInputMessage="1" showErrorMessage="1" sqref="T64:T75 T81:T92 T98:T109 T115:T126 T132:T143 T149:T160 T166:T177 T183:T194 T200:T211 T217:T228 T234:T245 T251:T262 T268:T279 T285:T296 T302:T313 T319:T330 T336:T347 T353:T364 T370:T381 T387:T398 T404:T415 T421:T432 T438:T449 T455:T466 T472:T483 T489:T500 T506:T517 T523:T534 T540:T551 T557:T568 T574:T585 T591:T602 T608:T619 T625:T636 T642:T653 T659:T670 T676:T687 T693:T704 T710:T721 T727:T738 T744:T755 T761:T772 T778:T789 T795:T806 T812:T823 T829:T840 T846:T857 T863:T874 T880:T891 T897:T908 T914:T925 T931:T942" xr:uid="{00000000-0002-0000-0700-000003000000}">
      <formula1>"Not Started,In Progress,Completed,Verified,Closed"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72"/>
  <sheetViews>
    <sheetView showGridLines="0" workbookViewId="0">
      <selection sqref="A1:U1"/>
    </sheetView>
  </sheetViews>
  <sheetFormatPr defaultRowHeight="28" customHeight="1" x14ac:dyDescent="0.35"/>
  <cols>
    <col min="1" max="1" width="7.7265625" customWidth="1"/>
    <col min="2" max="2" width="18.7265625" customWidth="1"/>
    <col min="3" max="3" width="42.7265625" customWidth="1"/>
    <col min="4" max="4" width="28.7265625" customWidth="1"/>
    <col min="5" max="6" width="18.7265625" customWidth="1"/>
    <col min="7" max="7" width="24.7265625" customWidth="1"/>
    <col min="8" max="9" width="13.7265625" customWidth="1"/>
    <col min="10" max="10" width="28.7265625" customWidth="1"/>
    <col min="11" max="11" width="30.7265625" customWidth="1"/>
    <col min="12" max="12" width="32.7265625" customWidth="1"/>
    <col min="13" max="13" width="28.7265625" customWidth="1"/>
    <col min="14" max="14" width="32.7265625" customWidth="1"/>
    <col min="15" max="15" width="20.7265625" customWidth="1"/>
    <col min="16" max="17" width="13.7265625" customWidth="1"/>
    <col min="18" max="18" width="18.7265625" customWidth="1"/>
    <col min="19" max="20" width="14.7265625" customWidth="1"/>
    <col min="21" max="21" width="10.7265625" customWidth="1"/>
  </cols>
  <sheetData>
    <row r="1" spans="1:21" ht="28" customHeight="1" x14ac:dyDescent="0.35">
      <c r="A1" s="24" t="s">
        <v>514</v>
      </c>
      <c r="B1" s="20"/>
      <c r="C1" s="20"/>
      <c r="D1" s="20"/>
      <c r="E1" s="20"/>
      <c r="F1" s="20"/>
      <c r="G1" s="20"/>
      <c r="H1" s="20"/>
      <c r="I1" s="20"/>
      <c r="J1" s="20"/>
      <c r="K1" s="20"/>
      <c r="L1" s="20"/>
      <c r="M1" s="20"/>
      <c r="N1" s="20"/>
      <c r="O1" s="20"/>
      <c r="P1" s="20"/>
      <c r="Q1" s="20"/>
      <c r="R1" s="20"/>
      <c r="S1" s="20"/>
      <c r="T1" s="20"/>
      <c r="U1" s="21"/>
    </row>
    <row r="2" spans="1:21" ht="28" customHeight="1" x14ac:dyDescent="0.35">
      <c r="A2" s="9" t="s">
        <v>1</v>
      </c>
      <c r="B2" s="22" t="s">
        <v>2</v>
      </c>
      <c r="C2" s="23"/>
      <c r="D2" s="23"/>
      <c r="E2" s="23"/>
      <c r="F2" s="23"/>
      <c r="G2" s="23"/>
      <c r="H2" s="23"/>
      <c r="I2" s="23"/>
      <c r="J2" s="23"/>
      <c r="K2" s="23"/>
      <c r="L2" s="23"/>
      <c r="M2" s="23"/>
      <c r="N2" s="23"/>
      <c r="O2" s="23"/>
      <c r="P2" s="23"/>
      <c r="Q2" s="23"/>
      <c r="R2" s="23"/>
      <c r="S2" s="23"/>
      <c r="T2" s="23"/>
      <c r="U2" s="23"/>
    </row>
    <row r="4" spans="1:21" ht="28" customHeight="1" x14ac:dyDescent="0.3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21" ht="28" customHeight="1" x14ac:dyDescent="0.35">
      <c r="A5" s="4" t="s">
        <v>18</v>
      </c>
      <c r="B5" s="7">
        <v>46050</v>
      </c>
      <c r="C5" s="8"/>
      <c r="D5" s="3"/>
      <c r="E5" s="5">
        <f>SUMIF(I24:I39,"&gt;=0",I24:I39)</f>
        <v>0</v>
      </c>
      <c r="F5" s="5">
        <f>COUNT(I24:I39)*2</f>
        <v>0</v>
      </c>
      <c r="G5" s="6" t="str">
        <f t="shared" ref="G5:G16" si="0">IF(F5=0,"",E5/F5)</f>
        <v/>
      </c>
      <c r="H5" s="5" t="str">
        <f t="shared" ref="H5:H16" si="1">IF(G5="","Not Started",IF(G5&gt;=0.9,"Green",IF(G5&gt;=0.75,"Amber","Red")))</f>
        <v>Not Started</v>
      </c>
      <c r="I5" s="5">
        <f>COUNTIFS(H24:H39,"Critical",I24:I39,"&lt;2")+COUNTIFS(H24:H39,"High",I24:I39,"&lt;2")</f>
        <v>0</v>
      </c>
      <c r="J5" s="5">
        <f>COUNTIF(T24:T39,"In Progress")+COUNTIF(T24:T39,"Not Started")</f>
        <v>0</v>
      </c>
      <c r="K5" s="5">
        <f ca="1">COUNTIFS(P24:P39,"&lt;"&amp;TODAY(),Q24:Q39,"")</f>
        <v>0</v>
      </c>
      <c r="L5" s="3"/>
      <c r="M5" s="3"/>
      <c r="N5" s="3"/>
      <c r="O5" s="3"/>
    </row>
    <row r="6" spans="1:21" ht="28" customHeight="1" x14ac:dyDescent="0.35">
      <c r="A6" s="4" t="s">
        <v>19</v>
      </c>
      <c r="B6" s="7">
        <v>46081</v>
      </c>
      <c r="C6" s="8"/>
      <c r="D6" s="3"/>
      <c r="E6" s="5">
        <f>SUMIF(I45:I60,"&gt;=0",I45:I60)</f>
        <v>0</v>
      </c>
      <c r="F6" s="5">
        <f>COUNT(I45:I60)*2</f>
        <v>0</v>
      </c>
      <c r="G6" s="6" t="str">
        <f t="shared" si="0"/>
        <v/>
      </c>
      <c r="H6" s="5" t="str">
        <f t="shared" si="1"/>
        <v>Not Started</v>
      </c>
      <c r="I6" s="5">
        <f>COUNTIFS(H45:H60,"Critical",I45:I60,"&lt;2")+COUNTIFS(H45:H60,"High",I45:I60,"&lt;2")</f>
        <v>0</v>
      </c>
      <c r="J6" s="5">
        <f>COUNTIF(T45:T60,"In Progress")+COUNTIF(T45:T60,"Not Started")</f>
        <v>0</v>
      </c>
      <c r="K6" s="5">
        <f ca="1">COUNTIFS(P45:P60,"&lt;"&amp;TODAY(),Q45:Q60,"")</f>
        <v>0</v>
      </c>
      <c r="L6" s="3"/>
      <c r="M6" s="3"/>
      <c r="N6" s="3"/>
      <c r="O6" s="3"/>
    </row>
    <row r="7" spans="1:21" ht="28" customHeight="1" x14ac:dyDescent="0.35">
      <c r="A7" s="4" t="s">
        <v>20</v>
      </c>
      <c r="B7" s="7">
        <v>46109</v>
      </c>
      <c r="C7" s="8"/>
      <c r="D7" s="3"/>
      <c r="E7" s="5">
        <f>SUMIF(I66:I81,"&gt;=0",I66:I81)</f>
        <v>0</v>
      </c>
      <c r="F7" s="5">
        <f>COUNT(I66:I81)*2</f>
        <v>0</v>
      </c>
      <c r="G7" s="6" t="str">
        <f t="shared" si="0"/>
        <v/>
      </c>
      <c r="H7" s="5" t="str">
        <f t="shared" si="1"/>
        <v>Not Started</v>
      </c>
      <c r="I7" s="5">
        <f>COUNTIFS(H66:H81,"Critical",I66:I81,"&lt;2")+COUNTIFS(H66:H81,"High",I66:I81,"&lt;2")</f>
        <v>0</v>
      </c>
      <c r="J7" s="5">
        <f>COUNTIF(T66:T81,"In Progress")+COUNTIF(T66:T81,"Not Started")</f>
        <v>0</v>
      </c>
      <c r="K7" s="5">
        <f ca="1">COUNTIFS(P66:P81,"&lt;"&amp;TODAY(),Q66:Q81,"")</f>
        <v>0</v>
      </c>
      <c r="L7" s="3"/>
      <c r="M7" s="3"/>
      <c r="N7" s="3"/>
      <c r="O7" s="3"/>
    </row>
    <row r="8" spans="1:21" ht="28" customHeight="1" x14ac:dyDescent="0.35">
      <c r="A8" s="4" t="s">
        <v>21</v>
      </c>
      <c r="B8" s="7">
        <v>46140</v>
      </c>
      <c r="C8" s="8"/>
      <c r="D8" s="3"/>
      <c r="E8" s="5">
        <f>SUMIF(I87:I102,"&gt;=0",I87:I102)</f>
        <v>0</v>
      </c>
      <c r="F8" s="5">
        <f>COUNT(I87:I102)*2</f>
        <v>0</v>
      </c>
      <c r="G8" s="6" t="str">
        <f t="shared" si="0"/>
        <v/>
      </c>
      <c r="H8" s="5" t="str">
        <f t="shared" si="1"/>
        <v>Not Started</v>
      </c>
      <c r="I8" s="5">
        <f>COUNTIFS(H87:H102,"Critical",I87:I102,"&lt;2")+COUNTIFS(H87:H102,"High",I87:I102,"&lt;2")</f>
        <v>0</v>
      </c>
      <c r="J8" s="5">
        <f>COUNTIF(T87:T102,"In Progress")+COUNTIF(T87:T102,"Not Started")</f>
        <v>0</v>
      </c>
      <c r="K8" s="5">
        <f ca="1">COUNTIFS(P87:P102,"&lt;"&amp;TODAY(),Q87:Q102,"")</f>
        <v>0</v>
      </c>
      <c r="L8" s="3"/>
      <c r="M8" s="3"/>
      <c r="N8" s="3"/>
      <c r="O8" s="3"/>
    </row>
    <row r="9" spans="1:21" ht="28" customHeight="1" x14ac:dyDescent="0.35">
      <c r="A9" s="4" t="s">
        <v>22</v>
      </c>
      <c r="B9" s="7">
        <v>46170</v>
      </c>
      <c r="C9" s="8"/>
      <c r="D9" s="3"/>
      <c r="E9" s="5">
        <f>SUMIF(I108:I123,"&gt;=0",I108:I123)</f>
        <v>0</v>
      </c>
      <c r="F9" s="5">
        <f>COUNT(I108:I123)*2</f>
        <v>0</v>
      </c>
      <c r="G9" s="6" t="str">
        <f t="shared" si="0"/>
        <v/>
      </c>
      <c r="H9" s="5" t="str">
        <f t="shared" si="1"/>
        <v>Not Started</v>
      </c>
      <c r="I9" s="5">
        <f>COUNTIFS(H108:H123,"Critical",I108:I123,"&lt;2")+COUNTIFS(H108:H123,"High",I108:I123,"&lt;2")</f>
        <v>0</v>
      </c>
      <c r="J9" s="5">
        <f>COUNTIF(T108:T123,"In Progress")+COUNTIF(T108:T123,"Not Started")</f>
        <v>0</v>
      </c>
      <c r="K9" s="5">
        <f ca="1">COUNTIFS(P108:P123,"&lt;"&amp;TODAY(),Q108:Q123,"")</f>
        <v>0</v>
      </c>
      <c r="L9" s="3"/>
      <c r="M9" s="3"/>
      <c r="N9" s="3"/>
      <c r="O9" s="3"/>
    </row>
    <row r="10" spans="1:21" ht="28" customHeight="1" x14ac:dyDescent="0.35">
      <c r="A10" s="4" t="s">
        <v>23</v>
      </c>
      <c r="B10" s="7">
        <v>46201</v>
      </c>
      <c r="C10" s="8"/>
      <c r="D10" s="3"/>
      <c r="E10" s="5">
        <f>SUMIF(I129:I144,"&gt;=0",I129:I144)</f>
        <v>0</v>
      </c>
      <c r="F10" s="5">
        <f>COUNT(I129:I144)*2</f>
        <v>0</v>
      </c>
      <c r="G10" s="6" t="str">
        <f t="shared" si="0"/>
        <v/>
      </c>
      <c r="H10" s="5" t="str">
        <f t="shared" si="1"/>
        <v>Not Started</v>
      </c>
      <c r="I10" s="5">
        <f>COUNTIFS(H129:H144,"Critical",I129:I144,"&lt;2")+COUNTIFS(H129:H144,"High",I129:I144,"&lt;2")</f>
        <v>0</v>
      </c>
      <c r="J10" s="5">
        <f>COUNTIF(T129:T144,"In Progress")+COUNTIF(T129:T144,"Not Started")</f>
        <v>0</v>
      </c>
      <c r="K10" s="5">
        <f ca="1">COUNTIFS(P129:P144,"&lt;"&amp;TODAY(),Q129:Q144,"")</f>
        <v>0</v>
      </c>
      <c r="L10" s="3"/>
      <c r="M10" s="3"/>
      <c r="N10" s="3"/>
      <c r="O10" s="3"/>
    </row>
    <row r="11" spans="1:21" ht="28" customHeight="1" x14ac:dyDescent="0.35">
      <c r="A11" s="4" t="s">
        <v>24</v>
      </c>
      <c r="B11" s="7">
        <v>46231</v>
      </c>
      <c r="C11" s="8"/>
      <c r="D11" s="3"/>
      <c r="E11" s="5">
        <f>SUMIF(I150:I165,"&gt;=0",I150:I165)</f>
        <v>0</v>
      </c>
      <c r="F11" s="5">
        <f>COUNT(I150:I165)*2</f>
        <v>0</v>
      </c>
      <c r="G11" s="6" t="str">
        <f t="shared" si="0"/>
        <v/>
      </c>
      <c r="H11" s="5" t="str">
        <f t="shared" si="1"/>
        <v>Not Started</v>
      </c>
      <c r="I11" s="5">
        <f>COUNTIFS(H150:H165,"Critical",I150:I165,"&lt;2")+COUNTIFS(H150:H165,"High",I150:I165,"&lt;2")</f>
        <v>0</v>
      </c>
      <c r="J11" s="5">
        <f>COUNTIF(T150:T165,"In Progress")+COUNTIF(T150:T165,"Not Started")</f>
        <v>0</v>
      </c>
      <c r="K11" s="5">
        <f ca="1">COUNTIFS(P150:P165,"&lt;"&amp;TODAY(),Q150:Q165,"")</f>
        <v>0</v>
      </c>
      <c r="L11" s="3"/>
      <c r="M11" s="3"/>
      <c r="N11" s="3"/>
      <c r="O11" s="3"/>
    </row>
    <row r="12" spans="1:21" ht="28" customHeight="1" x14ac:dyDescent="0.35">
      <c r="A12" s="4" t="s">
        <v>25</v>
      </c>
      <c r="B12" s="7">
        <v>46262</v>
      </c>
      <c r="C12" s="8"/>
      <c r="D12" s="3"/>
      <c r="E12" s="5">
        <f>SUMIF(I171:I186,"&gt;=0",I171:I186)</f>
        <v>0</v>
      </c>
      <c r="F12" s="5">
        <f>COUNT(I171:I186)*2</f>
        <v>0</v>
      </c>
      <c r="G12" s="6" t="str">
        <f t="shared" si="0"/>
        <v/>
      </c>
      <c r="H12" s="5" t="str">
        <f t="shared" si="1"/>
        <v>Not Started</v>
      </c>
      <c r="I12" s="5">
        <f>COUNTIFS(H171:H186,"Critical",I171:I186,"&lt;2")+COUNTIFS(H171:H186,"High",I171:I186,"&lt;2")</f>
        <v>0</v>
      </c>
      <c r="J12" s="5">
        <f>COUNTIF(T171:T186,"In Progress")+COUNTIF(T171:T186,"Not Started")</f>
        <v>0</v>
      </c>
      <c r="K12" s="5">
        <f ca="1">COUNTIFS(P171:P186,"&lt;"&amp;TODAY(),Q171:Q186,"")</f>
        <v>0</v>
      </c>
      <c r="L12" s="3"/>
      <c r="M12" s="3"/>
      <c r="N12" s="3"/>
      <c r="O12" s="3"/>
    </row>
    <row r="13" spans="1:21" ht="28" customHeight="1" x14ac:dyDescent="0.35">
      <c r="A13" s="4" t="s">
        <v>26</v>
      </c>
      <c r="B13" s="7">
        <v>46293</v>
      </c>
      <c r="C13" s="8"/>
      <c r="D13" s="3"/>
      <c r="E13" s="5">
        <f>SUMIF(I192:I207,"&gt;=0",I192:I207)</f>
        <v>0</v>
      </c>
      <c r="F13" s="5">
        <f>COUNT(I192:I207)*2</f>
        <v>0</v>
      </c>
      <c r="G13" s="6" t="str">
        <f t="shared" si="0"/>
        <v/>
      </c>
      <c r="H13" s="5" t="str">
        <f t="shared" si="1"/>
        <v>Not Started</v>
      </c>
      <c r="I13" s="5">
        <f>COUNTIFS(H192:H207,"Critical",I192:I207,"&lt;2")+COUNTIFS(H192:H207,"High",I192:I207,"&lt;2")</f>
        <v>0</v>
      </c>
      <c r="J13" s="5">
        <f>COUNTIF(T192:T207,"In Progress")+COUNTIF(T192:T207,"Not Started")</f>
        <v>0</v>
      </c>
      <c r="K13" s="5">
        <f ca="1">COUNTIFS(P192:P207,"&lt;"&amp;TODAY(),Q192:Q207,"")</f>
        <v>0</v>
      </c>
      <c r="L13" s="3"/>
      <c r="M13" s="3"/>
      <c r="N13" s="3"/>
      <c r="O13" s="3"/>
    </row>
    <row r="14" spans="1:21" ht="28" customHeight="1" x14ac:dyDescent="0.35">
      <c r="A14" s="4" t="s">
        <v>27</v>
      </c>
      <c r="B14" s="7">
        <v>46323</v>
      </c>
      <c r="C14" s="8"/>
      <c r="D14" s="3"/>
      <c r="E14" s="5">
        <f>SUMIF(I213:I228,"&gt;=0",I213:I228)</f>
        <v>0</v>
      </c>
      <c r="F14" s="5">
        <f>COUNT(I213:I228)*2</f>
        <v>0</v>
      </c>
      <c r="G14" s="6" t="str">
        <f t="shared" si="0"/>
        <v/>
      </c>
      <c r="H14" s="5" t="str">
        <f t="shared" si="1"/>
        <v>Not Started</v>
      </c>
      <c r="I14" s="5">
        <f>COUNTIFS(H213:H228,"Critical",I213:I228,"&lt;2")+COUNTIFS(H213:H228,"High",I213:I228,"&lt;2")</f>
        <v>0</v>
      </c>
      <c r="J14" s="5">
        <f>COUNTIF(T213:T228,"In Progress")+COUNTIF(T213:T228,"Not Started")</f>
        <v>0</v>
      </c>
      <c r="K14" s="5">
        <f ca="1">COUNTIFS(P213:P228,"&lt;"&amp;TODAY(),Q213:Q228,"")</f>
        <v>0</v>
      </c>
      <c r="L14" s="3"/>
      <c r="M14" s="3"/>
      <c r="N14" s="3"/>
      <c r="O14" s="3"/>
    </row>
    <row r="15" spans="1:21" ht="28" customHeight="1" x14ac:dyDescent="0.35">
      <c r="A15" s="4" t="s">
        <v>28</v>
      </c>
      <c r="B15" s="7">
        <v>46354</v>
      </c>
      <c r="C15" s="8"/>
      <c r="D15" s="3"/>
      <c r="E15" s="5">
        <f>SUMIF(I234:I249,"&gt;=0",I234:I249)</f>
        <v>0</v>
      </c>
      <c r="F15" s="5">
        <f>COUNT(I234:I249)*2</f>
        <v>0</v>
      </c>
      <c r="G15" s="6" t="str">
        <f t="shared" si="0"/>
        <v/>
      </c>
      <c r="H15" s="5" t="str">
        <f t="shared" si="1"/>
        <v>Not Started</v>
      </c>
      <c r="I15" s="5">
        <f>COUNTIFS(H234:H249,"Critical",I234:I249,"&lt;2")+COUNTIFS(H234:H249,"High",I234:I249,"&lt;2")</f>
        <v>0</v>
      </c>
      <c r="J15" s="5">
        <f>COUNTIF(T234:T249,"In Progress")+COUNTIF(T234:T249,"Not Started")</f>
        <v>0</v>
      </c>
      <c r="K15" s="5">
        <f ca="1">COUNTIFS(P234:P249,"&lt;"&amp;TODAY(),Q234:Q249,"")</f>
        <v>0</v>
      </c>
      <c r="L15" s="3"/>
      <c r="M15" s="3"/>
      <c r="N15" s="3"/>
      <c r="O15" s="3"/>
    </row>
    <row r="16" spans="1:21" ht="28" customHeight="1" x14ac:dyDescent="0.35">
      <c r="A16" s="4" t="s">
        <v>29</v>
      </c>
      <c r="B16" s="7">
        <v>46384</v>
      </c>
      <c r="C16" s="8"/>
      <c r="D16" s="3"/>
      <c r="E16" s="5">
        <f>SUMIF(I255:I270,"&gt;=0",I255:I270)</f>
        <v>0</v>
      </c>
      <c r="F16" s="5">
        <f>COUNT(I255:I270)*2</f>
        <v>0</v>
      </c>
      <c r="G16" s="6" t="str">
        <f t="shared" si="0"/>
        <v/>
      </c>
      <c r="H16" s="5" t="str">
        <f t="shared" si="1"/>
        <v>Not Started</v>
      </c>
      <c r="I16" s="5">
        <f>COUNTIFS(H255:H270,"Critical",I255:I270,"&lt;2")+COUNTIFS(H255:H270,"High",I255:I270,"&lt;2")</f>
        <v>0</v>
      </c>
      <c r="J16" s="5">
        <f>COUNTIF(T255:T270,"In Progress")+COUNTIF(T255:T270,"Not Started")</f>
        <v>0</v>
      </c>
      <c r="K16" s="5">
        <f ca="1">COUNTIFS(P255:P270,"&lt;"&amp;TODAY(),Q255:Q270,"")</f>
        <v>0</v>
      </c>
      <c r="L16" s="3"/>
      <c r="M16" s="3"/>
      <c r="N16" s="3"/>
      <c r="O16" s="3"/>
    </row>
    <row r="21" spans="1:21" ht="28" customHeight="1" x14ac:dyDescent="0.35">
      <c r="A21" s="19" t="s">
        <v>515</v>
      </c>
      <c r="B21" s="20"/>
      <c r="C21" s="20"/>
      <c r="D21" s="20"/>
      <c r="E21" s="20"/>
      <c r="F21" s="20"/>
      <c r="G21" s="20"/>
      <c r="H21" s="20"/>
      <c r="I21" s="20"/>
      <c r="J21" s="20"/>
      <c r="K21" s="20"/>
      <c r="L21" s="20"/>
      <c r="M21" s="20"/>
      <c r="N21" s="20"/>
      <c r="O21" s="20"/>
      <c r="P21" s="20"/>
      <c r="Q21" s="20"/>
      <c r="R21" s="20"/>
      <c r="S21" s="20"/>
      <c r="T21" s="20"/>
      <c r="U21" s="21"/>
    </row>
    <row r="22" spans="1:21" ht="28" customHeight="1" x14ac:dyDescent="0.35">
      <c r="A22" s="4" t="s">
        <v>31</v>
      </c>
      <c r="B22" s="3" t="s">
        <v>18</v>
      </c>
      <c r="C22" s="4" t="s">
        <v>32</v>
      </c>
      <c r="D22" s="3"/>
      <c r="E22" s="4" t="s">
        <v>33</v>
      </c>
      <c r="F22" s="8"/>
    </row>
    <row r="23" spans="1:21" ht="28" customHeight="1" x14ac:dyDescent="0.35">
      <c r="A23" s="1" t="s">
        <v>34</v>
      </c>
      <c r="B23" s="1" t="s">
        <v>35</v>
      </c>
      <c r="C23" s="1" t="s">
        <v>36</v>
      </c>
      <c r="D23" s="1" t="s">
        <v>37</v>
      </c>
      <c r="E23" s="1" t="s">
        <v>38</v>
      </c>
      <c r="F23" s="1" t="s">
        <v>39</v>
      </c>
      <c r="G23" s="1" t="s">
        <v>40</v>
      </c>
      <c r="H23" s="1" t="s">
        <v>41</v>
      </c>
      <c r="I23" s="1" t="s">
        <v>42</v>
      </c>
      <c r="J23" s="1" t="s">
        <v>43</v>
      </c>
      <c r="K23" s="1" t="s">
        <v>44</v>
      </c>
      <c r="L23" s="1" t="s">
        <v>45</v>
      </c>
      <c r="M23" s="1" t="s">
        <v>46</v>
      </c>
      <c r="N23" s="1" t="s">
        <v>47</v>
      </c>
      <c r="O23" s="1" t="s">
        <v>48</v>
      </c>
      <c r="P23" s="1" t="s">
        <v>4</v>
      </c>
      <c r="Q23" s="1" t="s">
        <v>49</v>
      </c>
      <c r="R23" s="1" t="s">
        <v>50</v>
      </c>
      <c r="S23" s="1" t="s">
        <v>51</v>
      </c>
      <c r="T23" s="1" t="s">
        <v>52</v>
      </c>
      <c r="U23" s="1" t="s">
        <v>10</v>
      </c>
    </row>
    <row r="24" spans="1:21" ht="28" customHeight="1" x14ac:dyDescent="0.35">
      <c r="A24" s="4">
        <v>1</v>
      </c>
      <c r="B24" s="4" t="s">
        <v>53</v>
      </c>
      <c r="C24" s="4" t="s">
        <v>516</v>
      </c>
      <c r="D24" s="4" t="s">
        <v>517</v>
      </c>
      <c r="E24" s="4" t="s">
        <v>56</v>
      </c>
      <c r="F24" s="4" t="s">
        <v>57</v>
      </c>
      <c r="G24" s="4" t="s">
        <v>58</v>
      </c>
      <c r="H24" s="4" t="s">
        <v>59</v>
      </c>
      <c r="I24" s="3"/>
      <c r="J24" s="3"/>
      <c r="K24" s="3"/>
      <c r="L24" s="3"/>
      <c r="M24" s="3"/>
      <c r="N24" s="3"/>
      <c r="O24" s="3"/>
      <c r="P24" s="8"/>
      <c r="Q24" s="8"/>
      <c r="R24" s="3"/>
      <c r="S24" s="3"/>
      <c r="T24" s="3"/>
      <c r="U24" s="5" t="str">
        <f t="shared" ref="U24:U39" si="2">IF(I24="","",IF(I24="NA","Grey",IF(I24=2,"Green",IF(I24=1,"Amber","Red"))))</f>
        <v/>
      </c>
    </row>
    <row r="25" spans="1:21" ht="28" customHeight="1" x14ac:dyDescent="0.35">
      <c r="A25" s="4">
        <v>2</v>
      </c>
      <c r="B25" s="4" t="s">
        <v>53</v>
      </c>
      <c r="C25" s="4" t="s">
        <v>518</v>
      </c>
      <c r="D25" s="4" t="s">
        <v>519</v>
      </c>
      <c r="E25" s="4" t="s">
        <v>56</v>
      </c>
      <c r="F25" s="4" t="s">
        <v>57</v>
      </c>
      <c r="G25" s="4" t="s">
        <v>58</v>
      </c>
      <c r="H25" s="4" t="s">
        <v>59</v>
      </c>
      <c r="I25" s="3"/>
      <c r="J25" s="3"/>
      <c r="K25" s="3"/>
      <c r="L25" s="3"/>
      <c r="M25" s="3"/>
      <c r="N25" s="3"/>
      <c r="O25" s="3"/>
      <c r="P25" s="8"/>
      <c r="Q25" s="8"/>
      <c r="R25" s="3"/>
      <c r="S25" s="3"/>
      <c r="T25" s="3"/>
      <c r="U25" s="5" t="str">
        <f t="shared" si="2"/>
        <v/>
      </c>
    </row>
    <row r="26" spans="1:21" ht="28" customHeight="1" x14ac:dyDescent="0.35">
      <c r="A26" s="4">
        <v>3</v>
      </c>
      <c r="B26" s="4" t="s">
        <v>53</v>
      </c>
      <c r="C26" s="4" t="s">
        <v>520</v>
      </c>
      <c r="D26" s="4" t="s">
        <v>521</v>
      </c>
      <c r="E26" s="4" t="s">
        <v>56</v>
      </c>
      <c r="F26" s="4" t="s">
        <v>57</v>
      </c>
      <c r="G26" s="4" t="s">
        <v>58</v>
      </c>
      <c r="H26" s="4" t="s">
        <v>59</v>
      </c>
      <c r="I26" s="3"/>
      <c r="J26" s="3"/>
      <c r="K26" s="3"/>
      <c r="L26" s="3"/>
      <c r="M26" s="3"/>
      <c r="N26" s="3"/>
      <c r="O26" s="3"/>
      <c r="P26" s="8"/>
      <c r="Q26" s="8"/>
      <c r="R26" s="3"/>
      <c r="S26" s="3"/>
      <c r="T26" s="3"/>
      <c r="U26" s="5" t="str">
        <f t="shared" si="2"/>
        <v/>
      </c>
    </row>
    <row r="27" spans="1:21" ht="28" customHeight="1" x14ac:dyDescent="0.35">
      <c r="A27" s="4">
        <v>4</v>
      </c>
      <c r="B27" s="4" t="s">
        <v>53</v>
      </c>
      <c r="C27" s="4" t="s">
        <v>522</v>
      </c>
      <c r="D27" s="4" t="s">
        <v>523</v>
      </c>
      <c r="E27" s="4" t="s">
        <v>56</v>
      </c>
      <c r="F27" s="4" t="s">
        <v>57</v>
      </c>
      <c r="G27" s="4" t="s">
        <v>58</v>
      </c>
      <c r="H27" s="4" t="s">
        <v>59</v>
      </c>
      <c r="I27" s="3"/>
      <c r="J27" s="3"/>
      <c r="K27" s="3"/>
      <c r="L27" s="3"/>
      <c r="M27" s="3"/>
      <c r="N27" s="3"/>
      <c r="O27" s="3"/>
      <c r="P27" s="8"/>
      <c r="Q27" s="8"/>
      <c r="R27" s="3"/>
      <c r="S27" s="3"/>
      <c r="T27" s="3"/>
      <c r="U27" s="5" t="str">
        <f t="shared" si="2"/>
        <v/>
      </c>
    </row>
    <row r="28" spans="1:21" ht="28" customHeight="1" x14ac:dyDescent="0.35">
      <c r="A28" s="4">
        <v>5</v>
      </c>
      <c r="B28" s="4" t="s">
        <v>66</v>
      </c>
      <c r="C28" s="4" t="s">
        <v>67</v>
      </c>
      <c r="D28" s="4" t="s">
        <v>68</v>
      </c>
      <c r="E28" s="4" t="s">
        <v>69</v>
      </c>
      <c r="F28" s="4" t="s">
        <v>57</v>
      </c>
      <c r="G28" s="4" t="s">
        <v>58</v>
      </c>
      <c r="H28" s="4" t="s">
        <v>59</v>
      </c>
      <c r="I28" s="3"/>
      <c r="J28" s="3"/>
      <c r="K28" s="3"/>
      <c r="L28" s="3"/>
      <c r="M28" s="3"/>
      <c r="N28" s="3"/>
      <c r="O28" s="3"/>
      <c r="P28" s="8"/>
      <c r="Q28" s="8"/>
      <c r="R28" s="3"/>
      <c r="S28" s="3"/>
      <c r="T28" s="3"/>
      <c r="U28" s="5" t="str">
        <f t="shared" si="2"/>
        <v/>
      </c>
    </row>
    <row r="29" spans="1:21" ht="28" customHeight="1" x14ac:dyDescent="0.35">
      <c r="A29" s="4">
        <v>6</v>
      </c>
      <c r="B29" s="4" t="s">
        <v>70</v>
      </c>
      <c r="C29" s="4" t="s">
        <v>71</v>
      </c>
      <c r="D29" s="4" t="s">
        <v>72</v>
      </c>
      <c r="E29" s="4" t="s">
        <v>70</v>
      </c>
      <c r="F29" s="4" t="s">
        <v>57</v>
      </c>
      <c r="G29" s="4" t="s">
        <v>58</v>
      </c>
      <c r="H29" s="4" t="s">
        <v>59</v>
      </c>
      <c r="I29" s="3"/>
      <c r="J29" s="3"/>
      <c r="K29" s="3"/>
      <c r="L29" s="3"/>
      <c r="M29" s="3"/>
      <c r="N29" s="3"/>
      <c r="O29" s="3"/>
      <c r="P29" s="8"/>
      <c r="Q29" s="8"/>
      <c r="R29" s="3"/>
      <c r="S29" s="3"/>
      <c r="T29" s="3"/>
      <c r="U29" s="5" t="str">
        <f t="shared" si="2"/>
        <v/>
      </c>
    </row>
    <row r="30" spans="1:21" ht="28" customHeight="1" x14ac:dyDescent="0.35">
      <c r="A30" s="4">
        <v>7</v>
      </c>
      <c r="B30" s="4" t="s">
        <v>73</v>
      </c>
      <c r="C30" s="4" t="s">
        <v>74</v>
      </c>
      <c r="D30" s="4" t="s">
        <v>75</v>
      </c>
      <c r="E30" s="4" t="s">
        <v>69</v>
      </c>
      <c r="F30" s="4" t="s">
        <v>57</v>
      </c>
      <c r="G30" s="4" t="s">
        <v>58</v>
      </c>
      <c r="H30" s="4" t="s">
        <v>76</v>
      </c>
      <c r="I30" s="3"/>
      <c r="J30" s="3"/>
      <c r="K30" s="3"/>
      <c r="L30" s="3"/>
      <c r="M30" s="3"/>
      <c r="N30" s="3"/>
      <c r="O30" s="3"/>
      <c r="P30" s="8"/>
      <c r="Q30" s="8"/>
      <c r="R30" s="3"/>
      <c r="S30" s="3"/>
      <c r="T30" s="3"/>
      <c r="U30" s="5" t="str">
        <f t="shared" si="2"/>
        <v/>
      </c>
    </row>
    <row r="31" spans="1:21" ht="28" customHeight="1" x14ac:dyDescent="0.35">
      <c r="A31" s="4">
        <v>8</v>
      </c>
      <c r="B31" s="4" t="s">
        <v>77</v>
      </c>
      <c r="C31" s="4" t="s">
        <v>78</v>
      </c>
      <c r="D31" s="4" t="s">
        <v>79</v>
      </c>
      <c r="E31" s="4" t="s">
        <v>80</v>
      </c>
      <c r="F31" s="4" t="s">
        <v>57</v>
      </c>
      <c r="G31" s="4" t="s">
        <v>58</v>
      </c>
      <c r="H31" s="4" t="s">
        <v>59</v>
      </c>
      <c r="I31" s="3"/>
      <c r="J31" s="3"/>
      <c r="K31" s="3"/>
      <c r="L31" s="3"/>
      <c r="M31" s="3"/>
      <c r="N31" s="3"/>
      <c r="O31" s="3"/>
      <c r="P31" s="8"/>
      <c r="Q31" s="8"/>
      <c r="R31" s="3"/>
      <c r="S31" s="3"/>
      <c r="T31" s="3"/>
      <c r="U31" s="5" t="str">
        <f t="shared" si="2"/>
        <v/>
      </c>
    </row>
    <row r="32" spans="1:21" ht="28" customHeight="1" x14ac:dyDescent="0.35">
      <c r="A32" s="4">
        <v>9</v>
      </c>
      <c r="B32" s="4" t="s">
        <v>81</v>
      </c>
      <c r="C32" s="4" t="s">
        <v>82</v>
      </c>
      <c r="D32" s="4" t="s">
        <v>83</v>
      </c>
      <c r="E32" s="4" t="s">
        <v>84</v>
      </c>
      <c r="F32" s="4" t="s">
        <v>57</v>
      </c>
      <c r="G32" s="4" t="s">
        <v>58</v>
      </c>
      <c r="H32" s="4" t="s">
        <v>85</v>
      </c>
      <c r="I32" s="3"/>
      <c r="J32" s="3"/>
      <c r="K32" s="3"/>
      <c r="L32" s="3"/>
      <c r="M32" s="3"/>
      <c r="N32" s="3"/>
      <c r="O32" s="3"/>
      <c r="P32" s="8"/>
      <c r="Q32" s="8"/>
      <c r="R32" s="3"/>
      <c r="S32" s="3"/>
      <c r="T32" s="3"/>
      <c r="U32" s="5" t="str">
        <f t="shared" si="2"/>
        <v/>
      </c>
    </row>
    <row r="33" spans="1:21" ht="28" customHeight="1" x14ac:dyDescent="0.35">
      <c r="A33" s="4">
        <v>10</v>
      </c>
      <c r="B33" s="4" t="s">
        <v>86</v>
      </c>
      <c r="C33" s="4" t="s">
        <v>87</v>
      </c>
      <c r="D33" s="4" t="s">
        <v>88</v>
      </c>
      <c r="E33" s="4" t="s">
        <v>69</v>
      </c>
      <c r="F33" s="4" t="s">
        <v>57</v>
      </c>
      <c r="G33" s="4" t="s">
        <v>58</v>
      </c>
      <c r="H33" s="4" t="s">
        <v>59</v>
      </c>
      <c r="I33" s="3"/>
      <c r="J33" s="3"/>
      <c r="K33" s="3"/>
      <c r="L33" s="3"/>
      <c r="M33" s="3"/>
      <c r="N33" s="3"/>
      <c r="O33" s="3"/>
      <c r="P33" s="8"/>
      <c r="Q33" s="8"/>
      <c r="R33" s="3"/>
      <c r="S33" s="3"/>
      <c r="T33" s="3"/>
      <c r="U33" s="5" t="str">
        <f t="shared" si="2"/>
        <v/>
      </c>
    </row>
    <row r="34" spans="1:21" ht="28" customHeight="1" x14ac:dyDescent="0.35">
      <c r="A34" s="4">
        <v>11</v>
      </c>
      <c r="B34" s="4" t="s">
        <v>89</v>
      </c>
      <c r="C34" s="4" t="s">
        <v>90</v>
      </c>
      <c r="D34" s="4" t="s">
        <v>91</v>
      </c>
      <c r="E34" s="4" t="s">
        <v>84</v>
      </c>
      <c r="F34" s="4" t="s">
        <v>57</v>
      </c>
      <c r="G34" s="4" t="s">
        <v>58</v>
      </c>
      <c r="H34" s="4" t="s">
        <v>59</v>
      </c>
      <c r="I34" s="3"/>
      <c r="J34" s="3"/>
      <c r="K34" s="3"/>
      <c r="L34" s="3"/>
      <c r="M34" s="3"/>
      <c r="N34" s="3"/>
      <c r="O34" s="3"/>
      <c r="P34" s="8"/>
      <c r="Q34" s="8"/>
      <c r="R34" s="3"/>
      <c r="S34" s="3"/>
      <c r="T34" s="3"/>
      <c r="U34" s="5" t="str">
        <f t="shared" si="2"/>
        <v/>
      </c>
    </row>
    <row r="35" spans="1:21" ht="28" customHeight="1" x14ac:dyDescent="0.35">
      <c r="A35" s="4">
        <v>12</v>
      </c>
      <c r="B35" s="4" t="s">
        <v>92</v>
      </c>
      <c r="C35" s="4" t="s">
        <v>93</v>
      </c>
      <c r="D35" s="4" t="s">
        <v>94</v>
      </c>
      <c r="E35" s="4" t="s">
        <v>69</v>
      </c>
      <c r="F35" s="4" t="s">
        <v>95</v>
      </c>
      <c r="G35" s="4" t="s">
        <v>96</v>
      </c>
      <c r="H35" s="4" t="s">
        <v>59</v>
      </c>
      <c r="I35" s="3"/>
      <c r="J35" s="3"/>
      <c r="K35" s="3"/>
      <c r="L35" s="3"/>
      <c r="M35" s="3"/>
      <c r="N35" s="3"/>
      <c r="O35" s="3"/>
      <c r="P35" s="8"/>
      <c r="Q35" s="8"/>
      <c r="R35" s="3"/>
      <c r="S35" s="3"/>
      <c r="T35" s="3"/>
      <c r="U35" s="5" t="str">
        <f t="shared" si="2"/>
        <v/>
      </c>
    </row>
    <row r="36" spans="1:21" ht="28" customHeight="1" x14ac:dyDescent="0.35">
      <c r="A36" s="4">
        <v>13</v>
      </c>
      <c r="B36" s="4" t="s">
        <v>97</v>
      </c>
      <c r="C36" s="4" t="s">
        <v>98</v>
      </c>
      <c r="D36" s="4" t="s">
        <v>99</v>
      </c>
      <c r="E36" s="4" t="s">
        <v>69</v>
      </c>
      <c r="F36" s="4" t="s">
        <v>95</v>
      </c>
      <c r="G36" s="4" t="s">
        <v>96</v>
      </c>
      <c r="H36" s="4" t="s">
        <v>59</v>
      </c>
      <c r="I36" s="3"/>
      <c r="J36" s="3"/>
      <c r="K36" s="3"/>
      <c r="L36" s="3"/>
      <c r="M36" s="3"/>
      <c r="N36" s="3"/>
      <c r="O36" s="3"/>
      <c r="P36" s="8"/>
      <c r="Q36" s="8"/>
      <c r="R36" s="3"/>
      <c r="S36" s="3"/>
      <c r="T36" s="3"/>
      <c r="U36" s="5" t="str">
        <f t="shared" si="2"/>
        <v/>
      </c>
    </row>
    <row r="37" spans="1:21" ht="28" customHeight="1" x14ac:dyDescent="0.35">
      <c r="A37" s="4">
        <v>14</v>
      </c>
      <c r="B37" s="4" t="s">
        <v>97</v>
      </c>
      <c r="C37" s="4" t="s">
        <v>100</v>
      </c>
      <c r="D37" s="4" t="s">
        <v>101</v>
      </c>
      <c r="E37" s="4" t="s">
        <v>69</v>
      </c>
      <c r="F37" s="4" t="s">
        <v>95</v>
      </c>
      <c r="G37" s="4" t="s">
        <v>102</v>
      </c>
      <c r="H37" s="4" t="s">
        <v>59</v>
      </c>
      <c r="I37" s="3"/>
      <c r="J37" s="3"/>
      <c r="K37" s="3"/>
      <c r="L37" s="3"/>
      <c r="M37" s="3"/>
      <c r="N37" s="3"/>
      <c r="O37" s="3"/>
      <c r="P37" s="8"/>
      <c r="Q37" s="8"/>
      <c r="R37" s="3"/>
      <c r="S37" s="3"/>
      <c r="T37" s="3"/>
      <c r="U37" s="5" t="str">
        <f t="shared" si="2"/>
        <v/>
      </c>
    </row>
    <row r="38" spans="1:21" ht="28" customHeight="1" x14ac:dyDescent="0.35">
      <c r="A38" s="4">
        <v>15</v>
      </c>
      <c r="B38" s="4" t="s">
        <v>103</v>
      </c>
      <c r="C38" s="4" t="s">
        <v>104</v>
      </c>
      <c r="D38" s="4" t="s">
        <v>105</v>
      </c>
      <c r="E38" s="4" t="s">
        <v>69</v>
      </c>
      <c r="F38" s="4" t="s">
        <v>95</v>
      </c>
      <c r="G38" s="4" t="s">
        <v>96</v>
      </c>
      <c r="H38" s="4" t="s">
        <v>85</v>
      </c>
      <c r="I38" s="3"/>
      <c r="J38" s="3"/>
      <c r="K38" s="3"/>
      <c r="L38" s="3"/>
      <c r="M38" s="3"/>
      <c r="N38" s="3"/>
      <c r="O38" s="3"/>
      <c r="P38" s="8"/>
      <c r="Q38" s="8"/>
      <c r="R38" s="3"/>
      <c r="S38" s="3"/>
      <c r="T38" s="3"/>
      <c r="U38" s="5" t="str">
        <f t="shared" si="2"/>
        <v/>
      </c>
    </row>
    <row r="39" spans="1:21" ht="28" customHeight="1" x14ac:dyDescent="0.35">
      <c r="A39" s="4">
        <v>16</v>
      </c>
      <c r="B39" s="4" t="s">
        <v>106</v>
      </c>
      <c r="C39" s="4" t="s">
        <v>107</v>
      </c>
      <c r="D39" s="4" t="s">
        <v>108</v>
      </c>
      <c r="E39" s="4" t="s">
        <v>109</v>
      </c>
      <c r="F39" s="4" t="s">
        <v>95</v>
      </c>
      <c r="G39" s="4" t="s">
        <v>96</v>
      </c>
      <c r="H39" s="4" t="s">
        <v>59</v>
      </c>
      <c r="I39" s="3"/>
      <c r="J39" s="3"/>
      <c r="K39" s="3"/>
      <c r="L39" s="3"/>
      <c r="M39" s="3"/>
      <c r="N39" s="3"/>
      <c r="O39" s="3"/>
      <c r="P39" s="8"/>
      <c r="Q39" s="8"/>
      <c r="R39" s="3"/>
      <c r="S39" s="3"/>
      <c r="T39" s="3"/>
      <c r="U39" s="5" t="str">
        <f t="shared" si="2"/>
        <v/>
      </c>
    </row>
    <row r="41" spans="1:21" ht="28" customHeight="1" x14ac:dyDescent="0.35">
      <c r="A41" s="9" t="s">
        <v>110</v>
      </c>
      <c r="B41" s="16"/>
      <c r="C41" s="17"/>
      <c r="D41" s="17"/>
      <c r="E41" s="17"/>
      <c r="F41" s="17"/>
      <c r="G41" s="17"/>
      <c r="H41" s="17"/>
      <c r="I41" s="17"/>
      <c r="J41" s="17"/>
      <c r="K41" s="17"/>
      <c r="L41" s="17"/>
      <c r="M41" s="17"/>
      <c r="N41" s="17"/>
      <c r="O41" s="17"/>
      <c r="P41" s="17"/>
      <c r="Q41" s="17"/>
      <c r="R41" s="17"/>
      <c r="S41" s="17"/>
      <c r="T41" s="17"/>
      <c r="U41" s="18"/>
    </row>
    <row r="42" spans="1:21" ht="28" customHeight="1" x14ac:dyDescent="0.35">
      <c r="A42" s="19" t="s">
        <v>524</v>
      </c>
      <c r="B42" s="20"/>
      <c r="C42" s="20"/>
      <c r="D42" s="20"/>
      <c r="E42" s="20"/>
      <c r="F42" s="20"/>
      <c r="G42" s="20"/>
      <c r="H42" s="20"/>
      <c r="I42" s="20"/>
      <c r="J42" s="20"/>
      <c r="K42" s="20"/>
      <c r="L42" s="20"/>
      <c r="M42" s="20"/>
      <c r="N42" s="20"/>
      <c r="O42" s="20"/>
      <c r="P42" s="20"/>
      <c r="Q42" s="20"/>
      <c r="R42" s="20"/>
      <c r="S42" s="20"/>
      <c r="T42" s="20"/>
      <c r="U42" s="21"/>
    </row>
    <row r="43" spans="1:21" ht="28" customHeight="1" x14ac:dyDescent="0.35">
      <c r="A43" s="4" t="s">
        <v>31</v>
      </c>
      <c r="B43" s="3" t="s">
        <v>19</v>
      </c>
      <c r="C43" s="4" t="s">
        <v>32</v>
      </c>
      <c r="D43" s="3"/>
      <c r="E43" s="4" t="s">
        <v>33</v>
      </c>
      <c r="F43" s="8"/>
    </row>
    <row r="44" spans="1:21" ht="28" customHeight="1" x14ac:dyDescent="0.35">
      <c r="A44" s="1" t="s">
        <v>34</v>
      </c>
      <c r="B44" s="1" t="s">
        <v>35</v>
      </c>
      <c r="C44" s="1" t="s">
        <v>36</v>
      </c>
      <c r="D44" s="1" t="s">
        <v>37</v>
      </c>
      <c r="E44" s="1" t="s">
        <v>38</v>
      </c>
      <c r="F44" s="1" t="s">
        <v>39</v>
      </c>
      <c r="G44" s="1" t="s">
        <v>40</v>
      </c>
      <c r="H44" s="1" t="s">
        <v>41</v>
      </c>
      <c r="I44" s="1" t="s">
        <v>42</v>
      </c>
      <c r="J44" s="1" t="s">
        <v>43</v>
      </c>
      <c r="K44" s="1" t="s">
        <v>44</v>
      </c>
      <c r="L44" s="1" t="s">
        <v>45</v>
      </c>
      <c r="M44" s="1" t="s">
        <v>46</v>
      </c>
      <c r="N44" s="1" t="s">
        <v>47</v>
      </c>
      <c r="O44" s="1" t="s">
        <v>48</v>
      </c>
      <c r="P44" s="1" t="s">
        <v>4</v>
      </c>
      <c r="Q44" s="1" t="s">
        <v>49</v>
      </c>
      <c r="R44" s="1" t="s">
        <v>50</v>
      </c>
      <c r="S44" s="1" t="s">
        <v>51</v>
      </c>
      <c r="T44" s="1" t="s">
        <v>52</v>
      </c>
      <c r="U44" s="1" t="s">
        <v>10</v>
      </c>
    </row>
    <row r="45" spans="1:21" ht="28" customHeight="1" x14ac:dyDescent="0.35">
      <c r="A45" s="4">
        <v>1</v>
      </c>
      <c r="B45" s="4" t="s">
        <v>53</v>
      </c>
      <c r="C45" s="4" t="s">
        <v>516</v>
      </c>
      <c r="D45" s="4" t="s">
        <v>517</v>
      </c>
      <c r="E45" s="4" t="s">
        <v>56</v>
      </c>
      <c r="F45" s="4" t="s">
        <v>57</v>
      </c>
      <c r="G45" s="4" t="s">
        <v>58</v>
      </c>
      <c r="H45" s="4" t="s">
        <v>59</v>
      </c>
      <c r="I45" s="3"/>
      <c r="J45" s="3"/>
      <c r="K45" s="3"/>
      <c r="L45" s="3"/>
      <c r="M45" s="3"/>
      <c r="N45" s="3"/>
      <c r="O45" s="3"/>
      <c r="P45" s="8"/>
      <c r="Q45" s="8"/>
      <c r="R45" s="3"/>
      <c r="S45" s="3"/>
      <c r="T45" s="3"/>
      <c r="U45" s="5" t="str">
        <f t="shared" ref="U45:U60" si="3">IF(I45="","",IF(I45="NA","Grey",IF(I45=2,"Green",IF(I45=1,"Amber","Red"))))</f>
        <v/>
      </c>
    </row>
    <row r="46" spans="1:21" ht="28" customHeight="1" x14ac:dyDescent="0.35">
      <c r="A46" s="4">
        <v>2</v>
      </c>
      <c r="B46" s="4" t="s">
        <v>53</v>
      </c>
      <c r="C46" s="4" t="s">
        <v>518</v>
      </c>
      <c r="D46" s="4" t="s">
        <v>519</v>
      </c>
      <c r="E46" s="4" t="s">
        <v>56</v>
      </c>
      <c r="F46" s="4" t="s">
        <v>57</v>
      </c>
      <c r="G46" s="4" t="s">
        <v>58</v>
      </c>
      <c r="H46" s="4" t="s">
        <v>59</v>
      </c>
      <c r="I46" s="3"/>
      <c r="J46" s="3"/>
      <c r="K46" s="3"/>
      <c r="L46" s="3"/>
      <c r="M46" s="3"/>
      <c r="N46" s="3"/>
      <c r="O46" s="3"/>
      <c r="P46" s="8"/>
      <c r="Q46" s="8"/>
      <c r="R46" s="3"/>
      <c r="S46" s="3"/>
      <c r="T46" s="3"/>
      <c r="U46" s="5" t="str">
        <f t="shared" si="3"/>
        <v/>
      </c>
    </row>
    <row r="47" spans="1:21" ht="28" customHeight="1" x14ac:dyDescent="0.35">
      <c r="A47" s="4">
        <v>3</v>
      </c>
      <c r="B47" s="4" t="s">
        <v>53</v>
      </c>
      <c r="C47" s="4" t="s">
        <v>520</v>
      </c>
      <c r="D47" s="4" t="s">
        <v>521</v>
      </c>
      <c r="E47" s="4" t="s">
        <v>56</v>
      </c>
      <c r="F47" s="4" t="s">
        <v>57</v>
      </c>
      <c r="G47" s="4" t="s">
        <v>58</v>
      </c>
      <c r="H47" s="4" t="s">
        <v>59</v>
      </c>
      <c r="I47" s="3"/>
      <c r="J47" s="3"/>
      <c r="K47" s="3"/>
      <c r="L47" s="3"/>
      <c r="M47" s="3"/>
      <c r="N47" s="3"/>
      <c r="O47" s="3"/>
      <c r="P47" s="8"/>
      <c r="Q47" s="8"/>
      <c r="R47" s="3"/>
      <c r="S47" s="3"/>
      <c r="T47" s="3"/>
      <c r="U47" s="5" t="str">
        <f t="shared" si="3"/>
        <v/>
      </c>
    </row>
    <row r="48" spans="1:21" ht="28" customHeight="1" x14ac:dyDescent="0.35">
      <c r="A48" s="4">
        <v>4</v>
      </c>
      <c r="B48" s="4" t="s">
        <v>53</v>
      </c>
      <c r="C48" s="4" t="s">
        <v>522</v>
      </c>
      <c r="D48" s="4" t="s">
        <v>523</v>
      </c>
      <c r="E48" s="4" t="s">
        <v>56</v>
      </c>
      <c r="F48" s="4" t="s">
        <v>57</v>
      </c>
      <c r="G48" s="4" t="s">
        <v>58</v>
      </c>
      <c r="H48" s="4" t="s">
        <v>59</v>
      </c>
      <c r="I48" s="3"/>
      <c r="J48" s="3"/>
      <c r="K48" s="3"/>
      <c r="L48" s="3"/>
      <c r="M48" s="3"/>
      <c r="N48" s="3"/>
      <c r="O48" s="3"/>
      <c r="P48" s="8"/>
      <c r="Q48" s="8"/>
      <c r="R48" s="3"/>
      <c r="S48" s="3"/>
      <c r="T48" s="3"/>
      <c r="U48" s="5" t="str">
        <f t="shared" si="3"/>
        <v/>
      </c>
    </row>
    <row r="49" spans="1:21" ht="28" customHeight="1" x14ac:dyDescent="0.35">
      <c r="A49" s="4">
        <v>5</v>
      </c>
      <c r="B49" s="4" t="s">
        <v>66</v>
      </c>
      <c r="C49" s="4" t="s">
        <v>67</v>
      </c>
      <c r="D49" s="4" t="s">
        <v>68</v>
      </c>
      <c r="E49" s="4" t="s">
        <v>69</v>
      </c>
      <c r="F49" s="4" t="s">
        <v>57</v>
      </c>
      <c r="G49" s="4" t="s">
        <v>58</v>
      </c>
      <c r="H49" s="4" t="s">
        <v>59</v>
      </c>
      <c r="I49" s="3"/>
      <c r="J49" s="3"/>
      <c r="K49" s="3"/>
      <c r="L49" s="3"/>
      <c r="M49" s="3"/>
      <c r="N49" s="3"/>
      <c r="O49" s="3"/>
      <c r="P49" s="8"/>
      <c r="Q49" s="8"/>
      <c r="R49" s="3"/>
      <c r="S49" s="3"/>
      <c r="T49" s="3"/>
      <c r="U49" s="5" t="str">
        <f t="shared" si="3"/>
        <v/>
      </c>
    </row>
    <row r="50" spans="1:21" ht="28" customHeight="1" x14ac:dyDescent="0.35">
      <c r="A50" s="4">
        <v>6</v>
      </c>
      <c r="B50" s="4" t="s">
        <v>70</v>
      </c>
      <c r="C50" s="4" t="s">
        <v>71</v>
      </c>
      <c r="D50" s="4" t="s">
        <v>72</v>
      </c>
      <c r="E50" s="4" t="s">
        <v>70</v>
      </c>
      <c r="F50" s="4" t="s">
        <v>57</v>
      </c>
      <c r="G50" s="4" t="s">
        <v>58</v>
      </c>
      <c r="H50" s="4" t="s">
        <v>59</v>
      </c>
      <c r="I50" s="3"/>
      <c r="J50" s="3"/>
      <c r="K50" s="3"/>
      <c r="L50" s="3"/>
      <c r="M50" s="3"/>
      <c r="N50" s="3"/>
      <c r="O50" s="3"/>
      <c r="P50" s="8"/>
      <c r="Q50" s="8"/>
      <c r="R50" s="3"/>
      <c r="S50" s="3"/>
      <c r="T50" s="3"/>
      <c r="U50" s="5" t="str">
        <f t="shared" si="3"/>
        <v/>
      </c>
    </row>
    <row r="51" spans="1:21" ht="28" customHeight="1" x14ac:dyDescent="0.35">
      <c r="A51" s="4">
        <v>7</v>
      </c>
      <c r="B51" s="4" t="s">
        <v>73</v>
      </c>
      <c r="C51" s="4" t="s">
        <v>74</v>
      </c>
      <c r="D51" s="4" t="s">
        <v>75</v>
      </c>
      <c r="E51" s="4" t="s">
        <v>69</v>
      </c>
      <c r="F51" s="4" t="s">
        <v>57</v>
      </c>
      <c r="G51" s="4" t="s">
        <v>58</v>
      </c>
      <c r="H51" s="4" t="s">
        <v>76</v>
      </c>
      <c r="I51" s="3"/>
      <c r="J51" s="3"/>
      <c r="K51" s="3"/>
      <c r="L51" s="3"/>
      <c r="M51" s="3"/>
      <c r="N51" s="3"/>
      <c r="O51" s="3"/>
      <c r="P51" s="8"/>
      <c r="Q51" s="8"/>
      <c r="R51" s="3"/>
      <c r="S51" s="3"/>
      <c r="T51" s="3"/>
      <c r="U51" s="5" t="str">
        <f t="shared" si="3"/>
        <v/>
      </c>
    </row>
    <row r="52" spans="1:21" ht="28" customHeight="1" x14ac:dyDescent="0.35">
      <c r="A52" s="4">
        <v>8</v>
      </c>
      <c r="B52" s="4" t="s">
        <v>77</v>
      </c>
      <c r="C52" s="4" t="s">
        <v>78</v>
      </c>
      <c r="D52" s="4" t="s">
        <v>79</v>
      </c>
      <c r="E52" s="4" t="s">
        <v>80</v>
      </c>
      <c r="F52" s="4" t="s">
        <v>57</v>
      </c>
      <c r="G52" s="4" t="s">
        <v>58</v>
      </c>
      <c r="H52" s="4" t="s">
        <v>59</v>
      </c>
      <c r="I52" s="3"/>
      <c r="J52" s="3"/>
      <c r="K52" s="3"/>
      <c r="L52" s="3"/>
      <c r="M52" s="3"/>
      <c r="N52" s="3"/>
      <c r="O52" s="3"/>
      <c r="P52" s="8"/>
      <c r="Q52" s="8"/>
      <c r="R52" s="3"/>
      <c r="S52" s="3"/>
      <c r="T52" s="3"/>
      <c r="U52" s="5" t="str">
        <f t="shared" si="3"/>
        <v/>
      </c>
    </row>
    <row r="53" spans="1:21" ht="28" customHeight="1" x14ac:dyDescent="0.35">
      <c r="A53" s="4">
        <v>9</v>
      </c>
      <c r="B53" s="4" t="s">
        <v>81</v>
      </c>
      <c r="C53" s="4" t="s">
        <v>82</v>
      </c>
      <c r="D53" s="4" t="s">
        <v>83</v>
      </c>
      <c r="E53" s="4" t="s">
        <v>84</v>
      </c>
      <c r="F53" s="4" t="s">
        <v>57</v>
      </c>
      <c r="G53" s="4" t="s">
        <v>58</v>
      </c>
      <c r="H53" s="4" t="s">
        <v>85</v>
      </c>
      <c r="I53" s="3"/>
      <c r="J53" s="3"/>
      <c r="K53" s="3"/>
      <c r="L53" s="3"/>
      <c r="M53" s="3"/>
      <c r="N53" s="3"/>
      <c r="O53" s="3"/>
      <c r="P53" s="8"/>
      <c r="Q53" s="8"/>
      <c r="R53" s="3"/>
      <c r="S53" s="3"/>
      <c r="T53" s="3"/>
      <c r="U53" s="5" t="str">
        <f t="shared" si="3"/>
        <v/>
      </c>
    </row>
    <row r="54" spans="1:21" ht="28" customHeight="1" x14ac:dyDescent="0.35">
      <c r="A54" s="4">
        <v>10</v>
      </c>
      <c r="B54" s="4" t="s">
        <v>86</v>
      </c>
      <c r="C54" s="4" t="s">
        <v>87</v>
      </c>
      <c r="D54" s="4" t="s">
        <v>88</v>
      </c>
      <c r="E54" s="4" t="s">
        <v>69</v>
      </c>
      <c r="F54" s="4" t="s">
        <v>57</v>
      </c>
      <c r="G54" s="4" t="s">
        <v>58</v>
      </c>
      <c r="H54" s="4" t="s">
        <v>59</v>
      </c>
      <c r="I54" s="3"/>
      <c r="J54" s="3"/>
      <c r="K54" s="3"/>
      <c r="L54" s="3"/>
      <c r="M54" s="3"/>
      <c r="N54" s="3"/>
      <c r="O54" s="3"/>
      <c r="P54" s="8"/>
      <c r="Q54" s="8"/>
      <c r="R54" s="3"/>
      <c r="S54" s="3"/>
      <c r="T54" s="3"/>
      <c r="U54" s="5" t="str">
        <f t="shared" si="3"/>
        <v/>
      </c>
    </row>
    <row r="55" spans="1:21" ht="28" customHeight="1" x14ac:dyDescent="0.35">
      <c r="A55" s="4">
        <v>11</v>
      </c>
      <c r="B55" s="4" t="s">
        <v>89</v>
      </c>
      <c r="C55" s="4" t="s">
        <v>90</v>
      </c>
      <c r="D55" s="4" t="s">
        <v>91</v>
      </c>
      <c r="E55" s="4" t="s">
        <v>84</v>
      </c>
      <c r="F55" s="4" t="s">
        <v>57</v>
      </c>
      <c r="G55" s="4" t="s">
        <v>58</v>
      </c>
      <c r="H55" s="4" t="s">
        <v>59</v>
      </c>
      <c r="I55" s="3"/>
      <c r="J55" s="3"/>
      <c r="K55" s="3"/>
      <c r="L55" s="3"/>
      <c r="M55" s="3"/>
      <c r="N55" s="3"/>
      <c r="O55" s="3"/>
      <c r="P55" s="8"/>
      <c r="Q55" s="8"/>
      <c r="R55" s="3"/>
      <c r="S55" s="3"/>
      <c r="T55" s="3"/>
      <c r="U55" s="5" t="str">
        <f t="shared" si="3"/>
        <v/>
      </c>
    </row>
    <row r="56" spans="1:21" ht="28" customHeight="1" x14ac:dyDescent="0.35">
      <c r="A56" s="4">
        <v>12</v>
      </c>
      <c r="B56" s="4" t="s">
        <v>92</v>
      </c>
      <c r="C56" s="4" t="s">
        <v>93</v>
      </c>
      <c r="D56" s="4" t="s">
        <v>94</v>
      </c>
      <c r="E56" s="4" t="s">
        <v>69</v>
      </c>
      <c r="F56" s="4" t="s">
        <v>95</v>
      </c>
      <c r="G56" s="4" t="s">
        <v>96</v>
      </c>
      <c r="H56" s="4" t="s">
        <v>59</v>
      </c>
      <c r="I56" s="3"/>
      <c r="J56" s="3"/>
      <c r="K56" s="3"/>
      <c r="L56" s="3"/>
      <c r="M56" s="3"/>
      <c r="N56" s="3"/>
      <c r="O56" s="3"/>
      <c r="P56" s="8"/>
      <c r="Q56" s="8"/>
      <c r="R56" s="3"/>
      <c r="S56" s="3"/>
      <c r="T56" s="3"/>
      <c r="U56" s="5" t="str">
        <f t="shared" si="3"/>
        <v/>
      </c>
    </row>
    <row r="57" spans="1:21" ht="28" customHeight="1" x14ac:dyDescent="0.35">
      <c r="A57" s="4">
        <v>13</v>
      </c>
      <c r="B57" s="4" t="s">
        <v>97</v>
      </c>
      <c r="C57" s="4" t="s">
        <v>98</v>
      </c>
      <c r="D57" s="4" t="s">
        <v>99</v>
      </c>
      <c r="E57" s="4" t="s">
        <v>69</v>
      </c>
      <c r="F57" s="4" t="s">
        <v>95</v>
      </c>
      <c r="G57" s="4" t="s">
        <v>96</v>
      </c>
      <c r="H57" s="4" t="s">
        <v>59</v>
      </c>
      <c r="I57" s="3"/>
      <c r="J57" s="3"/>
      <c r="K57" s="3"/>
      <c r="L57" s="3"/>
      <c r="M57" s="3"/>
      <c r="N57" s="3"/>
      <c r="O57" s="3"/>
      <c r="P57" s="8"/>
      <c r="Q57" s="8"/>
      <c r="R57" s="3"/>
      <c r="S57" s="3"/>
      <c r="T57" s="3"/>
      <c r="U57" s="5" t="str">
        <f t="shared" si="3"/>
        <v/>
      </c>
    </row>
    <row r="58" spans="1:21" ht="28" customHeight="1" x14ac:dyDescent="0.35">
      <c r="A58" s="4">
        <v>14</v>
      </c>
      <c r="B58" s="4" t="s">
        <v>97</v>
      </c>
      <c r="C58" s="4" t="s">
        <v>100</v>
      </c>
      <c r="D58" s="4" t="s">
        <v>101</v>
      </c>
      <c r="E58" s="4" t="s">
        <v>69</v>
      </c>
      <c r="F58" s="4" t="s">
        <v>95</v>
      </c>
      <c r="G58" s="4" t="s">
        <v>102</v>
      </c>
      <c r="H58" s="4" t="s">
        <v>59</v>
      </c>
      <c r="I58" s="3"/>
      <c r="J58" s="3"/>
      <c r="K58" s="3"/>
      <c r="L58" s="3"/>
      <c r="M58" s="3"/>
      <c r="N58" s="3"/>
      <c r="O58" s="3"/>
      <c r="P58" s="8"/>
      <c r="Q58" s="8"/>
      <c r="R58" s="3"/>
      <c r="S58" s="3"/>
      <c r="T58" s="3"/>
      <c r="U58" s="5" t="str">
        <f t="shared" si="3"/>
        <v/>
      </c>
    </row>
    <row r="59" spans="1:21" ht="28" customHeight="1" x14ac:dyDescent="0.35">
      <c r="A59" s="4">
        <v>15</v>
      </c>
      <c r="B59" s="4" t="s">
        <v>103</v>
      </c>
      <c r="C59" s="4" t="s">
        <v>104</v>
      </c>
      <c r="D59" s="4" t="s">
        <v>105</v>
      </c>
      <c r="E59" s="4" t="s">
        <v>69</v>
      </c>
      <c r="F59" s="4" t="s">
        <v>95</v>
      </c>
      <c r="G59" s="4" t="s">
        <v>96</v>
      </c>
      <c r="H59" s="4" t="s">
        <v>85</v>
      </c>
      <c r="I59" s="3"/>
      <c r="J59" s="3"/>
      <c r="K59" s="3"/>
      <c r="L59" s="3"/>
      <c r="M59" s="3"/>
      <c r="N59" s="3"/>
      <c r="O59" s="3"/>
      <c r="P59" s="8"/>
      <c r="Q59" s="8"/>
      <c r="R59" s="3"/>
      <c r="S59" s="3"/>
      <c r="T59" s="3"/>
      <c r="U59" s="5" t="str">
        <f t="shared" si="3"/>
        <v/>
      </c>
    </row>
    <row r="60" spans="1:21" ht="28" customHeight="1" x14ac:dyDescent="0.35">
      <c r="A60" s="4">
        <v>16</v>
      </c>
      <c r="B60" s="4" t="s">
        <v>106</v>
      </c>
      <c r="C60" s="4" t="s">
        <v>107</v>
      </c>
      <c r="D60" s="4" t="s">
        <v>108</v>
      </c>
      <c r="E60" s="4" t="s">
        <v>109</v>
      </c>
      <c r="F60" s="4" t="s">
        <v>95</v>
      </c>
      <c r="G60" s="4" t="s">
        <v>96</v>
      </c>
      <c r="H60" s="4" t="s">
        <v>59</v>
      </c>
      <c r="I60" s="3"/>
      <c r="J60" s="3"/>
      <c r="K60" s="3"/>
      <c r="L60" s="3"/>
      <c r="M60" s="3"/>
      <c r="N60" s="3"/>
      <c r="O60" s="3"/>
      <c r="P60" s="8"/>
      <c r="Q60" s="8"/>
      <c r="R60" s="3"/>
      <c r="S60" s="3"/>
      <c r="T60" s="3"/>
      <c r="U60" s="5" t="str">
        <f t="shared" si="3"/>
        <v/>
      </c>
    </row>
    <row r="62" spans="1:21" ht="28" customHeight="1" x14ac:dyDescent="0.35">
      <c r="A62" s="9" t="s">
        <v>110</v>
      </c>
      <c r="B62" s="16"/>
      <c r="C62" s="17"/>
      <c r="D62" s="17"/>
      <c r="E62" s="17"/>
      <c r="F62" s="17"/>
      <c r="G62" s="17"/>
      <c r="H62" s="17"/>
      <c r="I62" s="17"/>
      <c r="J62" s="17"/>
      <c r="K62" s="17"/>
      <c r="L62" s="17"/>
      <c r="M62" s="17"/>
      <c r="N62" s="17"/>
      <c r="O62" s="17"/>
      <c r="P62" s="17"/>
      <c r="Q62" s="17"/>
      <c r="R62" s="17"/>
      <c r="S62" s="17"/>
      <c r="T62" s="17"/>
      <c r="U62" s="18"/>
    </row>
    <row r="63" spans="1:21" ht="28" customHeight="1" x14ac:dyDescent="0.35">
      <c r="A63" s="19" t="s">
        <v>525</v>
      </c>
      <c r="B63" s="20"/>
      <c r="C63" s="20"/>
      <c r="D63" s="20"/>
      <c r="E63" s="20"/>
      <c r="F63" s="20"/>
      <c r="G63" s="20"/>
      <c r="H63" s="20"/>
      <c r="I63" s="20"/>
      <c r="J63" s="20"/>
      <c r="K63" s="20"/>
      <c r="L63" s="20"/>
      <c r="M63" s="20"/>
      <c r="N63" s="20"/>
      <c r="O63" s="20"/>
      <c r="P63" s="20"/>
      <c r="Q63" s="20"/>
      <c r="R63" s="20"/>
      <c r="S63" s="20"/>
      <c r="T63" s="20"/>
      <c r="U63" s="21"/>
    </row>
    <row r="64" spans="1:21" ht="28" customHeight="1" x14ac:dyDescent="0.35">
      <c r="A64" s="4" t="s">
        <v>31</v>
      </c>
      <c r="B64" s="3" t="s">
        <v>20</v>
      </c>
      <c r="C64" s="4" t="s">
        <v>32</v>
      </c>
      <c r="D64" s="3"/>
      <c r="E64" s="4" t="s">
        <v>33</v>
      </c>
      <c r="F64" s="8"/>
    </row>
    <row r="65" spans="1:21" ht="28" customHeight="1" x14ac:dyDescent="0.35">
      <c r="A65" s="1" t="s">
        <v>34</v>
      </c>
      <c r="B65" s="1" t="s">
        <v>35</v>
      </c>
      <c r="C65" s="1" t="s">
        <v>36</v>
      </c>
      <c r="D65" s="1" t="s">
        <v>37</v>
      </c>
      <c r="E65" s="1" t="s">
        <v>38</v>
      </c>
      <c r="F65" s="1" t="s">
        <v>39</v>
      </c>
      <c r="G65" s="1" t="s">
        <v>40</v>
      </c>
      <c r="H65" s="1" t="s">
        <v>41</v>
      </c>
      <c r="I65" s="1" t="s">
        <v>42</v>
      </c>
      <c r="J65" s="1" t="s">
        <v>43</v>
      </c>
      <c r="K65" s="1" t="s">
        <v>44</v>
      </c>
      <c r="L65" s="1" t="s">
        <v>45</v>
      </c>
      <c r="M65" s="1" t="s">
        <v>46</v>
      </c>
      <c r="N65" s="1" t="s">
        <v>47</v>
      </c>
      <c r="O65" s="1" t="s">
        <v>48</v>
      </c>
      <c r="P65" s="1" t="s">
        <v>4</v>
      </c>
      <c r="Q65" s="1" t="s">
        <v>49</v>
      </c>
      <c r="R65" s="1" t="s">
        <v>50</v>
      </c>
      <c r="S65" s="1" t="s">
        <v>51</v>
      </c>
      <c r="T65" s="1" t="s">
        <v>52</v>
      </c>
      <c r="U65" s="1" t="s">
        <v>10</v>
      </c>
    </row>
    <row r="66" spans="1:21" ht="28" customHeight="1" x14ac:dyDescent="0.35">
      <c r="A66" s="4">
        <v>1</v>
      </c>
      <c r="B66" s="4" t="s">
        <v>53</v>
      </c>
      <c r="C66" s="4" t="s">
        <v>516</v>
      </c>
      <c r="D66" s="4" t="s">
        <v>517</v>
      </c>
      <c r="E66" s="4" t="s">
        <v>56</v>
      </c>
      <c r="F66" s="4" t="s">
        <v>57</v>
      </c>
      <c r="G66" s="4" t="s">
        <v>58</v>
      </c>
      <c r="H66" s="4" t="s">
        <v>59</v>
      </c>
      <c r="I66" s="3"/>
      <c r="J66" s="3"/>
      <c r="K66" s="3"/>
      <c r="L66" s="3"/>
      <c r="M66" s="3"/>
      <c r="N66" s="3"/>
      <c r="O66" s="3"/>
      <c r="P66" s="8"/>
      <c r="Q66" s="8"/>
      <c r="R66" s="3"/>
      <c r="S66" s="3"/>
      <c r="T66" s="3"/>
      <c r="U66" s="5" t="str">
        <f t="shared" ref="U66:U81" si="4">IF(I66="","",IF(I66="NA","Grey",IF(I66=2,"Green",IF(I66=1,"Amber","Red"))))</f>
        <v/>
      </c>
    </row>
    <row r="67" spans="1:21" ht="28" customHeight="1" x14ac:dyDescent="0.35">
      <c r="A67" s="4">
        <v>2</v>
      </c>
      <c r="B67" s="4" t="s">
        <v>53</v>
      </c>
      <c r="C67" s="4" t="s">
        <v>518</v>
      </c>
      <c r="D67" s="4" t="s">
        <v>519</v>
      </c>
      <c r="E67" s="4" t="s">
        <v>56</v>
      </c>
      <c r="F67" s="4" t="s">
        <v>57</v>
      </c>
      <c r="G67" s="4" t="s">
        <v>58</v>
      </c>
      <c r="H67" s="4" t="s">
        <v>59</v>
      </c>
      <c r="I67" s="3"/>
      <c r="J67" s="3"/>
      <c r="K67" s="3"/>
      <c r="L67" s="3"/>
      <c r="M67" s="3"/>
      <c r="N67" s="3"/>
      <c r="O67" s="3"/>
      <c r="P67" s="8"/>
      <c r="Q67" s="8"/>
      <c r="R67" s="3"/>
      <c r="S67" s="3"/>
      <c r="T67" s="3"/>
      <c r="U67" s="5" t="str">
        <f t="shared" si="4"/>
        <v/>
      </c>
    </row>
    <row r="68" spans="1:21" ht="28" customHeight="1" x14ac:dyDescent="0.35">
      <c r="A68" s="4">
        <v>3</v>
      </c>
      <c r="B68" s="4" t="s">
        <v>53</v>
      </c>
      <c r="C68" s="4" t="s">
        <v>520</v>
      </c>
      <c r="D68" s="4" t="s">
        <v>521</v>
      </c>
      <c r="E68" s="4" t="s">
        <v>56</v>
      </c>
      <c r="F68" s="4" t="s">
        <v>57</v>
      </c>
      <c r="G68" s="4" t="s">
        <v>58</v>
      </c>
      <c r="H68" s="4" t="s">
        <v>59</v>
      </c>
      <c r="I68" s="3"/>
      <c r="J68" s="3"/>
      <c r="K68" s="3"/>
      <c r="L68" s="3"/>
      <c r="M68" s="3"/>
      <c r="N68" s="3"/>
      <c r="O68" s="3"/>
      <c r="P68" s="8"/>
      <c r="Q68" s="8"/>
      <c r="R68" s="3"/>
      <c r="S68" s="3"/>
      <c r="T68" s="3"/>
      <c r="U68" s="5" t="str">
        <f t="shared" si="4"/>
        <v/>
      </c>
    </row>
    <row r="69" spans="1:21" ht="28" customHeight="1" x14ac:dyDescent="0.35">
      <c r="A69" s="4">
        <v>4</v>
      </c>
      <c r="B69" s="4" t="s">
        <v>53</v>
      </c>
      <c r="C69" s="4" t="s">
        <v>522</v>
      </c>
      <c r="D69" s="4" t="s">
        <v>523</v>
      </c>
      <c r="E69" s="4" t="s">
        <v>56</v>
      </c>
      <c r="F69" s="4" t="s">
        <v>57</v>
      </c>
      <c r="G69" s="4" t="s">
        <v>58</v>
      </c>
      <c r="H69" s="4" t="s">
        <v>59</v>
      </c>
      <c r="I69" s="3"/>
      <c r="J69" s="3"/>
      <c r="K69" s="3"/>
      <c r="L69" s="3"/>
      <c r="M69" s="3"/>
      <c r="N69" s="3"/>
      <c r="O69" s="3"/>
      <c r="P69" s="8"/>
      <c r="Q69" s="8"/>
      <c r="R69" s="3"/>
      <c r="S69" s="3"/>
      <c r="T69" s="3"/>
      <c r="U69" s="5" t="str">
        <f t="shared" si="4"/>
        <v/>
      </c>
    </row>
    <row r="70" spans="1:21" ht="28" customHeight="1" x14ac:dyDescent="0.35">
      <c r="A70" s="4">
        <v>5</v>
      </c>
      <c r="B70" s="4" t="s">
        <v>66</v>
      </c>
      <c r="C70" s="4" t="s">
        <v>67</v>
      </c>
      <c r="D70" s="4" t="s">
        <v>68</v>
      </c>
      <c r="E70" s="4" t="s">
        <v>69</v>
      </c>
      <c r="F70" s="4" t="s">
        <v>57</v>
      </c>
      <c r="G70" s="4" t="s">
        <v>58</v>
      </c>
      <c r="H70" s="4" t="s">
        <v>59</v>
      </c>
      <c r="I70" s="3"/>
      <c r="J70" s="3"/>
      <c r="K70" s="3"/>
      <c r="L70" s="3"/>
      <c r="M70" s="3"/>
      <c r="N70" s="3"/>
      <c r="O70" s="3"/>
      <c r="P70" s="8"/>
      <c r="Q70" s="8"/>
      <c r="R70" s="3"/>
      <c r="S70" s="3"/>
      <c r="T70" s="3"/>
      <c r="U70" s="5" t="str">
        <f t="shared" si="4"/>
        <v/>
      </c>
    </row>
    <row r="71" spans="1:21" ht="28" customHeight="1" x14ac:dyDescent="0.35">
      <c r="A71" s="4">
        <v>6</v>
      </c>
      <c r="B71" s="4" t="s">
        <v>70</v>
      </c>
      <c r="C71" s="4" t="s">
        <v>71</v>
      </c>
      <c r="D71" s="4" t="s">
        <v>72</v>
      </c>
      <c r="E71" s="4" t="s">
        <v>70</v>
      </c>
      <c r="F71" s="4" t="s">
        <v>57</v>
      </c>
      <c r="G71" s="4" t="s">
        <v>58</v>
      </c>
      <c r="H71" s="4" t="s">
        <v>59</v>
      </c>
      <c r="I71" s="3"/>
      <c r="J71" s="3"/>
      <c r="K71" s="3"/>
      <c r="L71" s="3"/>
      <c r="M71" s="3"/>
      <c r="N71" s="3"/>
      <c r="O71" s="3"/>
      <c r="P71" s="8"/>
      <c r="Q71" s="8"/>
      <c r="R71" s="3"/>
      <c r="S71" s="3"/>
      <c r="T71" s="3"/>
      <c r="U71" s="5" t="str">
        <f t="shared" si="4"/>
        <v/>
      </c>
    </row>
    <row r="72" spans="1:21" ht="28" customHeight="1" x14ac:dyDescent="0.35">
      <c r="A72" s="4">
        <v>7</v>
      </c>
      <c r="B72" s="4" t="s">
        <v>73</v>
      </c>
      <c r="C72" s="4" t="s">
        <v>74</v>
      </c>
      <c r="D72" s="4" t="s">
        <v>75</v>
      </c>
      <c r="E72" s="4" t="s">
        <v>69</v>
      </c>
      <c r="F72" s="4" t="s">
        <v>57</v>
      </c>
      <c r="G72" s="4" t="s">
        <v>58</v>
      </c>
      <c r="H72" s="4" t="s">
        <v>76</v>
      </c>
      <c r="I72" s="3"/>
      <c r="J72" s="3"/>
      <c r="K72" s="3"/>
      <c r="L72" s="3"/>
      <c r="M72" s="3"/>
      <c r="N72" s="3"/>
      <c r="O72" s="3"/>
      <c r="P72" s="8"/>
      <c r="Q72" s="8"/>
      <c r="R72" s="3"/>
      <c r="S72" s="3"/>
      <c r="T72" s="3"/>
      <c r="U72" s="5" t="str">
        <f t="shared" si="4"/>
        <v/>
      </c>
    </row>
    <row r="73" spans="1:21" ht="28" customHeight="1" x14ac:dyDescent="0.35">
      <c r="A73" s="4">
        <v>8</v>
      </c>
      <c r="B73" s="4" t="s">
        <v>77</v>
      </c>
      <c r="C73" s="4" t="s">
        <v>78</v>
      </c>
      <c r="D73" s="4" t="s">
        <v>79</v>
      </c>
      <c r="E73" s="4" t="s">
        <v>80</v>
      </c>
      <c r="F73" s="4" t="s">
        <v>57</v>
      </c>
      <c r="G73" s="4" t="s">
        <v>58</v>
      </c>
      <c r="H73" s="4" t="s">
        <v>59</v>
      </c>
      <c r="I73" s="3"/>
      <c r="J73" s="3"/>
      <c r="K73" s="3"/>
      <c r="L73" s="3"/>
      <c r="M73" s="3"/>
      <c r="N73" s="3"/>
      <c r="O73" s="3"/>
      <c r="P73" s="8"/>
      <c r="Q73" s="8"/>
      <c r="R73" s="3"/>
      <c r="S73" s="3"/>
      <c r="T73" s="3"/>
      <c r="U73" s="5" t="str">
        <f t="shared" si="4"/>
        <v/>
      </c>
    </row>
    <row r="74" spans="1:21" ht="28" customHeight="1" x14ac:dyDescent="0.35">
      <c r="A74" s="4">
        <v>9</v>
      </c>
      <c r="B74" s="4" t="s">
        <v>81</v>
      </c>
      <c r="C74" s="4" t="s">
        <v>82</v>
      </c>
      <c r="D74" s="4" t="s">
        <v>83</v>
      </c>
      <c r="E74" s="4" t="s">
        <v>84</v>
      </c>
      <c r="F74" s="4" t="s">
        <v>57</v>
      </c>
      <c r="G74" s="4" t="s">
        <v>58</v>
      </c>
      <c r="H74" s="4" t="s">
        <v>85</v>
      </c>
      <c r="I74" s="3"/>
      <c r="J74" s="3"/>
      <c r="K74" s="3"/>
      <c r="L74" s="3"/>
      <c r="M74" s="3"/>
      <c r="N74" s="3"/>
      <c r="O74" s="3"/>
      <c r="P74" s="8"/>
      <c r="Q74" s="8"/>
      <c r="R74" s="3"/>
      <c r="S74" s="3"/>
      <c r="T74" s="3"/>
      <c r="U74" s="5" t="str">
        <f t="shared" si="4"/>
        <v/>
      </c>
    </row>
    <row r="75" spans="1:21" ht="28" customHeight="1" x14ac:dyDescent="0.35">
      <c r="A75" s="4">
        <v>10</v>
      </c>
      <c r="B75" s="4" t="s">
        <v>86</v>
      </c>
      <c r="C75" s="4" t="s">
        <v>87</v>
      </c>
      <c r="D75" s="4" t="s">
        <v>88</v>
      </c>
      <c r="E75" s="4" t="s">
        <v>69</v>
      </c>
      <c r="F75" s="4" t="s">
        <v>57</v>
      </c>
      <c r="G75" s="4" t="s">
        <v>58</v>
      </c>
      <c r="H75" s="4" t="s">
        <v>59</v>
      </c>
      <c r="I75" s="3"/>
      <c r="J75" s="3"/>
      <c r="K75" s="3"/>
      <c r="L75" s="3"/>
      <c r="M75" s="3"/>
      <c r="N75" s="3"/>
      <c r="O75" s="3"/>
      <c r="P75" s="8"/>
      <c r="Q75" s="8"/>
      <c r="R75" s="3"/>
      <c r="S75" s="3"/>
      <c r="T75" s="3"/>
      <c r="U75" s="5" t="str">
        <f t="shared" si="4"/>
        <v/>
      </c>
    </row>
    <row r="76" spans="1:21" ht="28" customHeight="1" x14ac:dyDescent="0.35">
      <c r="A76" s="4">
        <v>11</v>
      </c>
      <c r="B76" s="4" t="s">
        <v>89</v>
      </c>
      <c r="C76" s="4" t="s">
        <v>90</v>
      </c>
      <c r="D76" s="4" t="s">
        <v>91</v>
      </c>
      <c r="E76" s="4" t="s">
        <v>84</v>
      </c>
      <c r="F76" s="4" t="s">
        <v>57</v>
      </c>
      <c r="G76" s="4" t="s">
        <v>58</v>
      </c>
      <c r="H76" s="4" t="s">
        <v>59</v>
      </c>
      <c r="I76" s="3"/>
      <c r="J76" s="3"/>
      <c r="K76" s="3"/>
      <c r="L76" s="3"/>
      <c r="M76" s="3"/>
      <c r="N76" s="3"/>
      <c r="O76" s="3"/>
      <c r="P76" s="8"/>
      <c r="Q76" s="8"/>
      <c r="R76" s="3"/>
      <c r="S76" s="3"/>
      <c r="T76" s="3"/>
      <c r="U76" s="5" t="str">
        <f t="shared" si="4"/>
        <v/>
      </c>
    </row>
    <row r="77" spans="1:21" ht="28" customHeight="1" x14ac:dyDescent="0.35">
      <c r="A77" s="4">
        <v>12</v>
      </c>
      <c r="B77" s="4" t="s">
        <v>92</v>
      </c>
      <c r="C77" s="4" t="s">
        <v>93</v>
      </c>
      <c r="D77" s="4" t="s">
        <v>94</v>
      </c>
      <c r="E77" s="4" t="s">
        <v>69</v>
      </c>
      <c r="F77" s="4" t="s">
        <v>95</v>
      </c>
      <c r="G77" s="4" t="s">
        <v>96</v>
      </c>
      <c r="H77" s="4" t="s">
        <v>59</v>
      </c>
      <c r="I77" s="3"/>
      <c r="J77" s="3"/>
      <c r="K77" s="3"/>
      <c r="L77" s="3"/>
      <c r="M77" s="3"/>
      <c r="N77" s="3"/>
      <c r="O77" s="3"/>
      <c r="P77" s="8"/>
      <c r="Q77" s="8"/>
      <c r="R77" s="3"/>
      <c r="S77" s="3"/>
      <c r="T77" s="3"/>
      <c r="U77" s="5" t="str">
        <f t="shared" si="4"/>
        <v/>
      </c>
    </row>
    <row r="78" spans="1:21" ht="28" customHeight="1" x14ac:dyDescent="0.35">
      <c r="A78" s="4">
        <v>13</v>
      </c>
      <c r="B78" s="4" t="s">
        <v>97</v>
      </c>
      <c r="C78" s="4" t="s">
        <v>98</v>
      </c>
      <c r="D78" s="4" t="s">
        <v>99</v>
      </c>
      <c r="E78" s="4" t="s">
        <v>69</v>
      </c>
      <c r="F78" s="4" t="s">
        <v>95</v>
      </c>
      <c r="G78" s="4" t="s">
        <v>96</v>
      </c>
      <c r="H78" s="4" t="s">
        <v>59</v>
      </c>
      <c r="I78" s="3"/>
      <c r="J78" s="3"/>
      <c r="K78" s="3"/>
      <c r="L78" s="3"/>
      <c r="M78" s="3"/>
      <c r="N78" s="3"/>
      <c r="O78" s="3"/>
      <c r="P78" s="8"/>
      <c r="Q78" s="8"/>
      <c r="R78" s="3"/>
      <c r="S78" s="3"/>
      <c r="T78" s="3"/>
      <c r="U78" s="5" t="str">
        <f t="shared" si="4"/>
        <v/>
      </c>
    </row>
    <row r="79" spans="1:21" ht="28" customHeight="1" x14ac:dyDescent="0.35">
      <c r="A79" s="4">
        <v>14</v>
      </c>
      <c r="B79" s="4" t="s">
        <v>97</v>
      </c>
      <c r="C79" s="4" t="s">
        <v>100</v>
      </c>
      <c r="D79" s="4" t="s">
        <v>101</v>
      </c>
      <c r="E79" s="4" t="s">
        <v>69</v>
      </c>
      <c r="F79" s="4" t="s">
        <v>95</v>
      </c>
      <c r="G79" s="4" t="s">
        <v>102</v>
      </c>
      <c r="H79" s="4" t="s">
        <v>59</v>
      </c>
      <c r="I79" s="3"/>
      <c r="J79" s="3"/>
      <c r="K79" s="3"/>
      <c r="L79" s="3"/>
      <c r="M79" s="3"/>
      <c r="N79" s="3"/>
      <c r="O79" s="3"/>
      <c r="P79" s="8"/>
      <c r="Q79" s="8"/>
      <c r="R79" s="3"/>
      <c r="S79" s="3"/>
      <c r="T79" s="3"/>
      <c r="U79" s="5" t="str">
        <f t="shared" si="4"/>
        <v/>
      </c>
    </row>
    <row r="80" spans="1:21" ht="28" customHeight="1" x14ac:dyDescent="0.35">
      <c r="A80" s="4">
        <v>15</v>
      </c>
      <c r="B80" s="4" t="s">
        <v>103</v>
      </c>
      <c r="C80" s="4" t="s">
        <v>104</v>
      </c>
      <c r="D80" s="4" t="s">
        <v>105</v>
      </c>
      <c r="E80" s="4" t="s">
        <v>69</v>
      </c>
      <c r="F80" s="4" t="s">
        <v>95</v>
      </c>
      <c r="G80" s="4" t="s">
        <v>96</v>
      </c>
      <c r="H80" s="4" t="s">
        <v>85</v>
      </c>
      <c r="I80" s="3"/>
      <c r="J80" s="3"/>
      <c r="K80" s="3"/>
      <c r="L80" s="3"/>
      <c r="M80" s="3"/>
      <c r="N80" s="3"/>
      <c r="O80" s="3"/>
      <c r="P80" s="8"/>
      <c r="Q80" s="8"/>
      <c r="R80" s="3"/>
      <c r="S80" s="3"/>
      <c r="T80" s="3"/>
      <c r="U80" s="5" t="str">
        <f t="shared" si="4"/>
        <v/>
      </c>
    </row>
    <row r="81" spans="1:21" ht="28" customHeight="1" x14ac:dyDescent="0.35">
      <c r="A81" s="4">
        <v>16</v>
      </c>
      <c r="B81" s="4" t="s">
        <v>106</v>
      </c>
      <c r="C81" s="4" t="s">
        <v>107</v>
      </c>
      <c r="D81" s="4" t="s">
        <v>108</v>
      </c>
      <c r="E81" s="4" t="s">
        <v>109</v>
      </c>
      <c r="F81" s="4" t="s">
        <v>95</v>
      </c>
      <c r="G81" s="4" t="s">
        <v>96</v>
      </c>
      <c r="H81" s="4" t="s">
        <v>59</v>
      </c>
      <c r="I81" s="3"/>
      <c r="J81" s="3"/>
      <c r="K81" s="3"/>
      <c r="L81" s="3"/>
      <c r="M81" s="3"/>
      <c r="N81" s="3"/>
      <c r="O81" s="3"/>
      <c r="P81" s="8"/>
      <c r="Q81" s="8"/>
      <c r="R81" s="3"/>
      <c r="S81" s="3"/>
      <c r="T81" s="3"/>
      <c r="U81" s="5" t="str">
        <f t="shared" si="4"/>
        <v/>
      </c>
    </row>
    <row r="83" spans="1:21" ht="28" customHeight="1" x14ac:dyDescent="0.35">
      <c r="A83" s="9" t="s">
        <v>110</v>
      </c>
      <c r="B83" s="16"/>
      <c r="C83" s="17"/>
      <c r="D83" s="17"/>
      <c r="E83" s="17"/>
      <c r="F83" s="17"/>
      <c r="G83" s="17"/>
      <c r="H83" s="17"/>
      <c r="I83" s="17"/>
      <c r="J83" s="17"/>
      <c r="K83" s="17"/>
      <c r="L83" s="17"/>
      <c r="M83" s="17"/>
      <c r="N83" s="17"/>
      <c r="O83" s="17"/>
      <c r="P83" s="17"/>
      <c r="Q83" s="17"/>
      <c r="R83" s="17"/>
      <c r="S83" s="17"/>
      <c r="T83" s="17"/>
      <c r="U83" s="18"/>
    </row>
    <row r="84" spans="1:21" ht="28" customHeight="1" x14ac:dyDescent="0.35">
      <c r="A84" s="19" t="s">
        <v>526</v>
      </c>
      <c r="B84" s="20"/>
      <c r="C84" s="20"/>
      <c r="D84" s="20"/>
      <c r="E84" s="20"/>
      <c r="F84" s="20"/>
      <c r="G84" s="20"/>
      <c r="H84" s="20"/>
      <c r="I84" s="20"/>
      <c r="J84" s="20"/>
      <c r="K84" s="20"/>
      <c r="L84" s="20"/>
      <c r="M84" s="20"/>
      <c r="N84" s="20"/>
      <c r="O84" s="20"/>
      <c r="P84" s="20"/>
      <c r="Q84" s="20"/>
      <c r="R84" s="20"/>
      <c r="S84" s="20"/>
      <c r="T84" s="20"/>
      <c r="U84" s="21"/>
    </row>
    <row r="85" spans="1:21" ht="28" customHeight="1" x14ac:dyDescent="0.35">
      <c r="A85" s="4" t="s">
        <v>31</v>
      </c>
      <c r="B85" s="3" t="s">
        <v>21</v>
      </c>
      <c r="C85" s="4" t="s">
        <v>32</v>
      </c>
      <c r="D85" s="3"/>
      <c r="E85" s="4" t="s">
        <v>33</v>
      </c>
      <c r="F85" s="8"/>
    </row>
    <row r="86" spans="1:21" ht="28" customHeight="1" x14ac:dyDescent="0.35">
      <c r="A86" s="1" t="s">
        <v>34</v>
      </c>
      <c r="B86" s="1" t="s">
        <v>35</v>
      </c>
      <c r="C86" s="1" t="s">
        <v>36</v>
      </c>
      <c r="D86" s="1" t="s">
        <v>37</v>
      </c>
      <c r="E86" s="1" t="s">
        <v>38</v>
      </c>
      <c r="F86" s="1" t="s">
        <v>39</v>
      </c>
      <c r="G86" s="1" t="s">
        <v>40</v>
      </c>
      <c r="H86" s="1" t="s">
        <v>41</v>
      </c>
      <c r="I86" s="1" t="s">
        <v>42</v>
      </c>
      <c r="J86" s="1" t="s">
        <v>43</v>
      </c>
      <c r="K86" s="1" t="s">
        <v>44</v>
      </c>
      <c r="L86" s="1" t="s">
        <v>45</v>
      </c>
      <c r="M86" s="1" t="s">
        <v>46</v>
      </c>
      <c r="N86" s="1" t="s">
        <v>47</v>
      </c>
      <c r="O86" s="1" t="s">
        <v>48</v>
      </c>
      <c r="P86" s="1" t="s">
        <v>4</v>
      </c>
      <c r="Q86" s="1" t="s">
        <v>49</v>
      </c>
      <c r="R86" s="1" t="s">
        <v>50</v>
      </c>
      <c r="S86" s="1" t="s">
        <v>51</v>
      </c>
      <c r="T86" s="1" t="s">
        <v>52</v>
      </c>
      <c r="U86" s="1" t="s">
        <v>10</v>
      </c>
    </row>
    <row r="87" spans="1:21" ht="28" customHeight="1" x14ac:dyDescent="0.35">
      <c r="A87" s="4">
        <v>1</v>
      </c>
      <c r="B87" s="4" t="s">
        <v>53</v>
      </c>
      <c r="C87" s="4" t="s">
        <v>516</v>
      </c>
      <c r="D87" s="4" t="s">
        <v>517</v>
      </c>
      <c r="E87" s="4" t="s">
        <v>56</v>
      </c>
      <c r="F87" s="4" t="s">
        <v>57</v>
      </c>
      <c r="G87" s="4" t="s">
        <v>58</v>
      </c>
      <c r="H87" s="4" t="s">
        <v>59</v>
      </c>
      <c r="I87" s="3"/>
      <c r="J87" s="3"/>
      <c r="K87" s="3"/>
      <c r="L87" s="3"/>
      <c r="M87" s="3"/>
      <c r="N87" s="3"/>
      <c r="O87" s="3"/>
      <c r="P87" s="8"/>
      <c r="Q87" s="8"/>
      <c r="R87" s="3"/>
      <c r="S87" s="3"/>
      <c r="T87" s="3"/>
      <c r="U87" s="5" t="str">
        <f t="shared" ref="U87:U102" si="5">IF(I87="","",IF(I87="NA","Grey",IF(I87=2,"Green",IF(I87=1,"Amber","Red"))))</f>
        <v/>
      </c>
    </row>
    <row r="88" spans="1:21" ht="28" customHeight="1" x14ac:dyDescent="0.35">
      <c r="A88" s="4">
        <v>2</v>
      </c>
      <c r="B88" s="4" t="s">
        <v>53</v>
      </c>
      <c r="C88" s="4" t="s">
        <v>518</v>
      </c>
      <c r="D88" s="4" t="s">
        <v>519</v>
      </c>
      <c r="E88" s="4" t="s">
        <v>56</v>
      </c>
      <c r="F88" s="4" t="s">
        <v>57</v>
      </c>
      <c r="G88" s="4" t="s">
        <v>58</v>
      </c>
      <c r="H88" s="4" t="s">
        <v>59</v>
      </c>
      <c r="I88" s="3"/>
      <c r="J88" s="3"/>
      <c r="K88" s="3"/>
      <c r="L88" s="3"/>
      <c r="M88" s="3"/>
      <c r="N88" s="3"/>
      <c r="O88" s="3"/>
      <c r="P88" s="8"/>
      <c r="Q88" s="8"/>
      <c r="R88" s="3"/>
      <c r="S88" s="3"/>
      <c r="T88" s="3"/>
      <c r="U88" s="5" t="str">
        <f t="shared" si="5"/>
        <v/>
      </c>
    </row>
    <row r="89" spans="1:21" ht="28" customHeight="1" x14ac:dyDescent="0.35">
      <c r="A89" s="4">
        <v>3</v>
      </c>
      <c r="B89" s="4" t="s">
        <v>53</v>
      </c>
      <c r="C89" s="4" t="s">
        <v>520</v>
      </c>
      <c r="D89" s="4" t="s">
        <v>521</v>
      </c>
      <c r="E89" s="4" t="s">
        <v>56</v>
      </c>
      <c r="F89" s="4" t="s">
        <v>57</v>
      </c>
      <c r="G89" s="4" t="s">
        <v>58</v>
      </c>
      <c r="H89" s="4" t="s">
        <v>59</v>
      </c>
      <c r="I89" s="3"/>
      <c r="J89" s="3"/>
      <c r="K89" s="3"/>
      <c r="L89" s="3"/>
      <c r="M89" s="3"/>
      <c r="N89" s="3"/>
      <c r="O89" s="3"/>
      <c r="P89" s="8"/>
      <c r="Q89" s="8"/>
      <c r="R89" s="3"/>
      <c r="S89" s="3"/>
      <c r="T89" s="3"/>
      <c r="U89" s="5" t="str">
        <f t="shared" si="5"/>
        <v/>
      </c>
    </row>
    <row r="90" spans="1:21" ht="28" customHeight="1" x14ac:dyDescent="0.35">
      <c r="A90" s="4">
        <v>4</v>
      </c>
      <c r="B90" s="4" t="s">
        <v>53</v>
      </c>
      <c r="C90" s="4" t="s">
        <v>522</v>
      </c>
      <c r="D90" s="4" t="s">
        <v>523</v>
      </c>
      <c r="E90" s="4" t="s">
        <v>56</v>
      </c>
      <c r="F90" s="4" t="s">
        <v>57</v>
      </c>
      <c r="G90" s="4" t="s">
        <v>58</v>
      </c>
      <c r="H90" s="4" t="s">
        <v>59</v>
      </c>
      <c r="I90" s="3"/>
      <c r="J90" s="3"/>
      <c r="K90" s="3"/>
      <c r="L90" s="3"/>
      <c r="M90" s="3"/>
      <c r="N90" s="3"/>
      <c r="O90" s="3"/>
      <c r="P90" s="8"/>
      <c r="Q90" s="8"/>
      <c r="R90" s="3"/>
      <c r="S90" s="3"/>
      <c r="T90" s="3"/>
      <c r="U90" s="5" t="str">
        <f t="shared" si="5"/>
        <v/>
      </c>
    </row>
    <row r="91" spans="1:21" ht="28" customHeight="1" x14ac:dyDescent="0.35">
      <c r="A91" s="4">
        <v>5</v>
      </c>
      <c r="B91" s="4" t="s">
        <v>66</v>
      </c>
      <c r="C91" s="4" t="s">
        <v>67</v>
      </c>
      <c r="D91" s="4" t="s">
        <v>68</v>
      </c>
      <c r="E91" s="4" t="s">
        <v>69</v>
      </c>
      <c r="F91" s="4" t="s">
        <v>57</v>
      </c>
      <c r="G91" s="4" t="s">
        <v>58</v>
      </c>
      <c r="H91" s="4" t="s">
        <v>59</v>
      </c>
      <c r="I91" s="3"/>
      <c r="J91" s="3"/>
      <c r="K91" s="3"/>
      <c r="L91" s="3"/>
      <c r="M91" s="3"/>
      <c r="N91" s="3"/>
      <c r="O91" s="3"/>
      <c r="P91" s="8"/>
      <c r="Q91" s="8"/>
      <c r="R91" s="3"/>
      <c r="S91" s="3"/>
      <c r="T91" s="3"/>
      <c r="U91" s="5" t="str">
        <f t="shared" si="5"/>
        <v/>
      </c>
    </row>
    <row r="92" spans="1:21" ht="28" customHeight="1" x14ac:dyDescent="0.35">
      <c r="A92" s="4">
        <v>6</v>
      </c>
      <c r="B92" s="4" t="s">
        <v>70</v>
      </c>
      <c r="C92" s="4" t="s">
        <v>71</v>
      </c>
      <c r="D92" s="4" t="s">
        <v>72</v>
      </c>
      <c r="E92" s="4" t="s">
        <v>70</v>
      </c>
      <c r="F92" s="4" t="s">
        <v>57</v>
      </c>
      <c r="G92" s="4" t="s">
        <v>58</v>
      </c>
      <c r="H92" s="4" t="s">
        <v>59</v>
      </c>
      <c r="I92" s="3"/>
      <c r="J92" s="3"/>
      <c r="K92" s="3"/>
      <c r="L92" s="3"/>
      <c r="M92" s="3"/>
      <c r="N92" s="3"/>
      <c r="O92" s="3"/>
      <c r="P92" s="8"/>
      <c r="Q92" s="8"/>
      <c r="R92" s="3"/>
      <c r="S92" s="3"/>
      <c r="T92" s="3"/>
      <c r="U92" s="5" t="str">
        <f t="shared" si="5"/>
        <v/>
      </c>
    </row>
    <row r="93" spans="1:21" ht="28" customHeight="1" x14ac:dyDescent="0.35">
      <c r="A93" s="4">
        <v>7</v>
      </c>
      <c r="B93" s="4" t="s">
        <v>73</v>
      </c>
      <c r="C93" s="4" t="s">
        <v>74</v>
      </c>
      <c r="D93" s="4" t="s">
        <v>75</v>
      </c>
      <c r="E93" s="4" t="s">
        <v>69</v>
      </c>
      <c r="F93" s="4" t="s">
        <v>57</v>
      </c>
      <c r="G93" s="4" t="s">
        <v>58</v>
      </c>
      <c r="H93" s="4" t="s">
        <v>76</v>
      </c>
      <c r="I93" s="3"/>
      <c r="J93" s="3"/>
      <c r="K93" s="3"/>
      <c r="L93" s="3"/>
      <c r="M93" s="3"/>
      <c r="N93" s="3"/>
      <c r="O93" s="3"/>
      <c r="P93" s="8"/>
      <c r="Q93" s="8"/>
      <c r="R93" s="3"/>
      <c r="S93" s="3"/>
      <c r="T93" s="3"/>
      <c r="U93" s="5" t="str">
        <f t="shared" si="5"/>
        <v/>
      </c>
    </row>
    <row r="94" spans="1:21" ht="28" customHeight="1" x14ac:dyDescent="0.35">
      <c r="A94" s="4">
        <v>8</v>
      </c>
      <c r="B94" s="4" t="s">
        <v>77</v>
      </c>
      <c r="C94" s="4" t="s">
        <v>78</v>
      </c>
      <c r="D94" s="4" t="s">
        <v>79</v>
      </c>
      <c r="E94" s="4" t="s">
        <v>80</v>
      </c>
      <c r="F94" s="4" t="s">
        <v>57</v>
      </c>
      <c r="G94" s="4" t="s">
        <v>58</v>
      </c>
      <c r="H94" s="4" t="s">
        <v>59</v>
      </c>
      <c r="I94" s="3"/>
      <c r="J94" s="3"/>
      <c r="K94" s="3"/>
      <c r="L94" s="3"/>
      <c r="M94" s="3"/>
      <c r="N94" s="3"/>
      <c r="O94" s="3"/>
      <c r="P94" s="8"/>
      <c r="Q94" s="8"/>
      <c r="R94" s="3"/>
      <c r="S94" s="3"/>
      <c r="T94" s="3"/>
      <c r="U94" s="5" t="str">
        <f t="shared" si="5"/>
        <v/>
      </c>
    </row>
    <row r="95" spans="1:21" ht="28" customHeight="1" x14ac:dyDescent="0.35">
      <c r="A95" s="4">
        <v>9</v>
      </c>
      <c r="B95" s="4" t="s">
        <v>81</v>
      </c>
      <c r="C95" s="4" t="s">
        <v>82</v>
      </c>
      <c r="D95" s="4" t="s">
        <v>83</v>
      </c>
      <c r="E95" s="4" t="s">
        <v>84</v>
      </c>
      <c r="F95" s="4" t="s">
        <v>57</v>
      </c>
      <c r="G95" s="4" t="s">
        <v>58</v>
      </c>
      <c r="H95" s="4" t="s">
        <v>85</v>
      </c>
      <c r="I95" s="3"/>
      <c r="J95" s="3"/>
      <c r="K95" s="3"/>
      <c r="L95" s="3"/>
      <c r="M95" s="3"/>
      <c r="N95" s="3"/>
      <c r="O95" s="3"/>
      <c r="P95" s="8"/>
      <c r="Q95" s="8"/>
      <c r="R95" s="3"/>
      <c r="S95" s="3"/>
      <c r="T95" s="3"/>
      <c r="U95" s="5" t="str">
        <f t="shared" si="5"/>
        <v/>
      </c>
    </row>
    <row r="96" spans="1:21" ht="28" customHeight="1" x14ac:dyDescent="0.35">
      <c r="A96" s="4">
        <v>10</v>
      </c>
      <c r="B96" s="4" t="s">
        <v>86</v>
      </c>
      <c r="C96" s="4" t="s">
        <v>87</v>
      </c>
      <c r="D96" s="4" t="s">
        <v>88</v>
      </c>
      <c r="E96" s="4" t="s">
        <v>69</v>
      </c>
      <c r="F96" s="4" t="s">
        <v>57</v>
      </c>
      <c r="G96" s="4" t="s">
        <v>58</v>
      </c>
      <c r="H96" s="4" t="s">
        <v>59</v>
      </c>
      <c r="I96" s="3"/>
      <c r="J96" s="3"/>
      <c r="K96" s="3"/>
      <c r="L96" s="3"/>
      <c r="M96" s="3"/>
      <c r="N96" s="3"/>
      <c r="O96" s="3"/>
      <c r="P96" s="8"/>
      <c r="Q96" s="8"/>
      <c r="R96" s="3"/>
      <c r="S96" s="3"/>
      <c r="T96" s="3"/>
      <c r="U96" s="5" t="str">
        <f t="shared" si="5"/>
        <v/>
      </c>
    </row>
    <row r="97" spans="1:21" ht="28" customHeight="1" x14ac:dyDescent="0.35">
      <c r="A97" s="4">
        <v>11</v>
      </c>
      <c r="B97" s="4" t="s">
        <v>89</v>
      </c>
      <c r="C97" s="4" t="s">
        <v>90</v>
      </c>
      <c r="D97" s="4" t="s">
        <v>91</v>
      </c>
      <c r="E97" s="4" t="s">
        <v>84</v>
      </c>
      <c r="F97" s="4" t="s">
        <v>57</v>
      </c>
      <c r="G97" s="4" t="s">
        <v>58</v>
      </c>
      <c r="H97" s="4" t="s">
        <v>59</v>
      </c>
      <c r="I97" s="3"/>
      <c r="J97" s="3"/>
      <c r="K97" s="3"/>
      <c r="L97" s="3"/>
      <c r="M97" s="3"/>
      <c r="N97" s="3"/>
      <c r="O97" s="3"/>
      <c r="P97" s="8"/>
      <c r="Q97" s="8"/>
      <c r="R97" s="3"/>
      <c r="S97" s="3"/>
      <c r="T97" s="3"/>
      <c r="U97" s="5" t="str">
        <f t="shared" si="5"/>
        <v/>
      </c>
    </row>
    <row r="98" spans="1:21" ht="28" customHeight="1" x14ac:dyDescent="0.35">
      <c r="A98" s="4">
        <v>12</v>
      </c>
      <c r="B98" s="4" t="s">
        <v>92</v>
      </c>
      <c r="C98" s="4" t="s">
        <v>93</v>
      </c>
      <c r="D98" s="4" t="s">
        <v>94</v>
      </c>
      <c r="E98" s="4" t="s">
        <v>69</v>
      </c>
      <c r="F98" s="4" t="s">
        <v>95</v>
      </c>
      <c r="G98" s="4" t="s">
        <v>96</v>
      </c>
      <c r="H98" s="4" t="s">
        <v>59</v>
      </c>
      <c r="I98" s="3"/>
      <c r="J98" s="3"/>
      <c r="K98" s="3"/>
      <c r="L98" s="3"/>
      <c r="M98" s="3"/>
      <c r="N98" s="3"/>
      <c r="O98" s="3"/>
      <c r="P98" s="8"/>
      <c r="Q98" s="8"/>
      <c r="R98" s="3"/>
      <c r="S98" s="3"/>
      <c r="T98" s="3"/>
      <c r="U98" s="5" t="str">
        <f t="shared" si="5"/>
        <v/>
      </c>
    </row>
    <row r="99" spans="1:21" ht="28" customHeight="1" x14ac:dyDescent="0.35">
      <c r="A99" s="4">
        <v>13</v>
      </c>
      <c r="B99" s="4" t="s">
        <v>97</v>
      </c>
      <c r="C99" s="4" t="s">
        <v>98</v>
      </c>
      <c r="D99" s="4" t="s">
        <v>99</v>
      </c>
      <c r="E99" s="4" t="s">
        <v>69</v>
      </c>
      <c r="F99" s="4" t="s">
        <v>95</v>
      </c>
      <c r="G99" s="4" t="s">
        <v>96</v>
      </c>
      <c r="H99" s="4" t="s">
        <v>59</v>
      </c>
      <c r="I99" s="3"/>
      <c r="J99" s="3"/>
      <c r="K99" s="3"/>
      <c r="L99" s="3"/>
      <c r="M99" s="3"/>
      <c r="N99" s="3"/>
      <c r="O99" s="3"/>
      <c r="P99" s="8"/>
      <c r="Q99" s="8"/>
      <c r="R99" s="3"/>
      <c r="S99" s="3"/>
      <c r="T99" s="3"/>
      <c r="U99" s="5" t="str">
        <f t="shared" si="5"/>
        <v/>
      </c>
    </row>
    <row r="100" spans="1:21" ht="28" customHeight="1" x14ac:dyDescent="0.35">
      <c r="A100" s="4">
        <v>14</v>
      </c>
      <c r="B100" s="4" t="s">
        <v>97</v>
      </c>
      <c r="C100" s="4" t="s">
        <v>100</v>
      </c>
      <c r="D100" s="4" t="s">
        <v>101</v>
      </c>
      <c r="E100" s="4" t="s">
        <v>69</v>
      </c>
      <c r="F100" s="4" t="s">
        <v>95</v>
      </c>
      <c r="G100" s="4" t="s">
        <v>102</v>
      </c>
      <c r="H100" s="4" t="s">
        <v>59</v>
      </c>
      <c r="I100" s="3"/>
      <c r="J100" s="3"/>
      <c r="K100" s="3"/>
      <c r="L100" s="3"/>
      <c r="M100" s="3"/>
      <c r="N100" s="3"/>
      <c r="O100" s="3"/>
      <c r="P100" s="8"/>
      <c r="Q100" s="8"/>
      <c r="R100" s="3"/>
      <c r="S100" s="3"/>
      <c r="T100" s="3"/>
      <c r="U100" s="5" t="str">
        <f t="shared" si="5"/>
        <v/>
      </c>
    </row>
    <row r="101" spans="1:21" ht="28" customHeight="1" x14ac:dyDescent="0.35">
      <c r="A101" s="4">
        <v>15</v>
      </c>
      <c r="B101" s="4" t="s">
        <v>103</v>
      </c>
      <c r="C101" s="4" t="s">
        <v>104</v>
      </c>
      <c r="D101" s="4" t="s">
        <v>105</v>
      </c>
      <c r="E101" s="4" t="s">
        <v>69</v>
      </c>
      <c r="F101" s="4" t="s">
        <v>95</v>
      </c>
      <c r="G101" s="4" t="s">
        <v>96</v>
      </c>
      <c r="H101" s="4" t="s">
        <v>85</v>
      </c>
      <c r="I101" s="3"/>
      <c r="J101" s="3"/>
      <c r="K101" s="3"/>
      <c r="L101" s="3"/>
      <c r="M101" s="3"/>
      <c r="N101" s="3"/>
      <c r="O101" s="3"/>
      <c r="P101" s="8"/>
      <c r="Q101" s="8"/>
      <c r="R101" s="3"/>
      <c r="S101" s="3"/>
      <c r="T101" s="3"/>
      <c r="U101" s="5" t="str">
        <f t="shared" si="5"/>
        <v/>
      </c>
    </row>
    <row r="102" spans="1:21" ht="28" customHeight="1" x14ac:dyDescent="0.35">
      <c r="A102" s="4">
        <v>16</v>
      </c>
      <c r="B102" s="4" t="s">
        <v>106</v>
      </c>
      <c r="C102" s="4" t="s">
        <v>107</v>
      </c>
      <c r="D102" s="4" t="s">
        <v>108</v>
      </c>
      <c r="E102" s="4" t="s">
        <v>109</v>
      </c>
      <c r="F102" s="4" t="s">
        <v>95</v>
      </c>
      <c r="G102" s="4" t="s">
        <v>96</v>
      </c>
      <c r="H102" s="4" t="s">
        <v>59</v>
      </c>
      <c r="I102" s="3"/>
      <c r="J102" s="3"/>
      <c r="K102" s="3"/>
      <c r="L102" s="3"/>
      <c r="M102" s="3"/>
      <c r="N102" s="3"/>
      <c r="O102" s="3"/>
      <c r="P102" s="8"/>
      <c r="Q102" s="8"/>
      <c r="R102" s="3"/>
      <c r="S102" s="3"/>
      <c r="T102" s="3"/>
      <c r="U102" s="5" t="str">
        <f t="shared" si="5"/>
        <v/>
      </c>
    </row>
    <row r="104" spans="1:21" ht="28" customHeight="1" x14ac:dyDescent="0.35">
      <c r="A104" s="9" t="s">
        <v>110</v>
      </c>
      <c r="B104" s="16"/>
      <c r="C104" s="17"/>
      <c r="D104" s="17"/>
      <c r="E104" s="17"/>
      <c r="F104" s="17"/>
      <c r="G104" s="17"/>
      <c r="H104" s="17"/>
      <c r="I104" s="17"/>
      <c r="J104" s="17"/>
      <c r="K104" s="17"/>
      <c r="L104" s="17"/>
      <c r="M104" s="17"/>
      <c r="N104" s="17"/>
      <c r="O104" s="17"/>
      <c r="P104" s="17"/>
      <c r="Q104" s="17"/>
      <c r="R104" s="17"/>
      <c r="S104" s="17"/>
      <c r="T104" s="17"/>
      <c r="U104" s="18"/>
    </row>
    <row r="105" spans="1:21" ht="28" customHeight="1" x14ac:dyDescent="0.35">
      <c r="A105" s="19" t="s">
        <v>527</v>
      </c>
      <c r="B105" s="20"/>
      <c r="C105" s="20"/>
      <c r="D105" s="20"/>
      <c r="E105" s="20"/>
      <c r="F105" s="20"/>
      <c r="G105" s="20"/>
      <c r="H105" s="20"/>
      <c r="I105" s="20"/>
      <c r="J105" s="20"/>
      <c r="K105" s="20"/>
      <c r="L105" s="20"/>
      <c r="M105" s="20"/>
      <c r="N105" s="20"/>
      <c r="O105" s="20"/>
      <c r="P105" s="20"/>
      <c r="Q105" s="20"/>
      <c r="R105" s="20"/>
      <c r="S105" s="20"/>
      <c r="T105" s="20"/>
      <c r="U105" s="21"/>
    </row>
    <row r="106" spans="1:21" ht="28" customHeight="1" x14ac:dyDescent="0.35">
      <c r="A106" s="4" t="s">
        <v>31</v>
      </c>
      <c r="B106" s="3" t="s">
        <v>22</v>
      </c>
      <c r="C106" s="4" t="s">
        <v>32</v>
      </c>
      <c r="D106" s="3"/>
      <c r="E106" s="4" t="s">
        <v>33</v>
      </c>
      <c r="F106" s="8"/>
    </row>
    <row r="107" spans="1:21" ht="28" customHeight="1" x14ac:dyDescent="0.35">
      <c r="A107" s="1" t="s">
        <v>34</v>
      </c>
      <c r="B107" s="1" t="s">
        <v>35</v>
      </c>
      <c r="C107" s="1" t="s">
        <v>36</v>
      </c>
      <c r="D107" s="1" t="s">
        <v>37</v>
      </c>
      <c r="E107" s="1" t="s">
        <v>38</v>
      </c>
      <c r="F107" s="1" t="s">
        <v>39</v>
      </c>
      <c r="G107" s="1" t="s">
        <v>40</v>
      </c>
      <c r="H107" s="1" t="s">
        <v>41</v>
      </c>
      <c r="I107" s="1" t="s">
        <v>42</v>
      </c>
      <c r="J107" s="1" t="s">
        <v>43</v>
      </c>
      <c r="K107" s="1" t="s">
        <v>44</v>
      </c>
      <c r="L107" s="1" t="s">
        <v>45</v>
      </c>
      <c r="M107" s="1" t="s">
        <v>46</v>
      </c>
      <c r="N107" s="1" t="s">
        <v>47</v>
      </c>
      <c r="O107" s="1" t="s">
        <v>48</v>
      </c>
      <c r="P107" s="1" t="s">
        <v>4</v>
      </c>
      <c r="Q107" s="1" t="s">
        <v>49</v>
      </c>
      <c r="R107" s="1" t="s">
        <v>50</v>
      </c>
      <c r="S107" s="1" t="s">
        <v>51</v>
      </c>
      <c r="T107" s="1" t="s">
        <v>52</v>
      </c>
      <c r="U107" s="1" t="s">
        <v>10</v>
      </c>
    </row>
    <row r="108" spans="1:21" ht="28" customHeight="1" x14ac:dyDescent="0.35">
      <c r="A108" s="4">
        <v>1</v>
      </c>
      <c r="B108" s="4" t="s">
        <v>53</v>
      </c>
      <c r="C108" s="4" t="s">
        <v>516</v>
      </c>
      <c r="D108" s="4" t="s">
        <v>517</v>
      </c>
      <c r="E108" s="4" t="s">
        <v>56</v>
      </c>
      <c r="F108" s="4" t="s">
        <v>57</v>
      </c>
      <c r="G108" s="4" t="s">
        <v>58</v>
      </c>
      <c r="H108" s="4" t="s">
        <v>59</v>
      </c>
      <c r="I108" s="3"/>
      <c r="J108" s="3"/>
      <c r="K108" s="3"/>
      <c r="L108" s="3"/>
      <c r="M108" s="3"/>
      <c r="N108" s="3"/>
      <c r="O108" s="3"/>
      <c r="P108" s="8"/>
      <c r="Q108" s="8"/>
      <c r="R108" s="3"/>
      <c r="S108" s="3"/>
      <c r="T108" s="3"/>
      <c r="U108" s="5" t="str">
        <f t="shared" ref="U108:U123" si="6">IF(I108="","",IF(I108="NA","Grey",IF(I108=2,"Green",IF(I108=1,"Amber","Red"))))</f>
        <v/>
      </c>
    </row>
    <row r="109" spans="1:21" ht="28" customHeight="1" x14ac:dyDescent="0.35">
      <c r="A109" s="4">
        <v>2</v>
      </c>
      <c r="B109" s="4" t="s">
        <v>53</v>
      </c>
      <c r="C109" s="4" t="s">
        <v>518</v>
      </c>
      <c r="D109" s="4" t="s">
        <v>519</v>
      </c>
      <c r="E109" s="4" t="s">
        <v>56</v>
      </c>
      <c r="F109" s="4" t="s">
        <v>57</v>
      </c>
      <c r="G109" s="4" t="s">
        <v>58</v>
      </c>
      <c r="H109" s="4" t="s">
        <v>59</v>
      </c>
      <c r="I109" s="3"/>
      <c r="J109" s="3"/>
      <c r="K109" s="3"/>
      <c r="L109" s="3"/>
      <c r="M109" s="3"/>
      <c r="N109" s="3"/>
      <c r="O109" s="3"/>
      <c r="P109" s="8"/>
      <c r="Q109" s="8"/>
      <c r="R109" s="3"/>
      <c r="S109" s="3"/>
      <c r="T109" s="3"/>
      <c r="U109" s="5" t="str">
        <f t="shared" si="6"/>
        <v/>
      </c>
    </row>
    <row r="110" spans="1:21" ht="28" customHeight="1" x14ac:dyDescent="0.35">
      <c r="A110" s="4">
        <v>3</v>
      </c>
      <c r="B110" s="4" t="s">
        <v>53</v>
      </c>
      <c r="C110" s="4" t="s">
        <v>520</v>
      </c>
      <c r="D110" s="4" t="s">
        <v>521</v>
      </c>
      <c r="E110" s="4" t="s">
        <v>56</v>
      </c>
      <c r="F110" s="4" t="s">
        <v>57</v>
      </c>
      <c r="G110" s="4" t="s">
        <v>58</v>
      </c>
      <c r="H110" s="4" t="s">
        <v>59</v>
      </c>
      <c r="I110" s="3"/>
      <c r="J110" s="3"/>
      <c r="K110" s="3"/>
      <c r="L110" s="3"/>
      <c r="M110" s="3"/>
      <c r="N110" s="3"/>
      <c r="O110" s="3"/>
      <c r="P110" s="8"/>
      <c r="Q110" s="8"/>
      <c r="R110" s="3"/>
      <c r="S110" s="3"/>
      <c r="T110" s="3"/>
      <c r="U110" s="5" t="str">
        <f t="shared" si="6"/>
        <v/>
      </c>
    </row>
    <row r="111" spans="1:21" ht="28" customHeight="1" x14ac:dyDescent="0.35">
      <c r="A111" s="4">
        <v>4</v>
      </c>
      <c r="B111" s="4" t="s">
        <v>53</v>
      </c>
      <c r="C111" s="4" t="s">
        <v>522</v>
      </c>
      <c r="D111" s="4" t="s">
        <v>523</v>
      </c>
      <c r="E111" s="4" t="s">
        <v>56</v>
      </c>
      <c r="F111" s="4" t="s">
        <v>57</v>
      </c>
      <c r="G111" s="4" t="s">
        <v>58</v>
      </c>
      <c r="H111" s="4" t="s">
        <v>59</v>
      </c>
      <c r="I111" s="3"/>
      <c r="J111" s="3"/>
      <c r="K111" s="3"/>
      <c r="L111" s="3"/>
      <c r="M111" s="3"/>
      <c r="N111" s="3"/>
      <c r="O111" s="3"/>
      <c r="P111" s="8"/>
      <c r="Q111" s="8"/>
      <c r="R111" s="3"/>
      <c r="S111" s="3"/>
      <c r="T111" s="3"/>
      <c r="U111" s="5" t="str">
        <f t="shared" si="6"/>
        <v/>
      </c>
    </row>
    <row r="112" spans="1:21" ht="28" customHeight="1" x14ac:dyDescent="0.35">
      <c r="A112" s="4">
        <v>5</v>
      </c>
      <c r="B112" s="4" t="s">
        <v>66</v>
      </c>
      <c r="C112" s="4" t="s">
        <v>67</v>
      </c>
      <c r="D112" s="4" t="s">
        <v>68</v>
      </c>
      <c r="E112" s="4" t="s">
        <v>69</v>
      </c>
      <c r="F112" s="4" t="s">
        <v>57</v>
      </c>
      <c r="G112" s="4" t="s">
        <v>58</v>
      </c>
      <c r="H112" s="4" t="s">
        <v>59</v>
      </c>
      <c r="I112" s="3"/>
      <c r="J112" s="3"/>
      <c r="K112" s="3"/>
      <c r="L112" s="3"/>
      <c r="M112" s="3"/>
      <c r="N112" s="3"/>
      <c r="O112" s="3"/>
      <c r="P112" s="8"/>
      <c r="Q112" s="8"/>
      <c r="R112" s="3"/>
      <c r="S112" s="3"/>
      <c r="T112" s="3"/>
      <c r="U112" s="5" t="str">
        <f t="shared" si="6"/>
        <v/>
      </c>
    </row>
    <row r="113" spans="1:21" ht="28" customHeight="1" x14ac:dyDescent="0.35">
      <c r="A113" s="4">
        <v>6</v>
      </c>
      <c r="B113" s="4" t="s">
        <v>70</v>
      </c>
      <c r="C113" s="4" t="s">
        <v>71</v>
      </c>
      <c r="D113" s="4" t="s">
        <v>72</v>
      </c>
      <c r="E113" s="4" t="s">
        <v>70</v>
      </c>
      <c r="F113" s="4" t="s">
        <v>57</v>
      </c>
      <c r="G113" s="4" t="s">
        <v>58</v>
      </c>
      <c r="H113" s="4" t="s">
        <v>59</v>
      </c>
      <c r="I113" s="3"/>
      <c r="J113" s="3"/>
      <c r="K113" s="3"/>
      <c r="L113" s="3"/>
      <c r="M113" s="3"/>
      <c r="N113" s="3"/>
      <c r="O113" s="3"/>
      <c r="P113" s="8"/>
      <c r="Q113" s="8"/>
      <c r="R113" s="3"/>
      <c r="S113" s="3"/>
      <c r="T113" s="3"/>
      <c r="U113" s="5" t="str">
        <f t="shared" si="6"/>
        <v/>
      </c>
    </row>
    <row r="114" spans="1:21" ht="28" customHeight="1" x14ac:dyDescent="0.35">
      <c r="A114" s="4">
        <v>7</v>
      </c>
      <c r="B114" s="4" t="s">
        <v>73</v>
      </c>
      <c r="C114" s="4" t="s">
        <v>74</v>
      </c>
      <c r="D114" s="4" t="s">
        <v>75</v>
      </c>
      <c r="E114" s="4" t="s">
        <v>69</v>
      </c>
      <c r="F114" s="4" t="s">
        <v>57</v>
      </c>
      <c r="G114" s="4" t="s">
        <v>58</v>
      </c>
      <c r="H114" s="4" t="s">
        <v>76</v>
      </c>
      <c r="I114" s="3"/>
      <c r="J114" s="3"/>
      <c r="K114" s="3"/>
      <c r="L114" s="3"/>
      <c r="M114" s="3"/>
      <c r="N114" s="3"/>
      <c r="O114" s="3"/>
      <c r="P114" s="8"/>
      <c r="Q114" s="8"/>
      <c r="R114" s="3"/>
      <c r="S114" s="3"/>
      <c r="T114" s="3"/>
      <c r="U114" s="5" t="str">
        <f t="shared" si="6"/>
        <v/>
      </c>
    </row>
    <row r="115" spans="1:21" ht="28" customHeight="1" x14ac:dyDescent="0.35">
      <c r="A115" s="4">
        <v>8</v>
      </c>
      <c r="B115" s="4" t="s">
        <v>77</v>
      </c>
      <c r="C115" s="4" t="s">
        <v>78</v>
      </c>
      <c r="D115" s="4" t="s">
        <v>79</v>
      </c>
      <c r="E115" s="4" t="s">
        <v>80</v>
      </c>
      <c r="F115" s="4" t="s">
        <v>57</v>
      </c>
      <c r="G115" s="4" t="s">
        <v>58</v>
      </c>
      <c r="H115" s="4" t="s">
        <v>59</v>
      </c>
      <c r="I115" s="3"/>
      <c r="J115" s="3"/>
      <c r="K115" s="3"/>
      <c r="L115" s="3"/>
      <c r="M115" s="3"/>
      <c r="N115" s="3"/>
      <c r="O115" s="3"/>
      <c r="P115" s="8"/>
      <c r="Q115" s="8"/>
      <c r="R115" s="3"/>
      <c r="S115" s="3"/>
      <c r="T115" s="3"/>
      <c r="U115" s="5" t="str">
        <f t="shared" si="6"/>
        <v/>
      </c>
    </row>
    <row r="116" spans="1:21" ht="28" customHeight="1" x14ac:dyDescent="0.35">
      <c r="A116" s="4">
        <v>9</v>
      </c>
      <c r="B116" s="4" t="s">
        <v>81</v>
      </c>
      <c r="C116" s="4" t="s">
        <v>82</v>
      </c>
      <c r="D116" s="4" t="s">
        <v>83</v>
      </c>
      <c r="E116" s="4" t="s">
        <v>84</v>
      </c>
      <c r="F116" s="4" t="s">
        <v>57</v>
      </c>
      <c r="G116" s="4" t="s">
        <v>58</v>
      </c>
      <c r="H116" s="4" t="s">
        <v>85</v>
      </c>
      <c r="I116" s="3"/>
      <c r="J116" s="3"/>
      <c r="K116" s="3"/>
      <c r="L116" s="3"/>
      <c r="M116" s="3"/>
      <c r="N116" s="3"/>
      <c r="O116" s="3"/>
      <c r="P116" s="8"/>
      <c r="Q116" s="8"/>
      <c r="R116" s="3"/>
      <c r="S116" s="3"/>
      <c r="T116" s="3"/>
      <c r="U116" s="5" t="str">
        <f t="shared" si="6"/>
        <v/>
      </c>
    </row>
    <row r="117" spans="1:21" ht="28" customHeight="1" x14ac:dyDescent="0.35">
      <c r="A117" s="4">
        <v>10</v>
      </c>
      <c r="B117" s="4" t="s">
        <v>86</v>
      </c>
      <c r="C117" s="4" t="s">
        <v>87</v>
      </c>
      <c r="D117" s="4" t="s">
        <v>88</v>
      </c>
      <c r="E117" s="4" t="s">
        <v>69</v>
      </c>
      <c r="F117" s="4" t="s">
        <v>57</v>
      </c>
      <c r="G117" s="4" t="s">
        <v>58</v>
      </c>
      <c r="H117" s="4" t="s">
        <v>59</v>
      </c>
      <c r="I117" s="3"/>
      <c r="J117" s="3"/>
      <c r="K117" s="3"/>
      <c r="L117" s="3"/>
      <c r="M117" s="3"/>
      <c r="N117" s="3"/>
      <c r="O117" s="3"/>
      <c r="P117" s="8"/>
      <c r="Q117" s="8"/>
      <c r="R117" s="3"/>
      <c r="S117" s="3"/>
      <c r="T117" s="3"/>
      <c r="U117" s="5" t="str">
        <f t="shared" si="6"/>
        <v/>
      </c>
    </row>
    <row r="118" spans="1:21" ht="28" customHeight="1" x14ac:dyDescent="0.35">
      <c r="A118" s="4">
        <v>11</v>
      </c>
      <c r="B118" s="4" t="s">
        <v>89</v>
      </c>
      <c r="C118" s="4" t="s">
        <v>90</v>
      </c>
      <c r="D118" s="4" t="s">
        <v>91</v>
      </c>
      <c r="E118" s="4" t="s">
        <v>84</v>
      </c>
      <c r="F118" s="4" t="s">
        <v>57</v>
      </c>
      <c r="G118" s="4" t="s">
        <v>58</v>
      </c>
      <c r="H118" s="4" t="s">
        <v>59</v>
      </c>
      <c r="I118" s="3"/>
      <c r="J118" s="3"/>
      <c r="K118" s="3"/>
      <c r="L118" s="3"/>
      <c r="M118" s="3"/>
      <c r="N118" s="3"/>
      <c r="O118" s="3"/>
      <c r="P118" s="8"/>
      <c r="Q118" s="8"/>
      <c r="R118" s="3"/>
      <c r="S118" s="3"/>
      <c r="T118" s="3"/>
      <c r="U118" s="5" t="str">
        <f t="shared" si="6"/>
        <v/>
      </c>
    </row>
    <row r="119" spans="1:21" ht="28" customHeight="1" x14ac:dyDescent="0.35">
      <c r="A119" s="4">
        <v>12</v>
      </c>
      <c r="B119" s="4" t="s">
        <v>92</v>
      </c>
      <c r="C119" s="4" t="s">
        <v>93</v>
      </c>
      <c r="D119" s="4" t="s">
        <v>94</v>
      </c>
      <c r="E119" s="4" t="s">
        <v>69</v>
      </c>
      <c r="F119" s="4" t="s">
        <v>95</v>
      </c>
      <c r="G119" s="4" t="s">
        <v>96</v>
      </c>
      <c r="H119" s="4" t="s">
        <v>59</v>
      </c>
      <c r="I119" s="3"/>
      <c r="J119" s="3"/>
      <c r="K119" s="3"/>
      <c r="L119" s="3"/>
      <c r="M119" s="3"/>
      <c r="N119" s="3"/>
      <c r="O119" s="3"/>
      <c r="P119" s="8"/>
      <c r="Q119" s="8"/>
      <c r="R119" s="3"/>
      <c r="S119" s="3"/>
      <c r="T119" s="3"/>
      <c r="U119" s="5" t="str">
        <f t="shared" si="6"/>
        <v/>
      </c>
    </row>
    <row r="120" spans="1:21" ht="28" customHeight="1" x14ac:dyDescent="0.35">
      <c r="A120" s="4">
        <v>13</v>
      </c>
      <c r="B120" s="4" t="s">
        <v>97</v>
      </c>
      <c r="C120" s="4" t="s">
        <v>98</v>
      </c>
      <c r="D120" s="4" t="s">
        <v>99</v>
      </c>
      <c r="E120" s="4" t="s">
        <v>69</v>
      </c>
      <c r="F120" s="4" t="s">
        <v>95</v>
      </c>
      <c r="G120" s="4" t="s">
        <v>96</v>
      </c>
      <c r="H120" s="4" t="s">
        <v>59</v>
      </c>
      <c r="I120" s="3"/>
      <c r="J120" s="3"/>
      <c r="K120" s="3"/>
      <c r="L120" s="3"/>
      <c r="M120" s="3"/>
      <c r="N120" s="3"/>
      <c r="O120" s="3"/>
      <c r="P120" s="8"/>
      <c r="Q120" s="8"/>
      <c r="R120" s="3"/>
      <c r="S120" s="3"/>
      <c r="T120" s="3"/>
      <c r="U120" s="5" t="str">
        <f t="shared" si="6"/>
        <v/>
      </c>
    </row>
    <row r="121" spans="1:21" ht="28" customHeight="1" x14ac:dyDescent="0.35">
      <c r="A121" s="4">
        <v>14</v>
      </c>
      <c r="B121" s="4" t="s">
        <v>97</v>
      </c>
      <c r="C121" s="4" t="s">
        <v>100</v>
      </c>
      <c r="D121" s="4" t="s">
        <v>101</v>
      </c>
      <c r="E121" s="4" t="s">
        <v>69</v>
      </c>
      <c r="F121" s="4" t="s">
        <v>95</v>
      </c>
      <c r="G121" s="4" t="s">
        <v>102</v>
      </c>
      <c r="H121" s="4" t="s">
        <v>59</v>
      </c>
      <c r="I121" s="3"/>
      <c r="J121" s="3"/>
      <c r="K121" s="3"/>
      <c r="L121" s="3"/>
      <c r="M121" s="3"/>
      <c r="N121" s="3"/>
      <c r="O121" s="3"/>
      <c r="P121" s="8"/>
      <c r="Q121" s="8"/>
      <c r="R121" s="3"/>
      <c r="S121" s="3"/>
      <c r="T121" s="3"/>
      <c r="U121" s="5" t="str">
        <f t="shared" si="6"/>
        <v/>
      </c>
    </row>
    <row r="122" spans="1:21" ht="28" customHeight="1" x14ac:dyDescent="0.35">
      <c r="A122" s="4">
        <v>15</v>
      </c>
      <c r="B122" s="4" t="s">
        <v>103</v>
      </c>
      <c r="C122" s="4" t="s">
        <v>104</v>
      </c>
      <c r="D122" s="4" t="s">
        <v>105</v>
      </c>
      <c r="E122" s="4" t="s">
        <v>69</v>
      </c>
      <c r="F122" s="4" t="s">
        <v>95</v>
      </c>
      <c r="G122" s="4" t="s">
        <v>96</v>
      </c>
      <c r="H122" s="4" t="s">
        <v>85</v>
      </c>
      <c r="I122" s="3"/>
      <c r="J122" s="3"/>
      <c r="K122" s="3"/>
      <c r="L122" s="3"/>
      <c r="M122" s="3"/>
      <c r="N122" s="3"/>
      <c r="O122" s="3"/>
      <c r="P122" s="8"/>
      <c r="Q122" s="8"/>
      <c r="R122" s="3"/>
      <c r="S122" s="3"/>
      <c r="T122" s="3"/>
      <c r="U122" s="5" t="str">
        <f t="shared" si="6"/>
        <v/>
      </c>
    </row>
    <row r="123" spans="1:21" ht="28" customHeight="1" x14ac:dyDescent="0.35">
      <c r="A123" s="4">
        <v>16</v>
      </c>
      <c r="B123" s="4" t="s">
        <v>106</v>
      </c>
      <c r="C123" s="4" t="s">
        <v>107</v>
      </c>
      <c r="D123" s="4" t="s">
        <v>108</v>
      </c>
      <c r="E123" s="4" t="s">
        <v>109</v>
      </c>
      <c r="F123" s="4" t="s">
        <v>95</v>
      </c>
      <c r="G123" s="4" t="s">
        <v>96</v>
      </c>
      <c r="H123" s="4" t="s">
        <v>59</v>
      </c>
      <c r="I123" s="3"/>
      <c r="J123" s="3"/>
      <c r="K123" s="3"/>
      <c r="L123" s="3"/>
      <c r="M123" s="3"/>
      <c r="N123" s="3"/>
      <c r="O123" s="3"/>
      <c r="P123" s="8"/>
      <c r="Q123" s="8"/>
      <c r="R123" s="3"/>
      <c r="S123" s="3"/>
      <c r="T123" s="3"/>
      <c r="U123" s="5" t="str">
        <f t="shared" si="6"/>
        <v/>
      </c>
    </row>
    <row r="125" spans="1:21" ht="28" customHeight="1" x14ac:dyDescent="0.35">
      <c r="A125" s="9" t="s">
        <v>110</v>
      </c>
      <c r="B125" s="16"/>
      <c r="C125" s="17"/>
      <c r="D125" s="17"/>
      <c r="E125" s="17"/>
      <c r="F125" s="17"/>
      <c r="G125" s="17"/>
      <c r="H125" s="17"/>
      <c r="I125" s="17"/>
      <c r="J125" s="17"/>
      <c r="K125" s="17"/>
      <c r="L125" s="17"/>
      <c r="M125" s="17"/>
      <c r="N125" s="17"/>
      <c r="O125" s="17"/>
      <c r="P125" s="17"/>
      <c r="Q125" s="17"/>
      <c r="R125" s="17"/>
      <c r="S125" s="17"/>
      <c r="T125" s="17"/>
      <c r="U125" s="18"/>
    </row>
    <row r="126" spans="1:21" ht="28" customHeight="1" x14ac:dyDescent="0.35">
      <c r="A126" s="19" t="s">
        <v>528</v>
      </c>
      <c r="B126" s="20"/>
      <c r="C126" s="20"/>
      <c r="D126" s="20"/>
      <c r="E126" s="20"/>
      <c r="F126" s="20"/>
      <c r="G126" s="20"/>
      <c r="H126" s="20"/>
      <c r="I126" s="20"/>
      <c r="J126" s="20"/>
      <c r="K126" s="20"/>
      <c r="L126" s="20"/>
      <c r="M126" s="20"/>
      <c r="N126" s="20"/>
      <c r="O126" s="20"/>
      <c r="P126" s="20"/>
      <c r="Q126" s="20"/>
      <c r="R126" s="20"/>
      <c r="S126" s="20"/>
      <c r="T126" s="20"/>
      <c r="U126" s="21"/>
    </row>
    <row r="127" spans="1:21" ht="28" customHeight="1" x14ac:dyDescent="0.35">
      <c r="A127" s="4" t="s">
        <v>31</v>
      </c>
      <c r="B127" s="3" t="s">
        <v>23</v>
      </c>
      <c r="C127" s="4" t="s">
        <v>32</v>
      </c>
      <c r="D127" s="3"/>
      <c r="E127" s="4" t="s">
        <v>33</v>
      </c>
      <c r="F127" s="8"/>
    </row>
    <row r="128" spans="1:21" ht="28" customHeight="1" x14ac:dyDescent="0.35">
      <c r="A128" s="1" t="s">
        <v>34</v>
      </c>
      <c r="B128" s="1" t="s">
        <v>35</v>
      </c>
      <c r="C128" s="1" t="s">
        <v>36</v>
      </c>
      <c r="D128" s="1" t="s">
        <v>37</v>
      </c>
      <c r="E128" s="1" t="s">
        <v>38</v>
      </c>
      <c r="F128" s="1" t="s">
        <v>39</v>
      </c>
      <c r="G128" s="1" t="s">
        <v>40</v>
      </c>
      <c r="H128" s="1" t="s">
        <v>41</v>
      </c>
      <c r="I128" s="1" t="s">
        <v>42</v>
      </c>
      <c r="J128" s="1" t="s">
        <v>43</v>
      </c>
      <c r="K128" s="1" t="s">
        <v>44</v>
      </c>
      <c r="L128" s="1" t="s">
        <v>45</v>
      </c>
      <c r="M128" s="1" t="s">
        <v>46</v>
      </c>
      <c r="N128" s="1" t="s">
        <v>47</v>
      </c>
      <c r="O128" s="1" t="s">
        <v>48</v>
      </c>
      <c r="P128" s="1" t="s">
        <v>4</v>
      </c>
      <c r="Q128" s="1" t="s">
        <v>49</v>
      </c>
      <c r="R128" s="1" t="s">
        <v>50</v>
      </c>
      <c r="S128" s="1" t="s">
        <v>51</v>
      </c>
      <c r="T128" s="1" t="s">
        <v>52</v>
      </c>
      <c r="U128" s="1" t="s">
        <v>10</v>
      </c>
    </row>
    <row r="129" spans="1:21" ht="28" customHeight="1" x14ac:dyDescent="0.35">
      <c r="A129" s="4">
        <v>1</v>
      </c>
      <c r="B129" s="4" t="s">
        <v>53</v>
      </c>
      <c r="C129" s="4" t="s">
        <v>516</v>
      </c>
      <c r="D129" s="4" t="s">
        <v>517</v>
      </c>
      <c r="E129" s="4" t="s">
        <v>56</v>
      </c>
      <c r="F129" s="4" t="s">
        <v>57</v>
      </c>
      <c r="G129" s="4" t="s">
        <v>58</v>
      </c>
      <c r="H129" s="4" t="s">
        <v>59</v>
      </c>
      <c r="I129" s="3"/>
      <c r="J129" s="3"/>
      <c r="K129" s="3"/>
      <c r="L129" s="3"/>
      <c r="M129" s="3"/>
      <c r="N129" s="3"/>
      <c r="O129" s="3"/>
      <c r="P129" s="8"/>
      <c r="Q129" s="8"/>
      <c r="R129" s="3"/>
      <c r="S129" s="3"/>
      <c r="T129" s="3"/>
      <c r="U129" s="5" t="str">
        <f t="shared" ref="U129:U144" si="7">IF(I129="","",IF(I129="NA","Grey",IF(I129=2,"Green",IF(I129=1,"Amber","Red"))))</f>
        <v/>
      </c>
    </row>
    <row r="130" spans="1:21" ht="28" customHeight="1" x14ac:dyDescent="0.35">
      <c r="A130" s="4">
        <v>2</v>
      </c>
      <c r="B130" s="4" t="s">
        <v>53</v>
      </c>
      <c r="C130" s="4" t="s">
        <v>518</v>
      </c>
      <c r="D130" s="4" t="s">
        <v>519</v>
      </c>
      <c r="E130" s="4" t="s">
        <v>56</v>
      </c>
      <c r="F130" s="4" t="s">
        <v>57</v>
      </c>
      <c r="G130" s="4" t="s">
        <v>58</v>
      </c>
      <c r="H130" s="4" t="s">
        <v>59</v>
      </c>
      <c r="I130" s="3"/>
      <c r="J130" s="3"/>
      <c r="K130" s="3"/>
      <c r="L130" s="3"/>
      <c r="M130" s="3"/>
      <c r="N130" s="3"/>
      <c r="O130" s="3"/>
      <c r="P130" s="8"/>
      <c r="Q130" s="8"/>
      <c r="R130" s="3"/>
      <c r="S130" s="3"/>
      <c r="T130" s="3"/>
      <c r="U130" s="5" t="str">
        <f t="shared" si="7"/>
        <v/>
      </c>
    </row>
    <row r="131" spans="1:21" ht="28" customHeight="1" x14ac:dyDescent="0.35">
      <c r="A131" s="4">
        <v>3</v>
      </c>
      <c r="B131" s="4" t="s">
        <v>53</v>
      </c>
      <c r="C131" s="4" t="s">
        <v>520</v>
      </c>
      <c r="D131" s="4" t="s">
        <v>521</v>
      </c>
      <c r="E131" s="4" t="s">
        <v>56</v>
      </c>
      <c r="F131" s="4" t="s">
        <v>57</v>
      </c>
      <c r="G131" s="4" t="s">
        <v>58</v>
      </c>
      <c r="H131" s="4" t="s">
        <v>59</v>
      </c>
      <c r="I131" s="3"/>
      <c r="J131" s="3"/>
      <c r="K131" s="3"/>
      <c r="L131" s="3"/>
      <c r="M131" s="3"/>
      <c r="N131" s="3"/>
      <c r="O131" s="3"/>
      <c r="P131" s="8"/>
      <c r="Q131" s="8"/>
      <c r="R131" s="3"/>
      <c r="S131" s="3"/>
      <c r="T131" s="3"/>
      <c r="U131" s="5" t="str">
        <f t="shared" si="7"/>
        <v/>
      </c>
    </row>
    <row r="132" spans="1:21" ht="28" customHeight="1" x14ac:dyDescent="0.35">
      <c r="A132" s="4">
        <v>4</v>
      </c>
      <c r="B132" s="4" t="s">
        <v>53</v>
      </c>
      <c r="C132" s="4" t="s">
        <v>522</v>
      </c>
      <c r="D132" s="4" t="s">
        <v>523</v>
      </c>
      <c r="E132" s="4" t="s">
        <v>56</v>
      </c>
      <c r="F132" s="4" t="s">
        <v>57</v>
      </c>
      <c r="G132" s="4" t="s">
        <v>58</v>
      </c>
      <c r="H132" s="4" t="s">
        <v>59</v>
      </c>
      <c r="I132" s="3"/>
      <c r="J132" s="3"/>
      <c r="K132" s="3"/>
      <c r="L132" s="3"/>
      <c r="M132" s="3"/>
      <c r="N132" s="3"/>
      <c r="O132" s="3"/>
      <c r="P132" s="8"/>
      <c r="Q132" s="8"/>
      <c r="R132" s="3"/>
      <c r="S132" s="3"/>
      <c r="T132" s="3"/>
      <c r="U132" s="5" t="str">
        <f t="shared" si="7"/>
        <v/>
      </c>
    </row>
    <row r="133" spans="1:21" ht="28" customHeight="1" x14ac:dyDescent="0.35">
      <c r="A133" s="4">
        <v>5</v>
      </c>
      <c r="B133" s="4" t="s">
        <v>66</v>
      </c>
      <c r="C133" s="4" t="s">
        <v>67</v>
      </c>
      <c r="D133" s="4" t="s">
        <v>68</v>
      </c>
      <c r="E133" s="4" t="s">
        <v>69</v>
      </c>
      <c r="F133" s="4" t="s">
        <v>57</v>
      </c>
      <c r="G133" s="4" t="s">
        <v>58</v>
      </c>
      <c r="H133" s="4" t="s">
        <v>59</v>
      </c>
      <c r="I133" s="3"/>
      <c r="J133" s="3"/>
      <c r="K133" s="3"/>
      <c r="L133" s="3"/>
      <c r="M133" s="3"/>
      <c r="N133" s="3"/>
      <c r="O133" s="3"/>
      <c r="P133" s="8"/>
      <c r="Q133" s="8"/>
      <c r="R133" s="3"/>
      <c r="S133" s="3"/>
      <c r="T133" s="3"/>
      <c r="U133" s="5" t="str">
        <f t="shared" si="7"/>
        <v/>
      </c>
    </row>
    <row r="134" spans="1:21" ht="28" customHeight="1" x14ac:dyDescent="0.35">
      <c r="A134" s="4">
        <v>6</v>
      </c>
      <c r="B134" s="4" t="s">
        <v>70</v>
      </c>
      <c r="C134" s="4" t="s">
        <v>71</v>
      </c>
      <c r="D134" s="4" t="s">
        <v>72</v>
      </c>
      <c r="E134" s="4" t="s">
        <v>70</v>
      </c>
      <c r="F134" s="4" t="s">
        <v>57</v>
      </c>
      <c r="G134" s="4" t="s">
        <v>58</v>
      </c>
      <c r="H134" s="4" t="s">
        <v>59</v>
      </c>
      <c r="I134" s="3"/>
      <c r="J134" s="3"/>
      <c r="K134" s="3"/>
      <c r="L134" s="3"/>
      <c r="M134" s="3"/>
      <c r="N134" s="3"/>
      <c r="O134" s="3"/>
      <c r="P134" s="8"/>
      <c r="Q134" s="8"/>
      <c r="R134" s="3"/>
      <c r="S134" s="3"/>
      <c r="T134" s="3"/>
      <c r="U134" s="5" t="str">
        <f t="shared" si="7"/>
        <v/>
      </c>
    </row>
    <row r="135" spans="1:21" ht="28" customHeight="1" x14ac:dyDescent="0.35">
      <c r="A135" s="4">
        <v>7</v>
      </c>
      <c r="B135" s="4" t="s">
        <v>73</v>
      </c>
      <c r="C135" s="4" t="s">
        <v>74</v>
      </c>
      <c r="D135" s="4" t="s">
        <v>75</v>
      </c>
      <c r="E135" s="4" t="s">
        <v>69</v>
      </c>
      <c r="F135" s="4" t="s">
        <v>57</v>
      </c>
      <c r="G135" s="4" t="s">
        <v>58</v>
      </c>
      <c r="H135" s="4" t="s">
        <v>76</v>
      </c>
      <c r="I135" s="3"/>
      <c r="J135" s="3"/>
      <c r="K135" s="3"/>
      <c r="L135" s="3"/>
      <c r="M135" s="3"/>
      <c r="N135" s="3"/>
      <c r="O135" s="3"/>
      <c r="P135" s="8"/>
      <c r="Q135" s="8"/>
      <c r="R135" s="3"/>
      <c r="S135" s="3"/>
      <c r="T135" s="3"/>
      <c r="U135" s="5" t="str">
        <f t="shared" si="7"/>
        <v/>
      </c>
    </row>
    <row r="136" spans="1:21" ht="28" customHeight="1" x14ac:dyDescent="0.35">
      <c r="A136" s="4">
        <v>8</v>
      </c>
      <c r="B136" s="4" t="s">
        <v>77</v>
      </c>
      <c r="C136" s="4" t="s">
        <v>78</v>
      </c>
      <c r="D136" s="4" t="s">
        <v>79</v>
      </c>
      <c r="E136" s="4" t="s">
        <v>80</v>
      </c>
      <c r="F136" s="4" t="s">
        <v>57</v>
      </c>
      <c r="G136" s="4" t="s">
        <v>58</v>
      </c>
      <c r="H136" s="4" t="s">
        <v>59</v>
      </c>
      <c r="I136" s="3"/>
      <c r="J136" s="3"/>
      <c r="K136" s="3"/>
      <c r="L136" s="3"/>
      <c r="M136" s="3"/>
      <c r="N136" s="3"/>
      <c r="O136" s="3"/>
      <c r="P136" s="8"/>
      <c r="Q136" s="8"/>
      <c r="R136" s="3"/>
      <c r="S136" s="3"/>
      <c r="T136" s="3"/>
      <c r="U136" s="5" t="str">
        <f t="shared" si="7"/>
        <v/>
      </c>
    </row>
    <row r="137" spans="1:21" ht="28" customHeight="1" x14ac:dyDescent="0.35">
      <c r="A137" s="4">
        <v>9</v>
      </c>
      <c r="B137" s="4" t="s">
        <v>81</v>
      </c>
      <c r="C137" s="4" t="s">
        <v>82</v>
      </c>
      <c r="D137" s="4" t="s">
        <v>83</v>
      </c>
      <c r="E137" s="4" t="s">
        <v>84</v>
      </c>
      <c r="F137" s="4" t="s">
        <v>57</v>
      </c>
      <c r="G137" s="4" t="s">
        <v>58</v>
      </c>
      <c r="H137" s="4" t="s">
        <v>85</v>
      </c>
      <c r="I137" s="3"/>
      <c r="J137" s="3"/>
      <c r="K137" s="3"/>
      <c r="L137" s="3"/>
      <c r="M137" s="3"/>
      <c r="N137" s="3"/>
      <c r="O137" s="3"/>
      <c r="P137" s="8"/>
      <c r="Q137" s="8"/>
      <c r="R137" s="3"/>
      <c r="S137" s="3"/>
      <c r="T137" s="3"/>
      <c r="U137" s="5" t="str">
        <f t="shared" si="7"/>
        <v/>
      </c>
    </row>
    <row r="138" spans="1:21" ht="28" customHeight="1" x14ac:dyDescent="0.35">
      <c r="A138" s="4">
        <v>10</v>
      </c>
      <c r="B138" s="4" t="s">
        <v>86</v>
      </c>
      <c r="C138" s="4" t="s">
        <v>87</v>
      </c>
      <c r="D138" s="4" t="s">
        <v>88</v>
      </c>
      <c r="E138" s="4" t="s">
        <v>69</v>
      </c>
      <c r="F138" s="4" t="s">
        <v>57</v>
      </c>
      <c r="G138" s="4" t="s">
        <v>58</v>
      </c>
      <c r="H138" s="4" t="s">
        <v>59</v>
      </c>
      <c r="I138" s="3"/>
      <c r="J138" s="3"/>
      <c r="K138" s="3"/>
      <c r="L138" s="3"/>
      <c r="M138" s="3"/>
      <c r="N138" s="3"/>
      <c r="O138" s="3"/>
      <c r="P138" s="8"/>
      <c r="Q138" s="8"/>
      <c r="R138" s="3"/>
      <c r="S138" s="3"/>
      <c r="T138" s="3"/>
      <c r="U138" s="5" t="str">
        <f t="shared" si="7"/>
        <v/>
      </c>
    </row>
    <row r="139" spans="1:21" ht="28" customHeight="1" x14ac:dyDescent="0.35">
      <c r="A139" s="4">
        <v>11</v>
      </c>
      <c r="B139" s="4" t="s">
        <v>89</v>
      </c>
      <c r="C139" s="4" t="s">
        <v>90</v>
      </c>
      <c r="D139" s="4" t="s">
        <v>91</v>
      </c>
      <c r="E139" s="4" t="s">
        <v>84</v>
      </c>
      <c r="F139" s="4" t="s">
        <v>57</v>
      </c>
      <c r="G139" s="4" t="s">
        <v>58</v>
      </c>
      <c r="H139" s="4" t="s">
        <v>59</v>
      </c>
      <c r="I139" s="3"/>
      <c r="J139" s="3"/>
      <c r="K139" s="3"/>
      <c r="L139" s="3"/>
      <c r="M139" s="3"/>
      <c r="N139" s="3"/>
      <c r="O139" s="3"/>
      <c r="P139" s="8"/>
      <c r="Q139" s="8"/>
      <c r="R139" s="3"/>
      <c r="S139" s="3"/>
      <c r="T139" s="3"/>
      <c r="U139" s="5" t="str">
        <f t="shared" si="7"/>
        <v/>
      </c>
    </row>
    <row r="140" spans="1:21" ht="28" customHeight="1" x14ac:dyDescent="0.35">
      <c r="A140" s="4">
        <v>12</v>
      </c>
      <c r="B140" s="4" t="s">
        <v>92</v>
      </c>
      <c r="C140" s="4" t="s">
        <v>93</v>
      </c>
      <c r="D140" s="4" t="s">
        <v>94</v>
      </c>
      <c r="E140" s="4" t="s">
        <v>69</v>
      </c>
      <c r="F140" s="4" t="s">
        <v>95</v>
      </c>
      <c r="G140" s="4" t="s">
        <v>96</v>
      </c>
      <c r="H140" s="4" t="s">
        <v>59</v>
      </c>
      <c r="I140" s="3"/>
      <c r="J140" s="3"/>
      <c r="K140" s="3"/>
      <c r="L140" s="3"/>
      <c r="M140" s="3"/>
      <c r="N140" s="3"/>
      <c r="O140" s="3"/>
      <c r="P140" s="8"/>
      <c r="Q140" s="8"/>
      <c r="R140" s="3"/>
      <c r="S140" s="3"/>
      <c r="T140" s="3"/>
      <c r="U140" s="5" t="str">
        <f t="shared" si="7"/>
        <v/>
      </c>
    </row>
    <row r="141" spans="1:21" ht="28" customHeight="1" x14ac:dyDescent="0.35">
      <c r="A141" s="4">
        <v>13</v>
      </c>
      <c r="B141" s="4" t="s">
        <v>97</v>
      </c>
      <c r="C141" s="4" t="s">
        <v>98</v>
      </c>
      <c r="D141" s="4" t="s">
        <v>99</v>
      </c>
      <c r="E141" s="4" t="s">
        <v>69</v>
      </c>
      <c r="F141" s="4" t="s">
        <v>95</v>
      </c>
      <c r="G141" s="4" t="s">
        <v>96</v>
      </c>
      <c r="H141" s="4" t="s">
        <v>59</v>
      </c>
      <c r="I141" s="3"/>
      <c r="J141" s="3"/>
      <c r="K141" s="3"/>
      <c r="L141" s="3"/>
      <c r="M141" s="3"/>
      <c r="N141" s="3"/>
      <c r="O141" s="3"/>
      <c r="P141" s="8"/>
      <c r="Q141" s="8"/>
      <c r="R141" s="3"/>
      <c r="S141" s="3"/>
      <c r="T141" s="3"/>
      <c r="U141" s="5" t="str">
        <f t="shared" si="7"/>
        <v/>
      </c>
    </row>
    <row r="142" spans="1:21" ht="28" customHeight="1" x14ac:dyDescent="0.35">
      <c r="A142" s="4">
        <v>14</v>
      </c>
      <c r="B142" s="4" t="s">
        <v>97</v>
      </c>
      <c r="C142" s="4" t="s">
        <v>100</v>
      </c>
      <c r="D142" s="4" t="s">
        <v>101</v>
      </c>
      <c r="E142" s="4" t="s">
        <v>69</v>
      </c>
      <c r="F142" s="4" t="s">
        <v>95</v>
      </c>
      <c r="G142" s="4" t="s">
        <v>102</v>
      </c>
      <c r="H142" s="4" t="s">
        <v>59</v>
      </c>
      <c r="I142" s="3"/>
      <c r="J142" s="3"/>
      <c r="K142" s="3"/>
      <c r="L142" s="3"/>
      <c r="M142" s="3"/>
      <c r="N142" s="3"/>
      <c r="O142" s="3"/>
      <c r="P142" s="8"/>
      <c r="Q142" s="8"/>
      <c r="R142" s="3"/>
      <c r="S142" s="3"/>
      <c r="T142" s="3"/>
      <c r="U142" s="5" t="str">
        <f t="shared" si="7"/>
        <v/>
      </c>
    </row>
    <row r="143" spans="1:21" ht="28" customHeight="1" x14ac:dyDescent="0.35">
      <c r="A143" s="4">
        <v>15</v>
      </c>
      <c r="B143" s="4" t="s">
        <v>103</v>
      </c>
      <c r="C143" s="4" t="s">
        <v>104</v>
      </c>
      <c r="D143" s="4" t="s">
        <v>105</v>
      </c>
      <c r="E143" s="4" t="s">
        <v>69</v>
      </c>
      <c r="F143" s="4" t="s">
        <v>95</v>
      </c>
      <c r="G143" s="4" t="s">
        <v>96</v>
      </c>
      <c r="H143" s="4" t="s">
        <v>85</v>
      </c>
      <c r="I143" s="3"/>
      <c r="J143" s="3"/>
      <c r="K143" s="3"/>
      <c r="L143" s="3"/>
      <c r="M143" s="3"/>
      <c r="N143" s="3"/>
      <c r="O143" s="3"/>
      <c r="P143" s="8"/>
      <c r="Q143" s="8"/>
      <c r="R143" s="3"/>
      <c r="S143" s="3"/>
      <c r="T143" s="3"/>
      <c r="U143" s="5" t="str">
        <f t="shared" si="7"/>
        <v/>
      </c>
    </row>
    <row r="144" spans="1:21" ht="28" customHeight="1" x14ac:dyDescent="0.35">
      <c r="A144" s="4">
        <v>16</v>
      </c>
      <c r="B144" s="4" t="s">
        <v>106</v>
      </c>
      <c r="C144" s="4" t="s">
        <v>107</v>
      </c>
      <c r="D144" s="4" t="s">
        <v>108</v>
      </c>
      <c r="E144" s="4" t="s">
        <v>109</v>
      </c>
      <c r="F144" s="4" t="s">
        <v>95</v>
      </c>
      <c r="G144" s="4" t="s">
        <v>96</v>
      </c>
      <c r="H144" s="4" t="s">
        <v>59</v>
      </c>
      <c r="I144" s="3"/>
      <c r="J144" s="3"/>
      <c r="K144" s="3"/>
      <c r="L144" s="3"/>
      <c r="M144" s="3"/>
      <c r="N144" s="3"/>
      <c r="O144" s="3"/>
      <c r="P144" s="8"/>
      <c r="Q144" s="8"/>
      <c r="R144" s="3"/>
      <c r="S144" s="3"/>
      <c r="T144" s="3"/>
      <c r="U144" s="5" t="str">
        <f t="shared" si="7"/>
        <v/>
      </c>
    </row>
    <row r="146" spans="1:21" ht="28" customHeight="1" x14ac:dyDescent="0.35">
      <c r="A146" s="9" t="s">
        <v>110</v>
      </c>
      <c r="B146" s="16"/>
      <c r="C146" s="17"/>
      <c r="D146" s="17"/>
      <c r="E146" s="17"/>
      <c r="F146" s="17"/>
      <c r="G146" s="17"/>
      <c r="H146" s="17"/>
      <c r="I146" s="17"/>
      <c r="J146" s="17"/>
      <c r="K146" s="17"/>
      <c r="L146" s="17"/>
      <c r="M146" s="17"/>
      <c r="N146" s="17"/>
      <c r="O146" s="17"/>
      <c r="P146" s="17"/>
      <c r="Q146" s="17"/>
      <c r="R146" s="17"/>
      <c r="S146" s="17"/>
      <c r="T146" s="17"/>
      <c r="U146" s="18"/>
    </row>
    <row r="147" spans="1:21" ht="28" customHeight="1" x14ac:dyDescent="0.35">
      <c r="A147" s="19" t="s">
        <v>529</v>
      </c>
      <c r="B147" s="20"/>
      <c r="C147" s="20"/>
      <c r="D147" s="20"/>
      <c r="E147" s="20"/>
      <c r="F147" s="20"/>
      <c r="G147" s="20"/>
      <c r="H147" s="20"/>
      <c r="I147" s="20"/>
      <c r="J147" s="20"/>
      <c r="K147" s="20"/>
      <c r="L147" s="20"/>
      <c r="M147" s="20"/>
      <c r="N147" s="20"/>
      <c r="O147" s="20"/>
      <c r="P147" s="20"/>
      <c r="Q147" s="20"/>
      <c r="R147" s="20"/>
      <c r="S147" s="20"/>
      <c r="T147" s="20"/>
      <c r="U147" s="21"/>
    </row>
    <row r="148" spans="1:21" ht="28" customHeight="1" x14ac:dyDescent="0.35">
      <c r="A148" s="4" t="s">
        <v>31</v>
      </c>
      <c r="B148" s="3" t="s">
        <v>24</v>
      </c>
      <c r="C148" s="4" t="s">
        <v>32</v>
      </c>
      <c r="D148" s="3"/>
      <c r="E148" s="4" t="s">
        <v>33</v>
      </c>
      <c r="F148" s="8"/>
    </row>
    <row r="149" spans="1:21" ht="28" customHeight="1" x14ac:dyDescent="0.35">
      <c r="A149" s="1" t="s">
        <v>34</v>
      </c>
      <c r="B149" s="1" t="s">
        <v>35</v>
      </c>
      <c r="C149" s="1" t="s">
        <v>36</v>
      </c>
      <c r="D149" s="1" t="s">
        <v>37</v>
      </c>
      <c r="E149" s="1" t="s">
        <v>38</v>
      </c>
      <c r="F149" s="1" t="s">
        <v>39</v>
      </c>
      <c r="G149" s="1" t="s">
        <v>40</v>
      </c>
      <c r="H149" s="1" t="s">
        <v>41</v>
      </c>
      <c r="I149" s="1" t="s">
        <v>42</v>
      </c>
      <c r="J149" s="1" t="s">
        <v>43</v>
      </c>
      <c r="K149" s="1" t="s">
        <v>44</v>
      </c>
      <c r="L149" s="1" t="s">
        <v>45</v>
      </c>
      <c r="M149" s="1" t="s">
        <v>46</v>
      </c>
      <c r="N149" s="1" t="s">
        <v>47</v>
      </c>
      <c r="O149" s="1" t="s">
        <v>48</v>
      </c>
      <c r="P149" s="1" t="s">
        <v>4</v>
      </c>
      <c r="Q149" s="1" t="s">
        <v>49</v>
      </c>
      <c r="R149" s="1" t="s">
        <v>50</v>
      </c>
      <c r="S149" s="1" t="s">
        <v>51</v>
      </c>
      <c r="T149" s="1" t="s">
        <v>52</v>
      </c>
      <c r="U149" s="1" t="s">
        <v>10</v>
      </c>
    </row>
    <row r="150" spans="1:21" ht="28" customHeight="1" x14ac:dyDescent="0.35">
      <c r="A150" s="4">
        <v>1</v>
      </c>
      <c r="B150" s="4" t="s">
        <v>53</v>
      </c>
      <c r="C150" s="4" t="s">
        <v>516</v>
      </c>
      <c r="D150" s="4" t="s">
        <v>517</v>
      </c>
      <c r="E150" s="4" t="s">
        <v>56</v>
      </c>
      <c r="F150" s="4" t="s">
        <v>57</v>
      </c>
      <c r="G150" s="4" t="s">
        <v>58</v>
      </c>
      <c r="H150" s="4" t="s">
        <v>59</v>
      </c>
      <c r="I150" s="3"/>
      <c r="J150" s="3"/>
      <c r="K150" s="3"/>
      <c r="L150" s="3"/>
      <c r="M150" s="3"/>
      <c r="N150" s="3"/>
      <c r="O150" s="3"/>
      <c r="P150" s="8"/>
      <c r="Q150" s="8"/>
      <c r="R150" s="3"/>
      <c r="S150" s="3"/>
      <c r="T150" s="3"/>
      <c r="U150" s="5" t="str">
        <f t="shared" ref="U150:U165" si="8">IF(I150="","",IF(I150="NA","Grey",IF(I150=2,"Green",IF(I150=1,"Amber","Red"))))</f>
        <v/>
      </c>
    </row>
    <row r="151" spans="1:21" ht="28" customHeight="1" x14ac:dyDescent="0.35">
      <c r="A151" s="4">
        <v>2</v>
      </c>
      <c r="B151" s="4" t="s">
        <v>53</v>
      </c>
      <c r="C151" s="4" t="s">
        <v>518</v>
      </c>
      <c r="D151" s="4" t="s">
        <v>519</v>
      </c>
      <c r="E151" s="4" t="s">
        <v>56</v>
      </c>
      <c r="F151" s="4" t="s">
        <v>57</v>
      </c>
      <c r="G151" s="4" t="s">
        <v>58</v>
      </c>
      <c r="H151" s="4" t="s">
        <v>59</v>
      </c>
      <c r="I151" s="3"/>
      <c r="J151" s="3"/>
      <c r="K151" s="3"/>
      <c r="L151" s="3"/>
      <c r="M151" s="3"/>
      <c r="N151" s="3"/>
      <c r="O151" s="3"/>
      <c r="P151" s="8"/>
      <c r="Q151" s="8"/>
      <c r="R151" s="3"/>
      <c r="S151" s="3"/>
      <c r="T151" s="3"/>
      <c r="U151" s="5" t="str">
        <f t="shared" si="8"/>
        <v/>
      </c>
    </row>
    <row r="152" spans="1:21" ht="28" customHeight="1" x14ac:dyDescent="0.35">
      <c r="A152" s="4">
        <v>3</v>
      </c>
      <c r="B152" s="4" t="s">
        <v>53</v>
      </c>
      <c r="C152" s="4" t="s">
        <v>520</v>
      </c>
      <c r="D152" s="4" t="s">
        <v>521</v>
      </c>
      <c r="E152" s="4" t="s">
        <v>56</v>
      </c>
      <c r="F152" s="4" t="s">
        <v>57</v>
      </c>
      <c r="G152" s="4" t="s">
        <v>58</v>
      </c>
      <c r="H152" s="4" t="s">
        <v>59</v>
      </c>
      <c r="I152" s="3"/>
      <c r="J152" s="3"/>
      <c r="K152" s="3"/>
      <c r="L152" s="3"/>
      <c r="M152" s="3"/>
      <c r="N152" s="3"/>
      <c r="O152" s="3"/>
      <c r="P152" s="8"/>
      <c r="Q152" s="8"/>
      <c r="R152" s="3"/>
      <c r="S152" s="3"/>
      <c r="T152" s="3"/>
      <c r="U152" s="5" t="str">
        <f t="shared" si="8"/>
        <v/>
      </c>
    </row>
    <row r="153" spans="1:21" ht="28" customHeight="1" x14ac:dyDescent="0.35">
      <c r="A153" s="4">
        <v>4</v>
      </c>
      <c r="B153" s="4" t="s">
        <v>53</v>
      </c>
      <c r="C153" s="4" t="s">
        <v>522</v>
      </c>
      <c r="D153" s="4" t="s">
        <v>523</v>
      </c>
      <c r="E153" s="4" t="s">
        <v>56</v>
      </c>
      <c r="F153" s="4" t="s">
        <v>57</v>
      </c>
      <c r="G153" s="4" t="s">
        <v>58</v>
      </c>
      <c r="H153" s="4" t="s">
        <v>59</v>
      </c>
      <c r="I153" s="3"/>
      <c r="J153" s="3"/>
      <c r="K153" s="3"/>
      <c r="L153" s="3"/>
      <c r="M153" s="3"/>
      <c r="N153" s="3"/>
      <c r="O153" s="3"/>
      <c r="P153" s="8"/>
      <c r="Q153" s="8"/>
      <c r="R153" s="3"/>
      <c r="S153" s="3"/>
      <c r="T153" s="3"/>
      <c r="U153" s="5" t="str">
        <f t="shared" si="8"/>
        <v/>
      </c>
    </row>
    <row r="154" spans="1:21" ht="28" customHeight="1" x14ac:dyDescent="0.35">
      <c r="A154" s="4">
        <v>5</v>
      </c>
      <c r="B154" s="4" t="s">
        <v>66</v>
      </c>
      <c r="C154" s="4" t="s">
        <v>67</v>
      </c>
      <c r="D154" s="4" t="s">
        <v>68</v>
      </c>
      <c r="E154" s="4" t="s">
        <v>69</v>
      </c>
      <c r="F154" s="4" t="s">
        <v>57</v>
      </c>
      <c r="G154" s="4" t="s">
        <v>58</v>
      </c>
      <c r="H154" s="4" t="s">
        <v>59</v>
      </c>
      <c r="I154" s="3"/>
      <c r="J154" s="3"/>
      <c r="K154" s="3"/>
      <c r="L154" s="3"/>
      <c r="M154" s="3"/>
      <c r="N154" s="3"/>
      <c r="O154" s="3"/>
      <c r="P154" s="8"/>
      <c r="Q154" s="8"/>
      <c r="R154" s="3"/>
      <c r="S154" s="3"/>
      <c r="T154" s="3"/>
      <c r="U154" s="5" t="str">
        <f t="shared" si="8"/>
        <v/>
      </c>
    </row>
    <row r="155" spans="1:21" ht="28" customHeight="1" x14ac:dyDescent="0.35">
      <c r="A155" s="4">
        <v>6</v>
      </c>
      <c r="B155" s="4" t="s">
        <v>70</v>
      </c>
      <c r="C155" s="4" t="s">
        <v>71</v>
      </c>
      <c r="D155" s="4" t="s">
        <v>72</v>
      </c>
      <c r="E155" s="4" t="s">
        <v>70</v>
      </c>
      <c r="F155" s="4" t="s">
        <v>57</v>
      </c>
      <c r="G155" s="4" t="s">
        <v>58</v>
      </c>
      <c r="H155" s="4" t="s">
        <v>59</v>
      </c>
      <c r="I155" s="3"/>
      <c r="J155" s="3"/>
      <c r="K155" s="3"/>
      <c r="L155" s="3"/>
      <c r="M155" s="3"/>
      <c r="N155" s="3"/>
      <c r="O155" s="3"/>
      <c r="P155" s="8"/>
      <c r="Q155" s="8"/>
      <c r="R155" s="3"/>
      <c r="S155" s="3"/>
      <c r="T155" s="3"/>
      <c r="U155" s="5" t="str">
        <f t="shared" si="8"/>
        <v/>
      </c>
    </row>
    <row r="156" spans="1:21" ht="28" customHeight="1" x14ac:dyDescent="0.35">
      <c r="A156" s="4">
        <v>7</v>
      </c>
      <c r="B156" s="4" t="s">
        <v>73</v>
      </c>
      <c r="C156" s="4" t="s">
        <v>74</v>
      </c>
      <c r="D156" s="4" t="s">
        <v>75</v>
      </c>
      <c r="E156" s="4" t="s">
        <v>69</v>
      </c>
      <c r="F156" s="4" t="s">
        <v>57</v>
      </c>
      <c r="G156" s="4" t="s">
        <v>58</v>
      </c>
      <c r="H156" s="4" t="s">
        <v>76</v>
      </c>
      <c r="I156" s="3"/>
      <c r="J156" s="3"/>
      <c r="K156" s="3"/>
      <c r="L156" s="3"/>
      <c r="M156" s="3"/>
      <c r="N156" s="3"/>
      <c r="O156" s="3"/>
      <c r="P156" s="8"/>
      <c r="Q156" s="8"/>
      <c r="R156" s="3"/>
      <c r="S156" s="3"/>
      <c r="T156" s="3"/>
      <c r="U156" s="5" t="str">
        <f t="shared" si="8"/>
        <v/>
      </c>
    </row>
    <row r="157" spans="1:21" ht="28" customHeight="1" x14ac:dyDescent="0.35">
      <c r="A157" s="4">
        <v>8</v>
      </c>
      <c r="B157" s="4" t="s">
        <v>77</v>
      </c>
      <c r="C157" s="4" t="s">
        <v>78</v>
      </c>
      <c r="D157" s="4" t="s">
        <v>79</v>
      </c>
      <c r="E157" s="4" t="s">
        <v>80</v>
      </c>
      <c r="F157" s="4" t="s">
        <v>57</v>
      </c>
      <c r="G157" s="4" t="s">
        <v>58</v>
      </c>
      <c r="H157" s="4" t="s">
        <v>59</v>
      </c>
      <c r="I157" s="3"/>
      <c r="J157" s="3"/>
      <c r="K157" s="3"/>
      <c r="L157" s="3"/>
      <c r="M157" s="3"/>
      <c r="N157" s="3"/>
      <c r="O157" s="3"/>
      <c r="P157" s="8"/>
      <c r="Q157" s="8"/>
      <c r="R157" s="3"/>
      <c r="S157" s="3"/>
      <c r="T157" s="3"/>
      <c r="U157" s="5" t="str">
        <f t="shared" si="8"/>
        <v/>
      </c>
    </row>
    <row r="158" spans="1:21" ht="28" customHeight="1" x14ac:dyDescent="0.35">
      <c r="A158" s="4">
        <v>9</v>
      </c>
      <c r="B158" s="4" t="s">
        <v>81</v>
      </c>
      <c r="C158" s="4" t="s">
        <v>82</v>
      </c>
      <c r="D158" s="4" t="s">
        <v>83</v>
      </c>
      <c r="E158" s="4" t="s">
        <v>84</v>
      </c>
      <c r="F158" s="4" t="s">
        <v>57</v>
      </c>
      <c r="G158" s="4" t="s">
        <v>58</v>
      </c>
      <c r="H158" s="4" t="s">
        <v>85</v>
      </c>
      <c r="I158" s="3"/>
      <c r="J158" s="3"/>
      <c r="K158" s="3"/>
      <c r="L158" s="3"/>
      <c r="M158" s="3"/>
      <c r="N158" s="3"/>
      <c r="O158" s="3"/>
      <c r="P158" s="8"/>
      <c r="Q158" s="8"/>
      <c r="R158" s="3"/>
      <c r="S158" s="3"/>
      <c r="T158" s="3"/>
      <c r="U158" s="5" t="str">
        <f t="shared" si="8"/>
        <v/>
      </c>
    </row>
    <row r="159" spans="1:21" ht="28" customHeight="1" x14ac:dyDescent="0.35">
      <c r="A159" s="4">
        <v>10</v>
      </c>
      <c r="B159" s="4" t="s">
        <v>86</v>
      </c>
      <c r="C159" s="4" t="s">
        <v>87</v>
      </c>
      <c r="D159" s="4" t="s">
        <v>88</v>
      </c>
      <c r="E159" s="4" t="s">
        <v>69</v>
      </c>
      <c r="F159" s="4" t="s">
        <v>57</v>
      </c>
      <c r="G159" s="4" t="s">
        <v>58</v>
      </c>
      <c r="H159" s="4" t="s">
        <v>59</v>
      </c>
      <c r="I159" s="3"/>
      <c r="J159" s="3"/>
      <c r="K159" s="3"/>
      <c r="L159" s="3"/>
      <c r="M159" s="3"/>
      <c r="N159" s="3"/>
      <c r="O159" s="3"/>
      <c r="P159" s="8"/>
      <c r="Q159" s="8"/>
      <c r="R159" s="3"/>
      <c r="S159" s="3"/>
      <c r="T159" s="3"/>
      <c r="U159" s="5" t="str">
        <f t="shared" si="8"/>
        <v/>
      </c>
    </row>
    <row r="160" spans="1:21" ht="28" customHeight="1" x14ac:dyDescent="0.35">
      <c r="A160" s="4">
        <v>11</v>
      </c>
      <c r="B160" s="4" t="s">
        <v>89</v>
      </c>
      <c r="C160" s="4" t="s">
        <v>90</v>
      </c>
      <c r="D160" s="4" t="s">
        <v>91</v>
      </c>
      <c r="E160" s="4" t="s">
        <v>84</v>
      </c>
      <c r="F160" s="4" t="s">
        <v>57</v>
      </c>
      <c r="G160" s="4" t="s">
        <v>58</v>
      </c>
      <c r="H160" s="4" t="s">
        <v>59</v>
      </c>
      <c r="I160" s="3"/>
      <c r="J160" s="3"/>
      <c r="K160" s="3"/>
      <c r="L160" s="3"/>
      <c r="M160" s="3"/>
      <c r="N160" s="3"/>
      <c r="O160" s="3"/>
      <c r="P160" s="8"/>
      <c r="Q160" s="8"/>
      <c r="R160" s="3"/>
      <c r="S160" s="3"/>
      <c r="T160" s="3"/>
      <c r="U160" s="5" t="str">
        <f t="shared" si="8"/>
        <v/>
      </c>
    </row>
    <row r="161" spans="1:21" ht="28" customHeight="1" x14ac:dyDescent="0.35">
      <c r="A161" s="4">
        <v>12</v>
      </c>
      <c r="B161" s="4" t="s">
        <v>92</v>
      </c>
      <c r="C161" s="4" t="s">
        <v>93</v>
      </c>
      <c r="D161" s="4" t="s">
        <v>94</v>
      </c>
      <c r="E161" s="4" t="s">
        <v>69</v>
      </c>
      <c r="F161" s="4" t="s">
        <v>95</v>
      </c>
      <c r="G161" s="4" t="s">
        <v>96</v>
      </c>
      <c r="H161" s="4" t="s">
        <v>59</v>
      </c>
      <c r="I161" s="3"/>
      <c r="J161" s="3"/>
      <c r="K161" s="3"/>
      <c r="L161" s="3"/>
      <c r="M161" s="3"/>
      <c r="N161" s="3"/>
      <c r="O161" s="3"/>
      <c r="P161" s="8"/>
      <c r="Q161" s="8"/>
      <c r="R161" s="3"/>
      <c r="S161" s="3"/>
      <c r="T161" s="3"/>
      <c r="U161" s="5" t="str">
        <f t="shared" si="8"/>
        <v/>
      </c>
    </row>
    <row r="162" spans="1:21" ht="28" customHeight="1" x14ac:dyDescent="0.35">
      <c r="A162" s="4">
        <v>13</v>
      </c>
      <c r="B162" s="4" t="s">
        <v>97</v>
      </c>
      <c r="C162" s="4" t="s">
        <v>98</v>
      </c>
      <c r="D162" s="4" t="s">
        <v>99</v>
      </c>
      <c r="E162" s="4" t="s">
        <v>69</v>
      </c>
      <c r="F162" s="4" t="s">
        <v>95</v>
      </c>
      <c r="G162" s="4" t="s">
        <v>96</v>
      </c>
      <c r="H162" s="4" t="s">
        <v>59</v>
      </c>
      <c r="I162" s="3"/>
      <c r="J162" s="3"/>
      <c r="K162" s="3"/>
      <c r="L162" s="3"/>
      <c r="M162" s="3"/>
      <c r="N162" s="3"/>
      <c r="O162" s="3"/>
      <c r="P162" s="8"/>
      <c r="Q162" s="8"/>
      <c r="R162" s="3"/>
      <c r="S162" s="3"/>
      <c r="T162" s="3"/>
      <c r="U162" s="5" t="str">
        <f t="shared" si="8"/>
        <v/>
      </c>
    </row>
    <row r="163" spans="1:21" ht="28" customHeight="1" x14ac:dyDescent="0.35">
      <c r="A163" s="4">
        <v>14</v>
      </c>
      <c r="B163" s="4" t="s">
        <v>97</v>
      </c>
      <c r="C163" s="4" t="s">
        <v>100</v>
      </c>
      <c r="D163" s="4" t="s">
        <v>101</v>
      </c>
      <c r="E163" s="4" t="s">
        <v>69</v>
      </c>
      <c r="F163" s="4" t="s">
        <v>95</v>
      </c>
      <c r="G163" s="4" t="s">
        <v>102</v>
      </c>
      <c r="H163" s="4" t="s">
        <v>59</v>
      </c>
      <c r="I163" s="3"/>
      <c r="J163" s="3"/>
      <c r="K163" s="3"/>
      <c r="L163" s="3"/>
      <c r="M163" s="3"/>
      <c r="N163" s="3"/>
      <c r="O163" s="3"/>
      <c r="P163" s="8"/>
      <c r="Q163" s="8"/>
      <c r="R163" s="3"/>
      <c r="S163" s="3"/>
      <c r="T163" s="3"/>
      <c r="U163" s="5" t="str">
        <f t="shared" si="8"/>
        <v/>
      </c>
    </row>
    <row r="164" spans="1:21" ht="28" customHeight="1" x14ac:dyDescent="0.35">
      <c r="A164" s="4">
        <v>15</v>
      </c>
      <c r="B164" s="4" t="s">
        <v>103</v>
      </c>
      <c r="C164" s="4" t="s">
        <v>104</v>
      </c>
      <c r="D164" s="4" t="s">
        <v>105</v>
      </c>
      <c r="E164" s="4" t="s">
        <v>69</v>
      </c>
      <c r="F164" s="4" t="s">
        <v>95</v>
      </c>
      <c r="G164" s="4" t="s">
        <v>96</v>
      </c>
      <c r="H164" s="4" t="s">
        <v>85</v>
      </c>
      <c r="I164" s="3"/>
      <c r="J164" s="3"/>
      <c r="K164" s="3"/>
      <c r="L164" s="3"/>
      <c r="M164" s="3"/>
      <c r="N164" s="3"/>
      <c r="O164" s="3"/>
      <c r="P164" s="8"/>
      <c r="Q164" s="8"/>
      <c r="R164" s="3"/>
      <c r="S164" s="3"/>
      <c r="T164" s="3"/>
      <c r="U164" s="5" t="str">
        <f t="shared" si="8"/>
        <v/>
      </c>
    </row>
    <row r="165" spans="1:21" ht="28" customHeight="1" x14ac:dyDescent="0.35">
      <c r="A165" s="4">
        <v>16</v>
      </c>
      <c r="B165" s="4" t="s">
        <v>106</v>
      </c>
      <c r="C165" s="4" t="s">
        <v>107</v>
      </c>
      <c r="D165" s="4" t="s">
        <v>108</v>
      </c>
      <c r="E165" s="4" t="s">
        <v>109</v>
      </c>
      <c r="F165" s="4" t="s">
        <v>95</v>
      </c>
      <c r="G165" s="4" t="s">
        <v>96</v>
      </c>
      <c r="H165" s="4" t="s">
        <v>59</v>
      </c>
      <c r="I165" s="3"/>
      <c r="J165" s="3"/>
      <c r="K165" s="3"/>
      <c r="L165" s="3"/>
      <c r="M165" s="3"/>
      <c r="N165" s="3"/>
      <c r="O165" s="3"/>
      <c r="P165" s="8"/>
      <c r="Q165" s="8"/>
      <c r="R165" s="3"/>
      <c r="S165" s="3"/>
      <c r="T165" s="3"/>
      <c r="U165" s="5" t="str">
        <f t="shared" si="8"/>
        <v/>
      </c>
    </row>
    <row r="167" spans="1:21" ht="28" customHeight="1" x14ac:dyDescent="0.35">
      <c r="A167" s="9" t="s">
        <v>110</v>
      </c>
      <c r="B167" s="16"/>
      <c r="C167" s="17"/>
      <c r="D167" s="17"/>
      <c r="E167" s="17"/>
      <c r="F167" s="17"/>
      <c r="G167" s="17"/>
      <c r="H167" s="17"/>
      <c r="I167" s="17"/>
      <c r="J167" s="17"/>
      <c r="K167" s="17"/>
      <c r="L167" s="17"/>
      <c r="M167" s="17"/>
      <c r="N167" s="17"/>
      <c r="O167" s="17"/>
      <c r="P167" s="17"/>
      <c r="Q167" s="17"/>
      <c r="R167" s="17"/>
      <c r="S167" s="17"/>
      <c r="T167" s="17"/>
      <c r="U167" s="18"/>
    </row>
    <row r="168" spans="1:21" ht="28" customHeight="1" x14ac:dyDescent="0.35">
      <c r="A168" s="19" t="s">
        <v>530</v>
      </c>
      <c r="B168" s="20"/>
      <c r="C168" s="20"/>
      <c r="D168" s="20"/>
      <c r="E168" s="20"/>
      <c r="F168" s="20"/>
      <c r="G168" s="20"/>
      <c r="H168" s="20"/>
      <c r="I168" s="20"/>
      <c r="J168" s="20"/>
      <c r="K168" s="20"/>
      <c r="L168" s="20"/>
      <c r="M168" s="20"/>
      <c r="N168" s="20"/>
      <c r="O168" s="20"/>
      <c r="P168" s="20"/>
      <c r="Q168" s="20"/>
      <c r="R168" s="20"/>
      <c r="S168" s="20"/>
      <c r="T168" s="20"/>
      <c r="U168" s="21"/>
    </row>
    <row r="169" spans="1:21" ht="28" customHeight="1" x14ac:dyDescent="0.35">
      <c r="A169" s="4" t="s">
        <v>31</v>
      </c>
      <c r="B169" s="3" t="s">
        <v>25</v>
      </c>
      <c r="C169" s="4" t="s">
        <v>32</v>
      </c>
      <c r="D169" s="3"/>
      <c r="E169" s="4" t="s">
        <v>33</v>
      </c>
      <c r="F169" s="8"/>
    </row>
    <row r="170" spans="1:21" ht="28" customHeight="1" x14ac:dyDescent="0.35">
      <c r="A170" s="1" t="s">
        <v>34</v>
      </c>
      <c r="B170" s="1" t="s">
        <v>35</v>
      </c>
      <c r="C170" s="1" t="s">
        <v>36</v>
      </c>
      <c r="D170" s="1" t="s">
        <v>37</v>
      </c>
      <c r="E170" s="1" t="s">
        <v>38</v>
      </c>
      <c r="F170" s="1" t="s">
        <v>39</v>
      </c>
      <c r="G170" s="1" t="s">
        <v>40</v>
      </c>
      <c r="H170" s="1" t="s">
        <v>41</v>
      </c>
      <c r="I170" s="1" t="s">
        <v>42</v>
      </c>
      <c r="J170" s="1" t="s">
        <v>43</v>
      </c>
      <c r="K170" s="1" t="s">
        <v>44</v>
      </c>
      <c r="L170" s="1" t="s">
        <v>45</v>
      </c>
      <c r="M170" s="1" t="s">
        <v>46</v>
      </c>
      <c r="N170" s="1" t="s">
        <v>47</v>
      </c>
      <c r="O170" s="1" t="s">
        <v>48</v>
      </c>
      <c r="P170" s="1" t="s">
        <v>4</v>
      </c>
      <c r="Q170" s="1" t="s">
        <v>49</v>
      </c>
      <c r="R170" s="1" t="s">
        <v>50</v>
      </c>
      <c r="S170" s="1" t="s">
        <v>51</v>
      </c>
      <c r="T170" s="1" t="s">
        <v>52</v>
      </c>
      <c r="U170" s="1" t="s">
        <v>10</v>
      </c>
    </row>
    <row r="171" spans="1:21" ht="28" customHeight="1" x14ac:dyDescent="0.35">
      <c r="A171" s="4">
        <v>1</v>
      </c>
      <c r="B171" s="4" t="s">
        <v>53</v>
      </c>
      <c r="C171" s="4" t="s">
        <v>516</v>
      </c>
      <c r="D171" s="4" t="s">
        <v>517</v>
      </c>
      <c r="E171" s="4" t="s">
        <v>56</v>
      </c>
      <c r="F171" s="4" t="s">
        <v>57</v>
      </c>
      <c r="G171" s="4" t="s">
        <v>58</v>
      </c>
      <c r="H171" s="4" t="s">
        <v>59</v>
      </c>
      <c r="I171" s="3"/>
      <c r="J171" s="3"/>
      <c r="K171" s="3"/>
      <c r="L171" s="3"/>
      <c r="M171" s="3"/>
      <c r="N171" s="3"/>
      <c r="O171" s="3"/>
      <c r="P171" s="8"/>
      <c r="Q171" s="8"/>
      <c r="R171" s="3"/>
      <c r="S171" s="3"/>
      <c r="T171" s="3"/>
      <c r="U171" s="5" t="str">
        <f t="shared" ref="U171:U186" si="9">IF(I171="","",IF(I171="NA","Grey",IF(I171=2,"Green",IF(I171=1,"Amber","Red"))))</f>
        <v/>
      </c>
    </row>
    <row r="172" spans="1:21" ht="28" customHeight="1" x14ac:dyDescent="0.35">
      <c r="A172" s="4">
        <v>2</v>
      </c>
      <c r="B172" s="4" t="s">
        <v>53</v>
      </c>
      <c r="C172" s="4" t="s">
        <v>518</v>
      </c>
      <c r="D172" s="4" t="s">
        <v>519</v>
      </c>
      <c r="E172" s="4" t="s">
        <v>56</v>
      </c>
      <c r="F172" s="4" t="s">
        <v>57</v>
      </c>
      <c r="G172" s="4" t="s">
        <v>58</v>
      </c>
      <c r="H172" s="4" t="s">
        <v>59</v>
      </c>
      <c r="I172" s="3"/>
      <c r="J172" s="3"/>
      <c r="K172" s="3"/>
      <c r="L172" s="3"/>
      <c r="M172" s="3"/>
      <c r="N172" s="3"/>
      <c r="O172" s="3"/>
      <c r="P172" s="8"/>
      <c r="Q172" s="8"/>
      <c r="R172" s="3"/>
      <c r="S172" s="3"/>
      <c r="T172" s="3"/>
      <c r="U172" s="5" t="str">
        <f t="shared" si="9"/>
        <v/>
      </c>
    </row>
    <row r="173" spans="1:21" ht="28" customHeight="1" x14ac:dyDescent="0.35">
      <c r="A173" s="4">
        <v>3</v>
      </c>
      <c r="B173" s="4" t="s">
        <v>53</v>
      </c>
      <c r="C173" s="4" t="s">
        <v>520</v>
      </c>
      <c r="D173" s="4" t="s">
        <v>521</v>
      </c>
      <c r="E173" s="4" t="s">
        <v>56</v>
      </c>
      <c r="F173" s="4" t="s">
        <v>57</v>
      </c>
      <c r="G173" s="4" t="s">
        <v>58</v>
      </c>
      <c r="H173" s="4" t="s">
        <v>59</v>
      </c>
      <c r="I173" s="3"/>
      <c r="J173" s="3"/>
      <c r="K173" s="3"/>
      <c r="L173" s="3"/>
      <c r="M173" s="3"/>
      <c r="N173" s="3"/>
      <c r="O173" s="3"/>
      <c r="P173" s="8"/>
      <c r="Q173" s="8"/>
      <c r="R173" s="3"/>
      <c r="S173" s="3"/>
      <c r="T173" s="3"/>
      <c r="U173" s="5" t="str">
        <f t="shared" si="9"/>
        <v/>
      </c>
    </row>
    <row r="174" spans="1:21" ht="28" customHeight="1" x14ac:dyDescent="0.35">
      <c r="A174" s="4">
        <v>4</v>
      </c>
      <c r="B174" s="4" t="s">
        <v>53</v>
      </c>
      <c r="C174" s="4" t="s">
        <v>522</v>
      </c>
      <c r="D174" s="4" t="s">
        <v>523</v>
      </c>
      <c r="E174" s="4" t="s">
        <v>56</v>
      </c>
      <c r="F174" s="4" t="s">
        <v>57</v>
      </c>
      <c r="G174" s="4" t="s">
        <v>58</v>
      </c>
      <c r="H174" s="4" t="s">
        <v>59</v>
      </c>
      <c r="I174" s="3"/>
      <c r="J174" s="3"/>
      <c r="K174" s="3"/>
      <c r="L174" s="3"/>
      <c r="M174" s="3"/>
      <c r="N174" s="3"/>
      <c r="O174" s="3"/>
      <c r="P174" s="8"/>
      <c r="Q174" s="8"/>
      <c r="R174" s="3"/>
      <c r="S174" s="3"/>
      <c r="T174" s="3"/>
      <c r="U174" s="5" t="str">
        <f t="shared" si="9"/>
        <v/>
      </c>
    </row>
    <row r="175" spans="1:21" ht="28" customHeight="1" x14ac:dyDescent="0.35">
      <c r="A175" s="4">
        <v>5</v>
      </c>
      <c r="B175" s="4" t="s">
        <v>66</v>
      </c>
      <c r="C175" s="4" t="s">
        <v>67</v>
      </c>
      <c r="D175" s="4" t="s">
        <v>68</v>
      </c>
      <c r="E175" s="4" t="s">
        <v>69</v>
      </c>
      <c r="F175" s="4" t="s">
        <v>57</v>
      </c>
      <c r="G175" s="4" t="s">
        <v>58</v>
      </c>
      <c r="H175" s="4" t="s">
        <v>59</v>
      </c>
      <c r="I175" s="3"/>
      <c r="J175" s="3"/>
      <c r="K175" s="3"/>
      <c r="L175" s="3"/>
      <c r="M175" s="3"/>
      <c r="N175" s="3"/>
      <c r="O175" s="3"/>
      <c r="P175" s="8"/>
      <c r="Q175" s="8"/>
      <c r="R175" s="3"/>
      <c r="S175" s="3"/>
      <c r="T175" s="3"/>
      <c r="U175" s="5" t="str">
        <f t="shared" si="9"/>
        <v/>
      </c>
    </row>
    <row r="176" spans="1:21" ht="28" customHeight="1" x14ac:dyDescent="0.35">
      <c r="A176" s="4">
        <v>6</v>
      </c>
      <c r="B176" s="4" t="s">
        <v>70</v>
      </c>
      <c r="C176" s="4" t="s">
        <v>71</v>
      </c>
      <c r="D176" s="4" t="s">
        <v>72</v>
      </c>
      <c r="E176" s="4" t="s">
        <v>70</v>
      </c>
      <c r="F176" s="4" t="s">
        <v>57</v>
      </c>
      <c r="G176" s="4" t="s">
        <v>58</v>
      </c>
      <c r="H176" s="4" t="s">
        <v>59</v>
      </c>
      <c r="I176" s="3"/>
      <c r="J176" s="3"/>
      <c r="K176" s="3"/>
      <c r="L176" s="3"/>
      <c r="M176" s="3"/>
      <c r="N176" s="3"/>
      <c r="O176" s="3"/>
      <c r="P176" s="8"/>
      <c r="Q176" s="8"/>
      <c r="R176" s="3"/>
      <c r="S176" s="3"/>
      <c r="T176" s="3"/>
      <c r="U176" s="5" t="str">
        <f t="shared" si="9"/>
        <v/>
      </c>
    </row>
    <row r="177" spans="1:21" ht="28" customHeight="1" x14ac:dyDescent="0.35">
      <c r="A177" s="4">
        <v>7</v>
      </c>
      <c r="B177" s="4" t="s">
        <v>73</v>
      </c>
      <c r="C177" s="4" t="s">
        <v>74</v>
      </c>
      <c r="D177" s="4" t="s">
        <v>75</v>
      </c>
      <c r="E177" s="4" t="s">
        <v>69</v>
      </c>
      <c r="F177" s="4" t="s">
        <v>57</v>
      </c>
      <c r="G177" s="4" t="s">
        <v>58</v>
      </c>
      <c r="H177" s="4" t="s">
        <v>76</v>
      </c>
      <c r="I177" s="3"/>
      <c r="J177" s="3"/>
      <c r="K177" s="3"/>
      <c r="L177" s="3"/>
      <c r="M177" s="3"/>
      <c r="N177" s="3"/>
      <c r="O177" s="3"/>
      <c r="P177" s="8"/>
      <c r="Q177" s="8"/>
      <c r="R177" s="3"/>
      <c r="S177" s="3"/>
      <c r="T177" s="3"/>
      <c r="U177" s="5" t="str">
        <f t="shared" si="9"/>
        <v/>
      </c>
    </row>
    <row r="178" spans="1:21" ht="28" customHeight="1" x14ac:dyDescent="0.35">
      <c r="A178" s="4">
        <v>8</v>
      </c>
      <c r="B178" s="4" t="s">
        <v>77</v>
      </c>
      <c r="C178" s="4" t="s">
        <v>78</v>
      </c>
      <c r="D178" s="4" t="s">
        <v>79</v>
      </c>
      <c r="E178" s="4" t="s">
        <v>80</v>
      </c>
      <c r="F178" s="4" t="s">
        <v>57</v>
      </c>
      <c r="G178" s="4" t="s">
        <v>58</v>
      </c>
      <c r="H178" s="4" t="s">
        <v>59</v>
      </c>
      <c r="I178" s="3"/>
      <c r="J178" s="3"/>
      <c r="K178" s="3"/>
      <c r="L178" s="3"/>
      <c r="M178" s="3"/>
      <c r="N178" s="3"/>
      <c r="O178" s="3"/>
      <c r="P178" s="8"/>
      <c r="Q178" s="8"/>
      <c r="R178" s="3"/>
      <c r="S178" s="3"/>
      <c r="T178" s="3"/>
      <c r="U178" s="5" t="str">
        <f t="shared" si="9"/>
        <v/>
      </c>
    </row>
    <row r="179" spans="1:21" ht="28" customHeight="1" x14ac:dyDescent="0.35">
      <c r="A179" s="4">
        <v>9</v>
      </c>
      <c r="B179" s="4" t="s">
        <v>81</v>
      </c>
      <c r="C179" s="4" t="s">
        <v>82</v>
      </c>
      <c r="D179" s="4" t="s">
        <v>83</v>
      </c>
      <c r="E179" s="4" t="s">
        <v>84</v>
      </c>
      <c r="F179" s="4" t="s">
        <v>57</v>
      </c>
      <c r="G179" s="4" t="s">
        <v>58</v>
      </c>
      <c r="H179" s="4" t="s">
        <v>85</v>
      </c>
      <c r="I179" s="3"/>
      <c r="J179" s="3"/>
      <c r="K179" s="3"/>
      <c r="L179" s="3"/>
      <c r="M179" s="3"/>
      <c r="N179" s="3"/>
      <c r="O179" s="3"/>
      <c r="P179" s="8"/>
      <c r="Q179" s="8"/>
      <c r="R179" s="3"/>
      <c r="S179" s="3"/>
      <c r="T179" s="3"/>
      <c r="U179" s="5" t="str">
        <f t="shared" si="9"/>
        <v/>
      </c>
    </row>
    <row r="180" spans="1:21" ht="28" customHeight="1" x14ac:dyDescent="0.35">
      <c r="A180" s="4">
        <v>10</v>
      </c>
      <c r="B180" s="4" t="s">
        <v>86</v>
      </c>
      <c r="C180" s="4" t="s">
        <v>87</v>
      </c>
      <c r="D180" s="4" t="s">
        <v>88</v>
      </c>
      <c r="E180" s="4" t="s">
        <v>69</v>
      </c>
      <c r="F180" s="4" t="s">
        <v>57</v>
      </c>
      <c r="G180" s="4" t="s">
        <v>58</v>
      </c>
      <c r="H180" s="4" t="s">
        <v>59</v>
      </c>
      <c r="I180" s="3"/>
      <c r="J180" s="3"/>
      <c r="K180" s="3"/>
      <c r="L180" s="3"/>
      <c r="M180" s="3"/>
      <c r="N180" s="3"/>
      <c r="O180" s="3"/>
      <c r="P180" s="8"/>
      <c r="Q180" s="8"/>
      <c r="R180" s="3"/>
      <c r="S180" s="3"/>
      <c r="T180" s="3"/>
      <c r="U180" s="5" t="str">
        <f t="shared" si="9"/>
        <v/>
      </c>
    </row>
    <row r="181" spans="1:21" ht="28" customHeight="1" x14ac:dyDescent="0.35">
      <c r="A181" s="4">
        <v>11</v>
      </c>
      <c r="B181" s="4" t="s">
        <v>89</v>
      </c>
      <c r="C181" s="4" t="s">
        <v>90</v>
      </c>
      <c r="D181" s="4" t="s">
        <v>91</v>
      </c>
      <c r="E181" s="4" t="s">
        <v>84</v>
      </c>
      <c r="F181" s="4" t="s">
        <v>57</v>
      </c>
      <c r="G181" s="4" t="s">
        <v>58</v>
      </c>
      <c r="H181" s="4" t="s">
        <v>59</v>
      </c>
      <c r="I181" s="3"/>
      <c r="J181" s="3"/>
      <c r="K181" s="3"/>
      <c r="L181" s="3"/>
      <c r="M181" s="3"/>
      <c r="N181" s="3"/>
      <c r="O181" s="3"/>
      <c r="P181" s="8"/>
      <c r="Q181" s="8"/>
      <c r="R181" s="3"/>
      <c r="S181" s="3"/>
      <c r="T181" s="3"/>
      <c r="U181" s="5" t="str">
        <f t="shared" si="9"/>
        <v/>
      </c>
    </row>
    <row r="182" spans="1:21" ht="28" customHeight="1" x14ac:dyDescent="0.35">
      <c r="A182" s="4">
        <v>12</v>
      </c>
      <c r="B182" s="4" t="s">
        <v>92</v>
      </c>
      <c r="C182" s="4" t="s">
        <v>93</v>
      </c>
      <c r="D182" s="4" t="s">
        <v>94</v>
      </c>
      <c r="E182" s="4" t="s">
        <v>69</v>
      </c>
      <c r="F182" s="4" t="s">
        <v>95</v>
      </c>
      <c r="G182" s="4" t="s">
        <v>96</v>
      </c>
      <c r="H182" s="4" t="s">
        <v>59</v>
      </c>
      <c r="I182" s="3"/>
      <c r="J182" s="3"/>
      <c r="K182" s="3"/>
      <c r="L182" s="3"/>
      <c r="M182" s="3"/>
      <c r="N182" s="3"/>
      <c r="O182" s="3"/>
      <c r="P182" s="8"/>
      <c r="Q182" s="8"/>
      <c r="R182" s="3"/>
      <c r="S182" s="3"/>
      <c r="T182" s="3"/>
      <c r="U182" s="5" t="str">
        <f t="shared" si="9"/>
        <v/>
      </c>
    </row>
    <row r="183" spans="1:21" ht="28" customHeight="1" x14ac:dyDescent="0.35">
      <c r="A183" s="4">
        <v>13</v>
      </c>
      <c r="B183" s="4" t="s">
        <v>97</v>
      </c>
      <c r="C183" s="4" t="s">
        <v>98</v>
      </c>
      <c r="D183" s="4" t="s">
        <v>99</v>
      </c>
      <c r="E183" s="4" t="s">
        <v>69</v>
      </c>
      <c r="F183" s="4" t="s">
        <v>95</v>
      </c>
      <c r="G183" s="4" t="s">
        <v>96</v>
      </c>
      <c r="H183" s="4" t="s">
        <v>59</v>
      </c>
      <c r="I183" s="3"/>
      <c r="J183" s="3"/>
      <c r="K183" s="3"/>
      <c r="L183" s="3"/>
      <c r="M183" s="3"/>
      <c r="N183" s="3"/>
      <c r="O183" s="3"/>
      <c r="P183" s="8"/>
      <c r="Q183" s="8"/>
      <c r="R183" s="3"/>
      <c r="S183" s="3"/>
      <c r="T183" s="3"/>
      <c r="U183" s="5" t="str">
        <f t="shared" si="9"/>
        <v/>
      </c>
    </row>
    <row r="184" spans="1:21" ht="28" customHeight="1" x14ac:dyDescent="0.35">
      <c r="A184" s="4">
        <v>14</v>
      </c>
      <c r="B184" s="4" t="s">
        <v>97</v>
      </c>
      <c r="C184" s="4" t="s">
        <v>100</v>
      </c>
      <c r="D184" s="4" t="s">
        <v>101</v>
      </c>
      <c r="E184" s="4" t="s">
        <v>69</v>
      </c>
      <c r="F184" s="4" t="s">
        <v>95</v>
      </c>
      <c r="G184" s="4" t="s">
        <v>102</v>
      </c>
      <c r="H184" s="4" t="s">
        <v>59</v>
      </c>
      <c r="I184" s="3"/>
      <c r="J184" s="3"/>
      <c r="K184" s="3"/>
      <c r="L184" s="3"/>
      <c r="M184" s="3"/>
      <c r="N184" s="3"/>
      <c r="O184" s="3"/>
      <c r="P184" s="8"/>
      <c r="Q184" s="8"/>
      <c r="R184" s="3"/>
      <c r="S184" s="3"/>
      <c r="T184" s="3"/>
      <c r="U184" s="5" t="str">
        <f t="shared" si="9"/>
        <v/>
      </c>
    </row>
    <row r="185" spans="1:21" ht="28" customHeight="1" x14ac:dyDescent="0.35">
      <c r="A185" s="4">
        <v>15</v>
      </c>
      <c r="B185" s="4" t="s">
        <v>103</v>
      </c>
      <c r="C185" s="4" t="s">
        <v>104</v>
      </c>
      <c r="D185" s="4" t="s">
        <v>105</v>
      </c>
      <c r="E185" s="4" t="s">
        <v>69</v>
      </c>
      <c r="F185" s="4" t="s">
        <v>95</v>
      </c>
      <c r="G185" s="4" t="s">
        <v>96</v>
      </c>
      <c r="H185" s="4" t="s">
        <v>85</v>
      </c>
      <c r="I185" s="3"/>
      <c r="J185" s="3"/>
      <c r="K185" s="3"/>
      <c r="L185" s="3"/>
      <c r="M185" s="3"/>
      <c r="N185" s="3"/>
      <c r="O185" s="3"/>
      <c r="P185" s="8"/>
      <c r="Q185" s="8"/>
      <c r="R185" s="3"/>
      <c r="S185" s="3"/>
      <c r="T185" s="3"/>
      <c r="U185" s="5" t="str">
        <f t="shared" si="9"/>
        <v/>
      </c>
    </row>
    <row r="186" spans="1:21" ht="28" customHeight="1" x14ac:dyDescent="0.35">
      <c r="A186" s="4">
        <v>16</v>
      </c>
      <c r="B186" s="4" t="s">
        <v>106</v>
      </c>
      <c r="C186" s="4" t="s">
        <v>107</v>
      </c>
      <c r="D186" s="4" t="s">
        <v>108</v>
      </c>
      <c r="E186" s="4" t="s">
        <v>109</v>
      </c>
      <c r="F186" s="4" t="s">
        <v>95</v>
      </c>
      <c r="G186" s="4" t="s">
        <v>96</v>
      </c>
      <c r="H186" s="4" t="s">
        <v>59</v>
      </c>
      <c r="I186" s="3"/>
      <c r="J186" s="3"/>
      <c r="K186" s="3"/>
      <c r="L186" s="3"/>
      <c r="M186" s="3"/>
      <c r="N186" s="3"/>
      <c r="O186" s="3"/>
      <c r="P186" s="8"/>
      <c r="Q186" s="8"/>
      <c r="R186" s="3"/>
      <c r="S186" s="3"/>
      <c r="T186" s="3"/>
      <c r="U186" s="5" t="str">
        <f t="shared" si="9"/>
        <v/>
      </c>
    </row>
    <row r="188" spans="1:21" ht="28" customHeight="1" x14ac:dyDescent="0.35">
      <c r="A188" s="9" t="s">
        <v>110</v>
      </c>
      <c r="B188" s="16"/>
      <c r="C188" s="17"/>
      <c r="D188" s="17"/>
      <c r="E188" s="17"/>
      <c r="F188" s="17"/>
      <c r="G188" s="17"/>
      <c r="H188" s="17"/>
      <c r="I188" s="17"/>
      <c r="J188" s="17"/>
      <c r="K188" s="17"/>
      <c r="L188" s="17"/>
      <c r="M188" s="17"/>
      <c r="N188" s="17"/>
      <c r="O188" s="17"/>
      <c r="P188" s="17"/>
      <c r="Q188" s="17"/>
      <c r="R188" s="17"/>
      <c r="S188" s="17"/>
      <c r="T188" s="17"/>
      <c r="U188" s="18"/>
    </row>
    <row r="189" spans="1:21" ht="28" customHeight="1" x14ac:dyDescent="0.35">
      <c r="A189" s="19" t="s">
        <v>531</v>
      </c>
      <c r="B189" s="20"/>
      <c r="C189" s="20"/>
      <c r="D189" s="20"/>
      <c r="E189" s="20"/>
      <c r="F189" s="20"/>
      <c r="G189" s="20"/>
      <c r="H189" s="20"/>
      <c r="I189" s="20"/>
      <c r="J189" s="20"/>
      <c r="K189" s="20"/>
      <c r="L189" s="20"/>
      <c r="M189" s="20"/>
      <c r="N189" s="20"/>
      <c r="O189" s="20"/>
      <c r="P189" s="20"/>
      <c r="Q189" s="20"/>
      <c r="R189" s="20"/>
      <c r="S189" s="20"/>
      <c r="T189" s="20"/>
      <c r="U189" s="21"/>
    </row>
    <row r="190" spans="1:21" ht="28" customHeight="1" x14ac:dyDescent="0.35">
      <c r="A190" s="4" t="s">
        <v>31</v>
      </c>
      <c r="B190" s="3" t="s">
        <v>26</v>
      </c>
      <c r="C190" s="4" t="s">
        <v>32</v>
      </c>
      <c r="D190" s="3"/>
      <c r="E190" s="4" t="s">
        <v>33</v>
      </c>
      <c r="F190" s="8"/>
    </row>
    <row r="191" spans="1:21" ht="28" customHeight="1" x14ac:dyDescent="0.35">
      <c r="A191" s="1" t="s">
        <v>34</v>
      </c>
      <c r="B191" s="1" t="s">
        <v>35</v>
      </c>
      <c r="C191" s="1" t="s">
        <v>36</v>
      </c>
      <c r="D191" s="1" t="s">
        <v>37</v>
      </c>
      <c r="E191" s="1" t="s">
        <v>38</v>
      </c>
      <c r="F191" s="1" t="s">
        <v>39</v>
      </c>
      <c r="G191" s="1" t="s">
        <v>40</v>
      </c>
      <c r="H191" s="1" t="s">
        <v>41</v>
      </c>
      <c r="I191" s="1" t="s">
        <v>42</v>
      </c>
      <c r="J191" s="1" t="s">
        <v>43</v>
      </c>
      <c r="K191" s="1" t="s">
        <v>44</v>
      </c>
      <c r="L191" s="1" t="s">
        <v>45</v>
      </c>
      <c r="M191" s="1" t="s">
        <v>46</v>
      </c>
      <c r="N191" s="1" t="s">
        <v>47</v>
      </c>
      <c r="O191" s="1" t="s">
        <v>48</v>
      </c>
      <c r="P191" s="1" t="s">
        <v>4</v>
      </c>
      <c r="Q191" s="1" t="s">
        <v>49</v>
      </c>
      <c r="R191" s="1" t="s">
        <v>50</v>
      </c>
      <c r="S191" s="1" t="s">
        <v>51</v>
      </c>
      <c r="T191" s="1" t="s">
        <v>52</v>
      </c>
      <c r="U191" s="1" t="s">
        <v>10</v>
      </c>
    </row>
    <row r="192" spans="1:21" ht="28" customHeight="1" x14ac:dyDescent="0.35">
      <c r="A192" s="4">
        <v>1</v>
      </c>
      <c r="B192" s="4" t="s">
        <v>53</v>
      </c>
      <c r="C192" s="4" t="s">
        <v>516</v>
      </c>
      <c r="D192" s="4" t="s">
        <v>517</v>
      </c>
      <c r="E192" s="4" t="s">
        <v>56</v>
      </c>
      <c r="F192" s="4" t="s">
        <v>57</v>
      </c>
      <c r="G192" s="4" t="s">
        <v>58</v>
      </c>
      <c r="H192" s="4" t="s">
        <v>59</v>
      </c>
      <c r="I192" s="3"/>
      <c r="J192" s="3"/>
      <c r="K192" s="3"/>
      <c r="L192" s="3"/>
      <c r="M192" s="3"/>
      <c r="N192" s="3"/>
      <c r="O192" s="3"/>
      <c r="P192" s="8"/>
      <c r="Q192" s="8"/>
      <c r="R192" s="3"/>
      <c r="S192" s="3"/>
      <c r="T192" s="3"/>
      <c r="U192" s="5" t="str">
        <f t="shared" ref="U192:U207" si="10">IF(I192="","",IF(I192="NA","Grey",IF(I192=2,"Green",IF(I192=1,"Amber","Red"))))</f>
        <v/>
      </c>
    </row>
    <row r="193" spans="1:21" ht="28" customHeight="1" x14ac:dyDescent="0.35">
      <c r="A193" s="4">
        <v>2</v>
      </c>
      <c r="B193" s="4" t="s">
        <v>53</v>
      </c>
      <c r="C193" s="4" t="s">
        <v>518</v>
      </c>
      <c r="D193" s="4" t="s">
        <v>519</v>
      </c>
      <c r="E193" s="4" t="s">
        <v>56</v>
      </c>
      <c r="F193" s="4" t="s">
        <v>57</v>
      </c>
      <c r="G193" s="4" t="s">
        <v>58</v>
      </c>
      <c r="H193" s="4" t="s">
        <v>59</v>
      </c>
      <c r="I193" s="3"/>
      <c r="J193" s="3"/>
      <c r="K193" s="3"/>
      <c r="L193" s="3"/>
      <c r="M193" s="3"/>
      <c r="N193" s="3"/>
      <c r="O193" s="3"/>
      <c r="P193" s="8"/>
      <c r="Q193" s="8"/>
      <c r="R193" s="3"/>
      <c r="S193" s="3"/>
      <c r="T193" s="3"/>
      <c r="U193" s="5" t="str">
        <f t="shared" si="10"/>
        <v/>
      </c>
    </row>
    <row r="194" spans="1:21" ht="28" customHeight="1" x14ac:dyDescent="0.35">
      <c r="A194" s="4">
        <v>3</v>
      </c>
      <c r="B194" s="4" t="s">
        <v>53</v>
      </c>
      <c r="C194" s="4" t="s">
        <v>520</v>
      </c>
      <c r="D194" s="4" t="s">
        <v>521</v>
      </c>
      <c r="E194" s="4" t="s">
        <v>56</v>
      </c>
      <c r="F194" s="4" t="s">
        <v>57</v>
      </c>
      <c r="G194" s="4" t="s">
        <v>58</v>
      </c>
      <c r="H194" s="4" t="s">
        <v>59</v>
      </c>
      <c r="I194" s="3"/>
      <c r="J194" s="3"/>
      <c r="K194" s="3"/>
      <c r="L194" s="3"/>
      <c r="M194" s="3"/>
      <c r="N194" s="3"/>
      <c r="O194" s="3"/>
      <c r="P194" s="8"/>
      <c r="Q194" s="8"/>
      <c r="R194" s="3"/>
      <c r="S194" s="3"/>
      <c r="T194" s="3"/>
      <c r="U194" s="5" t="str">
        <f t="shared" si="10"/>
        <v/>
      </c>
    </row>
    <row r="195" spans="1:21" ht="28" customHeight="1" x14ac:dyDescent="0.35">
      <c r="A195" s="4">
        <v>4</v>
      </c>
      <c r="B195" s="4" t="s">
        <v>53</v>
      </c>
      <c r="C195" s="4" t="s">
        <v>522</v>
      </c>
      <c r="D195" s="4" t="s">
        <v>523</v>
      </c>
      <c r="E195" s="4" t="s">
        <v>56</v>
      </c>
      <c r="F195" s="4" t="s">
        <v>57</v>
      </c>
      <c r="G195" s="4" t="s">
        <v>58</v>
      </c>
      <c r="H195" s="4" t="s">
        <v>59</v>
      </c>
      <c r="I195" s="3"/>
      <c r="J195" s="3"/>
      <c r="K195" s="3"/>
      <c r="L195" s="3"/>
      <c r="M195" s="3"/>
      <c r="N195" s="3"/>
      <c r="O195" s="3"/>
      <c r="P195" s="8"/>
      <c r="Q195" s="8"/>
      <c r="R195" s="3"/>
      <c r="S195" s="3"/>
      <c r="T195" s="3"/>
      <c r="U195" s="5" t="str">
        <f t="shared" si="10"/>
        <v/>
      </c>
    </row>
    <row r="196" spans="1:21" ht="28" customHeight="1" x14ac:dyDescent="0.35">
      <c r="A196" s="4">
        <v>5</v>
      </c>
      <c r="B196" s="4" t="s">
        <v>66</v>
      </c>
      <c r="C196" s="4" t="s">
        <v>67</v>
      </c>
      <c r="D196" s="4" t="s">
        <v>68</v>
      </c>
      <c r="E196" s="4" t="s">
        <v>69</v>
      </c>
      <c r="F196" s="4" t="s">
        <v>57</v>
      </c>
      <c r="G196" s="4" t="s">
        <v>58</v>
      </c>
      <c r="H196" s="4" t="s">
        <v>59</v>
      </c>
      <c r="I196" s="3"/>
      <c r="J196" s="3"/>
      <c r="K196" s="3"/>
      <c r="L196" s="3"/>
      <c r="M196" s="3"/>
      <c r="N196" s="3"/>
      <c r="O196" s="3"/>
      <c r="P196" s="8"/>
      <c r="Q196" s="8"/>
      <c r="R196" s="3"/>
      <c r="S196" s="3"/>
      <c r="T196" s="3"/>
      <c r="U196" s="5" t="str">
        <f t="shared" si="10"/>
        <v/>
      </c>
    </row>
    <row r="197" spans="1:21" ht="28" customHeight="1" x14ac:dyDescent="0.35">
      <c r="A197" s="4">
        <v>6</v>
      </c>
      <c r="B197" s="4" t="s">
        <v>70</v>
      </c>
      <c r="C197" s="4" t="s">
        <v>71</v>
      </c>
      <c r="D197" s="4" t="s">
        <v>72</v>
      </c>
      <c r="E197" s="4" t="s">
        <v>70</v>
      </c>
      <c r="F197" s="4" t="s">
        <v>57</v>
      </c>
      <c r="G197" s="4" t="s">
        <v>58</v>
      </c>
      <c r="H197" s="4" t="s">
        <v>59</v>
      </c>
      <c r="I197" s="3"/>
      <c r="J197" s="3"/>
      <c r="K197" s="3"/>
      <c r="L197" s="3"/>
      <c r="M197" s="3"/>
      <c r="N197" s="3"/>
      <c r="O197" s="3"/>
      <c r="P197" s="8"/>
      <c r="Q197" s="8"/>
      <c r="R197" s="3"/>
      <c r="S197" s="3"/>
      <c r="T197" s="3"/>
      <c r="U197" s="5" t="str">
        <f t="shared" si="10"/>
        <v/>
      </c>
    </row>
    <row r="198" spans="1:21" ht="28" customHeight="1" x14ac:dyDescent="0.35">
      <c r="A198" s="4">
        <v>7</v>
      </c>
      <c r="B198" s="4" t="s">
        <v>73</v>
      </c>
      <c r="C198" s="4" t="s">
        <v>74</v>
      </c>
      <c r="D198" s="4" t="s">
        <v>75</v>
      </c>
      <c r="E198" s="4" t="s">
        <v>69</v>
      </c>
      <c r="F198" s="4" t="s">
        <v>57</v>
      </c>
      <c r="G198" s="4" t="s">
        <v>58</v>
      </c>
      <c r="H198" s="4" t="s">
        <v>76</v>
      </c>
      <c r="I198" s="3"/>
      <c r="J198" s="3"/>
      <c r="K198" s="3"/>
      <c r="L198" s="3"/>
      <c r="M198" s="3"/>
      <c r="N198" s="3"/>
      <c r="O198" s="3"/>
      <c r="P198" s="8"/>
      <c r="Q198" s="8"/>
      <c r="R198" s="3"/>
      <c r="S198" s="3"/>
      <c r="T198" s="3"/>
      <c r="U198" s="5" t="str">
        <f t="shared" si="10"/>
        <v/>
      </c>
    </row>
    <row r="199" spans="1:21" ht="28" customHeight="1" x14ac:dyDescent="0.35">
      <c r="A199" s="4">
        <v>8</v>
      </c>
      <c r="B199" s="4" t="s">
        <v>77</v>
      </c>
      <c r="C199" s="4" t="s">
        <v>78</v>
      </c>
      <c r="D199" s="4" t="s">
        <v>79</v>
      </c>
      <c r="E199" s="4" t="s">
        <v>80</v>
      </c>
      <c r="F199" s="4" t="s">
        <v>57</v>
      </c>
      <c r="G199" s="4" t="s">
        <v>58</v>
      </c>
      <c r="H199" s="4" t="s">
        <v>59</v>
      </c>
      <c r="I199" s="3"/>
      <c r="J199" s="3"/>
      <c r="K199" s="3"/>
      <c r="L199" s="3"/>
      <c r="M199" s="3"/>
      <c r="N199" s="3"/>
      <c r="O199" s="3"/>
      <c r="P199" s="8"/>
      <c r="Q199" s="8"/>
      <c r="R199" s="3"/>
      <c r="S199" s="3"/>
      <c r="T199" s="3"/>
      <c r="U199" s="5" t="str">
        <f t="shared" si="10"/>
        <v/>
      </c>
    </row>
    <row r="200" spans="1:21" ht="28" customHeight="1" x14ac:dyDescent="0.35">
      <c r="A200" s="4">
        <v>9</v>
      </c>
      <c r="B200" s="4" t="s">
        <v>81</v>
      </c>
      <c r="C200" s="4" t="s">
        <v>82</v>
      </c>
      <c r="D200" s="4" t="s">
        <v>83</v>
      </c>
      <c r="E200" s="4" t="s">
        <v>84</v>
      </c>
      <c r="F200" s="4" t="s">
        <v>57</v>
      </c>
      <c r="G200" s="4" t="s">
        <v>58</v>
      </c>
      <c r="H200" s="4" t="s">
        <v>85</v>
      </c>
      <c r="I200" s="3"/>
      <c r="J200" s="3"/>
      <c r="K200" s="3"/>
      <c r="L200" s="3"/>
      <c r="M200" s="3"/>
      <c r="N200" s="3"/>
      <c r="O200" s="3"/>
      <c r="P200" s="8"/>
      <c r="Q200" s="8"/>
      <c r="R200" s="3"/>
      <c r="S200" s="3"/>
      <c r="T200" s="3"/>
      <c r="U200" s="5" t="str">
        <f t="shared" si="10"/>
        <v/>
      </c>
    </row>
    <row r="201" spans="1:21" ht="28" customHeight="1" x14ac:dyDescent="0.35">
      <c r="A201" s="4">
        <v>10</v>
      </c>
      <c r="B201" s="4" t="s">
        <v>86</v>
      </c>
      <c r="C201" s="4" t="s">
        <v>87</v>
      </c>
      <c r="D201" s="4" t="s">
        <v>88</v>
      </c>
      <c r="E201" s="4" t="s">
        <v>69</v>
      </c>
      <c r="F201" s="4" t="s">
        <v>57</v>
      </c>
      <c r="G201" s="4" t="s">
        <v>58</v>
      </c>
      <c r="H201" s="4" t="s">
        <v>59</v>
      </c>
      <c r="I201" s="3"/>
      <c r="J201" s="3"/>
      <c r="K201" s="3"/>
      <c r="L201" s="3"/>
      <c r="M201" s="3"/>
      <c r="N201" s="3"/>
      <c r="O201" s="3"/>
      <c r="P201" s="8"/>
      <c r="Q201" s="8"/>
      <c r="R201" s="3"/>
      <c r="S201" s="3"/>
      <c r="T201" s="3"/>
      <c r="U201" s="5" t="str">
        <f t="shared" si="10"/>
        <v/>
      </c>
    </row>
    <row r="202" spans="1:21" ht="28" customHeight="1" x14ac:dyDescent="0.35">
      <c r="A202" s="4">
        <v>11</v>
      </c>
      <c r="B202" s="4" t="s">
        <v>89</v>
      </c>
      <c r="C202" s="4" t="s">
        <v>90</v>
      </c>
      <c r="D202" s="4" t="s">
        <v>91</v>
      </c>
      <c r="E202" s="4" t="s">
        <v>84</v>
      </c>
      <c r="F202" s="4" t="s">
        <v>57</v>
      </c>
      <c r="G202" s="4" t="s">
        <v>58</v>
      </c>
      <c r="H202" s="4" t="s">
        <v>59</v>
      </c>
      <c r="I202" s="3"/>
      <c r="J202" s="3"/>
      <c r="K202" s="3"/>
      <c r="L202" s="3"/>
      <c r="M202" s="3"/>
      <c r="N202" s="3"/>
      <c r="O202" s="3"/>
      <c r="P202" s="8"/>
      <c r="Q202" s="8"/>
      <c r="R202" s="3"/>
      <c r="S202" s="3"/>
      <c r="T202" s="3"/>
      <c r="U202" s="5" t="str">
        <f t="shared" si="10"/>
        <v/>
      </c>
    </row>
    <row r="203" spans="1:21" ht="28" customHeight="1" x14ac:dyDescent="0.35">
      <c r="A203" s="4">
        <v>12</v>
      </c>
      <c r="B203" s="4" t="s">
        <v>92</v>
      </c>
      <c r="C203" s="4" t="s">
        <v>93</v>
      </c>
      <c r="D203" s="4" t="s">
        <v>94</v>
      </c>
      <c r="E203" s="4" t="s">
        <v>69</v>
      </c>
      <c r="F203" s="4" t="s">
        <v>95</v>
      </c>
      <c r="G203" s="4" t="s">
        <v>96</v>
      </c>
      <c r="H203" s="4" t="s">
        <v>59</v>
      </c>
      <c r="I203" s="3"/>
      <c r="J203" s="3"/>
      <c r="K203" s="3"/>
      <c r="L203" s="3"/>
      <c r="M203" s="3"/>
      <c r="N203" s="3"/>
      <c r="O203" s="3"/>
      <c r="P203" s="8"/>
      <c r="Q203" s="8"/>
      <c r="R203" s="3"/>
      <c r="S203" s="3"/>
      <c r="T203" s="3"/>
      <c r="U203" s="5" t="str">
        <f t="shared" si="10"/>
        <v/>
      </c>
    </row>
    <row r="204" spans="1:21" ht="28" customHeight="1" x14ac:dyDescent="0.35">
      <c r="A204" s="4">
        <v>13</v>
      </c>
      <c r="B204" s="4" t="s">
        <v>97</v>
      </c>
      <c r="C204" s="4" t="s">
        <v>98</v>
      </c>
      <c r="D204" s="4" t="s">
        <v>99</v>
      </c>
      <c r="E204" s="4" t="s">
        <v>69</v>
      </c>
      <c r="F204" s="4" t="s">
        <v>95</v>
      </c>
      <c r="G204" s="4" t="s">
        <v>96</v>
      </c>
      <c r="H204" s="4" t="s">
        <v>59</v>
      </c>
      <c r="I204" s="3"/>
      <c r="J204" s="3"/>
      <c r="K204" s="3"/>
      <c r="L204" s="3"/>
      <c r="M204" s="3"/>
      <c r="N204" s="3"/>
      <c r="O204" s="3"/>
      <c r="P204" s="8"/>
      <c r="Q204" s="8"/>
      <c r="R204" s="3"/>
      <c r="S204" s="3"/>
      <c r="T204" s="3"/>
      <c r="U204" s="5" t="str">
        <f t="shared" si="10"/>
        <v/>
      </c>
    </row>
    <row r="205" spans="1:21" ht="28" customHeight="1" x14ac:dyDescent="0.35">
      <c r="A205" s="4">
        <v>14</v>
      </c>
      <c r="B205" s="4" t="s">
        <v>97</v>
      </c>
      <c r="C205" s="4" t="s">
        <v>100</v>
      </c>
      <c r="D205" s="4" t="s">
        <v>101</v>
      </c>
      <c r="E205" s="4" t="s">
        <v>69</v>
      </c>
      <c r="F205" s="4" t="s">
        <v>95</v>
      </c>
      <c r="G205" s="4" t="s">
        <v>102</v>
      </c>
      <c r="H205" s="4" t="s">
        <v>59</v>
      </c>
      <c r="I205" s="3"/>
      <c r="J205" s="3"/>
      <c r="K205" s="3"/>
      <c r="L205" s="3"/>
      <c r="M205" s="3"/>
      <c r="N205" s="3"/>
      <c r="O205" s="3"/>
      <c r="P205" s="8"/>
      <c r="Q205" s="8"/>
      <c r="R205" s="3"/>
      <c r="S205" s="3"/>
      <c r="T205" s="3"/>
      <c r="U205" s="5" t="str">
        <f t="shared" si="10"/>
        <v/>
      </c>
    </row>
    <row r="206" spans="1:21" ht="28" customHeight="1" x14ac:dyDescent="0.35">
      <c r="A206" s="4">
        <v>15</v>
      </c>
      <c r="B206" s="4" t="s">
        <v>103</v>
      </c>
      <c r="C206" s="4" t="s">
        <v>104</v>
      </c>
      <c r="D206" s="4" t="s">
        <v>105</v>
      </c>
      <c r="E206" s="4" t="s">
        <v>69</v>
      </c>
      <c r="F206" s="4" t="s">
        <v>95</v>
      </c>
      <c r="G206" s="4" t="s">
        <v>96</v>
      </c>
      <c r="H206" s="4" t="s">
        <v>85</v>
      </c>
      <c r="I206" s="3"/>
      <c r="J206" s="3"/>
      <c r="K206" s="3"/>
      <c r="L206" s="3"/>
      <c r="M206" s="3"/>
      <c r="N206" s="3"/>
      <c r="O206" s="3"/>
      <c r="P206" s="8"/>
      <c r="Q206" s="8"/>
      <c r="R206" s="3"/>
      <c r="S206" s="3"/>
      <c r="T206" s="3"/>
      <c r="U206" s="5" t="str">
        <f t="shared" si="10"/>
        <v/>
      </c>
    </row>
    <row r="207" spans="1:21" ht="28" customHeight="1" x14ac:dyDescent="0.35">
      <c r="A207" s="4">
        <v>16</v>
      </c>
      <c r="B207" s="4" t="s">
        <v>106</v>
      </c>
      <c r="C207" s="4" t="s">
        <v>107</v>
      </c>
      <c r="D207" s="4" t="s">
        <v>108</v>
      </c>
      <c r="E207" s="4" t="s">
        <v>109</v>
      </c>
      <c r="F207" s="4" t="s">
        <v>95</v>
      </c>
      <c r="G207" s="4" t="s">
        <v>96</v>
      </c>
      <c r="H207" s="4" t="s">
        <v>59</v>
      </c>
      <c r="I207" s="3"/>
      <c r="J207" s="3"/>
      <c r="K207" s="3"/>
      <c r="L207" s="3"/>
      <c r="M207" s="3"/>
      <c r="N207" s="3"/>
      <c r="O207" s="3"/>
      <c r="P207" s="8"/>
      <c r="Q207" s="8"/>
      <c r="R207" s="3"/>
      <c r="S207" s="3"/>
      <c r="T207" s="3"/>
      <c r="U207" s="5" t="str">
        <f t="shared" si="10"/>
        <v/>
      </c>
    </row>
    <row r="209" spans="1:21" ht="28" customHeight="1" x14ac:dyDescent="0.35">
      <c r="A209" s="9" t="s">
        <v>110</v>
      </c>
      <c r="B209" s="16"/>
      <c r="C209" s="17"/>
      <c r="D209" s="17"/>
      <c r="E209" s="17"/>
      <c r="F209" s="17"/>
      <c r="G209" s="17"/>
      <c r="H209" s="17"/>
      <c r="I209" s="17"/>
      <c r="J209" s="17"/>
      <c r="K209" s="17"/>
      <c r="L209" s="17"/>
      <c r="M209" s="17"/>
      <c r="N209" s="17"/>
      <c r="O209" s="17"/>
      <c r="P209" s="17"/>
      <c r="Q209" s="17"/>
      <c r="R209" s="17"/>
      <c r="S209" s="17"/>
      <c r="T209" s="17"/>
      <c r="U209" s="18"/>
    </row>
    <row r="210" spans="1:21" ht="28" customHeight="1" x14ac:dyDescent="0.35">
      <c r="A210" s="19" t="s">
        <v>532</v>
      </c>
      <c r="B210" s="20"/>
      <c r="C210" s="20"/>
      <c r="D210" s="20"/>
      <c r="E210" s="20"/>
      <c r="F210" s="20"/>
      <c r="G210" s="20"/>
      <c r="H210" s="20"/>
      <c r="I210" s="20"/>
      <c r="J210" s="20"/>
      <c r="K210" s="20"/>
      <c r="L210" s="20"/>
      <c r="M210" s="20"/>
      <c r="N210" s="20"/>
      <c r="O210" s="20"/>
      <c r="P210" s="20"/>
      <c r="Q210" s="20"/>
      <c r="R210" s="20"/>
      <c r="S210" s="20"/>
      <c r="T210" s="20"/>
      <c r="U210" s="21"/>
    </row>
    <row r="211" spans="1:21" ht="28" customHeight="1" x14ac:dyDescent="0.35">
      <c r="A211" s="4" t="s">
        <v>31</v>
      </c>
      <c r="B211" s="3" t="s">
        <v>27</v>
      </c>
      <c r="C211" s="4" t="s">
        <v>32</v>
      </c>
      <c r="D211" s="3"/>
      <c r="E211" s="4" t="s">
        <v>33</v>
      </c>
      <c r="F211" s="8"/>
    </row>
    <row r="212" spans="1:21" ht="28" customHeight="1" x14ac:dyDescent="0.35">
      <c r="A212" s="1" t="s">
        <v>34</v>
      </c>
      <c r="B212" s="1" t="s">
        <v>35</v>
      </c>
      <c r="C212" s="1" t="s">
        <v>36</v>
      </c>
      <c r="D212" s="1" t="s">
        <v>37</v>
      </c>
      <c r="E212" s="1" t="s">
        <v>38</v>
      </c>
      <c r="F212" s="1" t="s">
        <v>39</v>
      </c>
      <c r="G212" s="1" t="s">
        <v>40</v>
      </c>
      <c r="H212" s="1" t="s">
        <v>41</v>
      </c>
      <c r="I212" s="1" t="s">
        <v>42</v>
      </c>
      <c r="J212" s="1" t="s">
        <v>43</v>
      </c>
      <c r="K212" s="1" t="s">
        <v>44</v>
      </c>
      <c r="L212" s="1" t="s">
        <v>45</v>
      </c>
      <c r="M212" s="1" t="s">
        <v>46</v>
      </c>
      <c r="N212" s="1" t="s">
        <v>47</v>
      </c>
      <c r="O212" s="1" t="s">
        <v>48</v>
      </c>
      <c r="P212" s="1" t="s">
        <v>4</v>
      </c>
      <c r="Q212" s="1" t="s">
        <v>49</v>
      </c>
      <c r="R212" s="1" t="s">
        <v>50</v>
      </c>
      <c r="S212" s="1" t="s">
        <v>51</v>
      </c>
      <c r="T212" s="1" t="s">
        <v>52</v>
      </c>
      <c r="U212" s="1" t="s">
        <v>10</v>
      </c>
    </row>
    <row r="213" spans="1:21" ht="28" customHeight="1" x14ac:dyDescent="0.35">
      <c r="A213" s="4">
        <v>1</v>
      </c>
      <c r="B213" s="4" t="s">
        <v>53</v>
      </c>
      <c r="C213" s="4" t="s">
        <v>516</v>
      </c>
      <c r="D213" s="4" t="s">
        <v>517</v>
      </c>
      <c r="E213" s="4" t="s">
        <v>56</v>
      </c>
      <c r="F213" s="4" t="s">
        <v>57</v>
      </c>
      <c r="G213" s="4" t="s">
        <v>58</v>
      </c>
      <c r="H213" s="4" t="s">
        <v>59</v>
      </c>
      <c r="I213" s="3"/>
      <c r="J213" s="3"/>
      <c r="K213" s="3"/>
      <c r="L213" s="3"/>
      <c r="M213" s="3"/>
      <c r="N213" s="3"/>
      <c r="O213" s="3"/>
      <c r="P213" s="8"/>
      <c r="Q213" s="8"/>
      <c r="R213" s="3"/>
      <c r="S213" s="3"/>
      <c r="T213" s="3"/>
      <c r="U213" s="5" t="str">
        <f t="shared" ref="U213:U228" si="11">IF(I213="","",IF(I213="NA","Grey",IF(I213=2,"Green",IF(I213=1,"Amber","Red"))))</f>
        <v/>
      </c>
    </row>
    <row r="214" spans="1:21" ht="28" customHeight="1" x14ac:dyDescent="0.35">
      <c r="A214" s="4">
        <v>2</v>
      </c>
      <c r="B214" s="4" t="s">
        <v>53</v>
      </c>
      <c r="C214" s="4" t="s">
        <v>518</v>
      </c>
      <c r="D214" s="4" t="s">
        <v>519</v>
      </c>
      <c r="E214" s="4" t="s">
        <v>56</v>
      </c>
      <c r="F214" s="4" t="s">
        <v>57</v>
      </c>
      <c r="G214" s="4" t="s">
        <v>58</v>
      </c>
      <c r="H214" s="4" t="s">
        <v>59</v>
      </c>
      <c r="I214" s="3"/>
      <c r="J214" s="3"/>
      <c r="K214" s="3"/>
      <c r="L214" s="3"/>
      <c r="M214" s="3"/>
      <c r="N214" s="3"/>
      <c r="O214" s="3"/>
      <c r="P214" s="8"/>
      <c r="Q214" s="8"/>
      <c r="R214" s="3"/>
      <c r="S214" s="3"/>
      <c r="T214" s="3"/>
      <c r="U214" s="5" t="str">
        <f t="shared" si="11"/>
        <v/>
      </c>
    </row>
    <row r="215" spans="1:21" ht="28" customHeight="1" x14ac:dyDescent="0.35">
      <c r="A215" s="4">
        <v>3</v>
      </c>
      <c r="B215" s="4" t="s">
        <v>53</v>
      </c>
      <c r="C215" s="4" t="s">
        <v>520</v>
      </c>
      <c r="D215" s="4" t="s">
        <v>521</v>
      </c>
      <c r="E215" s="4" t="s">
        <v>56</v>
      </c>
      <c r="F215" s="4" t="s">
        <v>57</v>
      </c>
      <c r="G215" s="4" t="s">
        <v>58</v>
      </c>
      <c r="H215" s="4" t="s">
        <v>59</v>
      </c>
      <c r="I215" s="3"/>
      <c r="J215" s="3"/>
      <c r="K215" s="3"/>
      <c r="L215" s="3"/>
      <c r="M215" s="3"/>
      <c r="N215" s="3"/>
      <c r="O215" s="3"/>
      <c r="P215" s="8"/>
      <c r="Q215" s="8"/>
      <c r="R215" s="3"/>
      <c r="S215" s="3"/>
      <c r="T215" s="3"/>
      <c r="U215" s="5" t="str">
        <f t="shared" si="11"/>
        <v/>
      </c>
    </row>
    <row r="216" spans="1:21" ht="28" customHeight="1" x14ac:dyDescent="0.35">
      <c r="A216" s="4">
        <v>4</v>
      </c>
      <c r="B216" s="4" t="s">
        <v>53</v>
      </c>
      <c r="C216" s="4" t="s">
        <v>522</v>
      </c>
      <c r="D216" s="4" t="s">
        <v>523</v>
      </c>
      <c r="E216" s="4" t="s">
        <v>56</v>
      </c>
      <c r="F216" s="4" t="s">
        <v>57</v>
      </c>
      <c r="G216" s="4" t="s">
        <v>58</v>
      </c>
      <c r="H216" s="4" t="s">
        <v>59</v>
      </c>
      <c r="I216" s="3"/>
      <c r="J216" s="3"/>
      <c r="K216" s="3"/>
      <c r="L216" s="3"/>
      <c r="M216" s="3"/>
      <c r="N216" s="3"/>
      <c r="O216" s="3"/>
      <c r="P216" s="8"/>
      <c r="Q216" s="8"/>
      <c r="R216" s="3"/>
      <c r="S216" s="3"/>
      <c r="T216" s="3"/>
      <c r="U216" s="5" t="str">
        <f t="shared" si="11"/>
        <v/>
      </c>
    </row>
    <row r="217" spans="1:21" ht="28" customHeight="1" x14ac:dyDescent="0.35">
      <c r="A217" s="4">
        <v>5</v>
      </c>
      <c r="B217" s="4" t="s">
        <v>66</v>
      </c>
      <c r="C217" s="4" t="s">
        <v>67</v>
      </c>
      <c r="D217" s="4" t="s">
        <v>68</v>
      </c>
      <c r="E217" s="4" t="s">
        <v>69</v>
      </c>
      <c r="F217" s="4" t="s">
        <v>57</v>
      </c>
      <c r="G217" s="4" t="s">
        <v>58</v>
      </c>
      <c r="H217" s="4" t="s">
        <v>59</v>
      </c>
      <c r="I217" s="3"/>
      <c r="J217" s="3"/>
      <c r="K217" s="3"/>
      <c r="L217" s="3"/>
      <c r="M217" s="3"/>
      <c r="N217" s="3"/>
      <c r="O217" s="3"/>
      <c r="P217" s="8"/>
      <c r="Q217" s="8"/>
      <c r="R217" s="3"/>
      <c r="S217" s="3"/>
      <c r="T217" s="3"/>
      <c r="U217" s="5" t="str">
        <f t="shared" si="11"/>
        <v/>
      </c>
    </row>
    <row r="218" spans="1:21" ht="28" customHeight="1" x14ac:dyDescent="0.35">
      <c r="A218" s="4">
        <v>6</v>
      </c>
      <c r="B218" s="4" t="s">
        <v>70</v>
      </c>
      <c r="C218" s="4" t="s">
        <v>71</v>
      </c>
      <c r="D218" s="4" t="s">
        <v>72</v>
      </c>
      <c r="E218" s="4" t="s">
        <v>70</v>
      </c>
      <c r="F218" s="4" t="s">
        <v>57</v>
      </c>
      <c r="G218" s="4" t="s">
        <v>58</v>
      </c>
      <c r="H218" s="4" t="s">
        <v>59</v>
      </c>
      <c r="I218" s="3"/>
      <c r="J218" s="3"/>
      <c r="K218" s="3"/>
      <c r="L218" s="3"/>
      <c r="M218" s="3"/>
      <c r="N218" s="3"/>
      <c r="O218" s="3"/>
      <c r="P218" s="8"/>
      <c r="Q218" s="8"/>
      <c r="R218" s="3"/>
      <c r="S218" s="3"/>
      <c r="T218" s="3"/>
      <c r="U218" s="5" t="str">
        <f t="shared" si="11"/>
        <v/>
      </c>
    </row>
    <row r="219" spans="1:21" ht="28" customHeight="1" x14ac:dyDescent="0.35">
      <c r="A219" s="4">
        <v>7</v>
      </c>
      <c r="B219" s="4" t="s">
        <v>73</v>
      </c>
      <c r="C219" s="4" t="s">
        <v>74</v>
      </c>
      <c r="D219" s="4" t="s">
        <v>75</v>
      </c>
      <c r="E219" s="4" t="s">
        <v>69</v>
      </c>
      <c r="F219" s="4" t="s">
        <v>57</v>
      </c>
      <c r="G219" s="4" t="s">
        <v>58</v>
      </c>
      <c r="H219" s="4" t="s">
        <v>76</v>
      </c>
      <c r="I219" s="3"/>
      <c r="J219" s="3"/>
      <c r="K219" s="3"/>
      <c r="L219" s="3"/>
      <c r="M219" s="3"/>
      <c r="N219" s="3"/>
      <c r="O219" s="3"/>
      <c r="P219" s="8"/>
      <c r="Q219" s="8"/>
      <c r="R219" s="3"/>
      <c r="S219" s="3"/>
      <c r="T219" s="3"/>
      <c r="U219" s="5" t="str">
        <f t="shared" si="11"/>
        <v/>
      </c>
    </row>
    <row r="220" spans="1:21" ht="28" customHeight="1" x14ac:dyDescent="0.35">
      <c r="A220" s="4">
        <v>8</v>
      </c>
      <c r="B220" s="4" t="s">
        <v>77</v>
      </c>
      <c r="C220" s="4" t="s">
        <v>78</v>
      </c>
      <c r="D220" s="4" t="s">
        <v>79</v>
      </c>
      <c r="E220" s="4" t="s">
        <v>80</v>
      </c>
      <c r="F220" s="4" t="s">
        <v>57</v>
      </c>
      <c r="G220" s="4" t="s">
        <v>58</v>
      </c>
      <c r="H220" s="4" t="s">
        <v>59</v>
      </c>
      <c r="I220" s="3"/>
      <c r="J220" s="3"/>
      <c r="K220" s="3"/>
      <c r="L220" s="3"/>
      <c r="M220" s="3"/>
      <c r="N220" s="3"/>
      <c r="O220" s="3"/>
      <c r="P220" s="8"/>
      <c r="Q220" s="8"/>
      <c r="R220" s="3"/>
      <c r="S220" s="3"/>
      <c r="T220" s="3"/>
      <c r="U220" s="5" t="str">
        <f t="shared" si="11"/>
        <v/>
      </c>
    </row>
    <row r="221" spans="1:21" ht="28" customHeight="1" x14ac:dyDescent="0.35">
      <c r="A221" s="4">
        <v>9</v>
      </c>
      <c r="B221" s="4" t="s">
        <v>81</v>
      </c>
      <c r="C221" s="4" t="s">
        <v>82</v>
      </c>
      <c r="D221" s="4" t="s">
        <v>83</v>
      </c>
      <c r="E221" s="4" t="s">
        <v>84</v>
      </c>
      <c r="F221" s="4" t="s">
        <v>57</v>
      </c>
      <c r="G221" s="4" t="s">
        <v>58</v>
      </c>
      <c r="H221" s="4" t="s">
        <v>85</v>
      </c>
      <c r="I221" s="3"/>
      <c r="J221" s="3"/>
      <c r="K221" s="3"/>
      <c r="L221" s="3"/>
      <c r="M221" s="3"/>
      <c r="N221" s="3"/>
      <c r="O221" s="3"/>
      <c r="P221" s="8"/>
      <c r="Q221" s="8"/>
      <c r="R221" s="3"/>
      <c r="S221" s="3"/>
      <c r="T221" s="3"/>
      <c r="U221" s="5" t="str">
        <f t="shared" si="11"/>
        <v/>
      </c>
    </row>
    <row r="222" spans="1:21" ht="28" customHeight="1" x14ac:dyDescent="0.35">
      <c r="A222" s="4">
        <v>10</v>
      </c>
      <c r="B222" s="4" t="s">
        <v>86</v>
      </c>
      <c r="C222" s="4" t="s">
        <v>87</v>
      </c>
      <c r="D222" s="4" t="s">
        <v>88</v>
      </c>
      <c r="E222" s="4" t="s">
        <v>69</v>
      </c>
      <c r="F222" s="4" t="s">
        <v>57</v>
      </c>
      <c r="G222" s="4" t="s">
        <v>58</v>
      </c>
      <c r="H222" s="4" t="s">
        <v>59</v>
      </c>
      <c r="I222" s="3"/>
      <c r="J222" s="3"/>
      <c r="K222" s="3"/>
      <c r="L222" s="3"/>
      <c r="M222" s="3"/>
      <c r="N222" s="3"/>
      <c r="O222" s="3"/>
      <c r="P222" s="8"/>
      <c r="Q222" s="8"/>
      <c r="R222" s="3"/>
      <c r="S222" s="3"/>
      <c r="T222" s="3"/>
      <c r="U222" s="5" t="str">
        <f t="shared" si="11"/>
        <v/>
      </c>
    </row>
    <row r="223" spans="1:21" ht="28" customHeight="1" x14ac:dyDescent="0.35">
      <c r="A223" s="4">
        <v>11</v>
      </c>
      <c r="B223" s="4" t="s">
        <v>89</v>
      </c>
      <c r="C223" s="4" t="s">
        <v>90</v>
      </c>
      <c r="D223" s="4" t="s">
        <v>91</v>
      </c>
      <c r="E223" s="4" t="s">
        <v>84</v>
      </c>
      <c r="F223" s="4" t="s">
        <v>57</v>
      </c>
      <c r="G223" s="4" t="s">
        <v>58</v>
      </c>
      <c r="H223" s="4" t="s">
        <v>59</v>
      </c>
      <c r="I223" s="3"/>
      <c r="J223" s="3"/>
      <c r="K223" s="3"/>
      <c r="L223" s="3"/>
      <c r="M223" s="3"/>
      <c r="N223" s="3"/>
      <c r="O223" s="3"/>
      <c r="P223" s="8"/>
      <c r="Q223" s="8"/>
      <c r="R223" s="3"/>
      <c r="S223" s="3"/>
      <c r="T223" s="3"/>
      <c r="U223" s="5" t="str">
        <f t="shared" si="11"/>
        <v/>
      </c>
    </row>
    <row r="224" spans="1:21" ht="28" customHeight="1" x14ac:dyDescent="0.35">
      <c r="A224" s="4">
        <v>12</v>
      </c>
      <c r="B224" s="4" t="s">
        <v>92</v>
      </c>
      <c r="C224" s="4" t="s">
        <v>93</v>
      </c>
      <c r="D224" s="4" t="s">
        <v>94</v>
      </c>
      <c r="E224" s="4" t="s">
        <v>69</v>
      </c>
      <c r="F224" s="4" t="s">
        <v>95</v>
      </c>
      <c r="G224" s="4" t="s">
        <v>96</v>
      </c>
      <c r="H224" s="4" t="s">
        <v>59</v>
      </c>
      <c r="I224" s="3"/>
      <c r="J224" s="3"/>
      <c r="K224" s="3"/>
      <c r="L224" s="3"/>
      <c r="M224" s="3"/>
      <c r="N224" s="3"/>
      <c r="O224" s="3"/>
      <c r="P224" s="8"/>
      <c r="Q224" s="8"/>
      <c r="R224" s="3"/>
      <c r="S224" s="3"/>
      <c r="T224" s="3"/>
      <c r="U224" s="5" t="str">
        <f t="shared" si="11"/>
        <v/>
      </c>
    </row>
    <row r="225" spans="1:21" ht="28" customHeight="1" x14ac:dyDescent="0.35">
      <c r="A225" s="4">
        <v>13</v>
      </c>
      <c r="B225" s="4" t="s">
        <v>97</v>
      </c>
      <c r="C225" s="4" t="s">
        <v>98</v>
      </c>
      <c r="D225" s="4" t="s">
        <v>99</v>
      </c>
      <c r="E225" s="4" t="s">
        <v>69</v>
      </c>
      <c r="F225" s="4" t="s">
        <v>95</v>
      </c>
      <c r="G225" s="4" t="s">
        <v>96</v>
      </c>
      <c r="H225" s="4" t="s">
        <v>59</v>
      </c>
      <c r="I225" s="3"/>
      <c r="J225" s="3"/>
      <c r="K225" s="3"/>
      <c r="L225" s="3"/>
      <c r="M225" s="3"/>
      <c r="N225" s="3"/>
      <c r="O225" s="3"/>
      <c r="P225" s="8"/>
      <c r="Q225" s="8"/>
      <c r="R225" s="3"/>
      <c r="S225" s="3"/>
      <c r="T225" s="3"/>
      <c r="U225" s="5" t="str">
        <f t="shared" si="11"/>
        <v/>
      </c>
    </row>
    <row r="226" spans="1:21" ht="28" customHeight="1" x14ac:dyDescent="0.35">
      <c r="A226" s="4">
        <v>14</v>
      </c>
      <c r="B226" s="4" t="s">
        <v>97</v>
      </c>
      <c r="C226" s="4" t="s">
        <v>100</v>
      </c>
      <c r="D226" s="4" t="s">
        <v>101</v>
      </c>
      <c r="E226" s="4" t="s">
        <v>69</v>
      </c>
      <c r="F226" s="4" t="s">
        <v>95</v>
      </c>
      <c r="G226" s="4" t="s">
        <v>102</v>
      </c>
      <c r="H226" s="4" t="s">
        <v>59</v>
      </c>
      <c r="I226" s="3"/>
      <c r="J226" s="3"/>
      <c r="K226" s="3"/>
      <c r="L226" s="3"/>
      <c r="M226" s="3"/>
      <c r="N226" s="3"/>
      <c r="O226" s="3"/>
      <c r="P226" s="8"/>
      <c r="Q226" s="8"/>
      <c r="R226" s="3"/>
      <c r="S226" s="3"/>
      <c r="T226" s="3"/>
      <c r="U226" s="5" t="str">
        <f t="shared" si="11"/>
        <v/>
      </c>
    </row>
    <row r="227" spans="1:21" ht="28" customHeight="1" x14ac:dyDescent="0.35">
      <c r="A227" s="4">
        <v>15</v>
      </c>
      <c r="B227" s="4" t="s">
        <v>103</v>
      </c>
      <c r="C227" s="4" t="s">
        <v>104</v>
      </c>
      <c r="D227" s="4" t="s">
        <v>105</v>
      </c>
      <c r="E227" s="4" t="s">
        <v>69</v>
      </c>
      <c r="F227" s="4" t="s">
        <v>95</v>
      </c>
      <c r="G227" s="4" t="s">
        <v>96</v>
      </c>
      <c r="H227" s="4" t="s">
        <v>85</v>
      </c>
      <c r="I227" s="3"/>
      <c r="J227" s="3"/>
      <c r="K227" s="3"/>
      <c r="L227" s="3"/>
      <c r="M227" s="3"/>
      <c r="N227" s="3"/>
      <c r="O227" s="3"/>
      <c r="P227" s="8"/>
      <c r="Q227" s="8"/>
      <c r="R227" s="3"/>
      <c r="S227" s="3"/>
      <c r="T227" s="3"/>
      <c r="U227" s="5" t="str">
        <f t="shared" si="11"/>
        <v/>
      </c>
    </row>
    <row r="228" spans="1:21" ht="28" customHeight="1" x14ac:dyDescent="0.35">
      <c r="A228" s="4">
        <v>16</v>
      </c>
      <c r="B228" s="4" t="s">
        <v>106</v>
      </c>
      <c r="C228" s="4" t="s">
        <v>107</v>
      </c>
      <c r="D228" s="4" t="s">
        <v>108</v>
      </c>
      <c r="E228" s="4" t="s">
        <v>109</v>
      </c>
      <c r="F228" s="4" t="s">
        <v>95</v>
      </c>
      <c r="G228" s="4" t="s">
        <v>96</v>
      </c>
      <c r="H228" s="4" t="s">
        <v>59</v>
      </c>
      <c r="I228" s="3"/>
      <c r="J228" s="3"/>
      <c r="K228" s="3"/>
      <c r="L228" s="3"/>
      <c r="M228" s="3"/>
      <c r="N228" s="3"/>
      <c r="O228" s="3"/>
      <c r="P228" s="8"/>
      <c r="Q228" s="8"/>
      <c r="R228" s="3"/>
      <c r="S228" s="3"/>
      <c r="T228" s="3"/>
      <c r="U228" s="5" t="str">
        <f t="shared" si="11"/>
        <v/>
      </c>
    </row>
    <row r="230" spans="1:21" ht="28" customHeight="1" x14ac:dyDescent="0.35">
      <c r="A230" s="9" t="s">
        <v>110</v>
      </c>
      <c r="B230" s="16"/>
      <c r="C230" s="17"/>
      <c r="D230" s="17"/>
      <c r="E230" s="17"/>
      <c r="F230" s="17"/>
      <c r="G230" s="17"/>
      <c r="H230" s="17"/>
      <c r="I230" s="17"/>
      <c r="J230" s="17"/>
      <c r="K230" s="17"/>
      <c r="L230" s="17"/>
      <c r="M230" s="17"/>
      <c r="N230" s="17"/>
      <c r="O230" s="17"/>
      <c r="P230" s="17"/>
      <c r="Q230" s="17"/>
      <c r="R230" s="17"/>
      <c r="S230" s="17"/>
      <c r="T230" s="17"/>
      <c r="U230" s="18"/>
    </row>
    <row r="231" spans="1:21" ht="28" customHeight="1" x14ac:dyDescent="0.35">
      <c r="A231" s="19" t="s">
        <v>533</v>
      </c>
      <c r="B231" s="20"/>
      <c r="C231" s="20"/>
      <c r="D231" s="20"/>
      <c r="E231" s="20"/>
      <c r="F231" s="20"/>
      <c r="G231" s="20"/>
      <c r="H231" s="20"/>
      <c r="I231" s="20"/>
      <c r="J231" s="20"/>
      <c r="K231" s="20"/>
      <c r="L231" s="20"/>
      <c r="M231" s="20"/>
      <c r="N231" s="20"/>
      <c r="O231" s="20"/>
      <c r="P231" s="20"/>
      <c r="Q231" s="20"/>
      <c r="R231" s="20"/>
      <c r="S231" s="20"/>
      <c r="T231" s="20"/>
      <c r="U231" s="21"/>
    </row>
    <row r="232" spans="1:21" ht="28" customHeight="1" x14ac:dyDescent="0.35">
      <c r="A232" s="4" t="s">
        <v>31</v>
      </c>
      <c r="B232" s="3" t="s">
        <v>28</v>
      </c>
      <c r="C232" s="4" t="s">
        <v>32</v>
      </c>
      <c r="D232" s="3"/>
      <c r="E232" s="4" t="s">
        <v>33</v>
      </c>
      <c r="F232" s="8"/>
    </row>
    <row r="233" spans="1:21" ht="28" customHeight="1" x14ac:dyDescent="0.35">
      <c r="A233" s="1" t="s">
        <v>34</v>
      </c>
      <c r="B233" s="1" t="s">
        <v>35</v>
      </c>
      <c r="C233" s="1" t="s">
        <v>36</v>
      </c>
      <c r="D233" s="1" t="s">
        <v>37</v>
      </c>
      <c r="E233" s="1" t="s">
        <v>38</v>
      </c>
      <c r="F233" s="1" t="s">
        <v>39</v>
      </c>
      <c r="G233" s="1" t="s">
        <v>40</v>
      </c>
      <c r="H233" s="1" t="s">
        <v>41</v>
      </c>
      <c r="I233" s="1" t="s">
        <v>42</v>
      </c>
      <c r="J233" s="1" t="s">
        <v>43</v>
      </c>
      <c r="K233" s="1" t="s">
        <v>44</v>
      </c>
      <c r="L233" s="1" t="s">
        <v>45</v>
      </c>
      <c r="M233" s="1" t="s">
        <v>46</v>
      </c>
      <c r="N233" s="1" t="s">
        <v>47</v>
      </c>
      <c r="O233" s="1" t="s">
        <v>48</v>
      </c>
      <c r="P233" s="1" t="s">
        <v>4</v>
      </c>
      <c r="Q233" s="1" t="s">
        <v>49</v>
      </c>
      <c r="R233" s="1" t="s">
        <v>50</v>
      </c>
      <c r="S233" s="1" t="s">
        <v>51</v>
      </c>
      <c r="T233" s="1" t="s">
        <v>52</v>
      </c>
      <c r="U233" s="1" t="s">
        <v>10</v>
      </c>
    </row>
    <row r="234" spans="1:21" ht="28" customHeight="1" x14ac:dyDescent="0.35">
      <c r="A234" s="4">
        <v>1</v>
      </c>
      <c r="B234" s="4" t="s">
        <v>53</v>
      </c>
      <c r="C234" s="4" t="s">
        <v>516</v>
      </c>
      <c r="D234" s="4" t="s">
        <v>517</v>
      </c>
      <c r="E234" s="4" t="s">
        <v>56</v>
      </c>
      <c r="F234" s="4" t="s">
        <v>57</v>
      </c>
      <c r="G234" s="4" t="s">
        <v>58</v>
      </c>
      <c r="H234" s="4" t="s">
        <v>59</v>
      </c>
      <c r="I234" s="3"/>
      <c r="J234" s="3"/>
      <c r="K234" s="3"/>
      <c r="L234" s="3"/>
      <c r="M234" s="3"/>
      <c r="N234" s="3"/>
      <c r="O234" s="3"/>
      <c r="P234" s="8"/>
      <c r="Q234" s="8"/>
      <c r="R234" s="3"/>
      <c r="S234" s="3"/>
      <c r="T234" s="3"/>
      <c r="U234" s="5" t="str">
        <f t="shared" ref="U234:U249" si="12">IF(I234="","",IF(I234="NA","Grey",IF(I234=2,"Green",IF(I234=1,"Amber","Red"))))</f>
        <v/>
      </c>
    </row>
    <row r="235" spans="1:21" ht="28" customHeight="1" x14ac:dyDescent="0.35">
      <c r="A235" s="4">
        <v>2</v>
      </c>
      <c r="B235" s="4" t="s">
        <v>53</v>
      </c>
      <c r="C235" s="4" t="s">
        <v>518</v>
      </c>
      <c r="D235" s="4" t="s">
        <v>519</v>
      </c>
      <c r="E235" s="4" t="s">
        <v>56</v>
      </c>
      <c r="F235" s="4" t="s">
        <v>57</v>
      </c>
      <c r="G235" s="4" t="s">
        <v>58</v>
      </c>
      <c r="H235" s="4" t="s">
        <v>59</v>
      </c>
      <c r="I235" s="3"/>
      <c r="J235" s="3"/>
      <c r="K235" s="3"/>
      <c r="L235" s="3"/>
      <c r="M235" s="3"/>
      <c r="N235" s="3"/>
      <c r="O235" s="3"/>
      <c r="P235" s="8"/>
      <c r="Q235" s="8"/>
      <c r="R235" s="3"/>
      <c r="S235" s="3"/>
      <c r="T235" s="3"/>
      <c r="U235" s="5" t="str">
        <f t="shared" si="12"/>
        <v/>
      </c>
    </row>
    <row r="236" spans="1:21" ht="28" customHeight="1" x14ac:dyDescent="0.35">
      <c r="A236" s="4">
        <v>3</v>
      </c>
      <c r="B236" s="4" t="s">
        <v>53</v>
      </c>
      <c r="C236" s="4" t="s">
        <v>520</v>
      </c>
      <c r="D236" s="4" t="s">
        <v>521</v>
      </c>
      <c r="E236" s="4" t="s">
        <v>56</v>
      </c>
      <c r="F236" s="4" t="s">
        <v>57</v>
      </c>
      <c r="G236" s="4" t="s">
        <v>58</v>
      </c>
      <c r="H236" s="4" t="s">
        <v>59</v>
      </c>
      <c r="I236" s="3"/>
      <c r="J236" s="3"/>
      <c r="K236" s="3"/>
      <c r="L236" s="3"/>
      <c r="M236" s="3"/>
      <c r="N236" s="3"/>
      <c r="O236" s="3"/>
      <c r="P236" s="8"/>
      <c r="Q236" s="8"/>
      <c r="R236" s="3"/>
      <c r="S236" s="3"/>
      <c r="T236" s="3"/>
      <c r="U236" s="5" t="str">
        <f t="shared" si="12"/>
        <v/>
      </c>
    </row>
    <row r="237" spans="1:21" ht="28" customHeight="1" x14ac:dyDescent="0.35">
      <c r="A237" s="4">
        <v>4</v>
      </c>
      <c r="B237" s="4" t="s">
        <v>53</v>
      </c>
      <c r="C237" s="4" t="s">
        <v>522</v>
      </c>
      <c r="D237" s="4" t="s">
        <v>523</v>
      </c>
      <c r="E237" s="4" t="s">
        <v>56</v>
      </c>
      <c r="F237" s="4" t="s">
        <v>57</v>
      </c>
      <c r="G237" s="4" t="s">
        <v>58</v>
      </c>
      <c r="H237" s="4" t="s">
        <v>59</v>
      </c>
      <c r="I237" s="3"/>
      <c r="J237" s="3"/>
      <c r="K237" s="3"/>
      <c r="L237" s="3"/>
      <c r="M237" s="3"/>
      <c r="N237" s="3"/>
      <c r="O237" s="3"/>
      <c r="P237" s="8"/>
      <c r="Q237" s="8"/>
      <c r="R237" s="3"/>
      <c r="S237" s="3"/>
      <c r="T237" s="3"/>
      <c r="U237" s="5" t="str">
        <f t="shared" si="12"/>
        <v/>
      </c>
    </row>
    <row r="238" spans="1:21" ht="28" customHeight="1" x14ac:dyDescent="0.35">
      <c r="A238" s="4">
        <v>5</v>
      </c>
      <c r="B238" s="4" t="s">
        <v>66</v>
      </c>
      <c r="C238" s="4" t="s">
        <v>67</v>
      </c>
      <c r="D238" s="4" t="s">
        <v>68</v>
      </c>
      <c r="E238" s="4" t="s">
        <v>69</v>
      </c>
      <c r="F238" s="4" t="s">
        <v>57</v>
      </c>
      <c r="G238" s="4" t="s">
        <v>58</v>
      </c>
      <c r="H238" s="4" t="s">
        <v>59</v>
      </c>
      <c r="I238" s="3"/>
      <c r="J238" s="3"/>
      <c r="K238" s="3"/>
      <c r="L238" s="3"/>
      <c r="M238" s="3"/>
      <c r="N238" s="3"/>
      <c r="O238" s="3"/>
      <c r="P238" s="8"/>
      <c r="Q238" s="8"/>
      <c r="R238" s="3"/>
      <c r="S238" s="3"/>
      <c r="T238" s="3"/>
      <c r="U238" s="5" t="str">
        <f t="shared" si="12"/>
        <v/>
      </c>
    </row>
    <row r="239" spans="1:21" ht="28" customHeight="1" x14ac:dyDescent="0.35">
      <c r="A239" s="4">
        <v>6</v>
      </c>
      <c r="B239" s="4" t="s">
        <v>70</v>
      </c>
      <c r="C239" s="4" t="s">
        <v>71</v>
      </c>
      <c r="D239" s="4" t="s">
        <v>72</v>
      </c>
      <c r="E239" s="4" t="s">
        <v>70</v>
      </c>
      <c r="F239" s="4" t="s">
        <v>57</v>
      </c>
      <c r="G239" s="4" t="s">
        <v>58</v>
      </c>
      <c r="H239" s="4" t="s">
        <v>59</v>
      </c>
      <c r="I239" s="3"/>
      <c r="J239" s="3"/>
      <c r="K239" s="3"/>
      <c r="L239" s="3"/>
      <c r="M239" s="3"/>
      <c r="N239" s="3"/>
      <c r="O239" s="3"/>
      <c r="P239" s="8"/>
      <c r="Q239" s="8"/>
      <c r="R239" s="3"/>
      <c r="S239" s="3"/>
      <c r="T239" s="3"/>
      <c r="U239" s="5" t="str">
        <f t="shared" si="12"/>
        <v/>
      </c>
    </row>
    <row r="240" spans="1:21" ht="28" customHeight="1" x14ac:dyDescent="0.35">
      <c r="A240" s="4">
        <v>7</v>
      </c>
      <c r="B240" s="4" t="s">
        <v>73</v>
      </c>
      <c r="C240" s="4" t="s">
        <v>74</v>
      </c>
      <c r="D240" s="4" t="s">
        <v>75</v>
      </c>
      <c r="E240" s="4" t="s">
        <v>69</v>
      </c>
      <c r="F240" s="4" t="s">
        <v>57</v>
      </c>
      <c r="G240" s="4" t="s">
        <v>58</v>
      </c>
      <c r="H240" s="4" t="s">
        <v>76</v>
      </c>
      <c r="I240" s="3"/>
      <c r="J240" s="3"/>
      <c r="K240" s="3"/>
      <c r="L240" s="3"/>
      <c r="M240" s="3"/>
      <c r="N240" s="3"/>
      <c r="O240" s="3"/>
      <c r="P240" s="8"/>
      <c r="Q240" s="8"/>
      <c r="R240" s="3"/>
      <c r="S240" s="3"/>
      <c r="T240" s="3"/>
      <c r="U240" s="5" t="str">
        <f t="shared" si="12"/>
        <v/>
      </c>
    </row>
    <row r="241" spans="1:21" ht="28" customHeight="1" x14ac:dyDescent="0.35">
      <c r="A241" s="4">
        <v>8</v>
      </c>
      <c r="B241" s="4" t="s">
        <v>77</v>
      </c>
      <c r="C241" s="4" t="s">
        <v>78</v>
      </c>
      <c r="D241" s="4" t="s">
        <v>79</v>
      </c>
      <c r="E241" s="4" t="s">
        <v>80</v>
      </c>
      <c r="F241" s="4" t="s">
        <v>57</v>
      </c>
      <c r="G241" s="4" t="s">
        <v>58</v>
      </c>
      <c r="H241" s="4" t="s">
        <v>59</v>
      </c>
      <c r="I241" s="3"/>
      <c r="J241" s="3"/>
      <c r="K241" s="3"/>
      <c r="L241" s="3"/>
      <c r="M241" s="3"/>
      <c r="N241" s="3"/>
      <c r="O241" s="3"/>
      <c r="P241" s="8"/>
      <c r="Q241" s="8"/>
      <c r="R241" s="3"/>
      <c r="S241" s="3"/>
      <c r="T241" s="3"/>
      <c r="U241" s="5" t="str">
        <f t="shared" si="12"/>
        <v/>
      </c>
    </row>
    <row r="242" spans="1:21" ht="28" customHeight="1" x14ac:dyDescent="0.35">
      <c r="A242" s="4">
        <v>9</v>
      </c>
      <c r="B242" s="4" t="s">
        <v>81</v>
      </c>
      <c r="C242" s="4" t="s">
        <v>82</v>
      </c>
      <c r="D242" s="4" t="s">
        <v>83</v>
      </c>
      <c r="E242" s="4" t="s">
        <v>84</v>
      </c>
      <c r="F242" s="4" t="s">
        <v>57</v>
      </c>
      <c r="G242" s="4" t="s">
        <v>58</v>
      </c>
      <c r="H242" s="4" t="s">
        <v>85</v>
      </c>
      <c r="I242" s="3"/>
      <c r="J242" s="3"/>
      <c r="K242" s="3"/>
      <c r="L242" s="3"/>
      <c r="M242" s="3"/>
      <c r="N242" s="3"/>
      <c r="O242" s="3"/>
      <c r="P242" s="8"/>
      <c r="Q242" s="8"/>
      <c r="R242" s="3"/>
      <c r="S242" s="3"/>
      <c r="T242" s="3"/>
      <c r="U242" s="5" t="str">
        <f t="shared" si="12"/>
        <v/>
      </c>
    </row>
    <row r="243" spans="1:21" ht="28" customHeight="1" x14ac:dyDescent="0.35">
      <c r="A243" s="4">
        <v>10</v>
      </c>
      <c r="B243" s="4" t="s">
        <v>86</v>
      </c>
      <c r="C243" s="4" t="s">
        <v>87</v>
      </c>
      <c r="D243" s="4" t="s">
        <v>88</v>
      </c>
      <c r="E243" s="4" t="s">
        <v>69</v>
      </c>
      <c r="F243" s="4" t="s">
        <v>57</v>
      </c>
      <c r="G243" s="4" t="s">
        <v>58</v>
      </c>
      <c r="H243" s="4" t="s">
        <v>59</v>
      </c>
      <c r="I243" s="3"/>
      <c r="J243" s="3"/>
      <c r="K243" s="3"/>
      <c r="L243" s="3"/>
      <c r="M243" s="3"/>
      <c r="N243" s="3"/>
      <c r="O243" s="3"/>
      <c r="P243" s="8"/>
      <c r="Q243" s="8"/>
      <c r="R243" s="3"/>
      <c r="S243" s="3"/>
      <c r="T243" s="3"/>
      <c r="U243" s="5" t="str">
        <f t="shared" si="12"/>
        <v/>
      </c>
    </row>
    <row r="244" spans="1:21" ht="28" customHeight="1" x14ac:dyDescent="0.35">
      <c r="A244" s="4">
        <v>11</v>
      </c>
      <c r="B244" s="4" t="s">
        <v>89</v>
      </c>
      <c r="C244" s="4" t="s">
        <v>90</v>
      </c>
      <c r="D244" s="4" t="s">
        <v>91</v>
      </c>
      <c r="E244" s="4" t="s">
        <v>84</v>
      </c>
      <c r="F244" s="4" t="s">
        <v>57</v>
      </c>
      <c r="G244" s="4" t="s">
        <v>58</v>
      </c>
      <c r="H244" s="4" t="s">
        <v>59</v>
      </c>
      <c r="I244" s="3"/>
      <c r="J244" s="3"/>
      <c r="K244" s="3"/>
      <c r="L244" s="3"/>
      <c r="M244" s="3"/>
      <c r="N244" s="3"/>
      <c r="O244" s="3"/>
      <c r="P244" s="8"/>
      <c r="Q244" s="8"/>
      <c r="R244" s="3"/>
      <c r="S244" s="3"/>
      <c r="T244" s="3"/>
      <c r="U244" s="5" t="str">
        <f t="shared" si="12"/>
        <v/>
      </c>
    </row>
    <row r="245" spans="1:21" ht="28" customHeight="1" x14ac:dyDescent="0.35">
      <c r="A245" s="4">
        <v>12</v>
      </c>
      <c r="B245" s="4" t="s">
        <v>92</v>
      </c>
      <c r="C245" s="4" t="s">
        <v>93</v>
      </c>
      <c r="D245" s="4" t="s">
        <v>94</v>
      </c>
      <c r="E245" s="4" t="s">
        <v>69</v>
      </c>
      <c r="F245" s="4" t="s">
        <v>95</v>
      </c>
      <c r="G245" s="4" t="s">
        <v>96</v>
      </c>
      <c r="H245" s="4" t="s">
        <v>59</v>
      </c>
      <c r="I245" s="3"/>
      <c r="J245" s="3"/>
      <c r="K245" s="3"/>
      <c r="L245" s="3"/>
      <c r="M245" s="3"/>
      <c r="N245" s="3"/>
      <c r="O245" s="3"/>
      <c r="P245" s="8"/>
      <c r="Q245" s="8"/>
      <c r="R245" s="3"/>
      <c r="S245" s="3"/>
      <c r="T245" s="3"/>
      <c r="U245" s="5" t="str">
        <f t="shared" si="12"/>
        <v/>
      </c>
    </row>
    <row r="246" spans="1:21" ht="28" customHeight="1" x14ac:dyDescent="0.35">
      <c r="A246" s="4">
        <v>13</v>
      </c>
      <c r="B246" s="4" t="s">
        <v>97</v>
      </c>
      <c r="C246" s="4" t="s">
        <v>98</v>
      </c>
      <c r="D246" s="4" t="s">
        <v>99</v>
      </c>
      <c r="E246" s="4" t="s">
        <v>69</v>
      </c>
      <c r="F246" s="4" t="s">
        <v>95</v>
      </c>
      <c r="G246" s="4" t="s">
        <v>96</v>
      </c>
      <c r="H246" s="4" t="s">
        <v>59</v>
      </c>
      <c r="I246" s="3"/>
      <c r="J246" s="3"/>
      <c r="K246" s="3"/>
      <c r="L246" s="3"/>
      <c r="M246" s="3"/>
      <c r="N246" s="3"/>
      <c r="O246" s="3"/>
      <c r="P246" s="8"/>
      <c r="Q246" s="8"/>
      <c r="R246" s="3"/>
      <c r="S246" s="3"/>
      <c r="T246" s="3"/>
      <c r="U246" s="5" t="str">
        <f t="shared" si="12"/>
        <v/>
      </c>
    </row>
    <row r="247" spans="1:21" ht="28" customHeight="1" x14ac:dyDescent="0.35">
      <c r="A247" s="4">
        <v>14</v>
      </c>
      <c r="B247" s="4" t="s">
        <v>97</v>
      </c>
      <c r="C247" s="4" t="s">
        <v>100</v>
      </c>
      <c r="D247" s="4" t="s">
        <v>101</v>
      </c>
      <c r="E247" s="4" t="s">
        <v>69</v>
      </c>
      <c r="F247" s="4" t="s">
        <v>95</v>
      </c>
      <c r="G247" s="4" t="s">
        <v>102</v>
      </c>
      <c r="H247" s="4" t="s">
        <v>59</v>
      </c>
      <c r="I247" s="3"/>
      <c r="J247" s="3"/>
      <c r="K247" s="3"/>
      <c r="L247" s="3"/>
      <c r="M247" s="3"/>
      <c r="N247" s="3"/>
      <c r="O247" s="3"/>
      <c r="P247" s="8"/>
      <c r="Q247" s="8"/>
      <c r="R247" s="3"/>
      <c r="S247" s="3"/>
      <c r="T247" s="3"/>
      <c r="U247" s="5" t="str">
        <f t="shared" si="12"/>
        <v/>
      </c>
    </row>
    <row r="248" spans="1:21" ht="28" customHeight="1" x14ac:dyDescent="0.35">
      <c r="A248" s="4">
        <v>15</v>
      </c>
      <c r="B248" s="4" t="s">
        <v>103</v>
      </c>
      <c r="C248" s="4" t="s">
        <v>104</v>
      </c>
      <c r="D248" s="4" t="s">
        <v>105</v>
      </c>
      <c r="E248" s="4" t="s">
        <v>69</v>
      </c>
      <c r="F248" s="4" t="s">
        <v>95</v>
      </c>
      <c r="G248" s="4" t="s">
        <v>96</v>
      </c>
      <c r="H248" s="4" t="s">
        <v>85</v>
      </c>
      <c r="I248" s="3"/>
      <c r="J248" s="3"/>
      <c r="K248" s="3"/>
      <c r="L248" s="3"/>
      <c r="M248" s="3"/>
      <c r="N248" s="3"/>
      <c r="O248" s="3"/>
      <c r="P248" s="8"/>
      <c r="Q248" s="8"/>
      <c r="R248" s="3"/>
      <c r="S248" s="3"/>
      <c r="T248" s="3"/>
      <c r="U248" s="5" t="str">
        <f t="shared" si="12"/>
        <v/>
      </c>
    </row>
    <row r="249" spans="1:21" ht="28" customHeight="1" x14ac:dyDescent="0.35">
      <c r="A249" s="4">
        <v>16</v>
      </c>
      <c r="B249" s="4" t="s">
        <v>106</v>
      </c>
      <c r="C249" s="4" t="s">
        <v>107</v>
      </c>
      <c r="D249" s="4" t="s">
        <v>108</v>
      </c>
      <c r="E249" s="4" t="s">
        <v>109</v>
      </c>
      <c r="F249" s="4" t="s">
        <v>95</v>
      </c>
      <c r="G249" s="4" t="s">
        <v>96</v>
      </c>
      <c r="H249" s="4" t="s">
        <v>59</v>
      </c>
      <c r="I249" s="3"/>
      <c r="J249" s="3"/>
      <c r="K249" s="3"/>
      <c r="L249" s="3"/>
      <c r="M249" s="3"/>
      <c r="N249" s="3"/>
      <c r="O249" s="3"/>
      <c r="P249" s="8"/>
      <c r="Q249" s="8"/>
      <c r="R249" s="3"/>
      <c r="S249" s="3"/>
      <c r="T249" s="3"/>
      <c r="U249" s="5" t="str">
        <f t="shared" si="12"/>
        <v/>
      </c>
    </row>
    <row r="251" spans="1:21" ht="28" customHeight="1" x14ac:dyDescent="0.35">
      <c r="A251" s="9" t="s">
        <v>110</v>
      </c>
      <c r="B251" s="16"/>
      <c r="C251" s="17"/>
      <c r="D251" s="17"/>
      <c r="E251" s="17"/>
      <c r="F251" s="17"/>
      <c r="G251" s="17"/>
      <c r="H251" s="17"/>
      <c r="I251" s="17"/>
      <c r="J251" s="17"/>
      <c r="K251" s="17"/>
      <c r="L251" s="17"/>
      <c r="M251" s="17"/>
      <c r="N251" s="17"/>
      <c r="O251" s="17"/>
      <c r="P251" s="17"/>
      <c r="Q251" s="17"/>
      <c r="R251" s="17"/>
      <c r="S251" s="17"/>
      <c r="T251" s="17"/>
      <c r="U251" s="18"/>
    </row>
    <row r="252" spans="1:21" ht="28" customHeight="1" x14ac:dyDescent="0.35">
      <c r="A252" s="19" t="s">
        <v>534</v>
      </c>
      <c r="B252" s="20"/>
      <c r="C252" s="20"/>
      <c r="D252" s="20"/>
      <c r="E252" s="20"/>
      <c r="F252" s="20"/>
      <c r="G252" s="20"/>
      <c r="H252" s="20"/>
      <c r="I252" s="20"/>
      <c r="J252" s="20"/>
      <c r="K252" s="20"/>
      <c r="L252" s="20"/>
      <c r="M252" s="20"/>
      <c r="N252" s="20"/>
      <c r="O252" s="20"/>
      <c r="P252" s="20"/>
      <c r="Q252" s="20"/>
      <c r="R252" s="20"/>
      <c r="S252" s="20"/>
      <c r="T252" s="20"/>
      <c r="U252" s="21"/>
    </row>
    <row r="253" spans="1:21" ht="28" customHeight="1" x14ac:dyDescent="0.35">
      <c r="A253" s="4" t="s">
        <v>31</v>
      </c>
      <c r="B253" s="3" t="s">
        <v>29</v>
      </c>
      <c r="C253" s="4" t="s">
        <v>32</v>
      </c>
      <c r="D253" s="3"/>
      <c r="E253" s="4" t="s">
        <v>33</v>
      </c>
      <c r="F253" s="8"/>
    </row>
    <row r="254" spans="1:21" ht="28" customHeight="1" x14ac:dyDescent="0.35">
      <c r="A254" s="1" t="s">
        <v>34</v>
      </c>
      <c r="B254" s="1" t="s">
        <v>35</v>
      </c>
      <c r="C254" s="1" t="s">
        <v>36</v>
      </c>
      <c r="D254" s="1" t="s">
        <v>37</v>
      </c>
      <c r="E254" s="1" t="s">
        <v>38</v>
      </c>
      <c r="F254" s="1" t="s">
        <v>39</v>
      </c>
      <c r="G254" s="1" t="s">
        <v>40</v>
      </c>
      <c r="H254" s="1" t="s">
        <v>41</v>
      </c>
      <c r="I254" s="1" t="s">
        <v>42</v>
      </c>
      <c r="J254" s="1" t="s">
        <v>43</v>
      </c>
      <c r="K254" s="1" t="s">
        <v>44</v>
      </c>
      <c r="L254" s="1" t="s">
        <v>45</v>
      </c>
      <c r="M254" s="1" t="s">
        <v>46</v>
      </c>
      <c r="N254" s="1" t="s">
        <v>47</v>
      </c>
      <c r="O254" s="1" t="s">
        <v>48</v>
      </c>
      <c r="P254" s="1" t="s">
        <v>4</v>
      </c>
      <c r="Q254" s="1" t="s">
        <v>49</v>
      </c>
      <c r="R254" s="1" t="s">
        <v>50</v>
      </c>
      <c r="S254" s="1" t="s">
        <v>51</v>
      </c>
      <c r="T254" s="1" t="s">
        <v>52</v>
      </c>
      <c r="U254" s="1" t="s">
        <v>10</v>
      </c>
    </row>
    <row r="255" spans="1:21" ht="28" customHeight="1" x14ac:dyDescent="0.35">
      <c r="A255" s="4">
        <v>1</v>
      </c>
      <c r="B255" s="4" t="s">
        <v>53</v>
      </c>
      <c r="C255" s="4" t="s">
        <v>516</v>
      </c>
      <c r="D255" s="4" t="s">
        <v>517</v>
      </c>
      <c r="E255" s="4" t="s">
        <v>56</v>
      </c>
      <c r="F255" s="4" t="s">
        <v>57</v>
      </c>
      <c r="G255" s="4" t="s">
        <v>58</v>
      </c>
      <c r="H255" s="4" t="s">
        <v>59</v>
      </c>
      <c r="I255" s="3"/>
      <c r="J255" s="3"/>
      <c r="K255" s="3"/>
      <c r="L255" s="3"/>
      <c r="M255" s="3"/>
      <c r="N255" s="3"/>
      <c r="O255" s="3"/>
      <c r="P255" s="8"/>
      <c r="Q255" s="8"/>
      <c r="R255" s="3"/>
      <c r="S255" s="3"/>
      <c r="T255" s="3"/>
      <c r="U255" s="5" t="str">
        <f t="shared" ref="U255:U270" si="13">IF(I255="","",IF(I255="NA","Grey",IF(I255=2,"Green",IF(I255=1,"Amber","Red"))))</f>
        <v/>
      </c>
    </row>
    <row r="256" spans="1:21" ht="28" customHeight="1" x14ac:dyDescent="0.35">
      <c r="A256" s="4">
        <v>2</v>
      </c>
      <c r="B256" s="4" t="s">
        <v>53</v>
      </c>
      <c r="C256" s="4" t="s">
        <v>518</v>
      </c>
      <c r="D256" s="4" t="s">
        <v>519</v>
      </c>
      <c r="E256" s="4" t="s">
        <v>56</v>
      </c>
      <c r="F256" s="4" t="s">
        <v>57</v>
      </c>
      <c r="G256" s="4" t="s">
        <v>58</v>
      </c>
      <c r="H256" s="4" t="s">
        <v>59</v>
      </c>
      <c r="I256" s="3"/>
      <c r="J256" s="3"/>
      <c r="K256" s="3"/>
      <c r="L256" s="3"/>
      <c r="M256" s="3"/>
      <c r="N256" s="3"/>
      <c r="O256" s="3"/>
      <c r="P256" s="8"/>
      <c r="Q256" s="8"/>
      <c r="R256" s="3"/>
      <c r="S256" s="3"/>
      <c r="T256" s="3"/>
      <c r="U256" s="5" t="str">
        <f t="shared" si="13"/>
        <v/>
      </c>
    </row>
    <row r="257" spans="1:21" ht="28" customHeight="1" x14ac:dyDescent="0.35">
      <c r="A257" s="4">
        <v>3</v>
      </c>
      <c r="B257" s="4" t="s">
        <v>53</v>
      </c>
      <c r="C257" s="4" t="s">
        <v>520</v>
      </c>
      <c r="D257" s="4" t="s">
        <v>521</v>
      </c>
      <c r="E257" s="4" t="s">
        <v>56</v>
      </c>
      <c r="F257" s="4" t="s">
        <v>57</v>
      </c>
      <c r="G257" s="4" t="s">
        <v>58</v>
      </c>
      <c r="H257" s="4" t="s">
        <v>59</v>
      </c>
      <c r="I257" s="3"/>
      <c r="J257" s="3"/>
      <c r="K257" s="3"/>
      <c r="L257" s="3"/>
      <c r="M257" s="3"/>
      <c r="N257" s="3"/>
      <c r="O257" s="3"/>
      <c r="P257" s="8"/>
      <c r="Q257" s="8"/>
      <c r="R257" s="3"/>
      <c r="S257" s="3"/>
      <c r="T257" s="3"/>
      <c r="U257" s="5" t="str">
        <f t="shared" si="13"/>
        <v/>
      </c>
    </row>
    <row r="258" spans="1:21" ht="28" customHeight="1" x14ac:dyDescent="0.35">
      <c r="A258" s="4">
        <v>4</v>
      </c>
      <c r="B258" s="4" t="s">
        <v>53</v>
      </c>
      <c r="C258" s="4" t="s">
        <v>522</v>
      </c>
      <c r="D258" s="4" t="s">
        <v>523</v>
      </c>
      <c r="E258" s="4" t="s">
        <v>56</v>
      </c>
      <c r="F258" s="4" t="s">
        <v>57</v>
      </c>
      <c r="G258" s="4" t="s">
        <v>58</v>
      </c>
      <c r="H258" s="4" t="s">
        <v>59</v>
      </c>
      <c r="I258" s="3"/>
      <c r="J258" s="3"/>
      <c r="K258" s="3"/>
      <c r="L258" s="3"/>
      <c r="M258" s="3"/>
      <c r="N258" s="3"/>
      <c r="O258" s="3"/>
      <c r="P258" s="8"/>
      <c r="Q258" s="8"/>
      <c r="R258" s="3"/>
      <c r="S258" s="3"/>
      <c r="T258" s="3"/>
      <c r="U258" s="5" t="str">
        <f t="shared" si="13"/>
        <v/>
      </c>
    </row>
    <row r="259" spans="1:21" ht="28" customHeight="1" x14ac:dyDescent="0.35">
      <c r="A259" s="4">
        <v>5</v>
      </c>
      <c r="B259" s="4" t="s">
        <v>66</v>
      </c>
      <c r="C259" s="4" t="s">
        <v>67</v>
      </c>
      <c r="D259" s="4" t="s">
        <v>68</v>
      </c>
      <c r="E259" s="4" t="s">
        <v>69</v>
      </c>
      <c r="F259" s="4" t="s">
        <v>57</v>
      </c>
      <c r="G259" s="4" t="s">
        <v>58</v>
      </c>
      <c r="H259" s="4" t="s">
        <v>59</v>
      </c>
      <c r="I259" s="3"/>
      <c r="J259" s="3"/>
      <c r="K259" s="3"/>
      <c r="L259" s="3"/>
      <c r="M259" s="3"/>
      <c r="N259" s="3"/>
      <c r="O259" s="3"/>
      <c r="P259" s="8"/>
      <c r="Q259" s="8"/>
      <c r="R259" s="3"/>
      <c r="S259" s="3"/>
      <c r="T259" s="3"/>
      <c r="U259" s="5" t="str">
        <f t="shared" si="13"/>
        <v/>
      </c>
    </row>
    <row r="260" spans="1:21" ht="28" customHeight="1" x14ac:dyDescent="0.35">
      <c r="A260" s="4">
        <v>6</v>
      </c>
      <c r="B260" s="4" t="s">
        <v>70</v>
      </c>
      <c r="C260" s="4" t="s">
        <v>71</v>
      </c>
      <c r="D260" s="4" t="s">
        <v>72</v>
      </c>
      <c r="E260" s="4" t="s">
        <v>70</v>
      </c>
      <c r="F260" s="4" t="s">
        <v>57</v>
      </c>
      <c r="G260" s="4" t="s">
        <v>58</v>
      </c>
      <c r="H260" s="4" t="s">
        <v>59</v>
      </c>
      <c r="I260" s="3"/>
      <c r="J260" s="3"/>
      <c r="K260" s="3"/>
      <c r="L260" s="3"/>
      <c r="M260" s="3"/>
      <c r="N260" s="3"/>
      <c r="O260" s="3"/>
      <c r="P260" s="8"/>
      <c r="Q260" s="8"/>
      <c r="R260" s="3"/>
      <c r="S260" s="3"/>
      <c r="T260" s="3"/>
      <c r="U260" s="5" t="str">
        <f t="shared" si="13"/>
        <v/>
      </c>
    </row>
    <row r="261" spans="1:21" ht="28" customHeight="1" x14ac:dyDescent="0.35">
      <c r="A261" s="4">
        <v>7</v>
      </c>
      <c r="B261" s="4" t="s">
        <v>73</v>
      </c>
      <c r="C261" s="4" t="s">
        <v>74</v>
      </c>
      <c r="D261" s="4" t="s">
        <v>75</v>
      </c>
      <c r="E261" s="4" t="s">
        <v>69</v>
      </c>
      <c r="F261" s="4" t="s">
        <v>57</v>
      </c>
      <c r="G261" s="4" t="s">
        <v>58</v>
      </c>
      <c r="H261" s="4" t="s">
        <v>76</v>
      </c>
      <c r="I261" s="3"/>
      <c r="J261" s="3"/>
      <c r="K261" s="3"/>
      <c r="L261" s="3"/>
      <c r="M261" s="3"/>
      <c r="N261" s="3"/>
      <c r="O261" s="3"/>
      <c r="P261" s="8"/>
      <c r="Q261" s="8"/>
      <c r="R261" s="3"/>
      <c r="S261" s="3"/>
      <c r="T261" s="3"/>
      <c r="U261" s="5" t="str">
        <f t="shared" si="13"/>
        <v/>
      </c>
    </row>
    <row r="262" spans="1:21" ht="28" customHeight="1" x14ac:dyDescent="0.35">
      <c r="A262" s="4">
        <v>8</v>
      </c>
      <c r="B262" s="4" t="s">
        <v>77</v>
      </c>
      <c r="C262" s="4" t="s">
        <v>78</v>
      </c>
      <c r="D262" s="4" t="s">
        <v>79</v>
      </c>
      <c r="E262" s="4" t="s">
        <v>80</v>
      </c>
      <c r="F262" s="4" t="s">
        <v>57</v>
      </c>
      <c r="G262" s="4" t="s">
        <v>58</v>
      </c>
      <c r="H262" s="4" t="s">
        <v>59</v>
      </c>
      <c r="I262" s="3"/>
      <c r="J262" s="3"/>
      <c r="K262" s="3"/>
      <c r="L262" s="3"/>
      <c r="M262" s="3"/>
      <c r="N262" s="3"/>
      <c r="O262" s="3"/>
      <c r="P262" s="8"/>
      <c r="Q262" s="8"/>
      <c r="R262" s="3"/>
      <c r="S262" s="3"/>
      <c r="T262" s="3"/>
      <c r="U262" s="5" t="str">
        <f t="shared" si="13"/>
        <v/>
      </c>
    </row>
    <row r="263" spans="1:21" ht="28" customHeight="1" x14ac:dyDescent="0.35">
      <c r="A263" s="4">
        <v>9</v>
      </c>
      <c r="B263" s="4" t="s">
        <v>81</v>
      </c>
      <c r="C263" s="4" t="s">
        <v>82</v>
      </c>
      <c r="D263" s="4" t="s">
        <v>83</v>
      </c>
      <c r="E263" s="4" t="s">
        <v>84</v>
      </c>
      <c r="F263" s="4" t="s">
        <v>57</v>
      </c>
      <c r="G263" s="4" t="s">
        <v>58</v>
      </c>
      <c r="H263" s="4" t="s">
        <v>85</v>
      </c>
      <c r="I263" s="3"/>
      <c r="J263" s="3"/>
      <c r="K263" s="3"/>
      <c r="L263" s="3"/>
      <c r="M263" s="3"/>
      <c r="N263" s="3"/>
      <c r="O263" s="3"/>
      <c r="P263" s="8"/>
      <c r="Q263" s="8"/>
      <c r="R263" s="3"/>
      <c r="S263" s="3"/>
      <c r="T263" s="3"/>
      <c r="U263" s="5" t="str">
        <f t="shared" si="13"/>
        <v/>
      </c>
    </row>
    <row r="264" spans="1:21" ht="28" customHeight="1" x14ac:dyDescent="0.35">
      <c r="A264" s="4">
        <v>10</v>
      </c>
      <c r="B264" s="4" t="s">
        <v>86</v>
      </c>
      <c r="C264" s="4" t="s">
        <v>87</v>
      </c>
      <c r="D264" s="4" t="s">
        <v>88</v>
      </c>
      <c r="E264" s="4" t="s">
        <v>69</v>
      </c>
      <c r="F264" s="4" t="s">
        <v>57</v>
      </c>
      <c r="G264" s="4" t="s">
        <v>58</v>
      </c>
      <c r="H264" s="4" t="s">
        <v>59</v>
      </c>
      <c r="I264" s="3"/>
      <c r="J264" s="3"/>
      <c r="K264" s="3"/>
      <c r="L264" s="3"/>
      <c r="M264" s="3"/>
      <c r="N264" s="3"/>
      <c r="O264" s="3"/>
      <c r="P264" s="8"/>
      <c r="Q264" s="8"/>
      <c r="R264" s="3"/>
      <c r="S264" s="3"/>
      <c r="T264" s="3"/>
      <c r="U264" s="5" t="str">
        <f t="shared" si="13"/>
        <v/>
      </c>
    </row>
    <row r="265" spans="1:21" ht="28" customHeight="1" x14ac:dyDescent="0.35">
      <c r="A265" s="4">
        <v>11</v>
      </c>
      <c r="B265" s="4" t="s">
        <v>89</v>
      </c>
      <c r="C265" s="4" t="s">
        <v>90</v>
      </c>
      <c r="D265" s="4" t="s">
        <v>91</v>
      </c>
      <c r="E265" s="4" t="s">
        <v>84</v>
      </c>
      <c r="F265" s="4" t="s">
        <v>57</v>
      </c>
      <c r="G265" s="4" t="s">
        <v>58</v>
      </c>
      <c r="H265" s="4" t="s">
        <v>59</v>
      </c>
      <c r="I265" s="3"/>
      <c r="J265" s="3"/>
      <c r="K265" s="3"/>
      <c r="L265" s="3"/>
      <c r="M265" s="3"/>
      <c r="N265" s="3"/>
      <c r="O265" s="3"/>
      <c r="P265" s="8"/>
      <c r="Q265" s="8"/>
      <c r="R265" s="3"/>
      <c r="S265" s="3"/>
      <c r="T265" s="3"/>
      <c r="U265" s="5" t="str">
        <f t="shared" si="13"/>
        <v/>
      </c>
    </row>
    <row r="266" spans="1:21" ht="28" customHeight="1" x14ac:dyDescent="0.35">
      <c r="A266" s="4">
        <v>12</v>
      </c>
      <c r="B266" s="4" t="s">
        <v>92</v>
      </c>
      <c r="C266" s="4" t="s">
        <v>93</v>
      </c>
      <c r="D266" s="4" t="s">
        <v>94</v>
      </c>
      <c r="E266" s="4" t="s">
        <v>69</v>
      </c>
      <c r="F266" s="4" t="s">
        <v>95</v>
      </c>
      <c r="G266" s="4" t="s">
        <v>96</v>
      </c>
      <c r="H266" s="4" t="s">
        <v>59</v>
      </c>
      <c r="I266" s="3"/>
      <c r="J266" s="3"/>
      <c r="K266" s="3"/>
      <c r="L266" s="3"/>
      <c r="M266" s="3"/>
      <c r="N266" s="3"/>
      <c r="O266" s="3"/>
      <c r="P266" s="8"/>
      <c r="Q266" s="8"/>
      <c r="R266" s="3"/>
      <c r="S266" s="3"/>
      <c r="T266" s="3"/>
      <c r="U266" s="5" t="str">
        <f t="shared" si="13"/>
        <v/>
      </c>
    </row>
    <row r="267" spans="1:21" ht="28" customHeight="1" x14ac:dyDescent="0.35">
      <c r="A267" s="4">
        <v>13</v>
      </c>
      <c r="B267" s="4" t="s">
        <v>97</v>
      </c>
      <c r="C267" s="4" t="s">
        <v>98</v>
      </c>
      <c r="D267" s="4" t="s">
        <v>99</v>
      </c>
      <c r="E267" s="4" t="s">
        <v>69</v>
      </c>
      <c r="F267" s="4" t="s">
        <v>95</v>
      </c>
      <c r="G267" s="4" t="s">
        <v>96</v>
      </c>
      <c r="H267" s="4" t="s">
        <v>59</v>
      </c>
      <c r="I267" s="3"/>
      <c r="J267" s="3"/>
      <c r="K267" s="3"/>
      <c r="L267" s="3"/>
      <c r="M267" s="3"/>
      <c r="N267" s="3"/>
      <c r="O267" s="3"/>
      <c r="P267" s="8"/>
      <c r="Q267" s="8"/>
      <c r="R267" s="3"/>
      <c r="S267" s="3"/>
      <c r="T267" s="3"/>
      <c r="U267" s="5" t="str">
        <f t="shared" si="13"/>
        <v/>
      </c>
    </row>
    <row r="268" spans="1:21" ht="28" customHeight="1" x14ac:dyDescent="0.35">
      <c r="A268" s="4">
        <v>14</v>
      </c>
      <c r="B268" s="4" t="s">
        <v>97</v>
      </c>
      <c r="C268" s="4" t="s">
        <v>100</v>
      </c>
      <c r="D268" s="4" t="s">
        <v>101</v>
      </c>
      <c r="E268" s="4" t="s">
        <v>69</v>
      </c>
      <c r="F268" s="4" t="s">
        <v>95</v>
      </c>
      <c r="G268" s="4" t="s">
        <v>102</v>
      </c>
      <c r="H268" s="4" t="s">
        <v>59</v>
      </c>
      <c r="I268" s="3"/>
      <c r="J268" s="3"/>
      <c r="K268" s="3"/>
      <c r="L268" s="3"/>
      <c r="M268" s="3"/>
      <c r="N268" s="3"/>
      <c r="O268" s="3"/>
      <c r="P268" s="8"/>
      <c r="Q268" s="8"/>
      <c r="R268" s="3"/>
      <c r="S268" s="3"/>
      <c r="T268" s="3"/>
      <c r="U268" s="5" t="str">
        <f t="shared" si="13"/>
        <v/>
      </c>
    </row>
    <row r="269" spans="1:21" ht="28" customHeight="1" x14ac:dyDescent="0.35">
      <c r="A269" s="4">
        <v>15</v>
      </c>
      <c r="B269" s="4" t="s">
        <v>103</v>
      </c>
      <c r="C269" s="4" t="s">
        <v>104</v>
      </c>
      <c r="D269" s="4" t="s">
        <v>105</v>
      </c>
      <c r="E269" s="4" t="s">
        <v>69</v>
      </c>
      <c r="F269" s="4" t="s">
        <v>95</v>
      </c>
      <c r="G269" s="4" t="s">
        <v>96</v>
      </c>
      <c r="H269" s="4" t="s">
        <v>85</v>
      </c>
      <c r="I269" s="3"/>
      <c r="J269" s="3"/>
      <c r="K269" s="3"/>
      <c r="L269" s="3"/>
      <c r="M269" s="3"/>
      <c r="N269" s="3"/>
      <c r="O269" s="3"/>
      <c r="P269" s="8"/>
      <c r="Q269" s="8"/>
      <c r="R269" s="3"/>
      <c r="S269" s="3"/>
      <c r="T269" s="3"/>
      <c r="U269" s="5" t="str">
        <f t="shared" si="13"/>
        <v/>
      </c>
    </row>
    <row r="270" spans="1:21" ht="28" customHeight="1" x14ac:dyDescent="0.35">
      <c r="A270" s="4">
        <v>16</v>
      </c>
      <c r="B270" s="4" t="s">
        <v>106</v>
      </c>
      <c r="C270" s="4" t="s">
        <v>107</v>
      </c>
      <c r="D270" s="4" t="s">
        <v>108</v>
      </c>
      <c r="E270" s="4" t="s">
        <v>109</v>
      </c>
      <c r="F270" s="4" t="s">
        <v>95</v>
      </c>
      <c r="G270" s="4" t="s">
        <v>96</v>
      </c>
      <c r="H270" s="4" t="s">
        <v>59</v>
      </c>
      <c r="I270" s="3"/>
      <c r="J270" s="3"/>
      <c r="K270" s="3"/>
      <c r="L270" s="3"/>
      <c r="M270" s="3"/>
      <c r="N270" s="3"/>
      <c r="O270" s="3"/>
      <c r="P270" s="8"/>
      <c r="Q270" s="8"/>
      <c r="R270" s="3"/>
      <c r="S270" s="3"/>
      <c r="T270" s="3"/>
      <c r="U270" s="5" t="str">
        <f t="shared" si="13"/>
        <v/>
      </c>
    </row>
    <row r="272" spans="1:21" ht="28" customHeight="1" x14ac:dyDescent="0.35">
      <c r="A272" s="9" t="s">
        <v>110</v>
      </c>
      <c r="B272" s="16"/>
      <c r="C272" s="17"/>
      <c r="D272" s="17"/>
      <c r="E272" s="17"/>
      <c r="F272" s="17"/>
      <c r="G272" s="17"/>
      <c r="H272" s="17"/>
      <c r="I272" s="17"/>
      <c r="J272" s="17"/>
      <c r="K272" s="17"/>
      <c r="L272" s="17"/>
      <c r="M272" s="17"/>
      <c r="N272" s="17"/>
      <c r="O272" s="17"/>
      <c r="P272" s="17"/>
      <c r="Q272" s="17"/>
      <c r="R272" s="17"/>
      <c r="S272" s="17"/>
      <c r="T272" s="17"/>
      <c r="U272" s="18"/>
    </row>
  </sheetData>
  <sheetProtection sheet="1" objects="1" scenarios="1" formatCells="0" formatColumns="0" formatRows="0" insertRows="0" sort="0" autoFilter="0"/>
  <autoFilter ref="A4:O16" xr:uid="{00000000-0009-0000-0000-000008000000}"/>
  <mergeCells count="26">
    <mergeCell ref="A1:U1"/>
    <mergeCell ref="B104:U104"/>
    <mergeCell ref="B251:U251"/>
    <mergeCell ref="A168:U168"/>
    <mergeCell ref="B2:U2"/>
    <mergeCell ref="A126:U126"/>
    <mergeCell ref="A231:U231"/>
    <mergeCell ref="A147:U147"/>
    <mergeCell ref="A63:U63"/>
    <mergeCell ref="B230:U230"/>
    <mergeCell ref="B146:U146"/>
    <mergeCell ref="B83:U83"/>
    <mergeCell ref="A21:U21"/>
    <mergeCell ref="A210:U210"/>
    <mergeCell ref="B167:U167"/>
    <mergeCell ref="B272:U272"/>
    <mergeCell ref="A42:U42"/>
    <mergeCell ref="B41:U41"/>
    <mergeCell ref="B188:U188"/>
    <mergeCell ref="A252:U252"/>
    <mergeCell ref="B62:U62"/>
    <mergeCell ref="B209:U209"/>
    <mergeCell ref="A84:U84"/>
    <mergeCell ref="B125:U125"/>
    <mergeCell ref="A189:U189"/>
    <mergeCell ref="A105:U105"/>
  </mergeCells>
  <conditionalFormatting sqref="G5:G16">
    <cfRule type="colorScale" priority="53">
      <colorScale>
        <cfvo type="min"/>
        <cfvo type="percentile" val="50"/>
        <cfvo type="max"/>
        <color rgb="FFF8696B"/>
        <color rgb="FFFFEB84"/>
        <color rgb="FF63BE7B"/>
      </colorScale>
    </cfRule>
  </conditionalFormatting>
  <conditionalFormatting sqref="H5:H16">
    <cfRule type="containsText" dxfId="467" priority="49" operator="containsText" text="Red">
      <formula>NOT(ISERROR(SEARCH("Red",H5)))</formula>
    </cfRule>
    <cfRule type="containsText" dxfId="466" priority="50" operator="containsText" text="Amber">
      <formula>NOT(ISERROR(SEARCH("Amber",H5)))</formula>
    </cfRule>
    <cfRule type="containsText" dxfId="465" priority="51" operator="containsText" text="Green">
      <formula>NOT(ISERROR(SEARCH("Green",H5)))</formula>
    </cfRule>
    <cfRule type="containsText" dxfId="464" priority="52" operator="containsText" text="Not Started">
      <formula>NOT(ISERROR(SEARCH("Not Started",H5)))</formula>
    </cfRule>
  </conditionalFormatting>
  <conditionalFormatting sqref="U24:U39">
    <cfRule type="containsText" dxfId="463" priority="1" operator="containsText" text="Red">
      <formula>NOT(ISERROR(SEARCH("Red",U24)))</formula>
    </cfRule>
    <cfRule type="containsText" dxfId="462" priority="2" operator="containsText" text="Amber">
      <formula>NOT(ISERROR(SEARCH("Amber",U24)))</formula>
    </cfRule>
    <cfRule type="containsText" dxfId="461" priority="3" operator="containsText" text="Green">
      <formula>NOT(ISERROR(SEARCH("Green",U24)))</formula>
    </cfRule>
    <cfRule type="containsText" dxfId="460" priority="4" operator="containsText" text="Grey">
      <formula>NOT(ISERROR(SEARCH("Grey",U24)))</formula>
    </cfRule>
  </conditionalFormatting>
  <conditionalFormatting sqref="U45:U60">
    <cfRule type="containsText" dxfId="459" priority="5" operator="containsText" text="Red">
      <formula>NOT(ISERROR(SEARCH("Red",U45)))</formula>
    </cfRule>
    <cfRule type="containsText" dxfId="458" priority="6" operator="containsText" text="Amber">
      <formula>NOT(ISERROR(SEARCH("Amber",U45)))</formula>
    </cfRule>
    <cfRule type="containsText" dxfId="457" priority="7" operator="containsText" text="Green">
      <formula>NOT(ISERROR(SEARCH("Green",U45)))</formula>
    </cfRule>
    <cfRule type="containsText" dxfId="456" priority="8" operator="containsText" text="Grey">
      <formula>NOT(ISERROR(SEARCH("Grey",U45)))</formula>
    </cfRule>
  </conditionalFormatting>
  <conditionalFormatting sqref="U66:U81">
    <cfRule type="containsText" dxfId="455" priority="9" operator="containsText" text="Red">
      <formula>NOT(ISERROR(SEARCH("Red",U66)))</formula>
    </cfRule>
    <cfRule type="containsText" dxfId="454" priority="10" operator="containsText" text="Amber">
      <formula>NOT(ISERROR(SEARCH("Amber",U66)))</formula>
    </cfRule>
    <cfRule type="containsText" dxfId="453" priority="11" operator="containsText" text="Green">
      <formula>NOT(ISERROR(SEARCH("Green",U66)))</formula>
    </cfRule>
    <cfRule type="containsText" dxfId="452" priority="12" operator="containsText" text="Grey">
      <formula>NOT(ISERROR(SEARCH("Grey",U66)))</formula>
    </cfRule>
  </conditionalFormatting>
  <conditionalFormatting sqref="U87:U102">
    <cfRule type="containsText" dxfId="451" priority="13" operator="containsText" text="Red">
      <formula>NOT(ISERROR(SEARCH("Red",U87)))</formula>
    </cfRule>
    <cfRule type="containsText" dxfId="450" priority="14" operator="containsText" text="Amber">
      <formula>NOT(ISERROR(SEARCH("Amber",U87)))</formula>
    </cfRule>
    <cfRule type="containsText" dxfId="449" priority="15" operator="containsText" text="Green">
      <formula>NOT(ISERROR(SEARCH("Green",U87)))</formula>
    </cfRule>
    <cfRule type="containsText" dxfId="448" priority="16" operator="containsText" text="Grey">
      <formula>NOT(ISERROR(SEARCH("Grey",U87)))</formula>
    </cfRule>
  </conditionalFormatting>
  <conditionalFormatting sqref="U108:U123">
    <cfRule type="containsText" dxfId="447" priority="17" operator="containsText" text="Red">
      <formula>NOT(ISERROR(SEARCH("Red",U108)))</formula>
    </cfRule>
    <cfRule type="containsText" dxfId="446" priority="18" operator="containsText" text="Amber">
      <formula>NOT(ISERROR(SEARCH("Amber",U108)))</formula>
    </cfRule>
    <cfRule type="containsText" dxfId="445" priority="19" operator="containsText" text="Green">
      <formula>NOT(ISERROR(SEARCH("Green",U108)))</formula>
    </cfRule>
    <cfRule type="containsText" dxfId="444" priority="20" operator="containsText" text="Grey">
      <formula>NOT(ISERROR(SEARCH("Grey",U108)))</formula>
    </cfRule>
  </conditionalFormatting>
  <conditionalFormatting sqref="U129:U144">
    <cfRule type="containsText" dxfId="443" priority="21" operator="containsText" text="Red">
      <formula>NOT(ISERROR(SEARCH("Red",U129)))</formula>
    </cfRule>
    <cfRule type="containsText" dxfId="442" priority="22" operator="containsText" text="Amber">
      <formula>NOT(ISERROR(SEARCH("Amber",U129)))</formula>
    </cfRule>
    <cfRule type="containsText" dxfId="441" priority="23" operator="containsText" text="Green">
      <formula>NOT(ISERROR(SEARCH("Green",U129)))</formula>
    </cfRule>
    <cfRule type="containsText" dxfId="440" priority="24" operator="containsText" text="Grey">
      <formula>NOT(ISERROR(SEARCH("Grey",U129)))</formula>
    </cfRule>
  </conditionalFormatting>
  <conditionalFormatting sqref="U150:U165">
    <cfRule type="containsText" dxfId="439" priority="26" operator="containsText" text="Amber">
      <formula>NOT(ISERROR(SEARCH("Amber",U150)))</formula>
    </cfRule>
    <cfRule type="containsText" dxfId="438" priority="27" operator="containsText" text="Green">
      <formula>NOT(ISERROR(SEARCH("Green",U150)))</formula>
    </cfRule>
    <cfRule type="containsText" dxfId="437" priority="28" operator="containsText" text="Grey">
      <formula>NOT(ISERROR(SEARCH("Grey",U150)))</formula>
    </cfRule>
    <cfRule type="containsText" dxfId="436" priority="25" operator="containsText" text="Red">
      <formula>NOT(ISERROR(SEARCH("Red",U150)))</formula>
    </cfRule>
  </conditionalFormatting>
  <conditionalFormatting sqref="U171:U186">
    <cfRule type="containsText" dxfId="435" priority="29" operator="containsText" text="Red">
      <formula>NOT(ISERROR(SEARCH("Red",U171)))</formula>
    </cfRule>
    <cfRule type="containsText" dxfId="434" priority="30" operator="containsText" text="Amber">
      <formula>NOT(ISERROR(SEARCH("Amber",U171)))</formula>
    </cfRule>
    <cfRule type="containsText" dxfId="433" priority="31" operator="containsText" text="Green">
      <formula>NOT(ISERROR(SEARCH("Green",U171)))</formula>
    </cfRule>
    <cfRule type="containsText" dxfId="432" priority="32" operator="containsText" text="Grey">
      <formula>NOT(ISERROR(SEARCH("Grey",U171)))</formula>
    </cfRule>
  </conditionalFormatting>
  <conditionalFormatting sqref="U192:U207">
    <cfRule type="containsText" dxfId="431" priority="34" operator="containsText" text="Amber">
      <formula>NOT(ISERROR(SEARCH("Amber",U192)))</formula>
    </cfRule>
    <cfRule type="containsText" dxfId="430" priority="35" operator="containsText" text="Green">
      <formula>NOT(ISERROR(SEARCH("Green",U192)))</formula>
    </cfRule>
    <cfRule type="containsText" dxfId="429" priority="36" operator="containsText" text="Grey">
      <formula>NOT(ISERROR(SEARCH("Grey",U192)))</formula>
    </cfRule>
    <cfRule type="containsText" dxfId="428" priority="33" operator="containsText" text="Red">
      <formula>NOT(ISERROR(SEARCH("Red",U192)))</formula>
    </cfRule>
  </conditionalFormatting>
  <conditionalFormatting sqref="U213:U228">
    <cfRule type="containsText" dxfId="427" priority="37" operator="containsText" text="Red">
      <formula>NOT(ISERROR(SEARCH("Red",U213)))</formula>
    </cfRule>
    <cfRule type="containsText" dxfId="426" priority="38" operator="containsText" text="Amber">
      <formula>NOT(ISERROR(SEARCH("Amber",U213)))</formula>
    </cfRule>
    <cfRule type="containsText" dxfId="425" priority="39" operator="containsText" text="Green">
      <formula>NOT(ISERROR(SEARCH("Green",U213)))</formula>
    </cfRule>
    <cfRule type="containsText" dxfId="424" priority="40" operator="containsText" text="Grey">
      <formula>NOT(ISERROR(SEARCH("Grey",U213)))</formula>
    </cfRule>
  </conditionalFormatting>
  <conditionalFormatting sqref="U234:U249">
    <cfRule type="containsText" dxfId="423" priority="42" operator="containsText" text="Amber">
      <formula>NOT(ISERROR(SEARCH("Amber",U234)))</formula>
    </cfRule>
    <cfRule type="containsText" dxfId="422" priority="43" operator="containsText" text="Green">
      <formula>NOT(ISERROR(SEARCH("Green",U234)))</formula>
    </cfRule>
    <cfRule type="containsText" dxfId="421" priority="44" operator="containsText" text="Grey">
      <formula>NOT(ISERROR(SEARCH("Grey",U234)))</formula>
    </cfRule>
    <cfRule type="containsText" dxfId="420" priority="41" operator="containsText" text="Red">
      <formula>NOT(ISERROR(SEARCH("Red",U234)))</formula>
    </cfRule>
  </conditionalFormatting>
  <conditionalFormatting sqref="U255:U270">
    <cfRule type="containsText" dxfId="419" priority="45" operator="containsText" text="Red">
      <formula>NOT(ISERROR(SEARCH("Red",U255)))</formula>
    </cfRule>
    <cfRule type="containsText" dxfId="418" priority="46" operator="containsText" text="Amber">
      <formula>NOT(ISERROR(SEARCH("Amber",U255)))</formula>
    </cfRule>
    <cfRule type="containsText" dxfId="417" priority="48" operator="containsText" text="Grey">
      <formula>NOT(ISERROR(SEARCH("Grey",U255)))</formula>
    </cfRule>
    <cfRule type="containsText" dxfId="416" priority="47" operator="containsText" text="Green">
      <formula>NOT(ISERROR(SEARCH("Green",U255)))</formula>
    </cfRule>
  </conditionalFormatting>
  <dataValidations count="4">
    <dataValidation type="list" allowBlank="1" showInputMessage="1" showErrorMessage="1" sqref="I24:I39 I45:I60 I66:I81 I87:I102 I108:I123 I129:I144 I150:I165 I171:I186 I192:I207 I213:I228 I234:I249 I255:I270" xr:uid="{00000000-0002-0000-0800-000000000000}">
      <formula1>"2,1,0,NA"</formula1>
    </dataValidation>
    <dataValidation type="list" allowBlank="1" showInputMessage="1" showErrorMessage="1" sqref="H24:H39 H45:H60 H66:H81 H87:H102 H108:H123 H129:H144 H150:H165 H171:H186 H192:H207 H213:H228 H234:H249 H255:H270" xr:uid="{00000000-0002-0000-0800-000001000000}">
      <formula1>"Critical,High,Medium,Low"</formula1>
    </dataValidation>
    <dataValidation type="list" allowBlank="1" showInputMessage="1" showErrorMessage="1" sqref="S24:S39 S45:S60 S66:S81 S87:S102 S108:S123 S129:S144 S150:S165 S171:S186 S192:S207 S213:S228 S234:S249 S255:S270" xr:uid="{00000000-0002-0000-0800-000002000000}">
      <formula1>"Yes,No,N/A"</formula1>
    </dataValidation>
    <dataValidation type="list" allowBlank="1" showInputMessage="1" showErrorMessage="1" sqref="T24:T39 T45:T60 T66:T81 T87:T102 T108:T123 T129:T144 T150:T165 T171:T186 T192:T207 T213:T228 T234:T249 T255:T270" xr:uid="{00000000-0002-0000-0800-000003000000}">
      <formula1>"Not Started,In Progress,Completed,Verified,Closed"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72"/>
  <sheetViews>
    <sheetView showGridLines="0" workbookViewId="0">
      <selection sqref="A1:U1"/>
    </sheetView>
  </sheetViews>
  <sheetFormatPr defaultRowHeight="28" customHeight="1" x14ac:dyDescent="0.35"/>
  <cols>
    <col min="1" max="1" width="7.7265625" customWidth="1"/>
    <col min="2" max="2" width="18.7265625" customWidth="1"/>
    <col min="3" max="3" width="42.7265625" customWidth="1"/>
    <col min="4" max="4" width="28.7265625" customWidth="1"/>
    <col min="5" max="6" width="18.7265625" customWidth="1"/>
    <col min="7" max="7" width="24.7265625" customWidth="1"/>
    <col min="8" max="9" width="13.7265625" customWidth="1"/>
    <col min="10" max="10" width="28.7265625" customWidth="1"/>
    <col min="11" max="11" width="30.7265625" customWidth="1"/>
    <col min="12" max="12" width="32.7265625" customWidth="1"/>
    <col min="13" max="13" width="28.7265625" customWidth="1"/>
    <col min="14" max="14" width="32.7265625" customWidth="1"/>
    <col min="15" max="15" width="20.7265625" customWidth="1"/>
    <col min="16" max="17" width="13.7265625" customWidth="1"/>
    <col min="18" max="18" width="18.7265625" customWidth="1"/>
    <col min="19" max="20" width="14.7265625" customWidth="1"/>
    <col min="21" max="21" width="10.7265625" customWidth="1"/>
  </cols>
  <sheetData>
    <row r="1" spans="1:21" ht="28" customHeight="1" x14ac:dyDescent="0.35">
      <c r="A1" s="24" t="s">
        <v>0</v>
      </c>
      <c r="B1" s="20"/>
      <c r="C1" s="20"/>
      <c r="D1" s="20"/>
      <c r="E1" s="20"/>
      <c r="F1" s="20"/>
      <c r="G1" s="20"/>
      <c r="H1" s="20"/>
      <c r="I1" s="20"/>
      <c r="J1" s="20"/>
      <c r="K1" s="20"/>
      <c r="L1" s="20"/>
      <c r="M1" s="20"/>
      <c r="N1" s="20"/>
      <c r="O1" s="20"/>
      <c r="P1" s="20"/>
      <c r="Q1" s="20"/>
      <c r="R1" s="20"/>
      <c r="S1" s="20"/>
      <c r="T1" s="20"/>
      <c r="U1" s="21"/>
    </row>
    <row r="2" spans="1:21" ht="28" customHeight="1" x14ac:dyDescent="0.35">
      <c r="A2" s="9" t="s">
        <v>1</v>
      </c>
      <c r="B2" s="22" t="s">
        <v>2</v>
      </c>
      <c r="C2" s="23"/>
      <c r="D2" s="23"/>
      <c r="E2" s="23"/>
      <c r="F2" s="23"/>
      <c r="G2" s="23"/>
      <c r="H2" s="23"/>
      <c r="I2" s="23"/>
      <c r="J2" s="23"/>
      <c r="K2" s="23"/>
      <c r="L2" s="23"/>
      <c r="M2" s="23"/>
      <c r="N2" s="23"/>
      <c r="O2" s="23"/>
      <c r="P2" s="23"/>
      <c r="Q2" s="23"/>
      <c r="R2" s="23"/>
      <c r="S2" s="23"/>
      <c r="T2" s="23"/>
      <c r="U2" s="23"/>
    </row>
    <row r="4" spans="1:21" ht="28" customHeight="1" x14ac:dyDescent="0.3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21" ht="28" customHeight="1" x14ac:dyDescent="0.35">
      <c r="A5" s="4" t="s">
        <v>18</v>
      </c>
      <c r="B5" s="7">
        <v>46050</v>
      </c>
      <c r="C5" s="8"/>
      <c r="D5" s="3"/>
      <c r="E5" s="5">
        <f>SUMIF(I24:I39,"&gt;=0",I24:I39)</f>
        <v>0</v>
      </c>
      <c r="F5" s="5">
        <f>COUNT(I24:I39)*2</f>
        <v>0</v>
      </c>
      <c r="G5" s="6" t="str">
        <f t="shared" ref="G5:G16" si="0">IF(F5=0,"",E5/F5)</f>
        <v/>
      </c>
      <c r="H5" s="5" t="str">
        <f t="shared" ref="H5:H16" si="1">IF(G5="","Not Started",IF(G5&gt;=0.9,"Green",IF(G5&gt;=0.75,"Amber","Red")))</f>
        <v>Not Started</v>
      </c>
      <c r="I5" s="5">
        <f>COUNTIFS(H24:H39,"Critical",I24:I39,"&lt;2")+COUNTIFS(H24:H39,"High",I24:I39,"&lt;2")</f>
        <v>0</v>
      </c>
      <c r="J5" s="5">
        <f>COUNTIF(T24:T39,"In Progress")+COUNTIF(T24:T39,"Not Started")</f>
        <v>0</v>
      </c>
      <c r="K5" s="5">
        <f ca="1">COUNTIFS(P24:P39,"&lt;"&amp;TODAY(),Q24:Q39,"")</f>
        <v>0</v>
      </c>
      <c r="L5" s="3"/>
      <c r="M5" s="3"/>
      <c r="N5" s="3"/>
      <c r="O5" s="3"/>
    </row>
    <row r="6" spans="1:21" ht="28" customHeight="1" x14ac:dyDescent="0.35">
      <c r="A6" s="4" t="s">
        <v>19</v>
      </c>
      <c r="B6" s="7">
        <v>46081</v>
      </c>
      <c r="C6" s="8"/>
      <c r="D6" s="3"/>
      <c r="E6" s="5">
        <f>SUMIF(I45:I60,"&gt;=0",I45:I60)</f>
        <v>0</v>
      </c>
      <c r="F6" s="5">
        <f>COUNT(I45:I60)*2</f>
        <v>0</v>
      </c>
      <c r="G6" s="6" t="str">
        <f t="shared" si="0"/>
        <v/>
      </c>
      <c r="H6" s="5" t="str">
        <f t="shared" si="1"/>
        <v>Not Started</v>
      </c>
      <c r="I6" s="5">
        <f>COUNTIFS(H45:H60,"Critical",I45:I60,"&lt;2")+COUNTIFS(H45:H60,"High",I45:I60,"&lt;2")</f>
        <v>0</v>
      </c>
      <c r="J6" s="5">
        <f>COUNTIF(T45:T60,"In Progress")+COUNTIF(T45:T60,"Not Started")</f>
        <v>0</v>
      </c>
      <c r="K6" s="5">
        <f ca="1">COUNTIFS(P45:P60,"&lt;"&amp;TODAY(),Q45:Q60,"")</f>
        <v>0</v>
      </c>
      <c r="L6" s="3"/>
      <c r="M6" s="3"/>
      <c r="N6" s="3"/>
      <c r="O6" s="3"/>
    </row>
    <row r="7" spans="1:21" ht="28" customHeight="1" x14ac:dyDescent="0.35">
      <c r="A7" s="4" t="s">
        <v>20</v>
      </c>
      <c r="B7" s="7">
        <v>46109</v>
      </c>
      <c r="C7" s="8"/>
      <c r="D7" s="3"/>
      <c r="E7" s="5">
        <f>SUMIF(I66:I81,"&gt;=0",I66:I81)</f>
        <v>0</v>
      </c>
      <c r="F7" s="5">
        <f>COUNT(I66:I81)*2</f>
        <v>0</v>
      </c>
      <c r="G7" s="6" t="str">
        <f t="shared" si="0"/>
        <v/>
      </c>
      <c r="H7" s="5" t="str">
        <f t="shared" si="1"/>
        <v>Not Started</v>
      </c>
      <c r="I7" s="5">
        <f>COUNTIFS(H66:H81,"Critical",I66:I81,"&lt;2")+COUNTIFS(H66:H81,"High",I66:I81,"&lt;2")</f>
        <v>0</v>
      </c>
      <c r="J7" s="5">
        <f>COUNTIF(T66:T81,"In Progress")+COUNTIF(T66:T81,"Not Started")</f>
        <v>0</v>
      </c>
      <c r="K7" s="5">
        <f ca="1">COUNTIFS(P66:P81,"&lt;"&amp;TODAY(),Q66:Q81,"")</f>
        <v>0</v>
      </c>
      <c r="L7" s="3"/>
      <c r="M7" s="3"/>
      <c r="N7" s="3"/>
      <c r="O7" s="3"/>
    </row>
    <row r="8" spans="1:21" ht="28" customHeight="1" x14ac:dyDescent="0.35">
      <c r="A8" s="4" t="s">
        <v>21</v>
      </c>
      <c r="B8" s="7">
        <v>46140</v>
      </c>
      <c r="C8" s="8"/>
      <c r="D8" s="3"/>
      <c r="E8" s="5">
        <f>SUMIF(I87:I102,"&gt;=0",I87:I102)</f>
        <v>0</v>
      </c>
      <c r="F8" s="5">
        <f>COUNT(I87:I102)*2</f>
        <v>0</v>
      </c>
      <c r="G8" s="6" t="str">
        <f t="shared" si="0"/>
        <v/>
      </c>
      <c r="H8" s="5" t="str">
        <f t="shared" si="1"/>
        <v>Not Started</v>
      </c>
      <c r="I8" s="5">
        <f>COUNTIFS(H87:H102,"Critical",I87:I102,"&lt;2")+COUNTIFS(H87:H102,"High",I87:I102,"&lt;2")</f>
        <v>0</v>
      </c>
      <c r="J8" s="5">
        <f>COUNTIF(T87:T102,"In Progress")+COUNTIF(T87:T102,"Not Started")</f>
        <v>0</v>
      </c>
      <c r="K8" s="5">
        <f ca="1">COUNTIFS(P87:P102,"&lt;"&amp;TODAY(),Q87:Q102,"")</f>
        <v>0</v>
      </c>
      <c r="L8" s="3"/>
      <c r="M8" s="3"/>
      <c r="N8" s="3"/>
      <c r="O8" s="3"/>
    </row>
    <row r="9" spans="1:21" ht="28" customHeight="1" x14ac:dyDescent="0.35">
      <c r="A9" s="4" t="s">
        <v>22</v>
      </c>
      <c r="B9" s="7">
        <v>46170</v>
      </c>
      <c r="C9" s="8"/>
      <c r="D9" s="3"/>
      <c r="E9" s="5">
        <f>SUMIF(I108:I123,"&gt;=0",I108:I123)</f>
        <v>0</v>
      </c>
      <c r="F9" s="5">
        <f>COUNT(I108:I123)*2</f>
        <v>0</v>
      </c>
      <c r="G9" s="6" t="str">
        <f t="shared" si="0"/>
        <v/>
      </c>
      <c r="H9" s="5" t="str">
        <f t="shared" si="1"/>
        <v>Not Started</v>
      </c>
      <c r="I9" s="5">
        <f>COUNTIFS(H108:H123,"Critical",I108:I123,"&lt;2")+COUNTIFS(H108:H123,"High",I108:I123,"&lt;2")</f>
        <v>0</v>
      </c>
      <c r="J9" s="5">
        <f>COUNTIF(T108:T123,"In Progress")+COUNTIF(T108:T123,"Not Started")</f>
        <v>0</v>
      </c>
      <c r="K9" s="5">
        <f ca="1">COUNTIFS(P108:P123,"&lt;"&amp;TODAY(),Q108:Q123,"")</f>
        <v>0</v>
      </c>
      <c r="L9" s="3"/>
      <c r="M9" s="3"/>
      <c r="N9" s="3"/>
      <c r="O9" s="3"/>
    </row>
    <row r="10" spans="1:21" ht="28" customHeight="1" x14ac:dyDescent="0.35">
      <c r="A10" s="4" t="s">
        <v>23</v>
      </c>
      <c r="B10" s="7">
        <v>46201</v>
      </c>
      <c r="C10" s="8"/>
      <c r="D10" s="3"/>
      <c r="E10" s="5">
        <f>SUMIF(I129:I144,"&gt;=0",I129:I144)</f>
        <v>0</v>
      </c>
      <c r="F10" s="5">
        <f>COUNT(I129:I144)*2</f>
        <v>0</v>
      </c>
      <c r="G10" s="6" t="str">
        <f t="shared" si="0"/>
        <v/>
      </c>
      <c r="H10" s="5" t="str">
        <f t="shared" si="1"/>
        <v>Not Started</v>
      </c>
      <c r="I10" s="5">
        <f>COUNTIFS(H129:H144,"Critical",I129:I144,"&lt;2")+COUNTIFS(H129:H144,"High",I129:I144,"&lt;2")</f>
        <v>0</v>
      </c>
      <c r="J10" s="5">
        <f>COUNTIF(T129:T144,"In Progress")+COUNTIF(T129:T144,"Not Started")</f>
        <v>0</v>
      </c>
      <c r="K10" s="5">
        <f ca="1">COUNTIFS(P129:P144,"&lt;"&amp;TODAY(),Q129:Q144,"")</f>
        <v>0</v>
      </c>
      <c r="L10" s="3"/>
      <c r="M10" s="3"/>
      <c r="N10" s="3"/>
      <c r="O10" s="3"/>
    </row>
    <row r="11" spans="1:21" ht="28" customHeight="1" x14ac:dyDescent="0.35">
      <c r="A11" s="4" t="s">
        <v>24</v>
      </c>
      <c r="B11" s="7">
        <v>46231</v>
      </c>
      <c r="C11" s="8"/>
      <c r="D11" s="3"/>
      <c r="E11" s="5">
        <f>SUMIF(I150:I165,"&gt;=0",I150:I165)</f>
        <v>0</v>
      </c>
      <c r="F11" s="5">
        <f>COUNT(I150:I165)*2</f>
        <v>0</v>
      </c>
      <c r="G11" s="6" t="str">
        <f t="shared" si="0"/>
        <v/>
      </c>
      <c r="H11" s="5" t="str">
        <f t="shared" si="1"/>
        <v>Not Started</v>
      </c>
      <c r="I11" s="5">
        <f>COUNTIFS(H150:H165,"Critical",I150:I165,"&lt;2")+COUNTIFS(H150:H165,"High",I150:I165,"&lt;2")</f>
        <v>0</v>
      </c>
      <c r="J11" s="5">
        <f>COUNTIF(T150:T165,"In Progress")+COUNTIF(T150:T165,"Not Started")</f>
        <v>0</v>
      </c>
      <c r="K11" s="5">
        <f ca="1">COUNTIFS(P150:P165,"&lt;"&amp;TODAY(),Q150:Q165,"")</f>
        <v>0</v>
      </c>
      <c r="L11" s="3"/>
      <c r="M11" s="3"/>
      <c r="N11" s="3"/>
      <c r="O11" s="3"/>
    </row>
    <row r="12" spans="1:21" ht="28" customHeight="1" x14ac:dyDescent="0.35">
      <c r="A12" s="4" t="s">
        <v>25</v>
      </c>
      <c r="B12" s="7">
        <v>46262</v>
      </c>
      <c r="C12" s="8"/>
      <c r="D12" s="3"/>
      <c r="E12" s="5">
        <f>SUMIF(I171:I186,"&gt;=0",I171:I186)</f>
        <v>0</v>
      </c>
      <c r="F12" s="5">
        <f>COUNT(I171:I186)*2</f>
        <v>0</v>
      </c>
      <c r="G12" s="6" t="str">
        <f t="shared" si="0"/>
        <v/>
      </c>
      <c r="H12" s="5" t="str">
        <f t="shared" si="1"/>
        <v>Not Started</v>
      </c>
      <c r="I12" s="5">
        <f>COUNTIFS(H171:H186,"Critical",I171:I186,"&lt;2")+COUNTIFS(H171:H186,"High",I171:I186,"&lt;2")</f>
        <v>0</v>
      </c>
      <c r="J12" s="5">
        <f>COUNTIF(T171:T186,"In Progress")+COUNTIF(T171:T186,"Not Started")</f>
        <v>0</v>
      </c>
      <c r="K12" s="5">
        <f ca="1">COUNTIFS(P171:P186,"&lt;"&amp;TODAY(),Q171:Q186,"")</f>
        <v>0</v>
      </c>
      <c r="L12" s="3"/>
      <c r="M12" s="3"/>
      <c r="N12" s="3"/>
      <c r="O12" s="3"/>
    </row>
    <row r="13" spans="1:21" ht="28" customHeight="1" x14ac:dyDescent="0.35">
      <c r="A13" s="4" t="s">
        <v>26</v>
      </c>
      <c r="B13" s="7">
        <v>46293</v>
      </c>
      <c r="C13" s="8"/>
      <c r="D13" s="3"/>
      <c r="E13" s="5">
        <f>SUMIF(I192:I207,"&gt;=0",I192:I207)</f>
        <v>0</v>
      </c>
      <c r="F13" s="5">
        <f>COUNT(I192:I207)*2</f>
        <v>0</v>
      </c>
      <c r="G13" s="6" t="str">
        <f t="shared" si="0"/>
        <v/>
      </c>
      <c r="H13" s="5" t="str">
        <f t="shared" si="1"/>
        <v>Not Started</v>
      </c>
      <c r="I13" s="5">
        <f>COUNTIFS(H192:H207,"Critical",I192:I207,"&lt;2")+COUNTIFS(H192:H207,"High",I192:I207,"&lt;2")</f>
        <v>0</v>
      </c>
      <c r="J13" s="5">
        <f>COUNTIF(T192:T207,"In Progress")+COUNTIF(T192:T207,"Not Started")</f>
        <v>0</v>
      </c>
      <c r="K13" s="5">
        <f ca="1">COUNTIFS(P192:P207,"&lt;"&amp;TODAY(),Q192:Q207,"")</f>
        <v>0</v>
      </c>
      <c r="L13" s="3"/>
      <c r="M13" s="3"/>
      <c r="N13" s="3"/>
      <c r="O13" s="3"/>
    </row>
    <row r="14" spans="1:21" ht="28" customHeight="1" x14ac:dyDescent="0.35">
      <c r="A14" s="4" t="s">
        <v>27</v>
      </c>
      <c r="B14" s="7">
        <v>46323</v>
      </c>
      <c r="C14" s="8"/>
      <c r="D14" s="3"/>
      <c r="E14" s="5">
        <f>SUMIF(I213:I228,"&gt;=0",I213:I228)</f>
        <v>0</v>
      </c>
      <c r="F14" s="5">
        <f>COUNT(I213:I228)*2</f>
        <v>0</v>
      </c>
      <c r="G14" s="6" t="str">
        <f t="shared" si="0"/>
        <v/>
      </c>
      <c r="H14" s="5" t="str">
        <f t="shared" si="1"/>
        <v>Not Started</v>
      </c>
      <c r="I14" s="5">
        <f>COUNTIFS(H213:H228,"Critical",I213:I228,"&lt;2")+COUNTIFS(H213:H228,"High",I213:I228,"&lt;2")</f>
        <v>0</v>
      </c>
      <c r="J14" s="5">
        <f>COUNTIF(T213:T228,"In Progress")+COUNTIF(T213:T228,"Not Started")</f>
        <v>0</v>
      </c>
      <c r="K14" s="5">
        <f ca="1">COUNTIFS(P213:P228,"&lt;"&amp;TODAY(),Q213:Q228,"")</f>
        <v>0</v>
      </c>
      <c r="L14" s="3"/>
      <c r="M14" s="3"/>
      <c r="N14" s="3"/>
      <c r="O14" s="3"/>
    </row>
    <row r="15" spans="1:21" ht="28" customHeight="1" x14ac:dyDescent="0.35">
      <c r="A15" s="4" t="s">
        <v>28</v>
      </c>
      <c r="B15" s="7">
        <v>46354</v>
      </c>
      <c r="C15" s="8"/>
      <c r="D15" s="3"/>
      <c r="E15" s="5">
        <f>SUMIF(I234:I249,"&gt;=0",I234:I249)</f>
        <v>0</v>
      </c>
      <c r="F15" s="5">
        <f>COUNT(I234:I249)*2</f>
        <v>0</v>
      </c>
      <c r="G15" s="6" t="str">
        <f t="shared" si="0"/>
        <v/>
      </c>
      <c r="H15" s="5" t="str">
        <f t="shared" si="1"/>
        <v>Not Started</v>
      </c>
      <c r="I15" s="5">
        <f>COUNTIFS(H234:H249,"Critical",I234:I249,"&lt;2")+COUNTIFS(H234:H249,"High",I234:I249,"&lt;2")</f>
        <v>0</v>
      </c>
      <c r="J15" s="5">
        <f>COUNTIF(T234:T249,"In Progress")+COUNTIF(T234:T249,"Not Started")</f>
        <v>0</v>
      </c>
      <c r="K15" s="5">
        <f ca="1">COUNTIFS(P234:P249,"&lt;"&amp;TODAY(),Q234:Q249,"")</f>
        <v>0</v>
      </c>
      <c r="L15" s="3"/>
      <c r="M15" s="3"/>
      <c r="N15" s="3"/>
      <c r="O15" s="3"/>
    </row>
    <row r="16" spans="1:21" ht="28" customHeight="1" x14ac:dyDescent="0.35">
      <c r="A16" s="4" t="s">
        <v>29</v>
      </c>
      <c r="B16" s="7">
        <v>46384</v>
      </c>
      <c r="C16" s="8"/>
      <c r="D16" s="3"/>
      <c r="E16" s="5">
        <f>SUMIF(I255:I270,"&gt;=0",I255:I270)</f>
        <v>0</v>
      </c>
      <c r="F16" s="5">
        <f>COUNT(I255:I270)*2</f>
        <v>0</v>
      </c>
      <c r="G16" s="6" t="str">
        <f t="shared" si="0"/>
        <v/>
      </c>
      <c r="H16" s="5" t="str">
        <f t="shared" si="1"/>
        <v>Not Started</v>
      </c>
      <c r="I16" s="5">
        <f>COUNTIFS(H255:H270,"Critical",I255:I270,"&lt;2")+COUNTIFS(H255:H270,"High",I255:I270,"&lt;2")</f>
        <v>0</v>
      </c>
      <c r="J16" s="5">
        <f>COUNTIF(T255:T270,"In Progress")+COUNTIF(T255:T270,"Not Started")</f>
        <v>0</v>
      </c>
      <c r="K16" s="5">
        <f ca="1">COUNTIFS(P255:P270,"&lt;"&amp;TODAY(),Q255:Q270,"")</f>
        <v>0</v>
      </c>
      <c r="L16" s="3"/>
      <c r="M16" s="3"/>
      <c r="N16" s="3"/>
      <c r="O16" s="3"/>
    </row>
    <row r="21" spans="1:21" ht="28" customHeight="1" x14ac:dyDescent="0.35">
      <c r="A21" s="19" t="s">
        <v>30</v>
      </c>
      <c r="B21" s="20"/>
      <c r="C21" s="20"/>
      <c r="D21" s="20"/>
      <c r="E21" s="20"/>
      <c r="F21" s="20"/>
      <c r="G21" s="20"/>
      <c r="H21" s="20"/>
      <c r="I21" s="20"/>
      <c r="J21" s="20"/>
      <c r="K21" s="20"/>
      <c r="L21" s="20"/>
      <c r="M21" s="20"/>
      <c r="N21" s="20"/>
      <c r="O21" s="20"/>
      <c r="P21" s="20"/>
      <c r="Q21" s="20"/>
      <c r="R21" s="20"/>
      <c r="S21" s="20"/>
      <c r="T21" s="20"/>
      <c r="U21" s="21"/>
    </row>
    <row r="22" spans="1:21" ht="28" customHeight="1" x14ac:dyDescent="0.35">
      <c r="A22" s="4" t="s">
        <v>31</v>
      </c>
      <c r="B22" s="3" t="s">
        <v>18</v>
      </c>
      <c r="C22" s="4" t="s">
        <v>32</v>
      </c>
      <c r="D22" s="3"/>
      <c r="E22" s="4" t="s">
        <v>33</v>
      </c>
      <c r="F22" s="8"/>
    </row>
    <row r="23" spans="1:21" ht="28" customHeight="1" x14ac:dyDescent="0.35">
      <c r="A23" s="1" t="s">
        <v>34</v>
      </c>
      <c r="B23" s="1" t="s">
        <v>35</v>
      </c>
      <c r="C23" s="1" t="s">
        <v>36</v>
      </c>
      <c r="D23" s="1" t="s">
        <v>37</v>
      </c>
      <c r="E23" s="1" t="s">
        <v>38</v>
      </c>
      <c r="F23" s="1" t="s">
        <v>39</v>
      </c>
      <c r="G23" s="1" t="s">
        <v>40</v>
      </c>
      <c r="H23" s="1" t="s">
        <v>41</v>
      </c>
      <c r="I23" s="1" t="s">
        <v>42</v>
      </c>
      <c r="J23" s="1" t="s">
        <v>43</v>
      </c>
      <c r="K23" s="1" t="s">
        <v>44</v>
      </c>
      <c r="L23" s="1" t="s">
        <v>45</v>
      </c>
      <c r="M23" s="1" t="s">
        <v>46</v>
      </c>
      <c r="N23" s="1" t="s">
        <v>47</v>
      </c>
      <c r="O23" s="1" t="s">
        <v>48</v>
      </c>
      <c r="P23" s="1" t="s">
        <v>4</v>
      </c>
      <c r="Q23" s="1" t="s">
        <v>49</v>
      </c>
      <c r="R23" s="1" t="s">
        <v>50</v>
      </c>
      <c r="S23" s="1" t="s">
        <v>51</v>
      </c>
      <c r="T23" s="1" t="s">
        <v>52</v>
      </c>
      <c r="U23" s="1" t="s">
        <v>10</v>
      </c>
    </row>
    <row r="24" spans="1:21" ht="28" customHeight="1" x14ac:dyDescent="0.35">
      <c r="A24" s="4">
        <v>1</v>
      </c>
      <c r="B24" s="4" t="s">
        <v>53</v>
      </c>
      <c r="C24" s="4" t="s">
        <v>54</v>
      </c>
      <c r="D24" s="4" t="s">
        <v>55</v>
      </c>
      <c r="E24" s="4" t="s">
        <v>56</v>
      </c>
      <c r="F24" s="4" t="s">
        <v>57</v>
      </c>
      <c r="G24" s="4" t="s">
        <v>58</v>
      </c>
      <c r="H24" s="4" t="s">
        <v>59</v>
      </c>
      <c r="I24" s="3"/>
      <c r="J24" s="3"/>
      <c r="K24" s="3"/>
      <c r="L24" s="3"/>
      <c r="M24" s="3"/>
      <c r="N24" s="3"/>
      <c r="O24" s="3"/>
      <c r="P24" s="8"/>
      <c r="Q24" s="8"/>
      <c r="R24" s="3"/>
      <c r="S24" s="3"/>
      <c r="T24" s="3"/>
      <c r="U24" s="5" t="str">
        <f t="shared" ref="U24:U39" si="2">IF(I24="","",IF(I24="NA","Grey",IF(I24=2,"Green",IF(I24=1,"Amber","Red"))))</f>
        <v/>
      </c>
    </row>
    <row r="25" spans="1:21" ht="28" customHeight="1" x14ac:dyDescent="0.35">
      <c r="A25" s="4">
        <v>2</v>
      </c>
      <c r="B25" s="4" t="s">
        <v>53</v>
      </c>
      <c r="C25" s="4" t="s">
        <v>60</v>
      </c>
      <c r="D25" s="4" t="s">
        <v>61</v>
      </c>
      <c r="E25" s="4" t="s">
        <v>56</v>
      </c>
      <c r="F25" s="4" t="s">
        <v>57</v>
      </c>
      <c r="G25" s="4" t="s">
        <v>58</v>
      </c>
      <c r="H25" s="4" t="s">
        <v>59</v>
      </c>
      <c r="I25" s="3"/>
      <c r="J25" s="3"/>
      <c r="K25" s="3"/>
      <c r="L25" s="3"/>
      <c r="M25" s="3"/>
      <c r="N25" s="3"/>
      <c r="O25" s="3"/>
      <c r="P25" s="8"/>
      <c r="Q25" s="8"/>
      <c r="R25" s="3"/>
      <c r="S25" s="3"/>
      <c r="T25" s="3"/>
      <c r="U25" s="5" t="str">
        <f t="shared" si="2"/>
        <v/>
      </c>
    </row>
    <row r="26" spans="1:21" ht="28" customHeight="1" x14ac:dyDescent="0.35">
      <c r="A26" s="4">
        <v>3</v>
      </c>
      <c r="B26" s="4" t="s">
        <v>53</v>
      </c>
      <c r="C26" s="4" t="s">
        <v>62</v>
      </c>
      <c r="D26" s="4" t="s">
        <v>63</v>
      </c>
      <c r="E26" s="4" t="s">
        <v>56</v>
      </c>
      <c r="F26" s="4" t="s">
        <v>57</v>
      </c>
      <c r="G26" s="4" t="s">
        <v>58</v>
      </c>
      <c r="H26" s="4" t="s">
        <v>59</v>
      </c>
      <c r="I26" s="3"/>
      <c r="J26" s="3"/>
      <c r="K26" s="3"/>
      <c r="L26" s="3"/>
      <c r="M26" s="3"/>
      <c r="N26" s="3"/>
      <c r="O26" s="3"/>
      <c r="P26" s="8"/>
      <c r="Q26" s="8"/>
      <c r="R26" s="3"/>
      <c r="S26" s="3"/>
      <c r="T26" s="3"/>
      <c r="U26" s="5" t="str">
        <f t="shared" si="2"/>
        <v/>
      </c>
    </row>
    <row r="27" spans="1:21" ht="28" customHeight="1" x14ac:dyDescent="0.35">
      <c r="A27" s="4">
        <v>4</v>
      </c>
      <c r="B27" s="4" t="s">
        <v>53</v>
      </c>
      <c r="C27" s="4" t="s">
        <v>64</v>
      </c>
      <c r="D27" s="4" t="s">
        <v>65</v>
      </c>
      <c r="E27" s="4" t="s">
        <v>56</v>
      </c>
      <c r="F27" s="4" t="s">
        <v>57</v>
      </c>
      <c r="G27" s="4" t="s">
        <v>58</v>
      </c>
      <c r="H27" s="4" t="s">
        <v>59</v>
      </c>
      <c r="I27" s="3"/>
      <c r="J27" s="3"/>
      <c r="K27" s="3"/>
      <c r="L27" s="3"/>
      <c r="M27" s="3"/>
      <c r="N27" s="3"/>
      <c r="O27" s="3"/>
      <c r="P27" s="8"/>
      <c r="Q27" s="8"/>
      <c r="R27" s="3"/>
      <c r="S27" s="3"/>
      <c r="T27" s="3"/>
      <c r="U27" s="5" t="str">
        <f t="shared" si="2"/>
        <v/>
      </c>
    </row>
    <row r="28" spans="1:21" ht="28" customHeight="1" x14ac:dyDescent="0.35">
      <c r="A28" s="4">
        <v>5</v>
      </c>
      <c r="B28" s="4" t="s">
        <v>66</v>
      </c>
      <c r="C28" s="4" t="s">
        <v>67</v>
      </c>
      <c r="D28" s="4" t="s">
        <v>68</v>
      </c>
      <c r="E28" s="4" t="s">
        <v>69</v>
      </c>
      <c r="F28" s="4" t="s">
        <v>57</v>
      </c>
      <c r="G28" s="4" t="s">
        <v>58</v>
      </c>
      <c r="H28" s="4" t="s">
        <v>59</v>
      </c>
      <c r="I28" s="3"/>
      <c r="J28" s="3"/>
      <c r="K28" s="3"/>
      <c r="L28" s="3"/>
      <c r="M28" s="3"/>
      <c r="N28" s="3"/>
      <c r="O28" s="3"/>
      <c r="P28" s="8"/>
      <c r="Q28" s="8"/>
      <c r="R28" s="3"/>
      <c r="S28" s="3"/>
      <c r="T28" s="3"/>
      <c r="U28" s="5" t="str">
        <f t="shared" si="2"/>
        <v/>
      </c>
    </row>
    <row r="29" spans="1:21" ht="28" customHeight="1" x14ac:dyDescent="0.35">
      <c r="A29" s="4">
        <v>6</v>
      </c>
      <c r="B29" s="4" t="s">
        <v>70</v>
      </c>
      <c r="C29" s="4" t="s">
        <v>71</v>
      </c>
      <c r="D29" s="4" t="s">
        <v>72</v>
      </c>
      <c r="E29" s="4" t="s">
        <v>70</v>
      </c>
      <c r="F29" s="4" t="s">
        <v>57</v>
      </c>
      <c r="G29" s="4" t="s">
        <v>58</v>
      </c>
      <c r="H29" s="4" t="s">
        <v>59</v>
      </c>
      <c r="I29" s="3"/>
      <c r="J29" s="3"/>
      <c r="K29" s="3"/>
      <c r="L29" s="3"/>
      <c r="M29" s="3"/>
      <c r="N29" s="3"/>
      <c r="O29" s="3"/>
      <c r="P29" s="8"/>
      <c r="Q29" s="8"/>
      <c r="R29" s="3"/>
      <c r="S29" s="3"/>
      <c r="T29" s="3"/>
      <c r="U29" s="5" t="str">
        <f t="shared" si="2"/>
        <v/>
      </c>
    </row>
    <row r="30" spans="1:21" ht="28" customHeight="1" x14ac:dyDescent="0.35">
      <c r="A30" s="4">
        <v>7</v>
      </c>
      <c r="B30" s="4" t="s">
        <v>73</v>
      </c>
      <c r="C30" s="4" t="s">
        <v>74</v>
      </c>
      <c r="D30" s="4" t="s">
        <v>75</v>
      </c>
      <c r="E30" s="4" t="s">
        <v>69</v>
      </c>
      <c r="F30" s="4" t="s">
        <v>57</v>
      </c>
      <c r="G30" s="4" t="s">
        <v>58</v>
      </c>
      <c r="H30" s="4" t="s">
        <v>76</v>
      </c>
      <c r="I30" s="3"/>
      <c r="J30" s="3"/>
      <c r="K30" s="3"/>
      <c r="L30" s="3"/>
      <c r="M30" s="3"/>
      <c r="N30" s="3"/>
      <c r="O30" s="3"/>
      <c r="P30" s="8"/>
      <c r="Q30" s="8"/>
      <c r="R30" s="3"/>
      <c r="S30" s="3"/>
      <c r="T30" s="3"/>
      <c r="U30" s="5" t="str">
        <f t="shared" si="2"/>
        <v/>
      </c>
    </row>
    <row r="31" spans="1:21" ht="28" customHeight="1" x14ac:dyDescent="0.35">
      <c r="A31" s="4">
        <v>8</v>
      </c>
      <c r="B31" s="4" t="s">
        <v>77</v>
      </c>
      <c r="C31" s="4" t="s">
        <v>78</v>
      </c>
      <c r="D31" s="4" t="s">
        <v>79</v>
      </c>
      <c r="E31" s="4" t="s">
        <v>80</v>
      </c>
      <c r="F31" s="4" t="s">
        <v>57</v>
      </c>
      <c r="G31" s="4" t="s">
        <v>58</v>
      </c>
      <c r="H31" s="4" t="s">
        <v>59</v>
      </c>
      <c r="I31" s="3"/>
      <c r="J31" s="3"/>
      <c r="K31" s="3"/>
      <c r="L31" s="3"/>
      <c r="M31" s="3"/>
      <c r="N31" s="3"/>
      <c r="O31" s="3"/>
      <c r="P31" s="8"/>
      <c r="Q31" s="8"/>
      <c r="R31" s="3"/>
      <c r="S31" s="3"/>
      <c r="T31" s="3"/>
      <c r="U31" s="5" t="str">
        <f t="shared" si="2"/>
        <v/>
      </c>
    </row>
    <row r="32" spans="1:21" ht="28" customHeight="1" x14ac:dyDescent="0.35">
      <c r="A32" s="4">
        <v>9</v>
      </c>
      <c r="B32" s="4" t="s">
        <v>81</v>
      </c>
      <c r="C32" s="4" t="s">
        <v>82</v>
      </c>
      <c r="D32" s="4" t="s">
        <v>83</v>
      </c>
      <c r="E32" s="4" t="s">
        <v>84</v>
      </c>
      <c r="F32" s="4" t="s">
        <v>57</v>
      </c>
      <c r="G32" s="4" t="s">
        <v>58</v>
      </c>
      <c r="H32" s="4" t="s">
        <v>85</v>
      </c>
      <c r="I32" s="3"/>
      <c r="J32" s="3"/>
      <c r="K32" s="3"/>
      <c r="L32" s="3"/>
      <c r="M32" s="3"/>
      <c r="N32" s="3"/>
      <c r="O32" s="3"/>
      <c r="P32" s="8"/>
      <c r="Q32" s="8"/>
      <c r="R32" s="3"/>
      <c r="S32" s="3"/>
      <c r="T32" s="3"/>
      <c r="U32" s="5" t="str">
        <f t="shared" si="2"/>
        <v/>
      </c>
    </row>
    <row r="33" spans="1:21" ht="28" customHeight="1" x14ac:dyDescent="0.35">
      <c r="A33" s="4">
        <v>10</v>
      </c>
      <c r="B33" s="4" t="s">
        <v>86</v>
      </c>
      <c r="C33" s="4" t="s">
        <v>87</v>
      </c>
      <c r="D33" s="4" t="s">
        <v>88</v>
      </c>
      <c r="E33" s="4" t="s">
        <v>69</v>
      </c>
      <c r="F33" s="4" t="s">
        <v>57</v>
      </c>
      <c r="G33" s="4" t="s">
        <v>58</v>
      </c>
      <c r="H33" s="4" t="s">
        <v>59</v>
      </c>
      <c r="I33" s="3"/>
      <c r="J33" s="3"/>
      <c r="K33" s="3"/>
      <c r="L33" s="3"/>
      <c r="M33" s="3"/>
      <c r="N33" s="3"/>
      <c r="O33" s="3"/>
      <c r="P33" s="8"/>
      <c r="Q33" s="8"/>
      <c r="R33" s="3"/>
      <c r="S33" s="3"/>
      <c r="T33" s="3"/>
      <c r="U33" s="5" t="str">
        <f t="shared" si="2"/>
        <v/>
      </c>
    </row>
    <row r="34" spans="1:21" ht="28" customHeight="1" x14ac:dyDescent="0.35">
      <c r="A34" s="4">
        <v>11</v>
      </c>
      <c r="B34" s="4" t="s">
        <v>89</v>
      </c>
      <c r="C34" s="4" t="s">
        <v>90</v>
      </c>
      <c r="D34" s="4" t="s">
        <v>91</v>
      </c>
      <c r="E34" s="4" t="s">
        <v>84</v>
      </c>
      <c r="F34" s="4" t="s">
        <v>57</v>
      </c>
      <c r="G34" s="4" t="s">
        <v>58</v>
      </c>
      <c r="H34" s="4" t="s">
        <v>59</v>
      </c>
      <c r="I34" s="3"/>
      <c r="J34" s="3"/>
      <c r="K34" s="3"/>
      <c r="L34" s="3"/>
      <c r="M34" s="3"/>
      <c r="N34" s="3"/>
      <c r="O34" s="3"/>
      <c r="P34" s="8"/>
      <c r="Q34" s="8"/>
      <c r="R34" s="3"/>
      <c r="S34" s="3"/>
      <c r="T34" s="3"/>
      <c r="U34" s="5" t="str">
        <f t="shared" si="2"/>
        <v/>
      </c>
    </row>
    <row r="35" spans="1:21" ht="28" customHeight="1" x14ac:dyDescent="0.35">
      <c r="A35" s="4">
        <v>12</v>
      </c>
      <c r="B35" s="4" t="s">
        <v>92</v>
      </c>
      <c r="C35" s="4" t="s">
        <v>93</v>
      </c>
      <c r="D35" s="4" t="s">
        <v>94</v>
      </c>
      <c r="E35" s="4" t="s">
        <v>69</v>
      </c>
      <c r="F35" s="4" t="s">
        <v>95</v>
      </c>
      <c r="G35" s="4" t="s">
        <v>96</v>
      </c>
      <c r="H35" s="4" t="s">
        <v>59</v>
      </c>
      <c r="I35" s="3"/>
      <c r="J35" s="3"/>
      <c r="K35" s="3"/>
      <c r="L35" s="3"/>
      <c r="M35" s="3"/>
      <c r="N35" s="3"/>
      <c r="O35" s="3"/>
      <c r="P35" s="8"/>
      <c r="Q35" s="8"/>
      <c r="R35" s="3"/>
      <c r="S35" s="3"/>
      <c r="T35" s="3"/>
      <c r="U35" s="5" t="str">
        <f t="shared" si="2"/>
        <v/>
      </c>
    </row>
    <row r="36" spans="1:21" ht="28" customHeight="1" x14ac:dyDescent="0.35">
      <c r="A36" s="4">
        <v>13</v>
      </c>
      <c r="B36" s="4" t="s">
        <v>97</v>
      </c>
      <c r="C36" s="4" t="s">
        <v>98</v>
      </c>
      <c r="D36" s="4" t="s">
        <v>99</v>
      </c>
      <c r="E36" s="4" t="s">
        <v>69</v>
      </c>
      <c r="F36" s="4" t="s">
        <v>95</v>
      </c>
      <c r="G36" s="4" t="s">
        <v>96</v>
      </c>
      <c r="H36" s="4" t="s">
        <v>59</v>
      </c>
      <c r="I36" s="3"/>
      <c r="J36" s="3"/>
      <c r="K36" s="3"/>
      <c r="L36" s="3"/>
      <c r="M36" s="3"/>
      <c r="N36" s="3"/>
      <c r="O36" s="3"/>
      <c r="P36" s="8"/>
      <c r="Q36" s="8"/>
      <c r="R36" s="3"/>
      <c r="S36" s="3"/>
      <c r="T36" s="3"/>
      <c r="U36" s="5" t="str">
        <f t="shared" si="2"/>
        <v/>
      </c>
    </row>
    <row r="37" spans="1:21" ht="28" customHeight="1" x14ac:dyDescent="0.35">
      <c r="A37" s="4">
        <v>14</v>
      </c>
      <c r="B37" s="4" t="s">
        <v>97</v>
      </c>
      <c r="C37" s="4" t="s">
        <v>100</v>
      </c>
      <c r="D37" s="4" t="s">
        <v>101</v>
      </c>
      <c r="E37" s="4" t="s">
        <v>69</v>
      </c>
      <c r="F37" s="4" t="s">
        <v>95</v>
      </c>
      <c r="G37" s="4" t="s">
        <v>102</v>
      </c>
      <c r="H37" s="4" t="s">
        <v>59</v>
      </c>
      <c r="I37" s="3"/>
      <c r="J37" s="3"/>
      <c r="K37" s="3"/>
      <c r="L37" s="3"/>
      <c r="M37" s="3"/>
      <c r="N37" s="3"/>
      <c r="O37" s="3"/>
      <c r="P37" s="8"/>
      <c r="Q37" s="8"/>
      <c r="R37" s="3"/>
      <c r="S37" s="3"/>
      <c r="T37" s="3"/>
      <c r="U37" s="5" t="str">
        <f t="shared" si="2"/>
        <v/>
      </c>
    </row>
    <row r="38" spans="1:21" ht="28" customHeight="1" x14ac:dyDescent="0.35">
      <c r="A38" s="4">
        <v>15</v>
      </c>
      <c r="B38" s="4" t="s">
        <v>103</v>
      </c>
      <c r="C38" s="4" t="s">
        <v>104</v>
      </c>
      <c r="D38" s="4" t="s">
        <v>105</v>
      </c>
      <c r="E38" s="4" t="s">
        <v>69</v>
      </c>
      <c r="F38" s="4" t="s">
        <v>95</v>
      </c>
      <c r="G38" s="4" t="s">
        <v>96</v>
      </c>
      <c r="H38" s="4" t="s">
        <v>85</v>
      </c>
      <c r="I38" s="3"/>
      <c r="J38" s="3"/>
      <c r="K38" s="3"/>
      <c r="L38" s="3"/>
      <c r="M38" s="3"/>
      <c r="N38" s="3"/>
      <c r="O38" s="3"/>
      <c r="P38" s="8"/>
      <c r="Q38" s="8"/>
      <c r="R38" s="3"/>
      <c r="S38" s="3"/>
      <c r="T38" s="3"/>
      <c r="U38" s="5" t="str">
        <f t="shared" si="2"/>
        <v/>
      </c>
    </row>
    <row r="39" spans="1:21" ht="28" customHeight="1" x14ac:dyDescent="0.35">
      <c r="A39" s="4">
        <v>16</v>
      </c>
      <c r="B39" s="4" t="s">
        <v>106</v>
      </c>
      <c r="C39" s="4" t="s">
        <v>107</v>
      </c>
      <c r="D39" s="4" t="s">
        <v>108</v>
      </c>
      <c r="E39" s="4" t="s">
        <v>109</v>
      </c>
      <c r="F39" s="4" t="s">
        <v>95</v>
      </c>
      <c r="G39" s="4" t="s">
        <v>96</v>
      </c>
      <c r="H39" s="4" t="s">
        <v>59</v>
      </c>
      <c r="I39" s="3"/>
      <c r="J39" s="3"/>
      <c r="K39" s="3"/>
      <c r="L39" s="3"/>
      <c r="M39" s="3"/>
      <c r="N39" s="3"/>
      <c r="O39" s="3"/>
      <c r="P39" s="8"/>
      <c r="Q39" s="8"/>
      <c r="R39" s="3"/>
      <c r="S39" s="3"/>
      <c r="T39" s="3"/>
      <c r="U39" s="5" t="str">
        <f t="shared" si="2"/>
        <v/>
      </c>
    </row>
    <row r="41" spans="1:21" ht="28" customHeight="1" x14ac:dyDescent="0.35">
      <c r="A41" s="9" t="s">
        <v>110</v>
      </c>
      <c r="B41" s="16"/>
      <c r="C41" s="17"/>
      <c r="D41" s="17"/>
      <c r="E41" s="17"/>
      <c r="F41" s="17"/>
      <c r="G41" s="17"/>
      <c r="H41" s="17"/>
      <c r="I41" s="17"/>
      <c r="J41" s="17"/>
      <c r="K41" s="17"/>
      <c r="L41" s="17"/>
      <c r="M41" s="17"/>
      <c r="N41" s="17"/>
      <c r="O41" s="17"/>
      <c r="P41" s="17"/>
      <c r="Q41" s="17"/>
      <c r="R41" s="17"/>
      <c r="S41" s="17"/>
      <c r="T41" s="17"/>
      <c r="U41" s="18"/>
    </row>
    <row r="42" spans="1:21" ht="28" customHeight="1" x14ac:dyDescent="0.35">
      <c r="A42" s="19" t="s">
        <v>111</v>
      </c>
      <c r="B42" s="20"/>
      <c r="C42" s="20"/>
      <c r="D42" s="20"/>
      <c r="E42" s="20"/>
      <c r="F42" s="20"/>
      <c r="G42" s="20"/>
      <c r="H42" s="20"/>
      <c r="I42" s="20"/>
      <c r="J42" s="20"/>
      <c r="K42" s="20"/>
      <c r="L42" s="20"/>
      <c r="M42" s="20"/>
      <c r="N42" s="20"/>
      <c r="O42" s="20"/>
      <c r="P42" s="20"/>
      <c r="Q42" s="20"/>
      <c r="R42" s="20"/>
      <c r="S42" s="20"/>
      <c r="T42" s="20"/>
      <c r="U42" s="21"/>
    </row>
    <row r="43" spans="1:21" ht="28" customHeight="1" x14ac:dyDescent="0.35">
      <c r="A43" s="4" t="s">
        <v>31</v>
      </c>
      <c r="B43" s="3" t="s">
        <v>19</v>
      </c>
      <c r="C43" s="4" t="s">
        <v>32</v>
      </c>
      <c r="D43" s="3"/>
      <c r="E43" s="4" t="s">
        <v>33</v>
      </c>
      <c r="F43" s="8"/>
    </row>
    <row r="44" spans="1:21" ht="28" customHeight="1" x14ac:dyDescent="0.35">
      <c r="A44" s="1" t="s">
        <v>34</v>
      </c>
      <c r="B44" s="1" t="s">
        <v>35</v>
      </c>
      <c r="C44" s="1" t="s">
        <v>36</v>
      </c>
      <c r="D44" s="1" t="s">
        <v>37</v>
      </c>
      <c r="E44" s="1" t="s">
        <v>38</v>
      </c>
      <c r="F44" s="1" t="s">
        <v>39</v>
      </c>
      <c r="G44" s="1" t="s">
        <v>40</v>
      </c>
      <c r="H44" s="1" t="s">
        <v>41</v>
      </c>
      <c r="I44" s="1" t="s">
        <v>42</v>
      </c>
      <c r="J44" s="1" t="s">
        <v>43</v>
      </c>
      <c r="K44" s="1" t="s">
        <v>44</v>
      </c>
      <c r="L44" s="1" t="s">
        <v>45</v>
      </c>
      <c r="M44" s="1" t="s">
        <v>46</v>
      </c>
      <c r="N44" s="1" t="s">
        <v>47</v>
      </c>
      <c r="O44" s="1" t="s">
        <v>48</v>
      </c>
      <c r="P44" s="1" t="s">
        <v>4</v>
      </c>
      <c r="Q44" s="1" t="s">
        <v>49</v>
      </c>
      <c r="R44" s="1" t="s">
        <v>50</v>
      </c>
      <c r="S44" s="1" t="s">
        <v>51</v>
      </c>
      <c r="T44" s="1" t="s">
        <v>52</v>
      </c>
      <c r="U44" s="1" t="s">
        <v>10</v>
      </c>
    </row>
    <row r="45" spans="1:21" ht="28" customHeight="1" x14ac:dyDescent="0.35">
      <c r="A45" s="4">
        <v>1</v>
      </c>
      <c r="B45" s="4" t="s">
        <v>53</v>
      </c>
      <c r="C45" s="4" t="s">
        <v>54</v>
      </c>
      <c r="D45" s="4" t="s">
        <v>55</v>
      </c>
      <c r="E45" s="4" t="s">
        <v>56</v>
      </c>
      <c r="F45" s="4" t="s">
        <v>57</v>
      </c>
      <c r="G45" s="4" t="s">
        <v>58</v>
      </c>
      <c r="H45" s="4" t="s">
        <v>59</v>
      </c>
      <c r="I45" s="3"/>
      <c r="J45" s="3"/>
      <c r="K45" s="3"/>
      <c r="L45" s="3"/>
      <c r="M45" s="3"/>
      <c r="N45" s="3"/>
      <c r="O45" s="3"/>
      <c r="P45" s="8"/>
      <c r="Q45" s="8"/>
      <c r="R45" s="3"/>
      <c r="S45" s="3"/>
      <c r="T45" s="3"/>
      <c r="U45" s="5" t="str">
        <f t="shared" ref="U45:U60" si="3">IF(I45="","",IF(I45="NA","Grey",IF(I45=2,"Green",IF(I45=1,"Amber","Red"))))</f>
        <v/>
      </c>
    </row>
    <row r="46" spans="1:21" ht="28" customHeight="1" x14ac:dyDescent="0.35">
      <c r="A46" s="4">
        <v>2</v>
      </c>
      <c r="B46" s="4" t="s">
        <v>53</v>
      </c>
      <c r="C46" s="4" t="s">
        <v>60</v>
      </c>
      <c r="D46" s="4" t="s">
        <v>61</v>
      </c>
      <c r="E46" s="4" t="s">
        <v>56</v>
      </c>
      <c r="F46" s="4" t="s">
        <v>57</v>
      </c>
      <c r="G46" s="4" t="s">
        <v>58</v>
      </c>
      <c r="H46" s="4" t="s">
        <v>59</v>
      </c>
      <c r="I46" s="3"/>
      <c r="J46" s="3"/>
      <c r="K46" s="3"/>
      <c r="L46" s="3"/>
      <c r="M46" s="3"/>
      <c r="N46" s="3"/>
      <c r="O46" s="3"/>
      <c r="P46" s="8"/>
      <c r="Q46" s="8"/>
      <c r="R46" s="3"/>
      <c r="S46" s="3"/>
      <c r="T46" s="3"/>
      <c r="U46" s="5" t="str">
        <f t="shared" si="3"/>
        <v/>
      </c>
    </row>
    <row r="47" spans="1:21" ht="28" customHeight="1" x14ac:dyDescent="0.35">
      <c r="A47" s="4">
        <v>3</v>
      </c>
      <c r="B47" s="4" t="s">
        <v>53</v>
      </c>
      <c r="C47" s="4" t="s">
        <v>62</v>
      </c>
      <c r="D47" s="4" t="s">
        <v>63</v>
      </c>
      <c r="E47" s="4" t="s">
        <v>56</v>
      </c>
      <c r="F47" s="4" t="s">
        <v>57</v>
      </c>
      <c r="G47" s="4" t="s">
        <v>58</v>
      </c>
      <c r="H47" s="4" t="s">
        <v>59</v>
      </c>
      <c r="I47" s="3"/>
      <c r="J47" s="3"/>
      <c r="K47" s="3"/>
      <c r="L47" s="3"/>
      <c r="M47" s="3"/>
      <c r="N47" s="3"/>
      <c r="O47" s="3"/>
      <c r="P47" s="8"/>
      <c r="Q47" s="8"/>
      <c r="R47" s="3"/>
      <c r="S47" s="3"/>
      <c r="T47" s="3"/>
      <c r="U47" s="5" t="str">
        <f t="shared" si="3"/>
        <v/>
      </c>
    </row>
    <row r="48" spans="1:21" ht="28" customHeight="1" x14ac:dyDescent="0.35">
      <c r="A48" s="4">
        <v>4</v>
      </c>
      <c r="B48" s="4" t="s">
        <v>53</v>
      </c>
      <c r="C48" s="4" t="s">
        <v>64</v>
      </c>
      <c r="D48" s="4" t="s">
        <v>65</v>
      </c>
      <c r="E48" s="4" t="s">
        <v>56</v>
      </c>
      <c r="F48" s="4" t="s">
        <v>57</v>
      </c>
      <c r="G48" s="4" t="s">
        <v>58</v>
      </c>
      <c r="H48" s="4" t="s">
        <v>59</v>
      </c>
      <c r="I48" s="3"/>
      <c r="J48" s="3"/>
      <c r="K48" s="3"/>
      <c r="L48" s="3"/>
      <c r="M48" s="3"/>
      <c r="N48" s="3"/>
      <c r="O48" s="3"/>
      <c r="P48" s="8"/>
      <c r="Q48" s="8"/>
      <c r="R48" s="3"/>
      <c r="S48" s="3"/>
      <c r="T48" s="3"/>
      <c r="U48" s="5" t="str">
        <f t="shared" si="3"/>
        <v/>
      </c>
    </row>
    <row r="49" spans="1:21" ht="28" customHeight="1" x14ac:dyDescent="0.35">
      <c r="A49" s="4">
        <v>5</v>
      </c>
      <c r="B49" s="4" t="s">
        <v>66</v>
      </c>
      <c r="C49" s="4" t="s">
        <v>67</v>
      </c>
      <c r="D49" s="4" t="s">
        <v>68</v>
      </c>
      <c r="E49" s="4" t="s">
        <v>69</v>
      </c>
      <c r="F49" s="4" t="s">
        <v>57</v>
      </c>
      <c r="G49" s="4" t="s">
        <v>58</v>
      </c>
      <c r="H49" s="4" t="s">
        <v>59</v>
      </c>
      <c r="I49" s="3"/>
      <c r="J49" s="3"/>
      <c r="K49" s="3"/>
      <c r="L49" s="3"/>
      <c r="M49" s="3"/>
      <c r="N49" s="3"/>
      <c r="O49" s="3"/>
      <c r="P49" s="8"/>
      <c r="Q49" s="8"/>
      <c r="R49" s="3"/>
      <c r="S49" s="3"/>
      <c r="T49" s="3"/>
      <c r="U49" s="5" t="str">
        <f t="shared" si="3"/>
        <v/>
      </c>
    </row>
    <row r="50" spans="1:21" ht="28" customHeight="1" x14ac:dyDescent="0.35">
      <c r="A50" s="4">
        <v>6</v>
      </c>
      <c r="B50" s="4" t="s">
        <v>70</v>
      </c>
      <c r="C50" s="4" t="s">
        <v>71</v>
      </c>
      <c r="D50" s="4" t="s">
        <v>72</v>
      </c>
      <c r="E50" s="4" t="s">
        <v>70</v>
      </c>
      <c r="F50" s="4" t="s">
        <v>57</v>
      </c>
      <c r="G50" s="4" t="s">
        <v>58</v>
      </c>
      <c r="H50" s="4" t="s">
        <v>59</v>
      </c>
      <c r="I50" s="3"/>
      <c r="J50" s="3"/>
      <c r="K50" s="3"/>
      <c r="L50" s="3"/>
      <c r="M50" s="3"/>
      <c r="N50" s="3"/>
      <c r="O50" s="3"/>
      <c r="P50" s="8"/>
      <c r="Q50" s="8"/>
      <c r="R50" s="3"/>
      <c r="S50" s="3"/>
      <c r="T50" s="3"/>
      <c r="U50" s="5" t="str">
        <f t="shared" si="3"/>
        <v/>
      </c>
    </row>
    <row r="51" spans="1:21" ht="28" customHeight="1" x14ac:dyDescent="0.35">
      <c r="A51" s="4">
        <v>7</v>
      </c>
      <c r="B51" s="4" t="s">
        <v>73</v>
      </c>
      <c r="C51" s="4" t="s">
        <v>74</v>
      </c>
      <c r="D51" s="4" t="s">
        <v>75</v>
      </c>
      <c r="E51" s="4" t="s">
        <v>69</v>
      </c>
      <c r="F51" s="4" t="s">
        <v>57</v>
      </c>
      <c r="G51" s="4" t="s">
        <v>58</v>
      </c>
      <c r="H51" s="4" t="s">
        <v>76</v>
      </c>
      <c r="I51" s="3"/>
      <c r="J51" s="3"/>
      <c r="K51" s="3"/>
      <c r="L51" s="3"/>
      <c r="M51" s="3"/>
      <c r="N51" s="3"/>
      <c r="O51" s="3"/>
      <c r="P51" s="8"/>
      <c r="Q51" s="8"/>
      <c r="R51" s="3"/>
      <c r="S51" s="3"/>
      <c r="T51" s="3"/>
      <c r="U51" s="5" t="str">
        <f t="shared" si="3"/>
        <v/>
      </c>
    </row>
    <row r="52" spans="1:21" ht="28" customHeight="1" x14ac:dyDescent="0.35">
      <c r="A52" s="4">
        <v>8</v>
      </c>
      <c r="B52" s="4" t="s">
        <v>77</v>
      </c>
      <c r="C52" s="4" t="s">
        <v>78</v>
      </c>
      <c r="D52" s="4" t="s">
        <v>79</v>
      </c>
      <c r="E52" s="4" t="s">
        <v>80</v>
      </c>
      <c r="F52" s="4" t="s">
        <v>57</v>
      </c>
      <c r="G52" s="4" t="s">
        <v>58</v>
      </c>
      <c r="H52" s="4" t="s">
        <v>59</v>
      </c>
      <c r="I52" s="3"/>
      <c r="J52" s="3"/>
      <c r="K52" s="3"/>
      <c r="L52" s="3"/>
      <c r="M52" s="3"/>
      <c r="N52" s="3"/>
      <c r="O52" s="3"/>
      <c r="P52" s="8"/>
      <c r="Q52" s="8"/>
      <c r="R52" s="3"/>
      <c r="S52" s="3"/>
      <c r="T52" s="3"/>
      <c r="U52" s="5" t="str">
        <f t="shared" si="3"/>
        <v/>
      </c>
    </row>
    <row r="53" spans="1:21" ht="28" customHeight="1" x14ac:dyDescent="0.35">
      <c r="A53" s="4">
        <v>9</v>
      </c>
      <c r="B53" s="4" t="s">
        <v>81</v>
      </c>
      <c r="C53" s="4" t="s">
        <v>82</v>
      </c>
      <c r="D53" s="4" t="s">
        <v>83</v>
      </c>
      <c r="E53" s="4" t="s">
        <v>84</v>
      </c>
      <c r="F53" s="4" t="s">
        <v>57</v>
      </c>
      <c r="G53" s="4" t="s">
        <v>58</v>
      </c>
      <c r="H53" s="4" t="s">
        <v>85</v>
      </c>
      <c r="I53" s="3"/>
      <c r="J53" s="3"/>
      <c r="K53" s="3"/>
      <c r="L53" s="3"/>
      <c r="M53" s="3"/>
      <c r="N53" s="3"/>
      <c r="O53" s="3"/>
      <c r="P53" s="8"/>
      <c r="Q53" s="8"/>
      <c r="R53" s="3"/>
      <c r="S53" s="3"/>
      <c r="T53" s="3"/>
      <c r="U53" s="5" t="str">
        <f t="shared" si="3"/>
        <v/>
      </c>
    </row>
    <row r="54" spans="1:21" ht="28" customHeight="1" x14ac:dyDescent="0.35">
      <c r="A54" s="4">
        <v>10</v>
      </c>
      <c r="B54" s="4" t="s">
        <v>86</v>
      </c>
      <c r="C54" s="4" t="s">
        <v>87</v>
      </c>
      <c r="D54" s="4" t="s">
        <v>88</v>
      </c>
      <c r="E54" s="4" t="s">
        <v>69</v>
      </c>
      <c r="F54" s="4" t="s">
        <v>57</v>
      </c>
      <c r="G54" s="4" t="s">
        <v>58</v>
      </c>
      <c r="H54" s="4" t="s">
        <v>59</v>
      </c>
      <c r="I54" s="3"/>
      <c r="J54" s="3"/>
      <c r="K54" s="3"/>
      <c r="L54" s="3"/>
      <c r="M54" s="3"/>
      <c r="N54" s="3"/>
      <c r="O54" s="3"/>
      <c r="P54" s="8"/>
      <c r="Q54" s="8"/>
      <c r="R54" s="3"/>
      <c r="S54" s="3"/>
      <c r="T54" s="3"/>
      <c r="U54" s="5" t="str">
        <f t="shared" si="3"/>
        <v/>
      </c>
    </row>
    <row r="55" spans="1:21" ht="28" customHeight="1" x14ac:dyDescent="0.35">
      <c r="A55" s="4">
        <v>11</v>
      </c>
      <c r="B55" s="4" t="s">
        <v>89</v>
      </c>
      <c r="C55" s="4" t="s">
        <v>90</v>
      </c>
      <c r="D55" s="4" t="s">
        <v>91</v>
      </c>
      <c r="E55" s="4" t="s">
        <v>84</v>
      </c>
      <c r="F55" s="4" t="s">
        <v>57</v>
      </c>
      <c r="G55" s="4" t="s">
        <v>58</v>
      </c>
      <c r="H55" s="4" t="s">
        <v>59</v>
      </c>
      <c r="I55" s="3"/>
      <c r="J55" s="3"/>
      <c r="K55" s="3"/>
      <c r="L55" s="3"/>
      <c r="M55" s="3"/>
      <c r="N55" s="3"/>
      <c r="O55" s="3"/>
      <c r="P55" s="8"/>
      <c r="Q55" s="8"/>
      <c r="R55" s="3"/>
      <c r="S55" s="3"/>
      <c r="T55" s="3"/>
      <c r="U55" s="5" t="str">
        <f t="shared" si="3"/>
        <v/>
      </c>
    </row>
    <row r="56" spans="1:21" ht="28" customHeight="1" x14ac:dyDescent="0.35">
      <c r="A56" s="4">
        <v>12</v>
      </c>
      <c r="B56" s="4" t="s">
        <v>92</v>
      </c>
      <c r="C56" s="4" t="s">
        <v>93</v>
      </c>
      <c r="D56" s="4" t="s">
        <v>94</v>
      </c>
      <c r="E56" s="4" t="s">
        <v>69</v>
      </c>
      <c r="F56" s="4" t="s">
        <v>95</v>
      </c>
      <c r="G56" s="4" t="s">
        <v>96</v>
      </c>
      <c r="H56" s="4" t="s">
        <v>59</v>
      </c>
      <c r="I56" s="3"/>
      <c r="J56" s="3"/>
      <c r="K56" s="3"/>
      <c r="L56" s="3"/>
      <c r="M56" s="3"/>
      <c r="N56" s="3"/>
      <c r="O56" s="3"/>
      <c r="P56" s="8"/>
      <c r="Q56" s="8"/>
      <c r="R56" s="3"/>
      <c r="S56" s="3"/>
      <c r="T56" s="3"/>
      <c r="U56" s="5" t="str">
        <f t="shared" si="3"/>
        <v/>
      </c>
    </row>
    <row r="57" spans="1:21" ht="28" customHeight="1" x14ac:dyDescent="0.35">
      <c r="A57" s="4">
        <v>13</v>
      </c>
      <c r="B57" s="4" t="s">
        <v>97</v>
      </c>
      <c r="C57" s="4" t="s">
        <v>98</v>
      </c>
      <c r="D57" s="4" t="s">
        <v>99</v>
      </c>
      <c r="E57" s="4" t="s">
        <v>69</v>
      </c>
      <c r="F57" s="4" t="s">
        <v>95</v>
      </c>
      <c r="G57" s="4" t="s">
        <v>96</v>
      </c>
      <c r="H57" s="4" t="s">
        <v>59</v>
      </c>
      <c r="I57" s="3"/>
      <c r="J57" s="3"/>
      <c r="K57" s="3"/>
      <c r="L57" s="3"/>
      <c r="M57" s="3"/>
      <c r="N57" s="3"/>
      <c r="O57" s="3"/>
      <c r="P57" s="8"/>
      <c r="Q57" s="8"/>
      <c r="R57" s="3"/>
      <c r="S57" s="3"/>
      <c r="T57" s="3"/>
      <c r="U57" s="5" t="str">
        <f t="shared" si="3"/>
        <v/>
      </c>
    </row>
    <row r="58" spans="1:21" ht="28" customHeight="1" x14ac:dyDescent="0.35">
      <c r="A58" s="4">
        <v>14</v>
      </c>
      <c r="B58" s="4" t="s">
        <v>97</v>
      </c>
      <c r="C58" s="4" t="s">
        <v>100</v>
      </c>
      <c r="D58" s="4" t="s">
        <v>101</v>
      </c>
      <c r="E58" s="4" t="s">
        <v>69</v>
      </c>
      <c r="F58" s="4" t="s">
        <v>95</v>
      </c>
      <c r="G58" s="4" t="s">
        <v>102</v>
      </c>
      <c r="H58" s="4" t="s">
        <v>59</v>
      </c>
      <c r="I58" s="3"/>
      <c r="J58" s="3"/>
      <c r="K58" s="3"/>
      <c r="L58" s="3"/>
      <c r="M58" s="3"/>
      <c r="N58" s="3"/>
      <c r="O58" s="3"/>
      <c r="P58" s="8"/>
      <c r="Q58" s="8"/>
      <c r="R58" s="3"/>
      <c r="S58" s="3"/>
      <c r="T58" s="3"/>
      <c r="U58" s="5" t="str">
        <f t="shared" si="3"/>
        <v/>
      </c>
    </row>
    <row r="59" spans="1:21" ht="28" customHeight="1" x14ac:dyDescent="0.35">
      <c r="A59" s="4">
        <v>15</v>
      </c>
      <c r="B59" s="4" t="s">
        <v>103</v>
      </c>
      <c r="C59" s="4" t="s">
        <v>104</v>
      </c>
      <c r="D59" s="4" t="s">
        <v>105</v>
      </c>
      <c r="E59" s="4" t="s">
        <v>69</v>
      </c>
      <c r="F59" s="4" t="s">
        <v>95</v>
      </c>
      <c r="G59" s="4" t="s">
        <v>96</v>
      </c>
      <c r="H59" s="4" t="s">
        <v>85</v>
      </c>
      <c r="I59" s="3"/>
      <c r="J59" s="3"/>
      <c r="K59" s="3"/>
      <c r="L59" s="3"/>
      <c r="M59" s="3"/>
      <c r="N59" s="3"/>
      <c r="O59" s="3"/>
      <c r="P59" s="8"/>
      <c r="Q59" s="8"/>
      <c r="R59" s="3"/>
      <c r="S59" s="3"/>
      <c r="T59" s="3"/>
      <c r="U59" s="5" t="str">
        <f t="shared" si="3"/>
        <v/>
      </c>
    </row>
    <row r="60" spans="1:21" ht="28" customHeight="1" x14ac:dyDescent="0.35">
      <c r="A60" s="4">
        <v>16</v>
      </c>
      <c r="B60" s="4" t="s">
        <v>106</v>
      </c>
      <c r="C60" s="4" t="s">
        <v>107</v>
      </c>
      <c r="D60" s="4" t="s">
        <v>108</v>
      </c>
      <c r="E60" s="4" t="s">
        <v>109</v>
      </c>
      <c r="F60" s="4" t="s">
        <v>95</v>
      </c>
      <c r="G60" s="4" t="s">
        <v>96</v>
      </c>
      <c r="H60" s="4" t="s">
        <v>59</v>
      </c>
      <c r="I60" s="3"/>
      <c r="J60" s="3"/>
      <c r="K60" s="3"/>
      <c r="L60" s="3"/>
      <c r="M60" s="3"/>
      <c r="N60" s="3"/>
      <c r="O60" s="3"/>
      <c r="P60" s="8"/>
      <c r="Q60" s="8"/>
      <c r="R60" s="3"/>
      <c r="S60" s="3"/>
      <c r="T60" s="3"/>
      <c r="U60" s="5" t="str">
        <f t="shared" si="3"/>
        <v/>
      </c>
    </row>
    <row r="62" spans="1:21" ht="28" customHeight="1" x14ac:dyDescent="0.35">
      <c r="A62" s="9" t="s">
        <v>110</v>
      </c>
      <c r="B62" s="16"/>
      <c r="C62" s="17"/>
      <c r="D62" s="17"/>
      <c r="E62" s="17"/>
      <c r="F62" s="17"/>
      <c r="G62" s="17"/>
      <c r="H62" s="17"/>
      <c r="I62" s="17"/>
      <c r="J62" s="17"/>
      <c r="K62" s="17"/>
      <c r="L62" s="17"/>
      <c r="M62" s="17"/>
      <c r="N62" s="17"/>
      <c r="O62" s="17"/>
      <c r="P62" s="17"/>
      <c r="Q62" s="17"/>
      <c r="R62" s="17"/>
      <c r="S62" s="17"/>
      <c r="T62" s="17"/>
      <c r="U62" s="18"/>
    </row>
    <row r="63" spans="1:21" ht="28" customHeight="1" x14ac:dyDescent="0.35">
      <c r="A63" s="19" t="s">
        <v>112</v>
      </c>
      <c r="B63" s="20"/>
      <c r="C63" s="20"/>
      <c r="D63" s="20"/>
      <c r="E63" s="20"/>
      <c r="F63" s="20"/>
      <c r="G63" s="20"/>
      <c r="H63" s="20"/>
      <c r="I63" s="20"/>
      <c r="J63" s="20"/>
      <c r="K63" s="20"/>
      <c r="L63" s="20"/>
      <c r="M63" s="20"/>
      <c r="N63" s="20"/>
      <c r="O63" s="20"/>
      <c r="P63" s="20"/>
      <c r="Q63" s="20"/>
      <c r="R63" s="20"/>
      <c r="S63" s="20"/>
      <c r="T63" s="20"/>
      <c r="U63" s="21"/>
    </row>
    <row r="64" spans="1:21" ht="28" customHeight="1" x14ac:dyDescent="0.35">
      <c r="A64" s="4" t="s">
        <v>31</v>
      </c>
      <c r="B64" s="3" t="s">
        <v>20</v>
      </c>
      <c r="C64" s="4" t="s">
        <v>32</v>
      </c>
      <c r="D64" s="3"/>
      <c r="E64" s="4" t="s">
        <v>33</v>
      </c>
      <c r="F64" s="8"/>
    </row>
    <row r="65" spans="1:21" ht="28" customHeight="1" x14ac:dyDescent="0.35">
      <c r="A65" s="1" t="s">
        <v>34</v>
      </c>
      <c r="B65" s="1" t="s">
        <v>35</v>
      </c>
      <c r="C65" s="1" t="s">
        <v>36</v>
      </c>
      <c r="D65" s="1" t="s">
        <v>37</v>
      </c>
      <c r="E65" s="1" t="s">
        <v>38</v>
      </c>
      <c r="F65" s="1" t="s">
        <v>39</v>
      </c>
      <c r="G65" s="1" t="s">
        <v>40</v>
      </c>
      <c r="H65" s="1" t="s">
        <v>41</v>
      </c>
      <c r="I65" s="1" t="s">
        <v>42</v>
      </c>
      <c r="J65" s="1" t="s">
        <v>43</v>
      </c>
      <c r="K65" s="1" t="s">
        <v>44</v>
      </c>
      <c r="L65" s="1" t="s">
        <v>45</v>
      </c>
      <c r="M65" s="1" t="s">
        <v>46</v>
      </c>
      <c r="N65" s="1" t="s">
        <v>47</v>
      </c>
      <c r="O65" s="1" t="s">
        <v>48</v>
      </c>
      <c r="P65" s="1" t="s">
        <v>4</v>
      </c>
      <c r="Q65" s="1" t="s">
        <v>49</v>
      </c>
      <c r="R65" s="1" t="s">
        <v>50</v>
      </c>
      <c r="S65" s="1" t="s">
        <v>51</v>
      </c>
      <c r="T65" s="1" t="s">
        <v>52</v>
      </c>
      <c r="U65" s="1" t="s">
        <v>10</v>
      </c>
    </row>
    <row r="66" spans="1:21" ht="28" customHeight="1" x14ac:dyDescent="0.35">
      <c r="A66" s="4">
        <v>1</v>
      </c>
      <c r="B66" s="4" t="s">
        <v>53</v>
      </c>
      <c r="C66" s="4" t="s">
        <v>54</v>
      </c>
      <c r="D66" s="4" t="s">
        <v>55</v>
      </c>
      <c r="E66" s="4" t="s">
        <v>56</v>
      </c>
      <c r="F66" s="4" t="s">
        <v>57</v>
      </c>
      <c r="G66" s="4" t="s">
        <v>58</v>
      </c>
      <c r="H66" s="4" t="s">
        <v>59</v>
      </c>
      <c r="I66" s="3"/>
      <c r="J66" s="3"/>
      <c r="K66" s="3"/>
      <c r="L66" s="3"/>
      <c r="M66" s="3"/>
      <c r="N66" s="3"/>
      <c r="O66" s="3"/>
      <c r="P66" s="8"/>
      <c r="Q66" s="8"/>
      <c r="R66" s="3"/>
      <c r="S66" s="3"/>
      <c r="T66" s="3"/>
      <c r="U66" s="5" t="str">
        <f t="shared" ref="U66:U81" si="4">IF(I66="","",IF(I66="NA","Grey",IF(I66=2,"Green",IF(I66=1,"Amber","Red"))))</f>
        <v/>
      </c>
    </row>
    <row r="67" spans="1:21" ht="28" customHeight="1" x14ac:dyDescent="0.35">
      <c r="A67" s="4">
        <v>2</v>
      </c>
      <c r="B67" s="4" t="s">
        <v>53</v>
      </c>
      <c r="C67" s="4" t="s">
        <v>60</v>
      </c>
      <c r="D67" s="4" t="s">
        <v>61</v>
      </c>
      <c r="E67" s="4" t="s">
        <v>56</v>
      </c>
      <c r="F67" s="4" t="s">
        <v>57</v>
      </c>
      <c r="G67" s="4" t="s">
        <v>58</v>
      </c>
      <c r="H67" s="4" t="s">
        <v>59</v>
      </c>
      <c r="I67" s="3"/>
      <c r="J67" s="3"/>
      <c r="K67" s="3"/>
      <c r="L67" s="3"/>
      <c r="M67" s="3"/>
      <c r="N67" s="3"/>
      <c r="O67" s="3"/>
      <c r="P67" s="8"/>
      <c r="Q67" s="8"/>
      <c r="R67" s="3"/>
      <c r="S67" s="3"/>
      <c r="T67" s="3"/>
      <c r="U67" s="5" t="str">
        <f t="shared" si="4"/>
        <v/>
      </c>
    </row>
    <row r="68" spans="1:21" ht="28" customHeight="1" x14ac:dyDescent="0.35">
      <c r="A68" s="4">
        <v>3</v>
      </c>
      <c r="B68" s="4" t="s">
        <v>53</v>
      </c>
      <c r="C68" s="4" t="s">
        <v>62</v>
      </c>
      <c r="D68" s="4" t="s">
        <v>63</v>
      </c>
      <c r="E68" s="4" t="s">
        <v>56</v>
      </c>
      <c r="F68" s="4" t="s">
        <v>57</v>
      </c>
      <c r="G68" s="4" t="s">
        <v>58</v>
      </c>
      <c r="H68" s="4" t="s">
        <v>59</v>
      </c>
      <c r="I68" s="3"/>
      <c r="J68" s="3"/>
      <c r="K68" s="3"/>
      <c r="L68" s="3"/>
      <c r="M68" s="3"/>
      <c r="N68" s="3"/>
      <c r="O68" s="3"/>
      <c r="P68" s="8"/>
      <c r="Q68" s="8"/>
      <c r="R68" s="3"/>
      <c r="S68" s="3"/>
      <c r="T68" s="3"/>
      <c r="U68" s="5" t="str">
        <f t="shared" si="4"/>
        <v/>
      </c>
    </row>
    <row r="69" spans="1:21" ht="28" customHeight="1" x14ac:dyDescent="0.35">
      <c r="A69" s="4">
        <v>4</v>
      </c>
      <c r="B69" s="4" t="s">
        <v>53</v>
      </c>
      <c r="C69" s="4" t="s">
        <v>64</v>
      </c>
      <c r="D69" s="4" t="s">
        <v>65</v>
      </c>
      <c r="E69" s="4" t="s">
        <v>56</v>
      </c>
      <c r="F69" s="4" t="s">
        <v>57</v>
      </c>
      <c r="G69" s="4" t="s">
        <v>58</v>
      </c>
      <c r="H69" s="4" t="s">
        <v>59</v>
      </c>
      <c r="I69" s="3"/>
      <c r="J69" s="3"/>
      <c r="K69" s="3"/>
      <c r="L69" s="3"/>
      <c r="M69" s="3"/>
      <c r="N69" s="3"/>
      <c r="O69" s="3"/>
      <c r="P69" s="8"/>
      <c r="Q69" s="8"/>
      <c r="R69" s="3"/>
      <c r="S69" s="3"/>
      <c r="T69" s="3"/>
      <c r="U69" s="5" t="str">
        <f t="shared" si="4"/>
        <v/>
      </c>
    </row>
    <row r="70" spans="1:21" ht="28" customHeight="1" x14ac:dyDescent="0.35">
      <c r="A70" s="4">
        <v>5</v>
      </c>
      <c r="B70" s="4" t="s">
        <v>66</v>
      </c>
      <c r="C70" s="4" t="s">
        <v>67</v>
      </c>
      <c r="D70" s="4" t="s">
        <v>68</v>
      </c>
      <c r="E70" s="4" t="s">
        <v>69</v>
      </c>
      <c r="F70" s="4" t="s">
        <v>57</v>
      </c>
      <c r="G70" s="4" t="s">
        <v>58</v>
      </c>
      <c r="H70" s="4" t="s">
        <v>59</v>
      </c>
      <c r="I70" s="3"/>
      <c r="J70" s="3"/>
      <c r="K70" s="3"/>
      <c r="L70" s="3"/>
      <c r="M70" s="3"/>
      <c r="N70" s="3"/>
      <c r="O70" s="3"/>
      <c r="P70" s="8"/>
      <c r="Q70" s="8"/>
      <c r="R70" s="3"/>
      <c r="S70" s="3"/>
      <c r="T70" s="3"/>
      <c r="U70" s="5" t="str">
        <f t="shared" si="4"/>
        <v/>
      </c>
    </row>
    <row r="71" spans="1:21" ht="28" customHeight="1" x14ac:dyDescent="0.35">
      <c r="A71" s="4">
        <v>6</v>
      </c>
      <c r="B71" s="4" t="s">
        <v>70</v>
      </c>
      <c r="C71" s="4" t="s">
        <v>71</v>
      </c>
      <c r="D71" s="4" t="s">
        <v>72</v>
      </c>
      <c r="E71" s="4" t="s">
        <v>70</v>
      </c>
      <c r="F71" s="4" t="s">
        <v>57</v>
      </c>
      <c r="G71" s="4" t="s">
        <v>58</v>
      </c>
      <c r="H71" s="4" t="s">
        <v>59</v>
      </c>
      <c r="I71" s="3"/>
      <c r="J71" s="3"/>
      <c r="K71" s="3"/>
      <c r="L71" s="3"/>
      <c r="M71" s="3"/>
      <c r="N71" s="3"/>
      <c r="O71" s="3"/>
      <c r="P71" s="8"/>
      <c r="Q71" s="8"/>
      <c r="R71" s="3"/>
      <c r="S71" s="3"/>
      <c r="T71" s="3"/>
      <c r="U71" s="5" t="str">
        <f t="shared" si="4"/>
        <v/>
      </c>
    </row>
    <row r="72" spans="1:21" ht="28" customHeight="1" x14ac:dyDescent="0.35">
      <c r="A72" s="4">
        <v>7</v>
      </c>
      <c r="B72" s="4" t="s">
        <v>73</v>
      </c>
      <c r="C72" s="4" t="s">
        <v>74</v>
      </c>
      <c r="D72" s="4" t="s">
        <v>75</v>
      </c>
      <c r="E72" s="4" t="s">
        <v>69</v>
      </c>
      <c r="F72" s="4" t="s">
        <v>57</v>
      </c>
      <c r="G72" s="4" t="s">
        <v>58</v>
      </c>
      <c r="H72" s="4" t="s">
        <v>76</v>
      </c>
      <c r="I72" s="3"/>
      <c r="J72" s="3"/>
      <c r="K72" s="3"/>
      <c r="L72" s="3"/>
      <c r="M72" s="3"/>
      <c r="N72" s="3"/>
      <c r="O72" s="3"/>
      <c r="P72" s="8"/>
      <c r="Q72" s="8"/>
      <c r="R72" s="3"/>
      <c r="S72" s="3"/>
      <c r="T72" s="3"/>
      <c r="U72" s="5" t="str">
        <f t="shared" si="4"/>
        <v/>
      </c>
    </row>
    <row r="73" spans="1:21" ht="28" customHeight="1" x14ac:dyDescent="0.35">
      <c r="A73" s="4">
        <v>8</v>
      </c>
      <c r="B73" s="4" t="s">
        <v>77</v>
      </c>
      <c r="C73" s="4" t="s">
        <v>78</v>
      </c>
      <c r="D73" s="4" t="s">
        <v>79</v>
      </c>
      <c r="E73" s="4" t="s">
        <v>80</v>
      </c>
      <c r="F73" s="4" t="s">
        <v>57</v>
      </c>
      <c r="G73" s="4" t="s">
        <v>58</v>
      </c>
      <c r="H73" s="4" t="s">
        <v>59</v>
      </c>
      <c r="I73" s="3"/>
      <c r="J73" s="3"/>
      <c r="K73" s="3"/>
      <c r="L73" s="3"/>
      <c r="M73" s="3"/>
      <c r="N73" s="3"/>
      <c r="O73" s="3"/>
      <c r="P73" s="8"/>
      <c r="Q73" s="8"/>
      <c r="R73" s="3"/>
      <c r="S73" s="3"/>
      <c r="T73" s="3"/>
      <c r="U73" s="5" t="str">
        <f t="shared" si="4"/>
        <v/>
      </c>
    </row>
    <row r="74" spans="1:21" ht="28" customHeight="1" x14ac:dyDescent="0.35">
      <c r="A74" s="4">
        <v>9</v>
      </c>
      <c r="B74" s="4" t="s">
        <v>81</v>
      </c>
      <c r="C74" s="4" t="s">
        <v>82</v>
      </c>
      <c r="D74" s="4" t="s">
        <v>83</v>
      </c>
      <c r="E74" s="4" t="s">
        <v>84</v>
      </c>
      <c r="F74" s="4" t="s">
        <v>57</v>
      </c>
      <c r="G74" s="4" t="s">
        <v>58</v>
      </c>
      <c r="H74" s="4" t="s">
        <v>85</v>
      </c>
      <c r="I74" s="3"/>
      <c r="J74" s="3"/>
      <c r="K74" s="3"/>
      <c r="L74" s="3"/>
      <c r="M74" s="3"/>
      <c r="N74" s="3"/>
      <c r="O74" s="3"/>
      <c r="P74" s="8"/>
      <c r="Q74" s="8"/>
      <c r="R74" s="3"/>
      <c r="S74" s="3"/>
      <c r="T74" s="3"/>
      <c r="U74" s="5" t="str">
        <f t="shared" si="4"/>
        <v/>
      </c>
    </row>
    <row r="75" spans="1:21" ht="28" customHeight="1" x14ac:dyDescent="0.35">
      <c r="A75" s="4">
        <v>10</v>
      </c>
      <c r="B75" s="4" t="s">
        <v>86</v>
      </c>
      <c r="C75" s="4" t="s">
        <v>87</v>
      </c>
      <c r="D75" s="4" t="s">
        <v>88</v>
      </c>
      <c r="E75" s="4" t="s">
        <v>69</v>
      </c>
      <c r="F75" s="4" t="s">
        <v>57</v>
      </c>
      <c r="G75" s="4" t="s">
        <v>58</v>
      </c>
      <c r="H75" s="4" t="s">
        <v>59</v>
      </c>
      <c r="I75" s="3"/>
      <c r="J75" s="3"/>
      <c r="K75" s="3"/>
      <c r="L75" s="3"/>
      <c r="M75" s="3"/>
      <c r="N75" s="3"/>
      <c r="O75" s="3"/>
      <c r="P75" s="8"/>
      <c r="Q75" s="8"/>
      <c r="R75" s="3"/>
      <c r="S75" s="3"/>
      <c r="T75" s="3"/>
      <c r="U75" s="5" t="str">
        <f t="shared" si="4"/>
        <v/>
      </c>
    </row>
    <row r="76" spans="1:21" ht="28" customHeight="1" x14ac:dyDescent="0.35">
      <c r="A76" s="4">
        <v>11</v>
      </c>
      <c r="B76" s="4" t="s">
        <v>89</v>
      </c>
      <c r="C76" s="4" t="s">
        <v>90</v>
      </c>
      <c r="D76" s="4" t="s">
        <v>91</v>
      </c>
      <c r="E76" s="4" t="s">
        <v>84</v>
      </c>
      <c r="F76" s="4" t="s">
        <v>57</v>
      </c>
      <c r="G76" s="4" t="s">
        <v>58</v>
      </c>
      <c r="H76" s="4" t="s">
        <v>59</v>
      </c>
      <c r="I76" s="3"/>
      <c r="J76" s="3"/>
      <c r="K76" s="3"/>
      <c r="L76" s="3"/>
      <c r="M76" s="3"/>
      <c r="N76" s="3"/>
      <c r="O76" s="3"/>
      <c r="P76" s="8"/>
      <c r="Q76" s="8"/>
      <c r="R76" s="3"/>
      <c r="S76" s="3"/>
      <c r="T76" s="3"/>
      <c r="U76" s="5" t="str">
        <f t="shared" si="4"/>
        <v/>
      </c>
    </row>
    <row r="77" spans="1:21" ht="28" customHeight="1" x14ac:dyDescent="0.35">
      <c r="A77" s="4">
        <v>12</v>
      </c>
      <c r="B77" s="4" t="s">
        <v>92</v>
      </c>
      <c r="C77" s="4" t="s">
        <v>93</v>
      </c>
      <c r="D77" s="4" t="s">
        <v>94</v>
      </c>
      <c r="E77" s="4" t="s">
        <v>69</v>
      </c>
      <c r="F77" s="4" t="s">
        <v>95</v>
      </c>
      <c r="G77" s="4" t="s">
        <v>96</v>
      </c>
      <c r="H77" s="4" t="s">
        <v>59</v>
      </c>
      <c r="I77" s="3"/>
      <c r="J77" s="3"/>
      <c r="K77" s="3"/>
      <c r="L77" s="3"/>
      <c r="M77" s="3"/>
      <c r="N77" s="3"/>
      <c r="O77" s="3"/>
      <c r="P77" s="8"/>
      <c r="Q77" s="8"/>
      <c r="R77" s="3"/>
      <c r="S77" s="3"/>
      <c r="T77" s="3"/>
      <c r="U77" s="5" t="str">
        <f t="shared" si="4"/>
        <v/>
      </c>
    </row>
    <row r="78" spans="1:21" ht="28" customHeight="1" x14ac:dyDescent="0.35">
      <c r="A78" s="4">
        <v>13</v>
      </c>
      <c r="B78" s="4" t="s">
        <v>97</v>
      </c>
      <c r="C78" s="4" t="s">
        <v>98</v>
      </c>
      <c r="D78" s="4" t="s">
        <v>99</v>
      </c>
      <c r="E78" s="4" t="s">
        <v>69</v>
      </c>
      <c r="F78" s="4" t="s">
        <v>95</v>
      </c>
      <c r="G78" s="4" t="s">
        <v>96</v>
      </c>
      <c r="H78" s="4" t="s">
        <v>59</v>
      </c>
      <c r="I78" s="3"/>
      <c r="J78" s="3"/>
      <c r="K78" s="3"/>
      <c r="L78" s="3"/>
      <c r="M78" s="3"/>
      <c r="N78" s="3"/>
      <c r="O78" s="3"/>
      <c r="P78" s="8"/>
      <c r="Q78" s="8"/>
      <c r="R78" s="3"/>
      <c r="S78" s="3"/>
      <c r="T78" s="3"/>
      <c r="U78" s="5" t="str">
        <f t="shared" si="4"/>
        <v/>
      </c>
    </row>
    <row r="79" spans="1:21" ht="28" customHeight="1" x14ac:dyDescent="0.35">
      <c r="A79" s="4">
        <v>14</v>
      </c>
      <c r="B79" s="4" t="s">
        <v>97</v>
      </c>
      <c r="C79" s="4" t="s">
        <v>100</v>
      </c>
      <c r="D79" s="4" t="s">
        <v>101</v>
      </c>
      <c r="E79" s="4" t="s">
        <v>69</v>
      </c>
      <c r="F79" s="4" t="s">
        <v>95</v>
      </c>
      <c r="G79" s="4" t="s">
        <v>102</v>
      </c>
      <c r="H79" s="4" t="s">
        <v>59</v>
      </c>
      <c r="I79" s="3"/>
      <c r="J79" s="3"/>
      <c r="K79" s="3"/>
      <c r="L79" s="3"/>
      <c r="M79" s="3"/>
      <c r="N79" s="3"/>
      <c r="O79" s="3"/>
      <c r="P79" s="8"/>
      <c r="Q79" s="8"/>
      <c r="R79" s="3"/>
      <c r="S79" s="3"/>
      <c r="T79" s="3"/>
      <c r="U79" s="5" t="str">
        <f t="shared" si="4"/>
        <v/>
      </c>
    </row>
    <row r="80" spans="1:21" ht="28" customHeight="1" x14ac:dyDescent="0.35">
      <c r="A80" s="4">
        <v>15</v>
      </c>
      <c r="B80" s="4" t="s">
        <v>103</v>
      </c>
      <c r="C80" s="4" t="s">
        <v>104</v>
      </c>
      <c r="D80" s="4" t="s">
        <v>105</v>
      </c>
      <c r="E80" s="4" t="s">
        <v>69</v>
      </c>
      <c r="F80" s="4" t="s">
        <v>95</v>
      </c>
      <c r="G80" s="4" t="s">
        <v>96</v>
      </c>
      <c r="H80" s="4" t="s">
        <v>85</v>
      </c>
      <c r="I80" s="3"/>
      <c r="J80" s="3"/>
      <c r="K80" s="3"/>
      <c r="L80" s="3"/>
      <c r="M80" s="3"/>
      <c r="N80" s="3"/>
      <c r="O80" s="3"/>
      <c r="P80" s="8"/>
      <c r="Q80" s="8"/>
      <c r="R80" s="3"/>
      <c r="S80" s="3"/>
      <c r="T80" s="3"/>
      <c r="U80" s="5" t="str">
        <f t="shared" si="4"/>
        <v/>
      </c>
    </row>
    <row r="81" spans="1:21" ht="28" customHeight="1" x14ac:dyDescent="0.35">
      <c r="A81" s="4">
        <v>16</v>
      </c>
      <c r="B81" s="4" t="s">
        <v>106</v>
      </c>
      <c r="C81" s="4" t="s">
        <v>107</v>
      </c>
      <c r="D81" s="4" t="s">
        <v>108</v>
      </c>
      <c r="E81" s="4" t="s">
        <v>109</v>
      </c>
      <c r="F81" s="4" t="s">
        <v>95</v>
      </c>
      <c r="G81" s="4" t="s">
        <v>96</v>
      </c>
      <c r="H81" s="4" t="s">
        <v>59</v>
      </c>
      <c r="I81" s="3"/>
      <c r="J81" s="3"/>
      <c r="K81" s="3"/>
      <c r="L81" s="3"/>
      <c r="M81" s="3"/>
      <c r="N81" s="3"/>
      <c r="O81" s="3"/>
      <c r="P81" s="8"/>
      <c r="Q81" s="8"/>
      <c r="R81" s="3"/>
      <c r="S81" s="3"/>
      <c r="T81" s="3"/>
      <c r="U81" s="5" t="str">
        <f t="shared" si="4"/>
        <v/>
      </c>
    </row>
    <row r="83" spans="1:21" ht="28" customHeight="1" x14ac:dyDescent="0.35">
      <c r="A83" s="9" t="s">
        <v>110</v>
      </c>
      <c r="B83" s="16"/>
      <c r="C83" s="17"/>
      <c r="D83" s="17"/>
      <c r="E83" s="17"/>
      <c r="F83" s="17"/>
      <c r="G83" s="17"/>
      <c r="H83" s="17"/>
      <c r="I83" s="17"/>
      <c r="J83" s="17"/>
      <c r="K83" s="17"/>
      <c r="L83" s="17"/>
      <c r="M83" s="17"/>
      <c r="N83" s="17"/>
      <c r="O83" s="17"/>
      <c r="P83" s="17"/>
      <c r="Q83" s="17"/>
      <c r="R83" s="17"/>
      <c r="S83" s="17"/>
      <c r="T83" s="17"/>
      <c r="U83" s="18"/>
    </row>
    <row r="84" spans="1:21" ht="28" customHeight="1" x14ac:dyDescent="0.35">
      <c r="A84" s="19" t="s">
        <v>113</v>
      </c>
      <c r="B84" s="20"/>
      <c r="C84" s="20"/>
      <c r="D84" s="20"/>
      <c r="E84" s="20"/>
      <c r="F84" s="20"/>
      <c r="G84" s="20"/>
      <c r="H84" s="20"/>
      <c r="I84" s="20"/>
      <c r="J84" s="20"/>
      <c r="K84" s="20"/>
      <c r="L84" s="20"/>
      <c r="M84" s="20"/>
      <c r="N84" s="20"/>
      <c r="O84" s="20"/>
      <c r="P84" s="20"/>
      <c r="Q84" s="20"/>
      <c r="R84" s="20"/>
      <c r="S84" s="20"/>
      <c r="T84" s="20"/>
      <c r="U84" s="21"/>
    </row>
    <row r="85" spans="1:21" ht="28" customHeight="1" x14ac:dyDescent="0.35">
      <c r="A85" s="4" t="s">
        <v>31</v>
      </c>
      <c r="B85" s="3" t="s">
        <v>21</v>
      </c>
      <c r="C85" s="4" t="s">
        <v>32</v>
      </c>
      <c r="D85" s="3"/>
      <c r="E85" s="4" t="s">
        <v>33</v>
      </c>
      <c r="F85" s="8"/>
    </row>
    <row r="86" spans="1:21" ht="28" customHeight="1" x14ac:dyDescent="0.35">
      <c r="A86" s="1" t="s">
        <v>34</v>
      </c>
      <c r="B86" s="1" t="s">
        <v>35</v>
      </c>
      <c r="C86" s="1" t="s">
        <v>36</v>
      </c>
      <c r="D86" s="1" t="s">
        <v>37</v>
      </c>
      <c r="E86" s="1" t="s">
        <v>38</v>
      </c>
      <c r="F86" s="1" t="s">
        <v>39</v>
      </c>
      <c r="G86" s="1" t="s">
        <v>40</v>
      </c>
      <c r="H86" s="1" t="s">
        <v>41</v>
      </c>
      <c r="I86" s="1" t="s">
        <v>42</v>
      </c>
      <c r="J86" s="1" t="s">
        <v>43</v>
      </c>
      <c r="K86" s="1" t="s">
        <v>44</v>
      </c>
      <c r="L86" s="1" t="s">
        <v>45</v>
      </c>
      <c r="M86" s="1" t="s">
        <v>46</v>
      </c>
      <c r="N86" s="1" t="s">
        <v>47</v>
      </c>
      <c r="O86" s="1" t="s">
        <v>48</v>
      </c>
      <c r="P86" s="1" t="s">
        <v>4</v>
      </c>
      <c r="Q86" s="1" t="s">
        <v>49</v>
      </c>
      <c r="R86" s="1" t="s">
        <v>50</v>
      </c>
      <c r="S86" s="1" t="s">
        <v>51</v>
      </c>
      <c r="T86" s="1" t="s">
        <v>52</v>
      </c>
      <c r="U86" s="1" t="s">
        <v>10</v>
      </c>
    </row>
    <row r="87" spans="1:21" ht="28" customHeight="1" x14ac:dyDescent="0.35">
      <c r="A87" s="4">
        <v>1</v>
      </c>
      <c r="B87" s="4" t="s">
        <v>53</v>
      </c>
      <c r="C87" s="4" t="s">
        <v>54</v>
      </c>
      <c r="D87" s="4" t="s">
        <v>55</v>
      </c>
      <c r="E87" s="4" t="s">
        <v>56</v>
      </c>
      <c r="F87" s="4" t="s">
        <v>57</v>
      </c>
      <c r="G87" s="4" t="s">
        <v>58</v>
      </c>
      <c r="H87" s="4" t="s">
        <v>59</v>
      </c>
      <c r="I87" s="3"/>
      <c r="J87" s="3"/>
      <c r="K87" s="3"/>
      <c r="L87" s="3"/>
      <c r="M87" s="3"/>
      <c r="N87" s="3"/>
      <c r="O87" s="3"/>
      <c r="P87" s="8"/>
      <c r="Q87" s="8"/>
      <c r="R87" s="3"/>
      <c r="S87" s="3"/>
      <c r="T87" s="3"/>
      <c r="U87" s="5" t="str">
        <f t="shared" ref="U87:U102" si="5">IF(I87="","",IF(I87="NA","Grey",IF(I87=2,"Green",IF(I87=1,"Amber","Red"))))</f>
        <v/>
      </c>
    </row>
    <row r="88" spans="1:21" ht="28" customHeight="1" x14ac:dyDescent="0.35">
      <c r="A88" s="4">
        <v>2</v>
      </c>
      <c r="B88" s="4" t="s">
        <v>53</v>
      </c>
      <c r="C88" s="4" t="s">
        <v>60</v>
      </c>
      <c r="D88" s="4" t="s">
        <v>61</v>
      </c>
      <c r="E88" s="4" t="s">
        <v>56</v>
      </c>
      <c r="F88" s="4" t="s">
        <v>57</v>
      </c>
      <c r="G88" s="4" t="s">
        <v>58</v>
      </c>
      <c r="H88" s="4" t="s">
        <v>59</v>
      </c>
      <c r="I88" s="3"/>
      <c r="J88" s="3"/>
      <c r="K88" s="3"/>
      <c r="L88" s="3"/>
      <c r="M88" s="3"/>
      <c r="N88" s="3"/>
      <c r="O88" s="3"/>
      <c r="P88" s="8"/>
      <c r="Q88" s="8"/>
      <c r="R88" s="3"/>
      <c r="S88" s="3"/>
      <c r="T88" s="3"/>
      <c r="U88" s="5" t="str">
        <f t="shared" si="5"/>
        <v/>
      </c>
    </row>
    <row r="89" spans="1:21" ht="28" customHeight="1" x14ac:dyDescent="0.35">
      <c r="A89" s="4">
        <v>3</v>
      </c>
      <c r="B89" s="4" t="s">
        <v>53</v>
      </c>
      <c r="C89" s="4" t="s">
        <v>62</v>
      </c>
      <c r="D89" s="4" t="s">
        <v>63</v>
      </c>
      <c r="E89" s="4" t="s">
        <v>56</v>
      </c>
      <c r="F89" s="4" t="s">
        <v>57</v>
      </c>
      <c r="G89" s="4" t="s">
        <v>58</v>
      </c>
      <c r="H89" s="4" t="s">
        <v>59</v>
      </c>
      <c r="I89" s="3"/>
      <c r="J89" s="3"/>
      <c r="K89" s="3"/>
      <c r="L89" s="3"/>
      <c r="M89" s="3"/>
      <c r="N89" s="3"/>
      <c r="O89" s="3"/>
      <c r="P89" s="8"/>
      <c r="Q89" s="8"/>
      <c r="R89" s="3"/>
      <c r="S89" s="3"/>
      <c r="T89" s="3"/>
      <c r="U89" s="5" t="str">
        <f t="shared" si="5"/>
        <v/>
      </c>
    </row>
    <row r="90" spans="1:21" ht="28" customHeight="1" x14ac:dyDescent="0.35">
      <c r="A90" s="4">
        <v>4</v>
      </c>
      <c r="B90" s="4" t="s">
        <v>53</v>
      </c>
      <c r="C90" s="4" t="s">
        <v>64</v>
      </c>
      <c r="D90" s="4" t="s">
        <v>65</v>
      </c>
      <c r="E90" s="4" t="s">
        <v>56</v>
      </c>
      <c r="F90" s="4" t="s">
        <v>57</v>
      </c>
      <c r="G90" s="4" t="s">
        <v>58</v>
      </c>
      <c r="H90" s="4" t="s">
        <v>59</v>
      </c>
      <c r="I90" s="3"/>
      <c r="J90" s="3"/>
      <c r="K90" s="3"/>
      <c r="L90" s="3"/>
      <c r="M90" s="3"/>
      <c r="N90" s="3"/>
      <c r="O90" s="3"/>
      <c r="P90" s="8"/>
      <c r="Q90" s="8"/>
      <c r="R90" s="3"/>
      <c r="S90" s="3"/>
      <c r="T90" s="3"/>
      <c r="U90" s="5" t="str">
        <f t="shared" si="5"/>
        <v/>
      </c>
    </row>
    <row r="91" spans="1:21" ht="28" customHeight="1" x14ac:dyDescent="0.35">
      <c r="A91" s="4">
        <v>5</v>
      </c>
      <c r="B91" s="4" t="s">
        <v>66</v>
      </c>
      <c r="C91" s="4" t="s">
        <v>67</v>
      </c>
      <c r="D91" s="4" t="s">
        <v>68</v>
      </c>
      <c r="E91" s="4" t="s">
        <v>69</v>
      </c>
      <c r="F91" s="4" t="s">
        <v>57</v>
      </c>
      <c r="G91" s="4" t="s">
        <v>58</v>
      </c>
      <c r="H91" s="4" t="s">
        <v>59</v>
      </c>
      <c r="I91" s="3"/>
      <c r="J91" s="3"/>
      <c r="K91" s="3"/>
      <c r="L91" s="3"/>
      <c r="M91" s="3"/>
      <c r="N91" s="3"/>
      <c r="O91" s="3"/>
      <c r="P91" s="8"/>
      <c r="Q91" s="8"/>
      <c r="R91" s="3"/>
      <c r="S91" s="3"/>
      <c r="T91" s="3"/>
      <c r="U91" s="5" t="str">
        <f t="shared" si="5"/>
        <v/>
      </c>
    </row>
    <row r="92" spans="1:21" ht="28" customHeight="1" x14ac:dyDescent="0.35">
      <c r="A92" s="4">
        <v>6</v>
      </c>
      <c r="B92" s="4" t="s">
        <v>70</v>
      </c>
      <c r="C92" s="4" t="s">
        <v>71</v>
      </c>
      <c r="D92" s="4" t="s">
        <v>72</v>
      </c>
      <c r="E92" s="4" t="s">
        <v>70</v>
      </c>
      <c r="F92" s="4" t="s">
        <v>57</v>
      </c>
      <c r="G92" s="4" t="s">
        <v>58</v>
      </c>
      <c r="H92" s="4" t="s">
        <v>59</v>
      </c>
      <c r="I92" s="3"/>
      <c r="J92" s="3"/>
      <c r="K92" s="3"/>
      <c r="L92" s="3"/>
      <c r="M92" s="3"/>
      <c r="N92" s="3"/>
      <c r="O92" s="3"/>
      <c r="P92" s="8"/>
      <c r="Q92" s="8"/>
      <c r="R92" s="3"/>
      <c r="S92" s="3"/>
      <c r="T92" s="3"/>
      <c r="U92" s="5" t="str">
        <f t="shared" si="5"/>
        <v/>
      </c>
    </row>
    <row r="93" spans="1:21" ht="28" customHeight="1" x14ac:dyDescent="0.35">
      <c r="A93" s="4">
        <v>7</v>
      </c>
      <c r="B93" s="4" t="s">
        <v>73</v>
      </c>
      <c r="C93" s="4" t="s">
        <v>74</v>
      </c>
      <c r="D93" s="4" t="s">
        <v>75</v>
      </c>
      <c r="E93" s="4" t="s">
        <v>69</v>
      </c>
      <c r="F93" s="4" t="s">
        <v>57</v>
      </c>
      <c r="G93" s="4" t="s">
        <v>58</v>
      </c>
      <c r="H93" s="4" t="s">
        <v>76</v>
      </c>
      <c r="I93" s="3"/>
      <c r="J93" s="3"/>
      <c r="K93" s="3"/>
      <c r="L93" s="3"/>
      <c r="M93" s="3"/>
      <c r="N93" s="3"/>
      <c r="O93" s="3"/>
      <c r="P93" s="8"/>
      <c r="Q93" s="8"/>
      <c r="R93" s="3"/>
      <c r="S93" s="3"/>
      <c r="T93" s="3"/>
      <c r="U93" s="5" t="str">
        <f t="shared" si="5"/>
        <v/>
      </c>
    </row>
    <row r="94" spans="1:21" ht="28" customHeight="1" x14ac:dyDescent="0.35">
      <c r="A94" s="4">
        <v>8</v>
      </c>
      <c r="B94" s="4" t="s">
        <v>77</v>
      </c>
      <c r="C94" s="4" t="s">
        <v>78</v>
      </c>
      <c r="D94" s="4" t="s">
        <v>79</v>
      </c>
      <c r="E94" s="4" t="s">
        <v>80</v>
      </c>
      <c r="F94" s="4" t="s">
        <v>57</v>
      </c>
      <c r="G94" s="4" t="s">
        <v>58</v>
      </c>
      <c r="H94" s="4" t="s">
        <v>59</v>
      </c>
      <c r="I94" s="3"/>
      <c r="J94" s="3"/>
      <c r="K94" s="3"/>
      <c r="L94" s="3"/>
      <c r="M94" s="3"/>
      <c r="N94" s="3"/>
      <c r="O94" s="3"/>
      <c r="P94" s="8"/>
      <c r="Q94" s="8"/>
      <c r="R94" s="3"/>
      <c r="S94" s="3"/>
      <c r="T94" s="3"/>
      <c r="U94" s="5" t="str">
        <f t="shared" si="5"/>
        <v/>
      </c>
    </row>
    <row r="95" spans="1:21" ht="28" customHeight="1" x14ac:dyDescent="0.35">
      <c r="A95" s="4">
        <v>9</v>
      </c>
      <c r="B95" s="4" t="s">
        <v>81</v>
      </c>
      <c r="C95" s="4" t="s">
        <v>82</v>
      </c>
      <c r="D95" s="4" t="s">
        <v>83</v>
      </c>
      <c r="E95" s="4" t="s">
        <v>84</v>
      </c>
      <c r="F95" s="4" t="s">
        <v>57</v>
      </c>
      <c r="G95" s="4" t="s">
        <v>58</v>
      </c>
      <c r="H95" s="4" t="s">
        <v>85</v>
      </c>
      <c r="I95" s="3"/>
      <c r="J95" s="3"/>
      <c r="K95" s="3"/>
      <c r="L95" s="3"/>
      <c r="M95" s="3"/>
      <c r="N95" s="3"/>
      <c r="O95" s="3"/>
      <c r="P95" s="8"/>
      <c r="Q95" s="8"/>
      <c r="R95" s="3"/>
      <c r="S95" s="3"/>
      <c r="T95" s="3"/>
      <c r="U95" s="5" t="str">
        <f t="shared" si="5"/>
        <v/>
      </c>
    </row>
    <row r="96" spans="1:21" ht="28" customHeight="1" x14ac:dyDescent="0.35">
      <c r="A96" s="4">
        <v>10</v>
      </c>
      <c r="B96" s="4" t="s">
        <v>86</v>
      </c>
      <c r="C96" s="4" t="s">
        <v>87</v>
      </c>
      <c r="D96" s="4" t="s">
        <v>88</v>
      </c>
      <c r="E96" s="4" t="s">
        <v>69</v>
      </c>
      <c r="F96" s="4" t="s">
        <v>57</v>
      </c>
      <c r="G96" s="4" t="s">
        <v>58</v>
      </c>
      <c r="H96" s="4" t="s">
        <v>59</v>
      </c>
      <c r="I96" s="3"/>
      <c r="J96" s="3"/>
      <c r="K96" s="3"/>
      <c r="L96" s="3"/>
      <c r="M96" s="3"/>
      <c r="N96" s="3"/>
      <c r="O96" s="3"/>
      <c r="P96" s="8"/>
      <c r="Q96" s="8"/>
      <c r="R96" s="3"/>
      <c r="S96" s="3"/>
      <c r="T96" s="3"/>
      <c r="U96" s="5" t="str">
        <f t="shared" si="5"/>
        <v/>
      </c>
    </row>
    <row r="97" spans="1:21" ht="28" customHeight="1" x14ac:dyDescent="0.35">
      <c r="A97" s="4">
        <v>11</v>
      </c>
      <c r="B97" s="4" t="s">
        <v>89</v>
      </c>
      <c r="C97" s="4" t="s">
        <v>90</v>
      </c>
      <c r="D97" s="4" t="s">
        <v>91</v>
      </c>
      <c r="E97" s="4" t="s">
        <v>84</v>
      </c>
      <c r="F97" s="4" t="s">
        <v>57</v>
      </c>
      <c r="G97" s="4" t="s">
        <v>58</v>
      </c>
      <c r="H97" s="4" t="s">
        <v>59</v>
      </c>
      <c r="I97" s="3"/>
      <c r="J97" s="3"/>
      <c r="K97" s="3"/>
      <c r="L97" s="3"/>
      <c r="M97" s="3"/>
      <c r="N97" s="3"/>
      <c r="O97" s="3"/>
      <c r="P97" s="8"/>
      <c r="Q97" s="8"/>
      <c r="R97" s="3"/>
      <c r="S97" s="3"/>
      <c r="T97" s="3"/>
      <c r="U97" s="5" t="str">
        <f t="shared" si="5"/>
        <v/>
      </c>
    </row>
    <row r="98" spans="1:21" ht="28" customHeight="1" x14ac:dyDescent="0.35">
      <c r="A98" s="4">
        <v>12</v>
      </c>
      <c r="B98" s="4" t="s">
        <v>92</v>
      </c>
      <c r="C98" s="4" t="s">
        <v>93</v>
      </c>
      <c r="D98" s="4" t="s">
        <v>94</v>
      </c>
      <c r="E98" s="4" t="s">
        <v>69</v>
      </c>
      <c r="F98" s="4" t="s">
        <v>95</v>
      </c>
      <c r="G98" s="4" t="s">
        <v>96</v>
      </c>
      <c r="H98" s="4" t="s">
        <v>59</v>
      </c>
      <c r="I98" s="3"/>
      <c r="J98" s="3"/>
      <c r="K98" s="3"/>
      <c r="L98" s="3"/>
      <c r="M98" s="3"/>
      <c r="N98" s="3"/>
      <c r="O98" s="3"/>
      <c r="P98" s="8"/>
      <c r="Q98" s="8"/>
      <c r="R98" s="3"/>
      <c r="S98" s="3"/>
      <c r="T98" s="3"/>
      <c r="U98" s="5" t="str">
        <f t="shared" si="5"/>
        <v/>
      </c>
    </row>
    <row r="99" spans="1:21" ht="28" customHeight="1" x14ac:dyDescent="0.35">
      <c r="A99" s="4">
        <v>13</v>
      </c>
      <c r="B99" s="4" t="s">
        <v>97</v>
      </c>
      <c r="C99" s="4" t="s">
        <v>98</v>
      </c>
      <c r="D99" s="4" t="s">
        <v>99</v>
      </c>
      <c r="E99" s="4" t="s">
        <v>69</v>
      </c>
      <c r="F99" s="4" t="s">
        <v>95</v>
      </c>
      <c r="G99" s="4" t="s">
        <v>96</v>
      </c>
      <c r="H99" s="4" t="s">
        <v>59</v>
      </c>
      <c r="I99" s="3"/>
      <c r="J99" s="3"/>
      <c r="K99" s="3"/>
      <c r="L99" s="3"/>
      <c r="M99" s="3"/>
      <c r="N99" s="3"/>
      <c r="O99" s="3"/>
      <c r="P99" s="8"/>
      <c r="Q99" s="8"/>
      <c r="R99" s="3"/>
      <c r="S99" s="3"/>
      <c r="T99" s="3"/>
      <c r="U99" s="5" t="str">
        <f t="shared" si="5"/>
        <v/>
      </c>
    </row>
    <row r="100" spans="1:21" ht="28" customHeight="1" x14ac:dyDescent="0.35">
      <c r="A100" s="4">
        <v>14</v>
      </c>
      <c r="B100" s="4" t="s">
        <v>97</v>
      </c>
      <c r="C100" s="4" t="s">
        <v>100</v>
      </c>
      <c r="D100" s="4" t="s">
        <v>101</v>
      </c>
      <c r="E100" s="4" t="s">
        <v>69</v>
      </c>
      <c r="F100" s="4" t="s">
        <v>95</v>
      </c>
      <c r="G100" s="4" t="s">
        <v>102</v>
      </c>
      <c r="H100" s="4" t="s">
        <v>59</v>
      </c>
      <c r="I100" s="3"/>
      <c r="J100" s="3"/>
      <c r="K100" s="3"/>
      <c r="L100" s="3"/>
      <c r="M100" s="3"/>
      <c r="N100" s="3"/>
      <c r="O100" s="3"/>
      <c r="P100" s="8"/>
      <c r="Q100" s="8"/>
      <c r="R100" s="3"/>
      <c r="S100" s="3"/>
      <c r="T100" s="3"/>
      <c r="U100" s="5" t="str">
        <f t="shared" si="5"/>
        <v/>
      </c>
    </row>
    <row r="101" spans="1:21" ht="28" customHeight="1" x14ac:dyDescent="0.35">
      <c r="A101" s="4">
        <v>15</v>
      </c>
      <c r="B101" s="4" t="s">
        <v>103</v>
      </c>
      <c r="C101" s="4" t="s">
        <v>104</v>
      </c>
      <c r="D101" s="4" t="s">
        <v>105</v>
      </c>
      <c r="E101" s="4" t="s">
        <v>69</v>
      </c>
      <c r="F101" s="4" t="s">
        <v>95</v>
      </c>
      <c r="G101" s="4" t="s">
        <v>96</v>
      </c>
      <c r="H101" s="4" t="s">
        <v>85</v>
      </c>
      <c r="I101" s="3"/>
      <c r="J101" s="3"/>
      <c r="K101" s="3"/>
      <c r="L101" s="3"/>
      <c r="M101" s="3"/>
      <c r="N101" s="3"/>
      <c r="O101" s="3"/>
      <c r="P101" s="8"/>
      <c r="Q101" s="8"/>
      <c r="R101" s="3"/>
      <c r="S101" s="3"/>
      <c r="T101" s="3"/>
      <c r="U101" s="5" t="str">
        <f t="shared" si="5"/>
        <v/>
      </c>
    </row>
    <row r="102" spans="1:21" ht="28" customHeight="1" x14ac:dyDescent="0.35">
      <c r="A102" s="4">
        <v>16</v>
      </c>
      <c r="B102" s="4" t="s">
        <v>106</v>
      </c>
      <c r="C102" s="4" t="s">
        <v>107</v>
      </c>
      <c r="D102" s="4" t="s">
        <v>108</v>
      </c>
      <c r="E102" s="4" t="s">
        <v>109</v>
      </c>
      <c r="F102" s="4" t="s">
        <v>95</v>
      </c>
      <c r="G102" s="4" t="s">
        <v>96</v>
      </c>
      <c r="H102" s="4" t="s">
        <v>59</v>
      </c>
      <c r="I102" s="3"/>
      <c r="J102" s="3"/>
      <c r="K102" s="3"/>
      <c r="L102" s="3"/>
      <c r="M102" s="3"/>
      <c r="N102" s="3"/>
      <c r="O102" s="3"/>
      <c r="P102" s="8"/>
      <c r="Q102" s="8"/>
      <c r="R102" s="3"/>
      <c r="S102" s="3"/>
      <c r="T102" s="3"/>
      <c r="U102" s="5" t="str">
        <f t="shared" si="5"/>
        <v/>
      </c>
    </row>
    <row r="104" spans="1:21" ht="28" customHeight="1" x14ac:dyDescent="0.35">
      <c r="A104" s="9" t="s">
        <v>110</v>
      </c>
      <c r="B104" s="16"/>
      <c r="C104" s="17"/>
      <c r="D104" s="17"/>
      <c r="E104" s="17"/>
      <c r="F104" s="17"/>
      <c r="G104" s="17"/>
      <c r="H104" s="17"/>
      <c r="I104" s="17"/>
      <c r="J104" s="17"/>
      <c r="K104" s="17"/>
      <c r="L104" s="17"/>
      <c r="M104" s="17"/>
      <c r="N104" s="17"/>
      <c r="O104" s="17"/>
      <c r="P104" s="17"/>
      <c r="Q104" s="17"/>
      <c r="R104" s="17"/>
      <c r="S104" s="17"/>
      <c r="T104" s="17"/>
      <c r="U104" s="18"/>
    </row>
    <row r="105" spans="1:21" ht="28" customHeight="1" x14ac:dyDescent="0.35">
      <c r="A105" s="19" t="s">
        <v>114</v>
      </c>
      <c r="B105" s="20"/>
      <c r="C105" s="20"/>
      <c r="D105" s="20"/>
      <c r="E105" s="20"/>
      <c r="F105" s="20"/>
      <c r="G105" s="20"/>
      <c r="H105" s="20"/>
      <c r="I105" s="20"/>
      <c r="J105" s="20"/>
      <c r="K105" s="20"/>
      <c r="L105" s="20"/>
      <c r="M105" s="20"/>
      <c r="N105" s="20"/>
      <c r="O105" s="20"/>
      <c r="P105" s="20"/>
      <c r="Q105" s="20"/>
      <c r="R105" s="20"/>
      <c r="S105" s="20"/>
      <c r="T105" s="20"/>
      <c r="U105" s="21"/>
    </row>
    <row r="106" spans="1:21" ht="28" customHeight="1" x14ac:dyDescent="0.35">
      <c r="A106" s="4" t="s">
        <v>31</v>
      </c>
      <c r="B106" s="3" t="s">
        <v>22</v>
      </c>
      <c r="C106" s="4" t="s">
        <v>32</v>
      </c>
      <c r="D106" s="3"/>
      <c r="E106" s="4" t="s">
        <v>33</v>
      </c>
      <c r="F106" s="8"/>
    </row>
    <row r="107" spans="1:21" ht="28" customHeight="1" x14ac:dyDescent="0.35">
      <c r="A107" s="1" t="s">
        <v>34</v>
      </c>
      <c r="B107" s="1" t="s">
        <v>35</v>
      </c>
      <c r="C107" s="1" t="s">
        <v>36</v>
      </c>
      <c r="D107" s="1" t="s">
        <v>37</v>
      </c>
      <c r="E107" s="1" t="s">
        <v>38</v>
      </c>
      <c r="F107" s="1" t="s">
        <v>39</v>
      </c>
      <c r="G107" s="1" t="s">
        <v>40</v>
      </c>
      <c r="H107" s="1" t="s">
        <v>41</v>
      </c>
      <c r="I107" s="1" t="s">
        <v>42</v>
      </c>
      <c r="J107" s="1" t="s">
        <v>43</v>
      </c>
      <c r="K107" s="1" t="s">
        <v>44</v>
      </c>
      <c r="L107" s="1" t="s">
        <v>45</v>
      </c>
      <c r="M107" s="1" t="s">
        <v>46</v>
      </c>
      <c r="N107" s="1" t="s">
        <v>47</v>
      </c>
      <c r="O107" s="1" t="s">
        <v>48</v>
      </c>
      <c r="P107" s="1" t="s">
        <v>4</v>
      </c>
      <c r="Q107" s="1" t="s">
        <v>49</v>
      </c>
      <c r="R107" s="1" t="s">
        <v>50</v>
      </c>
      <c r="S107" s="1" t="s">
        <v>51</v>
      </c>
      <c r="T107" s="1" t="s">
        <v>52</v>
      </c>
      <c r="U107" s="1" t="s">
        <v>10</v>
      </c>
    </row>
    <row r="108" spans="1:21" ht="28" customHeight="1" x14ac:dyDescent="0.35">
      <c r="A108" s="4">
        <v>1</v>
      </c>
      <c r="B108" s="4" t="s">
        <v>53</v>
      </c>
      <c r="C108" s="4" t="s">
        <v>54</v>
      </c>
      <c r="D108" s="4" t="s">
        <v>55</v>
      </c>
      <c r="E108" s="4" t="s">
        <v>56</v>
      </c>
      <c r="F108" s="4" t="s">
        <v>57</v>
      </c>
      <c r="G108" s="4" t="s">
        <v>58</v>
      </c>
      <c r="H108" s="4" t="s">
        <v>59</v>
      </c>
      <c r="I108" s="3"/>
      <c r="J108" s="3"/>
      <c r="K108" s="3"/>
      <c r="L108" s="3"/>
      <c r="M108" s="3"/>
      <c r="N108" s="3"/>
      <c r="O108" s="3"/>
      <c r="P108" s="8"/>
      <c r="Q108" s="8"/>
      <c r="R108" s="3"/>
      <c r="S108" s="3"/>
      <c r="T108" s="3"/>
      <c r="U108" s="5" t="str">
        <f t="shared" ref="U108:U123" si="6">IF(I108="","",IF(I108="NA","Grey",IF(I108=2,"Green",IF(I108=1,"Amber","Red"))))</f>
        <v/>
      </c>
    </row>
    <row r="109" spans="1:21" ht="28" customHeight="1" x14ac:dyDescent="0.35">
      <c r="A109" s="4">
        <v>2</v>
      </c>
      <c r="B109" s="4" t="s">
        <v>53</v>
      </c>
      <c r="C109" s="4" t="s">
        <v>60</v>
      </c>
      <c r="D109" s="4" t="s">
        <v>61</v>
      </c>
      <c r="E109" s="4" t="s">
        <v>56</v>
      </c>
      <c r="F109" s="4" t="s">
        <v>57</v>
      </c>
      <c r="G109" s="4" t="s">
        <v>58</v>
      </c>
      <c r="H109" s="4" t="s">
        <v>59</v>
      </c>
      <c r="I109" s="3"/>
      <c r="J109" s="3"/>
      <c r="K109" s="3"/>
      <c r="L109" s="3"/>
      <c r="M109" s="3"/>
      <c r="N109" s="3"/>
      <c r="O109" s="3"/>
      <c r="P109" s="8"/>
      <c r="Q109" s="8"/>
      <c r="R109" s="3"/>
      <c r="S109" s="3"/>
      <c r="T109" s="3"/>
      <c r="U109" s="5" t="str">
        <f t="shared" si="6"/>
        <v/>
      </c>
    </row>
    <row r="110" spans="1:21" ht="28" customHeight="1" x14ac:dyDescent="0.35">
      <c r="A110" s="4">
        <v>3</v>
      </c>
      <c r="B110" s="4" t="s">
        <v>53</v>
      </c>
      <c r="C110" s="4" t="s">
        <v>62</v>
      </c>
      <c r="D110" s="4" t="s">
        <v>63</v>
      </c>
      <c r="E110" s="4" t="s">
        <v>56</v>
      </c>
      <c r="F110" s="4" t="s">
        <v>57</v>
      </c>
      <c r="G110" s="4" t="s">
        <v>58</v>
      </c>
      <c r="H110" s="4" t="s">
        <v>59</v>
      </c>
      <c r="I110" s="3"/>
      <c r="J110" s="3"/>
      <c r="K110" s="3"/>
      <c r="L110" s="3"/>
      <c r="M110" s="3"/>
      <c r="N110" s="3"/>
      <c r="O110" s="3"/>
      <c r="P110" s="8"/>
      <c r="Q110" s="8"/>
      <c r="R110" s="3"/>
      <c r="S110" s="3"/>
      <c r="T110" s="3"/>
      <c r="U110" s="5" t="str">
        <f t="shared" si="6"/>
        <v/>
      </c>
    </row>
    <row r="111" spans="1:21" ht="28" customHeight="1" x14ac:dyDescent="0.35">
      <c r="A111" s="4">
        <v>4</v>
      </c>
      <c r="B111" s="4" t="s">
        <v>53</v>
      </c>
      <c r="C111" s="4" t="s">
        <v>64</v>
      </c>
      <c r="D111" s="4" t="s">
        <v>65</v>
      </c>
      <c r="E111" s="4" t="s">
        <v>56</v>
      </c>
      <c r="F111" s="4" t="s">
        <v>57</v>
      </c>
      <c r="G111" s="4" t="s">
        <v>58</v>
      </c>
      <c r="H111" s="4" t="s">
        <v>59</v>
      </c>
      <c r="I111" s="3"/>
      <c r="J111" s="3"/>
      <c r="K111" s="3"/>
      <c r="L111" s="3"/>
      <c r="M111" s="3"/>
      <c r="N111" s="3"/>
      <c r="O111" s="3"/>
      <c r="P111" s="8"/>
      <c r="Q111" s="8"/>
      <c r="R111" s="3"/>
      <c r="S111" s="3"/>
      <c r="T111" s="3"/>
      <c r="U111" s="5" t="str">
        <f t="shared" si="6"/>
        <v/>
      </c>
    </row>
    <row r="112" spans="1:21" ht="28" customHeight="1" x14ac:dyDescent="0.35">
      <c r="A112" s="4">
        <v>5</v>
      </c>
      <c r="B112" s="4" t="s">
        <v>66</v>
      </c>
      <c r="C112" s="4" t="s">
        <v>67</v>
      </c>
      <c r="D112" s="4" t="s">
        <v>68</v>
      </c>
      <c r="E112" s="4" t="s">
        <v>69</v>
      </c>
      <c r="F112" s="4" t="s">
        <v>57</v>
      </c>
      <c r="G112" s="4" t="s">
        <v>58</v>
      </c>
      <c r="H112" s="4" t="s">
        <v>59</v>
      </c>
      <c r="I112" s="3"/>
      <c r="J112" s="3"/>
      <c r="K112" s="3"/>
      <c r="L112" s="3"/>
      <c r="M112" s="3"/>
      <c r="N112" s="3"/>
      <c r="O112" s="3"/>
      <c r="P112" s="8"/>
      <c r="Q112" s="8"/>
      <c r="R112" s="3"/>
      <c r="S112" s="3"/>
      <c r="T112" s="3"/>
      <c r="U112" s="5" t="str">
        <f t="shared" si="6"/>
        <v/>
      </c>
    </row>
    <row r="113" spans="1:21" ht="28" customHeight="1" x14ac:dyDescent="0.35">
      <c r="A113" s="4">
        <v>6</v>
      </c>
      <c r="B113" s="4" t="s">
        <v>70</v>
      </c>
      <c r="C113" s="4" t="s">
        <v>71</v>
      </c>
      <c r="D113" s="4" t="s">
        <v>72</v>
      </c>
      <c r="E113" s="4" t="s">
        <v>70</v>
      </c>
      <c r="F113" s="4" t="s">
        <v>57</v>
      </c>
      <c r="G113" s="4" t="s">
        <v>58</v>
      </c>
      <c r="H113" s="4" t="s">
        <v>59</v>
      </c>
      <c r="I113" s="3"/>
      <c r="J113" s="3"/>
      <c r="K113" s="3"/>
      <c r="L113" s="3"/>
      <c r="M113" s="3"/>
      <c r="N113" s="3"/>
      <c r="O113" s="3"/>
      <c r="P113" s="8"/>
      <c r="Q113" s="8"/>
      <c r="R113" s="3"/>
      <c r="S113" s="3"/>
      <c r="T113" s="3"/>
      <c r="U113" s="5" t="str">
        <f t="shared" si="6"/>
        <v/>
      </c>
    </row>
    <row r="114" spans="1:21" ht="28" customHeight="1" x14ac:dyDescent="0.35">
      <c r="A114" s="4">
        <v>7</v>
      </c>
      <c r="B114" s="4" t="s">
        <v>73</v>
      </c>
      <c r="C114" s="4" t="s">
        <v>74</v>
      </c>
      <c r="D114" s="4" t="s">
        <v>75</v>
      </c>
      <c r="E114" s="4" t="s">
        <v>69</v>
      </c>
      <c r="F114" s="4" t="s">
        <v>57</v>
      </c>
      <c r="G114" s="4" t="s">
        <v>58</v>
      </c>
      <c r="H114" s="4" t="s">
        <v>76</v>
      </c>
      <c r="I114" s="3"/>
      <c r="J114" s="3"/>
      <c r="K114" s="3"/>
      <c r="L114" s="3"/>
      <c r="M114" s="3"/>
      <c r="N114" s="3"/>
      <c r="O114" s="3"/>
      <c r="P114" s="8"/>
      <c r="Q114" s="8"/>
      <c r="R114" s="3"/>
      <c r="S114" s="3"/>
      <c r="T114" s="3"/>
      <c r="U114" s="5" t="str">
        <f t="shared" si="6"/>
        <v/>
      </c>
    </row>
    <row r="115" spans="1:21" ht="28" customHeight="1" x14ac:dyDescent="0.35">
      <c r="A115" s="4">
        <v>8</v>
      </c>
      <c r="B115" s="4" t="s">
        <v>77</v>
      </c>
      <c r="C115" s="4" t="s">
        <v>78</v>
      </c>
      <c r="D115" s="4" t="s">
        <v>79</v>
      </c>
      <c r="E115" s="4" t="s">
        <v>80</v>
      </c>
      <c r="F115" s="4" t="s">
        <v>57</v>
      </c>
      <c r="G115" s="4" t="s">
        <v>58</v>
      </c>
      <c r="H115" s="4" t="s">
        <v>59</v>
      </c>
      <c r="I115" s="3"/>
      <c r="J115" s="3"/>
      <c r="K115" s="3"/>
      <c r="L115" s="3"/>
      <c r="M115" s="3"/>
      <c r="N115" s="3"/>
      <c r="O115" s="3"/>
      <c r="P115" s="8"/>
      <c r="Q115" s="8"/>
      <c r="R115" s="3"/>
      <c r="S115" s="3"/>
      <c r="T115" s="3"/>
      <c r="U115" s="5" t="str">
        <f t="shared" si="6"/>
        <v/>
      </c>
    </row>
    <row r="116" spans="1:21" ht="28" customHeight="1" x14ac:dyDescent="0.35">
      <c r="A116" s="4">
        <v>9</v>
      </c>
      <c r="B116" s="4" t="s">
        <v>81</v>
      </c>
      <c r="C116" s="4" t="s">
        <v>82</v>
      </c>
      <c r="D116" s="4" t="s">
        <v>83</v>
      </c>
      <c r="E116" s="4" t="s">
        <v>84</v>
      </c>
      <c r="F116" s="4" t="s">
        <v>57</v>
      </c>
      <c r="G116" s="4" t="s">
        <v>58</v>
      </c>
      <c r="H116" s="4" t="s">
        <v>85</v>
      </c>
      <c r="I116" s="3"/>
      <c r="J116" s="3"/>
      <c r="K116" s="3"/>
      <c r="L116" s="3"/>
      <c r="M116" s="3"/>
      <c r="N116" s="3"/>
      <c r="O116" s="3"/>
      <c r="P116" s="8"/>
      <c r="Q116" s="8"/>
      <c r="R116" s="3"/>
      <c r="S116" s="3"/>
      <c r="T116" s="3"/>
      <c r="U116" s="5" t="str">
        <f t="shared" si="6"/>
        <v/>
      </c>
    </row>
    <row r="117" spans="1:21" ht="28" customHeight="1" x14ac:dyDescent="0.35">
      <c r="A117" s="4">
        <v>10</v>
      </c>
      <c r="B117" s="4" t="s">
        <v>86</v>
      </c>
      <c r="C117" s="4" t="s">
        <v>87</v>
      </c>
      <c r="D117" s="4" t="s">
        <v>88</v>
      </c>
      <c r="E117" s="4" t="s">
        <v>69</v>
      </c>
      <c r="F117" s="4" t="s">
        <v>57</v>
      </c>
      <c r="G117" s="4" t="s">
        <v>58</v>
      </c>
      <c r="H117" s="4" t="s">
        <v>59</v>
      </c>
      <c r="I117" s="3"/>
      <c r="J117" s="3"/>
      <c r="K117" s="3"/>
      <c r="L117" s="3"/>
      <c r="M117" s="3"/>
      <c r="N117" s="3"/>
      <c r="O117" s="3"/>
      <c r="P117" s="8"/>
      <c r="Q117" s="8"/>
      <c r="R117" s="3"/>
      <c r="S117" s="3"/>
      <c r="T117" s="3"/>
      <c r="U117" s="5" t="str">
        <f t="shared" si="6"/>
        <v/>
      </c>
    </row>
    <row r="118" spans="1:21" ht="28" customHeight="1" x14ac:dyDescent="0.35">
      <c r="A118" s="4">
        <v>11</v>
      </c>
      <c r="B118" s="4" t="s">
        <v>89</v>
      </c>
      <c r="C118" s="4" t="s">
        <v>90</v>
      </c>
      <c r="D118" s="4" t="s">
        <v>91</v>
      </c>
      <c r="E118" s="4" t="s">
        <v>84</v>
      </c>
      <c r="F118" s="4" t="s">
        <v>57</v>
      </c>
      <c r="G118" s="4" t="s">
        <v>58</v>
      </c>
      <c r="H118" s="4" t="s">
        <v>59</v>
      </c>
      <c r="I118" s="3"/>
      <c r="J118" s="3"/>
      <c r="K118" s="3"/>
      <c r="L118" s="3"/>
      <c r="M118" s="3"/>
      <c r="N118" s="3"/>
      <c r="O118" s="3"/>
      <c r="P118" s="8"/>
      <c r="Q118" s="8"/>
      <c r="R118" s="3"/>
      <c r="S118" s="3"/>
      <c r="T118" s="3"/>
      <c r="U118" s="5" t="str">
        <f t="shared" si="6"/>
        <v/>
      </c>
    </row>
    <row r="119" spans="1:21" ht="28" customHeight="1" x14ac:dyDescent="0.35">
      <c r="A119" s="4">
        <v>12</v>
      </c>
      <c r="B119" s="4" t="s">
        <v>92</v>
      </c>
      <c r="C119" s="4" t="s">
        <v>93</v>
      </c>
      <c r="D119" s="4" t="s">
        <v>94</v>
      </c>
      <c r="E119" s="4" t="s">
        <v>69</v>
      </c>
      <c r="F119" s="4" t="s">
        <v>95</v>
      </c>
      <c r="G119" s="4" t="s">
        <v>96</v>
      </c>
      <c r="H119" s="4" t="s">
        <v>59</v>
      </c>
      <c r="I119" s="3"/>
      <c r="J119" s="3"/>
      <c r="K119" s="3"/>
      <c r="L119" s="3"/>
      <c r="M119" s="3"/>
      <c r="N119" s="3"/>
      <c r="O119" s="3"/>
      <c r="P119" s="8"/>
      <c r="Q119" s="8"/>
      <c r="R119" s="3"/>
      <c r="S119" s="3"/>
      <c r="T119" s="3"/>
      <c r="U119" s="5" t="str">
        <f t="shared" si="6"/>
        <v/>
      </c>
    </row>
    <row r="120" spans="1:21" ht="28" customHeight="1" x14ac:dyDescent="0.35">
      <c r="A120" s="4">
        <v>13</v>
      </c>
      <c r="B120" s="4" t="s">
        <v>97</v>
      </c>
      <c r="C120" s="4" t="s">
        <v>98</v>
      </c>
      <c r="D120" s="4" t="s">
        <v>99</v>
      </c>
      <c r="E120" s="4" t="s">
        <v>69</v>
      </c>
      <c r="F120" s="4" t="s">
        <v>95</v>
      </c>
      <c r="G120" s="4" t="s">
        <v>96</v>
      </c>
      <c r="H120" s="4" t="s">
        <v>59</v>
      </c>
      <c r="I120" s="3"/>
      <c r="J120" s="3"/>
      <c r="K120" s="3"/>
      <c r="L120" s="3"/>
      <c r="M120" s="3"/>
      <c r="N120" s="3"/>
      <c r="O120" s="3"/>
      <c r="P120" s="8"/>
      <c r="Q120" s="8"/>
      <c r="R120" s="3"/>
      <c r="S120" s="3"/>
      <c r="T120" s="3"/>
      <c r="U120" s="5" t="str">
        <f t="shared" si="6"/>
        <v/>
      </c>
    </row>
    <row r="121" spans="1:21" ht="28" customHeight="1" x14ac:dyDescent="0.35">
      <c r="A121" s="4">
        <v>14</v>
      </c>
      <c r="B121" s="4" t="s">
        <v>97</v>
      </c>
      <c r="C121" s="4" t="s">
        <v>100</v>
      </c>
      <c r="D121" s="4" t="s">
        <v>101</v>
      </c>
      <c r="E121" s="4" t="s">
        <v>69</v>
      </c>
      <c r="F121" s="4" t="s">
        <v>95</v>
      </c>
      <c r="G121" s="4" t="s">
        <v>102</v>
      </c>
      <c r="H121" s="4" t="s">
        <v>59</v>
      </c>
      <c r="I121" s="3"/>
      <c r="J121" s="3"/>
      <c r="K121" s="3"/>
      <c r="L121" s="3"/>
      <c r="M121" s="3"/>
      <c r="N121" s="3"/>
      <c r="O121" s="3"/>
      <c r="P121" s="8"/>
      <c r="Q121" s="8"/>
      <c r="R121" s="3"/>
      <c r="S121" s="3"/>
      <c r="T121" s="3"/>
      <c r="U121" s="5" t="str">
        <f t="shared" si="6"/>
        <v/>
      </c>
    </row>
    <row r="122" spans="1:21" ht="28" customHeight="1" x14ac:dyDescent="0.35">
      <c r="A122" s="4">
        <v>15</v>
      </c>
      <c r="B122" s="4" t="s">
        <v>103</v>
      </c>
      <c r="C122" s="4" t="s">
        <v>104</v>
      </c>
      <c r="D122" s="4" t="s">
        <v>105</v>
      </c>
      <c r="E122" s="4" t="s">
        <v>69</v>
      </c>
      <c r="F122" s="4" t="s">
        <v>95</v>
      </c>
      <c r="G122" s="4" t="s">
        <v>96</v>
      </c>
      <c r="H122" s="4" t="s">
        <v>85</v>
      </c>
      <c r="I122" s="3"/>
      <c r="J122" s="3"/>
      <c r="K122" s="3"/>
      <c r="L122" s="3"/>
      <c r="M122" s="3"/>
      <c r="N122" s="3"/>
      <c r="O122" s="3"/>
      <c r="P122" s="8"/>
      <c r="Q122" s="8"/>
      <c r="R122" s="3"/>
      <c r="S122" s="3"/>
      <c r="T122" s="3"/>
      <c r="U122" s="5" t="str">
        <f t="shared" si="6"/>
        <v/>
      </c>
    </row>
    <row r="123" spans="1:21" ht="28" customHeight="1" x14ac:dyDescent="0.35">
      <c r="A123" s="4">
        <v>16</v>
      </c>
      <c r="B123" s="4" t="s">
        <v>106</v>
      </c>
      <c r="C123" s="4" t="s">
        <v>107</v>
      </c>
      <c r="D123" s="4" t="s">
        <v>108</v>
      </c>
      <c r="E123" s="4" t="s">
        <v>109</v>
      </c>
      <c r="F123" s="4" t="s">
        <v>95</v>
      </c>
      <c r="G123" s="4" t="s">
        <v>96</v>
      </c>
      <c r="H123" s="4" t="s">
        <v>59</v>
      </c>
      <c r="I123" s="3"/>
      <c r="J123" s="3"/>
      <c r="K123" s="3"/>
      <c r="L123" s="3"/>
      <c r="M123" s="3"/>
      <c r="N123" s="3"/>
      <c r="O123" s="3"/>
      <c r="P123" s="8"/>
      <c r="Q123" s="8"/>
      <c r="R123" s="3"/>
      <c r="S123" s="3"/>
      <c r="T123" s="3"/>
      <c r="U123" s="5" t="str">
        <f t="shared" si="6"/>
        <v/>
      </c>
    </row>
    <row r="125" spans="1:21" ht="28" customHeight="1" x14ac:dyDescent="0.35">
      <c r="A125" s="9" t="s">
        <v>110</v>
      </c>
      <c r="B125" s="16"/>
      <c r="C125" s="17"/>
      <c r="D125" s="17"/>
      <c r="E125" s="17"/>
      <c r="F125" s="17"/>
      <c r="G125" s="17"/>
      <c r="H125" s="17"/>
      <c r="I125" s="17"/>
      <c r="J125" s="17"/>
      <c r="K125" s="17"/>
      <c r="L125" s="17"/>
      <c r="M125" s="17"/>
      <c r="N125" s="17"/>
      <c r="O125" s="17"/>
      <c r="P125" s="17"/>
      <c r="Q125" s="17"/>
      <c r="R125" s="17"/>
      <c r="S125" s="17"/>
      <c r="T125" s="17"/>
      <c r="U125" s="18"/>
    </row>
    <row r="126" spans="1:21" ht="28" customHeight="1" x14ac:dyDescent="0.35">
      <c r="A126" s="19" t="s">
        <v>115</v>
      </c>
      <c r="B126" s="20"/>
      <c r="C126" s="20"/>
      <c r="D126" s="20"/>
      <c r="E126" s="20"/>
      <c r="F126" s="20"/>
      <c r="G126" s="20"/>
      <c r="H126" s="20"/>
      <c r="I126" s="20"/>
      <c r="J126" s="20"/>
      <c r="K126" s="20"/>
      <c r="L126" s="20"/>
      <c r="M126" s="20"/>
      <c r="N126" s="20"/>
      <c r="O126" s="20"/>
      <c r="P126" s="20"/>
      <c r="Q126" s="20"/>
      <c r="R126" s="20"/>
      <c r="S126" s="20"/>
      <c r="T126" s="20"/>
      <c r="U126" s="21"/>
    </row>
    <row r="127" spans="1:21" ht="28" customHeight="1" x14ac:dyDescent="0.35">
      <c r="A127" s="4" t="s">
        <v>31</v>
      </c>
      <c r="B127" s="3" t="s">
        <v>23</v>
      </c>
      <c r="C127" s="4" t="s">
        <v>32</v>
      </c>
      <c r="D127" s="3"/>
      <c r="E127" s="4" t="s">
        <v>33</v>
      </c>
      <c r="F127" s="8"/>
    </row>
    <row r="128" spans="1:21" ht="28" customHeight="1" x14ac:dyDescent="0.35">
      <c r="A128" s="1" t="s">
        <v>34</v>
      </c>
      <c r="B128" s="1" t="s">
        <v>35</v>
      </c>
      <c r="C128" s="1" t="s">
        <v>36</v>
      </c>
      <c r="D128" s="1" t="s">
        <v>37</v>
      </c>
      <c r="E128" s="1" t="s">
        <v>38</v>
      </c>
      <c r="F128" s="1" t="s">
        <v>39</v>
      </c>
      <c r="G128" s="1" t="s">
        <v>40</v>
      </c>
      <c r="H128" s="1" t="s">
        <v>41</v>
      </c>
      <c r="I128" s="1" t="s">
        <v>42</v>
      </c>
      <c r="J128" s="1" t="s">
        <v>43</v>
      </c>
      <c r="K128" s="1" t="s">
        <v>44</v>
      </c>
      <c r="L128" s="1" t="s">
        <v>45</v>
      </c>
      <c r="M128" s="1" t="s">
        <v>46</v>
      </c>
      <c r="N128" s="1" t="s">
        <v>47</v>
      </c>
      <c r="O128" s="1" t="s">
        <v>48</v>
      </c>
      <c r="P128" s="1" t="s">
        <v>4</v>
      </c>
      <c r="Q128" s="1" t="s">
        <v>49</v>
      </c>
      <c r="R128" s="1" t="s">
        <v>50</v>
      </c>
      <c r="S128" s="1" t="s">
        <v>51</v>
      </c>
      <c r="T128" s="1" t="s">
        <v>52</v>
      </c>
      <c r="U128" s="1" t="s">
        <v>10</v>
      </c>
    </row>
    <row r="129" spans="1:21" ht="28" customHeight="1" x14ac:dyDescent="0.35">
      <c r="A129" s="4">
        <v>1</v>
      </c>
      <c r="B129" s="4" t="s">
        <v>53</v>
      </c>
      <c r="C129" s="4" t="s">
        <v>54</v>
      </c>
      <c r="D129" s="4" t="s">
        <v>55</v>
      </c>
      <c r="E129" s="4" t="s">
        <v>56</v>
      </c>
      <c r="F129" s="4" t="s">
        <v>57</v>
      </c>
      <c r="G129" s="4" t="s">
        <v>58</v>
      </c>
      <c r="H129" s="4" t="s">
        <v>59</v>
      </c>
      <c r="I129" s="3"/>
      <c r="J129" s="3"/>
      <c r="K129" s="3"/>
      <c r="L129" s="3"/>
      <c r="M129" s="3"/>
      <c r="N129" s="3"/>
      <c r="O129" s="3"/>
      <c r="P129" s="8"/>
      <c r="Q129" s="8"/>
      <c r="R129" s="3"/>
      <c r="S129" s="3"/>
      <c r="T129" s="3"/>
      <c r="U129" s="5" t="str">
        <f t="shared" ref="U129:U144" si="7">IF(I129="","",IF(I129="NA","Grey",IF(I129=2,"Green",IF(I129=1,"Amber","Red"))))</f>
        <v/>
      </c>
    </row>
    <row r="130" spans="1:21" ht="28" customHeight="1" x14ac:dyDescent="0.35">
      <c r="A130" s="4">
        <v>2</v>
      </c>
      <c r="B130" s="4" t="s">
        <v>53</v>
      </c>
      <c r="C130" s="4" t="s">
        <v>60</v>
      </c>
      <c r="D130" s="4" t="s">
        <v>61</v>
      </c>
      <c r="E130" s="4" t="s">
        <v>56</v>
      </c>
      <c r="F130" s="4" t="s">
        <v>57</v>
      </c>
      <c r="G130" s="4" t="s">
        <v>58</v>
      </c>
      <c r="H130" s="4" t="s">
        <v>59</v>
      </c>
      <c r="I130" s="3"/>
      <c r="J130" s="3"/>
      <c r="K130" s="3"/>
      <c r="L130" s="3"/>
      <c r="M130" s="3"/>
      <c r="N130" s="3"/>
      <c r="O130" s="3"/>
      <c r="P130" s="8"/>
      <c r="Q130" s="8"/>
      <c r="R130" s="3"/>
      <c r="S130" s="3"/>
      <c r="T130" s="3"/>
      <c r="U130" s="5" t="str">
        <f t="shared" si="7"/>
        <v/>
      </c>
    </row>
    <row r="131" spans="1:21" ht="28" customHeight="1" x14ac:dyDescent="0.35">
      <c r="A131" s="4">
        <v>3</v>
      </c>
      <c r="B131" s="4" t="s">
        <v>53</v>
      </c>
      <c r="C131" s="4" t="s">
        <v>62</v>
      </c>
      <c r="D131" s="4" t="s">
        <v>63</v>
      </c>
      <c r="E131" s="4" t="s">
        <v>56</v>
      </c>
      <c r="F131" s="4" t="s">
        <v>57</v>
      </c>
      <c r="G131" s="4" t="s">
        <v>58</v>
      </c>
      <c r="H131" s="4" t="s">
        <v>59</v>
      </c>
      <c r="I131" s="3"/>
      <c r="J131" s="3"/>
      <c r="K131" s="3"/>
      <c r="L131" s="3"/>
      <c r="M131" s="3"/>
      <c r="N131" s="3"/>
      <c r="O131" s="3"/>
      <c r="P131" s="8"/>
      <c r="Q131" s="8"/>
      <c r="R131" s="3"/>
      <c r="S131" s="3"/>
      <c r="T131" s="3"/>
      <c r="U131" s="5" t="str">
        <f t="shared" si="7"/>
        <v/>
      </c>
    </row>
    <row r="132" spans="1:21" ht="28" customHeight="1" x14ac:dyDescent="0.35">
      <c r="A132" s="4">
        <v>4</v>
      </c>
      <c r="B132" s="4" t="s">
        <v>53</v>
      </c>
      <c r="C132" s="4" t="s">
        <v>64</v>
      </c>
      <c r="D132" s="4" t="s">
        <v>65</v>
      </c>
      <c r="E132" s="4" t="s">
        <v>56</v>
      </c>
      <c r="F132" s="4" t="s">
        <v>57</v>
      </c>
      <c r="G132" s="4" t="s">
        <v>58</v>
      </c>
      <c r="H132" s="4" t="s">
        <v>59</v>
      </c>
      <c r="I132" s="3"/>
      <c r="J132" s="3"/>
      <c r="K132" s="3"/>
      <c r="L132" s="3"/>
      <c r="M132" s="3"/>
      <c r="N132" s="3"/>
      <c r="O132" s="3"/>
      <c r="P132" s="8"/>
      <c r="Q132" s="8"/>
      <c r="R132" s="3"/>
      <c r="S132" s="3"/>
      <c r="T132" s="3"/>
      <c r="U132" s="5" t="str">
        <f t="shared" si="7"/>
        <v/>
      </c>
    </row>
    <row r="133" spans="1:21" ht="28" customHeight="1" x14ac:dyDescent="0.35">
      <c r="A133" s="4">
        <v>5</v>
      </c>
      <c r="B133" s="4" t="s">
        <v>66</v>
      </c>
      <c r="C133" s="4" t="s">
        <v>67</v>
      </c>
      <c r="D133" s="4" t="s">
        <v>68</v>
      </c>
      <c r="E133" s="4" t="s">
        <v>69</v>
      </c>
      <c r="F133" s="4" t="s">
        <v>57</v>
      </c>
      <c r="G133" s="4" t="s">
        <v>58</v>
      </c>
      <c r="H133" s="4" t="s">
        <v>59</v>
      </c>
      <c r="I133" s="3"/>
      <c r="J133" s="3"/>
      <c r="K133" s="3"/>
      <c r="L133" s="3"/>
      <c r="M133" s="3"/>
      <c r="N133" s="3"/>
      <c r="O133" s="3"/>
      <c r="P133" s="8"/>
      <c r="Q133" s="8"/>
      <c r="R133" s="3"/>
      <c r="S133" s="3"/>
      <c r="T133" s="3"/>
      <c r="U133" s="5" t="str">
        <f t="shared" si="7"/>
        <v/>
      </c>
    </row>
    <row r="134" spans="1:21" ht="28" customHeight="1" x14ac:dyDescent="0.35">
      <c r="A134" s="4">
        <v>6</v>
      </c>
      <c r="B134" s="4" t="s">
        <v>70</v>
      </c>
      <c r="C134" s="4" t="s">
        <v>71</v>
      </c>
      <c r="D134" s="4" t="s">
        <v>72</v>
      </c>
      <c r="E134" s="4" t="s">
        <v>70</v>
      </c>
      <c r="F134" s="4" t="s">
        <v>57</v>
      </c>
      <c r="G134" s="4" t="s">
        <v>58</v>
      </c>
      <c r="H134" s="4" t="s">
        <v>59</v>
      </c>
      <c r="I134" s="3"/>
      <c r="J134" s="3"/>
      <c r="K134" s="3"/>
      <c r="L134" s="3"/>
      <c r="M134" s="3"/>
      <c r="N134" s="3"/>
      <c r="O134" s="3"/>
      <c r="P134" s="8"/>
      <c r="Q134" s="8"/>
      <c r="R134" s="3"/>
      <c r="S134" s="3"/>
      <c r="T134" s="3"/>
      <c r="U134" s="5" t="str">
        <f t="shared" si="7"/>
        <v/>
      </c>
    </row>
    <row r="135" spans="1:21" ht="28" customHeight="1" x14ac:dyDescent="0.35">
      <c r="A135" s="4">
        <v>7</v>
      </c>
      <c r="B135" s="4" t="s">
        <v>73</v>
      </c>
      <c r="C135" s="4" t="s">
        <v>74</v>
      </c>
      <c r="D135" s="4" t="s">
        <v>75</v>
      </c>
      <c r="E135" s="4" t="s">
        <v>69</v>
      </c>
      <c r="F135" s="4" t="s">
        <v>57</v>
      </c>
      <c r="G135" s="4" t="s">
        <v>58</v>
      </c>
      <c r="H135" s="4" t="s">
        <v>76</v>
      </c>
      <c r="I135" s="3"/>
      <c r="J135" s="3"/>
      <c r="K135" s="3"/>
      <c r="L135" s="3"/>
      <c r="M135" s="3"/>
      <c r="N135" s="3"/>
      <c r="O135" s="3"/>
      <c r="P135" s="8"/>
      <c r="Q135" s="8"/>
      <c r="R135" s="3"/>
      <c r="S135" s="3"/>
      <c r="T135" s="3"/>
      <c r="U135" s="5" t="str">
        <f t="shared" si="7"/>
        <v/>
      </c>
    </row>
    <row r="136" spans="1:21" ht="28" customHeight="1" x14ac:dyDescent="0.35">
      <c r="A136" s="4">
        <v>8</v>
      </c>
      <c r="B136" s="4" t="s">
        <v>77</v>
      </c>
      <c r="C136" s="4" t="s">
        <v>78</v>
      </c>
      <c r="D136" s="4" t="s">
        <v>79</v>
      </c>
      <c r="E136" s="4" t="s">
        <v>80</v>
      </c>
      <c r="F136" s="4" t="s">
        <v>57</v>
      </c>
      <c r="G136" s="4" t="s">
        <v>58</v>
      </c>
      <c r="H136" s="4" t="s">
        <v>59</v>
      </c>
      <c r="I136" s="3"/>
      <c r="J136" s="3"/>
      <c r="K136" s="3"/>
      <c r="L136" s="3"/>
      <c r="M136" s="3"/>
      <c r="N136" s="3"/>
      <c r="O136" s="3"/>
      <c r="P136" s="8"/>
      <c r="Q136" s="8"/>
      <c r="R136" s="3"/>
      <c r="S136" s="3"/>
      <c r="T136" s="3"/>
      <c r="U136" s="5" t="str">
        <f t="shared" si="7"/>
        <v/>
      </c>
    </row>
    <row r="137" spans="1:21" ht="28" customHeight="1" x14ac:dyDescent="0.35">
      <c r="A137" s="4">
        <v>9</v>
      </c>
      <c r="B137" s="4" t="s">
        <v>81</v>
      </c>
      <c r="C137" s="4" t="s">
        <v>82</v>
      </c>
      <c r="D137" s="4" t="s">
        <v>83</v>
      </c>
      <c r="E137" s="4" t="s">
        <v>84</v>
      </c>
      <c r="F137" s="4" t="s">
        <v>57</v>
      </c>
      <c r="G137" s="4" t="s">
        <v>58</v>
      </c>
      <c r="H137" s="4" t="s">
        <v>85</v>
      </c>
      <c r="I137" s="3"/>
      <c r="J137" s="3"/>
      <c r="K137" s="3"/>
      <c r="L137" s="3"/>
      <c r="M137" s="3"/>
      <c r="N137" s="3"/>
      <c r="O137" s="3"/>
      <c r="P137" s="8"/>
      <c r="Q137" s="8"/>
      <c r="R137" s="3"/>
      <c r="S137" s="3"/>
      <c r="T137" s="3"/>
      <c r="U137" s="5" t="str">
        <f t="shared" si="7"/>
        <v/>
      </c>
    </row>
    <row r="138" spans="1:21" ht="28" customHeight="1" x14ac:dyDescent="0.35">
      <c r="A138" s="4">
        <v>10</v>
      </c>
      <c r="B138" s="4" t="s">
        <v>86</v>
      </c>
      <c r="C138" s="4" t="s">
        <v>87</v>
      </c>
      <c r="D138" s="4" t="s">
        <v>88</v>
      </c>
      <c r="E138" s="4" t="s">
        <v>69</v>
      </c>
      <c r="F138" s="4" t="s">
        <v>57</v>
      </c>
      <c r="G138" s="4" t="s">
        <v>58</v>
      </c>
      <c r="H138" s="4" t="s">
        <v>59</v>
      </c>
      <c r="I138" s="3"/>
      <c r="J138" s="3"/>
      <c r="K138" s="3"/>
      <c r="L138" s="3"/>
      <c r="M138" s="3"/>
      <c r="N138" s="3"/>
      <c r="O138" s="3"/>
      <c r="P138" s="8"/>
      <c r="Q138" s="8"/>
      <c r="R138" s="3"/>
      <c r="S138" s="3"/>
      <c r="T138" s="3"/>
      <c r="U138" s="5" t="str">
        <f t="shared" si="7"/>
        <v/>
      </c>
    </row>
    <row r="139" spans="1:21" ht="28" customHeight="1" x14ac:dyDescent="0.35">
      <c r="A139" s="4">
        <v>11</v>
      </c>
      <c r="B139" s="4" t="s">
        <v>89</v>
      </c>
      <c r="C139" s="4" t="s">
        <v>90</v>
      </c>
      <c r="D139" s="4" t="s">
        <v>91</v>
      </c>
      <c r="E139" s="4" t="s">
        <v>84</v>
      </c>
      <c r="F139" s="4" t="s">
        <v>57</v>
      </c>
      <c r="G139" s="4" t="s">
        <v>58</v>
      </c>
      <c r="H139" s="4" t="s">
        <v>59</v>
      </c>
      <c r="I139" s="3"/>
      <c r="J139" s="3"/>
      <c r="K139" s="3"/>
      <c r="L139" s="3"/>
      <c r="M139" s="3"/>
      <c r="N139" s="3"/>
      <c r="O139" s="3"/>
      <c r="P139" s="8"/>
      <c r="Q139" s="8"/>
      <c r="R139" s="3"/>
      <c r="S139" s="3"/>
      <c r="T139" s="3"/>
      <c r="U139" s="5" t="str">
        <f t="shared" si="7"/>
        <v/>
      </c>
    </row>
    <row r="140" spans="1:21" ht="28" customHeight="1" x14ac:dyDescent="0.35">
      <c r="A140" s="4">
        <v>12</v>
      </c>
      <c r="B140" s="4" t="s">
        <v>92</v>
      </c>
      <c r="C140" s="4" t="s">
        <v>93</v>
      </c>
      <c r="D140" s="4" t="s">
        <v>94</v>
      </c>
      <c r="E140" s="4" t="s">
        <v>69</v>
      </c>
      <c r="F140" s="4" t="s">
        <v>95</v>
      </c>
      <c r="G140" s="4" t="s">
        <v>96</v>
      </c>
      <c r="H140" s="4" t="s">
        <v>59</v>
      </c>
      <c r="I140" s="3"/>
      <c r="J140" s="3"/>
      <c r="K140" s="3"/>
      <c r="L140" s="3"/>
      <c r="M140" s="3"/>
      <c r="N140" s="3"/>
      <c r="O140" s="3"/>
      <c r="P140" s="8"/>
      <c r="Q140" s="8"/>
      <c r="R140" s="3"/>
      <c r="S140" s="3"/>
      <c r="T140" s="3"/>
      <c r="U140" s="5" t="str">
        <f t="shared" si="7"/>
        <v/>
      </c>
    </row>
    <row r="141" spans="1:21" ht="28" customHeight="1" x14ac:dyDescent="0.35">
      <c r="A141" s="4">
        <v>13</v>
      </c>
      <c r="B141" s="4" t="s">
        <v>97</v>
      </c>
      <c r="C141" s="4" t="s">
        <v>98</v>
      </c>
      <c r="D141" s="4" t="s">
        <v>99</v>
      </c>
      <c r="E141" s="4" t="s">
        <v>69</v>
      </c>
      <c r="F141" s="4" t="s">
        <v>95</v>
      </c>
      <c r="G141" s="4" t="s">
        <v>96</v>
      </c>
      <c r="H141" s="4" t="s">
        <v>59</v>
      </c>
      <c r="I141" s="3"/>
      <c r="J141" s="3"/>
      <c r="K141" s="3"/>
      <c r="L141" s="3"/>
      <c r="M141" s="3"/>
      <c r="N141" s="3"/>
      <c r="O141" s="3"/>
      <c r="P141" s="8"/>
      <c r="Q141" s="8"/>
      <c r="R141" s="3"/>
      <c r="S141" s="3"/>
      <c r="T141" s="3"/>
      <c r="U141" s="5" t="str">
        <f t="shared" si="7"/>
        <v/>
      </c>
    </row>
    <row r="142" spans="1:21" ht="28" customHeight="1" x14ac:dyDescent="0.35">
      <c r="A142" s="4">
        <v>14</v>
      </c>
      <c r="B142" s="4" t="s">
        <v>97</v>
      </c>
      <c r="C142" s="4" t="s">
        <v>100</v>
      </c>
      <c r="D142" s="4" t="s">
        <v>101</v>
      </c>
      <c r="E142" s="4" t="s">
        <v>69</v>
      </c>
      <c r="F142" s="4" t="s">
        <v>95</v>
      </c>
      <c r="G142" s="4" t="s">
        <v>102</v>
      </c>
      <c r="H142" s="4" t="s">
        <v>59</v>
      </c>
      <c r="I142" s="3"/>
      <c r="J142" s="3"/>
      <c r="K142" s="3"/>
      <c r="L142" s="3"/>
      <c r="M142" s="3"/>
      <c r="N142" s="3"/>
      <c r="O142" s="3"/>
      <c r="P142" s="8"/>
      <c r="Q142" s="8"/>
      <c r="R142" s="3"/>
      <c r="S142" s="3"/>
      <c r="T142" s="3"/>
      <c r="U142" s="5" t="str">
        <f t="shared" si="7"/>
        <v/>
      </c>
    </row>
    <row r="143" spans="1:21" ht="28" customHeight="1" x14ac:dyDescent="0.35">
      <c r="A143" s="4">
        <v>15</v>
      </c>
      <c r="B143" s="4" t="s">
        <v>103</v>
      </c>
      <c r="C143" s="4" t="s">
        <v>104</v>
      </c>
      <c r="D143" s="4" t="s">
        <v>105</v>
      </c>
      <c r="E143" s="4" t="s">
        <v>69</v>
      </c>
      <c r="F143" s="4" t="s">
        <v>95</v>
      </c>
      <c r="G143" s="4" t="s">
        <v>96</v>
      </c>
      <c r="H143" s="4" t="s">
        <v>85</v>
      </c>
      <c r="I143" s="3"/>
      <c r="J143" s="3"/>
      <c r="K143" s="3"/>
      <c r="L143" s="3"/>
      <c r="M143" s="3"/>
      <c r="N143" s="3"/>
      <c r="O143" s="3"/>
      <c r="P143" s="8"/>
      <c r="Q143" s="8"/>
      <c r="R143" s="3"/>
      <c r="S143" s="3"/>
      <c r="T143" s="3"/>
      <c r="U143" s="5" t="str">
        <f t="shared" si="7"/>
        <v/>
      </c>
    </row>
    <row r="144" spans="1:21" ht="28" customHeight="1" x14ac:dyDescent="0.35">
      <c r="A144" s="4">
        <v>16</v>
      </c>
      <c r="B144" s="4" t="s">
        <v>106</v>
      </c>
      <c r="C144" s="4" t="s">
        <v>107</v>
      </c>
      <c r="D144" s="4" t="s">
        <v>108</v>
      </c>
      <c r="E144" s="4" t="s">
        <v>109</v>
      </c>
      <c r="F144" s="4" t="s">
        <v>95</v>
      </c>
      <c r="G144" s="4" t="s">
        <v>96</v>
      </c>
      <c r="H144" s="4" t="s">
        <v>59</v>
      </c>
      <c r="I144" s="3"/>
      <c r="J144" s="3"/>
      <c r="K144" s="3"/>
      <c r="L144" s="3"/>
      <c r="M144" s="3"/>
      <c r="N144" s="3"/>
      <c r="O144" s="3"/>
      <c r="P144" s="8"/>
      <c r="Q144" s="8"/>
      <c r="R144" s="3"/>
      <c r="S144" s="3"/>
      <c r="T144" s="3"/>
      <c r="U144" s="5" t="str">
        <f t="shared" si="7"/>
        <v/>
      </c>
    </row>
    <row r="146" spans="1:21" ht="28" customHeight="1" x14ac:dyDescent="0.35">
      <c r="A146" s="9" t="s">
        <v>110</v>
      </c>
      <c r="B146" s="16"/>
      <c r="C146" s="17"/>
      <c r="D146" s="17"/>
      <c r="E146" s="17"/>
      <c r="F146" s="17"/>
      <c r="G146" s="17"/>
      <c r="H146" s="17"/>
      <c r="I146" s="17"/>
      <c r="J146" s="17"/>
      <c r="K146" s="17"/>
      <c r="L146" s="17"/>
      <c r="M146" s="17"/>
      <c r="N146" s="17"/>
      <c r="O146" s="17"/>
      <c r="P146" s="17"/>
      <c r="Q146" s="17"/>
      <c r="R146" s="17"/>
      <c r="S146" s="17"/>
      <c r="T146" s="17"/>
      <c r="U146" s="18"/>
    </row>
    <row r="147" spans="1:21" ht="28" customHeight="1" x14ac:dyDescent="0.35">
      <c r="A147" s="19" t="s">
        <v>116</v>
      </c>
      <c r="B147" s="20"/>
      <c r="C147" s="20"/>
      <c r="D147" s="20"/>
      <c r="E147" s="20"/>
      <c r="F147" s="20"/>
      <c r="G147" s="20"/>
      <c r="H147" s="20"/>
      <c r="I147" s="20"/>
      <c r="J147" s="20"/>
      <c r="K147" s="20"/>
      <c r="L147" s="20"/>
      <c r="M147" s="20"/>
      <c r="N147" s="20"/>
      <c r="O147" s="20"/>
      <c r="P147" s="20"/>
      <c r="Q147" s="20"/>
      <c r="R147" s="20"/>
      <c r="S147" s="20"/>
      <c r="T147" s="20"/>
      <c r="U147" s="21"/>
    </row>
    <row r="148" spans="1:21" ht="28" customHeight="1" x14ac:dyDescent="0.35">
      <c r="A148" s="4" t="s">
        <v>31</v>
      </c>
      <c r="B148" s="3" t="s">
        <v>24</v>
      </c>
      <c r="C148" s="4" t="s">
        <v>32</v>
      </c>
      <c r="D148" s="3"/>
      <c r="E148" s="4" t="s">
        <v>33</v>
      </c>
      <c r="F148" s="8"/>
    </row>
    <row r="149" spans="1:21" ht="28" customHeight="1" x14ac:dyDescent="0.35">
      <c r="A149" s="1" t="s">
        <v>34</v>
      </c>
      <c r="B149" s="1" t="s">
        <v>35</v>
      </c>
      <c r="C149" s="1" t="s">
        <v>36</v>
      </c>
      <c r="D149" s="1" t="s">
        <v>37</v>
      </c>
      <c r="E149" s="1" t="s">
        <v>38</v>
      </c>
      <c r="F149" s="1" t="s">
        <v>39</v>
      </c>
      <c r="G149" s="1" t="s">
        <v>40</v>
      </c>
      <c r="H149" s="1" t="s">
        <v>41</v>
      </c>
      <c r="I149" s="1" t="s">
        <v>42</v>
      </c>
      <c r="J149" s="1" t="s">
        <v>43</v>
      </c>
      <c r="K149" s="1" t="s">
        <v>44</v>
      </c>
      <c r="L149" s="1" t="s">
        <v>45</v>
      </c>
      <c r="M149" s="1" t="s">
        <v>46</v>
      </c>
      <c r="N149" s="1" t="s">
        <v>47</v>
      </c>
      <c r="O149" s="1" t="s">
        <v>48</v>
      </c>
      <c r="P149" s="1" t="s">
        <v>4</v>
      </c>
      <c r="Q149" s="1" t="s">
        <v>49</v>
      </c>
      <c r="R149" s="1" t="s">
        <v>50</v>
      </c>
      <c r="S149" s="1" t="s">
        <v>51</v>
      </c>
      <c r="T149" s="1" t="s">
        <v>52</v>
      </c>
      <c r="U149" s="1" t="s">
        <v>10</v>
      </c>
    </row>
    <row r="150" spans="1:21" ht="28" customHeight="1" x14ac:dyDescent="0.35">
      <c r="A150" s="4">
        <v>1</v>
      </c>
      <c r="B150" s="4" t="s">
        <v>53</v>
      </c>
      <c r="C150" s="4" t="s">
        <v>54</v>
      </c>
      <c r="D150" s="4" t="s">
        <v>55</v>
      </c>
      <c r="E150" s="4" t="s">
        <v>56</v>
      </c>
      <c r="F150" s="4" t="s">
        <v>57</v>
      </c>
      <c r="G150" s="4" t="s">
        <v>58</v>
      </c>
      <c r="H150" s="4" t="s">
        <v>59</v>
      </c>
      <c r="I150" s="3"/>
      <c r="J150" s="3"/>
      <c r="K150" s="3"/>
      <c r="L150" s="3"/>
      <c r="M150" s="3"/>
      <c r="N150" s="3"/>
      <c r="O150" s="3"/>
      <c r="P150" s="8"/>
      <c r="Q150" s="8"/>
      <c r="R150" s="3"/>
      <c r="S150" s="3"/>
      <c r="T150" s="3"/>
      <c r="U150" s="5" t="str">
        <f t="shared" ref="U150:U165" si="8">IF(I150="","",IF(I150="NA","Grey",IF(I150=2,"Green",IF(I150=1,"Amber","Red"))))</f>
        <v/>
      </c>
    </row>
    <row r="151" spans="1:21" ht="28" customHeight="1" x14ac:dyDescent="0.35">
      <c r="A151" s="4">
        <v>2</v>
      </c>
      <c r="B151" s="4" t="s">
        <v>53</v>
      </c>
      <c r="C151" s="4" t="s">
        <v>60</v>
      </c>
      <c r="D151" s="4" t="s">
        <v>61</v>
      </c>
      <c r="E151" s="4" t="s">
        <v>56</v>
      </c>
      <c r="F151" s="4" t="s">
        <v>57</v>
      </c>
      <c r="G151" s="4" t="s">
        <v>58</v>
      </c>
      <c r="H151" s="4" t="s">
        <v>59</v>
      </c>
      <c r="I151" s="3"/>
      <c r="J151" s="3"/>
      <c r="K151" s="3"/>
      <c r="L151" s="3"/>
      <c r="M151" s="3"/>
      <c r="N151" s="3"/>
      <c r="O151" s="3"/>
      <c r="P151" s="8"/>
      <c r="Q151" s="8"/>
      <c r="R151" s="3"/>
      <c r="S151" s="3"/>
      <c r="T151" s="3"/>
      <c r="U151" s="5" t="str">
        <f t="shared" si="8"/>
        <v/>
      </c>
    </row>
    <row r="152" spans="1:21" ht="28" customHeight="1" x14ac:dyDescent="0.35">
      <c r="A152" s="4">
        <v>3</v>
      </c>
      <c r="B152" s="4" t="s">
        <v>53</v>
      </c>
      <c r="C152" s="4" t="s">
        <v>62</v>
      </c>
      <c r="D152" s="4" t="s">
        <v>63</v>
      </c>
      <c r="E152" s="4" t="s">
        <v>56</v>
      </c>
      <c r="F152" s="4" t="s">
        <v>57</v>
      </c>
      <c r="G152" s="4" t="s">
        <v>58</v>
      </c>
      <c r="H152" s="4" t="s">
        <v>59</v>
      </c>
      <c r="I152" s="3"/>
      <c r="J152" s="3"/>
      <c r="K152" s="3"/>
      <c r="L152" s="3"/>
      <c r="M152" s="3"/>
      <c r="N152" s="3"/>
      <c r="O152" s="3"/>
      <c r="P152" s="8"/>
      <c r="Q152" s="8"/>
      <c r="R152" s="3"/>
      <c r="S152" s="3"/>
      <c r="T152" s="3"/>
      <c r="U152" s="5" t="str">
        <f t="shared" si="8"/>
        <v/>
      </c>
    </row>
    <row r="153" spans="1:21" ht="28" customHeight="1" x14ac:dyDescent="0.35">
      <c r="A153" s="4">
        <v>4</v>
      </c>
      <c r="B153" s="4" t="s">
        <v>53</v>
      </c>
      <c r="C153" s="4" t="s">
        <v>64</v>
      </c>
      <c r="D153" s="4" t="s">
        <v>65</v>
      </c>
      <c r="E153" s="4" t="s">
        <v>56</v>
      </c>
      <c r="F153" s="4" t="s">
        <v>57</v>
      </c>
      <c r="G153" s="4" t="s">
        <v>58</v>
      </c>
      <c r="H153" s="4" t="s">
        <v>59</v>
      </c>
      <c r="I153" s="3"/>
      <c r="J153" s="3"/>
      <c r="K153" s="3"/>
      <c r="L153" s="3"/>
      <c r="M153" s="3"/>
      <c r="N153" s="3"/>
      <c r="O153" s="3"/>
      <c r="P153" s="8"/>
      <c r="Q153" s="8"/>
      <c r="R153" s="3"/>
      <c r="S153" s="3"/>
      <c r="T153" s="3"/>
      <c r="U153" s="5" t="str">
        <f t="shared" si="8"/>
        <v/>
      </c>
    </row>
    <row r="154" spans="1:21" ht="28" customHeight="1" x14ac:dyDescent="0.35">
      <c r="A154" s="4">
        <v>5</v>
      </c>
      <c r="B154" s="4" t="s">
        <v>66</v>
      </c>
      <c r="C154" s="4" t="s">
        <v>67</v>
      </c>
      <c r="D154" s="4" t="s">
        <v>68</v>
      </c>
      <c r="E154" s="4" t="s">
        <v>69</v>
      </c>
      <c r="F154" s="4" t="s">
        <v>57</v>
      </c>
      <c r="G154" s="4" t="s">
        <v>58</v>
      </c>
      <c r="H154" s="4" t="s">
        <v>59</v>
      </c>
      <c r="I154" s="3"/>
      <c r="J154" s="3"/>
      <c r="K154" s="3"/>
      <c r="L154" s="3"/>
      <c r="M154" s="3"/>
      <c r="N154" s="3"/>
      <c r="O154" s="3"/>
      <c r="P154" s="8"/>
      <c r="Q154" s="8"/>
      <c r="R154" s="3"/>
      <c r="S154" s="3"/>
      <c r="T154" s="3"/>
      <c r="U154" s="5" t="str">
        <f t="shared" si="8"/>
        <v/>
      </c>
    </row>
    <row r="155" spans="1:21" ht="28" customHeight="1" x14ac:dyDescent="0.35">
      <c r="A155" s="4">
        <v>6</v>
      </c>
      <c r="B155" s="4" t="s">
        <v>70</v>
      </c>
      <c r="C155" s="4" t="s">
        <v>71</v>
      </c>
      <c r="D155" s="4" t="s">
        <v>72</v>
      </c>
      <c r="E155" s="4" t="s">
        <v>70</v>
      </c>
      <c r="F155" s="4" t="s">
        <v>57</v>
      </c>
      <c r="G155" s="4" t="s">
        <v>58</v>
      </c>
      <c r="H155" s="4" t="s">
        <v>59</v>
      </c>
      <c r="I155" s="3"/>
      <c r="J155" s="3"/>
      <c r="K155" s="3"/>
      <c r="L155" s="3"/>
      <c r="M155" s="3"/>
      <c r="N155" s="3"/>
      <c r="O155" s="3"/>
      <c r="P155" s="8"/>
      <c r="Q155" s="8"/>
      <c r="R155" s="3"/>
      <c r="S155" s="3"/>
      <c r="T155" s="3"/>
      <c r="U155" s="5" t="str">
        <f t="shared" si="8"/>
        <v/>
      </c>
    </row>
    <row r="156" spans="1:21" ht="28" customHeight="1" x14ac:dyDescent="0.35">
      <c r="A156" s="4">
        <v>7</v>
      </c>
      <c r="B156" s="4" t="s">
        <v>73</v>
      </c>
      <c r="C156" s="4" t="s">
        <v>74</v>
      </c>
      <c r="D156" s="4" t="s">
        <v>75</v>
      </c>
      <c r="E156" s="4" t="s">
        <v>69</v>
      </c>
      <c r="F156" s="4" t="s">
        <v>57</v>
      </c>
      <c r="G156" s="4" t="s">
        <v>58</v>
      </c>
      <c r="H156" s="4" t="s">
        <v>76</v>
      </c>
      <c r="I156" s="3"/>
      <c r="J156" s="3"/>
      <c r="K156" s="3"/>
      <c r="L156" s="3"/>
      <c r="M156" s="3"/>
      <c r="N156" s="3"/>
      <c r="O156" s="3"/>
      <c r="P156" s="8"/>
      <c r="Q156" s="8"/>
      <c r="R156" s="3"/>
      <c r="S156" s="3"/>
      <c r="T156" s="3"/>
      <c r="U156" s="5" t="str">
        <f t="shared" si="8"/>
        <v/>
      </c>
    </row>
    <row r="157" spans="1:21" ht="28" customHeight="1" x14ac:dyDescent="0.35">
      <c r="A157" s="4">
        <v>8</v>
      </c>
      <c r="B157" s="4" t="s">
        <v>77</v>
      </c>
      <c r="C157" s="4" t="s">
        <v>78</v>
      </c>
      <c r="D157" s="4" t="s">
        <v>79</v>
      </c>
      <c r="E157" s="4" t="s">
        <v>80</v>
      </c>
      <c r="F157" s="4" t="s">
        <v>57</v>
      </c>
      <c r="G157" s="4" t="s">
        <v>58</v>
      </c>
      <c r="H157" s="4" t="s">
        <v>59</v>
      </c>
      <c r="I157" s="3"/>
      <c r="J157" s="3"/>
      <c r="K157" s="3"/>
      <c r="L157" s="3"/>
      <c r="M157" s="3"/>
      <c r="N157" s="3"/>
      <c r="O157" s="3"/>
      <c r="P157" s="8"/>
      <c r="Q157" s="8"/>
      <c r="R157" s="3"/>
      <c r="S157" s="3"/>
      <c r="T157" s="3"/>
      <c r="U157" s="5" t="str">
        <f t="shared" si="8"/>
        <v/>
      </c>
    </row>
    <row r="158" spans="1:21" ht="28" customHeight="1" x14ac:dyDescent="0.35">
      <c r="A158" s="4">
        <v>9</v>
      </c>
      <c r="B158" s="4" t="s">
        <v>81</v>
      </c>
      <c r="C158" s="4" t="s">
        <v>82</v>
      </c>
      <c r="D158" s="4" t="s">
        <v>83</v>
      </c>
      <c r="E158" s="4" t="s">
        <v>84</v>
      </c>
      <c r="F158" s="4" t="s">
        <v>57</v>
      </c>
      <c r="G158" s="4" t="s">
        <v>58</v>
      </c>
      <c r="H158" s="4" t="s">
        <v>85</v>
      </c>
      <c r="I158" s="3"/>
      <c r="J158" s="3"/>
      <c r="K158" s="3"/>
      <c r="L158" s="3"/>
      <c r="M158" s="3"/>
      <c r="N158" s="3"/>
      <c r="O158" s="3"/>
      <c r="P158" s="8"/>
      <c r="Q158" s="8"/>
      <c r="R158" s="3"/>
      <c r="S158" s="3"/>
      <c r="T158" s="3"/>
      <c r="U158" s="5" t="str">
        <f t="shared" si="8"/>
        <v/>
      </c>
    </row>
    <row r="159" spans="1:21" ht="28" customHeight="1" x14ac:dyDescent="0.35">
      <c r="A159" s="4">
        <v>10</v>
      </c>
      <c r="B159" s="4" t="s">
        <v>86</v>
      </c>
      <c r="C159" s="4" t="s">
        <v>87</v>
      </c>
      <c r="D159" s="4" t="s">
        <v>88</v>
      </c>
      <c r="E159" s="4" t="s">
        <v>69</v>
      </c>
      <c r="F159" s="4" t="s">
        <v>57</v>
      </c>
      <c r="G159" s="4" t="s">
        <v>58</v>
      </c>
      <c r="H159" s="4" t="s">
        <v>59</v>
      </c>
      <c r="I159" s="3"/>
      <c r="J159" s="3"/>
      <c r="K159" s="3"/>
      <c r="L159" s="3"/>
      <c r="M159" s="3"/>
      <c r="N159" s="3"/>
      <c r="O159" s="3"/>
      <c r="P159" s="8"/>
      <c r="Q159" s="8"/>
      <c r="R159" s="3"/>
      <c r="S159" s="3"/>
      <c r="T159" s="3"/>
      <c r="U159" s="5" t="str">
        <f t="shared" si="8"/>
        <v/>
      </c>
    </row>
    <row r="160" spans="1:21" ht="28" customHeight="1" x14ac:dyDescent="0.35">
      <c r="A160" s="4">
        <v>11</v>
      </c>
      <c r="B160" s="4" t="s">
        <v>89</v>
      </c>
      <c r="C160" s="4" t="s">
        <v>90</v>
      </c>
      <c r="D160" s="4" t="s">
        <v>91</v>
      </c>
      <c r="E160" s="4" t="s">
        <v>84</v>
      </c>
      <c r="F160" s="4" t="s">
        <v>57</v>
      </c>
      <c r="G160" s="4" t="s">
        <v>58</v>
      </c>
      <c r="H160" s="4" t="s">
        <v>59</v>
      </c>
      <c r="I160" s="3"/>
      <c r="J160" s="3"/>
      <c r="K160" s="3"/>
      <c r="L160" s="3"/>
      <c r="M160" s="3"/>
      <c r="N160" s="3"/>
      <c r="O160" s="3"/>
      <c r="P160" s="8"/>
      <c r="Q160" s="8"/>
      <c r="R160" s="3"/>
      <c r="S160" s="3"/>
      <c r="T160" s="3"/>
      <c r="U160" s="5" t="str">
        <f t="shared" si="8"/>
        <v/>
      </c>
    </row>
    <row r="161" spans="1:21" ht="28" customHeight="1" x14ac:dyDescent="0.35">
      <c r="A161" s="4">
        <v>12</v>
      </c>
      <c r="B161" s="4" t="s">
        <v>92</v>
      </c>
      <c r="C161" s="4" t="s">
        <v>93</v>
      </c>
      <c r="D161" s="4" t="s">
        <v>94</v>
      </c>
      <c r="E161" s="4" t="s">
        <v>69</v>
      </c>
      <c r="F161" s="4" t="s">
        <v>95</v>
      </c>
      <c r="G161" s="4" t="s">
        <v>96</v>
      </c>
      <c r="H161" s="4" t="s">
        <v>59</v>
      </c>
      <c r="I161" s="3"/>
      <c r="J161" s="3"/>
      <c r="K161" s="3"/>
      <c r="L161" s="3"/>
      <c r="M161" s="3"/>
      <c r="N161" s="3"/>
      <c r="O161" s="3"/>
      <c r="P161" s="8"/>
      <c r="Q161" s="8"/>
      <c r="R161" s="3"/>
      <c r="S161" s="3"/>
      <c r="T161" s="3"/>
      <c r="U161" s="5" t="str">
        <f t="shared" si="8"/>
        <v/>
      </c>
    </row>
    <row r="162" spans="1:21" ht="28" customHeight="1" x14ac:dyDescent="0.35">
      <c r="A162" s="4">
        <v>13</v>
      </c>
      <c r="B162" s="4" t="s">
        <v>97</v>
      </c>
      <c r="C162" s="4" t="s">
        <v>98</v>
      </c>
      <c r="D162" s="4" t="s">
        <v>99</v>
      </c>
      <c r="E162" s="4" t="s">
        <v>69</v>
      </c>
      <c r="F162" s="4" t="s">
        <v>95</v>
      </c>
      <c r="G162" s="4" t="s">
        <v>96</v>
      </c>
      <c r="H162" s="4" t="s">
        <v>59</v>
      </c>
      <c r="I162" s="3"/>
      <c r="J162" s="3"/>
      <c r="K162" s="3"/>
      <c r="L162" s="3"/>
      <c r="M162" s="3"/>
      <c r="N162" s="3"/>
      <c r="O162" s="3"/>
      <c r="P162" s="8"/>
      <c r="Q162" s="8"/>
      <c r="R162" s="3"/>
      <c r="S162" s="3"/>
      <c r="T162" s="3"/>
      <c r="U162" s="5" t="str">
        <f t="shared" si="8"/>
        <v/>
      </c>
    </row>
    <row r="163" spans="1:21" ht="28" customHeight="1" x14ac:dyDescent="0.35">
      <c r="A163" s="4">
        <v>14</v>
      </c>
      <c r="B163" s="4" t="s">
        <v>97</v>
      </c>
      <c r="C163" s="4" t="s">
        <v>100</v>
      </c>
      <c r="D163" s="4" t="s">
        <v>101</v>
      </c>
      <c r="E163" s="4" t="s">
        <v>69</v>
      </c>
      <c r="F163" s="4" t="s">
        <v>95</v>
      </c>
      <c r="G163" s="4" t="s">
        <v>102</v>
      </c>
      <c r="H163" s="4" t="s">
        <v>59</v>
      </c>
      <c r="I163" s="3"/>
      <c r="J163" s="3"/>
      <c r="K163" s="3"/>
      <c r="L163" s="3"/>
      <c r="M163" s="3"/>
      <c r="N163" s="3"/>
      <c r="O163" s="3"/>
      <c r="P163" s="8"/>
      <c r="Q163" s="8"/>
      <c r="R163" s="3"/>
      <c r="S163" s="3"/>
      <c r="T163" s="3"/>
      <c r="U163" s="5" t="str">
        <f t="shared" si="8"/>
        <v/>
      </c>
    </row>
    <row r="164" spans="1:21" ht="28" customHeight="1" x14ac:dyDescent="0.35">
      <c r="A164" s="4">
        <v>15</v>
      </c>
      <c r="B164" s="4" t="s">
        <v>103</v>
      </c>
      <c r="C164" s="4" t="s">
        <v>104</v>
      </c>
      <c r="D164" s="4" t="s">
        <v>105</v>
      </c>
      <c r="E164" s="4" t="s">
        <v>69</v>
      </c>
      <c r="F164" s="4" t="s">
        <v>95</v>
      </c>
      <c r="G164" s="4" t="s">
        <v>96</v>
      </c>
      <c r="H164" s="4" t="s">
        <v>85</v>
      </c>
      <c r="I164" s="3"/>
      <c r="J164" s="3"/>
      <c r="K164" s="3"/>
      <c r="L164" s="3"/>
      <c r="M164" s="3"/>
      <c r="N164" s="3"/>
      <c r="O164" s="3"/>
      <c r="P164" s="8"/>
      <c r="Q164" s="8"/>
      <c r="R164" s="3"/>
      <c r="S164" s="3"/>
      <c r="T164" s="3"/>
      <c r="U164" s="5" t="str">
        <f t="shared" si="8"/>
        <v/>
      </c>
    </row>
    <row r="165" spans="1:21" ht="28" customHeight="1" x14ac:dyDescent="0.35">
      <c r="A165" s="4">
        <v>16</v>
      </c>
      <c r="B165" s="4" t="s">
        <v>106</v>
      </c>
      <c r="C165" s="4" t="s">
        <v>107</v>
      </c>
      <c r="D165" s="4" t="s">
        <v>108</v>
      </c>
      <c r="E165" s="4" t="s">
        <v>109</v>
      </c>
      <c r="F165" s="4" t="s">
        <v>95</v>
      </c>
      <c r="G165" s="4" t="s">
        <v>96</v>
      </c>
      <c r="H165" s="4" t="s">
        <v>59</v>
      </c>
      <c r="I165" s="3"/>
      <c r="J165" s="3"/>
      <c r="K165" s="3"/>
      <c r="L165" s="3"/>
      <c r="M165" s="3"/>
      <c r="N165" s="3"/>
      <c r="O165" s="3"/>
      <c r="P165" s="8"/>
      <c r="Q165" s="8"/>
      <c r="R165" s="3"/>
      <c r="S165" s="3"/>
      <c r="T165" s="3"/>
      <c r="U165" s="5" t="str">
        <f t="shared" si="8"/>
        <v/>
      </c>
    </row>
    <row r="167" spans="1:21" ht="28" customHeight="1" x14ac:dyDescent="0.35">
      <c r="A167" s="9" t="s">
        <v>110</v>
      </c>
      <c r="B167" s="16"/>
      <c r="C167" s="17"/>
      <c r="D167" s="17"/>
      <c r="E167" s="17"/>
      <c r="F167" s="17"/>
      <c r="G167" s="17"/>
      <c r="H167" s="17"/>
      <c r="I167" s="17"/>
      <c r="J167" s="17"/>
      <c r="K167" s="17"/>
      <c r="L167" s="17"/>
      <c r="M167" s="17"/>
      <c r="N167" s="17"/>
      <c r="O167" s="17"/>
      <c r="P167" s="17"/>
      <c r="Q167" s="17"/>
      <c r="R167" s="17"/>
      <c r="S167" s="17"/>
      <c r="T167" s="17"/>
      <c r="U167" s="18"/>
    </row>
    <row r="168" spans="1:21" ht="28" customHeight="1" x14ac:dyDescent="0.35">
      <c r="A168" s="19" t="s">
        <v>117</v>
      </c>
      <c r="B168" s="20"/>
      <c r="C168" s="20"/>
      <c r="D168" s="20"/>
      <c r="E168" s="20"/>
      <c r="F168" s="20"/>
      <c r="G168" s="20"/>
      <c r="H168" s="20"/>
      <c r="I168" s="20"/>
      <c r="J168" s="20"/>
      <c r="K168" s="20"/>
      <c r="L168" s="20"/>
      <c r="M168" s="20"/>
      <c r="N168" s="20"/>
      <c r="O168" s="20"/>
      <c r="P168" s="20"/>
      <c r="Q168" s="20"/>
      <c r="R168" s="20"/>
      <c r="S168" s="20"/>
      <c r="T168" s="20"/>
      <c r="U168" s="21"/>
    </row>
    <row r="169" spans="1:21" ht="28" customHeight="1" x14ac:dyDescent="0.35">
      <c r="A169" s="4" t="s">
        <v>31</v>
      </c>
      <c r="B169" s="3" t="s">
        <v>25</v>
      </c>
      <c r="C169" s="4" t="s">
        <v>32</v>
      </c>
      <c r="D169" s="3"/>
      <c r="E169" s="4" t="s">
        <v>33</v>
      </c>
      <c r="F169" s="8"/>
    </row>
    <row r="170" spans="1:21" ht="28" customHeight="1" x14ac:dyDescent="0.35">
      <c r="A170" s="1" t="s">
        <v>34</v>
      </c>
      <c r="B170" s="1" t="s">
        <v>35</v>
      </c>
      <c r="C170" s="1" t="s">
        <v>36</v>
      </c>
      <c r="D170" s="1" t="s">
        <v>37</v>
      </c>
      <c r="E170" s="1" t="s">
        <v>38</v>
      </c>
      <c r="F170" s="1" t="s">
        <v>39</v>
      </c>
      <c r="G170" s="1" t="s">
        <v>40</v>
      </c>
      <c r="H170" s="1" t="s">
        <v>41</v>
      </c>
      <c r="I170" s="1" t="s">
        <v>42</v>
      </c>
      <c r="J170" s="1" t="s">
        <v>43</v>
      </c>
      <c r="K170" s="1" t="s">
        <v>44</v>
      </c>
      <c r="L170" s="1" t="s">
        <v>45</v>
      </c>
      <c r="M170" s="1" t="s">
        <v>46</v>
      </c>
      <c r="N170" s="1" t="s">
        <v>47</v>
      </c>
      <c r="O170" s="1" t="s">
        <v>48</v>
      </c>
      <c r="P170" s="1" t="s">
        <v>4</v>
      </c>
      <c r="Q170" s="1" t="s">
        <v>49</v>
      </c>
      <c r="R170" s="1" t="s">
        <v>50</v>
      </c>
      <c r="S170" s="1" t="s">
        <v>51</v>
      </c>
      <c r="T170" s="1" t="s">
        <v>52</v>
      </c>
      <c r="U170" s="1" t="s">
        <v>10</v>
      </c>
    </row>
    <row r="171" spans="1:21" ht="28" customHeight="1" x14ac:dyDescent="0.35">
      <c r="A171" s="4">
        <v>1</v>
      </c>
      <c r="B171" s="4" t="s">
        <v>53</v>
      </c>
      <c r="C171" s="4" t="s">
        <v>54</v>
      </c>
      <c r="D171" s="4" t="s">
        <v>55</v>
      </c>
      <c r="E171" s="4" t="s">
        <v>56</v>
      </c>
      <c r="F171" s="4" t="s">
        <v>57</v>
      </c>
      <c r="G171" s="4" t="s">
        <v>58</v>
      </c>
      <c r="H171" s="4" t="s">
        <v>59</v>
      </c>
      <c r="I171" s="3"/>
      <c r="J171" s="3"/>
      <c r="K171" s="3"/>
      <c r="L171" s="3"/>
      <c r="M171" s="3"/>
      <c r="N171" s="3"/>
      <c r="O171" s="3"/>
      <c r="P171" s="8"/>
      <c r="Q171" s="8"/>
      <c r="R171" s="3"/>
      <c r="S171" s="3"/>
      <c r="T171" s="3"/>
      <c r="U171" s="5" t="str">
        <f t="shared" ref="U171:U186" si="9">IF(I171="","",IF(I171="NA","Grey",IF(I171=2,"Green",IF(I171=1,"Amber","Red"))))</f>
        <v/>
      </c>
    </row>
    <row r="172" spans="1:21" ht="28" customHeight="1" x14ac:dyDescent="0.35">
      <c r="A172" s="4">
        <v>2</v>
      </c>
      <c r="B172" s="4" t="s">
        <v>53</v>
      </c>
      <c r="C172" s="4" t="s">
        <v>60</v>
      </c>
      <c r="D172" s="4" t="s">
        <v>61</v>
      </c>
      <c r="E172" s="4" t="s">
        <v>56</v>
      </c>
      <c r="F172" s="4" t="s">
        <v>57</v>
      </c>
      <c r="G172" s="4" t="s">
        <v>58</v>
      </c>
      <c r="H172" s="4" t="s">
        <v>59</v>
      </c>
      <c r="I172" s="3"/>
      <c r="J172" s="3"/>
      <c r="K172" s="3"/>
      <c r="L172" s="3"/>
      <c r="M172" s="3"/>
      <c r="N172" s="3"/>
      <c r="O172" s="3"/>
      <c r="P172" s="8"/>
      <c r="Q172" s="8"/>
      <c r="R172" s="3"/>
      <c r="S172" s="3"/>
      <c r="T172" s="3"/>
      <c r="U172" s="5" t="str">
        <f t="shared" si="9"/>
        <v/>
      </c>
    </row>
    <row r="173" spans="1:21" ht="28" customHeight="1" x14ac:dyDescent="0.35">
      <c r="A173" s="4">
        <v>3</v>
      </c>
      <c r="B173" s="4" t="s">
        <v>53</v>
      </c>
      <c r="C173" s="4" t="s">
        <v>62</v>
      </c>
      <c r="D173" s="4" t="s">
        <v>63</v>
      </c>
      <c r="E173" s="4" t="s">
        <v>56</v>
      </c>
      <c r="F173" s="4" t="s">
        <v>57</v>
      </c>
      <c r="G173" s="4" t="s">
        <v>58</v>
      </c>
      <c r="H173" s="4" t="s">
        <v>59</v>
      </c>
      <c r="I173" s="3"/>
      <c r="J173" s="3"/>
      <c r="K173" s="3"/>
      <c r="L173" s="3"/>
      <c r="M173" s="3"/>
      <c r="N173" s="3"/>
      <c r="O173" s="3"/>
      <c r="P173" s="8"/>
      <c r="Q173" s="8"/>
      <c r="R173" s="3"/>
      <c r="S173" s="3"/>
      <c r="T173" s="3"/>
      <c r="U173" s="5" t="str">
        <f t="shared" si="9"/>
        <v/>
      </c>
    </row>
    <row r="174" spans="1:21" ht="28" customHeight="1" x14ac:dyDescent="0.35">
      <c r="A174" s="4">
        <v>4</v>
      </c>
      <c r="B174" s="4" t="s">
        <v>53</v>
      </c>
      <c r="C174" s="4" t="s">
        <v>64</v>
      </c>
      <c r="D174" s="4" t="s">
        <v>65</v>
      </c>
      <c r="E174" s="4" t="s">
        <v>56</v>
      </c>
      <c r="F174" s="4" t="s">
        <v>57</v>
      </c>
      <c r="G174" s="4" t="s">
        <v>58</v>
      </c>
      <c r="H174" s="4" t="s">
        <v>59</v>
      </c>
      <c r="I174" s="3"/>
      <c r="J174" s="3"/>
      <c r="K174" s="3"/>
      <c r="L174" s="3"/>
      <c r="M174" s="3"/>
      <c r="N174" s="3"/>
      <c r="O174" s="3"/>
      <c r="P174" s="8"/>
      <c r="Q174" s="8"/>
      <c r="R174" s="3"/>
      <c r="S174" s="3"/>
      <c r="T174" s="3"/>
      <c r="U174" s="5" t="str">
        <f t="shared" si="9"/>
        <v/>
      </c>
    </row>
    <row r="175" spans="1:21" ht="28" customHeight="1" x14ac:dyDescent="0.35">
      <c r="A175" s="4">
        <v>5</v>
      </c>
      <c r="B175" s="4" t="s">
        <v>66</v>
      </c>
      <c r="C175" s="4" t="s">
        <v>67</v>
      </c>
      <c r="D175" s="4" t="s">
        <v>68</v>
      </c>
      <c r="E175" s="4" t="s">
        <v>69</v>
      </c>
      <c r="F175" s="4" t="s">
        <v>57</v>
      </c>
      <c r="G175" s="4" t="s">
        <v>58</v>
      </c>
      <c r="H175" s="4" t="s">
        <v>59</v>
      </c>
      <c r="I175" s="3"/>
      <c r="J175" s="3"/>
      <c r="K175" s="3"/>
      <c r="L175" s="3"/>
      <c r="M175" s="3"/>
      <c r="N175" s="3"/>
      <c r="O175" s="3"/>
      <c r="P175" s="8"/>
      <c r="Q175" s="8"/>
      <c r="R175" s="3"/>
      <c r="S175" s="3"/>
      <c r="T175" s="3"/>
      <c r="U175" s="5" t="str">
        <f t="shared" si="9"/>
        <v/>
      </c>
    </row>
    <row r="176" spans="1:21" ht="28" customHeight="1" x14ac:dyDescent="0.35">
      <c r="A176" s="4">
        <v>6</v>
      </c>
      <c r="B176" s="4" t="s">
        <v>70</v>
      </c>
      <c r="C176" s="4" t="s">
        <v>71</v>
      </c>
      <c r="D176" s="4" t="s">
        <v>72</v>
      </c>
      <c r="E176" s="4" t="s">
        <v>70</v>
      </c>
      <c r="F176" s="4" t="s">
        <v>57</v>
      </c>
      <c r="G176" s="4" t="s">
        <v>58</v>
      </c>
      <c r="H176" s="4" t="s">
        <v>59</v>
      </c>
      <c r="I176" s="3"/>
      <c r="J176" s="3"/>
      <c r="K176" s="3"/>
      <c r="L176" s="3"/>
      <c r="M176" s="3"/>
      <c r="N176" s="3"/>
      <c r="O176" s="3"/>
      <c r="P176" s="8"/>
      <c r="Q176" s="8"/>
      <c r="R176" s="3"/>
      <c r="S176" s="3"/>
      <c r="T176" s="3"/>
      <c r="U176" s="5" t="str">
        <f t="shared" si="9"/>
        <v/>
      </c>
    </row>
    <row r="177" spans="1:21" ht="28" customHeight="1" x14ac:dyDescent="0.35">
      <c r="A177" s="4">
        <v>7</v>
      </c>
      <c r="B177" s="4" t="s">
        <v>73</v>
      </c>
      <c r="C177" s="4" t="s">
        <v>74</v>
      </c>
      <c r="D177" s="4" t="s">
        <v>75</v>
      </c>
      <c r="E177" s="4" t="s">
        <v>69</v>
      </c>
      <c r="F177" s="4" t="s">
        <v>57</v>
      </c>
      <c r="G177" s="4" t="s">
        <v>58</v>
      </c>
      <c r="H177" s="4" t="s">
        <v>76</v>
      </c>
      <c r="I177" s="3"/>
      <c r="J177" s="3"/>
      <c r="K177" s="3"/>
      <c r="L177" s="3"/>
      <c r="M177" s="3"/>
      <c r="N177" s="3"/>
      <c r="O177" s="3"/>
      <c r="P177" s="8"/>
      <c r="Q177" s="8"/>
      <c r="R177" s="3"/>
      <c r="S177" s="3"/>
      <c r="T177" s="3"/>
      <c r="U177" s="5" t="str">
        <f t="shared" si="9"/>
        <v/>
      </c>
    </row>
    <row r="178" spans="1:21" ht="28" customHeight="1" x14ac:dyDescent="0.35">
      <c r="A178" s="4">
        <v>8</v>
      </c>
      <c r="B178" s="4" t="s">
        <v>77</v>
      </c>
      <c r="C178" s="4" t="s">
        <v>78</v>
      </c>
      <c r="D178" s="4" t="s">
        <v>79</v>
      </c>
      <c r="E178" s="4" t="s">
        <v>80</v>
      </c>
      <c r="F178" s="4" t="s">
        <v>57</v>
      </c>
      <c r="G178" s="4" t="s">
        <v>58</v>
      </c>
      <c r="H178" s="4" t="s">
        <v>59</v>
      </c>
      <c r="I178" s="3"/>
      <c r="J178" s="3"/>
      <c r="K178" s="3"/>
      <c r="L178" s="3"/>
      <c r="M178" s="3"/>
      <c r="N178" s="3"/>
      <c r="O178" s="3"/>
      <c r="P178" s="8"/>
      <c r="Q178" s="8"/>
      <c r="R178" s="3"/>
      <c r="S178" s="3"/>
      <c r="T178" s="3"/>
      <c r="U178" s="5" t="str">
        <f t="shared" si="9"/>
        <v/>
      </c>
    </row>
    <row r="179" spans="1:21" ht="28" customHeight="1" x14ac:dyDescent="0.35">
      <c r="A179" s="4">
        <v>9</v>
      </c>
      <c r="B179" s="4" t="s">
        <v>81</v>
      </c>
      <c r="C179" s="4" t="s">
        <v>82</v>
      </c>
      <c r="D179" s="4" t="s">
        <v>83</v>
      </c>
      <c r="E179" s="4" t="s">
        <v>84</v>
      </c>
      <c r="F179" s="4" t="s">
        <v>57</v>
      </c>
      <c r="G179" s="4" t="s">
        <v>58</v>
      </c>
      <c r="H179" s="4" t="s">
        <v>85</v>
      </c>
      <c r="I179" s="3"/>
      <c r="J179" s="3"/>
      <c r="K179" s="3"/>
      <c r="L179" s="3"/>
      <c r="M179" s="3"/>
      <c r="N179" s="3"/>
      <c r="O179" s="3"/>
      <c r="P179" s="8"/>
      <c r="Q179" s="8"/>
      <c r="R179" s="3"/>
      <c r="S179" s="3"/>
      <c r="T179" s="3"/>
      <c r="U179" s="5" t="str">
        <f t="shared" si="9"/>
        <v/>
      </c>
    </row>
    <row r="180" spans="1:21" ht="28" customHeight="1" x14ac:dyDescent="0.35">
      <c r="A180" s="4">
        <v>10</v>
      </c>
      <c r="B180" s="4" t="s">
        <v>86</v>
      </c>
      <c r="C180" s="4" t="s">
        <v>87</v>
      </c>
      <c r="D180" s="4" t="s">
        <v>88</v>
      </c>
      <c r="E180" s="4" t="s">
        <v>69</v>
      </c>
      <c r="F180" s="4" t="s">
        <v>57</v>
      </c>
      <c r="G180" s="4" t="s">
        <v>58</v>
      </c>
      <c r="H180" s="4" t="s">
        <v>59</v>
      </c>
      <c r="I180" s="3"/>
      <c r="J180" s="3"/>
      <c r="K180" s="3"/>
      <c r="L180" s="3"/>
      <c r="M180" s="3"/>
      <c r="N180" s="3"/>
      <c r="O180" s="3"/>
      <c r="P180" s="8"/>
      <c r="Q180" s="8"/>
      <c r="R180" s="3"/>
      <c r="S180" s="3"/>
      <c r="T180" s="3"/>
      <c r="U180" s="5" t="str">
        <f t="shared" si="9"/>
        <v/>
      </c>
    </row>
    <row r="181" spans="1:21" ht="28" customHeight="1" x14ac:dyDescent="0.35">
      <c r="A181" s="4">
        <v>11</v>
      </c>
      <c r="B181" s="4" t="s">
        <v>89</v>
      </c>
      <c r="C181" s="4" t="s">
        <v>90</v>
      </c>
      <c r="D181" s="4" t="s">
        <v>91</v>
      </c>
      <c r="E181" s="4" t="s">
        <v>84</v>
      </c>
      <c r="F181" s="4" t="s">
        <v>57</v>
      </c>
      <c r="G181" s="4" t="s">
        <v>58</v>
      </c>
      <c r="H181" s="4" t="s">
        <v>59</v>
      </c>
      <c r="I181" s="3"/>
      <c r="J181" s="3"/>
      <c r="K181" s="3"/>
      <c r="L181" s="3"/>
      <c r="M181" s="3"/>
      <c r="N181" s="3"/>
      <c r="O181" s="3"/>
      <c r="P181" s="8"/>
      <c r="Q181" s="8"/>
      <c r="R181" s="3"/>
      <c r="S181" s="3"/>
      <c r="T181" s="3"/>
      <c r="U181" s="5" t="str">
        <f t="shared" si="9"/>
        <v/>
      </c>
    </row>
    <row r="182" spans="1:21" ht="28" customHeight="1" x14ac:dyDescent="0.35">
      <c r="A182" s="4">
        <v>12</v>
      </c>
      <c r="B182" s="4" t="s">
        <v>92</v>
      </c>
      <c r="C182" s="4" t="s">
        <v>93</v>
      </c>
      <c r="D182" s="4" t="s">
        <v>94</v>
      </c>
      <c r="E182" s="4" t="s">
        <v>69</v>
      </c>
      <c r="F182" s="4" t="s">
        <v>95</v>
      </c>
      <c r="G182" s="4" t="s">
        <v>96</v>
      </c>
      <c r="H182" s="4" t="s">
        <v>59</v>
      </c>
      <c r="I182" s="3"/>
      <c r="J182" s="3"/>
      <c r="K182" s="3"/>
      <c r="L182" s="3"/>
      <c r="M182" s="3"/>
      <c r="N182" s="3"/>
      <c r="O182" s="3"/>
      <c r="P182" s="8"/>
      <c r="Q182" s="8"/>
      <c r="R182" s="3"/>
      <c r="S182" s="3"/>
      <c r="T182" s="3"/>
      <c r="U182" s="5" t="str">
        <f t="shared" si="9"/>
        <v/>
      </c>
    </row>
    <row r="183" spans="1:21" ht="28" customHeight="1" x14ac:dyDescent="0.35">
      <c r="A183" s="4">
        <v>13</v>
      </c>
      <c r="B183" s="4" t="s">
        <v>97</v>
      </c>
      <c r="C183" s="4" t="s">
        <v>98</v>
      </c>
      <c r="D183" s="4" t="s">
        <v>99</v>
      </c>
      <c r="E183" s="4" t="s">
        <v>69</v>
      </c>
      <c r="F183" s="4" t="s">
        <v>95</v>
      </c>
      <c r="G183" s="4" t="s">
        <v>96</v>
      </c>
      <c r="H183" s="4" t="s">
        <v>59</v>
      </c>
      <c r="I183" s="3"/>
      <c r="J183" s="3"/>
      <c r="K183" s="3"/>
      <c r="L183" s="3"/>
      <c r="M183" s="3"/>
      <c r="N183" s="3"/>
      <c r="O183" s="3"/>
      <c r="P183" s="8"/>
      <c r="Q183" s="8"/>
      <c r="R183" s="3"/>
      <c r="S183" s="3"/>
      <c r="T183" s="3"/>
      <c r="U183" s="5" t="str">
        <f t="shared" si="9"/>
        <v/>
      </c>
    </row>
    <row r="184" spans="1:21" ht="28" customHeight="1" x14ac:dyDescent="0.35">
      <c r="A184" s="4">
        <v>14</v>
      </c>
      <c r="B184" s="4" t="s">
        <v>97</v>
      </c>
      <c r="C184" s="4" t="s">
        <v>100</v>
      </c>
      <c r="D184" s="4" t="s">
        <v>101</v>
      </c>
      <c r="E184" s="4" t="s">
        <v>69</v>
      </c>
      <c r="F184" s="4" t="s">
        <v>95</v>
      </c>
      <c r="G184" s="4" t="s">
        <v>102</v>
      </c>
      <c r="H184" s="4" t="s">
        <v>59</v>
      </c>
      <c r="I184" s="3"/>
      <c r="J184" s="3"/>
      <c r="K184" s="3"/>
      <c r="L184" s="3"/>
      <c r="M184" s="3"/>
      <c r="N184" s="3"/>
      <c r="O184" s="3"/>
      <c r="P184" s="8"/>
      <c r="Q184" s="8"/>
      <c r="R184" s="3"/>
      <c r="S184" s="3"/>
      <c r="T184" s="3"/>
      <c r="U184" s="5" t="str">
        <f t="shared" si="9"/>
        <v/>
      </c>
    </row>
    <row r="185" spans="1:21" ht="28" customHeight="1" x14ac:dyDescent="0.35">
      <c r="A185" s="4">
        <v>15</v>
      </c>
      <c r="B185" s="4" t="s">
        <v>103</v>
      </c>
      <c r="C185" s="4" t="s">
        <v>104</v>
      </c>
      <c r="D185" s="4" t="s">
        <v>105</v>
      </c>
      <c r="E185" s="4" t="s">
        <v>69</v>
      </c>
      <c r="F185" s="4" t="s">
        <v>95</v>
      </c>
      <c r="G185" s="4" t="s">
        <v>96</v>
      </c>
      <c r="H185" s="4" t="s">
        <v>85</v>
      </c>
      <c r="I185" s="3"/>
      <c r="J185" s="3"/>
      <c r="K185" s="3"/>
      <c r="L185" s="3"/>
      <c r="M185" s="3"/>
      <c r="N185" s="3"/>
      <c r="O185" s="3"/>
      <c r="P185" s="8"/>
      <c r="Q185" s="8"/>
      <c r="R185" s="3"/>
      <c r="S185" s="3"/>
      <c r="T185" s="3"/>
      <c r="U185" s="5" t="str">
        <f t="shared" si="9"/>
        <v/>
      </c>
    </row>
    <row r="186" spans="1:21" ht="28" customHeight="1" x14ac:dyDescent="0.35">
      <c r="A186" s="4">
        <v>16</v>
      </c>
      <c r="B186" s="4" t="s">
        <v>106</v>
      </c>
      <c r="C186" s="4" t="s">
        <v>107</v>
      </c>
      <c r="D186" s="4" t="s">
        <v>108</v>
      </c>
      <c r="E186" s="4" t="s">
        <v>109</v>
      </c>
      <c r="F186" s="4" t="s">
        <v>95</v>
      </c>
      <c r="G186" s="4" t="s">
        <v>96</v>
      </c>
      <c r="H186" s="4" t="s">
        <v>59</v>
      </c>
      <c r="I186" s="3"/>
      <c r="J186" s="3"/>
      <c r="K186" s="3"/>
      <c r="L186" s="3"/>
      <c r="M186" s="3"/>
      <c r="N186" s="3"/>
      <c r="O186" s="3"/>
      <c r="P186" s="8"/>
      <c r="Q186" s="8"/>
      <c r="R186" s="3"/>
      <c r="S186" s="3"/>
      <c r="T186" s="3"/>
      <c r="U186" s="5" t="str">
        <f t="shared" si="9"/>
        <v/>
      </c>
    </row>
    <row r="188" spans="1:21" ht="28" customHeight="1" x14ac:dyDescent="0.35">
      <c r="A188" s="9" t="s">
        <v>110</v>
      </c>
      <c r="B188" s="16"/>
      <c r="C188" s="17"/>
      <c r="D188" s="17"/>
      <c r="E188" s="17"/>
      <c r="F188" s="17"/>
      <c r="G188" s="17"/>
      <c r="H188" s="17"/>
      <c r="I188" s="17"/>
      <c r="J188" s="17"/>
      <c r="K188" s="17"/>
      <c r="L188" s="17"/>
      <c r="M188" s="17"/>
      <c r="N188" s="17"/>
      <c r="O188" s="17"/>
      <c r="P188" s="17"/>
      <c r="Q188" s="17"/>
      <c r="R188" s="17"/>
      <c r="S188" s="17"/>
      <c r="T188" s="17"/>
      <c r="U188" s="18"/>
    </row>
    <row r="189" spans="1:21" ht="28" customHeight="1" x14ac:dyDescent="0.35">
      <c r="A189" s="19" t="s">
        <v>118</v>
      </c>
      <c r="B189" s="20"/>
      <c r="C189" s="20"/>
      <c r="D189" s="20"/>
      <c r="E189" s="20"/>
      <c r="F189" s="20"/>
      <c r="G189" s="20"/>
      <c r="H189" s="20"/>
      <c r="I189" s="20"/>
      <c r="J189" s="20"/>
      <c r="K189" s="20"/>
      <c r="L189" s="20"/>
      <c r="M189" s="20"/>
      <c r="N189" s="20"/>
      <c r="O189" s="20"/>
      <c r="P189" s="20"/>
      <c r="Q189" s="20"/>
      <c r="R189" s="20"/>
      <c r="S189" s="20"/>
      <c r="T189" s="20"/>
      <c r="U189" s="21"/>
    </row>
    <row r="190" spans="1:21" ht="28" customHeight="1" x14ac:dyDescent="0.35">
      <c r="A190" s="4" t="s">
        <v>31</v>
      </c>
      <c r="B190" s="3" t="s">
        <v>26</v>
      </c>
      <c r="C190" s="4" t="s">
        <v>32</v>
      </c>
      <c r="D190" s="3"/>
      <c r="E190" s="4" t="s">
        <v>33</v>
      </c>
      <c r="F190" s="8"/>
    </row>
    <row r="191" spans="1:21" ht="28" customHeight="1" x14ac:dyDescent="0.35">
      <c r="A191" s="1" t="s">
        <v>34</v>
      </c>
      <c r="B191" s="1" t="s">
        <v>35</v>
      </c>
      <c r="C191" s="1" t="s">
        <v>36</v>
      </c>
      <c r="D191" s="1" t="s">
        <v>37</v>
      </c>
      <c r="E191" s="1" t="s">
        <v>38</v>
      </c>
      <c r="F191" s="1" t="s">
        <v>39</v>
      </c>
      <c r="G191" s="1" t="s">
        <v>40</v>
      </c>
      <c r="H191" s="1" t="s">
        <v>41</v>
      </c>
      <c r="I191" s="1" t="s">
        <v>42</v>
      </c>
      <c r="J191" s="1" t="s">
        <v>43</v>
      </c>
      <c r="K191" s="1" t="s">
        <v>44</v>
      </c>
      <c r="L191" s="1" t="s">
        <v>45</v>
      </c>
      <c r="M191" s="1" t="s">
        <v>46</v>
      </c>
      <c r="N191" s="1" t="s">
        <v>47</v>
      </c>
      <c r="O191" s="1" t="s">
        <v>48</v>
      </c>
      <c r="P191" s="1" t="s">
        <v>4</v>
      </c>
      <c r="Q191" s="1" t="s">
        <v>49</v>
      </c>
      <c r="R191" s="1" t="s">
        <v>50</v>
      </c>
      <c r="S191" s="1" t="s">
        <v>51</v>
      </c>
      <c r="T191" s="1" t="s">
        <v>52</v>
      </c>
      <c r="U191" s="1" t="s">
        <v>10</v>
      </c>
    </row>
    <row r="192" spans="1:21" ht="28" customHeight="1" x14ac:dyDescent="0.35">
      <c r="A192" s="4">
        <v>1</v>
      </c>
      <c r="B192" s="4" t="s">
        <v>53</v>
      </c>
      <c r="C192" s="4" t="s">
        <v>54</v>
      </c>
      <c r="D192" s="4" t="s">
        <v>55</v>
      </c>
      <c r="E192" s="4" t="s">
        <v>56</v>
      </c>
      <c r="F192" s="4" t="s">
        <v>57</v>
      </c>
      <c r="G192" s="4" t="s">
        <v>58</v>
      </c>
      <c r="H192" s="4" t="s">
        <v>59</v>
      </c>
      <c r="I192" s="3"/>
      <c r="J192" s="3"/>
      <c r="K192" s="3"/>
      <c r="L192" s="3"/>
      <c r="M192" s="3"/>
      <c r="N192" s="3"/>
      <c r="O192" s="3"/>
      <c r="P192" s="8"/>
      <c r="Q192" s="8"/>
      <c r="R192" s="3"/>
      <c r="S192" s="3"/>
      <c r="T192" s="3"/>
      <c r="U192" s="5" t="str">
        <f t="shared" ref="U192:U207" si="10">IF(I192="","",IF(I192="NA","Grey",IF(I192=2,"Green",IF(I192=1,"Amber","Red"))))</f>
        <v/>
      </c>
    </row>
    <row r="193" spans="1:21" ht="28" customHeight="1" x14ac:dyDescent="0.35">
      <c r="A193" s="4">
        <v>2</v>
      </c>
      <c r="B193" s="4" t="s">
        <v>53</v>
      </c>
      <c r="C193" s="4" t="s">
        <v>60</v>
      </c>
      <c r="D193" s="4" t="s">
        <v>61</v>
      </c>
      <c r="E193" s="4" t="s">
        <v>56</v>
      </c>
      <c r="F193" s="4" t="s">
        <v>57</v>
      </c>
      <c r="G193" s="4" t="s">
        <v>58</v>
      </c>
      <c r="H193" s="4" t="s">
        <v>59</v>
      </c>
      <c r="I193" s="3"/>
      <c r="J193" s="3"/>
      <c r="K193" s="3"/>
      <c r="L193" s="3"/>
      <c r="M193" s="3"/>
      <c r="N193" s="3"/>
      <c r="O193" s="3"/>
      <c r="P193" s="8"/>
      <c r="Q193" s="8"/>
      <c r="R193" s="3"/>
      <c r="S193" s="3"/>
      <c r="T193" s="3"/>
      <c r="U193" s="5" t="str">
        <f t="shared" si="10"/>
        <v/>
      </c>
    </row>
    <row r="194" spans="1:21" ht="28" customHeight="1" x14ac:dyDescent="0.35">
      <c r="A194" s="4">
        <v>3</v>
      </c>
      <c r="B194" s="4" t="s">
        <v>53</v>
      </c>
      <c r="C194" s="4" t="s">
        <v>62</v>
      </c>
      <c r="D194" s="4" t="s">
        <v>63</v>
      </c>
      <c r="E194" s="4" t="s">
        <v>56</v>
      </c>
      <c r="F194" s="4" t="s">
        <v>57</v>
      </c>
      <c r="G194" s="4" t="s">
        <v>58</v>
      </c>
      <c r="H194" s="4" t="s">
        <v>59</v>
      </c>
      <c r="I194" s="3"/>
      <c r="J194" s="3"/>
      <c r="K194" s="3"/>
      <c r="L194" s="3"/>
      <c r="M194" s="3"/>
      <c r="N194" s="3"/>
      <c r="O194" s="3"/>
      <c r="P194" s="8"/>
      <c r="Q194" s="8"/>
      <c r="R194" s="3"/>
      <c r="S194" s="3"/>
      <c r="T194" s="3"/>
      <c r="U194" s="5" t="str">
        <f t="shared" si="10"/>
        <v/>
      </c>
    </row>
    <row r="195" spans="1:21" ht="28" customHeight="1" x14ac:dyDescent="0.35">
      <c r="A195" s="4">
        <v>4</v>
      </c>
      <c r="B195" s="4" t="s">
        <v>53</v>
      </c>
      <c r="C195" s="4" t="s">
        <v>64</v>
      </c>
      <c r="D195" s="4" t="s">
        <v>65</v>
      </c>
      <c r="E195" s="4" t="s">
        <v>56</v>
      </c>
      <c r="F195" s="4" t="s">
        <v>57</v>
      </c>
      <c r="G195" s="4" t="s">
        <v>58</v>
      </c>
      <c r="H195" s="4" t="s">
        <v>59</v>
      </c>
      <c r="I195" s="3"/>
      <c r="J195" s="3"/>
      <c r="K195" s="3"/>
      <c r="L195" s="3"/>
      <c r="M195" s="3"/>
      <c r="N195" s="3"/>
      <c r="O195" s="3"/>
      <c r="P195" s="8"/>
      <c r="Q195" s="8"/>
      <c r="R195" s="3"/>
      <c r="S195" s="3"/>
      <c r="T195" s="3"/>
      <c r="U195" s="5" t="str">
        <f t="shared" si="10"/>
        <v/>
      </c>
    </row>
    <row r="196" spans="1:21" ht="28" customHeight="1" x14ac:dyDescent="0.35">
      <c r="A196" s="4">
        <v>5</v>
      </c>
      <c r="B196" s="4" t="s">
        <v>66</v>
      </c>
      <c r="C196" s="4" t="s">
        <v>67</v>
      </c>
      <c r="D196" s="4" t="s">
        <v>68</v>
      </c>
      <c r="E196" s="4" t="s">
        <v>69</v>
      </c>
      <c r="F196" s="4" t="s">
        <v>57</v>
      </c>
      <c r="G196" s="4" t="s">
        <v>58</v>
      </c>
      <c r="H196" s="4" t="s">
        <v>59</v>
      </c>
      <c r="I196" s="3"/>
      <c r="J196" s="3"/>
      <c r="K196" s="3"/>
      <c r="L196" s="3"/>
      <c r="M196" s="3"/>
      <c r="N196" s="3"/>
      <c r="O196" s="3"/>
      <c r="P196" s="8"/>
      <c r="Q196" s="8"/>
      <c r="R196" s="3"/>
      <c r="S196" s="3"/>
      <c r="T196" s="3"/>
      <c r="U196" s="5" t="str">
        <f t="shared" si="10"/>
        <v/>
      </c>
    </row>
    <row r="197" spans="1:21" ht="28" customHeight="1" x14ac:dyDescent="0.35">
      <c r="A197" s="4">
        <v>6</v>
      </c>
      <c r="B197" s="4" t="s">
        <v>70</v>
      </c>
      <c r="C197" s="4" t="s">
        <v>71</v>
      </c>
      <c r="D197" s="4" t="s">
        <v>72</v>
      </c>
      <c r="E197" s="4" t="s">
        <v>70</v>
      </c>
      <c r="F197" s="4" t="s">
        <v>57</v>
      </c>
      <c r="G197" s="4" t="s">
        <v>58</v>
      </c>
      <c r="H197" s="4" t="s">
        <v>59</v>
      </c>
      <c r="I197" s="3"/>
      <c r="J197" s="3"/>
      <c r="K197" s="3"/>
      <c r="L197" s="3"/>
      <c r="M197" s="3"/>
      <c r="N197" s="3"/>
      <c r="O197" s="3"/>
      <c r="P197" s="8"/>
      <c r="Q197" s="8"/>
      <c r="R197" s="3"/>
      <c r="S197" s="3"/>
      <c r="T197" s="3"/>
      <c r="U197" s="5" t="str">
        <f t="shared" si="10"/>
        <v/>
      </c>
    </row>
    <row r="198" spans="1:21" ht="28" customHeight="1" x14ac:dyDescent="0.35">
      <c r="A198" s="4">
        <v>7</v>
      </c>
      <c r="B198" s="4" t="s">
        <v>73</v>
      </c>
      <c r="C198" s="4" t="s">
        <v>74</v>
      </c>
      <c r="D198" s="4" t="s">
        <v>75</v>
      </c>
      <c r="E198" s="4" t="s">
        <v>69</v>
      </c>
      <c r="F198" s="4" t="s">
        <v>57</v>
      </c>
      <c r="G198" s="4" t="s">
        <v>58</v>
      </c>
      <c r="H198" s="4" t="s">
        <v>76</v>
      </c>
      <c r="I198" s="3"/>
      <c r="J198" s="3"/>
      <c r="K198" s="3"/>
      <c r="L198" s="3"/>
      <c r="M198" s="3"/>
      <c r="N198" s="3"/>
      <c r="O198" s="3"/>
      <c r="P198" s="8"/>
      <c r="Q198" s="8"/>
      <c r="R198" s="3"/>
      <c r="S198" s="3"/>
      <c r="T198" s="3"/>
      <c r="U198" s="5" t="str">
        <f t="shared" si="10"/>
        <v/>
      </c>
    </row>
    <row r="199" spans="1:21" ht="28" customHeight="1" x14ac:dyDescent="0.35">
      <c r="A199" s="4">
        <v>8</v>
      </c>
      <c r="B199" s="4" t="s">
        <v>77</v>
      </c>
      <c r="C199" s="4" t="s">
        <v>78</v>
      </c>
      <c r="D199" s="4" t="s">
        <v>79</v>
      </c>
      <c r="E199" s="4" t="s">
        <v>80</v>
      </c>
      <c r="F199" s="4" t="s">
        <v>57</v>
      </c>
      <c r="G199" s="4" t="s">
        <v>58</v>
      </c>
      <c r="H199" s="4" t="s">
        <v>59</v>
      </c>
      <c r="I199" s="3"/>
      <c r="J199" s="3"/>
      <c r="K199" s="3"/>
      <c r="L199" s="3"/>
      <c r="M199" s="3"/>
      <c r="N199" s="3"/>
      <c r="O199" s="3"/>
      <c r="P199" s="8"/>
      <c r="Q199" s="8"/>
      <c r="R199" s="3"/>
      <c r="S199" s="3"/>
      <c r="T199" s="3"/>
      <c r="U199" s="5" t="str">
        <f t="shared" si="10"/>
        <v/>
      </c>
    </row>
    <row r="200" spans="1:21" ht="28" customHeight="1" x14ac:dyDescent="0.35">
      <c r="A200" s="4">
        <v>9</v>
      </c>
      <c r="B200" s="4" t="s">
        <v>81</v>
      </c>
      <c r="C200" s="4" t="s">
        <v>82</v>
      </c>
      <c r="D200" s="4" t="s">
        <v>83</v>
      </c>
      <c r="E200" s="4" t="s">
        <v>84</v>
      </c>
      <c r="F200" s="4" t="s">
        <v>57</v>
      </c>
      <c r="G200" s="4" t="s">
        <v>58</v>
      </c>
      <c r="H200" s="4" t="s">
        <v>85</v>
      </c>
      <c r="I200" s="3"/>
      <c r="J200" s="3"/>
      <c r="K200" s="3"/>
      <c r="L200" s="3"/>
      <c r="M200" s="3"/>
      <c r="N200" s="3"/>
      <c r="O200" s="3"/>
      <c r="P200" s="8"/>
      <c r="Q200" s="8"/>
      <c r="R200" s="3"/>
      <c r="S200" s="3"/>
      <c r="T200" s="3"/>
      <c r="U200" s="5" t="str">
        <f t="shared" si="10"/>
        <v/>
      </c>
    </row>
    <row r="201" spans="1:21" ht="28" customHeight="1" x14ac:dyDescent="0.35">
      <c r="A201" s="4">
        <v>10</v>
      </c>
      <c r="B201" s="4" t="s">
        <v>86</v>
      </c>
      <c r="C201" s="4" t="s">
        <v>87</v>
      </c>
      <c r="D201" s="4" t="s">
        <v>88</v>
      </c>
      <c r="E201" s="4" t="s">
        <v>69</v>
      </c>
      <c r="F201" s="4" t="s">
        <v>57</v>
      </c>
      <c r="G201" s="4" t="s">
        <v>58</v>
      </c>
      <c r="H201" s="4" t="s">
        <v>59</v>
      </c>
      <c r="I201" s="3"/>
      <c r="J201" s="3"/>
      <c r="K201" s="3"/>
      <c r="L201" s="3"/>
      <c r="M201" s="3"/>
      <c r="N201" s="3"/>
      <c r="O201" s="3"/>
      <c r="P201" s="8"/>
      <c r="Q201" s="8"/>
      <c r="R201" s="3"/>
      <c r="S201" s="3"/>
      <c r="T201" s="3"/>
      <c r="U201" s="5" t="str">
        <f t="shared" si="10"/>
        <v/>
      </c>
    </row>
    <row r="202" spans="1:21" ht="28" customHeight="1" x14ac:dyDescent="0.35">
      <c r="A202" s="4">
        <v>11</v>
      </c>
      <c r="B202" s="4" t="s">
        <v>89</v>
      </c>
      <c r="C202" s="4" t="s">
        <v>90</v>
      </c>
      <c r="D202" s="4" t="s">
        <v>91</v>
      </c>
      <c r="E202" s="4" t="s">
        <v>84</v>
      </c>
      <c r="F202" s="4" t="s">
        <v>57</v>
      </c>
      <c r="G202" s="4" t="s">
        <v>58</v>
      </c>
      <c r="H202" s="4" t="s">
        <v>59</v>
      </c>
      <c r="I202" s="3"/>
      <c r="J202" s="3"/>
      <c r="K202" s="3"/>
      <c r="L202" s="3"/>
      <c r="M202" s="3"/>
      <c r="N202" s="3"/>
      <c r="O202" s="3"/>
      <c r="P202" s="8"/>
      <c r="Q202" s="8"/>
      <c r="R202" s="3"/>
      <c r="S202" s="3"/>
      <c r="T202" s="3"/>
      <c r="U202" s="5" t="str">
        <f t="shared" si="10"/>
        <v/>
      </c>
    </row>
    <row r="203" spans="1:21" ht="28" customHeight="1" x14ac:dyDescent="0.35">
      <c r="A203" s="4">
        <v>12</v>
      </c>
      <c r="B203" s="4" t="s">
        <v>92</v>
      </c>
      <c r="C203" s="4" t="s">
        <v>93</v>
      </c>
      <c r="D203" s="4" t="s">
        <v>94</v>
      </c>
      <c r="E203" s="4" t="s">
        <v>69</v>
      </c>
      <c r="F203" s="4" t="s">
        <v>95</v>
      </c>
      <c r="G203" s="4" t="s">
        <v>96</v>
      </c>
      <c r="H203" s="4" t="s">
        <v>59</v>
      </c>
      <c r="I203" s="3"/>
      <c r="J203" s="3"/>
      <c r="K203" s="3"/>
      <c r="L203" s="3"/>
      <c r="M203" s="3"/>
      <c r="N203" s="3"/>
      <c r="O203" s="3"/>
      <c r="P203" s="8"/>
      <c r="Q203" s="8"/>
      <c r="R203" s="3"/>
      <c r="S203" s="3"/>
      <c r="T203" s="3"/>
      <c r="U203" s="5" t="str">
        <f t="shared" si="10"/>
        <v/>
      </c>
    </row>
    <row r="204" spans="1:21" ht="28" customHeight="1" x14ac:dyDescent="0.35">
      <c r="A204" s="4">
        <v>13</v>
      </c>
      <c r="B204" s="4" t="s">
        <v>97</v>
      </c>
      <c r="C204" s="4" t="s">
        <v>98</v>
      </c>
      <c r="D204" s="4" t="s">
        <v>99</v>
      </c>
      <c r="E204" s="4" t="s">
        <v>69</v>
      </c>
      <c r="F204" s="4" t="s">
        <v>95</v>
      </c>
      <c r="G204" s="4" t="s">
        <v>96</v>
      </c>
      <c r="H204" s="4" t="s">
        <v>59</v>
      </c>
      <c r="I204" s="3"/>
      <c r="J204" s="3"/>
      <c r="K204" s="3"/>
      <c r="L204" s="3"/>
      <c r="M204" s="3"/>
      <c r="N204" s="3"/>
      <c r="O204" s="3"/>
      <c r="P204" s="8"/>
      <c r="Q204" s="8"/>
      <c r="R204" s="3"/>
      <c r="S204" s="3"/>
      <c r="T204" s="3"/>
      <c r="U204" s="5" t="str">
        <f t="shared" si="10"/>
        <v/>
      </c>
    </row>
    <row r="205" spans="1:21" ht="28" customHeight="1" x14ac:dyDescent="0.35">
      <c r="A205" s="4">
        <v>14</v>
      </c>
      <c r="B205" s="4" t="s">
        <v>97</v>
      </c>
      <c r="C205" s="4" t="s">
        <v>100</v>
      </c>
      <c r="D205" s="4" t="s">
        <v>101</v>
      </c>
      <c r="E205" s="4" t="s">
        <v>69</v>
      </c>
      <c r="F205" s="4" t="s">
        <v>95</v>
      </c>
      <c r="G205" s="4" t="s">
        <v>102</v>
      </c>
      <c r="H205" s="4" t="s">
        <v>59</v>
      </c>
      <c r="I205" s="3"/>
      <c r="J205" s="3"/>
      <c r="K205" s="3"/>
      <c r="L205" s="3"/>
      <c r="M205" s="3"/>
      <c r="N205" s="3"/>
      <c r="O205" s="3"/>
      <c r="P205" s="8"/>
      <c r="Q205" s="8"/>
      <c r="R205" s="3"/>
      <c r="S205" s="3"/>
      <c r="T205" s="3"/>
      <c r="U205" s="5" t="str">
        <f t="shared" si="10"/>
        <v/>
      </c>
    </row>
    <row r="206" spans="1:21" ht="28" customHeight="1" x14ac:dyDescent="0.35">
      <c r="A206" s="4">
        <v>15</v>
      </c>
      <c r="B206" s="4" t="s">
        <v>103</v>
      </c>
      <c r="C206" s="4" t="s">
        <v>104</v>
      </c>
      <c r="D206" s="4" t="s">
        <v>105</v>
      </c>
      <c r="E206" s="4" t="s">
        <v>69</v>
      </c>
      <c r="F206" s="4" t="s">
        <v>95</v>
      </c>
      <c r="G206" s="4" t="s">
        <v>96</v>
      </c>
      <c r="H206" s="4" t="s">
        <v>85</v>
      </c>
      <c r="I206" s="3"/>
      <c r="J206" s="3"/>
      <c r="K206" s="3"/>
      <c r="L206" s="3"/>
      <c r="M206" s="3"/>
      <c r="N206" s="3"/>
      <c r="O206" s="3"/>
      <c r="P206" s="8"/>
      <c r="Q206" s="8"/>
      <c r="R206" s="3"/>
      <c r="S206" s="3"/>
      <c r="T206" s="3"/>
      <c r="U206" s="5" t="str">
        <f t="shared" si="10"/>
        <v/>
      </c>
    </row>
    <row r="207" spans="1:21" ht="28" customHeight="1" x14ac:dyDescent="0.35">
      <c r="A207" s="4">
        <v>16</v>
      </c>
      <c r="B207" s="4" t="s">
        <v>106</v>
      </c>
      <c r="C207" s="4" t="s">
        <v>107</v>
      </c>
      <c r="D207" s="4" t="s">
        <v>108</v>
      </c>
      <c r="E207" s="4" t="s">
        <v>109</v>
      </c>
      <c r="F207" s="4" t="s">
        <v>95</v>
      </c>
      <c r="G207" s="4" t="s">
        <v>96</v>
      </c>
      <c r="H207" s="4" t="s">
        <v>59</v>
      </c>
      <c r="I207" s="3"/>
      <c r="J207" s="3"/>
      <c r="K207" s="3"/>
      <c r="L207" s="3"/>
      <c r="M207" s="3"/>
      <c r="N207" s="3"/>
      <c r="O207" s="3"/>
      <c r="P207" s="8"/>
      <c r="Q207" s="8"/>
      <c r="R207" s="3"/>
      <c r="S207" s="3"/>
      <c r="T207" s="3"/>
      <c r="U207" s="5" t="str">
        <f t="shared" si="10"/>
        <v/>
      </c>
    </row>
    <row r="209" spans="1:21" ht="28" customHeight="1" x14ac:dyDescent="0.35">
      <c r="A209" s="9" t="s">
        <v>110</v>
      </c>
      <c r="B209" s="16"/>
      <c r="C209" s="17"/>
      <c r="D209" s="17"/>
      <c r="E209" s="17"/>
      <c r="F209" s="17"/>
      <c r="G209" s="17"/>
      <c r="H209" s="17"/>
      <c r="I209" s="17"/>
      <c r="J209" s="17"/>
      <c r="K209" s="17"/>
      <c r="L209" s="17"/>
      <c r="M209" s="17"/>
      <c r="N209" s="17"/>
      <c r="O209" s="17"/>
      <c r="P209" s="17"/>
      <c r="Q209" s="17"/>
      <c r="R209" s="17"/>
      <c r="S209" s="17"/>
      <c r="T209" s="17"/>
      <c r="U209" s="18"/>
    </row>
    <row r="210" spans="1:21" ht="28" customHeight="1" x14ac:dyDescent="0.35">
      <c r="A210" s="19" t="s">
        <v>119</v>
      </c>
      <c r="B210" s="20"/>
      <c r="C210" s="20"/>
      <c r="D210" s="20"/>
      <c r="E210" s="20"/>
      <c r="F210" s="20"/>
      <c r="G210" s="20"/>
      <c r="H210" s="20"/>
      <c r="I210" s="20"/>
      <c r="J210" s="20"/>
      <c r="K210" s="20"/>
      <c r="L210" s="20"/>
      <c r="M210" s="20"/>
      <c r="N210" s="20"/>
      <c r="O210" s="20"/>
      <c r="P210" s="20"/>
      <c r="Q210" s="20"/>
      <c r="R210" s="20"/>
      <c r="S210" s="20"/>
      <c r="T210" s="20"/>
      <c r="U210" s="21"/>
    </row>
    <row r="211" spans="1:21" ht="28" customHeight="1" x14ac:dyDescent="0.35">
      <c r="A211" s="4" t="s">
        <v>31</v>
      </c>
      <c r="B211" s="3" t="s">
        <v>27</v>
      </c>
      <c r="C211" s="4" t="s">
        <v>32</v>
      </c>
      <c r="D211" s="3"/>
      <c r="E211" s="4" t="s">
        <v>33</v>
      </c>
      <c r="F211" s="8"/>
    </row>
    <row r="212" spans="1:21" ht="28" customHeight="1" x14ac:dyDescent="0.35">
      <c r="A212" s="1" t="s">
        <v>34</v>
      </c>
      <c r="B212" s="1" t="s">
        <v>35</v>
      </c>
      <c r="C212" s="1" t="s">
        <v>36</v>
      </c>
      <c r="D212" s="1" t="s">
        <v>37</v>
      </c>
      <c r="E212" s="1" t="s">
        <v>38</v>
      </c>
      <c r="F212" s="1" t="s">
        <v>39</v>
      </c>
      <c r="G212" s="1" t="s">
        <v>40</v>
      </c>
      <c r="H212" s="1" t="s">
        <v>41</v>
      </c>
      <c r="I212" s="1" t="s">
        <v>42</v>
      </c>
      <c r="J212" s="1" t="s">
        <v>43</v>
      </c>
      <c r="K212" s="1" t="s">
        <v>44</v>
      </c>
      <c r="L212" s="1" t="s">
        <v>45</v>
      </c>
      <c r="M212" s="1" t="s">
        <v>46</v>
      </c>
      <c r="N212" s="1" t="s">
        <v>47</v>
      </c>
      <c r="O212" s="1" t="s">
        <v>48</v>
      </c>
      <c r="P212" s="1" t="s">
        <v>4</v>
      </c>
      <c r="Q212" s="1" t="s">
        <v>49</v>
      </c>
      <c r="R212" s="1" t="s">
        <v>50</v>
      </c>
      <c r="S212" s="1" t="s">
        <v>51</v>
      </c>
      <c r="T212" s="1" t="s">
        <v>52</v>
      </c>
      <c r="U212" s="1" t="s">
        <v>10</v>
      </c>
    </row>
    <row r="213" spans="1:21" ht="28" customHeight="1" x14ac:dyDescent="0.35">
      <c r="A213" s="4">
        <v>1</v>
      </c>
      <c r="B213" s="4" t="s">
        <v>53</v>
      </c>
      <c r="C213" s="4" t="s">
        <v>54</v>
      </c>
      <c r="D213" s="4" t="s">
        <v>55</v>
      </c>
      <c r="E213" s="4" t="s">
        <v>56</v>
      </c>
      <c r="F213" s="4" t="s">
        <v>57</v>
      </c>
      <c r="G213" s="4" t="s">
        <v>58</v>
      </c>
      <c r="H213" s="4" t="s">
        <v>59</v>
      </c>
      <c r="I213" s="3"/>
      <c r="J213" s="3"/>
      <c r="K213" s="3"/>
      <c r="L213" s="3"/>
      <c r="M213" s="3"/>
      <c r="N213" s="3"/>
      <c r="O213" s="3"/>
      <c r="P213" s="8"/>
      <c r="Q213" s="8"/>
      <c r="R213" s="3"/>
      <c r="S213" s="3"/>
      <c r="T213" s="3"/>
      <c r="U213" s="5" t="str">
        <f t="shared" ref="U213:U228" si="11">IF(I213="","",IF(I213="NA","Grey",IF(I213=2,"Green",IF(I213=1,"Amber","Red"))))</f>
        <v/>
      </c>
    </row>
    <row r="214" spans="1:21" ht="28" customHeight="1" x14ac:dyDescent="0.35">
      <c r="A214" s="4">
        <v>2</v>
      </c>
      <c r="B214" s="4" t="s">
        <v>53</v>
      </c>
      <c r="C214" s="4" t="s">
        <v>60</v>
      </c>
      <c r="D214" s="4" t="s">
        <v>61</v>
      </c>
      <c r="E214" s="4" t="s">
        <v>56</v>
      </c>
      <c r="F214" s="4" t="s">
        <v>57</v>
      </c>
      <c r="G214" s="4" t="s">
        <v>58</v>
      </c>
      <c r="H214" s="4" t="s">
        <v>59</v>
      </c>
      <c r="I214" s="3"/>
      <c r="J214" s="3"/>
      <c r="K214" s="3"/>
      <c r="L214" s="3"/>
      <c r="M214" s="3"/>
      <c r="N214" s="3"/>
      <c r="O214" s="3"/>
      <c r="P214" s="8"/>
      <c r="Q214" s="8"/>
      <c r="R214" s="3"/>
      <c r="S214" s="3"/>
      <c r="T214" s="3"/>
      <c r="U214" s="5" t="str">
        <f t="shared" si="11"/>
        <v/>
      </c>
    </row>
    <row r="215" spans="1:21" ht="28" customHeight="1" x14ac:dyDescent="0.35">
      <c r="A215" s="4">
        <v>3</v>
      </c>
      <c r="B215" s="4" t="s">
        <v>53</v>
      </c>
      <c r="C215" s="4" t="s">
        <v>62</v>
      </c>
      <c r="D215" s="4" t="s">
        <v>63</v>
      </c>
      <c r="E215" s="4" t="s">
        <v>56</v>
      </c>
      <c r="F215" s="4" t="s">
        <v>57</v>
      </c>
      <c r="G215" s="4" t="s">
        <v>58</v>
      </c>
      <c r="H215" s="4" t="s">
        <v>59</v>
      </c>
      <c r="I215" s="3"/>
      <c r="J215" s="3"/>
      <c r="K215" s="3"/>
      <c r="L215" s="3"/>
      <c r="M215" s="3"/>
      <c r="N215" s="3"/>
      <c r="O215" s="3"/>
      <c r="P215" s="8"/>
      <c r="Q215" s="8"/>
      <c r="R215" s="3"/>
      <c r="S215" s="3"/>
      <c r="T215" s="3"/>
      <c r="U215" s="5" t="str">
        <f t="shared" si="11"/>
        <v/>
      </c>
    </row>
    <row r="216" spans="1:21" ht="28" customHeight="1" x14ac:dyDescent="0.35">
      <c r="A216" s="4">
        <v>4</v>
      </c>
      <c r="B216" s="4" t="s">
        <v>53</v>
      </c>
      <c r="C216" s="4" t="s">
        <v>64</v>
      </c>
      <c r="D216" s="4" t="s">
        <v>65</v>
      </c>
      <c r="E216" s="4" t="s">
        <v>56</v>
      </c>
      <c r="F216" s="4" t="s">
        <v>57</v>
      </c>
      <c r="G216" s="4" t="s">
        <v>58</v>
      </c>
      <c r="H216" s="4" t="s">
        <v>59</v>
      </c>
      <c r="I216" s="3"/>
      <c r="J216" s="3"/>
      <c r="K216" s="3"/>
      <c r="L216" s="3"/>
      <c r="M216" s="3"/>
      <c r="N216" s="3"/>
      <c r="O216" s="3"/>
      <c r="P216" s="8"/>
      <c r="Q216" s="8"/>
      <c r="R216" s="3"/>
      <c r="S216" s="3"/>
      <c r="T216" s="3"/>
      <c r="U216" s="5" t="str">
        <f t="shared" si="11"/>
        <v/>
      </c>
    </row>
    <row r="217" spans="1:21" ht="28" customHeight="1" x14ac:dyDescent="0.35">
      <c r="A217" s="4">
        <v>5</v>
      </c>
      <c r="B217" s="4" t="s">
        <v>66</v>
      </c>
      <c r="C217" s="4" t="s">
        <v>67</v>
      </c>
      <c r="D217" s="4" t="s">
        <v>68</v>
      </c>
      <c r="E217" s="4" t="s">
        <v>69</v>
      </c>
      <c r="F217" s="4" t="s">
        <v>57</v>
      </c>
      <c r="G217" s="4" t="s">
        <v>58</v>
      </c>
      <c r="H217" s="4" t="s">
        <v>59</v>
      </c>
      <c r="I217" s="3"/>
      <c r="J217" s="3"/>
      <c r="K217" s="3"/>
      <c r="L217" s="3"/>
      <c r="M217" s="3"/>
      <c r="N217" s="3"/>
      <c r="O217" s="3"/>
      <c r="P217" s="8"/>
      <c r="Q217" s="8"/>
      <c r="R217" s="3"/>
      <c r="S217" s="3"/>
      <c r="T217" s="3"/>
      <c r="U217" s="5" t="str">
        <f t="shared" si="11"/>
        <v/>
      </c>
    </row>
    <row r="218" spans="1:21" ht="28" customHeight="1" x14ac:dyDescent="0.35">
      <c r="A218" s="4">
        <v>6</v>
      </c>
      <c r="B218" s="4" t="s">
        <v>70</v>
      </c>
      <c r="C218" s="4" t="s">
        <v>71</v>
      </c>
      <c r="D218" s="4" t="s">
        <v>72</v>
      </c>
      <c r="E218" s="4" t="s">
        <v>70</v>
      </c>
      <c r="F218" s="4" t="s">
        <v>57</v>
      </c>
      <c r="G218" s="4" t="s">
        <v>58</v>
      </c>
      <c r="H218" s="4" t="s">
        <v>59</v>
      </c>
      <c r="I218" s="3"/>
      <c r="J218" s="3"/>
      <c r="K218" s="3"/>
      <c r="L218" s="3"/>
      <c r="M218" s="3"/>
      <c r="N218" s="3"/>
      <c r="O218" s="3"/>
      <c r="P218" s="8"/>
      <c r="Q218" s="8"/>
      <c r="R218" s="3"/>
      <c r="S218" s="3"/>
      <c r="T218" s="3"/>
      <c r="U218" s="5" t="str">
        <f t="shared" si="11"/>
        <v/>
      </c>
    </row>
    <row r="219" spans="1:21" ht="28" customHeight="1" x14ac:dyDescent="0.35">
      <c r="A219" s="4">
        <v>7</v>
      </c>
      <c r="B219" s="4" t="s">
        <v>73</v>
      </c>
      <c r="C219" s="4" t="s">
        <v>74</v>
      </c>
      <c r="D219" s="4" t="s">
        <v>75</v>
      </c>
      <c r="E219" s="4" t="s">
        <v>69</v>
      </c>
      <c r="F219" s="4" t="s">
        <v>57</v>
      </c>
      <c r="G219" s="4" t="s">
        <v>58</v>
      </c>
      <c r="H219" s="4" t="s">
        <v>76</v>
      </c>
      <c r="I219" s="3"/>
      <c r="J219" s="3"/>
      <c r="K219" s="3"/>
      <c r="L219" s="3"/>
      <c r="M219" s="3"/>
      <c r="N219" s="3"/>
      <c r="O219" s="3"/>
      <c r="P219" s="8"/>
      <c r="Q219" s="8"/>
      <c r="R219" s="3"/>
      <c r="S219" s="3"/>
      <c r="T219" s="3"/>
      <c r="U219" s="5" t="str">
        <f t="shared" si="11"/>
        <v/>
      </c>
    </row>
    <row r="220" spans="1:21" ht="28" customHeight="1" x14ac:dyDescent="0.35">
      <c r="A220" s="4">
        <v>8</v>
      </c>
      <c r="B220" s="4" t="s">
        <v>77</v>
      </c>
      <c r="C220" s="4" t="s">
        <v>78</v>
      </c>
      <c r="D220" s="4" t="s">
        <v>79</v>
      </c>
      <c r="E220" s="4" t="s">
        <v>80</v>
      </c>
      <c r="F220" s="4" t="s">
        <v>57</v>
      </c>
      <c r="G220" s="4" t="s">
        <v>58</v>
      </c>
      <c r="H220" s="4" t="s">
        <v>59</v>
      </c>
      <c r="I220" s="3"/>
      <c r="J220" s="3"/>
      <c r="K220" s="3"/>
      <c r="L220" s="3"/>
      <c r="M220" s="3"/>
      <c r="N220" s="3"/>
      <c r="O220" s="3"/>
      <c r="P220" s="8"/>
      <c r="Q220" s="8"/>
      <c r="R220" s="3"/>
      <c r="S220" s="3"/>
      <c r="T220" s="3"/>
      <c r="U220" s="5" t="str">
        <f t="shared" si="11"/>
        <v/>
      </c>
    </row>
    <row r="221" spans="1:21" ht="28" customHeight="1" x14ac:dyDescent="0.35">
      <c r="A221" s="4">
        <v>9</v>
      </c>
      <c r="B221" s="4" t="s">
        <v>81</v>
      </c>
      <c r="C221" s="4" t="s">
        <v>82</v>
      </c>
      <c r="D221" s="4" t="s">
        <v>83</v>
      </c>
      <c r="E221" s="4" t="s">
        <v>84</v>
      </c>
      <c r="F221" s="4" t="s">
        <v>57</v>
      </c>
      <c r="G221" s="4" t="s">
        <v>58</v>
      </c>
      <c r="H221" s="4" t="s">
        <v>85</v>
      </c>
      <c r="I221" s="3"/>
      <c r="J221" s="3"/>
      <c r="K221" s="3"/>
      <c r="L221" s="3"/>
      <c r="M221" s="3"/>
      <c r="N221" s="3"/>
      <c r="O221" s="3"/>
      <c r="P221" s="8"/>
      <c r="Q221" s="8"/>
      <c r="R221" s="3"/>
      <c r="S221" s="3"/>
      <c r="T221" s="3"/>
      <c r="U221" s="5" t="str">
        <f t="shared" si="11"/>
        <v/>
      </c>
    </row>
    <row r="222" spans="1:21" ht="28" customHeight="1" x14ac:dyDescent="0.35">
      <c r="A222" s="4">
        <v>10</v>
      </c>
      <c r="B222" s="4" t="s">
        <v>86</v>
      </c>
      <c r="C222" s="4" t="s">
        <v>87</v>
      </c>
      <c r="D222" s="4" t="s">
        <v>88</v>
      </c>
      <c r="E222" s="4" t="s">
        <v>69</v>
      </c>
      <c r="F222" s="4" t="s">
        <v>57</v>
      </c>
      <c r="G222" s="4" t="s">
        <v>58</v>
      </c>
      <c r="H222" s="4" t="s">
        <v>59</v>
      </c>
      <c r="I222" s="3"/>
      <c r="J222" s="3"/>
      <c r="K222" s="3"/>
      <c r="L222" s="3"/>
      <c r="M222" s="3"/>
      <c r="N222" s="3"/>
      <c r="O222" s="3"/>
      <c r="P222" s="8"/>
      <c r="Q222" s="8"/>
      <c r="R222" s="3"/>
      <c r="S222" s="3"/>
      <c r="T222" s="3"/>
      <c r="U222" s="5" t="str">
        <f t="shared" si="11"/>
        <v/>
      </c>
    </row>
    <row r="223" spans="1:21" ht="28" customHeight="1" x14ac:dyDescent="0.35">
      <c r="A223" s="4">
        <v>11</v>
      </c>
      <c r="B223" s="4" t="s">
        <v>89</v>
      </c>
      <c r="C223" s="4" t="s">
        <v>90</v>
      </c>
      <c r="D223" s="4" t="s">
        <v>91</v>
      </c>
      <c r="E223" s="4" t="s">
        <v>84</v>
      </c>
      <c r="F223" s="4" t="s">
        <v>57</v>
      </c>
      <c r="G223" s="4" t="s">
        <v>58</v>
      </c>
      <c r="H223" s="4" t="s">
        <v>59</v>
      </c>
      <c r="I223" s="3"/>
      <c r="J223" s="3"/>
      <c r="K223" s="3"/>
      <c r="L223" s="3"/>
      <c r="M223" s="3"/>
      <c r="N223" s="3"/>
      <c r="O223" s="3"/>
      <c r="P223" s="8"/>
      <c r="Q223" s="8"/>
      <c r="R223" s="3"/>
      <c r="S223" s="3"/>
      <c r="T223" s="3"/>
      <c r="U223" s="5" t="str">
        <f t="shared" si="11"/>
        <v/>
      </c>
    </row>
    <row r="224" spans="1:21" ht="28" customHeight="1" x14ac:dyDescent="0.35">
      <c r="A224" s="4">
        <v>12</v>
      </c>
      <c r="B224" s="4" t="s">
        <v>92</v>
      </c>
      <c r="C224" s="4" t="s">
        <v>93</v>
      </c>
      <c r="D224" s="4" t="s">
        <v>94</v>
      </c>
      <c r="E224" s="4" t="s">
        <v>69</v>
      </c>
      <c r="F224" s="4" t="s">
        <v>95</v>
      </c>
      <c r="G224" s="4" t="s">
        <v>96</v>
      </c>
      <c r="H224" s="4" t="s">
        <v>59</v>
      </c>
      <c r="I224" s="3"/>
      <c r="J224" s="3"/>
      <c r="K224" s="3"/>
      <c r="L224" s="3"/>
      <c r="M224" s="3"/>
      <c r="N224" s="3"/>
      <c r="O224" s="3"/>
      <c r="P224" s="8"/>
      <c r="Q224" s="8"/>
      <c r="R224" s="3"/>
      <c r="S224" s="3"/>
      <c r="T224" s="3"/>
      <c r="U224" s="5" t="str">
        <f t="shared" si="11"/>
        <v/>
      </c>
    </row>
    <row r="225" spans="1:21" ht="28" customHeight="1" x14ac:dyDescent="0.35">
      <c r="A225" s="4">
        <v>13</v>
      </c>
      <c r="B225" s="4" t="s">
        <v>97</v>
      </c>
      <c r="C225" s="4" t="s">
        <v>98</v>
      </c>
      <c r="D225" s="4" t="s">
        <v>99</v>
      </c>
      <c r="E225" s="4" t="s">
        <v>69</v>
      </c>
      <c r="F225" s="4" t="s">
        <v>95</v>
      </c>
      <c r="G225" s="4" t="s">
        <v>96</v>
      </c>
      <c r="H225" s="4" t="s">
        <v>59</v>
      </c>
      <c r="I225" s="3"/>
      <c r="J225" s="3"/>
      <c r="K225" s="3"/>
      <c r="L225" s="3"/>
      <c r="M225" s="3"/>
      <c r="N225" s="3"/>
      <c r="O225" s="3"/>
      <c r="P225" s="8"/>
      <c r="Q225" s="8"/>
      <c r="R225" s="3"/>
      <c r="S225" s="3"/>
      <c r="T225" s="3"/>
      <c r="U225" s="5" t="str">
        <f t="shared" si="11"/>
        <v/>
      </c>
    </row>
    <row r="226" spans="1:21" ht="28" customHeight="1" x14ac:dyDescent="0.35">
      <c r="A226" s="4">
        <v>14</v>
      </c>
      <c r="B226" s="4" t="s">
        <v>97</v>
      </c>
      <c r="C226" s="4" t="s">
        <v>100</v>
      </c>
      <c r="D226" s="4" t="s">
        <v>101</v>
      </c>
      <c r="E226" s="4" t="s">
        <v>69</v>
      </c>
      <c r="F226" s="4" t="s">
        <v>95</v>
      </c>
      <c r="G226" s="4" t="s">
        <v>102</v>
      </c>
      <c r="H226" s="4" t="s">
        <v>59</v>
      </c>
      <c r="I226" s="3"/>
      <c r="J226" s="3"/>
      <c r="K226" s="3"/>
      <c r="L226" s="3"/>
      <c r="M226" s="3"/>
      <c r="N226" s="3"/>
      <c r="O226" s="3"/>
      <c r="P226" s="8"/>
      <c r="Q226" s="8"/>
      <c r="R226" s="3"/>
      <c r="S226" s="3"/>
      <c r="T226" s="3"/>
      <c r="U226" s="5" t="str">
        <f t="shared" si="11"/>
        <v/>
      </c>
    </row>
    <row r="227" spans="1:21" ht="28" customHeight="1" x14ac:dyDescent="0.35">
      <c r="A227" s="4">
        <v>15</v>
      </c>
      <c r="B227" s="4" t="s">
        <v>103</v>
      </c>
      <c r="C227" s="4" t="s">
        <v>104</v>
      </c>
      <c r="D227" s="4" t="s">
        <v>105</v>
      </c>
      <c r="E227" s="4" t="s">
        <v>69</v>
      </c>
      <c r="F227" s="4" t="s">
        <v>95</v>
      </c>
      <c r="G227" s="4" t="s">
        <v>96</v>
      </c>
      <c r="H227" s="4" t="s">
        <v>85</v>
      </c>
      <c r="I227" s="3"/>
      <c r="J227" s="3"/>
      <c r="K227" s="3"/>
      <c r="L227" s="3"/>
      <c r="M227" s="3"/>
      <c r="N227" s="3"/>
      <c r="O227" s="3"/>
      <c r="P227" s="8"/>
      <c r="Q227" s="8"/>
      <c r="R227" s="3"/>
      <c r="S227" s="3"/>
      <c r="T227" s="3"/>
      <c r="U227" s="5" t="str">
        <f t="shared" si="11"/>
        <v/>
      </c>
    </row>
    <row r="228" spans="1:21" ht="28" customHeight="1" x14ac:dyDescent="0.35">
      <c r="A228" s="4">
        <v>16</v>
      </c>
      <c r="B228" s="4" t="s">
        <v>106</v>
      </c>
      <c r="C228" s="4" t="s">
        <v>107</v>
      </c>
      <c r="D228" s="4" t="s">
        <v>108</v>
      </c>
      <c r="E228" s="4" t="s">
        <v>109</v>
      </c>
      <c r="F228" s="4" t="s">
        <v>95</v>
      </c>
      <c r="G228" s="4" t="s">
        <v>96</v>
      </c>
      <c r="H228" s="4" t="s">
        <v>59</v>
      </c>
      <c r="I228" s="3"/>
      <c r="J228" s="3"/>
      <c r="K228" s="3"/>
      <c r="L228" s="3"/>
      <c r="M228" s="3"/>
      <c r="N228" s="3"/>
      <c r="O228" s="3"/>
      <c r="P228" s="8"/>
      <c r="Q228" s="8"/>
      <c r="R228" s="3"/>
      <c r="S228" s="3"/>
      <c r="T228" s="3"/>
      <c r="U228" s="5" t="str">
        <f t="shared" si="11"/>
        <v/>
      </c>
    </row>
    <row r="230" spans="1:21" ht="28" customHeight="1" x14ac:dyDescent="0.35">
      <c r="A230" s="9" t="s">
        <v>110</v>
      </c>
      <c r="B230" s="16"/>
      <c r="C230" s="17"/>
      <c r="D230" s="17"/>
      <c r="E230" s="17"/>
      <c r="F230" s="17"/>
      <c r="G230" s="17"/>
      <c r="H230" s="17"/>
      <c r="I230" s="17"/>
      <c r="J230" s="17"/>
      <c r="K230" s="17"/>
      <c r="L230" s="17"/>
      <c r="M230" s="17"/>
      <c r="N230" s="17"/>
      <c r="O230" s="17"/>
      <c r="P230" s="17"/>
      <c r="Q230" s="17"/>
      <c r="R230" s="17"/>
      <c r="S230" s="17"/>
      <c r="T230" s="17"/>
      <c r="U230" s="18"/>
    </row>
    <row r="231" spans="1:21" ht="28" customHeight="1" x14ac:dyDescent="0.35">
      <c r="A231" s="19" t="s">
        <v>120</v>
      </c>
      <c r="B231" s="20"/>
      <c r="C231" s="20"/>
      <c r="D231" s="20"/>
      <c r="E231" s="20"/>
      <c r="F231" s="20"/>
      <c r="G231" s="20"/>
      <c r="H231" s="20"/>
      <c r="I231" s="20"/>
      <c r="J231" s="20"/>
      <c r="K231" s="20"/>
      <c r="L231" s="20"/>
      <c r="M231" s="20"/>
      <c r="N231" s="20"/>
      <c r="O231" s="20"/>
      <c r="P231" s="20"/>
      <c r="Q231" s="20"/>
      <c r="R231" s="20"/>
      <c r="S231" s="20"/>
      <c r="T231" s="20"/>
      <c r="U231" s="21"/>
    </row>
    <row r="232" spans="1:21" ht="28" customHeight="1" x14ac:dyDescent="0.35">
      <c r="A232" s="4" t="s">
        <v>31</v>
      </c>
      <c r="B232" s="3" t="s">
        <v>28</v>
      </c>
      <c r="C232" s="4" t="s">
        <v>32</v>
      </c>
      <c r="D232" s="3"/>
      <c r="E232" s="4" t="s">
        <v>33</v>
      </c>
      <c r="F232" s="8"/>
    </row>
    <row r="233" spans="1:21" ht="28" customHeight="1" x14ac:dyDescent="0.35">
      <c r="A233" s="1" t="s">
        <v>34</v>
      </c>
      <c r="B233" s="1" t="s">
        <v>35</v>
      </c>
      <c r="C233" s="1" t="s">
        <v>36</v>
      </c>
      <c r="D233" s="1" t="s">
        <v>37</v>
      </c>
      <c r="E233" s="1" t="s">
        <v>38</v>
      </c>
      <c r="F233" s="1" t="s">
        <v>39</v>
      </c>
      <c r="G233" s="1" t="s">
        <v>40</v>
      </c>
      <c r="H233" s="1" t="s">
        <v>41</v>
      </c>
      <c r="I233" s="1" t="s">
        <v>42</v>
      </c>
      <c r="J233" s="1" t="s">
        <v>43</v>
      </c>
      <c r="K233" s="1" t="s">
        <v>44</v>
      </c>
      <c r="L233" s="1" t="s">
        <v>45</v>
      </c>
      <c r="M233" s="1" t="s">
        <v>46</v>
      </c>
      <c r="N233" s="1" t="s">
        <v>47</v>
      </c>
      <c r="O233" s="1" t="s">
        <v>48</v>
      </c>
      <c r="P233" s="1" t="s">
        <v>4</v>
      </c>
      <c r="Q233" s="1" t="s">
        <v>49</v>
      </c>
      <c r="R233" s="1" t="s">
        <v>50</v>
      </c>
      <c r="S233" s="1" t="s">
        <v>51</v>
      </c>
      <c r="T233" s="1" t="s">
        <v>52</v>
      </c>
      <c r="U233" s="1" t="s">
        <v>10</v>
      </c>
    </row>
    <row r="234" spans="1:21" ht="28" customHeight="1" x14ac:dyDescent="0.35">
      <c r="A234" s="4">
        <v>1</v>
      </c>
      <c r="B234" s="4" t="s">
        <v>53</v>
      </c>
      <c r="C234" s="4" t="s">
        <v>54</v>
      </c>
      <c r="D234" s="4" t="s">
        <v>55</v>
      </c>
      <c r="E234" s="4" t="s">
        <v>56</v>
      </c>
      <c r="F234" s="4" t="s">
        <v>57</v>
      </c>
      <c r="G234" s="4" t="s">
        <v>58</v>
      </c>
      <c r="H234" s="4" t="s">
        <v>59</v>
      </c>
      <c r="I234" s="3"/>
      <c r="J234" s="3"/>
      <c r="K234" s="3"/>
      <c r="L234" s="3"/>
      <c r="M234" s="3"/>
      <c r="N234" s="3"/>
      <c r="O234" s="3"/>
      <c r="P234" s="8"/>
      <c r="Q234" s="8"/>
      <c r="R234" s="3"/>
      <c r="S234" s="3"/>
      <c r="T234" s="3"/>
      <c r="U234" s="5" t="str">
        <f t="shared" ref="U234:U249" si="12">IF(I234="","",IF(I234="NA","Grey",IF(I234=2,"Green",IF(I234=1,"Amber","Red"))))</f>
        <v/>
      </c>
    </row>
    <row r="235" spans="1:21" ht="28" customHeight="1" x14ac:dyDescent="0.35">
      <c r="A235" s="4">
        <v>2</v>
      </c>
      <c r="B235" s="4" t="s">
        <v>53</v>
      </c>
      <c r="C235" s="4" t="s">
        <v>60</v>
      </c>
      <c r="D235" s="4" t="s">
        <v>61</v>
      </c>
      <c r="E235" s="4" t="s">
        <v>56</v>
      </c>
      <c r="F235" s="4" t="s">
        <v>57</v>
      </c>
      <c r="G235" s="4" t="s">
        <v>58</v>
      </c>
      <c r="H235" s="4" t="s">
        <v>59</v>
      </c>
      <c r="I235" s="3"/>
      <c r="J235" s="3"/>
      <c r="K235" s="3"/>
      <c r="L235" s="3"/>
      <c r="M235" s="3"/>
      <c r="N235" s="3"/>
      <c r="O235" s="3"/>
      <c r="P235" s="8"/>
      <c r="Q235" s="8"/>
      <c r="R235" s="3"/>
      <c r="S235" s="3"/>
      <c r="T235" s="3"/>
      <c r="U235" s="5" t="str">
        <f t="shared" si="12"/>
        <v/>
      </c>
    </row>
    <row r="236" spans="1:21" ht="28" customHeight="1" x14ac:dyDescent="0.35">
      <c r="A236" s="4">
        <v>3</v>
      </c>
      <c r="B236" s="4" t="s">
        <v>53</v>
      </c>
      <c r="C236" s="4" t="s">
        <v>62</v>
      </c>
      <c r="D236" s="4" t="s">
        <v>63</v>
      </c>
      <c r="E236" s="4" t="s">
        <v>56</v>
      </c>
      <c r="F236" s="4" t="s">
        <v>57</v>
      </c>
      <c r="G236" s="4" t="s">
        <v>58</v>
      </c>
      <c r="H236" s="4" t="s">
        <v>59</v>
      </c>
      <c r="I236" s="3"/>
      <c r="J236" s="3"/>
      <c r="K236" s="3"/>
      <c r="L236" s="3"/>
      <c r="M236" s="3"/>
      <c r="N236" s="3"/>
      <c r="O236" s="3"/>
      <c r="P236" s="8"/>
      <c r="Q236" s="8"/>
      <c r="R236" s="3"/>
      <c r="S236" s="3"/>
      <c r="T236" s="3"/>
      <c r="U236" s="5" t="str">
        <f t="shared" si="12"/>
        <v/>
      </c>
    </row>
    <row r="237" spans="1:21" ht="28" customHeight="1" x14ac:dyDescent="0.35">
      <c r="A237" s="4">
        <v>4</v>
      </c>
      <c r="B237" s="4" t="s">
        <v>53</v>
      </c>
      <c r="C237" s="4" t="s">
        <v>64</v>
      </c>
      <c r="D237" s="4" t="s">
        <v>65</v>
      </c>
      <c r="E237" s="4" t="s">
        <v>56</v>
      </c>
      <c r="F237" s="4" t="s">
        <v>57</v>
      </c>
      <c r="G237" s="4" t="s">
        <v>58</v>
      </c>
      <c r="H237" s="4" t="s">
        <v>59</v>
      </c>
      <c r="I237" s="3"/>
      <c r="J237" s="3"/>
      <c r="K237" s="3"/>
      <c r="L237" s="3"/>
      <c r="M237" s="3"/>
      <c r="N237" s="3"/>
      <c r="O237" s="3"/>
      <c r="P237" s="8"/>
      <c r="Q237" s="8"/>
      <c r="R237" s="3"/>
      <c r="S237" s="3"/>
      <c r="T237" s="3"/>
      <c r="U237" s="5" t="str">
        <f t="shared" si="12"/>
        <v/>
      </c>
    </row>
    <row r="238" spans="1:21" ht="28" customHeight="1" x14ac:dyDescent="0.35">
      <c r="A238" s="4">
        <v>5</v>
      </c>
      <c r="B238" s="4" t="s">
        <v>66</v>
      </c>
      <c r="C238" s="4" t="s">
        <v>67</v>
      </c>
      <c r="D238" s="4" t="s">
        <v>68</v>
      </c>
      <c r="E238" s="4" t="s">
        <v>69</v>
      </c>
      <c r="F238" s="4" t="s">
        <v>57</v>
      </c>
      <c r="G238" s="4" t="s">
        <v>58</v>
      </c>
      <c r="H238" s="4" t="s">
        <v>59</v>
      </c>
      <c r="I238" s="3"/>
      <c r="J238" s="3"/>
      <c r="K238" s="3"/>
      <c r="L238" s="3"/>
      <c r="M238" s="3"/>
      <c r="N238" s="3"/>
      <c r="O238" s="3"/>
      <c r="P238" s="8"/>
      <c r="Q238" s="8"/>
      <c r="R238" s="3"/>
      <c r="S238" s="3"/>
      <c r="T238" s="3"/>
      <c r="U238" s="5" t="str">
        <f t="shared" si="12"/>
        <v/>
      </c>
    </row>
    <row r="239" spans="1:21" ht="28" customHeight="1" x14ac:dyDescent="0.35">
      <c r="A239" s="4">
        <v>6</v>
      </c>
      <c r="B239" s="4" t="s">
        <v>70</v>
      </c>
      <c r="C239" s="4" t="s">
        <v>71</v>
      </c>
      <c r="D239" s="4" t="s">
        <v>72</v>
      </c>
      <c r="E239" s="4" t="s">
        <v>70</v>
      </c>
      <c r="F239" s="4" t="s">
        <v>57</v>
      </c>
      <c r="G239" s="4" t="s">
        <v>58</v>
      </c>
      <c r="H239" s="4" t="s">
        <v>59</v>
      </c>
      <c r="I239" s="3"/>
      <c r="J239" s="3"/>
      <c r="K239" s="3"/>
      <c r="L239" s="3"/>
      <c r="M239" s="3"/>
      <c r="N239" s="3"/>
      <c r="O239" s="3"/>
      <c r="P239" s="8"/>
      <c r="Q239" s="8"/>
      <c r="R239" s="3"/>
      <c r="S239" s="3"/>
      <c r="T239" s="3"/>
      <c r="U239" s="5" t="str">
        <f t="shared" si="12"/>
        <v/>
      </c>
    </row>
    <row r="240" spans="1:21" ht="28" customHeight="1" x14ac:dyDescent="0.35">
      <c r="A240" s="4">
        <v>7</v>
      </c>
      <c r="B240" s="4" t="s">
        <v>73</v>
      </c>
      <c r="C240" s="4" t="s">
        <v>74</v>
      </c>
      <c r="D240" s="4" t="s">
        <v>75</v>
      </c>
      <c r="E240" s="4" t="s">
        <v>69</v>
      </c>
      <c r="F240" s="4" t="s">
        <v>57</v>
      </c>
      <c r="G240" s="4" t="s">
        <v>58</v>
      </c>
      <c r="H240" s="4" t="s">
        <v>76</v>
      </c>
      <c r="I240" s="3"/>
      <c r="J240" s="3"/>
      <c r="K240" s="3"/>
      <c r="L240" s="3"/>
      <c r="M240" s="3"/>
      <c r="N240" s="3"/>
      <c r="O240" s="3"/>
      <c r="P240" s="8"/>
      <c r="Q240" s="8"/>
      <c r="R240" s="3"/>
      <c r="S240" s="3"/>
      <c r="T240" s="3"/>
      <c r="U240" s="5" t="str">
        <f t="shared" si="12"/>
        <v/>
      </c>
    </row>
    <row r="241" spans="1:21" ht="28" customHeight="1" x14ac:dyDescent="0.35">
      <c r="A241" s="4">
        <v>8</v>
      </c>
      <c r="B241" s="4" t="s">
        <v>77</v>
      </c>
      <c r="C241" s="4" t="s">
        <v>78</v>
      </c>
      <c r="D241" s="4" t="s">
        <v>79</v>
      </c>
      <c r="E241" s="4" t="s">
        <v>80</v>
      </c>
      <c r="F241" s="4" t="s">
        <v>57</v>
      </c>
      <c r="G241" s="4" t="s">
        <v>58</v>
      </c>
      <c r="H241" s="4" t="s">
        <v>59</v>
      </c>
      <c r="I241" s="3"/>
      <c r="J241" s="3"/>
      <c r="K241" s="3"/>
      <c r="L241" s="3"/>
      <c r="M241" s="3"/>
      <c r="N241" s="3"/>
      <c r="O241" s="3"/>
      <c r="P241" s="8"/>
      <c r="Q241" s="8"/>
      <c r="R241" s="3"/>
      <c r="S241" s="3"/>
      <c r="T241" s="3"/>
      <c r="U241" s="5" t="str">
        <f t="shared" si="12"/>
        <v/>
      </c>
    </row>
    <row r="242" spans="1:21" ht="28" customHeight="1" x14ac:dyDescent="0.35">
      <c r="A242" s="4">
        <v>9</v>
      </c>
      <c r="B242" s="4" t="s">
        <v>81</v>
      </c>
      <c r="C242" s="4" t="s">
        <v>82</v>
      </c>
      <c r="D242" s="4" t="s">
        <v>83</v>
      </c>
      <c r="E242" s="4" t="s">
        <v>84</v>
      </c>
      <c r="F242" s="4" t="s">
        <v>57</v>
      </c>
      <c r="G242" s="4" t="s">
        <v>58</v>
      </c>
      <c r="H242" s="4" t="s">
        <v>85</v>
      </c>
      <c r="I242" s="3"/>
      <c r="J242" s="3"/>
      <c r="K242" s="3"/>
      <c r="L242" s="3"/>
      <c r="M242" s="3"/>
      <c r="N242" s="3"/>
      <c r="O242" s="3"/>
      <c r="P242" s="8"/>
      <c r="Q242" s="8"/>
      <c r="R242" s="3"/>
      <c r="S242" s="3"/>
      <c r="T242" s="3"/>
      <c r="U242" s="5" t="str">
        <f t="shared" si="12"/>
        <v/>
      </c>
    </row>
    <row r="243" spans="1:21" ht="28" customHeight="1" x14ac:dyDescent="0.35">
      <c r="A243" s="4">
        <v>10</v>
      </c>
      <c r="B243" s="4" t="s">
        <v>86</v>
      </c>
      <c r="C243" s="4" t="s">
        <v>87</v>
      </c>
      <c r="D243" s="4" t="s">
        <v>88</v>
      </c>
      <c r="E243" s="4" t="s">
        <v>69</v>
      </c>
      <c r="F243" s="4" t="s">
        <v>57</v>
      </c>
      <c r="G243" s="4" t="s">
        <v>58</v>
      </c>
      <c r="H243" s="4" t="s">
        <v>59</v>
      </c>
      <c r="I243" s="3"/>
      <c r="J243" s="3"/>
      <c r="K243" s="3"/>
      <c r="L243" s="3"/>
      <c r="M243" s="3"/>
      <c r="N243" s="3"/>
      <c r="O243" s="3"/>
      <c r="P243" s="8"/>
      <c r="Q243" s="8"/>
      <c r="R243" s="3"/>
      <c r="S243" s="3"/>
      <c r="T243" s="3"/>
      <c r="U243" s="5" t="str">
        <f t="shared" si="12"/>
        <v/>
      </c>
    </row>
    <row r="244" spans="1:21" ht="28" customHeight="1" x14ac:dyDescent="0.35">
      <c r="A244" s="4">
        <v>11</v>
      </c>
      <c r="B244" s="4" t="s">
        <v>89</v>
      </c>
      <c r="C244" s="4" t="s">
        <v>90</v>
      </c>
      <c r="D244" s="4" t="s">
        <v>91</v>
      </c>
      <c r="E244" s="4" t="s">
        <v>84</v>
      </c>
      <c r="F244" s="4" t="s">
        <v>57</v>
      </c>
      <c r="G244" s="4" t="s">
        <v>58</v>
      </c>
      <c r="H244" s="4" t="s">
        <v>59</v>
      </c>
      <c r="I244" s="3"/>
      <c r="J244" s="3"/>
      <c r="K244" s="3"/>
      <c r="L244" s="3"/>
      <c r="M244" s="3"/>
      <c r="N244" s="3"/>
      <c r="O244" s="3"/>
      <c r="P244" s="8"/>
      <c r="Q244" s="8"/>
      <c r="R244" s="3"/>
      <c r="S244" s="3"/>
      <c r="T244" s="3"/>
      <c r="U244" s="5" t="str">
        <f t="shared" si="12"/>
        <v/>
      </c>
    </row>
    <row r="245" spans="1:21" ht="28" customHeight="1" x14ac:dyDescent="0.35">
      <c r="A245" s="4">
        <v>12</v>
      </c>
      <c r="B245" s="4" t="s">
        <v>92</v>
      </c>
      <c r="C245" s="4" t="s">
        <v>93</v>
      </c>
      <c r="D245" s="4" t="s">
        <v>94</v>
      </c>
      <c r="E245" s="4" t="s">
        <v>69</v>
      </c>
      <c r="F245" s="4" t="s">
        <v>95</v>
      </c>
      <c r="G245" s="4" t="s">
        <v>96</v>
      </c>
      <c r="H245" s="4" t="s">
        <v>59</v>
      </c>
      <c r="I245" s="3"/>
      <c r="J245" s="3"/>
      <c r="K245" s="3"/>
      <c r="L245" s="3"/>
      <c r="M245" s="3"/>
      <c r="N245" s="3"/>
      <c r="O245" s="3"/>
      <c r="P245" s="8"/>
      <c r="Q245" s="8"/>
      <c r="R245" s="3"/>
      <c r="S245" s="3"/>
      <c r="T245" s="3"/>
      <c r="U245" s="5" t="str">
        <f t="shared" si="12"/>
        <v/>
      </c>
    </row>
    <row r="246" spans="1:21" ht="28" customHeight="1" x14ac:dyDescent="0.35">
      <c r="A246" s="4">
        <v>13</v>
      </c>
      <c r="B246" s="4" t="s">
        <v>97</v>
      </c>
      <c r="C246" s="4" t="s">
        <v>98</v>
      </c>
      <c r="D246" s="4" t="s">
        <v>99</v>
      </c>
      <c r="E246" s="4" t="s">
        <v>69</v>
      </c>
      <c r="F246" s="4" t="s">
        <v>95</v>
      </c>
      <c r="G246" s="4" t="s">
        <v>96</v>
      </c>
      <c r="H246" s="4" t="s">
        <v>59</v>
      </c>
      <c r="I246" s="3"/>
      <c r="J246" s="3"/>
      <c r="K246" s="3"/>
      <c r="L246" s="3"/>
      <c r="M246" s="3"/>
      <c r="N246" s="3"/>
      <c r="O246" s="3"/>
      <c r="P246" s="8"/>
      <c r="Q246" s="8"/>
      <c r="R246" s="3"/>
      <c r="S246" s="3"/>
      <c r="T246" s="3"/>
      <c r="U246" s="5" t="str">
        <f t="shared" si="12"/>
        <v/>
      </c>
    </row>
    <row r="247" spans="1:21" ht="28" customHeight="1" x14ac:dyDescent="0.35">
      <c r="A247" s="4">
        <v>14</v>
      </c>
      <c r="B247" s="4" t="s">
        <v>97</v>
      </c>
      <c r="C247" s="4" t="s">
        <v>100</v>
      </c>
      <c r="D247" s="4" t="s">
        <v>101</v>
      </c>
      <c r="E247" s="4" t="s">
        <v>69</v>
      </c>
      <c r="F247" s="4" t="s">
        <v>95</v>
      </c>
      <c r="G247" s="4" t="s">
        <v>102</v>
      </c>
      <c r="H247" s="4" t="s">
        <v>59</v>
      </c>
      <c r="I247" s="3"/>
      <c r="J247" s="3"/>
      <c r="K247" s="3"/>
      <c r="L247" s="3"/>
      <c r="M247" s="3"/>
      <c r="N247" s="3"/>
      <c r="O247" s="3"/>
      <c r="P247" s="8"/>
      <c r="Q247" s="8"/>
      <c r="R247" s="3"/>
      <c r="S247" s="3"/>
      <c r="T247" s="3"/>
      <c r="U247" s="5" t="str">
        <f t="shared" si="12"/>
        <v/>
      </c>
    </row>
    <row r="248" spans="1:21" ht="28" customHeight="1" x14ac:dyDescent="0.35">
      <c r="A248" s="4">
        <v>15</v>
      </c>
      <c r="B248" s="4" t="s">
        <v>103</v>
      </c>
      <c r="C248" s="4" t="s">
        <v>104</v>
      </c>
      <c r="D248" s="4" t="s">
        <v>105</v>
      </c>
      <c r="E248" s="4" t="s">
        <v>69</v>
      </c>
      <c r="F248" s="4" t="s">
        <v>95</v>
      </c>
      <c r="G248" s="4" t="s">
        <v>96</v>
      </c>
      <c r="H248" s="4" t="s">
        <v>85</v>
      </c>
      <c r="I248" s="3"/>
      <c r="J248" s="3"/>
      <c r="K248" s="3"/>
      <c r="L248" s="3"/>
      <c r="M248" s="3"/>
      <c r="N248" s="3"/>
      <c r="O248" s="3"/>
      <c r="P248" s="8"/>
      <c r="Q248" s="8"/>
      <c r="R248" s="3"/>
      <c r="S248" s="3"/>
      <c r="T248" s="3"/>
      <c r="U248" s="5" t="str">
        <f t="shared" si="12"/>
        <v/>
      </c>
    </row>
    <row r="249" spans="1:21" ht="28" customHeight="1" x14ac:dyDescent="0.35">
      <c r="A249" s="4">
        <v>16</v>
      </c>
      <c r="B249" s="4" t="s">
        <v>106</v>
      </c>
      <c r="C249" s="4" t="s">
        <v>107</v>
      </c>
      <c r="D249" s="4" t="s">
        <v>108</v>
      </c>
      <c r="E249" s="4" t="s">
        <v>109</v>
      </c>
      <c r="F249" s="4" t="s">
        <v>95</v>
      </c>
      <c r="G249" s="4" t="s">
        <v>96</v>
      </c>
      <c r="H249" s="4" t="s">
        <v>59</v>
      </c>
      <c r="I249" s="3"/>
      <c r="J249" s="3"/>
      <c r="K249" s="3"/>
      <c r="L249" s="3"/>
      <c r="M249" s="3"/>
      <c r="N249" s="3"/>
      <c r="O249" s="3"/>
      <c r="P249" s="8"/>
      <c r="Q249" s="8"/>
      <c r="R249" s="3"/>
      <c r="S249" s="3"/>
      <c r="T249" s="3"/>
      <c r="U249" s="5" t="str">
        <f t="shared" si="12"/>
        <v/>
      </c>
    </row>
    <row r="251" spans="1:21" ht="28" customHeight="1" x14ac:dyDescent="0.35">
      <c r="A251" s="9" t="s">
        <v>110</v>
      </c>
      <c r="B251" s="16"/>
      <c r="C251" s="17"/>
      <c r="D251" s="17"/>
      <c r="E251" s="17"/>
      <c r="F251" s="17"/>
      <c r="G251" s="17"/>
      <c r="H251" s="17"/>
      <c r="I251" s="17"/>
      <c r="J251" s="17"/>
      <c r="K251" s="17"/>
      <c r="L251" s="17"/>
      <c r="M251" s="17"/>
      <c r="N251" s="17"/>
      <c r="O251" s="17"/>
      <c r="P251" s="17"/>
      <c r="Q251" s="17"/>
      <c r="R251" s="17"/>
      <c r="S251" s="17"/>
      <c r="T251" s="17"/>
      <c r="U251" s="18"/>
    </row>
    <row r="252" spans="1:21" ht="28" customHeight="1" x14ac:dyDescent="0.35">
      <c r="A252" s="19" t="s">
        <v>121</v>
      </c>
      <c r="B252" s="20"/>
      <c r="C252" s="20"/>
      <c r="D252" s="20"/>
      <c r="E252" s="20"/>
      <c r="F252" s="20"/>
      <c r="G252" s="20"/>
      <c r="H252" s="20"/>
      <c r="I252" s="20"/>
      <c r="J252" s="20"/>
      <c r="K252" s="20"/>
      <c r="L252" s="20"/>
      <c r="M252" s="20"/>
      <c r="N252" s="20"/>
      <c r="O252" s="20"/>
      <c r="P252" s="20"/>
      <c r="Q252" s="20"/>
      <c r="R252" s="20"/>
      <c r="S252" s="20"/>
      <c r="T252" s="20"/>
      <c r="U252" s="21"/>
    </row>
    <row r="253" spans="1:21" ht="28" customHeight="1" x14ac:dyDescent="0.35">
      <c r="A253" s="4" t="s">
        <v>31</v>
      </c>
      <c r="B253" s="3" t="s">
        <v>29</v>
      </c>
      <c r="C253" s="4" t="s">
        <v>32</v>
      </c>
      <c r="D253" s="3"/>
      <c r="E253" s="4" t="s">
        <v>33</v>
      </c>
      <c r="F253" s="8"/>
    </row>
    <row r="254" spans="1:21" ht="28" customHeight="1" x14ac:dyDescent="0.35">
      <c r="A254" s="1" t="s">
        <v>34</v>
      </c>
      <c r="B254" s="1" t="s">
        <v>35</v>
      </c>
      <c r="C254" s="1" t="s">
        <v>36</v>
      </c>
      <c r="D254" s="1" t="s">
        <v>37</v>
      </c>
      <c r="E254" s="1" t="s">
        <v>38</v>
      </c>
      <c r="F254" s="1" t="s">
        <v>39</v>
      </c>
      <c r="G254" s="1" t="s">
        <v>40</v>
      </c>
      <c r="H254" s="1" t="s">
        <v>41</v>
      </c>
      <c r="I254" s="1" t="s">
        <v>42</v>
      </c>
      <c r="J254" s="1" t="s">
        <v>43</v>
      </c>
      <c r="K254" s="1" t="s">
        <v>44</v>
      </c>
      <c r="L254" s="1" t="s">
        <v>45</v>
      </c>
      <c r="M254" s="1" t="s">
        <v>46</v>
      </c>
      <c r="N254" s="1" t="s">
        <v>47</v>
      </c>
      <c r="O254" s="1" t="s">
        <v>48</v>
      </c>
      <c r="P254" s="1" t="s">
        <v>4</v>
      </c>
      <c r="Q254" s="1" t="s">
        <v>49</v>
      </c>
      <c r="R254" s="1" t="s">
        <v>50</v>
      </c>
      <c r="S254" s="1" t="s">
        <v>51</v>
      </c>
      <c r="T254" s="1" t="s">
        <v>52</v>
      </c>
      <c r="U254" s="1" t="s">
        <v>10</v>
      </c>
    </row>
    <row r="255" spans="1:21" ht="28" customHeight="1" x14ac:dyDescent="0.35">
      <c r="A255" s="4">
        <v>1</v>
      </c>
      <c r="B255" s="4" t="s">
        <v>53</v>
      </c>
      <c r="C255" s="4" t="s">
        <v>54</v>
      </c>
      <c r="D255" s="4" t="s">
        <v>55</v>
      </c>
      <c r="E255" s="4" t="s">
        <v>56</v>
      </c>
      <c r="F255" s="4" t="s">
        <v>57</v>
      </c>
      <c r="G255" s="4" t="s">
        <v>58</v>
      </c>
      <c r="H255" s="4" t="s">
        <v>59</v>
      </c>
      <c r="I255" s="3"/>
      <c r="J255" s="3"/>
      <c r="K255" s="3"/>
      <c r="L255" s="3"/>
      <c r="M255" s="3"/>
      <c r="N255" s="3"/>
      <c r="O255" s="3"/>
      <c r="P255" s="8"/>
      <c r="Q255" s="8"/>
      <c r="R255" s="3"/>
      <c r="S255" s="3"/>
      <c r="T255" s="3"/>
      <c r="U255" s="5" t="str">
        <f t="shared" ref="U255:U270" si="13">IF(I255="","",IF(I255="NA","Grey",IF(I255=2,"Green",IF(I255=1,"Amber","Red"))))</f>
        <v/>
      </c>
    </row>
    <row r="256" spans="1:21" ht="28" customHeight="1" x14ac:dyDescent="0.35">
      <c r="A256" s="4">
        <v>2</v>
      </c>
      <c r="B256" s="4" t="s">
        <v>53</v>
      </c>
      <c r="C256" s="4" t="s">
        <v>60</v>
      </c>
      <c r="D256" s="4" t="s">
        <v>61</v>
      </c>
      <c r="E256" s="4" t="s">
        <v>56</v>
      </c>
      <c r="F256" s="4" t="s">
        <v>57</v>
      </c>
      <c r="G256" s="4" t="s">
        <v>58</v>
      </c>
      <c r="H256" s="4" t="s">
        <v>59</v>
      </c>
      <c r="I256" s="3"/>
      <c r="J256" s="3"/>
      <c r="K256" s="3"/>
      <c r="L256" s="3"/>
      <c r="M256" s="3"/>
      <c r="N256" s="3"/>
      <c r="O256" s="3"/>
      <c r="P256" s="8"/>
      <c r="Q256" s="8"/>
      <c r="R256" s="3"/>
      <c r="S256" s="3"/>
      <c r="T256" s="3"/>
      <c r="U256" s="5" t="str">
        <f t="shared" si="13"/>
        <v/>
      </c>
    </row>
    <row r="257" spans="1:21" ht="28" customHeight="1" x14ac:dyDescent="0.35">
      <c r="A257" s="4">
        <v>3</v>
      </c>
      <c r="B257" s="4" t="s">
        <v>53</v>
      </c>
      <c r="C257" s="4" t="s">
        <v>62</v>
      </c>
      <c r="D257" s="4" t="s">
        <v>63</v>
      </c>
      <c r="E257" s="4" t="s">
        <v>56</v>
      </c>
      <c r="F257" s="4" t="s">
        <v>57</v>
      </c>
      <c r="G257" s="4" t="s">
        <v>58</v>
      </c>
      <c r="H257" s="4" t="s">
        <v>59</v>
      </c>
      <c r="I257" s="3"/>
      <c r="J257" s="3"/>
      <c r="K257" s="3"/>
      <c r="L257" s="3"/>
      <c r="M257" s="3"/>
      <c r="N257" s="3"/>
      <c r="O257" s="3"/>
      <c r="P257" s="8"/>
      <c r="Q257" s="8"/>
      <c r="R257" s="3"/>
      <c r="S257" s="3"/>
      <c r="T257" s="3"/>
      <c r="U257" s="5" t="str">
        <f t="shared" si="13"/>
        <v/>
      </c>
    </row>
    <row r="258" spans="1:21" ht="28" customHeight="1" x14ac:dyDescent="0.35">
      <c r="A258" s="4">
        <v>4</v>
      </c>
      <c r="B258" s="4" t="s">
        <v>53</v>
      </c>
      <c r="C258" s="4" t="s">
        <v>64</v>
      </c>
      <c r="D258" s="4" t="s">
        <v>65</v>
      </c>
      <c r="E258" s="4" t="s">
        <v>56</v>
      </c>
      <c r="F258" s="4" t="s">
        <v>57</v>
      </c>
      <c r="G258" s="4" t="s">
        <v>58</v>
      </c>
      <c r="H258" s="4" t="s">
        <v>59</v>
      </c>
      <c r="I258" s="3"/>
      <c r="J258" s="3"/>
      <c r="K258" s="3"/>
      <c r="L258" s="3"/>
      <c r="M258" s="3"/>
      <c r="N258" s="3"/>
      <c r="O258" s="3"/>
      <c r="P258" s="8"/>
      <c r="Q258" s="8"/>
      <c r="R258" s="3"/>
      <c r="S258" s="3"/>
      <c r="T258" s="3"/>
      <c r="U258" s="5" t="str">
        <f t="shared" si="13"/>
        <v/>
      </c>
    </row>
    <row r="259" spans="1:21" ht="28" customHeight="1" x14ac:dyDescent="0.35">
      <c r="A259" s="4">
        <v>5</v>
      </c>
      <c r="B259" s="4" t="s">
        <v>66</v>
      </c>
      <c r="C259" s="4" t="s">
        <v>67</v>
      </c>
      <c r="D259" s="4" t="s">
        <v>68</v>
      </c>
      <c r="E259" s="4" t="s">
        <v>69</v>
      </c>
      <c r="F259" s="4" t="s">
        <v>57</v>
      </c>
      <c r="G259" s="4" t="s">
        <v>58</v>
      </c>
      <c r="H259" s="4" t="s">
        <v>59</v>
      </c>
      <c r="I259" s="3"/>
      <c r="J259" s="3"/>
      <c r="K259" s="3"/>
      <c r="L259" s="3"/>
      <c r="M259" s="3"/>
      <c r="N259" s="3"/>
      <c r="O259" s="3"/>
      <c r="P259" s="8"/>
      <c r="Q259" s="8"/>
      <c r="R259" s="3"/>
      <c r="S259" s="3"/>
      <c r="T259" s="3"/>
      <c r="U259" s="5" t="str">
        <f t="shared" si="13"/>
        <v/>
      </c>
    </row>
    <row r="260" spans="1:21" ht="28" customHeight="1" x14ac:dyDescent="0.35">
      <c r="A260" s="4">
        <v>6</v>
      </c>
      <c r="B260" s="4" t="s">
        <v>70</v>
      </c>
      <c r="C260" s="4" t="s">
        <v>71</v>
      </c>
      <c r="D260" s="4" t="s">
        <v>72</v>
      </c>
      <c r="E260" s="4" t="s">
        <v>70</v>
      </c>
      <c r="F260" s="4" t="s">
        <v>57</v>
      </c>
      <c r="G260" s="4" t="s">
        <v>58</v>
      </c>
      <c r="H260" s="4" t="s">
        <v>59</v>
      </c>
      <c r="I260" s="3"/>
      <c r="J260" s="3"/>
      <c r="K260" s="3"/>
      <c r="L260" s="3"/>
      <c r="M260" s="3"/>
      <c r="N260" s="3"/>
      <c r="O260" s="3"/>
      <c r="P260" s="8"/>
      <c r="Q260" s="8"/>
      <c r="R260" s="3"/>
      <c r="S260" s="3"/>
      <c r="T260" s="3"/>
      <c r="U260" s="5" t="str">
        <f t="shared" si="13"/>
        <v/>
      </c>
    </row>
    <row r="261" spans="1:21" ht="28" customHeight="1" x14ac:dyDescent="0.35">
      <c r="A261" s="4">
        <v>7</v>
      </c>
      <c r="B261" s="4" t="s">
        <v>73</v>
      </c>
      <c r="C261" s="4" t="s">
        <v>74</v>
      </c>
      <c r="D261" s="4" t="s">
        <v>75</v>
      </c>
      <c r="E261" s="4" t="s">
        <v>69</v>
      </c>
      <c r="F261" s="4" t="s">
        <v>57</v>
      </c>
      <c r="G261" s="4" t="s">
        <v>58</v>
      </c>
      <c r="H261" s="4" t="s">
        <v>76</v>
      </c>
      <c r="I261" s="3"/>
      <c r="J261" s="3"/>
      <c r="K261" s="3"/>
      <c r="L261" s="3"/>
      <c r="M261" s="3"/>
      <c r="N261" s="3"/>
      <c r="O261" s="3"/>
      <c r="P261" s="8"/>
      <c r="Q261" s="8"/>
      <c r="R261" s="3"/>
      <c r="S261" s="3"/>
      <c r="T261" s="3"/>
      <c r="U261" s="5" t="str">
        <f t="shared" si="13"/>
        <v/>
      </c>
    </row>
    <row r="262" spans="1:21" ht="28" customHeight="1" x14ac:dyDescent="0.35">
      <c r="A262" s="4">
        <v>8</v>
      </c>
      <c r="B262" s="4" t="s">
        <v>77</v>
      </c>
      <c r="C262" s="4" t="s">
        <v>78</v>
      </c>
      <c r="D262" s="4" t="s">
        <v>79</v>
      </c>
      <c r="E262" s="4" t="s">
        <v>80</v>
      </c>
      <c r="F262" s="4" t="s">
        <v>57</v>
      </c>
      <c r="G262" s="4" t="s">
        <v>58</v>
      </c>
      <c r="H262" s="4" t="s">
        <v>59</v>
      </c>
      <c r="I262" s="3"/>
      <c r="J262" s="3"/>
      <c r="K262" s="3"/>
      <c r="L262" s="3"/>
      <c r="M262" s="3"/>
      <c r="N262" s="3"/>
      <c r="O262" s="3"/>
      <c r="P262" s="8"/>
      <c r="Q262" s="8"/>
      <c r="R262" s="3"/>
      <c r="S262" s="3"/>
      <c r="T262" s="3"/>
      <c r="U262" s="5" t="str">
        <f t="shared" si="13"/>
        <v/>
      </c>
    </row>
    <row r="263" spans="1:21" ht="28" customHeight="1" x14ac:dyDescent="0.35">
      <c r="A263" s="4">
        <v>9</v>
      </c>
      <c r="B263" s="4" t="s">
        <v>81</v>
      </c>
      <c r="C263" s="4" t="s">
        <v>82</v>
      </c>
      <c r="D263" s="4" t="s">
        <v>83</v>
      </c>
      <c r="E263" s="4" t="s">
        <v>84</v>
      </c>
      <c r="F263" s="4" t="s">
        <v>57</v>
      </c>
      <c r="G263" s="4" t="s">
        <v>58</v>
      </c>
      <c r="H263" s="4" t="s">
        <v>85</v>
      </c>
      <c r="I263" s="3"/>
      <c r="J263" s="3"/>
      <c r="K263" s="3"/>
      <c r="L263" s="3"/>
      <c r="M263" s="3"/>
      <c r="N263" s="3"/>
      <c r="O263" s="3"/>
      <c r="P263" s="8"/>
      <c r="Q263" s="8"/>
      <c r="R263" s="3"/>
      <c r="S263" s="3"/>
      <c r="T263" s="3"/>
      <c r="U263" s="5" t="str">
        <f t="shared" si="13"/>
        <v/>
      </c>
    </row>
    <row r="264" spans="1:21" ht="28" customHeight="1" x14ac:dyDescent="0.35">
      <c r="A264" s="4">
        <v>10</v>
      </c>
      <c r="B264" s="4" t="s">
        <v>86</v>
      </c>
      <c r="C264" s="4" t="s">
        <v>87</v>
      </c>
      <c r="D264" s="4" t="s">
        <v>88</v>
      </c>
      <c r="E264" s="4" t="s">
        <v>69</v>
      </c>
      <c r="F264" s="4" t="s">
        <v>57</v>
      </c>
      <c r="G264" s="4" t="s">
        <v>58</v>
      </c>
      <c r="H264" s="4" t="s">
        <v>59</v>
      </c>
      <c r="I264" s="3"/>
      <c r="J264" s="3"/>
      <c r="K264" s="3"/>
      <c r="L264" s="3"/>
      <c r="M264" s="3"/>
      <c r="N264" s="3"/>
      <c r="O264" s="3"/>
      <c r="P264" s="8"/>
      <c r="Q264" s="8"/>
      <c r="R264" s="3"/>
      <c r="S264" s="3"/>
      <c r="T264" s="3"/>
      <c r="U264" s="5" t="str">
        <f t="shared" si="13"/>
        <v/>
      </c>
    </row>
    <row r="265" spans="1:21" ht="28" customHeight="1" x14ac:dyDescent="0.35">
      <c r="A265" s="4">
        <v>11</v>
      </c>
      <c r="B265" s="4" t="s">
        <v>89</v>
      </c>
      <c r="C265" s="4" t="s">
        <v>90</v>
      </c>
      <c r="D265" s="4" t="s">
        <v>91</v>
      </c>
      <c r="E265" s="4" t="s">
        <v>84</v>
      </c>
      <c r="F265" s="4" t="s">
        <v>57</v>
      </c>
      <c r="G265" s="4" t="s">
        <v>58</v>
      </c>
      <c r="H265" s="4" t="s">
        <v>59</v>
      </c>
      <c r="I265" s="3"/>
      <c r="J265" s="3"/>
      <c r="K265" s="3"/>
      <c r="L265" s="3"/>
      <c r="M265" s="3"/>
      <c r="N265" s="3"/>
      <c r="O265" s="3"/>
      <c r="P265" s="8"/>
      <c r="Q265" s="8"/>
      <c r="R265" s="3"/>
      <c r="S265" s="3"/>
      <c r="T265" s="3"/>
      <c r="U265" s="5" t="str">
        <f t="shared" si="13"/>
        <v/>
      </c>
    </row>
    <row r="266" spans="1:21" ht="28" customHeight="1" x14ac:dyDescent="0.35">
      <c r="A266" s="4">
        <v>12</v>
      </c>
      <c r="B266" s="4" t="s">
        <v>92</v>
      </c>
      <c r="C266" s="4" t="s">
        <v>93</v>
      </c>
      <c r="D266" s="4" t="s">
        <v>94</v>
      </c>
      <c r="E266" s="4" t="s">
        <v>69</v>
      </c>
      <c r="F266" s="4" t="s">
        <v>95</v>
      </c>
      <c r="G266" s="4" t="s">
        <v>96</v>
      </c>
      <c r="H266" s="4" t="s">
        <v>59</v>
      </c>
      <c r="I266" s="3"/>
      <c r="J266" s="3"/>
      <c r="K266" s="3"/>
      <c r="L266" s="3"/>
      <c r="M266" s="3"/>
      <c r="N266" s="3"/>
      <c r="O266" s="3"/>
      <c r="P266" s="8"/>
      <c r="Q266" s="8"/>
      <c r="R266" s="3"/>
      <c r="S266" s="3"/>
      <c r="T266" s="3"/>
      <c r="U266" s="5" t="str">
        <f t="shared" si="13"/>
        <v/>
      </c>
    </row>
    <row r="267" spans="1:21" ht="28" customHeight="1" x14ac:dyDescent="0.35">
      <c r="A267" s="4">
        <v>13</v>
      </c>
      <c r="B267" s="4" t="s">
        <v>97</v>
      </c>
      <c r="C267" s="4" t="s">
        <v>98</v>
      </c>
      <c r="D267" s="4" t="s">
        <v>99</v>
      </c>
      <c r="E267" s="4" t="s">
        <v>69</v>
      </c>
      <c r="F267" s="4" t="s">
        <v>95</v>
      </c>
      <c r="G267" s="4" t="s">
        <v>96</v>
      </c>
      <c r="H267" s="4" t="s">
        <v>59</v>
      </c>
      <c r="I267" s="3"/>
      <c r="J267" s="3"/>
      <c r="K267" s="3"/>
      <c r="L267" s="3"/>
      <c r="M267" s="3"/>
      <c r="N267" s="3"/>
      <c r="O267" s="3"/>
      <c r="P267" s="8"/>
      <c r="Q267" s="8"/>
      <c r="R267" s="3"/>
      <c r="S267" s="3"/>
      <c r="T267" s="3"/>
      <c r="U267" s="5" t="str">
        <f t="shared" si="13"/>
        <v/>
      </c>
    </row>
    <row r="268" spans="1:21" ht="28" customHeight="1" x14ac:dyDescent="0.35">
      <c r="A268" s="4">
        <v>14</v>
      </c>
      <c r="B268" s="4" t="s">
        <v>97</v>
      </c>
      <c r="C268" s="4" t="s">
        <v>100</v>
      </c>
      <c r="D268" s="4" t="s">
        <v>101</v>
      </c>
      <c r="E268" s="4" t="s">
        <v>69</v>
      </c>
      <c r="F268" s="4" t="s">
        <v>95</v>
      </c>
      <c r="G268" s="4" t="s">
        <v>102</v>
      </c>
      <c r="H268" s="4" t="s">
        <v>59</v>
      </c>
      <c r="I268" s="3"/>
      <c r="J268" s="3"/>
      <c r="K268" s="3"/>
      <c r="L268" s="3"/>
      <c r="M268" s="3"/>
      <c r="N268" s="3"/>
      <c r="O268" s="3"/>
      <c r="P268" s="8"/>
      <c r="Q268" s="8"/>
      <c r="R268" s="3"/>
      <c r="S268" s="3"/>
      <c r="T268" s="3"/>
      <c r="U268" s="5" t="str">
        <f t="shared" si="13"/>
        <v/>
      </c>
    </row>
    <row r="269" spans="1:21" ht="28" customHeight="1" x14ac:dyDescent="0.35">
      <c r="A269" s="4">
        <v>15</v>
      </c>
      <c r="B269" s="4" t="s">
        <v>103</v>
      </c>
      <c r="C269" s="4" t="s">
        <v>104</v>
      </c>
      <c r="D269" s="4" t="s">
        <v>105</v>
      </c>
      <c r="E269" s="4" t="s">
        <v>69</v>
      </c>
      <c r="F269" s="4" t="s">
        <v>95</v>
      </c>
      <c r="G269" s="4" t="s">
        <v>96</v>
      </c>
      <c r="H269" s="4" t="s">
        <v>85</v>
      </c>
      <c r="I269" s="3"/>
      <c r="J269" s="3"/>
      <c r="K269" s="3"/>
      <c r="L269" s="3"/>
      <c r="M269" s="3"/>
      <c r="N269" s="3"/>
      <c r="O269" s="3"/>
      <c r="P269" s="8"/>
      <c r="Q269" s="8"/>
      <c r="R269" s="3"/>
      <c r="S269" s="3"/>
      <c r="T269" s="3"/>
      <c r="U269" s="5" t="str">
        <f t="shared" si="13"/>
        <v/>
      </c>
    </row>
    <row r="270" spans="1:21" ht="28" customHeight="1" x14ac:dyDescent="0.35">
      <c r="A270" s="4">
        <v>16</v>
      </c>
      <c r="B270" s="4" t="s">
        <v>106</v>
      </c>
      <c r="C270" s="4" t="s">
        <v>107</v>
      </c>
      <c r="D270" s="4" t="s">
        <v>108</v>
      </c>
      <c r="E270" s="4" t="s">
        <v>109</v>
      </c>
      <c r="F270" s="4" t="s">
        <v>95</v>
      </c>
      <c r="G270" s="4" t="s">
        <v>96</v>
      </c>
      <c r="H270" s="4" t="s">
        <v>59</v>
      </c>
      <c r="I270" s="3"/>
      <c r="J270" s="3"/>
      <c r="K270" s="3"/>
      <c r="L270" s="3"/>
      <c r="M270" s="3"/>
      <c r="N270" s="3"/>
      <c r="O270" s="3"/>
      <c r="P270" s="8"/>
      <c r="Q270" s="8"/>
      <c r="R270" s="3"/>
      <c r="S270" s="3"/>
      <c r="T270" s="3"/>
      <c r="U270" s="5" t="str">
        <f t="shared" si="13"/>
        <v/>
      </c>
    </row>
    <row r="272" spans="1:21" ht="28" customHeight="1" x14ac:dyDescent="0.35">
      <c r="A272" s="9" t="s">
        <v>110</v>
      </c>
      <c r="B272" s="16"/>
      <c r="C272" s="17"/>
      <c r="D272" s="17"/>
      <c r="E272" s="17"/>
      <c r="F272" s="17"/>
      <c r="G272" s="17"/>
      <c r="H272" s="17"/>
      <c r="I272" s="17"/>
      <c r="J272" s="17"/>
      <c r="K272" s="17"/>
      <c r="L272" s="17"/>
      <c r="M272" s="17"/>
      <c r="N272" s="17"/>
      <c r="O272" s="17"/>
      <c r="P272" s="17"/>
      <c r="Q272" s="17"/>
      <c r="R272" s="17"/>
      <c r="S272" s="17"/>
      <c r="T272" s="17"/>
      <c r="U272" s="18"/>
    </row>
  </sheetData>
  <sheetProtection sheet="1" objects="1" scenarios="1" formatCells="0" formatColumns="0" formatRows="0" insertRows="0" sort="0" autoFilter="0"/>
  <autoFilter ref="A4:O16" xr:uid="{00000000-0009-0000-0000-000009000000}"/>
  <mergeCells count="26">
    <mergeCell ref="A1:U1"/>
    <mergeCell ref="B104:U104"/>
    <mergeCell ref="B251:U251"/>
    <mergeCell ref="A168:U168"/>
    <mergeCell ref="B2:U2"/>
    <mergeCell ref="A126:U126"/>
    <mergeCell ref="A231:U231"/>
    <mergeCell ref="A147:U147"/>
    <mergeCell ref="A63:U63"/>
    <mergeCell ref="B230:U230"/>
    <mergeCell ref="B146:U146"/>
    <mergeCell ref="B83:U83"/>
    <mergeCell ref="A21:U21"/>
    <mergeCell ref="A210:U210"/>
    <mergeCell ref="B167:U167"/>
    <mergeCell ref="B272:U272"/>
    <mergeCell ref="A42:U42"/>
    <mergeCell ref="B41:U41"/>
    <mergeCell ref="B188:U188"/>
    <mergeCell ref="A252:U252"/>
    <mergeCell ref="B62:U62"/>
    <mergeCell ref="B209:U209"/>
    <mergeCell ref="A84:U84"/>
    <mergeCell ref="B125:U125"/>
    <mergeCell ref="A189:U189"/>
    <mergeCell ref="A105:U105"/>
  </mergeCells>
  <conditionalFormatting sqref="G5:G16">
    <cfRule type="colorScale" priority="53">
      <colorScale>
        <cfvo type="min"/>
        <cfvo type="percentile" val="50"/>
        <cfvo type="max"/>
        <color rgb="FFF8696B"/>
        <color rgb="FFFFEB84"/>
        <color rgb="FF63BE7B"/>
      </colorScale>
    </cfRule>
  </conditionalFormatting>
  <conditionalFormatting sqref="H5:H16">
    <cfRule type="containsText" dxfId="415" priority="49" operator="containsText" text="Red">
      <formula>NOT(ISERROR(SEARCH("Red",H5)))</formula>
    </cfRule>
    <cfRule type="containsText" dxfId="414" priority="50" operator="containsText" text="Amber">
      <formula>NOT(ISERROR(SEARCH("Amber",H5)))</formula>
    </cfRule>
    <cfRule type="containsText" dxfId="413" priority="51" operator="containsText" text="Green">
      <formula>NOT(ISERROR(SEARCH("Green",H5)))</formula>
    </cfRule>
    <cfRule type="containsText" dxfId="412" priority="52" operator="containsText" text="Not Started">
      <formula>NOT(ISERROR(SEARCH("Not Started",H5)))</formula>
    </cfRule>
  </conditionalFormatting>
  <conditionalFormatting sqref="U24:U39">
    <cfRule type="containsText" dxfId="411" priority="1" operator="containsText" text="Red">
      <formula>NOT(ISERROR(SEARCH("Red",U24)))</formula>
    </cfRule>
    <cfRule type="containsText" dxfId="410" priority="2" operator="containsText" text="Amber">
      <formula>NOT(ISERROR(SEARCH("Amber",U24)))</formula>
    </cfRule>
    <cfRule type="containsText" dxfId="409" priority="3" operator="containsText" text="Green">
      <formula>NOT(ISERROR(SEARCH("Green",U24)))</formula>
    </cfRule>
    <cfRule type="containsText" dxfId="408" priority="4" operator="containsText" text="Grey">
      <formula>NOT(ISERROR(SEARCH("Grey",U24)))</formula>
    </cfRule>
  </conditionalFormatting>
  <conditionalFormatting sqref="U45:U60">
    <cfRule type="containsText" dxfId="407" priority="5" operator="containsText" text="Red">
      <formula>NOT(ISERROR(SEARCH("Red",U45)))</formula>
    </cfRule>
    <cfRule type="containsText" dxfId="406" priority="6" operator="containsText" text="Amber">
      <formula>NOT(ISERROR(SEARCH("Amber",U45)))</formula>
    </cfRule>
    <cfRule type="containsText" dxfId="405" priority="7" operator="containsText" text="Green">
      <formula>NOT(ISERROR(SEARCH("Green",U45)))</formula>
    </cfRule>
    <cfRule type="containsText" dxfId="404" priority="8" operator="containsText" text="Grey">
      <formula>NOT(ISERROR(SEARCH("Grey",U45)))</formula>
    </cfRule>
  </conditionalFormatting>
  <conditionalFormatting sqref="U66:U81">
    <cfRule type="containsText" dxfId="403" priority="9" operator="containsText" text="Red">
      <formula>NOT(ISERROR(SEARCH("Red",U66)))</formula>
    </cfRule>
    <cfRule type="containsText" dxfId="402" priority="10" operator="containsText" text="Amber">
      <formula>NOT(ISERROR(SEARCH("Amber",U66)))</formula>
    </cfRule>
    <cfRule type="containsText" dxfId="401" priority="11" operator="containsText" text="Green">
      <formula>NOT(ISERROR(SEARCH("Green",U66)))</formula>
    </cfRule>
    <cfRule type="containsText" dxfId="400" priority="12" operator="containsText" text="Grey">
      <formula>NOT(ISERROR(SEARCH("Grey",U66)))</formula>
    </cfRule>
  </conditionalFormatting>
  <conditionalFormatting sqref="U87:U102">
    <cfRule type="containsText" dxfId="399" priority="13" operator="containsText" text="Red">
      <formula>NOT(ISERROR(SEARCH("Red",U87)))</formula>
    </cfRule>
    <cfRule type="containsText" dxfId="398" priority="14" operator="containsText" text="Amber">
      <formula>NOT(ISERROR(SEARCH("Amber",U87)))</formula>
    </cfRule>
    <cfRule type="containsText" dxfId="397" priority="15" operator="containsText" text="Green">
      <formula>NOT(ISERROR(SEARCH("Green",U87)))</formula>
    </cfRule>
    <cfRule type="containsText" dxfId="396" priority="16" operator="containsText" text="Grey">
      <formula>NOT(ISERROR(SEARCH("Grey",U87)))</formula>
    </cfRule>
  </conditionalFormatting>
  <conditionalFormatting sqref="U108:U123">
    <cfRule type="containsText" dxfId="395" priority="17" operator="containsText" text="Red">
      <formula>NOT(ISERROR(SEARCH("Red",U108)))</formula>
    </cfRule>
    <cfRule type="containsText" dxfId="394" priority="18" operator="containsText" text="Amber">
      <formula>NOT(ISERROR(SEARCH("Amber",U108)))</formula>
    </cfRule>
    <cfRule type="containsText" dxfId="393" priority="19" operator="containsText" text="Green">
      <formula>NOT(ISERROR(SEARCH("Green",U108)))</formula>
    </cfRule>
    <cfRule type="containsText" dxfId="392" priority="20" operator="containsText" text="Grey">
      <formula>NOT(ISERROR(SEARCH("Grey",U108)))</formula>
    </cfRule>
  </conditionalFormatting>
  <conditionalFormatting sqref="U129:U144">
    <cfRule type="containsText" dxfId="391" priority="21" operator="containsText" text="Red">
      <formula>NOT(ISERROR(SEARCH("Red",U129)))</formula>
    </cfRule>
    <cfRule type="containsText" dxfId="390" priority="22" operator="containsText" text="Amber">
      <formula>NOT(ISERROR(SEARCH("Amber",U129)))</formula>
    </cfRule>
    <cfRule type="containsText" dxfId="389" priority="23" operator="containsText" text="Green">
      <formula>NOT(ISERROR(SEARCH("Green",U129)))</formula>
    </cfRule>
    <cfRule type="containsText" dxfId="388" priority="24" operator="containsText" text="Grey">
      <formula>NOT(ISERROR(SEARCH("Grey",U129)))</formula>
    </cfRule>
  </conditionalFormatting>
  <conditionalFormatting sqref="U150:U165">
    <cfRule type="containsText" dxfId="387" priority="26" operator="containsText" text="Amber">
      <formula>NOT(ISERROR(SEARCH("Amber",U150)))</formula>
    </cfRule>
    <cfRule type="containsText" dxfId="386" priority="27" operator="containsText" text="Green">
      <formula>NOT(ISERROR(SEARCH("Green",U150)))</formula>
    </cfRule>
    <cfRule type="containsText" dxfId="385" priority="28" operator="containsText" text="Grey">
      <formula>NOT(ISERROR(SEARCH("Grey",U150)))</formula>
    </cfRule>
    <cfRule type="containsText" dxfId="384" priority="25" operator="containsText" text="Red">
      <formula>NOT(ISERROR(SEARCH("Red",U150)))</formula>
    </cfRule>
  </conditionalFormatting>
  <conditionalFormatting sqref="U171:U186">
    <cfRule type="containsText" dxfId="383" priority="29" operator="containsText" text="Red">
      <formula>NOT(ISERROR(SEARCH("Red",U171)))</formula>
    </cfRule>
    <cfRule type="containsText" dxfId="382" priority="30" operator="containsText" text="Amber">
      <formula>NOT(ISERROR(SEARCH("Amber",U171)))</formula>
    </cfRule>
    <cfRule type="containsText" dxfId="381" priority="31" operator="containsText" text="Green">
      <formula>NOT(ISERROR(SEARCH("Green",U171)))</formula>
    </cfRule>
    <cfRule type="containsText" dxfId="380" priority="32" operator="containsText" text="Grey">
      <formula>NOT(ISERROR(SEARCH("Grey",U171)))</formula>
    </cfRule>
  </conditionalFormatting>
  <conditionalFormatting sqref="U192:U207">
    <cfRule type="containsText" dxfId="379" priority="34" operator="containsText" text="Amber">
      <formula>NOT(ISERROR(SEARCH("Amber",U192)))</formula>
    </cfRule>
    <cfRule type="containsText" dxfId="378" priority="35" operator="containsText" text="Green">
      <formula>NOT(ISERROR(SEARCH("Green",U192)))</formula>
    </cfRule>
    <cfRule type="containsText" dxfId="377" priority="36" operator="containsText" text="Grey">
      <formula>NOT(ISERROR(SEARCH("Grey",U192)))</formula>
    </cfRule>
    <cfRule type="containsText" dxfId="376" priority="33" operator="containsText" text="Red">
      <formula>NOT(ISERROR(SEARCH("Red",U192)))</formula>
    </cfRule>
  </conditionalFormatting>
  <conditionalFormatting sqref="U213:U228">
    <cfRule type="containsText" dxfId="375" priority="37" operator="containsText" text="Red">
      <formula>NOT(ISERROR(SEARCH("Red",U213)))</formula>
    </cfRule>
    <cfRule type="containsText" dxfId="374" priority="38" operator="containsText" text="Amber">
      <formula>NOT(ISERROR(SEARCH("Amber",U213)))</formula>
    </cfRule>
    <cfRule type="containsText" dxfId="373" priority="39" operator="containsText" text="Green">
      <formula>NOT(ISERROR(SEARCH("Green",U213)))</formula>
    </cfRule>
    <cfRule type="containsText" dxfId="372" priority="40" operator="containsText" text="Grey">
      <formula>NOT(ISERROR(SEARCH("Grey",U213)))</formula>
    </cfRule>
  </conditionalFormatting>
  <conditionalFormatting sqref="U234:U249">
    <cfRule type="containsText" dxfId="371" priority="42" operator="containsText" text="Amber">
      <formula>NOT(ISERROR(SEARCH("Amber",U234)))</formula>
    </cfRule>
    <cfRule type="containsText" dxfId="370" priority="43" operator="containsText" text="Green">
      <formula>NOT(ISERROR(SEARCH("Green",U234)))</formula>
    </cfRule>
    <cfRule type="containsText" dxfId="369" priority="44" operator="containsText" text="Grey">
      <formula>NOT(ISERROR(SEARCH("Grey",U234)))</formula>
    </cfRule>
    <cfRule type="containsText" dxfId="368" priority="41" operator="containsText" text="Red">
      <formula>NOT(ISERROR(SEARCH("Red",U234)))</formula>
    </cfRule>
  </conditionalFormatting>
  <conditionalFormatting sqref="U255:U270">
    <cfRule type="containsText" dxfId="367" priority="45" operator="containsText" text="Red">
      <formula>NOT(ISERROR(SEARCH("Red",U255)))</formula>
    </cfRule>
    <cfRule type="containsText" dxfId="366" priority="46" operator="containsText" text="Amber">
      <formula>NOT(ISERROR(SEARCH("Amber",U255)))</formula>
    </cfRule>
    <cfRule type="containsText" dxfId="365" priority="48" operator="containsText" text="Grey">
      <formula>NOT(ISERROR(SEARCH("Grey",U255)))</formula>
    </cfRule>
    <cfRule type="containsText" dxfId="364" priority="47" operator="containsText" text="Green">
      <formula>NOT(ISERROR(SEARCH("Green",U255)))</formula>
    </cfRule>
  </conditionalFormatting>
  <dataValidations count="4">
    <dataValidation type="list" allowBlank="1" showInputMessage="1" showErrorMessage="1" sqref="I24:I39 I45:I60 I66:I81 I87:I102 I108:I123 I129:I144 I150:I165 I171:I186 I192:I207 I213:I228 I234:I249 I255:I270" xr:uid="{00000000-0002-0000-0900-000000000000}">
      <formula1>"2,1,0,NA"</formula1>
    </dataValidation>
    <dataValidation type="list" allowBlank="1" showInputMessage="1" showErrorMessage="1" sqref="H24:H39 H45:H60 H66:H81 H87:H102 H108:H123 H129:H144 H150:H165 H171:H186 H192:H207 H213:H228 H234:H249 H255:H270" xr:uid="{00000000-0002-0000-0900-000001000000}">
      <formula1>"Critical,High,Medium,Low"</formula1>
    </dataValidation>
    <dataValidation type="list" allowBlank="1" showInputMessage="1" showErrorMessage="1" sqref="S24:S39 S45:S60 S66:S81 S87:S102 S108:S123 S129:S144 S150:S165 S171:S186 S192:S207 S213:S228 S234:S249 S255:S270" xr:uid="{00000000-0002-0000-0900-000002000000}">
      <formula1>"Yes,No,N/A"</formula1>
    </dataValidation>
    <dataValidation type="list" allowBlank="1" showInputMessage="1" showErrorMessage="1" sqref="T24:T39 T45:T60 T66:T81 T87:T102 T108:T123 T129:T144 T150:T165 T171:T186 T192:T207 T213:T228 T234:T249 T255:T270" xr:uid="{00000000-0002-0000-0900-000003000000}">
      <formula1>"Not Started,In Progress,Completed,Verified,Closed"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72"/>
  <sheetViews>
    <sheetView showGridLines="0" workbookViewId="0">
      <selection sqref="A1:U1"/>
    </sheetView>
  </sheetViews>
  <sheetFormatPr defaultRowHeight="28" customHeight="1" x14ac:dyDescent="0.35"/>
  <cols>
    <col min="1" max="1" width="7.7265625" customWidth="1"/>
    <col min="2" max="2" width="18.7265625" customWidth="1"/>
    <col min="3" max="3" width="42.7265625" customWidth="1"/>
    <col min="4" max="4" width="28.7265625" customWidth="1"/>
    <col min="5" max="6" width="18.7265625" customWidth="1"/>
    <col min="7" max="7" width="24.7265625" customWidth="1"/>
    <col min="8" max="9" width="13.7265625" customWidth="1"/>
    <col min="10" max="10" width="28.7265625" customWidth="1"/>
    <col min="11" max="11" width="30.7265625" customWidth="1"/>
    <col min="12" max="12" width="32.7265625" customWidth="1"/>
    <col min="13" max="13" width="28.7265625" customWidth="1"/>
    <col min="14" max="14" width="32.7265625" customWidth="1"/>
    <col min="15" max="15" width="20.7265625" customWidth="1"/>
    <col min="16" max="17" width="13.7265625" customWidth="1"/>
    <col min="18" max="18" width="18.7265625" customWidth="1"/>
    <col min="19" max="20" width="14.7265625" customWidth="1"/>
    <col min="21" max="21" width="10.7265625" customWidth="1"/>
  </cols>
  <sheetData>
    <row r="1" spans="1:21" ht="28" customHeight="1" x14ac:dyDescent="0.35">
      <c r="A1" s="24" t="s">
        <v>535</v>
      </c>
      <c r="B1" s="20"/>
      <c r="C1" s="20"/>
      <c r="D1" s="20"/>
      <c r="E1" s="20"/>
      <c r="F1" s="20"/>
      <c r="G1" s="20"/>
      <c r="H1" s="20"/>
      <c r="I1" s="20"/>
      <c r="J1" s="20"/>
      <c r="K1" s="20"/>
      <c r="L1" s="20"/>
      <c r="M1" s="20"/>
      <c r="N1" s="20"/>
      <c r="O1" s="20"/>
      <c r="P1" s="20"/>
      <c r="Q1" s="20"/>
      <c r="R1" s="20"/>
      <c r="S1" s="20"/>
      <c r="T1" s="20"/>
      <c r="U1" s="21"/>
    </row>
    <row r="2" spans="1:21" ht="28" customHeight="1" x14ac:dyDescent="0.35">
      <c r="A2" s="9" t="s">
        <v>1</v>
      </c>
      <c r="B2" s="22" t="s">
        <v>2</v>
      </c>
      <c r="C2" s="23"/>
      <c r="D2" s="23"/>
      <c r="E2" s="23"/>
      <c r="F2" s="23"/>
      <c r="G2" s="23"/>
      <c r="H2" s="23"/>
      <c r="I2" s="23"/>
      <c r="J2" s="23"/>
      <c r="K2" s="23"/>
      <c r="L2" s="23"/>
      <c r="M2" s="23"/>
      <c r="N2" s="23"/>
      <c r="O2" s="23"/>
      <c r="P2" s="23"/>
      <c r="Q2" s="23"/>
      <c r="R2" s="23"/>
      <c r="S2" s="23"/>
      <c r="T2" s="23"/>
      <c r="U2" s="23"/>
    </row>
    <row r="4" spans="1:21" ht="28" customHeight="1" x14ac:dyDescent="0.3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21" ht="28" customHeight="1" x14ac:dyDescent="0.35">
      <c r="A5" s="4" t="s">
        <v>18</v>
      </c>
      <c r="B5" s="7">
        <v>46050</v>
      </c>
      <c r="C5" s="8"/>
      <c r="D5" s="3"/>
      <c r="E5" s="5">
        <f>SUMIF(I24:I39,"&gt;=0",I24:I39)</f>
        <v>0</v>
      </c>
      <c r="F5" s="5">
        <f>COUNT(I24:I39)*2</f>
        <v>0</v>
      </c>
      <c r="G5" s="6" t="str">
        <f t="shared" ref="G5:G16" si="0">IF(F5=0,"",E5/F5)</f>
        <v/>
      </c>
      <c r="H5" s="5" t="str">
        <f t="shared" ref="H5:H16" si="1">IF(G5="","Not Started",IF(G5&gt;=0.9,"Green",IF(G5&gt;=0.75,"Amber","Red")))</f>
        <v>Not Started</v>
      </c>
      <c r="I5" s="5">
        <f>COUNTIFS(H24:H39,"Critical",I24:I39,"&lt;2")+COUNTIFS(H24:H39,"High",I24:I39,"&lt;2")</f>
        <v>0</v>
      </c>
      <c r="J5" s="5">
        <f>COUNTIF(T24:T39,"In Progress")+COUNTIF(T24:T39,"Not Started")</f>
        <v>0</v>
      </c>
      <c r="K5" s="5">
        <f ca="1">COUNTIFS(P24:P39,"&lt;"&amp;TODAY(),Q24:Q39,"")</f>
        <v>0</v>
      </c>
      <c r="L5" s="3"/>
      <c r="M5" s="3"/>
      <c r="N5" s="3"/>
      <c r="O5" s="3"/>
    </row>
    <row r="6" spans="1:21" ht="28" customHeight="1" x14ac:dyDescent="0.35">
      <c r="A6" s="4" t="s">
        <v>19</v>
      </c>
      <c r="B6" s="7">
        <v>46081</v>
      </c>
      <c r="C6" s="8"/>
      <c r="D6" s="3"/>
      <c r="E6" s="5">
        <f>SUMIF(I45:I60,"&gt;=0",I45:I60)</f>
        <v>0</v>
      </c>
      <c r="F6" s="5">
        <f>COUNT(I45:I60)*2</f>
        <v>0</v>
      </c>
      <c r="G6" s="6" t="str">
        <f t="shared" si="0"/>
        <v/>
      </c>
      <c r="H6" s="5" t="str">
        <f t="shared" si="1"/>
        <v>Not Started</v>
      </c>
      <c r="I6" s="5">
        <f>COUNTIFS(H45:H60,"Critical",I45:I60,"&lt;2")+COUNTIFS(H45:H60,"High",I45:I60,"&lt;2")</f>
        <v>0</v>
      </c>
      <c r="J6" s="5">
        <f>COUNTIF(T45:T60,"In Progress")+COUNTIF(T45:T60,"Not Started")</f>
        <v>0</v>
      </c>
      <c r="K6" s="5">
        <f ca="1">COUNTIFS(P45:P60,"&lt;"&amp;TODAY(),Q45:Q60,"")</f>
        <v>0</v>
      </c>
      <c r="L6" s="3"/>
      <c r="M6" s="3"/>
      <c r="N6" s="3"/>
      <c r="O6" s="3"/>
    </row>
    <row r="7" spans="1:21" ht="28" customHeight="1" x14ac:dyDescent="0.35">
      <c r="A7" s="4" t="s">
        <v>20</v>
      </c>
      <c r="B7" s="7">
        <v>46109</v>
      </c>
      <c r="C7" s="8"/>
      <c r="D7" s="3"/>
      <c r="E7" s="5">
        <f>SUMIF(I66:I81,"&gt;=0",I66:I81)</f>
        <v>0</v>
      </c>
      <c r="F7" s="5">
        <f>COUNT(I66:I81)*2</f>
        <v>0</v>
      </c>
      <c r="G7" s="6" t="str">
        <f t="shared" si="0"/>
        <v/>
      </c>
      <c r="H7" s="5" t="str">
        <f t="shared" si="1"/>
        <v>Not Started</v>
      </c>
      <c r="I7" s="5">
        <f>COUNTIFS(H66:H81,"Critical",I66:I81,"&lt;2")+COUNTIFS(H66:H81,"High",I66:I81,"&lt;2")</f>
        <v>0</v>
      </c>
      <c r="J7" s="5">
        <f>COUNTIF(T66:T81,"In Progress")+COUNTIF(T66:T81,"Not Started")</f>
        <v>0</v>
      </c>
      <c r="K7" s="5">
        <f ca="1">COUNTIFS(P66:P81,"&lt;"&amp;TODAY(),Q66:Q81,"")</f>
        <v>0</v>
      </c>
      <c r="L7" s="3"/>
      <c r="M7" s="3"/>
      <c r="N7" s="3"/>
      <c r="O7" s="3"/>
    </row>
    <row r="8" spans="1:21" ht="28" customHeight="1" x14ac:dyDescent="0.35">
      <c r="A8" s="4" t="s">
        <v>21</v>
      </c>
      <c r="B8" s="7">
        <v>46140</v>
      </c>
      <c r="C8" s="8"/>
      <c r="D8" s="3"/>
      <c r="E8" s="5">
        <f>SUMIF(I87:I102,"&gt;=0",I87:I102)</f>
        <v>0</v>
      </c>
      <c r="F8" s="5">
        <f>COUNT(I87:I102)*2</f>
        <v>0</v>
      </c>
      <c r="G8" s="6" t="str">
        <f t="shared" si="0"/>
        <v/>
      </c>
      <c r="H8" s="5" t="str">
        <f t="shared" si="1"/>
        <v>Not Started</v>
      </c>
      <c r="I8" s="5">
        <f>COUNTIFS(H87:H102,"Critical",I87:I102,"&lt;2")+COUNTIFS(H87:H102,"High",I87:I102,"&lt;2")</f>
        <v>0</v>
      </c>
      <c r="J8" s="5">
        <f>COUNTIF(T87:T102,"In Progress")+COUNTIF(T87:T102,"Not Started")</f>
        <v>0</v>
      </c>
      <c r="K8" s="5">
        <f ca="1">COUNTIFS(P87:P102,"&lt;"&amp;TODAY(),Q87:Q102,"")</f>
        <v>0</v>
      </c>
      <c r="L8" s="3"/>
      <c r="M8" s="3"/>
      <c r="N8" s="3"/>
      <c r="O8" s="3"/>
    </row>
    <row r="9" spans="1:21" ht="28" customHeight="1" x14ac:dyDescent="0.35">
      <c r="A9" s="4" t="s">
        <v>22</v>
      </c>
      <c r="B9" s="7">
        <v>46170</v>
      </c>
      <c r="C9" s="8"/>
      <c r="D9" s="3"/>
      <c r="E9" s="5">
        <f>SUMIF(I108:I123,"&gt;=0",I108:I123)</f>
        <v>0</v>
      </c>
      <c r="F9" s="5">
        <f>COUNT(I108:I123)*2</f>
        <v>0</v>
      </c>
      <c r="G9" s="6" t="str">
        <f t="shared" si="0"/>
        <v/>
      </c>
      <c r="H9" s="5" t="str">
        <f t="shared" si="1"/>
        <v>Not Started</v>
      </c>
      <c r="I9" s="5">
        <f>COUNTIFS(H108:H123,"Critical",I108:I123,"&lt;2")+COUNTIFS(H108:H123,"High",I108:I123,"&lt;2")</f>
        <v>0</v>
      </c>
      <c r="J9" s="5">
        <f>COUNTIF(T108:T123,"In Progress")+COUNTIF(T108:T123,"Not Started")</f>
        <v>0</v>
      </c>
      <c r="K9" s="5">
        <f ca="1">COUNTIFS(P108:P123,"&lt;"&amp;TODAY(),Q108:Q123,"")</f>
        <v>0</v>
      </c>
      <c r="L9" s="3"/>
      <c r="M9" s="3"/>
      <c r="N9" s="3"/>
      <c r="O9" s="3"/>
    </row>
    <row r="10" spans="1:21" ht="28" customHeight="1" x14ac:dyDescent="0.35">
      <c r="A10" s="4" t="s">
        <v>23</v>
      </c>
      <c r="B10" s="7">
        <v>46201</v>
      </c>
      <c r="C10" s="8"/>
      <c r="D10" s="3"/>
      <c r="E10" s="5">
        <f>SUMIF(I129:I144,"&gt;=0",I129:I144)</f>
        <v>0</v>
      </c>
      <c r="F10" s="5">
        <f>COUNT(I129:I144)*2</f>
        <v>0</v>
      </c>
      <c r="G10" s="6" t="str">
        <f t="shared" si="0"/>
        <v/>
      </c>
      <c r="H10" s="5" t="str">
        <f t="shared" si="1"/>
        <v>Not Started</v>
      </c>
      <c r="I10" s="5">
        <f>COUNTIFS(H129:H144,"Critical",I129:I144,"&lt;2")+COUNTIFS(H129:H144,"High",I129:I144,"&lt;2")</f>
        <v>0</v>
      </c>
      <c r="J10" s="5">
        <f>COUNTIF(T129:T144,"In Progress")+COUNTIF(T129:T144,"Not Started")</f>
        <v>0</v>
      </c>
      <c r="K10" s="5">
        <f ca="1">COUNTIFS(P129:P144,"&lt;"&amp;TODAY(),Q129:Q144,"")</f>
        <v>0</v>
      </c>
      <c r="L10" s="3"/>
      <c r="M10" s="3"/>
      <c r="N10" s="3"/>
      <c r="O10" s="3"/>
    </row>
    <row r="11" spans="1:21" ht="28" customHeight="1" x14ac:dyDescent="0.35">
      <c r="A11" s="4" t="s">
        <v>24</v>
      </c>
      <c r="B11" s="7">
        <v>46231</v>
      </c>
      <c r="C11" s="8"/>
      <c r="D11" s="3"/>
      <c r="E11" s="5">
        <f>SUMIF(I150:I165,"&gt;=0",I150:I165)</f>
        <v>0</v>
      </c>
      <c r="F11" s="5">
        <f>COUNT(I150:I165)*2</f>
        <v>0</v>
      </c>
      <c r="G11" s="6" t="str">
        <f t="shared" si="0"/>
        <v/>
      </c>
      <c r="H11" s="5" t="str">
        <f t="shared" si="1"/>
        <v>Not Started</v>
      </c>
      <c r="I11" s="5">
        <f>COUNTIFS(H150:H165,"Critical",I150:I165,"&lt;2")+COUNTIFS(H150:H165,"High",I150:I165,"&lt;2")</f>
        <v>0</v>
      </c>
      <c r="J11" s="5">
        <f>COUNTIF(T150:T165,"In Progress")+COUNTIF(T150:T165,"Not Started")</f>
        <v>0</v>
      </c>
      <c r="K11" s="5">
        <f ca="1">COUNTIFS(P150:P165,"&lt;"&amp;TODAY(),Q150:Q165,"")</f>
        <v>0</v>
      </c>
      <c r="L11" s="3"/>
      <c r="M11" s="3"/>
      <c r="N11" s="3"/>
      <c r="O11" s="3"/>
    </row>
    <row r="12" spans="1:21" ht="28" customHeight="1" x14ac:dyDescent="0.35">
      <c r="A12" s="4" t="s">
        <v>25</v>
      </c>
      <c r="B12" s="7">
        <v>46262</v>
      </c>
      <c r="C12" s="8"/>
      <c r="D12" s="3"/>
      <c r="E12" s="5">
        <f>SUMIF(I171:I186,"&gt;=0",I171:I186)</f>
        <v>0</v>
      </c>
      <c r="F12" s="5">
        <f>COUNT(I171:I186)*2</f>
        <v>0</v>
      </c>
      <c r="G12" s="6" t="str">
        <f t="shared" si="0"/>
        <v/>
      </c>
      <c r="H12" s="5" t="str">
        <f t="shared" si="1"/>
        <v>Not Started</v>
      </c>
      <c r="I12" s="5">
        <f>COUNTIFS(H171:H186,"Critical",I171:I186,"&lt;2")+COUNTIFS(H171:H186,"High",I171:I186,"&lt;2")</f>
        <v>0</v>
      </c>
      <c r="J12" s="5">
        <f>COUNTIF(T171:T186,"In Progress")+COUNTIF(T171:T186,"Not Started")</f>
        <v>0</v>
      </c>
      <c r="K12" s="5">
        <f ca="1">COUNTIFS(P171:P186,"&lt;"&amp;TODAY(),Q171:Q186,"")</f>
        <v>0</v>
      </c>
      <c r="L12" s="3"/>
      <c r="M12" s="3"/>
      <c r="N12" s="3"/>
      <c r="O12" s="3"/>
    </row>
    <row r="13" spans="1:21" ht="28" customHeight="1" x14ac:dyDescent="0.35">
      <c r="A13" s="4" t="s">
        <v>26</v>
      </c>
      <c r="B13" s="7">
        <v>46293</v>
      </c>
      <c r="C13" s="8"/>
      <c r="D13" s="3"/>
      <c r="E13" s="5">
        <f>SUMIF(I192:I207,"&gt;=0",I192:I207)</f>
        <v>0</v>
      </c>
      <c r="F13" s="5">
        <f>COUNT(I192:I207)*2</f>
        <v>0</v>
      </c>
      <c r="G13" s="6" t="str">
        <f t="shared" si="0"/>
        <v/>
      </c>
      <c r="H13" s="5" t="str">
        <f t="shared" si="1"/>
        <v>Not Started</v>
      </c>
      <c r="I13" s="5">
        <f>COUNTIFS(H192:H207,"Critical",I192:I207,"&lt;2")+COUNTIFS(H192:H207,"High",I192:I207,"&lt;2")</f>
        <v>0</v>
      </c>
      <c r="J13" s="5">
        <f>COUNTIF(T192:T207,"In Progress")+COUNTIF(T192:T207,"Not Started")</f>
        <v>0</v>
      </c>
      <c r="K13" s="5">
        <f ca="1">COUNTIFS(P192:P207,"&lt;"&amp;TODAY(),Q192:Q207,"")</f>
        <v>0</v>
      </c>
      <c r="L13" s="3"/>
      <c r="M13" s="3"/>
      <c r="N13" s="3"/>
      <c r="O13" s="3"/>
    </row>
    <row r="14" spans="1:21" ht="28" customHeight="1" x14ac:dyDescent="0.35">
      <c r="A14" s="4" t="s">
        <v>27</v>
      </c>
      <c r="B14" s="7">
        <v>46323</v>
      </c>
      <c r="C14" s="8"/>
      <c r="D14" s="3"/>
      <c r="E14" s="5">
        <f>SUMIF(I213:I228,"&gt;=0",I213:I228)</f>
        <v>0</v>
      </c>
      <c r="F14" s="5">
        <f>COUNT(I213:I228)*2</f>
        <v>0</v>
      </c>
      <c r="G14" s="6" t="str">
        <f t="shared" si="0"/>
        <v/>
      </c>
      <c r="H14" s="5" t="str">
        <f t="shared" si="1"/>
        <v>Not Started</v>
      </c>
      <c r="I14" s="5">
        <f>COUNTIFS(H213:H228,"Critical",I213:I228,"&lt;2")+COUNTIFS(H213:H228,"High",I213:I228,"&lt;2")</f>
        <v>0</v>
      </c>
      <c r="J14" s="5">
        <f>COUNTIF(T213:T228,"In Progress")+COUNTIF(T213:T228,"Not Started")</f>
        <v>0</v>
      </c>
      <c r="K14" s="5">
        <f ca="1">COUNTIFS(P213:P228,"&lt;"&amp;TODAY(),Q213:Q228,"")</f>
        <v>0</v>
      </c>
      <c r="L14" s="3"/>
      <c r="M14" s="3"/>
      <c r="N14" s="3"/>
      <c r="O14" s="3"/>
    </row>
    <row r="15" spans="1:21" ht="28" customHeight="1" x14ac:dyDescent="0.35">
      <c r="A15" s="4" t="s">
        <v>28</v>
      </c>
      <c r="B15" s="7">
        <v>46354</v>
      </c>
      <c r="C15" s="8"/>
      <c r="D15" s="3"/>
      <c r="E15" s="5">
        <f>SUMIF(I234:I249,"&gt;=0",I234:I249)</f>
        <v>0</v>
      </c>
      <c r="F15" s="5">
        <f>COUNT(I234:I249)*2</f>
        <v>0</v>
      </c>
      <c r="G15" s="6" t="str">
        <f t="shared" si="0"/>
        <v/>
      </c>
      <c r="H15" s="5" t="str">
        <f t="shared" si="1"/>
        <v>Not Started</v>
      </c>
      <c r="I15" s="5">
        <f>COUNTIFS(H234:H249,"Critical",I234:I249,"&lt;2")+COUNTIFS(H234:H249,"High",I234:I249,"&lt;2")</f>
        <v>0</v>
      </c>
      <c r="J15" s="5">
        <f>COUNTIF(T234:T249,"In Progress")+COUNTIF(T234:T249,"Not Started")</f>
        <v>0</v>
      </c>
      <c r="K15" s="5">
        <f ca="1">COUNTIFS(P234:P249,"&lt;"&amp;TODAY(),Q234:Q249,"")</f>
        <v>0</v>
      </c>
      <c r="L15" s="3"/>
      <c r="M15" s="3"/>
      <c r="N15" s="3"/>
      <c r="O15" s="3"/>
    </row>
    <row r="16" spans="1:21" ht="28" customHeight="1" x14ac:dyDescent="0.35">
      <c r="A16" s="4" t="s">
        <v>29</v>
      </c>
      <c r="B16" s="7">
        <v>46384</v>
      </c>
      <c r="C16" s="8"/>
      <c r="D16" s="3"/>
      <c r="E16" s="5">
        <f>SUMIF(I255:I270,"&gt;=0",I255:I270)</f>
        <v>0</v>
      </c>
      <c r="F16" s="5">
        <f>COUNT(I255:I270)*2</f>
        <v>0</v>
      </c>
      <c r="G16" s="6" t="str">
        <f t="shared" si="0"/>
        <v/>
      </c>
      <c r="H16" s="5" t="str">
        <f t="shared" si="1"/>
        <v>Not Started</v>
      </c>
      <c r="I16" s="5">
        <f>COUNTIFS(H255:H270,"Critical",I255:I270,"&lt;2")+COUNTIFS(H255:H270,"High",I255:I270,"&lt;2")</f>
        <v>0</v>
      </c>
      <c r="J16" s="5">
        <f>COUNTIF(T255:T270,"In Progress")+COUNTIF(T255:T270,"Not Started")</f>
        <v>0</v>
      </c>
      <c r="K16" s="5">
        <f ca="1">COUNTIFS(P255:P270,"&lt;"&amp;TODAY(),Q255:Q270,"")</f>
        <v>0</v>
      </c>
      <c r="L16" s="3"/>
      <c r="M16" s="3"/>
      <c r="N16" s="3"/>
      <c r="O16" s="3"/>
    </row>
    <row r="21" spans="1:21" ht="28" customHeight="1" x14ac:dyDescent="0.35">
      <c r="A21" s="19" t="s">
        <v>536</v>
      </c>
      <c r="B21" s="20"/>
      <c r="C21" s="20"/>
      <c r="D21" s="20"/>
      <c r="E21" s="20"/>
      <c r="F21" s="20"/>
      <c r="G21" s="20"/>
      <c r="H21" s="20"/>
      <c r="I21" s="20"/>
      <c r="J21" s="20"/>
      <c r="K21" s="20"/>
      <c r="L21" s="20"/>
      <c r="M21" s="20"/>
      <c r="N21" s="20"/>
      <c r="O21" s="20"/>
      <c r="P21" s="20"/>
      <c r="Q21" s="20"/>
      <c r="R21" s="20"/>
      <c r="S21" s="20"/>
      <c r="T21" s="20"/>
      <c r="U21" s="21"/>
    </row>
    <row r="22" spans="1:21" ht="28" customHeight="1" x14ac:dyDescent="0.35">
      <c r="A22" s="4" t="s">
        <v>31</v>
      </c>
      <c r="B22" s="3" t="s">
        <v>18</v>
      </c>
      <c r="C22" s="4" t="s">
        <v>32</v>
      </c>
      <c r="D22" s="3"/>
      <c r="E22" s="4" t="s">
        <v>33</v>
      </c>
      <c r="F22" s="8"/>
    </row>
    <row r="23" spans="1:21" ht="28" customHeight="1" x14ac:dyDescent="0.35">
      <c r="A23" s="1" t="s">
        <v>34</v>
      </c>
      <c r="B23" s="1" t="s">
        <v>35</v>
      </c>
      <c r="C23" s="1" t="s">
        <v>36</v>
      </c>
      <c r="D23" s="1" t="s">
        <v>37</v>
      </c>
      <c r="E23" s="1" t="s">
        <v>38</v>
      </c>
      <c r="F23" s="1" t="s">
        <v>39</v>
      </c>
      <c r="G23" s="1" t="s">
        <v>40</v>
      </c>
      <c r="H23" s="1" t="s">
        <v>41</v>
      </c>
      <c r="I23" s="1" t="s">
        <v>42</v>
      </c>
      <c r="J23" s="1" t="s">
        <v>43</v>
      </c>
      <c r="K23" s="1" t="s">
        <v>44</v>
      </c>
      <c r="L23" s="1" t="s">
        <v>45</v>
      </c>
      <c r="M23" s="1" t="s">
        <v>46</v>
      </c>
      <c r="N23" s="1" t="s">
        <v>47</v>
      </c>
      <c r="O23" s="1" t="s">
        <v>48</v>
      </c>
      <c r="P23" s="1" t="s">
        <v>4</v>
      </c>
      <c r="Q23" s="1" t="s">
        <v>49</v>
      </c>
      <c r="R23" s="1" t="s">
        <v>50</v>
      </c>
      <c r="S23" s="1" t="s">
        <v>51</v>
      </c>
      <c r="T23" s="1" t="s">
        <v>52</v>
      </c>
      <c r="U23" s="1" t="s">
        <v>10</v>
      </c>
    </row>
    <row r="24" spans="1:21" ht="28" customHeight="1" x14ac:dyDescent="0.35">
      <c r="A24" s="4">
        <v>1</v>
      </c>
      <c r="B24" s="4" t="s">
        <v>53</v>
      </c>
      <c r="C24" s="4" t="s">
        <v>537</v>
      </c>
      <c r="D24" s="4" t="s">
        <v>538</v>
      </c>
      <c r="E24" s="4" t="s">
        <v>56</v>
      </c>
      <c r="F24" s="4" t="s">
        <v>57</v>
      </c>
      <c r="G24" s="4" t="s">
        <v>58</v>
      </c>
      <c r="H24" s="4" t="s">
        <v>59</v>
      </c>
      <c r="I24" s="3"/>
      <c r="J24" s="3"/>
      <c r="K24" s="3"/>
      <c r="L24" s="3"/>
      <c r="M24" s="3"/>
      <c r="N24" s="3"/>
      <c r="O24" s="3"/>
      <c r="P24" s="8"/>
      <c r="Q24" s="8"/>
      <c r="R24" s="3"/>
      <c r="S24" s="3"/>
      <c r="T24" s="3"/>
      <c r="U24" s="5" t="str">
        <f t="shared" ref="U24:U39" si="2">IF(I24="","",IF(I24="NA","Grey",IF(I24=2,"Green",IF(I24=1,"Amber","Red"))))</f>
        <v/>
      </c>
    </row>
    <row r="25" spans="1:21" ht="28" customHeight="1" x14ac:dyDescent="0.35">
      <c r="A25" s="4">
        <v>2</v>
      </c>
      <c r="B25" s="4" t="s">
        <v>53</v>
      </c>
      <c r="C25" s="4" t="s">
        <v>539</v>
      </c>
      <c r="D25" s="4" t="s">
        <v>540</v>
      </c>
      <c r="E25" s="4" t="s">
        <v>56</v>
      </c>
      <c r="F25" s="4" t="s">
        <v>57</v>
      </c>
      <c r="G25" s="4" t="s">
        <v>58</v>
      </c>
      <c r="H25" s="4" t="s">
        <v>59</v>
      </c>
      <c r="I25" s="3"/>
      <c r="J25" s="3"/>
      <c r="K25" s="3"/>
      <c r="L25" s="3"/>
      <c r="M25" s="3"/>
      <c r="N25" s="3"/>
      <c r="O25" s="3"/>
      <c r="P25" s="8"/>
      <c r="Q25" s="8"/>
      <c r="R25" s="3"/>
      <c r="S25" s="3"/>
      <c r="T25" s="3"/>
      <c r="U25" s="5" t="str">
        <f t="shared" si="2"/>
        <v/>
      </c>
    </row>
    <row r="26" spans="1:21" ht="28" customHeight="1" x14ac:dyDescent="0.35">
      <c r="A26" s="4">
        <v>3</v>
      </c>
      <c r="B26" s="4" t="s">
        <v>53</v>
      </c>
      <c r="C26" s="4" t="s">
        <v>541</v>
      </c>
      <c r="D26" s="4" t="s">
        <v>542</v>
      </c>
      <c r="E26" s="4" t="s">
        <v>56</v>
      </c>
      <c r="F26" s="4" t="s">
        <v>57</v>
      </c>
      <c r="G26" s="4" t="s">
        <v>58</v>
      </c>
      <c r="H26" s="4" t="s">
        <v>59</v>
      </c>
      <c r="I26" s="3"/>
      <c r="J26" s="3"/>
      <c r="K26" s="3"/>
      <c r="L26" s="3"/>
      <c r="M26" s="3"/>
      <c r="N26" s="3"/>
      <c r="O26" s="3"/>
      <c r="P26" s="8"/>
      <c r="Q26" s="8"/>
      <c r="R26" s="3"/>
      <c r="S26" s="3"/>
      <c r="T26" s="3"/>
      <c r="U26" s="5" t="str">
        <f t="shared" si="2"/>
        <v/>
      </c>
    </row>
    <row r="27" spans="1:21" ht="28" customHeight="1" x14ac:dyDescent="0.35">
      <c r="A27" s="4">
        <v>4</v>
      </c>
      <c r="B27" s="4" t="s">
        <v>53</v>
      </c>
      <c r="C27" s="4" t="s">
        <v>543</v>
      </c>
      <c r="D27" s="4" t="s">
        <v>544</v>
      </c>
      <c r="E27" s="4" t="s">
        <v>56</v>
      </c>
      <c r="F27" s="4" t="s">
        <v>57</v>
      </c>
      <c r="G27" s="4" t="s">
        <v>58</v>
      </c>
      <c r="H27" s="4" t="s">
        <v>59</v>
      </c>
      <c r="I27" s="3"/>
      <c r="J27" s="3"/>
      <c r="K27" s="3"/>
      <c r="L27" s="3"/>
      <c r="M27" s="3"/>
      <c r="N27" s="3"/>
      <c r="O27" s="3"/>
      <c r="P27" s="8"/>
      <c r="Q27" s="8"/>
      <c r="R27" s="3"/>
      <c r="S27" s="3"/>
      <c r="T27" s="3"/>
      <c r="U27" s="5" t="str">
        <f t="shared" si="2"/>
        <v/>
      </c>
    </row>
    <row r="28" spans="1:21" ht="28" customHeight="1" x14ac:dyDescent="0.35">
      <c r="A28" s="4">
        <v>5</v>
      </c>
      <c r="B28" s="4" t="s">
        <v>66</v>
      </c>
      <c r="C28" s="4" t="s">
        <v>67</v>
      </c>
      <c r="D28" s="4" t="s">
        <v>68</v>
      </c>
      <c r="E28" s="4" t="s">
        <v>69</v>
      </c>
      <c r="F28" s="4" t="s">
        <v>57</v>
      </c>
      <c r="G28" s="4" t="s">
        <v>58</v>
      </c>
      <c r="H28" s="4" t="s">
        <v>59</v>
      </c>
      <c r="I28" s="3"/>
      <c r="J28" s="3"/>
      <c r="K28" s="3"/>
      <c r="L28" s="3"/>
      <c r="M28" s="3"/>
      <c r="N28" s="3"/>
      <c r="O28" s="3"/>
      <c r="P28" s="8"/>
      <c r="Q28" s="8"/>
      <c r="R28" s="3"/>
      <c r="S28" s="3"/>
      <c r="T28" s="3"/>
      <c r="U28" s="5" t="str">
        <f t="shared" si="2"/>
        <v/>
      </c>
    </row>
    <row r="29" spans="1:21" ht="28" customHeight="1" x14ac:dyDescent="0.35">
      <c r="A29" s="4">
        <v>6</v>
      </c>
      <c r="B29" s="4" t="s">
        <v>70</v>
      </c>
      <c r="C29" s="4" t="s">
        <v>71</v>
      </c>
      <c r="D29" s="4" t="s">
        <v>72</v>
      </c>
      <c r="E29" s="4" t="s">
        <v>70</v>
      </c>
      <c r="F29" s="4" t="s">
        <v>57</v>
      </c>
      <c r="G29" s="4" t="s">
        <v>58</v>
      </c>
      <c r="H29" s="4" t="s">
        <v>59</v>
      </c>
      <c r="I29" s="3"/>
      <c r="J29" s="3"/>
      <c r="K29" s="3"/>
      <c r="L29" s="3"/>
      <c r="M29" s="3"/>
      <c r="N29" s="3"/>
      <c r="O29" s="3"/>
      <c r="P29" s="8"/>
      <c r="Q29" s="8"/>
      <c r="R29" s="3"/>
      <c r="S29" s="3"/>
      <c r="T29" s="3"/>
      <c r="U29" s="5" t="str">
        <f t="shared" si="2"/>
        <v/>
      </c>
    </row>
    <row r="30" spans="1:21" ht="28" customHeight="1" x14ac:dyDescent="0.35">
      <c r="A30" s="4">
        <v>7</v>
      </c>
      <c r="B30" s="4" t="s">
        <v>73</v>
      </c>
      <c r="C30" s="4" t="s">
        <v>74</v>
      </c>
      <c r="D30" s="4" t="s">
        <v>75</v>
      </c>
      <c r="E30" s="4" t="s">
        <v>69</v>
      </c>
      <c r="F30" s="4" t="s">
        <v>57</v>
      </c>
      <c r="G30" s="4" t="s">
        <v>58</v>
      </c>
      <c r="H30" s="4" t="s">
        <v>76</v>
      </c>
      <c r="I30" s="3"/>
      <c r="J30" s="3"/>
      <c r="K30" s="3"/>
      <c r="L30" s="3"/>
      <c r="M30" s="3"/>
      <c r="N30" s="3"/>
      <c r="O30" s="3"/>
      <c r="P30" s="8"/>
      <c r="Q30" s="8"/>
      <c r="R30" s="3"/>
      <c r="S30" s="3"/>
      <c r="T30" s="3"/>
      <c r="U30" s="5" t="str">
        <f t="shared" si="2"/>
        <v/>
      </c>
    </row>
    <row r="31" spans="1:21" ht="28" customHeight="1" x14ac:dyDescent="0.35">
      <c r="A31" s="4">
        <v>8</v>
      </c>
      <c r="B31" s="4" t="s">
        <v>77</v>
      </c>
      <c r="C31" s="4" t="s">
        <v>78</v>
      </c>
      <c r="D31" s="4" t="s">
        <v>79</v>
      </c>
      <c r="E31" s="4" t="s">
        <v>80</v>
      </c>
      <c r="F31" s="4" t="s">
        <v>57</v>
      </c>
      <c r="G31" s="4" t="s">
        <v>58</v>
      </c>
      <c r="H31" s="4" t="s">
        <v>59</v>
      </c>
      <c r="I31" s="3"/>
      <c r="J31" s="3"/>
      <c r="K31" s="3"/>
      <c r="L31" s="3"/>
      <c r="M31" s="3"/>
      <c r="N31" s="3"/>
      <c r="O31" s="3"/>
      <c r="P31" s="8"/>
      <c r="Q31" s="8"/>
      <c r="R31" s="3"/>
      <c r="S31" s="3"/>
      <c r="T31" s="3"/>
      <c r="U31" s="5" t="str">
        <f t="shared" si="2"/>
        <v/>
      </c>
    </row>
    <row r="32" spans="1:21" ht="28" customHeight="1" x14ac:dyDescent="0.35">
      <c r="A32" s="4">
        <v>9</v>
      </c>
      <c r="B32" s="4" t="s">
        <v>81</v>
      </c>
      <c r="C32" s="4" t="s">
        <v>82</v>
      </c>
      <c r="D32" s="4" t="s">
        <v>83</v>
      </c>
      <c r="E32" s="4" t="s">
        <v>84</v>
      </c>
      <c r="F32" s="4" t="s">
        <v>57</v>
      </c>
      <c r="G32" s="4" t="s">
        <v>58</v>
      </c>
      <c r="H32" s="4" t="s">
        <v>85</v>
      </c>
      <c r="I32" s="3"/>
      <c r="J32" s="3"/>
      <c r="K32" s="3"/>
      <c r="L32" s="3"/>
      <c r="M32" s="3"/>
      <c r="N32" s="3"/>
      <c r="O32" s="3"/>
      <c r="P32" s="8"/>
      <c r="Q32" s="8"/>
      <c r="R32" s="3"/>
      <c r="S32" s="3"/>
      <c r="T32" s="3"/>
      <c r="U32" s="5" t="str">
        <f t="shared" si="2"/>
        <v/>
      </c>
    </row>
    <row r="33" spans="1:21" ht="28" customHeight="1" x14ac:dyDescent="0.35">
      <c r="A33" s="4">
        <v>10</v>
      </c>
      <c r="B33" s="4" t="s">
        <v>86</v>
      </c>
      <c r="C33" s="4" t="s">
        <v>87</v>
      </c>
      <c r="D33" s="4" t="s">
        <v>88</v>
      </c>
      <c r="E33" s="4" t="s">
        <v>69</v>
      </c>
      <c r="F33" s="4" t="s">
        <v>57</v>
      </c>
      <c r="G33" s="4" t="s">
        <v>58</v>
      </c>
      <c r="H33" s="4" t="s">
        <v>59</v>
      </c>
      <c r="I33" s="3"/>
      <c r="J33" s="3"/>
      <c r="K33" s="3"/>
      <c r="L33" s="3"/>
      <c r="M33" s="3"/>
      <c r="N33" s="3"/>
      <c r="O33" s="3"/>
      <c r="P33" s="8"/>
      <c r="Q33" s="8"/>
      <c r="R33" s="3"/>
      <c r="S33" s="3"/>
      <c r="T33" s="3"/>
      <c r="U33" s="5" t="str">
        <f t="shared" si="2"/>
        <v/>
      </c>
    </row>
    <row r="34" spans="1:21" ht="28" customHeight="1" x14ac:dyDescent="0.35">
      <c r="A34" s="4">
        <v>11</v>
      </c>
      <c r="B34" s="4" t="s">
        <v>89</v>
      </c>
      <c r="C34" s="4" t="s">
        <v>90</v>
      </c>
      <c r="D34" s="4" t="s">
        <v>91</v>
      </c>
      <c r="E34" s="4" t="s">
        <v>84</v>
      </c>
      <c r="F34" s="4" t="s">
        <v>57</v>
      </c>
      <c r="G34" s="4" t="s">
        <v>58</v>
      </c>
      <c r="H34" s="4" t="s">
        <v>59</v>
      </c>
      <c r="I34" s="3"/>
      <c r="J34" s="3"/>
      <c r="K34" s="3"/>
      <c r="L34" s="3"/>
      <c r="M34" s="3"/>
      <c r="N34" s="3"/>
      <c r="O34" s="3"/>
      <c r="P34" s="8"/>
      <c r="Q34" s="8"/>
      <c r="R34" s="3"/>
      <c r="S34" s="3"/>
      <c r="T34" s="3"/>
      <c r="U34" s="5" t="str">
        <f t="shared" si="2"/>
        <v/>
      </c>
    </row>
    <row r="35" spans="1:21" ht="28" customHeight="1" x14ac:dyDescent="0.35">
      <c r="A35" s="4">
        <v>12</v>
      </c>
      <c r="B35" s="4" t="s">
        <v>92</v>
      </c>
      <c r="C35" s="4" t="s">
        <v>93</v>
      </c>
      <c r="D35" s="4" t="s">
        <v>94</v>
      </c>
      <c r="E35" s="4" t="s">
        <v>69</v>
      </c>
      <c r="F35" s="4" t="s">
        <v>95</v>
      </c>
      <c r="G35" s="4" t="s">
        <v>96</v>
      </c>
      <c r="H35" s="4" t="s">
        <v>59</v>
      </c>
      <c r="I35" s="3"/>
      <c r="J35" s="3"/>
      <c r="K35" s="3"/>
      <c r="L35" s="3"/>
      <c r="M35" s="3"/>
      <c r="N35" s="3"/>
      <c r="O35" s="3"/>
      <c r="P35" s="8"/>
      <c r="Q35" s="8"/>
      <c r="R35" s="3"/>
      <c r="S35" s="3"/>
      <c r="T35" s="3"/>
      <c r="U35" s="5" t="str">
        <f t="shared" si="2"/>
        <v/>
      </c>
    </row>
    <row r="36" spans="1:21" ht="28" customHeight="1" x14ac:dyDescent="0.35">
      <c r="A36" s="4">
        <v>13</v>
      </c>
      <c r="B36" s="4" t="s">
        <v>97</v>
      </c>
      <c r="C36" s="4" t="s">
        <v>98</v>
      </c>
      <c r="D36" s="4" t="s">
        <v>99</v>
      </c>
      <c r="E36" s="4" t="s">
        <v>69</v>
      </c>
      <c r="F36" s="4" t="s">
        <v>95</v>
      </c>
      <c r="G36" s="4" t="s">
        <v>96</v>
      </c>
      <c r="H36" s="4" t="s">
        <v>59</v>
      </c>
      <c r="I36" s="3"/>
      <c r="J36" s="3"/>
      <c r="K36" s="3"/>
      <c r="L36" s="3"/>
      <c r="M36" s="3"/>
      <c r="N36" s="3"/>
      <c r="O36" s="3"/>
      <c r="P36" s="8"/>
      <c r="Q36" s="8"/>
      <c r="R36" s="3"/>
      <c r="S36" s="3"/>
      <c r="T36" s="3"/>
      <c r="U36" s="5" t="str">
        <f t="shared" si="2"/>
        <v/>
      </c>
    </row>
    <row r="37" spans="1:21" ht="28" customHeight="1" x14ac:dyDescent="0.35">
      <c r="A37" s="4">
        <v>14</v>
      </c>
      <c r="B37" s="4" t="s">
        <v>97</v>
      </c>
      <c r="C37" s="4" t="s">
        <v>100</v>
      </c>
      <c r="D37" s="4" t="s">
        <v>101</v>
      </c>
      <c r="E37" s="4" t="s">
        <v>69</v>
      </c>
      <c r="F37" s="4" t="s">
        <v>95</v>
      </c>
      <c r="G37" s="4" t="s">
        <v>102</v>
      </c>
      <c r="H37" s="4" t="s">
        <v>59</v>
      </c>
      <c r="I37" s="3"/>
      <c r="J37" s="3"/>
      <c r="K37" s="3"/>
      <c r="L37" s="3"/>
      <c r="M37" s="3"/>
      <c r="N37" s="3"/>
      <c r="O37" s="3"/>
      <c r="P37" s="8"/>
      <c r="Q37" s="8"/>
      <c r="R37" s="3"/>
      <c r="S37" s="3"/>
      <c r="T37" s="3"/>
      <c r="U37" s="5" t="str">
        <f t="shared" si="2"/>
        <v/>
      </c>
    </row>
    <row r="38" spans="1:21" ht="28" customHeight="1" x14ac:dyDescent="0.35">
      <c r="A38" s="4">
        <v>15</v>
      </c>
      <c r="B38" s="4" t="s">
        <v>103</v>
      </c>
      <c r="C38" s="4" t="s">
        <v>104</v>
      </c>
      <c r="D38" s="4" t="s">
        <v>105</v>
      </c>
      <c r="E38" s="4" t="s">
        <v>69</v>
      </c>
      <c r="F38" s="4" t="s">
        <v>95</v>
      </c>
      <c r="G38" s="4" t="s">
        <v>96</v>
      </c>
      <c r="H38" s="4" t="s">
        <v>85</v>
      </c>
      <c r="I38" s="3"/>
      <c r="J38" s="3"/>
      <c r="K38" s="3"/>
      <c r="L38" s="3"/>
      <c r="M38" s="3"/>
      <c r="N38" s="3"/>
      <c r="O38" s="3"/>
      <c r="P38" s="8"/>
      <c r="Q38" s="8"/>
      <c r="R38" s="3"/>
      <c r="S38" s="3"/>
      <c r="T38" s="3"/>
      <c r="U38" s="5" t="str">
        <f t="shared" si="2"/>
        <v/>
      </c>
    </row>
    <row r="39" spans="1:21" ht="28" customHeight="1" x14ac:dyDescent="0.35">
      <c r="A39" s="4">
        <v>16</v>
      </c>
      <c r="B39" s="4" t="s">
        <v>106</v>
      </c>
      <c r="C39" s="4" t="s">
        <v>107</v>
      </c>
      <c r="D39" s="4" t="s">
        <v>108</v>
      </c>
      <c r="E39" s="4" t="s">
        <v>109</v>
      </c>
      <c r="F39" s="4" t="s">
        <v>95</v>
      </c>
      <c r="G39" s="4" t="s">
        <v>96</v>
      </c>
      <c r="H39" s="4" t="s">
        <v>59</v>
      </c>
      <c r="I39" s="3"/>
      <c r="J39" s="3"/>
      <c r="K39" s="3"/>
      <c r="L39" s="3"/>
      <c r="M39" s="3"/>
      <c r="N39" s="3"/>
      <c r="O39" s="3"/>
      <c r="P39" s="8"/>
      <c r="Q39" s="8"/>
      <c r="R39" s="3"/>
      <c r="S39" s="3"/>
      <c r="T39" s="3"/>
      <c r="U39" s="5" t="str">
        <f t="shared" si="2"/>
        <v/>
      </c>
    </row>
    <row r="41" spans="1:21" ht="28" customHeight="1" x14ac:dyDescent="0.35">
      <c r="A41" s="9" t="s">
        <v>110</v>
      </c>
      <c r="B41" s="16"/>
      <c r="C41" s="17"/>
      <c r="D41" s="17"/>
      <c r="E41" s="17"/>
      <c r="F41" s="17"/>
      <c r="G41" s="17"/>
      <c r="H41" s="17"/>
      <c r="I41" s="17"/>
      <c r="J41" s="17"/>
      <c r="K41" s="17"/>
      <c r="L41" s="17"/>
      <c r="M41" s="17"/>
      <c r="N41" s="17"/>
      <c r="O41" s="17"/>
      <c r="P41" s="17"/>
      <c r="Q41" s="17"/>
      <c r="R41" s="17"/>
      <c r="S41" s="17"/>
      <c r="T41" s="17"/>
      <c r="U41" s="18"/>
    </row>
    <row r="42" spans="1:21" ht="28" customHeight="1" x14ac:dyDescent="0.35">
      <c r="A42" s="19" t="s">
        <v>545</v>
      </c>
      <c r="B42" s="20"/>
      <c r="C42" s="20"/>
      <c r="D42" s="20"/>
      <c r="E42" s="20"/>
      <c r="F42" s="20"/>
      <c r="G42" s="20"/>
      <c r="H42" s="20"/>
      <c r="I42" s="20"/>
      <c r="J42" s="20"/>
      <c r="K42" s="20"/>
      <c r="L42" s="20"/>
      <c r="M42" s="20"/>
      <c r="N42" s="20"/>
      <c r="O42" s="20"/>
      <c r="P42" s="20"/>
      <c r="Q42" s="20"/>
      <c r="R42" s="20"/>
      <c r="S42" s="20"/>
      <c r="T42" s="20"/>
      <c r="U42" s="21"/>
    </row>
    <row r="43" spans="1:21" ht="28" customHeight="1" x14ac:dyDescent="0.35">
      <c r="A43" s="4" t="s">
        <v>31</v>
      </c>
      <c r="B43" s="3" t="s">
        <v>19</v>
      </c>
      <c r="C43" s="4" t="s">
        <v>32</v>
      </c>
      <c r="D43" s="3"/>
      <c r="E43" s="4" t="s">
        <v>33</v>
      </c>
      <c r="F43" s="8"/>
    </row>
    <row r="44" spans="1:21" ht="28" customHeight="1" x14ac:dyDescent="0.35">
      <c r="A44" s="1" t="s">
        <v>34</v>
      </c>
      <c r="B44" s="1" t="s">
        <v>35</v>
      </c>
      <c r="C44" s="1" t="s">
        <v>36</v>
      </c>
      <c r="D44" s="1" t="s">
        <v>37</v>
      </c>
      <c r="E44" s="1" t="s">
        <v>38</v>
      </c>
      <c r="F44" s="1" t="s">
        <v>39</v>
      </c>
      <c r="G44" s="1" t="s">
        <v>40</v>
      </c>
      <c r="H44" s="1" t="s">
        <v>41</v>
      </c>
      <c r="I44" s="1" t="s">
        <v>42</v>
      </c>
      <c r="J44" s="1" t="s">
        <v>43</v>
      </c>
      <c r="K44" s="1" t="s">
        <v>44</v>
      </c>
      <c r="L44" s="1" t="s">
        <v>45</v>
      </c>
      <c r="M44" s="1" t="s">
        <v>46</v>
      </c>
      <c r="N44" s="1" t="s">
        <v>47</v>
      </c>
      <c r="O44" s="1" t="s">
        <v>48</v>
      </c>
      <c r="P44" s="1" t="s">
        <v>4</v>
      </c>
      <c r="Q44" s="1" t="s">
        <v>49</v>
      </c>
      <c r="R44" s="1" t="s">
        <v>50</v>
      </c>
      <c r="S44" s="1" t="s">
        <v>51</v>
      </c>
      <c r="T44" s="1" t="s">
        <v>52</v>
      </c>
      <c r="U44" s="1" t="s">
        <v>10</v>
      </c>
    </row>
    <row r="45" spans="1:21" ht="28" customHeight="1" x14ac:dyDescent="0.35">
      <c r="A45" s="4">
        <v>1</v>
      </c>
      <c r="B45" s="4" t="s">
        <v>53</v>
      </c>
      <c r="C45" s="4" t="s">
        <v>537</v>
      </c>
      <c r="D45" s="4" t="s">
        <v>538</v>
      </c>
      <c r="E45" s="4" t="s">
        <v>56</v>
      </c>
      <c r="F45" s="4" t="s">
        <v>57</v>
      </c>
      <c r="G45" s="4" t="s">
        <v>58</v>
      </c>
      <c r="H45" s="4" t="s">
        <v>59</v>
      </c>
      <c r="I45" s="3"/>
      <c r="J45" s="3"/>
      <c r="K45" s="3"/>
      <c r="L45" s="3"/>
      <c r="M45" s="3"/>
      <c r="N45" s="3"/>
      <c r="O45" s="3"/>
      <c r="P45" s="8"/>
      <c r="Q45" s="8"/>
      <c r="R45" s="3"/>
      <c r="S45" s="3"/>
      <c r="T45" s="3"/>
      <c r="U45" s="5" t="str">
        <f t="shared" ref="U45:U60" si="3">IF(I45="","",IF(I45="NA","Grey",IF(I45=2,"Green",IF(I45=1,"Amber","Red"))))</f>
        <v/>
      </c>
    </row>
    <row r="46" spans="1:21" ht="28" customHeight="1" x14ac:dyDescent="0.35">
      <c r="A46" s="4">
        <v>2</v>
      </c>
      <c r="B46" s="4" t="s">
        <v>53</v>
      </c>
      <c r="C46" s="4" t="s">
        <v>539</v>
      </c>
      <c r="D46" s="4" t="s">
        <v>540</v>
      </c>
      <c r="E46" s="4" t="s">
        <v>56</v>
      </c>
      <c r="F46" s="4" t="s">
        <v>57</v>
      </c>
      <c r="G46" s="4" t="s">
        <v>58</v>
      </c>
      <c r="H46" s="4" t="s">
        <v>59</v>
      </c>
      <c r="I46" s="3"/>
      <c r="J46" s="3"/>
      <c r="K46" s="3"/>
      <c r="L46" s="3"/>
      <c r="M46" s="3"/>
      <c r="N46" s="3"/>
      <c r="O46" s="3"/>
      <c r="P46" s="8"/>
      <c r="Q46" s="8"/>
      <c r="R46" s="3"/>
      <c r="S46" s="3"/>
      <c r="T46" s="3"/>
      <c r="U46" s="5" t="str">
        <f t="shared" si="3"/>
        <v/>
      </c>
    </row>
    <row r="47" spans="1:21" ht="28" customHeight="1" x14ac:dyDescent="0.35">
      <c r="A47" s="4">
        <v>3</v>
      </c>
      <c r="B47" s="4" t="s">
        <v>53</v>
      </c>
      <c r="C47" s="4" t="s">
        <v>541</v>
      </c>
      <c r="D47" s="4" t="s">
        <v>542</v>
      </c>
      <c r="E47" s="4" t="s">
        <v>56</v>
      </c>
      <c r="F47" s="4" t="s">
        <v>57</v>
      </c>
      <c r="G47" s="4" t="s">
        <v>58</v>
      </c>
      <c r="H47" s="4" t="s">
        <v>59</v>
      </c>
      <c r="I47" s="3"/>
      <c r="J47" s="3"/>
      <c r="K47" s="3"/>
      <c r="L47" s="3"/>
      <c r="M47" s="3"/>
      <c r="N47" s="3"/>
      <c r="O47" s="3"/>
      <c r="P47" s="8"/>
      <c r="Q47" s="8"/>
      <c r="R47" s="3"/>
      <c r="S47" s="3"/>
      <c r="T47" s="3"/>
      <c r="U47" s="5" t="str">
        <f t="shared" si="3"/>
        <v/>
      </c>
    </row>
    <row r="48" spans="1:21" ht="28" customHeight="1" x14ac:dyDescent="0.35">
      <c r="A48" s="4">
        <v>4</v>
      </c>
      <c r="B48" s="4" t="s">
        <v>53</v>
      </c>
      <c r="C48" s="4" t="s">
        <v>543</v>
      </c>
      <c r="D48" s="4" t="s">
        <v>544</v>
      </c>
      <c r="E48" s="4" t="s">
        <v>56</v>
      </c>
      <c r="F48" s="4" t="s">
        <v>57</v>
      </c>
      <c r="G48" s="4" t="s">
        <v>58</v>
      </c>
      <c r="H48" s="4" t="s">
        <v>59</v>
      </c>
      <c r="I48" s="3"/>
      <c r="J48" s="3"/>
      <c r="K48" s="3"/>
      <c r="L48" s="3"/>
      <c r="M48" s="3"/>
      <c r="N48" s="3"/>
      <c r="O48" s="3"/>
      <c r="P48" s="8"/>
      <c r="Q48" s="8"/>
      <c r="R48" s="3"/>
      <c r="S48" s="3"/>
      <c r="T48" s="3"/>
      <c r="U48" s="5" t="str">
        <f t="shared" si="3"/>
        <v/>
      </c>
    </row>
    <row r="49" spans="1:21" ht="28" customHeight="1" x14ac:dyDescent="0.35">
      <c r="A49" s="4">
        <v>5</v>
      </c>
      <c r="B49" s="4" t="s">
        <v>66</v>
      </c>
      <c r="C49" s="4" t="s">
        <v>67</v>
      </c>
      <c r="D49" s="4" t="s">
        <v>68</v>
      </c>
      <c r="E49" s="4" t="s">
        <v>69</v>
      </c>
      <c r="F49" s="4" t="s">
        <v>57</v>
      </c>
      <c r="G49" s="4" t="s">
        <v>58</v>
      </c>
      <c r="H49" s="4" t="s">
        <v>59</v>
      </c>
      <c r="I49" s="3"/>
      <c r="J49" s="3"/>
      <c r="K49" s="3"/>
      <c r="L49" s="3"/>
      <c r="M49" s="3"/>
      <c r="N49" s="3"/>
      <c r="O49" s="3"/>
      <c r="P49" s="8"/>
      <c r="Q49" s="8"/>
      <c r="R49" s="3"/>
      <c r="S49" s="3"/>
      <c r="T49" s="3"/>
      <c r="U49" s="5" t="str">
        <f t="shared" si="3"/>
        <v/>
      </c>
    </row>
    <row r="50" spans="1:21" ht="28" customHeight="1" x14ac:dyDescent="0.35">
      <c r="A50" s="4">
        <v>6</v>
      </c>
      <c r="B50" s="4" t="s">
        <v>70</v>
      </c>
      <c r="C50" s="4" t="s">
        <v>71</v>
      </c>
      <c r="D50" s="4" t="s">
        <v>72</v>
      </c>
      <c r="E50" s="4" t="s">
        <v>70</v>
      </c>
      <c r="F50" s="4" t="s">
        <v>57</v>
      </c>
      <c r="G50" s="4" t="s">
        <v>58</v>
      </c>
      <c r="H50" s="4" t="s">
        <v>59</v>
      </c>
      <c r="I50" s="3"/>
      <c r="J50" s="3"/>
      <c r="K50" s="3"/>
      <c r="L50" s="3"/>
      <c r="M50" s="3"/>
      <c r="N50" s="3"/>
      <c r="O50" s="3"/>
      <c r="P50" s="8"/>
      <c r="Q50" s="8"/>
      <c r="R50" s="3"/>
      <c r="S50" s="3"/>
      <c r="T50" s="3"/>
      <c r="U50" s="5" t="str">
        <f t="shared" si="3"/>
        <v/>
      </c>
    </row>
    <row r="51" spans="1:21" ht="28" customHeight="1" x14ac:dyDescent="0.35">
      <c r="A51" s="4">
        <v>7</v>
      </c>
      <c r="B51" s="4" t="s">
        <v>73</v>
      </c>
      <c r="C51" s="4" t="s">
        <v>74</v>
      </c>
      <c r="D51" s="4" t="s">
        <v>75</v>
      </c>
      <c r="E51" s="4" t="s">
        <v>69</v>
      </c>
      <c r="F51" s="4" t="s">
        <v>57</v>
      </c>
      <c r="G51" s="4" t="s">
        <v>58</v>
      </c>
      <c r="H51" s="4" t="s">
        <v>76</v>
      </c>
      <c r="I51" s="3"/>
      <c r="J51" s="3"/>
      <c r="K51" s="3"/>
      <c r="L51" s="3"/>
      <c r="M51" s="3"/>
      <c r="N51" s="3"/>
      <c r="O51" s="3"/>
      <c r="P51" s="8"/>
      <c r="Q51" s="8"/>
      <c r="R51" s="3"/>
      <c r="S51" s="3"/>
      <c r="T51" s="3"/>
      <c r="U51" s="5" t="str">
        <f t="shared" si="3"/>
        <v/>
      </c>
    </row>
    <row r="52" spans="1:21" ht="28" customHeight="1" x14ac:dyDescent="0.35">
      <c r="A52" s="4">
        <v>8</v>
      </c>
      <c r="B52" s="4" t="s">
        <v>77</v>
      </c>
      <c r="C52" s="4" t="s">
        <v>78</v>
      </c>
      <c r="D52" s="4" t="s">
        <v>79</v>
      </c>
      <c r="E52" s="4" t="s">
        <v>80</v>
      </c>
      <c r="F52" s="4" t="s">
        <v>57</v>
      </c>
      <c r="G52" s="4" t="s">
        <v>58</v>
      </c>
      <c r="H52" s="4" t="s">
        <v>59</v>
      </c>
      <c r="I52" s="3"/>
      <c r="J52" s="3"/>
      <c r="K52" s="3"/>
      <c r="L52" s="3"/>
      <c r="M52" s="3"/>
      <c r="N52" s="3"/>
      <c r="O52" s="3"/>
      <c r="P52" s="8"/>
      <c r="Q52" s="8"/>
      <c r="R52" s="3"/>
      <c r="S52" s="3"/>
      <c r="T52" s="3"/>
      <c r="U52" s="5" t="str">
        <f t="shared" si="3"/>
        <v/>
      </c>
    </row>
    <row r="53" spans="1:21" ht="28" customHeight="1" x14ac:dyDescent="0.35">
      <c r="A53" s="4">
        <v>9</v>
      </c>
      <c r="B53" s="4" t="s">
        <v>81</v>
      </c>
      <c r="C53" s="4" t="s">
        <v>82</v>
      </c>
      <c r="D53" s="4" t="s">
        <v>83</v>
      </c>
      <c r="E53" s="4" t="s">
        <v>84</v>
      </c>
      <c r="F53" s="4" t="s">
        <v>57</v>
      </c>
      <c r="G53" s="4" t="s">
        <v>58</v>
      </c>
      <c r="H53" s="4" t="s">
        <v>85</v>
      </c>
      <c r="I53" s="3"/>
      <c r="J53" s="3"/>
      <c r="K53" s="3"/>
      <c r="L53" s="3"/>
      <c r="M53" s="3"/>
      <c r="N53" s="3"/>
      <c r="O53" s="3"/>
      <c r="P53" s="8"/>
      <c r="Q53" s="8"/>
      <c r="R53" s="3"/>
      <c r="S53" s="3"/>
      <c r="T53" s="3"/>
      <c r="U53" s="5" t="str">
        <f t="shared" si="3"/>
        <v/>
      </c>
    </row>
    <row r="54" spans="1:21" ht="28" customHeight="1" x14ac:dyDescent="0.35">
      <c r="A54" s="4">
        <v>10</v>
      </c>
      <c r="B54" s="4" t="s">
        <v>86</v>
      </c>
      <c r="C54" s="4" t="s">
        <v>87</v>
      </c>
      <c r="D54" s="4" t="s">
        <v>88</v>
      </c>
      <c r="E54" s="4" t="s">
        <v>69</v>
      </c>
      <c r="F54" s="4" t="s">
        <v>57</v>
      </c>
      <c r="G54" s="4" t="s">
        <v>58</v>
      </c>
      <c r="H54" s="4" t="s">
        <v>59</v>
      </c>
      <c r="I54" s="3"/>
      <c r="J54" s="3"/>
      <c r="K54" s="3"/>
      <c r="L54" s="3"/>
      <c r="M54" s="3"/>
      <c r="N54" s="3"/>
      <c r="O54" s="3"/>
      <c r="P54" s="8"/>
      <c r="Q54" s="8"/>
      <c r="R54" s="3"/>
      <c r="S54" s="3"/>
      <c r="T54" s="3"/>
      <c r="U54" s="5" t="str">
        <f t="shared" si="3"/>
        <v/>
      </c>
    </row>
    <row r="55" spans="1:21" ht="28" customHeight="1" x14ac:dyDescent="0.35">
      <c r="A55" s="4">
        <v>11</v>
      </c>
      <c r="B55" s="4" t="s">
        <v>89</v>
      </c>
      <c r="C55" s="4" t="s">
        <v>90</v>
      </c>
      <c r="D55" s="4" t="s">
        <v>91</v>
      </c>
      <c r="E55" s="4" t="s">
        <v>84</v>
      </c>
      <c r="F55" s="4" t="s">
        <v>57</v>
      </c>
      <c r="G55" s="4" t="s">
        <v>58</v>
      </c>
      <c r="H55" s="4" t="s">
        <v>59</v>
      </c>
      <c r="I55" s="3"/>
      <c r="J55" s="3"/>
      <c r="K55" s="3"/>
      <c r="L55" s="3"/>
      <c r="M55" s="3"/>
      <c r="N55" s="3"/>
      <c r="O55" s="3"/>
      <c r="P55" s="8"/>
      <c r="Q55" s="8"/>
      <c r="R55" s="3"/>
      <c r="S55" s="3"/>
      <c r="T55" s="3"/>
      <c r="U55" s="5" t="str">
        <f t="shared" si="3"/>
        <v/>
      </c>
    </row>
    <row r="56" spans="1:21" ht="28" customHeight="1" x14ac:dyDescent="0.35">
      <c r="A56" s="4">
        <v>12</v>
      </c>
      <c r="B56" s="4" t="s">
        <v>92</v>
      </c>
      <c r="C56" s="4" t="s">
        <v>93</v>
      </c>
      <c r="D56" s="4" t="s">
        <v>94</v>
      </c>
      <c r="E56" s="4" t="s">
        <v>69</v>
      </c>
      <c r="F56" s="4" t="s">
        <v>95</v>
      </c>
      <c r="G56" s="4" t="s">
        <v>96</v>
      </c>
      <c r="H56" s="4" t="s">
        <v>59</v>
      </c>
      <c r="I56" s="3"/>
      <c r="J56" s="3"/>
      <c r="K56" s="3"/>
      <c r="L56" s="3"/>
      <c r="M56" s="3"/>
      <c r="N56" s="3"/>
      <c r="O56" s="3"/>
      <c r="P56" s="8"/>
      <c r="Q56" s="8"/>
      <c r="R56" s="3"/>
      <c r="S56" s="3"/>
      <c r="T56" s="3"/>
      <c r="U56" s="5" t="str">
        <f t="shared" si="3"/>
        <v/>
      </c>
    </row>
    <row r="57" spans="1:21" ht="28" customHeight="1" x14ac:dyDescent="0.35">
      <c r="A57" s="4">
        <v>13</v>
      </c>
      <c r="B57" s="4" t="s">
        <v>97</v>
      </c>
      <c r="C57" s="4" t="s">
        <v>98</v>
      </c>
      <c r="D57" s="4" t="s">
        <v>99</v>
      </c>
      <c r="E57" s="4" t="s">
        <v>69</v>
      </c>
      <c r="F57" s="4" t="s">
        <v>95</v>
      </c>
      <c r="G57" s="4" t="s">
        <v>96</v>
      </c>
      <c r="H57" s="4" t="s">
        <v>59</v>
      </c>
      <c r="I57" s="3"/>
      <c r="J57" s="3"/>
      <c r="K57" s="3"/>
      <c r="L57" s="3"/>
      <c r="M57" s="3"/>
      <c r="N57" s="3"/>
      <c r="O57" s="3"/>
      <c r="P57" s="8"/>
      <c r="Q57" s="8"/>
      <c r="R57" s="3"/>
      <c r="S57" s="3"/>
      <c r="T57" s="3"/>
      <c r="U57" s="5" t="str">
        <f t="shared" si="3"/>
        <v/>
      </c>
    </row>
    <row r="58" spans="1:21" ht="28" customHeight="1" x14ac:dyDescent="0.35">
      <c r="A58" s="4">
        <v>14</v>
      </c>
      <c r="B58" s="4" t="s">
        <v>97</v>
      </c>
      <c r="C58" s="4" t="s">
        <v>100</v>
      </c>
      <c r="D58" s="4" t="s">
        <v>101</v>
      </c>
      <c r="E58" s="4" t="s">
        <v>69</v>
      </c>
      <c r="F58" s="4" t="s">
        <v>95</v>
      </c>
      <c r="G58" s="4" t="s">
        <v>102</v>
      </c>
      <c r="H58" s="4" t="s">
        <v>59</v>
      </c>
      <c r="I58" s="3"/>
      <c r="J58" s="3"/>
      <c r="K58" s="3"/>
      <c r="L58" s="3"/>
      <c r="M58" s="3"/>
      <c r="N58" s="3"/>
      <c r="O58" s="3"/>
      <c r="P58" s="8"/>
      <c r="Q58" s="8"/>
      <c r="R58" s="3"/>
      <c r="S58" s="3"/>
      <c r="T58" s="3"/>
      <c r="U58" s="5" t="str">
        <f t="shared" si="3"/>
        <v/>
      </c>
    </row>
    <row r="59" spans="1:21" ht="28" customHeight="1" x14ac:dyDescent="0.35">
      <c r="A59" s="4">
        <v>15</v>
      </c>
      <c r="B59" s="4" t="s">
        <v>103</v>
      </c>
      <c r="C59" s="4" t="s">
        <v>104</v>
      </c>
      <c r="D59" s="4" t="s">
        <v>105</v>
      </c>
      <c r="E59" s="4" t="s">
        <v>69</v>
      </c>
      <c r="F59" s="4" t="s">
        <v>95</v>
      </c>
      <c r="G59" s="4" t="s">
        <v>96</v>
      </c>
      <c r="H59" s="4" t="s">
        <v>85</v>
      </c>
      <c r="I59" s="3"/>
      <c r="J59" s="3"/>
      <c r="K59" s="3"/>
      <c r="L59" s="3"/>
      <c r="M59" s="3"/>
      <c r="N59" s="3"/>
      <c r="O59" s="3"/>
      <c r="P59" s="8"/>
      <c r="Q59" s="8"/>
      <c r="R59" s="3"/>
      <c r="S59" s="3"/>
      <c r="T59" s="3"/>
      <c r="U59" s="5" t="str">
        <f t="shared" si="3"/>
        <v/>
      </c>
    </row>
    <row r="60" spans="1:21" ht="28" customHeight="1" x14ac:dyDescent="0.35">
      <c r="A60" s="4">
        <v>16</v>
      </c>
      <c r="B60" s="4" t="s">
        <v>106</v>
      </c>
      <c r="C60" s="4" t="s">
        <v>107</v>
      </c>
      <c r="D60" s="4" t="s">
        <v>108</v>
      </c>
      <c r="E60" s="4" t="s">
        <v>109</v>
      </c>
      <c r="F60" s="4" t="s">
        <v>95</v>
      </c>
      <c r="G60" s="4" t="s">
        <v>96</v>
      </c>
      <c r="H60" s="4" t="s">
        <v>59</v>
      </c>
      <c r="I60" s="3"/>
      <c r="J60" s="3"/>
      <c r="K60" s="3"/>
      <c r="L60" s="3"/>
      <c r="M60" s="3"/>
      <c r="N60" s="3"/>
      <c r="O60" s="3"/>
      <c r="P60" s="8"/>
      <c r="Q60" s="8"/>
      <c r="R60" s="3"/>
      <c r="S60" s="3"/>
      <c r="T60" s="3"/>
      <c r="U60" s="5" t="str">
        <f t="shared" si="3"/>
        <v/>
      </c>
    </row>
    <row r="62" spans="1:21" ht="28" customHeight="1" x14ac:dyDescent="0.35">
      <c r="A62" s="9" t="s">
        <v>110</v>
      </c>
      <c r="B62" s="16"/>
      <c r="C62" s="17"/>
      <c r="D62" s="17"/>
      <c r="E62" s="17"/>
      <c r="F62" s="17"/>
      <c r="G62" s="17"/>
      <c r="H62" s="17"/>
      <c r="I62" s="17"/>
      <c r="J62" s="17"/>
      <c r="K62" s="17"/>
      <c r="L62" s="17"/>
      <c r="M62" s="17"/>
      <c r="N62" s="17"/>
      <c r="O62" s="17"/>
      <c r="P62" s="17"/>
      <c r="Q62" s="17"/>
      <c r="R62" s="17"/>
      <c r="S62" s="17"/>
      <c r="T62" s="17"/>
      <c r="U62" s="18"/>
    </row>
    <row r="63" spans="1:21" ht="28" customHeight="1" x14ac:dyDescent="0.35">
      <c r="A63" s="19" t="s">
        <v>546</v>
      </c>
      <c r="B63" s="20"/>
      <c r="C63" s="20"/>
      <c r="D63" s="20"/>
      <c r="E63" s="20"/>
      <c r="F63" s="20"/>
      <c r="G63" s="20"/>
      <c r="H63" s="20"/>
      <c r="I63" s="20"/>
      <c r="J63" s="20"/>
      <c r="K63" s="20"/>
      <c r="L63" s="20"/>
      <c r="M63" s="20"/>
      <c r="N63" s="20"/>
      <c r="O63" s="20"/>
      <c r="P63" s="20"/>
      <c r="Q63" s="20"/>
      <c r="R63" s="20"/>
      <c r="S63" s="20"/>
      <c r="T63" s="20"/>
      <c r="U63" s="21"/>
    </row>
    <row r="64" spans="1:21" ht="28" customHeight="1" x14ac:dyDescent="0.35">
      <c r="A64" s="4" t="s">
        <v>31</v>
      </c>
      <c r="B64" s="3" t="s">
        <v>20</v>
      </c>
      <c r="C64" s="4" t="s">
        <v>32</v>
      </c>
      <c r="D64" s="3"/>
      <c r="E64" s="4" t="s">
        <v>33</v>
      </c>
      <c r="F64" s="8"/>
    </row>
    <row r="65" spans="1:21" ht="28" customHeight="1" x14ac:dyDescent="0.35">
      <c r="A65" s="1" t="s">
        <v>34</v>
      </c>
      <c r="B65" s="1" t="s">
        <v>35</v>
      </c>
      <c r="C65" s="1" t="s">
        <v>36</v>
      </c>
      <c r="D65" s="1" t="s">
        <v>37</v>
      </c>
      <c r="E65" s="1" t="s">
        <v>38</v>
      </c>
      <c r="F65" s="1" t="s">
        <v>39</v>
      </c>
      <c r="G65" s="1" t="s">
        <v>40</v>
      </c>
      <c r="H65" s="1" t="s">
        <v>41</v>
      </c>
      <c r="I65" s="1" t="s">
        <v>42</v>
      </c>
      <c r="J65" s="1" t="s">
        <v>43</v>
      </c>
      <c r="K65" s="1" t="s">
        <v>44</v>
      </c>
      <c r="L65" s="1" t="s">
        <v>45</v>
      </c>
      <c r="M65" s="1" t="s">
        <v>46</v>
      </c>
      <c r="N65" s="1" t="s">
        <v>47</v>
      </c>
      <c r="O65" s="1" t="s">
        <v>48</v>
      </c>
      <c r="P65" s="1" t="s">
        <v>4</v>
      </c>
      <c r="Q65" s="1" t="s">
        <v>49</v>
      </c>
      <c r="R65" s="1" t="s">
        <v>50</v>
      </c>
      <c r="S65" s="1" t="s">
        <v>51</v>
      </c>
      <c r="T65" s="1" t="s">
        <v>52</v>
      </c>
      <c r="U65" s="1" t="s">
        <v>10</v>
      </c>
    </row>
    <row r="66" spans="1:21" ht="28" customHeight="1" x14ac:dyDescent="0.35">
      <c r="A66" s="4">
        <v>1</v>
      </c>
      <c r="B66" s="4" t="s">
        <v>53</v>
      </c>
      <c r="C66" s="4" t="s">
        <v>537</v>
      </c>
      <c r="D66" s="4" t="s">
        <v>538</v>
      </c>
      <c r="E66" s="4" t="s">
        <v>56</v>
      </c>
      <c r="F66" s="4" t="s">
        <v>57</v>
      </c>
      <c r="G66" s="4" t="s">
        <v>58</v>
      </c>
      <c r="H66" s="4" t="s">
        <v>59</v>
      </c>
      <c r="I66" s="3"/>
      <c r="J66" s="3"/>
      <c r="K66" s="3"/>
      <c r="L66" s="3"/>
      <c r="M66" s="3"/>
      <c r="N66" s="3"/>
      <c r="O66" s="3"/>
      <c r="P66" s="8"/>
      <c r="Q66" s="8"/>
      <c r="R66" s="3"/>
      <c r="S66" s="3"/>
      <c r="T66" s="3"/>
      <c r="U66" s="5" t="str">
        <f t="shared" ref="U66:U81" si="4">IF(I66="","",IF(I66="NA","Grey",IF(I66=2,"Green",IF(I66=1,"Amber","Red"))))</f>
        <v/>
      </c>
    </row>
    <row r="67" spans="1:21" ht="28" customHeight="1" x14ac:dyDescent="0.35">
      <c r="A67" s="4">
        <v>2</v>
      </c>
      <c r="B67" s="4" t="s">
        <v>53</v>
      </c>
      <c r="C67" s="4" t="s">
        <v>539</v>
      </c>
      <c r="D67" s="4" t="s">
        <v>540</v>
      </c>
      <c r="E67" s="4" t="s">
        <v>56</v>
      </c>
      <c r="F67" s="4" t="s">
        <v>57</v>
      </c>
      <c r="G67" s="4" t="s">
        <v>58</v>
      </c>
      <c r="H67" s="4" t="s">
        <v>59</v>
      </c>
      <c r="I67" s="3"/>
      <c r="J67" s="3"/>
      <c r="K67" s="3"/>
      <c r="L67" s="3"/>
      <c r="M67" s="3"/>
      <c r="N67" s="3"/>
      <c r="O67" s="3"/>
      <c r="P67" s="8"/>
      <c r="Q67" s="8"/>
      <c r="R67" s="3"/>
      <c r="S67" s="3"/>
      <c r="T67" s="3"/>
      <c r="U67" s="5" t="str">
        <f t="shared" si="4"/>
        <v/>
      </c>
    </row>
    <row r="68" spans="1:21" ht="28" customHeight="1" x14ac:dyDescent="0.35">
      <c r="A68" s="4">
        <v>3</v>
      </c>
      <c r="B68" s="4" t="s">
        <v>53</v>
      </c>
      <c r="C68" s="4" t="s">
        <v>541</v>
      </c>
      <c r="D68" s="4" t="s">
        <v>542</v>
      </c>
      <c r="E68" s="4" t="s">
        <v>56</v>
      </c>
      <c r="F68" s="4" t="s">
        <v>57</v>
      </c>
      <c r="G68" s="4" t="s">
        <v>58</v>
      </c>
      <c r="H68" s="4" t="s">
        <v>59</v>
      </c>
      <c r="I68" s="3"/>
      <c r="J68" s="3"/>
      <c r="K68" s="3"/>
      <c r="L68" s="3"/>
      <c r="M68" s="3"/>
      <c r="N68" s="3"/>
      <c r="O68" s="3"/>
      <c r="P68" s="8"/>
      <c r="Q68" s="8"/>
      <c r="R68" s="3"/>
      <c r="S68" s="3"/>
      <c r="T68" s="3"/>
      <c r="U68" s="5" t="str">
        <f t="shared" si="4"/>
        <v/>
      </c>
    </row>
    <row r="69" spans="1:21" ht="28" customHeight="1" x14ac:dyDescent="0.35">
      <c r="A69" s="4">
        <v>4</v>
      </c>
      <c r="B69" s="4" t="s">
        <v>53</v>
      </c>
      <c r="C69" s="4" t="s">
        <v>543</v>
      </c>
      <c r="D69" s="4" t="s">
        <v>544</v>
      </c>
      <c r="E69" s="4" t="s">
        <v>56</v>
      </c>
      <c r="F69" s="4" t="s">
        <v>57</v>
      </c>
      <c r="G69" s="4" t="s">
        <v>58</v>
      </c>
      <c r="H69" s="4" t="s">
        <v>59</v>
      </c>
      <c r="I69" s="3"/>
      <c r="J69" s="3"/>
      <c r="K69" s="3"/>
      <c r="L69" s="3"/>
      <c r="M69" s="3"/>
      <c r="N69" s="3"/>
      <c r="O69" s="3"/>
      <c r="P69" s="8"/>
      <c r="Q69" s="8"/>
      <c r="R69" s="3"/>
      <c r="S69" s="3"/>
      <c r="T69" s="3"/>
      <c r="U69" s="5" t="str">
        <f t="shared" si="4"/>
        <v/>
      </c>
    </row>
    <row r="70" spans="1:21" ht="28" customHeight="1" x14ac:dyDescent="0.35">
      <c r="A70" s="4">
        <v>5</v>
      </c>
      <c r="B70" s="4" t="s">
        <v>66</v>
      </c>
      <c r="C70" s="4" t="s">
        <v>67</v>
      </c>
      <c r="D70" s="4" t="s">
        <v>68</v>
      </c>
      <c r="E70" s="4" t="s">
        <v>69</v>
      </c>
      <c r="F70" s="4" t="s">
        <v>57</v>
      </c>
      <c r="G70" s="4" t="s">
        <v>58</v>
      </c>
      <c r="H70" s="4" t="s">
        <v>59</v>
      </c>
      <c r="I70" s="3"/>
      <c r="J70" s="3"/>
      <c r="K70" s="3"/>
      <c r="L70" s="3"/>
      <c r="M70" s="3"/>
      <c r="N70" s="3"/>
      <c r="O70" s="3"/>
      <c r="P70" s="8"/>
      <c r="Q70" s="8"/>
      <c r="R70" s="3"/>
      <c r="S70" s="3"/>
      <c r="T70" s="3"/>
      <c r="U70" s="5" t="str">
        <f t="shared" si="4"/>
        <v/>
      </c>
    </row>
    <row r="71" spans="1:21" ht="28" customHeight="1" x14ac:dyDescent="0.35">
      <c r="A71" s="4">
        <v>6</v>
      </c>
      <c r="B71" s="4" t="s">
        <v>70</v>
      </c>
      <c r="C71" s="4" t="s">
        <v>71</v>
      </c>
      <c r="D71" s="4" t="s">
        <v>72</v>
      </c>
      <c r="E71" s="4" t="s">
        <v>70</v>
      </c>
      <c r="F71" s="4" t="s">
        <v>57</v>
      </c>
      <c r="G71" s="4" t="s">
        <v>58</v>
      </c>
      <c r="H71" s="4" t="s">
        <v>59</v>
      </c>
      <c r="I71" s="3"/>
      <c r="J71" s="3"/>
      <c r="K71" s="3"/>
      <c r="L71" s="3"/>
      <c r="M71" s="3"/>
      <c r="N71" s="3"/>
      <c r="O71" s="3"/>
      <c r="P71" s="8"/>
      <c r="Q71" s="8"/>
      <c r="R71" s="3"/>
      <c r="S71" s="3"/>
      <c r="T71" s="3"/>
      <c r="U71" s="5" t="str">
        <f t="shared" si="4"/>
        <v/>
      </c>
    </row>
    <row r="72" spans="1:21" ht="28" customHeight="1" x14ac:dyDescent="0.35">
      <c r="A72" s="4">
        <v>7</v>
      </c>
      <c r="B72" s="4" t="s">
        <v>73</v>
      </c>
      <c r="C72" s="4" t="s">
        <v>74</v>
      </c>
      <c r="D72" s="4" t="s">
        <v>75</v>
      </c>
      <c r="E72" s="4" t="s">
        <v>69</v>
      </c>
      <c r="F72" s="4" t="s">
        <v>57</v>
      </c>
      <c r="G72" s="4" t="s">
        <v>58</v>
      </c>
      <c r="H72" s="4" t="s">
        <v>76</v>
      </c>
      <c r="I72" s="3"/>
      <c r="J72" s="3"/>
      <c r="K72" s="3"/>
      <c r="L72" s="3"/>
      <c r="M72" s="3"/>
      <c r="N72" s="3"/>
      <c r="O72" s="3"/>
      <c r="P72" s="8"/>
      <c r="Q72" s="8"/>
      <c r="R72" s="3"/>
      <c r="S72" s="3"/>
      <c r="T72" s="3"/>
      <c r="U72" s="5" t="str">
        <f t="shared" si="4"/>
        <v/>
      </c>
    </row>
    <row r="73" spans="1:21" ht="28" customHeight="1" x14ac:dyDescent="0.35">
      <c r="A73" s="4">
        <v>8</v>
      </c>
      <c r="B73" s="4" t="s">
        <v>77</v>
      </c>
      <c r="C73" s="4" t="s">
        <v>78</v>
      </c>
      <c r="D73" s="4" t="s">
        <v>79</v>
      </c>
      <c r="E73" s="4" t="s">
        <v>80</v>
      </c>
      <c r="F73" s="4" t="s">
        <v>57</v>
      </c>
      <c r="G73" s="4" t="s">
        <v>58</v>
      </c>
      <c r="H73" s="4" t="s">
        <v>59</v>
      </c>
      <c r="I73" s="3"/>
      <c r="J73" s="3"/>
      <c r="K73" s="3"/>
      <c r="L73" s="3"/>
      <c r="M73" s="3"/>
      <c r="N73" s="3"/>
      <c r="O73" s="3"/>
      <c r="P73" s="8"/>
      <c r="Q73" s="8"/>
      <c r="R73" s="3"/>
      <c r="S73" s="3"/>
      <c r="T73" s="3"/>
      <c r="U73" s="5" t="str">
        <f t="shared" si="4"/>
        <v/>
      </c>
    </row>
    <row r="74" spans="1:21" ht="28" customHeight="1" x14ac:dyDescent="0.35">
      <c r="A74" s="4">
        <v>9</v>
      </c>
      <c r="B74" s="4" t="s">
        <v>81</v>
      </c>
      <c r="C74" s="4" t="s">
        <v>82</v>
      </c>
      <c r="D74" s="4" t="s">
        <v>83</v>
      </c>
      <c r="E74" s="4" t="s">
        <v>84</v>
      </c>
      <c r="F74" s="4" t="s">
        <v>57</v>
      </c>
      <c r="G74" s="4" t="s">
        <v>58</v>
      </c>
      <c r="H74" s="4" t="s">
        <v>85</v>
      </c>
      <c r="I74" s="3"/>
      <c r="J74" s="3"/>
      <c r="K74" s="3"/>
      <c r="L74" s="3"/>
      <c r="M74" s="3"/>
      <c r="N74" s="3"/>
      <c r="O74" s="3"/>
      <c r="P74" s="8"/>
      <c r="Q74" s="8"/>
      <c r="R74" s="3"/>
      <c r="S74" s="3"/>
      <c r="T74" s="3"/>
      <c r="U74" s="5" t="str">
        <f t="shared" si="4"/>
        <v/>
      </c>
    </row>
    <row r="75" spans="1:21" ht="28" customHeight="1" x14ac:dyDescent="0.35">
      <c r="A75" s="4">
        <v>10</v>
      </c>
      <c r="B75" s="4" t="s">
        <v>86</v>
      </c>
      <c r="C75" s="4" t="s">
        <v>87</v>
      </c>
      <c r="D75" s="4" t="s">
        <v>88</v>
      </c>
      <c r="E75" s="4" t="s">
        <v>69</v>
      </c>
      <c r="F75" s="4" t="s">
        <v>57</v>
      </c>
      <c r="G75" s="4" t="s">
        <v>58</v>
      </c>
      <c r="H75" s="4" t="s">
        <v>59</v>
      </c>
      <c r="I75" s="3"/>
      <c r="J75" s="3"/>
      <c r="K75" s="3"/>
      <c r="L75" s="3"/>
      <c r="M75" s="3"/>
      <c r="N75" s="3"/>
      <c r="O75" s="3"/>
      <c r="P75" s="8"/>
      <c r="Q75" s="8"/>
      <c r="R75" s="3"/>
      <c r="S75" s="3"/>
      <c r="T75" s="3"/>
      <c r="U75" s="5" t="str">
        <f t="shared" si="4"/>
        <v/>
      </c>
    </row>
    <row r="76" spans="1:21" ht="28" customHeight="1" x14ac:dyDescent="0.35">
      <c r="A76" s="4">
        <v>11</v>
      </c>
      <c r="B76" s="4" t="s">
        <v>89</v>
      </c>
      <c r="C76" s="4" t="s">
        <v>90</v>
      </c>
      <c r="D76" s="4" t="s">
        <v>91</v>
      </c>
      <c r="E76" s="4" t="s">
        <v>84</v>
      </c>
      <c r="F76" s="4" t="s">
        <v>57</v>
      </c>
      <c r="G76" s="4" t="s">
        <v>58</v>
      </c>
      <c r="H76" s="4" t="s">
        <v>59</v>
      </c>
      <c r="I76" s="3"/>
      <c r="J76" s="3"/>
      <c r="K76" s="3"/>
      <c r="L76" s="3"/>
      <c r="M76" s="3"/>
      <c r="N76" s="3"/>
      <c r="O76" s="3"/>
      <c r="P76" s="8"/>
      <c r="Q76" s="8"/>
      <c r="R76" s="3"/>
      <c r="S76" s="3"/>
      <c r="T76" s="3"/>
      <c r="U76" s="5" t="str">
        <f t="shared" si="4"/>
        <v/>
      </c>
    </row>
    <row r="77" spans="1:21" ht="28" customHeight="1" x14ac:dyDescent="0.35">
      <c r="A77" s="4">
        <v>12</v>
      </c>
      <c r="B77" s="4" t="s">
        <v>92</v>
      </c>
      <c r="C77" s="4" t="s">
        <v>93</v>
      </c>
      <c r="D77" s="4" t="s">
        <v>94</v>
      </c>
      <c r="E77" s="4" t="s">
        <v>69</v>
      </c>
      <c r="F77" s="4" t="s">
        <v>95</v>
      </c>
      <c r="G77" s="4" t="s">
        <v>96</v>
      </c>
      <c r="H77" s="4" t="s">
        <v>59</v>
      </c>
      <c r="I77" s="3"/>
      <c r="J77" s="3"/>
      <c r="K77" s="3"/>
      <c r="L77" s="3"/>
      <c r="M77" s="3"/>
      <c r="N77" s="3"/>
      <c r="O77" s="3"/>
      <c r="P77" s="8"/>
      <c r="Q77" s="8"/>
      <c r="R77" s="3"/>
      <c r="S77" s="3"/>
      <c r="T77" s="3"/>
      <c r="U77" s="5" t="str">
        <f t="shared" si="4"/>
        <v/>
      </c>
    </row>
    <row r="78" spans="1:21" ht="28" customHeight="1" x14ac:dyDescent="0.35">
      <c r="A78" s="4">
        <v>13</v>
      </c>
      <c r="B78" s="4" t="s">
        <v>97</v>
      </c>
      <c r="C78" s="4" t="s">
        <v>98</v>
      </c>
      <c r="D78" s="4" t="s">
        <v>99</v>
      </c>
      <c r="E78" s="4" t="s">
        <v>69</v>
      </c>
      <c r="F78" s="4" t="s">
        <v>95</v>
      </c>
      <c r="G78" s="4" t="s">
        <v>96</v>
      </c>
      <c r="H78" s="4" t="s">
        <v>59</v>
      </c>
      <c r="I78" s="3"/>
      <c r="J78" s="3"/>
      <c r="K78" s="3"/>
      <c r="L78" s="3"/>
      <c r="M78" s="3"/>
      <c r="N78" s="3"/>
      <c r="O78" s="3"/>
      <c r="P78" s="8"/>
      <c r="Q78" s="8"/>
      <c r="R78" s="3"/>
      <c r="S78" s="3"/>
      <c r="T78" s="3"/>
      <c r="U78" s="5" t="str">
        <f t="shared" si="4"/>
        <v/>
      </c>
    </row>
    <row r="79" spans="1:21" ht="28" customHeight="1" x14ac:dyDescent="0.35">
      <c r="A79" s="4">
        <v>14</v>
      </c>
      <c r="B79" s="4" t="s">
        <v>97</v>
      </c>
      <c r="C79" s="4" t="s">
        <v>100</v>
      </c>
      <c r="D79" s="4" t="s">
        <v>101</v>
      </c>
      <c r="E79" s="4" t="s">
        <v>69</v>
      </c>
      <c r="F79" s="4" t="s">
        <v>95</v>
      </c>
      <c r="G79" s="4" t="s">
        <v>102</v>
      </c>
      <c r="H79" s="4" t="s">
        <v>59</v>
      </c>
      <c r="I79" s="3"/>
      <c r="J79" s="3"/>
      <c r="K79" s="3"/>
      <c r="L79" s="3"/>
      <c r="M79" s="3"/>
      <c r="N79" s="3"/>
      <c r="O79" s="3"/>
      <c r="P79" s="8"/>
      <c r="Q79" s="8"/>
      <c r="R79" s="3"/>
      <c r="S79" s="3"/>
      <c r="T79" s="3"/>
      <c r="U79" s="5" t="str">
        <f t="shared" si="4"/>
        <v/>
      </c>
    </row>
    <row r="80" spans="1:21" ht="28" customHeight="1" x14ac:dyDescent="0.35">
      <c r="A80" s="4">
        <v>15</v>
      </c>
      <c r="B80" s="4" t="s">
        <v>103</v>
      </c>
      <c r="C80" s="4" t="s">
        <v>104</v>
      </c>
      <c r="D80" s="4" t="s">
        <v>105</v>
      </c>
      <c r="E80" s="4" t="s">
        <v>69</v>
      </c>
      <c r="F80" s="4" t="s">
        <v>95</v>
      </c>
      <c r="G80" s="4" t="s">
        <v>96</v>
      </c>
      <c r="H80" s="4" t="s">
        <v>85</v>
      </c>
      <c r="I80" s="3"/>
      <c r="J80" s="3"/>
      <c r="K80" s="3"/>
      <c r="L80" s="3"/>
      <c r="M80" s="3"/>
      <c r="N80" s="3"/>
      <c r="O80" s="3"/>
      <c r="P80" s="8"/>
      <c r="Q80" s="8"/>
      <c r="R80" s="3"/>
      <c r="S80" s="3"/>
      <c r="T80" s="3"/>
      <c r="U80" s="5" t="str">
        <f t="shared" si="4"/>
        <v/>
      </c>
    </row>
    <row r="81" spans="1:21" ht="28" customHeight="1" x14ac:dyDescent="0.35">
      <c r="A81" s="4">
        <v>16</v>
      </c>
      <c r="B81" s="4" t="s">
        <v>106</v>
      </c>
      <c r="C81" s="4" t="s">
        <v>107</v>
      </c>
      <c r="D81" s="4" t="s">
        <v>108</v>
      </c>
      <c r="E81" s="4" t="s">
        <v>109</v>
      </c>
      <c r="F81" s="4" t="s">
        <v>95</v>
      </c>
      <c r="G81" s="4" t="s">
        <v>96</v>
      </c>
      <c r="H81" s="4" t="s">
        <v>59</v>
      </c>
      <c r="I81" s="3"/>
      <c r="J81" s="3"/>
      <c r="K81" s="3"/>
      <c r="L81" s="3"/>
      <c r="M81" s="3"/>
      <c r="N81" s="3"/>
      <c r="O81" s="3"/>
      <c r="P81" s="8"/>
      <c r="Q81" s="8"/>
      <c r="R81" s="3"/>
      <c r="S81" s="3"/>
      <c r="T81" s="3"/>
      <c r="U81" s="5" t="str">
        <f t="shared" si="4"/>
        <v/>
      </c>
    </row>
    <row r="83" spans="1:21" ht="28" customHeight="1" x14ac:dyDescent="0.35">
      <c r="A83" s="9" t="s">
        <v>110</v>
      </c>
      <c r="B83" s="16"/>
      <c r="C83" s="17"/>
      <c r="D83" s="17"/>
      <c r="E83" s="17"/>
      <c r="F83" s="17"/>
      <c r="G83" s="17"/>
      <c r="H83" s="17"/>
      <c r="I83" s="17"/>
      <c r="J83" s="17"/>
      <c r="K83" s="17"/>
      <c r="L83" s="17"/>
      <c r="M83" s="17"/>
      <c r="N83" s="17"/>
      <c r="O83" s="17"/>
      <c r="P83" s="17"/>
      <c r="Q83" s="17"/>
      <c r="R83" s="17"/>
      <c r="S83" s="17"/>
      <c r="T83" s="17"/>
      <c r="U83" s="18"/>
    </row>
    <row r="84" spans="1:21" ht="28" customHeight="1" x14ac:dyDescent="0.35">
      <c r="A84" s="19" t="s">
        <v>547</v>
      </c>
      <c r="B84" s="20"/>
      <c r="C84" s="20"/>
      <c r="D84" s="20"/>
      <c r="E84" s="20"/>
      <c r="F84" s="20"/>
      <c r="G84" s="20"/>
      <c r="H84" s="20"/>
      <c r="I84" s="20"/>
      <c r="J84" s="20"/>
      <c r="K84" s="20"/>
      <c r="L84" s="20"/>
      <c r="M84" s="20"/>
      <c r="N84" s="20"/>
      <c r="O84" s="20"/>
      <c r="P84" s="20"/>
      <c r="Q84" s="20"/>
      <c r="R84" s="20"/>
      <c r="S84" s="20"/>
      <c r="T84" s="20"/>
      <c r="U84" s="21"/>
    </row>
    <row r="85" spans="1:21" ht="28" customHeight="1" x14ac:dyDescent="0.35">
      <c r="A85" s="4" t="s">
        <v>31</v>
      </c>
      <c r="B85" s="3" t="s">
        <v>21</v>
      </c>
      <c r="C85" s="4" t="s">
        <v>32</v>
      </c>
      <c r="D85" s="3"/>
      <c r="E85" s="4" t="s">
        <v>33</v>
      </c>
      <c r="F85" s="8"/>
    </row>
    <row r="86" spans="1:21" ht="28" customHeight="1" x14ac:dyDescent="0.35">
      <c r="A86" s="1" t="s">
        <v>34</v>
      </c>
      <c r="B86" s="1" t="s">
        <v>35</v>
      </c>
      <c r="C86" s="1" t="s">
        <v>36</v>
      </c>
      <c r="D86" s="1" t="s">
        <v>37</v>
      </c>
      <c r="E86" s="1" t="s">
        <v>38</v>
      </c>
      <c r="F86" s="1" t="s">
        <v>39</v>
      </c>
      <c r="G86" s="1" t="s">
        <v>40</v>
      </c>
      <c r="H86" s="1" t="s">
        <v>41</v>
      </c>
      <c r="I86" s="1" t="s">
        <v>42</v>
      </c>
      <c r="J86" s="1" t="s">
        <v>43</v>
      </c>
      <c r="K86" s="1" t="s">
        <v>44</v>
      </c>
      <c r="L86" s="1" t="s">
        <v>45</v>
      </c>
      <c r="M86" s="1" t="s">
        <v>46</v>
      </c>
      <c r="N86" s="1" t="s">
        <v>47</v>
      </c>
      <c r="O86" s="1" t="s">
        <v>48</v>
      </c>
      <c r="P86" s="1" t="s">
        <v>4</v>
      </c>
      <c r="Q86" s="1" t="s">
        <v>49</v>
      </c>
      <c r="R86" s="1" t="s">
        <v>50</v>
      </c>
      <c r="S86" s="1" t="s">
        <v>51</v>
      </c>
      <c r="T86" s="1" t="s">
        <v>52</v>
      </c>
      <c r="U86" s="1" t="s">
        <v>10</v>
      </c>
    </row>
    <row r="87" spans="1:21" ht="28" customHeight="1" x14ac:dyDescent="0.35">
      <c r="A87" s="4">
        <v>1</v>
      </c>
      <c r="B87" s="4" t="s">
        <v>53</v>
      </c>
      <c r="C87" s="4" t="s">
        <v>537</v>
      </c>
      <c r="D87" s="4" t="s">
        <v>538</v>
      </c>
      <c r="E87" s="4" t="s">
        <v>56</v>
      </c>
      <c r="F87" s="4" t="s">
        <v>57</v>
      </c>
      <c r="G87" s="4" t="s">
        <v>58</v>
      </c>
      <c r="H87" s="4" t="s">
        <v>59</v>
      </c>
      <c r="I87" s="3"/>
      <c r="J87" s="3"/>
      <c r="K87" s="3"/>
      <c r="L87" s="3"/>
      <c r="M87" s="3"/>
      <c r="N87" s="3"/>
      <c r="O87" s="3"/>
      <c r="P87" s="8"/>
      <c r="Q87" s="8"/>
      <c r="R87" s="3"/>
      <c r="S87" s="3"/>
      <c r="T87" s="3"/>
      <c r="U87" s="5" t="str">
        <f t="shared" ref="U87:U102" si="5">IF(I87="","",IF(I87="NA","Grey",IF(I87=2,"Green",IF(I87=1,"Amber","Red"))))</f>
        <v/>
      </c>
    </row>
    <row r="88" spans="1:21" ht="28" customHeight="1" x14ac:dyDescent="0.35">
      <c r="A88" s="4">
        <v>2</v>
      </c>
      <c r="B88" s="4" t="s">
        <v>53</v>
      </c>
      <c r="C88" s="4" t="s">
        <v>539</v>
      </c>
      <c r="D88" s="4" t="s">
        <v>540</v>
      </c>
      <c r="E88" s="4" t="s">
        <v>56</v>
      </c>
      <c r="F88" s="4" t="s">
        <v>57</v>
      </c>
      <c r="G88" s="4" t="s">
        <v>58</v>
      </c>
      <c r="H88" s="4" t="s">
        <v>59</v>
      </c>
      <c r="I88" s="3"/>
      <c r="J88" s="3"/>
      <c r="K88" s="3"/>
      <c r="L88" s="3"/>
      <c r="M88" s="3"/>
      <c r="N88" s="3"/>
      <c r="O88" s="3"/>
      <c r="P88" s="8"/>
      <c r="Q88" s="8"/>
      <c r="R88" s="3"/>
      <c r="S88" s="3"/>
      <c r="T88" s="3"/>
      <c r="U88" s="5" t="str">
        <f t="shared" si="5"/>
        <v/>
      </c>
    </row>
    <row r="89" spans="1:21" ht="28" customHeight="1" x14ac:dyDescent="0.35">
      <c r="A89" s="4">
        <v>3</v>
      </c>
      <c r="B89" s="4" t="s">
        <v>53</v>
      </c>
      <c r="C89" s="4" t="s">
        <v>541</v>
      </c>
      <c r="D89" s="4" t="s">
        <v>542</v>
      </c>
      <c r="E89" s="4" t="s">
        <v>56</v>
      </c>
      <c r="F89" s="4" t="s">
        <v>57</v>
      </c>
      <c r="G89" s="4" t="s">
        <v>58</v>
      </c>
      <c r="H89" s="4" t="s">
        <v>59</v>
      </c>
      <c r="I89" s="3"/>
      <c r="J89" s="3"/>
      <c r="K89" s="3"/>
      <c r="L89" s="3"/>
      <c r="M89" s="3"/>
      <c r="N89" s="3"/>
      <c r="O89" s="3"/>
      <c r="P89" s="8"/>
      <c r="Q89" s="8"/>
      <c r="R89" s="3"/>
      <c r="S89" s="3"/>
      <c r="T89" s="3"/>
      <c r="U89" s="5" t="str">
        <f t="shared" si="5"/>
        <v/>
      </c>
    </row>
    <row r="90" spans="1:21" ht="28" customHeight="1" x14ac:dyDescent="0.35">
      <c r="A90" s="4">
        <v>4</v>
      </c>
      <c r="B90" s="4" t="s">
        <v>53</v>
      </c>
      <c r="C90" s="4" t="s">
        <v>543</v>
      </c>
      <c r="D90" s="4" t="s">
        <v>544</v>
      </c>
      <c r="E90" s="4" t="s">
        <v>56</v>
      </c>
      <c r="F90" s="4" t="s">
        <v>57</v>
      </c>
      <c r="G90" s="4" t="s">
        <v>58</v>
      </c>
      <c r="H90" s="4" t="s">
        <v>59</v>
      </c>
      <c r="I90" s="3"/>
      <c r="J90" s="3"/>
      <c r="K90" s="3"/>
      <c r="L90" s="3"/>
      <c r="M90" s="3"/>
      <c r="N90" s="3"/>
      <c r="O90" s="3"/>
      <c r="P90" s="8"/>
      <c r="Q90" s="8"/>
      <c r="R90" s="3"/>
      <c r="S90" s="3"/>
      <c r="T90" s="3"/>
      <c r="U90" s="5" t="str">
        <f t="shared" si="5"/>
        <v/>
      </c>
    </row>
    <row r="91" spans="1:21" ht="28" customHeight="1" x14ac:dyDescent="0.35">
      <c r="A91" s="4">
        <v>5</v>
      </c>
      <c r="B91" s="4" t="s">
        <v>66</v>
      </c>
      <c r="C91" s="4" t="s">
        <v>67</v>
      </c>
      <c r="D91" s="4" t="s">
        <v>68</v>
      </c>
      <c r="E91" s="4" t="s">
        <v>69</v>
      </c>
      <c r="F91" s="4" t="s">
        <v>57</v>
      </c>
      <c r="G91" s="4" t="s">
        <v>58</v>
      </c>
      <c r="H91" s="4" t="s">
        <v>59</v>
      </c>
      <c r="I91" s="3"/>
      <c r="J91" s="3"/>
      <c r="K91" s="3"/>
      <c r="L91" s="3"/>
      <c r="M91" s="3"/>
      <c r="N91" s="3"/>
      <c r="O91" s="3"/>
      <c r="P91" s="8"/>
      <c r="Q91" s="8"/>
      <c r="R91" s="3"/>
      <c r="S91" s="3"/>
      <c r="T91" s="3"/>
      <c r="U91" s="5" t="str">
        <f t="shared" si="5"/>
        <v/>
      </c>
    </row>
    <row r="92" spans="1:21" ht="28" customHeight="1" x14ac:dyDescent="0.35">
      <c r="A92" s="4">
        <v>6</v>
      </c>
      <c r="B92" s="4" t="s">
        <v>70</v>
      </c>
      <c r="C92" s="4" t="s">
        <v>71</v>
      </c>
      <c r="D92" s="4" t="s">
        <v>72</v>
      </c>
      <c r="E92" s="4" t="s">
        <v>70</v>
      </c>
      <c r="F92" s="4" t="s">
        <v>57</v>
      </c>
      <c r="G92" s="4" t="s">
        <v>58</v>
      </c>
      <c r="H92" s="4" t="s">
        <v>59</v>
      </c>
      <c r="I92" s="3"/>
      <c r="J92" s="3"/>
      <c r="K92" s="3"/>
      <c r="L92" s="3"/>
      <c r="M92" s="3"/>
      <c r="N92" s="3"/>
      <c r="O92" s="3"/>
      <c r="P92" s="8"/>
      <c r="Q92" s="8"/>
      <c r="R92" s="3"/>
      <c r="S92" s="3"/>
      <c r="T92" s="3"/>
      <c r="U92" s="5" t="str">
        <f t="shared" si="5"/>
        <v/>
      </c>
    </row>
    <row r="93" spans="1:21" ht="28" customHeight="1" x14ac:dyDescent="0.35">
      <c r="A93" s="4">
        <v>7</v>
      </c>
      <c r="B93" s="4" t="s">
        <v>73</v>
      </c>
      <c r="C93" s="4" t="s">
        <v>74</v>
      </c>
      <c r="D93" s="4" t="s">
        <v>75</v>
      </c>
      <c r="E93" s="4" t="s">
        <v>69</v>
      </c>
      <c r="F93" s="4" t="s">
        <v>57</v>
      </c>
      <c r="G93" s="4" t="s">
        <v>58</v>
      </c>
      <c r="H93" s="4" t="s">
        <v>76</v>
      </c>
      <c r="I93" s="3"/>
      <c r="J93" s="3"/>
      <c r="K93" s="3"/>
      <c r="L93" s="3"/>
      <c r="M93" s="3"/>
      <c r="N93" s="3"/>
      <c r="O93" s="3"/>
      <c r="P93" s="8"/>
      <c r="Q93" s="8"/>
      <c r="R93" s="3"/>
      <c r="S93" s="3"/>
      <c r="T93" s="3"/>
      <c r="U93" s="5" t="str">
        <f t="shared" si="5"/>
        <v/>
      </c>
    </row>
    <row r="94" spans="1:21" ht="28" customHeight="1" x14ac:dyDescent="0.35">
      <c r="A94" s="4">
        <v>8</v>
      </c>
      <c r="B94" s="4" t="s">
        <v>77</v>
      </c>
      <c r="C94" s="4" t="s">
        <v>78</v>
      </c>
      <c r="D94" s="4" t="s">
        <v>79</v>
      </c>
      <c r="E94" s="4" t="s">
        <v>80</v>
      </c>
      <c r="F94" s="4" t="s">
        <v>57</v>
      </c>
      <c r="G94" s="4" t="s">
        <v>58</v>
      </c>
      <c r="H94" s="4" t="s">
        <v>59</v>
      </c>
      <c r="I94" s="3"/>
      <c r="J94" s="3"/>
      <c r="K94" s="3"/>
      <c r="L94" s="3"/>
      <c r="M94" s="3"/>
      <c r="N94" s="3"/>
      <c r="O94" s="3"/>
      <c r="P94" s="8"/>
      <c r="Q94" s="8"/>
      <c r="R94" s="3"/>
      <c r="S94" s="3"/>
      <c r="T94" s="3"/>
      <c r="U94" s="5" t="str">
        <f t="shared" si="5"/>
        <v/>
      </c>
    </row>
    <row r="95" spans="1:21" ht="28" customHeight="1" x14ac:dyDescent="0.35">
      <c r="A95" s="4">
        <v>9</v>
      </c>
      <c r="B95" s="4" t="s">
        <v>81</v>
      </c>
      <c r="C95" s="4" t="s">
        <v>82</v>
      </c>
      <c r="D95" s="4" t="s">
        <v>83</v>
      </c>
      <c r="E95" s="4" t="s">
        <v>84</v>
      </c>
      <c r="F95" s="4" t="s">
        <v>57</v>
      </c>
      <c r="G95" s="4" t="s">
        <v>58</v>
      </c>
      <c r="H95" s="4" t="s">
        <v>85</v>
      </c>
      <c r="I95" s="3"/>
      <c r="J95" s="3"/>
      <c r="K95" s="3"/>
      <c r="L95" s="3"/>
      <c r="M95" s="3"/>
      <c r="N95" s="3"/>
      <c r="O95" s="3"/>
      <c r="P95" s="8"/>
      <c r="Q95" s="8"/>
      <c r="R95" s="3"/>
      <c r="S95" s="3"/>
      <c r="T95" s="3"/>
      <c r="U95" s="5" t="str">
        <f t="shared" si="5"/>
        <v/>
      </c>
    </row>
    <row r="96" spans="1:21" ht="28" customHeight="1" x14ac:dyDescent="0.35">
      <c r="A96" s="4">
        <v>10</v>
      </c>
      <c r="B96" s="4" t="s">
        <v>86</v>
      </c>
      <c r="C96" s="4" t="s">
        <v>87</v>
      </c>
      <c r="D96" s="4" t="s">
        <v>88</v>
      </c>
      <c r="E96" s="4" t="s">
        <v>69</v>
      </c>
      <c r="F96" s="4" t="s">
        <v>57</v>
      </c>
      <c r="G96" s="4" t="s">
        <v>58</v>
      </c>
      <c r="H96" s="4" t="s">
        <v>59</v>
      </c>
      <c r="I96" s="3"/>
      <c r="J96" s="3"/>
      <c r="K96" s="3"/>
      <c r="L96" s="3"/>
      <c r="M96" s="3"/>
      <c r="N96" s="3"/>
      <c r="O96" s="3"/>
      <c r="P96" s="8"/>
      <c r="Q96" s="8"/>
      <c r="R96" s="3"/>
      <c r="S96" s="3"/>
      <c r="T96" s="3"/>
      <c r="U96" s="5" t="str">
        <f t="shared" si="5"/>
        <v/>
      </c>
    </row>
    <row r="97" spans="1:21" ht="28" customHeight="1" x14ac:dyDescent="0.35">
      <c r="A97" s="4">
        <v>11</v>
      </c>
      <c r="B97" s="4" t="s">
        <v>89</v>
      </c>
      <c r="C97" s="4" t="s">
        <v>90</v>
      </c>
      <c r="D97" s="4" t="s">
        <v>91</v>
      </c>
      <c r="E97" s="4" t="s">
        <v>84</v>
      </c>
      <c r="F97" s="4" t="s">
        <v>57</v>
      </c>
      <c r="G97" s="4" t="s">
        <v>58</v>
      </c>
      <c r="H97" s="4" t="s">
        <v>59</v>
      </c>
      <c r="I97" s="3"/>
      <c r="J97" s="3"/>
      <c r="K97" s="3"/>
      <c r="L97" s="3"/>
      <c r="M97" s="3"/>
      <c r="N97" s="3"/>
      <c r="O97" s="3"/>
      <c r="P97" s="8"/>
      <c r="Q97" s="8"/>
      <c r="R97" s="3"/>
      <c r="S97" s="3"/>
      <c r="T97" s="3"/>
      <c r="U97" s="5" t="str">
        <f t="shared" si="5"/>
        <v/>
      </c>
    </row>
    <row r="98" spans="1:21" ht="28" customHeight="1" x14ac:dyDescent="0.35">
      <c r="A98" s="4">
        <v>12</v>
      </c>
      <c r="B98" s="4" t="s">
        <v>92</v>
      </c>
      <c r="C98" s="4" t="s">
        <v>93</v>
      </c>
      <c r="D98" s="4" t="s">
        <v>94</v>
      </c>
      <c r="E98" s="4" t="s">
        <v>69</v>
      </c>
      <c r="F98" s="4" t="s">
        <v>95</v>
      </c>
      <c r="G98" s="4" t="s">
        <v>96</v>
      </c>
      <c r="H98" s="4" t="s">
        <v>59</v>
      </c>
      <c r="I98" s="3"/>
      <c r="J98" s="3"/>
      <c r="K98" s="3"/>
      <c r="L98" s="3"/>
      <c r="M98" s="3"/>
      <c r="N98" s="3"/>
      <c r="O98" s="3"/>
      <c r="P98" s="8"/>
      <c r="Q98" s="8"/>
      <c r="R98" s="3"/>
      <c r="S98" s="3"/>
      <c r="T98" s="3"/>
      <c r="U98" s="5" t="str">
        <f t="shared" si="5"/>
        <v/>
      </c>
    </row>
    <row r="99" spans="1:21" ht="28" customHeight="1" x14ac:dyDescent="0.35">
      <c r="A99" s="4">
        <v>13</v>
      </c>
      <c r="B99" s="4" t="s">
        <v>97</v>
      </c>
      <c r="C99" s="4" t="s">
        <v>98</v>
      </c>
      <c r="D99" s="4" t="s">
        <v>99</v>
      </c>
      <c r="E99" s="4" t="s">
        <v>69</v>
      </c>
      <c r="F99" s="4" t="s">
        <v>95</v>
      </c>
      <c r="G99" s="4" t="s">
        <v>96</v>
      </c>
      <c r="H99" s="4" t="s">
        <v>59</v>
      </c>
      <c r="I99" s="3"/>
      <c r="J99" s="3"/>
      <c r="K99" s="3"/>
      <c r="L99" s="3"/>
      <c r="M99" s="3"/>
      <c r="N99" s="3"/>
      <c r="O99" s="3"/>
      <c r="P99" s="8"/>
      <c r="Q99" s="8"/>
      <c r="R99" s="3"/>
      <c r="S99" s="3"/>
      <c r="T99" s="3"/>
      <c r="U99" s="5" t="str">
        <f t="shared" si="5"/>
        <v/>
      </c>
    </row>
    <row r="100" spans="1:21" ht="28" customHeight="1" x14ac:dyDescent="0.35">
      <c r="A100" s="4">
        <v>14</v>
      </c>
      <c r="B100" s="4" t="s">
        <v>97</v>
      </c>
      <c r="C100" s="4" t="s">
        <v>100</v>
      </c>
      <c r="D100" s="4" t="s">
        <v>101</v>
      </c>
      <c r="E100" s="4" t="s">
        <v>69</v>
      </c>
      <c r="F100" s="4" t="s">
        <v>95</v>
      </c>
      <c r="G100" s="4" t="s">
        <v>102</v>
      </c>
      <c r="H100" s="4" t="s">
        <v>59</v>
      </c>
      <c r="I100" s="3"/>
      <c r="J100" s="3"/>
      <c r="K100" s="3"/>
      <c r="L100" s="3"/>
      <c r="M100" s="3"/>
      <c r="N100" s="3"/>
      <c r="O100" s="3"/>
      <c r="P100" s="8"/>
      <c r="Q100" s="8"/>
      <c r="R100" s="3"/>
      <c r="S100" s="3"/>
      <c r="T100" s="3"/>
      <c r="U100" s="5" t="str">
        <f t="shared" si="5"/>
        <v/>
      </c>
    </row>
    <row r="101" spans="1:21" ht="28" customHeight="1" x14ac:dyDescent="0.35">
      <c r="A101" s="4">
        <v>15</v>
      </c>
      <c r="B101" s="4" t="s">
        <v>103</v>
      </c>
      <c r="C101" s="4" t="s">
        <v>104</v>
      </c>
      <c r="D101" s="4" t="s">
        <v>105</v>
      </c>
      <c r="E101" s="4" t="s">
        <v>69</v>
      </c>
      <c r="F101" s="4" t="s">
        <v>95</v>
      </c>
      <c r="G101" s="4" t="s">
        <v>96</v>
      </c>
      <c r="H101" s="4" t="s">
        <v>85</v>
      </c>
      <c r="I101" s="3"/>
      <c r="J101" s="3"/>
      <c r="K101" s="3"/>
      <c r="L101" s="3"/>
      <c r="M101" s="3"/>
      <c r="N101" s="3"/>
      <c r="O101" s="3"/>
      <c r="P101" s="8"/>
      <c r="Q101" s="8"/>
      <c r="R101" s="3"/>
      <c r="S101" s="3"/>
      <c r="T101" s="3"/>
      <c r="U101" s="5" t="str">
        <f t="shared" si="5"/>
        <v/>
      </c>
    </row>
    <row r="102" spans="1:21" ht="28" customHeight="1" x14ac:dyDescent="0.35">
      <c r="A102" s="4">
        <v>16</v>
      </c>
      <c r="B102" s="4" t="s">
        <v>106</v>
      </c>
      <c r="C102" s="4" t="s">
        <v>107</v>
      </c>
      <c r="D102" s="4" t="s">
        <v>108</v>
      </c>
      <c r="E102" s="4" t="s">
        <v>109</v>
      </c>
      <c r="F102" s="4" t="s">
        <v>95</v>
      </c>
      <c r="G102" s="4" t="s">
        <v>96</v>
      </c>
      <c r="H102" s="4" t="s">
        <v>59</v>
      </c>
      <c r="I102" s="3"/>
      <c r="J102" s="3"/>
      <c r="K102" s="3"/>
      <c r="L102" s="3"/>
      <c r="M102" s="3"/>
      <c r="N102" s="3"/>
      <c r="O102" s="3"/>
      <c r="P102" s="8"/>
      <c r="Q102" s="8"/>
      <c r="R102" s="3"/>
      <c r="S102" s="3"/>
      <c r="T102" s="3"/>
      <c r="U102" s="5" t="str">
        <f t="shared" si="5"/>
        <v/>
      </c>
    </row>
    <row r="104" spans="1:21" ht="28" customHeight="1" x14ac:dyDescent="0.35">
      <c r="A104" s="9" t="s">
        <v>110</v>
      </c>
      <c r="B104" s="16"/>
      <c r="C104" s="17"/>
      <c r="D104" s="17"/>
      <c r="E104" s="17"/>
      <c r="F104" s="17"/>
      <c r="G104" s="17"/>
      <c r="H104" s="17"/>
      <c r="I104" s="17"/>
      <c r="J104" s="17"/>
      <c r="K104" s="17"/>
      <c r="L104" s="17"/>
      <c r="M104" s="17"/>
      <c r="N104" s="17"/>
      <c r="O104" s="17"/>
      <c r="P104" s="17"/>
      <c r="Q104" s="17"/>
      <c r="R104" s="17"/>
      <c r="S104" s="17"/>
      <c r="T104" s="17"/>
      <c r="U104" s="18"/>
    </row>
    <row r="105" spans="1:21" ht="28" customHeight="1" x14ac:dyDescent="0.35">
      <c r="A105" s="19" t="s">
        <v>548</v>
      </c>
      <c r="B105" s="20"/>
      <c r="C105" s="20"/>
      <c r="D105" s="20"/>
      <c r="E105" s="20"/>
      <c r="F105" s="20"/>
      <c r="G105" s="20"/>
      <c r="H105" s="20"/>
      <c r="I105" s="20"/>
      <c r="J105" s="20"/>
      <c r="K105" s="20"/>
      <c r="L105" s="20"/>
      <c r="M105" s="20"/>
      <c r="N105" s="20"/>
      <c r="O105" s="20"/>
      <c r="P105" s="20"/>
      <c r="Q105" s="20"/>
      <c r="R105" s="20"/>
      <c r="S105" s="20"/>
      <c r="T105" s="20"/>
      <c r="U105" s="21"/>
    </row>
    <row r="106" spans="1:21" ht="28" customHeight="1" x14ac:dyDescent="0.35">
      <c r="A106" s="4" t="s">
        <v>31</v>
      </c>
      <c r="B106" s="3" t="s">
        <v>22</v>
      </c>
      <c r="C106" s="4" t="s">
        <v>32</v>
      </c>
      <c r="D106" s="3"/>
      <c r="E106" s="4" t="s">
        <v>33</v>
      </c>
      <c r="F106" s="8"/>
    </row>
    <row r="107" spans="1:21" ht="28" customHeight="1" x14ac:dyDescent="0.35">
      <c r="A107" s="1" t="s">
        <v>34</v>
      </c>
      <c r="B107" s="1" t="s">
        <v>35</v>
      </c>
      <c r="C107" s="1" t="s">
        <v>36</v>
      </c>
      <c r="D107" s="1" t="s">
        <v>37</v>
      </c>
      <c r="E107" s="1" t="s">
        <v>38</v>
      </c>
      <c r="F107" s="1" t="s">
        <v>39</v>
      </c>
      <c r="G107" s="1" t="s">
        <v>40</v>
      </c>
      <c r="H107" s="1" t="s">
        <v>41</v>
      </c>
      <c r="I107" s="1" t="s">
        <v>42</v>
      </c>
      <c r="J107" s="1" t="s">
        <v>43</v>
      </c>
      <c r="K107" s="1" t="s">
        <v>44</v>
      </c>
      <c r="L107" s="1" t="s">
        <v>45</v>
      </c>
      <c r="M107" s="1" t="s">
        <v>46</v>
      </c>
      <c r="N107" s="1" t="s">
        <v>47</v>
      </c>
      <c r="O107" s="1" t="s">
        <v>48</v>
      </c>
      <c r="P107" s="1" t="s">
        <v>4</v>
      </c>
      <c r="Q107" s="1" t="s">
        <v>49</v>
      </c>
      <c r="R107" s="1" t="s">
        <v>50</v>
      </c>
      <c r="S107" s="1" t="s">
        <v>51</v>
      </c>
      <c r="T107" s="1" t="s">
        <v>52</v>
      </c>
      <c r="U107" s="1" t="s">
        <v>10</v>
      </c>
    </row>
    <row r="108" spans="1:21" ht="28" customHeight="1" x14ac:dyDescent="0.35">
      <c r="A108" s="4">
        <v>1</v>
      </c>
      <c r="B108" s="4" t="s">
        <v>53</v>
      </c>
      <c r="C108" s="4" t="s">
        <v>537</v>
      </c>
      <c r="D108" s="4" t="s">
        <v>538</v>
      </c>
      <c r="E108" s="4" t="s">
        <v>56</v>
      </c>
      <c r="F108" s="4" t="s">
        <v>57</v>
      </c>
      <c r="G108" s="4" t="s">
        <v>58</v>
      </c>
      <c r="H108" s="4" t="s">
        <v>59</v>
      </c>
      <c r="I108" s="3"/>
      <c r="J108" s="3"/>
      <c r="K108" s="3"/>
      <c r="L108" s="3"/>
      <c r="M108" s="3"/>
      <c r="N108" s="3"/>
      <c r="O108" s="3"/>
      <c r="P108" s="8"/>
      <c r="Q108" s="8"/>
      <c r="R108" s="3"/>
      <c r="S108" s="3"/>
      <c r="T108" s="3"/>
      <c r="U108" s="5" t="str">
        <f t="shared" ref="U108:U123" si="6">IF(I108="","",IF(I108="NA","Grey",IF(I108=2,"Green",IF(I108=1,"Amber","Red"))))</f>
        <v/>
      </c>
    </row>
    <row r="109" spans="1:21" ht="28" customHeight="1" x14ac:dyDescent="0.35">
      <c r="A109" s="4">
        <v>2</v>
      </c>
      <c r="B109" s="4" t="s">
        <v>53</v>
      </c>
      <c r="C109" s="4" t="s">
        <v>539</v>
      </c>
      <c r="D109" s="4" t="s">
        <v>540</v>
      </c>
      <c r="E109" s="4" t="s">
        <v>56</v>
      </c>
      <c r="F109" s="4" t="s">
        <v>57</v>
      </c>
      <c r="G109" s="4" t="s">
        <v>58</v>
      </c>
      <c r="H109" s="4" t="s">
        <v>59</v>
      </c>
      <c r="I109" s="3"/>
      <c r="J109" s="3"/>
      <c r="K109" s="3"/>
      <c r="L109" s="3"/>
      <c r="M109" s="3"/>
      <c r="N109" s="3"/>
      <c r="O109" s="3"/>
      <c r="P109" s="8"/>
      <c r="Q109" s="8"/>
      <c r="R109" s="3"/>
      <c r="S109" s="3"/>
      <c r="T109" s="3"/>
      <c r="U109" s="5" t="str">
        <f t="shared" si="6"/>
        <v/>
      </c>
    </row>
    <row r="110" spans="1:21" ht="28" customHeight="1" x14ac:dyDescent="0.35">
      <c r="A110" s="4">
        <v>3</v>
      </c>
      <c r="B110" s="4" t="s">
        <v>53</v>
      </c>
      <c r="C110" s="4" t="s">
        <v>541</v>
      </c>
      <c r="D110" s="4" t="s">
        <v>542</v>
      </c>
      <c r="E110" s="4" t="s">
        <v>56</v>
      </c>
      <c r="F110" s="4" t="s">
        <v>57</v>
      </c>
      <c r="G110" s="4" t="s">
        <v>58</v>
      </c>
      <c r="H110" s="4" t="s">
        <v>59</v>
      </c>
      <c r="I110" s="3"/>
      <c r="J110" s="3"/>
      <c r="K110" s="3"/>
      <c r="L110" s="3"/>
      <c r="M110" s="3"/>
      <c r="N110" s="3"/>
      <c r="O110" s="3"/>
      <c r="P110" s="8"/>
      <c r="Q110" s="8"/>
      <c r="R110" s="3"/>
      <c r="S110" s="3"/>
      <c r="T110" s="3"/>
      <c r="U110" s="5" t="str">
        <f t="shared" si="6"/>
        <v/>
      </c>
    </row>
    <row r="111" spans="1:21" ht="28" customHeight="1" x14ac:dyDescent="0.35">
      <c r="A111" s="4">
        <v>4</v>
      </c>
      <c r="B111" s="4" t="s">
        <v>53</v>
      </c>
      <c r="C111" s="4" t="s">
        <v>543</v>
      </c>
      <c r="D111" s="4" t="s">
        <v>544</v>
      </c>
      <c r="E111" s="4" t="s">
        <v>56</v>
      </c>
      <c r="F111" s="4" t="s">
        <v>57</v>
      </c>
      <c r="G111" s="4" t="s">
        <v>58</v>
      </c>
      <c r="H111" s="4" t="s">
        <v>59</v>
      </c>
      <c r="I111" s="3"/>
      <c r="J111" s="3"/>
      <c r="K111" s="3"/>
      <c r="L111" s="3"/>
      <c r="M111" s="3"/>
      <c r="N111" s="3"/>
      <c r="O111" s="3"/>
      <c r="P111" s="8"/>
      <c r="Q111" s="8"/>
      <c r="R111" s="3"/>
      <c r="S111" s="3"/>
      <c r="T111" s="3"/>
      <c r="U111" s="5" t="str">
        <f t="shared" si="6"/>
        <v/>
      </c>
    </row>
    <row r="112" spans="1:21" ht="28" customHeight="1" x14ac:dyDescent="0.35">
      <c r="A112" s="4">
        <v>5</v>
      </c>
      <c r="B112" s="4" t="s">
        <v>66</v>
      </c>
      <c r="C112" s="4" t="s">
        <v>67</v>
      </c>
      <c r="D112" s="4" t="s">
        <v>68</v>
      </c>
      <c r="E112" s="4" t="s">
        <v>69</v>
      </c>
      <c r="F112" s="4" t="s">
        <v>57</v>
      </c>
      <c r="G112" s="4" t="s">
        <v>58</v>
      </c>
      <c r="H112" s="4" t="s">
        <v>59</v>
      </c>
      <c r="I112" s="3"/>
      <c r="J112" s="3"/>
      <c r="K112" s="3"/>
      <c r="L112" s="3"/>
      <c r="M112" s="3"/>
      <c r="N112" s="3"/>
      <c r="O112" s="3"/>
      <c r="P112" s="8"/>
      <c r="Q112" s="8"/>
      <c r="R112" s="3"/>
      <c r="S112" s="3"/>
      <c r="T112" s="3"/>
      <c r="U112" s="5" t="str">
        <f t="shared" si="6"/>
        <v/>
      </c>
    </row>
    <row r="113" spans="1:21" ht="28" customHeight="1" x14ac:dyDescent="0.35">
      <c r="A113" s="4">
        <v>6</v>
      </c>
      <c r="B113" s="4" t="s">
        <v>70</v>
      </c>
      <c r="C113" s="4" t="s">
        <v>71</v>
      </c>
      <c r="D113" s="4" t="s">
        <v>72</v>
      </c>
      <c r="E113" s="4" t="s">
        <v>70</v>
      </c>
      <c r="F113" s="4" t="s">
        <v>57</v>
      </c>
      <c r="G113" s="4" t="s">
        <v>58</v>
      </c>
      <c r="H113" s="4" t="s">
        <v>59</v>
      </c>
      <c r="I113" s="3"/>
      <c r="J113" s="3"/>
      <c r="K113" s="3"/>
      <c r="L113" s="3"/>
      <c r="M113" s="3"/>
      <c r="N113" s="3"/>
      <c r="O113" s="3"/>
      <c r="P113" s="8"/>
      <c r="Q113" s="8"/>
      <c r="R113" s="3"/>
      <c r="S113" s="3"/>
      <c r="T113" s="3"/>
      <c r="U113" s="5" t="str">
        <f t="shared" si="6"/>
        <v/>
      </c>
    </row>
    <row r="114" spans="1:21" ht="28" customHeight="1" x14ac:dyDescent="0.35">
      <c r="A114" s="4">
        <v>7</v>
      </c>
      <c r="B114" s="4" t="s">
        <v>73</v>
      </c>
      <c r="C114" s="4" t="s">
        <v>74</v>
      </c>
      <c r="D114" s="4" t="s">
        <v>75</v>
      </c>
      <c r="E114" s="4" t="s">
        <v>69</v>
      </c>
      <c r="F114" s="4" t="s">
        <v>57</v>
      </c>
      <c r="G114" s="4" t="s">
        <v>58</v>
      </c>
      <c r="H114" s="4" t="s">
        <v>76</v>
      </c>
      <c r="I114" s="3"/>
      <c r="J114" s="3"/>
      <c r="K114" s="3"/>
      <c r="L114" s="3"/>
      <c r="M114" s="3"/>
      <c r="N114" s="3"/>
      <c r="O114" s="3"/>
      <c r="P114" s="8"/>
      <c r="Q114" s="8"/>
      <c r="R114" s="3"/>
      <c r="S114" s="3"/>
      <c r="T114" s="3"/>
      <c r="U114" s="5" t="str">
        <f t="shared" si="6"/>
        <v/>
      </c>
    </row>
    <row r="115" spans="1:21" ht="28" customHeight="1" x14ac:dyDescent="0.35">
      <c r="A115" s="4">
        <v>8</v>
      </c>
      <c r="B115" s="4" t="s">
        <v>77</v>
      </c>
      <c r="C115" s="4" t="s">
        <v>78</v>
      </c>
      <c r="D115" s="4" t="s">
        <v>79</v>
      </c>
      <c r="E115" s="4" t="s">
        <v>80</v>
      </c>
      <c r="F115" s="4" t="s">
        <v>57</v>
      </c>
      <c r="G115" s="4" t="s">
        <v>58</v>
      </c>
      <c r="H115" s="4" t="s">
        <v>59</v>
      </c>
      <c r="I115" s="3"/>
      <c r="J115" s="3"/>
      <c r="K115" s="3"/>
      <c r="L115" s="3"/>
      <c r="M115" s="3"/>
      <c r="N115" s="3"/>
      <c r="O115" s="3"/>
      <c r="P115" s="8"/>
      <c r="Q115" s="8"/>
      <c r="R115" s="3"/>
      <c r="S115" s="3"/>
      <c r="T115" s="3"/>
      <c r="U115" s="5" t="str">
        <f t="shared" si="6"/>
        <v/>
      </c>
    </row>
    <row r="116" spans="1:21" ht="28" customHeight="1" x14ac:dyDescent="0.35">
      <c r="A116" s="4">
        <v>9</v>
      </c>
      <c r="B116" s="4" t="s">
        <v>81</v>
      </c>
      <c r="C116" s="4" t="s">
        <v>82</v>
      </c>
      <c r="D116" s="4" t="s">
        <v>83</v>
      </c>
      <c r="E116" s="4" t="s">
        <v>84</v>
      </c>
      <c r="F116" s="4" t="s">
        <v>57</v>
      </c>
      <c r="G116" s="4" t="s">
        <v>58</v>
      </c>
      <c r="H116" s="4" t="s">
        <v>85</v>
      </c>
      <c r="I116" s="3"/>
      <c r="J116" s="3"/>
      <c r="K116" s="3"/>
      <c r="L116" s="3"/>
      <c r="M116" s="3"/>
      <c r="N116" s="3"/>
      <c r="O116" s="3"/>
      <c r="P116" s="8"/>
      <c r="Q116" s="8"/>
      <c r="R116" s="3"/>
      <c r="S116" s="3"/>
      <c r="T116" s="3"/>
      <c r="U116" s="5" t="str">
        <f t="shared" si="6"/>
        <v/>
      </c>
    </row>
    <row r="117" spans="1:21" ht="28" customHeight="1" x14ac:dyDescent="0.35">
      <c r="A117" s="4">
        <v>10</v>
      </c>
      <c r="B117" s="4" t="s">
        <v>86</v>
      </c>
      <c r="C117" s="4" t="s">
        <v>87</v>
      </c>
      <c r="D117" s="4" t="s">
        <v>88</v>
      </c>
      <c r="E117" s="4" t="s">
        <v>69</v>
      </c>
      <c r="F117" s="4" t="s">
        <v>57</v>
      </c>
      <c r="G117" s="4" t="s">
        <v>58</v>
      </c>
      <c r="H117" s="4" t="s">
        <v>59</v>
      </c>
      <c r="I117" s="3"/>
      <c r="J117" s="3"/>
      <c r="K117" s="3"/>
      <c r="L117" s="3"/>
      <c r="M117" s="3"/>
      <c r="N117" s="3"/>
      <c r="O117" s="3"/>
      <c r="P117" s="8"/>
      <c r="Q117" s="8"/>
      <c r="R117" s="3"/>
      <c r="S117" s="3"/>
      <c r="T117" s="3"/>
      <c r="U117" s="5" t="str">
        <f t="shared" si="6"/>
        <v/>
      </c>
    </row>
    <row r="118" spans="1:21" ht="28" customHeight="1" x14ac:dyDescent="0.35">
      <c r="A118" s="4">
        <v>11</v>
      </c>
      <c r="B118" s="4" t="s">
        <v>89</v>
      </c>
      <c r="C118" s="4" t="s">
        <v>90</v>
      </c>
      <c r="D118" s="4" t="s">
        <v>91</v>
      </c>
      <c r="E118" s="4" t="s">
        <v>84</v>
      </c>
      <c r="F118" s="4" t="s">
        <v>57</v>
      </c>
      <c r="G118" s="4" t="s">
        <v>58</v>
      </c>
      <c r="H118" s="4" t="s">
        <v>59</v>
      </c>
      <c r="I118" s="3"/>
      <c r="J118" s="3"/>
      <c r="K118" s="3"/>
      <c r="L118" s="3"/>
      <c r="M118" s="3"/>
      <c r="N118" s="3"/>
      <c r="O118" s="3"/>
      <c r="P118" s="8"/>
      <c r="Q118" s="8"/>
      <c r="R118" s="3"/>
      <c r="S118" s="3"/>
      <c r="T118" s="3"/>
      <c r="U118" s="5" t="str">
        <f t="shared" si="6"/>
        <v/>
      </c>
    </row>
    <row r="119" spans="1:21" ht="28" customHeight="1" x14ac:dyDescent="0.35">
      <c r="A119" s="4">
        <v>12</v>
      </c>
      <c r="B119" s="4" t="s">
        <v>92</v>
      </c>
      <c r="C119" s="4" t="s">
        <v>93</v>
      </c>
      <c r="D119" s="4" t="s">
        <v>94</v>
      </c>
      <c r="E119" s="4" t="s">
        <v>69</v>
      </c>
      <c r="F119" s="4" t="s">
        <v>95</v>
      </c>
      <c r="G119" s="4" t="s">
        <v>96</v>
      </c>
      <c r="H119" s="4" t="s">
        <v>59</v>
      </c>
      <c r="I119" s="3"/>
      <c r="J119" s="3"/>
      <c r="K119" s="3"/>
      <c r="L119" s="3"/>
      <c r="M119" s="3"/>
      <c r="N119" s="3"/>
      <c r="O119" s="3"/>
      <c r="P119" s="8"/>
      <c r="Q119" s="8"/>
      <c r="R119" s="3"/>
      <c r="S119" s="3"/>
      <c r="T119" s="3"/>
      <c r="U119" s="5" t="str">
        <f t="shared" si="6"/>
        <v/>
      </c>
    </row>
    <row r="120" spans="1:21" ht="28" customHeight="1" x14ac:dyDescent="0.35">
      <c r="A120" s="4">
        <v>13</v>
      </c>
      <c r="B120" s="4" t="s">
        <v>97</v>
      </c>
      <c r="C120" s="4" t="s">
        <v>98</v>
      </c>
      <c r="D120" s="4" t="s">
        <v>99</v>
      </c>
      <c r="E120" s="4" t="s">
        <v>69</v>
      </c>
      <c r="F120" s="4" t="s">
        <v>95</v>
      </c>
      <c r="G120" s="4" t="s">
        <v>96</v>
      </c>
      <c r="H120" s="4" t="s">
        <v>59</v>
      </c>
      <c r="I120" s="3"/>
      <c r="J120" s="3"/>
      <c r="K120" s="3"/>
      <c r="L120" s="3"/>
      <c r="M120" s="3"/>
      <c r="N120" s="3"/>
      <c r="O120" s="3"/>
      <c r="P120" s="8"/>
      <c r="Q120" s="8"/>
      <c r="R120" s="3"/>
      <c r="S120" s="3"/>
      <c r="T120" s="3"/>
      <c r="U120" s="5" t="str">
        <f t="shared" si="6"/>
        <v/>
      </c>
    </row>
    <row r="121" spans="1:21" ht="28" customHeight="1" x14ac:dyDescent="0.35">
      <c r="A121" s="4">
        <v>14</v>
      </c>
      <c r="B121" s="4" t="s">
        <v>97</v>
      </c>
      <c r="C121" s="4" t="s">
        <v>100</v>
      </c>
      <c r="D121" s="4" t="s">
        <v>101</v>
      </c>
      <c r="E121" s="4" t="s">
        <v>69</v>
      </c>
      <c r="F121" s="4" t="s">
        <v>95</v>
      </c>
      <c r="G121" s="4" t="s">
        <v>102</v>
      </c>
      <c r="H121" s="4" t="s">
        <v>59</v>
      </c>
      <c r="I121" s="3"/>
      <c r="J121" s="3"/>
      <c r="K121" s="3"/>
      <c r="L121" s="3"/>
      <c r="M121" s="3"/>
      <c r="N121" s="3"/>
      <c r="O121" s="3"/>
      <c r="P121" s="8"/>
      <c r="Q121" s="8"/>
      <c r="R121" s="3"/>
      <c r="S121" s="3"/>
      <c r="T121" s="3"/>
      <c r="U121" s="5" t="str">
        <f t="shared" si="6"/>
        <v/>
      </c>
    </row>
    <row r="122" spans="1:21" ht="28" customHeight="1" x14ac:dyDescent="0.35">
      <c r="A122" s="4">
        <v>15</v>
      </c>
      <c r="B122" s="4" t="s">
        <v>103</v>
      </c>
      <c r="C122" s="4" t="s">
        <v>104</v>
      </c>
      <c r="D122" s="4" t="s">
        <v>105</v>
      </c>
      <c r="E122" s="4" t="s">
        <v>69</v>
      </c>
      <c r="F122" s="4" t="s">
        <v>95</v>
      </c>
      <c r="G122" s="4" t="s">
        <v>96</v>
      </c>
      <c r="H122" s="4" t="s">
        <v>85</v>
      </c>
      <c r="I122" s="3"/>
      <c r="J122" s="3"/>
      <c r="K122" s="3"/>
      <c r="L122" s="3"/>
      <c r="M122" s="3"/>
      <c r="N122" s="3"/>
      <c r="O122" s="3"/>
      <c r="P122" s="8"/>
      <c r="Q122" s="8"/>
      <c r="R122" s="3"/>
      <c r="S122" s="3"/>
      <c r="T122" s="3"/>
      <c r="U122" s="5" t="str">
        <f t="shared" si="6"/>
        <v/>
      </c>
    </row>
    <row r="123" spans="1:21" ht="28" customHeight="1" x14ac:dyDescent="0.35">
      <c r="A123" s="4">
        <v>16</v>
      </c>
      <c r="B123" s="4" t="s">
        <v>106</v>
      </c>
      <c r="C123" s="4" t="s">
        <v>107</v>
      </c>
      <c r="D123" s="4" t="s">
        <v>108</v>
      </c>
      <c r="E123" s="4" t="s">
        <v>109</v>
      </c>
      <c r="F123" s="4" t="s">
        <v>95</v>
      </c>
      <c r="G123" s="4" t="s">
        <v>96</v>
      </c>
      <c r="H123" s="4" t="s">
        <v>59</v>
      </c>
      <c r="I123" s="3"/>
      <c r="J123" s="3"/>
      <c r="K123" s="3"/>
      <c r="L123" s="3"/>
      <c r="M123" s="3"/>
      <c r="N123" s="3"/>
      <c r="O123" s="3"/>
      <c r="P123" s="8"/>
      <c r="Q123" s="8"/>
      <c r="R123" s="3"/>
      <c r="S123" s="3"/>
      <c r="T123" s="3"/>
      <c r="U123" s="5" t="str">
        <f t="shared" si="6"/>
        <v/>
      </c>
    </row>
    <row r="125" spans="1:21" ht="28" customHeight="1" x14ac:dyDescent="0.35">
      <c r="A125" s="9" t="s">
        <v>110</v>
      </c>
      <c r="B125" s="16"/>
      <c r="C125" s="17"/>
      <c r="D125" s="17"/>
      <c r="E125" s="17"/>
      <c r="F125" s="17"/>
      <c r="G125" s="17"/>
      <c r="H125" s="17"/>
      <c r="I125" s="17"/>
      <c r="J125" s="17"/>
      <c r="K125" s="17"/>
      <c r="L125" s="17"/>
      <c r="M125" s="17"/>
      <c r="N125" s="17"/>
      <c r="O125" s="17"/>
      <c r="P125" s="17"/>
      <c r="Q125" s="17"/>
      <c r="R125" s="17"/>
      <c r="S125" s="17"/>
      <c r="T125" s="17"/>
      <c r="U125" s="18"/>
    </row>
    <row r="126" spans="1:21" ht="28" customHeight="1" x14ac:dyDescent="0.35">
      <c r="A126" s="19" t="s">
        <v>549</v>
      </c>
      <c r="B126" s="20"/>
      <c r="C126" s="20"/>
      <c r="D126" s="20"/>
      <c r="E126" s="20"/>
      <c r="F126" s="20"/>
      <c r="G126" s="20"/>
      <c r="H126" s="20"/>
      <c r="I126" s="20"/>
      <c r="J126" s="20"/>
      <c r="K126" s="20"/>
      <c r="L126" s="20"/>
      <c r="M126" s="20"/>
      <c r="N126" s="20"/>
      <c r="O126" s="20"/>
      <c r="P126" s="20"/>
      <c r="Q126" s="20"/>
      <c r="R126" s="20"/>
      <c r="S126" s="20"/>
      <c r="T126" s="20"/>
      <c r="U126" s="21"/>
    </row>
    <row r="127" spans="1:21" ht="28" customHeight="1" x14ac:dyDescent="0.35">
      <c r="A127" s="4" t="s">
        <v>31</v>
      </c>
      <c r="B127" s="3" t="s">
        <v>23</v>
      </c>
      <c r="C127" s="4" t="s">
        <v>32</v>
      </c>
      <c r="D127" s="3"/>
      <c r="E127" s="4" t="s">
        <v>33</v>
      </c>
      <c r="F127" s="8"/>
    </row>
    <row r="128" spans="1:21" ht="28" customHeight="1" x14ac:dyDescent="0.35">
      <c r="A128" s="1" t="s">
        <v>34</v>
      </c>
      <c r="B128" s="1" t="s">
        <v>35</v>
      </c>
      <c r="C128" s="1" t="s">
        <v>36</v>
      </c>
      <c r="D128" s="1" t="s">
        <v>37</v>
      </c>
      <c r="E128" s="1" t="s">
        <v>38</v>
      </c>
      <c r="F128" s="1" t="s">
        <v>39</v>
      </c>
      <c r="G128" s="1" t="s">
        <v>40</v>
      </c>
      <c r="H128" s="1" t="s">
        <v>41</v>
      </c>
      <c r="I128" s="1" t="s">
        <v>42</v>
      </c>
      <c r="J128" s="1" t="s">
        <v>43</v>
      </c>
      <c r="K128" s="1" t="s">
        <v>44</v>
      </c>
      <c r="L128" s="1" t="s">
        <v>45</v>
      </c>
      <c r="M128" s="1" t="s">
        <v>46</v>
      </c>
      <c r="N128" s="1" t="s">
        <v>47</v>
      </c>
      <c r="O128" s="1" t="s">
        <v>48</v>
      </c>
      <c r="P128" s="1" t="s">
        <v>4</v>
      </c>
      <c r="Q128" s="1" t="s">
        <v>49</v>
      </c>
      <c r="R128" s="1" t="s">
        <v>50</v>
      </c>
      <c r="S128" s="1" t="s">
        <v>51</v>
      </c>
      <c r="T128" s="1" t="s">
        <v>52</v>
      </c>
      <c r="U128" s="1" t="s">
        <v>10</v>
      </c>
    </row>
    <row r="129" spans="1:21" ht="28" customHeight="1" x14ac:dyDescent="0.35">
      <c r="A129" s="4">
        <v>1</v>
      </c>
      <c r="B129" s="4" t="s">
        <v>53</v>
      </c>
      <c r="C129" s="4" t="s">
        <v>537</v>
      </c>
      <c r="D129" s="4" t="s">
        <v>538</v>
      </c>
      <c r="E129" s="4" t="s">
        <v>56</v>
      </c>
      <c r="F129" s="4" t="s">
        <v>57</v>
      </c>
      <c r="G129" s="4" t="s">
        <v>58</v>
      </c>
      <c r="H129" s="4" t="s">
        <v>59</v>
      </c>
      <c r="I129" s="3"/>
      <c r="J129" s="3"/>
      <c r="K129" s="3"/>
      <c r="L129" s="3"/>
      <c r="M129" s="3"/>
      <c r="N129" s="3"/>
      <c r="O129" s="3"/>
      <c r="P129" s="8"/>
      <c r="Q129" s="8"/>
      <c r="R129" s="3"/>
      <c r="S129" s="3"/>
      <c r="T129" s="3"/>
      <c r="U129" s="5" t="str">
        <f t="shared" ref="U129:U144" si="7">IF(I129="","",IF(I129="NA","Grey",IF(I129=2,"Green",IF(I129=1,"Amber","Red"))))</f>
        <v/>
      </c>
    </row>
    <row r="130" spans="1:21" ht="28" customHeight="1" x14ac:dyDescent="0.35">
      <c r="A130" s="4">
        <v>2</v>
      </c>
      <c r="B130" s="4" t="s">
        <v>53</v>
      </c>
      <c r="C130" s="4" t="s">
        <v>539</v>
      </c>
      <c r="D130" s="4" t="s">
        <v>540</v>
      </c>
      <c r="E130" s="4" t="s">
        <v>56</v>
      </c>
      <c r="F130" s="4" t="s">
        <v>57</v>
      </c>
      <c r="G130" s="4" t="s">
        <v>58</v>
      </c>
      <c r="H130" s="4" t="s">
        <v>59</v>
      </c>
      <c r="I130" s="3"/>
      <c r="J130" s="3"/>
      <c r="K130" s="3"/>
      <c r="L130" s="3"/>
      <c r="M130" s="3"/>
      <c r="N130" s="3"/>
      <c r="O130" s="3"/>
      <c r="P130" s="8"/>
      <c r="Q130" s="8"/>
      <c r="R130" s="3"/>
      <c r="S130" s="3"/>
      <c r="T130" s="3"/>
      <c r="U130" s="5" t="str">
        <f t="shared" si="7"/>
        <v/>
      </c>
    </row>
    <row r="131" spans="1:21" ht="28" customHeight="1" x14ac:dyDescent="0.35">
      <c r="A131" s="4">
        <v>3</v>
      </c>
      <c r="B131" s="4" t="s">
        <v>53</v>
      </c>
      <c r="C131" s="4" t="s">
        <v>541</v>
      </c>
      <c r="D131" s="4" t="s">
        <v>542</v>
      </c>
      <c r="E131" s="4" t="s">
        <v>56</v>
      </c>
      <c r="F131" s="4" t="s">
        <v>57</v>
      </c>
      <c r="G131" s="4" t="s">
        <v>58</v>
      </c>
      <c r="H131" s="4" t="s">
        <v>59</v>
      </c>
      <c r="I131" s="3"/>
      <c r="J131" s="3"/>
      <c r="K131" s="3"/>
      <c r="L131" s="3"/>
      <c r="M131" s="3"/>
      <c r="N131" s="3"/>
      <c r="O131" s="3"/>
      <c r="P131" s="8"/>
      <c r="Q131" s="8"/>
      <c r="R131" s="3"/>
      <c r="S131" s="3"/>
      <c r="T131" s="3"/>
      <c r="U131" s="5" t="str">
        <f t="shared" si="7"/>
        <v/>
      </c>
    </row>
    <row r="132" spans="1:21" ht="28" customHeight="1" x14ac:dyDescent="0.35">
      <c r="A132" s="4">
        <v>4</v>
      </c>
      <c r="B132" s="4" t="s">
        <v>53</v>
      </c>
      <c r="C132" s="4" t="s">
        <v>543</v>
      </c>
      <c r="D132" s="4" t="s">
        <v>544</v>
      </c>
      <c r="E132" s="4" t="s">
        <v>56</v>
      </c>
      <c r="F132" s="4" t="s">
        <v>57</v>
      </c>
      <c r="G132" s="4" t="s">
        <v>58</v>
      </c>
      <c r="H132" s="4" t="s">
        <v>59</v>
      </c>
      <c r="I132" s="3"/>
      <c r="J132" s="3"/>
      <c r="K132" s="3"/>
      <c r="L132" s="3"/>
      <c r="M132" s="3"/>
      <c r="N132" s="3"/>
      <c r="O132" s="3"/>
      <c r="P132" s="8"/>
      <c r="Q132" s="8"/>
      <c r="R132" s="3"/>
      <c r="S132" s="3"/>
      <c r="T132" s="3"/>
      <c r="U132" s="5" t="str">
        <f t="shared" si="7"/>
        <v/>
      </c>
    </row>
    <row r="133" spans="1:21" ht="28" customHeight="1" x14ac:dyDescent="0.35">
      <c r="A133" s="4">
        <v>5</v>
      </c>
      <c r="B133" s="4" t="s">
        <v>66</v>
      </c>
      <c r="C133" s="4" t="s">
        <v>67</v>
      </c>
      <c r="D133" s="4" t="s">
        <v>68</v>
      </c>
      <c r="E133" s="4" t="s">
        <v>69</v>
      </c>
      <c r="F133" s="4" t="s">
        <v>57</v>
      </c>
      <c r="G133" s="4" t="s">
        <v>58</v>
      </c>
      <c r="H133" s="4" t="s">
        <v>59</v>
      </c>
      <c r="I133" s="3"/>
      <c r="J133" s="3"/>
      <c r="K133" s="3"/>
      <c r="L133" s="3"/>
      <c r="M133" s="3"/>
      <c r="N133" s="3"/>
      <c r="O133" s="3"/>
      <c r="P133" s="8"/>
      <c r="Q133" s="8"/>
      <c r="R133" s="3"/>
      <c r="S133" s="3"/>
      <c r="T133" s="3"/>
      <c r="U133" s="5" t="str">
        <f t="shared" si="7"/>
        <v/>
      </c>
    </row>
    <row r="134" spans="1:21" ht="28" customHeight="1" x14ac:dyDescent="0.35">
      <c r="A134" s="4">
        <v>6</v>
      </c>
      <c r="B134" s="4" t="s">
        <v>70</v>
      </c>
      <c r="C134" s="4" t="s">
        <v>71</v>
      </c>
      <c r="D134" s="4" t="s">
        <v>72</v>
      </c>
      <c r="E134" s="4" t="s">
        <v>70</v>
      </c>
      <c r="F134" s="4" t="s">
        <v>57</v>
      </c>
      <c r="G134" s="4" t="s">
        <v>58</v>
      </c>
      <c r="H134" s="4" t="s">
        <v>59</v>
      </c>
      <c r="I134" s="3"/>
      <c r="J134" s="3"/>
      <c r="K134" s="3"/>
      <c r="L134" s="3"/>
      <c r="M134" s="3"/>
      <c r="N134" s="3"/>
      <c r="O134" s="3"/>
      <c r="P134" s="8"/>
      <c r="Q134" s="8"/>
      <c r="R134" s="3"/>
      <c r="S134" s="3"/>
      <c r="T134" s="3"/>
      <c r="U134" s="5" t="str">
        <f t="shared" si="7"/>
        <v/>
      </c>
    </row>
    <row r="135" spans="1:21" ht="28" customHeight="1" x14ac:dyDescent="0.35">
      <c r="A135" s="4">
        <v>7</v>
      </c>
      <c r="B135" s="4" t="s">
        <v>73</v>
      </c>
      <c r="C135" s="4" t="s">
        <v>74</v>
      </c>
      <c r="D135" s="4" t="s">
        <v>75</v>
      </c>
      <c r="E135" s="4" t="s">
        <v>69</v>
      </c>
      <c r="F135" s="4" t="s">
        <v>57</v>
      </c>
      <c r="G135" s="4" t="s">
        <v>58</v>
      </c>
      <c r="H135" s="4" t="s">
        <v>76</v>
      </c>
      <c r="I135" s="3"/>
      <c r="J135" s="3"/>
      <c r="K135" s="3"/>
      <c r="L135" s="3"/>
      <c r="M135" s="3"/>
      <c r="N135" s="3"/>
      <c r="O135" s="3"/>
      <c r="P135" s="8"/>
      <c r="Q135" s="8"/>
      <c r="R135" s="3"/>
      <c r="S135" s="3"/>
      <c r="T135" s="3"/>
      <c r="U135" s="5" t="str">
        <f t="shared" si="7"/>
        <v/>
      </c>
    </row>
    <row r="136" spans="1:21" ht="28" customHeight="1" x14ac:dyDescent="0.35">
      <c r="A136" s="4">
        <v>8</v>
      </c>
      <c r="B136" s="4" t="s">
        <v>77</v>
      </c>
      <c r="C136" s="4" t="s">
        <v>78</v>
      </c>
      <c r="D136" s="4" t="s">
        <v>79</v>
      </c>
      <c r="E136" s="4" t="s">
        <v>80</v>
      </c>
      <c r="F136" s="4" t="s">
        <v>57</v>
      </c>
      <c r="G136" s="4" t="s">
        <v>58</v>
      </c>
      <c r="H136" s="4" t="s">
        <v>59</v>
      </c>
      <c r="I136" s="3"/>
      <c r="J136" s="3"/>
      <c r="K136" s="3"/>
      <c r="L136" s="3"/>
      <c r="M136" s="3"/>
      <c r="N136" s="3"/>
      <c r="O136" s="3"/>
      <c r="P136" s="8"/>
      <c r="Q136" s="8"/>
      <c r="R136" s="3"/>
      <c r="S136" s="3"/>
      <c r="T136" s="3"/>
      <c r="U136" s="5" t="str">
        <f t="shared" si="7"/>
        <v/>
      </c>
    </row>
    <row r="137" spans="1:21" ht="28" customHeight="1" x14ac:dyDescent="0.35">
      <c r="A137" s="4">
        <v>9</v>
      </c>
      <c r="B137" s="4" t="s">
        <v>81</v>
      </c>
      <c r="C137" s="4" t="s">
        <v>82</v>
      </c>
      <c r="D137" s="4" t="s">
        <v>83</v>
      </c>
      <c r="E137" s="4" t="s">
        <v>84</v>
      </c>
      <c r="F137" s="4" t="s">
        <v>57</v>
      </c>
      <c r="G137" s="4" t="s">
        <v>58</v>
      </c>
      <c r="H137" s="4" t="s">
        <v>85</v>
      </c>
      <c r="I137" s="3"/>
      <c r="J137" s="3"/>
      <c r="K137" s="3"/>
      <c r="L137" s="3"/>
      <c r="M137" s="3"/>
      <c r="N137" s="3"/>
      <c r="O137" s="3"/>
      <c r="P137" s="8"/>
      <c r="Q137" s="8"/>
      <c r="R137" s="3"/>
      <c r="S137" s="3"/>
      <c r="T137" s="3"/>
      <c r="U137" s="5" t="str">
        <f t="shared" si="7"/>
        <v/>
      </c>
    </row>
    <row r="138" spans="1:21" ht="28" customHeight="1" x14ac:dyDescent="0.35">
      <c r="A138" s="4">
        <v>10</v>
      </c>
      <c r="B138" s="4" t="s">
        <v>86</v>
      </c>
      <c r="C138" s="4" t="s">
        <v>87</v>
      </c>
      <c r="D138" s="4" t="s">
        <v>88</v>
      </c>
      <c r="E138" s="4" t="s">
        <v>69</v>
      </c>
      <c r="F138" s="4" t="s">
        <v>57</v>
      </c>
      <c r="G138" s="4" t="s">
        <v>58</v>
      </c>
      <c r="H138" s="4" t="s">
        <v>59</v>
      </c>
      <c r="I138" s="3"/>
      <c r="J138" s="3"/>
      <c r="K138" s="3"/>
      <c r="L138" s="3"/>
      <c r="M138" s="3"/>
      <c r="N138" s="3"/>
      <c r="O138" s="3"/>
      <c r="P138" s="8"/>
      <c r="Q138" s="8"/>
      <c r="R138" s="3"/>
      <c r="S138" s="3"/>
      <c r="T138" s="3"/>
      <c r="U138" s="5" t="str">
        <f t="shared" si="7"/>
        <v/>
      </c>
    </row>
    <row r="139" spans="1:21" ht="28" customHeight="1" x14ac:dyDescent="0.35">
      <c r="A139" s="4">
        <v>11</v>
      </c>
      <c r="B139" s="4" t="s">
        <v>89</v>
      </c>
      <c r="C139" s="4" t="s">
        <v>90</v>
      </c>
      <c r="D139" s="4" t="s">
        <v>91</v>
      </c>
      <c r="E139" s="4" t="s">
        <v>84</v>
      </c>
      <c r="F139" s="4" t="s">
        <v>57</v>
      </c>
      <c r="G139" s="4" t="s">
        <v>58</v>
      </c>
      <c r="H139" s="4" t="s">
        <v>59</v>
      </c>
      <c r="I139" s="3"/>
      <c r="J139" s="3"/>
      <c r="K139" s="3"/>
      <c r="L139" s="3"/>
      <c r="M139" s="3"/>
      <c r="N139" s="3"/>
      <c r="O139" s="3"/>
      <c r="P139" s="8"/>
      <c r="Q139" s="8"/>
      <c r="R139" s="3"/>
      <c r="S139" s="3"/>
      <c r="T139" s="3"/>
      <c r="U139" s="5" t="str">
        <f t="shared" si="7"/>
        <v/>
      </c>
    </row>
    <row r="140" spans="1:21" ht="28" customHeight="1" x14ac:dyDescent="0.35">
      <c r="A140" s="4">
        <v>12</v>
      </c>
      <c r="B140" s="4" t="s">
        <v>92</v>
      </c>
      <c r="C140" s="4" t="s">
        <v>93</v>
      </c>
      <c r="D140" s="4" t="s">
        <v>94</v>
      </c>
      <c r="E140" s="4" t="s">
        <v>69</v>
      </c>
      <c r="F140" s="4" t="s">
        <v>95</v>
      </c>
      <c r="G140" s="4" t="s">
        <v>96</v>
      </c>
      <c r="H140" s="4" t="s">
        <v>59</v>
      </c>
      <c r="I140" s="3"/>
      <c r="J140" s="3"/>
      <c r="K140" s="3"/>
      <c r="L140" s="3"/>
      <c r="M140" s="3"/>
      <c r="N140" s="3"/>
      <c r="O140" s="3"/>
      <c r="P140" s="8"/>
      <c r="Q140" s="8"/>
      <c r="R140" s="3"/>
      <c r="S140" s="3"/>
      <c r="T140" s="3"/>
      <c r="U140" s="5" t="str">
        <f t="shared" si="7"/>
        <v/>
      </c>
    </row>
    <row r="141" spans="1:21" ht="28" customHeight="1" x14ac:dyDescent="0.35">
      <c r="A141" s="4">
        <v>13</v>
      </c>
      <c r="B141" s="4" t="s">
        <v>97</v>
      </c>
      <c r="C141" s="4" t="s">
        <v>98</v>
      </c>
      <c r="D141" s="4" t="s">
        <v>99</v>
      </c>
      <c r="E141" s="4" t="s">
        <v>69</v>
      </c>
      <c r="F141" s="4" t="s">
        <v>95</v>
      </c>
      <c r="G141" s="4" t="s">
        <v>96</v>
      </c>
      <c r="H141" s="4" t="s">
        <v>59</v>
      </c>
      <c r="I141" s="3"/>
      <c r="J141" s="3"/>
      <c r="K141" s="3"/>
      <c r="L141" s="3"/>
      <c r="M141" s="3"/>
      <c r="N141" s="3"/>
      <c r="O141" s="3"/>
      <c r="P141" s="8"/>
      <c r="Q141" s="8"/>
      <c r="R141" s="3"/>
      <c r="S141" s="3"/>
      <c r="T141" s="3"/>
      <c r="U141" s="5" t="str">
        <f t="shared" si="7"/>
        <v/>
      </c>
    </row>
    <row r="142" spans="1:21" ht="28" customHeight="1" x14ac:dyDescent="0.35">
      <c r="A142" s="4">
        <v>14</v>
      </c>
      <c r="B142" s="4" t="s">
        <v>97</v>
      </c>
      <c r="C142" s="4" t="s">
        <v>100</v>
      </c>
      <c r="D142" s="4" t="s">
        <v>101</v>
      </c>
      <c r="E142" s="4" t="s">
        <v>69</v>
      </c>
      <c r="F142" s="4" t="s">
        <v>95</v>
      </c>
      <c r="G142" s="4" t="s">
        <v>102</v>
      </c>
      <c r="H142" s="4" t="s">
        <v>59</v>
      </c>
      <c r="I142" s="3"/>
      <c r="J142" s="3"/>
      <c r="K142" s="3"/>
      <c r="L142" s="3"/>
      <c r="M142" s="3"/>
      <c r="N142" s="3"/>
      <c r="O142" s="3"/>
      <c r="P142" s="8"/>
      <c r="Q142" s="8"/>
      <c r="R142" s="3"/>
      <c r="S142" s="3"/>
      <c r="T142" s="3"/>
      <c r="U142" s="5" t="str">
        <f t="shared" si="7"/>
        <v/>
      </c>
    </row>
    <row r="143" spans="1:21" ht="28" customHeight="1" x14ac:dyDescent="0.35">
      <c r="A143" s="4">
        <v>15</v>
      </c>
      <c r="B143" s="4" t="s">
        <v>103</v>
      </c>
      <c r="C143" s="4" t="s">
        <v>104</v>
      </c>
      <c r="D143" s="4" t="s">
        <v>105</v>
      </c>
      <c r="E143" s="4" t="s">
        <v>69</v>
      </c>
      <c r="F143" s="4" t="s">
        <v>95</v>
      </c>
      <c r="G143" s="4" t="s">
        <v>96</v>
      </c>
      <c r="H143" s="4" t="s">
        <v>85</v>
      </c>
      <c r="I143" s="3"/>
      <c r="J143" s="3"/>
      <c r="K143" s="3"/>
      <c r="L143" s="3"/>
      <c r="M143" s="3"/>
      <c r="N143" s="3"/>
      <c r="O143" s="3"/>
      <c r="P143" s="8"/>
      <c r="Q143" s="8"/>
      <c r="R143" s="3"/>
      <c r="S143" s="3"/>
      <c r="T143" s="3"/>
      <c r="U143" s="5" t="str">
        <f t="shared" si="7"/>
        <v/>
      </c>
    </row>
    <row r="144" spans="1:21" ht="28" customHeight="1" x14ac:dyDescent="0.35">
      <c r="A144" s="4">
        <v>16</v>
      </c>
      <c r="B144" s="4" t="s">
        <v>106</v>
      </c>
      <c r="C144" s="4" t="s">
        <v>107</v>
      </c>
      <c r="D144" s="4" t="s">
        <v>108</v>
      </c>
      <c r="E144" s="4" t="s">
        <v>109</v>
      </c>
      <c r="F144" s="4" t="s">
        <v>95</v>
      </c>
      <c r="G144" s="4" t="s">
        <v>96</v>
      </c>
      <c r="H144" s="4" t="s">
        <v>59</v>
      </c>
      <c r="I144" s="3"/>
      <c r="J144" s="3"/>
      <c r="K144" s="3"/>
      <c r="L144" s="3"/>
      <c r="M144" s="3"/>
      <c r="N144" s="3"/>
      <c r="O144" s="3"/>
      <c r="P144" s="8"/>
      <c r="Q144" s="8"/>
      <c r="R144" s="3"/>
      <c r="S144" s="3"/>
      <c r="T144" s="3"/>
      <c r="U144" s="5" t="str">
        <f t="shared" si="7"/>
        <v/>
      </c>
    </row>
    <row r="146" spans="1:21" ht="28" customHeight="1" x14ac:dyDescent="0.35">
      <c r="A146" s="9" t="s">
        <v>110</v>
      </c>
      <c r="B146" s="16"/>
      <c r="C146" s="17"/>
      <c r="D146" s="17"/>
      <c r="E146" s="17"/>
      <c r="F146" s="17"/>
      <c r="G146" s="17"/>
      <c r="H146" s="17"/>
      <c r="I146" s="17"/>
      <c r="J146" s="17"/>
      <c r="K146" s="17"/>
      <c r="L146" s="17"/>
      <c r="M146" s="17"/>
      <c r="N146" s="17"/>
      <c r="O146" s="17"/>
      <c r="P146" s="17"/>
      <c r="Q146" s="17"/>
      <c r="R146" s="17"/>
      <c r="S146" s="17"/>
      <c r="T146" s="17"/>
      <c r="U146" s="18"/>
    </row>
    <row r="147" spans="1:21" ht="28" customHeight="1" x14ac:dyDescent="0.35">
      <c r="A147" s="19" t="s">
        <v>550</v>
      </c>
      <c r="B147" s="20"/>
      <c r="C147" s="20"/>
      <c r="D147" s="20"/>
      <c r="E147" s="20"/>
      <c r="F147" s="20"/>
      <c r="G147" s="20"/>
      <c r="H147" s="20"/>
      <c r="I147" s="20"/>
      <c r="J147" s="20"/>
      <c r="K147" s="20"/>
      <c r="L147" s="20"/>
      <c r="M147" s="20"/>
      <c r="N147" s="20"/>
      <c r="O147" s="20"/>
      <c r="P147" s="20"/>
      <c r="Q147" s="20"/>
      <c r="R147" s="20"/>
      <c r="S147" s="20"/>
      <c r="T147" s="20"/>
      <c r="U147" s="21"/>
    </row>
    <row r="148" spans="1:21" ht="28" customHeight="1" x14ac:dyDescent="0.35">
      <c r="A148" s="4" t="s">
        <v>31</v>
      </c>
      <c r="B148" s="3" t="s">
        <v>24</v>
      </c>
      <c r="C148" s="4" t="s">
        <v>32</v>
      </c>
      <c r="D148" s="3"/>
      <c r="E148" s="4" t="s">
        <v>33</v>
      </c>
      <c r="F148" s="8"/>
    </row>
    <row r="149" spans="1:21" ht="28" customHeight="1" x14ac:dyDescent="0.35">
      <c r="A149" s="1" t="s">
        <v>34</v>
      </c>
      <c r="B149" s="1" t="s">
        <v>35</v>
      </c>
      <c r="C149" s="1" t="s">
        <v>36</v>
      </c>
      <c r="D149" s="1" t="s">
        <v>37</v>
      </c>
      <c r="E149" s="1" t="s">
        <v>38</v>
      </c>
      <c r="F149" s="1" t="s">
        <v>39</v>
      </c>
      <c r="G149" s="1" t="s">
        <v>40</v>
      </c>
      <c r="H149" s="1" t="s">
        <v>41</v>
      </c>
      <c r="I149" s="1" t="s">
        <v>42</v>
      </c>
      <c r="J149" s="1" t="s">
        <v>43</v>
      </c>
      <c r="K149" s="1" t="s">
        <v>44</v>
      </c>
      <c r="L149" s="1" t="s">
        <v>45</v>
      </c>
      <c r="M149" s="1" t="s">
        <v>46</v>
      </c>
      <c r="N149" s="1" t="s">
        <v>47</v>
      </c>
      <c r="O149" s="1" t="s">
        <v>48</v>
      </c>
      <c r="P149" s="1" t="s">
        <v>4</v>
      </c>
      <c r="Q149" s="1" t="s">
        <v>49</v>
      </c>
      <c r="R149" s="1" t="s">
        <v>50</v>
      </c>
      <c r="S149" s="1" t="s">
        <v>51</v>
      </c>
      <c r="T149" s="1" t="s">
        <v>52</v>
      </c>
      <c r="U149" s="1" t="s">
        <v>10</v>
      </c>
    </row>
    <row r="150" spans="1:21" ht="28" customHeight="1" x14ac:dyDescent="0.35">
      <c r="A150" s="4">
        <v>1</v>
      </c>
      <c r="B150" s="4" t="s">
        <v>53</v>
      </c>
      <c r="C150" s="4" t="s">
        <v>537</v>
      </c>
      <c r="D150" s="4" t="s">
        <v>538</v>
      </c>
      <c r="E150" s="4" t="s">
        <v>56</v>
      </c>
      <c r="F150" s="4" t="s">
        <v>57</v>
      </c>
      <c r="G150" s="4" t="s">
        <v>58</v>
      </c>
      <c r="H150" s="4" t="s">
        <v>59</v>
      </c>
      <c r="I150" s="3"/>
      <c r="J150" s="3"/>
      <c r="K150" s="3"/>
      <c r="L150" s="3"/>
      <c r="M150" s="3"/>
      <c r="N150" s="3"/>
      <c r="O150" s="3"/>
      <c r="P150" s="8"/>
      <c r="Q150" s="8"/>
      <c r="R150" s="3"/>
      <c r="S150" s="3"/>
      <c r="T150" s="3"/>
      <c r="U150" s="5" t="str">
        <f t="shared" ref="U150:U165" si="8">IF(I150="","",IF(I150="NA","Grey",IF(I150=2,"Green",IF(I150=1,"Amber","Red"))))</f>
        <v/>
      </c>
    </row>
    <row r="151" spans="1:21" ht="28" customHeight="1" x14ac:dyDescent="0.35">
      <c r="A151" s="4">
        <v>2</v>
      </c>
      <c r="B151" s="4" t="s">
        <v>53</v>
      </c>
      <c r="C151" s="4" t="s">
        <v>539</v>
      </c>
      <c r="D151" s="4" t="s">
        <v>540</v>
      </c>
      <c r="E151" s="4" t="s">
        <v>56</v>
      </c>
      <c r="F151" s="4" t="s">
        <v>57</v>
      </c>
      <c r="G151" s="4" t="s">
        <v>58</v>
      </c>
      <c r="H151" s="4" t="s">
        <v>59</v>
      </c>
      <c r="I151" s="3"/>
      <c r="J151" s="3"/>
      <c r="K151" s="3"/>
      <c r="L151" s="3"/>
      <c r="M151" s="3"/>
      <c r="N151" s="3"/>
      <c r="O151" s="3"/>
      <c r="P151" s="8"/>
      <c r="Q151" s="8"/>
      <c r="R151" s="3"/>
      <c r="S151" s="3"/>
      <c r="T151" s="3"/>
      <c r="U151" s="5" t="str">
        <f t="shared" si="8"/>
        <v/>
      </c>
    </row>
    <row r="152" spans="1:21" ht="28" customHeight="1" x14ac:dyDescent="0.35">
      <c r="A152" s="4">
        <v>3</v>
      </c>
      <c r="B152" s="4" t="s">
        <v>53</v>
      </c>
      <c r="C152" s="4" t="s">
        <v>541</v>
      </c>
      <c r="D152" s="4" t="s">
        <v>542</v>
      </c>
      <c r="E152" s="4" t="s">
        <v>56</v>
      </c>
      <c r="F152" s="4" t="s">
        <v>57</v>
      </c>
      <c r="G152" s="4" t="s">
        <v>58</v>
      </c>
      <c r="H152" s="4" t="s">
        <v>59</v>
      </c>
      <c r="I152" s="3"/>
      <c r="J152" s="3"/>
      <c r="K152" s="3"/>
      <c r="L152" s="3"/>
      <c r="M152" s="3"/>
      <c r="N152" s="3"/>
      <c r="O152" s="3"/>
      <c r="P152" s="8"/>
      <c r="Q152" s="8"/>
      <c r="R152" s="3"/>
      <c r="S152" s="3"/>
      <c r="T152" s="3"/>
      <c r="U152" s="5" t="str">
        <f t="shared" si="8"/>
        <v/>
      </c>
    </row>
    <row r="153" spans="1:21" ht="28" customHeight="1" x14ac:dyDescent="0.35">
      <c r="A153" s="4">
        <v>4</v>
      </c>
      <c r="B153" s="4" t="s">
        <v>53</v>
      </c>
      <c r="C153" s="4" t="s">
        <v>543</v>
      </c>
      <c r="D153" s="4" t="s">
        <v>544</v>
      </c>
      <c r="E153" s="4" t="s">
        <v>56</v>
      </c>
      <c r="F153" s="4" t="s">
        <v>57</v>
      </c>
      <c r="G153" s="4" t="s">
        <v>58</v>
      </c>
      <c r="H153" s="4" t="s">
        <v>59</v>
      </c>
      <c r="I153" s="3"/>
      <c r="J153" s="3"/>
      <c r="K153" s="3"/>
      <c r="L153" s="3"/>
      <c r="M153" s="3"/>
      <c r="N153" s="3"/>
      <c r="O153" s="3"/>
      <c r="P153" s="8"/>
      <c r="Q153" s="8"/>
      <c r="R153" s="3"/>
      <c r="S153" s="3"/>
      <c r="T153" s="3"/>
      <c r="U153" s="5" t="str">
        <f t="shared" si="8"/>
        <v/>
      </c>
    </row>
    <row r="154" spans="1:21" ht="28" customHeight="1" x14ac:dyDescent="0.35">
      <c r="A154" s="4">
        <v>5</v>
      </c>
      <c r="B154" s="4" t="s">
        <v>66</v>
      </c>
      <c r="C154" s="4" t="s">
        <v>67</v>
      </c>
      <c r="D154" s="4" t="s">
        <v>68</v>
      </c>
      <c r="E154" s="4" t="s">
        <v>69</v>
      </c>
      <c r="F154" s="4" t="s">
        <v>57</v>
      </c>
      <c r="G154" s="4" t="s">
        <v>58</v>
      </c>
      <c r="H154" s="4" t="s">
        <v>59</v>
      </c>
      <c r="I154" s="3"/>
      <c r="J154" s="3"/>
      <c r="K154" s="3"/>
      <c r="L154" s="3"/>
      <c r="M154" s="3"/>
      <c r="N154" s="3"/>
      <c r="O154" s="3"/>
      <c r="P154" s="8"/>
      <c r="Q154" s="8"/>
      <c r="R154" s="3"/>
      <c r="S154" s="3"/>
      <c r="T154" s="3"/>
      <c r="U154" s="5" t="str">
        <f t="shared" si="8"/>
        <v/>
      </c>
    </row>
    <row r="155" spans="1:21" ht="28" customHeight="1" x14ac:dyDescent="0.35">
      <c r="A155" s="4">
        <v>6</v>
      </c>
      <c r="B155" s="4" t="s">
        <v>70</v>
      </c>
      <c r="C155" s="4" t="s">
        <v>71</v>
      </c>
      <c r="D155" s="4" t="s">
        <v>72</v>
      </c>
      <c r="E155" s="4" t="s">
        <v>70</v>
      </c>
      <c r="F155" s="4" t="s">
        <v>57</v>
      </c>
      <c r="G155" s="4" t="s">
        <v>58</v>
      </c>
      <c r="H155" s="4" t="s">
        <v>59</v>
      </c>
      <c r="I155" s="3"/>
      <c r="J155" s="3"/>
      <c r="K155" s="3"/>
      <c r="L155" s="3"/>
      <c r="M155" s="3"/>
      <c r="N155" s="3"/>
      <c r="O155" s="3"/>
      <c r="P155" s="8"/>
      <c r="Q155" s="8"/>
      <c r="R155" s="3"/>
      <c r="S155" s="3"/>
      <c r="T155" s="3"/>
      <c r="U155" s="5" t="str">
        <f t="shared" si="8"/>
        <v/>
      </c>
    </row>
    <row r="156" spans="1:21" ht="28" customHeight="1" x14ac:dyDescent="0.35">
      <c r="A156" s="4">
        <v>7</v>
      </c>
      <c r="B156" s="4" t="s">
        <v>73</v>
      </c>
      <c r="C156" s="4" t="s">
        <v>74</v>
      </c>
      <c r="D156" s="4" t="s">
        <v>75</v>
      </c>
      <c r="E156" s="4" t="s">
        <v>69</v>
      </c>
      <c r="F156" s="4" t="s">
        <v>57</v>
      </c>
      <c r="G156" s="4" t="s">
        <v>58</v>
      </c>
      <c r="H156" s="4" t="s">
        <v>76</v>
      </c>
      <c r="I156" s="3"/>
      <c r="J156" s="3"/>
      <c r="K156" s="3"/>
      <c r="L156" s="3"/>
      <c r="M156" s="3"/>
      <c r="N156" s="3"/>
      <c r="O156" s="3"/>
      <c r="P156" s="8"/>
      <c r="Q156" s="8"/>
      <c r="R156" s="3"/>
      <c r="S156" s="3"/>
      <c r="T156" s="3"/>
      <c r="U156" s="5" t="str">
        <f t="shared" si="8"/>
        <v/>
      </c>
    </row>
    <row r="157" spans="1:21" ht="28" customHeight="1" x14ac:dyDescent="0.35">
      <c r="A157" s="4">
        <v>8</v>
      </c>
      <c r="B157" s="4" t="s">
        <v>77</v>
      </c>
      <c r="C157" s="4" t="s">
        <v>78</v>
      </c>
      <c r="D157" s="4" t="s">
        <v>79</v>
      </c>
      <c r="E157" s="4" t="s">
        <v>80</v>
      </c>
      <c r="F157" s="4" t="s">
        <v>57</v>
      </c>
      <c r="G157" s="4" t="s">
        <v>58</v>
      </c>
      <c r="H157" s="4" t="s">
        <v>59</v>
      </c>
      <c r="I157" s="3"/>
      <c r="J157" s="3"/>
      <c r="K157" s="3"/>
      <c r="L157" s="3"/>
      <c r="M157" s="3"/>
      <c r="N157" s="3"/>
      <c r="O157" s="3"/>
      <c r="P157" s="8"/>
      <c r="Q157" s="8"/>
      <c r="R157" s="3"/>
      <c r="S157" s="3"/>
      <c r="T157" s="3"/>
      <c r="U157" s="5" t="str">
        <f t="shared" si="8"/>
        <v/>
      </c>
    </row>
    <row r="158" spans="1:21" ht="28" customHeight="1" x14ac:dyDescent="0.35">
      <c r="A158" s="4">
        <v>9</v>
      </c>
      <c r="B158" s="4" t="s">
        <v>81</v>
      </c>
      <c r="C158" s="4" t="s">
        <v>82</v>
      </c>
      <c r="D158" s="4" t="s">
        <v>83</v>
      </c>
      <c r="E158" s="4" t="s">
        <v>84</v>
      </c>
      <c r="F158" s="4" t="s">
        <v>57</v>
      </c>
      <c r="G158" s="4" t="s">
        <v>58</v>
      </c>
      <c r="H158" s="4" t="s">
        <v>85</v>
      </c>
      <c r="I158" s="3"/>
      <c r="J158" s="3"/>
      <c r="K158" s="3"/>
      <c r="L158" s="3"/>
      <c r="M158" s="3"/>
      <c r="N158" s="3"/>
      <c r="O158" s="3"/>
      <c r="P158" s="8"/>
      <c r="Q158" s="8"/>
      <c r="R158" s="3"/>
      <c r="S158" s="3"/>
      <c r="T158" s="3"/>
      <c r="U158" s="5" t="str">
        <f t="shared" si="8"/>
        <v/>
      </c>
    </row>
    <row r="159" spans="1:21" ht="28" customHeight="1" x14ac:dyDescent="0.35">
      <c r="A159" s="4">
        <v>10</v>
      </c>
      <c r="B159" s="4" t="s">
        <v>86</v>
      </c>
      <c r="C159" s="4" t="s">
        <v>87</v>
      </c>
      <c r="D159" s="4" t="s">
        <v>88</v>
      </c>
      <c r="E159" s="4" t="s">
        <v>69</v>
      </c>
      <c r="F159" s="4" t="s">
        <v>57</v>
      </c>
      <c r="G159" s="4" t="s">
        <v>58</v>
      </c>
      <c r="H159" s="4" t="s">
        <v>59</v>
      </c>
      <c r="I159" s="3"/>
      <c r="J159" s="3"/>
      <c r="K159" s="3"/>
      <c r="L159" s="3"/>
      <c r="M159" s="3"/>
      <c r="N159" s="3"/>
      <c r="O159" s="3"/>
      <c r="P159" s="8"/>
      <c r="Q159" s="8"/>
      <c r="R159" s="3"/>
      <c r="S159" s="3"/>
      <c r="T159" s="3"/>
      <c r="U159" s="5" t="str">
        <f t="shared" si="8"/>
        <v/>
      </c>
    </row>
    <row r="160" spans="1:21" ht="28" customHeight="1" x14ac:dyDescent="0.35">
      <c r="A160" s="4">
        <v>11</v>
      </c>
      <c r="B160" s="4" t="s">
        <v>89</v>
      </c>
      <c r="C160" s="4" t="s">
        <v>90</v>
      </c>
      <c r="D160" s="4" t="s">
        <v>91</v>
      </c>
      <c r="E160" s="4" t="s">
        <v>84</v>
      </c>
      <c r="F160" s="4" t="s">
        <v>57</v>
      </c>
      <c r="G160" s="4" t="s">
        <v>58</v>
      </c>
      <c r="H160" s="4" t="s">
        <v>59</v>
      </c>
      <c r="I160" s="3"/>
      <c r="J160" s="3"/>
      <c r="K160" s="3"/>
      <c r="L160" s="3"/>
      <c r="M160" s="3"/>
      <c r="N160" s="3"/>
      <c r="O160" s="3"/>
      <c r="P160" s="8"/>
      <c r="Q160" s="8"/>
      <c r="R160" s="3"/>
      <c r="S160" s="3"/>
      <c r="T160" s="3"/>
      <c r="U160" s="5" t="str">
        <f t="shared" si="8"/>
        <v/>
      </c>
    </row>
    <row r="161" spans="1:21" ht="28" customHeight="1" x14ac:dyDescent="0.35">
      <c r="A161" s="4">
        <v>12</v>
      </c>
      <c r="B161" s="4" t="s">
        <v>92</v>
      </c>
      <c r="C161" s="4" t="s">
        <v>93</v>
      </c>
      <c r="D161" s="4" t="s">
        <v>94</v>
      </c>
      <c r="E161" s="4" t="s">
        <v>69</v>
      </c>
      <c r="F161" s="4" t="s">
        <v>95</v>
      </c>
      <c r="G161" s="4" t="s">
        <v>96</v>
      </c>
      <c r="H161" s="4" t="s">
        <v>59</v>
      </c>
      <c r="I161" s="3"/>
      <c r="J161" s="3"/>
      <c r="K161" s="3"/>
      <c r="L161" s="3"/>
      <c r="M161" s="3"/>
      <c r="N161" s="3"/>
      <c r="O161" s="3"/>
      <c r="P161" s="8"/>
      <c r="Q161" s="8"/>
      <c r="R161" s="3"/>
      <c r="S161" s="3"/>
      <c r="T161" s="3"/>
      <c r="U161" s="5" t="str">
        <f t="shared" si="8"/>
        <v/>
      </c>
    </row>
    <row r="162" spans="1:21" ht="28" customHeight="1" x14ac:dyDescent="0.35">
      <c r="A162" s="4">
        <v>13</v>
      </c>
      <c r="B162" s="4" t="s">
        <v>97</v>
      </c>
      <c r="C162" s="4" t="s">
        <v>98</v>
      </c>
      <c r="D162" s="4" t="s">
        <v>99</v>
      </c>
      <c r="E162" s="4" t="s">
        <v>69</v>
      </c>
      <c r="F162" s="4" t="s">
        <v>95</v>
      </c>
      <c r="G162" s="4" t="s">
        <v>96</v>
      </c>
      <c r="H162" s="4" t="s">
        <v>59</v>
      </c>
      <c r="I162" s="3"/>
      <c r="J162" s="3"/>
      <c r="K162" s="3"/>
      <c r="L162" s="3"/>
      <c r="M162" s="3"/>
      <c r="N162" s="3"/>
      <c r="O162" s="3"/>
      <c r="P162" s="8"/>
      <c r="Q162" s="8"/>
      <c r="R162" s="3"/>
      <c r="S162" s="3"/>
      <c r="T162" s="3"/>
      <c r="U162" s="5" t="str">
        <f t="shared" si="8"/>
        <v/>
      </c>
    </row>
    <row r="163" spans="1:21" ht="28" customHeight="1" x14ac:dyDescent="0.35">
      <c r="A163" s="4">
        <v>14</v>
      </c>
      <c r="B163" s="4" t="s">
        <v>97</v>
      </c>
      <c r="C163" s="4" t="s">
        <v>100</v>
      </c>
      <c r="D163" s="4" t="s">
        <v>101</v>
      </c>
      <c r="E163" s="4" t="s">
        <v>69</v>
      </c>
      <c r="F163" s="4" t="s">
        <v>95</v>
      </c>
      <c r="G163" s="4" t="s">
        <v>102</v>
      </c>
      <c r="H163" s="4" t="s">
        <v>59</v>
      </c>
      <c r="I163" s="3"/>
      <c r="J163" s="3"/>
      <c r="K163" s="3"/>
      <c r="L163" s="3"/>
      <c r="M163" s="3"/>
      <c r="N163" s="3"/>
      <c r="O163" s="3"/>
      <c r="P163" s="8"/>
      <c r="Q163" s="8"/>
      <c r="R163" s="3"/>
      <c r="S163" s="3"/>
      <c r="T163" s="3"/>
      <c r="U163" s="5" t="str">
        <f t="shared" si="8"/>
        <v/>
      </c>
    </row>
    <row r="164" spans="1:21" ht="28" customHeight="1" x14ac:dyDescent="0.35">
      <c r="A164" s="4">
        <v>15</v>
      </c>
      <c r="B164" s="4" t="s">
        <v>103</v>
      </c>
      <c r="C164" s="4" t="s">
        <v>104</v>
      </c>
      <c r="D164" s="4" t="s">
        <v>105</v>
      </c>
      <c r="E164" s="4" t="s">
        <v>69</v>
      </c>
      <c r="F164" s="4" t="s">
        <v>95</v>
      </c>
      <c r="G164" s="4" t="s">
        <v>96</v>
      </c>
      <c r="H164" s="4" t="s">
        <v>85</v>
      </c>
      <c r="I164" s="3"/>
      <c r="J164" s="3"/>
      <c r="K164" s="3"/>
      <c r="L164" s="3"/>
      <c r="M164" s="3"/>
      <c r="N164" s="3"/>
      <c r="O164" s="3"/>
      <c r="P164" s="8"/>
      <c r="Q164" s="8"/>
      <c r="R164" s="3"/>
      <c r="S164" s="3"/>
      <c r="T164" s="3"/>
      <c r="U164" s="5" t="str">
        <f t="shared" si="8"/>
        <v/>
      </c>
    </row>
    <row r="165" spans="1:21" ht="28" customHeight="1" x14ac:dyDescent="0.35">
      <c r="A165" s="4">
        <v>16</v>
      </c>
      <c r="B165" s="4" t="s">
        <v>106</v>
      </c>
      <c r="C165" s="4" t="s">
        <v>107</v>
      </c>
      <c r="D165" s="4" t="s">
        <v>108</v>
      </c>
      <c r="E165" s="4" t="s">
        <v>109</v>
      </c>
      <c r="F165" s="4" t="s">
        <v>95</v>
      </c>
      <c r="G165" s="4" t="s">
        <v>96</v>
      </c>
      <c r="H165" s="4" t="s">
        <v>59</v>
      </c>
      <c r="I165" s="3"/>
      <c r="J165" s="3"/>
      <c r="K165" s="3"/>
      <c r="L165" s="3"/>
      <c r="M165" s="3"/>
      <c r="N165" s="3"/>
      <c r="O165" s="3"/>
      <c r="P165" s="8"/>
      <c r="Q165" s="8"/>
      <c r="R165" s="3"/>
      <c r="S165" s="3"/>
      <c r="T165" s="3"/>
      <c r="U165" s="5" t="str">
        <f t="shared" si="8"/>
        <v/>
      </c>
    </row>
    <row r="167" spans="1:21" ht="28" customHeight="1" x14ac:dyDescent="0.35">
      <c r="A167" s="9" t="s">
        <v>110</v>
      </c>
      <c r="B167" s="16"/>
      <c r="C167" s="17"/>
      <c r="D167" s="17"/>
      <c r="E167" s="17"/>
      <c r="F167" s="17"/>
      <c r="G167" s="17"/>
      <c r="H167" s="17"/>
      <c r="I167" s="17"/>
      <c r="J167" s="17"/>
      <c r="K167" s="17"/>
      <c r="L167" s="17"/>
      <c r="M167" s="17"/>
      <c r="N167" s="17"/>
      <c r="O167" s="17"/>
      <c r="P167" s="17"/>
      <c r="Q167" s="17"/>
      <c r="R167" s="17"/>
      <c r="S167" s="17"/>
      <c r="T167" s="17"/>
      <c r="U167" s="18"/>
    </row>
    <row r="168" spans="1:21" ht="28" customHeight="1" x14ac:dyDescent="0.35">
      <c r="A168" s="19" t="s">
        <v>551</v>
      </c>
      <c r="B168" s="20"/>
      <c r="C168" s="20"/>
      <c r="D168" s="20"/>
      <c r="E168" s="20"/>
      <c r="F168" s="20"/>
      <c r="G168" s="20"/>
      <c r="H168" s="20"/>
      <c r="I168" s="20"/>
      <c r="J168" s="20"/>
      <c r="K168" s="20"/>
      <c r="L168" s="20"/>
      <c r="M168" s="20"/>
      <c r="N168" s="20"/>
      <c r="O168" s="20"/>
      <c r="P168" s="20"/>
      <c r="Q168" s="20"/>
      <c r="R168" s="20"/>
      <c r="S168" s="20"/>
      <c r="T168" s="20"/>
      <c r="U168" s="21"/>
    </row>
    <row r="169" spans="1:21" ht="28" customHeight="1" x14ac:dyDescent="0.35">
      <c r="A169" s="4" t="s">
        <v>31</v>
      </c>
      <c r="B169" s="3" t="s">
        <v>25</v>
      </c>
      <c r="C169" s="4" t="s">
        <v>32</v>
      </c>
      <c r="D169" s="3"/>
      <c r="E169" s="4" t="s">
        <v>33</v>
      </c>
      <c r="F169" s="8"/>
    </row>
    <row r="170" spans="1:21" ht="28" customHeight="1" x14ac:dyDescent="0.35">
      <c r="A170" s="1" t="s">
        <v>34</v>
      </c>
      <c r="B170" s="1" t="s">
        <v>35</v>
      </c>
      <c r="C170" s="1" t="s">
        <v>36</v>
      </c>
      <c r="D170" s="1" t="s">
        <v>37</v>
      </c>
      <c r="E170" s="1" t="s">
        <v>38</v>
      </c>
      <c r="F170" s="1" t="s">
        <v>39</v>
      </c>
      <c r="G170" s="1" t="s">
        <v>40</v>
      </c>
      <c r="H170" s="1" t="s">
        <v>41</v>
      </c>
      <c r="I170" s="1" t="s">
        <v>42</v>
      </c>
      <c r="J170" s="1" t="s">
        <v>43</v>
      </c>
      <c r="K170" s="1" t="s">
        <v>44</v>
      </c>
      <c r="L170" s="1" t="s">
        <v>45</v>
      </c>
      <c r="M170" s="1" t="s">
        <v>46</v>
      </c>
      <c r="N170" s="1" t="s">
        <v>47</v>
      </c>
      <c r="O170" s="1" t="s">
        <v>48</v>
      </c>
      <c r="P170" s="1" t="s">
        <v>4</v>
      </c>
      <c r="Q170" s="1" t="s">
        <v>49</v>
      </c>
      <c r="R170" s="1" t="s">
        <v>50</v>
      </c>
      <c r="S170" s="1" t="s">
        <v>51</v>
      </c>
      <c r="T170" s="1" t="s">
        <v>52</v>
      </c>
      <c r="U170" s="1" t="s">
        <v>10</v>
      </c>
    </row>
    <row r="171" spans="1:21" ht="28" customHeight="1" x14ac:dyDescent="0.35">
      <c r="A171" s="4">
        <v>1</v>
      </c>
      <c r="B171" s="4" t="s">
        <v>53</v>
      </c>
      <c r="C171" s="4" t="s">
        <v>537</v>
      </c>
      <c r="D171" s="4" t="s">
        <v>538</v>
      </c>
      <c r="E171" s="4" t="s">
        <v>56</v>
      </c>
      <c r="F171" s="4" t="s">
        <v>57</v>
      </c>
      <c r="G171" s="4" t="s">
        <v>58</v>
      </c>
      <c r="H171" s="4" t="s">
        <v>59</v>
      </c>
      <c r="I171" s="3"/>
      <c r="J171" s="3"/>
      <c r="K171" s="3"/>
      <c r="L171" s="3"/>
      <c r="M171" s="3"/>
      <c r="N171" s="3"/>
      <c r="O171" s="3"/>
      <c r="P171" s="8"/>
      <c r="Q171" s="8"/>
      <c r="R171" s="3"/>
      <c r="S171" s="3"/>
      <c r="T171" s="3"/>
      <c r="U171" s="5" t="str">
        <f t="shared" ref="U171:U186" si="9">IF(I171="","",IF(I171="NA","Grey",IF(I171=2,"Green",IF(I171=1,"Amber","Red"))))</f>
        <v/>
      </c>
    </row>
    <row r="172" spans="1:21" ht="28" customHeight="1" x14ac:dyDescent="0.35">
      <c r="A172" s="4">
        <v>2</v>
      </c>
      <c r="B172" s="4" t="s">
        <v>53</v>
      </c>
      <c r="C172" s="4" t="s">
        <v>539</v>
      </c>
      <c r="D172" s="4" t="s">
        <v>540</v>
      </c>
      <c r="E172" s="4" t="s">
        <v>56</v>
      </c>
      <c r="F172" s="4" t="s">
        <v>57</v>
      </c>
      <c r="G172" s="4" t="s">
        <v>58</v>
      </c>
      <c r="H172" s="4" t="s">
        <v>59</v>
      </c>
      <c r="I172" s="3"/>
      <c r="J172" s="3"/>
      <c r="K172" s="3"/>
      <c r="L172" s="3"/>
      <c r="M172" s="3"/>
      <c r="N172" s="3"/>
      <c r="O172" s="3"/>
      <c r="P172" s="8"/>
      <c r="Q172" s="8"/>
      <c r="R172" s="3"/>
      <c r="S172" s="3"/>
      <c r="T172" s="3"/>
      <c r="U172" s="5" t="str">
        <f t="shared" si="9"/>
        <v/>
      </c>
    </row>
    <row r="173" spans="1:21" ht="28" customHeight="1" x14ac:dyDescent="0.35">
      <c r="A173" s="4">
        <v>3</v>
      </c>
      <c r="B173" s="4" t="s">
        <v>53</v>
      </c>
      <c r="C173" s="4" t="s">
        <v>541</v>
      </c>
      <c r="D173" s="4" t="s">
        <v>542</v>
      </c>
      <c r="E173" s="4" t="s">
        <v>56</v>
      </c>
      <c r="F173" s="4" t="s">
        <v>57</v>
      </c>
      <c r="G173" s="4" t="s">
        <v>58</v>
      </c>
      <c r="H173" s="4" t="s">
        <v>59</v>
      </c>
      <c r="I173" s="3"/>
      <c r="J173" s="3"/>
      <c r="K173" s="3"/>
      <c r="L173" s="3"/>
      <c r="M173" s="3"/>
      <c r="N173" s="3"/>
      <c r="O173" s="3"/>
      <c r="P173" s="8"/>
      <c r="Q173" s="8"/>
      <c r="R173" s="3"/>
      <c r="S173" s="3"/>
      <c r="T173" s="3"/>
      <c r="U173" s="5" t="str">
        <f t="shared" si="9"/>
        <v/>
      </c>
    </row>
    <row r="174" spans="1:21" ht="28" customHeight="1" x14ac:dyDescent="0.35">
      <c r="A174" s="4">
        <v>4</v>
      </c>
      <c r="B174" s="4" t="s">
        <v>53</v>
      </c>
      <c r="C174" s="4" t="s">
        <v>543</v>
      </c>
      <c r="D174" s="4" t="s">
        <v>544</v>
      </c>
      <c r="E174" s="4" t="s">
        <v>56</v>
      </c>
      <c r="F174" s="4" t="s">
        <v>57</v>
      </c>
      <c r="G174" s="4" t="s">
        <v>58</v>
      </c>
      <c r="H174" s="4" t="s">
        <v>59</v>
      </c>
      <c r="I174" s="3"/>
      <c r="J174" s="3"/>
      <c r="K174" s="3"/>
      <c r="L174" s="3"/>
      <c r="M174" s="3"/>
      <c r="N174" s="3"/>
      <c r="O174" s="3"/>
      <c r="P174" s="8"/>
      <c r="Q174" s="8"/>
      <c r="R174" s="3"/>
      <c r="S174" s="3"/>
      <c r="T174" s="3"/>
      <c r="U174" s="5" t="str">
        <f t="shared" si="9"/>
        <v/>
      </c>
    </row>
    <row r="175" spans="1:21" ht="28" customHeight="1" x14ac:dyDescent="0.35">
      <c r="A175" s="4">
        <v>5</v>
      </c>
      <c r="B175" s="4" t="s">
        <v>66</v>
      </c>
      <c r="C175" s="4" t="s">
        <v>67</v>
      </c>
      <c r="D175" s="4" t="s">
        <v>68</v>
      </c>
      <c r="E175" s="4" t="s">
        <v>69</v>
      </c>
      <c r="F175" s="4" t="s">
        <v>57</v>
      </c>
      <c r="G175" s="4" t="s">
        <v>58</v>
      </c>
      <c r="H175" s="4" t="s">
        <v>59</v>
      </c>
      <c r="I175" s="3"/>
      <c r="J175" s="3"/>
      <c r="K175" s="3"/>
      <c r="L175" s="3"/>
      <c r="M175" s="3"/>
      <c r="N175" s="3"/>
      <c r="O175" s="3"/>
      <c r="P175" s="8"/>
      <c r="Q175" s="8"/>
      <c r="R175" s="3"/>
      <c r="S175" s="3"/>
      <c r="T175" s="3"/>
      <c r="U175" s="5" t="str">
        <f t="shared" si="9"/>
        <v/>
      </c>
    </row>
    <row r="176" spans="1:21" ht="28" customHeight="1" x14ac:dyDescent="0.35">
      <c r="A176" s="4">
        <v>6</v>
      </c>
      <c r="B176" s="4" t="s">
        <v>70</v>
      </c>
      <c r="C176" s="4" t="s">
        <v>71</v>
      </c>
      <c r="D176" s="4" t="s">
        <v>72</v>
      </c>
      <c r="E176" s="4" t="s">
        <v>70</v>
      </c>
      <c r="F176" s="4" t="s">
        <v>57</v>
      </c>
      <c r="G176" s="4" t="s">
        <v>58</v>
      </c>
      <c r="H176" s="4" t="s">
        <v>59</v>
      </c>
      <c r="I176" s="3"/>
      <c r="J176" s="3"/>
      <c r="K176" s="3"/>
      <c r="L176" s="3"/>
      <c r="M176" s="3"/>
      <c r="N176" s="3"/>
      <c r="O176" s="3"/>
      <c r="P176" s="8"/>
      <c r="Q176" s="8"/>
      <c r="R176" s="3"/>
      <c r="S176" s="3"/>
      <c r="T176" s="3"/>
      <c r="U176" s="5" t="str">
        <f t="shared" si="9"/>
        <v/>
      </c>
    </row>
    <row r="177" spans="1:21" ht="28" customHeight="1" x14ac:dyDescent="0.35">
      <c r="A177" s="4">
        <v>7</v>
      </c>
      <c r="B177" s="4" t="s">
        <v>73</v>
      </c>
      <c r="C177" s="4" t="s">
        <v>74</v>
      </c>
      <c r="D177" s="4" t="s">
        <v>75</v>
      </c>
      <c r="E177" s="4" t="s">
        <v>69</v>
      </c>
      <c r="F177" s="4" t="s">
        <v>57</v>
      </c>
      <c r="G177" s="4" t="s">
        <v>58</v>
      </c>
      <c r="H177" s="4" t="s">
        <v>76</v>
      </c>
      <c r="I177" s="3"/>
      <c r="J177" s="3"/>
      <c r="K177" s="3"/>
      <c r="L177" s="3"/>
      <c r="M177" s="3"/>
      <c r="N177" s="3"/>
      <c r="O177" s="3"/>
      <c r="P177" s="8"/>
      <c r="Q177" s="8"/>
      <c r="R177" s="3"/>
      <c r="S177" s="3"/>
      <c r="T177" s="3"/>
      <c r="U177" s="5" t="str">
        <f t="shared" si="9"/>
        <v/>
      </c>
    </row>
    <row r="178" spans="1:21" ht="28" customHeight="1" x14ac:dyDescent="0.35">
      <c r="A178" s="4">
        <v>8</v>
      </c>
      <c r="B178" s="4" t="s">
        <v>77</v>
      </c>
      <c r="C178" s="4" t="s">
        <v>78</v>
      </c>
      <c r="D178" s="4" t="s">
        <v>79</v>
      </c>
      <c r="E178" s="4" t="s">
        <v>80</v>
      </c>
      <c r="F178" s="4" t="s">
        <v>57</v>
      </c>
      <c r="G178" s="4" t="s">
        <v>58</v>
      </c>
      <c r="H178" s="4" t="s">
        <v>59</v>
      </c>
      <c r="I178" s="3"/>
      <c r="J178" s="3"/>
      <c r="K178" s="3"/>
      <c r="L178" s="3"/>
      <c r="M178" s="3"/>
      <c r="N178" s="3"/>
      <c r="O178" s="3"/>
      <c r="P178" s="8"/>
      <c r="Q178" s="8"/>
      <c r="R178" s="3"/>
      <c r="S178" s="3"/>
      <c r="T178" s="3"/>
      <c r="U178" s="5" t="str">
        <f t="shared" si="9"/>
        <v/>
      </c>
    </row>
    <row r="179" spans="1:21" ht="28" customHeight="1" x14ac:dyDescent="0.35">
      <c r="A179" s="4">
        <v>9</v>
      </c>
      <c r="B179" s="4" t="s">
        <v>81</v>
      </c>
      <c r="C179" s="4" t="s">
        <v>82</v>
      </c>
      <c r="D179" s="4" t="s">
        <v>83</v>
      </c>
      <c r="E179" s="4" t="s">
        <v>84</v>
      </c>
      <c r="F179" s="4" t="s">
        <v>57</v>
      </c>
      <c r="G179" s="4" t="s">
        <v>58</v>
      </c>
      <c r="H179" s="4" t="s">
        <v>85</v>
      </c>
      <c r="I179" s="3"/>
      <c r="J179" s="3"/>
      <c r="K179" s="3"/>
      <c r="L179" s="3"/>
      <c r="M179" s="3"/>
      <c r="N179" s="3"/>
      <c r="O179" s="3"/>
      <c r="P179" s="8"/>
      <c r="Q179" s="8"/>
      <c r="R179" s="3"/>
      <c r="S179" s="3"/>
      <c r="T179" s="3"/>
      <c r="U179" s="5" t="str">
        <f t="shared" si="9"/>
        <v/>
      </c>
    </row>
    <row r="180" spans="1:21" ht="28" customHeight="1" x14ac:dyDescent="0.35">
      <c r="A180" s="4">
        <v>10</v>
      </c>
      <c r="B180" s="4" t="s">
        <v>86</v>
      </c>
      <c r="C180" s="4" t="s">
        <v>87</v>
      </c>
      <c r="D180" s="4" t="s">
        <v>88</v>
      </c>
      <c r="E180" s="4" t="s">
        <v>69</v>
      </c>
      <c r="F180" s="4" t="s">
        <v>57</v>
      </c>
      <c r="G180" s="4" t="s">
        <v>58</v>
      </c>
      <c r="H180" s="4" t="s">
        <v>59</v>
      </c>
      <c r="I180" s="3"/>
      <c r="J180" s="3"/>
      <c r="K180" s="3"/>
      <c r="L180" s="3"/>
      <c r="M180" s="3"/>
      <c r="N180" s="3"/>
      <c r="O180" s="3"/>
      <c r="P180" s="8"/>
      <c r="Q180" s="8"/>
      <c r="R180" s="3"/>
      <c r="S180" s="3"/>
      <c r="T180" s="3"/>
      <c r="U180" s="5" t="str">
        <f t="shared" si="9"/>
        <v/>
      </c>
    </row>
    <row r="181" spans="1:21" ht="28" customHeight="1" x14ac:dyDescent="0.35">
      <c r="A181" s="4">
        <v>11</v>
      </c>
      <c r="B181" s="4" t="s">
        <v>89</v>
      </c>
      <c r="C181" s="4" t="s">
        <v>90</v>
      </c>
      <c r="D181" s="4" t="s">
        <v>91</v>
      </c>
      <c r="E181" s="4" t="s">
        <v>84</v>
      </c>
      <c r="F181" s="4" t="s">
        <v>57</v>
      </c>
      <c r="G181" s="4" t="s">
        <v>58</v>
      </c>
      <c r="H181" s="4" t="s">
        <v>59</v>
      </c>
      <c r="I181" s="3"/>
      <c r="J181" s="3"/>
      <c r="K181" s="3"/>
      <c r="L181" s="3"/>
      <c r="M181" s="3"/>
      <c r="N181" s="3"/>
      <c r="O181" s="3"/>
      <c r="P181" s="8"/>
      <c r="Q181" s="8"/>
      <c r="R181" s="3"/>
      <c r="S181" s="3"/>
      <c r="T181" s="3"/>
      <c r="U181" s="5" t="str">
        <f t="shared" si="9"/>
        <v/>
      </c>
    </row>
    <row r="182" spans="1:21" ht="28" customHeight="1" x14ac:dyDescent="0.35">
      <c r="A182" s="4">
        <v>12</v>
      </c>
      <c r="B182" s="4" t="s">
        <v>92</v>
      </c>
      <c r="C182" s="4" t="s">
        <v>93</v>
      </c>
      <c r="D182" s="4" t="s">
        <v>94</v>
      </c>
      <c r="E182" s="4" t="s">
        <v>69</v>
      </c>
      <c r="F182" s="4" t="s">
        <v>95</v>
      </c>
      <c r="G182" s="4" t="s">
        <v>96</v>
      </c>
      <c r="H182" s="4" t="s">
        <v>59</v>
      </c>
      <c r="I182" s="3"/>
      <c r="J182" s="3"/>
      <c r="K182" s="3"/>
      <c r="L182" s="3"/>
      <c r="M182" s="3"/>
      <c r="N182" s="3"/>
      <c r="O182" s="3"/>
      <c r="P182" s="8"/>
      <c r="Q182" s="8"/>
      <c r="R182" s="3"/>
      <c r="S182" s="3"/>
      <c r="T182" s="3"/>
      <c r="U182" s="5" t="str">
        <f t="shared" si="9"/>
        <v/>
      </c>
    </row>
    <row r="183" spans="1:21" ht="28" customHeight="1" x14ac:dyDescent="0.35">
      <c r="A183" s="4">
        <v>13</v>
      </c>
      <c r="B183" s="4" t="s">
        <v>97</v>
      </c>
      <c r="C183" s="4" t="s">
        <v>98</v>
      </c>
      <c r="D183" s="4" t="s">
        <v>99</v>
      </c>
      <c r="E183" s="4" t="s">
        <v>69</v>
      </c>
      <c r="F183" s="4" t="s">
        <v>95</v>
      </c>
      <c r="G183" s="4" t="s">
        <v>96</v>
      </c>
      <c r="H183" s="4" t="s">
        <v>59</v>
      </c>
      <c r="I183" s="3"/>
      <c r="J183" s="3"/>
      <c r="K183" s="3"/>
      <c r="L183" s="3"/>
      <c r="M183" s="3"/>
      <c r="N183" s="3"/>
      <c r="O183" s="3"/>
      <c r="P183" s="8"/>
      <c r="Q183" s="8"/>
      <c r="R183" s="3"/>
      <c r="S183" s="3"/>
      <c r="T183" s="3"/>
      <c r="U183" s="5" t="str">
        <f t="shared" si="9"/>
        <v/>
      </c>
    </row>
    <row r="184" spans="1:21" ht="28" customHeight="1" x14ac:dyDescent="0.35">
      <c r="A184" s="4">
        <v>14</v>
      </c>
      <c r="B184" s="4" t="s">
        <v>97</v>
      </c>
      <c r="C184" s="4" t="s">
        <v>100</v>
      </c>
      <c r="D184" s="4" t="s">
        <v>101</v>
      </c>
      <c r="E184" s="4" t="s">
        <v>69</v>
      </c>
      <c r="F184" s="4" t="s">
        <v>95</v>
      </c>
      <c r="G184" s="4" t="s">
        <v>102</v>
      </c>
      <c r="H184" s="4" t="s">
        <v>59</v>
      </c>
      <c r="I184" s="3"/>
      <c r="J184" s="3"/>
      <c r="K184" s="3"/>
      <c r="L184" s="3"/>
      <c r="M184" s="3"/>
      <c r="N184" s="3"/>
      <c r="O184" s="3"/>
      <c r="P184" s="8"/>
      <c r="Q184" s="8"/>
      <c r="R184" s="3"/>
      <c r="S184" s="3"/>
      <c r="T184" s="3"/>
      <c r="U184" s="5" t="str">
        <f t="shared" si="9"/>
        <v/>
      </c>
    </row>
    <row r="185" spans="1:21" ht="28" customHeight="1" x14ac:dyDescent="0.35">
      <c r="A185" s="4">
        <v>15</v>
      </c>
      <c r="B185" s="4" t="s">
        <v>103</v>
      </c>
      <c r="C185" s="4" t="s">
        <v>104</v>
      </c>
      <c r="D185" s="4" t="s">
        <v>105</v>
      </c>
      <c r="E185" s="4" t="s">
        <v>69</v>
      </c>
      <c r="F185" s="4" t="s">
        <v>95</v>
      </c>
      <c r="G185" s="4" t="s">
        <v>96</v>
      </c>
      <c r="H185" s="4" t="s">
        <v>85</v>
      </c>
      <c r="I185" s="3"/>
      <c r="J185" s="3"/>
      <c r="K185" s="3"/>
      <c r="L185" s="3"/>
      <c r="M185" s="3"/>
      <c r="N185" s="3"/>
      <c r="O185" s="3"/>
      <c r="P185" s="8"/>
      <c r="Q185" s="8"/>
      <c r="R185" s="3"/>
      <c r="S185" s="3"/>
      <c r="T185" s="3"/>
      <c r="U185" s="5" t="str">
        <f t="shared" si="9"/>
        <v/>
      </c>
    </row>
    <row r="186" spans="1:21" ht="28" customHeight="1" x14ac:dyDescent="0.35">
      <c r="A186" s="4">
        <v>16</v>
      </c>
      <c r="B186" s="4" t="s">
        <v>106</v>
      </c>
      <c r="C186" s="4" t="s">
        <v>107</v>
      </c>
      <c r="D186" s="4" t="s">
        <v>108</v>
      </c>
      <c r="E186" s="4" t="s">
        <v>109</v>
      </c>
      <c r="F186" s="4" t="s">
        <v>95</v>
      </c>
      <c r="G186" s="4" t="s">
        <v>96</v>
      </c>
      <c r="H186" s="4" t="s">
        <v>59</v>
      </c>
      <c r="I186" s="3"/>
      <c r="J186" s="3"/>
      <c r="K186" s="3"/>
      <c r="L186" s="3"/>
      <c r="M186" s="3"/>
      <c r="N186" s="3"/>
      <c r="O186" s="3"/>
      <c r="P186" s="8"/>
      <c r="Q186" s="8"/>
      <c r="R186" s="3"/>
      <c r="S186" s="3"/>
      <c r="T186" s="3"/>
      <c r="U186" s="5" t="str">
        <f t="shared" si="9"/>
        <v/>
      </c>
    </row>
    <row r="188" spans="1:21" ht="28" customHeight="1" x14ac:dyDescent="0.35">
      <c r="A188" s="9" t="s">
        <v>110</v>
      </c>
      <c r="B188" s="16"/>
      <c r="C188" s="17"/>
      <c r="D188" s="17"/>
      <c r="E188" s="17"/>
      <c r="F188" s="17"/>
      <c r="G188" s="17"/>
      <c r="H188" s="17"/>
      <c r="I188" s="17"/>
      <c r="J188" s="17"/>
      <c r="K188" s="17"/>
      <c r="L188" s="17"/>
      <c r="M188" s="17"/>
      <c r="N188" s="17"/>
      <c r="O188" s="17"/>
      <c r="P188" s="17"/>
      <c r="Q188" s="17"/>
      <c r="R188" s="17"/>
      <c r="S188" s="17"/>
      <c r="T188" s="17"/>
      <c r="U188" s="18"/>
    </row>
    <row r="189" spans="1:21" ht="28" customHeight="1" x14ac:dyDescent="0.35">
      <c r="A189" s="19" t="s">
        <v>552</v>
      </c>
      <c r="B189" s="20"/>
      <c r="C189" s="20"/>
      <c r="D189" s="20"/>
      <c r="E189" s="20"/>
      <c r="F189" s="20"/>
      <c r="G189" s="20"/>
      <c r="H189" s="20"/>
      <c r="I189" s="20"/>
      <c r="J189" s="20"/>
      <c r="K189" s="20"/>
      <c r="L189" s="20"/>
      <c r="M189" s="20"/>
      <c r="N189" s="20"/>
      <c r="O189" s="20"/>
      <c r="P189" s="20"/>
      <c r="Q189" s="20"/>
      <c r="R189" s="20"/>
      <c r="S189" s="20"/>
      <c r="T189" s="20"/>
      <c r="U189" s="21"/>
    </row>
    <row r="190" spans="1:21" ht="28" customHeight="1" x14ac:dyDescent="0.35">
      <c r="A190" s="4" t="s">
        <v>31</v>
      </c>
      <c r="B190" s="3" t="s">
        <v>26</v>
      </c>
      <c r="C190" s="4" t="s">
        <v>32</v>
      </c>
      <c r="D190" s="3"/>
      <c r="E190" s="4" t="s">
        <v>33</v>
      </c>
      <c r="F190" s="8"/>
    </row>
    <row r="191" spans="1:21" ht="28" customHeight="1" x14ac:dyDescent="0.35">
      <c r="A191" s="1" t="s">
        <v>34</v>
      </c>
      <c r="B191" s="1" t="s">
        <v>35</v>
      </c>
      <c r="C191" s="1" t="s">
        <v>36</v>
      </c>
      <c r="D191" s="1" t="s">
        <v>37</v>
      </c>
      <c r="E191" s="1" t="s">
        <v>38</v>
      </c>
      <c r="F191" s="1" t="s">
        <v>39</v>
      </c>
      <c r="G191" s="1" t="s">
        <v>40</v>
      </c>
      <c r="H191" s="1" t="s">
        <v>41</v>
      </c>
      <c r="I191" s="1" t="s">
        <v>42</v>
      </c>
      <c r="J191" s="1" t="s">
        <v>43</v>
      </c>
      <c r="K191" s="1" t="s">
        <v>44</v>
      </c>
      <c r="L191" s="1" t="s">
        <v>45</v>
      </c>
      <c r="M191" s="1" t="s">
        <v>46</v>
      </c>
      <c r="N191" s="1" t="s">
        <v>47</v>
      </c>
      <c r="O191" s="1" t="s">
        <v>48</v>
      </c>
      <c r="P191" s="1" t="s">
        <v>4</v>
      </c>
      <c r="Q191" s="1" t="s">
        <v>49</v>
      </c>
      <c r="R191" s="1" t="s">
        <v>50</v>
      </c>
      <c r="S191" s="1" t="s">
        <v>51</v>
      </c>
      <c r="T191" s="1" t="s">
        <v>52</v>
      </c>
      <c r="U191" s="1" t="s">
        <v>10</v>
      </c>
    </row>
    <row r="192" spans="1:21" ht="28" customHeight="1" x14ac:dyDescent="0.35">
      <c r="A192" s="4">
        <v>1</v>
      </c>
      <c r="B192" s="4" t="s">
        <v>53</v>
      </c>
      <c r="C192" s="4" t="s">
        <v>537</v>
      </c>
      <c r="D192" s="4" t="s">
        <v>538</v>
      </c>
      <c r="E192" s="4" t="s">
        <v>56</v>
      </c>
      <c r="F192" s="4" t="s">
        <v>57</v>
      </c>
      <c r="G192" s="4" t="s">
        <v>58</v>
      </c>
      <c r="H192" s="4" t="s">
        <v>59</v>
      </c>
      <c r="I192" s="3"/>
      <c r="J192" s="3"/>
      <c r="K192" s="3"/>
      <c r="L192" s="3"/>
      <c r="M192" s="3"/>
      <c r="N192" s="3"/>
      <c r="O192" s="3"/>
      <c r="P192" s="8"/>
      <c r="Q192" s="8"/>
      <c r="R192" s="3"/>
      <c r="S192" s="3"/>
      <c r="T192" s="3"/>
      <c r="U192" s="5" t="str">
        <f t="shared" ref="U192:U207" si="10">IF(I192="","",IF(I192="NA","Grey",IF(I192=2,"Green",IF(I192=1,"Amber","Red"))))</f>
        <v/>
      </c>
    </row>
    <row r="193" spans="1:21" ht="28" customHeight="1" x14ac:dyDescent="0.35">
      <c r="A193" s="4">
        <v>2</v>
      </c>
      <c r="B193" s="4" t="s">
        <v>53</v>
      </c>
      <c r="C193" s="4" t="s">
        <v>539</v>
      </c>
      <c r="D193" s="4" t="s">
        <v>540</v>
      </c>
      <c r="E193" s="4" t="s">
        <v>56</v>
      </c>
      <c r="F193" s="4" t="s">
        <v>57</v>
      </c>
      <c r="G193" s="4" t="s">
        <v>58</v>
      </c>
      <c r="H193" s="4" t="s">
        <v>59</v>
      </c>
      <c r="I193" s="3"/>
      <c r="J193" s="3"/>
      <c r="K193" s="3"/>
      <c r="L193" s="3"/>
      <c r="M193" s="3"/>
      <c r="N193" s="3"/>
      <c r="O193" s="3"/>
      <c r="P193" s="8"/>
      <c r="Q193" s="8"/>
      <c r="R193" s="3"/>
      <c r="S193" s="3"/>
      <c r="T193" s="3"/>
      <c r="U193" s="5" t="str">
        <f t="shared" si="10"/>
        <v/>
      </c>
    </row>
    <row r="194" spans="1:21" ht="28" customHeight="1" x14ac:dyDescent="0.35">
      <c r="A194" s="4">
        <v>3</v>
      </c>
      <c r="B194" s="4" t="s">
        <v>53</v>
      </c>
      <c r="C194" s="4" t="s">
        <v>541</v>
      </c>
      <c r="D194" s="4" t="s">
        <v>542</v>
      </c>
      <c r="E194" s="4" t="s">
        <v>56</v>
      </c>
      <c r="F194" s="4" t="s">
        <v>57</v>
      </c>
      <c r="G194" s="4" t="s">
        <v>58</v>
      </c>
      <c r="H194" s="4" t="s">
        <v>59</v>
      </c>
      <c r="I194" s="3"/>
      <c r="J194" s="3"/>
      <c r="K194" s="3"/>
      <c r="L194" s="3"/>
      <c r="M194" s="3"/>
      <c r="N194" s="3"/>
      <c r="O194" s="3"/>
      <c r="P194" s="8"/>
      <c r="Q194" s="8"/>
      <c r="R194" s="3"/>
      <c r="S194" s="3"/>
      <c r="T194" s="3"/>
      <c r="U194" s="5" t="str">
        <f t="shared" si="10"/>
        <v/>
      </c>
    </row>
    <row r="195" spans="1:21" ht="28" customHeight="1" x14ac:dyDescent="0.35">
      <c r="A195" s="4">
        <v>4</v>
      </c>
      <c r="B195" s="4" t="s">
        <v>53</v>
      </c>
      <c r="C195" s="4" t="s">
        <v>543</v>
      </c>
      <c r="D195" s="4" t="s">
        <v>544</v>
      </c>
      <c r="E195" s="4" t="s">
        <v>56</v>
      </c>
      <c r="F195" s="4" t="s">
        <v>57</v>
      </c>
      <c r="G195" s="4" t="s">
        <v>58</v>
      </c>
      <c r="H195" s="4" t="s">
        <v>59</v>
      </c>
      <c r="I195" s="3"/>
      <c r="J195" s="3"/>
      <c r="K195" s="3"/>
      <c r="L195" s="3"/>
      <c r="M195" s="3"/>
      <c r="N195" s="3"/>
      <c r="O195" s="3"/>
      <c r="P195" s="8"/>
      <c r="Q195" s="8"/>
      <c r="R195" s="3"/>
      <c r="S195" s="3"/>
      <c r="T195" s="3"/>
      <c r="U195" s="5" t="str">
        <f t="shared" si="10"/>
        <v/>
      </c>
    </row>
    <row r="196" spans="1:21" ht="28" customHeight="1" x14ac:dyDescent="0.35">
      <c r="A196" s="4">
        <v>5</v>
      </c>
      <c r="B196" s="4" t="s">
        <v>66</v>
      </c>
      <c r="C196" s="4" t="s">
        <v>67</v>
      </c>
      <c r="D196" s="4" t="s">
        <v>68</v>
      </c>
      <c r="E196" s="4" t="s">
        <v>69</v>
      </c>
      <c r="F196" s="4" t="s">
        <v>57</v>
      </c>
      <c r="G196" s="4" t="s">
        <v>58</v>
      </c>
      <c r="H196" s="4" t="s">
        <v>59</v>
      </c>
      <c r="I196" s="3"/>
      <c r="J196" s="3"/>
      <c r="K196" s="3"/>
      <c r="L196" s="3"/>
      <c r="M196" s="3"/>
      <c r="N196" s="3"/>
      <c r="O196" s="3"/>
      <c r="P196" s="8"/>
      <c r="Q196" s="8"/>
      <c r="R196" s="3"/>
      <c r="S196" s="3"/>
      <c r="T196" s="3"/>
      <c r="U196" s="5" t="str">
        <f t="shared" si="10"/>
        <v/>
      </c>
    </row>
    <row r="197" spans="1:21" ht="28" customHeight="1" x14ac:dyDescent="0.35">
      <c r="A197" s="4">
        <v>6</v>
      </c>
      <c r="B197" s="4" t="s">
        <v>70</v>
      </c>
      <c r="C197" s="4" t="s">
        <v>71</v>
      </c>
      <c r="D197" s="4" t="s">
        <v>72</v>
      </c>
      <c r="E197" s="4" t="s">
        <v>70</v>
      </c>
      <c r="F197" s="4" t="s">
        <v>57</v>
      </c>
      <c r="G197" s="4" t="s">
        <v>58</v>
      </c>
      <c r="H197" s="4" t="s">
        <v>59</v>
      </c>
      <c r="I197" s="3"/>
      <c r="J197" s="3"/>
      <c r="K197" s="3"/>
      <c r="L197" s="3"/>
      <c r="M197" s="3"/>
      <c r="N197" s="3"/>
      <c r="O197" s="3"/>
      <c r="P197" s="8"/>
      <c r="Q197" s="8"/>
      <c r="R197" s="3"/>
      <c r="S197" s="3"/>
      <c r="T197" s="3"/>
      <c r="U197" s="5" t="str">
        <f t="shared" si="10"/>
        <v/>
      </c>
    </row>
    <row r="198" spans="1:21" ht="28" customHeight="1" x14ac:dyDescent="0.35">
      <c r="A198" s="4">
        <v>7</v>
      </c>
      <c r="B198" s="4" t="s">
        <v>73</v>
      </c>
      <c r="C198" s="4" t="s">
        <v>74</v>
      </c>
      <c r="D198" s="4" t="s">
        <v>75</v>
      </c>
      <c r="E198" s="4" t="s">
        <v>69</v>
      </c>
      <c r="F198" s="4" t="s">
        <v>57</v>
      </c>
      <c r="G198" s="4" t="s">
        <v>58</v>
      </c>
      <c r="H198" s="4" t="s">
        <v>76</v>
      </c>
      <c r="I198" s="3"/>
      <c r="J198" s="3"/>
      <c r="K198" s="3"/>
      <c r="L198" s="3"/>
      <c r="M198" s="3"/>
      <c r="N198" s="3"/>
      <c r="O198" s="3"/>
      <c r="P198" s="8"/>
      <c r="Q198" s="8"/>
      <c r="R198" s="3"/>
      <c r="S198" s="3"/>
      <c r="T198" s="3"/>
      <c r="U198" s="5" t="str">
        <f t="shared" si="10"/>
        <v/>
      </c>
    </row>
    <row r="199" spans="1:21" ht="28" customHeight="1" x14ac:dyDescent="0.35">
      <c r="A199" s="4">
        <v>8</v>
      </c>
      <c r="B199" s="4" t="s">
        <v>77</v>
      </c>
      <c r="C199" s="4" t="s">
        <v>78</v>
      </c>
      <c r="D199" s="4" t="s">
        <v>79</v>
      </c>
      <c r="E199" s="4" t="s">
        <v>80</v>
      </c>
      <c r="F199" s="4" t="s">
        <v>57</v>
      </c>
      <c r="G199" s="4" t="s">
        <v>58</v>
      </c>
      <c r="H199" s="4" t="s">
        <v>59</v>
      </c>
      <c r="I199" s="3"/>
      <c r="J199" s="3"/>
      <c r="K199" s="3"/>
      <c r="L199" s="3"/>
      <c r="M199" s="3"/>
      <c r="N199" s="3"/>
      <c r="O199" s="3"/>
      <c r="P199" s="8"/>
      <c r="Q199" s="8"/>
      <c r="R199" s="3"/>
      <c r="S199" s="3"/>
      <c r="T199" s="3"/>
      <c r="U199" s="5" t="str">
        <f t="shared" si="10"/>
        <v/>
      </c>
    </row>
    <row r="200" spans="1:21" ht="28" customHeight="1" x14ac:dyDescent="0.35">
      <c r="A200" s="4">
        <v>9</v>
      </c>
      <c r="B200" s="4" t="s">
        <v>81</v>
      </c>
      <c r="C200" s="4" t="s">
        <v>82</v>
      </c>
      <c r="D200" s="4" t="s">
        <v>83</v>
      </c>
      <c r="E200" s="4" t="s">
        <v>84</v>
      </c>
      <c r="F200" s="4" t="s">
        <v>57</v>
      </c>
      <c r="G200" s="4" t="s">
        <v>58</v>
      </c>
      <c r="H200" s="4" t="s">
        <v>85</v>
      </c>
      <c r="I200" s="3"/>
      <c r="J200" s="3"/>
      <c r="K200" s="3"/>
      <c r="L200" s="3"/>
      <c r="M200" s="3"/>
      <c r="N200" s="3"/>
      <c r="O200" s="3"/>
      <c r="P200" s="8"/>
      <c r="Q200" s="8"/>
      <c r="R200" s="3"/>
      <c r="S200" s="3"/>
      <c r="T200" s="3"/>
      <c r="U200" s="5" t="str">
        <f t="shared" si="10"/>
        <v/>
      </c>
    </row>
    <row r="201" spans="1:21" ht="28" customHeight="1" x14ac:dyDescent="0.35">
      <c r="A201" s="4">
        <v>10</v>
      </c>
      <c r="B201" s="4" t="s">
        <v>86</v>
      </c>
      <c r="C201" s="4" t="s">
        <v>87</v>
      </c>
      <c r="D201" s="4" t="s">
        <v>88</v>
      </c>
      <c r="E201" s="4" t="s">
        <v>69</v>
      </c>
      <c r="F201" s="4" t="s">
        <v>57</v>
      </c>
      <c r="G201" s="4" t="s">
        <v>58</v>
      </c>
      <c r="H201" s="4" t="s">
        <v>59</v>
      </c>
      <c r="I201" s="3"/>
      <c r="J201" s="3"/>
      <c r="K201" s="3"/>
      <c r="L201" s="3"/>
      <c r="M201" s="3"/>
      <c r="N201" s="3"/>
      <c r="O201" s="3"/>
      <c r="P201" s="8"/>
      <c r="Q201" s="8"/>
      <c r="R201" s="3"/>
      <c r="S201" s="3"/>
      <c r="T201" s="3"/>
      <c r="U201" s="5" t="str">
        <f t="shared" si="10"/>
        <v/>
      </c>
    </row>
    <row r="202" spans="1:21" ht="28" customHeight="1" x14ac:dyDescent="0.35">
      <c r="A202" s="4">
        <v>11</v>
      </c>
      <c r="B202" s="4" t="s">
        <v>89</v>
      </c>
      <c r="C202" s="4" t="s">
        <v>90</v>
      </c>
      <c r="D202" s="4" t="s">
        <v>91</v>
      </c>
      <c r="E202" s="4" t="s">
        <v>84</v>
      </c>
      <c r="F202" s="4" t="s">
        <v>57</v>
      </c>
      <c r="G202" s="4" t="s">
        <v>58</v>
      </c>
      <c r="H202" s="4" t="s">
        <v>59</v>
      </c>
      <c r="I202" s="3"/>
      <c r="J202" s="3"/>
      <c r="K202" s="3"/>
      <c r="L202" s="3"/>
      <c r="M202" s="3"/>
      <c r="N202" s="3"/>
      <c r="O202" s="3"/>
      <c r="P202" s="8"/>
      <c r="Q202" s="8"/>
      <c r="R202" s="3"/>
      <c r="S202" s="3"/>
      <c r="T202" s="3"/>
      <c r="U202" s="5" t="str">
        <f t="shared" si="10"/>
        <v/>
      </c>
    </row>
    <row r="203" spans="1:21" ht="28" customHeight="1" x14ac:dyDescent="0.35">
      <c r="A203" s="4">
        <v>12</v>
      </c>
      <c r="B203" s="4" t="s">
        <v>92</v>
      </c>
      <c r="C203" s="4" t="s">
        <v>93</v>
      </c>
      <c r="D203" s="4" t="s">
        <v>94</v>
      </c>
      <c r="E203" s="4" t="s">
        <v>69</v>
      </c>
      <c r="F203" s="4" t="s">
        <v>95</v>
      </c>
      <c r="G203" s="4" t="s">
        <v>96</v>
      </c>
      <c r="H203" s="4" t="s">
        <v>59</v>
      </c>
      <c r="I203" s="3"/>
      <c r="J203" s="3"/>
      <c r="K203" s="3"/>
      <c r="L203" s="3"/>
      <c r="M203" s="3"/>
      <c r="N203" s="3"/>
      <c r="O203" s="3"/>
      <c r="P203" s="8"/>
      <c r="Q203" s="8"/>
      <c r="R203" s="3"/>
      <c r="S203" s="3"/>
      <c r="T203" s="3"/>
      <c r="U203" s="5" t="str">
        <f t="shared" si="10"/>
        <v/>
      </c>
    </row>
    <row r="204" spans="1:21" ht="28" customHeight="1" x14ac:dyDescent="0.35">
      <c r="A204" s="4">
        <v>13</v>
      </c>
      <c r="B204" s="4" t="s">
        <v>97</v>
      </c>
      <c r="C204" s="4" t="s">
        <v>98</v>
      </c>
      <c r="D204" s="4" t="s">
        <v>99</v>
      </c>
      <c r="E204" s="4" t="s">
        <v>69</v>
      </c>
      <c r="F204" s="4" t="s">
        <v>95</v>
      </c>
      <c r="G204" s="4" t="s">
        <v>96</v>
      </c>
      <c r="H204" s="4" t="s">
        <v>59</v>
      </c>
      <c r="I204" s="3"/>
      <c r="J204" s="3"/>
      <c r="K204" s="3"/>
      <c r="L204" s="3"/>
      <c r="M204" s="3"/>
      <c r="N204" s="3"/>
      <c r="O204" s="3"/>
      <c r="P204" s="8"/>
      <c r="Q204" s="8"/>
      <c r="R204" s="3"/>
      <c r="S204" s="3"/>
      <c r="T204" s="3"/>
      <c r="U204" s="5" t="str">
        <f t="shared" si="10"/>
        <v/>
      </c>
    </row>
    <row r="205" spans="1:21" ht="28" customHeight="1" x14ac:dyDescent="0.35">
      <c r="A205" s="4">
        <v>14</v>
      </c>
      <c r="B205" s="4" t="s">
        <v>97</v>
      </c>
      <c r="C205" s="4" t="s">
        <v>100</v>
      </c>
      <c r="D205" s="4" t="s">
        <v>101</v>
      </c>
      <c r="E205" s="4" t="s">
        <v>69</v>
      </c>
      <c r="F205" s="4" t="s">
        <v>95</v>
      </c>
      <c r="G205" s="4" t="s">
        <v>102</v>
      </c>
      <c r="H205" s="4" t="s">
        <v>59</v>
      </c>
      <c r="I205" s="3"/>
      <c r="J205" s="3"/>
      <c r="K205" s="3"/>
      <c r="L205" s="3"/>
      <c r="M205" s="3"/>
      <c r="N205" s="3"/>
      <c r="O205" s="3"/>
      <c r="P205" s="8"/>
      <c r="Q205" s="8"/>
      <c r="R205" s="3"/>
      <c r="S205" s="3"/>
      <c r="T205" s="3"/>
      <c r="U205" s="5" t="str">
        <f t="shared" si="10"/>
        <v/>
      </c>
    </row>
    <row r="206" spans="1:21" ht="28" customHeight="1" x14ac:dyDescent="0.35">
      <c r="A206" s="4">
        <v>15</v>
      </c>
      <c r="B206" s="4" t="s">
        <v>103</v>
      </c>
      <c r="C206" s="4" t="s">
        <v>104</v>
      </c>
      <c r="D206" s="4" t="s">
        <v>105</v>
      </c>
      <c r="E206" s="4" t="s">
        <v>69</v>
      </c>
      <c r="F206" s="4" t="s">
        <v>95</v>
      </c>
      <c r="G206" s="4" t="s">
        <v>96</v>
      </c>
      <c r="H206" s="4" t="s">
        <v>85</v>
      </c>
      <c r="I206" s="3"/>
      <c r="J206" s="3"/>
      <c r="K206" s="3"/>
      <c r="L206" s="3"/>
      <c r="M206" s="3"/>
      <c r="N206" s="3"/>
      <c r="O206" s="3"/>
      <c r="P206" s="8"/>
      <c r="Q206" s="8"/>
      <c r="R206" s="3"/>
      <c r="S206" s="3"/>
      <c r="T206" s="3"/>
      <c r="U206" s="5" t="str">
        <f t="shared" si="10"/>
        <v/>
      </c>
    </row>
    <row r="207" spans="1:21" ht="28" customHeight="1" x14ac:dyDescent="0.35">
      <c r="A207" s="4">
        <v>16</v>
      </c>
      <c r="B207" s="4" t="s">
        <v>106</v>
      </c>
      <c r="C207" s="4" t="s">
        <v>107</v>
      </c>
      <c r="D207" s="4" t="s">
        <v>108</v>
      </c>
      <c r="E207" s="4" t="s">
        <v>109</v>
      </c>
      <c r="F207" s="4" t="s">
        <v>95</v>
      </c>
      <c r="G207" s="4" t="s">
        <v>96</v>
      </c>
      <c r="H207" s="4" t="s">
        <v>59</v>
      </c>
      <c r="I207" s="3"/>
      <c r="J207" s="3"/>
      <c r="K207" s="3"/>
      <c r="L207" s="3"/>
      <c r="M207" s="3"/>
      <c r="N207" s="3"/>
      <c r="O207" s="3"/>
      <c r="P207" s="8"/>
      <c r="Q207" s="8"/>
      <c r="R207" s="3"/>
      <c r="S207" s="3"/>
      <c r="T207" s="3"/>
      <c r="U207" s="5" t="str">
        <f t="shared" si="10"/>
        <v/>
      </c>
    </row>
    <row r="209" spans="1:21" ht="28" customHeight="1" x14ac:dyDescent="0.35">
      <c r="A209" s="9" t="s">
        <v>110</v>
      </c>
      <c r="B209" s="16"/>
      <c r="C209" s="17"/>
      <c r="D209" s="17"/>
      <c r="E209" s="17"/>
      <c r="F209" s="17"/>
      <c r="G209" s="17"/>
      <c r="H209" s="17"/>
      <c r="I209" s="17"/>
      <c r="J209" s="17"/>
      <c r="K209" s="17"/>
      <c r="L209" s="17"/>
      <c r="M209" s="17"/>
      <c r="N209" s="17"/>
      <c r="O209" s="17"/>
      <c r="P209" s="17"/>
      <c r="Q209" s="17"/>
      <c r="R209" s="17"/>
      <c r="S209" s="17"/>
      <c r="T209" s="17"/>
      <c r="U209" s="18"/>
    </row>
    <row r="210" spans="1:21" ht="28" customHeight="1" x14ac:dyDescent="0.35">
      <c r="A210" s="19" t="s">
        <v>553</v>
      </c>
      <c r="B210" s="20"/>
      <c r="C210" s="20"/>
      <c r="D210" s="20"/>
      <c r="E210" s="20"/>
      <c r="F210" s="20"/>
      <c r="G210" s="20"/>
      <c r="H210" s="20"/>
      <c r="I210" s="20"/>
      <c r="J210" s="20"/>
      <c r="K210" s="20"/>
      <c r="L210" s="20"/>
      <c r="M210" s="20"/>
      <c r="N210" s="20"/>
      <c r="O210" s="20"/>
      <c r="P210" s="20"/>
      <c r="Q210" s="20"/>
      <c r="R210" s="20"/>
      <c r="S210" s="20"/>
      <c r="T210" s="20"/>
      <c r="U210" s="21"/>
    </row>
    <row r="211" spans="1:21" ht="28" customHeight="1" x14ac:dyDescent="0.35">
      <c r="A211" s="4" t="s">
        <v>31</v>
      </c>
      <c r="B211" s="3" t="s">
        <v>27</v>
      </c>
      <c r="C211" s="4" t="s">
        <v>32</v>
      </c>
      <c r="D211" s="3"/>
      <c r="E211" s="4" t="s">
        <v>33</v>
      </c>
      <c r="F211" s="8"/>
    </row>
    <row r="212" spans="1:21" ht="28" customHeight="1" x14ac:dyDescent="0.35">
      <c r="A212" s="1" t="s">
        <v>34</v>
      </c>
      <c r="B212" s="1" t="s">
        <v>35</v>
      </c>
      <c r="C212" s="1" t="s">
        <v>36</v>
      </c>
      <c r="D212" s="1" t="s">
        <v>37</v>
      </c>
      <c r="E212" s="1" t="s">
        <v>38</v>
      </c>
      <c r="F212" s="1" t="s">
        <v>39</v>
      </c>
      <c r="G212" s="1" t="s">
        <v>40</v>
      </c>
      <c r="H212" s="1" t="s">
        <v>41</v>
      </c>
      <c r="I212" s="1" t="s">
        <v>42</v>
      </c>
      <c r="J212" s="1" t="s">
        <v>43</v>
      </c>
      <c r="K212" s="1" t="s">
        <v>44</v>
      </c>
      <c r="L212" s="1" t="s">
        <v>45</v>
      </c>
      <c r="M212" s="1" t="s">
        <v>46</v>
      </c>
      <c r="N212" s="1" t="s">
        <v>47</v>
      </c>
      <c r="O212" s="1" t="s">
        <v>48</v>
      </c>
      <c r="P212" s="1" t="s">
        <v>4</v>
      </c>
      <c r="Q212" s="1" t="s">
        <v>49</v>
      </c>
      <c r="R212" s="1" t="s">
        <v>50</v>
      </c>
      <c r="S212" s="1" t="s">
        <v>51</v>
      </c>
      <c r="T212" s="1" t="s">
        <v>52</v>
      </c>
      <c r="U212" s="1" t="s">
        <v>10</v>
      </c>
    </row>
    <row r="213" spans="1:21" ht="28" customHeight="1" x14ac:dyDescent="0.35">
      <c r="A213" s="4">
        <v>1</v>
      </c>
      <c r="B213" s="4" t="s">
        <v>53</v>
      </c>
      <c r="C213" s="4" t="s">
        <v>537</v>
      </c>
      <c r="D213" s="4" t="s">
        <v>538</v>
      </c>
      <c r="E213" s="4" t="s">
        <v>56</v>
      </c>
      <c r="F213" s="4" t="s">
        <v>57</v>
      </c>
      <c r="G213" s="4" t="s">
        <v>58</v>
      </c>
      <c r="H213" s="4" t="s">
        <v>59</v>
      </c>
      <c r="I213" s="3"/>
      <c r="J213" s="3"/>
      <c r="K213" s="3"/>
      <c r="L213" s="3"/>
      <c r="M213" s="3"/>
      <c r="N213" s="3"/>
      <c r="O213" s="3"/>
      <c r="P213" s="8"/>
      <c r="Q213" s="8"/>
      <c r="R213" s="3"/>
      <c r="S213" s="3"/>
      <c r="T213" s="3"/>
      <c r="U213" s="5" t="str">
        <f t="shared" ref="U213:U228" si="11">IF(I213="","",IF(I213="NA","Grey",IF(I213=2,"Green",IF(I213=1,"Amber","Red"))))</f>
        <v/>
      </c>
    </row>
    <row r="214" spans="1:21" ht="28" customHeight="1" x14ac:dyDescent="0.35">
      <c r="A214" s="4">
        <v>2</v>
      </c>
      <c r="B214" s="4" t="s">
        <v>53</v>
      </c>
      <c r="C214" s="4" t="s">
        <v>539</v>
      </c>
      <c r="D214" s="4" t="s">
        <v>540</v>
      </c>
      <c r="E214" s="4" t="s">
        <v>56</v>
      </c>
      <c r="F214" s="4" t="s">
        <v>57</v>
      </c>
      <c r="G214" s="4" t="s">
        <v>58</v>
      </c>
      <c r="H214" s="4" t="s">
        <v>59</v>
      </c>
      <c r="I214" s="3"/>
      <c r="J214" s="3"/>
      <c r="K214" s="3"/>
      <c r="L214" s="3"/>
      <c r="M214" s="3"/>
      <c r="N214" s="3"/>
      <c r="O214" s="3"/>
      <c r="P214" s="8"/>
      <c r="Q214" s="8"/>
      <c r="R214" s="3"/>
      <c r="S214" s="3"/>
      <c r="T214" s="3"/>
      <c r="U214" s="5" t="str">
        <f t="shared" si="11"/>
        <v/>
      </c>
    </row>
    <row r="215" spans="1:21" ht="28" customHeight="1" x14ac:dyDescent="0.35">
      <c r="A215" s="4">
        <v>3</v>
      </c>
      <c r="B215" s="4" t="s">
        <v>53</v>
      </c>
      <c r="C215" s="4" t="s">
        <v>541</v>
      </c>
      <c r="D215" s="4" t="s">
        <v>542</v>
      </c>
      <c r="E215" s="4" t="s">
        <v>56</v>
      </c>
      <c r="F215" s="4" t="s">
        <v>57</v>
      </c>
      <c r="G215" s="4" t="s">
        <v>58</v>
      </c>
      <c r="H215" s="4" t="s">
        <v>59</v>
      </c>
      <c r="I215" s="3"/>
      <c r="J215" s="3"/>
      <c r="K215" s="3"/>
      <c r="L215" s="3"/>
      <c r="M215" s="3"/>
      <c r="N215" s="3"/>
      <c r="O215" s="3"/>
      <c r="P215" s="8"/>
      <c r="Q215" s="8"/>
      <c r="R215" s="3"/>
      <c r="S215" s="3"/>
      <c r="T215" s="3"/>
      <c r="U215" s="5" t="str">
        <f t="shared" si="11"/>
        <v/>
      </c>
    </row>
    <row r="216" spans="1:21" ht="28" customHeight="1" x14ac:dyDescent="0.35">
      <c r="A216" s="4">
        <v>4</v>
      </c>
      <c r="B216" s="4" t="s">
        <v>53</v>
      </c>
      <c r="C216" s="4" t="s">
        <v>543</v>
      </c>
      <c r="D216" s="4" t="s">
        <v>544</v>
      </c>
      <c r="E216" s="4" t="s">
        <v>56</v>
      </c>
      <c r="F216" s="4" t="s">
        <v>57</v>
      </c>
      <c r="G216" s="4" t="s">
        <v>58</v>
      </c>
      <c r="H216" s="4" t="s">
        <v>59</v>
      </c>
      <c r="I216" s="3"/>
      <c r="J216" s="3"/>
      <c r="K216" s="3"/>
      <c r="L216" s="3"/>
      <c r="M216" s="3"/>
      <c r="N216" s="3"/>
      <c r="O216" s="3"/>
      <c r="P216" s="8"/>
      <c r="Q216" s="8"/>
      <c r="R216" s="3"/>
      <c r="S216" s="3"/>
      <c r="T216" s="3"/>
      <c r="U216" s="5" t="str">
        <f t="shared" si="11"/>
        <v/>
      </c>
    </row>
    <row r="217" spans="1:21" ht="28" customHeight="1" x14ac:dyDescent="0.35">
      <c r="A217" s="4">
        <v>5</v>
      </c>
      <c r="B217" s="4" t="s">
        <v>66</v>
      </c>
      <c r="C217" s="4" t="s">
        <v>67</v>
      </c>
      <c r="D217" s="4" t="s">
        <v>68</v>
      </c>
      <c r="E217" s="4" t="s">
        <v>69</v>
      </c>
      <c r="F217" s="4" t="s">
        <v>57</v>
      </c>
      <c r="G217" s="4" t="s">
        <v>58</v>
      </c>
      <c r="H217" s="4" t="s">
        <v>59</v>
      </c>
      <c r="I217" s="3"/>
      <c r="J217" s="3"/>
      <c r="K217" s="3"/>
      <c r="L217" s="3"/>
      <c r="M217" s="3"/>
      <c r="N217" s="3"/>
      <c r="O217" s="3"/>
      <c r="P217" s="8"/>
      <c r="Q217" s="8"/>
      <c r="R217" s="3"/>
      <c r="S217" s="3"/>
      <c r="T217" s="3"/>
      <c r="U217" s="5" t="str">
        <f t="shared" si="11"/>
        <v/>
      </c>
    </row>
    <row r="218" spans="1:21" ht="28" customHeight="1" x14ac:dyDescent="0.35">
      <c r="A218" s="4">
        <v>6</v>
      </c>
      <c r="B218" s="4" t="s">
        <v>70</v>
      </c>
      <c r="C218" s="4" t="s">
        <v>71</v>
      </c>
      <c r="D218" s="4" t="s">
        <v>72</v>
      </c>
      <c r="E218" s="4" t="s">
        <v>70</v>
      </c>
      <c r="F218" s="4" t="s">
        <v>57</v>
      </c>
      <c r="G218" s="4" t="s">
        <v>58</v>
      </c>
      <c r="H218" s="4" t="s">
        <v>59</v>
      </c>
      <c r="I218" s="3"/>
      <c r="J218" s="3"/>
      <c r="K218" s="3"/>
      <c r="L218" s="3"/>
      <c r="M218" s="3"/>
      <c r="N218" s="3"/>
      <c r="O218" s="3"/>
      <c r="P218" s="8"/>
      <c r="Q218" s="8"/>
      <c r="R218" s="3"/>
      <c r="S218" s="3"/>
      <c r="T218" s="3"/>
      <c r="U218" s="5" t="str">
        <f t="shared" si="11"/>
        <v/>
      </c>
    </row>
    <row r="219" spans="1:21" ht="28" customHeight="1" x14ac:dyDescent="0.35">
      <c r="A219" s="4">
        <v>7</v>
      </c>
      <c r="B219" s="4" t="s">
        <v>73</v>
      </c>
      <c r="C219" s="4" t="s">
        <v>74</v>
      </c>
      <c r="D219" s="4" t="s">
        <v>75</v>
      </c>
      <c r="E219" s="4" t="s">
        <v>69</v>
      </c>
      <c r="F219" s="4" t="s">
        <v>57</v>
      </c>
      <c r="G219" s="4" t="s">
        <v>58</v>
      </c>
      <c r="H219" s="4" t="s">
        <v>76</v>
      </c>
      <c r="I219" s="3"/>
      <c r="J219" s="3"/>
      <c r="K219" s="3"/>
      <c r="L219" s="3"/>
      <c r="M219" s="3"/>
      <c r="N219" s="3"/>
      <c r="O219" s="3"/>
      <c r="P219" s="8"/>
      <c r="Q219" s="8"/>
      <c r="R219" s="3"/>
      <c r="S219" s="3"/>
      <c r="T219" s="3"/>
      <c r="U219" s="5" t="str">
        <f t="shared" si="11"/>
        <v/>
      </c>
    </row>
    <row r="220" spans="1:21" ht="28" customHeight="1" x14ac:dyDescent="0.35">
      <c r="A220" s="4">
        <v>8</v>
      </c>
      <c r="B220" s="4" t="s">
        <v>77</v>
      </c>
      <c r="C220" s="4" t="s">
        <v>78</v>
      </c>
      <c r="D220" s="4" t="s">
        <v>79</v>
      </c>
      <c r="E220" s="4" t="s">
        <v>80</v>
      </c>
      <c r="F220" s="4" t="s">
        <v>57</v>
      </c>
      <c r="G220" s="4" t="s">
        <v>58</v>
      </c>
      <c r="H220" s="4" t="s">
        <v>59</v>
      </c>
      <c r="I220" s="3"/>
      <c r="J220" s="3"/>
      <c r="K220" s="3"/>
      <c r="L220" s="3"/>
      <c r="M220" s="3"/>
      <c r="N220" s="3"/>
      <c r="O220" s="3"/>
      <c r="P220" s="8"/>
      <c r="Q220" s="8"/>
      <c r="R220" s="3"/>
      <c r="S220" s="3"/>
      <c r="T220" s="3"/>
      <c r="U220" s="5" t="str">
        <f t="shared" si="11"/>
        <v/>
      </c>
    </row>
    <row r="221" spans="1:21" ht="28" customHeight="1" x14ac:dyDescent="0.35">
      <c r="A221" s="4">
        <v>9</v>
      </c>
      <c r="B221" s="4" t="s">
        <v>81</v>
      </c>
      <c r="C221" s="4" t="s">
        <v>82</v>
      </c>
      <c r="D221" s="4" t="s">
        <v>83</v>
      </c>
      <c r="E221" s="4" t="s">
        <v>84</v>
      </c>
      <c r="F221" s="4" t="s">
        <v>57</v>
      </c>
      <c r="G221" s="4" t="s">
        <v>58</v>
      </c>
      <c r="H221" s="4" t="s">
        <v>85</v>
      </c>
      <c r="I221" s="3"/>
      <c r="J221" s="3"/>
      <c r="K221" s="3"/>
      <c r="L221" s="3"/>
      <c r="M221" s="3"/>
      <c r="N221" s="3"/>
      <c r="O221" s="3"/>
      <c r="P221" s="8"/>
      <c r="Q221" s="8"/>
      <c r="R221" s="3"/>
      <c r="S221" s="3"/>
      <c r="T221" s="3"/>
      <c r="U221" s="5" t="str">
        <f t="shared" si="11"/>
        <v/>
      </c>
    </row>
    <row r="222" spans="1:21" ht="28" customHeight="1" x14ac:dyDescent="0.35">
      <c r="A222" s="4">
        <v>10</v>
      </c>
      <c r="B222" s="4" t="s">
        <v>86</v>
      </c>
      <c r="C222" s="4" t="s">
        <v>87</v>
      </c>
      <c r="D222" s="4" t="s">
        <v>88</v>
      </c>
      <c r="E222" s="4" t="s">
        <v>69</v>
      </c>
      <c r="F222" s="4" t="s">
        <v>57</v>
      </c>
      <c r="G222" s="4" t="s">
        <v>58</v>
      </c>
      <c r="H222" s="4" t="s">
        <v>59</v>
      </c>
      <c r="I222" s="3"/>
      <c r="J222" s="3"/>
      <c r="K222" s="3"/>
      <c r="L222" s="3"/>
      <c r="M222" s="3"/>
      <c r="N222" s="3"/>
      <c r="O222" s="3"/>
      <c r="P222" s="8"/>
      <c r="Q222" s="8"/>
      <c r="R222" s="3"/>
      <c r="S222" s="3"/>
      <c r="T222" s="3"/>
      <c r="U222" s="5" t="str">
        <f t="shared" si="11"/>
        <v/>
      </c>
    </row>
    <row r="223" spans="1:21" ht="28" customHeight="1" x14ac:dyDescent="0.35">
      <c r="A223" s="4">
        <v>11</v>
      </c>
      <c r="B223" s="4" t="s">
        <v>89</v>
      </c>
      <c r="C223" s="4" t="s">
        <v>90</v>
      </c>
      <c r="D223" s="4" t="s">
        <v>91</v>
      </c>
      <c r="E223" s="4" t="s">
        <v>84</v>
      </c>
      <c r="F223" s="4" t="s">
        <v>57</v>
      </c>
      <c r="G223" s="4" t="s">
        <v>58</v>
      </c>
      <c r="H223" s="4" t="s">
        <v>59</v>
      </c>
      <c r="I223" s="3"/>
      <c r="J223" s="3"/>
      <c r="K223" s="3"/>
      <c r="L223" s="3"/>
      <c r="M223" s="3"/>
      <c r="N223" s="3"/>
      <c r="O223" s="3"/>
      <c r="P223" s="8"/>
      <c r="Q223" s="8"/>
      <c r="R223" s="3"/>
      <c r="S223" s="3"/>
      <c r="T223" s="3"/>
      <c r="U223" s="5" t="str">
        <f t="shared" si="11"/>
        <v/>
      </c>
    </row>
    <row r="224" spans="1:21" ht="28" customHeight="1" x14ac:dyDescent="0.35">
      <c r="A224" s="4">
        <v>12</v>
      </c>
      <c r="B224" s="4" t="s">
        <v>92</v>
      </c>
      <c r="C224" s="4" t="s">
        <v>93</v>
      </c>
      <c r="D224" s="4" t="s">
        <v>94</v>
      </c>
      <c r="E224" s="4" t="s">
        <v>69</v>
      </c>
      <c r="F224" s="4" t="s">
        <v>95</v>
      </c>
      <c r="G224" s="4" t="s">
        <v>96</v>
      </c>
      <c r="H224" s="4" t="s">
        <v>59</v>
      </c>
      <c r="I224" s="3"/>
      <c r="J224" s="3"/>
      <c r="K224" s="3"/>
      <c r="L224" s="3"/>
      <c r="M224" s="3"/>
      <c r="N224" s="3"/>
      <c r="O224" s="3"/>
      <c r="P224" s="8"/>
      <c r="Q224" s="8"/>
      <c r="R224" s="3"/>
      <c r="S224" s="3"/>
      <c r="T224" s="3"/>
      <c r="U224" s="5" t="str">
        <f t="shared" si="11"/>
        <v/>
      </c>
    </row>
    <row r="225" spans="1:21" ht="28" customHeight="1" x14ac:dyDescent="0.35">
      <c r="A225" s="4">
        <v>13</v>
      </c>
      <c r="B225" s="4" t="s">
        <v>97</v>
      </c>
      <c r="C225" s="4" t="s">
        <v>98</v>
      </c>
      <c r="D225" s="4" t="s">
        <v>99</v>
      </c>
      <c r="E225" s="4" t="s">
        <v>69</v>
      </c>
      <c r="F225" s="4" t="s">
        <v>95</v>
      </c>
      <c r="G225" s="4" t="s">
        <v>96</v>
      </c>
      <c r="H225" s="4" t="s">
        <v>59</v>
      </c>
      <c r="I225" s="3"/>
      <c r="J225" s="3"/>
      <c r="K225" s="3"/>
      <c r="L225" s="3"/>
      <c r="M225" s="3"/>
      <c r="N225" s="3"/>
      <c r="O225" s="3"/>
      <c r="P225" s="8"/>
      <c r="Q225" s="8"/>
      <c r="R225" s="3"/>
      <c r="S225" s="3"/>
      <c r="T225" s="3"/>
      <c r="U225" s="5" t="str">
        <f t="shared" si="11"/>
        <v/>
      </c>
    </row>
    <row r="226" spans="1:21" ht="28" customHeight="1" x14ac:dyDescent="0.35">
      <c r="A226" s="4">
        <v>14</v>
      </c>
      <c r="B226" s="4" t="s">
        <v>97</v>
      </c>
      <c r="C226" s="4" t="s">
        <v>100</v>
      </c>
      <c r="D226" s="4" t="s">
        <v>101</v>
      </c>
      <c r="E226" s="4" t="s">
        <v>69</v>
      </c>
      <c r="F226" s="4" t="s">
        <v>95</v>
      </c>
      <c r="G226" s="4" t="s">
        <v>102</v>
      </c>
      <c r="H226" s="4" t="s">
        <v>59</v>
      </c>
      <c r="I226" s="3"/>
      <c r="J226" s="3"/>
      <c r="K226" s="3"/>
      <c r="L226" s="3"/>
      <c r="M226" s="3"/>
      <c r="N226" s="3"/>
      <c r="O226" s="3"/>
      <c r="P226" s="8"/>
      <c r="Q226" s="8"/>
      <c r="R226" s="3"/>
      <c r="S226" s="3"/>
      <c r="T226" s="3"/>
      <c r="U226" s="5" t="str">
        <f t="shared" si="11"/>
        <v/>
      </c>
    </row>
    <row r="227" spans="1:21" ht="28" customHeight="1" x14ac:dyDescent="0.35">
      <c r="A227" s="4">
        <v>15</v>
      </c>
      <c r="B227" s="4" t="s">
        <v>103</v>
      </c>
      <c r="C227" s="4" t="s">
        <v>104</v>
      </c>
      <c r="D227" s="4" t="s">
        <v>105</v>
      </c>
      <c r="E227" s="4" t="s">
        <v>69</v>
      </c>
      <c r="F227" s="4" t="s">
        <v>95</v>
      </c>
      <c r="G227" s="4" t="s">
        <v>96</v>
      </c>
      <c r="H227" s="4" t="s">
        <v>85</v>
      </c>
      <c r="I227" s="3"/>
      <c r="J227" s="3"/>
      <c r="K227" s="3"/>
      <c r="L227" s="3"/>
      <c r="M227" s="3"/>
      <c r="N227" s="3"/>
      <c r="O227" s="3"/>
      <c r="P227" s="8"/>
      <c r="Q227" s="8"/>
      <c r="R227" s="3"/>
      <c r="S227" s="3"/>
      <c r="T227" s="3"/>
      <c r="U227" s="5" t="str">
        <f t="shared" si="11"/>
        <v/>
      </c>
    </row>
    <row r="228" spans="1:21" ht="28" customHeight="1" x14ac:dyDescent="0.35">
      <c r="A228" s="4">
        <v>16</v>
      </c>
      <c r="B228" s="4" t="s">
        <v>106</v>
      </c>
      <c r="C228" s="4" t="s">
        <v>107</v>
      </c>
      <c r="D228" s="4" t="s">
        <v>108</v>
      </c>
      <c r="E228" s="4" t="s">
        <v>109</v>
      </c>
      <c r="F228" s="4" t="s">
        <v>95</v>
      </c>
      <c r="G228" s="4" t="s">
        <v>96</v>
      </c>
      <c r="H228" s="4" t="s">
        <v>59</v>
      </c>
      <c r="I228" s="3"/>
      <c r="J228" s="3"/>
      <c r="K228" s="3"/>
      <c r="L228" s="3"/>
      <c r="M228" s="3"/>
      <c r="N228" s="3"/>
      <c r="O228" s="3"/>
      <c r="P228" s="8"/>
      <c r="Q228" s="8"/>
      <c r="R228" s="3"/>
      <c r="S228" s="3"/>
      <c r="T228" s="3"/>
      <c r="U228" s="5" t="str">
        <f t="shared" si="11"/>
        <v/>
      </c>
    </row>
    <row r="230" spans="1:21" ht="28" customHeight="1" x14ac:dyDescent="0.35">
      <c r="A230" s="9" t="s">
        <v>110</v>
      </c>
      <c r="B230" s="16"/>
      <c r="C230" s="17"/>
      <c r="D230" s="17"/>
      <c r="E230" s="17"/>
      <c r="F230" s="17"/>
      <c r="G230" s="17"/>
      <c r="H230" s="17"/>
      <c r="I230" s="17"/>
      <c r="J230" s="17"/>
      <c r="K230" s="17"/>
      <c r="L230" s="17"/>
      <c r="M230" s="17"/>
      <c r="N230" s="17"/>
      <c r="O230" s="17"/>
      <c r="P230" s="17"/>
      <c r="Q230" s="17"/>
      <c r="R230" s="17"/>
      <c r="S230" s="17"/>
      <c r="T230" s="17"/>
      <c r="U230" s="18"/>
    </row>
    <row r="231" spans="1:21" ht="28" customHeight="1" x14ac:dyDescent="0.35">
      <c r="A231" s="19" t="s">
        <v>554</v>
      </c>
      <c r="B231" s="20"/>
      <c r="C231" s="20"/>
      <c r="D231" s="20"/>
      <c r="E231" s="20"/>
      <c r="F231" s="20"/>
      <c r="G231" s="20"/>
      <c r="H231" s="20"/>
      <c r="I231" s="20"/>
      <c r="J231" s="20"/>
      <c r="K231" s="20"/>
      <c r="L231" s="20"/>
      <c r="M231" s="20"/>
      <c r="N231" s="20"/>
      <c r="O231" s="20"/>
      <c r="P231" s="20"/>
      <c r="Q231" s="20"/>
      <c r="R231" s="20"/>
      <c r="S231" s="20"/>
      <c r="T231" s="20"/>
      <c r="U231" s="21"/>
    </row>
    <row r="232" spans="1:21" ht="28" customHeight="1" x14ac:dyDescent="0.35">
      <c r="A232" s="4" t="s">
        <v>31</v>
      </c>
      <c r="B232" s="3" t="s">
        <v>28</v>
      </c>
      <c r="C232" s="4" t="s">
        <v>32</v>
      </c>
      <c r="D232" s="3"/>
      <c r="E232" s="4" t="s">
        <v>33</v>
      </c>
      <c r="F232" s="8"/>
    </row>
    <row r="233" spans="1:21" ht="28" customHeight="1" x14ac:dyDescent="0.35">
      <c r="A233" s="1" t="s">
        <v>34</v>
      </c>
      <c r="B233" s="1" t="s">
        <v>35</v>
      </c>
      <c r="C233" s="1" t="s">
        <v>36</v>
      </c>
      <c r="D233" s="1" t="s">
        <v>37</v>
      </c>
      <c r="E233" s="1" t="s">
        <v>38</v>
      </c>
      <c r="F233" s="1" t="s">
        <v>39</v>
      </c>
      <c r="G233" s="1" t="s">
        <v>40</v>
      </c>
      <c r="H233" s="1" t="s">
        <v>41</v>
      </c>
      <c r="I233" s="1" t="s">
        <v>42</v>
      </c>
      <c r="J233" s="1" t="s">
        <v>43</v>
      </c>
      <c r="K233" s="1" t="s">
        <v>44</v>
      </c>
      <c r="L233" s="1" t="s">
        <v>45</v>
      </c>
      <c r="M233" s="1" t="s">
        <v>46</v>
      </c>
      <c r="N233" s="1" t="s">
        <v>47</v>
      </c>
      <c r="O233" s="1" t="s">
        <v>48</v>
      </c>
      <c r="P233" s="1" t="s">
        <v>4</v>
      </c>
      <c r="Q233" s="1" t="s">
        <v>49</v>
      </c>
      <c r="R233" s="1" t="s">
        <v>50</v>
      </c>
      <c r="S233" s="1" t="s">
        <v>51</v>
      </c>
      <c r="T233" s="1" t="s">
        <v>52</v>
      </c>
      <c r="U233" s="1" t="s">
        <v>10</v>
      </c>
    </row>
    <row r="234" spans="1:21" ht="28" customHeight="1" x14ac:dyDescent="0.35">
      <c r="A234" s="4">
        <v>1</v>
      </c>
      <c r="B234" s="4" t="s">
        <v>53</v>
      </c>
      <c r="C234" s="4" t="s">
        <v>537</v>
      </c>
      <c r="D234" s="4" t="s">
        <v>538</v>
      </c>
      <c r="E234" s="4" t="s">
        <v>56</v>
      </c>
      <c r="F234" s="4" t="s">
        <v>57</v>
      </c>
      <c r="G234" s="4" t="s">
        <v>58</v>
      </c>
      <c r="H234" s="4" t="s">
        <v>59</v>
      </c>
      <c r="I234" s="3"/>
      <c r="J234" s="3"/>
      <c r="K234" s="3"/>
      <c r="L234" s="3"/>
      <c r="M234" s="3"/>
      <c r="N234" s="3"/>
      <c r="O234" s="3"/>
      <c r="P234" s="8"/>
      <c r="Q234" s="8"/>
      <c r="R234" s="3"/>
      <c r="S234" s="3"/>
      <c r="T234" s="3"/>
      <c r="U234" s="5" t="str">
        <f t="shared" ref="U234:U249" si="12">IF(I234="","",IF(I234="NA","Grey",IF(I234=2,"Green",IF(I234=1,"Amber","Red"))))</f>
        <v/>
      </c>
    </row>
    <row r="235" spans="1:21" ht="28" customHeight="1" x14ac:dyDescent="0.35">
      <c r="A235" s="4">
        <v>2</v>
      </c>
      <c r="B235" s="4" t="s">
        <v>53</v>
      </c>
      <c r="C235" s="4" t="s">
        <v>539</v>
      </c>
      <c r="D235" s="4" t="s">
        <v>540</v>
      </c>
      <c r="E235" s="4" t="s">
        <v>56</v>
      </c>
      <c r="F235" s="4" t="s">
        <v>57</v>
      </c>
      <c r="G235" s="4" t="s">
        <v>58</v>
      </c>
      <c r="H235" s="4" t="s">
        <v>59</v>
      </c>
      <c r="I235" s="3"/>
      <c r="J235" s="3"/>
      <c r="K235" s="3"/>
      <c r="L235" s="3"/>
      <c r="M235" s="3"/>
      <c r="N235" s="3"/>
      <c r="O235" s="3"/>
      <c r="P235" s="8"/>
      <c r="Q235" s="8"/>
      <c r="R235" s="3"/>
      <c r="S235" s="3"/>
      <c r="T235" s="3"/>
      <c r="U235" s="5" t="str">
        <f t="shared" si="12"/>
        <v/>
      </c>
    </row>
    <row r="236" spans="1:21" ht="28" customHeight="1" x14ac:dyDescent="0.35">
      <c r="A236" s="4">
        <v>3</v>
      </c>
      <c r="B236" s="4" t="s">
        <v>53</v>
      </c>
      <c r="C236" s="4" t="s">
        <v>541</v>
      </c>
      <c r="D236" s="4" t="s">
        <v>542</v>
      </c>
      <c r="E236" s="4" t="s">
        <v>56</v>
      </c>
      <c r="F236" s="4" t="s">
        <v>57</v>
      </c>
      <c r="G236" s="4" t="s">
        <v>58</v>
      </c>
      <c r="H236" s="4" t="s">
        <v>59</v>
      </c>
      <c r="I236" s="3"/>
      <c r="J236" s="3"/>
      <c r="K236" s="3"/>
      <c r="L236" s="3"/>
      <c r="M236" s="3"/>
      <c r="N236" s="3"/>
      <c r="O236" s="3"/>
      <c r="P236" s="8"/>
      <c r="Q236" s="8"/>
      <c r="R236" s="3"/>
      <c r="S236" s="3"/>
      <c r="T236" s="3"/>
      <c r="U236" s="5" t="str">
        <f t="shared" si="12"/>
        <v/>
      </c>
    </row>
    <row r="237" spans="1:21" ht="28" customHeight="1" x14ac:dyDescent="0.35">
      <c r="A237" s="4">
        <v>4</v>
      </c>
      <c r="B237" s="4" t="s">
        <v>53</v>
      </c>
      <c r="C237" s="4" t="s">
        <v>543</v>
      </c>
      <c r="D237" s="4" t="s">
        <v>544</v>
      </c>
      <c r="E237" s="4" t="s">
        <v>56</v>
      </c>
      <c r="F237" s="4" t="s">
        <v>57</v>
      </c>
      <c r="G237" s="4" t="s">
        <v>58</v>
      </c>
      <c r="H237" s="4" t="s">
        <v>59</v>
      </c>
      <c r="I237" s="3"/>
      <c r="J237" s="3"/>
      <c r="K237" s="3"/>
      <c r="L237" s="3"/>
      <c r="M237" s="3"/>
      <c r="N237" s="3"/>
      <c r="O237" s="3"/>
      <c r="P237" s="8"/>
      <c r="Q237" s="8"/>
      <c r="R237" s="3"/>
      <c r="S237" s="3"/>
      <c r="T237" s="3"/>
      <c r="U237" s="5" t="str">
        <f t="shared" si="12"/>
        <v/>
      </c>
    </row>
    <row r="238" spans="1:21" ht="28" customHeight="1" x14ac:dyDescent="0.35">
      <c r="A238" s="4">
        <v>5</v>
      </c>
      <c r="B238" s="4" t="s">
        <v>66</v>
      </c>
      <c r="C238" s="4" t="s">
        <v>67</v>
      </c>
      <c r="D238" s="4" t="s">
        <v>68</v>
      </c>
      <c r="E238" s="4" t="s">
        <v>69</v>
      </c>
      <c r="F238" s="4" t="s">
        <v>57</v>
      </c>
      <c r="G238" s="4" t="s">
        <v>58</v>
      </c>
      <c r="H238" s="4" t="s">
        <v>59</v>
      </c>
      <c r="I238" s="3"/>
      <c r="J238" s="3"/>
      <c r="K238" s="3"/>
      <c r="L238" s="3"/>
      <c r="M238" s="3"/>
      <c r="N238" s="3"/>
      <c r="O238" s="3"/>
      <c r="P238" s="8"/>
      <c r="Q238" s="8"/>
      <c r="R238" s="3"/>
      <c r="S238" s="3"/>
      <c r="T238" s="3"/>
      <c r="U238" s="5" t="str">
        <f t="shared" si="12"/>
        <v/>
      </c>
    </row>
    <row r="239" spans="1:21" ht="28" customHeight="1" x14ac:dyDescent="0.35">
      <c r="A239" s="4">
        <v>6</v>
      </c>
      <c r="B239" s="4" t="s">
        <v>70</v>
      </c>
      <c r="C239" s="4" t="s">
        <v>71</v>
      </c>
      <c r="D239" s="4" t="s">
        <v>72</v>
      </c>
      <c r="E239" s="4" t="s">
        <v>70</v>
      </c>
      <c r="F239" s="4" t="s">
        <v>57</v>
      </c>
      <c r="G239" s="4" t="s">
        <v>58</v>
      </c>
      <c r="H239" s="4" t="s">
        <v>59</v>
      </c>
      <c r="I239" s="3"/>
      <c r="J239" s="3"/>
      <c r="K239" s="3"/>
      <c r="L239" s="3"/>
      <c r="M239" s="3"/>
      <c r="N239" s="3"/>
      <c r="O239" s="3"/>
      <c r="P239" s="8"/>
      <c r="Q239" s="8"/>
      <c r="R239" s="3"/>
      <c r="S239" s="3"/>
      <c r="T239" s="3"/>
      <c r="U239" s="5" t="str">
        <f t="shared" si="12"/>
        <v/>
      </c>
    </row>
    <row r="240" spans="1:21" ht="28" customHeight="1" x14ac:dyDescent="0.35">
      <c r="A240" s="4">
        <v>7</v>
      </c>
      <c r="B240" s="4" t="s">
        <v>73</v>
      </c>
      <c r="C240" s="4" t="s">
        <v>74</v>
      </c>
      <c r="D240" s="4" t="s">
        <v>75</v>
      </c>
      <c r="E240" s="4" t="s">
        <v>69</v>
      </c>
      <c r="F240" s="4" t="s">
        <v>57</v>
      </c>
      <c r="G240" s="4" t="s">
        <v>58</v>
      </c>
      <c r="H240" s="4" t="s">
        <v>76</v>
      </c>
      <c r="I240" s="3"/>
      <c r="J240" s="3"/>
      <c r="K240" s="3"/>
      <c r="L240" s="3"/>
      <c r="M240" s="3"/>
      <c r="N240" s="3"/>
      <c r="O240" s="3"/>
      <c r="P240" s="8"/>
      <c r="Q240" s="8"/>
      <c r="R240" s="3"/>
      <c r="S240" s="3"/>
      <c r="T240" s="3"/>
      <c r="U240" s="5" t="str">
        <f t="shared" si="12"/>
        <v/>
      </c>
    </row>
    <row r="241" spans="1:21" ht="28" customHeight="1" x14ac:dyDescent="0.35">
      <c r="A241" s="4">
        <v>8</v>
      </c>
      <c r="B241" s="4" t="s">
        <v>77</v>
      </c>
      <c r="C241" s="4" t="s">
        <v>78</v>
      </c>
      <c r="D241" s="4" t="s">
        <v>79</v>
      </c>
      <c r="E241" s="4" t="s">
        <v>80</v>
      </c>
      <c r="F241" s="4" t="s">
        <v>57</v>
      </c>
      <c r="G241" s="4" t="s">
        <v>58</v>
      </c>
      <c r="H241" s="4" t="s">
        <v>59</v>
      </c>
      <c r="I241" s="3"/>
      <c r="J241" s="3"/>
      <c r="K241" s="3"/>
      <c r="L241" s="3"/>
      <c r="M241" s="3"/>
      <c r="N241" s="3"/>
      <c r="O241" s="3"/>
      <c r="P241" s="8"/>
      <c r="Q241" s="8"/>
      <c r="R241" s="3"/>
      <c r="S241" s="3"/>
      <c r="T241" s="3"/>
      <c r="U241" s="5" t="str">
        <f t="shared" si="12"/>
        <v/>
      </c>
    </row>
    <row r="242" spans="1:21" ht="28" customHeight="1" x14ac:dyDescent="0.35">
      <c r="A242" s="4">
        <v>9</v>
      </c>
      <c r="B242" s="4" t="s">
        <v>81</v>
      </c>
      <c r="C242" s="4" t="s">
        <v>82</v>
      </c>
      <c r="D242" s="4" t="s">
        <v>83</v>
      </c>
      <c r="E242" s="4" t="s">
        <v>84</v>
      </c>
      <c r="F242" s="4" t="s">
        <v>57</v>
      </c>
      <c r="G242" s="4" t="s">
        <v>58</v>
      </c>
      <c r="H242" s="4" t="s">
        <v>85</v>
      </c>
      <c r="I242" s="3"/>
      <c r="J242" s="3"/>
      <c r="K242" s="3"/>
      <c r="L242" s="3"/>
      <c r="M242" s="3"/>
      <c r="N242" s="3"/>
      <c r="O242" s="3"/>
      <c r="P242" s="8"/>
      <c r="Q242" s="8"/>
      <c r="R242" s="3"/>
      <c r="S242" s="3"/>
      <c r="T242" s="3"/>
      <c r="U242" s="5" t="str">
        <f t="shared" si="12"/>
        <v/>
      </c>
    </row>
    <row r="243" spans="1:21" ht="28" customHeight="1" x14ac:dyDescent="0.35">
      <c r="A243" s="4">
        <v>10</v>
      </c>
      <c r="B243" s="4" t="s">
        <v>86</v>
      </c>
      <c r="C243" s="4" t="s">
        <v>87</v>
      </c>
      <c r="D243" s="4" t="s">
        <v>88</v>
      </c>
      <c r="E243" s="4" t="s">
        <v>69</v>
      </c>
      <c r="F243" s="4" t="s">
        <v>57</v>
      </c>
      <c r="G243" s="4" t="s">
        <v>58</v>
      </c>
      <c r="H243" s="4" t="s">
        <v>59</v>
      </c>
      <c r="I243" s="3"/>
      <c r="J243" s="3"/>
      <c r="K243" s="3"/>
      <c r="L243" s="3"/>
      <c r="M243" s="3"/>
      <c r="N243" s="3"/>
      <c r="O243" s="3"/>
      <c r="P243" s="8"/>
      <c r="Q243" s="8"/>
      <c r="R243" s="3"/>
      <c r="S243" s="3"/>
      <c r="T243" s="3"/>
      <c r="U243" s="5" t="str">
        <f t="shared" si="12"/>
        <v/>
      </c>
    </row>
    <row r="244" spans="1:21" ht="28" customHeight="1" x14ac:dyDescent="0.35">
      <c r="A244" s="4">
        <v>11</v>
      </c>
      <c r="B244" s="4" t="s">
        <v>89</v>
      </c>
      <c r="C244" s="4" t="s">
        <v>90</v>
      </c>
      <c r="D244" s="4" t="s">
        <v>91</v>
      </c>
      <c r="E244" s="4" t="s">
        <v>84</v>
      </c>
      <c r="F244" s="4" t="s">
        <v>57</v>
      </c>
      <c r="G244" s="4" t="s">
        <v>58</v>
      </c>
      <c r="H244" s="4" t="s">
        <v>59</v>
      </c>
      <c r="I244" s="3"/>
      <c r="J244" s="3"/>
      <c r="K244" s="3"/>
      <c r="L244" s="3"/>
      <c r="M244" s="3"/>
      <c r="N244" s="3"/>
      <c r="O244" s="3"/>
      <c r="P244" s="8"/>
      <c r="Q244" s="8"/>
      <c r="R244" s="3"/>
      <c r="S244" s="3"/>
      <c r="T244" s="3"/>
      <c r="U244" s="5" t="str">
        <f t="shared" si="12"/>
        <v/>
      </c>
    </row>
    <row r="245" spans="1:21" ht="28" customHeight="1" x14ac:dyDescent="0.35">
      <c r="A245" s="4">
        <v>12</v>
      </c>
      <c r="B245" s="4" t="s">
        <v>92</v>
      </c>
      <c r="C245" s="4" t="s">
        <v>93</v>
      </c>
      <c r="D245" s="4" t="s">
        <v>94</v>
      </c>
      <c r="E245" s="4" t="s">
        <v>69</v>
      </c>
      <c r="F245" s="4" t="s">
        <v>95</v>
      </c>
      <c r="G245" s="4" t="s">
        <v>96</v>
      </c>
      <c r="H245" s="4" t="s">
        <v>59</v>
      </c>
      <c r="I245" s="3"/>
      <c r="J245" s="3"/>
      <c r="K245" s="3"/>
      <c r="L245" s="3"/>
      <c r="M245" s="3"/>
      <c r="N245" s="3"/>
      <c r="O245" s="3"/>
      <c r="P245" s="8"/>
      <c r="Q245" s="8"/>
      <c r="R245" s="3"/>
      <c r="S245" s="3"/>
      <c r="T245" s="3"/>
      <c r="U245" s="5" t="str">
        <f t="shared" si="12"/>
        <v/>
      </c>
    </row>
    <row r="246" spans="1:21" ht="28" customHeight="1" x14ac:dyDescent="0.35">
      <c r="A246" s="4">
        <v>13</v>
      </c>
      <c r="B246" s="4" t="s">
        <v>97</v>
      </c>
      <c r="C246" s="4" t="s">
        <v>98</v>
      </c>
      <c r="D246" s="4" t="s">
        <v>99</v>
      </c>
      <c r="E246" s="4" t="s">
        <v>69</v>
      </c>
      <c r="F246" s="4" t="s">
        <v>95</v>
      </c>
      <c r="G246" s="4" t="s">
        <v>96</v>
      </c>
      <c r="H246" s="4" t="s">
        <v>59</v>
      </c>
      <c r="I246" s="3"/>
      <c r="J246" s="3"/>
      <c r="K246" s="3"/>
      <c r="L246" s="3"/>
      <c r="M246" s="3"/>
      <c r="N246" s="3"/>
      <c r="O246" s="3"/>
      <c r="P246" s="8"/>
      <c r="Q246" s="8"/>
      <c r="R246" s="3"/>
      <c r="S246" s="3"/>
      <c r="T246" s="3"/>
      <c r="U246" s="5" t="str">
        <f t="shared" si="12"/>
        <v/>
      </c>
    </row>
    <row r="247" spans="1:21" ht="28" customHeight="1" x14ac:dyDescent="0.35">
      <c r="A247" s="4">
        <v>14</v>
      </c>
      <c r="B247" s="4" t="s">
        <v>97</v>
      </c>
      <c r="C247" s="4" t="s">
        <v>100</v>
      </c>
      <c r="D247" s="4" t="s">
        <v>101</v>
      </c>
      <c r="E247" s="4" t="s">
        <v>69</v>
      </c>
      <c r="F247" s="4" t="s">
        <v>95</v>
      </c>
      <c r="G247" s="4" t="s">
        <v>102</v>
      </c>
      <c r="H247" s="4" t="s">
        <v>59</v>
      </c>
      <c r="I247" s="3"/>
      <c r="J247" s="3"/>
      <c r="K247" s="3"/>
      <c r="L247" s="3"/>
      <c r="M247" s="3"/>
      <c r="N247" s="3"/>
      <c r="O247" s="3"/>
      <c r="P247" s="8"/>
      <c r="Q247" s="8"/>
      <c r="R247" s="3"/>
      <c r="S247" s="3"/>
      <c r="T247" s="3"/>
      <c r="U247" s="5" t="str">
        <f t="shared" si="12"/>
        <v/>
      </c>
    </row>
    <row r="248" spans="1:21" ht="28" customHeight="1" x14ac:dyDescent="0.35">
      <c r="A248" s="4">
        <v>15</v>
      </c>
      <c r="B248" s="4" t="s">
        <v>103</v>
      </c>
      <c r="C248" s="4" t="s">
        <v>104</v>
      </c>
      <c r="D248" s="4" t="s">
        <v>105</v>
      </c>
      <c r="E248" s="4" t="s">
        <v>69</v>
      </c>
      <c r="F248" s="4" t="s">
        <v>95</v>
      </c>
      <c r="G248" s="4" t="s">
        <v>96</v>
      </c>
      <c r="H248" s="4" t="s">
        <v>85</v>
      </c>
      <c r="I248" s="3"/>
      <c r="J248" s="3"/>
      <c r="K248" s="3"/>
      <c r="L248" s="3"/>
      <c r="M248" s="3"/>
      <c r="N248" s="3"/>
      <c r="O248" s="3"/>
      <c r="P248" s="8"/>
      <c r="Q248" s="8"/>
      <c r="R248" s="3"/>
      <c r="S248" s="3"/>
      <c r="T248" s="3"/>
      <c r="U248" s="5" t="str">
        <f t="shared" si="12"/>
        <v/>
      </c>
    </row>
    <row r="249" spans="1:21" ht="28" customHeight="1" x14ac:dyDescent="0.35">
      <c r="A249" s="4">
        <v>16</v>
      </c>
      <c r="B249" s="4" t="s">
        <v>106</v>
      </c>
      <c r="C249" s="4" t="s">
        <v>107</v>
      </c>
      <c r="D249" s="4" t="s">
        <v>108</v>
      </c>
      <c r="E249" s="4" t="s">
        <v>109</v>
      </c>
      <c r="F249" s="4" t="s">
        <v>95</v>
      </c>
      <c r="G249" s="4" t="s">
        <v>96</v>
      </c>
      <c r="H249" s="4" t="s">
        <v>59</v>
      </c>
      <c r="I249" s="3"/>
      <c r="J249" s="3"/>
      <c r="K249" s="3"/>
      <c r="L249" s="3"/>
      <c r="M249" s="3"/>
      <c r="N249" s="3"/>
      <c r="O249" s="3"/>
      <c r="P249" s="8"/>
      <c r="Q249" s="8"/>
      <c r="R249" s="3"/>
      <c r="S249" s="3"/>
      <c r="T249" s="3"/>
      <c r="U249" s="5" t="str">
        <f t="shared" si="12"/>
        <v/>
      </c>
    </row>
    <row r="251" spans="1:21" ht="28" customHeight="1" x14ac:dyDescent="0.35">
      <c r="A251" s="9" t="s">
        <v>110</v>
      </c>
      <c r="B251" s="16"/>
      <c r="C251" s="17"/>
      <c r="D251" s="17"/>
      <c r="E251" s="17"/>
      <c r="F251" s="17"/>
      <c r="G251" s="17"/>
      <c r="H251" s="17"/>
      <c r="I251" s="17"/>
      <c r="J251" s="17"/>
      <c r="K251" s="17"/>
      <c r="L251" s="17"/>
      <c r="M251" s="17"/>
      <c r="N251" s="17"/>
      <c r="O251" s="17"/>
      <c r="P251" s="17"/>
      <c r="Q251" s="17"/>
      <c r="R251" s="17"/>
      <c r="S251" s="17"/>
      <c r="T251" s="17"/>
      <c r="U251" s="18"/>
    </row>
    <row r="252" spans="1:21" ht="28" customHeight="1" x14ac:dyDescent="0.35">
      <c r="A252" s="19" t="s">
        <v>555</v>
      </c>
      <c r="B252" s="20"/>
      <c r="C252" s="20"/>
      <c r="D252" s="20"/>
      <c r="E252" s="20"/>
      <c r="F252" s="20"/>
      <c r="G252" s="20"/>
      <c r="H252" s="20"/>
      <c r="I252" s="20"/>
      <c r="J252" s="20"/>
      <c r="K252" s="20"/>
      <c r="L252" s="20"/>
      <c r="M252" s="20"/>
      <c r="N252" s="20"/>
      <c r="O252" s="20"/>
      <c r="P252" s="20"/>
      <c r="Q252" s="20"/>
      <c r="R252" s="20"/>
      <c r="S252" s="20"/>
      <c r="T252" s="20"/>
      <c r="U252" s="21"/>
    </row>
    <row r="253" spans="1:21" ht="28" customHeight="1" x14ac:dyDescent="0.35">
      <c r="A253" s="4" t="s">
        <v>31</v>
      </c>
      <c r="B253" s="3" t="s">
        <v>29</v>
      </c>
      <c r="C253" s="4" t="s">
        <v>32</v>
      </c>
      <c r="D253" s="3"/>
      <c r="E253" s="4" t="s">
        <v>33</v>
      </c>
      <c r="F253" s="8"/>
    </row>
    <row r="254" spans="1:21" ht="28" customHeight="1" x14ac:dyDescent="0.35">
      <c r="A254" s="1" t="s">
        <v>34</v>
      </c>
      <c r="B254" s="1" t="s">
        <v>35</v>
      </c>
      <c r="C254" s="1" t="s">
        <v>36</v>
      </c>
      <c r="D254" s="1" t="s">
        <v>37</v>
      </c>
      <c r="E254" s="1" t="s">
        <v>38</v>
      </c>
      <c r="F254" s="1" t="s">
        <v>39</v>
      </c>
      <c r="G254" s="1" t="s">
        <v>40</v>
      </c>
      <c r="H254" s="1" t="s">
        <v>41</v>
      </c>
      <c r="I254" s="1" t="s">
        <v>42</v>
      </c>
      <c r="J254" s="1" t="s">
        <v>43</v>
      </c>
      <c r="K254" s="1" t="s">
        <v>44</v>
      </c>
      <c r="L254" s="1" t="s">
        <v>45</v>
      </c>
      <c r="M254" s="1" t="s">
        <v>46</v>
      </c>
      <c r="N254" s="1" t="s">
        <v>47</v>
      </c>
      <c r="O254" s="1" t="s">
        <v>48</v>
      </c>
      <c r="P254" s="1" t="s">
        <v>4</v>
      </c>
      <c r="Q254" s="1" t="s">
        <v>49</v>
      </c>
      <c r="R254" s="1" t="s">
        <v>50</v>
      </c>
      <c r="S254" s="1" t="s">
        <v>51</v>
      </c>
      <c r="T254" s="1" t="s">
        <v>52</v>
      </c>
      <c r="U254" s="1" t="s">
        <v>10</v>
      </c>
    </row>
    <row r="255" spans="1:21" ht="28" customHeight="1" x14ac:dyDescent="0.35">
      <c r="A255" s="4">
        <v>1</v>
      </c>
      <c r="B255" s="4" t="s">
        <v>53</v>
      </c>
      <c r="C255" s="4" t="s">
        <v>537</v>
      </c>
      <c r="D255" s="4" t="s">
        <v>538</v>
      </c>
      <c r="E255" s="4" t="s">
        <v>56</v>
      </c>
      <c r="F255" s="4" t="s">
        <v>57</v>
      </c>
      <c r="G255" s="4" t="s">
        <v>58</v>
      </c>
      <c r="H255" s="4" t="s">
        <v>59</v>
      </c>
      <c r="I255" s="3"/>
      <c r="J255" s="3"/>
      <c r="K255" s="3"/>
      <c r="L255" s="3"/>
      <c r="M255" s="3"/>
      <c r="N255" s="3"/>
      <c r="O255" s="3"/>
      <c r="P255" s="8"/>
      <c r="Q255" s="8"/>
      <c r="R255" s="3"/>
      <c r="S255" s="3"/>
      <c r="T255" s="3"/>
      <c r="U255" s="5" t="str">
        <f t="shared" ref="U255:U270" si="13">IF(I255="","",IF(I255="NA","Grey",IF(I255=2,"Green",IF(I255=1,"Amber","Red"))))</f>
        <v/>
      </c>
    </row>
    <row r="256" spans="1:21" ht="28" customHeight="1" x14ac:dyDescent="0.35">
      <c r="A256" s="4">
        <v>2</v>
      </c>
      <c r="B256" s="4" t="s">
        <v>53</v>
      </c>
      <c r="C256" s="4" t="s">
        <v>539</v>
      </c>
      <c r="D256" s="4" t="s">
        <v>540</v>
      </c>
      <c r="E256" s="4" t="s">
        <v>56</v>
      </c>
      <c r="F256" s="4" t="s">
        <v>57</v>
      </c>
      <c r="G256" s="4" t="s">
        <v>58</v>
      </c>
      <c r="H256" s="4" t="s">
        <v>59</v>
      </c>
      <c r="I256" s="3"/>
      <c r="J256" s="3"/>
      <c r="K256" s="3"/>
      <c r="L256" s="3"/>
      <c r="M256" s="3"/>
      <c r="N256" s="3"/>
      <c r="O256" s="3"/>
      <c r="P256" s="8"/>
      <c r="Q256" s="8"/>
      <c r="R256" s="3"/>
      <c r="S256" s="3"/>
      <c r="T256" s="3"/>
      <c r="U256" s="5" t="str">
        <f t="shared" si="13"/>
        <v/>
      </c>
    </row>
    <row r="257" spans="1:21" ht="28" customHeight="1" x14ac:dyDescent="0.35">
      <c r="A257" s="4">
        <v>3</v>
      </c>
      <c r="B257" s="4" t="s">
        <v>53</v>
      </c>
      <c r="C257" s="4" t="s">
        <v>541</v>
      </c>
      <c r="D257" s="4" t="s">
        <v>542</v>
      </c>
      <c r="E257" s="4" t="s">
        <v>56</v>
      </c>
      <c r="F257" s="4" t="s">
        <v>57</v>
      </c>
      <c r="G257" s="4" t="s">
        <v>58</v>
      </c>
      <c r="H257" s="4" t="s">
        <v>59</v>
      </c>
      <c r="I257" s="3"/>
      <c r="J257" s="3"/>
      <c r="K257" s="3"/>
      <c r="L257" s="3"/>
      <c r="M257" s="3"/>
      <c r="N257" s="3"/>
      <c r="O257" s="3"/>
      <c r="P257" s="8"/>
      <c r="Q257" s="8"/>
      <c r="R257" s="3"/>
      <c r="S257" s="3"/>
      <c r="T257" s="3"/>
      <c r="U257" s="5" t="str">
        <f t="shared" si="13"/>
        <v/>
      </c>
    </row>
    <row r="258" spans="1:21" ht="28" customHeight="1" x14ac:dyDescent="0.35">
      <c r="A258" s="4">
        <v>4</v>
      </c>
      <c r="B258" s="4" t="s">
        <v>53</v>
      </c>
      <c r="C258" s="4" t="s">
        <v>543</v>
      </c>
      <c r="D258" s="4" t="s">
        <v>544</v>
      </c>
      <c r="E258" s="4" t="s">
        <v>56</v>
      </c>
      <c r="F258" s="4" t="s">
        <v>57</v>
      </c>
      <c r="G258" s="4" t="s">
        <v>58</v>
      </c>
      <c r="H258" s="4" t="s">
        <v>59</v>
      </c>
      <c r="I258" s="3"/>
      <c r="J258" s="3"/>
      <c r="K258" s="3"/>
      <c r="L258" s="3"/>
      <c r="M258" s="3"/>
      <c r="N258" s="3"/>
      <c r="O258" s="3"/>
      <c r="P258" s="8"/>
      <c r="Q258" s="8"/>
      <c r="R258" s="3"/>
      <c r="S258" s="3"/>
      <c r="T258" s="3"/>
      <c r="U258" s="5" t="str">
        <f t="shared" si="13"/>
        <v/>
      </c>
    </row>
    <row r="259" spans="1:21" ht="28" customHeight="1" x14ac:dyDescent="0.35">
      <c r="A259" s="4">
        <v>5</v>
      </c>
      <c r="B259" s="4" t="s">
        <v>66</v>
      </c>
      <c r="C259" s="4" t="s">
        <v>67</v>
      </c>
      <c r="D259" s="4" t="s">
        <v>68</v>
      </c>
      <c r="E259" s="4" t="s">
        <v>69</v>
      </c>
      <c r="F259" s="4" t="s">
        <v>57</v>
      </c>
      <c r="G259" s="4" t="s">
        <v>58</v>
      </c>
      <c r="H259" s="4" t="s">
        <v>59</v>
      </c>
      <c r="I259" s="3"/>
      <c r="J259" s="3"/>
      <c r="K259" s="3"/>
      <c r="L259" s="3"/>
      <c r="M259" s="3"/>
      <c r="N259" s="3"/>
      <c r="O259" s="3"/>
      <c r="P259" s="8"/>
      <c r="Q259" s="8"/>
      <c r="R259" s="3"/>
      <c r="S259" s="3"/>
      <c r="T259" s="3"/>
      <c r="U259" s="5" t="str">
        <f t="shared" si="13"/>
        <v/>
      </c>
    </row>
    <row r="260" spans="1:21" ht="28" customHeight="1" x14ac:dyDescent="0.35">
      <c r="A260" s="4">
        <v>6</v>
      </c>
      <c r="B260" s="4" t="s">
        <v>70</v>
      </c>
      <c r="C260" s="4" t="s">
        <v>71</v>
      </c>
      <c r="D260" s="4" t="s">
        <v>72</v>
      </c>
      <c r="E260" s="4" t="s">
        <v>70</v>
      </c>
      <c r="F260" s="4" t="s">
        <v>57</v>
      </c>
      <c r="G260" s="4" t="s">
        <v>58</v>
      </c>
      <c r="H260" s="4" t="s">
        <v>59</v>
      </c>
      <c r="I260" s="3"/>
      <c r="J260" s="3"/>
      <c r="K260" s="3"/>
      <c r="L260" s="3"/>
      <c r="M260" s="3"/>
      <c r="N260" s="3"/>
      <c r="O260" s="3"/>
      <c r="P260" s="8"/>
      <c r="Q260" s="8"/>
      <c r="R260" s="3"/>
      <c r="S260" s="3"/>
      <c r="T260" s="3"/>
      <c r="U260" s="5" t="str">
        <f t="shared" si="13"/>
        <v/>
      </c>
    </row>
    <row r="261" spans="1:21" ht="28" customHeight="1" x14ac:dyDescent="0.35">
      <c r="A261" s="4">
        <v>7</v>
      </c>
      <c r="B261" s="4" t="s">
        <v>73</v>
      </c>
      <c r="C261" s="4" t="s">
        <v>74</v>
      </c>
      <c r="D261" s="4" t="s">
        <v>75</v>
      </c>
      <c r="E261" s="4" t="s">
        <v>69</v>
      </c>
      <c r="F261" s="4" t="s">
        <v>57</v>
      </c>
      <c r="G261" s="4" t="s">
        <v>58</v>
      </c>
      <c r="H261" s="4" t="s">
        <v>76</v>
      </c>
      <c r="I261" s="3"/>
      <c r="J261" s="3"/>
      <c r="K261" s="3"/>
      <c r="L261" s="3"/>
      <c r="M261" s="3"/>
      <c r="N261" s="3"/>
      <c r="O261" s="3"/>
      <c r="P261" s="8"/>
      <c r="Q261" s="8"/>
      <c r="R261" s="3"/>
      <c r="S261" s="3"/>
      <c r="T261" s="3"/>
      <c r="U261" s="5" t="str">
        <f t="shared" si="13"/>
        <v/>
      </c>
    </row>
    <row r="262" spans="1:21" ht="28" customHeight="1" x14ac:dyDescent="0.35">
      <c r="A262" s="4">
        <v>8</v>
      </c>
      <c r="B262" s="4" t="s">
        <v>77</v>
      </c>
      <c r="C262" s="4" t="s">
        <v>78</v>
      </c>
      <c r="D262" s="4" t="s">
        <v>79</v>
      </c>
      <c r="E262" s="4" t="s">
        <v>80</v>
      </c>
      <c r="F262" s="4" t="s">
        <v>57</v>
      </c>
      <c r="G262" s="4" t="s">
        <v>58</v>
      </c>
      <c r="H262" s="4" t="s">
        <v>59</v>
      </c>
      <c r="I262" s="3"/>
      <c r="J262" s="3"/>
      <c r="K262" s="3"/>
      <c r="L262" s="3"/>
      <c r="M262" s="3"/>
      <c r="N262" s="3"/>
      <c r="O262" s="3"/>
      <c r="P262" s="8"/>
      <c r="Q262" s="8"/>
      <c r="R262" s="3"/>
      <c r="S262" s="3"/>
      <c r="T262" s="3"/>
      <c r="U262" s="5" t="str">
        <f t="shared" si="13"/>
        <v/>
      </c>
    </row>
    <row r="263" spans="1:21" ht="28" customHeight="1" x14ac:dyDescent="0.35">
      <c r="A263" s="4">
        <v>9</v>
      </c>
      <c r="B263" s="4" t="s">
        <v>81</v>
      </c>
      <c r="C263" s="4" t="s">
        <v>82</v>
      </c>
      <c r="D263" s="4" t="s">
        <v>83</v>
      </c>
      <c r="E263" s="4" t="s">
        <v>84</v>
      </c>
      <c r="F263" s="4" t="s">
        <v>57</v>
      </c>
      <c r="G263" s="4" t="s">
        <v>58</v>
      </c>
      <c r="H263" s="4" t="s">
        <v>85</v>
      </c>
      <c r="I263" s="3"/>
      <c r="J263" s="3"/>
      <c r="K263" s="3"/>
      <c r="L263" s="3"/>
      <c r="M263" s="3"/>
      <c r="N263" s="3"/>
      <c r="O263" s="3"/>
      <c r="P263" s="8"/>
      <c r="Q263" s="8"/>
      <c r="R263" s="3"/>
      <c r="S263" s="3"/>
      <c r="T263" s="3"/>
      <c r="U263" s="5" t="str">
        <f t="shared" si="13"/>
        <v/>
      </c>
    </row>
    <row r="264" spans="1:21" ht="28" customHeight="1" x14ac:dyDescent="0.35">
      <c r="A264" s="4">
        <v>10</v>
      </c>
      <c r="B264" s="4" t="s">
        <v>86</v>
      </c>
      <c r="C264" s="4" t="s">
        <v>87</v>
      </c>
      <c r="D264" s="4" t="s">
        <v>88</v>
      </c>
      <c r="E264" s="4" t="s">
        <v>69</v>
      </c>
      <c r="F264" s="4" t="s">
        <v>57</v>
      </c>
      <c r="G264" s="4" t="s">
        <v>58</v>
      </c>
      <c r="H264" s="4" t="s">
        <v>59</v>
      </c>
      <c r="I264" s="3"/>
      <c r="J264" s="3"/>
      <c r="K264" s="3"/>
      <c r="L264" s="3"/>
      <c r="M264" s="3"/>
      <c r="N264" s="3"/>
      <c r="O264" s="3"/>
      <c r="P264" s="8"/>
      <c r="Q264" s="8"/>
      <c r="R264" s="3"/>
      <c r="S264" s="3"/>
      <c r="T264" s="3"/>
      <c r="U264" s="5" t="str">
        <f t="shared" si="13"/>
        <v/>
      </c>
    </row>
    <row r="265" spans="1:21" ht="28" customHeight="1" x14ac:dyDescent="0.35">
      <c r="A265" s="4">
        <v>11</v>
      </c>
      <c r="B265" s="4" t="s">
        <v>89</v>
      </c>
      <c r="C265" s="4" t="s">
        <v>90</v>
      </c>
      <c r="D265" s="4" t="s">
        <v>91</v>
      </c>
      <c r="E265" s="4" t="s">
        <v>84</v>
      </c>
      <c r="F265" s="4" t="s">
        <v>57</v>
      </c>
      <c r="G265" s="4" t="s">
        <v>58</v>
      </c>
      <c r="H265" s="4" t="s">
        <v>59</v>
      </c>
      <c r="I265" s="3"/>
      <c r="J265" s="3"/>
      <c r="K265" s="3"/>
      <c r="L265" s="3"/>
      <c r="M265" s="3"/>
      <c r="N265" s="3"/>
      <c r="O265" s="3"/>
      <c r="P265" s="8"/>
      <c r="Q265" s="8"/>
      <c r="R265" s="3"/>
      <c r="S265" s="3"/>
      <c r="T265" s="3"/>
      <c r="U265" s="5" t="str">
        <f t="shared" si="13"/>
        <v/>
      </c>
    </row>
    <row r="266" spans="1:21" ht="28" customHeight="1" x14ac:dyDescent="0.35">
      <c r="A266" s="4">
        <v>12</v>
      </c>
      <c r="B266" s="4" t="s">
        <v>92</v>
      </c>
      <c r="C266" s="4" t="s">
        <v>93</v>
      </c>
      <c r="D266" s="4" t="s">
        <v>94</v>
      </c>
      <c r="E266" s="4" t="s">
        <v>69</v>
      </c>
      <c r="F266" s="4" t="s">
        <v>95</v>
      </c>
      <c r="G266" s="4" t="s">
        <v>96</v>
      </c>
      <c r="H266" s="4" t="s">
        <v>59</v>
      </c>
      <c r="I266" s="3"/>
      <c r="J266" s="3"/>
      <c r="K266" s="3"/>
      <c r="L266" s="3"/>
      <c r="M266" s="3"/>
      <c r="N266" s="3"/>
      <c r="O266" s="3"/>
      <c r="P266" s="8"/>
      <c r="Q266" s="8"/>
      <c r="R266" s="3"/>
      <c r="S266" s="3"/>
      <c r="T266" s="3"/>
      <c r="U266" s="5" t="str">
        <f t="shared" si="13"/>
        <v/>
      </c>
    </row>
    <row r="267" spans="1:21" ht="28" customHeight="1" x14ac:dyDescent="0.35">
      <c r="A267" s="4">
        <v>13</v>
      </c>
      <c r="B267" s="4" t="s">
        <v>97</v>
      </c>
      <c r="C267" s="4" t="s">
        <v>98</v>
      </c>
      <c r="D267" s="4" t="s">
        <v>99</v>
      </c>
      <c r="E267" s="4" t="s">
        <v>69</v>
      </c>
      <c r="F267" s="4" t="s">
        <v>95</v>
      </c>
      <c r="G267" s="4" t="s">
        <v>96</v>
      </c>
      <c r="H267" s="4" t="s">
        <v>59</v>
      </c>
      <c r="I267" s="3"/>
      <c r="J267" s="3"/>
      <c r="K267" s="3"/>
      <c r="L267" s="3"/>
      <c r="M267" s="3"/>
      <c r="N267" s="3"/>
      <c r="O267" s="3"/>
      <c r="P267" s="8"/>
      <c r="Q267" s="8"/>
      <c r="R267" s="3"/>
      <c r="S267" s="3"/>
      <c r="T267" s="3"/>
      <c r="U267" s="5" t="str">
        <f t="shared" si="13"/>
        <v/>
      </c>
    </row>
    <row r="268" spans="1:21" ht="28" customHeight="1" x14ac:dyDescent="0.35">
      <c r="A268" s="4">
        <v>14</v>
      </c>
      <c r="B268" s="4" t="s">
        <v>97</v>
      </c>
      <c r="C268" s="4" t="s">
        <v>100</v>
      </c>
      <c r="D268" s="4" t="s">
        <v>101</v>
      </c>
      <c r="E268" s="4" t="s">
        <v>69</v>
      </c>
      <c r="F268" s="4" t="s">
        <v>95</v>
      </c>
      <c r="G268" s="4" t="s">
        <v>102</v>
      </c>
      <c r="H268" s="4" t="s">
        <v>59</v>
      </c>
      <c r="I268" s="3"/>
      <c r="J268" s="3"/>
      <c r="K268" s="3"/>
      <c r="L268" s="3"/>
      <c r="M268" s="3"/>
      <c r="N268" s="3"/>
      <c r="O268" s="3"/>
      <c r="P268" s="8"/>
      <c r="Q268" s="8"/>
      <c r="R268" s="3"/>
      <c r="S268" s="3"/>
      <c r="T268" s="3"/>
      <c r="U268" s="5" t="str">
        <f t="shared" si="13"/>
        <v/>
      </c>
    </row>
    <row r="269" spans="1:21" ht="28" customHeight="1" x14ac:dyDescent="0.35">
      <c r="A269" s="4">
        <v>15</v>
      </c>
      <c r="B269" s="4" t="s">
        <v>103</v>
      </c>
      <c r="C269" s="4" t="s">
        <v>104</v>
      </c>
      <c r="D269" s="4" t="s">
        <v>105</v>
      </c>
      <c r="E269" s="4" t="s">
        <v>69</v>
      </c>
      <c r="F269" s="4" t="s">
        <v>95</v>
      </c>
      <c r="G269" s="4" t="s">
        <v>96</v>
      </c>
      <c r="H269" s="4" t="s">
        <v>85</v>
      </c>
      <c r="I269" s="3"/>
      <c r="J269" s="3"/>
      <c r="K269" s="3"/>
      <c r="L269" s="3"/>
      <c r="M269" s="3"/>
      <c r="N269" s="3"/>
      <c r="O269" s="3"/>
      <c r="P269" s="8"/>
      <c r="Q269" s="8"/>
      <c r="R269" s="3"/>
      <c r="S269" s="3"/>
      <c r="T269" s="3"/>
      <c r="U269" s="5" t="str">
        <f t="shared" si="13"/>
        <v/>
      </c>
    </row>
    <row r="270" spans="1:21" ht="28" customHeight="1" x14ac:dyDescent="0.35">
      <c r="A270" s="4">
        <v>16</v>
      </c>
      <c r="B270" s="4" t="s">
        <v>106</v>
      </c>
      <c r="C270" s="4" t="s">
        <v>107</v>
      </c>
      <c r="D270" s="4" t="s">
        <v>108</v>
      </c>
      <c r="E270" s="4" t="s">
        <v>109</v>
      </c>
      <c r="F270" s="4" t="s">
        <v>95</v>
      </c>
      <c r="G270" s="4" t="s">
        <v>96</v>
      </c>
      <c r="H270" s="4" t="s">
        <v>59</v>
      </c>
      <c r="I270" s="3"/>
      <c r="J270" s="3"/>
      <c r="K270" s="3"/>
      <c r="L270" s="3"/>
      <c r="M270" s="3"/>
      <c r="N270" s="3"/>
      <c r="O270" s="3"/>
      <c r="P270" s="8"/>
      <c r="Q270" s="8"/>
      <c r="R270" s="3"/>
      <c r="S270" s="3"/>
      <c r="T270" s="3"/>
      <c r="U270" s="5" t="str">
        <f t="shared" si="13"/>
        <v/>
      </c>
    </row>
    <row r="272" spans="1:21" ht="28" customHeight="1" x14ac:dyDescent="0.35">
      <c r="A272" s="9" t="s">
        <v>110</v>
      </c>
      <c r="B272" s="16"/>
      <c r="C272" s="17"/>
      <c r="D272" s="17"/>
      <c r="E272" s="17"/>
      <c r="F272" s="17"/>
      <c r="G272" s="17"/>
      <c r="H272" s="17"/>
      <c r="I272" s="17"/>
      <c r="J272" s="17"/>
      <c r="K272" s="17"/>
      <c r="L272" s="17"/>
      <c r="M272" s="17"/>
      <c r="N272" s="17"/>
      <c r="O272" s="17"/>
      <c r="P272" s="17"/>
      <c r="Q272" s="17"/>
      <c r="R272" s="17"/>
      <c r="S272" s="17"/>
      <c r="T272" s="17"/>
      <c r="U272" s="18"/>
    </row>
  </sheetData>
  <sheetProtection sheet="1" objects="1" scenarios="1" formatCells="0" formatColumns="0" formatRows="0" insertRows="0" sort="0" autoFilter="0"/>
  <autoFilter ref="A4:O16" xr:uid="{00000000-0009-0000-0000-00000A000000}"/>
  <mergeCells count="26">
    <mergeCell ref="A1:U1"/>
    <mergeCell ref="B104:U104"/>
    <mergeCell ref="B251:U251"/>
    <mergeCell ref="A168:U168"/>
    <mergeCell ref="B2:U2"/>
    <mergeCell ref="A126:U126"/>
    <mergeCell ref="A231:U231"/>
    <mergeCell ref="A147:U147"/>
    <mergeCell ref="A63:U63"/>
    <mergeCell ref="B230:U230"/>
    <mergeCell ref="B146:U146"/>
    <mergeCell ref="B83:U83"/>
    <mergeCell ref="A21:U21"/>
    <mergeCell ref="A210:U210"/>
    <mergeCell ref="B167:U167"/>
    <mergeCell ref="B272:U272"/>
    <mergeCell ref="A42:U42"/>
    <mergeCell ref="B41:U41"/>
    <mergeCell ref="B188:U188"/>
    <mergeCell ref="A252:U252"/>
    <mergeCell ref="B62:U62"/>
    <mergeCell ref="B209:U209"/>
    <mergeCell ref="A84:U84"/>
    <mergeCell ref="B125:U125"/>
    <mergeCell ref="A189:U189"/>
    <mergeCell ref="A105:U105"/>
  </mergeCells>
  <conditionalFormatting sqref="G5:G16">
    <cfRule type="colorScale" priority="53">
      <colorScale>
        <cfvo type="min"/>
        <cfvo type="percentile" val="50"/>
        <cfvo type="max"/>
        <color rgb="FFF8696B"/>
        <color rgb="FFFFEB84"/>
        <color rgb="FF63BE7B"/>
      </colorScale>
    </cfRule>
  </conditionalFormatting>
  <conditionalFormatting sqref="H5:H16">
    <cfRule type="containsText" dxfId="363" priority="49" operator="containsText" text="Red">
      <formula>NOT(ISERROR(SEARCH("Red",H5)))</formula>
    </cfRule>
    <cfRule type="containsText" dxfId="362" priority="50" operator="containsText" text="Amber">
      <formula>NOT(ISERROR(SEARCH("Amber",H5)))</formula>
    </cfRule>
    <cfRule type="containsText" dxfId="361" priority="51" operator="containsText" text="Green">
      <formula>NOT(ISERROR(SEARCH("Green",H5)))</formula>
    </cfRule>
    <cfRule type="containsText" dxfId="360" priority="52" operator="containsText" text="Not Started">
      <formula>NOT(ISERROR(SEARCH("Not Started",H5)))</formula>
    </cfRule>
  </conditionalFormatting>
  <conditionalFormatting sqref="U24:U39">
    <cfRule type="containsText" dxfId="359" priority="1" operator="containsText" text="Red">
      <formula>NOT(ISERROR(SEARCH("Red",U24)))</formula>
    </cfRule>
    <cfRule type="containsText" dxfId="358" priority="2" operator="containsText" text="Amber">
      <formula>NOT(ISERROR(SEARCH("Amber",U24)))</formula>
    </cfRule>
    <cfRule type="containsText" dxfId="357" priority="3" operator="containsText" text="Green">
      <formula>NOT(ISERROR(SEARCH("Green",U24)))</formula>
    </cfRule>
    <cfRule type="containsText" dxfId="356" priority="4" operator="containsText" text="Grey">
      <formula>NOT(ISERROR(SEARCH("Grey",U24)))</formula>
    </cfRule>
  </conditionalFormatting>
  <conditionalFormatting sqref="U45:U60">
    <cfRule type="containsText" dxfId="355" priority="5" operator="containsText" text="Red">
      <formula>NOT(ISERROR(SEARCH("Red",U45)))</formula>
    </cfRule>
    <cfRule type="containsText" dxfId="354" priority="6" operator="containsText" text="Amber">
      <formula>NOT(ISERROR(SEARCH("Amber",U45)))</formula>
    </cfRule>
    <cfRule type="containsText" dxfId="353" priority="7" operator="containsText" text="Green">
      <formula>NOT(ISERROR(SEARCH("Green",U45)))</formula>
    </cfRule>
    <cfRule type="containsText" dxfId="352" priority="8" operator="containsText" text="Grey">
      <formula>NOT(ISERROR(SEARCH("Grey",U45)))</formula>
    </cfRule>
  </conditionalFormatting>
  <conditionalFormatting sqref="U66:U81">
    <cfRule type="containsText" dxfId="351" priority="9" operator="containsText" text="Red">
      <formula>NOT(ISERROR(SEARCH("Red",U66)))</formula>
    </cfRule>
    <cfRule type="containsText" dxfId="350" priority="10" operator="containsText" text="Amber">
      <formula>NOT(ISERROR(SEARCH("Amber",U66)))</formula>
    </cfRule>
    <cfRule type="containsText" dxfId="349" priority="11" operator="containsText" text="Green">
      <formula>NOT(ISERROR(SEARCH("Green",U66)))</formula>
    </cfRule>
    <cfRule type="containsText" dxfId="348" priority="12" operator="containsText" text="Grey">
      <formula>NOT(ISERROR(SEARCH("Grey",U66)))</formula>
    </cfRule>
  </conditionalFormatting>
  <conditionalFormatting sqref="U87:U102">
    <cfRule type="containsText" dxfId="347" priority="13" operator="containsText" text="Red">
      <formula>NOT(ISERROR(SEARCH("Red",U87)))</formula>
    </cfRule>
    <cfRule type="containsText" dxfId="346" priority="14" operator="containsText" text="Amber">
      <formula>NOT(ISERROR(SEARCH("Amber",U87)))</formula>
    </cfRule>
    <cfRule type="containsText" dxfId="345" priority="15" operator="containsText" text="Green">
      <formula>NOT(ISERROR(SEARCH("Green",U87)))</formula>
    </cfRule>
    <cfRule type="containsText" dxfId="344" priority="16" operator="containsText" text="Grey">
      <formula>NOT(ISERROR(SEARCH("Grey",U87)))</formula>
    </cfRule>
  </conditionalFormatting>
  <conditionalFormatting sqref="U108:U123">
    <cfRule type="containsText" dxfId="343" priority="17" operator="containsText" text="Red">
      <formula>NOT(ISERROR(SEARCH("Red",U108)))</formula>
    </cfRule>
    <cfRule type="containsText" dxfId="342" priority="18" operator="containsText" text="Amber">
      <formula>NOT(ISERROR(SEARCH("Amber",U108)))</formula>
    </cfRule>
    <cfRule type="containsText" dxfId="341" priority="19" operator="containsText" text="Green">
      <formula>NOT(ISERROR(SEARCH("Green",U108)))</formula>
    </cfRule>
    <cfRule type="containsText" dxfId="340" priority="20" operator="containsText" text="Grey">
      <formula>NOT(ISERROR(SEARCH("Grey",U108)))</formula>
    </cfRule>
  </conditionalFormatting>
  <conditionalFormatting sqref="U129:U144">
    <cfRule type="containsText" dxfId="339" priority="21" operator="containsText" text="Red">
      <formula>NOT(ISERROR(SEARCH("Red",U129)))</formula>
    </cfRule>
    <cfRule type="containsText" dxfId="338" priority="22" operator="containsText" text="Amber">
      <formula>NOT(ISERROR(SEARCH("Amber",U129)))</formula>
    </cfRule>
    <cfRule type="containsText" dxfId="337" priority="23" operator="containsText" text="Green">
      <formula>NOT(ISERROR(SEARCH("Green",U129)))</formula>
    </cfRule>
    <cfRule type="containsText" dxfId="336" priority="24" operator="containsText" text="Grey">
      <formula>NOT(ISERROR(SEARCH("Grey",U129)))</formula>
    </cfRule>
  </conditionalFormatting>
  <conditionalFormatting sqref="U150:U165">
    <cfRule type="containsText" dxfId="335" priority="26" operator="containsText" text="Amber">
      <formula>NOT(ISERROR(SEARCH("Amber",U150)))</formula>
    </cfRule>
    <cfRule type="containsText" dxfId="334" priority="27" operator="containsText" text="Green">
      <formula>NOT(ISERROR(SEARCH("Green",U150)))</formula>
    </cfRule>
    <cfRule type="containsText" dxfId="333" priority="28" operator="containsText" text="Grey">
      <formula>NOT(ISERROR(SEARCH("Grey",U150)))</formula>
    </cfRule>
    <cfRule type="containsText" dxfId="332" priority="25" operator="containsText" text="Red">
      <formula>NOT(ISERROR(SEARCH("Red",U150)))</formula>
    </cfRule>
  </conditionalFormatting>
  <conditionalFormatting sqref="U171:U186">
    <cfRule type="containsText" dxfId="331" priority="29" operator="containsText" text="Red">
      <formula>NOT(ISERROR(SEARCH("Red",U171)))</formula>
    </cfRule>
    <cfRule type="containsText" dxfId="330" priority="30" operator="containsText" text="Amber">
      <formula>NOT(ISERROR(SEARCH("Amber",U171)))</formula>
    </cfRule>
    <cfRule type="containsText" dxfId="329" priority="31" operator="containsText" text="Green">
      <formula>NOT(ISERROR(SEARCH("Green",U171)))</formula>
    </cfRule>
    <cfRule type="containsText" dxfId="328" priority="32" operator="containsText" text="Grey">
      <formula>NOT(ISERROR(SEARCH("Grey",U171)))</formula>
    </cfRule>
  </conditionalFormatting>
  <conditionalFormatting sqref="U192:U207">
    <cfRule type="containsText" dxfId="327" priority="34" operator="containsText" text="Amber">
      <formula>NOT(ISERROR(SEARCH("Amber",U192)))</formula>
    </cfRule>
    <cfRule type="containsText" dxfId="326" priority="35" operator="containsText" text="Green">
      <formula>NOT(ISERROR(SEARCH("Green",U192)))</formula>
    </cfRule>
    <cfRule type="containsText" dxfId="325" priority="36" operator="containsText" text="Grey">
      <formula>NOT(ISERROR(SEARCH("Grey",U192)))</formula>
    </cfRule>
    <cfRule type="containsText" dxfId="324" priority="33" operator="containsText" text="Red">
      <formula>NOT(ISERROR(SEARCH("Red",U192)))</formula>
    </cfRule>
  </conditionalFormatting>
  <conditionalFormatting sqref="U213:U228">
    <cfRule type="containsText" dxfId="323" priority="37" operator="containsText" text="Red">
      <formula>NOT(ISERROR(SEARCH("Red",U213)))</formula>
    </cfRule>
    <cfRule type="containsText" dxfId="322" priority="38" operator="containsText" text="Amber">
      <formula>NOT(ISERROR(SEARCH("Amber",U213)))</formula>
    </cfRule>
    <cfRule type="containsText" dxfId="321" priority="39" operator="containsText" text="Green">
      <formula>NOT(ISERROR(SEARCH("Green",U213)))</formula>
    </cfRule>
    <cfRule type="containsText" dxfId="320" priority="40" operator="containsText" text="Grey">
      <formula>NOT(ISERROR(SEARCH("Grey",U213)))</formula>
    </cfRule>
  </conditionalFormatting>
  <conditionalFormatting sqref="U234:U249">
    <cfRule type="containsText" dxfId="319" priority="42" operator="containsText" text="Amber">
      <formula>NOT(ISERROR(SEARCH("Amber",U234)))</formula>
    </cfRule>
    <cfRule type="containsText" dxfId="318" priority="43" operator="containsText" text="Green">
      <formula>NOT(ISERROR(SEARCH("Green",U234)))</formula>
    </cfRule>
    <cfRule type="containsText" dxfId="317" priority="44" operator="containsText" text="Grey">
      <formula>NOT(ISERROR(SEARCH("Grey",U234)))</formula>
    </cfRule>
    <cfRule type="containsText" dxfId="316" priority="41" operator="containsText" text="Red">
      <formula>NOT(ISERROR(SEARCH("Red",U234)))</formula>
    </cfRule>
  </conditionalFormatting>
  <conditionalFormatting sqref="U255:U270">
    <cfRule type="containsText" dxfId="315" priority="45" operator="containsText" text="Red">
      <formula>NOT(ISERROR(SEARCH("Red",U255)))</formula>
    </cfRule>
    <cfRule type="containsText" dxfId="314" priority="46" operator="containsText" text="Amber">
      <formula>NOT(ISERROR(SEARCH("Amber",U255)))</formula>
    </cfRule>
    <cfRule type="containsText" dxfId="313" priority="48" operator="containsText" text="Grey">
      <formula>NOT(ISERROR(SEARCH("Grey",U255)))</formula>
    </cfRule>
    <cfRule type="containsText" dxfId="312" priority="47" operator="containsText" text="Green">
      <formula>NOT(ISERROR(SEARCH("Green",U255)))</formula>
    </cfRule>
  </conditionalFormatting>
  <dataValidations count="4">
    <dataValidation type="list" allowBlank="1" showInputMessage="1" showErrorMessage="1" sqref="I24:I39 I45:I60 I66:I81 I87:I102 I108:I123 I129:I144 I150:I165 I171:I186 I192:I207 I213:I228 I234:I249 I255:I270" xr:uid="{00000000-0002-0000-0A00-000000000000}">
      <formula1>"2,1,0,NA"</formula1>
    </dataValidation>
    <dataValidation type="list" allowBlank="1" showInputMessage="1" showErrorMessage="1" sqref="H24:H39 H45:H60 H66:H81 H87:H102 H108:H123 H129:H144 H150:H165 H171:H186 H192:H207 H213:H228 H234:H249 H255:H270" xr:uid="{00000000-0002-0000-0A00-000001000000}">
      <formula1>"Critical,High,Medium,Low"</formula1>
    </dataValidation>
    <dataValidation type="list" allowBlank="1" showInputMessage="1" showErrorMessage="1" sqref="S24:S39 S45:S60 S66:S81 S87:S102 S108:S123 S129:S144 S150:S165 S171:S186 S192:S207 S213:S228 S234:S249 S255:S270" xr:uid="{00000000-0002-0000-0A00-000002000000}">
      <formula1>"Yes,No,N/A"</formula1>
    </dataValidation>
    <dataValidation type="list" allowBlank="1" showInputMessage="1" showErrorMessage="1" sqref="T24:T39 T45:T60 T66:T81 T87:T102 T108:T123 T129:T144 T150:T165 T171:T186 T192:T207 T213:T228 T234:T249 T255:T270" xr:uid="{00000000-0002-0000-0A00-000003000000}">
      <formula1>"Not Started,In Progress,Completed,Verified,Closed"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72"/>
  <sheetViews>
    <sheetView showGridLines="0" tabSelected="1" topLeftCell="A65" workbookViewId="0">
      <selection activeCell="C77" sqref="C77"/>
    </sheetView>
  </sheetViews>
  <sheetFormatPr defaultRowHeight="28" customHeight="1" x14ac:dyDescent="0.35"/>
  <cols>
    <col min="1" max="1" width="7.7265625" customWidth="1"/>
    <col min="2" max="2" width="18.7265625" customWidth="1"/>
    <col min="3" max="3" width="42.7265625" customWidth="1"/>
    <col min="4" max="4" width="28.7265625" customWidth="1"/>
    <col min="5" max="6" width="18.7265625" customWidth="1"/>
    <col min="7" max="7" width="24.7265625" customWidth="1"/>
    <col min="8" max="9" width="13.7265625" customWidth="1"/>
    <col min="10" max="10" width="28.7265625" customWidth="1"/>
    <col min="11" max="11" width="30.7265625" customWidth="1"/>
    <col min="12" max="12" width="32.7265625" customWidth="1"/>
    <col min="13" max="13" width="28.7265625" customWidth="1"/>
    <col min="14" max="14" width="32.7265625" customWidth="1"/>
    <col min="15" max="15" width="20.7265625" customWidth="1"/>
    <col min="16" max="17" width="13.7265625" customWidth="1"/>
    <col min="18" max="18" width="18.7265625" customWidth="1"/>
    <col min="19" max="20" width="14.7265625" customWidth="1"/>
    <col min="21" max="21" width="10.7265625" customWidth="1"/>
  </cols>
  <sheetData>
    <row r="1" spans="1:21" ht="28" customHeight="1" x14ac:dyDescent="0.35">
      <c r="A1" s="24" t="s">
        <v>556</v>
      </c>
      <c r="B1" s="20"/>
      <c r="C1" s="20"/>
      <c r="D1" s="20"/>
      <c r="E1" s="20"/>
      <c r="F1" s="20"/>
      <c r="G1" s="20"/>
      <c r="H1" s="20"/>
      <c r="I1" s="20"/>
      <c r="J1" s="20"/>
      <c r="K1" s="20"/>
      <c r="L1" s="20"/>
      <c r="M1" s="20"/>
      <c r="N1" s="20"/>
      <c r="O1" s="20"/>
      <c r="P1" s="20"/>
      <c r="Q1" s="20"/>
      <c r="R1" s="20"/>
      <c r="S1" s="20"/>
      <c r="T1" s="20"/>
      <c r="U1" s="21"/>
    </row>
    <row r="2" spans="1:21" ht="28" customHeight="1" x14ac:dyDescent="0.35">
      <c r="A2" s="9" t="s">
        <v>1</v>
      </c>
      <c r="B2" s="22" t="s">
        <v>2</v>
      </c>
      <c r="C2" s="23"/>
      <c r="D2" s="23"/>
      <c r="E2" s="23"/>
      <c r="F2" s="23"/>
      <c r="G2" s="23"/>
      <c r="H2" s="23"/>
      <c r="I2" s="23"/>
      <c r="J2" s="23"/>
      <c r="K2" s="23"/>
      <c r="L2" s="23"/>
      <c r="M2" s="23"/>
      <c r="N2" s="23"/>
      <c r="O2" s="23"/>
      <c r="P2" s="23"/>
      <c r="Q2" s="23"/>
      <c r="R2" s="23"/>
      <c r="S2" s="23"/>
      <c r="T2" s="23"/>
      <c r="U2" s="23"/>
    </row>
    <row r="4" spans="1:21" ht="28" customHeight="1" x14ac:dyDescent="0.3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21" ht="28" customHeight="1" x14ac:dyDescent="0.35">
      <c r="A5" s="4" t="s">
        <v>18</v>
      </c>
      <c r="B5" s="7">
        <v>46050</v>
      </c>
      <c r="C5" s="8"/>
      <c r="D5" s="3"/>
      <c r="E5" s="5">
        <f>SUMIF(I24:I39,"&gt;=0",I24:I39)</f>
        <v>0</v>
      </c>
      <c r="F5" s="5">
        <f>COUNT(I24:I39)*2</f>
        <v>0</v>
      </c>
      <c r="G5" s="6" t="str">
        <f t="shared" ref="G5:G16" si="0">IF(F5=0,"",E5/F5)</f>
        <v/>
      </c>
      <c r="H5" s="5" t="str">
        <f t="shared" ref="H5:H16" si="1">IF(G5="","Not Started",IF(G5&gt;=0.9,"Green",IF(G5&gt;=0.75,"Amber","Red")))</f>
        <v>Not Started</v>
      </c>
      <c r="I5" s="5">
        <f>COUNTIFS(H24:H39,"Critical",I24:I39,"&lt;2")+COUNTIFS(H24:H39,"High",I24:I39,"&lt;2")</f>
        <v>0</v>
      </c>
      <c r="J5" s="5">
        <f>COUNTIF(T24:T39,"In Progress")+COUNTIF(T24:T39,"Not Started")</f>
        <v>0</v>
      </c>
      <c r="K5" s="5">
        <f ca="1">COUNTIFS(P24:P39,"&lt;"&amp;TODAY(),Q24:Q39,"")</f>
        <v>0</v>
      </c>
      <c r="L5" s="3"/>
      <c r="M5" s="3"/>
      <c r="N5" s="3"/>
      <c r="O5" s="3"/>
    </row>
    <row r="6" spans="1:21" ht="28" customHeight="1" x14ac:dyDescent="0.35">
      <c r="A6" s="4" t="s">
        <v>19</v>
      </c>
      <c r="B6" s="7">
        <v>46081</v>
      </c>
      <c r="C6" s="8"/>
      <c r="D6" s="3"/>
      <c r="E6" s="5">
        <f>SUMIF(I45:I60,"&gt;=0",I45:I60)</f>
        <v>0</v>
      </c>
      <c r="F6" s="5">
        <f>COUNT(I45:I60)*2</f>
        <v>0</v>
      </c>
      <c r="G6" s="6" t="str">
        <f t="shared" si="0"/>
        <v/>
      </c>
      <c r="H6" s="5" t="str">
        <f t="shared" si="1"/>
        <v>Not Started</v>
      </c>
      <c r="I6" s="5">
        <f>COUNTIFS(H45:H60,"Critical",I45:I60,"&lt;2")+COUNTIFS(H45:H60,"High",I45:I60,"&lt;2")</f>
        <v>0</v>
      </c>
      <c r="J6" s="5">
        <f>COUNTIF(T45:T60,"In Progress")+COUNTIF(T45:T60,"Not Started")</f>
        <v>0</v>
      </c>
      <c r="K6" s="5">
        <f ca="1">COUNTIFS(P45:P60,"&lt;"&amp;TODAY(),Q45:Q60,"")</f>
        <v>0</v>
      </c>
      <c r="L6" s="3"/>
      <c r="M6" s="3"/>
      <c r="N6" s="3"/>
      <c r="O6" s="3"/>
    </row>
    <row r="7" spans="1:21" ht="28" customHeight="1" x14ac:dyDescent="0.35">
      <c r="A7" s="4" t="s">
        <v>20</v>
      </c>
      <c r="B7" s="7">
        <v>46109</v>
      </c>
      <c r="C7" s="8"/>
      <c r="D7" s="3"/>
      <c r="E7" s="5">
        <f>SUMIF(I66:I81,"&gt;=0",I66:I81)</f>
        <v>0</v>
      </c>
      <c r="F7" s="5">
        <f>COUNT(I66:I81)*2</f>
        <v>0</v>
      </c>
      <c r="G7" s="6" t="str">
        <f t="shared" si="0"/>
        <v/>
      </c>
      <c r="H7" s="5" t="str">
        <f t="shared" si="1"/>
        <v>Not Started</v>
      </c>
      <c r="I7" s="5">
        <f>COUNTIFS(H66:H81,"Critical",I66:I81,"&lt;2")+COUNTIFS(H66:H81,"High",I66:I81,"&lt;2")</f>
        <v>0</v>
      </c>
      <c r="J7" s="5">
        <f>COUNTIF(T66:T81,"In Progress")+COUNTIF(T66:T81,"Not Started")</f>
        <v>0</v>
      </c>
      <c r="K7" s="5">
        <f ca="1">COUNTIFS(P66:P81,"&lt;"&amp;TODAY(),Q66:Q81,"")</f>
        <v>0</v>
      </c>
      <c r="L7" s="3"/>
      <c r="M7" s="3"/>
      <c r="N7" s="3"/>
      <c r="O7" s="3"/>
    </row>
    <row r="8" spans="1:21" ht="28" customHeight="1" x14ac:dyDescent="0.35">
      <c r="A8" s="4" t="s">
        <v>21</v>
      </c>
      <c r="B8" s="7">
        <v>46140</v>
      </c>
      <c r="C8" s="8"/>
      <c r="D8" s="3"/>
      <c r="E8" s="5">
        <f>SUMIF(I87:I102,"&gt;=0",I87:I102)</f>
        <v>0</v>
      </c>
      <c r="F8" s="5">
        <f>COUNT(I87:I102)*2</f>
        <v>0</v>
      </c>
      <c r="G8" s="6" t="str">
        <f t="shared" si="0"/>
        <v/>
      </c>
      <c r="H8" s="5" t="str">
        <f t="shared" si="1"/>
        <v>Not Started</v>
      </c>
      <c r="I8" s="5">
        <f>COUNTIFS(H87:H102,"Critical",I87:I102,"&lt;2")+COUNTIFS(H87:H102,"High",I87:I102,"&lt;2")</f>
        <v>0</v>
      </c>
      <c r="J8" s="5">
        <f>COUNTIF(T87:T102,"In Progress")+COUNTIF(T87:T102,"Not Started")</f>
        <v>0</v>
      </c>
      <c r="K8" s="5">
        <f ca="1">COUNTIFS(P87:P102,"&lt;"&amp;TODAY(),Q87:Q102,"")</f>
        <v>0</v>
      </c>
      <c r="L8" s="3"/>
      <c r="M8" s="3"/>
      <c r="N8" s="3"/>
      <c r="O8" s="3"/>
    </row>
    <row r="9" spans="1:21" ht="28" customHeight="1" x14ac:dyDescent="0.35">
      <c r="A9" s="4" t="s">
        <v>22</v>
      </c>
      <c r="B9" s="7">
        <v>46170</v>
      </c>
      <c r="C9" s="8"/>
      <c r="D9" s="3"/>
      <c r="E9" s="5">
        <f>SUMIF(I108:I123,"&gt;=0",I108:I123)</f>
        <v>0</v>
      </c>
      <c r="F9" s="5">
        <f>COUNT(I108:I123)*2</f>
        <v>0</v>
      </c>
      <c r="G9" s="6" t="str">
        <f t="shared" si="0"/>
        <v/>
      </c>
      <c r="H9" s="5" t="str">
        <f t="shared" si="1"/>
        <v>Not Started</v>
      </c>
      <c r="I9" s="5">
        <f>COUNTIFS(H108:H123,"Critical",I108:I123,"&lt;2")+COUNTIFS(H108:H123,"High",I108:I123,"&lt;2")</f>
        <v>0</v>
      </c>
      <c r="J9" s="5">
        <f>COUNTIF(T108:T123,"In Progress")+COUNTIF(T108:T123,"Not Started")</f>
        <v>0</v>
      </c>
      <c r="K9" s="5">
        <f ca="1">COUNTIFS(P108:P123,"&lt;"&amp;TODAY(),Q108:Q123,"")</f>
        <v>0</v>
      </c>
      <c r="L9" s="3"/>
      <c r="M9" s="3"/>
      <c r="N9" s="3"/>
      <c r="O9" s="3"/>
    </row>
    <row r="10" spans="1:21" ht="28" customHeight="1" x14ac:dyDescent="0.35">
      <c r="A10" s="4" t="s">
        <v>23</v>
      </c>
      <c r="B10" s="7">
        <v>46201</v>
      </c>
      <c r="C10" s="8"/>
      <c r="D10" s="3"/>
      <c r="E10" s="5">
        <f>SUMIF(I129:I144,"&gt;=0",I129:I144)</f>
        <v>0</v>
      </c>
      <c r="F10" s="5">
        <f>COUNT(I129:I144)*2</f>
        <v>0</v>
      </c>
      <c r="G10" s="6" t="str">
        <f t="shared" si="0"/>
        <v/>
      </c>
      <c r="H10" s="5" t="str">
        <f t="shared" si="1"/>
        <v>Not Started</v>
      </c>
      <c r="I10" s="5">
        <f>COUNTIFS(H129:H144,"Critical",I129:I144,"&lt;2")+COUNTIFS(H129:H144,"High",I129:I144,"&lt;2")</f>
        <v>0</v>
      </c>
      <c r="J10" s="5">
        <f>COUNTIF(T129:T144,"In Progress")+COUNTIF(T129:T144,"Not Started")</f>
        <v>0</v>
      </c>
      <c r="K10" s="5">
        <f ca="1">COUNTIFS(P129:P144,"&lt;"&amp;TODAY(),Q129:Q144,"")</f>
        <v>0</v>
      </c>
      <c r="L10" s="3"/>
      <c r="M10" s="3"/>
      <c r="N10" s="3"/>
      <c r="O10" s="3"/>
    </row>
    <row r="11" spans="1:21" ht="28" customHeight="1" x14ac:dyDescent="0.35">
      <c r="A11" s="4" t="s">
        <v>24</v>
      </c>
      <c r="B11" s="7">
        <v>46231</v>
      </c>
      <c r="C11" s="8"/>
      <c r="D11" s="3"/>
      <c r="E11" s="5">
        <f>SUMIF(I150:I165,"&gt;=0",I150:I165)</f>
        <v>0</v>
      </c>
      <c r="F11" s="5">
        <f>COUNT(I150:I165)*2</f>
        <v>0</v>
      </c>
      <c r="G11" s="6" t="str">
        <f t="shared" si="0"/>
        <v/>
      </c>
      <c r="H11" s="5" t="str">
        <f t="shared" si="1"/>
        <v>Not Started</v>
      </c>
      <c r="I11" s="5">
        <f>COUNTIFS(H150:H165,"Critical",I150:I165,"&lt;2")+COUNTIFS(H150:H165,"High",I150:I165,"&lt;2")</f>
        <v>0</v>
      </c>
      <c r="J11" s="5">
        <f>COUNTIF(T150:T165,"In Progress")+COUNTIF(T150:T165,"Not Started")</f>
        <v>0</v>
      </c>
      <c r="K11" s="5">
        <f ca="1">COUNTIFS(P150:P165,"&lt;"&amp;TODAY(),Q150:Q165,"")</f>
        <v>0</v>
      </c>
      <c r="L11" s="3"/>
      <c r="M11" s="3"/>
      <c r="N11" s="3"/>
      <c r="O11" s="3"/>
    </row>
    <row r="12" spans="1:21" ht="28" customHeight="1" x14ac:dyDescent="0.35">
      <c r="A12" s="4" t="s">
        <v>25</v>
      </c>
      <c r="B12" s="7">
        <v>46262</v>
      </c>
      <c r="C12" s="8"/>
      <c r="D12" s="3"/>
      <c r="E12" s="5">
        <f>SUMIF(I171:I186,"&gt;=0",I171:I186)</f>
        <v>0</v>
      </c>
      <c r="F12" s="5">
        <f>COUNT(I171:I186)*2</f>
        <v>0</v>
      </c>
      <c r="G12" s="6" t="str">
        <f t="shared" si="0"/>
        <v/>
      </c>
      <c r="H12" s="5" t="str">
        <f t="shared" si="1"/>
        <v>Not Started</v>
      </c>
      <c r="I12" s="5">
        <f>COUNTIFS(H171:H186,"Critical",I171:I186,"&lt;2")+COUNTIFS(H171:H186,"High",I171:I186,"&lt;2")</f>
        <v>0</v>
      </c>
      <c r="J12" s="5">
        <f>COUNTIF(T171:T186,"In Progress")+COUNTIF(T171:T186,"Not Started")</f>
        <v>0</v>
      </c>
      <c r="K12" s="5">
        <f ca="1">COUNTIFS(P171:P186,"&lt;"&amp;TODAY(),Q171:Q186,"")</f>
        <v>0</v>
      </c>
      <c r="L12" s="3"/>
      <c r="M12" s="3"/>
      <c r="N12" s="3"/>
      <c r="O12" s="3"/>
    </row>
    <row r="13" spans="1:21" ht="28" customHeight="1" x14ac:dyDescent="0.35">
      <c r="A13" s="4" t="s">
        <v>26</v>
      </c>
      <c r="B13" s="7">
        <v>46293</v>
      </c>
      <c r="C13" s="8"/>
      <c r="D13" s="3"/>
      <c r="E13" s="5">
        <f>SUMIF(I192:I207,"&gt;=0",I192:I207)</f>
        <v>0</v>
      </c>
      <c r="F13" s="5">
        <f>COUNT(I192:I207)*2</f>
        <v>0</v>
      </c>
      <c r="G13" s="6" t="str">
        <f t="shared" si="0"/>
        <v/>
      </c>
      <c r="H13" s="5" t="str">
        <f t="shared" si="1"/>
        <v>Not Started</v>
      </c>
      <c r="I13" s="5">
        <f>COUNTIFS(H192:H207,"Critical",I192:I207,"&lt;2")+COUNTIFS(H192:H207,"High",I192:I207,"&lt;2")</f>
        <v>0</v>
      </c>
      <c r="J13" s="5">
        <f>COUNTIF(T192:T207,"In Progress")+COUNTIF(T192:T207,"Not Started")</f>
        <v>0</v>
      </c>
      <c r="K13" s="5">
        <f ca="1">COUNTIFS(P192:P207,"&lt;"&amp;TODAY(),Q192:Q207,"")</f>
        <v>0</v>
      </c>
      <c r="L13" s="3"/>
      <c r="M13" s="3"/>
      <c r="N13" s="3"/>
      <c r="O13" s="3"/>
    </row>
    <row r="14" spans="1:21" ht="28" customHeight="1" x14ac:dyDescent="0.35">
      <c r="A14" s="4" t="s">
        <v>27</v>
      </c>
      <c r="B14" s="7">
        <v>46323</v>
      </c>
      <c r="C14" s="8"/>
      <c r="D14" s="3"/>
      <c r="E14" s="5">
        <f>SUMIF(I213:I228,"&gt;=0",I213:I228)</f>
        <v>0</v>
      </c>
      <c r="F14" s="5">
        <f>COUNT(I213:I228)*2</f>
        <v>0</v>
      </c>
      <c r="G14" s="6" t="str">
        <f t="shared" si="0"/>
        <v/>
      </c>
      <c r="H14" s="5" t="str">
        <f t="shared" si="1"/>
        <v>Not Started</v>
      </c>
      <c r="I14" s="5">
        <f>COUNTIFS(H213:H228,"Critical",I213:I228,"&lt;2")+COUNTIFS(H213:H228,"High",I213:I228,"&lt;2")</f>
        <v>0</v>
      </c>
      <c r="J14" s="5">
        <f>COUNTIF(T213:T228,"In Progress")+COUNTIF(T213:T228,"Not Started")</f>
        <v>0</v>
      </c>
      <c r="K14" s="5">
        <f ca="1">COUNTIFS(P213:P228,"&lt;"&amp;TODAY(),Q213:Q228,"")</f>
        <v>0</v>
      </c>
      <c r="L14" s="3"/>
      <c r="M14" s="3"/>
      <c r="N14" s="3"/>
      <c r="O14" s="3"/>
    </row>
    <row r="15" spans="1:21" ht="28" customHeight="1" x14ac:dyDescent="0.35">
      <c r="A15" s="4" t="s">
        <v>28</v>
      </c>
      <c r="B15" s="7">
        <v>46354</v>
      </c>
      <c r="C15" s="8"/>
      <c r="D15" s="3"/>
      <c r="E15" s="5">
        <f>SUMIF(I234:I249,"&gt;=0",I234:I249)</f>
        <v>0</v>
      </c>
      <c r="F15" s="5">
        <f>COUNT(I234:I249)*2</f>
        <v>0</v>
      </c>
      <c r="G15" s="6" t="str">
        <f t="shared" si="0"/>
        <v/>
      </c>
      <c r="H15" s="5" t="str">
        <f t="shared" si="1"/>
        <v>Not Started</v>
      </c>
      <c r="I15" s="5">
        <f>COUNTIFS(H234:H249,"Critical",I234:I249,"&lt;2")+COUNTIFS(H234:H249,"High",I234:I249,"&lt;2")</f>
        <v>0</v>
      </c>
      <c r="J15" s="5">
        <f>COUNTIF(T234:T249,"In Progress")+COUNTIF(T234:T249,"Not Started")</f>
        <v>0</v>
      </c>
      <c r="K15" s="5">
        <f ca="1">COUNTIFS(P234:P249,"&lt;"&amp;TODAY(),Q234:Q249,"")</f>
        <v>0</v>
      </c>
      <c r="L15" s="3"/>
      <c r="M15" s="3"/>
      <c r="N15" s="3"/>
      <c r="O15" s="3"/>
    </row>
    <row r="16" spans="1:21" ht="28" customHeight="1" x14ac:dyDescent="0.35">
      <c r="A16" s="4" t="s">
        <v>29</v>
      </c>
      <c r="B16" s="7">
        <v>46384</v>
      </c>
      <c r="C16" s="8"/>
      <c r="D16" s="3"/>
      <c r="E16" s="5">
        <f>SUMIF(I255:I270,"&gt;=0",I255:I270)</f>
        <v>0</v>
      </c>
      <c r="F16" s="5">
        <f>COUNT(I255:I270)*2</f>
        <v>0</v>
      </c>
      <c r="G16" s="6" t="str">
        <f t="shared" si="0"/>
        <v/>
      </c>
      <c r="H16" s="5" t="str">
        <f t="shared" si="1"/>
        <v>Not Started</v>
      </c>
      <c r="I16" s="5">
        <f>COUNTIFS(H255:H270,"Critical",I255:I270,"&lt;2")+COUNTIFS(H255:H270,"High",I255:I270,"&lt;2")</f>
        <v>0</v>
      </c>
      <c r="J16" s="5">
        <f>COUNTIF(T255:T270,"In Progress")+COUNTIF(T255:T270,"Not Started")</f>
        <v>0</v>
      </c>
      <c r="K16" s="5">
        <f ca="1">COUNTIFS(P255:P270,"&lt;"&amp;TODAY(),Q255:Q270,"")</f>
        <v>0</v>
      </c>
      <c r="L16" s="3"/>
      <c r="M16" s="3"/>
      <c r="N16" s="3"/>
      <c r="O16" s="3"/>
    </row>
    <row r="21" spans="1:21" ht="28" customHeight="1" x14ac:dyDescent="0.35">
      <c r="A21" s="19" t="s">
        <v>557</v>
      </c>
      <c r="B21" s="20"/>
      <c r="C21" s="20"/>
      <c r="D21" s="20"/>
      <c r="E21" s="20"/>
      <c r="F21" s="20"/>
      <c r="G21" s="20"/>
      <c r="H21" s="20"/>
      <c r="I21" s="20"/>
      <c r="J21" s="20"/>
      <c r="K21" s="20"/>
      <c r="L21" s="20"/>
      <c r="M21" s="20"/>
      <c r="N21" s="20"/>
      <c r="O21" s="20"/>
      <c r="P21" s="20"/>
      <c r="Q21" s="20"/>
      <c r="R21" s="20"/>
      <c r="S21" s="20"/>
      <c r="T21" s="20"/>
      <c r="U21" s="21"/>
    </row>
    <row r="22" spans="1:21" ht="28" customHeight="1" x14ac:dyDescent="0.35">
      <c r="A22" s="4" t="s">
        <v>31</v>
      </c>
      <c r="B22" s="3" t="s">
        <v>18</v>
      </c>
      <c r="C22" s="4" t="s">
        <v>32</v>
      </c>
      <c r="D22" s="3"/>
      <c r="E22" s="4" t="s">
        <v>33</v>
      </c>
      <c r="F22" s="8"/>
    </row>
    <row r="23" spans="1:21" ht="28" customHeight="1" x14ac:dyDescent="0.35">
      <c r="A23" s="1" t="s">
        <v>34</v>
      </c>
      <c r="B23" s="1" t="s">
        <v>35</v>
      </c>
      <c r="C23" s="1" t="s">
        <v>36</v>
      </c>
      <c r="D23" s="1" t="s">
        <v>37</v>
      </c>
      <c r="E23" s="1" t="s">
        <v>38</v>
      </c>
      <c r="F23" s="1" t="s">
        <v>39</v>
      </c>
      <c r="G23" s="1" t="s">
        <v>40</v>
      </c>
      <c r="H23" s="1" t="s">
        <v>41</v>
      </c>
      <c r="I23" s="1" t="s">
        <v>42</v>
      </c>
      <c r="J23" s="1" t="s">
        <v>43</v>
      </c>
      <c r="K23" s="1" t="s">
        <v>44</v>
      </c>
      <c r="L23" s="1" t="s">
        <v>45</v>
      </c>
      <c r="M23" s="1" t="s">
        <v>46</v>
      </c>
      <c r="N23" s="1" t="s">
        <v>47</v>
      </c>
      <c r="O23" s="1" t="s">
        <v>48</v>
      </c>
      <c r="P23" s="1" t="s">
        <v>4</v>
      </c>
      <c r="Q23" s="1" t="s">
        <v>49</v>
      </c>
      <c r="R23" s="1" t="s">
        <v>50</v>
      </c>
      <c r="S23" s="1" t="s">
        <v>51</v>
      </c>
      <c r="T23" s="1" t="s">
        <v>52</v>
      </c>
      <c r="U23" s="1" t="s">
        <v>10</v>
      </c>
    </row>
    <row r="24" spans="1:21" ht="28" customHeight="1" x14ac:dyDescent="0.35">
      <c r="A24" s="4">
        <v>1</v>
      </c>
      <c r="B24" s="4" t="s">
        <v>53</v>
      </c>
      <c r="C24" s="4" t="s">
        <v>558</v>
      </c>
      <c r="D24" s="4" t="s">
        <v>559</v>
      </c>
      <c r="E24" s="4" t="s">
        <v>56</v>
      </c>
      <c r="F24" s="4" t="s">
        <v>57</v>
      </c>
      <c r="G24" s="4" t="s">
        <v>58</v>
      </c>
      <c r="H24" s="4" t="s">
        <v>59</v>
      </c>
      <c r="I24" s="3"/>
      <c r="J24" s="3"/>
      <c r="K24" s="3"/>
      <c r="L24" s="3"/>
      <c r="M24" s="3"/>
      <c r="N24" s="3"/>
      <c r="O24" s="3"/>
      <c r="P24" s="8"/>
      <c r="Q24" s="8"/>
      <c r="R24" s="3"/>
      <c r="S24" s="3"/>
      <c r="T24" s="3"/>
      <c r="U24" s="5" t="str">
        <f t="shared" ref="U24:U39" si="2">IF(I24="","",IF(I24="NA","Grey",IF(I24=2,"Green",IF(I24=1,"Amber","Red"))))</f>
        <v/>
      </c>
    </row>
    <row r="25" spans="1:21" ht="28" customHeight="1" x14ac:dyDescent="0.35">
      <c r="A25" s="4">
        <v>2</v>
      </c>
      <c r="B25" s="4" t="s">
        <v>53</v>
      </c>
      <c r="C25" s="4" t="s">
        <v>560</v>
      </c>
      <c r="D25" s="4" t="s">
        <v>561</v>
      </c>
      <c r="E25" s="4" t="s">
        <v>56</v>
      </c>
      <c r="F25" s="4" t="s">
        <v>57</v>
      </c>
      <c r="G25" s="4" t="s">
        <v>58</v>
      </c>
      <c r="H25" s="4" t="s">
        <v>59</v>
      </c>
      <c r="I25" s="3"/>
      <c r="J25" s="3"/>
      <c r="K25" s="3"/>
      <c r="L25" s="3"/>
      <c r="M25" s="3"/>
      <c r="N25" s="3"/>
      <c r="O25" s="3"/>
      <c r="P25" s="8"/>
      <c r="Q25" s="8"/>
      <c r="R25" s="3"/>
      <c r="S25" s="3"/>
      <c r="T25" s="3"/>
      <c r="U25" s="5" t="str">
        <f t="shared" si="2"/>
        <v/>
      </c>
    </row>
    <row r="26" spans="1:21" ht="28" customHeight="1" x14ac:dyDescent="0.35">
      <c r="A26" s="4">
        <v>3</v>
      </c>
      <c r="B26" s="4" t="s">
        <v>53</v>
      </c>
      <c r="C26" s="4" t="s">
        <v>562</v>
      </c>
      <c r="D26" s="4" t="s">
        <v>563</v>
      </c>
      <c r="E26" s="4" t="s">
        <v>56</v>
      </c>
      <c r="F26" s="4" t="s">
        <v>57</v>
      </c>
      <c r="G26" s="4" t="s">
        <v>58</v>
      </c>
      <c r="H26" s="4" t="s">
        <v>59</v>
      </c>
      <c r="I26" s="3"/>
      <c r="J26" s="3"/>
      <c r="K26" s="3"/>
      <c r="L26" s="3"/>
      <c r="M26" s="3"/>
      <c r="N26" s="3"/>
      <c r="O26" s="3"/>
      <c r="P26" s="8"/>
      <c r="Q26" s="8"/>
      <c r="R26" s="3"/>
      <c r="S26" s="3"/>
      <c r="T26" s="3"/>
      <c r="U26" s="5" t="str">
        <f t="shared" si="2"/>
        <v/>
      </c>
    </row>
    <row r="27" spans="1:21" ht="28" customHeight="1" x14ac:dyDescent="0.35">
      <c r="A27" s="4">
        <v>4</v>
      </c>
      <c r="B27" s="4" t="s">
        <v>53</v>
      </c>
      <c r="C27" s="4" t="s">
        <v>564</v>
      </c>
      <c r="D27" s="4" t="s">
        <v>565</v>
      </c>
      <c r="E27" s="4" t="s">
        <v>56</v>
      </c>
      <c r="F27" s="4" t="s">
        <v>57</v>
      </c>
      <c r="G27" s="4" t="s">
        <v>58</v>
      </c>
      <c r="H27" s="4" t="s">
        <v>59</v>
      </c>
      <c r="I27" s="3"/>
      <c r="J27" s="3"/>
      <c r="K27" s="3"/>
      <c r="L27" s="3"/>
      <c r="M27" s="3"/>
      <c r="N27" s="3"/>
      <c r="O27" s="3"/>
      <c r="P27" s="8"/>
      <c r="Q27" s="8"/>
      <c r="R27" s="3"/>
      <c r="S27" s="3"/>
      <c r="T27" s="3"/>
      <c r="U27" s="5" t="str">
        <f t="shared" si="2"/>
        <v/>
      </c>
    </row>
    <row r="28" spans="1:21" ht="28" customHeight="1" x14ac:dyDescent="0.35">
      <c r="A28" s="4">
        <v>5</v>
      </c>
      <c r="B28" s="4" t="s">
        <v>66</v>
      </c>
      <c r="C28" s="4" t="s">
        <v>67</v>
      </c>
      <c r="D28" s="4" t="s">
        <v>68</v>
      </c>
      <c r="E28" s="4" t="s">
        <v>69</v>
      </c>
      <c r="F28" s="4" t="s">
        <v>57</v>
      </c>
      <c r="G28" s="4" t="s">
        <v>58</v>
      </c>
      <c r="H28" s="4" t="s">
        <v>59</v>
      </c>
      <c r="I28" s="3"/>
      <c r="J28" s="3"/>
      <c r="K28" s="3"/>
      <c r="L28" s="3"/>
      <c r="M28" s="3"/>
      <c r="N28" s="3"/>
      <c r="O28" s="3"/>
      <c r="P28" s="8"/>
      <c r="Q28" s="8"/>
      <c r="R28" s="3"/>
      <c r="S28" s="3"/>
      <c r="T28" s="3"/>
      <c r="U28" s="5" t="str">
        <f t="shared" si="2"/>
        <v/>
      </c>
    </row>
    <row r="29" spans="1:21" ht="28" customHeight="1" x14ac:dyDescent="0.35">
      <c r="A29" s="4">
        <v>6</v>
      </c>
      <c r="B29" s="4" t="s">
        <v>70</v>
      </c>
      <c r="C29" s="4" t="s">
        <v>71</v>
      </c>
      <c r="D29" s="4" t="s">
        <v>72</v>
      </c>
      <c r="E29" s="4" t="s">
        <v>70</v>
      </c>
      <c r="F29" s="4" t="s">
        <v>57</v>
      </c>
      <c r="G29" s="4" t="s">
        <v>58</v>
      </c>
      <c r="H29" s="4" t="s">
        <v>59</v>
      </c>
      <c r="I29" s="3"/>
      <c r="J29" s="3"/>
      <c r="K29" s="3"/>
      <c r="L29" s="3"/>
      <c r="M29" s="3"/>
      <c r="N29" s="3"/>
      <c r="O29" s="3"/>
      <c r="P29" s="8"/>
      <c r="Q29" s="8"/>
      <c r="R29" s="3"/>
      <c r="S29" s="3"/>
      <c r="T29" s="3"/>
      <c r="U29" s="5" t="str">
        <f t="shared" si="2"/>
        <v/>
      </c>
    </row>
    <row r="30" spans="1:21" ht="28" customHeight="1" x14ac:dyDescent="0.35">
      <c r="A30" s="4">
        <v>7</v>
      </c>
      <c r="B30" s="4" t="s">
        <v>73</v>
      </c>
      <c r="C30" s="4" t="s">
        <v>74</v>
      </c>
      <c r="D30" s="4" t="s">
        <v>75</v>
      </c>
      <c r="E30" s="4" t="s">
        <v>69</v>
      </c>
      <c r="F30" s="4" t="s">
        <v>57</v>
      </c>
      <c r="G30" s="4" t="s">
        <v>58</v>
      </c>
      <c r="H30" s="4" t="s">
        <v>76</v>
      </c>
      <c r="I30" s="3"/>
      <c r="J30" s="3"/>
      <c r="K30" s="3"/>
      <c r="L30" s="3"/>
      <c r="M30" s="3"/>
      <c r="N30" s="3"/>
      <c r="O30" s="3"/>
      <c r="P30" s="8"/>
      <c r="Q30" s="8"/>
      <c r="R30" s="3"/>
      <c r="S30" s="3"/>
      <c r="T30" s="3"/>
      <c r="U30" s="5" t="str">
        <f t="shared" si="2"/>
        <v/>
      </c>
    </row>
    <row r="31" spans="1:21" ht="28" customHeight="1" x14ac:dyDescent="0.35">
      <c r="A31" s="4">
        <v>8</v>
      </c>
      <c r="B31" s="4" t="s">
        <v>77</v>
      </c>
      <c r="C31" s="4" t="s">
        <v>78</v>
      </c>
      <c r="D31" s="4" t="s">
        <v>79</v>
      </c>
      <c r="E31" s="4" t="s">
        <v>80</v>
      </c>
      <c r="F31" s="4" t="s">
        <v>57</v>
      </c>
      <c r="G31" s="4" t="s">
        <v>58</v>
      </c>
      <c r="H31" s="4" t="s">
        <v>59</v>
      </c>
      <c r="I31" s="3"/>
      <c r="J31" s="3"/>
      <c r="K31" s="3"/>
      <c r="L31" s="3"/>
      <c r="M31" s="3"/>
      <c r="N31" s="3"/>
      <c r="O31" s="3"/>
      <c r="P31" s="8"/>
      <c r="Q31" s="8"/>
      <c r="R31" s="3"/>
      <c r="S31" s="3"/>
      <c r="T31" s="3"/>
      <c r="U31" s="5" t="str">
        <f t="shared" si="2"/>
        <v/>
      </c>
    </row>
    <row r="32" spans="1:21" ht="28" customHeight="1" x14ac:dyDescent="0.35">
      <c r="A32" s="4">
        <v>9</v>
      </c>
      <c r="B32" s="4" t="s">
        <v>81</v>
      </c>
      <c r="C32" s="4" t="s">
        <v>82</v>
      </c>
      <c r="D32" s="4" t="s">
        <v>83</v>
      </c>
      <c r="E32" s="4" t="s">
        <v>84</v>
      </c>
      <c r="F32" s="4" t="s">
        <v>57</v>
      </c>
      <c r="G32" s="4" t="s">
        <v>58</v>
      </c>
      <c r="H32" s="4" t="s">
        <v>85</v>
      </c>
      <c r="I32" s="3"/>
      <c r="J32" s="3"/>
      <c r="K32" s="3"/>
      <c r="L32" s="3"/>
      <c r="M32" s="3"/>
      <c r="N32" s="3"/>
      <c r="O32" s="3"/>
      <c r="P32" s="8"/>
      <c r="Q32" s="8"/>
      <c r="R32" s="3"/>
      <c r="S32" s="3"/>
      <c r="T32" s="3"/>
      <c r="U32" s="5" t="str">
        <f t="shared" si="2"/>
        <v/>
      </c>
    </row>
    <row r="33" spans="1:21" ht="28" customHeight="1" x14ac:dyDescent="0.35">
      <c r="A33" s="4">
        <v>10</v>
      </c>
      <c r="B33" s="4" t="s">
        <v>86</v>
      </c>
      <c r="C33" s="4" t="s">
        <v>87</v>
      </c>
      <c r="D33" s="4" t="s">
        <v>88</v>
      </c>
      <c r="E33" s="4" t="s">
        <v>69</v>
      </c>
      <c r="F33" s="4" t="s">
        <v>57</v>
      </c>
      <c r="G33" s="4" t="s">
        <v>58</v>
      </c>
      <c r="H33" s="4" t="s">
        <v>59</v>
      </c>
      <c r="I33" s="3"/>
      <c r="J33" s="3"/>
      <c r="K33" s="3"/>
      <c r="L33" s="3"/>
      <c r="M33" s="3"/>
      <c r="N33" s="3"/>
      <c r="O33" s="3"/>
      <c r="P33" s="8"/>
      <c r="Q33" s="8"/>
      <c r="R33" s="3"/>
      <c r="S33" s="3"/>
      <c r="T33" s="3"/>
      <c r="U33" s="5" t="str">
        <f t="shared" si="2"/>
        <v/>
      </c>
    </row>
    <row r="34" spans="1:21" ht="28" customHeight="1" x14ac:dyDescent="0.35">
      <c r="A34" s="4">
        <v>11</v>
      </c>
      <c r="B34" s="4" t="s">
        <v>89</v>
      </c>
      <c r="C34" s="4" t="s">
        <v>90</v>
      </c>
      <c r="D34" s="4" t="s">
        <v>91</v>
      </c>
      <c r="E34" s="4" t="s">
        <v>84</v>
      </c>
      <c r="F34" s="4" t="s">
        <v>57</v>
      </c>
      <c r="G34" s="4" t="s">
        <v>58</v>
      </c>
      <c r="H34" s="4" t="s">
        <v>59</v>
      </c>
      <c r="I34" s="3"/>
      <c r="J34" s="3"/>
      <c r="K34" s="3"/>
      <c r="L34" s="3"/>
      <c r="M34" s="3"/>
      <c r="N34" s="3"/>
      <c r="O34" s="3"/>
      <c r="P34" s="8"/>
      <c r="Q34" s="8"/>
      <c r="R34" s="3"/>
      <c r="S34" s="3"/>
      <c r="T34" s="3"/>
      <c r="U34" s="5" t="str">
        <f t="shared" si="2"/>
        <v/>
      </c>
    </row>
    <row r="35" spans="1:21" ht="28" customHeight="1" x14ac:dyDescent="0.35">
      <c r="A35" s="4">
        <v>12</v>
      </c>
      <c r="B35" s="4" t="s">
        <v>92</v>
      </c>
      <c r="C35" s="4" t="s">
        <v>93</v>
      </c>
      <c r="D35" s="4" t="s">
        <v>94</v>
      </c>
      <c r="E35" s="4" t="s">
        <v>69</v>
      </c>
      <c r="F35" s="4" t="s">
        <v>95</v>
      </c>
      <c r="G35" s="4" t="s">
        <v>96</v>
      </c>
      <c r="H35" s="4" t="s">
        <v>59</v>
      </c>
      <c r="I35" s="3"/>
      <c r="J35" s="3"/>
      <c r="K35" s="3"/>
      <c r="L35" s="3"/>
      <c r="M35" s="3"/>
      <c r="N35" s="3"/>
      <c r="O35" s="3"/>
      <c r="P35" s="8"/>
      <c r="Q35" s="8"/>
      <c r="R35" s="3"/>
      <c r="S35" s="3"/>
      <c r="T35" s="3"/>
      <c r="U35" s="5" t="str">
        <f t="shared" si="2"/>
        <v/>
      </c>
    </row>
    <row r="36" spans="1:21" ht="28" customHeight="1" x14ac:dyDescent="0.35">
      <c r="A36" s="4">
        <v>13</v>
      </c>
      <c r="B36" s="4" t="s">
        <v>97</v>
      </c>
      <c r="C36" s="4" t="s">
        <v>98</v>
      </c>
      <c r="D36" s="4" t="s">
        <v>99</v>
      </c>
      <c r="E36" s="4" t="s">
        <v>69</v>
      </c>
      <c r="F36" s="4" t="s">
        <v>95</v>
      </c>
      <c r="G36" s="4" t="s">
        <v>96</v>
      </c>
      <c r="H36" s="4" t="s">
        <v>59</v>
      </c>
      <c r="I36" s="3"/>
      <c r="J36" s="3"/>
      <c r="K36" s="3"/>
      <c r="L36" s="3"/>
      <c r="M36" s="3"/>
      <c r="N36" s="3"/>
      <c r="O36" s="3"/>
      <c r="P36" s="8"/>
      <c r="Q36" s="8"/>
      <c r="R36" s="3"/>
      <c r="S36" s="3"/>
      <c r="T36" s="3"/>
      <c r="U36" s="5" t="str">
        <f t="shared" si="2"/>
        <v/>
      </c>
    </row>
    <row r="37" spans="1:21" ht="28" customHeight="1" x14ac:dyDescent="0.35">
      <c r="A37" s="4">
        <v>14</v>
      </c>
      <c r="B37" s="4" t="s">
        <v>97</v>
      </c>
      <c r="C37" s="4" t="s">
        <v>100</v>
      </c>
      <c r="D37" s="4" t="s">
        <v>101</v>
      </c>
      <c r="E37" s="4" t="s">
        <v>69</v>
      </c>
      <c r="F37" s="4" t="s">
        <v>95</v>
      </c>
      <c r="G37" s="4" t="s">
        <v>102</v>
      </c>
      <c r="H37" s="4" t="s">
        <v>59</v>
      </c>
      <c r="I37" s="3"/>
      <c r="J37" s="3"/>
      <c r="K37" s="3"/>
      <c r="L37" s="3"/>
      <c r="M37" s="3"/>
      <c r="N37" s="3"/>
      <c r="O37" s="3"/>
      <c r="P37" s="8"/>
      <c r="Q37" s="8"/>
      <c r="R37" s="3"/>
      <c r="S37" s="3"/>
      <c r="T37" s="3"/>
      <c r="U37" s="5" t="str">
        <f t="shared" si="2"/>
        <v/>
      </c>
    </row>
    <row r="38" spans="1:21" ht="28" customHeight="1" x14ac:dyDescent="0.35">
      <c r="A38" s="4">
        <v>15</v>
      </c>
      <c r="B38" s="4" t="s">
        <v>103</v>
      </c>
      <c r="C38" s="4" t="s">
        <v>104</v>
      </c>
      <c r="D38" s="4" t="s">
        <v>105</v>
      </c>
      <c r="E38" s="4" t="s">
        <v>69</v>
      </c>
      <c r="F38" s="4" t="s">
        <v>95</v>
      </c>
      <c r="G38" s="4" t="s">
        <v>96</v>
      </c>
      <c r="H38" s="4" t="s">
        <v>85</v>
      </c>
      <c r="I38" s="3"/>
      <c r="J38" s="3"/>
      <c r="K38" s="3"/>
      <c r="L38" s="3"/>
      <c r="M38" s="3"/>
      <c r="N38" s="3"/>
      <c r="O38" s="3"/>
      <c r="P38" s="8"/>
      <c r="Q38" s="8"/>
      <c r="R38" s="3"/>
      <c r="S38" s="3"/>
      <c r="T38" s="3"/>
      <c r="U38" s="5" t="str">
        <f t="shared" si="2"/>
        <v/>
      </c>
    </row>
    <row r="39" spans="1:21" ht="28" customHeight="1" x14ac:dyDescent="0.35">
      <c r="A39" s="4">
        <v>16</v>
      </c>
      <c r="B39" s="4" t="s">
        <v>106</v>
      </c>
      <c r="C39" s="4" t="s">
        <v>107</v>
      </c>
      <c r="D39" s="4" t="s">
        <v>108</v>
      </c>
      <c r="E39" s="4" t="s">
        <v>109</v>
      </c>
      <c r="F39" s="4" t="s">
        <v>95</v>
      </c>
      <c r="G39" s="4" t="s">
        <v>96</v>
      </c>
      <c r="H39" s="4" t="s">
        <v>59</v>
      </c>
      <c r="I39" s="3"/>
      <c r="J39" s="3"/>
      <c r="K39" s="3"/>
      <c r="L39" s="3"/>
      <c r="M39" s="3"/>
      <c r="N39" s="3"/>
      <c r="O39" s="3"/>
      <c r="P39" s="8"/>
      <c r="Q39" s="8"/>
      <c r="R39" s="3"/>
      <c r="S39" s="3"/>
      <c r="T39" s="3"/>
      <c r="U39" s="5" t="str">
        <f t="shared" si="2"/>
        <v/>
      </c>
    </row>
    <row r="41" spans="1:21" ht="28" customHeight="1" x14ac:dyDescent="0.35">
      <c r="A41" s="9" t="s">
        <v>110</v>
      </c>
      <c r="B41" s="16"/>
      <c r="C41" s="17"/>
      <c r="D41" s="17"/>
      <c r="E41" s="17"/>
      <c r="F41" s="17"/>
      <c r="G41" s="17"/>
      <c r="H41" s="17"/>
      <c r="I41" s="17"/>
      <c r="J41" s="17"/>
      <c r="K41" s="17"/>
      <c r="L41" s="17"/>
      <c r="M41" s="17"/>
      <c r="N41" s="17"/>
      <c r="O41" s="17"/>
      <c r="P41" s="17"/>
      <c r="Q41" s="17"/>
      <c r="R41" s="17"/>
      <c r="S41" s="17"/>
      <c r="T41" s="17"/>
      <c r="U41" s="18"/>
    </row>
    <row r="42" spans="1:21" ht="28" customHeight="1" x14ac:dyDescent="0.35">
      <c r="A42" s="19" t="s">
        <v>566</v>
      </c>
      <c r="B42" s="20"/>
      <c r="C42" s="20"/>
      <c r="D42" s="20"/>
      <c r="E42" s="20"/>
      <c r="F42" s="20"/>
      <c r="G42" s="20"/>
      <c r="H42" s="20"/>
      <c r="I42" s="20"/>
      <c r="J42" s="20"/>
      <c r="K42" s="20"/>
      <c r="L42" s="20"/>
      <c r="M42" s="20"/>
      <c r="N42" s="20"/>
      <c r="O42" s="20"/>
      <c r="P42" s="20"/>
      <c r="Q42" s="20"/>
      <c r="R42" s="20"/>
      <c r="S42" s="20"/>
      <c r="T42" s="20"/>
      <c r="U42" s="21"/>
    </row>
    <row r="43" spans="1:21" ht="28" customHeight="1" x14ac:dyDescent="0.35">
      <c r="A43" s="4" t="s">
        <v>31</v>
      </c>
      <c r="B43" s="3" t="s">
        <v>19</v>
      </c>
      <c r="C43" s="4" t="s">
        <v>32</v>
      </c>
      <c r="D43" s="3"/>
      <c r="E43" s="4" t="s">
        <v>33</v>
      </c>
      <c r="F43" s="8"/>
    </row>
    <row r="44" spans="1:21" ht="28" customHeight="1" x14ac:dyDescent="0.35">
      <c r="A44" s="1" t="s">
        <v>34</v>
      </c>
      <c r="B44" s="1" t="s">
        <v>35</v>
      </c>
      <c r="C44" s="1" t="s">
        <v>36</v>
      </c>
      <c r="D44" s="1" t="s">
        <v>37</v>
      </c>
      <c r="E44" s="1" t="s">
        <v>38</v>
      </c>
      <c r="F44" s="1" t="s">
        <v>39</v>
      </c>
      <c r="G44" s="1" t="s">
        <v>40</v>
      </c>
      <c r="H44" s="1" t="s">
        <v>41</v>
      </c>
      <c r="I44" s="1" t="s">
        <v>42</v>
      </c>
      <c r="J44" s="1" t="s">
        <v>43</v>
      </c>
      <c r="K44" s="1" t="s">
        <v>44</v>
      </c>
      <c r="L44" s="1" t="s">
        <v>45</v>
      </c>
      <c r="M44" s="1" t="s">
        <v>46</v>
      </c>
      <c r="N44" s="1" t="s">
        <v>47</v>
      </c>
      <c r="O44" s="1" t="s">
        <v>48</v>
      </c>
      <c r="P44" s="1" t="s">
        <v>4</v>
      </c>
      <c r="Q44" s="1" t="s">
        <v>49</v>
      </c>
      <c r="R44" s="1" t="s">
        <v>50</v>
      </c>
      <c r="S44" s="1" t="s">
        <v>51</v>
      </c>
      <c r="T44" s="1" t="s">
        <v>52</v>
      </c>
      <c r="U44" s="1" t="s">
        <v>10</v>
      </c>
    </row>
    <row r="45" spans="1:21" ht="28" customHeight="1" x14ac:dyDescent="0.35">
      <c r="A45" s="4">
        <v>1</v>
      </c>
      <c r="B45" s="4" t="s">
        <v>53</v>
      </c>
      <c r="C45" s="4" t="s">
        <v>558</v>
      </c>
      <c r="D45" s="4" t="s">
        <v>559</v>
      </c>
      <c r="E45" s="4" t="s">
        <v>56</v>
      </c>
      <c r="F45" s="4" t="s">
        <v>57</v>
      </c>
      <c r="G45" s="4" t="s">
        <v>58</v>
      </c>
      <c r="H45" s="4" t="s">
        <v>59</v>
      </c>
      <c r="I45" s="3"/>
      <c r="J45" s="3"/>
      <c r="K45" s="3"/>
      <c r="L45" s="3"/>
      <c r="M45" s="3"/>
      <c r="N45" s="3"/>
      <c r="O45" s="3"/>
      <c r="P45" s="8"/>
      <c r="Q45" s="8"/>
      <c r="R45" s="3"/>
      <c r="S45" s="3"/>
      <c r="T45" s="3"/>
      <c r="U45" s="5" t="str">
        <f t="shared" ref="U45:U60" si="3">IF(I45="","",IF(I45="NA","Grey",IF(I45=2,"Green",IF(I45=1,"Amber","Red"))))</f>
        <v/>
      </c>
    </row>
    <row r="46" spans="1:21" ht="28" customHeight="1" x14ac:dyDescent="0.35">
      <c r="A46" s="4">
        <v>2</v>
      </c>
      <c r="B46" s="4" t="s">
        <v>53</v>
      </c>
      <c r="C46" s="4" t="s">
        <v>560</v>
      </c>
      <c r="D46" s="4" t="s">
        <v>561</v>
      </c>
      <c r="E46" s="4" t="s">
        <v>56</v>
      </c>
      <c r="F46" s="4" t="s">
        <v>57</v>
      </c>
      <c r="G46" s="4" t="s">
        <v>58</v>
      </c>
      <c r="H46" s="4" t="s">
        <v>59</v>
      </c>
      <c r="I46" s="3"/>
      <c r="J46" s="3"/>
      <c r="K46" s="3"/>
      <c r="L46" s="3"/>
      <c r="M46" s="3"/>
      <c r="N46" s="3"/>
      <c r="O46" s="3"/>
      <c r="P46" s="8"/>
      <c r="Q46" s="8"/>
      <c r="R46" s="3"/>
      <c r="S46" s="3"/>
      <c r="T46" s="3"/>
      <c r="U46" s="5" t="str">
        <f t="shared" si="3"/>
        <v/>
      </c>
    </row>
    <row r="47" spans="1:21" ht="28" customHeight="1" x14ac:dyDescent="0.35">
      <c r="A47" s="4">
        <v>3</v>
      </c>
      <c r="B47" s="4" t="s">
        <v>53</v>
      </c>
      <c r="C47" s="4" t="s">
        <v>562</v>
      </c>
      <c r="D47" s="4" t="s">
        <v>563</v>
      </c>
      <c r="E47" s="4" t="s">
        <v>56</v>
      </c>
      <c r="F47" s="4" t="s">
        <v>57</v>
      </c>
      <c r="G47" s="4" t="s">
        <v>58</v>
      </c>
      <c r="H47" s="4" t="s">
        <v>59</v>
      </c>
      <c r="I47" s="3"/>
      <c r="J47" s="3"/>
      <c r="K47" s="3"/>
      <c r="L47" s="3"/>
      <c r="M47" s="3"/>
      <c r="N47" s="3"/>
      <c r="O47" s="3"/>
      <c r="P47" s="8"/>
      <c r="Q47" s="8"/>
      <c r="R47" s="3"/>
      <c r="S47" s="3"/>
      <c r="T47" s="3"/>
      <c r="U47" s="5" t="str">
        <f t="shared" si="3"/>
        <v/>
      </c>
    </row>
    <row r="48" spans="1:21" ht="28" customHeight="1" x14ac:dyDescent="0.35">
      <c r="A48" s="4">
        <v>4</v>
      </c>
      <c r="B48" s="4" t="s">
        <v>53</v>
      </c>
      <c r="C48" s="4" t="s">
        <v>564</v>
      </c>
      <c r="D48" s="4" t="s">
        <v>565</v>
      </c>
      <c r="E48" s="4" t="s">
        <v>56</v>
      </c>
      <c r="F48" s="4" t="s">
        <v>57</v>
      </c>
      <c r="G48" s="4" t="s">
        <v>58</v>
      </c>
      <c r="H48" s="4" t="s">
        <v>59</v>
      </c>
      <c r="I48" s="3"/>
      <c r="J48" s="3"/>
      <c r="K48" s="3"/>
      <c r="L48" s="3"/>
      <c r="M48" s="3"/>
      <c r="N48" s="3"/>
      <c r="O48" s="3"/>
      <c r="P48" s="8"/>
      <c r="Q48" s="8"/>
      <c r="R48" s="3"/>
      <c r="S48" s="3"/>
      <c r="T48" s="3"/>
      <c r="U48" s="5" t="str">
        <f t="shared" si="3"/>
        <v/>
      </c>
    </row>
    <row r="49" spans="1:21" ht="28" customHeight="1" x14ac:dyDescent="0.35">
      <c r="A49" s="4">
        <v>5</v>
      </c>
      <c r="B49" s="4" t="s">
        <v>66</v>
      </c>
      <c r="C49" s="4" t="s">
        <v>67</v>
      </c>
      <c r="D49" s="4" t="s">
        <v>68</v>
      </c>
      <c r="E49" s="4" t="s">
        <v>69</v>
      </c>
      <c r="F49" s="4" t="s">
        <v>57</v>
      </c>
      <c r="G49" s="4" t="s">
        <v>58</v>
      </c>
      <c r="H49" s="4" t="s">
        <v>59</v>
      </c>
      <c r="I49" s="3"/>
      <c r="J49" s="3"/>
      <c r="K49" s="3"/>
      <c r="L49" s="3"/>
      <c r="M49" s="3"/>
      <c r="N49" s="3"/>
      <c r="O49" s="3"/>
      <c r="P49" s="8"/>
      <c r="Q49" s="8"/>
      <c r="R49" s="3"/>
      <c r="S49" s="3"/>
      <c r="T49" s="3"/>
      <c r="U49" s="5" t="str">
        <f t="shared" si="3"/>
        <v/>
      </c>
    </row>
    <row r="50" spans="1:21" ht="28" customHeight="1" x14ac:dyDescent="0.35">
      <c r="A50" s="4">
        <v>6</v>
      </c>
      <c r="B50" s="4" t="s">
        <v>70</v>
      </c>
      <c r="C50" s="4" t="s">
        <v>71</v>
      </c>
      <c r="D50" s="4" t="s">
        <v>72</v>
      </c>
      <c r="E50" s="4" t="s">
        <v>70</v>
      </c>
      <c r="F50" s="4" t="s">
        <v>57</v>
      </c>
      <c r="G50" s="4" t="s">
        <v>58</v>
      </c>
      <c r="H50" s="4" t="s">
        <v>59</v>
      </c>
      <c r="I50" s="3"/>
      <c r="J50" s="3"/>
      <c r="K50" s="3"/>
      <c r="L50" s="3"/>
      <c r="M50" s="3"/>
      <c r="N50" s="3"/>
      <c r="O50" s="3"/>
      <c r="P50" s="8"/>
      <c r="Q50" s="8"/>
      <c r="R50" s="3"/>
      <c r="S50" s="3"/>
      <c r="T50" s="3"/>
      <c r="U50" s="5" t="str">
        <f t="shared" si="3"/>
        <v/>
      </c>
    </row>
    <row r="51" spans="1:21" ht="28" customHeight="1" x14ac:dyDescent="0.35">
      <c r="A51" s="4">
        <v>7</v>
      </c>
      <c r="B51" s="4" t="s">
        <v>73</v>
      </c>
      <c r="C51" s="4" t="s">
        <v>74</v>
      </c>
      <c r="D51" s="4" t="s">
        <v>75</v>
      </c>
      <c r="E51" s="4" t="s">
        <v>69</v>
      </c>
      <c r="F51" s="4" t="s">
        <v>57</v>
      </c>
      <c r="G51" s="4" t="s">
        <v>58</v>
      </c>
      <c r="H51" s="4" t="s">
        <v>76</v>
      </c>
      <c r="I51" s="3"/>
      <c r="J51" s="3"/>
      <c r="K51" s="3"/>
      <c r="L51" s="3"/>
      <c r="M51" s="3"/>
      <c r="N51" s="3"/>
      <c r="O51" s="3"/>
      <c r="P51" s="8"/>
      <c r="Q51" s="8"/>
      <c r="R51" s="3"/>
      <c r="S51" s="3"/>
      <c r="T51" s="3"/>
      <c r="U51" s="5" t="str">
        <f t="shared" si="3"/>
        <v/>
      </c>
    </row>
    <row r="52" spans="1:21" ht="28" customHeight="1" x14ac:dyDescent="0.35">
      <c r="A52" s="4">
        <v>8</v>
      </c>
      <c r="B52" s="4" t="s">
        <v>77</v>
      </c>
      <c r="C52" s="4" t="s">
        <v>78</v>
      </c>
      <c r="D52" s="4" t="s">
        <v>79</v>
      </c>
      <c r="E52" s="4" t="s">
        <v>80</v>
      </c>
      <c r="F52" s="4" t="s">
        <v>57</v>
      </c>
      <c r="G52" s="4" t="s">
        <v>58</v>
      </c>
      <c r="H52" s="4" t="s">
        <v>59</v>
      </c>
      <c r="I52" s="3"/>
      <c r="J52" s="3"/>
      <c r="K52" s="3"/>
      <c r="L52" s="3"/>
      <c r="M52" s="3"/>
      <c r="N52" s="3"/>
      <c r="O52" s="3"/>
      <c r="P52" s="8"/>
      <c r="Q52" s="8"/>
      <c r="R52" s="3"/>
      <c r="S52" s="3"/>
      <c r="T52" s="3"/>
      <c r="U52" s="5" t="str">
        <f t="shared" si="3"/>
        <v/>
      </c>
    </row>
    <row r="53" spans="1:21" ht="28" customHeight="1" x14ac:dyDescent="0.35">
      <c r="A53" s="4">
        <v>9</v>
      </c>
      <c r="B53" s="4" t="s">
        <v>81</v>
      </c>
      <c r="C53" s="4" t="s">
        <v>82</v>
      </c>
      <c r="D53" s="4" t="s">
        <v>83</v>
      </c>
      <c r="E53" s="4" t="s">
        <v>84</v>
      </c>
      <c r="F53" s="4" t="s">
        <v>57</v>
      </c>
      <c r="G53" s="4" t="s">
        <v>58</v>
      </c>
      <c r="H53" s="4" t="s">
        <v>85</v>
      </c>
      <c r="I53" s="3"/>
      <c r="J53" s="3"/>
      <c r="K53" s="3"/>
      <c r="L53" s="3"/>
      <c r="M53" s="3"/>
      <c r="N53" s="3"/>
      <c r="O53" s="3"/>
      <c r="P53" s="8"/>
      <c r="Q53" s="8"/>
      <c r="R53" s="3"/>
      <c r="S53" s="3"/>
      <c r="T53" s="3"/>
      <c r="U53" s="5" t="str">
        <f t="shared" si="3"/>
        <v/>
      </c>
    </row>
    <row r="54" spans="1:21" ht="28" customHeight="1" x14ac:dyDescent="0.35">
      <c r="A54" s="4">
        <v>10</v>
      </c>
      <c r="B54" s="4" t="s">
        <v>86</v>
      </c>
      <c r="C54" s="4" t="s">
        <v>87</v>
      </c>
      <c r="D54" s="4" t="s">
        <v>88</v>
      </c>
      <c r="E54" s="4" t="s">
        <v>69</v>
      </c>
      <c r="F54" s="4" t="s">
        <v>57</v>
      </c>
      <c r="G54" s="4" t="s">
        <v>58</v>
      </c>
      <c r="H54" s="4" t="s">
        <v>59</v>
      </c>
      <c r="I54" s="3"/>
      <c r="J54" s="3"/>
      <c r="K54" s="3"/>
      <c r="L54" s="3"/>
      <c r="M54" s="3"/>
      <c r="N54" s="3"/>
      <c r="O54" s="3"/>
      <c r="P54" s="8"/>
      <c r="Q54" s="8"/>
      <c r="R54" s="3"/>
      <c r="S54" s="3"/>
      <c r="T54" s="3"/>
      <c r="U54" s="5" t="str">
        <f t="shared" si="3"/>
        <v/>
      </c>
    </row>
    <row r="55" spans="1:21" ht="28" customHeight="1" x14ac:dyDescent="0.35">
      <c r="A55" s="4">
        <v>11</v>
      </c>
      <c r="B55" s="4" t="s">
        <v>89</v>
      </c>
      <c r="C55" s="4" t="s">
        <v>90</v>
      </c>
      <c r="D55" s="4" t="s">
        <v>91</v>
      </c>
      <c r="E55" s="4" t="s">
        <v>84</v>
      </c>
      <c r="F55" s="4" t="s">
        <v>57</v>
      </c>
      <c r="G55" s="4" t="s">
        <v>58</v>
      </c>
      <c r="H55" s="4" t="s">
        <v>59</v>
      </c>
      <c r="I55" s="3"/>
      <c r="J55" s="3"/>
      <c r="K55" s="3"/>
      <c r="L55" s="3"/>
      <c r="M55" s="3"/>
      <c r="N55" s="3"/>
      <c r="O55" s="3"/>
      <c r="P55" s="8"/>
      <c r="Q55" s="8"/>
      <c r="R55" s="3"/>
      <c r="S55" s="3"/>
      <c r="T55" s="3"/>
      <c r="U55" s="5" t="str">
        <f t="shared" si="3"/>
        <v/>
      </c>
    </row>
    <row r="56" spans="1:21" ht="28" customHeight="1" x14ac:dyDescent="0.35">
      <c r="A56" s="4">
        <v>12</v>
      </c>
      <c r="B56" s="4" t="s">
        <v>92</v>
      </c>
      <c r="C56" s="4" t="s">
        <v>93</v>
      </c>
      <c r="D56" s="4" t="s">
        <v>94</v>
      </c>
      <c r="E56" s="4" t="s">
        <v>69</v>
      </c>
      <c r="F56" s="4" t="s">
        <v>95</v>
      </c>
      <c r="G56" s="4" t="s">
        <v>96</v>
      </c>
      <c r="H56" s="4" t="s">
        <v>59</v>
      </c>
      <c r="I56" s="3"/>
      <c r="J56" s="3"/>
      <c r="K56" s="3"/>
      <c r="L56" s="3"/>
      <c r="M56" s="3"/>
      <c r="N56" s="3"/>
      <c r="O56" s="3"/>
      <c r="P56" s="8"/>
      <c r="Q56" s="8"/>
      <c r="R56" s="3"/>
      <c r="S56" s="3"/>
      <c r="T56" s="3"/>
      <c r="U56" s="5" t="str">
        <f t="shared" si="3"/>
        <v/>
      </c>
    </row>
    <row r="57" spans="1:21" ht="28" customHeight="1" x14ac:dyDescent="0.35">
      <c r="A57" s="4">
        <v>13</v>
      </c>
      <c r="B57" s="4" t="s">
        <v>97</v>
      </c>
      <c r="C57" s="4" t="s">
        <v>98</v>
      </c>
      <c r="D57" s="4" t="s">
        <v>99</v>
      </c>
      <c r="E57" s="4" t="s">
        <v>69</v>
      </c>
      <c r="F57" s="4" t="s">
        <v>95</v>
      </c>
      <c r="G57" s="4" t="s">
        <v>96</v>
      </c>
      <c r="H57" s="4" t="s">
        <v>59</v>
      </c>
      <c r="I57" s="3"/>
      <c r="J57" s="3"/>
      <c r="K57" s="3"/>
      <c r="L57" s="3"/>
      <c r="M57" s="3"/>
      <c r="N57" s="3"/>
      <c r="O57" s="3"/>
      <c r="P57" s="8"/>
      <c r="Q57" s="8"/>
      <c r="R57" s="3"/>
      <c r="S57" s="3"/>
      <c r="T57" s="3"/>
      <c r="U57" s="5" t="str">
        <f t="shared" si="3"/>
        <v/>
      </c>
    </row>
    <row r="58" spans="1:21" ht="28" customHeight="1" x14ac:dyDescent="0.35">
      <c r="A58" s="4">
        <v>14</v>
      </c>
      <c r="B58" s="4" t="s">
        <v>97</v>
      </c>
      <c r="C58" s="4" t="s">
        <v>100</v>
      </c>
      <c r="D58" s="4" t="s">
        <v>101</v>
      </c>
      <c r="E58" s="4" t="s">
        <v>69</v>
      </c>
      <c r="F58" s="4" t="s">
        <v>95</v>
      </c>
      <c r="G58" s="4" t="s">
        <v>102</v>
      </c>
      <c r="H58" s="4" t="s">
        <v>59</v>
      </c>
      <c r="I58" s="3"/>
      <c r="J58" s="3"/>
      <c r="K58" s="3"/>
      <c r="L58" s="3"/>
      <c r="M58" s="3"/>
      <c r="N58" s="3"/>
      <c r="O58" s="3"/>
      <c r="P58" s="8"/>
      <c r="Q58" s="8"/>
      <c r="R58" s="3"/>
      <c r="S58" s="3"/>
      <c r="T58" s="3"/>
      <c r="U58" s="5" t="str">
        <f t="shared" si="3"/>
        <v/>
      </c>
    </row>
    <row r="59" spans="1:21" ht="28" customHeight="1" x14ac:dyDescent="0.35">
      <c r="A59" s="4">
        <v>15</v>
      </c>
      <c r="B59" s="4" t="s">
        <v>103</v>
      </c>
      <c r="C59" s="4" t="s">
        <v>104</v>
      </c>
      <c r="D59" s="4" t="s">
        <v>105</v>
      </c>
      <c r="E59" s="4" t="s">
        <v>69</v>
      </c>
      <c r="F59" s="4" t="s">
        <v>95</v>
      </c>
      <c r="G59" s="4" t="s">
        <v>96</v>
      </c>
      <c r="H59" s="4" t="s">
        <v>85</v>
      </c>
      <c r="I59" s="3"/>
      <c r="J59" s="3"/>
      <c r="K59" s="3"/>
      <c r="L59" s="3"/>
      <c r="M59" s="3"/>
      <c r="N59" s="3"/>
      <c r="O59" s="3"/>
      <c r="P59" s="8"/>
      <c r="Q59" s="8"/>
      <c r="R59" s="3"/>
      <c r="S59" s="3"/>
      <c r="T59" s="3"/>
      <c r="U59" s="5" t="str">
        <f t="shared" si="3"/>
        <v/>
      </c>
    </row>
    <row r="60" spans="1:21" ht="28" customHeight="1" x14ac:dyDescent="0.35">
      <c r="A60" s="4">
        <v>16</v>
      </c>
      <c r="B60" s="4" t="s">
        <v>106</v>
      </c>
      <c r="C60" s="4" t="s">
        <v>107</v>
      </c>
      <c r="D60" s="4" t="s">
        <v>108</v>
      </c>
      <c r="E60" s="4" t="s">
        <v>109</v>
      </c>
      <c r="F60" s="4" t="s">
        <v>95</v>
      </c>
      <c r="G60" s="4" t="s">
        <v>96</v>
      </c>
      <c r="H60" s="4" t="s">
        <v>59</v>
      </c>
      <c r="I60" s="3"/>
      <c r="J60" s="3"/>
      <c r="K60" s="3"/>
      <c r="L60" s="3"/>
      <c r="M60" s="3"/>
      <c r="N60" s="3"/>
      <c r="O60" s="3"/>
      <c r="P60" s="8"/>
      <c r="Q60" s="8"/>
      <c r="R60" s="3"/>
      <c r="S60" s="3"/>
      <c r="T60" s="3"/>
      <c r="U60" s="5" t="str">
        <f t="shared" si="3"/>
        <v/>
      </c>
    </row>
    <row r="62" spans="1:21" ht="28" customHeight="1" x14ac:dyDescent="0.35">
      <c r="A62" s="9" t="s">
        <v>110</v>
      </c>
      <c r="B62" s="16"/>
      <c r="C62" s="17"/>
      <c r="D62" s="17"/>
      <c r="E62" s="17"/>
      <c r="F62" s="17"/>
      <c r="G62" s="17"/>
      <c r="H62" s="17"/>
      <c r="I62" s="17"/>
      <c r="J62" s="17"/>
      <c r="K62" s="17"/>
      <c r="L62" s="17"/>
      <c r="M62" s="17"/>
      <c r="N62" s="17"/>
      <c r="O62" s="17"/>
      <c r="P62" s="17"/>
      <c r="Q62" s="17"/>
      <c r="R62" s="17"/>
      <c r="S62" s="17"/>
      <c r="T62" s="17"/>
      <c r="U62" s="18"/>
    </row>
    <row r="63" spans="1:21" ht="28" customHeight="1" x14ac:dyDescent="0.35">
      <c r="A63" s="19" t="s">
        <v>567</v>
      </c>
      <c r="B63" s="20"/>
      <c r="C63" s="20"/>
      <c r="D63" s="20"/>
      <c r="E63" s="20"/>
      <c r="F63" s="20"/>
      <c r="G63" s="20"/>
      <c r="H63" s="20"/>
      <c r="I63" s="20"/>
      <c r="J63" s="20"/>
      <c r="K63" s="20"/>
      <c r="L63" s="20"/>
      <c r="M63" s="20"/>
      <c r="N63" s="20"/>
      <c r="O63" s="20"/>
      <c r="P63" s="20"/>
      <c r="Q63" s="20"/>
      <c r="R63" s="20"/>
      <c r="S63" s="20"/>
      <c r="T63" s="20"/>
      <c r="U63" s="21"/>
    </row>
    <row r="64" spans="1:21" ht="28" customHeight="1" x14ac:dyDescent="0.35">
      <c r="A64" s="4" t="s">
        <v>31</v>
      </c>
      <c r="B64" s="3" t="s">
        <v>20</v>
      </c>
      <c r="C64" s="4" t="s">
        <v>32</v>
      </c>
      <c r="D64" s="3"/>
      <c r="E64" s="4" t="s">
        <v>33</v>
      </c>
      <c r="F64" s="8"/>
    </row>
    <row r="65" spans="1:21" ht="28" customHeight="1" x14ac:dyDescent="0.35">
      <c r="A65" s="1" t="s">
        <v>34</v>
      </c>
      <c r="B65" s="1" t="s">
        <v>35</v>
      </c>
      <c r="C65" s="1" t="s">
        <v>36</v>
      </c>
      <c r="D65" s="1" t="s">
        <v>37</v>
      </c>
      <c r="E65" s="1" t="s">
        <v>38</v>
      </c>
      <c r="F65" s="1" t="s">
        <v>39</v>
      </c>
      <c r="G65" s="1" t="s">
        <v>40</v>
      </c>
      <c r="H65" s="1" t="s">
        <v>41</v>
      </c>
      <c r="I65" s="1" t="s">
        <v>42</v>
      </c>
      <c r="J65" s="1" t="s">
        <v>43</v>
      </c>
      <c r="K65" s="1" t="s">
        <v>44</v>
      </c>
      <c r="L65" s="1" t="s">
        <v>45</v>
      </c>
      <c r="M65" s="1" t="s">
        <v>46</v>
      </c>
      <c r="N65" s="1" t="s">
        <v>47</v>
      </c>
      <c r="O65" s="1" t="s">
        <v>48</v>
      </c>
      <c r="P65" s="1" t="s">
        <v>4</v>
      </c>
      <c r="Q65" s="1" t="s">
        <v>49</v>
      </c>
      <c r="R65" s="1" t="s">
        <v>50</v>
      </c>
      <c r="S65" s="1" t="s">
        <v>51</v>
      </c>
      <c r="T65" s="1" t="s">
        <v>52</v>
      </c>
      <c r="U65" s="1" t="s">
        <v>10</v>
      </c>
    </row>
    <row r="66" spans="1:21" ht="28" customHeight="1" x14ac:dyDescent="0.35">
      <c r="A66" s="4">
        <v>1</v>
      </c>
      <c r="B66" s="4" t="s">
        <v>53</v>
      </c>
      <c r="C66" s="4" t="s">
        <v>558</v>
      </c>
      <c r="D66" s="4" t="s">
        <v>559</v>
      </c>
      <c r="E66" s="4" t="s">
        <v>56</v>
      </c>
      <c r="F66" s="4" t="s">
        <v>57</v>
      </c>
      <c r="G66" s="4" t="s">
        <v>58</v>
      </c>
      <c r="H66" s="4" t="s">
        <v>59</v>
      </c>
      <c r="I66" s="3"/>
      <c r="J66" s="3"/>
      <c r="K66" s="3"/>
      <c r="L66" s="3"/>
      <c r="M66" s="3"/>
      <c r="N66" s="3"/>
      <c r="O66" s="3"/>
      <c r="P66" s="8"/>
      <c r="Q66" s="8"/>
      <c r="R66" s="3"/>
      <c r="S66" s="3"/>
      <c r="T66" s="3"/>
      <c r="U66" s="5" t="str">
        <f t="shared" ref="U66:U81" si="4">IF(I66="","",IF(I66="NA","Grey",IF(I66=2,"Green",IF(I66=1,"Amber","Red"))))</f>
        <v/>
      </c>
    </row>
    <row r="67" spans="1:21" ht="28" customHeight="1" x14ac:dyDescent="0.35">
      <c r="A67" s="4">
        <v>2</v>
      </c>
      <c r="B67" s="4" t="s">
        <v>53</v>
      </c>
      <c r="C67" s="4" t="s">
        <v>560</v>
      </c>
      <c r="D67" s="4" t="s">
        <v>561</v>
      </c>
      <c r="E67" s="4" t="s">
        <v>56</v>
      </c>
      <c r="F67" s="4" t="s">
        <v>57</v>
      </c>
      <c r="G67" s="4" t="s">
        <v>58</v>
      </c>
      <c r="H67" s="4" t="s">
        <v>59</v>
      </c>
      <c r="I67" s="3"/>
      <c r="J67" s="3"/>
      <c r="K67" s="3"/>
      <c r="L67" s="3"/>
      <c r="M67" s="3"/>
      <c r="N67" s="3"/>
      <c r="O67" s="3"/>
      <c r="P67" s="8"/>
      <c r="Q67" s="8"/>
      <c r="R67" s="3"/>
      <c r="S67" s="3"/>
      <c r="T67" s="3"/>
      <c r="U67" s="5" t="str">
        <f t="shared" si="4"/>
        <v/>
      </c>
    </row>
    <row r="68" spans="1:21" ht="28" customHeight="1" x14ac:dyDescent="0.35">
      <c r="A68" s="4">
        <v>3</v>
      </c>
      <c r="B68" s="4" t="s">
        <v>53</v>
      </c>
      <c r="C68" s="4" t="s">
        <v>562</v>
      </c>
      <c r="D68" s="4" t="s">
        <v>563</v>
      </c>
      <c r="E68" s="4" t="s">
        <v>56</v>
      </c>
      <c r="F68" s="4" t="s">
        <v>57</v>
      </c>
      <c r="G68" s="4" t="s">
        <v>58</v>
      </c>
      <c r="H68" s="4" t="s">
        <v>59</v>
      </c>
      <c r="I68" s="3"/>
      <c r="J68" s="3"/>
      <c r="K68" s="3"/>
      <c r="L68" s="3"/>
      <c r="M68" s="3"/>
      <c r="N68" s="3"/>
      <c r="O68" s="3"/>
      <c r="P68" s="8"/>
      <c r="Q68" s="8"/>
      <c r="R68" s="3"/>
      <c r="S68" s="3"/>
      <c r="T68" s="3"/>
      <c r="U68" s="5" t="str">
        <f t="shared" si="4"/>
        <v/>
      </c>
    </row>
    <row r="69" spans="1:21" ht="28" customHeight="1" x14ac:dyDescent="0.35">
      <c r="A69" s="4">
        <v>4</v>
      </c>
      <c r="B69" s="4" t="s">
        <v>53</v>
      </c>
      <c r="C69" s="4" t="s">
        <v>564</v>
      </c>
      <c r="D69" s="4" t="s">
        <v>565</v>
      </c>
      <c r="E69" s="4" t="s">
        <v>56</v>
      </c>
      <c r="F69" s="4" t="s">
        <v>57</v>
      </c>
      <c r="G69" s="4" t="s">
        <v>58</v>
      </c>
      <c r="H69" s="4" t="s">
        <v>59</v>
      </c>
      <c r="I69" s="3"/>
      <c r="J69" s="3"/>
      <c r="K69" s="3"/>
      <c r="L69" s="3"/>
      <c r="M69" s="3"/>
      <c r="N69" s="3"/>
      <c r="O69" s="3"/>
      <c r="P69" s="8"/>
      <c r="Q69" s="8"/>
      <c r="R69" s="3"/>
      <c r="S69" s="3"/>
      <c r="T69" s="3"/>
      <c r="U69" s="5" t="str">
        <f t="shared" si="4"/>
        <v/>
      </c>
    </row>
    <row r="70" spans="1:21" ht="28" customHeight="1" x14ac:dyDescent="0.35">
      <c r="A70" s="4">
        <v>5</v>
      </c>
      <c r="B70" s="4" t="s">
        <v>66</v>
      </c>
      <c r="C70" s="4" t="s">
        <v>67</v>
      </c>
      <c r="D70" s="4" t="s">
        <v>68</v>
      </c>
      <c r="E70" s="4" t="s">
        <v>69</v>
      </c>
      <c r="F70" s="4" t="s">
        <v>57</v>
      </c>
      <c r="G70" s="4" t="s">
        <v>58</v>
      </c>
      <c r="H70" s="4" t="s">
        <v>59</v>
      </c>
      <c r="I70" s="3"/>
      <c r="J70" s="3"/>
      <c r="K70" s="3"/>
      <c r="L70" s="3"/>
      <c r="M70" s="3"/>
      <c r="N70" s="3"/>
      <c r="O70" s="3"/>
      <c r="P70" s="8"/>
      <c r="Q70" s="8"/>
      <c r="R70" s="3"/>
      <c r="S70" s="3"/>
      <c r="T70" s="3"/>
      <c r="U70" s="5" t="str">
        <f t="shared" si="4"/>
        <v/>
      </c>
    </row>
    <row r="71" spans="1:21" ht="28" customHeight="1" x14ac:dyDescent="0.35">
      <c r="A71" s="4">
        <v>6</v>
      </c>
      <c r="B71" s="4" t="s">
        <v>70</v>
      </c>
      <c r="C71" s="4" t="s">
        <v>71</v>
      </c>
      <c r="D71" s="4" t="s">
        <v>72</v>
      </c>
      <c r="E71" s="4" t="s">
        <v>70</v>
      </c>
      <c r="F71" s="4" t="s">
        <v>57</v>
      </c>
      <c r="G71" s="4" t="s">
        <v>58</v>
      </c>
      <c r="H71" s="4" t="s">
        <v>59</v>
      </c>
      <c r="I71" s="3"/>
      <c r="J71" s="3"/>
      <c r="K71" s="3"/>
      <c r="L71" s="3"/>
      <c r="M71" s="3"/>
      <c r="N71" s="3"/>
      <c r="O71" s="3"/>
      <c r="P71" s="8"/>
      <c r="Q71" s="8"/>
      <c r="R71" s="3"/>
      <c r="S71" s="3"/>
      <c r="T71" s="3"/>
      <c r="U71" s="5" t="str">
        <f t="shared" si="4"/>
        <v/>
      </c>
    </row>
    <row r="72" spans="1:21" ht="28" customHeight="1" x14ac:dyDescent="0.35">
      <c r="A72" s="4">
        <v>7</v>
      </c>
      <c r="B72" s="4" t="s">
        <v>73</v>
      </c>
      <c r="C72" s="4" t="s">
        <v>74</v>
      </c>
      <c r="D72" s="4" t="s">
        <v>75</v>
      </c>
      <c r="E72" s="4" t="s">
        <v>69</v>
      </c>
      <c r="F72" s="4" t="s">
        <v>57</v>
      </c>
      <c r="G72" s="4" t="s">
        <v>58</v>
      </c>
      <c r="H72" s="4" t="s">
        <v>76</v>
      </c>
      <c r="I72" s="3"/>
      <c r="J72" s="3"/>
      <c r="K72" s="3"/>
      <c r="L72" s="3"/>
      <c r="M72" s="3"/>
      <c r="N72" s="3"/>
      <c r="O72" s="3"/>
      <c r="P72" s="8"/>
      <c r="Q72" s="8"/>
      <c r="R72" s="3"/>
      <c r="S72" s="3"/>
      <c r="T72" s="3"/>
      <c r="U72" s="5" t="str">
        <f t="shared" si="4"/>
        <v/>
      </c>
    </row>
    <row r="73" spans="1:21" ht="28" customHeight="1" x14ac:dyDescent="0.35">
      <c r="A73" s="4">
        <v>8</v>
      </c>
      <c r="B73" s="4" t="s">
        <v>77</v>
      </c>
      <c r="C73" s="4" t="s">
        <v>78</v>
      </c>
      <c r="D73" s="4" t="s">
        <v>79</v>
      </c>
      <c r="E73" s="4" t="s">
        <v>80</v>
      </c>
      <c r="F73" s="4" t="s">
        <v>57</v>
      </c>
      <c r="G73" s="4" t="s">
        <v>58</v>
      </c>
      <c r="H73" s="4" t="s">
        <v>59</v>
      </c>
      <c r="I73" s="3"/>
      <c r="J73" s="3"/>
      <c r="K73" s="3"/>
      <c r="L73" s="3"/>
      <c r="M73" s="3"/>
      <c r="N73" s="3"/>
      <c r="O73" s="3"/>
      <c r="P73" s="8"/>
      <c r="Q73" s="8"/>
      <c r="R73" s="3"/>
      <c r="S73" s="3"/>
      <c r="T73" s="3"/>
      <c r="U73" s="5" t="str">
        <f t="shared" si="4"/>
        <v/>
      </c>
    </row>
    <row r="74" spans="1:21" ht="28" customHeight="1" x14ac:dyDescent="0.35">
      <c r="A74" s="4">
        <v>9</v>
      </c>
      <c r="B74" s="4" t="s">
        <v>81</v>
      </c>
      <c r="C74" s="4" t="s">
        <v>82</v>
      </c>
      <c r="D74" s="4" t="s">
        <v>83</v>
      </c>
      <c r="E74" s="4" t="s">
        <v>84</v>
      </c>
      <c r="F74" s="4" t="s">
        <v>57</v>
      </c>
      <c r="G74" s="4" t="s">
        <v>58</v>
      </c>
      <c r="H74" s="4" t="s">
        <v>85</v>
      </c>
      <c r="I74" s="3"/>
      <c r="J74" s="3"/>
      <c r="K74" s="3"/>
      <c r="L74" s="3"/>
      <c r="M74" s="3"/>
      <c r="N74" s="3"/>
      <c r="O74" s="3"/>
      <c r="P74" s="8"/>
      <c r="Q74" s="8"/>
      <c r="R74" s="3"/>
      <c r="S74" s="3"/>
      <c r="T74" s="3"/>
      <c r="U74" s="5" t="str">
        <f t="shared" si="4"/>
        <v/>
      </c>
    </row>
    <row r="75" spans="1:21" ht="28" customHeight="1" x14ac:dyDescent="0.35">
      <c r="A75" s="4">
        <v>10</v>
      </c>
      <c r="B75" s="4" t="s">
        <v>86</v>
      </c>
      <c r="C75" s="4" t="s">
        <v>87</v>
      </c>
      <c r="D75" s="4" t="s">
        <v>88</v>
      </c>
      <c r="E75" s="4" t="s">
        <v>69</v>
      </c>
      <c r="F75" s="4" t="s">
        <v>57</v>
      </c>
      <c r="G75" s="4" t="s">
        <v>58</v>
      </c>
      <c r="H75" s="4" t="s">
        <v>59</v>
      </c>
      <c r="I75" s="3"/>
      <c r="J75" s="3"/>
      <c r="K75" s="3"/>
      <c r="L75" s="3"/>
      <c r="M75" s="3"/>
      <c r="N75" s="3"/>
      <c r="O75" s="3"/>
      <c r="P75" s="8"/>
      <c r="Q75" s="8"/>
      <c r="R75" s="3"/>
      <c r="S75" s="3"/>
      <c r="T75" s="3"/>
      <c r="U75" s="5" t="str">
        <f t="shared" si="4"/>
        <v/>
      </c>
    </row>
    <row r="76" spans="1:21" ht="28" customHeight="1" x14ac:dyDescent="0.35">
      <c r="A76" s="4">
        <v>11</v>
      </c>
      <c r="B76" s="4" t="s">
        <v>89</v>
      </c>
      <c r="C76" s="4" t="s">
        <v>90</v>
      </c>
      <c r="D76" s="4" t="s">
        <v>91</v>
      </c>
      <c r="E76" s="4" t="s">
        <v>84</v>
      </c>
      <c r="F76" s="4" t="s">
        <v>57</v>
      </c>
      <c r="G76" s="4" t="s">
        <v>58</v>
      </c>
      <c r="H76" s="4" t="s">
        <v>59</v>
      </c>
      <c r="I76" s="3"/>
      <c r="J76" s="3"/>
      <c r="K76" s="3"/>
      <c r="L76" s="3"/>
      <c r="M76" s="3"/>
      <c r="N76" s="3"/>
      <c r="O76" s="3"/>
      <c r="P76" s="8"/>
      <c r="Q76" s="8"/>
      <c r="R76" s="3"/>
      <c r="S76" s="3"/>
      <c r="T76" s="3"/>
      <c r="U76" s="5" t="str">
        <f t="shared" si="4"/>
        <v/>
      </c>
    </row>
    <row r="77" spans="1:21" ht="28" customHeight="1" x14ac:dyDescent="0.35">
      <c r="A77" s="4">
        <v>12</v>
      </c>
      <c r="B77" s="4" t="s">
        <v>92</v>
      </c>
      <c r="C77" s="4" t="s">
        <v>93</v>
      </c>
      <c r="D77" s="4" t="s">
        <v>94</v>
      </c>
      <c r="E77" s="4" t="s">
        <v>69</v>
      </c>
      <c r="F77" s="4" t="s">
        <v>95</v>
      </c>
      <c r="G77" s="4" t="s">
        <v>96</v>
      </c>
      <c r="H77" s="4" t="s">
        <v>59</v>
      </c>
      <c r="I77" s="3"/>
      <c r="J77" s="3"/>
      <c r="K77" s="3"/>
      <c r="L77" s="3"/>
      <c r="M77" s="3"/>
      <c r="N77" s="3"/>
      <c r="O77" s="3"/>
      <c r="P77" s="8"/>
      <c r="Q77" s="8"/>
      <c r="R77" s="3"/>
      <c r="S77" s="3"/>
      <c r="T77" s="3"/>
      <c r="U77" s="5" t="str">
        <f t="shared" si="4"/>
        <v/>
      </c>
    </row>
    <row r="78" spans="1:21" ht="28" customHeight="1" x14ac:dyDescent="0.35">
      <c r="A78" s="4">
        <v>13</v>
      </c>
      <c r="B78" s="4" t="s">
        <v>97</v>
      </c>
      <c r="C78" s="4" t="s">
        <v>98</v>
      </c>
      <c r="D78" s="4" t="s">
        <v>99</v>
      </c>
      <c r="E78" s="4" t="s">
        <v>69</v>
      </c>
      <c r="F78" s="4" t="s">
        <v>95</v>
      </c>
      <c r="G78" s="4" t="s">
        <v>96</v>
      </c>
      <c r="H78" s="4" t="s">
        <v>59</v>
      </c>
      <c r="I78" s="3"/>
      <c r="J78" s="3"/>
      <c r="K78" s="3"/>
      <c r="L78" s="3"/>
      <c r="M78" s="3"/>
      <c r="N78" s="3"/>
      <c r="O78" s="3"/>
      <c r="P78" s="8"/>
      <c r="Q78" s="8"/>
      <c r="R78" s="3"/>
      <c r="S78" s="3"/>
      <c r="T78" s="3"/>
      <c r="U78" s="5" t="str">
        <f t="shared" si="4"/>
        <v/>
      </c>
    </row>
    <row r="79" spans="1:21" ht="28" customHeight="1" x14ac:dyDescent="0.35">
      <c r="A79" s="4">
        <v>14</v>
      </c>
      <c r="B79" s="4" t="s">
        <v>97</v>
      </c>
      <c r="C79" s="4" t="s">
        <v>100</v>
      </c>
      <c r="D79" s="4" t="s">
        <v>101</v>
      </c>
      <c r="E79" s="4" t="s">
        <v>69</v>
      </c>
      <c r="F79" s="4" t="s">
        <v>95</v>
      </c>
      <c r="G79" s="4" t="s">
        <v>102</v>
      </c>
      <c r="H79" s="4" t="s">
        <v>59</v>
      </c>
      <c r="I79" s="3"/>
      <c r="J79" s="3"/>
      <c r="K79" s="3"/>
      <c r="L79" s="3"/>
      <c r="M79" s="3"/>
      <c r="N79" s="3"/>
      <c r="O79" s="3"/>
      <c r="P79" s="8"/>
      <c r="Q79" s="8"/>
      <c r="R79" s="3"/>
      <c r="S79" s="3"/>
      <c r="T79" s="3"/>
      <c r="U79" s="5" t="str">
        <f t="shared" si="4"/>
        <v/>
      </c>
    </row>
    <row r="80" spans="1:21" ht="28" customHeight="1" x14ac:dyDescent="0.35">
      <c r="A80" s="4">
        <v>15</v>
      </c>
      <c r="B80" s="4" t="s">
        <v>103</v>
      </c>
      <c r="C80" s="4" t="s">
        <v>104</v>
      </c>
      <c r="D80" s="4" t="s">
        <v>105</v>
      </c>
      <c r="E80" s="4" t="s">
        <v>69</v>
      </c>
      <c r="F80" s="4" t="s">
        <v>95</v>
      </c>
      <c r="G80" s="4" t="s">
        <v>96</v>
      </c>
      <c r="H80" s="4" t="s">
        <v>85</v>
      </c>
      <c r="I80" s="3"/>
      <c r="J80" s="3"/>
      <c r="K80" s="3"/>
      <c r="L80" s="3"/>
      <c r="M80" s="3"/>
      <c r="N80" s="3"/>
      <c r="O80" s="3"/>
      <c r="P80" s="8"/>
      <c r="Q80" s="8"/>
      <c r="R80" s="3"/>
      <c r="S80" s="3"/>
      <c r="T80" s="3"/>
      <c r="U80" s="5" t="str">
        <f t="shared" si="4"/>
        <v/>
      </c>
    </row>
    <row r="81" spans="1:21" ht="28" customHeight="1" x14ac:dyDescent="0.35">
      <c r="A81" s="4">
        <v>16</v>
      </c>
      <c r="B81" s="4" t="s">
        <v>106</v>
      </c>
      <c r="C81" s="4" t="s">
        <v>107</v>
      </c>
      <c r="D81" s="4" t="s">
        <v>108</v>
      </c>
      <c r="E81" s="4" t="s">
        <v>109</v>
      </c>
      <c r="F81" s="4" t="s">
        <v>95</v>
      </c>
      <c r="G81" s="4" t="s">
        <v>96</v>
      </c>
      <c r="H81" s="4" t="s">
        <v>59</v>
      </c>
      <c r="I81" s="3"/>
      <c r="J81" s="3"/>
      <c r="K81" s="3"/>
      <c r="L81" s="3"/>
      <c r="M81" s="3"/>
      <c r="N81" s="3"/>
      <c r="O81" s="3"/>
      <c r="P81" s="8"/>
      <c r="Q81" s="8"/>
      <c r="R81" s="3"/>
      <c r="S81" s="3"/>
      <c r="T81" s="3"/>
      <c r="U81" s="5" t="str">
        <f t="shared" si="4"/>
        <v/>
      </c>
    </row>
    <row r="83" spans="1:21" ht="28" customHeight="1" x14ac:dyDescent="0.35">
      <c r="A83" s="9" t="s">
        <v>110</v>
      </c>
      <c r="B83" s="16"/>
      <c r="C83" s="17"/>
      <c r="D83" s="17"/>
      <c r="E83" s="17"/>
      <c r="F83" s="17"/>
      <c r="G83" s="17"/>
      <c r="H83" s="17"/>
      <c r="I83" s="17"/>
      <c r="J83" s="17"/>
      <c r="K83" s="17"/>
      <c r="L83" s="17"/>
      <c r="M83" s="17"/>
      <c r="N83" s="17"/>
      <c r="O83" s="17"/>
      <c r="P83" s="17"/>
      <c r="Q83" s="17"/>
      <c r="R83" s="17"/>
      <c r="S83" s="17"/>
      <c r="T83" s="17"/>
      <c r="U83" s="18"/>
    </row>
    <row r="84" spans="1:21" ht="28" customHeight="1" x14ac:dyDescent="0.35">
      <c r="A84" s="19" t="s">
        <v>568</v>
      </c>
      <c r="B84" s="20"/>
      <c r="C84" s="20"/>
      <c r="D84" s="20"/>
      <c r="E84" s="20"/>
      <c r="F84" s="20"/>
      <c r="G84" s="20"/>
      <c r="H84" s="20"/>
      <c r="I84" s="20"/>
      <c r="J84" s="20"/>
      <c r="K84" s="20"/>
      <c r="L84" s="20"/>
      <c r="M84" s="20"/>
      <c r="N84" s="20"/>
      <c r="O84" s="20"/>
      <c r="P84" s="20"/>
      <c r="Q84" s="20"/>
      <c r="R84" s="20"/>
      <c r="S84" s="20"/>
      <c r="T84" s="20"/>
      <c r="U84" s="21"/>
    </row>
    <row r="85" spans="1:21" ht="28" customHeight="1" x14ac:dyDescent="0.35">
      <c r="A85" s="4" t="s">
        <v>31</v>
      </c>
      <c r="B85" s="3" t="s">
        <v>21</v>
      </c>
      <c r="C85" s="4" t="s">
        <v>32</v>
      </c>
      <c r="D85" s="3"/>
      <c r="E85" s="4" t="s">
        <v>33</v>
      </c>
      <c r="F85" s="8"/>
    </row>
    <row r="86" spans="1:21" ht="28" customHeight="1" x14ac:dyDescent="0.35">
      <c r="A86" s="1" t="s">
        <v>34</v>
      </c>
      <c r="B86" s="1" t="s">
        <v>35</v>
      </c>
      <c r="C86" s="1" t="s">
        <v>36</v>
      </c>
      <c r="D86" s="1" t="s">
        <v>37</v>
      </c>
      <c r="E86" s="1" t="s">
        <v>38</v>
      </c>
      <c r="F86" s="1" t="s">
        <v>39</v>
      </c>
      <c r="G86" s="1" t="s">
        <v>40</v>
      </c>
      <c r="H86" s="1" t="s">
        <v>41</v>
      </c>
      <c r="I86" s="1" t="s">
        <v>42</v>
      </c>
      <c r="J86" s="1" t="s">
        <v>43</v>
      </c>
      <c r="K86" s="1" t="s">
        <v>44</v>
      </c>
      <c r="L86" s="1" t="s">
        <v>45</v>
      </c>
      <c r="M86" s="1" t="s">
        <v>46</v>
      </c>
      <c r="N86" s="1" t="s">
        <v>47</v>
      </c>
      <c r="O86" s="1" t="s">
        <v>48</v>
      </c>
      <c r="P86" s="1" t="s">
        <v>4</v>
      </c>
      <c r="Q86" s="1" t="s">
        <v>49</v>
      </c>
      <c r="R86" s="1" t="s">
        <v>50</v>
      </c>
      <c r="S86" s="1" t="s">
        <v>51</v>
      </c>
      <c r="T86" s="1" t="s">
        <v>52</v>
      </c>
      <c r="U86" s="1" t="s">
        <v>10</v>
      </c>
    </row>
    <row r="87" spans="1:21" ht="28" customHeight="1" x14ac:dyDescent="0.35">
      <c r="A87" s="4">
        <v>1</v>
      </c>
      <c r="B87" s="4" t="s">
        <v>53</v>
      </c>
      <c r="C87" s="4" t="s">
        <v>558</v>
      </c>
      <c r="D87" s="4" t="s">
        <v>559</v>
      </c>
      <c r="E87" s="4" t="s">
        <v>56</v>
      </c>
      <c r="F87" s="4" t="s">
        <v>57</v>
      </c>
      <c r="G87" s="4" t="s">
        <v>58</v>
      </c>
      <c r="H87" s="4" t="s">
        <v>59</v>
      </c>
      <c r="I87" s="3"/>
      <c r="J87" s="3"/>
      <c r="K87" s="3"/>
      <c r="L87" s="3"/>
      <c r="M87" s="3"/>
      <c r="N87" s="3"/>
      <c r="O87" s="3"/>
      <c r="P87" s="8"/>
      <c r="Q87" s="8"/>
      <c r="R87" s="3"/>
      <c r="S87" s="3"/>
      <c r="T87" s="3"/>
      <c r="U87" s="5" t="str">
        <f t="shared" ref="U87:U102" si="5">IF(I87="","",IF(I87="NA","Grey",IF(I87=2,"Green",IF(I87=1,"Amber","Red"))))</f>
        <v/>
      </c>
    </row>
    <row r="88" spans="1:21" ht="28" customHeight="1" x14ac:dyDescent="0.35">
      <c r="A88" s="4">
        <v>2</v>
      </c>
      <c r="B88" s="4" t="s">
        <v>53</v>
      </c>
      <c r="C88" s="4" t="s">
        <v>560</v>
      </c>
      <c r="D88" s="4" t="s">
        <v>561</v>
      </c>
      <c r="E88" s="4" t="s">
        <v>56</v>
      </c>
      <c r="F88" s="4" t="s">
        <v>57</v>
      </c>
      <c r="G88" s="4" t="s">
        <v>58</v>
      </c>
      <c r="H88" s="4" t="s">
        <v>59</v>
      </c>
      <c r="I88" s="3"/>
      <c r="J88" s="3"/>
      <c r="K88" s="3"/>
      <c r="L88" s="3"/>
      <c r="M88" s="3"/>
      <c r="N88" s="3"/>
      <c r="O88" s="3"/>
      <c r="P88" s="8"/>
      <c r="Q88" s="8"/>
      <c r="R88" s="3"/>
      <c r="S88" s="3"/>
      <c r="T88" s="3"/>
      <c r="U88" s="5" t="str">
        <f t="shared" si="5"/>
        <v/>
      </c>
    </row>
    <row r="89" spans="1:21" ht="28" customHeight="1" x14ac:dyDescent="0.35">
      <c r="A89" s="4">
        <v>3</v>
      </c>
      <c r="B89" s="4" t="s">
        <v>53</v>
      </c>
      <c r="C89" s="4" t="s">
        <v>562</v>
      </c>
      <c r="D89" s="4" t="s">
        <v>563</v>
      </c>
      <c r="E89" s="4" t="s">
        <v>56</v>
      </c>
      <c r="F89" s="4" t="s">
        <v>57</v>
      </c>
      <c r="G89" s="4" t="s">
        <v>58</v>
      </c>
      <c r="H89" s="4" t="s">
        <v>59</v>
      </c>
      <c r="I89" s="3"/>
      <c r="J89" s="3"/>
      <c r="K89" s="3"/>
      <c r="L89" s="3"/>
      <c r="M89" s="3"/>
      <c r="N89" s="3"/>
      <c r="O89" s="3"/>
      <c r="P89" s="8"/>
      <c r="Q89" s="8"/>
      <c r="R89" s="3"/>
      <c r="S89" s="3"/>
      <c r="T89" s="3"/>
      <c r="U89" s="5" t="str">
        <f t="shared" si="5"/>
        <v/>
      </c>
    </row>
    <row r="90" spans="1:21" ht="28" customHeight="1" x14ac:dyDescent="0.35">
      <c r="A90" s="4">
        <v>4</v>
      </c>
      <c r="B90" s="4" t="s">
        <v>53</v>
      </c>
      <c r="C90" s="4" t="s">
        <v>564</v>
      </c>
      <c r="D90" s="4" t="s">
        <v>565</v>
      </c>
      <c r="E90" s="4" t="s">
        <v>56</v>
      </c>
      <c r="F90" s="4" t="s">
        <v>57</v>
      </c>
      <c r="G90" s="4" t="s">
        <v>58</v>
      </c>
      <c r="H90" s="4" t="s">
        <v>59</v>
      </c>
      <c r="I90" s="3"/>
      <c r="J90" s="3"/>
      <c r="K90" s="3"/>
      <c r="L90" s="3"/>
      <c r="M90" s="3"/>
      <c r="N90" s="3"/>
      <c r="O90" s="3"/>
      <c r="P90" s="8"/>
      <c r="Q90" s="8"/>
      <c r="R90" s="3"/>
      <c r="S90" s="3"/>
      <c r="T90" s="3"/>
      <c r="U90" s="5" t="str">
        <f t="shared" si="5"/>
        <v/>
      </c>
    </row>
    <row r="91" spans="1:21" ht="28" customHeight="1" x14ac:dyDescent="0.35">
      <c r="A91" s="4">
        <v>5</v>
      </c>
      <c r="B91" s="4" t="s">
        <v>66</v>
      </c>
      <c r="C91" s="4" t="s">
        <v>67</v>
      </c>
      <c r="D91" s="4" t="s">
        <v>68</v>
      </c>
      <c r="E91" s="4" t="s">
        <v>69</v>
      </c>
      <c r="F91" s="4" t="s">
        <v>57</v>
      </c>
      <c r="G91" s="4" t="s">
        <v>58</v>
      </c>
      <c r="H91" s="4" t="s">
        <v>59</v>
      </c>
      <c r="I91" s="3"/>
      <c r="J91" s="3"/>
      <c r="K91" s="3"/>
      <c r="L91" s="3"/>
      <c r="M91" s="3"/>
      <c r="N91" s="3"/>
      <c r="O91" s="3"/>
      <c r="P91" s="8"/>
      <c r="Q91" s="8"/>
      <c r="R91" s="3"/>
      <c r="S91" s="3"/>
      <c r="T91" s="3"/>
      <c r="U91" s="5" t="str">
        <f t="shared" si="5"/>
        <v/>
      </c>
    </row>
    <row r="92" spans="1:21" ht="28" customHeight="1" x14ac:dyDescent="0.35">
      <c r="A92" s="4">
        <v>6</v>
      </c>
      <c r="B92" s="4" t="s">
        <v>70</v>
      </c>
      <c r="C92" s="4" t="s">
        <v>71</v>
      </c>
      <c r="D92" s="4" t="s">
        <v>72</v>
      </c>
      <c r="E92" s="4" t="s">
        <v>70</v>
      </c>
      <c r="F92" s="4" t="s">
        <v>57</v>
      </c>
      <c r="G92" s="4" t="s">
        <v>58</v>
      </c>
      <c r="H92" s="4" t="s">
        <v>59</v>
      </c>
      <c r="I92" s="3"/>
      <c r="J92" s="3"/>
      <c r="K92" s="3"/>
      <c r="L92" s="3"/>
      <c r="M92" s="3"/>
      <c r="N92" s="3"/>
      <c r="O92" s="3"/>
      <c r="P92" s="8"/>
      <c r="Q92" s="8"/>
      <c r="R92" s="3"/>
      <c r="S92" s="3"/>
      <c r="T92" s="3"/>
      <c r="U92" s="5" t="str">
        <f t="shared" si="5"/>
        <v/>
      </c>
    </row>
    <row r="93" spans="1:21" ht="28" customHeight="1" x14ac:dyDescent="0.35">
      <c r="A93" s="4">
        <v>7</v>
      </c>
      <c r="B93" s="4" t="s">
        <v>73</v>
      </c>
      <c r="C93" s="4" t="s">
        <v>74</v>
      </c>
      <c r="D93" s="4" t="s">
        <v>75</v>
      </c>
      <c r="E93" s="4" t="s">
        <v>69</v>
      </c>
      <c r="F93" s="4" t="s">
        <v>57</v>
      </c>
      <c r="G93" s="4" t="s">
        <v>58</v>
      </c>
      <c r="H93" s="4" t="s">
        <v>76</v>
      </c>
      <c r="I93" s="3"/>
      <c r="J93" s="3"/>
      <c r="K93" s="3"/>
      <c r="L93" s="3"/>
      <c r="M93" s="3"/>
      <c r="N93" s="3"/>
      <c r="O93" s="3"/>
      <c r="P93" s="8"/>
      <c r="Q93" s="8"/>
      <c r="R93" s="3"/>
      <c r="S93" s="3"/>
      <c r="T93" s="3"/>
      <c r="U93" s="5" t="str">
        <f t="shared" si="5"/>
        <v/>
      </c>
    </row>
    <row r="94" spans="1:21" ht="28" customHeight="1" x14ac:dyDescent="0.35">
      <c r="A94" s="4">
        <v>8</v>
      </c>
      <c r="B94" s="4" t="s">
        <v>77</v>
      </c>
      <c r="C94" s="4" t="s">
        <v>78</v>
      </c>
      <c r="D94" s="4" t="s">
        <v>79</v>
      </c>
      <c r="E94" s="4" t="s">
        <v>80</v>
      </c>
      <c r="F94" s="4" t="s">
        <v>57</v>
      </c>
      <c r="G94" s="4" t="s">
        <v>58</v>
      </c>
      <c r="H94" s="4" t="s">
        <v>59</v>
      </c>
      <c r="I94" s="3"/>
      <c r="J94" s="3"/>
      <c r="K94" s="3"/>
      <c r="L94" s="3"/>
      <c r="M94" s="3"/>
      <c r="N94" s="3"/>
      <c r="O94" s="3"/>
      <c r="P94" s="8"/>
      <c r="Q94" s="8"/>
      <c r="R94" s="3"/>
      <c r="S94" s="3"/>
      <c r="T94" s="3"/>
      <c r="U94" s="5" t="str">
        <f t="shared" si="5"/>
        <v/>
      </c>
    </row>
    <row r="95" spans="1:21" ht="28" customHeight="1" x14ac:dyDescent="0.35">
      <c r="A95" s="4">
        <v>9</v>
      </c>
      <c r="B95" s="4" t="s">
        <v>81</v>
      </c>
      <c r="C95" s="4" t="s">
        <v>82</v>
      </c>
      <c r="D95" s="4" t="s">
        <v>83</v>
      </c>
      <c r="E95" s="4" t="s">
        <v>84</v>
      </c>
      <c r="F95" s="4" t="s">
        <v>57</v>
      </c>
      <c r="G95" s="4" t="s">
        <v>58</v>
      </c>
      <c r="H95" s="4" t="s">
        <v>85</v>
      </c>
      <c r="I95" s="3"/>
      <c r="J95" s="3"/>
      <c r="K95" s="3"/>
      <c r="L95" s="3"/>
      <c r="M95" s="3"/>
      <c r="N95" s="3"/>
      <c r="O95" s="3"/>
      <c r="P95" s="8"/>
      <c r="Q95" s="8"/>
      <c r="R95" s="3"/>
      <c r="S95" s="3"/>
      <c r="T95" s="3"/>
      <c r="U95" s="5" t="str">
        <f t="shared" si="5"/>
        <v/>
      </c>
    </row>
    <row r="96" spans="1:21" ht="28" customHeight="1" x14ac:dyDescent="0.35">
      <c r="A96" s="4">
        <v>10</v>
      </c>
      <c r="B96" s="4" t="s">
        <v>86</v>
      </c>
      <c r="C96" s="4" t="s">
        <v>87</v>
      </c>
      <c r="D96" s="4" t="s">
        <v>88</v>
      </c>
      <c r="E96" s="4" t="s">
        <v>69</v>
      </c>
      <c r="F96" s="4" t="s">
        <v>57</v>
      </c>
      <c r="G96" s="4" t="s">
        <v>58</v>
      </c>
      <c r="H96" s="4" t="s">
        <v>59</v>
      </c>
      <c r="I96" s="3"/>
      <c r="J96" s="3"/>
      <c r="K96" s="3"/>
      <c r="L96" s="3"/>
      <c r="M96" s="3"/>
      <c r="N96" s="3"/>
      <c r="O96" s="3"/>
      <c r="P96" s="8"/>
      <c r="Q96" s="8"/>
      <c r="R96" s="3"/>
      <c r="S96" s="3"/>
      <c r="T96" s="3"/>
      <c r="U96" s="5" t="str">
        <f t="shared" si="5"/>
        <v/>
      </c>
    </row>
    <row r="97" spans="1:21" ht="28" customHeight="1" x14ac:dyDescent="0.35">
      <c r="A97" s="4">
        <v>11</v>
      </c>
      <c r="B97" s="4" t="s">
        <v>89</v>
      </c>
      <c r="C97" s="4" t="s">
        <v>90</v>
      </c>
      <c r="D97" s="4" t="s">
        <v>91</v>
      </c>
      <c r="E97" s="4" t="s">
        <v>84</v>
      </c>
      <c r="F97" s="4" t="s">
        <v>57</v>
      </c>
      <c r="G97" s="4" t="s">
        <v>58</v>
      </c>
      <c r="H97" s="4" t="s">
        <v>59</v>
      </c>
      <c r="I97" s="3"/>
      <c r="J97" s="3"/>
      <c r="K97" s="3"/>
      <c r="L97" s="3"/>
      <c r="M97" s="3"/>
      <c r="N97" s="3"/>
      <c r="O97" s="3"/>
      <c r="P97" s="8"/>
      <c r="Q97" s="8"/>
      <c r="R97" s="3"/>
      <c r="S97" s="3"/>
      <c r="T97" s="3"/>
      <c r="U97" s="5" t="str">
        <f t="shared" si="5"/>
        <v/>
      </c>
    </row>
    <row r="98" spans="1:21" ht="28" customHeight="1" x14ac:dyDescent="0.35">
      <c r="A98" s="4">
        <v>12</v>
      </c>
      <c r="B98" s="4" t="s">
        <v>92</v>
      </c>
      <c r="C98" s="4" t="s">
        <v>93</v>
      </c>
      <c r="D98" s="4" t="s">
        <v>94</v>
      </c>
      <c r="E98" s="4" t="s">
        <v>69</v>
      </c>
      <c r="F98" s="4" t="s">
        <v>95</v>
      </c>
      <c r="G98" s="4" t="s">
        <v>96</v>
      </c>
      <c r="H98" s="4" t="s">
        <v>59</v>
      </c>
      <c r="I98" s="3"/>
      <c r="J98" s="3"/>
      <c r="K98" s="3"/>
      <c r="L98" s="3"/>
      <c r="M98" s="3"/>
      <c r="N98" s="3"/>
      <c r="O98" s="3"/>
      <c r="P98" s="8"/>
      <c r="Q98" s="8"/>
      <c r="R98" s="3"/>
      <c r="S98" s="3"/>
      <c r="T98" s="3"/>
      <c r="U98" s="5" t="str">
        <f t="shared" si="5"/>
        <v/>
      </c>
    </row>
    <row r="99" spans="1:21" ht="28" customHeight="1" x14ac:dyDescent="0.35">
      <c r="A99" s="4">
        <v>13</v>
      </c>
      <c r="B99" s="4" t="s">
        <v>97</v>
      </c>
      <c r="C99" s="4" t="s">
        <v>98</v>
      </c>
      <c r="D99" s="4" t="s">
        <v>99</v>
      </c>
      <c r="E99" s="4" t="s">
        <v>69</v>
      </c>
      <c r="F99" s="4" t="s">
        <v>95</v>
      </c>
      <c r="G99" s="4" t="s">
        <v>96</v>
      </c>
      <c r="H99" s="4" t="s">
        <v>59</v>
      </c>
      <c r="I99" s="3"/>
      <c r="J99" s="3"/>
      <c r="K99" s="3"/>
      <c r="L99" s="3"/>
      <c r="M99" s="3"/>
      <c r="N99" s="3"/>
      <c r="O99" s="3"/>
      <c r="P99" s="8"/>
      <c r="Q99" s="8"/>
      <c r="R99" s="3"/>
      <c r="S99" s="3"/>
      <c r="T99" s="3"/>
      <c r="U99" s="5" t="str">
        <f t="shared" si="5"/>
        <v/>
      </c>
    </row>
    <row r="100" spans="1:21" ht="28" customHeight="1" x14ac:dyDescent="0.35">
      <c r="A100" s="4">
        <v>14</v>
      </c>
      <c r="B100" s="4" t="s">
        <v>97</v>
      </c>
      <c r="C100" s="4" t="s">
        <v>100</v>
      </c>
      <c r="D100" s="4" t="s">
        <v>101</v>
      </c>
      <c r="E100" s="4" t="s">
        <v>69</v>
      </c>
      <c r="F100" s="4" t="s">
        <v>95</v>
      </c>
      <c r="G100" s="4" t="s">
        <v>102</v>
      </c>
      <c r="H100" s="4" t="s">
        <v>59</v>
      </c>
      <c r="I100" s="3"/>
      <c r="J100" s="3"/>
      <c r="K100" s="3"/>
      <c r="L100" s="3"/>
      <c r="M100" s="3"/>
      <c r="N100" s="3"/>
      <c r="O100" s="3"/>
      <c r="P100" s="8"/>
      <c r="Q100" s="8"/>
      <c r="R100" s="3"/>
      <c r="S100" s="3"/>
      <c r="T100" s="3"/>
      <c r="U100" s="5" t="str">
        <f t="shared" si="5"/>
        <v/>
      </c>
    </row>
    <row r="101" spans="1:21" ht="28" customHeight="1" x14ac:dyDescent="0.35">
      <c r="A101" s="4">
        <v>15</v>
      </c>
      <c r="B101" s="4" t="s">
        <v>103</v>
      </c>
      <c r="C101" s="4" t="s">
        <v>104</v>
      </c>
      <c r="D101" s="4" t="s">
        <v>105</v>
      </c>
      <c r="E101" s="4" t="s">
        <v>69</v>
      </c>
      <c r="F101" s="4" t="s">
        <v>95</v>
      </c>
      <c r="G101" s="4" t="s">
        <v>96</v>
      </c>
      <c r="H101" s="4" t="s">
        <v>85</v>
      </c>
      <c r="I101" s="3"/>
      <c r="J101" s="3"/>
      <c r="K101" s="3"/>
      <c r="L101" s="3"/>
      <c r="M101" s="3"/>
      <c r="N101" s="3"/>
      <c r="O101" s="3"/>
      <c r="P101" s="8"/>
      <c r="Q101" s="8"/>
      <c r="R101" s="3"/>
      <c r="S101" s="3"/>
      <c r="T101" s="3"/>
      <c r="U101" s="5" t="str">
        <f t="shared" si="5"/>
        <v/>
      </c>
    </row>
    <row r="102" spans="1:21" ht="28" customHeight="1" x14ac:dyDescent="0.35">
      <c r="A102" s="4">
        <v>16</v>
      </c>
      <c r="B102" s="4" t="s">
        <v>106</v>
      </c>
      <c r="C102" s="4" t="s">
        <v>107</v>
      </c>
      <c r="D102" s="4" t="s">
        <v>108</v>
      </c>
      <c r="E102" s="4" t="s">
        <v>109</v>
      </c>
      <c r="F102" s="4" t="s">
        <v>95</v>
      </c>
      <c r="G102" s="4" t="s">
        <v>96</v>
      </c>
      <c r="H102" s="4" t="s">
        <v>59</v>
      </c>
      <c r="I102" s="3"/>
      <c r="J102" s="3"/>
      <c r="K102" s="3"/>
      <c r="L102" s="3"/>
      <c r="M102" s="3"/>
      <c r="N102" s="3"/>
      <c r="O102" s="3"/>
      <c r="P102" s="8"/>
      <c r="Q102" s="8"/>
      <c r="R102" s="3"/>
      <c r="S102" s="3"/>
      <c r="T102" s="3"/>
      <c r="U102" s="5" t="str">
        <f t="shared" si="5"/>
        <v/>
      </c>
    </row>
    <row r="104" spans="1:21" ht="28" customHeight="1" x14ac:dyDescent="0.35">
      <c r="A104" s="9" t="s">
        <v>110</v>
      </c>
      <c r="B104" s="16"/>
      <c r="C104" s="17"/>
      <c r="D104" s="17"/>
      <c r="E104" s="17"/>
      <c r="F104" s="17"/>
      <c r="G104" s="17"/>
      <c r="H104" s="17"/>
      <c r="I104" s="17"/>
      <c r="J104" s="17"/>
      <c r="K104" s="17"/>
      <c r="L104" s="17"/>
      <c r="M104" s="17"/>
      <c r="N104" s="17"/>
      <c r="O104" s="17"/>
      <c r="P104" s="17"/>
      <c r="Q104" s="17"/>
      <c r="R104" s="17"/>
      <c r="S104" s="17"/>
      <c r="T104" s="17"/>
      <c r="U104" s="18"/>
    </row>
    <row r="105" spans="1:21" ht="28" customHeight="1" x14ac:dyDescent="0.35">
      <c r="A105" s="19" t="s">
        <v>569</v>
      </c>
      <c r="B105" s="20"/>
      <c r="C105" s="20"/>
      <c r="D105" s="20"/>
      <c r="E105" s="20"/>
      <c r="F105" s="20"/>
      <c r="G105" s="20"/>
      <c r="H105" s="20"/>
      <c r="I105" s="20"/>
      <c r="J105" s="20"/>
      <c r="K105" s="20"/>
      <c r="L105" s="20"/>
      <c r="M105" s="20"/>
      <c r="N105" s="20"/>
      <c r="O105" s="20"/>
      <c r="P105" s="20"/>
      <c r="Q105" s="20"/>
      <c r="R105" s="20"/>
      <c r="S105" s="20"/>
      <c r="T105" s="20"/>
      <c r="U105" s="21"/>
    </row>
    <row r="106" spans="1:21" ht="28" customHeight="1" x14ac:dyDescent="0.35">
      <c r="A106" s="4" t="s">
        <v>31</v>
      </c>
      <c r="B106" s="3" t="s">
        <v>22</v>
      </c>
      <c r="C106" s="4" t="s">
        <v>32</v>
      </c>
      <c r="D106" s="3"/>
      <c r="E106" s="4" t="s">
        <v>33</v>
      </c>
      <c r="F106" s="8"/>
    </row>
    <row r="107" spans="1:21" ht="28" customHeight="1" x14ac:dyDescent="0.35">
      <c r="A107" s="1" t="s">
        <v>34</v>
      </c>
      <c r="B107" s="1" t="s">
        <v>35</v>
      </c>
      <c r="C107" s="1" t="s">
        <v>36</v>
      </c>
      <c r="D107" s="1" t="s">
        <v>37</v>
      </c>
      <c r="E107" s="1" t="s">
        <v>38</v>
      </c>
      <c r="F107" s="1" t="s">
        <v>39</v>
      </c>
      <c r="G107" s="1" t="s">
        <v>40</v>
      </c>
      <c r="H107" s="1" t="s">
        <v>41</v>
      </c>
      <c r="I107" s="1" t="s">
        <v>42</v>
      </c>
      <c r="J107" s="1" t="s">
        <v>43</v>
      </c>
      <c r="K107" s="1" t="s">
        <v>44</v>
      </c>
      <c r="L107" s="1" t="s">
        <v>45</v>
      </c>
      <c r="M107" s="1" t="s">
        <v>46</v>
      </c>
      <c r="N107" s="1" t="s">
        <v>47</v>
      </c>
      <c r="O107" s="1" t="s">
        <v>48</v>
      </c>
      <c r="P107" s="1" t="s">
        <v>4</v>
      </c>
      <c r="Q107" s="1" t="s">
        <v>49</v>
      </c>
      <c r="R107" s="1" t="s">
        <v>50</v>
      </c>
      <c r="S107" s="1" t="s">
        <v>51</v>
      </c>
      <c r="T107" s="1" t="s">
        <v>52</v>
      </c>
      <c r="U107" s="1" t="s">
        <v>10</v>
      </c>
    </row>
    <row r="108" spans="1:21" ht="28" customHeight="1" x14ac:dyDescent="0.35">
      <c r="A108" s="4">
        <v>1</v>
      </c>
      <c r="B108" s="4" t="s">
        <v>53</v>
      </c>
      <c r="C108" s="4" t="s">
        <v>558</v>
      </c>
      <c r="D108" s="4" t="s">
        <v>559</v>
      </c>
      <c r="E108" s="4" t="s">
        <v>56</v>
      </c>
      <c r="F108" s="4" t="s">
        <v>57</v>
      </c>
      <c r="G108" s="4" t="s">
        <v>58</v>
      </c>
      <c r="H108" s="4" t="s">
        <v>59</v>
      </c>
      <c r="I108" s="3"/>
      <c r="J108" s="3"/>
      <c r="K108" s="3"/>
      <c r="L108" s="3"/>
      <c r="M108" s="3"/>
      <c r="N108" s="3"/>
      <c r="O108" s="3"/>
      <c r="P108" s="8"/>
      <c r="Q108" s="8"/>
      <c r="R108" s="3"/>
      <c r="S108" s="3"/>
      <c r="T108" s="3"/>
      <c r="U108" s="5" t="str">
        <f t="shared" ref="U108:U123" si="6">IF(I108="","",IF(I108="NA","Grey",IF(I108=2,"Green",IF(I108=1,"Amber","Red"))))</f>
        <v/>
      </c>
    </row>
    <row r="109" spans="1:21" ht="28" customHeight="1" x14ac:dyDescent="0.35">
      <c r="A109" s="4">
        <v>2</v>
      </c>
      <c r="B109" s="4" t="s">
        <v>53</v>
      </c>
      <c r="C109" s="4" t="s">
        <v>560</v>
      </c>
      <c r="D109" s="4" t="s">
        <v>561</v>
      </c>
      <c r="E109" s="4" t="s">
        <v>56</v>
      </c>
      <c r="F109" s="4" t="s">
        <v>57</v>
      </c>
      <c r="G109" s="4" t="s">
        <v>58</v>
      </c>
      <c r="H109" s="4" t="s">
        <v>59</v>
      </c>
      <c r="I109" s="3"/>
      <c r="J109" s="3"/>
      <c r="K109" s="3"/>
      <c r="L109" s="3"/>
      <c r="M109" s="3"/>
      <c r="N109" s="3"/>
      <c r="O109" s="3"/>
      <c r="P109" s="8"/>
      <c r="Q109" s="8"/>
      <c r="R109" s="3"/>
      <c r="S109" s="3"/>
      <c r="T109" s="3"/>
      <c r="U109" s="5" t="str">
        <f t="shared" si="6"/>
        <v/>
      </c>
    </row>
    <row r="110" spans="1:21" ht="28" customHeight="1" x14ac:dyDescent="0.35">
      <c r="A110" s="4">
        <v>3</v>
      </c>
      <c r="B110" s="4" t="s">
        <v>53</v>
      </c>
      <c r="C110" s="4" t="s">
        <v>562</v>
      </c>
      <c r="D110" s="4" t="s">
        <v>563</v>
      </c>
      <c r="E110" s="4" t="s">
        <v>56</v>
      </c>
      <c r="F110" s="4" t="s">
        <v>57</v>
      </c>
      <c r="G110" s="4" t="s">
        <v>58</v>
      </c>
      <c r="H110" s="4" t="s">
        <v>59</v>
      </c>
      <c r="I110" s="3"/>
      <c r="J110" s="3"/>
      <c r="K110" s="3"/>
      <c r="L110" s="3"/>
      <c r="M110" s="3"/>
      <c r="N110" s="3"/>
      <c r="O110" s="3"/>
      <c r="P110" s="8"/>
      <c r="Q110" s="8"/>
      <c r="R110" s="3"/>
      <c r="S110" s="3"/>
      <c r="T110" s="3"/>
      <c r="U110" s="5" t="str">
        <f t="shared" si="6"/>
        <v/>
      </c>
    </row>
    <row r="111" spans="1:21" ht="28" customHeight="1" x14ac:dyDescent="0.35">
      <c r="A111" s="4">
        <v>4</v>
      </c>
      <c r="B111" s="4" t="s">
        <v>53</v>
      </c>
      <c r="C111" s="4" t="s">
        <v>564</v>
      </c>
      <c r="D111" s="4" t="s">
        <v>565</v>
      </c>
      <c r="E111" s="4" t="s">
        <v>56</v>
      </c>
      <c r="F111" s="4" t="s">
        <v>57</v>
      </c>
      <c r="G111" s="4" t="s">
        <v>58</v>
      </c>
      <c r="H111" s="4" t="s">
        <v>59</v>
      </c>
      <c r="I111" s="3"/>
      <c r="J111" s="3"/>
      <c r="K111" s="3"/>
      <c r="L111" s="3"/>
      <c r="M111" s="3"/>
      <c r="N111" s="3"/>
      <c r="O111" s="3"/>
      <c r="P111" s="8"/>
      <c r="Q111" s="8"/>
      <c r="R111" s="3"/>
      <c r="S111" s="3"/>
      <c r="T111" s="3"/>
      <c r="U111" s="5" t="str">
        <f t="shared" si="6"/>
        <v/>
      </c>
    </row>
    <row r="112" spans="1:21" ht="28" customHeight="1" x14ac:dyDescent="0.35">
      <c r="A112" s="4">
        <v>5</v>
      </c>
      <c r="B112" s="4" t="s">
        <v>66</v>
      </c>
      <c r="C112" s="4" t="s">
        <v>67</v>
      </c>
      <c r="D112" s="4" t="s">
        <v>68</v>
      </c>
      <c r="E112" s="4" t="s">
        <v>69</v>
      </c>
      <c r="F112" s="4" t="s">
        <v>57</v>
      </c>
      <c r="G112" s="4" t="s">
        <v>58</v>
      </c>
      <c r="H112" s="4" t="s">
        <v>59</v>
      </c>
      <c r="I112" s="3"/>
      <c r="J112" s="3"/>
      <c r="K112" s="3"/>
      <c r="L112" s="3"/>
      <c r="M112" s="3"/>
      <c r="N112" s="3"/>
      <c r="O112" s="3"/>
      <c r="P112" s="8"/>
      <c r="Q112" s="8"/>
      <c r="R112" s="3"/>
      <c r="S112" s="3"/>
      <c r="T112" s="3"/>
      <c r="U112" s="5" t="str">
        <f t="shared" si="6"/>
        <v/>
      </c>
    </row>
    <row r="113" spans="1:21" ht="28" customHeight="1" x14ac:dyDescent="0.35">
      <c r="A113" s="4">
        <v>6</v>
      </c>
      <c r="B113" s="4" t="s">
        <v>70</v>
      </c>
      <c r="C113" s="4" t="s">
        <v>71</v>
      </c>
      <c r="D113" s="4" t="s">
        <v>72</v>
      </c>
      <c r="E113" s="4" t="s">
        <v>70</v>
      </c>
      <c r="F113" s="4" t="s">
        <v>57</v>
      </c>
      <c r="G113" s="4" t="s">
        <v>58</v>
      </c>
      <c r="H113" s="4" t="s">
        <v>59</v>
      </c>
      <c r="I113" s="3"/>
      <c r="J113" s="3"/>
      <c r="K113" s="3"/>
      <c r="L113" s="3"/>
      <c r="M113" s="3"/>
      <c r="N113" s="3"/>
      <c r="O113" s="3"/>
      <c r="P113" s="8"/>
      <c r="Q113" s="8"/>
      <c r="R113" s="3"/>
      <c r="S113" s="3"/>
      <c r="T113" s="3"/>
      <c r="U113" s="5" t="str">
        <f t="shared" si="6"/>
        <v/>
      </c>
    </row>
    <row r="114" spans="1:21" ht="28" customHeight="1" x14ac:dyDescent="0.35">
      <c r="A114" s="4">
        <v>7</v>
      </c>
      <c r="B114" s="4" t="s">
        <v>73</v>
      </c>
      <c r="C114" s="4" t="s">
        <v>74</v>
      </c>
      <c r="D114" s="4" t="s">
        <v>75</v>
      </c>
      <c r="E114" s="4" t="s">
        <v>69</v>
      </c>
      <c r="F114" s="4" t="s">
        <v>57</v>
      </c>
      <c r="G114" s="4" t="s">
        <v>58</v>
      </c>
      <c r="H114" s="4" t="s">
        <v>76</v>
      </c>
      <c r="I114" s="3"/>
      <c r="J114" s="3"/>
      <c r="K114" s="3"/>
      <c r="L114" s="3"/>
      <c r="M114" s="3"/>
      <c r="N114" s="3"/>
      <c r="O114" s="3"/>
      <c r="P114" s="8"/>
      <c r="Q114" s="8"/>
      <c r="R114" s="3"/>
      <c r="S114" s="3"/>
      <c r="T114" s="3"/>
      <c r="U114" s="5" t="str">
        <f t="shared" si="6"/>
        <v/>
      </c>
    </row>
    <row r="115" spans="1:21" ht="28" customHeight="1" x14ac:dyDescent="0.35">
      <c r="A115" s="4">
        <v>8</v>
      </c>
      <c r="B115" s="4" t="s">
        <v>77</v>
      </c>
      <c r="C115" s="4" t="s">
        <v>78</v>
      </c>
      <c r="D115" s="4" t="s">
        <v>79</v>
      </c>
      <c r="E115" s="4" t="s">
        <v>80</v>
      </c>
      <c r="F115" s="4" t="s">
        <v>57</v>
      </c>
      <c r="G115" s="4" t="s">
        <v>58</v>
      </c>
      <c r="H115" s="4" t="s">
        <v>59</v>
      </c>
      <c r="I115" s="3"/>
      <c r="J115" s="3"/>
      <c r="K115" s="3"/>
      <c r="L115" s="3"/>
      <c r="M115" s="3"/>
      <c r="N115" s="3"/>
      <c r="O115" s="3"/>
      <c r="P115" s="8"/>
      <c r="Q115" s="8"/>
      <c r="R115" s="3"/>
      <c r="S115" s="3"/>
      <c r="T115" s="3"/>
      <c r="U115" s="5" t="str">
        <f t="shared" si="6"/>
        <v/>
      </c>
    </row>
    <row r="116" spans="1:21" ht="28" customHeight="1" x14ac:dyDescent="0.35">
      <c r="A116" s="4">
        <v>9</v>
      </c>
      <c r="B116" s="4" t="s">
        <v>81</v>
      </c>
      <c r="C116" s="4" t="s">
        <v>82</v>
      </c>
      <c r="D116" s="4" t="s">
        <v>83</v>
      </c>
      <c r="E116" s="4" t="s">
        <v>84</v>
      </c>
      <c r="F116" s="4" t="s">
        <v>57</v>
      </c>
      <c r="G116" s="4" t="s">
        <v>58</v>
      </c>
      <c r="H116" s="4" t="s">
        <v>85</v>
      </c>
      <c r="I116" s="3"/>
      <c r="J116" s="3"/>
      <c r="K116" s="3"/>
      <c r="L116" s="3"/>
      <c r="M116" s="3"/>
      <c r="N116" s="3"/>
      <c r="O116" s="3"/>
      <c r="P116" s="8"/>
      <c r="Q116" s="8"/>
      <c r="R116" s="3"/>
      <c r="S116" s="3"/>
      <c r="T116" s="3"/>
      <c r="U116" s="5" t="str">
        <f t="shared" si="6"/>
        <v/>
      </c>
    </row>
    <row r="117" spans="1:21" ht="28" customHeight="1" x14ac:dyDescent="0.35">
      <c r="A117" s="4">
        <v>10</v>
      </c>
      <c r="B117" s="4" t="s">
        <v>86</v>
      </c>
      <c r="C117" s="4" t="s">
        <v>87</v>
      </c>
      <c r="D117" s="4" t="s">
        <v>88</v>
      </c>
      <c r="E117" s="4" t="s">
        <v>69</v>
      </c>
      <c r="F117" s="4" t="s">
        <v>57</v>
      </c>
      <c r="G117" s="4" t="s">
        <v>58</v>
      </c>
      <c r="H117" s="4" t="s">
        <v>59</v>
      </c>
      <c r="I117" s="3"/>
      <c r="J117" s="3"/>
      <c r="K117" s="3"/>
      <c r="L117" s="3"/>
      <c r="M117" s="3"/>
      <c r="N117" s="3"/>
      <c r="O117" s="3"/>
      <c r="P117" s="8"/>
      <c r="Q117" s="8"/>
      <c r="R117" s="3"/>
      <c r="S117" s="3"/>
      <c r="T117" s="3"/>
      <c r="U117" s="5" t="str">
        <f t="shared" si="6"/>
        <v/>
      </c>
    </row>
    <row r="118" spans="1:21" ht="28" customHeight="1" x14ac:dyDescent="0.35">
      <c r="A118" s="4">
        <v>11</v>
      </c>
      <c r="B118" s="4" t="s">
        <v>89</v>
      </c>
      <c r="C118" s="4" t="s">
        <v>90</v>
      </c>
      <c r="D118" s="4" t="s">
        <v>91</v>
      </c>
      <c r="E118" s="4" t="s">
        <v>84</v>
      </c>
      <c r="F118" s="4" t="s">
        <v>57</v>
      </c>
      <c r="G118" s="4" t="s">
        <v>58</v>
      </c>
      <c r="H118" s="4" t="s">
        <v>59</v>
      </c>
      <c r="I118" s="3"/>
      <c r="J118" s="3"/>
      <c r="K118" s="3"/>
      <c r="L118" s="3"/>
      <c r="M118" s="3"/>
      <c r="N118" s="3"/>
      <c r="O118" s="3"/>
      <c r="P118" s="8"/>
      <c r="Q118" s="8"/>
      <c r="R118" s="3"/>
      <c r="S118" s="3"/>
      <c r="T118" s="3"/>
      <c r="U118" s="5" t="str">
        <f t="shared" si="6"/>
        <v/>
      </c>
    </row>
    <row r="119" spans="1:21" ht="28" customHeight="1" x14ac:dyDescent="0.35">
      <c r="A119" s="4">
        <v>12</v>
      </c>
      <c r="B119" s="4" t="s">
        <v>92</v>
      </c>
      <c r="C119" s="4" t="s">
        <v>93</v>
      </c>
      <c r="D119" s="4" t="s">
        <v>94</v>
      </c>
      <c r="E119" s="4" t="s">
        <v>69</v>
      </c>
      <c r="F119" s="4" t="s">
        <v>95</v>
      </c>
      <c r="G119" s="4" t="s">
        <v>96</v>
      </c>
      <c r="H119" s="4" t="s">
        <v>59</v>
      </c>
      <c r="I119" s="3"/>
      <c r="J119" s="3"/>
      <c r="K119" s="3"/>
      <c r="L119" s="3"/>
      <c r="M119" s="3"/>
      <c r="N119" s="3"/>
      <c r="O119" s="3"/>
      <c r="P119" s="8"/>
      <c r="Q119" s="8"/>
      <c r="R119" s="3"/>
      <c r="S119" s="3"/>
      <c r="T119" s="3"/>
      <c r="U119" s="5" t="str">
        <f t="shared" si="6"/>
        <v/>
      </c>
    </row>
    <row r="120" spans="1:21" ht="28" customHeight="1" x14ac:dyDescent="0.35">
      <c r="A120" s="4">
        <v>13</v>
      </c>
      <c r="B120" s="4" t="s">
        <v>97</v>
      </c>
      <c r="C120" s="4" t="s">
        <v>98</v>
      </c>
      <c r="D120" s="4" t="s">
        <v>99</v>
      </c>
      <c r="E120" s="4" t="s">
        <v>69</v>
      </c>
      <c r="F120" s="4" t="s">
        <v>95</v>
      </c>
      <c r="G120" s="4" t="s">
        <v>96</v>
      </c>
      <c r="H120" s="4" t="s">
        <v>59</v>
      </c>
      <c r="I120" s="3"/>
      <c r="J120" s="3"/>
      <c r="K120" s="3"/>
      <c r="L120" s="3"/>
      <c r="M120" s="3"/>
      <c r="N120" s="3"/>
      <c r="O120" s="3"/>
      <c r="P120" s="8"/>
      <c r="Q120" s="8"/>
      <c r="R120" s="3"/>
      <c r="S120" s="3"/>
      <c r="T120" s="3"/>
      <c r="U120" s="5" t="str">
        <f t="shared" si="6"/>
        <v/>
      </c>
    </row>
    <row r="121" spans="1:21" ht="28" customHeight="1" x14ac:dyDescent="0.35">
      <c r="A121" s="4">
        <v>14</v>
      </c>
      <c r="B121" s="4" t="s">
        <v>97</v>
      </c>
      <c r="C121" s="4" t="s">
        <v>100</v>
      </c>
      <c r="D121" s="4" t="s">
        <v>101</v>
      </c>
      <c r="E121" s="4" t="s">
        <v>69</v>
      </c>
      <c r="F121" s="4" t="s">
        <v>95</v>
      </c>
      <c r="G121" s="4" t="s">
        <v>102</v>
      </c>
      <c r="H121" s="4" t="s">
        <v>59</v>
      </c>
      <c r="I121" s="3"/>
      <c r="J121" s="3"/>
      <c r="K121" s="3"/>
      <c r="L121" s="3"/>
      <c r="M121" s="3"/>
      <c r="N121" s="3"/>
      <c r="O121" s="3"/>
      <c r="P121" s="8"/>
      <c r="Q121" s="8"/>
      <c r="R121" s="3"/>
      <c r="S121" s="3"/>
      <c r="T121" s="3"/>
      <c r="U121" s="5" t="str">
        <f t="shared" si="6"/>
        <v/>
      </c>
    </row>
    <row r="122" spans="1:21" ht="28" customHeight="1" x14ac:dyDescent="0.35">
      <c r="A122" s="4">
        <v>15</v>
      </c>
      <c r="B122" s="4" t="s">
        <v>103</v>
      </c>
      <c r="C122" s="4" t="s">
        <v>104</v>
      </c>
      <c r="D122" s="4" t="s">
        <v>105</v>
      </c>
      <c r="E122" s="4" t="s">
        <v>69</v>
      </c>
      <c r="F122" s="4" t="s">
        <v>95</v>
      </c>
      <c r="G122" s="4" t="s">
        <v>96</v>
      </c>
      <c r="H122" s="4" t="s">
        <v>85</v>
      </c>
      <c r="I122" s="3"/>
      <c r="J122" s="3"/>
      <c r="K122" s="3"/>
      <c r="L122" s="3"/>
      <c r="M122" s="3"/>
      <c r="N122" s="3"/>
      <c r="O122" s="3"/>
      <c r="P122" s="8"/>
      <c r="Q122" s="8"/>
      <c r="R122" s="3"/>
      <c r="S122" s="3"/>
      <c r="T122" s="3"/>
      <c r="U122" s="5" t="str">
        <f t="shared" si="6"/>
        <v/>
      </c>
    </row>
    <row r="123" spans="1:21" ht="28" customHeight="1" x14ac:dyDescent="0.35">
      <c r="A123" s="4">
        <v>16</v>
      </c>
      <c r="B123" s="4" t="s">
        <v>106</v>
      </c>
      <c r="C123" s="4" t="s">
        <v>107</v>
      </c>
      <c r="D123" s="4" t="s">
        <v>108</v>
      </c>
      <c r="E123" s="4" t="s">
        <v>109</v>
      </c>
      <c r="F123" s="4" t="s">
        <v>95</v>
      </c>
      <c r="G123" s="4" t="s">
        <v>96</v>
      </c>
      <c r="H123" s="4" t="s">
        <v>59</v>
      </c>
      <c r="I123" s="3"/>
      <c r="J123" s="3"/>
      <c r="K123" s="3"/>
      <c r="L123" s="3"/>
      <c r="M123" s="3"/>
      <c r="N123" s="3"/>
      <c r="O123" s="3"/>
      <c r="P123" s="8"/>
      <c r="Q123" s="8"/>
      <c r="R123" s="3"/>
      <c r="S123" s="3"/>
      <c r="T123" s="3"/>
      <c r="U123" s="5" t="str">
        <f t="shared" si="6"/>
        <v/>
      </c>
    </row>
    <row r="125" spans="1:21" ht="28" customHeight="1" x14ac:dyDescent="0.35">
      <c r="A125" s="9" t="s">
        <v>110</v>
      </c>
      <c r="B125" s="16"/>
      <c r="C125" s="17"/>
      <c r="D125" s="17"/>
      <c r="E125" s="17"/>
      <c r="F125" s="17"/>
      <c r="G125" s="17"/>
      <c r="H125" s="17"/>
      <c r="I125" s="17"/>
      <c r="J125" s="17"/>
      <c r="K125" s="17"/>
      <c r="L125" s="17"/>
      <c r="M125" s="17"/>
      <c r="N125" s="17"/>
      <c r="O125" s="17"/>
      <c r="P125" s="17"/>
      <c r="Q125" s="17"/>
      <c r="R125" s="17"/>
      <c r="S125" s="17"/>
      <c r="T125" s="17"/>
      <c r="U125" s="18"/>
    </row>
    <row r="126" spans="1:21" ht="28" customHeight="1" x14ac:dyDescent="0.35">
      <c r="A126" s="19" t="s">
        <v>570</v>
      </c>
      <c r="B126" s="20"/>
      <c r="C126" s="20"/>
      <c r="D126" s="20"/>
      <c r="E126" s="20"/>
      <c r="F126" s="20"/>
      <c r="G126" s="20"/>
      <c r="H126" s="20"/>
      <c r="I126" s="20"/>
      <c r="J126" s="20"/>
      <c r="K126" s="20"/>
      <c r="L126" s="20"/>
      <c r="M126" s="20"/>
      <c r="N126" s="20"/>
      <c r="O126" s="20"/>
      <c r="P126" s="20"/>
      <c r="Q126" s="20"/>
      <c r="R126" s="20"/>
      <c r="S126" s="20"/>
      <c r="T126" s="20"/>
      <c r="U126" s="21"/>
    </row>
    <row r="127" spans="1:21" ht="28" customHeight="1" x14ac:dyDescent="0.35">
      <c r="A127" s="4" t="s">
        <v>31</v>
      </c>
      <c r="B127" s="3" t="s">
        <v>23</v>
      </c>
      <c r="C127" s="4" t="s">
        <v>32</v>
      </c>
      <c r="D127" s="3"/>
      <c r="E127" s="4" t="s">
        <v>33</v>
      </c>
      <c r="F127" s="8"/>
    </row>
    <row r="128" spans="1:21" ht="28" customHeight="1" x14ac:dyDescent="0.35">
      <c r="A128" s="1" t="s">
        <v>34</v>
      </c>
      <c r="B128" s="1" t="s">
        <v>35</v>
      </c>
      <c r="C128" s="1" t="s">
        <v>36</v>
      </c>
      <c r="D128" s="1" t="s">
        <v>37</v>
      </c>
      <c r="E128" s="1" t="s">
        <v>38</v>
      </c>
      <c r="F128" s="1" t="s">
        <v>39</v>
      </c>
      <c r="G128" s="1" t="s">
        <v>40</v>
      </c>
      <c r="H128" s="1" t="s">
        <v>41</v>
      </c>
      <c r="I128" s="1" t="s">
        <v>42</v>
      </c>
      <c r="J128" s="1" t="s">
        <v>43</v>
      </c>
      <c r="K128" s="1" t="s">
        <v>44</v>
      </c>
      <c r="L128" s="1" t="s">
        <v>45</v>
      </c>
      <c r="M128" s="1" t="s">
        <v>46</v>
      </c>
      <c r="N128" s="1" t="s">
        <v>47</v>
      </c>
      <c r="O128" s="1" t="s">
        <v>48</v>
      </c>
      <c r="P128" s="1" t="s">
        <v>4</v>
      </c>
      <c r="Q128" s="1" t="s">
        <v>49</v>
      </c>
      <c r="R128" s="1" t="s">
        <v>50</v>
      </c>
      <c r="S128" s="1" t="s">
        <v>51</v>
      </c>
      <c r="T128" s="1" t="s">
        <v>52</v>
      </c>
      <c r="U128" s="1" t="s">
        <v>10</v>
      </c>
    </row>
    <row r="129" spans="1:21" ht="28" customHeight="1" x14ac:dyDescent="0.35">
      <c r="A129" s="4">
        <v>1</v>
      </c>
      <c r="B129" s="4" t="s">
        <v>53</v>
      </c>
      <c r="C129" s="4" t="s">
        <v>558</v>
      </c>
      <c r="D129" s="4" t="s">
        <v>559</v>
      </c>
      <c r="E129" s="4" t="s">
        <v>56</v>
      </c>
      <c r="F129" s="4" t="s">
        <v>57</v>
      </c>
      <c r="G129" s="4" t="s">
        <v>58</v>
      </c>
      <c r="H129" s="4" t="s">
        <v>59</v>
      </c>
      <c r="I129" s="3"/>
      <c r="J129" s="3"/>
      <c r="K129" s="3"/>
      <c r="L129" s="3"/>
      <c r="M129" s="3"/>
      <c r="N129" s="3"/>
      <c r="O129" s="3"/>
      <c r="P129" s="8"/>
      <c r="Q129" s="8"/>
      <c r="R129" s="3"/>
      <c r="S129" s="3"/>
      <c r="T129" s="3"/>
      <c r="U129" s="5" t="str">
        <f t="shared" ref="U129:U144" si="7">IF(I129="","",IF(I129="NA","Grey",IF(I129=2,"Green",IF(I129=1,"Amber","Red"))))</f>
        <v/>
      </c>
    </row>
    <row r="130" spans="1:21" ht="28" customHeight="1" x14ac:dyDescent="0.35">
      <c r="A130" s="4">
        <v>2</v>
      </c>
      <c r="B130" s="4" t="s">
        <v>53</v>
      </c>
      <c r="C130" s="4" t="s">
        <v>560</v>
      </c>
      <c r="D130" s="4" t="s">
        <v>561</v>
      </c>
      <c r="E130" s="4" t="s">
        <v>56</v>
      </c>
      <c r="F130" s="4" t="s">
        <v>57</v>
      </c>
      <c r="G130" s="4" t="s">
        <v>58</v>
      </c>
      <c r="H130" s="4" t="s">
        <v>59</v>
      </c>
      <c r="I130" s="3"/>
      <c r="J130" s="3"/>
      <c r="K130" s="3"/>
      <c r="L130" s="3"/>
      <c r="M130" s="3"/>
      <c r="N130" s="3"/>
      <c r="O130" s="3"/>
      <c r="P130" s="8"/>
      <c r="Q130" s="8"/>
      <c r="R130" s="3"/>
      <c r="S130" s="3"/>
      <c r="T130" s="3"/>
      <c r="U130" s="5" t="str">
        <f t="shared" si="7"/>
        <v/>
      </c>
    </row>
    <row r="131" spans="1:21" ht="28" customHeight="1" x14ac:dyDescent="0.35">
      <c r="A131" s="4">
        <v>3</v>
      </c>
      <c r="B131" s="4" t="s">
        <v>53</v>
      </c>
      <c r="C131" s="4" t="s">
        <v>562</v>
      </c>
      <c r="D131" s="4" t="s">
        <v>563</v>
      </c>
      <c r="E131" s="4" t="s">
        <v>56</v>
      </c>
      <c r="F131" s="4" t="s">
        <v>57</v>
      </c>
      <c r="G131" s="4" t="s">
        <v>58</v>
      </c>
      <c r="H131" s="4" t="s">
        <v>59</v>
      </c>
      <c r="I131" s="3"/>
      <c r="J131" s="3"/>
      <c r="K131" s="3"/>
      <c r="L131" s="3"/>
      <c r="M131" s="3"/>
      <c r="N131" s="3"/>
      <c r="O131" s="3"/>
      <c r="P131" s="8"/>
      <c r="Q131" s="8"/>
      <c r="R131" s="3"/>
      <c r="S131" s="3"/>
      <c r="T131" s="3"/>
      <c r="U131" s="5" t="str">
        <f t="shared" si="7"/>
        <v/>
      </c>
    </row>
    <row r="132" spans="1:21" ht="28" customHeight="1" x14ac:dyDescent="0.35">
      <c r="A132" s="4">
        <v>4</v>
      </c>
      <c r="B132" s="4" t="s">
        <v>53</v>
      </c>
      <c r="C132" s="4" t="s">
        <v>564</v>
      </c>
      <c r="D132" s="4" t="s">
        <v>565</v>
      </c>
      <c r="E132" s="4" t="s">
        <v>56</v>
      </c>
      <c r="F132" s="4" t="s">
        <v>57</v>
      </c>
      <c r="G132" s="4" t="s">
        <v>58</v>
      </c>
      <c r="H132" s="4" t="s">
        <v>59</v>
      </c>
      <c r="I132" s="3"/>
      <c r="J132" s="3"/>
      <c r="K132" s="3"/>
      <c r="L132" s="3"/>
      <c r="M132" s="3"/>
      <c r="N132" s="3"/>
      <c r="O132" s="3"/>
      <c r="P132" s="8"/>
      <c r="Q132" s="8"/>
      <c r="R132" s="3"/>
      <c r="S132" s="3"/>
      <c r="T132" s="3"/>
      <c r="U132" s="5" t="str">
        <f t="shared" si="7"/>
        <v/>
      </c>
    </row>
    <row r="133" spans="1:21" ht="28" customHeight="1" x14ac:dyDescent="0.35">
      <c r="A133" s="4">
        <v>5</v>
      </c>
      <c r="B133" s="4" t="s">
        <v>66</v>
      </c>
      <c r="C133" s="4" t="s">
        <v>67</v>
      </c>
      <c r="D133" s="4" t="s">
        <v>68</v>
      </c>
      <c r="E133" s="4" t="s">
        <v>69</v>
      </c>
      <c r="F133" s="4" t="s">
        <v>57</v>
      </c>
      <c r="G133" s="4" t="s">
        <v>58</v>
      </c>
      <c r="H133" s="4" t="s">
        <v>59</v>
      </c>
      <c r="I133" s="3"/>
      <c r="J133" s="3"/>
      <c r="K133" s="3"/>
      <c r="L133" s="3"/>
      <c r="M133" s="3"/>
      <c r="N133" s="3"/>
      <c r="O133" s="3"/>
      <c r="P133" s="8"/>
      <c r="Q133" s="8"/>
      <c r="R133" s="3"/>
      <c r="S133" s="3"/>
      <c r="T133" s="3"/>
      <c r="U133" s="5" t="str">
        <f t="shared" si="7"/>
        <v/>
      </c>
    </row>
    <row r="134" spans="1:21" ht="28" customHeight="1" x14ac:dyDescent="0.35">
      <c r="A134" s="4">
        <v>6</v>
      </c>
      <c r="B134" s="4" t="s">
        <v>70</v>
      </c>
      <c r="C134" s="4" t="s">
        <v>71</v>
      </c>
      <c r="D134" s="4" t="s">
        <v>72</v>
      </c>
      <c r="E134" s="4" t="s">
        <v>70</v>
      </c>
      <c r="F134" s="4" t="s">
        <v>57</v>
      </c>
      <c r="G134" s="4" t="s">
        <v>58</v>
      </c>
      <c r="H134" s="4" t="s">
        <v>59</v>
      </c>
      <c r="I134" s="3"/>
      <c r="J134" s="3"/>
      <c r="K134" s="3"/>
      <c r="L134" s="3"/>
      <c r="M134" s="3"/>
      <c r="N134" s="3"/>
      <c r="O134" s="3"/>
      <c r="P134" s="8"/>
      <c r="Q134" s="8"/>
      <c r="R134" s="3"/>
      <c r="S134" s="3"/>
      <c r="T134" s="3"/>
      <c r="U134" s="5" t="str">
        <f t="shared" si="7"/>
        <v/>
      </c>
    </row>
    <row r="135" spans="1:21" ht="28" customHeight="1" x14ac:dyDescent="0.35">
      <c r="A135" s="4">
        <v>7</v>
      </c>
      <c r="B135" s="4" t="s">
        <v>73</v>
      </c>
      <c r="C135" s="4" t="s">
        <v>74</v>
      </c>
      <c r="D135" s="4" t="s">
        <v>75</v>
      </c>
      <c r="E135" s="4" t="s">
        <v>69</v>
      </c>
      <c r="F135" s="4" t="s">
        <v>57</v>
      </c>
      <c r="G135" s="4" t="s">
        <v>58</v>
      </c>
      <c r="H135" s="4" t="s">
        <v>76</v>
      </c>
      <c r="I135" s="3"/>
      <c r="J135" s="3"/>
      <c r="K135" s="3"/>
      <c r="L135" s="3"/>
      <c r="M135" s="3"/>
      <c r="N135" s="3"/>
      <c r="O135" s="3"/>
      <c r="P135" s="8"/>
      <c r="Q135" s="8"/>
      <c r="R135" s="3"/>
      <c r="S135" s="3"/>
      <c r="T135" s="3"/>
      <c r="U135" s="5" t="str">
        <f t="shared" si="7"/>
        <v/>
      </c>
    </row>
    <row r="136" spans="1:21" ht="28" customHeight="1" x14ac:dyDescent="0.35">
      <c r="A136" s="4">
        <v>8</v>
      </c>
      <c r="B136" s="4" t="s">
        <v>77</v>
      </c>
      <c r="C136" s="4" t="s">
        <v>78</v>
      </c>
      <c r="D136" s="4" t="s">
        <v>79</v>
      </c>
      <c r="E136" s="4" t="s">
        <v>80</v>
      </c>
      <c r="F136" s="4" t="s">
        <v>57</v>
      </c>
      <c r="G136" s="4" t="s">
        <v>58</v>
      </c>
      <c r="H136" s="4" t="s">
        <v>59</v>
      </c>
      <c r="I136" s="3"/>
      <c r="J136" s="3"/>
      <c r="K136" s="3"/>
      <c r="L136" s="3"/>
      <c r="M136" s="3"/>
      <c r="N136" s="3"/>
      <c r="O136" s="3"/>
      <c r="P136" s="8"/>
      <c r="Q136" s="8"/>
      <c r="R136" s="3"/>
      <c r="S136" s="3"/>
      <c r="T136" s="3"/>
      <c r="U136" s="5" t="str">
        <f t="shared" si="7"/>
        <v/>
      </c>
    </row>
    <row r="137" spans="1:21" ht="28" customHeight="1" x14ac:dyDescent="0.35">
      <c r="A137" s="4">
        <v>9</v>
      </c>
      <c r="B137" s="4" t="s">
        <v>81</v>
      </c>
      <c r="C137" s="4" t="s">
        <v>82</v>
      </c>
      <c r="D137" s="4" t="s">
        <v>83</v>
      </c>
      <c r="E137" s="4" t="s">
        <v>84</v>
      </c>
      <c r="F137" s="4" t="s">
        <v>57</v>
      </c>
      <c r="G137" s="4" t="s">
        <v>58</v>
      </c>
      <c r="H137" s="4" t="s">
        <v>85</v>
      </c>
      <c r="I137" s="3"/>
      <c r="J137" s="3"/>
      <c r="K137" s="3"/>
      <c r="L137" s="3"/>
      <c r="M137" s="3"/>
      <c r="N137" s="3"/>
      <c r="O137" s="3"/>
      <c r="P137" s="8"/>
      <c r="Q137" s="8"/>
      <c r="R137" s="3"/>
      <c r="S137" s="3"/>
      <c r="T137" s="3"/>
      <c r="U137" s="5" t="str">
        <f t="shared" si="7"/>
        <v/>
      </c>
    </row>
    <row r="138" spans="1:21" ht="28" customHeight="1" x14ac:dyDescent="0.35">
      <c r="A138" s="4">
        <v>10</v>
      </c>
      <c r="B138" s="4" t="s">
        <v>86</v>
      </c>
      <c r="C138" s="4" t="s">
        <v>87</v>
      </c>
      <c r="D138" s="4" t="s">
        <v>88</v>
      </c>
      <c r="E138" s="4" t="s">
        <v>69</v>
      </c>
      <c r="F138" s="4" t="s">
        <v>57</v>
      </c>
      <c r="G138" s="4" t="s">
        <v>58</v>
      </c>
      <c r="H138" s="4" t="s">
        <v>59</v>
      </c>
      <c r="I138" s="3"/>
      <c r="J138" s="3"/>
      <c r="K138" s="3"/>
      <c r="L138" s="3"/>
      <c r="M138" s="3"/>
      <c r="N138" s="3"/>
      <c r="O138" s="3"/>
      <c r="P138" s="8"/>
      <c r="Q138" s="8"/>
      <c r="R138" s="3"/>
      <c r="S138" s="3"/>
      <c r="T138" s="3"/>
      <c r="U138" s="5" t="str">
        <f t="shared" si="7"/>
        <v/>
      </c>
    </row>
    <row r="139" spans="1:21" ht="28" customHeight="1" x14ac:dyDescent="0.35">
      <c r="A139" s="4">
        <v>11</v>
      </c>
      <c r="B139" s="4" t="s">
        <v>89</v>
      </c>
      <c r="C139" s="4" t="s">
        <v>90</v>
      </c>
      <c r="D139" s="4" t="s">
        <v>91</v>
      </c>
      <c r="E139" s="4" t="s">
        <v>84</v>
      </c>
      <c r="F139" s="4" t="s">
        <v>57</v>
      </c>
      <c r="G139" s="4" t="s">
        <v>58</v>
      </c>
      <c r="H139" s="4" t="s">
        <v>59</v>
      </c>
      <c r="I139" s="3"/>
      <c r="J139" s="3"/>
      <c r="K139" s="3"/>
      <c r="L139" s="3"/>
      <c r="M139" s="3"/>
      <c r="N139" s="3"/>
      <c r="O139" s="3"/>
      <c r="P139" s="8"/>
      <c r="Q139" s="8"/>
      <c r="R139" s="3"/>
      <c r="S139" s="3"/>
      <c r="T139" s="3"/>
      <c r="U139" s="5" t="str">
        <f t="shared" si="7"/>
        <v/>
      </c>
    </row>
    <row r="140" spans="1:21" ht="28" customHeight="1" x14ac:dyDescent="0.35">
      <c r="A140" s="4">
        <v>12</v>
      </c>
      <c r="B140" s="4" t="s">
        <v>92</v>
      </c>
      <c r="C140" s="4" t="s">
        <v>93</v>
      </c>
      <c r="D140" s="4" t="s">
        <v>94</v>
      </c>
      <c r="E140" s="4" t="s">
        <v>69</v>
      </c>
      <c r="F140" s="4" t="s">
        <v>95</v>
      </c>
      <c r="G140" s="4" t="s">
        <v>96</v>
      </c>
      <c r="H140" s="4" t="s">
        <v>59</v>
      </c>
      <c r="I140" s="3"/>
      <c r="J140" s="3"/>
      <c r="K140" s="3"/>
      <c r="L140" s="3"/>
      <c r="M140" s="3"/>
      <c r="N140" s="3"/>
      <c r="O140" s="3"/>
      <c r="P140" s="8"/>
      <c r="Q140" s="8"/>
      <c r="R140" s="3"/>
      <c r="S140" s="3"/>
      <c r="T140" s="3"/>
      <c r="U140" s="5" t="str">
        <f t="shared" si="7"/>
        <v/>
      </c>
    </row>
    <row r="141" spans="1:21" ht="28" customHeight="1" x14ac:dyDescent="0.35">
      <c r="A141" s="4">
        <v>13</v>
      </c>
      <c r="B141" s="4" t="s">
        <v>97</v>
      </c>
      <c r="C141" s="4" t="s">
        <v>98</v>
      </c>
      <c r="D141" s="4" t="s">
        <v>99</v>
      </c>
      <c r="E141" s="4" t="s">
        <v>69</v>
      </c>
      <c r="F141" s="4" t="s">
        <v>95</v>
      </c>
      <c r="G141" s="4" t="s">
        <v>96</v>
      </c>
      <c r="H141" s="4" t="s">
        <v>59</v>
      </c>
      <c r="I141" s="3"/>
      <c r="J141" s="3"/>
      <c r="K141" s="3"/>
      <c r="L141" s="3"/>
      <c r="M141" s="3"/>
      <c r="N141" s="3"/>
      <c r="O141" s="3"/>
      <c r="P141" s="8"/>
      <c r="Q141" s="8"/>
      <c r="R141" s="3"/>
      <c r="S141" s="3"/>
      <c r="T141" s="3"/>
      <c r="U141" s="5" t="str">
        <f t="shared" si="7"/>
        <v/>
      </c>
    </row>
    <row r="142" spans="1:21" ht="28" customHeight="1" x14ac:dyDescent="0.35">
      <c r="A142" s="4">
        <v>14</v>
      </c>
      <c r="B142" s="4" t="s">
        <v>97</v>
      </c>
      <c r="C142" s="4" t="s">
        <v>100</v>
      </c>
      <c r="D142" s="4" t="s">
        <v>101</v>
      </c>
      <c r="E142" s="4" t="s">
        <v>69</v>
      </c>
      <c r="F142" s="4" t="s">
        <v>95</v>
      </c>
      <c r="G142" s="4" t="s">
        <v>102</v>
      </c>
      <c r="H142" s="4" t="s">
        <v>59</v>
      </c>
      <c r="I142" s="3"/>
      <c r="J142" s="3"/>
      <c r="K142" s="3"/>
      <c r="L142" s="3"/>
      <c r="M142" s="3"/>
      <c r="N142" s="3"/>
      <c r="O142" s="3"/>
      <c r="P142" s="8"/>
      <c r="Q142" s="8"/>
      <c r="R142" s="3"/>
      <c r="S142" s="3"/>
      <c r="T142" s="3"/>
      <c r="U142" s="5" t="str">
        <f t="shared" si="7"/>
        <v/>
      </c>
    </row>
    <row r="143" spans="1:21" ht="28" customHeight="1" x14ac:dyDescent="0.35">
      <c r="A143" s="4">
        <v>15</v>
      </c>
      <c r="B143" s="4" t="s">
        <v>103</v>
      </c>
      <c r="C143" s="4" t="s">
        <v>104</v>
      </c>
      <c r="D143" s="4" t="s">
        <v>105</v>
      </c>
      <c r="E143" s="4" t="s">
        <v>69</v>
      </c>
      <c r="F143" s="4" t="s">
        <v>95</v>
      </c>
      <c r="G143" s="4" t="s">
        <v>96</v>
      </c>
      <c r="H143" s="4" t="s">
        <v>85</v>
      </c>
      <c r="I143" s="3"/>
      <c r="J143" s="3"/>
      <c r="K143" s="3"/>
      <c r="L143" s="3"/>
      <c r="M143" s="3"/>
      <c r="N143" s="3"/>
      <c r="O143" s="3"/>
      <c r="P143" s="8"/>
      <c r="Q143" s="8"/>
      <c r="R143" s="3"/>
      <c r="S143" s="3"/>
      <c r="T143" s="3"/>
      <c r="U143" s="5" t="str">
        <f t="shared" si="7"/>
        <v/>
      </c>
    </row>
    <row r="144" spans="1:21" ht="28" customHeight="1" x14ac:dyDescent="0.35">
      <c r="A144" s="4">
        <v>16</v>
      </c>
      <c r="B144" s="4" t="s">
        <v>106</v>
      </c>
      <c r="C144" s="4" t="s">
        <v>107</v>
      </c>
      <c r="D144" s="4" t="s">
        <v>108</v>
      </c>
      <c r="E144" s="4" t="s">
        <v>109</v>
      </c>
      <c r="F144" s="4" t="s">
        <v>95</v>
      </c>
      <c r="G144" s="4" t="s">
        <v>96</v>
      </c>
      <c r="H144" s="4" t="s">
        <v>59</v>
      </c>
      <c r="I144" s="3"/>
      <c r="J144" s="3"/>
      <c r="K144" s="3"/>
      <c r="L144" s="3"/>
      <c r="M144" s="3"/>
      <c r="N144" s="3"/>
      <c r="O144" s="3"/>
      <c r="P144" s="8"/>
      <c r="Q144" s="8"/>
      <c r="R144" s="3"/>
      <c r="S144" s="3"/>
      <c r="T144" s="3"/>
      <c r="U144" s="5" t="str">
        <f t="shared" si="7"/>
        <v/>
      </c>
    </row>
    <row r="146" spans="1:21" ht="28" customHeight="1" x14ac:dyDescent="0.35">
      <c r="A146" s="9" t="s">
        <v>110</v>
      </c>
      <c r="B146" s="16"/>
      <c r="C146" s="17"/>
      <c r="D146" s="17"/>
      <c r="E146" s="17"/>
      <c r="F146" s="17"/>
      <c r="G146" s="17"/>
      <c r="H146" s="17"/>
      <c r="I146" s="17"/>
      <c r="J146" s="17"/>
      <c r="K146" s="17"/>
      <c r="L146" s="17"/>
      <c r="M146" s="17"/>
      <c r="N146" s="17"/>
      <c r="O146" s="17"/>
      <c r="P146" s="17"/>
      <c r="Q146" s="17"/>
      <c r="R146" s="17"/>
      <c r="S146" s="17"/>
      <c r="T146" s="17"/>
      <c r="U146" s="18"/>
    </row>
    <row r="147" spans="1:21" ht="28" customHeight="1" x14ac:dyDescent="0.35">
      <c r="A147" s="19" t="s">
        <v>571</v>
      </c>
      <c r="B147" s="20"/>
      <c r="C147" s="20"/>
      <c r="D147" s="20"/>
      <c r="E147" s="20"/>
      <c r="F147" s="20"/>
      <c r="G147" s="20"/>
      <c r="H147" s="20"/>
      <c r="I147" s="20"/>
      <c r="J147" s="20"/>
      <c r="K147" s="20"/>
      <c r="L147" s="20"/>
      <c r="M147" s="20"/>
      <c r="N147" s="20"/>
      <c r="O147" s="20"/>
      <c r="P147" s="20"/>
      <c r="Q147" s="20"/>
      <c r="R147" s="20"/>
      <c r="S147" s="20"/>
      <c r="T147" s="20"/>
      <c r="U147" s="21"/>
    </row>
    <row r="148" spans="1:21" ht="28" customHeight="1" x14ac:dyDescent="0.35">
      <c r="A148" s="4" t="s">
        <v>31</v>
      </c>
      <c r="B148" s="3" t="s">
        <v>24</v>
      </c>
      <c r="C148" s="4" t="s">
        <v>32</v>
      </c>
      <c r="D148" s="3"/>
      <c r="E148" s="4" t="s">
        <v>33</v>
      </c>
      <c r="F148" s="8"/>
    </row>
    <row r="149" spans="1:21" ht="28" customHeight="1" x14ac:dyDescent="0.35">
      <c r="A149" s="1" t="s">
        <v>34</v>
      </c>
      <c r="B149" s="1" t="s">
        <v>35</v>
      </c>
      <c r="C149" s="1" t="s">
        <v>36</v>
      </c>
      <c r="D149" s="1" t="s">
        <v>37</v>
      </c>
      <c r="E149" s="1" t="s">
        <v>38</v>
      </c>
      <c r="F149" s="1" t="s">
        <v>39</v>
      </c>
      <c r="G149" s="1" t="s">
        <v>40</v>
      </c>
      <c r="H149" s="1" t="s">
        <v>41</v>
      </c>
      <c r="I149" s="1" t="s">
        <v>42</v>
      </c>
      <c r="J149" s="1" t="s">
        <v>43</v>
      </c>
      <c r="K149" s="1" t="s">
        <v>44</v>
      </c>
      <c r="L149" s="1" t="s">
        <v>45</v>
      </c>
      <c r="M149" s="1" t="s">
        <v>46</v>
      </c>
      <c r="N149" s="1" t="s">
        <v>47</v>
      </c>
      <c r="O149" s="1" t="s">
        <v>48</v>
      </c>
      <c r="P149" s="1" t="s">
        <v>4</v>
      </c>
      <c r="Q149" s="1" t="s">
        <v>49</v>
      </c>
      <c r="R149" s="1" t="s">
        <v>50</v>
      </c>
      <c r="S149" s="1" t="s">
        <v>51</v>
      </c>
      <c r="T149" s="1" t="s">
        <v>52</v>
      </c>
      <c r="U149" s="1" t="s">
        <v>10</v>
      </c>
    </row>
    <row r="150" spans="1:21" ht="28" customHeight="1" x14ac:dyDescent="0.35">
      <c r="A150" s="4">
        <v>1</v>
      </c>
      <c r="B150" s="4" t="s">
        <v>53</v>
      </c>
      <c r="C150" s="4" t="s">
        <v>558</v>
      </c>
      <c r="D150" s="4" t="s">
        <v>559</v>
      </c>
      <c r="E150" s="4" t="s">
        <v>56</v>
      </c>
      <c r="F150" s="4" t="s">
        <v>57</v>
      </c>
      <c r="G150" s="4" t="s">
        <v>58</v>
      </c>
      <c r="H150" s="4" t="s">
        <v>59</v>
      </c>
      <c r="I150" s="3"/>
      <c r="J150" s="3"/>
      <c r="K150" s="3"/>
      <c r="L150" s="3"/>
      <c r="M150" s="3"/>
      <c r="N150" s="3"/>
      <c r="O150" s="3"/>
      <c r="P150" s="8"/>
      <c r="Q150" s="8"/>
      <c r="R150" s="3"/>
      <c r="S150" s="3"/>
      <c r="T150" s="3"/>
      <c r="U150" s="5" t="str">
        <f t="shared" ref="U150:U165" si="8">IF(I150="","",IF(I150="NA","Grey",IF(I150=2,"Green",IF(I150=1,"Amber","Red"))))</f>
        <v/>
      </c>
    </row>
    <row r="151" spans="1:21" ht="28" customHeight="1" x14ac:dyDescent="0.35">
      <c r="A151" s="4">
        <v>2</v>
      </c>
      <c r="B151" s="4" t="s">
        <v>53</v>
      </c>
      <c r="C151" s="4" t="s">
        <v>560</v>
      </c>
      <c r="D151" s="4" t="s">
        <v>561</v>
      </c>
      <c r="E151" s="4" t="s">
        <v>56</v>
      </c>
      <c r="F151" s="4" t="s">
        <v>57</v>
      </c>
      <c r="G151" s="4" t="s">
        <v>58</v>
      </c>
      <c r="H151" s="4" t="s">
        <v>59</v>
      </c>
      <c r="I151" s="3"/>
      <c r="J151" s="3"/>
      <c r="K151" s="3"/>
      <c r="L151" s="3"/>
      <c r="M151" s="3"/>
      <c r="N151" s="3"/>
      <c r="O151" s="3"/>
      <c r="P151" s="8"/>
      <c r="Q151" s="8"/>
      <c r="R151" s="3"/>
      <c r="S151" s="3"/>
      <c r="T151" s="3"/>
      <c r="U151" s="5" t="str">
        <f t="shared" si="8"/>
        <v/>
      </c>
    </row>
    <row r="152" spans="1:21" ht="28" customHeight="1" x14ac:dyDescent="0.35">
      <c r="A152" s="4">
        <v>3</v>
      </c>
      <c r="B152" s="4" t="s">
        <v>53</v>
      </c>
      <c r="C152" s="4" t="s">
        <v>562</v>
      </c>
      <c r="D152" s="4" t="s">
        <v>563</v>
      </c>
      <c r="E152" s="4" t="s">
        <v>56</v>
      </c>
      <c r="F152" s="4" t="s">
        <v>57</v>
      </c>
      <c r="G152" s="4" t="s">
        <v>58</v>
      </c>
      <c r="H152" s="4" t="s">
        <v>59</v>
      </c>
      <c r="I152" s="3"/>
      <c r="J152" s="3"/>
      <c r="K152" s="3"/>
      <c r="L152" s="3"/>
      <c r="M152" s="3"/>
      <c r="N152" s="3"/>
      <c r="O152" s="3"/>
      <c r="P152" s="8"/>
      <c r="Q152" s="8"/>
      <c r="R152" s="3"/>
      <c r="S152" s="3"/>
      <c r="T152" s="3"/>
      <c r="U152" s="5" t="str">
        <f t="shared" si="8"/>
        <v/>
      </c>
    </row>
    <row r="153" spans="1:21" ht="28" customHeight="1" x14ac:dyDescent="0.35">
      <c r="A153" s="4">
        <v>4</v>
      </c>
      <c r="B153" s="4" t="s">
        <v>53</v>
      </c>
      <c r="C153" s="4" t="s">
        <v>564</v>
      </c>
      <c r="D153" s="4" t="s">
        <v>565</v>
      </c>
      <c r="E153" s="4" t="s">
        <v>56</v>
      </c>
      <c r="F153" s="4" t="s">
        <v>57</v>
      </c>
      <c r="G153" s="4" t="s">
        <v>58</v>
      </c>
      <c r="H153" s="4" t="s">
        <v>59</v>
      </c>
      <c r="I153" s="3"/>
      <c r="J153" s="3"/>
      <c r="K153" s="3"/>
      <c r="L153" s="3"/>
      <c r="M153" s="3"/>
      <c r="N153" s="3"/>
      <c r="O153" s="3"/>
      <c r="P153" s="8"/>
      <c r="Q153" s="8"/>
      <c r="R153" s="3"/>
      <c r="S153" s="3"/>
      <c r="T153" s="3"/>
      <c r="U153" s="5" t="str">
        <f t="shared" si="8"/>
        <v/>
      </c>
    </row>
    <row r="154" spans="1:21" ht="28" customHeight="1" x14ac:dyDescent="0.35">
      <c r="A154" s="4">
        <v>5</v>
      </c>
      <c r="B154" s="4" t="s">
        <v>66</v>
      </c>
      <c r="C154" s="4" t="s">
        <v>67</v>
      </c>
      <c r="D154" s="4" t="s">
        <v>68</v>
      </c>
      <c r="E154" s="4" t="s">
        <v>69</v>
      </c>
      <c r="F154" s="4" t="s">
        <v>57</v>
      </c>
      <c r="G154" s="4" t="s">
        <v>58</v>
      </c>
      <c r="H154" s="4" t="s">
        <v>59</v>
      </c>
      <c r="I154" s="3"/>
      <c r="J154" s="3"/>
      <c r="K154" s="3"/>
      <c r="L154" s="3"/>
      <c r="M154" s="3"/>
      <c r="N154" s="3"/>
      <c r="O154" s="3"/>
      <c r="P154" s="8"/>
      <c r="Q154" s="8"/>
      <c r="R154" s="3"/>
      <c r="S154" s="3"/>
      <c r="T154" s="3"/>
      <c r="U154" s="5" t="str">
        <f t="shared" si="8"/>
        <v/>
      </c>
    </row>
    <row r="155" spans="1:21" ht="28" customHeight="1" x14ac:dyDescent="0.35">
      <c r="A155" s="4">
        <v>6</v>
      </c>
      <c r="B155" s="4" t="s">
        <v>70</v>
      </c>
      <c r="C155" s="4" t="s">
        <v>71</v>
      </c>
      <c r="D155" s="4" t="s">
        <v>72</v>
      </c>
      <c r="E155" s="4" t="s">
        <v>70</v>
      </c>
      <c r="F155" s="4" t="s">
        <v>57</v>
      </c>
      <c r="G155" s="4" t="s">
        <v>58</v>
      </c>
      <c r="H155" s="4" t="s">
        <v>59</v>
      </c>
      <c r="I155" s="3"/>
      <c r="J155" s="3"/>
      <c r="K155" s="3"/>
      <c r="L155" s="3"/>
      <c r="M155" s="3"/>
      <c r="N155" s="3"/>
      <c r="O155" s="3"/>
      <c r="P155" s="8"/>
      <c r="Q155" s="8"/>
      <c r="R155" s="3"/>
      <c r="S155" s="3"/>
      <c r="T155" s="3"/>
      <c r="U155" s="5" t="str">
        <f t="shared" si="8"/>
        <v/>
      </c>
    </row>
    <row r="156" spans="1:21" ht="28" customHeight="1" x14ac:dyDescent="0.35">
      <c r="A156" s="4">
        <v>7</v>
      </c>
      <c r="B156" s="4" t="s">
        <v>73</v>
      </c>
      <c r="C156" s="4" t="s">
        <v>74</v>
      </c>
      <c r="D156" s="4" t="s">
        <v>75</v>
      </c>
      <c r="E156" s="4" t="s">
        <v>69</v>
      </c>
      <c r="F156" s="4" t="s">
        <v>57</v>
      </c>
      <c r="G156" s="4" t="s">
        <v>58</v>
      </c>
      <c r="H156" s="4" t="s">
        <v>76</v>
      </c>
      <c r="I156" s="3"/>
      <c r="J156" s="3"/>
      <c r="K156" s="3"/>
      <c r="L156" s="3"/>
      <c r="M156" s="3"/>
      <c r="N156" s="3"/>
      <c r="O156" s="3"/>
      <c r="P156" s="8"/>
      <c r="Q156" s="8"/>
      <c r="R156" s="3"/>
      <c r="S156" s="3"/>
      <c r="T156" s="3"/>
      <c r="U156" s="5" t="str">
        <f t="shared" si="8"/>
        <v/>
      </c>
    </row>
    <row r="157" spans="1:21" ht="28" customHeight="1" x14ac:dyDescent="0.35">
      <c r="A157" s="4">
        <v>8</v>
      </c>
      <c r="B157" s="4" t="s">
        <v>77</v>
      </c>
      <c r="C157" s="4" t="s">
        <v>78</v>
      </c>
      <c r="D157" s="4" t="s">
        <v>79</v>
      </c>
      <c r="E157" s="4" t="s">
        <v>80</v>
      </c>
      <c r="F157" s="4" t="s">
        <v>57</v>
      </c>
      <c r="G157" s="4" t="s">
        <v>58</v>
      </c>
      <c r="H157" s="4" t="s">
        <v>59</v>
      </c>
      <c r="I157" s="3"/>
      <c r="J157" s="3"/>
      <c r="K157" s="3"/>
      <c r="L157" s="3"/>
      <c r="M157" s="3"/>
      <c r="N157" s="3"/>
      <c r="O157" s="3"/>
      <c r="P157" s="8"/>
      <c r="Q157" s="8"/>
      <c r="R157" s="3"/>
      <c r="S157" s="3"/>
      <c r="T157" s="3"/>
      <c r="U157" s="5" t="str">
        <f t="shared" si="8"/>
        <v/>
      </c>
    </row>
    <row r="158" spans="1:21" ht="28" customHeight="1" x14ac:dyDescent="0.35">
      <c r="A158" s="4">
        <v>9</v>
      </c>
      <c r="B158" s="4" t="s">
        <v>81</v>
      </c>
      <c r="C158" s="4" t="s">
        <v>82</v>
      </c>
      <c r="D158" s="4" t="s">
        <v>83</v>
      </c>
      <c r="E158" s="4" t="s">
        <v>84</v>
      </c>
      <c r="F158" s="4" t="s">
        <v>57</v>
      </c>
      <c r="G158" s="4" t="s">
        <v>58</v>
      </c>
      <c r="H158" s="4" t="s">
        <v>85</v>
      </c>
      <c r="I158" s="3"/>
      <c r="J158" s="3"/>
      <c r="K158" s="3"/>
      <c r="L158" s="3"/>
      <c r="M158" s="3"/>
      <c r="N158" s="3"/>
      <c r="O158" s="3"/>
      <c r="P158" s="8"/>
      <c r="Q158" s="8"/>
      <c r="R158" s="3"/>
      <c r="S158" s="3"/>
      <c r="T158" s="3"/>
      <c r="U158" s="5" t="str">
        <f t="shared" si="8"/>
        <v/>
      </c>
    </row>
    <row r="159" spans="1:21" ht="28" customHeight="1" x14ac:dyDescent="0.35">
      <c r="A159" s="4">
        <v>10</v>
      </c>
      <c r="B159" s="4" t="s">
        <v>86</v>
      </c>
      <c r="C159" s="4" t="s">
        <v>87</v>
      </c>
      <c r="D159" s="4" t="s">
        <v>88</v>
      </c>
      <c r="E159" s="4" t="s">
        <v>69</v>
      </c>
      <c r="F159" s="4" t="s">
        <v>57</v>
      </c>
      <c r="G159" s="4" t="s">
        <v>58</v>
      </c>
      <c r="H159" s="4" t="s">
        <v>59</v>
      </c>
      <c r="I159" s="3"/>
      <c r="J159" s="3"/>
      <c r="K159" s="3"/>
      <c r="L159" s="3"/>
      <c r="M159" s="3"/>
      <c r="N159" s="3"/>
      <c r="O159" s="3"/>
      <c r="P159" s="8"/>
      <c r="Q159" s="8"/>
      <c r="R159" s="3"/>
      <c r="S159" s="3"/>
      <c r="T159" s="3"/>
      <c r="U159" s="5" t="str">
        <f t="shared" si="8"/>
        <v/>
      </c>
    </row>
    <row r="160" spans="1:21" ht="28" customHeight="1" x14ac:dyDescent="0.35">
      <c r="A160" s="4">
        <v>11</v>
      </c>
      <c r="B160" s="4" t="s">
        <v>89</v>
      </c>
      <c r="C160" s="4" t="s">
        <v>90</v>
      </c>
      <c r="D160" s="4" t="s">
        <v>91</v>
      </c>
      <c r="E160" s="4" t="s">
        <v>84</v>
      </c>
      <c r="F160" s="4" t="s">
        <v>57</v>
      </c>
      <c r="G160" s="4" t="s">
        <v>58</v>
      </c>
      <c r="H160" s="4" t="s">
        <v>59</v>
      </c>
      <c r="I160" s="3"/>
      <c r="J160" s="3"/>
      <c r="K160" s="3"/>
      <c r="L160" s="3"/>
      <c r="M160" s="3"/>
      <c r="N160" s="3"/>
      <c r="O160" s="3"/>
      <c r="P160" s="8"/>
      <c r="Q160" s="8"/>
      <c r="R160" s="3"/>
      <c r="S160" s="3"/>
      <c r="T160" s="3"/>
      <c r="U160" s="5" t="str">
        <f t="shared" si="8"/>
        <v/>
      </c>
    </row>
    <row r="161" spans="1:21" ht="28" customHeight="1" x14ac:dyDescent="0.35">
      <c r="A161" s="4">
        <v>12</v>
      </c>
      <c r="B161" s="4" t="s">
        <v>92</v>
      </c>
      <c r="C161" s="4" t="s">
        <v>93</v>
      </c>
      <c r="D161" s="4" t="s">
        <v>94</v>
      </c>
      <c r="E161" s="4" t="s">
        <v>69</v>
      </c>
      <c r="F161" s="4" t="s">
        <v>95</v>
      </c>
      <c r="G161" s="4" t="s">
        <v>96</v>
      </c>
      <c r="H161" s="4" t="s">
        <v>59</v>
      </c>
      <c r="I161" s="3"/>
      <c r="J161" s="3"/>
      <c r="K161" s="3"/>
      <c r="L161" s="3"/>
      <c r="M161" s="3"/>
      <c r="N161" s="3"/>
      <c r="O161" s="3"/>
      <c r="P161" s="8"/>
      <c r="Q161" s="8"/>
      <c r="R161" s="3"/>
      <c r="S161" s="3"/>
      <c r="T161" s="3"/>
      <c r="U161" s="5" t="str">
        <f t="shared" si="8"/>
        <v/>
      </c>
    </row>
    <row r="162" spans="1:21" ht="28" customHeight="1" x14ac:dyDescent="0.35">
      <c r="A162" s="4">
        <v>13</v>
      </c>
      <c r="B162" s="4" t="s">
        <v>97</v>
      </c>
      <c r="C162" s="4" t="s">
        <v>98</v>
      </c>
      <c r="D162" s="4" t="s">
        <v>99</v>
      </c>
      <c r="E162" s="4" t="s">
        <v>69</v>
      </c>
      <c r="F162" s="4" t="s">
        <v>95</v>
      </c>
      <c r="G162" s="4" t="s">
        <v>96</v>
      </c>
      <c r="H162" s="4" t="s">
        <v>59</v>
      </c>
      <c r="I162" s="3"/>
      <c r="J162" s="3"/>
      <c r="K162" s="3"/>
      <c r="L162" s="3"/>
      <c r="M162" s="3"/>
      <c r="N162" s="3"/>
      <c r="O162" s="3"/>
      <c r="P162" s="8"/>
      <c r="Q162" s="8"/>
      <c r="R162" s="3"/>
      <c r="S162" s="3"/>
      <c r="T162" s="3"/>
      <c r="U162" s="5" t="str">
        <f t="shared" si="8"/>
        <v/>
      </c>
    </row>
    <row r="163" spans="1:21" ht="28" customHeight="1" x14ac:dyDescent="0.35">
      <c r="A163" s="4">
        <v>14</v>
      </c>
      <c r="B163" s="4" t="s">
        <v>97</v>
      </c>
      <c r="C163" s="4" t="s">
        <v>100</v>
      </c>
      <c r="D163" s="4" t="s">
        <v>101</v>
      </c>
      <c r="E163" s="4" t="s">
        <v>69</v>
      </c>
      <c r="F163" s="4" t="s">
        <v>95</v>
      </c>
      <c r="G163" s="4" t="s">
        <v>102</v>
      </c>
      <c r="H163" s="4" t="s">
        <v>59</v>
      </c>
      <c r="I163" s="3"/>
      <c r="J163" s="3"/>
      <c r="K163" s="3"/>
      <c r="L163" s="3"/>
      <c r="M163" s="3"/>
      <c r="N163" s="3"/>
      <c r="O163" s="3"/>
      <c r="P163" s="8"/>
      <c r="Q163" s="8"/>
      <c r="R163" s="3"/>
      <c r="S163" s="3"/>
      <c r="T163" s="3"/>
      <c r="U163" s="5" t="str">
        <f t="shared" si="8"/>
        <v/>
      </c>
    </row>
    <row r="164" spans="1:21" ht="28" customHeight="1" x14ac:dyDescent="0.35">
      <c r="A164" s="4">
        <v>15</v>
      </c>
      <c r="B164" s="4" t="s">
        <v>103</v>
      </c>
      <c r="C164" s="4" t="s">
        <v>104</v>
      </c>
      <c r="D164" s="4" t="s">
        <v>105</v>
      </c>
      <c r="E164" s="4" t="s">
        <v>69</v>
      </c>
      <c r="F164" s="4" t="s">
        <v>95</v>
      </c>
      <c r="G164" s="4" t="s">
        <v>96</v>
      </c>
      <c r="H164" s="4" t="s">
        <v>85</v>
      </c>
      <c r="I164" s="3"/>
      <c r="J164" s="3"/>
      <c r="K164" s="3"/>
      <c r="L164" s="3"/>
      <c r="M164" s="3"/>
      <c r="N164" s="3"/>
      <c r="O164" s="3"/>
      <c r="P164" s="8"/>
      <c r="Q164" s="8"/>
      <c r="R164" s="3"/>
      <c r="S164" s="3"/>
      <c r="T164" s="3"/>
      <c r="U164" s="5" t="str">
        <f t="shared" si="8"/>
        <v/>
      </c>
    </row>
    <row r="165" spans="1:21" ht="28" customHeight="1" x14ac:dyDescent="0.35">
      <c r="A165" s="4">
        <v>16</v>
      </c>
      <c r="B165" s="4" t="s">
        <v>106</v>
      </c>
      <c r="C165" s="4" t="s">
        <v>107</v>
      </c>
      <c r="D165" s="4" t="s">
        <v>108</v>
      </c>
      <c r="E165" s="4" t="s">
        <v>109</v>
      </c>
      <c r="F165" s="4" t="s">
        <v>95</v>
      </c>
      <c r="G165" s="4" t="s">
        <v>96</v>
      </c>
      <c r="H165" s="4" t="s">
        <v>59</v>
      </c>
      <c r="I165" s="3"/>
      <c r="J165" s="3"/>
      <c r="K165" s="3"/>
      <c r="L165" s="3"/>
      <c r="M165" s="3"/>
      <c r="N165" s="3"/>
      <c r="O165" s="3"/>
      <c r="P165" s="8"/>
      <c r="Q165" s="8"/>
      <c r="R165" s="3"/>
      <c r="S165" s="3"/>
      <c r="T165" s="3"/>
      <c r="U165" s="5" t="str">
        <f t="shared" si="8"/>
        <v/>
      </c>
    </row>
    <row r="167" spans="1:21" ht="28" customHeight="1" x14ac:dyDescent="0.35">
      <c r="A167" s="9" t="s">
        <v>110</v>
      </c>
      <c r="B167" s="16"/>
      <c r="C167" s="17"/>
      <c r="D167" s="17"/>
      <c r="E167" s="17"/>
      <c r="F167" s="17"/>
      <c r="G167" s="17"/>
      <c r="H167" s="17"/>
      <c r="I167" s="17"/>
      <c r="J167" s="17"/>
      <c r="K167" s="17"/>
      <c r="L167" s="17"/>
      <c r="M167" s="17"/>
      <c r="N167" s="17"/>
      <c r="O167" s="17"/>
      <c r="P167" s="17"/>
      <c r="Q167" s="17"/>
      <c r="R167" s="17"/>
      <c r="S167" s="17"/>
      <c r="T167" s="17"/>
      <c r="U167" s="18"/>
    </row>
    <row r="168" spans="1:21" ht="28" customHeight="1" x14ac:dyDescent="0.35">
      <c r="A168" s="19" t="s">
        <v>572</v>
      </c>
      <c r="B168" s="20"/>
      <c r="C168" s="20"/>
      <c r="D168" s="20"/>
      <c r="E168" s="20"/>
      <c r="F168" s="20"/>
      <c r="G168" s="20"/>
      <c r="H168" s="20"/>
      <c r="I168" s="20"/>
      <c r="J168" s="20"/>
      <c r="K168" s="20"/>
      <c r="L168" s="20"/>
      <c r="M168" s="20"/>
      <c r="N168" s="20"/>
      <c r="O168" s="20"/>
      <c r="P168" s="20"/>
      <c r="Q168" s="20"/>
      <c r="R168" s="20"/>
      <c r="S168" s="20"/>
      <c r="T168" s="20"/>
      <c r="U168" s="21"/>
    </row>
    <row r="169" spans="1:21" ht="28" customHeight="1" x14ac:dyDescent="0.35">
      <c r="A169" s="4" t="s">
        <v>31</v>
      </c>
      <c r="B169" s="3" t="s">
        <v>25</v>
      </c>
      <c r="C169" s="4" t="s">
        <v>32</v>
      </c>
      <c r="D169" s="3"/>
      <c r="E169" s="4" t="s">
        <v>33</v>
      </c>
      <c r="F169" s="8"/>
    </row>
    <row r="170" spans="1:21" ht="28" customHeight="1" x14ac:dyDescent="0.35">
      <c r="A170" s="1" t="s">
        <v>34</v>
      </c>
      <c r="B170" s="1" t="s">
        <v>35</v>
      </c>
      <c r="C170" s="1" t="s">
        <v>36</v>
      </c>
      <c r="D170" s="1" t="s">
        <v>37</v>
      </c>
      <c r="E170" s="1" t="s">
        <v>38</v>
      </c>
      <c r="F170" s="1" t="s">
        <v>39</v>
      </c>
      <c r="G170" s="1" t="s">
        <v>40</v>
      </c>
      <c r="H170" s="1" t="s">
        <v>41</v>
      </c>
      <c r="I170" s="1" t="s">
        <v>42</v>
      </c>
      <c r="J170" s="1" t="s">
        <v>43</v>
      </c>
      <c r="K170" s="1" t="s">
        <v>44</v>
      </c>
      <c r="L170" s="1" t="s">
        <v>45</v>
      </c>
      <c r="M170" s="1" t="s">
        <v>46</v>
      </c>
      <c r="N170" s="1" t="s">
        <v>47</v>
      </c>
      <c r="O170" s="1" t="s">
        <v>48</v>
      </c>
      <c r="P170" s="1" t="s">
        <v>4</v>
      </c>
      <c r="Q170" s="1" t="s">
        <v>49</v>
      </c>
      <c r="R170" s="1" t="s">
        <v>50</v>
      </c>
      <c r="S170" s="1" t="s">
        <v>51</v>
      </c>
      <c r="T170" s="1" t="s">
        <v>52</v>
      </c>
      <c r="U170" s="1" t="s">
        <v>10</v>
      </c>
    </row>
    <row r="171" spans="1:21" ht="28" customHeight="1" x14ac:dyDescent="0.35">
      <c r="A171" s="4">
        <v>1</v>
      </c>
      <c r="B171" s="4" t="s">
        <v>53</v>
      </c>
      <c r="C171" s="4" t="s">
        <v>558</v>
      </c>
      <c r="D171" s="4" t="s">
        <v>559</v>
      </c>
      <c r="E171" s="4" t="s">
        <v>56</v>
      </c>
      <c r="F171" s="4" t="s">
        <v>57</v>
      </c>
      <c r="G171" s="4" t="s">
        <v>58</v>
      </c>
      <c r="H171" s="4" t="s">
        <v>59</v>
      </c>
      <c r="I171" s="3"/>
      <c r="J171" s="3"/>
      <c r="K171" s="3"/>
      <c r="L171" s="3"/>
      <c r="M171" s="3"/>
      <c r="N171" s="3"/>
      <c r="O171" s="3"/>
      <c r="P171" s="8"/>
      <c r="Q171" s="8"/>
      <c r="R171" s="3"/>
      <c r="S171" s="3"/>
      <c r="T171" s="3"/>
      <c r="U171" s="5" t="str">
        <f t="shared" ref="U171:U186" si="9">IF(I171="","",IF(I171="NA","Grey",IF(I171=2,"Green",IF(I171=1,"Amber","Red"))))</f>
        <v/>
      </c>
    </row>
    <row r="172" spans="1:21" ht="28" customHeight="1" x14ac:dyDescent="0.35">
      <c r="A172" s="4">
        <v>2</v>
      </c>
      <c r="B172" s="4" t="s">
        <v>53</v>
      </c>
      <c r="C172" s="4" t="s">
        <v>560</v>
      </c>
      <c r="D172" s="4" t="s">
        <v>561</v>
      </c>
      <c r="E172" s="4" t="s">
        <v>56</v>
      </c>
      <c r="F172" s="4" t="s">
        <v>57</v>
      </c>
      <c r="G172" s="4" t="s">
        <v>58</v>
      </c>
      <c r="H172" s="4" t="s">
        <v>59</v>
      </c>
      <c r="I172" s="3"/>
      <c r="J172" s="3"/>
      <c r="K172" s="3"/>
      <c r="L172" s="3"/>
      <c r="M172" s="3"/>
      <c r="N172" s="3"/>
      <c r="O172" s="3"/>
      <c r="P172" s="8"/>
      <c r="Q172" s="8"/>
      <c r="R172" s="3"/>
      <c r="S172" s="3"/>
      <c r="T172" s="3"/>
      <c r="U172" s="5" t="str">
        <f t="shared" si="9"/>
        <v/>
      </c>
    </row>
    <row r="173" spans="1:21" ht="28" customHeight="1" x14ac:dyDescent="0.35">
      <c r="A173" s="4">
        <v>3</v>
      </c>
      <c r="B173" s="4" t="s">
        <v>53</v>
      </c>
      <c r="C173" s="4" t="s">
        <v>562</v>
      </c>
      <c r="D173" s="4" t="s">
        <v>563</v>
      </c>
      <c r="E173" s="4" t="s">
        <v>56</v>
      </c>
      <c r="F173" s="4" t="s">
        <v>57</v>
      </c>
      <c r="G173" s="4" t="s">
        <v>58</v>
      </c>
      <c r="H173" s="4" t="s">
        <v>59</v>
      </c>
      <c r="I173" s="3"/>
      <c r="J173" s="3"/>
      <c r="K173" s="3"/>
      <c r="L173" s="3"/>
      <c r="M173" s="3"/>
      <c r="N173" s="3"/>
      <c r="O173" s="3"/>
      <c r="P173" s="8"/>
      <c r="Q173" s="8"/>
      <c r="R173" s="3"/>
      <c r="S173" s="3"/>
      <c r="T173" s="3"/>
      <c r="U173" s="5" t="str">
        <f t="shared" si="9"/>
        <v/>
      </c>
    </row>
    <row r="174" spans="1:21" ht="28" customHeight="1" x14ac:dyDescent="0.35">
      <c r="A174" s="4">
        <v>4</v>
      </c>
      <c r="B174" s="4" t="s">
        <v>53</v>
      </c>
      <c r="C174" s="4" t="s">
        <v>564</v>
      </c>
      <c r="D174" s="4" t="s">
        <v>565</v>
      </c>
      <c r="E174" s="4" t="s">
        <v>56</v>
      </c>
      <c r="F174" s="4" t="s">
        <v>57</v>
      </c>
      <c r="G174" s="4" t="s">
        <v>58</v>
      </c>
      <c r="H174" s="4" t="s">
        <v>59</v>
      </c>
      <c r="I174" s="3"/>
      <c r="J174" s="3"/>
      <c r="K174" s="3"/>
      <c r="L174" s="3"/>
      <c r="M174" s="3"/>
      <c r="N174" s="3"/>
      <c r="O174" s="3"/>
      <c r="P174" s="8"/>
      <c r="Q174" s="8"/>
      <c r="R174" s="3"/>
      <c r="S174" s="3"/>
      <c r="T174" s="3"/>
      <c r="U174" s="5" t="str">
        <f t="shared" si="9"/>
        <v/>
      </c>
    </row>
    <row r="175" spans="1:21" ht="28" customHeight="1" x14ac:dyDescent="0.35">
      <c r="A175" s="4">
        <v>5</v>
      </c>
      <c r="B175" s="4" t="s">
        <v>66</v>
      </c>
      <c r="C175" s="4" t="s">
        <v>67</v>
      </c>
      <c r="D175" s="4" t="s">
        <v>68</v>
      </c>
      <c r="E175" s="4" t="s">
        <v>69</v>
      </c>
      <c r="F175" s="4" t="s">
        <v>57</v>
      </c>
      <c r="G175" s="4" t="s">
        <v>58</v>
      </c>
      <c r="H175" s="4" t="s">
        <v>59</v>
      </c>
      <c r="I175" s="3"/>
      <c r="J175" s="3"/>
      <c r="K175" s="3"/>
      <c r="L175" s="3"/>
      <c r="M175" s="3"/>
      <c r="N175" s="3"/>
      <c r="O175" s="3"/>
      <c r="P175" s="8"/>
      <c r="Q175" s="8"/>
      <c r="R175" s="3"/>
      <c r="S175" s="3"/>
      <c r="T175" s="3"/>
      <c r="U175" s="5" t="str">
        <f t="shared" si="9"/>
        <v/>
      </c>
    </row>
    <row r="176" spans="1:21" ht="28" customHeight="1" x14ac:dyDescent="0.35">
      <c r="A176" s="4">
        <v>6</v>
      </c>
      <c r="B176" s="4" t="s">
        <v>70</v>
      </c>
      <c r="C176" s="4" t="s">
        <v>71</v>
      </c>
      <c r="D176" s="4" t="s">
        <v>72</v>
      </c>
      <c r="E176" s="4" t="s">
        <v>70</v>
      </c>
      <c r="F176" s="4" t="s">
        <v>57</v>
      </c>
      <c r="G176" s="4" t="s">
        <v>58</v>
      </c>
      <c r="H176" s="4" t="s">
        <v>59</v>
      </c>
      <c r="I176" s="3"/>
      <c r="J176" s="3"/>
      <c r="K176" s="3"/>
      <c r="L176" s="3"/>
      <c r="M176" s="3"/>
      <c r="N176" s="3"/>
      <c r="O176" s="3"/>
      <c r="P176" s="8"/>
      <c r="Q176" s="8"/>
      <c r="R176" s="3"/>
      <c r="S176" s="3"/>
      <c r="T176" s="3"/>
      <c r="U176" s="5" t="str">
        <f t="shared" si="9"/>
        <v/>
      </c>
    </row>
    <row r="177" spans="1:21" ht="28" customHeight="1" x14ac:dyDescent="0.35">
      <c r="A177" s="4">
        <v>7</v>
      </c>
      <c r="B177" s="4" t="s">
        <v>73</v>
      </c>
      <c r="C177" s="4" t="s">
        <v>74</v>
      </c>
      <c r="D177" s="4" t="s">
        <v>75</v>
      </c>
      <c r="E177" s="4" t="s">
        <v>69</v>
      </c>
      <c r="F177" s="4" t="s">
        <v>57</v>
      </c>
      <c r="G177" s="4" t="s">
        <v>58</v>
      </c>
      <c r="H177" s="4" t="s">
        <v>76</v>
      </c>
      <c r="I177" s="3"/>
      <c r="J177" s="3"/>
      <c r="K177" s="3"/>
      <c r="L177" s="3"/>
      <c r="M177" s="3"/>
      <c r="N177" s="3"/>
      <c r="O177" s="3"/>
      <c r="P177" s="8"/>
      <c r="Q177" s="8"/>
      <c r="R177" s="3"/>
      <c r="S177" s="3"/>
      <c r="T177" s="3"/>
      <c r="U177" s="5" t="str">
        <f t="shared" si="9"/>
        <v/>
      </c>
    </row>
    <row r="178" spans="1:21" ht="28" customHeight="1" x14ac:dyDescent="0.35">
      <c r="A178" s="4">
        <v>8</v>
      </c>
      <c r="B178" s="4" t="s">
        <v>77</v>
      </c>
      <c r="C178" s="4" t="s">
        <v>78</v>
      </c>
      <c r="D178" s="4" t="s">
        <v>79</v>
      </c>
      <c r="E178" s="4" t="s">
        <v>80</v>
      </c>
      <c r="F178" s="4" t="s">
        <v>57</v>
      </c>
      <c r="G178" s="4" t="s">
        <v>58</v>
      </c>
      <c r="H178" s="4" t="s">
        <v>59</v>
      </c>
      <c r="I178" s="3"/>
      <c r="J178" s="3"/>
      <c r="K178" s="3"/>
      <c r="L178" s="3"/>
      <c r="M178" s="3"/>
      <c r="N178" s="3"/>
      <c r="O178" s="3"/>
      <c r="P178" s="8"/>
      <c r="Q178" s="8"/>
      <c r="R178" s="3"/>
      <c r="S178" s="3"/>
      <c r="T178" s="3"/>
      <c r="U178" s="5" t="str">
        <f t="shared" si="9"/>
        <v/>
      </c>
    </row>
    <row r="179" spans="1:21" ht="28" customHeight="1" x14ac:dyDescent="0.35">
      <c r="A179" s="4">
        <v>9</v>
      </c>
      <c r="B179" s="4" t="s">
        <v>81</v>
      </c>
      <c r="C179" s="4" t="s">
        <v>82</v>
      </c>
      <c r="D179" s="4" t="s">
        <v>83</v>
      </c>
      <c r="E179" s="4" t="s">
        <v>84</v>
      </c>
      <c r="F179" s="4" t="s">
        <v>57</v>
      </c>
      <c r="G179" s="4" t="s">
        <v>58</v>
      </c>
      <c r="H179" s="4" t="s">
        <v>85</v>
      </c>
      <c r="I179" s="3"/>
      <c r="J179" s="3"/>
      <c r="K179" s="3"/>
      <c r="L179" s="3"/>
      <c r="M179" s="3"/>
      <c r="N179" s="3"/>
      <c r="O179" s="3"/>
      <c r="P179" s="8"/>
      <c r="Q179" s="8"/>
      <c r="R179" s="3"/>
      <c r="S179" s="3"/>
      <c r="T179" s="3"/>
      <c r="U179" s="5" t="str">
        <f t="shared" si="9"/>
        <v/>
      </c>
    </row>
    <row r="180" spans="1:21" ht="28" customHeight="1" x14ac:dyDescent="0.35">
      <c r="A180" s="4">
        <v>10</v>
      </c>
      <c r="B180" s="4" t="s">
        <v>86</v>
      </c>
      <c r="C180" s="4" t="s">
        <v>87</v>
      </c>
      <c r="D180" s="4" t="s">
        <v>88</v>
      </c>
      <c r="E180" s="4" t="s">
        <v>69</v>
      </c>
      <c r="F180" s="4" t="s">
        <v>57</v>
      </c>
      <c r="G180" s="4" t="s">
        <v>58</v>
      </c>
      <c r="H180" s="4" t="s">
        <v>59</v>
      </c>
      <c r="I180" s="3"/>
      <c r="J180" s="3"/>
      <c r="K180" s="3"/>
      <c r="L180" s="3"/>
      <c r="M180" s="3"/>
      <c r="N180" s="3"/>
      <c r="O180" s="3"/>
      <c r="P180" s="8"/>
      <c r="Q180" s="8"/>
      <c r="R180" s="3"/>
      <c r="S180" s="3"/>
      <c r="T180" s="3"/>
      <c r="U180" s="5" t="str">
        <f t="shared" si="9"/>
        <v/>
      </c>
    </row>
    <row r="181" spans="1:21" ht="28" customHeight="1" x14ac:dyDescent="0.35">
      <c r="A181" s="4">
        <v>11</v>
      </c>
      <c r="B181" s="4" t="s">
        <v>89</v>
      </c>
      <c r="C181" s="4" t="s">
        <v>90</v>
      </c>
      <c r="D181" s="4" t="s">
        <v>91</v>
      </c>
      <c r="E181" s="4" t="s">
        <v>84</v>
      </c>
      <c r="F181" s="4" t="s">
        <v>57</v>
      </c>
      <c r="G181" s="4" t="s">
        <v>58</v>
      </c>
      <c r="H181" s="4" t="s">
        <v>59</v>
      </c>
      <c r="I181" s="3"/>
      <c r="J181" s="3"/>
      <c r="K181" s="3"/>
      <c r="L181" s="3"/>
      <c r="M181" s="3"/>
      <c r="N181" s="3"/>
      <c r="O181" s="3"/>
      <c r="P181" s="8"/>
      <c r="Q181" s="8"/>
      <c r="R181" s="3"/>
      <c r="S181" s="3"/>
      <c r="T181" s="3"/>
      <c r="U181" s="5" t="str">
        <f t="shared" si="9"/>
        <v/>
      </c>
    </row>
    <row r="182" spans="1:21" ht="28" customHeight="1" x14ac:dyDescent="0.35">
      <c r="A182" s="4">
        <v>12</v>
      </c>
      <c r="B182" s="4" t="s">
        <v>92</v>
      </c>
      <c r="C182" s="4" t="s">
        <v>93</v>
      </c>
      <c r="D182" s="4" t="s">
        <v>94</v>
      </c>
      <c r="E182" s="4" t="s">
        <v>69</v>
      </c>
      <c r="F182" s="4" t="s">
        <v>95</v>
      </c>
      <c r="G182" s="4" t="s">
        <v>96</v>
      </c>
      <c r="H182" s="4" t="s">
        <v>59</v>
      </c>
      <c r="I182" s="3"/>
      <c r="J182" s="3"/>
      <c r="K182" s="3"/>
      <c r="L182" s="3"/>
      <c r="M182" s="3"/>
      <c r="N182" s="3"/>
      <c r="O182" s="3"/>
      <c r="P182" s="8"/>
      <c r="Q182" s="8"/>
      <c r="R182" s="3"/>
      <c r="S182" s="3"/>
      <c r="T182" s="3"/>
      <c r="U182" s="5" t="str">
        <f t="shared" si="9"/>
        <v/>
      </c>
    </row>
    <row r="183" spans="1:21" ht="28" customHeight="1" x14ac:dyDescent="0.35">
      <c r="A183" s="4">
        <v>13</v>
      </c>
      <c r="B183" s="4" t="s">
        <v>97</v>
      </c>
      <c r="C183" s="4" t="s">
        <v>98</v>
      </c>
      <c r="D183" s="4" t="s">
        <v>99</v>
      </c>
      <c r="E183" s="4" t="s">
        <v>69</v>
      </c>
      <c r="F183" s="4" t="s">
        <v>95</v>
      </c>
      <c r="G183" s="4" t="s">
        <v>96</v>
      </c>
      <c r="H183" s="4" t="s">
        <v>59</v>
      </c>
      <c r="I183" s="3"/>
      <c r="J183" s="3"/>
      <c r="K183" s="3"/>
      <c r="L183" s="3"/>
      <c r="M183" s="3"/>
      <c r="N183" s="3"/>
      <c r="O183" s="3"/>
      <c r="P183" s="8"/>
      <c r="Q183" s="8"/>
      <c r="R183" s="3"/>
      <c r="S183" s="3"/>
      <c r="T183" s="3"/>
      <c r="U183" s="5" t="str">
        <f t="shared" si="9"/>
        <v/>
      </c>
    </row>
    <row r="184" spans="1:21" ht="28" customHeight="1" x14ac:dyDescent="0.35">
      <c r="A184" s="4">
        <v>14</v>
      </c>
      <c r="B184" s="4" t="s">
        <v>97</v>
      </c>
      <c r="C184" s="4" t="s">
        <v>100</v>
      </c>
      <c r="D184" s="4" t="s">
        <v>101</v>
      </c>
      <c r="E184" s="4" t="s">
        <v>69</v>
      </c>
      <c r="F184" s="4" t="s">
        <v>95</v>
      </c>
      <c r="G184" s="4" t="s">
        <v>102</v>
      </c>
      <c r="H184" s="4" t="s">
        <v>59</v>
      </c>
      <c r="I184" s="3"/>
      <c r="J184" s="3"/>
      <c r="K184" s="3"/>
      <c r="L184" s="3"/>
      <c r="M184" s="3"/>
      <c r="N184" s="3"/>
      <c r="O184" s="3"/>
      <c r="P184" s="8"/>
      <c r="Q184" s="8"/>
      <c r="R184" s="3"/>
      <c r="S184" s="3"/>
      <c r="T184" s="3"/>
      <c r="U184" s="5" t="str">
        <f t="shared" si="9"/>
        <v/>
      </c>
    </row>
    <row r="185" spans="1:21" ht="28" customHeight="1" x14ac:dyDescent="0.35">
      <c r="A185" s="4">
        <v>15</v>
      </c>
      <c r="B185" s="4" t="s">
        <v>103</v>
      </c>
      <c r="C185" s="4" t="s">
        <v>104</v>
      </c>
      <c r="D185" s="4" t="s">
        <v>105</v>
      </c>
      <c r="E185" s="4" t="s">
        <v>69</v>
      </c>
      <c r="F185" s="4" t="s">
        <v>95</v>
      </c>
      <c r="G185" s="4" t="s">
        <v>96</v>
      </c>
      <c r="H185" s="4" t="s">
        <v>85</v>
      </c>
      <c r="I185" s="3"/>
      <c r="J185" s="3"/>
      <c r="K185" s="3"/>
      <c r="L185" s="3"/>
      <c r="M185" s="3"/>
      <c r="N185" s="3"/>
      <c r="O185" s="3"/>
      <c r="P185" s="8"/>
      <c r="Q185" s="8"/>
      <c r="R185" s="3"/>
      <c r="S185" s="3"/>
      <c r="T185" s="3"/>
      <c r="U185" s="5" t="str">
        <f t="shared" si="9"/>
        <v/>
      </c>
    </row>
    <row r="186" spans="1:21" ht="28" customHeight="1" x14ac:dyDescent="0.35">
      <c r="A186" s="4">
        <v>16</v>
      </c>
      <c r="B186" s="4" t="s">
        <v>106</v>
      </c>
      <c r="C186" s="4" t="s">
        <v>107</v>
      </c>
      <c r="D186" s="4" t="s">
        <v>108</v>
      </c>
      <c r="E186" s="4" t="s">
        <v>109</v>
      </c>
      <c r="F186" s="4" t="s">
        <v>95</v>
      </c>
      <c r="G186" s="4" t="s">
        <v>96</v>
      </c>
      <c r="H186" s="4" t="s">
        <v>59</v>
      </c>
      <c r="I186" s="3"/>
      <c r="J186" s="3"/>
      <c r="K186" s="3"/>
      <c r="L186" s="3"/>
      <c r="M186" s="3"/>
      <c r="N186" s="3"/>
      <c r="O186" s="3"/>
      <c r="P186" s="8"/>
      <c r="Q186" s="8"/>
      <c r="R186" s="3"/>
      <c r="S186" s="3"/>
      <c r="T186" s="3"/>
      <c r="U186" s="5" t="str">
        <f t="shared" si="9"/>
        <v/>
      </c>
    </row>
    <row r="188" spans="1:21" ht="28" customHeight="1" x14ac:dyDescent="0.35">
      <c r="A188" s="9" t="s">
        <v>110</v>
      </c>
      <c r="B188" s="16"/>
      <c r="C188" s="17"/>
      <c r="D188" s="17"/>
      <c r="E188" s="17"/>
      <c r="F188" s="17"/>
      <c r="G188" s="17"/>
      <c r="H188" s="17"/>
      <c r="I188" s="17"/>
      <c r="J188" s="17"/>
      <c r="K188" s="17"/>
      <c r="L188" s="17"/>
      <c r="M188" s="17"/>
      <c r="N188" s="17"/>
      <c r="O188" s="17"/>
      <c r="P188" s="17"/>
      <c r="Q188" s="17"/>
      <c r="R188" s="17"/>
      <c r="S188" s="17"/>
      <c r="T188" s="17"/>
      <c r="U188" s="18"/>
    </row>
    <row r="189" spans="1:21" ht="28" customHeight="1" x14ac:dyDescent="0.35">
      <c r="A189" s="19" t="s">
        <v>573</v>
      </c>
      <c r="B189" s="20"/>
      <c r="C189" s="20"/>
      <c r="D189" s="20"/>
      <c r="E189" s="20"/>
      <c r="F189" s="20"/>
      <c r="G189" s="20"/>
      <c r="H189" s="20"/>
      <c r="I189" s="20"/>
      <c r="J189" s="20"/>
      <c r="K189" s="20"/>
      <c r="L189" s="20"/>
      <c r="M189" s="20"/>
      <c r="N189" s="20"/>
      <c r="O189" s="20"/>
      <c r="P189" s="20"/>
      <c r="Q189" s="20"/>
      <c r="R189" s="20"/>
      <c r="S189" s="20"/>
      <c r="T189" s="20"/>
      <c r="U189" s="21"/>
    </row>
    <row r="190" spans="1:21" ht="28" customHeight="1" x14ac:dyDescent="0.35">
      <c r="A190" s="4" t="s">
        <v>31</v>
      </c>
      <c r="B190" s="3" t="s">
        <v>26</v>
      </c>
      <c r="C190" s="4" t="s">
        <v>32</v>
      </c>
      <c r="D190" s="3"/>
      <c r="E190" s="4" t="s">
        <v>33</v>
      </c>
      <c r="F190" s="8"/>
    </row>
    <row r="191" spans="1:21" ht="28" customHeight="1" x14ac:dyDescent="0.35">
      <c r="A191" s="1" t="s">
        <v>34</v>
      </c>
      <c r="B191" s="1" t="s">
        <v>35</v>
      </c>
      <c r="C191" s="1" t="s">
        <v>36</v>
      </c>
      <c r="D191" s="1" t="s">
        <v>37</v>
      </c>
      <c r="E191" s="1" t="s">
        <v>38</v>
      </c>
      <c r="F191" s="1" t="s">
        <v>39</v>
      </c>
      <c r="G191" s="1" t="s">
        <v>40</v>
      </c>
      <c r="H191" s="1" t="s">
        <v>41</v>
      </c>
      <c r="I191" s="1" t="s">
        <v>42</v>
      </c>
      <c r="J191" s="1" t="s">
        <v>43</v>
      </c>
      <c r="K191" s="1" t="s">
        <v>44</v>
      </c>
      <c r="L191" s="1" t="s">
        <v>45</v>
      </c>
      <c r="M191" s="1" t="s">
        <v>46</v>
      </c>
      <c r="N191" s="1" t="s">
        <v>47</v>
      </c>
      <c r="O191" s="1" t="s">
        <v>48</v>
      </c>
      <c r="P191" s="1" t="s">
        <v>4</v>
      </c>
      <c r="Q191" s="1" t="s">
        <v>49</v>
      </c>
      <c r="R191" s="1" t="s">
        <v>50</v>
      </c>
      <c r="S191" s="1" t="s">
        <v>51</v>
      </c>
      <c r="T191" s="1" t="s">
        <v>52</v>
      </c>
      <c r="U191" s="1" t="s">
        <v>10</v>
      </c>
    </row>
    <row r="192" spans="1:21" ht="28" customHeight="1" x14ac:dyDescent="0.35">
      <c r="A192" s="4">
        <v>1</v>
      </c>
      <c r="B192" s="4" t="s">
        <v>53</v>
      </c>
      <c r="C192" s="4" t="s">
        <v>558</v>
      </c>
      <c r="D192" s="4" t="s">
        <v>559</v>
      </c>
      <c r="E192" s="4" t="s">
        <v>56</v>
      </c>
      <c r="F192" s="4" t="s">
        <v>57</v>
      </c>
      <c r="G192" s="4" t="s">
        <v>58</v>
      </c>
      <c r="H192" s="4" t="s">
        <v>59</v>
      </c>
      <c r="I192" s="3"/>
      <c r="J192" s="3"/>
      <c r="K192" s="3"/>
      <c r="L192" s="3"/>
      <c r="M192" s="3"/>
      <c r="N192" s="3"/>
      <c r="O192" s="3"/>
      <c r="P192" s="8"/>
      <c r="Q192" s="8"/>
      <c r="R192" s="3"/>
      <c r="S192" s="3"/>
      <c r="T192" s="3"/>
      <c r="U192" s="5" t="str">
        <f t="shared" ref="U192:U207" si="10">IF(I192="","",IF(I192="NA","Grey",IF(I192=2,"Green",IF(I192=1,"Amber","Red"))))</f>
        <v/>
      </c>
    </row>
    <row r="193" spans="1:21" ht="28" customHeight="1" x14ac:dyDescent="0.35">
      <c r="A193" s="4">
        <v>2</v>
      </c>
      <c r="B193" s="4" t="s">
        <v>53</v>
      </c>
      <c r="C193" s="4" t="s">
        <v>560</v>
      </c>
      <c r="D193" s="4" t="s">
        <v>561</v>
      </c>
      <c r="E193" s="4" t="s">
        <v>56</v>
      </c>
      <c r="F193" s="4" t="s">
        <v>57</v>
      </c>
      <c r="G193" s="4" t="s">
        <v>58</v>
      </c>
      <c r="H193" s="4" t="s">
        <v>59</v>
      </c>
      <c r="I193" s="3"/>
      <c r="J193" s="3"/>
      <c r="K193" s="3"/>
      <c r="L193" s="3"/>
      <c r="M193" s="3"/>
      <c r="N193" s="3"/>
      <c r="O193" s="3"/>
      <c r="P193" s="8"/>
      <c r="Q193" s="8"/>
      <c r="R193" s="3"/>
      <c r="S193" s="3"/>
      <c r="T193" s="3"/>
      <c r="U193" s="5" t="str">
        <f t="shared" si="10"/>
        <v/>
      </c>
    </row>
    <row r="194" spans="1:21" ht="28" customHeight="1" x14ac:dyDescent="0.35">
      <c r="A194" s="4">
        <v>3</v>
      </c>
      <c r="B194" s="4" t="s">
        <v>53</v>
      </c>
      <c r="C194" s="4" t="s">
        <v>562</v>
      </c>
      <c r="D194" s="4" t="s">
        <v>563</v>
      </c>
      <c r="E194" s="4" t="s">
        <v>56</v>
      </c>
      <c r="F194" s="4" t="s">
        <v>57</v>
      </c>
      <c r="G194" s="4" t="s">
        <v>58</v>
      </c>
      <c r="H194" s="4" t="s">
        <v>59</v>
      </c>
      <c r="I194" s="3"/>
      <c r="J194" s="3"/>
      <c r="K194" s="3"/>
      <c r="L194" s="3"/>
      <c r="M194" s="3"/>
      <c r="N194" s="3"/>
      <c r="O194" s="3"/>
      <c r="P194" s="8"/>
      <c r="Q194" s="8"/>
      <c r="R194" s="3"/>
      <c r="S194" s="3"/>
      <c r="T194" s="3"/>
      <c r="U194" s="5" t="str">
        <f t="shared" si="10"/>
        <v/>
      </c>
    </row>
    <row r="195" spans="1:21" ht="28" customHeight="1" x14ac:dyDescent="0.35">
      <c r="A195" s="4">
        <v>4</v>
      </c>
      <c r="B195" s="4" t="s">
        <v>53</v>
      </c>
      <c r="C195" s="4" t="s">
        <v>564</v>
      </c>
      <c r="D195" s="4" t="s">
        <v>565</v>
      </c>
      <c r="E195" s="4" t="s">
        <v>56</v>
      </c>
      <c r="F195" s="4" t="s">
        <v>57</v>
      </c>
      <c r="G195" s="4" t="s">
        <v>58</v>
      </c>
      <c r="H195" s="4" t="s">
        <v>59</v>
      </c>
      <c r="I195" s="3"/>
      <c r="J195" s="3"/>
      <c r="K195" s="3"/>
      <c r="L195" s="3"/>
      <c r="M195" s="3"/>
      <c r="N195" s="3"/>
      <c r="O195" s="3"/>
      <c r="P195" s="8"/>
      <c r="Q195" s="8"/>
      <c r="R195" s="3"/>
      <c r="S195" s="3"/>
      <c r="T195" s="3"/>
      <c r="U195" s="5" t="str">
        <f t="shared" si="10"/>
        <v/>
      </c>
    </row>
    <row r="196" spans="1:21" ht="28" customHeight="1" x14ac:dyDescent="0.35">
      <c r="A196" s="4">
        <v>5</v>
      </c>
      <c r="B196" s="4" t="s">
        <v>66</v>
      </c>
      <c r="C196" s="4" t="s">
        <v>67</v>
      </c>
      <c r="D196" s="4" t="s">
        <v>68</v>
      </c>
      <c r="E196" s="4" t="s">
        <v>69</v>
      </c>
      <c r="F196" s="4" t="s">
        <v>57</v>
      </c>
      <c r="G196" s="4" t="s">
        <v>58</v>
      </c>
      <c r="H196" s="4" t="s">
        <v>59</v>
      </c>
      <c r="I196" s="3"/>
      <c r="J196" s="3"/>
      <c r="K196" s="3"/>
      <c r="L196" s="3"/>
      <c r="M196" s="3"/>
      <c r="N196" s="3"/>
      <c r="O196" s="3"/>
      <c r="P196" s="8"/>
      <c r="Q196" s="8"/>
      <c r="R196" s="3"/>
      <c r="S196" s="3"/>
      <c r="T196" s="3"/>
      <c r="U196" s="5" t="str">
        <f t="shared" si="10"/>
        <v/>
      </c>
    </row>
    <row r="197" spans="1:21" ht="28" customHeight="1" x14ac:dyDescent="0.35">
      <c r="A197" s="4">
        <v>6</v>
      </c>
      <c r="B197" s="4" t="s">
        <v>70</v>
      </c>
      <c r="C197" s="4" t="s">
        <v>71</v>
      </c>
      <c r="D197" s="4" t="s">
        <v>72</v>
      </c>
      <c r="E197" s="4" t="s">
        <v>70</v>
      </c>
      <c r="F197" s="4" t="s">
        <v>57</v>
      </c>
      <c r="G197" s="4" t="s">
        <v>58</v>
      </c>
      <c r="H197" s="4" t="s">
        <v>59</v>
      </c>
      <c r="I197" s="3"/>
      <c r="J197" s="3"/>
      <c r="K197" s="3"/>
      <c r="L197" s="3"/>
      <c r="M197" s="3"/>
      <c r="N197" s="3"/>
      <c r="O197" s="3"/>
      <c r="P197" s="8"/>
      <c r="Q197" s="8"/>
      <c r="R197" s="3"/>
      <c r="S197" s="3"/>
      <c r="T197" s="3"/>
      <c r="U197" s="5" t="str">
        <f t="shared" si="10"/>
        <v/>
      </c>
    </row>
    <row r="198" spans="1:21" ht="28" customHeight="1" x14ac:dyDescent="0.35">
      <c r="A198" s="4">
        <v>7</v>
      </c>
      <c r="B198" s="4" t="s">
        <v>73</v>
      </c>
      <c r="C198" s="4" t="s">
        <v>74</v>
      </c>
      <c r="D198" s="4" t="s">
        <v>75</v>
      </c>
      <c r="E198" s="4" t="s">
        <v>69</v>
      </c>
      <c r="F198" s="4" t="s">
        <v>57</v>
      </c>
      <c r="G198" s="4" t="s">
        <v>58</v>
      </c>
      <c r="H198" s="4" t="s">
        <v>76</v>
      </c>
      <c r="I198" s="3"/>
      <c r="J198" s="3"/>
      <c r="K198" s="3"/>
      <c r="L198" s="3"/>
      <c r="M198" s="3"/>
      <c r="N198" s="3"/>
      <c r="O198" s="3"/>
      <c r="P198" s="8"/>
      <c r="Q198" s="8"/>
      <c r="R198" s="3"/>
      <c r="S198" s="3"/>
      <c r="T198" s="3"/>
      <c r="U198" s="5" t="str">
        <f t="shared" si="10"/>
        <v/>
      </c>
    </row>
    <row r="199" spans="1:21" ht="28" customHeight="1" x14ac:dyDescent="0.35">
      <c r="A199" s="4">
        <v>8</v>
      </c>
      <c r="B199" s="4" t="s">
        <v>77</v>
      </c>
      <c r="C199" s="4" t="s">
        <v>78</v>
      </c>
      <c r="D199" s="4" t="s">
        <v>79</v>
      </c>
      <c r="E199" s="4" t="s">
        <v>80</v>
      </c>
      <c r="F199" s="4" t="s">
        <v>57</v>
      </c>
      <c r="G199" s="4" t="s">
        <v>58</v>
      </c>
      <c r="H199" s="4" t="s">
        <v>59</v>
      </c>
      <c r="I199" s="3"/>
      <c r="J199" s="3"/>
      <c r="K199" s="3"/>
      <c r="L199" s="3"/>
      <c r="M199" s="3"/>
      <c r="N199" s="3"/>
      <c r="O199" s="3"/>
      <c r="P199" s="8"/>
      <c r="Q199" s="8"/>
      <c r="R199" s="3"/>
      <c r="S199" s="3"/>
      <c r="T199" s="3"/>
      <c r="U199" s="5" t="str">
        <f t="shared" si="10"/>
        <v/>
      </c>
    </row>
    <row r="200" spans="1:21" ht="28" customHeight="1" x14ac:dyDescent="0.35">
      <c r="A200" s="4">
        <v>9</v>
      </c>
      <c r="B200" s="4" t="s">
        <v>81</v>
      </c>
      <c r="C200" s="4" t="s">
        <v>82</v>
      </c>
      <c r="D200" s="4" t="s">
        <v>83</v>
      </c>
      <c r="E200" s="4" t="s">
        <v>84</v>
      </c>
      <c r="F200" s="4" t="s">
        <v>57</v>
      </c>
      <c r="G200" s="4" t="s">
        <v>58</v>
      </c>
      <c r="H200" s="4" t="s">
        <v>85</v>
      </c>
      <c r="I200" s="3"/>
      <c r="J200" s="3"/>
      <c r="K200" s="3"/>
      <c r="L200" s="3"/>
      <c r="M200" s="3"/>
      <c r="N200" s="3"/>
      <c r="O200" s="3"/>
      <c r="P200" s="8"/>
      <c r="Q200" s="8"/>
      <c r="R200" s="3"/>
      <c r="S200" s="3"/>
      <c r="T200" s="3"/>
      <c r="U200" s="5" t="str">
        <f t="shared" si="10"/>
        <v/>
      </c>
    </row>
    <row r="201" spans="1:21" ht="28" customHeight="1" x14ac:dyDescent="0.35">
      <c r="A201" s="4">
        <v>10</v>
      </c>
      <c r="B201" s="4" t="s">
        <v>86</v>
      </c>
      <c r="C201" s="4" t="s">
        <v>87</v>
      </c>
      <c r="D201" s="4" t="s">
        <v>88</v>
      </c>
      <c r="E201" s="4" t="s">
        <v>69</v>
      </c>
      <c r="F201" s="4" t="s">
        <v>57</v>
      </c>
      <c r="G201" s="4" t="s">
        <v>58</v>
      </c>
      <c r="H201" s="4" t="s">
        <v>59</v>
      </c>
      <c r="I201" s="3"/>
      <c r="J201" s="3"/>
      <c r="K201" s="3"/>
      <c r="L201" s="3"/>
      <c r="M201" s="3"/>
      <c r="N201" s="3"/>
      <c r="O201" s="3"/>
      <c r="P201" s="8"/>
      <c r="Q201" s="8"/>
      <c r="R201" s="3"/>
      <c r="S201" s="3"/>
      <c r="T201" s="3"/>
      <c r="U201" s="5" t="str">
        <f t="shared" si="10"/>
        <v/>
      </c>
    </row>
    <row r="202" spans="1:21" ht="28" customHeight="1" x14ac:dyDescent="0.35">
      <c r="A202" s="4">
        <v>11</v>
      </c>
      <c r="B202" s="4" t="s">
        <v>89</v>
      </c>
      <c r="C202" s="4" t="s">
        <v>90</v>
      </c>
      <c r="D202" s="4" t="s">
        <v>91</v>
      </c>
      <c r="E202" s="4" t="s">
        <v>84</v>
      </c>
      <c r="F202" s="4" t="s">
        <v>57</v>
      </c>
      <c r="G202" s="4" t="s">
        <v>58</v>
      </c>
      <c r="H202" s="4" t="s">
        <v>59</v>
      </c>
      <c r="I202" s="3"/>
      <c r="J202" s="3"/>
      <c r="K202" s="3"/>
      <c r="L202" s="3"/>
      <c r="M202" s="3"/>
      <c r="N202" s="3"/>
      <c r="O202" s="3"/>
      <c r="P202" s="8"/>
      <c r="Q202" s="8"/>
      <c r="R202" s="3"/>
      <c r="S202" s="3"/>
      <c r="T202" s="3"/>
      <c r="U202" s="5" t="str">
        <f t="shared" si="10"/>
        <v/>
      </c>
    </row>
    <row r="203" spans="1:21" ht="28" customHeight="1" x14ac:dyDescent="0.35">
      <c r="A203" s="4">
        <v>12</v>
      </c>
      <c r="B203" s="4" t="s">
        <v>92</v>
      </c>
      <c r="C203" s="4" t="s">
        <v>93</v>
      </c>
      <c r="D203" s="4" t="s">
        <v>94</v>
      </c>
      <c r="E203" s="4" t="s">
        <v>69</v>
      </c>
      <c r="F203" s="4" t="s">
        <v>95</v>
      </c>
      <c r="G203" s="4" t="s">
        <v>96</v>
      </c>
      <c r="H203" s="4" t="s">
        <v>59</v>
      </c>
      <c r="I203" s="3"/>
      <c r="J203" s="3"/>
      <c r="K203" s="3"/>
      <c r="L203" s="3"/>
      <c r="M203" s="3"/>
      <c r="N203" s="3"/>
      <c r="O203" s="3"/>
      <c r="P203" s="8"/>
      <c r="Q203" s="8"/>
      <c r="R203" s="3"/>
      <c r="S203" s="3"/>
      <c r="T203" s="3"/>
      <c r="U203" s="5" t="str">
        <f t="shared" si="10"/>
        <v/>
      </c>
    </row>
    <row r="204" spans="1:21" ht="28" customHeight="1" x14ac:dyDescent="0.35">
      <c r="A204" s="4">
        <v>13</v>
      </c>
      <c r="B204" s="4" t="s">
        <v>97</v>
      </c>
      <c r="C204" s="4" t="s">
        <v>98</v>
      </c>
      <c r="D204" s="4" t="s">
        <v>99</v>
      </c>
      <c r="E204" s="4" t="s">
        <v>69</v>
      </c>
      <c r="F204" s="4" t="s">
        <v>95</v>
      </c>
      <c r="G204" s="4" t="s">
        <v>96</v>
      </c>
      <c r="H204" s="4" t="s">
        <v>59</v>
      </c>
      <c r="I204" s="3"/>
      <c r="J204" s="3"/>
      <c r="K204" s="3"/>
      <c r="L204" s="3"/>
      <c r="M204" s="3"/>
      <c r="N204" s="3"/>
      <c r="O204" s="3"/>
      <c r="P204" s="8"/>
      <c r="Q204" s="8"/>
      <c r="R204" s="3"/>
      <c r="S204" s="3"/>
      <c r="T204" s="3"/>
      <c r="U204" s="5" t="str">
        <f t="shared" si="10"/>
        <v/>
      </c>
    </row>
    <row r="205" spans="1:21" ht="28" customHeight="1" x14ac:dyDescent="0.35">
      <c r="A205" s="4">
        <v>14</v>
      </c>
      <c r="B205" s="4" t="s">
        <v>97</v>
      </c>
      <c r="C205" s="4" t="s">
        <v>100</v>
      </c>
      <c r="D205" s="4" t="s">
        <v>101</v>
      </c>
      <c r="E205" s="4" t="s">
        <v>69</v>
      </c>
      <c r="F205" s="4" t="s">
        <v>95</v>
      </c>
      <c r="G205" s="4" t="s">
        <v>102</v>
      </c>
      <c r="H205" s="4" t="s">
        <v>59</v>
      </c>
      <c r="I205" s="3"/>
      <c r="J205" s="3"/>
      <c r="K205" s="3"/>
      <c r="L205" s="3"/>
      <c r="M205" s="3"/>
      <c r="N205" s="3"/>
      <c r="O205" s="3"/>
      <c r="P205" s="8"/>
      <c r="Q205" s="8"/>
      <c r="R205" s="3"/>
      <c r="S205" s="3"/>
      <c r="T205" s="3"/>
      <c r="U205" s="5" t="str">
        <f t="shared" si="10"/>
        <v/>
      </c>
    </row>
    <row r="206" spans="1:21" ht="28" customHeight="1" x14ac:dyDescent="0.35">
      <c r="A206" s="4">
        <v>15</v>
      </c>
      <c r="B206" s="4" t="s">
        <v>103</v>
      </c>
      <c r="C206" s="4" t="s">
        <v>104</v>
      </c>
      <c r="D206" s="4" t="s">
        <v>105</v>
      </c>
      <c r="E206" s="4" t="s">
        <v>69</v>
      </c>
      <c r="F206" s="4" t="s">
        <v>95</v>
      </c>
      <c r="G206" s="4" t="s">
        <v>96</v>
      </c>
      <c r="H206" s="4" t="s">
        <v>85</v>
      </c>
      <c r="I206" s="3"/>
      <c r="J206" s="3"/>
      <c r="K206" s="3"/>
      <c r="L206" s="3"/>
      <c r="M206" s="3"/>
      <c r="N206" s="3"/>
      <c r="O206" s="3"/>
      <c r="P206" s="8"/>
      <c r="Q206" s="8"/>
      <c r="R206" s="3"/>
      <c r="S206" s="3"/>
      <c r="T206" s="3"/>
      <c r="U206" s="5" t="str">
        <f t="shared" si="10"/>
        <v/>
      </c>
    </row>
    <row r="207" spans="1:21" ht="28" customHeight="1" x14ac:dyDescent="0.35">
      <c r="A207" s="4">
        <v>16</v>
      </c>
      <c r="B207" s="4" t="s">
        <v>106</v>
      </c>
      <c r="C207" s="4" t="s">
        <v>107</v>
      </c>
      <c r="D207" s="4" t="s">
        <v>108</v>
      </c>
      <c r="E207" s="4" t="s">
        <v>109</v>
      </c>
      <c r="F207" s="4" t="s">
        <v>95</v>
      </c>
      <c r="G207" s="4" t="s">
        <v>96</v>
      </c>
      <c r="H207" s="4" t="s">
        <v>59</v>
      </c>
      <c r="I207" s="3"/>
      <c r="J207" s="3"/>
      <c r="K207" s="3"/>
      <c r="L207" s="3"/>
      <c r="M207" s="3"/>
      <c r="N207" s="3"/>
      <c r="O207" s="3"/>
      <c r="P207" s="8"/>
      <c r="Q207" s="8"/>
      <c r="R207" s="3"/>
      <c r="S207" s="3"/>
      <c r="T207" s="3"/>
      <c r="U207" s="5" t="str">
        <f t="shared" si="10"/>
        <v/>
      </c>
    </row>
    <row r="209" spans="1:21" ht="28" customHeight="1" x14ac:dyDescent="0.35">
      <c r="A209" s="9" t="s">
        <v>110</v>
      </c>
      <c r="B209" s="16"/>
      <c r="C209" s="17"/>
      <c r="D209" s="17"/>
      <c r="E209" s="17"/>
      <c r="F209" s="17"/>
      <c r="G209" s="17"/>
      <c r="H209" s="17"/>
      <c r="I209" s="17"/>
      <c r="J209" s="17"/>
      <c r="K209" s="17"/>
      <c r="L209" s="17"/>
      <c r="M209" s="17"/>
      <c r="N209" s="17"/>
      <c r="O209" s="17"/>
      <c r="P209" s="17"/>
      <c r="Q209" s="17"/>
      <c r="R209" s="17"/>
      <c r="S209" s="17"/>
      <c r="T209" s="17"/>
      <c r="U209" s="18"/>
    </row>
    <row r="210" spans="1:21" ht="28" customHeight="1" x14ac:dyDescent="0.35">
      <c r="A210" s="19" t="s">
        <v>574</v>
      </c>
      <c r="B210" s="20"/>
      <c r="C210" s="20"/>
      <c r="D210" s="20"/>
      <c r="E210" s="20"/>
      <c r="F210" s="20"/>
      <c r="G210" s="20"/>
      <c r="H210" s="20"/>
      <c r="I210" s="20"/>
      <c r="J210" s="20"/>
      <c r="K210" s="20"/>
      <c r="L210" s="20"/>
      <c r="M210" s="20"/>
      <c r="N210" s="20"/>
      <c r="O210" s="20"/>
      <c r="P210" s="20"/>
      <c r="Q210" s="20"/>
      <c r="R210" s="20"/>
      <c r="S210" s="20"/>
      <c r="T210" s="20"/>
      <c r="U210" s="21"/>
    </row>
    <row r="211" spans="1:21" ht="28" customHeight="1" x14ac:dyDescent="0.35">
      <c r="A211" s="4" t="s">
        <v>31</v>
      </c>
      <c r="B211" s="3" t="s">
        <v>27</v>
      </c>
      <c r="C211" s="4" t="s">
        <v>32</v>
      </c>
      <c r="D211" s="3"/>
      <c r="E211" s="4" t="s">
        <v>33</v>
      </c>
      <c r="F211" s="8"/>
    </row>
    <row r="212" spans="1:21" ht="28" customHeight="1" x14ac:dyDescent="0.35">
      <c r="A212" s="1" t="s">
        <v>34</v>
      </c>
      <c r="B212" s="1" t="s">
        <v>35</v>
      </c>
      <c r="C212" s="1" t="s">
        <v>36</v>
      </c>
      <c r="D212" s="1" t="s">
        <v>37</v>
      </c>
      <c r="E212" s="1" t="s">
        <v>38</v>
      </c>
      <c r="F212" s="1" t="s">
        <v>39</v>
      </c>
      <c r="G212" s="1" t="s">
        <v>40</v>
      </c>
      <c r="H212" s="1" t="s">
        <v>41</v>
      </c>
      <c r="I212" s="1" t="s">
        <v>42</v>
      </c>
      <c r="J212" s="1" t="s">
        <v>43</v>
      </c>
      <c r="K212" s="1" t="s">
        <v>44</v>
      </c>
      <c r="L212" s="1" t="s">
        <v>45</v>
      </c>
      <c r="M212" s="1" t="s">
        <v>46</v>
      </c>
      <c r="N212" s="1" t="s">
        <v>47</v>
      </c>
      <c r="O212" s="1" t="s">
        <v>48</v>
      </c>
      <c r="P212" s="1" t="s">
        <v>4</v>
      </c>
      <c r="Q212" s="1" t="s">
        <v>49</v>
      </c>
      <c r="R212" s="1" t="s">
        <v>50</v>
      </c>
      <c r="S212" s="1" t="s">
        <v>51</v>
      </c>
      <c r="T212" s="1" t="s">
        <v>52</v>
      </c>
      <c r="U212" s="1" t="s">
        <v>10</v>
      </c>
    </row>
    <row r="213" spans="1:21" ht="28" customHeight="1" x14ac:dyDescent="0.35">
      <c r="A213" s="4">
        <v>1</v>
      </c>
      <c r="B213" s="4" t="s">
        <v>53</v>
      </c>
      <c r="C213" s="4" t="s">
        <v>558</v>
      </c>
      <c r="D213" s="4" t="s">
        <v>559</v>
      </c>
      <c r="E213" s="4" t="s">
        <v>56</v>
      </c>
      <c r="F213" s="4" t="s">
        <v>57</v>
      </c>
      <c r="G213" s="4" t="s">
        <v>58</v>
      </c>
      <c r="H213" s="4" t="s">
        <v>59</v>
      </c>
      <c r="I213" s="3"/>
      <c r="J213" s="3"/>
      <c r="K213" s="3"/>
      <c r="L213" s="3"/>
      <c r="M213" s="3"/>
      <c r="N213" s="3"/>
      <c r="O213" s="3"/>
      <c r="P213" s="8"/>
      <c r="Q213" s="8"/>
      <c r="R213" s="3"/>
      <c r="S213" s="3"/>
      <c r="T213" s="3"/>
      <c r="U213" s="5" t="str">
        <f t="shared" ref="U213:U228" si="11">IF(I213="","",IF(I213="NA","Grey",IF(I213=2,"Green",IF(I213=1,"Amber","Red"))))</f>
        <v/>
      </c>
    </row>
    <row r="214" spans="1:21" ht="28" customHeight="1" x14ac:dyDescent="0.35">
      <c r="A214" s="4">
        <v>2</v>
      </c>
      <c r="B214" s="4" t="s">
        <v>53</v>
      </c>
      <c r="C214" s="4" t="s">
        <v>560</v>
      </c>
      <c r="D214" s="4" t="s">
        <v>561</v>
      </c>
      <c r="E214" s="4" t="s">
        <v>56</v>
      </c>
      <c r="F214" s="4" t="s">
        <v>57</v>
      </c>
      <c r="G214" s="4" t="s">
        <v>58</v>
      </c>
      <c r="H214" s="4" t="s">
        <v>59</v>
      </c>
      <c r="I214" s="3"/>
      <c r="J214" s="3"/>
      <c r="K214" s="3"/>
      <c r="L214" s="3"/>
      <c r="M214" s="3"/>
      <c r="N214" s="3"/>
      <c r="O214" s="3"/>
      <c r="P214" s="8"/>
      <c r="Q214" s="8"/>
      <c r="R214" s="3"/>
      <c r="S214" s="3"/>
      <c r="T214" s="3"/>
      <c r="U214" s="5" t="str">
        <f t="shared" si="11"/>
        <v/>
      </c>
    </row>
    <row r="215" spans="1:21" ht="28" customHeight="1" x14ac:dyDescent="0.35">
      <c r="A215" s="4">
        <v>3</v>
      </c>
      <c r="B215" s="4" t="s">
        <v>53</v>
      </c>
      <c r="C215" s="4" t="s">
        <v>562</v>
      </c>
      <c r="D215" s="4" t="s">
        <v>563</v>
      </c>
      <c r="E215" s="4" t="s">
        <v>56</v>
      </c>
      <c r="F215" s="4" t="s">
        <v>57</v>
      </c>
      <c r="G215" s="4" t="s">
        <v>58</v>
      </c>
      <c r="H215" s="4" t="s">
        <v>59</v>
      </c>
      <c r="I215" s="3"/>
      <c r="J215" s="3"/>
      <c r="K215" s="3"/>
      <c r="L215" s="3"/>
      <c r="M215" s="3"/>
      <c r="N215" s="3"/>
      <c r="O215" s="3"/>
      <c r="P215" s="8"/>
      <c r="Q215" s="8"/>
      <c r="R215" s="3"/>
      <c r="S215" s="3"/>
      <c r="T215" s="3"/>
      <c r="U215" s="5" t="str">
        <f t="shared" si="11"/>
        <v/>
      </c>
    </row>
    <row r="216" spans="1:21" ht="28" customHeight="1" x14ac:dyDescent="0.35">
      <c r="A216" s="4">
        <v>4</v>
      </c>
      <c r="B216" s="4" t="s">
        <v>53</v>
      </c>
      <c r="C216" s="4" t="s">
        <v>564</v>
      </c>
      <c r="D216" s="4" t="s">
        <v>565</v>
      </c>
      <c r="E216" s="4" t="s">
        <v>56</v>
      </c>
      <c r="F216" s="4" t="s">
        <v>57</v>
      </c>
      <c r="G216" s="4" t="s">
        <v>58</v>
      </c>
      <c r="H216" s="4" t="s">
        <v>59</v>
      </c>
      <c r="I216" s="3"/>
      <c r="J216" s="3"/>
      <c r="K216" s="3"/>
      <c r="L216" s="3"/>
      <c r="M216" s="3"/>
      <c r="N216" s="3"/>
      <c r="O216" s="3"/>
      <c r="P216" s="8"/>
      <c r="Q216" s="8"/>
      <c r="R216" s="3"/>
      <c r="S216" s="3"/>
      <c r="T216" s="3"/>
      <c r="U216" s="5" t="str">
        <f t="shared" si="11"/>
        <v/>
      </c>
    </row>
    <row r="217" spans="1:21" ht="28" customHeight="1" x14ac:dyDescent="0.35">
      <c r="A217" s="4">
        <v>5</v>
      </c>
      <c r="B217" s="4" t="s">
        <v>66</v>
      </c>
      <c r="C217" s="4" t="s">
        <v>67</v>
      </c>
      <c r="D217" s="4" t="s">
        <v>68</v>
      </c>
      <c r="E217" s="4" t="s">
        <v>69</v>
      </c>
      <c r="F217" s="4" t="s">
        <v>57</v>
      </c>
      <c r="G217" s="4" t="s">
        <v>58</v>
      </c>
      <c r="H217" s="4" t="s">
        <v>59</v>
      </c>
      <c r="I217" s="3"/>
      <c r="J217" s="3"/>
      <c r="K217" s="3"/>
      <c r="L217" s="3"/>
      <c r="M217" s="3"/>
      <c r="N217" s="3"/>
      <c r="O217" s="3"/>
      <c r="P217" s="8"/>
      <c r="Q217" s="8"/>
      <c r="R217" s="3"/>
      <c r="S217" s="3"/>
      <c r="T217" s="3"/>
      <c r="U217" s="5" t="str">
        <f t="shared" si="11"/>
        <v/>
      </c>
    </row>
    <row r="218" spans="1:21" ht="28" customHeight="1" x14ac:dyDescent="0.35">
      <c r="A218" s="4">
        <v>6</v>
      </c>
      <c r="B218" s="4" t="s">
        <v>70</v>
      </c>
      <c r="C218" s="4" t="s">
        <v>71</v>
      </c>
      <c r="D218" s="4" t="s">
        <v>72</v>
      </c>
      <c r="E218" s="4" t="s">
        <v>70</v>
      </c>
      <c r="F218" s="4" t="s">
        <v>57</v>
      </c>
      <c r="G218" s="4" t="s">
        <v>58</v>
      </c>
      <c r="H218" s="4" t="s">
        <v>59</v>
      </c>
      <c r="I218" s="3"/>
      <c r="J218" s="3"/>
      <c r="K218" s="3"/>
      <c r="L218" s="3"/>
      <c r="M218" s="3"/>
      <c r="N218" s="3"/>
      <c r="O218" s="3"/>
      <c r="P218" s="8"/>
      <c r="Q218" s="8"/>
      <c r="R218" s="3"/>
      <c r="S218" s="3"/>
      <c r="T218" s="3"/>
      <c r="U218" s="5" t="str">
        <f t="shared" si="11"/>
        <v/>
      </c>
    </row>
    <row r="219" spans="1:21" ht="28" customHeight="1" x14ac:dyDescent="0.35">
      <c r="A219" s="4">
        <v>7</v>
      </c>
      <c r="B219" s="4" t="s">
        <v>73</v>
      </c>
      <c r="C219" s="4" t="s">
        <v>74</v>
      </c>
      <c r="D219" s="4" t="s">
        <v>75</v>
      </c>
      <c r="E219" s="4" t="s">
        <v>69</v>
      </c>
      <c r="F219" s="4" t="s">
        <v>57</v>
      </c>
      <c r="G219" s="4" t="s">
        <v>58</v>
      </c>
      <c r="H219" s="4" t="s">
        <v>76</v>
      </c>
      <c r="I219" s="3"/>
      <c r="J219" s="3"/>
      <c r="K219" s="3"/>
      <c r="L219" s="3"/>
      <c r="M219" s="3"/>
      <c r="N219" s="3"/>
      <c r="O219" s="3"/>
      <c r="P219" s="8"/>
      <c r="Q219" s="8"/>
      <c r="R219" s="3"/>
      <c r="S219" s="3"/>
      <c r="T219" s="3"/>
      <c r="U219" s="5" t="str">
        <f t="shared" si="11"/>
        <v/>
      </c>
    </row>
    <row r="220" spans="1:21" ht="28" customHeight="1" x14ac:dyDescent="0.35">
      <c r="A220" s="4">
        <v>8</v>
      </c>
      <c r="B220" s="4" t="s">
        <v>77</v>
      </c>
      <c r="C220" s="4" t="s">
        <v>78</v>
      </c>
      <c r="D220" s="4" t="s">
        <v>79</v>
      </c>
      <c r="E220" s="4" t="s">
        <v>80</v>
      </c>
      <c r="F220" s="4" t="s">
        <v>57</v>
      </c>
      <c r="G220" s="4" t="s">
        <v>58</v>
      </c>
      <c r="H220" s="4" t="s">
        <v>59</v>
      </c>
      <c r="I220" s="3"/>
      <c r="J220" s="3"/>
      <c r="K220" s="3"/>
      <c r="L220" s="3"/>
      <c r="M220" s="3"/>
      <c r="N220" s="3"/>
      <c r="O220" s="3"/>
      <c r="P220" s="8"/>
      <c r="Q220" s="8"/>
      <c r="R220" s="3"/>
      <c r="S220" s="3"/>
      <c r="T220" s="3"/>
      <c r="U220" s="5" t="str">
        <f t="shared" si="11"/>
        <v/>
      </c>
    </row>
    <row r="221" spans="1:21" ht="28" customHeight="1" x14ac:dyDescent="0.35">
      <c r="A221" s="4">
        <v>9</v>
      </c>
      <c r="B221" s="4" t="s">
        <v>81</v>
      </c>
      <c r="C221" s="4" t="s">
        <v>82</v>
      </c>
      <c r="D221" s="4" t="s">
        <v>83</v>
      </c>
      <c r="E221" s="4" t="s">
        <v>84</v>
      </c>
      <c r="F221" s="4" t="s">
        <v>57</v>
      </c>
      <c r="G221" s="4" t="s">
        <v>58</v>
      </c>
      <c r="H221" s="4" t="s">
        <v>85</v>
      </c>
      <c r="I221" s="3"/>
      <c r="J221" s="3"/>
      <c r="K221" s="3"/>
      <c r="L221" s="3"/>
      <c r="M221" s="3"/>
      <c r="N221" s="3"/>
      <c r="O221" s="3"/>
      <c r="P221" s="8"/>
      <c r="Q221" s="8"/>
      <c r="R221" s="3"/>
      <c r="S221" s="3"/>
      <c r="T221" s="3"/>
      <c r="U221" s="5" t="str">
        <f t="shared" si="11"/>
        <v/>
      </c>
    </row>
    <row r="222" spans="1:21" ht="28" customHeight="1" x14ac:dyDescent="0.35">
      <c r="A222" s="4">
        <v>10</v>
      </c>
      <c r="B222" s="4" t="s">
        <v>86</v>
      </c>
      <c r="C222" s="4" t="s">
        <v>87</v>
      </c>
      <c r="D222" s="4" t="s">
        <v>88</v>
      </c>
      <c r="E222" s="4" t="s">
        <v>69</v>
      </c>
      <c r="F222" s="4" t="s">
        <v>57</v>
      </c>
      <c r="G222" s="4" t="s">
        <v>58</v>
      </c>
      <c r="H222" s="4" t="s">
        <v>59</v>
      </c>
      <c r="I222" s="3"/>
      <c r="J222" s="3"/>
      <c r="K222" s="3"/>
      <c r="L222" s="3"/>
      <c r="M222" s="3"/>
      <c r="N222" s="3"/>
      <c r="O222" s="3"/>
      <c r="P222" s="8"/>
      <c r="Q222" s="8"/>
      <c r="R222" s="3"/>
      <c r="S222" s="3"/>
      <c r="T222" s="3"/>
      <c r="U222" s="5" t="str">
        <f t="shared" si="11"/>
        <v/>
      </c>
    </row>
    <row r="223" spans="1:21" ht="28" customHeight="1" x14ac:dyDescent="0.35">
      <c r="A223" s="4">
        <v>11</v>
      </c>
      <c r="B223" s="4" t="s">
        <v>89</v>
      </c>
      <c r="C223" s="4" t="s">
        <v>90</v>
      </c>
      <c r="D223" s="4" t="s">
        <v>91</v>
      </c>
      <c r="E223" s="4" t="s">
        <v>84</v>
      </c>
      <c r="F223" s="4" t="s">
        <v>57</v>
      </c>
      <c r="G223" s="4" t="s">
        <v>58</v>
      </c>
      <c r="H223" s="4" t="s">
        <v>59</v>
      </c>
      <c r="I223" s="3"/>
      <c r="J223" s="3"/>
      <c r="K223" s="3"/>
      <c r="L223" s="3"/>
      <c r="M223" s="3"/>
      <c r="N223" s="3"/>
      <c r="O223" s="3"/>
      <c r="P223" s="8"/>
      <c r="Q223" s="8"/>
      <c r="R223" s="3"/>
      <c r="S223" s="3"/>
      <c r="T223" s="3"/>
      <c r="U223" s="5" t="str">
        <f t="shared" si="11"/>
        <v/>
      </c>
    </row>
    <row r="224" spans="1:21" ht="28" customHeight="1" x14ac:dyDescent="0.35">
      <c r="A224" s="4">
        <v>12</v>
      </c>
      <c r="B224" s="4" t="s">
        <v>92</v>
      </c>
      <c r="C224" s="4" t="s">
        <v>93</v>
      </c>
      <c r="D224" s="4" t="s">
        <v>94</v>
      </c>
      <c r="E224" s="4" t="s">
        <v>69</v>
      </c>
      <c r="F224" s="4" t="s">
        <v>95</v>
      </c>
      <c r="G224" s="4" t="s">
        <v>96</v>
      </c>
      <c r="H224" s="4" t="s">
        <v>59</v>
      </c>
      <c r="I224" s="3"/>
      <c r="J224" s="3"/>
      <c r="K224" s="3"/>
      <c r="L224" s="3"/>
      <c r="M224" s="3"/>
      <c r="N224" s="3"/>
      <c r="O224" s="3"/>
      <c r="P224" s="8"/>
      <c r="Q224" s="8"/>
      <c r="R224" s="3"/>
      <c r="S224" s="3"/>
      <c r="T224" s="3"/>
      <c r="U224" s="5" t="str">
        <f t="shared" si="11"/>
        <v/>
      </c>
    </row>
    <row r="225" spans="1:21" ht="28" customHeight="1" x14ac:dyDescent="0.35">
      <c r="A225" s="4">
        <v>13</v>
      </c>
      <c r="B225" s="4" t="s">
        <v>97</v>
      </c>
      <c r="C225" s="4" t="s">
        <v>98</v>
      </c>
      <c r="D225" s="4" t="s">
        <v>99</v>
      </c>
      <c r="E225" s="4" t="s">
        <v>69</v>
      </c>
      <c r="F225" s="4" t="s">
        <v>95</v>
      </c>
      <c r="G225" s="4" t="s">
        <v>96</v>
      </c>
      <c r="H225" s="4" t="s">
        <v>59</v>
      </c>
      <c r="I225" s="3"/>
      <c r="J225" s="3"/>
      <c r="K225" s="3"/>
      <c r="L225" s="3"/>
      <c r="M225" s="3"/>
      <c r="N225" s="3"/>
      <c r="O225" s="3"/>
      <c r="P225" s="8"/>
      <c r="Q225" s="8"/>
      <c r="R225" s="3"/>
      <c r="S225" s="3"/>
      <c r="T225" s="3"/>
      <c r="U225" s="5" t="str">
        <f t="shared" si="11"/>
        <v/>
      </c>
    </row>
    <row r="226" spans="1:21" ht="28" customHeight="1" x14ac:dyDescent="0.35">
      <c r="A226" s="4">
        <v>14</v>
      </c>
      <c r="B226" s="4" t="s">
        <v>97</v>
      </c>
      <c r="C226" s="4" t="s">
        <v>100</v>
      </c>
      <c r="D226" s="4" t="s">
        <v>101</v>
      </c>
      <c r="E226" s="4" t="s">
        <v>69</v>
      </c>
      <c r="F226" s="4" t="s">
        <v>95</v>
      </c>
      <c r="G226" s="4" t="s">
        <v>102</v>
      </c>
      <c r="H226" s="4" t="s">
        <v>59</v>
      </c>
      <c r="I226" s="3"/>
      <c r="J226" s="3"/>
      <c r="K226" s="3"/>
      <c r="L226" s="3"/>
      <c r="M226" s="3"/>
      <c r="N226" s="3"/>
      <c r="O226" s="3"/>
      <c r="P226" s="8"/>
      <c r="Q226" s="8"/>
      <c r="R226" s="3"/>
      <c r="S226" s="3"/>
      <c r="T226" s="3"/>
      <c r="U226" s="5" t="str">
        <f t="shared" si="11"/>
        <v/>
      </c>
    </row>
    <row r="227" spans="1:21" ht="28" customHeight="1" x14ac:dyDescent="0.35">
      <c r="A227" s="4">
        <v>15</v>
      </c>
      <c r="B227" s="4" t="s">
        <v>103</v>
      </c>
      <c r="C227" s="4" t="s">
        <v>104</v>
      </c>
      <c r="D227" s="4" t="s">
        <v>105</v>
      </c>
      <c r="E227" s="4" t="s">
        <v>69</v>
      </c>
      <c r="F227" s="4" t="s">
        <v>95</v>
      </c>
      <c r="G227" s="4" t="s">
        <v>96</v>
      </c>
      <c r="H227" s="4" t="s">
        <v>85</v>
      </c>
      <c r="I227" s="3"/>
      <c r="J227" s="3"/>
      <c r="K227" s="3"/>
      <c r="L227" s="3"/>
      <c r="M227" s="3"/>
      <c r="N227" s="3"/>
      <c r="O227" s="3"/>
      <c r="P227" s="8"/>
      <c r="Q227" s="8"/>
      <c r="R227" s="3"/>
      <c r="S227" s="3"/>
      <c r="T227" s="3"/>
      <c r="U227" s="5" t="str">
        <f t="shared" si="11"/>
        <v/>
      </c>
    </row>
    <row r="228" spans="1:21" ht="28" customHeight="1" x14ac:dyDescent="0.35">
      <c r="A228" s="4">
        <v>16</v>
      </c>
      <c r="B228" s="4" t="s">
        <v>106</v>
      </c>
      <c r="C228" s="4" t="s">
        <v>107</v>
      </c>
      <c r="D228" s="4" t="s">
        <v>108</v>
      </c>
      <c r="E228" s="4" t="s">
        <v>109</v>
      </c>
      <c r="F228" s="4" t="s">
        <v>95</v>
      </c>
      <c r="G228" s="4" t="s">
        <v>96</v>
      </c>
      <c r="H228" s="4" t="s">
        <v>59</v>
      </c>
      <c r="I228" s="3"/>
      <c r="J228" s="3"/>
      <c r="K228" s="3"/>
      <c r="L228" s="3"/>
      <c r="M228" s="3"/>
      <c r="N228" s="3"/>
      <c r="O228" s="3"/>
      <c r="P228" s="8"/>
      <c r="Q228" s="8"/>
      <c r="R228" s="3"/>
      <c r="S228" s="3"/>
      <c r="T228" s="3"/>
      <c r="U228" s="5" t="str">
        <f t="shared" si="11"/>
        <v/>
      </c>
    </row>
    <row r="230" spans="1:21" ht="28" customHeight="1" x14ac:dyDescent="0.35">
      <c r="A230" s="9" t="s">
        <v>110</v>
      </c>
      <c r="B230" s="16"/>
      <c r="C230" s="17"/>
      <c r="D230" s="17"/>
      <c r="E230" s="17"/>
      <c r="F230" s="17"/>
      <c r="G230" s="17"/>
      <c r="H230" s="17"/>
      <c r="I230" s="17"/>
      <c r="J230" s="17"/>
      <c r="K230" s="17"/>
      <c r="L230" s="17"/>
      <c r="M230" s="17"/>
      <c r="N230" s="17"/>
      <c r="O230" s="17"/>
      <c r="P230" s="17"/>
      <c r="Q230" s="17"/>
      <c r="R230" s="17"/>
      <c r="S230" s="17"/>
      <c r="T230" s="17"/>
      <c r="U230" s="18"/>
    </row>
    <row r="231" spans="1:21" ht="28" customHeight="1" x14ac:dyDescent="0.35">
      <c r="A231" s="19" t="s">
        <v>575</v>
      </c>
      <c r="B231" s="20"/>
      <c r="C231" s="20"/>
      <c r="D231" s="20"/>
      <c r="E231" s="20"/>
      <c r="F231" s="20"/>
      <c r="G231" s="20"/>
      <c r="H231" s="20"/>
      <c r="I231" s="20"/>
      <c r="J231" s="20"/>
      <c r="K231" s="20"/>
      <c r="L231" s="20"/>
      <c r="M231" s="20"/>
      <c r="N231" s="20"/>
      <c r="O231" s="20"/>
      <c r="P231" s="20"/>
      <c r="Q231" s="20"/>
      <c r="R231" s="20"/>
      <c r="S231" s="20"/>
      <c r="T231" s="20"/>
      <c r="U231" s="21"/>
    </row>
    <row r="232" spans="1:21" ht="28" customHeight="1" x14ac:dyDescent="0.35">
      <c r="A232" s="4" t="s">
        <v>31</v>
      </c>
      <c r="B232" s="3" t="s">
        <v>28</v>
      </c>
      <c r="C232" s="4" t="s">
        <v>32</v>
      </c>
      <c r="D232" s="3"/>
      <c r="E232" s="4" t="s">
        <v>33</v>
      </c>
      <c r="F232" s="8"/>
    </row>
    <row r="233" spans="1:21" ht="28" customHeight="1" x14ac:dyDescent="0.35">
      <c r="A233" s="1" t="s">
        <v>34</v>
      </c>
      <c r="B233" s="1" t="s">
        <v>35</v>
      </c>
      <c r="C233" s="1" t="s">
        <v>36</v>
      </c>
      <c r="D233" s="1" t="s">
        <v>37</v>
      </c>
      <c r="E233" s="1" t="s">
        <v>38</v>
      </c>
      <c r="F233" s="1" t="s">
        <v>39</v>
      </c>
      <c r="G233" s="1" t="s">
        <v>40</v>
      </c>
      <c r="H233" s="1" t="s">
        <v>41</v>
      </c>
      <c r="I233" s="1" t="s">
        <v>42</v>
      </c>
      <c r="J233" s="1" t="s">
        <v>43</v>
      </c>
      <c r="K233" s="1" t="s">
        <v>44</v>
      </c>
      <c r="L233" s="1" t="s">
        <v>45</v>
      </c>
      <c r="M233" s="1" t="s">
        <v>46</v>
      </c>
      <c r="N233" s="1" t="s">
        <v>47</v>
      </c>
      <c r="O233" s="1" t="s">
        <v>48</v>
      </c>
      <c r="P233" s="1" t="s">
        <v>4</v>
      </c>
      <c r="Q233" s="1" t="s">
        <v>49</v>
      </c>
      <c r="R233" s="1" t="s">
        <v>50</v>
      </c>
      <c r="S233" s="1" t="s">
        <v>51</v>
      </c>
      <c r="T233" s="1" t="s">
        <v>52</v>
      </c>
      <c r="U233" s="1" t="s">
        <v>10</v>
      </c>
    </row>
    <row r="234" spans="1:21" ht="28" customHeight="1" x14ac:dyDescent="0.35">
      <c r="A234" s="4">
        <v>1</v>
      </c>
      <c r="B234" s="4" t="s">
        <v>53</v>
      </c>
      <c r="C234" s="4" t="s">
        <v>558</v>
      </c>
      <c r="D234" s="4" t="s">
        <v>559</v>
      </c>
      <c r="E234" s="4" t="s">
        <v>56</v>
      </c>
      <c r="F234" s="4" t="s">
        <v>57</v>
      </c>
      <c r="G234" s="4" t="s">
        <v>58</v>
      </c>
      <c r="H234" s="4" t="s">
        <v>59</v>
      </c>
      <c r="I234" s="3"/>
      <c r="J234" s="3"/>
      <c r="K234" s="3"/>
      <c r="L234" s="3"/>
      <c r="M234" s="3"/>
      <c r="N234" s="3"/>
      <c r="O234" s="3"/>
      <c r="P234" s="8"/>
      <c r="Q234" s="8"/>
      <c r="R234" s="3"/>
      <c r="S234" s="3"/>
      <c r="T234" s="3"/>
      <c r="U234" s="5" t="str">
        <f t="shared" ref="U234:U249" si="12">IF(I234="","",IF(I234="NA","Grey",IF(I234=2,"Green",IF(I234=1,"Amber","Red"))))</f>
        <v/>
      </c>
    </row>
    <row r="235" spans="1:21" ht="28" customHeight="1" x14ac:dyDescent="0.35">
      <c r="A235" s="4">
        <v>2</v>
      </c>
      <c r="B235" s="4" t="s">
        <v>53</v>
      </c>
      <c r="C235" s="4" t="s">
        <v>560</v>
      </c>
      <c r="D235" s="4" t="s">
        <v>561</v>
      </c>
      <c r="E235" s="4" t="s">
        <v>56</v>
      </c>
      <c r="F235" s="4" t="s">
        <v>57</v>
      </c>
      <c r="G235" s="4" t="s">
        <v>58</v>
      </c>
      <c r="H235" s="4" t="s">
        <v>59</v>
      </c>
      <c r="I235" s="3"/>
      <c r="J235" s="3"/>
      <c r="K235" s="3"/>
      <c r="L235" s="3"/>
      <c r="M235" s="3"/>
      <c r="N235" s="3"/>
      <c r="O235" s="3"/>
      <c r="P235" s="8"/>
      <c r="Q235" s="8"/>
      <c r="R235" s="3"/>
      <c r="S235" s="3"/>
      <c r="T235" s="3"/>
      <c r="U235" s="5" t="str">
        <f t="shared" si="12"/>
        <v/>
      </c>
    </row>
    <row r="236" spans="1:21" ht="28" customHeight="1" x14ac:dyDescent="0.35">
      <c r="A236" s="4">
        <v>3</v>
      </c>
      <c r="B236" s="4" t="s">
        <v>53</v>
      </c>
      <c r="C236" s="4" t="s">
        <v>562</v>
      </c>
      <c r="D236" s="4" t="s">
        <v>563</v>
      </c>
      <c r="E236" s="4" t="s">
        <v>56</v>
      </c>
      <c r="F236" s="4" t="s">
        <v>57</v>
      </c>
      <c r="G236" s="4" t="s">
        <v>58</v>
      </c>
      <c r="H236" s="4" t="s">
        <v>59</v>
      </c>
      <c r="I236" s="3"/>
      <c r="J236" s="3"/>
      <c r="K236" s="3"/>
      <c r="L236" s="3"/>
      <c r="M236" s="3"/>
      <c r="N236" s="3"/>
      <c r="O236" s="3"/>
      <c r="P236" s="8"/>
      <c r="Q236" s="8"/>
      <c r="R236" s="3"/>
      <c r="S236" s="3"/>
      <c r="T236" s="3"/>
      <c r="U236" s="5" t="str">
        <f t="shared" si="12"/>
        <v/>
      </c>
    </row>
    <row r="237" spans="1:21" ht="28" customHeight="1" x14ac:dyDescent="0.35">
      <c r="A237" s="4">
        <v>4</v>
      </c>
      <c r="B237" s="4" t="s">
        <v>53</v>
      </c>
      <c r="C237" s="4" t="s">
        <v>564</v>
      </c>
      <c r="D237" s="4" t="s">
        <v>565</v>
      </c>
      <c r="E237" s="4" t="s">
        <v>56</v>
      </c>
      <c r="F237" s="4" t="s">
        <v>57</v>
      </c>
      <c r="G237" s="4" t="s">
        <v>58</v>
      </c>
      <c r="H237" s="4" t="s">
        <v>59</v>
      </c>
      <c r="I237" s="3"/>
      <c r="J237" s="3"/>
      <c r="K237" s="3"/>
      <c r="L237" s="3"/>
      <c r="M237" s="3"/>
      <c r="N237" s="3"/>
      <c r="O237" s="3"/>
      <c r="P237" s="8"/>
      <c r="Q237" s="8"/>
      <c r="R237" s="3"/>
      <c r="S237" s="3"/>
      <c r="T237" s="3"/>
      <c r="U237" s="5" t="str">
        <f t="shared" si="12"/>
        <v/>
      </c>
    </row>
    <row r="238" spans="1:21" ht="28" customHeight="1" x14ac:dyDescent="0.35">
      <c r="A238" s="4">
        <v>5</v>
      </c>
      <c r="B238" s="4" t="s">
        <v>66</v>
      </c>
      <c r="C238" s="4" t="s">
        <v>67</v>
      </c>
      <c r="D238" s="4" t="s">
        <v>68</v>
      </c>
      <c r="E238" s="4" t="s">
        <v>69</v>
      </c>
      <c r="F238" s="4" t="s">
        <v>57</v>
      </c>
      <c r="G238" s="4" t="s">
        <v>58</v>
      </c>
      <c r="H238" s="4" t="s">
        <v>59</v>
      </c>
      <c r="I238" s="3"/>
      <c r="J238" s="3"/>
      <c r="K238" s="3"/>
      <c r="L238" s="3"/>
      <c r="M238" s="3"/>
      <c r="N238" s="3"/>
      <c r="O238" s="3"/>
      <c r="P238" s="8"/>
      <c r="Q238" s="8"/>
      <c r="R238" s="3"/>
      <c r="S238" s="3"/>
      <c r="T238" s="3"/>
      <c r="U238" s="5" t="str">
        <f t="shared" si="12"/>
        <v/>
      </c>
    </row>
    <row r="239" spans="1:21" ht="28" customHeight="1" x14ac:dyDescent="0.35">
      <c r="A239" s="4">
        <v>6</v>
      </c>
      <c r="B239" s="4" t="s">
        <v>70</v>
      </c>
      <c r="C239" s="4" t="s">
        <v>71</v>
      </c>
      <c r="D239" s="4" t="s">
        <v>72</v>
      </c>
      <c r="E239" s="4" t="s">
        <v>70</v>
      </c>
      <c r="F239" s="4" t="s">
        <v>57</v>
      </c>
      <c r="G239" s="4" t="s">
        <v>58</v>
      </c>
      <c r="H239" s="4" t="s">
        <v>59</v>
      </c>
      <c r="I239" s="3"/>
      <c r="J239" s="3"/>
      <c r="K239" s="3"/>
      <c r="L239" s="3"/>
      <c r="M239" s="3"/>
      <c r="N239" s="3"/>
      <c r="O239" s="3"/>
      <c r="P239" s="8"/>
      <c r="Q239" s="8"/>
      <c r="R239" s="3"/>
      <c r="S239" s="3"/>
      <c r="T239" s="3"/>
      <c r="U239" s="5" t="str">
        <f t="shared" si="12"/>
        <v/>
      </c>
    </row>
    <row r="240" spans="1:21" ht="28" customHeight="1" x14ac:dyDescent="0.35">
      <c r="A240" s="4">
        <v>7</v>
      </c>
      <c r="B240" s="4" t="s">
        <v>73</v>
      </c>
      <c r="C240" s="4" t="s">
        <v>74</v>
      </c>
      <c r="D240" s="4" t="s">
        <v>75</v>
      </c>
      <c r="E240" s="4" t="s">
        <v>69</v>
      </c>
      <c r="F240" s="4" t="s">
        <v>57</v>
      </c>
      <c r="G240" s="4" t="s">
        <v>58</v>
      </c>
      <c r="H240" s="4" t="s">
        <v>76</v>
      </c>
      <c r="I240" s="3"/>
      <c r="J240" s="3"/>
      <c r="K240" s="3"/>
      <c r="L240" s="3"/>
      <c r="M240" s="3"/>
      <c r="N240" s="3"/>
      <c r="O240" s="3"/>
      <c r="P240" s="8"/>
      <c r="Q240" s="8"/>
      <c r="R240" s="3"/>
      <c r="S240" s="3"/>
      <c r="T240" s="3"/>
      <c r="U240" s="5" t="str">
        <f t="shared" si="12"/>
        <v/>
      </c>
    </row>
    <row r="241" spans="1:21" ht="28" customHeight="1" x14ac:dyDescent="0.35">
      <c r="A241" s="4">
        <v>8</v>
      </c>
      <c r="B241" s="4" t="s">
        <v>77</v>
      </c>
      <c r="C241" s="4" t="s">
        <v>78</v>
      </c>
      <c r="D241" s="4" t="s">
        <v>79</v>
      </c>
      <c r="E241" s="4" t="s">
        <v>80</v>
      </c>
      <c r="F241" s="4" t="s">
        <v>57</v>
      </c>
      <c r="G241" s="4" t="s">
        <v>58</v>
      </c>
      <c r="H241" s="4" t="s">
        <v>59</v>
      </c>
      <c r="I241" s="3"/>
      <c r="J241" s="3"/>
      <c r="K241" s="3"/>
      <c r="L241" s="3"/>
      <c r="M241" s="3"/>
      <c r="N241" s="3"/>
      <c r="O241" s="3"/>
      <c r="P241" s="8"/>
      <c r="Q241" s="8"/>
      <c r="R241" s="3"/>
      <c r="S241" s="3"/>
      <c r="T241" s="3"/>
      <c r="U241" s="5" t="str">
        <f t="shared" si="12"/>
        <v/>
      </c>
    </row>
    <row r="242" spans="1:21" ht="28" customHeight="1" x14ac:dyDescent="0.35">
      <c r="A242" s="4">
        <v>9</v>
      </c>
      <c r="B242" s="4" t="s">
        <v>81</v>
      </c>
      <c r="C242" s="4" t="s">
        <v>82</v>
      </c>
      <c r="D242" s="4" t="s">
        <v>83</v>
      </c>
      <c r="E242" s="4" t="s">
        <v>84</v>
      </c>
      <c r="F242" s="4" t="s">
        <v>57</v>
      </c>
      <c r="G242" s="4" t="s">
        <v>58</v>
      </c>
      <c r="H242" s="4" t="s">
        <v>85</v>
      </c>
      <c r="I242" s="3"/>
      <c r="J242" s="3"/>
      <c r="K242" s="3"/>
      <c r="L242" s="3"/>
      <c r="M242" s="3"/>
      <c r="N242" s="3"/>
      <c r="O242" s="3"/>
      <c r="P242" s="8"/>
      <c r="Q242" s="8"/>
      <c r="R242" s="3"/>
      <c r="S242" s="3"/>
      <c r="T242" s="3"/>
      <c r="U242" s="5" t="str">
        <f t="shared" si="12"/>
        <v/>
      </c>
    </row>
    <row r="243" spans="1:21" ht="28" customHeight="1" x14ac:dyDescent="0.35">
      <c r="A243" s="4">
        <v>10</v>
      </c>
      <c r="B243" s="4" t="s">
        <v>86</v>
      </c>
      <c r="C243" s="4" t="s">
        <v>87</v>
      </c>
      <c r="D243" s="4" t="s">
        <v>88</v>
      </c>
      <c r="E243" s="4" t="s">
        <v>69</v>
      </c>
      <c r="F243" s="4" t="s">
        <v>57</v>
      </c>
      <c r="G243" s="4" t="s">
        <v>58</v>
      </c>
      <c r="H243" s="4" t="s">
        <v>59</v>
      </c>
      <c r="I243" s="3"/>
      <c r="J243" s="3"/>
      <c r="K243" s="3"/>
      <c r="L243" s="3"/>
      <c r="M243" s="3"/>
      <c r="N243" s="3"/>
      <c r="O243" s="3"/>
      <c r="P243" s="8"/>
      <c r="Q243" s="8"/>
      <c r="R243" s="3"/>
      <c r="S243" s="3"/>
      <c r="T243" s="3"/>
      <c r="U243" s="5" t="str">
        <f t="shared" si="12"/>
        <v/>
      </c>
    </row>
    <row r="244" spans="1:21" ht="28" customHeight="1" x14ac:dyDescent="0.35">
      <c r="A244" s="4">
        <v>11</v>
      </c>
      <c r="B244" s="4" t="s">
        <v>89</v>
      </c>
      <c r="C244" s="4" t="s">
        <v>90</v>
      </c>
      <c r="D244" s="4" t="s">
        <v>91</v>
      </c>
      <c r="E244" s="4" t="s">
        <v>84</v>
      </c>
      <c r="F244" s="4" t="s">
        <v>57</v>
      </c>
      <c r="G244" s="4" t="s">
        <v>58</v>
      </c>
      <c r="H244" s="4" t="s">
        <v>59</v>
      </c>
      <c r="I244" s="3"/>
      <c r="J244" s="3"/>
      <c r="K244" s="3"/>
      <c r="L244" s="3"/>
      <c r="M244" s="3"/>
      <c r="N244" s="3"/>
      <c r="O244" s="3"/>
      <c r="P244" s="8"/>
      <c r="Q244" s="8"/>
      <c r="R244" s="3"/>
      <c r="S244" s="3"/>
      <c r="T244" s="3"/>
      <c r="U244" s="5" t="str">
        <f t="shared" si="12"/>
        <v/>
      </c>
    </row>
    <row r="245" spans="1:21" ht="28" customHeight="1" x14ac:dyDescent="0.35">
      <c r="A245" s="4">
        <v>12</v>
      </c>
      <c r="B245" s="4" t="s">
        <v>92</v>
      </c>
      <c r="C245" s="4" t="s">
        <v>93</v>
      </c>
      <c r="D245" s="4" t="s">
        <v>94</v>
      </c>
      <c r="E245" s="4" t="s">
        <v>69</v>
      </c>
      <c r="F245" s="4" t="s">
        <v>95</v>
      </c>
      <c r="G245" s="4" t="s">
        <v>96</v>
      </c>
      <c r="H245" s="4" t="s">
        <v>59</v>
      </c>
      <c r="I245" s="3"/>
      <c r="J245" s="3"/>
      <c r="K245" s="3"/>
      <c r="L245" s="3"/>
      <c r="M245" s="3"/>
      <c r="N245" s="3"/>
      <c r="O245" s="3"/>
      <c r="P245" s="8"/>
      <c r="Q245" s="8"/>
      <c r="R245" s="3"/>
      <c r="S245" s="3"/>
      <c r="T245" s="3"/>
      <c r="U245" s="5" t="str">
        <f t="shared" si="12"/>
        <v/>
      </c>
    </row>
    <row r="246" spans="1:21" ht="28" customHeight="1" x14ac:dyDescent="0.35">
      <c r="A246" s="4">
        <v>13</v>
      </c>
      <c r="B246" s="4" t="s">
        <v>97</v>
      </c>
      <c r="C246" s="4" t="s">
        <v>98</v>
      </c>
      <c r="D246" s="4" t="s">
        <v>99</v>
      </c>
      <c r="E246" s="4" t="s">
        <v>69</v>
      </c>
      <c r="F246" s="4" t="s">
        <v>95</v>
      </c>
      <c r="G246" s="4" t="s">
        <v>96</v>
      </c>
      <c r="H246" s="4" t="s">
        <v>59</v>
      </c>
      <c r="I246" s="3"/>
      <c r="J246" s="3"/>
      <c r="K246" s="3"/>
      <c r="L246" s="3"/>
      <c r="M246" s="3"/>
      <c r="N246" s="3"/>
      <c r="O246" s="3"/>
      <c r="P246" s="8"/>
      <c r="Q246" s="8"/>
      <c r="R246" s="3"/>
      <c r="S246" s="3"/>
      <c r="T246" s="3"/>
      <c r="U246" s="5" t="str">
        <f t="shared" si="12"/>
        <v/>
      </c>
    </row>
    <row r="247" spans="1:21" ht="28" customHeight="1" x14ac:dyDescent="0.35">
      <c r="A247" s="4">
        <v>14</v>
      </c>
      <c r="B247" s="4" t="s">
        <v>97</v>
      </c>
      <c r="C247" s="4" t="s">
        <v>100</v>
      </c>
      <c r="D247" s="4" t="s">
        <v>101</v>
      </c>
      <c r="E247" s="4" t="s">
        <v>69</v>
      </c>
      <c r="F247" s="4" t="s">
        <v>95</v>
      </c>
      <c r="G247" s="4" t="s">
        <v>102</v>
      </c>
      <c r="H247" s="4" t="s">
        <v>59</v>
      </c>
      <c r="I247" s="3"/>
      <c r="J247" s="3"/>
      <c r="K247" s="3"/>
      <c r="L247" s="3"/>
      <c r="M247" s="3"/>
      <c r="N247" s="3"/>
      <c r="O247" s="3"/>
      <c r="P247" s="8"/>
      <c r="Q247" s="8"/>
      <c r="R247" s="3"/>
      <c r="S247" s="3"/>
      <c r="T247" s="3"/>
      <c r="U247" s="5" t="str">
        <f t="shared" si="12"/>
        <v/>
      </c>
    </row>
    <row r="248" spans="1:21" ht="28" customHeight="1" x14ac:dyDescent="0.35">
      <c r="A248" s="4">
        <v>15</v>
      </c>
      <c r="B248" s="4" t="s">
        <v>103</v>
      </c>
      <c r="C248" s="4" t="s">
        <v>104</v>
      </c>
      <c r="D248" s="4" t="s">
        <v>105</v>
      </c>
      <c r="E248" s="4" t="s">
        <v>69</v>
      </c>
      <c r="F248" s="4" t="s">
        <v>95</v>
      </c>
      <c r="G248" s="4" t="s">
        <v>96</v>
      </c>
      <c r="H248" s="4" t="s">
        <v>85</v>
      </c>
      <c r="I248" s="3"/>
      <c r="J248" s="3"/>
      <c r="K248" s="3"/>
      <c r="L248" s="3"/>
      <c r="M248" s="3"/>
      <c r="N248" s="3"/>
      <c r="O248" s="3"/>
      <c r="P248" s="8"/>
      <c r="Q248" s="8"/>
      <c r="R248" s="3"/>
      <c r="S248" s="3"/>
      <c r="T248" s="3"/>
      <c r="U248" s="5" t="str">
        <f t="shared" si="12"/>
        <v/>
      </c>
    </row>
    <row r="249" spans="1:21" ht="28" customHeight="1" x14ac:dyDescent="0.35">
      <c r="A249" s="4">
        <v>16</v>
      </c>
      <c r="B249" s="4" t="s">
        <v>106</v>
      </c>
      <c r="C249" s="4" t="s">
        <v>107</v>
      </c>
      <c r="D249" s="4" t="s">
        <v>108</v>
      </c>
      <c r="E249" s="4" t="s">
        <v>109</v>
      </c>
      <c r="F249" s="4" t="s">
        <v>95</v>
      </c>
      <c r="G249" s="4" t="s">
        <v>96</v>
      </c>
      <c r="H249" s="4" t="s">
        <v>59</v>
      </c>
      <c r="I249" s="3"/>
      <c r="J249" s="3"/>
      <c r="K249" s="3"/>
      <c r="L249" s="3"/>
      <c r="M249" s="3"/>
      <c r="N249" s="3"/>
      <c r="O249" s="3"/>
      <c r="P249" s="8"/>
      <c r="Q249" s="8"/>
      <c r="R249" s="3"/>
      <c r="S249" s="3"/>
      <c r="T249" s="3"/>
      <c r="U249" s="5" t="str">
        <f t="shared" si="12"/>
        <v/>
      </c>
    </row>
    <row r="251" spans="1:21" ht="28" customHeight="1" x14ac:dyDescent="0.35">
      <c r="A251" s="9" t="s">
        <v>110</v>
      </c>
      <c r="B251" s="16"/>
      <c r="C251" s="17"/>
      <c r="D251" s="17"/>
      <c r="E251" s="17"/>
      <c r="F251" s="17"/>
      <c r="G251" s="17"/>
      <c r="H251" s="17"/>
      <c r="I251" s="17"/>
      <c r="J251" s="17"/>
      <c r="K251" s="17"/>
      <c r="L251" s="17"/>
      <c r="M251" s="17"/>
      <c r="N251" s="17"/>
      <c r="O251" s="17"/>
      <c r="P251" s="17"/>
      <c r="Q251" s="17"/>
      <c r="R251" s="17"/>
      <c r="S251" s="17"/>
      <c r="T251" s="17"/>
      <c r="U251" s="18"/>
    </row>
    <row r="252" spans="1:21" ht="28" customHeight="1" x14ac:dyDescent="0.35">
      <c r="A252" s="19" t="s">
        <v>576</v>
      </c>
      <c r="B252" s="20"/>
      <c r="C252" s="20"/>
      <c r="D252" s="20"/>
      <c r="E252" s="20"/>
      <c r="F252" s="20"/>
      <c r="G252" s="20"/>
      <c r="H252" s="20"/>
      <c r="I252" s="20"/>
      <c r="J252" s="20"/>
      <c r="K252" s="20"/>
      <c r="L252" s="20"/>
      <c r="M252" s="20"/>
      <c r="N252" s="20"/>
      <c r="O252" s="20"/>
      <c r="P252" s="20"/>
      <c r="Q252" s="20"/>
      <c r="R252" s="20"/>
      <c r="S252" s="20"/>
      <c r="T252" s="20"/>
      <c r="U252" s="21"/>
    </row>
    <row r="253" spans="1:21" ht="28" customHeight="1" x14ac:dyDescent="0.35">
      <c r="A253" s="4" t="s">
        <v>31</v>
      </c>
      <c r="B253" s="3" t="s">
        <v>29</v>
      </c>
      <c r="C253" s="4" t="s">
        <v>32</v>
      </c>
      <c r="D253" s="3"/>
      <c r="E253" s="4" t="s">
        <v>33</v>
      </c>
      <c r="F253" s="8"/>
    </row>
    <row r="254" spans="1:21" ht="28" customHeight="1" x14ac:dyDescent="0.35">
      <c r="A254" s="1" t="s">
        <v>34</v>
      </c>
      <c r="B254" s="1" t="s">
        <v>35</v>
      </c>
      <c r="C254" s="1" t="s">
        <v>36</v>
      </c>
      <c r="D254" s="1" t="s">
        <v>37</v>
      </c>
      <c r="E254" s="1" t="s">
        <v>38</v>
      </c>
      <c r="F254" s="1" t="s">
        <v>39</v>
      </c>
      <c r="G254" s="1" t="s">
        <v>40</v>
      </c>
      <c r="H254" s="1" t="s">
        <v>41</v>
      </c>
      <c r="I254" s="1" t="s">
        <v>42</v>
      </c>
      <c r="J254" s="1" t="s">
        <v>43</v>
      </c>
      <c r="K254" s="1" t="s">
        <v>44</v>
      </c>
      <c r="L254" s="1" t="s">
        <v>45</v>
      </c>
      <c r="M254" s="1" t="s">
        <v>46</v>
      </c>
      <c r="N254" s="1" t="s">
        <v>47</v>
      </c>
      <c r="O254" s="1" t="s">
        <v>48</v>
      </c>
      <c r="P254" s="1" t="s">
        <v>4</v>
      </c>
      <c r="Q254" s="1" t="s">
        <v>49</v>
      </c>
      <c r="R254" s="1" t="s">
        <v>50</v>
      </c>
      <c r="S254" s="1" t="s">
        <v>51</v>
      </c>
      <c r="T254" s="1" t="s">
        <v>52</v>
      </c>
      <c r="U254" s="1" t="s">
        <v>10</v>
      </c>
    </row>
    <row r="255" spans="1:21" ht="28" customHeight="1" x14ac:dyDescent="0.35">
      <c r="A255" s="4">
        <v>1</v>
      </c>
      <c r="B255" s="4" t="s">
        <v>53</v>
      </c>
      <c r="C255" s="4" t="s">
        <v>558</v>
      </c>
      <c r="D255" s="4" t="s">
        <v>559</v>
      </c>
      <c r="E255" s="4" t="s">
        <v>56</v>
      </c>
      <c r="F255" s="4" t="s">
        <v>57</v>
      </c>
      <c r="G255" s="4" t="s">
        <v>58</v>
      </c>
      <c r="H255" s="4" t="s">
        <v>59</v>
      </c>
      <c r="I255" s="3"/>
      <c r="J255" s="3"/>
      <c r="K255" s="3"/>
      <c r="L255" s="3"/>
      <c r="M255" s="3"/>
      <c r="N255" s="3"/>
      <c r="O255" s="3"/>
      <c r="P255" s="8"/>
      <c r="Q255" s="8"/>
      <c r="R255" s="3"/>
      <c r="S255" s="3"/>
      <c r="T255" s="3"/>
      <c r="U255" s="5" t="str">
        <f t="shared" ref="U255:U270" si="13">IF(I255="","",IF(I255="NA","Grey",IF(I255=2,"Green",IF(I255=1,"Amber","Red"))))</f>
        <v/>
      </c>
    </row>
    <row r="256" spans="1:21" ht="28" customHeight="1" x14ac:dyDescent="0.35">
      <c r="A256" s="4">
        <v>2</v>
      </c>
      <c r="B256" s="4" t="s">
        <v>53</v>
      </c>
      <c r="C256" s="4" t="s">
        <v>560</v>
      </c>
      <c r="D256" s="4" t="s">
        <v>561</v>
      </c>
      <c r="E256" s="4" t="s">
        <v>56</v>
      </c>
      <c r="F256" s="4" t="s">
        <v>57</v>
      </c>
      <c r="G256" s="4" t="s">
        <v>58</v>
      </c>
      <c r="H256" s="4" t="s">
        <v>59</v>
      </c>
      <c r="I256" s="3"/>
      <c r="J256" s="3"/>
      <c r="K256" s="3"/>
      <c r="L256" s="3"/>
      <c r="M256" s="3"/>
      <c r="N256" s="3"/>
      <c r="O256" s="3"/>
      <c r="P256" s="8"/>
      <c r="Q256" s="8"/>
      <c r="R256" s="3"/>
      <c r="S256" s="3"/>
      <c r="T256" s="3"/>
      <c r="U256" s="5" t="str">
        <f t="shared" si="13"/>
        <v/>
      </c>
    </row>
    <row r="257" spans="1:21" ht="28" customHeight="1" x14ac:dyDescent="0.35">
      <c r="A257" s="4">
        <v>3</v>
      </c>
      <c r="B257" s="4" t="s">
        <v>53</v>
      </c>
      <c r="C257" s="4" t="s">
        <v>562</v>
      </c>
      <c r="D257" s="4" t="s">
        <v>563</v>
      </c>
      <c r="E257" s="4" t="s">
        <v>56</v>
      </c>
      <c r="F257" s="4" t="s">
        <v>57</v>
      </c>
      <c r="G257" s="4" t="s">
        <v>58</v>
      </c>
      <c r="H257" s="4" t="s">
        <v>59</v>
      </c>
      <c r="I257" s="3"/>
      <c r="J257" s="3"/>
      <c r="K257" s="3"/>
      <c r="L257" s="3"/>
      <c r="M257" s="3"/>
      <c r="N257" s="3"/>
      <c r="O257" s="3"/>
      <c r="P257" s="8"/>
      <c r="Q257" s="8"/>
      <c r="R257" s="3"/>
      <c r="S257" s="3"/>
      <c r="T257" s="3"/>
      <c r="U257" s="5" t="str">
        <f t="shared" si="13"/>
        <v/>
      </c>
    </row>
    <row r="258" spans="1:21" ht="28" customHeight="1" x14ac:dyDescent="0.35">
      <c r="A258" s="4">
        <v>4</v>
      </c>
      <c r="B258" s="4" t="s">
        <v>53</v>
      </c>
      <c r="C258" s="4" t="s">
        <v>564</v>
      </c>
      <c r="D258" s="4" t="s">
        <v>565</v>
      </c>
      <c r="E258" s="4" t="s">
        <v>56</v>
      </c>
      <c r="F258" s="4" t="s">
        <v>57</v>
      </c>
      <c r="G258" s="4" t="s">
        <v>58</v>
      </c>
      <c r="H258" s="4" t="s">
        <v>59</v>
      </c>
      <c r="I258" s="3"/>
      <c r="J258" s="3"/>
      <c r="K258" s="3"/>
      <c r="L258" s="3"/>
      <c r="M258" s="3"/>
      <c r="N258" s="3"/>
      <c r="O258" s="3"/>
      <c r="P258" s="8"/>
      <c r="Q258" s="8"/>
      <c r="R258" s="3"/>
      <c r="S258" s="3"/>
      <c r="T258" s="3"/>
      <c r="U258" s="5" t="str">
        <f t="shared" si="13"/>
        <v/>
      </c>
    </row>
    <row r="259" spans="1:21" ht="28" customHeight="1" x14ac:dyDescent="0.35">
      <c r="A259" s="4">
        <v>5</v>
      </c>
      <c r="B259" s="4" t="s">
        <v>66</v>
      </c>
      <c r="C259" s="4" t="s">
        <v>67</v>
      </c>
      <c r="D259" s="4" t="s">
        <v>68</v>
      </c>
      <c r="E259" s="4" t="s">
        <v>69</v>
      </c>
      <c r="F259" s="4" t="s">
        <v>57</v>
      </c>
      <c r="G259" s="4" t="s">
        <v>58</v>
      </c>
      <c r="H259" s="4" t="s">
        <v>59</v>
      </c>
      <c r="I259" s="3"/>
      <c r="J259" s="3"/>
      <c r="K259" s="3"/>
      <c r="L259" s="3"/>
      <c r="M259" s="3"/>
      <c r="N259" s="3"/>
      <c r="O259" s="3"/>
      <c r="P259" s="8"/>
      <c r="Q259" s="8"/>
      <c r="R259" s="3"/>
      <c r="S259" s="3"/>
      <c r="T259" s="3"/>
      <c r="U259" s="5" t="str">
        <f t="shared" si="13"/>
        <v/>
      </c>
    </row>
    <row r="260" spans="1:21" ht="28" customHeight="1" x14ac:dyDescent="0.35">
      <c r="A260" s="4">
        <v>6</v>
      </c>
      <c r="B260" s="4" t="s">
        <v>70</v>
      </c>
      <c r="C260" s="4" t="s">
        <v>71</v>
      </c>
      <c r="D260" s="4" t="s">
        <v>72</v>
      </c>
      <c r="E260" s="4" t="s">
        <v>70</v>
      </c>
      <c r="F260" s="4" t="s">
        <v>57</v>
      </c>
      <c r="G260" s="4" t="s">
        <v>58</v>
      </c>
      <c r="H260" s="4" t="s">
        <v>59</v>
      </c>
      <c r="I260" s="3"/>
      <c r="J260" s="3"/>
      <c r="K260" s="3"/>
      <c r="L260" s="3"/>
      <c r="M260" s="3"/>
      <c r="N260" s="3"/>
      <c r="O260" s="3"/>
      <c r="P260" s="8"/>
      <c r="Q260" s="8"/>
      <c r="R260" s="3"/>
      <c r="S260" s="3"/>
      <c r="T260" s="3"/>
      <c r="U260" s="5" t="str">
        <f t="shared" si="13"/>
        <v/>
      </c>
    </row>
    <row r="261" spans="1:21" ht="28" customHeight="1" x14ac:dyDescent="0.35">
      <c r="A261" s="4">
        <v>7</v>
      </c>
      <c r="B261" s="4" t="s">
        <v>73</v>
      </c>
      <c r="C261" s="4" t="s">
        <v>74</v>
      </c>
      <c r="D261" s="4" t="s">
        <v>75</v>
      </c>
      <c r="E261" s="4" t="s">
        <v>69</v>
      </c>
      <c r="F261" s="4" t="s">
        <v>57</v>
      </c>
      <c r="G261" s="4" t="s">
        <v>58</v>
      </c>
      <c r="H261" s="4" t="s">
        <v>76</v>
      </c>
      <c r="I261" s="3"/>
      <c r="J261" s="3"/>
      <c r="K261" s="3"/>
      <c r="L261" s="3"/>
      <c r="M261" s="3"/>
      <c r="N261" s="3"/>
      <c r="O261" s="3"/>
      <c r="P261" s="8"/>
      <c r="Q261" s="8"/>
      <c r="R261" s="3"/>
      <c r="S261" s="3"/>
      <c r="T261" s="3"/>
      <c r="U261" s="5" t="str">
        <f t="shared" si="13"/>
        <v/>
      </c>
    </row>
    <row r="262" spans="1:21" ht="28" customHeight="1" x14ac:dyDescent="0.35">
      <c r="A262" s="4">
        <v>8</v>
      </c>
      <c r="B262" s="4" t="s">
        <v>77</v>
      </c>
      <c r="C262" s="4" t="s">
        <v>78</v>
      </c>
      <c r="D262" s="4" t="s">
        <v>79</v>
      </c>
      <c r="E262" s="4" t="s">
        <v>80</v>
      </c>
      <c r="F262" s="4" t="s">
        <v>57</v>
      </c>
      <c r="G262" s="4" t="s">
        <v>58</v>
      </c>
      <c r="H262" s="4" t="s">
        <v>59</v>
      </c>
      <c r="I262" s="3"/>
      <c r="J262" s="3"/>
      <c r="K262" s="3"/>
      <c r="L262" s="3"/>
      <c r="M262" s="3"/>
      <c r="N262" s="3"/>
      <c r="O262" s="3"/>
      <c r="P262" s="8"/>
      <c r="Q262" s="8"/>
      <c r="R262" s="3"/>
      <c r="S262" s="3"/>
      <c r="T262" s="3"/>
      <c r="U262" s="5" t="str">
        <f t="shared" si="13"/>
        <v/>
      </c>
    </row>
    <row r="263" spans="1:21" ht="28" customHeight="1" x14ac:dyDescent="0.35">
      <c r="A263" s="4">
        <v>9</v>
      </c>
      <c r="B263" s="4" t="s">
        <v>81</v>
      </c>
      <c r="C263" s="4" t="s">
        <v>82</v>
      </c>
      <c r="D263" s="4" t="s">
        <v>83</v>
      </c>
      <c r="E263" s="4" t="s">
        <v>84</v>
      </c>
      <c r="F263" s="4" t="s">
        <v>57</v>
      </c>
      <c r="G263" s="4" t="s">
        <v>58</v>
      </c>
      <c r="H263" s="4" t="s">
        <v>85</v>
      </c>
      <c r="I263" s="3"/>
      <c r="J263" s="3"/>
      <c r="K263" s="3"/>
      <c r="L263" s="3"/>
      <c r="M263" s="3"/>
      <c r="N263" s="3"/>
      <c r="O263" s="3"/>
      <c r="P263" s="8"/>
      <c r="Q263" s="8"/>
      <c r="R263" s="3"/>
      <c r="S263" s="3"/>
      <c r="T263" s="3"/>
      <c r="U263" s="5" t="str">
        <f t="shared" si="13"/>
        <v/>
      </c>
    </row>
    <row r="264" spans="1:21" ht="28" customHeight="1" x14ac:dyDescent="0.35">
      <c r="A264" s="4">
        <v>10</v>
      </c>
      <c r="B264" s="4" t="s">
        <v>86</v>
      </c>
      <c r="C264" s="4" t="s">
        <v>87</v>
      </c>
      <c r="D264" s="4" t="s">
        <v>88</v>
      </c>
      <c r="E264" s="4" t="s">
        <v>69</v>
      </c>
      <c r="F264" s="4" t="s">
        <v>57</v>
      </c>
      <c r="G264" s="4" t="s">
        <v>58</v>
      </c>
      <c r="H264" s="4" t="s">
        <v>59</v>
      </c>
      <c r="I264" s="3"/>
      <c r="J264" s="3"/>
      <c r="K264" s="3"/>
      <c r="L264" s="3"/>
      <c r="M264" s="3"/>
      <c r="N264" s="3"/>
      <c r="O264" s="3"/>
      <c r="P264" s="8"/>
      <c r="Q264" s="8"/>
      <c r="R264" s="3"/>
      <c r="S264" s="3"/>
      <c r="T264" s="3"/>
      <c r="U264" s="5" t="str">
        <f t="shared" si="13"/>
        <v/>
      </c>
    </row>
    <row r="265" spans="1:21" ht="28" customHeight="1" x14ac:dyDescent="0.35">
      <c r="A265" s="4">
        <v>11</v>
      </c>
      <c r="B265" s="4" t="s">
        <v>89</v>
      </c>
      <c r="C265" s="4" t="s">
        <v>90</v>
      </c>
      <c r="D265" s="4" t="s">
        <v>91</v>
      </c>
      <c r="E265" s="4" t="s">
        <v>84</v>
      </c>
      <c r="F265" s="4" t="s">
        <v>57</v>
      </c>
      <c r="G265" s="4" t="s">
        <v>58</v>
      </c>
      <c r="H265" s="4" t="s">
        <v>59</v>
      </c>
      <c r="I265" s="3"/>
      <c r="J265" s="3"/>
      <c r="K265" s="3"/>
      <c r="L265" s="3"/>
      <c r="M265" s="3"/>
      <c r="N265" s="3"/>
      <c r="O265" s="3"/>
      <c r="P265" s="8"/>
      <c r="Q265" s="8"/>
      <c r="R265" s="3"/>
      <c r="S265" s="3"/>
      <c r="T265" s="3"/>
      <c r="U265" s="5" t="str">
        <f t="shared" si="13"/>
        <v/>
      </c>
    </row>
    <row r="266" spans="1:21" ht="28" customHeight="1" x14ac:dyDescent="0.35">
      <c r="A266" s="4">
        <v>12</v>
      </c>
      <c r="B266" s="4" t="s">
        <v>92</v>
      </c>
      <c r="C266" s="4" t="s">
        <v>93</v>
      </c>
      <c r="D266" s="4" t="s">
        <v>94</v>
      </c>
      <c r="E266" s="4" t="s">
        <v>69</v>
      </c>
      <c r="F266" s="4" t="s">
        <v>95</v>
      </c>
      <c r="G266" s="4" t="s">
        <v>96</v>
      </c>
      <c r="H266" s="4" t="s">
        <v>59</v>
      </c>
      <c r="I266" s="3"/>
      <c r="J266" s="3"/>
      <c r="K266" s="3"/>
      <c r="L266" s="3"/>
      <c r="M266" s="3"/>
      <c r="N266" s="3"/>
      <c r="O266" s="3"/>
      <c r="P266" s="8"/>
      <c r="Q266" s="8"/>
      <c r="R266" s="3"/>
      <c r="S266" s="3"/>
      <c r="T266" s="3"/>
      <c r="U266" s="5" t="str">
        <f t="shared" si="13"/>
        <v/>
      </c>
    </row>
    <row r="267" spans="1:21" ht="28" customHeight="1" x14ac:dyDescent="0.35">
      <c r="A267" s="4">
        <v>13</v>
      </c>
      <c r="B267" s="4" t="s">
        <v>97</v>
      </c>
      <c r="C267" s="4" t="s">
        <v>98</v>
      </c>
      <c r="D267" s="4" t="s">
        <v>99</v>
      </c>
      <c r="E267" s="4" t="s">
        <v>69</v>
      </c>
      <c r="F267" s="4" t="s">
        <v>95</v>
      </c>
      <c r="G267" s="4" t="s">
        <v>96</v>
      </c>
      <c r="H267" s="4" t="s">
        <v>59</v>
      </c>
      <c r="I267" s="3"/>
      <c r="J267" s="3"/>
      <c r="K267" s="3"/>
      <c r="L267" s="3"/>
      <c r="M267" s="3"/>
      <c r="N267" s="3"/>
      <c r="O267" s="3"/>
      <c r="P267" s="8"/>
      <c r="Q267" s="8"/>
      <c r="R267" s="3"/>
      <c r="S267" s="3"/>
      <c r="T267" s="3"/>
      <c r="U267" s="5" t="str">
        <f t="shared" si="13"/>
        <v/>
      </c>
    </row>
    <row r="268" spans="1:21" ht="28" customHeight="1" x14ac:dyDescent="0.35">
      <c r="A268" s="4">
        <v>14</v>
      </c>
      <c r="B268" s="4" t="s">
        <v>97</v>
      </c>
      <c r="C268" s="4" t="s">
        <v>100</v>
      </c>
      <c r="D268" s="4" t="s">
        <v>101</v>
      </c>
      <c r="E268" s="4" t="s">
        <v>69</v>
      </c>
      <c r="F268" s="4" t="s">
        <v>95</v>
      </c>
      <c r="G268" s="4" t="s">
        <v>102</v>
      </c>
      <c r="H268" s="4" t="s">
        <v>59</v>
      </c>
      <c r="I268" s="3"/>
      <c r="J268" s="3"/>
      <c r="K268" s="3"/>
      <c r="L268" s="3"/>
      <c r="M268" s="3"/>
      <c r="N268" s="3"/>
      <c r="O268" s="3"/>
      <c r="P268" s="8"/>
      <c r="Q268" s="8"/>
      <c r="R268" s="3"/>
      <c r="S268" s="3"/>
      <c r="T268" s="3"/>
      <c r="U268" s="5" t="str">
        <f t="shared" si="13"/>
        <v/>
      </c>
    </row>
    <row r="269" spans="1:21" ht="28" customHeight="1" x14ac:dyDescent="0.35">
      <c r="A269" s="4">
        <v>15</v>
      </c>
      <c r="B269" s="4" t="s">
        <v>103</v>
      </c>
      <c r="C269" s="4" t="s">
        <v>104</v>
      </c>
      <c r="D269" s="4" t="s">
        <v>105</v>
      </c>
      <c r="E269" s="4" t="s">
        <v>69</v>
      </c>
      <c r="F269" s="4" t="s">
        <v>95</v>
      </c>
      <c r="G269" s="4" t="s">
        <v>96</v>
      </c>
      <c r="H269" s="4" t="s">
        <v>85</v>
      </c>
      <c r="I269" s="3"/>
      <c r="J269" s="3"/>
      <c r="K269" s="3"/>
      <c r="L269" s="3"/>
      <c r="M269" s="3"/>
      <c r="N269" s="3"/>
      <c r="O269" s="3"/>
      <c r="P269" s="8"/>
      <c r="Q269" s="8"/>
      <c r="R269" s="3"/>
      <c r="S269" s="3"/>
      <c r="T269" s="3"/>
      <c r="U269" s="5" t="str">
        <f t="shared" si="13"/>
        <v/>
      </c>
    </row>
    <row r="270" spans="1:21" ht="28" customHeight="1" x14ac:dyDescent="0.35">
      <c r="A270" s="4">
        <v>16</v>
      </c>
      <c r="B270" s="4" t="s">
        <v>106</v>
      </c>
      <c r="C270" s="4" t="s">
        <v>107</v>
      </c>
      <c r="D270" s="4" t="s">
        <v>108</v>
      </c>
      <c r="E270" s="4" t="s">
        <v>109</v>
      </c>
      <c r="F270" s="4" t="s">
        <v>95</v>
      </c>
      <c r="G270" s="4" t="s">
        <v>96</v>
      </c>
      <c r="H270" s="4" t="s">
        <v>59</v>
      </c>
      <c r="I270" s="3"/>
      <c r="J270" s="3"/>
      <c r="K270" s="3"/>
      <c r="L270" s="3"/>
      <c r="M270" s="3"/>
      <c r="N270" s="3"/>
      <c r="O270" s="3"/>
      <c r="P270" s="8"/>
      <c r="Q270" s="8"/>
      <c r="R270" s="3"/>
      <c r="S270" s="3"/>
      <c r="T270" s="3"/>
      <c r="U270" s="5" t="str">
        <f t="shared" si="13"/>
        <v/>
      </c>
    </row>
    <row r="272" spans="1:21" ht="28" customHeight="1" x14ac:dyDescent="0.35">
      <c r="A272" s="9" t="s">
        <v>110</v>
      </c>
      <c r="B272" s="16"/>
      <c r="C272" s="17"/>
      <c r="D272" s="17"/>
      <c r="E272" s="17"/>
      <c r="F272" s="17"/>
      <c r="G272" s="17"/>
      <c r="H272" s="17"/>
      <c r="I272" s="17"/>
      <c r="J272" s="17"/>
      <c r="K272" s="17"/>
      <c r="L272" s="17"/>
      <c r="M272" s="17"/>
      <c r="N272" s="17"/>
      <c r="O272" s="17"/>
      <c r="P272" s="17"/>
      <c r="Q272" s="17"/>
      <c r="R272" s="17"/>
      <c r="S272" s="17"/>
      <c r="T272" s="17"/>
      <c r="U272" s="18"/>
    </row>
  </sheetData>
  <sheetProtection sheet="1" objects="1" scenarios="1" formatCells="0" formatColumns="0" formatRows="0" insertRows="0" sort="0" autoFilter="0"/>
  <autoFilter ref="A4:O16" xr:uid="{00000000-0009-0000-0000-00000B000000}"/>
  <mergeCells count="26">
    <mergeCell ref="A1:U1"/>
    <mergeCell ref="B104:U104"/>
    <mergeCell ref="B251:U251"/>
    <mergeCell ref="A168:U168"/>
    <mergeCell ref="B2:U2"/>
    <mergeCell ref="A126:U126"/>
    <mergeCell ref="A231:U231"/>
    <mergeCell ref="A147:U147"/>
    <mergeCell ref="A63:U63"/>
    <mergeCell ref="B230:U230"/>
    <mergeCell ref="B146:U146"/>
    <mergeCell ref="B83:U83"/>
    <mergeCell ref="A21:U21"/>
    <mergeCell ref="A210:U210"/>
    <mergeCell ref="B167:U167"/>
    <mergeCell ref="B272:U272"/>
    <mergeCell ref="A42:U42"/>
    <mergeCell ref="B41:U41"/>
    <mergeCell ref="B188:U188"/>
    <mergeCell ref="A252:U252"/>
    <mergeCell ref="B62:U62"/>
    <mergeCell ref="B209:U209"/>
    <mergeCell ref="A84:U84"/>
    <mergeCell ref="B125:U125"/>
    <mergeCell ref="A189:U189"/>
    <mergeCell ref="A105:U105"/>
  </mergeCells>
  <conditionalFormatting sqref="G5:G16">
    <cfRule type="colorScale" priority="53">
      <colorScale>
        <cfvo type="min"/>
        <cfvo type="percentile" val="50"/>
        <cfvo type="max"/>
        <color rgb="FFF8696B"/>
        <color rgb="FFFFEB84"/>
        <color rgb="FF63BE7B"/>
      </colorScale>
    </cfRule>
  </conditionalFormatting>
  <conditionalFormatting sqref="H5:H16">
    <cfRule type="containsText" dxfId="311" priority="49" operator="containsText" text="Red">
      <formula>NOT(ISERROR(SEARCH("Red",H5)))</formula>
    </cfRule>
    <cfRule type="containsText" dxfId="310" priority="50" operator="containsText" text="Amber">
      <formula>NOT(ISERROR(SEARCH("Amber",H5)))</formula>
    </cfRule>
    <cfRule type="containsText" dxfId="309" priority="51" operator="containsText" text="Green">
      <formula>NOT(ISERROR(SEARCH("Green",H5)))</formula>
    </cfRule>
    <cfRule type="containsText" dxfId="308" priority="52" operator="containsText" text="Not Started">
      <formula>NOT(ISERROR(SEARCH("Not Started",H5)))</formula>
    </cfRule>
  </conditionalFormatting>
  <conditionalFormatting sqref="U24:U39">
    <cfRule type="containsText" dxfId="307" priority="1" operator="containsText" text="Red">
      <formula>NOT(ISERROR(SEARCH("Red",U24)))</formula>
    </cfRule>
    <cfRule type="containsText" dxfId="306" priority="2" operator="containsText" text="Amber">
      <formula>NOT(ISERROR(SEARCH("Amber",U24)))</formula>
    </cfRule>
    <cfRule type="containsText" dxfId="305" priority="3" operator="containsText" text="Green">
      <formula>NOT(ISERROR(SEARCH("Green",U24)))</formula>
    </cfRule>
    <cfRule type="containsText" dxfId="304" priority="4" operator="containsText" text="Grey">
      <formula>NOT(ISERROR(SEARCH("Grey",U24)))</formula>
    </cfRule>
  </conditionalFormatting>
  <conditionalFormatting sqref="U45:U60">
    <cfRule type="containsText" dxfId="303" priority="5" operator="containsText" text="Red">
      <formula>NOT(ISERROR(SEARCH("Red",U45)))</formula>
    </cfRule>
    <cfRule type="containsText" dxfId="302" priority="6" operator="containsText" text="Amber">
      <formula>NOT(ISERROR(SEARCH("Amber",U45)))</formula>
    </cfRule>
    <cfRule type="containsText" dxfId="301" priority="7" operator="containsText" text="Green">
      <formula>NOT(ISERROR(SEARCH("Green",U45)))</formula>
    </cfRule>
    <cfRule type="containsText" dxfId="300" priority="8" operator="containsText" text="Grey">
      <formula>NOT(ISERROR(SEARCH("Grey",U45)))</formula>
    </cfRule>
  </conditionalFormatting>
  <conditionalFormatting sqref="U66:U81">
    <cfRule type="containsText" dxfId="299" priority="9" operator="containsText" text="Red">
      <formula>NOT(ISERROR(SEARCH("Red",U66)))</formula>
    </cfRule>
    <cfRule type="containsText" dxfId="298" priority="10" operator="containsText" text="Amber">
      <formula>NOT(ISERROR(SEARCH("Amber",U66)))</formula>
    </cfRule>
    <cfRule type="containsText" dxfId="297" priority="11" operator="containsText" text="Green">
      <formula>NOT(ISERROR(SEARCH("Green",U66)))</formula>
    </cfRule>
    <cfRule type="containsText" dxfId="296" priority="12" operator="containsText" text="Grey">
      <formula>NOT(ISERROR(SEARCH("Grey",U66)))</formula>
    </cfRule>
  </conditionalFormatting>
  <conditionalFormatting sqref="U87:U102">
    <cfRule type="containsText" dxfId="295" priority="13" operator="containsText" text="Red">
      <formula>NOT(ISERROR(SEARCH("Red",U87)))</formula>
    </cfRule>
    <cfRule type="containsText" dxfId="294" priority="14" operator="containsText" text="Amber">
      <formula>NOT(ISERROR(SEARCH("Amber",U87)))</formula>
    </cfRule>
    <cfRule type="containsText" dxfId="293" priority="15" operator="containsText" text="Green">
      <formula>NOT(ISERROR(SEARCH("Green",U87)))</formula>
    </cfRule>
    <cfRule type="containsText" dxfId="292" priority="16" operator="containsText" text="Grey">
      <formula>NOT(ISERROR(SEARCH("Grey",U87)))</formula>
    </cfRule>
  </conditionalFormatting>
  <conditionalFormatting sqref="U108:U123">
    <cfRule type="containsText" dxfId="291" priority="17" operator="containsText" text="Red">
      <formula>NOT(ISERROR(SEARCH("Red",U108)))</formula>
    </cfRule>
    <cfRule type="containsText" dxfId="290" priority="18" operator="containsText" text="Amber">
      <formula>NOT(ISERROR(SEARCH("Amber",U108)))</formula>
    </cfRule>
    <cfRule type="containsText" dxfId="289" priority="19" operator="containsText" text="Green">
      <formula>NOT(ISERROR(SEARCH("Green",U108)))</formula>
    </cfRule>
    <cfRule type="containsText" dxfId="288" priority="20" operator="containsText" text="Grey">
      <formula>NOT(ISERROR(SEARCH("Grey",U108)))</formula>
    </cfRule>
  </conditionalFormatting>
  <conditionalFormatting sqref="U129:U144">
    <cfRule type="containsText" dxfId="287" priority="21" operator="containsText" text="Red">
      <formula>NOT(ISERROR(SEARCH("Red",U129)))</formula>
    </cfRule>
    <cfRule type="containsText" dxfId="286" priority="22" operator="containsText" text="Amber">
      <formula>NOT(ISERROR(SEARCH("Amber",U129)))</formula>
    </cfRule>
    <cfRule type="containsText" dxfId="285" priority="23" operator="containsText" text="Green">
      <formula>NOT(ISERROR(SEARCH("Green",U129)))</formula>
    </cfRule>
    <cfRule type="containsText" dxfId="284" priority="24" operator="containsText" text="Grey">
      <formula>NOT(ISERROR(SEARCH("Grey",U129)))</formula>
    </cfRule>
  </conditionalFormatting>
  <conditionalFormatting sqref="U150:U165">
    <cfRule type="containsText" dxfId="283" priority="26" operator="containsText" text="Amber">
      <formula>NOT(ISERROR(SEARCH("Amber",U150)))</formula>
    </cfRule>
    <cfRule type="containsText" dxfId="282" priority="27" operator="containsText" text="Green">
      <formula>NOT(ISERROR(SEARCH("Green",U150)))</formula>
    </cfRule>
    <cfRule type="containsText" dxfId="281" priority="28" operator="containsText" text="Grey">
      <formula>NOT(ISERROR(SEARCH("Grey",U150)))</formula>
    </cfRule>
    <cfRule type="containsText" dxfId="280" priority="25" operator="containsText" text="Red">
      <formula>NOT(ISERROR(SEARCH("Red",U150)))</formula>
    </cfRule>
  </conditionalFormatting>
  <conditionalFormatting sqref="U171:U186">
    <cfRule type="containsText" dxfId="279" priority="29" operator="containsText" text="Red">
      <formula>NOT(ISERROR(SEARCH("Red",U171)))</formula>
    </cfRule>
    <cfRule type="containsText" dxfId="278" priority="30" operator="containsText" text="Amber">
      <formula>NOT(ISERROR(SEARCH("Amber",U171)))</formula>
    </cfRule>
    <cfRule type="containsText" dxfId="277" priority="31" operator="containsText" text="Green">
      <formula>NOT(ISERROR(SEARCH("Green",U171)))</formula>
    </cfRule>
    <cfRule type="containsText" dxfId="276" priority="32" operator="containsText" text="Grey">
      <formula>NOT(ISERROR(SEARCH("Grey",U171)))</formula>
    </cfRule>
  </conditionalFormatting>
  <conditionalFormatting sqref="U192:U207">
    <cfRule type="containsText" dxfId="275" priority="34" operator="containsText" text="Amber">
      <formula>NOT(ISERROR(SEARCH("Amber",U192)))</formula>
    </cfRule>
    <cfRule type="containsText" dxfId="274" priority="35" operator="containsText" text="Green">
      <formula>NOT(ISERROR(SEARCH("Green",U192)))</formula>
    </cfRule>
    <cfRule type="containsText" dxfId="273" priority="36" operator="containsText" text="Grey">
      <formula>NOT(ISERROR(SEARCH("Grey",U192)))</formula>
    </cfRule>
    <cfRule type="containsText" dxfId="272" priority="33" operator="containsText" text="Red">
      <formula>NOT(ISERROR(SEARCH("Red",U192)))</formula>
    </cfRule>
  </conditionalFormatting>
  <conditionalFormatting sqref="U213:U228">
    <cfRule type="containsText" dxfId="271" priority="37" operator="containsText" text="Red">
      <formula>NOT(ISERROR(SEARCH("Red",U213)))</formula>
    </cfRule>
    <cfRule type="containsText" dxfId="270" priority="38" operator="containsText" text="Amber">
      <formula>NOT(ISERROR(SEARCH("Amber",U213)))</formula>
    </cfRule>
    <cfRule type="containsText" dxfId="269" priority="39" operator="containsText" text="Green">
      <formula>NOT(ISERROR(SEARCH("Green",U213)))</formula>
    </cfRule>
    <cfRule type="containsText" dxfId="268" priority="40" operator="containsText" text="Grey">
      <formula>NOT(ISERROR(SEARCH("Grey",U213)))</formula>
    </cfRule>
  </conditionalFormatting>
  <conditionalFormatting sqref="U234:U249">
    <cfRule type="containsText" dxfId="267" priority="42" operator="containsText" text="Amber">
      <formula>NOT(ISERROR(SEARCH("Amber",U234)))</formula>
    </cfRule>
    <cfRule type="containsText" dxfId="266" priority="43" operator="containsText" text="Green">
      <formula>NOT(ISERROR(SEARCH("Green",U234)))</formula>
    </cfRule>
    <cfRule type="containsText" dxfId="265" priority="44" operator="containsText" text="Grey">
      <formula>NOT(ISERROR(SEARCH("Grey",U234)))</formula>
    </cfRule>
    <cfRule type="containsText" dxfId="264" priority="41" operator="containsText" text="Red">
      <formula>NOT(ISERROR(SEARCH("Red",U234)))</formula>
    </cfRule>
  </conditionalFormatting>
  <conditionalFormatting sqref="U255:U270">
    <cfRule type="containsText" dxfId="263" priority="45" operator="containsText" text="Red">
      <formula>NOT(ISERROR(SEARCH("Red",U255)))</formula>
    </cfRule>
    <cfRule type="containsText" dxfId="262" priority="46" operator="containsText" text="Amber">
      <formula>NOT(ISERROR(SEARCH("Amber",U255)))</formula>
    </cfRule>
    <cfRule type="containsText" dxfId="261" priority="48" operator="containsText" text="Grey">
      <formula>NOT(ISERROR(SEARCH("Grey",U255)))</formula>
    </cfRule>
    <cfRule type="containsText" dxfId="260" priority="47" operator="containsText" text="Green">
      <formula>NOT(ISERROR(SEARCH("Green",U255)))</formula>
    </cfRule>
  </conditionalFormatting>
  <dataValidations count="4">
    <dataValidation type="list" allowBlank="1" showInputMessage="1" showErrorMessage="1" sqref="I24:I39 I45:I60 I66:I81 I87:I102 I108:I123 I129:I144 I150:I165 I171:I186 I192:I207 I213:I228 I234:I249 I255:I270" xr:uid="{00000000-0002-0000-0B00-000000000000}">
      <formula1>"2,1,0,NA"</formula1>
    </dataValidation>
    <dataValidation type="list" allowBlank="1" showInputMessage="1" showErrorMessage="1" sqref="H24:H39 H45:H60 H66:H81 H87:H102 H108:H123 H129:H144 H150:H165 H171:H186 H192:H207 H213:H228 H234:H249 H255:H270" xr:uid="{00000000-0002-0000-0B00-000001000000}">
      <formula1>"Critical,High,Medium,Low"</formula1>
    </dataValidation>
    <dataValidation type="list" allowBlank="1" showInputMessage="1" showErrorMessage="1" sqref="S24:S39 S45:S60 S66:S81 S87:S102 S108:S123 S129:S144 S150:S165 S171:S186 S192:S207 S213:S228 S234:S249 S255:S270" xr:uid="{00000000-0002-0000-0B00-000002000000}">
      <formula1>"Yes,No,N/A"</formula1>
    </dataValidation>
    <dataValidation type="list" allowBlank="1" showInputMessage="1" showErrorMessage="1" sqref="T24:T39 T45:T60 T66:T81 T87:T102 T108:T123 T129:T144 T150:T165 T171:T186 T192:T207 T213:T228 T234:T249 T255:T270" xr:uid="{00000000-0002-0000-0B00-000003000000}">
      <formula1>"Not Started,In Progress,Completed,Verified,Closed"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72"/>
  <sheetViews>
    <sheetView showGridLines="0" workbookViewId="0"/>
  </sheetViews>
  <sheetFormatPr defaultRowHeight="28" customHeight="1" x14ac:dyDescent="0.35"/>
  <cols>
    <col min="1" max="1" width="7.7265625" customWidth="1"/>
    <col min="2" max="2" width="18.7265625" customWidth="1"/>
    <col min="3" max="3" width="42.7265625" customWidth="1"/>
    <col min="4" max="4" width="28.7265625" customWidth="1"/>
    <col min="5" max="6" width="18.7265625" customWidth="1"/>
    <col min="7" max="7" width="24.7265625" customWidth="1"/>
    <col min="8" max="9" width="13.7265625" customWidth="1"/>
    <col min="10" max="10" width="28.7265625" customWidth="1"/>
    <col min="11" max="11" width="30.7265625" customWidth="1"/>
    <col min="12" max="12" width="32.7265625" customWidth="1"/>
    <col min="13" max="13" width="28.7265625" customWidth="1"/>
    <col min="14" max="14" width="32.7265625" customWidth="1"/>
    <col min="15" max="15" width="20.7265625" customWidth="1"/>
    <col min="16" max="17" width="13.7265625" customWidth="1"/>
    <col min="18" max="18" width="18.7265625" customWidth="1"/>
    <col min="19" max="20" width="14.7265625" customWidth="1"/>
    <col min="21" max="21" width="10.7265625" customWidth="1"/>
  </cols>
  <sheetData>
    <row r="1" spans="1:21" ht="28" customHeight="1" x14ac:dyDescent="0.35">
      <c r="A1" s="24" t="s">
        <v>577</v>
      </c>
      <c r="B1" s="20"/>
      <c r="C1" s="20"/>
      <c r="D1" s="20"/>
      <c r="E1" s="20"/>
      <c r="F1" s="20"/>
      <c r="G1" s="20"/>
      <c r="H1" s="20"/>
      <c r="I1" s="20"/>
      <c r="J1" s="20"/>
      <c r="K1" s="20"/>
      <c r="L1" s="20"/>
      <c r="M1" s="20"/>
      <c r="N1" s="20"/>
      <c r="O1" s="20"/>
      <c r="P1" s="20"/>
      <c r="Q1" s="20"/>
      <c r="R1" s="20"/>
      <c r="S1" s="20"/>
      <c r="T1" s="20"/>
      <c r="U1" s="21"/>
    </row>
    <row r="2" spans="1:21" ht="28" customHeight="1" x14ac:dyDescent="0.35">
      <c r="A2" s="9" t="s">
        <v>1</v>
      </c>
      <c r="B2" s="22" t="s">
        <v>2</v>
      </c>
      <c r="C2" s="23"/>
      <c r="D2" s="23"/>
      <c r="E2" s="23"/>
      <c r="F2" s="23"/>
      <c r="G2" s="23"/>
      <c r="H2" s="23"/>
      <c r="I2" s="23"/>
      <c r="J2" s="23"/>
      <c r="K2" s="23"/>
      <c r="L2" s="23"/>
      <c r="M2" s="23"/>
      <c r="N2" s="23"/>
      <c r="O2" s="23"/>
      <c r="P2" s="23"/>
      <c r="Q2" s="23"/>
      <c r="R2" s="23"/>
      <c r="S2" s="23"/>
      <c r="T2" s="23"/>
      <c r="U2" s="23"/>
    </row>
    <row r="4" spans="1:21" ht="28" customHeight="1" x14ac:dyDescent="0.3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21" ht="28" customHeight="1" x14ac:dyDescent="0.35">
      <c r="A5" s="4" t="s">
        <v>18</v>
      </c>
      <c r="B5" s="7">
        <v>46050</v>
      </c>
      <c r="C5" s="8"/>
      <c r="D5" s="3"/>
      <c r="E5" s="5">
        <f>SUMIF(I24:I39,"&gt;=0",I24:I39)</f>
        <v>0</v>
      </c>
      <c r="F5" s="5">
        <f>COUNT(I24:I39)*2</f>
        <v>0</v>
      </c>
      <c r="G5" s="6" t="str">
        <f t="shared" ref="G5:G16" si="0">IF(F5=0,"",E5/F5)</f>
        <v/>
      </c>
      <c r="H5" s="5" t="str">
        <f t="shared" ref="H5:H16" si="1">IF(G5="","Not Started",IF(G5&gt;=0.9,"Green",IF(G5&gt;=0.75,"Amber","Red")))</f>
        <v>Not Started</v>
      </c>
      <c r="I5" s="5">
        <f>COUNTIFS(H24:H39,"Critical",I24:I39,"&lt;2")+COUNTIFS(H24:H39,"High",I24:I39,"&lt;2")</f>
        <v>0</v>
      </c>
      <c r="J5" s="5">
        <f>COUNTIF(T24:T39,"In Progress")+COUNTIF(T24:T39,"Not Started")</f>
        <v>0</v>
      </c>
      <c r="K5" s="5">
        <f ca="1">COUNTIFS(P24:P39,"&lt;"&amp;TODAY(),Q24:Q39,"")</f>
        <v>0</v>
      </c>
      <c r="L5" s="3"/>
      <c r="M5" s="3"/>
      <c r="N5" s="3"/>
      <c r="O5" s="3"/>
    </row>
    <row r="6" spans="1:21" ht="28" customHeight="1" x14ac:dyDescent="0.35">
      <c r="A6" s="4" t="s">
        <v>19</v>
      </c>
      <c r="B6" s="7">
        <v>46081</v>
      </c>
      <c r="C6" s="8"/>
      <c r="D6" s="3"/>
      <c r="E6" s="5">
        <f>SUMIF(I45:I60,"&gt;=0",I45:I60)</f>
        <v>0</v>
      </c>
      <c r="F6" s="5">
        <f>COUNT(I45:I60)*2</f>
        <v>0</v>
      </c>
      <c r="G6" s="6" t="str">
        <f t="shared" si="0"/>
        <v/>
      </c>
      <c r="H6" s="5" t="str">
        <f t="shared" si="1"/>
        <v>Not Started</v>
      </c>
      <c r="I6" s="5">
        <f>COUNTIFS(H45:H60,"Critical",I45:I60,"&lt;2")+COUNTIFS(H45:H60,"High",I45:I60,"&lt;2")</f>
        <v>0</v>
      </c>
      <c r="J6" s="5">
        <f>COUNTIF(T45:T60,"In Progress")+COUNTIF(T45:T60,"Not Started")</f>
        <v>0</v>
      </c>
      <c r="K6" s="5">
        <f ca="1">COUNTIFS(P45:P60,"&lt;"&amp;TODAY(),Q45:Q60,"")</f>
        <v>0</v>
      </c>
      <c r="L6" s="3"/>
      <c r="M6" s="3"/>
      <c r="N6" s="3"/>
      <c r="O6" s="3"/>
    </row>
    <row r="7" spans="1:21" ht="28" customHeight="1" x14ac:dyDescent="0.35">
      <c r="A7" s="4" t="s">
        <v>20</v>
      </c>
      <c r="B7" s="7">
        <v>46109</v>
      </c>
      <c r="C7" s="8"/>
      <c r="D7" s="3"/>
      <c r="E7" s="5">
        <f>SUMIF(I66:I81,"&gt;=0",I66:I81)</f>
        <v>0</v>
      </c>
      <c r="F7" s="5">
        <f>COUNT(I66:I81)*2</f>
        <v>0</v>
      </c>
      <c r="G7" s="6" t="str">
        <f t="shared" si="0"/>
        <v/>
      </c>
      <c r="H7" s="5" t="str">
        <f t="shared" si="1"/>
        <v>Not Started</v>
      </c>
      <c r="I7" s="5">
        <f>COUNTIFS(H66:H81,"Critical",I66:I81,"&lt;2")+COUNTIFS(H66:H81,"High",I66:I81,"&lt;2")</f>
        <v>0</v>
      </c>
      <c r="J7" s="5">
        <f>COUNTIF(T66:T81,"In Progress")+COUNTIF(T66:T81,"Not Started")</f>
        <v>0</v>
      </c>
      <c r="K7" s="5">
        <f ca="1">COUNTIFS(P66:P81,"&lt;"&amp;TODAY(),Q66:Q81,"")</f>
        <v>0</v>
      </c>
      <c r="L7" s="3"/>
      <c r="M7" s="3"/>
      <c r="N7" s="3"/>
      <c r="O7" s="3"/>
    </row>
    <row r="8" spans="1:21" ht="28" customHeight="1" x14ac:dyDescent="0.35">
      <c r="A8" s="4" t="s">
        <v>21</v>
      </c>
      <c r="B8" s="7">
        <v>46140</v>
      </c>
      <c r="C8" s="8"/>
      <c r="D8" s="3"/>
      <c r="E8" s="5">
        <f>SUMIF(I87:I102,"&gt;=0",I87:I102)</f>
        <v>0</v>
      </c>
      <c r="F8" s="5">
        <f>COUNT(I87:I102)*2</f>
        <v>0</v>
      </c>
      <c r="G8" s="6" t="str">
        <f t="shared" si="0"/>
        <v/>
      </c>
      <c r="H8" s="5" t="str">
        <f t="shared" si="1"/>
        <v>Not Started</v>
      </c>
      <c r="I8" s="5">
        <f>COUNTIFS(H87:H102,"Critical",I87:I102,"&lt;2")+COUNTIFS(H87:H102,"High",I87:I102,"&lt;2")</f>
        <v>0</v>
      </c>
      <c r="J8" s="5">
        <f>COUNTIF(T87:T102,"In Progress")+COUNTIF(T87:T102,"Not Started")</f>
        <v>0</v>
      </c>
      <c r="K8" s="5">
        <f ca="1">COUNTIFS(P87:P102,"&lt;"&amp;TODAY(),Q87:Q102,"")</f>
        <v>0</v>
      </c>
      <c r="L8" s="3"/>
      <c r="M8" s="3"/>
      <c r="N8" s="3"/>
      <c r="O8" s="3"/>
    </row>
    <row r="9" spans="1:21" ht="28" customHeight="1" x14ac:dyDescent="0.35">
      <c r="A9" s="4" t="s">
        <v>22</v>
      </c>
      <c r="B9" s="7">
        <v>46170</v>
      </c>
      <c r="C9" s="8"/>
      <c r="D9" s="3"/>
      <c r="E9" s="5">
        <f>SUMIF(I108:I123,"&gt;=0",I108:I123)</f>
        <v>0</v>
      </c>
      <c r="F9" s="5">
        <f>COUNT(I108:I123)*2</f>
        <v>0</v>
      </c>
      <c r="G9" s="6" t="str">
        <f t="shared" si="0"/>
        <v/>
      </c>
      <c r="H9" s="5" t="str">
        <f t="shared" si="1"/>
        <v>Not Started</v>
      </c>
      <c r="I9" s="5">
        <f>COUNTIFS(H108:H123,"Critical",I108:I123,"&lt;2")+COUNTIFS(H108:H123,"High",I108:I123,"&lt;2")</f>
        <v>0</v>
      </c>
      <c r="J9" s="5">
        <f>COUNTIF(T108:T123,"In Progress")+COUNTIF(T108:T123,"Not Started")</f>
        <v>0</v>
      </c>
      <c r="K9" s="5">
        <f ca="1">COUNTIFS(P108:P123,"&lt;"&amp;TODAY(),Q108:Q123,"")</f>
        <v>0</v>
      </c>
      <c r="L9" s="3"/>
      <c r="M9" s="3"/>
      <c r="N9" s="3"/>
      <c r="O9" s="3"/>
    </row>
    <row r="10" spans="1:21" ht="28" customHeight="1" x14ac:dyDescent="0.35">
      <c r="A10" s="4" t="s">
        <v>23</v>
      </c>
      <c r="B10" s="7">
        <v>46201</v>
      </c>
      <c r="C10" s="8"/>
      <c r="D10" s="3"/>
      <c r="E10" s="5">
        <f>SUMIF(I129:I144,"&gt;=0",I129:I144)</f>
        <v>0</v>
      </c>
      <c r="F10" s="5">
        <f>COUNT(I129:I144)*2</f>
        <v>0</v>
      </c>
      <c r="G10" s="6" t="str">
        <f t="shared" si="0"/>
        <v/>
      </c>
      <c r="H10" s="5" t="str">
        <f t="shared" si="1"/>
        <v>Not Started</v>
      </c>
      <c r="I10" s="5">
        <f>COUNTIFS(H129:H144,"Critical",I129:I144,"&lt;2")+COUNTIFS(H129:H144,"High",I129:I144,"&lt;2")</f>
        <v>0</v>
      </c>
      <c r="J10" s="5">
        <f>COUNTIF(T129:T144,"In Progress")+COUNTIF(T129:T144,"Not Started")</f>
        <v>0</v>
      </c>
      <c r="K10" s="5">
        <f ca="1">COUNTIFS(P129:P144,"&lt;"&amp;TODAY(),Q129:Q144,"")</f>
        <v>0</v>
      </c>
      <c r="L10" s="3"/>
      <c r="M10" s="3"/>
      <c r="N10" s="3"/>
      <c r="O10" s="3"/>
    </row>
    <row r="11" spans="1:21" ht="28" customHeight="1" x14ac:dyDescent="0.35">
      <c r="A11" s="4" t="s">
        <v>24</v>
      </c>
      <c r="B11" s="7">
        <v>46231</v>
      </c>
      <c r="C11" s="8"/>
      <c r="D11" s="3"/>
      <c r="E11" s="5">
        <f>SUMIF(I150:I165,"&gt;=0",I150:I165)</f>
        <v>0</v>
      </c>
      <c r="F11" s="5">
        <f>COUNT(I150:I165)*2</f>
        <v>0</v>
      </c>
      <c r="G11" s="6" t="str">
        <f t="shared" si="0"/>
        <v/>
      </c>
      <c r="H11" s="5" t="str">
        <f t="shared" si="1"/>
        <v>Not Started</v>
      </c>
      <c r="I11" s="5">
        <f>COUNTIFS(H150:H165,"Critical",I150:I165,"&lt;2")+COUNTIFS(H150:H165,"High",I150:I165,"&lt;2")</f>
        <v>0</v>
      </c>
      <c r="J11" s="5">
        <f>COUNTIF(T150:T165,"In Progress")+COUNTIF(T150:T165,"Not Started")</f>
        <v>0</v>
      </c>
      <c r="K11" s="5">
        <f ca="1">COUNTIFS(P150:P165,"&lt;"&amp;TODAY(),Q150:Q165,"")</f>
        <v>0</v>
      </c>
      <c r="L11" s="3"/>
      <c r="M11" s="3"/>
      <c r="N11" s="3"/>
      <c r="O11" s="3"/>
    </row>
    <row r="12" spans="1:21" ht="28" customHeight="1" x14ac:dyDescent="0.35">
      <c r="A12" s="4" t="s">
        <v>25</v>
      </c>
      <c r="B12" s="7">
        <v>46262</v>
      </c>
      <c r="C12" s="8"/>
      <c r="D12" s="3"/>
      <c r="E12" s="5">
        <f>SUMIF(I171:I186,"&gt;=0",I171:I186)</f>
        <v>0</v>
      </c>
      <c r="F12" s="5">
        <f>COUNT(I171:I186)*2</f>
        <v>0</v>
      </c>
      <c r="G12" s="6" t="str">
        <f t="shared" si="0"/>
        <v/>
      </c>
      <c r="H12" s="5" t="str">
        <f t="shared" si="1"/>
        <v>Not Started</v>
      </c>
      <c r="I12" s="5">
        <f>COUNTIFS(H171:H186,"Critical",I171:I186,"&lt;2")+COUNTIFS(H171:H186,"High",I171:I186,"&lt;2")</f>
        <v>0</v>
      </c>
      <c r="J12" s="5">
        <f>COUNTIF(T171:T186,"In Progress")+COUNTIF(T171:T186,"Not Started")</f>
        <v>0</v>
      </c>
      <c r="K12" s="5">
        <f ca="1">COUNTIFS(P171:P186,"&lt;"&amp;TODAY(),Q171:Q186,"")</f>
        <v>0</v>
      </c>
      <c r="L12" s="3"/>
      <c r="M12" s="3"/>
      <c r="N12" s="3"/>
      <c r="O12" s="3"/>
    </row>
    <row r="13" spans="1:21" ht="28" customHeight="1" x14ac:dyDescent="0.35">
      <c r="A13" s="4" t="s">
        <v>26</v>
      </c>
      <c r="B13" s="7">
        <v>46293</v>
      </c>
      <c r="C13" s="8"/>
      <c r="D13" s="3"/>
      <c r="E13" s="5">
        <f>SUMIF(I192:I207,"&gt;=0",I192:I207)</f>
        <v>0</v>
      </c>
      <c r="F13" s="5">
        <f>COUNT(I192:I207)*2</f>
        <v>0</v>
      </c>
      <c r="G13" s="6" t="str">
        <f t="shared" si="0"/>
        <v/>
      </c>
      <c r="H13" s="5" t="str">
        <f t="shared" si="1"/>
        <v>Not Started</v>
      </c>
      <c r="I13" s="5">
        <f>COUNTIFS(H192:H207,"Critical",I192:I207,"&lt;2")+COUNTIFS(H192:H207,"High",I192:I207,"&lt;2")</f>
        <v>0</v>
      </c>
      <c r="J13" s="5">
        <f>COUNTIF(T192:T207,"In Progress")+COUNTIF(T192:T207,"Not Started")</f>
        <v>0</v>
      </c>
      <c r="K13" s="5">
        <f ca="1">COUNTIFS(P192:P207,"&lt;"&amp;TODAY(),Q192:Q207,"")</f>
        <v>0</v>
      </c>
      <c r="L13" s="3"/>
      <c r="M13" s="3"/>
      <c r="N13" s="3"/>
      <c r="O13" s="3"/>
    </row>
    <row r="14" spans="1:21" ht="28" customHeight="1" x14ac:dyDescent="0.35">
      <c r="A14" s="4" t="s">
        <v>27</v>
      </c>
      <c r="B14" s="7">
        <v>46323</v>
      </c>
      <c r="C14" s="8"/>
      <c r="D14" s="3"/>
      <c r="E14" s="5">
        <f>SUMIF(I213:I228,"&gt;=0",I213:I228)</f>
        <v>0</v>
      </c>
      <c r="F14" s="5">
        <f>COUNT(I213:I228)*2</f>
        <v>0</v>
      </c>
      <c r="G14" s="6" t="str">
        <f t="shared" si="0"/>
        <v/>
      </c>
      <c r="H14" s="5" t="str">
        <f t="shared" si="1"/>
        <v>Not Started</v>
      </c>
      <c r="I14" s="5">
        <f>COUNTIFS(H213:H228,"Critical",I213:I228,"&lt;2")+COUNTIFS(H213:H228,"High",I213:I228,"&lt;2")</f>
        <v>0</v>
      </c>
      <c r="J14" s="5">
        <f>COUNTIF(T213:T228,"In Progress")+COUNTIF(T213:T228,"Not Started")</f>
        <v>0</v>
      </c>
      <c r="K14" s="5">
        <f ca="1">COUNTIFS(P213:P228,"&lt;"&amp;TODAY(),Q213:Q228,"")</f>
        <v>0</v>
      </c>
      <c r="L14" s="3"/>
      <c r="M14" s="3"/>
      <c r="N14" s="3"/>
      <c r="O14" s="3"/>
    </row>
    <row r="15" spans="1:21" ht="28" customHeight="1" x14ac:dyDescent="0.35">
      <c r="A15" s="4" t="s">
        <v>28</v>
      </c>
      <c r="B15" s="7">
        <v>46354</v>
      </c>
      <c r="C15" s="8"/>
      <c r="D15" s="3"/>
      <c r="E15" s="5">
        <f>SUMIF(I234:I249,"&gt;=0",I234:I249)</f>
        <v>0</v>
      </c>
      <c r="F15" s="5">
        <f>COUNT(I234:I249)*2</f>
        <v>0</v>
      </c>
      <c r="G15" s="6" t="str">
        <f t="shared" si="0"/>
        <v/>
      </c>
      <c r="H15" s="5" t="str">
        <f t="shared" si="1"/>
        <v>Not Started</v>
      </c>
      <c r="I15" s="5">
        <f>COUNTIFS(H234:H249,"Critical",I234:I249,"&lt;2")+COUNTIFS(H234:H249,"High",I234:I249,"&lt;2")</f>
        <v>0</v>
      </c>
      <c r="J15" s="5">
        <f>COUNTIF(T234:T249,"In Progress")+COUNTIF(T234:T249,"Not Started")</f>
        <v>0</v>
      </c>
      <c r="K15" s="5">
        <f ca="1">COUNTIFS(P234:P249,"&lt;"&amp;TODAY(),Q234:Q249,"")</f>
        <v>0</v>
      </c>
      <c r="L15" s="3"/>
      <c r="M15" s="3"/>
      <c r="N15" s="3"/>
      <c r="O15" s="3"/>
    </row>
    <row r="16" spans="1:21" ht="28" customHeight="1" x14ac:dyDescent="0.35">
      <c r="A16" s="4" t="s">
        <v>29</v>
      </c>
      <c r="B16" s="7">
        <v>46384</v>
      </c>
      <c r="C16" s="8"/>
      <c r="D16" s="3"/>
      <c r="E16" s="5">
        <f>SUMIF(I255:I270,"&gt;=0",I255:I270)</f>
        <v>0</v>
      </c>
      <c r="F16" s="5">
        <f>COUNT(I255:I270)*2</f>
        <v>0</v>
      </c>
      <c r="G16" s="6" t="str">
        <f t="shared" si="0"/>
        <v/>
      </c>
      <c r="H16" s="5" t="str">
        <f t="shared" si="1"/>
        <v>Not Started</v>
      </c>
      <c r="I16" s="5">
        <f>COUNTIFS(H255:H270,"Critical",I255:I270,"&lt;2")+COUNTIFS(H255:H270,"High",I255:I270,"&lt;2")</f>
        <v>0</v>
      </c>
      <c r="J16" s="5">
        <f>COUNTIF(T255:T270,"In Progress")+COUNTIF(T255:T270,"Not Started")</f>
        <v>0</v>
      </c>
      <c r="K16" s="5">
        <f ca="1">COUNTIFS(P255:P270,"&lt;"&amp;TODAY(),Q255:Q270,"")</f>
        <v>0</v>
      </c>
      <c r="L16" s="3"/>
      <c r="M16" s="3"/>
      <c r="N16" s="3"/>
      <c r="O16" s="3"/>
    </row>
    <row r="21" spans="1:21" ht="28" customHeight="1" x14ac:dyDescent="0.35">
      <c r="A21" s="19" t="s">
        <v>578</v>
      </c>
      <c r="B21" s="20"/>
      <c r="C21" s="20"/>
      <c r="D21" s="20"/>
      <c r="E21" s="20"/>
      <c r="F21" s="20"/>
      <c r="G21" s="20"/>
      <c r="H21" s="20"/>
      <c r="I21" s="20"/>
      <c r="J21" s="20"/>
      <c r="K21" s="20"/>
      <c r="L21" s="20"/>
      <c r="M21" s="20"/>
      <c r="N21" s="20"/>
      <c r="O21" s="20"/>
      <c r="P21" s="20"/>
      <c r="Q21" s="20"/>
      <c r="R21" s="20"/>
      <c r="S21" s="20"/>
      <c r="T21" s="20"/>
      <c r="U21" s="21"/>
    </row>
    <row r="22" spans="1:21" ht="28" customHeight="1" x14ac:dyDescent="0.35">
      <c r="A22" s="4" t="s">
        <v>31</v>
      </c>
      <c r="B22" s="3" t="s">
        <v>18</v>
      </c>
      <c r="C22" s="4" t="s">
        <v>32</v>
      </c>
      <c r="D22" s="3"/>
      <c r="E22" s="4" t="s">
        <v>33</v>
      </c>
      <c r="F22" s="8"/>
    </row>
    <row r="23" spans="1:21" ht="28" customHeight="1" x14ac:dyDescent="0.35">
      <c r="A23" s="1" t="s">
        <v>34</v>
      </c>
      <c r="B23" s="1" t="s">
        <v>35</v>
      </c>
      <c r="C23" s="1" t="s">
        <v>36</v>
      </c>
      <c r="D23" s="1" t="s">
        <v>37</v>
      </c>
      <c r="E23" s="1" t="s">
        <v>38</v>
      </c>
      <c r="F23" s="1" t="s">
        <v>39</v>
      </c>
      <c r="G23" s="1" t="s">
        <v>40</v>
      </c>
      <c r="H23" s="1" t="s">
        <v>41</v>
      </c>
      <c r="I23" s="1" t="s">
        <v>42</v>
      </c>
      <c r="J23" s="1" t="s">
        <v>43</v>
      </c>
      <c r="K23" s="1" t="s">
        <v>44</v>
      </c>
      <c r="L23" s="1" t="s">
        <v>45</v>
      </c>
      <c r="M23" s="1" t="s">
        <v>46</v>
      </c>
      <c r="N23" s="1" t="s">
        <v>47</v>
      </c>
      <c r="O23" s="1" t="s">
        <v>48</v>
      </c>
      <c r="P23" s="1" t="s">
        <v>4</v>
      </c>
      <c r="Q23" s="1" t="s">
        <v>49</v>
      </c>
      <c r="R23" s="1" t="s">
        <v>50</v>
      </c>
      <c r="S23" s="1" t="s">
        <v>51</v>
      </c>
      <c r="T23" s="1" t="s">
        <v>52</v>
      </c>
      <c r="U23" s="1" t="s">
        <v>10</v>
      </c>
    </row>
    <row r="24" spans="1:21" ht="28" customHeight="1" x14ac:dyDescent="0.35">
      <c r="A24" s="4">
        <v>1</v>
      </c>
      <c r="B24" s="4" t="s">
        <v>53</v>
      </c>
      <c r="C24" s="4" t="s">
        <v>579</v>
      </c>
      <c r="D24" s="4" t="s">
        <v>580</v>
      </c>
      <c r="E24" s="4" t="s">
        <v>56</v>
      </c>
      <c r="F24" s="4" t="s">
        <v>57</v>
      </c>
      <c r="G24" s="4" t="s">
        <v>58</v>
      </c>
      <c r="H24" s="4" t="s">
        <v>59</v>
      </c>
      <c r="I24" s="3"/>
      <c r="J24" s="3"/>
      <c r="K24" s="3"/>
      <c r="L24" s="3"/>
      <c r="M24" s="3"/>
      <c r="N24" s="3"/>
      <c r="O24" s="3"/>
      <c r="P24" s="8"/>
      <c r="Q24" s="8"/>
      <c r="R24" s="3"/>
      <c r="S24" s="3"/>
      <c r="T24" s="3"/>
      <c r="U24" s="5" t="str">
        <f t="shared" ref="U24:U39" si="2">IF(I24="","",IF(I24="NA","Grey",IF(I24=2,"Green",IF(I24=1,"Amber","Red"))))</f>
        <v/>
      </c>
    </row>
    <row r="25" spans="1:21" ht="28" customHeight="1" x14ac:dyDescent="0.35">
      <c r="A25" s="4">
        <v>2</v>
      </c>
      <c r="B25" s="4" t="s">
        <v>53</v>
      </c>
      <c r="C25" s="4" t="s">
        <v>581</v>
      </c>
      <c r="D25" s="4" t="s">
        <v>582</v>
      </c>
      <c r="E25" s="4" t="s">
        <v>56</v>
      </c>
      <c r="F25" s="4" t="s">
        <v>57</v>
      </c>
      <c r="G25" s="4" t="s">
        <v>58</v>
      </c>
      <c r="H25" s="4" t="s">
        <v>59</v>
      </c>
      <c r="I25" s="3"/>
      <c r="J25" s="3"/>
      <c r="K25" s="3"/>
      <c r="L25" s="3"/>
      <c r="M25" s="3"/>
      <c r="N25" s="3"/>
      <c r="O25" s="3"/>
      <c r="P25" s="8"/>
      <c r="Q25" s="8"/>
      <c r="R25" s="3"/>
      <c r="S25" s="3"/>
      <c r="T25" s="3"/>
      <c r="U25" s="5" t="str">
        <f t="shared" si="2"/>
        <v/>
      </c>
    </row>
    <row r="26" spans="1:21" ht="28" customHeight="1" x14ac:dyDescent="0.35">
      <c r="A26" s="4">
        <v>3</v>
      </c>
      <c r="B26" s="4" t="s">
        <v>53</v>
      </c>
      <c r="C26" s="4" t="s">
        <v>583</v>
      </c>
      <c r="D26" s="4" t="s">
        <v>584</v>
      </c>
      <c r="E26" s="4" t="s">
        <v>56</v>
      </c>
      <c r="F26" s="4" t="s">
        <v>57</v>
      </c>
      <c r="G26" s="4" t="s">
        <v>58</v>
      </c>
      <c r="H26" s="4" t="s">
        <v>59</v>
      </c>
      <c r="I26" s="3"/>
      <c r="J26" s="3"/>
      <c r="K26" s="3"/>
      <c r="L26" s="3"/>
      <c r="M26" s="3"/>
      <c r="N26" s="3"/>
      <c r="O26" s="3"/>
      <c r="P26" s="8"/>
      <c r="Q26" s="8"/>
      <c r="R26" s="3"/>
      <c r="S26" s="3"/>
      <c r="T26" s="3"/>
      <c r="U26" s="5" t="str">
        <f t="shared" si="2"/>
        <v/>
      </c>
    </row>
    <row r="27" spans="1:21" ht="28" customHeight="1" x14ac:dyDescent="0.35">
      <c r="A27" s="4">
        <v>4</v>
      </c>
      <c r="B27" s="4" t="s">
        <v>53</v>
      </c>
      <c r="C27" s="4" t="s">
        <v>585</v>
      </c>
      <c r="D27" s="4" t="s">
        <v>586</v>
      </c>
      <c r="E27" s="4" t="s">
        <v>56</v>
      </c>
      <c r="F27" s="4" t="s">
        <v>57</v>
      </c>
      <c r="G27" s="4" t="s">
        <v>58</v>
      </c>
      <c r="H27" s="4" t="s">
        <v>59</v>
      </c>
      <c r="I27" s="3"/>
      <c r="J27" s="3"/>
      <c r="K27" s="3"/>
      <c r="L27" s="3"/>
      <c r="M27" s="3"/>
      <c r="N27" s="3"/>
      <c r="O27" s="3"/>
      <c r="P27" s="8"/>
      <c r="Q27" s="8"/>
      <c r="R27" s="3"/>
      <c r="S27" s="3"/>
      <c r="T27" s="3"/>
      <c r="U27" s="5" t="str">
        <f t="shared" si="2"/>
        <v/>
      </c>
    </row>
    <row r="28" spans="1:21" ht="28" customHeight="1" x14ac:dyDescent="0.35">
      <c r="A28" s="4">
        <v>5</v>
      </c>
      <c r="B28" s="4" t="s">
        <v>66</v>
      </c>
      <c r="C28" s="4" t="s">
        <v>67</v>
      </c>
      <c r="D28" s="4" t="s">
        <v>68</v>
      </c>
      <c r="E28" s="4" t="s">
        <v>69</v>
      </c>
      <c r="F28" s="4" t="s">
        <v>57</v>
      </c>
      <c r="G28" s="4" t="s">
        <v>58</v>
      </c>
      <c r="H28" s="4" t="s">
        <v>59</v>
      </c>
      <c r="I28" s="3"/>
      <c r="J28" s="3"/>
      <c r="K28" s="3"/>
      <c r="L28" s="3"/>
      <c r="M28" s="3"/>
      <c r="N28" s="3"/>
      <c r="O28" s="3"/>
      <c r="P28" s="8"/>
      <c r="Q28" s="8"/>
      <c r="R28" s="3"/>
      <c r="S28" s="3"/>
      <c r="T28" s="3"/>
      <c r="U28" s="5" t="str">
        <f t="shared" si="2"/>
        <v/>
      </c>
    </row>
    <row r="29" spans="1:21" ht="28" customHeight="1" x14ac:dyDescent="0.35">
      <c r="A29" s="4">
        <v>6</v>
      </c>
      <c r="B29" s="4" t="s">
        <v>70</v>
      </c>
      <c r="C29" s="4" t="s">
        <v>71</v>
      </c>
      <c r="D29" s="4" t="s">
        <v>72</v>
      </c>
      <c r="E29" s="4" t="s">
        <v>70</v>
      </c>
      <c r="F29" s="4" t="s">
        <v>57</v>
      </c>
      <c r="G29" s="4" t="s">
        <v>58</v>
      </c>
      <c r="H29" s="4" t="s">
        <v>59</v>
      </c>
      <c r="I29" s="3"/>
      <c r="J29" s="3"/>
      <c r="K29" s="3"/>
      <c r="L29" s="3"/>
      <c r="M29" s="3"/>
      <c r="N29" s="3"/>
      <c r="O29" s="3"/>
      <c r="P29" s="8"/>
      <c r="Q29" s="8"/>
      <c r="R29" s="3"/>
      <c r="S29" s="3"/>
      <c r="T29" s="3"/>
      <c r="U29" s="5" t="str">
        <f t="shared" si="2"/>
        <v/>
      </c>
    </row>
    <row r="30" spans="1:21" ht="28" customHeight="1" x14ac:dyDescent="0.35">
      <c r="A30" s="4">
        <v>7</v>
      </c>
      <c r="B30" s="4" t="s">
        <v>73</v>
      </c>
      <c r="C30" s="4" t="s">
        <v>74</v>
      </c>
      <c r="D30" s="4" t="s">
        <v>75</v>
      </c>
      <c r="E30" s="4" t="s">
        <v>69</v>
      </c>
      <c r="F30" s="4" t="s">
        <v>57</v>
      </c>
      <c r="G30" s="4" t="s">
        <v>58</v>
      </c>
      <c r="H30" s="4" t="s">
        <v>76</v>
      </c>
      <c r="I30" s="3"/>
      <c r="J30" s="3"/>
      <c r="K30" s="3"/>
      <c r="L30" s="3"/>
      <c r="M30" s="3"/>
      <c r="N30" s="3"/>
      <c r="O30" s="3"/>
      <c r="P30" s="8"/>
      <c r="Q30" s="8"/>
      <c r="R30" s="3"/>
      <c r="S30" s="3"/>
      <c r="T30" s="3"/>
      <c r="U30" s="5" t="str">
        <f t="shared" si="2"/>
        <v/>
      </c>
    </row>
    <row r="31" spans="1:21" ht="28" customHeight="1" x14ac:dyDescent="0.35">
      <c r="A31" s="4">
        <v>8</v>
      </c>
      <c r="B31" s="4" t="s">
        <v>77</v>
      </c>
      <c r="C31" s="4" t="s">
        <v>78</v>
      </c>
      <c r="D31" s="4" t="s">
        <v>79</v>
      </c>
      <c r="E31" s="4" t="s">
        <v>80</v>
      </c>
      <c r="F31" s="4" t="s">
        <v>57</v>
      </c>
      <c r="G31" s="4" t="s">
        <v>58</v>
      </c>
      <c r="H31" s="4" t="s">
        <v>59</v>
      </c>
      <c r="I31" s="3"/>
      <c r="J31" s="3"/>
      <c r="K31" s="3"/>
      <c r="L31" s="3"/>
      <c r="M31" s="3"/>
      <c r="N31" s="3"/>
      <c r="O31" s="3"/>
      <c r="P31" s="8"/>
      <c r="Q31" s="8"/>
      <c r="R31" s="3"/>
      <c r="S31" s="3"/>
      <c r="T31" s="3"/>
      <c r="U31" s="5" t="str">
        <f t="shared" si="2"/>
        <v/>
      </c>
    </row>
    <row r="32" spans="1:21" ht="28" customHeight="1" x14ac:dyDescent="0.35">
      <c r="A32" s="4">
        <v>9</v>
      </c>
      <c r="B32" s="4" t="s">
        <v>81</v>
      </c>
      <c r="C32" s="4" t="s">
        <v>82</v>
      </c>
      <c r="D32" s="4" t="s">
        <v>83</v>
      </c>
      <c r="E32" s="4" t="s">
        <v>84</v>
      </c>
      <c r="F32" s="4" t="s">
        <v>57</v>
      </c>
      <c r="G32" s="4" t="s">
        <v>58</v>
      </c>
      <c r="H32" s="4" t="s">
        <v>85</v>
      </c>
      <c r="I32" s="3"/>
      <c r="J32" s="3"/>
      <c r="K32" s="3"/>
      <c r="L32" s="3"/>
      <c r="M32" s="3"/>
      <c r="N32" s="3"/>
      <c r="O32" s="3"/>
      <c r="P32" s="8"/>
      <c r="Q32" s="8"/>
      <c r="R32" s="3"/>
      <c r="S32" s="3"/>
      <c r="T32" s="3"/>
      <c r="U32" s="5" t="str">
        <f t="shared" si="2"/>
        <v/>
      </c>
    </row>
    <row r="33" spans="1:21" ht="28" customHeight="1" x14ac:dyDescent="0.35">
      <c r="A33" s="4">
        <v>10</v>
      </c>
      <c r="B33" s="4" t="s">
        <v>86</v>
      </c>
      <c r="C33" s="4" t="s">
        <v>87</v>
      </c>
      <c r="D33" s="4" t="s">
        <v>88</v>
      </c>
      <c r="E33" s="4" t="s">
        <v>69</v>
      </c>
      <c r="F33" s="4" t="s">
        <v>57</v>
      </c>
      <c r="G33" s="4" t="s">
        <v>58</v>
      </c>
      <c r="H33" s="4" t="s">
        <v>59</v>
      </c>
      <c r="I33" s="3"/>
      <c r="J33" s="3"/>
      <c r="K33" s="3"/>
      <c r="L33" s="3"/>
      <c r="M33" s="3"/>
      <c r="N33" s="3"/>
      <c r="O33" s="3"/>
      <c r="P33" s="8"/>
      <c r="Q33" s="8"/>
      <c r="R33" s="3"/>
      <c r="S33" s="3"/>
      <c r="T33" s="3"/>
      <c r="U33" s="5" t="str">
        <f t="shared" si="2"/>
        <v/>
      </c>
    </row>
    <row r="34" spans="1:21" ht="28" customHeight="1" x14ac:dyDescent="0.35">
      <c r="A34" s="4">
        <v>11</v>
      </c>
      <c r="B34" s="4" t="s">
        <v>89</v>
      </c>
      <c r="C34" s="4" t="s">
        <v>90</v>
      </c>
      <c r="D34" s="4" t="s">
        <v>91</v>
      </c>
      <c r="E34" s="4" t="s">
        <v>84</v>
      </c>
      <c r="F34" s="4" t="s">
        <v>57</v>
      </c>
      <c r="G34" s="4" t="s">
        <v>58</v>
      </c>
      <c r="H34" s="4" t="s">
        <v>59</v>
      </c>
      <c r="I34" s="3"/>
      <c r="J34" s="3"/>
      <c r="K34" s="3"/>
      <c r="L34" s="3"/>
      <c r="M34" s="3"/>
      <c r="N34" s="3"/>
      <c r="O34" s="3"/>
      <c r="P34" s="8"/>
      <c r="Q34" s="8"/>
      <c r="R34" s="3"/>
      <c r="S34" s="3"/>
      <c r="T34" s="3"/>
      <c r="U34" s="5" t="str">
        <f t="shared" si="2"/>
        <v/>
      </c>
    </row>
    <row r="35" spans="1:21" ht="28" customHeight="1" x14ac:dyDescent="0.35">
      <c r="A35" s="4">
        <v>12</v>
      </c>
      <c r="B35" s="4" t="s">
        <v>92</v>
      </c>
      <c r="C35" s="4" t="s">
        <v>93</v>
      </c>
      <c r="D35" s="4" t="s">
        <v>94</v>
      </c>
      <c r="E35" s="4" t="s">
        <v>69</v>
      </c>
      <c r="F35" s="4" t="s">
        <v>95</v>
      </c>
      <c r="G35" s="4" t="s">
        <v>96</v>
      </c>
      <c r="H35" s="4" t="s">
        <v>59</v>
      </c>
      <c r="I35" s="3"/>
      <c r="J35" s="3"/>
      <c r="K35" s="3"/>
      <c r="L35" s="3"/>
      <c r="M35" s="3"/>
      <c r="N35" s="3"/>
      <c r="O35" s="3"/>
      <c r="P35" s="8"/>
      <c r="Q35" s="8"/>
      <c r="R35" s="3"/>
      <c r="S35" s="3"/>
      <c r="T35" s="3"/>
      <c r="U35" s="5" t="str">
        <f t="shared" si="2"/>
        <v/>
      </c>
    </row>
    <row r="36" spans="1:21" ht="28" customHeight="1" x14ac:dyDescent="0.35">
      <c r="A36" s="4">
        <v>13</v>
      </c>
      <c r="B36" s="4" t="s">
        <v>97</v>
      </c>
      <c r="C36" s="4" t="s">
        <v>98</v>
      </c>
      <c r="D36" s="4" t="s">
        <v>99</v>
      </c>
      <c r="E36" s="4" t="s">
        <v>69</v>
      </c>
      <c r="F36" s="4" t="s">
        <v>95</v>
      </c>
      <c r="G36" s="4" t="s">
        <v>96</v>
      </c>
      <c r="H36" s="4" t="s">
        <v>59</v>
      </c>
      <c r="I36" s="3"/>
      <c r="J36" s="3"/>
      <c r="K36" s="3"/>
      <c r="L36" s="3"/>
      <c r="M36" s="3"/>
      <c r="N36" s="3"/>
      <c r="O36" s="3"/>
      <c r="P36" s="8"/>
      <c r="Q36" s="8"/>
      <c r="R36" s="3"/>
      <c r="S36" s="3"/>
      <c r="T36" s="3"/>
      <c r="U36" s="5" t="str">
        <f t="shared" si="2"/>
        <v/>
      </c>
    </row>
    <row r="37" spans="1:21" ht="28" customHeight="1" x14ac:dyDescent="0.35">
      <c r="A37" s="4">
        <v>14</v>
      </c>
      <c r="B37" s="4" t="s">
        <v>97</v>
      </c>
      <c r="C37" s="4" t="s">
        <v>100</v>
      </c>
      <c r="D37" s="4" t="s">
        <v>101</v>
      </c>
      <c r="E37" s="4" t="s">
        <v>69</v>
      </c>
      <c r="F37" s="4" t="s">
        <v>95</v>
      </c>
      <c r="G37" s="4" t="s">
        <v>102</v>
      </c>
      <c r="H37" s="4" t="s">
        <v>59</v>
      </c>
      <c r="I37" s="3"/>
      <c r="J37" s="3"/>
      <c r="K37" s="3"/>
      <c r="L37" s="3"/>
      <c r="M37" s="3"/>
      <c r="N37" s="3"/>
      <c r="O37" s="3"/>
      <c r="P37" s="8"/>
      <c r="Q37" s="8"/>
      <c r="R37" s="3"/>
      <c r="S37" s="3"/>
      <c r="T37" s="3"/>
      <c r="U37" s="5" t="str">
        <f t="shared" si="2"/>
        <v/>
      </c>
    </row>
    <row r="38" spans="1:21" ht="28" customHeight="1" x14ac:dyDescent="0.35">
      <c r="A38" s="4">
        <v>15</v>
      </c>
      <c r="B38" s="4" t="s">
        <v>103</v>
      </c>
      <c r="C38" s="4" t="s">
        <v>104</v>
      </c>
      <c r="D38" s="4" t="s">
        <v>105</v>
      </c>
      <c r="E38" s="4" t="s">
        <v>69</v>
      </c>
      <c r="F38" s="4" t="s">
        <v>95</v>
      </c>
      <c r="G38" s="4" t="s">
        <v>96</v>
      </c>
      <c r="H38" s="4" t="s">
        <v>85</v>
      </c>
      <c r="I38" s="3"/>
      <c r="J38" s="3"/>
      <c r="K38" s="3"/>
      <c r="L38" s="3"/>
      <c r="M38" s="3"/>
      <c r="N38" s="3"/>
      <c r="O38" s="3"/>
      <c r="P38" s="8"/>
      <c r="Q38" s="8"/>
      <c r="R38" s="3"/>
      <c r="S38" s="3"/>
      <c r="T38" s="3"/>
      <c r="U38" s="5" t="str">
        <f t="shared" si="2"/>
        <v/>
      </c>
    </row>
    <row r="39" spans="1:21" ht="28" customHeight="1" x14ac:dyDescent="0.35">
      <c r="A39" s="4">
        <v>16</v>
      </c>
      <c r="B39" s="4" t="s">
        <v>106</v>
      </c>
      <c r="C39" s="4" t="s">
        <v>107</v>
      </c>
      <c r="D39" s="4" t="s">
        <v>108</v>
      </c>
      <c r="E39" s="4" t="s">
        <v>109</v>
      </c>
      <c r="F39" s="4" t="s">
        <v>95</v>
      </c>
      <c r="G39" s="4" t="s">
        <v>96</v>
      </c>
      <c r="H39" s="4" t="s">
        <v>59</v>
      </c>
      <c r="I39" s="3"/>
      <c r="J39" s="3"/>
      <c r="K39" s="3"/>
      <c r="L39" s="3"/>
      <c r="M39" s="3"/>
      <c r="N39" s="3"/>
      <c r="O39" s="3"/>
      <c r="P39" s="8"/>
      <c r="Q39" s="8"/>
      <c r="R39" s="3"/>
      <c r="S39" s="3"/>
      <c r="T39" s="3"/>
      <c r="U39" s="5" t="str">
        <f t="shared" si="2"/>
        <v/>
      </c>
    </row>
    <row r="41" spans="1:21" ht="28" customHeight="1" x14ac:dyDescent="0.35">
      <c r="A41" s="9" t="s">
        <v>110</v>
      </c>
      <c r="B41" s="16"/>
      <c r="C41" s="17"/>
      <c r="D41" s="17"/>
      <c r="E41" s="17"/>
      <c r="F41" s="17"/>
      <c r="G41" s="17"/>
      <c r="H41" s="17"/>
      <c r="I41" s="17"/>
      <c r="J41" s="17"/>
      <c r="K41" s="17"/>
      <c r="L41" s="17"/>
      <c r="M41" s="17"/>
      <c r="N41" s="17"/>
      <c r="O41" s="17"/>
      <c r="P41" s="17"/>
      <c r="Q41" s="17"/>
      <c r="R41" s="17"/>
      <c r="S41" s="17"/>
      <c r="T41" s="17"/>
      <c r="U41" s="18"/>
    </row>
    <row r="42" spans="1:21" ht="28" customHeight="1" x14ac:dyDescent="0.35">
      <c r="A42" s="19" t="s">
        <v>587</v>
      </c>
      <c r="B42" s="20"/>
      <c r="C42" s="20"/>
      <c r="D42" s="20"/>
      <c r="E42" s="20"/>
      <c r="F42" s="20"/>
      <c r="G42" s="20"/>
      <c r="H42" s="20"/>
      <c r="I42" s="20"/>
      <c r="J42" s="20"/>
      <c r="K42" s="20"/>
      <c r="L42" s="20"/>
      <c r="M42" s="20"/>
      <c r="N42" s="20"/>
      <c r="O42" s="20"/>
      <c r="P42" s="20"/>
      <c r="Q42" s="20"/>
      <c r="R42" s="20"/>
      <c r="S42" s="20"/>
      <c r="T42" s="20"/>
      <c r="U42" s="21"/>
    </row>
    <row r="43" spans="1:21" ht="28" customHeight="1" x14ac:dyDescent="0.35">
      <c r="A43" s="4" t="s">
        <v>31</v>
      </c>
      <c r="B43" s="3" t="s">
        <v>19</v>
      </c>
      <c r="C43" s="4" t="s">
        <v>32</v>
      </c>
      <c r="D43" s="3"/>
      <c r="E43" s="4" t="s">
        <v>33</v>
      </c>
      <c r="F43" s="8"/>
    </row>
    <row r="44" spans="1:21" ht="28" customHeight="1" x14ac:dyDescent="0.35">
      <c r="A44" s="1" t="s">
        <v>34</v>
      </c>
      <c r="B44" s="1" t="s">
        <v>35</v>
      </c>
      <c r="C44" s="1" t="s">
        <v>36</v>
      </c>
      <c r="D44" s="1" t="s">
        <v>37</v>
      </c>
      <c r="E44" s="1" t="s">
        <v>38</v>
      </c>
      <c r="F44" s="1" t="s">
        <v>39</v>
      </c>
      <c r="G44" s="1" t="s">
        <v>40</v>
      </c>
      <c r="H44" s="1" t="s">
        <v>41</v>
      </c>
      <c r="I44" s="1" t="s">
        <v>42</v>
      </c>
      <c r="J44" s="1" t="s">
        <v>43</v>
      </c>
      <c r="K44" s="1" t="s">
        <v>44</v>
      </c>
      <c r="L44" s="1" t="s">
        <v>45</v>
      </c>
      <c r="M44" s="1" t="s">
        <v>46</v>
      </c>
      <c r="N44" s="1" t="s">
        <v>47</v>
      </c>
      <c r="O44" s="1" t="s">
        <v>48</v>
      </c>
      <c r="P44" s="1" t="s">
        <v>4</v>
      </c>
      <c r="Q44" s="1" t="s">
        <v>49</v>
      </c>
      <c r="R44" s="1" t="s">
        <v>50</v>
      </c>
      <c r="S44" s="1" t="s">
        <v>51</v>
      </c>
      <c r="T44" s="1" t="s">
        <v>52</v>
      </c>
      <c r="U44" s="1" t="s">
        <v>10</v>
      </c>
    </row>
    <row r="45" spans="1:21" ht="28" customHeight="1" x14ac:dyDescent="0.35">
      <c r="A45" s="4">
        <v>1</v>
      </c>
      <c r="B45" s="4" t="s">
        <v>53</v>
      </c>
      <c r="C45" s="4" t="s">
        <v>579</v>
      </c>
      <c r="D45" s="4" t="s">
        <v>580</v>
      </c>
      <c r="E45" s="4" t="s">
        <v>56</v>
      </c>
      <c r="F45" s="4" t="s">
        <v>57</v>
      </c>
      <c r="G45" s="4" t="s">
        <v>58</v>
      </c>
      <c r="H45" s="4" t="s">
        <v>59</v>
      </c>
      <c r="I45" s="3"/>
      <c r="J45" s="3"/>
      <c r="K45" s="3"/>
      <c r="L45" s="3"/>
      <c r="M45" s="3"/>
      <c r="N45" s="3"/>
      <c r="O45" s="3"/>
      <c r="P45" s="8"/>
      <c r="Q45" s="8"/>
      <c r="R45" s="3"/>
      <c r="S45" s="3"/>
      <c r="T45" s="3"/>
      <c r="U45" s="5" t="str">
        <f t="shared" ref="U45:U60" si="3">IF(I45="","",IF(I45="NA","Grey",IF(I45=2,"Green",IF(I45=1,"Amber","Red"))))</f>
        <v/>
      </c>
    </row>
    <row r="46" spans="1:21" ht="28" customHeight="1" x14ac:dyDescent="0.35">
      <c r="A46" s="4">
        <v>2</v>
      </c>
      <c r="B46" s="4" t="s">
        <v>53</v>
      </c>
      <c r="C46" s="4" t="s">
        <v>581</v>
      </c>
      <c r="D46" s="4" t="s">
        <v>582</v>
      </c>
      <c r="E46" s="4" t="s">
        <v>56</v>
      </c>
      <c r="F46" s="4" t="s">
        <v>57</v>
      </c>
      <c r="G46" s="4" t="s">
        <v>58</v>
      </c>
      <c r="H46" s="4" t="s">
        <v>59</v>
      </c>
      <c r="I46" s="3"/>
      <c r="J46" s="3"/>
      <c r="K46" s="3"/>
      <c r="L46" s="3"/>
      <c r="M46" s="3"/>
      <c r="N46" s="3"/>
      <c r="O46" s="3"/>
      <c r="P46" s="8"/>
      <c r="Q46" s="8"/>
      <c r="R46" s="3"/>
      <c r="S46" s="3"/>
      <c r="T46" s="3"/>
      <c r="U46" s="5" t="str">
        <f t="shared" si="3"/>
        <v/>
      </c>
    </row>
    <row r="47" spans="1:21" ht="28" customHeight="1" x14ac:dyDescent="0.35">
      <c r="A47" s="4">
        <v>3</v>
      </c>
      <c r="B47" s="4" t="s">
        <v>53</v>
      </c>
      <c r="C47" s="4" t="s">
        <v>583</v>
      </c>
      <c r="D47" s="4" t="s">
        <v>584</v>
      </c>
      <c r="E47" s="4" t="s">
        <v>56</v>
      </c>
      <c r="F47" s="4" t="s">
        <v>57</v>
      </c>
      <c r="G47" s="4" t="s">
        <v>58</v>
      </c>
      <c r="H47" s="4" t="s">
        <v>59</v>
      </c>
      <c r="I47" s="3"/>
      <c r="J47" s="3"/>
      <c r="K47" s="3"/>
      <c r="L47" s="3"/>
      <c r="M47" s="3"/>
      <c r="N47" s="3"/>
      <c r="O47" s="3"/>
      <c r="P47" s="8"/>
      <c r="Q47" s="8"/>
      <c r="R47" s="3"/>
      <c r="S47" s="3"/>
      <c r="T47" s="3"/>
      <c r="U47" s="5" t="str">
        <f t="shared" si="3"/>
        <v/>
      </c>
    </row>
    <row r="48" spans="1:21" ht="28" customHeight="1" x14ac:dyDescent="0.35">
      <c r="A48" s="4">
        <v>4</v>
      </c>
      <c r="B48" s="4" t="s">
        <v>53</v>
      </c>
      <c r="C48" s="4" t="s">
        <v>585</v>
      </c>
      <c r="D48" s="4" t="s">
        <v>586</v>
      </c>
      <c r="E48" s="4" t="s">
        <v>56</v>
      </c>
      <c r="F48" s="4" t="s">
        <v>57</v>
      </c>
      <c r="G48" s="4" t="s">
        <v>58</v>
      </c>
      <c r="H48" s="4" t="s">
        <v>59</v>
      </c>
      <c r="I48" s="3"/>
      <c r="J48" s="3"/>
      <c r="K48" s="3"/>
      <c r="L48" s="3"/>
      <c r="M48" s="3"/>
      <c r="N48" s="3"/>
      <c r="O48" s="3"/>
      <c r="P48" s="8"/>
      <c r="Q48" s="8"/>
      <c r="R48" s="3"/>
      <c r="S48" s="3"/>
      <c r="T48" s="3"/>
      <c r="U48" s="5" t="str">
        <f t="shared" si="3"/>
        <v/>
      </c>
    </row>
    <row r="49" spans="1:21" ht="28" customHeight="1" x14ac:dyDescent="0.35">
      <c r="A49" s="4">
        <v>5</v>
      </c>
      <c r="B49" s="4" t="s">
        <v>66</v>
      </c>
      <c r="C49" s="4" t="s">
        <v>67</v>
      </c>
      <c r="D49" s="4" t="s">
        <v>68</v>
      </c>
      <c r="E49" s="4" t="s">
        <v>69</v>
      </c>
      <c r="F49" s="4" t="s">
        <v>57</v>
      </c>
      <c r="G49" s="4" t="s">
        <v>58</v>
      </c>
      <c r="H49" s="4" t="s">
        <v>59</v>
      </c>
      <c r="I49" s="3"/>
      <c r="J49" s="3"/>
      <c r="K49" s="3"/>
      <c r="L49" s="3"/>
      <c r="M49" s="3"/>
      <c r="N49" s="3"/>
      <c r="O49" s="3"/>
      <c r="P49" s="8"/>
      <c r="Q49" s="8"/>
      <c r="R49" s="3"/>
      <c r="S49" s="3"/>
      <c r="T49" s="3"/>
      <c r="U49" s="5" t="str">
        <f t="shared" si="3"/>
        <v/>
      </c>
    </row>
    <row r="50" spans="1:21" ht="28" customHeight="1" x14ac:dyDescent="0.35">
      <c r="A50" s="4">
        <v>6</v>
      </c>
      <c r="B50" s="4" t="s">
        <v>70</v>
      </c>
      <c r="C50" s="4" t="s">
        <v>71</v>
      </c>
      <c r="D50" s="4" t="s">
        <v>72</v>
      </c>
      <c r="E50" s="4" t="s">
        <v>70</v>
      </c>
      <c r="F50" s="4" t="s">
        <v>57</v>
      </c>
      <c r="G50" s="4" t="s">
        <v>58</v>
      </c>
      <c r="H50" s="4" t="s">
        <v>59</v>
      </c>
      <c r="I50" s="3"/>
      <c r="J50" s="3"/>
      <c r="K50" s="3"/>
      <c r="L50" s="3"/>
      <c r="M50" s="3"/>
      <c r="N50" s="3"/>
      <c r="O50" s="3"/>
      <c r="P50" s="8"/>
      <c r="Q50" s="8"/>
      <c r="R50" s="3"/>
      <c r="S50" s="3"/>
      <c r="T50" s="3"/>
      <c r="U50" s="5" t="str">
        <f t="shared" si="3"/>
        <v/>
      </c>
    </row>
    <row r="51" spans="1:21" ht="28" customHeight="1" x14ac:dyDescent="0.35">
      <c r="A51" s="4">
        <v>7</v>
      </c>
      <c r="B51" s="4" t="s">
        <v>73</v>
      </c>
      <c r="C51" s="4" t="s">
        <v>74</v>
      </c>
      <c r="D51" s="4" t="s">
        <v>75</v>
      </c>
      <c r="E51" s="4" t="s">
        <v>69</v>
      </c>
      <c r="F51" s="4" t="s">
        <v>57</v>
      </c>
      <c r="G51" s="4" t="s">
        <v>58</v>
      </c>
      <c r="H51" s="4" t="s">
        <v>76</v>
      </c>
      <c r="I51" s="3"/>
      <c r="J51" s="3"/>
      <c r="K51" s="3"/>
      <c r="L51" s="3"/>
      <c r="M51" s="3"/>
      <c r="N51" s="3"/>
      <c r="O51" s="3"/>
      <c r="P51" s="8"/>
      <c r="Q51" s="8"/>
      <c r="R51" s="3"/>
      <c r="S51" s="3"/>
      <c r="T51" s="3"/>
      <c r="U51" s="5" t="str">
        <f t="shared" si="3"/>
        <v/>
      </c>
    </row>
    <row r="52" spans="1:21" ht="28" customHeight="1" x14ac:dyDescent="0.35">
      <c r="A52" s="4">
        <v>8</v>
      </c>
      <c r="B52" s="4" t="s">
        <v>77</v>
      </c>
      <c r="C52" s="4" t="s">
        <v>78</v>
      </c>
      <c r="D52" s="4" t="s">
        <v>79</v>
      </c>
      <c r="E52" s="4" t="s">
        <v>80</v>
      </c>
      <c r="F52" s="4" t="s">
        <v>57</v>
      </c>
      <c r="G52" s="4" t="s">
        <v>58</v>
      </c>
      <c r="H52" s="4" t="s">
        <v>59</v>
      </c>
      <c r="I52" s="3"/>
      <c r="J52" s="3"/>
      <c r="K52" s="3"/>
      <c r="L52" s="3"/>
      <c r="M52" s="3"/>
      <c r="N52" s="3"/>
      <c r="O52" s="3"/>
      <c r="P52" s="8"/>
      <c r="Q52" s="8"/>
      <c r="R52" s="3"/>
      <c r="S52" s="3"/>
      <c r="T52" s="3"/>
      <c r="U52" s="5" t="str">
        <f t="shared" si="3"/>
        <v/>
      </c>
    </row>
    <row r="53" spans="1:21" ht="28" customHeight="1" x14ac:dyDescent="0.35">
      <c r="A53" s="4">
        <v>9</v>
      </c>
      <c r="B53" s="4" t="s">
        <v>81</v>
      </c>
      <c r="C53" s="4" t="s">
        <v>82</v>
      </c>
      <c r="D53" s="4" t="s">
        <v>83</v>
      </c>
      <c r="E53" s="4" t="s">
        <v>84</v>
      </c>
      <c r="F53" s="4" t="s">
        <v>57</v>
      </c>
      <c r="G53" s="4" t="s">
        <v>58</v>
      </c>
      <c r="H53" s="4" t="s">
        <v>85</v>
      </c>
      <c r="I53" s="3"/>
      <c r="J53" s="3"/>
      <c r="K53" s="3"/>
      <c r="L53" s="3"/>
      <c r="M53" s="3"/>
      <c r="N53" s="3"/>
      <c r="O53" s="3"/>
      <c r="P53" s="8"/>
      <c r="Q53" s="8"/>
      <c r="R53" s="3"/>
      <c r="S53" s="3"/>
      <c r="T53" s="3"/>
      <c r="U53" s="5" t="str">
        <f t="shared" si="3"/>
        <v/>
      </c>
    </row>
    <row r="54" spans="1:21" ht="28" customHeight="1" x14ac:dyDescent="0.35">
      <c r="A54" s="4">
        <v>10</v>
      </c>
      <c r="B54" s="4" t="s">
        <v>86</v>
      </c>
      <c r="C54" s="4" t="s">
        <v>87</v>
      </c>
      <c r="D54" s="4" t="s">
        <v>88</v>
      </c>
      <c r="E54" s="4" t="s">
        <v>69</v>
      </c>
      <c r="F54" s="4" t="s">
        <v>57</v>
      </c>
      <c r="G54" s="4" t="s">
        <v>58</v>
      </c>
      <c r="H54" s="4" t="s">
        <v>59</v>
      </c>
      <c r="I54" s="3"/>
      <c r="J54" s="3"/>
      <c r="K54" s="3"/>
      <c r="L54" s="3"/>
      <c r="M54" s="3"/>
      <c r="N54" s="3"/>
      <c r="O54" s="3"/>
      <c r="P54" s="8"/>
      <c r="Q54" s="8"/>
      <c r="R54" s="3"/>
      <c r="S54" s="3"/>
      <c r="T54" s="3"/>
      <c r="U54" s="5" t="str">
        <f t="shared" si="3"/>
        <v/>
      </c>
    </row>
    <row r="55" spans="1:21" ht="28" customHeight="1" x14ac:dyDescent="0.35">
      <c r="A55" s="4">
        <v>11</v>
      </c>
      <c r="B55" s="4" t="s">
        <v>89</v>
      </c>
      <c r="C55" s="4" t="s">
        <v>90</v>
      </c>
      <c r="D55" s="4" t="s">
        <v>91</v>
      </c>
      <c r="E55" s="4" t="s">
        <v>84</v>
      </c>
      <c r="F55" s="4" t="s">
        <v>57</v>
      </c>
      <c r="G55" s="4" t="s">
        <v>58</v>
      </c>
      <c r="H55" s="4" t="s">
        <v>59</v>
      </c>
      <c r="I55" s="3"/>
      <c r="J55" s="3"/>
      <c r="K55" s="3"/>
      <c r="L55" s="3"/>
      <c r="M55" s="3"/>
      <c r="N55" s="3"/>
      <c r="O55" s="3"/>
      <c r="P55" s="8"/>
      <c r="Q55" s="8"/>
      <c r="R55" s="3"/>
      <c r="S55" s="3"/>
      <c r="T55" s="3"/>
      <c r="U55" s="5" t="str">
        <f t="shared" si="3"/>
        <v/>
      </c>
    </row>
    <row r="56" spans="1:21" ht="28" customHeight="1" x14ac:dyDescent="0.35">
      <c r="A56" s="4">
        <v>12</v>
      </c>
      <c r="B56" s="4" t="s">
        <v>92</v>
      </c>
      <c r="C56" s="4" t="s">
        <v>93</v>
      </c>
      <c r="D56" s="4" t="s">
        <v>94</v>
      </c>
      <c r="E56" s="4" t="s">
        <v>69</v>
      </c>
      <c r="F56" s="4" t="s">
        <v>95</v>
      </c>
      <c r="G56" s="4" t="s">
        <v>96</v>
      </c>
      <c r="H56" s="4" t="s">
        <v>59</v>
      </c>
      <c r="I56" s="3"/>
      <c r="J56" s="3"/>
      <c r="K56" s="3"/>
      <c r="L56" s="3"/>
      <c r="M56" s="3"/>
      <c r="N56" s="3"/>
      <c r="O56" s="3"/>
      <c r="P56" s="8"/>
      <c r="Q56" s="8"/>
      <c r="R56" s="3"/>
      <c r="S56" s="3"/>
      <c r="T56" s="3"/>
      <c r="U56" s="5" t="str">
        <f t="shared" si="3"/>
        <v/>
      </c>
    </row>
    <row r="57" spans="1:21" ht="28" customHeight="1" x14ac:dyDescent="0.35">
      <c r="A57" s="4">
        <v>13</v>
      </c>
      <c r="B57" s="4" t="s">
        <v>97</v>
      </c>
      <c r="C57" s="4" t="s">
        <v>98</v>
      </c>
      <c r="D57" s="4" t="s">
        <v>99</v>
      </c>
      <c r="E57" s="4" t="s">
        <v>69</v>
      </c>
      <c r="F57" s="4" t="s">
        <v>95</v>
      </c>
      <c r="G57" s="4" t="s">
        <v>96</v>
      </c>
      <c r="H57" s="4" t="s">
        <v>59</v>
      </c>
      <c r="I57" s="3"/>
      <c r="J57" s="3"/>
      <c r="K57" s="3"/>
      <c r="L57" s="3"/>
      <c r="M57" s="3"/>
      <c r="N57" s="3"/>
      <c r="O57" s="3"/>
      <c r="P57" s="8"/>
      <c r="Q57" s="8"/>
      <c r="R57" s="3"/>
      <c r="S57" s="3"/>
      <c r="T57" s="3"/>
      <c r="U57" s="5" t="str">
        <f t="shared" si="3"/>
        <v/>
      </c>
    </row>
    <row r="58" spans="1:21" ht="28" customHeight="1" x14ac:dyDescent="0.35">
      <c r="A58" s="4">
        <v>14</v>
      </c>
      <c r="B58" s="4" t="s">
        <v>97</v>
      </c>
      <c r="C58" s="4" t="s">
        <v>100</v>
      </c>
      <c r="D58" s="4" t="s">
        <v>101</v>
      </c>
      <c r="E58" s="4" t="s">
        <v>69</v>
      </c>
      <c r="F58" s="4" t="s">
        <v>95</v>
      </c>
      <c r="G58" s="4" t="s">
        <v>102</v>
      </c>
      <c r="H58" s="4" t="s">
        <v>59</v>
      </c>
      <c r="I58" s="3"/>
      <c r="J58" s="3"/>
      <c r="K58" s="3"/>
      <c r="L58" s="3"/>
      <c r="M58" s="3"/>
      <c r="N58" s="3"/>
      <c r="O58" s="3"/>
      <c r="P58" s="8"/>
      <c r="Q58" s="8"/>
      <c r="R58" s="3"/>
      <c r="S58" s="3"/>
      <c r="T58" s="3"/>
      <c r="U58" s="5" t="str">
        <f t="shared" si="3"/>
        <v/>
      </c>
    </row>
    <row r="59" spans="1:21" ht="28" customHeight="1" x14ac:dyDescent="0.35">
      <c r="A59" s="4">
        <v>15</v>
      </c>
      <c r="B59" s="4" t="s">
        <v>103</v>
      </c>
      <c r="C59" s="4" t="s">
        <v>104</v>
      </c>
      <c r="D59" s="4" t="s">
        <v>105</v>
      </c>
      <c r="E59" s="4" t="s">
        <v>69</v>
      </c>
      <c r="F59" s="4" t="s">
        <v>95</v>
      </c>
      <c r="G59" s="4" t="s">
        <v>96</v>
      </c>
      <c r="H59" s="4" t="s">
        <v>85</v>
      </c>
      <c r="I59" s="3"/>
      <c r="J59" s="3"/>
      <c r="K59" s="3"/>
      <c r="L59" s="3"/>
      <c r="M59" s="3"/>
      <c r="N59" s="3"/>
      <c r="O59" s="3"/>
      <c r="P59" s="8"/>
      <c r="Q59" s="8"/>
      <c r="R59" s="3"/>
      <c r="S59" s="3"/>
      <c r="T59" s="3"/>
      <c r="U59" s="5" t="str">
        <f t="shared" si="3"/>
        <v/>
      </c>
    </row>
    <row r="60" spans="1:21" ht="28" customHeight="1" x14ac:dyDescent="0.35">
      <c r="A60" s="4">
        <v>16</v>
      </c>
      <c r="B60" s="4" t="s">
        <v>106</v>
      </c>
      <c r="C60" s="4" t="s">
        <v>107</v>
      </c>
      <c r="D60" s="4" t="s">
        <v>108</v>
      </c>
      <c r="E60" s="4" t="s">
        <v>109</v>
      </c>
      <c r="F60" s="4" t="s">
        <v>95</v>
      </c>
      <c r="G60" s="4" t="s">
        <v>96</v>
      </c>
      <c r="H60" s="4" t="s">
        <v>59</v>
      </c>
      <c r="I60" s="3"/>
      <c r="J60" s="3"/>
      <c r="K60" s="3"/>
      <c r="L60" s="3"/>
      <c r="M60" s="3"/>
      <c r="N60" s="3"/>
      <c r="O60" s="3"/>
      <c r="P60" s="8"/>
      <c r="Q60" s="8"/>
      <c r="R60" s="3"/>
      <c r="S60" s="3"/>
      <c r="T60" s="3"/>
      <c r="U60" s="5" t="str">
        <f t="shared" si="3"/>
        <v/>
      </c>
    </row>
    <row r="62" spans="1:21" ht="28" customHeight="1" x14ac:dyDescent="0.35">
      <c r="A62" s="9" t="s">
        <v>110</v>
      </c>
      <c r="B62" s="16"/>
      <c r="C62" s="17"/>
      <c r="D62" s="17"/>
      <c r="E62" s="17"/>
      <c r="F62" s="17"/>
      <c r="G62" s="17"/>
      <c r="H62" s="17"/>
      <c r="I62" s="17"/>
      <c r="J62" s="17"/>
      <c r="K62" s="17"/>
      <c r="L62" s="17"/>
      <c r="M62" s="17"/>
      <c r="N62" s="17"/>
      <c r="O62" s="17"/>
      <c r="P62" s="17"/>
      <c r="Q62" s="17"/>
      <c r="R62" s="17"/>
      <c r="S62" s="17"/>
      <c r="T62" s="17"/>
      <c r="U62" s="18"/>
    </row>
    <row r="63" spans="1:21" ht="28" customHeight="1" x14ac:dyDescent="0.35">
      <c r="A63" s="19" t="s">
        <v>588</v>
      </c>
      <c r="B63" s="20"/>
      <c r="C63" s="20"/>
      <c r="D63" s="20"/>
      <c r="E63" s="20"/>
      <c r="F63" s="20"/>
      <c r="G63" s="20"/>
      <c r="H63" s="20"/>
      <c r="I63" s="20"/>
      <c r="J63" s="20"/>
      <c r="K63" s="20"/>
      <c r="L63" s="20"/>
      <c r="M63" s="20"/>
      <c r="N63" s="20"/>
      <c r="O63" s="20"/>
      <c r="P63" s="20"/>
      <c r="Q63" s="20"/>
      <c r="R63" s="20"/>
      <c r="S63" s="20"/>
      <c r="T63" s="20"/>
      <c r="U63" s="21"/>
    </row>
    <row r="64" spans="1:21" ht="28" customHeight="1" x14ac:dyDescent="0.35">
      <c r="A64" s="4" t="s">
        <v>31</v>
      </c>
      <c r="B64" s="3" t="s">
        <v>20</v>
      </c>
      <c r="C64" s="4" t="s">
        <v>32</v>
      </c>
      <c r="D64" s="3"/>
      <c r="E64" s="4" t="s">
        <v>33</v>
      </c>
      <c r="F64" s="8"/>
    </row>
    <row r="65" spans="1:21" ht="28" customHeight="1" x14ac:dyDescent="0.35">
      <c r="A65" s="1" t="s">
        <v>34</v>
      </c>
      <c r="B65" s="1" t="s">
        <v>35</v>
      </c>
      <c r="C65" s="1" t="s">
        <v>36</v>
      </c>
      <c r="D65" s="1" t="s">
        <v>37</v>
      </c>
      <c r="E65" s="1" t="s">
        <v>38</v>
      </c>
      <c r="F65" s="1" t="s">
        <v>39</v>
      </c>
      <c r="G65" s="1" t="s">
        <v>40</v>
      </c>
      <c r="H65" s="1" t="s">
        <v>41</v>
      </c>
      <c r="I65" s="1" t="s">
        <v>42</v>
      </c>
      <c r="J65" s="1" t="s">
        <v>43</v>
      </c>
      <c r="K65" s="1" t="s">
        <v>44</v>
      </c>
      <c r="L65" s="1" t="s">
        <v>45</v>
      </c>
      <c r="M65" s="1" t="s">
        <v>46</v>
      </c>
      <c r="N65" s="1" t="s">
        <v>47</v>
      </c>
      <c r="O65" s="1" t="s">
        <v>48</v>
      </c>
      <c r="P65" s="1" t="s">
        <v>4</v>
      </c>
      <c r="Q65" s="1" t="s">
        <v>49</v>
      </c>
      <c r="R65" s="1" t="s">
        <v>50</v>
      </c>
      <c r="S65" s="1" t="s">
        <v>51</v>
      </c>
      <c r="T65" s="1" t="s">
        <v>52</v>
      </c>
      <c r="U65" s="1" t="s">
        <v>10</v>
      </c>
    </row>
    <row r="66" spans="1:21" ht="28" customHeight="1" x14ac:dyDescent="0.35">
      <c r="A66" s="4">
        <v>1</v>
      </c>
      <c r="B66" s="4" t="s">
        <v>53</v>
      </c>
      <c r="C66" s="4" t="s">
        <v>579</v>
      </c>
      <c r="D66" s="4" t="s">
        <v>580</v>
      </c>
      <c r="E66" s="4" t="s">
        <v>56</v>
      </c>
      <c r="F66" s="4" t="s">
        <v>57</v>
      </c>
      <c r="G66" s="4" t="s">
        <v>58</v>
      </c>
      <c r="H66" s="4" t="s">
        <v>59</v>
      </c>
      <c r="I66" s="3"/>
      <c r="J66" s="3"/>
      <c r="K66" s="3"/>
      <c r="L66" s="3"/>
      <c r="M66" s="3"/>
      <c r="N66" s="3"/>
      <c r="O66" s="3"/>
      <c r="P66" s="8"/>
      <c r="Q66" s="8"/>
      <c r="R66" s="3"/>
      <c r="S66" s="3"/>
      <c r="T66" s="3"/>
      <c r="U66" s="5" t="str">
        <f t="shared" ref="U66:U81" si="4">IF(I66="","",IF(I66="NA","Grey",IF(I66=2,"Green",IF(I66=1,"Amber","Red"))))</f>
        <v/>
      </c>
    </row>
    <row r="67" spans="1:21" ht="28" customHeight="1" x14ac:dyDescent="0.35">
      <c r="A67" s="4">
        <v>2</v>
      </c>
      <c r="B67" s="4" t="s">
        <v>53</v>
      </c>
      <c r="C67" s="4" t="s">
        <v>581</v>
      </c>
      <c r="D67" s="4" t="s">
        <v>582</v>
      </c>
      <c r="E67" s="4" t="s">
        <v>56</v>
      </c>
      <c r="F67" s="4" t="s">
        <v>57</v>
      </c>
      <c r="G67" s="4" t="s">
        <v>58</v>
      </c>
      <c r="H67" s="4" t="s">
        <v>59</v>
      </c>
      <c r="I67" s="3"/>
      <c r="J67" s="3"/>
      <c r="K67" s="3"/>
      <c r="L67" s="3"/>
      <c r="M67" s="3"/>
      <c r="N67" s="3"/>
      <c r="O67" s="3"/>
      <c r="P67" s="8"/>
      <c r="Q67" s="8"/>
      <c r="R67" s="3"/>
      <c r="S67" s="3"/>
      <c r="T67" s="3"/>
      <c r="U67" s="5" t="str">
        <f t="shared" si="4"/>
        <v/>
      </c>
    </row>
    <row r="68" spans="1:21" ht="28" customHeight="1" x14ac:dyDescent="0.35">
      <c r="A68" s="4">
        <v>3</v>
      </c>
      <c r="B68" s="4" t="s">
        <v>53</v>
      </c>
      <c r="C68" s="4" t="s">
        <v>583</v>
      </c>
      <c r="D68" s="4" t="s">
        <v>584</v>
      </c>
      <c r="E68" s="4" t="s">
        <v>56</v>
      </c>
      <c r="F68" s="4" t="s">
        <v>57</v>
      </c>
      <c r="G68" s="4" t="s">
        <v>58</v>
      </c>
      <c r="H68" s="4" t="s">
        <v>59</v>
      </c>
      <c r="I68" s="3"/>
      <c r="J68" s="3"/>
      <c r="K68" s="3"/>
      <c r="L68" s="3"/>
      <c r="M68" s="3"/>
      <c r="N68" s="3"/>
      <c r="O68" s="3"/>
      <c r="P68" s="8"/>
      <c r="Q68" s="8"/>
      <c r="R68" s="3"/>
      <c r="S68" s="3"/>
      <c r="T68" s="3"/>
      <c r="U68" s="5" t="str">
        <f t="shared" si="4"/>
        <v/>
      </c>
    </row>
    <row r="69" spans="1:21" ht="28" customHeight="1" x14ac:dyDescent="0.35">
      <c r="A69" s="4">
        <v>4</v>
      </c>
      <c r="B69" s="4" t="s">
        <v>53</v>
      </c>
      <c r="C69" s="4" t="s">
        <v>585</v>
      </c>
      <c r="D69" s="4" t="s">
        <v>586</v>
      </c>
      <c r="E69" s="4" t="s">
        <v>56</v>
      </c>
      <c r="F69" s="4" t="s">
        <v>57</v>
      </c>
      <c r="G69" s="4" t="s">
        <v>58</v>
      </c>
      <c r="H69" s="4" t="s">
        <v>59</v>
      </c>
      <c r="I69" s="3"/>
      <c r="J69" s="3"/>
      <c r="K69" s="3"/>
      <c r="L69" s="3"/>
      <c r="M69" s="3"/>
      <c r="N69" s="3"/>
      <c r="O69" s="3"/>
      <c r="P69" s="8"/>
      <c r="Q69" s="8"/>
      <c r="R69" s="3"/>
      <c r="S69" s="3"/>
      <c r="T69" s="3"/>
      <c r="U69" s="5" t="str">
        <f t="shared" si="4"/>
        <v/>
      </c>
    </row>
    <row r="70" spans="1:21" ht="28" customHeight="1" x14ac:dyDescent="0.35">
      <c r="A70" s="4">
        <v>5</v>
      </c>
      <c r="B70" s="4" t="s">
        <v>66</v>
      </c>
      <c r="C70" s="4" t="s">
        <v>67</v>
      </c>
      <c r="D70" s="4" t="s">
        <v>68</v>
      </c>
      <c r="E70" s="4" t="s">
        <v>69</v>
      </c>
      <c r="F70" s="4" t="s">
        <v>57</v>
      </c>
      <c r="G70" s="4" t="s">
        <v>58</v>
      </c>
      <c r="H70" s="4" t="s">
        <v>59</v>
      </c>
      <c r="I70" s="3"/>
      <c r="J70" s="3"/>
      <c r="K70" s="3"/>
      <c r="L70" s="3"/>
      <c r="M70" s="3"/>
      <c r="N70" s="3"/>
      <c r="O70" s="3"/>
      <c r="P70" s="8"/>
      <c r="Q70" s="8"/>
      <c r="R70" s="3"/>
      <c r="S70" s="3"/>
      <c r="T70" s="3"/>
      <c r="U70" s="5" t="str">
        <f t="shared" si="4"/>
        <v/>
      </c>
    </row>
    <row r="71" spans="1:21" ht="28" customHeight="1" x14ac:dyDescent="0.35">
      <c r="A71" s="4">
        <v>6</v>
      </c>
      <c r="B71" s="4" t="s">
        <v>70</v>
      </c>
      <c r="C71" s="4" t="s">
        <v>71</v>
      </c>
      <c r="D71" s="4" t="s">
        <v>72</v>
      </c>
      <c r="E71" s="4" t="s">
        <v>70</v>
      </c>
      <c r="F71" s="4" t="s">
        <v>57</v>
      </c>
      <c r="G71" s="4" t="s">
        <v>58</v>
      </c>
      <c r="H71" s="4" t="s">
        <v>59</v>
      </c>
      <c r="I71" s="3"/>
      <c r="J71" s="3"/>
      <c r="K71" s="3"/>
      <c r="L71" s="3"/>
      <c r="M71" s="3"/>
      <c r="N71" s="3"/>
      <c r="O71" s="3"/>
      <c r="P71" s="8"/>
      <c r="Q71" s="8"/>
      <c r="R71" s="3"/>
      <c r="S71" s="3"/>
      <c r="T71" s="3"/>
      <c r="U71" s="5" t="str">
        <f t="shared" si="4"/>
        <v/>
      </c>
    </row>
    <row r="72" spans="1:21" ht="28" customHeight="1" x14ac:dyDescent="0.35">
      <c r="A72" s="4">
        <v>7</v>
      </c>
      <c r="B72" s="4" t="s">
        <v>73</v>
      </c>
      <c r="C72" s="4" t="s">
        <v>74</v>
      </c>
      <c r="D72" s="4" t="s">
        <v>75</v>
      </c>
      <c r="E72" s="4" t="s">
        <v>69</v>
      </c>
      <c r="F72" s="4" t="s">
        <v>57</v>
      </c>
      <c r="G72" s="4" t="s">
        <v>58</v>
      </c>
      <c r="H72" s="4" t="s">
        <v>76</v>
      </c>
      <c r="I72" s="3"/>
      <c r="J72" s="3"/>
      <c r="K72" s="3"/>
      <c r="L72" s="3"/>
      <c r="M72" s="3"/>
      <c r="N72" s="3"/>
      <c r="O72" s="3"/>
      <c r="P72" s="8"/>
      <c r="Q72" s="8"/>
      <c r="R72" s="3"/>
      <c r="S72" s="3"/>
      <c r="T72" s="3"/>
      <c r="U72" s="5" t="str">
        <f t="shared" si="4"/>
        <v/>
      </c>
    </row>
    <row r="73" spans="1:21" ht="28" customHeight="1" x14ac:dyDescent="0.35">
      <c r="A73" s="4">
        <v>8</v>
      </c>
      <c r="B73" s="4" t="s">
        <v>77</v>
      </c>
      <c r="C73" s="4" t="s">
        <v>78</v>
      </c>
      <c r="D73" s="4" t="s">
        <v>79</v>
      </c>
      <c r="E73" s="4" t="s">
        <v>80</v>
      </c>
      <c r="F73" s="4" t="s">
        <v>57</v>
      </c>
      <c r="G73" s="4" t="s">
        <v>58</v>
      </c>
      <c r="H73" s="4" t="s">
        <v>59</v>
      </c>
      <c r="I73" s="3"/>
      <c r="J73" s="3"/>
      <c r="K73" s="3"/>
      <c r="L73" s="3"/>
      <c r="M73" s="3"/>
      <c r="N73" s="3"/>
      <c r="O73" s="3"/>
      <c r="P73" s="8"/>
      <c r="Q73" s="8"/>
      <c r="R73" s="3"/>
      <c r="S73" s="3"/>
      <c r="T73" s="3"/>
      <c r="U73" s="5" t="str">
        <f t="shared" si="4"/>
        <v/>
      </c>
    </row>
    <row r="74" spans="1:21" ht="28" customHeight="1" x14ac:dyDescent="0.35">
      <c r="A74" s="4">
        <v>9</v>
      </c>
      <c r="B74" s="4" t="s">
        <v>81</v>
      </c>
      <c r="C74" s="4" t="s">
        <v>82</v>
      </c>
      <c r="D74" s="4" t="s">
        <v>83</v>
      </c>
      <c r="E74" s="4" t="s">
        <v>84</v>
      </c>
      <c r="F74" s="4" t="s">
        <v>57</v>
      </c>
      <c r="G74" s="4" t="s">
        <v>58</v>
      </c>
      <c r="H74" s="4" t="s">
        <v>85</v>
      </c>
      <c r="I74" s="3"/>
      <c r="J74" s="3"/>
      <c r="K74" s="3"/>
      <c r="L74" s="3"/>
      <c r="M74" s="3"/>
      <c r="N74" s="3"/>
      <c r="O74" s="3"/>
      <c r="P74" s="8"/>
      <c r="Q74" s="8"/>
      <c r="R74" s="3"/>
      <c r="S74" s="3"/>
      <c r="T74" s="3"/>
      <c r="U74" s="5" t="str">
        <f t="shared" si="4"/>
        <v/>
      </c>
    </row>
    <row r="75" spans="1:21" ht="28" customHeight="1" x14ac:dyDescent="0.35">
      <c r="A75" s="4">
        <v>10</v>
      </c>
      <c r="B75" s="4" t="s">
        <v>86</v>
      </c>
      <c r="C75" s="4" t="s">
        <v>87</v>
      </c>
      <c r="D75" s="4" t="s">
        <v>88</v>
      </c>
      <c r="E75" s="4" t="s">
        <v>69</v>
      </c>
      <c r="F75" s="4" t="s">
        <v>57</v>
      </c>
      <c r="G75" s="4" t="s">
        <v>58</v>
      </c>
      <c r="H75" s="4" t="s">
        <v>59</v>
      </c>
      <c r="I75" s="3"/>
      <c r="J75" s="3"/>
      <c r="K75" s="3"/>
      <c r="L75" s="3"/>
      <c r="M75" s="3"/>
      <c r="N75" s="3"/>
      <c r="O75" s="3"/>
      <c r="P75" s="8"/>
      <c r="Q75" s="8"/>
      <c r="R75" s="3"/>
      <c r="S75" s="3"/>
      <c r="T75" s="3"/>
      <c r="U75" s="5" t="str">
        <f t="shared" si="4"/>
        <v/>
      </c>
    </row>
    <row r="76" spans="1:21" ht="28" customHeight="1" x14ac:dyDescent="0.35">
      <c r="A76" s="4">
        <v>11</v>
      </c>
      <c r="B76" s="4" t="s">
        <v>89</v>
      </c>
      <c r="C76" s="4" t="s">
        <v>90</v>
      </c>
      <c r="D76" s="4" t="s">
        <v>91</v>
      </c>
      <c r="E76" s="4" t="s">
        <v>84</v>
      </c>
      <c r="F76" s="4" t="s">
        <v>57</v>
      </c>
      <c r="G76" s="4" t="s">
        <v>58</v>
      </c>
      <c r="H76" s="4" t="s">
        <v>59</v>
      </c>
      <c r="I76" s="3"/>
      <c r="J76" s="3"/>
      <c r="K76" s="3"/>
      <c r="L76" s="3"/>
      <c r="M76" s="3"/>
      <c r="N76" s="3"/>
      <c r="O76" s="3"/>
      <c r="P76" s="8"/>
      <c r="Q76" s="8"/>
      <c r="R76" s="3"/>
      <c r="S76" s="3"/>
      <c r="T76" s="3"/>
      <c r="U76" s="5" t="str">
        <f t="shared" si="4"/>
        <v/>
      </c>
    </row>
    <row r="77" spans="1:21" ht="28" customHeight="1" x14ac:dyDescent="0.35">
      <c r="A77" s="4">
        <v>12</v>
      </c>
      <c r="B77" s="4" t="s">
        <v>92</v>
      </c>
      <c r="C77" s="4" t="s">
        <v>93</v>
      </c>
      <c r="D77" s="4" t="s">
        <v>94</v>
      </c>
      <c r="E77" s="4" t="s">
        <v>69</v>
      </c>
      <c r="F77" s="4" t="s">
        <v>95</v>
      </c>
      <c r="G77" s="4" t="s">
        <v>96</v>
      </c>
      <c r="H77" s="4" t="s">
        <v>59</v>
      </c>
      <c r="I77" s="3"/>
      <c r="J77" s="3"/>
      <c r="K77" s="3"/>
      <c r="L77" s="3"/>
      <c r="M77" s="3"/>
      <c r="N77" s="3"/>
      <c r="O77" s="3"/>
      <c r="P77" s="8"/>
      <c r="Q77" s="8"/>
      <c r="R77" s="3"/>
      <c r="S77" s="3"/>
      <c r="T77" s="3"/>
      <c r="U77" s="5" t="str">
        <f t="shared" si="4"/>
        <v/>
      </c>
    </row>
    <row r="78" spans="1:21" ht="28" customHeight="1" x14ac:dyDescent="0.35">
      <c r="A78" s="4">
        <v>13</v>
      </c>
      <c r="B78" s="4" t="s">
        <v>97</v>
      </c>
      <c r="C78" s="4" t="s">
        <v>98</v>
      </c>
      <c r="D78" s="4" t="s">
        <v>99</v>
      </c>
      <c r="E78" s="4" t="s">
        <v>69</v>
      </c>
      <c r="F78" s="4" t="s">
        <v>95</v>
      </c>
      <c r="G78" s="4" t="s">
        <v>96</v>
      </c>
      <c r="H78" s="4" t="s">
        <v>59</v>
      </c>
      <c r="I78" s="3"/>
      <c r="J78" s="3"/>
      <c r="K78" s="3"/>
      <c r="L78" s="3"/>
      <c r="M78" s="3"/>
      <c r="N78" s="3"/>
      <c r="O78" s="3"/>
      <c r="P78" s="8"/>
      <c r="Q78" s="8"/>
      <c r="R78" s="3"/>
      <c r="S78" s="3"/>
      <c r="T78" s="3"/>
      <c r="U78" s="5" t="str">
        <f t="shared" si="4"/>
        <v/>
      </c>
    </row>
    <row r="79" spans="1:21" ht="28" customHeight="1" x14ac:dyDescent="0.35">
      <c r="A79" s="4">
        <v>14</v>
      </c>
      <c r="B79" s="4" t="s">
        <v>97</v>
      </c>
      <c r="C79" s="4" t="s">
        <v>100</v>
      </c>
      <c r="D79" s="4" t="s">
        <v>101</v>
      </c>
      <c r="E79" s="4" t="s">
        <v>69</v>
      </c>
      <c r="F79" s="4" t="s">
        <v>95</v>
      </c>
      <c r="G79" s="4" t="s">
        <v>102</v>
      </c>
      <c r="H79" s="4" t="s">
        <v>59</v>
      </c>
      <c r="I79" s="3"/>
      <c r="J79" s="3"/>
      <c r="K79" s="3"/>
      <c r="L79" s="3"/>
      <c r="M79" s="3"/>
      <c r="N79" s="3"/>
      <c r="O79" s="3"/>
      <c r="P79" s="8"/>
      <c r="Q79" s="8"/>
      <c r="R79" s="3"/>
      <c r="S79" s="3"/>
      <c r="T79" s="3"/>
      <c r="U79" s="5" t="str">
        <f t="shared" si="4"/>
        <v/>
      </c>
    </row>
    <row r="80" spans="1:21" ht="28" customHeight="1" x14ac:dyDescent="0.35">
      <c r="A80" s="4">
        <v>15</v>
      </c>
      <c r="B80" s="4" t="s">
        <v>103</v>
      </c>
      <c r="C80" s="4" t="s">
        <v>104</v>
      </c>
      <c r="D80" s="4" t="s">
        <v>105</v>
      </c>
      <c r="E80" s="4" t="s">
        <v>69</v>
      </c>
      <c r="F80" s="4" t="s">
        <v>95</v>
      </c>
      <c r="G80" s="4" t="s">
        <v>96</v>
      </c>
      <c r="H80" s="4" t="s">
        <v>85</v>
      </c>
      <c r="I80" s="3"/>
      <c r="J80" s="3"/>
      <c r="K80" s="3"/>
      <c r="L80" s="3"/>
      <c r="M80" s="3"/>
      <c r="N80" s="3"/>
      <c r="O80" s="3"/>
      <c r="P80" s="8"/>
      <c r="Q80" s="8"/>
      <c r="R80" s="3"/>
      <c r="S80" s="3"/>
      <c r="T80" s="3"/>
      <c r="U80" s="5" t="str">
        <f t="shared" si="4"/>
        <v/>
      </c>
    </row>
    <row r="81" spans="1:21" ht="28" customHeight="1" x14ac:dyDescent="0.35">
      <c r="A81" s="4">
        <v>16</v>
      </c>
      <c r="B81" s="4" t="s">
        <v>106</v>
      </c>
      <c r="C81" s="4" t="s">
        <v>107</v>
      </c>
      <c r="D81" s="4" t="s">
        <v>108</v>
      </c>
      <c r="E81" s="4" t="s">
        <v>109</v>
      </c>
      <c r="F81" s="4" t="s">
        <v>95</v>
      </c>
      <c r="G81" s="4" t="s">
        <v>96</v>
      </c>
      <c r="H81" s="4" t="s">
        <v>59</v>
      </c>
      <c r="I81" s="3"/>
      <c r="J81" s="3"/>
      <c r="K81" s="3"/>
      <c r="L81" s="3"/>
      <c r="M81" s="3"/>
      <c r="N81" s="3"/>
      <c r="O81" s="3"/>
      <c r="P81" s="8"/>
      <c r="Q81" s="8"/>
      <c r="R81" s="3"/>
      <c r="S81" s="3"/>
      <c r="T81" s="3"/>
      <c r="U81" s="5" t="str">
        <f t="shared" si="4"/>
        <v/>
      </c>
    </row>
    <row r="83" spans="1:21" ht="28" customHeight="1" x14ac:dyDescent="0.35">
      <c r="A83" s="9" t="s">
        <v>110</v>
      </c>
      <c r="B83" s="16"/>
      <c r="C83" s="17"/>
      <c r="D83" s="17"/>
      <c r="E83" s="17"/>
      <c r="F83" s="17"/>
      <c r="G83" s="17"/>
      <c r="H83" s="17"/>
      <c r="I83" s="17"/>
      <c r="J83" s="17"/>
      <c r="K83" s="17"/>
      <c r="L83" s="17"/>
      <c r="M83" s="17"/>
      <c r="N83" s="17"/>
      <c r="O83" s="17"/>
      <c r="P83" s="17"/>
      <c r="Q83" s="17"/>
      <c r="R83" s="17"/>
      <c r="S83" s="17"/>
      <c r="T83" s="17"/>
      <c r="U83" s="18"/>
    </row>
    <row r="84" spans="1:21" ht="28" customHeight="1" x14ac:dyDescent="0.35">
      <c r="A84" s="19" t="s">
        <v>589</v>
      </c>
      <c r="B84" s="20"/>
      <c r="C84" s="20"/>
      <c r="D84" s="20"/>
      <c r="E84" s="20"/>
      <c r="F84" s="20"/>
      <c r="G84" s="20"/>
      <c r="H84" s="20"/>
      <c r="I84" s="20"/>
      <c r="J84" s="20"/>
      <c r="K84" s="20"/>
      <c r="L84" s="20"/>
      <c r="M84" s="20"/>
      <c r="N84" s="20"/>
      <c r="O84" s="20"/>
      <c r="P84" s="20"/>
      <c r="Q84" s="20"/>
      <c r="R84" s="20"/>
      <c r="S84" s="20"/>
      <c r="T84" s="20"/>
      <c r="U84" s="21"/>
    </row>
    <row r="85" spans="1:21" ht="28" customHeight="1" x14ac:dyDescent="0.35">
      <c r="A85" s="4" t="s">
        <v>31</v>
      </c>
      <c r="B85" s="3" t="s">
        <v>21</v>
      </c>
      <c r="C85" s="4" t="s">
        <v>32</v>
      </c>
      <c r="D85" s="3"/>
      <c r="E85" s="4" t="s">
        <v>33</v>
      </c>
      <c r="F85" s="8"/>
    </row>
    <row r="86" spans="1:21" ht="28" customHeight="1" x14ac:dyDescent="0.35">
      <c r="A86" s="1" t="s">
        <v>34</v>
      </c>
      <c r="B86" s="1" t="s">
        <v>35</v>
      </c>
      <c r="C86" s="1" t="s">
        <v>36</v>
      </c>
      <c r="D86" s="1" t="s">
        <v>37</v>
      </c>
      <c r="E86" s="1" t="s">
        <v>38</v>
      </c>
      <c r="F86" s="1" t="s">
        <v>39</v>
      </c>
      <c r="G86" s="1" t="s">
        <v>40</v>
      </c>
      <c r="H86" s="1" t="s">
        <v>41</v>
      </c>
      <c r="I86" s="1" t="s">
        <v>42</v>
      </c>
      <c r="J86" s="1" t="s">
        <v>43</v>
      </c>
      <c r="K86" s="1" t="s">
        <v>44</v>
      </c>
      <c r="L86" s="1" t="s">
        <v>45</v>
      </c>
      <c r="M86" s="1" t="s">
        <v>46</v>
      </c>
      <c r="N86" s="1" t="s">
        <v>47</v>
      </c>
      <c r="O86" s="1" t="s">
        <v>48</v>
      </c>
      <c r="P86" s="1" t="s">
        <v>4</v>
      </c>
      <c r="Q86" s="1" t="s">
        <v>49</v>
      </c>
      <c r="R86" s="1" t="s">
        <v>50</v>
      </c>
      <c r="S86" s="1" t="s">
        <v>51</v>
      </c>
      <c r="T86" s="1" t="s">
        <v>52</v>
      </c>
      <c r="U86" s="1" t="s">
        <v>10</v>
      </c>
    </row>
    <row r="87" spans="1:21" ht="28" customHeight="1" x14ac:dyDescent="0.35">
      <c r="A87" s="4">
        <v>1</v>
      </c>
      <c r="B87" s="4" t="s">
        <v>53</v>
      </c>
      <c r="C87" s="4" t="s">
        <v>579</v>
      </c>
      <c r="D87" s="4" t="s">
        <v>580</v>
      </c>
      <c r="E87" s="4" t="s">
        <v>56</v>
      </c>
      <c r="F87" s="4" t="s">
        <v>57</v>
      </c>
      <c r="G87" s="4" t="s">
        <v>58</v>
      </c>
      <c r="H87" s="4" t="s">
        <v>59</v>
      </c>
      <c r="I87" s="3"/>
      <c r="J87" s="3"/>
      <c r="K87" s="3"/>
      <c r="L87" s="3"/>
      <c r="M87" s="3"/>
      <c r="N87" s="3"/>
      <c r="O87" s="3"/>
      <c r="P87" s="8"/>
      <c r="Q87" s="8"/>
      <c r="R87" s="3"/>
      <c r="S87" s="3"/>
      <c r="T87" s="3"/>
      <c r="U87" s="5" t="str">
        <f t="shared" ref="U87:U102" si="5">IF(I87="","",IF(I87="NA","Grey",IF(I87=2,"Green",IF(I87=1,"Amber","Red"))))</f>
        <v/>
      </c>
    </row>
    <row r="88" spans="1:21" ht="28" customHeight="1" x14ac:dyDescent="0.35">
      <c r="A88" s="4">
        <v>2</v>
      </c>
      <c r="B88" s="4" t="s">
        <v>53</v>
      </c>
      <c r="C88" s="4" t="s">
        <v>581</v>
      </c>
      <c r="D88" s="4" t="s">
        <v>582</v>
      </c>
      <c r="E88" s="4" t="s">
        <v>56</v>
      </c>
      <c r="F88" s="4" t="s">
        <v>57</v>
      </c>
      <c r="G88" s="4" t="s">
        <v>58</v>
      </c>
      <c r="H88" s="4" t="s">
        <v>59</v>
      </c>
      <c r="I88" s="3"/>
      <c r="J88" s="3"/>
      <c r="K88" s="3"/>
      <c r="L88" s="3"/>
      <c r="M88" s="3"/>
      <c r="N88" s="3"/>
      <c r="O88" s="3"/>
      <c r="P88" s="8"/>
      <c r="Q88" s="8"/>
      <c r="R88" s="3"/>
      <c r="S88" s="3"/>
      <c r="T88" s="3"/>
      <c r="U88" s="5" t="str">
        <f t="shared" si="5"/>
        <v/>
      </c>
    </row>
    <row r="89" spans="1:21" ht="28" customHeight="1" x14ac:dyDescent="0.35">
      <c r="A89" s="4">
        <v>3</v>
      </c>
      <c r="B89" s="4" t="s">
        <v>53</v>
      </c>
      <c r="C89" s="4" t="s">
        <v>583</v>
      </c>
      <c r="D89" s="4" t="s">
        <v>584</v>
      </c>
      <c r="E89" s="4" t="s">
        <v>56</v>
      </c>
      <c r="F89" s="4" t="s">
        <v>57</v>
      </c>
      <c r="G89" s="4" t="s">
        <v>58</v>
      </c>
      <c r="H89" s="4" t="s">
        <v>59</v>
      </c>
      <c r="I89" s="3"/>
      <c r="J89" s="3"/>
      <c r="K89" s="3"/>
      <c r="L89" s="3"/>
      <c r="M89" s="3"/>
      <c r="N89" s="3"/>
      <c r="O89" s="3"/>
      <c r="P89" s="8"/>
      <c r="Q89" s="8"/>
      <c r="R89" s="3"/>
      <c r="S89" s="3"/>
      <c r="T89" s="3"/>
      <c r="U89" s="5" t="str">
        <f t="shared" si="5"/>
        <v/>
      </c>
    </row>
    <row r="90" spans="1:21" ht="28" customHeight="1" x14ac:dyDescent="0.35">
      <c r="A90" s="4">
        <v>4</v>
      </c>
      <c r="B90" s="4" t="s">
        <v>53</v>
      </c>
      <c r="C90" s="4" t="s">
        <v>585</v>
      </c>
      <c r="D90" s="4" t="s">
        <v>586</v>
      </c>
      <c r="E90" s="4" t="s">
        <v>56</v>
      </c>
      <c r="F90" s="4" t="s">
        <v>57</v>
      </c>
      <c r="G90" s="4" t="s">
        <v>58</v>
      </c>
      <c r="H90" s="4" t="s">
        <v>59</v>
      </c>
      <c r="I90" s="3"/>
      <c r="J90" s="3"/>
      <c r="K90" s="3"/>
      <c r="L90" s="3"/>
      <c r="M90" s="3"/>
      <c r="N90" s="3"/>
      <c r="O90" s="3"/>
      <c r="P90" s="8"/>
      <c r="Q90" s="8"/>
      <c r="R90" s="3"/>
      <c r="S90" s="3"/>
      <c r="T90" s="3"/>
      <c r="U90" s="5" t="str">
        <f t="shared" si="5"/>
        <v/>
      </c>
    </row>
    <row r="91" spans="1:21" ht="28" customHeight="1" x14ac:dyDescent="0.35">
      <c r="A91" s="4">
        <v>5</v>
      </c>
      <c r="B91" s="4" t="s">
        <v>66</v>
      </c>
      <c r="C91" s="4" t="s">
        <v>67</v>
      </c>
      <c r="D91" s="4" t="s">
        <v>68</v>
      </c>
      <c r="E91" s="4" t="s">
        <v>69</v>
      </c>
      <c r="F91" s="4" t="s">
        <v>57</v>
      </c>
      <c r="G91" s="4" t="s">
        <v>58</v>
      </c>
      <c r="H91" s="4" t="s">
        <v>59</v>
      </c>
      <c r="I91" s="3"/>
      <c r="J91" s="3"/>
      <c r="K91" s="3"/>
      <c r="L91" s="3"/>
      <c r="M91" s="3"/>
      <c r="N91" s="3"/>
      <c r="O91" s="3"/>
      <c r="P91" s="8"/>
      <c r="Q91" s="8"/>
      <c r="R91" s="3"/>
      <c r="S91" s="3"/>
      <c r="T91" s="3"/>
      <c r="U91" s="5" t="str">
        <f t="shared" si="5"/>
        <v/>
      </c>
    </row>
    <row r="92" spans="1:21" ht="28" customHeight="1" x14ac:dyDescent="0.35">
      <c r="A92" s="4">
        <v>6</v>
      </c>
      <c r="B92" s="4" t="s">
        <v>70</v>
      </c>
      <c r="C92" s="4" t="s">
        <v>71</v>
      </c>
      <c r="D92" s="4" t="s">
        <v>72</v>
      </c>
      <c r="E92" s="4" t="s">
        <v>70</v>
      </c>
      <c r="F92" s="4" t="s">
        <v>57</v>
      </c>
      <c r="G92" s="4" t="s">
        <v>58</v>
      </c>
      <c r="H92" s="4" t="s">
        <v>59</v>
      </c>
      <c r="I92" s="3"/>
      <c r="J92" s="3"/>
      <c r="K92" s="3"/>
      <c r="L92" s="3"/>
      <c r="M92" s="3"/>
      <c r="N92" s="3"/>
      <c r="O92" s="3"/>
      <c r="P92" s="8"/>
      <c r="Q92" s="8"/>
      <c r="R92" s="3"/>
      <c r="S92" s="3"/>
      <c r="T92" s="3"/>
      <c r="U92" s="5" t="str">
        <f t="shared" si="5"/>
        <v/>
      </c>
    </row>
    <row r="93" spans="1:21" ht="28" customHeight="1" x14ac:dyDescent="0.35">
      <c r="A93" s="4">
        <v>7</v>
      </c>
      <c r="B93" s="4" t="s">
        <v>73</v>
      </c>
      <c r="C93" s="4" t="s">
        <v>74</v>
      </c>
      <c r="D93" s="4" t="s">
        <v>75</v>
      </c>
      <c r="E93" s="4" t="s">
        <v>69</v>
      </c>
      <c r="F93" s="4" t="s">
        <v>57</v>
      </c>
      <c r="G93" s="4" t="s">
        <v>58</v>
      </c>
      <c r="H93" s="4" t="s">
        <v>76</v>
      </c>
      <c r="I93" s="3"/>
      <c r="J93" s="3"/>
      <c r="K93" s="3"/>
      <c r="L93" s="3"/>
      <c r="M93" s="3"/>
      <c r="N93" s="3"/>
      <c r="O93" s="3"/>
      <c r="P93" s="8"/>
      <c r="Q93" s="8"/>
      <c r="R93" s="3"/>
      <c r="S93" s="3"/>
      <c r="T93" s="3"/>
      <c r="U93" s="5" t="str">
        <f t="shared" si="5"/>
        <v/>
      </c>
    </row>
    <row r="94" spans="1:21" ht="28" customHeight="1" x14ac:dyDescent="0.35">
      <c r="A94" s="4">
        <v>8</v>
      </c>
      <c r="B94" s="4" t="s">
        <v>77</v>
      </c>
      <c r="C94" s="4" t="s">
        <v>78</v>
      </c>
      <c r="D94" s="4" t="s">
        <v>79</v>
      </c>
      <c r="E94" s="4" t="s">
        <v>80</v>
      </c>
      <c r="F94" s="4" t="s">
        <v>57</v>
      </c>
      <c r="G94" s="4" t="s">
        <v>58</v>
      </c>
      <c r="H94" s="4" t="s">
        <v>59</v>
      </c>
      <c r="I94" s="3"/>
      <c r="J94" s="3"/>
      <c r="K94" s="3"/>
      <c r="L94" s="3"/>
      <c r="M94" s="3"/>
      <c r="N94" s="3"/>
      <c r="O94" s="3"/>
      <c r="P94" s="8"/>
      <c r="Q94" s="8"/>
      <c r="R94" s="3"/>
      <c r="S94" s="3"/>
      <c r="T94" s="3"/>
      <c r="U94" s="5" t="str">
        <f t="shared" si="5"/>
        <v/>
      </c>
    </row>
    <row r="95" spans="1:21" ht="28" customHeight="1" x14ac:dyDescent="0.35">
      <c r="A95" s="4">
        <v>9</v>
      </c>
      <c r="B95" s="4" t="s">
        <v>81</v>
      </c>
      <c r="C95" s="4" t="s">
        <v>82</v>
      </c>
      <c r="D95" s="4" t="s">
        <v>83</v>
      </c>
      <c r="E95" s="4" t="s">
        <v>84</v>
      </c>
      <c r="F95" s="4" t="s">
        <v>57</v>
      </c>
      <c r="G95" s="4" t="s">
        <v>58</v>
      </c>
      <c r="H95" s="4" t="s">
        <v>85</v>
      </c>
      <c r="I95" s="3"/>
      <c r="J95" s="3"/>
      <c r="K95" s="3"/>
      <c r="L95" s="3"/>
      <c r="M95" s="3"/>
      <c r="N95" s="3"/>
      <c r="O95" s="3"/>
      <c r="P95" s="8"/>
      <c r="Q95" s="8"/>
      <c r="R95" s="3"/>
      <c r="S95" s="3"/>
      <c r="T95" s="3"/>
      <c r="U95" s="5" t="str">
        <f t="shared" si="5"/>
        <v/>
      </c>
    </row>
    <row r="96" spans="1:21" ht="28" customHeight="1" x14ac:dyDescent="0.35">
      <c r="A96" s="4">
        <v>10</v>
      </c>
      <c r="B96" s="4" t="s">
        <v>86</v>
      </c>
      <c r="C96" s="4" t="s">
        <v>87</v>
      </c>
      <c r="D96" s="4" t="s">
        <v>88</v>
      </c>
      <c r="E96" s="4" t="s">
        <v>69</v>
      </c>
      <c r="F96" s="4" t="s">
        <v>57</v>
      </c>
      <c r="G96" s="4" t="s">
        <v>58</v>
      </c>
      <c r="H96" s="4" t="s">
        <v>59</v>
      </c>
      <c r="I96" s="3"/>
      <c r="J96" s="3"/>
      <c r="K96" s="3"/>
      <c r="L96" s="3"/>
      <c r="M96" s="3"/>
      <c r="N96" s="3"/>
      <c r="O96" s="3"/>
      <c r="P96" s="8"/>
      <c r="Q96" s="8"/>
      <c r="R96" s="3"/>
      <c r="S96" s="3"/>
      <c r="T96" s="3"/>
      <c r="U96" s="5" t="str">
        <f t="shared" si="5"/>
        <v/>
      </c>
    </row>
    <row r="97" spans="1:21" ht="28" customHeight="1" x14ac:dyDescent="0.35">
      <c r="A97" s="4">
        <v>11</v>
      </c>
      <c r="B97" s="4" t="s">
        <v>89</v>
      </c>
      <c r="C97" s="4" t="s">
        <v>90</v>
      </c>
      <c r="D97" s="4" t="s">
        <v>91</v>
      </c>
      <c r="E97" s="4" t="s">
        <v>84</v>
      </c>
      <c r="F97" s="4" t="s">
        <v>57</v>
      </c>
      <c r="G97" s="4" t="s">
        <v>58</v>
      </c>
      <c r="H97" s="4" t="s">
        <v>59</v>
      </c>
      <c r="I97" s="3"/>
      <c r="J97" s="3"/>
      <c r="K97" s="3"/>
      <c r="L97" s="3"/>
      <c r="M97" s="3"/>
      <c r="N97" s="3"/>
      <c r="O97" s="3"/>
      <c r="P97" s="8"/>
      <c r="Q97" s="8"/>
      <c r="R97" s="3"/>
      <c r="S97" s="3"/>
      <c r="T97" s="3"/>
      <c r="U97" s="5" t="str">
        <f t="shared" si="5"/>
        <v/>
      </c>
    </row>
    <row r="98" spans="1:21" ht="28" customHeight="1" x14ac:dyDescent="0.35">
      <c r="A98" s="4">
        <v>12</v>
      </c>
      <c r="B98" s="4" t="s">
        <v>92</v>
      </c>
      <c r="C98" s="4" t="s">
        <v>93</v>
      </c>
      <c r="D98" s="4" t="s">
        <v>94</v>
      </c>
      <c r="E98" s="4" t="s">
        <v>69</v>
      </c>
      <c r="F98" s="4" t="s">
        <v>95</v>
      </c>
      <c r="G98" s="4" t="s">
        <v>96</v>
      </c>
      <c r="H98" s="4" t="s">
        <v>59</v>
      </c>
      <c r="I98" s="3"/>
      <c r="J98" s="3"/>
      <c r="K98" s="3"/>
      <c r="L98" s="3"/>
      <c r="M98" s="3"/>
      <c r="N98" s="3"/>
      <c r="O98" s="3"/>
      <c r="P98" s="8"/>
      <c r="Q98" s="8"/>
      <c r="R98" s="3"/>
      <c r="S98" s="3"/>
      <c r="T98" s="3"/>
      <c r="U98" s="5" t="str">
        <f t="shared" si="5"/>
        <v/>
      </c>
    </row>
    <row r="99" spans="1:21" ht="28" customHeight="1" x14ac:dyDescent="0.35">
      <c r="A99" s="4">
        <v>13</v>
      </c>
      <c r="B99" s="4" t="s">
        <v>97</v>
      </c>
      <c r="C99" s="4" t="s">
        <v>98</v>
      </c>
      <c r="D99" s="4" t="s">
        <v>99</v>
      </c>
      <c r="E99" s="4" t="s">
        <v>69</v>
      </c>
      <c r="F99" s="4" t="s">
        <v>95</v>
      </c>
      <c r="G99" s="4" t="s">
        <v>96</v>
      </c>
      <c r="H99" s="4" t="s">
        <v>59</v>
      </c>
      <c r="I99" s="3"/>
      <c r="J99" s="3"/>
      <c r="K99" s="3"/>
      <c r="L99" s="3"/>
      <c r="M99" s="3"/>
      <c r="N99" s="3"/>
      <c r="O99" s="3"/>
      <c r="P99" s="8"/>
      <c r="Q99" s="8"/>
      <c r="R99" s="3"/>
      <c r="S99" s="3"/>
      <c r="T99" s="3"/>
      <c r="U99" s="5" t="str">
        <f t="shared" si="5"/>
        <v/>
      </c>
    </row>
    <row r="100" spans="1:21" ht="28" customHeight="1" x14ac:dyDescent="0.35">
      <c r="A100" s="4">
        <v>14</v>
      </c>
      <c r="B100" s="4" t="s">
        <v>97</v>
      </c>
      <c r="C100" s="4" t="s">
        <v>100</v>
      </c>
      <c r="D100" s="4" t="s">
        <v>101</v>
      </c>
      <c r="E100" s="4" t="s">
        <v>69</v>
      </c>
      <c r="F100" s="4" t="s">
        <v>95</v>
      </c>
      <c r="G100" s="4" t="s">
        <v>102</v>
      </c>
      <c r="H100" s="4" t="s">
        <v>59</v>
      </c>
      <c r="I100" s="3"/>
      <c r="J100" s="3"/>
      <c r="K100" s="3"/>
      <c r="L100" s="3"/>
      <c r="M100" s="3"/>
      <c r="N100" s="3"/>
      <c r="O100" s="3"/>
      <c r="P100" s="8"/>
      <c r="Q100" s="8"/>
      <c r="R100" s="3"/>
      <c r="S100" s="3"/>
      <c r="T100" s="3"/>
      <c r="U100" s="5" t="str">
        <f t="shared" si="5"/>
        <v/>
      </c>
    </row>
    <row r="101" spans="1:21" ht="28" customHeight="1" x14ac:dyDescent="0.35">
      <c r="A101" s="4">
        <v>15</v>
      </c>
      <c r="B101" s="4" t="s">
        <v>103</v>
      </c>
      <c r="C101" s="4" t="s">
        <v>104</v>
      </c>
      <c r="D101" s="4" t="s">
        <v>105</v>
      </c>
      <c r="E101" s="4" t="s">
        <v>69</v>
      </c>
      <c r="F101" s="4" t="s">
        <v>95</v>
      </c>
      <c r="G101" s="4" t="s">
        <v>96</v>
      </c>
      <c r="H101" s="4" t="s">
        <v>85</v>
      </c>
      <c r="I101" s="3"/>
      <c r="J101" s="3"/>
      <c r="K101" s="3"/>
      <c r="L101" s="3"/>
      <c r="M101" s="3"/>
      <c r="N101" s="3"/>
      <c r="O101" s="3"/>
      <c r="P101" s="8"/>
      <c r="Q101" s="8"/>
      <c r="R101" s="3"/>
      <c r="S101" s="3"/>
      <c r="T101" s="3"/>
      <c r="U101" s="5" t="str">
        <f t="shared" si="5"/>
        <v/>
      </c>
    </row>
    <row r="102" spans="1:21" ht="28" customHeight="1" x14ac:dyDescent="0.35">
      <c r="A102" s="4">
        <v>16</v>
      </c>
      <c r="B102" s="4" t="s">
        <v>106</v>
      </c>
      <c r="C102" s="4" t="s">
        <v>107</v>
      </c>
      <c r="D102" s="4" t="s">
        <v>108</v>
      </c>
      <c r="E102" s="4" t="s">
        <v>109</v>
      </c>
      <c r="F102" s="4" t="s">
        <v>95</v>
      </c>
      <c r="G102" s="4" t="s">
        <v>96</v>
      </c>
      <c r="H102" s="4" t="s">
        <v>59</v>
      </c>
      <c r="I102" s="3"/>
      <c r="J102" s="3"/>
      <c r="K102" s="3"/>
      <c r="L102" s="3"/>
      <c r="M102" s="3"/>
      <c r="N102" s="3"/>
      <c r="O102" s="3"/>
      <c r="P102" s="8"/>
      <c r="Q102" s="8"/>
      <c r="R102" s="3"/>
      <c r="S102" s="3"/>
      <c r="T102" s="3"/>
      <c r="U102" s="5" t="str">
        <f t="shared" si="5"/>
        <v/>
      </c>
    </row>
    <row r="104" spans="1:21" ht="28" customHeight="1" x14ac:dyDescent="0.35">
      <c r="A104" s="9" t="s">
        <v>110</v>
      </c>
      <c r="B104" s="16"/>
      <c r="C104" s="17"/>
      <c r="D104" s="17"/>
      <c r="E104" s="17"/>
      <c r="F104" s="17"/>
      <c r="G104" s="17"/>
      <c r="H104" s="17"/>
      <c r="I104" s="17"/>
      <c r="J104" s="17"/>
      <c r="K104" s="17"/>
      <c r="L104" s="17"/>
      <c r="M104" s="17"/>
      <c r="N104" s="17"/>
      <c r="O104" s="17"/>
      <c r="P104" s="17"/>
      <c r="Q104" s="17"/>
      <c r="R104" s="17"/>
      <c r="S104" s="17"/>
      <c r="T104" s="17"/>
      <c r="U104" s="18"/>
    </row>
    <row r="105" spans="1:21" ht="28" customHeight="1" x14ac:dyDescent="0.35">
      <c r="A105" s="19" t="s">
        <v>590</v>
      </c>
      <c r="B105" s="20"/>
      <c r="C105" s="20"/>
      <c r="D105" s="20"/>
      <c r="E105" s="20"/>
      <c r="F105" s="20"/>
      <c r="G105" s="20"/>
      <c r="H105" s="20"/>
      <c r="I105" s="20"/>
      <c r="J105" s="20"/>
      <c r="K105" s="20"/>
      <c r="L105" s="20"/>
      <c r="M105" s="20"/>
      <c r="N105" s="20"/>
      <c r="O105" s="20"/>
      <c r="P105" s="20"/>
      <c r="Q105" s="20"/>
      <c r="R105" s="20"/>
      <c r="S105" s="20"/>
      <c r="T105" s="20"/>
      <c r="U105" s="21"/>
    </row>
    <row r="106" spans="1:21" ht="28" customHeight="1" x14ac:dyDescent="0.35">
      <c r="A106" s="4" t="s">
        <v>31</v>
      </c>
      <c r="B106" s="3" t="s">
        <v>22</v>
      </c>
      <c r="C106" s="4" t="s">
        <v>32</v>
      </c>
      <c r="D106" s="3"/>
      <c r="E106" s="4" t="s">
        <v>33</v>
      </c>
      <c r="F106" s="8"/>
    </row>
    <row r="107" spans="1:21" ht="28" customHeight="1" x14ac:dyDescent="0.35">
      <c r="A107" s="1" t="s">
        <v>34</v>
      </c>
      <c r="B107" s="1" t="s">
        <v>35</v>
      </c>
      <c r="C107" s="1" t="s">
        <v>36</v>
      </c>
      <c r="D107" s="1" t="s">
        <v>37</v>
      </c>
      <c r="E107" s="1" t="s">
        <v>38</v>
      </c>
      <c r="F107" s="1" t="s">
        <v>39</v>
      </c>
      <c r="G107" s="1" t="s">
        <v>40</v>
      </c>
      <c r="H107" s="1" t="s">
        <v>41</v>
      </c>
      <c r="I107" s="1" t="s">
        <v>42</v>
      </c>
      <c r="J107" s="1" t="s">
        <v>43</v>
      </c>
      <c r="K107" s="1" t="s">
        <v>44</v>
      </c>
      <c r="L107" s="1" t="s">
        <v>45</v>
      </c>
      <c r="M107" s="1" t="s">
        <v>46</v>
      </c>
      <c r="N107" s="1" t="s">
        <v>47</v>
      </c>
      <c r="O107" s="1" t="s">
        <v>48</v>
      </c>
      <c r="P107" s="1" t="s">
        <v>4</v>
      </c>
      <c r="Q107" s="1" t="s">
        <v>49</v>
      </c>
      <c r="R107" s="1" t="s">
        <v>50</v>
      </c>
      <c r="S107" s="1" t="s">
        <v>51</v>
      </c>
      <c r="T107" s="1" t="s">
        <v>52</v>
      </c>
      <c r="U107" s="1" t="s">
        <v>10</v>
      </c>
    </row>
    <row r="108" spans="1:21" ht="28" customHeight="1" x14ac:dyDescent="0.35">
      <c r="A108" s="4">
        <v>1</v>
      </c>
      <c r="B108" s="4" t="s">
        <v>53</v>
      </c>
      <c r="C108" s="4" t="s">
        <v>579</v>
      </c>
      <c r="D108" s="4" t="s">
        <v>580</v>
      </c>
      <c r="E108" s="4" t="s">
        <v>56</v>
      </c>
      <c r="F108" s="4" t="s">
        <v>57</v>
      </c>
      <c r="G108" s="4" t="s">
        <v>58</v>
      </c>
      <c r="H108" s="4" t="s">
        <v>59</v>
      </c>
      <c r="I108" s="3"/>
      <c r="J108" s="3"/>
      <c r="K108" s="3"/>
      <c r="L108" s="3"/>
      <c r="M108" s="3"/>
      <c r="N108" s="3"/>
      <c r="O108" s="3"/>
      <c r="P108" s="8"/>
      <c r="Q108" s="8"/>
      <c r="R108" s="3"/>
      <c r="S108" s="3"/>
      <c r="T108" s="3"/>
      <c r="U108" s="5" t="str">
        <f t="shared" ref="U108:U123" si="6">IF(I108="","",IF(I108="NA","Grey",IF(I108=2,"Green",IF(I108=1,"Amber","Red"))))</f>
        <v/>
      </c>
    </row>
    <row r="109" spans="1:21" ht="28" customHeight="1" x14ac:dyDescent="0.35">
      <c r="A109" s="4">
        <v>2</v>
      </c>
      <c r="B109" s="4" t="s">
        <v>53</v>
      </c>
      <c r="C109" s="4" t="s">
        <v>581</v>
      </c>
      <c r="D109" s="4" t="s">
        <v>582</v>
      </c>
      <c r="E109" s="4" t="s">
        <v>56</v>
      </c>
      <c r="F109" s="4" t="s">
        <v>57</v>
      </c>
      <c r="G109" s="4" t="s">
        <v>58</v>
      </c>
      <c r="H109" s="4" t="s">
        <v>59</v>
      </c>
      <c r="I109" s="3"/>
      <c r="J109" s="3"/>
      <c r="K109" s="3"/>
      <c r="L109" s="3"/>
      <c r="M109" s="3"/>
      <c r="N109" s="3"/>
      <c r="O109" s="3"/>
      <c r="P109" s="8"/>
      <c r="Q109" s="8"/>
      <c r="R109" s="3"/>
      <c r="S109" s="3"/>
      <c r="T109" s="3"/>
      <c r="U109" s="5" t="str">
        <f t="shared" si="6"/>
        <v/>
      </c>
    </row>
    <row r="110" spans="1:21" ht="28" customHeight="1" x14ac:dyDescent="0.35">
      <c r="A110" s="4">
        <v>3</v>
      </c>
      <c r="B110" s="4" t="s">
        <v>53</v>
      </c>
      <c r="C110" s="4" t="s">
        <v>583</v>
      </c>
      <c r="D110" s="4" t="s">
        <v>584</v>
      </c>
      <c r="E110" s="4" t="s">
        <v>56</v>
      </c>
      <c r="F110" s="4" t="s">
        <v>57</v>
      </c>
      <c r="G110" s="4" t="s">
        <v>58</v>
      </c>
      <c r="H110" s="4" t="s">
        <v>59</v>
      </c>
      <c r="I110" s="3"/>
      <c r="J110" s="3"/>
      <c r="K110" s="3"/>
      <c r="L110" s="3"/>
      <c r="M110" s="3"/>
      <c r="N110" s="3"/>
      <c r="O110" s="3"/>
      <c r="P110" s="8"/>
      <c r="Q110" s="8"/>
      <c r="R110" s="3"/>
      <c r="S110" s="3"/>
      <c r="T110" s="3"/>
      <c r="U110" s="5" t="str">
        <f t="shared" si="6"/>
        <v/>
      </c>
    </row>
    <row r="111" spans="1:21" ht="28" customHeight="1" x14ac:dyDescent="0.35">
      <c r="A111" s="4">
        <v>4</v>
      </c>
      <c r="B111" s="4" t="s">
        <v>53</v>
      </c>
      <c r="C111" s="4" t="s">
        <v>585</v>
      </c>
      <c r="D111" s="4" t="s">
        <v>586</v>
      </c>
      <c r="E111" s="4" t="s">
        <v>56</v>
      </c>
      <c r="F111" s="4" t="s">
        <v>57</v>
      </c>
      <c r="G111" s="4" t="s">
        <v>58</v>
      </c>
      <c r="H111" s="4" t="s">
        <v>59</v>
      </c>
      <c r="I111" s="3"/>
      <c r="J111" s="3"/>
      <c r="K111" s="3"/>
      <c r="L111" s="3"/>
      <c r="M111" s="3"/>
      <c r="N111" s="3"/>
      <c r="O111" s="3"/>
      <c r="P111" s="8"/>
      <c r="Q111" s="8"/>
      <c r="R111" s="3"/>
      <c r="S111" s="3"/>
      <c r="T111" s="3"/>
      <c r="U111" s="5" t="str">
        <f t="shared" si="6"/>
        <v/>
      </c>
    </row>
    <row r="112" spans="1:21" ht="28" customHeight="1" x14ac:dyDescent="0.35">
      <c r="A112" s="4">
        <v>5</v>
      </c>
      <c r="B112" s="4" t="s">
        <v>66</v>
      </c>
      <c r="C112" s="4" t="s">
        <v>67</v>
      </c>
      <c r="D112" s="4" t="s">
        <v>68</v>
      </c>
      <c r="E112" s="4" t="s">
        <v>69</v>
      </c>
      <c r="F112" s="4" t="s">
        <v>57</v>
      </c>
      <c r="G112" s="4" t="s">
        <v>58</v>
      </c>
      <c r="H112" s="4" t="s">
        <v>59</v>
      </c>
      <c r="I112" s="3"/>
      <c r="J112" s="3"/>
      <c r="K112" s="3"/>
      <c r="L112" s="3"/>
      <c r="M112" s="3"/>
      <c r="N112" s="3"/>
      <c r="O112" s="3"/>
      <c r="P112" s="8"/>
      <c r="Q112" s="8"/>
      <c r="R112" s="3"/>
      <c r="S112" s="3"/>
      <c r="T112" s="3"/>
      <c r="U112" s="5" t="str">
        <f t="shared" si="6"/>
        <v/>
      </c>
    </row>
    <row r="113" spans="1:21" ht="28" customHeight="1" x14ac:dyDescent="0.35">
      <c r="A113" s="4">
        <v>6</v>
      </c>
      <c r="B113" s="4" t="s">
        <v>70</v>
      </c>
      <c r="C113" s="4" t="s">
        <v>71</v>
      </c>
      <c r="D113" s="4" t="s">
        <v>72</v>
      </c>
      <c r="E113" s="4" t="s">
        <v>70</v>
      </c>
      <c r="F113" s="4" t="s">
        <v>57</v>
      </c>
      <c r="G113" s="4" t="s">
        <v>58</v>
      </c>
      <c r="H113" s="4" t="s">
        <v>59</v>
      </c>
      <c r="I113" s="3"/>
      <c r="J113" s="3"/>
      <c r="K113" s="3"/>
      <c r="L113" s="3"/>
      <c r="M113" s="3"/>
      <c r="N113" s="3"/>
      <c r="O113" s="3"/>
      <c r="P113" s="8"/>
      <c r="Q113" s="8"/>
      <c r="R113" s="3"/>
      <c r="S113" s="3"/>
      <c r="T113" s="3"/>
      <c r="U113" s="5" t="str">
        <f t="shared" si="6"/>
        <v/>
      </c>
    </row>
    <row r="114" spans="1:21" ht="28" customHeight="1" x14ac:dyDescent="0.35">
      <c r="A114" s="4">
        <v>7</v>
      </c>
      <c r="B114" s="4" t="s">
        <v>73</v>
      </c>
      <c r="C114" s="4" t="s">
        <v>74</v>
      </c>
      <c r="D114" s="4" t="s">
        <v>75</v>
      </c>
      <c r="E114" s="4" t="s">
        <v>69</v>
      </c>
      <c r="F114" s="4" t="s">
        <v>57</v>
      </c>
      <c r="G114" s="4" t="s">
        <v>58</v>
      </c>
      <c r="H114" s="4" t="s">
        <v>76</v>
      </c>
      <c r="I114" s="3"/>
      <c r="J114" s="3"/>
      <c r="K114" s="3"/>
      <c r="L114" s="3"/>
      <c r="M114" s="3"/>
      <c r="N114" s="3"/>
      <c r="O114" s="3"/>
      <c r="P114" s="8"/>
      <c r="Q114" s="8"/>
      <c r="R114" s="3"/>
      <c r="S114" s="3"/>
      <c r="T114" s="3"/>
      <c r="U114" s="5" t="str">
        <f t="shared" si="6"/>
        <v/>
      </c>
    </row>
    <row r="115" spans="1:21" ht="28" customHeight="1" x14ac:dyDescent="0.35">
      <c r="A115" s="4">
        <v>8</v>
      </c>
      <c r="B115" s="4" t="s">
        <v>77</v>
      </c>
      <c r="C115" s="4" t="s">
        <v>78</v>
      </c>
      <c r="D115" s="4" t="s">
        <v>79</v>
      </c>
      <c r="E115" s="4" t="s">
        <v>80</v>
      </c>
      <c r="F115" s="4" t="s">
        <v>57</v>
      </c>
      <c r="G115" s="4" t="s">
        <v>58</v>
      </c>
      <c r="H115" s="4" t="s">
        <v>59</v>
      </c>
      <c r="I115" s="3"/>
      <c r="J115" s="3"/>
      <c r="K115" s="3"/>
      <c r="L115" s="3"/>
      <c r="M115" s="3"/>
      <c r="N115" s="3"/>
      <c r="O115" s="3"/>
      <c r="P115" s="8"/>
      <c r="Q115" s="8"/>
      <c r="R115" s="3"/>
      <c r="S115" s="3"/>
      <c r="T115" s="3"/>
      <c r="U115" s="5" t="str">
        <f t="shared" si="6"/>
        <v/>
      </c>
    </row>
    <row r="116" spans="1:21" ht="28" customHeight="1" x14ac:dyDescent="0.35">
      <c r="A116" s="4">
        <v>9</v>
      </c>
      <c r="B116" s="4" t="s">
        <v>81</v>
      </c>
      <c r="C116" s="4" t="s">
        <v>82</v>
      </c>
      <c r="D116" s="4" t="s">
        <v>83</v>
      </c>
      <c r="E116" s="4" t="s">
        <v>84</v>
      </c>
      <c r="F116" s="4" t="s">
        <v>57</v>
      </c>
      <c r="G116" s="4" t="s">
        <v>58</v>
      </c>
      <c r="H116" s="4" t="s">
        <v>85</v>
      </c>
      <c r="I116" s="3"/>
      <c r="J116" s="3"/>
      <c r="K116" s="3"/>
      <c r="L116" s="3"/>
      <c r="M116" s="3"/>
      <c r="N116" s="3"/>
      <c r="O116" s="3"/>
      <c r="P116" s="8"/>
      <c r="Q116" s="8"/>
      <c r="R116" s="3"/>
      <c r="S116" s="3"/>
      <c r="T116" s="3"/>
      <c r="U116" s="5" t="str">
        <f t="shared" si="6"/>
        <v/>
      </c>
    </row>
    <row r="117" spans="1:21" ht="28" customHeight="1" x14ac:dyDescent="0.35">
      <c r="A117" s="4">
        <v>10</v>
      </c>
      <c r="B117" s="4" t="s">
        <v>86</v>
      </c>
      <c r="C117" s="4" t="s">
        <v>87</v>
      </c>
      <c r="D117" s="4" t="s">
        <v>88</v>
      </c>
      <c r="E117" s="4" t="s">
        <v>69</v>
      </c>
      <c r="F117" s="4" t="s">
        <v>57</v>
      </c>
      <c r="G117" s="4" t="s">
        <v>58</v>
      </c>
      <c r="H117" s="4" t="s">
        <v>59</v>
      </c>
      <c r="I117" s="3"/>
      <c r="J117" s="3"/>
      <c r="K117" s="3"/>
      <c r="L117" s="3"/>
      <c r="M117" s="3"/>
      <c r="N117" s="3"/>
      <c r="O117" s="3"/>
      <c r="P117" s="8"/>
      <c r="Q117" s="8"/>
      <c r="R117" s="3"/>
      <c r="S117" s="3"/>
      <c r="T117" s="3"/>
      <c r="U117" s="5" t="str">
        <f t="shared" si="6"/>
        <v/>
      </c>
    </row>
    <row r="118" spans="1:21" ht="28" customHeight="1" x14ac:dyDescent="0.35">
      <c r="A118" s="4">
        <v>11</v>
      </c>
      <c r="B118" s="4" t="s">
        <v>89</v>
      </c>
      <c r="C118" s="4" t="s">
        <v>90</v>
      </c>
      <c r="D118" s="4" t="s">
        <v>91</v>
      </c>
      <c r="E118" s="4" t="s">
        <v>84</v>
      </c>
      <c r="F118" s="4" t="s">
        <v>57</v>
      </c>
      <c r="G118" s="4" t="s">
        <v>58</v>
      </c>
      <c r="H118" s="4" t="s">
        <v>59</v>
      </c>
      <c r="I118" s="3"/>
      <c r="J118" s="3"/>
      <c r="K118" s="3"/>
      <c r="L118" s="3"/>
      <c r="M118" s="3"/>
      <c r="N118" s="3"/>
      <c r="O118" s="3"/>
      <c r="P118" s="8"/>
      <c r="Q118" s="8"/>
      <c r="R118" s="3"/>
      <c r="S118" s="3"/>
      <c r="T118" s="3"/>
      <c r="U118" s="5" t="str">
        <f t="shared" si="6"/>
        <v/>
      </c>
    </row>
    <row r="119" spans="1:21" ht="28" customHeight="1" x14ac:dyDescent="0.35">
      <c r="A119" s="4">
        <v>12</v>
      </c>
      <c r="B119" s="4" t="s">
        <v>92</v>
      </c>
      <c r="C119" s="4" t="s">
        <v>93</v>
      </c>
      <c r="D119" s="4" t="s">
        <v>94</v>
      </c>
      <c r="E119" s="4" t="s">
        <v>69</v>
      </c>
      <c r="F119" s="4" t="s">
        <v>95</v>
      </c>
      <c r="G119" s="4" t="s">
        <v>96</v>
      </c>
      <c r="H119" s="4" t="s">
        <v>59</v>
      </c>
      <c r="I119" s="3"/>
      <c r="J119" s="3"/>
      <c r="K119" s="3"/>
      <c r="L119" s="3"/>
      <c r="M119" s="3"/>
      <c r="N119" s="3"/>
      <c r="O119" s="3"/>
      <c r="P119" s="8"/>
      <c r="Q119" s="8"/>
      <c r="R119" s="3"/>
      <c r="S119" s="3"/>
      <c r="T119" s="3"/>
      <c r="U119" s="5" t="str">
        <f t="shared" si="6"/>
        <v/>
      </c>
    </row>
    <row r="120" spans="1:21" ht="28" customHeight="1" x14ac:dyDescent="0.35">
      <c r="A120" s="4">
        <v>13</v>
      </c>
      <c r="B120" s="4" t="s">
        <v>97</v>
      </c>
      <c r="C120" s="4" t="s">
        <v>98</v>
      </c>
      <c r="D120" s="4" t="s">
        <v>99</v>
      </c>
      <c r="E120" s="4" t="s">
        <v>69</v>
      </c>
      <c r="F120" s="4" t="s">
        <v>95</v>
      </c>
      <c r="G120" s="4" t="s">
        <v>96</v>
      </c>
      <c r="H120" s="4" t="s">
        <v>59</v>
      </c>
      <c r="I120" s="3"/>
      <c r="J120" s="3"/>
      <c r="K120" s="3"/>
      <c r="L120" s="3"/>
      <c r="M120" s="3"/>
      <c r="N120" s="3"/>
      <c r="O120" s="3"/>
      <c r="P120" s="8"/>
      <c r="Q120" s="8"/>
      <c r="R120" s="3"/>
      <c r="S120" s="3"/>
      <c r="T120" s="3"/>
      <c r="U120" s="5" t="str">
        <f t="shared" si="6"/>
        <v/>
      </c>
    </row>
    <row r="121" spans="1:21" ht="28" customHeight="1" x14ac:dyDescent="0.35">
      <c r="A121" s="4">
        <v>14</v>
      </c>
      <c r="B121" s="4" t="s">
        <v>97</v>
      </c>
      <c r="C121" s="4" t="s">
        <v>100</v>
      </c>
      <c r="D121" s="4" t="s">
        <v>101</v>
      </c>
      <c r="E121" s="4" t="s">
        <v>69</v>
      </c>
      <c r="F121" s="4" t="s">
        <v>95</v>
      </c>
      <c r="G121" s="4" t="s">
        <v>102</v>
      </c>
      <c r="H121" s="4" t="s">
        <v>59</v>
      </c>
      <c r="I121" s="3"/>
      <c r="J121" s="3"/>
      <c r="K121" s="3"/>
      <c r="L121" s="3"/>
      <c r="M121" s="3"/>
      <c r="N121" s="3"/>
      <c r="O121" s="3"/>
      <c r="P121" s="8"/>
      <c r="Q121" s="8"/>
      <c r="R121" s="3"/>
      <c r="S121" s="3"/>
      <c r="T121" s="3"/>
      <c r="U121" s="5" t="str">
        <f t="shared" si="6"/>
        <v/>
      </c>
    </row>
    <row r="122" spans="1:21" ht="28" customHeight="1" x14ac:dyDescent="0.35">
      <c r="A122" s="4">
        <v>15</v>
      </c>
      <c r="B122" s="4" t="s">
        <v>103</v>
      </c>
      <c r="C122" s="4" t="s">
        <v>104</v>
      </c>
      <c r="D122" s="4" t="s">
        <v>105</v>
      </c>
      <c r="E122" s="4" t="s">
        <v>69</v>
      </c>
      <c r="F122" s="4" t="s">
        <v>95</v>
      </c>
      <c r="G122" s="4" t="s">
        <v>96</v>
      </c>
      <c r="H122" s="4" t="s">
        <v>85</v>
      </c>
      <c r="I122" s="3"/>
      <c r="J122" s="3"/>
      <c r="K122" s="3"/>
      <c r="L122" s="3"/>
      <c r="M122" s="3"/>
      <c r="N122" s="3"/>
      <c r="O122" s="3"/>
      <c r="P122" s="8"/>
      <c r="Q122" s="8"/>
      <c r="R122" s="3"/>
      <c r="S122" s="3"/>
      <c r="T122" s="3"/>
      <c r="U122" s="5" t="str">
        <f t="shared" si="6"/>
        <v/>
      </c>
    </row>
    <row r="123" spans="1:21" ht="28" customHeight="1" x14ac:dyDescent="0.35">
      <c r="A123" s="4">
        <v>16</v>
      </c>
      <c r="B123" s="4" t="s">
        <v>106</v>
      </c>
      <c r="C123" s="4" t="s">
        <v>107</v>
      </c>
      <c r="D123" s="4" t="s">
        <v>108</v>
      </c>
      <c r="E123" s="4" t="s">
        <v>109</v>
      </c>
      <c r="F123" s="4" t="s">
        <v>95</v>
      </c>
      <c r="G123" s="4" t="s">
        <v>96</v>
      </c>
      <c r="H123" s="4" t="s">
        <v>59</v>
      </c>
      <c r="I123" s="3"/>
      <c r="J123" s="3"/>
      <c r="K123" s="3"/>
      <c r="L123" s="3"/>
      <c r="M123" s="3"/>
      <c r="N123" s="3"/>
      <c r="O123" s="3"/>
      <c r="P123" s="8"/>
      <c r="Q123" s="8"/>
      <c r="R123" s="3"/>
      <c r="S123" s="3"/>
      <c r="T123" s="3"/>
      <c r="U123" s="5" t="str">
        <f t="shared" si="6"/>
        <v/>
      </c>
    </row>
    <row r="125" spans="1:21" ht="28" customHeight="1" x14ac:dyDescent="0.35">
      <c r="A125" s="9" t="s">
        <v>110</v>
      </c>
      <c r="B125" s="16"/>
      <c r="C125" s="17"/>
      <c r="D125" s="17"/>
      <c r="E125" s="17"/>
      <c r="F125" s="17"/>
      <c r="G125" s="17"/>
      <c r="H125" s="17"/>
      <c r="I125" s="17"/>
      <c r="J125" s="17"/>
      <c r="K125" s="17"/>
      <c r="L125" s="17"/>
      <c r="M125" s="17"/>
      <c r="N125" s="17"/>
      <c r="O125" s="17"/>
      <c r="P125" s="17"/>
      <c r="Q125" s="17"/>
      <c r="R125" s="17"/>
      <c r="S125" s="17"/>
      <c r="T125" s="17"/>
      <c r="U125" s="18"/>
    </row>
    <row r="126" spans="1:21" ht="28" customHeight="1" x14ac:dyDescent="0.35">
      <c r="A126" s="19" t="s">
        <v>591</v>
      </c>
      <c r="B126" s="20"/>
      <c r="C126" s="20"/>
      <c r="D126" s="20"/>
      <c r="E126" s="20"/>
      <c r="F126" s="20"/>
      <c r="G126" s="20"/>
      <c r="H126" s="20"/>
      <c r="I126" s="20"/>
      <c r="J126" s="20"/>
      <c r="K126" s="20"/>
      <c r="L126" s="20"/>
      <c r="M126" s="20"/>
      <c r="N126" s="20"/>
      <c r="O126" s="20"/>
      <c r="P126" s="20"/>
      <c r="Q126" s="20"/>
      <c r="R126" s="20"/>
      <c r="S126" s="20"/>
      <c r="T126" s="20"/>
      <c r="U126" s="21"/>
    </row>
    <row r="127" spans="1:21" ht="28" customHeight="1" x14ac:dyDescent="0.35">
      <c r="A127" s="4" t="s">
        <v>31</v>
      </c>
      <c r="B127" s="3" t="s">
        <v>23</v>
      </c>
      <c r="C127" s="4" t="s">
        <v>32</v>
      </c>
      <c r="D127" s="3"/>
      <c r="E127" s="4" t="s">
        <v>33</v>
      </c>
      <c r="F127" s="8"/>
    </row>
    <row r="128" spans="1:21" ht="28" customHeight="1" x14ac:dyDescent="0.35">
      <c r="A128" s="1" t="s">
        <v>34</v>
      </c>
      <c r="B128" s="1" t="s">
        <v>35</v>
      </c>
      <c r="C128" s="1" t="s">
        <v>36</v>
      </c>
      <c r="D128" s="1" t="s">
        <v>37</v>
      </c>
      <c r="E128" s="1" t="s">
        <v>38</v>
      </c>
      <c r="F128" s="1" t="s">
        <v>39</v>
      </c>
      <c r="G128" s="1" t="s">
        <v>40</v>
      </c>
      <c r="H128" s="1" t="s">
        <v>41</v>
      </c>
      <c r="I128" s="1" t="s">
        <v>42</v>
      </c>
      <c r="J128" s="1" t="s">
        <v>43</v>
      </c>
      <c r="K128" s="1" t="s">
        <v>44</v>
      </c>
      <c r="L128" s="1" t="s">
        <v>45</v>
      </c>
      <c r="M128" s="1" t="s">
        <v>46</v>
      </c>
      <c r="N128" s="1" t="s">
        <v>47</v>
      </c>
      <c r="O128" s="1" t="s">
        <v>48</v>
      </c>
      <c r="P128" s="1" t="s">
        <v>4</v>
      </c>
      <c r="Q128" s="1" t="s">
        <v>49</v>
      </c>
      <c r="R128" s="1" t="s">
        <v>50</v>
      </c>
      <c r="S128" s="1" t="s">
        <v>51</v>
      </c>
      <c r="T128" s="1" t="s">
        <v>52</v>
      </c>
      <c r="U128" s="1" t="s">
        <v>10</v>
      </c>
    </row>
    <row r="129" spans="1:21" ht="28" customHeight="1" x14ac:dyDescent="0.35">
      <c r="A129" s="4">
        <v>1</v>
      </c>
      <c r="B129" s="4" t="s">
        <v>53</v>
      </c>
      <c r="C129" s="4" t="s">
        <v>579</v>
      </c>
      <c r="D129" s="4" t="s">
        <v>580</v>
      </c>
      <c r="E129" s="4" t="s">
        <v>56</v>
      </c>
      <c r="F129" s="4" t="s">
        <v>57</v>
      </c>
      <c r="G129" s="4" t="s">
        <v>58</v>
      </c>
      <c r="H129" s="4" t="s">
        <v>59</v>
      </c>
      <c r="I129" s="3"/>
      <c r="J129" s="3"/>
      <c r="K129" s="3"/>
      <c r="L129" s="3"/>
      <c r="M129" s="3"/>
      <c r="N129" s="3"/>
      <c r="O129" s="3"/>
      <c r="P129" s="8"/>
      <c r="Q129" s="8"/>
      <c r="R129" s="3"/>
      <c r="S129" s="3"/>
      <c r="T129" s="3"/>
      <c r="U129" s="5" t="str">
        <f t="shared" ref="U129:U144" si="7">IF(I129="","",IF(I129="NA","Grey",IF(I129=2,"Green",IF(I129=1,"Amber","Red"))))</f>
        <v/>
      </c>
    </row>
    <row r="130" spans="1:21" ht="28" customHeight="1" x14ac:dyDescent="0.35">
      <c r="A130" s="4">
        <v>2</v>
      </c>
      <c r="B130" s="4" t="s">
        <v>53</v>
      </c>
      <c r="C130" s="4" t="s">
        <v>581</v>
      </c>
      <c r="D130" s="4" t="s">
        <v>582</v>
      </c>
      <c r="E130" s="4" t="s">
        <v>56</v>
      </c>
      <c r="F130" s="4" t="s">
        <v>57</v>
      </c>
      <c r="G130" s="4" t="s">
        <v>58</v>
      </c>
      <c r="H130" s="4" t="s">
        <v>59</v>
      </c>
      <c r="I130" s="3"/>
      <c r="J130" s="3"/>
      <c r="K130" s="3"/>
      <c r="L130" s="3"/>
      <c r="M130" s="3"/>
      <c r="N130" s="3"/>
      <c r="O130" s="3"/>
      <c r="P130" s="8"/>
      <c r="Q130" s="8"/>
      <c r="R130" s="3"/>
      <c r="S130" s="3"/>
      <c r="T130" s="3"/>
      <c r="U130" s="5" t="str">
        <f t="shared" si="7"/>
        <v/>
      </c>
    </row>
    <row r="131" spans="1:21" ht="28" customHeight="1" x14ac:dyDescent="0.35">
      <c r="A131" s="4">
        <v>3</v>
      </c>
      <c r="B131" s="4" t="s">
        <v>53</v>
      </c>
      <c r="C131" s="4" t="s">
        <v>583</v>
      </c>
      <c r="D131" s="4" t="s">
        <v>584</v>
      </c>
      <c r="E131" s="4" t="s">
        <v>56</v>
      </c>
      <c r="F131" s="4" t="s">
        <v>57</v>
      </c>
      <c r="G131" s="4" t="s">
        <v>58</v>
      </c>
      <c r="H131" s="4" t="s">
        <v>59</v>
      </c>
      <c r="I131" s="3"/>
      <c r="J131" s="3"/>
      <c r="K131" s="3"/>
      <c r="L131" s="3"/>
      <c r="M131" s="3"/>
      <c r="N131" s="3"/>
      <c r="O131" s="3"/>
      <c r="P131" s="8"/>
      <c r="Q131" s="8"/>
      <c r="R131" s="3"/>
      <c r="S131" s="3"/>
      <c r="T131" s="3"/>
      <c r="U131" s="5" t="str">
        <f t="shared" si="7"/>
        <v/>
      </c>
    </row>
    <row r="132" spans="1:21" ht="28" customHeight="1" x14ac:dyDescent="0.35">
      <c r="A132" s="4">
        <v>4</v>
      </c>
      <c r="B132" s="4" t="s">
        <v>53</v>
      </c>
      <c r="C132" s="4" t="s">
        <v>585</v>
      </c>
      <c r="D132" s="4" t="s">
        <v>586</v>
      </c>
      <c r="E132" s="4" t="s">
        <v>56</v>
      </c>
      <c r="F132" s="4" t="s">
        <v>57</v>
      </c>
      <c r="G132" s="4" t="s">
        <v>58</v>
      </c>
      <c r="H132" s="4" t="s">
        <v>59</v>
      </c>
      <c r="I132" s="3"/>
      <c r="J132" s="3"/>
      <c r="K132" s="3"/>
      <c r="L132" s="3"/>
      <c r="M132" s="3"/>
      <c r="N132" s="3"/>
      <c r="O132" s="3"/>
      <c r="P132" s="8"/>
      <c r="Q132" s="8"/>
      <c r="R132" s="3"/>
      <c r="S132" s="3"/>
      <c r="T132" s="3"/>
      <c r="U132" s="5" t="str">
        <f t="shared" si="7"/>
        <v/>
      </c>
    </row>
    <row r="133" spans="1:21" ht="28" customHeight="1" x14ac:dyDescent="0.35">
      <c r="A133" s="4">
        <v>5</v>
      </c>
      <c r="B133" s="4" t="s">
        <v>66</v>
      </c>
      <c r="C133" s="4" t="s">
        <v>67</v>
      </c>
      <c r="D133" s="4" t="s">
        <v>68</v>
      </c>
      <c r="E133" s="4" t="s">
        <v>69</v>
      </c>
      <c r="F133" s="4" t="s">
        <v>57</v>
      </c>
      <c r="G133" s="4" t="s">
        <v>58</v>
      </c>
      <c r="H133" s="4" t="s">
        <v>59</v>
      </c>
      <c r="I133" s="3"/>
      <c r="J133" s="3"/>
      <c r="K133" s="3"/>
      <c r="L133" s="3"/>
      <c r="M133" s="3"/>
      <c r="N133" s="3"/>
      <c r="O133" s="3"/>
      <c r="P133" s="8"/>
      <c r="Q133" s="8"/>
      <c r="R133" s="3"/>
      <c r="S133" s="3"/>
      <c r="T133" s="3"/>
      <c r="U133" s="5" t="str">
        <f t="shared" si="7"/>
        <v/>
      </c>
    </row>
    <row r="134" spans="1:21" ht="28" customHeight="1" x14ac:dyDescent="0.35">
      <c r="A134" s="4">
        <v>6</v>
      </c>
      <c r="B134" s="4" t="s">
        <v>70</v>
      </c>
      <c r="C134" s="4" t="s">
        <v>71</v>
      </c>
      <c r="D134" s="4" t="s">
        <v>72</v>
      </c>
      <c r="E134" s="4" t="s">
        <v>70</v>
      </c>
      <c r="F134" s="4" t="s">
        <v>57</v>
      </c>
      <c r="G134" s="4" t="s">
        <v>58</v>
      </c>
      <c r="H134" s="4" t="s">
        <v>59</v>
      </c>
      <c r="I134" s="3"/>
      <c r="J134" s="3"/>
      <c r="K134" s="3"/>
      <c r="L134" s="3"/>
      <c r="M134" s="3"/>
      <c r="N134" s="3"/>
      <c r="O134" s="3"/>
      <c r="P134" s="8"/>
      <c r="Q134" s="8"/>
      <c r="R134" s="3"/>
      <c r="S134" s="3"/>
      <c r="T134" s="3"/>
      <c r="U134" s="5" t="str">
        <f t="shared" si="7"/>
        <v/>
      </c>
    </row>
    <row r="135" spans="1:21" ht="28" customHeight="1" x14ac:dyDescent="0.35">
      <c r="A135" s="4">
        <v>7</v>
      </c>
      <c r="B135" s="4" t="s">
        <v>73</v>
      </c>
      <c r="C135" s="4" t="s">
        <v>74</v>
      </c>
      <c r="D135" s="4" t="s">
        <v>75</v>
      </c>
      <c r="E135" s="4" t="s">
        <v>69</v>
      </c>
      <c r="F135" s="4" t="s">
        <v>57</v>
      </c>
      <c r="G135" s="4" t="s">
        <v>58</v>
      </c>
      <c r="H135" s="4" t="s">
        <v>76</v>
      </c>
      <c r="I135" s="3"/>
      <c r="J135" s="3"/>
      <c r="K135" s="3"/>
      <c r="L135" s="3"/>
      <c r="M135" s="3"/>
      <c r="N135" s="3"/>
      <c r="O135" s="3"/>
      <c r="P135" s="8"/>
      <c r="Q135" s="8"/>
      <c r="R135" s="3"/>
      <c r="S135" s="3"/>
      <c r="T135" s="3"/>
      <c r="U135" s="5" t="str">
        <f t="shared" si="7"/>
        <v/>
      </c>
    </row>
    <row r="136" spans="1:21" ht="28" customHeight="1" x14ac:dyDescent="0.35">
      <c r="A136" s="4">
        <v>8</v>
      </c>
      <c r="B136" s="4" t="s">
        <v>77</v>
      </c>
      <c r="C136" s="4" t="s">
        <v>78</v>
      </c>
      <c r="D136" s="4" t="s">
        <v>79</v>
      </c>
      <c r="E136" s="4" t="s">
        <v>80</v>
      </c>
      <c r="F136" s="4" t="s">
        <v>57</v>
      </c>
      <c r="G136" s="4" t="s">
        <v>58</v>
      </c>
      <c r="H136" s="4" t="s">
        <v>59</v>
      </c>
      <c r="I136" s="3"/>
      <c r="J136" s="3"/>
      <c r="K136" s="3"/>
      <c r="L136" s="3"/>
      <c r="M136" s="3"/>
      <c r="N136" s="3"/>
      <c r="O136" s="3"/>
      <c r="P136" s="8"/>
      <c r="Q136" s="8"/>
      <c r="R136" s="3"/>
      <c r="S136" s="3"/>
      <c r="T136" s="3"/>
      <c r="U136" s="5" t="str">
        <f t="shared" si="7"/>
        <v/>
      </c>
    </row>
    <row r="137" spans="1:21" ht="28" customHeight="1" x14ac:dyDescent="0.35">
      <c r="A137" s="4">
        <v>9</v>
      </c>
      <c r="B137" s="4" t="s">
        <v>81</v>
      </c>
      <c r="C137" s="4" t="s">
        <v>82</v>
      </c>
      <c r="D137" s="4" t="s">
        <v>83</v>
      </c>
      <c r="E137" s="4" t="s">
        <v>84</v>
      </c>
      <c r="F137" s="4" t="s">
        <v>57</v>
      </c>
      <c r="G137" s="4" t="s">
        <v>58</v>
      </c>
      <c r="H137" s="4" t="s">
        <v>85</v>
      </c>
      <c r="I137" s="3"/>
      <c r="J137" s="3"/>
      <c r="K137" s="3"/>
      <c r="L137" s="3"/>
      <c r="M137" s="3"/>
      <c r="N137" s="3"/>
      <c r="O137" s="3"/>
      <c r="P137" s="8"/>
      <c r="Q137" s="8"/>
      <c r="R137" s="3"/>
      <c r="S137" s="3"/>
      <c r="T137" s="3"/>
      <c r="U137" s="5" t="str">
        <f t="shared" si="7"/>
        <v/>
      </c>
    </row>
    <row r="138" spans="1:21" ht="28" customHeight="1" x14ac:dyDescent="0.35">
      <c r="A138" s="4">
        <v>10</v>
      </c>
      <c r="B138" s="4" t="s">
        <v>86</v>
      </c>
      <c r="C138" s="4" t="s">
        <v>87</v>
      </c>
      <c r="D138" s="4" t="s">
        <v>88</v>
      </c>
      <c r="E138" s="4" t="s">
        <v>69</v>
      </c>
      <c r="F138" s="4" t="s">
        <v>57</v>
      </c>
      <c r="G138" s="4" t="s">
        <v>58</v>
      </c>
      <c r="H138" s="4" t="s">
        <v>59</v>
      </c>
      <c r="I138" s="3"/>
      <c r="J138" s="3"/>
      <c r="K138" s="3"/>
      <c r="L138" s="3"/>
      <c r="M138" s="3"/>
      <c r="N138" s="3"/>
      <c r="O138" s="3"/>
      <c r="P138" s="8"/>
      <c r="Q138" s="8"/>
      <c r="R138" s="3"/>
      <c r="S138" s="3"/>
      <c r="T138" s="3"/>
      <c r="U138" s="5" t="str">
        <f t="shared" si="7"/>
        <v/>
      </c>
    </row>
    <row r="139" spans="1:21" ht="28" customHeight="1" x14ac:dyDescent="0.35">
      <c r="A139" s="4">
        <v>11</v>
      </c>
      <c r="B139" s="4" t="s">
        <v>89</v>
      </c>
      <c r="C139" s="4" t="s">
        <v>90</v>
      </c>
      <c r="D139" s="4" t="s">
        <v>91</v>
      </c>
      <c r="E139" s="4" t="s">
        <v>84</v>
      </c>
      <c r="F139" s="4" t="s">
        <v>57</v>
      </c>
      <c r="G139" s="4" t="s">
        <v>58</v>
      </c>
      <c r="H139" s="4" t="s">
        <v>59</v>
      </c>
      <c r="I139" s="3"/>
      <c r="J139" s="3"/>
      <c r="K139" s="3"/>
      <c r="L139" s="3"/>
      <c r="M139" s="3"/>
      <c r="N139" s="3"/>
      <c r="O139" s="3"/>
      <c r="P139" s="8"/>
      <c r="Q139" s="8"/>
      <c r="R139" s="3"/>
      <c r="S139" s="3"/>
      <c r="T139" s="3"/>
      <c r="U139" s="5" t="str">
        <f t="shared" si="7"/>
        <v/>
      </c>
    </row>
    <row r="140" spans="1:21" ht="28" customHeight="1" x14ac:dyDescent="0.35">
      <c r="A140" s="4">
        <v>12</v>
      </c>
      <c r="B140" s="4" t="s">
        <v>92</v>
      </c>
      <c r="C140" s="4" t="s">
        <v>93</v>
      </c>
      <c r="D140" s="4" t="s">
        <v>94</v>
      </c>
      <c r="E140" s="4" t="s">
        <v>69</v>
      </c>
      <c r="F140" s="4" t="s">
        <v>95</v>
      </c>
      <c r="G140" s="4" t="s">
        <v>96</v>
      </c>
      <c r="H140" s="4" t="s">
        <v>59</v>
      </c>
      <c r="I140" s="3"/>
      <c r="J140" s="3"/>
      <c r="K140" s="3"/>
      <c r="L140" s="3"/>
      <c r="M140" s="3"/>
      <c r="N140" s="3"/>
      <c r="O140" s="3"/>
      <c r="P140" s="8"/>
      <c r="Q140" s="8"/>
      <c r="R140" s="3"/>
      <c r="S140" s="3"/>
      <c r="T140" s="3"/>
      <c r="U140" s="5" t="str">
        <f t="shared" si="7"/>
        <v/>
      </c>
    </row>
    <row r="141" spans="1:21" ht="28" customHeight="1" x14ac:dyDescent="0.35">
      <c r="A141" s="4">
        <v>13</v>
      </c>
      <c r="B141" s="4" t="s">
        <v>97</v>
      </c>
      <c r="C141" s="4" t="s">
        <v>98</v>
      </c>
      <c r="D141" s="4" t="s">
        <v>99</v>
      </c>
      <c r="E141" s="4" t="s">
        <v>69</v>
      </c>
      <c r="F141" s="4" t="s">
        <v>95</v>
      </c>
      <c r="G141" s="4" t="s">
        <v>96</v>
      </c>
      <c r="H141" s="4" t="s">
        <v>59</v>
      </c>
      <c r="I141" s="3"/>
      <c r="J141" s="3"/>
      <c r="K141" s="3"/>
      <c r="L141" s="3"/>
      <c r="M141" s="3"/>
      <c r="N141" s="3"/>
      <c r="O141" s="3"/>
      <c r="P141" s="8"/>
      <c r="Q141" s="8"/>
      <c r="R141" s="3"/>
      <c r="S141" s="3"/>
      <c r="T141" s="3"/>
      <c r="U141" s="5" t="str">
        <f t="shared" si="7"/>
        <v/>
      </c>
    </row>
    <row r="142" spans="1:21" ht="28" customHeight="1" x14ac:dyDescent="0.35">
      <c r="A142" s="4">
        <v>14</v>
      </c>
      <c r="B142" s="4" t="s">
        <v>97</v>
      </c>
      <c r="C142" s="4" t="s">
        <v>100</v>
      </c>
      <c r="D142" s="4" t="s">
        <v>101</v>
      </c>
      <c r="E142" s="4" t="s">
        <v>69</v>
      </c>
      <c r="F142" s="4" t="s">
        <v>95</v>
      </c>
      <c r="G142" s="4" t="s">
        <v>102</v>
      </c>
      <c r="H142" s="4" t="s">
        <v>59</v>
      </c>
      <c r="I142" s="3"/>
      <c r="J142" s="3"/>
      <c r="K142" s="3"/>
      <c r="L142" s="3"/>
      <c r="M142" s="3"/>
      <c r="N142" s="3"/>
      <c r="O142" s="3"/>
      <c r="P142" s="8"/>
      <c r="Q142" s="8"/>
      <c r="R142" s="3"/>
      <c r="S142" s="3"/>
      <c r="T142" s="3"/>
      <c r="U142" s="5" t="str">
        <f t="shared" si="7"/>
        <v/>
      </c>
    </row>
    <row r="143" spans="1:21" ht="28" customHeight="1" x14ac:dyDescent="0.35">
      <c r="A143" s="4">
        <v>15</v>
      </c>
      <c r="B143" s="4" t="s">
        <v>103</v>
      </c>
      <c r="C143" s="4" t="s">
        <v>104</v>
      </c>
      <c r="D143" s="4" t="s">
        <v>105</v>
      </c>
      <c r="E143" s="4" t="s">
        <v>69</v>
      </c>
      <c r="F143" s="4" t="s">
        <v>95</v>
      </c>
      <c r="G143" s="4" t="s">
        <v>96</v>
      </c>
      <c r="H143" s="4" t="s">
        <v>85</v>
      </c>
      <c r="I143" s="3"/>
      <c r="J143" s="3"/>
      <c r="K143" s="3"/>
      <c r="L143" s="3"/>
      <c r="M143" s="3"/>
      <c r="N143" s="3"/>
      <c r="O143" s="3"/>
      <c r="P143" s="8"/>
      <c r="Q143" s="8"/>
      <c r="R143" s="3"/>
      <c r="S143" s="3"/>
      <c r="T143" s="3"/>
      <c r="U143" s="5" t="str">
        <f t="shared" si="7"/>
        <v/>
      </c>
    </row>
    <row r="144" spans="1:21" ht="28" customHeight="1" x14ac:dyDescent="0.35">
      <c r="A144" s="4">
        <v>16</v>
      </c>
      <c r="B144" s="4" t="s">
        <v>106</v>
      </c>
      <c r="C144" s="4" t="s">
        <v>107</v>
      </c>
      <c r="D144" s="4" t="s">
        <v>108</v>
      </c>
      <c r="E144" s="4" t="s">
        <v>109</v>
      </c>
      <c r="F144" s="4" t="s">
        <v>95</v>
      </c>
      <c r="G144" s="4" t="s">
        <v>96</v>
      </c>
      <c r="H144" s="4" t="s">
        <v>59</v>
      </c>
      <c r="I144" s="3"/>
      <c r="J144" s="3"/>
      <c r="K144" s="3"/>
      <c r="L144" s="3"/>
      <c r="M144" s="3"/>
      <c r="N144" s="3"/>
      <c r="O144" s="3"/>
      <c r="P144" s="8"/>
      <c r="Q144" s="8"/>
      <c r="R144" s="3"/>
      <c r="S144" s="3"/>
      <c r="T144" s="3"/>
      <c r="U144" s="5" t="str">
        <f t="shared" si="7"/>
        <v/>
      </c>
    </row>
    <row r="146" spans="1:21" ht="28" customHeight="1" x14ac:dyDescent="0.35">
      <c r="A146" s="9" t="s">
        <v>110</v>
      </c>
      <c r="B146" s="16"/>
      <c r="C146" s="17"/>
      <c r="D146" s="17"/>
      <c r="E146" s="17"/>
      <c r="F146" s="17"/>
      <c r="G146" s="17"/>
      <c r="H146" s="17"/>
      <c r="I146" s="17"/>
      <c r="J146" s="17"/>
      <c r="K146" s="17"/>
      <c r="L146" s="17"/>
      <c r="M146" s="17"/>
      <c r="N146" s="17"/>
      <c r="O146" s="17"/>
      <c r="P146" s="17"/>
      <c r="Q146" s="17"/>
      <c r="R146" s="17"/>
      <c r="S146" s="17"/>
      <c r="T146" s="17"/>
      <c r="U146" s="18"/>
    </row>
    <row r="147" spans="1:21" ht="28" customHeight="1" x14ac:dyDescent="0.35">
      <c r="A147" s="19" t="s">
        <v>592</v>
      </c>
      <c r="B147" s="20"/>
      <c r="C147" s="20"/>
      <c r="D147" s="20"/>
      <c r="E147" s="20"/>
      <c r="F147" s="20"/>
      <c r="G147" s="20"/>
      <c r="H147" s="20"/>
      <c r="I147" s="20"/>
      <c r="J147" s="20"/>
      <c r="K147" s="20"/>
      <c r="L147" s="20"/>
      <c r="M147" s="20"/>
      <c r="N147" s="20"/>
      <c r="O147" s="20"/>
      <c r="P147" s="20"/>
      <c r="Q147" s="20"/>
      <c r="R147" s="20"/>
      <c r="S147" s="20"/>
      <c r="T147" s="20"/>
      <c r="U147" s="21"/>
    </row>
    <row r="148" spans="1:21" ht="28" customHeight="1" x14ac:dyDescent="0.35">
      <c r="A148" s="4" t="s">
        <v>31</v>
      </c>
      <c r="B148" s="3" t="s">
        <v>24</v>
      </c>
      <c r="C148" s="4" t="s">
        <v>32</v>
      </c>
      <c r="D148" s="3"/>
      <c r="E148" s="4" t="s">
        <v>33</v>
      </c>
      <c r="F148" s="8"/>
    </row>
    <row r="149" spans="1:21" ht="28" customHeight="1" x14ac:dyDescent="0.35">
      <c r="A149" s="1" t="s">
        <v>34</v>
      </c>
      <c r="B149" s="1" t="s">
        <v>35</v>
      </c>
      <c r="C149" s="1" t="s">
        <v>36</v>
      </c>
      <c r="D149" s="1" t="s">
        <v>37</v>
      </c>
      <c r="E149" s="1" t="s">
        <v>38</v>
      </c>
      <c r="F149" s="1" t="s">
        <v>39</v>
      </c>
      <c r="G149" s="1" t="s">
        <v>40</v>
      </c>
      <c r="H149" s="1" t="s">
        <v>41</v>
      </c>
      <c r="I149" s="1" t="s">
        <v>42</v>
      </c>
      <c r="J149" s="1" t="s">
        <v>43</v>
      </c>
      <c r="K149" s="1" t="s">
        <v>44</v>
      </c>
      <c r="L149" s="1" t="s">
        <v>45</v>
      </c>
      <c r="M149" s="1" t="s">
        <v>46</v>
      </c>
      <c r="N149" s="1" t="s">
        <v>47</v>
      </c>
      <c r="O149" s="1" t="s">
        <v>48</v>
      </c>
      <c r="P149" s="1" t="s">
        <v>4</v>
      </c>
      <c r="Q149" s="1" t="s">
        <v>49</v>
      </c>
      <c r="R149" s="1" t="s">
        <v>50</v>
      </c>
      <c r="S149" s="1" t="s">
        <v>51</v>
      </c>
      <c r="T149" s="1" t="s">
        <v>52</v>
      </c>
      <c r="U149" s="1" t="s">
        <v>10</v>
      </c>
    </row>
    <row r="150" spans="1:21" ht="28" customHeight="1" x14ac:dyDescent="0.35">
      <c r="A150" s="4">
        <v>1</v>
      </c>
      <c r="B150" s="4" t="s">
        <v>53</v>
      </c>
      <c r="C150" s="4" t="s">
        <v>579</v>
      </c>
      <c r="D150" s="4" t="s">
        <v>580</v>
      </c>
      <c r="E150" s="4" t="s">
        <v>56</v>
      </c>
      <c r="F150" s="4" t="s">
        <v>57</v>
      </c>
      <c r="G150" s="4" t="s">
        <v>58</v>
      </c>
      <c r="H150" s="4" t="s">
        <v>59</v>
      </c>
      <c r="I150" s="3"/>
      <c r="J150" s="3"/>
      <c r="K150" s="3"/>
      <c r="L150" s="3"/>
      <c r="M150" s="3"/>
      <c r="N150" s="3"/>
      <c r="O150" s="3"/>
      <c r="P150" s="8"/>
      <c r="Q150" s="8"/>
      <c r="R150" s="3"/>
      <c r="S150" s="3"/>
      <c r="T150" s="3"/>
      <c r="U150" s="5" t="str">
        <f t="shared" ref="U150:U165" si="8">IF(I150="","",IF(I150="NA","Grey",IF(I150=2,"Green",IF(I150=1,"Amber","Red"))))</f>
        <v/>
      </c>
    </row>
    <row r="151" spans="1:21" ht="28" customHeight="1" x14ac:dyDescent="0.35">
      <c r="A151" s="4">
        <v>2</v>
      </c>
      <c r="B151" s="4" t="s">
        <v>53</v>
      </c>
      <c r="C151" s="4" t="s">
        <v>581</v>
      </c>
      <c r="D151" s="4" t="s">
        <v>582</v>
      </c>
      <c r="E151" s="4" t="s">
        <v>56</v>
      </c>
      <c r="F151" s="4" t="s">
        <v>57</v>
      </c>
      <c r="G151" s="4" t="s">
        <v>58</v>
      </c>
      <c r="H151" s="4" t="s">
        <v>59</v>
      </c>
      <c r="I151" s="3"/>
      <c r="J151" s="3"/>
      <c r="K151" s="3"/>
      <c r="L151" s="3"/>
      <c r="M151" s="3"/>
      <c r="N151" s="3"/>
      <c r="O151" s="3"/>
      <c r="P151" s="8"/>
      <c r="Q151" s="8"/>
      <c r="R151" s="3"/>
      <c r="S151" s="3"/>
      <c r="T151" s="3"/>
      <c r="U151" s="5" t="str">
        <f t="shared" si="8"/>
        <v/>
      </c>
    </row>
    <row r="152" spans="1:21" ht="28" customHeight="1" x14ac:dyDescent="0.35">
      <c r="A152" s="4">
        <v>3</v>
      </c>
      <c r="B152" s="4" t="s">
        <v>53</v>
      </c>
      <c r="C152" s="4" t="s">
        <v>583</v>
      </c>
      <c r="D152" s="4" t="s">
        <v>584</v>
      </c>
      <c r="E152" s="4" t="s">
        <v>56</v>
      </c>
      <c r="F152" s="4" t="s">
        <v>57</v>
      </c>
      <c r="G152" s="4" t="s">
        <v>58</v>
      </c>
      <c r="H152" s="4" t="s">
        <v>59</v>
      </c>
      <c r="I152" s="3"/>
      <c r="J152" s="3"/>
      <c r="K152" s="3"/>
      <c r="L152" s="3"/>
      <c r="M152" s="3"/>
      <c r="N152" s="3"/>
      <c r="O152" s="3"/>
      <c r="P152" s="8"/>
      <c r="Q152" s="8"/>
      <c r="R152" s="3"/>
      <c r="S152" s="3"/>
      <c r="T152" s="3"/>
      <c r="U152" s="5" t="str">
        <f t="shared" si="8"/>
        <v/>
      </c>
    </row>
    <row r="153" spans="1:21" ht="28" customHeight="1" x14ac:dyDescent="0.35">
      <c r="A153" s="4">
        <v>4</v>
      </c>
      <c r="B153" s="4" t="s">
        <v>53</v>
      </c>
      <c r="C153" s="4" t="s">
        <v>585</v>
      </c>
      <c r="D153" s="4" t="s">
        <v>586</v>
      </c>
      <c r="E153" s="4" t="s">
        <v>56</v>
      </c>
      <c r="F153" s="4" t="s">
        <v>57</v>
      </c>
      <c r="G153" s="4" t="s">
        <v>58</v>
      </c>
      <c r="H153" s="4" t="s">
        <v>59</v>
      </c>
      <c r="I153" s="3"/>
      <c r="J153" s="3"/>
      <c r="K153" s="3"/>
      <c r="L153" s="3"/>
      <c r="M153" s="3"/>
      <c r="N153" s="3"/>
      <c r="O153" s="3"/>
      <c r="P153" s="8"/>
      <c r="Q153" s="8"/>
      <c r="R153" s="3"/>
      <c r="S153" s="3"/>
      <c r="T153" s="3"/>
      <c r="U153" s="5" t="str">
        <f t="shared" si="8"/>
        <v/>
      </c>
    </row>
    <row r="154" spans="1:21" ht="28" customHeight="1" x14ac:dyDescent="0.35">
      <c r="A154" s="4">
        <v>5</v>
      </c>
      <c r="B154" s="4" t="s">
        <v>66</v>
      </c>
      <c r="C154" s="4" t="s">
        <v>67</v>
      </c>
      <c r="D154" s="4" t="s">
        <v>68</v>
      </c>
      <c r="E154" s="4" t="s">
        <v>69</v>
      </c>
      <c r="F154" s="4" t="s">
        <v>57</v>
      </c>
      <c r="G154" s="4" t="s">
        <v>58</v>
      </c>
      <c r="H154" s="4" t="s">
        <v>59</v>
      </c>
      <c r="I154" s="3"/>
      <c r="J154" s="3"/>
      <c r="K154" s="3"/>
      <c r="L154" s="3"/>
      <c r="M154" s="3"/>
      <c r="N154" s="3"/>
      <c r="O154" s="3"/>
      <c r="P154" s="8"/>
      <c r="Q154" s="8"/>
      <c r="R154" s="3"/>
      <c r="S154" s="3"/>
      <c r="T154" s="3"/>
      <c r="U154" s="5" t="str">
        <f t="shared" si="8"/>
        <v/>
      </c>
    </row>
    <row r="155" spans="1:21" ht="28" customHeight="1" x14ac:dyDescent="0.35">
      <c r="A155" s="4">
        <v>6</v>
      </c>
      <c r="B155" s="4" t="s">
        <v>70</v>
      </c>
      <c r="C155" s="4" t="s">
        <v>71</v>
      </c>
      <c r="D155" s="4" t="s">
        <v>72</v>
      </c>
      <c r="E155" s="4" t="s">
        <v>70</v>
      </c>
      <c r="F155" s="4" t="s">
        <v>57</v>
      </c>
      <c r="G155" s="4" t="s">
        <v>58</v>
      </c>
      <c r="H155" s="4" t="s">
        <v>59</v>
      </c>
      <c r="I155" s="3"/>
      <c r="J155" s="3"/>
      <c r="K155" s="3"/>
      <c r="L155" s="3"/>
      <c r="M155" s="3"/>
      <c r="N155" s="3"/>
      <c r="O155" s="3"/>
      <c r="P155" s="8"/>
      <c r="Q155" s="8"/>
      <c r="R155" s="3"/>
      <c r="S155" s="3"/>
      <c r="T155" s="3"/>
      <c r="U155" s="5" t="str">
        <f t="shared" si="8"/>
        <v/>
      </c>
    </row>
    <row r="156" spans="1:21" ht="28" customHeight="1" x14ac:dyDescent="0.35">
      <c r="A156" s="4">
        <v>7</v>
      </c>
      <c r="B156" s="4" t="s">
        <v>73</v>
      </c>
      <c r="C156" s="4" t="s">
        <v>74</v>
      </c>
      <c r="D156" s="4" t="s">
        <v>75</v>
      </c>
      <c r="E156" s="4" t="s">
        <v>69</v>
      </c>
      <c r="F156" s="4" t="s">
        <v>57</v>
      </c>
      <c r="G156" s="4" t="s">
        <v>58</v>
      </c>
      <c r="H156" s="4" t="s">
        <v>76</v>
      </c>
      <c r="I156" s="3"/>
      <c r="J156" s="3"/>
      <c r="K156" s="3"/>
      <c r="L156" s="3"/>
      <c r="M156" s="3"/>
      <c r="N156" s="3"/>
      <c r="O156" s="3"/>
      <c r="P156" s="8"/>
      <c r="Q156" s="8"/>
      <c r="R156" s="3"/>
      <c r="S156" s="3"/>
      <c r="T156" s="3"/>
      <c r="U156" s="5" t="str">
        <f t="shared" si="8"/>
        <v/>
      </c>
    </row>
    <row r="157" spans="1:21" ht="28" customHeight="1" x14ac:dyDescent="0.35">
      <c r="A157" s="4">
        <v>8</v>
      </c>
      <c r="B157" s="4" t="s">
        <v>77</v>
      </c>
      <c r="C157" s="4" t="s">
        <v>78</v>
      </c>
      <c r="D157" s="4" t="s">
        <v>79</v>
      </c>
      <c r="E157" s="4" t="s">
        <v>80</v>
      </c>
      <c r="F157" s="4" t="s">
        <v>57</v>
      </c>
      <c r="G157" s="4" t="s">
        <v>58</v>
      </c>
      <c r="H157" s="4" t="s">
        <v>59</v>
      </c>
      <c r="I157" s="3"/>
      <c r="J157" s="3"/>
      <c r="K157" s="3"/>
      <c r="L157" s="3"/>
      <c r="M157" s="3"/>
      <c r="N157" s="3"/>
      <c r="O157" s="3"/>
      <c r="P157" s="8"/>
      <c r="Q157" s="8"/>
      <c r="R157" s="3"/>
      <c r="S157" s="3"/>
      <c r="T157" s="3"/>
      <c r="U157" s="5" t="str">
        <f t="shared" si="8"/>
        <v/>
      </c>
    </row>
    <row r="158" spans="1:21" ht="28" customHeight="1" x14ac:dyDescent="0.35">
      <c r="A158" s="4">
        <v>9</v>
      </c>
      <c r="B158" s="4" t="s">
        <v>81</v>
      </c>
      <c r="C158" s="4" t="s">
        <v>82</v>
      </c>
      <c r="D158" s="4" t="s">
        <v>83</v>
      </c>
      <c r="E158" s="4" t="s">
        <v>84</v>
      </c>
      <c r="F158" s="4" t="s">
        <v>57</v>
      </c>
      <c r="G158" s="4" t="s">
        <v>58</v>
      </c>
      <c r="H158" s="4" t="s">
        <v>85</v>
      </c>
      <c r="I158" s="3"/>
      <c r="J158" s="3"/>
      <c r="K158" s="3"/>
      <c r="L158" s="3"/>
      <c r="M158" s="3"/>
      <c r="N158" s="3"/>
      <c r="O158" s="3"/>
      <c r="P158" s="8"/>
      <c r="Q158" s="8"/>
      <c r="R158" s="3"/>
      <c r="S158" s="3"/>
      <c r="T158" s="3"/>
      <c r="U158" s="5" t="str">
        <f t="shared" si="8"/>
        <v/>
      </c>
    </row>
    <row r="159" spans="1:21" ht="28" customHeight="1" x14ac:dyDescent="0.35">
      <c r="A159" s="4">
        <v>10</v>
      </c>
      <c r="B159" s="4" t="s">
        <v>86</v>
      </c>
      <c r="C159" s="4" t="s">
        <v>87</v>
      </c>
      <c r="D159" s="4" t="s">
        <v>88</v>
      </c>
      <c r="E159" s="4" t="s">
        <v>69</v>
      </c>
      <c r="F159" s="4" t="s">
        <v>57</v>
      </c>
      <c r="G159" s="4" t="s">
        <v>58</v>
      </c>
      <c r="H159" s="4" t="s">
        <v>59</v>
      </c>
      <c r="I159" s="3"/>
      <c r="J159" s="3"/>
      <c r="K159" s="3"/>
      <c r="L159" s="3"/>
      <c r="M159" s="3"/>
      <c r="N159" s="3"/>
      <c r="O159" s="3"/>
      <c r="P159" s="8"/>
      <c r="Q159" s="8"/>
      <c r="R159" s="3"/>
      <c r="S159" s="3"/>
      <c r="T159" s="3"/>
      <c r="U159" s="5" t="str">
        <f t="shared" si="8"/>
        <v/>
      </c>
    </row>
    <row r="160" spans="1:21" ht="28" customHeight="1" x14ac:dyDescent="0.35">
      <c r="A160" s="4">
        <v>11</v>
      </c>
      <c r="B160" s="4" t="s">
        <v>89</v>
      </c>
      <c r="C160" s="4" t="s">
        <v>90</v>
      </c>
      <c r="D160" s="4" t="s">
        <v>91</v>
      </c>
      <c r="E160" s="4" t="s">
        <v>84</v>
      </c>
      <c r="F160" s="4" t="s">
        <v>57</v>
      </c>
      <c r="G160" s="4" t="s">
        <v>58</v>
      </c>
      <c r="H160" s="4" t="s">
        <v>59</v>
      </c>
      <c r="I160" s="3"/>
      <c r="J160" s="3"/>
      <c r="K160" s="3"/>
      <c r="L160" s="3"/>
      <c r="M160" s="3"/>
      <c r="N160" s="3"/>
      <c r="O160" s="3"/>
      <c r="P160" s="8"/>
      <c r="Q160" s="8"/>
      <c r="R160" s="3"/>
      <c r="S160" s="3"/>
      <c r="T160" s="3"/>
      <c r="U160" s="5" t="str">
        <f t="shared" si="8"/>
        <v/>
      </c>
    </row>
    <row r="161" spans="1:21" ht="28" customHeight="1" x14ac:dyDescent="0.35">
      <c r="A161" s="4">
        <v>12</v>
      </c>
      <c r="B161" s="4" t="s">
        <v>92</v>
      </c>
      <c r="C161" s="4" t="s">
        <v>93</v>
      </c>
      <c r="D161" s="4" t="s">
        <v>94</v>
      </c>
      <c r="E161" s="4" t="s">
        <v>69</v>
      </c>
      <c r="F161" s="4" t="s">
        <v>95</v>
      </c>
      <c r="G161" s="4" t="s">
        <v>96</v>
      </c>
      <c r="H161" s="4" t="s">
        <v>59</v>
      </c>
      <c r="I161" s="3"/>
      <c r="J161" s="3"/>
      <c r="K161" s="3"/>
      <c r="L161" s="3"/>
      <c r="M161" s="3"/>
      <c r="N161" s="3"/>
      <c r="O161" s="3"/>
      <c r="P161" s="8"/>
      <c r="Q161" s="8"/>
      <c r="R161" s="3"/>
      <c r="S161" s="3"/>
      <c r="T161" s="3"/>
      <c r="U161" s="5" t="str">
        <f t="shared" si="8"/>
        <v/>
      </c>
    </row>
    <row r="162" spans="1:21" ht="28" customHeight="1" x14ac:dyDescent="0.35">
      <c r="A162" s="4">
        <v>13</v>
      </c>
      <c r="B162" s="4" t="s">
        <v>97</v>
      </c>
      <c r="C162" s="4" t="s">
        <v>98</v>
      </c>
      <c r="D162" s="4" t="s">
        <v>99</v>
      </c>
      <c r="E162" s="4" t="s">
        <v>69</v>
      </c>
      <c r="F162" s="4" t="s">
        <v>95</v>
      </c>
      <c r="G162" s="4" t="s">
        <v>96</v>
      </c>
      <c r="H162" s="4" t="s">
        <v>59</v>
      </c>
      <c r="I162" s="3"/>
      <c r="J162" s="3"/>
      <c r="K162" s="3"/>
      <c r="L162" s="3"/>
      <c r="M162" s="3"/>
      <c r="N162" s="3"/>
      <c r="O162" s="3"/>
      <c r="P162" s="8"/>
      <c r="Q162" s="8"/>
      <c r="R162" s="3"/>
      <c r="S162" s="3"/>
      <c r="T162" s="3"/>
      <c r="U162" s="5" t="str">
        <f t="shared" si="8"/>
        <v/>
      </c>
    </row>
    <row r="163" spans="1:21" ht="28" customHeight="1" x14ac:dyDescent="0.35">
      <c r="A163" s="4">
        <v>14</v>
      </c>
      <c r="B163" s="4" t="s">
        <v>97</v>
      </c>
      <c r="C163" s="4" t="s">
        <v>100</v>
      </c>
      <c r="D163" s="4" t="s">
        <v>101</v>
      </c>
      <c r="E163" s="4" t="s">
        <v>69</v>
      </c>
      <c r="F163" s="4" t="s">
        <v>95</v>
      </c>
      <c r="G163" s="4" t="s">
        <v>102</v>
      </c>
      <c r="H163" s="4" t="s">
        <v>59</v>
      </c>
      <c r="I163" s="3"/>
      <c r="J163" s="3"/>
      <c r="K163" s="3"/>
      <c r="L163" s="3"/>
      <c r="M163" s="3"/>
      <c r="N163" s="3"/>
      <c r="O163" s="3"/>
      <c r="P163" s="8"/>
      <c r="Q163" s="8"/>
      <c r="R163" s="3"/>
      <c r="S163" s="3"/>
      <c r="T163" s="3"/>
      <c r="U163" s="5" t="str">
        <f t="shared" si="8"/>
        <v/>
      </c>
    </row>
    <row r="164" spans="1:21" ht="28" customHeight="1" x14ac:dyDescent="0.35">
      <c r="A164" s="4">
        <v>15</v>
      </c>
      <c r="B164" s="4" t="s">
        <v>103</v>
      </c>
      <c r="C164" s="4" t="s">
        <v>104</v>
      </c>
      <c r="D164" s="4" t="s">
        <v>105</v>
      </c>
      <c r="E164" s="4" t="s">
        <v>69</v>
      </c>
      <c r="F164" s="4" t="s">
        <v>95</v>
      </c>
      <c r="G164" s="4" t="s">
        <v>96</v>
      </c>
      <c r="H164" s="4" t="s">
        <v>85</v>
      </c>
      <c r="I164" s="3"/>
      <c r="J164" s="3"/>
      <c r="K164" s="3"/>
      <c r="L164" s="3"/>
      <c r="M164" s="3"/>
      <c r="N164" s="3"/>
      <c r="O164" s="3"/>
      <c r="P164" s="8"/>
      <c r="Q164" s="8"/>
      <c r="R164" s="3"/>
      <c r="S164" s="3"/>
      <c r="T164" s="3"/>
      <c r="U164" s="5" t="str">
        <f t="shared" si="8"/>
        <v/>
      </c>
    </row>
    <row r="165" spans="1:21" ht="28" customHeight="1" x14ac:dyDescent="0.35">
      <c r="A165" s="4">
        <v>16</v>
      </c>
      <c r="B165" s="4" t="s">
        <v>106</v>
      </c>
      <c r="C165" s="4" t="s">
        <v>107</v>
      </c>
      <c r="D165" s="4" t="s">
        <v>108</v>
      </c>
      <c r="E165" s="4" t="s">
        <v>109</v>
      </c>
      <c r="F165" s="4" t="s">
        <v>95</v>
      </c>
      <c r="G165" s="4" t="s">
        <v>96</v>
      </c>
      <c r="H165" s="4" t="s">
        <v>59</v>
      </c>
      <c r="I165" s="3"/>
      <c r="J165" s="3"/>
      <c r="K165" s="3"/>
      <c r="L165" s="3"/>
      <c r="M165" s="3"/>
      <c r="N165" s="3"/>
      <c r="O165" s="3"/>
      <c r="P165" s="8"/>
      <c r="Q165" s="8"/>
      <c r="R165" s="3"/>
      <c r="S165" s="3"/>
      <c r="T165" s="3"/>
      <c r="U165" s="5" t="str">
        <f t="shared" si="8"/>
        <v/>
      </c>
    </row>
    <row r="167" spans="1:21" ht="28" customHeight="1" x14ac:dyDescent="0.35">
      <c r="A167" s="9" t="s">
        <v>110</v>
      </c>
      <c r="B167" s="16"/>
      <c r="C167" s="17"/>
      <c r="D167" s="17"/>
      <c r="E167" s="17"/>
      <c r="F167" s="17"/>
      <c r="G167" s="17"/>
      <c r="H167" s="17"/>
      <c r="I167" s="17"/>
      <c r="J167" s="17"/>
      <c r="K167" s="17"/>
      <c r="L167" s="17"/>
      <c r="M167" s="17"/>
      <c r="N167" s="17"/>
      <c r="O167" s="17"/>
      <c r="P167" s="17"/>
      <c r="Q167" s="17"/>
      <c r="R167" s="17"/>
      <c r="S167" s="17"/>
      <c r="T167" s="17"/>
      <c r="U167" s="18"/>
    </row>
    <row r="168" spans="1:21" ht="28" customHeight="1" x14ac:dyDescent="0.35">
      <c r="A168" s="19" t="s">
        <v>593</v>
      </c>
      <c r="B168" s="20"/>
      <c r="C168" s="20"/>
      <c r="D168" s="20"/>
      <c r="E168" s="20"/>
      <c r="F168" s="20"/>
      <c r="G168" s="20"/>
      <c r="H168" s="20"/>
      <c r="I168" s="20"/>
      <c r="J168" s="20"/>
      <c r="K168" s="20"/>
      <c r="L168" s="20"/>
      <c r="M168" s="20"/>
      <c r="N168" s="20"/>
      <c r="O168" s="20"/>
      <c r="P168" s="20"/>
      <c r="Q168" s="20"/>
      <c r="R168" s="20"/>
      <c r="S168" s="20"/>
      <c r="T168" s="20"/>
      <c r="U168" s="21"/>
    </row>
    <row r="169" spans="1:21" ht="28" customHeight="1" x14ac:dyDescent="0.35">
      <c r="A169" s="4" t="s">
        <v>31</v>
      </c>
      <c r="B169" s="3" t="s">
        <v>25</v>
      </c>
      <c r="C169" s="4" t="s">
        <v>32</v>
      </c>
      <c r="D169" s="3"/>
      <c r="E169" s="4" t="s">
        <v>33</v>
      </c>
      <c r="F169" s="8"/>
    </row>
    <row r="170" spans="1:21" ht="28" customHeight="1" x14ac:dyDescent="0.35">
      <c r="A170" s="1" t="s">
        <v>34</v>
      </c>
      <c r="B170" s="1" t="s">
        <v>35</v>
      </c>
      <c r="C170" s="1" t="s">
        <v>36</v>
      </c>
      <c r="D170" s="1" t="s">
        <v>37</v>
      </c>
      <c r="E170" s="1" t="s">
        <v>38</v>
      </c>
      <c r="F170" s="1" t="s">
        <v>39</v>
      </c>
      <c r="G170" s="1" t="s">
        <v>40</v>
      </c>
      <c r="H170" s="1" t="s">
        <v>41</v>
      </c>
      <c r="I170" s="1" t="s">
        <v>42</v>
      </c>
      <c r="J170" s="1" t="s">
        <v>43</v>
      </c>
      <c r="K170" s="1" t="s">
        <v>44</v>
      </c>
      <c r="L170" s="1" t="s">
        <v>45</v>
      </c>
      <c r="M170" s="1" t="s">
        <v>46</v>
      </c>
      <c r="N170" s="1" t="s">
        <v>47</v>
      </c>
      <c r="O170" s="1" t="s">
        <v>48</v>
      </c>
      <c r="P170" s="1" t="s">
        <v>4</v>
      </c>
      <c r="Q170" s="1" t="s">
        <v>49</v>
      </c>
      <c r="R170" s="1" t="s">
        <v>50</v>
      </c>
      <c r="S170" s="1" t="s">
        <v>51</v>
      </c>
      <c r="T170" s="1" t="s">
        <v>52</v>
      </c>
      <c r="U170" s="1" t="s">
        <v>10</v>
      </c>
    </row>
    <row r="171" spans="1:21" ht="28" customHeight="1" x14ac:dyDescent="0.35">
      <c r="A171" s="4">
        <v>1</v>
      </c>
      <c r="B171" s="4" t="s">
        <v>53</v>
      </c>
      <c r="C171" s="4" t="s">
        <v>579</v>
      </c>
      <c r="D171" s="4" t="s">
        <v>580</v>
      </c>
      <c r="E171" s="4" t="s">
        <v>56</v>
      </c>
      <c r="F171" s="4" t="s">
        <v>57</v>
      </c>
      <c r="G171" s="4" t="s">
        <v>58</v>
      </c>
      <c r="H171" s="4" t="s">
        <v>59</v>
      </c>
      <c r="I171" s="3"/>
      <c r="J171" s="3"/>
      <c r="K171" s="3"/>
      <c r="L171" s="3"/>
      <c r="M171" s="3"/>
      <c r="N171" s="3"/>
      <c r="O171" s="3"/>
      <c r="P171" s="8"/>
      <c r="Q171" s="8"/>
      <c r="R171" s="3"/>
      <c r="S171" s="3"/>
      <c r="T171" s="3"/>
      <c r="U171" s="5" t="str">
        <f t="shared" ref="U171:U186" si="9">IF(I171="","",IF(I171="NA","Grey",IF(I171=2,"Green",IF(I171=1,"Amber","Red"))))</f>
        <v/>
      </c>
    </row>
    <row r="172" spans="1:21" ht="28" customHeight="1" x14ac:dyDescent="0.35">
      <c r="A172" s="4">
        <v>2</v>
      </c>
      <c r="B172" s="4" t="s">
        <v>53</v>
      </c>
      <c r="C172" s="4" t="s">
        <v>581</v>
      </c>
      <c r="D172" s="4" t="s">
        <v>582</v>
      </c>
      <c r="E172" s="4" t="s">
        <v>56</v>
      </c>
      <c r="F172" s="4" t="s">
        <v>57</v>
      </c>
      <c r="G172" s="4" t="s">
        <v>58</v>
      </c>
      <c r="H172" s="4" t="s">
        <v>59</v>
      </c>
      <c r="I172" s="3"/>
      <c r="J172" s="3"/>
      <c r="K172" s="3"/>
      <c r="L172" s="3"/>
      <c r="M172" s="3"/>
      <c r="N172" s="3"/>
      <c r="O172" s="3"/>
      <c r="P172" s="8"/>
      <c r="Q172" s="8"/>
      <c r="R172" s="3"/>
      <c r="S172" s="3"/>
      <c r="T172" s="3"/>
      <c r="U172" s="5" t="str">
        <f t="shared" si="9"/>
        <v/>
      </c>
    </row>
    <row r="173" spans="1:21" ht="28" customHeight="1" x14ac:dyDescent="0.35">
      <c r="A173" s="4">
        <v>3</v>
      </c>
      <c r="B173" s="4" t="s">
        <v>53</v>
      </c>
      <c r="C173" s="4" t="s">
        <v>583</v>
      </c>
      <c r="D173" s="4" t="s">
        <v>584</v>
      </c>
      <c r="E173" s="4" t="s">
        <v>56</v>
      </c>
      <c r="F173" s="4" t="s">
        <v>57</v>
      </c>
      <c r="G173" s="4" t="s">
        <v>58</v>
      </c>
      <c r="H173" s="4" t="s">
        <v>59</v>
      </c>
      <c r="I173" s="3"/>
      <c r="J173" s="3"/>
      <c r="K173" s="3"/>
      <c r="L173" s="3"/>
      <c r="M173" s="3"/>
      <c r="N173" s="3"/>
      <c r="O173" s="3"/>
      <c r="P173" s="8"/>
      <c r="Q173" s="8"/>
      <c r="R173" s="3"/>
      <c r="S173" s="3"/>
      <c r="T173" s="3"/>
      <c r="U173" s="5" t="str">
        <f t="shared" si="9"/>
        <v/>
      </c>
    </row>
    <row r="174" spans="1:21" ht="28" customHeight="1" x14ac:dyDescent="0.35">
      <c r="A174" s="4">
        <v>4</v>
      </c>
      <c r="B174" s="4" t="s">
        <v>53</v>
      </c>
      <c r="C174" s="4" t="s">
        <v>585</v>
      </c>
      <c r="D174" s="4" t="s">
        <v>586</v>
      </c>
      <c r="E174" s="4" t="s">
        <v>56</v>
      </c>
      <c r="F174" s="4" t="s">
        <v>57</v>
      </c>
      <c r="G174" s="4" t="s">
        <v>58</v>
      </c>
      <c r="H174" s="4" t="s">
        <v>59</v>
      </c>
      <c r="I174" s="3"/>
      <c r="J174" s="3"/>
      <c r="K174" s="3"/>
      <c r="L174" s="3"/>
      <c r="M174" s="3"/>
      <c r="N174" s="3"/>
      <c r="O174" s="3"/>
      <c r="P174" s="8"/>
      <c r="Q174" s="8"/>
      <c r="R174" s="3"/>
      <c r="S174" s="3"/>
      <c r="T174" s="3"/>
      <c r="U174" s="5" t="str">
        <f t="shared" si="9"/>
        <v/>
      </c>
    </row>
    <row r="175" spans="1:21" ht="28" customHeight="1" x14ac:dyDescent="0.35">
      <c r="A175" s="4">
        <v>5</v>
      </c>
      <c r="B175" s="4" t="s">
        <v>66</v>
      </c>
      <c r="C175" s="4" t="s">
        <v>67</v>
      </c>
      <c r="D175" s="4" t="s">
        <v>68</v>
      </c>
      <c r="E175" s="4" t="s">
        <v>69</v>
      </c>
      <c r="F175" s="4" t="s">
        <v>57</v>
      </c>
      <c r="G175" s="4" t="s">
        <v>58</v>
      </c>
      <c r="H175" s="4" t="s">
        <v>59</v>
      </c>
      <c r="I175" s="3"/>
      <c r="J175" s="3"/>
      <c r="K175" s="3"/>
      <c r="L175" s="3"/>
      <c r="M175" s="3"/>
      <c r="N175" s="3"/>
      <c r="O175" s="3"/>
      <c r="P175" s="8"/>
      <c r="Q175" s="8"/>
      <c r="R175" s="3"/>
      <c r="S175" s="3"/>
      <c r="T175" s="3"/>
      <c r="U175" s="5" t="str">
        <f t="shared" si="9"/>
        <v/>
      </c>
    </row>
    <row r="176" spans="1:21" ht="28" customHeight="1" x14ac:dyDescent="0.35">
      <c r="A176" s="4">
        <v>6</v>
      </c>
      <c r="B176" s="4" t="s">
        <v>70</v>
      </c>
      <c r="C176" s="4" t="s">
        <v>71</v>
      </c>
      <c r="D176" s="4" t="s">
        <v>72</v>
      </c>
      <c r="E176" s="4" t="s">
        <v>70</v>
      </c>
      <c r="F176" s="4" t="s">
        <v>57</v>
      </c>
      <c r="G176" s="4" t="s">
        <v>58</v>
      </c>
      <c r="H176" s="4" t="s">
        <v>59</v>
      </c>
      <c r="I176" s="3"/>
      <c r="J176" s="3"/>
      <c r="K176" s="3"/>
      <c r="L176" s="3"/>
      <c r="M176" s="3"/>
      <c r="N176" s="3"/>
      <c r="O176" s="3"/>
      <c r="P176" s="8"/>
      <c r="Q176" s="8"/>
      <c r="R176" s="3"/>
      <c r="S176" s="3"/>
      <c r="T176" s="3"/>
      <c r="U176" s="5" t="str">
        <f t="shared" si="9"/>
        <v/>
      </c>
    </row>
    <row r="177" spans="1:21" ht="28" customHeight="1" x14ac:dyDescent="0.35">
      <c r="A177" s="4">
        <v>7</v>
      </c>
      <c r="B177" s="4" t="s">
        <v>73</v>
      </c>
      <c r="C177" s="4" t="s">
        <v>74</v>
      </c>
      <c r="D177" s="4" t="s">
        <v>75</v>
      </c>
      <c r="E177" s="4" t="s">
        <v>69</v>
      </c>
      <c r="F177" s="4" t="s">
        <v>57</v>
      </c>
      <c r="G177" s="4" t="s">
        <v>58</v>
      </c>
      <c r="H177" s="4" t="s">
        <v>76</v>
      </c>
      <c r="I177" s="3"/>
      <c r="J177" s="3"/>
      <c r="K177" s="3"/>
      <c r="L177" s="3"/>
      <c r="M177" s="3"/>
      <c r="N177" s="3"/>
      <c r="O177" s="3"/>
      <c r="P177" s="8"/>
      <c r="Q177" s="8"/>
      <c r="R177" s="3"/>
      <c r="S177" s="3"/>
      <c r="T177" s="3"/>
      <c r="U177" s="5" t="str">
        <f t="shared" si="9"/>
        <v/>
      </c>
    </row>
    <row r="178" spans="1:21" ht="28" customHeight="1" x14ac:dyDescent="0.35">
      <c r="A178" s="4">
        <v>8</v>
      </c>
      <c r="B178" s="4" t="s">
        <v>77</v>
      </c>
      <c r="C178" s="4" t="s">
        <v>78</v>
      </c>
      <c r="D178" s="4" t="s">
        <v>79</v>
      </c>
      <c r="E178" s="4" t="s">
        <v>80</v>
      </c>
      <c r="F178" s="4" t="s">
        <v>57</v>
      </c>
      <c r="G178" s="4" t="s">
        <v>58</v>
      </c>
      <c r="H178" s="4" t="s">
        <v>59</v>
      </c>
      <c r="I178" s="3"/>
      <c r="J178" s="3"/>
      <c r="K178" s="3"/>
      <c r="L178" s="3"/>
      <c r="M178" s="3"/>
      <c r="N178" s="3"/>
      <c r="O178" s="3"/>
      <c r="P178" s="8"/>
      <c r="Q178" s="8"/>
      <c r="R178" s="3"/>
      <c r="S178" s="3"/>
      <c r="T178" s="3"/>
      <c r="U178" s="5" t="str">
        <f t="shared" si="9"/>
        <v/>
      </c>
    </row>
    <row r="179" spans="1:21" ht="28" customHeight="1" x14ac:dyDescent="0.35">
      <c r="A179" s="4">
        <v>9</v>
      </c>
      <c r="B179" s="4" t="s">
        <v>81</v>
      </c>
      <c r="C179" s="4" t="s">
        <v>82</v>
      </c>
      <c r="D179" s="4" t="s">
        <v>83</v>
      </c>
      <c r="E179" s="4" t="s">
        <v>84</v>
      </c>
      <c r="F179" s="4" t="s">
        <v>57</v>
      </c>
      <c r="G179" s="4" t="s">
        <v>58</v>
      </c>
      <c r="H179" s="4" t="s">
        <v>85</v>
      </c>
      <c r="I179" s="3"/>
      <c r="J179" s="3"/>
      <c r="K179" s="3"/>
      <c r="L179" s="3"/>
      <c r="M179" s="3"/>
      <c r="N179" s="3"/>
      <c r="O179" s="3"/>
      <c r="P179" s="8"/>
      <c r="Q179" s="8"/>
      <c r="R179" s="3"/>
      <c r="S179" s="3"/>
      <c r="T179" s="3"/>
      <c r="U179" s="5" t="str">
        <f t="shared" si="9"/>
        <v/>
      </c>
    </row>
    <row r="180" spans="1:21" ht="28" customHeight="1" x14ac:dyDescent="0.35">
      <c r="A180" s="4">
        <v>10</v>
      </c>
      <c r="B180" s="4" t="s">
        <v>86</v>
      </c>
      <c r="C180" s="4" t="s">
        <v>87</v>
      </c>
      <c r="D180" s="4" t="s">
        <v>88</v>
      </c>
      <c r="E180" s="4" t="s">
        <v>69</v>
      </c>
      <c r="F180" s="4" t="s">
        <v>57</v>
      </c>
      <c r="G180" s="4" t="s">
        <v>58</v>
      </c>
      <c r="H180" s="4" t="s">
        <v>59</v>
      </c>
      <c r="I180" s="3"/>
      <c r="J180" s="3"/>
      <c r="K180" s="3"/>
      <c r="L180" s="3"/>
      <c r="M180" s="3"/>
      <c r="N180" s="3"/>
      <c r="O180" s="3"/>
      <c r="P180" s="8"/>
      <c r="Q180" s="8"/>
      <c r="R180" s="3"/>
      <c r="S180" s="3"/>
      <c r="T180" s="3"/>
      <c r="U180" s="5" t="str">
        <f t="shared" si="9"/>
        <v/>
      </c>
    </row>
    <row r="181" spans="1:21" ht="28" customHeight="1" x14ac:dyDescent="0.35">
      <c r="A181" s="4">
        <v>11</v>
      </c>
      <c r="B181" s="4" t="s">
        <v>89</v>
      </c>
      <c r="C181" s="4" t="s">
        <v>90</v>
      </c>
      <c r="D181" s="4" t="s">
        <v>91</v>
      </c>
      <c r="E181" s="4" t="s">
        <v>84</v>
      </c>
      <c r="F181" s="4" t="s">
        <v>57</v>
      </c>
      <c r="G181" s="4" t="s">
        <v>58</v>
      </c>
      <c r="H181" s="4" t="s">
        <v>59</v>
      </c>
      <c r="I181" s="3"/>
      <c r="J181" s="3"/>
      <c r="K181" s="3"/>
      <c r="L181" s="3"/>
      <c r="M181" s="3"/>
      <c r="N181" s="3"/>
      <c r="O181" s="3"/>
      <c r="P181" s="8"/>
      <c r="Q181" s="8"/>
      <c r="R181" s="3"/>
      <c r="S181" s="3"/>
      <c r="T181" s="3"/>
      <c r="U181" s="5" t="str">
        <f t="shared" si="9"/>
        <v/>
      </c>
    </row>
    <row r="182" spans="1:21" ht="28" customHeight="1" x14ac:dyDescent="0.35">
      <c r="A182" s="4">
        <v>12</v>
      </c>
      <c r="B182" s="4" t="s">
        <v>92</v>
      </c>
      <c r="C182" s="4" t="s">
        <v>93</v>
      </c>
      <c r="D182" s="4" t="s">
        <v>94</v>
      </c>
      <c r="E182" s="4" t="s">
        <v>69</v>
      </c>
      <c r="F182" s="4" t="s">
        <v>95</v>
      </c>
      <c r="G182" s="4" t="s">
        <v>96</v>
      </c>
      <c r="H182" s="4" t="s">
        <v>59</v>
      </c>
      <c r="I182" s="3"/>
      <c r="J182" s="3"/>
      <c r="K182" s="3"/>
      <c r="L182" s="3"/>
      <c r="M182" s="3"/>
      <c r="N182" s="3"/>
      <c r="O182" s="3"/>
      <c r="P182" s="8"/>
      <c r="Q182" s="8"/>
      <c r="R182" s="3"/>
      <c r="S182" s="3"/>
      <c r="T182" s="3"/>
      <c r="U182" s="5" t="str">
        <f t="shared" si="9"/>
        <v/>
      </c>
    </row>
    <row r="183" spans="1:21" ht="28" customHeight="1" x14ac:dyDescent="0.35">
      <c r="A183" s="4">
        <v>13</v>
      </c>
      <c r="B183" s="4" t="s">
        <v>97</v>
      </c>
      <c r="C183" s="4" t="s">
        <v>98</v>
      </c>
      <c r="D183" s="4" t="s">
        <v>99</v>
      </c>
      <c r="E183" s="4" t="s">
        <v>69</v>
      </c>
      <c r="F183" s="4" t="s">
        <v>95</v>
      </c>
      <c r="G183" s="4" t="s">
        <v>96</v>
      </c>
      <c r="H183" s="4" t="s">
        <v>59</v>
      </c>
      <c r="I183" s="3"/>
      <c r="J183" s="3"/>
      <c r="K183" s="3"/>
      <c r="L183" s="3"/>
      <c r="M183" s="3"/>
      <c r="N183" s="3"/>
      <c r="O183" s="3"/>
      <c r="P183" s="8"/>
      <c r="Q183" s="8"/>
      <c r="R183" s="3"/>
      <c r="S183" s="3"/>
      <c r="T183" s="3"/>
      <c r="U183" s="5" t="str">
        <f t="shared" si="9"/>
        <v/>
      </c>
    </row>
    <row r="184" spans="1:21" ht="28" customHeight="1" x14ac:dyDescent="0.35">
      <c r="A184" s="4">
        <v>14</v>
      </c>
      <c r="B184" s="4" t="s">
        <v>97</v>
      </c>
      <c r="C184" s="4" t="s">
        <v>100</v>
      </c>
      <c r="D184" s="4" t="s">
        <v>101</v>
      </c>
      <c r="E184" s="4" t="s">
        <v>69</v>
      </c>
      <c r="F184" s="4" t="s">
        <v>95</v>
      </c>
      <c r="G184" s="4" t="s">
        <v>102</v>
      </c>
      <c r="H184" s="4" t="s">
        <v>59</v>
      </c>
      <c r="I184" s="3"/>
      <c r="J184" s="3"/>
      <c r="K184" s="3"/>
      <c r="L184" s="3"/>
      <c r="M184" s="3"/>
      <c r="N184" s="3"/>
      <c r="O184" s="3"/>
      <c r="P184" s="8"/>
      <c r="Q184" s="8"/>
      <c r="R184" s="3"/>
      <c r="S184" s="3"/>
      <c r="T184" s="3"/>
      <c r="U184" s="5" t="str">
        <f t="shared" si="9"/>
        <v/>
      </c>
    </row>
    <row r="185" spans="1:21" ht="28" customHeight="1" x14ac:dyDescent="0.35">
      <c r="A185" s="4">
        <v>15</v>
      </c>
      <c r="B185" s="4" t="s">
        <v>103</v>
      </c>
      <c r="C185" s="4" t="s">
        <v>104</v>
      </c>
      <c r="D185" s="4" t="s">
        <v>105</v>
      </c>
      <c r="E185" s="4" t="s">
        <v>69</v>
      </c>
      <c r="F185" s="4" t="s">
        <v>95</v>
      </c>
      <c r="G185" s="4" t="s">
        <v>96</v>
      </c>
      <c r="H185" s="4" t="s">
        <v>85</v>
      </c>
      <c r="I185" s="3"/>
      <c r="J185" s="3"/>
      <c r="K185" s="3"/>
      <c r="L185" s="3"/>
      <c r="M185" s="3"/>
      <c r="N185" s="3"/>
      <c r="O185" s="3"/>
      <c r="P185" s="8"/>
      <c r="Q185" s="8"/>
      <c r="R185" s="3"/>
      <c r="S185" s="3"/>
      <c r="T185" s="3"/>
      <c r="U185" s="5" t="str">
        <f t="shared" si="9"/>
        <v/>
      </c>
    </row>
    <row r="186" spans="1:21" ht="28" customHeight="1" x14ac:dyDescent="0.35">
      <c r="A186" s="4">
        <v>16</v>
      </c>
      <c r="B186" s="4" t="s">
        <v>106</v>
      </c>
      <c r="C186" s="4" t="s">
        <v>107</v>
      </c>
      <c r="D186" s="4" t="s">
        <v>108</v>
      </c>
      <c r="E186" s="4" t="s">
        <v>109</v>
      </c>
      <c r="F186" s="4" t="s">
        <v>95</v>
      </c>
      <c r="G186" s="4" t="s">
        <v>96</v>
      </c>
      <c r="H186" s="4" t="s">
        <v>59</v>
      </c>
      <c r="I186" s="3"/>
      <c r="J186" s="3"/>
      <c r="K186" s="3"/>
      <c r="L186" s="3"/>
      <c r="M186" s="3"/>
      <c r="N186" s="3"/>
      <c r="O186" s="3"/>
      <c r="P186" s="8"/>
      <c r="Q186" s="8"/>
      <c r="R186" s="3"/>
      <c r="S186" s="3"/>
      <c r="T186" s="3"/>
      <c r="U186" s="5" t="str">
        <f t="shared" si="9"/>
        <v/>
      </c>
    </row>
    <row r="188" spans="1:21" ht="28" customHeight="1" x14ac:dyDescent="0.35">
      <c r="A188" s="9" t="s">
        <v>110</v>
      </c>
      <c r="B188" s="16"/>
      <c r="C188" s="17"/>
      <c r="D188" s="17"/>
      <c r="E188" s="17"/>
      <c r="F188" s="17"/>
      <c r="G188" s="17"/>
      <c r="H188" s="17"/>
      <c r="I188" s="17"/>
      <c r="J188" s="17"/>
      <c r="K188" s="17"/>
      <c r="L188" s="17"/>
      <c r="M188" s="17"/>
      <c r="N188" s="17"/>
      <c r="O188" s="17"/>
      <c r="P188" s="17"/>
      <c r="Q188" s="17"/>
      <c r="R188" s="17"/>
      <c r="S188" s="17"/>
      <c r="T188" s="17"/>
      <c r="U188" s="18"/>
    </row>
    <row r="189" spans="1:21" ht="28" customHeight="1" x14ac:dyDescent="0.35">
      <c r="A189" s="19" t="s">
        <v>594</v>
      </c>
      <c r="B189" s="20"/>
      <c r="C189" s="20"/>
      <c r="D189" s="20"/>
      <c r="E189" s="20"/>
      <c r="F189" s="20"/>
      <c r="G189" s="20"/>
      <c r="H189" s="20"/>
      <c r="I189" s="20"/>
      <c r="J189" s="20"/>
      <c r="K189" s="20"/>
      <c r="L189" s="20"/>
      <c r="M189" s="20"/>
      <c r="N189" s="20"/>
      <c r="O189" s="20"/>
      <c r="P189" s="20"/>
      <c r="Q189" s="20"/>
      <c r="R189" s="20"/>
      <c r="S189" s="20"/>
      <c r="T189" s="20"/>
      <c r="U189" s="21"/>
    </row>
    <row r="190" spans="1:21" ht="28" customHeight="1" x14ac:dyDescent="0.35">
      <c r="A190" s="4" t="s">
        <v>31</v>
      </c>
      <c r="B190" s="3" t="s">
        <v>26</v>
      </c>
      <c r="C190" s="4" t="s">
        <v>32</v>
      </c>
      <c r="D190" s="3"/>
      <c r="E190" s="4" t="s">
        <v>33</v>
      </c>
      <c r="F190" s="8"/>
    </row>
    <row r="191" spans="1:21" ht="28" customHeight="1" x14ac:dyDescent="0.35">
      <c r="A191" s="1" t="s">
        <v>34</v>
      </c>
      <c r="B191" s="1" t="s">
        <v>35</v>
      </c>
      <c r="C191" s="1" t="s">
        <v>36</v>
      </c>
      <c r="D191" s="1" t="s">
        <v>37</v>
      </c>
      <c r="E191" s="1" t="s">
        <v>38</v>
      </c>
      <c r="F191" s="1" t="s">
        <v>39</v>
      </c>
      <c r="G191" s="1" t="s">
        <v>40</v>
      </c>
      <c r="H191" s="1" t="s">
        <v>41</v>
      </c>
      <c r="I191" s="1" t="s">
        <v>42</v>
      </c>
      <c r="J191" s="1" t="s">
        <v>43</v>
      </c>
      <c r="K191" s="1" t="s">
        <v>44</v>
      </c>
      <c r="L191" s="1" t="s">
        <v>45</v>
      </c>
      <c r="M191" s="1" t="s">
        <v>46</v>
      </c>
      <c r="N191" s="1" t="s">
        <v>47</v>
      </c>
      <c r="O191" s="1" t="s">
        <v>48</v>
      </c>
      <c r="P191" s="1" t="s">
        <v>4</v>
      </c>
      <c r="Q191" s="1" t="s">
        <v>49</v>
      </c>
      <c r="R191" s="1" t="s">
        <v>50</v>
      </c>
      <c r="S191" s="1" t="s">
        <v>51</v>
      </c>
      <c r="T191" s="1" t="s">
        <v>52</v>
      </c>
      <c r="U191" s="1" t="s">
        <v>10</v>
      </c>
    </row>
    <row r="192" spans="1:21" ht="28" customHeight="1" x14ac:dyDescent="0.35">
      <c r="A192" s="4">
        <v>1</v>
      </c>
      <c r="B192" s="4" t="s">
        <v>53</v>
      </c>
      <c r="C192" s="4" t="s">
        <v>579</v>
      </c>
      <c r="D192" s="4" t="s">
        <v>580</v>
      </c>
      <c r="E192" s="4" t="s">
        <v>56</v>
      </c>
      <c r="F192" s="4" t="s">
        <v>57</v>
      </c>
      <c r="G192" s="4" t="s">
        <v>58</v>
      </c>
      <c r="H192" s="4" t="s">
        <v>59</v>
      </c>
      <c r="I192" s="3"/>
      <c r="J192" s="3"/>
      <c r="K192" s="3"/>
      <c r="L192" s="3"/>
      <c r="M192" s="3"/>
      <c r="N192" s="3"/>
      <c r="O192" s="3"/>
      <c r="P192" s="8"/>
      <c r="Q192" s="8"/>
      <c r="R192" s="3"/>
      <c r="S192" s="3"/>
      <c r="T192" s="3"/>
      <c r="U192" s="5" t="str">
        <f t="shared" ref="U192:U207" si="10">IF(I192="","",IF(I192="NA","Grey",IF(I192=2,"Green",IF(I192=1,"Amber","Red"))))</f>
        <v/>
      </c>
    </row>
    <row r="193" spans="1:21" ht="28" customHeight="1" x14ac:dyDescent="0.35">
      <c r="A193" s="4">
        <v>2</v>
      </c>
      <c r="B193" s="4" t="s">
        <v>53</v>
      </c>
      <c r="C193" s="4" t="s">
        <v>581</v>
      </c>
      <c r="D193" s="4" t="s">
        <v>582</v>
      </c>
      <c r="E193" s="4" t="s">
        <v>56</v>
      </c>
      <c r="F193" s="4" t="s">
        <v>57</v>
      </c>
      <c r="G193" s="4" t="s">
        <v>58</v>
      </c>
      <c r="H193" s="4" t="s">
        <v>59</v>
      </c>
      <c r="I193" s="3"/>
      <c r="J193" s="3"/>
      <c r="K193" s="3"/>
      <c r="L193" s="3"/>
      <c r="M193" s="3"/>
      <c r="N193" s="3"/>
      <c r="O193" s="3"/>
      <c r="P193" s="8"/>
      <c r="Q193" s="8"/>
      <c r="R193" s="3"/>
      <c r="S193" s="3"/>
      <c r="T193" s="3"/>
      <c r="U193" s="5" t="str">
        <f t="shared" si="10"/>
        <v/>
      </c>
    </row>
    <row r="194" spans="1:21" ht="28" customHeight="1" x14ac:dyDescent="0.35">
      <c r="A194" s="4">
        <v>3</v>
      </c>
      <c r="B194" s="4" t="s">
        <v>53</v>
      </c>
      <c r="C194" s="4" t="s">
        <v>583</v>
      </c>
      <c r="D194" s="4" t="s">
        <v>584</v>
      </c>
      <c r="E194" s="4" t="s">
        <v>56</v>
      </c>
      <c r="F194" s="4" t="s">
        <v>57</v>
      </c>
      <c r="G194" s="4" t="s">
        <v>58</v>
      </c>
      <c r="H194" s="4" t="s">
        <v>59</v>
      </c>
      <c r="I194" s="3"/>
      <c r="J194" s="3"/>
      <c r="K194" s="3"/>
      <c r="L194" s="3"/>
      <c r="M194" s="3"/>
      <c r="N194" s="3"/>
      <c r="O194" s="3"/>
      <c r="P194" s="8"/>
      <c r="Q194" s="8"/>
      <c r="R194" s="3"/>
      <c r="S194" s="3"/>
      <c r="T194" s="3"/>
      <c r="U194" s="5" t="str">
        <f t="shared" si="10"/>
        <v/>
      </c>
    </row>
    <row r="195" spans="1:21" ht="28" customHeight="1" x14ac:dyDescent="0.35">
      <c r="A195" s="4">
        <v>4</v>
      </c>
      <c r="B195" s="4" t="s">
        <v>53</v>
      </c>
      <c r="C195" s="4" t="s">
        <v>585</v>
      </c>
      <c r="D195" s="4" t="s">
        <v>586</v>
      </c>
      <c r="E195" s="4" t="s">
        <v>56</v>
      </c>
      <c r="F195" s="4" t="s">
        <v>57</v>
      </c>
      <c r="G195" s="4" t="s">
        <v>58</v>
      </c>
      <c r="H195" s="4" t="s">
        <v>59</v>
      </c>
      <c r="I195" s="3"/>
      <c r="J195" s="3"/>
      <c r="K195" s="3"/>
      <c r="L195" s="3"/>
      <c r="M195" s="3"/>
      <c r="N195" s="3"/>
      <c r="O195" s="3"/>
      <c r="P195" s="8"/>
      <c r="Q195" s="8"/>
      <c r="R195" s="3"/>
      <c r="S195" s="3"/>
      <c r="T195" s="3"/>
      <c r="U195" s="5" t="str">
        <f t="shared" si="10"/>
        <v/>
      </c>
    </row>
    <row r="196" spans="1:21" ht="28" customHeight="1" x14ac:dyDescent="0.35">
      <c r="A196" s="4">
        <v>5</v>
      </c>
      <c r="B196" s="4" t="s">
        <v>66</v>
      </c>
      <c r="C196" s="4" t="s">
        <v>67</v>
      </c>
      <c r="D196" s="4" t="s">
        <v>68</v>
      </c>
      <c r="E196" s="4" t="s">
        <v>69</v>
      </c>
      <c r="F196" s="4" t="s">
        <v>57</v>
      </c>
      <c r="G196" s="4" t="s">
        <v>58</v>
      </c>
      <c r="H196" s="4" t="s">
        <v>59</v>
      </c>
      <c r="I196" s="3"/>
      <c r="J196" s="3"/>
      <c r="K196" s="3"/>
      <c r="L196" s="3"/>
      <c r="M196" s="3"/>
      <c r="N196" s="3"/>
      <c r="O196" s="3"/>
      <c r="P196" s="8"/>
      <c r="Q196" s="8"/>
      <c r="R196" s="3"/>
      <c r="S196" s="3"/>
      <c r="T196" s="3"/>
      <c r="U196" s="5" t="str">
        <f t="shared" si="10"/>
        <v/>
      </c>
    </row>
    <row r="197" spans="1:21" ht="28" customHeight="1" x14ac:dyDescent="0.35">
      <c r="A197" s="4">
        <v>6</v>
      </c>
      <c r="B197" s="4" t="s">
        <v>70</v>
      </c>
      <c r="C197" s="4" t="s">
        <v>71</v>
      </c>
      <c r="D197" s="4" t="s">
        <v>72</v>
      </c>
      <c r="E197" s="4" t="s">
        <v>70</v>
      </c>
      <c r="F197" s="4" t="s">
        <v>57</v>
      </c>
      <c r="G197" s="4" t="s">
        <v>58</v>
      </c>
      <c r="H197" s="4" t="s">
        <v>59</v>
      </c>
      <c r="I197" s="3"/>
      <c r="J197" s="3"/>
      <c r="K197" s="3"/>
      <c r="L197" s="3"/>
      <c r="M197" s="3"/>
      <c r="N197" s="3"/>
      <c r="O197" s="3"/>
      <c r="P197" s="8"/>
      <c r="Q197" s="8"/>
      <c r="R197" s="3"/>
      <c r="S197" s="3"/>
      <c r="T197" s="3"/>
      <c r="U197" s="5" t="str">
        <f t="shared" si="10"/>
        <v/>
      </c>
    </row>
    <row r="198" spans="1:21" ht="28" customHeight="1" x14ac:dyDescent="0.35">
      <c r="A198" s="4">
        <v>7</v>
      </c>
      <c r="B198" s="4" t="s">
        <v>73</v>
      </c>
      <c r="C198" s="4" t="s">
        <v>74</v>
      </c>
      <c r="D198" s="4" t="s">
        <v>75</v>
      </c>
      <c r="E198" s="4" t="s">
        <v>69</v>
      </c>
      <c r="F198" s="4" t="s">
        <v>57</v>
      </c>
      <c r="G198" s="4" t="s">
        <v>58</v>
      </c>
      <c r="H198" s="4" t="s">
        <v>76</v>
      </c>
      <c r="I198" s="3"/>
      <c r="J198" s="3"/>
      <c r="K198" s="3"/>
      <c r="L198" s="3"/>
      <c r="M198" s="3"/>
      <c r="N198" s="3"/>
      <c r="O198" s="3"/>
      <c r="P198" s="8"/>
      <c r="Q198" s="8"/>
      <c r="R198" s="3"/>
      <c r="S198" s="3"/>
      <c r="T198" s="3"/>
      <c r="U198" s="5" t="str">
        <f t="shared" si="10"/>
        <v/>
      </c>
    </row>
    <row r="199" spans="1:21" ht="28" customHeight="1" x14ac:dyDescent="0.35">
      <c r="A199" s="4">
        <v>8</v>
      </c>
      <c r="B199" s="4" t="s">
        <v>77</v>
      </c>
      <c r="C199" s="4" t="s">
        <v>78</v>
      </c>
      <c r="D199" s="4" t="s">
        <v>79</v>
      </c>
      <c r="E199" s="4" t="s">
        <v>80</v>
      </c>
      <c r="F199" s="4" t="s">
        <v>57</v>
      </c>
      <c r="G199" s="4" t="s">
        <v>58</v>
      </c>
      <c r="H199" s="4" t="s">
        <v>59</v>
      </c>
      <c r="I199" s="3"/>
      <c r="J199" s="3"/>
      <c r="K199" s="3"/>
      <c r="L199" s="3"/>
      <c r="M199" s="3"/>
      <c r="N199" s="3"/>
      <c r="O199" s="3"/>
      <c r="P199" s="8"/>
      <c r="Q199" s="8"/>
      <c r="R199" s="3"/>
      <c r="S199" s="3"/>
      <c r="T199" s="3"/>
      <c r="U199" s="5" t="str">
        <f t="shared" si="10"/>
        <v/>
      </c>
    </row>
    <row r="200" spans="1:21" ht="28" customHeight="1" x14ac:dyDescent="0.35">
      <c r="A200" s="4">
        <v>9</v>
      </c>
      <c r="B200" s="4" t="s">
        <v>81</v>
      </c>
      <c r="C200" s="4" t="s">
        <v>82</v>
      </c>
      <c r="D200" s="4" t="s">
        <v>83</v>
      </c>
      <c r="E200" s="4" t="s">
        <v>84</v>
      </c>
      <c r="F200" s="4" t="s">
        <v>57</v>
      </c>
      <c r="G200" s="4" t="s">
        <v>58</v>
      </c>
      <c r="H200" s="4" t="s">
        <v>85</v>
      </c>
      <c r="I200" s="3"/>
      <c r="J200" s="3"/>
      <c r="K200" s="3"/>
      <c r="L200" s="3"/>
      <c r="M200" s="3"/>
      <c r="N200" s="3"/>
      <c r="O200" s="3"/>
      <c r="P200" s="8"/>
      <c r="Q200" s="8"/>
      <c r="R200" s="3"/>
      <c r="S200" s="3"/>
      <c r="T200" s="3"/>
      <c r="U200" s="5" t="str">
        <f t="shared" si="10"/>
        <v/>
      </c>
    </row>
    <row r="201" spans="1:21" ht="28" customHeight="1" x14ac:dyDescent="0.35">
      <c r="A201" s="4">
        <v>10</v>
      </c>
      <c r="B201" s="4" t="s">
        <v>86</v>
      </c>
      <c r="C201" s="4" t="s">
        <v>87</v>
      </c>
      <c r="D201" s="4" t="s">
        <v>88</v>
      </c>
      <c r="E201" s="4" t="s">
        <v>69</v>
      </c>
      <c r="F201" s="4" t="s">
        <v>57</v>
      </c>
      <c r="G201" s="4" t="s">
        <v>58</v>
      </c>
      <c r="H201" s="4" t="s">
        <v>59</v>
      </c>
      <c r="I201" s="3"/>
      <c r="J201" s="3"/>
      <c r="K201" s="3"/>
      <c r="L201" s="3"/>
      <c r="M201" s="3"/>
      <c r="N201" s="3"/>
      <c r="O201" s="3"/>
      <c r="P201" s="8"/>
      <c r="Q201" s="8"/>
      <c r="R201" s="3"/>
      <c r="S201" s="3"/>
      <c r="T201" s="3"/>
      <c r="U201" s="5" t="str">
        <f t="shared" si="10"/>
        <v/>
      </c>
    </row>
    <row r="202" spans="1:21" ht="28" customHeight="1" x14ac:dyDescent="0.35">
      <c r="A202" s="4">
        <v>11</v>
      </c>
      <c r="B202" s="4" t="s">
        <v>89</v>
      </c>
      <c r="C202" s="4" t="s">
        <v>90</v>
      </c>
      <c r="D202" s="4" t="s">
        <v>91</v>
      </c>
      <c r="E202" s="4" t="s">
        <v>84</v>
      </c>
      <c r="F202" s="4" t="s">
        <v>57</v>
      </c>
      <c r="G202" s="4" t="s">
        <v>58</v>
      </c>
      <c r="H202" s="4" t="s">
        <v>59</v>
      </c>
      <c r="I202" s="3"/>
      <c r="J202" s="3"/>
      <c r="K202" s="3"/>
      <c r="L202" s="3"/>
      <c r="M202" s="3"/>
      <c r="N202" s="3"/>
      <c r="O202" s="3"/>
      <c r="P202" s="8"/>
      <c r="Q202" s="8"/>
      <c r="R202" s="3"/>
      <c r="S202" s="3"/>
      <c r="T202" s="3"/>
      <c r="U202" s="5" t="str">
        <f t="shared" si="10"/>
        <v/>
      </c>
    </row>
    <row r="203" spans="1:21" ht="28" customHeight="1" x14ac:dyDescent="0.35">
      <c r="A203" s="4">
        <v>12</v>
      </c>
      <c r="B203" s="4" t="s">
        <v>92</v>
      </c>
      <c r="C203" s="4" t="s">
        <v>93</v>
      </c>
      <c r="D203" s="4" t="s">
        <v>94</v>
      </c>
      <c r="E203" s="4" t="s">
        <v>69</v>
      </c>
      <c r="F203" s="4" t="s">
        <v>95</v>
      </c>
      <c r="G203" s="4" t="s">
        <v>96</v>
      </c>
      <c r="H203" s="4" t="s">
        <v>59</v>
      </c>
      <c r="I203" s="3"/>
      <c r="J203" s="3"/>
      <c r="K203" s="3"/>
      <c r="L203" s="3"/>
      <c r="M203" s="3"/>
      <c r="N203" s="3"/>
      <c r="O203" s="3"/>
      <c r="P203" s="8"/>
      <c r="Q203" s="8"/>
      <c r="R203" s="3"/>
      <c r="S203" s="3"/>
      <c r="T203" s="3"/>
      <c r="U203" s="5" t="str">
        <f t="shared" si="10"/>
        <v/>
      </c>
    </row>
    <row r="204" spans="1:21" ht="28" customHeight="1" x14ac:dyDescent="0.35">
      <c r="A204" s="4">
        <v>13</v>
      </c>
      <c r="B204" s="4" t="s">
        <v>97</v>
      </c>
      <c r="C204" s="4" t="s">
        <v>98</v>
      </c>
      <c r="D204" s="4" t="s">
        <v>99</v>
      </c>
      <c r="E204" s="4" t="s">
        <v>69</v>
      </c>
      <c r="F204" s="4" t="s">
        <v>95</v>
      </c>
      <c r="G204" s="4" t="s">
        <v>96</v>
      </c>
      <c r="H204" s="4" t="s">
        <v>59</v>
      </c>
      <c r="I204" s="3"/>
      <c r="J204" s="3"/>
      <c r="K204" s="3"/>
      <c r="L204" s="3"/>
      <c r="M204" s="3"/>
      <c r="N204" s="3"/>
      <c r="O204" s="3"/>
      <c r="P204" s="8"/>
      <c r="Q204" s="8"/>
      <c r="R204" s="3"/>
      <c r="S204" s="3"/>
      <c r="T204" s="3"/>
      <c r="U204" s="5" t="str">
        <f t="shared" si="10"/>
        <v/>
      </c>
    </row>
    <row r="205" spans="1:21" ht="28" customHeight="1" x14ac:dyDescent="0.35">
      <c r="A205" s="4">
        <v>14</v>
      </c>
      <c r="B205" s="4" t="s">
        <v>97</v>
      </c>
      <c r="C205" s="4" t="s">
        <v>100</v>
      </c>
      <c r="D205" s="4" t="s">
        <v>101</v>
      </c>
      <c r="E205" s="4" t="s">
        <v>69</v>
      </c>
      <c r="F205" s="4" t="s">
        <v>95</v>
      </c>
      <c r="G205" s="4" t="s">
        <v>102</v>
      </c>
      <c r="H205" s="4" t="s">
        <v>59</v>
      </c>
      <c r="I205" s="3"/>
      <c r="J205" s="3"/>
      <c r="K205" s="3"/>
      <c r="L205" s="3"/>
      <c r="M205" s="3"/>
      <c r="N205" s="3"/>
      <c r="O205" s="3"/>
      <c r="P205" s="8"/>
      <c r="Q205" s="8"/>
      <c r="R205" s="3"/>
      <c r="S205" s="3"/>
      <c r="T205" s="3"/>
      <c r="U205" s="5" t="str">
        <f t="shared" si="10"/>
        <v/>
      </c>
    </row>
    <row r="206" spans="1:21" ht="28" customHeight="1" x14ac:dyDescent="0.35">
      <c r="A206" s="4">
        <v>15</v>
      </c>
      <c r="B206" s="4" t="s">
        <v>103</v>
      </c>
      <c r="C206" s="4" t="s">
        <v>104</v>
      </c>
      <c r="D206" s="4" t="s">
        <v>105</v>
      </c>
      <c r="E206" s="4" t="s">
        <v>69</v>
      </c>
      <c r="F206" s="4" t="s">
        <v>95</v>
      </c>
      <c r="G206" s="4" t="s">
        <v>96</v>
      </c>
      <c r="H206" s="4" t="s">
        <v>85</v>
      </c>
      <c r="I206" s="3"/>
      <c r="J206" s="3"/>
      <c r="K206" s="3"/>
      <c r="L206" s="3"/>
      <c r="M206" s="3"/>
      <c r="N206" s="3"/>
      <c r="O206" s="3"/>
      <c r="P206" s="8"/>
      <c r="Q206" s="8"/>
      <c r="R206" s="3"/>
      <c r="S206" s="3"/>
      <c r="T206" s="3"/>
      <c r="U206" s="5" t="str">
        <f t="shared" si="10"/>
        <v/>
      </c>
    </row>
    <row r="207" spans="1:21" ht="28" customHeight="1" x14ac:dyDescent="0.35">
      <c r="A207" s="4">
        <v>16</v>
      </c>
      <c r="B207" s="4" t="s">
        <v>106</v>
      </c>
      <c r="C207" s="4" t="s">
        <v>107</v>
      </c>
      <c r="D207" s="4" t="s">
        <v>108</v>
      </c>
      <c r="E207" s="4" t="s">
        <v>109</v>
      </c>
      <c r="F207" s="4" t="s">
        <v>95</v>
      </c>
      <c r="G207" s="4" t="s">
        <v>96</v>
      </c>
      <c r="H207" s="4" t="s">
        <v>59</v>
      </c>
      <c r="I207" s="3"/>
      <c r="J207" s="3"/>
      <c r="K207" s="3"/>
      <c r="L207" s="3"/>
      <c r="M207" s="3"/>
      <c r="N207" s="3"/>
      <c r="O207" s="3"/>
      <c r="P207" s="8"/>
      <c r="Q207" s="8"/>
      <c r="R207" s="3"/>
      <c r="S207" s="3"/>
      <c r="T207" s="3"/>
      <c r="U207" s="5" t="str">
        <f t="shared" si="10"/>
        <v/>
      </c>
    </row>
    <row r="209" spans="1:21" ht="28" customHeight="1" x14ac:dyDescent="0.35">
      <c r="A209" s="9" t="s">
        <v>110</v>
      </c>
      <c r="B209" s="16"/>
      <c r="C209" s="17"/>
      <c r="D209" s="17"/>
      <c r="E209" s="17"/>
      <c r="F209" s="17"/>
      <c r="G209" s="17"/>
      <c r="H209" s="17"/>
      <c r="I209" s="17"/>
      <c r="J209" s="17"/>
      <c r="K209" s="17"/>
      <c r="L209" s="17"/>
      <c r="M209" s="17"/>
      <c r="N209" s="17"/>
      <c r="O209" s="17"/>
      <c r="P209" s="17"/>
      <c r="Q209" s="17"/>
      <c r="R209" s="17"/>
      <c r="S209" s="17"/>
      <c r="T209" s="17"/>
      <c r="U209" s="18"/>
    </row>
    <row r="210" spans="1:21" ht="28" customHeight="1" x14ac:dyDescent="0.35">
      <c r="A210" s="19" t="s">
        <v>595</v>
      </c>
      <c r="B210" s="20"/>
      <c r="C210" s="20"/>
      <c r="D210" s="20"/>
      <c r="E210" s="20"/>
      <c r="F210" s="20"/>
      <c r="G210" s="20"/>
      <c r="H210" s="20"/>
      <c r="I210" s="20"/>
      <c r="J210" s="20"/>
      <c r="K210" s="20"/>
      <c r="L210" s="20"/>
      <c r="M210" s="20"/>
      <c r="N210" s="20"/>
      <c r="O210" s="20"/>
      <c r="P210" s="20"/>
      <c r="Q210" s="20"/>
      <c r="R210" s="20"/>
      <c r="S210" s="20"/>
      <c r="T210" s="20"/>
      <c r="U210" s="21"/>
    </row>
    <row r="211" spans="1:21" ht="28" customHeight="1" x14ac:dyDescent="0.35">
      <c r="A211" s="4" t="s">
        <v>31</v>
      </c>
      <c r="B211" s="3" t="s">
        <v>27</v>
      </c>
      <c r="C211" s="4" t="s">
        <v>32</v>
      </c>
      <c r="D211" s="3"/>
      <c r="E211" s="4" t="s">
        <v>33</v>
      </c>
      <c r="F211" s="8"/>
    </row>
    <row r="212" spans="1:21" ht="28" customHeight="1" x14ac:dyDescent="0.35">
      <c r="A212" s="1" t="s">
        <v>34</v>
      </c>
      <c r="B212" s="1" t="s">
        <v>35</v>
      </c>
      <c r="C212" s="1" t="s">
        <v>36</v>
      </c>
      <c r="D212" s="1" t="s">
        <v>37</v>
      </c>
      <c r="E212" s="1" t="s">
        <v>38</v>
      </c>
      <c r="F212" s="1" t="s">
        <v>39</v>
      </c>
      <c r="G212" s="1" t="s">
        <v>40</v>
      </c>
      <c r="H212" s="1" t="s">
        <v>41</v>
      </c>
      <c r="I212" s="1" t="s">
        <v>42</v>
      </c>
      <c r="J212" s="1" t="s">
        <v>43</v>
      </c>
      <c r="K212" s="1" t="s">
        <v>44</v>
      </c>
      <c r="L212" s="1" t="s">
        <v>45</v>
      </c>
      <c r="M212" s="1" t="s">
        <v>46</v>
      </c>
      <c r="N212" s="1" t="s">
        <v>47</v>
      </c>
      <c r="O212" s="1" t="s">
        <v>48</v>
      </c>
      <c r="P212" s="1" t="s">
        <v>4</v>
      </c>
      <c r="Q212" s="1" t="s">
        <v>49</v>
      </c>
      <c r="R212" s="1" t="s">
        <v>50</v>
      </c>
      <c r="S212" s="1" t="s">
        <v>51</v>
      </c>
      <c r="T212" s="1" t="s">
        <v>52</v>
      </c>
      <c r="U212" s="1" t="s">
        <v>10</v>
      </c>
    </row>
    <row r="213" spans="1:21" ht="28" customHeight="1" x14ac:dyDescent="0.35">
      <c r="A213" s="4">
        <v>1</v>
      </c>
      <c r="B213" s="4" t="s">
        <v>53</v>
      </c>
      <c r="C213" s="4" t="s">
        <v>579</v>
      </c>
      <c r="D213" s="4" t="s">
        <v>580</v>
      </c>
      <c r="E213" s="4" t="s">
        <v>56</v>
      </c>
      <c r="F213" s="4" t="s">
        <v>57</v>
      </c>
      <c r="G213" s="4" t="s">
        <v>58</v>
      </c>
      <c r="H213" s="4" t="s">
        <v>59</v>
      </c>
      <c r="I213" s="3"/>
      <c r="J213" s="3"/>
      <c r="K213" s="3"/>
      <c r="L213" s="3"/>
      <c r="M213" s="3"/>
      <c r="N213" s="3"/>
      <c r="O213" s="3"/>
      <c r="P213" s="8"/>
      <c r="Q213" s="8"/>
      <c r="R213" s="3"/>
      <c r="S213" s="3"/>
      <c r="T213" s="3"/>
      <c r="U213" s="5" t="str">
        <f t="shared" ref="U213:U228" si="11">IF(I213="","",IF(I213="NA","Grey",IF(I213=2,"Green",IF(I213=1,"Amber","Red"))))</f>
        <v/>
      </c>
    </row>
    <row r="214" spans="1:21" ht="28" customHeight="1" x14ac:dyDescent="0.35">
      <c r="A214" s="4">
        <v>2</v>
      </c>
      <c r="B214" s="4" t="s">
        <v>53</v>
      </c>
      <c r="C214" s="4" t="s">
        <v>581</v>
      </c>
      <c r="D214" s="4" t="s">
        <v>582</v>
      </c>
      <c r="E214" s="4" t="s">
        <v>56</v>
      </c>
      <c r="F214" s="4" t="s">
        <v>57</v>
      </c>
      <c r="G214" s="4" t="s">
        <v>58</v>
      </c>
      <c r="H214" s="4" t="s">
        <v>59</v>
      </c>
      <c r="I214" s="3"/>
      <c r="J214" s="3"/>
      <c r="K214" s="3"/>
      <c r="L214" s="3"/>
      <c r="M214" s="3"/>
      <c r="N214" s="3"/>
      <c r="O214" s="3"/>
      <c r="P214" s="8"/>
      <c r="Q214" s="8"/>
      <c r="R214" s="3"/>
      <c r="S214" s="3"/>
      <c r="T214" s="3"/>
      <c r="U214" s="5" t="str">
        <f t="shared" si="11"/>
        <v/>
      </c>
    </row>
    <row r="215" spans="1:21" ht="28" customHeight="1" x14ac:dyDescent="0.35">
      <c r="A215" s="4">
        <v>3</v>
      </c>
      <c r="B215" s="4" t="s">
        <v>53</v>
      </c>
      <c r="C215" s="4" t="s">
        <v>583</v>
      </c>
      <c r="D215" s="4" t="s">
        <v>584</v>
      </c>
      <c r="E215" s="4" t="s">
        <v>56</v>
      </c>
      <c r="F215" s="4" t="s">
        <v>57</v>
      </c>
      <c r="G215" s="4" t="s">
        <v>58</v>
      </c>
      <c r="H215" s="4" t="s">
        <v>59</v>
      </c>
      <c r="I215" s="3"/>
      <c r="J215" s="3"/>
      <c r="K215" s="3"/>
      <c r="L215" s="3"/>
      <c r="M215" s="3"/>
      <c r="N215" s="3"/>
      <c r="O215" s="3"/>
      <c r="P215" s="8"/>
      <c r="Q215" s="8"/>
      <c r="R215" s="3"/>
      <c r="S215" s="3"/>
      <c r="T215" s="3"/>
      <c r="U215" s="5" t="str">
        <f t="shared" si="11"/>
        <v/>
      </c>
    </row>
    <row r="216" spans="1:21" ht="28" customHeight="1" x14ac:dyDescent="0.35">
      <c r="A216" s="4">
        <v>4</v>
      </c>
      <c r="B216" s="4" t="s">
        <v>53</v>
      </c>
      <c r="C216" s="4" t="s">
        <v>585</v>
      </c>
      <c r="D216" s="4" t="s">
        <v>586</v>
      </c>
      <c r="E216" s="4" t="s">
        <v>56</v>
      </c>
      <c r="F216" s="4" t="s">
        <v>57</v>
      </c>
      <c r="G216" s="4" t="s">
        <v>58</v>
      </c>
      <c r="H216" s="4" t="s">
        <v>59</v>
      </c>
      <c r="I216" s="3"/>
      <c r="J216" s="3"/>
      <c r="K216" s="3"/>
      <c r="L216" s="3"/>
      <c r="M216" s="3"/>
      <c r="N216" s="3"/>
      <c r="O216" s="3"/>
      <c r="P216" s="8"/>
      <c r="Q216" s="8"/>
      <c r="R216" s="3"/>
      <c r="S216" s="3"/>
      <c r="T216" s="3"/>
      <c r="U216" s="5" t="str">
        <f t="shared" si="11"/>
        <v/>
      </c>
    </row>
    <row r="217" spans="1:21" ht="28" customHeight="1" x14ac:dyDescent="0.35">
      <c r="A217" s="4">
        <v>5</v>
      </c>
      <c r="B217" s="4" t="s">
        <v>66</v>
      </c>
      <c r="C217" s="4" t="s">
        <v>67</v>
      </c>
      <c r="D217" s="4" t="s">
        <v>68</v>
      </c>
      <c r="E217" s="4" t="s">
        <v>69</v>
      </c>
      <c r="F217" s="4" t="s">
        <v>57</v>
      </c>
      <c r="G217" s="4" t="s">
        <v>58</v>
      </c>
      <c r="H217" s="4" t="s">
        <v>59</v>
      </c>
      <c r="I217" s="3"/>
      <c r="J217" s="3"/>
      <c r="K217" s="3"/>
      <c r="L217" s="3"/>
      <c r="M217" s="3"/>
      <c r="N217" s="3"/>
      <c r="O217" s="3"/>
      <c r="P217" s="8"/>
      <c r="Q217" s="8"/>
      <c r="R217" s="3"/>
      <c r="S217" s="3"/>
      <c r="T217" s="3"/>
      <c r="U217" s="5" t="str">
        <f t="shared" si="11"/>
        <v/>
      </c>
    </row>
    <row r="218" spans="1:21" ht="28" customHeight="1" x14ac:dyDescent="0.35">
      <c r="A218" s="4">
        <v>6</v>
      </c>
      <c r="B218" s="4" t="s">
        <v>70</v>
      </c>
      <c r="C218" s="4" t="s">
        <v>71</v>
      </c>
      <c r="D218" s="4" t="s">
        <v>72</v>
      </c>
      <c r="E218" s="4" t="s">
        <v>70</v>
      </c>
      <c r="F218" s="4" t="s">
        <v>57</v>
      </c>
      <c r="G218" s="4" t="s">
        <v>58</v>
      </c>
      <c r="H218" s="4" t="s">
        <v>59</v>
      </c>
      <c r="I218" s="3"/>
      <c r="J218" s="3"/>
      <c r="K218" s="3"/>
      <c r="L218" s="3"/>
      <c r="M218" s="3"/>
      <c r="N218" s="3"/>
      <c r="O218" s="3"/>
      <c r="P218" s="8"/>
      <c r="Q218" s="8"/>
      <c r="R218" s="3"/>
      <c r="S218" s="3"/>
      <c r="T218" s="3"/>
      <c r="U218" s="5" t="str">
        <f t="shared" si="11"/>
        <v/>
      </c>
    </row>
    <row r="219" spans="1:21" ht="28" customHeight="1" x14ac:dyDescent="0.35">
      <c r="A219" s="4">
        <v>7</v>
      </c>
      <c r="B219" s="4" t="s">
        <v>73</v>
      </c>
      <c r="C219" s="4" t="s">
        <v>74</v>
      </c>
      <c r="D219" s="4" t="s">
        <v>75</v>
      </c>
      <c r="E219" s="4" t="s">
        <v>69</v>
      </c>
      <c r="F219" s="4" t="s">
        <v>57</v>
      </c>
      <c r="G219" s="4" t="s">
        <v>58</v>
      </c>
      <c r="H219" s="4" t="s">
        <v>76</v>
      </c>
      <c r="I219" s="3"/>
      <c r="J219" s="3"/>
      <c r="K219" s="3"/>
      <c r="L219" s="3"/>
      <c r="M219" s="3"/>
      <c r="N219" s="3"/>
      <c r="O219" s="3"/>
      <c r="P219" s="8"/>
      <c r="Q219" s="8"/>
      <c r="R219" s="3"/>
      <c r="S219" s="3"/>
      <c r="T219" s="3"/>
      <c r="U219" s="5" t="str">
        <f t="shared" si="11"/>
        <v/>
      </c>
    </row>
    <row r="220" spans="1:21" ht="28" customHeight="1" x14ac:dyDescent="0.35">
      <c r="A220" s="4">
        <v>8</v>
      </c>
      <c r="B220" s="4" t="s">
        <v>77</v>
      </c>
      <c r="C220" s="4" t="s">
        <v>78</v>
      </c>
      <c r="D220" s="4" t="s">
        <v>79</v>
      </c>
      <c r="E220" s="4" t="s">
        <v>80</v>
      </c>
      <c r="F220" s="4" t="s">
        <v>57</v>
      </c>
      <c r="G220" s="4" t="s">
        <v>58</v>
      </c>
      <c r="H220" s="4" t="s">
        <v>59</v>
      </c>
      <c r="I220" s="3"/>
      <c r="J220" s="3"/>
      <c r="K220" s="3"/>
      <c r="L220" s="3"/>
      <c r="M220" s="3"/>
      <c r="N220" s="3"/>
      <c r="O220" s="3"/>
      <c r="P220" s="8"/>
      <c r="Q220" s="8"/>
      <c r="R220" s="3"/>
      <c r="S220" s="3"/>
      <c r="T220" s="3"/>
      <c r="U220" s="5" t="str">
        <f t="shared" si="11"/>
        <v/>
      </c>
    </row>
    <row r="221" spans="1:21" ht="28" customHeight="1" x14ac:dyDescent="0.35">
      <c r="A221" s="4">
        <v>9</v>
      </c>
      <c r="B221" s="4" t="s">
        <v>81</v>
      </c>
      <c r="C221" s="4" t="s">
        <v>82</v>
      </c>
      <c r="D221" s="4" t="s">
        <v>83</v>
      </c>
      <c r="E221" s="4" t="s">
        <v>84</v>
      </c>
      <c r="F221" s="4" t="s">
        <v>57</v>
      </c>
      <c r="G221" s="4" t="s">
        <v>58</v>
      </c>
      <c r="H221" s="4" t="s">
        <v>85</v>
      </c>
      <c r="I221" s="3"/>
      <c r="J221" s="3"/>
      <c r="K221" s="3"/>
      <c r="L221" s="3"/>
      <c r="M221" s="3"/>
      <c r="N221" s="3"/>
      <c r="O221" s="3"/>
      <c r="P221" s="8"/>
      <c r="Q221" s="8"/>
      <c r="R221" s="3"/>
      <c r="S221" s="3"/>
      <c r="T221" s="3"/>
      <c r="U221" s="5" t="str">
        <f t="shared" si="11"/>
        <v/>
      </c>
    </row>
    <row r="222" spans="1:21" ht="28" customHeight="1" x14ac:dyDescent="0.35">
      <c r="A222" s="4">
        <v>10</v>
      </c>
      <c r="B222" s="4" t="s">
        <v>86</v>
      </c>
      <c r="C222" s="4" t="s">
        <v>87</v>
      </c>
      <c r="D222" s="4" t="s">
        <v>88</v>
      </c>
      <c r="E222" s="4" t="s">
        <v>69</v>
      </c>
      <c r="F222" s="4" t="s">
        <v>57</v>
      </c>
      <c r="G222" s="4" t="s">
        <v>58</v>
      </c>
      <c r="H222" s="4" t="s">
        <v>59</v>
      </c>
      <c r="I222" s="3"/>
      <c r="J222" s="3"/>
      <c r="K222" s="3"/>
      <c r="L222" s="3"/>
      <c r="M222" s="3"/>
      <c r="N222" s="3"/>
      <c r="O222" s="3"/>
      <c r="P222" s="8"/>
      <c r="Q222" s="8"/>
      <c r="R222" s="3"/>
      <c r="S222" s="3"/>
      <c r="T222" s="3"/>
      <c r="U222" s="5" t="str">
        <f t="shared" si="11"/>
        <v/>
      </c>
    </row>
    <row r="223" spans="1:21" ht="28" customHeight="1" x14ac:dyDescent="0.35">
      <c r="A223" s="4">
        <v>11</v>
      </c>
      <c r="B223" s="4" t="s">
        <v>89</v>
      </c>
      <c r="C223" s="4" t="s">
        <v>90</v>
      </c>
      <c r="D223" s="4" t="s">
        <v>91</v>
      </c>
      <c r="E223" s="4" t="s">
        <v>84</v>
      </c>
      <c r="F223" s="4" t="s">
        <v>57</v>
      </c>
      <c r="G223" s="4" t="s">
        <v>58</v>
      </c>
      <c r="H223" s="4" t="s">
        <v>59</v>
      </c>
      <c r="I223" s="3"/>
      <c r="J223" s="3"/>
      <c r="K223" s="3"/>
      <c r="L223" s="3"/>
      <c r="M223" s="3"/>
      <c r="N223" s="3"/>
      <c r="O223" s="3"/>
      <c r="P223" s="8"/>
      <c r="Q223" s="8"/>
      <c r="R223" s="3"/>
      <c r="S223" s="3"/>
      <c r="T223" s="3"/>
      <c r="U223" s="5" t="str">
        <f t="shared" si="11"/>
        <v/>
      </c>
    </row>
    <row r="224" spans="1:21" ht="28" customHeight="1" x14ac:dyDescent="0.35">
      <c r="A224" s="4">
        <v>12</v>
      </c>
      <c r="B224" s="4" t="s">
        <v>92</v>
      </c>
      <c r="C224" s="4" t="s">
        <v>93</v>
      </c>
      <c r="D224" s="4" t="s">
        <v>94</v>
      </c>
      <c r="E224" s="4" t="s">
        <v>69</v>
      </c>
      <c r="F224" s="4" t="s">
        <v>95</v>
      </c>
      <c r="G224" s="4" t="s">
        <v>96</v>
      </c>
      <c r="H224" s="4" t="s">
        <v>59</v>
      </c>
      <c r="I224" s="3"/>
      <c r="J224" s="3"/>
      <c r="K224" s="3"/>
      <c r="L224" s="3"/>
      <c r="M224" s="3"/>
      <c r="N224" s="3"/>
      <c r="O224" s="3"/>
      <c r="P224" s="8"/>
      <c r="Q224" s="8"/>
      <c r="R224" s="3"/>
      <c r="S224" s="3"/>
      <c r="T224" s="3"/>
      <c r="U224" s="5" t="str">
        <f t="shared" si="11"/>
        <v/>
      </c>
    </row>
    <row r="225" spans="1:21" ht="28" customHeight="1" x14ac:dyDescent="0.35">
      <c r="A225" s="4">
        <v>13</v>
      </c>
      <c r="B225" s="4" t="s">
        <v>97</v>
      </c>
      <c r="C225" s="4" t="s">
        <v>98</v>
      </c>
      <c r="D225" s="4" t="s">
        <v>99</v>
      </c>
      <c r="E225" s="4" t="s">
        <v>69</v>
      </c>
      <c r="F225" s="4" t="s">
        <v>95</v>
      </c>
      <c r="G225" s="4" t="s">
        <v>96</v>
      </c>
      <c r="H225" s="4" t="s">
        <v>59</v>
      </c>
      <c r="I225" s="3"/>
      <c r="J225" s="3"/>
      <c r="K225" s="3"/>
      <c r="L225" s="3"/>
      <c r="M225" s="3"/>
      <c r="N225" s="3"/>
      <c r="O225" s="3"/>
      <c r="P225" s="8"/>
      <c r="Q225" s="8"/>
      <c r="R225" s="3"/>
      <c r="S225" s="3"/>
      <c r="T225" s="3"/>
      <c r="U225" s="5" t="str">
        <f t="shared" si="11"/>
        <v/>
      </c>
    </row>
    <row r="226" spans="1:21" ht="28" customHeight="1" x14ac:dyDescent="0.35">
      <c r="A226" s="4">
        <v>14</v>
      </c>
      <c r="B226" s="4" t="s">
        <v>97</v>
      </c>
      <c r="C226" s="4" t="s">
        <v>100</v>
      </c>
      <c r="D226" s="4" t="s">
        <v>101</v>
      </c>
      <c r="E226" s="4" t="s">
        <v>69</v>
      </c>
      <c r="F226" s="4" t="s">
        <v>95</v>
      </c>
      <c r="G226" s="4" t="s">
        <v>102</v>
      </c>
      <c r="H226" s="4" t="s">
        <v>59</v>
      </c>
      <c r="I226" s="3"/>
      <c r="J226" s="3"/>
      <c r="K226" s="3"/>
      <c r="L226" s="3"/>
      <c r="M226" s="3"/>
      <c r="N226" s="3"/>
      <c r="O226" s="3"/>
      <c r="P226" s="8"/>
      <c r="Q226" s="8"/>
      <c r="R226" s="3"/>
      <c r="S226" s="3"/>
      <c r="T226" s="3"/>
      <c r="U226" s="5" t="str">
        <f t="shared" si="11"/>
        <v/>
      </c>
    </row>
    <row r="227" spans="1:21" ht="28" customHeight="1" x14ac:dyDescent="0.35">
      <c r="A227" s="4">
        <v>15</v>
      </c>
      <c r="B227" s="4" t="s">
        <v>103</v>
      </c>
      <c r="C227" s="4" t="s">
        <v>104</v>
      </c>
      <c r="D227" s="4" t="s">
        <v>105</v>
      </c>
      <c r="E227" s="4" t="s">
        <v>69</v>
      </c>
      <c r="F227" s="4" t="s">
        <v>95</v>
      </c>
      <c r="G227" s="4" t="s">
        <v>96</v>
      </c>
      <c r="H227" s="4" t="s">
        <v>85</v>
      </c>
      <c r="I227" s="3"/>
      <c r="J227" s="3"/>
      <c r="K227" s="3"/>
      <c r="L227" s="3"/>
      <c r="M227" s="3"/>
      <c r="N227" s="3"/>
      <c r="O227" s="3"/>
      <c r="P227" s="8"/>
      <c r="Q227" s="8"/>
      <c r="R227" s="3"/>
      <c r="S227" s="3"/>
      <c r="T227" s="3"/>
      <c r="U227" s="5" t="str">
        <f t="shared" si="11"/>
        <v/>
      </c>
    </row>
    <row r="228" spans="1:21" ht="28" customHeight="1" x14ac:dyDescent="0.35">
      <c r="A228" s="4">
        <v>16</v>
      </c>
      <c r="B228" s="4" t="s">
        <v>106</v>
      </c>
      <c r="C228" s="4" t="s">
        <v>107</v>
      </c>
      <c r="D228" s="4" t="s">
        <v>108</v>
      </c>
      <c r="E228" s="4" t="s">
        <v>109</v>
      </c>
      <c r="F228" s="4" t="s">
        <v>95</v>
      </c>
      <c r="G228" s="4" t="s">
        <v>96</v>
      </c>
      <c r="H228" s="4" t="s">
        <v>59</v>
      </c>
      <c r="I228" s="3"/>
      <c r="J228" s="3"/>
      <c r="K228" s="3"/>
      <c r="L228" s="3"/>
      <c r="M228" s="3"/>
      <c r="N228" s="3"/>
      <c r="O228" s="3"/>
      <c r="P228" s="8"/>
      <c r="Q228" s="8"/>
      <c r="R228" s="3"/>
      <c r="S228" s="3"/>
      <c r="T228" s="3"/>
      <c r="U228" s="5" t="str">
        <f t="shared" si="11"/>
        <v/>
      </c>
    </row>
    <row r="230" spans="1:21" ht="28" customHeight="1" x14ac:dyDescent="0.35">
      <c r="A230" s="9" t="s">
        <v>110</v>
      </c>
      <c r="B230" s="16"/>
      <c r="C230" s="17"/>
      <c r="D230" s="17"/>
      <c r="E230" s="17"/>
      <c r="F230" s="17"/>
      <c r="G230" s="17"/>
      <c r="H230" s="17"/>
      <c r="I230" s="17"/>
      <c r="J230" s="17"/>
      <c r="K230" s="17"/>
      <c r="L230" s="17"/>
      <c r="M230" s="17"/>
      <c r="N230" s="17"/>
      <c r="O230" s="17"/>
      <c r="P230" s="17"/>
      <c r="Q230" s="17"/>
      <c r="R230" s="17"/>
      <c r="S230" s="17"/>
      <c r="T230" s="17"/>
      <c r="U230" s="18"/>
    </row>
    <row r="231" spans="1:21" ht="28" customHeight="1" x14ac:dyDescent="0.35">
      <c r="A231" s="19" t="s">
        <v>596</v>
      </c>
      <c r="B231" s="20"/>
      <c r="C231" s="20"/>
      <c r="D231" s="20"/>
      <c r="E231" s="20"/>
      <c r="F231" s="20"/>
      <c r="G231" s="20"/>
      <c r="H231" s="20"/>
      <c r="I231" s="20"/>
      <c r="J231" s="20"/>
      <c r="K231" s="20"/>
      <c r="L231" s="20"/>
      <c r="M231" s="20"/>
      <c r="N231" s="20"/>
      <c r="O231" s="20"/>
      <c r="P231" s="20"/>
      <c r="Q231" s="20"/>
      <c r="R231" s="20"/>
      <c r="S231" s="20"/>
      <c r="T231" s="20"/>
      <c r="U231" s="21"/>
    </row>
    <row r="232" spans="1:21" ht="28" customHeight="1" x14ac:dyDescent="0.35">
      <c r="A232" s="4" t="s">
        <v>31</v>
      </c>
      <c r="B232" s="3" t="s">
        <v>28</v>
      </c>
      <c r="C232" s="4" t="s">
        <v>32</v>
      </c>
      <c r="D232" s="3"/>
      <c r="E232" s="4" t="s">
        <v>33</v>
      </c>
      <c r="F232" s="8"/>
    </row>
    <row r="233" spans="1:21" ht="28" customHeight="1" x14ac:dyDescent="0.35">
      <c r="A233" s="1" t="s">
        <v>34</v>
      </c>
      <c r="B233" s="1" t="s">
        <v>35</v>
      </c>
      <c r="C233" s="1" t="s">
        <v>36</v>
      </c>
      <c r="D233" s="1" t="s">
        <v>37</v>
      </c>
      <c r="E233" s="1" t="s">
        <v>38</v>
      </c>
      <c r="F233" s="1" t="s">
        <v>39</v>
      </c>
      <c r="G233" s="1" t="s">
        <v>40</v>
      </c>
      <c r="H233" s="1" t="s">
        <v>41</v>
      </c>
      <c r="I233" s="1" t="s">
        <v>42</v>
      </c>
      <c r="J233" s="1" t="s">
        <v>43</v>
      </c>
      <c r="K233" s="1" t="s">
        <v>44</v>
      </c>
      <c r="L233" s="1" t="s">
        <v>45</v>
      </c>
      <c r="M233" s="1" t="s">
        <v>46</v>
      </c>
      <c r="N233" s="1" t="s">
        <v>47</v>
      </c>
      <c r="O233" s="1" t="s">
        <v>48</v>
      </c>
      <c r="P233" s="1" t="s">
        <v>4</v>
      </c>
      <c r="Q233" s="1" t="s">
        <v>49</v>
      </c>
      <c r="R233" s="1" t="s">
        <v>50</v>
      </c>
      <c r="S233" s="1" t="s">
        <v>51</v>
      </c>
      <c r="T233" s="1" t="s">
        <v>52</v>
      </c>
      <c r="U233" s="1" t="s">
        <v>10</v>
      </c>
    </row>
    <row r="234" spans="1:21" ht="28" customHeight="1" x14ac:dyDescent="0.35">
      <c r="A234" s="4">
        <v>1</v>
      </c>
      <c r="B234" s="4" t="s">
        <v>53</v>
      </c>
      <c r="C234" s="4" t="s">
        <v>579</v>
      </c>
      <c r="D234" s="4" t="s">
        <v>580</v>
      </c>
      <c r="E234" s="4" t="s">
        <v>56</v>
      </c>
      <c r="F234" s="4" t="s">
        <v>57</v>
      </c>
      <c r="G234" s="4" t="s">
        <v>58</v>
      </c>
      <c r="H234" s="4" t="s">
        <v>59</v>
      </c>
      <c r="I234" s="3"/>
      <c r="J234" s="3"/>
      <c r="K234" s="3"/>
      <c r="L234" s="3"/>
      <c r="M234" s="3"/>
      <c r="N234" s="3"/>
      <c r="O234" s="3"/>
      <c r="P234" s="8"/>
      <c r="Q234" s="8"/>
      <c r="R234" s="3"/>
      <c r="S234" s="3"/>
      <c r="T234" s="3"/>
      <c r="U234" s="5" t="str">
        <f t="shared" ref="U234:U249" si="12">IF(I234="","",IF(I234="NA","Grey",IF(I234=2,"Green",IF(I234=1,"Amber","Red"))))</f>
        <v/>
      </c>
    </row>
    <row r="235" spans="1:21" ht="28" customHeight="1" x14ac:dyDescent="0.35">
      <c r="A235" s="4">
        <v>2</v>
      </c>
      <c r="B235" s="4" t="s">
        <v>53</v>
      </c>
      <c r="C235" s="4" t="s">
        <v>581</v>
      </c>
      <c r="D235" s="4" t="s">
        <v>582</v>
      </c>
      <c r="E235" s="4" t="s">
        <v>56</v>
      </c>
      <c r="F235" s="4" t="s">
        <v>57</v>
      </c>
      <c r="G235" s="4" t="s">
        <v>58</v>
      </c>
      <c r="H235" s="4" t="s">
        <v>59</v>
      </c>
      <c r="I235" s="3"/>
      <c r="J235" s="3"/>
      <c r="K235" s="3"/>
      <c r="L235" s="3"/>
      <c r="M235" s="3"/>
      <c r="N235" s="3"/>
      <c r="O235" s="3"/>
      <c r="P235" s="8"/>
      <c r="Q235" s="8"/>
      <c r="R235" s="3"/>
      <c r="S235" s="3"/>
      <c r="T235" s="3"/>
      <c r="U235" s="5" t="str">
        <f t="shared" si="12"/>
        <v/>
      </c>
    </row>
    <row r="236" spans="1:21" ht="28" customHeight="1" x14ac:dyDescent="0.35">
      <c r="A236" s="4">
        <v>3</v>
      </c>
      <c r="B236" s="4" t="s">
        <v>53</v>
      </c>
      <c r="C236" s="4" t="s">
        <v>583</v>
      </c>
      <c r="D236" s="4" t="s">
        <v>584</v>
      </c>
      <c r="E236" s="4" t="s">
        <v>56</v>
      </c>
      <c r="F236" s="4" t="s">
        <v>57</v>
      </c>
      <c r="G236" s="4" t="s">
        <v>58</v>
      </c>
      <c r="H236" s="4" t="s">
        <v>59</v>
      </c>
      <c r="I236" s="3"/>
      <c r="J236" s="3"/>
      <c r="K236" s="3"/>
      <c r="L236" s="3"/>
      <c r="M236" s="3"/>
      <c r="N236" s="3"/>
      <c r="O236" s="3"/>
      <c r="P236" s="8"/>
      <c r="Q236" s="8"/>
      <c r="R236" s="3"/>
      <c r="S236" s="3"/>
      <c r="T236" s="3"/>
      <c r="U236" s="5" t="str">
        <f t="shared" si="12"/>
        <v/>
      </c>
    </row>
    <row r="237" spans="1:21" ht="28" customHeight="1" x14ac:dyDescent="0.35">
      <c r="A237" s="4">
        <v>4</v>
      </c>
      <c r="B237" s="4" t="s">
        <v>53</v>
      </c>
      <c r="C237" s="4" t="s">
        <v>585</v>
      </c>
      <c r="D237" s="4" t="s">
        <v>586</v>
      </c>
      <c r="E237" s="4" t="s">
        <v>56</v>
      </c>
      <c r="F237" s="4" t="s">
        <v>57</v>
      </c>
      <c r="G237" s="4" t="s">
        <v>58</v>
      </c>
      <c r="H237" s="4" t="s">
        <v>59</v>
      </c>
      <c r="I237" s="3"/>
      <c r="J237" s="3"/>
      <c r="K237" s="3"/>
      <c r="L237" s="3"/>
      <c r="M237" s="3"/>
      <c r="N237" s="3"/>
      <c r="O237" s="3"/>
      <c r="P237" s="8"/>
      <c r="Q237" s="8"/>
      <c r="R237" s="3"/>
      <c r="S237" s="3"/>
      <c r="T237" s="3"/>
      <c r="U237" s="5" t="str">
        <f t="shared" si="12"/>
        <v/>
      </c>
    </row>
    <row r="238" spans="1:21" ht="28" customHeight="1" x14ac:dyDescent="0.35">
      <c r="A238" s="4">
        <v>5</v>
      </c>
      <c r="B238" s="4" t="s">
        <v>66</v>
      </c>
      <c r="C238" s="4" t="s">
        <v>67</v>
      </c>
      <c r="D238" s="4" t="s">
        <v>68</v>
      </c>
      <c r="E238" s="4" t="s">
        <v>69</v>
      </c>
      <c r="F238" s="4" t="s">
        <v>57</v>
      </c>
      <c r="G238" s="4" t="s">
        <v>58</v>
      </c>
      <c r="H238" s="4" t="s">
        <v>59</v>
      </c>
      <c r="I238" s="3"/>
      <c r="J238" s="3"/>
      <c r="K238" s="3"/>
      <c r="L238" s="3"/>
      <c r="M238" s="3"/>
      <c r="N238" s="3"/>
      <c r="O238" s="3"/>
      <c r="P238" s="8"/>
      <c r="Q238" s="8"/>
      <c r="R238" s="3"/>
      <c r="S238" s="3"/>
      <c r="T238" s="3"/>
      <c r="U238" s="5" t="str">
        <f t="shared" si="12"/>
        <v/>
      </c>
    </row>
    <row r="239" spans="1:21" ht="28" customHeight="1" x14ac:dyDescent="0.35">
      <c r="A239" s="4">
        <v>6</v>
      </c>
      <c r="B239" s="4" t="s">
        <v>70</v>
      </c>
      <c r="C239" s="4" t="s">
        <v>71</v>
      </c>
      <c r="D239" s="4" t="s">
        <v>72</v>
      </c>
      <c r="E239" s="4" t="s">
        <v>70</v>
      </c>
      <c r="F239" s="4" t="s">
        <v>57</v>
      </c>
      <c r="G239" s="4" t="s">
        <v>58</v>
      </c>
      <c r="H239" s="4" t="s">
        <v>59</v>
      </c>
      <c r="I239" s="3"/>
      <c r="J239" s="3"/>
      <c r="K239" s="3"/>
      <c r="L239" s="3"/>
      <c r="M239" s="3"/>
      <c r="N239" s="3"/>
      <c r="O239" s="3"/>
      <c r="P239" s="8"/>
      <c r="Q239" s="8"/>
      <c r="R239" s="3"/>
      <c r="S239" s="3"/>
      <c r="T239" s="3"/>
      <c r="U239" s="5" t="str">
        <f t="shared" si="12"/>
        <v/>
      </c>
    </row>
    <row r="240" spans="1:21" ht="28" customHeight="1" x14ac:dyDescent="0.35">
      <c r="A240" s="4">
        <v>7</v>
      </c>
      <c r="B240" s="4" t="s">
        <v>73</v>
      </c>
      <c r="C240" s="4" t="s">
        <v>74</v>
      </c>
      <c r="D240" s="4" t="s">
        <v>75</v>
      </c>
      <c r="E240" s="4" t="s">
        <v>69</v>
      </c>
      <c r="F240" s="4" t="s">
        <v>57</v>
      </c>
      <c r="G240" s="4" t="s">
        <v>58</v>
      </c>
      <c r="H240" s="4" t="s">
        <v>76</v>
      </c>
      <c r="I240" s="3"/>
      <c r="J240" s="3"/>
      <c r="K240" s="3"/>
      <c r="L240" s="3"/>
      <c r="M240" s="3"/>
      <c r="N240" s="3"/>
      <c r="O240" s="3"/>
      <c r="P240" s="8"/>
      <c r="Q240" s="8"/>
      <c r="R240" s="3"/>
      <c r="S240" s="3"/>
      <c r="T240" s="3"/>
      <c r="U240" s="5" t="str">
        <f t="shared" si="12"/>
        <v/>
      </c>
    </row>
    <row r="241" spans="1:21" ht="28" customHeight="1" x14ac:dyDescent="0.35">
      <c r="A241" s="4">
        <v>8</v>
      </c>
      <c r="B241" s="4" t="s">
        <v>77</v>
      </c>
      <c r="C241" s="4" t="s">
        <v>78</v>
      </c>
      <c r="D241" s="4" t="s">
        <v>79</v>
      </c>
      <c r="E241" s="4" t="s">
        <v>80</v>
      </c>
      <c r="F241" s="4" t="s">
        <v>57</v>
      </c>
      <c r="G241" s="4" t="s">
        <v>58</v>
      </c>
      <c r="H241" s="4" t="s">
        <v>59</v>
      </c>
      <c r="I241" s="3"/>
      <c r="J241" s="3"/>
      <c r="K241" s="3"/>
      <c r="L241" s="3"/>
      <c r="M241" s="3"/>
      <c r="N241" s="3"/>
      <c r="O241" s="3"/>
      <c r="P241" s="8"/>
      <c r="Q241" s="8"/>
      <c r="R241" s="3"/>
      <c r="S241" s="3"/>
      <c r="T241" s="3"/>
      <c r="U241" s="5" t="str">
        <f t="shared" si="12"/>
        <v/>
      </c>
    </row>
    <row r="242" spans="1:21" ht="28" customHeight="1" x14ac:dyDescent="0.35">
      <c r="A242" s="4">
        <v>9</v>
      </c>
      <c r="B242" s="4" t="s">
        <v>81</v>
      </c>
      <c r="C242" s="4" t="s">
        <v>82</v>
      </c>
      <c r="D242" s="4" t="s">
        <v>83</v>
      </c>
      <c r="E242" s="4" t="s">
        <v>84</v>
      </c>
      <c r="F242" s="4" t="s">
        <v>57</v>
      </c>
      <c r="G242" s="4" t="s">
        <v>58</v>
      </c>
      <c r="H242" s="4" t="s">
        <v>85</v>
      </c>
      <c r="I242" s="3"/>
      <c r="J242" s="3"/>
      <c r="K242" s="3"/>
      <c r="L242" s="3"/>
      <c r="M242" s="3"/>
      <c r="N242" s="3"/>
      <c r="O242" s="3"/>
      <c r="P242" s="8"/>
      <c r="Q242" s="8"/>
      <c r="R242" s="3"/>
      <c r="S242" s="3"/>
      <c r="T242" s="3"/>
      <c r="U242" s="5" t="str">
        <f t="shared" si="12"/>
        <v/>
      </c>
    </row>
    <row r="243" spans="1:21" ht="28" customHeight="1" x14ac:dyDescent="0.35">
      <c r="A243" s="4">
        <v>10</v>
      </c>
      <c r="B243" s="4" t="s">
        <v>86</v>
      </c>
      <c r="C243" s="4" t="s">
        <v>87</v>
      </c>
      <c r="D243" s="4" t="s">
        <v>88</v>
      </c>
      <c r="E243" s="4" t="s">
        <v>69</v>
      </c>
      <c r="F243" s="4" t="s">
        <v>57</v>
      </c>
      <c r="G243" s="4" t="s">
        <v>58</v>
      </c>
      <c r="H243" s="4" t="s">
        <v>59</v>
      </c>
      <c r="I243" s="3"/>
      <c r="J243" s="3"/>
      <c r="K243" s="3"/>
      <c r="L243" s="3"/>
      <c r="M243" s="3"/>
      <c r="N243" s="3"/>
      <c r="O243" s="3"/>
      <c r="P243" s="8"/>
      <c r="Q243" s="8"/>
      <c r="R243" s="3"/>
      <c r="S243" s="3"/>
      <c r="T243" s="3"/>
      <c r="U243" s="5" t="str">
        <f t="shared" si="12"/>
        <v/>
      </c>
    </row>
    <row r="244" spans="1:21" ht="28" customHeight="1" x14ac:dyDescent="0.35">
      <c r="A244" s="4">
        <v>11</v>
      </c>
      <c r="B244" s="4" t="s">
        <v>89</v>
      </c>
      <c r="C244" s="4" t="s">
        <v>90</v>
      </c>
      <c r="D244" s="4" t="s">
        <v>91</v>
      </c>
      <c r="E244" s="4" t="s">
        <v>84</v>
      </c>
      <c r="F244" s="4" t="s">
        <v>57</v>
      </c>
      <c r="G244" s="4" t="s">
        <v>58</v>
      </c>
      <c r="H244" s="4" t="s">
        <v>59</v>
      </c>
      <c r="I244" s="3"/>
      <c r="J244" s="3"/>
      <c r="K244" s="3"/>
      <c r="L244" s="3"/>
      <c r="M244" s="3"/>
      <c r="N244" s="3"/>
      <c r="O244" s="3"/>
      <c r="P244" s="8"/>
      <c r="Q244" s="8"/>
      <c r="R244" s="3"/>
      <c r="S244" s="3"/>
      <c r="T244" s="3"/>
      <c r="U244" s="5" t="str">
        <f t="shared" si="12"/>
        <v/>
      </c>
    </row>
    <row r="245" spans="1:21" ht="28" customHeight="1" x14ac:dyDescent="0.35">
      <c r="A245" s="4">
        <v>12</v>
      </c>
      <c r="B245" s="4" t="s">
        <v>92</v>
      </c>
      <c r="C245" s="4" t="s">
        <v>93</v>
      </c>
      <c r="D245" s="4" t="s">
        <v>94</v>
      </c>
      <c r="E245" s="4" t="s">
        <v>69</v>
      </c>
      <c r="F245" s="4" t="s">
        <v>95</v>
      </c>
      <c r="G245" s="4" t="s">
        <v>96</v>
      </c>
      <c r="H245" s="4" t="s">
        <v>59</v>
      </c>
      <c r="I245" s="3"/>
      <c r="J245" s="3"/>
      <c r="K245" s="3"/>
      <c r="L245" s="3"/>
      <c r="M245" s="3"/>
      <c r="N245" s="3"/>
      <c r="O245" s="3"/>
      <c r="P245" s="8"/>
      <c r="Q245" s="8"/>
      <c r="R245" s="3"/>
      <c r="S245" s="3"/>
      <c r="T245" s="3"/>
      <c r="U245" s="5" t="str">
        <f t="shared" si="12"/>
        <v/>
      </c>
    </row>
    <row r="246" spans="1:21" ht="28" customHeight="1" x14ac:dyDescent="0.35">
      <c r="A246" s="4">
        <v>13</v>
      </c>
      <c r="B246" s="4" t="s">
        <v>97</v>
      </c>
      <c r="C246" s="4" t="s">
        <v>98</v>
      </c>
      <c r="D246" s="4" t="s">
        <v>99</v>
      </c>
      <c r="E246" s="4" t="s">
        <v>69</v>
      </c>
      <c r="F246" s="4" t="s">
        <v>95</v>
      </c>
      <c r="G246" s="4" t="s">
        <v>96</v>
      </c>
      <c r="H246" s="4" t="s">
        <v>59</v>
      </c>
      <c r="I246" s="3"/>
      <c r="J246" s="3"/>
      <c r="K246" s="3"/>
      <c r="L246" s="3"/>
      <c r="M246" s="3"/>
      <c r="N246" s="3"/>
      <c r="O246" s="3"/>
      <c r="P246" s="8"/>
      <c r="Q246" s="8"/>
      <c r="R246" s="3"/>
      <c r="S246" s="3"/>
      <c r="T246" s="3"/>
      <c r="U246" s="5" t="str">
        <f t="shared" si="12"/>
        <v/>
      </c>
    </row>
    <row r="247" spans="1:21" ht="28" customHeight="1" x14ac:dyDescent="0.35">
      <c r="A247" s="4">
        <v>14</v>
      </c>
      <c r="B247" s="4" t="s">
        <v>97</v>
      </c>
      <c r="C247" s="4" t="s">
        <v>100</v>
      </c>
      <c r="D247" s="4" t="s">
        <v>101</v>
      </c>
      <c r="E247" s="4" t="s">
        <v>69</v>
      </c>
      <c r="F247" s="4" t="s">
        <v>95</v>
      </c>
      <c r="G247" s="4" t="s">
        <v>102</v>
      </c>
      <c r="H247" s="4" t="s">
        <v>59</v>
      </c>
      <c r="I247" s="3"/>
      <c r="J247" s="3"/>
      <c r="K247" s="3"/>
      <c r="L247" s="3"/>
      <c r="M247" s="3"/>
      <c r="N247" s="3"/>
      <c r="O247" s="3"/>
      <c r="P247" s="8"/>
      <c r="Q247" s="8"/>
      <c r="R247" s="3"/>
      <c r="S247" s="3"/>
      <c r="T247" s="3"/>
      <c r="U247" s="5" t="str">
        <f t="shared" si="12"/>
        <v/>
      </c>
    </row>
    <row r="248" spans="1:21" ht="28" customHeight="1" x14ac:dyDescent="0.35">
      <c r="A248" s="4">
        <v>15</v>
      </c>
      <c r="B248" s="4" t="s">
        <v>103</v>
      </c>
      <c r="C248" s="4" t="s">
        <v>104</v>
      </c>
      <c r="D248" s="4" t="s">
        <v>105</v>
      </c>
      <c r="E248" s="4" t="s">
        <v>69</v>
      </c>
      <c r="F248" s="4" t="s">
        <v>95</v>
      </c>
      <c r="G248" s="4" t="s">
        <v>96</v>
      </c>
      <c r="H248" s="4" t="s">
        <v>85</v>
      </c>
      <c r="I248" s="3"/>
      <c r="J248" s="3"/>
      <c r="K248" s="3"/>
      <c r="L248" s="3"/>
      <c r="M248" s="3"/>
      <c r="N248" s="3"/>
      <c r="O248" s="3"/>
      <c r="P248" s="8"/>
      <c r="Q248" s="8"/>
      <c r="R248" s="3"/>
      <c r="S248" s="3"/>
      <c r="T248" s="3"/>
      <c r="U248" s="5" t="str">
        <f t="shared" si="12"/>
        <v/>
      </c>
    </row>
    <row r="249" spans="1:21" ht="28" customHeight="1" x14ac:dyDescent="0.35">
      <c r="A249" s="4">
        <v>16</v>
      </c>
      <c r="B249" s="4" t="s">
        <v>106</v>
      </c>
      <c r="C249" s="4" t="s">
        <v>107</v>
      </c>
      <c r="D249" s="4" t="s">
        <v>108</v>
      </c>
      <c r="E249" s="4" t="s">
        <v>109</v>
      </c>
      <c r="F249" s="4" t="s">
        <v>95</v>
      </c>
      <c r="G249" s="4" t="s">
        <v>96</v>
      </c>
      <c r="H249" s="4" t="s">
        <v>59</v>
      </c>
      <c r="I249" s="3"/>
      <c r="J249" s="3"/>
      <c r="K249" s="3"/>
      <c r="L249" s="3"/>
      <c r="M249" s="3"/>
      <c r="N249" s="3"/>
      <c r="O249" s="3"/>
      <c r="P249" s="8"/>
      <c r="Q249" s="8"/>
      <c r="R249" s="3"/>
      <c r="S249" s="3"/>
      <c r="T249" s="3"/>
      <c r="U249" s="5" t="str">
        <f t="shared" si="12"/>
        <v/>
      </c>
    </row>
    <row r="251" spans="1:21" ht="28" customHeight="1" x14ac:dyDescent="0.35">
      <c r="A251" s="9" t="s">
        <v>110</v>
      </c>
      <c r="B251" s="16"/>
      <c r="C251" s="17"/>
      <c r="D251" s="17"/>
      <c r="E251" s="17"/>
      <c r="F251" s="17"/>
      <c r="G251" s="17"/>
      <c r="H251" s="17"/>
      <c r="I251" s="17"/>
      <c r="J251" s="17"/>
      <c r="K251" s="17"/>
      <c r="L251" s="17"/>
      <c r="M251" s="17"/>
      <c r="N251" s="17"/>
      <c r="O251" s="17"/>
      <c r="P251" s="17"/>
      <c r="Q251" s="17"/>
      <c r="R251" s="17"/>
      <c r="S251" s="17"/>
      <c r="T251" s="17"/>
      <c r="U251" s="18"/>
    </row>
    <row r="252" spans="1:21" ht="28" customHeight="1" x14ac:dyDescent="0.35">
      <c r="A252" s="19" t="s">
        <v>597</v>
      </c>
      <c r="B252" s="20"/>
      <c r="C252" s="20"/>
      <c r="D252" s="20"/>
      <c r="E252" s="20"/>
      <c r="F252" s="20"/>
      <c r="G252" s="20"/>
      <c r="H252" s="20"/>
      <c r="I252" s="20"/>
      <c r="J252" s="20"/>
      <c r="K252" s="20"/>
      <c r="L252" s="20"/>
      <c r="M252" s="20"/>
      <c r="N252" s="20"/>
      <c r="O252" s="20"/>
      <c r="P252" s="20"/>
      <c r="Q252" s="20"/>
      <c r="R252" s="20"/>
      <c r="S252" s="20"/>
      <c r="T252" s="20"/>
      <c r="U252" s="21"/>
    </row>
    <row r="253" spans="1:21" ht="28" customHeight="1" x14ac:dyDescent="0.35">
      <c r="A253" s="4" t="s">
        <v>31</v>
      </c>
      <c r="B253" s="3" t="s">
        <v>29</v>
      </c>
      <c r="C253" s="4" t="s">
        <v>32</v>
      </c>
      <c r="D253" s="3"/>
      <c r="E253" s="4" t="s">
        <v>33</v>
      </c>
      <c r="F253" s="8"/>
    </row>
    <row r="254" spans="1:21" ht="28" customHeight="1" x14ac:dyDescent="0.35">
      <c r="A254" s="1" t="s">
        <v>34</v>
      </c>
      <c r="B254" s="1" t="s">
        <v>35</v>
      </c>
      <c r="C254" s="1" t="s">
        <v>36</v>
      </c>
      <c r="D254" s="1" t="s">
        <v>37</v>
      </c>
      <c r="E254" s="1" t="s">
        <v>38</v>
      </c>
      <c r="F254" s="1" t="s">
        <v>39</v>
      </c>
      <c r="G254" s="1" t="s">
        <v>40</v>
      </c>
      <c r="H254" s="1" t="s">
        <v>41</v>
      </c>
      <c r="I254" s="1" t="s">
        <v>42</v>
      </c>
      <c r="J254" s="1" t="s">
        <v>43</v>
      </c>
      <c r="K254" s="1" t="s">
        <v>44</v>
      </c>
      <c r="L254" s="1" t="s">
        <v>45</v>
      </c>
      <c r="M254" s="1" t="s">
        <v>46</v>
      </c>
      <c r="N254" s="1" t="s">
        <v>47</v>
      </c>
      <c r="O254" s="1" t="s">
        <v>48</v>
      </c>
      <c r="P254" s="1" t="s">
        <v>4</v>
      </c>
      <c r="Q254" s="1" t="s">
        <v>49</v>
      </c>
      <c r="R254" s="1" t="s">
        <v>50</v>
      </c>
      <c r="S254" s="1" t="s">
        <v>51</v>
      </c>
      <c r="T254" s="1" t="s">
        <v>52</v>
      </c>
      <c r="U254" s="1" t="s">
        <v>10</v>
      </c>
    </row>
    <row r="255" spans="1:21" ht="28" customHeight="1" x14ac:dyDescent="0.35">
      <c r="A255" s="4">
        <v>1</v>
      </c>
      <c r="B255" s="4" t="s">
        <v>53</v>
      </c>
      <c r="C255" s="4" t="s">
        <v>579</v>
      </c>
      <c r="D255" s="4" t="s">
        <v>580</v>
      </c>
      <c r="E255" s="4" t="s">
        <v>56</v>
      </c>
      <c r="F255" s="4" t="s">
        <v>57</v>
      </c>
      <c r="G255" s="4" t="s">
        <v>58</v>
      </c>
      <c r="H255" s="4" t="s">
        <v>59</v>
      </c>
      <c r="I255" s="3"/>
      <c r="J255" s="3"/>
      <c r="K255" s="3"/>
      <c r="L255" s="3"/>
      <c r="M255" s="3"/>
      <c r="N255" s="3"/>
      <c r="O255" s="3"/>
      <c r="P255" s="8"/>
      <c r="Q255" s="8"/>
      <c r="R255" s="3"/>
      <c r="S255" s="3"/>
      <c r="T255" s="3"/>
      <c r="U255" s="5" t="str">
        <f t="shared" ref="U255:U270" si="13">IF(I255="","",IF(I255="NA","Grey",IF(I255=2,"Green",IF(I255=1,"Amber","Red"))))</f>
        <v/>
      </c>
    </row>
    <row r="256" spans="1:21" ht="28" customHeight="1" x14ac:dyDescent="0.35">
      <c r="A256" s="4">
        <v>2</v>
      </c>
      <c r="B256" s="4" t="s">
        <v>53</v>
      </c>
      <c r="C256" s="4" t="s">
        <v>581</v>
      </c>
      <c r="D256" s="4" t="s">
        <v>582</v>
      </c>
      <c r="E256" s="4" t="s">
        <v>56</v>
      </c>
      <c r="F256" s="4" t="s">
        <v>57</v>
      </c>
      <c r="G256" s="4" t="s">
        <v>58</v>
      </c>
      <c r="H256" s="4" t="s">
        <v>59</v>
      </c>
      <c r="I256" s="3"/>
      <c r="J256" s="3"/>
      <c r="K256" s="3"/>
      <c r="L256" s="3"/>
      <c r="M256" s="3"/>
      <c r="N256" s="3"/>
      <c r="O256" s="3"/>
      <c r="P256" s="8"/>
      <c r="Q256" s="8"/>
      <c r="R256" s="3"/>
      <c r="S256" s="3"/>
      <c r="T256" s="3"/>
      <c r="U256" s="5" t="str">
        <f t="shared" si="13"/>
        <v/>
      </c>
    </row>
    <row r="257" spans="1:21" ht="28" customHeight="1" x14ac:dyDescent="0.35">
      <c r="A257" s="4">
        <v>3</v>
      </c>
      <c r="B257" s="4" t="s">
        <v>53</v>
      </c>
      <c r="C257" s="4" t="s">
        <v>583</v>
      </c>
      <c r="D257" s="4" t="s">
        <v>584</v>
      </c>
      <c r="E257" s="4" t="s">
        <v>56</v>
      </c>
      <c r="F257" s="4" t="s">
        <v>57</v>
      </c>
      <c r="G257" s="4" t="s">
        <v>58</v>
      </c>
      <c r="H257" s="4" t="s">
        <v>59</v>
      </c>
      <c r="I257" s="3"/>
      <c r="J257" s="3"/>
      <c r="K257" s="3"/>
      <c r="L257" s="3"/>
      <c r="M257" s="3"/>
      <c r="N257" s="3"/>
      <c r="O257" s="3"/>
      <c r="P257" s="8"/>
      <c r="Q257" s="8"/>
      <c r="R257" s="3"/>
      <c r="S257" s="3"/>
      <c r="T257" s="3"/>
      <c r="U257" s="5" t="str">
        <f t="shared" si="13"/>
        <v/>
      </c>
    </row>
    <row r="258" spans="1:21" ht="28" customHeight="1" x14ac:dyDescent="0.35">
      <c r="A258" s="4">
        <v>4</v>
      </c>
      <c r="B258" s="4" t="s">
        <v>53</v>
      </c>
      <c r="C258" s="4" t="s">
        <v>585</v>
      </c>
      <c r="D258" s="4" t="s">
        <v>586</v>
      </c>
      <c r="E258" s="4" t="s">
        <v>56</v>
      </c>
      <c r="F258" s="4" t="s">
        <v>57</v>
      </c>
      <c r="G258" s="4" t="s">
        <v>58</v>
      </c>
      <c r="H258" s="4" t="s">
        <v>59</v>
      </c>
      <c r="I258" s="3"/>
      <c r="J258" s="3"/>
      <c r="K258" s="3"/>
      <c r="L258" s="3"/>
      <c r="M258" s="3"/>
      <c r="N258" s="3"/>
      <c r="O258" s="3"/>
      <c r="P258" s="8"/>
      <c r="Q258" s="8"/>
      <c r="R258" s="3"/>
      <c r="S258" s="3"/>
      <c r="T258" s="3"/>
      <c r="U258" s="5" t="str">
        <f t="shared" si="13"/>
        <v/>
      </c>
    </row>
    <row r="259" spans="1:21" ht="28" customHeight="1" x14ac:dyDescent="0.35">
      <c r="A259" s="4">
        <v>5</v>
      </c>
      <c r="B259" s="4" t="s">
        <v>66</v>
      </c>
      <c r="C259" s="4" t="s">
        <v>67</v>
      </c>
      <c r="D259" s="4" t="s">
        <v>68</v>
      </c>
      <c r="E259" s="4" t="s">
        <v>69</v>
      </c>
      <c r="F259" s="4" t="s">
        <v>57</v>
      </c>
      <c r="G259" s="4" t="s">
        <v>58</v>
      </c>
      <c r="H259" s="4" t="s">
        <v>59</v>
      </c>
      <c r="I259" s="3"/>
      <c r="J259" s="3"/>
      <c r="K259" s="3"/>
      <c r="L259" s="3"/>
      <c r="M259" s="3"/>
      <c r="N259" s="3"/>
      <c r="O259" s="3"/>
      <c r="P259" s="8"/>
      <c r="Q259" s="8"/>
      <c r="R259" s="3"/>
      <c r="S259" s="3"/>
      <c r="T259" s="3"/>
      <c r="U259" s="5" t="str">
        <f t="shared" si="13"/>
        <v/>
      </c>
    </row>
    <row r="260" spans="1:21" ht="28" customHeight="1" x14ac:dyDescent="0.35">
      <c r="A260" s="4">
        <v>6</v>
      </c>
      <c r="B260" s="4" t="s">
        <v>70</v>
      </c>
      <c r="C260" s="4" t="s">
        <v>71</v>
      </c>
      <c r="D260" s="4" t="s">
        <v>72</v>
      </c>
      <c r="E260" s="4" t="s">
        <v>70</v>
      </c>
      <c r="F260" s="4" t="s">
        <v>57</v>
      </c>
      <c r="G260" s="4" t="s">
        <v>58</v>
      </c>
      <c r="H260" s="4" t="s">
        <v>59</v>
      </c>
      <c r="I260" s="3"/>
      <c r="J260" s="3"/>
      <c r="K260" s="3"/>
      <c r="L260" s="3"/>
      <c r="M260" s="3"/>
      <c r="N260" s="3"/>
      <c r="O260" s="3"/>
      <c r="P260" s="8"/>
      <c r="Q260" s="8"/>
      <c r="R260" s="3"/>
      <c r="S260" s="3"/>
      <c r="T260" s="3"/>
      <c r="U260" s="5" t="str">
        <f t="shared" si="13"/>
        <v/>
      </c>
    </row>
    <row r="261" spans="1:21" ht="28" customHeight="1" x14ac:dyDescent="0.35">
      <c r="A261" s="4">
        <v>7</v>
      </c>
      <c r="B261" s="4" t="s">
        <v>73</v>
      </c>
      <c r="C261" s="4" t="s">
        <v>74</v>
      </c>
      <c r="D261" s="4" t="s">
        <v>75</v>
      </c>
      <c r="E261" s="4" t="s">
        <v>69</v>
      </c>
      <c r="F261" s="4" t="s">
        <v>57</v>
      </c>
      <c r="G261" s="4" t="s">
        <v>58</v>
      </c>
      <c r="H261" s="4" t="s">
        <v>76</v>
      </c>
      <c r="I261" s="3"/>
      <c r="J261" s="3"/>
      <c r="K261" s="3"/>
      <c r="L261" s="3"/>
      <c r="M261" s="3"/>
      <c r="N261" s="3"/>
      <c r="O261" s="3"/>
      <c r="P261" s="8"/>
      <c r="Q261" s="8"/>
      <c r="R261" s="3"/>
      <c r="S261" s="3"/>
      <c r="T261" s="3"/>
      <c r="U261" s="5" t="str">
        <f t="shared" si="13"/>
        <v/>
      </c>
    </row>
    <row r="262" spans="1:21" ht="28" customHeight="1" x14ac:dyDescent="0.35">
      <c r="A262" s="4">
        <v>8</v>
      </c>
      <c r="B262" s="4" t="s">
        <v>77</v>
      </c>
      <c r="C262" s="4" t="s">
        <v>78</v>
      </c>
      <c r="D262" s="4" t="s">
        <v>79</v>
      </c>
      <c r="E262" s="4" t="s">
        <v>80</v>
      </c>
      <c r="F262" s="4" t="s">
        <v>57</v>
      </c>
      <c r="G262" s="4" t="s">
        <v>58</v>
      </c>
      <c r="H262" s="4" t="s">
        <v>59</v>
      </c>
      <c r="I262" s="3"/>
      <c r="J262" s="3"/>
      <c r="K262" s="3"/>
      <c r="L262" s="3"/>
      <c r="M262" s="3"/>
      <c r="N262" s="3"/>
      <c r="O262" s="3"/>
      <c r="P262" s="8"/>
      <c r="Q262" s="8"/>
      <c r="R262" s="3"/>
      <c r="S262" s="3"/>
      <c r="T262" s="3"/>
      <c r="U262" s="5" t="str">
        <f t="shared" si="13"/>
        <v/>
      </c>
    </row>
    <row r="263" spans="1:21" ht="28" customHeight="1" x14ac:dyDescent="0.35">
      <c r="A263" s="4">
        <v>9</v>
      </c>
      <c r="B263" s="4" t="s">
        <v>81</v>
      </c>
      <c r="C263" s="4" t="s">
        <v>82</v>
      </c>
      <c r="D263" s="4" t="s">
        <v>83</v>
      </c>
      <c r="E263" s="4" t="s">
        <v>84</v>
      </c>
      <c r="F263" s="4" t="s">
        <v>57</v>
      </c>
      <c r="G263" s="4" t="s">
        <v>58</v>
      </c>
      <c r="H263" s="4" t="s">
        <v>85</v>
      </c>
      <c r="I263" s="3"/>
      <c r="J263" s="3"/>
      <c r="K263" s="3"/>
      <c r="L263" s="3"/>
      <c r="M263" s="3"/>
      <c r="N263" s="3"/>
      <c r="O263" s="3"/>
      <c r="P263" s="8"/>
      <c r="Q263" s="8"/>
      <c r="R263" s="3"/>
      <c r="S263" s="3"/>
      <c r="T263" s="3"/>
      <c r="U263" s="5" t="str">
        <f t="shared" si="13"/>
        <v/>
      </c>
    </row>
    <row r="264" spans="1:21" ht="28" customHeight="1" x14ac:dyDescent="0.35">
      <c r="A264" s="4">
        <v>10</v>
      </c>
      <c r="B264" s="4" t="s">
        <v>86</v>
      </c>
      <c r="C264" s="4" t="s">
        <v>87</v>
      </c>
      <c r="D264" s="4" t="s">
        <v>88</v>
      </c>
      <c r="E264" s="4" t="s">
        <v>69</v>
      </c>
      <c r="F264" s="4" t="s">
        <v>57</v>
      </c>
      <c r="G264" s="4" t="s">
        <v>58</v>
      </c>
      <c r="H264" s="4" t="s">
        <v>59</v>
      </c>
      <c r="I264" s="3"/>
      <c r="J264" s="3"/>
      <c r="K264" s="3"/>
      <c r="L264" s="3"/>
      <c r="M264" s="3"/>
      <c r="N264" s="3"/>
      <c r="O264" s="3"/>
      <c r="P264" s="8"/>
      <c r="Q264" s="8"/>
      <c r="R264" s="3"/>
      <c r="S264" s="3"/>
      <c r="T264" s="3"/>
      <c r="U264" s="5" t="str">
        <f t="shared" si="13"/>
        <v/>
      </c>
    </row>
    <row r="265" spans="1:21" ht="28" customHeight="1" x14ac:dyDescent="0.35">
      <c r="A265" s="4">
        <v>11</v>
      </c>
      <c r="B265" s="4" t="s">
        <v>89</v>
      </c>
      <c r="C265" s="4" t="s">
        <v>90</v>
      </c>
      <c r="D265" s="4" t="s">
        <v>91</v>
      </c>
      <c r="E265" s="4" t="s">
        <v>84</v>
      </c>
      <c r="F265" s="4" t="s">
        <v>57</v>
      </c>
      <c r="G265" s="4" t="s">
        <v>58</v>
      </c>
      <c r="H265" s="4" t="s">
        <v>59</v>
      </c>
      <c r="I265" s="3"/>
      <c r="J265" s="3"/>
      <c r="K265" s="3"/>
      <c r="L265" s="3"/>
      <c r="M265" s="3"/>
      <c r="N265" s="3"/>
      <c r="O265" s="3"/>
      <c r="P265" s="8"/>
      <c r="Q265" s="8"/>
      <c r="R265" s="3"/>
      <c r="S265" s="3"/>
      <c r="T265" s="3"/>
      <c r="U265" s="5" t="str">
        <f t="shared" si="13"/>
        <v/>
      </c>
    </row>
    <row r="266" spans="1:21" ht="28" customHeight="1" x14ac:dyDescent="0.35">
      <c r="A266" s="4">
        <v>12</v>
      </c>
      <c r="B266" s="4" t="s">
        <v>92</v>
      </c>
      <c r="C266" s="4" t="s">
        <v>93</v>
      </c>
      <c r="D266" s="4" t="s">
        <v>94</v>
      </c>
      <c r="E266" s="4" t="s">
        <v>69</v>
      </c>
      <c r="F266" s="4" t="s">
        <v>95</v>
      </c>
      <c r="G266" s="4" t="s">
        <v>96</v>
      </c>
      <c r="H266" s="4" t="s">
        <v>59</v>
      </c>
      <c r="I266" s="3"/>
      <c r="J266" s="3"/>
      <c r="K266" s="3"/>
      <c r="L266" s="3"/>
      <c r="M266" s="3"/>
      <c r="N266" s="3"/>
      <c r="O266" s="3"/>
      <c r="P266" s="8"/>
      <c r="Q266" s="8"/>
      <c r="R266" s="3"/>
      <c r="S266" s="3"/>
      <c r="T266" s="3"/>
      <c r="U266" s="5" t="str">
        <f t="shared" si="13"/>
        <v/>
      </c>
    </row>
    <row r="267" spans="1:21" ht="28" customHeight="1" x14ac:dyDescent="0.35">
      <c r="A267" s="4">
        <v>13</v>
      </c>
      <c r="B267" s="4" t="s">
        <v>97</v>
      </c>
      <c r="C267" s="4" t="s">
        <v>98</v>
      </c>
      <c r="D267" s="4" t="s">
        <v>99</v>
      </c>
      <c r="E267" s="4" t="s">
        <v>69</v>
      </c>
      <c r="F267" s="4" t="s">
        <v>95</v>
      </c>
      <c r="G267" s="4" t="s">
        <v>96</v>
      </c>
      <c r="H267" s="4" t="s">
        <v>59</v>
      </c>
      <c r="I267" s="3"/>
      <c r="J267" s="3"/>
      <c r="K267" s="3"/>
      <c r="L267" s="3"/>
      <c r="M267" s="3"/>
      <c r="N267" s="3"/>
      <c r="O267" s="3"/>
      <c r="P267" s="8"/>
      <c r="Q267" s="8"/>
      <c r="R267" s="3"/>
      <c r="S267" s="3"/>
      <c r="T267" s="3"/>
      <c r="U267" s="5" t="str">
        <f t="shared" si="13"/>
        <v/>
      </c>
    </row>
    <row r="268" spans="1:21" ht="28" customHeight="1" x14ac:dyDescent="0.35">
      <c r="A268" s="4">
        <v>14</v>
      </c>
      <c r="B268" s="4" t="s">
        <v>97</v>
      </c>
      <c r="C268" s="4" t="s">
        <v>100</v>
      </c>
      <c r="D268" s="4" t="s">
        <v>101</v>
      </c>
      <c r="E268" s="4" t="s">
        <v>69</v>
      </c>
      <c r="F268" s="4" t="s">
        <v>95</v>
      </c>
      <c r="G268" s="4" t="s">
        <v>102</v>
      </c>
      <c r="H268" s="4" t="s">
        <v>59</v>
      </c>
      <c r="I268" s="3"/>
      <c r="J268" s="3"/>
      <c r="K268" s="3"/>
      <c r="L268" s="3"/>
      <c r="M268" s="3"/>
      <c r="N268" s="3"/>
      <c r="O268" s="3"/>
      <c r="P268" s="8"/>
      <c r="Q268" s="8"/>
      <c r="R268" s="3"/>
      <c r="S268" s="3"/>
      <c r="T268" s="3"/>
      <c r="U268" s="5" t="str">
        <f t="shared" si="13"/>
        <v/>
      </c>
    </row>
    <row r="269" spans="1:21" ht="28" customHeight="1" x14ac:dyDescent="0.35">
      <c r="A269" s="4">
        <v>15</v>
      </c>
      <c r="B269" s="4" t="s">
        <v>103</v>
      </c>
      <c r="C269" s="4" t="s">
        <v>104</v>
      </c>
      <c r="D269" s="4" t="s">
        <v>105</v>
      </c>
      <c r="E269" s="4" t="s">
        <v>69</v>
      </c>
      <c r="F269" s="4" t="s">
        <v>95</v>
      </c>
      <c r="G269" s="4" t="s">
        <v>96</v>
      </c>
      <c r="H269" s="4" t="s">
        <v>85</v>
      </c>
      <c r="I269" s="3"/>
      <c r="J269" s="3"/>
      <c r="K269" s="3"/>
      <c r="L269" s="3"/>
      <c r="M269" s="3"/>
      <c r="N269" s="3"/>
      <c r="O269" s="3"/>
      <c r="P269" s="8"/>
      <c r="Q269" s="8"/>
      <c r="R269" s="3"/>
      <c r="S269" s="3"/>
      <c r="T269" s="3"/>
      <c r="U269" s="5" t="str">
        <f t="shared" si="13"/>
        <v/>
      </c>
    </row>
    <row r="270" spans="1:21" ht="28" customHeight="1" x14ac:dyDescent="0.35">
      <c r="A270" s="4">
        <v>16</v>
      </c>
      <c r="B270" s="4" t="s">
        <v>106</v>
      </c>
      <c r="C270" s="4" t="s">
        <v>107</v>
      </c>
      <c r="D270" s="4" t="s">
        <v>108</v>
      </c>
      <c r="E270" s="4" t="s">
        <v>109</v>
      </c>
      <c r="F270" s="4" t="s">
        <v>95</v>
      </c>
      <c r="G270" s="4" t="s">
        <v>96</v>
      </c>
      <c r="H270" s="4" t="s">
        <v>59</v>
      </c>
      <c r="I270" s="3"/>
      <c r="J270" s="3"/>
      <c r="K270" s="3"/>
      <c r="L270" s="3"/>
      <c r="M270" s="3"/>
      <c r="N270" s="3"/>
      <c r="O270" s="3"/>
      <c r="P270" s="8"/>
      <c r="Q270" s="8"/>
      <c r="R270" s="3"/>
      <c r="S270" s="3"/>
      <c r="T270" s="3"/>
      <c r="U270" s="5" t="str">
        <f t="shared" si="13"/>
        <v/>
      </c>
    </row>
    <row r="272" spans="1:21" ht="28" customHeight="1" x14ac:dyDescent="0.35">
      <c r="A272" s="9" t="s">
        <v>110</v>
      </c>
      <c r="B272" s="16"/>
      <c r="C272" s="17"/>
      <c r="D272" s="17"/>
      <c r="E272" s="17"/>
      <c r="F272" s="17"/>
      <c r="G272" s="17"/>
      <c r="H272" s="17"/>
      <c r="I272" s="17"/>
      <c r="J272" s="17"/>
      <c r="K272" s="17"/>
      <c r="L272" s="17"/>
      <c r="M272" s="17"/>
      <c r="N272" s="17"/>
      <c r="O272" s="17"/>
      <c r="P272" s="17"/>
      <c r="Q272" s="17"/>
      <c r="R272" s="17"/>
      <c r="S272" s="17"/>
      <c r="T272" s="17"/>
      <c r="U272" s="18"/>
    </row>
  </sheetData>
  <sheetProtection sheet="1" objects="1" scenarios="1" formatCells="0" formatColumns="0" formatRows="0" insertRows="0" sort="0" autoFilter="0"/>
  <autoFilter ref="A4:O16" xr:uid="{00000000-0009-0000-0000-00000C000000}"/>
  <mergeCells count="26">
    <mergeCell ref="A1:U1"/>
    <mergeCell ref="B104:U104"/>
    <mergeCell ref="B251:U251"/>
    <mergeCell ref="A168:U168"/>
    <mergeCell ref="B2:U2"/>
    <mergeCell ref="A126:U126"/>
    <mergeCell ref="A231:U231"/>
    <mergeCell ref="A147:U147"/>
    <mergeCell ref="A63:U63"/>
    <mergeCell ref="B230:U230"/>
    <mergeCell ref="B146:U146"/>
    <mergeCell ref="B83:U83"/>
    <mergeCell ref="A21:U21"/>
    <mergeCell ref="A210:U210"/>
    <mergeCell ref="B167:U167"/>
    <mergeCell ref="B272:U272"/>
    <mergeCell ref="A42:U42"/>
    <mergeCell ref="B41:U41"/>
    <mergeCell ref="B188:U188"/>
    <mergeCell ref="A252:U252"/>
    <mergeCell ref="B62:U62"/>
    <mergeCell ref="B209:U209"/>
    <mergeCell ref="A84:U84"/>
    <mergeCell ref="B125:U125"/>
    <mergeCell ref="A189:U189"/>
    <mergeCell ref="A105:U105"/>
  </mergeCells>
  <conditionalFormatting sqref="G5:G16">
    <cfRule type="colorScale" priority="53">
      <colorScale>
        <cfvo type="min"/>
        <cfvo type="percentile" val="50"/>
        <cfvo type="max"/>
        <color rgb="FFF8696B"/>
        <color rgb="FFFFEB84"/>
        <color rgb="FF63BE7B"/>
      </colorScale>
    </cfRule>
  </conditionalFormatting>
  <conditionalFormatting sqref="H5:H16">
    <cfRule type="containsText" dxfId="259" priority="49" operator="containsText" text="Red">
      <formula>NOT(ISERROR(SEARCH("Red",H5)))</formula>
    </cfRule>
    <cfRule type="containsText" dxfId="258" priority="50" operator="containsText" text="Amber">
      <formula>NOT(ISERROR(SEARCH("Amber",H5)))</formula>
    </cfRule>
    <cfRule type="containsText" dxfId="257" priority="51" operator="containsText" text="Green">
      <formula>NOT(ISERROR(SEARCH("Green",H5)))</formula>
    </cfRule>
    <cfRule type="containsText" dxfId="256" priority="52" operator="containsText" text="Not Started">
      <formula>NOT(ISERROR(SEARCH("Not Started",H5)))</formula>
    </cfRule>
  </conditionalFormatting>
  <conditionalFormatting sqref="U24:U39">
    <cfRule type="containsText" dxfId="255" priority="1" operator="containsText" text="Red">
      <formula>NOT(ISERROR(SEARCH("Red",U24)))</formula>
    </cfRule>
    <cfRule type="containsText" dxfId="254" priority="2" operator="containsText" text="Amber">
      <formula>NOT(ISERROR(SEARCH("Amber",U24)))</formula>
    </cfRule>
    <cfRule type="containsText" dxfId="253" priority="3" operator="containsText" text="Green">
      <formula>NOT(ISERROR(SEARCH("Green",U24)))</formula>
    </cfRule>
    <cfRule type="containsText" dxfId="252" priority="4" operator="containsText" text="Grey">
      <formula>NOT(ISERROR(SEARCH("Grey",U24)))</formula>
    </cfRule>
  </conditionalFormatting>
  <conditionalFormatting sqref="U45:U60">
    <cfRule type="containsText" dxfId="251" priority="5" operator="containsText" text="Red">
      <formula>NOT(ISERROR(SEARCH("Red",U45)))</formula>
    </cfRule>
    <cfRule type="containsText" dxfId="250" priority="6" operator="containsText" text="Amber">
      <formula>NOT(ISERROR(SEARCH("Amber",U45)))</formula>
    </cfRule>
    <cfRule type="containsText" dxfId="249" priority="7" operator="containsText" text="Green">
      <formula>NOT(ISERROR(SEARCH("Green",U45)))</formula>
    </cfRule>
    <cfRule type="containsText" dxfId="248" priority="8" operator="containsText" text="Grey">
      <formula>NOT(ISERROR(SEARCH("Grey",U45)))</formula>
    </cfRule>
  </conditionalFormatting>
  <conditionalFormatting sqref="U66:U81">
    <cfRule type="containsText" dxfId="247" priority="9" operator="containsText" text="Red">
      <formula>NOT(ISERROR(SEARCH("Red",U66)))</formula>
    </cfRule>
    <cfRule type="containsText" dxfId="246" priority="10" operator="containsText" text="Amber">
      <formula>NOT(ISERROR(SEARCH("Amber",U66)))</formula>
    </cfRule>
    <cfRule type="containsText" dxfId="245" priority="11" operator="containsText" text="Green">
      <formula>NOT(ISERROR(SEARCH("Green",U66)))</formula>
    </cfRule>
    <cfRule type="containsText" dxfId="244" priority="12" operator="containsText" text="Grey">
      <formula>NOT(ISERROR(SEARCH("Grey",U66)))</formula>
    </cfRule>
  </conditionalFormatting>
  <conditionalFormatting sqref="U87:U102">
    <cfRule type="containsText" dxfId="243" priority="13" operator="containsText" text="Red">
      <formula>NOT(ISERROR(SEARCH("Red",U87)))</formula>
    </cfRule>
    <cfRule type="containsText" dxfId="242" priority="14" operator="containsText" text="Amber">
      <formula>NOT(ISERROR(SEARCH("Amber",U87)))</formula>
    </cfRule>
    <cfRule type="containsText" dxfId="241" priority="15" operator="containsText" text="Green">
      <formula>NOT(ISERROR(SEARCH("Green",U87)))</formula>
    </cfRule>
    <cfRule type="containsText" dxfId="240" priority="16" operator="containsText" text="Grey">
      <formula>NOT(ISERROR(SEARCH("Grey",U87)))</formula>
    </cfRule>
  </conditionalFormatting>
  <conditionalFormatting sqref="U108:U123">
    <cfRule type="containsText" dxfId="239" priority="17" operator="containsText" text="Red">
      <formula>NOT(ISERROR(SEARCH("Red",U108)))</formula>
    </cfRule>
    <cfRule type="containsText" dxfId="238" priority="18" operator="containsText" text="Amber">
      <formula>NOT(ISERROR(SEARCH("Amber",U108)))</formula>
    </cfRule>
    <cfRule type="containsText" dxfId="237" priority="19" operator="containsText" text="Green">
      <formula>NOT(ISERROR(SEARCH("Green",U108)))</formula>
    </cfRule>
    <cfRule type="containsText" dxfId="236" priority="20" operator="containsText" text="Grey">
      <formula>NOT(ISERROR(SEARCH("Grey",U108)))</formula>
    </cfRule>
  </conditionalFormatting>
  <conditionalFormatting sqref="U129:U144">
    <cfRule type="containsText" dxfId="235" priority="21" operator="containsText" text="Red">
      <formula>NOT(ISERROR(SEARCH("Red",U129)))</formula>
    </cfRule>
    <cfRule type="containsText" dxfId="234" priority="22" operator="containsText" text="Amber">
      <formula>NOT(ISERROR(SEARCH("Amber",U129)))</formula>
    </cfRule>
    <cfRule type="containsText" dxfId="233" priority="23" operator="containsText" text="Green">
      <formula>NOT(ISERROR(SEARCH("Green",U129)))</formula>
    </cfRule>
    <cfRule type="containsText" dxfId="232" priority="24" operator="containsText" text="Grey">
      <formula>NOT(ISERROR(SEARCH("Grey",U129)))</formula>
    </cfRule>
  </conditionalFormatting>
  <conditionalFormatting sqref="U150:U165">
    <cfRule type="containsText" dxfId="231" priority="26" operator="containsText" text="Amber">
      <formula>NOT(ISERROR(SEARCH("Amber",U150)))</formula>
    </cfRule>
    <cfRule type="containsText" dxfId="230" priority="27" operator="containsText" text="Green">
      <formula>NOT(ISERROR(SEARCH("Green",U150)))</formula>
    </cfRule>
    <cfRule type="containsText" dxfId="229" priority="28" operator="containsText" text="Grey">
      <formula>NOT(ISERROR(SEARCH("Grey",U150)))</formula>
    </cfRule>
    <cfRule type="containsText" dxfId="228" priority="25" operator="containsText" text="Red">
      <formula>NOT(ISERROR(SEARCH("Red",U150)))</formula>
    </cfRule>
  </conditionalFormatting>
  <conditionalFormatting sqref="U171:U186">
    <cfRule type="containsText" dxfId="227" priority="29" operator="containsText" text="Red">
      <formula>NOT(ISERROR(SEARCH("Red",U171)))</formula>
    </cfRule>
    <cfRule type="containsText" dxfId="226" priority="30" operator="containsText" text="Amber">
      <formula>NOT(ISERROR(SEARCH("Amber",U171)))</formula>
    </cfRule>
    <cfRule type="containsText" dxfId="225" priority="31" operator="containsText" text="Green">
      <formula>NOT(ISERROR(SEARCH("Green",U171)))</formula>
    </cfRule>
    <cfRule type="containsText" dxfId="224" priority="32" operator="containsText" text="Grey">
      <formula>NOT(ISERROR(SEARCH("Grey",U171)))</formula>
    </cfRule>
  </conditionalFormatting>
  <conditionalFormatting sqref="U192:U207">
    <cfRule type="containsText" dxfId="223" priority="34" operator="containsText" text="Amber">
      <formula>NOT(ISERROR(SEARCH("Amber",U192)))</formula>
    </cfRule>
    <cfRule type="containsText" dxfId="222" priority="35" operator="containsText" text="Green">
      <formula>NOT(ISERROR(SEARCH("Green",U192)))</formula>
    </cfRule>
    <cfRule type="containsText" dxfId="221" priority="36" operator="containsText" text="Grey">
      <formula>NOT(ISERROR(SEARCH("Grey",U192)))</formula>
    </cfRule>
    <cfRule type="containsText" dxfId="220" priority="33" operator="containsText" text="Red">
      <formula>NOT(ISERROR(SEARCH("Red",U192)))</formula>
    </cfRule>
  </conditionalFormatting>
  <conditionalFormatting sqref="U213:U228">
    <cfRule type="containsText" dxfId="219" priority="37" operator="containsText" text="Red">
      <formula>NOT(ISERROR(SEARCH("Red",U213)))</formula>
    </cfRule>
    <cfRule type="containsText" dxfId="218" priority="38" operator="containsText" text="Amber">
      <formula>NOT(ISERROR(SEARCH("Amber",U213)))</formula>
    </cfRule>
    <cfRule type="containsText" dxfId="217" priority="39" operator="containsText" text="Green">
      <formula>NOT(ISERROR(SEARCH("Green",U213)))</formula>
    </cfRule>
    <cfRule type="containsText" dxfId="216" priority="40" operator="containsText" text="Grey">
      <formula>NOT(ISERROR(SEARCH("Grey",U213)))</formula>
    </cfRule>
  </conditionalFormatting>
  <conditionalFormatting sqref="U234:U249">
    <cfRule type="containsText" dxfId="215" priority="42" operator="containsText" text="Amber">
      <formula>NOT(ISERROR(SEARCH("Amber",U234)))</formula>
    </cfRule>
    <cfRule type="containsText" dxfId="214" priority="43" operator="containsText" text="Green">
      <formula>NOT(ISERROR(SEARCH("Green",U234)))</formula>
    </cfRule>
    <cfRule type="containsText" dxfId="213" priority="44" operator="containsText" text="Grey">
      <formula>NOT(ISERROR(SEARCH("Grey",U234)))</formula>
    </cfRule>
    <cfRule type="containsText" dxfId="212" priority="41" operator="containsText" text="Red">
      <formula>NOT(ISERROR(SEARCH("Red",U234)))</formula>
    </cfRule>
  </conditionalFormatting>
  <conditionalFormatting sqref="U255:U270">
    <cfRule type="containsText" dxfId="211" priority="45" operator="containsText" text="Red">
      <formula>NOT(ISERROR(SEARCH("Red",U255)))</formula>
    </cfRule>
    <cfRule type="containsText" dxfId="210" priority="46" operator="containsText" text="Amber">
      <formula>NOT(ISERROR(SEARCH("Amber",U255)))</formula>
    </cfRule>
    <cfRule type="containsText" dxfId="209" priority="48" operator="containsText" text="Grey">
      <formula>NOT(ISERROR(SEARCH("Grey",U255)))</formula>
    </cfRule>
    <cfRule type="containsText" dxfId="208" priority="47" operator="containsText" text="Green">
      <formula>NOT(ISERROR(SEARCH("Green",U255)))</formula>
    </cfRule>
  </conditionalFormatting>
  <dataValidations count="4">
    <dataValidation type="list" allowBlank="1" showInputMessage="1" showErrorMessage="1" sqref="I24:I39 I45:I60 I66:I81 I87:I102 I108:I123 I129:I144 I150:I165 I171:I186 I192:I207 I213:I228 I234:I249 I255:I270" xr:uid="{00000000-0002-0000-0C00-000000000000}">
      <formula1>"2,1,0,NA"</formula1>
    </dataValidation>
    <dataValidation type="list" allowBlank="1" showInputMessage="1" showErrorMessage="1" sqref="H24:H39 H45:H60 H66:H81 H87:H102 H108:H123 H129:H144 H150:H165 H171:H186 H192:H207 H213:H228 H234:H249 H255:H270" xr:uid="{00000000-0002-0000-0C00-000001000000}">
      <formula1>"Critical,High,Medium,Low"</formula1>
    </dataValidation>
    <dataValidation type="list" allowBlank="1" showInputMessage="1" showErrorMessage="1" sqref="S24:S39 S45:S60 S66:S81 S87:S102 S108:S123 S129:S144 S150:S165 S171:S186 S192:S207 S213:S228 S234:S249 S255:S270" xr:uid="{00000000-0002-0000-0C00-000002000000}">
      <formula1>"Yes,No,N/A"</formula1>
    </dataValidation>
    <dataValidation type="list" allowBlank="1" showInputMessage="1" showErrorMessage="1" sqref="T24:T39 T45:T60 T66:T81 T87:T102 T108:T123 T129:T144 T150:T165 T171:T186 T192:T207 T213:T228 T234:T249 T255:T270" xr:uid="{00000000-0002-0000-0C00-000003000000}">
      <formula1>"Not Started,In Progress,Completed,Verified,Closed"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72"/>
  <sheetViews>
    <sheetView showGridLines="0" workbookViewId="0"/>
  </sheetViews>
  <sheetFormatPr defaultRowHeight="28" customHeight="1" x14ac:dyDescent="0.35"/>
  <cols>
    <col min="1" max="1" width="7.7265625" customWidth="1"/>
    <col min="2" max="2" width="18.7265625" customWidth="1"/>
    <col min="3" max="3" width="42.7265625" customWidth="1"/>
    <col min="4" max="4" width="28.7265625" customWidth="1"/>
    <col min="5" max="6" width="18.7265625" customWidth="1"/>
    <col min="7" max="7" width="24.7265625" customWidth="1"/>
    <col min="8" max="9" width="13.7265625" customWidth="1"/>
    <col min="10" max="10" width="28.7265625" customWidth="1"/>
    <col min="11" max="11" width="30.7265625" customWidth="1"/>
    <col min="12" max="12" width="32.7265625" customWidth="1"/>
    <col min="13" max="13" width="28.7265625" customWidth="1"/>
    <col min="14" max="14" width="32.7265625" customWidth="1"/>
    <col min="15" max="15" width="20.7265625" customWidth="1"/>
    <col min="16" max="17" width="13.7265625" customWidth="1"/>
    <col min="18" max="18" width="18.7265625" customWidth="1"/>
    <col min="19" max="20" width="14.7265625" customWidth="1"/>
    <col min="21" max="21" width="10.7265625" customWidth="1"/>
  </cols>
  <sheetData>
    <row r="1" spans="1:21" ht="28" customHeight="1" x14ac:dyDescent="0.35">
      <c r="A1" s="24" t="s">
        <v>598</v>
      </c>
      <c r="B1" s="20"/>
      <c r="C1" s="20"/>
      <c r="D1" s="20"/>
      <c r="E1" s="20"/>
      <c r="F1" s="20"/>
      <c r="G1" s="20"/>
      <c r="H1" s="20"/>
      <c r="I1" s="20"/>
      <c r="J1" s="20"/>
      <c r="K1" s="20"/>
      <c r="L1" s="20"/>
      <c r="M1" s="20"/>
      <c r="N1" s="20"/>
      <c r="O1" s="20"/>
      <c r="P1" s="20"/>
      <c r="Q1" s="20"/>
      <c r="R1" s="20"/>
      <c r="S1" s="20"/>
      <c r="T1" s="20"/>
      <c r="U1" s="21"/>
    </row>
    <row r="2" spans="1:21" ht="28" customHeight="1" x14ac:dyDescent="0.35">
      <c r="A2" s="9" t="s">
        <v>1</v>
      </c>
      <c r="B2" s="22" t="s">
        <v>2</v>
      </c>
      <c r="C2" s="23"/>
      <c r="D2" s="23"/>
      <c r="E2" s="23"/>
      <c r="F2" s="23"/>
      <c r="G2" s="23"/>
      <c r="H2" s="23"/>
      <c r="I2" s="23"/>
      <c r="J2" s="23"/>
      <c r="K2" s="23"/>
      <c r="L2" s="23"/>
      <c r="M2" s="23"/>
      <c r="N2" s="23"/>
      <c r="O2" s="23"/>
      <c r="P2" s="23"/>
      <c r="Q2" s="23"/>
      <c r="R2" s="23"/>
      <c r="S2" s="23"/>
      <c r="T2" s="23"/>
      <c r="U2" s="23"/>
    </row>
    <row r="4" spans="1:21" ht="28" customHeight="1" x14ac:dyDescent="0.3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21" ht="28" customHeight="1" x14ac:dyDescent="0.35">
      <c r="A5" s="4" t="s">
        <v>18</v>
      </c>
      <c r="B5" s="7">
        <v>46050</v>
      </c>
      <c r="C5" s="8"/>
      <c r="D5" s="3"/>
      <c r="E5" s="5">
        <f>SUMIF(I24:I39,"&gt;=0",I24:I39)</f>
        <v>0</v>
      </c>
      <c r="F5" s="5">
        <f>COUNT(I24:I39)*2</f>
        <v>0</v>
      </c>
      <c r="G5" s="6" t="str">
        <f t="shared" ref="G5:G16" si="0">IF(F5=0,"",E5/F5)</f>
        <v/>
      </c>
      <c r="H5" s="5" t="str">
        <f t="shared" ref="H5:H16" si="1">IF(G5="","Not Started",IF(G5&gt;=0.9,"Green",IF(G5&gt;=0.75,"Amber","Red")))</f>
        <v>Not Started</v>
      </c>
      <c r="I5" s="5">
        <f>COUNTIFS(H24:H39,"Critical",I24:I39,"&lt;2")+COUNTIFS(H24:H39,"High",I24:I39,"&lt;2")</f>
        <v>0</v>
      </c>
      <c r="J5" s="5">
        <f>COUNTIF(T24:T39,"In Progress")+COUNTIF(T24:T39,"Not Started")</f>
        <v>0</v>
      </c>
      <c r="K5" s="5">
        <f ca="1">COUNTIFS(P24:P39,"&lt;"&amp;TODAY(),Q24:Q39,"")</f>
        <v>0</v>
      </c>
      <c r="L5" s="3"/>
      <c r="M5" s="3"/>
      <c r="N5" s="3"/>
      <c r="O5" s="3"/>
    </row>
    <row r="6" spans="1:21" ht="28" customHeight="1" x14ac:dyDescent="0.35">
      <c r="A6" s="4" t="s">
        <v>19</v>
      </c>
      <c r="B6" s="7">
        <v>46081</v>
      </c>
      <c r="C6" s="8"/>
      <c r="D6" s="3"/>
      <c r="E6" s="5">
        <f>SUMIF(I45:I60,"&gt;=0",I45:I60)</f>
        <v>0</v>
      </c>
      <c r="F6" s="5">
        <f>COUNT(I45:I60)*2</f>
        <v>0</v>
      </c>
      <c r="G6" s="6" t="str">
        <f t="shared" si="0"/>
        <v/>
      </c>
      <c r="H6" s="5" t="str">
        <f t="shared" si="1"/>
        <v>Not Started</v>
      </c>
      <c r="I6" s="5">
        <f>COUNTIFS(H45:H60,"Critical",I45:I60,"&lt;2")+COUNTIFS(H45:H60,"High",I45:I60,"&lt;2")</f>
        <v>0</v>
      </c>
      <c r="J6" s="5">
        <f>COUNTIF(T45:T60,"In Progress")+COUNTIF(T45:T60,"Not Started")</f>
        <v>0</v>
      </c>
      <c r="K6" s="5">
        <f ca="1">COUNTIFS(P45:P60,"&lt;"&amp;TODAY(),Q45:Q60,"")</f>
        <v>0</v>
      </c>
      <c r="L6" s="3"/>
      <c r="M6" s="3"/>
      <c r="N6" s="3"/>
      <c r="O6" s="3"/>
    </row>
    <row r="7" spans="1:21" ht="28" customHeight="1" x14ac:dyDescent="0.35">
      <c r="A7" s="4" t="s">
        <v>20</v>
      </c>
      <c r="B7" s="7">
        <v>46109</v>
      </c>
      <c r="C7" s="8"/>
      <c r="D7" s="3"/>
      <c r="E7" s="5">
        <f>SUMIF(I66:I81,"&gt;=0",I66:I81)</f>
        <v>0</v>
      </c>
      <c r="F7" s="5">
        <f>COUNT(I66:I81)*2</f>
        <v>0</v>
      </c>
      <c r="G7" s="6" t="str">
        <f t="shared" si="0"/>
        <v/>
      </c>
      <c r="H7" s="5" t="str">
        <f t="shared" si="1"/>
        <v>Not Started</v>
      </c>
      <c r="I7" s="5">
        <f>COUNTIFS(H66:H81,"Critical",I66:I81,"&lt;2")+COUNTIFS(H66:H81,"High",I66:I81,"&lt;2")</f>
        <v>0</v>
      </c>
      <c r="J7" s="5">
        <f>COUNTIF(T66:T81,"In Progress")+COUNTIF(T66:T81,"Not Started")</f>
        <v>0</v>
      </c>
      <c r="K7" s="5">
        <f ca="1">COUNTIFS(P66:P81,"&lt;"&amp;TODAY(),Q66:Q81,"")</f>
        <v>0</v>
      </c>
      <c r="L7" s="3"/>
      <c r="M7" s="3"/>
      <c r="N7" s="3"/>
      <c r="O7" s="3"/>
    </row>
    <row r="8" spans="1:21" ht="28" customHeight="1" x14ac:dyDescent="0.35">
      <c r="A8" s="4" t="s">
        <v>21</v>
      </c>
      <c r="B8" s="7">
        <v>46140</v>
      </c>
      <c r="C8" s="8"/>
      <c r="D8" s="3"/>
      <c r="E8" s="5">
        <f>SUMIF(I87:I102,"&gt;=0",I87:I102)</f>
        <v>0</v>
      </c>
      <c r="F8" s="5">
        <f>COUNT(I87:I102)*2</f>
        <v>0</v>
      </c>
      <c r="G8" s="6" t="str">
        <f t="shared" si="0"/>
        <v/>
      </c>
      <c r="H8" s="5" t="str">
        <f t="shared" si="1"/>
        <v>Not Started</v>
      </c>
      <c r="I8" s="5">
        <f>COUNTIFS(H87:H102,"Critical",I87:I102,"&lt;2")+COUNTIFS(H87:H102,"High",I87:I102,"&lt;2")</f>
        <v>0</v>
      </c>
      <c r="J8" s="5">
        <f>COUNTIF(T87:T102,"In Progress")+COUNTIF(T87:T102,"Not Started")</f>
        <v>0</v>
      </c>
      <c r="K8" s="5">
        <f ca="1">COUNTIFS(P87:P102,"&lt;"&amp;TODAY(),Q87:Q102,"")</f>
        <v>0</v>
      </c>
      <c r="L8" s="3"/>
      <c r="M8" s="3"/>
      <c r="N8" s="3"/>
      <c r="O8" s="3"/>
    </row>
    <row r="9" spans="1:21" ht="28" customHeight="1" x14ac:dyDescent="0.35">
      <c r="A9" s="4" t="s">
        <v>22</v>
      </c>
      <c r="B9" s="7">
        <v>46170</v>
      </c>
      <c r="C9" s="8"/>
      <c r="D9" s="3"/>
      <c r="E9" s="5">
        <f>SUMIF(I108:I123,"&gt;=0",I108:I123)</f>
        <v>0</v>
      </c>
      <c r="F9" s="5">
        <f>COUNT(I108:I123)*2</f>
        <v>0</v>
      </c>
      <c r="G9" s="6" t="str">
        <f t="shared" si="0"/>
        <v/>
      </c>
      <c r="H9" s="5" t="str">
        <f t="shared" si="1"/>
        <v>Not Started</v>
      </c>
      <c r="I9" s="5">
        <f>COUNTIFS(H108:H123,"Critical",I108:I123,"&lt;2")+COUNTIFS(H108:H123,"High",I108:I123,"&lt;2")</f>
        <v>0</v>
      </c>
      <c r="J9" s="5">
        <f>COUNTIF(T108:T123,"In Progress")+COUNTIF(T108:T123,"Not Started")</f>
        <v>0</v>
      </c>
      <c r="K9" s="5">
        <f ca="1">COUNTIFS(P108:P123,"&lt;"&amp;TODAY(),Q108:Q123,"")</f>
        <v>0</v>
      </c>
      <c r="L9" s="3"/>
      <c r="M9" s="3"/>
      <c r="N9" s="3"/>
      <c r="O9" s="3"/>
    </row>
    <row r="10" spans="1:21" ht="28" customHeight="1" x14ac:dyDescent="0.35">
      <c r="A10" s="4" t="s">
        <v>23</v>
      </c>
      <c r="B10" s="7">
        <v>46201</v>
      </c>
      <c r="C10" s="8"/>
      <c r="D10" s="3"/>
      <c r="E10" s="5">
        <f>SUMIF(I129:I144,"&gt;=0",I129:I144)</f>
        <v>0</v>
      </c>
      <c r="F10" s="5">
        <f>COUNT(I129:I144)*2</f>
        <v>0</v>
      </c>
      <c r="G10" s="6" t="str">
        <f t="shared" si="0"/>
        <v/>
      </c>
      <c r="H10" s="5" t="str">
        <f t="shared" si="1"/>
        <v>Not Started</v>
      </c>
      <c r="I10" s="5">
        <f>COUNTIFS(H129:H144,"Critical",I129:I144,"&lt;2")+COUNTIFS(H129:H144,"High",I129:I144,"&lt;2")</f>
        <v>0</v>
      </c>
      <c r="J10" s="5">
        <f>COUNTIF(T129:T144,"In Progress")+COUNTIF(T129:T144,"Not Started")</f>
        <v>0</v>
      </c>
      <c r="K10" s="5">
        <f ca="1">COUNTIFS(P129:P144,"&lt;"&amp;TODAY(),Q129:Q144,"")</f>
        <v>0</v>
      </c>
      <c r="L10" s="3"/>
      <c r="M10" s="3"/>
      <c r="N10" s="3"/>
      <c r="O10" s="3"/>
    </row>
    <row r="11" spans="1:21" ht="28" customHeight="1" x14ac:dyDescent="0.35">
      <c r="A11" s="4" t="s">
        <v>24</v>
      </c>
      <c r="B11" s="7">
        <v>46231</v>
      </c>
      <c r="C11" s="8"/>
      <c r="D11" s="3"/>
      <c r="E11" s="5">
        <f>SUMIF(I150:I165,"&gt;=0",I150:I165)</f>
        <v>0</v>
      </c>
      <c r="F11" s="5">
        <f>COUNT(I150:I165)*2</f>
        <v>0</v>
      </c>
      <c r="G11" s="6" t="str">
        <f t="shared" si="0"/>
        <v/>
      </c>
      <c r="H11" s="5" t="str">
        <f t="shared" si="1"/>
        <v>Not Started</v>
      </c>
      <c r="I11" s="5">
        <f>COUNTIFS(H150:H165,"Critical",I150:I165,"&lt;2")+COUNTIFS(H150:H165,"High",I150:I165,"&lt;2")</f>
        <v>0</v>
      </c>
      <c r="J11" s="5">
        <f>COUNTIF(T150:T165,"In Progress")+COUNTIF(T150:T165,"Not Started")</f>
        <v>0</v>
      </c>
      <c r="K11" s="5">
        <f ca="1">COUNTIFS(P150:P165,"&lt;"&amp;TODAY(),Q150:Q165,"")</f>
        <v>0</v>
      </c>
      <c r="L11" s="3"/>
      <c r="M11" s="3"/>
      <c r="N11" s="3"/>
      <c r="O11" s="3"/>
    </row>
    <row r="12" spans="1:21" ht="28" customHeight="1" x14ac:dyDescent="0.35">
      <c r="A12" s="4" t="s">
        <v>25</v>
      </c>
      <c r="B12" s="7">
        <v>46262</v>
      </c>
      <c r="C12" s="8"/>
      <c r="D12" s="3"/>
      <c r="E12" s="5">
        <f>SUMIF(I171:I186,"&gt;=0",I171:I186)</f>
        <v>0</v>
      </c>
      <c r="F12" s="5">
        <f>COUNT(I171:I186)*2</f>
        <v>0</v>
      </c>
      <c r="G12" s="6" t="str">
        <f t="shared" si="0"/>
        <v/>
      </c>
      <c r="H12" s="5" t="str">
        <f t="shared" si="1"/>
        <v>Not Started</v>
      </c>
      <c r="I12" s="5">
        <f>COUNTIFS(H171:H186,"Critical",I171:I186,"&lt;2")+COUNTIFS(H171:H186,"High",I171:I186,"&lt;2")</f>
        <v>0</v>
      </c>
      <c r="J12" s="5">
        <f>COUNTIF(T171:T186,"In Progress")+COUNTIF(T171:T186,"Not Started")</f>
        <v>0</v>
      </c>
      <c r="K12" s="5">
        <f ca="1">COUNTIFS(P171:P186,"&lt;"&amp;TODAY(),Q171:Q186,"")</f>
        <v>0</v>
      </c>
      <c r="L12" s="3"/>
      <c r="M12" s="3"/>
      <c r="N12" s="3"/>
      <c r="O12" s="3"/>
    </row>
    <row r="13" spans="1:21" ht="28" customHeight="1" x14ac:dyDescent="0.35">
      <c r="A13" s="4" t="s">
        <v>26</v>
      </c>
      <c r="B13" s="7">
        <v>46293</v>
      </c>
      <c r="C13" s="8"/>
      <c r="D13" s="3"/>
      <c r="E13" s="5">
        <f>SUMIF(I192:I207,"&gt;=0",I192:I207)</f>
        <v>0</v>
      </c>
      <c r="F13" s="5">
        <f>COUNT(I192:I207)*2</f>
        <v>0</v>
      </c>
      <c r="G13" s="6" t="str">
        <f t="shared" si="0"/>
        <v/>
      </c>
      <c r="H13" s="5" t="str">
        <f t="shared" si="1"/>
        <v>Not Started</v>
      </c>
      <c r="I13" s="5">
        <f>COUNTIFS(H192:H207,"Critical",I192:I207,"&lt;2")+COUNTIFS(H192:H207,"High",I192:I207,"&lt;2")</f>
        <v>0</v>
      </c>
      <c r="J13" s="5">
        <f>COUNTIF(T192:T207,"In Progress")+COUNTIF(T192:T207,"Not Started")</f>
        <v>0</v>
      </c>
      <c r="K13" s="5">
        <f ca="1">COUNTIFS(P192:P207,"&lt;"&amp;TODAY(),Q192:Q207,"")</f>
        <v>0</v>
      </c>
      <c r="L13" s="3"/>
      <c r="M13" s="3"/>
      <c r="N13" s="3"/>
      <c r="O13" s="3"/>
    </row>
    <row r="14" spans="1:21" ht="28" customHeight="1" x14ac:dyDescent="0.35">
      <c r="A14" s="4" t="s">
        <v>27</v>
      </c>
      <c r="B14" s="7">
        <v>46323</v>
      </c>
      <c r="C14" s="8"/>
      <c r="D14" s="3"/>
      <c r="E14" s="5">
        <f>SUMIF(I213:I228,"&gt;=0",I213:I228)</f>
        <v>0</v>
      </c>
      <c r="F14" s="5">
        <f>COUNT(I213:I228)*2</f>
        <v>0</v>
      </c>
      <c r="G14" s="6" t="str">
        <f t="shared" si="0"/>
        <v/>
      </c>
      <c r="H14" s="5" t="str">
        <f t="shared" si="1"/>
        <v>Not Started</v>
      </c>
      <c r="I14" s="5">
        <f>COUNTIFS(H213:H228,"Critical",I213:I228,"&lt;2")+COUNTIFS(H213:H228,"High",I213:I228,"&lt;2")</f>
        <v>0</v>
      </c>
      <c r="J14" s="5">
        <f>COUNTIF(T213:T228,"In Progress")+COUNTIF(T213:T228,"Not Started")</f>
        <v>0</v>
      </c>
      <c r="K14" s="5">
        <f ca="1">COUNTIFS(P213:P228,"&lt;"&amp;TODAY(),Q213:Q228,"")</f>
        <v>0</v>
      </c>
      <c r="L14" s="3"/>
      <c r="M14" s="3"/>
      <c r="N14" s="3"/>
      <c r="O14" s="3"/>
    </row>
    <row r="15" spans="1:21" ht="28" customHeight="1" x14ac:dyDescent="0.35">
      <c r="A15" s="4" t="s">
        <v>28</v>
      </c>
      <c r="B15" s="7">
        <v>46354</v>
      </c>
      <c r="C15" s="8"/>
      <c r="D15" s="3"/>
      <c r="E15" s="5">
        <f>SUMIF(I234:I249,"&gt;=0",I234:I249)</f>
        <v>0</v>
      </c>
      <c r="F15" s="5">
        <f>COUNT(I234:I249)*2</f>
        <v>0</v>
      </c>
      <c r="G15" s="6" t="str">
        <f t="shared" si="0"/>
        <v/>
      </c>
      <c r="H15" s="5" t="str">
        <f t="shared" si="1"/>
        <v>Not Started</v>
      </c>
      <c r="I15" s="5">
        <f>COUNTIFS(H234:H249,"Critical",I234:I249,"&lt;2")+COUNTIFS(H234:H249,"High",I234:I249,"&lt;2")</f>
        <v>0</v>
      </c>
      <c r="J15" s="5">
        <f>COUNTIF(T234:T249,"In Progress")+COUNTIF(T234:T249,"Not Started")</f>
        <v>0</v>
      </c>
      <c r="K15" s="5">
        <f ca="1">COUNTIFS(P234:P249,"&lt;"&amp;TODAY(),Q234:Q249,"")</f>
        <v>0</v>
      </c>
      <c r="L15" s="3"/>
      <c r="M15" s="3"/>
      <c r="N15" s="3"/>
      <c r="O15" s="3"/>
    </row>
    <row r="16" spans="1:21" ht="28" customHeight="1" x14ac:dyDescent="0.35">
      <c r="A16" s="4" t="s">
        <v>29</v>
      </c>
      <c r="B16" s="7">
        <v>46384</v>
      </c>
      <c r="C16" s="8"/>
      <c r="D16" s="3"/>
      <c r="E16" s="5">
        <f>SUMIF(I255:I270,"&gt;=0",I255:I270)</f>
        <v>0</v>
      </c>
      <c r="F16" s="5">
        <f>COUNT(I255:I270)*2</f>
        <v>0</v>
      </c>
      <c r="G16" s="6" t="str">
        <f t="shared" si="0"/>
        <v/>
      </c>
      <c r="H16" s="5" t="str">
        <f t="shared" si="1"/>
        <v>Not Started</v>
      </c>
      <c r="I16" s="5">
        <f>COUNTIFS(H255:H270,"Critical",I255:I270,"&lt;2")+COUNTIFS(H255:H270,"High",I255:I270,"&lt;2")</f>
        <v>0</v>
      </c>
      <c r="J16" s="5">
        <f>COUNTIF(T255:T270,"In Progress")+COUNTIF(T255:T270,"Not Started")</f>
        <v>0</v>
      </c>
      <c r="K16" s="5">
        <f ca="1">COUNTIFS(P255:P270,"&lt;"&amp;TODAY(),Q255:Q270,"")</f>
        <v>0</v>
      </c>
      <c r="L16" s="3"/>
      <c r="M16" s="3"/>
      <c r="N16" s="3"/>
      <c r="O16" s="3"/>
    </row>
    <row r="21" spans="1:21" ht="28" customHeight="1" x14ac:dyDescent="0.35">
      <c r="A21" s="19" t="s">
        <v>599</v>
      </c>
      <c r="B21" s="20"/>
      <c r="C21" s="20"/>
      <c r="D21" s="20"/>
      <c r="E21" s="20"/>
      <c r="F21" s="20"/>
      <c r="G21" s="20"/>
      <c r="H21" s="20"/>
      <c r="I21" s="20"/>
      <c r="J21" s="20"/>
      <c r="K21" s="20"/>
      <c r="L21" s="20"/>
      <c r="M21" s="20"/>
      <c r="N21" s="20"/>
      <c r="O21" s="20"/>
      <c r="P21" s="20"/>
      <c r="Q21" s="20"/>
      <c r="R21" s="20"/>
      <c r="S21" s="20"/>
      <c r="T21" s="20"/>
      <c r="U21" s="21"/>
    </row>
    <row r="22" spans="1:21" ht="28" customHeight="1" x14ac:dyDescent="0.35">
      <c r="A22" s="4" t="s">
        <v>31</v>
      </c>
      <c r="B22" s="3" t="s">
        <v>18</v>
      </c>
      <c r="C22" s="4" t="s">
        <v>32</v>
      </c>
      <c r="D22" s="3"/>
      <c r="E22" s="4" t="s">
        <v>33</v>
      </c>
      <c r="F22" s="8"/>
    </row>
    <row r="23" spans="1:21" ht="28" customHeight="1" x14ac:dyDescent="0.35">
      <c r="A23" s="1" t="s">
        <v>34</v>
      </c>
      <c r="B23" s="1" t="s">
        <v>35</v>
      </c>
      <c r="C23" s="1" t="s">
        <v>36</v>
      </c>
      <c r="D23" s="1" t="s">
        <v>37</v>
      </c>
      <c r="E23" s="1" t="s">
        <v>38</v>
      </c>
      <c r="F23" s="1" t="s">
        <v>39</v>
      </c>
      <c r="G23" s="1" t="s">
        <v>40</v>
      </c>
      <c r="H23" s="1" t="s">
        <v>41</v>
      </c>
      <c r="I23" s="1" t="s">
        <v>42</v>
      </c>
      <c r="J23" s="1" t="s">
        <v>43</v>
      </c>
      <c r="K23" s="1" t="s">
        <v>44</v>
      </c>
      <c r="L23" s="1" t="s">
        <v>45</v>
      </c>
      <c r="M23" s="1" t="s">
        <v>46</v>
      </c>
      <c r="N23" s="1" t="s">
        <v>47</v>
      </c>
      <c r="O23" s="1" t="s">
        <v>48</v>
      </c>
      <c r="P23" s="1" t="s">
        <v>4</v>
      </c>
      <c r="Q23" s="1" t="s">
        <v>49</v>
      </c>
      <c r="R23" s="1" t="s">
        <v>50</v>
      </c>
      <c r="S23" s="1" t="s">
        <v>51</v>
      </c>
      <c r="T23" s="1" t="s">
        <v>52</v>
      </c>
      <c r="U23" s="1" t="s">
        <v>10</v>
      </c>
    </row>
    <row r="24" spans="1:21" ht="28" customHeight="1" x14ac:dyDescent="0.35">
      <c r="A24" s="4">
        <v>1</v>
      </c>
      <c r="B24" s="4" t="s">
        <v>53</v>
      </c>
      <c r="C24" s="4" t="s">
        <v>600</v>
      </c>
      <c r="D24" s="4" t="s">
        <v>601</v>
      </c>
      <c r="E24" s="4" t="s">
        <v>56</v>
      </c>
      <c r="F24" s="4" t="s">
        <v>57</v>
      </c>
      <c r="G24" s="4" t="s">
        <v>58</v>
      </c>
      <c r="H24" s="4" t="s">
        <v>59</v>
      </c>
      <c r="I24" s="3"/>
      <c r="J24" s="3"/>
      <c r="K24" s="3"/>
      <c r="L24" s="3"/>
      <c r="M24" s="3"/>
      <c r="N24" s="3"/>
      <c r="O24" s="3"/>
      <c r="P24" s="8"/>
      <c r="Q24" s="8"/>
      <c r="R24" s="3"/>
      <c r="S24" s="3"/>
      <c r="T24" s="3"/>
      <c r="U24" s="5" t="str">
        <f t="shared" ref="U24:U39" si="2">IF(I24="","",IF(I24="NA","Grey",IF(I24=2,"Green",IF(I24=1,"Amber","Red"))))</f>
        <v/>
      </c>
    </row>
    <row r="25" spans="1:21" ht="28" customHeight="1" x14ac:dyDescent="0.35">
      <c r="A25" s="4">
        <v>2</v>
      </c>
      <c r="B25" s="4" t="s">
        <v>53</v>
      </c>
      <c r="C25" s="4" t="s">
        <v>602</v>
      </c>
      <c r="D25" s="4" t="s">
        <v>603</v>
      </c>
      <c r="E25" s="4" t="s">
        <v>56</v>
      </c>
      <c r="F25" s="4" t="s">
        <v>57</v>
      </c>
      <c r="G25" s="4" t="s">
        <v>58</v>
      </c>
      <c r="H25" s="4" t="s">
        <v>59</v>
      </c>
      <c r="I25" s="3"/>
      <c r="J25" s="3"/>
      <c r="K25" s="3"/>
      <c r="L25" s="3"/>
      <c r="M25" s="3"/>
      <c r="N25" s="3"/>
      <c r="O25" s="3"/>
      <c r="P25" s="8"/>
      <c r="Q25" s="8"/>
      <c r="R25" s="3"/>
      <c r="S25" s="3"/>
      <c r="T25" s="3"/>
      <c r="U25" s="5" t="str">
        <f t="shared" si="2"/>
        <v/>
      </c>
    </row>
    <row r="26" spans="1:21" ht="28" customHeight="1" x14ac:dyDescent="0.35">
      <c r="A26" s="4">
        <v>3</v>
      </c>
      <c r="B26" s="4" t="s">
        <v>53</v>
      </c>
      <c r="C26" s="4" t="s">
        <v>604</v>
      </c>
      <c r="D26" s="4" t="s">
        <v>605</v>
      </c>
      <c r="E26" s="4" t="s">
        <v>56</v>
      </c>
      <c r="F26" s="4" t="s">
        <v>57</v>
      </c>
      <c r="G26" s="4" t="s">
        <v>58</v>
      </c>
      <c r="H26" s="4" t="s">
        <v>59</v>
      </c>
      <c r="I26" s="3"/>
      <c r="J26" s="3"/>
      <c r="K26" s="3"/>
      <c r="L26" s="3"/>
      <c r="M26" s="3"/>
      <c r="N26" s="3"/>
      <c r="O26" s="3"/>
      <c r="P26" s="8"/>
      <c r="Q26" s="8"/>
      <c r="R26" s="3"/>
      <c r="S26" s="3"/>
      <c r="T26" s="3"/>
      <c r="U26" s="5" t="str">
        <f t="shared" si="2"/>
        <v/>
      </c>
    </row>
    <row r="27" spans="1:21" ht="28" customHeight="1" x14ac:dyDescent="0.35">
      <c r="A27" s="4">
        <v>4</v>
      </c>
      <c r="B27" s="4" t="s">
        <v>53</v>
      </c>
      <c r="C27" s="4" t="s">
        <v>606</v>
      </c>
      <c r="D27" s="4" t="s">
        <v>607</v>
      </c>
      <c r="E27" s="4" t="s">
        <v>56</v>
      </c>
      <c r="F27" s="4" t="s">
        <v>57</v>
      </c>
      <c r="G27" s="4" t="s">
        <v>58</v>
      </c>
      <c r="H27" s="4" t="s">
        <v>59</v>
      </c>
      <c r="I27" s="3"/>
      <c r="J27" s="3"/>
      <c r="K27" s="3"/>
      <c r="L27" s="3"/>
      <c r="M27" s="3"/>
      <c r="N27" s="3"/>
      <c r="O27" s="3"/>
      <c r="P27" s="8"/>
      <c r="Q27" s="8"/>
      <c r="R27" s="3"/>
      <c r="S27" s="3"/>
      <c r="T27" s="3"/>
      <c r="U27" s="5" t="str">
        <f t="shared" si="2"/>
        <v/>
      </c>
    </row>
    <row r="28" spans="1:21" ht="28" customHeight="1" x14ac:dyDescent="0.35">
      <c r="A28" s="4">
        <v>5</v>
      </c>
      <c r="B28" s="4" t="s">
        <v>66</v>
      </c>
      <c r="C28" s="4" t="s">
        <v>67</v>
      </c>
      <c r="D28" s="4" t="s">
        <v>68</v>
      </c>
      <c r="E28" s="4" t="s">
        <v>69</v>
      </c>
      <c r="F28" s="4" t="s">
        <v>57</v>
      </c>
      <c r="G28" s="4" t="s">
        <v>58</v>
      </c>
      <c r="H28" s="4" t="s">
        <v>59</v>
      </c>
      <c r="I28" s="3"/>
      <c r="J28" s="3"/>
      <c r="K28" s="3"/>
      <c r="L28" s="3"/>
      <c r="M28" s="3"/>
      <c r="N28" s="3"/>
      <c r="O28" s="3"/>
      <c r="P28" s="8"/>
      <c r="Q28" s="8"/>
      <c r="R28" s="3"/>
      <c r="S28" s="3"/>
      <c r="T28" s="3"/>
      <c r="U28" s="5" t="str">
        <f t="shared" si="2"/>
        <v/>
      </c>
    </row>
    <row r="29" spans="1:21" ht="28" customHeight="1" x14ac:dyDescent="0.35">
      <c r="A29" s="4">
        <v>6</v>
      </c>
      <c r="B29" s="4" t="s">
        <v>70</v>
      </c>
      <c r="C29" s="4" t="s">
        <v>71</v>
      </c>
      <c r="D29" s="4" t="s">
        <v>72</v>
      </c>
      <c r="E29" s="4" t="s">
        <v>70</v>
      </c>
      <c r="F29" s="4" t="s">
        <v>57</v>
      </c>
      <c r="G29" s="4" t="s">
        <v>58</v>
      </c>
      <c r="H29" s="4" t="s">
        <v>59</v>
      </c>
      <c r="I29" s="3"/>
      <c r="J29" s="3"/>
      <c r="K29" s="3"/>
      <c r="L29" s="3"/>
      <c r="M29" s="3"/>
      <c r="N29" s="3"/>
      <c r="O29" s="3"/>
      <c r="P29" s="8"/>
      <c r="Q29" s="8"/>
      <c r="R29" s="3"/>
      <c r="S29" s="3"/>
      <c r="T29" s="3"/>
      <c r="U29" s="5" t="str">
        <f t="shared" si="2"/>
        <v/>
      </c>
    </row>
    <row r="30" spans="1:21" ht="28" customHeight="1" x14ac:dyDescent="0.35">
      <c r="A30" s="4">
        <v>7</v>
      </c>
      <c r="B30" s="4" t="s">
        <v>73</v>
      </c>
      <c r="C30" s="4" t="s">
        <v>74</v>
      </c>
      <c r="D30" s="4" t="s">
        <v>75</v>
      </c>
      <c r="E30" s="4" t="s">
        <v>69</v>
      </c>
      <c r="F30" s="4" t="s">
        <v>57</v>
      </c>
      <c r="G30" s="4" t="s">
        <v>58</v>
      </c>
      <c r="H30" s="4" t="s">
        <v>76</v>
      </c>
      <c r="I30" s="3"/>
      <c r="J30" s="3"/>
      <c r="K30" s="3"/>
      <c r="L30" s="3"/>
      <c r="M30" s="3"/>
      <c r="N30" s="3"/>
      <c r="O30" s="3"/>
      <c r="P30" s="8"/>
      <c r="Q30" s="8"/>
      <c r="R30" s="3"/>
      <c r="S30" s="3"/>
      <c r="T30" s="3"/>
      <c r="U30" s="5" t="str">
        <f t="shared" si="2"/>
        <v/>
      </c>
    </row>
    <row r="31" spans="1:21" ht="28" customHeight="1" x14ac:dyDescent="0.35">
      <c r="A31" s="4">
        <v>8</v>
      </c>
      <c r="B31" s="4" t="s">
        <v>77</v>
      </c>
      <c r="C31" s="4" t="s">
        <v>78</v>
      </c>
      <c r="D31" s="4" t="s">
        <v>79</v>
      </c>
      <c r="E31" s="4" t="s">
        <v>80</v>
      </c>
      <c r="F31" s="4" t="s">
        <v>57</v>
      </c>
      <c r="G31" s="4" t="s">
        <v>58</v>
      </c>
      <c r="H31" s="4" t="s">
        <v>59</v>
      </c>
      <c r="I31" s="3"/>
      <c r="J31" s="3"/>
      <c r="K31" s="3"/>
      <c r="L31" s="3"/>
      <c r="M31" s="3"/>
      <c r="N31" s="3"/>
      <c r="O31" s="3"/>
      <c r="P31" s="8"/>
      <c r="Q31" s="8"/>
      <c r="R31" s="3"/>
      <c r="S31" s="3"/>
      <c r="T31" s="3"/>
      <c r="U31" s="5" t="str">
        <f t="shared" si="2"/>
        <v/>
      </c>
    </row>
    <row r="32" spans="1:21" ht="28" customHeight="1" x14ac:dyDescent="0.35">
      <c r="A32" s="4">
        <v>9</v>
      </c>
      <c r="B32" s="4" t="s">
        <v>81</v>
      </c>
      <c r="C32" s="4" t="s">
        <v>82</v>
      </c>
      <c r="D32" s="4" t="s">
        <v>83</v>
      </c>
      <c r="E32" s="4" t="s">
        <v>84</v>
      </c>
      <c r="F32" s="4" t="s">
        <v>57</v>
      </c>
      <c r="G32" s="4" t="s">
        <v>58</v>
      </c>
      <c r="H32" s="4" t="s">
        <v>85</v>
      </c>
      <c r="I32" s="3"/>
      <c r="J32" s="3"/>
      <c r="K32" s="3"/>
      <c r="L32" s="3"/>
      <c r="M32" s="3"/>
      <c r="N32" s="3"/>
      <c r="O32" s="3"/>
      <c r="P32" s="8"/>
      <c r="Q32" s="8"/>
      <c r="R32" s="3"/>
      <c r="S32" s="3"/>
      <c r="T32" s="3"/>
      <c r="U32" s="5" t="str">
        <f t="shared" si="2"/>
        <v/>
      </c>
    </row>
    <row r="33" spans="1:21" ht="28" customHeight="1" x14ac:dyDescent="0.35">
      <c r="A33" s="4">
        <v>10</v>
      </c>
      <c r="B33" s="4" t="s">
        <v>86</v>
      </c>
      <c r="C33" s="4" t="s">
        <v>87</v>
      </c>
      <c r="D33" s="4" t="s">
        <v>88</v>
      </c>
      <c r="E33" s="4" t="s">
        <v>69</v>
      </c>
      <c r="F33" s="4" t="s">
        <v>57</v>
      </c>
      <c r="G33" s="4" t="s">
        <v>58</v>
      </c>
      <c r="H33" s="4" t="s">
        <v>59</v>
      </c>
      <c r="I33" s="3"/>
      <c r="J33" s="3"/>
      <c r="K33" s="3"/>
      <c r="L33" s="3"/>
      <c r="M33" s="3"/>
      <c r="N33" s="3"/>
      <c r="O33" s="3"/>
      <c r="P33" s="8"/>
      <c r="Q33" s="8"/>
      <c r="R33" s="3"/>
      <c r="S33" s="3"/>
      <c r="T33" s="3"/>
      <c r="U33" s="5" t="str">
        <f t="shared" si="2"/>
        <v/>
      </c>
    </row>
    <row r="34" spans="1:21" ht="28" customHeight="1" x14ac:dyDescent="0.35">
      <c r="A34" s="4">
        <v>11</v>
      </c>
      <c r="B34" s="4" t="s">
        <v>89</v>
      </c>
      <c r="C34" s="4" t="s">
        <v>90</v>
      </c>
      <c r="D34" s="4" t="s">
        <v>91</v>
      </c>
      <c r="E34" s="4" t="s">
        <v>84</v>
      </c>
      <c r="F34" s="4" t="s">
        <v>57</v>
      </c>
      <c r="G34" s="4" t="s">
        <v>58</v>
      </c>
      <c r="H34" s="4" t="s">
        <v>59</v>
      </c>
      <c r="I34" s="3"/>
      <c r="J34" s="3"/>
      <c r="K34" s="3"/>
      <c r="L34" s="3"/>
      <c r="M34" s="3"/>
      <c r="N34" s="3"/>
      <c r="O34" s="3"/>
      <c r="P34" s="8"/>
      <c r="Q34" s="8"/>
      <c r="R34" s="3"/>
      <c r="S34" s="3"/>
      <c r="T34" s="3"/>
      <c r="U34" s="5" t="str">
        <f t="shared" si="2"/>
        <v/>
      </c>
    </row>
    <row r="35" spans="1:21" ht="28" customHeight="1" x14ac:dyDescent="0.35">
      <c r="A35" s="4">
        <v>12</v>
      </c>
      <c r="B35" s="4" t="s">
        <v>92</v>
      </c>
      <c r="C35" s="4" t="s">
        <v>93</v>
      </c>
      <c r="D35" s="4" t="s">
        <v>94</v>
      </c>
      <c r="E35" s="4" t="s">
        <v>69</v>
      </c>
      <c r="F35" s="4" t="s">
        <v>95</v>
      </c>
      <c r="G35" s="4" t="s">
        <v>96</v>
      </c>
      <c r="H35" s="4" t="s">
        <v>59</v>
      </c>
      <c r="I35" s="3"/>
      <c r="J35" s="3"/>
      <c r="K35" s="3"/>
      <c r="L35" s="3"/>
      <c r="M35" s="3"/>
      <c r="N35" s="3"/>
      <c r="O35" s="3"/>
      <c r="P35" s="8"/>
      <c r="Q35" s="8"/>
      <c r="R35" s="3"/>
      <c r="S35" s="3"/>
      <c r="T35" s="3"/>
      <c r="U35" s="5" t="str">
        <f t="shared" si="2"/>
        <v/>
      </c>
    </row>
    <row r="36" spans="1:21" ht="28" customHeight="1" x14ac:dyDescent="0.35">
      <c r="A36" s="4">
        <v>13</v>
      </c>
      <c r="B36" s="4" t="s">
        <v>97</v>
      </c>
      <c r="C36" s="4" t="s">
        <v>98</v>
      </c>
      <c r="D36" s="4" t="s">
        <v>99</v>
      </c>
      <c r="E36" s="4" t="s">
        <v>69</v>
      </c>
      <c r="F36" s="4" t="s">
        <v>95</v>
      </c>
      <c r="G36" s="4" t="s">
        <v>96</v>
      </c>
      <c r="H36" s="4" t="s">
        <v>59</v>
      </c>
      <c r="I36" s="3"/>
      <c r="J36" s="3"/>
      <c r="K36" s="3"/>
      <c r="L36" s="3"/>
      <c r="M36" s="3"/>
      <c r="N36" s="3"/>
      <c r="O36" s="3"/>
      <c r="P36" s="8"/>
      <c r="Q36" s="8"/>
      <c r="R36" s="3"/>
      <c r="S36" s="3"/>
      <c r="T36" s="3"/>
      <c r="U36" s="5" t="str">
        <f t="shared" si="2"/>
        <v/>
      </c>
    </row>
    <row r="37" spans="1:21" ht="28" customHeight="1" x14ac:dyDescent="0.35">
      <c r="A37" s="4">
        <v>14</v>
      </c>
      <c r="B37" s="4" t="s">
        <v>97</v>
      </c>
      <c r="C37" s="4" t="s">
        <v>100</v>
      </c>
      <c r="D37" s="4" t="s">
        <v>101</v>
      </c>
      <c r="E37" s="4" t="s">
        <v>69</v>
      </c>
      <c r="F37" s="4" t="s">
        <v>95</v>
      </c>
      <c r="G37" s="4" t="s">
        <v>102</v>
      </c>
      <c r="H37" s="4" t="s">
        <v>59</v>
      </c>
      <c r="I37" s="3"/>
      <c r="J37" s="3"/>
      <c r="K37" s="3"/>
      <c r="L37" s="3"/>
      <c r="M37" s="3"/>
      <c r="N37" s="3"/>
      <c r="O37" s="3"/>
      <c r="P37" s="8"/>
      <c r="Q37" s="8"/>
      <c r="R37" s="3"/>
      <c r="S37" s="3"/>
      <c r="T37" s="3"/>
      <c r="U37" s="5" t="str">
        <f t="shared" si="2"/>
        <v/>
      </c>
    </row>
    <row r="38" spans="1:21" ht="28" customHeight="1" x14ac:dyDescent="0.35">
      <c r="A38" s="4">
        <v>15</v>
      </c>
      <c r="B38" s="4" t="s">
        <v>103</v>
      </c>
      <c r="C38" s="4" t="s">
        <v>104</v>
      </c>
      <c r="D38" s="4" t="s">
        <v>105</v>
      </c>
      <c r="E38" s="4" t="s">
        <v>69</v>
      </c>
      <c r="F38" s="4" t="s">
        <v>95</v>
      </c>
      <c r="G38" s="4" t="s">
        <v>96</v>
      </c>
      <c r="H38" s="4" t="s">
        <v>85</v>
      </c>
      <c r="I38" s="3"/>
      <c r="J38" s="3"/>
      <c r="K38" s="3"/>
      <c r="L38" s="3"/>
      <c r="M38" s="3"/>
      <c r="N38" s="3"/>
      <c r="O38" s="3"/>
      <c r="P38" s="8"/>
      <c r="Q38" s="8"/>
      <c r="R38" s="3"/>
      <c r="S38" s="3"/>
      <c r="T38" s="3"/>
      <c r="U38" s="5" t="str">
        <f t="shared" si="2"/>
        <v/>
      </c>
    </row>
    <row r="39" spans="1:21" ht="28" customHeight="1" x14ac:dyDescent="0.35">
      <c r="A39" s="4">
        <v>16</v>
      </c>
      <c r="B39" s="4" t="s">
        <v>106</v>
      </c>
      <c r="C39" s="4" t="s">
        <v>107</v>
      </c>
      <c r="D39" s="4" t="s">
        <v>108</v>
      </c>
      <c r="E39" s="4" t="s">
        <v>109</v>
      </c>
      <c r="F39" s="4" t="s">
        <v>95</v>
      </c>
      <c r="G39" s="4" t="s">
        <v>96</v>
      </c>
      <c r="H39" s="4" t="s">
        <v>59</v>
      </c>
      <c r="I39" s="3"/>
      <c r="J39" s="3"/>
      <c r="K39" s="3"/>
      <c r="L39" s="3"/>
      <c r="M39" s="3"/>
      <c r="N39" s="3"/>
      <c r="O39" s="3"/>
      <c r="P39" s="8"/>
      <c r="Q39" s="8"/>
      <c r="R39" s="3"/>
      <c r="S39" s="3"/>
      <c r="T39" s="3"/>
      <c r="U39" s="5" t="str">
        <f t="shared" si="2"/>
        <v/>
      </c>
    </row>
    <row r="41" spans="1:21" ht="28" customHeight="1" x14ac:dyDescent="0.35">
      <c r="A41" s="9" t="s">
        <v>110</v>
      </c>
      <c r="B41" s="16"/>
      <c r="C41" s="17"/>
      <c r="D41" s="17"/>
      <c r="E41" s="17"/>
      <c r="F41" s="17"/>
      <c r="G41" s="17"/>
      <c r="H41" s="17"/>
      <c r="I41" s="17"/>
      <c r="J41" s="17"/>
      <c r="K41" s="17"/>
      <c r="L41" s="17"/>
      <c r="M41" s="17"/>
      <c r="N41" s="17"/>
      <c r="O41" s="17"/>
      <c r="P41" s="17"/>
      <c r="Q41" s="17"/>
      <c r="R41" s="17"/>
      <c r="S41" s="17"/>
      <c r="T41" s="17"/>
      <c r="U41" s="18"/>
    </row>
    <row r="42" spans="1:21" ht="28" customHeight="1" x14ac:dyDescent="0.35">
      <c r="A42" s="19" t="s">
        <v>608</v>
      </c>
      <c r="B42" s="20"/>
      <c r="C42" s="20"/>
      <c r="D42" s="20"/>
      <c r="E42" s="20"/>
      <c r="F42" s="20"/>
      <c r="G42" s="20"/>
      <c r="H42" s="20"/>
      <c r="I42" s="20"/>
      <c r="J42" s="20"/>
      <c r="K42" s="20"/>
      <c r="L42" s="20"/>
      <c r="M42" s="20"/>
      <c r="N42" s="20"/>
      <c r="O42" s="20"/>
      <c r="P42" s="20"/>
      <c r="Q42" s="20"/>
      <c r="R42" s="20"/>
      <c r="S42" s="20"/>
      <c r="T42" s="20"/>
      <c r="U42" s="21"/>
    </row>
    <row r="43" spans="1:21" ht="28" customHeight="1" x14ac:dyDescent="0.35">
      <c r="A43" s="4" t="s">
        <v>31</v>
      </c>
      <c r="B43" s="3" t="s">
        <v>19</v>
      </c>
      <c r="C43" s="4" t="s">
        <v>32</v>
      </c>
      <c r="D43" s="3"/>
      <c r="E43" s="4" t="s">
        <v>33</v>
      </c>
      <c r="F43" s="8"/>
    </row>
    <row r="44" spans="1:21" ht="28" customHeight="1" x14ac:dyDescent="0.35">
      <c r="A44" s="1" t="s">
        <v>34</v>
      </c>
      <c r="B44" s="1" t="s">
        <v>35</v>
      </c>
      <c r="C44" s="1" t="s">
        <v>36</v>
      </c>
      <c r="D44" s="1" t="s">
        <v>37</v>
      </c>
      <c r="E44" s="1" t="s">
        <v>38</v>
      </c>
      <c r="F44" s="1" t="s">
        <v>39</v>
      </c>
      <c r="G44" s="1" t="s">
        <v>40</v>
      </c>
      <c r="H44" s="1" t="s">
        <v>41</v>
      </c>
      <c r="I44" s="1" t="s">
        <v>42</v>
      </c>
      <c r="J44" s="1" t="s">
        <v>43</v>
      </c>
      <c r="K44" s="1" t="s">
        <v>44</v>
      </c>
      <c r="L44" s="1" t="s">
        <v>45</v>
      </c>
      <c r="M44" s="1" t="s">
        <v>46</v>
      </c>
      <c r="N44" s="1" t="s">
        <v>47</v>
      </c>
      <c r="O44" s="1" t="s">
        <v>48</v>
      </c>
      <c r="P44" s="1" t="s">
        <v>4</v>
      </c>
      <c r="Q44" s="1" t="s">
        <v>49</v>
      </c>
      <c r="R44" s="1" t="s">
        <v>50</v>
      </c>
      <c r="S44" s="1" t="s">
        <v>51</v>
      </c>
      <c r="T44" s="1" t="s">
        <v>52</v>
      </c>
      <c r="U44" s="1" t="s">
        <v>10</v>
      </c>
    </row>
    <row r="45" spans="1:21" ht="28" customHeight="1" x14ac:dyDescent="0.35">
      <c r="A45" s="4">
        <v>1</v>
      </c>
      <c r="B45" s="4" t="s">
        <v>53</v>
      </c>
      <c r="C45" s="4" t="s">
        <v>600</v>
      </c>
      <c r="D45" s="4" t="s">
        <v>601</v>
      </c>
      <c r="E45" s="4" t="s">
        <v>56</v>
      </c>
      <c r="F45" s="4" t="s">
        <v>57</v>
      </c>
      <c r="G45" s="4" t="s">
        <v>58</v>
      </c>
      <c r="H45" s="4" t="s">
        <v>59</v>
      </c>
      <c r="I45" s="3"/>
      <c r="J45" s="3"/>
      <c r="K45" s="3"/>
      <c r="L45" s="3"/>
      <c r="M45" s="3"/>
      <c r="N45" s="3"/>
      <c r="O45" s="3"/>
      <c r="P45" s="8"/>
      <c r="Q45" s="8"/>
      <c r="R45" s="3"/>
      <c r="S45" s="3"/>
      <c r="T45" s="3"/>
      <c r="U45" s="5" t="str">
        <f t="shared" ref="U45:U60" si="3">IF(I45="","",IF(I45="NA","Grey",IF(I45=2,"Green",IF(I45=1,"Amber","Red"))))</f>
        <v/>
      </c>
    </row>
    <row r="46" spans="1:21" ht="28" customHeight="1" x14ac:dyDescent="0.35">
      <c r="A46" s="4">
        <v>2</v>
      </c>
      <c r="B46" s="4" t="s">
        <v>53</v>
      </c>
      <c r="C46" s="4" t="s">
        <v>602</v>
      </c>
      <c r="D46" s="4" t="s">
        <v>603</v>
      </c>
      <c r="E46" s="4" t="s">
        <v>56</v>
      </c>
      <c r="F46" s="4" t="s">
        <v>57</v>
      </c>
      <c r="G46" s="4" t="s">
        <v>58</v>
      </c>
      <c r="H46" s="4" t="s">
        <v>59</v>
      </c>
      <c r="I46" s="3"/>
      <c r="J46" s="3"/>
      <c r="K46" s="3"/>
      <c r="L46" s="3"/>
      <c r="M46" s="3"/>
      <c r="N46" s="3"/>
      <c r="O46" s="3"/>
      <c r="P46" s="8"/>
      <c r="Q46" s="8"/>
      <c r="R46" s="3"/>
      <c r="S46" s="3"/>
      <c r="T46" s="3"/>
      <c r="U46" s="5" t="str">
        <f t="shared" si="3"/>
        <v/>
      </c>
    </row>
    <row r="47" spans="1:21" ht="28" customHeight="1" x14ac:dyDescent="0.35">
      <c r="A47" s="4">
        <v>3</v>
      </c>
      <c r="B47" s="4" t="s">
        <v>53</v>
      </c>
      <c r="C47" s="4" t="s">
        <v>604</v>
      </c>
      <c r="D47" s="4" t="s">
        <v>605</v>
      </c>
      <c r="E47" s="4" t="s">
        <v>56</v>
      </c>
      <c r="F47" s="4" t="s">
        <v>57</v>
      </c>
      <c r="G47" s="4" t="s">
        <v>58</v>
      </c>
      <c r="H47" s="4" t="s">
        <v>59</v>
      </c>
      <c r="I47" s="3"/>
      <c r="J47" s="3"/>
      <c r="K47" s="3"/>
      <c r="L47" s="3"/>
      <c r="M47" s="3"/>
      <c r="N47" s="3"/>
      <c r="O47" s="3"/>
      <c r="P47" s="8"/>
      <c r="Q47" s="8"/>
      <c r="R47" s="3"/>
      <c r="S47" s="3"/>
      <c r="T47" s="3"/>
      <c r="U47" s="5" t="str">
        <f t="shared" si="3"/>
        <v/>
      </c>
    </row>
    <row r="48" spans="1:21" ht="28" customHeight="1" x14ac:dyDescent="0.35">
      <c r="A48" s="4">
        <v>4</v>
      </c>
      <c r="B48" s="4" t="s">
        <v>53</v>
      </c>
      <c r="C48" s="4" t="s">
        <v>606</v>
      </c>
      <c r="D48" s="4" t="s">
        <v>607</v>
      </c>
      <c r="E48" s="4" t="s">
        <v>56</v>
      </c>
      <c r="F48" s="4" t="s">
        <v>57</v>
      </c>
      <c r="G48" s="4" t="s">
        <v>58</v>
      </c>
      <c r="H48" s="4" t="s">
        <v>59</v>
      </c>
      <c r="I48" s="3"/>
      <c r="J48" s="3"/>
      <c r="K48" s="3"/>
      <c r="L48" s="3"/>
      <c r="M48" s="3"/>
      <c r="N48" s="3"/>
      <c r="O48" s="3"/>
      <c r="P48" s="8"/>
      <c r="Q48" s="8"/>
      <c r="R48" s="3"/>
      <c r="S48" s="3"/>
      <c r="T48" s="3"/>
      <c r="U48" s="5" t="str">
        <f t="shared" si="3"/>
        <v/>
      </c>
    </row>
    <row r="49" spans="1:21" ht="28" customHeight="1" x14ac:dyDescent="0.35">
      <c r="A49" s="4">
        <v>5</v>
      </c>
      <c r="B49" s="4" t="s">
        <v>66</v>
      </c>
      <c r="C49" s="4" t="s">
        <v>67</v>
      </c>
      <c r="D49" s="4" t="s">
        <v>68</v>
      </c>
      <c r="E49" s="4" t="s">
        <v>69</v>
      </c>
      <c r="F49" s="4" t="s">
        <v>57</v>
      </c>
      <c r="G49" s="4" t="s">
        <v>58</v>
      </c>
      <c r="H49" s="4" t="s">
        <v>59</v>
      </c>
      <c r="I49" s="3"/>
      <c r="J49" s="3"/>
      <c r="K49" s="3"/>
      <c r="L49" s="3"/>
      <c r="M49" s="3"/>
      <c r="N49" s="3"/>
      <c r="O49" s="3"/>
      <c r="P49" s="8"/>
      <c r="Q49" s="8"/>
      <c r="R49" s="3"/>
      <c r="S49" s="3"/>
      <c r="T49" s="3"/>
      <c r="U49" s="5" t="str">
        <f t="shared" si="3"/>
        <v/>
      </c>
    </row>
    <row r="50" spans="1:21" ht="28" customHeight="1" x14ac:dyDescent="0.35">
      <c r="A50" s="4">
        <v>6</v>
      </c>
      <c r="B50" s="4" t="s">
        <v>70</v>
      </c>
      <c r="C50" s="4" t="s">
        <v>71</v>
      </c>
      <c r="D50" s="4" t="s">
        <v>72</v>
      </c>
      <c r="E50" s="4" t="s">
        <v>70</v>
      </c>
      <c r="F50" s="4" t="s">
        <v>57</v>
      </c>
      <c r="G50" s="4" t="s">
        <v>58</v>
      </c>
      <c r="H50" s="4" t="s">
        <v>59</v>
      </c>
      <c r="I50" s="3"/>
      <c r="J50" s="3"/>
      <c r="K50" s="3"/>
      <c r="L50" s="3"/>
      <c r="M50" s="3"/>
      <c r="N50" s="3"/>
      <c r="O50" s="3"/>
      <c r="P50" s="8"/>
      <c r="Q50" s="8"/>
      <c r="R50" s="3"/>
      <c r="S50" s="3"/>
      <c r="T50" s="3"/>
      <c r="U50" s="5" t="str">
        <f t="shared" si="3"/>
        <v/>
      </c>
    </row>
    <row r="51" spans="1:21" ht="28" customHeight="1" x14ac:dyDescent="0.35">
      <c r="A51" s="4">
        <v>7</v>
      </c>
      <c r="B51" s="4" t="s">
        <v>73</v>
      </c>
      <c r="C51" s="4" t="s">
        <v>74</v>
      </c>
      <c r="D51" s="4" t="s">
        <v>75</v>
      </c>
      <c r="E51" s="4" t="s">
        <v>69</v>
      </c>
      <c r="F51" s="4" t="s">
        <v>57</v>
      </c>
      <c r="G51" s="4" t="s">
        <v>58</v>
      </c>
      <c r="H51" s="4" t="s">
        <v>76</v>
      </c>
      <c r="I51" s="3"/>
      <c r="J51" s="3"/>
      <c r="K51" s="3"/>
      <c r="L51" s="3"/>
      <c r="M51" s="3"/>
      <c r="N51" s="3"/>
      <c r="O51" s="3"/>
      <c r="P51" s="8"/>
      <c r="Q51" s="8"/>
      <c r="R51" s="3"/>
      <c r="S51" s="3"/>
      <c r="T51" s="3"/>
      <c r="U51" s="5" t="str">
        <f t="shared" si="3"/>
        <v/>
      </c>
    </row>
    <row r="52" spans="1:21" ht="28" customHeight="1" x14ac:dyDescent="0.35">
      <c r="A52" s="4">
        <v>8</v>
      </c>
      <c r="B52" s="4" t="s">
        <v>77</v>
      </c>
      <c r="C52" s="4" t="s">
        <v>78</v>
      </c>
      <c r="D52" s="4" t="s">
        <v>79</v>
      </c>
      <c r="E52" s="4" t="s">
        <v>80</v>
      </c>
      <c r="F52" s="4" t="s">
        <v>57</v>
      </c>
      <c r="G52" s="4" t="s">
        <v>58</v>
      </c>
      <c r="H52" s="4" t="s">
        <v>59</v>
      </c>
      <c r="I52" s="3"/>
      <c r="J52" s="3"/>
      <c r="K52" s="3"/>
      <c r="L52" s="3"/>
      <c r="M52" s="3"/>
      <c r="N52" s="3"/>
      <c r="O52" s="3"/>
      <c r="P52" s="8"/>
      <c r="Q52" s="8"/>
      <c r="R52" s="3"/>
      <c r="S52" s="3"/>
      <c r="T52" s="3"/>
      <c r="U52" s="5" t="str">
        <f t="shared" si="3"/>
        <v/>
      </c>
    </row>
    <row r="53" spans="1:21" ht="28" customHeight="1" x14ac:dyDescent="0.35">
      <c r="A53" s="4">
        <v>9</v>
      </c>
      <c r="B53" s="4" t="s">
        <v>81</v>
      </c>
      <c r="C53" s="4" t="s">
        <v>82</v>
      </c>
      <c r="D53" s="4" t="s">
        <v>83</v>
      </c>
      <c r="E53" s="4" t="s">
        <v>84</v>
      </c>
      <c r="F53" s="4" t="s">
        <v>57</v>
      </c>
      <c r="G53" s="4" t="s">
        <v>58</v>
      </c>
      <c r="H53" s="4" t="s">
        <v>85</v>
      </c>
      <c r="I53" s="3"/>
      <c r="J53" s="3"/>
      <c r="K53" s="3"/>
      <c r="L53" s="3"/>
      <c r="M53" s="3"/>
      <c r="N53" s="3"/>
      <c r="O53" s="3"/>
      <c r="P53" s="8"/>
      <c r="Q53" s="8"/>
      <c r="R53" s="3"/>
      <c r="S53" s="3"/>
      <c r="T53" s="3"/>
      <c r="U53" s="5" t="str">
        <f t="shared" si="3"/>
        <v/>
      </c>
    </row>
    <row r="54" spans="1:21" ht="28" customHeight="1" x14ac:dyDescent="0.35">
      <c r="A54" s="4">
        <v>10</v>
      </c>
      <c r="B54" s="4" t="s">
        <v>86</v>
      </c>
      <c r="C54" s="4" t="s">
        <v>87</v>
      </c>
      <c r="D54" s="4" t="s">
        <v>88</v>
      </c>
      <c r="E54" s="4" t="s">
        <v>69</v>
      </c>
      <c r="F54" s="4" t="s">
        <v>57</v>
      </c>
      <c r="G54" s="4" t="s">
        <v>58</v>
      </c>
      <c r="H54" s="4" t="s">
        <v>59</v>
      </c>
      <c r="I54" s="3"/>
      <c r="J54" s="3"/>
      <c r="K54" s="3"/>
      <c r="L54" s="3"/>
      <c r="M54" s="3"/>
      <c r="N54" s="3"/>
      <c r="O54" s="3"/>
      <c r="P54" s="8"/>
      <c r="Q54" s="8"/>
      <c r="R54" s="3"/>
      <c r="S54" s="3"/>
      <c r="T54" s="3"/>
      <c r="U54" s="5" t="str">
        <f t="shared" si="3"/>
        <v/>
      </c>
    </row>
    <row r="55" spans="1:21" ht="28" customHeight="1" x14ac:dyDescent="0.35">
      <c r="A55" s="4">
        <v>11</v>
      </c>
      <c r="B55" s="4" t="s">
        <v>89</v>
      </c>
      <c r="C55" s="4" t="s">
        <v>90</v>
      </c>
      <c r="D55" s="4" t="s">
        <v>91</v>
      </c>
      <c r="E55" s="4" t="s">
        <v>84</v>
      </c>
      <c r="F55" s="4" t="s">
        <v>57</v>
      </c>
      <c r="G55" s="4" t="s">
        <v>58</v>
      </c>
      <c r="H55" s="4" t="s">
        <v>59</v>
      </c>
      <c r="I55" s="3"/>
      <c r="J55" s="3"/>
      <c r="K55" s="3"/>
      <c r="L55" s="3"/>
      <c r="M55" s="3"/>
      <c r="N55" s="3"/>
      <c r="O55" s="3"/>
      <c r="P55" s="8"/>
      <c r="Q55" s="8"/>
      <c r="R55" s="3"/>
      <c r="S55" s="3"/>
      <c r="T55" s="3"/>
      <c r="U55" s="5" t="str">
        <f t="shared" si="3"/>
        <v/>
      </c>
    </row>
    <row r="56" spans="1:21" ht="28" customHeight="1" x14ac:dyDescent="0.35">
      <c r="A56" s="4">
        <v>12</v>
      </c>
      <c r="B56" s="4" t="s">
        <v>92</v>
      </c>
      <c r="C56" s="4" t="s">
        <v>93</v>
      </c>
      <c r="D56" s="4" t="s">
        <v>94</v>
      </c>
      <c r="E56" s="4" t="s">
        <v>69</v>
      </c>
      <c r="F56" s="4" t="s">
        <v>95</v>
      </c>
      <c r="G56" s="4" t="s">
        <v>96</v>
      </c>
      <c r="H56" s="4" t="s">
        <v>59</v>
      </c>
      <c r="I56" s="3"/>
      <c r="J56" s="3"/>
      <c r="K56" s="3"/>
      <c r="L56" s="3"/>
      <c r="M56" s="3"/>
      <c r="N56" s="3"/>
      <c r="O56" s="3"/>
      <c r="P56" s="8"/>
      <c r="Q56" s="8"/>
      <c r="R56" s="3"/>
      <c r="S56" s="3"/>
      <c r="T56" s="3"/>
      <c r="U56" s="5" t="str">
        <f t="shared" si="3"/>
        <v/>
      </c>
    </row>
    <row r="57" spans="1:21" ht="28" customHeight="1" x14ac:dyDescent="0.35">
      <c r="A57" s="4">
        <v>13</v>
      </c>
      <c r="B57" s="4" t="s">
        <v>97</v>
      </c>
      <c r="C57" s="4" t="s">
        <v>98</v>
      </c>
      <c r="D57" s="4" t="s">
        <v>99</v>
      </c>
      <c r="E57" s="4" t="s">
        <v>69</v>
      </c>
      <c r="F57" s="4" t="s">
        <v>95</v>
      </c>
      <c r="G57" s="4" t="s">
        <v>96</v>
      </c>
      <c r="H57" s="4" t="s">
        <v>59</v>
      </c>
      <c r="I57" s="3"/>
      <c r="J57" s="3"/>
      <c r="K57" s="3"/>
      <c r="L57" s="3"/>
      <c r="M57" s="3"/>
      <c r="N57" s="3"/>
      <c r="O57" s="3"/>
      <c r="P57" s="8"/>
      <c r="Q57" s="8"/>
      <c r="R57" s="3"/>
      <c r="S57" s="3"/>
      <c r="T57" s="3"/>
      <c r="U57" s="5" t="str">
        <f t="shared" si="3"/>
        <v/>
      </c>
    </row>
    <row r="58" spans="1:21" ht="28" customHeight="1" x14ac:dyDescent="0.35">
      <c r="A58" s="4">
        <v>14</v>
      </c>
      <c r="B58" s="4" t="s">
        <v>97</v>
      </c>
      <c r="C58" s="4" t="s">
        <v>100</v>
      </c>
      <c r="D58" s="4" t="s">
        <v>101</v>
      </c>
      <c r="E58" s="4" t="s">
        <v>69</v>
      </c>
      <c r="F58" s="4" t="s">
        <v>95</v>
      </c>
      <c r="G58" s="4" t="s">
        <v>102</v>
      </c>
      <c r="H58" s="4" t="s">
        <v>59</v>
      </c>
      <c r="I58" s="3"/>
      <c r="J58" s="3"/>
      <c r="K58" s="3"/>
      <c r="L58" s="3"/>
      <c r="M58" s="3"/>
      <c r="N58" s="3"/>
      <c r="O58" s="3"/>
      <c r="P58" s="8"/>
      <c r="Q58" s="8"/>
      <c r="R58" s="3"/>
      <c r="S58" s="3"/>
      <c r="T58" s="3"/>
      <c r="U58" s="5" t="str">
        <f t="shared" si="3"/>
        <v/>
      </c>
    </row>
    <row r="59" spans="1:21" ht="28" customHeight="1" x14ac:dyDescent="0.35">
      <c r="A59" s="4">
        <v>15</v>
      </c>
      <c r="B59" s="4" t="s">
        <v>103</v>
      </c>
      <c r="C59" s="4" t="s">
        <v>104</v>
      </c>
      <c r="D59" s="4" t="s">
        <v>105</v>
      </c>
      <c r="E59" s="4" t="s">
        <v>69</v>
      </c>
      <c r="F59" s="4" t="s">
        <v>95</v>
      </c>
      <c r="G59" s="4" t="s">
        <v>96</v>
      </c>
      <c r="H59" s="4" t="s">
        <v>85</v>
      </c>
      <c r="I59" s="3"/>
      <c r="J59" s="3"/>
      <c r="K59" s="3"/>
      <c r="L59" s="3"/>
      <c r="M59" s="3"/>
      <c r="N59" s="3"/>
      <c r="O59" s="3"/>
      <c r="P59" s="8"/>
      <c r="Q59" s="8"/>
      <c r="R59" s="3"/>
      <c r="S59" s="3"/>
      <c r="T59" s="3"/>
      <c r="U59" s="5" t="str">
        <f t="shared" si="3"/>
        <v/>
      </c>
    </row>
    <row r="60" spans="1:21" ht="28" customHeight="1" x14ac:dyDescent="0.35">
      <c r="A60" s="4">
        <v>16</v>
      </c>
      <c r="B60" s="4" t="s">
        <v>106</v>
      </c>
      <c r="C60" s="4" t="s">
        <v>107</v>
      </c>
      <c r="D60" s="4" t="s">
        <v>108</v>
      </c>
      <c r="E60" s="4" t="s">
        <v>109</v>
      </c>
      <c r="F60" s="4" t="s">
        <v>95</v>
      </c>
      <c r="G60" s="4" t="s">
        <v>96</v>
      </c>
      <c r="H60" s="4" t="s">
        <v>59</v>
      </c>
      <c r="I60" s="3"/>
      <c r="J60" s="3"/>
      <c r="K60" s="3"/>
      <c r="L60" s="3"/>
      <c r="M60" s="3"/>
      <c r="N60" s="3"/>
      <c r="O60" s="3"/>
      <c r="P60" s="8"/>
      <c r="Q60" s="8"/>
      <c r="R60" s="3"/>
      <c r="S60" s="3"/>
      <c r="T60" s="3"/>
      <c r="U60" s="5" t="str">
        <f t="shared" si="3"/>
        <v/>
      </c>
    </row>
    <row r="62" spans="1:21" ht="28" customHeight="1" x14ac:dyDescent="0.35">
      <c r="A62" s="9" t="s">
        <v>110</v>
      </c>
      <c r="B62" s="16"/>
      <c r="C62" s="17"/>
      <c r="D62" s="17"/>
      <c r="E62" s="17"/>
      <c r="F62" s="17"/>
      <c r="G62" s="17"/>
      <c r="H62" s="17"/>
      <c r="I62" s="17"/>
      <c r="J62" s="17"/>
      <c r="K62" s="17"/>
      <c r="L62" s="17"/>
      <c r="M62" s="17"/>
      <c r="N62" s="17"/>
      <c r="O62" s="17"/>
      <c r="P62" s="17"/>
      <c r="Q62" s="17"/>
      <c r="R62" s="17"/>
      <c r="S62" s="17"/>
      <c r="T62" s="17"/>
      <c r="U62" s="18"/>
    </row>
    <row r="63" spans="1:21" ht="28" customHeight="1" x14ac:dyDescent="0.35">
      <c r="A63" s="19" t="s">
        <v>609</v>
      </c>
      <c r="B63" s="20"/>
      <c r="C63" s="20"/>
      <c r="D63" s="20"/>
      <c r="E63" s="20"/>
      <c r="F63" s="20"/>
      <c r="G63" s="20"/>
      <c r="H63" s="20"/>
      <c r="I63" s="20"/>
      <c r="J63" s="20"/>
      <c r="K63" s="20"/>
      <c r="L63" s="20"/>
      <c r="M63" s="20"/>
      <c r="N63" s="20"/>
      <c r="O63" s="20"/>
      <c r="P63" s="20"/>
      <c r="Q63" s="20"/>
      <c r="R63" s="20"/>
      <c r="S63" s="20"/>
      <c r="T63" s="20"/>
      <c r="U63" s="21"/>
    </row>
    <row r="64" spans="1:21" ht="28" customHeight="1" x14ac:dyDescent="0.35">
      <c r="A64" s="4" t="s">
        <v>31</v>
      </c>
      <c r="B64" s="3" t="s">
        <v>20</v>
      </c>
      <c r="C64" s="4" t="s">
        <v>32</v>
      </c>
      <c r="D64" s="3"/>
      <c r="E64" s="4" t="s">
        <v>33</v>
      </c>
      <c r="F64" s="8"/>
    </row>
    <row r="65" spans="1:21" ht="28" customHeight="1" x14ac:dyDescent="0.35">
      <c r="A65" s="1" t="s">
        <v>34</v>
      </c>
      <c r="B65" s="1" t="s">
        <v>35</v>
      </c>
      <c r="C65" s="1" t="s">
        <v>36</v>
      </c>
      <c r="D65" s="1" t="s">
        <v>37</v>
      </c>
      <c r="E65" s="1" t="s">
        <v>38</v>
      </c>
      <c r="F65" s="1" t="s">
        <v>39</v>
      </c>
      <c r="G65" s="1" t="s">
        <v>40</v>
      </c>
      <c r="H65" s="1" t="s">
        <v>41</v>
      </c>
      <c r="I65" s="1" t="s">
        <v>42</v>
      </c>
      <c r="J65" s="1" t="s">
        <v>43</v>
      </c>
      <c r="K65" s="1" t="s">
        <v>44</v>
      </c>
      <c r="L65" s="1" t="s">
        <v>45</v>
      </c>
      <c r="M65" s="1" t="s">
        <v>46</v>
      </c>
      <c r="N65" s="1" t="s">
        <v>47</v>
      </c>
      <c r="O65" s="1" t="s">
        <v>48</v>
      </c>
      <c r="P65" s="1" t="s">
        <v>4</v>
      </c>
      <c r="Q65" s="1" t="s">
        <v>49</v>
      </c>
      <c r="R65" s="1" t="s">
        <v>50</v>
      </c>
      <c r="S65" s="1" t="s">
        <v>51</v>
      </c>
      <c r="T65" s="1" t="s">
        <v>52</v>
      </c>
      <c r="U65" s="1" t="s">
        <v>10</v>
      </c>
    </row>
    <row r="66" spans="1:21" ht="28" customHeight="1" x14ac:dyDescent="0.35">
      <c r="A66" s="4">
        <v>1</v>
      </c>
      <c r="B66" s="4" t="s">
        <v>53</v>
      </c>
      <c r="C66" s="4" t="s">
        <v>600</v>
      </c>
      <c r="D66" s="4" t="s">
        <v>601</v>
      </c>
      <c r="E66" s="4" t="s">
        <v>56</v>
      </c>
      <c r="F66" s="4" t="s">
        <v>57</v>
      </c>
      <c r="G66" s="4" t="s">
        <v>58</v>
      </c>
      <c r="H66" s="4" t="s">
        <v>59</v>
      </c>
      <c r="I66" s="3"/>
      <c r="J66" s="3"/>
      <c r="K66" s="3"/>
      <c r="L66" s="3"/>
      <c r="M66" s="3"/>
      <c r="N66" s="3"/>
      <c r="O66" s="3"/>
      <c r="P66" s="8"/>
      <c r="Q66" s="8"/>
      <c r="R66" s="3"/>
      <c r="S66" s="3"/>
      <c r="T66" s="3"/>
      <c r="U66" s="5" t="str">
        <f t="shared" ref="U66:U81" si="4">IF(I66="","",IF(I66="NA","Grey",IF(I66=2,"Green",IF(I66=1,"Amber","Red"))))</f>
        <v/>
      </c>
    </row>
    <row r="67" spans="1:21" ht="28" customHeight="1" x14ac:dyDescent="0.35">
      <c r="A67" s="4">
        <v>2</v>
      </c>
      <c r="B67" s="4" t="s">
        <v>53</v>
      </c>
      <c r="C67" s="4" t="s">
        <v>602</v>
      </c>
      <c r="D67" s="4" t="s">
        <v>603</v>
      </c>
      <c r="E67" s="4" t="s">
        <v>56</v>
      </c>
      <c r="F67" s="4" t="s">
        <v>57</v>
      </c>
      <c r="G67" s="4" t="s">
        <v>58</v>
      </c>
      <c r="H67" s="4" t="s">
        <v>59</v>
      </c>
      <c r="I67" s="3"/>
      <c r="J67" s="3"/>
      <c r="K67" s="3"/>
      <c r="L67" s="3"/>
      <c r="M67" s="3"/>
      <c r="N67" s="3"/>
      <c r="O67" s="3"/>
      <c r="P67" s="8"/>
      <c r="Q67" s="8"/>
      <c r="R67" s="3"/>
      <c r="S67" s="3"/>
      <c r="T67" s="3"/>
      <c r="U67" s="5" t="str">
        <f t="shared" si="4"/>
        <v/>
      </c>
    </row>
    <row r="68" spans="1:21" ht="28" customHeight="1" x14ac:dyDescent="0.35">
      <c r="A68" s="4">
        <v>3</v>
      </c>
      <c r="B68" s="4" t="s">
        <v>53</v>
      </c>
      <c r="C68" s="4" t="s">
        <v>604</v>
      </c>
      <c r="D68" s="4" t="s">
        <v>605</v>
      </c>
      <c r="E68" s="4" t="s">
        <v>56</v>
      </c>
      <c r="F68" s="4" t="s">
        <v>57</v>
      </c>
      <c r="G68" s="4" t="s">
        <v>58</v>
      </c>
      <c r="H68" s="4" t="s">
        <v>59</v>
      </c>
      <c r="I68" s="3"/>
      <c r="J68" s="3"/>
      <c r="K68" s="3"/>
      <c r="L68" s="3"/>
      <c r="M68" s="3"/>
      <c r="N68" s="3"/>
      <c r="O68" s="3"/>
      <c r="P68" s="8"/>
      <c r="Q68" s="8"/>
      <c r="R68" s="3"/>
      <c r="S68" s="3"/>
      <c r="T68" s="3"/>
      <c r="U68" s="5" t="str">
        <f t="shared" si="4"/>
        <v/>
      </c>
    </row>
    <row r="69" spans="1:21" ht="28" customHeight="1" x14ac:dyDescent="0.35">
      <c r="A69" s="4">
        <v>4</v>
      </c>
      <c r="B69" s="4" t="s">
        <v>53</v>
      </c>
      <c r="C69" s="4" t="s">
        <v>606</v>
      </c>
      <c r="D69" s="4" t="s">
        <v>607</v>
      </c>
      <c r="E69" s="4" t="s">
        <v>56</v>
      </c>
      <c r="F69" s="4" t="s">
        <v>57</v>
      </c>
      <c r="G69" s="4" t="s">
        <v>58</v>
      </c>
      <c r="H69" s="4" t="s">
        <v>59</v>
      </c>
      <c r="I69" s="3"/>
      <c r="J69" s="3"/>
      <c r="K69" s="3"/>
      <c r="L69" s="3"/>
      <c r="M69" s="3"/>
      <c r="N69" s="3"/>
      <c r="O69" s="3"/>
      <c r="P69" s="8"/>
      <c r="Q69" s="8"/>
      <c r="R69" s="3"/>
      <c r="S69" s="3"/>
      <c r="T69" s="3"/>
      <c r="U69" s="5" t="str">
        <f t="shared" si="4"/>
        <v/>
      </c>
    </row>
    <row r="70" spans="1:21" ht="28" customHeight="1" x14ac:dyDescent="0.35">
      <c r="A70" s="4">
        <v>5</v>
      </c>
      <c r="B70" s="4" t="s">
        <v>66</v>
      </c>
      <c r="C70" s="4" t="s">
        <v>67</v>
      </c>
      <c r="D70" s="4" t="s">
        <v>68</v>
      </c>
      <c r="E70" s="4" t="s">
        <v>69</v>
      </c>
      <c r="F70" s="4" t="s">
        <v>57</v>
      </c>
      <c r="G70" s="4" t="s">
        <v>58</v>
      </c>
      <c r="H70" s="4" t="s">
        <v>59</v>
      </c>
      <c r="I70" s="3"/>
      <c r="J70" s="3"/>
      <c r="K70" s="3"/>
      <c r="L70" s="3"/>
      <c r="M70" s="3"/>
      <c r="N70" s="3"/>
      <c r="O70" s="3"/>
      <c r="P70" s="8"/>
      <c r="Q70" s="8"/>
      <c r="R70" s="3"/>
      <c r="S70" s="3"/>
      <c r="T70" s="3"/>
      <c r="U70" s="5" t="str">
        <f t="shared" si="4"/>
        <v/>
      </c>
    </row>
    <row r="71" spans="1:21" ht="28" customHeight="1" x14ac:dyDescent="0.35">
      <c r="A71" s="4">
        <v>6</v>
      </c>
      <c r="B71" s="4" t="s">
        <v>70</v>
      </c>
      <c r="C71" s="4" t="s">
        <v>71</v>
      </c>
      <c r="D71" s="4" t="s">
        <v>72</v>
      </c>
      <c r="E71" s="4" t="s">
        <v>70</v>
      </c>
      <c r="F71" s="4" t="s">
        <v>57</v>
      </c>
      <c r="G71" s="4" t="s">
        <v>58</v>
      </c>
      <c r="H71" s="4" t="s">
        <v>59</v>
      </c>
      <c r="I71" s="3"/>
      <c r="J71" s="3"/>
      <c r="K71" s="3"/>
      <c r="L71" s="3"/>
      <c r="M71" s="3"/>
      <c r="N71" s="3"/>
      <c r="O71" s="3"/>
      <c r="P71" s="8"/>
      <c r="Q71" s="8"/>
      <c r="R71" s="3"/>
      <c r="S71" s="3"/>
      <c r="T71" s="3"/>
      <c r="U71" s="5" t="str">
        <f t="shared" si="4"/>
        <v/>
      </c>
    </row>
    <row r="72" spans="1:21" ht="28" customHeight="1" x14ac:dyDescent="0.35">
      <c r="A72" s="4">
        <v>7</v>
      </c>
      <c r="B72" s="4" t="s">
        <v>73</v>
      </c>
      <c r="C72" s="4" t="s">
        <v>74</v>
      </c>
      <c r="D72" s="4" t="s">
        <v>75</v>
      </c>
      <c r="E72" s="4" t="s">
        <v>69</v>
      </c>
      <c r="F72" s="4" t="s">
        <v>57</v>
      </c>
      <c r="G72" s="4" t="s">
        <v>58</v>
      </c>
      <c r="H72" s="4" t="s">
        <v>76</v>
      </c>
      <c r="I72" s="3"/>
      <c r="J72" s="3"/>
      <c r="K72" s="3"/>
      <c r="L72" s="3"/>
      <c r="M72" s="3"/>
      <c r="N72" s="3"/>
      <c r="O72" s="3"/>
      <c r="P72" s="8"/>
      <c r="Q72" s="8"/>
      <c r="R72" s="3"/>
      <c r="S72" s="3"/>
      <c r="T72" s="3"/>
      <c r="U72" s="5" t="str">
        <f t="shared" si="4"/>
        <v/>
      </c>
    </row>
    <row r="73" spans="1:21" ht="28" customHeight="1" x14ac:dyDescent="0.35">
      <c r="A73" s="4">
        <v>8</v>
      </c>
      <c r="B73" s="4" t="s">
        <v>77</v>
      </c>
      <c r="C73" s="4" t="s">
        <v>78</v>
      </c>
      <c r="D73" s="4" t="s">
        <v>79</v>
      </c>
      <c r="E73" s="4" t="s">
        <v>80</v>
      </c>
      <c r="F73" s="4" t="s">
        <v>57</v>
      </c>
      <c r="G73" s="4" t="s">
        <v>58</v>
      </c>
      <c r="H73" s="4" t="s">
        <v>59</v>
      </c>
      <c r="I73" s="3"/>
      <c r="J73" s="3"/>
      <c r="K73" s="3"/>
      <c r="L73" s="3"/>
      <c r="M73" s="3"/>
      <c r="N73" s="3"/>
      <c r="O73" s="3"/>
      <c r="P73" s="8"/>
      <c r="Q73" s="8"/>
      <c r="R73" s="3"/>
      <c r="S73" s="3"/>
      <c r="T73" s="3"/>
      <c r="U73" s="5" t="str">
        <f t="shared" si="4"/>
        <v/>
      </c>
    </row>
    <row r="74" spans="1:21" ht="28" customHeight="1" x14ac:dyDescent="0.35">
      <c r="A74" s="4">
        <v>9</v>
      </c>
      <c r="B74" s="4" t="s">
        <v>81</v>
      </c>
      <c r="C74" s="4" t="s">
        <v>82</v>
      </c>
      <c r="D74" s="4" t="s">
        <v>83</v>
      </c>
      <c r="E74" s="4" t="s">
        <v>84</v>
      </c>
      <c r="F74" s="4" t="s">
        <v>57</v>
      </c>
      <c r="G74" s="4" t="s">
        <v>58</v>
      </c>
      <c r="H74" s="4" t="s">
        <v>85</v>
      </c>
      <c r="I74" s="3"/>
      <c r="J74" s="3"/>
      <c r="K74" s="3"/>
      <c r="L74" s="3"/>
      <c r="M74" s="3"/>
      <c r="N74" s="3"/>
      <c r="O74" s="3"/>
      <c r="P74" s="8"/>
      <c r="Q74" s="8"/>
      <c r="R74" s="3"/>
      <c r="S74" s="3"/>
      <c r="T74" s="3"/>
      <c r="U74" s="5" t="str">
        <f t="shared" si="4"/>
        <v/>
      </c>
    </row>
    <row r="75" spans="1:21" ht="28" customHeight="1" x14ac:dyDescent="0.35">
      <c r="A75" s="4">
        <v>10</v>
      </c>
      <c r="B75" s="4" t="s">
        <v>86</v>
      </c>
      <c r="C75" s="4" t="s">
        <v>87</v>
      </c>
      <c r="D75" s="4" t="s">
        <v>88</v>
      </c>
      <c r="E75" s="4" t="s">
        <v>69</v>
      </c>
      <c r="F75" s="4" t="s">
        <v>57</v>
      </c>
      <c r="G75" s="4" t="s">
        <v>58</v>
      </c>
      <c r="H75" s="4" t="s">
        <v>59</v>
      </c>
      <c r="I75" s="3"/>
      <c r="J75" s="3"/>
      <c r="K75" s="3"/>
      <c r="L75" s="3"/>
      <c r="M75" s="3"/>
      <c r="N75" s="3"/>
      <c r="O75" s="3"/>
      <c r="P75" s="8"/>
      <c r="Q75" s="8"/>
      <c r="R75" s="3"/>
      <c r="S75" s="3"/>
      <c r="T75" s="3"/>
      <c r="U75" s="5" t="str">
        <f t="shared" si="4"/>
        <v/>
      </c>
    </row>
    <row r="76" spans="1:21" ht="28" customHeight="1" x14ac:dyDescent="0.35">
      <c r="A76" s="4">
        <v>11</v>
      </c>
      <c r="B76" s="4" t="s">
        <v>89</v>
      </c>
      <c r="C76" s="4" t="s">
        <v>90</v>
      </c>
      <c r="D76" s="4" t="s">
        <v>91</v>
      </c>
      <c r="E76" s="4" t="s">
        <v>84</v>
      </c>
      <c r="F76" s="4" t="s">
        <v>57</v>
      </c>
      <c r="G76" s="4" t="s">
        <v>58</v>
      </c>
      <c r="H76" s="4" t="s">
        <v>59</v>
      </c>
      <c r="I76" s="3"/>
      <c r="J76" s="3"/>
      <c r="K76" s="3"/>
      <c r="L76" s="3"/>
      <c r="M76" s="3"/>
      <c r="N76" s="3"/>
      <c r="O76" s="3"/>
      <c r="P76" s="8"/>
      <c r="Q76" s="8"/>
      <c r="R76" s="3"/>
      <c r="S76" s="3"/>
      <c r="T76" s="3"/>
      <c r="U76" s="5" t="str">
        <f t="shared" si="4"/>
        <v/>
      </c>
    </row>
    <row r="77" spans="1:21" ht="28" customHeight="1" x14ac:dyDescent="0.35">
      <c r="A77" s="4">
        <v>12</v>
      </c>
      <c r="B77" s="4" t="s">
        <v>92</v>
      </c>
      <c r="C77" s="4" t="s">
        <v>93</v>
      </c>
      <c r="D77" s="4" t="s">
        <v>94</v>
      </c>
      <c r="E77" s="4" t="s">
        <v>69</v>
      </c>
      <c r="F77" s="4" t="s">
        <v>95</v>
      </c>
      <c r="G77" s="4" t="s">
        <v>96</v>
      </c>
      <c r="H77" s="4" t="s">
        <v>59</v>
      </c>
      <c r="I77" s="3"/>
      <c r="J77" s="3"/>
      <c r="K77" s="3"/>
      <c r="L77" s="3"/>
      <c r="M77" s="3"/>
      <c r="N77" s="3"/>
      <c r="O77" s="3"/>
      <c r="P77" s="8"/>
      <c r="Q77" s="8"/>
      <c r="R77" s="3"/>
      <c r="S77" s="3"/>
      <c r="T77" s="3"/>
      <c r="U77" s="5" t="str">
        <f t="shared" si="4"/>
        <v/>
      </c>
    </row>
    <row r="78" spans="1:21" ht="28" customHeight="1" x14ac:dyDescent="0.35">
      <c r="A78" s="4">
        <v>13</v>
      </c>
      <c r="B78" s="4" t="s">
        <v>97</v>
      </c>
      <c r="C78" s="4" t="s">
        <v>98</v>
      </c>
      <c r="D78" s="4" t="s">
        <v>99</v>
      </c>
      <c r="E78" s="4" t="s">
        <v>69</v>
      </c>
      <c r="F78" s="4" t="s">
        <v>95</v>
      </c>
      <c r="G78" s="4" t="s">
        <v>96</v>
      </c>
      <c r="H78" s="4" t="s">
        <v>59</v>
      </c>
      <c r="I78" s="3"/>
      <c r="J78" s="3"/>
      <c r="K78" s="3"/>
      <c r="L78" s="3"/>
      <c r="M78" s="3"/>
      <c r="N78" s="3"/>
      <c r="O78" s="3"/>
      <c r="P78" s="8"/>
      <c r="Q78" s="8"/>
      <c r="R78" s="3"/>
      <c r="S78" s="3"/>
      <c r="T78" s="3"/>
      <c r="U78" s="5" t="str">
        <f t="shared" si="4"/>
        <v/>
      </c>
    </row>
    <row r="79" spans="1:21" ht="28" customHeight="1" x14ac:dyDescent="0.35">
      <c r="A79" s="4">
        <v>14</v>
      </c>
      <c r="B79" s="4" t="s">
        <v>97</v>
      </c>
      <c r="C79" s="4" t="s">
        <v>100</v>
      </c>
      <c r="D79" s="4" t="s">
        <v>101</v>
      </c>
      <c r="E79" s="4" t="s">
        <v>69</v>
      </c>
      <c r="F79" s="4" t="s">
        <v>95</v>
      </c>
      <c r="G79" s="4" t="s">
        <v>102</v>
      </c>
      <c r="H79" s="4" t="s">
        <v>59</v>
      </c>
      <c r="I79" s="3"/>
      <c r="J79" s="3"/>
      <c r="K79" s="3"/>
      <c r="L79" s="3"/>
      <c r="M79" s="3"/>
      <c r="N79" s="3"/>
      <c r="O79" s="3"/>
      <c r="P79" s="8"/>
      <c r="Q79" s="8"/>
      <c r="R79" s="3"/>
      <c r="S79" s="3"/>
      <c r="T79" s="3"/>
      <c r="U79" s="5" t="str">
        <f t="shared" si="4"/>
        <v/>
      </c>
    </row>
    <row r="80" spans="1:21" ht="28" customHeight="1" x14ac:dyDescent="0.35">
      <c r="A80" s="4">
        <v>15</v>
      </c>
      <c r="B80" s="4" t="s">
        <v>103</v>
      </c>
      <c r="C80" s="4" t="s">
        <v>104</v>
      </c>
      <c r="D80" s="4" t="s">
        <v>105</v>
      </c>
      <c r="E80" s="4" t="s">
        <v>69</v>
      </c>
      <c r="F80" s="4" t="s">
        <v>95</v>
      </c>
      <c r="G80" s="4" t="s">
        <v>96</v>
      </c>
      <c r="H80" s="4" t="s">
        <v>85</v>
      </c>
      <c r="I80" s="3"/>
      <c r="J80" s="3"/>
      <c r="K80" s="3"/>
      <c r="L80" s="3"/>
      <c r="M80" s="3"/>
      <c r="N80" s="3"/>
      <c r="O80" s="3"/>
      <c r="P80" s="8"/>
      <c r="Q80" s="8"/>
      <c r="R80" s="3"/>
      <c r="S80" s="3"/>
      <c r="T80" s="3"/>
      <c r="U80" s="5" t="str">
        <f t="shared" si="4"/>
        <v/>
      </c>
    </row>
    <row r="81" spans="1:21" ht="28" customHeight="1" x14ac:dyDescent="0.35">
      <c r="A81" s="4">
        <v>16</v>
      </c>
      <c r="B81" s="4" t="s">
        <v>106</v>
      </c>
      <c r="C81" s="4" t="s">
        <v>107</v>
      </c>
      <c r="D81" s="4" t="s">
        <v>108</v>
      </c>
      <c r="E81" s="4" t="s">
        <v>109</v>
      </c>
      <c r="F81" s="4" t="s">
        <v>95</v>
      </c>
      <c r="G81" s="4" t="s">
        <v>96</v>
      </c>
      <c r="H81" s="4" t="s">
        <v>59</v>
      </c>
      <c r="I81" s="3"/>
      <c r="J81" s="3"/>
      <c r="K81" s="3"/>
      <c r="L81" s="3"/>
      <c r="M81" s="3"/>
      <c r="N81" s="3"/>
      <c r="O81" s="3"/>
      <c r="P81" s="8"/>
      <c r="Q81" s="8"/>
      <c r="R81" s="3"/>
      <c r="S81" s="3"/>
      <c r="T81" s="3"/>
      <c r="U81" s="5" t="str">
        <f t="shared" si="4"/>
        <v/>
      </c>
    </row>
    <row r="83" spans="1:21" ht="28" customHeight="1" x14ac:dyDescent="0.35">
      <c r="A83" s="9" t="s">
        <v>110</v>
      </c>
      <c r="B83" s="16"/>
      <c r="C83" s="17"/>
      <c r="D83" s="17"/>
      <c r="E83" s="17"/>
      <c r="F83" s="17"/>
      <c r="G83" s="17"/>
      <c r="H83" s="17"/>
      <c r="I83" s="17"/>
      <c r="J83" s="17"/>
      <c r="K83" s="17"/>
      <c r="L83" s="17"/>
      <c r="M83" s="17"/>
      <c r="N83" s="17"/>
      <c r="O83" s="17"/>
      <c r="P83" s="17"/>
      <c r="Q83" s="17"/>
      <c r="R83" s="17"/>
      <c r="S83" s="17"/>
      <c r="T83" s="17"/>
      <c r="U83" s="18"/>
    </row>
    <row r="84" spans="1:21" ht="28" customHeight="1" x14ac:dyDescent="0.35">
      <c r="A84" s="19" t="s">
        <v>610</v>
      </c>
      <c r="B84" s="20"/>
      <c r="C84" s="20"/>
      <c r="D84" s="20"/>
      <c r="E84" s="20"/>
      <c r="F84" s="20"/>
      <c r="G84" s="20"/>
      <c r="H84" s="20"/>
      <c r="I84" s="20"/>
      <c r="J84" s="20"/>
      <c r="K84" s="20"/>
      <c r="L84" s="20"/>
      <c r="M84" s="20"/>
      <c r="N84" s="20"/>
      <c r="O84" s="20"/>
      <c r="P84" s="20"/>
      <c r="Q84" s="20"/>
      <c r="R84" s="20"/>
      <c r="S84" s="20"/>
      <c r="T84" s="20"/>
      <c r="U84" s="21"/>
    </row>
    <row r="85" spans="1:21" ht="28" customHeight="1" x14ac:dyDescent="0.35">
      <c r="A85" s="4" t="s">
        <v>31</v>
      </c>
      <c r="B85" s="3" t="s">
        <v>21</v>
      </c>
      <c r="C85" s="4" t="s">
        <v>32</v>
      </c>
      <c r="D85" s="3"/>
      <c r="E85" s="4" t="s">
        <v>33</v>
      </c>
      <c r="F85" s="8"/>
    </row>
    <row r="86" spans="1:21" ht="28" customHeight="1" x14ac:dyDescent="0.35">
      <c r="A86" s="1" t="s">
        <v>34</v>
      </c>
      <c r="B86" s="1" t="s">
        <v>35</v>
      </c>
      <c r="C86" s="1" t="s">
        <v>36</v>
      </c>
      <c r="D86" s="1" t="s">
        <v>37</v>
      </c>
      <c r="E86" s="1" t="s">
        <v>38</v>
      </c>
      <c r="F86" s="1" t="s">
        <v>39</v>
      </c>
      <c r="G86" s="1" t="s">
        <v>40</v>
      </c>
      <c r="H86" s="1" t="s">
        <v>41</v>
      </c>
      <c r="I86" s="1" t="s">
        <v>42</v>
      </c>
      <c r="J86" s="1" t="s">
        <v>43</v>
      </c>
      <c r="K86" s="1" t="s">
        <v>44</v>
      </c>
      <c r="L86" s="1" t="s">
        <v>45</v>
      </c>
      <c r="M86" s="1" t="s">
        <v>46</v>
      </c>
      <c r="N86" s="1" t="s">
        <v>47</v>
      </c>
      <c r="O86" s="1" t="s">
        <v>48</v>
      </c>
      <c r="P86" s="1" t="s">
        <v>4</v>
      </c>
      <c r="Q86" s="1" t="s">
        <v>49</v>
      </c>
      <c r="R86" s="1" t="s">
        <v>50</v>
      </c>
      <c r="S86" s="1" t="s">
        <v>51</v>
      </c>
      <c r="T86" s="1" t="s">
        <v>52</v>
      </c>
      <c r="U86" s="1" t="s">
        <v>10</v>
      </c>
    </row>
    <row r="87" spans="1:21" ht="28" customHeight="1" x14ac:dyDescent="0.35">
      <c r="A87" s="4">
        <v>1</v>
      </c>
      <c r="B87" s="4" t="s">
        <v>53</v>
      </c>
      <c r="C87" s="4" t="s">
        <v>600</v>
      </c>
      <c r="D87" s="4" t="s">
        <v>601</v>
      </c>
      <c r="E87" s="4" t="s">
        <v>56</v>
      </c>
      <c r="F87" s="4" t="s">
        <v>57</v>
      </c>
      <c r="G87" s="4" t="s">
        <v>58</v>
      </c>
      <c r="H87" s="4" t="s">
        <v>59</v>
      </c>
      <c r="I87" s="3"/>
      <c r="J87" s="3"/>
      <c r="K87" s="3"/>
      <c r="L87" s="3"/>
      <c r="M87" s="3"/>
      <c r="N87" s="3"/>
      <c r="O87" s="3"/>
      <c r="P87" s="8"/>
      <c r="Q87" s="8"/>
      <c r="R87" s="3"/>
      <c r="S87" s="3"/>
      <c r="T87" s="3"/>
      <c r="U87" s="5" t="str">
        <f t="shared" ref="U87:U102" si="5">IF(I87="","",IF(I87="NA","Grey",IF(I87=2,"Green",IF(I87=1,"Amber","Red"))))</f>
        <v/>
      </c>
    </row>
    <row r="88" spans="1:21" ht="28" customHeight="1" x14ac:dyDescent="0.35">
      <c r="A88" s="4">
        <v>2</v>
      </c>
      <c r="B88" s="4" t="s">
        <v>53</v>
      </c>
      <c r="C88" s="4" t="s">
        <v>602</v>
      </c>
      <c r="D88" s="4" t="s">
        <v>603</v>
      </c>
      <c r="E88" s="4" t="s">
        <v>56</v>
      </c>
      <c r="F88" s="4" t="s">
        <v>57</v>
      </c>
      <c r="G88" s="4" t="s">
        <v>58</v>
      </c>
      <c r="H88" s="4" t="s">
        <v>59</v>
      </c>
      <c r="I88" s="3"/>
      <c r="J88" s="3"/>
      <c r="K88" s="3"/>
      <c r="L88" s="3"/>
      <c r="M88" s="3"/>
      <c r="N88" s="3"/>
      <c r="O88" s="3"/>
      <c r="P88" s="8"/>
      <c r="Q88" s="8"/>
      <c r="R88" s="3"/>
      <c r="S88" s="3"/>
      <c r="T88" s="3"/>
      <c r="U88" s="5" t="str">
        <f t="shared" si="5"/>
        <v/>
      </c>
    </row>
    <row r="89" spans="1:21" ht="28" customHeight="1" x14ac:dyDescent="0.35">
      <c r="A89" s="4">
        <v>3</v>
      </c>
      <c r="B89" s="4" t="s">
        <v>53</v>
      </c>
      <c r="C89" s="4" t="s">
        <v>604</v>
      </c>
      <c r="D89" s="4" t="s">
        <v>605</v>
      </c>
      <c r="E89" s="4" t="s">
        <v>56</v>
      </c>
      <c r="F89" s="4" t="s">
        <v>57</v>
      </c>
      <c r="G89" s="4" t="s">
        <v>58</v>
      </c>
      <c r="H89" s="4" t="s">
        <v>59</v>
      </c>
      <c r="I89" s="3"/>
      <c r="J89" s="3"/>
      <c r="K89" s="3"/>
      <c r="L89" s="3"/>
      <c r="M89" s="3"/>
      <c r="N89" s="3"/>
      <c r="O89" s="3"/>
      <c r="P89" s="8"/>
      <c r="Q89" s="8"/>
      <c r="R89" s="3"/>
      <c r="S89" s="3"/>
      <c r="T89" s="3"/>
      <c r="U89" s="5" t="str">
        <f t="shared" si="5"/>
        <v/>
      </c>
    </row>
    <row r="90" spans="1:21" ht="28" customHeight="1" x14ac:dyDescent="0.35">
      <c r="A90" s="4">
        <v>4</v>
      </c>
      <c r="B90" s="4" t="s">
        <v>53</v>
      </c>
      <c r="C90" s="4" t="s">
        <v>606</v>
      </c>
      <c r="D90" s="4" t="s">
        <v>607</v>
      </c>
      <c r="E90" s="4" t="s">
        <v>56</v>
      </c>
      <c r="F90" s="4" t="s">
        <v>57</v>
      </c>
      <c r="G90" s="4" t="s">
        <v>58</v>
      </c>
      <c r="H90" s="4" t="s">
        <v>59</v>
      </c>
      <c r="I90" s="3"/>
      <c r="J90" s="3"/>
      <c r="K90" s="3"/>
      <c r="L90" s="3"/>
      <c r="M90" s="3"/>
      <c r="N90" s="3"/>
      <c r="O90" s="3"/>
      <c r="P90" s="8"/>
      <c r="Q90" s="8"/>
      <c r="R90" s="3"/>
      <c r="S90" s="3"/>
      <c r="T90" s="3"/>
      <c r="U90" s="5" t="str">
        <f t="shared" si="5"/>
        <v/>
      </c>
    </row>
    <row r="91" spans="1:21" ht="28" customHeight="1" x14ac:dyDescent="0.35">
      <c r="A91" s="4">
        <v>5</v>
      </c>
      <c r="B91" s="4" t="s">
        <v>66</v>
      </c>
      <c r="C91" s="4" t="s">
        <v>67</v>
      </c>
      <c r="D91" s="4" t="s">
        <v>68</v>
      </c>
      <c r="E91" s="4" t="s">
        <v>69</v>
      </c>
      <c r="F91" s="4" t="s">
        <v>57</v>
      </c>
      <c r="G91" s="4" t="s">
        <v>58</v>
      </c>
      <c r="H91" s="4" t="s">
        <v>59</v>
      </c>
      <c r="I91" s="3"/>
      <c r="J91" s="3"/>
      <c r="K91" s="3"/>
      <c r="L91" s="3"/>
      <c r="M91" s="3"/>
      <c r="N91" s="3"/>
      <c r="O91" s="3"/>
      <c r="P91" s="8"/>
      <c r="Q91" s="8"/>
      <c r="R91" s="3"/>
      <c r="S91" s="3"/>
      <c r="T91" s="3"/>
      <c r="U91" s="5" t="str">
        <f t="shared" si="5"/>
        <v/>
      </c>
    </row>
    <row r="92" spans="1:21" ht="28" customHeight="1" x14ac:dyDescent="0.35">
      <c r="A92" s="4">
        <v>6</v>
      </c>
      <c r="B92" s="4" t="s">
        <v>70</v>
      </c>
      <c r="C92" s="4" t="s">
        <v>71</v>
      </c>
      <c r="D92" s="4" t="s">
        <v>72</v>
      </c>
      <c r="E92" s="4" t="s">
        <v>70</v>
      </c>
      <c r="F92" s="4" t="s">
        <v>57</v>
      </c>
      <c r="G92" s="4" t="s">
        <v>58</v>
      </c>
      <c r="H92" s="4" t="s">
        <v>59</v>
      </c>
      <c r="I92" s="3"/>
      <c r="J92" s="3"/>
      <c r="K92" s="3"/>
      <c r="L92" s="3"/>
      <c r="M92" s="3"/>
      <c r="N92" s="3"/>
      <c r="O92" s="3"/>
      <c r="P92" s="8"/>
      <c r="Q92" s="8"/>
      <c r="R92" s="3"/>
      <c r="S92" s="3"/>
      <c r="T92" s="3"/>
      <c r="U92" s="5" t="str">
        <f t="shared" si="5"/>
        <v/>
      </c>
    </row>
    <row r="93" spans="1:21" ht="28" customHeight="1" x14ac:dyDescent="0.35">
      <c r="A93" s="4">
        <v>7</v>
      </c>
      <c r="B93" s="4" t="s">
        <v>73</v>
      </c>
      <c r="C93" s="4" t="s">
        <v>74</v>
      </c>
      <c r="D93" s="4" t="s">
        <v>75</v>
      </c>
      <c r="E93" s="4" t="s">
        <v>69</v>
      </c>
      <c r="F93" s="4" t="s">
        <v>57</v>
      </c>
      <c r="G93" s="4" t="s">
        <v>58</v>
      </c>
      <c r="H93" s="4" t="s">
        <v>76</v>
      </c>
      <c r="I93" s="3"/>
      <c r="J93" s="3"/>
      <c r="K93" s="3"/>
      <c r="L93" s="3"/>
      <c r="M93" s="3"/>
      <c r="N93" s="3"/>
      <c r="O93" s="3"/>
      <c r="P93" s="8"/>
      <c r="Q93" s="8"/>
      <c r="R93" s="3"/>
      <c r="S93" s="3"/>
      <c r="T93" s="3"/>
      <c r="U93" s="5" t="str">
        <f t="shared" si="5"/>
        <v/>
      </c>
    </row>
    <row r="94" spans="1:21" ht="28" customHeight="1" x14ac:dyDescent="0.35">
      <c r="A94" s="4">
        <v>8</v>
      </c>
      <c r="B94" s="4" t="s">
        <v>77</v>
      </c>
      <c r="C94" s="4" t="s">
        <v>78</v>
      </c>
      <c r="D94" s="4" t="s">
        <v>79</v>
      </c>
      <c r="E94" s="4" t="s">
        <v>80</v>
      </c>
      <c r="F94" s="4" t="s">
        <v>57</v>
      </c>
      <c r="G94" s="4" t="s">
        <v>58</v>
      </c>
      <c r="H94" s="4" t="s">
        <v>59</v>
      </c>
      <c r="I94" s="3"/>
      <c r="J94" s="3"/>
      <c r="K94" s="3"/>
      <c r="L94" s="3"/>
      <c r="M94" s="3"/>
      <c r="N94" s="3"/>
      <c r="O94" s="3"/>
      <c r="P94" s="8"/>
      <c r="Q94" s="8"/>
      <c r="R94" s="3"/>
      <c r="S94" s="3"/>
      <c r="T94" s="3"/>
      <c r="U94" s="5" t="str">
        <f t="shared" si="5"/>
        <v/>
      </c>
    </row>
    <row r="95" spans="1:21" ht="28" customHeight="1" x14ac:dyDescent="0.35">
      <c r="A95" s="4">
        <v>9</v>
      </c>
      <c r="B95" s="4" t="s">
        <v>81</v>
      </c>
      <c r="C95" s="4" t="s">
        <v>82</v>
      </c>
      <c r="D95" s="4" t="s">
        <v>83</v>
      </c>
      <c r="E95" s="4" t="s">
        <v>84</v>
      </c>
      <c r="F95" s="4" t="s">
        <v>57</v>
      </c>
      <c r="G95" s="4" t="s">
        <v>58</v>
      </c>
      <c r="H95" s="4" t="s">
        <v>85</v>
      </c>
      <c r="I95" s="3"/>
      <c r="J95" s="3"/>
      <c r="K95" s="3"/>
      <c r="L95" s="3"/>
      <c r="M95" s="3"/>
      <c r="N95" s="3"/>
      <c r="O95" s="3"/>
      <c r="P95" s="8"/>
      <c r="Q95" s="8"/>
      <c r="R95" s="3"/>
      <c r="S95" s="3"/>
      <c r="T95" s="3"/>
      <c r="U95" s="5" t="str">
        <f t="shared" si="5"/>
        <v/>
      </c>
    </row>
    <row r="96" spans="1:21" ht="28" customHeight="1" x14ac:dyDescent="0.35">
      <c r="A96" s="4">
        <v>10</v>
      </c>
      <c r="B96" s="4" t="s">
        <v>86</v>
      </c>
      <c r="C96" s="4" t="s">
        <v>87</v>
      </c>
      <c r="D96" s="4" t="s">
        <v>88</v>
      </c>
      <c r="E96" s="4" t="s">
        <v>69</v>
      </c>
      <c r="F96" s="4" t="s">
        <v>57</v>
      </c>
      <c r="G96" s="4" t="s">
        <v>58</v>
      </c>
      <c r="H96" s="4" t="s">
        <v>59</v>
      </c>
      <c r="I96" s="3"/>
      <c r="J96" s="3"/>
      <c r="K96" s="3"/>
      <c r="L96" s="3"/>
      <c r="M96" s="3"/>
      <c r="N96" s="3"/>
      <c r="O96" s="3"/>
      <c r="P96" s="8"/>
      <c r="Q96" s="8"/>
      <c r="R96" s="3"/>
      <c r="S96" s="3"/>
      <c r="T96" s="3"/>
      <c r="U96" s="5" t="str">
        <f t="shared" si="5"/>
        <v/>
      </c>
    </row>
    <row r="97" spans="1:21" ht="28" customHeight="1" x14ac:dyDescent="0.35">
      <c r="A97" s="4">
        <v>11</v>
      </c>
      <c r="B97" s="4" t="s">
        <v>89</v>
      </c>
      <c r="C97" s="4" t="s">
        <v>90</v>
      </c>
      <c r="D97" s="4" t="s">
        <v>91</v>
      </c>
      <c r="E97" s="4" t="s">
        <v>84</v>
      </c>
      <c r="F97" s="4" t="s">
        <v>57</v>
      </c>
      <c r="G97" s="4" t="s">
        <v>58</v>
      </c>
      <c r="H97" s="4" t="s">
        <v>59</v>
      </c>
      <c r="I97" s="3"/>
      <c r="J97" s="3"/>
      <c r="K97" s="3"/>
      <c r="L97" s="3"/>
      <c r="M97" s="3"/>
      <c r="N97" s="3"/>
      <c r="O97" s="3"/>
      <c r="P97" s="8"/>
      <c r="Q97" s="8"/>
      <c r="R97" s="3"/>
      <c r="S97" s="3"/>
      <c r="T97" s="3"/>
      <c r="U97" s="5" t="str">
        <f t="shared" si="5"/>
        <v/>
      </c>
    </row>
    <row r="98" spans="1:21" ht="28" customHeight="1" x14ac:dyDescent="0.35">
      <c r="A98" s="4">
        <v>12</v>
      </c>
      <c r="B98" s="4" t="s">
        <v>92</v>
      </c>
      <c r="C98" s="4" t="s">
        <v>93</v>
      </c>
      <c r="D98" s="4" t="s">
        <v>94</v>
      </c>
      <c r="E98" s="4" t="s">
        <v>69</v>
      </c>
      <c r="F98" s="4" t="s">
        <v>95</v>
      </c>
      <c r="G98" s="4" t="s">
        <v>96</v>
      </c>
      <c r="H98" s="4" t="s">
        <v>59</v>
      </c>
      <c r="I98" s="3"/>
      <c r="J98" s="3"/>
      <c r="K98" s="3"/>
      <c r="L98" s="3"/>
      <c r="M98" s="3"/>
      <c r="N98" s="3"/>
      <c r="O98" s="3"/>
      <c r="P98" s="8"/>
      <c r="Q98" s="8"/>
      <c r="R98" s="3"/>
      <c r="S98" s="3"/>
      <c r="T98" s="3"/>
      <c r="U98" s="5" t="str">
        <f t="shared" si="5"/>
        <v/>
      </c>
    </row>
    <row r="99" spans="1:21" ht="28" customHeight="1" x14ac:dyDescent="0.35">
      <c r="A99" s="4">
        <v>13</v>
      </c>
      <c r="B99" s="4" t="s">
        <v>97</v>
      </c>
      <c r="C99" s="4" t="s">
        <v>98</v>
      </c>
      <c r="D99" s="4" t="s">
        <v>99</v>
      </c>
      <c r="E99" s="4" t="s">
        <v>69</v>
      </c>
      <c r="F99" s="4" t="s">
        <v>95</v>
      </c>
      <c r="G99" s="4" t="s">
        <v>96</v>
      </c>
      <c r="H99" s="4" t="s">
        <v>59</v>
      </c>
      <c r="I99" s="3"/>
      <c r="J99" s="3"/>
      <c r="K99" s="3"/>
      <c r="L99" s="3"/>
      <c r="M99" s="3"/>
      <c r="N99" s="3"/>
      <c r="O99" s="3"/>
      <c r="P99" s="8"/>
      <c r="Q99" s="8"/>
      <c r="R99" s="3"/>
      <c r="S99" s="3"/>
      <c r="T99" s="3"/>
      <c r="U99" s="5" t="str">
        <f t="shared" si="5"/>
        <v/>
      </c>
    </row>
    <row r="100" spans="1:21" ht="28" customHeight="1" x14ac:dyDescent="0.35">
      <c r="A100" s="4">
        <v>14</v>
      </c>
      <c r="B100" s="4" t="s">
        <v>97</v>
      </c>
      <c r="C100" s="4" t="s">
        <v>100</v>
      </c>
      <c r="D100" s="4" t="s">
        <v>101</v>
      </c>
      <c r="E100" s="4" t="s">
        <v>69</v>
      </c>
      <c r="F100" s="4" t="s">
        <v>95</v>
      </c>
      <c r="G100" s="4" t="s">
        <v>102</v>
      </c>
      <c r="H100" s="4" t="s">
        <v>59</v>
      </c>
      <c r="I100" s="3"/>
      <c r="J100" s="3"/>
      <c r="K100" s="3"/>
      <c r="L100" s="3"/>
      <c r="M100" s="3"/>
      <c r="N100" s="3"/>
      <c r="O100" s="3"/>
      <c r="P100" s="8"/>
      <c r="Q100" s="8"/>
      <c r="R100" s="3"/>
      <c r="S100" s="3"/>
      <c r="T100" s="3"/>
      <c r="U100" s="5" t="str">
        <f t="shared" si="5"/>
        <v/>
      </c>
    </row>
    <row r="101" spans="1:21" ht="28" customHeight="1" x14ac:dyDescent="0.35">
      <c r="A101" s="4">
        <v>15</v>
      </c>
      <c r="B101" s="4" t="s">
        <v>103</v>
      </c>
      <c r="C101" s="4" t="s">
        <v>104</v>
      </c>
      <c r="D101" s="4" t="s">
        <v>105</v>
      </c>
      <c r="E101" s="4" t="s">
        <v>69</v>
      </c>
      <c r="F101" s="4" t="s">
        <v>95</v>
      </c>
      <c r="G101" s="4" t="s">
        <v>96</v>
      </c>
      <c r="H101" s="4" t="s">
        <v>85</v>
      </c>
      <c r="I101" s="3"/>
      <c r="J101" s="3"/>
      <c r="K101" s="3"/>
      <c r="L101" s="3"/>
      <c r="M101" s="3"/>
      <c r="N101" s="3"/>
      <c r="O101" s="3"/>
      <c r="P101" s="8"/>
      <c r="Q101" s="8"/>
      <c r="R101" s="3"/>
      <c r="S101" s="3"/>
      <c r="T101" s="3"/>
      <c r="U101" s="5" t="str">
        <f t="shared" si="5"/>
        <v/>
      </c>
    </row>
    <row r="102" spans="1:21" ht="28" customHeight="1" x14ac:dyDescent="0.35">
      <c r="A102" s="4">
        <v>16</v>
      </c>
      <c r="B102" s="4" t="s">
        <v>106</v>
      </c>
      <c r="C102" s="4" t="s">
        <v>107</v>
      </c>
      <c r="D102" s="4" t="s">
        <v>108</v>
      </c>
      <c r="E102" s="4" t="s">
        <v>109</v>
      </c>
      <c r="F102" s="4" t="s">
        <v>95</v>
      </c>
      <c r="G102" s="4" t="s">
        <v>96</v>
      </c>
      <c r="H102" s="4" t="s">
        <v>59</v>
      </c>
      <c r="I102" s="3"/>
      <c r="J102" s="3"/>
      <c r="K102" s="3"/>
      <c r="L102" s="3"/>
      <c r="M102" s="3"/>
      <c r="N102" s="3"/>
      <c r="O102" s="3"/>
      <c r="P102" s="8"/>
      <c r="Q102" s="8"/>
      <c r="R102" s="3"/>
      <c r="S102" s="3"/>
      <c r="T102" s="3"/>
      <c r="U102" s="5" t="str">
        <f t="shared" si="5"/>
        <v/>
      </c>
    </row>
    <row r="104" spans="1:21" ht="28" customHeight="1" x14ac:dyDescent="0.35">
      <c r="A104" s="9" t="s">
        <v>110</v>
      </c>
      <c r="B104" s="16"/>
      <c r="C104" s="17"/>
      <c r="D104" s="17"/>
      <c r="E104" s="17"/>
      <c r="F104" s="17"/>
      <c r="G104" s="17"/>
      <c r="H104" s="17"/>
      <c r="I104" s="17"/>
      <c r="J104" s="17"/>
      <c r="K104" s="17"/>
      <c r="L104" s="17"/>
      <c r="M104" s="17"/>
      <c r="N104" s="17"/>
      <c r="O104" s="17"/>
      <c r="P104" s="17"/>
      <c r="Q104" s="17"/>
      <c r="R104" s="17"/>
      <c r="S104" s="17"/>
      <c r="T104" s="17"/>
      <c r="U104" s="18"/>
    </row>
    <row r="105" spans="1:21" ht="28" customHeight="1" x14ac:dyDescent="0.35">
      <c r="A105" s="19" t="s">
        <v>611</v>
      </c>
      <c r="B105" s="20"/>
      <c r="C105" s="20"/>
      <c r="D105" s="20"/>
      <c r="E105" s="20"/>
      <c r="F105" s="20"/>
      <c r="G105" s="20"/>
      <c r="H105" s="20"/>
      <c r="I105" s="20"/>
      <c r="J105" s="20"/>
      <c r="K105" s="20"/>
      <c r="L105" s="20"/>
      <c r="M105" s="20"/>
      <c r="N105" s="20"/>
      <c r="O105" s="20"/>
      <c r="P105" s="20"/>
      <c r="Q105" s="20"/>
      <c r="R105" s="20"/>
      <c r="S105" s="20"/>
      <c r="T105" s="20"/>
      <c r="U105" s="21"/>
    </row>
    <row r="106" spans="1:21" ht="28" customHeight="1" x14ac:dyDescent="0.35">
      <c r="A106" s="4" t="s">
        <v>31</v>
      </c>
      <c r="B106" s="3" t="s">
        <v>22</v>
      </c>
      <c r="C106" s="4" t="s">
        <v>32</v>
      </c>
      <c r="D106" s="3"/>
      <c r="E106" s="4" t="s">
        <v>33</v>
      </c>
      <c r="F106" s="8"/>
    </row>
    <row r="107" spans="1:21" ht="28" customHeight="1" x14ac:dyDescent="0.35">
      <c r="A107" s="1" t="s">
        <v>34</v>
      </c>
      <c r="B107" s="1" t="s">
        <v>35</v>
      </c>
      <c r="C107" s="1" t="s">
        <v>36</v>
      </c>
      <c r="D107" s="1" t="s">
        <v>37</v>
      </c>
      <c r="E107" s="1" t="s">
        <v>38</v>
      </c>
      <c r="F107" s="1" t="s">
        <v>39</v>
      </c>
      <c r="G107" s="1" t="s">
        <v>40</v>
      </c>
      <c r="H107" s="1" t="s">
        <v>41</v>
      </c>
      <c r="I107" s="1" t="s">
        <v>42</v>
      </c>
      <c r="J107" s="1" t="s">
        <v>43</v>
      </c>
      <c r="K107" s="1" t="s">
        <v>44</v>
      </c>
      <c r="L107" s="1" t="s">
        <v>45</v>
      </c>
      <c r="M107" s="1" t="s">
        <v>46</v>
      </c>
      <c r="N107" s="1" t="s">
        <v>47</v>
      </c>
      <c r="O107" s="1" t="s">
        <v>48</v>
      </c>
      <c r="P107" s="1" t="s">
        <v>4</v>
      </c>
      <c r="Q107" s="1" t="s">
        <v>49</v>
      </c>
      <c r="R107" s="1" t="s">
        <v>50</v>
      </c>
      <c r="S107" s="1" t="s">
        <v>51</v>
      </c>
      <c r="T107" s="1" t="s">
        <v>52</v>
      </c>
      <c r="U107" s="1" t="s">
        <v>10</v>
      </c>
    </row>
    <row r="108" spans="1:21" ht="28" customHeight="1" x14ac:dyDescent="0.35">
      <c r="A108" s="4">
        <v>1</v>
      </c>
      <c r="B108" s="4" t="s">
        <v>53</v>
      </c>
      <c r="C108" s="4" t="s">
        <v>600</v>
      </c>
      <c r="D108" s="4" t="s">
        <v>601</v>
      </c>
      <c r="E108" s="4" t="s">
        <v>56</v>
      </c>
      <c r="F108" s="4" t="s">
        <v>57</v>
      </c>
      <c r="G108" s="4" t="s">
        <v>58</v>
      </c>
      <c r="H108" s="4" t="s">
        <v>59</v>
      </c>
      <c r="I108" s="3"/>
      <c r="J108" s="3"/>
      <c r="K108" s="3"/>
      <c r="L108" s="3"/>
      <c r="M108" s="3"/>
      <c r="N108" s="3"/>
      <c r="O108" s="3"/>
      <c r="P108" s="8"/>
      <c r="Q108" s="8"/>
      <c r="R108" s="3"/>
      <c r="S108" s="3"/>
      <c r="T108" s="3"/>
      <c r="U108" s="5" t="str">
        <f t="shared" ref="U108:U123" si="6">IF(I108="","",IF(I108="NA","Grey",IF(I108=2,"Green",IF(I108=1,"Amber","Red"))))</f>
        <v/>
      </c>
    </row>
    <row r="109" spans="1:21" ht="28" customHeight="1" x14ac:dyDescent="0.35">
      <c r="A109" s="4">
        <v>2</v>
      </c>
      <c r="B109" s="4" t="s">
        <v>53</v>
      </c>
      <c r="C109" s="4" t="s">
        <v>602</v>
      </c>
      <c r="D109" s="4" t="s">
        <v>603</v>
      </c>
      <c r="E109" s="4" t="s">
        <v>56</v>
      </c>
      <c r="F109" s="4" t="s">
        <v>57</v>
      </c>
      <c r="G109" s="4" t="s">
        <v>58</v>
      </c>
      <c r="H109" s="4" t="s">
        <v>59</v>
      </c>
      <c r="I109" s="3"/>
      <c r="J109" s="3"/>
      <c r="K109" s="3"/>
      <c r="L109" s="3"/>
      <c r="M109" s="3"/>
      <c r="N109" s="3"/>
      <c r="O109" s="3"/>
      <c r="P109" s="8"/>
      <c r="Q109" s="8"/>
      <c r="R109" s="3"/>
      <c r="S109" s="3"/>
      <c r="T109" s="3"/>
      <c r="U109" s="5" t="str">
        <f t="shared" si="6"/>
        <v/>
      </c>
    </row>
    <row r="110" spans="1:21" ht="28" customHeight="1" x14ac:dyDescent="0.35">
      <c r="A110" s="4">
        <v>3</v>
      </c>
      <c r="B110" s="4" t="s">
        <v>53</v>
      </c>
      <c r="C110" s="4" t="s">
        <v>604</v>
      </c>
      <c r="D110" s="4" t="s">
        <v>605</v>
      </c>
      <c r="E110" s="4" t="s">
        <v>56</v>
      </c>
      <c r="F110" s="4" t="s">
        <v>57</v>
      </c>
      <c r="G110" s="4" t="s">
        <v>58</v>
      </c>
      <c r="H110" s="4" t="s">
        <v>59</v>
      </c>
      <c r="I110" s="3"/>
      <c r="J110" s="3"/>
      <c r="K110" s="3"/>
      <c r="L110" s="3"/>
      <c r="M110" s="3"/>
      <c r="N110" s="3"/>
      <c r="O110" s="3"/>
      <c r="P110" s="8"/>
      <c r="Q110" s="8"/>
      <c r="R110" s="3"/>
      <c r="S110" s="3"/>
      <c r="T110" s="3"/>
      <c r="U110" s="5" t="str">
        <f t="shared" si="6"/>
        <v/>
      </c>
    </row>
    <row r="111" spans="1:21" ht="28" customHeight="1" x14ac:dyDescent="0.35">
      <c r="A111" s="4">
        <v>4</v>
      </c>
      <c r="B111" s="4" t="s">
        <v>53</v>
      </c>
      <c r="C111" s="4" t="s">
        <v>606</v>
      </c>
      <c r="D111" s="4" t="s">
        <v>607</v>
      </c>
      <c r="E111" s="4" t="s">
        <v>56</v>
      </c>
      <c r="F111" s="4" t="s">
        <v>57</v>
      </c>
      <c r="G111" s="4" t="s">
        <v>58</v>
      </c>
      <c r="H111" s="4" t="s">
        <v>59</v>
      </c>
      <c r="I111" s="3"/>
      <c r="J111" s="3"/>
      <c r="K111" s="3"/>
      <c r="L111" s="3"/>
      <c r="M111" s="3"/>
      <c r="N111" s="3"/>
      <c r="O111" s="3"/>
      <c r="P111" s="8"/>
      <c r="Q111" s="8"/>
      <c r="R111" s="3"/>
      <c r="S111" s="3"/>
      <c r="T111" s="3"/>
      <c r="U111" s="5" t="str">
        <f t="shared" si="6"/>
        <v/>
      </c>
    </row>
    <row r="112" spans="1:21" ht="28" customHeight="1" x14ac:dyDescent="0.35">
      <c r="A112" s="4">
        <v>5</v>
      </c>
      <c r="B112" s="4" t="s">
        <v>66</v>
      </c>
      <c r="C112" s="4" t="s">
        <v>67</v>
      </c>
      <c r="D112" s="4" t="s">
        <v>68</v>
      </c>
      <c r="E112" s="4" t="s">
        <v>69</v>
      </c>
      <c r="F112" s="4" t="s">
        <v>57</v>
      </c>
      <c r="G112" s="4" t="s">
        <v>58</v>
      </c>
      <c r="H112" s="4" t="s">
        <v>59</v>
      </c>
      <c r="I112" s="3"/>
      <c r="J112" s="3"/>
      <c r="K112" s="3"/>
      <c r="L112" s="3"/>
      <c r="M112" s="3"/>
      <c r="N112" s="3"/>
      <c r="O112" s="3"/>
      <c r="P112" s="8"/>
      <c r="Q112" s="8"/>
      <c r="R112" s="3"/>
      <c r="S112" s="3"/>
      <c r="T112" s="3"/>
      <c r="U112" s="5" t="str">
        <f t="shared" si="6"/>
        <v/>
      </c>
    </row>
    <row r="113" spans="1:21" ht="28" customHeight="1" x14ac:dyDescent="0.35">
      <c r="A113" s="4">
        <v>6</v>
      </c>
      <c r="B113" s="4" t="s">
        <v>70</v>
      </c>
      <c r="C113" s="4" t="s">
        <v>71</v>
      </c>
      <c r="D113" s="4" t="s">
        <v>72</v>
      </c>
      <c r="E113" s="4" t="s">
        <v>70</v>
      </c>
      <c r="F113" s="4" t="s">
        <v>57</v>
      </c>
      <c r="G113" s="4" t="s">
        <v>58</v>
      </c>
      <c r="H113" s="4" t="s">
        <v>59</v>
      </c>
      <c r="I113" s="3"/>
      <c r="J113" s="3"/>
      <c r="K113" s="3"/>
      <c r="L113" s="3"/>
      <c r="M113" s="3"/>
      <c r="N113" s="3"/>
      <c r="O113" s="3"/>
      <c r="P113" s="8"/>
      <c r="Q113" s="8"/>
      <c r="R113" s="3"/>
      <c r="S113" s="3"/>
      <c r="T113" s="3"/>
      <c r="U113" s="5" t="str">
        <f t="shared" si="6"/>
        <v/>
      </c>
    </row>
    <row r="114" spans="1:21" ht="28" customHeight="1" x14ac:dyDescent="0.35">
      <c r="A114" s="4">
        <v>7</v>
      </c>
      <c r="B114" s="4" t="s">
        <v>73</v>
      </c>
      <c r="C114" s="4" t="s">
        <v>74</v>
      </c>
      <c r="D114" s="4" t="s">
        <v>75</v>
      </c>
      <c r="E114" s="4" t="s">
        <v>69</v>
      </c>
      <c r="F114" s="4" t="s">
        <v>57</v>
      </c>
      <c r="G114" s="4" t="s">
        <v>58</v>
      </c>
      <c r="H114" s="4" t="s">
        <v>76</v>
      </c>
      <c r="I114" s="3"/>
      <c r="J114" s="3"/>
      <c r="K114" s="3"/>
      <c r="L114" s="3"/>
      <c r="M114" s="3"/>
      <c r="N114" s="3"/>
      <c r="O114" s="3"/>
      <c r="P114" s="8"/>
      <c r="Q114" s="8"/>
      <c r="R114" s="3"/>
      <c r="S114" s="3"/>
      <c r="T114" s="3"/>
      <c r="U114" s="5" t="str">
        <f t="shared" si="6"/>
        <v/>
      </c>
    </row>
    <row r="115" spans="1:21" ht="28" customHeight="1" x14ac:dyDescent="0.35">
      <c r="A115" s="4">
        <v>8</v>
      </c>
      <c r="B115" s="4" t="s">
        <v>77</v>
      </c>
      <c r="C115" s="4" t="s">
        <v>78</v>
      </c>
      <c r="D115" s="4" t="s">
        <v>79</v>
      </c>
      <c r="E115" s="4" t="s">
        <v>80</v>
      </c>
      <c r="F115" s="4" t="s">
        <v>57</v>
      </c>
      <c r="G115" s="4" t="s">
        <v>58</v>
      </c>
      <c r="H115" s="4" t="s">
        <v>59</v>
      </c>
      <c r="I115" s="3"/>
      <c r="J115" s="3"/>
      <c r="K115" s="3"/>
      <c r="L115" s="3"/>
      <c r="M115" s="3"/>
      <c r="N115" s="3"/>
      <c r="O115" s="3"/>
      <c r="P115" s="8"/>
      <c r="Q115" s="8"/>
      <c r="R115" s="3"/>
      <c r="S115" s="3"/>
      <c r="T115" s="3"/>
      <c r="U115" s="5" t="str">
        <f t="shared" si="6"/>
        <v/>
      </c>
    </row>
    <row r="116" spans="1:21" ht="28" customHeight="1" x14ac:dyDescent="0.35">
      <c r="A116" s="4">
        <v>9</v>
      </c>
      <c r="B116" s="4" t="s">
        <v>81</v>
      </c>
      <c r="C116" s="4" t="s">
        <v>82</v>
      </c>
      <c r="D116" s="4" t="s">
        <v>83</v>
      </c>
      <c r="E116" s="4" t="s">
        <v>84</v>
      </c>
      <c r="F116" s="4" t="s">
        <v>57</v>
      </c>
      <c r="G116" s="4" t="s">
        <v>58</v>
      </c>
      <c r="H116" s="4" t="s">
        <v>85</v>
      </c>
      <c r="I116" s="3"/>
      <c r="J116" s="3"/>
      <c r="K116" s="3"/>
      <c r="L116" s="3"/>
      <c r="M116" s="3"/>
      <c r="N116" s="3"/>
      <c r="O116" s="3"/>
      <c r="P116" s="8"/>
      <c r="Q116" s="8"/>
      <c r="R116" s="3"/>
      <c r="S116" s="3"/>
      <c r="T116" s="3"/>
      <c r="U116" s="5" t="str">
        <f t="shared" si="6"/>
        <v/>
      </c>
    </row>
    <row r="117" spans="1:21" ht="28" customHeight="1" x14ac:dyDescent="0.35">
      <c r="A117" s="4">
        <v>10</v>
      </c>
      <c r="B117" s="4" t="s">
        <v>86</v>
      </c>
      <c r="C117" s="4" t="s">
        <v>87</v>
      </c>
      <c r="D117" s="4" t="s">
        <v>88</v>
      </c>
      <c r="E117" s="4" t="s">
        <v>69</v>
      </c>
      <c r="F117" s="4" t="s">
        <v>57</v>
      </c>
      <c r="G117" s="4" t="s">
        <v>58</v>
      </c>
      <c r="H117" s="4" t="s">
        <v>59</v>
      </c>
      <c r="I117" s="3"/>
      <c r="J117" s="3"/>
      <c r="K117" s="3"/>
      <c r="L117" s="3"/>
      <c r="M117" s="3"/>
      <c r="N117" s="3"/>
      <c r="O117" s="3"/>
      <c r="P117" s="8"/>
      <c r="Q117" s="8"/>
      <c r="R117" s="3"/>
      <c r="S117" s="3"/>
      <c r="T117" s="3"/>
      <c r="U117" s="5" t="str">
        <f t="shared" si="6"/>
        <v/>
      </c>
    </row>
    <row r="118" spans="1:21" ht="28" customHeight="1" x14ac:dyDescent="0.35">
      <c r="A118" s="4">
        <v>11</v>
      </c>
      <c r="B118" s="4" t="s">
        <v>89</v>
      </c>
      <c r="C118" s="4" t="s">
        <v>90</v>
      </c>
      <c r="D118" s="4" t="s">
        <v>91</v>
      </c>
      <c r="E118" s="4" t="s">
        <v>84</v>
      </c>
      <c r="F118" s="4" t="s">
        <v>57</v>
      </c>
      <c r="G118" s="4" t="s">
        <v>58</v>
      </c>
      <c r="H118" s="4" t="s">
        <v>59</v>
      </c>
      <c r="I118" s="3"/>
      <c r="J118" s="3"/>
      <c r="K118" s="3"/>
      <c r="L118" s="3"/>
      <c r="M118" s="3"/>
      <c r="N118" s="3"/>
      <c r="O118" s="3"/>
      <c r="P118" s="8"/>
      <c r="Q118" s="8"/>
      <c r="R118" s="3"/>
      <c r="S118" s="3"/>
      <c r="T118" s="3"/>
      <c r="U118" s="5" t="str">
        <f t="shared" si="6"/>
        <v/>
      </c>
    </row>
    <row r="119" spans="1:21" ht="28" customHeight="1" x14ac:dyDescent="0.35">
      <c r="A119" s="4">
        <v>12</v>
      </c>
      <c r="B119" s="4" t="s">
        <v>92</v>
      </c>
      <c r="C119" s="4" t="s">
        <v>93</v>
      </c>
      <c r="D119" s="4" t="s">
        <v>94</v>
      </c>
      <c r="E119" s="4" t="s">
        <v>69</v>
      </c>
      <c r="F119" s="4" t="s">
        <v>95</v>
      </c>
      <c r="G119" s="4" t="s">
        <v>96</v>
      </c>
      <c r="H119" s="4" t="s">
        <v>59</v>
      </c>
      <c r="I119" s="3"/>
      <c r="J119" s="3"/>
      <c r="K119" s="3"/>
      <c r="L119" s="3"/>
      <c r="M119" s="3"/>
      <c r="N119" s="3"/>
      <c r="O119" s="3"/>
      <c r="P119" s="8"/>
      <c r="Q119" s="8"/>
      <c r="R119" s="3"/>
      <c r="S119" s="3"/>
      <c r="T119" s="3"/>
      <c r="U119" s="5" t="str">
        <f t="shared" si="6"/>
        <v/>
      </c>
    </row>
    <row r="120" spans="1:21" ht="28" customHeight="1" x14ac:dyDescent="0.35">
      <c r="A120" s="4">
        <v>13</v>
      </c>
      <c r="B120" s="4" t="s">
        <v>97</v>
      </c>
      <c r="C120" s="4" t="s">
        <v>98</v>
      </c>
      <c r="D120" s="4" t="s">
        <v>99</v>
      </c>
      <c r="E120" s="4" t="s">
        <v>69</v>
      </c>
      <c r="F120" s="4" t="s">
        <v>95</v>
      </c>
      <c r="G120" s="4" t="s">
        <v>96</v>
      </c>
      <c r="H120" s="4" t="s">
        <v>59</v>
      </c>
      <c r="I120" s="3"/>
      <c r="J120" s="3"/>
      <c r="K120" s="3"/>
      <c r="L120" s="3"/>
      <c r="M120" s="3"/>
      <c r="N120" s="3"/>
      <c r="O120" s="3"/>
      <c r="P120" s="8"/>
      <c r="Q120" s="8"/>
      <c r="R120" s="3"/>
      <c r="S120" s="3"/>
      <c r="T120" s="3"/>
      <c r="U120" s="5" t="str">
        <f t="shared" si="6"/>
        <v/>
      </c>
    </row>
    <row r="121" spans="1:21" ht="28" customHeight="1" x14ac:dyDescent="0.35">
      <c r="A121" s="4">
        <v>14</v>
      </c>
      <c r="B121" s="4" t="s">
        <v>97</v>
      </c>
      <c r="C121" s="4" t="s">
        <v>100</v>
      </c>
      <c r="D121" s="4" t="s">
        <v>101</v>
      </c>
      <c r="E121" s="4" t="s">
        <v>69</v>
      </c>
      <c r="F121" s="4" t="s">
        <v>95</v>
      </c>
      <c r="G121" s="4" t="s">
        <v>102</v>
      </c>
      <c r="H121" s="4" t="s">
        <v>59</v>
      </c>
      <c r="I121" s="3"/>
      <c r="J121" s="3"/>
      <c r="K121" s="3"/>
      <c r="L121" s="3"/>
      <c r="M121" s="3"/>
      <c r="N121" s="3"/>
      <c r="O121" s="3"/>
      <c r="P121" s="8"/>
      <c r="Q121" s="8"/>
      <c r="R121" s="3"/>
      <c r="S121" s="3"/>
      <c r="T121" s="3"/>
      <c r="U121" s="5" t="str">
        <f t="shared" si="6"/>
        <v/>
      </c>
    </row>
    <row r="122" spans="1:21" ht="28" customHeight="1" x14ac:dyDescent="0.35">
      <c r="A122" s="4">
        <v>15</v>
      </c>
      <c r="B122" s="4" t="s">
        <v>103</v>
      </c>
      <c r="C122" s="4" t="s">
        <v>104</v>
      </c>
      <c r="D122" s="4" t="s">
        <v>105</v>
      </c>
      <c r="E122" s="4" t="s">
        <v>69</v>
      </c>
      <c r="F122" s="4" t="s">
        <v>95</v>
      </c>
      <c r="G122" s="4" t="s">
        <v>96</v>
      </c>
      <c r="H122" s="4" t="s">
        <v>85</v>
      </c>
      <c r="I122" s="3"/>
      <c r="J122" s="3"/>
      <c r="K122" s="3"/>
      <c r="L122" s="3"/>
      <c r="M122" s="3"/>
      <c r="N122" s="3"/>
      <c r="O122" s="3"/>
      <c r="P122" s="8"/>
      <c r="Q122" s="8"/>
      <c r="R122" s="3"/>
      <c r="S122" s="3"/>
      <c r="T122" s="3"/>
      <c r="U122" s="5" t="str">
        <f t="shared" si="6"/>
        <v/>
      </c>
    </row>
    <row r="123" spans="1:21" ht="28" customHeight="1" x14ac:dyDescent="0.35">
      <c r="A123" s="4">
        <v>16</v>
      </c>
      <c r="B123" s="4" t="s">
        <v>106</v>
      </c>
      <c r="C123" s="4" t="s">
        <v>107</v>
      </c>
      <c r="D123" s="4" t="s">
        <v>108</v>
      </c>
      <c r="E123" s="4" t="s">
        <v>109</v>
      </c>
      <c r="F123" s="4" t="s">
        <v>95</v>
      </c>
      <c r="G123" s="4" t="s">
        <v>96</v>
      </c>
      <c r="H123" s="4" t="s">
        <v>59</v>
      </c>
      <c r="I123" s="3"/>
      <c r="J123" s="3"/>
      <c r="K123" s="3"/>
      <c r="L123" s="3"/>
      <c r="M123" s="3"/>
      <c r="N123" s="3"/>
      <c r="O123" s="3"/>
      <c r="P123" s="8"/>
      <c r="Q123" s="8"/>
      <c r="R123" s="3"/>
      <c r="S123" s="3"/>
      <c r="T123" s="3"/>
      <c r="U123" s="5" t="str">
        <f t="shared" si="6"/>
        <v/>
      </c>
    </row>
    <row r="125" spans="1:21" ht="28" customHeight="1" x14ac:dyDescent="0.35">
      <c r="A125" s="9" t="s">
        <v>110</v>
      </c>
      <c r="B125" s="16"/>
      <c r="C125" s="17"/>
      <c r="D125" s="17"/>
      <c r="E125" s="17"/>
      <c r="F125" s="17"/>
      <c r="G125" s="17"/>
      <c r="H125" s="17"/>
      <c r="I125" s="17"/>
      <c r="J125" s="17"/>
      <c r="K125" s="17"/>
      <c r="L125" s="17"/>
      <c r="M125" s="17"/>
      <c r="N125" s="17"/>
      <c r="O125" s="17"/>
      <c r="P125" s="17"/>
      <c r="Q125" s="17"/>
      <c r="R125" s="17"/>
      <c r="S125" s="17"/>
      <c r="T125" s="17"/>
      <c r="U125" s="18"/>
    </row>
    <row r="126" spans="1:21" ht="28" customHeight="1" x14ac:dyDescent="0.35">
      <c r="A126" s="19" t="s">
        <v>612</v>
      </c>
      <c r="B126" s="20"/>
      <c r="C126" s="20"/>
      <c r="D126" s="20"/>
      <c r="E126" s="20"/>
      <c r="F126" s="20"/>
      <c r="G126" s="20"/>
      <c r="H126" s="20"/>
      <c r="I126" s="20"/>
      <c r="J126" s="20"/>
      <c r="K126" s="20"/>
      <c r="L126" s="20"/>
      <c r="M126" s="20"/>
      <c r="N126" s="20"/>
      <c r="O126" s="20"/>
      <c r="P126" s="20"/>
      <c r="Q126" s="20"/>
      <c r="R126" s="20"/>
      <c r="S126" s="20"/>
      <c r="T126" s="20"/>
      <c r="U126" s="21"/>
    </row>
    <row r="127" spans="1:21" ht="28" customHeight="1" x14ac:dyDescent="0.35">
      <c r="A127" s="4" t="s">
        <v>31</v>
      </c>
      <c r="B127" s="3" t="s">
        <v>23</v>
      </c>
      <c r="C127" s="4" t="s">
        <v>32</v>
      </c>
      <c r="D127" s="3"/>
      <c r="E127" s="4" t="s">
        <v>33</v>
      </c>
      <c r="F127" s="8"/>
    </row>
    <row r="128" spans="1:21" ht="28" customHeight="1" x14ac:dyDescent="0.35">
      <c r="A128" s="1" t="s">
        <v>34</v>
      </c>
      <c r="B128" s="1" t="s">
        <v>35</v>
      </c>
      <c r="C128" s="1" t="s">
        <v>36</v>
      </c>
      <c r="D128" s="1" t="s">
        <v>37</v>
      </c>
      <c r="E128" s="1" t="s">
        <v>38</v>
      </c>
      <c r="F128" s="1" t="s">
        <v>39</v>
      </c>
      <c r="G128" s="1" t="s">
        <v>40</v>
      </c>
      <c r="H128" s="1" t="s">
        <v>41</v>
      </c>
      <c r="I128" s="1" t="s">
        <v>42</v>
      </c>
      <c r="J128" s="1" t="s">
        <v>43</v>
      </c>
      <c r="K128" s="1" t="s">
        <v>44</v>
      </c>
      <c r="L128" s="1" t="s">
        <v>45</v>
      </c>
      <c r="M128" s="1" t="s">
        <v>46</v>
      </c>
      <c r="N128" s="1" t="s">
        <v>47</v>
      </c>
      <c r="O128" s="1" t="s">
        <v>48</v>
      </c>
      <c r="P128" s="1" t="s">
        <v>4</v>
      </c>
      <c r="Q128" s="1" t="s">
        <v>49</v>
      </c>
      <c r="R128" s="1" t="s">
        <v>50</v>
      </c>
      <c r="S128" s="1" t="s">
        <v>51</v>
      </c>
      <c r="T128" s="1" t="s">
        <v>52</v>
      </c>
      <c r="U128" s="1" t="s">
        <v>10</v>
      </c>
    </row>
    <row r="129" spans="1:21" ht="28" customHeight="1" x14ac:dyDescent="0.35">
      <c r="A129" s="4">
        <v>1</v>
      </c>
      <c r="B129" s="4" t="s">
        <v>53</v>
      </c>
      <c r="C129" s="4" t="s">
        <v>600</v>
      </c>
      <c r="D129" s="4" t="s">
        <v>601</v>
      </c>
      <c r="E129" s="4" t="s">
        <v>56</v>
      </c>
      <c r="F129" s="4" t="s">
        <v>57</v>
      </c>
      <c r="G129" s="4" t="s">
        <v>58</v>
      </c>
      <c r="H129" s="4" t="s">
        <v>59</v>
      </c>
      <c r="I129" s="3"/>
      <c r="J129" s="3"/>
      <c r="K129" s="3"/>
      <c r="L129" s="3"/>
      <c r="M129" s="3"/>
      <c r="N129" s="3"/>
      <c r="O129" s="3"/>
      <c r="P129" s="8"/>
      <c r="Q129" s="8"/>
      <c r="R129" s="3"/>
      <c r="S129" s="3"/>
      <c r="T129" s="3"/>
      <c r="U129" s="5" t="str">
        <f t="shared" ref="U129:U144" si="7">IF(I129="","",IF(I129="NA","Grey",IF(I129=2,"Green",IF(I129=1,"Amber","Red"))))</f>
        <v/>
      </c>
    </row>
    <row r="130" spans="1:21" ht="28" customHeight="1" x14ac:dyDescent="0.35">
      <c r="A130" s="4">
        <v>2</v>
      </c>
      <c r="B130" s="4" t="s">
        <v>53</v>
      </c>
      <c r="C130" s="4" t="s">
        <v>602</v>
      </c>
      <c r="D130" s="4" t="s">
        <v>603</v>
      </c>
      <c r="E130" s="4" t="s">
        <v>56</v>
      </c>
      <c r="F130" s="4" t="s">
        <v>57</v>
      </c>
      <c r="G130" s="4" t="s">
        <v>58</v>
      </c>
      <c r="H130" s="4" t="s">
        <v>59</v>
      </c>
      <c r="I130" s="3"/>
      <c r="J130" s="3"/>
      <c r="K130" s="3"/>
      <c r="L130" s="3"/>
      <c r="M130" s="3"/>
      <c r="N130" s="3"/>
      <c r="O130" s="3"/>
      <c r="P130" s="8"/>
      <c r="Q130" s="8"/>
      <c r="R130" s="3"/>
      <c r="S130" s="3"/>
      <c r="T130" s="3"/>
      <c r="U130" s="5" t="str">
        <f t="shared" si="7"/>
        <v/>
      </c>
    </row>
    <row r="131" spans="1:21" ht="28" customHeight="1" x14ac:dyDescent="0.35">
      <c r="A131" s="4">
        <v>3</v>
      </c>
      <c r="B131" s="4" t="s">
        <v>53</v>
      </c>
      <c r="C131" s="4" t="s">
        <v>604</v>
      </c>
      <c r="D131" s="4" t="s">
        <v>605</v>
      </c>
      <c r="E131" s="4" t="s">
        <v>56</v>
      </c>
      <c r="F131" s="4" t="s">
        <v>57</v>
      </c>
      <c r="G131" s="4" t="s">
        <v>58</v>
      </c>
      <c r="H131" s="4" t="s">
        <v>59</v>
      </c>
      <c r="I131" s="3"/>
      <c r="J131" s="3"/>
      <c r="K131" s="3"/>
      <c r="L131" s="3"/>
      <c r="M131" s="3"/>
      <c r="N131" s="3"/>
      <c r="O131" s="3"/>
      <c r="P131" s="8"/>
      <c r="Q131" s="8"/>
      <c r="R131" s="3"/>
      <c r="S131" s="3"/>
      <c r="T131" s="3"/>
      <c r="U131" s="5" t="str">
        <f t="shared" si="7"/>
        <v/>
      </c>
    </row>
    <row r="132" spans="1:21" ht="28" customHeight="1" x14ac:dyDescent="0.35">
      <c r="A132" s="4">
        <v>4</v>
      </c>
      <c r="B132" s="4" t="s">
        <v>53</v>
      </c>
      <c r="C132" s="4" t="s">
        <v>606</v>
      </c>
      <c r="D132" s="4" t="s">
        <v>607</v>
      </c>
      <c r="E132" s="4" t="s">
        <v>56</v>
      </c>
      <c r="F132" s="4" t="s">
        <v>57</v>
      </c>
      <c r="G132" s="4" t="s">
        <v>58</v>
      </c>
      <c r="H132" s="4" t="s">
        <v>59</v>
      </c>
      <c r="I132" s="3"/>
      <c r="J132" s="3"/>
      <c r="K132" s="3"/>
      <c r="L132" s="3"/>
      <c r="M132" s="3"/>
      <c r="N132" s="3"/>
      <c r="O132" s="3"/>
      <c r="P132" s="8"/>
      <c r="Q132" s="8"/>
      <c r="R132" s="3"/>
      <c r="S132" s="3"/>
      <c r="T132" s="3"/>
      <c r="U132" s="5" t="str">
        <f t="shared" si="7"/>
        <v/>
      </c>
    </row>
    <row r="133" spans="1:21" ht="28" customHeight="1" x14ac:dyDescent="0.35">
      <c r="A133" s="4">
        <v>5</v>
      </c>
      <c r="B133" s="4" t="s">
        <v>66</v>
      </c>
      <c r="C133" s="4" t="s">
        <v>67</v>
      </c>
      <c r="D133" s="4" t="s">
        <v>68</v>
      </c>
      <c r="E133" s="4" t="s">
        <v>69</v>
      </c>
      <c r="F133" s="4" t="s">
        <v>57</v>
      </c>
      <c r="G133" s="4" t="s">
        <v>58</v>
      </c>
      <c r="H133" s="4" t="s">
        <v>59</v>
      </c>
      <c r="I133" s="3"/>
      <c r="J133" s="3"/>
      <c r="K133" s="3"/>
      <c r="L133" s="3"/>
      <c r="M133" s="3"/>
      <c r="N133" s="3"/>
      <c r="O133" s="3"/>
      <c r="P133" s="8"/>
      <c r="Q133" s="8"/>
      <c r="R133" s="3"/>
      <c r="S133" s="3"/>
      <c r="T133" s="3"/>
      <c r="U133" s="5" t="str">
        <f t="shared" si="7"/>
        <v/>
      </c>
    </row>
    <row r="134" spans="1:21" ht="28" customHeight="1" x14ac:dyDescent="0.35">
      <c r="A134" s="4">
        <v>6</v>
      </c>
      <c r="B134" s="4" t="s">
        <v>70</v>
      </c>
      <c r="C134" s="4" t="s">
        <v>71</v>
      </c>
      <c r="D134" s="4" t="s">
        <v>72</v>
      </c>
      <c r="E134" s="4" t="s">
        <v>70</v>
      </c>
      <c r="F134" s="4" t="s">
        <v>57</v>
      </c>
      <c r="G134" s="4" t="s">
        <v>58</v>
      </c>
      <c r="H134" s="4" t="s">
        <v>59</v>
      </c>
      <c r="I134" s="3"/>
      <c r="J134" s="3"/>
      <c r="K134" s="3"/>
      <c r="L134" s="3"/>
      <c r="M134" s="3"/>
      <c r="N134" s="3"/>
      <c r="O134" s="3"/>
      <c r="P134" s="8"/>
      <c r="Q134" s="8"/>
      <c r="R134" s="3"/>
      <c r="S134" s="3"/>
      <c r="T134" s="3"/>
      <c r="U134" s="5" t="str">
        <f t="shared" si="7"/>
        <v/>
      </c>
    </row>
    <row r="135" spans="1:21" ht="28" customHeight="1" x14ac:dyDescent="0.35">
      <c r="A135" s="4">
        <v>7</v>
      </c>
      <c r="B135" s="4" t="s">
        <v>73</v>
      </c>
      <c r="C135" s="4" t="s">
        <v>74</v>
      </c>
      <c r="D135" s="4" t="s">
        <v>75</v>
      </c>
      <c r="E135" s="4" t="s">
        <v>69</v>
      </c>
      <c r="F135" s="4" t="s">
        <v>57</v>
      </c>
      <c r="G135" s="4" t="s">
        <v>58</v>
      </c>
      <c r="H135" s="4" t="s">
        <v>76</v>
      </c>
      <c r="I135" s="3"/>
      <c r="J135" s="3"/>
      <c r="K135" s="3"/>
      <c r="L135" s="3"/>
      <c r="M135" s="3"/>
      <c r="N135" s="3"/>
      <c r="O135" s="3"/>
      <c r="P135" s="8"/>
      <c r="Q135" s="8"/>
      <c r="R135" s="3"/>
      <c r="S135" s="3"/>
      <c r="T135" s="3"/>
      <c r="U135" s="5" t="str">
        <f t="shared" si="7"/>
        <v/>
      </c>
    </row>
    <row r="136" spans="1:21" ht="28" customHeight="1" x14ac:dyDescent="0.35">
      <c r="A136" s="4">
        <v>8</v>
      </c>
      <c r="B136" s="4" t="s">
        <v>77</v>
      </c>
      <c r="C136" s="4" t="s">
        <v>78</v>
      </c>
      <c r="D136" s="4" t="s">
        <v>79</v>
      </c>
      <c r="E136" s="4" t="s">
        <v>80</v>
      </c>
      <c r="F136" s="4" t="s">
        <v>57</v>
      </c>
      <c r="G136" s="4" t="s">
        <v>58</v>
      </c>
      <c r="H136" s="4" t="s">
        <v>59</v>
      </c>
      <c r="I136" s="3"/>
      <c r="J136" s="3"/>
      <c r="K136" s="3"/>
      <c r="L136" s="3"/>
      <c r="M136" s="3"/>
      <c r="N136" s="3"/>
      <c r="O136" s="3"/>
      <c r="P136" s="8"/>
      <c r="Q136" s="8"/>
      <c r="R136" s="3"/>
      <c r="S136" s="3"/>
      <c r="T136" s="3"/>
      <c r="U136" s="5" t="str">
        <f t="shared" si="7"/>
        <v/>
      </c>
    </row>
    <row r="137" spans="1:21" ht="28" customHeight="1" x14ac:dyDescent="0.35">
      <c r="A137" s="4">
        <v>9</v>
      </c>
      <c r="B137" s="4" t="s">
        <v>81</v>
      </c>
      <c r="C137" s="4" t="s">
        <v>82</v>
      </c>
      <c r="D137" s="4" t="s">
        <v>83</v>
      </c>
      <c r="E137" s="4" t="s">
        <v>84</v>
      </c>
      <c r="F137" s="4" t="s">
        <v>57</v>
      </c>
      <c r="G137" s="4" t="s">
        <v>58</v>
      </c>
      <c r="H137" s="4" t="s">
        <v>85</v>
      </c>
      <c r="I137" s="3"/>
      <c r="J137" s="3"/>
      <c r="K137" s="3"/>
      <c r="L137" s="3"/>
      <c r="M137" s="3"/>
      <c r="N137" s="3"/>
      <c r="O137" s="3"/>
      <c r="P137" s="8"/>
      <c r="Q137" s="8"/>
      <c r="R137" s="3"/>
      <c r="S137" s="3"/>
      <c r="T137" s="3"/>
      <c r="U137" s="5" t="str">
        <f t="shared" si="7"/>
        <v/>
      </c>
    </row>
    <row r="138" spans="1:21" ht="28" customHeight="1" x14ac:dyDescent="0.35">
      <c r="A138" s="4">
        <v>10</v>
      </c>
      <c r="B138" s="4" t="s">
        <v>86</v>
      </c>
      <c r="C138" s="4" t="s">
        <v>87</v>
      </c>
      <c r="D138" s="4" t="s">
        <v>88</v>
      </c>
      <c r="E138" s="4" t="s">
        <v>69</v>
      </c>
      <c r="F138" s="4" t="s">
        <v>57</v>
      </c>
      <c r="G138" s="4" t="s">
        <v>58</v>
      </c>
      <c r="H138" s="4" t="s">
        <v>59</v>
      </c>
      <c r="I138" s="3"/>
      <c r="J138" s="3"/>
      <c r="K138" s="3"/>
      <c r="L138" s="3"/>
      <c r="M138" s="3"/>
      <c r="N138" s="3"/>
      <c r="O138" s="3"/>
      <c r="P138" s="8"/>
      <c r="Q138" s="8"/>
      <c r="R138" s="3"/>
      <c r="S138" s="3"/>
      <c r="T138" s="3"/>
      <c r="U138" s="5" t="str">
        <f t="shared" si="7"/>
        <v/>
      </c>
    </row>
    <row r="139" spans="1:21" ht="28" customHeight="1" x14ac:dyDescent="0.35">
      <c r="A139" s="4">
        <v>11</v>
      </c>
      <c r="B139" s="4" t="s">
        <v>89</v>
      </c>
      <c r="C139" s="4" t="s">
        <v>90</v>
      </c>
      <c r="D139" s="4" t="s">
        <v>91</v>
      </c>
      <c r="E139" s="4" t="s">
        <v>84</v>
      </c>
      <c r="F139" s="4" t="s">
        <v>57</v>
      </c>
      <c r="G139" s="4" t="s">
        <v>58</v>
      </c>
      <c r="H139" s="4" t="s">
        <v>59</v>
      </c>
      <c r="I139" s="3"/>
      <c r="J139" s="3"/>
      <c r="K139" s="3"/>
      <c r="L139" s="3"/>
      <c r="M139" s="3"/>
      <c r="N139" s="3"/>
      <c r="O139" s="3"/>
      <c r="P139" s="8"/>
      <c r="Q139" s="8"/>
      <c r="R139" s="3"/>
      <c r="S139" s="3"/>
      <c r="T139" s="3"/>
      <c r="U139" s="5" t="str">
        <f t="shared" si="7"/>
        <v/>
      </c>
    </row>
    <row r="140" spans="1:21" ht="28" customHeight="1" x14ac:dyDescent="0.35">
      <c r="A140" s="4">
        <v>12</v>
      </c>
      <c r="B140" s="4" t="s">
        <v>92</v>
      </c>
      <c r="C140" s="4" t="s">
        <v>93</v>
      </c>
      <c r="D140" s="4" t="s">
        <v>94</v>
      </c>
      <c r="E140" s="4" t="s">
        <v>69</v>
      </c>
      <c r="F140" s="4" t="s">
        <v>95</v>
      </c>
      <c r="G140" s="4" t="s">
        <v>96</v>
      </c>
      <c r="H140" s="4" t="s">
        <v>59</v>
      </c>
      <c r="I140" s="3"/>
      <c r="J140" s="3"/>
      <c r="K140" s="3"/>
      <c r="L140" s="3"/>
      <c r="M140" s="3"/>
      <c r="N140" s="3"/>
      <c r="O140" s="3"/>
      <c r="P140" s="8"/>
      <c r="Q140" s="8"/>
      <c r="R140" s="3"/>
      <c r="S140" s="3"/>
      <c r="T140" s="3"/>
      <c r="U140" s="5" t="str">
        <f t="shared" si="7"/>
        <v/>
      </c>
    </row>
    <row r="141" spans="1:21" ht="28" customHeight="1" x14ac:dyDescent="0.35">
      <c r="A141" s="4">
        <v>13</v>
      </c>
      <c r="B141" s="4" t="s">
        <v>97</v>
      </c>
      <c r="C141" s="4" t="s">
        <v>98</v>
      </c>
      <c r="D141" s="4" t="s">
        <v>99</v>
      </c>
      <c r="E141" s="4" t="s">
        <v>69</v>
      </c>
      <c r="F141" s="4" t="s">
        <v>95</v>
      </c>
      <c r="G141" s="4" t="s">
        <v>96</v>
      </c>
      <c r="H141" s="4" t="s">
        <v>59</v>
      </c>
      <c r="I141" s="3"/>
      <c r="J141" s="3"/>
      <c r="K141" s="3"/>
      <c r="L141" s="3"/>
      <c r="M141" s="3"/>
      <c r="N141" s="3"/>
      <c r="O141" s="3"/>
      <c r="P141" s="8"/>
      <c r="Q141" s="8"/>
      <c r="R141" s="3"/>
      <c r="S141" s="3"/>
      <c r="T141" s="3"/>
      <c r="U141" s="5" t="str">
        <f t="shared" si="7"/>
        <v/>
      </c>
    </row>
    <row r="142" spans="1:21" ht="28" customHeight="1" x14ac:dyDescent="0.35">
      <c r="A142" s="4">
        <v>14</v>
      </c>
      <c r="B142" s="4" t="s">
        <v>97</v>
      </c>
      <c r="C142" s="4" t="s">
        <v>100</v>
      </c>
      <c r="D142" s="4" t="s">
        <v>101</v>
      </c>
      <c r="E142" s="4" t="s">
        <v>69</v>
      </c>
      <c r="F142" s="4" t="s">
        <v>95</v>
      </c>
      <c r="G142" s="4" t="s">
        <v>102</v>
      </c>
      <c r="H142" s="4" t="s">
        <v>59</v>
      </c>
      <c r="I142" s="3"/>
      <c r="J142" s="3"/>
      <c r="K142" s="3"/>
      <c r="L142" s="3"/>
      <c r="M142" s="3"/>
      <c r="N142" s="3"/>
      <c r="O142" s="3"/>
      <c r="P142" s="8"/>
      <c r="Q142" s="8"/>
      <c r="R142" s="3"/>
      <c r="S142" s="3"/>
      <c r="T142" s="3"/>
      <c r="U142" s="5" t="str">
        <f t="shared" si="7"/>
        <v/>
      </c>
    </row>
    <row r="143" spans="1:21" ht="28" customHeight="1" x14ac:dyDescent="0.35">
      <c r="A143" s="4">
        <v>15</v>
      </c>
      <c r="B143" s="4" t="s">
        <v>103</v>
      </c>
      <c r="C143" s="4" t="s">
        <v>104</v>
      </c>
      <c r="D143" s="4" t="s">
        <v>105</v>
      </c>
      <c r="E143" s="4" t="s">
        <v>69</v>
      </c>
      <c r="F143" s="4" t="s">
        <v>95</v>
      </c>
      <c r="G143" s="4" t="s">
        <v>96</v>
      </c>
      <c r="H143" s="4" t="s">
        <v>85</v>
      </c>
      <c r="I143" s="3"/>
      <c r="J143" s="3"/>
      <c r="K143" s="3"/>
      <c r="L143" s="3"/>
      <c r="M143" s="3"/>
      <c r="N143" s="3"/>
      <c r="O143" s="3"/>
      <c r="P143" s="8"/>
      <c r="Q143" s="8"/>
      <c r="R143" s="3"/>
      <c r="S143" s="3"/>
      <c r="T143" s="3"/>
      <c r="U143" s="5" t="str">
        <f t="shared" si="7"/>
        <v/>
      </c>
    </row>
    <row r="144" spans="1:21" ht="28" customHeight="1" x14ac:dyDescent="0.35">
      <c r="A144" s="4">
        <v>16</v>
      </c>
      <c r="B144" s="4" t="s">
        <v>106</v>
      </c>
      <c r="C144" s="4" t="s">
        <v>107</v>
      </c>
      <c r="D144" s="4" t="s">
        <v>108</v>
      </c>
      <c r="E144" s="4" t="s">
        <v>109</v>
      </c>
      <c r="F144" s="4" t="s">
        <v>95</v>
      </c>
      <c r="G144" s="4" t="s">
        <v>96</v>
      </c>
      <c r="H144" s="4" t="s">
        <v>59</v>
      </c>
      <c r="I144" s="3"/>
      <c r="J144" s="3"/>
      <c r="K144" s="3"/>
      <c r="L144" s="3"/>
      <c r="M144" s="3"/>
      <c r="N144" s="3"/>
      <c r="O144" s="3"/>
      <c r="P144" s="8"/>
      <c r="Q144" s="8"/>
      <c r="R144" s="3"/>
      <c r="S144" s="3"/>
      <c r="T144" s="3"/>
      <c r="U144" s="5" t="str">
        <f t="shared" si="7"/>
        <v/>
      </c>
    </row>
    <row r="146" spans="1:21" ht="28" customHeight="1" x14ac:dyDescent="0.35">
      <c r="A146" s="9" t="s">
        <v>110</v>
      </c>
      <c r="B146" s="16"/>
      <c r="C146" s="17"/>
      <c r="D146" s="17"/>
      <c r="E146" s="17"/>
      <c r="F146" s="17"/>
      <c r="G146" s="17"/>
      <c r="H146" s="17"/>
      <c r="I146" s="17"/>
      <c r="J146" s="17"/>
      <c r="K146" s="17"/>
      <c r="L146" s="17"/>
      <c r="M146" s="17"/>
      <c r="N146" s="17"/>
      <c r="O146" s="17"/>
      <c r="P146" s="17"/>
      <c r="Q146" s="17"/>
      <c r="R146" s="17"/>
      <c r="S146" s="17"/>
      <c r="T146" s="17"/>
      <c r="U146" s="18"/>
    </row>
    <row r="147" spans="1:21" ht="28" customHeight="1" x14ac:dyDescent="0.35">
      <c r="A147" s="19" t="s">
        <v>613</v>
      </c>
      <c r="B147" s="20"/>
      <c r="C147" s="20"/>
      <c r="D147" s="20"/>
      <c r="E147" s="20"/>
      <c r="F147" s="20"/>
      <c r="G147" s="20"/>
      <c r="H147" s="20"/>
      <c r="I147" s="20"/>
      <c r="J147" s="20"/>
      <c r="K147" s="20"/>
      <c r="L147" s="20"/>
      <c r="M147" s="20"/>
      <c r="N147" s="20"/>
      <c r="O147" s="20"/>
      <c r="P147" s="20"/>
      <c r="Q147" s="20"/>
      <c r="R147" s="20"/>
      <c r="S147" s="20"/>
      <c r="T147" s="20"/>
      <c r="U147" s="21"/>
    </row>
    <row r="148" spans="1:21" ht="28" customHeight="1" x14ac:dyDescent="0.35">
      <c r="A148" s="4" t="s">
        <v>31</v>
      </c>
      <c r="B148" s="3" t="s">
        <v>24</v>
      </c>
      <c r="C148" s="4" t="s">
        <v>32</v>
      </c>
      <c r="D148" s="3"/>
      <c r="E148" s="4" t="s">
        <v>33</v>
      </c>
      <c r="F148" s="8"/>
    </row>
    <row r="149" spans="1:21" ht="28" customHeight="1" x14ac:dyDescent="0.35">
      <c r="A149" s="1" t="s">
        <v>34</v>
      </c>
      <c r="B149" s="1" t="s">
        <v>35</v>
      </c>
      <c r="C149" s="1" t="s">
        <v>36</v>
      </c>
      <c r="D149" s="1" t="s">
        <v>37</v>
      </c>
      <c r="E149" s="1" t="s">
        <v>38</v>
      </c>
      <c r="F149" s="1" t="s">
        <v>39</v>
      </c>
      <c r="G149" s="1" t="s">
        <v>40</v>
      </c>
      <c r="H149" s="1" t="s">
        <v>41</v>
      </c>
      <c r="I149" s="1" t="s">
        <v>42</v>
      </c>
      <c r="J149" s="1" t="s">
        <v>43</v>
      </c>
      <c r="K149" s="1" t="s">
        <v>44</v>
      </c>
      <c r="L149" s="1" t="s">
        <v>45</v>
      </c>
      <c r="M149" s="1" t="s">
        <v>46</v>
      </c>
      <c r="N149" s="1" t="s">
        <v>47</v>
      </c>
      <c r="O149" s="1" t="s">
        <v>48</v>
      </c>
      <c r="P149" s="1" t="s">
        <v>4</v>
      </c>
      <c r="Q149" s="1" t="s">
        <v>49</v>
      </c>
      <c r="R149" s="1" t="s">
        <v>50</v>
      </c>
      <c r="S149" s="1" t="s">
        <v>51</v>
      </c>
      <c r="T149" s="1" t="s">
        <v>52</v>
      </c>
      <c r="U149" s="1" t="s">
        <v>10</v>
      </c>
    </row>
    <row r="150" spans="1:21" ht="28" customHeight="1" x14ac:dyDescent="0.35">
      <c r="A150" s="4">
        <v>1</v>
      </c>
      <c r="B150" s="4" t="s">
        <v>53</v>
      </c>
      <c r="C150" s="4" t="s">
        <v>600</v>
      </c>
      <c r="D150" s="4" t="s">
        <v>601</v>
      </c>
      <c r="E150" s="4" t="s">
        <v>56</v>
      </c>
      <c r="F150" s="4" t="s">
        <v>57</v>
      </c>
      <c r="G150" s="4" t="s">
        <v>58</v>
      </c>
      <c r="H150" s="4" t="s">
        <v>59</v>
      </c>
      <c r="I150" s="3"/>
      <c r="J150" s="3"/>
      <c r="K150" s="3"/>
      <c r="L150" s="3"/>
      <c r="M150" s="3"/>
      <c r="N150" s="3"/>
      <c r="O150" s="3"/>
      <c r="P150" s="8"/>
      <c r="Q150" s="8"/>
      <c r="R150" s="3"/>
      <c r="S150" s="3"/>
      <c r="T150" s="3"/>
      <c r="U150" s="5" t="str">
        <f t="shared" ref="U150:U165" si="8">IF(I150="","",IF(I150="NA","Grey",IF(I150=2,"Green",IF(I150=1,"Amber","Red"))))</f>
        <v/>
      </c>
    </row>
    <row r="151" spans="1:21" ht="28" customHeight="1" x14ac:dyDescent="0.35">
      <c r="A151" s="4">
        <v>2</v>
      </c>
      <c r="B151" s="4" t="s">
        <v>53</v>
      </c>
      <c r="C151" s="4" t="s">
        <v>602</v>
      </c>
      <c r="D151" s="4" t="s">
        <v>603</v>
      </c>
      <c r="E151" s="4" t="s">
        <v>56</v>
      </c>
      <c r="F151" s="4" t="s">
        <v>57</v>
      </c>
      <c r="G151" s="4" t="s">
        <v>58</v>
      </c>
      <c r="H151" s="4" t="s">
        <v>59</v>
      </c>
      <c r="I151" s="3"/>
      <c r="J151" s="3"/>
      <c r="K151" s="3"/>
      <c r="L151" s="3"/>
      <c r="M151" s="3"/>
      <c r="N151" s="3"/>
      <c r="O151" s="3"/>
      <c r="P151" s="8"/>
      <c r="Q151" s="8"/>
      <c r="R151" s="3"/>
      <c r="S151" s="3"/>
      <c r="T151" s="3"/>
      <c r="U151" s="5" t="str">
        <f t="shared" si="8"/>
        <v/>
      </c>
    </row>
    <row r="152" spans="1:21" ht="28" customHeight="1" x14ac:dyDescent="0.35">
      <c r="A152" s="4">
        <v>3</v>
      </c>
      <c r="B152" s="4" t="s">
        <v>53</v>
      </c>
      <c r="C152" s="4" t="s">
        <v>604</v>
      </c>
      <c r="D152" s="4" t="s">
        <v>605</v>
      </c>
      <c r="E152" s="4" t="s">
        <v>56</v>
      </c>
      <c r="F152" s="4" t="s">
        <v>57</v>
      </c>
      <c r="G152" s="4" t="s">
        <v>58</v>
      </c>
      <c r="H152" s="4" t="s">
        <v>59</v>
      </c>
      <c r="I152" s="3"/>
      <c r="J152" s="3"/>
      <c r="K152" s="3"/>
      <c r="L152" s="3"/>
      <c r="M152" s="3"/>
      <c r="N152" s="3"/>
      <c r="O152" s="3"/>
      <c r="P152" s="8"/>
      <c r="Q152" s="8"/>
      <c r="R152" s="3"/>
      <c r="S152" s="3"/>
      <c r="T152" s="3"/>
      <c r="U152" s="5" t="str">
        <f t="shared" si="8"/>
        <v/>
      </c>
    </row>
    <row r="153" spans="1:21" ht="28" customHeight="1" x14ac:dyDescent="0.35">
      <c r="A153" s="4">
        <v>4</v>
      </c>
      <c r="B153" s="4" t="s">
        <v>53</v>
      </c>
      <c r="C153" s="4" t="s">
        <v>606</v>
      </c>
      <c r="D153" s="4" t="s">
        <v>607</v>
      </c>
      <c r="E153" s="4" t="s">
        <v>56</v>
      </c>
      <c r="F153" s="4" t="s">
        <v>57</v>
      </c>
      <c r="G153" s="4" t="s">
        <v>58</v>
      </c>
      <c r="H153" s="4" t="s">
        <v>59</v>
      </c>
      <c r="I153" s="3"/>
      <c r="J153" s="3"/>
      <c r="K153" s="3"/>
      <c r="L153" s="3"/>
      <c r="M153" s="3"/>
      <c r="N153" s="3"/>
      <c r="O153" s="3"/>
      <c r="P153" s="8"/>
      <c r="Q153" s="8"/>
      <c r="R153" s="3"/>
      <c r="S153" s="3"/>
      <c r="T153" s="3"/>
      <c r="U153" s="5" t="str">
        <f t="shared" si="8"/>
        <v/>
      </c>
    </row>
    <row r="154" spans="1:21" ht="28" customHeight="1" x14ac:dyDescent="0.35">
      <c r="A154" s="4">
        <v>5</v>
      </c>
      <c r="B154" s="4" t="s">
        <v>66</v>
      </c>
      <c r="C154" s="4" t="s">
        <v>67</v>
      </c>
      <c r="D154" s="4" t="s">
        <v>68</v>
      </c>
      <c r="E154" s="4" t="s">
        <v>69</v>
      </c>
      <c r="F154" s="4" t="s">
        <v>57</v>
      </c>
      <c r="G154" s="4" t="s">
        <v>58</v>
      </c>
      <c r="H154" s="4" t="s">
        <v>59</v>
      </c>
      <c r="I154" s="3"/>
      <c r="J154" s="3"/>
      <c r="K154" s="3"/>
      <c r="L154" s="3"/>
      <c r="M154" s="3"/>
      <c r="N154" s="3"/>
      <c r="O154" s="3"/>
      <c r="P154" s="8"/>
      <c r="Q154" s="8"/>
      <c r="R154" s="3"/>
      <c r="S154" s="3"/>
      <c r="T154" s="3"/>
      <c r="U154" s="5" t="str">
        <f t="shared" si="8"/>
        <v/>
      </c>
    </row>
    <row r="155" spans="1:21" ht="28" customHeight="1" x14ac:dyDescent="0.35">
      <c r="A155" s="4">
        <v>6</v>
      </c>
      <c r="B155" s="4" t="s">
        <v>70</v>
      </c>
      <c r="C155" s="4" t="s">
        <v>71</v>
      </c>
      <c r="D155" s="4" t="s">
        <v>72</v>
      </c>
      <c r="E155" s="4" t="s">
        <v>70</v>
      </c>
      <c r="F155" s="4" t="s">
        <v>57</v>
      </c>
      <c r="G155" s="4" t="s">
        <v>58</v>
      </c>
      <c r="H155" s="4" t="s">
        <v>59</v>
      </c>
      <c r="I155" s="3"/>
      <c r="J155" s="3"/>
      <c r="K155" s="3"/>
      <c r="L155" s="3"/>
      <c r="M155" s="3"/>
      <c r="N155" s="3"/>
      <c r="O155" s="3"/>
      <c r="P155" s="8"/>
      <c r="Q155" s="8"/>
      <c r="R155" s="3"/>
      <c r="S155" s="3"/>
      <c r="T155" s="3"/>
      <c r="U155" s="5" t="str">
        <f t="shared" si="8"/>
        <v/>
      </c>
    </row>
    <row r="156" spans="1:21" ht="28" customHeight="1" x14ac:dyDescent="0.35">
      <c r="A156" s="4">
        <v>7</v>
      </c>
      <c r="B156" s="4" t="s">
        <v>73</v>
      </c>
      <c r="C156" s="4" t="s">
        <v>74</v>
      </c>
      <c r="D156" s="4" t="s">
        <v>75</v>
      </c>
      <c r="E156" s="4" t="s">
        <v>69</v>
      </c>
      <c r="F156" s="4" t="s">
        <v>57</v>
      </c>
      <c r="G156" s="4" t="s">
        <v>58</v>
      </c>
      <c r="H156" s="4" t="s">
        <v>76</v>
      </c>
      <c r="I156" s="3"/>
      <c r="J156" s="3"/>
      <c r="K156" s="3"/>
      <c r="L156" s="3"/>
      <c r="M156" s="3"/>
      <c r="N156" s="3"/>
      <c r="O156" s="3"/>
      <c r="P156" s="8"/>
      <c r="Q156" s="8"/>
      <c r="R156" s="3"/>
      <c r="S156" s="3"/>
      <c r="T156" s="3"/>
      <c r="U156" s="5" t="str">
        <f t="shared" si="8"/>
        <v/>
      </c>
    </row>
    <row r="157" spans="1:21" ht="28" customHeight="1" x14ac:dyDescent="0.35">
      <c r="A157" s="4">
        <v>8</v>
      </c>
      <c r="B157" s="4" t="s">
        <v>77</v>
      </c>
      <c r="C157" s="4" t="s">
        <v>78</v>
      </c>
      <c r="D157" s="4" t="s">
        <v>79</v>
      </c>
      <c r="E157" s="4" t="s">
        <v>80</v>
      </c>
      <c r="F157" s="4" t="s">
        <v>57</v>
      </c>
      <c r="G157" s="4" t="s">
        <v>58</v>
      </c>
      <c r="H157" s="4" t="s">
        <v>59</v>
      </c>
      <c r="I157" s="3"/>
      <c r="J157" s="3"/>
      <c r="K157" s="3"/>
      <c r="L157" s="3"/>
      <c r="M157" s="3"/>
      <c r="N157" s="3"/>
      <c r="O157" s="3"/>
      <c r="P157" s="8"/>
      <c r="Q157" s="8"/>
      <c r="R157" s="3"/>
      <c r="S157" s="3"/>
      <c r="T157" s="3"/>
      <c r="U157" s="5" t="str">
        <f t="shared" si="8"/>
        <v/>
      </c>
    </row>
    <row r="158" spans="1:21" ht="28" customHeight="1" x14ac:dyDescent="0.35">
      <c r="A158" s="4">
        <v>9</v>
      </c>
      <c r="B158" s="4" t="s">
        <v>81</v>
      </c>
      <c r="C158" s="4" t="s">
        <v>82</v>
      </c>
      <c r="D158" s="4" t="s">
        <v>83</v>
      </c>
      <c r="E158" s="4" t="s">
        <v>84</v>
      </c>
      <c r="F158" s="4" t="s">
        <v>57</v>
      </c>
      <c r="G158" s="4" t="s">
        <v>58</v>
      </c>
      <c r="H158" s="4" t="s">
        <v>85</v>
      </c>
      <c r="I158" s="3"/>
      <c r="J158" s="3"/>
      <c r="K158" s="3"/>
      <c r="L158" s="3"/>
      <c r="M158" s="3"/>
      <c r="N158" s="3"/>
      <c r="O158" s="3"/>
      <c r="P158" s="8"/>
      <c r="Q158" s="8"/>
      <c r="R158" s="3"/>
      <c r="S158" s="3"/>
      <c r="T158" s="3"/>
      <c r="U158" s="5" t="str">
        <f t="shared" si="8"/>
        <v/>
      </c>
    </row>
    <row r="159" spans="1:21" ht="28" customHeight="1" x14ac:dyDescent="0.35">
      <c r="A159" s="4">
        <v>10</v>
      </c>
      <c r="B159" s="4" t="s">
        <v>86</v>
      </c>
      <c r="C159" s="4" t="s">
        <v>87</v>
      </c>
      <c r="D159" s="4" t="s">
        <v>88</v>
      </c>
      <c r="E159" s="4" t="s">
        <v>69</v>
      </c>
      <c r="F159" s="4" t="s">
        <v>57</v>
      </c>
      <c r="G159" s="4" t="s">
        <v>58</v>
      </c>
      <c r="H159" s="4" t="s">
        <v>59</v>
      </c>
      <c r="I159" s="3"/>
      <c r="J159" s="3"/>
      <c r="K159" s="3"/>
      <c r="L159" s="3"/>
      <c r="M159" s="3"/>
      <c r="N159" s="3"/>
      <c r="O159" s="3"/>
      <c r="P159" s="8"/>
      <c r="Q159" s="8"/>
      <c r="R159" s="3"/>
      <c r="S159" s="3"/>
      <c r="T159" s="3"/>
      <c r="U159" s="5" t="str">
        <f t="shared" si="8"/>
        <v/>
      </c>
    </row>
    <row r="160" spans="1:21" ht="28" customHeight="1" x14ac:dyDescent="0.35">
      <c r="A160" s="4">
        <v>11</v>
      </c>
      <c r="B160" s="4" t="s">
        <v>89</v>
      </c>
      <c r="C160" s="4" t="s">
        <v>90</v>
      </c>
      <c r="D160" s="4" t="s">
        <v>91</v>
      </c>
      <c r="E160" s="4" t="s">
        <v>84</v>
      </c>
      <c r="F160" s="4" t="s">
        <v>57</v>
      </c>
      <c r="G160" s="4" t="s">
        <v>58</v>
      </c>
      <c r="H160" s="4" t="s">
        <v>59</v>
      </c>
      <c r="I160" s="3"/>
      <c r="J160" s="3"/>
      <c r="K160" s="3"/>
      <c r="L160" s="3"/>
      <c r="M160" s="3"/>
      <c r="N160" s="3"/>
      <c r="O160" s="3"/>
      <c r="P160" s="8"/>
      <c r="Q160" s="8"/>
      <c r="R160" s="3"/>
      <c r="S160" s="3"/>
      <c r="T160" s="3"/>
      <c r="U160" s="5" t="str">
        <f t="shared" si="8"/>
        <v/>
      </c>
    </row>
    <row r="161" spans="1:21" ht="28" customHeight="1" x14ac:dyDescent="0.35">
      <c r="A161" s="4">
        <v>12</v>
      </c>
      <c r="B161" s="4" t="s">
        <v>92</v>
      </c>
      <c r="C161" s="4" t="s">
        <v>93</v>
      </c>
      <c r="D161" s="4" t="s">
        <v>94</v>
      </c>
      <c r="E161" s="4" t="s">
        <v>69</v>
      </c>
      <c r="F161" s="4" t="s">
        <v>95</v>
      </c>
      <c r="G161" s="4" t="s">
        <v>96</v>
      </c>
      <c r="H161" s="4" t="s">
        <v>59</v>
      </c>
      <c r="I161" s="3"/>
      <c r="J161" s="3"/>
      <c r="K161" s="3"/>
      <c r="L161" s="3"/>
      <c r="M161" s="3"/>
      <c r="N161" s="3"/>
      <c r="O161" s="3"/>
      <c r="P161" s="8"/>
      <c r="Q161" s="8"/>
      <c r="R161" s="3"/>
      <c r="S161" s="3"/>
      <c r="T161" s="3"/>
      <c r="U161" s="5" t="str">
        <f t="shared" si="8"/>
        <v/>
      </c>
    </row>
    <row r="162" spans="1:21" ht="28" customHeight="1" x14ac:dyDescent="0.35">
      <c r="A162" s="4">
        <v>13</v>
      </c>
      <c r="B162" s="4" t="s">
        <v>97</v>
      </c>
      <c r="C162" s="4" t="s">
        <v>98</v>
      </c>
      <c r="D162" s="4" t="s">
        <v>99</v>
      </c>
      <c r="E162" s="4" t="s">
        <v>69</v>
      </c>
      <c r="F162" s="4" t="s">
        <v>95</v>
      </c>
      <c r="G162" s="4" t="s">
        <v>96</v>
      </c>
      <c r="H162" s="4" t="s">
        <v>59</v>
      </c>
      <c r="I162" s="3"/>
      <c r="J162" s="3"/>
      <c r="K162" s="3"/>
      <c r="L162" s="3"/>
      <c r="M162" s="3"/>
      <c r="N162" s="3"/>
      <c r="O162" s="3"/>
      <c r="P162" s="8"/>
      <c r="Q162" s="8"/>
      <c r="R162" s="3"/>
      <c r="S162" s="3"/>
      <c r="T162" s="3"/>
      <c r="U162" s="5" t="str">
        <f t="shared" si="8"/>
        <v/>
      </c>
    </row>
    <row r="163" spans="1:21" ht="28" customHeight="1" x14ac:dyDescent="0.35">
      <c r="A163" s="4">
        <v>14</v>
      </c>
      <c r="B163" s="4" t="s">
        <v>97</v>
      </c>
      <c r="C163" s="4" t="s">
        <v>100</v>
      </c>
      <c r="D163" s="4" t="s">
        <v>101</v>
      </c>
      <c r="E163" s="4" t="s">
        <v>69</v>
      </c>
      <c r="F163" s="4" t="s">
        <v>95</v>
      </c>
      <c r="G163" s="4" t="s">
        <v>102</v>
      </c>
      <c r="H163" s="4" t="s">
        <v>59</v>
      </c>
      <c r="I163" s="3"/>
      <c r="J163" s="3"/>
      <c r="K163" s="3"/>
      <c r="L163" s="3"/>
      <c r="M163" s="3"/>
      <c r="N163" s="3"/>
      <c r="O163" s="3"/>
      <c r="P163" s="8"/>
      <c r="Q163" s="8"/>
      <c r="R163" s="3"/>
      <c r="S163" s="3"/>
      <c r="T163" s="3"/>
      <c r="U163" s="5" t="str">
        <f t="shared" si="8"/>
        <v/>
      </c>
    </row>
    <row r="164" spans="1:21" ht="28" customHeight="1" x14ac:dyDescent="0.35">
      <c r="A164" s="4">
        <v>15</v>
      </c>
      <c r="B164" s="4" t="s">
        <v>103</v>
      </c>
      <c r="C164" s="4" t="s">
        <v>104</v>
      </c>
      <c r="D164" s="4" t="s">
        <v>105</v>
      </c>
      <c r="E164" s="4" t="s">
        <v>69</v>
      </c>
      <c r="F164" s="4" t="s">
        <v>95</v>
      </c>
      <c r="G164" s="4" t="s">
        <v>96</v>
      </c>
      <c r="H164" s="4" t="s">
        <v>85</v>
      </c>
      <c r="I164" s="3"/>
      <c r="J164" s="3"/>
      <c r="K164" s="3"/>
      <c r="L164" s="3"/>
      <c r="M164" s="3"/>
      <c r="N164" s="3"/>
      <c r="O164" s="3"/>
      <c r="P164" s="8"/>
      <c r="Q164" s="8"/>
      <c r="R164" s="3"/>
      <c r="S164" s="3"/>
      <c r="T164" s="3"/>
      <c r="U164" s="5" t="str">
        <f t="shared" si="8"/>
        <v/>
      </c>
    </row>
    <row r="165" spans="1:21" ht="28" customHeight="1" x14ac:dyDescent="0.35">
      <c r="A165" s="4">
        <v>16</v>
      </c>
      <c r="B165" s="4" t="s">
        <v>106</v>
      </c>
      <c r="C165" s="4" t="s">
        <v>107</v>
      </c>
      <c r="D165" s="4" t="s">
        <v>108</v>
      </c>
      <c r="E165" s="4" t="s">
        <v>109</v>
      </c>
      <c r="F165" s="4" t="s">
        <v>95</v>
      </c>
      <c r="G165" s="4" t="s">
        <v>96</v>
      </c>
      <c r="H165" s="4" t="s">
        <v>59</v>
      </c>
      <c r="I165" s="3"/>
      <c r="J165" s="3"/>
      <c r="K165" s="3"/>
      <c r="L165" s="3"/>
      <c r="M165" s="3"/>
      <c r="N165" s="3"/>
      <c r="O165" s="3"/>
      <c r="P165" s="8"/>
      <c r="Q165" s="8"/>
      <c r="R165" s="3"/>
      <c r="S165" s="3"/>
      <c r="T165" s="3"/>
      <c r="U165" s="5" t="str">
        <f t="shared" si="8"/>
        <v/>
      </c>
    </row>
    <row r="167" spans="1:21" ht="28" customHeight="1" x14ac:dyDescent="0.35">
      <c r="A167" s="9" t="s">
        <v>110</v>
      </c>
      <c r="B167" s="16"/>
      <c r="C167" s="17"/>
      <c r="D167" s="17"/>
      <c r="E167" s="17"/>
      <c r="F167" s="17"/>
      <c r="G167" s="17"/>
      <c r="H167" s="17"/>
      <c r="I167" s="17"/>
      <c r="J167" s="17"/>
      <c r="K167" s="17"/>
      <c r="L167" s="17"/>
      <c r="M167" s="17"/>
      <c r="N167" s="17"/>
      <c r="O167" s="17"/>
      <c r="P167" s="17"/>
      <c r="Q167" s="17"/>
      <c r="R167" s="17"/>
      <c r="S167" s="17"/>
      <c r="T167" s="17"/>
      <c r="U167" s="18"/>
    </row>
    <row r="168" spans="1:21" ht="28" customHeight="1" x14ac:dyDescent="0.35">
      <c r="A168" s="19" t="s">
        <v>614</v>
      </c>
      <c r="B168" s="20"/>
      <c r="C168" s="20"/>
      <c r="D168" s="20"/>
      <c r="E168" s="20"/>
      <c r="F168" s="20"/>
      <c r="G168" s="20"/>
      <c r="H168" s="20"/>
      <c r="I168" s="20"/>
      <c r="J168" s="20"/>
      <c r="K168" s="20"/>
      <c r="L168" s="20"/>
      <c r="M168" s="20"/>
      <c r="N168" s="20"/>
      <c r="O168" s="20"/>
      <c r="P168" s="20"/>
      <c r="Q168" s="20"/>
      <c r="R168" s="20"/>
      <c r="S168" s="20"/>
      <c r="T168" s="20"/>
      <c r="U168" s="21"/>
    </row>
    <row r="169" spans="1:21" ht="28" customHeight="1" x14ac:dyDescent="0.35">
      <c r="A169" s="4" t="s">
        <v>31</v>
      </c>
      <c r="B169" s="3" t="s">
        <v>25</v>
      </c>
      <c r="C169" s="4" t="s">
        <v>32</v>
      </c>
      <c r="D169" s="3"/>
      <c r="E169" s="4" t="s">
        <v>33</v>
      </c>
      <c r="F169" s="8"/>
    </row>
    <row r="170" spans="1:21" ht="28" customHeight="1" x14ac:dyDescent="0.35">
      <c r="A170" s="1" t="s">
        <v>34</v>
      </c>
      <c r="B170" s="1" t="s">
        <v>35</v>
      </c>
      <c r="C170" s="1" t="s">
        <v>36</v>
      </c>
      <c r="D170" s="1" t="s">
        <v>37</v>
      </c>
      <c r="E170" s="1" t="s">
        <v>38</v>
      </c>
      <c r="F170" s="1" t="s">
        <v>39</v>
      </c>
      <c r="G170" s="1" t="s">
        <v>40</v>
      </c>
      <c r="H170" s="1" t="s">
        <v>41</v>
      </c>
      <c r="I170" s="1" t="s">
        <v>42</v>
      </c>
      <c r="J170" s="1" t="s">
        <v>43</v>
      </c>
      <c r="K170" s="1" t="s">
        <v>44</v>
      </c>
      <c r="L170" s="1" t="s">
        <v>45</v>
      </c>
      <c r="M170" s="1" t="s">
        <v>46</v>
      </c>
      <c r="N170" s="1" t="s">
        <v>47</v>
      </c>
      <c r="O170" s="1" t="s">
        <v>48</v>
      </c>
      <c r="P170" s="1" t="s">
        <v>4</v>
      </c>
      <c r="Q170" s="1" t="s">
        <v>49</v>
      </c>
      <c r="R170" s="1" t="s">
        <v>50</v>
      </c>
      <c r="S170" s="1" t="s">
        <v>51</v>
      </c>
      <c r="T170" s="1" t="s">
        <v>52</v>
      </c>
      <c r="U170" s="1" t="s">
        <v>10</v>
      </c>
    </row>
    <row r="171" spans="1:21" ht="28" customHeight="1" x14ac:dyDescent="0.35">
      <c r="A171" s="4">
        <v>1</v>
      </c>
      <c r="B171" s="4" t="s">
        <v>53</v>
      </c>
      <c r="C171" s="4" t="s">
        <v>600</v>
      </c>
      <c r="D171" s="4" t="s">
        <v>601</v>
      </c>
      <c r="E171" s="4" t="s">
        <v>56</v>
      </c>
      <c r="F171" s="4" t="s">
        <v>57</v>
      </c>
      <c r="G171" s="4" t="s">
        <v>58</v>
      </c>
      <c r="H171" s="4" t="s">
        <v>59</v>
      </c>
      <c r="I171" s="3"/>
      <c r="J171" s="3"/>
      <c r="K171" s="3"/>
      <c r="L171" s="3"/>
      <c r="M171" s="3"/>
      <c r="N171" s="3"/>
      <c r="O171" s="3"/>
      <c r="P171" s="8"/>
      <c r="Q171" s="8"/>
      <c r="R171" s="3"/>
      <c r="S171" s="3"/>
      <c r="T171" s="3"/>
      <c r="U171" s="5" t="str">
        <f t="shared" ref="U171:U186" si="9">IF(I171="","",IF(I171="NA","Grey",IF(I171=2,"Green",IF(I171=1,"Amber","Red"))))</f>
        <v/>
      </c>
    </row>
    <row r="172" spans="1:21" ht="28" customHeight="1" x14ac:dyDescent="0.35">
      <c r="A172" s="4">
        <v>2</v>
      </c>
      <c r="B172" s="4" t="s">
        <v>53</v>
      </c>
      <c r="C172" s="4" t="s">
        <v>602</v>
      </c>
      <c r="D172" s="4" t="s">
        <v>603</v>
      </c>
      <c r="E172" s="4" t="s">
        <v>56</v>
      </c>
      <c r="F172" s="4" t="s">
        <v>57</v>
      </c>
      <c r="G172" s="4" t="s">
        <v>58</v>
      </c>
      <c r="H172" s="4" t="s">
        <v>59</v>
      </c>
      <c r="I172" s="3"/>
      <c r="J172" s="3"/>
      <c r="K172" s="3"/>
      <c r="L172" s="3"/>
      <c r="M172" s="3"/>
      <c r="N172" s="3"/>
      <c r="O172" s="3"/>
      <c r="P172" s="8"/>
      <c r="Q172" s="8"/>
      <c r="R172" s="3"/>
      <c r="S172" s="3"/>
      <c r="T172" s="3"/>
      <c r="U172" s="5" t="str">
        <f t="shared" si="9"/>
        <v/>
      </c>
    </row>
    <row r="173" spans="1:21" ht="28" customHeight="1" x14ac:dyDescent="0.35">
      <c r="A173" s="4">
        <v>3</v>
      </c>
      <c r="B173" s="4" t="s">
        <v>53</v>
      </c>
      <c r="C173" s="4" t="s">
        <v>604</v>
      </c>
      <c r="D173" s="4" t="s">
        <v>605</v>
      </c>
      <c r="E173" s="4" t="s">
        <v>56</v>
      </c>
      <c r="F173" s="4" t="s">
        <v>57</v>
      </c>
      <c r="G173" s="4" t="s">
        <v>58</v>
      </c>
      <c r="H173" s="4" t="s">
        <v>59</v>
      </c>
      <c r="I173" s="3"/>
      <c r="J173" s="3"/>
      <c r="K173" s="3"/>
      <c r="L173" s="3"/>
      <c r="M173" s="3"/>
      <c r="N173" s="3"/>
      <c r="O173" s="3"/>
      <c r="P173" s="8"/>
      <c r="Q173" s="8"/>
      <c r="R173" s="3"/>
      <c r="S173" s="3"/>
      <c r="T173" s="3"/>
      <c r="U173" s="5" t="str">
        <f t="shared" si="9"/>
        <v/>
      </c>
    </row>
    <row r="174" spans="1:21" ht="28" customHeight="1" x14ac:dyDescent="0.35">
      <c r="A174" s="4">
        <v>4</v>
      </c>
      <c r="B174" s="4" t="s">
        <v>53</v>
      </c>
      <c r="C174" s="4" t="s">
        <v>606</v>
      </c>
      <c r="D174" s="4" t="s">
        <v>607</v>
      </c>
      <c r="E174" s="4" t="s">
        <v>56</v>
      </c>
      <c r="F174" s="4" t="s">
        <v>57</v>
      </c>
      <c r="G174" s="4" t="s">
        <v>58</v>
      </c>
      <c r="H174" s="4" t="s">
        <v>59</v>
      </c>
      <c r="I174" s="3"/>
      <c r="J174" s="3"/>
      <c r="K174" s="3"/>
      <c r="L174" s="3"/>
      <c r="M174" s="3"/>
      <c r="N174" s="3"/>
      <c r="O174" s="3"/>
      <c r="P174" s="8"/>
      <c r="Q174" s="8"/>
      <c r="R174" s="3"/>
      <c r="S174" s="3"/>
      <c r="T174" s="3"/>
      <c r="U174" s="5" t="str">
        <f t="shared" si="9"/>
        <v/>
      </c>
    </row>
    <row r="175" spans="1:21" ht="28" customHeight="1" x14ac:dyDescent="0.35">
      <c r="A175" s="4">
        <v>5</v>
      </c>
      <c r="B175" s="4" t="s">
        <v>66</v>
      </c>
      <c r="C175" s="4" t="s">
        <v>67</v>
      </c>
      <c r="D175" s="4" t="s">
        <v>68</v>
      </c>
      <c r="E175" s="4" t="s">
        <v>69</v>
      </c>
      <c r="F175" s="4" t="s">
        <v>57</v>
      </c>
      <c r="G175" s="4" t="s">
        <v>58</v>
      </c>
      <c r="H175" s="4" t="s">
        <v>59</v>
      </c>
      <c r="I175" s="3"/>
      <c r="J175" s="3"/>
      <c r="K175" s="3"/>
      <c r="L175" s="3"/>
      <c r="M175" s="3"/>
      <c r="N175" s="3"/>
      <c r="O175" s="3"/>
      <c r="P175" s="8"/>
      <c r="Q175" s="8"/>
      <c r="R175" s="3"/>
      <c r="S175" s="3"/>
      <c r="T175" s="3"/>
      <c r="U175" s="5" t="str">
        <f t="shared" si="9"/>
        <v/>
      </c>
    </row>
    <row r="176" spans="1:21" ht="28" customHeight="1" x14ac:dyDescent="0.35">
      <c r="A176" s="4">
        <v>6</v>
      </c>
      <c r="B176" s="4" t="s">
        <v>70</v>
      </c>
      <c r="C176" s="4" t="s">
        <v>71</v>
      </c>
      <c r="D176" s="4" t="s">
        <v>72</v>
      </c>
      <c r="E176" s="4" t="s">
        <v>70</v>
      </c>
      <c r="F176" s="4" t="s">
        <v>57</v>
      </c>
      <c r="G176" s="4" t="s">
        <v>58</v>
      </c>
      <c r="H176" s="4" t="s">
        <v>59</v>
      </c>
      <c r="I176" s="3"/>
      <c r="J176" s="3"/>
      <c r="K176" s="3"/>
      <c r="L176" s="3"/>
      <c r="M176" s="3"/>
      <c r="N176" s="3"/>
      <c r="O176" s="3"/>
      <c r="P176" s="8"/>
      <c r="Q176" s="8"/>
      <c r="R176" s="3"/>
      <c r="S176" s="3"/>
      <c r="T176" s="3"/>
      <c r="U176" s="5" t="str">
        <f t="shared" si="9"/>
        <v/>
      </c>
    </row>
    <row r="177" spans="1:21" ht="28" customHeight="1" x14ac:dyDescent="0.35">
      <c r="A177" s="4">
        <v>7</v>
      </c>
      <c r="B177" s="4" t="s">
        <v>73</v>
      </c>
      <c r="C177" s="4" t="s">
        <v>74</v>
      </c>
      <c r="D177" s="4" t="s">
        <v>75</v>
      </c>
      <c r="E177" s="4" t="s">
        <v>69</v>
      </c>
      <c r="F177" s="4" t="s">
        <v>57</v>
      </c>
      <c r="G177" s="4" t="s">
        <v>58</v>
      </c>
      <c r="H177" s="4" t="s">
        <v>76</v>
      </c>
      <c r="I177" s="3"/>
      <c r="J177" s="3"/>
      <c r="K177" s="3"/>
      <c r="L177" s="3"/>
      <c r="M177" s="3"/>
      <c r="N177" s="3"/>
      <c r="O177" s="3"/>
      <c r="P177" s="8"/>
      <c r="Q177" s="8"/>
      <c r="R177" s="3"/>
      <c r="S177" s="3"/>
      <c r="T177" s="3"/>
      <c r="U177" s="5" t="str">
        <f t="shared" si="9"/>
        <v/>
      </c>
    </row>
    <row r="178" spans="1:21" ht="28" customHeight="1" x14ac:dyDescent="0.35">
      <c r="A178" s="4">
        <v>8</v>
      </c>
      <c r="B178" s="4" t="s">
        <v>77</v>
      </c>
      <c r="C178" s="4" t="s">
        <v>78</v>
      </c>
      <c r="D178" s="4" t="s">
        <v>79</v>
      </c>
      <c r="E178" s="4" t="s">
        <v>80</v>
      </c>
      <c r="F178" s="4" t="s">
        <v>57</v>
      </c>
      <c r="G178" s="4" t="s">
        <v>58</v>
      </c>
      <c r="H178" s="4" t="s">
        <v>59</v>
      </c>
      <c r="I178" s="3"/>
      <c r="J178" s="3"/>
      <c r="K178" s="3"/>
      <c r="L178" s="3"/>
      <c r="M178" s="3"/>
      <c r="N178" s="3"/>
      <c r="O178" s="3"/>
      <c r="P178" s="8"/>
      <c r="Q178" s="8"/>
      <c r="R178" s="3"/>
      <c r="S178" s="3"/>
      <c r="T178" s="3"/>
      <c r="U178" s="5" t="str">
        <f t="shared" si="9"/>
        <v/>
      </c>
    </row>
    <row r="179" spans="1:21" ht="28" customHeight="1" x14ac:dyDescent="0.35">
      <c r="A179" s="4">
        <v>9</v>
      </c>
      <c r="B179" s="4" t="s">
        <v>81</v>
      </c>
      <c r="C179" s="4" t="s">
        <v>82</v>
      </c>
      <c r="D179" s="4" t="s">
        <v>83</v>
      </c>
      <c r="E179" s="4" t="s">
        <v>84</v>
      </c>
      <c r="F179" s="4" t="s">
        <v>57</v>
      </c>
      <c r="G179" s="4" t="s">
        <v>58</v>
      </c>
      <c r="H179" s="4" t="s">
        <v>85</v>
      </c>
      <c r="I179" s="3"/>
      <c r="J179" s="3"/>
      <c r="K179" s="3"/>
      <c r="L179" s="3"/>
      <c r="M179" s="3"/>
      <c r="N179" s="3"/>
      <c r="O179" s="3"/>
      <c r="P179" s="8"/>
      <c r="Q179" s="8"/>
      <c r="R179" s="3"/>
      <c r="S179" s="3"/>
      <c r="T179" s="3"/>
      <c r="U179" s="5" t="str">
        <f t="shared" si="9"/>
        <v/>
      </c>
    </row>
    <row r="180" spans="1:21" ht="28" customHeight="1" x14ac:dyDescent="0.35">
      <c r="A180" s="4">
        <v>10</v>
      </c>
      <c r="B180" s="4" t="s">
        <v>86</v>
      </c>
      <c r="C180" s="4" t="s">
        <v>87</v>
      </c>
      <c r="D180" s="4" t="s">
        <v>88</v>
      </c>
      <c r="E180" s="4" t="s">
        <v>69</v>
      </c>
      <c r="F180" s="4" t="s">
        <v>57</v>
      </c>
      <c r="G180" s="4" t="s">
        <v>58</v>
      </c>
      <c r="H180" s="4" t="s">
        <v>59</v>
      </c>
      <c r="I180" s="3"/>
      <c r="J180" s="3"/>
      <c r="K180" s="3"/>
      <c r="L180" s="3"/>
      <c r="M180" s="3"/>
      <c r="N180" s="3"/>
      <c r="O180" s="3"/>
      <c r="P180" s="8"/>
      <c r="Q180" s="8"/>
      <c r="R180" s="3"/>
      <c r="S180" s="3"/>
      <c r="T180" s="3"/>
      <c r="U180" s="5" t="str">
        <f t="shared" si="9"/>
        <v/>
      </c>
    </row>
    <row r="181" spans="1:21" ht="28" customHeight="1" x14ac:dyDescent="0.35">
      <c r="A181" s="4">
        <v>11</v>
      </c>
      <c r="B181" s="4" t="s">
        <v>89</v>
      </c>
      <c r="C181" s="4" t="s">
        <v>90</v>
      </c>
      <c r="D181" s="4" t="s">
        <v>91</v>
      </c>
      <c r="E181" s="4" t="s">
        <v>84</v>
      </c>
      <c r="F181" s="4" t="s">
        <v>57</v>
      </c>
      <c r="G181" s="4" t="s">
        <v>58</v>
      </c>
      <c r="H181" s="4" t="s">
        <v>59</v>
      </c>
      <c r="I181" s="3"/>
      <c r="J181" s="3"/>
      <c r="K181" s="3"/>
      <c r="L181" s="3"/>
      <c r="M181" s="3"/>
      <c r="N181" s="3"/>
      <c r="O181" s="3"/>
      <c r="P181" s="8"/>
      <c r="Q181" s="8"/>
      <c r="R181" s="3"/>
      <c r="S181" s="3"/>
      <c r="T181" s="3"/>
      <c r="U181" s="5" t="str">
        <f t="shared" si="9"/>
        <v/>
      </c>
    </row>
    <row r="182" spans="1:21" ht="28" customHeight="1" x14ac:dyDescent="0.35">
      <c r="A182" s="4">
        <v>12</v>
      </c>
      <c r="B182" s="4" t="s">
        <v>92</v>
      </c>
      <c r="C182" s="4" t="s">
        <v>93</v>
      </c>
      <c r="D182" s="4" t="s">
        <v>94</v>
      </c>
      <c r="E182" s="4" t="s">
        <v>69</v>
      </c>
      <c r="F182" s="4" t="s">
        <v>95</v>
      </c>
      <c r="G182" s="4" t="s">
        <v>96</v>
      </c>
      <c r="H182" s="4" t="s">
        <v>59</v>
      </c>
      <c r="I182" s="3"/>
      <c r="J182" s="3"/>
      <c r="K182" s="3"/>
      <c r="L182" s="3"/>
      <c r="M182" s="3"/>
      <c r="N182" s="3"/>
      <c r="O182" s="3"/>
      <c r="P182" s="8"/>
      <c r="Q182" s="8"/>
      <c r="R182" s="3"/>
      <c r="S182" s="3"/>
      <c r="T182" s="3"/>
      <c r="U182" s="5" t="str">
        <f t="shared" si="9"/>
        <v/>
      </c>
    </row>
    <row r="183" spans="1:21" ht="28" customHeight="1" x14ac:dyDescent="0.35">
      <c r="A183" s="4">
        <v>13</v>
      </c>
      <c r="B183" s="4" t="s">
        <v>97</v>
      </c>
      <c r="C183" s="4" t="s">
        <v>98</v>
      </c>
      <c r="D183" s="4" t="s">
        <v>99</v>
      </c>
      <c r="E183" s="4" t="s">
        <v>69</v>
      </c>
      <c r="F183" s="4" t="s">
        <v>95</v>
      </c>
      <c r="G183" s="4" t="s">
        <v>96</v>
      </c>
      <c r="H183" s="4" t="s">
        <v>59</v>
      </c>
      <c r="I183" s="3"/>
      <c r="J183" s="3"/>
      <c r="K183" s="3"/>
      <c r="L183" s="3"/>
      <c r="M183" s="3"/>
      <c r="N183" s="3"/>
      <c r="O183" s="3"/>
      <c r="P183" s="8"/>
      <c r="Q183" s="8"/>
      <c r="R183" s="3"/>
      <c r="S183" s="3"/>
      <c r="T183" s="3"/>
      <c r="U183" s="5" t="str">
        <f t="shared" si="9"/>
        <v/>
      </c>
    </row>
    <row r="184" spans="1:21" ht="28" customHeight="1" x14ac:dyDescent="0.35">
      <c r="A184" s="4">
        <v>14</v>
      </c>
      <c r="B184" s="4" t="s">
        <v>97</v>
      </c>
      <c r="C184" s="4" t="s">
        <v>100</v>
      </c>
      <c r="D184" s="4" t="s">
        <v>101</v>
      </c>
      <c r="E184" s="4" t="s">
        <v>69</v>
      </c>
      <c r="F184" s="4" t="s">
        <v>95</v>
      </c>
      <c r="G184" s="4" t="s">
        <v>102</v>
      </c>
      <c r="H184" s="4" t="s">
        <v>59</v>
      </c>
      <c r="I184" s="3"/>
      <c r="J184" s="3"/>
      <c r="K184" s="3"/>
      <c r="L184" s="3"/>
      <c r="M184" s="3"/>
      <c r="N184" s="3"/>
      <c r="O184" s="3"/>
      <c r="P184" s="8"/>
      <c r="Q184" s="8"/>
      <c r="R184" s="3"/>
      <c r="S184" s="3"/>
      <c r="T184" s="3"/>
      <c r="U184" s="5" t="str">
        <f t="shared" si="9"/>
        <v/>
      </c>
    </row>
    <row r="185" spans="1:21" ht="28" customHeight="1" x14ac:dyDescent="0.35">
      <c r="A185" s="4">
        <v>15</v>
      </c>
      <c r="B185" s="4" t="s">
        <v>103</v>
      </c>
      <c r="C185" s="4" t="s">
        <v>104</v>
      </c>
      <c r="D185" s="4" t="s">
        <v>105</v>
      </c>
      <c r="E185" s="4" t="s">
        <v>69</v>
      </c>
      <c r="F185" s="4" t="s">
        <v>95</v>
      </c>
      <c r="G185" s="4" t="s">
        <v>96</v>
      </c>
      <c r="H185" s="4" t="s">
        <v>85</v>
      </c>
      <c r="I185" s="3"/>
      <c r="J185" s="3"/>
      <c r="K185" s="3"/>
      <c r="L185" s="3"/>
      <c r="M185" s="3"/>
      <c r="N185" s="3"/>
      <c r="O185" s="3"/>
      <c r="P185" s="8"/>
      <c r="Q185" s="8"/>
      <c r="R185" s="3"/>
      <c r="S185" s="3"/>
      <c r="T185" s="3"/>
      <c r="U185" s="5" t="str">
        <f t="shared" si="9"/>
        <v/>
      </c>
    </row>
    <row r="186" spans="1:21" ht="28" customHeight="1" x14ac:dyDescent="0.35">
      <c r="A186" s="4">
        <v>16</v>
      </c>
      <c r="B186" s="4" t="s">
        <v>106</v>
      </c>
      <c r="C186" s="4" t="s">
        <v>107</v>
      </c>
      <c r="D186" s="4" t="s">
        <v>108</v>
      </c>
      <c r="E186" s="4" t="s">
        <v>109</v>
      </c>
      <c r="F186" s="4" t="s">
        <v>95</v>
      </c>
      <c r="G186" s="4" t="s">
        <v>96</v>
      </c>
      <c r="H186" s="4" t="s">
        <v>59</v>
      </c>
      <c r="I186" s="3"/>
      <c r="J186" s="3"/>
      <c r="K186" s="3"/>
      <c r="L186" s="3"/>
      <c r="M186" s="3"/>
      <c r="N186" s="3"/>
      <c r="O186" s="3"/>
      <c r="P186" s="8"/>
      <c r="Q186" s="8"/>
      <c r="R186" s="3"/>
      <c r="S186" s="3"/>
      <c r="T186" s="3"/>
      <c r="U186" s="5" t="str">
        <f t="shared" si="9"/>
        <v/>
      </c>
    </row>
    <row r="188" spans="1:21" ht="28" customHeight="1" x14ac:dyDescent="0.35">
      <c r="A188" s="9" t="s">
        <v>110</v>
      </c>
      <c r="B188" s="16"/>
      <c r="C188" s="17"/>
      <c r="D188" s="17"/>
      <c r="E188" s="17"/>
      <c r="F188" s="17"/>
      <c r="G188" s="17"/>
      <c r="H188" s="17"/>
      <c r="I188" s="17"/>
      <c r="J188" s="17"/>
      <c r="K188" s="17"/>
      <c r="L188" s="17"/>
      <c r="M188" s="17"/>
      <c r="N188" s="17"/>
      <c r="O188" s="17"/>
      <c r="P188" s="17"/>
      <c r="Q188" s="17"/>
      <c r="R188" s="17"/>
      <c r="S188" s="17"/>
      <c r="T188" s="17"/>
      <c r="U188" s="18"/>
    </row>
    <row r="189" spans="1:21" ht="28" customHeight="1" x14ac:dyDescent="0.35">
      <c r="A189" s="19" t="s">
        <v>615</v>
      </c>
      <c r="B189" s="20"/>
      <c r="C189" s="20"/>
      <c r="D189" s="20"/>
      <c r="E189" s="20"/>
      <c r="F189" s="20"/>
      <c r="G189" s="20"/>
      <c r="H189" s="20"/>
      <c r="I189" s="20"/>
      <c r="J189" s="20"/>
      <c r="K189" s="20"/>
      <c r="L189" s="20"/>
      <c r="M189" s="20"/>
      <c r="N189" s="20"/>
      <c r="O189" s="20"/>
      <c r="P189" s="20"/>
      <c r="Q189" s="20"/>
      <c r="R189" s="20"/>
      <c r="S189" s="20"/>
      <c r="T189" s="20"/>
      <c r="U189" s="21"/>
    </row>
    <row r="190" spans="1:21" ht="28" customHeight="1" x14ac:dyDescent="0.35">
      <c r="A190" s="4" t="s">
        <v>31</v>
      </c>
      <c r="B190" s="3" t="s">
        <v>26</v>
      </c>
      <c r="C190" s="4" t="s">
        <v>32</v>
      </c>
      <c r="D190" s="3"/>
      <c r="E190" s="4" t="s">
        <v>33</v>
      </c>
      <c r="F190" s="8"/>
    </row>
    <row r="191" spans="1:21" ht="28" customHeight="1" x14ac:dyDescent="0.35">
      <c r="A191" s="1" t="s">
        <v>34</v>
      </c>
      <c r="B191" s="1" t="s">
        <v>35</v>
      </c>
      <c r="C191" s="1" t="s">
        <v>36</v>
      </c>
      <c r="D191" s="1" t="s">
        <v>37</v>
      </c>
      <c r="E191" s="1" t="s">
        <v>38</v>
      </c>
      <c r="F191" s="1" t="s">
        <v>39</v>
      </c>
      <c r="G191" s="1" t="s">
        <v>40</v>
      </c>
      <c r="H191" s="1" t="s">
        <v>41</v>
      </c>
      <c r="I191" s="1" t="s">
        <v>42</v>
      </c>
      <c r="J191" s="1" t="s">
        <v>43</v>
      </c>
      <c r="K191" s="1" t="s">
        <v>44</v>
      </c>
      <c r="L191" s="1" t="s">
        <v>45</v>
      </c>
      <c r="M191" s="1" t="s">
        <v>46</v>
      </c>
      <c r="N191" s="1" t="s">
        <v>47</v>
      </c>
      <c r="O191" s="1" t="s">
        <v>48</v>
      </c>
      <c r="P191" s="1" t="s">
        <v>4</v>
      </c>
      <c r="Q191" s="1" t="s">
        <v>49</v>
      </c>
      <c r="R191" s="1" t="s">
        <v>50</v>
      </c>
      <c r="S191" s="1" t="s">
        <v>51</v>
      </c>
      <c r="T191" s="1" t="s">
        <v>52</v>
      </c>
      <c r="U191" s="1" t="s">
        <v>10</v>
      </c>
    </row>
    <row r="192" spans="1:21" ht="28" customHeight="1" x14ac:dyDescent="0.35">
      <c r="A192" s="4">
        <v>1</v>
      </c>
      <c r="B192" s="4" t="s">
        <v>53</v>
      </c>
      <c r="C192" s="4" t="s">
        <v>600</v>
      </c>
      <c r="D192" s="4" t="s">
        <v>601</v>
      </c>
      <c r="E192" s="4" t="s">
        <v>56</v>
      </c>
      <c r="F192" s="4" t="s">
        <v>57</v>
      </c>
      <c r="G192" s="4" t="s">
        <v>58</v>
      </c>
      <c r="H192" s="4" t="s">
        <v>59</v>
      </c>
      <c r="I192" s="3"/>
      <c r="J192" s="3"/>
      <c r="K192" s="3"/>
      <c r="L192" s="3"/>
      <c r="M192" s="3"/>
      <c r="N192" s="3"/>
      <c r="O192" s="3"/>
      <c r="P192" s="8"/>
      <c r="Q192" s="8"/>
      <c r="R192" s="3"/>
      <c r="S192" s="3"/>
      <c r="T192" s="3"/>
      <c r="U192" s="5" t="str">
        <f t="shared" ref="U192:U207" si="10">IF(I192="","",IF(I192="NA","Grey",IF(I192=2,"Green",IF(I192=1,"Amber","Red"))))</f>
        <v/>
      </c>
    </row>
    <row r="193" spans="1:21" ht="28" customHeight="1" x14ac:dyDescent="0.35">
      <c r="A193" s="4">
        <v>2</v>
      </c>
      <c r="B193" s="4" t="s">
        <v>53</v>
      </c>
      <c r="C193" s="4" t="s">
        <v>602</v>
      </c>
      <c r="D193" s="4" t="s">
        <v>603</v>
      </c>
      <c r="E193" s="4" t="s">
        <v>56</v>
      </c>
      <c r="F193" s="4" t="s">
        <v>57</v>
      </c>
      <c r="G193" s="4" t="s">
        <v>58</v>
      </c>
      <c r="H193" s="4" t="s">
        <v>59</v>
      </c>
      <c r="I193" s="3"/>
      <c r="J193" s="3"/>
      <c r="K193" s="3"/>
      <c r="L193" s="3"/>
      <c r="M193" s="3"/>
      <c r="N193" s="3"/>
      <c r="O193" s="3"/>
      <c r="P193" s="8"/>
      <c r="Q193" s="8"/>
      <c r="R193" s="3"/>
      <c r="S193" s="3"/>
      <c r="T193" s="3"/>
      <c r="U193" s="5" t="str">
        <f t="shared" si="10"/>
        <v/>
      </c>
    </row>
    <row r="194" spans="1:21" ht="28" customHeight="1" x14ac:dyDescent="0.35">
      <c r="A194" s="4">
        <v>3</v>
      </c>
      <c r="B194" s="4" t="s">
        <v>53</v>
      </c>
      <c r="C194" s="4" t="s">
        <v>604</v>
      </c>
      <c r="D194" s="4" t="s">
        <v>605</v>
      </c>
      <c r="E194" s="4" t="s">
        <v>56</v>
      </c>
      <c r="F194" s="4" t="s">
        <v>57</v>
      </c>
      <c r="G194" s="4" t="s">
        <v>58</v>
      </c>
      <c r="H194" s="4" t="s">
        <v>59</v>
      </c>
      <c r="I194" s="3"/>
      <c r="J194" s="3"/>
      <c r="K194" s="3"/>
      <c r="L194" s="3"/>
      <c r="M194" s="3"/>
      <c r="N194" s="3"/>
      <c r="O194" s="3"/>
      <c r="P194" s="8"/>
      <c r="Q194" s="8"/>
      <c r="R194" s="3"/>
      <c r="S194" s="3"/>
      <c r="T194" s="3"/>
      <c r="U194" s="5" t="str">
        <f t="shared" si="10"/>
        <v/>
      </c>
    </row>
    <row r="195" spans="1:21" ht="28" customHeight="1" x14ac:dyDescent="0.35">
      <c r="A195" s="4">
        <v>4</v>
      </c>
      <c r="B195" s="4" t="s">
        <v>53</v>
      </c>
      <c r="C195" s="4" t="s">
        <v>606</v>
      </c>
      <c r="D195" s="4" t="s">
        <v>607</v>
      </c>
      <c r="E195" s="4" t="s">
        <v>56</v>
      </c>
      <c r="F195" s="4" t="s">
        <v>57</v>
      </c>
      <c r="G195" s="4" t="s">
        <v>58</v>
      </c>
      <c r="H195" s="4" t="s">
        <v>59</v>
      </c>
      <c r="I195" s="3"/>
      <c r="J195" s="3"/>
      <c r="K195" s="3"/>
      <c r="L195" s="3"/>
      <c r="M195" s="3"/>
      <c r="N195" s="3"/>
      <c r="O195" s="3"/>
      <c r="P195" s="8"/>
      <c r="Q195" s="8"/>
      <c r="R195" s="3"/>
      <c r="S195" s="3"/>
      <c r="T195" s="3"/>
      <c r="U195" s="5" t="str">
        <f t="shared" si="10"/>
        <v/>
      </c>
    </row>
    <row r="196" spans="1:21" ht="28" customHeight="1" x14ac:dyDescent="0.35">
      <c r="A196" s="4">
        <v>5</v>
      </c>
      <c r="B196" s="4" t="s">
        <v>66</v>
      </c>
      <c r="C196" s="4" t="s">
        <v>67</v>
      </c>
      <c r="D196" s="4" t="s">
        <v>68</v>
      </c>
      <c r="E196" s="4" t="s">
        <v>69</v>
      </c>
      <c r="F196" s="4" t="s">
        <v>57</v>
      </c>
      <c r="G196" s="4" t="s">
        <v>58</v>
      </c>
      <c r="H196" s="4" t="s">
        <v>59</v>
      </c>
      <c r="I196" s="3"/>
      <c r="J196" s="3"/>
      <c r="K196" s="3"/>
      <c r="L196" s="3"/>
      <c r="M196" s="3"/>
      <c r="N196" s="3"/>
      <c r="O196" s="3"/>
      <c r="P196" s="8"/>
      <c r="Q196" s="8"/>
      <c r="R196" s="3"/>
      <c r="S196" s="3"/>
      <c r="T196" s="3"/>
      <c r="U196" s="5" t="str">
        <f t="shared" si="10"/>
        <v/>
      </c>
    </row>
    <row r="197" spans="1:21" ht="28" customHeight="1" x14ac:dyDescent="0.35">
      <c r="A197" s="4">
        <v>6</v>
      </c>
      <c r="B197" s="4" t="s">
        <v>70</v>
      </c>
      <c r="C197" s="4" t="s">
        <v>71</v>
      </c>
      <c r="D197" s="4" t="s">
        <v>72</v>
      </c>
      <c r="E197" s="4" t="s">
        <v>70</v>
      </c>
      <c r="F197" s="4" t="s">
        <v>57</v>
      </c>
      <c r="G197" s="4" t="s">
        <v>58</v>
      </c>
      <c r="H197" s="4" t="s">
        <v>59</v>
      </c>
      <c r="I197" s="3"/>
      <c r="J197" s="3"/>
      <c r="K197" s="3"/>
      <c r="L197" s="3"/>
      <c r="M197" s="3"/>
      <c r="N197" s="3"/>
      <c r="O197" s="3"/>
      <c r="P197" s="8"/>
      <c r="Q197" s="8"/>
      <c r="R197" s="3"/>
      <c r="S197" s="3"/>
      <c r="T197" s="3"/>
      <c r="U197" s="5" t="str">
        <f t="shared" si="10"/>
        <v/>
      </c>
    </row>
    <row r="198" spans="1:21" ht="28" customHeight="1" x14ac:dyDescent="0.35">
      <c r="A198" s="4">
        <v>7</v>
      </c>
      <c r="B198" s="4" t="s">
        <v>73</v>
      </c>
      <c r="C198" s="4" t="s">
        <v>74</v>
      </c>
      <c r="D198" s="4" t="s">
        <v>75</v>
      </c>
      <c r="E198" s="4" t="s">
        <v>69</v>
      </c>
      <c r="F198" s="4" t="s">
        <v>57</v>
      </c>
      <c r="G198" s="4" t="s">
        <v>58</v>
      </c>
      <c r="H198" s="4" t="s">
        <v>76</v>
      </c>
      <c r="I198" s="3"/>
      <c r="J198" s="3"/>
      <c r="K198" s="3"/>
      <c r="L198" s="3"/>
      <c r="M198" s="3"/>
      <c r="N198" s="3"/>
      <c r="O198" s="3"/>
      <c r="P198" s="8"/>
      <c r="Q198" s="8"/>
      <c r="R198" s="3"/>
      <c r="S198" s="3"/>
      <c r="T198" s="3"/>
      <c r="U198" s="5" t="str">
        <f t="shared" si="10"/>
        <v/>
      </c>
    </row>
    <row r="199" spans="1:21" ht="28" customHeight="1" x14ac:dyDescent="0.35">
      <c r="A199" s="4">
        <v>8</v>
      </c>
      <c r="B199" s="4" t="s">
        <v>77</v>
      </c>
      <c r="C199" s="4" t="s">
        <v>78</v>
      </c>
      <c r="D199" s="4" t="s">
        <v>79</v>
      </c>
      <c r="E199" s="4" t="s">
        <v>80</v>
      </c>
      <c r="F199" s="4" t="s">
        <v>57</v>
      </c>
      <c r="G199" s="4" t="s">
        <v>58</v>
      </c>
      <c r="H199" s="4" t="s">
        <v>59</v>
      </c>
      <c r="I199" s="3"/>
      <c r="J199" s="3"/>
      <c r="K199" s="3"/>
      <c r="L199" s="3"/>
      <c r="M199" s="3"/>
      <c r="N199" s="3"/>
      <c r="O199" s="3"/>
      <c r="P199" s="8"/>
      <c r="Q199" s="8"/>
      <c r="R199" s="3"/>
      <c r="S199" s="3"/>
      <c r="T199" s="3"/>
      <c r="U199" s="5" t="str">
        <f t="shared" si="10"/>
        <v/>
      </c>
    </row>
    <row r="200" spans="1:21" ht="28" customHeight="1" x14ac:dyDescent="0.35">
      <c r="A200" s="4">
        <v>9</v>
      </c>
      <c r="B200" s="4" t="s">
        <v>81</v>
      </c>
      <c r="C200" s="4" t="s">
        <v>82</v>
      </c>
      <c r="D200" s="4" t="s">
        <v>83</v>
      </c>
      <c r="E200" s="4" t="s">
        <v>84</v>
      </c>
      <c r="F200" s="4" t="s">
        <v>57</v>
      </c>
      <c r="G200" s="4" t="s">
        <v>58</v>
      </c>
      <c r="H200" s="4" t="s">
        <v>85</v>
      </c>
      <c r="I200" s="3"/>
      <c r="J200" s="3"/>
      <c r="K200" s="3"/>
      <c r="L200" s="3"/>
      <c r="M200" s="3"/>
      <c r="N200" s="3"/>
      <c r="O200" s="3"/>
      <c r="P200" s="8"/>
      <c r="Q200" s="8"/>
      <c r="R200" s="3"/>
      <c r="S200" s="3"/>
      <c r="T200" s="3"/>
      <c r="U200" s="5" t="str">
        <f t="shared" si="10"/>
        <v/>
      </c>
    </row>
    <row r="201" spans="1:21" ht="28" customHeight="1" x14ac:dyDescent="0.35">
      <c r="A201" s="4">
        <v>10</v>
      </c>
      <c r="B201" s="4" t="s">
        <v>86</v>
      </c>
      <c r="C201" s="4" t="s">
        <v>87</v>
      </c>
      <c r="D201" s="4" t="s">
        <v>88</v>
      </c>
      <c r="E201" s="4" t="s">
        <v>69</v>
      </c>
      <c r="F201" s="4" t="s">
        <v>57</v>
      </c>
      <c r="G201" s="4" t="s">
        <v>58</v>
      </c>
      <c r="H201" s="4" t="s">
        <v>59</v>
      </c>
      <c r="I201" s="3"/>
      <c r="J201" s="3"/>
      <c r="K201" s="3"/>
      <c r="L201" s="3"/>
      <c r="M201" s="3"/>
      <c r="N201" s="3"/>
      <c r="O201" s="3"/>
      <c r="P201" s="8"/>
      <c r="Q201" s="8"/>
      <c r="R201" s="3"/>
      <c r="S201" s="3"/>
      <c r="T201" s="3"/>
      <c r="U201" s="5" t="str">
        <f t="shared" si="10"/>
        <v/>
      </c>
    </row>
    <row r="202" spans="1:21" ht="28" customHeight="1" x14ac:dyDescent="0.35">
      <c r="A202" s="4">
        <v>11</v>
      </c>
      <c r="B202" s="4" t="s">
        <v>89</v>
      </c>
      <c r="C202" s="4" t="s">
        <v>90</v>
      </c>
      <c r="D202" s="4" t="s">
        <v>91</v>
      </c>
      <c r="E202" s="4" t="s">
        <v>84</v>
      </c>
      <c r="F202" s="4" t="s">
        <v>57</v>
      </c>
      <c r="G202" s="4" t="s">
        <v>58</v>
      </c>
      <c r="H202" s="4" t="s">
        <v>59</v>
      </c>
      <c r="I202" s="3"/>
      <c r="J202" s="3"/>
      <c r="K202" s="3"/>
      <c r="L202" s="3"/>
      <c r="M202" s="3"/>
      <c r="N202" s="3"/>
      <c r="O202" s="3"/>
      <c r="P202" s="8"/>
      <c r="Q202" s="8"/>
      <c r="R202" s="3"/>
      <c r="S202" s="3"/>
      <c r="T202" s="3"/>
      <c r="U202" s="5" t="str">
        <f t="shared" si="10"/>
        <v/>
      </c>
    </row>
    <row r="203" spans="1:21" ht="28" customHeight="1" x14ac:dyDescent="0.35">
      <c r="A203" s="4">
        <v>12</v>
      </c>
      <c r="B203" s="4" t="s">
        <v>92</v>
      </c>
      <c r="C203" s="4" t="s">
        <v>93</v>
      </c>
      <c r="D203" s="4" t="s">
        <v>94</v>
      </c>
      <c r="E203" s="4" t="s">
        <v>69</v>
      </c>
      <c r="F203" s="4" t="s">
        <v>95</v>
      </c>
      <c r="G203" s="4" t="s">
        <v>96</v>
      </c>
      <c r="H203" s="4" t="s">
        <v>59</v>
      </c>
      <c r="I203" s="3"/>
      <c r="J203" s="3"/>
      <c r="K203" s="3"/>
      <c r="L203" s="3"/>
      <c r="M203" s="3"/>
      <c r="N203" s="3"/>
      <c r="O203" s="3"/>
      <c r="P203" s="8"/>
      <c r="Q203" s="8"/>
      <c r="R203" s="3"/>
      <c r="S203" s="3"/>
      <c r="T203" s="3"/>
      <c r="U203" s="5" t="str">
        <f t="shared" si="10"/>
        <v/>
      </c>
    </row>
    <row r="204" spans="1:21" ht="28" customHeight="1" x14ac:dyDescent="0.35">
      <c r="A204" s="4">
        <v>13</v>
      </c>
      <c r="B204" s="4" t="s">
        <v>97</v>
      </c>
      <c r="C204" s="4" t="s">
        <v>98</v>
      </c>
      <c r="D204" s="4" t="s">
        <v>99</v>
      </c>
      <c r="E204" s="4" t="s">
        <v>69</v>
      </c>
      <c r="F204" s="4" t="s">
        <v>95</v>
      </c>
      <c r="G204" s="4" t="s">
        <v>96</v>
      </c>
      <c r="H204" s="4" t="s">
        <v>59</v>
      </c>
      <c r="I204" s="3"/>
      <c r="J204" s="3"/>
      <c r="K204" s="3"/>
      <c r="L204" s="3"/>
      <c r="M204" s="3"/>
      <c r="N204" s="3"/>
      <c r="O204" s="3"/>
      <c r="P204" s="8"/>
      <c r="Q204" s="8"/>
      <c r="R204" s="3"/>
      <c r="S204" s="3"/>
      <c r="T204" s="3"/>
      <c r="U204" s="5" t="str">
        <f t="shared" si="10"/>
        <v/>
      </c>
    </row>
    <row r="205" spans="1:21" ht="28" customHeight="1" x14ac:dyDescent="0.35">
      <c r="A205" s="4">
        <v>14</v>
      </c>
      <c r="B205" s="4" t="s">
        <v>97</v>
      </c>
      <c r="C205" s="4" t="s">
        <v>100</v>
      </c>
      <c r="D205" s="4" t="s">
        <v>101</v>
      </c>
      <c r="E205" s="4" t="s">
        <v>69</v>
      </c>
      <c r="F205" s="4" t="s">
        <v>95</v>
      </c>
      <c r="G205" s="4" t="s">
        <v>102</v>
      </c>
      <c r="H205" s="4" t="s">
        <v>59</v>
      </c>
      <c r="I205" s="3"/>
      <c r="J205" s="3"/>
      <c r="K205" s="3"/>
      <c r="L205" s="3"/>
      <c r="M205" s="3"/>
      <c r="N205" s="3"/>
      <c r="O205" s="3"/>
      <c r="P205" s="8"/>
      <c r="Q205" s="8"/>
      <c r="R205" s="3"/>
      <c r="S205" s="3"/>
      <c r="T205" s="3"/>
      <c r="U205" s="5" t="str">
        <f t="shared" si="10"/>
        <v/>
      </c>
    </row>
    <row r="206" spans="1:21" ht="28" customHeight="1" x14ac:dyDescent="0.35">
      <c r="A206" s="4">
        <v>15</v>
      </c>
      <c r="B206" s="4" t="s">
        <v>103</v>
      </c>
      <c r="C206" s="4" t="s">
        <v>104</v>
      </c>
      <c r="D206" s="4" t="s">
        <v>105</v>
      </c>
      <c r="E206" s="4" t="s">
        <v>69</v>
      </c>
      <c r="F206" s="4" t="s">
        <v>95</v>
      </c>
      <c r="G206" s="4" t="s">
        <v>96</v>
      </c>
      <c r="H206" s="4" t="s">
        <v>85</v>
      </c>
      <c r="I206" s="3"/>
      <c r="J206" s="3"/>
      <c r="K206" s="3"/>
      <c r="L206" s="3"/>
      <c r="M206" s="3"/>
      <c r="N206" s="3"/>
      <c r="O206" s="3"/>
      <c r="P206" s="8"/>
      <c r="Q206" s="8"/>
      <c r="R206" s="3"/>
      <c r="S206" s="3"/>
      <c r="T206" s="3"/>
      <c r="U206" s="5" t="str">
        <f t="shared" si="10"/>
        <v/>
      </c>
    </row>
    <row r="207" spans="1:21" ht="28" customHeight="1" x14ac:dyDescent="0.35">
      <c r="A207" s="4">
        <v>16</v>
      </c>
      <c r="B207" s="4" t="s">
        <v>106</v>
      </c>
      <c r="C207" s="4" t="s">
        <v>107</v>
      </c>
      <c r="D207" s="4" t="s">
        <v>108</v>
      </c>
      <c r="E207" s="4" t="s">
        <v>109</v>
      </c>
      <c r="F207" s="4" t="s">
        <v>95</v>
      </c>
      <c r="G207" s="4" t="s">
        <v>96</v>
      </c>
      <c r="H207" s="4" t="s">
        <v>59</v>
      </c>
      <c r="I207" s="3"/>
      <c r="J207" s="3"/>
      <c r="K207" s="3"/>
      <c r="L207" s="3"/>
      <c r="M207" s="3"/>
      <c r="N207" s="3"/>
      <c r="O207" s="3"/>
      <c r="P207" s="8"/>
      <c r="Q207" s="8"/>
      <c r="R207" s="3"/>
      <c r="S207" s="3"/>
      <c r="T207" s="3"/>
      <c r="U207" s="5" t="str">
        <f t="shared" si="10"/>
        <v/>
      </c>
    </row>
    <row r="209" spans="1:21" ht="28" customHeight="1" x14ac:dyDescent="0.35">
      <c r="A209" s="9" t="s">
        <v>110</v>
      </c>
      <c r="B209" s="16"/>
      <c r="C209" s="17"/>
      <c r="D209" s="17"/>
      <c r="E209" s="17"/>
      <c r="F209" s="17"/>
      <c r="G209" s="17"/>
      <c r="H209" s="17"/>
      <c r="I209" s="17"/>
      <c r="J209" s="17"/>
      <c r="K209" s="17"/>
      <c r="L209" s="17"/>
      <c r="M209" s="17"/>
      <c r="N209" s="17"/>
      <c r="O209" s="17"/>
      <c r="P209" s="17"/>
      <c r="Q209" s="17"/>
      <c r="R209" s="17"/>
      <c r="S209" s="17"/>
      <c r="T209" s="17"/>
      <c r="U209" s="18"/>
    </row>
    <row r="210" spans="1:21" ht="28" customHeight="1" x14ac:dyDescent="0.35">
      <c r="A210" s="19" t="s">
        <v>616</v>
      </c>
      <c r="B210" s="20"/>
      <c r="C210" s="20"/>
      <c r="D210" s="20"/>
      <c r="E210" s="20"/>
      <c r="F210" s="20"/>
      <c r="G210" s="20"/>
      <c r="H210" s="20"/>
      <c r="I210" s="20"/>
      <c r="J210" s="20"/>
      <c r="K210" s="20"/>
      <c r="L210" s="20"/>
      <c r="M210" s="20"/>
      <c r="N210" s="20"/>
      <c r="O210" s="20"/>
      <c r="P210" s="20"/>
      <c r="Q210" s="20"/>
      <c r="R210" s="20"/>
      <c r="S210" s="20"/>
      <c r="T210" s="20"/>
      <c r="U210" s="21"/>
    </row>
    <row r="211" spans="1:21" ht="28" customHeight="1" x14ac:dyDescent="0.35">
      <c r="A211" s="4" t="s">
        <v>31</v>
      </c>
      <c r="B211" s="3" t="s">
        <v>27</v>
      </c>
      <c r="C211" s="4" t="s">
        <v>32</v>
      </c>
      <c r="D211" s="3"/>
      <c r="E211" s="4" t="s">
        <v>33</v>
      </c>
      <c r="F211" s="8"/>
    </row>
    <row r="212" spans="1:21" ht="28" customHeight="1" x14ac:dyDescent="0.35">
      <c r="A212" s="1" t="s">
        <v>34</v>
      </c>
      <c r="B212" s="1" t="s">
        <v>35</v>
      </c>
      <c r="C212" s="1" t="s">
        <v>36</v>
      </c>
      <c r="D212" s="1" t="s">
        <v>37</v>
      </c>
      <c r="E212" s="1" t="s">
        <v>38</v>
      </c>
      <c r="F212" s="1" t="s">
        <v>39</v>
      </c>
      <c r="G212" s="1" t="s">
        <v>40</v>
      </c>
      <c r="H212" s="1" t="s">
        <v>41</v>
      </c>
      <c r="I212" s="1" t="s">
        <v>42</v>
      </c>
      <c r="J212" s="1" t="s">
        <v>43</v>
      </c>
      <c r="K212" s="1" t="s">
        <v>44</v>
      </c>
      <c r="L212" s="1" t="s">
        <v>45</v>
      </c>
      <c r="M212" s="1" t="s">
        <v>46</v>
      </c>
      <c r="N212" s="1" t="s">
        <v>47</v>
      </c>
      <c r="O212" s="1" t="s">
        <v>48</v>
      </c>
      <c r="P212" s="1" t="s">
        <v>4</v>
      </c>
      <c r="Q212" s="1" t="s">
        <v>49</v>
      </c>
      <c r="R212" s="1" t="s">
        <v>50</v>
      </c>
      <c r="S212" s="1" t="s">
        <v>51</v>
      </c>
      <c r="T212" s="1" t="s">
        <v>52</v>
      </c>
      <c r="U212" s="1" t="s">
        <v>10</v>
      </c>
    </row>
    <row r="213" spans="1:21" ht="28" customHeight="1" x14ac:dyDescent="0.35">
      <c r="A213" s="4">
        <v>1</v>
      </c>
      <c r="B213" s="4" t="s">
        <v>53</v>
      </c>
      <c r="C213" s="4" t="s">
        <v>600</v>
      </c>
      <c r="D213" s="4" t="s">
        <v>601</v>
      </c>
      <c r="E213" s="4" t="s">
        <v>56</v>
      </c>
      <c r="F213" s="4" t="s">
        <v>57</v>
      </c>
      <c r="G213" s="4" t="s">
        <v>58</v>
      </c>
      <c r="H213" s="4" t="s">
        <v>59</v>
      </c>
      <c r="I213" s="3"/>
      <c r="J213" s="3"/>
      <c r="K213" s="3"/>
      <c r="L213" s="3"/>
      <c r="M213" s="3"/>
      <c r="N213" s="3"/>
      <c r="O213" s="3"/>
      <c r="P213" s="8"/>
      <c r="Q213" s="8"/>
      <c r="R213" s="3"/>
      <c r="S213" s="3"/>
      <c r="T213" s="3"/>
      <c r="U213" s="5" t="str">
        <f t="shared" ref="U213:U228" si="11">IF(I213="","",IF(I213="NA","Grey",IF(I213=2,"Green",IF(I213=1,"Amber","Red"))))</f>
        <v/>
      </c>
    </row>
    <row r="214" spans="1:21" ht="28" customHeight="1" x14ac:dyDescent="0.35">
      <c r="A214" s="4">
        <v>2</v>
      </c>
      <c r="B214" s="4" t="s">
        <v>53</v>
      </c>
      <c r="C214" s="4" t="s">
        <v>602</v>
      </c>
      <c r="D214" s="4" t="s">
        <v>603</v>
      </c>
      <c r="E214" s="4" t="s">
        <v>56</v>
      </c>
      <c r="F214" s="4" t="s">
        <v>57</v>
      </c>
      <c r="G214" s="4" t="s">
        <v>58</v>
      </c>
      <c r="H214" s="4" t="s">
        <v>59</v>
      </c>
      <c r="I214" s="3"/>
      <c r="J214" s="3"/>
      <c r="K214" s="3"/>
      <c r="L214" s="3"/>
      <c r="M214" s="3"/>
      <c r="N214" s="3"/>
      <c r="O214" s="3"/>
      <c r="P214" s="8"/>
      <c r="Q214" s="8"/>
      <c r="R214" s="3"/>
      <c r="S214" s="3"/>
      <c r="T214" s="3"/>
      <c r="U214" s="5" t="str">
        <f t="shared" si="11"/>
        <v/>
      </c>
    </row>
    <row r="215" spans="1:21" ht="28" customHeight="1" x14ac:dyDescent="0.35">
      <c r="A215" s="4">
        <v>3</v>
      </c>
      <c r="B215" s="4" t="s">
        <v>53</v>
      </c>
      <c r="C215" s="4" t="s">
        <v>604</v>
      </c>
      <c r="D215" s="4" t="s">
        <v>605</v>
      </c>
      <c r="E215" s="4" t="s">
        <v>56</v>
      </c>
      <c r="F215" s="4" t="s">
        <v>57</v>
      </c>
      <c r="G215" s="4" t="s">
        <v>58</v>
      </c>
      <c r="H215" s="4" t="s">
        <v>59</v>
      </c>
      <c r="I215" s="3"/>
      <c r="J215" s="3"/>
      <c r="K215" s="3"/>
      <c r="L215" s="3"/>
      <c r="M215" s="3"/>
      <c r="N215" s="3"/>
      <c r="O215" s="3"/>
      <c r="P215" s="8"/>
      <c r="Q215" s="8"/>
      <c r="R215" s="3"/>
      <c r="S215" s="3"/>
      <c r="T215" s="3"/>
      <c r="U215" s="5" t="str">
        <f t="shared" si="11"/>
        <v/>
      </c>
    </row>
    <row r="216" spans="1:21" ht="28" customHeight="1" x14ac:dyDescent="0.35">
      <c r="A216" s="4">
        <v>4</v>
      </c>
      <c r="B216" s="4" t="s">
        <v>53</v>
      </c>
      <c r="C216" s="4" t="s">
        <v>606</v>
      </c>
      <c r="D216" s="4" t="s">
        <v>607</v>
      </c>
      <c r="E216" s="4" t="s">
        <v>56</v>
      </c>
      <c r="F216" s="4" t="s">
        <v>57</v>
      </c>
      <c r="G216" s="4" t="s">
        <v>58</v>
      </c>
      <c r="H216" s="4" t="s">
        <v>59</v>
      </c>
      <c r="I216" s="3"/>
      <c r="J216" s="3"/>
      <c r="K216" s="3"/>
      <c r="L216" s="3"/>
      <c r="M216" s="3"/>
      <c r="N216" s="3"/>
      <c r="O216" s="3"/>
      <c r="P216" s="8"/>
      <c r="Q216" s="8"/>
      <c r="R216" s="3"/>
      <c r="S216" s="3"/>
      <c r="T216" s="3"/>
      <c r="U216" s="5" t="str">
        <f t="shared" si="11"/>
        <v/>
      </c>
    </row>
    <row r="217" spans="1:21" ht="28" customHeight="1" x14ac:dyDescent="0.35">
      <c r="A217" s="4">
        <v>5</v>
      </c>
      <c r="B217" s="4" t="s">
        <v>66</v>
      </c>
      <c r="C217" s="4" t="s">
        <v>67</v>
      </c>
      <c r="D217" s="4" t="s">
        <v>68</v>
      </c>
      <c r="E217" s="4" t="s">
        <v>69</v>
      </c>
      <c r="F217" s="4" t="s">
        <v>57</v>
      </c>
      <c r="G217" s="4" t="s">
        <v>58</v>
      </c>
      <c r="H217" s="4" t="s">
        <v>59</v>
      </c>
      <c r="I217" s="3"/>
      <c r="J217" s="3"/>
      <c r="K217" s="3"/>
      <c r="L217" s="3"/>
      <c r="M217" s="3"/>
      <c r="N217" s="3"/>
      <c r="O217" s="3"/>
      <c r="P217" s="8"/>
      <c r="Q217" s="8"/>
      <c r="R217" s="3"/>
      <c r="S217" s="3"/>
      <c r="T217" s="3"/>
      <c r="U217" s="5" t="str">
        <f t="shared" si="11"/>
        <v/>
      </c>
    </row>
    <row r="218" spans="1:21" ht="28" customHeight="1" x14ac:dyDescent="0.35">
      <c r="A218" s="4">
        <v>6</v>
      </c>
      <c r="B218" s="4" t="s">
        <v>70</v>
      </c>
      <c r="C218" s="4" t="s">
        <v>71</v>
      </c>
      <c r="D218" s="4" t="s">
        <v>72</v>
      </c>
      <c r="E218" s="4" t="s">
        <v>70</v>
      </c>
      <c r="F218" s="4" t="s">
        <v>57</v>
      </c>
      <c r="G218" s="4" t="s">
        <v>58</v>
      </c>
      <c r="H218" s="4" t="s">
        <v>59</v>
      </c>
      <c r="I218" s="3"/>
      <c r="J218" s="3"/>
      <c r="K218" s="3"/>
      <c r="L218" s="3"/>
      <c r="M218" s="3"/>
      <c r="N218" s="3"/>
      <c r="O218" s="3"/>
      <c r="P218" s="8"/>
      <c r="Q218" s="8"/>
      <c r="R218" s="3"/>
      <c r="S218" s="3"/>
      <c r="T218" s="3"/>
      <c r="U218" s="5" t="str">
        <f t="shared" si="11"/>
        <v/>
      </c>
    </row>
    <row r="219" spans="1:21" ht="28" customHeight="1" x14ac:dyDescent="0.35">
      <c r="A219" s="4">
        <v>7</v>
      </c>
      <c r="B219" s="4" t="s">
        <v>73</v>
      </c>
      <c r="C219" s="4" t="s">
        <v>74</v>
      </c>
      <c r="D219" s="4" t="s">
        <v>75</v>
      </c>
      <c r="E219" s="4" t="s">
        <v>69</v>
      </c>
      <c r="F219" s="4" t="s">
        <v>57</v>
      </c>
      <c r="G219" s="4" t="s">
        <v>58</v>
      </c>
      <c r="H219" s="4" t="s">
        <v>76</v>
      </c>
      <c r="I219" s="3"/>
      <c r="J219" s="3"/>
      <c r="K219" s="3"/>
      <c r="L219" s="3"/>
      <c r="M219" s="3"/>
      <c r="N219" s="3"/>
      <c r="O219" s="3"/>
      <c r="P219" s="8"/>
      <c r="Q219" s="8"/>
      <c r="R219" s="3"/>
      <c r="S219" s="3"/>
      <c r="T219" s="3"/>
      <c r="U219" s="5" t="str">
        <f t="shared" si="11"/>
        <v/>
      </c>
    </row>
    <row r="220" spans="1:21" ht="28" customHeight="1" x14ac:dyDescent="0.35">
      <c r="A220" s="4">
        <v>8</v>
      </c>
      <c r="B220" s="4" t="s">
        <v>77</v>
      </c>
      <c r="C220" s="4" t="s">
        <v>78</v>
      </c>
      <c r="D220" s="4" t="s">
        <v>79</v>
      </c>
      <c r="E220" s="4" t="s">
        <v>80</v>
      </c>
      <c r="F220" s="4" t="s">
        <v>57</v>
      </c>
      <c r="G220" s="4" t="s">
        <v>58</v>
      </c>
      <c r="H220" s="4" t="s">
        <v>59</v>
      </c>
      <c r="I220" s="3"/>
      <c r="J220" s="3"/>
      <c r="K220" s="3"/>
      <c r="L220" s="3"/>
      <c r="M220" s="3"/>
      <c r="N220" s="3"/>
      <c r="O220" s="3"/>
      <c r="P220" s="8"/>
      <c r="Q220" s="8"/>
      <c r="R220" s="3"/>
      <c r="S220" s="3"/>
      <c r="T220" s="3"/>
      <c r="U220" s="5" t="str">
        <f t="shared" si="11"/>
        <v/>
      </c>
    </row>
    <row r="221" spans="1:21" ht="28" customHeight="1" x14ac:dyDescent="0.35">
      <c r="A221" s="4">
        <v>9</v>
      </c>
      <c r="B221" s="4" t="s">
        <v>81</v>
      </c>
      <c r="C221" s="4" t="s">
        <v>82</v>
      </c>
      <c r="D221" s="4" t="s">
        <v>83</v>
      </c>
      <c r="E221" s="4" t="s">
        <v>84</v>
      </c>
      <c r="F221" s="4" t="s">
        <v>57</v>
      </c>
      <c r="G221" s="4" t="s">
        <v>58</v>
      </c>
      <c r="H221" s="4" t="s">
        <v>85</v>
      </c>
      <c r="I221" s="3"/>
      <c r="J221" s="3"/>
      <c r="K221" s="3"/>
      <c r="L221" s="3"/>
      <c r="M221" s="3"/>
      <c r="N221" s="3"/>
      <c r="O221" s="3"/>
      <c r="P221" s="8"/>
      <c r="Q221" s="8"/>
      <c r="R221" s="3"/>
      <c r="S221" s="3"/>
      <c r="T221" s="3"/>
      <c r="U221" s="5" t="str">
        <f t="shared" si="11"/>
        <v/>
      </c>
    </row>
    <row r="222" spans="1:21" ht="28" customHeight="1" x14ac:dyDescent="0.35">
      <c r="A222" s="4">
        <v>10</v>
      </c>
      <c r="B222" s="4" t="s">
        <v>86</v>
      </c>
      <c r="C222" s="4" t="s">
        <v>87</v>
      </c>
      <c r="D222" s="4" t="s">
        <v>88</v>
      </c>
      <c r="E222" s="4" t="s">
        <v>69</v>
      </c>
      <c r="F222" s="4" t="s">
        <v>57</v>
      </c>
      <c r="G222" s="4" t="s">
        <v>58</v>
      </c>
      <c r="H222" s="4" t="s">
        <v>59</v>
      </c>
      <c r="I222" s="3"/>
      <c r="J222" s="3"/>
      <c r="K222" s="3"/>
      <c r="L222" s="3"/>
      <c r="M222" s="3"/>
      <c r="N222" s="3"/>
      <c r="O222" s="3"/>
      <c r="P222" s="8"/>
      <c r="Q222" s="8"/>
      <c r="R222" s="3"/>
      <c r="S222" s="3"/>
      <c r="T222" s="3"/>
      <c r="U222" s="5" t="str">
        <f t="shared" si="11"/>
        <v/>
      </c>
    </row>
    <row r="223" spans="1:21" ht="28" customHeight="1" x14ac:dyDescent="0.35">
      <c r="A223" s="4">
        <v>11</v>
      </c>
      <c r="B223" s="4" t="s">
        <v>89</v>
      </c>
      <c r="C223" s="4" t="s">
        <v>90</v>
      </c>
      <c r="D223" s="4" t="s">
        <v>91</v>
      </c>
      <c r="E223" s="4" t="s">
        <v>84</v>
      </c>
      <c r="F223" s="4" t="s">
        <v>57</v>
      </c>
      <c r="G223" s="4" t="s">
        <v>58</v>
      </c>
      <c r="H223" s="4" t="s">
        <v>59</v>
      </c>
      <c r="I223" s="3"/>
      <c r="J223" s="3"/>
      <c r="K223" s="3"/>
      <c r="L223" s="3"/>
      <c r="M223" s="3"/>
      <c r="N223" s="3"/>
      <c r="O223" s="3"/>
      <c r="P223" s="8"/>
      <c r="Q223" s="8"/>
      <c r="R223" s="3"/>
      <c r="S223" s="3"/>
      <c r="T223" s="3"/>
      <c r="U223" s="5" t="str">
        <f t="shared" si="11"/>
        <v/>
      </c>
    </row>
    <row r="224" spans="1:21" ht="28" customHeight="1" x14ac:dyDescent="0.35">
      <c r="A224" s="4">
        <v>12</v>
      </c>
      <c r="B224" s="4" t="s">
        <v>92</v>
      </c>
      <c r="C224" s="4" t="s">
        <v>93</v>
      </c>
      <c r="D224" s="4" t="s">
        <v>94</v>
      </c>
      <c r="E224" s="4" t="s">
        <v>69</v>
      </c>
      <c r="F224" s="4" t="s">
        <v>95</v>
      </c>
      <c r="G224" s="4" t="s">
        <v>96</v>
      </c>
      <c r="H224" s="4" t="s">
        <v>59</v>
      </c>
      <c r="I224" s="3"/>
      <c r="J224" s="3"/>
      <c r="K224" s="3"/>
      <c r="L224" s="3"/>
      <c r="M224" s="3"/>
      <c r="N224" s="3"/>
      <c r="O224" s="3"/>
      <c r="P224" s="8"/>
      <c r="Q224" s="8"/>
      <c r="R224" s="3"/>
      <c r="S224" s="3"/>
      <c r="T224" s="3"/>
      <c r="U224" s="5" t="str">
        <f t="shared" si="11"/>
        <v/>
      </c>
    </row>
    <row r="225" spans="1:21" ht="28" customHeight="1" x14ac:dyDescent="0.35">
      <c r="A225" s="4">
        <v>13</v>
      </c>
      <c r="B225" s="4" t="s">
        <v>97</v>
      </c>
      <c r="C225" s="4" t="s">
        <v>98</v>
      </c>
      <c r="D225" s="4" t="s">
        <v>99</v>
      </c>
      <c r="E225" s="4" t="s">
        <v>69</v>
      </c>
      <c r="F225" s="4" t="s">
        <v>95</v>
      </c>
      <c r="G225" s="4" t="s">
        <v>96</v>
      </c>
      <c r="H225" s="4" t="s">
        <v>59</v>
      </c>
      <c r="I225" s="3"/>
      <c r="J225" s="3"/>
      <c r="K225" s="3"/>
      <c r="L225" s="3"/>
      <c r="M225" s="3"/>
      <c r="N225" s="3"/>
      <c r="O225" s="3"/>
      <c r="P225" s="8"/>
      <c r="Q225" s="8"/>
      <c r="R225" s="3"/>
      <c r="S225" s="3"/>
      <c r="T225" s="3"/>
      <c r="U225" s="5" t="str">
        <f t="shared" si="11"/>
        <v/>
      </c>
    </row>
    <row r="226" spans="1:21" ht="28" customHeight="1" x14ac:dyDescent="0.35">
      <c r="A226" s="4">
        <v>14</v>
      </c>
      <c r="B226" s="4" t="s">
        <v>97</v>
      </c>
      <c r="C226" s="4" t="s">
        <v>100</v>
      </c>
      <c r="D226" s="4" t="s">
        <v>101</v>
      </c>
      <c r="E226" s="4" t="s">
        <v>69</v>
      </c>
      <c r="F226" s="4" t="s">
        <v>95</v>
      </c>
      <c r="G226" s="4" t="s">
        <v>102</v>
      </c>
      <c r="H226" s="4" t="s">
        <v>59</v>
      </c>
      <c r="I226" s="3"/>
      <c r="J226" s="3"/>
      <c r="K226" s="3"/>
      <c r="L226" s="3"/>
      <c r="M226" s="3"/>
      <c r="N226" s="3"/>
      <c r="O226" s="3"/>
      <c r="P226" s="8"/>
      <c r="Q226" s="8"/>
      <c r="R226" s="3"/>
      <c r="S226" s="3"/>
      <c r="T226" s="3"/>
      <c r="U226" s="5" t="str">
        <f t="shared" si="11"/>
        <v/>
      </c>
    </row>
    <row r="227" spans="1:21" ht="28" customHeight="1" x14ac:dyDescent="0.35">
      <c r="A227" s="4">
        <v>15</v>
      </c>
      <c r="B227" s="4" t="s">
        <v>103</v>
      </c>
      <c r="C227" s="4" t="s">
        <v>104</v>
      </c>
      <c r="D227" s="4" t="s">
        <v>105</v>
      </c>
      <c r="E227" s="4" t="s">
        <v>69</v>
      </c>
      <c r="F227" s="4" t="s">
        <v>95</v>
      </c>
      <c r="G227" s="4" t="s">
        <v>96</v>
      </c>
      <c r="H227" s="4" t="s">
        <v>85</v>
      </c>
      <c r="I227" s="3"/>
      <c r="J227" s="3"/>
      <c r="K227" s="3"/>
      <c r="L227" s="3"/>
      <c r="M227" s="3"/>
      <c r="N227" s="3"/>
      <c r="O227" s="3"/>
      <c r="P227" s="8"/>
      <c r="Q227" s="8"/>
      <c r="R227" s="3"/>
      <c r="S227" s="3"/>
      <c r="T227" s="3"/>
      <c r="U227" s="5" t="str">
        <f t="shared" si="11"/>
        <v/>
      </c>
    </row>
    <row r="228" spans="1:21" ht="28" customHeight="1" x14ac:dyDescent="0.35">
      <c r="A228" s="4">
        <v>16</v>
      </c>
      <c r="B228" s="4" t="s">
        <v>106</v>
      </c>
      <c r="C228" s="4" t="s">
        <v>107</v>
      </c>
      <c r="D228" s="4" t="s">
        <v>108</v>
      </c>
      <c r="E228" s="4" t="s">
        <v>109</v>
      </c>
      <c r="F228" s="4" t="s">
        <v>95</v>
      </c>
      <c r="G228" s="4" t="s">
        <v>96</v>
      </c>
      <c r="H228" s="4" t="s">
        <v>59</v>
      </c>
      <c r="I228" s="3"/>
      <c r="J228" s="3"/>
      <c r="K228" s="3"/>
      <c r="L228" s="3"/>
      <c r="M228" s="3"/>
      <c r="N228" s="3"/>
      <c r="O228" s="3"/>
      <c r="P228" s="8"/>
      <c r="Q228" s="8"/>
      <c r="R228" s="3"/>
      <c r="S228" s="3"/>
      <c r="T228" s="3"/>
      <c r="U228" s="5" t="str">
        <f t="shared" si="11"/>
        <v/>
      </c>
    </row>
    <row r="230" spans="1:21" ht="28" customHeight="1" x14ac:dyDescent="0.35">
      <c r="A230" s="9" t="s">
        <v>110</v>
      </c>
      <c r="B230" s="16"/>
      <c r="C230" s="17"/>
      <c r="D230" s="17"/>
      <c r="E230" s="17"/>
      <c r="F230" s="17"/>
      <c r="G230" s="17"/>
      <c r="H230" s="17"/>
      <c r="I230" s="17"/>
      <c r="J230" s="17"/>
      <c r="K230" s="17"/>
      <c r="L230" s="17"/>
      <c r="M230" s="17"/>
      <c r="N230" s="17"/>
      <c r="O230" s="17"/>
      <c r="P230" s="17"/>
      <c r="Q230" s="17"/>
      <c r="R230" s="17"/>
      <c r="S230" s="17"/>
      <c r="T230" s="17"/>
      <c r="U230" s="18"/>
    </row>
    <row r="231" spans="1:21" ht="28" customHeight="1" x14ac:dyDescent="0.35">
      <c r="A231" s="19" t="s">
        <v>617</v>
      </c>
      <c r="B231" s="20"/>
      <c r="C231" s="20"/>
      <c r="D231" s="20"/>
      <c r="E231" s="20"/>
      <c r="F231" s="20"/>
      <c r="G231" s="20"/>
      <c r="H231" s="20"/>
      <c r="I231" s="20"/>
      <c r="J231" s="20"/>
      <c r="K231" s="20"/>
      <c r="L231" s="20"/>
      <c r="M231" s="20"/>
      <c r="N231" s="20"/>
      <c r="O231" s="20"/>
      <c r="P231" s="20"/>
      <c r="Q231" s="20"/>
      <c r="R231" s="20"/>
      <c r="S231" s="20"/>
      <c r="T231" s="20"/>
      <c r="U231" s="21"/>
    </row>
    <row r="232" spans="1:21" ht="28" customHeight="1" x14ac:dyDescent="0.35">
      <c r="A232" s="4" t="s">
        <v>31</v>
      </c>
      <c r="B232" s="3" t="s">
        <v>28</v>
      </c>
      <c r="C232" s="4" t="s">
        <v>32</v>
      </c>
      <c r="D232" s="3"/>
      <c r="E232" s="4" t="s">
        <v>33</v>
      </c>
      <c r="F232" s="8"/>
    </row>
    <row r="233" spans="1:21" ht="28" customHeight="1" x14ac:dyDescent="0.35">
      <c r="A233" s="1" t="s">
        <v>34</v>
      </c>
      <c r="B233" s="1" t="s">
        <v>35</v>
      </c>
      <c r="C233" s="1" t="s">
        <v>36</v>
      </c>
      <c r="D233" s="1" t="s">
        <v>37</v>
      </c>
      <c r="E233" s="1" t="s">
        <v>38</v>
      </c>
      <c r="F233" s="1" t="s">
        <v>39</v>
      </c>
      <c r="G233" s="1" t="s">
        <v>40</v>
      </c>
      <c r="H233" s="1" t="s">
        <v>41</v>
      </c>
      <c r="I233" s="1" t="s">
        <v>42</v>
      </c>
      <c r="J233" s="1" t="s">
        <v>43</v>
      </c>
      <c r="K233" s="1" t="s">
        <v>44</v>
      </c>
      <c r="L233" s="1" t="s">
        <v>45</v>
      </c>
      <c r="M233" s="1" t="s">
        <v>46</v>
      </c>
      <c r="N233" s="1" t="s">
        <v>47</v>
      </c>
      <c r="O233" s="1" t="s">
        <v>48</v>
      </c>
      <c r="P233" s="1" t="s">
        <v>4</v>
      </c>
      <c r="Q233" s="1" t="s">
        <v>49</v>
      </c>
      <c r="R233" s="1" t="s">
        <v>50</v>
      </c>
      <c r="S233" s="1" t="s">
        <v>51</v>
      </c>
      <c r="T233" s="1" t="s">
        <v>52</v>
      </c>
      <c r="U233" s="1" t="s">
        <v>10</v>
      </c>
    </row>
    <row r="234" spans="1:21" ht="28" customHeight="1" x14ac:dyDescent="0.35">
      <c r="A234" s="4">
        <v>1</v>
      </c>
      <c r="B234" s="4" t="s">
        <v>53</v>
      </c>
      <c r="C234" s="4" t="s">
        <v>600</v>
      </c>
      <c r="D234" s="4" t="s">
        <v>601</v>
      </c>
      <c r="E234" s="4" t="s">
        <v>56</v>
      </c>
      <c r="F234" s="4" t="s">
        <v>57</v>
      </c>
      <c r="G234" s="4" t="s">
        <v>58</v>
      </c>
      <c r="H234" s="4" t="s">
        <v>59</v>
      </c>
      <c r="I234" s="3"/>
      <c r="J234" s="3"/>
      <c r="K234" s="3"/>
      <c r="L234" s="3"/>
      <c r="M234" s="3"/>
      <c r="N234" s="3"/>
      <c r="O234" s="3"/>
      <c r="P234" s="8"/>
      <c r="Q234" s="8"/>
      <c r="R234" s="3"/>
      <c r="S234" s="3"/>
      <c r="T234" s="3"/>
      <c r="U234" s="5" t="str">
        <f t="shared" ref="U234:U249" si="12">IF(I234="","",IF(I234="NA","Grey",IF(I234=2,"Green",IF(I234=1,"Amber","Red"))))</f>
        <v/>
      </c>
    </row>
    <row r="235" spans="1:21" ht="28" customHeight="1" x14ac:dyDescent="0.35">
      <c r="A235" s="4">
        <v>2</v>
      </c>
      <c r="B235" s="4" t="s">
        <v>53</v>
      </c>
      <c r="C235" s="4" t="s">
        <v>602</v>
      </c>
      <c r="D235" s="4" t="s">
        <v>603</v>
      </c>
      <c r="E235" s="4" t="s">
        <v>56</v>
      </c>
      <c r="F235" s="4" t="s">
        <v>57</v>
      </c>
      <c r="G235" s="4" t="s">
        <v>58</v>
      </c>
      <c r="H235" s="4" t="s">
        <v>59</v>
      </c>
      <c r="I235" s="3"/>
      <c r="J235" s="3"/>
      <c r="K235" s="3"/>
      <c r="L235" s="3"/>
      <c r="M235" s="3"/>
      <c r="N235" s="3"/>
      <c r="O235" s="3"/>
      <c r="P235" s="8"/>
      <c r="Q235" s="8"/>
      <c r="R235" s="3"/>
      <c r="S235" s="3"/>
      <c r="T235" s="3"/>
      <c r="U235" s="5" t="str">
        <f t="shared" si="12"/>
        <v/>
      </c>
    </row>
    <row r="236" spans="1:21" ht="28" customHeight="1" x14ac:dyDescent="0.35">
      <c r="A236" s="4">
        <v>3</v>
      </c>
      <c r="B236" s="4" t="s">
        <v>53</v>
      </c>
      <c r="C236" s="4" t="s">
        <v>604</v>
      </c>
      <c r="D236" s="4" t="s">
        <v>605</v>
      </c>
      <c r="E236" s="4" t="s">
        <v>56</v>
      </c>
      <c r="F236" s="4" t="s">
        <v>57</v>
      </c>
      <c r="G236" s="4" t="s">
        <v>58</v>
      </c>
      <c r="H236" s="4" t="s">
        <v>59</v>
      </c>
      <c r="I236" s="3"/>
      <c r="J236" s="3"/>
      <c r="K236" s="3"/>
      <c r="L236" s="3"/>
      <c r="M236" s="3"/>
      <c r="N236" s="3"/>
      <c r="O236" s="3"/>
      <c r="P236" s="8"/>
      <c r="Q236" s="8"/>
      <c r="R236" s="3"/>
      <c r="S236" s="3"/>
      <c r="T236" s="3"/>
      <c r="U236" s="5" t="str">
        <f t="shared" si="12"/>
        <v/>
      </c>
    </row>
    <row r="237" spans="1:21" ht="28" customHeight="1" x14ac:dyDescent="0.35">
      <c r="A237" s="4">
        <v>4</v>
      </c>
      <c r="B237" s="4" t="s">
        <v>53</v>
      </c>
      <c r="C237" s="4" t="s">
        <v>606</v>
      </c>
      <c r="D237" s="4" t="s">
        <v>607</v>
      </c>
      <c r="E237" s="4" t="s">
        <v>56</v>
      </c>
      <c r="F237" s="4" t="s">
        <v>57</v>
      </c>
      <c r="G237" s="4" t="s">
        <v>58</v>
      </c>
      <c r="H237" s="4" t="s">
        <v>59</v>
      </c>
      <c r="I237" s="3"/>
      <c r="J237" s="3"/>
      <c r="K237" s="3"/>
      <c r="L237" s="3"/>
      <c r="M237" s="3"/>
      <c r="N237" s="3"/>
      <c r="O237" s="3"/>
      <c r="P237" s="8"/>
      <c r="Q237" s="8"/>
      <c r="R237" s="3"/>
      <c r="S237" s="3"/>
      <c r="T237" s="3"/>
      <c r="U237" s="5" t="str">
        <f t="shared" si="12"/>
        <v/>
      </c>
    </row>
    <row r="238" spans="1:21" ht="28" customHeight="1" x14ac:dyDescent="0.35">
      <c r="A238" s="4">
        <v>5</v>
      </c>
      <c r="B238" s="4" t="s">
        <v>66</v>
      </c>
      <c r="C238" s="4" t="s">
        <v>67</v>
      </c>
      <c r="D238" s="4" t="s">
        <v>68</v>
      </c>
      <c r="E238" s="4" t="s">
        <v>69</v>
      </c>
      <c r="F238" s="4" t="s">
        <v>57</v>
      </c>
      <c r="G238" s="4" t="s">
        <v>58</v>
      </c>
      <c r="H238" s="4" t="s">
        <v>59</v>
      </c>
      <c r="I238" s="3"/>
      <c r="J238" s="3"/>
      <c r="K238" s="3"/>
      <c r="L238" s="3"/>
      <c r="M238" s="3"/>
      <c r="N238" s="3"/>
      <c r="O238" s="3"/>
      <c r="P238" s="8"/>
      <c r="Q238" s="8"/>
      <c r="R238" s="3"/>
      <c r="S238" s="3"/>
      <c r="T238" s="3"/>
      <c r="U238" s="5" t="str">
        <f t="shared" si="12"/>
        <v/>
      </c>
    </row>
    <row r="239" spans="1:21" ht="28" customHeight="1" x14ac:dyDescent="0.35">
      <c r="A239" s="4">
        <v>6</v>
      </c>
      <c r="B239" s="4" t="s">
        <v>70</v>
      </c>
      <c r="C239" s="4" t="s">
        <v>71</v>
      </c>
      <c r="D239" s="4" t="s">
        <v>72</v>
      </c>
      <c r="E239" s="4" t="s">
        <v>70</v>
      </c>
      <c r="F239" s="4" t="s">
        <v>57</v>
      </c>
      <c r="G239" s="4" t="s">
        <v>58</v>
      </c>
      <c r="H239" s="4" t="s">
        <v>59</v>
      </c>
      <c r="I239" s="3"/>
      <c r="J239" s="3"/>
      <c r="K239" s="3"/>
      <c r="L239" s="3"/>
      <c r="M239" s="3"/>
      <c r="N239" s="3"/>
      <c r="O239" s="3"/>
      <c r="P239" s="8"/>
      <c r="Q239" s="8"/>
      <c r="R239" s="3"/>
      <c r="S239" s="3"/>
      <c r="T239" s="3"/>
      <c r="U239" s="5" t="str">
        <f t="shared" si="12"/>
        <v/>
      </c>
    </row>
    <row r="240" spans="1:21" ht="28" customHeight="1" x14ac:dyDescent="0.35">
      <c r="A240" s="4">
        <v>7</v>
      </c>
      <c r="B240" s="4" t="s">
        <v>73</v>
      </c>
      <c r="C240" s="4" t="s">
        <v>74</v>
      </c>
      <c r="D240" s="4" t="s">
        <v>75</v>
      </c>
      <c r="E240" s="4" t="s">
        <v>69</v>
      </c>
      <c r="F240" s="4" t="s">
        <v>57</v>
      </c>
      <c r="G240" s="4" t="s">
        <v>58</v>
      </c>
      <c r="H240" s="4" t="s">
        <v>76</v>
      </c>
      <c r="I240" s="3"/>
      <c r="J240" s="3"/>
      <c r="K240" s="3"/>
      <c r="L240" s="3"/>
      <c r="M240" s="3"/>
      <c r="N240" s="3"/>
      <c r="O240" s="3"/>
      <c r="P240" s="8"/>
      <c r="Q240" s="8"/>
      <c r="R240" s="3"/>
      <c r="S240" s="3"/>
      <c r="T240" s="3"/>
      <c r="U240" s="5" t="str">
        <f t="shared" si="12"/>
        <v/>
      </c>
    </row>
    <row r="241" spans="1:21" ht="28" customHeight="1" x14ac:dyDescent="0.35">
      <c r="A241" s="4">
        <v>8</v>
      </c>
      <c r="B241" s="4" t="s">
        <v>77</v>
      </c>
      <c r="C241" s="4" t="s">
        <v>78</v>
      </c>
      <c r="D241" s="4" t="s">
        <v>79</v>
      </c>
      <c r="E241" s="4" t="s">
        <v>80</v>
      </c>
      <c r="F241" s="4" t="s">
        <v>57</v>
      </c>
      <c r="G241" s="4" t="s">
        <v>58</v>
      </c>
      <c r="H241" s="4" t="s">
        <v>59</v>
      </c>
      <c r="I241" s="3"/>
      <c r="J241" s="3"/>
      <c r="K241" s="3"/>
      <c r="L241" s="3"/>
      <c r="M241" s="3"/>
      <c r="N241" s="3"/>
      <c r="O241" s="3"/>
      <c r="P241" s="8"/>
      <c r="Q241" s="8"/>
      <c r="R241" s="3"/>
      <c r="S241" s="3"/>
      <c r="T241" s="3"/>
      <c r="U241" s="5" t="str">
        <f t="shared" si="12"/>
        <v/>
      </c>
    </row>
    <row r="242" spans="1:21" ht="28" customHeight="1" x14ac:dyDescent="0.35">
      <c r="A242" s="4">
        <v>9</v>
      </c>
      <c r="B242" s="4" t="s">
        <v>81</v>
      </c>
      <c r="C242" s="4" t="s">
        <v>82</v>
      </c>
      <c r="D242" s="4" t="s">
        <v>83</v>
      </c>
      <c r="E242" s="4" t="s">
        <v>84</v>
      </c>
      <c r="F242" s="4" t="s">
        <v>57</v>
      </c>
      <c r="G242" s="4" t="s">
        <v>58</v>
      </c>
      <c r="H242" s="4" t="s">
        <v>85</v>
      </c>
      <c r="I242" s="3"/>
      <c r="J242" s="3"/>
      <c r="K242" s="3"/>
      <c r="L242" s="3"/>
      <c r="M242" s="3"/>
      <c r="N242" s="3"/>
      <c r="O242" s="3"/>
      <c r="P242" s="8"/>
      <c r="Q242" s="8"/>
      <c r="R242" s="3"/>
      <c r="S242" s="3"/>
      <c r="T242" s="3"/>
      <c r="U242" s="5" t="str">
        <f t="shared" si="12"/>
        <v/>
      </c>
    </row>
    <row r="243" spans="1:21" ht="28" customHeight="1" x14ac:dyDescent="0.35">
      <c r="A243" s="4">
        <v>10</v>
      </c>
      <c r="B243" s="4" t="s">
        <v>86</v>
      </c>
      <c r="C243" s="4" t="s">
        <v>87</v>
      </c>
      <c r="D243" s="4" t="s">
        <v>88</v>
      </c>
      <c r="E243" s="4" t="s">
        <v>69</v>
      </c>
      <c r="F243" s="4" t="s">
        <v>57</v>
      </c>
      <c r="G243" s="4" t="s">
        <v>58</v>
      </c>
      <c r="H243" s="4" t="s">
        <v>59</v>
      </c>
      <c r="I243" s="3"/>
      <c r="J243" s="3"/>
      <c r="K243" s="3"/>
      <c r="L243" s="3"/>
      <c r="M243" s="3"/>
      <c r="N243" s="3"/>
      <c r="O243" s="3"/>
      <c r="P243" s="8"/>
      <c r="Q243" s="8"/>
      <c r="R243" s="3"/>
      <c r="S243" s="3"/>
      <c r="T243" s="3"/>
      <c r="U243" s="5" t="str">
        <f t="shared" si="12"/>
        <v/>
      </c>
    </row>
    <row r="244" spans="1:21" ht="28" customHeight="1" x14ac:dyDescent="0.35">
      <c r="A244" s="4">
        <v>11</v>
      </c>
      <c r="B244" s="4" t="s">
        <v>89</v>
      </c>
      <c r="C244" s="4" t="s">
        <v>90</v>
      </c>
      <c r="D244" s="4" t="s">
        <v>91</v>
      </c>
      <c r="E244" s="4" t="s">
        <v>84</v>
      </c>
      <c r="F244" s="4" t="s">
        <v>57</v>
      </c>
      <c r="G244" s="4" t="s">
        <v>58</v>
      </c>
      <c r="H244" s="4" t="s">
        <v>59</v>
      </c>
      <c r="I244" s="3"/>
      <c r="J244" s="3"/>
      <c r="K244" s="3"/>
      <c r="L244" s="3"/>
      <c r="M244" s="3"/>
      <c r="N244" s="3"/>
      <c r="O244" s="3"/>
      <c r="P244" s="8"/>
      <c r="Q244" s="8"/>
      <c r="R244" s="3"/>
      <c r="S244" s="3"/>
      <c r="T244" s="3"/>
      <c r="U244" s="5" t="str">
        <f t="shared" si="12"/>
        <v/>
      </c>
    </row>
    <row r="245" spans="1:21" ht="28" customHeight="1" x14ac:dyDescent="0.35">
      <c r="A245" s="4">
        <v>12</v>
      </c>
      <c r="B245" s="4" t="s">
        <v>92</v>
      </c>
      <c r="C245" s="4" t="s">
        <v>93</v>
      </c>
      <c r="D245" s="4" t="s">
        <v>94</v>
      </c>
      <c r="E245" s="4" t="s">
        <v>69</v>
      </c>
      <c r="F245" s="4" t="s">
        <v>95</v>
      </c>
      <c r="G245" s="4" t="s">
        <v>96</v>
      </c>
      <c r="H245" s="4" t="s">
        <v>59</v>
      </c>
      <c r="I245" s="3"/>
      <c r="J245" s="3"/>
      <c r="K245" s="3"/>
      <c r="L245" s="3"/>
      <c r="M245" s="3"/>
      <c r="N245" s="3"/>
      <c r="O245" s="3"/>
      <c r="P245" s="8"/>
      <c r="Q245" s="8"/>
      <c r="R245" s="3"/>
      <c r="S245" s="3"/>
      <c r="T245" s="3"/>
      <c r="U245" s="5" t="str">
        <f t="shared" si="12"/>
        <v/>
      </c>
    </row>
    <row r="246" spans="1:21" ht="28" customHeight="1" x14ac:dyDescent="0.35">
      <c r="A246" s="4">
        <v>13</v>
      </c>
      <c r="B246" s="4" t="s">
        <v>97</v>
      </c>
      <c r="C246" s="4" t="s">
        <v>98</v>
      </c>
      <c r="D246" s="4" t="s">
        <v>99</v>
      </c>
      <c r="E246" s="4" t="s">
        <v>69</v>
      </c>
      <c r="F246" s="4" t="s">
        <v>95</v>
      </c>
      <c r="G246" s="4" t="s">
        <v>96</v>
      </c>
      <c r="H246" s="4" t="s">
        <v>59</v>
      </c>
      <c r="I246" s="3"/>
      <c r="J246" s="3"/>
      <c r="K246" s="3"/>
      <c r="L246" s="3"/>
      <c r="M246" s="3"/>
      <c r="N246" s="3"/>
      <c r="O246" s="3"/>
      <c r="P246" s="8"/>
      <c r="Q246" s="8"/>
      <c r="R246" s="3"/>
      <c r="S246" s="3"/>
      <c r="T246" s="3"/>
      <c r="U246" s="5" t="str">
        <f t="shared" si="12"/>
        <v/>
      </c>
    </row>
    <row r="247" spans="1:21" ht="28" customHeight="1" x14ac:dyDescent="0.35">
      <c r="A247" s="4">
        <v>14</v>
      </c>
      <c r="B247" s="4" t="s">
        <v>97</v>
      </c>
      <c r="C247" s="4" t="s">
        <v>100</v>
      </c>
      <c r="D247" s="4" t="s">
        <v>101</v>
      </c>
      <c r="E247" s="4" t="s">
        <v>69</v>
      </c>
      <c r="F247" s="4" t="s">
        <v>95</v>
      </c>
      <c r="G247" s="4" t="s">
        <v>102</v>
      </c>
      <c r="H247" s="4" t="s">
        <v>59</v>
      </c>
      <c r="I247" s="3"/>
      <c r="J247" s="3"/>
      <c r="K247" s="3"/>
      <c r="L247" s="3"/>
      <c r="M247" s="3"/>
      <c r="N247" s="3"/>
      <c r="O247" s="3"/>
      <c r="P247" s="8"/>
      <c r="Q247" s="8"/>
      <c r="R247" s="3"/>
      <c r="S247" s="3"/>
      <c r="T247" s="3"/>
      <c r="U247" s="5" t="str">
        <f t="shared" si="12"/>
        <v/>
      </c>
    </row>
    <row r="248" spans="1:21" ht="28" customHeight="1" x14ac:dyDescent="0.35">
      <c r="A248" s="4">
        <v>15</v>
      </c>
      <c r="B248" s="4" t="s">
        <v>103</v>
      </c>
      <c r="C248" s="4" t="s">
        <v>104</v>
      </c>
      <c r="D248" s="4" t="s">
        <v>105</v>
      </c>
      <c r="E248" s="4" t="s">
        <v>69</v>
      </c>
      <c r="F248" s="4" t="s">
        <v>95</v>
      </c>
      <c r="G248" s="4" t="s">
        <v>96</v>
      </c>
      <c r="H248" s="4" t="s">
        <v>85</v>
      </c>
      <c r="I248" s="3"/>
      <c r="J248" s="3"/>
      <c r="K248" s="3"/>
      <c r="L248" s="3"/>
      <c r="M248" s="3"/>
      <c r="N248" s="3"/>
      <c r="O248" s="3"/>
      <c r="P248" s="8"/>
      <c r="Q248" s="8"/>
      <c r="R248" s="3"/>
      <c r="S248" s="3"/>
      <c r="T248" s="3"/>
      <c r="U248" s="5" t="str">
        <f t="shared" si="12"/>
        <v/>
      </c>
    </row>
    <row r="249" spans="1:21" ht="28" customHeight="1" x14ac:dyDescent="0.35">
      <c r="A249" s="4">
        <v>16</v>
      </c>
      <c r="B249" s="4" t="s">
        <v>106</v>
      </c>
      <c r="C249" s="4" t="s">
        <v>107</v>
      </c>
      <c r="D249" s="4" t="s">
        <v>108</v>
      </c>
      <c r="E249" s="4" t="s">
        <v>109</v>
      </c>
      <c r="F249" s="4" t="s">
        <v>95</v>
      </c>
      <c r="G249" s="4" t="s">
        <v>96</v>
      </c>
      <c r="H249" s="4" t="s">
        <v>59</v>
      </c>
      <c r="I249" s="3"/>
      <c r="J249" s="3"/>
      <c r="K249" s="3"/>
      <c r="L249" s="3"/>
      <c r="M249" s="3"/>
      <c r="N249" s="3"/>
      <c r="O249" s="3"/>
      <c r="P249" s="8"/>
      <c r="Q249" s="8"/>
      <c r="R249" s="3"/>
      <c r="S249" s="3"/>
      <c r="T249" s="3"/>
      <c r="U249" s="5" t="str">
        <f t="shared" si="12"/>
        <v/>
      </c>
    </row>
    <row r="251" spans="1:21" ht="28" customHeight="1" x14ac:dyDescent="0.35">
      <c r="A251" s="9" t="s">
        <v>110</v>
      </c>
      <c r="B251" s="16"/>
      <c r="C251" s="17"/>
      <c r="D251" s="17"/>
      <c r="E251" s="17"/>
      <c r="F251" s="17"/>
      <c r="G251" s="17"/>
      <c r="H251" s="17"/>
      <c r="I251" s="17"/>
      <c r="J251" s="17"/>
      <c r="K251" s="17"/>
      <c r="L251" s="17"/>
      <c r="M251" s="17"/>
      <c r="N251" s="17"/>
      <c r="O251" s="17"/>
      <c r="P251" s="17"/>
      <c r="Q251" s="17"/>
      <c r="R251" s="17"/>
      <c r="S251" s="17"/>
      <c r="T251" s="17"/>
      <c r="U251" s="18"/>
    </row>
    <row r="252" spans="1:21" ht="28" customHeight="1" x14ac:dyDescent="0.35">
      <c r="A252" s="19" t="s">
        <v>618</v>
      </c>
      <c r="B252" s="20"/>
      <c r="C252" s="20"/>
      <c r="D252" s="20"/>
      <c r="E252" s="20"/>
      <c r="F252" s="20"/>
      <c r="G252" s="20"/>
      <c r="H252" s="20"/>
      <c r="I252" s="20"/>
      <c r="J252" s="20"/>
      <c r="K252" s="20"/>
      <c r="L252" s="20"/>
      <c r="M252" s="20"/>
      <c r="N252" s="20"/>
      <c r="O252" s="20"/>
      <c r="P252" s="20"/>
      <c r="Q252" s="20"/>
      <c r="R252" s="20"/>
      <c r="S252" s="20"/>
      <c r="T252" s="20"/>
      <c r="U252" s="21"/>
    </row>
    <row r="253" spans="1:21" ht="28" customHeight="1" x14ac:dyDescent="0.35">
      <c r="A253" s="4" t="s">
        <v>31</v>
      </c>
      <c r="B253" s="3" t="s">
        <v>29</v>
      </c>
      <c r="C253" s="4" t="s">
        <v>32</v>
      </c>
      <c r="D253" s="3"/>
      <c r="E253" s="4" t="s">
        <v>33</v>
      </c>
      <c r="F253" s="8"/>
    </row>
    <row r="254" spans="1:21" ht="28" customHeight="1" x14ac:dyDescent="0.35">
      <c r="A254" s="1" t="s">
        <v>34</v>
      </c>
      <c r="B254" s="1" t="s">
        <v>35</v>
      </c>
      <c r="C254" s="1" t="s">
        <v>36</v>
      </c>
      <c r="D254" s="1" t="s">
        <v>37</v>
      </c>
      <c r="E254" s="1" t="s">
        <v>38</v>
      </c>
      <c r="F254" s="1" t="s">
        <v>39</v>
      </c>
      <c r="G254" s="1" t="s">
        <v>40</v>
      </c>
      <c r="H254" s="1" t="s">
        <v>41</v>
      </c>
      <c r="I254" s="1" t="s">
        <v>42</v>
      </c>
      <c r="J254" s="1" t="s">
        <v>43</v>
      </c>
      <c r="K254" s="1" t="s">
        <v>44</v>
      </c>
      <c r="L254" s="1" t="s">
        <v>45</v>
      </c>
      <c r="M254" s="1" t="s">
        <v>46</v>
      </c>
      <c r="N254" s="1" t="s">
        <v>47</v>
      </c>
      <c r="O254" s="1" t="s">
        <v>48</v>
      </c>
      <c r="P254" s="1" t="s">
        <v>4</v>
      </c>
      <c r="Q254" s="1" t="s">
        <v>49</v>
      </c>
      <c r="R254" s="1" t="s">
        <v>50</v>
      </c>
      <c r="S254" s="1" t="s">
        <v>51</v>
      </c>
      <c r="T254" s="1" t="s">
        <v>52</v>
      </c>
      <c r="U254" s="1" t="s">
        <v>10</v>
      </c>
    </row>
    <row r="255" spans="1:21" ht="28" customHeight="1" x14ac:dyDescent="0.35">
      <c r="A255" s="4">
        <v>1</v>
      </c>
      <c r="B255" s="4" t="s">
        <v>53</v>
      </c>
      <c r="C255" s="4" t="s">
        <v>600</v>
      </c>
      <c r="D255" s="4" t="s">
        <v>601</v>
      </c>
      <c r="E255" s="4" t="s">
        <v>56</v>
      </c>
      <c r="F255" s="4" t="s">
        <v>57</v>
      </c>
      <c r="G255" s="4" t="s">
        <v>58</v>
      </c>
      <c r="H255" s="4" t="s">
        <v>59</v>
      </c>
      <c r="I255" s="3"/>
      <c r="J255" s="3"/>
      <c r="K255" s="3"/>
      <c r="L255" s="3"/>
      <c r="M255" s="3"/>
      <c r="N255" s="3"/>
      <c r="O255" s="3"/>
      <c r="P255" s="8"/>
      <c r="Q255" s="8"/>
      <c r="R255" s="3"/>
      <c r="S255" s="3"/>
      <c r="T255" s="3"/>
      <c r="U255" s="5" t="str">
        <f t="shared" ref="U255:U270" si="13">IF(I255="","",IF(I255="NA","Grey",IF(I255=2,"Green",IF(I255=1,"Amber","Red"))))</f>
        <v/>
      </c>
    </row>
    <row r="256" spans="1:21" ht="28" customHeight="1" x14ac:dyDescent="0.35">
      <c r="A256" s="4">
        <v>2</v>
      </c>
      <c r="B256" s="4" t="s">
        <v>53</v>
      </c>
      <c r="C256" s="4" t="s">
        <v>602</v>
      </c>
      <c r="D256" s="4" t="s">
        <v>603</v>
      </c>
      <c r="E256" s="4" t="s">
        <v>56</v>
      </c>
      <c r="F256" s="4" t="s">
        <v>57</v>
      </c>
      <c r="G256" s="4" t="s">
        <v>58</v>
      </c>
      <c r="H256" s="4" t="s">
        <v>59</v>
      </c>
      <c r="I256" s="3"/>
      <c r="J256" s="3"/>
      <c r="K256" s="3"/>
      <c r="L256" s="3"/>
      <c r="M256" s="3"/>
      <c r="N256" s="3"/>
      <c r="O256" s="3"/>
      <c r="P256" s="8"/>
      <c r="Q256" s="8"/>
      <c r="R256" s="3"/>
      <c r="S256" s="3"/>
      <c r="T256" s="3"/>
      <c r="U256" s="5" t="str">
        <f t="shared" si="13"/>
        <v/>
      </c>
    </row>
    <row r="257" spans="1:21" ht="28" customHeight="1" x14ac:dyDescent="0.35">
      <c r="A257" s="4">
        <v>3</v>
      </c>
      <c r="B257" s="4" t="s">
        <v>53</v>
      </c>
      <c r="C257" s="4" t="s">
        <v>604</v>
      </c>
      <c r="D257" s="4" t="s">
        <v>605</v>
      </c>
      <c r="E257" s="4" t="s">
        <v>56</v>
      </c>
      <c r="F257" s="4" t="s">
        <v>57</v>
      </c>
      <c r="G257" s="4" t="s">
        <v>58</v>
      </c>
      <c r="H257" s="4" t="s">
        <v>59</v>
      </c>
      <c r="I257" s="3"/>
      <c r="J257" s="3"/>
      <c r="K257" s="3"/>
      <c r="L257" s="3"/>
      <c r="M257" s="3"/>
      <c r="N257" s="3"/>
      <c r="O257" s="3"/>
      <c r="P257" s="8"/>
      <c r="Q257" s="8"/>
      <c r="R257" s="3"/>
      <c r="S257" s="3"/>
      <c r="T257" s="3"/>
      <c r="U257" s="5" t="str">
        <f t="shared" si="13"/>
        <v/>
      </c>
    </row>
    <row r="258" spans="1:21" ht="28" customHeight="1" x14ac:dyDescent="0.35">
      <c r="A258" s="4">
        <v>4</v>
      </c>
      <c r="B258" s="4" t="s">
        <v>53</v>
      </c>
      <c r="C258" s="4" t="s">
        <v>606</v>
      </c>
      <c r="D258" s="4" t="s">
        <v>607</v>
      </c>
      <c r="E258" s="4" t="s">
        <v>56</v>
      </c>
      <c r="F258" s="4" t="s">
        <v>57</v>
      </c>
      <c r="G258" s="4" t="s">
        <v>58</v>
      </c>
      <c r="H258" s="4" t="s">
        <v>59</v>
      </c>
      <c r="I258" s="3"/>
      <c r="J258" s="3"/>
      <c r="K258" s="3"/>
      <c r="L258" s="3"/>
      <c r="M258" s="3"/>
      <c r="N258" s="3"/>
      <c r="O258" s="3"/>
      <c r="P258" s="8"/>
      <c r="Q258" s="8"/>
      <c r="R258" s="3"/>
      <c r="S258" s="3"/>
      <c r="T258" s="3"/>
      <c r="U258" s="5" t="str">
        <f t="shared" si="13"/>
        <v/>
      </c>
    </row>
    <row r="259" spans="1:21" ht="28" customHeight="1" x14ac:dyDescent="0.35">
      <c r="A259" s="4">
        <v>5</v>
      </c>
      <c r="B259" s="4" t="s">
        <v>66</v>
      </c>
      <c r="C259" s="4" t="s">
        <v>67</v>
      </c>
      <c r="D259" s="4" t="s">
        <v>68</v>
      </c>
      <c r="E259" s="4" t="s">
        <v>69</v>
      </c>
      <c r="F259" s="4" t="s">
        <v>57</v>
      </c>
      <c r="G259" s="4" t="s">
        <v>58</v>
      </c>
      <c r="H259" s="4" t="s">
        <v>59</v>
      </c>
      <c r="I259" s="3"/>
      <c r="J259" s="3"/>
      <c r="K259" s="3"/>
      <c r="L259" s="3"/>
      <c r="M259" s="3"/>
      <c r="N259" s="3"/>
      <c r="O259" s="3"/>
      <c r="P259" s="8"/>
      <c r="Q259" s="8"/>
      <c r="R259" s="3"/>
      <c r="S259" s="3"/>
      <c r="T259" s="3"/>
      <c r="U259" s="5" t="str">
        <f t="shared" si="13"/>
        <v/>
      </c>
    </row>
    <row r="260" spans="1:21" ht="28" customHeight="1" x14ac:dyDescent="0.35">
      <c r="A260" s="4">
        <v>6</v>
      </c>
      <c r="B260" s="4" t="s">
        <v>70</v>
      </c>
      <c r="C260" s="4" t="s">
        <v>71</v>
      </c>
      <c r="D260" s="4" t="s">
        <v>72</v>
      </c>
      <c r="E260" s="4" t="s">
        <v>70</v>
      </c>
      <c r="F260" s="4" t="s">
        <v>57</v>
      </c>
      <c r="G260" s="4" t="s">
        <v>58</v>
      </c>
      <c r="H260" s="4" t="s">
        <v>59</v>
      </c>
      <c r="I260" s="3"/>
      <c r="J260" s="3"/>
      <c r="K260" s="3"/>
      <c r="L260" s="3"/>
      <c r="M260" s="3"/>
      <c r="N260" s="3"/>
      <c r="O260" s="3"/>
      <c r="P260" s="8"/>
      <c r="Q260" s="8"/>
      <c r="R260" s="3"/>
      <c r="S260" s="3"/>
      <c r="T260" s="3"/>
      <c r="U260" s="5" t="str">
        <f t="shared" si="13"/>
        <v/>
      </c>
    </row>
    <row r="261" spans="1:21" ht="28" customHeight="1" x14ac:dyDescent="0.35">
      <c r="A261" s="4">
        <v>7</v>
      </c>
      <c r="B261" s="4" t="s">
        <v>73</v>
      </c>
      <c r="C261" s="4" t="s">
        <v>74</v>
      </c>
      <c r="D261" s="4" t="s">
        <v>75</v>
      </c>
      <c r="E261" s="4" t="s">
        <v>69</v>
      </c>
      <c r="F261" s="4" t="s">
        <v>57</v>
      </c>
      <c r="G261" s="4" t="s">
        <v>58</v>
      </c>
      <c r="H261" s="4" t="s">
        <v>76</v>
      </c>
      <c r="I261" s="3"/>
      <c r="J261" s="3"/>
      <c r="K261" s="3"/>
      <c r="L261" s="3"/>
      <c r="M261" s="3"/>
      <c r="N261" s="3"/>
      <c r="O261" s="3"/>
      <c r="P261" s="8"/>
      <c r="Q261" s="8"/>
      <c r="R261" s="3"/>
      <c r="S261" s="3"/>
      <c r="T261" s="3"/>
      <c r="U261" s="5" t="str">
        <f t="shared" si="13"/>
        <v/>
      </c>
    </row>
    <row r="262" spans="1:21" ht="28" customHeight="1" x14ac:dyDescent="0.35">
      <c r="A262" s="4">
        <v>8</v>
      </c>
      <c r="B262" s="4" t="s">
        <v>77</v>
      </c>
      <c r="C262" s="4" t="s">
        <v>78</v>
      </c>
      <c r="D262" s="4" t="s">
        <v>79</v>
      </c>
      <c r="E262" s="4" t="s">
        <v>80</v>
      </c>
      <c r="F262" s="4" t="s">
        <v>57</v>
      </c>
      <c r="G262" s="4" t="s">
        <v>58</v>
      </c>
      <c r="H262" s="4" t="s">
        <v>59</v>
      </c>
      <c r="I262" s="3"/>
      <c r="J262" s="3"/>
      <c r="K262" s="3"/>
      <c r="L262" s="3"/>
      <c r="M262" s="3"/>
      <c r="N262" s="3"/>
      <c r="O262" s="3"/>
      <c r="P262" s="8"/>
      <c r="Q262" s="8"/>
      <c r="R262" s="3"/>
      <c r="S262" s="3"/>
      <c r="T262" s="3"/>
      <c r="U262" s="5" t="str">
        <f t="shared" si="13"/>
        <v/>
      </c>
    </row>
    <row r="263" spans="1:21" ht="28" customHeight="1" x14ac:dyDescent="0.35">
      <c r="A263" s="4">
        <v>9</v>
      </c>
      <c r="B263" s="4" t="s">
        <v>81</v>
      </c>
      <c r="C263" s="4" t="s">
        <v>82</v>
      </c>
      <c r="D263" s="4" t="s">
        <v>83</v>
      </c>
      <c r="E263" s="4" t="s">
        <v>84</v>
      </c>
      <c r="F263" s="4" t="s">
        <v>57</v>
      </c>
      <c r="G263" s="4" t="s">
        <v>58</v>
      </c>
      <c r="H263" s="4" t="s">
        <v>85</v>
      </c>
      <c r="I263" s="3"/>
      <c r="J263" s="3"/>
      <c r="K263" s="3"/>
      <c r="L263" s="3"/>
      <c r="M263" s="3"/>
      <c r="N263" s="3"/>
      <c r="O263" s="3"/>
      <c r="P263" s="8"/>
      <c r="Q263" s="8"/>
      <c r="R263" s="3"/>
      <c r="S263" s="3"/>
      <c r="T263" s="3"/>
      <c r="U263" s="5" t="str">
        <f t="shared" si="13"/>
        <v/>
      </c>
    </row>
    <row r="264" spans="1:21" ht="28" customHeight="1" x14ac:dyDescent="0.35">
      <c r="A264" s="4">
        <v>10</v>
      </c>
      <c r="B264" s="4" t="s">
        <v>86</v>
      </c>
      <c r="C264" s="4" t="s">
        <v>87</v>
      </c>
      <c r="D264" s="4" t="s">
        <v>88</v>
      </c>
      <c r="E264" s="4" t="s">
        <v>69</v>
      </c>
      <c r="F264" s="4" t="s">
        <v>57</v>
      </c>
      <c r="G264" s="4" t="s">
        <v>58</v>
      </c>
      <c r="H264" s="4" t="s">
        <v>59</v>
      </c>
      <c r="I264" s="3"/>
      <c r="J264" s="3"/>
      <c r="K264" s="3"/>
      <c r="L264" s="3"/>
      <c r="M264" s="3"/>
      <c r="N264" s="3"/>
      <c r="O264" s="3"/>
      <c r="P264" s="8"/>
      <c r="Q264" s="8"/>
      <c r="R264" s="3"/>
      <c r="S264" s="3"/>
      <c r="T264" s="3"/>
      <c r="U264" s="5" t="str">
        <f t="shared" si="13"/>
        <v/>
      </c>
    </row>
    <row r="265" spans="1:21" ht="28" customHeight="1" x14ac:dyDescent="0.35">
      <c r="A265" s="4">
        <v>11</v>
      </c>
      <c r="B265" s="4" t="s">
        <v>89</v>
      </c>
      <c r="C265" s="4" t="s">
        <v>90</v>
      </c>
      <c r="D265" s="4" t="s">
        <v>91</v>
      </c>
      <c r="E265" s="4" t="s">
        <v>84</v>
      </c>
      <c r="F265" s="4" t="s">
        <v>57</v>
      </c>
      <c r="G265" s="4" t="s">
        <v>58</v>
      </c>
      <c r="H265" s="4" t="s">
        <v>59</v>
      </c>
      <c r="I265" s="3"/>
      <c r="J265" s="3"/>
      <c r="K265" s="3"/>
      <c r="L265" s="3"/>
      <c r="M265" s="3"/>
      <c r="N265" s="3"/>
      <c r="O265" s="3"/>
      <c r="P265" s="8"/>
      <c r="Q265" s="8"/>
      <c r="R265" s="3"/>
      <c r="S265" s="3"/>
      <c r="T265" s="3"/>
      <c r="U265" s="5" t="str">
        <f t="shared" si="13"/>
        <v/>
      </c>
    </row>
    <row r="266" spans="1:21" ht="28" customHeight="1" x14ac:dyDescent="0.35">
      <c r="A266" s="4">
        <v>12</v>
      </c>
      <c r="B266" s="4" t="s">
        <v>92</v>
      </c>
      <c r="C266" s="4" t="s">
        <v>93</v>
      </c>
      <c r="D266" s="4" t="s">
        <v>94</v>
      </c>
      <c r="E266" s="4" t="s">
        <v>69</v>
      </c>
      <c r="F266" s="4" t="s">
        <v>95</v>
      </c>
      <c r="G266" s="4" t="s">
        <v>96</v>
      </c>
      <c r="H266" s="4" t="s">
        <v>59</v>
      </c>
      <c r="I266" s="3"/>
      <c r="J266" s="3"/>
      <c r="K266" s="3"/>
      <c r="L266" s="3"/>
      <c r="M266" s="3"/>
      <c r="N266" s="3"/>
      <c r="O266" s="3"/>
      <c r="P266" s="8"/>
      <c r="Q266" s="8"/>
      <c r="R266" s="3"/>
      <c r="S266" s="3"/>
      <c r="T266" s="3"/>
      <c r="U266" s="5" t="str">
        <f t="shared" si="13"/>
        <v/>
      </c>
    </row>
    <row r="267" spans="1:21" ht="28" customHeight="1" x14ac:dyDescent="0.35">
      <c r="A267" s="4">
        <v>13</v>
      </c>
      <c r="B267" s="4" t="s">
        <v>97</v>
      </c>
      <c r="C267" s="4" t="s">
        <v>98</v>
      </c>
      <c r="D267" s="4" t="s">
        <v>99</v>
      </c>
      <c r="E267" s="4" t="s">
        <v>69</v>
      </c>
      <c r="F267" s="4" t="s">
        <v>95</v>
      </c>
      <c r="G267" s="4" t="s">
        <v>96</v>
      </c>
      <c r="H267" s="4" t="s">
        <v>59</v>
      </c>
      <c r="I267" s="3"/>
      <c r="J267" s="3"/>
      <c r="K267" s="3"/>
      <c r="L267" s="3"/>
      <c r="M267" s="3"/>
      <c r="N267" s="3"/>
      <c r="O267" s="3"/>
      <c r="P267" s="8"/>
      <c r="Q267" s="8"/>
      <c r="R267" s="3"/>
      <c r="S267" s="3"/>
      <c r="T267" s="3"/>
      <c r="U267" s="5" t="str">
        <f t="shared" si="13"/>
        <v/>
      </c>
    </row>
    <row r="268" spans="1:21" ht="28" customHeight="1" x14ac:dyDescent="0.35">
      <c r="A268" s="4">
        <v>14</v>
      </c>
      <c r="B268" s="4" t="s">
        <v>97</v>
      </c>
      <c r="C268" s="4" t="s">
        <v>100</v>
      </c>
      <c r="D268" s="4" t="s">
        <v>101</v>
      </c>
      <c r="E268" s="4" t="s">
        <v>69</v>
      </c>
      <c r="F268" s="4" t="s">
        <v>95</v>
      </c>
      <c r="G268" s="4" t="s">
        <v>102</v>
      </c>
      <c r="H268" s="4" t="s">
        <v>59</v>
      </c>
      <c r="I268" s="3"/>
      <c r="J268" s="3"/>
      <c r="K268" s="3"/>
      <c r="L268" s="3"/>
      <c r="M268" s="3"/>
      <c r="N268" s="3"/>
      <c r="O268" s="3"/>
      <c r="P268" s="8"/>
      <c r="Q268" s="8"/>
      <c r="R268" s="3"/>
      <c r="S268" s="3"/>
      <c r="T268" s="3"/>
      <c r="U268" s="5" t="str">
        <f t="shared" si="13"/>
        <v/>
      </c>
    </row>
    <row r="269" spans="1:21" ht="28" customHeight="1" x14ac:dyDescent="0.35">
      <c r="A269" s="4">
        <v>15</v>
      </c>
      <c r="B269" s="4" t="s">
        <v>103</v>
      </c>
      <c r="C269" s="4" t="s">
        <v>104</v>
      </c>
      <c r="D269" s="4" t="s">
        <v>105</v>
      </c>
      <c r="E269" s="4" t="s">
        <v>69</v>
      </c>
      <c r="F269" s="4" t="s">
        <v>95</v>
      </c>
      <c r="G269" s="4" t="s">
        <v>96</v>
      </c>
      <c r="H269" s="4" t="s">
        <v>85</v>
      </c>
      <c r="I269" s="3"/>
      <c r="J269" s="3"/>
      <c r="K269" s="3"/>
      <c r="L269" s="3"/>
      <c r="M269" s="3"/>
      <c r="N269" s="3"/>
      <c r="O269" s="3"/>
      <c r="P269" s="8"/>
      <c r="Q269" s="8"/>
      <c r="R269" s="3"/>
      <c r="S269" s="3"/>
      <c r="T269" s="3"/>
      <c r="U269" s="5" t="str">
        <f t="shared" si="13"/>
        <v/>
      </c>
    </row>
    <row r="270" spans="1:21" ht="28" customHeight="1" x14ac:dyDescent="0.35">
      <c r="A270" s="4">
        <v>16</v>
      </c>
      <c r="B270" s="4" t="s">
        <v>106</v>
      </c>
      <c r="C270" s="4" t="s">
        <v>107</v>
      </c>
      <c r="D270" s="4" t="s">
        <v>108</v>
      </c>
      <c r="E270" s="4" t="s">
        <v>109</v>
      </c>
      <c r="F270" s="4" t="s">
        <v>95</v>
      </c>
      <c r="G270" s="4" t="s">
        <v>96</v>
      </c>
      <c r="H270" s="4" t="s">
        <v>59</v>
      </c>
      <c r="I270" s="3"/>
      <c r="J270" s="3"/>
      <c r="K270" s="3"/>
      <c r="L270" s="3"/>
      <c r="M270" s="3"/>
      <c r="N270" s="3"/>
      <c r="O270" s="3"/>
      <c r="P270" s="8"/>
      <c r="Q270" s="8"/>
      <c r="R270" s="3"/>
      <c r="S270" s="3"/>
      <c r="T270" s="3"/>
      <c r="U270" s="5" t="str">
        <f t="shared" si="13"/>
        <v/>
      </c>
    </row>
    <row r="272" spans="1:21" ht="28" customHeight="1" x14ac:dyDescent="0.35">
      <c r="A272" s="9" t="s">
        <v>110</v>
      </c>
      <c r="B272" s="16"/>
      <c r="C272" s="17"/>
      <c r="D272" s="17"/>
      <c r="E272" s="17"/>
      <c r="F272" s="17"/>
      <c r="G272" s="17"/>
      <c r="H272" s="17"/>
      <c r="I272" s="17"/>
      <c r="J272" s="17"/>
      <c r="K272" s="17"/>
      <c r="L272" s="17"/>
      <c r="M272" s="17"/>
      <c r="N272" s="17"/>
      <c r="O272" s="17"/>
      <c r="P272" s="17"/>
      <c r="Q272" s="17"/>
      <c r="R272" s="17"/>
      <c r="S272" s="17"/>
      <c r="T272" s="17"/>
      <c r="U272" s="18"/>
    </row>
  </sheetData>
  <sheetProtection sheet="1" objects="1" scenarios="1" formatCells="0" formatColumns="0" formatRows="0" insertRows="0" sort="0" autoFilter="0"/>
  <autoFilter ref="A4:O16" xr:uid="{00000000-0009-0000-0000-00000D000000}"/>
  <mergeCells count="26">
    <mergeCell ref="A1:U1"/>
    <mergeCell ref="B104:U104"/>
    <mergeCell ref="B251:U251"/>
    <mergeCell ref="A168:U168"/>
    <mergeCell ref="B2:U2"/>
    <mergeCell ref="A126:U126"/>
    <mergeCell ref="A231:U231"/>
    <mergeCell ref="A147:U147"/>
    <mergeCell ref="A63:U63"/>
    <mergeCell ref="B230:U230"/>
    <mergeCell ref="B146:U146"/>
    <mergeCell ref="B83:U83"/>
    <mergeCell ref="A21:U21"/>
    <mergeCell ref="A210:U210"/>
    <mergeCell ref="B167:U167"/>
    <mergeCell ref="B272:U272"/>
    <mergeCell ref="A42:U42"/>
    <mergeCell ref="B41:U41"/>
    <mergeCell ref="B188:U188"/>
    <mergeCell ref="A252:U252"/>
    <mergeCell ref="B62:U62"/>
    <mergeCell ref="B209:U209"/>
    <mergeCell ref="A84:U84"/>
    <mergeCell ref="B125:U125"/>
    <mergeCell ref="A189:U189"/>
    <mergeCell ref="A105:U105"/>
  </mergeCells>
  <conditionalFormatting sqref="G5:G16">
    <cfRule type="colorScale" priority="53">
      <colorScale>
        <cfvo type="min"/>
        <cfvo type="percentile" val="50"/>
        <cfvo type="max"/>
        <color rgb="FFF8696B"/>
        <color rgb="FFFFEB84"/>
        <color rgb="FF63BE7B"/>
      </colorScale>
    </cfRule>
  </conditionalFormatting>
  <conditionalFormatting sqref="H5:H16">
    <cfRule type="containsText" dxfId="207" priority="49" operator="containsText" text="Red">
      <formula>NOT(ISERROR(SEARCH("Red",H5)))</formula>
    </cfRule>
    <cfRule type="containsText" dxfId="206" priority="50" operator="containsText" text="Amber">
      <formula>NOT(ISERROR(SEARCH("Amber",H5)))</formula>
    </cfRule>
    <cfRule type="containsText" dxfId="205" priority="51" operator="containsText" text="Green">
      <formula>NOT(ISERROR(SEARCH("Green",H5)))</formula>
    </cfRule>
    <cfRule type="containsText" dxfId="204" priority="52" operator="containsText" text="Not Started">
      <formula>NOT(ISERROR(SEARCH("Not Started",H5)))</formula>
    </cfRule>
  </conditionalFormatting>
  <conditionalFormatting sqref="U24:U39">
    <cfRule type="containsText" dxfId="203" priority="1" operator="containsText" text="Red">
      <formula>NOT(ISERROR(SEARCH("Red",U24)))</formula>
    </cfRule>
    <cfRule type="containsText" dxfId="202" priority="2" operator="containsText" text="Amber">
      <formula>NOT(ISERROR(SEARCH("Amber",U24)))</formula>
    </cfRule>
    <cfRule type="containsText" dxfId="201" priority="3" operator="containsText" text="Green">
      <formula>NOT(ISERROR(SEARCH("Green",U24)))</formula>
    </cfRule>
    <cfRule type="containsText" dxfId="200" priority="4" operator="containsText" text="Grey">
      <formula>NOT(ISERROR(SEARCH("Grey",U24)))</formula>
    </cfRule>
  </conditionalFormatting>
  <conditionalFormatting sqref="U45:U60">
    <cfRule type="containsText" dxfId="199" priority="5" operator="containsText" text="Red">
      <formula>NOT(ISERROR(SEARCH("Red",U45)))</formula>
    </cfRule>
    <cfRule type="containsText" dxfId="198" priority="6" operator="containsText" text="Amber">
      <formula>NOT(ISERROR(SEARCH("Amber",U45)))</formula>
    </cfRule>
    <cfRule type="containsText" dxfId="197" priority="7" operator="containsText" text="Green">
      <formula>NOT(ISERROR(SEARCH("Green",U45)))</formula>
    </cfRule>
    <cfRule type="containsText" dxfId="196" priority="8" operator="containsText" text="Grey">
      <formula>NOT(ISERROR(SEARCH("Grey",U45)))</formula>
    </cfRule>
  </conditionalFormatting>
  <conditionalFormatting sqref="U66:U81">
    <cfRule type="containsText" dxfId="195" priority="9" operator="containsText" text="Red">
      <formula>NOT(ISERROR(SEARCH("Red",U66)))</formula>
    </cfRule>
    <cfRule type="containsText" dxfId="194" priority="10" operator="containsText" text="Amber">
      <formula>NOT(ISERROR(SEARCH("Amber",U66)))</formula>
    </cfRule>
    <cfRule type="containsText" dxfId="193" priority="11" operator="containsText" text="Green">
      <formula>NOT(ISERROR(SEARCH("Green",U66)))</formula>
    </cfRule>
    <cfRule type="containsText" dxfId="192" priority="12" operator="containsText" text="Grey">
      <formula>NOT(ISERROR(SEARCH("Grey",U66)))</formula>
    </cfRule>
  </conditionalFormatting>
  <conditionalFormatting sqref="U87:U102">
    <cfRule type="containsText" dxfId="191" priority="13" operator="containsText" text="Red">
      <formula>NOT(ISERROR(SEARCH("Red",U87)))</formula>
    </cfRule>
    <cfRule type="containsText" dxfId="190" priority="14" operator="containsText" text="Amber">
      <formula>NOT(ISERROR(SEARCH("Amber",U87)))</formula>
    </cfRule>
    <cfRule type="containsText" dxfId="189" priority="15" operator="containsText" text="Green">
      <formula>NOT(ISERROR(SEARCH("Green",U87)))</formula>
    </cfRule>
    <cfRule type="containsText" dxfId="188" priority="16" operator="containsText" text="Grey">
      <formula>NOT(ISERROR(SEARCH("Grey",U87)))</formula>
    </cfRule>
  </conditionalFormatting>
  <conditionalFormatting sqref="U108:U123">
    <cfRule type="containsText" dxfId="187" priority="17" operator="containsText" text="Red">
      <formula>NOT(ISERROR(SEARCH("Red",U108)))</formula>
    </cfRule>
    <cfRule type="containsText" dxfId="186" priority="18" operator="containsText" text="Amber">
      <formula>NOT(ISERROR(SEARCH("Amber",U108)))</formula>
    </cfRule>
    <cfRule type="containsText" dxfId="185" priority="19" operator="containsText" text="Green">
      <formula>NOT(ISERROR(SEARCH("Green",U108)))</formula>
    </cfRule>
    <cfRule type="containsText" dxfId="184" priority="20" operator="containsText" text="Grey">
      <formula>NOT(ISERROR(SEARCH("Grey",U108)))</formula>
    </cfRule>
  </conditionalFormatting>
  <conditionalFormatting sqref="U129:U144">
    <cfRule type="containsText" dxfId="183" priority="21" operator="containsText" text="Red">
      <formula>NOT(ISERROR(SEARCH("Red",U129)))</formula>
    </cfRule>
    <cfRule type="containsText" dxfId="182" priority="22" operator="containsText" text="Amber">
      <formula>NOT(ISERROR(SEARCH("Amber",U129)))</formula>
    </cfRule>
    <cfRule type="containsText" dxfId="181" priority="23" operator="containsText" text="Green">
      <formula>NOT(ISERROR(SEARCH("Green",U129)))</formula>
    </cfRule>
    <cfRule type="containsText" dxfId="180" priority="24" operator="containsText" text="Grey">
      <formula>NOT(ISERROR(SEARCH("Grey",U129)))</formula>
    </cfRule>
  </conditionalFormatting>
  <conditionalFormatting sqref="U150:U165">
    <cfRule type="containsText" dxfId="179" priority="26" operator="containsText" text="Amber">
      <formula>NOT(ISERROR(SEARCH("Amber",U150)))</formula>
    </cfRule>
    <cfRule type="containsText" dxfId="178" priority="27" operator="containsText" text="Green">
      <formula>NOT(ISERROR(SEARCH("Green",U150)))</formula>
    </cfRule>
    <cfRule type="containsText" dxfId="177" priority="28" operator="containsText" text="Grey">
      <formula>NOT(ISERROR(SEARCH("Grey",U150)))</formula>
    </cfRule>
    <cfRule type="containsText" dxfId="176" priority="25" operator="containsText" text="Red">
      <formula>NOT(ISERROR(SEARCH("Red",U150)))</formula>
    </cfRule>
  </conditionalFormatting>
  <conditionalFormatting sqref="U171:U186">
    <cfRule type="containsText" dxfId="175" priority="29" operator="containsText" text="Red">
      <formula>NOT(ISERROR(SEARCH("Red",U171)))</formula>
    </cfRule>
    <cfRule type="containsText" dxfId="174" priority="30" operator="containsText" text="Amber">
      <formula>NOT(ISERROR(SEARCH("Amber",U171)))</formula>
    </cfRule>
    <cfRule type="containsText" dxfId="173" priority="31" operator="containsText" text="Green">
      <formula>NOT(ISERROR(SEARCH("Green",U171)))</formula>
    </cfRule>
    <cfRule type="containsText" dxfId="172" priority="32" operator="containsText" text="Grey">
      <formula>NOT(ISERROR(SEARCH("Grey",U171)))</formula>
    </cfRule>
  </conditionalFormatting>
  <conditionalFormatting sqref="U192:U207">
    <cfRule type="containsText" dxfId="171" priority="34" operator="containsText" text="Amber">
      <formula>NOT(ISERROR(SEARCH("Amber",U192)))</formula>
    </cfRule>
    <cfRule type="containsText" dxfId="170" priority="35" operator="containsText" text="Green">
      <formula>NOT(ISERROR(SEARCH("Green",U192)))</formula>
    </cfRule>
    <cfRule type="containsText" dxfId="169" priority="36" operator="containsText" text="Grey">
      <formula>NOT(ISERROR(SEARCH("Grey",U192)))</formula>
    </cfRule>
    <cfRule type="containsText" dxfId="168" priority="33" operator="containsText" text="Red">
      <formula>NOT(ISERROR(SEARCH("Red",U192)))</formula>
    </cfRule>
  </conditionalFormatting>
  <conditionalFormatting sqref="U213:U228">
    <cfRule type="containsText" dxfId="167" priority="37" operator="containsText" text="Red">
      <formula>NOT(ISERROR(SEARCH("Red",U213)))</formula>
    </cfRule>
    <cfRule type="containsText" dxfId="166" priority="38" operator="containsText" text="Amber">
      <formula>NOT(ISERROR(SEARCH("Amber",U213)))</formula>
    </cfRule>
    <cfRule type="containsText" dxfId="165" priority="39" operator="containsText" text="Green">
      <formula>NOT(ISERROR(SEARCH("Green",U213)))</formula>
    </cfRule>
    <cfRule type="containsText" dxfId="164" priority="40" operator="containsText" text="Grey">
      <formula>NOT(ISERROR(SEARCH("Grey",U213)))</formula>
    </cfRule>
  </conditionalFormatting>
  <conditionalFormatting sqref="U234:U249">
    <cfRule type="containsText" dxfId="163" priority="42" operator="containsText" text="Amber">
      <formula>NOT(ISERROR(SEARCH("Amber",U234)))</formula>
    </cfRule>
    <cfRule type="containsText" dxfId="162" priority="43" operator="containsText" text="Green">
      <formula>NOT(ISERROR(SEARCH("Green",U234)))</formula>
    </cfRule>
    <cfRule type="containsText" dxfId="161" priority="44" operator="containsText" text="Grey">
      <formula>NOT(ISERROR(SEARCH("Grey",U234)))</formula>
    </cfRule>
    <cfRule type="containsText" dxfId="160" priority="41" operator="containsText" text="Red">
      <formula>NOT(ISERROR(SEARCH("Red",U234)))</formula>
    </cfRule>
  </conditionalFormatting>
  <conditionalFormatting sqref="U255:U270">
    <cfRule type="containsText" dxfId="159" priority="45" operator="containsText" text="Red">
      <formula>NOT(ISERROR(SEARCH("Red",U255)))</formula>
    </cfRule>
    <cfRule type="containsText" dxfId="158" priority="46" operator="containsText" text="Amber">
      <formula>NOT(ISERROR(SEARCH("Amber",U255)))</formula>
    </cfRule>
    <cfRule type="containsText" dxfId="157" priority="48" operator="containsText" text="Grey">
      <formula>NOT(ISERROR(SEARCH("Grey",U255)))</formula>
    </cfRule>
    <cfRule type="containsText" dxfId="156" priority="47" operator="containsText" text="Green">
      <formula>NOT(ISERROR(SEARCH("Green",U255)))</formula>
    </cfRule>
  </conditionalFormatting>
  <dataValidations count="4">
    <dataValidation type="list" allowBlank="1" showInputMessage="1" showErrorMessage="1" sqref="I24:I39 I45:I60 I66:I81 I87:I102 I108:I123 I129:I144 I150:I165 I171:I186 I192:I207 I213:I228 I234:I249 I255:I270" xr:uid="{00000000-0002-0000-0D00-000000000000}">
      <formula1>"2,1,0,NA"</formula1>
    </dataValidation>
    <dataValidation type="list" allowBlank="1" showInputMessage="1" showErrorMessage="1" sqref="H24:H39 H45:H60 H66:H81 H87:H102 H108:H123 H129:H144 H150:H165 H171:H186 H192:H207 H213:H228 H234:H249 H255:H270" xr:uid="{00000000-0002-0000-0D00-000001000000}">
      <formula1>"Critical,High,Medium,Low"</formula1>
    </dataValidation>
    <dataValidation type="list" allowBlank="1" showInputMessage="1" showErrorMessage="1" sqref="S24:S39 S45:S60 S66:S81 S87:S102 S108:S123 S129:S144 S150:S165 S171:S186 S192:S207 S213:S228 S234:S249 S255:S270" xr:uid="{00000000-0002-0000-0D00-000002000000}">
      <formula1>"Yes,No,N/A"</formula1>
    </dataValidation>
    <dataValidation type="list" allowBlank="1" showInputMessage="1" showErrorMessage="1" sqref="T24:T39 T45:T60 T66:T81 T87:T102 T108:T123 T129:T144 T150:T165 T171:T186 T192:T207 T213:T228 T234:T249 T255:T270" xr:uid="{00000000-0002-0000-0D00-000003000000}">
      <formula1>"Not Started,In Progress,Completed,Verified,Closed"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72"/>
  <sheetViews>
    <sheetView showGridLines="0" workbookViewId="0"/>
  </sheetViews>
  <sheetFormatPr defaultRowHeight="28" customHeight="1" x14ac:dyDescent="0.35"/>
  <cols>
    <col min="1" max="1" width="7.7265625" customWidth="1"/>
    <col min="2" max="2" width="18.7265625" customWidth="1"/>
    <col min="3" max="3" width="42.7265625" customWidth="1"/>
    <col min="4" max="4" width="28.7265625" customWidth="1"/>
    <col min="5" max="6" width="18.7265625" customWidth="1"/>
    <col min="7" max="7" width="24.7265625" customWidth="1"/>
    <col min="8" max="9" width="13.7265625" customWidth="1"/>
    <col min="10" max="10" width="28.7265625" customWidth="1"/>
    <col min="11" max="11" width="30.7265625" customWidth="1"/>
    <col min="12" max="12" width="32.7265625" customWidth="1"/>
    <col min="13" max="13" width="28.7265625" customWidth="1"/>
    <col min="14" max="14" width="32.7265625" customWidth="1"/>
    <col min="15" max="15" width="20.7265625" customWidth="1"/>
    <col min="16" max="17" width="13.7265625" customWidth="1"/>
    <col min="18" max="18" width="18.7265625" customWidth="1"/>
    <col min="19" max="20" width="14.7265625" customWidth="1"/>
    <col min="21" max="21" width="10.7265625" customWidth="1"/>
  </cols>
  <sheetData>
    <row r="1" spans="1:21" ht="28" customHeight="1" x14ac:dyDescent="0.35">
      <c r="A1" s="24" t="s">
        <v>619</v>
      </c>
      <c r="B1" s="20"/>
      <c r="C1" s="20"/>
      <c r="D1" s="20"/>
      <c r="E1" s="20"/>
      <c r="F1" s="20"/>
      <c r="G1" s="20"/>
      <c r="H1" s="20"/>
      <c r="I1" s="20"/>
      <c r="J1" s="20"/>
      <c r="K1" s="20"/>
      <c r="L1" s="20"/>
      <c r="M1" s="20"/>
      <c r="N1" s="20"/>
      <c r="O1" s="20"/>
      <c r="P1" s="20"/>
      <c r="Q1" s="20"/>
      <c r="R1" s="20"/>
      <c r="S1" s="20"/>
      <c r="T1" s="20"/>
      <c r="U1" s="21"/>
    </row>
    <row r="2" spans="1:21" ht="28" customHeight="1" x14ac:dyDescent="0.35">
      <c r="A2" s="9" t="s">
        <v>1</v>
      </c>
      <c r="B2" s="22" t="s">
        <v>2</v>
      </c>
      <c r="C2" s="23"/>
      <c r="D2" s="23"/>
      <c r="E2" s="23"/>
      <c r="F2" s="23"/>
      <c r="G2" s="23"/>
      <c r="H2" s="23"/>
      <c r="I2" s="23"/>
      <c r="J2" s="23"/>
      <c r="K2" s="23"/>
      <c r="L2" s="23"/>
      <c r="M2" s="23"/>
      <c r="N2" s="23"/>
      <c r="O2" s="23"/>
      <c r="P2" s="23"/>
      <c r="Q2" s="23"/>
      <c r="R2" s="23"/>
      <c r="S2" s="23"/>
      <c r="T2" s="23"/>
      <c r="U2" s="23"/>
    </row>
    <row r="4" spans="1:21" ht="28" customHeight="1" x14ac:dyDescent="0.3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21" ht="28" customHeight="1" x14ac:dyDescent="0.35">
      <c r="A5" s="4" t="s">
        <v>18</v>
      </c>
      <c r="B5" s="7">
        <v>46050</v>
      </c>
      <c r="C5" s="8"/>
      <c r="D5" s="3"/>
      <c r="E5" s="5">
        <f>SUMIF(I24:I39,"&gt;=0",I24:I39)</f>
        <v>0</v>
      </c>
      <c r="F5" s="5">
        <f>COUNT(I24:I39)*2</f>
        <v>0</v>
      </c>
      <c r="G5" s="6" t="str">
        <f t="shared" ref="G5:G16" si="0">IF(F5=0,"",E5/F5)</f>
        <v/>
      </c>
      <c r="H5" s="5" t="str">
        <f t="shared" ref="H5:H16" si="1">IF(G5="","Not Started",IF(G5&gt;=0.9,"Green",IF(G5&gt;=0.75,"Amber","Red")))</f>
        <v>Not Started</v>
      </c>
      <c r="I5" s="5">
        <f>COUNTIFS(H24:H39,"Critical",I24:I39,"&lt;2")+COUNTIFS(H24:H39,"High",I24:I39,"&lt;2")</f>
        <v>0</v>
      </c>
      <c r="J5" s="5">
        <f>COUNTIF(T24:T39,"In Progress")+COUNTIF(T24:T39,"Not Started")</f>
        <v>0</v>
      </c>
      <c r="K5" s="5">
        <f ca="1">COUNTIFS(P24:P39,"&lt;"&amp;TODAY(),Q24:Q39,"")</f>
        <v>0</v>
      </c>
      <c r="L5" s="3"/>
      <c r="M5" s="3"/>
      <c r="N5" s="3"/>
      <c r="O5" s="3"/>
    </row>
    <row r="6" spans="1:21" ht="28" customHeight="1" x14ac:dyDescent="0.35">
      <c r="A6" s="4" t="s">
        <v>19</v>
      </c>
      <c r="B6" s="7">
        <v>46081</v>
      </c>
      <c r="C6" s="8"/>
      <c r="D6" s="3"/>
      <c r="E6" s="5">
        <f>SUMIF(I45:I60,"&gt;=0",I45:I60)</f>
        <v>0</v>
      </c>
      <c r="F6" s="5">
        <f>COUNT(I45:I60)*2</f>
        <v>0</v>
      </c>
      <c r="G6" s="6" t="str">
        <f t="shared" si="0"/>
        <v/>
      </c>
      <c r="H6" s="5" t="str">
        <f t="shared" si="1"/>
        <v>Not Started</v>
      </c>
      <c r="I6" s="5">
        <f>COUNTIFS(H45:H60,"Critical",I45:I60,"&lt;2")+COUNTIFS(H45:H60,"High",I45:I60,"&lt;2")</f>
        <v>0</v>
      </c>
      <c r="J6" s="5">
        <f>COUNTIF(T45:T60,"In Progress")+COUNTIF(T45:T60,"Not Started")</f>
        <v>0</v>
      </c>
      <c r="K6" s="5">
        <f ca="1">COUNTIFS(P45:P60,"&lt;"&amp;TODAY(),Q45:Q60,"")</f>
        <v>0</v>
      </c>
      <c r="L6" s="3"/>
      <c r="M6" s="3"/>
      <c r="N6" s="3"/>
      <c r="O6" s="3"/>
    </row>
    <row r="7" spans="1:21" ht="28" customHeight="1" x14ac:dyDescent="0.35">
      <c r="A7" s="4" t="s">
        <v>20</v>
      </c>
      <c r="B7" s="7">
        <v>46109</v>
      </c>
      <c r="C7" s="8"/>
      <c r="D7" s="3"/>
      <c r="E7" s="5">
        <f>SUMIF(I66:I81,"&gt;=0",I66:I81)</f>
        <v>0</v>
      </c>
      <c r="F7" s="5">
        <f>COUNT(I66:I81)*2</f>
        <v>0</v>
      </c>
      <c r="G7" s="6" t="str">
        <f t="shared" si="0"/>
        <v/>
      </c>
      <c r="H7" s="5" t="str">
        <f t="shared" si="1"/>
        <v>Not Started</v>
      </c>
      <c r="I7" s="5">
        <f>COUNTIFS(H66:H81,"Critical",I66:I81,"&lt;2")+COUNTIFS(H66:H81,"High",I66:I81,"&lt;2")</f>
        <v>0</v>
      </c>
      <c r="J7" s="5">
        <f>COUNTIF(T66:T81,"In Progress")+COUNTIF(T66:T81,"Not Started")</f>
        <v>0</v>
      </c>
      <c r="K7" s="5">
        <f ca="1">COUNTIFS(P66:P81,"&lt;"&amp;TODAY(),Q66:Q81,"")</f>
        <v>0</v>
      </c>
      <c r="L7" s="3"/>
      <c r="M7" s="3"/>
      <c r="N7" s="3"/>
      <c r="O7" s="3"/>
    </row>
    <row r="8" spans="1:21" ht="28" customHeight="1" x14ac:dyDescent="0.35">
      <c r="A8" s="4" t="s">
        <v>21</v>
      </c>
      <c r="B8" s="7">
        <v>46140</v>
      </c>
      <c r="C8" s="8"/>
      <c r="D8" s="3"/>
      <c r="E8" s="5">
        <f>SUMIF(I87:I102,"&gt;=0",I87:I102)</f>
        <v>0</v>
      </c>
      <c r="F8" s="5">
        <f>COUNT(I87:I102)*2</f>
        <v>0</v>
      </c>
      <c r="G8" s="6" t="str">
        <f t="shared" si="0"/>
        <v/>
      </c>
      <c r="H8" s="5" t="str">
        <f t="shared" si="1"/>
        <v>Not Started</v>
      </c>
      <c r="I8" s="5">
        <f>COUNTIFS(H87:H102,"Critical",I87:I102,"&lt;2")+COUNTIFS(H87:H102,"High",I87:I102,"&lt;2")</f>
        <v>0</v>
      </c>
      <c r="J8" s="5">
        <f>COUNTIF(T87:T102,"In Progress")+COUNTIF(T87:T102,"Not Started")</f>
        <v>0</v>
      </c>
      <c r="K8" s="5">
        <f ca="1">COUNTIFS(P87:P102,"&lt;"&amp;TODAY(),Q87:Q102,"")</f>
        <v>0</v>
      </c>
      <c r="L8" s="3"/>
      <c r="M8" s="3"/>
      <c r="N8" s="3"/>
      <c r="O8" s="3"/>
    </row>
    <row r="9" spans="1:21" ht="28" customHeight="1" x14ac:dyDescent="0.35">
      <c r="A9" s="4" t="s">
        <v>22</v>
      </c>
      <c r="B9" s="7">
        <v>46170</v>
      </c>
      <c r="C9" s="8"/>
      <c r="D9" s="3"/>
      <c r="E9" s="5">
        <f>SUMIF(I108:I123,"&gt;=0",I108:I123)</f>
        <v>0</v>
      </c>
      <c r="F9" s="5">
        <f>COUNT(I108:I123)*2</f>
        <v>0</v>
      </c>
      <c r="G9" s="6" t="str">
        <f t="shared" si="0"/>
        <v/>
      </c>
      <c r="H9" s="5" t="str">
        <f t="shared" si="1"/>
        <v>Not Started</v>
      </c>
      <c r="I9" s="5">
        <f>COUNTIFS(H108:H123,"Critical",I108:I123,"&lt;2")+COUNTIFS(H108:H123,"High",I108:I123,"&lt;2")</f>
        <v>0</v>
      </c>
      <c r="J9" s="5">
        <f>COUNTIF(T108:T123,"In Progress")+COUNTIF(T108:T123,"Not Started")</f>
        <v>0</v>
      </c>
      <c r="K9" s="5">
        <f ca="1">COUNTIFS(P108:P123,"&lt;"&amp;TODAY(),Q108:Q123,"")</f>
        <v>0</v>
      </c>
      <c r="L9" s="3"/>
      <c r="M9" s="3"/>
      <c r="N9" s="3"/>
      <c r="O9" s="3"/>
    </row>
    <row r="10" spans="1:21" ht="28" customHeight="1" x14ac:dyDescent="0.35">
      <c r="A10" s="4" t="s">
        <v>23</v>
      </c>
      <c r="B10" s="7">
        <v>46201</v>
      </c>
      <c r="C10" s="8"/>
      <c r="D10" s="3"/>
      <c r="E10" s="5">
        <f>SUMIF(I129:I144,"&gt;=0",I129:I144)</f>
        <v>0</v>
      </c>
      <c r="F10" s="5">
        <f>COUNT(I129:I144)*2</f>
        <v>0</v>
      </c>
      <c r="G10" s="6" t="str">
        <f t="shared" si="0"/>
        <v/>
      </c>
      <c r="H10" s="5" t="str">
        <f t="shared" si="1"/>
        <v>Not Started</v>
      </c>
      <c r="I10" s="5">
        <f>COUNTIFS(H129:H144,"Critical",I129:I144,"&lt;2")+COUNTIFS(H129:H144,"High",I129:I144,"&lt;2")</f>
        <v>0</v>
      </c>
      <c r="J10" s="5">
        <f>COUNTIF(T129:T144,"In Progress")+COUNTIF(T129:T144,"Not Started")</f>
        <v>0</v>
      </c>
      <c r="K10" s="5">
        <f ca="1">COUNTIFS(P129:P144,"&lt;"&amp;TODAY(),Q129:Q144,"")</f>
        <v>0</v>
      </c>
      <c r="L10" s="3"/>
      <c r="M10" s="3"/>
      <c r="N10" s="3"/>
      <c r="O10" s="3"/>
    </row>
    <row r="11" spans="1:21" ht="28" customHeight="1" x14ac:dyDescent="0.35">
      <c r="A11" s="4" t="s">
        <v>24</v>
      </c>
      <c r="B11" s="7">
        <v>46231</v>
      </c>
      <c r="C11" s="8"/>
      <c r="D11" s="3"/>
      <c r="E11" s="5">
        <f>SUMIF(I150:I165,"&gt;=0",I150:I165)</f>
        <v>0</v>
      </c>
      <c r="F11" s="5">
        <f>COUNT(I150:I165)*2</f>
        <v>0</v>
      </c>
      <c r="G11" s="6" t="str">
        <f t="shared" si="0"/>
        <v/>
      </c>
      <c r="H11" s="5" t="str">
        <f t="shared" si="1"/>
        <v>Not Started</v>
      </c>
      <c r="I11" s="5">
        <f>COUNTIFS(H150:H165,"Critical",I150:I165,"&lt;2")+COUNTIFS(H150:H165,"High",I150:I165,"&lt;2")</f>
        <v>0</v>
      </c>
      <c r="J11" s="5">
        <f>COUNTIF(T150:T165,"In Progress")+COUNTIF(T150:T165,"Not Started")</f>
        <v>0</v>
      </c>
      <c r="K11" s="5">
        <f ca="1">COUNTIFS(P150:P165,"&lt;"&amp;TODAY(),Q150:Q165,"")</f>
        <v>0</v>
      </c>
      <c r="L11" s="3"/>
      <c r="M11" s="3"/>
      <c r="N11" s="3"/>
      <c r="O11" s="3"/>
    </row>
    <row r="12" spans="1:21" ht="28" customHeight="1" x14ac:dyDescent="0.35">
      <c r="A12" s="4" t="s">
        <v>25</v>
      </c>
      <c r="B12" s="7">
        <v>46262</v>
      </c>
      <c r="C12" s="8"/>
      <c r="D12" s="3"/>
      <c r="E12" s="5">
        <f>SUMIF(I171:I186,"&gt;=0",I171:I186)</f>
        <v>0</v>
      </c>
      <c r="F12" s="5">
        <f>COUNT(I171:I186)*2</f>
        <v>0</v>
      </c>
      <c r="G12" s="6" t="str">
        <f t="shared" si="0"/>
        <v/>
      </c>
      <c r="H12" s="5" t="str">
        <f t="shared" si="1"/>
        <v>Not Started</v>
      </c>
      <c r="I12" s="5">
        <f>COUNTIFS(H171:H186,"Critical",I171:I186,"&lt;2")+COUNTIFS(H171:H186,"High",I171:I186,"&lt;2")</f>
        <v>0</v>
      </c>
      <c r="J12" s="5">
        <f>COUNTIF(T171:T186,"In Progress")+COUNTIF(T171:T186,"Not Started")</f>
        <v>0</v>
      </c>
      <c r="K12" s="5">
        <f ca="1">COUNTIFS(P171:P186,"&lt;"&amp;TODAY(),Q171:Q186,"")</f>
        <v>0</v>
      </c>
      <c r="L12" s="3"/>
      <c r="M12" s="3"/>
      <c r="N12" s="3"/>
      <c r="O12" s="3"/>
    </row>
    <row r="13" spans="1:21" ht="28" customHeight="1" x14ac:dyDescent="0.35">
      <c r="A13" s="4" t="s">
        <v>26</v>
      </c>
      <c r="B13" s="7">
        <v>46293</v>
      </c>
      <c r="C13" s="8"/>
      <c r="D13" s="3"/>
      <c r="E13" s="5">
        <f>SUMIF(I192:I207,"&gt;=0",I192:I207)</f>
        <v>0</v>
      </c>
      <c r="F13" s="5">
        <f>COUNT(I192:I207)*2</f>
        <v>0</v>
      </c>
      <c r="G13" s="6" t="str">
        <f t="shared" si="0"/>
        <v/>
      </c>
      <c r="H13" s="5" t="str">
        <f t="shared" si="1"/>
        <v>Not Started</v>
      </c>
      <c r="I13" s="5">
        <f>COUNTIFS(H192:H207,"Critical",I192:I207,"&lt;2")+COUNTIFS(H192:H207,"High",I192:I207,"&lt;2")</f>
        <v>0</v>
      </c>
      <c r="J13" s="5">
        <f>COUNTIF(T192:T207,"In Progress")+COUNTIF(T192:T207,"Not Started")</f>
        <v>0</v>
      </c>
      <c r="K13" s="5">
        <f ca="1">COUNTIFS(P192:P207,"&lt;"&amp;TODAY(),Q192:Q207,"")</f>
        <v>0</v>
      </c>
      <c r="L13" s="3"/>
      <c r="M13" s="3"/>
      <c r="N13" s="3"/>
      <c r="O13" s="3"/>
    </row>
    <row r="14" spans="1:21" ht="28" customHeight="1" x14ac:dyDescent="0.35">
      <c r="A14" s="4" t="s">
        <v>27</v>
      </c>
      <c r="B14" s="7">
        <v>46323</v>
      </c>
      <c r="C14" s="8"/>
      <c r="D14" s="3"/>
      <c r="E14" s="5">
        <f>SUMIF(I213:I228,"&gt;=0",I213:I228)</f>
        <v>0</v>
      </c>
      <c r="F14" s="5">
        <f>COUNT(I213:I228)*2</f>
        <v>0</v>
      </c>
      <c r="G14" s="6" t="str">
        <f t="shared" si="0"/>
        <v/>
      </c>
      <c r="H14" s="5" t="str">
        <f t="shared" si="1"/>
        <v>Not Started</v>
      </c>
      <c r="I14" s="5">
        <f>COUNTIFS(H213:H228,"Critical",I213:I228,"&lt;2")+COUNTIFS(H213:H228,"High",I213:I228,"&lt;2")</f>
        <v>0</v>
      </c>
      <c r="J14" s="5">
        <f>COUNTIF(T213:T228,"In Progress")+COUNTIF(T213:T228,"Not Started")</f>
        <v>0</v>
      </c>
      <c r="K14" s="5">
        <f ca="1">COUNTIFS(P213:P228,"&lt;"&amp;TODAY(),Q213:Q228,"")</f>
        <v>0</v>
      </c>
      <c r="L14" s="3"/>
      <c r="M14" s="3"/>
      <c r="N14" s="3"/>
      <c r="O14" s="3"/>
    </row>
    <row r="15" spans="1:21" ht="28" customHeight="1" x14ac:dyDescent="0.35">
      <c r="A15" s="4" t="s">
        <v>28</v>
      </c>
      <c r="B15" s="7">
        <v>46354</v>
      </c>
      <c r="C15" s="8"/>
      <c r="D15" s="3"/>
      <c r="E15" s="5">
        <f>SUMIF(I234:I249,"&gt;=0",I234:I249)</f>
        <v>0</v>
      </c>
      <c r="F15" s="5">
        <f>COUNT(I234:I249)*2</f>
        <v>0</v>
      </c>
      <c r="G15" s="6" t="str">
        <f t="shared" si="0"/>
        <v/>
      </c>
      <c r="H15" s="5" t="str">
        <f t="shared" si="1"/>
        <v>Not Started</v>
      </c>
      <c r="I15" s="5">
        <f>COUNTIFS(H234:H249,"Critical",I234:I249,"&lt;2")+COUNTIFS(H234:H249,"High",I234:I249,"&lt;2")</f>
        <v>0</v>
      </c>
      <c r="J15" s="5">
        <f>COUNTIF(T234:T249,"In Progress")+COUNTIF(T234:T249,"Not Started")</f>
        <v>0</v>
      </c>
      <c r="K15" s="5">
        <f ca="1">COUNTIFS(P234:P249,"&lt;"&amp;TODAY(),Q234:Q249,"")</f>
        <v>0</v>
      </c>
      <c r="L15" s="3"/>
      <c r="M15" s="3"/>
      <c r="N15" s="3"/>
      <c r="O15" s="3"/>
    </row>
    <row r="16" spans="1:21" ht="28" customHeight="1" x14ac:dyDescent="0.35">
      <c r="A16" s="4" t="s">
        <v>29</v>
      </c>
      <c r="B16" s="7">
        <v>46384</v>
      </c>
      <c r="C16" s="8"/>
      <c r="D16" s="3"/>
      <c r="E16" s="5">
        <f>SUMIF(I255:I270,"&gt;=0",I255:I270)</f>
        <v>0</v>
      </c>
      <c r="F16" s="5">
        <f>COUNT(I255:I270)*2</f>
        <v>0</v>
      </c>
      <c r="G16" s="6" t="str">
        <f t="shared" si="0"/>
        <v/>
      </c>
      <c r="H16" s="5" t="str">
        <f t="shared" si="1"/>
        <v>Not Started</v>
      </c>
      <c r="I16" s="5">
        <f>COUNTIFS(H255:H270,"Critical",I255:I270,"&lt;2")+COUNTIFS(H255:H270,"High",I255:I270,"&lt;2")</f>
        <v>0</v>
      </c>
      <c r="J16" s="5">
        <f>COUNTIF(T255:T270,"In Progress")+COUNTIF(T255:T270,"Not Started")</f>
        <v>0</v>
      </c>
      <c r="K16" s="5">
        <f ca="1">COUNTIFS(P255:P270,"&lt;"&amp;TODAY(),Q255:Q270,"")</f>
        <v>0</v>
      </c>
      <c r="L16" s="3"/>
      <c r="M16" s="3"/>
      <c r="N16" s="3"/>
      <c r="O16" s="3"/>
    </row>
    <row r="21" spans="1:21" ht="28" customHeight="1" x14ac:dyDescent="0.35">
      <c r="A21" s="19" t="s">
        <v>620</v>
      </c>
      <c r="B21" s="20"/>
      <c r="C21" s="20"/>
      <c r="D21" s="20"/>
      <c r="E21" s="20"/>
      <c r="F21" s="20"/>
      <c r="G21" s="20"/>
      <c r="H21" s="20"/>
      <c r="I21" s="20"/>
      <c r="J21" s="20"/>
      <c r="K21" s="20"/>
      <c r="L21" s="20"/>
      <c r="M21" s="20"/>
      <c r="N21" s="20"/>
      <c r="O21" s="20"/>
      <c r="P21" s="20"/>
      <c r="Q21" s="20"/>
      <c r="R21" s="20"/>
      <c r="S21" s="20"/>
      <c r="T21" s="20"/>
      <c r="U21" s="21"/>
    </row>
    <row r="22" spans="1:21" ht="28" customHeight="1" x14ac:dyDescent="0.35">
      <c r="A22" s="4" t="s">
        <v>31</v>
      </c>
      <c r="B22" s="3" t="s">
        <v>18</v>
      </c>
      <c r="C22" s="4" t="s">
        <v>32</v>
      </c>
      <c r="D22" s="3"/>
      <c r="E22" s="4" t="s">
        <v>33</v>
      </c>
      <c r="F22" s="8"/>
    </row>
    <row r="23" spans="1:21" ht="28" customHeight="1" x14ac:dyDescent="0.35">
      <c r="A23" s="1" t="s">
        <v>34</v>
      </c>
      <c r="B23" s="1" t="s">
        <v>35</v>
      </c>
      <c r="C23" s="1" t="s">
        <v>36</v>
      </c>
      <c r="D23" s="1" t="s">
        <v>37</v>
      </c>
      <c r="E23" s="1" t="s">
        <v>38</v>
      </c>
      <c r="F23" s="1" t="s">
        <v>39</v>
      </c>
      <c r="G23" s="1" t="s">
        <v>40</v>
      </c>
      <c r="H23" s="1" t="s">
        <v>41</v>
      </c>
      <c r="I23" s="1" t="s">
        <v>42</v>
      </c>
      <c r="J23" s="1" t="s">
        <v>43</v>
      </c>
      <c r="K23" s="1" t="s">
        <v>44</v>
      </c>
      <c r="L23" s="1" t="s">
        <v>45</v>
      </c>
      <c r="M23" s="1" t="s">
        <v>46</v>
      </c>
      <c r="N23" s="1" t="s">
        <v>47</v>
      </c>
      <c r="O23" s="1" t="s">
        <v>48</v>
      </c>
      <c r="P23" s="1" t="s">
        <v>4</v>
      </c>
      <c r="Q23" s="1" t="s">
        <v>49</v>
      </c>
      <c r="R23" s="1" t="s">
        <v>50</v>
      </c>
      <c r="S23" s="1" t="s">
        <v>51</v>
      </c>
      <c r="T23" s="1" t="s">
        <v>52</v>
      </c>
      <c r="U23" s="1" t="s">
        <v>10</v>
      </c>
    </row>
    <row r="24" spans="1:21" ht="28" customHeight="1" x14ac:dyDescent="0.35">
      <c r="A24" s="4">
        <v>1</v>
      </c>
      <c r="B24" s="4" t="s">
        <v>53</v>
      </c>
      <c r="C24" s="4" t="s">
        <v>621</v>
      </c>
      <c r="D24" s="4" t="s">
        <v>622</v>
      </c>
      <c r="E24" s="4" t="s">
        <v>56</v>
      </c>
      <c r="F24" s="4" t="s">
        <v>57</v>
      </c>
      <c r="G24" s="4" t="s">
        <v>58</v>
      </c>
      <c r="H24" s="4" t="s">
        <v>59</v>
      </c>
      <c r="I24" s="3"/>
      <c r="J24" s="3"/>
      <c r="K24" s="3"/>
      <c r="L24" s="3"/>
      <c r="M24" s="3"/>
      <c r="N24" s="3"/>
      <c r="O24" s="3"/>
      <c r="P24" s="8"/>
      <c r="Q24" s="8"/>
      <c r="R24" s="3"/>
      <c r="S24" s="3"/>
      <c r="T24" s="3"/>
      <c r="U24" s="5" t="str">
        <f t="shared" ref="U24:U39" si="2">IF(I24="","",IF(I24="NA","Grey",IF(I24=2,"Green",IF(I24=1,"Amber","Red"))))</f>
        <v/>
      </c>
    </row>
    <row r="25" spans="1:21" ht="28" customHeight="1" x14ac:dyDescent="0.35">
      <c r="A25" s="4">
        <v>2</v>
      </c>
      <c r="B25" s="4" t="s">
        <v>53</v>
      </c>
      <c r="C25" s="4" t="s">
        <v>623</v>
      </c>
      <c r="D25" s="4" t="s">
        <v>624</v>
      </c>
      <c r="E25" s="4" t="s">
        <v>56</v>
      </c>
      <c r="F25" s="4" t="s">
        <v>57</v>
      </c>
      <c r="G25" s="4" t="s">
        <v>58</v>
      </c>
      <c r="H25" s="4" t="s">
        <v>59</v>
      </c>
      <c r="I25" s="3"/>
      <c r="J25" s="3"/>
      <c r="K25" s="3"/>
      <c r="L25" s="3"/>
      <c r="M25" s="3"/>
      <c r="N25" s="3"/>
      <c r="O25" s="3"/>
      <c r="P25" s="8"/>
      <c r="Q25" s="8"/>
      <c r="R25" s="3"/>
      <c r="S25" s="3"/>
      <c r="T25" s="3"/>
      <c r="U25" s="5" t="str">
        <f t="shared" si="2"/>
        <v/>
      </c>
    </row>
    <row r="26" spans="1:21" ht="28" customHeight="1" x14ac:dyDescent="0.35">
      <c r="A26" s="4">
        <v>3</v>
      </c>
      <c r="B26" s="4" t="s">
        <v>53</v>
      </c>
      <c r="C26" s="4" t="s">
        <v>625</v>
      </c>
      <c r="D26" s="4" t="s">
        <v>626</v>
      </c>
      <c r="E26" s="4" t="s">
        <v>56</v>
      </c>
      <c r="F26" s="4" t="s">
        <v>57</v>
      </c>
      <c r="G26" s="4" t="s">
        <v>58</v>
      </c>
      <c r="H26" s="4" t="s">
        <v>59</v>
      </c>
      <c r="I26" s="3"/>
      <c r="J26" s="3"/>
      <c r="K26" s="3"/>
      <c r="L26" s="3"/>
      <c r="M26" s="3"/>
      <c r="N26" s="3"/>
      <c r="O26" s="3"/>
      <c r="P26" s="8"/>
      <c r="Q26" s="8"/>
      <c r="R26" s="3"/>
      <c r="S26" s="3"/>
      <c r="T26" s="3"/>
      <c r="U26" s="5" t="str">
        <f t="shared" si="2"/>
        <v/>
      </c>
    </row>
    <row r="27" spans="1:21" ht="28" customHeight="1" x14ac:dyDescent="0.35">
      <c r="A27" s="4">
        <v>4</v>
      </c>
      <c r="B27" s="4" t="s">
        <v>53</v>
      </c>
      <c r="C27" s="4" t="s">
        <v>627</v>
      </c>
      <c r="D27" s="4" t="s">
        <v>628</v>
      </c>
      <c r="E27" s="4" t="s">
        <v>56</v>
      </c>
      <c r="F27" s="4" t="s">
        <v>57</v>
      </c>
      <c r="G27" s="4" t="s">
        <v>58</v>
      </c>
      <c r="H27" s="4" t="s">
        <v>59</v>
      </c>
      <c r="I27" s="3"/>
      <c r="J27" s="3"/>
      <c r="K27" s="3"/>
      <c r="L27" s="3"/>
      <c r="M27" s="3"/>
      <c r="N27" s="3"/>
      <c r="O27" s="3"/>
      <c r="P27" s="8"/>
      <c r="Q27" s="8"/>
      <c r="R27" s="3"/>
      <c r="S27" s="3"/>
      <c r="T27" s="3"/>
      <c r="U27" s="5" t="str">
        <f t="shared" si="2"/>
        <v/>
      </c>
    </row>
    <row r="28" spans="1:21" ht="28" customHeight="1" x14ac:dyDescent="0.35">
      <c r="A28" s="4">
        <v>5</v>
      </c>
      <c r="B28" s="4" t="s">
        <v>66</v>
      </c>
      <c r="C28" s="4" t="s">
        <v>67</v>
      </c>
      <c r="D28" s="4" t="s">
        <v>68</v>
      </c>
      <c r="E28" s="4" t="s">
        <v>69</v>
      </c>
      <c r="F28" s="4" t="s">
        <v>57</v>
      </c>
      <c r="G28" s="4" t="s">
        <v>58</v>
      </c>
      <c r="H28" s="4" t="s">
        <v>59</v>
      </c>
      <c r="I28" s="3"/>
      <c r="J28" s="3"/>
      <c r="K28" s="3"/>
      <c r="L28" s="3"/>
      <c r="M28" s="3"/>
      <c r="N28" s="3"/>
      <c r="O28" s="3"/>
      <c r="P28" s="8"/>
      <c r="Q28" s="8"/>
      <c r="R28" s="3"/>
      <c r="S28" s="3"/>
      <c r="T28" s="3"/>
      <c r="U28" s="5" t="str">
        <f t="shared" si="2"/>
        <v/>
      </c>
    </row>
    <row r="29" spans="1:21" ht="28" customHeight="1" x14ac:dyDescent="0.35">
      <c r="A29" s="4">
        <v>6</v>
      </c>
      <c r="B29" s="4" t="s">
        <v>70</v>
      </c>
      <c r="C29" s="4" t="s">
        <v>71</v>
      </c>
      <c r="D29" s="4" t="s">
        <v>72</v>
      </c>
      <c r="E29" s="4" t="s">
        <v>70</v>
      </c>
      <c r="F29" s="4" t="s">
        <v>57</v>
      </c>
      <c r="G29" s="4" t="s">
        <v>58</v>
      </c>
      <c r="H29" s="4" t="s">
        <v>59</v>
      </c>
      <c r="I29" s="3"/>
      <c r="J29" s="3"/>
      <c r="K29" s="3"/>
      <c r="L29" s="3"/>
      <c r="M29" s="3"/>
      <c r="N29" s="3"/>
      <c r="O29" s="3"/>
      <c r="P29" s="8"/>
      <c r="Q29" s="8"/>
      <c r="R29" s="3"/>
      <c r="S29" s="3"/>
      <c r="T29" s="3"/>
      <c r="U29" s="5" t="str">
        <f t="shared" si="2"/>
        <v/>
      </c>
    </row>
    <row r="30" spans="1:21" ht="28" customHeight="1" x14ac:dyDescent="0.35">
      <c r="A30" s="4">
        <v>7</v>
      </c>
      <c r="B30" s="4" t="s">
        <v>73</v>
      </c>
      <c r="C30" s="4" t="s">
        <v>74</v>
      </c>
      <c r="D30" s="4" t="s">
        <v>75</v>
      </c>
      <c r="E30" s="4" t="s">
        <v>69</v>
      </c>
      <c r="F30" s="4" t="s">
        <v>57</v>
      </c>
      <c r="G30" s="4" t="s">
        <v>58</v>
      </c>
      <c r="H30" s="4" t="s">
        <v>76</v>
      </c>
      <c r="I30" s="3"/>
      <c r="J30" s="3"/>
      <c r="K30" s="3"/>
      <c r="L30" s="3"/>
      <c r="M30" s="3"/>
      <c r="N30" s="3"/>
      <c r="O30" s="3"/>
      <c r="P30" s="8"/>
      <c r="Q30" s="8"/>
      <c r="R30" s="3"/>
      <c r="S30" s="3"/>
      <c r="T30" s="3"/>
      <c r="U30" s="5" t="str">
        <f t="shared" si="2"/>
        <v/>
      </c>
    </row>
    <row r="31" spans="1:21" ht="28" customHeight="1" x14ac:dyDescent="0.35">
      <c r="A31" s="4">
        <v>8</v>
      </c>
      <c r="B31" s="4" t="s">
        <v>77</v>
      </c>
      <c r="C31" s="4" t="s">
        <v>78</v>
      </c>
      <c r="D31" s="4" t="s">
        <v>79</v>
      </c>
      <c r="E31" s="4" t="s">
        <v>80</v>
      </c>
      <c r="F31" s="4" t="s">
        <v>57</v>
      </c>
      <c r="G31" s="4" t="s">
        <v>58</v>
      </c>
      <c r="H31" s="4" t="s">
        <v>59</v>
      </c>
      <c r="I31" s="3"/>
      <c r="J31" s="3"/>
      <c r="K31" s="3"/>
      <c r="L31" s="3"/>
      <c r="M31" s="3"/>
      <c r="N31" s="3"/>
      <c r="O31" s="3"/>
      <c r="P31" s="8"/>
      <c r="Q31" s="8"/>
      <c r="R31" s="3"/>
      <c r="S31" s="3"/>
      <c r="T31" s="3"/>
      <c r="U31" s="5" t="str">
        <f t="shared" si="2"/>
        <v/>
      </c>
    </row>
    <row r="32" spans="1:21" ht="28" customHeight="1" x14ac:dyDescent="0.35">
      <c r="A32" s="4">
        <v>9</v>
      </c>
      <c r="B32" s="4" t="s">
        <v>81</v>
      </c>
      <c r="C32" s="4" t="s">
        <v>82</v>
      </c>
      <c r="D32" s="4" t="s">
        <v>83</v>
      </c>
      <c r="E32" s="4" t="s">
        <v>84</v>
      </c>
      <c r="F32" s="4" t="s">
        <v>57</v>
      </c>
      <c r="G32" s="4" t="s">
        <v>58</v>
      </c>
      <c r="H32" s="4" t="s">
        <v>85</v>
      </c>
      <c r="I32" s="3"/>
      <c r="J32" s="3"/>
      <c r="K32" s="3"/>
      <c r="L32" s="3"/>
      <c r="M32" s="3"/>
      <c r="N32" s="3"/>
      <c r="O32" s="3"/>
      <c r="P32" s="8"/>
      <c r="Q32" s="8"/>
      <c r="R32" s="3"/>
      <c r="S32" s="3"/>
      <c r="T32" s="3"/>
      <c r="U32" s="5" t="str">
        <f t="shared" si="2"/>
        <v/>
      </c>
    </row>
    <row r="33" spans="1:21" ht="28" customHeight="1" x14ac:dyDescent="0.35">
      <c r="A33" s="4">
        <v>10</v>
      </c>
      <c r="B33" s="4" t="s">
        <v>86</v>
      </c>
      <c r="C33" s="4" t="s">
        <v>87</v>
      </c>
      <c r="D33" s="4" t="s">
        <v>88</v>
      </c>
      <c r="E33" s="4" t="s">
        <v>69</v>
      </c>
      <c r="F33" s="4" t="s">
        <v>57</v>
      </c>
      <c r="G33" s="4" t="s">
        <v>58</v>
      </c>
      <c r="H33" s="4" t="s">
        <v>59</v>
      </c>
      <c r="I33" s="3"/>
      <c r="J33" s="3"/>
      <c r="K33" s="3"/>
      <c r="L33" s="3"/>
      <c r="M33" s="3"/>
      <c r="N33" s="3"/>
      <c r="O33" s="3"/>
      <c r="P33" s="8"/>
      <c r="Q33" s="8"/>
      <c r="R33" s="3"/>
      <c r="S33" s="3"/>
      <c r="T33" s="3"/>
      <c r="U33" s="5" t="str">
        <f t="shared" si="2"/>
        <v/>
      </c>
    </row>
    <row r="34" spans="1:21" ht="28" customHeight="1" x14ac:dyDescent="0.35">
      <c r="A34" s="4">
        <v>11</v>
      </c>
      <c r="B34" s="4" t="s">
        <v>89</v>
      </c>
      <c r="C34" s="4" t="s">
        <v>90</v>
      </c>
      <c r="D34" s="4" t="s">
        <v>91</v>
      </c>
      <c r="E34" s="4" t="s">
        <v>84</v>
      </c>
      <c r="F34" s="4" t="s">
        <v>57</v>
      </c>
      <c r="G34" s="4" t="s">
        <v>58</v>
      </c>
      <c r="H34" s="4" t="s">
        <v>59</v>
      </c>
      <c r="I34" s="3"/>
      <c r="J34" s="3"/>
      <c r="K34" s="3"/>
      <c r="L34" s="3"/>
      <c r="M34" s="3"/>
      <c r="N34" s="3"/>
      <c r="O34" s="3"/>
      <c r="P34" s="8"/>
      <c r="Q34" s="8"/>
      <c r="R34" s="3"/>
      <c r="S34" s="3"/>
      <c r="T34" s="3"/>
      <c r="U34" s="5" t="str">
        <f t="shared" si="2"/>
        <v/>
      </c>
    </row>
    <row r="35" spans="1:21" ht="28" customHeight="1" x14ac:dyDescent="0.35">
      <c r="A35" s="4">
        <v>12</v>
      </c>
      <c r="B35" s="4" t="s">
        <v>92</v>
      </c>
      <c r="C35" s="4" t="s">
        <v>93</v>
      </c>
      <c r="D35" s="4" t="s">
        <v>94</v>
      </c>
      <c r="E35" s="4" t="s">
        <v>69</v>
      </c>
      <c r="F35" s="4" t="s">
        <v>95</v>
      </c>
      <c r="G35" s="4" t="s">
        <v>96</v>
      </c>
      <c r="H35" s="4" t="s">
        <v>59</v>
      </c>
      <c r="I35" s="3"/>
      <c r="J35" s="3"/>
      <c r="K35" s="3"/>
      <c r="L35" s="3"/>
      <c r="M35" s="3"/>
      <c r="N35" s="3"/>
      <c r="O35" s="3"/>
      <c r="P35" s="8"/>
      <c r="Q35" s="8"/>
      <c r="R35" s="3"/>
      <c r="S35" s="3"/>
      <c r="T35" s="3"/>
      <c r="U35" s="5" t="str">
        <f t="shared" si="2"/>
        <v/>
      </c>
    </row>
    <row r="36" spans="1:21" ht="28" customHeight="1" x14ac:dyDescent="0.35">
      <c r="A36" s="4">
        <v>13</v>
      </c>
      <c r="B36" s="4" t="s">
        <v>97</v>
      </c>
      <c r="C36" s="4" t="s">
        <v>98</v>
      </c>
      <c r="D36" s="4" t="s">
        <v>99</v>
      </c>
      <c r="E36" s="4" t="s">
        <v>69</v>
      </c>
      <c r="F36" s="4" t="s">
        <v>95</v>
      </c>
      <c r="G36" s="4" t="s">
        <v>96</v>
      </c>
      <c r="H36" s="4" t="s">
        <v>59</v>
      </c>
      <c r="I36" s="3"/>
      <c r="J36" s="3"/>
      <c r="K36" s="3"/>
      <c r="L36" s="3"/>
      <c r="M36" s="3"/>
      <c r="N36" s="3"/>
      <c r="O36" s="3"/>
      <c r="P36" s="8"/>
      <c r="Q36" s="8"/>
      <c r="R36" s="3"/>
      <c r="S36" s="3"/>
      <c r="T36" s="3"/>
      <c r="U36" s="5" t="str">
        <f t="shared" si="2"/>
        <v/>
      </c>
    </row>
    <row r="37" spans="1:21" ht="28" customHeight="1" x14ac:dyDescent="0.35">
      <c r="A37" s="4">
        <v>14</v>
      </c>
      <c r="B37" s="4" t="s">
        <v>97</v>
      </c>
      <c r="C37" s="4" t="s">
        <v>100</v>
      </c>
      <c r="D37" s="4" t="s">
        <v>101</v>
      </c>
      <c r="E37" s="4" t="s">
        <v>69</v>
      </c>
      <c r="F37" s="4" t="s">
        <v>95</v>
      </c>
      <c r="G37" s="4" t="s">
        <v>102</v>
      </c>
      <c r="H37" s="4" t="s">
        <v>59</v>
      </c>
      <c r="I37" s="3"/>
      <c r="J37" s="3"/>
      <c r="K37" s="3"/>
      <c r="L37" s="3"/>
      <c r="M37" s="3"/>
      <c r="N37" s="3"/>
      <c r="O37" s="3"/>
      <c r="P37" s="8"/>
      <c r="Q37" s="8"/>
      <c r="R37" s="3"/>
      <c r="S37" s="3"/>
      <c r="T37" s="3"/>
      <c r="U37" s="5" t="str">
        <f t="shared" si="2"/>
        <v/>
      </c>
    </row>
    <row r="38" spans="1:21" ht="28" customHeight="1" x14ac:dyDescent="0.35">
      <c r="A38" s="4">
        <v>15</v>
      </c>
      <c r="B38" s="4" t="s">
        <v>103</v>
      </c>
      <c r="C38" s="4" t="s">
        <v>104</v>
      </c>
      <c r="D38" s="4" t="s">
        <v>105</v>
      </c>
      <c r="E38" s="4" t="s">
        <v>69</v>
      </c>
      <c r="F38" s="4" t="s">
        <v>95</v>
      </c>
      <c r="G38" s="4" t="s">
        <v>96</v>
      </c>
      <c r="H38" s="4" t="s">
        <v>85</v>
      </c>
      <c r="I38" s="3"/>
      <c r="J38" s="3"/>
      <c r="K38" s="3"/>
      <c r="L38" s="3"/>
      <c r="M38" s="3"/>
      <c r="N38" s="3"/>
      <c r="O38" s="3"/>
      <c r="P38" s="8"/>
      <c r="Q38" s="8"/>
      <c r="R38" s="3"/>
      <c r="S38" s="3"/>
      <c r="T38" s="3"/>
      <c r="U38" s="5" t="str">
        <f t="shared" si="2"/>
        <v/>
      </c>
    </row>
    <row r="39" spans="1:21" ht="28" customHeight="1" x14ac:dyDescent="0.35">
      <c r="A39" s="4">
        <v>16</v>
      </c>
      <c r="B39" s="4" t="s">
        <v>106</v>
      </c>
      <c r="C39" s="4" t="s">
        <v>107</v>
      </c>
      <c r="D39" s="4" t="s">
        <v>108</v>
      </c>
      <c r="E39" s="4" t="s">
        <v>109</v>
      </c>
      <c r="F39" s="4" t="s">
        <v>95</v>
      </c>
      <c r="G39" s="4" t="s">
        <v>96</v>
      </c>
      <c r="H39" s="4" t="s">
        <v>59</v>
      </c>
      <c r="I39" s="3"/>
      <c r="J39" s="3"/>
      <c r="K39" s="3"/>
      <c r="L39" s="3"/>
      <c r="M39" s="3"/>
      <c r="N39" s="3"/>
      <c r="O39" s="3"/>
      <c r="P39" s="8"/>
      <c r="Q39" s="8"/>
      <c r="R39" s="3"/>
      <c r="S39" s="3"/>
      <c r="T39" s="3"/>
      <c r="U39" s="5" t="str">
        <f t="shared" si="2"/>
        <v/>
      </c>
    </row>
    <row r="41" spans="1:21" ht="28" customHeight="1" x14ac:dyDescent="0.35">
      <c r="A41" s="9" t="s">
        <v>110</v>
      </c>
      <c r="B41" s="16"/>
      <c r="C41" s="17"/>
      <c r="D41" s="17"/>
      <c r="E41" s="17"/>
      <c r="F41" s="17"/>
      <c r="G41" s="17"/>
      <c r="H41" s="17"/>
      <c r="I41" s="17"/>
      <c r="J41" s="17"/>
      <c r="K41" s="17"/>
      <c r="L41" s="17"/>
      <c r="M41" s="17"/>
      <c r="N41" s="17"/>
      <c r="O41" s="17"/>
      <c r="P41" s="17"/>
      <c r="Q41" s="17"/>
      <c r="R41" s="17"/>
      <c r="S41" s="17"/>
      <c r="T41" s="17"/>
      <c r="U41" s="18"/>
    </row>
    <row r="42" spans="1:21" ht="28" customHeight="1" x14ac:dyDescent="0.35">
      <c r="A42" s="19" t="s">
        <v>629</v>
      </c>
      <c r="B42" s="20"/>
      <c r="C42" s="20"/>
      <c r="D42" s="20"/>
      <c r="E42" s="20"/>
      <c r="F42" s="20"/>
      <c r="G42" s="20"/>
      <c r="H42" s="20"/>
      <c r="I42" s="20"/>
      <c r="J42" s="20"/>
      <c r="K42" s="20"/>
      <c r="L42" s="20"/>
      <c r="M42" s="20"/>
      <c r="N42" s="20"/>
      <c r="O42" s="20"/>
      <c r="P42" s="20"/>
      <c r="Q42" s="20"/>
      <c r="R42" s="20"/>
      <c r="S42" s="20"/>
      <c r="T42" s="20"/>
      <c r="U42" s="21"/>
    </row>
    <row r="43" spans="1:21" ht="28" customHeight="1" x14ac:dyDescent="0.35">
      <c r="A43" s="4" t="s">
        <v>31</v>
      </c>
      <c r="B43" s="3" t="s">
        <v>19</v>
      </c>
      <c r="C43" s="4" t="s">
        <v>32</v>
      </c>
      <c r="D43" s="3"/>
      <c r="E43" s="4" t="s">
        <v>33</v>
      </c>
      <c r="F43" s="8"/>
    </row>
    <row r="44" spans="1:21" ht="28" customHeight="1" x14ac:dyDescent="0.35">
      <c r="A44" s="1" t="s">
        <v>34</v>
      </c>
      <c r="B44" s="1" t="s">
        <v>35</v>
      </c>
      <c r="C44" s="1" t="s">
        <v>36</v>
      </c>
      <c r="D44" s="1" t="s">
        <v>37</v>
      </c>
      <c r="E44" s="1" t="s">
        <v>38</v>
      </c>
      <c r="F44" s="1" t="s">
        <v>39</v>
      </c>
      <c r="G44" s="1" t="s">
        <v>40</v>
      </c>
      <c r="H44" s="1" t="s">
        <v>41</v>
      </c>
      <c r="I44" s="1" t="s">
        <v>42</v>
      </c>
      <c r="J44" s="1" t="s">
        <v>43</v>
      </c>
      <c r="K44" s="1" t="s">
        <v>44</v>
      </c>
      <c r="L44" s="1" t="s">
        <v>45</v>
      </c>
      <c r="M44" s="1" t="s">
        <v>46</v>
      </c>
      <c r="N44" s="1" t="s">
        <v>47</v>
      </c>
      <c r="O44" s="1" t="s">
        <v>48</v>
      </c>
      <c r="P44" s="1" t="s">
        <v>4</v>
      </c>
      <c r="Q44" s="1" t="s">
        <v>49</v>
      </c>
      <c r="R44" s="1" t="s">
        <v>50</v>
      </c>
      <c r="S44" s="1" t="s">
        <v>51</v>
      </c>
      <c r="T44" s="1" t="s">
        <v>52</v>
      </c>
      <c r="U44" s="1" t="s">
        <v>10</v>
      </c>
    </row>
    <row r="45" spans="1:21" ht="28" customHeight="1" x14ac:dyDescent="0.35">
      <c r="A45" s="4">
        <v>1</v>
      </c>
      <c r="B45" s="4" t="s">
        <v>53</v>
      </c>
      <c r="C45" s="4" t="s">
        <v>621</v>
      </c>
      <c r="D45" s="4" t="s">
        <v>622</v>
      </c>
      <c r="E45" s="4" t="s">
        <v>56</v>
      </c>
      <c r="F45" s="4" t="s">
        <v>57</v>
      </c>
      <c r="G45" s="4" t="s">
        <v>58</v>
      </c>
      <c r="H45" s="4" t="s">
        <v>59</v>
      </c>
      <c r="I45" s="3"/>
      <c r="J45" s="3"/>
      <c r="K45" s="3"/>
      <c r="L45" s="3"/>
      <c r="M45" s="3"/>
      <c r="N45" s="3"/>
      <c r="O45" s="3"/>
      <c r="P45" s="8"/>
      <c r="Q45" s="8"/>
      <c r="R45" s="3"/>
      <c r="S45" s="3"/>
      <c r="T45" s="3"/>
      <c r="U45" s="5" t="str">
        <f t="shared" ref="U45:U60" si="3">IF(I45="","",IF(I45="NA","Grey",IF(I45=2,"Green",IF(I45=1,"Amber","Red"))))</f>
        <v/>
      </c>
    </row>
    <row r="46" spans="1:21" ht="28" customHeight="1" x14ac:dyDescent="0.35">
      <c r="A46" s="4">
        <v>2</v>
      </c>
      <c r="B46" s="4" t="s">
        <v>53</v>
      </c>
      <c r="C46" s="4" t="s">
        <v>623</v>
      </c>
      <c r="D46" s="4" t="s">
        <v>624</v>
      </c>
      <c r="E46" s="4" t="s">
        <v>56</v>
      </c>
      <c r="F46" s="4" t="s">
        <v>57</v>
      </c>
      <c r="G46" s="4" t="s">
        <v>58</v>
      </c>
      <c r="H46" s="4" t="s">
        <v>59</v>
      </c>
      <c r="I46" s="3"/>
      <c r="J46" s="3"/>
      <c r="K46" s="3"/>
      <c r="L46" s="3"/>
      <c r="M46" s="3"/>
      <c r="N46" s="3"/>
      <c r="O46" s="3"/>
      <c r="P46" s="8"/>
      <c r="Q46" s="8"/>
      <c r="R46" s="3"/>
      <c r="S46" s="3"/>
      <c r="T46" s="3"/>
      <c r="U46" s="5" t="str">
        <f t="shared" si="3"/>
        <v/>
      </c>
    </row>
    <row r="47" spans="1:21" ht="28" customHeight="1" x14ac:dyDescent="0.35">
      <c r="A47" s="4">
        <v>3</v>
      </c>
      <c r="B47" s="4" t="s">
        <v>53</v>
      </c>
      <c r="C47" s="4" t="s">
        <v>625</v>
      </c>
      <c r="D47" s="4" t="s">
        <v>626</v>
      </c>
      <c r="E47" s="4" t="s">
        <v>56</v>
      </c>
      <c r="F47" s="4" t="s">
        <v>57</v>
      </c>
      <c r="G47" s="4" t="s">
        <v>58</v>
      </c>
      <c r="H47" s="4" t="s">
        <v>59</v>
      </c>
      <c r="I47" s="3"/>
      <c r="J47" s="3"/>
      <c r="K47" s="3"/>
      <c r="L47" s="3"/>
      <c r="M47" s="3"/>
      <c r="N47" s="3"/>
      <c r="O47" s="3"/>
      <c r="P47" s="8"/>
      <c r="Q47" s="8"/>
      <c r="R47" s="3"/>
      <c r="S47" s="3"/>
      <c r="T47" s="3"/>
      <c r="U47" s="5" t="str">
        <f t="shared" si="3"/>
        <v/>
      </c>
    </row>
    <row r="48" spans="1:21" ht="28" customHeight="1" x14ac:dyDescent="0.35">
      <c r="A48" s="4">
        <v>4</v>
      </c>
      <c r="B48" s="4" t="s">
        <v>53</v>
      </c>
      <c r="C48" s="4" t="s">
        <v>627</v>
      </c>
      <c r="D48" s="4" t="s">
        <v>628</v>
      </c>
      <c r="E48" s="4" t="s">
        <v>56</v>
      </c>
      <c r="F48" s="4" t="s">
        <v>57</v>
      </c>
      <c r="G48" s="4" t="s">
        <v>58</v>
      </c>
      <c r="H48" s="4" t="s">
        <v>59</v>
      </c>
      <c r="I48" s="3"/>
      <c r="J48" s="3"/>
      <c r="K48" s="3"/>
      <c r="L48" s="3"/>
      <c r="M48" s="3"/>
      <c r="N48" s="3"/>
      <c r="O48" s="3"/>
      <c r="P48" s="8"/>
      <c r="Q48" s="8"/>
      <c r="R48" s="3"/>
      <c r="S48" s="3"/>
      <c r="T48" s="3"/>
      <c r="U48" s="5" t="str">
        <f t="shared" si="3"/>
        <v/>
      </c>
    </row>
    <row r="49" spans="1:21" ht="28" customHeight="1" x14ac:dyDescent="0.35">
      <c r="A49" s="4">
        <v>5</v>
      </c>
      <c r="B49" s="4" t="s">
        <v>66</v>
      </c>
      <c r="C49" s="4" t="s">
        <v>67</v>
      </c>
      <c r="D49" s="4" t="s">
        <v>68</v>
      </c>
      <c r="E49" s="4" t="s">
        <v>69</v>
      </c>
      <c r="F49" s="4" t="s">
        <v>57</v>
      </c>
      <c r="G49" s="4" t="s">
        <v>58</v>
      </c>
      <c r="H49" s="4" t="s">
        <v>59</v>
      </c>
      <c r="I49" s="3"/>
      <c r="J49" s="3"/>
      <c r="K49" s="3"/>
      <c r="L49" s="3"/>
      <c r="M49" s="3"/>
      <c r="N49" s="3"/>
      <c r="O49" s="3"/>
      <c r="P49" s="8"/>
      <c r="Q49" s="8"/>
      <c r="R49" s="3"/>
      <c r="S49" s="3"/>
      <c r="T49" s="3"/>
      <c r="U49" s="5" t="str">
        <f t="shared" si="3"/>
        <v/>
      </c>
    </row>
    <row r="50" spans="1:21" ht="28" customHeight="1" x14ac:dyDescent="0.35">
      <c r="A50" s="4">
        <v>6</v>
      </c>
      <c r="B50" s="4" t="s">
        <v>70</v>
      </c>
      <c r="C50" s="4" t="s">
        <v>71</v>
      </c>
      <c r="D50" s="4" t="s">
        <v>72</v>
      </c>
      <c r="E50" s="4" t="s">
        <v>70</v>
      </c>
      <c r="F50" s="4" t="s">
        <v>57</v>
      </c>
      <c r="G50" s="4" t="s">
        <v>58</v>
      </c>
      <c r="H50" s="4" t="s">
        <v>59</v>
      </c>
      <c r="I50" s="3"/>
      <c r="J50" s="3"/>
      <c r="K50" s="3"/>
      <c r="L50" s="3"/>
      <c r="M50" s="3"/>
      <c r="N50" s="3"/>
      <c r="O50" s="3"/>
      <c r="P50" s="8"/>
      <c r="Q50" s="8"/>
      <c r="R50" s="3"/>
      <c r="S50" s="3"/>
      <c r="T50" s="3"/>
      <c r="U50" s="5" t="str">
        <f t="shared" si="3"/>
        <v/>
      </c>
    </row>
    <row r="51" spans="1:21" ht="28" customHeight="1" x14ac:dyDescent="0.35">
      <c r="A51" s="4">
        <v>7</v>
      </c>
      <c r="B51" s="4" t="s">
        <v>73</v>
      </c>
      <c r="C51" s="4" t="s">
        <v>74</v>
      </c>
      <c r="D51" s="4" t="s">
        <v>75</v>
      </c>
      <c r="E51" s="4" t="s">
        <v>69</v>
      </c>
      <c r="F51" s="4" t="s">
        <v>57</v>
      </c>
      <c r="G51" s="4" t="s">
        <v>58</v>
      </c>
      <c r="H51" s="4" t="s">
        <v>76</v>
      </c>
      <c r="I51" s="3"/>
      <c r="J51" s="3"/>
      <c r="K51" s="3"/>
      <c r="L51" s="3"/>
      <c r="M51" s="3"/>
      <c r="N51" s="3"/>
      <c r="O51" s="3"/>
      <c r="P51" s="8"/>
      <c r="Q51" s="8"/>
      <c r="R51" s="3"/>
      <c r="S51" s="3"/>
      <c r="T51" s="3"/>
      <c r="U51" s="5" t="str">
        <f t="shared" si="3"/>
        <v/>
      </c>
    </row>
    <row r="52" spans="1:21" ht="28" customHeight="1" x14ac:dyDescent="0.35">
      <c r="A52" s="4">
        <v>8</v>
      </c>
      <c r="B52" s="4" t="s">
        <v>77</v>
      </c>
      <c r="C52" s="4" t="s">
        <v>78</v>
      </c>
      <c r="D52" s="4" t="s">
        <v>79</v>
      </c>
      <c r="E52" s="4" t="s">
        <v>80</v>
      </c>
      <c r="F52" s="4" t="s">
        <v>57</v>
      </c>
      <c r="G52" s="4" t="s">
        <v>58</v>
      </c>
      <c r="H52" s="4" t="s">
        <v>59</v>
      </c>
      <c r="I52" s="3"/>
      <c r="J52" s="3"/>
      <c r="K52" s="3"/>
      <c r="L52" s="3"/>
      <c r="M52" s="3"/>
      <c r="N52" s="3"/>
      <c r="O52" s="3"/>
      <c r="P52" s="8"/>
      <c r="Q52" s="8"/>
      <c r="R52" s="3"/>
      <c r="S52" s="3"/>
      <c r="T52" s="3"/>
      <c r="U52" s="5" t="str">
        <f t="shared" si="3"/>
        <v/>
      </c>
    </row>
    <row r="53" spans="1:21" ht="28" customHeight="1" x14ac:dyDescent="0.35">
      <c r="A53" s="4">
        <v>9</v>
      </c>
      <c r="B53" s="4" t="s">
        <v>81</v>
      </c>
      <c r="C53" s="4" t="s">
        <v>82</v>
      </c>
      <c r="D53" s="4" t="s">
        <v>83</v>
      </c>
      <c r="E53" s="4" t="s">
        <v>84</v>
      </c>
      <c r="F53" s="4" t="s">
        <v>57</v>
      </c>
      <c r="G53" s="4" t="s">
        <v>58</v>
      </c>
      <c r="H53" s="4" t="s">
        <v>85</v>
      </c>
      <c r="I53" s="3"/>
      <c r="J53" s="3"/>
      <c r="K53" s="3"/>
      <c r="L53" s="3"/>
      <c r="M53" s="3"/>
      <c r="N53" s="3"/>
      <c r="O53" s="3"/>
      <c r="P53" s="8"/>
      <c r="Q53" s="8"/>
      <c r="R53" s="3"/>
      <c r="S53" s="3"/>
      <c r="T53" s="3"/>
      <c r="U53" s="5" t="str">
        <f t="shared" si="3"/>
        <v/>
      </c>
    </row>
    <row r="54" spans="1:21" ht="28" customHeight="1" x14ac:dyDescent="0.35">
      <c r="A54" s="4">
        <v>10</v>
      </c>
      <c r="B54" s="4" t="s">
        <v>86</v>
      </c>
      <c r="C54" s="4" t="s">
        <v>87</v>
      </c>
      <c r="D54" s="4" t="s">
        <v>88</v>
      </c>
      <c r="E54" s="4" t="s">
        <v>69</v>
      </c>
      <c r="F54" s="4" t="s">
        <v>57</v>
      </c>
      <c r="G54" s="4" t="s">
        <v>58</v>
      </c>
      <c r="H54" s="4" t="s">
        <v>59</v>
      </c>
      <c r="I54" s="3"/>
      <c r="J54" s="3"/>
      <c r="K54" s="3"/>
      <c r="L54" s="3"/>
      <c r="M54" s="3"/>
      <c r="N54" s="3"/>
      <c r="O54" s="3"/>
      <c r="P54" s="8"/>
      <c r="Q54" s="8"/>
      <c r="R54" s="3"/>
      <c r="S54" s="3"/>
      <c r="T54" s="3"/>
      <c r="U54" s="5" t="str">
        <f t="shared" si="3"/>
        <v/>
      </c>
    </row>
    <row r="55" spans="1:21" ht="28" customHeight="1" x14ac:dyDescent="0.35">
      <c r="A55" s="4">
        <v>11</v>
      </c>
      <c r="B55" s="4" t="s">
        <v>89</v>
      </c>
      <c r="C55" s="4" t="s">
        <v>90</v>
      </c>
      <c r="D55" s="4" t="s">
        <v>91</v>
      </c>
      <c r="E55" s="4" t="s">
        <v>84</v>
      </c>
      <c r="F55" s="4" t="s">
        <v>57</v>
      </c>
      <c r="G55" s="4" t="s">
        <v>58</v>
      </c>
      <c r="H55" s="4" t="s">
        <v>59</v>
      </c>
      <c r="I55" s="3"/>
      <c r="J55" s="3"/>
      <c r="K55" s="3"/>
      <c r="L55" s="3"/>
      <c r="M55" s="3"/>
      <c r="N55" s="3"/>
      <c r="O55" s="3"/>
      <c r="P55" s="8"/>
      <c r="Q55" s="8"/>
      <c r="R55" s="3"/>
      <c r="S55" s="3"/>
      <c r="T55" s="3"/>
      <c r="U55" s="5" t="str">
        <f t="shared" si="3"/>
        <v/>
      </c>
    </row>
    <row r="56" spans="1:21" ht="28" customHeight="1" x14ac:dyDescent="0.35">
      <c r="A56" s="4">
        <v>12</v>
      </c>
      <c r="B56" s="4" t="s">
        <v>92</v>
      </c>
      <c r="C56" s="4" t="s">
        <v>93</v>
      </c>
      <c r="D56" s="4" t="s">
        <v>94</v>
      </c>
      <c r="E56" s="4" t="s">
        <v>69</v>
      </c>
      <c r="F56" s="4" t="s">
        <v>95</v>
      </c>
      <c r="G56" s="4" t="s">
        <v>96</v>
      </c>
      <c r="H56" s="4" t="s">
        <v>59</v>
      </c>
      <c r="I56" s="3"/>
      <c r="J56" s="3"/>
      <c r="K56" s="3"/>
      <c r="L56" s="3"/>
      <c r="M56" s="3"/>
      <c r="N56" s="3"/>
      <c r="O56" s="3"/>
      <c r="P56" s="8"/>
      <c r="Q56" s="8"/>
      <c r="R56" s="3"/>
      <c r="S56" s="3"/>
      <c r="T56" s="3"/>
      <c r="U56" s="5" t="str">
        <f t="shared" si="3"/>
        <v/>
      </c>
    </row>
    <row r="57" spans="1:21" ht="28" customHeight="1" x14ac:dyDescent="0.35">
      <c r="A57" s="4">
        <v>13</v>
      </c>
      <c r="B57" s="4" t="s">
        <v>97</v>
      </c>
      <c r="C57" s="4" t="s">
        <v>98</v>
      </c>
      <c r="D57" s="4" t="s">
        <v>99</v>
      </c>
      <c r="E57" s="4" t="s">
        <v>69</v>
      </c>
      <c r="F57" s="4" t="s">
        <v>95</v>
      </c>
      <c r="G57" s="4" t="s">
        <v>96</v>
      </c>
      <c r="H57" s="4" t="s">
        <v>59</v>
      </c>
      <c r="I57" s="3"/>
      <c r="J57" s="3"/>
      <c r="K57" s="3"/>
      <c r="L57" s="3"/>
      <c r="M57" s="3"/>
      <c r="N57" s="3"/>
      <c r="O57" s="3"/>
      <c r="P57" s="8"/>
      <c r="Q57" s="8"/>
      <c r="R57" s="3"/>
      <c r="S57" s="3"/>
      <c r="T57" s="3"/>
      <c r="U57" s="5" t="str">
        <f t="shared" si="3"/>
        <v/>
      </c>
    </row>
    <row r="58" spans="1:21" ht="28" customHeight="1" x14ac:dyDescent="0.35">
      <c r="A58" s="4">
        <v>14</v>
      </c>
      <c r="B58" s="4" t="s">
        <v>97</v>
      </c>
      <c r="C58" s="4" t="s">
        <v>100</v>
      </c>
      <c r="D58" s="4" t="s">
        <v>101</v>
      </c>
      <c r="E58" s="4" t="s">
        <v>69</v>
      </c>
      <c r="F58" s="4" t="s">
        <v>95</v>
      </c>
      <c r="G58" s="4" t="s">
        <v>102</v>
      </c>
      <c r="H58" s="4" t="s">
        <v>59</v>
      </c>
      <c r="I58" s="3"/>
      <c r="J58" s="3"/>
      <c r="K58" s="3"/>
      <c r="L58" s="3"/>
      <c r="M58" s="3"/>
      <c r="N58" s="3"/>
      <c r="O58" s="3"/>
      <c r="P58" s="8"/>
      <c r="Q58" s="8"/>
      <c r="R58" s="3"/>
      <c r="S58" s="3"/>
      <c r="T58" s="3"/>
      <c r="U58" s="5" t="str">
        <f t="shared" si="3"/>
        <v/>
      </c>
    </row>
    <row r="59" spans="1:21" ht="28" customHeight="1" x14ac:dyDescent="0.35">
      <c r="A59" s="4">
        <v>15</v>
      </c>
      <c r="B59" s="4" t="s">
        <v>103</v>
      </c>
      <c r="C59" s="4" t="s">
        <v>104</v>
      </c>
      <c r="D59" s="4" t="s">
        <v>105</v>
      </c>
      <c r="E59" s="4" t="s">
        <v>69</v>
      </c>
      <c r="F59" s="4" t="s">
        <v>95</v>
      </c>
      <c r="G59" s="4" t="s">
        <v>96</v>
      </c>
      <c r="H59" s="4" t="s">
        <v>85</v>
      </c>
      <c r="I59" s="3"/>
      <c r="J59" s="3"/>
      <c r="K59" s="3"/>
      <c r="L59" s="3"/>
      <c r="M59" s="3"/>
      <c r="N59" s="3"/>
      <c r="O59" s="3"/>
      <c r="P59" s="8"/>
      <c r="Q59" s="8"/>
      <c r="R59" s="3"/>
      <c r="S59" s="3"/>
      <c r="T59" s="3"/>
      <c r="U59" s="5" t="str">
        <f t="shared" si="3"/>
        <v/>
      </c>
    </row>
    <row r="60" spans="1:21" ht="28" customHeight="1" x14ac:dyDescent="0.35">
      <c r="A60" s="4">
        <v>16</v>
      </c>
      <c r="B60" s="4" t="s">
        <v>106</v>
      </c>
      <c r="C60" s="4" t="s">
        <v>107</v>
      </c>
      <c r="D60" s="4" t="s">
        <v>108</v>
      </c>
      <c r="E60" s="4" t="s">
        <v>109</v>
      </c>
      <c r="F60" s="4" t="s">
        <v>95</v>
      </c>
      <c r="G60" s="4" t="s">
        <v>96</v>
      </c>
      <c r="H60" s="4" t="s">
        <v>59</v>
      </c>
      <c r="I60" s="3"/>
      <c r="J60" s="3"/>
      <c r="K60" s="3"/>
      <c r="L60" s="3"/>
      <c r="M60" s="3"/>
      <c r="N60" s="3"/>
      <c r="O60" s="3"/>
      <c r="P60" s="8"/>
      <c r="Q60" s="8"/>
      <c r="R60" s="3"/>
      <c r="S60" s="3"/>
      <c r="T60" s="3"/>
      <c r="U60" s="5" t="str">
        <f t="shared" si="3"/>
        <v/>
      </c>
    </row>
    <row r="62" spans="1:21" ht="28" customHeight="1" x14ac:dyDescent="0.35">
      <c r="A62" s="9" t="s">
        <v>110</v>
      </c>
      <c r="B62" s="16"/>
      <c r="C62" s="17"/>
      <c r="D62" s="17"/>
      <c r="E62" s="17"/>
      <c r="F62" s="17"/>
      <c r="G62" s="17"/>
      <c r="H62" s="17"/>
      <c r="I62" s="17"/>
      <c r="J62" s="17"/>
      <c r="K62" s="17"/>
      <c r="L62" s="17"/>
      <c r="M62" s="17"/>
      <c r="N62" s="17"/>
      <c r="O62" s="17"/>
      <c r="P62" s="17"/>
      <c r="Q62" s="17"/>
      <c r="R62" s="17"/>
      <c r="S62" s="17"/>
      <c r="T62" s="17"/>
      <c r="U62" s="18"/>
    </row>
    <row r="63" spans="1:21" ht="28" customHeight="1" x14ac:dyDescent="0.35">
      <c r="A63" s="19" t="s">
        <v>630</v>
      </c>
      <c r="B63" s="20"/>
      <c r="C63" s="20"/>
      <c r="D63" s="20"/>
      <c r="E63" s="20"/>
      <c r="F63" s="20"/>
      <c r="G63" s="20"/>
      <c r="H63" s="20"/>
      <c r="I63" s="20"/>
      <c r="J63" s="20"/>
      <c r="K63" s="20"/>
      <c r="L63" s="20"/>
      <c r="M63" s="20"/>
      <c r="N63" s="20"/>
      <c r="O63" s="20"/>
      <c r="P63" s="20"/>
      <c r="Q63" s="20"/>
      <c r="R63" s="20"/>
      <c r="S63" s="20"/>
      <c r="T63" s="20"/>
      <c r="U63" s="21"/>
    </row>
    <row r="64" spans="1:21" ht="28" customHeight="1" x14ac:dyDescent="0.35">
      <c r="A64" s="4" t="s">
        <v>31</v>
      </c>
      <c r="B64" s="3" t="s">
        <v>20</v>
      </c>
      <c r="C64" s="4" t="s">
        <v>32</v>
      </c>
      <c r="D64" s="3"/>
      <c r="E64" s="4" t="s">
        <v>33</v>
      </c>
      <c r="F64" s="8"/>
    </row>
    <row r="65" spans="1:21" ht="28" customHeight="1" x14ac:dyDescent="0.35">
      <c r="A65" s="1" t="s">
        <v>34</v>
      </c>
      <c r="B65" s="1" t="s">
        <v>35</v>
      </c>
      <c r="C65" s="1" t="s">
        <v>36</v>
      </c>
      <c r="D65" s="1" t="s">
        <v>37</v>
      </c>
      <c r="E65" s="1" t="s">
        <v>38</v>
      </c>
      <c r="F65" s="1" t="s">
        <v>39</v>
      </c>
      <c r="G65" s="1" t="s">
        <v>40</v>
      </c>
      <c r="H65" s="1" t="s">
        <v>41</v>
      </c>
      <c r="I65" s="1" t="s">
        <v>42</v>
      </c>
      <c r="J65" s="1" t="s">
        <v>43</v>
      </c>
      <c r="K65" s="1" t="s">
        <v>44</v>
      </c>
      <c r="L65" s="1" t="s">
        <v>45</v>
      </c>
      <c r="M65" s="1" t="s">
        <v>46</v>
      </c>
      <c r="N65" s="1" t="s">
        <v>47</v>
      </c>
      <c r="O65" s="1" t="s">
        <v>48</v>
      </c>
      <c r="P65" s="1" t="s">
        <v>4</v>
      </c>
      <c r="Q65" s="1" t="s">
        <v>49</v>
      </c>
      <c r="R65" s="1" t="s">
        <v>50</v>
      </c>
      <c r="S65" s="1" t="s">
        <v>51</v>
      </c>
      <c r="T65" s="1" t="s">
        <v>52</v>
      </c>
      <c r="U65" s="1" t="s">
        <v>10</v>
      </c>
    </row>
    <row r="66" spans="1:21" ht="28" customHeight="1" x14ac:dyDescent="0.35">
      <c r="A66" s="4">
        <v>1</v>
      </c>
      <c r="B66" s="4" t="s">
        <v>53</v>
      </c>
      <c r="C66" s="4" t="s">
        <v>621</v>
      </c>
      <c r="D66" s="4" t="s">
        <v>622</v>
      </c>
      <c r="E66" s="4" t="s">
        <v>56</v>
      </c>
      <c r="F66" s="4" t="s">
        <v>57</v>
      </c>
      <c r="G66" s="4" t="s">
        <v>58</v>
      </c>
      <c r="H66" s="4" t="s">
        <v>59</v>
      </c>
      <c r="I66" s="3"/>
      <c r="J66" s="3"/>
      <c r="K66" s="3"/>
      <c r="L66" s="3"/>
      <c r="M66" s="3"/>
      <c r="N66" s="3"/>
      <c r="O66" s="3"/>
      <c r="P66" s="8"/>
      <c r="Q66" s="8"/>
      <c r="R66" s="3"/>
      <c r="S66" s="3"/>
      <c r="T66" s="3"/>
      <c r="U66" s="5" t="str">
        <f t="shared" ref="U66:U81" si="4">IF(I66="","",IF(I66="NA","Grey",IF(I66=2,"Green",IF(I66=1,"Amber","Red"))))</f>
        <v/>
      </c>
    </row>
    <row r="67" spans="1:21" ht="28" customHeight="1" x14ac:dyDescent="0.35">
      <c r="A67" s="4">
        <v>2</v>
      </c>
      <c r="B67" s="4" t="s">
        <v>53</v>
      </c>
      <c r="C67" s="4" t="s">
        <v>623</v>
      </c>
      <c r="D67" s="4" t="s">
        <v>624</v>
      </c>
      <c r="E67" s="4" t="s">
        <v>56</v>
      </c>
      <c r="F67" s="4" t="s">
        <v>57</v>
      </c>
      <c r="G67" s="4" t="s">
        <v>58</v>
      </c>
      <c r="H67" s="4" t="s">
        <v>59</v>
      </c>
      <c r="I67" s="3"/>
      <c r="J67" s="3"/>
      <c r="K67" s="3"/>
      <c r="L67" s="3"/>
      <c r="M67" s="3"/>
      <c r="N67" s="3"/>
      <c r="O67" s="3"/>
      <c r="P67" s="8"/>
      <c r="Q67" s="8"/>
      <c r="R67" s="3"/>
      <c r="S67" s="3"/>
      <c r="T67" s="3"/>
      <c r="U67" s="5" t="str">
        <f t="shared" si="4"/>
        <v/>
      </c>
    </row>
    <row r="68" spans="1:21" ht="28" customHeight="1" x14ac:dyDescent="0.35">
      <c r="A68" s="4">
        <v>3</v>
      </c>
      <c r="B68" s="4" t="s">
        <v>53</v>
      </c>
      <c r="C68" s="4" t="s">
        <v>625</v>
      </c>
      <c r="D68" s="4" t="s">
        <v>626</v>
      </c>
      <c r="E68" s="4" t="s">
        <v>56</v>
      </c>
      <c r="F68" s="4" t="s">
        <v>57</v>
      </c>
      <c r="G68" s="4" t="s">
        <v>58</v>
      </c>
      <c r="H68" s="4" t="s">
        <v>59</v>
      </c>
      <c r="I68" s="3"/>
      <c r="J68" s="3"/>
      <c r="K68" s="3"/>
      <c r="L68" s="3"/>
      <c r="M68" s="3"/>
      <c r="N68" s="3"/>
      <c r="O68" s="3"/>
      <c r="P68" s="8"/>
      <c r="Q68" s="8"/>
      <c r="R68" s="3"/>
      <c r="S68" s="3"/>
      <c r="T68" s="3"/>
      <c r="U68" s="5" t="str">
        <f t="shared" si="4"/>
        <v/>
      </c>
    </row>
    <row r="69" spans="1:21" ht="28" customHeight="1" x14ac:dyDescent="0.35">
      <c r="A69" s="4">
        <v>4</v>
      </c>
      <c r="B69" s="4" t="s">
        <v>53</v>
      </c>
      <c r="C69" s="4" t="s">
        <v>627</v>
      </c>
      <c r="D69" s="4" t="s">
        <v>628</v>
      </c>
      <c r="E69" s="4" t="s">
        <v>56</v>
      </c>
      <c r="F69" s="4" t="s">
        <v>57</v>
      </c>
      <c r="G69" s="4" t="s">
        <v>58</v>
      </c>
      <c r="H69" s="4" t="s">
        <v>59</v>
      </c>
      <c r="I69" s="3"/>
      <c r="J69" s="3"/>
      <c r="K69" s="3"/>
      <c r="L69" s="3"/>
      <c r="M69" s="3"/>
      <c r="N69" s="3"/>
      <c r="O69" s="3"/>
      <c r="P69" s="8"/>
      <c r="Q69" s="8"/>
      <c r="R69" s="3"/>
      <c r="S69" s="3"/>
      <c r="T69" s="3"/>
      <c r="U69" s="5" t="str">
        <f t="shared" si="4"/>
        <v/>
      </c>
    </row>
    <row r="70" spans="1:21" ht="28" customHeight="1" x14ac:dyDescent="0.35">
      <c r="A70" s="4">
        <v>5</v>
      </c>
      <c r="B70" s="4" t="s">
        <v>66</v>
      </c>
      <c r="C70" s="4" t="s">
        <v>67</v>
      </c>
      <c r="D70" s="4" t="s">
        <v>68</v>
      </c>
      <c r="E70" s="4" t="s">
        <v>69</v>
      </c>
      <c r="F70" s="4" t="s">
        <v>57</v>
      </c>
      <c r="G70" s="4" t="s">
        <v>58</v>
      </c>
      <c r="H70" s="4" t="s">
        <v>59</v>
      </c>
      <c r="I70" s="3"/>
      <c r="J70" s="3"/>
      <c r="K70" s="3"/>
      <c r="L70" s="3"/>
      <c r="M70" s="3"/>
      <c r="N70" s="3"/>
      <c r="O70" s="3"/>
      <c r="P70" s="8"/>
      <c r="Q70" s="8"/>
      <c r="R70" s="3"/>
      <c r="S70" s="3"/>
      <c r="T70" s="3"/>
      <c r="U70" s="5" t="str">
        <f t="shared" si="4"/>
        <v/>
      </c>
    </row>
    <row r="71" spans="1:21" ht="28" customHeight="1" x14ac:dyDescent="0.35">
      <c r="A71" s="4">
        <v>6</v>
      </c>
      <c r="B71" s="4" t="s">
        <v>70</v>
      </c>
      <c r="C71" s="4" t="s">
        <v>71</v>
      </c>
      <c r="D71" s="4" t="s">
        <v>72</v>
      </c>
      <c r="E71" s="4" t="s">
        <v>70</v>
      </c>
      <c r="F71" s="4" t="s">
        <v>57</v>
      </c>
      <c r="G71" s="4" t="s">
        <v>58</v>
      </c>
      <c r="H71" s="4" t="s">
        <v>59</v>
      </c>
      <c r="I71" s="3"/>
      <c r="J71" s="3"/>
      <c r="K71" s="3"/>
      <c r="L71" s="3"/>
      <c r="M71" s="3"/>
      <c r="N71" s="3"/>
      <c r="O71" s="3"/>
      <c r="P71" s="8"/>
      <c r="Q71" s="8"/>
      <c r="R71" s="3"/>
      <c r="S71" s="3"/>
      <c r="T71" s="3"/>
      <c r="U71" s="5" t="str">
        <f t="shared" si="4"/>
        <v/>
      </c>
    </row>
    <row r="72" spans="1:21" ht="28" customHeight="1" x14ac:dyDescent="0.35">
      <c r="A72" s="4">
        <v>7</v>
      </c>
      <c r="B72" s="4" t="s">
        <v>73</v>
      </c>
      <c r="C72" s="4" t="s">
        <v>74</v>
      </c>
      <c r="D72" s="4" t="s">
        <v>75</v>
      </c>
      <c r="E72" s="4" t="s">
        <v>69</v>
      </c>
      <c r="F72" s="4" t="s">
        <v>57</v>
      </c>
      <c r="G72" s="4" t="s">
        <v>58</v>
      </c>
      <c r="H72" s="4" t="s">
        <v>76</v>
      </c>
      <c r="I72" s="3"/>
      <c r="J72" s="3"/>
      <c r="K72" s="3"/>
      <c r="L72" s="3"/>
      <c r="M72" s="3"/>
      <c r="N72" s="3"/>
      <c r="O72" s="3"/>
      <c r="P72" s="8"/>
      <c r="Q72" s="8"/>
      <c r="R72" s="3"/>
      <c r="S72" s="3"/>
      <c r="T72" s="3"/>
      <c r="U72" s="5" t="str">
        <f t="shared" si="4"/>
        <v/>
      </c>
    </row>
    <row r="73" spans="1:21" ht="28" customHeight="1" x14ac:dyDescent="0.35">
      <c r="A73" s="4">
        <v>8</v>
      </c>
      <c r="B73" s="4" t="s">
        <v>77</v>
      </c>
      <c r="C73" s="4" t="s">
        <v>78</v>
      </c>
      <c r="D73" s="4" t="s">
        <v>79</v>
      </c>
      <c r="E73" s="4" t="s">
        <v>80</v>
      </c>
      <c r="F73" s="4" t="s">
        <v>57</v>
      </c>
      <c r="G73" s="4" t="s">
        <v>58</v>
      </c>
      <c r="H73" s="4" t="s">
        <v>59</v>
      </c>
      <c r="I73" s="3"/>
      <c r="J73" s="3"/>
      <c r="K73" s="3"/>
      <c r="L73" s="3"/>
      <c r="M73" s="3"/>
      <c r="N73" s="3"/>
      <c r="O73" s="3"/>
      <c r="P73" s="8"/>
      <c r="Q73" s="8"/>
      <c r="R73" s="3"/>
      <c r="S73" s="3"/>
      <c r="T73" s="3"/>
      <c r="U73" s="5" t="str">
        <f t="shared" si="4"/>
        <v/>
      </c>
    </row>
    <row r="74" spans="1:21" ht="28" customHeight="1" x14ac:dyDescent="0.35">
      <c r="A74" s="4">
        <v>9</v>
      </c>
      <c r="B74" s="4" t="s">
        <v>81</v>
      </c>
      <c r="C74" s="4" t="s">
        <v>82</v>
      </c>
      <c r="D74" s="4" t="s">
        <v>83</v>
      </c>
      <c r="E74" s="4" t="s">
        <v>84</v>
      </c>
      <c r="F74" s="4" t="s">
        <v>57</v>
      </c>
      <c r="G74" s="4" t="s">
        <v>58</v>
      </c>
      <c r="H74" s="4" t="s">
        <v>85</v>
      </c>
      <c r="I74" s="3"/>
      <c r="J74" s="3"/>
      <c r="K74" s="3"/>
      <c r="L74" s="3"/>
      <c r="M74" s="3"/>
      <c r="N74" s="3"/>
      <c r="O74" s="3"/>
      <c r="P74" s="8"/>
      <c r="Q74" s="8"/>
      <c r="R74" s="3"/>
      <c r="S74" s="3"/>
      <c r="T74" s="3"/>
      <c r="U74" s="5" t="str">
        <f t="shared" si="4"/>
        <v/>
      </c>
    </row>
    <row r="75" spans="1:21" ht="28" customHeight="1" x14ac:dyDescent="0.35">
      <c r="A75" s="4">
        <v>10</v>
      </c>
      <c r="B75" s="4" t="s">
        <v>86</v>
      </c>
      <c r="C75" s="4" t="s">
        <v>87</v>
      </c>
      <c r="D75" s="4" t="s">
        <v>88</v>
      </c>
      <c r="E75" s="4" t="s">
        <v>69</v>
      </c>
      <c r="F75" s="4" t="s">
        <v>57</v>
      </c>
      <c r="G75" s="4" t="s">
        <v>58</v>
      </c>
      <c r="H75" s="4" t="s">
        <v>59</v>
      </c>
      <c r="I75" s="3"/>
      <c r="J75" s="3"/>
      <c r="K75" s="3"/>
      <c r="L75" s="3"/>
      <c r="M75" s="3"/>
      <c r="N75" s="3"/>
      <c r="O75" s="3"/>
      <c r="P75" s="8"/>
      <c r="Q75" s="8"/>
      <c r="R75" s="3"/>
      <c r="S75" s="3"/>
      <c r="T75" s="3"/>
      <c r="U75" s="5" t="str">
        <f t="shared" si="4"/>
        <v/>
      </c>
    </row>
    <row r="76" spans="1:21" ht="28" customHeight="1" x14ac:dyDescent="0.35">
      <c r="A76" s="4">
        <v>11</v>
      </c>
      <c r="B76" s="4" t="s">
        <v>89</v>
      </c>
      <c r="C76" s="4" t="s">
        <v>90</v>
      </c>
      <c r="D76" s="4" t="s">
        <v>91</v>
      </c>
      <c r="E76" s="4" t="s">
        <v>84</v>
      </c>
      <c r="F76" s="4" t="s">
        <v>57</v>
      </c>
      <c r="G76" s="4" t="s">
        <v>58</v>
      </c>
      <c r="H76" s="4" t="s">
        <v>59</v>
      </c>
      <c r="I76" s="3"/>
      <c r="J76" s="3"/>
      <c r="K76" s="3"/>
      <c r="L76" s="3"/>
      <c r="M76" s="3"/>
      <c r="N76" s="3"/>
      <c r="O76" s="3"/>
      <c r="P76" s="8"/>
      <c r="Q76" s="8"/>
      <c r="R76" s="3"/>
      <c r="S76" s="3"/>
      <c r="T76" s="3"/>
      <c r="U76" s="5" t="str">
        <f t="shared" si="4"/>
        <v/>
      </c>
    </row>
    <row r="77" spans="1:21" ht="28" customHeight="1" x14ac:dyDescent="0.35">
      <c r="A77" s="4">
        <v>12</v>
      </c>
      <c r="B77" s="4" t="s">
        <v>92</v>
      </c>
      <c r="C77" s="4" t="s">
        <v>93</v>
      </c>
      <c r="D77" s="4" t="s">
        <v>94</v>
      </c>
      <c r="E77" s="4" t="s">
        <v>69</v>
      </c>
      <c r="F77" s="4" t="s">
        <v>95</v>
      </c>
      <c r="G77" s="4" t="s">
        <v>96</v>
      </c>
      <c r="H77" s="4" t="s">
        <v>59</v>
      </c>
      <c r="I77" s="3"/>
      <c r="J77" s="3"/>
      <c r="K77" s="3"/>
      <c r="L77" s="3"/>
      <c r="M77" s="3"/>
      <c r="N77" s="3"/>
      <c r="O77" s="3"/>
      <c r="P77" s="8"/>
      <c r="Q77" s="8"/>
      <c r="R77" s="3"/>
      <c r="S77" s="3"/>
      <c r="T77" s="3"/>
      <c r="U77" s="5" t="str">
        <f t="shared" si="4"/>
        <v/>
      </c>
    </row>
    <row r="78" spans="1:21" ht="28" customHeight="1" x14ac:dyDescent="0.35">
      <c r="A78" s="4">
        <v>13</v>
      </c>
      <c r="B78" s="4" t="s">
        <v>97</v>
      </c>
      <c r="C78" s="4" t="s">
        <v>98</v>
      </c>
      <c r="D78" s="4" t="s">
        <v>99</v>
      </c>
      <c r="E78" s="4" t="s">
        <v>69</v>
      </c>
      <c r="F78" s="4" t="s">
        <v>95</v>
      </c>
      <c r="G78" s="4" t="s">
        <v>96</v>
      </c>
      <c r="H78" s="4" t="s">
        <v>59</v>
      </c>
      <c r="I78" s="3"/>
      <c r="J78" s="3"/>
      <c r="K78" s="3"/>
      <c r="L78" s="3"/>
      <c r="M78" s="3"/>
      <c r="N78" s="3"/>
      <c r="O78" s="3"/>
      <c r="P78" s="8"/>
      <c r="Q78" s="8"/>
      <c r="R78" s="3"/>
      <c r="S78" s="3"/>
      <c r="T78" s="3"/>
      <c r="U78" s="5" t="str">
        <f t="shared" si="4"/>
        <v/>
      </c>
    </row>
    <row r="79" spans="1:21" ht="28" customHeight="1" x14ac:dyDescent="0.35">
      <c r="A79" s="4">
        <v>14</v>
      </c>
      <c r="B79" s="4" t="s">
        <v>97</v>
      </c>
      <c r="C79" s="4" t="s">
        <v>100</v>
      </c>
      <c r="D79" s="4" t="s">
        <v>101</v>
      </c>
      <c r="E79" s="4" t="s">
        <v>69</v>
      </c>
      <c r="F79" s="4" t="s">
        <v>95</v>
      </c>
      <c r="G79" s="4" t="s">
        <v>102</v>
      </c>
      <c r="H79" s="4" t="s">
        <v>59</v>
      </c>
      <c r="I79" s="3"/>
      <c r="J79" s="3"/>
      <c r="K79" s="3"/>
      <c r="L79" s="3"/>
      <c r="M79" s="3"/>
      <c r="N79" s="3"/>
      <c r="O79" s="3"/>
      <c r="P79" s="8"/>
      <c r="Q79" s="8"/>
      <c r="R79" s="3"/>
      <c r="S79" s="3"/>
      <c r="T79" s="3"/>
      <c r="U79" s="5" t="str">
        <f t="shared" si="4"/>
        <v/>
      </c>
    </row>
    <row r="80" spans="1:21" ht="28" customHeight="1" x14ac:dyDescent="0.35">
      <c r="A80" s="4">
        <v>15</v>
      </c>
      <c r="B80" s="4" t="s">
        <v>103</v>
      </c>
      <c r="C80" s="4" t="s">
        <v>104</v>
      </c>
      <c r="D80" s="4" t="s">
        <v>105</v>
      </c>
      <c r="E80" s="4" t="s">
        <v>69</v>
      </c>
      <c r="F80" s="4" t="s">
        <v>95</v>
      </c>
      <c r="G80" s="4" t="s">
        <v>96</v>
      </c>
      <c r="H80" s="4" t="s">
        <v>85</v>
      </c>
      <c r="I80" s="3"/>
      <c r="J80" s="3"/>
      <c r="K80" s="3"/>
      <c r="L80" s="3"/>
      <c r="M80" s="3"/>
      <c r="N80" s="3"/>
      <c r="O80" s="3"/>
      <c r="P80" s="8"/>
      <c r="Q80" s="8"/>
      <c r="R80" s="3"/>
      <c r="S80" s="3"/>
      <c r="T80" s="3"/>
      <c r="U80" s="5" t="str">
        <f t="shared" si="4"/>
        <v/>
      </c>
    </row>
    <row r="81" spans="1:21" ht="28" customHeight="1" x14ac:dyDescent="0.35">
      <c r="A81" s="4">
        <v>16</v>
      </c>
      <c r="B81" s="4" t="s">
        <v>106</v>
      </c>
      <c r="C81" s="4" t="s">
        <v>107</v>
      </c>
      <c r="D81" s="4" t="s">
        <v>108</v>
      </c>
      <c r="E81" s="4" t="s">
        <v>109</v>
      </c>
      <c r="F81" s="4" t="s">
        <v>95</v>
      </c>
      <c r="G81" s="4" t="s">
        <v>96</v>
      </c>
      <c r="H81" s="4" t="s">
        <v>59</v>
      </c>
      <c r="I81" s="3"/>
      <c r="J81" s="3"/>
      <c r="K81" s="3"/>
      <c r="L81" s="3"/>
      <c r="M81" s="3"/>
      <c r="N81" s="3"/>
      <c r="O81" s="3"/>
      <c r="P81" s="8"/>
      <c r="Q81" s="8"/>
      <c r="R81" s="3"/>
      <c r="S81" s="3"/>
      <c r="T81" s="3"/>
      <c r="U81" s="5" t="str">
        <f t="shared" si="4"/>
        <v/>
      </c>
    </row>
    <row r="83" spans="1:21" ht="28" customHeight="1" x14ac:dyDescent="0.35">
      <c r="A83" s="9" t="s">
        <v>110</v>
      </c>
      <c r="B83" s="16"/>
      <c r="C83" s="17"/>
      <c r="D83" s="17"/>
      <c r="E83" s="17"/>
      <c r="F83" s="17"/>
      <c r="G83" s="17"/>
      <c r="H83" s="17"/>
      <c r="I83" s="17"/>
      <c r="J83" s="17"/>
      <c r="K83" s="17"/>
      <c r="L83" s="17"/>
      <c r="M83" s="17"/>
      <c r="N83" s="17"/>
      <c r="O83" s="17"/>
      <c r="P83" s="17"/>
      <c r="Q83" s="17"/>
      <c r="R83" s="17"/>
      <c r="S83" s="17"/>
      <c r="T83" s="17"/>
      <c r="U83" s="18"/>
    </row>
    <row r="84" spans="1:21" ht="28" customHeight="1" x14ac:dyDescent="0.35">
      <c r="A84" s="19" t="s">
        <v>631</v>
      </c>
      <c r="B84" s="20"/>
      <c r="C84" s="20"/>
      <c r="D84" s="20"/>
      <c r="E84" s="20"/>
      <c r="F84" s="20"/>
      <c r="G84" s="20"/>
      <c r="H84" s="20"/>
      <c r="I84" s="20"/>
      <c r="J84" s="20"/>
      <c r="K84" s="20"/>
      <c r="L84" s="20"/>
      <c r="M84" s="20"/>
      <c r="N84" s="20"/>
      <c r="O84" s="20"/>
      <c r="P84" s="20"/>
      <c r="Q84" s="20"/>
      <c r="R84" s="20"/>
      <c r="S84" s="20"/>
      <c r="T84" s="20"/>
      <c r="U84" s="21"/>
    </row>
    <row r="85" spans="1:21" ht="28" customHeight="1" x14ac:dyDescent="0.35">
      <c r="A85" s="4" t="s">
        <v>31</v>
      </c>
      <c r="B85" s="3" t="s">
        <v>21</v>
      </c>
      <c r="C85" s="4" t="s">
        <v>32</v>
      </c>
      <c r="D85" s="3"/>
      <c r="E85" s="4" t="s">
        <v>33</v>
      </c>
      <c r="F85" s="8"/>
    </row>
    <row r="86" spans="1:21" ht="28" customHeight="1" x14ac:dyDescent="0.35">
      <c r="A86" s="1" t="s">
        <v>34</v>
      </c>
      <c r="B86" s="1" t="s">
        <v>35</v>
      </c>
      <c r="C86" s="1" t="s">
        <v>36</v>
      </c>
      <c r="D86" s="1" t="s">
        <v>37</v>
      </c>
      <c r="E86" s="1" t="s">
        <v>38</v>
      </c>
      <c r="F86" s="1" t="s">
        <v>39</v>
      </c>
      <c r="G86" s="1" t="s">
        <v>40</v>
      </c>
      <c r="H86" s="1" t="s">
        <v>41</v>
      </c>
      <c r="I86" s="1" t="s">
        <v>42</v>
      </c>
      <c r="J86" s="1" t="s">
        <v>43</v>
      </c>
      <c r="K86" s="1" t="s">
        <v>44</v>
      </c>
      <c r="L86" s="1" t="s">
        <v>45</v>
      </c>
      <c r="M86" s="1" t="s">
        <v>46</v>
      </c>
      <c r="N86" s="1" t="s">
        <v>47</v>
      </c>
      <c r="O86" s="1" t="s">
        <v>48</v>
      </c>
      <c r="P86" s="1" t="s">
        <v>4</v>
      </c>
      <c r="Q86" s="1" t="s">
        <v>49</v>
      </c>
      <c r="R86" s="1" t="s">
        <v>50</v>
      </c>
      <c r="S86" s="1" t="s">
        <v>51</v>
      </c>
      <c r="T86" s="1" t="s">
        <v>52</v>
      </c>
      <c r="U86" s="1" t="s">
        <v>10</v>
      </c>
    </row>
    <row r="87" spans="1:21" ht="28" customHeight="1" x14ac:dyDescent="0.35">
      <c r="A87" s="4">
        <v>1</v>
      </c>
      <c r="B87" s="4" t="s">
        <v>53</v>
      </c>
      <c r="C87" s="4" t="s">
        <v>621</v>
      </c>
      <c r="D87" s="4" t="s">
        <v>622</v>
      </c>
      <c r="E87" s="4" t="s">
        <v>56</v>
      </c>
      <c r="F87" s="4" t="s">
        <v>57</v>
      </c>
      <c r="G87" s="4" t="s">
        <v>58</v>
      </c>
      <c r="H87" s="4" t="s">
        <v>59</v>
      </c>
      <c r="I87" s="3"/>
      <c r="J87" s="3"/>
      <c r="K87" s="3"/>
      <c r="L87" s="3"/>
      <c r="M87" s="3"/>
      <c r="N87" s="3"/>
      <c r="O87" s="3"/>
      <c r="P87" s="8"/>
      <c r="Q87" s="8"/>
      <c r="R87" s="3"/>
      <c r="S87" s="3"/>
      <c r="T87" s="3"/>
      <c r="U87" s="5" t="str">
        <f t="shared" ref="U87:U102" si="5">IF(I87="","",IF(I87="NA","Grey",IF(I87=2,"Green",IF(I87=1,"Amber","Red"))))</f>
        <v/>
      </c>
    </row>
    <row r="88" spans="1:21" ht="28" customHeight="1" x14ac:dyDescent="0.35">
      <c r="A88" s="4">
        <v>2</v>
      </c>
      <c r="B88" s="4" t="s">
        <v>53</v>
      </c>
      <c r="C88" s="4" t="s">
        <v>623</v>
      </c>
      <c r="D88" s="4" t="s">
        <v>624</v>
      </c>
      <c r="E88" s="4" t="s">
        <v>56</v>
      </c>
      <c r="F88" s="4" t="s">
        <v>57</v>
      </c>
      <c r="G88" s="4" t="s">
        <v>58</v>
      </c>
      <c r="H88" s="4" t="s">
        <v>59</v>
      </c>
      <c r="I88" s="3"/>
      <c r="J88" s="3"/>
      <c r="K88" s="3"/>
      <c r="L88" s="3"/>
      <c r="M88" s="3"/>
      <c r="N88" s="3"/>
      <c r="O88" s="3"/>
      <c r="P88" s="8"/>
      <c r="Q88" s="8"/>
      <c r="R88" s="3"/>
      <c r="S88" s="3"/>
      <c r="T88" s="3"/>
      <c r="U88" s="5" t="str">
        <f t="shared" si="5"/>
        <v/>
      </c>
    </row>
    <row r="89" spans="1:21" ht="28" customHeight="1" x14ac:dyDescent="0.35">
      <c r="A89" s="4">
        <v>3</v>
      </c>
      <c r="B89" s="4" t="s">
        <v>53</v>
      </c>
      <c r="C89" s="4" t="s">
        <v>625</v>
      </c>
      <c r="D89" s="4" t="s">
        <v>626</v>
      </c>
      <c r="E89" s="4" t="s">
        <v>56</v>
      </c>
      <c r="F89" s="4" t="s">
        <v>57</v>
      </c>
      <c r="G89" s="4" t="s">
        <v>58</v>
      </c>
      <c r="H89" s="4" t="s">
        <v>59</v>
      </c>
      <c r="I89" s="3"/>
      <c r="J89" s="3"/>
      <c r="K89" s="3"/>
      <c r="L89" s="3"/>
      <c r="M89" s="3"/>
      <c r="N89" s="3"/>
      <c r="O89" s="3"/>
      <c r="P89" s="8"/>
      <c r="Q89" s="8"/>
      <c r="R89" s="3"/>
      <c r="S89" s="3"/>
      <c r="T89" s="3"/>
      <c r="U89" s="5" t="str">
        <f t="shared" si="5"/>
        <v/>
      </c>
    </row>
    <row r="90" spans="1:21" ht="28" customHeight="1" x14ac:dyDescent="0.35">
      <c r="A90" s="4">
        <v>4</v>
      </c>
      <c r="B90" s="4" t="s">
        <v>53</v>
      </c>
      <c r="C90" s="4" t="s">
        <v>627</v>
      </c>
      <c r="D90" s="4" t="s">
        <v>628</v>
      </c>
      <c r="E90" s="4" t="s">
        <v>56</v>
      </c>
      <c r="F90" s="4" t="s">
        <v>57</v>
      </c>
      <c r="G90" s="4" t="s">
        <v>58</v>
      </c>
      <c r="H90" s="4" t="s">
        <v>59</v>
      </c>
      <c r="I90" s="3"/>
      <c r="J90" s="3"/>
      <c r="K90" s="3"/>
      <c r="L90" s="3"/>
      <c r="M90" s="3"/>
      <c r="N90" s="3"/>
      <c r="O90" s="3"/>
      <c r="P90" s="8"/>
      <c r="Q90" s="8"/>
      <c r="R90" s="3"/>
      <c r="S90" s="3"/>
      <c r="T90" s="3"/>
      <c r="U90" s="5" t="str">
        <f t="shared" si="5"/>
        <v/>
      </c>
    </row>
    <row r="91" spans="1:21" ht="28" customHeight="1" x14ac:dyDescent="0.35">
      <c r="A91" s="4">
        <v>5</v>
      </c>
      <c r="B91" s="4" t="s">
        <v>66</v>
      </c>
      <c r="C91" s="4" t="s">
        <v>67</v>
      </c>
      <c r="D91" s="4" t="s">
        <v>68</v>
      </c>
      <c r="E91" s="4" t="s">
        <v>69</v>
      </c>
      <c r="F91" s="4" t="s">
        <v>57</v>
      </c>
      <c r="G91" s="4" t="s">
        <v>58</v>
      </c>
      <c r="H91" s="4" t="s">
        <v>59</v>
      </c>
      <c r="I91" s="3"/>
      <c r="J91" s="3"/>
      <c r="K91" s="3"/>
      <c r="L91" s="3"/>
      <c r="M91" s="3"/>
      <c r="N91" s="3"/>
      <c r="O91" s="3"/>
      <c r="P91" s="8"/>
      <c r="Q91" s="8"/>
      <c r="R91" s="3"/>
      <c r="S91" s="3"/>
      <c r="T91" s="3"/>
      <c r="U91" s="5" t="str">
        <f t="shared" si="5"/>
        <v/>
      </c>
    </row>
    <row r="92" spans="1:21" ht="28" customHeight="1" x14ac:dyDescent="0.35">
      <c r="A92" s="4">
        <v>6</v>
      </c>
      <c r="B92" s="4" t="s">
        <v>70</v>
      </c>
      <c r="C92" s="4" t="s">
        <v>71</v>
      </c>
      <c r="D92" s="4" t="s">
        <v>72</v>
      </c>
      <c r="E92" s="4" t="s">
        <v>70</v>
      </c>
      <c r="F92" s="4" t="s">
        <v>57</v>
      </c>
      <c r="G92" s="4" t="s">
        <v>58</v>
      </c>
      <c r="H92" s="4" t="s">
        <v>59</v>
      </c>
      <c r="I92" s="3"/>
      <c r="J92" s="3"/>
      <c r="K92" s="3"/>
      <c r="L92" s="3"/>
      <c r="M92" s="3"/>
      <c r="N92" s="3"/>
      <c r="O92" s="3"/>
      <c r="P92" s="8"/>
      <c r="Q92" s="8"/>
      <c r="R92" s="3"/>
      <c r="S92" s="3"/>
      <c r="T92" s="3"/>
      <c r="U92" s="5" t="str">
        <f t="shared" si="5"/>
        <v/>
      </c>
    </row>
    <row r="93" spans="1:21" ht="28" customHeight="1" x14ac:dyDescent="0.35">
      <c r="A93" s="4">
        <v>7</v>
      </c>
      <c r="B93" s="4" t="s">
        <v>73</v>
      </c>
      <c r="C93" s="4" t="s">
        <v>74</v>
      </c>
      <c r="D93" s="4" t="s">
        <v>75</v>
      </c>
      <c r="E93" s="4" t="s">
        <v>69</v>
      </c>
      <c r="F93" s="4" t="s">
        <v>57</v>
      </c>
      <c r="G93" s="4" t="s">
        <v>58</v>
      </c>
      <c r="H93" s="4" t="s">
        <v>76</v>
      </c>
      <c r="I93" s="3"/>
      <c r="J93" s="3"/>
      <c r="K93" s="3"/>
      <c r="L93" s="3"/>
      <c r="M93" s="3"/>
      <c r="N93" s="3"/>
      <c r="O93" s="3"/>
      <c r="P93" s="8"/>
      <c r="Q93" s="8"/>
      <c r="R93" s="3"/>
      <c r="S93" s="3"/>
      <c r="T93" s="3"/>
      <c r="U93" s="5" t="str">
        <f t="shared" si="5"/>
        <v/>
      </c>
    </row>
    <row r="94" spans="1:21" ht="28" customHeight="1" x14ac:dyDescent="0.35">
      <c r="A94" s="4">
        <v>8</v>
      </c>
      <c r="B94" s="4" t="s">
        <v>77</v>
      </c>
      <c r="C94" s="4" t="s">
        <v>78</v>
      </c>
      <c r="D94" s="4" t="s">
        <v>79</v>
      </c>
      <c r="E94" s="4" t="s">
        <v>80</v>
      </c>
      <c r="F94" s="4" t="s">
        <v>57</v>
      </c>
      <c r="G94" s="4" t="s">
        <v>58</v>
      </c>
      <c r="H94" s="4" t="s">
        <v>59</v>
      </c>
      <c r="I94" s="3"/>
      <c r="J94" s="3"/>
      <c r="K94" s="3"/>
      <c r="L94" s="3"/>
      <c r="M94" s="3"/>
      <c r="N94" s="3"/>
      <c r="O94" s="3"/>
      <c r="P94" s="8"/>
      <c r="Q94" s="8"/>
      <c r="R94" s="3"/>
      <c r="S94" s="3"/>
      <c r="T94" s="3"/>
      <c r="U94" s="5" t="str">
        <f t="shared" si="5"/>
        <v/>
      </c>
    </row>
    <row r="95" spans="1:21" ht="28" customHeight="1" x14ac:dyDescent="0.35">
      <c r="A95" s="4">
        <v>9</v>
      </c>
      <c r="B95" s="4" t="s">
        <v>81</v>
      </c>
      <c r="C95" s="4" t="s">
        <v>82</v>
      </c>
      <c r="D95" s="4" t="s">
        <v>83</v>
      </c>
      <c r="E95" s="4" t="s">
        <v>84</v>
      </c>
      <c r="F95" s="4" t="s">
        <v>57</v>
      </c>
      <c r="G95" s="4" t="s">
        <v>58</v>
      </c>
      <c r="H95" s="4" t="s">
        <v>85</v>
      </c>
      <c r="I95" s="3"/>
      <c r="J95" s="3"/>
      <c r="K95" s="3"/>
      <c r="L95" s="3"/>
      <c r="M95" s="3"/>
      <c r="N95" s="3"/>
      <c r="O95" s="3"/>
      <c r="P95" s="8"/>
      <c r="Q95" s="8"/>
      <c r="R95" s="3"/>
      <c r="S95" s="3"/>
      <c r="T95" s="3"/>
      <c r="U95" s="5" t="str">
        <f t="shared" si="5"/>
        <v/>
      </c>
    </row>
    <row r="96" spans="1:21" ht="28" customHeight="1" x14ac:dyDescent="0.35">
      <c r="A96" s="4">
        <v>10</v>
      </c>
      <c r="B96" s="4" t="s">
        <v>86</v>
      </c>
      <c r="C96" s="4" t="s">
        <v>87</v>
      </c>
      <c r="D96" s="4" t="s">
        <v>88</v>
      </c>
      <c r="E96" s="4" t="s">
        <v>69</v>
      </c>
      <c r="F96" s="4" t="s">
        <v>57</v>
      </c>
      <c r="G96" s="4" t="s">
        <v>58</v>
      </c>
      <c r="H96" s="4" t="s">
        <v>59</v>
      </c>
      <c r="I96" s="3"/>
      <c r="J96" s="3"/>
      <c r="K96" s="3"/>
      <c r="L96" s="3"/>
      <c r="M96" s="3"/>
      <c r="N96" s="3"/>
      <c r="O96" s="3"/>
      <c r="P96" s="8"/>
      <c r="Q96" s="8"/>
      <c r="R96" s="3"/>
      <c r="S96" s="3"/>
      <c r="T96" s="3"/>
      <c r="U96" s="5" t="str">
        <f t="shared" si="5"/>
        <v/>
      </c>
    </row>
    <row r="97" spans="1:21" ht="28" customHeight="1" x14ac:dyDescent="0.35">
      <c r="A97" s="4">
        <v>11</v>
      </c>
      <c r="B97" s="4" t="s">
        <v>89</v>
      </c>
      <c r="C97" s="4" t="s">
        <v>90</v>
      </c>
      <c r="D97" s="4" t="s">
        <v>91</v>
      </c>
      <c r="E97" s="4" t="s">
        <v>84</v>
      </c>
      <c r="F97" s="4" t="s">
        <v>57</v>
      </c>
      <c r="G97" s="4" t="s">
        <v>58</v>
      </c>
      <c r="H97" s="4" t="s">
        <v>59</v>
      </c>
      <c r="I97" s="3"/>
      <c r="J97" s="3"/>
      <c r="K97" s="3"/>
      <c r="L97" s="3"/>
      <c r="M97" s="3"/>
      <c r="N97" s="3"/>
      <c r="O97" s="3"/>
      <c r="P97" s="8"/>
      <c r="Q97" s="8"/>
      <c r="R97" s="3"/>
      <c r="S97" s="3"/>
      <c r="T97" s="3"/>
      <c r="U97" s="5" t="str">
        <f t="shared" si="5"/>
        <v/>
      </c>
    </row>
    <row r="98" spans="1:21" ht="28" customHeight="1" x14ac:dyDescent="0.35">
      <c r="A98" s="4">
        <v>12</v>
      </c>
      <c r="B98" s="4" t="s">
        <v>92</v>
      </c>
      <c r="C98" s="4" t="s">
        <v>93</v>
      </c>
      <c r="D98" s="4" t="s">
        <v>94</v>
      </c>
      <c r="E98" s="4" t="s">
        <v>69</v>
      </c>
      <c r="F98" s="4" t="s">
        <v>95</v>
      </c>
      <c r="G98" s="4" t="s">
        <v>96</v>
      </c>
      <c r="H98" s="4" t="s">
        <v>59</v>
      </c>
      <c r="I98" s="3"/>
      <c r="J98" s="3"/>
      <c r="K98" s="3"/>
      <c r="L98" s="3"/>
      <c r="M98" s="3"/>
      <c r="N98" s="3"/>
      <c r="O98" s="3"/>
      <c r="P98" s="8"/>
      <c r="Q98" s="8"/>
      <c r="R98" s="3"/>
      <c r="S98" s="3"/>
      <c r="T98" s="3"/>
      <c r="U98" s="5" t="str">
        <f t="shared" si="5"/>
        <v/>
      </c>
    </row>
    <row r="99" spans="1:21" ht="28" customHeight="1" x14ac:dyDescent="0.35">
      <c r="A99" s="4">
        <v>13</v>
      </c>
      <c r="B99" s="4" t="s">
        <v>97</v>
      </c>
      <c r="C99" s="4" t="s">
        <v>98</v>
      </c>
      <c r="D99" s="4" t="s">
        <v>99</v>
      </c>
      <c r="E99" s="4" t="s">
        <v>69</v>
      </c>
      <c r="F99" s="4" t="s">
        <v>95</v>
      </c>
      <c r="G99" s="4" t="s">
        <v>96</v>
      </c>
      <c r="H99" s="4" t="s">
        <v>59</v>
      </c>
      <c r="I99" s="3"/>
      <c r="J99" s="3"/>
      <c r="K99" s="3"/>
      <c r="L99" s="3"/>
      <c r="M99" s="3"/>
      <c r="N99" s="3"/>
      <c r="O99" s="3"/>
      <c r="P99" s="8"/>
      <c r="Q99" s="8"/>
      <c r="R99" s="3"/>
      <c r="S99" s="3"/>
      <c r="T99" s="3"/>
      <c r="U99" s="5" t="str">
        <f t="shared" si="5"/>
        <v/>
      </c>
    </row>
    <row r="100" spans="1:21" ht="28" customHeight="1" x14ac:dyDescent="0.35">
      <c r="A100" s="4">
        <v>14</v>
      </c>
      <c r="B100" s="4" t="s">
        <v>97</v>
      </c>
      <c r="C100" s="4" t="s">
        <v>100</v>
      </c>
      <c r="D100" s="4" t="s">
        <v>101</v>
      </c>
      <c r="E100" s="4" t="s">
        <v>69</v>
      </c>
      <c r="F100" s="4" t="s">
        <v>95</v>
      </c>
      <c r="G100" s="4" t="s">
        <v>102</v>
      </c>
      <c r="H100" s="4" t="s">
        <v>59</v>
      </c>
      <c r="I100" s="3"/>
      <c r="J100" s="3"/>
      <c r="K100" s="3"/>
      <c r="L100" s="3"/>
      <c r="M100" s="3"/>
      <c r="N100" s="3"/>
      <c r="O100" s="3"/>
      <c r="P100" s="8"/>
      <c r="Q100" s="8"/>
      <c r="R100" s="3"/>
      <c r="S100" s="3"/>
      <c r="T100" s="3"/>
      <c r="U100" s="5" t="str">
        <f t="shared" si="5"/>
        <v/>
      </c>
    </row>
    <row r="101" spans="1:21" ht="28" customHeight="1" x14ac:dyDescent="0.35">
      <c r="A101" s="4">
        <v>15</v>
      </c>
      <c r="B101" s="4" t="s">
        <v>103</v>
      </c>
      <c r="C101" s="4" t="s">
        <v>104</v>
      </c>
      <c r="D101" s="4" t="s">
        <v>105</v>
      </c>
      <c r="E101" s="4" t="s">
        <v>69</v>
      </c>
      <c r="F101" s="4" t="s">
        <v>95</v>
      </c>
      <c r="G101" s="4" t="s">
        <v>96</v>
      </c>
      <c r="H101" s="4" t="s">
        <v>85</v>
      </c>
      <c r="I101" s="3"/>
      <c r="J101" s="3"/>
      <c r="K101" s="3"/>
      <c r="L101" s="3"/>
      <c r="M101" s="3"/>
      <c r="N101" s="3"/>
      <c r="O101" s="3"/>
      <c r="P101" s="8"/>
      <c r="Q101" s="8"/>
      <c r="R101" s="3"/>
      <c r="S101" s="3"/>
      <c r="T101" s="3"/>
      <c r="U101" s="5" t="str">
        <f t="shared" si="5"/>
        <v/>
      </c>
    </row>
    <row r="102" spans="1:21" ht="28" customHeight="1" x14ac:dyDescent="0.35">
      <c r="A102" s="4">
        <v>16</v>
      </c>
      <c r="B102" s="4" t="s">
        <v>106</v>
      </c>
      <c r="C102" s="4" t="s">
        <v>107</v>
      </c>
      <c r="D102" s="4" t="s">
        <v>108</v>
      </c>
      <c r="E102" s="4" t="s">
        <v>109</v>
      </c>
      <c r="F102" s="4" t="s">
        <v>95</v>
      </c>
      <c r="G102" s="4" t="s">
        <v>96</v>
      </c>
      <c r="H102" s="4" t="s">
        <v>59</v>
      </c>
      <c r="I102" s="3"/>
      <c r="J102" s="3"/>
      <c r="K102" s="3"/>
      <c r="L102" s="3"/>
      <c r="M102" s="3"/>
      <c r="N102" s="3"/>
      <c r="O102" s="3"/>
      <c r="P102" s="8"/>
      <c r="Q102" s="8"/>
      <c r="R102" s="3"/>
      <c r="S102" s="3"/>
      <c r="T102" s="3"/>
      <c r="U102" s="5" t="str">
        <f t="shared" si="5"/>
        <v/>
      </c>
    </row>
    <row r="104" spans="1:21" ht="28" customHeight="1" x14ac:dyDescent="0.35">
      <c r="A104" s="9" t="s">
        <v>110</v>
      </c>
      <c r="B104" s="16"/>
      <c r="C104" s="17"/>
      <c r="D104" s="17"/>
      <c r="E104" s="17"/>
      <c r="F104" s="17"/>
      <c r="G104" s="17"/>
      <c r="H104" s="17"/>
      <c r="I104" s="17"/>
      <c r="J104" s="17"/>
      <c r="K104" s="17"/>
      <c r="L104" s="17"/>
      <c r="M104" s="17"/>
      <c r="N104" s="17"/>
      <c r="O104" s="17"/>
      <c r="P104" s="17"/>
      <c r="Q104" s="17"/>
      <c r="R104" s="17"/>
      <c r="S104" s="17"/>
      <c r="T104" s="17"/>
      <c r="U104" s="18"/>
    </row>
    <row r="105" spans="1:21" ht="28" customHeight="1" x14ac:dyDescent="0.35">
      <c r="A105" s="19" t="s">
        <v>632</v>
      </c>
      <c r="B105" s="20"/>
      <c r="C105" s="20"/>
      <c r="D105" s="20"/>
      <c r="E105" s="20"/>
      <c r="F105" s="20"/>
      <c r="G105" s="20"/>
      <c r="H105" s="20"/>
      <c r="I105" s="20"/>
      <c r="J105" s="20"/>
      <c r="K105" s="20"/>
      <c r="L105" s="20"/>
      <c r="M105" s="20"/>
      <c r="N105" s="20"/>
      <c r="O105" s="20"/>
      <c r="P105" s="20"/>
      <c r="Q105" s="20"/>
      <c r="R105" s="20"/>
      <c r="S105" s="20"/>
      <c r="T105" s="20"/>
      <c r="U105" s="21"/>
    </row>
    <row r="106" spans="1:21" ht="28" customHeight="1" x14ac:dyDescent="0.35">
      <c r="A106" s="4" t="s">
        <v>31</v>
      </c>
      <c r="B106" s="3" t="s">
        <v>22</v>
      </c>
      <c r="C106" s="4" t="s">
        <v>32</v>
      </c>
      <c r="D106" s="3"/>
      <c r="E106" s="4" t="s">
        <v>33</v>
      </c>
      <c r="F106" s="8"/>
    </row>
    <row r="107" spans="1:21" ht="28" customHeight="1" x14ac:dyDescent="0.35">
      <c r="A107" s="1" t="s">
        <v>34</v>
      </c>
      <c r="B107" s="1" t="s">
        <v>35</v>
      </c>
      <c r="C107" s="1" t="s">
        <v>36</v>
      </c>
      <c r="D107" s="1" t="s">
        <v>37</v>
      </c>
      <c r="E107" s="1" t="s">
        <v>38</v>
      </c>
      <c r="F107" s="1" t="s">
        <v>39</v>
      </c>
      <c r="G107" s="1" t="s">
        <v>40</v>
      </c>
      <c r="H107" s="1" t="s">
        <v>41</v>
      </c>
      <c r="I107" s="1" t="s">
        <v>42</v>
      </c>
      <c r="J107" s="1" t="s">
        <v>43</v>
      </c>
      <c r="K107" s="1" t="s">
        <v>44</v>
      </c>
      <c r="L107" s="1" t="s">
        <v>45</v>
      </c>
      <c r="M107" s="1" t="s">
        <v>46</v>
      </c>
      <c r="N107" s="1" t="s">
        <v>47</v>
      </c>
      <c r="O107" s="1" t="s">
        <v>48</v>
      </c>
      <c r="P107" s="1" t="s">
        <v>4</v>
      </c>
      <c r="Q107" s="1" t="s">
        <v>49</v>
      </c>
      <c r="R107" s="1" t="s">
        <v>50</v>
      </c>
      <c r="S107" s="1" t="s">
        <v>51</v>
      </c>
      <c r="T107" s="1" t="s">
        <v>52</v>
      </c>
      <c r="U107" s="1" t="s">
        <v>10</v>
      </c>
    </row>
    <row r="108" spans="1:21" ht="28" customHeight="1" x14ac:dyDescent="0.35">
      <c r="A108" s="4">
        <v>1</v>
      </c>
      <c r="B108" s="4" t="s">
        <v>53</v>
      </c>
      <c r="C108" s="4" t="s">
        <v>621</v>
      </c>
      <c r="D108" s="4" t="s">
        <v>622</v>
      </c>
      <c r="E108" s="4" t="s">
        <v>56</v>
      </c>
      <c r="F108" s="4" t="s">
        <v>57</v>
      </c>
      <c r="G108" s="4" t="s">
        <v>58</v>
      </c>
      <c r="H108" s="4" t="s">
        <v>59</v>
      </c>
      <c r="I108" s="3"/>
      <c r="J108" s="3"/>
      <c r="K108" s="3"/>
      <c r="L108" s="3"/>
      <c r="M108" s="3"/>
      <c r="N108" s="3"/>
      <c r="O108" s="3"/>
      <c r="P108" s="8"/>
      <c r="Q108" s="8"/>
      <c r="R108" s="3"/>
      <c r="S108" s="3"/>
      <c r="T108" s="3"/>
      <c r="U108" s="5" t="str">
        <f t="shared" ref="U108:U123" si="6">IF(I108="","",IF(I108="NA","Grey",IF(I108=2,"Green",IF(I108=1,"Amber","Red"))))</f>
        <v/>
      </c>
    </row>
    <row r="109" spans="1:21" ht="28" customHeight="1" x14ac:dyDescent="0.35">
      <c r="A109" s="4">
        <v>2</v>
      </c>
      <c r="B109" s="4" t="s">
        <v>53</v>
      </c>
      <c r="C109" s="4" t="s">
        <v>623</v>
      </c>
      <c r="D109" s="4" t="s">
        <v>624</v>
      </c>
      <c r="E109" s="4" t="s">
        <v>56</v>
      </c>
      <c r="F109" s="4" t="s">
        <v>57</v>
      </c>
      <c r="G109" s="4" t="s">
        <v>58</v>
      </c>
      <c r="H109" s="4" t="s">
        <v>59</v>
      </c>
      <c r="I109" s="3"/>
      <c r="J109" s="3"/>
      <c r="K109" s="3"/>
      <c r="L109" s="3"/>
      <c r="M109" s="3"/>
      <c r="N109" s="3"/>
      <c r="O109" s="3"/>
      <c r="P109" s="8"/>
      <c r="Q109" s="8"/>
      <c r="R109" s="3"/>
      <c r="S109" s="3"/>
      <c r="T109" s="3"/>
      <c r="U109" s="5" t="str">
        <f t="shared" si="6"/>
        <v/>
      </c>
    </row>
    <row r="110" spans="1:21" ht="28" customHeight="1" x14ac:dyDescent="0.35">
      <c r="A110" s="4">
        <v>3</v>
      </c>
      <c r="B110" s="4" t="s">
        <v>53</v>
      </c>
      <c r="C110" s="4" t="s">
        <v>625</v>
      </c>
      <c r="D110" s="4" t="s">
        <v>626</v>
      </c>
      <c r="E110" s="4" t="s">
        <v>56</v>
      </c>
      <c r="F110" s="4" t="s">
        <v>57</v>
      </c>
      <c r="G110" s="4" t="s">
        <v>58</v>
      </c>
      <c r="H110" s="4" t="s">
        <v>59</v>
      </c>
      <c r="I110" s="3"/>
      <c r="J110" s="3"/>
      <c r="K110" s="3"/>
      <c r="L110" s="3"/>
      <c r="M110" s="3"/>
      <c r="N110" s="3"/>
      <c r="O110" s="3"/>
      <c r="P110" s="8"/>
      <c r="Q110" s="8"/>
      <c r="R110" s="3"/>
      <c r="S110" s="3"/>
      <c r="T110" s="3"/>
      <c r="U110" s="5" t="str">
        <f t="shared" si="6"/>
        <v/>
      </c>
    </row>
    <row r="111" spans="1:21" ht="28" customHeight="1" x14ac:dyDescent="0.35">
      <c r="A111" s="4">
        <v>4</v>
      </c>
      <c r="B111" s="4" t="s">
        <v>53</v>
      </c>
      <c r="C111" s="4" t="s">
        <v>627</v>
      </c>
      <c r="D111" s="4" t="s">
        <v>628</v>
      </c>
      <c r="E111" s="4" t="s">
        <v>56</v>
      </c>
      <c r="F111" s="4" t="s">
        <v>57</v>
      </c>
      <c r="G111" s="4" t="s">
        <v>58</v>
      </c>
      <c r="H111" s="4" t="s">
        <v>59</v>
      </c>
      <c r="I111" s="3"/>
      <c r="J111" s="3"/>
      <c r="K111" s="3"/>
      <c r="L111" s="3"/>
      <c r="M111" s="3"/>
      <c r="N111" s="3"/>
      <c r="O111" s="3"/>
      <c r="P111" s="8"/>
      <c r="Q111" s="8"/>
      <c r="R111" s="3"/>
      <c r="S111" s="3"/>
      <c r="T111" s="3"/>
      <c r="U111" s="5" t="str">
        <f t="shared" si="6"/>
        <v/>
      </c>
    </row>
    <row r="112" spans="1:21" ht="28" customHeight="1" x14ac:dyDescent="0.35">
      <c r="A112" s="4">
        <v>5</v>
      </c>
      <c r="B112" s="4" t="s">
        <v>66</v>
      </c>
      <c r="C112" s="4" t="s">
        <v>67</v>
      </c>
      <c r="D112" s="4" t="s">
        <v>68</v>
      </c>
      <c r="E112" s="4" t="s">
        <v>69</v>
      </c>
      <c r="F112" s="4" t="s">
        <v>57</v>
      </c>
      <c r="G112" s="4" t="s">
        <v>58</v>
      </c>
      <c r="H112" s="4" t="s">
        <v>59</v>
      </c>
      <c r="I112" s="3"/>
      <c r="J112" s="3"/>
      <c r="K112" s="3"/>
      <c r="L112" s="3"/>
      <c r="M112" s="3"/>
      <c r="N112" s="3"/>
      <c r="O112" s="3"/>
      <c r="P112" s="8"/>
      <c r="Q112" s="8"/>
      <c r="R112" s="3"/>
      <c r="S112" s="3"/>
      <c r="T112" s="3"/>
      <c r="U112" s="5" t="str">
        <f t="shared" si="6"/>
        <v/>
      </c>
    </row>
    <row r="113" spans="1:21" ht="28" customHeight="1" x14ac:dyDescent="0.35">
      <c r="A113" s="4">
        <v>6</v>
      </c>
      <c r="B113" s="4" t="s">
        <v>70</v>
      </c>
      <c r="C113" s="4" t="s">
        <v>71</v>
      </c>
      <c r="D113" s="4" t="s">
        <v>72</v>
      </c>
      <c r="E113" s="4" t="s">
        <v>70</v>
      </c>
      <c r="F113" s="4" t="s">
        <v>57</v>
      </c>
      <c r="G113" s="4" t="s">
        <v>58</v>
      </c>
      <c r="H113" s="4" t="s">
        <v>59</v>
      </c>
      <c r="I113" s="3"/>
      <c r="J113" s="3"/>
      <c r="K113" s="3"/>
      <c r="L113" s="3"/>
      <c r="M113" s="3"/>
      <c r="N113" s="3"/>
      <c r="O113" s="3"/>
      <c r="P113" s="8"/>
      <c r="Q113" s="8"/>
      <c r="R113" s="3"/>
      <c r="S113" s="3"/>
      <c r="T113" s="3"/>
      <c r="U113" s="5" t="str">
        <f t="shared" si="6"/>
        <v/>
      </c>
    </row>
    <row r="114" spans="1:21" ht="28" customHeight="1" x14ac:dyDescent="0.35">
      <c r="A114" s="4">
        <v>7</v>
      </c>
      <c r="B114" s="4" t="s">
        <v>73</v>
      </c>
      <c r="C114" s="4" t="s">
        <v>74</v>
      </c>
      <c r="D114" s="4" t="s">
        <v>75</v>
      </c>
      <c r="E114" s="4" t="s">
        <v>69</v>
      </c>
      <c r="F114" s="4" t="s">
        <v>57</v>
      </c>
      <c r="G114" s="4" t="s">
        <v>58</v>
      </c>
      <c r="H114" s="4" t="s">
        <v>76</v>
      </c>
      <c r="I114" s="3"/>
      <c r="J114" s="3"/>
      <c r="K114" s="3"/>
      <c r="L114" s="3"/>
      <c r="M114" s="3"/>
      <c r="N114" s="3"/>
      <c r="O114" s="3"/>
      <c r="P114" s="8"/>
      <c r="Q114" s="8"/>
      <c r="R114" s="3"/>
      <c r="S114" s="3"/>
      <c r="T114" s="3"/>
      <c r="U114" s="5" t="str">
        <f t="shared" si="6"/>
        <v/>
      </c>
    </row>
    <row r="115" spans="1:21" ht="28" customHeight="1" x14ac:dyDescent="0.35">
      <c r="A115" s="4">
        <v>8</v>
      </c>
      <c r="B115" s="4" t="s">
        <v>77</v>
      </c>
      <c r="C115" s="4" t="s">
        <v>78</v>
      </c>
      <c r="D115" s="4" t="s">
        <v>79</v>
      </c>
      <c r="E115" s="4" t="s">
        <v>80</v>
      </c>
      <c r="F115" s="4" t="s">
        <v>57</v>
      </c>
      <c r="G115" s="4" t="s">
        <v>58</v>
      </c>
      <c r="H115" s="4" t="s">
        <v>59</v>
      </c>
      <c r="I115" s="3"/>
      <c r="J115" s="3"/>
      <c r="K115" s="3"/>
      <c r="L115" s="3"/>
      <c r="M115" s="3"/>
      <c r="N115" s="3"/>
      <c r="O115" s="3"/>
      <c r="P115" s="8"/>
      <c r="Q115" s="8"/>
      <c r="R115" s="3"/>
      <c r="S115" s="3"/>
      <c r="T115" s="3"/>
      <c r="U115" s="5" t="str">
        <f t="shared" si="6"/>
        <v/>
      </c>
    </row>
    <row r="116" spans="1:21" ht="28" customHeight="1" x14ac:dyDescent="0.35">
      <c r="A116" s="4">
        <v>9</v>
      </c>
      <c r="B116" s="4" t="s">
        <v>81</v>
      </c>
      <c r="C116" s="4" t="s">
        <v>82</v>
      </c>
      <c r="D116" s="4" t="s">
        <v>83</v>
      </c>
      <c r="E116" s="4" t="s">
        <v>84</v>
      </c>
      <c r="F116" s="4" t="s">
        <v>57</v>
      </c>
      <c r="G116" s="4" t="s">
        <v>58</v>
      </c>
      <c r="H116" s="4" t="s">
        <v>85</v>
      </c>
      <c r="I116" s="3"/>
      <c r="J116" s="3"/>
      <c r="K116" s="3"/>
      <c r="L116" s="3"/>
      <c r="M116" s="3"/>
      <c r="N116" s="3"/>
      <c r="O116" s="3"/>
      <c r="P116" s="8"/>
      <c r="Q116" s="8"/>
      <c r="R116" s="3"/>
      <c r="S116" s="3"/>
      <c r="T116" s="3"/>
      <c r="U116" s="5" t="str">
        <f t="shared" si="6"/>
        <v/>
      </c>
    </row>
    <row r="117" spans="1:21" ht="28" customHeight="1" x14ac:dyDescent="0.35">
      <c r="A117" s="4">
        <v>10</v>
      </c>
      <c r="B117" s="4" t="s">
        <v>86</v>
      </c>
      <c r="C117" s="4" t="s">
        <v>87</v>
      </c>
      <c r="D117" s="4" t="s">
        <v>88</v>
      </c>
      <c r="E117" s="4" t="s">
        <v>69</v>
      </c>
      <c r="F117" s="4" t="s">
        <v>57</v>
      </c>
      <c r="G117" s="4" t="s">
        <v>58</v>
      </c>
      <c r="H117" s="4" t="s">
        <v>59</v>
      </c>
      <c r="I117" s="3"/>
      <c r="J117" s="3"/>
      <c r="K117" s="3"/>
      <c r="L117" s="3"/>
      <c r="M117" s="3"/>
      <c r="N117" s="3"/>
      <c r="O117" s="3"/>
      <c r="P117" s="8"/>
      <c r="Q117" s="8"/>
      <c r="R117" s="3"/>
      <c r="S117" s="3"/>
      <c r="T117" s="3"/>
      <c r="U117" s="5" t="str">
        <f t="shared" si="6"/>
        <v/>
      </c>
    </row>
    <row r="118" spans="1:21" ht="28" customHeight="1" x14ac:dyDescent="0.35">
      <c r="A118" s="4">
        <v>11</v>
      </c>
      <c r="B118" s="4" t="s">
        <v>89</v>
      </c>
      <c r="C118" s="4" t="s">
        <v>90</v>
      </c>
      <c r="D118" s="4" t="s">
        <v>91</v>
      </c>
      <c r="E118" s="4" t="s">
        <v>84</v>
      </c>
      <c r="F118" s="4" t="s">
        <v>57</v>
      </c>
      <c r="G118" s="4" t="s">
        <v>58</v>
      </c>
      <c r="H118" s="4" t="s">
        <v>59</v>
      </c>
      <c r="I118" s="3"/>
      <c r="J118" s="3"/>
      <c r="K118" s="3"/>
      <c r="L118" s="3"/>
      <c r="M118" s="3"/>
      <c r="N118" s="3"/>
      <c r="O118" s="3"/>
      <c r="P118" s="8"/>
      <c r="Q118" s="8"/>
      <c r="R118" s="3"/>
      <c r="S118" s="3"/>
      <c r="T118" s="3"/>
      <c r="U118" s="5" t="str">
        <f t="shared" si="6"/>
        <v/>
      </c>
    </row>
    <row r="119" spans="1:21" ht="28" customHeight="1" x14ac:dyDescent="0.35">
      <c r="A119" s="4">
        <v>12</v>
      </c>
      <c r="B119" s="4" t="s">
        <v>92</v>
      </c>
      <c r="C119" s="4" t="s">
        <v>93</v>
      </c>
      <c r="D119" s="4" t="s">
        <v>94</v>
      </c>
      <c r="E119" s="4" t="s">
        <v>69</v>
      </c>
      <c r="F119" s="4" t="s">
        <v>95</v>
      </c>
      <c r="G119" s="4" t="s">
        <v>96</v>
      </c>
      <c r="H119" s="4" t="s">
        <v>59</v>
      </c>
      <c r="I119" s="3"/>
      <c r="J119" s="3"/>
      <c r="K119" s="3"/>
      <c r="L119" s="3"/>
      <c r="M119" s="3"/>
      <c r="N119" s="3"/>
      <c r="O119" s="3"/>
      <c r="P119" s="8"/>
      <c r="Q119" s="8"/>
      <c r="R119" s="3"/>
      <c r="S119" s="3"/>
      <c r="T119" s="3"/>
      <c r="U119" s="5" t="str">
        <f t="shared" si="6"/>
        <v/>
      </c>
    </row>
    <row r="120" spans="1:21" ht="28" customHeight="1" x14ac:dyDescent="0.35">
      <c r="A120" s="4">
        <v>13</v>
      </c>
      <c r="B120" s="4" t="s">
        <v>97</v>
      </c>
      <c r="C120" s="4" t="s">
        <v>98</v>
      </c>
      <c r="D120" s="4" t="s">
        <v>99</v>
      </c>
      <c r="E120" s="4" t="s">
        <v>69</v>
      </c>
      <c r="F120" s="4" t="s">
        <v>95</v>
      </c>
      <c r="G120" s="4" t="s">
        <v>96</v>
      </c>
      <c r="H120" s="4" t="s">
        <v>59</v>
      </c>
      <c r="I120" s="3"/>
      <c r="J120" s="3"/>
      <c r="K120" s="3"/>
      <c r="L120" s="3"/>
      <c r="M120" s="3"/>
      <c r="N120" s="3"/>
      <c r="O120" s="3"/>
      <c r="P120" s="8"/>
      <c r="Q120" s="8"/>
      <c r="R120" s="3"/>
      <c r="S120" s="3"/>
      <c r="T120" s="3"/>
      <c r="U120" s="5" t="str">
        <f t="shared" si="6"/>
        <v/>
      </c>
    </row>
    <row r="121" spans="1:21" ht="28" customHeight="1" x14ac:dyDescent="0.35">
      <c r="A121" s="4">
        <v>14</v>
      </c>
      <c r="B121" s="4" t="s">
        <v>97</v>
      </c>
      <c r="C121" s="4" t="s">
        <v>100</v>
      </c>
      <c r="D121" s="4" t="s">
        <v>101</v>
      </c>
      <c r="E121" s="4" t="s">
        <v>69</v>
      </c>
      <c r="F121" s="4" t="s">
        <v>95</v>
      </c>
      <c r="G121" s="4" t="s">
        <v>102</v>
      </c>
      <c r="H121" s="4" t="s">
        <v>59</v>
      </c>
      <c r="I121" s="3"/>
      <c r="J121" s="3"/>
      <c r="K121" s="3"/>
      <c r="L121" s="3"/>
      <c r="M121" s="3"/>
      <c r="N121" s="3"/>
      <c r="O121" s="3"/>
      <c r="P121" s="8"/>
      <c r="Q121" s="8"/>
      <c r="R121" s="3"/>
      <c r="S121" s="3"/>
      <c r="T121" s="3"/>
      <c r="U121" s="5" t="str">
        <f t="shared" si="6"/>
        <v/>
      </c>
    </row>
    <row r="122" spans="1:21" ht="28" customHeight="1" x14ac:dyDescent="0.35">
      <c r="A122" s="4">
        <v>15</v>
      </c>
      <c r="B122" s="4" t="s">
        <v>103</v>
      </c>
      <c r="C122" s="4" t="s">
        <v>104</v>
      </c>
      <c r="D122" s="4" t="s">
        <v>105</v>
      </c>
      <c r="E122" s="4" t="s">
        <v>69</v>
      </c>
      <c r="F122" s="4" t="s">
        <v>95</v>
      </c>
      <c r="G122" s="4" t="s">
        <v>96</v>
      </c>
      <c r="H122" s="4" t="s">
        <v>85</v>
      </c>
      <c r="I122" s="3"/>
      <c r="J122" s="3"/>
      <c r="K122" s="3"/>
      <c r="L122" s="3"/>
      <c r="M122" s="3"/>
      <c r="N122" s="3"/>
      <c r="O122" s="3"/>
      <c r="P122" s="8"/>
      <c r="Q122" s="8"/>
      <c r="R122" s="3"/>
      <c r="S122" s="3"/>
      <c r="T122" s="3"/>
      <c r="U122" s="5" t="str">
        <f t="shared" si="6"/>
        <v/>
      </c>
    </row>
    <row r="123" spans="1:21" ht="28" customHeight="1" x14ac:dyDescent="0.35">
      <c r="A123" s="4">
        <v>16</v>
      </c>
      <c r="B123" s="4" t="s">
        <v>106</v>
      </c>
      <c r="C123" s="4" t="s">
        <v>107</v>
      </c>
      <c r="D123" s="4" t="s">
        <v>108</v>
      </c>
      <c r="E123" s="4" t="s">
        <v>109</v>
      </c>
      <c r="F123" s="4" t="s">
        <v>95</v>
      </c>
      <c r="G123" s="4" t="s">
        <v>96</v>
      </c>
      <c r="H123" s="4" t="s">
        <v>59</v>
      </c>
      <c r="I123" s="3"/>
      <c r="J123" s="3"/>
      <c r="K123" s="3"/>
      <c r="L123" s="3"/>
      <c r="M123" s="3"/>
      <c r="N123" s="3"/>
      <c r="O123" s="3"/>
      <c r="P123" s="8"/>
      <c r="Q123" s="8"/>
      <c r="R123" s="3"/>
      <c r="S123" s="3"/>
      <c r="T123" s="3"/>
      <c r="U123" s="5" t="str">
        <f t="shared" si="6"/>
        <v/>
      </c>
    </row>
    <row r="125" spans="1:21" ht="28" customHeight="1" x14ac:dyDescent="0.35">
      <c r="A125" s="9" t="s">
        <v>110</v>
      </c>
      <c r="B125" s="16"/>
      <c r="C125" s="17"/>
      <c r="D125" s="17"/>
      <c r="E125" s="17"/>
      <c r="F125" s="17"/>
      <c r="G125" s="17"/>
      <c r="H125" s="17"/>
      <c r="I125" s="17"/>
      <c r="J125" s="17"/>
      <c r="K125" s="17"/>
      <c r="L125" s="17"/>
      <c r="M125" s="17"/>
      <c r="N125" s="17"/>
      <c r="O125" s="17"/>
      <c r="P125" s="17"/>
      <c r="Q125" s="17"/>
      <c r="R125" s="17"/>
      <c r="S125" s="17"/>
      <c r="T125" s="17"/>
      <c r="U125" s="18"/>
    </row>
    <row r="126" spans="1:21" ht="28" customHeight="1" x14ac:dyDescent="0.35">
      <c r="A126" s="19" t="s">
        <v>633</v>
      </c>
      <c r="B126" s="20"/>
      <c r="C126" s="20"/>
      <c r="D126" s="20"/>
      <c r="E126" s="20"/>
      <c r="F126" s="20"/>
      <c r="G126" s="20"/>
      <c r="H126" s="20"/>
      <c r="I126" s="20"/>
      <c r="J126" s="20"/>
      <c r="K126" s="20"/>
      <c r="L126" s="20"/>
      <c r="M126" s="20"/>
      <c r="N126" s="20"/>
      <c r="O126" s="20"/>
      <c r="P126" s="20"/>
      <c r="Q126" s="20"/>
      <c r="R126" s="20"/>
      <c r="S126" s="20"/>
      <c r="T126" s="20"/>
      <c r="U126" s="21"/>
    </row>
    <row r="127" spans="1:21" ht="28" customHeight="1" x14ac:dyDescent="0.35">
      <c r="A127" s="4" t="s">
        <v>31</v>
      </c>
      <c r="B127" s="3" t="s">
        <v>23</v>
      </c>
      <c r="C127" s="4" t="s">
        <v>32</v>
      </c>
      <c r="D127" s="3"/>
      <c r="E127" s="4" t="s">
        <v>33</v>
      </c>
      <c r="F127" s="8"/>
    </row>
    <row r="128" spans="1:21" ht="28" customHeight="1" x14ac:dyDescent="0.35">
      <c r="A128" s="1" t="s">
        <v>34</v>
      </c>
      <c r="B128" s="1" t="s">
        <v>35</v>
      </c>
      <c r="C128" s="1" t="s">
        <v>36</v>
      </c>
      <c r="D128" s="1" t="s">
        <v>37</v>
      </c>
      <c r="E128" s="1" t="s">
        <v>38</v>
      </c>
      <c r="F128" s="1" t="s">
        <v>39</v>
      </c>
      <c r="G128" s="1" t="s">
        <v>40</v>
      </c>
      <c r="H128" s="1" t="s">
        <v>41</v>
      </c>
      <c r="I128" s="1" t="s">
        <v>42</v>
      </c>
      <c r="J128" s="1" t="s">
        <v>43</v>
      </c>
      <c r="K128" s="1" t="s">
        <v>44</v>
      </c>
      <c r="L128" s="1" t="s">
        <v>45</v>
      </c>
      <c r="M128" s="1" t="s">
        <v>46</v>
      </c>
      <c r="N128" s="1" t="s">
        <v>47</v>
      </c>
      <c r="O128" s="1" t="s">
        <v>48</v>
      </c>
      <c r="P128" s="1" t="s">
        <v>4</v>
      </c>
      <c r="Q128" s="1" t="s">
        <v>49</v>
      </c>
      <c r="R128" s="1" t="s">
        <v>50</v>
      </c>
      <c r="S128" s="1" t="s">
        <v>51</v>
      </c>
      <c r="T128" s="1" t="s">
        <v>52</v>
      </c>
      <c r="U128" s="1" t="s">
        <v>10</v>
      </c>
    </row>
    <row r="129" spans="1:21" ht="28" customHeight="1" x14ac:dyDescent="0.35">
      <c r="A129" s="4">
        <v>1</v>
      </c>
      <c r="B129" s="4" t="s">
        <v>53</v>
      </c>
      <c r="C129" s="4" t="s">
        <v>621</v>
      </c>
      <c r="D129" s="4" t="s">
        <v>622</v>
      </c>
      <c r="E129" s="4" t="s">
        <v>56</v>
      </c>
      <c r="F129" s="4" t="s">
        <v>57</v>
      </c>
      <c r="G129" s="4" t="s">
        <v>58</v>
      </c>
      <c r="H129" s="4" t="s">
        <v>59</v>
      </c>
      <c r="I129" s="3"/>
      <c r="J129" s="3"/>
      <c r="K129" s="3"/>
      <c r="L129" s="3"/>
      <c r="M129" s="3"/>
      <c r="N129" s="3"/>
      <c r="O129" s="3"/>
      <c r="P129" s="8"/>
      <c r="Q129" s="8"/>
      <c r="R129" s="3"/>
      <c r="S129" s="3"/>
      <c r="T129" s="3"/>
      <c r="U129" s="5" t="str">
        <f t="shared" ref="U129:U144" si="7">IF(I129="","",IF(I129="NA","Grey",IF(I129=2,"Green",IF(I129=1,"Amber","Red"))))</f>
        <v/>
      </c>
    </row>
    <row r="130" spans="1:21" ht="28" customHeight="1" x14ac:dyDescent="0.35">
      <c r="A130" s="4">
        <v>2</v>
      </c>
      <c r="B130" s="4" t="s">
        <v>53</v>
      </c>
      <c r="C130" s="4" t="s">
        <v>623</v>
      </c>
      <c r="D130" s="4" t="s">
        <v>624</v>
      </c>
      <c r="E130" s="4" t="s">
        <v>56</v>
      </c>
      <c r="F130" s="4" t="s">
        <v>57</v>
      </c>
      <c r="G130" s="4" t="s">
        <v>58</v>
      </c>
      <c r="H130" s="4" t="s">
        <v>59</v>
      </c>
      <c r="I130" s="3"/>
      <c r="J130" s="3"/>
      <c r="K130" s="3"/>
      <c r="L130" s="3"/>
      <c r="M130" s="3"/>
      <c r="N130" s="3"/>
      <c r="O130" s="3"/>
      <c r="P130" s="8"/>
      <c r="Q130" s="8"/>
      <c r="R130" s="3"/>
      <c r="S130" s="3"/>
      <c r="T130" s="3"/>
      <c r="U130" s="5" t="str">
        <f t="shared" si="7"/>
        <v/>
      </c>
    </row>
    <row r="131" spans="1:21" ht="28" customHeight="1" x14ac:dyDescent="0.35">
      <c r="A131" s="4">
        <v>3</v>
      </c>
      <c r="B131" s="4" t="s">
        <v>53</v>
      </c>
      <c r="C131" s="4" t="s">
        <v>625</v>
      </c>
      <c r="D131" s="4" t="s">
        <v>626</v>
      </c>
      <c r="E131" s="4" t="s">
        <v>56</v>
      </c>
      <c r="F131" s="4" t="s">
        <v>57</v>
      </c>
      <c r="G131" s="4" t="s">
        <v>58</v>
      </c>
      <c r="H131" s="4" t="s">
        <v>59</v>
      </c>
      <c r="I131" s="3"/>
      <c r="J131" s="3"/>
      <c r="K131" s="3"/>
      <c r="L131" s="3"/>
      <c r="M131" s="3"/>
      <c r="N131" s="3"/>
      <c r="O131" s="3"/>
      <c r="P131" s="8"/>
      <c r="Q131" s="8"/>
      <c r="R131" s="3"/>
      <c r="S131" s="3"/>
      <c r="T131" s="3"/>
      <c r="U131" s="5" t="str">
        <f t="shared" si="7"/>
        <v/>
      </c>
    </row>
    <row r="132" spans="1:21" ht="28" customHeight="1" x14ac:dyDescent="0.35">
      <c r="A132" s="4">
        <v>4</v>
      </c>
      <c r="B132" s="4" t="s">
        <v>53</v>
      </c>
      <c r="C132" s="4" t="s">
        <v>627</v>
      </c>
      <c r="D132" s="4" t="s">
        <v>628</v>
      </c>
      <c r="E132" s="4" t="s">
        <v>56</v>
      </c>
      <c r="F132" s="4" t="s">
        <v>57</v>
      </c>
      <c r="G132" s="4" t="s">
        <v>58</v>
      </c>
      <c r="H132" s="4" t="s">
        <v>59</v>
      </c>
      <c r="I132" s="3"/>
      <c r="J132" s="3"/>
      <c r="K132" s="3"/>
      <c r="L132" s="3"/>
      <c r="M132" s="3"/>
      <c r="N132" s="3"/>
      <c r="O132" s="3"/>
      <c r="P132" s="8"/>
      <c r="Q132" s="8"/>
      <c r="R132" s="3"/>
      <c r="S132" s="3"/>
      <c r="T132" s="3"/>
      <c r="U132" s="5" t="str">
        <f t="shared" si="7"/>
        <v/>
      </c>
    </row>
    <row r="133" spans="1:21" ht="28" customHeight="1" x14ac:dyDescent="0.35">
      <c r="A133" s="4">
        <v>5</v>
      </c>
      <c r="B133" s="4" t="s">
        <v>66</v>
      </c>
      <c r="C133" s="4" t="s">
        <v>67</v>
      </c>
      <c r="D133" s="4" t="s">
        <v>68</v>
      </c>
      <c r="E133" s="4" t="s">
        <v>69</v>
      </c>
      <c r="F133" s="4" t="s">
        <v>57</v>
      </c>
      <c r="G133" s="4" t="s">
        <v>58</v>
      </c>
      <c r="H133" s="4" t="s">
        <v>59</v>
      </c>
      <c r="I133" s="3"/>
      <c r="J133" s="3"/>
      <c r="K133" s="3"/>
      <c r="L133" s="3"/>
      <c r="M133" s="3"/>
      <c r="N133" s="3"/>
      <c r="O133" s="3"/>
      <c r="P133" s="8"/>
      <c r="Q133" s="8"/>
      <c r="R133" s="3"/>
      <c r="S133" s="3"/>
      <c r="T133" s="3"/>
      <c r="U133" s="5" t="str">
        <f t="shared" si="7"/>
        <v/>
      </c>
    </row>
    <row r="134" spans="1:21" ht="28" customHeight="1" x14ac:dyDescent="0.35">
      <c r="A134" s="4">
        <v>6</v>
      </c>
      <c r="B134" s="4" t="s">
        <v>70</v>
      </c>
      <c r="C134" s="4" t="s">
        <v>71</v>
      </c>
      <c r="D134" s="4" t="s">
        <v>72</v>
      </c>
      <c r="E134" s="4" t="s">
        <v>70</v>
      </c>
      <c r="F134" s="4" t="s">
        <v>57</v>
      </c>
      <c r="G134" s="4" t="s">
        <v>58</v>
      </c>
      <c r="H134" s="4" t="s">
        <v>59</v>
      </c>
      <c r="I134" s="3"/>
      <c r="J134" s="3"/>
      <c r="K134" s="3"/>
      <c r="L134" s="3"/>
      <c r="M134" s="3"/>
      <c r="N134" s="3"/>
      <c r="O134" s="3"/>
      <c r="P134" s="8"/>
      <c r="Q134" s="8"/>
      <c r="R134" s="3"/>
      <c r="S134" s="3"/>
      <c r="T134" s="3"/>
      <c r="U134" s="5" t="str">
        <f t="shared" si="7"/>
        <v/>
      </c>
    </row>
    <row r="135" spans="1:21" ht="28" customHeight="1" x14ac:dyDescent="0.35">
      <c r="A135" s="4">
        <v>7</v>
      </c>
      <c r="B135" s="4" t="s">
        <v>73</v>
      </c>
      <c r="C135" s="4" t="s">
        <v>74</v>
      </c>
      <c r="D135" s="4" t="s">
        <v>75</v>
      </c>
      <c r="E135" s="4" t="s">
        <v>69</v>
      </c>
      <c r="F135" s="4" t="s">
        <v>57</v>
      </c>
      <c r="G135" s="4" t="s">
        <v>58</v>
      </c>
      <c r="H135" s="4" t="s">
        <v>76</v>
      </c>
      <c r="I135" s="3"/>
      <c r="J135" s="3"/>
      <c r="K135" s="3"/>
      <c r="L135" s="3"/>
      <c r="M135" s="3"/>
      <c r="N135" s="3"/>
      <c r="O135" s="3"/>
      <c r="P135" s="8"/>
      <c r="Q135" s="8"/>
      <c r="R135" s="3"/>
      <c r="S135" s="3"/>
      <c r="T135" s="3"/>
      <c r="U135" s="5" t="str">
        <f t="shared" si="7"/>
        <v/>
      </c>
    </row>
    <row r="136" spans="1:21" ht="28" customHeight="1" x14ac:dyDescent="0.35">
      <c r="A136" s="4">
        <v>8</v>
      </c>
      <c r="B136" s="4" t="s">
        <v>77</v>
      </c>
      <c r="C136" s="4" t="s">
        <v>78</v>
      </c>
      <c r="D136" s="4" t="s">
        <v>79</v>
      </c>
      <c r="E136" s="4" t="s">
        <v>80</v>
      </c>
      <c r="F136" s="4" t="s">
        <v>57</v>
      </c>
      <c r="G136" s="4" t="s">
        <v>58</v>
      </c>
      <c r="H136" s="4" t="s">
        <v>59</v>
      </c>
      <c r="I136" s="3"/>
      <c r="J136" s="3"/>
      <c r="K136" s="3"/>
      <c r="L136" s="3"/>
      <c r="M136" s="3"/>
      <c r="N136" s="3"/>
      <c r="O136" s="3"/>
      <c r="P136" s="8"/>
      <c r="Q136" s="8"/>
      <c r="R136" s="3"/>
      <c r="S136" s="3"/>
      <c r="T136" s="3"/>
      <c r="U136" s="5" t="str">
        <f t="shared" si="7"/>
        <v/>
      </c>
    </row>
    <row r="137" spans="1:21" ht="28" customHeight="1" x14ac:dyDescent="0.35">
      <c r="A137" s="4">
        <v>9</v>
      </c>
      <c r="B137" s="4" t="s">
        <v>81</v>
      </c>
      <c r="C137" s="4" t="s">
        <v>82</v>
      </c>
      <c r="D137" s="4" t="s">
        <v>83</v>
      </c>
      <c r="E137" s="4" t="s">
        <v>84</v>
      </c>
      <c r="F137" s="4" t="s">
        <v>57</v>
      </c>
      <c r="G137" s="4" t="s">
        <v>58</v>
      </c>
      <c r="H137" s="4" t="s">
        <v>85</v>
      </c>
      <c r="I137" s="3"/>
      <c r="J137" s="3"/>
      <c r="K137" s="3"/>
      <c r="L137" s="3"/>
      <c r="M137" s="3"/>
      <c r="N137" s="3"/>
      <c r="O137" s="3"/>
      <c r="P137" s="8"/>
      <c r="Q137" s="8"/>
      <c r="R137" s="3"/>
      <c r="S137" s="3"/>
      <c r="T137" s="3"/>
      <c r="U137" s="5" t="str">
        <f t="shared" si="7"/>
        <v/>
      </c>
    </row>
    <row r="138" spans="1:21" ht="28" customHeight="1" x14ac:dyDescent="0.35">
      <c r="A138" s="4">
        <v>10</v>
      </c>
      <c r="B138" s="4" t="s">
        <v>86</v>
      </c>
      <c r="C138" s="4" t="s">
        <v>87</v>
      </c>
      <c r="D138" s="4" t="s">
        <v>88</v>
      </c>
      <c r="E138" s="4" t="s">
        <v>69</v>
      </c>
      <c r="F138" s="4" t="s">
        <v>57</v>
      </c>
      <c r="G138" s="4" t="s">
        <v>58</v>
      </c>
      <c r="H138" s="4" t="s">
        <v>59</v>
      </c>
      <c r="I138" s="3"/>
      <c r="J138" s="3"/>
      <c r="K138" s="3"/>
      <c r="L138" s="3"/>
      <c r="M138" s="3"/>
      <c r="N138" s="3"/>
      <c r="O138" s="3"/>
      <c r="P138" s="8"/>
      <c r="Q138" s="8"/>
      <c r="R138" s="3"/>
      <c r="S138" s="3"/>
      <c r="T138" s="3"/>
      <c r="U138" s="5" t="str">
        <f t="shared" si="7"/>
        <v/>
      </c>
    </row>
    <row r="139" spans="1:21" ht="28" customHeight="1" x14ac:dyDescent="0.35">
      <c r="A139" s="4">
        <v>11</v>
      </c>
      <c r="B139" s="4" t="s">
        <v>89</v>
      </c>
      <c r="C139" s="4" t="s">
        <v>90</v>
      </c>
      <c r="D139" s="4" t="s">
        <v>91</v>
      </c>
      <c r="E139" s="4" t="s">
        <v>84</v>
      </c>
      <c r="F139" s="4" t="s">
        <v>57</v>
      </c>
      <c r="G139" s="4" t="s">
        <v>58</v>
      </c>
      <c r="H139" s="4" t="s">
        <v>59</v>
      </c>
      <c r="I139" s="3"/>
      <c r="J139" s="3"/>
      <c r="K139" s="3"/>
      <c r="L139" s="3"/>
      <c r="M139" s="3"/>
      <c r="N139" s="3"/>
      <c r="O139" s="3"/>
      <c r="P139" s="8"/>
      <c r="Q139" s="8"/>
      <c r="R139" s="3"/>
      <c r="S139" s="3"/>
      <c r="T139" s="3"/>
      <c r="U139" s="5" t="str">
        <f t="shared" si="7"/>
        <v/>
      </c>
    </row>
    <row r="140" spans="1:21" ht="28" customHeight="1" x14ac:dyDescent="0.35">
      <c r="A140" s="4">
        <v>12</v>
      </c>
      <c r="B140" s="4" t="s">
        <v>92</v>
      </c>
      <c r="C140" s="4" t="s">
        <v>93</v>
      </c>
      <c r="D140" s="4" t="s">
        <v>94</v>
      </c>
      <c r="E140" s="4" t="s">
        <v>69</v>
      </c>
      <c r="F140" s="4" t="s">
        <v>95</v>
      </c>
      <c r="G140" s="4" t="s">
        <v>96</v>
      </c>
      <c r="H140" s="4" t="s">
        <v>59</v>
      </c>
      <c r="I140" s="3"/>
      <c r="J140" s="3"/>
      <c r="K140" s="3"/>
      <c r="L140" s="3"/>
      <c r="M140" s="3"/>
      <c r="N140" s="3"/>
      <c r="O140" s="3"/>
      <c r="P140" s="8"/>
      <c r="Q140" s="8"/>
      <c r="R140" s="3"/>
      <c r="S140" s="3"/>
      <c r="T140" s="3"/>
      <c r="U140" s="5" t="str">
        <f t="shared" si="7"/>
        <v/>
      </c>
    </row>
    <row r="141" spans="1:21" ht="28" customHeight="1" x14ac:dyDescent="0.35">
      <c r="A141" s="4">
        <v>13</v>
      </c>
      <c r="B141" s="4" t="s">
        <v>97</v>
      </c>
      <c r="C141" s="4" t="s">
        <v>98</v>
      </c>
      <c r="D141" s="4" t="s">
        <v>99</v>
      </c>
      <c r="E141" s="4" t="s">
        <v>69</v>
      </c>
      <c r="F141" s="4" t="s">
        <v>95</v>
      </c>
      <c r="G141" s="4" t="s">
        <v>96</v>
      </c>
      <c r="H141" s="4" t="s">
        <v>59</v>
      </c>
      <c r="I141" s="3"/>
      <c r="J141" s="3"/>
      <c r="K141" s="3"/>
      <c r="L141" s="3"/>
      <c r="M141" s="3"/>
      <c r="N141" s="3"/>
      <c r="O141" s="3"/>
      <c r="P141" s="8"/>
      <c r="Q141" s="8"/>
      <c r="R141" s="3"/>
      <c r="S141" s="3"/>
      <c r="T141" s="3"/>
      <c r="U141" s="5" t="str">
        <f t="shared" si="7"/>
        <v/>
      </c>
    </row>
    <row r="142" spans="1:21" ht="28" customHeight="1" x14ac:dyDescent="0.35">
      <c r="A142" s="4">
        <v>14</v>
      </c>
      <c r="B142" s="4" t="s">
        <v>97</v>
      </c>
      <c r="C142" s="4" t="s">
        <v>100</v>
      </c>
      <c r="D142" s="4" t="s">
        <v>101</v>
      </c>
      <c r="E142" s="4" t="s">
        <v>69</v>
      </c>
      <c r="F142" s="4" t="s">
        <v>95</v>
      </c>
      <c r="G142" s="4" t="s">
        <v>102</v>
      </c>
      <c r="H142" s="4" t="s">
        <v>59</v>
      </c>
      <c r="I142" s="3"/>
      <c r="J142" s="3"/>
      <c r="K142" s="3"/>
      <c r="L142" s="3"/>
      <c r="M142" s="3"/>
      <c r="N142" s="3"/>
      <c r="O142" s="3"/>
      <c r="P142" s="8"/>
      <c r="Q142" s="8"/>
      <c r="R142" s="3"/>
      <c r="S142" s="3"/>
      <c r="T142" s="3"/>
      <c r="U142" s="5" t="str">
        <f t="shared" si="7"/>
        <v/>
      </c>
    </row>
    <row r="143" spans="1:21" ht="28" customHeight="1" x14ac:dyDescent="0.35">
      <c r="A143" s="4">
        <v>15</v>
      </c>
      <c r="B143" s="4" t="s">
        <v>103</v>
      </c>
      <c r="C143" s="4" t="s">
        <v>104</v>
      </c>
      <c r="D143" s="4" t="s">
        <v>105</v>
      </c>
      <c r="E143" s="4" t="s">
        <v>69</v>
      </c>
      <c r="F143" s="4" t="s">
        <v>95</v>
      </c>
      <c r="G143" s="4" t="s">
        <v>96</v>
      </c>
      <c r="H143" s="4" t="s">
        <v>85</v>
      </c>
      <c r="I143" s="3"/>
      <c r="J143" s="3"/>
      <c r="K143" s="3"/>
      <c r="L143" s="3"/>
      <c r="M143" s="3"/>
      <c r="N143" s="3"/>
      <c r="O143" s="3"/>
      <c r="P143" s="8"/>
      <c r="Q143" s="8"/>
      <c r="R143" s="3"/>
      <c r="S143" s="3"/>
      <c r="T143" s="3"/>
      <c r="U143" s="5" t="str">
        <f t="shared" si="7"/>
        <v/>
      </c>
    </row>
    <row r="144" spans="1:21" ht="28" customHeight="1" x14ac:dyDescent="0.35">
      <c r="A144" s="4">
        <v>16</v>
      </c>
      <c r="B144" s="4" t="s">
        <v>106</v>
      </c>
      <c r="C144" s="4" t="s">
        <v>107</v>
      </c>
      <c r="D144" s="4" t="s">
        <v>108</v>
      </c>
      <c r="E144" s="4" t="s">
        <v>109</v>
      </c>
      <c r="F144" s="4" t="s">
        <v>95</v>
      </c>
      <c r="G144" s="4" t="s">
        <v>96</v>
      </c>
      <c r="H144" s="4" t="s">
        <v>59</v>
      </c>
      <c r="I144" s="3"/>
      <c r="J144" s="3"/>
      <c r="K144" s="3"/>
      <c r="L144" s="3"/>
      <c r="M144" s="3"/>
      <c r="N144" s="3"/>
      <c r="O144" s="3"/>
      <c r="P144" s="8"/>
      <c r="Q144" s="8"/>
      <c r="R144" s="3"/>
      <c r="S144" s="3"/>
      <c r="T144" s="3"/>
      <c r="U144" s="5" t="str">
        <f t="shared" si="7"/>
        <v/>
      </c>
    </row>
    <row r="146" spans="1:21" ht="28" customHeight="1" x14ac:dyDescent="0.35">
      <c r="A146" s="9" t="s">
        <v>110</v>
      </c>
      <c r="B146" s="16"/>
      <c r="C146" s="17"/>
      <c r="D146" s="17"/>
      <c r="E146" s="17"/>
      <c r="F146" s="17"/>
      <c r="G146" s="17"/>
      <c r="H146" s="17"/>
      <c r="I146" s="17"/>
      <c r="J146" s="17"/>
      <c r="K146" s="17"/>
      <c r="L146" s="17"/>
      <c r="M146" s="17"/>
      <c r="N146" s="17"/>
      <c r="O146" s="17"/>
      <c r="P146" s="17"/>
      <c r="Q146" s="17"/>
      <c r="R146" s="17"/>
      <c r="S146" s="17"/>
      <c r="T146" s="17"/>
      <c r="U146" s="18"/>
    </row>
    <row r="147" spans="1:21" ht="28" customHeight="1" x14ac:dyDescent="0.35">
      <c r="A147" s="19" t="s">
        <v>634</v>
      </c>
      <c r="B147" s="20"/>
      <c r="C147" s="20"/>
      <c r="D147" s="20"/>
      <c r="E147" s="20"/>
      <c r="F147" s="20"/>
      <c r="G147" s="20"/>
      <c r="H147" s="20"/>
      <c r="I147" s="20"/>
      <c r="J147" s="20"/>
      <c r="K147" s="20"/>
      <c r="L147" s="20"/>
      <c r="M147" s="20"/>
      <c r="N147" s="20"/>
      <c r="O147" s="20"/>
      <c r="P147" s="20"/>
      <c r="Q147" s="20"/>
      <c r="R147" s="20"/>
      <c r="S147" s="20"/>
      <c r="T147" s="20"/>
      <c r="U147" s="21"/>
    </row>
    <row r="148" spans="1:21" ht="28" customHeight="1" x14ac:dyDescent="0.35">
      <c r="A148" s="4" t="s">
        <v>31</v>
      </c>
      <c r="B148" s="3" t="s">
        <v>24</v>
      </c>
      <c r="C148" s="4" t="s">
        <v>32</v>
      </c>
      <c r="D148" s="3"/>
      <c r="E148" s="4" t="s">
        <v>33</v>
      </c>
      <c r="F148" s="8"/>
    </row>
    <row r="149" spans="1:21" ht="28" customHeight="1" x14ac:dyDescent="0.35">
      <c r="A149" s="1" t="s">
        <v>34</v>
      </c>
      <c r="B149" s="1" t="s">
        <v>35</v>
      </c>
      <c r="C149" s="1" t="s">
        <v>36</v>
      </c>
      <c r="D149" s="1" t="s">
        <v>37</v>
      </c>
      <c r="E149" s="1" t="s">
        <v>38</v>
      </c>
      <c r="F149" s="1" t="s">
        <v>39</v>
      </c>
      <c r="G149" s="1" t="s">
        <v>40</v>
      </c>
      <c r="H149" s="1" t="s">
        <v>41</v>
      </c>
      <c r="I149" s="1" t="s">
        <v>42</v>
      </c>
      <c r="J149" s="1" t="s">
        <v>43</v>
      </c>
      <c r="K149" s="1" t="s">
        <v>44</v>
      </c>
      <c r="L149" s="1" t="s">
        <v>45</v>
      </c>
      <c r="M149" s="1" t="s">
        <v>46</v>
      </c>
      <c r="N149" s="1" t="s">
        <v>47</v>
      </c>
      <c r="O149" s="1" t="s">
        <v>48</v>
      </c>
      <c r="P149" s="1" t="s">
        <v>4</v>
      </c>
      <c r="Q149" s="1" t="s">
        <v>49</v>
      </c>
      <c r="R149" s="1" t="s">
        <v>50</v>
      </c>
      <c r="S149" s="1" t="s">
        <v>51</v>
      </c>
      <c r="T149" s="1" t="s">
        <v>52</v>
      </c>
      <c r="U149" s="1" t="s">
        <v>10</v>
      </c>
    </row>
    <row r="150" spans="1:21" ht="28" customHeight="1" x14ac:dyDescent="0.35">
      <c r="A150" s="4">
        <v>1</v>
      </c>
      <c r="B150" s="4" t="s">
        <v>53</v>
      </c>
      <c r="C150" s="4" t="s">
        <v>621</v>
      </c>
      <c r="D150" s="4" t="s">
        <v>622</v>
      </c>
      <c r="E150" s="4" t="s">
        <v>56</v>
      </c>
      <c r="F150" s="4" t="s">
        <v>57</v>
      </c>
      <c r="G150" s="4" t="s">
        <v>58</v>
      </c>
      <c r="H150" s="4" t="s">
        <v>59</v>
      </c>
      <c r="I150" s="3"/>
      <c r="J150" s="3"/>
      <c r="K150" s="3"/>
      <c r="L150" s="3"/>
      <c r="M150" s="3"/>
      <c r="N150" s="3"/>
      <c r="O150" s="3"/>
      <c r="P150" s="8"/>
      <c r="Q150" s="8"/>
      <c r="R150" s="3"/>
      <c r="S150" s="3"/>
      <c r="T150" s="3"/>
      <c r="U150" s="5" t="str">
        <f t="shared" ref="U150:U165" si="8">IF(I150="","",IF(I150="NA","Grey",IF(I150=2,"Green",IF(I150=1,"Amber","Red"))))</f>
        <v/>
      </c>
    </row>
    <row r="151" spans="1:21" ht="28" customHeight="1" x14ac:dyDescent="0.35">
      <c r="A151" s="4">
        <v>2</v>
      </c>
      <c r="B151" s="4" t="s">
        <v>53</v>
      </c>
      <c r="C151" s="4" t="s">
        <v>623</v>
      </c>
      <c r="D151" s="4" t="s">
        <v>624</v>
      </c>
      <c r="E151" s="4" t="s">
        <v>56</v>
      </c>
      <c r="F151" s="4" t="s">
        <v>57</v>
      </c>
      <c r="G151" s="4" t="s">
        <v>58</v>
      </c>
      <c r="H151" s="4" t="s">
        <v>59</v>
      </c>
      <c r="I151" s="3"/>
      <c r="J151" s="3"/>
      <c r="K151" s="3"/>
      <c r="L151" s="3"/>
      <c r="M151" s="3"/>
      <c r="N151" s="3"/>
      <c r="O151" s="3"/>
      <c r="P151" s="8"/>
      <c r="Q151" s="8"/>
      <c r="R151" s="3"/>
      <c r="S151" s="3"/>
      <c r="T151" s="3"/>
      <c r="U151" s="5" t="str">
        <f t="shared" si="8"/>
        <v/>
      </c>
    </row>
    <row r="152" spans="1:21" ht="28" customHeight="1" x14ac:dyDescent="0.35">
      <c r="A152" s="4">
        <v>3</v>
      </c>
      <c r="B152" s="4" t="s">
        <v>53</v>
      </c>
      <c r="C152" s="4" t="s">
        <v>625</v>
      </c>
      <c r="D152" s="4" t="s">
        <v>626</v>
      </c>
      <c r="E152" s="4" t="s">
        <v>56</v>
      </c>
      <c r="F152" s="4" t="s">
        <v>57</v>
      </c>
      <c r="G152" s="4" t="s">
        <v>58</v>
      </c>
      <c r="H152" s="4" t="s">
        <v>59</v>
      </c>
      <c r="I152" s="3"/>
      <c r="J152" s="3"/>
      <c r="K152" s="3"/>
      <c r="L152" s="3"/>
      <c r="M152" s="3"/>
      <c r="N152" s="3"/>
      <c r="O152" s="3"/>
      <c r="P152" s="8"/>
      <c r="Q152" s="8"/>
      <c r="R152" s="3"/>
      <c r="S152" s="3"/>
      <c r="T152" s="3"/>
      <c r="U152" s="5" t="str">
        <f t="shared" si="8"/>
        <v/>
      </c>
    </row>
    <row r="153" spans="1:21" ht="28" customHeight="1" x14ac:dyDescent="0.35">
      <c r="A153" s="4">
        <v>4</v>
      </c>
      <c r="B153" s="4" t="s">
        <v>53</v>
      </c>
      <c r="C153" s="4" t="s">
        <v>627</v>
      </c>
      <c r="D153" s="4" t="s">
        <v>628</v>
      </c>
      <c r="E153" s="4" t="s">
        <v>56</v>
      </c>
      <c r="F153" s="4" t="s">
        <v>57</v>
      </c>
      <c r="G153" s="4" t="s">
        <v>58</v>
      </c>
      <c r="H153" s="4" t="s">
        <v>59</v>
      </c>
      <c r="I153" s="3"/>
      <c r="J153" s="3"/>
      <c r="K153" s="3"/>
      <c r="L153" s="3"/>
      <c r="M153" s="3"/>
      <c r="N153" s="3"/>
      <c r="O153" s="3"/>
      <c r="P153" s="8"/>
      <c r="Q153" s="8"/>
      <c r="R153" s="3"/>
      <c r="S153" s="3"/>
      <c r="T153" s="3"/>
      <c r="U153" s="5" t="str">
        <f t="shared" si="8"/>
        <v/>
      </c>
    </row>
    <row r="154" spans="1:21" ht="28" customHeight="1" x14ac:dyDescent="0.35">
      <c r="A154" s="4">
        <v>5</v>
      </c>
      <c r="B154" s="4" t="s">
        <v>66</v>
      </c>
      <c r="C154" s="4" t="s">
        <v>67</v>
      </c>
      <c r="D154" s="4" t="s">
        <v>68</v>
      </c>
      <c r="E154" s="4" t="s">
        <v>69</v>
      </c>
      <c r="F154" s="4" t="s">
        <v>57</v>
      </c>
      <c r="G154" s="4" t="s">
        <v>58</v>
      </c>
      <c r="H154" s="4" t="s">
        <v>59</v>
      </c>
      <c r="I154" s="3"/>
      <c r="J154" s="3"/>
      <c r="K154" s="3"/>
      <c r="L154" s="3"/>
      <c r="M154" s="3"/>
      <c r="N154" s="3"/>
      <c r="O154" s="3"/>
      <c r="P154" s="8"/>
      <c r="Q154" s="8"/>
      <c r="R154" s="3"/>
      <c r="S154" s="3"/>
      <c r="T154" s="3"/>
      <c r="U154" s="5" t="str">
        <f t="shared" si="8"/>
        <v/>
      </c>
    </row>
    <row r="155" spans="1:21" ht="28" customHeight="1" x14ac:dyDescent="0.35">
      <c r="A155" s="4">
        <v>6</v>
      </c>
      <c r="B155" s="4" t="s">
        <v>70</v>
      </c>
      <c r="C155" s="4" t="s">
        <v>71</v>
      </c>
      <c r="D155" s="4" t="s">
        <v>72</v>
      </c>
      <c r="E155" s="4" t="s">
        <v>70</v>
      </c>
      <c r="F155" s="4" t="s">
        <v>57</v>
      </c>
      <c r="G155" s="4" t="s">
        <v>58</v>
      </c>
      <c r="H155" s="4" t="s">
        <v>59</v>
      </c>
      <c r="I155" s="3"/>
      <c r="J155" s="3"/>
      <c r="K155" s="3"/>
      <c r="L155" s="3"/>
      <c r="M155" s="3"/>
      <c r="N155" s="3"/>
      <c r="O155" s="3"/>
      <c r="P155" s="8"/>
      <c r="Q155" s="8"/>
      <c r="R155" s="3"/>
      <c r="S155" s="3"/>
      <c r="T155" s="3"/>
      <c r="U155" s="5" t="str">
        <f t="shared" si="8"/>
        <v/>
      </c>
    </row>
    <row r="156" spans="1:21" ht="28" customHeight="1" x14ac:dyDescent="0.35">
      <c r="A156" s="4">
        <v>7</v>
      </c>
      <c r="B156" s="4" t="s">
        <v>73</v>
      </c>
      <c r="C156" s="4" t="s">
        <v>74</v>
      </c>
      <c r="D156" s="4" t="s">
        <v>75</v>
      </c>
      <c r="E156" s="4" t="s">
        <v>69</v>
      </c>
      <c r="F156" s="4" t="s">
        <v>57</v>
      </c>
      <c r="G156" s="4" t="s">
        <v>58</v>
      </c>
      <c r="H156" s="4" t="s">
        <v>76</v>
      </c>
      <c r="I156" s="3"/>
      <c r="J156" s="3"/>
      <c r="K156" s="3"/>
      <c r="L156" s="3"/>
      <c r="M156" s="3"/>
      <c r="N156" s="3"/>
      <c r="O156" s="3"/>
      <c r="P156" s="8"/>
      <c r="Q156" s="8"/>
      <c r="R156" s="3"/>
      <c r="S156" s="3"/>
      <c r="T156" s="3"/>
      <c r="U156" s="5" t="str">
        <f t="shared" si="8"/>
        <v/>
      </c>
    </row>
    <row r="157" spans="1:21" ht="28" customHeight="1" x14ac:dyDescent="0.35">
      <c r="A157" s="4">
        <v>8</v>
      </c>
      <c r="B157" s="4" t="s">
        <v>77</v>
      </c>
      <c r="C157" s="4" t="s">
        <v>78</v>
      </c>
      <c r="D157" s="4" t="s">
        <v>79</v>
      </c>
      <c r="E157" s="4" t="s">
        <v>80</v>
      </c>
      <c r="F157" s="4" t="s">
        <v>57</v>
      </c>
      <c r="G157" s="4" t="s">
        <v>58</v>
      </c>
      <c r="H157" s="4" t="s">
        <v>59</v>
      </c>
      <c r="I157" s="3"/>
      <c r="J157" s="3"/>
      <c r="K157" s="3"/>
      <c r="L157" s="3"/>
      <c r="M157" s="3"/>
      <c r="N157" s="3"/>
      <c r="O157" s="3"/>
      <c r="P157" s="8"/>
      <c r="Q157" s="8"/>
      <c r="R157" s="3"/>
      <c r="S157" s="3"/>
      <c r="T157" s="3"/>
      <c r="U157" s="5" t="str">
        <f t="shared" si="8"/>
        <v/>
      </c>
    </row>
    <row r="158" spans="1:21" ht="28" customHeight="1" x14ac:dyDescent="0.35">
      <c r="A158" s="4">
        <v>9</v>
      </c>
      <c r="B158" s="4" t="s">
        <v>81</v>
      </c>
      <c r="C158" s="4" t="s">
        <v>82</v>
      </c>
      <c r="D158" s="4" t="s">
        <v>83</v>
      </c>
      <c r="E158" s="4" t="s">
        <v>84</v>
      </c>
      <c r="F158" s="4" t="s">
        <v>57</v>
      </c>
      <c r="G158" s="4" t="s">
        <v>58</v>
      </c>
      <c r="H158" s="4" t="s">
        <v>85</v>
      </c>
      <c r="I158" s="3"/>
      <c r="J158" s="3"/>
      <c r="K158" s="3"/>
      <c r="L158" s="3"/>
      <c r="M158" s="3"/>
      <c r="N158" s="3"/>
      <c r="O158" s="3"/>
      <c r="P158" s="8"/>
      <c r="Q158" s="8"/>
      <c r="R158" s="3"/>
      <c r="S158" s="3"/>
      <c r="T158" s="3"/>
      <c r="U158" s="5" t="str">
        <f t="shared" si="8"/>
        <v/>
      </c>
    </row>
    <row r="159" spans="1:21" ht="28" customHeight="1" x14ac:dyDescent="0.35">
      <c r="A159" s="4">
        <v>10</v>
      </c>
      <c r="B159" s="4" t="s">
        <v>86</v>
      </c>
      <c r="C159" s="4" t="s">
        <v>87</v>
      </c>
      <c r="D159" s="4" t="s">
        <v>88</v>
      </c>
      <c r="E159" s="4" t="s">
        <v>69</v>
      </c>
      <c r="F159" s="4" t="s">
        <v>57</v>
      </c>
      <c r="G159" s="4" t="s">
        <v>58</v>
      </c>
      <c r="H159" s="4" t="s">
        <v>59</v>
      </c>
      <c r="I159" s="3"/>
      <c r="J159" s="3"/>
      <c r="K159" s="3"/>
      <c r="L159" s="3"/>
      <c r="M159" s="3"/>
      <c r="N159" s="3"/>
      <c r="O159" s="3"/>
      <c r="P159" s="8"/>
      <c r="Q159" s="8"/>
      <c r="R159" s="3"/>
      <c r="S159" s="3"/>
      <c r="T159" s="3"/>
      <c r="U159" s="5" t="str">
        <f t="shared" si="8"/>
        <v/>
      </c>
    </row>
    <row r="160" spans="1:21" ht="28" customHeight="1" x14ac:dyDescent="0.35">
      <c r="A160" s="4">
        <v>11</v>
      </c>
      <c r="B160" s="4" t="s">
        <v>89</v>
      </c>
      <c r="C160" s="4" t="s">
        <v>90</v>
      </c>
      <c r="D160" s="4" t="s">
        <v>91</v>
      </c>
      <c r="E160" s="4" t="s">
        <v>84</v>
      </c>
      <c r="F160" s="4" t="s">
        <v>57</v>
      </c>
      <c r="G160" s="4" t="s">
        <v>58</v>
      </c>
      <c r="H160" s="4" t="s">
        <v>59</v>
      </c>
      <c r="I160" s="3"/>
      <c r="J160" s="3"/>
      <c r="K160" s="3"/>
      <c r="L160" s="3"/>
      <c r="M160" s="3"/>
      <c r="N160" s="3"/>
      <c r="O160" s="3"/>
      <c r="P160" s="8"/>
      <c r="Q160" s="8"/>
      <c r="R160" s="3"/>
      <c r="S160" s="3"/>
      <c r="T160" s="3"/>
      <c r="U160" s="5" t="str">
        <f t="shared" si="8"/>
        <v/>
      </c>
    </row>
    <row r="161" spans="1:21" ht="28" customHeight="1" x14ac:dyDescent="0.35">
      <c r="A161" s="4">
        <v>12</v>
      </c>
      <c r="B161" s="4" t="s">
        <v>92</v>
      </c>
      <c r="C161" s="4" t="s">
        <v>93</v>
      </c>
      <c r="D161" s="4" t="s">
        <v>94</v>
      </c>
      <c r="E161" s="4" t="s">
        <v>69</v>
      </c>
      <c r="F161" s="4" t="s">
        <v>95</v>
      </c>
      <c r="G161" s="4" t="s">
        <v>96</v>
      </c>
      <c r="H161" s="4" t="s">
        <v>59</v>
      </c>
      <c r="I161" s="3"/>
      <c r="J161" s="3"/>
      <c r="K161" s="3"/>
      <c r="L161" s="3"/>
      <c r="M161" s="3"/>
      <c r="N161" s="3"/>
      <c r="O161" s="3"/>
      <c r="P161" s="8"/>
      <c r="Q161" s="8"/>
      <c r="R161" s="3"/>
      <c r="S161" s="3"/>
      <c r="T161" s="3"/>
      <c r="U161" s="5" t="str">
        <f t="shared" si="8"/>
        <v/>
      </c>
    </row>
    <row r="162" spans="1:21" ht="28" customHeight="1" x14ac:dyDescent="0.35">
      <c r="A162" s="4">
        <v>13</v>
      </c>
      <c r="B162" s="4" t="s">
        <v>97</v>
      </c>
      <c r="C162" s="4" t="s">
        <v>98</v>
      </c>
      <c r="D162" s="4" t="s">
        <v>99</v>
      </c>
      <c r="E162" s="4" t="s">
        <v>69</v>
      </c>
      <c r="F162" s="4" t="s">
        <v>95</v>
      </c>
      <c r="G162" s="4" t="s">
        <v>96</v>
      </c>
      <c r="H162" s="4" t="s">
        <v>59</v>
      </c>
      <c r="I162" s="3"/>
      <c r="J162" s="3"/>
      <c r="K162" s="3"/>
      <c r="L162" s="3"/>
      <c r="M162" s="3"/>
      <c r="N162" s="3"/>
      <c r="O162" s="3"/>
      <c r="P162" s="8"/>
      <c r="Q162" s="8"/>
      <c r="R162" s="3"/>
      <c r="S162" s="3"/>
      <c r="T162" s="3"/>
      <c r="U162" s="5" t="str">
        <f t="shared" si="8"/>
        <v/>
      </c>
    </row>
    <row r="163" spans="1:21" ht="28" customHeight="1" x14ac:dyDescent="0.35">
      <c r="A163" s="4">
        <v>14</v>
      </c>
      <c r="B163" s="4" t="s">
        <v>97</v>
      </c>
      <c r="C163" s="4" t="s">
        <v>100</v>
      </c>
      <c r="D163" s="4" t="s">
        <v>101</v>
      </c>
      <c r="E163" s="4" t="s">
        <v>69</v>
      </c>
      <c r="F163" s="4" t="s">
        <v>95</v>
      </c>
      <c r="G163" s="4" t="s">
        <v>102</v>
      </c>
      <c r="H163" s="4" t="s">
        <v>59</v>
      </c>
      <c r="I163" s="3"/>
      <c r="J163" s="3"/>
      <c r="K163" s="3"/>
      <c r="L163" s="3"/>
      <c r="M163" s="3"/>
      <c r="N163" s="3"/>
      <c r="O163" s="3"/>
      <c r="P163" s="8"/>
      <c r="Q163" s="8"/>
      <c r="R163" s="3"/>
      <c r="S163" s="3"/>
      <c r="T163" s="3"/>
      <c r="U163" s="5" t="str">
        <f t="shared" si="8"/>
        <v/>
      </c>
    </row>
    <row r="164" spans="1:21" ht="28" customHeight="1" x14ac:dyDescent="0.35">
      <c r="A164" s="4">
        <v>15</v>
      </c>
      <c r="B164" s="4" t="s">
        <v>103</v>
      </c>
      <c r="C164" s="4" t="s">
        <v>104</v>
      </c>
      <c r="D164" s="4" t="s">
        <v>105</v>
      </c>
      <c r="E164" s="4" t="s">
        <v>69</v>
      </c>
      <c r="F164" s="4" t="s">
        <v>95</v>
      </c>
      <c r="G164" s="4" t="s">
        <v>96</v>
      </c>
      <c r="H164" s="4" t="s">
        <v>85</v>
      </c>
      <c r="I164" s="3"/>
      <c r="J164" s="3"/>
      <c r="K164" s="3"/>
      <c r="L164" s="3"/>
      <c r="M164" s="3"/>
      <c r="N164" s="3"/>
      <c r="O164" s="3"/>
      <c r="P164" s="8"/>
      <c r="Q164" s="8"/>
      <c r="R164" s="3"/>
      <c r="S164" s="3"/>
      <c r="T164" s="3"/>
      <c r="U164" s="5" t="str">
        <f t="shared" si="8"/>
        <v/>
      </c>
    </row>
    <row r="165" spans="1:21" ht="28" customHeight="1" x14ac:dyDescent="0.35">
      <c r="A165" s="4">
        <v>16</v>
      </c>
      <c r="B165" s="4" t="s">
        <v>106</v>
      </c>
      <c r="C165" s="4" t="s">
        <v>107</v>
      </c>
      <c r="D165" s="4" t="s">
        <v>108</v>
      </c>
      <c r="E165" s="4" t="s">
        <v>109</v>
      </c>
      <c r="F165" s="4" t="s">
        <v>95</v>
      </c>
      <c r="G165" s="4" t="s">
        <v>96</v>
      </c>
      <c r="H165" s="4" t="s">
        <v>59</v>
      </c>
      <c r="I165" s="3"/>
      <c r="J165" s="3"/>
      <c r="K165" s="3"/>
      <c r="L165" s="3"/>
      <c r="M165" s="3"/>
      <c r="N165" s="3"/>
      <c r="O165" s="3"/>
      <c r="P165" s="8"/>
      <c r="Q165" s="8"/>
      <c r="R165" s="3"/>
      <c r="S165" s="3"/>
      <c r="T165" s="3"/>
      <c r="U165" s="5" t="str">
        <f t="shared" si="8"/>
        <v/>
      </c>
    </row>
    <row r="167" spans="1:21" ht="28" customHeight="1" x14ac:dyDescent="0.35">
      <c r="A167" s="9" t="s">
        <v>110</v>
      </c>
      <c r="B167" s="16"/>
      <c r="C167" s="17"/>
      <c r="D167" s="17"/>
      <c r="E167" s="17"/>
      <c r="F167" s="17"/>
      <c r="G167" s="17"/>
      <c r="H167" s="17"/>
      <c r="I167" s="17"/>
      <c r="J167" s="17"/>
      <c r="K167" s="17"/>
      <c r="L167" s="17"/>
      <c r="M167" s="17"/>
      <c r="N167" s="17"/>
      <c r="O167" s="17"/>
      <c r="P167" s="17"/>
      <c r="Q167" s="17"/>
      <c r="R167" s="17"/>
      <c r="S167" s="17"/>
      <c r="T167" s="17"/>
      <c r="U167" s="18"/>
    </row>
    <row r="168" spans="1:21" ht="28" customHeight="1" x14ac:dyDescent="0.35">
      <c r="A168" s="19" t="s">
        <v>635</v>
      </c>
      <c r="B168" s="20"/>
      <c r="C168" s="20"/>
      <c r="D168" s="20"/>
      <c r="E168" s="20"/>
      <c r="F168" s="20"/>
      <c r="G168" s="20"/>
      <c r="H168" s="20"/>
      <c r="I168" s="20"/>
      <c r="J168" s="20"/>
      <c r="K168" s="20"/>
      <c r="L168" s="20"/>
      <c r="M168" s="20"/>
      <c r="N168" s="20"/>
      <c r="O168" s="20"/>
      <c r="P168" s="20"/>
      <c r="Q168" s="20"/>
      <c r="R168" s="20"/>
      <c r="S168" s="20"/>
      <c r="T168" s="20"/>
      <c r="U168" s="21"/>
    </row>
    <row r="169" spans="1:21" ht="28" customHeight="1" x14ac:dyDescent="0.35">
      <c r="A169" s="4" t="s">
        <v>31</v>
      </c>
      <c r="B169" s="3" t="s">
        <v>25</v>
      </c>
      <c r="C169" s="4" t="s">
        <v>32</v>
      </c>
      <c r="D169" s="3"/>
      <c r="E169" s="4" t="s">
        <v>33</v>
      </c>
      <c r="F169" s="8"/>
    </row>
    <row r="170" spans="1:21" ht="28" customHeight="1" x14ac:dyDescent="0.35">
      <c r="A170" s="1" t="s">
        <v>34</v>
      </c>
      <c r="B170" s="1" t="s">
        <v>35</v>
      </c>
      <c r="C170" s="1" t="s">
        <v>36</v>
      </c>
      <c r="D170" s="1" t="s">
        <v>37</v>
      </c>
      <c r="E170" s="1" t="s">
        <v>38</v>
      </c>
      <c r="F170" s="1" t="s">
        <v>39</v>
      </c>
      <c r="G170" s="1" t="s">
        <v>40</v>
      </c>
      <c r="H170" s="1" t="s">
        <v>41</v>
      </c>
      <c r="I170" s="1" t="s">
        <v>42</v>
      </c>
      <c r="J170" s="1" t="s">
        <v>43</v>
      </c>
      <c r="K170" s="1" t="s">
        <v>44</v>
      </c>
      <c r="L170" s="1" t="s">
        <v>45</v>
      </c>
      <c r="M170" s="1" t="s">
        <v>46</v>
      </c>
      <c r="N170" s="1" t="s">
        <v>47</v>
      </c>
      <c r="O170" s="1" t="s">
        <v>48</v>
      </c>
      <c r="P170" s="1" t="s">
        <v>4</v>
      </c>
      <c r="Q170" s="1" t="s">
        <v>49</v>
      </c>
      <c r="R170" s="1" t="s">
        <v>50</v>
      </c>
      <c r="S170" s="1" t="s">
        <v>51</v>
      </c>
      <c r="T170" s="1" t="s">
        <v>52</v>
      </c>
      <c r="U170" s="1" t="s">
        <v>10</v>
      </c>
    </row>
    <row r="171" spans="1:21" ht="28" customHeight="1" x14ac:dyDescent="0.35">
      <c r="A171" s="4">
        <v>1</v>
      </c>
      <c r="B171" s="4" t="s">
        <v>53</v>
      </c>
      <c r="C171" s="4" t="s">
        <v>621</v>
      </c>
      <c r="D171" s="4" t="s">
        <v>622</v>
      </c>
      <c r="E171" s="4" t="s">
        <v>56</v>
      </c>
      <c r="F171" s="4" t="s">
        <v>57</v>
      </c>
      <c r="G171" s="4" t="s">
        <v>58</v>
      </c>
      <c r="H171" s="4" t="s">
        <v>59</v>
      </c>
      <c r="I171" s="3"/>
      <c r="J171" s="3"/>
      <c r="K171" s="3"/>
      <c r="L171" s="3"/>
      <c r="M171" s="3"/>
      <c r="N171" s="3"/>
      <c r="O171" s="3"/>
      <c r="P171" s="8"/>
      <c r="Q171" s="8"/>
      <c r="R171" s="3"/>
      <c r="S171" s="3"/>
      <c r="T171" s="3"/>
      <c r="U171" s="5" t="str">
        <f t="shared" ref="U171:U186" si="9">IF(I171="","",IF(I171="NA","Grey",IF(I171=2,"Green",IF(I171=1,"Amber","Red"))))</f>
        <v/>
      </c>
    </row>
    <row r="172" spans="1:21" ht="28" customHeight="1" x14ac:dyDescent="0.35">
      <c r="A172" s="4">
        <v>2</v>
      </c>
      <c r="B172" s="4" t="s">
        <v>53</v>
      </c>
      <c r="C172" s="4" t="s">
        <v>623</v>
      </c>
      <c r="D172" s="4" t="s">
        <v>624</v>
      </c>
      <c r="E172" s="4" t="s">
        <v>56</v>
      </c>
      <c r="F172" s="4" t="s">
        <v>57</v>
      </c>
      <c r="G172" s="4" t="s">
        <v>58</v>
      </c>
      <c r="H172" s="4" t="s">
        <v>59</v>
      </c>
      <c r="I172" s="3"/>
      <c r="J172" s="3"/>
      <c r="K172" s="3"/>
      <c r="L172" s="3"/>
      <c r="M172" s="3"/>
      <c r="N172" s="3"/>
      <c r="O172" s="3"/>
      <c r="P172" s="8"/>
      <c r="Q172" s="8"/>
      <c r="R172" s="3"/>
      <c r="S172" s="3"/>
      <c r="T172" s="3"/>
      <c r="U172" s="5" t="str">
        <f t="shared" si="9"/>
        <v/>
      </c>
    </row>
    <row r="173" spans="1:21" ht="28" customHeight="1" x14ac:dyDescent="0.35">
      <c r="A173" s="4">
        <v>3</v>
      </c>
      <c r="B173" s="4" t="s">
        <v>53</v>
      </c>
      <c r="C173" s="4" t="s">
        <v>625</v>
      </c>
      <c r="D173" s="4" t="s">
        <v>626</v>
      </c>
      <c r="E173" s="4" t="s">
        <v>56</v>
      </c>
      <c r="F173" s="4" t="s">
        <v>57</v>
      </c>
      <c r="G173" s="4" t="s">
        <v>58</v>
      </c>
      <c r="H173" s="4" t="s">
        <v>59</v>
      </c>
      <c r="I173" s="3"/>
      <c r="J173" s="3"/>
      <c r="K173" s="3"/>
      <c r="L173" s="3"/>
      <c r="M173" s="3"/>
      <c r="N173" s="3"/>
      <c r="O173" s="3"/>
      <c r="P173" s="8"/>
      <c r="Q173" s="8"/>
      <c r="R173" s="3"/>
      <c r="S173" s="3"/>
      <c r="T173" s="3"/>
      <c r="U173" s="5" t="str">
        <f t="shared" si="9"/>
        <v/>
      </c>
    </row>
    <row r="174" spans="1:21" ht="28" customHeight="1" x14ac:dyDescent="0.35">
      <c r="A174" s="4">
        <v>4</v>
      </c>
      <c r="B174" s="4" t="s">
        <v>53</v>
      </c>
      <c r="C174" s="4" t="s">
        <v>627</v>
      </c>
      <c r="D174" s="4" t="s">
        <v>628</v>
      </c>
      <c r="E174" s="4" t="s">
        <v>56</v>
      </c>
      <c r="F174" s="4" t="s">
        <v>57</v>
      </c>
      <c r="G174" s="4" t="s">
        <v>58</v>
      </c>
      <c r="H174" s="4" t="s">
        <v>59</v>
      </c>
      <c r="I174" s="3"/>
      <c r="J174" s="3"/>
      <c r="K174" s="3"/>
      <c r="L174" s="3"/>
      <c r="M174" s="3"/>
      <c r="N174" s="3"/>
      <c r="O174" s="3"/>
      <c r="P174" s="8"/>
      <c r="Q174" s="8"/>
      <c r="R174" s="3"/>
      <c r="S174" s="3"/>
      <c r="T174" s="3"/>
      <c r="U174" s="5" t="str">
        <f t="shared" si="9"/>
        <v/>
      </c>
    </row>
    <row r="175" spans="1:21" ht="28" customHeight="1" x14ac:dyDescent="0.35">
      <c r="A175" s="4">
        <v>5</v>
      </c>
      <c r="B175" s="4" t="s">
        <v>66</v>
      </c>
      <c r="C175" s="4" t="s">
        <v>67</v>
      </c>
      <c r="D175" s="4" t="s">
        <v>68</v>
      </c>
      <c r="E175" s="4" t="s">
        <v>69</v>
      </c>
      <c r="F175" s="4" t="s">
        <v>57</v>
      </c>
      <c r="G175" s="4" t="s">
        <v>58</v>
      </c>
      <c r="H175" s="4" t="s">
        <v>59</v>
      </c>
      <c r="I175" s="3"/>
      <c r="J175" s="3"/>
      <c r="K175" s="3"/>
      <c r="L175" s="3"/>
      <c r="M175" s="3"/>
      <c r="N175" s="3"/>
      <c r="O175" s="3"/>
      <c r="P175" s="8"/>
      <c r="Q175" s="8"/>
      <c r="R175" s="3"/>
      <c r="S175" s="3"/>
      <c r="T175" s="3"/>
      <c r="U175" s="5" t="str">
        <f t="shared" si="9"/>
        <v/>
      </c>
    </row>
    <row r="176" spans="1:21" ht="28" customHeight="1" x14ac:dyDescent="0.35">
      <c r="A176" s="4">
        <v>6</v>
      </c>
      <c r="B176" s="4" t="s">
        <v>70</v>
      </c>
      <c r="C176" s="4" t="s">
        <v>71</v>
      </c>
      <c r="D176" s="4" t="s">
        <v>72</v>
      </c>
      <c r="E176" s="4" t="s">
        <v>70</v>
      </c>
      <c r="F176" s="4" t="s">
        <v>57</v>
      </c>
      <c r="G176" s="4" t="s">
        <v>58</v>
      </c>
      <c r="H176" s="4" t="s">
        <v>59</v>
      </c>
      <c r="I176" s="3"/>
      <c r="J176" s="3"/>
      <c r="K176" s="3"/>
      <c r="L176" s="3"/>
      <c r="M176" s="3"/>
      <c r="N176" s="3"/>
      <c r="O176" s="3"/>
      <c r="P176" s="8"/>
      <c r="Q176" s="8"/>
      <c r="R176" s="3"/>
      <c r="S176" s="3"/>
      <c r="T176" s="3"/>
      <c r="U176" s="5" t="str">
        <f t="shared" si="9"/>
        <v/>
      </c>
    </row>
    <row r="177" spans="1:21" ht="28" customHeight="1" x14ac:dyDescent="0.35">
      <c r="A177" s="4">
        <v>7</v>
      </c>
      <c r="B177" s="4" t="s">
        <v>73</v>
      </c>
      <c r="C177" s="4" t="s">
        <v>74</v>
      </c>
      <c r="D177" s="4" t="s">
        <v>75</v>
      </c>
      <c r="E177" s="4" t="s">
        <v>69</v>
      </c>
      <c r="F177" s="4" t="s">
        <v>57</v>
      </c>
      <c r="G177" s="4" t="s">
        <v>58</v>
      </c>
      <c r="H177" s="4" t="s">
        <v>76</v>
      </c>
      <c r="I177" s="3"/>
      <c r="J177" s="3"/>
      <c r="K177" s="3"/>
      <c r="L177" s="3"/>
      <c r="M177" s="3"/>
      <c r="N177" s="3"/>
      <c r="O177" s="3"/>
      <c r="P177" s="8"/>
      <c r="Q177" s="8"/>
      <c r="R177" s="3"/>
      <c r="S177" s="3"/>
      <c r="T177" s="3"/>
      <c r="U177" s="5" t="str">
        <f t="shared" si="9"/>
        <v/>
      </c>
    </row>
    <row r="178" spans="1:21" ht="28" customHeight="1" x14ac:dyDescent="0.35">
      <c r="A178" s="4">
        <v>8</v>
      </c>
      <c r="B178" s="4" t="s">
        <v>77</v>
      </c>
      <c r="C178" s="4" t="s">
        <v>78</v>
      </c>
      <c r="D178" s="4" t="s">
        <v>79</v>
      </c>
      <c r="E178" s="4" t="s">
        <v>80</v>
      </c>
      <c r="F178" s="4" t="s">
        <v>57</v>
      </c>
      <c r="G178" s="4" t="s">
        <v>58</v>
      </c>
      <c r="H178" s="4" t="s">
        <v>59</v>
      </c>
      <c r="I178" s="3"/>
      <c r="J178" s="3"/>
      <c r="K178" s="3"/>
      <c r="L178" s="3"/>
      <c r="M178" s="3"/>
      <c r="N178" s="3"/>
      <c r="O178" s="3"/>
      <c r="P178" s="8"/>
      <c r="Q178" s="8"/>
      <c r="R178" s="3"/>
      <c r="S178" s="3"/>
      <c r="T178" s="3"/>
      <c r="U178" s="5" t="str">
        <f t="shared" si="9"/>
        <v/>
      </c>
    </row>
    <row r="179" spans="1:21" ht="28" customHeight="1" x14ac:dyDescent="0.35">
      <c r="A179" s="4">
        <v>9</v>
      </c>
      <c r="B179" s="4" t="s">
        <v>81</v>
      </c>
      <c r="C179" s="4" t="s">
        <v>82</v>
      </c>
      <c r="D179" s="4" t="s">
        <v>83</v>
      </c>
      <c r="E179" s="4" t="s">
        <v>84</v>
      </c>
      <c r="F179" s="4" t="s">
        <v>57</v>
      </c>
      <c r="G179" s="4" t="s">
        <v>58</v>
      </c>
      <c r="H179" s="4" t="s">
        <v>85</v>
      </c>
      <c r="I179" s="3"/>
      <c r="J179" s="3"/>
      <c r="K179" s="3"/>
      <c r="L179" s="3"/>
      <c r="M179" s="3"/>
      <c r="N179" s="3"/>
      <c r="O179" s="3"/>
      <c r="P179" s="8"/>
      <c r="Q179" s="8"/>
      <c r="R179" s="3"/>
      <c r="S179" s="3"/>
      <c r="T179" s="3"/>
      <c r="U179" s="5" t="str">
        <f t="shared" si="9"/>
        <v/>
      </c>
    </row>
    <row r="180" spans="1:21" ht="28" customHeight="1" x14ac:dyDescent="0.35">
      <c r="A180" s="4">
        <v>10</v>
      </c>
      <c r="B180" s="4" t="s">
        <v>86</v>
      </c>
      <c r="C180" s="4" t="s">
        <v>87</v>
      </c>
      <c r="D180" s="4" t="s">
        <v>88</v>
      </c>
      <c r="E180" s="4" t="s">
        <v>69</v>
      </c>
      <c r="F180" s="4" t="s">
        <v>57</v>
      </c>
      <c r="G180" s="4" t="s">
        <v>58</v>
      </c>
      <c r="H180" s="4" t="s">
        <v>59</v>
      </c>
      <c r="I180" s="3"/>
      <c r="J180" s="3"/>
      <c r="K180" s="3"/>
      <c r="L180" s="3"/>
      <c r="M180" s="3"/>
      <c r="N180" s="3"/>
      <c r="O180" s="3"/>
      <c r="P180" s="8"/>
      <c r="Q180" s="8"/>
      <c r="R180" s="3"/>
      <c r="S180" s="3"/>
      <c r="T180" s="3"/>
      <c r="U180" s="5" t="str">
        <f t="shared" si="9"/>
        <v/>
      </c>
    </row>
    <row r="181" spans="1:21" ht="28" customHeight="1" x14ac:dyDescent="0.35">
      <c r="A181" s="4">
        <v>11</v>
      </c>
      <c r="B181" s="4" t="s">
        <v>89</v>
      </c>
      <c r="C181" s="4" t="s">
        <v>90</v>
      </c>
      <c r="D181" s="4" t="s">
        <v>91</v>
      </c>
      <c r="E181" s="4" t="s">
        <v>84</v>
      </c>
      <c r="F181" s="4" t="s">
        <v>57</v>
      </c>
      <c r="G181" s="4" t="s">
        <v>58</v>
      </c>
      <c r="H181" s="4" t="s">
        <v>59</v>
      </c>
      <c r="I181" s="3"/>
      <c r="J181" s="3"/>
      <c r="K181" s="3"/>
      <c r="L181" s="3"/>
      <c r="M181" s="3"/>
      <c r="N181" s="3"/>
      <c r="O181" s="3"/>
      <c r="P181" s="8"/>
      <c r="Q181" s="8"/>
      <c r="R181" s="3"/>
      <c r="S181" s="3"/>
      <c r="T181" s="3"/>
      <c r="U181" s="5" t="str">
        <f t="shared" si="9"/>
        <v/>
      </c>
    </row>
    <row r="182" spans="1:21" ht="28" customHeight="1" x14ac:dyDescent="0.35">
      <c r="A182" s="4">
        <v>12</v>
      </c>
      <c r="B182" s="4" t="s">
        <v>92</v>
      </c>
      <c r="C182" s="4" t="s">
        <v>93</v>
      </c>
      <c r="D182" s="4" t="s">
        <v>94</v>
      </c>
      <c r="E182" s="4" t="s">
        <v>69</v>
      </c>
      <c r="F182" s="4" t="s">
        <v>95</v>
      </c>
      <c r="G182" s="4" t="s">
        <v>96</v>
      </c>
      <c r="H182" s="4" t="s">
        <v>59</v>
      </c>
      <c r="I182" s="3"/>
      <c r="J182" s="3"/>
      <c r="K182" s="3"/>
      <c r="L182" s="3"/>
      <c r="M182" s="3"/>
      <c r="N182" s="3"/>
      <c r="O182" s="3"/>
      <c r="P182" s="8"/>
      <c r="Q182" s="8"/>
      <c r="R182" s="3"/>
      <c r="S182" s="3"/>
      <c r="T182" s="3"/>
      <c r="U182" s="5" t="str">
        <f t="shared" si="9"/>
        <v/>
      </c>
    </row>
    <row r="183" spans="1:21" ht="28" customHeight="1" x14ac:dyDescent="0.35">
      <c r="A183" s="4">
        <v>13</v>
      </c>
      <c r="B183" s="4" t="s">
        <v>97</v>
      </c>
      <c r="C183" s="4" t="s">
        <v>98</v>
      </c>
      <c r="D183" s="4" t="s">
        <v>99</v>
      </c>
      <c r="E183" s="4" t="s">
        <v>69</v>
      </c>
      <c r="F183" s="4" t="s">
        <v>95</v>
      </c>
      <c r="G183" s="4" t="s">
        <v>96</v>
      </c>
      <c r="H183" s="4" t="s">
        <v>59</v>
      </c>
      <c r="I183" s="3"/>
      <c r="J183" s="3"/>
      <c r="K183" s="3"/>
      <c r="L183" s="3"/>
      <c r="M183" s="3"/>
      <c r="N183" s="3"/>
      <c r="O183" s="3"/>
      <c r="P183" s="8"/>
      <c r="Q183" s="8"/>
      <c r="R183" s="3"/>
      <c r="S183" s="3"/>
      <c r="T183" s="3"/>
      <c r="U183" s="5" t="str">
        <f t="shared" si="9"/>
        <v/>
      </c>
    </row>
    <row r="184" spans="1:21" ht="28" customHeight="1" x14ac:dyDescent="0.35">
      <c r="A184" s="4">
        <v>14</v>
      </c>
      <c r="B184" s="4" t="s">
        <v>97</v>
      </c>
      <c r="C184" s="4" t="s">
        <v>100</v>
      </c>
      <c r="D184" s="4" t="s">
        <v>101</v>
      </c>
      <c r="E184" s="4" t="s">
        <v>69</v>
      </c>
      <c r="F184" s="4" t="s">
        <v>95</v>
      </c>
      <c r="G184" s="4" t="s">
        <v>102</v>
      </c>
      <c r="H184" s="4" t="s">
        <v>59</v>
      </c>
      <c r="I184" s="3"/>
      <c r="J184" s="3"/>
      <c r="K184" s="3"/>
      <c r="L184" s="3"/>
      <c r="M184" s="3"/>
      <c r="N184" s="3"/>
      <c r="O184" s="3"/>
      <c r="P184" s="8"/>
      <c r="Q184" s="8"/>
      <c r="R184" s="3"/>
      <c r="S184" s="3"/>
      <c r="T184" s="3"/>
      <c r="U184" s="5" t="str">
        <f t="shared" si="9"/>
        <v/>
      </c>
    </row>
    <row r="185" spans="1:21" ht="28" customHeight="1" x14ac:dyDescent="0.35">
      <c r="A185" s="4">
        <v>15</v>
      </c>
      <c r="B185" s="4" t="s">
        <v>103</v>
      </c>
      <c r="C185" s="4" t="s">
        <v>104</v>
      </c>
      <c r="D185" s="4" t="s">
        <v>105</v>
      </c>
      <c r="E185" s="4" t="s">
        <v>69</v>
      </c>
      <c r="F185" s="4" t="s">
        <v>95</v>
      </c>
      <c r="G185" s="4" t="s">
        <v>96</v>
      </c>
      <c r="H185" s="4" t="s">
        <v>85</v>
      </c>
      <c r="I185" s="3"/>
      <c r="J185" s="3"/>
      <c r="K185" s="3"/>
      <c r="L185" s="3"/>
      <c r="M185" s="3"/>
      <c r="N185" s="3"/>
      <c r="O185" s="3"/>
      <c r="P185" s="8"/>
      <c r="Q185" s="8"/>
      <c r="R185" s="3"/>
      <c r="S185" s="3"/>
      <c r="T185" s="3"/>
      <c r="U185" s="5" t="str">
        <f t="shared" si="9"/>
        <v/>
      </c>
    </row>
    <row r="186" spans="1:21" ht="28" customHeight="1" x14ac:dyDescent="0.35">
      <c r="A186" s="4">
        <v>16</v>
      </c>
      <c r="B186" s="4" t="s">
        <v>106</v>
      </c>
      <c r="C186" s="4" t="s">
        <v>107</v>
      </c>
      <c r="D186" s="4" t="s">
        <v>108</v>
      </c>
      <c r="E186" s="4" t="s">
        <v>109</v>
      </c>
      <c r="F186" s="4" t="s">
        <v>95</v>
      </c>
      <c r="G186" s="4" t="s">
        <v>96</v>
      </c>
      <c r="H186" s="4" t="s">
        <v>59</v>
      </c>
      <c r="I186" s="3"/>
      <c r="J186" s="3"/>
      <c r="K186" s="3"/>
      <c r="L186" s="3"/>
      <c r="M186" s="3"/>
      <c r="N186" s="3"/>
      <c r="O186" s="3"/>
      <c r="P186" s="8"/>
      <c r="Q186" s="8"/>
      <c r="R186" s="3"/>
      <c r="S186" s="3"/>
      <c r="T186" s="3"/>
      <c r="U186" s="5" t="str">
        <f t="shared" si="9"/>
        <v/>
      </c>
    </row>
    <row r="188" spans="1:21" ht="28" customHeight="1" x14ac:dyDescent="0.35">
      <c r="A188" s="9" t="s">
        <v>110</v>
      </c>
      <c r="B188" s="16"/>
      <c r="C188" s="17"/>
      <c r="D188" s="17"/>
      <c r="E188" s="17"/>
      <c r="F188" s="17"/>
      <c r="G188" s="17"/>
      <c r="H188" s="17"/>
      <c r="I188" s="17"/>
      <c r="J188" s="17"/>
      <c r="K188" s="17"/>
      <c r="L188" s="17"/>
      <c r="M188" s="17"/>
      <c r="N188" s="17"/>
      <c r="O188" s="17"/>
      <c r="P188" s="17"/>
      <c r="Q188" s="17"/>
      <c r="R188" s="17"/>
      <c r="S188" s="17"/>
      <c r="T188" s="17"/>
      <c r="U188" s="18"/>
    </row>
    <row r="189" spans="1:21" ht="28" customHeight="1" x14ac:dyDescent="0.35">
      <c r="A189" s="19" t="s">
        <v>636</v>
      </c>
      <c r="B189" s="20"/>
      <c r="C189" s="20"/>
      <c r="D189" s="20"/>
      <c r="E189" s="20"/>
      <c r="F189" s="20"/>
      <c r="G189" s="20"/>
      <c r="H189" s="20"/>
      <c r="I189" s="20"/>
      <c r="J189" s="20"/>
      <c r="K189" s="20"/>
      <c r="L189" s="20"/>
      <c r="M189" s="20"/>
      <c r="N189" s="20"/>
      <c r="O189" s="20"/>
      <c r="P189" s="20"/>
      <c r="Q189" s="20"/>
      <c r="R189" s="20"/>
      <c r="S189" s="20"/>
      <c r="T189" s="20"/>
      <c r="U189" s="21"/>
    </row>
    <row r="190" spans="1:21" ht="28" customHeight="1" x14ac:dyDescent="0.35">
      <c r="A190" s="4" t="s">
        <v>31</v>
      </c>
      <c r="B190" s="3" t="s">
        <v>26</v>
      </c>
      <c r="C190" s="4" t="s">
        <v>32</v>
      </c>
      <c r="D190" s="3"/>
      <c r="E190" s="4" t="s">
        <v>33</v>
      </c>
      <c r="F190" s="8"/>
    </row>
    <row r="191" spans="1:21" ht="28" customHeight="1" x14ac:dyDescent="0.35">
      <c r="A191" s="1" t="s">
        <v>34</v>
      </c>
      <c r="B191" s="1" t="s">
        <v>35</v>
      </c>
      <c r="C191" s="1" t="s">
        <v>36</v>
      </c>
      <c r="D191" s="1" t="s">
        <v>37</v>
      </c>
      <c r="E191" s="1" t="s">
        <v>38</v>
      </c>
      <c r="F191" s="1" t="s">
        <v>39</v>
      </c>
      <c r="G191" s="1" t="s">
        <v>40</v>
      </c>
      <c r="H191" s="1" t="s">
        <v>41</v>
      </c>
      <c r="I191" s="1" t="s">
        <v>42</v>
      </c>
      <c r="J191" s="1" t="s">
        <v>43</v>
      </c>
      <c r="K191" s="1" t="s">
        <v>44</v>
      </c>
      <c r="L191" s="1" t="s">
        <v>45</v>
      </c>
      <c r="M191" s="1" t="s">
        <v>46</v>
      </c>
      <c r="N191" s="1" t="s">
        <v>47</v>
      </c>
      <c r="O191" s="1" t="s">
        <v>48</v>
      </c>
      <c r="P191" s="1" t="s">
        <v>4</v>
      </c>
      <c r="Q191" s="1" t="s">
        <v>49</v>
      </c>
      <c r="R191" s="1" t="s">
        <v>50</v>
      </c>
      <c r="S191" s="1" t="s">
        <v>51</v>
      </c>
      <c r="T191" s="1" t="s">
        <v>52</v>
      </c>
      <c r="U191" s="1" t="s">
        <v>10</v>
      </c>
    </row>
    <row r="192" spans="1:21" ht="28" customHeight="1" x14ac:dyDescent="0.35">
      <c r="A192" s="4">
        <v>1</v>
      </c>
      <c r="B192" s="4" t="s">
        <v>53</v>
      </c>
      <c r="C192" s="4" t="s">
        <v>621</v>
      </c>
      <c r="D192" s="4" t="s">
        <v>622</v>
      </c>
      <c r="E192" s="4" t="s">
        <v>56</v>
      </c>
      <c r="F192" s="4" t="s">
        <v>57</v>
      </c>
      <c r="G192" s="4" t="s">
        <v>58</v>
      </c>
      <c r="H192" s="4" t="s">
        <v>59</v>
      </c>
      <c r="I192" s="3"/>
      <c r="J192" s="3"/>
      <c r="K192" s="3"/>
      <c r="L192" s="3"/>
      <c r="M192" s="3"/>
      <c r="N192" s="3"/>
      <c r="O192" s="3"/>
      <c r="P192" s="8"/>
      <c r="Q192" s="8"/>
      <c r="R192" s="3"/>
      <c r="S192" s="3"/>
      <c r="T192" s="3"/>
      <c r="U192" s="5" t="str">
        <f t="shared" ref="U192:U207" si="10">IF(I192="","",IF(I192="NA","Grey",IF(I192=2,"Green",IF(I192=1,"Amber","Red"))))</f>
        <v/>
      </c>
    </row>
    <row r="193" spans="1:21" ht="28" customHeight="1" x14ac:dyDescent="0.35">
      <c r="A193" s="4">
        <v>2</v>
      </c>
      <c r="B193" s="4" t="s">
        <v>53</v>
      </c>
      <c r="C193" s="4" t="s">
        <v>623</v>
      </c>
      <c r="D193" s="4" t="s">
        <v>624</v>
      </c>
      <c r="E193" s="4" t="s">
        <v>56</v>
      </c>
      <c r="F193" s="4" t="s">
        <v>57</v>
      </c>
      <c r="G193" s="4" t="s">
        <v>58</v>
      </c>
      <c r="H193" s="4" t="s">
        <v>59</v>
      </c>
      <c r="I193" s="3"/>
      <c r="J193" s="3"/>
      <c r="K193" s="3"/>
      <c r="L193" s="3"/>
      <c r="M193" s="3"/>
      <c r="N193" s="3"/>
      <c r="O193" s="3"/>
      <c r="P193" s="8"/>
      <c r="Q193" s="8"/>
      <c r="R193" s="3"/>
      <c r="S193" s="3"/>
      <c r="T193" s="3"/>
      <c r="U193" s="5" t="str">
        <f t="shared" si="10"/>
        <v/>
      </c>
    </row>
    <row r="194" spans="1:21" ht="28" customHeight="1" x14ac:dyDescent="0.35">
      <c r="A194" s="4">
        <v>3</v>
      </c>
      <c r="B194" s="4" t="s">
        <v>53</v>
      </c>
      <c r="C194" s="4" t="s">
        <v>625</v>
      </c>
      <c r="D194" s="4" t="s">
        <v>626</v>
      </c>
      <c r="E194" s="4" t="s">
        <v>56</v>
      </c>
      <c r="F194" s="4" t="s">
        <v>57</v>
      </c>
      <c r="G194" s="4" t="s">
        <v>58</v>
      </c>
      <c r="H194" s="4" t="s">
        <v>59</v>
      </c>
      <c r="I194" s="3"/>
      <c r="J194" s="3"/>
      <c r="K194" s="3"/>
      <c r="L194" s="3"/>
      <c r="M194" s="3"/>
      <c r="N194" s="3"/>
      <c r="O194" s="3"/>
      <c r="P194" s="8"/>
      <c r="Q194" s="8"/>
      <c r="R194" s="3"/>
      <c r="S194" s="3"/>
      <c r="T194" s="3"/>
      <c r="U194" s="5" t="str">
        <f t="shared" si="10"/>
        <v/>
      </c>
    </row>
    <row r="195" spans="1:21" ht="28" customHeight="1" x14ac:dyDescent="0.35">
      <c r="A195" s="4">
        <v>4</v>
      </c>
      <c r="B195" s="4" t="s">
        <v>53</v>
      </c>
      <c r="C195" s="4" t="s">
        <v>627</v>
      </c>
      <c r="D195" s="4" t="s">
        <v>628</v>
      </c>
      <c r="E195" s="4" t="s">
        <v>56</v>
      </c>
      <c r="F195" s="4" t="s">
        <v>57</v>
      </c>
      <c r="G195" s="4" t="s">
        <v>58</v>
      </c>
      <c r="H195" s="4" t="s">
        <v>59</v>
      </c>
      <c r="I195" s="3"/>
      <c r="J195" s="3"/>
      <c r="K195" s="3"/>
      <c r="L195" s="3"/>
      <c r="M195" s="3"/>
      <c r="N195" s="3"/>
      <c r="O195" s="3"/>
      <c r="P195" s="8"/>
      <c r="Q195" s="8"/>
      <c r="R195" s="3"/>
      <c r="S195" s="3"/>
      <c r="T195" s="3"/>
      <c r="U195" s="5" t="str">
        <f t="shared" si="10"/>
        <v/>
      </c>
    </row>
    <row r="196" spans="1:21" ht="28" customHeight="1" x14ac:dyDescent="0.35">
      <c r="A196" s="4">
        <v>5</v>
      </c>
      <c r="B196" s="4" t="s">
        <v>66</v>
      </c>
      <c r="C196" s="4" t="s">
        <v>67</v>
      </c>
      <c r="D196" s="4" t="s">
        <v>68</v>
      </c>
      <c r="E196" s="4" t="s">
        <v>69</v>
      </c>
      <c r="F196" s="4" t="s">
        <v>57</v>
      </c>
      <c r="G196" s="4" t="s">
        <v>58</v>
      </c>
      <c r="H196" s="4" t="s">
        <v>59</v>
      </c>
      <c r="I196" s="3"/>
      <c r="J196" s="3"/>
      <c r="K196" s="3"/>
      <c r="L196" s="3"/>
      <c r="M196" s="3"/>
      <c r="N196" s="3"/>
      <c r="O196" s="3"/>
      <c r="P196" s="8"/>
      <c r="Q196" s="8"/>
      <c r="R196" s="3"/>
      <c r="S196" s="3"/>
      <c r="T196" s="3"/>
      <c r="U196" s="5" t="str">
        <f t="shared" si="10"/>
        <v/>
      </c>
    </row>
    <row r="197" spans="1:21" ht="28" customHeight="1" x14ac:dyDescent="0.35">
      <c r="A197" s="4">
        <v>6</v>
      </c>
      <c r="B197" s="4" t="s">
        <v>70</v>
      </c>
      <c r="C197" s="4" t="s">
        <v>71</v>
      </c>
      <c r="D197" s="4" t="s">
        <v>72</v>
      </c>
      <c r="E197" s="4" t="s">
        <v>70</v>
      </c>
      <c r="F197" s="4" t="s">
        <v>57</v>
      </c>
      <c r="G197" s="4" t="s">
        <v>58</v>
      </c>
      <c r="H197" s="4" t="s">
        <v>59</v>
      </c>
      <c r="I197" s="3"/>
      <c r="J197" s="3"/>
      <c r="K197" s="3"/>
      <c r="L197" s="3"/>
      <c r="M197" s="3"/>
      <c r="N197" s="3"/>
      <c r="O197" s="3"/>
      <c r="P197" s="8"/>
      <c r="Q197" s="8"/>
      <c r="R197" s="3"/>
      <c r="S197" s="3"/>
      <c r="T197" s="3"/>
      <c r="U197" s="5" t="str">
        <f t="shared" si="10"/>
        <v/>
      </c>
    </row>
    <row r="198" spans="1:21" ht="28" customHeight="1" x14ac:dyDescent="0.35">
      <c r="A198" s="4">
        <v>7</v>
      </c>
      <c r="B198" s="4" t="s">
        <v>73</v>
      </c>
      <c r="C198" s="4" t="s">
        <v>74</v>
      </c>
      <c r="D198" s="4" t="s">
        <v>75</v>
      </c>
      <c r="E198" s="4" t="s">
        <v>69</v>
      </c>
      <c r="F198" s="4" t="s">
        <v>57</v>
      </c>
      <c r="G198" s="4" t="s">
        <v>58</v>
      </c>
      <c r="H198" s="4" t="s">
        <v>76</v>
      </c>
      <c r="I198" s="3"/>
      <c r="J198" s="3"/>
      <c r="K198" s="3"/>
      <c r="L198" s="3"/>
      <c r="M198" s="3"/>
      <c r="N198" s="3"/>
      <c r="O198" s="3"/>
      <c r="P198" s="8"/>
      <c r="Q198" s="8"/>
      <c r="R198" s="3"/>
      <c r="S198" s="3"/>
      <c r="T198" s="3"/>
      <c r="U198" s="5" t="str">
        <f t="shared" si="10"/>
        <v/>
      </c>
    </row>
    <row r="199" spans="1:21" ht="28" customHeight="1" x14ac:dyDescent="0.35">
      <c r="A199" s="4">
        <v>8</v>
      </c>
      <c r="B199" s="4" t="s">
        <v>77</v>
      </c>
      <c r="C199" s="4" t="s">
        <v>78</v>
      </c>
      <c r="D199" s="4" t="s">
        <v>79</v>
      </c>
      <c r="E199" s="4" t="s">
        <v>80</v>
      </c>
      <c r="F199" s="4" t="s">
        <v>57</v>
      </c>
      <c r="G199" s="4" t="s">
        <v>58</v>
      </c>
      <c r="H199" s="4" t="s">
        <v>59</v>
      </c>
      <c r="I199" s="3"/>
      <c r="J199" s="3"/>
      <c r="K199" s="3"/>
      <c r="L199" s="3"/>
      <c r="M199" s="3"/>
      <c r="N199" s="3"/>
      <c r="O199" s="3"/>
      <c r="P199" s="8"/>
      <c r="Q199" s="8"/>
      <c r="R199" s="3"/>
      <c r="S199" s="3"/>
      <c r="T199" s="3"/>
      <c r="U199" s="5" t="str">
        <f t="shared" si="10"/>
        <v/>
      </c>
    </row>
    <row r="200" spans="1:21" ht="28" customHeight="1" x14ac:dyDescent="0.35">
      <c r="A200" s="4">
        <v>9</v>
      </c>
      <c r="B200" s="4" t="s">
        <v>81</v>
      </c>
      <c r="C200" s="4" t="s">
        <v>82</v>
      </c>
      <c r="D200" s="4" t="s">
        <v>83</v>
      </c>
      <c r="E200" s="4" t="s">
        <v>84</v>
      </c>
      <c r="F200" s="4" t="s">
        <v>57</v>
      </c>
      <c r="G200" s="4" t="s">
        <v>58</v>
      </c>
      <c r="H200" s="4" t="s">
        <v>85</v>
      </c>
      <c r="I200" s="3"/>
      <c r="J200" s="3"/>
      <c r="K200" s="3"/>
      <c r="L200" s="3"/>
      <c r="M200" s="3"/>
      <c r="N200" s="3"/>
      <c r="O200" s="3"/>
      <c r="P200" s="8"/>
      <c r="Q200" s="8"/>
      <c r="R200" s="3"/>
      <c r="S200" s="3"/>
      <c r="T200" s="3"/>
      <c r="U200" s="5" t="str">
        <f t="shared" si="10"/>
        <v/>
      </c>
    </row>
    <row r="201" spans="1:21" ht="28" customHeight="1" x14ac:dyDescent="0.35">
      <c r="A201" s="4">
        <v>10</v>
      </c>
      <c r="B201" s="4" t="s">
        <v>86</v>
      </c>
      <c r="C201" s="4" t="s">
        <v>87</v>
      </c>
      <c r="D201" s="4" t="s">
        <v>88</v>
      </c>
      <c r="E201" s="4" t="s">
        <v>69</v>
      </c>
      <c r="F201" s="4" t="s">
        <v>57</v>
      </c>
      <c r="G201" s="4" t="s">
        <v>58</v>
      </c>
      <c r="H201" s="4" t="s">
        <v>59</v>
      </c>
      <c r="I201" s="3"/>
      <c r="J201" s="3"/>
      <c r="K201" s="3"/>
      <c r="L201" s="3"/>
      <c r="M201" s="3"/>
      <c r="N201" s="3"/>
      <c r="O201" s="3"/>
      <c r="P201" s="8"/>
      <c r="Q201" s="8"/>
      <c r="R201" s="3"/>
      <c r="S201" s="3"/>
      <c r="T201" s="3"/>
      <c r="U201" s="5" t="str">
        <f t="shared" si="10"/>
        <v/>
      </c>
    </row>
    <row r="202" spans="1:21" ht="28" customHeight="1" x14ac:dyDescent="0.35">
      <c r="A202" s="4">
        <v>11</v>
      </c>
      <c r="B202" s="4" t="s">
        <v>89</v>
      </c>
      <c r="C202" s="4" t="s">
        <v>90</v>
      </c>
      <c r="D202" s="4" t="s">
        <v>91</v>
      </c>
      <c r="E202" s="4" t="s">
        <v>84</v>
      </c>
      <c r="F202" s="4" t="s">
        <v>57</v>
      </c>
      <c r="G202" s="4" t="s">
        <v>58</v>
      </c>
      <c r="H202" s="4" t="s">
        <v>59</v>
      </c>
      <c r="I202" s="3"/>
      <c r="J202" s="3"/>
      <c r="K202" s="3"/>
      <c r="L202" s="3"/>
      <c r="M202" s="3"/>
      <c r="N202" s="3"/>
      <c r="O202" s="3"/>
      <c r="P202" s="8"/>
      <c r="Q202" s="8"/>
      <c r="R202" s="3"/>
      <c r="S202" s="3"/>
      <c r="T202" s="3"/>
      <c r="U202" s="5" t="str">
        <f t="shared" si="10"/>
        <v/>
      </c>
    </row>
    <row r="203" spans="1:21" ht="28" customHeight="1" x14ac:dyDescent="0.35">
      <c r="A203" s="4">
        <v>12</v>
      </c>
      <c r="B203" s="4" t="s">
        <v>92</v>
      </c>
      <c r="C203" s="4" t="s">
        <v>93</v>
      </c>
      <c r="D203" s="4" t="s">
        <v>94</v>
      </c>
      <c r="E203" s="4" t="s">
        <v>69</v>
      </c>
      <c r="F203" s="4" t="s">
        <v>95</v>
      </c>
      <c r="G203" s="4" t="s">
        <v>96</v>
      </c>
      <c r="H203" s="4" t="s">
        <v>59</v>
      </c>
      <c r="I203" s="3"/>
      <c r="J203" s="3"/>
      <c r="K203" s="3"/>
      <c r="L203" s="3"/>
      <c r="M203" s="3"/>
      <c r="N203" s="3"/>
      <c r="O203" s="3"/>
      <c r="P203" s="8"/>
      <c r="Q203" s="8"/>
      <c r="R203" s="3"/>
      <c r="S203" s="3"/>
      <c r="T203" s="3"/>
      <c r="U203" s="5" t="str">
        <f t="shared" si="10"/>
        <v/>
      </c>
    </row>
    <row r="204" spans="1:21" ht="28" customHeight="1" x14ac:dyDescent="0.35">
      <c r="A204" s="4">
        <v>13</v>
      </c>
      <c r="B204" s="4" t="s">
        <v>97</v>
      </c>
      <c r="C204" s="4" t="s">
        <v>98</v>
      </c>
      <c r="D204" s="4" t="s">
        <v>99</v>
      </c>
      <c r="E204" s="4" t="s">
        <v>69</v>
      </c>
      <c r="F204" s="4" t="s">
        <v>95</v>
      </c>
      <c r="G204" s="4" t="s">
        <v>96</v>
      </c>
      <c r="H204" s="4" t="s">
        <v>59</v>
      </c>
      <c r="I204" s="3"/>
      <c r="J204" s="3"/>
      <c r="K204" s="3"/>
      <c r="L204" s="3"/>
      <c r="M204" s="3"/>
      <c r="N204" s="3"/>
      <c r="O204" s="3"/>
      <c r="P204" s="8"/>
      <c r="Q204" s="8"/>
      <c r="R204" s="3"/>
      <c r="S204" s="3"/>
      <c r="T204" s="3"/>
      <c r="U204" s="5" t="str">
        <f t="shared" si="10"/>
        <v/>
      </c>
    </row>
    <row r="205" spans="1:21" ht="28" customHeight="1" x14ac:dyDescent="0.35">
      <c r="A205" s="4">
        <v>14</v>
      </c>
      <c r="B205" s="4" t="s">
        <v>97</v>
      </c>
      <c r="C205" s="4" t="s">
        <v>100</v>
      </c>
      <c r="D205" s="4" t="s">
        <v>101</v>
      </c>
      <c r="E205" s="4" t="s">
        <v>69</v>
      </c>
      <c r="F205" s="4" t="s">
        <v>95</v>
      </c>
      <c r="G205" s="4" t="s">
        <v>102</v>
      </c>
      <c r="H205" s="4" t="s">
        <v>59</v>
      </c>
      <c r="I205" s="3"/>
      <c r="J205" s="3"/>
      <c r="K205" s="3"/>
      <c r="L205" s="3"/>
      <c r="M205" s="3"/>
      <c r="N205" s="3"/>
      <c r="O205" s="3"/>
      <c r="P205" s="8"/>
      <c r="Q205" s="8"/>
      <c r="R205" s="3"/>
      <c r="S205" s="3"/>
      <c r="T205" s="3"/>
      <c r="U205" s="5" t="str">
        <f t="shared" si="10"/>
        <v/>
      </c>
    </row>
    <row r="206" spans="1:21" ht="28" customHeight="1" x14ac:dyDescent="0.35">
      <c r="A206" s="4">
        <v>15</v>
      </c>
      <c r="B206" s="4" t="s">
        <v>103</v>
      </c>
      <c r="C206" s="4" t="s">
        <v>104</v>
      </c>
      <c r="D206" s="4" t="s">
        <v>105</v>
      </c>
      <c r="E206" s="4" t="s">
        <v>69</v>
      </c>
      <c r="F206" s="4" t="s">
        <v>95</v>
      </c>
      <c r="G206" s="4" t="s">
        <v>96</v>
      </c>
      <c r="H206" s="4" t="s">
        <v>85</v>
      </c>
      <c r="I206" s="3"/>
      <c r="J206" s="3"/>
      <c r="K206" s="3"/>
      <c r="L206" s="3"/>
      <c r="M206" s="3"/>
      <c r="N206" s="3"/>
      <c r="O206" s="3"/>
      <c r="P206" s="8"/>
      <c r="Q206" s="8"/>
      <c r="R206" s="3"/>
      <c r="S206" s="3"/>
      <c r="T206" s="3"/>
      <c r="U206" s="5" t="str">
        <f t="shared" si="10"/>
        <v/>
      </c>
    </row>
    <row r="207" spans="1:21" ht="28" customHeight="1" x14ac:dyDescent="0.35">
      <c r="A207" s="4">
        <v>16</v>
      </c>
      <c r="B207" s="4" t="s">
        <v>106</v>
      </c>
      <c r="C207" s="4" t="s">
        <v>107</v>
      </c>
      <c r="D207" s="4" t="s">
        <v>108</v>
      </c>
      <c r="E207" s="4" t="s">
        <v>109</v>
      </c>
      <c r="F207" s="4" t="s">
        <v>95</v>
      </c>
      <c r="G207" s="4" t="s">
        <v>96</v>
      </c>
      <c r="H207" s="4" t="s">
        <v>59</v>
      </c>
      <c r="I207" s="3"/>
      <c r="J207" s="3"/>
      <c r="K207" s="3"/>
      <c r="L207" s="3"/>
      <c r="M207" s="3"/>
      <c r="N207" s="3"/>
      <c r="O207" s="3"/>
      <c r="P207" s="8"/>
      <c r="Q207" s="8"/>
      <c r="R207" s="3"/>
      <c r="S207" s="3"/>
      <c r="T207" s="3"/>
      <c r="U207" s="5" t="str">
        <f t="shared" si="10"/>
        <v/>
      </c>
    </row>
    <row r="209" spans="1:21" ht="28" customHeight="1" x14ac:dyDescent="0.35">
      <c r="A209" s="9" t="s">
        <v>110</v>
      </c>
      <c r="B209" s="16"/>
      <c r="C209" s="17"/>
      <c r="D209" s="17"/>
      <c r="E209" s="17"/>
      <c r="F209" s="17"/>
      <c r="G209" s="17"/>
      <c r="H209" s="17"/>
      <c r="I209" s="17"/>
      <c r="J209" s="17"/>
      <c r="K209" s="17"/>
      <c r="L209" s="17"/>
      <c r="M209" s="17"/>
      <c r="N209" s="17"/>
      <c r="O209" s="17"/>
      <c r="P209" s="17"/>
      <c r="Q209" s="17"/>
      <c r="R209" s="17"/>
      <c r="S209" s="17"/>
      <c r="T209" s="17"/>
      <c r="U209" s="18"/>
    </row>
    <row r="210" spans="1:21" ht="28" customHeight="1" x14ac:dyDescent="0.35">
      <c r="A210" s="19" t="s">
        <v>637</v>
      </c>
      <c r="B210" s="20"/>
      <c r="C210" s="20"/>
      <c r="D210" s="20"/>
      <c r="E210" s="20"/>
      <c r="F210" s="20"/>
      <c r="G210" s="20"/>
      <c r="H210" s="20"/>
      <c r="I210" s="20"/>
      <c r="J210" s="20"/>
      <c r="K210" s="20"/>
      <c r="L210" s="20"/>
      <c r="M210" s="20"/>
      <c r="N210" s="20"/>
      <c r="O210" s="20"/>
      <c r="P210" s="20"/>
      <c r="Q210" s="20"/>
      <c r="R210" s="20"/>
      <c r="S210" s="20"/>
      <c r="T210" s="20"/>
      <c r="U210" s="21"/>
    </row>
    <row r="211" spans="1:21" ht="28" customHeight="1" x14ac:dyDescent="0.35">
      <c r="A211" s="4" t="s">
        <v>31</v>
      </c>
      <c r="B211" s="3" t="s">
        <v>27</v>
      </c>
      <c r="C211" s="4" t="s">
        <v>32</v>
      </c>
      <c r="D211" s="3"/>
      <c r="E211" s="4" t="s">
        <v>33</v>
      </c>
      <c r="F211" s="8"/>
    </row>
    <row r="212" spans="1:21" ht="28" customHeight="1" x14ac:dyDescent="0.35">
      <c r="A212" s="1" t="s">
        <v>34</v>
      </c>
      <c r="B212" s="1" t="s">
        <v>35</v>
      </c>
      <c r="C212" s="1" t="s">
        <v>36</v>
      </c>
      <c r="D212" s="1" t="s">
        <v>37</v>
      </c>
      <c r="E212" s="1" t="s">
        <v>38</v>
      </c>
      <c r="F212" s="1" t="s">
        <v>39</v>
      </c>
      <c r="G212" s="1" t="s">
        <v>40</v>
      </c>
      <c r="H212" s="1" t="s">
        <v>41</v>
      </c>
      <c r="I212" s="1" t="s">
        <v>42</v>
      </c>
      <c r="J212" s="1" t="s">
        <v>43</v>
      </c>
      <c r="K212" s="1" t="s">
        <v>44</v>
      </c>
      <c r="L212" s="1" t="s">
        <v>45</v>
      </c>
      <c r="M212" s="1" t="s">
        <v>46</v>
      </c>
      <c r="N212" s="1" t="s">
        <v>47</v>
      </c>
      <c r="O212" s="1" t="s">
        <v>48</v>
      </c>
      <c r="P212" s="1" t="s">
        <v>4</v>
      </c>
      <c r="Q212" s="1" t="s">
        <v>49</v>
      </c>
      <c r="R212" s="1" t="s">
        <v>50</v>
      </c>
      <c r="S212" s="1" t="s">
        <v>51</v>
      </c>
      <c r="T212" s="1" t="s">
        <v>52</v>
      </c>
      <c r="U212" s="1" t="s">
        <v>10</v>
      </c>
    </row>
    <row r="213" spans="1:21" ht="28" customHeight="1" x14ac:dyDescent="0.35">
      <c r="A213" s="4">
        <v>1</v>
      </c>
      <c r="B213" s="4" t="s">
        <v>53</v>
      </c>
      <c r="C213" s="4" t="s">
        <v>621</v>
      </c>
      <c r="D213" s="4" t="s">
        <v>622</v>
      </c>
      <c r="E213" s="4" t="s">
        <v>56</v>
      </c>
      <c r="F213" s="4" t="s">
        <v>57</v>
      </c>
      <c r="G213" s="4" t="s">
        <v>58</v>
      </c>
      <c r="H213" s="4" t="s">
        <v>59</v>
      </c>
      <c r="I213" s="3"/>
      <c r="J213" s="3"/>
      <c r="K213" s="3"/>
      <c r="L213" s="3"/>
      <c r="M213" s="3"/>
      <c r="N213" s="3"/>
      <c r="O213" s="3"/>
      <c r="P213" s="8"/>
      <c r="Q213" s="8"/>
      <c r="R213" s="3"/>
      <c r="S213" s="3"/>
      <c r="T213" s="3"/>
      <c r="U213" s="5" t="str">
        <f t="shared" ref="U213:U228" si="11">IF(I213="","",IF(I213="NA","Grey",IF(I213=2,"Green",IF(I213=1,"Amber","Red"))))</f>
        <v/>
      </c>
    </row>
    <row r="214" spans="1:21" ht="28" customHeight="1" x14ac:dyDescent="0.35">
      <c r="A214" s="4">
        <v>2</v>
      </c>
      <c r="B214" s="4" t="s">
        <v>53</v>
      </c>
      <c r="C214" s="4" t="s">
        <v>623</v>
      </c>
      <c r="D214" s="4" t="s">
        <v>624</v>
      </c>
      <c r="E214" s="4" t="s">
        <v>56</v>
      </c>
      <c r="F214" s="4" t="s">
        <v>57</v>
      </c>
      <c r="G214" s="4" t="s">
        <v>58</v>
      </c>
      <c r="H214" s="4" t="s">
        <v>59</v>
      </c>
      <c r="I214" s="3"/>
      <c r="J214" s="3"/>
      <c r="K214" s="3"/>
      <c r="L214" s="3"/>
      <c r="M214" s="3"/>
      <c r="N214" s="3"/>
      <c r="O214" s="3"/>
      <c r="P214" s="8"/>
      <c r="Q214" s="8"/>
      <c r="R214" s="3"/>
      <c r="S214" s="3"/>
      <c r="T214" s="3"/>
      <c r="U214" s="5" t="str">
        <f t="shared" si="11"/>
        <v/>
      </c>
    </row>
    <row r="215" spans="1:21" ht="28" customHeight="1" x14ac:dyDescent="0.35">
      <c r="A215" s="4">
        <v>3</v>
      </c>
      <c r="B215" s="4" t="s">
        <v>53</v>
      </c>
      <c r="C215" s="4" t="s">
        <v>625</v>
      </c>
      <c r="D215" s="4" t="s">
        <v>626</v>
      </c>
      <c r="E215" s="4" t="s">
        <v>56</v>
      </c>
      <c r="F215" s="4" t="s">
        <v>57</v>
      </c>
      <c r="G215" s="4" t="s">
        <v>58</v>
      </c>
      <c r="H215" s="4" t="s">
        <v>59</v>
      </c>
      <c r="I215" s="3"/>
      <c r="J215" s="3"/>
      <c r="K215" s="3"/>
      <c r="L215" s="3"/>
      <c r="M215" s="3"/>
      <c r="N215" s="3"/>
      <c r="O215" s="3"/>
      <c r="P215" s="8"/>
      <c r="Q215" s="8"/>
      <c r="R215" s="3"/>
      <c r="S215" s="3"/>
      <c r="T215" s="3"/>
      <c r="U215" s="5" t="str">
        <f t="shared" si="11"/>
        <v/>
      </c>
    </row>
    <row r="216" spans="1:21" ht="28" customHeight="1" x14ac:dyDescent="0.35">
      <c r="A216" s="4">
        <v>4</v>
      </c>
      <c r="B216" s="4" t="s">
        <v>53</v>
      </c>
      <c r="C216" s="4" t="s">
        <v>627</v>
      </c>
      <c r="D216" s="4" t="s">
        <v>628</v>
      </c>
      <c r="E216" s="4" t="s">
        <v>56</v>
      </c>
      <c r="F216" s="4" t="s">
        <v>57</v>
      </c>
      <c r="G216" s="4" t="s">
        <v>58</v>
      </c>
      <c r="H216" s="4" t="s">
        <v>59</v>
      </c>
      <c r="I216" s="3"/>
      <c r="J216" s="3"/>
      <c r="K216" s="3"/>
      <c r="L216" s="3"/>
      <c r="M216" s="3"/>
      <c r="N216" s="3"/>
      <c r="O216" s="3"/>
      <c r="P216" s="8"/>
      <c r="Q216" s="8"/>
      <c r="R216" s="3"/>
      <c r="S216" s="3"/>
      <c r="T216" s="3"/>
      <c r="U216" s="5" t="str">
        <f t="shared" si="11"/>
        <v/>
      </c>
    </row>
    <row r="217" spans="1:21" ht="28" customHeight="1" x14ac:dyDescent="0.35">
      <c r="A217" s="4">
        <v>5</v>
      </c>
      <c r="B217" s="4" t="s">
        <v>66</v>
      </c>
      <c r="C217" s="4" t="s">
        <v>67</v>
      </c>
      <c r="D217" s="4" t="s">
        <v>68</v>
      </c>
      <c r="E217" s="4" t="s">
        <v>69</v>
      </c>
      <c r="F217" s="4" t="s">
        <v>57</v>
      </c>
      <c r="G217" s="4" t="s">
        <v>58</v>
      </c>
      <c r="H217" s="4" t="s">
        <v>59</v>
      </c>
      <c r="I217" s="3"/>
      <c r="J217" s="3"/>
      <c r="K217" s="3"/>
      <c r="L217" s="3"/>
      <c r="M217" s="3"/>
      <c r="N217" s="3"/>
      <c r="O217" s="3"/>
      <c r="P217" s="8"/>
      <c r="Q217" s="8"/>
      <c r="R217" s="3"/>
      <c r="S217" s="3"/>
      <c r="T217" s="3"/>
      <c r="U217" s="5" t="str">
        <f t="shared" si="11"/>
        <v/>
      </c>
    </row>
    <row r="218" spans="1:21" ht="28" customHeight="1" x14ac:dyDescent="0.35">
      <c r="A218" s="4">
        <v>6</v>
      </c>
      <c r="B218" s="4" t="s">
        <v>70</v>
      </c>
      <c r="C218" s="4" t="s">
        <v>71</v>
      </c>
      <c r="D218" s="4" t="s">
        <v>72</v>
      </c>
      <c r="E218" s="4" t="s">
        <v>70</v>
      </c>
      <c r="F218" s="4" t="s">
        <v>57</v>
      </c>
      <c r="G218" s="4" t="s">
        <v>58</v>
      </c>
      <c r="H218" s="4" t="s">
        <v>59</v>
      </c>
      <c r="I218" s="3"/>
      <c r="J218" s="3"/>
      <c r="K218" s="3"/>
      <c r="L218" s="3"/>
      <c r="M218" s="3"/>
      <c r="N218" s="3"/>
      <c r="O218" s="3"/>
      <c r="P218" s="8"/>
      <c r="Q218" s="8"/>
      <c r="R218" s="3"/>
      <c r="S218" s="3"/>
      <c r="T218" s="3"/>
      <c r="U218" s="5" t="str">
        <f t="shared" si="11"/>
        <v/>
      </c>
    </row>
    <row r="219" spans="1:21" ht="28" customHeight="1" x14ac:dyDescent="0.35">
      <c r="A219" s="4">
        <v>7</v>
      </c>
      <c r="B219" s="4" t="s">
        <v>73</v>
      </c>
      <c r="C219" s="4" t="s">
        <v>74</v>
      </c>
      <c r="D219" s="4" t="s">
        <v>75</v>
      </c>
      <c r="E219" s="4" t="s">
        <v>69</v>
      </c>
      <c r="F219" s="4" t="s">
        <v>57</v>
      </c>
      <c r="G219" s="4" t="s">
        <v>58</v>
      </c>
      <c r="H219" s="4" t="s">
        <v>76</v>
      </c>
      <c r="I219" s="3"/>
      <c r="J219" s="3"/>
      <c r="K219" s="3"/>
      <c r="L219" s="3"/>
      <c r="M219" s="3"/>
      <c r="N219" s="3"/>
      <c r="O219" s="3"/>
      <c r="P219" s="8"/>
      <c r="Q219" s="8"/>
      <c r="R219" s="3"/>
      <c r="S219" s="3"/>
      <c r="T219" s="3"/>
      <c r="U219" s="5" t="str">
        <f t="shared" si="11"/>
        <v/>
      </c>
    </row>
    <row r="220" spans="1:21" ht="28" customHeight="1" x14ac:dyDescent="0.35">
      <c r="A220" s="4">
        <v>8</v>
      </c>
      <c r="B220" s="4" t="s">
        <v>77</v>
      </c>
      <c r="C220" s="4" t="s">
        <v>78</v>
      </c>
      <c r="D220" s="4" t="s">
        <v>79</v>
      </c>
      <c r="E220" s="4" t="s">
        <v>80</v>
      </c>
      <c r="F220" s="4" t="s">
        <v>57</v>
      </c>
      <c r="G220" s="4" t="s">
        <v>58</v>
      </c>
      <c r="H220" s="4" t="s">
        <v>59</v>
      </c>
      <c r="I220" s="3"/>
      <c r="J220" s="3"/>
      <c r="K220" s="3"/>
      <c r="L220" s="3"/>
      <c r="M220" s="3"/>
      <c r="N220" s="3"/>
      <c r="O220" s="3"/>
      <c r="P220" s="8"/>
      <c r="Q220" s="8"/>
      <c r="R220" s="3"/>
      <c r="S220" s="3"/>
      <c r="T220" s="3"/>
      <c r="U220" s="5" t="str">
        <f t="shared" si="11"/>
        <v/>
      </c>
    </row>
    <row r="221" spans="1:21" ht="28" customHeight="1" x14ac:dyDescent="0.35">
      <c r="A221" s="4">
        <v>9</v>
      </c>
      <c r="B221" s="4" t="s">
        <v>81</v>
      </c>
      <c r="C221" s="4" t="s">
        <v>82</v>
      </c>
      <c r="D221" s="4" t="s">
        <v>83</v>
      </c>
      <c r="E221" s="4" t="s">
        <v>84</v>
      </c>
      <c r="F221" s="4" t="s">
        <v>57</v>
      </c>
      <c r="G221" s="4" t="s">
        <v>58</v>
      </c>
      <c r="H221" s="4" t="s">
        <v>85</v>
      </c>
      <c r="I221" s="3"/>
      <c r="J221" s="3"/>
      <c r="K221" s="3"/>
      <c r="L221" s="3"/>
      <c r="M221" s="3"/>
      <c r="N221" s="3"/>
      <c r="O221" s="3"/>
      <c r="P221" s="8"/>
      <c r="Q221" s="8"/>
      <c r="R221" s="3"/>
      <c r="S221" s="3"/>
      <c r="T221" s="3"/>
      <c r="U221" s="5" t="str">
        <f t="shared" si="11"/>
        <v/>
      </c>
    </row>
    <row r="222" spans="1:21" ht="28" customHeight="1" x14ac:dyDescent="0.35">
      <c r="A222" s="4">
        <v>10</v>
      </c>
      <c r="B222" s="4" t="s">
        <v>86</v>
      </c>
      <c r="C222" s="4" t="s">
        <v>87</v>
      </c>
      <c r="D222" s="4" t="s">
        <v>88</v>
      </c>
      <c r="E222" s="4" t="s">
        <v>69</v>
      </c>
      <c r="F222" s="4" t="s">
        <v>57</v>
      </c>
      <c r="G222" s="4" t="s">
        <v>58</v>
      </c>
      <c r="H222" s="4" t="s">
        <v>59</v>
      </c>
      <c r="I222" s="3"/>
      <c r="J222" s="3"/>
      <c r="K222" s="3"/>
      <c r="L222" s="3"/>
      <c r="M222" s="3"/>
      <c r="N222" s="3"/>
      <c r="O222" s="3"/>
      <c r="P222" s="8"/>
      <c r="Q222" s="8"/>
      <c r="R222" s="3"/>
      <c r="S222" s="3"/>
      <c r="T222" s="3"/>
      <c r="U222" s="5" t="str">
        <f t="shared" si="11"/>
        <v/>
      </c>
    </row>
    <row r="223" spans="1:21" ht="28" customHeight="1" x14ac:dyDescent="0.35">
      <c r="A223" s="4">
        <v>11</v>
      </c>
      <c r="B223" s="4" t="s">
        <v>89</v>
      </c>
      <c r="C223" s="4" t="s">
        <v>90</v>
      </c>
      <c r="D223" s="4" t="s">
        <v>91</v>
      </c>
      <c r="E223" s="4" t="s">
        <v>84</v>
      </c>
      <c r="F223" s="4" t="s">
        <v>57</v>
      </c>
      <c r="G223" s="4" t="s">
        <v>58</v>
      </c>
      <c r="H223" s="4" t="s">
        <v>59</v>
      </c>
      <c r="I223" s="3"/>
      <c r="J223" s="3"/>
      <c r="K223" s="3"/>
      <c r="L223" s="3"/>
      <c r="M223" s="3"/>
      <c r="N223" s="3"/>
      <c r="O223" s="3"/>
      <c r="P223" s="8"/>
      <c r="Q223" s="8"/>
      <c r="R223" s="3"/>
      <c r="S223" s="3"/>
      <c r="T223" s="3"/>
      <c r="U223" s="5" t="str">
        <f t="shared" si="11"/>
        <v/>
      </c>
    </row>
    <row r="224" spans="1:21" ht="28" customHeight="1" x14ac:dyDescent="0.35">
      <c r="A224" s="4">
        <v>12</v>
      </c>
      <c r="B224" s="4" t="s">
        <v>92</v>
      </c>
      <c r="C224" s="4" t="s">
        <v>93</v>
      </c>
      <c r="D224" s="4" t="s">
        <v>94</v>
      </c>
      <c r="E224" s="4" t="s">
        <v>69</v>
      </c>
      <c r="F224" s="4" t="s">
        <v>95</v>
      </c>
      <c r="G224" s="4" t="s">
        <v>96</v>
      </c>
      <c r="H224" s="4" t="s">
        <v>59</v>
      </c>
      <c r="I224" s="3"/>
      <c r="J224" s="3"/>
      <c r="K224" s="3"/>
      <c r="L224" s="3"/>
      <c r="M224" s="3"/>
      <c r="N224" s="3"/>
      <c r="O224" s="3"/>
      <c r="P224" s="8"/>
      <c r="Q224" s="8"/>
      <c r="R224" s="3"/>
      <c r="S224" s="3"/>
      <c r="T224" s="3"/>
      <c r="U224" s="5" t="str">
        <f t="shared" si="11"/>
        <v/>
      </c>
    </row>
    <row r="225" spans="1:21" ht="28" customHeight="1" x14ac:dyDescent="0.35">
      <c r="A225" s="4">
        <v>13</v>
      </c>
      <c r="B225" s="4" t="s">
        <v>97</v>
      </c>
      <c r="C225" s="4" t="s">
        <v>98</v>
      </c>
      <c r="D225" s="4" t="s">
        <v>99</v>
      </c>
      <c r="E225" s="4" t="s">
        <v>69</v>
      </c>
      <c r="F225" s="4" t="s">
        <v>95</v>
      </c>
      <c r="G225" s="4" t="s">
        <v>96</v>
      </c>
      <c r="H225" s="4" t="s">
        <v>59</v>
      </c>
      <c r="I225" s="3"/>
      <c r="J225" s="3"/>
      <c r="K225" s="3"/>
      <c r="L225" s="3"/>
      <c r="M225" s="3"/>
      <c r="N225" s="3"/>
      <c r="O225" s="3"/>
      <c r="P225" s="8"/>
      <c r="Q225" s="8"/>
      <c r="R225" s="3"/>
      <c r="S225" s="3"/>
      <c r="T225" s="3"/>
      <c r="U225" s="5" t="str">
        <f t="shared" si="11"/>
        <v/>
      </c>
    </row>
    <row r="226" spans="1:21" ht="28" customHeight="1" x14ac:dyDescent="0.35">
      <c r="A226" s="4">
        <v>14</v>
      </c>
      <c r="B226" s="4" t="s">
        <v>97</v>
      </c>
      <c r="C226" s="4" t="s">
        <v>100</v>
      </c>
      <c r="D226" s="4" t="s">
        <v>101</v>
      </c>
      <c r="E226" s="4" t="s">
        <v>69</v>
      </c>
      <c r="F226" s="4" t="s">
        <v>95</v>
      </c>
      <c r="G226" s="4" t="s">
        <v>102</v>
      </c>
      <c r="H226" s="4" t="s">
        <v>59</v>
      </c>
      <c r="I226" s="3"/>
      <c r="J226" s="3"/>
      <c r="K226" s="3"/>
      <c r="L226" s="3"/>
      <c r="M226" s="3"/>
      <c r="N226" s="3"/>
      <c r="O226" s="3"/>
      <c r="P226" s="8"/>
      <c r="Q226" s="8"/>
      <c r="R226" s="3"/>
      <c r="S226" s="3"/>
      <c r="T226" s="3"/>
      <c r="U226" s="5" t="str">
        <f t="shared" si="11"/>
        <v/>
      </c>
    </row>
    <row r="227" spans="1:21" ht="28" customHeight="1" x14ac:dyDescent="0.35">
      <c r="A227" s="4">
        <v>15</v>
      </c>
      <c r="B227" s="4" t="s">
        <v>103</v>
      </c>
      <c r="C227" s="4" t="s">
        <v>104</v>
      </c>
      <c r="D227" s="4" t="s">
        <v>105</v>
      </c>
      <c r="E227" s="4" t="s">
        <v>69</v>
      </c>
      <c r="F227" s="4" t="s">
        <v>95</v>
      </c>
      <c r="G227" s="4" t="s">
        <v>96</v>
      </c>
      <c r="H227" s="4" t="s">
        <v>85</v>
      </c>
      <c r="I227" s="3"/>
      <c r="J227" s="3"/>
      <c r="K227" s="3"/>
      <c r="L227" s="3"/>
      <c r="M227" s="3"/>
      <c r="N227" s="3"/>
      <c r="O227" s="3"/>
      <c r="P227" s="8"/>
      <c r="Q227" s="8"/>
      <c r="R227" s="3"/>
      <c r="S227" s="3"/>
      <c r="T227" s="3"/>
      <c r="U227" s="5" t="str">
        <f t="shared" si="11"/>
        <v/>
      </c>
    </row>
    <row r="228" spans="1:21" ht="28" customHeight="1" x14ac:dyDescent="0.35">
      <c r="A228" s="4">
        <v>16</v>
      </c>
      <c r="B228" s="4" t="s">
        <v>106</v>
      </c>
      <c r="C228" s="4" t="s">
        <v>107</v>
      </c>
      <c r="D228" s="4" t="s">
        <v>108</v>
      </c>
      <c r="E228" s="4" t="s">
        <v>109</v>
      </c>
      <c r="F228" s="4" t="s">
        <v>95</v>
      </c>
      <c r="G228" s="4" t="s">
        <v>96</v>
      </c>
      <c r="H228" s="4" t="s">
        <v>59</v>
      </c>
      <c r="I228" s="3"/>
      <c r="J228" s="3"/>
      <c r="K228" s="3"/>
      <c r="L228" s="3"/>
      <c r="M228" s="3"/>
      <c r="N228" s="3"/>
      <c r="O228" s="3"/>
      <c r="P228" s="8"/>
      <c r="Q228" s="8"/>
      <c r="R228" s="3"/>
      <c r="S228" s="3"/>
      <c r="T228" s="3"/>
      <c r="U228" s="5" t="str">
        <f t="shared" si="11"/>
        <v/>
      </c>
    </row>
    <row r="230" spans="1:21" ht="28" customHeight="1" x14ac:dyDescent="0.35">
      <c r="A230" s="9" t="s">
        <v>110</v>
      </c>
      <c r="B230" s="16"/>
      <c r="C230" s="17"/>
      <c r="D230" s="17"/>
      <c r="E230" s="17"/>
      <c r="F230" s="17"/>
      <c r="G230" s="17"/>
      <c r="H230" s="17"/>
      <c r="I230" s="17"/>
      <c r="J230" s="17"/>
      <c r="K230" s="17"/>
      <c r="L230" s="17"/>
      <c r="M230" s="17"/>
      <c r="N230" s="17"/>
      <c r="O230" s="17"/>
      <c r="P230" s="17"/>
      <c r="Q230" s="17"/>
      <c r="R230" s="17"/>
      <c r="S230" s="17"/>
      <c r="T230" s="17"/>
      <c r="U230" s="18"/>
    </row>
    <row r="231" spans="1:21" ht="28" customHeight="1" x14ac:dyDescent="0.35">
      <c r="A231" s="19" t="s">
        <v>638</v>
      </c>
      <c r="B231" s="20"/>
      <c r="C231" s="20"/>
      <c r="D231" s="20"/>
      <c r="E231" s="20"/>
      <c r="F231" s="20"/>
      <c r="G231" s="20"/>
      <c r="H231" s="20"/>
      <c r="I231" s="20"/>
      <c r="J231" s="20"/>
      <c r="K231" s="20"/>
      <c r="L231" s="20"/>
      <c r="M231" s="20"/>
      <c r="N231" s="20"/>
      <c r="O231" s="20"/>
      <c r="P231" s="20"/>
      <c r="Q231" s="20"/>
      <c r="R231" s="20"/>
      <c r="S231" s="20"/>
      <c r="T231" s="20"/>
      <c r="U231" s="21"/>
    </row>
    <row r="232" spans="1:21" ht="28" customHeight="1" x14ac:dyDescent="0.35">
      <c r="A232" s="4" t="s">
        <v>31</v>
      </c>
      <c r="B232" s="3" t="s">
        <v>28</v>
      </c>
      <c r="C232" s="4" t="s">
        <v>32</v>
      </c>
      <c r="D232" s="3"/>
      <c r="E232" s="4" t="s">
        <v>33</v>
      </c>
      <c r="F232" s="8"/>
    </row>
    <row r="233" spans="1:21" ht="28" customHeight="1" x14ac:dyDescent="0.35">
      <c r="A233" s="1" t="s">
        <v>34</v>
      </c>
      <c r="B233" s="1" t="s">
        <v>35</v>
      </c>
      <c r="C233" s="1" t="s">
        <v>36</v>
      </c>
      <c r="D233" s="1" t="s">
        <v>37</v>
      </c>
      <c r="E233" s="1" t="s">
        <v>38</v>
      </c>
      <c r="F233" s="1" t="s">
        <v>39</v>
      </c>
      <c r="G233" s="1" t="s">
        <v>40</v>
      </c>
      <c r="H233" s="1" t="s">
        <v>41</v>
      </c>
      <c r="I233" s="1" t="s">
        <v>42</v>
      </c>
      <c r="J233" s="1" t="s">
        <v>43</v>
      </c>
      <c r="K233" s="1" t="s">
        <v>44</v>
      </c>
      <c r="L233" s="1" t="s">
        <v>45</v>
      </c>
      <c r="M233" s="1" t="s">
        <v>46</v>
      </c>
      <c r="N233" s="1" t="s">
        <v>47</v>
      </c>
      <c r="O233" s="1" t="s">
        <v>48</v>
      </c>
      <c r="P233" s="1" t="s">
        <v>4</v>
      </c>
      <c r="Q233" s="1" t="s">
        <v>49</v>
      </c>
      <c r="R233" s="1" t="s">
        <v>50</v>
      </c>
      <c r="S233" s="1" t="s">
        <v>51</v>
      </c>
      <c r="T233" s="1" t="s">
        <v>52</v>
      </c>
      <c r="U233" s="1" t="s">
        <v>10</v>
      </c>
    </row>
    <row r="234" spans="1:21" ht="28" customHeight="1" x14ac:dyDescent="0.35">
      <c r="A234" s="4">
        <v>1</v>
      </c>
      <c r="B234" s="4" t="s">
        <v>53</v>
      </c>
      <c r="C234" s="4" t="s">
        <v>621</v>
      </c>
      <c r="D234" s="4" t="s">
        <v>622</v>
      </c>
      <c r="E234" s="4" t="s">
        <v>56</v>
      </c>
      <c r="F234" s="4" t="s">
        <v>57</v>
      </c>
      <c r="G234" s="4" t="s">
        <v>58</v>
      </c>
      <c r="H234" s="4" t="s">
        <v>59</v>
      </c>
      <c r="I234" s="3"/>
      <c r="J234" s="3"/>
      <c r="K234" s="3"/>
      <c r="L234" s="3"/>
      <c r="M234" s="3"/>
      <c r="N234" s="3"/>
      <c r="O234" s="3"/>
      <c r="P234" s="8"/>
      <c r="Q234" s="8"/>
      <c r="R234" s="3"/>
      <c r="S234" s="3"/>
      <c r="T234" s="3"/>
      <c r="U234" s="5" t="str">
        <f t="shared" ref="U234:U249" si="12">IF(I234="","",IF(I234="NA","Grey",IF(I234=2,"Green",IF(I234=1,"Amber","Red"))))</f>
        <v/>
      </c>
    </row>
    <row r="235" spans="1:21" ht="28" customHeight="1" x14ac:dyDescent="0.35">
      <c r="A235" s="4">
        <v>2</v>
      </c>
      <c r="B235" s="4" t="s">
        <v>53</v>
      </c>
      <c r="C235" s="4" t="s">
        <v>623</v>
      </c>
      <c r="D235" s="4" t="s">
        <v>624</v>
      </c>
      <c r="E235" s="4" t="s">
        <v>56</v>
      </c>
      <c r="F235" s="4" t="s">
        <v>57</v>
      </c>
      <c r="G235" s="4" t="s">
        <v>58</v>
      </c>
      <c r="H235" s="4" t="s">
        <v>59</v>
      </c>
      <c r="I235" s="3"/>
      <c r="J235" s="3"/>
      <c r="K235" s="3"/>
      <c r="L235" s="3"/>
      <c r="M235" s="3"/>
      <c r="N235" s="3"/>
      <c r="O235" s="3"/>
      <c r="P235" s="8"/>
      <c r="Q235" s="8"/>
      <c r="R235" s="3"/>
      <c r="S235" s="3"/>
      <c r="T235" s="3"/>
      <c r="U235" s="5" t="str">
        <f t="shared" si="12"/>
        <v/>
      </c>
    </row>
    <row r="236" spans="1:21" ht="28" customHeight="1" x14ac:dyDescent="0.35">
      <c r="A236" s="4">
        <v>3</v>
      </c>
      <c r="B236" s="4" t="s">
        <v>53</v>
      </c>
      <c r="C236" s="4" t="s">
        <v>625</v>
      </c>
      <c r="D236" s="4" t="s">
        <v>626</v>
      </c>
      <c r="E236" s="4" t="s">
        <v>56</v>
      </c>
      <c r="F236" s="4" t="s">
        <v>57</v>
      </c>
      <c r="G236" s="4" t="s">
        <v>58</v>
      </c>
      <c r="H236" s="4" t="s">
        <v>59</v>
      </c>
      <c r="I236" s="3"/>
      <c r="J236" s="3"/>
      <c r="K236" s="3"/>
      <c r="L236" s="3"/>
      <c r="M236" s="3"/>
      <c r="N236" s="3"/>
      <c r="O236" s="3"/>
      <c r="P236" s="8"/>
      <c r="Q236" s="8"/>
      <c r="R236" s="3"/>
      <c r="S236" s="3"/>
      <c r="T236" s="3"/>
      <c r="U236" s="5" t="str">
        <f t="shared" si="12"/>
        <v/>
      </c>
    </row>
    <row r="237" spans="1:21" ht="28" customHeight="1" x14ac:dyDescent="0.35">
      <c r="A237" s="4">
        <v>4</v>
      </c>
      <c r="B237" s="4" t="s">
        <v>53</v>
      </c>
      <c r="C237" s="4" t="s">
        <v>627</v>
      </c>
      <c r="D237" s="4" t="s">
        <v>628</v>
      </c>
      <c r="E237" s="4" t="s">
        <v>56</v>
      </c>
      <c r="F237" s="4" t="s">
        <v>57</v>
      </c>
      <c r="G237" s="4" t="s">
        <v>58</v>
      </c>
      <c r="H237" s="4" t="s">
        <v>59</v>
      </c>
      <c r="I237" s="3"/>
      <c r="J237" s="3"/>
      <c r="K237" s="3"/>
      <c r="L237" s="3"/>
      <c r="M237" s="3"/>
      <c r="N237" s="3"/>
      <c r="O237" s="3"/>
      <c r="P237" s="8"/>
      <c r="Q237" s="8"/>
      <c r="R237" s="3"/>
      <c r="S237" s="3"/>
      <c r="T237" s="3"/>
      <c r="U237" s="5" t="str">
        <f t="shared" si="12"/>
        <v/>
      </c>
    </row>
    <row r="238" spans="1:21" ht="28" customHeight="1" x14ac:dyDescent="0.35">
      <c r="A238" s="4">
        <v>5</v>
      </c>
      <c r="B238" s="4" t="s">
        <v>66</v>
      </c>
      <c r="C238" s="4" t="s">
        <v>67</v>
      </c>
      <c r="D238" s="4" t="s">
        <v>68</v>
      </c>
      <c r="E238" s="4" t="s">
        <v>69</v>
      </c>
      <c r="F238" s="4" t="s">
        <v>57</v>
      </c>
      <c r="G238" s="4" t="s">
        <v>58</v>
      </c>
      <c r="H238" s="4" t="s">
        <v>59</v>
      </c>
      <c r="I238" s="3"/>
      <c r="J238" s="3"/>
      <c r="K238" s="3"/>
      <c r="L238" s="3"/>
      <c r="M238" s="3"/>
      <c r="N238" s="3"/>
      <c r="O238" s="3"/>
      <c r="P238" s="8"/>
      <c r="Q238" s="8"/>
      <c r="R238" s="3"/>
      <c r="S238" s="3"/>
      <c r="T238" s="3"/>
      <c r="U238" s="5" t="str">
        <f t="shared" si="12"/>
        <v/>
      </c>
    </row>
    <row r="239" spans="1:21" ht="28" customHeight="1" x14ac:dyDescent="0.35">
      <c r="A239" s="4">
        <v>6</v>
      </c>
      <c r="B239" s="4" t="s">
        <v>70</v>
      </c>
      <c r="C239" s="4" t="s">
        <v>71</v>
      </c>
      <c r="D239" s="4" t="s">
        <v>72</v>
      </c>
      <c r="E239" s="4" t="s">
        <v>70</v>
      </c>
      <c r="F239" s="4" t="s">
        <v>57</v>
      </c>
      <c r="G239" s="4" t="s">
        <v>58</v>
      </c>
      <c r="H239" s="4" t="s">
        <v>59</v>
      </c>
      <c r="I239" s="3"/>
      <c r="J239" s="3"/>
      <c r="K239" s="3"/>
      <c r="L239" s="3"/>
      <c r="M239" s="3"/>
      <c r="N239" s="3"/>
      <c r="O239" s="3"/>
      <c r="P239" s="8"/>
      <c r="Q239" s="8"/>
      <c r="R239" s="3"/>
      <c r="S239" s="3"/>
      <c r="T239" s="3"/>
      <c r="U239" s="5" t="str">
        <f t="shared" si="12"/>
        <v/>
      </c>
    </row>
    <row r="240" spans="1:21" ht="28" customHeight="1" x14ac:dyDescent="0.35">
      <c r="A240" s="4">
        <v>7</v>
      </c>
      <c r="B240" s="4" t="s">
        <v>73</v>
      </c>
      <c r="C240" s="4" t="s">
        <v>74</v>
      </c>
      <c r="D240" s="4" t="s">
        <v>75</v>
      </c>
      <c r="E240" s="4" t="s">
        <v>69</v>
      </c>
      <c r="F240" s="4" t="s">
        <v>57</v>
      </c>
      <c r="G240" s="4" t="s">
        <v>58</v>
      </c>
      <c r="H240" s="4" t="s">
        <v>76</v>
      </c>
      <c r="I240" s="3"/>
      <c r="J240" s="3"/>
      <c r="K240" s="3"/>
      <c r="L240" s="3"/>
      <c r="M240" s="3"/>
      <c r="N240" s="3"/>
      <c r="O240" s="3"/>
      <c r="P240" s="8"/>
      <c r="Q240" s="8"/>
      <c r="R240" s="3"/>
      <c r="S240" s="3"/>
      <c r="T240" s="3"/>
      <c r="U240" s="5" t="str">
        <f t="shared" si="12"/>
        <v/>
      </c>
    </row>
    <row r="241" spans="1:21" ht="28" customHeight="1" x14ac:dyDescent="0.35">
      <c r="A241" s="4">
        <v>8</v>
      </c>
      <c r="B241" s="4" t="s">
        <v>77</v>
      </c>
      <c r="C241" s="4" t="s">
        <v>78</v>
      </c>
      <c r="D241" s="4" t="s">
        <v>79</v>
      </c>
      <c r="E241" s="4" t="s">
        <v>80</v>
      </c>
      <c r="F241" s="4" t="s">
        <v>57</v>
      </c>
      <c r="G241" s="4" t="s">
        <v>58</v>
      </c>
      <c r="H241" s="4" t="s">
        <v>59</v>
      </c>
      <c r="I241" s="3"/>
      <c r="J241" s="3"/>
      <c r="K241" s="3"/>
      <c r="L241" s="3"/>
      <c r="M241" s="3"/>
      <c r="N241" s="3"/>
      <c r="O241" s="3"/>
      <c r="P241" s="8"/>
      <c r="Q241" s="8"/>
      <c r="R241" s="3"/>
      <c r="S241" s="3"/>
      <c r="T241" s="3"/>
      <c r="U241" s="5" t="str">
        <f t="shared" si="12"/>
        <v/>
      </c>
    </row>
    <row r="242" spans="1:21" ht="28" customHeight="1" x14ac:dyDescent="0.35">
      <c r="A242" s="4">
        <v>9</v>
      </c>
      <c r="B242" s="4" t="s">
        <v>81</v>
      </c>
      <c r="C242" s="4" t="s">
        <v>82</v>
      </c>
      <c r="D242" s="4" t="s">
        <v>83</v>
      </c>
      <c r="E242" s="4" t="s">
        <v>84</v>
      </c>
      <c r="F242" s="4" t="s">
        <v>57</v>
      </c>
      <c r="G242" s="4" t="s">
        <v>58</v>
      </c>
      <c r="H242" s="4" t="s">
        <v>85</v>
      </c>
      <c r="I242" s="3"/>
      <c r="J242" s="3"/>
      <c r="K242" s="3"/>
      <c r="L242" s="3"/>
      <c r="M242" s="3"/>
      <c r="N242" s="3"/>
      <c r="O242" s="3"/>
      <c r="P242" s="8"/>
      <c r="Q242" s="8"/>
      <c r="R242" s="3"/>
      <c r="S242" s="3"/>
      <c r="T242" s="3"/>
      <c r="U242" s="5" t="str">
        <f t="shared" si="12"/>
        <v/>
      </c>
    </row>
    <row r="243" spans="1:21" ht="28" customHeight="1" x14ac:dyDescent="0.35">
      <c r="A243" s="4">
        <v>10</v>
      </c>
      <c r="B243" s="4" t="s">
        <v>86</v>
      </c>
      <c r="C243" s="4" t="s">
        <v>87</v>
      </c>
      <c r="D243" s="4" t="s">
        <v>88</v>
      </c>
      <c r="E243" s="4" t="s">
        <v>69</v>
      </c>
      <c r="F243" s="4" t="s">
        <v>57</v>
      </c>
      <c r="G243" s="4" t="s">
        <v>58</v>
      </c>
      <c r="H243" s="4" t="s">
        <v>59</v>
      </c>
      <c r="I243" s="3"/>
      <c r="J243" s="3"/>
      <c r="K243" s="3"/>
      <c r="L243" s="3"/>
      <c r="M243" s="3"/>
      <c r="N243" s="3"/>
      <c r="O243" s="3"/>
      <c r="P243" s="8"/>
      <c r="Q243" s="8"/>
      <c r="R243" s="3"/>
      <c r="S243" s="3"/>
      <c r="T243" s="3"/>
      <c r="U243" s="5" t="str">
        <f t="shared" si="12"/>
        <v/>
      </c>
    </row>
    <row r="244" spans="1:21" ht="28" customHeight="1" x14ac:dyDescent="0.35">
      <c r="A244" s="4">
        <v>11</v>
      </c>
      <c r="B244" s="4" t="s">
        <v>89</v>
      </c>
      <c r="C244" s="4" t="s">
        <v>90</v>
      </c>
      <c r="D244" s="4" t="s">
        <v>91</v>
      </c>
      <c r="E244" s="4" t="s">
        <v>84</v>
      </c>
      <c r="F244" s="4" t="s">
        <v>57</v>
      </c>
      <c r="G244" s="4" t="s">
        <v>58</v>
      </c>
      <c r="H244" s="4" t="s">
        <v>59</v>
      </c>
      <c r="I244" s="3"/>
      <c r="J244" s="3"/>
      <c r="K244" s="3"/>
      <c r="L244" s="3"/>
      <c r="M244" s="3"/>
      <c r="N244" s="3"/>
      <c r="O244" s="3"/>
      <c r="P244" s="8"/>
      <c r="Q244" s="8"/>
      <c r="R244" s="3"/>
      <c r="S244" s="3"/>
      <c r="T244" s="3"/>
      <c r="U244" s="5" t="str">
        <f t="shared" si="12"/>
        <v/>
      </c>
    </row>
    <row r="245" spans="1:21" ht="28" customHeight="1" x14ac:dyDescent="0.35">
      <c r="A245" s="4">
        <v>12</v>
      </c>
      <c r="B245" s="4" t="s">
        <v>92</v>
      </c>
      <c r="C245" s="4" t="s">
        <v>93</v>
      </c>
      <c r="D245" s="4" t="s">
        <v>94</v>
      </c>
      <c r="E245" s="4" t="s">
        <v>69</v>
      </c>
      <c r="F245" s="4" t="s">
        <v>95</v>
      </c>
      <c r="G245" s="4" t="s">
        <v>96</v>
      </c>
      <c r="H245" s="4" t="s">
        <v>59</v>
      </c>
      <c r="I245" s="3"/>
      <c r="J245" s="3"/>
      <c r="K245" s="3"/>
      <c r="L245" s="3"/>
      <c r="M245" s="3"/>
      <c r="N245" s="3"/>
      <c r="O245" s="3"/>
      <c r="P245" s="8"/>
      <c r="Q245" s="8"/>
      <c r="R245" s="3"/>
      <c r="S245" s="3"/>
      <c r="T245" s="3"/>
      <c r="U245" s="5" t="str">
        <f t="shared" si="12"/>
        <v/>
      </c>
    </row>
    <row r="246" spans="1:21" ht="28" customHeight="1" x14ac:dyDescent="0.35">
      <c r="A246" s="4">
        <v>13</v>
      </c>
      <c r="B246" s="4" t="s">
        <v>97</v>
      </c>
      <c r="C246" s="4" t="s">
        <v>98</v>
      </c>
      <c r="D246" s="4" t="s">
        <v>99</v>
      </c>
      <c r="E246" s="4" t="s">
        <v>69</v>
      </c>
      <c r="F246" s="4" t="s">
        <v>95</v>
      </c>
      <c r="G246" s="4" t="s">
        <v>96</v>
      </c>
      <c r="H246" s="4" t="s">
        <v>59</v>
      </c>
      <c r="I246" s="3"/>
      <c r="J246" s="3"/>
      <c r="K246" s="3"/>
      <c r="L246" s="3"/>
      <c r="M246" s="3"/>
      <c r="N246" s="3"/>
      <c r="O246" s="3"/>
      <c r="P246" s="8"/>
      <c r="Q246" s="8"/>
      <c r="R246" s="3"/>
      <c r="S246" s="3"/>
      <c r="T246" s="3"/>
      <c r="U246" s="5" t="str">
        <f t="shared" si="12"/>
        <v/>
      </c>
    </row>
    <row r="247" spans="1:21" ht="28" customHeight="1" x14ac:dyDescent="0.35">
      <c r="A247" s="4">
        <v>14</v>
      </c>
      <c r="B247" s="4" t="s">
        <v>97</v>
      </c>
      <c r="C247" s="4" t="s">
        <v>100</v>
      </c>
      <c r="D247" s="4" t="s">
        <v>101</v>
      </c>
      <c r="E247" s="4" t="s">
        <v>69</v>
      </c>
      <c r="F247" s="4" t="s">
        <v>95</v>
      </c>
      <c r="G247" s="4" t="s">
        <v>102</v>
      </c>
      <c r="H247" s="4" t="s">
        <v>59</v>
      </c>
      <c r="I247" s="3"/>
      <c r="J247" s="3"/>
      <c r="K247" s="3"/>
      <c r="L247" s="3"/>
      <c r="M247" s="3"/>
      <c r="N247" s="3"/>
      <c r="O247" s="3"/>
      <c r="P247" s="8"/>
      <c r="Q247" s="8"/>
      <c r="R247" s="3"/>
      <c r="S247" s="3"/>
      <c r="T247" s="3"/>
      <c r="U247" s="5" t="str">
        <f t="shared" si="12"/>
        <v/>
      </c>
    </row>
    <row r="248" spans="1:21" ht="28" customHeight="1" x14ac:dyDescent="0.35">
      <c r="A248" s="4">
        <v>15</v>
      </c>
      <c r="B248" s="4" t="s">
        <v>103</v>
      </c>
      <c r="C248" s="4" t="s">
        <v>104</v>
      </c>
      <c r="D248" s="4" t="s">
        <v>105</v>
      </c>
      <c r="E248" s="4" t="s">
        <v>69</v>
      </c>
      <c r="F248" s="4" t="s">
        <v>95</v>
      </c>
      <c r="G248" s="4" t="s">
        <v>96</v>
      </c>
      <c r="H248" s="4" t="s">
        <v>85</v>
      </c>
      <c r="I248" s="3"/>
      <c r="J248" s="3"/>
      <c r="K248" s="3"/>
      <c r="L248" s="3"/>
      <c r="M248" s="3"/>
      <c r="N248" s="3"/>
      <c r="O248" s="3"/>
      <c r="P248" s="8"/>
      <c r="Q248" s="8"/>
      <c r="R248" s="3"/>
      <c r="S248" s="3"/>
      <c r="T248" s="3"/>
      <c r="U248" s="5" t="str">
        <f t="shared" si="12"/>
        <v/>
      </c>
    </row>
    <row r="249" spans="1:21" ht="28" customHeight="1" x14ac:dyDescent="0.35">
      <c r="A249" s="4">
        <v>16</v>
      </c>
      <c r="B249" s="4" t="s">
        <v>106</v>
      </c>
      <c r="C249" s="4" t="s">
        <v>107</v>
      </c>
      <c r="D249" s="4" t="s">
        <v>108</v>
      </c>
      <c r="E249" s="4" t="s">
        <v>109</v>
      </c>
      <c r="F249" s="4" t="s">
        <v>95</v>
      </c>
      <c r="G249" s="4" t="s">
        <v>96</v>
      </c>
      <c r="H249" s="4" t="s">
        <v>59</v>
      </c>
      <c r="I249" s="3"/>
      <c r="J249" s="3"/>
      <c r="K249" s="3"/>
      <c r="L249" s="3"/>
      <c r="M249" s="3"/>
      <c r="N249" s="3"/>
      <c r="O249" s="3"/>
      <c r="P249" s="8"/>
      <c r="Q249" s="8"/>
      <c r="R249" s="3"/>
      <c r="S249" s="3"/>
      <c r="T249" s="3"/>
      <c r="U249" s="5" t="str">
        <f t="shared" si="12"/>
        <v/>
      </c>
    </row>
    <row r="251" spans="1:21" ht="28" customHeight="1" x14ac:dyDescent="0.35">
      <c r="A251" s="9" t="s">
        <v>110</v>
      </c>
      <c r="B251" s="16"/>
      <c r="C251" s="17"/>
      <c r="D251" s="17"/>
      <c r="E251" s="17"/>
      <c r="F251" s="17"/>
      <c r="G251" s="17"/>
      <c r="H251" s="17"/>
      <c r="I251" s="17"/>
      <c r="J251" s="17"/>
      <c r="K251" s="17"/>
      <c r="L251" s="17"/>
      <c r="M251" s="17"/>
      <c r="N251" s="17"/>
      <c r="O251" s="17"/>
      <c r="P251" s="17"/>
      <c r="Q251" s="17"/>
      <c r="R251" s="17"/>
      <c r="S251" s="17"/>
      <c r="T251" s="17"/>
      <c r="U251" s="18"/>
    </row>
    <row r="252" spans="1:21" ht="28" customHeight="1" x14ac:dyDescent="0.35">
      <c r="A252" s="19" t="s">
        <v>639</v>
      </c>
      <c r="B252" s="20"/>
      <c r="C252" s="20"/>
      <c r="D252" s="20"/>
      <c r="E252" s="20"/>
      <c r="F252" s="20"/>
      <c r="G252" s="20"/>
      <c r="H252" s="20"/>
      <c r="I252" s="20"/>
      <c r="J252" s="20"/>
      <c r="K252" s="20"/>
      <c r="L252" s="20"/>
      <c r="M252" s="20"/>
      <c r="N252" s="20"/>
      <c r="O252" s="20"/>
      <c r="P252" s="20"/>
      <c r="Q252" s="20"/>
      <c r="R252" s="20"/>
      <c r="S252" s="20"/>
      <c r="T252" s="20"/>
      <c r="U252" s="21"/>
    </row>
    <row r="253" spans="1:21" ht="28" customHeight="1" x14ac:dyDescent="0.35">
      <c r="A253" s="4" t="s">
        <v>31</v>
      </c>
      <c r="B253" s="3" t="s">
        <v>29</v>
      </c>
      <c r="C253" s="4" t="s">
        <v>32</v>
      </c>
      <c r="D253" s="3"/>
      <c r="E253" s="4" t="s">
        <v>33</v>
      </c>
      <c r="F253" s="8"/>
    </row>
    <row r="254" spans="1:21" ht="28" customHeight="1" x14ac:dyDescent="0.35">
      <c r="A254" s="1" t="s">
        <v>34</v>
      </c>
      <c r="B254" s="1" t="s">
        <v>35</v>
      </c>
      <c r="C254" s="1" t="s">
        <v>36</v>
      </c>
      <c r="D254" s="1" t="s">
        <v>37</v>
      </c>
      <c r="E254" s="1" t="s">
        <v>38</v>
      </c>
      <c r="F254" s="1" t="s">
        <v>39</v>
      </c>
      <c r="G254" s="1" t="s">
        <v>40</v>
      </c>
      <c r="H254" s="1" t="s">
        <v>41</v>
      </c>
      <c r="I254" s="1" t="s">
        <v>42</v>
      </c>
      <c r="J254" s="1" t="s">
        <v>43</v>
      </c>
      <c r="K254" s="1" t="s">
        <v>44</v>
      </c>
      <c r="L254" s="1" t="s">
        <v>45</v>
      </c>
      <c r="M254" s="1" t="s">
        <v>46</v>
      </c>
      <c r="N254" s="1" t="s">
        <v>47</v>
      </c>
      <c r="O254" s="1" t="s">
        <v>48</v>
      </c>
      <c r="P254" s="1" t="s">
        <v>4</v>
      </c>
      <c r="Q254" s="1" t="s">
        <v>49</v>
      </c>
      <c r="R254" s="1" t="s">
        <v>50</v>
      </c>
      <c r="S254" s="1" t="s">
        <v>51</v>
      </c>
      <c r="T254" s="1" t="s">
        <v>52</v>
      </c>
      <c r="U254" s="1" t="s">
        <v>10</v>
      </c>
    </row>
    <row r="255" spans="1:21" ht="28" customHeight="1" x14ac:dyDescent="0.35">
      <c r="A255" s="4">
        <v>1</v>
      </c>
      <c r="B255" s="4" t="s">
        <v>53</v>
      </c>
      <c r="C255" s="4" t="s">
        <v>621</v>
      </c>
      <c r="D255" s="4" t="s">
        <v>622</v>
      </c>
      <c r="E255" s="4" t="s">
        <v>56</v>
      </c>
      <c r="F255" s="4" t="s">
        <v>57</v>
      </c>
      <c r="G255" s="4" t="s">
        <v>58</v>
      </c>
      <c r="H255" s="4" t="s">
        <v>59</v>
      </c>
      <c r="I255" s="3"/>
      <c r="J255" s="3"/>
      <c r="K255" s="3"/>
      <c r="L255" s="3"/>
      <c r="M255" s="3"/>
      <c r="N255" s="3"/>
      <c r="O255" s="3"/>
      <c r="P255" s="8"/>
      <c r="Q255" s="8"/>
      <c r="R255" s="3"/>
      <c r="S255" s="3"/>
      <c r="T255" s="3"/>
      <c r="U255" s="5" t="str">
        <f t="shared" ref="U255:U270" si="13">IF(I255="","",IF(I255="NA","Grey",IF(I255=2,"Green",IF(I255=1,"Amber","Red"))))</f>
        <v/>
      </c>
    </row>
    <row r="256" spans="1:21" ht="28" customHeight="1" x14ac:dyDescent="0.35">
      <c r="A256" s="4">
        <v>2</v>
      </c>
      <c r="B256" s="4" t="s">
        <v>53</v>
      </c>
      <c r="C256" s="4" t="s">
        <v>623</v>
      </c>
      <c r="D256" s="4" t="s">
        <v>624</v>
      </c>
      <c r="E256" s="4" t="s">
        <v>56</v>
      </c>
      <c r="F256" s="4" t="s">
        <v>57</v>
      </c>
      <c r="G256" s="4" t="s">
        <v>58</v>
      </c>
      <c r="H256" s="4" t="s">
        <v>59</v>
      </c>
      <c r="I256" s="3"/>
      <c r="J256" s="3"/>
      <c r="K256" s="3"/>
      <c r="L256" s="3"/>
      <c r="M256" s="3"/>
      <c r="N256" s="3"/>
      <c r="O256" s="3"/>
      <c r="P256" s="8"/>
      <c r="Q256" s="8"/>
      <c r="R256" s="3"/>
      <c r="S256" s="3"/>
      <c r="T256" s="3"/>
      <c r="U256" s="5" t="str">
        <f t="shared" si="13"/>
        <v/>
      </c>
    </row>
    <row r="257" spans="1:21" ht="28" customHeight="1" x14ac:dyDescent="0.35">
      <c r="A257" s="4">
        <v>3</v>
      </c>
      <c r="B257" s="4" t="s">
        <v>53</v>
      </c>
      <c r="C257" s="4" t="s">
        <v>625</v>
      </c>
      <c r="D257" s="4" t="s">
        <v>626</v>
      </c>
      <c r="E257" s="4" t="s">
        <v>56</v>
      </c>
      <c r="F257" s="4" t="s">
        <v>57</v>
      </c>
      <c r="G257" s="4" t="s">
        <v>58</v>
      </c>
      <c r="H257" s="4" t="s">
        <v>59</v>
      </c>
      <c r="I257" s="3"/>
      <c r="J257" s="3"/>
      <c r="K257" s="3"/>
      <c r="L257" s="3"/>
      <c r="M257" s="3"/>
      <c r="N257" s="3"/>
      <c r="O257" s="3"/>
      <c r="P257" s="8"/>
      <c r="Q257" s="8"/>
      <c r="R257" s="3"/>
      <c r="S257" s="3"/>
      <c r="T257" s="3"/>
      <c r="U257" s="5" t="str">
        <f t="shared" si="13"/>
        <v/>
      </c>
    </row>
    <row r="258" spans="1:21" ht="28" customHeight="1" x14ac:dyDescent="0.35">
      <c r="A258" s="4">
        <v>4</v>
      </c>
      <c r="B258" s="4" t="s">
        <v>53</v>
      </c>
      <c r="C258" s="4" t="s">
        <v>627</v>
      </c>
      <c r="D258" s="4" t="s">
        <v>628</v>
      </c>
      <c r="E258" s="4" t="s">
        <v>56</v>
      </c>
      <c r="F258" s="4" t="s">
        <v>57</v>
      </c>
      <c r="G258" s="4" t="s">
        <v>58</v>
      </c>
      <c r="H258" s="4" t="s">
        <v>59</v>
      </c>
      <c r="I258" s="3"/>
      <c r="J258" s="3"/>
      <c r="K258" s="3"/>
      <c r="L258" s="3"/>
      <c r="M258" s="3"/>
      <c r="N258" s="3"/>
      <c r="O258" s="3"/>
      <c r="P258" s="8"/>
      <c r="Q258" s="8"/>
      <c r="R258" s="3"/>
      <c r="S258" s="3"/>
      <c r="T258" s="3"/>
      <c r="U258" s="5" t="str">
        <f t="shared" si="13"/>
        <v/>
      </c>
    </row>
    <row r="259" spans="1:21" ht="28" customHeight="1" x14ac:dyDescent="0.35">
      <c r="A259" s="4">
        <v>5</v>
      </c>
      <c r="B259" s="4" t="s">
        <v>66</v>
      </c>
      <c r="C259" s="4" t="s">
        <v>67</v>
      </c>
      <c r="D259" s="4" t="s">
        <v>68</v>
      </c>
      <c r="E259" s="4" t="s">
        <v>69</v>
      </c>
      <c r="F259" s="4" t="s">
        <v>57</v>
      </c>
      <c r="G259" s="4" t="s">
        <v>58</v>
      </c>
      <c r="H259" s="4" t="s">
        <v>59</v>
      </c>
      <c r="I259" s="3"/>
      <c r="J259" s="3"/>
      <c r="K259" s="3"/>
      <c r="L259" s="3"/>
      <c r="M259" s="3"/>
      <c r="N259" s="3"/>
      <c r="O259" s="3"/>
      <c r="P259" s="8"/>
      <c r="Q259" s="8"/>
      <c r="R259" s="3"/>
      <c r="S259" s="3"/>
      <c r="T259" s="3"/>
      <c r="U259" s="5" t="str">
        <f t="shared" si="13"/>
        <v/>
      </c>
    </row>
    <row r="260" spans="1:21" ht="28" customHeight="1" x14ac:dyDescent="0.35">
      <c r="A260" s="4">
        <v>6</v>
      </c>
      <c r="B260" s="4" t="s">
        <v>70</v>
      </c>
      <c r="C260" s="4" t="s">
        <v>71</v>
      </c>
      <c r="D260" s="4" t="s">
        <v>72</v>
      </c>
      <c r="E260" s="4" t="s">
        <v>70</v>
      </c>
      <c r="F260" s="4" t="s">
        <v>57</v>
      </c>
      <c r="G260" s="4" t="s">
        <v>58</v>
      </c>
      <c r="H260" s="4" t="s">
        <v>59</v>
      </c>
      <c r="I260" s="3"/>
      <c r="J260" s="3"/>
      <c r="K260" s="3"/>
      <c r="L260" s="3"/>
      <c r="M260" s="3"/>
      <c r="N260" s="3"/>
      <c r="O260" s="3"/>
      <c r="P260" s="8"/>
      <c r="Q260" s="8"/>
      <c r="R260" s="3"/>
      <c r="S260" s="3"/>
      <c r="T260" s="3"/>
      <c r="U260" s="5" t="str">
        <f t="shared" si="13"/>
        <v/>
      </c>
    </row>
    <row r="261" spans="1:21" ht="28" customHeight="1" x14ac:dyDescent="0.35">
      <c r="A261" s="4">
        <v>7</v>
      </c>
      <c r="B261" s="4" t="s">
        <v>73</v>
      </c>
      <c r="C261" s="4" t="s">
        <v>74</v>
      </c>
      <c r="D261" s="4" t="s">
        <v>75</v>
      </c>
      <c r="E261" s="4" t="s">
        <v>69</v>
      </c>
      <c r="F261" s="4" t="s">
        <v>57</v>
      </c>
      <c r="G261" s="4" t="s">
        <v>58</v>
      </c>
      <c r="H261" s="4" t="s">
        <v>76</v>
      </c>
      <c r="I261" s="3"/>
      <c r="J261" s="3"/>
      <c r="K261" s="3"/>
      <c r="L261" s="3"/>
      <c r="M261" s="3"/>
      <c r="N261" s="3"/>
      <c r="O261" s="3"/>
      <c r="P261" s="8"/>
      <c r="Q261" s="8"/>
      <c r="R261" s="3"/>
      <c r="S261" s="3"/>
      <c r="T261" s="3"/>
      <c r="U261" s="5" t="str">
        <f t="shared" si="13"/>
        <v/>
      </c>
    </row>
    <row r="262" spans="1:21" ht="28" customHeight="1" x14ac:dyDescent="0.35">
      <c r="A262" s="4">
        <v>8</v>
      </c>
      <c r="B262" s="4" t="s">
        <v>77</v>
      </c>
      <c r="C262" s="4" t="s">
        <v>78</v>
      </c>
      <c r="D262" s="4" t="s">
        <v>79</v>
      </c>
      <c r="E262" s="4" t="s">
        <v>80</v>
      </c>
      <c r="F262" s="4" t="s">
        <v>57</v>
      </c>
      <c r="G262" s="4" t="s">
        <v>58</v>
      </c>
      <c r="H262" s="4" t="s">
        <v>59</v>
      </c>
      <c r="I262" s="3"/>
      <c r="J262" s="3"/>
      <c r="K262" s="3"/>
      <c r="L262" s="3"/>
      <c r="M262" s="3"/>
      <c r="N262" s="3"/>
      <c r="O262" s="3"/>
      <c r="P262" s="8"/>
      <c r="Q262" s="8"/>
      <c r="R262" s="3"/>
      <c r="S262" s="3"/>
      <c r="T262" s="3"/>
      <c r="U262" s="5" t="str">
        <f t="shared" si="13"/>
        <v/>
      </c>
    </row>
    <row r="263" spans="1:21" ht="28" customHeight="1" x14ac:dyDescent="0.35">
      <c r="A263" s="4">
        <v>9</v>
      </c>
      <c r="B263" s="4" t="s">
        <v>81</v>
      </c>
      <c r="C263" s="4" t="s">
        <v>82</v>
      </c>
      <c r="D263" s="4" t="s">
        <v>83</v>
      </c>
      <c r="E263" s="4" t="s">
        <v>84</v>
      </c>
      <c r="F263" s="4" t="s">
        <v>57</v>
      </c>
      <c r="G263" s="4" t="s">
        <v>58</v>
      </c>
      <c r="H263" s="4" t="s">
        <v>85</v>
      </c>
      <c r="I263" s="3"/>
      <c r="J263" s="3"/>
      <c r="K263" s="3"/>
      <c r="L263" s="3"/>
      <c r="M263" s="3"/>
      <c r="N263" s="3"/>
      <c r="O263" s="3"/>
      <c r="P263" s="8"/>
      <c r="Q263" s="8"/>
      <c r="R263" s="3"/>
      <c r="S263" s="3"/>
      <c r="T263" s="3"/>
      <c r="U263" s="5" t="str">
        <f t="shared" si="13"/>
        <v/>
      </c>
    </row>
    <row r="264" spans="1:21" ht="28" customHeight="1" x14ac:dyDescent="0.35">
      <c r="A264" s="4">
        <v>10</v>
      </c>
      <c r="B264" s="4" t="s">
        <v>86</v>
      </c>
      <c r="C264" s="4" t="s">
        <v>87</v>
      </c>
      <c r="D264" s="4" t="s">
        <v>88</v>
      </c>
      <c r="E264" s="4" t="s">
        <v>69</v>
      </c>
      <c r="F264" s="4" t="s">
        <v>57</v>
      </c>
      <c r="G264" s="4" t="s">
        <v>58</v>
      </c>
      <c r="H264" s="4" t="s">
        <v>59</v>
      </c>
      <c r="I264" s="3"/>
      <c r="J264" s="3"/>
      <c r="K264" s="3"/>
      <c r="L264" s="3"/>
      <c r="M264" s="3"/>
      <c r="N264" s="3"/>
      <c r="O264" s="3"/>
      <c r="P264" s="8"/>
      <c r="Q264" s="8"/>
      <c r="R264" s="3"/>
      <c r="S264" s="3"/>
      <c r="T264" s="3"/>
      <c r="U264" s="5" t="str">
        <f t="shared" si="13"/>
        <v/>
      </c>
    </row>
    <row r="265" spans="1:21" ht="28" customHeight="1" x14ac:dyDescent="0.35">
      <c r="A265" s="4">
        <v>11</v>
      </c>
      <c r="B265" s="4" t="s">
        <v>89</v>
      </c>
      <c r="C265" s="4" t="s">
        <v>90</v>
      </c>
      <c r="D265" s="4" t="s">
        <v>91</v>
      </c>
      <c r="E265" s="4" t="s">
        <v>84</v>
      </c>
      <c r="F265" s="4" t="s">
        <v>57</v>
      </c>
      <c r="G265" s="4" t="s">
        <v>58</v>
      </c>
      <c r="H265" s="4" t="s">
        <v>59</v>
      </c>
      <c r="I265" s="3"/>
      <c r="J265" s="3"/>
      <c r="K265" s="3"/>
      <c r="L265" s="3"/>
      <c r="M265" s="3"/>
      <c r="N265" s="3"/>
      <c r="O265" s="3"/>
      <c r="P265" s="8"/>
      <c r="Q265" s="8"/>
      <c r="R265" s="3"/>
      <c r="S265" s="3"/>
      <c r="T265" s="3"/>
      <c r="U265" s="5" t="str">
        <f t="shared" si="13"/>
        <v/>
      </c>
    </row>
    <row r="266" spans="1:21" ht="28" customHeight="1" x14ac:dyDescent="0.35">
      <c r="A266" s="4">
        <v>12</v>
      </c>
      <c r="B266" s="4" t="s">
        <v>92</v>
      </c>
      <c r="C266" s="4" t="s">
        <v>93</v>
      </c>
      <c r="D266" s="4" t="s">
        <v>94</v>
      </c>
      <c r="E266" s="4" t="s">
        <v>69</v>
      </c>
      <c r="F266" s="4" t="s">
        <v>95</v>
      </c>
      <c r="G266" s="4" t="s">
        <v>96</v>
      </c>
      <c r="H266" s="4" t="s">
        <v>59</v>
      </c>
      <c r="I266" s="3"/>
      <c r="J266" s="3"/>
      <c r="K266" s="3"/>
      <c r="L266" s="3"/>
      <c r="M266" s="3"/>
      <c r="N266" s="3"/>
      <c r="O266" s="3"/>
      <c r="P266" s="8"/>
      <c r="Q266" s="8"/>
      <c r="R266" s="3"/>
      <c r="S266" s="3"/>
      <c r="T266" s="3"/>
      <c r="U266" s="5" t="str">
        <f t="shared" si="13"/>
        <v/>
      </c>
    </row>
    <row r="267" spans="1:21" ht="28" customHeight="1" x14ac:dyDescent="0.35">
      <c r="A267" s="4">
        <v>13</v>
      </c>
      <c r="B267" s="4" t="s">
        <v>97</v>
      </c>
      <c r="C267" s="4" t="s">
        <v>98</v>
      </c>
      <c r="D267" s="4" t="s">
        <v>99</v>
      </c>
      <c r="E267" s="4" t="s">
        <v>69</v>
      </c>
      <c r="F267" s="4" t="s">
        <v>95</v>
      </c>
      <c r="G267" s="4" t="s">
        <v>96</v>
      </c>
      <c r="H267" s="4" t="s">
        <v>59</v>
      </c>
      <c r="I267" s="3"/>
      <c r="J267" s="3"/>
      <c r="K267" s="3"/>
      <c r="L267" s="3"/>
      <c r="M267" s="3"/>
      <c r="N267" s="3"/>
      <c r="O267" s="3"/>
      <c r="P267" s="8"/>
      <c r="Q267" s="8"/>
      <c r="R267" s="3"/>
      <c r="S267" s="3"/>
      <c r="T267" s="3"/>
      <c r="U267" s="5" t="str">
        <f t="shared" si="13"/>
        <v/>
      </c>
    </row>
    <row r="268" spans="1:21" ht="28" customHeight="1" x14ac:dyDescent="0.35">
      <c r="A268" s="4">
        <v>14</v>
      </c>
      <c r="B268" s="4" t="s">
        <v>97</v>
      </c>
      <c r="C268" s="4" t="s">
        <v>100</v>
      </c>
      <c r="D268" s="4" t="s">
        <v>101</v>
      </c>
      <c r="E268" s="4" t="s">
        <v>69</v>
      </c>
      <c r="F268" s="4" t="s">
        <v>95</v>
      </c>
      <c r="G268" s="4" t="s">
        <v>102</v>
      </c>
      <c r="H268" s="4" t="s">
        <v>59</v>
      </c>
      <c r="I268" s="3"/>
      <c r="J268" s="3"/>
      <c r="K268" s="3"/>
      <c r="L268" s="3"/>
      <c r="M268" s="3"/>
      <c r="N268" s="3"/>
      <c r="O268" s="3"/>
      <c r="P268" s="8"/>
      <c r="Q268" s="8"/>
      <c r="R268" s="3"/>
      <c r="S268" s="3"/>
      <c r="T268" s="3"/>
      <c r="U268" s="5" t="str">
        <f t="shared" si="13"/>
        <v/>
      </c>
    </row>
    <row r="269" spans="1:21" ht="28" customHeight="1" x14ac:dyDescent="0.35">
      <c r="A269" s="4">
        <v>15</v>
      </c>
      <c r="B269" s="4" t="s">
        <v>103</v>
      </c>
      <c r="C269" s="4" t="s">
        <v>104</v>
      </c>
      <c r="D269" s="4" t="s">
        <v>105</v>
      </c>
      <c r="E269" s="4" t="s">
        <v>69</v>
      </c>
      <c r="F269" s="4" t="s">
        <v>95</v>
      </c>
      <c r="G269" s="4" t="s">
        <v>96</v>
      </c>
      <c r="H269" s="4" t="s">
        <v>85</v>
      </c>
      <c r="I269" s="3"/>
      <c r="J269" s="3"/>
      <c r="K269" s="3"/>
      <c r="L269" s="3"/>
      <c r="M269" s="3"/>
      <c r="N269" s="3"/>
      <c r="O269" s="3"/>
      <c r="P269" s="8"/>
      <c r="Q269" s="8"/>
      <c r="R269" s="3"/>
      <c r="S269" s="3"/>
      <c r="T269" s="3"/>
      <c r="U269" s="5" t="str">
        <f t="shared" si="13"/>
        <v/>
      </c>
    </row>
    <row r="270" spans="1:21" ht="28" customHeight="1" x14ac:dyDescent="0.35">
      <c r="A270" s="4">
        <v>16</v>
      </c>
      <c r="B270" s="4" t="s">
        <v>106</v>
      </c>
      <c r="C270" s="4" t="s">
        <v>107</v>
      </c>
      <c r="D270" s="4" t="s">
        <v>108</v>
      </c>
      <c r="E270" s="4" t="s">
        <v>109</v>
      </c>
      <c r="F270" s="4" t="s">
        <v>95</v>
      </c>
      <c r="G270" s="4" t="s">
        <v>96</v>
      </c>
      <c r="H270" s="4" t="s">
        <v>59</v>
      </c>
      <c r="I270" s="3"/>
      <c r="J270" s="3"/>
      <c r="K270" s="3"/>
      <c r="L270" s="3"/>
      <c r="M270" s="3"/>
      <c r="N270" s="3"/>
      <c r="O270" s="3"/>
      <c r="P270" s="8"/>
      <c r="Q270" s="8"/>
      <c r="R270" s="3"/>
      <c r="S270" s="3"/>
      <c r="T270" s="3"/>
      <c r="U270" s="5" t="str">
        <f t="shared" si="13"/>
        <v/>
      </c>
    </row>
    <row r="272" spans="1:21" ht="28" customHeight="1" x14ac:dyDescent="0.35">
      <c r="A272" s="9" t="s">
        <v>110</v>
      </c>
      <c r="B272" s="16"/>
      <c r="C272" s="17"/>
      <c r="D272" s="17"/>
      <c r="E272" s="17"/>
      <c r="F272" s="17"/>
      <c r="G272" s="17"/>
      <c r="H272" s="17"/>
      <c r="I272" s="17"/>
      <c r="J272" s="17"/>
      <c r="K272" s="17"/>
      <c r="L272" s="17"/>
      <c r="M272" s="17"/>
      <c r="N272" s="17"/>
      <c r="O272" s="17"/>
      <c r="P272" s="17"/>
      <c r="Q272" s="17"/>
      <c r="R272" s="17"/>
      <c r="S272" s="17"/>
      <c r="T272" s="17"/>
      <c r="U272" s="18"/>
    </row>
  </sheetData>
  <sheetProtection sheet="1" objects="1" scenarios="1" formatCells="0" formatColumns="0" formatRows="0" insertRows="0" sort="0" autoFilter="0"/>
  <autoFilter ref="A4:O16" xr:uid="{00000000-0009-0000-0000-00000E000000}"/>
  <mergeCells count="26">
    <mergeCell ref="A1:U1"/>
    <mergeCell ref="B104:U104"/>
    <mergeCell ref="B251:U251"/>
    <mergeCell ref="A168:U168"/>
    <mergeCell ref="B2:U2"/>
    <mergeCell ref="A126:U126"/>
    <mergeCell ref="A231:U231"/>
    <mergeCell ref="A147:U147"/>
    <mergeCell ref="A63:U63"/>
    <mergeCell ref="B230:U230"/>
    <mergeCell ref="B146:U146"/>
    <mergeCell ref="B83:U83"/>
    <mergeCell ref="A21:U21"/>
    <mergeCell ref="A210:U210"/>
    <mergeCell ref="B167:U167"/>
    <mergeCell ref="B272:U272"/>
    <mergeCell ref="A42:U42"/>
    <mergeCell ref="B41:U41"/>
    <mergeCell ref="B188:U188"/>
    <mergeCell ref="A252:U252"/>
    <mergeCell ref="B62:U62"/>
    <mergeCell ref="B209:U209"/>
    <mergeCell ref="A84:U84"/>
    <mergeCell ref="B125:U125"/>
    <mergeCell ref="A189:U189"/>
    <mergeCell ref="A105:U105"/>
  </mergeCells>
  <conditionalFormatting sqref="G5:G16">
    <cfRule type="colorScale" priority="53">
      <colorScale>
        <cfvo type="min"/>
        <cfvo type="percentile" val="50"/>
        <cfvo type="max"/>
        <color rgb="FFF8696B"/>
        <color rgb="FFFFEB84"/>
        <color rgb="FF63BE7B"/>
      </colorScale>
    </cfRule>
  </conditionalFormatting>
  <conditionalFormatting sqref="H5:H16">
    <cfRule type="containsText" dxfId="155" priority="49" operator="containsText" text="Red">
      <formula>NOT(ISERROR(SEARCH("Red",H5)))</formula>
    </cfRule>
    <cfRule type="containsText" dxfId="154" priority="50" operator="containsText" text="Amber">
      <formula>NOT(ISERROR(SEARCH("Amber",H5)))</formula>
    </cfRule>
    <cfRule type="containsText" dxfId="153" priority="51" operator="containsText" text="Green">
      <formula>NOT(ISERROR(SEARCH("Green",H5)))</formula>
    </cfRule>
    <cfRule type="containsText" dxfId="152" priority="52" operator="containsText" text="Not Started">
      <formula>NOT(ISERROR(SEARCH("Not Started",H5)))</formula>
    </cfRule>
  </conditionalFormatting>
  <conditionalFormatting sqref="U24:U39">
    <cfRule type="containsText" dxfId="151" priority="1" operator="containsText" text="Red">
      <formula>NOT(ISERROR(SEARCH("Red",U24)))</formula>
    </cfRule>
    <cfRule type="containsText" dxfId="150" priority="2" operator="containsText" text="Amber">
      <formula>NOT(ISERROR(SEARCH("Amber",U24)))</formula>
    </cfRule>
    <cfRule type="containsText" dxfId="149" priority="3" operator="containsText" text="Green">
      <formula>NOT(ISERROR(SEARCH("Green",U24)))</formula>
    </cfRule>
    <cfRule type="containsText" dxfId="148" priority="4" operator="containsText" text="Grey">
      <formula>NOT(ISERROR(SEARCH("Grey",U24)))</formula>
    </cfRule>
  </conditionalFormatting>
  <conditionalFormatting sqref="U45:U60">
    <cfRule type="containsText" dxfId="147" priority="5" operator="containsText" text="Red">
      <formula>NOT(ISERROR(SEARCH("Red",U45)))</formula>
    </cfRule>
    <cfRule type="containsText" dxfId="146" priority="6" operator="containsText" text="Amber">
      <formula>NOT(ISERROR(SEARCH("Amber",U45)))</formula>
    </cfRule>
    <cfRule type="containsText" dxfId="145" priority="7" operator="containsText" text="Green">
      <formula>NOT(ISERROR(SEARCH("Green",U45)))</formula>
    </cfRule>
    <cfRule type="containsText" dxfId="144" priority="8" operator="containsText" text="Grey">
      <formula>NOT(ISERROR(SEARCH("Grey",U45)))</formula>
    </cfRule>
  </conditionalFormatting>
  <conditionalFormatting sqref="U66:U81">
    <cfRule type="containsText" dxfId="143" priority="9" operator="containsText" text="Red">
      <formula>NOT(ISERROR(SEARCH("Red",U66)))</formula>
    </cfRule>
    <cfRule type="containsText" dxfId="142" priority="10" operator="containsText" text="Amber">
      <formula>NOT(ISERROR(SEARCH("Amber",U66)))</formula>
    </cfRule>
    <cfRule type="containsText" dxfId="141" priority="11" operator="containsText" text="Green">
      <formula>NOT(ISERROR(SEARCH("Green",U66)))</formula>
    </cfRule>
    <cfRule type="containsText" dxfId="140" priority="12" operator="containsText" text="Grey">
      <formula>NOT(ISERROR(SEARCH("Grey",U66)))</formula>
    </cfRule>
  </conditionalFormatting>
  <conditionalFormatting sqref="U87:U102">
    <cfRule type="containsText" dxfId="139" priority="13" operator="containsText" text="Red">
      <formula>NOT(ISERROR(SEARCH("Red",U87)))</formula>
    </cfRule>
    <cfRule type="containsText" dxfId="138" priority="14" operator="containsText" text="Amber">
      <formula>NOT(ISERROR(SEARCH("Amber",U87)))</formula>
    </cfRule>
    <cfRule type="containsText" dxfId="137" priority="15" operator="containsText" text="Green">
      <formula>NOT(ISERROR(SEARCH("Green",U87)))</formula>
    </cfRule>
    <cfRule type="containsText" dxfId="136" priority="16" operator="containsText" text="Grey">
      <formula>NOT(ISERROR(SEARCH("Grey",U87)))</formula>
    </cfRule>
  </conditionalFormatting>
  <conditionalFormatting sqref="U108:U123">
    <cfRule type="containsText" dxfId="135" priority="17" operator="containsText" text="Red">
      <formula>NOT(ISERROR(SEARCH("Red",U108)))</formula>
    </cfRule>
    <cfRule type="containsText" dxfId="134" priority="18" operator="containsText" text="Amber">
      <formula>NOT(ISERROR(SEARCH("Amber",U108)))</formula>
    </cfRule>
    <cfRule type="containsText" dxfId="133" priority="19" operator="containsText" text="Green">
      <formula>NOT(ISERROR(SEARCH("Green",U108)))</formula>
    </cfRule>
    <cfRule type="containsText" dxfId="132" priority="20" operator="containsText" text="Grey">
      <formula>NOT(ISERROR(SEARCH("Grey",U108)))</formula>
    </cfRule>
  </conditionalFormatting>
  <conditionalFormatting sqref="U129:U144">
    <cfRule type="containsText" dxfId="131" priority="21" operator="containsText" text="Red">
      <formula>NOT(ISERROR(SEARCH("Red",U129)))</formula>
    </cfRule>
    <cfRule type="containsText" dxfId="130" priority="22" operator="containsText" text="Amber">
      <formula>NOT(ISERROR(SEARCH("Amber",U129)))</formula>
    </cfRule>
    <cfRule type="containsText" dxfId="129" priority="23" operator="containsText" text="Green">
      <formula>NOT(ISERROR(SEARCH("Green",U129)))</formula>
    </cfRule>
    <cfRule type="containsText" dxfId="128" priority="24" operator="containsText" text="Grey">
      <formula>NOT(ISERROR(SEARCH("Grey",U129)))</formula>
    </cfRule>
  </conditionalFormatting>
  <conditionalFormatting sqref="U150:U165">
    <cfRule type="containsText" dxfId="127" priority="26" operator="containsText" text="Amber">
      <formula>NOT(ISERROR(SEARCH("Amber",U150)))</formula>
    </cfRule>
    <cfRule type="containsText" dxfId="126" priority="27" operator="containsText" text="Green">
      <formula>NOT(ISERROR(SEARCH("Green",U150)))</formula>
    </cfRule>
    <cfRule type="containsText" dxfId="125" priority="28" operator="containsText" text="Grey">
      <formula>NOT(ISERROR(SEARCH("Grey",U150)))</formula>
    </cfRule>
    <cfRule type="containsText" dxfId="124" priority="25" operator="containsText" text="Red">
      <formula>NOT(ISERROR(SEARCH("Red",U150)))</formula>
    </cfRule>
  </conditionalFormatting>
  <conditionalFormatting sqref="U171:U186">
    <cfRule type="containsText" dxfId="123" priority="29" operator="containsText" text="Red">
      <formula>NOT(ISERROR(SEARCH("Red",U171)))</formula>
    </cfRule>
    <cfRule type="containsText" dxfId="122" priority="30" operator="containsText" text="Amber">
      <formula>NOT(ISERROR(SEARCH("Amber",U171)))</formula>
    </cfRule>
    <cfRule type="containsText" dxfId="121" priority="31" operator="containsText" text="Green">
      <formula>NOT(ISERROR(SEARCH("Green",U171)))</formula>
    </cfRule>
    <cfRule type="containsText" dxfId="120" priority="32" operator="containsText" text="Grey">
      <formula>NOT(ISERROR(SEARCH("Grey",U171)))</formula>
    </cfRule>
  </conditionalFormatting>
  <conditionalFormatting sqref="U192:U207">
    <cfRule type="containsText" dxfId="119" priority="34" operator="containsText" text="Amber">
      <formula>NOT(ISERROR(SEARCH("Amber",U192)))</formula>
    </cfRule>
    <cfRule type="containsText" dxfId="118" priority="35" operator="containsText" text="Green">
      <formula>NOT(ISERROR(SEARCH("Green",U192)))</formula>
    </cfRule>
    <cfRule type="containsText" dxfId="117" priority="36" operator="containsText" text="Grey">
      <formula>NOT(ISERROR(SEARCH("Grey",U192)))</formula>
    </cfRule>
    <cfRule type="containsText" dxfId="116" priority="33" operator="containsText" text="Red">
      <formula>NOT(ISERROR(SEARCH("Red",U192)))</formula>
    </cfRule>
  </conditionalFormatting>
  <conditionalFormatting sqref="U213:U228">
    <cfRule type="containsText" dxfId="115" priority="37" operator="containsText" text="Red">
      <formula>NOT(ISERROR(SEARCH("Red",U213)))</formula>
    </cfRule>
    <cfRule type="containsText" dxfId="114" priority="38" operator="containsText" text="Amber">
      <formula>NOT(ISERROR(SEARCH("Amber",U213)))</formula>
    </cfRule>
    <cfRule type="containsText" dxfId="113" priority="39" operator="containsText" text="Green">
      <formula>NOT(ISERROR(SEARCH("Green",U213)))</formula>
    </cfRule>
    <cfRule type="containsText" dxfId="112" priority="40" operator="containsText" text="Grey">
      <formula>NOT(ISERROR(SEARCH("Grey",U213)))</formula>
    </cfRule>
  </conditionalFormatting>
  <conditionalFormatting sqref="U234:U249">
    <cfRule type="containsText" dxfId="111" priority="42" operator="containsText" text="Amber">
      <formula>NOT(ISERROR(SEARCH("Amber",U234)))</formula>
    </cfRule>
    <cfRule type="containsText" dxfId="110" priority="43" operator="containsText" text="Green">
      <formula>NOT(ISERROR(SEARCH("Green",U234)))</formula>
    </cfRule>
    <cfRule type="containsText" dxfId="109" priority="44" operator="containsText" text="Grey">
      <formula>NOT(ISERROR(SEARCH("Grey",U234)))</formula>
    </cfRule>
    <cfRule type="containsText" dxfId="108" priority="41" operator="containsText" text="Red">
      <formula>NOT(ISERROR(SEARCH("Red",U234)))</formula>
    </cfRule>
  </conditionalFormatting>
  <conditionalFormatting sqref="U255:U270">
    <cfRule type="containsText" dxfId="107" priority="45" operator="containsText" text="Red">
      <formula>NOT(ISERROR(SEARCH("Red",U255)))</formula>
    </cfRule>
    <cfRule type="containsText" dxfId="106" priority="46" operator="containsText" text="Amber">
      <formula>NOT(ISERROR(SEARCH("Amber",U255)))</formula>
    </cfRule>
    <cfRule type="containsText" dxfId="105" priority="48" operator="containsText" text="Grey">
      <formula>NOT(ISERROR(SEARCH("Grey",U255)))</formula>
    </cfRule>
    <cfRule type="containsText" dxfId="104" priority="47" operator="containsText" text="Green">
      <formula>NOT(ISERROR(SEARCH("Green",U255)))</formula>
    </cfRule>
  </conditionalFormatting>
  <dataValidations count="4">
    <dataValidation type="list" allowBlank="1" showInputMessage="1" showErrorMessage="1" sqref="I24:I39 I45:I60 I66:I81 I87:I102 I108:I123 I129:I144 I150:I165 I171:I186 I192:I207 I213:I228 I234:I249 I255:I270" xr:uid="{00000000-0002-0000-0E00-000000000000}">
      <formula1>"2,1,0,NA"</formula1>
    </dataValidation>
    <dataValidation type="list" allowBlank="1" showInputMessage="1" showErrorMessage="1" sqref="H24:H39 H45:H60 H66:H81 H87:H102 H108:H123 H129:H144 H150:H165 H171:H186 H192:H207 H213:H228 H234:H249 H255:H270" xr:uid="{00000000-0002-0000-0E00-000001000000}">
      <formula1>"Critical,High,Medium,Low"</formula1>
    </dataValidation>
    <dataValidation type="list" allowBlank="1" showInputMessage="1" showErrorMessage="1" sqref="S24:S39 S45:S60 S66:S81 S87:S102 S108:S123 S129:S144 S150:S165 S171:S186 S192:S207 S213:S228 S234:S249 S255:S270" xr:uid="{00000000-0002-0000-0E00-000002000000}">
      <formula1>"Yes,No,N/A"</formula1>
    </dataValidation>
    <dataValidation type="list" allowBlank="1" showInputMessage="1" showErrorMessage="1" sqref="T24:T39 T45:T60 T66:T81 T87:T102 T108:T123 T129:T144 T150:T165 T171:T186 T192:T207 T213:T228 T234:T249 T255:T270" xr:uid="{00000000-0002-0000-0E00-000003000000}">
      <formula1>"Not Started,In Progress,Completed,Verified,Closed"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72"/>
  <sheetViews>
    <sheetView showGridLines="0" workbookViewId="0"/>
  </sheetViews>
  <sheetFormatPr defaultRowHeight="28" customHeight="1" x14ac:dyDescent="0.35"/>
  <cols>
    <col min="1" max="1" width="7.7265625" customWidth="1"/>
    <col min="2" max="2" width="18.7265625" customWidth="1"/>
    <col min="3" max="3" width="42.7265625" customWidth="1"/>
    <col min="4" max="4" width="28.7265625" customWidth="1"/>
    <col min="5" max="6" width="18.7265625" customWidth="1"/>
    <col min="7" max="7" width="24.7265625" customWidth="1"/>
    <col min="8" max="9" width="13.7265625" customWidth="1"/>
    <col min="10" max="10" width="28.7265625" customWidth="1"/>
    <col min="11" max="11" width="30.7265625" customWidth="1"/>
    <col min="12" max="12" width="32.7265625" customWidth="1"/>
    <col min="13" max="13" width="28.7265625" customWidth="1"/>
    <col min="14" max="14" width="32.7265625" customWidth="1"/>
    <col min="15" max="15" width="20.7265625" customWidth="1"/>
    <col min="16" max="17" width="13.7265625" customWidth="1"/>
    <col min="18" max="18" width="18.7265625" customWidth="1"/>
    <col min="19" max="20" width="14.7265625" customWidth="1"/>
    <col min="21" max="21" width="10.7265625" customWidth="1"/>
  </cols>
  <sheetData>
    <row r="1" spans="1:21" ht="28" customHeight="1" x14ac:dyDescent="0.35">
      <c r="A1" s="24" t="s">
        <v>640</v>
      </c>
      <c r="B1" s="20"/>
      <c r="C1" s="20"/>
      <c r="D1" s="20"/>
      <c r="E1" s="20"/>
      <c r="F1" s="20"/>
      <c r="G1" s="20"/>
      <c r="H1" s="20"/>
      <c r="I1" s="20"/>
      <c r="J1" s="20"/>
      <c r="K1" s="20"/>
      <c r="L1" s="20"/>
      <c r="M1" s="20"/>
      <c r="N1" s="20"/>
      <c r="O1" s="20"/>
      <c r="P1" s="20"/>
      <c r="Q1" s="20"/>
      <c r="R1" s="20"/>
      <c r="S1" s="20"/>
      <c r="T1" s="20"/>
      <c r="U1" s="21"/>
    </row>
    <row r="2" spans="1:21" ht="28" customHeight="1" x14ac:dyDescent="0.35">
      <c r="A2" s="9" t="s">
        <v>1</v>
      </c>
      <c r="B2" s="22" t="s">
        <v>2</v>
      </c>
      <c r="C2" s="23"/>
      <c r="D2" s="23"/>
      <c r="E2" s="23"/>
      <c r="F2" s="23"/>
      <c r="G2" s="23"/>
      <c r="H2" s="23"/>
      <c r="I2" s="23"/>
      <c r="J2" s="23"/>
      <c r="K2" s="23"/>
      <c r="L2" s="23"/>
      <c r="M2" s="23"/>
      <c r="N2" s="23"/>
      <c r="O2" s="23"/>
      <c r="P2" s="23"/>
      <c r="Q2" s="23"/>
      <c r="R2" s="23"/>
      <c r="S2" s="23"/>
      <c r="T2" s="23"/>
      <c r="U2" s="23"/>
    </row>
    <row r="4" spans="1:21" ht="28" customHeight="1" x14ac:dyDescent="0.3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21" ht="28" customHeight="1" x14ac:dyDescent="0.35">
      <c r="A5" s="4" t="s">
        <v>18</v>
      </c>
      <c r="B5" s="7">
        <v>46050</v>
      </c>
      <c r="C5" s="8"/>
      <c r="D5" s="3"/>
      <c r="E5" s="5">
        <f>SUMIF(I24:I39,"&gt;=0",I24:I39)</f>
        <v>0</v>
      </c>
      <c r="F5" s="5">
        <f>COUNT(I24:I39)*2</f>
        <v>0</v>
      </c>
      <c r="G5" s="6" t="str">
        <f t="shared" ref="G5:G16" si="0">IF(F5=0,"",E5/F5)</f>
        <v/>
      </c>
      <c r="H5" s="5" t="str">
        <f t="shared" ref="H5:H16" si="1">IF(G5="","Not Started",IF(G5&gt;=0.9,"Green",IF(G5&gt;=0.75,"Amber","Red")))</f>
        <v>Not Started</v>
      </c>
      <c r="I5" s="5">
        <f>COUNTIFS(H24:H39,"Critical",I24:I39,"&lt;2")+COUNTIFS(H24:H39,"High",I24:I39,"&lt;2")</f>
        <v>0</v>
      </c>
      <c r="J5" s="5">
        <f>COUNTIF(T24:T39,"In Progress")+COUNTIF(T24:T39,"Not Started")</f>
        <v>0</v>
      </c>
      <c r="K5" s="5">
        <f ca="1">COUNTIFS(P24:P39,"&lt;"&amp;TODAY(),Q24:Q39,"")</f>
        <v>0</v>
      </c>
      <c r="L5" s="3"/>
      <c r="M5" s="3"/>
      <c r="N5" s="3"/>
      <c r="O5" s="3"/>
    </row>
    <row r="6" spans="1:21" ht="28" customHeight="1" x14ac:dyDescent="0.35">
      <c r="A6" s="4" t="s">
        <v>19</v>
      </c>
      <c r="B6" s="7">
        <v>46081</v>
      </c>
      <c r="C6" s="8"/>
      <c r="D6" s="3"/>
      <c r="E6" s="5">
        <f>SUMIF(I45:I60,"&gt;=0",I45:I60)</f>
        <v>0</v>
      </c>
      <c r="F6" s="5">
        <f>COUNT(I45:I60)*2</f>
        <v>0</v>
      </c>
      <c r="G6" s="6" t="str">
        <f t="shared" si="0"/>
        <v/>
      </c>
      <c r="H6" s="5" t="str">
        <f t="shared" si="1"/>
        <v>Not Started</v>
      </c>
      <c r="I6" s="5">
        <f>COUNTIFS(H45:H60,"Critical",I45:I60,"&lt;2")+COUNTIFS(H45:H60,"High",I45:I60,"&lt;2")</f>
        <v>0</v>
      </c>
      <c r="J6" s="5">
        <f>COUNTIF(T45:T60,"In Progress")+COUNTIF(T45:T60,"Not Started")</f>
        <v>0</v>
      </c>
      <c r="K6" s="5">
        <f ca="1">COUNTIFS(P45:P60,"&lt;"&amp;TODAY(),Q45:Q60,"")</f>
        <v>0</v>
      </c>
      <c r="L6" s="3"/>
      <c r="M6" s="3"/>
      <c r="N6" s="3"/>
      <c r="O6" s="3"/>
    </row>
    <row r="7" spans="1:21" ht="28" customHeight="1" x14ac:dyDescent="0.35">
      <c r="A7" s="4" t="s">
        <v>20</v>
      </c>
      <c r="B7" s="7">
        <v>46109</v>
      </c>
      <c r="C7" s="8"/>
      <c r="D7" s="3"/>
      <c r="E7" s="5">
        <f>SUMIF(I66:I81,"&gt;=0",I66:I81)</f>
        <v>0</v>
      </c>
      <c r="F7" s="5">
        <f>COUNT(I66:I81)*2</f>
        <v>0</v>
      </c>
      <c r="G7" s="6" t="str">
        <f t="shared" si="0"/>
        <v/>
      </c>
      <c r="H7" s="5" t="str">
        <f t="shared" si="1"/>
        <v>Not Started</v>
      </c>
      <c r="I7" s="5">
        <f>COUNTIFS(H66:H81,"Critical",I66:I81,"&lt;2")+COUNTIFS(H66:H81,"High",I66:I81,"&lt;2")</f>
        <v>0</v>
      </c>
      <c r="J7" s="5">
        <f>COUNTIF(T66:T81,"In Progress")+COUNTIF(T66:T81,"Not Started")</f>
        <v>0</v>
      </c>
      <c r="K7" s="5">
        <f ca="1">COUNTIFS(P66:P81,"&lt;"&amp;TODAY(),Q66:Q81,"")</f>
        <v>0</v>
      </c>
      <c r="L7" s="3"/>
      <c r="M7" s="3"/>
      <c r="N7" s="3"/>
      <c r="O7" s="3"/>
    </row>
    <row r="8" spans="1:21" ht="28" customHeight="1" x14ac:dyDescent="0.35">
      <c r="A8" s="4" t="s">
        <v>21</v>
      </c>
      <c r="B8" s="7">
        <v>46140</v>
      </c>
      <c r="C8" s="8"/>
      <c r="D8" s="3"/>
      <c r="E8" s="5">
        <f>SUMIF(I87:I102,"&gt;=0",I87:I102)</f>
        <v>0</v>
      </c>
      <c r="F8" s="5">
        <f>COUNT(I87:I102)*2</f>
        <v>0</v>
      </c>
      <c r="G8" s="6" t="str">
        <f t="shared" si="0"/>
        <v/>
      </c>
      <c r="H8" s="5" t="str">
        <f t="shared" si="1"/>
        <v>Not Started</v>
      </c>
      <c r="I8" s="5">
        <f>COUNTIFS(H87:H102,"Critical",I87:I102,"&lt;2")+COUNTIFS(H87:H102,"High",I87:I102,"&lt;2")</f>
        <v>0</v>
      </c>
      <c r="J8" s="5">
        <f>COUNTIF(T87:T102,"In Progress")+COUNTIF(T87:T102,"Not Started")</f>
        <v>0</v>
      </c>
      <c r="K8" s="5">
        <f ca="1">COUNTIFS(P87:P102,"&lt;"&amp;TODAY(),Q87:Q102,"")</f>
        <v>0</v>
      </c>
      <c r="L8" s="3"/>
      <c r="M8" s="3"/>
      <c r="N8" s="3"/>
      <c r="O8" s="3"/>
    </row>
    <row r="9" spans="1:21" ht="28" customHeight="1" x14ac:dyDescent="0.35">
      <c r="A9" s="4" t="s">
        <v>22</v>
      </c>
      <c r="B9" s="7">
        <v>46170</v>
      </c>
      <c r="C9" s="8"/>
      <c r="D9" s="3"/>
      <c r="E9" s="5">
        <f>SUMIF(I108:I123,"&gt;=0",I108:I123)</f>
        <v>0</v>
      </c>
      <c r="F9" s="5">
        <f>COUNT(I108:I123)*2</f>
        <v>0</v>
      </c>
      <c r="G9" s="6" t="str">
        <f t="shared" si="0"/>
        <v/>
      </c>
      <c r="H9" s="5" t="str">
        <f t="shared" si="1"/>
        <v>Not Started</v>
      </c>
      <c r="I9" s="5">
        <f>COUNTIFS(H108:H123,"Critical",I108:I123,"&lt;2")+COUNTIFS(H108:H123,"High",I108:I123,"&lt;2")</f>
        <v>0</v>
      </c>
      <c r="J9" s="5">
        <f>COUNTIF(T108:T123,"In Progress")+COUNTIF(T108:T123,"Not Started")</f>
        <v>0</v>
      </c>
      <c r="K9" s="5">
        <f ca="1">COUNTIFS(P108:P123,"&lt;"&amp;TODAY(),Q108:Q123,"")</f>
        <v>0</v>
      </c>
      <c r="L9" s="3"/>
      <c r="M9" s="3"/>
      <c r="N9" s="3"/>
      <c r="O9" s="3"/>
    </row>
    <row r="10" spans="1:21" ht="28" customHeight="1" x14ac:dyDescent="0.35">
      <c r="A10" s="4" t="s">
        <v>23</v>
      </c>
      <c r="B10" s="7">
        <v>46201</v>
      </c>
      <c r="C10" s="8"/>
      <c r="D10" s="3"/>
      <c r="E10" s="5">
        <f>SUMIF(I129:I144,"&gt;=0",I129:I144)</f>
        <v>0</v>
      </c>
      <c r="F10" s="5">
        <f>COUNT(I129:I144)*2</f>
        <v>0</v>
      </c>
      <c r="G10" s="6" t="str">
        <f t="shared" si="0"/>
        <v/>
      </c>
      <c r="H10" s="5" t="str">
        <f t="shared" si="1"/>
        <v>Not Started</v>
      </c>
      <c r="I10" s="5">
        <f>COUNTIFS(H129:H144,"Critical",I129:I144,"&lt;2")+COUNTIFS(H129:H144,"High",I129:I144,"&lt;2")</f>
        <v>0</v>
      </c>
      <c r="J10" s="5">
        <f>COUNTIF(T129:T144,"In Progress")+COUNTIF(T129:T144,"Not Started")</f>
        <v>0</v>
      </c>
      <c r="K10" s="5">
        <f ca="1">COUNTIFS(P129:P144,"&lt;"&amp;TODAY(),Q129:Q144,"")</f>
        <v>0</v>
      </c>
      <c r="L10" s="3"/>
      <c r="M10" s="3"/>
      <c r="N10" s="3"/>
      <c r="O10" s="3"/>
    </row>
    <row r="11" spans="1:21" ht="28" customHeight="1" x14ac:dyDescent="0.35">
      <c r="A11" s="4" t="s">
        <v>24</v>
      </c>
      <c r="B11" s="7">
        <v>46231</v>
      </c>
      <c r="C11" s="8"/>
      <c r="D11" s="3"/>
      <c r="E11" s="5">
        <f>SUMIF(I150:I165,"&gt;=0",I150:I165)</f>
        <v>0</v>
      </c>
      <c r="F11" s="5">
        <f>COUNT(I150:I165)*2</f>
        <v>0</v>
      </c>
      <c r="G11" s="6" t="str">
        <f t="shared" si="0"/>
        <v/>
      </c>
      <c r="H11" s="5" t="str">
        <f t="shared" si="1"/>
        <v>Not Started</v>
      </c>
      <c r="I11" s="5">
        <f>COUNTIFS(H150:H165,"Critical",I150:I165,"&lt;2")+COUNTIFS(H150:H165,"High",I150:I165,"&lt;2")</f>
        <v>0</v>
      </c>
      <c r="J11" s="5">
        <f>COUNTIF(T150:T165,"In Progress")+COUNTIF(T150:T165,"Not Started")</f>
        <v>0</v>
      </c>
      <c r="K11" s="5">
        <f ca="1">COUNTIFS(P150:P165,"&lt;"&amp;TODAY(),Q150:Q165,"")</f>
        <v>0</v>
      </c>
      <c r="L11" s="3"/>
      <c r="M11" s="3"/>
      <c r="N11" s="3"/>
      <c r="O11" s="3"/>
    </row>
    <row r="12" spans="1:21" ht="28" customHeight="1" x14ac:dyDescent="0.35">
      <c r="A12" s="4" t="s">
        <v>25</v>
      </c>
      <c r="B12" s="7">
        <v>46262</v>
      </c>
      <c r="C12" s="8"/>
      <c r="D12" s="3"/>
      <c r="E12" s="5">
        <f>SUMIF(I171:I186,"&gt;=0",I171:I186)</f>
        <v>0</v>
      </c>
      <c r="F12" s="5">
        <f>COUNT(I171:I186)*2</f>
        <v>0</v>
      </c>
      <c r="G12" s="6" t="str">
        <f t="shared" si="0"/>
        <v/>
      </c>
      <c r="H12" s="5" t="str">
        <f t="shared" si="1"/>
        <v>Not Started</v>
      </c>
      <c r="I12" s="5">
        <f>COUNTIFS(H171:H186,"Critical",I171:I186,"&lt;2")+COUNTIFS(H171:H186,"High",I171:I186,"&lt;2")</f>
        <v>0</v>
      </c>
      <c r="J12" s="5">
        <f>COUNTIF(T171:T186,"In Progress")+COUNTIF(T171:T186,"Not Started")</f>
        <v>0</v>
      </c>
      <c r="K12" s="5">
        <f ca="1">COUNTIFS(P171:P186,"&lt;"&amp;TODAY(),Q171:Q186,"")</f>
        <v>0</v>
      </c>
      <c r="L12" s="3"/>
      <c r="M12" s="3"/>
      <c r="N12" s="3"/>
      <c r="O12" s="3"/>
    </row>
    <row r="13" spans="1:21" ht="28" customHeight="1" x14ac:dyDescent="0.35">
      <c r="A13" s="4" t="s">
        <v>26</v>
      </c>
      <c r="B13" s="7">
        <v>46293</v>
      </c>
      <c r="C13" s="8"/>
      <c r="D13" s="3"/>
      <c r="E13" s="5">
        <f>SUMIF(I192:I207,"&gt;=0",I192:I207)</f>
        <v>0</v>
      </c>
      <c r="F13" s="5">
        <f>COUNT(I192:I207)*2</f>
        <v>0</v>
      </c>
      <c r="G13" s="6" t="str">
        <f t="shared" si="0"/>
        <v/>
      </c>
      <c r="H13" s="5" t="str">
        <f t="shared" si="1"/>
        <v>Not Started</v>
      </c>
      <c r="I13" s="5">
        <f>COUNTIFS(H192:H207,"Critical",I192:I207,"&lt;2")+COUNTIFS(H192:H207,"High",I192:I207,"&lt;2")</f>
        <v>0</v>
      </c>
      <c r="J13" s="5">
        <f>COUNTIF(T192:T207,"In Progress")+COUNTIF(T192:T207,"Not Started")</f>
        <v>0</v>
      </c>
      <c r="K13" s="5">
        <f ca="1">COUNTIFS(P192:P207,"&lt;"&amp;TODAY(),Q192:Q207,"")</f>
        <v>0</v>
      </c>
      <c r="L13" s="3"/>
      <c r="M13" s="3"/>
      <c r="N13" s="3"/>
      <c r="O13" s="3"/>
    </row>
    <row r="14" spans="1:21" ht="28" customHeight="1" x14ac:dyDescent="0.35">
      <c r="A14" s="4" t="s">
        <v>27</v>
      </c>
      <c r="B14" s="7">
        <v>46323</v>
      </c>
      <c r="C14" s="8"/>
      <c r="D14" s="3"/>
      <c r="E14" s="5">
        <f>SUMIF(I213:I228,"&gt;=0",I213:I228)</f>
        <v>0</v>
      </c>
      <c r="F14" s="5">
        <f>COUNT(I213:I228)*2</f>
        <v>0</v>
      </c>
      <c r="G14" s="6" t="str">
        <f t="shared" si="0"/>
        <v/>
      </c>
      <c r="H14" s="5" t="str">
        <f t="shared" si="1"/>
        <v>Not Started</v>
      </c>
      <c r="I14" s="5">
        <f>COUNTIFS(H213:H228,"Critical",I213:I228,"&lt;2")+COUNTIFS(H213:H228,"High",I213:I228,"&lt;2")</f>
        <v>0</v>
      </c>
      <c r="J14" s="5">
        <f>COUNTIF(T213:T228,"In Progress")+COUNTIF(T213:T228,"Not Started")</f>
        <v>0</v>
      </c>
      <c r="K14" s="5">
        <f ca="1">COUNTIFS(P213:P228,"&lt;"&amp;TODAY(),Q213:Q228,"")</f>
        <v>0</v>
      </c>
      <c r="L14" s="3"/>
      <c r="M14" s="3"/>
      <c r="N14" s="3"/>
      <c r="O14" s="3"/>
    </row>
    <row r="15" spans="1:21" ht="28" customHeight="1" x14ac:dyDescent="0.35">
      <c r="A15" s="4" t="s">
        <v>28</v>
      </c>
      <c r="B15" s="7">
        <v>46354</v>
      </c>
      <c r="C15" s="8"/>
      <c r="D15" s="3"/>
      <c r="E15" s="5">
        <f>SUMIF(I234:I249,"&gt;=0",I234:I249)</f>
        <v>0</v>
      </c>
      <c r="F15" s="5">
        <f>COUNT(I234:I249)*2</f>
        <v>0</v>
      </c>
      <c r="G15" s="6" t="str">
        <f t="shared" si="0"/>
        <v/>
      </c>
      <c r="H15" s="5" t="str">
        <f t="shared" si="1"/>
        <v>Not Started</v>
      </c>
      <c r="I15" s="5">
        <f>COUNTIFS(H234:H249,"Critical",I234:I249,"&lt;2")+COUNTIFS(H234:H249,"High",I234:I249,"&lt;2")</f>
        <v>0</v>
      </c>
      <c r="J15" s="5">
        <f>COUNTIF(T234:T249,"In Progress")+COUNTIF(T234:T249,"Not Started")</f>
        <v>0</v>
      </c>
      <c r="K15" s="5">
        <f ca="1">COUNTIFS(P234:P249,"&lt;"&amp;TODAY(),Q234:Q249,"")</f>
        <v>0</v>
      </c>
      <c r="L15" s="3"/>
      <c r="M15" s="3"/>
      <c r="N15" s="3"/>
      <c r="O15" s="3"/>
    </row>
    <row r="16" spans="1:21" ht="28" customHeight="1" x14ac:dyDescent="0.35">
      <c r="A16" s="4" t="s">
        <v>29</v>
      </c>
      <c r="B16" s="7">
        <v>46384</v>
      </c>
      <c r="C16" s="8"/>
      <c r="D16" s="3"/>
      <c r="E16" s="5">
        <f>SUMIF(I255:I270,"&gt;=0",I255:I270)</f>
        <v>0</v>
      </c>
      <c r="F16" s="5">
        <f>COUNT(I255:I270)*2</f>
        <v>0</v>
      </c>
      <c r="G16" s="6" t="str">
        <f t="shared" si="0"/>
        <v/>
      </c>
      <c r="H16" s="5" t="str">
        <f t="shared" si="1"/>
        <v>Not Started</v>
      </c>
      <c r="I16" s="5">
        <f>COUNTIFS(H255:H270,"Critical",I255:I270,"&lt;2")+COUNTIFS(H255:H270,"High",I255:I270,"&lt;2")</f>
        <v>0</v>
      </c>
      <c r="J16" s="5">
        <f>COUNTIF(T255:T270,"In Progress")+COUNTIF(T255:T270,"Not Started")</f>
        <v>0</v>
      </c>
      <c r="K16" s="5">
        <f ca="1">COUNTIFS(P255:P270,"&lt;"&amp;TODAY(),Q255:Q270,"")</f>
        <v>0</v>
      </c>
      <c r="L16" s="3"/>
      <c r="M16" s="3"/>
      <c r="N16" s="3"/>
      <c r="O16" s="3"/>
    </row>
    <row r="21" spans="1:21" ht="28" customHeight="1" x14ac:dyDescent="0.35">
      <c r="A21" s="19" t="s">
        <v>641</v>
      </c>
      <c r="B21" s="20"/>
      <c r="C21" s="20"/>
      <c r="D21" s="20"/>
      <c r="E21" s="20"/>
      <c r="F21" s="20"/>
      <c r="G21" s="20"/>
      <c r="H21" s="20"/>
      <c r="I21" s="20"/>
      <c r="J21" s="20"/>
      <c r="K21" s="20"/>
      <c r="L21" s="20"/>
      <c r="M21" s="20"/>
      <c r="N21" s="20"/>
      <c r="O21" s="20"/>
      <c r="P21" s="20"/>
      <c r="Q21" s="20"/>
      <c r="R21" s="20"/>
      <c r="S21" s="20"/>
      <c r="T21" s="20"/>
      <c r="U21" s="21"/>
    </row>
    <row r="22" spans="1:21" ht="28" customHeight="1" x14ac:dyDescent="0.35">
      <c r="A22" s="4" t="s">
        <v>31</v>
      </c>
      <c r="B22" s="3" t="s">
        <v>18</v>
      </c>
      <c r="C22" s="4" t="s">
        <v>32</v>
      </c>
      <c r="D22" s="3"/>
      <c r="E22" s="4" t="s">
        <v>33</v>
      </c>
      <c r="F22" s="8"/>
    </row>
    <row r="23" spans="1:21" ht="28" customHeight="1" x14ac:dyDescent="0.35">
      <c r="A23" s="1" t="s">
        <v>34</v>
      </c>
      <c r="B23" s="1" t="s">
        <v>35</v>
      </c>
      <c r="C23" s="1" t="s">
        <v>36</v>
      </c>
      <c r="D23" s="1" t="s">
        <v>37</v>
      </c>
      <c r="E23" s="1" t="s">
        <v>38</v>
      </c>
      <c r="F23" s="1" t="s">
        <v>39</v>
      </c>
      <c r="G23" s="1" t="s">
        <v>40</v>
      </c>
      <c r="H23" s="1" t="s">
        <v>41</v>
      </c>
      <c r="I23" s="1" t="s">
        <v>42</v>
      </c>
      <c r="J23" s="1" t="s">
        <v>43</v>
      </c>
      <c r="K23" s="1" t="s">
        <v>44</v>
      </c>
      <c r="L23" s="1" t="s">
        <v>45</v>
      </c>
      <c r="M23" s="1" t="s">
        <v>46</v>
      </c>
      <c r="N23" s="1" t="s">
        <v>47</v>
      </c>
      <c r="O23" s="1" t="s">
        <v>48</v>
      </c>
      <c r="P23" s="1" t="s">
        <v>4</v>
      </c>
      <c r="Q23" s="1" t="s">
        <v>49</v>
      </c>
      <c r="R23" s="1" t="s">
        <v>50</v>
      </c>
      <c r="S23" s="1" t="s">
        <v>51</v>
      </c>
      <c r="T23" s="1" t="s">
        <v>52</v>
      </c>
      <c r="U23" s="1" t="s">
        <v>10</v>
      </c>
    </row>
    <row r="24" spans="1:21" ht="28" customHeight="1" x14ac:dyDescent="0.35">
      <c r="A24" s="4">
        <v>1</v>
      </c>
      <c r="B24" s="4" t="s">
        <v>53</v>
      </c>
      <c r="C24" s="4" t="s">
        <v>642</v>
      </c>
      <c r="D24" s="4" t="s">
        <v>643</v>
      </c>
      <c r="E24" s="4" t="s">
        <v>56</v>
      </c>
      <c r="F24" s="4" t="s">
        <v>57</v>
      </c>
      <c r="G24" s="4" t="s">
        <v>58</v>
      </c>
      <c r="H24" s="4" t="s">
        <v>59</v>
      </c>
      <c r="I24" s="3"/>
      <c r="J24" s="3"/>
      <c r="K24" s="3"/>
      <c r="L24" s="3"/>
      <c r="M24" s="3"/>
      <c r="N24" s="3"/>
      <c r="O24" s="3"/>
      <c r="P24" s="8"/>
      <c r="Q24" s="8"/>
      <c r="R24" s="3"/>
      <c r="S24" s="3"/>
      <c r="T24" s="3"/>
      <c r="U24" s="5" t="str">
        <f t="shared" ref="U24:U39" si="2">IF(I24="","",IF(I24="NA","Grey",IF(I24=2,"Green",IF(I24=1,"Amber","Red"))))</f>
        <v/>
      </c>
    </row>
    <row r="25" spans="1:21" ht="28" customHeight="1" x14ac:dyDescent="0.35">
      <c r="A25" s="4">
        <v>2</v>
      </c>
      <c r="B25" s="4" t="s">
        <v>53</v>
      </c>
      <c r="C25" s="4" t="s">
        <v>644</v>
      </c>
      <c r="D25" s="4" t="s">
        <v>645</v>
      </c>
      <c r="E25" s="4" t="s">
        <v>56</v>
      </c>
      <c r="F25" s="4" t="s">
        <v>57</v>
      </c>
      <c r="G25" s="4" t="s">
        <v>58</v>
      </c>
      <c r="H25" s="4" t="s">
        <v>59</v>
      </c>
      <c r="I25" s="3"/>
      <c r="J25" s="3"/>
      <c r="K25" s="3"/>
      <c r="L25" s="3"/>
      <c r="M25" s="3"/>
      <c r="N25" s="3"/>
      <c r="O25" s="3"/>
      <c r="P25" s="8"/>
      <c r="Q25" s="8"/>
      <c r="R25" s="3"/>
      <c r="S25" s="3"/>
      <c r="T25" s="3"/>
      <c r="U25" s="5" t="str">
        <f t="shared" si="2"/>
        <v/>
      </c>
    </row>
    <row r="26" spans="1:21" ht="28" customHeight="1" x14ac:dyDescent="0.35">
      <c r="A26" s="4">
        <v>3</v>
      </c>
      <c r="B26" s="4" t="s">
        <v>53</v>
      </c>
      <c r="C26" s="4" t="s">
        <v>646</v>
      </c>
      <c r="D26" s="4" t="s">
        <v>647</v>
      </c>
      <c r="E26" s="4" t="s">
        <v>56</v>
      </c>
      <c r="F26" s="4" t="s">
        <v>57</v>
      </c>
      <c r="G26" s="4" t="s">
        <v>58</v>
      </c>
      <c r="H26" s="4" t="s">
        <v>59</v>
      </c>
      <c r="I26" s="3"/>
      <c r="J26" s="3"/>
      <c r="K26" s="3"/>
      <c r="L26" s="3"/>
      <c r="M26" s="3"/>
      <c r="N26" s="3"/>
      <c r="O26" s="3"/>
      <c r="P26" s="8"/>
      <c r="Q26" s="8"/>
      <c r="R26" s="3"/>
      <c r="S26" s="3"/>
      <c r="T26" s="3"/>
      <c r="U26" s="5" t="str">
        <f t="shared" si="2"/>
        <v/>
      </c>
    </row>
    <row r="27" spans="1:21" ht="28" customHeight="1" x14ac:dyDescent="0.35">
      <c r="A27" s="4">
        <v>4</v>
      </c>
      <c r="B27" s="4" t="s">
        <v>53</v>
      </c>
      <c r="C27" s="4" t="s">
        <v>648</v>
      </c>
      <c r="D27" s="4" t="s">
        <v>649</v>
      </c>
      <c r="E27" s="4" t="s">
        <v>56</v>
      </c>
      <c r="F27" s="4" t="s">
        <v>57</v>
      </c>
      <c r="G27" s="4" t="s">
        <v>58</v>
      </c>
      <c r="H27" s="4" t="s">
        <v>59</v>
      </c>
      <c r="I27" s="3"/>
      <c r="J27" s="3"/>
      <c r="K27" s="3"/>
      <c r="L27" s="3"/>
      <c r="M27" s="3"/>
      <c r="N27" s="3"/>
      <c r="O27" s="3"/>
      <c r="P27" s="8"/>
      <c r="Q27" s="8"/>
      <c r="R27" s="3"/>
      <c r="S27" s="3"/>
      <c r="T27" s="3"/>
      <c r="U27" s="5" t="str">
        <f t="shared" si="2"/>
        <v/>
      </c>
    </row>
    <row r="28" spans="1:21" ht="28" customHeight="1" x14ac:dyDescent="0.35">
      <c r="A28" s="4">
        <v>5</v>
      </c>
      <c r="B28" s="4" t="s">
        <v>66</v>
      </c>
      <c r="C28" s="4" t="s">
        <v>67</v>
      </c>
      <c r="D28" s="4" t="s">
        <v>68</v>
      </c>
      <c r="E28" s="4" t="s">
        <v>69</v>
      </c>
      <c r="F28" s="4" t="s">
        <v>57</v>
      </c>
      <c r="G28" s="4" t="s">
        <v>58</v>
      </c>
      <c r="H28" s="4" t="s">
        <v>59</v>
      </c>
      <c r="I28" s="3"/>
      <c r="J28" s="3"/>
      <c r="K28" s="3"/>
      <c r="L28" s="3"/>
      <c r="M28" s="3"/>
      <c r="N28" s="3"/>
      <c r="O28" s="3"/>
      <c r="P28" s="8"/>
      <c r="Q28" s="8"/>
      <c r="R28" s="3"/>
      <c r="S28" s="3"/>
      <c r="T28" s="3"/>
      <c r="U28" s="5" t="str">
        <f t="shared" si="2"/>
        <v/>
      </c>
    </row>
    <row r="29" spans="1:21" ht="28" customHeight="1" x14ac:dyDescent="0.35">
      <c r="A29" s="4">
        <v>6</v>
      </c>
      <c r="B29" s="4" t="s">
        <v>70</v>
      </c>
      <c r="C29" s="4" t="s">
        <v>71</v>
      </c>
      <c r="D29" s="4" t="s">
        <v>72</v>
      </c>
      <c r="E29" s="4" t="s">
        <v>70</v>
      </c>
      <c r="F29" s="4" t="s">
        <v>57</v>
      </c>
      <c r="G29" s="4" t="s">
        <v>58</v>
      </c>
      <c r="H29" s="4" t="s">
        <v>59</v>
      </c>
      <c r="I29" s="3"/>
      <c r="J29" s="3"/>
      <c r="K29" s="3"/>
      <c r="L29" s="3"/>
      <c r="M29" s="3"/>
      <c r="N29" s="3"/>
      <c r="O29" s="3"/>
      <c r="P29" s="8"/>
      <c r="Q29" s="8"/>
      <c r="R29" s="3"/>
      <c r="S29" s="3"/>
      <c r="T29" s="3"/>
      <c r="U29" s="5" t="str">
        <f t="shared" si="2"/>
        <v/>
      </c>
    </row>
    <row r="30" spans="1:21" ht="28" customHeight="1" x14ac:dyDescent="0.35">
      <c r="A30" s="4">
        <v>7</v>
      </c>
      <c r="B30" s="4" t="s">
        <v>73</v>
      </c>
      <c r="C30" s="4" t="s">
        <v>74</v>
      </c>
      <c r="D30" s="4" t="s">
        <v>75</v>
      </c>
      <c r="E30" s="4" t="s">
        <v>69</v>
      </c>
      <c r="F30" s="4" t="s">
        <v>57</v>
      </c>
      <c r="G30" s="4" t="s">
        <v>58</v>
      </c>
      <c r="H30" s="4" t="s">
        <v>76</v>
      </c>
      <c r="I30" s="3"/>
      <c r="J30" s="3"/>
      <c r="K30" s="3"/>
      <c r="L30" s="3"/>
      <c r="M30" s="3"/>
      <c r="N30" s="3"/>
      <c r="O30" s="3"/>
      <c r="P30" s="8"/>
      <c r="Q30" s="8"/>
      <c r="R30" s="3"/>
      <c r="S30" s="3"/>
      <c r="T30" s="3"/>
      <c r="U30" s="5" t="str">
        <f t="shared" si="2"/>
        <v/>
      </c>
    </row>
    <row r="31" spans="1:21" ht="28" customHeight="1" x14ac:dyDescent="0.35">
      <c r="A31" s="4">
        <v>8</v>
      </c>
      <c r="B31" s="4" t="s">
        <v>77</v>
      </c>
      <c r="C31" s="4" t="s">
        <v>78</v>
      </c>
      <c r="D31" s="4" t="s">
        <v>79</v>
      </c>
      <c r="E31" s="4" t="s">
        <v>80</v>
      </c>
      <c r="F31" s="4" t="s">
        <v>57</v>
      </c>
      <c r="G31" s="4" t="s">
        <v>58</v>
      </c>
      <c r="H31" s="4" t="s">
        <v>59</v>
      </c>
      <c r="I31" s="3"/>
      <c r="J31" s="3"/>
      <c r="K31" s="3"/>
      <c r="L31" s="3"/>
      <c r="M31" s="3"/>
      <c r="N31" s="3"/>
      <c r="O31" s="3"/>
      <c r="P31" s="8"/>
      <c r="Q31" s="8"/>
      <c r="R31" s="3"/>
      <c r="S31" s="3"/>
      <c r="T31" s="3"/>
      <c r="U31" s="5" t="str">
        <f t="shared" si="2"/>
        <v/>
      </c>
    </row>
    <row r="32" spans="1:21" ht="28" customHeight="1" x14ac:dyDescent="0.35">
      <c r="A32" s="4">
        <v>9</v>
      </c>
      <c r="B32" s="4" t="s">
        <v>81</v>
      </c>
      <c r="C32" s="4" t="s">
        <v>82</v>
      </c>
      <c r="D32" s="4" t="s">
        <v>83</v>
      </c>
      <c r="E32" s="4" t="s">
        <v>84</v>
      </c>
      <c r="F32" s="4" t="s">
        <v>57</v>
      </c>
      <c r="G32" s="4" t="s">
        <v>58</v>
      </c>
      <c r="H32" s="4" t="s">
        <v>85</v>
      </c>
      <c r="I32" s="3"/>
      <c r="J32" s="3"/>
      <c r="K32" s="3"/>
      <c r="L32" s="3"/>
      <c r="M32" s="3"/>
      <c r="N32" s="3"/>
      <c r="O32" s="3"/>
      <c r="P32" s="8"/>
      <c r="Q32" s="8"/>
      <c r="R32" s="3"/>
      <c r="S32" s="3"/>
      <c r="T32" s="3"/>
      <c r="U32" s="5" t="str">
        <f t="shared" si="2"/>
        <v/>
      </c>
    </row>
    <row r="33" spans="1:21" ht="28" customHeight="1" x14ac:dyDescent="0.35">
      <c r="A33" s="4">
        <v>10</v>
      </c>
      <c r="B33" s="4" t="s">
        <v>86</v>
      </c>
      <c r="C33" s="4" t="s">
        <v>87</v>
      </c>
      <c r="D33" s="4" t="s">
        <v>88</v>
      </c>
      <c r="E33" s="4" t="s">
        <v>69</v>
      </c>
      <c r="F33" s="4" t="s">
        <v>57</v>
      </c>
      <c r="G33" s="4" t="s">
        <v>58</v>
      </c>
      <c r="H33" s="4" t="s">
        <v>59</v>
      </c>
      <c r="I33" s="3"/>
      <c r="J33" s="3"/>
      <c r="K33" s="3"/>
      <c r="L33" s="3"/>
      <c r="M33" s="3"/>
      <c r="N33" s="3"/>
      <c r="O33" s="3"/>
      <c r="P33" s="8"/>
      <c r="Q33" s="8"/>
      <c r="R33" s="3"/>
      <c r="S33" s="3"/>
      <c r="T33" s="3"/>
      <c r="U33" s="5" t="str">
        <f t="shared" si="2"/>
        <v/>
      </c>
    </row>
    <row r="34" spans="1:21" ht="28" customHeight="1" x14ac:dyDescent="0.35">
      <c r="A34" s="4">
        <v>11</v>
      </c>
      <c r="B34" s="4" t="s">
        <v>89</v>
      </c>
      <c r="C34" s="4" t="s">
        <v>90</v>
      </c>
      <c r="D34" s="4" t="s">
        <v>91</v>
      </c>
      <c r="E34" s="4" t="s">
        <v>84</v>
      </c>
      <c r="F34" s="4" t="s">
        <v>57</v>
      </c>
      <c r="G34" s="4" t="s">
        <v>58</v>
      </c>
      <c r="H34" s="4" t="s">
        <v>59</v>
      </c>
      <c r="I34" s="3"/>
      <c r="J34" s="3"/>
      <c r="K34" s="3"/>
      <c r="L34" s="3"/>
      <c r="M34" s="3"/>
      <c r="N34" s="3"/>
      <c r="O34" s="3"/>
      <c r="P34" s="8"/>
      <c r="Q34" s="8"/>
      <c r="R34" s="3"/>
      <c r="S34" s="3"/>
      <c r="T34" s="3"/>
      <c r="U34" s="5" t="str">
        <f t="shared" si="2"/>
        <v/>
      </c>
    </row>
    <row r="35" spans="1:21" ht="28" customHeight="1" x14ac:dyDescent="0.35">
      <c r="A35" s="4">
        <v>12</v>
      </c>
      <c r="B35" s="4" t="s">
        <v>92</v>
      </c>
      <c r="C35" s="4" t="s">
        <v>93</v>
      </c>
      <c r="D35" s="4" t="s">
        <v>94</v>
      </c>
      <c r="E35" s="4" t="s">
        <v>69</v>
      </c>
      <c r="F35" s="4" t="s">
        <v>95</v>
      </c>
      <c r="G35" s="4" t="s">
        <v>96</v>
      </c>
      <c r="H35" s="4" t="s">
        <v>59</v>
      </c>
      <c r="I35" s="3"/>
      <c r="J35" s="3"/>
      <c r="K35" s="3"/>
      <c r="L35" s="3"/>
      <c r="M35" s="3"/>
      <c r="N35" s="3"/>
      <c r="O35" s="3"/>
      <c r="P35" s="8"/>
      <c r="Q35" s="8"/>
      <c r="R35" s="3"/>
      <c r="S35" s="3"/>
      <c r="T35" s="3"/>
      <c r="U35" s="5" t="str">
        <f t="shared" si="2"/>
        <v/>
      </c>
    </row>
    <row r="36" spans="1:21" ht="28" customHeight="1" x14ac:dyDescent="0.35">
      <c r="A36" s="4">
        <v>13</v>
      </c>
      <c r="B36" s="4" t="s">
        <v>97</v>
      </c>
      <c r="C36" s="4" t="s">
        <v>98</v>
      </c>
      <c r="D36" s="4" t="s">
        <v>99</v>
      </c>
      <c r="E36" s="4" t="s">
        <v>69</v>
      </c>
      <c r="F36" s="4" t="s">
        <v>95</v>
      </c>
      <c r="G36" s="4" t="s">
        <v>96</v>
      </c>
      <c r="H36" s="4" t="s">
        <v>59</v>
      </c>
      <c r="I36" s="3"/>
      <c r="J36" s="3"/>
      <c r="K36" s="3"/>
      <c r="L36" s="3"/>
      <c r="M36" s="3"/>
      <c r="N36" s="3"/>
      <c r="O36" s="3"/>
      <c r="P36" s="8"/>
      <c r="Q36" s="8"/>
      <c r="R36" s="3"/>
      <c r="S36" s="3"/>
      <c r="T36" s="3"/>
      <c r="U36" s="5" t="str">
        <f t="shared" si="2"/>
        <v/>
      </c>
    </row>
    <row r="37" spans="1:21" ht="28" customHeight="1" x14ac:dyDescent="0.35">
      <c r="A37" s="4">
        <v>14</v>
      </c>
      <c r="B37" s="4" t="s">
        <v>97</v>
      </c>
      <c r="C37" s="4" t="s">
        <v>100</v>
      </c>
      <c r="D37" s="4" t="s">
        <v>101</v>
      </c>
      <c r="E37" s="4" t="s">
        <v>69</v>
      </c>
      <c r="F37" s="4" t="s">
        <v>95</v>
      </c>
      <c r="G37" s="4" t="s">
        <v>102</v>
      </c>
      <c r="H37" s="4" t="s">
        <v>59</v>
      </c>
      <c r="I37" s="3"/>
      <c r="J37" s="3"/>
      <c r="K37" s="3"/>
      <c r="L37" s="3"/>
      <c r="M37" s="3"/>
      <c r="N37" s="3"/>
      <c r="O37" s="3"/>
      <c r="P37" s="8"/>
      <c r="Q37" s="8"/>
      <c r="R37" s="3"/>
      <c r="S37" s="3"/>
      <c r="T37" s="3"/>
      <c r="U37" s="5" t="str">
        <f t="shared" si="2"/>
        <v/>
      </c>
    </row>
    <row r="38" spans="1:21" ht="28" customHeight="1" x14ac:dyDescent="0.35">
      <c r="A38" s="4">
        <v>15</v>
      </c>
      <c r="B38" s="4" t="s">
        <v>103</v>
      </c>
      <c r="C38" s="4" t="s">
        <v>104</v>
      </c>
      <c r="D38" s="4" t="s">
        <v>105</v>
      </c>
      <c r="E38" s="4" t="s">
        <v>69</v>
      </c>
      <c r="F38" s="4" t="s">
        <v>95</v>
      </c>
      <c r="G38" s="4" t="s">
        <v>96</v>
      </c>
      <c r="H38" s="4" t="s">
        <v>85</v>
      </c>
      <c r="I38" s="3"/>
      <c r="J38" s="3"/>
      <c r="K38" s="3"/>
      <c r="L38" s="3"/>
      <c r="M38" s="3"/>
      <c r="N38" s="3"/>
      <c r="O38" s="3"/>
      <c r="P38" s="8"/>
      <c r="Q38" s="8"/>
      <c r="R38" s="3"/>
      <c r="S38" s="3"/>
      <c r="T38" s="3"/>
      <c r="U38" s="5" t="str">
        <f t="shared" si="2"/>
        <v/>
      </c>
    </row>
    <row r="39" spans="1:21" ht="28" customHeight="1" x14ac:dyDescent="0.35">
      <c r="A39" s="4">
        <v>16</v>
      </c>
      <c r="B39" s="4" t="s">
        <v>106</v>
      </c>
      <c r="C39" s="4" t="s">
        <v>107</v>
      </c>
      <c r="D39" s="4" t="s">
        <v>108</v>
      </c>
      <c r="E39" s="4" t="s">
        <v>109</v>
      </c>
      <c r="F39" s="4" t="s">
        <v>95</v>
      </c>
      <c r="G39" s="4" t="s">
        <v>96</v>
      </c>
      <c r="H39" s="4" t="s">
        <v>59</v>
      </c>
      <c r="I39" s="3"/>
      <c r="J39" s="3"/>
      <c r="K39" s="3"/>
      <c r="L39" s="3"/>
      <c r="M39" s="3"/>
      <c r="N39" s="3"/>
      <c r="O39" s="3"/>
      <c r="P39" s="8"/>
      <c r="Q39" s="8"/>
      <c r="R39" s="3"/>
      <c r="S39" s="3"/>
      <c r="T39" s="3"/>
      <c r="U39" s="5" t="str">
        <f t="shared" si="2"/>
        <v/>
      </c>
    </row>
    <row r="41" spans="1:21" ht="28" customHeight="1" x14ac:dyDescent="0.35">
      <c r="A41" s="9" t="s">
        <v>110</v>
      </c>
      <c r="B41" s="16"/>
      <c r="C41" s="17"/>
      <c r="D41" s="17"/>
      <c r="E41" s="17"/>
      <c r="F41" s="17"/>
      <c r="G41" s="17"/>
      <c r="H41" s="17"/>
      <c r="I41" s="17"/>
      <c r="J41" s="17"/>
      <c r="K41" s="17"/>
      <c r="L41" s="17"/>
      <c r="M41" s="17"/>
      <c r="N41" s="17"/>
      <c r="O41" s="17"/>
      <c r="P41" s="17"/>
      <c r="Q41" s="17"/>
      <c r="R41" s="17"/>
      <c r="S41" s="17"/>
      <c r="T41" s="17"/>
      <c r="U41" s="18"/>
    </row>
    <row r="42" spans="1:21" ht="28" customHeight="1" x14ac:dyDescent="0.35">
      <c r="A42" s="19" t="s">
        <v>650</v>
      </c>
      <c r="B42" s="20"/>
      <c r="C42" s="20"/>
      <c r="D42" s="20"/>
      <c r="E42" s="20"/>
      <c r="F42" s="20"/>
      <c r="G42" s="20"/>
      <c r="H42" s="20"/>
      <c r="I42" s="20"/>
      <c r="J42" s="20"/>
      <c r="K42" s="20"/>
      <c r="L42" s="20"/>
      <c r="M42" s="20"/>
      <c r="N42" s="20"/>
      <c r="O42" s="20"/>
      <c r="P42" s="20"/>
      <c r="Q42" s="20"/>
      <c r="R42" s="20"/>
      <c r="S42" s="20"/>
      <c r="T42" s="20"/>
      <c r="U42" s="21"/>
    </row>
    <row r="43" spans="1:21" ht="28" customHeight="1" x14ac:dyDescent="0.35">
      <c r="A43" s="4" t="s">
        <v>31</v>
      </c>
      <c r="B43" s="3" t="s">
        <v>19</v>
      </c>
      <c r="C43" s="4" t="s">
        <v>32</v>
      </c>
      <c r="D43" s="3"/>
      <c r="E43" s="4" t="s">
        <v>33</v>
      </c>
      <c r="F43" s="8"/>
    </row>
    <row r="44" spans="1:21" ht="28" customHeight="1" x14ac:dyDescent="0.35">
      <c r="A44" s="1" t="s">
        <v>34</v>
      </c>
      <c r="B44" s="1" t="s">
        <v>35</v>
      </c>
      <c r="C44" s="1" t="s">
        <v>36</v>
      </c>
      <c r="D44" s="1" t="s">
        <v>37</v>
      </c>
      <c r="E44" s="1" t="s">
        <v>38</v>
      </c>
      <c r="F44" s="1" t="s">
        <v>39</v>
      </c>
      <c r="G44" s="1" t="s">
        <v>40</v>
      </c>
      <c r="H44" s="1" t="s">
        <v>41</v>
      </c>
      <c r="I44" s="1" t="s">
        <v>42</v>
      </c>
      <c r="J44" s="1" t="s">
        <v>43</v>
      </c>
      <c r="K44" s="1" t="s">
        <v>44</v>
      </c>
      <c r="L44" s="1" t="s">
        <v>45</v>
      </c>
      <c r="M44" s="1" t="s">
        <v>46</v>
      </c>
      <c r="N44" s="1" t="s">
        <v>47</v>
      </c>
      <c r="O44" s="1" t="s">
        <v>48</v>
      </c>
      <c r="P44" s="1" t="s">
        <v>4</v>
      </c>
      <c r="Q44" s="1" t="s">
        <v>49</v>
      </c>
      <c r="R44" s="1" t="s">
        <v>50</v>
      </c>
      <c r="S44" s="1" t="s">
        <v>51</v>
      </c>
      <c r="T44" s="1" t="s">
        <v>52</v>
      </c>
      <c r="U44" s="1" t="s">
        <v>10</v>
      </c>
    </row>
    <row r="45" spans="1:21" ht="28" customHeight="1" x14ac:dyDescent="0.35">
      <c r="A45" s="4">
        <v>1</v>
      </c>
      <c r="B45" s="4" t="s">
        <v>53</v>
      </c>
      <c r="C45" s="4" t="s">
        <v>642</v>
      </c>
      <c r="D45" s="4" t="s">
        <v>643</v>
      </c>
      <c r="E45" s="4" t="s">
        <v>56</v>
      </c>
      <c r="F45" s="4" t="s">
        <v>57</v>
      </c>
      <c r="G45" s="4" t="s">
        <v>58</v>
      </c>
      <c r="H45" s="4" t="s">
        <v>59</v>
      </c>
      <c r="I45" s="3"/>
      <c r="J45" s="3"/>
      <c r="K45" s="3"/>
      <c r="L45" s="3"/>
      <c r="M45" s="3"/>
      <c r="N45" s="3"/>
      <c r="O45" s="3"/>
      <c r="P45" s="8"/>
      <c r="Q45" s="8"/>
      <c r="R45" s="3"/>
      <c r="S45" s="3"/>
      <c r="T45" s="3"/>
      <c r="U45" s="5" t="str">
        <f t="shared" ref="U45:U60" si="3">IF(I45="","",IF(I45="NA","Grey",IF(I45=2,"Green",IF(I45=1,"Amber","Red"))))</f>
        <v/>
      </c>
    </row>
    <row r="46" spans="1:21" ht="28" customHeight="1" x14ac:dyDescent="0.35">
      <c r="A46" s="4">
        <v>2</v>
      </c>
      <c r="B46" s="4" t="s">
        <v>53</v>
      </c>
      <c r="C46" s="4" t="s">
        <v>644</v>
      </c>
      <c r="D46" s="4" t="s">
        <v>645</v>
      </c>
      <c r="E46" s="4" t="s">
        <v>56</v>
      </c>
      <c r="F46" s="4" t="s">
        <v>57</v>
      </c>
      <c r="G46" s="4" t="s">
        <v>58</v>
      </c>
      <c r="H46" s="4" t="s">
        <v>59</v>
      </c>
      <c r="I46" s="3"/>
      <c r="J46" s="3"/>
      <c r="K46" s="3"/>
      <c r="L46" s="3"/>
      <c r="M46" s="3"/>
      <c r="N46" s="3"/>
      <c r="O46" s="3"/>
      <c r="P46" s="8"/>
      <c r="Q46" s="8"/>
      <c r="R46" s="3"/>
      <c r="S46" s="3"/>
      <c r="T46" s="3"/>
      <c r="U46" s="5" t="str">
        <f t="shared" si="3"/>
        <v/>
      </c>
    </row>
    <row r="47" spans="1:21" ht="28" customHeight="1" x14ac:dyDescent="0.35">
      <c r="A47" s="4">
        <v>3</v>
      </c>
      <c r="B47" s="4" t="s">
        <v>53</v>
      </c>
      <c r="C47" s="4" t="s">
        <v>646</v>
      </c>
      <c r="D47" s="4" t="s">
        <v>647</v>
      </c>
      <c r="E47" s="4" t="s">
        <v>56</v>
      </c>
      <c r="F47" s="4" t="s">
        <v>57</v>
      </c>
      <c r="G47" s="4" t="s">
        <v>58</v>
      </c>
      <c r="H47" s="4" t="s">
        <v>59</v>
      </c>
      <c r="I47" s="3"/>
      <c r="J47" s="3"/>
      <c r="K47" s="3"/>
      <c r="L47" s="3"/>
      <c r="M47" s="3"/>
      <c r="N47" s="3"/>
      <c r="O47" s="3"/>
      <c r="P47" s="8"/>
      <c r="Q47" s="8"/>
      <c r="R47" s="3"/>
      <c r="S47" s="3"/>
      <c r="T47" s="3"/>
      <c r="U47" s="5" t="str">
        <f t="shared" si="3"/>
        <v/>
      </c>
    </row>
    <row r="48" spans="1:21" ht="28" customHeight="1" x14ac:dyDescent="0.35">
      <c r="A48" s="4">
        <v>4</v>
      </c>
      <c r="B48" s="4" t="s">
        <v>53</v>
      </c>
      <c r="C48" s="4" t="s">
        <v>648</v>
      </c>
      <c r="D48" s="4" t="s">
        <v>649</v>
      </c>
      <c r="E48" s="4" t="s">
        <v>56</v>
      </c>
      <c r="F48" s="4" t="s">
        <v>57</v>
      </c>
      <c r="G48" s="4" t="s">
        <v>58</v>
      </c>
      <c r="H48" s="4" t="s">
        <v>59</v>
      </c>
      <c r="I48" s="3"/>
      <c r="J48" s="3"/>
      <c r="K48" s="3"/>
      <c r="L48" s="3"/>
      <c r="M48" s="3"/>
      <c r="N48" s="3"/>
      <c r="O48" s="3"/>
      <c r="P48" s="8"/>
      <c r="Q48" s="8"/>
      <c r="R48" s="3"/>
      <c r="S48" s="3"/>
      <c r="T48" s="3"/>
      <c r="U48" s="5" t="str">
        <f t="shared" si="3"/>
        <v/>
      </c>
    </row>
    <row r="49" spans="1:21" ht="28" customHeight="1" x14ac:dyDescent="0.35">
      <c r="A49" s="4">
        <v>5</v>
      </c>
      <c r="B49" s="4" t="s">
        <v>66</v>
      </c>
      <c r="C49" s="4" t="s">
        <v>67</v>
      </c>
      <c r="D49" s="4" t="s">
        <v>68</v>
      </c>
      <c r="E49" s="4" t="s">
        <v>69</v>
      </c>
      <c r="F49" s="4" t="s">
        <v>57</v>
      </c>
      <c r="G49" s="4" t="s">
        <v>58</v>
      </c>
      <c r="H49" s="4" t="s">
        <v>59</v>
      </c>
      <c r="I49" s="3"/>
      <c r="J49" s="3"/>
      <c r="K49" s="3"/>
      <c r="L49" s="3"/>
      <c r="M49" s="3"/>
      <c r="N49" s="3"/>
      <c r="O49" s="3"/>
      <c r="P49" s="8"/>
      <c r="Q49" s="8"/>
      <c r="R49" s="3"/>
      <c r="S49" s="3"/>
      <c r="T49" s="3"/>
      <c r="U49" s="5" t="str">
        <f t="shared" si="3"/>
        <v/>
      </c>
    </row>
    <row r="50" spans="1:21" ht="28" customHeight="1" x14ac:dyDescent="0.35">
      <c r="A50" s="4">
        <v>6</v>
      </c>
      <c r="B50" s="4" t="s">
        <v>70</v>
      </c>
      <c r="C50" s="4" t="s">
        <v>71</v>
      </c>
      <c r="D50" s="4" t="s">
        <v>72</v>
      </c>
      <c r="E50" s="4" t="s">
        <v>70</v>
      </c>
      <c r="F50" s="4" t="s">
        <v>57</v>
      </c>
      <c r="G50" s="4" t="s">
        <v>58</v>
      </c>
      <c r="H50" s="4" t="s">
        <v>59</v>
      </c>
      <c r="I50" s="3"/>
      <c r="J50" s="3"/>
      <c r="K50" s="3"/>
      <c r="L50" s="3"/>
      <c r="M50" s="3"/>
      <c r="N50" s="3"/>
      <c r="O50" s="3"/>
      <c r="P50" s="8"/>
      <c r="Q50" s="8"/>
      <c r="R50" s="3"/>
      <c r="S50" s="3"/>
      <c r="T50" s="3"/>
      <c r="U50" s="5" t="str">
        <f t="shared" si="3"/>
        <v/>
      </c>
    </row>
    <row r="51" spans="1:21" ht="28" customHeight="1" x14ac:dyDescent="0.35">
      <c r="A51" s="4">
        <v>7</v>
      </c>
      <c r="B51" s="4" t="s">
        <v>73</v>
      </c>
      <c r="C51" s="4" t="s">
        <v>74</v>
      </c>
      <c r="D51" s="4" t="s">
        <v>75</v>
      </c>
      <c r="E51" s="4" t="s">
        <v>69</v>
      </c>
      <c r="F51" s="4" t="s">
        <v>57</v>
      </c>
      <c r="G51" s="4" t="s">
        <v>58</v>
      </c>
      <c r="H51" s="4" t="s">
        <v>76</v>
      </c>
      <c r="I51" s="3"/>
      <c r="J51" s="3"/>
      <c r="K51" s="3"/>
      <c r="L51" s="3"/>
      <c r="M51" s="3"/>
      <c r="N51" s="3"/>
      <c r="O51" s="3"/>
      <c r="P51" s="8"/>
      <c r="Q51" s="8"/>
      <c r="R51" s="3"/>
      <c r="S51" s="3"/>
      <c r="T51" s="3"/>
      <c r="U51" s="5" t="str">
        <f t="shared" si="3"/>
        <v/>
      </c>
    </row>
    <row r="52" spans="1:21" ht="28" customHeight="1" x14ac:dyDescent="0.35">
      <c r="A52" s="4">
        <v>8</v>
      </c>
      <c r="B52" s="4" t="s">
        <v>77</v>
      </c>
      <c r="C52" s="4" t="s">
        <v>78</v>
      </c>
      <c r="D52" s="4" t="s">
        <v>79</v>
      </c>
      <c r="E52" s="4" t="s">
        <v>80</v>
      </c>
      <c r="F52" s="4" t="s">
        <v>57</v>
      </c>
      <c r="G52" s="4" t="s">
        <v>58</v>
      </c>
      <c r="H52" s="4" t="s">
        <v>59</v>
      </c>
      <c r="I52" s="3"/>
      <c r="J52" s="3"/>
      <c r="K52" s="3"/>
      <c r="L52" s="3"/>
      <c r="M52" s="3"/>
      <c r="N52" s="3"/>
      <c r="O52" s="3"/>
      <c r="P52" s="8"/>
      <c r="Q52" s="8"/>
      <c r="R52" s="3"/>
      <c r="S52" s="3"/>
      <c r="T52" s="3"/>
      <c r="U52" s="5" t="str">
        <f t="shared" si="3"/>
        <v/>
      </c>
    </row>
    <row r="53" spans="1:21" ht="28" customHeight="1" x14ac:dyDescent="0.35">
      <c r="A53" s="4">
        <v>9</v>
      </c>
      <c r="B53" s="4" t="s">
        <v>81</v>
      </c>
      <c r="C53" s="4" t="s">
        <v>82</v>
      </c>
      <c r="D53" s="4" t="s">
        <v>83</v>
      </c>
      <c r="E53" s="4" t="s">
        <v>84</v>
      </c>
      <c r="F53" s="4" t="s">
        <v>57</v>
      </c>
      <c r="G53" s="4" t="s">
        <v>58</v>
      </c>
      <c r="H53" s="4" t="s">
        <v>85</v>
      </c>
      <c r="I53" s="3"/>
      <c r="J53" s="3"/>
      <c r="K53" s="3"/>
      <c r="L53" s="3"/>
      <c r="M53" s="3"/>
      <c r="N53" s="3"/>
      <c r="O53" s="3"/>
      <c r="P53" s="8"/>
      <c r="Q53" s="8"/>
      <c r="R53" s="3"/>
      <c r="S53" s="3"/>
      <c r="T53" s="3"/>
      <c r="U53" s="5" t="str">
        <f t="shared" si="3"/>
        <v/>
      </c>
    </row>
    <row r="54" spans="1:21" ht="28" customHeight="1" x14ac:dyDescent="0.35">
      <c r="A54" s="4">
        <v>10</v>
      </c>
      <c r="B54" s="4" t="s">
        <v>86</v>
      </c>
      <c r="C54" s="4" t="s">
        <v>87</v>
      </c>
      <c r="D54" s="4" t="s">
        <v>88</v>
      </c>
      <c r="E54" s="4" t="s">
        <v>69</v>
      </c>
      <c r="F54" s="4" t="s">
        <v>57</v>
      </c>
      <c r="G54" s="4" t="s">
        <v>58</v>
      </c>
      <c r="H54" s="4" t="s">
        <v>59</v>
      </c>
      <c r="I54" s="3"/>
      <c r="J54" s="3"/>
      <c r="K54" s="3"/>
      <c r="L54" s="3"/>
      <c r="M54" s="3"/>
      <c r="N54" s="3"/>
      <c r="O54" s="3"/>
      <c r="P54" s="8"/>
      <c r="Q54" s="8"/>
      <c r="R54" s="3"/>
      <c r="S54" s="3"/>
      <c r="T54" s="3"/>
      <c r="U54" s="5" t="str">
        <f t="shared" si="3"/>
        <v/>
      </c>
    </row>
    <row r="55" spans="1:21" ht="28" customHeight="1" x14ac:dyDescent="0.35">
      <c r="A55" s="4">
        <v>11</v>
      </c>
      <c r="B55" s="4" t="s">
        <v>89</v>
      </c>
      <c r="C55" s="4" t="s">
        <v>90</v>
      </c>
      <c r="D55" s="4" t="s">
        <v>91</v>
      </c>
      <c r="E55" s="4" t="s">
        <v>84</v>
      </c>
      <c r="F55" s="4" t="s">
        <v>57</v>
      </c>
      <c r="G55" s="4" t="s">
        <v>58</v>
      </c>
      <c r="H55" s="4" t="s">
        <v>59</v>
      </c>
      <c r="I55" s="3"/>
      <c r="J55" s="3"/>
      <c r="K55" s="3"/>
      <c r="L55" s="3"/>
      <c r="M55" s="3"/>
      <c r="N55" s="3"/>
      <c r="O55" s="3"/>
      <c r="P55" s="8"/>
      <c r="Q55" s="8"/>
      <c r="R55" s="3"/>
      <c r="S55" s="3"/>
      <c r="T55" s="3"/>
      <c r="U55" s="5" t="str">
        <f t="shared" si="3"/>
        <v/>
      </c>
    </row>
    <row r="56" spans="1:21" ht="28" customHeight="1" x14ac:dyDescent="0.35">
      <c r="A56" s="4">
        <v>12</v>
      </c>
      <c r="B56" s="4" t="s">
        <v>92</v>
      </c>
      <c r="C56" s="4" t="s">
        <v>93</v>
      </c>
      <c r="D56" s="4" t="s">
        <v>94</v>
      </c>
      <c r="E56" s="4" t="s">
        <v>69</v>
      </c>
      <c r="F56" s="4" t="s">
        <v>95</v>
      </c>
      <c r="G56" s="4" t="s">
        <v>96</v>
      </c>
      <c r="H56" s="4" t="s">
        <v>59</v>
      </c>
      <c r="I56" s="3"/>
      <c r="J56" s="3"/>
      <c r="K56" s="3"/>
      <c r="L56" s="3"/>
      <c r="M56" s="3"/>
      <c r="N56" s="3"/>
      <c r="O56" s="3"/>
      <c r="P56" s="8"/>
      <c r="Q56" s="8"/>
      <c r="R56" s="3"/>
      <c r="S56" s="3"/>
      <c r="T56" s="3"/>
      <c r="U56" s="5" t="str">
        <f t="shared" si="3"/>
        <v/>
      </c>
    </row>
    <row r="57" spans="1:21" ht="28" customHeight="1" x14ac:dyDescent="0.35">
      <c r="A57" s="4">
        <v>13</v>
      </c>
      <c r="B57" s="4" t="s">
        <v>97</v>
      </c>
      <c r="C57" s="4" t="s">
        <v>98</v>
      </c>
      <c r="D57" s="4" t="s">
        <v>99</v>
      </c>
      <c r="E57" s="4" t="s">
        <v>69</v>
      </c>
      <c r="F57" s="4" t="s">
        <v>95</v>
      </c>
      <c r="G57" s="4" t="s">
        <v>96</v>
      </c>
      <c r="H57" s="4" t="s">
        <v>59</v>
      </c>
      <c r="I57" s="3"/>
      <c r="J57" s="3"/>
      <c r="K57" s="3"/>
      <c r="L57" s="3"/>
      <c r="M57" s="3"/>
      <c r="N57" s="3"/>
      <c r="O57" s="3"/>
      <c r="P57" s="8"/>
      <c r="Q57" s="8"/>
      <c r="R57" s="3"/>
      <c r="S57" s="3"/>
      <c r="T57" s="3"/>
      <c r="U57" s="5" t="str">
        <f t="shared" si="3"/>
        <v/>
      </c>
    </row>
    <row r="58" spans="1:21" ht="28" customHeight="1" x14ac:dyDescent="0.35">
      <c r="A58" s="4">
        <v>14</v>
      </c>
      <c r="B58" s="4" t="s">
        <v>97</v>
      </c>
      <c r="C58" s="4" t="s">
        <v>100</v>
      </c>
      <c r="D58" s="4" t="s">
        <v>101</v>
      </c>
      <c r="E58" s="4" t="s">
        <v>69</v>
      </c>
      <c r="F58" s="4" t="s">
        <v>95</v>
      </c>
      <c r="G58" s="4" t="s">
        <v>102</v>
      </c>
      <c r="H58" s="4" t="s">
        <v>59</v>
      </c>
      <c r="I58" s="3"/>
      <c r="J58" s="3"/>
      <c r="K58" s="3"/>
      <c r="L58" s="3"/>
      <c r="M58" s="3"/>
      <c r="N58" s="3"/>
      <c r="O58" s="3"/>
      <c r="P58" s="8"/>
      <c r="Q58" s="8"/>
      <c r="R58" s="3"/>
      <c r="S58" s="3"/>
      <c r="T58" s="3"/>
      <c r="U58" s="5" t="str">
        <f t="shared" si="3"/>
        <v/>
      </c>
    </row>
    <row r="59" spans="1:21" ht="28" customHeight="1" x14ac:dyDescent="0.35">
      <c r="A59" s="4">
        <v>15</v>
      </c>
      <c r="B59" s="4" t="s">
        <v>103</v>
      </c>
      <c r="C59" s="4" t="s">
        <v>104</v>
      </c>
      <c r="D59" s="4" t="s">
        <v>105</v>
      </c>
      <c r="E59" s="4" t="s">
        <v>69</v>
      </c>
      <c r="F59" s="4" t="s">
        <v>95</v>
      </c>
      <c r="G59" s="4" t="s">
        <v>96</v>
      </c>
      <c r="H59" s="4" t="s">
        <v>85</v>
      </c>
      <c r="I59" s="3"/>
      <c r="J59" s="3"/>
      <c r="K59" s="3"/>
      <c r="L59" s="3"/>
      <c r="M59" s="3"/>
      <c r="N59" s="3"/>
      <c r="O59" s="3"/>
      <c r="P59" s="8"/>
      <c r="Q59" s="8"/>
      <c r="R59" s="3"/>
      <c r="S59" s="3"/>
      <c r="T59" s="3"/>
      <c r="U59" s="5" t="str">
        <f t="shared" si="3"/>
        <v/>
      </c>
    </row>
    <row r="60" spans="1:21" ht="28" customHeight="1" x14ac:dyDescent="0.35">
      <c r="A60" s="4">
        <v>16</v>
      </c>
      <c r="B60" s="4" t="s">
        <v>106</v>
      </c>
      <c r="C60" s="4" t="s">
        <v>107</v>
      </c>
      <c r="D60" s="4" t="s">
        <v>108</v>
      </c>
      <c r="E60" s="4" t="s">
        <v>109</v>
      </c>
      <c r="F60" s="4" t="s">
        <v>95</v>
      </c>
      <c r="G60" s="4" t="s">
        <v>96</v>
      </c>
      <c r="H60" s="4" t="s">
        <v>59</v>
      </c>
      <c r="I60" s="3"/>
      <c r="J60" s="3"/>
      <c r="K60" s="3"/>
      <c r="L60" s="3"/>
      <c r="M60" s="3"/>
      <c r="N60" s="3"/>
      <c r="O60" s="3"/>
      <c r="P60" s="8"/>
      <c r="Q60" s="8"/>
      <c r="R60" s="3"/>
      <c r="S60" s="3"/>
      <c r="T60" s="3"/>
      <c r="U60" s="5" t="str">
        <f t="shared" si="3"/>
        <v/>
      </c>
    </row>
    <row r="62" spans="1:21" ht="28" customHeight="1" x14ac:dyDescent="0.35">
      <c r="A62" s="9" t="s">
        <v>110</v>
      </c>
      <c r="B62" s="16"/>
      <c r="C62" s="17"/>
      <c r="D62" s="17"/>
      <c r="E62" s="17"/>
      <c r="F62" s="17"/>
      <c r="G62" s="17"/>
      <c r="H62" s="17"/>
      <c r="I62" s="17"/>
      <c r="J62" s="17"/>
      <c r="K62" s="17"/>
      <c r="L62" s="17"/>
      <c r="M62" s="17"/>
      <c r="N62" s="17"/>
      <c r="O62" s="17"/>
      <c r="P62" s="17"/>
      <c r="Q62" s="17"/>
      <c r="R62" s="17"/>
      <c r="S62" s="17"/>
      <c r="T62" s="17"/>
      <c r="U62" s="18"/>
    </row>
    <row r="63" spans="1:21" ht="28" customHeight="1" x14ac:dyDescent="0.35">
      <c r="A63" s="19" t="s">
        <v>651</v>
      </c>
      <c r="B63" s="20"/>
      <c r="C63" s="20"/>
      <c r="D63" s="20"/>
      <c r="E63" s="20"/>
      <c r="F63" s="20"/>
      <c r="G63" s="20"/>
      <c r="H63" s="20"/>
      <c r="I63" s="20"/>
      <c r="J63" s="20"/>
      <c r="K63" s="20"/>
      <c r="L63" s="20"/>
      <c r="M63" s="20"/>
      <c r="N63" s="20"/>
      <c r="O63" s="20"/>
      <c r="P63" s="20"/>
      <c r="Q63" s="20"/>
      <c r="R63" s="20"/>
      <c r="S63" s="20"/>
      <c r="T63" s="20"/>
      <c r="U63" s="21"/>
    </row>
    <row r="64" spans="1:21" ht="28" customHeight="1" x14ac:dyDescent="0.35">
      <c r="A64" s="4" t="s">
        <v>31</v>
      </c>
      <c r="B64" s="3" t="s">
        <v>20</v>
      </c>
      <c r="C64" s="4" t="s">
        <v>32</v>
      </c>
      <c r="D64" s="3"/>
      <c r="E64" s="4" t="s">
        <v>33</v>
      </c>
      <c r="F64" s="8"/>
    </row>
    <row r="65" spans="1:21" ht="28" customHeight="1" x14ac:dyDescent="0.35">
      <c r="A65" s="1" t="s">
        <v>34</v>
      </c>
      <c r="B65" s="1" t="s">
        <v>35</v>
      </c>
      <c r="C65" s="1" t="s">
        <v>36</v>
      </c>
      <c r="D65" s="1" t="s">
        <v>37</v>
      </c>
      <c r="E65" s="1" t="s">
        <v>38</v>
      </c>
      <c r="F65" s="1" t="s">
        <v>39</v>
      </c>
      <c r="G65" s="1" t="s">
        <v>40</v>
      </c>
      <c r="H65" s="1" t="s">
        <v>41</v>
      </c>
      <c r="I65" s="1" t="s">
        <v>42</v>
      </c>
      <c r="J65" s="1" t="s">
        <v>43</v>
      </c>
      <c r="K65" s="1" t="s">
        <v>44</v>
      </c>
      <c r="L65" s="1" t="s">
        <v>45</v>
      </c>
      <c r="M65" s="1" t="s">
        <v>46</v>
      </c>
      <c r="N65" s="1" t="s">
        <v>47</v>
      </c>
      <c r="O65" s="1" t="s">
        <v>48</v>
      </c>
      <c r="P65" s="1" t="s">
        <v>4</v>
      </c>
      <c r="Q65" s="1" t="s">
        <v>49</v>
      </c>
      <c r="R65" s="1" t="s">
        <v>50</v>
      </c>
      <c r="S65" s="1" t="s">
        <v>51</v>
      </c>
      <c r="T65" s="1" t="s">
        <v>52</v>
      </c>
      <c r="U65" s="1" t="s">
        <v>10</v>
      </c>
    </row>
    <row r="66" spans="1:21" ht="28" customHeight="1" x14ac:dyDescent="0.35">
      <c r="A66" s="4">
        <v>1</v>
      </c>
      <c r="B66" s="4" t="s">
        <v>53</v>
      </c>
      <c r="C66" s="4" t="s">
        <v>642</v>
      </c>
      <c r="D66" s="4" t="s">
        <v>643</v>
      </c>
      <c r="E66" s="4" t="s">
        <v>56</v>
      </c>
      <c r="F66" s="4" t="s">
        <v>57</v>
      </c>
      <c r="G66" s="4" t="s">
        <v>58</v>
      </c>
      <c r="H66" s="4" t="s">
        <v>59</v>
      </c>
      <c r="I66" s="3"/>
      <c r="J66" s="3"/>
      <c r="K66" s="3"/>
      <c r="L66" s="3"/>
      <c r="M66" s="3"/>
      <c r="N66" s="3"/>
      <c r="O66" s="3"/>
      <c r="P66" s="8"/>
      <c r="Q66" s="8"/>
      <c r="R66" s="3"/>
      <c r="S66" s="3"/>
      <c r="T66" s="3"/>
      <c r="U66" s="5" t="str">
        <f t="shared" ref="U66:U81" si="4">IF(I66="","",IF(I66="NA","Grey",IF(I66=2,"Green",IF(I66=1,"Amber","Red"))))</f>
        <v/>
      </c>
    </row>
    <row r="67" spans="1:21" ht="28" customHeight="1" x14ac:dyDescent="0.35">
      <c r="A67" s="4">
        <v>2</v>
      </c>
      <c r="B67" s="4" t="s">
        <v>53</v>
      </c>
      <c r="C67" s="4" t="s">
        <v>644</v>
      </c>
      <c r="D67" s="4" t="s">
        <v>645</v>
      </c>
      <c r="E67" s="4" t="s">
        <v>56</v>
      </c>
      <c r="F67" s="4" t="s">
        <v>57</v>
      </c>
      <c r="G67" s="4" t="s">
        <v>58</v>
      </c>
      <c r="H67" s="4" t="s">
        <v>59</v>
      </c>
      <c r="I67" s="3"/>
      <c r="J67" s="3"/>
      <c r="K67" s="3"/>
      <c r="L67" s="3"/>
      <c r="M67" s="3"/>
      <c r="N67" s="3"/>
      <c r="O67" s="3"/>
      <c r="P67" s="8"/>
      <c r="Q67" s="8"/>
      <c r="R67" s="3"/>
      <c r="S67" s="3"/>
      <c r="T67" s="3"/>
      <c r="U67" s="5" t="str">
        <f t="shared" si="4"/>
        <v/>
      </c>
    </row>
    <row r="68" spans="1:21" ht="28" customHeight="1" x14ac:dyDescent="0.35">
      <c r="A68" s="4">
        <v>3</v>
      </c>
      <c r="B68" s="4" t="s">
        <v>53</v>
      </c>
      <c r="C68" s="4" t="s">
        <v>646</v>
      </c>
      <c r="D68" s="4" t="s">
        <v>647</v>
      </c>
      <c r="E68" s="4" t="s">
        <v>56</v>
      </c>
      <c r="F68" s="4" t="s">
        <v>57</v>
      </c>
      <c r="G68" s="4" t="s">
        <v>58</v>
      </c>
      <c r="H68" s="4" t="s">
        <v>59</v>
      </c>
      <c r="I68" s="3"/>
      <c r="J68" s="3"/>
      <c r="K68" s="3"/>
      <c r="L68" s="3"/>
      <c r="M68" s="3"/>
      <c r="N68" s="3"/>
      <c r="O68" s="3"/>
      <c r="P68" s="8"/>
      <c r="Q68" s="8"/>
      <c r="R68" s="3"/>
      <c r="S68" s="3"/>
      <c r="T68" s="3"/>
      <c r="U68" s="5" t="str">
        <f t="shared" si="4"/>
        <v/>
      </c>
    </row>
    <row r="69" spans="1:21" ht="28" customHeight="1" x14ac:dyDescent="0.35">
      <c r="A69" s="4">
        <v>4</v>
      </c>
      <c r="B69" s="4" t="s">
        <v>53</v>
      </c>
      <c r="C69" s="4" t="s">
        <v>648</v>
      </c>
      <c r="D69" s="4" t="s">
        <v>649</v>
      </c>
      <c r="E69" s="4" t="s">
        <v>56</v>
      </c>
      <c r="F69" s="4" t="s">
        <v>57</v>
      </c>
      <c r="G69" s="4" t="s">
        <v>58</v>
      </c>
      <c r="H69" s="4" t="s">
        <v>59</v>
      </c>
      <c r="I69" s="3"/>
      <c r="J69" s="3"/>
      <c r="K69" s="3"/>
      <c r="L69" s="3"/>
      <c r="M69" s="3"/>
      <c r="N69" s="3"/>
      <c r="O69" s="3"/>
      <c r="P69" s="8"/>
      <c r="Q69" s="8"/>
      <c r="R69" s="3"/>
      <c r="S69" s="3"/>
      <c r="T69" s="3"/>
      <c r="U69" s="5" t="str">
        <f t="shared" si="4"/>
        <v/>
      </c>
    </row>
    <row r="70" spans="1:21" ht="28" customHeight="1" x14ac:dyDescent="0.35">
      <c r="A70" s="4">
        <v>5</v>
      </c>
      <c r="B70" s="4" t="s">
        <v>66</v>
      </c>
      <c r="C70" s="4" t="s">
        <v>67</v>
      </c>
      <c r="D70" s="4" t="s">
        <v>68</v>
      </c>
      <c r="E70" s="4" t="s">
        <v>69</v>
      </c>
      <c r="F70" s="4" t="s">
        <v>57</v>
      </c>
      <c r="G70" s="4" t="s">
        <v>58</v>
      </c>
      <c r="H70" s="4" t="s">
        <v>59</v>
      </c>
      <c r="I70" s="3"/>
      <c r="J70" s="3"/>
      <c r="K70" s="3"/>
      <c r="L70" s="3"/>
      <c r="M70" s="3"/>
      <c r="N70" s="3"/>
      <c r="O70" s="3"/>
      <c r="P70" s="8"/>
      <c r="Q70" s="8"/>
      <c r="R70" s="3"/>
      <c r="S70" s="3"/>
      <c r="T70" s="3"/>
      <c r="U70" s="5" t="str">
        <f t="shared" si="4"/>
        <v/>
      </c>
    </row>
    <row r="71" spans="1:21" ht="28" customHeight="1" x14ac:dyDescent="0.35">
      <c r="A71" s="4">
        <v>6</v>
      </c>
      <c r="B71" s="4" t="s">
        <v>70</v>
      </c>
      <c r="C71" s="4" t="s">
        <v>71</v>
      </c>
      <c r="D71" s="4" t="s">
        <v>72</v>
      </c>
      <c r="E71" s="4" t="s">
        <v>70</v>
      </c>
      <c r="F71" s="4" t="s">
        <v>57</v>
      </c>
      <c r="G71" s="4" t="s">
        <v>58</v>
      </c>
      <c r="H71" s="4" t="s">
        <v>59</v>
      </c>
      <c r="I71" s="3"/>
      <c r="J71" s="3"/>
      <c r="K71" s="3"/>
      <c r="L71" s="3"/>
      <c r="M71" s="3"/>
      <c r="N71" s="3"/>
      <c r="O71" s="3"/>
      <c r="P71" s="8"/>
      <c r="Q71" s="8"/>
      <c r="R71" s="3"/>
      <c r="S71" s="3"/>
      <c r="T71" s="3"/>
      <c r="U71" s="5" t="str">
        <f t="shared" si="4"/>
        <v/>
      </c>
    </row>
    <row r="72" spans="1:21" ht="28" customHeight="1" x14ac:dyDescent="0.35">
      <c r="A72" s="4">
        <v>7</v>
      </c>
      <c r="B72" s="4" t="s">
        <v>73</v>
      </c>
      <c r="C72" s="4" t="s">
        <v>74</v>
      </c>
      <c r="D72" s="4" t="s">
        <v>75</v>
      </c>
      <c r="E72" s="4" t="s">
        <v>69</v>
      </c>
      <c r="F72" s="4" t="s">
        <v>57</v>
      </c>
      <c r="G72" s="4" t="s">
        <v>58</v>
      </c>
      <c r="H72" s="4" t="s">
        <v>76</v>
      </c>
      <c r="I72" s="3"/>
      <c r="J72" s="3"/>
      <c r="K72" s="3"/>
      <c r="L72" s="3"/>
      <c r="M72" s="3"/>
      <c r="N72" s="3"/>
      <c r="O72" s="3"/>
      <c r="P72" s="8"/>
      <c r="Q72" s="8"/>
      <c r="R72" s="3"/>
      <c r="S72" s="3"/>
      <c r="T72" s="3"/>
      <c r="U72" s="5" t="str">
        <f t="shared" si="4"/>
        <v/>
      </c>
    </row>
    <row r="73" spans="1:21" ht="28" customHeight="1" x14ac:dyDescent="0.35">
      <c r="A73" s="4">
        <v>8</v>
      </c>
      <c r="B73" s="4" t="s">
        <v>77</v>
      </c>
      <c r="C73" s="4" t="s">
        <v>78</v>
      </c>
      <c r="D73" s="4" t="s">
        <v>79</v>
      </c>
      <c r="E73" s="4" t="s">
        <v>80</v>
      </c>
      <c r="F73" s="4" t="s">
        <v>57</v>
      </c>
      <c r="G73" s="4" t="s">
        <v>58</v>
      </c>
      <c r="H73" s="4" t="s">
        <v>59</v>
      </c>
      <c r="I73" s="3"/>
      <c r="J73" s="3"/>
      <c r="K73" s="3"/>
      <c r="L73" s="3"/>
      <c r="M73" s="3"/>
      <c r="N73" s="3"/>
      <c r="O73" s="3"/>
      <c r="P73" s="8"/>
      <c r="Q73" s="8"/>
      <c r="R73" s="3"/>
      <c r="S73" s="3"/>
      <c r="T73" s="3"/>
      <c r="U73" s="5" t="str">
        <f t="shared" si="4"/>
        <v/>
      </c>
    </row>
    <row r="74" spans="1:21" ht="28" customHeight="1" x14ac:dyDescent="0.35">
      <c r="A74" s="4">
        <v>9</v>
      </c>
      <c r="B74" s="4" t="s">
        <v>81</v>
      </c>
      <c r="C74" s="4" t="s">
        <v>82</v>
      </c>
      <c r="D74" s="4" t="s">
        <v>83</v>
      </c>
      <c r="E74" s="4" t="s">
        <v>84</v>
      </c>
      <c r="F74" s="4" t="s">
        <v>57</v>
      </c>
      <c r="G74" s="4" t="s">
        <v>58</v>
      </c>
      <c r="H74" s="4" t="s">
        <v>85</v>
      </c>
      <c r="I74" s="3"/>
      <c r="J74" s="3"/>
      <c r="K74" s="3"/>
      <c r="L74" s="3"/>
      <c r="M74" s="3"/>
      <c r="N74" s="3"/>
      <c r="O74" s="3"/>
      <c r="P74" s="8"/>
      <c r="Q74" s="8"/>
      <c r="R74" s="3"/>
      <c r="S74" s="3"/>
      <c r="T74" s="3"/>
      <c r="U74" s="5" t="str">
        <f t="shared" si="4"/>
        <v/>
      </c>
    </row>
    <row r="75" spans="1:21" ht="28" customHeight="1" x14ac:dyDescent="0.35">
      <c r="A75" s="4">
        <v>10</v>
      </c>
      <c r="B75" s="4" t="s">
        <v>86</v>
      </c>
      <c r="C75" s="4" t="s">
        <v>87</v>
      </c>
      <c r="D75" s="4" t="s">
        <v>88</v>
      </c>
      <c r="E75" s="4" t="s">
        <v>69</v>
      </c>
      <c r="F75" s="4" t="s">
        <v>57</v>
      </c>
      <c r="G75" s="4" t="s">
        <v>58</v>
      </c>
      <c r="H75" s="4" t="s">
        <v>59</v>
      </c>
      <c r="I75" s="3"/>
      <c r="J75" s="3"/>
      <c r="K75" s="3"/>
      <c r="L75" s="3"/>
      <c r="M75" s="3"/>
      <c r="N75" s="3"/>
      <c r="O75" s="3"/>
      <c r="P75" s="8"/>
      <c r="Q75" s="8"/>
      <c r="R75" s="3"/>
      <c r="S75" s="3"/>
      <c r="T75" s="3"/>
      <c r="U75" s="5" t="str">
        <f t="shared" si="4"/>
        <v/>
      </c>
    </row>
    <row r="76" spans="1:21" ht="28" customHeight="1" x14ac:dyDescent="0.35">
      <c r="A76" s="4">
        <v>11</v>
      </c>
      <c r="B76" s="4" t="s">
        <v>89</v>
      </c>
      <c r="C76" s="4" t="s">
        <v>90</v>
      </c>
      <c r="D76" s="4" t="s">
        <v>91</v>
      </c>
      <c r="E76" s="4" t="s">
        <v>84</v>
      </c>
      <c r="F76" s="4" t="s">
        <v>57</v>
      </c>
      <c r="G76" s="4" t="s">
        <v>58</v>
      </c>
      <c r="H76" s="4" t="s">
        <v>59</v>
      </c>
      <c r="I76" s="3"/>
      <c r="J76" s="3"/>
      <c r="K76" s="3"/>
      <c r="L76" s="3"/>
      <c r="M76" s="3"/>
      <c r="N76" s="3"/>
      <c r="O76" s="3"/>
      <c r="P76" s="8"/>
      <c r="Q76" s="8"/>
      <c r="R76" s="3"/>
      <c r="S76" s="3"/>
      <c r="T76" s="3"/>
      <c r="U76" s="5" t="str">
        <f t="shared" si="4"/>
        <v/>
      </c>
    </row>
    <row r="77" spans="1:21" ht="28" customHeight="1" x14ac:dyDescent="0.35">
      <c r="A77" s="4">
        <v>12</v>
      </c>
      <c r="B77" s="4" t="s">
        <v>92</v>
      </c>
      <c r="C77" s="4" t="s">
        <v>93</v>
      </c>
      <c r="D77" s="4" t="s">
        <v>94</v>
      </c>
      <c r="E77" s="4" t="s">
        <v>69</v>
      </c>
      <c r="F77" s="4" t="s">
        <v>95</v>
      </c>
      <c r="G77" s="4" t="s">
        <v>96</v>
      </c>
      <c r="H77" s="4" t="s">
        <v>59</v>
      </c>
      <c r="I77" s="3"/>
      <c r="J77" s="3"/>
      <c r="K77" s="3"/>
      <c r="L77" s="3"/>
      <c r="M77" s="3"/>
      <c r="N77" s="3"/>
      <c r="O77" s="3"/>
      <c r="P77" s="8"/>
      <c r="Q77" s="8"/>
      <c r="R77" s="3"/>
      <c r="S77" s="3"/>
      <c r="T77" s="3"/>
      <c r="U77" s="5" t="str">
        <f t="shared" si="4"/>
        <v/>
      </c>
    </row>
    <row r="78" spans="1:21" ht="28" customHeight="1" x14ac:dyDescent="0.35">
      <c r="A78" s="4">
        <v>13</v>
      </c>
      <c r="B78" s="4" t="s">
        <v>97</v>
      </c>
      <c r="C78" s="4" t="s">
        <v>98</v>
      </c>
      <c r="D78" s="4" t="s">
        <v>99</v>
      </c>
      <c r="E78" s="4" t="s">
        <v>69</v>
      </c>
      <c r="F78" s="4" t="s">
        <v>95</v>
      </c>
      <c r="G78" s="4" t="s">
        <v>96</v>
      </c>
      <c r="H78" s="4" t="s">
        <v>59</v>
      </c>
      <c r="I78" s="3"/>
      <c r="J78" s="3"/>
      <c r="K78" s="3"/>
      <c r="L78" s="3"/>
      <c r="M78" s="3"/>
      <c r="N78" s="3"/>
      <c r="O78" s="3"/>
      <c r="P78" s="8"/>
      <c r="Q78" s="8"/>
      <c r="R78" s="3"/>
      <c r="S78" s="3"/>
      <c r="T78" s="3"/>
      <c r="U78" s="5" t="str">
        <f t="shared" si="4"/>
        <v/>
      </c>
    </row>
    <row r="79" spans="1:21" ht="28" customHeight="1" x14ac:dyDescent="0.35">
      <c r="A79" s="4">
        <v>14</v>
      </c>
      <c r="B79" s="4" t="s">
        <v>97</v>
      </c>
      <c r="C79" s="4" t="s">
        <v>100</v>
      </c>
      <c r="D79" s="4" t="s">
        <v>101</v>
      </c>
      <c r="E79" s="4" t="s">
        <v>69</v>
      </c>
      <c r="F79" s="4" t="s">
        <v>95</v>
      </c>
      <c r="G79" s="4" t="s">
        <v>102</v>
      </c>
      <c r="H79" s="4" t="s">
        <v>59</v>
      </c>
      <c r="I79" s="3"/>
      <c r="J79" s="3"/>
      <c r="K79" s="3"/>
      <c r="L79" s="3"/>
      <c r="M79" s="3"/>
      <c r="N79" s="3"/>
      <c r="O79" s="3"/>
      <c r="P79" s="8"/>
      <c r="Q79" s="8"/>
      <c r="R79" s="3"/>
      <c r="S79" s="3"/>
      <c r="T79" s="3"/>
      <c r="U79" s="5" t="str">
        <f t="shared" si="4"/>
        <v/>
      </c>
    </row>
    <row r="80" spans="1:21" ht="28" customHeight="1" x14ac:dyDescent="0.35">
      <c r="A80" s="4">
        <v>15</v>
      </c>
      <c r="B80" s="4" t="s">
        <v>103</v>
      </c>
      <c r="C80" s="4" t="s">
        <v>104</v>
      </c>
      <c r="D80" s="4" t="s">
        <v>105</v>
      </c>
      <c r="E80" s="4" t="s">
        <v>69</v>
      </c>
      <c r="F80" s="4" t="s">
        <v>95</v>
      </c>
      <c r="G80" s="4" t="s">
        <v>96</v>
      </c>
      <c r="H80" s="4" t="s">
        <v>85</v>
      </c>
      <c r="I80" s="3"/>
      <c r="J80" s="3"/>
      <c r="K80" s="3"/>
      <c r="L80" s="3"/>
      <c r="M80" s="3"/>
      <c r="N80" s="3"/>
      <c r="O80" s="3"/>
      <c r="P80" s="8"/>
      <c r="Q80" s="8"/>
      <c r="R80" s="3"/>
      <c r="S80" s="3"/>
      <c r="T80" s="3"/>
      <c r="U80" s="5" t="str">
        <f t="shared" si="4"/>
        <v/>
      </c>
    </row>
    <row r="81" spans="1:21" ht="28" customHeight="1" x14ac:dyDescent="0.35">
      <c r="A81" s="4">
        <v>16</v>
      </c>
      <c r="B81" s="4" t="s">
        <v>106</v>
      </c>
      <c r="C81" s="4" t="s">
        <v>107</v>
      </c>
      <c r="D81" s="4" t="s">
        <v>108</v>
      </c>
      <c r="E81" s="4" t="s">
        <v>109</v>
      </c>
      <c r="F81" s="4" t="s">
        <v>95</v>
      </c>
      <c r="G81" s="4" t="s">
        <v>96</v>
      </c>
      <c r="H81" s="4" t="s">
        <v>59</v>
      </c>
      <c r="I81" s="3"/>
      <c r="J81" s="3"/>
      <c r="K81" s="3"/>
      <c r="L81" s="3"/>
      <c r="M81" s="3"/>
      <c r="N81" s="3"/>
      <c r="O81" s="3"/>
      <c r="P81" s="8"/>
      <c r="Q81" s="8"/>
      <c r="R81" s="3"/>
      <c r="S81" s="3"/>
      <c r="T81" s="3"/>
      <c r="U81" s="5" t="str">
        <f t="shared" si="4"/>
        <v/>
      </c>
    </row>
    <row r="83" spans="1:21" ht="28" customHeight="1" x14ac:dyDescent="0.35">
      <c r="A83" s="9" t="s">
        <v>110</v>
      </c>
      <c r="B83" s="16"/>
      <c r="C83" s="17"/>
      <c r="D83" s="17"/>
      <c r="E83" s="17"/>
      <c r="F83" s="17"/>
      <c r="G83" s="17"/>
      <c r="H83" s="17"/>
      <c r="I83" s="17"/>
      <c r="J83" s="17"/>
      <c r="K83" s="17"/>
      <c r="L83" s="17"/>
      <c r="M83" s="17"/>
      <c r="N83" s="17"/>
      <c r="O83" s="17"/>
      <c r="P83" s="17"/>
      <c r="Q83" s="17"/>
      <c r="R83" s="17"/>
      <c r="S83" s="17"/>
      <c r="T83" s="17"/>
      <c r="U83" s="18"/>
    </row>
    <row r="84" spans="1:21" ht="28" customHeight="1" x14ac:dyDescent="0.35">
      <c r="A84" s="19" t="s">
        <v>652</v>
      </c>
      <c r="B84" s="20"/>
      <c r="C84" s="20"/>
      <c r="D84" s="20"/>
      <c r="E84" s="20"/>
      <c r="F84" s="20"/>
      <c r="G84" s="20"/>
      <c r="H84" s="20"/>
      <c r="I84" s="20"/>
      <c r="J84" s="20"/>
      <c r="K84" s="20"/>
      <c r="L84" s="20"/>
      <c r="M84" s="20"/>
      <c r="N84" s="20"/>
      <c r="O84" s="20"/>
      <c r="P84" s="20"/>
      <c r="Q84" s="20"/>
      <c r="R84" s="20"/>
      <c r="S84" s="20"/>
      <c r="T84" s="20"/>
      <c r="U84" s="21"/>
    </row>
    <row r="85" spans="1:21" ht="28" customHeight="1" x14ac:dyDescent="0.35">
      <c r="A85" s="4" t="s">
        <v>31</v>
      </c>
      <c r="B85" s="3" t="s">
        <v>21</v>
      </c>
      <c r="C85" s="4" t="s">
        <v>32</v>
      </c>
      <c r="D85" s="3"/>
      <c r="E85" s="4" t="s">
        <v>33</v>
      </c>
      <c r="F85" s="8"/>
    </row>
    <row r="86" spans="1:21" ht="28" customHeight="1" x14ac:dyDescent="0.35">
      <c r="A86" s="1" t="s">
        <v>34</v>
      </c>
      <c r="B86" s="1" t="s">
        <v>35</v>
      </c>
      <c r="C86" s="1" t="s">
        <v>36</v>
      </c>
      <c r="D86" s="1" t="s">
        <v>37</v>
      </c>
      <c r="E86" s="1" t="s">
        <v>38</v>
      </c>
      <c r="F86" s="1" t="s">
        <v>39</v>
      </c>
      <c r="G86" s="1" t="s">
        <v>40</v>
      </c>
      <c r="H86" s="1" t="s">
        <v>41</v>
      </c>
      <c r="I86" s="1" t="s">
        <v>42</v>
      </c>
      <c r="J86" s="1" t="s">
        <v>43</v>
      </c>
      <c r="K86" s="1" t="s">
        <v>44</v>
      </c>
      <c r="L86" s="1" t="s">
        <v>45</v>
      </c>
      <c r="M86" s="1" t="s">
        <v>46</v>
      </c>
      <c r="N86" s="1" t="s">
        <v>47</v>
      </c>
      <c r="O86" s="1" t="s">
        <v>48</v>
      </c>
      <c r="P86" s="1" t="s">
        <v>4</v>
      </c>
      <c r="Q86" s="1" t="s">
        <v>49</v>
      </c>
      <c r="R86" s="1" t="s">
        <v>50</v>
      </c>
      <c r="S86" s="1" t="s">
        <v>51</v>
      </c>
      <c r="T86" s="1" t="s">
        <v>52</v>
      </c>
      <c r="U86" s="1" t="s">
        <v>10</v>
      </c>
    </row>
    <row r="87" spans="1:21" ht="28" customHeight="1" x14ac:dyDescent="0.35">
      <c r="A87" s="4">
        <v>1</v>
      </c>
      <c r="B87" s="4" t="s">
        <v>53</v>
      </c>
      <c r="C87" s="4" t="s">
        <v>642</v>
      </c>
      <c r="D87" s="4" t="s">
        <v>643</v>
      </c>
      <c r="E87" s="4" t="s">
        <v>56</v>
      </c>
      <c r="F87" s="4" t="s">
        <v>57</v>
      </c>
      <c r="G87" s="4" t="s">
        <v>58</v>
      </c>
      <c r="H87" s="4" t="s">
        <v>59</v>
      </c>
      <c r="I87" s="3"/>
      <c r="J87" s="3"/>
      <c r="K87" s="3"/>
      <c r="L87" s="3"/>
      <c r="M87" s="3"/>
      <c r="N87" s="3"/>
      <c r="O87" s="3"/>
      <c r="P87" s="8"/>
      <c r="Q87" s="8"/>
      <c r="R87" s="3"/>
      <c r="S87" s="3"/>
      <c r="T87" s="3"/>
      <c r="U87" s="5" t="str">
        <f t="shared" ref="U87:U102" si="5">IF(I87="","",IF(I87="NA","Grey",IF(I87=2,"Green",IF(I87=1,"Amber","Red"))))</f>
        <v/>
      </c>
    </row>
    <row r="88" spans="1:21" ht="28" customHeight="1" x14ac:dyDescent="0.35">
      <c r="A88" s="4">
        <v>2</v>
      </c>
      <c r="B88" s="4" t="s">
        <v>53</v>
      </c>
      <c r="C88" s="4" t="s">
        <v>644</v>
      </c>
      <c r="D88" s="4" t="s">
        <v>645</v>
      </c>
      <c r="E88" s="4" t="s">
        <v>56</v>
      </c>
      <c r="F88" s="4" t="s">
        <v>57</v>
      </c>
      <c r="G88" s="4" t="s">
        <v>58</v>
      </c>
      <c r="H88" s="4" t="s">
        <v>59</v>
      </c>
      <c r="I88" s="3"/>
      <c r="J88" s="3"/>
      <c r="K88" s="3"/>
      <c r="L88" s="3"/>
      <c r="M88" s="3"/>
      <c r="N88" s="3"/>
      <c r="O88" s="3"/>
      <c r="P88" s="8"/>
      <c r="Q88" s="8"/>
      <c r="R88" s="3"/>
      <c r="S88" s="3"/>
      <c r="T88" s="3"/>
      <c r="U88" s="5" t="str">
        <f t="shared" si="5"/>
        <v/>
      </c>
    </row>
    <row r="89" spans="1:21" ht="28" customHeight="1" x14ac:dyDescent="0.35">
      <c r="A89" s="4">
        <v>3</v>
      </c>
      <c r="B89" s="4" t="s">
        <v>53</v>
      </c>
      <c r="C89" s="4" t="s">
        <v>646</v>
      </c>
      <c r="D89" s="4" t="s">
        <v>647</v>
      </c>
      <c r="E89" s="4" t="s">
        <v>56</v>
      </c>
      <c r="F89" s="4" t="s">
        <v>57</v>
      </c>
      <c r="G89" s="4" t="s">
        <v>58</v>
      </c>
      <c r="H89" s="4" t="s">
        <v>59</v>
      </c>
      <c r="I89" s="3"/>
      <c r="J89" s="3"/>
      <c r="K89" s="3"/>
      <c r="L89" s="3"/>
      <c r="M89" s="3"/>
      <c r="N89" s="3"/>
      <c r="O89" s="3"/>
      <c r="P89" s="8"/>
      <c r="Q89" s="8"/>
      <c r="R89" s="3"/>
      <c r="S89" s="3"/>
      <c r="T89" s="3"/>
      <c r="U89" s="5" t="str">
        <f t="shared" si="5"/>
        <v/>
      </c>
    </row>
    <row r="90" spans="1:21" ht="28" customHeight="1" x14ac:dyDescent="0.35">
      <c r="A90" s="4">
        <v>4</v>
      </c>
      <c r="B90" s="4" t="s">
        <v>53</v>
      </c>
      <c r="C90" s="4" t="s">
        <v>648</v>
      </c>
      <c r="D90" s="4" t="s">
        <v>649</v>
      </c>
      <c r="E90" s="4" t="s">
        <v>56</v>
      </c>
      <c r="F90" s="4" t="s">
        <v>57</v>
      </c>
      <c r="G90" s="4" t="s">
        <v>58</v>
      </c>
      <c r="H90" s="4" t="s">
        <v>59</v>
      </c>
      <c r="I90" s="3"/>
      <c r="J90" s="3"/>
      <c r="K90" s="3"/>
      <c r="L90" s="3"/>
      <c r="M90" s="3"/>
      <c r="N90" s="3"/>
      <c r="O90" s="3"/>
      <c r="P90" s="8"/>
      <c r="Q90" s="8"/>
      <c r="R90" s="3"/>
      <c r="S90" s="3"/>
      <c r="T90" s="3"/>
      <c r="U90" s="5" t="str">
        <f t="shared" si="5"/>
        <v/>
      </c>
    </row>
    <row r="91" spans="1:21" ht="28" customHeight="1" x14ac:dyDescent="0.35">
      <c r="A91" s="4">
        <v>5</v>
      </c>
      <c r="B91" s="4" t="s">
        <v>66</v>
      </c>
      <c r="C91" s="4" t="s">
        <v>67</v>
      </c>
      <c r="D91" s="4" t="s">
        <v>68</v>
      </c>
      <c r="E91" s="4" t="s">
        <v>69</v>
      </c>
      <c r="F91" s="4" t="s">
        <v>57</v>
      </c>
      <c r="G91" s="4" t="s">
        <v>58</v>
      </c>
      <c r="H91" s="4" t="s">
        <v>59</v>
      </c>
      <c r="I91" s="3"/>
      <c r="J91" s="3"/>
      <c r="K91" s="3"/>
      <c r="L91" s="3"/>
      <c r="M91" s="3"/>
      <c r="N91" s="3"/>
      <c r="O91" s="3"/>
      <c r="P91" s="8"/>
      <c r="Q91" s="8"/>
      <c r="R91" s="3"/>
      <c r="S91" s="3"/>
      <c r="T91" s="3"/>
      <c r="U91" s="5" t="str">
        <f t="shared" si="5"/>
        <v/>
      </c>
    </row>
    <row r="92" spans="1:21" ht="28" customHeight="1" x14ac:dyDescent="0.35">
      <c r="A92" s="4">
        <v>6</v>
      </c>
      <c r="B92" s="4" t="s">
        <v>70</v>
      </c>
      <c r="C92" s="4" t="s">
        <v>71</v>
      </c>
      <c r="D92" s="4" t="s">
        <v>72</v>
      </c>
      <c r="E92" s="4" t="s">
        <v>70</v>
      </c>
      <c r="F92" s="4" t="s">
        <v>57</v>
      </c>
      <c r="G92" s="4" t="s">
        <v>58</v>
      </c>
      <c r="H92" s="4" t="s">
        <v>59</v>
      </c>
      <c r="I92" s="3"/>
      <c r="J92" s="3"/>
      <c r="K92" s="3"/>
      <c r="L92" s="3"/>
      <c r="M92" s="3"/>
      <c r="N92" s="3"/>
      <c r="O92" s="3"/>
      <c r="P92" s="8"/>
      <c r="Q92" s="8"/>
      <c r="R92" s="3"/>
      <c r="S92" s="3"/>
      <c r="T92" s="3"/>
      <c r="U92" s="5" t="str">
        <f t="shared" si="5"/>
        <v/>
      </c>
    </row>
    <row r="93" spans="1:21" ht="28" customHeight="1" x14ac:dyDescent="0.35">
      <c r="A93" s="4">
        <v>7</v>
      </c>
      <c r="B93" s="4" t="s">
        <v>73</v>
      </c>
      <c r="C93" s="4" t="s">
        <v>74</v>
      </c>
      <c r="D93" s="4" t="s">
        <v>75</v>
      </c>
      <c r="E93" s="4" t="s">
        <v>69</v>
      </c>
      <c r="F93" s="4" t="s">
        <v>57</v>
      </c>
      <c r="G93" s="4" t="s">
        <v>58</v>
      </c>
      <c r="H93" s="4" t="s">
        <v>76</v>
      </c>
      <c r="I93" s="3"/>
      <c r="J93" s="3"/>
      <c r="K93" s="3"/>
      <c r="L93" s="3"/>
      <c r="M93" s="3"/>
      <c r="N93" s="3"/>
      <c r="O93" s="3"/>
      <c r="P93" s="8"/>
      <c r="Q93" s="8"/>
      <c r="R93" s="3"/>
      <c r="S93" s="3"/>
      <c r="T93" s="3"/>
      <c r="U93" s="5" t="str">
        <f t="shared" si="5"/>
        <v/>
      </c>
    </row>
    <row r="94" spans="1:21" ht="28" customHeight="1" x14ac:dyDescent="0.35">
      <c r="A94" s="4">
        <v>8</v>
      </c>
      <c r="B94" s="4" t="s">
        <v>77</v>
      </c>
      <c r="C94" s="4" t="s">
        <v>78</v>
      </c>
      <c r="D94" s="4" t="s">
        <v>79</v>
      </c>
      <c r="E94" s="4" t="s">
        <v>80</v>
      </c>
      <c r="F94" s="4" t="s">
        <v>57</v>
      </c>
      <c r="G94" s="4" t="s">
        <v>58</v>
      </c>
      <c r="H94" s="4" t="s">
        <v>59</v>
      </c>
      <c r="I94" s="3"/>
      <c r="J94" s="3"/>
      <c r="K94" s="3"/>
      <c r="L94" s="3"/>
      <c r="M94" s="3"/>
      <c r="N94" s="3"/>
      <c r="O94" s="3"/>
      <c r="P94" s="8"/>
      <c r="Q94" s="8"/>
      <c r="R94" s="3"/>
      <c r="S94" s="3"/>
      <c r="T94" s="3"/>
      <c r="U94" s="5" t="str">
        <f t="shared" si="5"/>
        <v/>
      </c>
    </row>
    <row r="95" spans="1:21" ht="28" customHeight="1" x14ac:dyDescent="0.35">
      <c r="A95" s="4">
        <v>9</v>
      </c>
      <c r="B95" s="4" t="s">
        <v>81</v>
      </c>
      <c r="C95" s="4" t="s">
        <v>82</v>
      </c>
      <c r="D95" s="4" t="s">
        <v>83</v>
      </c>
      <c r="E95" s="4" t="s">
        <v>84</v>
      </c>
      <c r="F95" s="4" t="s">
        <v>57</v>
      </c>
      <c r="G95" s="4" t="s">
        <v>58</v>
      </c>
      <c r="H95" s="4" t="s">
        <v>85</v>
      </c>
      <c r="I95" s="3"/>
      <c r="J95" s="3"/>
      <c r="K95" s="3"/>
      <c r="L95" s="3"/>
      <c r="M95" s="3"/>
      <c r="N95" s="3"/>
      <c r="O95" s="3"/>
      <c r="P95" s="8"/>
      <c r="Q95" s="8"/>
      <c r="R95" s="3"/>
      <c r="S95" s="3"/>
      <c r="T95" s="3"/>
      <c r="U95" s="5" t="str">
        <f t="shared" si="5"/>
        <v/>
      </c>
    </row>
    <row r="96" spans="1:21" ht="28" customHeight="1" x14ac:dyDescent="0.35">
      <c r="A96" s="4">
        <v>10</v>
      </c>
      <c r="B96" s="4" t="s">
        <v>86</v>
      </c>
      <c r="C96" s="4" t="s">
        <v>87</v>
      </c>
      <c r="D96" s="4" t="s">
        <v>88</v>
      </c>
      <c r="E96" s="4" t="s">
        <v>69</v>
      </c>
      <c r="F96" s="4" t="s">
        <v>57</v>
      </c>
      <c r="G96" s="4" t="s">
        <v>58</v>
      </c>
      <c r="H96" s="4" t="s">
        <v>59</v>
      </c>
      <c r="I96" s="3"/>
      <c r="J96" s="3"/>
      <c r="K96" s="3"/>
      <c r="L96" s="3"/>
      <c r="M96" s="3"/>
      <c r="N96" s="3"/>
      <c r="O96" s="3"/>
      <c r="P96" s="8"/>
      <c r="Q96" s="8"/>
      <c r="R96" s="3"/>
      <c r="S96" s="3"/>
      <c r="T96" s="3"/>
      <c r="U96" s="5" t="str">
        <f t="shared" si="5"/>
        <v/>
      </c>
    </row>
    <row r="97" spans="1:21" ht="28" customHeight="1" x14ac:dyDescent="0.35">
      <c r="A97" s="4">
        <v>11</v>
      </c>
      <c r="B97" s="4" t="s">
        <v>89</v>
      </c>
      <c r="C97" s="4" t="s">
        <v>90</v>
      </c>
      <c r="D97" s="4" t="s">
        <v>91</v>
      </c>
      <c r="E97" s="4" t="s">
        <v>84</v>
      </c>
      <c r="F97" s="4" t="s">
        <v>57</v>
      </c>
      <c r="G97" s="4" t="s">
        <v>58</v>
      </c>
      <c r="H97" s="4" t="s">
        <v>59</v>
      </c>
      <c r="I97" s="3"/>
      <c r="J97" s="3"/>
      <c r="K97" s="3"/>
      <c r="L97" s="3"/>
      <c r="M97" s="3"/>
      <c r="N97" s="3"/>
      <c r="O97" s="3"/>
      <c r="P97" s="8"/>
      <c r="Q97" s="8"/>
      <c r="R97" s="3"/>
      <c r="S97" s="3"/>
      <c r="T97" s="3"/>
      <c r="U97" s="5" t="str">
        <f t="shared" si="5"/>
        <v/>
      </c>
    </row>
    <row r="98" spans="1:21" ht="28" customHeight="1" x14ac:dyDescent="0.35">
      <c r="A98" s="4">
        <v>12</v>
      </c>
      <c r="B98" s="4" t="s">
        <v>92</v>
      </c>
      <c r="C98" s="4" t="s">
        <v>93</v>
      </c>
      <c r="D98" s="4" t="s">
        <v>94</v>
      </c>
      <c r="E98" s="4" t="s">
        <v>69</v>
      </c>
      <c r="F98" s="4" t="s">
        <v>95</v>
      </c>
      <c r="G98" s="4" t="s">
        <v>96</v>
      </c>
      <c r="H98" s="4" t="s">
        <v>59</v>
      </c>
      <c r="I98" s="3"/>
      <c r="J98" s="3"/>
      <c r="K98" s="3"/>
      <c r="L98" s="3"/>
      <c r="M98" s="3"/>
      <c r="N98" s="3"/>
      <c r="O98" s="3"/>
      <c r="P98" s="8"/>
      <c r="Q98" s="8"/>
      <c r="R98" s="3"/>
      <c r="S98" s="3"/>
      <c r="T98" s="3"/>
      <c r="U98" s="5" t="str">
        <f t="shared" si="5"/>
        <v/>
      </c>
    </row>
    <row r="99" spans="1:21" ht="28" customHeight="1" x14ac:dyDescent="0.35">
      <c r="A99" s="4">
        <v>13</v>
      </c>
      <c r="B99" s="4" t="s">
        <v>97</v>
      </c>
      <c r="C99" s="4" t="s">
        <v>98</v>
      </c>
      <c r="D99" s="4" t="s">
        <v>99</v>
      </c>
      <c r="E99" s="4" t="s">
        <v>69</v>
      </c>
      <c r="F99" s="4" t="s">
        <v>95</v>
      </c>
      <c r="G99" s="4" t="s">
        <v>96</v>
      </c>
      <c r="H99" s="4" t="s">
        <v>59</v>
      </c>
      <c r="I99" s="3"/>
      <c r="J99" s="3"/>
      <c r="K99" s="3"/>
      <c r="L99" s="3"/>
      <c r="M99" s="3"/>
      <c r="N99" s="3"/>
      <c r="O99" s="3"/>
      <c r="P99" s="8"/>
      <c r="Q99" s="8"/>
      <c r="R99" s="3"/>
      <c r="S99" s="3"/>
      <c r="T99" s="3"/>
      <c r="U99" s="5" t="str">
        <f t="shared" si="5"/>
        <v/>
      </c>
    </row>
    <row r="100" spans="1:21" ht="28" customHeight="1" x14ac:dyDescent="0.35">
      <c r="A100" s="4">
        <v>14</v>
      </c>
      <c r="B100" s="4" t="s">
        <v>97</v>
      </c>
      <c r="C100" s="4" t="s">
        <v>100</v>
      </c>
      <c r="D100" s="4" t="s">
        <v>101</v>
      </c>
      <c r="E100" s="4" t="s">
        <v>69</v>
      </c>
      <c r="F100" s="4" t="s">
        <v>95</v>
      </c>
      <c r="G100" s="4" t="s">
        <v>102</v>
      </c>
      <c r="H100" s="4" t="s">
        <v>59</v>
      </c>
      <c r="I100" s="3"/>
      <c r="J100" s="3"/>
      <c r="K100" s="3"/>
      <c r="L100" s="3"/>
      <c r="M100" s="3"/>
      <c r="N100" s="3"/>
      <c r="O100" s="3"/>
      <c r="P100" s="8"/>
      <c r="Q100" s="8"/>
      <c r="R100" s="3"/>
      <c r="S100" s="3"/>
      <c r="T100" s="3"/>
      <c r="U100" s="5" t="str">
        <f t="shared" si="5"/>
        <v/>
      </c>
    </row>
    <row r="101" spans="1:21" ht="28" customHeight="1" x14ac:dyDescent="0.35">
      <c r="A101" s="4">
        <v>15</v>
      </c>
      <c r="B101" s="4" t="s">
        <v>103</v>
      </c>
      <c r="C101" s="4" t="s">
        <v>104</v>
      </c>
      <c r="D101" s="4" t="s">
        <v>105</v>
      </c>
      <c r="E101" s="4" t="s">
        <v>69</v>
      </c>
      <c r="F101" s="4" t="s">
        <v>95</v>
      </c>
      <c r="G101" s="4" t="s">
        <v>96</v>
      </c>
      <c r="H101" s="4" t="s">
        <v>85</v>
      </c>
      <c r="I101" s="3"/>
      <c r="J101" s="3"/>
      <c r="K101" s="3"/>
      <c r="L101" s="3"/>
      <c r="M101" s="3"/>
      <c r="N101" s="3"/>
      <c r="O101" s="3"/>
      <c r="P101" s="8"/>
      <c r="Q101" s="8"/>
      <c r="R101" s="3"/>
      <c r="S101" s="3"/>
      <c r="T101" s="3"/>
      <c r="U101" s="5" t="str">
        <f t="shared" si="5"/>
        <v/>
      </c>
    </row>
    <row r="102" spans="1:21" ht="28" customHeight="1" x14ac:dyDescent="0.35">
      <c r="A102" s="4">
        <v>16</v>
      </c>
      <c r="B102" s="4" t="s">
        <v>106</v>
      </c>
      <c r="C102" s="4" t="s">
        <v>107</v>
      </c>
      <c r="D102" s="4" t="s">
        <v>108</v>
      </c>
      <c r="E102" s="4" t="s">
        <v>109</v>
      </c>
      <c r="F102" s="4" t="s">
        <v>95</v>
      </c>
      <c r="G102" s="4" t="s">
        <v>96</v>
      </c>
      <c r="H102" s="4" t="s">
        <v>59</v>
      </c>
      <c r="I102" s="3"/>
      <c r="J102" s="3"/>
      <c r="K102" s="3"/>
      <c r="L102" s="3"/>
      <c r="M102" s="3"/>
      <c r="N102" s="3"/>
      <c r="O102" s="3"/>
      <c r="P102" s="8"/>
      <c r="Q102" s="8"/>
      <c r="R102" s="3"/>
      <c r="S102" s="3"/>
      <c r="T102" s="3"/>
      <c r="U102" s="5" t="str">
        <f t="shared" si="5"/>
        <v/>
      </c>
    </row>
    <row r="104" spans="1:21" ht="28" customHeight="1" x14ac:dyDescent="0.35">
      <c r="A104" s="9" t="s">
        <v>110</v>
      </c>
      <c r="B104" s="16"/>
      <c r="C104" s="17"/>
      <c r="D104" s="17"/>
      <c r="E104" s="17"/>
      <c r="F104" s="17"/>
      <c r="G104" s="17"/>
      <c r="H104" s="17"/>
      <c r="I104" s="17"/>
      <c r="J104" s="17"/>
      <c r="K104" s="17"/>
      <c r="L104" s="17"/>
      <c r="M104" s="17"/>
      <c r="N104" s="17"/>
      <c r="O104" s="17"/>
      <c r="P104" s="17"/>
      <c r="Q104" s="17"/>
      <c r="R104" s="17"/>
      <c r="S104" s="17"/>
      <c r="T104" s="17"/>
      <c r="U104" s="18"/>
    </row>
    <row r="105" spans="1:21" ht="28" customHeight="1" x14ac:dyDescent="0.35">
      <c r="A105" s="19" t="s">
        <v>653</v>
      </c>
      <c r="B105" s="20"/>
      <c r="C105" s="20"/>
      <c r="D105" s="20"/>
      <c r="E105" s="20"/>
      <c r="F105" s="20"/>
      <c r="G105" s="20"/>
      <c r="H105" s="20"/>
      <c r="I105" s="20"/>
      <c r="J105" s="20"/>
      <c r="K105" s="20"/>
      <c r="L105" s="20"/>
      <c r="M105" s="20"/>
      <c r="N105" s="20"/>
      <c r="O105" s="20"/>
      <c r="P105" s="20"/>
      <c r="Q105" s="20"/>
      <c r="R105" s="20"/>
      <c r="S105" s="20"/>
      <c r="T105" s="20"/>
      <c r="U105" s="21"/>
    </row>
    <row r="106" spans="1:21" ht="28" customHeight="1" x14ac:dyDescent="0.35">
      <c r="A106" s="4" t="s">
        <v>31</v>
      </c>
      <c r="B106" s="3" t="s">
        <v>22</v>
      </c>
      <c r="C106" s="4" t="s">
        <v>32</v>
      </c>
      <c r="D106" s="3"/>
      <c r="E106" s="4" t="s">
        <v>33</v>
      </c>
      <c r="F106" s="8"/>
    </row>
    <row r="107" spans="1:21" ht="28" customHeight="1" x14ac:dyDescent="0.35">
      <c r="A107" s="1" t="s">
        <v>34</v>
      </c>
      <c r="B107" s="1" t="s">
        <v>35</v>
      </c>
      <c r="C107" s="1" t="s">
        <v>36</v>
      </c>
      <c r="D107" s="1" t="s">
        <v>37</v>
      </c>
      <c r="E107" s="1" t="s">
        <v>38</v>
      </c>
      <c r="F107" s="1" t="s">
        <v>39</v>
      </c>
      <c r="G107" s="1" t="s">
        <v>40</v>
      </c>
      <c r="H107" s="1" t="s">
        <v>41</v>
      </c>
      <c r="I107" s="1" t="s">
        <v>42</v>
      </c>
      <c r="J107" s="1" t="s">
        <v>43</v>
      </c>
      <c r="K107" s="1" t="s">
        <v>44</v>
      </c>
      <c r="L107" s="1" t="s">
        <v>45</v>
      </c>
      <c r="M107" s="1" t="s">
        <v>46</v>
      </c>
      <c r="N107" s="1" t="s">
        <v>47</v>
      </c>
      <c r="O107" s="1" t="s">
        <v>48</v>
      </c>
      <c r="P107" s="1" t="s">
        <v>4</v>
      </c>
      <c r="Q107" s="1" t="s">
        <v>49</v>
      </c>
      <c r="R107" s="1" t="s">
        <v>50</v>
      </c>
      <c r="S107" s="1" t="s">
        <v>51</v>
      </c>
      <c r="T107" s="1" t="s">
        <v>52</v>
      </c>
      <c r="U107" s="1" t="s">
        <v>10</v>
      </c>
    </row>
    <row r="108" spans="1:21" ht="28" customHeight="1" x14ac:dyDescent="0.35">
      <c r="A108" s="4">
        <v>1</v>
      </c>
      <c r="B108" s="4" t="s">
        <v>53</v>
      </c>
      <c r="C108" s="4" t="s">
        <v>642</v>
      </c>
      <c r="D108" s="4" t="s">
        <v>643</v>
      </c>
      <c r="E108" s="4" t="s">
        <v>56</v>
      </c>
      <c r="F108" s="4" t="s">
        <v>57</v>
      </c>
      <c r="G108" s="4" t="s">
        <v>58</v>
      </c>
      <c r="H108" s="4" t="s">
        <v>59</v>
      </c>
      <c r="I108" s="3"/>
      <c r="J108" s="3"/>
      <c r="K108" s="3"/>
      <c r="L108" s="3"/>
      <c r="M108" s="3"/>
      <c r="N108" s="3"/>
      <c r="O108" s="3"/>
      <c r="P108" s="8"/>
      <c r="Q108" s="8"/>
      <c r="R108" s="3"/>
      <c r="S108" s="3"/>
      <c r="T108" s="3"/>
      <c r="U108" s="5" t="str">
        <f t="shared" ref="U108:U123" si="6">IF(I108="","",IF(I108="NA","Grey",IF(I108=2,"Green",IF(I108=1,"Amber","Red"))))</f>
        <v/>
      </c>
    </row>
    <row r="109" spans="1:21" ht="28" customHeight="1" x14ac:dyDescent="0.35">
      <c r="A109" s="4">
        <v>2</v>
      </c>
      <c r="B109" s="4" t="s">
        <v>53</v>
      </c>
      <c r="C109" s="4" t="s">
        <v>644</v>
      </c>
      <c r="D109" s="4" t="s">
        <v>645</v>
      </c>
      <c r="E109" s="4" t="s">
        <v>56</v>
      </c>
      <c r="F109" s="4" t="s">
        <v>57</v>
      </c>
      <c r="G109" s="4" t="s">
        <v>58</v>
      </c>
      <c r="H109" s="4" t="s">
        <v>59</v>
      </c>
      <c r="I109" s="3"/>
      <c r="J109" s="3"/>
      <c r="K109" s="3"/>
      <c r="L109" s="3"/>
      <c r="M109" s="3"/>
      <c r="N109" s="3"/>
      <c r="O109" s="3"/>
      <c r="P109" s="8"/>
      <c r="Q109" s="8"/>
      <c r="R109" s="3"/>
      <c r="S109" s="3"/>
      <c r="T109" s="3"/>
      <c r="U109" s="5" t="str">
        <f t="shared" si="6"/>
        <v/>
      </c>
    </row>
    <row r="110" spans="1:21" ht="28" customHeight="1" x14ac:dyDescent="0.35">
      <c r="A110" s="4">
        <v>3</v>
      </c>
      <c r="B110" s="4" t="s">
        <v>53</v>
      </c>
      <c r="C110" s="4" t="s">
        <v>646</v>
      </c>
      <c r="D110" s="4" t="s">
        <v>647</v>
      </c>
      <c r="E110" s="4" t="s">
        <v>56</v>
      </c>
      <c r="F110" s="4" t="s">
        <v>57</v>
      </c>
      <c r="G110" s="4" t="s">
        <v>58</v>
      </c>
      <c r="H110" s="4" t="s">
        <v>59</v>
      </c>
      <c r="I110" s="3"/>
      <c r="J110" s="3"/>
      <c r="K110" s="3"/>
      <c r="L110" s="3"/>
      <c r="M110" s="3"/>
      <c r="N110" s="3"/>
      <c r="O110" s="3"/>
      <c r="P110" s="8"/>
      <c r="Q110" s="8"/>
      <c r="R110" s="3"/>
      <c r="S110" s="3"/>
      <c r="T110" s="3"/>
      <c r="U110" s="5" t="str">
        <f t="shared" si="6"/>
        <v/>
      </c>
    </row>
    <row r="111" spans="1:21" ht="28" customHeight="1" x14ac:dyDescent="0.35">
      <c r="A111" s="4">
        <v>4</v>
      </c>
      <c r="B111" s="4" t="s">
        <v>53</v>
      </c>
      <c r="C111" s="4" t="s">
        <v>648</v>
      </c>
      <c r="D111" s="4" t="s">
        <v>649</v>
      </c>
      <c r="E111" s="4" t="s">
        <v>56</v>
      </c>
      <c r="F111" s="4" t="s">
        <v>57</v>
      </c>
      <c r="G111" s="4" t="s">
        <v>58</v>
      </c>
      <c r="H111" s="4" t="s">
        <v>59</v>
      </c>
      <c r="I111" s="3"/>
      <c r="J111" s="3"/>
      <c r="K111" s="3"/>
      <c r="L111" s="3"/>
      <c r="M111" s="3"/>
      <c r="N111" s="3"/>
      <c r="O111" s="3"/>
      <c r="P111" s="8"/>
      <c r="Q111" s="8"/>
      <c r="R111" s="3"/>
      <c r="S111" s="3"/>
      <c r="T111" s="3"/>
      <c r="U111" s="5" t="str">
        <f t="shared" si="6"/>
        <v/>
      </c>
    </row>
    <row r="112" spans="1:21" ht="28" customHeight="1" x14ac:dyDescent="0.35">
      <c r="A112" s="4">
        <v>5</v>
      </c>
      <c r="B112" s="4" t="s">
        <v>66</v>
      </c>
      <c r="C112" s="4" t="s">
        <v>67</v>
      </c>
      <c r="D112" s="4" t="s">
        <v>68</v>
      </c>
      <c r="E112" s="4" t="s">
        <v>69</v>
      </c>
      <c r="F112" s="4" t="s">
        <v>57</v>
      </c>
      <c r="G112" s="4" t="s">
        <v>58</v>
      </c>
      <c r="H112" s="4" t="s">
        <v>59</v>
      </c>
      <c r="I112" s="3"/>
      <c r="J112" s="3"/>
      <c r="K112" s="3"/>
      <c r="L112" s="3"/>
      <c r="M112" s="3"/>
      <c r="N112" s="3"/>
      <c r="O112" s="3"/>
      <c r="P112" s="8"/>
      <c r="Q112" s="8"/>
      <c r="R112" s="3"/>
      <c r="S112" s="3"/>
      <c r="T112" s="3"/>
      <c r="U112" s="5" t="str">
        <f t="shared" si="6"/>
        <v/>
      </c>
    </row>
    <row r="113" spans="1:21" ht="28" customHeight="1" x14ac:dyDescent="0.35">
      <c r="A113" s="4">
        <v>6</v>
      </c>
      <c r="B113" s="4" t="s">
        <v>70</v>
      </c>
      <c r="C113" s="4" t="s">
        <v>71</v>
      </c>
      <c r="D113" s="4" t="s">
        <v>72</v>
      </c>
      <c r="E113" s="4" t="s">
        <v>70</v>
      </c>
      <c r="F113" s="4" t="s">
        <v>57</v>
      </c>
      <c r="G113" s="4" t="s">
        <v>58</v>
      </c>
      <c r="H113" s="4" t="s">
        <v>59</v>
      </c>
      <c r="I113" s="3"/>
      <c r="J113" s="3"/>
      <c r="K113" s="3"/>
      <c r="L113" s="3"/>
      <c r="M113" s="3"/>
      <c r="N113" s="3"/>
      <c r="O113" s="3"/>
      <c r="P113" s="8"/>
      <c r="Q113" s="8"/>
      <c r="R113" s="3"/>
      <c r="S113" s="3"/>
      <c r="T113" s="3"/>
      <c r="U113" s="5" t="str">
        <f t="shared" si="6"/>
        <v/>
      </c>
    </row>
    <row r="114" spans="1:21" ht="28" customHeight="1" x14ac:dyDescent="0.35">
      <c r="A114" s="4">
        <v>7</v>
      </c>
      <c r="B114" s="4" t="s">
        <v>73</v>
      </c>
      <c r="C114" s="4" t="s">
        <v>74</v>
      </c>
      <c r="D114" s="4" t="s">
        <v>75</v>
      </c>
      <c r="E114" s="4" t="s">
        <v>69</v>
      </c>
      <c r="F114" s="4" t="s">
        <v>57</v>
      </c>
      <c r="G114" s="4" t="s">
        <v>58</v>
      </c>
      <c r="H114" s="4" t="s">
        <v>76</v>
      </c>
      <c r="I114" s="3"/>
      <c r="J114" s="3"/>
      <c r="K114" s="3"/>
      <c r="L114" s="3"/>
      <c r="M114" s="3"/>
      <c r="N114" s="3"/>
      <c r="O114" s="3"/>
      <c r="P114" s="8"/>
      <c r="Q114" s="8"/>
      <c r="R114" s="3"/>
      <c r="S114" s="3"/>
      <c r="T114" s="3"/>
      <c r="U114" s="5" t="str">
        <f t="shared" si="6"/>
        <v/>
      </c>
    </row>
    <row r="115" spans="1:21" ht="28" customHeight="1" x14ac:dyDescent="0.35">
      <c r="A115" s="4">
        <v>8</v>
      </c>
      <c r="B115" s="4" t="s">
        <v>77</v>
      </c>
      <c r="C115" s="4" t="s">
        <v>78</v>
      </c>
      <c r="D115" s="4" t="s">
        <v>79</v>
      </c>
      <c r="E115" s="4" t="s">
        <v>80</v>
      </c>
      <c r="F115" s="4" t="s">
        <v>57</v>
      </c>
      <c r="G115" s="4" t="s">
        <v>58</v>
      </c>
      <c r="H115" s="4" t="s">
        <v>59</v>
      </c>
      <c r="I115" s="3"/>
      <c r="J115" s="3"/>
      <c r="K115" s="3"/>
      <c r="L115" s="3"/>
      <c r="M115" s="3"/>
      <c r="N115" s="3"/>
      <c r="O115" s="3"/>
      <c r="P115" s="8"/>
      <c r="Q115" s="8"/>
      <c r="R115" s="3"/>
      <c r="S115" s="3"/>
      <c r="T115" s="3"/>
      <c r="U115" s="5" t="str">
        <f t="shared" si="6"/>
        <v/>
      </c>
    </row>
    <row r="116" spans="1:21" ht="28" customHeight="1" x14ac:dyDescent="0.35">
      <c r="A116" s="4">
        <v>9</v>
      </c>
      <c r="B116" s="4" t="s">
        <v>81</v>
      </c>
      <c r="C116" s="4" t="s">
        <v>82</v>
      </c>
      <c r="D116" s="4" t="s">
        <v>83</v>
      </c>
      <c r="E116" s="4" t="s">
        <v>84</v>
      </c>
      <c r="F116" s="4" t="s">
        <v>57</v>
      </c>
      <c r="G116" s="4" t="s">
        <v>58</v>
      </c>
      <c r="H116" s="4" t="s">
        <v>85</v>
      </c>
      <c r="I116" s="3"/>
      <c r="J116" s="3"/>
      <c r="K116" s="3"/>
      <c r="L116" s="3"/>
      <c r="M116" s="3"/>
      <c r="N116" s="3"/>
      <c r="O116" s="3"/>
      <c r="P116" s="8"/>
      <c r="Q116" s="8"/>
      <c r="R116" s="3"/>
      <c r="S116" s="3"/>
      <c r="T116" s="3"/>
      <c r="U116" s="5" t="str">
        <f t="shared" si="6"/>
        <v/>
      </c>
    </row>
    <row r="117" spans="1:21" ht="28" customHeight="1" x14ac:dyDescent="0.35">
      <c r="A117" s="4">
        <v>10</v>
      </c>
      <c r="B117" s="4" t="s">
        <v>86</v>
      </c>
      <c r="C117" s="4" t="s">
        <v>87</v>
      </c>
      <c r="D117" s="4" t="s">
        <v>88</v>
      </c>
      <c r="E117" s="4" t="s">
        <v>69</v>
      </c>
      <c r="F117" s="4" t="s">
        <v>57</v>
      </c>
      <c r="G117" s="4" t="s">
        <v>58</v>
      </c>
      <c r="H117" s="4" t="s">
        <v>59</v>
      </c>
      <c r="I117" s="3"/>
      <c r="J117" s="3"/>
      <c r="K117" s="3"/>
      <c r="L117" s="3"/>
      <c r="M117" s="3"/>
      <c r="N117" s="3"/>
      <c r="O117" s="3"/>
      <c r="P117" s="8"/>
      <c r="Q117" s="8"/>
      <c r="R117" s="3"/>
      <c r="S117" s="3"/>
      <c r="T117" s="3"/>
      <c r="U117" s="5" t="str">
        <f t="shared" si="6"/>
        <v/>
      </c>
    </row>
    <row r="118" spans="1:21" ht="28" customHeight="1" x14ac:dyDescent="0.35">
      <c r="A118" s="4">
        <v>11</v>
      </c>
      <c r="B118" s="4" t="s">
        <v>89</v>
      </c>
      <c r="C118" s="4" t="s">
        <v>90</v>
      </c>
      <c r="D118" s="4" t="s">
        <v>91</v>
      </c>
      <c r="E118" s="4" t="s">
        <v>84</v>
      </c>
      <c r="F118" s="4" t="s">
        <v>57</v>
      </c>
      <c r="G118" s="4" t="s">
        <v>58</v>
      </c>
      <c r="H118" s="4" t="s">
        <v>59</v>
      </c>
      <c r="I118" s="3"/>
      <c r="J118" s="3"/>
      <c r="K118" s="3"/>
      <c r="L118" s="3"/>
      <c r="M118" s="3"/>
      <c r="N118" s="3"/>
      <c r="O118" s="3"/>
      <c r="P118" s="8"/>
      <c r="Q118" s="8"/>
      <c r="R118" s="3"/>
      <c r="S118" s="3"/>
      <c r="T118" s="3"/>
      <c r="U118" s="5" t="str">
        <f t="shared" si="6"/>
        <v/>
      </c>
    </row>
    <row r="119" spans="1:21" ht="28" customHeight="1" x14ac:dyDescent="0.35">
      <c r="A119" s="4">
        <v>12</v>
      </c>
      <c r="B119" s="4" t="s">
        <v>92</v>
      </c>
      <c r="C119" s="4" t="s">
        <v>93</v>
      </c>
      <c r="D119" s="4" t="s">
        <v>94</v>
      </c>
      <c r="E119" s="4" t="s">
        <v>69</v>
      </c>
      <c r="F119" s="4" t="s">
        <v>95</v>
      </c>
      <c r="G119" s="4" t="s">
        <v>96</v>
      </c>
      <c r="H119" s="4" t="s">
        <v>59</v>
      </c>
      <c r="I119" s="3"/>
      <c r="J119" s="3"/>
      <c r="K119" s="3"/>
      <c r="L119" s="3"/>
      <c r="M119" s="3"/>
      <c r="N119" s="3"/>
      <c r="O119" s="3"/>
      <c r="P119" s="8"/>
      <c r="Q119" s="8"/>
      <c r="R119" s="3"/>
      <c r="S119" s="3"/>
      <c r="T119" s="3"/>
      <c r="U119" s="5" t="str">
        <f t="shared" si="6"/>
        <v/>
      </c>
    </row>
    <row r="120" spans="1:21" ht="28" customHeight="1" x14ac:dyDescent="0.35">
      <c r="A120" s="4">
        <v>13</v>
      </c>
      <c r="B120" s="4" t="s">
        <v>97</v>
      </c>
      <c r="C120" s="4" t="s">
        <v>98</v>
      </c>
      <c r="D120" s="4" t="s">
        <v>99</v>
      </c>
      <c r="E120" s="4" t="s">
        <v>69</v>
      </c>
      <c r="F120" s="4" t="s">
        <v>95</v>
      </c>
      <c r="G120" s="4" t="s">
        <v>96</v>
      </c>
      <c r="H120" s="4" t="s">
        <v>59</v>
      </c>
      <c r="I120" s="3"/>
      <c r="J120" s="3"/>
      <c r="K120" s="3"/>
      <c r="L120" s="3"/>
      <c r="M120" s="3"/>
      <c r="N120" s="3"/>
      <c r="O120" s="3"/>
      <c r="P120" s="8"/>
      <c r="Q120" s="8"/>
      <c r="R120" s="3"/>
      <c r="S120" s="3"/>
      <c r="T120" s="3"/>
      <c r="U120" s="5" t="str">
        <f t="shared" si="6"/>
        <v/>
      </c>
    </row>
    <row r="121" spans="1:21" ht="28" customHeight="1" x14ac:dyDescent="0.35">
      <c r="A121" s="4">
        <v>14</v>
      </c>
      <c r="B121" s="4" t="s">
        <v>97</v>
      </c>
      <c r="C121" s="4" t="s">
        <v>100</v>
      </c>
      <c r="D121" s="4" t="s">
        <v>101</v>
      </c>
      <c r="E121" s="4" t="s">
        <v>69</v>
      </c>
      <c r="F121" s="4" t="s">
        <v>95</v>
      </c>
      <c r="G121" s="4" t="s">
        <v>102</v>
      </c>
      <c r="H121" s="4" t="s">
        <v>59</v>
      </c>
      <c r="I121" s="3"/>
      <c r="J121" s="3"/>
      <c r="K121" s="3"/>
      <c r="L121" s="3"/>
      <c r="M121" s="3"/>
      <c r="N121" s="3"/>
      <c r="O121" s="3"/>
      <c r="P121" s="8"/>
      <c r="Q121" s="8"/>
      <c r="R121" s="3"/>
      <c r="S121" s="3"/>
      <c r="T121" s="3"/>
      <c r="U121" s="5" t="str">
        <f t="shared" si="6"/>
        <v/>
      </c>
    </row>
    <row r="122" spans="1:21" ht="28" customHeight="1" x14ac:dyDescent="0.35">
      <c r="A122" s="4">
        <v>15</v>
      </c>
      <c r="B122" s="4" t="s">
        <v>103</v>
      </c>
      <c r="C122" s="4" t="s">
        <v>104</v>
      </c>
      <c r="D122" s="4" t="s">
        <v>105</v>
      </c>
      <c r="E122" s="4" t="s">
        <v>69</v>
      </c>
      <c r="F122" s="4" t="s">
        <v>95</v>
      </c>
      <c r="G122" s="4" t="s">
        <v>96</v>
      </c>
      <c r="H122" s="4" t="s">
        <v>85</v>
      </c>
      <c r="I122" s="3"/>
      <c r="J122" s="3"/>
      <c r="K122" s="3"/>
      <c r="L122" s="3"/>
      <c r="M122" s="3"/>
      <c r="N122" s="3"/>
      <c r="O122" s="3"/>
      <c r="P122" s="8"/>
      <c r="Q122" s="8"/>
      <c r="R122" s="3"/>
      <c r="S122" s="3"/>
      <c r="T122" s="3"/>
      <c r="U122" s="5" t="str">
        <f t="shared" si="6"/>
        <v/>
      </c>
    </row>
    <row r="123" spans="1:21" ht="28" customHeight="1" x14ac:dyDescent="0.35">
      <c r="A123" s="4">
        <v>16</v>
      </c>
      <c r="B123" s="4" t="s">
        <v>106</v>
      </c>
      <c r="C123" s="4" t="s">
        <v>107</v>
      </c>
      <c r="D123" s="4" t="s">
        <v>108</v>
      </c>
      <c r="E123" s="4" t="s">
        <v>109</v>
      </c>
      <c r="F123" s="4" t="s">
        <v>95</v>
      </c>
      <c r="G123" s="4" t="s">
        <v>96</v>
      </c>
      <c r="H123" s="4" t="s">
        <v>59</v>
      </c>
      <c r="I123" s="3"/>
      <c r="J123" s="3"/>
      <c r="K123" s="3"/>
      <c r="L123" s="3"/>
      <c r="M123" s="3"/>
      <c r="N123" s="3"/>
      <c r="O123" s="3"/>
      <c r="P123" s="8"/>
      <c r="Q123" s="8"/>
      <c r="R123" s="3"/>
      <c r="S123" s="3"/>
      <c r="T123" s="3"/>
      <c r="U123" s="5" t="str">
        <f t="shared" si="6"/>
        <v/>
      </c>
    </row>
    <row r="125" spans="1:21" ht="28" customHeight="1" x14ac:dyDescent="0.35">
      <c r="A125" s="9" t="s">
        <v>110</v>
      </c>
      <c r="B125" s="16"/>
      <c r="C125" s="17"/>
      <c r="D125" s="17"/>
      <c r="E125" s="17"/>
      <c r="F125" s="17"/>
      <c r="G125" s="17"/>
      <c r="H125" s="17"/>
      <c r="I125" s="17"/>
      <c r="J125" s="17"/>
      <c r="K125" s="17"/>
      <c r="L125" s="17"/>
      <c r="M125" s="17"/>
      <c r="N125" s="17"/>
      <c r="O125" s="17"/>
      <c r="P125" s="17"/>
      <c r="Q125" s="17"/>
      <c r="R125" s="17"/>
      <c r="S125" s="17"/>
      <c r="T125" s="17"/>
      <c r="U125" s="18"/>
    </row>
    <row r="126" spans="1:21" ht="28" customHeight="1" x14ac:dyDescent="0.35">
      <c r="A126" s="19" t="s">
        <v>654</v>
      </c>
      <c r="B126" s="20"/>
      <c r="C126" s="20"/>
      <c r="D126" s="20"/>
      <c r="E126" s="20"/>
      <c r="F126" s="20"/>
      <c r="G126" s="20"/>
      <c r="H126" s="20"/>
      <c r="I126" s="20"/>
      <c r="J126" s="20"/>
      <c r="K126" s="20"/>
      <c r="L126" s="20"/>
      <c r="M126" s="20"/>
      <c r="N126" s="20"/>
      <c r="O126" s="20"/>
      <c r="P126" s="20"/>
      <c r="Q126" s="20"/>
      <c r="R126" s="20"/>
      <c r="S126" s="20"/>
      <c r="T126" s="20"/>
      <c r="U126" s="21"/>
    </row>
    <row r="127" spans="1:21" ht="28" customHeight="1" x14ac:dyDescent="0.35">
      <c r="A127" s="4" t="s">
        <v>31</v>
      </c>
      <c r="B127" s="3" t="s">
        <v>23</v>
      </c>
      <c r="C127" s="4" t="s">
        <v>32</v>
      </c>
      <c r="D127" s="3"/>
      <c r="E127" s="4" t="s">
        <v>33</v>
      </c>
      <c r="F127" s="8"/>
    </row>
    <row r="128" spans="1:21" ht="28" customHeight="1" x14ac:dyDescent="0.35">
      <c r="A128" s="1" t="s">
        <v>34</v>
      </c>
      <c r="B128" s="1" t="s">
        <v>35</v>
      </c>
      <c r="C128" s="1" t="s">
        <v>36</v>
      </c>
      <c r="D128" s="1" t="s">
        <v>37</v>
      </c>
      <c r="E128" s="1" t="s">
        <v>38</v>
      </c>
      <c r="F128" s="1" t="s">
        <v>39</v>
      </c>
      <c r="G128" s="1" t="s">
        <v>40</v>
      </c>
      <c r="H128" s="1" t="s">
        <v>41</v>
      </c>
      <c r="I128" s="1" t="s">
        <v>42</v>
      </c>
      <c r="J128" s="1" t="s">
        <v>43</v>
      </c>
      <c r="K128" s="1" t="s">
        <v>44</v>
      </c>
      <c r="L128" s="1" t="s">
        <v>45</v>
      </c>
      <c r="M128" s="1" t="s">
        <v>46</v>
      </c>
      <c r="N128" s="1" t="s">
        <v>47</v>
      </c>
      <c r="O128" s="1" t="s">
        <v>48</v>
      </c>
      <c r="P128" s="1" t="s">
        <v>4</v>
      </c>
      <c r="Q128" s="1" t="s">
        <v>49</v>
      </c>
      <c r="R128" s="1" t="s">
        <v>50</v>
      </c>
      <c r="S128" s="1" t="s">
        <v>51</v>
      </c>
      <c r="T128" s="1" t="s">
        <v>52</v>
      </c>
      <c r="U128" s="1" t="s">
        <v>10</v>
      </c>
    </row>
    <row r="129" spans="1:21" ht="28" customHeight="1" x14ac:dyDescent="0.35">
      <c r="A129" s="4">
        <v>1</v>
      </c>
      <c r="B129" s="4" t="s">
        <v>53</v>
      </c>
      <c r="C129" s="4" t="s">
        <v>642</v>
      </c>
      <c r="D129" s="4" t="s">
        <v>643</v>
      </c>
      <c r="E129" s="4" t="s">
        <v>56</v>
      </c>
      <c r="F129" s="4" t="s">
        <v>57</v>
      </c>
      <c r="G129" s="4" t="s">
        <v>58</v>
      </c>
      <c r="H129" s="4" t="s">
        <v>59</v>
      </c>
      <c r="I129" s="3"/>
      <c r="J129" s="3"/>
      <c r="K129" s="3"/>
      <c r="L129" s="3"/>
      <c r="M129" s="3"/>
      <c r="N129" s="3"/>
      <c r="O129" s="3"/>
      <c r="P129" s="8"/>
      <c r="Q129" s="8"/>
      <c r="R129" s="3"/>
      <c r="S129" s="3"/>
      <c r="T129" s="3"/>
      <c r="U129" s="5" t="str">
        <f t="shared" ref="U129:U144" si="7">IF(I129="","",IF(I129="NA","Grey",IF(I129=2,"Green",IF(I129=1,"Amber","Red"))))</f>
        <v/>
      </c>
    </row>
    <row r="130" spans="1:21" ht="28" customHeight="1" x14ac:dyDescent="0.35">
      <c r="A130" s="4">
        <v>2</v>
      </c>
      <c r="B130" s="4" t="s">
        <v>53</v>
      </c>
      <c r="C130" s="4" t="s">
        <v>644</v>
      </c>
      <c r="D130" s="4" t="s">
        <v>645</v>
      </c>
      <c r="E130" s="4" t="s">
        <v>56</v>
      </c>
      <c r="F130" s="4" t="s">
        <v>57</v>
      </c>
      <c r="G130" s="4" t="s">
        <v>58</v>
      </c>
      <c r="H130" s="4" t="s">
        <v>59</v>
      </c>
      <c r="I130" s="3"/>
      <c r="J130" s="3"/>
      <c r="K130" s="3"/>
      <c r="L130" s="3"/>
      <c r="M130" s="3"/>
      <c r="N130" s="3"/>
      <c r="O130" s="3"/>
      <c r="P130" s="8"/>
      <c r="Q130" s="8"/>
      <c r="R130" s="3"/>
      <c r="S130" s="3"/>
      <c r="T130" s="3"/>
      <c r="U130" s="5" t="str">
        <f t="shared" si="7"/>
        <v/>
      </c>
    </row>
    <row r="131" spans="1:21" ht="28" customHeight="1" x14ac:dyDescent="0.35">
      <c r="A131" s="4">
        <v>3</v>
      </c>
      <c r="B131" s="4" t="s">
        <v>53</v>
      </c>
      <c r="C131" s="4" t="s">
        <v>646</v>
      </c>
      <c r="D131" s="4" t="s">
        <v>647</v>
      </c>
      <c r="E131" s="4" t="s">
        <v>56</v>
      </c>
      <c r="F131" s="4" t="s">
        <v>57</v>
      </c>
      <c r="G131" s="4" t="s">
        <v>58</v>
      </c>
      <c r="H131" s="4" t="s">
        <v>59</v>
      </c>
      <c r="I131" s="3"/>
      <c r="J131" s="3"/>
      <c r="K131" s="3"/>
      <c r="L131" s="3"/>
      <c r="M131" s="3"/>
      <c r="N131" s="3"/>
      <c r="O131" s="3"/>
      <c r="P131" s="8"/>
      <c r="Q131" s="8"/>
      <c r="R131" s="3"/>
      <c r="S131" s="3"/>
      <c r="T131" s="3"/>
      <c r="U131" s="5" t="str">
        <f t="shared" si="7"/>
        <v/>
      </c>
    </row>
    <row r="132" spans="1:21" ht="28" customHeight="1" x14ac:dyDescent="0.35">
      <c r="A132" s="4">
        <v>4</v>
      </c>
      <c r="B132" s="4" t="s">
        <v>53</v>
      </c>
      <c r="C132" s="4" t="s">
        <v>648</v>
      </c>
      <c r="D132" s="4" t="s">
        <v>649</v>
      </c>
      <c r="E132" s="4" t="s">
        <v>56</v>
      </c>
      <c r="F132" s="4" t="s">
        <v>57</v>
      </c>
      <c r="G132" s="4" t="s">
        <v>58</v>
      </c>
      <c r="H132" s="4" t="s">
        <v>59</v>
      </c>
      <c r="I132" s="3"/>
      <c r="J132" s="3"/>
      <c r="K132" s="3"/>
      <c r="L132" s="3"/>
      <c r="M132" s="3"/>
      <c r="N132" s="3"/>
      <c r="O132" s="3"/>
      <c r="P132" s="8"/>
      <c r="Q132" s="8"/>
      <c r="R132" s="3"/>
      <c r="S132" s="3"/>
      <c r="T132" s="3"/>
      <c r="U132" s="5" t="str">
        <f t="shared" si="7"/>
        <v/>
      </c>
    </row>
    <row r="133" spans="1:21" ht="28" customHeight="1" x14ac:dyDescent="0.35">
      <c r="A133" s="4">
        <v>5</v>
      </c>
      <c r="B133" s="4" t="s">
        <v>66</v>
      </c>
      <c r="C133" s="4" t="s">
        <v>67</v>
      </c>
      <c r="D133" s="4" t="s">
        <v>68</v>
      </c>
      <c r="E133" s="4" t="s">
        <v>69</v>
      </c>
      <c r="F133" s="4" t="s">
        <v>57</v>
      </c>
      <c r="G133" s="4" t="s">
        <v>58</v>
      </c>
      <c r="H133" s="4" t="s">
        <v>59</v>
      </c>
      <c r="I133" s="3"/>
      <c r="J133" s="3"/>
      <c r="K133" s="3"/>
      <c r="L133" s="3"/>
      <c r="M133" s="3"/>
      <c r="N133" s="3"/>
      <c r="O133" s="3"/>
      <c r="P133" s="8"/>
      <c r="Q133" s="8"/>
      <c r="R133" s="3"/>
      <c r="S133" s="3"/>
      <c r="T133" s="3"/>
      <c r="U133" s="5" t="str">
        <f t="shared" si="7"/>
        <v/>
      </c>
    </row>
    <row r="134" spans="1:21" ht="28" customHeight="1" x14ac:dyDescent="0.35">
      <c r="A134" s="4">
        <v>6</v>
      </c>
      <c r="B134" s="4" t="s">
        <v>70</v>
      </c>
      <c r="C134" s="4" t="s">
        <v>71</v>
      </c>
      <c r="D134" s="4" t="s">
        <v>72</v>
      </c>
      <c r="E134" s="4" t="s">
        <v>70</v>
      </c>
      <c r="F134" s="4" t="s">
        <v>57</v>
      </c>
      <c r="G134" s="4" t="s">
        <v>58</v>
      </c>
      <c r="H134" s="4" t="s">
        <v>59</v>
      </c>
      <c r="I134" s="3"/>
      <c r="J134" s="3"/>
      <c r="K134" s="3"/>
      <c r="L134" s="3"/>
      <c r="M134" s="3"/>
      <c r="N134" s="3"/>
      <c r="O134" s="3"/>
      <c r="P134" s="8"/>
      <c r="Q134" s="8"/>
      <c r="R134" s="3"/>
      <c r="S134" s="3"/>
      <c r="T134" s="3"/>
      <c r="U134" s="5" t="str">
        <f t="shared" si="7"/>
        <v/>
      </c>
    </row>
    <row r="135" spans="1:21" ht="28" customHeight="1" x14ac:dyDescent="0.35">
      <c r="A135" s="4">
        <v>7</v>
      </c>
      <c r="B135" s="4" t="s">
        <v>73</v>
      </c>
      <c r="C135" s="4" t="s">
        <v>74</v>
      </c>
      <c r="D135" s="4" t="s">
        <v>75</v>
      </c>
      <c r="E135" s="4" t="s">
        <v>69</v>
      </c>
      <c r="F135" s="4" t="s">
        <v>57</v>
      </c>
      <c r="G135" s="4" t="s">
        <v>58</v>
      </c>
      <c r="H135" s="4" t="s">
        <v>76</v>
      </c>
      <c r="I135" s="3"/>
      <c r="J135" s="3"/>
      <c r="K135" s="3"/>
      <c r="L135" s="3"/>
      <c r="M135" s="3"/>
      <c r="N135" s="3"/>
      <c r="O135" s="3"/>
      <c r="P135" s="8"/>
      <c r="Q135" s="8"/>
      <c r="R135" s="3"/>
      <c r="S135" s="3"/>
      <c r="T135" s="3"/>
      <c r="U135" s="5" t="str">
        <f t="shared" si="7"/>
        <v/>
      </c>
    </row>
    <row r="136" spans="1:21" ht="28" customHeight="1" x14ac:dyDescent="0.35">
      <c r="A136" s="4">
        <v>8</v>
      </c>
      <c r="B136" s="4" t="s">
        <v>77</v>
      </c>
      <c r="C136" s="4" t="s">
        <v>78</v>
      </c>
      <c r="D136" s="4" t="s">
        <v>79</v>
      </c>
      <c r="E136" s="4" t="s">
        <v>80</v>
      </c>
      <c r="F136" s="4" t="s">
        <v>57</v>
      </c>
      <c r="G136" s="4" t="s">
        <v>58</v>
      </c>
      <c r="H136" s="4" t="s">
        <v>59</v>
      </c>
      <c r="I136" s="3"/>
      <c r="J136" s="3"/>
      <c r="K136" s="3"/>
      <c r="L136" s="3"/>
      <c r="M136" s="3"/>
      <c r="N136" s="3"/>
      <c r="O136" s="3"/>
      <c r="P136" s="8"/>
      <c r="Q136" s="8"/>
      <c r="R136" s="3"/>
      <c r="S136" s="3"/>
      <c r="T136" s="3"/>
      <c r="U136" s="5" t="str">
        <f t="shared" si="7"/>
        <v/>
      </c>
    </row>
    <row r="137" spans="1:21" ht="28" customHeight="1" x14ac:dyDescent="0.35">
      <c r="A137" s="4">
        <v>9</v>
      </c>
      <c r="B137" s="4" t="s">
        <v>81</v>
      </c>
      <c r="C137" s="4" t="s">
        <v>82</v>
      </c>
      <c r="D137" s="4" t="s">
        <v>83</v>
      </c>
      <c r="E137" s="4" t="s">
        <v>84</v>
      </c>
      <c r="F137" s="4" t="s">
        <v>57</v>
      </c>
      <c r="G137" s="4" t="s">
        <v>58</v>
      </c>
      <c r="H137" s="4" t="s">
        <v>85</v>
      </c>
      <c r="I137" s="3"/>
      <c r="J137" s="3"/>
      <c r="K137" s="3"/>
      <c r="L137" s="3"/>
      <c r="M137" s="3"/>
      <c r="N137" s="3"/>
      <c r="O137" s="3"/>
      <c r="P137" s="8"/>
      <c r="Q137" s="8"/>
      <c r="R137" s="3"/>
      <c r="S137" s="3"/>
      <c r="T137" s="3"/>
      <c r="U137" s="5" t="str">
        <f t="shared" si="7"/>
        <v/>
      </c>
    </row>
    <row r="138" spans="1:21" ht="28" customHeight="1" x14ac:dyDescent="0.35">
      <c r="A138" s="4">
        <v>10</v>
      </c>
      <c r="B138" s="4" t="s">
        <v>86</v>
      </c>
      <c r="C138" s="4" t="s">
        <v>87</v>
      </c>
      <c r="D138" s="4" t="s">
        <v>88</v>
      </c>
      <c r="E138" s="4" t="s">
        <v>69</v>
      </c>
      <c r="F138" s="4" t="s">
        <v>57</v>
      </c>
      <c r="G138" s="4" t="s">
        <v>58</v>
      </c>
      <c r="H138" s="4" t="s">
        <v>59</v>
      </c>
      <c r="I138" s="3"/>
      <c r="J138" s="3"/>
      <c r="K138" s="3"/>
      <c r="L138" s="3"/>
      <c r="M138" s="3"/>
      <c r="N138" s="3"/>
      <c r="O138" s="3"/>
      <c r="P138" s="8"/>
      <c r="Q138" s="8"/>
      <c r="R138" s="3"/>
      <c r="S138" s="3"/>
      <c r="T138" s="3"/>
      <c r="U138" s="5" t="str">
        <f t="shared" si="7"/>
        <v/>
      </c>
    </row>
    <row r="139" spans="1:21" ht="28" customHeight="1" x14ac:dyDescent="0.35">
      <c r="A139" s="4">
        <v>11</v>
      </c>
      <c r="B139" s="4" t="s">
        <v>89</v>
      </c>
      <c r="C139" s="4" t="s">
        <v>90</v>
      </c>
      <c r="D139" s="4" t="s">
        <v>91</v>
      </c>
      <c r="E139" s="4" t="s">
        <v>84</v>
      </c>
      <c r="F139" s="4" t="s">
        <v>57</v>
      </c>
      <c r="G139" s="4" t="s">
        <v>58</v>
      </c>
      <c r="H139" s="4" t="s">
        <v>59</v>
      </c>
      <c r="I139" s="3"/>
      <c r="J139" s="3"/>
      <c r="K139" s="3"/>
      <c r="L139" s="3"/>
      <c r="M139" s="3"/>
      <c r="N139" s="3"/>
      <c r="O139" s="3"/>
      <c r="P139" s="8"/>
      <c r="Q139" s="8"/>
      <c r="R139" s="3"/>
      <c r="S139" s="3"/>
      <c r="T139" s="3"/>
      <c r="U139" s="5" t="str">
        <f t="shared" si="7"/>
        <v/>
      </c>
    </row>
    <row r="140" spans="1:21" ht="28" customHeight="1" x14ac:dyDescent="0.35">
      <c r="A140" s="4">
        <v>12</v>
      </c>
      <c r="B140" s="4" t="s">
        <v>92</v>
      </c>
      <c r="C140" s="4" t="s">
        <v>93</v>
      </c>
      <c r="D140" s="4" t="s">
        <v>94</v>
      </c>
      <c r="E140" s="4" t="s">
        <v>69</v>
      </c>
      <c r="F140" s="4" t="s">
        <v>95</v>
      </c>
      <c r="G140" s="4" t="s">
        <v>96</v>
      </c>
      <c r="H140" s="4" t="s">
        <v>59</v>
      </c>
      <c r="I140" s="3"/>
      <c r="J140" s="3"/>
      <c r="K140" s="3"/>
      <c r="L140" s="3"/>
      <c r="M140" s="3"/>
      <c r="N140" s="3"/>
      <c r="O140" s="3"/>
      <c r="P140" s="8"/>
      <c r="Q140" s="8"/>
      <c r="R140" s="3"/>
      <c r="S140" s="3"/>
      <c r="T140" s="3"/>
      <c r="U140" s="5" t="str">
        <f t="shared" si="7"/>
        <v/>
      </c>
    </row>
    <row r="141" spans="1:21" ht="28" customHeight="1" x14ac:dyDescent="0.35">
      <c r="A141" s="4">
        <v>13</v>
      </c>
      <c r="B141" s="4" t="s">
        <v>97</v>
      </c>
      <c r="C141" s="4" t="s">
        <v>98</v>
      </c>
      <c r="D141" s="4" t="s">
        <v>99</v>
      </c>
      <c r="E141" s="4" t="s">
        <v>69</v>
      </c>
      <c r="F141" s="4" t="s">
        <v>95</v>
      </c>
      <c r="G141" s="4" t="s">
        <v>96</v>
      </c>
      <c r="H141" s="4" t="s">
        <v>59</v>
      </c>
      <c r="I141" s="3"/>
      <c r="J141" s="3"/>
      <c r="K141" s="3"/>
      <c r="L141" s="3"/>
      <c r="M141" s="3"/>
      <c r="N141" s="3"/>
      <c r="O141" s="3"/>
      <c r="P141" s="8"/>
      <c r="Q141" s="8"/>
      <c r="R141" s="3"/>
      <c r="S141" s="3"/>
      <c r="T141" s="3"/>
      <c r="U141" s="5" t="str">
        <f t="shared" si="7"/>
        <v/>
      </c>
    </row>
    <row r="142" spans="1:21" ht="28" customHeight="1" x14ac:dyDescent="0.35">
      <c r="A142" s="4">
        <v>14</v>
      </c>
      <c r="B142" s="4" t="s">
        <v>97</v>
      </c>
      <c r="C142" s="4" t="s">
        <v>100</v>
      </c>
      <c r="D142" s="4" t="s">
        <v>101</v>
      </c>
      <c r="E142" s="4" t="s">
        <v>69</v>
      </c>
      <c r="F142" s="4" t="s">
        <v>95</v>
      </c>
      <c r="G142" s="4" t="s">
        <v>102</v>
      </c>
      <c r="H142" s="4" t="s">
        <v>59</v>
      </c>
      <c r="I142" s="3"/>
      <c r="J142" s="3"/>
      <c r="K142" s="3"/>
      <c r="L142" s="3"/>
      <c r="M142" s="3"/>
      <c r="N142" s="3"/>
      <c r="O142" s="3"/>
      <c r="P142" s="8"/>
      <c r="Q142" s="8"/>
      <c r="R142" s="3"/>
      <c r="S142" s="3"/>
      <c r="T142" s="3"/>
      <c r="U142" s="5" t="str">
        <f t="shared" si="7"/>
        <v/>
      </c>
    </row>
    <row r="143" spans="1:21" ht="28" customHeight="1" x14ac:dyDescent="0.35">
      <c r="A143" s="4">
        <v>15</v>
      </c>
      <c r="B143" s="4" t="s">
        <v>103</v>
      </c>
      <c r="C143" s="4" t="s">
        <v>104</v>
      </c>
      <c r="D143" s="4" t="s">
        <v>105</v>
      </c>
      <c r="E143" s="4" t="s">
        <v>69</v>
      </c>
      <c r="F143" s="4" t="s">
        <v>95</v>
      </c>
      <c r="G143" s="4" t="s">
        <v>96</v>
      </c>
      <c r="H143" s="4" t="s">
        <v>85</v>
      </c>
      <c r="I143" s="3"/>
      <c r="J143" s="3"/>
      <c r="K143" s="3"/>
      <c r="L143" s="3"/>
      <c r="M143" s="3"/>
      <c r="N143" s="3"/>
      <c r="O143" s="3"/>
      <c r="P143" s="8"/>
      <c r="Q143" s="8"/>
      <c r="R143" s="3"/>
      <c r="S143" s="3"/>
      <c r="T143" s="3"/>
      <c r="U143" s="5" t="str">
        <f t="shared" si="7"/>
        <v/>
      </c>
    </row>
    <row r="144" spans="1:21" ht="28" customHeight="1" x14ac:dyDescent="0.35">
      <c r="A144" s="4">
        <v>16</v>
      </c>
      <c r="B144" s="4" t="s">
        <v>106</v>
      </c>
      <c r="C144" s="4" t="s">
        <v>107</v>
      </c>
      <c r="D144" s="4" t="s">
        <v>108</v>
      </c>
      <c r="E144" s="4" t="s">
        <v>109</v>
      </c>
      <c r="F144" s="4" t="s">
        <v>95</v>
      </c>
      <c r="G144" s="4" t="s">
        <v>96</v>
      </c>
      <c r="H144" s="4" t="s">
        <v>59</v>
      </c>
      <c r="I144" s="3"/>
      <c r="J144" s="3"/>
      <c r="K144" s="3"/>
      <c r="L144" s="3"/>
      <c r="M144" s="3"/>
      <c r="N144" s="3"/>
      <c r="O144" s="3"/>
      <c r="P144" s="8"/>
      <c r="Q144" s="8"/>
      <c r="R144" s="3"/>
      <c r="S144" s="3"/>
      <c r="T144" s="3"/>
      <c r="U144" s="5" t="str">
        <f t="shared" si="7"/>
        <v/>
      </c>
    </row>
    <row r="146" spans="1:21" ht="28" customHeight="1" x14ac:dyDescent="0.35">
      <c r="A146" s="9" t="s">
        <v>110</v>
      </c>
      <c r="B146" s="16"/>
      <c r="C146" s="17"/>
      <c r="D146" s="17"/>
      <c r="E146" s="17"/>
      <c r="F146" s="17"/>
      <c r="G146" s="17"/>
      <c r="H146" s="17"/>
      <c r="I146" s="17"/>
      <c r="J146" s="17"/>
      <c r="K146" s="17"/>
      <c r="L146" s="17"/>
      <c r="M146" s="17"/>
      <c r="N146" s="17"/>
      <c r="O146" s="17"/>
      <c r="P146" s="17"/>
      <c r="Q146" s="17"/>
      <c r="R146" s="17"/>
      <c r="S146" s="17"/>
      <c r="T146" s="17"/>
      <c r="U146" s="18"/>
    </row>
    <row r="147" spans="1:21" ht="28" customHeight="1" x14ac:dyDescent="0.35">
      <c r="A147" s="19" t="s">
        <v>655</v>
      </c>
      <c r="B147" s="20"/>
      <c r="C147" s="20"/>
      <c r="D147" s="20"/>
      <c r="E147" s="20"/>
      <c r="F147" s="20"/>
      <c r="G147" s="20"/>
      <c r="H147" s="20"/>
      <c r="I147" s="20"/>
      <c r="J147" s="20"/>
      <c r="K147" s="20"/>
      <c r="L147" s="20"/>
      <c r="M147" s="20"/>
      <c r="N147" s="20"/>
      <c r="O147" s="20"/>
      <c r="P147" s="20"/>
      <c r="Q147" s="20"/>
      <c r="R147" s="20"/>
      <c r="S147" s="20"/>
      <c r="T147" s="20"/>
      <c r="U147" s="21"/>
    </row>
    <row r="148" spans="1:21" ht="28" customHeight="1" x14ac:dyDescent="0.35">
      <c r="A148" s="4" t="s">
        <v>31</v>
      </c>
      <c r="B148" s="3" t="s">
        <v>24</v>
      </c>
      <c r="C148" s="4" t="s">
        <v>32</v>
      </c>
      <c r="D148" s="3"/>
      <c r="E148" s="4" t="s">
        <v>33</v>
      </c>
      <c r="F148" s="8"/>
    </row>
    <row r="149" spans="1:21" ht="28" customHeight="1" x14ac:dyDescent="0.35">
      <c r="A149" s="1" t="s">
        <v>34</v>
      </c>
      <c r="B149" s="1" t="s">
        <v>35</v>
      </c>
      <c r="C149" s="1" t="s">
        <v>36</v>
      </c>
      <c r="D149" s="1" t="s">
        <v>37</v>
      </c>
      <c r="E149" s="1" t="s">
        <v>38</v>
      </c>
      <c r="F149" s="1" t="s">
        <v>39</v>
      </c>
      <c r="G149" s="1" t="s">
        <v>40</v>
      </c>
      <c r="H149" s="1" t="s">
        <v>41</v>
      </c>
      <c r="I149" s="1" t="s">
        <v>42</v>
      </c>
      <c r="J149" s="1" t="s">
        <v>43</v>
      </c>
      <c r="K149" s="1" t="s">
        <v>44</v>
      </c>
      <c r="L149" s="1" t="s">
        <v>45</v>
      </c>
      <c r="M149" s="1" t="s">
        <v>46</v>
      </c>
      <c r="N149" s="1" t="s">
        <v>47</v>
      </c>
      <c r="O149" s="1" t="s">
        <v>48</v>
      </c>
      <c r="P149" s="1" t="s">
        <v>4</v>
      </c>
      <c r="Q149" s="1" t="s">
        <v>49</v>
      </c>
      <c r="R149" s="1" t="s">
        <v>50</v>
      </c>
      <c r="S149" s="1" t="s">
        <v>51</v>
      </c>
      <c r="T149" s="1" t="s">
        <v>52</v>
      </c>
      <c r="U149" s="1" t="s">
        <v>10</v>
      </c>
    </row>
    <row r="150" spans="1:21" ht="28" customHeight="1" x14ac:dyDescent="0.35">
      <c r="A150" s="4">
        <v>1</v>
      </c>
      <c r="B150" s="4" t="s">
        <v>53</v>
      </c>
      <c r="C150" s="4" t="s">
        <v>642</v>
      </c>
      <c r="D150" s="4" t="s">
        <v>643</v>
      </c>
      <c r="E150" s="4" t="s">
        <v>56</v>
      </c>
      <c r="F150" s="4" t="s">
        <v>57</v>
      </c>
      <c r="G150" s="4" t="s">
        <v>58</v>
      </c>
      <c r="H150" s="4" t="s">
        <v>59</v>
      </c>
      <c r="I150" s="3"/>
      <c r="J150" s="3"/>
      <c r="K150" s="3"/>
      <c r="L150" s="3"/>
      <c r="M150" s="3"/>
      <c r="N150" s="3"/>
      <c r="O150" s="3"/>
      <c r="P150" s="8"/>
      <c r="Q150" s="8"/>
      <c r="R150" s="3"/>
      <c r="S150" s="3"/>
      <c r="T150" s="3"/>
      <c r="U150" s="5" t="str">
        <f t="shared" ref="U150:U165" si="8">IF(I150="","",IF(I150="NA","Grey",IF(I150=2,"Green",IF(I150=1,"Amber","Red"))))</f>
        <v/>
      </c>
    </row>
    <row r="151" spans="1:21" ht="28" customHeight="1" x14ac:dyDescent="0.35">
      <c r="A151" s="4">
        <v>2</v>
      </c>
      <c r="B151" s="4" t="s">
        <v>53</v>
      </c>
      <c r="C151" s="4" t="s">
        <v>644</v>
      </c>
      <c r="D151" s="4" t="s">
        <v>645</v>
      </c>
      <c r="E151" s="4" t="s">
        <v>56</v>
      </c>
      <c r="F151" s="4" t="s">
        <v>57</v>
      </c>
      <c r="G151" s="4" t="s">
        <v>58</v>
      </c>
      <c r="H151" s="4" t="s">
        <v>59</v>
      </c>
      <c r="I151" s="3"/>
      <c r="J151" s="3"/>
      <c r="K151" s="3"/>
      <c r="L151" s="3"/>
      <c r="M151" s="3"/>
      <c r="N151" s="3"/>
      <c r="O151" s="3"/>
      <c r="P151" s="8"/>
      <c r="Q151" s="8"/>
      <c r="R151" s="3"/>
      <c r="S151" s="3"/>
      <c r="T151" s="3"/>
      <c r="U151" s="5" t="str">
        <f t="shared" si="8"/>
        <v/>
      </c>
    </row>
    <row r="152" spans="1:21" ht="28" customHeight="1" x14ac:dyDescent="0.35">
      <c r="A152" s="4">
        <v>3</v>
      </c>
      <c r="B152" s="4" t="s">
        <v>53</v>
      </c>
      <c r="C152" s="4" t="s">
        <v>646</v>
      </c>
      <c r="D152" s="4" t="s">
        <v>647</v>
      </c>
      <c r="E152" s="4" t="s">
        <v>56</v>
      </c>
      <c r="F152" s="4" t="s">
        <v>57</v>
      </c>
      <c r="G152" s="4" t="s">
        <v>58</v>
      </c>
      <c r="H152" s="4" t="s">
        <v>59</v>
      </c>
      <c r="I152" s="3"/>
      <c r="J152" s="3"/>
      <c r="K152" s="3"/>
      <c r="L152" s="3"/>
      <c r="M152" s="3"/>
      <c r="N152" s="3"/>
      <c r="O152" s="3"/>
      <c r="P152" s="8"/>
      <c r="Q152" s="8"/>
      <c r="R152" s="3"/>
      <c r="S152" s="3"/>
      <c r="T152" s="3"/>
      <c r="U152" s="5" t="str">
        <f t="shared" si="8"/>
        <v/>
      </c>
    </row>
    <row r="153" spans="1:21" ht="28" customHeight="1" x14ac:dyDescent="0.35">
      <c r="A153" s="4">
        <v>4</v>
      </c>
      <c r="B153" s="4" t="s">
        <v>53</v>
      </c>
      <c r="C153" s="4" t="s">
        <v>648</v>
      </c>
      <c r="D153" s="4" t="s">
        <v>649</v>
      </c>
      <c r="E153" s="4" t="s">
        <v>56</v>
      </c>
      <c r="F153" s="4" t="s">
        <v>57</v>
      </c>
      <c r="G153" s="4" t="s">
        <v>58</v>
      </c>
      <c r="H153" s="4" t="s">
        <v>59</v>
      </c>
      <c r="I153" s="3"/>
      <c r="J153" s="3"/>
      <c r="K153" s="3"/>
      <c r="L153" s="3"/>
      <c r="M153" s="3"/>
      <c r="N153" s="3"/>
      <c r="O153" s="3"/>
      <c r="P153" s="8"/>
      <c r="Q153" s="8"/>
      <c r="R153" s="3"/>
      <c r="S153" s="3"/>
      <c r="T153" s="3"/>
      <c r="U153" s="5" t="str">
        <f t="shared" si="8"/>
        <v/>
      </c>
    </row>
    <row r="154" spans="1:21" ht="28" customHeight="1" x14ac:dyDescent="0.35">
      <c r="A154" s="4">
        <v>5</v>
      </c>
      <c r="B154" s="4" t="s">
        <v>66</v>
      </c>
      <c r="C154" s="4" t="s">
        <v>67</v>
      </c>
      <c r="D154" s="4" t="s">
        <v>68</v>
      </c>
      <c r="E154" s="4" t="s">
        <v>69</v>
      </c>
      <c r="F154" s="4" t="s">
        <v>57</v>
      </c>
      <c r="G154" s="4" t="s">
        <v>58</v>
      </c>
      <c r="H154" s="4" t="s">
        <v>59</v>
      </c>
      <c r="I154" s="3"/>
      <c r="J154" s="3"/>
      <c r="K154" s="3"/>
      <c r="L154" s="3"/>
      <c r="M154" s="3"/>
      <c r="N154" s="3"/>
      <c r="O154" s="3"/>
      <c r="P154" s="8"/>
      <c r="Q154" s="8"/>
      <c r="R154" s="3"/>
      <c r="S154" s="3"/>
      <c r="T154" s="3"/>
      <c r="U154" s="5" t="str">
        <f t="shared" si="8"/>
        <v/>
      </c>
    </row>
    <row r="155" spans="1:21" ht="28" customHeight="1" x14ac:dyDescent="0.35">
      <c r="A155" s="4">
        <v>6</v>
      </c>
      <c r="B155" s="4" t="s">
        <v>70</v>
      </c>
      <c r="C155" s="4" t="s">
        <v>71</v>
      </c>
      <c r="D155" s="4" t="s">
        <v>72</v>
      </c>
      <c r="E155" s="4" t="s">
        <v>70</v>
      </c>
      <c r="F155" s="4" t="s">
        <v>57</v>
      </c>
      <c r="G155" s="4" t="s">
        <v>58</v>
      </c>
      <c r="H155" s="4" t="s">
        <v>59</v>
      </c>
      <c r="I155" s="3"/>
      <c r="J155" s="3"/>
      <c r="K155" s="3"/>
      <c r="L155" s="3"/>
      <c r="M155" s="3"/>
      <c r="N155" s="3"/>
      <c r="O155" s="3"/>
      <c r="P155" s="8"/>
      <c r="Q155" s="8"/>
      <c r="R155" s="3"/>
      <c r="S155" s="3"/>
      <c r="T155" s="3"/>
      <c r="U155" s="5" t="str">
        <f t="shared" si="8"/>
        <v/>
      </c>
    </row>
    <row r="156" spans="1:21" ht="28" customHeight="1" x14ac:dyDescent="0.35">
      <c r="A156" s="4">
        <v>7</v>
      </c>
      <c r="B156" s="4" t="s">
        <v>73</v>
      </c>
      <c r="C156" s="4" t="s">
        <v>74</v>
      </c>
      <c r="D156" s="4" t="s">
        <v>75</v>
      </c>
      <c r="E156" s="4" t="s">
        <v>69</v>
      </c>
      <c r="F156" s="4" t="s">
        <v>57</v>
      </c>
      <c r="G156" s="4" t="s">
        <v>58</v>
      </c>
      <c r="H156" s="4" t="s">
        <v>76</v>
      </c>
      <c r="I156" s="3"/>
      <c r="J156" s="3"/>
      <c r="K156" s="3"/>
      <c r="L156" s="3"/>
      <c r="M156" s="3"/>
      <c r="N156" s="3"/>
      <c r="O156" s="3"/>
      <c r="P156" s="8"/>
      <c r="Q156" s="8"/>
      <c r="R156" s="3"/>
      <c r="S156" s="3"/>
      <c r="T156" s="3"/>
      <c r="U156" s="5" t="str">
        <f t="shared" si="8"/>
        <v/>
      </c>
    </row>
    <row r="157" spans="1:21" ht="28" customHeight="1" x14ac:dyDescent="0.35">
      <c r="A157" s="4">
        <v>8</v>
      </c>
      <c r="B157" s="4" t="s">
        <v>77</v>
      </c>
      <c r="C157" s="4" t="s">
        <v>78</v>
      </c>
      <c r="D157" s="4" t="s">
        <v>79</v>
      </c>
      <c r="E157" s="4" t="s">
        <v>80</v>
      </c>
      <c r="F157" s="4" t="s">
        <v>57</v>
      </c>
      <c r="G157" s="4" t="s">
        <v>58</v>
      </c>
      <c r="H157" s="4" t="s">
        <v>59</v>
      </c>
      <c r="I157" s="3"/>
      <c r="J157" s="3"/>
      <c r="K157" s="3"/>
      <c r="L157" s="3"/>
      <c r="M157" s="3"/>
      <c r="N157" s="3"/>
      <c r="O157" s="3"/>
      <c r="P157" s="8"/>
      <c r="Q157" s="8"/>
      <c r="R157" s="3"/>
      <c r="S157" s="3"/>
      <c r="T157" s="3"/>
      <c r="U157" s="5" t="str">
        <f t="shared" si="8"/>
        <v/>
      </c>
    </row>
    <row r="158" spans="1:21" ht="28" customHeight="1" x14ac:dyDescent="0.35">
      <c r="A158" s="4">
        <v>9</v>
      </c>
      <c r="B158" s="4" t="s">
        <v>81</v>
      </c>
      <c r="C158" s="4" t="s">
        <v>82</v>
      </c>
      <c r="D158" s="4" t="s">
        <v>83</v>
      </c>
      <c r="E158" s="4" t="s">
        <v>84</v>
      </c>
      <c r="F158" s="4" t="s">
        <v>57</v>
      </c>
      <c r="G158" s="4" t="s">
        <v>58</v>
      </c>
      <c r="H158" s="4" t="s">
        <v>85</v>
      </c>
      <c r="I158" s="3"/>
      <c r="J158" s="3"/>
      <c r="K158" s="3"/>
      <c r="L158" s="3"/>
      <c r="M158" s="3"/>
      <c r="N158" s="3"/>
      <c r="O158" s="3"/>
      <c r="P158" s="8"/>
      <c r="Q158" s="8"/>
      <c r="R158" s="3"/>
      <c r="S158" s="3"/>
      <c r="T158" s="3"/>
      <c r="U158" s="5" t="str">
        <f t="shared" si="8"/>
        <v/>
      </c>
    </row>
    <row r="159" spans="1:21" ht="28" customHeight="1" x14ac:dyDescent="0.35">
      <c r="A159" s="4">
        <v>10</v>
      </c>
      <c r="B159" s="4" t="s">
        <v>86</v>
      </c>
      <c r="C159" s="4" t="s">
        <v>87</v>
      </c>
      <c r="D159" s="4" t="s">
        <v>88</v>
      </c>
      <c r="E159" s="4" t="s">
        <v>69</v>
      </c>
      <c r="F159" s="4" t="s">
        <v>57</v>
      </c>
      <c r="G159" s="4" t="s">
        <v>58</v>
      </c>
      <c r="H159" s="4" t="s">
        <v>59</v>
      </c>
      <c r="I159" s="3"/>
      <c r="J159" s="3"/>
      <c r="K159" s="3"/>
      <c r="L159" s="3"/>
      <c r="M159" s="3"/>
      <c r="N159" s="3"/>
      <c r="O159" s="3"/>
      <c r="P159" s="8"/>
      <c r="Q159" s="8"/>
      <c r="R159" s="3"/>
      <c r="S159" s="3"/>
      <c r="T159" s="3"/>
      <c r="U159" s="5" t="str">
        <f t="shared" si="8"/>
        <v/>
      </c>
    </row>
    <row r="160" spans="1:21" ht="28" customHeight="1" x14ac:dyDescent="0.35">
      <c r="A160" s="4">
        <v>11</v>
      </c>
      <c r="B160" s="4" t="s">
        <v>89</v>
      </c>
      <c r="C160" s="4" t="s">
        <v>90</v>
      </c>
      <c r="D160" s="4" t="s">
        <v>91</v>
      </c>
      <c r="E160" s="4" t="s">
        <v>84</v>
      </c>
      <c r="F160" s="4" t="s">
        <v>57</v>
      </c>
      <c r="G160" s="4" t="s">
        <v>58</v>
      </c>
      <c r="H160" s="4" t="s">
        <v>59</v>
      </c>
      <c r="I160" s="3"/>
      <c r="J160" s="3"/>
      <c r="K160" s="3"/>
      <c r="L160" s="3"/>
      <c r="M160" s="3"/>
      <c r="N160" s="3"/>
      <c r="O160" s="3"/>
      <c r="P160" s="8"/>
      <c r="Q160" s="8"/>
      <c r="R160" s="3"/>
      <c r="S160" s="3"/>
      <c r="T160" s="3"/>
      <c r="U160" s="5" t="str">
        <f t="shared" si="8"/>
        <v/>
      </c>
    </row>
    <row r="161" spans="1:21" ht="28" customHeight="1" x14ac:dyDescent="0.35">
      <c r="A161" s="4">
        <v>12</v>
      </c>
      <c r="B161" s="4" t="s">
        <v>92</v>
      </c>
      <c r="C161" s="4" t="s">
        <v>93</v>
      </c>
      <c r="D161" s="4" t="s">
        <v>94</v>
      </c>
      <c r="E161" s="4" t="s">
        <v>69</v>
      </c>
      <c r="F161" s="4" t="s">
        <v>95</v>
      </c>
      <c r="G161" s="4" t="s">
        <v>96</v>
      </c>
      <c r="H161" s="4" t="s">
        <v>59</v>
      </c>
      <c r="I161" s="3"/>
      <c r="J161" s="3"/>
      <c r="K161" s="3"/>
      <c r="L161" s="3"/>
      <c r="M161" s="3"/>
      <c r="N161" s="3"/>
      <c r="O161" s="3"/>
      <c r="P161" s="8"/>
      <c r="Q161" s="8"/>
      <c r="R161" s="3"/>
      <c r="S161" s="3"/>
      <c r="T161" s="3"/>
      <c r="U161" s="5" t="str">
        <f t="shared" si="8"/>
        <v/>
      </c>
    </row>
    <row r="162" spans="1:21" ht="28" customHeight="1" x14ac:dyDescent="0.35">
      <c r="A162" s="4">
        <v>13</v>
      </c>
      <c r="B162" s="4" t="s">
        <v>97</v>
      </c>
      <c r="C162" s="4" t="s">
        <v>98</v>
      </c>
      <c r="D162" s="4" t="s">
        <v>99</v>
      </c>
      <c r="E162" s="4" t="s">
        <v>69</v>
      </c>
      <c r="F162" s="4" t="s">
        <v>95</v>
      </c>
      <c r="G162" s="4" t="s">
        <v>96</v>
      </c>
      <c r="H162" s="4" t="s">
        <v>59</v>
      </c>
      <c r="I162" s="3"/>
      <c r="J162" s="3"/>
      <c r="K162" s="3"/>
      <c r="L162" s="3"/>
      <c r="M162" s="3"/>
      <c r="N162" s="3"/>
      <c r="O162" s="3"/>
      <c r="P162" s="8"/>
      <c r="Q162" s="8"/>
      <c r="R162" s="3"/>
      <c r="S162" s="3"/>
      <c r="T162" s="3"/>
      <c r="U162" s="5" t="str">
        <f t="shared" si="8"/>
        <v/>
      </c>
    </row>
    <row r="163" spans="1:21" ht="28" customHeight="1" x14ac:dyDescent="0.35">
      <c r="A163" s="4">
        <v>14</v>
      </c>
      <c r="B163" s="4" t="s">
        <v>97</v>
      </c>
      <c r="C163" s="4" t="s">
        <v>100</v>
      </c>
      <c r="D163" s="4" t="s">
        <v>101</v>
      </c>
      <c r="E163" s="4" t="s">
        <v>69</v>
      </c>
      <c r="F163" s="4" t="s">
        <v>95</v>
      </c>
      <c r="G163" s="4" t="s">
        <v>102</v>
      </c>
      <c r="H163" s="4" t="s">
        <v>59</v>
      </c>
      <c r="I163" s="3"/>
      <c r="J163" s="3"/>
      <c r="K163" s="3"/>
      <c r="L163" s="3"/>
      <c r="M163" s="3"/>
      <c r="N163" s="3"/>
      <c r="O163" s="3"/>
      <c r="P163" s="8"/>
      <c r="Q163" s="8"/>
      <c r="R163" s="3"/>
      <c r="S163" s="3"/>
      <c r="T163" s="3"/>
      <c r="U163" s="5" t="str">
        <f t="shared" si="8"/>
        <v/>
      </c>
    </row>
    <row r="164" spans="1:21" ht="28" customHeight="1" x14ac:dyDescent="0.35">
      <c r="A164" s="4">
        <v>15</v>
      </c>
      <c r="B164" s="4" t="s">
        <v>103</v>
      </c>
      <c r="C164" s="4" t="s">
        <v>104</v>
      </c>
      <c r="D164" s="4" t="s">
        <v>105</v>
      </c>
      <c r="E164" s="4" t="s">
        <v>69</v>
      </c>
      <c r="F164" s="4" t="s">
        <v>95</v>
      </c>
      <c r="G164" s="4" t="s">
        <v>96</v>
      </c>
      <c r="H164" s="4" t="s">
        <v>85</v>
      </c>
      <c r="I164" s="3"/>
      <c r="J164" s="3"/>
      <c r="K164" s="3"/>
      <c r="L164" s="3"/>
      <c r="M164" s="3"/>
      <c r="N164" s="3"/>
      <c r="O164" s="3"/>
      <c r="P164" s="8"/>
      <c r="Q164" s="8"/>
      <c r="R164" s="3"/>
      <c r="S164" s="3"/>
      <c r="T164" s="3"/>
      <c r="U164" s="5" t="str">
        <f t="shared" si="8"/>
        <v/>
      </c>
    </row>
    <row r="165" spans="1:21" ht="28" customHeight="1" x14ac:dyDescent="0.35">
      <c r="A165" s="4">
        <v>16</v>
      </c>
      <c r="B165" s="4" t="s">
        <v>106</v>
      </c>
      <c r="C165" s="4" t="s">
        <v>107</v>
      </c>
      <c r="D165" s="4" t="s">
        <v>108</v>
      </c>
      <c r="E165" s="4" t="s">
        <v>109</v>
      </c>
      <c r="F165" s="4" t="s">
        <v>95</v>
      </c>
      <c r="G165" s="4" t="s">
        <v>96</v>
      </c>
      <c r="H165" s="4" t="s">
        <v>59</v>
      </c>
      <c r="I165" s="3"/>
      <c r="J165" s="3"/>
      <c r="K165" s="3"/>
      <c r="L165" s="3"/>
      <c r="M165" s="3"/>
      <c r="N165" s="3"/>
      <c r="O165" s="3"/>
      <c r="P165" s="8"/>
      <c r="Q165" s="8"/>
      <c r="R165" s="3"/>
      <c r="S165" s="3"/>
      <c r="T165" s="3"/>
      <c r="U165" s="5" t="str">
        <f t="shared" si="8"/>
        <v/>
      </c>
    </row>
    <row r="167" spans="1:21" ht="28" customHeight="1" x14ac:dyDescent="0.35">
      <c r="A167" s="9" t="s">
        <v>110</v>
      </c>
      <c r="B167" s="16"/>
      <c r="C167" s="17"/>
      <c r="D167" s="17"/>
      <c r="E167" s="17"/>
      <c r="F167" s="17"/>
      <c r="G167" s="17"/>
      <c r="H167" s="17"/>
      <c r="I167" s="17"/>
      <c r="J167" s="17"/>
      <c r="K167" s="17"/>
      <c r="L167" s="17"/>
      <c r="M167" s="17"/>
      <c r="N167" s="17"/>
      <c r="O167" s="17"/>
      <c r="P167" s="17"/>
      <c r="Q167" s="17"/>
      <c r="R167" s="17"/>
      <c r="S167" s="17"/>
      <c r="T167" s="17"/>
      <c r="U167" s="18"/>
    </row>
    <row r="168" spans="1:21" ht="28" customHeight="1" x14ac:dyDescent="0.35">
      <c r="A168" s="19" t="s">
        <v>656</v>
      </c>
      <c r="B168" s="20"/>
      <c r="C168" s="20"/>
      <c r="D168" s="20"/>
      <c r="E168" s="20"/>
      <c r="F168" s="20"/>
      <c r="G168" s="20"/>
      <c r="H168" s="20"/>
      <c r="I168" s="20"/>
      <c r="J168" s="20"/>
      <c r="K168" s="20"/>
      <c r="L168" s="20"/>
      <c r="M168" s="20"/>
      <c r="N168" s="20"/>
      <c r="O168" s="20"/>
      <c r="P168" s="20"/>
      <c r="Q168" s="20"/>
      <c r="R168" s="20"/>
      <c r="S168" s="20"/>
      <c r="T168" s="20"/>
      <c r="U168" s="21"/>
    </row>
    <row r="169" spans="1:21" ht="28" customHeight="1" x14ac:dyDescent="0.35">
      <c r="A169" s="4" t="s">
        <v>31</v>
      </c>
      <c r="B169" s="3" t="s">
        <v>25</v>
      </c>
      <c r="C169" s="4" t="s">
        <v>32</v>
      </c>
      <c r="D169" s="3"/>
      <c r="E169" s="4" t="s">
        <v>33</v>
      </c>
      <c r="F169" s="8"/>
    </row>
    <row r="170" spans="1:21" ht="28" customHeight="1" x14ac:dyDescent="0.35">
      <c r="A170" s="1" t="s">
        <v>34</v>
      </c>
      <c r="B170" s="1" t="s">
        <v>35</v>
      </c>
      <c r="C170" s="1" t="s">
        <v>36</v>
      </c>
      <c r="D170" s="1" t="s">
        <v>37</v>
      </c>
      <c r="E170" s="1" t="s">
        <v>38</v>
      </c>
      <c r="F170" s="1" t="s">
        <v>39</v>
      </c>
      <c r="G170" s="1" t="s">
        <v>40</v>
      </c>
      <c r="H170" s="1" t="s">
        <v>41</v>
      </c>
      <c r="I170" s="1" t="s">
        <v>42</v>
      </c>
      <c r="J170" s="1" t="s">
        <v>43</v>
      </c>
      <c r="K170" s="1" t="s">
        <v>44</v>
      </c>
      <c r="L170" s="1" t="s">
        <v>45</v>
      </c>
      <c r="M170" s="1" t="s">
        <v>46</v>
      </c>
      <c r="N170" s="1" t="s">
        <v>47</v>
      </c>
      <c r="O170" s="1" t="s">
        <v>48</v>
      </c>
      <c r="P170" s="1" t="s">
        <v>4</v>
      </c>
      <c r="Q170" s="1" t="s">
        <v>49</v>
      </c>
      <c r="R170" s="1" t="s">
        <v>50</v>
      </c>
      <c r="S170" s="1" t="s">
        <v>51</v>
      </c>
      <c r="T170" s="1" t="s">
        <v>52</v>
      </c>
      <c r="U170" s="1" t="s">
        <v>10</v>
      </c>
    </row>
    <row r="171" spans="1:21" ht="28" customHeight="1" x14ac:dyDescent="0.35">
      <c r="A171" s="4">
        <v>1</v>
      </c>
      <c r="B171" s="4" t="s">
        <v>53</v>
      </c>
      <c r="C171" s="4" t="s">
        <v>642</v>
      </c>
      <c r="D171" s="4" t="s">
        <v>643</v>
      </c>
      <c r="E171" s="4" t="s">
        <v>56</v>
      </c>
      <c r="F171" s="4" t="s">
        <v>57</v>
      </c>
      <c r="G171" s="4" t="s">
        <v>58</v>
      </c>
      <c r="H171" s="4" t="s">
        <v>59</v>
      </c>
      <c r="I171" s="3"/>
      <c r="J171" s="3"/>
      <c r="K171" s="3"/>
      <c r="L171" s="3"/>
      <c r="M171" s="3"/>
      <c r="N171" s="3"/>
      <c r="O171" s="3"/>
      <c r="P171" s="8"/>
      <c r="Q171" s="8"/>
      <c r="R171" s="3"/>
      <c r="S171" s="3"/>
      <c r="T171" s="3"/>
      <c r="U171" s="5" t="str">
        <f t="shared" ref="U171:U186" si="9">IF(I171="","",IF(I171="NA","Grey",IF(I171=2,"Green",IF(I171=1,"Amber","Red"))))</f>
        <v/>
      </c>
    </row>
    <row r="172" spans="1:21" ht="28" customHeight="1" x14ac:dyDescent="0.35">
      <c r="A172" s="4">
        <v>2</v>
      </c>
      <c r="B172" s="4" t="s">
        <v>53</v>
      </c>
      <c r="C172" s="4" t="s">
        <v>644</v>
      </c>
      <c r="D172" s="4" t="s">
        <v>645</v>
      </c>
      <c r="E172" s="4" t="s">
        <v>56</v>
      </c>
      <c r="F172" s="4" t="s">
        <v>57</v>
      </c>
      <c r="G172" s="4" t="s">
        <v>58</v>
      </c>
      <c r="H172" s="4" t="s">
        <v>59</v>
      </c>
      <c r="I172" s="3"/>
      <c r="J172" s="3"/>
      <c r="K172" s="3"/>
      <c r="L172" s="3"/>
      <c r="M172" s="3"/>
      <c r="N172" s="3"/>
      <c r="O172" s="3"/>
      <c r="P172" s="8"/>
      <c r="Q172" s="8"/>
      <c r="R172" s="3"/>
      <c r="S172" s="3"/>
      <c r="T172" s="3"/>
      <c r="U172" s="5" t="str">
        <f t="shared" si="9"/>
        <v/>
      </c>
    </row>
    <row r="173" spans="1:21" ht="28" customHeight="1" x14ac:dyDescent="0.35">
      <c r="A173" s="4">
        <v>3</v>
      </c>
      <c r="B173" s="4" t="s">
        <v>53</v>
      </c>
      <c r="C173" s="4" t="s">
        <v>646</v>
      </c>
      <c r="D173" s="4" t="s">
        <v>647</v>
      </c>
      <c r="E173" s="4" t="s">
        <v>56</v>
      </c>
      <c r="F173" s="4" t="s">
        <v>57</v>
      </c>
      <c r="G173" s="4" t="s">
        <v>58</v>
      </c>
      <c r="H173" s="4" t="s">
        <v>59</v>
      </c>
      <c r="I173" s="3"/>
      <c r="J173" s="3"/>
      <c r="K173" s="3"/>
      <c r="L173" s="3"/>
      <c r="M173" s="3"/>
      <c r="N173" s="3"/>
      <c r="O173" s="3"/>
      <c r="P173" s="8"/>
      <c r="Q173" s="8"/>
      <c r="R173" s="3"/>
      <c r="S173" s="3"/>
      <c r="T173" s="3"/>
      <c r="U173" s="5" t="str">
        <f t="shared" si="9"/>
        <v/>
      </c>
    </row>
    <row r="174" spans="1:21" ht="28" customHeight="1" x14ac:dyDescent="0.35">
      <c r="A174" s="4">
        <v>4</v>
      </c>
      <c r="B174" s="4" t="s">
        <v>53</v>
      </c>
      <c r="C174" s="4" t="s">
        <v>648</v>
      </c>
      <c r="D174" s="4" t="s">
        <v>649</v>
      </c>
      <c r="E174" s="4" t="s">
        <v>56</v>
      </c>
      <c r="F174" s="4" t="s">
        <v>57</v>
      </c>
      <c r="G174" s="4" t="s">
        <v>58</v>
      </c>
      <c r="H174" s="4" t="s">
        <v>59</v>
      </c>
      <c r="I174" s="3"/>
      <c r="J174" s="3"/>
      <c r="K174" s="3"/>
      <c r="L174" s="3"/>
      <c r="M174" s="3"/>
      <c r="N174" s="3"/>
      <c r="O174" s="3"/>
      <c r="P174" s="8"/>
      <c r="Q174" s="8"/>
      <c r="R174" s="3"/>
      <c r="S174" s="3"/>
      <c r="T174" s="3"/>
      <c r="U174" s="5" t="str">
        <f t="shared" si="9"/>
        <v/>
      </c>
    </row>
    <row r="175" spans="1:21" ht="28" customHeight="1" x14ac:dyDescent="0.35">
      <c r="A175" s="4">
        <v>5</v>
      </c>
      <c r="B175" s="4" t="s">
        <v>66</v>
      </c>
      <c r="C175" s="4" t="s">
        <v>67</v>
      </c>
      <c r="D175" s="4" t="s">
        <v>68</v>
      </c>
      <c r="E175" s="4" t="s">
        <v>69</v>
      </c>
      <c r="F175" s="4" t="s">
        <v>57</v>
      </c>
      <c r="G175" s="4" t="s">
        <v>58</v>
      </c>
      <c r="H175" s="4" t="s">
        <v>59</v>
      </c>
      <c r="I175" s="3"/>
      <c r="J175" s="3"/>
      <c r="K175" s="3"/>
      <c r="L175" s="3"/>
      <c r="M175" s="3"/>
      <c r="N175" s="3"/>
      <c r="O175" s="3"/>
      <c r="P175" s="8"/>
      <c r="Q175" s="8"/>
      <c r="R175" s="3"/>
      <c r="S175" s="3"/>
      <c r="T175" s="3"/>
      <c r="U175" s="5" t="str">
        <f t="shared" si="9"/>
        <v/>
      </c>
    </row>
    <row r="176" spans="1:21" ht="28" customHeight="1" x14ac:dyDescent="0.35">
      <c r="A176" s="4">
        <v>6</v>
      </c>
      <c r="B176" s="4" t="s">
        <v>70</v>
      </c>
      <c r="C176" s="4" t="s">
        <v>71</v>
      </c>
      <c r="D176" s="4" t="s">
        <v>72</v>
      </c>
      <c r="E176" s="4" t="s">
        <v>70</v>
      </c>
      <c r="F176" s="4" t="s">
        <v>57</v>
      </c>
      <c r="G176" s="4" t="s">
        <v>58</v>
      </c>
      <c r="H176" s="4" t="s">
        <v>59</v>
      </c>
      <c r="I176" s="3"/>
      <c r="J176" s="3"/>
      <c r="K176" s="3"/>
      <c r="L176" s="3"/>
      <c r="M176" s="3"/>
      <c r="N176" s="3"/>
      <c r="O176" s="3"/>
      <c r="P176" s="8"/>
      <c r="Q176" s="8"/>
      <c r="R176" s="3"/>
      <c r="S176" s="3"/>
      <c r="T176" s="3"/>
      <c r="U176" s="5" t="str">
        <f t="shared" si="9"/>
        <v/>
      </c>
    </row>
    <row r="177" spans="1:21" ht="28" customHeight="1" x14ac:dyDescent="0.35">
      <c r="A177" s="4">
        <v>7</v>
      </c>
      <c r="B177" s="4" t="s">
        <v>73</v>
      </c>
      <c r="C177" s="4" t="s">
        <v>74</v>
      </c>
      <c r="D177" s="4" t="s">
        <v>75</v>
      </c>
      <c r="E177" s="4" t="s">
        <v>69</v>
      </c>
      <c r="F177" s="4" t="s">
        <v>57</v>
      </c>
      <c r="G177" s="4" t="s">
        <v>58</v>
      </c>
      <c r="H177" s="4" t="s">
        <v>76</v>
      </c>
      <c r="I177" s="3"/>
      <c r="J177" s="3"/>
      <c r="K177" s="3"/>
      <c r="L177" s="3"/>
      <c r="M177" s="3"/>
      <c r="N177" s="3"/>
      <c r="O177" s="3"/>
      <c r="P177" s="8"/>
      <c r="Q177" s="8"/>
      <c r="R177" s="3"/>
      <c r="S177" s="3"/>
      <c r="T177" s="3"/>
      <c r="U177" s="5" t="str">
        <f t="shared" si="9"/>
        <v/>
      </c>
    </row>
    <row r="178" spans="1:21" ht="28" customHeight="1" x14ac:dyDescent="0.35">
      <c r="A178" s="4">
        <v>8</v>
      </c>
      <c r="B178" s="4" t="s">
        <v>77</v>
      </c>
      <c r="C178" s="4" t="s">
        <v>78</v>
      </c>
      <c r="D178" s="4" t="s">
        <v>79</v>
      </c>
      <c r="E178" s="4" t="s">
        <v>80</v>
      </c>
      <c r="F178" s="4" t="s">
        <v>57</v>
      </c>
      <c r="G178" s="4" t="s">
        <v>58</v>
      </c>
      <c r="H178" s="4" t="s">
        <v>59</v>
      </c>
      <c r="I178" s="3"/>
      <c r="J178" s="3"/>
      <c r="K178" s="3"/>
      <c r="L178" s="3"/>
      <c r="M178" s="3"/>
      <c r="N178" s="3"/>
      <c r="O178" s="3"/>
      <c r="P178" s="8"/>
      <c r="Q178" s="8"/>
      <c r="R178" s="3"/>
      <c r="S178" s="3"/>
      <c r="T178" s="3"/>
      <c r="U178" s="5" t="str">
        <f t="shared" si="9"/>
        <v/>
      </c>
    </row>
    <row r="179" spans="1:21" ht="28" customHeight="1" x14ac:dyDescent="0.35">
      <c r="A179" s="4">
        <v>9</v>
      </c>
      <c r="B179" s="4" t="s">
        <v>81</v>
      </c>
      <c r="C179" s="4" t="s">
        <v>82</v>
      </c>
      <c r="D179" s="4" t="s">
        <v>83</v>
      </c>
      <c r="E179" s="4" t="s">
        <v>84</v>
      </c>
      <c r="F179" s="4" t="s">
        <v>57</v>
      </c>
      <c r="G179" s="4" t="s">
        <v>58</v>
      </c>
      <c r="H179" s="4" t="s">
        <v>85</v>
      </c>
      <c r="I179" s="3"/>
      <c r="J179" s="3"/>
      <c r="K179" s="3"/>
      <c r="L179" s="3"/>
      <c r="M179" s="3"/>
      <c r="N179" s="3"/>
      <c r="O179" s="3"/>
      <c r="P179" s="8"/>
      <c r="Q179" s="8"/>
      <c r="R179" s="3"/>
      <c r="S179" s="3"/>
      <c r="T179" s="3"/>
      <c r="U179" s="5" t="str">
        <f t="shared" si="9"/>
        <v/>
      </c>
    </row>
    <row r="180" spans="1:21" ht="28" customHeight="1" x14ac:dyDescent="0.35">
      <c r="A180" s="4">
        <v>10</v>
      </c>
      <c r="B180" s="4" t="s">
        <v>86</v>
      </c>
      <c r="C180" s="4" t="s">
        <v>87</v>
      </c>
      <c r="D180" s="4" t="s">
        <v>88</v>
      </c>
      <c r="E180" s="4" t="s">
        <v>69</v>
      </c>
      <c r="F180" s="4" t="s">
        <v>57</v>
      </c>
      <c r="G180" s="4" t="s">
        <v>58</v>
      </c>
      <c r="H180" s="4" t="s">
        <v>59</v>
      </c>
      <c r="I180" s="3"/>
      <c r="J180" s="3"/>
      <c r="K180" s="3"/>
      <c r="L180" s="3"/>
      <c r="M180" s="3"/>
      <c r="N180" s="3"/>
      <c r="O180" s="3"/>
      <c r="P180" s="8"/>
      <c r="Q180" s="8"/>
      <c r="R180" s="3"/>
      <c r="S180" s="3"/>
      <c r="T180" s="3"/>
      <c r="U180" s="5" t="str">
        <f t="shared" si="9"/>
        <v/>
      </c>
    </row>
    <row r="181" spans="1:21" ht="28" customHeight="1" x14ac:dyDescent="0.35">
      <c r="A181" s="4">
        <v>11</v>
      </c>
      <c r="B181" s="4" t="s">
        <v>89</v>
      </c>
      <c r="C181" s="4" t="s">
        <v>90</v>
      </c>
      <c r="D181" s="4" t="s">
        <v>91</v>
      </c>
      <c r="E181" s="4" t="s">
        <v>84</v>
      </c>
      <c r="F181" s="4" t="s">
        <v>57</v>
      </c>
      <c r="G181" s="4" t="s">
        <v>58</v>
      </c>
      <c r="H181" s="4" t="s">
        <v>59</v>
      </c>
      <c r="I181" s="3"/>
      <c r="J181" s="3"/>
      <c r="K181" s="3"/>
      <c r="L181" s="3"/>
      <c r="M181" s="3"/>
      <c r="N181" s="3"/>
      <c r="O181" s="3"/>
      <c r="P181" s="8"/>
      <c r="Q181" s="8"/>
      <c r="R181" s="3"/>
      <c r="S181" s="3"/>
      <c r="T181" s="3"/>
      <c r="U181" s="5" t="str">
        <f t="shared" si="9"/>
        <v/>
      </c>
    </row>
    <row r="182" spans="1:21" ht="28" customHeight="1" x14ac:dyDescent="0.35">
      <c r="A182" s="4">
        <v>12</v>
      </c>
      <c r="B182" s="4" t="s">
        <v>92</v>
      </c>
      <c r="C182" s="4" t="s">
        <v>93</v>
      </c>
      <c r="D182" s="4" t="s">
        <v>94</v>
      </c>
      <c r="E182" s="4" t="s">
        <v>69</v>
      </c>
      <c r="F182" s="4" t="s">
        <v>95</v>
      </c>
      <c r="G182" s="4" t="s">
        <v>96</v>
      </c>
      <c r="H182" s="4" t="s">
        <v>59</v>
      </c>
      <c r="I182" s="3"/>
      <c r="J182" s="3"/>
      <c r="K182" s="3"/>
      <c r="L182" s="3"/>
      <c r="M182" s="3"/>
      <c r="N182" s="3"/>
      <c r="O182" s="3"/>
      <c r="P182" s="8"/>
      <c r="Q182" s="8"/>
      <c r="R182" s="3"/>
      <c r="S182" s="3"/>
      <c r="T182" s="3"/>
      <c r="U182" s="5" t="str">
        <f t="shared" si="9"/>
        <v/>
      </c>
    </row>
    <row r="183" spans="1:21" ht="28" customHeight="1" x14ac:dyDescent="0.35">
      <c r="A183" s="4">
        <v>13</v>
      </c>
      <c r="B183" s="4" t="s">
        <v>97</v>
      </c>
      <c r="C183" s="4" t="s">
        <v>98</v>
      </c>
      <c r="D183" s="4" t="s">
        <v>99</v>
      </c>
      <c r="E183" s="4" t="s">
        <v>69</v>
      </c>
      <c r="F183" s="4" t="s">
        <v>95</v>
      </c>
      <c r="G183" s="4" t="s">
        <v>96</v>
      </c>
      <c r="H183" s="4" t="s">
        <v>59</v>
      </c>
      <c r="I183" s="3"/>
      <c r="J183" s="3"/>
      <c r="K183" s="3"/>
      <c r="L183" s="3"/>
      <c r="M183" s="3"/>
      <c r="N183" s="3"/>
      <c r="O183" s="3"/>
      <c r="P183" s="8"/>
      <c r="Q183" s="8"/>
      <c r="R183" s="3"/>
      <c r="S183" s="3"/>
      <c r="T183" s="3"/>
      <c r="U183" s="5" t="str">
        <f t="shared" si="9"/>
        <v/>
      </c>
    </row>
    <row r="184" spans="1:21" ht="28" customHeight="1" x14ac:dyDescent="0.35">
      <c r="A184" s="4">
        <v>14</v>
      </c>
      <c r="B184" s="4" t="s">
        <v>97</v>
      </c>
      <c r="C184" s="4" t="s">
        <v>100</v>
      </c>
      <c r="D184" s="4" t="s">
        <v>101</v>
      </c>
      <c r="E184" s="4" t="s">
        <v>69</v>
      </c>
      <c r="F184" s="4" t="s">
        <v>95</v>
      </c>
      <c r="G184" s="4" t="s">
        <v>102</v>
      </c>
      <c r="H184" s="4" t="s">
        <v>59</v>
      </c>
      <c r="I184" s="3"/>
      <c r="J184" s="3"/>
      <c r="K184" s="3"/>
      <c r="L184" s="3"/>
      <c r="M184" s="3"/>
      <c r="N184" s="3"/>
      <c r="O184" s="3"/>
      <c r="P184" s="8"/>
      <c r="Q184" s="8"/>
      <c r="R184" s="3"/>
      <c r="S184" s="3"/>
      <c r="T184" s="3"/>
      <c r="U184" s="5" t="str">
        <f t="shared" si="9"/>
        <v/>
      </c>
    </row>
    <row r="185" spans="1:21" ht="28" customHeight="1" x14ac:dyDescent="0.35">
      <c r="A185" s="4">
        <v>15</v>
      </c>
      <c r="B185" s="4" t="s">
        <v>103</v>
      </c>
      <c r="C185" s="4" t="s">
        <v>104</v>
      </c>
      <c r="D185" s="4" t="s">
        <v>105</v>
      </c>
      <c r="E185" s="4" t="s">
        <v>69</v>
      </c>
      <c r="F185" s="4" t="s">
        <v>95</v>
      </c>
      <c r="G185" s="4" t="s">
        <v>96</v>
      </c>
      <c r="H185" s="4" t="s">
        <v>85</v>
      </c>
      <c r="I185" s="3"/>
      <c r="J185" s="3"/>
      <c r="K185" s="3"/>
      <c r="L185" s="3"/>
      <c r="M185" s="3"/>
      <c r="N185" s="3"/>
      <c r="O185" s="3"/>
      <c r="P185" s="8"/>
      <c r="Q185" s="8"/>
      <c r="R185" s="3"/>
      <c r="S185" s="3"/>
      <c r="T185" s="3"/>
      <c r="U185" s="5" t="str">
        <f t="shared" si="9"/>
        <v/>
      </c>
    </row>
    <row r="186" spans="1:21" ht="28" customHeight="1" x14ac:dyDescent="0.35">
      <c r="A186" s="4">
        <v>16</v>
      </c>
      <c r="B186" s="4" t="s">
        <v>106</v>
      </c>
      <c r="C186" s="4" t="s">
        <v>107</v>
      </c>
      <c r="D186" s="4" t="s">
        <v>108</v>
      </c>
      <c r="E186" s="4" t="s">
        <v>109</v>
      </c>
      <c r="F186" s="4" t="s">
        <v>95</v>
      </c>
      <c r="G186" s="4" t="s">
        <v>96</v>
      </c>
      <c r="H186" s="4" t="s">
        <v>59</v>
      </c>
      <c r="I186" s="3"/>
      <c r="J186" s="3"/>
      <c r="K186" s="3"/>
      <c r="L186" s="3"/>
      <c r="M186" s="3"/>
      <c r="N186" s="3"/>
      <c r="O186" s="3"/>
      <c r="P186" s="8"/>
      <c r="Q186" s="8"/>
      <c r="R186" s="3"/>
      <c r="S186" s="3"/>
      <c r="T186" s="3"/>
      <c r="U186" s="5" t="str">
        <f t="shared" si="9"/>
        <v/>
      </c>
    </row>
    <row r="188" spans="1:21" ht="28" customHeight="1" x14ac:dyDescent="0.35">
      <c r="A188" s="9" t="s">
        <v>110</v>
      </c>
      <c r="B188" s="16"/>
      <c r="C188" s="17"/>
      <c r="D188" s="17"/>
      <c r="E188" s="17"/>
      <c r="F188" s="17"/>
      <c r="G188" s="17"/>
      <c r="H188" s="17"/>
      <c r="I188" s="17"/>
      <c r="J188" s="17"/>
      <c r="K188" s="17"/>
      <c r="L188" s="17"/>
      <c r="M188" s="17"/>
      <c r="N188" s="17"/>
      <c r="O188" s="17"/>
      <c r="P188" s="17"/>
      <c r="Q188" s="17"/>
      <c r="R188" s="17"/>
      <c r="S188" s="17"/>
      <c r="T188" s="17"/>
      <c r="U188" s="18"/>
    </row>
    <row r="189" spans="1:21" ht="28" customHeight="1" x14ac:dyDescent="0.35">
      <c r="A189" s="19" t="s">
        <v>657</v>
      </c>
      <c r="B189" s="20"/>
      <c r="C189" s="20"/>
      <c r="D189" s="20"/>
      <c r="E189" s="20"/>
      <c r="F189" s="20"/>
      <c r="G189" s="20"/>
      <c r="H189" s="20"/>
      <c r="I189" s="20"/>
      <c r="J189" s="20"/>
      <c r="K189" s="20"/>
      <c r="L189" s="20"/>
      <c r="M189" s="20"/>
      <c r="N189" s="20"/>
      <c r="O189" s="20"/>
      <c r="P189" s="20"/>
      <c r="Q189" s="20"/>
      <c r="R189" s="20"/>
      <c r="S189" s="20"/>
      <c r="T189" s="20"/>
      <c r="U189" s="21"/>
    </row>
    <row r="190" spans="1:21" ht="28" customHeight="1" x14ac:dyDescent="0.35">
      <c r="A190" s="4" t="s">
        <v>31</v>
      </c>
      <c r="B190" s="3" t="s">
        <v>26</v>
      </c>
      <c r="C190" s="4" t="s">
        <v>32</v>
      </c>
      <c r="D190" s="3"/>
      <c r="E190" s="4" t="s">
        <v>33</v>
      </c>
      <c r="F190" s="8"/>
    </row>
    <row r="191" spans="1:21" ht="28" customHeight="1" x14ac:dyDescent="0.35">
      <c r="A191" s="1" t="s">
        <v>34</v>
      </c>
      <c r="B191" s="1" t="s">
        <v>35</v>
      </c>
      <c r="C191" s="1" t="s">
        <v>36</v>
      </c>
      <c r="D191" s="1" t="s">
        <v>37</v>
      </c>
      <c r="E191" s="1" t="s">
        <v>38</v>
      </c>
      <c r="F191" s="1" t="s">
        <v>39</v>
      </c>
      <c r="G191" s="1" t="s">
        <v>40</v>
      </c>
      <c r="H191" s="1" t="s">
        <v>41</v>
      </c>
      <c r="I191" s="1" t="s">
        <v>42</v>
      </c>
      <c r="J191" s="1" t="s">
        <v>43</v>
      </c>
      <c r="K191" s="1" t="s">
        <v>44</v>
      </c>
      <c r="L191" s="1" t="s">
        <v>45</v>
      </c>
      <c r="M191" s="1" t="s">
        <v>46</v>
      </c>
      <c r="N191" s="1" t="s">
        <v>47</v>
      </c>
      <c r="O191" s="1" t="s">
        <v>48</v>
      </c>
      <c r="P191" s="1" t="s">
        <v>4</v>
      </c>
      <c r="Q191" s="1" t="s">
        <v>49</v>
      </c>
      <c r="R191" s="1" t="s">
        <v>50</v>
      </c>
      <c r="S191" s="1" t="s">
        <v>51</v>
      </c>
      <c r="T191" s="1" t="s">
        <v>52</v>
      </c>
      <c r="U191" s="1" t="s">
        <v>10</v>
      </c>
    </row>
    <row r="192" spans="1:21" ht="28" customHeight="1" x14ac:dyDescent="0.35">
      <c r="A192" s="4">
        <v>1</v>
      </c>
      <c r="B192" s="4" t="s">
        <v>53</v>
      </c>
      <c r="C192" s="4" t="s">
        <v>642</v>
      </c>
      <c r="D192" s="4" t="s">
        <v>643</v>
      </c>
      <c r="E192" s="4" t="s">
        <v>56</v>
      </c>
      <c r="F192" s="4" t="s">
        <v>57</v>
      </c>
      <c r="G192" s="4" t="s">
        <v>58</v>
      </c>
      <c r="H192" s="4" t="s">
        <v>59</v>
      </c>
      <c r="I192" s="3"/>
      <c r="J192" s="3"/>
      <c r="K192" s="3"/>
      <c r="L192" s="3"/>
      <c r="M192" s="3"/>
      <c r="N192" s="3"/>
      <c r="O192" s="3"/>
      <c r="P192" s="8"/>
      <c r="Q192" s="8"/>
      <c r="R192" s="3"/>
      <c r="S192" s="3"/>
      <c r="T192" s="3"/>
      <c r="U192" s="5" t="str">
        <f t="shared" ref="U192:U207" si="10">IF(I192="","",IF(I192="NA","Grey",IF(I192=2,"Green",IF(I192=1,"Amber","Red"))))</f>
        <v/>
      </c>
    </row>
    <row r="193" spans="1:21" ht="28" customHeight="1" x14ac:dyDescent="0.35">
      <c r="A193" s="4">
        <v>2</v>
      </c>
      <c r="B193" s="4" t="s">
        <v>53</v>
      </c>
      <c r="C193" s="4" t="s">
        <v>644</v>
      </c>
      <c r="D193" s="4" t="s">
        <v>645</v>
      </c>
      <c r="E193" s="4" t="s">
        <v>56</v>
      </c>
      <c r="F193" s="4" t="s">
        <v>57</v>
      </c>
      <c r="G193" s="4" t="s">
        <v>58</v>
      </c>
      <c r="H193" s="4" t="s">
        <v>59</v>
      </c>
      <c r="I193" s="3"/>
      <c r="J193" s="3"/>
      <c r="K193" s="3"/>
      <c r="L193" s="3"/>
      <c r="M193" s="3"/>
      <c r="N193" s="3"/>
      <c r="O193" s="3"/>
      <c r="P193" s="8"/>
      <c r="Q193" s="8"/>
      <c r="R193" s="3"/>
      <c r="S193" s="3"/>
      <c r="T193" s="3"/>
      <c r="U193" s="5" t="str">
        <f t="shared" si="10"/>
        <v/>
      </c>
    </row>
    <row r="194" spans="1:21" ht="28" customHeight="1" x14ac:dyDescent="0.35">
      <c r="A194" s="4">
        <v>3</v>
      </c>
      <c r="B194" s="4" t="s">
        <v>53</v>
      </c>
      <c r="C194" s="4" t="s">
        <v>646</v>
      </c>
      <c r="D194" s="4" t="s">
        <v>647</v>
      </c>
      <c r="E194" s="4" t="s">
        <v>56</v>
      </c>
      <c r="F194" s="4" t="s">
        <v>57</v>
      </c>
      <c r="G194" s="4" t="s">
        <v>58</v>
      </c>
      <c r="H194" s="4" t="s">
        <v>59</v>
      </c>
      <c r="I194" s="3"/>
      <c r="J194" s="3"/>
      <c r="K194" s="3"/>
      <c r="L194" s="3"/>
      <c r="M194" s="3"/>
      <c r="N194" s="3"/>
      <c r="O194" s="3"/>
      <c r="P194" s="8"/>
      <c r="Q194" s="8"/>
      <c r="R194" s="3"/>
      <c r="S194" s="3"/>
      <c r="T194" s="3"/>
      <c r="U194" s="5" t="str">
        <f t="shared" si="10"/>
        <v/>
      </c>
    </row>
    <row r="195" spans="1:21" ht="28" customHeight="1" x14ac:dyDescent="0.35">
      <c r="A195" s="4">
        <v>4</v>
      </c>
      <c r="B195" s="4" t="s">
        <v>53</v>
      </c>
      <c r="C195" s="4" t="s">
        <v>648</v>
      </c>
      <c r="D195" s="4" t="s">
        <v>649</v>
      </c>
      <c r="E195" s="4" t="s">
        <v>56</v>
      </c>
      <c r="F195" s="4" t="s">
        <v>57</v>
      </c>
      <c r="G195" s="4" t="s">
        <v>58</v>
      </c>
      <c r="H195" s="4" t="s">
        <v>59</v>
      </c>
      <c r="I195" s="3"/>
      <c r="J195" s="3"/>
      <c r="K195" s="3"/>
      <c r="L195" s="3"/>
      <c r="M195" s="3"/>
      <c r="N195" s="3"/>
      <c r="O195" s="3"/>
      <c r="P195" s="8"/>
      <c r="Q195" s="8"/>
      <c r="R195" s="3"/>
      <c r="S195" s="3"/>
      <c r="T195" s="3"/>
      <c r="U195" s="5" t="str">
        <f t="shared" si="10"/>
        <v/>
      </c>
    </row>
    <row r="196" spans="1:21" ht="28" customHeight="1" x14ac:dyDescent="0.35">
      <c r="A196" s="4">
        <v>5</v>
      </c>
      <c r="B196" s="4" t="s">
        <v>66</v>
      </c>
      <c r="C196" s="4" t="s">
        <v>67</v>
      </c>
      <c r="D196" s="4" t="s">
        <v>68</v>
      </c>
      <c r="E196" s="4" t="s">
        <v>69</v>
      </c>
      <c r="F196" s="4" t="s">
        <v>57</v>
      </c>
      <c r="G196" s="4" t="s">
        <v>58</v>
      </c>
      <c r="H196" s="4" t="s">
        <v>59</v>
      </c>
      <c r="I196" s="3"/>
      <c r="J196" s="3"/>
      <c r="K196" s="3"/>
      <c r="L196" s="3"/>
      <c r="M196" s="3"/>
      <c r="N196" s="3"/>
      <c r="O196" s="3"/>
      <c r="P196" s="8"/>
      <c r="Q196" s="8"/>
      <c r="R196" s="3"/>
      <c r="S196" s="3"/>
      <c r="T196" s="3"/>
      <c r="U196" s="5" t="str">
        <f t="shared" si="10"/>
        <v/>
      </c>
    </row>
    <row r="197" spans="1:21" ht="28" customHeight="1" x14ac:dyDescent="0.35">
      <c r="A197" s="4">
        <v>6</v>
      </c>
      <c r="B197" s="4" t="s">
        <v>70</v>
      </c>
      <c r="C197" s="4" t="s">
        <v>71</v>
      </c>
      <c r="D197" s="4" t="s">
        <v>72</v>
      </c>
      <c r="E197" s="4" t="s">
        <v>70</v>
      </c>
      <c r="F197" s="4" t="s">
        <v>57</v>
      </c>
      <c r="G197" s="4" t="s">
        <v>58</v>
      </c>
      <c r="H197" s="4" t="s">
        <v>59</v>
      </c>
      <c r="I197" s="3"/>
      <c r="J197" s="3"/>
      <c r="K197" s="3"/>
      <c r="L197" s="3"/>
      <c r="M197" s="3"/>
      <c r="N197" s="3"/>
      <c r="O197" s="3"/>
      <c r="P197" s="8"/>
      <c r="Q197" s="8"/>
      <c r="R197" s="3"/>
      <c r="S197" s="3"/>
      <c r="T197" s="3"/>
      <c r="U197" s="5" t="str">
        <f t="shared" si="10"/>
        <v/>
      </c>
    </row>
    <row r="198" spans="1:21" ht="28" customHeight="1" x14ac:dyDescent="0.35">
      <c r="A198" s="4">
        <v>7</v>
      </c>
      <c r="B198" s="4" t="s">
        <v>73</v>
      </c>
      <c r="C198" s="4" t="s">
        <v>74</v>
      </c>
      <c r="D198" s="4" t="s">
        <v>75</v>
      </c>
      <c r="E198" s="4" t="s">
        <v>69</v>
      </c>
      <c r="F198" s="4" t="s">
        <v>57</v>
      </c>
      <c r="G198" s="4" t="s">
        <v>58</v>
      </c>
      <c r="H198" s="4" t="s">
        <v>76</v>
      </c>
      <c r="I198" s="3"/>
      <c r="J198" s="3"/>
      <c r="K198" s="3"/>
      <c r="L198" s="3"/>
      <c r="M198" s="3"/>
      <c r="N198" s="3"/>
      <c r="O198" s="3"/>
      <c r="P198" s="8"/>
      <c r="Q198" s="8"/>
      <c r="R198" s="3"/>
      <c r="S198" s="3"/>
      <c r="T198" s="3"/>
      <c r="U198" s="5" t="str">
        <f t="shared" si="10"/>
        <v/>
      </c>
    </row>
    <row r="199" spans="1:21" ht="28" customHeight="1" x14ac:dyDescent="0.35">
      <c r="A199" s="4">
        <v>8</v>
      </c>
      <c r="B199" s="4" t="s">
        <v>77</v>
      </c>
      <c r="C199" s="4" t="s">
        <v>78</v>
      </c>
      <c r="D199" s="4" t="s">
        <v>79</v>
      </c>
      <c r="E199" s="4" t="s">
        <v>80</v>
      </c>
      <c r="F199" s="4" t="s">
        <v>57</v>
      </c>
      <c r="G199" s="4" t="s">
        <v>58</v>
      </c>
      <c r="H199" s="4" t="s">
        <v>59</v>
      </c>
      <c r="I199" s="3"/>
      <c r="J199" s="3"/>
      <c r="K199" s="3"/>
      <c r="L199" s="3"/>
      <c r="M199" s="3"/>
      <c r="N199" s="3"/>
      <c r="O199" s="3"/>
      <c r="P199" s="8"/>
      <c r="Q199" s="8"/>
      <c r="R199" s="3"/>
      <c r="S199" s="3"/>
      <c r="T199" s="3"/>
      <c r="U199" s="5" t="str">
        <f t="shared" si="10"/>
        <v/>
      </c>
    </row>
    <row r="200" spans="1:21" ht="28" customHeight="1" x14ac:dyDescent="0.35">
      <c r="A200" s="4">
        <v>9</v>
      </c>
      <c r="B200" s="4" t="s">
        <v>81</v>
      </c>
      <c r="C200" s="4" t="s">
        <v>82</v>
      </c>
      <c r="D200" s="4" t="s">
        <v>83</v>
      </c>
      <c r="E200" s="4" t="s">
        <v>84</v>
      </c>
      <c r="F200" s="4" t="s">
        <v>57</v>
      </c>
      <c r="G200" s="4" t="s">
        <v>58</v>
      </c>
      <c r="H200" s="4" t="s">
        <v>85</v>
      </c>
      <c r="I200" s="3"/>
      <c r="J200" s="3"/>
      <c r="K200" s="3"/>
      <c r="L200" s="3"/>
      <c r="M200" s="3"/>
      <c r="N200" s="3"/>
      <c r="O200" s="3"/>
      <c r="P200" s="8"/>
      <c r="Q200" s="8"/>
      <c r="R200" s="3"/>
      <c r="S200" s="3"/>
      <c r="T200" s="3"/>
      <c r="U200" s="5" t="str">
        <f t="shared" si="10"/>
        <v/>
      </c>
    </row>
    <row r="201" spans="1:21" ht="28" customHeight="1" x14ac:dyDescent="0.35">
      <c r="A201" s="4">
        <v>10</v>
      </c>
      <c r="B201" s="4" t="s">
        <v>86</v>
      </c>
      <c r="C201" s="4" t="s">
        <v>87</v>
      </c>
      <c r="D201" s="4" t="s">
        <v>88</v>
      </c>
      <c r="E201" s="4" t="s">
        <v>69</v>
      </c>
      <c r="F201" s="4" t="s">
        <v>57</v>
      </c>
      <c r="G201" s="4" t="s">
        <v>58</v>
      </c>
      <c r="H201" s="4" t="s">
        <v>59</v>
      </c>
      <c r="I201" s="3"/>
      <c r="J201" s="3"/>
      <c r="K201" s="3"/>
      <c r="L201" s="3"/>
      <c r="M201" s="3"/>
      <c r="N201" s="3"/>
      <c r="O201" s="3"/>
      <c r="P201" s="8"/>
      <c r="Q201" s="8"/>
      <c r="R201" s="3"/>
      <c r="S201" s="3"/>
      <c r="T201" s="3"/>
      <c r="U201" s="5" t="str">
        <f t="shared" si="10"/>
        <v/>
      </c>
    </row>
    <row r="202" spans="1:21" ht="28" customHeight="1" x14ac:dyDescent="0.35">
      <c r="A202" s="4">
        <v>11</v>
      </c>
      <c r="B202" s="4" t="s">
        <v>89</v>
      </c>
      <c r="C202" s="4" t="s">
        <v>90</v>
      </c>
      <c r="D202" s="4" t="s">
        <v>91</v>
      </c>
      <c r="E202" s="4" t="s">
        <v>84</v>
      </c>
      <c r="F202" s="4" t="s">
        <v>57</v>
      </c>
      <c r="G202" s="4" t="s">
        <v>58</v>
      </c>
      <c r="H202" s="4" t="s">
        <v>59</v>
      </c>
      <c r="I202" s="3"/>
      <c r="J202" s="3"/>
      <c r="K202" s="3"/>
      <c r="L202" s="3"/>
      <c r="M202" s="3"/>
      <c r="N202" s="3"/>
      <c r="O202" s="3"/>
      <c r="P202" s="8"/>
      <c r="Q202" s="8"/>
      <c r="R202" s="3"/>
      <c r="S202" s="3"/>
      <c r="T202" s="3"/>
      <c r="U202" s="5" t="str">
        <f t="shared" si="10"/>
        <v/>
      </c>
    </row>
    <row r="203" spans="1:21" ht="28" customHeight="1" x14ac:dyDescent="0.35">
      <c r="A203" s="4">
        <v>12</v>
      </c>
      <c r="B203" s="4" t="s">
        <v>92</v>
      </c>
      <c r="C203" s="4" t="s">
        <v>93</v>
      </c>
      <c r="D203" s="4" t="s">
        <v>94</v>
      </c>
      <c r="E203" s="4" t="s">
        <v>69</v>
      </c>
      <c r="F203" s="4" t="s">
        <v>95</v>
      </c>
      <c r="G203" s="4" t="s">
        <v>96</v>
      </c>
      <c r="H203" s="4" t="s">
        <v>59</v>
      </c>
      <c r="I203" s="3"/>
      <c r="J203" s="3"/>
      <c r="K203" s="3"/>
      <c r="L203" s="3"/>
      <c r="M203" s="3"/>
      <c r="N203" s="3"/>
      <c r="O203" s="3"/>
      <c r="P203" s="8"/>
      <c r="Q203" s="8"/>
      <c r="R203" s="3"/>
      <c r="S203" s="3"/>
      <c r="T203" s="3"/>
      <c r="U203" s="5" t="str">
        <f t="shared" si="10"/>
        <v/>
      </c>
    </row>
    <row r="204" spans="1:21" ht="28" customHeight="1" x14ac:dyDescent="0.35">
      <c r="A204" s="4">
        <v>13</v>
      </c>
      <c r="B204" s="4" t="s">
        <v>97</v>
      </c>
      <c r="C204" s="4" t="s">
        <v>98</v>
      </c>
      <c r="D204" s="4" t="s">
        <v>99</v>
      </c>
      <c r="E204" s="4" t="s">
        <v>69</v>
      </c>
      <c r="F204" s="4" t="s">
        <v>95</v>
      </c>
      <c r="G204" s="4" t="s">
        <v>96</v>
      </c>
      <c r="H204" s="4" t="s">
        <v>59</v>
      </c>
      <c r="I204" s="3"/>
      <c r="J204" s="3"/>
      <c r="K204" s="3"/>
      <c r="L204" s="3"/>
      <c r="M204" s="3"/>
      <c r="N204" s="3"/>
      <c r="O204" s="3"/>
      <c r="P204" s="8"/>
      <c r="Q204" s="8"/>
      <c r="R204" s="3"/>
      <c r="S204" s="3"/>
      <c r="T204" s="3"/>
      <c r="U204" s="5" t="str">
        <f t="shared" si="10"/>
        <v/>
      </c>
    </row>
    <row r="205" spans="1:21" ht="28" customHeight="1" x14ac:dyDescent="0.35">
      <c r="A205" s="4">
        <v>14</v>
      </c>
      <c r="B205" s="4" t="s">
        <v>97</v>
      </c>
      <c r="C205" s="4" t="s">
        <v>100</v>
      </c>
      <c r="D205" s="4" t="s">
        <v>101</v>
      </c>
      <c r="E205" s="4" t="s">
        <v>69</v>
      </c>
      <c r="F205" s="4" t="s">
        <v>95</v>
      </c>
      <c r="G205" s="4" t="s">
        <v>102</v>
      </c>
      <c r="H205" s="4" t="s">
        <v>59</v>
      </c>
      <c r="I205" s="3"/>
      <c r="J205" s="3"/>
      <c r="K205" s="3"/>
      <c r="L205" s="3"/>
      <c r="M205" s="3"/>
      <c r="N205" s="3"/>
      <c r="O205" s="3"/>
      <c r="P205" s="8"/>
      <c r="Q205" s="8"/>
      <c r="R205" s="3"/>
      <c r="S205" s="3"/>
      <c r="T205" s="3"/>
      <c r="U205" s="5" t="str">
        <f t="shared" si="10"/>
        <v/>
      </c>
    </row>
    <row r="206" spans="1:21" ht="28" customHeight="1" x14ac:dyDescent="0.35">
      <c r="A206" s="4">
        <v>15</v>
      </c>
      <c r="B206" s="4" t="s">
        <v>103</v>
      </c>
      <c r="C206" s="4" t="s">
        <v>104</v>
      </c>
      <c r="D206" s="4" t="s">
        <v>105</v>
      </c>
      <c r="E206" s="4" t="s">
        <v>69</v>
      </c>
      <c r="F206" s="4" t="s">
        <v>95</v>
      </c>
      <c r="G206" s="4" t="s">
        <v>96</v>
      </c>
      <c r="H206" s="4" t="s">
        <v>85</v>
      </c>
      <c r="I206" s="3"/>
      <c r="J206" s="3"/>
      <c r="K206" s="3"/>
      <c r="L206" s="3"/>
      <c r="M206" s="3"/>
      <c r="N206" s="3"/>
      <c r="O206" s="3"/>
      <c r="P206" s="8"/>
      <c r="Q206" s="8"/>
      <c r="R206" s="3"/>
      <c r="S206" s="3"/>
      <c r="T206" s="3"/>
      <c r="U206" s="5" t="str">
        <f t="shared" si="10"/>
        <v/>
      </c>
    </row>
    <row r="207" spans="1:21" ht="28" customHeight="1" x14ac:dyDescent="0.35">
      <c r="A207" s="4">
        <v>16</v>
      </c>
      <c r="B207" s="4" t="s">
        <v>106</v>
      </c>
      <c r="C207" s="4" t="s">
        <v>107</v>
      </c>
      <c r="D207" s="4" t="s">
        <v>108</v>
      </c>
      <c r="E207" s="4" t="s">
        <v>109</v>
      </c>
      <c r="F207" s="4" t="s">
        <v>95</v>
      </c>
      <c r="G207" s="4" t="s">
        <v>96</v>
      </c>
      <c r="H207" s="4" t="s">
        <v>59</v>
      </c>
      <c r="I207" s="3"/>
      <c r="J207" s="3"/>
      <c r="K207" s="3"/>
      <c r="L207" s="3"/>
      <c r="M207" s="3"/>
      <c r="N207" s="3"/>
      <c r="O207" s="3"/>
      <c r="P207" s="8"/>
      <c r="Q207" s="8"/>
      <c r="R207" s="3"/>
      <c r="S207" s="3"/>
      <c r="T207" s="3"/>
      <c r="U207" s="5" t="str">
        <f t="shared" si="10"/>
        <v/>
      </c>
    </row>
    <row r="209" spans="1:21" ht="28" customHeight="1" x14ac:dyDescent="0.35">
      <c r="A209" s="9" t="s">
        <v>110</v>
      </c>
      <c r="B209" s="16"/>
      <c r="C209" s="17"/>
      <c r="D209" s="17"/>
      <c r="E209" s="17"/>
      <c r="F209" s="17"/>
      <c r="G209" s="17"/>
      <c r="H209" s="17"/>
      <c r="I209" s="17"/>
      <c r="J209" s="17"/>
      <c r="K209" s="17"/>
      <c r="L209" s="17"/>
      <c r="M209" s="17"/>
      <c r="N209" s="17"/>
      <c r="O209" s="17"/>
      <c r="P209" s="17"/>
      <c r="Q209" s="17"/>
      <c r="R209" s="17"/>
      <c r="S209" s="17"/>
      <c r="T209" s="17"/>
      <c r="U209" s="18"/>
    </row>
    <row r="210" spans="1:21" ht="28" customHeight="1" x14ac:dyDescent="0.35">
      <c r="A210" s="19" t="s">
        <v>658</v>
      </c>
      <c r="B210" s="20"/>
      <c r="C210" s="20"/>
      <c r="D210" s="20"/>
      <c r="E210" s="20"/>
      <c r="F210" s="20"/>
      <c r="G210" s="20"/>
      <c r="H210" s="20"/>
      <c r="I210" s="20"/>
      <c r="J210" s="20"/>
      <c r="K210" s="20"/>
      <c r="L210" s="20"/>
      <c r="M210" s="20"/>
      <c r="N210" s="20"/>
      <c r="O210" s="20"/>
      <c r="P210" s="20"/>
      <c r="Q210" s="20"/>
      <c r="R210" s="20"/>
      <c r="S210" s="20"/>
      <c r="T210" s="20"/>
      <c r="U210" s="21"/>
    </row>
    <row r="211" spans="1:21" ht="28" customHeight="1" x14ac:dyDescent="0.35">
      <c r="A211" s="4" t="s">
        <v>31</v>
      </c>
      <c r="B211" s="3" t="s">
        <v>27</v>
      </c>
      <c r="C211" s="4" t="s">
        <v>32</v>
      </c>
      <c r="D211" s="3"/>
      <c r="E211" s="4" t="s">
        <v>33</v>
      </c>
      <c r="F211" s="8"/>
    </row>
    <row r="212" spans="1:21" ht="28" customHeight="1" x14ac:dyDescent="0.35">
      <c r="A212" s="1" t="s">
        <v>34</v>
      </c>
      <c r="B212" s="1" t="s">
        <v>35</v>
      </c>
      <c r="C212" s="1" t="s">
        <v>36</v>
      </c>
      <c r="D212" s="1" t="s">
        <v>37</v>
      </c>
      <c r="E212" s="1" t="s">
        <v>38</v>
      </c>
      <c r="F212" s="1" t="s">
        <v>39</v>
      </c>
      <c r="G212" s="1" t="s">
        <v>40</v>
      </c>
      <c r="H212" s="1" t="s">
        <v>41</v>
      </c>
      <c r="I212" s="1" t="s">
        <v>42</v>
      </c>
      <c r="J212" s="1" t="s">
        <v>43</v>
      </c>
      <c r="K212" s="1" t="s">
        <v>44</v>
      </c>
      <c r="L212" s="1" t="s">
        <v>45</v>
      </c>
      <c r="M212" s="1" t="s">
        <v>46</v>
      </c>
      <c r="N212" s="1" t="s">
        <v>47</v>
      </c>
      <c r="O212" s="1" t="s">
        <v>48</v>
      </c>
      <c r="P212" s="1" t="s">
        <v>4</v>
      </c>
      <c r="Q212" s="1" t="s">
        <v>49</v>
      </c>
      <c r="R212" s="1" t="s">
        <v>50</v>
      </c>
      <c r="S212" s="1" t="s">
        <v>51</v>
      </c>
      <c r="T212" s="1" t="s">
        <v>52</v>
      </c>
      <c r="U212" s="1" t="s">
        <v>10</v>
      </c>
    </row>
    <row r="213" spans="1:21" ht="28" customHeight="1" x14ac:dyDescent="0.35">
      <c r="A213" s="4">
        <v>1</v>
      </c>
      <c r="B213" s="4" t="s">
        <v>53</v>
      </c>
      <c r="C213" s="4" t="s">
        <v>642</v>
      </c>
      <c r="D213" s="4" t="s">
        <v>643</v>
      </c>
      <c r="E213" s="4" t="s">
        <v>56</v>
      </c>
      <c r="F213" s="4" t="s">
        <v>57</v>
      </c>
      <c r="G213" s="4" t="s">
        <v>58</v>
      </c>
      <c r="H213" s="4" t="s">
        <v>59</v>
      </c>
      <c r="I213" s="3"/>
      <c r="J213" s="3"/>
      <c r="K213" s="3"/>
      <c r="L213" s="3"/>
      <c r="M213" s="3"/>
      <c r="N213" s="3"/>
      <c r="O213" s="3"/>
      <c r="P213" s="8"/>
      <c r="Q213" s="8"/>
      <c r="R213" s="3"/>
      <c r="S213" s="3"/>
      <c r="T213" s="3"/>
      <c r="U213" s="5" t="str">
        <f t="shared" ref="U213:U228" si="11">IF(I213="","",IF(I213="NA","Grey",IF(I213=2,"Green",IF(I213=1,"Amber","Red"))))</f>
        <v/>
      </c>
    </row>
    <row r="214" spans="1:21" ht="28" customHeight="1" x14ac:dyDescent="0.35">
      <c r="A214" s="4">
        <v>2</v>
      </c>
      <c r="B214" s="4" t="s">
        <v>53</v>
      </c>
      <c r="C214" s="4" t="s">
        <v>644</v>
      </c>
      <c r="D214" s="4" t="s">
        <v>645</v>
      </c>
      <c r="E214" s="4" t="s">
        <v>56</v>
      </c>
      <c r="F214" s="4" t="s">
        <v>57</v>
      </c>
      <c r="G214" s="4" t="s">
        <v>58</v>
      </c>
      <c r="H214" s="4" t="s">
        <v>59</v>
      </c>
      <c r="I214" s="3"/>
      <c r="J214" s="3"/>
      <c r="K214" s="3"/>
      <c r="L214" s="3"/>
      <c r="M214" s="3"/>
      <c r="N214" s="3"/>
      <c r="O214" s="3"/>
      <c r="P214" s="8"/>
      <c r="Q214" s="8"/>
      <c r="R214" s="3"/>
      <c r="S214" s="3"/>
      <c r="T214" s="3"/>
      <c r="U214" s="5" t="str">
        <f t="shared" si="11"/>
        <v/>
      </c>
    </row>
    <row r="215" spans="1:21" ht="28" customHeight="1" x14ac:dyDescent="0.35">
      <c r="A215" s="4">
        <v>3</v>
      </c>
      <c r="B215" s="4" t="s">
        <v>53</v>
      </c>
      <c r="C215" s="4" t="s">
        <v>646</v>
      </c>
      <c r="D215" s="4" t="s">
        <v>647</v>
      </c>
      <c r="E215" s="4" t="s">
        <v>56</v>
      </c>
      <c r="F215" s="4" t="s">
        <v>57</v>
      </c>
      <c r="G215" s="4" t="s">
        <v>58</v>
      </c>
      <c r="H215" s="4" t="s">
        <v>59</v>
      </c>
      <c r="I215" s="3"/>
      <c r="J215" s="3"/>
      <c r="K215" s="3"/>
      <c r="L215" s="3"/>
      <c r="M215" s="3"/>
      <c r="N215" s="3"/>
      <c r="O215" s="3"/>
      <c r="P215" s="8"/>
      <c r="Q215" s="8"/>
      <c r="R215" s="3"/>
      <c r="S215" s="3"/>
      <c r="T215" s="3"/>
      <c r="U215" s="5" t="str">
        <f t="shared" si="11"/>
        <v/>
      </c>
    </row>
    <row r="216" spans="1:21" ht="28" customHeight="1" x14ac:dyDescent="0.35">
      <c r="A216" s="4">
        <v>4</v>
      </c>
      <c r="B216" s="4" t="s">
        <v>53</v>
      </c>
      <c r="C216" s="4" t="s">
        <v>648</v>
      </c>
      <c r="D216" s="4" t="s">
        <v>649</v>
      </c>
      <c r="E216" s="4" t="s">
        <v>56</v>
      </c>
      <c r="F216" s="4" t="s">
        <v>57</v>
      </c>
      <c r="G216" s="4" t="s">
        <v>58</v>
      </c>
      <c r="H216" s="4" t="s">
        <v>59</v>
      </c>
      <c r="I216" s="3"/>
      <c r="J216" s="3"/>
      <c r="K216" s="3"/>
      <c r="L216" s="3"/>
      <c r="M216" s="3"/>
      <c r="N216" s="3"/>
      <c r="O216" s="3"/>
      <c r="P216" s="8"/>
      <c r="Q216" s="8"/>
      <c r="R216" s="3"/>
      <c r="S216" s="3"/>
      <c r="T216" s="3"/>
      <c r="U216" s="5" t="str">
        <f t="shared" si="11"/>
        <v/>
      </c>
    </row>
    <row r="217" spans="1:21" ht="28" customHeight="1" x14ac:dyDescent="0.35">
      <c r="A217" s="4">
        <v>5</v>
      </c>
      <c r="B217" s="4" t="s">
        <v>66</v>
      </c>
      <c r="C217" s="4" t="s">
        <v>67</v>
      </c>
      <c r="D217" s="4" t="s">
        <v>68</v>
      </c>
      <c r="E217" s="4" t="s">
        <v>69</v>
      </c>
      <c r="F217" s="4" t="s">
        <v>57</v>
      </c>
      <c r="G217" s="4" t="s">
        <v>58</v>
      </c>
      <c r="H217" s="4" t="s">
        <v>59</v>
      </c>
      <c r="I217" s="3"/>
      <c r="J217" s="3"/>
      <c r="K217" s="3"/>
      <c r="L217" s="3"/>
      <c r="M217" s="3"/>
      <c r="N217" s="3"/>
      <c r="O217" s="3"/>
      <c r="P217" s="8"/>
      <c r="Q217" s="8"/>
      <c r="R217" s="3"/>
      <c r="S217" s="3"/>
      <c r="T217" s="3"/>
      <c r="U217" s="5" t="str">
        <f t="shared" si="11"/>
        <v/>
      </c>
    </row>
    <row r="218" spans="1:21" ht="28" customHeight="1" x14ac:dyDescent="0.35">
      <c r="A218" s="4">
        <v>6</v>
      </c>
      <c r="B218" s="4" t="s">
        <v>70</v>
      </c>
      <c r="C218" s="4" t="s">
        <v>71</v>
      </c>
      <c r="D218" s="4" t="s">
        <v>72</v>
      </c>
      <c r="E218" s="4" t="s">
        <v>70</v>
      </c>
      <c r="F218" s="4" t="s">
        <v>57</v>
      </c>
      <c r="G218" s="4" t="s">
        <v>58</v>
      </c>
      <c r="H218" s="4" t="s">
        <v>59</v>
      </c>
      <c r="I218" s="3"/>
      <c r="J218" s="3"/>
      <c r="K218" s="3"/>
      <c r="L218" s="3"/>
      <c r="M218" s="3"/>
      <c r="N218" s="3"/>
      <c r="O218" s="3"/>
      <c r="P218" s="8"/>
      <c r="Q218" s="8"/>
      <c r="R218" s="3"/>
      <c r="S218" s="3"/>
      <c r="T218" s="3"/>
      <c r="U218" s="5" t="str">
        <f t="shared" si="11"/>
        <v/>
      </c>
    </row>
    <row r="219" spans="1:21" ht="28" customHeight="1" x14ac:dyDescent="0.35">
      <c r="A219" s="4">
        <v>7</v>
      </c>
      <c r="B219" s="4" t="s">
        <v>73</v>
      </c>
      <c r="C219" s="4" t="s">
        <v>74</v>
      </c>
      <c r="D219" s="4" t="s">
        <v>75</v>
      </c>
      <c r="E219" s="4" t="s">
        <v>69</v>
      </c>
      <c r="F219" s="4" t="s">
        <v>57</v>
      </c>
      <c r="G219" s="4" t="s">
        <v>58</v>
      </c>
      <c r="H219" s="4" t="s">
        <v>76</v>
      </c>
      <c r="I219" s="3"/>
      <c r="J219" s="3"/>
      <c r="K219" s="3"/>
      <c r="L219" s="3"/>
      <c r="M219" s="3"/>
      <c r="N219" s="3"/>
      <c r="O219" s="3"/>
      <c r="P219" s="8"/>
      <c r="Q219" s="8"/>
      <c r="R219" s="3"/>
      <c r="S219" s="3"/>
      <c r="T219" s="3"/>
      <c r="U219" s="5" t="str">
        <f t="shared" si="11"/>
        <v/>
      </c>
    </row>
    <row r="220" spans="1:21" ht="28" customHeight="1" x14ac:dyDescent="0.35">
      <c r="A220" s="4">
        <v>8</v>
      </c>
      <c r="B220" s="4" t="s">
        <v>77</v>
      </c>
      <c r="C220" s="4" t="s">
        <v>78</v>
      </c>
      <c r="D220" s="4" t="s">
        <v>79</v>
      </c>
      <c r="E220" s="4" t="s">
        <v>80</v>
      </c>
      <c r="F220" s="4" t="s">
        <v>57</v>
      </c>
      <c r="G220" s="4" t="s">
        <v>58</v>
      </c>
      <c r="H220" s="4" t="s">
        <v>59</v>
      </c>
      <c r="I220" s="3"/>
      <c r="J220" s="3"/>
      <c r="K220" s="3"/>
      <c r="L220" s="3"/>
      <c r="M220" s="3"/>
      <c r="N220" s="3"/>
      <c r="O220" s="3"/>
      <c r="P220" s="8"/>
      <c r="Q220" s="8"/>
      <c r="R220" s="3"/>
      <c r="S220" s="3"/>
      <c r="T220" s="3"/>
      <c r="U220" s="5" t="str">
        <f t="shared" si="11"/>
        <v/>
      </c>
    </row>
    <row r="221" spans="1:21" ht="28" customHeight="1" x14ac:dyDescent="0.35">
      <c r="A221" s="4">
        <v>9</v>
      </c>
      <c r="B221" s="4" t="s">
        <v>81</v>
      </c>
      <c r="C221" s="4" t="s">
        <v>82</v>
      </c>
      <c r="D221" s="4" t="s">
        <v>83</v>
      </c>
      <c r="E221" s="4" t="s">
        <v>84</v>
      </c>
      <c r="F221" s="4" t="s">
        <v>57</v>
      </c>
      <c r="G221" s="4" t="s">
        <v>58</v>
      </c>
      <c r="H221" s="4" t="s">
        <v>85</v>
      </c>
      <c r="I221" s="3"/>
      <c r="J221" s="3"/>
      <c r="K221" s="3"/>
      <c r="L221" s="3"/>
      <c r="M221" s="3"/>
      <c r="N221" s="3"/>
      <c r="O221" s="3"/>
      <c r="P221" s="8"/>
      <c r="Q221" s="8"/>
      <c r="R221" s="3"/>
      <c r="S221" s="3"/>
      <c r="T221" s="3"/>
      <c r="U221" s="5" t="str">
        <f t="shared" si="11"/>
        <v/>
      </c>
    </row>
    <row r="222" spans="1:21" ht="28" customHeight="1" x14ac:dyDescent="0.35">
      <c r="A222" s="4">
        <v>10</v>
      </c>
      <c r="B222" s="4" t="s">
        <v>86</v>
      </c>
      <c r="C222" s="4" t="s">
        <v>87</v>
      </c>
      <c r="D222" s="4" t="s">
        <v>88</v>
      </c>
      <c r="E222" s="4" t="s">
        <v>69</v>
      </c>
      <c r="F222" s="4" t="s">
        <v>57</v>
      </c>
      <c r="G222" s="4" t="s">
        <v>58</v>
      </c>
      <c r="H222" s="4" t="s">
        <v>59</v>
      </c>
      <c r="I222" s="3"/>
      <c r="J222" s="3"/>
      <c r="K222" s="3"/>
      <c r="L222" s="3"/>
      <c r="M222" s="3"/>
      <c r="N222" s="3"/>
      <c r="O222" s="3"/>
      <c r="P222" s="8"/>
      <c r="Q222" s="8"/>
      <c r="R222" s="3"/>
      <c r="S222" s="3"/>
      <c r="T222" s="3"/>
      <c r="U222" s="5" t="str">
        <f t="shared" si="11"/>
        <v/>
      </c>
    </row>
    <row r="223" spans="1:21" ht="28" customHeight="1" x14ac:dyDescent="0.35">
      <c r="A223" s="4">
        <v>11</v>
      </c>
      <c r="B223" s="4" t="s">
        <v>89</v>
      </c>
      <c r="C223" s="4" t="s">
        <v>90</v>
      </c>
      <c r="D223" s="4" t="s">
        <v>91</v>
      </c>
      <c r="E223" s="4" t="s">
        <v>84</v>
      </c>
      <c r="F223" s="4" t="s">
        <v>57</v>
      </c>
      <c r="G223" s="4" t="s">
        <v>58</v>
      </c>
      <c r="H223" s="4" t="s">
        <v>59</v>
      </c>
      <c r="I223" s="3"/>
      <c r="J223" s="3"/>
      <c r="K223" s="3"/>
      <c r="L223" s="3"/>
      <c r="M223" s="3"/>
      <c r="N223" s="3"/>
      <c r="O223" s="3"/>
      <c r="P223" s="8"/>
      <c r="Q223" s="8"/>
      <c r="R223" s="3"/>
      <c r="S223" s="3"/>
      <c r="T223" s="3"/>
      <c r="U223" s="5" t="str">
        <f t="shared" si="11"/>
        <v/>
      </c>
    </row>
    <row r="224" spans="1:21" ht="28" customHeight="1" x14ac:dyDescent="0.35">
      <c r="A224" s="4">
        <v>12</v>
      </c>
      <c r="B224" s="4" t="s">
        <v>92</v>
      </c>
      <c r="C224" s="4" t="s">
        <v>93</v>
      </c>
      <c r="D224" s="4" t="s">
        <v>94</v>
      </c>
      <c r="E224" s="4" t="s">
        <v>69</v>
      </c>
      <c r="F224" s="4" t="s">
        <v>95</v>
      </c>
      <c r="G224" s="4" t="s">
        <v>96</v>
      </c>
      <c r="H224" s="4" t="s">
        <v>59</v>
      </c>
      <c r="I224" s="3"/>
      <c r="J224" s="3"/>
      <c r="K224" s="3"/>
      <c r="L224" s="3"/>
      <c r="M224" s="3"/>
      <c r="N224" s="3"/>
      <c r="O224" s="3"/>
      <c r="P224" s="8"/>
      <c r="Q224" s="8"/>
      <c r="R224" s="3"/>
      <c r="S224" s="3"/>
      <c r="T224" s="3"/>
      <c r="U224" s="5" t="str">
        <f t="shared" si="11"/>
        <v/>
      </c>
    </row>
    <row r="225" spans="1:21" ht="28" customHeight="1" x14ac:dyDescent="0.35">
      <c r="A225" s="4">
        <v>13</v>
      </c>
      <c r="B225" s="4" t="s">
        <v>97</v>
      </c>
      <c r="C225" s="4" t="s">
        <v>98</v>
      </c>
      <c r="D225" s="4" t="s">
        <v>99</v>
      </c>
      <c r="E225" s="4" t="s">
        <v>69</v>
      </c>
      <c r="F225" s="4" t="s">
        <v>95</v>
      </c>
      <c r="G225" s="4" t="s">
        <v>96</v>
      </c>
      <c r="H225" s="4" t="s">
        <v>59</v>
      </c>
      <c r="I225" s="3"/>
      <c r="J225" s="3"/>
      <c r="K225" s="3"/>
      <c r="L225" s="3"/>
      <c r="M225" s="3"/>
      <c r="N225" s="3"/>
      <c r="O225" s="3"/>
      <c r="P225" s="8"/>
      <c r="Q225" s="8"/>
      <c r="R225" s="3"/>
      <c r="S225" s="3"/>
      <c r="T225" s="3"/>
      <c r="U225" s="5" t="str">
        <f t="shared" si="11"/>
        <v/>
      </c>
    </row>
    <row r="226" spans="1:21" ht="28" customHeight="1" x14ac:dyDescent="0.35">
      <c r="A226" s="4">
        <v>14</v>
      </c>
      <c r="B226" s="4" t="s">
        <v>97</v>
      </c>
      <c r="C226" s="4" t="s">
        <v>100</v>
      </c>
      <c r="D226" s="4" t="s">
        <v>101</v>
      </c>
      <c r="E226" s="4" t="s">
        <v>69</v>
      </c>
      <c r="F226" s="4" t="s">
        <v>95</v>
      </c>
      <c r="G226" s="4" t="s">
        <v>102</v>
      </c>
      <c r="H226" s="4" t="s">
        <v>59</v>
      </c>
      <c r="I226" s="3"/>
      <c r="J226" s="3"/>
      <c r="K226" s="3"/>
      <c r="L226" s="3"/>
      <c r="M226" s="3"/>
      <c r="N226" s="3"/>
      <c r="O226" s="3"/>
      <c r="P226" s="8"/>
      <c r="Q226" s="8"/>
      <c r="R226" s="3"/>
      <c r="S226" s="3"/>
      <c r="T226" s="3"/>
      <c r="U226" s="5" t="str">
        <f t="shared" si="11"/>
        <v/>
      </c>
    </row>
    <row r="227" spans="1:21" ht="28" customHeight="1" x14ac:dyDescent="0.35">
      <c r="A227" s="4">
        <v>15</v>
      </c>
      <c r="B227" s="4" t="s">
        <v>103</v>
      </c>
      <c r="C227" s="4" t="s">
        <v>104</v>
      </c>
      <c r="D227" s="4" t="s">
        <v>105</v>
      </c>
      <c r="E227" s="4" t="s">
        <v>69</v>
      </c>
      <c r="F227" s="4" t="s">
        <v>95</v>
      </c>
      <c r="G227" s="4" t="s">
        <v>96</v>
      </c>
      <c r="H227" s="4" t="s">
        <v>85</v>
      </c>
      <c r="I227" s="3"/>
      <c r="J227" s="3"/>
      <c r="K227" s="3"/>
      <c r="L227" s="3"/>
      <c r="M227" s="3"/>
      <c r="N227" s="3"/>
      <c r="O227" s="3"/>
      <c r="P227" s="8"/>
      <c r="Q227" s="8"/>
      <c r="R227" s="3"/>
      <c r="S227" s="3"/>
      <c r="T227" s="3"/>
      <c r="U227" s="5" t="str">
        <f t="shared" si="11"/>
        <v/>
      </c>
    </row>
    <row r="228" spans="1:21" ht="28" customHeight="1" x14ac:dyDescent="0.35">
      <c r="A228" s="4">
        <v>16</v>
      </c>
      <c r="B228" s="4" t="s">
        <v>106</v>
      </c>
      <c r="C228" s="4" t="s">
        <v>107</v>
      </c>
      <c r="D228" s="4" t="s">
        <v>108</v>
      </c>
      <c r="E228" s="4" t="s">
        <v>109</v>
      </c>
      <c r="F228" s="4" t="s">
        <v>95</v>
      </c>
      <c r="G228" s="4" t="s">
        <v>96</v>
      </c>
      <c r="H228" s="4" t="s">
        <v>59</v>
      </c>
      <c r="I228" s="3"/>
      <c r="J228" s="3"/>
      <c r="K228" s="3"/>
      <c r="L228" s="3"/>
      <c r="M228" s="3"/>
      <c r="N228" s="3"/>
      <c r="O228" s="3"/>
      <c r="P228" s="8"/>
      <c r="Q228" s="8"/>
      <c r="R228" s="3"/>
      <c r="S228" s="3"/>
      <c r="T228" s="3"/>
      <c r="U228" s="5" t="str">
        <f t="shared" si="11"/>
        <v/>
      </c>
    </row>
    <row r="230" spans="1:21" ht="28" customHeight="1" x14ac:dyDescent="0.35">
      <c r="A230" s="9" t="s">
        <v>110</v>
      </c>
      <c r="B230" s="16"/>
      <c r="C230" s="17"/>
      <c r="D230" s="17"/>
      <c r="E230" s="17"/>
      <c r="F230" s="17"/>
      <c r="G230" s="17"/>
      <c r="H230" s="17"/>
      <c r="I230" s="17"/>
      <c r="J230" s="17"/>
      <c r="K230" s="17"/>
      <c r="L230" s="17"/>
      <c r="M230" s="17"/>
      <c r="N230" s="17"/>
      <c r="O230" s="17"/>
      <c r="P230" s="17"/>
      <c r="Q230" s="17"/>
      <c r="R230" s="17"/>
      <c r="S230" s="17"/>
      <c r="T230" s="17"/>
      <c r="U230" s="18"/>
    </row>
    <row r="231" spans="1:21" ht="28" customHeight="1" x14ac:dyDescent="0.35">
      <c r="A231" s="19" t="s">
        <v>659</v>
      </c>
      <c r="B231" s="20"/>
      <c r="C231" s="20"/>
      <c r="D231" s="20"/>
      <c r="E231" s="20"/>
      <c r="F231" s="20"/>
      <c r="G231" s="20"/>
      <c r="H231" s="20"/>
      <c r="I231" s="20"/>
      <c r="J231" s="20"/>
      <c r="K231" s="20"/>
      <c r="L231" s="20"/>
      <c r="M231" s="20"/>
      <c r="N231" s="20"/>
      <c r="O231" s="20"/>
      <c r="P231" s="20"/>
      <c r="Q231" s="20"/>
      <c r="R231" s="20"/>
      <c r="S231" s="20"/>
      <c r="T231" s="20"/>
      <c r="U231" s="21"/>
    </row>
    <row r="232" spans="1:21" ht="28" customHeight="1" x14ac:dyDescent="0.35">
      <c r="A232" s="4" t="s">
        <v>31</v>
      </c>
      <c r="B232" s="3" t="s">
        <v>28</v>
      </c>
      <c r="C232" s="4" t="s">
        <v>32</v>
      </c>
      <c r="D232" s="3"/>
      <c r="E232" s="4" t="s">
        <v>33</v>
      </c>
      <c r="F232" s="8"/>
    </row>
    <row r="233" spans="1:21" ht="28" customHeight="1" x14ac:dyDescent="0.35">
      <c r="A233" s="1" t="s">
        <v>34</v>
      </c>
      <c r="B233" s="1" t="s">
        <v>35</v>
      </c>
      <c r="C233" s="1" t="s">
        <v>36</v>
      </c>
      <c r="D233" s="1" t="s">
        <v>37</v>
      </c>
      <c r="E233" s="1" t="s">
        <v>38</v>
      </c>
      <c r="F233" s="1" t="s">
        <v>39</v>
      </c>
      <c r="G233" s="1" t="s">
        <v>40</v>
      </c>
      <c r="H233" s="1" t="s">
        <v>41</v>
      </c>
      <c r="I233" s="1" t="s">
        <v>42</v>
      </c>
      <c r="J233" s="1" t="s">
        <v>43</v>
      </c>
      <c r="K233" s="1" t="s">
        <v>44</v>
      </c>
      <c r="L233" s="1" t="s">
        <v>45</v>
      </c>
      <c r="M233" s="1" t="s">
        <v>46</v>
      </c>
      <c r="N233" s="1" t="s">
        <v>47</v>
      </c>
      <c r="O233" s="1" t="s">
        <v>48</v>
      </c>
      <c r="P233" s="1" t="s">
        <v>4</v>
      </c>
      <c r="Q233" s="1" t="s">
        <v>49</v>
      </c>
      <c r="R233" s="1" t="s">
        <v>50</v>
      </c>
      <c r="S233" s="1" t="s">
        <v>51</v>
      </c>
      <c r="T233" s="1" t="s">
        <v>52</v>
      </c>
      <c r="U233" s="1" t="s">
        <v>10</v>
      </c>
    </row>
    <row r="234" spans="1:21" ht="28" customHeight="1" x14ac:dyDescent="0.35">
      <c r="A234" s="4">
        <v>1</v>
      </c>
      <c r="B234" s="4" t="s">
        <v>53</v>
      </c>
      <c r="C234" s="4" t="s">
        <v>642</v>
      </c>
      <c r="D234" s="4" t="s">
        <v>643</v>
      </c>
      <c r="E234" s="4" t="s">
        <v>56</v>
      </c>
      <c r="F234" s="4" t="s">
        <v>57</v>
      </c>
      <c r="G234" s="4" t="s">
        <v>58</v>
      </c>
      <c r="H234" s="4" t="s">
        <v>59</v>
      </c>
      <c r="I234" s="3"/>
      <c r="J234" s="3"/>
      <c r="K234" s="3"/>
      <c r="L234" s="3"/>
      <c r="M234" s="3"/>
      <c r="N234" s="3"/>
      <c r="O234" s="3"/>
      <c r="P234" s="8"/>
      <c r="Q234" s="8"/>
      <c r="R234" s="3"/>
      <c r="S234" s="3"/>
      <c r="T234" s="3"/>
      <c r="U234" s="5" t="str">
        <f t="shared" ref="U234:U249" si="12">IF(I234="","",IF(I234="NA","Grey",IF(I234=2,"Green",IF(I234=1,"Amber","Red"))))</f>
        <v/>
      </c>
    </row>
    <row r="235" spans="1:21" ht="28" customHeight="1" x14ac:dyDescent="0.35">
      <c r="A235" s="4">
        <v>2</v>
      </c>
      <c r="B235" s="4" t="s">
        <v>53</v>
      </c>
      <c r="C235" s="4" t="s">
        <v>644</v>
      </c>
      <c r="D235" s="4" t="s">
        <v>645</v>
      </c>
      <c r="E235" s="4" t="s">
        <v>56</v>
      </c>
      <c r="F235" s="4" t="s">
        <v>57</v>
      </c>
      <c r="G235" s="4" t="s">
        <v>58</v>
      </c>
      <c r="H235" s="4" t="s">
        <v>59</v>
      </c>
      <c r="I235" s="3"/>
      <c r="J235" s="3"/>
      <c r="K235" s="3"/>
      <c r="L235" s="3"/>
      <c r="M235" s="3"/>
      <c r="N235" s="3"/>
      <c r="O235" s="3"/>
      <c r="P235" s="8"/>
      <c r="Q235" s="8"/>
      <c r="R235" s="3"/>
      <c r="S235" s="3"/>
      <c r="T235" s="3"/>
      <c r="U235" s="5" t="str">
        <f t="shared" si="12"/>
        <v/>
      </c>
    </row>
    <row r="236" spans="1:21" ht="28" customHeight="1" x14ac:dyDescent="0.35">
      <c r="A236" s="4">
        <v>3</v>
      </c>
      <c r="B236" s="4" t="s">
        <v>53</v>
      </c>
      <c r="C236" s="4" t="s">
        <v>646</v>
      </c>
      <c r="D236" s="4" t="s">
        <v>647</v>
      </c>
      <c r="E236" s="4" t="s">
        <v>56</v>
      </c>
      <c r="F236" s="4" t="s">
        <v>57</v>
      </c>
      <c r="G236" s="4" t="s">
        <v>58</v>
      </c>
      <c r="H236" s="4" t="s">
        <v>59</v>
      </c>
      <c r="I236" s="3"/>
      <c r="J236" s="3"/>
      <c r="K236" s="3"/>
      <c r="L236" s="3"/>
      <c r="M236" s="3"/>
      <c r="N236" s="3"/>
      <c r="O236" s="3"/>
      <c r="P236" s="8"/>
      <c r="Q236" s="8"/>
      <c r="R236" s="3"/>
      <c r="S236" s="3"/>
      <c r="T236" s="3"/>
      <c r="U236" s="5" t="str">
        <f t="shared" si="12"/>
        <v/>
      </c>
    </row>
    <row r="237" spans="1:21" ht="28" customHeight="1" x14ac:dyDescent="0.35">
      <c r="A237" s="4">
        <v>4</v>
      </c>
      <c r="B237" s="4" t="s">
        <v>53</v>
      </c>
      <c r="C237" s="4" t="s">
        <v>648</v>
      </c>
      <c r="D237" s="4" t="s">
        <v>649</v>
      </c>
      <c r="E237" s="4" t="s">
        <v>56</v>
      </c>
      <c r="F237" s="4" t="s">
        <v>57</v>
      </c>
      <c r="G237" s="4" t="s">
        <v>58</v>
      </c>
      <c r="H237" s="4" t="s">
        <v>59</v>
      </c>
      <c r="I237" s="3"/>
      <c r="J237" s="3"/>
      <c r="K237" s="3"/>
      <c r="L237" s="3"/>
      <c r="M237" s="3"/>
      <c r="N237" s="3"/>
      <c r="O237" s="3"/>
      <c r="P237" s="8"/>
      <c r="Q237" s="8"/>
      <c r="R237" s="3"/>
      <c r="S237" s="3"/>
      <c r="T237" s="3"/>
      <c r="U237" s="5" t="str">
        <f t="shared" si="12"/>
        <v/>
      </c>
    </row>
    <row r="238" spans="1:21" ht="28" customHeight="1" x14ac:dyDescent="0.35">
      <c r="A238" s="4">
        <v>5</v>
      </c>
      <c r="B238" s="4" t="s">
        <v>66</v>
      </c>
      <c r="C238" s="4" t="s">
        <v>67</v>
      </c>
      <c r="D238" s="4" t="s">
        <v>68</v>
      </c>
      <c r="E238" s="4" t="s">
        <v>69</v>
      </c>
      <c r="F238" s="4" t="s">
        <v>57</v>
      </c>
      <c r="G238" s="4" t="s">
        <v>58</v>
      </c>
      <c r="H238" s="4" t="s">
        <v>59</v>
      </c>
      <c r="I238" s="3"/>
      <c r="J238" s="3"/>
      <c r="K238" s="3"/>
      <c r="L238" s="3"/>
      <c r="M238" s="3"/>
      <c r="N238" s="3"/>
      <c r="O238" s="3"/>
      <c r="P238" s="8"/>
      <c r="Q238" s="8"/>
      <c r="R238" s="3"/>
      <c r="S238" s="3"/>
      <c r="T238" s="3"/>
      <c r="U238" s="5" t="str">
        <f t="shared" si="12"/>
        <v/>
      </c>
    </row>
    <row r="239" spans="1:21" ht="28" customHeight="1" x14ac:dyDescent="0.35">
      <c r="A239" s="4">
        <v>6</v>
      </c>
      <c r="B239" s="4" t="s">
        <v>70</v>
      </c>
      <c r="C239" s="4" t="s">
        <v>71</v>
      </c>
      <c r="D239" s="4" t="s">
        <v>72</v>
      </c>
      <c r="E239" s="4" t="s">
        <v>70</v>
      </c>
      <c r="F239" s="4" t="s">
        <v>57</v>
      </c>
      <c r="G239" s="4" t="s">
        <v>58</v>
      </c>
      <c r="H239" s="4" t="s">
        <v>59</v>
      </c>
      <c r="I239" s="3"/>
      <c r="J239" s="3"/>
      <c r="K239" s="3"/>
      <c r="L239" s="3"/>
      <c r="M239" s="3"/>
      <c r="N239" s="3"/>
      <c r="O239" s="3"/>
      <c r="P239" s="8"/>
      <c r="Q239" s="8"/>
      <c r="R239" s="3"/>
      <c r="S239" s="3"/>
      <c r="T239" s="3"/>
      <c r="U239" s="5" t="str">
        <f t="shared" si="12"/>
        <v/>
      </c>
    </row>
    <row r="240" spans="1:21" ht="28" customHeight="1" x14ac:dyDescent="0.35">
      <c r="A240" s="4">
        <v>7</v>
      </c>
      <c r="B240" s="4" t="s">
        <v>73</v>
      </c>
      <c r="C240" s="4" t="s">
        <v>74</v>
      </c>
      <c r="D240" s="4" t="s">
        <v>75</v>
      </c>
      <c r="E240" s="4" t="s">
        <v>69</v>
      </c>
      <c r="F240" s="4" t="s">
        <v>57</v>
      </c>
      <c r="G240" s="4" t="s">
        <v>58</v>
      </c>
      <c r="H240" s="4" t="s">
        <v>76</v>
      </c>
      <c r="I240" s="3"/>
      <c r="J240" s="3"/>
      <c r="K240" s="3"/>
      <c r="L240" s="3"/>
      <c r="M240" s="3"/>
      <c r="N240" s="3"/>
      <c r="O240" s="3"/>
      <c r="P240" s="8"/>
      <c r="Q240" s="8"/>
      <c r="R240" s="3"/>
      <c r="S240" s="3"/>
      <c r="T240" s="3"/>
      <c r="U240" s="5" t="str">
        <f t="shared" si="12"/>
        <v/>
      </c>
    </row>
    <row r="241" spans="1:21" ht="28" customHeight="1" x14ac:dyDescent="0.35">
      <c r="A241" s="4">
        <v>8</v>
      </c>
      <c r="B241" s="4" t="s">
        <v>77</v>
      </c>
      <c r="C241" s="4" t="s">
        <v>78</v>
      </c>
      <c r="D241" s="4" t="s">
        <v>79</v>
      </c>
      <c r="E241" s="4" t="s">
        <v>80</v>
      </c>
      <c r="F241" s="4" t="s">
        <v>57</v>
      </c>
      <c r="G241" s="4" t="s">
        <v>58</v>
      </c>
      <c r="H241" s="4" t="s">
        <v>59</v>
      </c>
      <c r="I241" s="3"/>
      <c r="J241" s="3"/>
      <c r="K241" s="3"/>
      <c r="L241" s="3"/>
      <c r="M241" s="3"/>
      <c r="N241" s="3"/>
      <c r="O241" s="3"/>
      <c r="P241" s="8"/>
      <c r="Q241" s="8"/>
      <c r="R241" s="3"/>
      <c r="S241" s="3"/>
      <c r="T241" s="3"/>
      <c r="U241" s="5" t="str">
        <f t="shared" si="12"/>
        <v/>
      </c>
    </row>
    <row r="242" spans="1:21" ht="28" customHeight="1" x14ac:dyDescent="0.35">
      <c r="A242" s="4">
        <v>9</v>
      </c>
      <c r="B242" s="4" t="s">
        <v>81</v>
      </c>
      <c r="C242" s="4" t="s">
        <v>82</v>
      </c>
      <c r="D242" s="4" t="s">
        <v>83</v>
      </c>
      <c r="E242" s="4" t="s">
        <v>84</v>
      </c>
      <c r="F242" s="4" t="s">
        <v>57</v>
      </c>
      <c r="G242" s="4" t="s">
        <v>58</v>
      </c>
      <c r="H242" s="4" t="s">
        <v>85</v>
      </c>
      <c r="I242" s="3"/>
      <c r="J242" s="3"/>
      <c r="K242" s="3"/>
      <c r="L242" s="3"/>
      <c r="M242" s="3"/>
      <c r="N242" s="3"/>
      <c r="O242" s="3"/>
      <c r="P242" s="8"/>
      <c r="Q242" s="8"/>
      <c r="R242" s="3"/>
      <c r="S242" s="3"/>
      <c r="T242" s="3"/>
      <c r="U242" s="5" t="str">
        <f t="shared" si="12"/>
        <v/>
      </c>
    </row>
    <row r="243" spans="1:21" ht="28" customHeight="1" x14ac:dyDescent="0.35">
      <c r="A243" s="4">
        <v>10</v>
      </c>
      <c r="B243" s="4" t="s">
        <v>86</v>
      </c>
      <c r="C243" s="4" t="s">
        <v>87</v>
      </c>
      <c r="D243" s="4" t="s">
        <v>88</v>
      </c>
      <c r="E243" s="4" t="s">
        <v>69</v>
      </c>
      <c r="F243" s="4" t="s">
        <v>57</v>
      </c>
      <c r="G243" s="4" t="s">
        <v>58</v>
      </c>
      <c r="H243" s="4" t="s">
        <v>59</v>
      </c>
      <c r="I243" s="3"/>
      <c r="J243" s="3"/>
      <c r="K243" s="3"/>
      <c r="L243" s="3"/>
      <c r="M243" s="3"/>
      <c r="N243" s="3"/>
      <c r="O243" s="3"/>
      <c r="P243" s="8"/>
      <c r="Q243" s="8"/>
      <c r="R243" s="3"/>
      <c r="S243" s="3"/>
      <c r="T243" s="3"/>
      <c r="U243" s="5" t="str">
        <f t="shared" si="12"/>
        <v/>
      </c>
    </row>
    <row r="244" spans="1:21" ht="28" customHeight="1" x14ac:dyDescent="0.35">
      <c r="A244" s="4">
        <v>11</v>
      </c>
      <c r="B244" s="4" t="s">
        <v>89</v>
      </c>
      <c r="C244" s="4" t="s">
        <v>90</v>
      </c>
      <c r="D244" s="4" t="s">
        <v>91</v>
      </c>
      <c r="E244" s="4" t="s">
        <v>84</v>
      </c>
      <c r="F244" s="4" t="s">
        <v>57</v>
      </c>
      <c r="G244" s="4" t="s">
        <v>58</v>
      </c>
      <c r="H244" s="4" t="s">
        <v>59</v>
      </c>
      <c r="I244" s="3"/>
      <c r="J244" s="3"/>
      <c r="K244" s="3"/>
      <c r="L244" s="3"/>
      <c r="M244" s="3"/>
      <c r="N244" s="3"/>
      <c r="O244" s="3"/>
      <c r="P244" s="8"/>
      <c r="Q244" s="8"/>
      <c r="R244" s="3"/>
      <c r="S244" s="3"/>
      <c r="T244" s="3"/>
      <c r="U244" s="5" t="str">
        <f t="shared" si="12"/>
        <v/>
      </c>
    </row>
    <row r="245" spans="1:21" ht="28" customHeight="1" x14ac:dyDescent="0.35">
      <c r="A245" s="4">
        <v>12</v>
      </c>
      <c r="B245" s="4" t="s">
        <v>92</v>
      </c>
      <c r="C245" s="4" t="s">
        <v>93</v>
      </c>
      <c r="D245" s="4" t="s">
        <v>94</v>
      </c>
      <c r="E245" s="4" t="s">
        <v>69</v>
      </c>
      <c r="F245" s="4" t="s">
        <v>95</v>
      </c>
      <c r="G245" s="4" t="s">
        <v>96</v>
      </c>
      <c r="H245" s="4" t="s">
        <v>59</v>
      </c>
      <c r="I245" s="3"/>
      <c r="J245" s="3"/>
      <c r="K245" s="3"/>
      <c r="L245" s="3"/>
      <c r="M245" s="3"/>
      <c r="N245" s="3"/>
      <c r="O245" s="3"/>
      <c r="P245" s="8"/>
      <c r="Q245" s="8"/>
      <c r="R245" s="3"/>
      <c r="S245" s="3"/>
      <c r="T245" s="3"/>
      <c r="U245" s="5" t="str">
        <f t="shared" si="12"/>
        <v/>
      </c>
    </row>
    <row r="246" spans="1:21" ht="28" customHeight="1" x14ac:dyDescent="0.35">
      <c r="A246" s="4">
        <v>13</v>
      </c>
      <c r="B246" s="4" t="s">
        <v>97</v>
      </c>
      <c r="C246" s="4" t="s">
        <v>98</v>
      </c>
      <c r="D246" s="4" t="s">
        <v>99</v>
      </c>
      <c r="E246" s="4" t="s">
        <v>69</v>
      </c>
      <c r="F246" s="4" t="s">
        <v>95</v>
      </c>
      <c r="G246" s="4" t="s">
        <v>96</v>
      </c>
      <c r="H246" s="4" t="s">
        <v>59</v>
      </c>
      <c r="I246" s="3"/>
      <c r="J246" s="3"/>
      <c r="K246" s="3"/>
      <c r="L246" s="3"/>
      <c r="M246" s="3"/>
      <c r="N246" s="3"/>
      <c r="O246" s="3"/>
      <c r="P246" s="8"/>
      <c r="Q246" s="8"/>
      <c r="R246" s="3"/>
      <c r="S246" s="3"/>
      <c r="T246" s="3"/>
      <c r="U246" s="5" t="str">
        <f t="shared" si="12"/>
        <v/>
      </c>
    </row>
    <row r="247" spans="1:21" ht="28" customHeight="1" x14ac:dyDescent="0.35">
      <c r="A247" s="4">
        <v>14</v>
      </c>
      <c r="B247" s="4" t="s">
        <v>97</v>
      </c>
      <c r="C247" s="4" t="s">
        <v>100</v>
      </c>
      <c r="D247" s="4" t="s">
        <v>101</v>
      </c>
      <c r="E247" s="4" t="s">
        <v>69</v>
      </c>
      <c r="F247" s="4" t="s">
        <v>95</v>
      </c>
      <c r="G247" s="4" t="s">
        <v>102</v>
      </c>
      <c r="H247" s="4" t="s">
        <v>59</v>
      </c>
      <c r="I247" s="3"/>
      <c r="J247" s="3"/>
      <c r="K247" s="3"/>
      <c r="L247" s="3"/>
      <c r="M247" s="3"/>
      <c r="N247" s="3"/>
      <c r="O247" s="3"/>
      <c r="P247" s="8"/>
      <c r="Q247" s="8"/>
      <c r="R247" s="3"/>
      <c r="S247" s="3"/>
      <c r="T247" s="3"/>
      <c r="U247" s="5" t="str">
        <f t="shared" si="12"/>
        <v/>
      </c>
    </row>
    <row r="248" spans="1:21" ht="28" customHeight="1" x14ac:dyDescent="0.35">
      <c r="A248" s="4">
        <v>15</v>
      </c>
      <c r="B248" s="4" t="s">
        <v>103</v>
      </c>
      <c r="C248" s="4" t="s">
        <v>104</v>
      </c>
      <c r="D248" s="4" t="s">
        <v>105</v>
      </c>
      <c r="E248" s="4" t="s">
        <v>69</v>
      </c>
      <c r="F248" s="4" t="s">
        <v>95</v>
      </c>
      <c r="G248" s="4" t="s">
        <v>96</v>
      </c>
      <c r="H248" s="4" t="s">
        <v>85</v>
      </c>
      <c r="I248" s="3"/>
      <c r="J248" s="3"/>
      <c r="K248" s="3"/>
      <c r="L248" s="3"/>
      <c r="M248" s="3"/>
      <c r="N248" s="3"/>
      <c r="O248" s="3"/>
      <c r="P248" s="8"/>
      <c r="Q248" s="8"/>
      <c r="R248" s="3"/>
      <c r="S248" s="3"/>
      <c r="T248" s="3"/>
      <c r="U248" s="5" t="str">
        <f t="shared" si="12"/>
        <v/>
      </c>
    </row>
    <row r="249" spans="1:21" ht="28" customHeight="1" x14ac:dyDescent="0.35">
      <c r="A249" s="4">
        <v>16</v>
      </c>
      <c r="B249" s="4" t="s">
        <v>106</v>
      </c>
      <c r="C249" s="4" t="s">
        <v>107</v>
      </c>
      <c r="D249" s="4" t="s">
        <v>108</v>
      </c>
      <c r="E249" s="4" t="s">
        <v>109</v>
      </c>
      <c r="F249" s="4" t="s">
        <v>95</v>
      </c>
      <c r="G249" s="4" t="s">
        <v>96</v>
      </c>
      <c r="H249" s="4" t="s">
        <v>59</v>
      </c>
      <c r="I249" s="3"/>
      <c r="J249" s="3"/>
      <c r="K249" s="3"/>
      <c r="L249" s="3"/>
      <c r="M249" s="3"/>
      <c r="N249" s="3"/>
      <c r="O249" s="3"/>
      <c r="P249" s="8"/>
      <c r="Q249" s="8"/>
      <c r="R249" s="3"/>
      <c r="S249" s="3"/>
      <c r="T249" s="3"/>
      <c r="U249" s="5" t="str">
        <f t="shared" si="12"/>
        <v/>
      </c>
    </row>
    <row r="251" spans="1:21" ht="28" customHeight="1" x14ac:dyDescent="0.35">
      <c r="A251" s="9" t="s">
        <v>110</v>
      </c>
      <c r="B251" s="16"/>
      <c r="C251" s="17"/>
      <c r="D251" s="17"/>
      <c r="E251" s="17"/>
      <c r="F251" s="17"/>
      <c r="G251" s="17"/>
      <c r="H251" s="17"/>
      <c r="I251" s="17"/>
      <c r="J251" s="17"/>
      <c r="K251" s="17"/>
      <c r="L251" s="17"/>
      <c r="M251" s="17"/>
      <c r="N251" s="17"/>
      <c r="O251" s="17"/>
      <c r="P251" s="17"/>
      <c r="Q251" s="17"/>
      <c r="R251" s="17"/>
      <c r="S251" s="17"/>
      <c r="T251" s="17"/>
      <c r="U251" s="18"/>
    </row>
    <row r="252" spans="1:21" ht="28" customHeight="1" x14ac:dyDescent="0.35">
      <c r="A252" s="19" t="s">
        <v>660</v>
      </c>
      <c r="B252" s="20"/>
      <c r="C252" s="20"/>
      <c r="D252" s="20"/>
      <c r="E252" s="20"/>
      <c r="F252" s="20"/>
      <c r="G252" s="20"/>
      <c r="H252" s="20"/>
      <c r="I252" s="20"/>
      <c r="J252" s="20"/>
      <c r="K252" s="20"/>
      <c r="L252" s="20"/>
      <c r="M252" s="20"/>
      <c r="N252" s="20"/>
      <c r="O252" s="20"/>
      <c r="P252" s="20"/>
      <c r="Q252" s="20"/>
      <c r="R252" s="20"/>
      <c r="S252" s="20"/>
      <c r="T252" s="20"/>
      <c r="U252" s="21"/>
    </row>
    <row r="253" spans="1:21" ht="28" customHeight="1" x14ac:dyDescent="0.35">
      <c r="A253" s="4" t="s">
        <v>31</v>
      </c>
      <c r="B253" s="3" t="s">
        <v>29</v>
      </c>
      <c r="C253" s="4" t="s">
        <v>32</v>
      </c>
      <c r="D253" s="3"/>
      <c r="E253" s="4" t="s">
        <v>33</v>
      </c>
      <c r="F253" s="8"/>
    </row>
    <row r="254" spans="1:21" ht="28" customHeight="1" x14ac:dyDescent="0.35">
      <c r="A254" s="1" t="s">
        <v>34</v>
      </c>
      <c r="B254" s="1" t="s">
        <v>35</v>
      </c>
      <c r="C254" s="1" t="s">
        <v>36</v>
      </c>
      <c r="D254" s="1" t="s">
        <v>37</v>
      </c>
      <c r="E254" s="1" t="s">
        <v>38</v>
      </c>
      <c r="F254" s="1" t="s">
        <v>39</v>
      </c>
      <c r="G254" s="1" t="s">
        <v>40</v>
      </c>
      <c r="H254" s="1" t="s">
        <v>41</v>
      </c>
      <c r="I254" s="1" t="s">
        <v>42</v>
      </c>
      <c r="J254" s="1" t="s">
        <v>43</v>
      </c>
      <c r="K254" s="1" t="s">
        <v>44</v>
      </c>
      <c r="L254" s="1" t="s">
        <v>45</v>
      </c>
      <c r="M254" s="1" t="s">
        <v>46</v>
      </c>
      <c r="N254" s="1" t="s">
        <v>47</v>
      </c>
      <c r="O254" s="1" t="s">
        <v>48</v>
      </c>
      <c r="P254" s="1" t="s">
        <v>4</v>
      </c>
      <c r="Q254" s="1" t="s">
        <v>49</v>
      </c>
      <c r="R254" s="1" t="s">
        <v>50</v>
      </c>
      <c r="S254" s="1" t="s">
        <v>51</v>
      </c>
      <c r="T254" s="1" t="s">
        <v>52</v>
      </c>
      <c r="U254" s="1" t="s">
        <v>10</v>
      </c>
    </row>
    <row r="255" spans="1:21" ht="28" customHeight="1" x14ac:dyDescent="0.35">
      <c r="A255" s="4">
        <v>1</v>
      </c>
      <c r="B255" s="4" t="s">
        <v>53</v>
      </c>
      <c r="C255" s="4" t="s">
        <v>642</v>
      </c>
      <c r="D255" s="4" t="s">
        <v>643</v>
      </c>
      <c r="E255" s="4" t="s">
        <v>56</v>
      </c>
      <c r="F255" s="4" t="s">
        <v>57</v>
      </c>
      <c r="G255" s="4" t="s">
        <v>58</v>
      </c>
      <c r="H255" s="4" t="s">
        <v>59</v>
      </c>
      <c r="I255" s="3"/>
      <c r="J255" s="3"/>
      <c r="K255" s="3"/>
      <c r="L255" s="3"/>
      <c r="M255" s="3"/>
      <c r="N255" s="3"/>
      <c r="O255" s="3"/>
      <c r="P255" s="8"/>
      <c r="Q255" s="8"/>
      <c r="R255" s="3"/>
      <c r="S255" s="3"/>
      <c r="T255" s="3"/>
      <c r="U255" s="5" t="str">
        <f t="shared" ref="U255:U270" si="13">IF(I255="","",IF(I255="NA","Grey",IF(I255=2,"Green",IF(I255=1,"Amber","Red"))))</f>
        <v/>
      </c>
    </row>
    <row r="256" spans="1:21" ht="28" customHeight="1" x14ac:dyDescent="0.35">
      <c r="A256" s="4">
        <v>2</v>
      </c>
      <c r="B256" s="4" t="s">
        <v>53</v>
      </c>
      <c r="C256" s="4" t="s">
        <v>644</v>
      </c>
      <c r="D256" s="4" t="s">
        <v>645</v>
      </c>
      <c r="E256" s="4" t="s">
        <v>56</v>
      </c>
      <c r="F256" s="4" t="s">
        <v>57</v>
      </c>
      <c r="G256" s="4" t="s">
        <v>58</v>
      </c>
      <c r="H256" s="4" t="s">
        <v>59</v>
      </c>
      <c r="I256" s="3"/>
      <c r="J256" s="3"/>
      <c r="K256" s="3"/>
      <c r="L256" s="3"/>
      <c r="M256" s="3"/>
      <c r="N256" s="3"/>
      <c r="O256" s="3"/>
      <c r="P256" s="8"/>
      <c r="Q256" s="8"/>
      <c r="R256" s="3"/>
      <c r="S256" s="3"/>
      <c r="T256" s="3"/>
      <c r="U256" s="5" t="str">
        <f t="shared" si="13"/>
        <v/>
      </c>
    </row>
    <row r="257" spans="1:21" ht="28" customHeight="1" x14ac:dyDescent="0.35">
      <c r="A257" s="4">
        <v>3</v>
      </c>
      <c r="B257" s="4" t="s">
        <v>53</v>
      </c>
      <c r="C257" s="4" t="s">
        <v>646</v>
      </c>
      <c r="D257" s="4" t="s">
        <v>647</v>
      </c>
      <c r="E257" s="4" t="s">
        <v>56</v>
      </c>
      <c r="F257" s="4" t="s">
        <v>57</v>
      </c>
      <c r="G257" s="4" t="s">
        <v>58</v>
      </c>
      <c r="H257" s="4" t="s">
        <v>59</v>
      </c>
      <c r="I257" s="3"/>
      <c r="J257" s="3"/>
      <c r="K257" s="3"/>
      <c r="L257" s="3"/>
      <c r="M257" s="3"/>
      <c r="N257" s="3"/>
      <c r="O257" s="3"/>
      <c r="P257" s="8"/>
      <c r="Q257" s="8"/>
      <c r="R257" s="3"/>
      <c r="S257" s="3"/>
      <c r="T257" s="3"/>
      <c r="U257" s="5" t="str">
        <f t="shared" si="13"/>
        <v/>
      </c>
    </row>
    <row r="258" spans="1:21" ht="28" customHeight="1" x14ac:dyDescent="0.35">
      <c r="A258" s="4">
        <v>4</v>
      </c>
      <c r="B258" s="4" t="s">
        <v>53</v>
      </c>
      <c r="C258" s="4" t="s">
        <v>648</v>
      </c>
      <c r="D258" s="4" t="s">
        <v>649</v>
      </c>
      <c r="E258" s="4" t="s">
        <v>56</v>
      </c>
      <c r="F258" s="4" t="s">
        <v>57</v>
      </c>
      <c r="G258" s="4" t="s">
        <v>58</v>
      </c>
      <c r="H258" s="4" t="s">
        <v>59</v>
      </c>
      <c r="I258" s="3"/>
      <c r="J258" s="3"/>
      <c r="K258" s="3"/>
      <c r="L258" s="3"/>
      <c r="M258" s="3"/>
      <c r="N258" s="3"/>
      <c r="O258" s="3"/>
      <c r="P258" s="8"/>
      <c r="Q258" s="8"/>
      <c r="R258" s="3"/>
      <c r="S258" s="3"/>
      <c r="T258" s="3"/>
      <c r="U258" s="5" t="str">
        <f t="shared" si="13"/>
        <v/>
      </c>
    </row>
    <row r="259" spans="1:21" ht="28" customHeight="1" x14ac:dyDescent="0.35">
      <c r="A259" s="4">
        <v>5</v>
      </c>
      <c r="B259" s="4" t="s">
        <v>66</v>
      </c>
      <c r="C259" s="4" t="s">
        <v>67</v>
      </c>
      <c r="D259" s="4" t="s">
        <v>68</v>
      </c>
      <c r="E259" s="4" t="s">
        <v>69</v>
      </c>
      <c r="F259" s="4" t="s">
        <v>57</v>
      </c>
      <c r="G259" s="4" t="s">
        <v>58</v>
      </c>
      <c r="H259" s="4" t="s">
        <v>59</v>
      </c>
      <c r="I259" s="3"/>
      <c r="J259" s="3"/>
      <c r="K259" s="3"/>
      <c r="L259" s="3"/>
      <c r="M259" s="3"/>
      <c r="N259" s="3"/>
      <c r="O259" s="3"/>
      <c r="P259" s="8"/>
      <c r="Q259" s="8"/>
      <c r="R259" s="3"/>
      <c r="S259" s="3"/>
      <c r="T259" s="3"/>
      <c r="U259" s="5" t="str">
        <f t="shared" si="13"/>
        <v/>
      </c>
    </row>
    <row r="260" spans="1:21" ht="28" customHeight="1" x14ac:dyDescent="0.35">
      <c r="A260" s="4">
        <v>6</v>
      </c>
      <c r="B260" s="4" t="s">
        <v>70</v>
      </c>
      <c r="C260" s="4" t="s">
        <v>71</v>
      </c>
      <c r="D260" s="4" t="s">
        <v>72</v>
      </c>
      <c r="E260" s="4" t="s">
        <v>70</v>
      </c>
      <c r="F260" s="4" t="s">
        <v>57</v>
      </c>
      <c r="G260" s="4" t="s">
        <v>58</v>
      </c>
      <c r="H260" s="4" t="s">
        <v>59</v>
      </c>
      <c r="I260" s="3"/>
      <c r="J260" s="3"/>
      <c r="K260" s="3"/>
      <c r="L260" s="3"/>
      <c r="M260" s="3"/>
      <c r="N260" s="3"/>
      <c r="O260" s="3"/>
      <c r="P260" s="8"/>
      <c r="Q260" s="8"/>
      <c r="R260" s="3"/>
      <c r="S260" s="3"/>
      <c r="T260" s="3"/>
      <c r="U260" s="5" t="str">
        <f t="shared" si="13"/>
        <v/>
      </c>
    </row>
    <row r="261" spans="1:21" ht="28" customHeight="1" x14ac:dyDescent="0.35">
      <c r="A261" s="4">
        <v>7</v>
      </c>
      <c r="B261" s="4" t="s">
        <v>73</v>
      </c>
      <c r="C261" s="4" t="s">
        <v>74</v>
      </c>
      <c r="D261" s="4" t="s">
        <v>75</v>
      </c>
      <c r="E261" s="4" t="s">
        <v>69</v>
      </c>
      <c r="F261" s="4" t="s">
        <v>57</v>
      </c>
      <c r="G261" s="4" t="s">
        <v>58</v>
      </c>
      <c r="H261" s="4" t="s">
        <v>76</v>
      </c>
      <c r="I261" s="3"/>
      <c r="J261" s="3"/>
      <c r="K261" s="3"/>
      <c r="L261" s="3"/>
      <c r="M261" s="3"/>
      <c r="N261" s="3"/>
      <c r="O261" s="3"/>
      <c r="P261" s="8"/>
      <c r="Q261" s="8"/>
      <c r="R261" s="3"/>
      <c r="S261" s="3"/>
      <c r="T261" s="3"/>
      <c r="U261" s="5" t="str">
        <f t="shared" si="13"/>
        <v/>
      </c>
    </row>
    <row r="262" spans="1:21" ht="28" customHeight="1" x14ac:dyDescent="0.35">
      <c r="A262" s="4">
        <v>8</v>
      </c>
      <c r="B262" s="4" t="s">
        <v>77</v>
      </c>
      <c r="C262" s="4" t="s">
        <v>78</v>
      </c>
      <c r="D262" s="4" t="s">
        <v>79</v>
      </c>
      <c r="E262" s="4" t="s">
        <v>80</v>
      </c>
      <c r="F262" s="4" t="s">
        <v>57</v>
      </c>
      <c r="G262" s="4" t="s">
        <v>58</v>
      </c>
      <c r="H262" s="4" t="s">
        <v>59</v>
      </c>
      <c r="I262" s="3"/>
      <c r="J262" s="3"/>
      <c r="K262" s="3"/>
      <c r="L262" s="3"/>
      <c r="M262" s="3"/>
      <c r="N262" s="3"/>
      <c r="O262" s="3"/>
      <c r="P262" s="8"/>
      <c r="Q262" s="8"/>
      <c r="R262" s="3"/>
      <c r="S262" s="3"/>
      <c r="T262" s="3"/>
      <c r="U262" s="5" t="str">
        <f t="shared" si="13"/>
        <v/>
      </c>
    </row>
    <row r="263" spans="1:21" ht="28" customHeight="1" x14ac:dyDescent="0.35">
      <c r="A263" s="4">
        <v>9</v>
      </c>
      <c r="B263" s="4" t="s">
        <v>81</v>
      </c>
      <c r="C263" s="4" t="s">
        <v>82</v>
      </c>
      <c r="D263" s="4" t="s">
        <v>83</v>
      </c>
      <c r="E263" s="4" t="s">
        <v>84</v>
      </c>
      <c r="F263" s="4" t="s">
        <v>57</v>
      </c>
      <c r="G263" s="4" t="s">
        <v>58</v>
      </c>
      <c r="H263" s="4" t="s">
        <v>85</v>
      </c>
      <c r="I263" s="3"/>
      <c r="J263" s="3"/>
      <c r="K263" s="3"/>
      <c r="L263" s="3"/>
      <c r="M263" s="3"/>
      <c r="N263" s="3"/>
      <c r="O263" s="3"/>
      <c r="P263" s="8"/>
      <c r="Q263" s="8"/>
      <c r="R263" s="3"/>
      <c r="S263" s="3"/>
      <c r="T263" s="3"/>
      <c r="U263" s="5" t="str">
        <f t="shared" si="13"/>
        <v/>
      </c>
    </row>
    <row r="264" spans="1:21" ht="28" customHeight="1" x14ac:dyDescent="0.35">
      <c r="A264" s="4">
        <v>10</v>
      </c>
      <c r="B264" s="4" t="s">
        <v>86</v>
      </c>
      <c r="C264" s="4" t="s">
        <v>87</v>
      </c>
      <c r="D264" s="4" t="s">
        <v>88</v>
      </c>
      <c r="E264" s="4" t="s">
        <v>69</v>
      </c>
      <c r="F264" s="4" t="s">
        <v>57</v>
      </c>
      <c r="G264" s="4" t="s">
        <v>58</v>
      </c>
      <c r="H264" s="4" t="s">
        <v>59</v>
      </c>
      <c r="I264" s="3"/>
      <c r="J264" s="3"/>
      <c r="K264" s="3"/>
      <c r="L264" s="3"/>
      <c r="M264" s="3"/>
      <c r="N264" s="3"/>
      <c r="O264" s="3"/>
      <c r="P264" s="8"/>
      <c r="Q264" s="8"/>
      <c r="R264" s="3"/>
      <c r="S264" s="3"/>
      <c r="T264" s="3"/>
      <c r="U264" s="5" t="str">
        <f t="shared" si="13"/>
        <v/>
      </c>
    </row>
    <row r="265" spans="1:21" ht="28" customHeight="1" x14ac:dyDescent="0.35">
      <c r="A265" s="4">
        <v>11</v>
      </c>
      <c r="B265" s="4" t="s">
        <v>89</v>
      </c>
      <c r="C265" s="4" t="s">
        <v>90</v>
      </c>
      <c r="D265" s="4" t="s">
        <v>91</v>
      </c>
      <c r="E265" s="4" t="s">
        <v>84</v>
      </c>
      <c r="F265" s="4" t="s">
        <v>57</v>
      </c>
      <c r="G265" s="4" t="s">
        <v>58</v>
      </c>
      <c r="H265" s="4" t="s">
        <v>59</v>
      </c>
      <c r="I265" s="3"/>
      <c r="J265" s="3"/>
      <c r="K265" s="3"/>
      <c r="L265" s="3"/>
      <c r="M265" s="3"/>
      <c r="N265" s="3"/>
      <c r="O265" s="3"/>
      <c r="P265" s="8"/>
      <c r="Q265" s="8"/>
      <c r="R265" s="3"/>
      <c r="S265" s="3"/>
      <c r="T265" s="3"/>
      <c r="U265" s="5" t="str">
        <f t="shared" si="13"/>
        <v/>
      </c>
    </row>
    <row r="266" spans="1:21" ht="28" customHeight="1" x14ac:dyDescent="0.35">
      <c r="A266" s="4">
        <v>12</v>
      </c>
      <c r="B266" s="4" t="s">
        <v>92</v>
      </c>
      <c r="C266" s="4" t="s">
        <v>93</v>
      </c>
      <c r="D266" s="4" t="s">
        <v>94</v>
      </c>
      <c r="E266" s="4" t="s">
        <v>69</v>
      </c>
      <c r="F266" s="4" t="s">
        <v>95</v>
      </c>
      <c r="G266" s="4" t="s">
        <v>96</v>
      </c>
      <c r="H266" s="4" t="s">
        <v>59</v>
      </c>
      <c r="I266" s="3"/>
      <c r="J266" s="3"/>
      <c r="K266" s="3"/>
      <c r="L266" s="3"/>
      <c r="M266" s="3"/>
      <c r="N266" s="3"/>
      <c r="O266" s="3"/>
      <c r="P266" s="8"/>
      <c r="Q266" s="8"/>
      <c r="R266" s="3"/>
      <c r="S266" s="3"/>
      <c r="T266" s="3"/>
      <c r="U266" s="5" t="str">
        <f t="shared" si="13"/>
        <v/>
      </c>
    </row>
    <row r="267" spans="1:21" ht="28" customHeight="1" x14ac:dyDescent="0.35">
      <c r="A267" s="4">
        <v>13</v>
      </c>
      <c r="B267" s="4" t="s">
        <v>97</v>
      </c>
      <c r="C267" s="4" t="s">
        <v>98</v>
      </c>
      <c r="D267" s="4" t="s">
        <v>99</v>
      </c>
      <c r="E267" s="4" t="s">
        <v>69</v>
      </c>
      <c r="F267" s="4" t="s">
        <v>95</v>
      </c>
      <c r="G267" s="4" t="s">
        <v>96</v>
      </c>
      <c r="H267" s="4" t="s">
        <v>59</v>
      </c>
      <c r="I267" s="3"/>
      <c r="J267" s="3"/>
      <c r="K267" s="3"/>
      <c r="L267" s="3"/>
      <c r="M267" s="3"/>
      <c r="N267" s="3"/>
      <c r="O267" s="3"/>
      <c r="P267" s="8"/>
      <c r="Q267" s="8"/>
      <c r="R267" s="3"/>
      <c r="S267" s="3"/>
      <c r="T267" s="3"/>
      <c r="U267" s="5" t="str">
        <f t="shared" si="13"/>
        <v/>
      </c>
    </row>
    <row r="268" spans="1:21" ht="28" customHeight="1" x14ac:dyDescent="0.35">
      <c r="A268" s="4">
        <v>14</v>
      </c>
      <c r="B268" s="4" t="s">
        <v>97</v>
      </c>
      <c r="C268" s="4" t="s">
        <v>100</v>
      </c>
      <c r="D268" s="4" t="s">
        <v>101</v>
      </c>
      <c r="E268" s="4" t="s">
        <v>69</v>
      </c>
      <c r="F268" s="4" t="s">
        <v>95</v>
      </c>
      <c r="G268" s="4" t="s">
        <v>102</v>
      </c>
      <c r="H268" s="4" t="s">
        <v>59</v>
      </c>
      <c r="I268" s="3"/>
      <c r="J268" s="3"/>
      <c r="K268" s="3"/>
      <c r="L268" s="3"/>
      <c r="M268" s="3"/>
      <c r="N268" s="3"/>
      <c r="O268" s="3"/>
      <c r="P268" s="8"/>
      <c r="Q268" s="8"/>
      <c r="R268" s="3"/>
      <c r="S268" s="3"/>
      <c r="T268" s="3"/>
      <c r="U268" s="5" t="str">
        <f t="shared" si="13"/>
        <v/>
      </c>
    </row>
    <row r="269" spans="1:21" ht="28" customHeight="1" x14ac:dyDescent="0.35">
      <c r="A269" s="4">
        <v>15</v>
      </c>
      <c r="B269" s="4" t="s">
        <v>103</v>
      </c>
      <c r="C269" s="4" t="s">
        <v>104</v>
      </c>
      <c r="D269" s="4" t="s">
        <v>105</v>
      </c>
      <c r="E269" s="4" t="s">
        <v>69</v>
      </c>
      <c r="F269" s="4" t="s">
        <v>95</v>
      </c>
      <c r="G269" s="4" t="s">
        <v>96</v>
      </c>
      <c r="H269" s="4" t="s">
        <v>85</v>
      </c>
      <c r="I269" s="3"/>
      <c r="J269" s="3"/>
      <c r="K269" s="3"/>
      <c r="L269" s="3"/>
      <c r="M269" s="3"/>
      <c r="N269" s="3"/>
      <c r="O269" s="3"/>
      <c r="P269" s="8"/>
      <c r="Q269" s="8"/>
      <c r="R269" s="3"/>
      <c r="S269" s="3"/>
      <c r="T269" s="3"/>
      <c r="U269" s="5" t="str">
        <f t="shared" si="13"/>
        <v/>
      </c>
    </row>
    <row r="270" spans="1:21" ht="28" customHeight="1" x14ac:dyDescent="0.35">
      <c r="A270" s="4">
        <v>16</v>
      </c>
      <c r="B270" s="4" t="s">
        <v>106</v>
      </c>
      <c r="C270" s="4" t="s">
        <v>107</v>
      </c>
      <c r="D270" s="4" t="s">
        <v>108</v>
      </c>
      <c r="E270" s="4" t="s">
        <v>109</v>
      </c>
      <c r="F270" s="4" t="s">
        <v>95</v>
      </c>
      <c r="G270" s="4" t="s">
        <v>96</v>
      </c>
      <c r="H270" s="4" t="s">
        <v>59</v>
      </c>
      <c r="I270" s="3"/>
      <c r="J270" s="3"/>
      <c r="K270" s="3"/>
      <c r="L270" s="3"/>
      <c r="M270" s="3"/>
      <c r="N270" s="3"/>
      <c r="O270" s="3"/>
      <c r="P270" s="8"/>
      <c r="Q270" s="8"/>
      <c r="R270" s="3"/>
      <c r="S270" s="3"/>
      <c r="T270" s="3"/>
      <c r="U270" s="5" t="str">
        <f t="shared" si="13"/>
        <v/>
      </c>
    </row>
    <row r="272" spans="1:21" ht="28" customHeight="1" x14ac:dyDescent="0.35">
      <c r="A272" s="9" t="s">
        <v>110</v>
      </c>
      <c r="B272" s="16"/>
      <c r="C272" s="17"/>
      <c r="D272" s="17"/>
      <c r="E272" s="17"/>
      <c r="F272" s="17"/>
      <c r="G272" s="17"/>
      <c r="H272" s="17"/>
      <c r="I272" s="17"/>
      <c r="J272" s="17"/>
      <c r="K272" s="17"/>
      <c r="L272" s="17"/>
      <c r="M272" s="17"/>
      <c r="N272" s="17"/>
      <c r="O272" s="17"/>
      <c r="P272" s="17"/>
      <c r="Q272" s="17"/>
      <c r="R272" s="17"/>
      <c r="S272" s="17"/>
      <c r="T272" s="17"/>
      <c r="U272" s="18"/>
    </row>
  </sheetData>
  <sheetProtection sheet="1" objects="1" scenarios="1" formatCells="0" formatColumns="0" formatRows="0" insertRows="0" sort="0" autoFilter="0"/>
  <autoFilter ref="A4:O16" xr:uid="{00000000-0009-0000-0000-00000F000000}"/>
  <mergeCells count="26">
    <mergeCell ref="A1:U1"/>
    <mergeCell ref="B104:U104"/>
    <mergeCell ref="B251:U251"/>
    <mergeCell ref="A168:U168"/>
    <mergeCell ref="B2:U2"/>
    <mergeCell ref="A126:U126"/>
    <mergeCell ref="A231:U231"/>
    <mergeCell ref="A147:U147"/>
    <mergeCell ref="A63:U63"/>
    <mergeCell ref="B230:U230"/>
    <mergeCell ref="B146:U146"/>
    <mergeCell ref="B83:U83"/>
    <mergeCell ref="A21:U21"/>
    <mergeCell ref="A210:U210"/>
    <mergeCell ref="B167:U167"/>
    <mergeCell ref="B272:U272"/>
    <mergeCell ref="A42:U42"/>
    <mergeCell ref="B41:U41"/>
    <mergeCell ref="B188:U188"/>
    <mergeCell ref="A252:U252"/>
    <mergeCell ref="B62:U62"/>
    <mergeCell ref="B209:U209"/>
    <mergeCell ref="A84:U84"/>
    <mergeCell ref="B125:U125"/>
    <mergeCell ref="A189:U189"/>
    <mergeCell ref="A105:U105"/>
  </mergeCells>
  <conditionalFormatting sqref="G5:G16">
    <cfRule type="colorScale" priority="53">
      <colorScale>
        <cfvo type="min"/>
        <cfvo type="percentile" val="50"/>
        <cfvo type="max"/>
        <color rgb="FFF8696B"/>
        <color rgb="FFFFEB84"/>
        <color rgb="FF63BE7B"/>
      </colorScale>
    </cfRule>
  </conditionalFormatting>
  <conditionalFormatting sqref="H5:H16">
    <cfRule type="containsText" dxfId="103" priority="49" operator="containsText" text="Red">
      <formula>NOT(ISERROR(SEARCH("Red",H5)))</formula>
    </cfRule>
    <cfRule type="containsText" dxfId="102" priority="50" operator="containsText" text="Amber">
      <formula>NOT(ISERROR(SEARCH("Amber",H5)))</formula>
    </cfRule>
    <cfRule type="containsText" dxfId="101" priority="51" operator="containsText" text="Green">
      <formula>NOT(ISERROR(SEARCH("Green",H5)))</formula>
    </cfRule>
    <cfRule type="containsText" dxfId="100" priority="52" operator="containsText" text="Not Started">
      <formula>NOT(ISERROR(SEARCH("Not Started",H5)))</formula>
    </cfRule>
  </conditionalFormatting>
  <conditionalFormatting sqref="U24:U39">
    <cfRule type="containsText" dxfId="99" priority="1" operator="containsText" text="Red">
      <formula>NOT(ISERROR(SEARCH("Red",U24)))</formula>
    </cfRule>
    <cfRule type="containsText" dxfId="98" priority="2" operator="containsText" text="Amber">
      <formula>NOT(ISERROR(SEARCH("Amber",U24)))</formula>
    </cfRule>
    <cfRule type="containsText" dxfId="97" priority="3" operator="containsText" text="Green">
      <formula>NOT(ISERROR(SEARCH("Green",U24)))</formula>
    </cfRule>
    <cfRule type="containsText" dxfId="96" priority="4" operator="containsText" text="Grey">
      <formula>NOT(ISERROR(SEARCH("Grey",U24)))</formula>
    </cfRule>
  </conditionalFormatting>
  <conditionalFormatting sqref="U45:U60">
    <cfRule type="containsText" dxfId="95" priority="5" operator="containsText" text="Red">
      <formula>NOT(ISERROR(SEARCH("Red",U45)))</formula>
    </cfRule>
    <cfRule type="containsText" dxfId="94" priority="6" operator="containsText" text="Amber">
      <formula>NOT(ISERROR(SEARCH("Amber",U45)))</formula>
    </cfRule>
    <cfRule type="containsText" dxfId="93" priority="7" operator="containsText" text="Green">
      <formula>NOT(ISERROR(SEARCH("Green",U45)))</formula>
    </cfRule>
    <cfRule type="containsText" dxfId="92" priority="8" operator="containsText" text="Grey">
      <formula>NOT(ISERROR(SEARCH("Grey",U45)))</formula>
    </cfRule>
  </conditionalFormatting>
  <conditionalFormatting sqref="U66:U81">
    <cfRule type="containsText" dxfId="91" priority="9" operator="containsText" text="Red">
      <formula>NOT(ISERROR(SEARCH("Red",U66)))</formula>
    </cfRule>
    <cfRule type="containsText" dxfId="90" priority="10" operator="containsText" text="Amber">
      <formula>NOT(ISERROR(SEARCH("Amber",U66)))</formula>
    </cfRule>
    <cfRule type="containsText" dxfId="89" priority="11" operator="containsText" text="Green">
      <formula>NOT(ISERROR(SEARCH("Green",U66)))</formula>
    </cfRule>
    <cfRule type="containsText" dxfId="88" priority="12" operator="containsText" text="Grey">
      <formula>NOT(ISERROR(SEARCH("Grey",U66)))</formula>
    </cfRule>
  </conditionalFormatting>
  <conditionalFormatting sqref="U87:U102">
    <cfRule type="containsText" dxfId="87" priority="13" operator="containsText" text="Red">
      <formula>NOT(ISERROR(SEARCH("Red",U87)))</formula>
    </cfRule>
    <cfRule type="containsText" dxfId="86" priority="14" operator="containsText" text="Amber">
      <formula>NOT(ISERROR(SEARCH("Amber",U87)))</formula>
    </cfRule>
    <cfRule type="containsText" dxfId="85" priority="15" operator="containsText" text="Green">
      <formula>NOT(ISERROR(SEARCH("Green",U87)))</formula>
    </cfRule>
    <cfRule type="containsText" dxfId="84" priority="16" operator="containsText" text="Grey">
      <formula>NOT(ISERROR(SEARCH("Grey",U87)))</formula>
    </cfRule>
  </conditionalFormatting>
  <conditionalFormatting sqref="U108:U123">
    <cfRule type="containsText" dxfId="83" priority="17" operator="containsText" text="Red">
      <formula>NOT(ISERROR(SEARCH("Red",U108)))</formula>
    </cfRule>
    <cfRule type="containsText" dxfId="82" priority="18" operator="containsText" text="Amber">
      <formula>NOT(ISERROR(SEARCH("Amber",U108)))</formula>
    </cfRule>
    <cfRule type="containsText" dxfId="81" priority="19" operator="containsText" text="Green">
      <formula>NOT(ISERROR(SEARCH("Green",U108)))</formula>
    </cfRule>
    <cfRule type="containsText" dxfId="80" priority="20" operator="containsText" text="Grey">
      <formula>NOT(ISERROR(SEARCH("Grey",U108)))</formula>
    </cfRule>
  </conditionalFormatting>
  <conditionalFormatting sqref="U129:U144">
    <cfRule type="containsText" dxfId="79" priority="21" operator="containsText" text="Red">
      <formula>NOT(ISERROR(SEARCH("Red",U129)))</formula>
    </cfRule>
    <cfRule type="containsText" dxfId="78" priority="22" operator="containsText" text="Amber">
      <formula>NOT(ISERROR(SEARCH("Amber",U129)))</formula>
    </cfRule>
    <cfRule type="containsText" dxfId="77" priority="23" operator="containsText" text="Green">
      <formula>NOT(ISERROR(SEARCH("Green",U129)))</formula>
    </cfRule>
    <cfRule type="containsText" dxfId="76" priority="24" operator="containsText" text="Grey">
      <formula>NOT(ISERROR(SEARCH("Grey",U129)))</formula>
    </cfRule>
  </conditionalFormatting>
  <conditionalFormatting sqref="U150:U165">
    <cfRule type="containsText" dxfId="75" priority="26" operator="containsText" text="Amber">
      <formula>NOT(ISERROR(SEARCH("Amber",U150)))</formula>
    </cfRule>
    <cfRule type="containsText" dxfId="74" priority="27" operator="containsText" text="Green">
      <formula>NOT(ISERROR(SEARCH("Green",U150)))</formula>
    </cfRule>
    <cfRule type="containsText" dxfId="73" priority="28" operator="containsText" text="Grey">
      <formula>NOT(ISERROR(SEARCH("Grey",U150)))</formula>
    </cfRule>
    <cfRule type="containsText" dxfId="72" priority="25" operator="containsText" text="Red">
      <formula>NOT(ISERROR(SEARCH("Red",U150)))</formula>
    </cfRule>
  </conditionalFormatting>
  <conditionalFormatting sqref="U171:U186">
    <cfRule type="containsText" dxfId="71" priority="29" operator="containsText" text="Red">
      <formula>NOT(ISERROR(SEARCH("Red",U171)))</formula>
    </cfRule>
    <cfRule type="containsText" dxfId="70" priority="30" operator="containsText" text="Amber">
      <formula>NOT(ISERROR(SEARCH("Amber",U171)))</formula>
    </cfRule>
    <cfRule type="containsText" dxfId="69" priority="31" operator="containsText" text="Green">
      <formula>NOT(ISERROR(SEARCH("Green",U171)))</formula>
    </cfRule>
    <cfRule type="containsText" dxfId="68" priority="32" operator="containsText" text="Grey">
      <formula>NOT(ISERROR(SEARCH("Grey",U171)))</formula>
    </cfRule>
  </conditionalFormatting>
  <conditionalFormatting sqref="U192:U207">
    <cfRule type="containsText" dxfId="67" priority="34" operator="containsText" text="Amber">
      <formula>NOT(ISERROR(SEARCH("Amber",U192)))</formula>
    </cfRule>
    <cfRule type="containsText" dxfId="66" priority="35" operator="containsText" text="Green">
      <formula>NOT(ISERROR(SEARCH("Green",U192)))</formula>
    </cfRule>
    <cfRule type="containsText" dxfId="65" priority="36" operator="containsText" text="Grey">
      <formula>NOT(ISERROR(SEARCH("Grey",U192)))</formula>
    </cfRule>
    <cfRule type="containsText" dxfId="64" priority="33" operator="containsText" text="Red">
      <formula>NOT(ISERROR(SEARCH("Red",U192)))</formula>
    </cfRule>
  </conditionalFormatting>
  <conditionalFormatting sqref="U213:U228">
    <cfRule type="containsText" dxfId="63" priority="37" operator="containsText" text="Red">
      <formula>NOT(ISERROR(SEARCH("Red",U213)))</formula>
    </cfRule>
    <cfRule type="containsText" dxfId="62" priority="38" operator="containsText" text="Amber">
      <formula>NOT(ISERROR(SEARCH("Amber",U213)))</formula>
    </cfRule>
    <cfRule type="containsText" dxfId="61" priority="39" operator="containsText" text="Green">
      <formula>NOT(ISERROR(SEARCH("Green",U213)))</formula>
    </cfRule>
    <cfRule type="containsText" dxfId="60" priority="40" operator="containsText" text="Grey">
      <formula>NOT(ISERROR(SEARCH("Grey",U213)))</formula>
    </cfRule>
  </conditionalFormatting>
  <conditionalFormatting sqref="U234:U249">
    <cfRule type="containsText" dxfId="59" priority="42" operator="containsText" text="Amber">
      <formula>NOT(ISERROR(SEARCH("Amber",U234)))</formula>
    </cfRule>
    <cfRule type="containsText" dxfId="58" priority="43" operator="containsText" text="Green">
      <formula>NOT(ISERROR(SEARCH("Green",U234)))</formula>
    </cfRule>
    <cfRule type="containsText" dxfId="57" priority="44" operator="containsText" text="Grey">
      <formula>NOT(ISERROR(SEARCH("Grey",U234)))</formula>
    </cfRule>
    <cfRule type="containsText" dxfId="56" priority="41" operator="containsText" text="Red">
      <formula>NOT(ISERROR(SEARCH("Red",U234)))</formula>
    </cfRule>
  </conditionalFormatting>
  <conditionalFormatting sqref="U255:U270">
    <cfRule type="containsText" dxfId="55" priority="45" operator="containsText" text="Red">
      <formula>NOT(ISERROR(SEARCH("Red",U255)))</formula>
    </cfRule>
    <cfRule type="containsText" dxfId="54" priority="46" operator="containsText" text="Amber">
      <formula>NOT(ISERROR(SEARCH("Amber",U255)))</formula>
    </cfRule>
    <cfRule type="containsText" dxfId="53" priority="48" operator="containsText" text="Grey">
      <formula>NOT(ISERROR(SEARCH("Grey",U255)))</formula>
    </cfRule>
    <cfRule type="containsText" dxfId="52" priority="47" operator="containsText" text="Green">
      <formula>NOT(ISERROR(SEARCH("Green",U255)))</formula>
    </cfRule>
  </conditionalFormatting>
  <dataValidations count="4">
    <dataValidation type="list" allowBlank="1" showInputMessage="1" showErrorMessage="1" sqref="I24:I39 I45:I60 I66:I81 I87:I102 I108:I123 I129:I144 I150:I165 I171:I186 I192:I207 I213:I228 I234:I249 I255:I270" xr:uid="{00000000-0002-0000-0F00-000000000000}">
      <formula1>"2,1,0,NA"</formula1>
    </dataValidation>
    <dataValidation type="list" allowBlank="1" showInputMessage="1" showErrorMessage="1" sqref="H24:H39 H45:H60 H66:H81 H87:H102 H108:H123 H129:H144 H150:H165 H171:H186 H192:H207 H213:H228 H234:H249 H255:H270" xr:uid="{00000000-0002-0000-0F00-000001000000}">
      <formula1>"Critical,High,Medium,Low"</formula1>
    </dataValidation>
    <dataValidation type="list" allowBlank="1" showInputMessage="1" showErrorMessage="1" sqref="S24:S39 S45:S60 S66:S81 S87:S102 S108:S123 S129:S144 S150:S165 S171:S186 S192:S207 S213:S228 S234:S249 S255:S270" xr:uid="{00000000-0002-0000-0F00-000002000000}">
      <formula1>"Yes,No,N/A"</formula1>
    </dataValidation>
    <dataValidation type="list" allowBlank="1" showInputMessage="1" showErrorMessage="1" sqref="T24:T39 T45:T60 T66:T81 T87:T102 T108:T123 T129:T144 T150:T165 T171:T186 T192:T207 T213:T228 T234:T249 T255:T270" xr:uid="{00000000-0002-0000-0F00-000003000000}">
      <formula1>"Not Started,In Progress,Completed,Verified,Closed"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72"/>
  <sheetViews>
    <sheetView showGridLines="0" workbookViewId="0"/>
  </sheetViews>
  <sheetFormatPr defaultRowHeight="28" customHeight="1" x14ac:dyDescent="0.35"/>
  <cols>
    <col min="1" max="1" width="7.7265625" customWidth="1"/>
    <col min="2" max="2" width="18.7265625" customWidth="1"/>
    <col min="3" max="3" width="42.7265625" customWidth="1"/>
    <col min="4" max="4" width="28.7265625" customWidth="1"/>
    <col min="5" max="6" width="18.7265625" customWidth="1"/>
    <col min="7" max="7" width="24.7265625" customWidth="1"/>
    <col min="8" max="9" width="13.7265625" customWidth="1"/>
    <col min="10" max="10" width="28.7265625" customWidth="1"/>
    <col min="11" max="11" width="30.7265625" customWidth="1"/>
    <col min="12" max="12" width="32.7265625" customWidth="1"/>
    <col min="13" max="13" width="28.7265625" customWidth="1"/>
    <col min="14" max="14" width="32.7265625" customWidth="1"/>
    <col min="15" max="15" width="20.7265625" customWidth="1"/>
    <col min="16" max="17" width="13.7265625" customWidth="1"/>
    <col min="18" max="18" width="18.7265625" customWidth="1"/>
    <col min="19" max="20" width="14.7265625" customWidth="1"/>
    <col min="21" max="21" width="10.7265625" customWidth="1"/>
  </cols>
  <sheetData>
    <row r="1" spans="1:21" ht="28" customHeight="1" x14ac:dyDescent="0.35">
      <c r="A1" s="24" t="s">
        <v>661</v>
      </c>
      <c r="B1" s="20"/>
      <c r="C1" s="20"/>
      <c r="D1" s="20"/>
      <c r="E1" s="20"/>
      <c r="F1" s="20"/>
      <c r="G1" s="20"/>
      <c r="H1" s="20"/>
      <c r="I1" s="20"/>
      <c r="J1" s="20"/>
      <c r="K1" s="20"/>
      <c r="L1" s="20"/>
      <c r="M1" s="20"/>
      <c r="N1" s="20"/>
      <c r="O1" s="20"/>
      <c r="P1" s="20"/>
      <c r="Q1" s="20"/>
      <c r="R1" s="20"/>
      <c r="S1" s="20"/>
      <c r="T1" s="20"/>
      <c r="U1" s="21"/>
    </row>
    <row r="2" spans="1:21" ht="28" customHeight="1" x14ac:dyDescent="0.35">
      <c r="A2" s="9" t="s">
        <v>1</v>
      </c>
      <c r="B2" s="22" t="s">
        <v>2</v>
      </c>
      <c r="C2" s="23"/>
      <c r="D2" s="23"/>
      <c r="E2" s="23"/>
      <c r="F2" s="23"/>
      <c r="G2" s="23"/>
      <c r="H2" s="23"/>
      <c r="I2" s="23"/>
      <c r="J2" s="23"/>
      <c r="K2" s="23"/>
      <c r="L2" s="23"/>
      <c r="M2" s="23"/>
      <c r="N2" s="23"/>
      <c r="O2" s="23"/>
      <c r="P2" s="23"/>
      <c r="Q2" s="23"/>
      <c r="R2" s="23"/>
      <c r="S2" s="23"/>
      <c r="T2" s="23"/>
      <c r="U2" s="23"/>
    </row>
    <row r="4" spans="1:21" ht="28" customHeight="1" x14ac:dyDescent="0.3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21" ht="28" customHeight="1" x14ac:dyDescent="0.35">
      <c r="A5" s="4" t="s">
        <v>18</v>
      </c>
      <c r="B5" s="7">
        <v>46050</v>
      </c>
      <c r="C5" s="8"/>
      <c r="D5" s="3"/>
      <c r="E5" s="5">
        <f>SUMIF(I24:I39,"&gt;=0",I24:I39)</f>
        <v>0</v>
      </c>
      <c r="F5" s="5">
        <f>COUNT(I24:I39)*2</f>
        <v>0</v>
      </c>
      <c r="G5" s="6" t="str">
        <f t="shared" ref="G5:G16" si="0">IF(F5=0,"",E5/F5)</f>
        <v/>
      </c>
      <c r="H5" s="5" t="str">
        <f t="shared" ref="H5:H16" si="1">IF(G5="","Not Started",IF(G5&gt;=0.9,"Green",IF(G5&gt;=0.75,"Amber","Red")))</f>
        <v>Not Started</v>
      </c>
      <c r="I5" s="5">
        <f>COUNTIFS(H24:H39,"Critical",I24:I39,"&lt;2")+COUNTIFS(H24:H39,"High",I24:I39,"&lt;2")</f>
        <v>0</v>
      </c>
      <c r="J5" s="5">
        <f>COUNTIF(T24:T39,"In Progress")+COUNTIF(T24:T39,"Not Started")</f>
        <v>0</v>
      </c>
      <c r="K5" s="5">
        <f ca="1">COUNTIFS(P24:P39,"&lt;"&amp;TODAY(),Q24:Q39,"")</f>
        <v>0</v>
      </c>
      <c r="L5" s="3"/>
      <c r="M5" s="3"/>
      <c r="N5" s="3"/>
      <c r="O5" s="3"/>
    </row>
    <row r="6" spans="1:21" ht="28" customHeight="1" x14ac:dyDescent="0.35">
      <c r="A6" s="4" t="s">
        <v>19</v>
      </c>
      <c r="B6" s="7">
        <v>46081</v>
      </c>
      <c r="C6" s="8"/>
      <c r="D6" s="3"/>
      <c r="E6" s="5">
        <f>SUMIF(I45:I60,"&gt;=0",I45:I60)</f>
        <v>0</v>
      </c>
      <c r="F6" s="5">
        <f>COUNT(I45:I60)*2</f>
        <v>0</v>
      </c>
      <c r="G6" s="6" t="str">
        <f t="shared" si="0"/>
        <v/>
      </c>
      <c r="H6" s="5" t="str">
        <f t="shared" si="1"/>
        <v>Not Started</v>
      </c>
      <c r="I6" s="5">
        <f>COUNTIFS(H45:H60,"Critical",I45:I60,"&lt;2")+COUNTIFS(H45:H60,"High",I45:I60,"&lt;2")</f>
        <v>0</v>
      </c>
      <c r="J6" s="5">
        <f>COUNTIF(T45:T60,"In Progress")+COUNTIF(T45:T60,"Not Started")</f>
        <v>0</v>
      </c>
      <c r="K6" s="5">
        <f ca="1">COUNTIFS(P45:P60,"&lt;"&amp;TODAY(),Q45:Q60,"")</f>
        <v>0</v>
      </c>
      <c r="L6" s="3"/>
      <c r="M6" s="3"/>
      <c r="N6" s="3"/>
      <c r="O6" s="3"/>
    </row>
    <row r="7" spans="1:21" ht="28" customHeight="1" x14ac:dyDescent="0.35">
      <c r="A7" s="4" t="s">
        <v>20</v>
      </c>
      <c r="B7" s="7">
        <v>46109</v>
      </c>
      <c r="C7" s="8"/>
      <c r="D7" s="3"/>
      <c r="E7" s="5">
        <f>SUMIF(I66:I81,"&gt;=0",I66:I81)</f>
        <v>0</v>
      </c>
      <c r="F7" s="5">
        <f>COUNT(I66:I81)*2</f>
        <v>0</v>
      </c>
      <c r="G7" s="6" t="str">
        <f t="shared" si="0"/>
        <v/>
      </c>
      <c r="H7" s="5" t="str">
        <f t="shared" si="1"/>
        <v>Not Started</v>
      </c>
      <c r="I7" s="5">
        <f>COUNTIFS(H66:H81,"Critical",I66:I81,"&lt;2")+COUNTIFS(H66:H81,"High",I66:I81,"&lt;2")</f>
        <v>0</v>
      </c>
      <c r="J7" s="5">
        <f>COUNTIF(T66:T81,"In Progress")+COUNTIF(T66:T81,"Not Started")</f>
        <v>0</v>
      </c>
      <c r="K7" s="5">
        <f ca="1">COUNTIFS(P66:P81,"&lt;"&amp;TODAY(),Q66:Q81,"")</f>
        <v>0</v>
      </c>
      <c r="L7" s="3"/>
      <c r="M7" s="3"/>
      <c r="N7" s="3"/>
      <c r="O7" s="3"/>
    </row>
    <row r="8" spans="1:21" ht="28" customHeight="1" x14ac:dyDescent="0.35">
      <c r="A8" s="4" t="s">
        <v>21</v>
      </c>
      <c r="B8" s="7">
        <v>46140</v>
      </c>
      <c r="C8" s="8"/>
      <c r="D8" s="3"/>
      <c r="E8" s="5">
        <f>SUMIF(I87:I102,"&gt;=0",I87:I102)</f>
        <v>0</v>
      </c>
      <c r="F8" s="5">
        <f>COUNT(I87:I102)*2</f>
        <v>0</v>
      </c>
      <c r="G8" s="6" t="str">
        <f t="shared" si="0"/>
        <v/>
      </c>
      <c r="H8" s="5" t="str">
        <f t="shared" si="1"/>
        <v>Not Started</v>
      </c>
      <c r="I8" s="5">
        <f>COUNTIFS(H87:H102,"Critical",I87:I102,"&lt;2")+COUNTIFS(H87:H102,"High",I87:I102,"&lt;2")</f>
        <v>0</v>
      </c>
      <c r="J8" s="5">
        <f>COUNTIF(T87:T102,"In Progress")+COUNTIF(T87:T102,"Not Started")</f>
        <v>0</v>
      </c>
      <c r="K8" s="5">
        <f ca="1">COUNTIFS(P87:P102,"&lt;"&amp;TODAY(),Q87:Q102,"")</f>
        <v>0</v>
      </c>
      <c r="L8" s="3"/>
      <c r="M8" s="3"/>
      <c r="N8" s="3"/>
      <c r="O8" s="3"/>
    </row>
    <row r="9" spans="1:21" ht="28" customHeight="1" x14ac:dyDescent="0.35">
      <c r="A9" s="4" t="s">
        <v>22</v>
      </c>
      <c r="B9" s="7">
        <v>46170</v>
      </c>
      <c r="C9" s="8"/>
      <c r="D9" s="3"/>
      <c r="E9" s="5">
        <f>SUMIF(I108:I123,"&gt;=0",I108:I123)</f>
        <v>0</v>
      </c>
      <c r="F9" s="5">
        <f>COUNT(I108:I123)*2</f>
        <v>0</v>
      </c>
      <c r="G9" s="6" t="str">
        <f t="shared" si="0"/>
        <v/>
      </c>
      <c r="H9" s="5" t="str">
        <f t="shared" si="1"/>
        <v>Not Started</v>
      </c>
      <c r="I9" s="5">
        <f>COUNTIFS(H108:H123,"Critical",I108:I123,"&lt;2")+COUNTIFS(H108:H123,"High",I108:I123,"&lt;2")</f>
        <v>0</v>
      </c>
      <c r="J9" s="5">
        <f>COUNTIF(T108:T123,"In Progress")+COUNTIF(T108:T123,"Not Started")</f>
        <v>0</v>
      </c>
      <c r="K9" s="5">
        <f ca="1">COUNTIFS(P108:P123,"&lt;"&amp;TODAY(),Q108:Q123,"")</f>
        <v>0</v>
      </c>
      <c r="L9" s="3"/>
      <c r="M9" s="3"/>
      <c r="N9" s="3"/>
      <c r="O9" s="3"/>
    </row>
    <row r="10" spans="1:21" ht="28" customHeight="1" x14ac:dyDescent="0.35">
      <c r="A10" s="4" t="s">
        <v>23</v>
      </c>
      <c r="B10" s="7">
        <v>46201</v>
      </c>
      <c r="C10" s="8"/>
      <c r="D10" s="3"/>
      <c r="E10" s="5">
        <f>SUMIF(I129:I144,"&gt;=0",I129:I144)</f>
        <v>0</v>
      </c>
      <c r="F10" s="5">
        <f>COUNT(I129:I144)*2</f>
        <v>0</v>
      </c>
      <c r="G10" s="6" t="str">
        <f t="shared" si="0"/>
        <v/>
      </c>
      <c r="H10" s="5" t="str">
        <f t="shared" si="1"/>
        <v>Not Started</v>
      </c>
      <c r="I10" s="5">
        <f>COUNTIFS(H129:H144,"Critical",I129:I144,"&lt;2")+COUNTIFS(H129:H144,"High",I129:I144,"&lt;2")</f>
        <v>0</v>
      </c>
      <c r="J10" s="5">
        <f>COUNTIF(T129:T144,"In Progress")+COUNTIF(T129:T144,"Not Started")</f>
        <v>0</v>
      </c>
      <c r="K10" s="5">
        <f ca="1">COUNTIFS(P129:P144,"&lt;"&amp;TODAY(),Q129:Q144,"")</f>
        <v>0</v>
      </c>
      <c r="L10" s="3"/>
      <c r="M10" s="3"/>
      <c r="N10" s="3"/>
      <c r="O10" s="3"/>
    </row>
    <row r="11" spans="1:21" ht="28" customHeight="1" x14ac:dyDescent="0.35">
      <c r="A11" s="4" t="s">
        <v>24</v>
      </c>
      <c r="B11" s="7">
        <v>46231</v>
      </c>
      <c r="C11" s="8"/>
      <c r="D11" s="3"/>
      <c r="E11" s="5">
        <f>SUMIF(I150:I165,"&gt;=0",I150:I165)</f>
        <v>0</v>
      </c>
      <c r="F11" s="5">
        <f>COUNT(I150:I165)*2</f>
        <v>0</v>
      </c>
      <c r="G11" s="6" t="str">
        <f t="shared" si="0"/>
        <v/>
      </c>
      <c r="H11" s="5" t="str">
        <f t="shared" si="1"/>
        <v>Not Started</v>
      </c>
      <c r="I11" s="5">
        <f>COUNTIFS(H150:H165,"Critical",I150:I165,"&lt;2")+COUNTIFS(H150:H165,"High",I150:I165,"&lt;2")</f>
        <v>0</v>
      </c>
      <c r="J11" s="5">
        <f>COUNTIF(T150:T165,"In Progress")+COUNTIF(T150:T165,"Not Started")</f>
        <v>0</v>
      </c>
      <c r="K11" s="5">
        <f ca="1">COUNTIFS(P150:P165,"&lt;"&amp;TODAY(),Q150:Q165,"")</f>
        <v>0</v>
      </c>
      <c r="L11" s="3"/>
      <c r="M11" s="3"/>
      <c r="N11" s="3"/>
      <c r="O11" s="3"/>
    </row>
    <row r="12" spans="1:21" ht="28" customHeight="1" x14ac:dyDescent="0.35">
      <c r="A12" s="4" t="s">
        <v>25</v>
      </c>
      <c r="B12" s="7">
        <v>46262</v>
      </c>
      <c r="C12" s="8"/>
      <c r="D12" s="3"/>
      <c r="E12" s="5">
        <f>SUMIF(I171:I186,"&gt;=0",I171:I186)</f>
        <v>0</v>
      </c>
      <c r="F12" s="5">
        <f>COUNT(I171:I186)*2</f>
        <v>0</v>
      </c>
      <c r="G12" s="6" t="str">
        <f t="shared" si="0"/>
        <v/>
      </c>
      <c r="H12" s="5" t="str">
        <f t="shared" si="1"/>
        <v>Not Started</v>
      </c>
      <c r="I12" s="5">
        <f>COUNTIFS(H171:H186,"Critical",I171:I186,"&lt;2")+COUNTIFS(H171:H186,"High",I171:I186,"&lt;2")</f>
        <v>0</v>
      </c>
      <c r="J12" s="5">
        <f>COUNTIF(T171:T186,"In Progress")+COUNTIF(T171:T186,"Not Started")</f>
        <v>0</v>
      </c>
      <c r="K12" s="5">
        <f ca="1">COUNTIFS(P171:P186,"&lt;"&amp;TODAY(),Q171:Q186,"")</f>
        <v>0</v>
      </c>
      <c r="L12" s="3"/>
      <c r="M12" s="3"/>
      <c r="N12" s="3"/>
      <c r="O12" s="3"/>
    </row>
    <row r="13" spans="1:21" ht="28" customHeight="1" x14ac:dyDescent="0.35">
      <c r="A13" s="4" t="s">
        <v>26</v>
      </c>
      <c r="B13" s="7">
        <v>46293</v>
      </c>
      <c r="C13" s="8"/>
      <c r="D13" s="3"/>
      <c r="E13" s="5">
        <f>SUMIF(I192:I207,"&gt;=0",I192:I207)</f>
        <v>0</v>
      </c>
      <c r="F13" s="5">
        <f>COUNT(I192:I207)*2</f>
        <v>0</v>
      </c>
      <c r="G13" s="6" t="str">
        <f t="shared" si="0"/>
        <v/>
      </c>
      <c r="H13" s="5" t="str">
        <f t="shared" si="1"/>
        <v>Not Started</v>
      </c>
      <c r="I13" s="5">
        <f>COUNTIFS(H192:H207,"Critical",I192:I207,"&lt;2")+COUNTIFS(H192:H207,"High",I192:I207,"&lt;2")</f>
        <v>0</v>
      </c>
      <c r="J13" s="5">
        <f>COUNTIF(T192:T207,"In Progress")+COUNTIF(T192:T207,"Not Started")</f>
        <v>0</v>
      </c>
      <c r="K13" s="5">
        <f ca="1">COUNTIFS(P192:P207,"&lt;"&amp;TODAY(),Q192:Q207,"")</f>
        <v>0</v>
      </c>
      <c r="L13" s="3"/>
      <c r="M13" s="3"/>
      <c r="N13" s="3"/>
      <c r="O13" s="3"/>
    </row>
    <row r="14" spans="1:21" ht="28" customHeight="1" x14ac:dyDescent="0.35">
      <c r="A14" s="4" t="s">
        <v>27</v>
      </c>
      <c r="B14" s="7">
        <v>46323</v>
      </c>
      <c r="C14" s="8"/>
      <c r="D14" s="3"/>
      <c r="E14" s="5">
        <f>SUMIF(I213:I228,"&gt;=0",I213:I228)</f>
        <v>0</v>
      </c>
      <c r="F14" s="5">
        <f>COUNT(I213:I228)*2</f>
        <v>0</v>
      </c>
      <c r="G14" s="6" t="str">
        <f t="shared" si="0"/>
        <v/>
      </c>
      <c r="H14" s="5" t="str">
        <f t="shared" si="1"/>
        <v>Not Started</v>
      </c>
      <c r="I14" s="5">
        <f>COUNTIFS(H213:H228,"Critical",I213:I228,"&lt;2")+COUNTIFS(H213:H228,"High",I213:I228,"&lt;2")</f>
        <v>0</v>
      </c>
      <c r="J14" s="5">
        <f>COUNTIF(T213:T228,"In Progress")+COUNTIF(T213:T228,"Not Started")</f>
        <v>0</v>
      </c>
      <c r="K14" s="5">
        <f ca="1">COUNTIFS(P213:P228,"&lt;"&amp;TODAY(),Q213:Q228,"")</f>
        <v>0</v>
      </c>
      <c r="L14" s="3"/>
      <c r="M14" s="3"/>
      <c r="N14" s="3"/>
      <c r="O14" s="3"/>
    </row>
    <row r="15" spans="1:21" ht="28" customHeight="1" x14ac:dyDescent="0.35">
      <c r="A15" s="4" t="s">
        <v>28</v>
      </c>
      <c r="B15" s="7">
        <v>46354</v>
      </c>
      <c r="C15" s="8"/>
      <c r="D15" s="3"/>
      <c r="E15" s="5">
        <f>SUMIF(I234:I249,"&gt;=0",I234:I249)</f>
        <v>0</v>
      </c>
      <c r="F15" s="5">
        <f>COUNT(I234:I249)*2</f>
        <v>0</v>
      </c>
      <c r="G15" s="6" t="str">
        <f t="shared" si="0"/>
        <v/>
      </c>
      <c r="H15" s="5" t="str">
        <f t="shared" si="1"/>
        <v>Not Started</v>
      </c>
      <c r="I15" s="5">
        <f>COUNTIFS(H234:H249,"Critical",I234:I249,"&lt;2")+COUNTIFS(H234:H249,"High",I234:I249,"&lt;2")</f>
        <v>0</v>
      </c>
      <c r="J15" s="5">
        <f>COUNTIF(T234:T249,"In Progress")+COUNTIF(T234:T249,"Not Started")</f>
        <v>0</v>
      </c>
      <c r="K15" s="5">
        <f ca="1">COUNTIFS(P234:P249,"&lt;"&amp;TODAY(),Q234:Q249,"")</f>
        <v>0</v>
      </c>
      <c r="L15" s="3"/>
      <c r="M15" s="3"/>
      <c r="N15" s="3"/>
      <c r="O15" s="3"/>
    </row>
    <row r="16" spans="1:21" ht="28" customHeight="1" x14ac:dyDescent="0.35">
      <c r="A16" s="4" t="s">
        <v>29</v>
      </c>
      <c r="B16" s="7">
        <v>46384</v>
      </c>
      <c r="C16" s="8"/>
      <c r="D16" s="3"/>
      <c r="E16" s="5">
        <f>SUMIF(I255:I270,"&gt;=0",I255:I270)</f>
        <v>0</v>
      </c>
      <c r="F16" s="5">
        <f>COUNT(I255:I270)*2</f>
        <v>0</v>
      </c>
      <c r="G16" s="6" t="str">
        <f t="shared" si="0"/>
        <v/>
      </c>
      <c r="H16" s="5" t="str">
        <f t="shared" si="1"/>
        <v>Not Started</v>
      </c>
      <c r="I16" s="5">
        <f>COUNTIFS(H255:H270,"Critical",I255:I270,"&lt;2")+COUNTIFS(H255:H270,"High",I255:I270,"&lt;2")</f>
        <v>0</v>
      </c>
      <c r="J16" s="5">
        <f>COUNTIF(T255:T270,"In Progress")+COUNTIF(T255:T270,"Not Started")</f>
        <v>0</v>
      </c>
      <c r="K16" s="5">
        <f ca="1">COUNTIFS(P255:P270,"&lt;"&amp;TODAY(),Q255:Q270,"")</f>
        <v>0</v>
      </c>
      <c r="L16" s="3"/>
      <c r="M16" s="3"/>
      <c r="N16" s="3"/>
      <c r="O16" s="3"/>
    </row>
    <row r="21" spans="1:21" ht="28" customHeight="1" x14ac:dyDescent="0.35">
      <c r="A21" s="19" t="s">
        <v>662</v>
      </c>
      <c r="B21" s="20"/>
      <c r="C21" s="20"/>
      <c r="D21" s="20"/>
      <c r="E21" s="20"/>
      <c r="F21" s="20"/>
      <c r="G21" s="20"/>
      <c r="H21" s="20"/>
      <c r="I21" s="20"/>
      <c r="J21" s="20"/>
      <c r="K21" s="20"/>
      <c r="L21" s="20"/>
      <c r="M21" s="20"/>
      <c r="N21" s="20"/>
      <c r="O21" s="20"/>
      <c r="P21" s="20"/>
      <c r="Q21" s="20"/>
      <c r="R21" s="20"/>
      <c r="S21" s="20"/>
      <c r="T21" s="20"/>
      <c r="U21" s="21"/>
    </row>
    <row r="22" spans="1:21" ht="28" customHeight="1" x14ac:dyDescent="0.35">
      <c r="A22" s="4" t="s">
        <v>31</v>
      </c>
      <c r="B22" s="3" t="s">
        <v>18</v>
      </c>
      <c r="C22" s="4" t="s">
        <v>32</v>
      </c>
      <c r="D22" s="3"/>
      <c r="E22" s="4" t="s">
        <v>33</v>
      </c>
      <c r="F22" s="8"/>
    </row>
    <row r="23" spans="1:21" ht="28" customHeight="1" x14ac:dyDescent="0.35">
      <c r="A23" s="1" t="s">
        <v>34</v>
      </c>
      <c r="B23" s="1" t="s">
        <v>35</v>
      </c>
      <c r="C23" s="1" t="s">
        <v>36</v>
      </c>
      <c r="D23" s="1" t="s">
        <v>37</v>
      </c>
      <c r="E23" s="1" t="s">
        <v>38</v>
      </c>
      <c r="F23" s="1" t="s">
        <v>39</v>
      </c>
      <c r="G23" s="1" t="s">
        <v>40</v>
      </c>
      <c r="H23" s="1" t="s">
        <v>41</v>
      </c>
      <c r="I23" s="1" t="s">
        <v>42</v>
      </c>
      <c r="J23" s="1" t="s">
        <v>43</v>
      </c>
      <c r="K23" s="1" t="s">
        <v>44</v>
      </c>
      <c r="L23" s="1" t="s">
        <v>45</v>
      </c>
      <c r="M23" s="1" t="s">
        <v>46</v>
      </c>
      <c r="N23" s="1" t="s">
        <v>47</v>
      </c>
      <c r="O23" s="1" t="s">
        <v>48</v>
      </c>
      <c r="P23" s="1" t="s">
        <v>4</v>
      </c>
      <c r="Q23" s="1" t="s">
        <v>49</v>
      </c>
      <c r="R23" s="1" t="s">
        <v>50</v>
      </c>
      <c r="S23" s="1" t="s">
        <v>51</v>
      </c>
      <c r="T23" s="1" t="s">
        <v>52</v>
      </c>
      <c r="U23" s="1" t="s">
        <v>10</v>
      </c>
    </row>
    <row r="24" spans="1:21" ht="28" customHeight="1" x14ac:dyDescent="0.35">
      <c r="A24" s="4">
        <v>1</v>
      </c>
      <c r="B24" s="4" t="s">
        <v>53</v>
      </c>
      <c r="C24" s="4" t="s">
        <v>663</v>
      </c>
      <c r="D24" s="4" t="s">
        <v>664</v>
      </c>
      <c r="E24" s="4" t="s">
        <v>56</v>
      </c>
      <c r="F24" s="4" t="s">
        <v>57</v>
      </c>
      <c r="G24" s="4" t="s">
        <v>58</v>
      </c>
      <c r="H24" s="4" t="s">
        <v>59</v>
      </c>
      <c r="I24" s="3"/>
      <c r="J24" s="3"/>
      <c r="K24" s="3"/>
      <c r="L24" s="3"/>
      <c r="M24" s="3"/>
      <c r="N24" s="3"/>
      <c r="O24" s="3"/>
      <c r="P24" s="8"/>
      <c r="Q24" s="8"/>
      <c r="R24" s="3"/>
      <c r="S24" s="3"/>
      <c r="T24" s="3"/>
      <c r="U24" s="5" t="str">
        <f t="shared" ref="U24:U39" si="2">IF(I24="","",IF(I24="NA","Grey",IF(I24=2,"Green",IF(I24=1,"Amber","Red"))))</f>
        <v/>
      </c>
    </row>
    <row r="25" spans="1:21" ht="28" customHeight="1" x14ac:dyDescent="0.35">
      <c r="A25" s="4">
        <v>2</v>
      </c>
      <c r="B25" s="4" t="s">
        <v>53</v>
      </c>
      <c r="C25" s="4" t="s">
        <v>665</v>
      </c>
      <c r="D25" s="4" t="s">
        <v>666</v>
      </c>
      <c r="E25" s="4" t="s">
        <v>56</v>
      </c>
      <c r="F25" s="4" t="s">
        <v>57</v>
      </c>
      <c r="G25" s="4" t="s">
        <v>58</v>
      </c>
      <c r="H25" s="4" t="s">
        <v>59</v>
      </c>
      <c r="I25" s="3"/>
      <c r="J25" s="3"/>
      <c r="K25" s="3"/>
      <c r="L25" s="3"/>
      <c r="M25" s="3"/>
      <c r="N25" s="3"/>
      <c r="O25" s="3"/>
      <c r="P25" s="8"/>
      <c r="Q25" s="8"/>
      <c r="R25" s="3"/>
      <c r="S25" s="3"/>
      <c r="T25" s="3"/>
      <c r="U25" s="5" t="str">
        <f t="shared" si="2"/>
        <v/>
      </c>
    </row>
    <row r="26" spans="1:21" ht="28" customHeight="1" x14ac:dyDescent="0.35">
      <c r="A26" s="4">
        <v>3</v>
      </c>
      <c r="B26" s="4" t="s">
        <v>53</v>
      </c>
      <c r="C26" s="4" t="s">
        <v>667</v>
      </c>
      <c r="D26" s="4" t="s">
        <v>668</v>
      </c>
      <c r="E26" s="4" t="s">
        <v>56</v>
      </c>
      <c r="F26" s="4" t="s">
        <v>57</v>
      </c>
      <c r="G26" s="4" t="s">
        <v>58</v>
      </c>
      <c r="H26" s="4" t="s">
        <v>59</v>
      </c>
      <c r="I26" s="3"/>
      <c r="J26" s="3"/>
      <c r="K26" s="3"/>
      <c r="L26" s="3"/>
      <c r="M26" s="3"/>
      <c r="N26" s="3"/>
      <c r="O26" s="3"/>
      <c r="P26" s="8"/>
      <c r="Q26" s="8"/>
      <c r="R26" s="3"/>
      <c r="S26" s="3"/>
      <c r="T26" s="3"/>
      <c r="U26" s="5" t="str">
        <f t="shared" si="2"/>
        <v/>
      </c>
    </row>
    <row r="27" spans="1:21" ht="28" customHeight="1" x14ac:dyDescent="0.35">
      <c r="A27" s="4">
        <v>4</v>
      </c>
      <c r="B27" s="4" t="s">
        <v>53</v>
      </c>
      <c r="C27" s="4" t="s">
        <v>669</v>
      </c>
      <c r="D27" s="4" t="s">
        <v>670</v>
      </c>
      <c r="E27" s="4" t="s">
        <v>56</v>
      </c>
      <c r="F27" s="4" t="s">
        <v>57</v>
      </c>
      <c r="G27" s="4" t="s">
        <v>58</v>
      </c>
      <c r="H27" s="4" t="s">
        <v>59</v>
      </c>
      <c r="I27" s="3"/>
      <c r="J27" s="3"/>
      <c r="K27" s="3"/>
      <c r="L27" s="3"/>
      <c r="M27" s="3"/>
      <c r="N27" s="3"/>
      <c r="O27" s="3"/>
      <c r="P27" s="8"/>
      <c r="Q27" s="8"/>
      <c r="R27" s="3"/>
      <c r="S27" s="3"/>
      <c r="T27" s="3"/>
      <c r="U27" s="5" t="str">
        <f t="shared" si="2"/>
        <v/>
      </c>
    </row>
    <row r="28" spans="1:21" ht="28" customHeight="1" x14ac:dyDescent="0.35">
      <c r="A28" s="4">
        <v>5</v>
      </c>
      <c r="B28" s="4" t="s">
        <v>66</v>
      </c>
      <c r="C28" s="4" t="s">
        <v>67</v>
      </c>
      <c r="D28" s="4" t="s">
        <v>68</v>
      </c>
      <c r="E28" s="4" t="s">
        <v>69</v>
      </c>
      <c r="F28" s="4" t="s">
        <v>57</v>
      </c>
      <c r="G28" s="4" t="s">
        <v>58</v>
      </c>
      <c r="H28" s="4" t="s">
        <v>59</v>
      </c>
      <c r="I28" s="3"/>
      <c r="J28" s="3"/>
      <c r="K28" s="3"/>
      <c r="L28" s="3"/>
      <c r="M28" s="3"/>
      <c r="N28" s="3"/>
      <c r="O28" s="3"/>
      <c r="P28" s="8"/>
      <c r="Q28" s="8"/>
      <c r="R28" s="3"/>
      <c r="S28" s="3"/>
      <c r="T28" s="3"/>
      <c r="U28" s="5" t="str">
        <f t="shared" si="2"/>
        <v/>
      </c>
    </row>
    <row r="29" spans="1:21" ht="28" customHeight="1" x14ac:dyDescent="0.35">
      <c r="A29" s="4">
        <v>6</v>
      </c>
      <c r="B29" s="4" t="s">
        <v>70</v>
      </c>
      <c r="C29" s="4" t="s">
        <v>71</v>
      </c>
      <c r="D29" s="4" t="s">
        <v>72</v>
      </c>
      <c r="E29" s="4" t="s">
        <v>70</v>
      </c>
      <c r="F29" s="4" t="s">
        <v>57</v>
      </c>
      <c r="G29" s="4" t="s">
        <v>58</v>
      </c>
      <c r="H29" s="4" t="s">
        <v>59</v>
      </c>
      <c r="I29" s="3"/>
      <c r="J29" s="3"/>
      <c r="K29" s="3"/>
      <c r="L29" s="3"/>
      <c r="M29" s="3"/>
      <c r="N29" s="3"/>
      <c r="O29" s="3"/>
      <c r="P29" s="8"/>
      <c r="Q29" s="8"/>
      <c r="R29" s="3"/>
      <c r="S29" s="3"/>
      <c r="T29" s="3"/>
      <c r="U29" s="5" t="str">
        <f t="shared" si="2"/>
        <v/>
      </c>
    </row>
    <row r="30" spans="1:21" ht="28" customHeight="1" x14ac:dyDescent="0.35">
      <c r="A30" s="4">
        <v>7</v>
      </c>
      <c r="B30" s="4" t="s">
        <v>73</v>
      </c>
      <c r="C30" s="4" t="s">
        <v>74</v>
      </c>
      <c r="D30" s="4" t="s">
        <v>75</v>
      </c>
      <c r="E30" s="4" t="s">
        <v>69</v>
      </c>
      <c r="F30" s="4" t="s">
        <v>57</v>
      </c>
      <c r="G30" s="4" t="s">
        <v>58</v>
      </c>
      <c r="H30" s="4" t="s">
        <v>76</v>
      </c>
      <c r="I30" s="3"/>
      <c r="J30" s="3"/>
      <c r="K30" s="3"/>
      <c r="L30" s="3"/>
      <c r="M30" s="3"/>
      <c r="N30" s="3"/>
      <c r="O30" s="3"/>
      <c r="P30" s="8"/>
      <c r="Q30" s="8"/>
      <c r="R30" s="3"/>
      <c r="S30" s="3"/>
      <c r="T30" s="3"/>
      <c r="U30" s="5" t="str">
        <f t="shared" si="2"/>
        <v/>
      </c>
    </row>
    <row r="31" spans="1:21" ht="28" customHeight="1" x14ac:dyDescent="0.35">
      <c r="A31" s="4">
        <v>8</v>
      </c>
      <c r="B31" s="4" t="s">
        <v>77</v>
      </c>
      <c r="C31" s="4" t="s">
        <v>78</v>
      </c>
      <c r="D31" s="4" t="s">
        <v>79</v>
      </c>
      <c r="E31" s="4" t="s">
        <v>80</v>
      </c>
      <c r="F31" s="4" t="s">
        <v>57</v>
      </c>
      <c r="G31" s="4" t="s">
        <v>58</v>
      </c>
      <c r="H31" s="4" t="s">
        <v>59</v>
      </c>
      <c r="I31" s="3"/>
      <c r="J31" s="3"/>
      <c r="K31" s="3"/>
      <c r="L31" s="3"/>
      <c r="M31" s="3"/>
      <c r="N31" s="3"/>
      <c r="O31" s="3"/>
      <c r="P31" s="8"/>
      <c r="Q31" s="8"/>
      <c r="R31" s="3"/>
      <c r="S31" s="3"/>
      <c r="T31" s="3"/>
      <c r="U31" s="5" t="str">
        <f t="shared" si="2"/>
        <v/>
      </c>
    </row>
    <row r="32" spans="1:21" ht="28" customHeight="1" x14ac:dyDescent="0.35">
      <c r="A32" s="4">
        <v>9</v>
      </c>
      <c r="B32" s="4" t="s">
        <v>81</v>
      </c>
      <c r="C32" s="4" t="s">
        <v>82</v>
      </c>
      <c r="D32" s="4" t="s">
        <v>83</v>
      </c>
      <c r="E32" s="4" t="s">
        <v>84</v>
      </c>
      <c r="F32" s="4" t="s">
        <v>57</v>
      </c>
      <c r="G32" s="4" t="s">
        <v>58</v>
      </c>
      <c r="H32" s="4" t="s">
        <v>85</v>
      </c>
      <c r="I32" s="3"/>
      <c r="J32" s="3"/>
      <c r="K32" s="3"/>
      <c r="L32" s="3"/>
      <c r="M32" s="3"/>
      <c r="N32" s="3"/>
      <c r="O32" s="3"/>
      <c r="P32" s="8"/>
      <c r="Q32" s="8"/>
      <c r="R32" s="3"/>
      <c r="S32" s="3"/>
      <c r="T32" s="3"/>
      <c r="U32" s="5" t="str">
        <f t="shared" si="2"/>
        <v/>
      </c>
    </row>
    <row r="33" spans="1:21" ht="28" customHeight="1" x14ac:dyDescent="0.35">
      <c r="A33" s="4">
        <v>10</v>
      </c>
      <c r="B33" s="4" t="s">
        <v>86</v>
      </c>
      <c r="C33" s="4" t="s">
        <v>87</v>
      </c>
      <c r="D33" s="4" t="s">
        <v>88</v>
      </c>
      <c r="E33" s="4" t="s">
        <v>69</v>
      </c>
      <c r="F33" s="4" t="s">
        <v>57</v>
      </c>
      <c r="G33" s="4" t="s">
        <v>58</v>
      </c>
      <c r="H33" s="4" t="s">
        <v>59</v>
      </c>
      <c r="I33" s="3"/>
      <c r="J33" s="3"/>
      <c r="K33" s="3"/>
      <c r="L33" s="3"/>
      <c r="M33" s="3"/>
      <c r="N33" s="3"/>
      <c r="O33" s="3"/>
      <c r="P33" s="8"/>
      <c r="Q33" s="8"/>
      <c r="R33" s="3"/>
      <c r="S33" s="3"/>
      <c r="T33" s="3"/>
      <c r="U33" s="5" t="str">
        <f t="shared" si="2"/>
        <v/>
      </c>
    </row>
    <row r="34" spans="1:21" ht="28" customHeight="1" x14ac:dyDescent="0.35">
      <c r="A34" s="4">
        <v>11</v>
      </c>
      <c r="B34" s="4" t="s">
        <v>89</v>
      </c>
      <c r="C34" s="4" t="s">
        <v>90</v>
      </c>
      <c r="D34" s="4" t="s">
        <v>91</v>
      </c>
      <c r="E34" s="4" t="s">
        <v>84</v>
      </c>
      <c r="F34" s="4" t="s">
        <v>57</v>
      </c>
      <c r="G34" s="4" t="s">
        <v>58</v>
      </c>
      <c r="H34" s="4" t="s">
        <v>59</v>
      </c>
      <c r="I34" s="3"/>
      <c r="J34" s="3"/>
      <c r="K34" s="3"/>
      <c r="L34" s="3"/>
      <c r="M34" s="3"/>
      <c r="N34" s="3"/>
      <c r="O34" s="3"/>
      <c r="P34" s="8"/>
      <c r="Q34" s="8"/>
      <c r="R34" s="3"/>
      <c r="S34" s="3"/>
      <c r="T34" s="3"/>
      <c r="U34" s="5" t="str">
        <f t="shared" si="2"/>
        <v/>
      </c>
    </row>
    <row r="35" spans="1:21" ht="28" customHeight="1" x14ac:dyDescent="0.35">
      <c r="A35" s="4">
        <v>12</v>
      </c>
      <c r="B35" s="4" t="s">
        <v>92</v>
      </c>
      <c r="C35" s="4" t="s">
        <v>93</v>
      </c>
      <c r="D35" s="4" t="s">
        <v>94</v>
      </c>
      <c r="E35" s="4" t="s">
        <v>69</v>
      </c>
      <c r="F35" s="4" t="s">
        <v>95</v>
      </c>
      <c r="G35" s="4" t="s">
        <v>96</v>
      </c>
      <c r="H35" s="4" t="s">
        <v>59</v>
      </c>
      <c r="I35" s="3"/>
      <c r="J35" s="3"/>
      <c r="K35" s="3"/>
      <c r="L35" s="3"/>
      <c r="M35" s="3"/>
      <c r="N35" s="3"/>
      <c r="O35" s="3"/>
      <c r="P35" s="8"/>
      <c r="Q35" s="8"/>
      <c r="R35" s="3"/>
      <c r="S35" s="3"/>
      <c r="T35" s="3"/>
      <c r="U35" s="5" t="str">
        <f t="shared" si="2"/>
        <v/>
      </c>
    </row>
    <row r="36" spans="1:21" ht="28" customHeight="1" x14ac:dyDescent="0.35">
      <c r="A36" s="4">
        <v>13</v>
      </c>
      <c r="B36" s="4" t="s">
        <v>97</v>
      </c>
      <c r="C36" s="4" t="s">
        <v>98</v>
      </c>
      <c r="D36" s="4" t="s">
        <v>99</v>
      </c>
      <c r="E36" s="4" t="s">
        <v>69</v>
      </c>
      <c r="F36" s="4" t="s">
        <v>95</v>
      </c>
      <c r="G36" s="4" t="s">
        <v>96</v>
      </c>
      <c r="H36" s="4" t="s">
        <v>59</v>
      </c>
      <c r="I36" s="3"/>
      <c r="J36" s="3"/>
      <c r="K36" s="3"/>
      <c r="L36" s="3"/>
      <c r="M36" s="3"/>
      <c r="N36" s="3"/>
      <c r="O36" s="3"/>
      <c r="P36" s="8"/>
      <c r="Q36" s="8"/>
      <c r="R36" s="3"/>
      <c r="S36" s="3"/>
      <c r="T36" s="3"/>
      <c r="U36" s="5" t="str">
        <f t="shared" si="2"/>
        <v/>
      </c>
    </row>
    <row r="37" spans="1:21" ht="28" customHeight="1" x14ac:dyDescent="0.35">
      <c r="A37" s="4">
        <v>14</v>
      </c>
      <c r="B37" s="4" t="s">
        <v>97</v>
      </c>
      <c r="C37" s="4" t="s">
        <v>100</v>
      </c>
      <c r="D37" s="4" t="s">
        <v>101</v>
      </c>
      <c r="E37" s="4" t="s">
        <v>69</v>
      </c>
      <c r="F37" s="4" t="s">
        <v>95</v>
      </c>
      <c r="G37" s="4" t="s">
        <v>102</v>
      </c>
      <c r="H37" s="4" t="s">
        <v>59</v>
      </c>
      <c r="I37" s="3"/>
      <c r="J37" s="3"/>
      <c r="K37" s="3"/>
      <c r="L37" s="3"/>
      <c r="M37" s="3"/>
      <c r="N37" s="3"/>
      <c r="O37" s="3"/>
      <c r="P37" s="8"/>
      <c r="Q37" s="8"/>
      <c r="R37" s="3"/>
      <c r="S37" s="3"/>
      <c r="T37" s="3"/>
      <c r="U37" s="5" t="str">
        <f t="shared" si="2"/>
        <v/>
      </c>
    </row>
    <row r="38" spans="1:21" ht="28" customHeight="1" x14ac:dyDescent="0.35">
      <c r="A38" s="4">
        <v>15</v>
      </c>
      <c r="B38" s="4" t="s">
        <v>103</v>
      </c>
      <c r="C38" s="4" t="s">
        <v>104</v>
      </c>
      <c r="D38" s="4" t="s">
        <v>105</v>
      </c>
      <c r="E38" s="4" t="s">
        <v>69</v>
      </c>
      <c r="F38" s="4" t="s">
        <v>95</v>
      </c>
      <c r="G38" s="4" t="s">
        <v>96</v>
      </c>
      <c r="H38" s="4" t="s">
        <v>85</v>
      </c>
      <c r="I38" s="3"/>
      <c r="J38" s="3"/>
      <c r="K38" s="3"/>
      <c r="L38" s="3"/>
      <c r="M38" s="3"/>
      <c r="N38" s="3"/>
      <c r="O38" s="3"/>
      <c r="P38" s="8"/>
      <c r="Q38" s="8"/>
      <c r="R38" s="3"/>
      <c r="S38" s="3"/>
      <c r="T38" s="3"/>
      <c r="U38" s="5" t="str">
        <f t="shared" si="2"/>
        <v/>
      </c>
    </row>
    <row r="39" spans="1:21" ht="28" customHeight="1" x14ac:dyDescent="0.35">
      <c r="A39" s="4">
        <v>16</v>
      </c>
      <c r="B39" s="4" t="s">
        <v>106</v>
      </c>
      <c r="C39" s="4" t="s">
        <v>107</v>
      </c>
      <c r="D39" s="4" t="s">
        <v>108</v>
      </c>
      <c r="E39" s="4" t="s">
        <v>109</v>
      </c>
      <c r="F39" s="4" t="s">
        <v>95</v>
      </c>
      <c r="G39" s="4" t="s">
        <v>96</v>
      </c>
      <c r="H39" s="4" t="s">
        <v>59</v>
      </c>
      <c r="I39" s="3"/>
      <c r="J39" s="3"/>
      <c r="K39" s="3"/>
      <c r="L39" s="3"/>
      <c r="M39" s="3"/>
      <c r="N39" s="3"/>
      <c r="O39" s="3"/>
      <c r="P39" s="8"/>
      <c r="Q39" s="8"/>
      <c r="R39" s="3"/>
      <c r="S39" s="3"/>
      <c r="T39" s="3"/>
      <c r="U39" s="5" t="str">
        <f t="shared" si="2"/>
        <v/>
      </c>
    </row>
    <row r="41" spans="1:21" ht="28" customHeight="1" x14ac:dyDescent="0.35">
      <c r="A41" s="9" t="s">
        <v>110</v>
      </c>
      <c r="B41" s="16"/>
      <c r="C41" s="17"/>
      <c r="D41" s="17"/>
      <c r="E41" s="17"/>
      <c r="F41" s="17"/>
      <c r="G41" s="17"/>
      <c r="H41" s="17"/>
      <c r="I41" s="17"/>
      <c r="J41" s="17"/>
      <c r="K41" s="17"/>
      <c r="L41" s="17"/>
      <c r="M41" s="17"/>
      <c r="N41" s="17"/>
      <c r="O41" s="17"/>
      <c r="P41" s="17"/>
      <c r="Q41" s="17"/>
      <c r="R41" s="17"/>
      <c r="S41" s="17"/>
      <c r="T41" s="17"/>
      <c r="U41" s="18"/>
    </row>
    <row r="42" spans="1:21" ht="28" customHeight="1" x14ac:dyDescent="0.35">
      <c r="A42" s="19" t="s">
        <v>671</v>
      </c>
      <c r="B42" s="20"/>
      <c r="C42" s="20"/>
      <c r="D42" s="20"/>
      <c r="E42" s="20"/>
      <c r="F42" s="20"/>
      <c r="G42" s="20"/>
      <c r="H42" s="20"/>
      <c r="I42" s="20"/>
      <c r="J42" s="20"/>
      <c r="K42" s="20"/>
      <c r="L42" s="20"/>
      <c r="M42" s="20"/>
      <c r="N42" s="20"/>
      <c r="O42" s="20"/>
      <c r="P42" s="20"/>
      <c r="Q42" s="20"/>
      <c r="R42" s="20"/>
      <c r="S42" s="20"/>
      <c r="T42" s="20"/>
      <c r="U42" s="21"/>
    </row>
    <row r="43" spans="1:21" ht="28" customHeight="1" x14ac:dyDescent="0.35">
      <c r="A43" s="4" t="s">
        <v>31</v>
      </c>
      <c r="B43" s="3" t="s">
        <v>19</v>
      </c>
      <c r="C43" s="4" t="s">
        <v>32</v>
      </c>
      <c r="D43" s="3"/>
      <c r="E43" s="4" t="s">
        <v>33</v>
      </c>
      <c r="F43" s="8"/>
    </row>
    <row r="44" spans="1:21" ht="28" customHeight="1" x14ac:dyDescent="0.35">
      <c r="A44" s="1" t="s">
        <v>34</v>
      </c>
      <c r="B44" s="1" t="s">
        <v>35</v>
      </c>
      <c r="C44" s="1" t="s">
        <v>36</v>
      </c>
      <c r="D44" s="1" t="s">
        <v>37</v>
      </c>
      <c r="E44" s="1" t="s">
        <v>38</v>
      </c>
      <c r="F44" s="1" t="s">
        <v>39</v>
      </c>
      <c r="G44" s="1" t="s">
        <v>40</v>
      </c>
      <c r="H44" s="1" t="s">
        <v>41</v>
      </c>
      <c r="I44" s="1" t="s">
        <v>42</v>
      </c>
      <c r="J44" s="1" t="s">
        <v>43</v>
      </c>
      <c r="K44" s="1" t="s">
        <v>44</v>
      </c>
      <c r="L44" s="1" t="s">
        <v>45</v>
      </c>
      <c r="M44" s="1" t="s">
        <v>46</v>
      </c>
      <c r="N44" s="1" t="s">
        <v>47</v>
      </c>
      <c r="O44" s="1" t="s">
        <v>48</v>
      </c>
      <c r="P44" s="1" t="s">
        <v>4</v>
      </c>
      <c r="Q44" s="1" t="s">
        <v>49</v>
      </c>
      <c r="R44" s="1" t="s">
        <v>50</v>
      </c>
      <c r="S44" s="1" t="s">
        <v>51</v>
      </c>
      <c r="T44" s="1" t="s">
        <v>52</v>
      </c>
      <c r="U44" s="1" t="s">
        <v>10</v>
      </c>
    </row>
    <row r="45" spans="1:21" ht="28" customHeight="1" x14ac:dyDescent="0.35">
      <c r="A45" s="4">
        <v>1</v>
      </c>
      <c r="B45" s="4" t="s">
        <v>53</v>
      </c>
      <c r="C45" s="4" t="s">
        <v>663</v>
      </c>
      <c r="D45" s="4" t="s">
        <v>664</v>
      </c>
      <c r="E45" s="4" t="s">
        <v>56</v>
      </c>
      <c r="F45" s="4" t="s">
        <v>57</v>
      </c>
      <c r="G45" s="4" t="s">
        <v>58</v>
      </c>
      <c r="H45" s="4" t="s">
        <v>59</v>
      </c>
      <c r="I45" s="3"/>
      <c r="J45" s="3"/>
      <c r="K45" s="3"/>
      <c r="L45" s="3"/>
      <c r="M45" s="3"/>
      <c r="N45" s="3"/>
      <c r="O45" s="3"/>
      <c r="P45" s="8"/>
      <c r="Q45" s="8"/>
      <c r="R45" s="3"/>
      <c r="S45" s="3"/>
      <c r="T45" s="3"/>
      <c r="U45" s="5" t="str">
        <f t="shared" ref="U45:U60" si="3">IF(I45="","",IF(I45="NA","Grey",IF(I45=2,"Green",IF(I45=1,"Amber","Red"))))</f>
        <v/>
      </c>
    </row>
    <row r="46" spans="1:21" ht="28" customHeight="1" x14ac:dyDescent="0.35">
      <c r="A46" s="4">
        <v>2</v>
      </c>
      <c r="B46" s="4" t="s">
        <v>53</v>
      </c>
      <c r="C46" s="4" t="s">
        <v>665</v>
      </c>
      <c r="D46" s="4" t="s">
        <v>666</v>
      </c>
      <c r="E46" s="4" t="s">
        <v>56</v>
      </c>
      <c r="F46" s="4" t="s">
        <v>57</v>
      </c>
      <c r="G46" s="4" t="s">
        <v>58</v>
      </c>
      <c r="H46" s="4" t="s">
        <v>59</v>
      </c>
      <c r="I46" s="3"/>
      <c r="J46" s="3"/>
      <c r="K46" s="3"/>
      <c r="L46" s="3"/>
      <c r="M46" s="3"/>
      <c r="N46" s="3"/>
      <c r="O46" s="3"/>
      <c r="P46" s="8"/>
      <c r="Q46" s="8"/>
      <c r="R46" s="3"/>
      <c r="S46" s="3"/>
      <c r="T46" s="3"/>
      <c r="U46" s="5" t="str">
        <f t="shared" si="3"/>
        <v/>
      </c>
    </row>
    <row r="47" spans="1:21" ht="28" customHeight="1" x14ac:dyDescent="0.35">
      <c r="A47" s="4">
        <v>3</v>
      </c>
      <c r="B47" s="4" t="s">
        <v>53</v>
      </c>
      <c r="C47" s="4" t="s">
        <v>667</v>
      </c>
      <c r="D47" s="4" t="s">
        <v>668</v>
      </c>
      <c r="E47" s="4" t="s">
        <v>56</v>
      </c>
      <c r="F47" s="4" t="s">
        <v>57</v>
      </c>
      <c r="G47" s="4" t="s">
        <v>58</v>
      </c>
      <c r="H47" s="4" t="s">
        <v>59</v>
      </c>
      <c r="I47" s="3"/>
      <c r="J47" s="3"/>
      <c r="K47" s="3"/>
      <c r="L47" s="3"/>
      <c r="M47" s="3"/>
      <c r="N47" s="3"/>
      <c r="O47" s="3"/>
      <c r="P47" s="8"/>
      <c r="Q47" s="8"/>
      <c r="R47" s="3"/>
      <c r="S47" s="3"/>
      <c r="T47" s="3"/>
      <c r="U47" s="5" t="str">
        <f t="shared" si="3"/>
        <v/>
      </c>
    </row>
    <row r="48" spans="1:21" ht="28" customHeight="1" x14ac:dyDescent="0.35">
      <c r="A48" s="4">
        <v>4</v>
      </c>
      <c r="B48" s="4" t="s">
        <v>53</v>
      </c>
      <c r="C48" s="4" t="s">
        <v>669</v>
      </c>
      <c r="D48" s="4" t="s">
        <v>670</v>
      </c>
      <c r="E48" s="4" t="s">
        <v>56</v>
      </c>
      <c r="F48" s="4" t="s">
        <v>57</v>
      </c>
      <c r="G48" s="4" t="s">
        <v>58</v>
      </c>
      <c r="H48" s="4" t="s">
        <v>59</v>
      </c>
      <c r="I48" s="3"/>
      <c r="J48" s="3"/>
      <c r="K48" s="3"/>
      <c r="L48" s="3"/>
      <c r="M48" s="3"/>
      <c r="N48" s="3"/>
      <c r="O48" s="3"/>
      <c r="P48" s="8"/>
      <c r="Q48" s="8"/>
      <c r="R48" s="3"/>
      <c r="S48" s="3"/>
      <c r="T48" s="3"/>
      <c r="U48" s="5" t="str">
        <f t="shared" si="3"/>
        <v/>
      </c>
    </row>
    <row r="49" spans="1:21" ht="28" customHeight="1" x14ac:dyDescent="0.35">
      <c r="A49" s="4">
        <v>5</v>
      </c>
      <c r="B49" s="4" t="s">
        <v>66</v>
      </c>
      <c r="C49" s="4" t="s">
        <v>67</v>
      </c>
      <c r="D49" s="4" t="s">
        <v>68</v>
      </c>
      <c r="E49" s="4" t="s">
        <v>69</v>
      </c>
      <c r="F49" s="4" t="s">
        <v>57</v>
      </c>
      <c r="G49" s="4" t="s">
        <v>58</v>
      </c>
      <c r="H49" s="4" t="s">
        <v>59</v>
      </c>
      <c r="I49" s="3"/>
      <c r="J49" s="3"/>
      <c r="K49" s="3"/>
      <c r="L49" s="3"/>
      <c r="M49" s="3"/>
      <c r="N49" s="3"/>
      <c r="O49" s="3"/>
      <c r="P49" s="8"/>
      <c r="Q49" s="8"/>
      <c r="R49" s="3"/>
      <c r="S49" s="3"/>
      <c r="T49" s="3"/>
      <c r="U49" s="5" t="str">
        <f t="shared" si="3"/>
        <v/>
      </c>
    </row>
    <row r="50" spans="1:21" ht="28" customHeight="1" x14ac:dyDescent="0.35">
      <c r="A50" s="4">
        <v>6</v>
      </c>
      <c r="B50" s="4" t="s">
        <v>70</v>
      </c>
      <c r="C50" s="4" t="s">
        <v>71</v>
      </c>
      <c r="D50" s="4" t="s">
        <v>72</v>
      </c>
      <c r="E50" s="4" t="s">
        <v>70</v>
      </c>
      <c r="F50" s="4" t="s">
        <v>57</v>
      </c>
      <c r="G50" s="4" t="s">
        <v>58</v>
      </c>
      <c r="H50" s="4" t="s">
        <v>59</v>
      </c>
      <c r="I50" s="3"/>
      <c r="J50" s="3"/>
      <c r="K50" s="3"/>
      <c r="L50" s="3"/>
      <c r="M50" s="3"/>
      <c r="N50" s="3"/>
      <c r="O50" s="3"/>
      <c r="P50" s="8"/>
      <c r="Q50" s="8"/>
      <c r="R50" s="3"/>
      <c r="S50" s="3"/>
      <c r="T50" s="3"/>
      <c r="U50" s="5" t="str">
        <f t="shared" si="3"/>
        <v/>
      </c>
    </row>
    <row r="51" spans="1:21" ht="28" customHeight="1" x14ac:dyDescent="0.35">
      <c r="A51" s="4">
        <v>7</v>
      </c>
      <c r="B51" s="4" t="s">
        <v>73</v>
      </c>
      <c r="C51" s="4" t="s">
        <v>74</v>
      </c>
      <c r="D51" s="4" t="s">
        <v>75</v>
      </c>
      <c r="E51" s="4" t="s">
        <v>69</v>
      </c>
      <c r="F51" s="4" t="s">
        <v>57</v>
      </c>
      <c r="G51" s="4" t="s">
        <v>58</v>
      </c>
      <c r="H51" s="4" t="s">
        <v>76</v>
      </c>
      <c r="I51" s="3"/>
      <c r="J51" s="3"/>
      <c r="K51" s="3"/>
      <c r="L51" s="3"/>
      <c r="M51" s="3"/>
      <c r="N51" s="3"/>
      <c r="O51" s="3"/>
      <c r="P51" s="8"/>
      <c r="Q51" s="8"/>
      <c r="R51" s="3"/>
      <c r="S51" s="3"/>
      <c r="T51" s="3"/>
      <c r="U51" s="5" t="str">
        <f t="shared" si="3"/>
        <v/>
      </c>
    </row>
    <row r="52" spans="1:21" ht="28" customHeight="1" x14ac:dyDescent="0.35">
      <c r="A52" s="4">
        <v>8</v>
      </c>
      <c r="B52" s="4" t="s">
        <v>77</v>
      </c>
      <c r="C52" s="4" t="s">
        <v>78</v>
      </c>
      <c r="D52" s="4" t="s">
        <v>79</v>
      </c>
      <c r="E52" s="4" t="s">
        <v>80</v>
      </c>
      <c r="F52" s="4" t="s">
        <v>57</v>
      </c>
      <c r="G52" s="4" t="s">
        <v>58</v>
      </c>
      <c r="H52" s="4" t="s">
        <v>59</v>
      </c>
      <c r="I52" s="3"/>
      <c r="J52" s="3"/>
      <c r="K52" s="3"/>
      <c r="L52" s="3"/>
      <c r="M52" s="3"/>
      <c r="N52" s="3"/>
      <c r="O52" s="3"/>
      <c r="P52" s="8"/>
      <c r="Q52" s="8"/>
      <c r="R52" s="3"/>
      <c r="S52" s="3"/>
      <c r="T52" s="3"/>
      <c r="U52" s="5" t="str">
        <f t="shared" si="3"/>
        <v/>
      </c>
    </row>
    <row r="53" spans="1:21" ht="28" customHeight="1" x14ac:dyDescent="0.35">
      <c r="A53" s="4">
        <v>9</v>
      </c>
      <c r="B53" s="4" t="s">
        <v>81</v>
      </c>
      <c r="C53" s="4" t="s">
        <v>82</v>
      </c>
      <c r="D53" s="4" t="s">
        <v>83</v>
      </c>
      <c r="E53" s="4" t="s">
        <v>84</v>
      </c>
      <c r="F53" s="4" t="s">
        <v>57</v>
      </c>
      <c r="G53" s="4" t="s">
        <v>58</v>
      </c>
      <c r="H53" s="4" t="s">
        <v>85</v>
      </c>
      <c r="I53" s="3"/>
      <c r="J53" s="3"/>
      <c r="K53" s="3"/>
      <c r="L53" s="3"/>
      <c r="M53" s="3"/>
      <c r="N53" s="3"/>
      <c r="O53" s="3"/>
      <c r="P53" s="8"/>
      <c r="Q53" s="8"/>
      <c r="R53" s="3"/>
      <c r="S53" s="3"/>
      <c r="T53" s="3"/>
      <c r="U53" s="5" t="str">
        <f t="shared" si="3"/>
        <v/>
      </c>
    </row>
    <row r="54" spans="1:21" ht="28" customHeight="1" x14ac:dyDescent="0.35">
      <c r="A54" s="4">
        <v>10</v>
      </c>
      <c r="B54" s="4" t="s">
        <v>86</v>
      </c>
      <c r="C54" s="4" t="s">
        <v>87</v>
      </c>
      <c r="D54" s="4" t="s">
        <v>88</v>
      </c>
      <c r="E54" s="4" t="s">
        <v>69</v>
      </c>
      <c r="F54" s="4" t="s">
        <v>57</v>
      </c>
      <c r="G54" s="4" t="s">
        <v>58</v>
      </c>
      <c r="H54" s="4" t="s">
        <v>59</v>
      </c>
      <c r="I54" s="3"/>
      <c r="J54" s="3"/>
      <c r="K54" s="3"/>
      <c r="L54" s="3"/>
      <c r="M54" s="3"/>
      <c r="N54" s="3"/>
      <c r="O54" s="3"/>
      <c r="P54" s="8"/>
      <c r="Q54" s="8"/>
      <c r="R54" s="3"/>
      <c r="S54" s="3"/>
      <c r="T54" s="3"/>
      <c r="U54" s="5" t="str">
        <f t="shared" si="3"/>
        <v/>
      </c>
    </row>
    <row r="55" spans="1:21" ht="28" customHeight="1" x14ac:dyDescent="0.35">
      <c r="A55" s="4">
        <v>11</v>
      </c>
      <c r="B55" s="4" t="s">
        <v>89</v>
      </c>
      <c r="C55" s="4" t="s">
        <v>90</v>
      </c>
      <c r="D55" s="4" t="s">
        <v>91</v>
      </c>
      <c r="E55" s="4" t="s">
        <v>84</v>
      </c>
      <c r="F55" s="4" t="s">
        <v>57</v>
      </c>
      <c r="G55" s="4" t="s">
        <v>58</v>
      </c>
      <c r="H55" s="4" t="s">
        <v>59</v>
      </c>
      <c r="I55" s="3"/>
      <c r="J55" s="3"/>
      <c r="K55" s="3"/>
      <c r="L55" s="3"/>
      <c r="M55" s="3"/>
      <c r="N55" s="3"/>
      <c r="O55" s="3"/>
      <c r="P55" s="8"/>
      <c r="Q55" s="8"/>
      <c r="R55" s="3"/>
      <c r="S55" s="3"/>
      <c r="T55" s="3"/>
      <c r="U55" s="5" t="str">
        <f t="shared" si="3"/>
        <v/>
      </c>
    </row>
    <row r="56" spans="1:21" ht="28" customHeight="1" x14ac:dyDescent="0.35">
      <c r="A56" s="4">
        <v>12</v>
      </c>
      <c r="B56" s="4" t="s">
        <v>92</v>
      </c>
      <c r="C56" s="4" t="s">
        <v>93</v>
      </c>
      <c r="D56" s="4" t="s">
        <v>94</v>
      </c>
      <c r="E56" s="4" t="s">
        <v>69</v>
      </c>
      <c r="F56" s="4" t="s">
        <v>95</v>
      </c>
      <c r="G56" s="4" t="s">
        <v>96</v>
      </c>
      <c r="H56" s="4" t="s">
        <v>59</v>
      </c>
      <c r="I56" s="3"/>
      <c r="J56" s="3"/>
      <c r="K56" s="3"/>
      <c r="L56" s="3"/>
      <c r="M56" s="3"/>
      <c r="N56" s="3"/>
      <c r="O56" s="3"/>
      <c r="P56" s="8"/>
      <c r="Q56" s="8"/>
      <c r="R56" s="3"/>
      <c r="S56" s="3"/>
      <c r="T56" s="3"/>
      <c r="U56" s="5" t="str">
        <f t="shared" si="3"/>
        <v/>
      </c>
    </row>
    <row r="57" spans="1:21" ht="28" customHeight="1" x14ac:dyDescent="0.35">
      <c r="A57" s="4">
        <v>13</v>
      </c>
      <c r="B57" s="4" t="s">
        <v>97</v>
      </c>
      <c r="C57" s="4" t="s">
        <v>98</v>
      </c>
      <c r="D57" s="4" t="s">
        <v>99</v>
      </c>
      <c r="E57" s="4" t="s">
        <v>69</v>
      </c>
      <c r="F57" s="4" t="s">
        <v>95</v>
      </c>
      <c r="G57" s="4" t="s">
        <v>96</v>
      </c>
      <c r="H57" s="4" t="s">
        <v>59</v>
      </c>
      <c r="I57" s="3"/>
      <c r="J57" s="3"/>
      <c r="K57" s="3"/>
      <c r="L57" s="3"/>
      <c r="M57" s="3"/>
      <c r="N57" s="3"/>
      <c r="O57" s="3"/>
      <c r="P57" s="8"/>
      <c r="Q57" s="8"/>
      <c r="R57" s="3"/>
      <c r="S57" s="3"/>
      <c r="T57" s="3"/>
      <c r="U57" s="5" t="str">
        <f t="shared" si="3"/>
        <v/>
      </c>
    </row>
    <row r="58" spans="1:21" ht="28" customHeight="1" x14ac:dyDescent="0.35">
      <c r="A58" s="4">
        <v>14</v>
      </c>
      <c r="B58" s="4" t="s">
        <v>97</v>
      </c>
      <c r="C58" s="4" t="s">
        <v>100</v>
      </c>
      <c r="D58" s="4" t="s">
        <v>101</v>
      </c>
      <c r="E58" s="4" t="s">
        <v>69</v>
      </c>
      <c r="F58" s="4" t="s">
        <v>95</v>
      </c>
      <c r="G58" s="4" t="s">
        <v>102</v>
      </c>
      <c r="H58" s="4" t="s">
        <v>59</v>
      </c>
      <c r="I58" s="3"/>
      <c r="J58" s="3"/>
      <c r="K58" s="3"/>
      <c r="L58" s="3"/>
      <c r="M58" s="3"/>
      <c r="N58" s="3"/>
      <c r="O58" s="3"/>
      <c r="P58" s="8"/>
      <c r="Q58" s="8"/>
      <c r="R58" s="3"/>
      <c r="S58" s="3"/>
      <c r="T58" s="3"/>
      <c r="U58" s="5" t="str">
        <f t="shared" si="3"/>
        <v/>
      </c>
    </row>
    <row r="59" spans="1:21" ht="28" customHeight="1" x14ac:dyDescent="0.35">
      <c r="A59" s="4">
        <v>15</v>
      </c>
      <c r="B59" s="4" t="s">
        <v>103</v>
      </c>
      <c r="C59" s="4" t="s">
        <v>104</v>
      </c>
      <c r="D59" s="4" t="s">
        <v>105</v>
      </c>
      <c r="E59" s="4" t="s">
        <v>69</v>
      </c>
      <c r="F59" s="4" t="s">
        <v>95</v>
      </c>
      <c r="G59" s="4" t="s">
        <v>96</v>
      </c>
      <c r="H59" s="4" t="s">
        <v>85</v>
      </c>
      <c r="I59" s="3"/>
      <c r="J59" s="3"/>
      <c r="K59" s="3"/>
      <c r="L59" s="3"/>
      <c r="M59" s="3"/>
      <c r="N59" s="3"/>
      <c r="O59" s="3"/>
      <c r="P59" s="8"/>
      <c r="Q59" s="8"/>
      <c r="R59" s="3"/>
      <c r="S59" s="3"/>
      <c r="T59" s="3"/>
      <c r="U59" s="5" t="str">
        <f t="shared" si="3"/>
        <v/>
      </c>
    </row>
    <row r="60" spans="1:21" ht="28" customHeight="1" x14ac:dyDescent="0.35">
      <c r="A60" s="4">
        <v>16</v>
      </c>
      <c r="B60" s="4" t="s">
        <v>106</v>
      </c>
      <c r="C60" s="4" t="s">
        <v>107</v>
      </c>
      <c r="D60" s="4" t="s">
        <v>108</v>
      </c>
      <c r="E60" s="4" t="s">
        <v>109</v>
      </c>
      <c r="F60" s="4" t="s">
        <v>95</v>
      </c>
      <c r="G60" s="4" t="s">
        <v>96</v>
      </c>
      <c r="H60" s="4" t="s">
        <v>59</v>
      </c>
      <c r="I60" s="3"/>
      <c r="J60" s="3"/>
      <c r="K60" s="3"/>
      <c r="L60" s="3"/>
      <c r="M60" s="3"/>
      <c r="N60" s="3"/>
      <c r="O60" s="3"/>
      <c r="P60" s="8"/>
      <c r="Q60" s="8"/>
      <c r="R60" s="3"/>
      <c r="S60" s="3"/>
      <c r="T60" s="3"/>
      <c r="U60" s="5" t="str">
        <f t="shared" si="3"/>
        <v/>
      </c>
    </row>
    <row r="62" spans="1:21" ht="28" customHeight="1" x14ac:dyDescent="0.35">
      <c r="A62" s="9" t="s">
        <v>110</v>
      </c>
      <c r="B62" s="16"/>
      <c r="C62" s="17"/>
      <c r="D62" s="17"/>
      <c r="E62" s="17"/>
      <c r="F62" s="17"/>
      <c r="G62" s="17"/>
      <c r="H62" s="17"/>
      <c r="I62" s="17"/>
      <c r="J62" s="17"/>
      <c r="K62" s="17"/>
      <c r="L62" s="17"/>
      <c r="M62" s="17"/>
      <c r="N62" s="17"/>
      <c r="O62" s="17"/>
      <c r="P62" s="17"/>
      <c r="Q62" s="17"/>
      <c r="R62" s="17"/>
      <c r="S62" s="17"/>
      <c r="T62" s="17"/>
      <c r="U62" s="18"/>
    </row>
    <row r="63" spans="1:21" ht="28" customHeight="1" x14ac:dyDescent="0.35">
      <c r="A63" s="19" t="s">
        <v>672</v>
      </c>
      <c r="B63" s="20"/>
      <c r="C63" s="20"/>
      <c r="D63" s="20"/>
      <c r="E63" s="20"/>
      <c r="F63" s="20"/>
      <c r="G63" s="20"/>
      <c r="H63" s="20"/>
      <c r="I63" s="20"/>
      <c r="J63" s="20"/>
      <c r="K63" s="20"/>
      <c r="L63" s="20"/>
      <c r="M63" s="20"/>
      <c r="N63" s="20"/>
      <c r="O63" s="20"/>
      <c r="P63" s="20"/>
      <c r="Q63" s="20"/>
      <c r="R63" s="20"/>
      <c r="S63" s="20"/>
      <c r="T63" s="20"/>
      <c r="U63" s="21"/>
    </row>
    <row r="64" spans="1:21" ht="28" customHeight="1" x14ac:dyDescent="0.35">
      <c r="A64" s="4" t="s">
        <v>31</v>
      </c>
      <c r="B64" s="3" t="s">
        <v>20</v>
      </c>
      <c r="C64" s="4" t="s">
        <v>32</v>
      </c>
      <c r="D64" s="3"/>
      <c r="E64" s="4" t="s">
        <v>33</v>
      </c>
      <c r="F64" s="8"/>
    </row>
    <row r="65" spans="1:21" ht="28" customHeight="1" x14ac:dyDescent="0.35">
      <c r="A65" s="1" t="s">
        <v>34</v>
      </c>
      <c r="B65" s="1" t="s">
        <v>35</v>
      </c>
      <c r="C65" s="1" t="s">
        <v>36</v>
      </c>
      <c r="D65" s="1" t="s">
        <v>37</v>
      </c>
      <c r="E65" s="1" t="s">
        <v>38</v>
      </c>
      <c r="F65" s="1" t="s">
        <v>39</v>
      </c>
      <c r="G65" s="1" t="s">
        <v>40</v>
      </c>
      <c r="H65" s="1" t="s">
        <v>41</v>
      </c>
      <c r="I65" s="1" t="s">
        <v>42</v>
      </c>
      <c r="J65" s="1" t="s">
        <v>43</v>
      </c>
      <c r="K65" s="1" t="s">
        <v>44</v>
      </c>
      <c r="L65" s="1" t="s">
        <v>45</v>
      </c>
      <c r="M65" s="1" t="s">
        <v>46</v>
      </c>
      <c r="N65" s="1" t="s">
        <v>47</v>
      </c>
      <c r="O65" s="1" t="s">
        <v>48</v>
      </c>
      <c r="P65" s="1" t="s">
        <v>4</v>
      </c>
      <c r="Q65" s="1" t="s">
        <v>49</v>
      </c>
      <c r="R65" s="1" t="s">
        <v>50</v>
      </c>
      <c r="S65" s="1" t="s">
        <v>51</v>
      </c>
      <c r="T65" s="1" t="s">
        <v>52</v>
      </c>
      <c r="U65" s="1" t="s">
        <v>10</v>
      </c>
    </row>
    <row r="66" spans="1:21" ht="28" customHeight="1" x14ac:dyDescent="0.35">
      <c r="A66" s="4">
        <v>1</v>
      </c>
      <c r="B66" s="4" t="s">
        <v>53</v>
      </c>
      <c r="C66" s="4" t="s">
        <v>663</v>
      </c>
      <c r="D66" s="4" t="s">
        <v>664</v>
      </c>
      <c r="E66" s="4" t="s">
        <v>56</v>
      </c>
      <c r="F66" s="4" t="s">
        <v>57</v>
      </c>
      <c r="G66" s="4" t="s">
        <v>58</v>
      </c>
      <c r="H66" s="4" t="s">
        <v>59</v>
      </c>
      <c r="I66" s="3"/>
      <c r="J66" s="3"/>
      <c r="K66" s="3"/>
      <c r="L66" s="3"/>
      <c r="M66" s="3"/>
      <c r="N66" s="3"/>
      <c r="O66" s="3"/>
      <c r="P66" s="8"/>
      <c r="Q66" s="8"/>
      <c r="R66" s="3"/>
      <c r="S66" s="3"/>
      <c r="T66" s="3"/>
      <c r="U66" s="5" t="str">
        <f t="shared" ref="U66:U81" si="4">IF(I66="","",IF(I66="NA","Grey",IF(I66=2,"Green",IF(I66=1,"Amber","Red"))))</f>
        <v/>
      </c>
    </row>
    <row r="67" spans="1:21" ht="28" customHeight="1" x14ac:dyDescent="0.35">
      <c r="A67" s="4">
        <v>2</v>
      </c>
      <c r="B67" s="4" t="s">
        <v>53</v>
      </c>
      <c r="C67" s="4" t="s">
        <v>665</v>
      </c>
      <c r="D67" s="4" t="s">
        <v>666</v>
      </c>
      <c r="E67" s="4" t="s">
        <v>56</v>
      </c>
      <c r="F67" s="4" t="s">
        <v>57</v>
      </c>
      <c r="G67" s="4" t="s">
        <v>58</v>
      </c>
      <c r="H67" s="4" t="s">
        <v>59</v>
      </c>
      <c r="I67" s="3"/>
      <c r="J67" s="3"/>
      <c r="K67" s="3"/>
      <c r="L67" s="3"/>
      <c r="M67" s="3"/>
      <c r="N67" s="3"/>
      <c r="O67" s="3"/>
      <c r="P67" s="8"/>
      <c r="Q67" s="8"/>
      <c r="R67" s="3"/>
      <c r="S67" s="3"/>
      <c r="T67" s="3"/>
      <c r="U67" s="5" t="str">
        <f t="shared" si="4"/>
        <v/>
      </c>
    </row>
    <row r="68" spans="1:21" ht="28" customHeight="1" x14ac:dyDescent="0.35">
      <c r="A68" s="4">
        <v>3</v>
      </c>
      <c r="B68" s="4" t="s">
        <v>53</v>
      </c>
      <c r="C68" s="4" t="s">
        <v>667</v>
      </c>
      <c r="D68" s="4" t="s">
        <v>668</v>
      </c>
      <c r="E68" s="4" t="s">
        <v>56</v>
      </c>
      <c r="F68" s="4" t="s">
        <v>57</v>
      </c>
      <c r="G68" s="4" t="s">
        <v>58</v>
      </c>
      <c r="H68" s="4" t="s">
        <v>59</v>
      </c>
      <c r="I68" s="3"/>
      <c r="J68" s="3"/>
      <c r="K68" s="3"/>
      <c r="L68" s="3"/>
      <c r="M68" s="3"/>
      <c r="N68" s="3"/>
      <c r="O68" s="3"/>
      <c r="P68" s="8"/>
      <c r="Q68" s="8"/>
      <c r="R68" s="3"/>
      <c r="S68" s="3"/>
      <c r="T68" s="3"/>
      <c r="U68" s="5" t="str">
        <f t="shared" si="4"/>
        <v/>
      </c>
    </row>
    <row r="69" spans="1:21" ht="28" customHeight="1" x14ac:dyDescent="0.35">
      <c r="A69" s="4">
        <v>4</v>
      </c>
      <c r="B69" s="4" t="s">
        <v>53</v>
      </c>
      <c r="C69" s="4" t="s">
        <v>669</v>
      </c>
      <c r="D69" s="4" t="s">
        <v>670</v>
      </c>
      <c r="E69" s="4" t="s">
        <v>56</v>
      </c>
      <c r="F69" s="4" t="s">
        <v>57</v>
      </c>
      <c r="G69" s="4" t="s">
        <v>58</v>
      </c>
      <c r="H69" s="4" t="s">
        <v>59</v>
      </c>
      <c r="I69" s="3"/>
      <c r="J69" s="3"/>
      <c r="K69" s="3"/>
      <c r="L69" s="3"/>
      <c r="M69" s="3"/>
      <c r="N69" s="3"/>
      <c r="O69" s="3"/>
      <c r="P69" s="8"/>
      <c r="Q69" s="8"/>
      <c r="R69" s="3"/>
      <c r="S69" s="3"/>
      <c r="T69" s="3"/>
      <c r="U69" s="5" t="str">
        <f t="shared" si="4"/>
        <v/>
      </c>
    </row>
    <row r="70" spans="1:21" ht="28" customHeight="1" x14ac:dyDescent="0.35">
      <c r="A70" s="4">
        <v>5</v>
      </c>
      <c r="B70" s="4" t="s">
        <v>66</v>
      </c>
      <c r="C70" s="4" t="s">
        <v>67</v>
      </c>
      <c r="D70" s="4" t="s">
        <v>68</v>
      </c>
      <c r="E70" s="4" t="s">
        <v>69</v>
      </c>
      <c r="F70" s="4" t="s">
        <v>57</v>
      </c>
      <c r="G70" s="4" t="s">
        <v>58</v>
      </c>
      <c r="H70" s="4" t="s">
        <v>59</v>
      </c>
      <c r="I70" s="3"/>
      <c r="J70" s="3"/>
      <c r="K70" s="3"/>
      <c r="L70" s="3"/>
      <c r="M70" s="3"/>
      <c r="N70" s="3"/>
      <c r="O70" s="3"/>
      <c r="P70" s="8"/>
      <c r="Q70" s="8"/>
      <c r="R70" s="3"/>
      <c r="S70" s="3"/>
      <c r="T70" s="3"/>
      <c r="U70" s="5" t="str">
        <f t="shared" si="4"/>
        <v/>
      </c>
    </row>
    <row r="71" spans="1:21" ht="28" customHeight="1" x14ac:dyDescent="0.35">
      <c r="A71" s="4">
        <v>6</v>
      </c>
      <c r="B71" s="4" t="s">
        <v>70</v>
      </c>
      <c r="C71" s="4" t="s">
        <v>71</v>
      </c>
      <c r="D71" s="4" t="s">
        <v>72</v>
      </c>
      <c r="E71" s="4" t="s">
        <v>70</v>
      </c>
      <c r="F71" s="4" t="s">
        <v>57</v>
      </c>
      <c r="G71" s="4" t="s">
        <v>58</v>
      </c>
      <c r="H71" s="4" t="s">
        <v>59</v>
      </c>
      <c r="I71" s="3"/>
      <c r="J71" s="3"/>
      <c r="K71" s="3"/>
      <c r="L71" s="3"/>
      <c r="M71" s="3"/>
      <c r="N71" s="3"/>
      <c r="O71" s="3"/>
      <c r="P71" s="8"/>
      <c r="Q71" s="8"/>
      <c r="R71" s="3"/>
      <c r="S71" s="3"/>
      <c r="T71" s="3"/>
      <c r="U71" s="5" t="str">
        <f t="shared" si="4"/>
        <v/>
      </c>
    </row>
    <row r="72" spans="1:21" ht="28" customHeight="1" x14ac:dyDescent="0.35">
      <c r="A72" s="4">
        <v>7</v>
      </c>
      <c r="B72" s="4" t="s">
        <v>73</v>
      </c>
      <c r="C72" s="4" t="s">
        <v>74</v>
      </c>
      <c r="D72" s="4" t="s">
        <v>75</v>
      </c>
      <c r="E72" s="4" t="s">
        <v>69</v>
      </c>
      <c r="F72" s="4" t="s">
        <v>57</v>
      </c>
      <c r="G72" s="4" t="s">
        <v>58</v>
      </c>
      <c r="H72" s="4" t="s">
        <v>76</v>
      </c>
      <c r="I72" s="3"/>
      <c r="J72" s="3"/>
      <c r="K72" s="3"/>
      <c r="L72" s="3"/>
      <c r="M72" s="3"/>
      <c r="N72" s="3"/>
      <c r="O72" s="3"/>
      <c r="P72" s="8"/>
      <c r="Q72" s="8"/>
      <c r="R72" s="3"/>
      <c r="S72" s="3"/>
      <c r="T72" s="3"/>
      <c r="U72" s="5" t="str">
        <f t="shared" si="4"/>
        <v/>
      </c>
    </row>
    <row r="73" spans="1:21" ht="28" customHeight="1" x14ac:dyDescent="0.35">
      <c r="A73" s="4">
        <v>8</v>
      </c>
      <c r="B73" s="4" t="s">
        <v>77</v>
      </c>
      <c r="C73" s="4" t="s">
        <v>78</v>
      </c>
      <c r="D73" s="4" t="s">
        <v>79</v>
      </c>
      <c r="E73" s="4" t="s">
        <v>80</v>
      </c>
      <c r="F73" s="4" t="s">
        <v>57</v>
      </c>
      <c r="G73" s="4" t="s">
        <v>58</v>
      </c>
      <c r="H73" s="4" t="s">
        <v>59</v>
      </c>
      <c r="I73" s="3"/>
      <c r="J73" s="3"/>
      <c r="K73" s="3"/>
      <c r="L73" s="3"/>
      <c r="M73" s="3"/>
      <c r="N73" s="3"/>
      <c r="O73" s="3"/>
      <c r="P73" s="8"/>
      <c r="Q73" s="8"/>
      <c r="R73" s="3"/>
      <c r="S73" s="3"/>
      <c r="T73" s="3"/>
      <c r="U73" s="5" t="str">
        <f t="shared" si="4"/>
        <v/>
      </c>
    </row>
    <row r="74" spans="1:21" ht="28" customHeight="1" x14ac:dyDescent="0.35">
      <c r="A74" s="4">
        <v>9</v>
      </c>
      <c r="B74" s="4" t="s">
        <v>81</v>
      </c>
      <c r="C74" s="4" t="s">
        <v>82</v>
      </c>
      <c r="D74" s="4" t="s">
        <v>83</v>
      </c>
      <c r="E74" s="4" t="s">
        <v>84</v>
      </c>
      <c r="F74" s="4" t="s">
        <v>57</v>
      </c>
      <c r="G74" s="4" t="s">
        <v>58</v>
      </c>
      <c r="H74" s="4" t="s">
        <v>85</v>
      </c>
      <c r="I74" s="3"/>
      <c r="J74" s="3"/>
      <c r="K74" s="3"/>
      <c r="L74" s="3"/>
      <c r="M74" s="3"/>
      <c r="N74" s="3"/>
      <c r="O74" s="3"/>
      <c r="P74" s="8"/>
      <c r="Q74" s="8"/>
      <c r="R74" s="3"/>
      <c r="S74" s="3"/>
      <c r="T74" s="3"/>
      <c r="U74" s="5" t="str">
        <f t="shared" si="4"/>
        <v/>
      </c>
    </row>
    <row r="75" spans="1:21" ht="28" customHeight="1" x14ac:dyDescent="0.35">
      <c r="A75" s="4">
        <v>10</v>
      </c>
      <c r="B75" s="4" t="s">
        <v>86</v>
      </c>
      <c r="C75" s="4" t="s">
        <v>87</v>
      </c>
      <c r="D75" s="4" t="s">
        <v>88</v>
      </c>
      <c r="E75" s="4" t="s">
        <v>69</v>
      </c>
      <c r="F75" s="4" t="s">
        <v>57</v>
      </c>
      <c r="G75" s="4" t="s">
        <v>58</v>
      </c>
      <c r="H75" s="4" t="s">
        <v>59</v>
      </c>
      <c r="I75" s="3"/>
      <c r="J75" s="3"/>
      <c r="K75" s="3"/>
      <c r="L75" s="3"/>
      <c r="M75" s="3"/>
      <c r="N75" s="3"/>
      <c r="O75" s="3"/>
      <c r="P75" s="8"/>
      <c r="Q75" s="8"/>
      <c r="R75" s="3"/>
      <c r="S75" s="3"/>
      <c r="T75" s="3"/>
      <c r="U75" s="5" t="str">
        <f t="shared" si="4"/>
        <v/>
      </c>
    </row>
    <row r="76" spans="1:21" ht="28" customHeight="1" x14ac:dyDescent="0.35">
      <c r="A76" s="4">
        <v>11</v>
      </c>
      <c r="B76" s="4" t="s">
        <v>89</v>
      </c>
      <c r="C76" s="4" t="s">
        <v>90</v>
      </c>
      <c r="D76" s="4" t="s">
        <v>91</v>
      </c>
      <c r="E76" s="4" t="s">
        <v>84</v>
      </c>
      <c r="F76" s="4" t="s">
        <v>57</v>
      </c>
      <c r="G76" s="4" t="s">
        <v>58</v>
      </c>
      <c r="H76" s="4" t="s">
        <v>59</v>
      </c>
      <c r="I76" s="3"/>
      <c r="J76" s="3"/>
      <c r="K76" s="3"/>
      <c r="L76" s="3"/>
      <c r="M76" s="3"/>
      <c r="N76" s="3"/>
      <c r="O76" s="3"/>
      <c r="P76" s="8"/>
      <c r="Q76" s="8"/>
      <c r="R76" s="3"/>
      <c r="S76" s="3"/>
      <c r="T76" s="3"/>
      <c r="U76" s="5" t="str">
        <f t="shared" si="4"/>
        <v/>
      </c>
    </row>
    <row r="77" spans="1:21" ht="28" customHeight="1" x14ac:dyDescent="0.35">
      <c r="A77" s="4">
        <v>12</v>
      </c>
      <c r="B77" s="4" t="s">
        <v>92</v>
      </c>
      <c r="C77" s="4" t="s">
        <v>93</v>
      </c>
      <c r="D77" s="4" t="s">
        <v>94</v>
      </c>
      <c r="E77" s="4" t="s">
        <v>69</v>
      </c>
      <c r="F77" s="4" t="s">
        <v>95</v>
      </c>
      <c r="G77" s="4" t="s">
        <v>96</v>
      </c>
      <c r="H77" s="4" t="s">
        <v>59</v>
      </c>
      <c r="I77" s="3"/>
      <c r="J77" s="3"/>
      <c r="K77" s="3"/>
      <c r="L77" s="3"/>
      <c r="M77" s="3"/>
      <c r="N77" s="3"/>
      <c r="O77" s="3"/>
      <c r="P77" s="8"/>
      <c r="Q77" s="8"/>
      <c r="R77" s="3"/>
      <c r="S77" s="3"/>
      <c r="T77" s="3"/>
      <c r="U77" s="5" t="str">
        <f t="shared" si="4"/>
        <v/>
      </c>
    </row>
    <row r="78" spans="1:21" ht="28" customHeight="1" x14ac:dyDescent="0.35">
      <c r="A78" s="4">
        <v>13</v>
      </c>
      <c r="B78" s="4" t="s">
        <v>97</v>
      </c>
      <c r="C78" s="4" t="s">
        <v>98</v>
      </c>
      <c r="D78" s="4" t="s">
        <v>99</v>
      </c>
      <c r="E78" s="4" t="s">
        <v>69</v>
      </c>
      <c r="F78" s="4" t="s">
        <v>95</v>
      </c>
      <c r="G78" s="4" t="s">
        <v>96</v>
      </c>
      <c r="H78" s="4" t="s">
        <v>59</v>
      </c>
      <c r="I78" s="3"/>
      <c r="J78" s="3"/>
      <c r="K78" s="3"/>
      <c r="L78" s="3"/>
      <c r="M78" s="3"/>
      <c r="N78" s="3"/>
      <c r="O78" s="3"/>
      <c r="P78" s="8"/>
      <c r="Q78" s="8"/>
      <c r="R78" s="3"/>
      <c r="S78" s="3"/>
      <c r="T78" s="3"/>
      <c r="U78" s="5" t="str">
        <f t="shared" si="4"/>
        <v/>
      </c>
    </row>
    <row r="79" spans="1:21" ht="28" customHeight="1" x14ac:dyDescent="0.35">
      <c r="A79" s="4">
        <v>14</v>
      </c>
      <c r="B79" s="4" t="s">
        <v>97</v>
      </c>
      <c r="C79" s="4" t="s">
        <v>100</v>
      </c>
      <c r="D79" s="4" t="s">
        <v>101</v>
      </c>
      <c r="E79" s="4" t="s">
        <v>69</v>
      </c>
      <c r="F79" s="4" t="s">
        <v>95</v>
      </c>
      <c r="G79" s="4" t="s">
        <v>102</v>
      </c>
      <c r="H79" s="4" t="s">
        <v>59</v>
      </c>
      <c r="I79" s="3"/>
      <c r="J79" s="3"/>
      <c r="K79" s="3"/>
      <c r="L79" s="3"/>
      <c r="M79" s="3"/>
      <c r="N79" s="3"/>
      <c r="O79" s="3"/>
      <c r="P79" s="8"/>
      <c r="Q79" s="8"/>
      <c r="R79" s="3"/>
      <c r="S79" s="3"/>
      <c r="T79" s="3"/>
      <c r="U79" s="5" t="str">
        <f t="shared" si="4"/>
        <v/>
      </c>
    </row>
    <row r="80" spans="1:21" ht="28" customHeight="1" x14ac:dyDescent="0.35">
      <c r="A80" s="4">
        <v>15</v>
      </c>
      <c r="B80" s="4" t="s">
        <v>103</v>
      </c>
      <c r="C80" s="4" t="s">
        <v>104</v>
      </c>
      <c r="D80" s="4" t="s">
        <v>105</v>
      </c>
      <c r="E80" s="4" t="s">
        <v>69</v>
      </c>
      <c r="F80" s="4" t="s">
        <v>95</v>
      </c>
      <c r="G80" s="4" t="s">
        <v>96</v>
      </c>
      <c r="H80" s="4" t="s">
        <v>85</v>
      </c>
      <c r="I80" s="3"/>
      <c r="J80" s="3"/>
      <c r="K80" s="3"/>
      <c r="L80" s="3"/>
      <c r="M80" s="3"/>
      <c r="N80" s="3"/>
      <c r="O80" s="3"/>
      <c r="P80" s="8"/>
      <c r="Q80" s="8"/>
      <c r="R80" s="3"/>
      <c r="S80" s="3"/>
      <c r="T80" s="3"/>
      <c r="U80" s="5" t="str">
        <f t="shared" si="4"/>
        <v/>
      </c>
    </row>
    <row r="81" spans="1:21" ht="28" customHeight="1" x14ac:dyDescent="0.35">
      <c r="A81" s="4">
        <v>16</v>
      </c>
      <c r="B81" s="4" t="s">
        <v>106</v>
      </c>
      <c r="C81" s="4" t="s">
        <v>107</v>
      </c>
      <c r="D81" s="4" t="s">
        <v>108</v>
      </c>
      <c r="E81" s="4" t="s">
        <v>109</v>
      </c>
      <c r="F81" s="4" t="s">
        <v>95</v>
      </c>
      <c r="G81" s="4" t="s">
        <v>96</v>
      </c>
      <c r="H81" s="4" t="s">
        <v>59</v>
      </c>
      <c r="I81" s="3"/>
      <c r="J81" s="3"/>
      <c r="K81" s="3"/>
      <c r="L81" s="3"/>
      <c r="M81" s="3"/>
      <c r="N81" s="3"/>
      <c r="O81" s="3"/>
      <c r="P81" s="8"/>
      <c r="Q81" s="8"/>
      <c r="R81" s="3"/>
      <c r="S81" s="3"/>
      <c r="T81" s="3"/>
      <c r="U81" s="5" t="str">
        <f t="shared" si="4"/>
        <v/>
      </c>
    </row>
    <row r="83" spans="1:21" ht="28" customHeight="1" x14ac:dyDescent="0.35">
      <c r="A83" s="9" t="s">
        <v>110</v>
      </c>
      <c r="B83" s="16"/>
      <c r="C83" s="17"/>
      <c r="D83" s="17"/>
      <c r="E83" s="17"/>
      <c r="F83" s="17"/>
      <c r="G83" s="17"/>
      <c r="H83" s="17"/>
      <c r="I83" s="17"/>
      <c r="J83" s="17"/>
      <c r="K83" s="17"/>
      <c r="L83" s="17"/>
      <c r="M83" s="17"/>
      <c r="N83" s="17"/>
      <c r="O83" s="17"/>
      <c r="P83" s="17"/>
      <c r="Q83" s="17"/>
      <c r="R83" s="17"/>
      <c r="S83" s="17"/>
      <c r="T83" s="17"/>
      <c r="U83" s="18"/>
    </row>
    <row r="84" spans="1:21" ht="28" customHeight="1" x14ac:dyDescent="0.35">
      <c r="A84" s="19" t="s">
        <v>673</v>
      </c>
      <c r="B84" s="20"/>
      <c r="C84" s="20"/>
      <c r="D84" s="20"/>
      <c r="E84" s="20"/>
      <c r="F84" s="20"/>
      <c r="G84" s="20"/>
      <c r="H84" s="20"/>
      <c r="I84" s="20"/>
      <c r="J84" s="20"/>
      <c r="K84" s="20"/>
      <c r="L84" s="20"/>
      <c r="M84" s="20"/>
      <c r="N84" s="20"/>
      <c r="O84" s="20"/>
      <c r="P84" s="20"/>
      <c r="Q84" s="20"/>
      <c r="R84" s="20"/>
      <c r="S84" s="20"/>
      <c r="T84" s="20"/>
      <c r="U84" s="21"/>
    </row>
    <row r="85" spans="1:21" ht="28" customHeight="1" x14ac:dyDescent="0.35">
      <c r="A85" s="4" t="s">
        <v>31</v>
      </c>
      <c r="B85" s="3" t="s">
        <v>21</v>
      </c>
      <c r="C85" s="4" t="s">
        <v>32</v>
      </c>
      <c r="D85" s="3"/>
      <c r="E85" s="4" t="s">
        <v>33</v>
      </c>
      <c r="F85" s="8"/>
    </row>
    <row r="86" spans="1:21" ht="28" customHeight="1" x14ac:dyDescent="0.35">
      <c r="A86" s="1" t="s">
        <v>34</v>
      </c>
      <c r="B86" s="1" t="s">
        <v>35</v>
      </c>
      <c r="C86" s="1" t="s">
        <v>36</v>
      </c>
      <c r="D86" s="1" t="s">
        <v>37</v>
      </c>
      <c r="E86" s="1" t="s">
        <v>38</v>
      </c>
      <c r="F86" s="1" t="s">
        <v>39</v>
      </c>
      <c r="G86" s="1" t="s">
        <v>40</v>
      </c>
      <c r="H86" s="1" t="s">
        <v>41</v>
      </c>
      <c r="I86" s="1" t="s">
        <v>42</v>
      </c>
      <c r="J86" s="1" t="s">
        <v>43</v>
      </c>
      <c r="K86" s="1" t="s">
        <v>44</v>
      </c>
      <c r="L86" s="1" t="s">
        <v>45</v>
      </c>
      <c r="M86" s="1" t="s">
        <v>46</v>
      </c>
      <c r="N86" s="1" t="s">
        <v>47</v>
      </c>
      <c r="O86" s="1" t="s">
        <v>48</v>
      </c>
      <c r="P86" s="1" t="s">
        <v>4</v>
      </c>
      <c r="Q86" s="1" t="s">
        <v>49</v>
      </c>
      <c r="R86" s="1" t="s">
        <v>50</v>
      </c>
      <c r="S86" s="1" t="s">
        <v>51</v>
      </c>
      <c r="T86" s="1" t="s">
        <v>52</v>
      </c>
      <c r="U86" s="1" t="s">
        <v>10</v>
      </c>
    </row>
    <row r="87" spans="1:21" ht="28" customHeight="1" x14ac:dyDescent="0.35">
      <c r="A87" s="4">
        <v>1</v>
      </c>
      <c r="B87" s="4" t="s">
        <v>53</v>
      </c>
      <c r="C87" s="4" t="s">
        <v>663</v>
      </c>
      <c r="D87" s="4" t="s">
        <v>664</v>
      </c>
      <c r="E87" s="4" t="s">
        <v>56</v>
      </c>
      <c r="F87" s="4" t="s">
        <v>57</v>
      </c>
      <c r="G87" s="4" t="s">
        <v>58</v>
      </c>
      <c r="H87" s="4" t="s">
        <v>59</v>
      </c>
      <c r="I87" s="3"/>
      <c r="J87" s="3"/>
      <c r="K87" s="3"/>
      <c r="L87" s="3"/>
      <c r="M87" s="3"/>
      <c r="N87" s="3"/>
      <c r="O87" s="3"/>
      <c r="P87" s="8"/>
      <c r="Q87" s="8"/>
      <c r="R87" s="3"/>
      <c r="S87" s="3"/>
      <c r="T87" s="3"/>
      <c r="U87" s="5" t="str">
        <f t="shared" ref="U87:U102" si="5">IF(I87="","",IF(I87="NA","Grey",IF(I87=2,"Green",IF(I87=1,"Amber","Red"))))</f>
        <v/>
      </c>
    </row>
    <row r="88" spans="1:21" ht="28" customHeight="1" x14ac:dyDescent="0.35">
      <c r="A88" s="4">
        <v>2</v>
      </c>
      <c r="B88" s="4" t="s">
        <v>53</v>
      </c>
      <c r="C88" s="4" t="s">
        <v>665</v>
      </c>
      <c r="D88" s="4" t="s">
        <v>666</v>
      </c>
      <c r="E88" s="4" t="s">
        <v>56</v>
      </c>
      <c r="F88" s="4" t="s">
        <v>57</v>
      </c>
      <c r="G88" s="4" t="s">
        <v>58</v>
      </c>
      <c r="H88" s="4" t="s">
        <v>59</v>
      </c>
      <c r="I88" s="3"/>
      <c r="J88" s="3"/>
      <c r="K88" s="3"/>
      <c r="L88" s="3"/>
      <c r="M88" s="3"/>
      <c r="N88" s="3"/>
      <c r="O88" s="3"/>
      <c r="P88" s="8"/>
      <c r="Q88" s="8"/>
      <c r="R88" s="3"/>
      <c r="S88" s="3"/>
      <c r="T88" s="3"/>
      <c r="U88" s="5" t="str">
        <f t="shared" si="5"/>
        <v/>
      </c>
    </row>
    <row r="89" spans="1:21" ht="28" customHeight="1" x14ac:dyDescent="0.35">
      <c r="A89" s="4">
        <v>3</v>
      </c>
      <c r="B89" s="4" t="s">
        <v>53</v>
      </c>
      <c r="C89" s="4" t="s">
        <v>667</v>
      </c>
      <c r="D89" s="4" t="s">
        <v>668</v>
      </c>
      <c r="E89" s="4" t="s">
        <v>56</v>
      </c>
      <c r="F89" s="4" t="s">
        <v>57</v>
      </c>
      <c r="G89" s="4" t="s">
        <v>58</v>
      </c>
      <c r="H89" s="4" t="s">
        <v>59</v>
      </c>
      <c r="I89" s="3"/>
      <c r="J89" s="3"/>
      <c r="K89" s="3"/>
      <c r="L89" s="3"/>
      <c r="M89" s="3"/>
      <c r="N89" s="3"/>
      <c r="O89" s="3"/>
      <c r="P89" s="8"/>
      <c r="Q89" s="8"/>
      <c r="R89" s="3"/>
      <c r="S89" s="3"/>
      <c r="T89" s="3"/>
      <c r="U89" s="5" t="str">
        <f t="shared" si="5"/>
        <v/>
      </c>
    </row>
    <row r="90" spans="1:21" ht="28" customHeight="1" x14ac:dyDescent="0.35">
      <c r="A90" s="4">
        <v>4</v>
      </c>
      <c r="B90" s="4" t="s">
        <v>53</v>
      </c>
      <c r="C90" s="4" t="s">
        <v>669</v>
      </c>
      <c r="D90" s="4" t="s">
        <v>670</v>
      </c>
      <c r="E90" s="4" t="s">
        <v>56</v>
      </c>
      <c r="F90" s="4" t="s">
        <v>57</v>
      </c>
      <c r="G90" s="4" t="s">
        <v>58</v>
      </c>
      <c r="H90" s="4" t="s">
        <v>59</v>
      </c>
      <c r="I90" s="3"/>
      <c r="J90" s="3"/>
      <c r="K90" s="3"/>
      <c r="L90" s="3"/>
      <c r="M90" s="3"/>
      <c r="N90" s="3"/>
      <c r="O90" s="3"/>
      <c r="P90" s="8"/>
      <c r="Q90" s="8"/>
      <c r="R90" s="3"/>
      <c r="S90" s="3"/>
      <c r="T90" s="3"/>
      <c r="U90" s="5" t="str">
        <f t="shared" si="5"/>
        <v/>
      </c>
    </row>
    <row r="91" spans="1:21" ht="28" customHeight="1" x14ac:dyDescent="0.35">
      <c r="A91" s="4">
        <v>5</v>
      </c>
      <c r="B91" s="4" t="s">
        <v>66</v>
      </c>
      <c r="C91" s="4" t="s">
        <v>67</v>
      </c>
      <c r="D91" s="4" t="s">
        <v>68</v>
      </c>
      <c r="E91" s="4" t="s">
        <v>69</v>
      </c>
      <c r="F91" s="4" t="s">
        <v>57</v>
      </c>
      <c r="G91" s="4" t="s">
        <v>58</v>
      </c>
      <c r="H91" s="4" t="s">
        <v>59</v>
      </c>
      <c r="I91" s="3"/>
      <c r="J91" s="3"/>
      <c r="K91" s="3"/>
      <c r="L91" s="3"/>
      <c r="M91" s="3"/>
      <c r="N91" s="3"/>
      <c r="O91" s="3"/>
      <c r="P91" s="8"/>
      <c r="Q91" s="8"/>
      <c r="R91" s="3"/>
      <c r="S91" s="3"/>
      <c r="T91" s="3"/>
      <c r="U91" s="5" t="str">
        <f t="shared" si="5"/>
        <v/>
      </c>
    </row>
    <row r="92" spans="1:21" ht="28" customHeight="1" x14ac:dyDescent="0.35">
      <c r="A92" s="4">
        <v>6</v>
      </c>
      <c r="B92" s="4" t="s">
        <v>70</v>
      </c>
      <c r="C92" s="4" t="s">
        <v>71</v>
      </c>
      <c r="D92" s="4" t="s">
        <v>72</v>
      </c>
      <c r="E92" s="4" t="s">
        <v>70</v>
      </c>
      <c r="F92" s="4" t="s">
        <v>57</v>
      </c>
      <c r="G92" s="4" t="s">
        <v>58</v>
      </c>
      <c r="H92" s="4" t="s">
        <v>59</v>
      </c>
      <c r="I92" s="3"/>
      <c r="J92" s="3"/>
      <c r="K92" s="3"/>
      <c r="L92" s="3"/>
      <c r="M92" s="3"/>
      <c r="N92" s="3"/>
      <c r="O92" s="3"/>
      <c r="P92" s="8"/>
      <c r="Q92" s="8"/>
      <c r="R92" s="3"/>
      <c r="S92" s="3"/>
      <c r="T92" s="3"/>
      <c r="U92" s="5" t="str">
        <f t="shared" si="5"/>
        <v/>
      </c>
    </row>
    <row r="93" spans="1:21" ht="28" customHeight="1" x14ac:dyDescent="0.35">
      <c r="A93" s="4">
        <v>7</v>
      </c>
      <c r="B93" s="4" t="s">
        <v>73</v>
      </c>
      <c r="C93" s="4" t="s">
        <v>74</v>
      </c>
      <c r="D93" s="4" t="s">
        <v>75</v>
      </c>
      <c r="E93" s="4" t="s">
        <v>69</v>
      </c>
      <c r="F93" s="4" t="s">
        <v>57</v>
      </c>
      <c r="G93" s="4" t="s">
        <v>58</v>
      </c>
      <c r="H93" s="4" t="s">
        <v>76</v>
      </c>
      <c r="I93" s="3"/>
      <c r="J93" s="3"/>
      <c r="K93" s="3"/>
      <c r="L93" s="3"/>
      <c r="M93" s="3"/>
      <c r="N93" s="3"/>
      <c r="O93" s="3"/>
      <c r="P93" s="8"/>
      <c r="Q93" s="8"/>
      <c r="R93" s="3"/>
      <c r="S93" s="3"/>
      <c r="T93" s="3"/>
      <c r="U93" s="5" t="str">
        <f t="shared" si="5"/>
        <v/>
      </c>
    </row>
    <row r="94" spans="1:21" ht="28" customHeight="1" x14ac:dyDescent="0.35">
      <c r="A94" s="4">
        <v>8</v>
      </c>
      <c r="B94" s="4" t="s">
        <v>77</v>
      </c>
      <c r="C94" s="4" t="s">
        <v>78</v>
      </c>
      <c r="D94" s="4" t="s">
        <v>79</v>
      </c>
      <c r="E94" s="4" t="s">
        <v>80</v>
      </c>
      <c r="F94" s="4" t="s">
        <v>57</v>
      </c>
      <c r="G94" s="4" t="s">
        <v>58</v>
      </c>
      <c r="H94" s="4" t="s">
        <v>59</v>
      </c>
      <c r="I94" s="3"/>
      <c r="J94" s="3"/>
      <c r="K94" s="3"/>
      <c r="L94" s="3"/>
      <c r="M94" s="3"/>
      <c r="N94" s="3"/>
      <c r="O94" s="3"/>
      <c r="P94" s="8"/>
      <c r="Q94" s="8"/>
      <c r="R94" s="3"/>
      <c r="S94" s="3"/>
      <c r="T94" s="3"/>
      <c r="U94" s="5" t="str">
        <f t="shared" si="5"/>
        <v/>
      </c>
    </row>
    <row r="95" spans="1:21" ht="28" customHeight="1" x14ac:dyDescent="0.35">
      <c r="A95" s="4">
        <v>9</v>
      </c>
      <c r="B95" s="4" t="s">
        <v>81</v>
      </c>
      <c r="C95" s="4" t="s">
        <v>82</v>
      </c>
      <c r="D95" s="4" t="s">
        <v>83</v>
      </c>
      <c r="E95" s="4" t="s">
        <v>84</v>
      </c>
      <c r="F95" s="4" t="s">
        <v>57</v>
      </c>
      <c r="G95" s="4" t="s">
        <v>58</v>
      </c>
      <c r="H95" s="4" t="s">
        <v>85</v>
      </c>
      <c r="I95" s="3"/>
      <c r="J95" s="3"/>
      <c r="K95" s="3"/>
      <c r="L95" s="3"/>
      <c r="M95" s="3"/>
      <c r="N95" s="3"/>
      <c r="O95" s="3"/>
      <c r="P95" s="8"/>
      <c r="Q95" s="8"/>
      <c r="R95" s="3"/>
      <c r="S95" s="3"/>
      <c r="T95" s="3"/>
      <c r="U95" s="5" t="str">
        <f t="shared" si="5"/>
        <v/>
      </c>
    </row>
    <row r="96" spans="1:21" ht="28" customHeight="1" x14ac:dyDescent="0.35">
      <c r="A96" s="4">
        <v>10</v>
      </c>
      <c r="B96" s="4" t="s">
        <v>86</v>
      </c>
      <c r="C96" s="4" t="s">
        <v>87</v>
      </c>
      <c r="D96" s="4" t="s">
        <v>88</v>
      </c>
      <c r="E96" s="4" t="s">
        <v>69</v>
      </c>
      <c r="F96" s="4" t="s">
        <v>57</v>
      </c>
      <c r="G96" s="4" t="s">
        <v>58</v>
      </c>
      <c r="H96" s="4" t="s">
        <v>59</v>
      </c>
      <c r="I96" s="3"/>
      <c r="J96" s="3"/>
      <c r="K96" s="3"/>
      <c r="L96" s="3"/>
      <c r="M96" s="3"/>
      <c r="N96" s="3"/>
      <c r="O96" s="3"/>
      <c r="P96" s="8"/>
      <c r="Q96" s="8"/>
      <c r="R96" s="3"/>
      <c r="S96" s="3"/>
      <c r="T96" s="3"/>
      <c r="U96" s="5" t="str">
        <f t="shared" si="5"/>
        <v/>
      </c>
    </row>
    <row r="97" spans="1:21" ht="28" customHeight="1" x14ac:dyDescent="0.35">
      <c r="A97" s="4">
        <v>11</v>
      </c>
      <c r="B97" s="4" t="s">
        <v>89</v>
      </c>
      <c r="C97" s="4" t="s">
        <v>90</v>
      </c>
      <c r="D97" s="4" t="s">
        <v>91</v>
      </c>
      <c r="E97" s="4" t="s">
        <v>84</v>
      </c>
      <c r="F97" s="4" t="s">
        <v>57</v>
      </c>
      <c r="G97" s="4" t="s">
        <v>58</v>
      </c>
      <c r="H97" s="4" t="s">
        <v>59</v>
      </c>
      <c r="I97" s="3"/>
      <c r="J97" s="3"/>
      <c r="K97" s="3"/>
      <c r="L97" s="3"/>
      <c r="M97" s="3"/>
      <c r="N97" s="3"/>
      <c r="O97" s="3"/>
      <c r="P97" s="8"/>
      <c r="Q97" s="8"/>
      <c r="R97" s="3"/>
      <c r="S97" s="3"/>
      <c r="T97" s="3"/>
      <c r="U97" s="5" t="str">
        <f t="shared" si="5"/>
        <v/>
      </c>
    </row>
    <row r="98" spans="1:21" ht="28" customHeight="1" x14ac:dyDescent="0.35">
      <c r="A98" s="4">
        <v>12</v>
      </c>
      <c r="B98" s="4" t="s">
        <v>92</v>
      </c>
      <c r="C98" s="4" t="s">
        <v>93</v>
      </c>
      <c r="D98" s="4" t="s">
        <v>94</v>
      </c>
      <c r="E98" s="4" t="s">
        <v>69</v>
      </c>
      <c r="F98" s="4" t="s">
        <v>95</v>
      </c>
      <c r="G98" s="4" t="s">
        <v>96</v>
      </c>
      <c r="H98" s="4" t="s">
        <v>59</v>
      </c>
      <c r="I98" s="3"/>
      <c r="J98" s="3"/>
      <c r="K98" s="3"/>
      <c r="L98" s="3"/>
      <c r="M98" s="3"/>
      <c r="N98" s="3"/>
      <c r="O98" s="3"/>
      <c r="P98" s="8"/>
      <c r="Q98" s="8"/>
      <c r="R98" s="3"/>
      <c r="S98" s="3"/>
      <c r="T98" s="3"/>
      <c r="U98" s="5" t="str">
        <f t="shared" si="5"/>
        <v/>
      </c>
    </row>
    <row r="99" spans="1:21" ht="28" customHeight="1" x14ac:dyDescent="0.35">
      <c r="A99" s="4">
        <v>13</v>
      </c>
      <c r="B99" s="4" t="s">
        <v>97</v>
      </c>
      <c r="C99" s="4" t="s">
        <v>98</v>
      </c>
      <c r="D99" s="4" t="s">
        <v>99</v>
      </c>
      <c r="E99" s="4" t="s">
        <v>69</v>
      </c>
      <c r="F99" s="4" t="s">
        <v>95</v>
      </c>
      <c r="G99" s="4" t="s">
        <v>96</v>
      </c>
      <c r="H99" s="4" t="s">
        <v>59</v>
      </c>
      <c r="I99" s="3"/>
      <c r="J99" s="3"/>
      <c r="K99" s="3"/>
      <c r="L99" s="3"/>
      <c r="M99" s="3"/>
      <c r="N99" s="3"/>
      <c r="O99" s="3"/>
      <c r="P99" s="8"/>
      <c r="Q99" s="8"/>
      <c r="R99" s="3"/>
      <c r="S99" s="3"/>
      <c r="T99" s="3"/>
      <c r="U99" s="5" t="str">
        <f t="shared" si="5"/>
        <v/>
      </c>
    </row>
    <row r="100" spans="1:21" ht="28" customHeight="1" x14ac:dyDescent="0.35">
      <c r="A100" s="4">
        <v>14</v>
      </c>
      <c r="B100" s="4" t="s">
        <v>97</v>
      </c>
      <c r="C100" s="4" t="s">
        <v>100</v>
      </c>
      <c r="D100" s="4" t="s">
        <v>101</v>
      </c>
      <c r="E100" s="4" t="s">
        <v>69</v>
      </c>
      <c r="F100" s="4" t="s">
        <v>95</v>
      </c>
      <c r="G100" s="4" t="s">
        <v>102</v>
      </c>
      <c r="H100" s="4" t="s">
        <v>59</v>
      </c>
      <c r="I100" s="3"/>
      <c r="J100" s="3"/>
      <c r="K100" s="3"/>
      <c r="L100" s="3"/>
      <c r="M100" s="3"/>
      <c r="N100" s="3"/>
      <c r="O100" s="3"/>
      <c r="P100" s="8"/>
      <c r="Q100" s="8"/>
      <c r="R100" s="3"/>
      <c r="S100" s="3"/>
      <c r="T100" s="3"/>
      <c r="U100" s="5" t="str">
        <f t="shared" si="5"/>
        <v/>
      </c>
    </row>
    <row r="101" spans="1:21" ht="28" customHeight="1" x14ac:dyDescent="0.35">
      <c r="A101" s="4">
        <v>15</v>
      </c>
      <c r="B101" s="4" t="s">
        <v>103</v>
      </c>
      <c r="C101" s="4" t="s">
        <v>104</v>
      </c>
      <c r="D101" s="4" t="s">
        <v>105</v>
      </c>
      <c r="E101" s="4" t="s">
        <v>69</v>
      </c>
      <c r="F101" s="4" t="s">
        <v>95</v>
      </c>
      <c r="G101" s="4" t="s">
        <v>96</v>
      </c>
      <c r="H101" s="4" t="s">
        <v>85</v>
      </c>
      <c r="I101" s="3"/>
      <c r="J101" s="3"/>
      <c r="K101" s="3"/>
      <c r="L101" s="3"/>
      <c r="M101" s="3"/>
      <c r="N101" s="3"/>
      <c r="O101" s="3"/>
      <c r="P101" s="8"/>
      <c r="Q101" s="8"/>
      <c r="R101" s="3"/>
      <c r="S101" s="3"/>
      <c r="T101" s="3"/>
      <c r="U101" s="5" t="str">
        <f t="shared" si="5"/>
        <v/>
      </c>
    </row>
    <row r="102" spans="1:21" ht="28" customHeight="1" x14ac:dyDescent="0.35">
      <c r="A102" s="4">
        <v>16</v>
      </c>
      <c r="B102" s="4" t="s">
        <v>106</v>
      </c>
      <c r="C102" s="4" t="s">
        <v>107</v>
      </c>
      <c r="D102" s="4" t="s">
        <v>108</v>
      </c>
      <c r="E102" s="4" t="s">
        <v>109</v>
      </c>
      <c r="F102" s="4" t="s">
        <v>95</v>
      </c>
      <c r="G102" s="4" t="s">
        <v>96</v>
      </c>
      <c r="H102" s="4" t="s">
        <v>59</v>
      </c>
      <c r="I102" s="3"/>
      <c r="J102" s="3"/>
      <c r="K102" s="3"/>
      <c r="L102" s="3"/>
      <c r="M102" s="3"/>
      <c r="N102" s="3"/>
      <c r="O102" s="3"/>
      <c r="P102" s="8"/>
      <c r="Q102" s="8"/>
      <c r="R102" s="3"/>
      <c r="S102" s="3"/>
      <c r="T102" s="3"/>
      <c r="U102" s="5" t="str">
        <f t="shared" si="5"/>
        <v/>
      </c>
    </row>
    <row r="104" spans="1:21" ht="28" customHeight="1" x14ac:dyDescent="0.35">
      <c r="A104" s="9" t="s">
        <v>110</v>
      </c>
      <c r="B104" s="16"/>
      <c r="C104" s="17"/>
      <c r="D104" s="17"/>
      <c r="E104" s="17"/>
      <c r="F104" s="17"/>
      <c r="G104" s="17"/>
      <c r="H104" s="17"/>
      <c r="I104" s="17"/>
      <c r="J104" s="17"/>
      <c r="K104" s="17"/>
      <c r="L104" s="17"/>
      <c r="M104" s="17"/>
      <c r="N104" s="17"/>
      <c r="O104" s="17"/>
      <c r="P104" s="17"/>
      <c r="Q104" s="17"/>
      <c r="R104" s="17"/>
      <c r="S104" s="17"/>
      <c r="T104" s="17"/>
      <c r="U104" s="18"/>
    </row>
    <row r="105" spans="1:21" ht="28" customHeight="1" x14ac:dyDescent="0.35">
      <c r="A105" s="19" t="s">
        <v>674</v>
      </c>
      <c r="B105" s="20"/>
      <c r="C105" s="20"/>
      <c r="D105" s="20"/>
      <c r="E105" s="20"/>
      <c r="F105" s="20"/>
      <c r="G105" s="20"/>
      <c r="H105" s="20"/>
      <c r="I105" s="20"/>
      <c r="J105" s="20"/>
      <c r="K105" s="20"/>
      <c r="L105" s="20"/>
      <c r="M105" s="20"/>
      <c r="N105" s="20"/>
      <c r="O105" s="20"/>
      <c r="P105" s="20"/>
      <c r="Q105" s="20"/>
      <c r="R105" s="20"/>
      <c r="S105" s="20"/>
      <c r="T105" s="20"/>
      <c r="U105" s="21"/>
    </row>
    <row r="106" spans="1:21" ht="28" customHeight="1" x14ac:dyDescent="0.35">
      <c r="A106" s="4" t="s">
        <v>31</v>
      </c>
      <c r="B106" s="3" t="s">
        <v>22</v>
      </c>
      <c r="C106" s="4" t="s">
        <v>32</v>
      </c>
      <c r="D106" s="3"/>
      <c r="E106" s="4" t="s">
        <v>33</v>
      </c>
      <c r="F106" s="8"/>
    </row>
    <row r="107" spans="1:21" ht="28" customHeight="1" x14ac:dyDescent="0.35">
      <c r="A107" s="1" t="s">
        <v>34</v>
      </c>
      <c r="B107" s="1" t="s">
        <v>35</v>
      </c>
      <c r="C107" s="1" t="s">
        <v>36</v>
      </c>
      <c r="D107" s="1" t="s">
        <v>37</v>
      </c>
      <c r="E107" s="1" t="s">
        <v>38</v>
      </c>
      <c r="F107" s="1" t="s">
        <v>39</v>
      </c>
      <c r="G107" s="1" t="s">
        <v>40</v>
      </c>
      <c r="H107" s="1" t="s">
        <v>41</v>
      </c>
      <c r="I107" s="1" t="s">
        <v>42</v>
      </c>
      <c r="J107" s="1" t="s">
        <v>43</v>
      </c>
      <c r="K107" s="1" t="s">
        <v>44</v>
      </c>
      <c r="L107" s="1" t="s">
        <v>45</v>
      </c>
      <c r="M107" s="1" t="s">
        <v>46</v>
      </c>
      <c r="N107" s="1" t="s">
        <v>47</v>
      </c>
      <c r="O107" s="1" t="s">
        <v>48</v>
      </c>
      <c r="P107" s="1" t="s">
        <v>4</v>
      </c>
      <c r="Q107" s="1" t="s">
        <v>49</v>
      </c>
      <c r="R107" s="1" t="s">
        <v>50</v>
      </c>
      <c r="S107" s="1" t="s">
        <v>51</v>
      </c>
      <c r="T107" s="1" t="s">
        <v>52</v>
      </c>
      <c r="U107" s="1" t="s">
        <v>10</v>
      </c>
    </row>
    <row r="108" spans="1:21" ht="28" customHeight="1" x14ac:dyDescent="0.35">
      <c r="A108" s="4">
        <v>1</v>
      </c>
      <c r="B108" s="4" t="s">
        <v>53</v>
      </c>
      <c r="C108" s="4" t="s">
        <v>663</v>
      </c>
      <c r="D108" s="4" t="s">
        <v>664</v>
      </c>
      <c r="E108" s="4" t="s">
        <v>56</v>
      </c>
      <c r="F108" s="4" t="s">
        <v>57</v>
      </c>
      <c r="G108" s="4" t="s">
        <v>58</v>
      </c>
      <c r="H108" s="4" t="s">
        <v>59</v>
      </c>
      <c r="I108" s="3"/>
      <c r="J108" s="3"/>
      <c r="K108" s="3"/>
      <c r="L108" s="3"/>
      <c r="M108" s="3"/>
      <c r="N108" s="3"/>
      <c r="O108" s="3"/>
      <c r="P108" s="8"/>
      <c r="Q108" s="8"/>
      <c r="R108" s="3"/>
      <c r="S108" s="3"/>
      <c r="T108" s="3"/>
      <c r="U108" s="5" t="str">
        <f t="shared" ref="U108:U123" si="6">IF(I108="","",IF(I108="NA","Grey",IF(I108=2,"Green",IF(I108=1,"Amber","Red"))))</f>
        <v/>
      </c>
    </row>
    <row r="109" spans="1:21" ht="28" customHeight="1" x14ac:dyDescent="0.35">
      <c r="A109" s="4">
        <v>2</v>
      </c>
      <c r="B109" s="4" t="s">
        <v>53</v>
      </c>
      <c r="C109" s="4" t="s">
        <v>665</v>
      </c>
      <c r="D109" s="4" t="s">
        <v>666</v>
      </c>
      <c r="E109" s="4" t="s">
        <v>56</v>
      </c>
      <c r="F109" s="4" t="s">
        <v>57</v>
      </c>
      <c r="G109" s="4" t="s">
        <v>58</v>
      </c>
      <c r="H109" s="4" t="s">
        <v>59</v>
      </c>
      <c r="I109" s="3"/>
      <c r="J109" s="3"/>
      <c r="K109" s="3"/>
      <c r="L109" s="3"/>
      <c r="M109" s="3"/>
      <c r="N109" s="3"/>
      <c r="O109" s="3"/>
      <c r="P109" s="8"/>
      <c r="Q109" s="8"/>
      <c r="R109" s="3"/>
      <c r="S109" s="3"/>
      <c r="T109" s="3"/>
      <c r="U109" s="5" t="str">
        <f t="shared" si="6"/>
        <v/>
      </c>
    </row>
    <row r="110" spans="1:21" ht="28" customHeight="1" x14ac:dyDescent="0.35">
      <c r="A110" s="4">
        <v>3</v>
      </c>
      <c r="B110" s="4" t="s">
        <v>53</v>
      </c>
      <c r="C110" s="4" t="s">
        <v>667</v>
      </c>
      <c r="D110" s="4" t="s">
        <v>668</v>
      </c>
      <c r="E110" s="4" t="s">
        <v>56</v>
      </c>
      <c r="F110" s="4" t="s">
        <v>57</v>
      </c>
      <c r="G110" s="4" t="s">
        <v>58</v>
      </c>
      <c r="H110" s="4" t="s">
        <v>59</v>
      </c>
      <c r="I110" s="3"/>
      <c r="J110" s="3"/>
      <c r="K110" s="3"/>
      <c r="L110" s="3"/>
      <c r="M110" s="3"/>
      <c r="N110" s="3"/>
      <c r="O110" s="3"/>
      <c r="P110" s="8"/>
      <c r="Q110" s="8"/>
      <c r="R110" s="3"/>
      <c r="S110" s="3"/>
      <c r="T110" s="3"/>
      <c r="U110" s="5" t="str">
        <f t="shared" si="6"/>
        <v/>
      </c>
    </row>
    <row r="111" spans="1:21" ht="28" customHeight="1" x14ac:dyDescent="0.35">
      <c r="A111" s="4">
        <v>4</v>
      </c>
      <c r="B111" s="4" t="s">
        <v>53</v>
      </c>
      <c r="C111" s="4" t="s">
        <v>669</v>
      </c>
      <c r="D111" s="4" t="s">
        <v>670</v>
      </c>
      <c r="E111" s="4" t="s">
        <v>56</v>
      </c>
      <c r="F111" s="4" t="s">
        <v>57</v>
      </c>
      <c r="G111" s="4" t="s">
        <v>58</v>
      </c>
      <c r="H111" s="4" t="s">
        <v>59</v>
      </c>
      <c r="I111" s="3"/>
      <c r="J111" s="3"/>
      <c r="K111" s="3"/>
      <c r="L111" s="3"/>
      <c r="M111" s="3"/>
      <c r="N111" s="3"/>
      <c r="O111" s="3"/>
      <c r="P111" s="8"/>
      <c r="Q111" s="8"/>
      <c r="R111" s="3"/>
      <c r="S111" s="3"/>
      <c r="T111" s="3"/>
      <c r="U111" s="5" t="str">
        <f t="shared" si="6"/>
        <v/>
      </c>
    </row>
    <row r="112" spans="1:21" ht="28" customHeight="1" x14ac:dyDescent="0.35">
      <c r="A112" s="4">
        <v>5</v>
      </c>
      <c r="B112" s="4" t="s">
        <v>66</v>
      </c>
      <c r="C112" s="4" t="s">
        <v>67</v>
      </c>
      <c r="D112" s="4" t="s">
        <v>68</v>
      </c>
      <c r="E112" s="4" t="s">
        <v>69</v>
      </c>
      <c r="F112" s="4" t="s">
        <v>57</v>
      </c>
      <c r="G112" s="4" t="s">
        <v>58</v>
      </c>
      <c r="H112" s="4" t="s">
        <v>59</v>
      </c>
      <c r="I112" s="3"/>
      <c r="J112" s="3"/>
      <c r="K112" s="3"/>
      <c r="L112" s="3"/>
      <c r="M112" s="3"/>
      <c r="N112" s="3"/>
      <c r="O112" s="3"/>
      <c r="P112" s="8"/>
      <c r="Q112" s="8"/>
      <c r="R112" s="3"/>
      <c r="S112" s="3"/>
      <c r="T112" s="3"/>
      <c r="U112" s="5" t="str">
        <f t="shared" si="6"/>
        <v/>
      </c>
    </row>
    <row r="113" spans="1:21" ht="28" customHeight="1" x14ac:dyDescent="0.35">
      <c r="A113" s="4">
        <v>6</v>
      </c>
      <c r="B113" s="4" t="s">
        <v>70</v>
      </c>
      <c r="C113" s="4" t="s">
        <v>71</v>
      </c>
      <c r="D113" s="4" t="s">
        <v>72</v>
      </c>
      <c r="E113" s="4" t="s">
        <v>70</v>
      </c>
      <c r="F113" s="4" t="s">
        <v>57</v>
      </c>
      <c r="G113" s="4" t="s">
        <v>58</v>
      </c>
      <c r="H113" s="4" t="s">
        <v>59</v>
      </c>
      <c r="I113" s="3"/>
      <c r="J113" s="3"/>
      <c r="K113" s="3"/>
      <c r="L113" s="3"/>
      <c r="M113" s="3"/>
      <c r="N113" s="3"/>
      <c r="O113" s="3"/>
      <c r="P113" s="8"/>
      <c r="Q113" s="8"/>
      <c r="R113" s="3"/>
      <c r="S113" s="3"/>
      <c r="T113" s="3"/>
      <c r="U113" s="5" t="str">
        <f t="shared" si="6"/>
        <v/>
      </c>
    </row>
    <row r="114" spans="1:21" ht="28" customHeight="1" x14ac:dyDescent="0.35">
      <c r="A114" s="4">
        <v>7</v>
      </c>
      <c r="B114" s="4" t="s">
        <v>73</v>
      </c>
      <c r="C114" s="4" t="s">
        <v>74</v>
      </c>
      <c r="D114" s="4" t="s">
        <v>75</v>
      </c>
      <c r="E114" s="4" t="s">
        <v>69</v>
      </c>
      <c r="F114" s="4" t="s">
        <v>57</v>
      </c>
      <c r="G114" s="4" t="s">
        <v>58</v>
      </c>
      <c r="H114" s="4" t="s">
        <v>76</v>
      </c>
      <c r="I114" s="3"/>
      <c r="J114" s="3"/>
      <c r="K114" s="3"/>
      <c r="L114" s="3"/>
      <c r="M114" s="3"/>
      <c r="N114" s="3"/>
      <c r="O114" s="3"/>
      <c r="P114" s="8"/>
      <c r="Q114" s="8"/>
      <c r="R114" s="3"/>
      <c r="S114" s="3"/>
      <c r="T114" s="3"/>
      <c r="U114" s="5" t="str">
        <f t="shared" si="6"/>
        <v/>
      </c>
    </row>
    <row r="115" spans="1:21" ht="28" customHeight="1" x14ac:dyDescent="0.35">
      <c r="A115" s="4">
        <v>8</v>
      </c>
      <c r="B115" s="4" t="s">
        <v>77</v>
      </c>
      <c r="C115" s="4" t="s">
        <v>78</v>
      </c>
      <c r="D115" s="4" t="s">
        <v>79</v>
      </c>
      <c r="E115" s="4" t="s">
        <v>80</v>
      </c>
      <c r="F115" s="4" t="s">
        <v>57</v>
      </c>
      <c r="G115" s="4" t="s">
        <v>58</v>
      </c>
      <c r="H115" s="4" t="s">
        <v>59</v>
      </c>
      <c r="I115" s="3"/>
      <c r="J115" s="3"/>
      <c r="K115" s="3"/>
      <c r="L115" s="3"/>
      <c r="M115" s="3"/>
      <c r="N115" s="3"/>
      <c r="O115" s="3"/>
      <c r="P115" s="8"/>
      <c r="Q115" s="8"/>
      <c r="R115" s="3"/>
      <c r="S115" s="3"/>
      <c r="T115" s="3"/>
      <c r="U115" s="5" t="str">
        <f t="shared" si="6"/>
        <v/>
      </c>
    </row>
    <row r="116" spans="1:21" ht="28" customHeight="1" x14ac:dyDescent="0.35">
      <c r="A116" s="4">
        <v>9</v>
      </c>
      <c r="B116" s="4" t="s">
        <v>81</v>
      </c>
      <c r="C116" s="4" t="s">
        <v>82</v>
      </c>
      <c r="D116" s="4" t="s">
        <v>83</v>
      </c>
      <c r="E116" s="4" t="s">
        <v>84</v>
      </c>
      <c r="F116" s="4" t="s">
        <v>57</v>
      </c>
      <c r="G116" s="4" t="s">
        <v>58</v>
      </c>
      <c r="H116" s="4" t="s">
        <v>85</v>
      </c>
      <c r="I116" s="3"/>
      <c r="J116" s="3"/>
      <c r="K116" s="3"/>
      <c r="L116" s="3"/>
      <c r="M116" s="3"/>
      <c r="N116" s="3"/>
      <c r="O116" s="3"/>
      <c r="P116" s="8"/>
      <c r="Q116" s="8"/>
      <c r="R116" s="3"/>
      <c r="S116" s="3"/>
      <c r="T116" s="3"/>
      <c r="U116" s="5" t="str">
        <f t="shared" si="6"/>
        <v/>
      </c>
    </row>
    <row r="117" spans="1:21" ht="28" customHeight="1" x14ac:dyDescent="0.35">
      <c r="A117" s="4">
        <v>10</v>
      </c>
      <c r="B117" s="4" t="s">
        <v>86</v>
      </c>
      <c r="C117" s="4" t="s">
        <v>87</v>
      </c>
      <c r="D117" s="4" t="s">
        <v>88</v>
      </c>
      <c r="E117" s="4" t="s">
        <v>69</v>
      </c>
      <c r="F117" s="4" t="s">
        <v>57</v>
      </c>
      <c r="G117" s="4" t="s">
        <v>58</v>
      </c>
      <c r="H117" s="4" t="s">
        <v>59</v>
      </c>
      <c r="I117" s="3"/>
      <c r="J117" s="3"/>
      <c r="K117" s="3"/>
      <c r="L117" s="3"/>
      <c r="M117" s="3"/>
      <c r="N117" s="3"/>
      <c r="O117" s="3"/>
      <c r="P117" s="8"/>
      <c r="Q117" s="8"/>
      <c r="R117" s="3"/>
      <c r="S117" s="3"/>
      <c r="T117" s="3"/>
      <c r="U117" s="5" t="str">
        <f t="shared" si="6"/>
        <v/>
      </c>
    </row>
    <row r="118" spans="1:21" ht="28" customHeight="1" x14ac:dyDescent="0.35">
      <c r="A118" s="4">
        <v>11</v>
      </c>
      <c r="B118" s="4" t="s">
        <v>89</v>
      </c>
      <c r="C118" s="4" t="s">
        <v>90</v>
      </c>
      <c r="D118" s="4" t="s">
        <v>91</v>
      </c>
      <c r="E118" s="4" t="s">
        <v>84</v>
      </c>
      <c r="F118" s="4" t="s">
        <v>57</v>
      </c>
      <c r="G118" s="4" t="s">
        <v>58</v>
      </c>
      <c r="H118" s="4" t="s">
        <v>59</v>
      </c>
      <c r="I118" s="3"/>
      <c r="J118" s="3"/>
      <c r="K118" s="3"/>
      <c r="L118" s="3"/>
      <c r="M118" s="3"/>
      <c r="N118" s="3"/>
      <c r="O118" s="3"/>
      <c r="P118" s="8"/>
      <c r="Q118" s="8"/>
      <c r="R118" s="3"/>
      <c r="S118" s="3"/>
      <c r="T118" s="3"/>
      <c r="U118" s="5" t="str">
        <f t="shared" si="6"/>
        <v/>
      </c>
    </row>
    <row r="119" spans="1:21" ht="28" customHeight="1" x14ac:dyDescent="0.35">
      <c r="A119" s="4">
        <v>12</v>
      </c>
      <c r="B119" s="4" t="s">
        <v>92</v>
      </c>
      <c r="C119" s="4" t="s">
        <v>93</v>
      </c>
      <c r="D119" s="4" t="s">
        <v>94</v>
      </c>
      <c r="E119" s="4" t="s">
        <v>69</v>
      </c>
      <c r="F119" s="4" t="s">
        <v>95</v>
      </c>
      <c r="G119" s="4" t="s">
        <v>96</v>
      </c>
      <c r="H119" s="4" t="s">
        <v>59</v>
      </c>
      <c r="I119" s="3"/>
      <c r="J119" s="3"/>
      <c r="K119" s="3"/>
      <c r="L119" s="3"/>
      <c r="M119" s="3"/>
      <c r="N119" s="3"/>
      <c r="O119" s="3"/>
      <c r="P119" s="8"/>
      <c r="Q119" s="8"/>
      <c r="R119" s="3"/>
      <c r="S119" s="3"/>
      <c r="T119" s="3"/>
      <c r="U119" s="5" t="str">
        <f t="shared" si="6"/>
        <v/>
      </c>
    </row>
    <row r="120" spans="1:21" ht="28" customHeight="1" x14ac:dyDescent="0.35">
      <c r="A120" s="4">
        <v>13</v>
      </c>
      <c r="B120" s="4" t="s">
        <v>97</v>
      </c>
      <c r="C120" s="4" t="s">
        <v>98</v>
      </c>
      <c r="D120" s="4" t="s">
        <v>99</v>
      </c>
      <c r="E120" s="4" t="s">
        <v>69</v>
      </c>
      <c r="F120" s="4" t="s">
        <v>95</v>
      </c>
      <c r="G120" s="4" t="s">
        <v>96</v>
      </c>
      <c r="H120" s="4" t="s">
        <v>59</v>
      </c>
      <c r="I120" s="3"/>
      <c r="J120" s="3"/>
      <c r="K120" s="3"/>
      <c r="L120" s="3"/>
      <c r="M120" s="3"/>
      <c r="N120" s="3"/>
      <c r="O120" s="3"/>
      <c r="P120" s="8"/>
      <c r="Q120" s="8"/>
      <c r="R120" s="3"/>
      <c r="S120" s="3"/>
      <c r="T120" s="3"/>
      <c r="U120" s="5" t="str">
        <f t="shared" si="6"/>
        <v/>
      </c>
    </row>
    <row r="121" spans="1:21" ht="28" customHeight="1" x14ac:dyDescent="0.35">
      <c r="A121" s="4">
        <v>14</v>
      </c>
      <c r="B121" s="4" t="s">
        <v>97</v>
      </c>
      <c r="C121" s="4" t="s">
        <v>100</v>
      </c>
      <c r="D121" s="4" t="s">
        <v>101</v>
      </c>
      <c r="E121" s="4" t="s">
        <v>69</v>
      </c>
      <c r="F121" s="4" t="s">
        <v>95</v>
      </c>
      <c r="G121" s="4" t="s">
        <v>102</v>
      </c>
      <c r="H121" s="4" t="s">
        <v>59</v>
      </c>
      <c r="I121" s="3"/>
      <c r="J121" s="3"/>
      <c r="K121" s="3"/>
      <c r="L121" s="3"/>
      <c r="M121" s="3"/>
      <c r="N121" s="3"/>
      <c r="O121" s="3"/>
      <c r="P121" s="8"/>
      <c r="Q121" s="8"/>
      <c r="R121" s="3"/>
      <c r="S121" s="3"/>
      <c r="T121" s="3"/>
      <c r="U121" s="5" t="str">
        <f t="shared" si="6"/>
        <v/>
      </c>
    </row>
    <row r="122" spans="1:21" ht="28" customHeight="1" x14ac:dyDescent="0.35">
      <c r="A122" s="4">
        <v>15</v>
      </c>
      <c r="B122" s="4" t="s">
        <v>103</v>
      </c>
      <c r="C122" s="4" t="s">
        <v>104</v>
      </c>
      <c r="D122" s="4" t="s">
        <v>105</v>
      </c>
      <c r="E122" s="4" t="s">
        <v>69</v>
      </c>
      <c r="F122" s="4" t="s">
        <v>95</v>
      </c>
      <c r="G122" s="4" t="s">
        <v>96</v>
      </c>
      <c r="H122" s="4" t="s">
        <v>85</v>
      </c>
      <c r="I122" s="3"/>
      <c r="J122" s="3"/>
      <c r="K122" s="3"/>
      <c r="L122" s="3"/>
      <c r="M122" s="3"/>
      <c r="N122" s="3"/>
      <c r="O122" s="3"/>
      <c r="P122" s="8"/>
      <c r="Q122" s="8"/>
      <c r="R122" s="3"/>
      <c r="S122" s="3"/>
      <c r="T122" s="3"/>
      <c r="U122" s="5" t="str">
        <f t="shared" si="6"/>
        <v/>
      </c>
    </row>
    <row r="123" spans="1:21" ht="28" customHeight="1" x14ac:dyDescent="0.35">
      <c r="A123" s="4">
        <v>16</v>
      </c>
      <c r="B123" s="4" t="s">
        <v>106</v>
      </c>
      <c r="C123" s="4" t="s">
        <v>107</v>
      </c>
      <c r="D123" s="4" t="s">
        <v>108</v>
      </c>
      <c r="E123" s="4" t="s">
        <v>109</v>
      </c>
      <c r="F123" s="4" t="s">
        <v>95</v>
      </c>
      <c r="G123" s="4" t="s">
        <v>96</v>
      </c>
      <c r="H123" s="4" t="s">
        <v>59</v>
      </c>
      <c r="I123" s="3"/>
      <c r="J123" s="3"/>
      <c r="K123" s="3"/>
      <c r="L123" s="3"/>
      <c r="M123" s="3"/>
      <c r="N123" s="3"/>
      <c r="O123" s="3"/>
      <c r="P123" s="8"/>
      <c r="Q123" s="8"/>
      <c r="R123" s="3"/>
      <c r="S123" s="3"/>
      <c r="T123" s="3"/>
      <c r="U123" s="5" t="str">
        <f t="shared" si="6"/>
        <v/>
      </c>
    </row>
    <row r="125" spans="1:21" ht="28" customHeight="1" x14ac:dyDescent="0.35">
      <c r="A125" s="9" t="s">
        <v>110</v>
      </c>
      <c r="B125" s="16"/>
      <c r="C125" s="17"/>
      <c r="D125" s="17"/>
      <c r="E125" s="17"/>
      <c r="F125" s="17"/>
      <c r="G125" s="17"/>
      <c r="H125" s="17"/>
      <c r="I125" s="17"/>
      <c r="J125" s="17"/>
      <c r="K125" s="17"/>
      <c r="L125" s="17"/>
      <c r="M125" s="17"/>
      <c r="N125" s="17"/>
      <c r="O125" s="17"/>
      <c r="P125" s="17"/>
      <c r="Q125" s="17"/>
      <c r="R125" s="17"/>
      <c r="S125" s="17"/>
      <c r="T125" s="17"/>
      <c r="U125" s="18"/>
    </row>
    <row r="126" spans="1:21" ht="28" customHeight="1" x14ac:dyDescent="0.35">
      <c r="A126" s="19" t="s">
        <v>675</v>
      </c>
      <c r="B126" s="20"/>
      <c r="C126" s="20"/>
      <c r="D126" s="20"/>
      <c r="E126" s="20"/>
      <c r="F126" s="20"/>
      <c r="G126" s="20"/>
      <c r="H126" s="20"/>
      <c r="I126" s="20"/>
      <c r="J126" s="20"/>
      <c r="K126" s="20"/>
      <c r="L126" s="20"/>
      <c r="M126" s="20"/>
      <c r="N126" s="20"/>
      <c r="O126" s="20"/>
      <c r="P126" s="20"/>
      <c r="Q126" s="20"/>
      <c r="R126" s="20"/>
      <c r="S126" s="20"/>
      <c r="T126" s="20"/>
      <c r="U126" s="21"/>
    </row>
    <row r="127" spans="1:21" ht="28" customHeight="1" x14ac:dyDescent="0.35">
      <c r="A127" s="4" t="s">
        <v>31</v>
      </c>
      <c r="B127" s="3" t="s">
        <v>23</v>
      </c>
      <c r="C127" s="4" t="s">
        <v>32</v>
      </c>
      <c r="D127" s="3"/>
      <c r="E127" s="4" t="s">
        <v>33</v>
      </c>
      <c r="F127" s="8"/>
    </row>
    <row r="128" spans="1:21" ht="28" customHeight="1" x14ac:dyDescent="0.35">
      <c r="A128" s="1" t="s">
        <v>34</v>
      </c>
      <c r="B128" s="1" t="s">
        <v>35</v>
      </c>
      <c r="C128" s="1" t="s">
        <v>36</v>
      </c>
      <c r="D128" s="1" t="s">
        <v>37</v>
      </c>
      <c r="E128" s="1" t="s">
        <v>38</v>
      </c>
      <c r="F128" s="1" t="s">
        <v>39</v>
      </c>
      <c r="G128" s="1" t="s">
        <v>40</v>
      </c>
      <c r="H128" s="1" t="s">
        <v>41</v>
      </c>
      <c r="I128" s="1" t="s">
        <v>42</v>
      </c>
      <c r="J128" s="1" t="s">
        <v>43</v>
      </c>
      <c r="K128" s="1" t="s">
        <v>44</v>
      </c>
      <c r="L128" s="1" t="s">
        <v>45</v>
      </c>
      <c r="M128" s="1" t="s">
        <v>46</v>
      </c>
      <c r="N128" s="1" t="s">
        <v>47</v>
      </c>
      <c r="O128" s="1" t="s">
        <v>48</v>
      </c>
      <c r="P128" s="1" t="s">
        <v>4</v>
      </c>
      <c r="Q128" s="1" t="s">
        <v>49</v>
      </c>
      <c r="R128" s="1" t="s">
        <v>50</v>
      </c>
      <c r="S128" s="1" t="s">
        <v>51</v>
      </c>
      <c r="T128" s="1" t="s">
        <v>52</v>
      </c>
      <c r="U128" s="1" t="s">
        <v>10</v>
      </c>
    </row>
    <row r="129" spans="1:21" ht="28" customHeight="1" x14ac:dyDescent="0.35">
      <c r="A129" s="4">
        <v>1</v>
      </c>
      <c r="B129" s="4" t="s">
        <v>53</v>
      </c>
      <c r="C129" s="4" t="s">
        <v>663</v>
      </c>
      <c r="D129" s="4" t="s">
        <v>664</v>
      </c>
      <c r="E129" s="4" t="s">
        <v>56</v>
      </c>
      <c r="F129" s="4" t="s">
        <v>57</v>
      </c>
      <c r="G129" s="4" t="s">
        <v>58</v>
      </c>
      <c r="H129" s="4" t="s">
        <v>59</v>
      </c>
      <c r="I129" s="3"/>
      <c r="J129" s="3"/>
      <c r="K129" s="3"/>
      <c r="L129" s="3"/>
      <c r="M129" s="3"/>
      <c r="N129" s="3"/>
      <c r="O129" s="3"/>
      <c r="P129" s="8"/>
      <c r="Q129" s="8"/>
      <c r="R129" s="3"/>
      <c r="S129" s="3"/>
      <c r="T129" s="3"/>
      <c r="U129" s="5" t="str">
        <f t="shared" ref="U129:U144" si="7">IF(I129="","",IF(I129="NA","Grey",IF(I129=2,"Green",IF(I129=1,"Amber","Red"))))</f>
        <v/>
      </c>
    </row>
    <row r="130" spans="1:21" ht="28" customHeight="1" x14ac:dyDescent="0.35">
      <c r="A130" s="4">
        <v>2</v>
      </c>
      <c r="B130" s="4" t="s">
        <v>53</v>
      </c>
      <c r="C130" s="4" t="s">
        <v>665</v>
      </c>
      <c r="D130" s="4" t="s">
        <v>666</v>
      </c>
      <c r="E130" s="4" t="s">
        <v>56</v>
      </c>
      <c r="F130" s="4" t="s">
        <v>57</v>
      </c>
      <c r="G130" s="4" t="s">
        <v>58</v>
      </c>
      <c r="H130" s="4" t="s">
        <v>59</v>
      </c>
      <c r="I130" s="3"/>
      <c r="J130" s="3"/>
      <c r="K130" s="3"/>
      <c r="L130" s="3"/>
      <c r="M130" s="3"/>
      <c r="N130" s="3"/>
      <c r="O130" s="3"/>
      <c r="P130" s="8"/>
      <c r="Q130" s="8"/>
      <c r="R130" s="3"/>
      <c r="S130" s="3"/>
      <c r="T130" s="3"/>
      <c r="U130" s="5" t="str">
        <f t="shared" si="7"/>
        <v/>
      </c>
    </row>
    <row r="131" spans="1:21" ht="28" customHeight="1" x14ac:dyDescent="0.35">
      <c r="A131" s="4">
        <v>3</v>
      </c>
      <c r="B131" s="4" t="s">
        <v>53</v>
      </c>
      <c r="C131" s="4" t="s">
        <v>667</v>
      </c>
      <c r="D131" s="4" t="s">
        <v>668</v>
      </c>
      <c r="E131" s="4" t="s">
        <v>56</v>
      </c>
      <c r="F131" s="4" t="s">
        <v>57</v>
      </c>
      <c r="G131" s="4" t="s">
        <v>58</v>
      </c>
      <c r="H131" s="4" t="s">
        <v>59</v>
      </c>
      <c r="I131" s="3"/>
      <c r="J131" s="3"/>
      <c r="K131" s="3"/>
      <c r="L131" s="3"/>
      <c r="M131" s="3"/>
      <c r="N131" s="3"/>
      <c r="O131" s="3"/>
      <c r="P131" s="8"/>
      <c r="Q131" s="8"/>
      <c r="R131" s="3"/>
      <c r="S131" s="3"/>
      <c r="T131" s="3"/>
      <c r="U131" s="5" t="str">
        <f t="shared" si="7"/>
        <v/>
      </c>
    </row>
    <row r="132" spans="1:21" ht="28" customHeight="1" x14ac:dyDescent="0.35">
      <c r="A132" s="4">
        <v>4</v>
      </c>
      <c r="B132" s="4" t="s">
        <v>53</v>
      </c>
      <c r="C132" s="4" t="s">
        <v>669</v>
      </c>
      <c r="D132" s="4" t="s">
        <v>670</v>
      </c>
      <c r="E132" s="4" t="s">
        <v>56</v>
      </c>
      <c r="F132" s="4" t="s">
        <v>57</v>
      </c>
      <c r="G132" s="4" t="s">
        <v>58</v>
      </c>
      <c r="H132" s="4" t="s">
        <v>59</v>
      </c>
      <c r="I132" s="3"/>
      <c r="J132" s="3"/>
      <c r="K132" s="3"/>
      <c r="L132" s="3"/>
      <c r="M132" s="3"/>
      <c r="N132" s="3"/>
      <c r="O132" s="3"/>
      <c r="P132" s="8"/>
      <c r="Q132" s="8"/>
      <c r="R132" s="3"/>
      <c r="S132" s="3"/>
      <c r="T132" s="3"/>
      <c r="U132" s="5" t="str">
        <f t="shared" si="7"/>
        <v/>
      </c>
    </row>
    <row r="133" spans="1:21" ht="28" customHeight="1" x14ac:dyDescent="0.35">
      <c r="A133" s="4">
        <v>5</v>
      </c>
      <c r="B133" s="4" t="s">
        <v>66</v>
      </c>
      <c r="C133" s="4" t="s">
        <v>67</v>
      </c>
      <c r="D133" s="4" t="s">
        <v>68</v>
      </c>
      <c r="E133" s="4" t="s">
        <v>69</v>
      </c>
      <c r="F133" s="4" t="s">
        <v>57</v>
      </c>
      <c r="G133" s="4" t="s">
        <v>58</v>
      </c>
      <c r="H133" s="4" t="s">
        <v>59</v>
      </c>
      <c r="I133" s="3"/>
      <c r="J133" s="3"/>
      <c r="K133" s="3"/>
      <c r="L133" s="3"/>
      <c r="M133" s="3"/>
      <c r="N133" s="3"/>
      <c r="O133" s="3"/>
      <c r="P133" s="8"/>
      <c r="Q133" s="8"/>
      <c r="R133" s="3"/>
      <c r="S133" s="3"/>
      <c r="T133" s="3"/>
      <c r="U133" s="5" t="str">
        <f t="shared" si="7"/>
        <v/>
      </c>
    </row>
    <row r="134" spans="1:21" ht="28" customHeight="1" x14ac:dyDescent="0.35">
      <c r="A134" s="4">
        <v>6</v>
      </c>
      <c r="B134" s="4" t="s">
        <v>70</v>
      </c>
      <c r="C134" s="4" t="s">
        <v>71</v>
      </c>
      <c r="D134" s="4" t="s">
        <v>72</v>
      </c>
      <c r="E134" s="4" t="s">
        <v>70</v>
      </c>
      <c r="F134" s="4" t="s">
        <v>57</v>
      </c>
      <c r="G134" s="4" t="s">
        <v>58</v>
      </c>
      <c r="H134" s="4" t="s">
        <v>59</v>
      </c>
      <c r="I134" s="3"/>
      <c r="J134" s="3"/>
      <c r="K134" s="3"/>
      <c r="L134" s="3"/>
      <c r="M134" s="3"/>
      <c r="N134" s="3"/>
      <c r="O134" s="3"/>
      <c r="P134" s="8"/>
      <c r="Q134" s="8"/>
      <c r="R134" s="3"/>
      <c r="S134" s="3"/>
      <c r="T134" s="3"/>
      <c r="U134" s="5" t="str">
        <f t="shared" si="7"/>
        <v/>
      </c>
    </row>
    <row r="135" spans="1:21" ht="28" customHeight="1" x14ac:dyDescent="0.35">
      <c r="A135" s="4">
        <v>7</v>
      </c>
      <c r="B135" s="4" t="s">
        <v>73</v>
      </c>
      <c r="C135" s="4" t="s">
        <v>74</v>
      </c>
      <c r="D135" s="4" t="s">
        <v>75</v>
      </c>
      <c r="E135" s="4" t="s">
        <v>69</v>
      </c>
      <c r="F135" s="4" t="s">
        <v>57</v>
      </c>
      <c r="G135" s="4" t="s">
        <v>58</v>
      </c>
      <c r="H135" s="4" t="s">
        <v>76</v>
      </c>
      <c r="I135" s="3"/>
      <c r="J135" s="3"/>
      <c r="K135" s="3"/>
      <c r="L135" s="3"/>
      <c r="M135" s="3"/>
      <c r="N135" s="3"/>
      <c r="O135" s="3"/>
      <c r="P135" s="8"/>
      <c r="Q135" s="8"/>
      <c r="R135" s="3"/>
      <c r="S135" s="3"/>
      <c r="T135" s="3"/>
      <c r="U135" s="5" t="str">
        <f t="shared" si="7"/>
        <v/>
      </c>
    </row>
    <row r="136" spans="1:21" ht="28" customHeight="1" x14ac:dyDescent="0.35">
      <c r="A136" s="4">
        <v>8</v>
      </c>
      <c r="B136" s="4" t="s">
        <v>77</v>
      </c>
      <c r="C136" s="4" t="s">
        <v>78</v>
      </c>
      <c r="D136" s="4" t="s">
        <v>79</v>
      </c>
      <c r="E136" s="4" t="s">
        <v>80</v>
      </c>
      <c r="F136" s="4" t="s">
        <v>57</v>
      </c>
      <c r="G136" s="4" t="s">
        <v>58</v>
      </c>
      <c r="H136" s="4" t="s">
        <v>59</v>
      </c>
      <c r="I136" s="3"/>
      <c r="J136" s="3"/>
      <c r="K136" s="3"/>
      <c r="L136" s="3"/>
      <c r="M136" s="3"/>
      <c r="N136" s="3"/>
      <c r="O136" s="3"/>
      <c r="P136" s="8"/>
      <c r="Q136" s="8"/>
      <c r="R136" s="3"/>
      <c r="S136" s="3"/>
      <c r="T136" s="3"/>
      <c r="U136" s="5" t="str">
        <f t="shared" si="7"/>
        <v/>
      </c>
    </row>
    <row r="137" spans="1:21" ht="28" customHeight="1" x14ac:dyDescent="0.35">
      <c r="A137" s="4">
        <v>9</v>
      </c>
      <c r="B137" s="4" t="s">
        <v>81</v>
      </c>
      <c r="C137" s="4" t="s">
        <v>82</v>
      </c>
      <c r="D137" s="4" t="s">
        <v>83</v>
      </c>
      <c r="E137" s="4" t="s">
        <v>84</v>
      </c>
      <c r="F137" s="4" t="s">
        <v>57</v>
      </c>
      <c r="G137" s="4" t="s">
        <v>58</v>
      </c>
      <c r="H137" s="4" t="s">
        <v>85</v>
      </c>
      <c r="I137" s="3"/>
      <c r="J137" s="3"/>
      <c r="K137" s="3"/>
      <c r="L137" s="3"/>
      <c r="M137" s="3"/>
      <c r="N137" s="3"/>
      <c r="O137" s="3"/>
      <c r="P137" s="8"/>
      <c r="Q137" s="8"/>
      <c r="R137" s="3"/>
      <c r="S137" s="3"/>
      <c r="T137" s="3"/>
      <c r="U137" s="5" t="str">
        <f t="shared" si="7"/>
        <v/>
      </c>
    </row>
    <row r="138" spans="1:21" ht="28" customHeight="1" x14ac:dyDescent="0.35">
      <c r="A138" s="4">
        <v>10</v>
      </c>
      <c r="B138" s="4" t="s">
        <v>86</v>
      </c>
      <c r="C138" s="4" t="s">
        <v>87</v>
      </c>
      <c r="D138" s="4" t="s">
        <v>88</v>
      </c>
      <c r="E138" s="4" t="s">
        <v>69</v>
      </c>
      <c r="F138" s="4" t="s">
        <v>57</v>
      </c>
      <c r="G138" s="4" t="s">
        <v>58</v>
      </c>
      <c r="H138" s="4" t="s">
        <v>59</v>
      </c>
      <c r="I138" s="3"/>
      <c r="J138" s="3"/>
      <c r="K138" s="3"/>
      <c r="L138" s="3"/>
      <c r="M138" s="3"/>
      <c r="N138" s="3"/>
      <c r="O138" s="3"/>
      <c r="P138" s="8"/>
      <c r="Q138" s="8"/>
      <c r="R138" s="3"/>
      <c r="S138" s="3"/>
      <c r="T138" s="3"/>
      <c r="U138" s="5" t="str">
        <f t="shared" si="7"/>
        <v/>
      </c>
    </row>
    <row r="139" spans="1:21" ht="28" customHeight="1" x14ac:dyDescent="0.35">
      <c r="A139" s="4">
        <v>11</v>
      </c>
      <c r="B139" s="4" t="s">
        <v>89</v>
      </c>
      <c r="C139" s="4" t="s">
        <v>90</v>
      </c>
      <c r="D139" s="4" t="s">
        <v>91</v>
      </c>
      <c r="E139" s="4" t="s">
        <v>84</v>
      </c>
      <c r="F139" s="4" t="s">
        <v>57</v>
      </c>
      <c r="G139" s="4" t="s">
        <v>58</v>
      </c>
      <c r="H139" s="4" t="s">
        <v>59</v>
      </c>
      <c r="I139" s="3"/>
      <c r="J139" s="3"/>
      <c r="K139" s="3"/>
      <c r="L139" s="3"/>
      <c r="M139" s="3"/>
      <c r="N139" s="3"/>
      <c r="O139" s="3"/>
      <c r="P139" s="8"/>
      <c r="Q139" s="8"/>
      <c r="R139" s="3"/>
      <c r="S139" s="3"/>
      <c r="T139" s="3"/>
      <c r="U139" s="5" t="str">
        <f t="shared" si="7"/>
        <v/>
      </c>
    </row>
    <row r="140" spans="1:21" ht="28" customHeight="1" x14ac:dyDescent="0.35">
      <c r="A140" s="4">
        <v>12</v>
      </c>
      <c r="B140" s="4" t="s">
        <v>92</v>
      </c>
      <c r="C140" s="4" t="s">
        <v>93</v>
      </c>
      <c r="D140" s="4" t="s">
        <v>94</v>
      </c>
      <c r="E140" s="4" t="s">
        <v>69</v>
      </c>
      <c r="F140" s="4" t="s">
        <v>95</v>
      </c>
      <c r="G140" s="4" t="s">
        <v>96</v>
      </c>
      <c r="H140" s="4" t="s">
        <v>59</v>
      </c>
      <c r="I140" s="3"/>
      <c r="J140" s="3"/>
      <c r="K140" s="3"/>
      <c r="L140" s="3"/>
      <c r="M140" s="3"/>
      <c r="N140" s="3"/>
      <c r="O140" s="3"/>
      <c r="P140" s="8"/>
      <c r="Q140" s="8"/>
      <c r="R140" s="3"/>
      <c r="S140" s="3"/>
      <c r="T140" s="3"/>
      <c r="U140" s="5" t="str">
        <f t="shared" si="7"/>
        <v/>
      </c>
    </row>
    <row r="141" spans="1:21" ht="28" customHeight="1" x14ac:dyDescent="0.35">
      <c r="A141" s="4">
        <v>13</v>
      </c>
      <c r="B141" s="4" t="s">
        <v>97</v>
      </c>
      <c r="C141" s="4" t="s">
        <v>98</v>
      </c>
      <c r="D141" s="4" t="s">
        <v>99</v>
      </c>
      <c r="E141" s="4" t="s">
        <v>69</v>
      </c>
      <c r="F141" s="4" t="s">
        <v>95</v>
      </c>
      <c r="G141" s="4" t="s">
        <v>96</v>
      </c>
      <c r="H141" s="4" t="s">
        <v>59</v>
      </c>
      <c r="I141" s="3"/>
      <c r="J141" s="3"/>
      <c r="K141" s="3"/>
      <c r="L141" s="3"/>
      <c r="M141" s="3"/>
      <c r="N141" s="3"/>
      <c r="O141" s="3"/>
      <c r="P141" s="8"/>
      <c r="Q141" s="8"/>
      <c r="R141" s="3"/>
      <c r="S141" s="3"/>
      <c r="T141" s="3"/>
      <c r="U141" s="5" t="str">
        <f t="shared" si="7"/>
        <v/>
      </c>
    </row>
    <row r="142" spans="1:21" ht="28" customHeight="1" x14ac:dyDescent="0.35">
      <c r="A142" s="4">
        <v>14</v>
      </c>
      <c r="B142" s="4" t="s">
        <v>97</v>
      </c>
      <c r="C142" s="4" t="s">
        <v>100</v>
      </c>
      <c r="D142" s="4" t="s">
        <v>101</v>
      </c>
      <c r="E142" s="4" t="s">
        <v>69</v>
      </c>
      <c r="F142" s="4" t="s">
        <v>95</v>
      </c>
      <c r="G142" s="4" t="s">
        <v>102</v>
      </c>
      <c r="H142" s="4" t="s">
        <v>59</v>
      </c>
      <c r="I142" s="3"/>
      <c r="J142" s="3"/>
      <c r="K142" s="3"/>
      <c r="L142" s="3"/>
      <c r="M142" s="3"/>
      <c r="N142" s="3"/>
      <c r="O142" s="3"/>
      <c r="P142" s="8"/>
      <c r="Q142" s="8"/>
      <c r="R142" s="3"/>
      <c r="S142" s="3"/>
      <c r="T142" s="3"/>
      <c r="U142" s="5" t="str">
        <f t="shared" si="7"/>
        <v/>
      </c>
    </row>
    <row r="143" spans="1:21" ht="28" customHeight="1" x14ac:dyDescent="0.35">
      <c r="A143" s="4">
        <v>15</v>
      </c>
      <c r="B143" s="4" t="s">
        <v>103</v>
      </c>
      <c r="C143" s="4" t="s">
        <v>104</v>
      </c>
      <c r="D143" s="4" t="s">
        <v>105</v>
      </c>
      <c r="E143" s="4" t="s">
        <v>69</v>
      </c>
      <c r="F143" s="4" t="s">
        <v>95</v>
      </c>
      <c r="G143" s="4" t="s">
        <v>96</v>
      </c>
      <c r="H143" s="4" t="s">
        <v>85</v>
      </c>
      <c r="I143" s="3"/>
      <c r="J143" s="3"/>
      <c r="K143" s="3"/>
      <c r="L143" s="3"/>
      <c r="M143" s="3"/>
      <c r="N143" s="3"/>
      <c r="O143" s="3"/>
      <c r="P143" s="8"/>
      <c r="Q143" s="8"/>
      <c r="R143" s="3"/>
      <c r="S143" s="3"/>
      <c r="T143" s="3"/>
      <c r="U143" s="5" t="str">
        <f t="shared" si="7"/>
        <v/>
      </c>
    </row>
    <row r="144" spans="1:21" ht="28" customHeight="1" x14ac:dyDescent="0.35">
      <c r="A144" s="4">
        <v>16</v>
      </c>
      <c r="B144" s="4" t="s">
        <v>106</v>
      </c>
      <c r="C144" s="4" t="s">
        <v>107</v>
      </c>
      <c r="D144" s="4" t="s">
        <v>108</v>
      </c>
      <c r="E144" s="4" t="s">
        <v>109</v>
      </c>
      <c r="F144" s="4" t="s">
        <v>95</v>
      </c>
      <c r="G144" s="4" t="s">
        <v>96</v>
      </c>
      <c r="H144" s="4" t="s">
        <v>59</v>
      </c>
      <c r="I144" s="3"/>
      <c r="J144" s="3"/>
      <c r="K144" s="3"/>
      <c r="L144" s="3"/>
      <c r="M144" s="3"/>
      <c r="N144" s="3"/>
      <c r="O144" s="3"/>
      <c r="P144" s="8"/>
      <c r="Q144" s="8"/>
      <c r="R144" s="3"/>
      <c r="S144" s="3"/>
      <c r="T144" s="3"/>
      <c r="U144" s="5" t="str">
        <f t="shared" si="7"/>
        <v/>
      </c>
    </row>
    <row r="146" spans="1:21" ht="28" customHeight="1" x14ac:dyDescent="0.35">
      <c r="A146" s="9" t="s">
        <v>110</v>
      </c>
      <c r="B146" s="16"/>
      <c r="C146" s="17"/>
      <c r="D146" s="17"/>
      <c r="E146" s="17"/>
      <c r="F146" s="17"/>
      <c r="G146" s="17"/>
      <c r="H146" s="17"/>
      <c r="I146" s="17"/>
      <c r="J146" s="17"/>
      <c r="K146" s="17"/>
      <c r="L146" s="17"/>
      <c r="M146" s="17"/>
      <c r="N146" s="17"/>
      <c r="O146" s="17"/>
      <c r="P146" s="17"/>
      <c r="Q146" s="17"/>
      <c r="R146" s="17"/>
      <c r="S146" s="17"/>
      <c r="T146" s="17"/>
      <c r="U146" s="18"/>
    </row>
    <row r="147" spans="1:21" ht="28" customHeight="1" x14ac:dyDescent="0.35">
      <c r="A147" s="19" t="s">
        <v>676</v>
      </c>
      <c r="B147" s="20"/>
      <c r="C147" s="20"/>
      <c r="D147" s="20"/>
      <c r="E147" s="20"/>
      <c r="F147" s="20"/>
      <c r="G147" s="20"/>
      <c r="H147" s="20"/>
      <c r="I147" s="20"/>
      <c r="J147" s="20"/>
      <c r="K147" s="20"/>
      <c r="L147" s="20"/>
      <c r="M147" s="20"/>
      <c r="N147" s="20"/>
      <c r="O147" s="20"/>
      <c r="P147" s="20"/>
      <c r="Q147" s="20"/>
      <c r="R147" s="20"/>
      <c r="S147" s="20"/>
      <c r="T147" s="20"/>
      <c r="U147" s="21"/>
    </row>
    <row r="148" spans="1:21" ht="28" customHeight="1" x14ac:dyDescent="0.35">
      <c r="A148" s="4" t="s">
        <v>31</v>
      </c>
      <c r="B148" s="3" t="s">
        <v>24</v>
      </c>
      <c r="C148" s="4" t="s">
        <v>32</v>
      </c>
      <c r="D148" s="3"/>
      <c r="E148" s="4" t="s">
        <v>33</v>
      </c>
      <c r="F148" s="8"/>
    </row>
    <row r="149" spans="1:21" ht="28" customHeight="1" x14ac:dyDescent="0.35">
      <c r="A149" s="1" t="s">
        <v>34</v>
      </c>
      <c r="B149" s="1" t="s">
        <v>35</v>
      </c>
      <c r="C149" s="1" t="s">
        <v>36</v>
      </c>
      <c r="D149" s="1" t="s">
        <v>37</v>
      </c>
      <c r="E149" s="1" t="s">
        <v>38</v>
      </c>
      <c r="F149" s="1" t="s">
        <v>39</v>
      </c>
      <c r="G149" s="1" t="s">
        <v>40</v>
      </c>
      <c r="H149" s="1" t="s">
        <v>41</v>
      </c>
      <c r="I149" s="1" t="s">
        <v>42</v>
      </c>
      <c r="J149" s="1" t="s">
        <v>43</v>
      </c>
      <c r="K149" s="1" t="s">
        <v>44</v>
      </c>
      <c r="L149" s="1" t="s">
        <v>45</v>
      </c>
      <c r="M149" s="1" t="s">
        <v>46</v>
      </c>
      <c r="N149" s="1" t="s">
        <v>47</v>
      </c>
      <c r="O149" s="1" t="s">
        <v>48</v>
      </c>
      <c r="P149" s="1" t="s">
        <v>4</v>
      </c>
      <c r="Q149" s="1" t="s">
        <v>49</v>
      </c>
      <c r="R149" s="1" t="s">
        <v>50</v>
      </c>
      <c r="S149" s="1" t="s">
        <v>51</v>
      </c>
      <c r="T149" s="1" t="s">
        <v>52</v>
      </c>
      <c r="U149" s="1" t="s">
        <v>10</v>
      </c>
    </row>
    <row r="150" spans="1:21" ht="28" customHeight="1" x14ac:dyDescent="0.35">
      <c r="A150" s="4">
        <v>1</v>
      </c>
      <c r="B150" s="4" t="s">
        <v>53</v>
      </c>
      <c r="C150" s="4" t="s">
        <v>663</v>
      </c>
      <c r="D150" s="4" t="s">
        <v>664</v>
      </c>
      <c r="E150" s="4" t="s">
        <v>56</v>
      </c>
      <c r="F150" s="4" t="s">
        <v>57</v>
      </c>
      <c r="G150" s="4" t="s">
        <v>58</v>
      </c>
      <c r="H150" s="4" t="s">
        <v>59</v>
      </c>
      <c r="I150" s="3"/>
      <c r="J150" s="3"/>
      <c r="K150" s="3"/>
      <c r="L150" s="3"/>
      <c r="M150" s="3"/>
      <c r="N150" s="3"/>
      <c r="O150" s="3"/>
      <c r="P150" s="8"/>
      <c r="Q150" s="8"/>
      <c r="R150" s="3"/>
      <c r="S150" s="3"/>
      <c r="T150" s="3"/>
      <c r="U150" s="5" t="str">
        <f t="shared" ref="U150:U165" si="8">IF(I150="","",IF(I150="NA","Grey",IF(I150=2,"Green",IF(I150=1,"Amber","Red"))))</f>
        <v/>
      </c>
    </row>
    <row r="151" spans="1:21" ht="28" customHeight="1" x14ac:dyDescent="0.35">
      <c r="A151" s="4">
        <v>2</v>
      </c>
      <c r="B151" s="4" t="s">
        <v>53</v>
      </c>
      <c r="C151" s="4" t="s">
        <v>665</v>
      </c>
      <c r="D151" s="4" t="s">
        <v>666</v>
      </c>
      <c r="E151" s="4" t="s">
        <v>56</v>
      </c>
      <c r="F151" s="4" t="s">
        <v>57</v>
      </c>
      <c r="G151" s="4" t="s">
        <v>58</v>
      </c>
      <c r="H151" s="4" t="s">
        <v>59</v>
      </c>
      <c r="I151" s="3"/>
      <c r="J151" s="3"/>
      <c r="K151" s="3"/>
      <c r="L151" s="3"/>
      <c r="M151" s="3"/>
      <c r="N151" s="3"/>
      <c r="O151" s="3"/>
      <c r="P151" s="8"/>
      <c r="Q151" s="8"/>
      <c r="R151" s="3"/>
      <c r="S151" s="3"/>
      <c r="T151" s="3"/>
      <c r="U151" s="5" t="str">
        <f t="shared" si="8"/>
        <v/>
      </c>
    </row>
    <row r="152" spans="1:21" ht="28" customHeight="1" x14ac:dyDescent="0.35">
      <c r="A152" s="4">
        <v>3</v>
      </c>
      <c r="B152" s="4" t="s">
        <v>53</v>
      </c>
      <c r="C152" s="4" t="s">
        <v>667</v>
      </c>
      <c r="D152" s="4" t="s">
        <v>668</v>
      </c>
      <c r="E152" s="4" t="s">
        <v>56</v>
      </c>
      <c r="F152" s="4" t="s">
        <v>57</v>
      </c>
      <c r="G152" s="4" t="s">
        <v>58</v>
      </c>
      <c r="H152" s="4" t="s">
        <v>59</v>
      </c>
      <c r="I152" s="3"/>
      <c r="J152" s="3"/>
      <c r="K152" s="3"/>
      <c r="L152" s="3"/>
      <c r="M152" s="3"/>
      <c r="N152" s="3"/>
      <c r="O152" s="3"/>
      <c r="P152" s="8"/>
      <c r="Q152" s="8"/>
      <c r="R152" s="3"/>
      <c r="S152" s="3"/>
      <c r="T152" s="3"/>
      <c r="U152" s="5" t="str">
        <f t="shared" si="8"/>
        <v/>
      </c>
    </row>
    <row r="153" spans="1:21" ht="28" customHeight="1" x14ac:dyDescent="0.35">
      <c r="A153" s="4">
        <v>4</v>
      </c>
      <c r="B153" s="4" t="s">
        <v>53</v>
      </c>
      <c r="C153" s="4" t="s">
        <v>669</v>
      </c>
      <c r="D153" s="4" t="s">
        <v>670</v>
      </c>
      <c r="E153" s="4" t="s">
        <v>56</v>
      </c>
      <c r="F153" s="4" t="s">
        <v>57</v>
      </c>
      <c r="G153" s="4" t="s">
        <v>58</v>
      </c>
      <c r="H153" s="4" t="s">
        <v>59</v>
      </c>
      <c r="I153" s="3"/>
      <c r="J153" s="3"/>
      <c r="K153" s="3"/>
      <c r="L153" s="3"/>
      <c r="M153" s="3"/>
      <c r="N153" s="3"/>
      <c r="O153" s="3"/>
      <c r="P153" s="8"/>
      <c r="Q153" s="8"/>
      <c r="R153" s="3"/>
      <c r="S153" s="3"/>
      <c r="T153" s="3"/>
      <c r="U153" s="5" t="str">
        <f t="shared" si="8"/>
        <v/>
      </c>
    </row>
    <row r="154" spans="1:21" ht="28" customHeight="1" x14ac:dyDescent="0.35">
      <c r="A154" s="4">
        <v>5</v>
      </c>
      <c r="B154" s="4" t="s">
        <v>66</v>
      </c>
      <c r="C154" s="4" t="s">
        <v>67</v>
      </c>
      <c r="D154" s="4" t="s">
        <v>68</v>
      </c>
      <c r="E154" s="4" t="s">
        <v>69</v>
      </c>
      <c r="F154" s="4" t="s">
        <v>57</v>
      </c>
      <c r="G154" s="4" t="s">
        <v>58</v>
      </c>
      <c r="H154" s="4" t="s">
        <v>59</v>
      </c>
      <c r="I154" s="3"/>
      <c r="J154" s="3"/>
      <c r="K154" s="3"/>
      <c r="L154" s="3"/>
      <c r="M154" s="3"/>
      <c r="N154" s="3"/>
      <c r="O154" s="3"/>
      <c r="P154" s="8"/>
      <c r="Q154" s="8"/>
      <c r="R154" s="3"/>
      <c r="S154" s="3"/>
      <c r="T154" s="3"/>
      <c r="U154" s="5" t="str">
        <f t="shared" si="8"/>
        <v/>
      </c>
    </row>
    <row r="155" spans="1:21" ht="28" customHeight="1" x14ac:dyDescent="0.35">
      <c r="A155" s="4">
        <v>6</v>
      </c>
      <c r="B155" s="4" t="s">
        <v>70</v>
      </c>
      <c r="C155" s="4" t="s">
        <v>71</v>
      </c>
      <c r="D155" s="4" t="s">
        <v>72</v>
      </c>
      <c r="E155" s="4" t="s">
        <v>70</v>
      </c>
      <c r="F155" s="4" t="s">
        <v>57</v>
      </c>
      <c r="G155" s="4" t="s">
        <v>58</v>
      </c>
      <c r="H155" s="4" t="s">
        <v>59</v>
      </c>
      <c r="I155" s="3"/>
      <c r="J155" s="3"/>
      <c r="K155" s="3"/>
      <c r="L155" s="3"/>
      <c r="M155" s="3"/>
      <c r="N155" s="3"/>
      <c r="O155" s="3"/>
      <c r="P155" s="8"/>
      <c r="Q155" s="8"/>
      <c r="R155" s="3"/>
      <c r="S155" s="3"/>
      <c r="T155" s="3"/>
      <c r="U155" s="5" t="str">
        <f t="shared" si="8"/>
        <v/>
      </c>
    </row>
    <row r="156" spans="1:21" ht="28" customHeight="1" x14ac:dyDescent="0.35">
      <c r="A156" s="4">
        <v>7</v>
      </c>
      <c r="B156" s="4" t="s">
        <v>73</v>
      </c>
      <c r="C156" s="4" t="s">
        <v>74</v>
      </c>
      <c r="D156" s="4" t="s">
        <v>75</v>
      </c>
      <c r="E156" s="4" t="s">
        <v>69</v>
      </c>
      <c r="F156" s="4" t="s">
        <v>57</v>
      </c>
      <c r="G156" s="4" t="s">
        <v>58</v>
      </c>
      <c r="H156" s="4" t="s">
        <v>76</v>
      </c>
      <c r="I156" s="3"/>
      <c r="J156" s="3"/>
      <c r="K156" s="3"/>
      <c r="L156" s="3"/>
      <c r="M156" s="3"/>
      <c r="N156" s="3"/>
      <c r="O156" s="3"/>
      <c r="P156" s="8"/>
      <c r="Q156" s="8"/>
      <c r="R156" s="3"/>
      <c r="S156" s="3"/>
      <c r="T156" s="3"/>
      <c r="U156" s="5" t="str">
        <f t="shared" si="8"/>
        <v/>
      </c>
    </row>
    <row r="157" spans="1:21" ht="28" customHeight="1" x14ac:dyDescent="0.35">
      <c r="A157" s="4">
        <v>8</v>
      </c>
      <c r="B157" s="4" t="s">
        <v>77</v>
      </c>
      <c r="C157" s="4" t="s">
        <v>78</v>
      </c>
      <c r="D157" s="4" t="s">
        <v>79</v>
      </c>
      <c r="E157" s="4" t="s">
        <v>80</v>
      </c>
      <c r="F157" s="4" t="s">
        <v>57</v>
      </c>
      <c r="G157" s="4" t="s">
        <v>58</v>
      </c>
      <c r="H157" s="4" t="s">
        <v>59</v>
      </c>
      <c r="I157" s="3"/>
      <c r="J157" s="3"/>
      <c r="K157" s="3"/>
      <c r="L157" s="3"/>
      <c r="M157" s="3"/>
      <c r="N157" s="3"/>
      <c r="O157" s="3"/>
      <c r="P157" s="8"/>
      <c r="Q157" s="8"/>
      <c r="R157" s="3"/>
      <c r="S157" s="3"/>
      <c r="T157" s="3"/>
      <c r="U157" s="5" t="str">
        <f t="shared" si="8"/>
        <v/>
      </c>
    </row>
    <row r="158" spans="1:21" ht="28" customHeight="1" x14ac:dyDescent="0.35">
      <c r="A158" s="4">
        <v>9</v>
      </c>
      <c r="B158" s="4" t="s">
        <v>81</v>
      </c>
      <c r="C158" s="4" t="s">
        <v>82</v>
      </c>
      <c r="D158" s="4" t="s">
        <v>83</v>
      </c>
      <c r="E158" s="4" t="s">
        <v>84</v>
      </c>
      <c r="F158" s="4" t="s">
        <v>57</v>
      </c>
      <c r="G158" s="4" t="s">
        <v>58</v>
      </c>
      <c r="H158" s="4" t="s">
        <v>85</v>
      </c>
      <c r="I158" s="3"/>
      <c r="J158" s="3"/>
      <c r="K158" s="3"/>
      <c r="L158" s="3"/>
      <c r="M158" s="3"/>
      <c r="N158" s="3"/>
      <c r="O158" s="3"/>
      <c r="P158" s="8"/>
      <c r="Q158" s="8"/>
      <c r="R158" s="3"/>
      <c r="S158" s="3"/>
      <c r="T158" s="3"/>
      <c r="U158" s="5" t="str">
        <f t="shared" si="8"/>
        <v/>
      </c>
    </row>
    <row r="159" spans="1:21" ht="28" customHeight="1" x14ac:dyDescent="0.35">
      <c r="A159" s="4">
        <v>10</v>
      </c>
      <c r="B159" s="4" t="s">
        <v>86</v>
      </c>
      <c r="C159" s="4" t="s">
        <v>87</v>
      </c>
      <c r="D159" s="4" t="s">
        <v>88</v>
      </c>
      <c r="E159" s="4" t="s">
        <v>69</v>
      </c>
      <c r="F159" s="4" t="s">
        <v>57</v>
      </c>
      <c r="G159" s="4" t="s">
        <v>58</v>
      </c>
      <c r="H159" s="4" t="s">
        <v>59</v>
      </c>
      <c r="I159" s="3"/>
      <c r="J159" s="3"/>
      <c r="K159" s="3"/>
      <c r="L159" s="3"/>
      <c r="M159" s="3"/>
      <c r="N159" s="3"/>
      <c r="O159" s="3"/>
      <c r="P159" s="8"/>
      <c r="Q159" s="8"/>
      <c r="R159" s="3"/>
      <c r="S159" s="3"/>
      <c r="T159" s="3"/>
      <c r="U159" s="5" t="str">
        <f t="shared" si="8"/>
        <v/>
      </c>
    </row>
    <row r="160" spans="1:21" ht="28" customHeight="1" x14ac:dyDescent="0.35">
      <c r="A160" s="4">
        <v>11</v>
      </c>
      <c r="B160" s="4" t="s">
        <v>89</v>
      </c>
      <c r="C160" s="4" t="s">
        <v>90</v>
      </c>
      <c r="D160" s="4" t="s">
        <v>91</v>
      </c>
      <c r="E160" s="4" t="s">
        <v>84</v>
      </c>
      <c r="F160" s="4" t="s">
        <v>57</v>
      </c>
      <c r="G160" s="4" t="s">
        <v>58</v>
      </c>
      <c r="H160" s="4" t="s">
        <v>59</v>
      </c>
      <c r="I160" s="3"/>
      <c r="J160" s="3"/>
      <c r="K160" s="3"/>
      <c r="L160" s="3"/>
      <c r="M160" s="3"/>
      <c r="N160" s="3"/>
      <c r="O160" s="3"/>
      <c r="P160" s="8"/>
      <c r="Q160" s="8"/>
      <c r="R160" s="3"/>
      <c r="S160" s="3"/>
      <c r="T160" s="3"/>
      <c r="U160" s="5" t="str">
        <f t="shared" si="8"/>
        <v/>
      </c>
    </row>
    <row r="161" spans="1:21" ht="28" customHeight="1" x14ac:dyDescent="0.35">
      <c r="A161" s="4">
        <v>12</v>
      </c>
      <c r="B161" s="4" t="s">
        <v>92</v>
      </c>
      <c r="C161" s="4" t="s">
        <v>93</v>
      </c>
      <c r="D161" s="4" t="s">
        <v>94</v>
      </c>
      <c r="E161" s="4" t="s">
        <v>69</v>
      </c>
      <c r="F161" s="4" t="s">
        <v>95</v>
      </c>
      <c r="G161" s="4" t="s">
        <v>96</v>
      </c>
      <c r="H161" s="4" t="s">
        <v>59</v>
      </c>
      <c r="I161" s="3"/>
      <c r="J161" s="3"/>
      <c r="K161" s="3"/>
      <c r="L161" s="3"/>
      <c r="M161" s="3"/>
      <c r="N161" s="3"/>
      <c r="O161" s="3"/>
      <c r="P161" s="8"/>
      <c r="Q161" s="8"/>
      <c r="R161" s="3"/>
      <c r="S161" s="3"/>
      <c r="T161" s="3"/>
      <c r="U161" s="5" t="str">
        <f t="shared" si="8"/>
        <v/>
      </c>
    </row>
    <row r="162" spans="1:21" ht="28" customHeight="1" x14ac:dyDescent="0.35">
      <c r="A162" s="4">
        <v>13</v>
      </c>
      <c r="B162" s="4" t="s">
        <v>97</v>
      </c>
      <c r="C162" s="4" t="s">
        <v>98</v>
      </c>
      <c r="D162" s="4" t="s">
        <v>99</v>
      </c>
      <c r="E162" s="4" t="s">
        <v>69</v>
      </c>
      <c r="F162" s="4" t="s">
        <v>95</v>
      </c>
      <c r="G162" s="4" t="s">
        <v>96</v>
      </c>
      <c r="H162" s="4" t="s">
        <v>59</v>
      </c>
      <c r="I162" s="3"/>
      <c r="J162" s="3"/>
      <c r="K162" s="3"/>
      <c r="L162" s="3"/>
      <c r="M162" s="3"/>
      <c r="N162" s="3"/>
      <c r="O162" s="3"/>
      <c r="P162" s="8"/>
      <c r="Q162" s="8"/>
      <c r="R162" s="3"/>
      <c r="S162" s="3"/>
      <c r="T162" s="3"/>
      <c r="U162" s="5" t="str">
        <f t="shared" si="8"/>
        <v/>
      </c>
    </row>
    <row r="163" spans="1:21" ht="28" customHeight="1" x14ac:dyDescent="0.35">
      <c r="A163" s="4">
        <v>14</v>
      </c>
      <c r="B163" s="4" t="s">
        <v>97</v>
      </c>
      <c r="C163" s="4" t="s">
        <v>100</v>
      </c>
      <c r="D163" s="4" t="s">
        <v>101</v>
      </c>
      <c r="E163" s="4" t="s">
        <v>69</v>
      </c>
      <c r="F163" s="4" t="s">
        <v>95</v>
      </c>
      <c r="G163" s="4" t="s">
        <v>102</v>
      </c>
      <c r="H163" s="4" t="s">
        <v>59</v>
      </c>
      <c r="I163" s="3"/>
      <c r="J163" s="3"/>
      <c r="K163" s="3"/>
      <c r="L163" s="3"/>
      <c r="M163" s="3"/>
      <c r="N163" s="3"/>
      <c r="O163" s="3"/>
      <c r="P163" s="8"/>
      <c r="Q163" s="8"/>
      <c r="R163" s="3"/>
      <c r="S163" s="3"/>
      <c r="T163" s="3"/>
      <c r="U163" s="5" t="str">
        <f t="shared" si="8"/>
        <v/>
      </c>
    </row>
    <row r="164" spans="1:21" ht="28" customHeight="1" x14ac:dyDescent="0.35">
      <c r="A164" s="4">
        <v>15</v>
      </c>
      <c r="B164" s="4" t="s">
        <v>103</v>
      </c>
      <c r="C164" s="4" t="s">
        <v>104</v>
      </c>
      <c r="D164" s="4" t="s">
        <v>105</v>
      </c>
      <c r="E164" s="4" t="s">
        <v>69</v>
      </c>
      <c r="F164" s="4" t="s">
        <v>95</v>
      </c>
      <c r="G164" s="4" t="s">
        <v>96</v>
      </c>
      <c r="H164" s="4" t="s">
        <v>85</v>
      </c>
      <c r="I164" s="3"/>
      <c r="J164" s="3"/>
      <c r="K164" s="3"/>
      <c r="L164" s="3"/>
      <c r="M164" s="3"/>
      <c r="N164" s="3"/>
      <c r="O164" s="3"/>
      <c r="P164" s="8"/>
      <c r="Q164" s="8"/>
      <c r="R164" s="3"/>
      <c r="S164" s="3"/>
      <c r="T164" s="3"/>
      <c r="U164" s="5" t="str">
        <f t="shared" si="8"/>
        <v/>
      </c>
    </row>
    <row r="165" spans="1:21" ht="28" customHeight="1" x14ac:dyDescent="0.35">
      <c r="A165" s="4">
        <v>16</v>
      </c>
      <c r="B165" s="4" t="s">
        <v>106</v>
      </c>
      <c r="C165" s="4" t="s">
        <v>107</v>
      </c>
      <c r="D165" s="4" t="s">
        <v>108</v>
      </c>
      <c r="E165" s="4" t="s">
        <v>109</v>
      </c>
      <c r="F165" s="4" t="s">
        <v>95</v>
      </c>
      <c r="G165" s="4" t="s">
        <v>96</v>
      </c>
      <c r="H165" s="4" t="s">
        <v>59</v>
      </c>
      <c r="I165" s="3"/>
      <c r="J165" s="3"/>
      <c r="K165" s="3"/>
      <c r="L165" s="3"/>
      <c r="M165" s="3"/>
      <c r="N165" s="3"/>
      <c r="O165" s="3"/>
      <c r="P165" s="8"/>
      <c r="Q165" s="8"/>
      <c r="R165" s="3"/>
      <c r="S165" s="3"/>
      <c r="T165" s="3"/>
      <c r="U165" s="5" t="str">
        <f t="shared" si="8"/>
        <v/>
      </c>
    </row>
    <row r="167" spans="1:21" ht="28" customHeight="1" x14ac:dyDescent="0.35">
      <c r="A167" s="9" t="s">
        <v>110</v>
      </c>
      <c r="B167" s="16"/>
      <c r="C167" s="17"/>
      <c r="D167" s="17"/>
      <c r="E167" s="17"/>
      <c r="F167" s="17"/>
      <c r="G167" s="17"/>
      <c r="H167" s="17"/>
      <c r="I167" s="17"/>
      <c r="J167" s="17"/>
      <c r="K167" s="17"/>
      <c r="L167" s="17"/>
      <c r="M167" s="17"/>
      <c r="N167" s="17"/>
      <c r="O167" s="17"/>
      <c r="P167" s="17"/>
      <c r="Q167" s="17"/>
      <c r="R167" s="17"/>
      <c r="S167" s="17"/>
      <c r="T167" s="17"/>
      <c r="U167" s="18"/>
    </row>
    <row r="168" spans="1:21" ht="28" customHeight="1" x14ac:dyDescent="0.35">
      <c r="A168" s="19" t="s">
        <v>677</v>
      </c>
      <c r="B168" s="20"/>
      <c r="C168" s="20"/>
      <c r="D168" s="20"/>
      <c r="E168" s="20"/>
      <c r="F168" s="20"/>
      <c r="G168" s="20"/>
      <c r="H168" s="20"/>
      <c r="I168" s="20"/>
      <c r="J168" s="20"/>
      <c r="K168" s="20"/>
      <c r="L168" s="20"/>
      <c r="M168" s="20"/>
      <c r="N168" s="20"/>
      <c r="O168" s="20"/>
      <c r="P168" s="20"/>
      <c r="Q168" s="20"/>
      <c r="R168" s="20"/>
      <c r="S168" s="20"/>
      <c r="T168" s="20"/>
      <c r="U168" s="21"/>
    </row>
    <row r="169" spans="1:21" ht="28" customHeight="1" x14ac:dyDescent="0.35">
      <c r="A169" s="4" t="s">
        <v>31</v>
      </c>
      <c r="B169" s="3" t="s">
        <v>25</v>
      </c>
      <c r="C169" s="4" t="s">
        <v>32</v>
      </c>
      <c r="D169" s="3"/>
      <c r="E169" s="4" t="s">
        <v>33</v>
      </c>
      <c r="F169" s="8"/>
    </row>
    <row r="170" spans="1:21" ht="28" customHeight="1" x14ac:dyDescent="0.35">
      <c r="A170" s="1" t="s">
        <v>34</v>
      </c>
      <c r="B170" s="1" t="s">
        <v>35</v>
      </c>
      <c r="C170" s="1" t="s">
        <v>36</v>
      </c>
      <c r="D170" s="1" t="s">
        <v>37</v>
      </c>
      <c r="E170" s="1" t="s">
        <v>38</v>
      </c>
      <c r="F170" s="1" t="s">
        <v>39</v>
      </c>
      <c r="G170" s="1" t="s">
        <v>40</v>
      </c>
      <c r="H170" s="1" t="s">
        <v>41</v>
      </c>
      <c r="I170" s="1" t="s">
        <v>42</v>
      </c>
      <c r="J170" s="1" t="s">
        <v>43</v>
      </c>
      <c r="K170" s="1" t="s">
        <v>44</v>
      </c>
      <c r="L170" s="1" t="s">
        <v>45</v>
      </c>
      <c r="M170" s="1" t="s">
        <v>46</v>
      </c>
      <c r="N170" s="1" t="s">
        <v>47</v>
      </c>
      <c r="O170" s="1" t="s">
        <v>48</v>
      </c>
      <c r="P170" s="1" t="s">
        <v>4</v>
      </c>
      <c r="Q170" s="1" t="s">
        <v>49</v>
      </c>
      <c r="R170" s="1" t="s">
        <v>50</v>
      </c>
      <c r="S170" s="1" t="s">
        <v>51</v>
      </c>
      <c r="T170" s="1" t="s">
        <v>52</v>
      </c>
      <c r="U170" s="1" t="s">
        <v>10</v>
      </c>
    </row>
    <row r="171" spans="1:21" ht="28" customHeight="1" x14ac:dyDescent="0.35">
      <c r="A171" s="4">
        <v>1</v>
      </c>
      <c r="B171" s="4" t="s">
        <v>53</v>
      </c>
      <c r="C171" s="4" t="s">
        <v>663</v>
      </c>
      <c r="D171" s="4" t="s">
        <v>664</v>
      </c>
      <c r="E171" s="4" t="s">
        <v>56</v>
      </c>
      <c r="F171" s="4" t="s">
        <v>57</v>
      </c>
      <c r="G171" s="4" t="s">
        <v>58</v>
      </c>
      <c r="H171" s="4" t="s">
        <v>59</v>
      </c>
      <c r="I171" s="3"/>
      <c r="J171" s="3"/>
      <c r="K171" s="3"/>
      <c r="L171" s="3"/>
      <c r="M171" s="3"/>
      <c r="N171" s="3"/>
      <c r="O171" s="3"/>
      <c r="P171" s="8"/>
      <c r="Q171" s="8"/>
      <c r="R171" s="3"/>
      <c r="S171" s="3"/>
      <c r="T171" s="3"/>
      <c r="U171" s="5" t="str">
        <f t="shared" ref="U171:U186" si="9">IF(I171="","",IF(I171="NA","Grey",IF(I171=2,"Green",IF(I171=1,"Amber","Red"))))</f>
        <v/>
      </c>
    </row>
    <row r="172" spans="1:21" ht="28" customHeight="1" x14ac:dyDescent="0.35">
      <c r="A172" s="4">
        <v>2</v>
      </c>
      <c r="B172" s="4" t="s">
        <v>53</v>
      </c>
      <c r="C172" s="4" t="s">
        <v>665</v>
      </c>
      <c r="D172" s="4" t="s">
        <v>666</v>
      </c>
      <c r="E172" s="4" t="s">
        <v>56</v>
      </c>
      <c r="F172" s="4" t="s">
        <v>57</v>
      </c>
      <c r="G172" s="4" t="s">
        <v>58</v>
      </c>
      <c r="H172" s="4" t="s">
        <v>59</v>
      </c>
      <c r="I172" s="3"/>
      <c r="J172" s="3"/>
      <c r="K172" s="3"/>
      <c r="L172" s="3"/>
      <c r="M172" s="3"/>
      <c r="N172" s="3"/>
      <c r="O172" s="3"/>
      <c r="P172" s="8"/>
      <c r="Q172" s="8"/>
      <c r="R172" s="3"/>
      <c r="S172" s="3"/>
      <c r="T172" s="3"/>
      <c r="U172" s="5" t="str">
        <f t="shared" si="9"/>
        <v/>
      </c>
    </row>
    <row r="173" spans="1:21" ht="28" customHeight="1" x14ac:dyDescent="0.35">
      <c r="A173" s="4">
        <v>3</v>
      </c>
      <c r="B173" s="4" t="s">
        <v>53</v>
      </c>
      <c r="C173" s="4" t="s">
        <v>667</v>
      </c>
      <c r="D173" s="4" t="s">
        <v>668</v>
      </c>
      <c r="E173" s="4" t="s">
        <v>56</v>
      </c>
      <c r="F173" s="4" t="s">
        <v>57</v>
      </c>
      <c r="G173" s="4" t="s">
        <v>58</v>
      </c>
      <c r="H173" s="4" t="s">
        <v>59</v>
      </c>
      <c r="I173" s="3"/>
      <c r="J173" s="3"/>
      <c r="K173" s="3"/>
      <c r="L173" s="3"/>
      <c r="M173" s="3"/>
      <c r="N173" s="3"/>
      <c r="O173" s="3"/>
      <c r="P173" s="8"/>
      <c r="Q173" s="8"/>
      <c r="R173" s="3"/>
      <c r="S173" s="3"/>
      <c r="T173" s="3"/>
      <c r="U173" s="5" t="str">
        <f t="shared" si="9"/>
        <v/>
      </c>
    </row>
    <row r="174" spans="1:21" ht="28" customHeight="1" x14ac:dyDescent="0.35">
      <c r="A174" s="4">
        <v>4</v>
      </c>
      <c r="B174" s="4" t="s">
        <v>53</v>
      </c>
      <c r="C174" s="4" t="s">
        <v>669</v>
      </c>
      <c r="D174" s="4" t="s">
        <v>670</v>
      </c>
      <c r="E174" s="4" t="s">
        <v>56</v>
      </c>
      <c r="F174" s="4" t="s">
        <v>57</v>
      </c>
      <c r="G174" s="4" t="s">
        <v>58</v>
      </c>
      <c r="H174" s="4" t="s">
        <v>59</v>
      </c>
      <c r="I174" s="3"/>
      <c r="J174" s="3"/>
      <c r="K174" s="3"/>
      <c r="L174" s="3"/>
      <c r="M174" s="3"/>
      <c r="N174" s="3"/>
      <c r="O174" s="3"/>
      <c r="P174" s="8"/>
      <c r="Q174" s="8"/>
      <c r="R174" s="3"/>
      <c r="S174" s="3"/>
      <c r="T174" s="3"/>
      <c r="U174" s="5" t="str">
        <f t="shared" si="9"/>
        <v/>
      </c>
    </row>
    <row r="175" spans="1:21" ht="28" customHeight="1" x14ac:dyDescent="0.35">
      <c r="A175" s="4">
        <v>5</v>
      </c>
      <c r="B175" s="4" t="s">
        <v>66</v>
      </c>
      <c r="C175" s="4" t="s">
        <v>67</v>
      </c>
      <c r="D175" s="4" t="s">
        <v>68</v>
      </c>
      <c r="E175" s="4" t="s">
        <v>69</v>
      </c>
      <c r="F175" s="4" t="s">
        <v>57</v>
      </c>
      <c r="G175" s="4" t="s">
        <v>58</v>
      </c>
      <c r="H175" s="4" t="s">
        <v>59</v>
      </c>
      <c r="I175" s="3"/>
      <c r="J175" s="3"/>
      <c r="K175" s="3"/>
      <c r="L175" s="3"/>
      <c r="M175" s="3"/>
      <c r="N175" s="3"/>
      <c r="O175" s="3"/>
      <c r="P175" s="8"/>
      <c r="Q175" s="8"/>
      <c r="R175" s="3"/>
      <c r="S175" s="3"/>
      <c r="T175" s="3"/>
      <c r="U175" s="5" t="str">
        <f t="shared" si="9"/>
        <v/>
      </c>
    </row>
    <row r="176" spans="1:21" ht="28" customHeight="1" x14ac:dyDescent="0.35">
      <c r="A176" s="4">
        <v>6</v>
      </c>
      <c r="B176" s="4" t="s">
        <v>70</v>
      </c>
      <c r="C176" s="4" t="s">
        <v>71</v>
      </c>
      <c r="D176" s="4" t="s">
        <v>72</v>
      </c>
      <c r="E176" s="4" t="s">
        <v>70</v>
      </c>
      <c r="F176" s="4" t="s">
        <v>57</v>
      </c>
      <c r="G176" s="4" t="s">
        <v>58</v>
      </c>
      <c r="H176" s="4" t="s">
        <v>59</v>
      </c>
      <c r="I176" s="3"/>
      <c r="J176" s="3"/>
      <c r="K176" s="3"/>
      <c r="L176" s="3"/>
      <c r="M176" s="3"/>
      <c r="N176" s="3"/>
      <c r="O176" s="3"/>
      <c r="P176" s="8"/>
      <c r="Q176" s="8"/>
      <c r="R176" s="3"/>
      <c r="S176" s="3"/>
      <c r="T176" s="3"/>
      <c r="U176" s="5" t="str">
        <f t="shared" si="9"/>
        <v/>
      </c>
    </row>
    <row r="177" spans="1:21" ht="28" customHeight="1" x14ac:dyDescent="0.35">
      <c r="A177" s="4">
        <v>7</v>
      </c>
      <c r="B177" s="4" t="s">
        <v>73</v>
      </c>
      <c r="C177" s="4" t="s">
        <v>74</v>
      </c>
      <c r="D177" s="4" t="s">
        <v>75</v>
      </c>
      <c r="E177" s="4" t="s">
        <v>69</v>
      </c>
      <c r="F177" s="4" t="s">
        <v>57</v>
      </c>
      <c r="G177" s="4" t="s">
        <v>58</v>
      </c>
      <c r="H177" s="4" t="s">
        <v>76</v>
      </c>
      <c r="I177" s="3"/>
      <c r="J177" s="3"/>
      <c r="K177" s="3"/>
      <c r="L177" s="3"/>
      <c r="M177" s="3"/>
      <c r="N177" s="3"/>
      <c r="O177" s="3"/>
      <c r="P177" s="8"/>
      <c r="Q177" s="8"/>
      <c r="R177" s="3"/>
      <c r="S177" s="3"/>
      <c r="T177" s="3"/>
      <c r="U177" s="5" t="str">
        <f t="shared" si="9"/>
        <v/>
      </c>
    </row>
    <row r="178" spans="1:21" ht="28" customHeight="1" x14ac:dyDescent="0.35">
      <c r="A178" s="4">
        <v>8</v>
      </c>
      <c r="B178" s="4" t="s">
        <v>77</v>
      </c>
      <c r="C178" s="4" t="s">
        <v>78</v>
      </c>
      <c r="D178" s="4" t="s">
        <v>79</v>
      </c>
      <c r="E178" s="4" t="s">
        <v>80</v>
      </c>
      <c r="F178" s="4" t="s">
        <v>57</v>
      </c>
      <c r="G178" s="4" t="s">
        <v>58</v>
      </c>
      <c r="H178" s="4" t="s">
        <v>59</v>
      </c>
      <c r="I178" s="3"/>
      <c r="J178" s="3"/>
      <c r="K178" s="3"/>
      <c r="L178" s="3"/>
      <c r="M178" s="3"/>
      <c r="N178" s="3"/>
      <c r="O178" s="3"/>
      <c r="P178" s="8"/>
      <c r="Q178" s="8"/>
      <c r="R178" s="3"/>
      <c r="S178" s="3"/>
      <c r="T178" s="3"/>
      <c r="U178" s="5" t="str">
        <f t="shared" si="9"/>
        <v/>
      </c>
    </row>
    <row r="179" spans="1:21" ht="28" customHeight="1" x14ac:dyDescent="0.35">
      <c r="A179" s="4">
        <v>9</v>
      </c>
      <c r="B179" s="4" t="s">
        <v>81</v>
      </c>
      <c r="C179" s="4" t="s">
        <v>82</v>
      </c>
      <c r="D179" s="4" t="s">
        <v>83</v>
      </c>
      <c r="E179" s="4" t="s">
        <v>84</v>
      </c>
      <c r="F179" s="4" t="s">
        <v>57</v>
      </c>
      <c r="G179" s="4" t="s">
        <v>58</v>
      </c>
      <c r="H179" s="4" t="s">
        <v>85</v>
      </c>
      <c r="I179" s="3"/>
      <c r="J179" s="3"/>
      <c r="K179" s="3"/>
      <c r="L179" s="3"/>
      <c r="M179" s="3"/>
      <c r="N179" s="3"/>
      <c r="O179" s="3"/>
      <c r="P179" s="8"/>
      <c r="Q179" s="8"/>
      <c r="R179" s="3"/>
      <c r="S179" s="3"/>
      <c r="T179" s="3"/>
      <c r="U179" s="5" t="str">
        <f t="shared" si="9"/>
        <v/>
      </c>
    </row>
    <row r="180" spans="1:21" ht="28" customHeight="1" x14ac:dyDescent="0.35">
      <c r="A180" s="4">
        <v>10</v>
      </c>
      <c r="B180" s="4" t="s">
        <v>86</v>
      </c>
      <c r="C180" s="4" t="s">
        <v>87</v>
      </c>
      <c r="D180" s="4" t="s">
        <v>88</v>
      </c>
      <c r="E180" s="4" t="s">
        <v>69</v>
      </c>
      <c r="F180" s="4" t="s">
        <v>57</v>
      </c>
      <c r="G180" s="4" t="s">
        <v>58</v>
      </c>
      <c r="H180" s="4" t="s">
        <v>59</v>
      </c>
      <c r="I180" s="3"/>
      <c r="J180" s="3"/>
      <c r="K180" s="3"/>
      <c r="L180" s="3"/>
      <c r="M180" s="3"/>
      <c r="N180" s="3"/>
      <c r="O180" s="3"/>
      <c r="P180" s="8"/>
      <c r="Q180" s="8"/>
      <c r="R180" s="3"/>
      <c r="S180" s="3"/>
      <c r="T180" s="3"/>
      <c r="U180" s="5" t="str">
        <f t="shared" si="9"/>
        <v/>
      </c>
    </row>
    <row r="181" spans="1:21" ht="28" customHeight="1" x14ac:dyDescent="0.35">
      <c r="A181" s="4">
        <v>11</v>
      </c>
      <c r="B181" s="4" t="s">
        <v>89</v>
      </c>
      <c r="C181" s="4" t="s">
        <v>90</v>
      </c>
      <c r="D181" s="4" t="s">
        <v>91</v>
      </c>
      <c r="E181" s="4" t="s">
        <v>84</v>
      </c>
      <c r="F181" s="4" t="s">
        <v>57</v>
      </c>
      <c r="G181" s="4" t="s">
        <v>58</v>
      </c>
      <c r="H181" s="4" t="s">
        <v>59</v>
      </c>
      <c r="I181" s="3"/>
      <c r="J181" s="3"/>
      <c r="K181" s="3"/>
      <c r="L181" s="3"/>
      <c r="M181" s="3"/>
      <c r="N181" s="3"/>
      <c r="O181" s="3"/>
      <c r="P181" s="8"/>
      <c r="Q181" s="8"/>
      <c r="R181" s="3"/>
      <c r="S181" s="3"/>
      <c r="T181" s="3"/>
      <c r="U181" s="5" t="str">
        <f t="shared" si="9"/>
        <v/>
      </c>
    </row>
    <row r="182" spans="1:21" ht="28" customHeight="1" x14ac:dyDescent="0.35">
      <c r="A182" s="4">
        <v>12</v>
      </c>
      <c r="B182" s="4" t="s">
        <v>92</v>
      </c>
      <c r="C182" s="4" t="s">
        <v>93</v>
      </c>
      <c r="D182" s="4" t="s">
        <v>94</v>
      </c>
      <c r="E182" s="4" t="s">
        <v>69</v>
      </c>
      <c r="F182" s="4" t="s">
        <v>95</v>
      </c>
      <c r="G182" s="4" t="s">
        <v>96</v>
      </c>
      <c r="H182" s="4" t="s">
        <v>59</v>
      </c>
      <c r="I182" s="3"/>
      <c r="J182" s="3"/>
      <c r="K182" s="3"/>
      <c r="L182" s="3"/>
      <c r="M182" s="3"/>
      <c r="N182" s="3"/>
      <c r="O182" s="3"/>
      <c r="P182" s="8"/>
      <c r="Q182" s="8"/>
      <c r="R182" s="3"/>
      <c r="S182" s="3"/>
      <c r="T182" s="3"/>
      <c r="U182" s="5" t="str">
        <f t="shared" si="9"/>
        <v/>
      </c>
    </row>
    <row r="183" spans="1:21" ht="28" customHeight="1" x14ac:dyDescent="0.35">
      <c r="A183" s="4">
        <v>13</v>
      </c>
      <c r="B183" s="4" t="s">
        <v>97</v>
      </c>
      <c r="C183" s="4" t="s">
        <v>98</v>
      </c>
      <c r="D183" s="4" t="s">
        <v>99</v>
      </c>
      <c r="E183" s="4" t="s">
        <v>69</v>
      </c>
      <c r="F183" s="4" t="s">
        <v>95</v>
      </c>
      <c r="G183" s="4" t="s">
        <v>96</v>
      </c>
      <c r="H183" s="4" t="s">
        <v>59</v>
      </c>
      <c r="I183" s="3"/>
      <c r="J183" s="3"/>
      <c r="K183" s="3"/>
      <c r="L183" s="3"/>
      <c r="M183" s="3"/>
      <c r="N183" s="3"/>
      <c r="O183" s="3"/>
      <c r="P183" s="8"/>
      <c r="Q183" s="8"/>
      <c r="R183" s="3"/>
      <c r="S183" s="3"/>
      <c r="T183" s="3"/>
      <c r="U183" s="5" t="str">
        <f t="shared" si="9"/>
        <v/>
      </c>
    </row>
    <row r="184" spans="1:21" ht="28" customHeight="1" x14ac:dyDescent="0.35">
      <c r="A184" s="4">
        <v>14</v>
      </c>
      <c r="B184" s="4" t="s">
        <v>97</v>
      </c>
      <c r="C184" s="4" t="s">
        <v>100</v>
      </c>
      <c r="D184" s="4" t="s">
        <v>101</v>
      </c>
      <c r="E184" s="4" t="s">
        <v>69</v>
      </c>
      <c r="F184" s="4" t="s">
        <v>95</v>
      </c>
      <c r="G184" s="4" t="s">
        <v>102</v>
      </c>
      <c r="H184" s="4" t="s">
        <v>59</v>
      </c>
      <c r="I184" s="3"/>
      <c r="J184" s="3"/>
      <c r="K184" s="3"/>
      <c r="L184" s="3"/>
      <c r="M184" s="3"/>
      <c r="N184" s="3"/>
      <c r="O184" s="3"/>
      <c r="P184" s="8"/>
      <c r="Q184" s="8"/>
      <c r="R184" s="3"/>
      <c r="S184" s="3"/>
      <c r="T184" s="3"/>
      <c r="U184" s="5" t="str">
        <f t="shared" si="9"/>
        <v/>
      </c>
    </row>
    <row r="185" spans="1:21" ht="28" customHeight="1" x14ac:dyDescent="0.35">
      <c r="A185" s="4">
        <v>15</v>
      </c>
      <c r="B185" s="4" t="s">
        <v>103</v>
      </c>
      <c r="C185" s="4" t="s">
        <v>104</v>
      </c>
      <c r="D185" s="4" t="s">
        <v>105</v>
      </c>
      <c r="E185" s="4" t="s">
        <v>69</v>
      </c>
      <c r="F185" s="4" t="s">
        <v>95</v>
      </c>
      <c r="G185" s="4" t="s">
        <v>96</v>
      </c>
      <c r="H185" s="4" t="s">
        <v>85</v>
      </c>
      <c r="I185" s="3"/>
      <c r="J185" s="3"/>
      <c r="K185" s="3"/>
      <c r="L185" s="3"/>
      <c r="M185" s="3"/>
      <c r="N185" s="3"/>
      <c r="O185" s="3"/>
      <c r="P185" s="8"/>
      <c r="Q185" s="8"/>
      <c r="R185" s="3"/>
      <c r="S185" s="3"/>
      <c r="T185" s="3"/>
      <c r="U185" s="5" t="str">
        <f t="shared" si="9"/>
        <v/>
      </c>
    </row>
    <row r="186" spans="1:21" ht="28" customHeight="1" x14ac:dyDescent="0.35">
      <c r="A186" s="4">
        <v>16</v>
      </c>
      <c r="B186" s="4" t="s">
        <v>106</v>
      </c>
      <c r="C186" s="4" t="s">
        <v>107</v>
      </c>
      <c r="D186" s="4" t="s">
        <v>108</v>
      </c>
      <c r="E186" s="4" t="s">
        <v>109</v>
      </c>
      <c r="F186" s="4" t="s">
        <v>95</v>
      </c>
      <c r="G186" s="4" t="s">
        <v>96</v>
      </c>
      <c r="H186" s="4" t="s">
        <v>59</v>
      </c>
      <c r="I186" s="3"/>
      <c r="J186" s="3"/>
      <c r="K186" s="3"/>
      <c r="L186" s="3"/>
      <c r="M186" s="3"/>
      <c r="N186" s="3"/>
      <c r="O186" s="3"/>
      <c r="P186" s="8"/>
      <c r="Q186" s="8"/>
      <c r="R186" s="3"/>
      <c r="S186" s="3"/>
      <c r="T186" s="3"/>
      <c r="U186" s="5" t="str">
        <f t="shared" si="9"/>
        <v/>
      </c>
    </row>
    <row r="188" spans="1:21" ht="28" customHeight="1" x14ac:dyDescent="0.35">
      <c r="A188" s="9" t="s">
        <v>110</v>
      </c>
      <c r="B188" s="16"/>
      <c r="C188" s="17"/>
      <c r="D188" s="17"/>
      <c r="E188" s="17"/>
      <c r="F188" s="17"/>
      <c r="G188" s="17"/>
      <c r="H188" s="17"/>
      <c r="I188" s="17"/>
      <c r="J188" s="17"/>
      <c r="K188" s="17"/>
      <c r="L188" s="17"/>
      <c r="M188" s="17"/>
      <c r="N188" s="17"/>
      <c r="O188" s="17"/>
      <c r="P188" s="17"/>
      <c r="Q188" s="17"/>
      <c r="R188" s="17"/>
      <c r="S188" s="17"/>
      <c r="T188" s="17"/>
      <c r="U188" s="18"/>
    </row>
    <row r="189" spans="1:21" ht="28" customHeight="1" x14ac:dyDescent="0.35">
      <c r="A189" s="19" t="s">
        <v>678</v>
      </c>
      <c r="B189" s="20"/>
      <c r="C189" s="20"/>
      <c r="D189" s="20"/>
      <c r="E189" s="20"/>
      <c r="F189" s="20"/>
      <c r="G189" s="20"/>
      <c r="H189" s="20"/>
      <c r="I189" s="20"/>
      <c r="J189" s="20"/>
      <c r="K189" s="20"/>
      <c r="L189" s="20"/>
      <c r="M189" s="20"/>
      <c r="N189" s="20"/>
      <c r="O189" s="20"/>
      <c r="P189" s="20"/>
      <c r="Q189" s="20"/>
      <c r="R189" s="20"/>
      <c r="S189" s="20"/>
      <c r="T189" s="20"/>
      <c r="U189" s="21"/>
    </row>
    <row r="190" spans="1:21" ht="28" customHeight="1" x14ac:dyDescent="0.35">
      <c r="A190" s="4" t="s">
        <v>31</v>
      </c>
      <c r="B190" s="3" t="s">
        <v>26</v>
      </c>
      <c r="C190" s="4" t="s">
        <v>32</v>
      </c>
      <c r="D190" s="3"/>
      <c r="E190" s="4" t="s">
        <v>33</v>
      </c>
      <c r="F190" s="8"/>
    </row>
    <row r="191" spans="1:21" ht="28" customHeight="1" x14ac:dyDescent="0.35">
      <c r="A191" s="1" t="s">
        <v>34</v>
      </c>
      <c r="B191" s="1" t="s">
        <v>35</v>
      </c>
      <c r="C191" s="1" t="s">
        <v>36</v>
      </c>
      <c r="D191" s="1" t="s">
        <v>37</v>
      </c>
      <c r="E191" s="1" t="s">
        <v>38</v>
      </c>
      <c r="F191" s="1" t="s">
        <v>39</v>
      </c>
      <c r="G191" s="1" t="s">
        <v>40</v>
      </c>
      <c r="H191" s="1" t="s">
        <v>41</v>
      </c>
      <c r="I191" s="1" t="s">
        <v>42</v>
      </c>
      <c r="J191" s="1" t="s">
        <v>43</v>
      </c>
      <c r="K191" s="1" t="s">
        <v>44</v>
      </c>
      <c r="L191" s="1" t="s">
        <v>45</v>
      </c>
      <c r="M191" s="1" t="s">
        <v>46</v>
      </c>
      <c r="N191" s="1" t="s">
        <v>47</v>
      </c>
      <c r="O191" s="1" t="s">
        <v>48</v>
      </c>
      <c r="P191" s="1" t="s">
        <v>4</v>
      </c>
      <c r="Q191" s="1" t="s">
        <v>49</v>
      </c>
      <c r="R191" s="1" t="s">
        <v>50</v>
      </c>
      <c r="S191" s="1" t="s">
        <v>51</v>
      </c>
      <c r="T191" s="1" t="s">
        <v>52</v>
      </c>
      <c r="U191" s="1" t="s">
        <v>10</v>
      </c>
    </row>
    <row r="192" spans="1:21" ht="28" customHeight="1" x14ac:dyDescent="0.35">
      <c r="A192" s="4">
        <v>1</v>
      </c>
      <c r="B192" s="4" t="s">
        <v>53</v>
      </c>
      <c r="C192" s="4" t="s">
        <v>663</v>
      </c>
      <c r="D192" s="4" t="s">
        <v>664</v>
      </c>
      <c r="E192" s="4" t="s">
        <v>56</v>
      </c>
      <c r="F192" s="4" t="s">
        <v>57</v>
      </c>
      <c r="G192" s="4" t="s">
        <v>58</v>
      </c>
      <c r="H192" s="4" t="s">
        <v>59</v>
      </c>
      <c r="I192" s="3"/>
      <c r="J192" s="3"/>
      <c r="K192" s="3"/>
      <c r="L192" s="3"/>
      <c r="M192" s="3"/>
      <c r="N192" s="3"/>
      <c r="O192" s="3"/>
      <c r="P192" s="8"/>
      <c r="Q192" s="8"/>
      <c r="R192" s="3"/>
      <c r="S192" s="3"/>
      <c r="T192" s="3"/>
      <c r="U192" s="5" t="str">
        <f t="shared" ref="U192:U207" si="10">IF(I192="","",IF(I192="NA","Grey",IF(I192=2,"Green",IF(I192=1,"Amber","Red"))))</f>
        <v/>
      </c>
    </row>
    <row r="193" spans="1:21" ht="28" customHeight="1" x14ac:dyDescent="0.35">
      <c r="A193" s="4">
        <v>2</v>
      </c>
      <c r="B193" s="4" t="s">
        <v>53</v>
      </c>
      <c r="C193" s="4" t="s">
        <v>665</v>
      </c>
      <c r="D193" s="4" t="s">
        <v>666</v>
      </c>
      <c r="E193" s="4" t="s">
        <v>56</v>
      </c>
      <c r="F193" s="4" t="s">
        <v>57</v>
      </c>
      <c r="G193" s="4" t="s">
        <v>58</v>
      </c>
      <c r="H193" s="4" t="s">
        <v>59</v>
      </c>
      <c r="I193" s="3"/>
      <c r="J193" s="3"/>
      <c r="K193" s="3"/>
      <c r="L193" s="3"/>
      <c r="M193" s="3"/>
      <c r="N193" s="3"/>
      <c r="O193" s="3"/>
      <c r="P193" s="8"/>
      <c r="Q193" s="8"/>
      <c r="R193" s="3"/>
      <c r="S193" s="3"/>
      <c r="T193" s="3"/>
      <c r="U193" s="5" t="str">
        <f t="shared" si="10"/>
        <v/>
      </c>
    </row>
    <row r="194" spans="1:21" ht="28" customHeight="1" x14ac:dyDescent="0.35">
      <c r="A194" s="4">
        <v>3</v>
      </c>
      <c r="B194" s="4" t="s">
        <v>53</v>
      </c>
      <c r="C194" s="4" t="s">
        <v>667</v>
      </c>
      <c r="D194" s="4" t="s">
        <v>668</v>
      </c>
      <c r="E194" s="4" t="s">
        <v>56</v>
      </c>
      <c r="F194" s="4" t="s">
        <v>57</v>
      </c>
      <c r="G194" s="4" t="s">
        <v>58</v>
      </c>
      <c r="H194" s="4" t="s">
        <v>59</v>
      </c>
      <c r="I194" s="3"/>
      <c r="J194" s="3"/>
      <c r="K194" s="3"/>
      <c r="L194" s="3"/>
      <c r="M194" s="3"/>
      <c r="N194" s="3"/>
      <c r="O194" s="3"/>
      <c r="P194" s="8"/>
      <c r="Q194" s="8"/>
      <c r="R194" s="3"/>
      <c r="S194" s="3"/>
      <c r="T194" s="3"/>
      <c r="U194" s="5" t="str">
        <f t="shared" si="10"/>
        <v/>
      </c>
    </row>
    <row r="195" spans="1:21" ht="28" customHeight="1" x14ac:dyDescent="0.35">
      <c r="A195" s="4">
        <v>4</v>
      </c>
      <c r="B195" s="4" t="s">
        <v>53</v>
      </c>
      <c r="C195" s="4" t="s">
        <v>669</v>
      </c>
      <c r="D195" s="4" t="s">
        <v>670</v>
      </c>
      <c r="E195" s="4" t="s">
        <v>56</v>
      </c>
      <c r="F195" s="4" t="s">
        <v>57</v>
      </c>
      <c r="G195" s="4" t="s">
        <v>58</v>
      </c>
      <c r="H195" s="4" t="s">
        <v>59</v>
      </c>
      <c r="I195" s="3"/>
      <c r="J195" s="3"/>
      <c r="K195" s="3"/>
      <c r="L195" s="3"/>
      <c r="M195" s="3"/>
      <c r="N195" s="3"/>
      <c r="O195" s="3"/>
      <c r="P195" s="8"/>
      <c r="Q195" s="8"/>
      <c r="R195" s="3"/>
      <c r="S195" s="3"/>
      <c r="T195" s="3"/>
      <c r="U195" s="5" t="str">
        <f t="shared" si="10"/>
        <v/>
      </c>
    </row>
    <row r="196" spans="1:21" ht="28" customHeight="1" x14ac:dyDescent="0.35">
      <c r="A196" s="4">
        <v>5</v>
      </c>
      <c r="B196" s="4" t="s">
        <v>66</v>
      </c>
      <c r="C196" s="4" t="s">
        <v>67</v>
      </c>
      <c r="D196" s="4" t="s">
        <v>68</v>
      </c>
      <c r="E196" s="4" t="s">
        <v>69</v>
      </c>
      <c r="F196" s="4" t="s">
        <v>57</v>
      </c>
      <c r="G196" s="4" t="s">
        <v>58</v>
      </c>
      <c r="H196" s="4" t="s">
        <v>59</v>
      </c>
      <c r="I196" s="3"/>
      <c r="J196" s="3"/>
      <c r="K196" s="3"/>
      <c r="L196" s="3"/>
      <c r="M196" s="3"/>
      <c r="N196" s="3"/>
      <c r="O196" s="3"/>
      <c r="P196" s="8"/>
      <c r="Q196" s="8"/>
      <c r="R196" s="3"/>
      <c r="S196" s="3"/>
      <c r="T196" s="3"/>
      <c r="U196" s="5" t="str">
        <f t="shared" si="10"/>
        <v/>
      </c>
    </row>
    <row r="197" spans="1:21" ht="28" customHeight="1" x14ac:dyDescent="0.35">
      <c r="A197" s="4">
        <v>6</v>
      </c>
      <c r="B197" s="4" t="s">
        <v>70</v>
      </c>
      <c r="C197" s="4" t="s">
        <v>71</v>
      </c>
      <c r="D197" s="4" t="s">
        <v>72</v>
      </c>
      <c r="E197" s="4" t="s">
        <v>70</v>
      </c>
      <c r="F197" s="4" t="s">
        <v>57</v>
      </c>
      <c r="G197" s="4" t="s">
        <v>58</v>
      </c>
      <c r="H197" s="4" t="s">
        <v>59</v>
      </c>
      <c r="I197" s="3"/>
      <c r="J197" s="3"/>
      <c r="K197" s="3"/>
      <c r="L197" s="3"/>
      <c r="M197" s="3"/>
      <c r="N197" s="3"/>
      <c r="O197" s="3"/>
      <c r="P197" s="8"/>
      <c r="Q197" s="8"/>
      <c r="R197" s="3"/>
      <c r="S197" s="3"/>
      <c r="T197" s="3"/>
      <c r="U197" s="5" t="str">
        <f t="shared" si="10"/>
        <v/>
      </c>
    </row>
    <row r="198" spans="1:21" ht="28" customHeight="1" x14ac:dyDescent="0.35">
      <c r="A198" s="4">
        <v>7</v>
      </c>
      <c r="B198" s="4" t="s">
        <v>73</v>
      </c>
      <c r="C198" s="4" t="s">
        <v>74</v>
      </c>
      <c r="D198" s="4" t="s">
        <v>75</v>
      </c>
      <c r="E198" s="4" t="s">
        <v>69</v>
      </c>
      <c r="F198" s="4" t="s">
        <v>57</v>
      </c>
      <c r="G198" s="4" t="s">
        <v>58</v>
      </c>
      <c r="H198" s="4" t="s">
        <v>76</v>
      </c>
      <c r="I198" s="3"/>
      <c r="J198" s="3"/>
      <c r="K198" s="3"/>
      <c r="L198" s="3"/>
      <c r="M198" s="3"/>
      <c r="N198" s="3"/>
      <c r="O198" s="3"/>
      <c r="P198" s="8"/>
      <c r="Q198" s="8"/>
      <c r="R198" s="3"/>
      <c r="S198" s="3"/>
      <c r="T198" s="3"/>
      <c r="U198" s="5" t="str">
        <f t="shared" si="10"/>
        <v/>
      </c>
    </row>
    <row r="199" spans="1:21" ht="28" customHeight="1" x14ac:dyDescent="0.35">
      <c r="A199" s="4">
        <v>8</v>
      </c>
      <c r="B199" s="4" t="s">
        <v>77</v>
      </c>
      <c r="C199" s="4" t="s">
        <v>78</v>
      </c>
      <c r="D199" s="4" t="s">
        <v>79</v>
      </c>
      <c r="E199" s="4" t="s">
        <v>80</v>
      </c>
      <c r="F199" s="4" t="s">
        <v>57</v>
      </c>
      <c r="G199" s="4" t="s">
        <v>58</v>
      </c>
      <c r="H199" s="4" t="s">
        <v>59</v>
      </c>
      <c r="I199" s="3"/>
      <c r="J199" s="3"/>
      <c r="K199" s="3"/>
      <c r="L199" s="3"/>
      <c r="M199" s="3"/>
      <c r="N199" s="3"/>
      <c r="O199" s="3"/>
      <c r="P199" s="8"/>
      <c r="Q199" s="8"/>
      <c r="R199" s="3"/>
      <c r="S199" s="3"/>
      <c r="T199" s="3"/>
      <c r="U199" s="5" t="str">
        <f t="shared" si="10"/>
        <v/>
      </c>
    </row>
    <row r="200" spans="1:21" ht="28" customHeight="1" x14ac:dyDescent="0.35">
      <c r="A200" s="4">
        <v>9</v>
      </c>
      <c r="B200" s="4" t="s">
        <v>81</v>
      </c>
      <c r="C200" s="4" t="s">
        <v>82</v>
      </c>
      <c r="D200" s="4" t="s">
        <v>83</v>
      </c>
      <c r="E200" s="4" t="s">
        <v>84</v>
      </c>
      <c r="F200" s="4" t="s">
        <v>57</v>
      </c>
      <c r="G200" s="4" t="s">
        <v>58</v>
      </c>
      <c r="H200" s="4" t="s">
        <v>85</v>
      </c>
      <c r="I200" s="3"/>
      <c r="J200" s="3"/>
      <c r="K200" s="3"/>
      <c r="L200" s="3"/>
      <c r="M200" s="3"/>
      <c r="N200" s="3"/>
      <c r="O200" s="3"/>
      <c r="P200" s="8"/>
      <c r="Q200" s="8"/>
      <c r="R200" s="3"/>
      <c r="S200" s="3"/>
      <c r="T200" s="3"/>
      <c r="U200" s="5" t="str">
        <f t="shared" si="10"/>
        <v/>
      </c>
    </row>
    <row r="201" spans="1:21" ht="28" customHeight="1" x14ac:dyDescent="0.35">
      <c r="A201" s="4">
        <v>10</v>
      </c>
      <c r="B201" s="4" t="s">
        <v>86</v>
      </c>
      <c r="C201" s="4" t="s">
        <v>87</v>
      </c>
      <c r="D201" s="4" t="s">
        <v>88</v>
      </c>
      <c r="E201" s="4" t="s">
        <v>69</v>
      </c>
      <c r="F201" s="4" t="s">
        <v>57</v>
      </c>
      <c r="G201" s="4" t="s">
        <v>58</v>
      </c>
      <c r="H201" s="4" t="s">
        <v>59</v>
      </c>
      <c r="I201" s="3"/>
      <c r="J201" s="3"/>
      <c r="K201" s="3"/>
      <c r="L201" s="3"/>
      <c r="M201" s="3"/>
      <c r="N201" s="3"/>
      <c r="O201" s="3"/>
      <c r="P201" s="8"/>
      <c r="Q201" s="8"/>
      <c r="R201" s="3"/>
      <c r="S201" s="3"/>
      <c r="T201" s="3"/>
      <c r="U201" s="5" t="str">
        <f t="shared" si="10"/>
        <v/>
      </c>
    </row>
    <row r="202" spans="1:21" ht="28" customHeight="1" x14ac:dyDescent="0.35">
      <c r="A202" s="4">
        <v>11</v>
      </c>
      <c r="B202" s="4" t="s">
        <v>89</v>
      </c>
      <c r="C202" s="4" t="s">
        <v>90</v>
      </c>
      <c r="D202" s="4" t="s">
        <v>91</v>
      </c>
      <c r="E202" s="4" t="s">
        <v>84</v>
      </c>
      <c r="F202" s="4" t="s">
        <v>57</v>
      </c>
      <c r="G202" s="4" t="s">
        <v>58</v>
      </c>
      <c r="H202" s="4" t="s">
        <v>59</v>
      </c>
      <c r="I202" s="3"/>
      <c r="J202" s="3"/>
      <c r="K202" s="3"/>
      <c r="L202" s="3"/>
      <c r="M202" s="3"/>
      <c r="N202" s="3"/>
      <c r="O202" s="3"/>
      <c r="P202" s="8"/>
      <c r="Q202" s="8"/>
      <c r="R202" s="3"/>
      <c r="S202" s="3"/>
      <c r="T202" s="3"/>
      <c r="U202" s="5" t="str">
        <f t="shared" si="10"/>
        <v/>
      </c>
    </row>
    <row r="203" spans="1:21" ht="28" customHeight="1" x14ac:dyDescent="0.35">
      <c r="A203" s="4">
        <v>12</v>
      </c>
      <c r="B203" s="4" t="s">
        <v>92</v>
      </c>
      <c r="C203" s="4" t="s">
        <v>93</v>
      </c>
      <c r="D203" s="4" t="s">
        <v>94</v>
      </c>
      <c r="E203" s="4" t="s">
        <v>69</v>
      </c>
      <c r="F203" s="4" t="s">
        <v>95</v>
      </c>
      <c r="G203" s="4" t="s">
        <v>96</v>
      </c>
      <c r="H203" s="4" t="s">
        <v>59</v>
      </c>
      <c r="I203" s="3"/>
      <c r="J203" s="3"/>
      <c r="K203" s="3"/>
      <c r="L203" s="3"/>
      <c r="M203" s="3"/>
      <c r="N203" s="3"/>
      <c r="O203" s="3"/>
      <c r="P203" s="8"/>
      <c r="Q203" s="8"/>
      <c r="R203" s="3"/>
      <c r="S203" s="3"/>
      <c r="T203" s="3"/>
      <c r="U203" s="5" t="str">
        <f t="shared" si="10"/>
        <v/>
      </c>
    </row>
    <row r="204" spans="1:21" ht="28" customHeight="1" x14ac:dyDescent="0.35">
      <c r="A204" s="4">
        <v>13</v>
      </c>
      <c r="B204" s="4" t="s">
        <v>97</v>
      </c>
      <c r="C204" s="4" t="s">
        <v>98</v>
      </c>
      <c r="D204" s="4" t="s">
        <v>99</v>
      </c>
      <c r="E204" s="4" t="s">
        <v>69</v>
      </c>
      <c r="F204" s="4" t="s">
        <v>95</v>
      </c>
      <c r="G204" s="4" t="s">
        <v>96</v>
      </c>
      <c r="H204" s="4" t="s">
        <v>59</v>
      </c>
      <c r="I204" s="3"/>
      <c r="J204" s="3"/>
      <c r="K204" s="3"/>
      <c r="L204" s="3"/>
      <c r="M204" s="3"/>
      <c r="N204" s="3"/>
      <c r="O204" s="3"/>
      <c r="P204" s="8"/>
      <c r="Q204" s="8"/>
      <c r="R204" s="3"/>
      <c r="S204" s="3"/>
      <c r="T204" s="3"/>
      <c r="U204" s="5" t="str">
        <f t="shared" si="10"/>
        <v/>
      </c>
    </row>
    <row r="205" spans="1:21" ht="28" customHeight="1" x14ac:dyDescent="0.35">
      <c r="A205" s="4">
        <v>14</v>
      </c>
      <c r="B205" s="4" t="s">
        <v>97</v>
      </c>
      <c r="C205" s="4" t="s">
        <v>100</v>
      </c>
      <c r="D205" s="4" t="s">
        <v>101</v>
      </c>
      <c r="E205" s="4" t="s">
        <v>69</v>
      </c>
      <c r="F205" s="4" t="s">
        <v>95</v>
      </c>
      <c r="G205" s="4" t="s">
        <v>102</v>
      </c>
      <c r="H205" s="4" t="s">
        <v>59</v>
      </c>
      <c r="I205" s="3"/>
      <c r="J205" s="3"/>
      <c r="K205" s="3"/>
      <c r="L205" s="3"/>
      <c r="M205" s="3"/>
      <c r="N205" s="3"/>
      <c r="O205" s="3"/>
      <c r="P205" s="8"/>
      <c r="Q205" s="8"/>
      <c r="R205" s="3"/>
      <c r="S205" s="3"/>
      <c r="T205" s="3"/>
      <c r="U205" s="5" t="str">
        <f t="shared" si="10"/>
        <v/>
      </c>
    </row>
    <row r="206" spans="1:21" ht="28" customHeight="1" x14ac:dyDescent="0.35">
      <c r="A206" s="4">
        <v>15</v>
      </c>
      <c r="B206" s="4" t="s">
        <v>103</v>
      </c>
      <c r="C206" s="4" t="s">
        <v>104</v>
      </c>
      <c r="D206" s="4" t="s">
        <v>105</v>
      </c>
      <c r="E206" s="4" t="s">
        <v>69</v>
      </c>
      <c r="F206" s="4" t="s">
        <v>95</v>
      </c>
      <c r="G206" s="4" t="s">
        <v>96</v>
      </c>
      <c r="H206" s="4" t="s">
        <v>85</v>
      </c>
      <c r="I206" s="3"/>
      <c r="J206" s="3"/>
      <c r="K206" s="3"/>
      <c r="L206" s="3"/>
      <c r="M206" s="3"/>
      <c r="N206" s="3"/>
      <c r="O206" s="3"/>
      <c r="P206" s="8"/>
      <c r="Q206" s="8"/>
      <c r="R206" s="3"/>
      <c r="S206" s="3"/>
      <c r="T206" s="3"/>
      <c r="U206" s="5" t="str">
        <f t="shared" si="10"/>
        <v/>
      </c>
    </row>
    <row r="207" spans="1:21" ht="28" customHeight="1" x14ac:dyDescent="0.35">
      <c r="A207" s="4">
        <v>16</v>
      </c>
      <c r="B207" s="4" t="s">
        <v>106</v>
      </c>
      <c r="C207" s="4" t="s">
        <v>107</v>
      </c>
      <c r="D207" s="4" t="s">
        <v>108</v>
      </c>
      <c r="E207" s="4" t="s">
        <v>109</v>
      </c>
      <c r="F207" s="4" t="s">
        <v>95</v>
      </c>
      <c r="G207" s="4" t="s">
        <v>96</v>
      </c>
      <c r="H207" s="4" t="s">
        <v>59</v>
      </c>
      <c r="I207" s="3"/>
      <c r="J207" s="3"/>
      <c r="K207" s="3"/>
      <c r="L207" s="3"/>
      <c r="M207" s="3"/>
      <c r="N207" s="3"/>
      <c r="O207" s="3"/>
      <c r="P207" s="8"/>
      <c r="Q207" s="8"/>
      <c r="R207" s="3"/>
      <c r="S207" s="3"/>
      <c r="T207" s="3"/>
      <c r="U207" s="5" t="str">
        <f t="shared" si="10"/>
        <v/>
      </c>
    </row>
    <row r="209" spans="1:21" ht="28" customHeight="1" x14ac:dyDescent="0.35">
      <c r="A209" s="9" t="s">
        <v>110</v>
      </c>
      <c r="B209" s="16"/>
      <c r="C209" s="17"/>
      <c r="D209" s="17"/>
      <c r="E209" s="17"/>
      <c r="F209" s="17"/>
      <c r="G209" s="17"/>
      <c r="H209" s="17"/>
      <c r="I209" s="17"/>
      <c r="J209" s="17"/>
      <c r="K209" s="17"/>
      <c r="L209" s="17"/>
      <c r="M209" s="17"/>
      <c r="N209" s="17"/>
      <c r="O209" s="17"/>
      <c r="P209" s="17"/>
      <c r="Q209" s="17"/>
      <c r="R209" s="17"/>
      <c r="S209" s="17"/>
      <c r="T209" s="17"/>
      <c r="U209" s="18"/>
    </row>
    <row r="210" spans="1:21" ht="28" customHeight="1" x14ac:dyDescent="0.35">
      <c r="A210" s="19" t="s">
        <v>679</v>
      </c>
      <c r="B210" s="20"/>
      <c r="C210" s="20"/>
      <c r="D210" s="20"/>
      <c r="E210" s="20"/>
      <c r="F210" s="20"/>
      <c r="G210" s="20"/>
      <c r="H210" s="20"/>
      <c r="I210" s="20"/>
      <c r="J210" s="20"/>
      <c r="K210" s="20"/>
      <c r="L210" s="20"/>
      <c r="M210" s="20"/>
      <c r="N210" s="20"/>
      <c r="O210" s="20"/>
      <c r="P210" s="20"/>
      <c r="Q210" s="20"/>
      <c r="R210" s="20"/>
      <c r="S210" s="20"/>
      <c r="T210" s="20"/>
      <c r="U210" s="21"/>
    </row>
    <row r="211" spans="1:21" ht="28" customHeight="1" x14ac:dyDescent="0.35">
      <c r="A211" s="4" t="s">
        <v>31</v>
      </c>
      <c r="B211" s="3" t="s">
        <v>27</v>
      </c>
      <c r="C211" s="4" t="s">
        <v>32</v>
      </c>
      <c r="D211" s="3"/>
      <c r="E211" s="4" t="s">
        <v>33</v>
      </c>
      <c r="F211" s="8"/>
    </row>
    <row r="212" spans="1:21" ht="28" customHeight="1" x14ac:dyDescent="0.35">
      <c r="A212" s="1" t="s">
        <v>34</v>
      </c>
      <c r="B212" s="1" t="s">
        <v>35</v>
      </c>
      <c r="C212" s="1" t="s">
        <v>36</v>
      </c>
      <c r="D212" s="1" t="s">
        <v>37</v>
      </c>
      <c r="E212" s="1" t="s">
        <v>38</v>
      </c>
      <c r="F212" s="1" t="s">
        <v>39</v>
      </c>
      <c r="G212" s="1" t="s">
        <v>40</v>
      </c>
      <c r="H212" s="1" t="s">
        <v>41</v>
      </c>
      <c r="I212" s="1" t="s">
        <v>42</v>
      </c>
      <c r="J212" s="1" t="s">
        <v>43</v>
      </c>
      <c r="K212" s="1" t="s">
        <v>44</v>
      </c>
      <c r="L212" s="1" t="s">
        <v>45</v>
      </c>
      <c r="M212" s="1" t="s">
        <v>46</v>
      </c>
      <c r="N212" s="1" t="s">
        <v>47</v>
      </c>
      <c r="O212" s="1" t="s">
        <v>48</v>
      </c>
      <c r="P212" s="1" t="s">
        <v>4</v>
      </c>
      <c r="Q212" s="1" t="s">
        <v>49</v>
      </c>
      <c r="R212" s="1" t="s">
        <v>50</v>
      </c>
      <c r="S212" s="1" t="s">
        <v>51</v>
      </c>
      <c r="T212" s="1" t="s">
        <v>52</v>
      </c>
      <c r="U212" s="1" t="s">
        <v>10</v>
      </c>
    </row>
    <row r="213" spans="1:21" ht="28" customHeight="1" x14ac:dyDescent="0.35">
      <c r="A213" s="4">
        <v>1</v>
      </c>
      <c r="B213" s="4" t="s">
        <v>53</v>
      </c>
      <c r="C213" s="4" t="s">
        <v>663</v>
      </c>
      <c r="D213" s="4" t="s">
        <v>664</v>
      </c>
      <c r="E213" s="4" t="s">
        <v>56</v>
      </c>
      <c r="F213" s="4" t="s">
        <v>57</v>
      </c>
      <c r="G213" s="4" t="s">
        <v>58</v>
      </c>
      <c r="H213" s="4" t="s">
        <v>59</v>
      </c>
      <c r="I213" s="3"/>
      <c r="J213" s="3"/>
      <c r="K213" s="3"/>
      <c r="L213" s="3"/>
      <c r="M213" s="3"/>
      <c r="N213" s="3"/>
      <c r="O213" s="3"/>
      <c r="P213" s="8"/>
      <c r="Q213" s="8"/>
      <c r="R213" s="3"/>
      <c r="S213" s="3"/>
      <c r="T213" s="3"/>
      <c r="U213" s="5" t="str">
        <f t="shared" ref="U213:U228" si="11">IF(I213="","",IF(I213="NA","Grey",IF(I213=2,"Green",IF(I213=1,"Amber","Red"))))</f>
        <v/>
      </c>
    </row>
    <row r="214" spans="1:21" ht="28" customHeight="1" x14ac:dyDescent="0.35">
      <c r="A214" s="4">
        <v>2</v>
      </c>
      <c r="B214" s="4" t="s">
        <v>53</v>
      </c>
      <c r="C214" s="4" t="s">
        <v>665</v>
      </c>
      <c r="D214" s="4" t="s">
        <v>666</v>
      </c>
      <c r="E214" s="4" t="s">
        <v>56</v>
      </c>
      <c r="F214" s="4" t="s">
        <v>57</v>
      </c>
      <c r="G214" s="4" t="s">
        <v>58</v>
      </c>
      <c r="H214" s="4" t="s">
        <v>59</v>
      </c>
      <c r="I214" s="3"/>
      <c r="J214" s="3"/>
      <c r="K214" s="3"/>
      <c r="L214" s="3"/>
      <c r="M214" s="3"/>
      <c r="N214" s="3"/>
      <c r="O214" s="3"/>
      <c r="P214" s="8"/>
      <c r="Q214" s="8"/>
      <c r="R214" s="3"/>
      <c r="S214" s="3"/>
      <c r="T214" s="3"/>
      <c r="U214" s="5" t="str">
        <f t="shared" si="11"/>
        <v/>
      </c>
    </row>
    <row r="215" spans="1:21" ht="28" customHeight="1" x14ac:dyDescent="0.35">
      <c r="A215" s="4">
        <v>3</v>
      </c>
      <c r="B215" s="4" t="s">
        <v>53</v>
      </c>
      <c r="C215" s="4" t="s">
        <v>667</v>
      </c>
      <c r="D215" s="4" t="s">
        <v>668</v>
      </c>
      <c r="E215" s="4" t="s">
        <v>56</v>
      </c>
      <c r="F215" s="4" t="s">
        <v>57</v>
      </c>
      <c r="G215" s="4" t="s">
        <v>58</v>
      </c>
      <c r="H215" s="4" t="s">
        <v>59</v>
      </c>
      <c r="I215" s="3"/>
      <c r="J215" s="3"/>
      <c r="K215" s="3"/>
      <c r="L215" s="3"/>
      <c r="M215" s="3"/>
      <c r="N215" s="3"/>
      <c r="O215" s="3"/>
      <c r="P215" s="8"/>
      <c r="Q215" s="8"/>
      <c r="R215" s="3"/>
      <c r="S215" s="3"/>
      <c r="T215" s="3"/>
      <c r="U215" s="5" t="str">
        <f t="shared" si="11"/>
        <v/>
      </c>
    </row>
    <row r="216" spans="1:21" ht="28" customHeight="1" x14ac:dyDescent="0.35">
      <c r="A216" s="4">
        <v>4</v>
      </c>
      <c r="B216" s="4" t="s">
        <v>53</v>
      </c>
      <c r="C216" s="4" t="s">
        <v>669</v>
      </c>
      <c r="D216" s="4" t="s">
        <v>670</v>
      </c>
      <c r="E216" s="4" t="s">
        <v>56</v>
      </c>
      <c r="F216" s="4" t="s">
        <v>57</v>
      </c>
      <c r="G216" s="4" t="s">
        <v>58</v>
      </c>
      <c r="H216" s="4" t="s">
        <v>59</v>
      </c>
      <c r="I216" s="3"/>
      <c r="J216" s="3"/>
      <c r="K216" s="3"/>
      <c r="L216" s="3"/>
      <c r="M216" s="3"/>
      <c r="N216" s="3"/>
      <c r="O216" s="3"/>
      <c r="P216" s="8"/>
      <c r="Q216" s="8"/>
      <c r="R216" s="3"/>
      <c r="S216" s="3"/>
      <c r="T216" s="3"/>
      <c r="U216" s="5" t="str">
        <f t="shared" si="11"/>
        <v/>
      </c>
    </row>
    <row r="217" spans="1:21" ht="28" customHeight="1" x14ac:dyDescent="0.35">
      <c r="A217" s="4">
        <v>5</v>
      </c>
      <c r="B217" s="4" t="s">
        <v>66</v>
      </c>
      <c r="C217" s="4" t="s">
        <v>67</v>
      </c>
      <c r="D217" s="4" t="s">
        <v>68</v>
      </c>
      <c r="E217" s="4" t="s">
        <v>69</v>
      </c>
      <c r="F217" s="4" t="s">
        <v>57</v>
      </c>
      <c r="G217" s="4" t="s">
        <v>58</v>
      </c>
      <c r="H217" s="4" t="s">
        <v>59</v>
      </c>
      <c r="I217" s="3"/>
      <c r="J217" s="3"/>
      <c r="K217" s="3"/>
      <c r="L217" s="3"/>
      <c r="M217" s="3"/>
      <c r="N217" s="3"/>
      <c r="O217" s="3"/>
      <c r="P217" s="8"/>
      <c r="Q217" s="8"/>
      <c r="R217" s="3"/>
      <c r="S217" s="3"/>
      <c r="T217" s="3"/>
      <c r="U217" s="5" t="str">
        <f t="shared" si="11"/>
        <v/>
      </c>
    </row>
    <row r="218" spans="1:21" ht="28" customHeight="1" x14ac:dyDescent="0.35">
      <c r="A218" s="4">
        <v>6</v>
      </c>
      <c r="B218" s="4" t="s">
        <v>70</v>
      </c>
      <c r="C218" s="4" t="s">
        <v>71</v>
      </c>
      <c r="D218" s="4" t="s">
        <v>72</v>
      </c>
      <c r="E218" s="4" t="s">
        <v>70</v>
      </c>
      <c r="F218" s="4" t="s">
        <v>57</v>
      </c>
      <c r="G218" s="4" t="s">
        <v>58</v>
      </c>
      <c r="H218" s="4" t="s">
        <v>59</v>
      </c>
      <c r="I218" s="3"/>
      <c r="J218" s="3"/>
      <c r="K218" s="3"/>
      <c r="L218" s="3"/>
      <c r="M218" s="3"/>
      <c r="N218" s="3"/>
      <c r="O218" s="3"/>
      <c r="P218" s="8"/>
      <c r="Q218" s="8"/>
      <c r="R218" s="3"/>
      <c r="S218" s="3"/>
      <c r="T218" s="3"/>
      <c r="U218" s="5" t="str">
        <f t="shared" si="11"/>
        <v/>
      </c>
    </row>
    <row r="219" spans="1:21" ht="28" customHeight="1" x14ac:dyDescent="0.35">
      <c r="A219" s="4">
        <v>7</v>
      </c>
      <c r="B219" s="4" t="s">
        <v>73</v>
      </c>
      <c r="C219" s="4" t="s">
        <v>74</v>
      </c>
      <c r="D219" s="4" t="s">
        <v>75</v>
      </c>
      <c r="E219" s="4" t="s">
        <v>69</v>
      </c>
      <c r="F219" s="4" t="s">
        <v>57</v>
      </c>
      <c r="G219" s="4" t="s">
        <v>58</v>
      </c>
      <c r="H219" s="4" t="s">
        <v>76</v>
      </c>
      <c r="I219" s="3"/>
      <c r="J219" s="3"/>
      <c r="K219" s="3"/>
      <c r="L219" s="3"/>
      <c r="M219" s="3"/>
      <c r="N219" s="3"/>
      <c r="O219" s="3"/>
      <c r="P219" s="8"/>
      <c r="Q219" s="8"/>
      <c r="R219" s="3"/>
      <c r="S219" s="3"/>
      <c r="T219" s="3"/>
      <c r="U219" s="5" t="str">
        <f t="shared" si="11"/>
        <v/>
      </c>
    </row>
    <row r="220" spans="1:21" ht="28" customHeight="1" x14ac:dyDescent="0.35">
      <c r="A220" s="4">
        <v>8</v>
      </c>
      <c r="B220" s="4" t="s">
        <v>77</v>
      </c>
      <c r="C220" s="4" t="s">
        <v>78</v>
      </c>
      <c r="D220" s="4" t="s">
        <v>79</v>
      </c>
      <c r="E220" s="4" t="s">
        <v>80</v>
      </c>
      <c r="F220" s="4" t="s">
        <v>57</v>
      </c>
      <c r="G220" s="4" t="s">
        <v>58</v>
      </c>
      <c r="H220" s="4" t="s">
        <v>59</v>
      </c>
      <c r="I220" s="3"/>
      <c r="J220" s="3"/>
      <c r="K220" s="3"/>
      <c r="L220" s="3"/>
      <c r="M220" s="3"/>
      <c r="N220" s="3"/>
      <c r="O220" s="3"/>
      <c r="P220" s="8"/>
      <c r="Q220" s="8"/>
      <c r="R220" s="3"/>
      <c r="S220" s="3"/>
      <c r="T220" s="3"/>
      <c r="U220" s="5" t="str">
        <f t="shared" si="11"/>
        <v/>
      </c>
    </row>
    <row r="221" spans="1:21" ht="28" customHeight="1" x14ac:dyDescent="0.35">
      <c r="A221" s="4">
        <v>9</v>
      </c>
      <c r="B221" s="4" t="s">
        <v>81</v>
      </c>
      <c r="C221" s="4" t="s">
        <v>82</v>
      </c>
      <c r="D221" s="4" t="s">
        <v>83</v>
      </c>
      <c r="E221" s="4" t="s">
        <v>84</v>
      </c>
      <c r="F221" s="4" t="s">
        <v>57</v>
      </c>
      <c r="G221" s="4" t="s">
        <v>58</v>
      </c>
      <c r="H221" s="4" t="s">
        <v>85</v>
      </c>
      <c r="I221" s="3"/>
      <c r="J221" s="3"/>
      <c r="K221" s="3"/>
      <c r="L221" s="3"/>
      <c r="M221" s="3"/>
      <c r="N221" s="3"/>
      <c r="O221" s="3"/>
      <c r="P221" s="8"/>
      <c r="Q221" s="8"/>
      <c r="R221" s="3"/>
      <c r="S221" s="3"/>
      <c r="T221" s="3"/>
      <c r="U221" s="5" t="str">
        <f t="shared" si="11"/>
        <v/>
      </c>
    </row>
    <row r="222" spans="1:21" ht="28" customHeight="1" x14ac:dyDescent="0.35">
      <c r="A222" s="4">
        <v>10</v>
      </c>
      <c r="B222" s="4" t="s">
        <v>86</v>
      </c>
      <c r="C222" s="4" t="s">
        <v>87</v>
      </c>
      <c r="D222" s="4" t="s">
        <v>88</v>
      </c>
      <c r="E222" s="4" t="s">
        <v>69</v>
      </c>
      <c r="F222" s="4" t="s">
        <v>57</v>
      </c>
      <c r="G222" s="4" t="s">
        <v>58</v>
      </c>
      <c r="H222" s="4" t="s">
        <v>59</v>
      </c>
      <c r="I222" s="3"/>
      <c r="J222" s="3"/>
      <c r="K222" s="3"/>
      <c r="L222" s="3"/>
      <c r="M222" s="3"/>
      <c r="N222" s="3"/>
      <c r="O222" s="3"/>
      <c r="P222" s="8"/>
      <c r="Q222" s="8"/>
      <c r="R222" s="3"/>
      <c r="S222" s="3"/>
      <c r="T222" s="3"/>
      <c r="U222" s="5" t="str">
        <f t="shared" si="11"/>
        <v/>
      </c>
    </row>
    <row r="223" spans="1:21" ht="28" customHeight="1" x14ac:dyDescent="0.35">
      <c r="A223" s="4">
        <v>11</v>
      </c>
      <c r="B223" s="4" t="s">
        <v>89</v>
      </c>
      <c r="C223" s="4" t="s">
        <v>90</v>
      </c>
      <c r="D223" s="4" t="s">
        <v>91</v>
      </c>
      <c r="E223" s="4" t="s">
        <v>84</v>
      </c>
      <c r="F223" s="4" t="s">
        <v>57</v>
      </c>
      <c r="G223" s="4" t="s">
        <v>58</v>
      </c>
      <c r="H223" s="4" t="s">
        <v>59</v>
      </c>
      <c r="I223" s="3"/>
      <c r="J223" s="3"/>
      <c r="K223" s="3"/>
      <c r="L223" s="3"/>
      <c r="M223" s="3"/>
      <c r="N223" s="3"/>
      <c r="O223" s="3"/>
      <c r="P223" s="8"/>
      <c r="Q223" s="8"/>
      <c r="R223" s="3"/>
      <c r="S223" s="3"/>
      <c r="T223" s="3"/>
      <c r="U223" s="5" t="str">
        <f t="shared" si="11"/>
        <v/>
      </c>
    </row>
    <row r="224" spans="1:21" ht="28" customHeight="1" x14ac:dyDescent="0.35">
      <c r="A224" s="4">
        <v>12</v>
      </c>
      <c r="B224" s="4" t="s">
        <v>92</v>
      </c>
      <c r="C224" s="4" t="s">
        <v>93</v>
      </c>
      <c r="D224" s="4" t="s">
        <v>94</v>
      </c>
      <c r="E224" s="4" t="s">
        <v>69</v>
      </c>
      <c r="F224" s="4" t="s">
        <v>95</v>
      </c>
      <c r="G224" s="4" t="s">
        <v>96</v>
      </c>
      <c r="H224" s="4" t="s">
        <v>59</v>
      </c>
      <c r="I224" s="3"/>
      <c r="J224" s="3"/>
      <c r="K224" s="3"/>
      <c r="L224" s="3"/>
      <c r="M224" s="3"/>
      <c r="N224" s="3"/>
      <c r="O224" s="3"/>
      <c r="P224" s="8"/>
      <c r="Q224" s="8"/>
      <c r="R224" s="3"/>
      <c r="S224" s="3"/>
      <c r="T224" s="3"/>
      <c r="U224" s="5" t="str">
        <f t="shared" si="11"/>
        <v/>
      </c>
    </row>
    <row r="225" spans="1:21" ht="28" customHeight="1" x14ac:dyDescent="0.35">
      <c r="A225" s="4">
        <v>13</v>
      </c>
      <c r="B225" s="4" t="s">
        <v>97</v>
      </c>
      <c r="C225" s="4" t="s">
        <v>98</v>
      </c>
      <c r="D225" s="4" t="s">
        <v>99</v>
      </c>
      <c r="E225" s="4" t="s">
        <v>69</v>
      </c>
      <c r="F225" s="4" t="s">
        <v>95</v>
      </c>
      <c r="G225" s="4" t="s">
        <v>96</v>
      </c>
      <c r="H225" s="4" t="s">
        <v>59</v>
      </c>
      <c r="I225" s="3"/>
      <c r="J225" s="3"/>
      <c r="K225" s="3"/>
      <c r="L225" s="3"/>
      <c r="M225" s="3"/>
      <c r="N225" s="3"/>
      <c r="O225" s="3"/>
      <c r="P225" s="8"/>
      <c r="Q225" s="8"/>
      <c r="R225" s="3"/>
      <c r="S225" s="3"/>
      <c r="T225" s="3"/>
      <c r="U225" s="5" t="str">
        <f t="shared" si="11"/>
        <v/>
      </c>
    </row>
    <row r="226" spans="1:21" ht="28" customHeight="1" x14ac:dyDescent="0.35">
      <c r="A226" s="4">
        <v>14</v>
      </c>
      <c r="B226" s="4" t="s">
        <v>97</v>
      </c>
      <c r="C226" s="4" t="s">
        <v>100</v>
      </c>
      <c r="D226" s="4" t="s">
        <v>101</v>
      </c>
      <c r="E226" s="4" t="s">
        <v>69</v>
      </c>
      <c r="F226" s="4" t="s">
        <v>95</v>
      </c>
      <c r="G226" s="4" t="s">
        <v>102</v>
      </c>
      <c r="H226" s="4" t="s">
        <v>59</v>
      </c>
      <c r="I226" s="3"/>
      <c r="J226" s="3"/>
      <c r="K226" s="3"/>
      <c r="L226" s="3"/>
      <c r="M226" s="3"/>
      <c r="N226" s="3"/>
      <c r="O226" s="3"/>
      <c r="P226" s="8"/>
      <c r="Q226" s="8"/>
      <c r="R226" s="3"/>
      <c r="S226" s="3"/>
      <c r="T226" s="3"/>
      <c r="U226" s="5" t="str">
        <f t="shared" si="11"/>
        <v/>
      </c>
    </row>
    <row r="227" spans="1:21" ht="28" customHeight="1" x14ac:dyDescent="0.35">
      <c r="A227" s="4">
        <v>15</v>
      </c>
      <c r="B227" s="4" t="s">
        <v>103</v>
      </c>
      <c r="C227" s="4" t="s">
        <v>104</v>
      </c>
      <c r="D227" s="4" t="s">
        <v>105</v>
      </c>
      <c r="E227" s="4" t="s">
        <v>69</v>
      </c>
      <c r="F227" s="4" t="s">
        <v>95</v>
      </c>
      <c r="G227" s="4" t="s">
        <v>96</v>
      </c>
      <c r="H227" s="4" t="s">
        <v>85</v>
      </c>
      <c r="I227" s="3"/>
      <c r="J227" s="3"/>
      <c r="K227" s="3"/>
      <c r="L227" s="3"/>
      <c r="M227" s="3"/>
      <c r="N227" s="3"/>
      <c r="O227" s="3"/>
      <c r="P227" s="8"/>
      <c r="Q227" s="8"/>
      <c r="R227" s="3"/>
      <c r="S227" s="3"/>
      <c r="T227" s="3"/>
      <c r="U227" s="5" t="str">
        <f t="shared" si="11"/>
        <v/>
      </c>
    </row>
    <row r="228" spans="1:21" ht="28" customHeight="1" x14ac:dyDescent="0.35">
      <c r="A228" s="4">
        <v>16</v>
      </c>
      <c r="B228" s="4" t="s">
        <v>106</v>
      </c>
      <c r="C228" s="4" t="s">
        <v>107</v>
      </c>
      <c r="D228" s="4" t="s">
        <v>108</v>
      </c>
      <c r="E228" s="4" t="s">
        <v>109</v>
      </c>
      <c r="F228" s="4" t="s">
        <v>95</v>
      </c>
      <c r="G228" s="4" t="s">
        <v>96</v>
      </c>
      <c r="H228" s="4" t="s">
        <v>59</v>
      </c>
      <c r="I228" s="3"/>
      <c r="J228" s="3"/>
      <c r="K228" s="3"/>
      <c r="L228" s="3"/>
      <c r="M228" s="3"/>
      <c r="N228" s="3"/>
      <c r="O228" s="3"/>
      <c r="P228" s="8"/>
      <c r="Q228" s="8"/>
      <c r="R228" s="3"/>
      <c r="S228" s="3"/>
      <c r="T228" s="3"/>
      <c r="U228" s="5" t="str">
        <f t="shared" si="11"/>
        <v/>
      </c>
    </row>
    <row r="230" spans="1:21" ht="28" customHeight="1" x14ac:dyDescent="0.35">
      <c r="A230" s="9" t="s">
        <v>110</v>
      </c>
      <c r="B230" s="16"/>
      <c r="C230" s="17"/>
      <c r="D230" s="17"/>
      <c r="E230" s="17"/>
      <c r="F230" s="17"/>
      <c r="G230" s="17"/>
      <c r="H230" s="17"/>
      <c r="I230" s="17"/>
      <c r="J230" s="17"/>
      <c r="K230" s="17"/>
      <c r="L230" s="17"/>
      <c r="M230" s="17"/>
      <c r="N230" s="17"/>
      <c r="O230" s="17"/>
      <c r="P230" s="17"/>
      <c r="Q230" s="17"/>
      <c r="R230" s="17"/>
      <c r="S230" s="17"/>
      <c r="T230" s="17"/>
      <c r="U230" s="18"/>
    </row>
    <row r="231" spans="1:21" ht="28" customHeight="1" x14ac:dyDescent="0.35">
      <c r="A231" s="19" t="s">
        <v>680</v>
      </c>
      <c r="B231" s="20"/>
      <c r="C231" s="20"/>
      <c r="D231" s="20"/>
      <c r="E231" s="20"/>
      <c r="F231" s="20"/>
      <c r="G231" s="20"/>
      <c r="H231" s="20"/>
      <c r="I231" s="20"/>
      <c r="J231" s="20"/>
      <c r="K231" s="20"/>
      <c r="L231" s="20"/>
      <c r="M231" s="20"/>
      <c r="N231" s="20"/>
      <c r="O231" s="20"/>
      <c r="P231" s="20"/>
      <c r="Q231" s="20"/>
      <c r="R231" s="20"/>
      <c r="S231" s="20"/>
      <c r="T231" s="20"/>
      <c r="U231" s="21"/>
    </row>
    <row r="232" spans="1:21" ht="28" customHeight="1" x14ac:dyDescent="0.35">
      <c r="A232" s="4" t="s">
        <v>31</v>
      </c>
      <c r="B232" s="3" t="s">
        <v>28</v>
      </c>
      <c r="C232" s="4" t="s">
        <v>32</v>
      </c>
      <c r="D232" s="3"/>
      <c r="E232" s="4" t="s">
        <v>33</v>
      </c>
      <c r="F232" s="8"/>
    </row>
    <row r="233" spans="1:21" ht="28" customHeight="1" x14ac:dyDescent="0.35">
      <c r="A233" s="1" t="s">
        <v>34</v>
      </c>
      <c r="B233" s="1" t="s">
        <v>35</v>
      </c>
      <c r="C233" s="1" t="s">
        <v>36</v>
      </c>
      <c r="D233" s="1" t="s">
        <v>37</v>
      </c>
      <c r="E233" s="1" t="s">
        <v>38</v>
      </c>
      <c r="F233" s="1" t="s">
        <v>39</v>
      </c>
      <c r="G233" s="1" t="s">
        <v>40</v>
      </c>
      <c r="H233" s="1" t="s">
        <v>41</v>
      </c>
      <c r="I233" s="1" t="s">
        <v>42</v>
      </c>
      <c r="J233" s="1" t="s">
        <v>43</v>
      </c>
      <c r="K233" s="1" t="s">
        <v>44</v>
      </c>
      <c r="L233" s="1" t="s">
        <v>45</v>
      </c>
      <c r="M233" s="1" t="s">
        <v>46</v>
      </c>
      <c r="N233" s="1" t="s">
        <v>47</v>
      </c>
      <c r="O233" s="1" t="s">
        <v>48</v>
      </c>
      <c r="P233" s="1" t="s">
        <v>4</v>
      </c>
      <c r="Q233" s="1" t="s">
        <v>49</v>
      </c>
      <c r="R233" s="1" t="s">
        <v>50</v>
      </c>
      <c r="S233" s="1" t="s">
        <v>51</v>
      </c>
      <c r="T233" s="1" t="s">
        <v>52</v>
      </c>
      <c r="U233" s="1" t="s">
        <v>10</v>
      </c>
    </row>
    <row r="234" spans="1:21" ht="28" customHeight="1" x14ac:dyDescent="0.35">
      <c r="A234" s="4">
        <v>1</v>
      </c>
      <c r="B234" s="4" t="s">
        <v>53</v>
      </c>
      <c r="C234" s="4" t="s">
        <v>663</v>
      </c>
      <c r="D234" s="4" t="s">
        <v>664</v>
      </c>
      <c r="E234" s="4" t="s">
        <v>56</v>
      </c>
      <c r="F234" s="4" t="s">
        <v>57</v>
      </c>
      <c r="G234" s="4" t="s">
        <v>58</v>
      </c>
      <c r="H234" s="4" t="s">
        <v>59</v>
      </c>
      <c r="I234" s="3"/>
      <c r="J234" s="3"/>
      <c r="K234" s="3"/>
      <c r="L234" s="3"/>
      <c r="M234" s="3"/>
      <c r="N234" s="3"/>
      <c r="O234" s="3"/>
      <c r="P234" s="8"/>
      <c r="Q234" s="8"/>
      <c r="R234" s="3"/>
      <c r="S234" s="3"/>
      <c r="T234" s="3"/>
      <c r="U234" s="5" t="str">
        <f t="shared" ref="U234:U249" si="12">IF(I234="","",IF(I234="NA","Grey",IF(I234=2,"Green",IF(I234=1,"Amber","Red"))))</f>
        <v/>
      </c>
    </row>
    <row r="235" spans="1:21" ht="28" customHeight="1" x14ac:dyDescent="0.35">
      <c r="A235" s="4">
        <v>2</v>
      </c>
      <c r="B235" s="4" t="s">
        <v>53</v>
      </c>
      <c r="C235" s="4" t="s">
        <v>665</v>
      </c>
      <c r="D235" s="4" t="s">
        <v>666</v>
      </c>
      <c r="E235" s="4" t="s">
        <v>56</v>
      </c>
      <c r="F235" s="4" t="s">
        <v>57</v>
      </c>
      <c r="G235" s="4" t="s">
        <v>58</v>
      </c>
      <c r="H235" s="4" t="s">
        <v>59</v>
      </c>
      <c r="I235" s="3"/>
      <c r="J235" s="3"/>
      <c r="K235" s="3"/>
      <c r="L235" s="3"/>
      <c r="M235" s="3"/>
      <c r="N235" s="3"/>
      <c r="O235" s="3"/>
      <c r="P235" s="8"/>
      <c r="Q235" s="8"/>
      <c r="R235" s="3"/>
      <c r="S235" s="3"/>
      <c r="T235" s="3"/>
      <c r="U235" s="5" t="str">
        <f t="shared" si="12"/>
        <v/>
      </c>
    </row>
    <row r="236" spans="1:21" ht="28" customHeight="1" x14ac:dyDescent="0.35">
      <c r="A236" s="4">
        <v>3</v>
      </c>
      <c r="B236" s="4" t="s">
        <v>53</v>
      </c>
      <c r="C236" s="4" t="s">
        <v>667</v>
      </c>
      <c r="D236" s="4" t="s">
        <v>668</v>
      </c>
      <c r="E236" s="4" t="s">
        <v>56</v>
      </c>
      <c r="F236" s="4" t="s">
        <v>57</v>
      </c>
      <c r="G236" s="4" t="s">
        <v>58</v>
      </c>
      <c r="H236" s="4" t="s">
        <v>59</v>
      </c>
      <c r="I236" s="3"/>
      <c r="J236" s="3"/>
      <c r="K236" s="3"/>
      <c r="L236" s="3"/>
      <c r="M236" s="3"/>
      <c r="N236" s="3"/>
      <c r="O236" s="3"/>
      <c r="P236" s="8"/>
      <c r="Q236" s="8"/>
      <c r="R236" s="3"/>
      <c r="S236" s="3"/>
      <c r="T236" s="3"/>
      <c r="U236" s="5" t="str">
        <f t="shared" si="12"/>
        <v/>
      </c>
    </row>
    <row r="237" spans="1:21" ht="28" customHeight="1" x14ac:dyDescent="0.35">
      <c r="A237" s="4">
        <v>4</v>
      </c>
      <c r="B237" s="4" t="s">
        <v>53</v>
      </c>
      <c r="C237" s="4" t="s">
        <v>669</v>
      </c>
      <c r="D237" s="4" t="s">
        <v>670</v>
      </c>
      <c r="E237" s="4" t="s">
        <v>56</v>
      </c>
      <c r="F237" s="4" t="s">
        <v>57</v>
      </c>
      <c r="G237" s="4" t="s">
        <v>58</v>
      </c>
      <c r="H237" s="4" t="s">
        <v>59</v>
      </c>
      <c r="I237" s="3"/>
      <c r="J237" s="3"/>
      <c r="K237" s="3"/>
      <c r="L237" s="3"/>
      <c r="M237" s="3"/>
      <c r="N237" s="3"/>
      <c r="O237" s="3"/>
      <c r="P237" s="8"/>
      <c r="Q237" s="8"/>
      <c r="R237" s="3"/>
      <c r="S237" s="3"/>
      <c r="T237" s="3"/>
      <c r="U237" s="5" t="str">
        <f t="shared" si="12"/>
        <v/>
      </c>
    </row>
    <row r="238" spans="1:21" ht="28" customHeight="1" x14ac:dyDescent="0.35">
      <c r="A238" s="4">
        <v>5</v>
      </c>
      <c r="B238" s="4" t="s">
        <v>66</v>
      </c>
      <c r="C238" s="4" t="s">
        <v>67</v>
      </c>
      <c r="D238" s="4" t="s">
        <v>68</v>
      </c>
      <c r="E238" s="4" t="s">
        <v>69</v>
      </c>
      <c r="F238" s="4" t="s">
        <v>57</v>
      </c>
      <c r="G238" s="4" t="s">
        <v>58</v>
      </c>
      <c r="H238" s="4" t="s">
        <v>59</v>
      </c>
      <c r="I238" s="3"/>
      <c r="J238" s="3"/>
      <c r="K238" s="3"/>
      <c r="L238" s="3"/>
      <c r="M238" s="3"/>
      <c r="N238" s="3"/>
      <c r="O238" s="3"/>
      <c r="P238" s="8"/>
      <c r="Q238" s="8"/>
      <c r="R238" s="3"/>
      <c r="S238" s="3"/>
      <c r="T238" s="3"/>
      <c r="U238" s="5" t="str">
        <f t="shared" si="12"/>
        <v/>
      </c>
    </row>
    <row r="239" spans="1:21" ht="28" customHeight="1" x14ac:dyDescent="0.35">
      <c r="A239" s="4">
        <v>6</v>
      </c>
      <c r="B239" s="4" t="s">
        <v>70</v>
      </c>
      <c r="C239" s="4" t="s">
        <v>71</v>
      </c>
      <c r="D239" s="4" t="s">
        <v>72</v>
      </c>
      <c r="E239" s="4" t="s">
        <v>70</v>
      </c>
      <c r="F239" s="4" t="s">
        <v>57</v>
      </c>
      <c r="G239" s="4" t="s">
        <v>58</v>
      </c>
      <c r="H239" s="4" t="s">
        <v>59</v>
      </c>
      <c r="I239" s="3"/>
      <c r="J239" s="3"/>
      <c r="K239" s="3"/>
      <c r="L239" s="3"/>
      <c r="M239" s="3"/>
      <c r="N239" s="3"/>
      <c r="O239" s="3"/>
      <c r="P239" s="8"/>
      <c r="Q239" s="8"/>
      <c r="R239" s="3"/>
      <c r="S239" s="3"/>
      <c r="T239" s="3"/>
      <c r="U239" s="5" t="str">
        <f t="shared" si="12"/>
        <v/>
      </c>
    </row>
    <row r="240" spans="1:21" ht="28" customHeight="1" x14ac:dyDescent="0.35">
      <c r="A240" s="4">
        <v>7</v>
      </c>
      <c r="B240" s="4" t="s">
        <v>73</v>
      </c>
      <c r="C240" s="4" t="s">
        <v>74</v>
      </c>
      <c r="D240" s="4" t="s">
        <v>75</v>
      </c>
      <c r="E240" s="4" t="s">
        <v>69</v>
      </c>
      <c r="F240" s="4" t="s">
        <v>57</v>
      </c>
      <c r="G240" s="4" t="s">
        <v>58</v>
      </c>
      <c r="H240" s="4" t="s">
        <v>76</v>
      </c>
      <c r="I240" s="3"/>
      <c r="J240" s="3"/>
      <c r="K240" s="3"/>
      <c r="L240" s="3"/>
      <c r="M240" s="3"/>
      <c r="N240" s="3"/>
      <c r="O240" s="3"/>
      <c r="P240" s="8"/>
      <c r="Q240" s="8"/>
      <c r="R240" s="3"/>
      <c r="S240" s="3"/>
      <c r="T240" s="3"/>
      <c r="U240" s="5" t="str">
        <f t="shared" si="12"/>
        <v/>
      </c>
    </row>
    <row r="241" spans="1:21" ht="28" customHeight="1" x14ac:dyDescent="0.35">
      <c r="A241" s="4">
        <v>8</v>
      </c>
      <c r="B241" s="4" t="s">
        <v>77</v>
      </c>
      <c r="C241" s="4" t="s">
        <v>78</v>
      </c>
      <c r="D241" s="4" t="s">
        <v>79</v>
      </c>
      <c r="E241" s="4" t="s">
        <v>80</v>
      </c>
      <c r="F241" s="4" t="s">
        <v>57</v>
      </c>
      <c r="G241" s="4" t="s">
        <v>58</v>
      </c>
      <c r="H241" s="4" t="s">
        <v>59</v>
      </c>
      <c r="I241" s="3"/>
      <c r="J241" s="3"/>
      <c r="K241" s="3"/>
      <c r="L241" s="3"/>
      <c r="M241" s="3"/>
      <c r="N241" s="3"/>
      <c r="O241" s="3"/>
      <c r="P241" s="8"/>
      <c r="Q241" s="8"/>
      <c r="R241" s="3"/>
      <c r="S241" s="3"/>
      <c r="T241" s="3"/>
      <c r="U241" s="5" t="str">
        <f t="shared" si="12"/>
        <v/>
      </c>
    </row>
    <row r="242" spans="1:21" ht="28" customHeight="1" x14ac:dyDescent="0.35">
      <c r="A242" s="4">
        <v>9</v>
      </c>
      <c r="B242" s="4" t="s">
        <v>81</v>
      </c>
      <c r="C242" s="4" t="s">
        <v>82</v>
      </c>
      <c r="D242" s="4" t="s">
        <v>83</v>
      </c>
      <c r="E242" s="4" t="s">
        <v>84</v>
      </c>
      <c r="F242" s="4" t="s">
        <v>57</v>
      </c>
      <c r="G242" s="4" t="s">
        <v>58</v>
      </c>
      <c r="H242" s="4" t="s">
        <v>85</v>
      </c>
      <c r="I242" s="3"/>
      <c r="J242" s="3"/>
      <c r="K242" s="3"/>
      <c r="L242" s="3"/>
      <c r="M242" s="3"/>
      <c r="N242" s="3"/>
      <c r="O242" s="3"/>
      <c r="P242" s="8"/>
      <c r="Q242" s="8"/>
      <c r="R242" s="3"/>
      <c r="S242" s="3"/>
      <c r="T242" s="3"/>
      <c r="U242" s="5" t="str">
        <f t="shared" si="12"/>
        <v/>
      </c>
    </row>
    <row r="243" spans="1:21" ht="28" customHeight="1" x14ac:dyDescent="0.35">
      <c r="A243" s="4">
        <v>10</v>
      </c>
      <c r="B243" s="4" t="s">
        <v>86</v>
      </c>
      <c r="C243" s="4" t="s">
        <v>87</v>
      </c>
      <c r="D243" s="4" t="s">
        <v>88</v>
      </c>
      <c r="E243" s="4" t="s">
        <v>69</v>
      </c>
      <c r="F243" s="4" t="s">
        <v>57</v>
      </c>
      <c r="G243" s="4" t="s">
        <v>58</v>
      </c>
      <c r="H243" s="4" t="s">
        <v>59</v>
      </c>
      <c r="I243" s="3"/>
      <c r="J243" s="3"/>
      <c r="K243" s="3"/>
      <c r="L243" s="3"/>
      <c r="M243" s="3"/>
      <c r="N243" s="3"/>
      <c r="O243" s="3"/>
      <c r="P243" s="8"/>
      <c r="Q243" s="8"/>
      <c r="R243" s="3"/>
      <c r="S243" s="3"/>
      <c r="T243" s="3"/>
      <c r="U243" s="5" t="str">
        <f t="shared" si="12"/>
        <v/>
      </c>
    </row>
    <row r="244" spans="1:21" ht="28" customHeight="1" x14ac:dyDescent="0.35">
      <c r="A244" s="4">
        <v>11</v>
      </c>
      <c r="B244" s="4" t="s">
        <v>89</v>
      </c>
      <c r="C244" s="4" t="s">
        <v>90</v>
      </c>
      <c r="D244" s="4" t="s">
        <v>91</v>
      </c>
      <c r="E244" s="4" t="s">
        <v>84</v>
      </c>
      <c r="F244" s="4" t="s">
        <v>57</v>
      </c>
      <c r="G244" s="4" t="s">
        <v>58</v>
      </c>
      <c r="H244" s="4" t="s">
        <v>59</v>
      </c>
      <c r="I244" s="3"/>
      <c r="J244" s="3"/>
      <c r="K244" s="3"/>
      <c r="L244" s="3"/>
      <c r="M244" s="3"/>
      <c r="N244" s="3"/>
      <c r="O244" s="3"/>
      <c r="P244" s="8"/>
      <c r="Q244" s="8"/>
      <c r="R244" s="3"/>
      <c r="S244" s="3"/>
      <c r="T244" s="3"/>
      <c r="U244" s="5" t="str">
        <f t="shared" si="12"/>
        <v/>
      </c>
    </row>
    <row r="245" spans="1:21" ht="28" customHeight="1" x14ac:dyDescent="0.35">
      <c r="A245" s="4">
        <v>12</v>
      </c>
      <c r="B245" s="4" t="s">
        <v>92</v>
      </c>
      <c r="C245" s="4" t="s">
        <v>93</v>
      </c>
      <c r="D245" s="4" t="s">
        <v>94</v>
      </c>
      <c r="E245" s="4" t="s">
        <v>69</v>
      </c>
      <c r="F245" s="4" t="s">
        <v>95</v>
      </c>
      <c r="G245" s="4" t="s">
        <v>96</v>
      </c>
      <c r="H245" s="4" t="s">
        <v>59</v>
      </c>
      <c r="I245" s="3"/>
      <c r="J245" s="3"/>
      <c r="K245" s="3"/>
      <c r="L245" s="3"/>
      <c r="M245" s="3"/>
      <c r="N245" s="3"/>
      <c r="O245" s="3"/>
      <c r="P245" s="8"/>
      <c r="Q245" s="8"/>
      <c r="R245" s="3"/>
      <c r="S245" s="3"/>
      <c r="T245" s="3"/>
      <c r="U245" s="5" t="str">
        <f t="shared" si="12"/>
        <v/>
      </c>
    </row>
    <row r="246" spans="1:21" ht="28" customHeight="1" x14ac:dyDescent="0.35">
      <c r="A246" s="4">
        <v>13</v>
      </c>
      <c r="B246" s="4" t="s">
        <v>97</v>
      </c>
      <c r="C246" s="4" t="s">
        <v>98</v>
      </c>
      <c r="D246" s="4" t="s">
        <v>99</v>
      </c>
      <c r="E246" s="4" t="s">
        <v>69</v>
      </c>
      <c r="F246" s="4" t="s">
        <v>95</v>
      </c>
      <c r="G246" s="4" t="s">
        <v>96</v>
      </c>
      <c r="H246" s="4" t="s">
        <v>59</v>
      </c>
      <c r="I246" s="3"/>
      <c r="J246" s="3"/>
      <c r="K246" s="3"/>
      <c r="L246" s="3"/>
      <c r="M246" s="3"/>
      <c r="N246" s="3"/>
      <c r="O246" s="3"/>
      <c r="P246" s="8"/>
      <c r="Q246" s="8"/>
      <c r="R246" s="3"/>
      <c r="S246" s="3"/>
      <c r="T246" s="3"/>
      <c r="U246" s="5" t="str">
        <f t="shared" si="12"/>
        <v/>
      </c>
    </row>
    <row r="247" spans="1:21" ht="28" customHeight="1" x14ac:dyDescent="0.35">
      <c r="A247" s="4">
        <v>14</v>
      </c>
      <c r="B247" s="4" t="s">
        <v>97</v>
      </c>
      <c r="C247" s="4" t="s">
        <v>100</v>
      </c>
      <c r="D247" s="4" t="s">
        <v>101</v>
      </c>
      <c r="E247" s="4" t="s">
        <v>69</v>
      </c>
      <c r="F247" s="4" t="s">
        <v>95</v>
      </c>
      <c r="G247" s="4" t="s">
        <v>102</v>
      </c>
      <c r="H247" s="4" t="s">
        <v>59</v>
      </c>
      <c r="I247" s="3"/>
      <c r="J247" s="3"/>
      <c r="K247" s="3"/>
      <c r="L247" s="3"/>
      <c r="M247" s="3"/>
      <c r="N247" s="3"/>
      <c r="O247" s="3"/>
      <c r="P247" s="8"/>
      <c r="Q247" s="8"/>
      <c r="R247" s="3"/>
      <c r="S247" s="3"/>
      <c r="T247" s="3"/>
      <c r="U247" s="5" t="str">
        <f t="shared" si="12"/>
        <v/>
      </c>
    </row>
    <row r="248" spans="1:21" ht="28" customHeight="1" x14ac:dyDescent="0.35">
      <c r="A248" s="4">
        <v>15</v>
      </c>
      <c r="B248" s="4" t="s">
        <v>103</v>
      </c>
      <c r="C248" s="4" t="s">
        <v>104</v>
      </c>
      <c r="D248" s="4" t="s">
        <v>105</v>
      </c>
      <c r="E248" s="4" t="s">
        <v>69</v>
      </c>
      <c r="F248" s="4" t="s">
        <v>95</v>
      </c>
      <c r="G248" s="4" t="s">
        <v>96</v>
      </c>
      <c r="H248" s="4" t="s">
        <v>85</v>
      </c>
      <c r="I248" s="3"/>
      <c r="J248" s="3"/>
      <c r="K248" s="3"/>
      <c r="L248" s="3"/>
      <c r="M248" s="3"/>
      <c r="N248" s="3"/>
      <c r="O248" s="3"/>
      <c r="P248" s="8"/>
      <c r="Q248" s="8"/>
      <c r="R248" s="3"/>
      <c r="S248" s="3"/>
      <c r="T248" s="3"/>
      <c r="U248" s="5" t="str">
        <f t="shared" si="12"/>
        <v/>
      </c>
    </row>
    <row r="249" spans="1:21" ht="28" customHeight="1" x14ac:dyDescent="0.35">
      <c r="A249" s="4">
        <v>16</v>
      </c>
      <c r="B249" s="4" t="s">
        <v>106</v>
      </c>
      <c r="C249" s="4" t="s">
        <v>107</v>
      </c>
      <c r="D249" s="4" t="s">
        <v>108</v>
      </c>
      <c r="E249" s="4" t="s">
        <v>109</v>
      </c>
      <c r="F249" s="4" t="s">
        <v>95</v>
      </c>
      <c r="G249" s="4" t="s">
        <v>96</v>
      </c>
      <c r="H249" s="4" t="s">
        <v>59</v>
      </c>
      <c r="I249" s="3"/>
      <c r="J249" s="3"/>
      <c r="K249" s="3"/>
      <c r="L249" s="3"/>
      <c r="M249" s="3"/>
      <c r="N249" s="3"/>
      <c r="O249" s="3"/>
      <c r="P249" s="8"/>
      <c r="Q249" s="8"/>
      <c r="R249" s="3"/>
      <c r="S249" s="3"/>
      <c r="T249" s="3"/>
      <c r="U249" s="5" t="str">
        <f t="shared" si="12"/>
        <v/>
      </c>
    </row>
    <row r="251" spans="1:21" ht="28" customHeight="1" x14ac:dyDescent="0.35">
      <c r="A251" s="9" t="s">
        <v>110</v>
      </c>
      <c r="B251" s="16"/>
      <c r="C251" s="17"/>
      <c r="D251" s="17"/>
      <c r="E251" s="17"/>
      <c r="F251" s="17"/>
      <c r="G251" s="17"/>
      <c r="H251" s="17"/>
      <c r="I251" s="17"/>
      <c r="J251" s="17"/>
      <c r="K251" s="17"/>
      <c r="L251" s="17"/>
      <c r="M251" s="17"/>
      <c r="N251" s="17"/>
      <c r="O251" s="17"/>
      <c r="P251" s="17"/>
      <c r="Q251" s="17"/>
      <c r="R251" s="17"/>
      <c r="S251" s="17"/>
      <c r="T251" s="17"/>
      <c r="U251" s="18"/>
    </row>
    <row r="252" spans="1:21" ht="28" customHeight="1" x14ac:dyDescent="0.35">
      <c r="A252" s="19" t="s">
        <v>681</v>
      </c>
      <c r="B252" s="20"/>
      <c r="C252" s="20"/>
      <c r="D252" s="20"/>
      <c r="E252" s="20"/>
      <c r="F252" s="20"/>
      <c r="G252" s="20"/>
      <c r="H252" s="20"/>
      <c r="I252" s="20"/>
      <c r="J252" s="20"/>
      <c r="K252" s="20"/>
      <c r="L252" s="20"/>
      <c r="M252" s="20"/>
      <c r="N252" s="20"/>
      <c r="O252" s="20"/>
      <c r="P252" s="20"/>
      <c r="Q252" s="20"/>
      <c r="R252" s="20"/>
      <c r="S252" s="20"/>
      <c r="T252" s="20"/>
      <c r="U252" s="21"/>
    </row>
    <row r="253" spans="1:21" ht="28" customHeight="1" x14ac:dyDescent="0.35">
      <c r="A253" s="4" t="s">
        <v>31</v>
      </c>
      <c r="B253" s="3" t="s">
        <v>29</v>
      </c>
      <c r="C253" s="4" t="s">
        <v>32</v>
      </c>
      <c r="D253" s="3"/>
      <c r="E253" s="4" t="s">
        <v>33</v>
      </c>
      <c r="F253" s="8"/>
    </row>
    <row r="254" spans="1:21" ht="28" customHeight="1" x14ac:dyDescent="0.35">
      <c r="A254" s="1" t="s">
        <v>34</v>
      </c>
      <c r="B254" s="1" t="s">
        <v>35</v>
      </c>
      <c r="C254" s="1" t="s">
        <v>36</v>
      </c>
      <c r="D254" s="1" t="s">
        <v>37</v>
      </c>
      <c r="E254" s="1" t="s">
        <v>38</v>
      </c>
      <c r="F254" s="1" t="s">
        <v>39</v>
      </c>
      <c r="G254" s="1" t="s">
        <v>40</v>
      </c>
      <c r="H254" s="1" t="s">
        <v>41</v>
      </c>
      <c r="I254" s="1" t="s">
        <v>42</v>
      </c>
      <c r="J254" s="1" t="s">
        <v>43</v>
      </c>
      <c r="K254" s="1" t="s">
        <v>44</v>
      </c>
      <c r="L254" s="1" t="s">
        <v>45</v>
      </c>
      <c r="M254" s="1" t="s">
        <v>46</v>
      </c>
      <c r="N254" s="1" t="s">
        <v>47</v>
      </c>
      <c r="O254" s="1" t="s">
        <v>48</v>
      </c>
      <c r="P254" s="1" t="s">
        <v>4</v>
      </c>
      <c r="Q254" s="1" t="s">
        <v>49</v>
      </c>
      <c r="R254" s="1" t="s">
        <v>50</v>
      </c>
      <c r="S254" s="1" t="s">
        <v>51</v>
      </c>
      <c r="T254" s="1" t="s">
        <v>52</v>
      </c>
      <c r="U254" s="1" t="s">
        <v>10</v>
      </c>
    </row>
    <row r="255" spans="1:21" ht="28" customHeight="1" x14ac:dyDescent="0.35">
      <c r="A255" s="4">
        <v>1</v>
      </c>
      <c r="B255" s="4" t="s">
        <v>53</v>
      </c>
      <c r="C255" s="4" t="s">
        <v>663</v>
      </c>
      <c r="D255" s="4" t="s">
        <v>664</v>
      </c>
      <c r="E255" s="4" t="s">
        <v>56</v>
      </c>
      <c r="F255" s="4" t="s">
        <v>57</v>
      </c>
      <c r="G255" s="4" t="s">
        <v>58</v>
      </c>
      <c r="H255" s="4" t="s">
        <v>59</v>
      </c>
      <c r="I255" s="3"/>
      <c r="J255" s="3"/>
      <c r="K255" s="3"/>
      <c r="L255" s="3"/>
      <c r="M255" s="3"/>
      <c r="N255" s="3"/>
      <c r="O255" s="3"/>
      <c r="P255" s="8"/>
      <c r="Q255" s="8"/>
      <c r="R255" s="3"/>
      <c r="S255" s="3"/>
      <c r="T255" s="3"/>
      <c r="U255" s="5" t="str">
        <f t="shared" ref="U255:U270" si="13">IF(I255="","",IF(I255="NA","Grey",IF(I255=2,"Green",IF(I255=1,"Amber","Red"))))</f>
        <v/>
      </c>
    </row>
    <row r="256" spans="1:21" ht="28" customHeight="1" x14ac:dyDescent="0.35">
      <c r="A256" s="4">
        <v>2</v>
      </c>
      <c r="B256" s="4" t="s">
        <v>53</v>
      </c>
      <c r="C256" s="4" t="s">
        <v>665</v>
      </c>
      <c r="D256" s="4" t="s">
        <v>666</v>
      </c>
      <c r="E256" s="4" t="s">
        <v>56</v>
      </c>
      <c r="F256" s="4" t="s">
        <v>57</v>
      </c>
      <c r="G256" s="4" t="s">
        <v>58</v>
      </c>
      <c r="H256" s="4" t="s">
        <v>59</v>
      </c>
      <c r="I256" s="3"/>
      <c r="J256" s="3"/>
      <c r="K256" s="3"/>
      <c r="L256" s="3"/>
      <c r="M256" s="3"/>
      <c r="N256" s="3"/>
      <c r="O256" s="3"/>
      <c r="P256" s="8"/>
      <c r="Q256" s="8"/>
      <c r="R256" s="3"/>
      <c r="S256" s="3"/>
      <c r="T256" s="3"/>
      <c r="U256" s="5" t="str">
        <f t="shared" si="13"/>
        <v/>
      </c>
    </row>
    <row r="257" spans="1:21" ht="28" customHeight="1" x14ac:dyDescent="0.35">
      <c r="A257" s="4">
        <v>3</v>
      </c>
      <c r="B257" s="4" t="s">
        <v>53</v>
      </c>
      <c r="C257" s="4" t="s">
        <v>667</v>
      </c>
      <c r="D257" s="4" t="s">
        <v>668</v>
      </c>
      <c r="E257" s="4" t="s">
        <v>56</v>
      </c>
      <c r="F257" s="4" t="s">
        <v>57</v>
      </c>
      <c r="G257" s="4" t="s">
        <v>58</v>
      </c>
      <c r="H257" s="4" t="s">
        <v>59</v>
      </c>
      <c r="I257" s="3"/>
      <c r="J257" s="3"/>
      <c r="K257" s="3"/>
      <c r="L257" s="3"/>
      <c r="M257" s="3"/>
      <c r="N257" s="3"/>
      <c r="O257" s="3"/>
      <c r="P257" s="8"/>
      <c r="Q257" s="8"/>
      <c r="R257" s="3"/>
      <c r="S257" s="3"/>
      <c r="T257" s="3"/>
      <c r="U257" s="5" t="str">
        <f t="shared" si="13"/>
        <v/>
      </c>
    </row>
    <row r="258" spans="1:21" ht="28" customHeight="1" x14ac:dyDescent="0.35">
      <c r="A258" s="4">
        <v>4</v>
      </c>
      <c r="B258" s="4" t="s">
        <v>53</v>
      </c>
      <c r="C258" s="4" t="s">
        <v>669</v>
      </c>
      <c r="D258" s="4" t="s">
        <v>670</v>
      </c>
      <c r="E258" s="4" t="s">
        <v>56</v>
      </c>
      <c r="F258" s="4" t="s">
        <v>57</v>
      </c>
      <c r="G258" s="4" t="s">
        <v>58</v>
      </c>
      <c r="H258" s="4" t="s">
        <v>59</v>
      </c>
      <c r="I258" s="3"/>
      <c r="J258" s="3"/>
      <c r="K258" s="3"/>
      <c r="L258" s="3"/>
      <c r="M258" s="3"/>
      <c r="N258" s="3"/>
      <c r="O258" s="3"/>
      <c r="P258" s="8"/>
      <c r="Q258" s="8"/>
      <c r="R258" s="3"/>
      <c r="S258" s="3"/>
      <c r="T258" s="3"/>
      <c r="U258" s="5" t="str">
        <f t="shared" si="13"/>
        <v/>
      </c>
    </row>
    <row r="259" spans="1:21" ht="28" customHeight="1" x14ac:dyDescent="0.35">
      <c r="A259" s="4">
        <v>5</v>
      </c>
      <c r="B259" s="4" t="s">
        <v>66</v>
      </c>
      <c r="C259" s="4" t="s">
        <v>67</v>
      </c>
      <c r="D259" s="4" t="s">
        <v>68</v>
      </c>
      <c r="E259" s="4" t="s">
        <v>69</v>
      </c>
      <c r="F259" s="4" t="s">
        <v>57</v>
      </c>
      <c r="G259" s="4" t="s">
        <v>58</v>
      </c>
      <c r="H259" s="4" t="s">
        <v>59</v>
      </c>
      <c r="I259" s="3"/>
      <c r="J259" s="3"/>
      <c r="K259" s="3"/>
      <c r="L259" s="3"/>
      <c r="M259" s="3"/>
      <c r="N259" s="3"/>
      <c r="O259" s="3"/>
      <c r="P259" s="8"/>
      <c r="Q259" s="8"/>
      <c r="R259" s="3"/>
      <c r="S259" s="3"/>
      <c r="T259" s="3"/>
      <c r="U259" s="5" t="str">
        <f t="shared" si="13"/>
        <v/>
      </c>
    </row>
    <row r="260" spans="1:21" ht="28" customHeight="1" x14ac:dyDescent="0.35">
      <c r="A260" s="4">
        <v>6</v>
      </c>
      <c r="B260" s="4" t="s">
        <v>70</v>
      </c>
      <c r="C260" s="4" t="s">
        <v>71</v>
      </c>
      <c r="D260" s="4" t="s">
        <v>72</v>
      </c>
      <c r="E260" s="4" t="s">
        <v>70</v>
      </c>
      <c r="F260" s="4" t="s">
        <v>57</v>
      </c>
      <c r="G260" s="4" t="s">
        <v>58</v>
      </c>
      <c r="H260" s="4" t="s">
        <v>59</v>
      </c>
      <c r="I260" s="3"/>
      <c r="J260" s="3"/>
      <c r="K260" s="3"/>
      <c r="L260" s="3"/>
      <c r="M260" s="3"/>
      <c r="N260" s="3"/>
      <c r="O260" s="3"/>
      <c r="P260" s="8"/>
      <c r="Q260" s="8"/>
      <c r="R260" s="3"/>
      <c r="S260" s="3"/>
      <c r="T260" s="3"/>
      <c r="U260" s="5" t="str">
        <f t="shared" si="13"/>
        <v/>
      </c>
    </row>
    <row r="261" spans="1:21" ht="28" customHeight="1" x14ac:dyDescent="0.35">
      <c r="A261" s="4">
        <v>7</v>
      </c>
      <c r="B261" s="4" t="s">
        <v>73</v>
      </c>
      <c r="C261" s="4" t="s">
        <v>74</v>
      </c>
      <c r="D261" s="4" t="s">
        <v>75</v>
      </c>
      <c r="E261" s="4" t="s">
        <v>69</v>
      </c>
      <c r="F261" s="4" t="s">
        <v>57</v>
      </c>
      <c r="G261" s="4" t="s">
        <v>58</v>
      </c>
      <c r="H261" s="4" t="s">
        <v>76</v>
      </c>
      <c r="I261" s="3"/>
      <c r="J261" s="3"/>
      <c r="K261" s="3"/>
      <c r="L261" s="3"/>
      <c r="M261" s="3"/>
      <c r="N261" s="3"/>
      <c r="O261" s="3"/>
      <c r="P261" s="8"/>
      <c r="Q261" s="8"/>
      <c r="R261" s="3"/>
      <c r="S261" s="3"/>
      <c r="T261" s="3"/>
      <c r="U261" s="5" t="str">
        <f t="shared" si="13"/>
        <v/>
      </c>
    </row>
    <row r="262" spans="1:21" ht="28" customHeight="1" x14ac:dyDescent="0.35">
      <c r="A262" s="4">
        <v>8</v>
      </c>
      <c r="B262" s="4" t="s">
        <v>77</v>
      </c>
      <c r="C262" s="4" t="s">
        <v>78</v>
      </c>
      <c r="D262" s="4" t="s">
        <v>79</v>
      </c>
      <c r="E262" s="4" t="s">
        <v>80</v>
      </c>
      <c r="F262" s="4" t="s">
        <v>57</v>
      </c>
      <c r="G262" s="4" t="s">
        <v>58</v>
      </c>
      <c r="H262" s="4" t="s">
        <v>59</v>
      </c>
      <c r="I262" s="3"/>
      <c r="J262" s="3"/>
      <c r="K262" s="3"/>
      <c r="L262" s="3"/>
      <c r="M262" s="3"/>
      <c r="N262" s="3"/>
      <c r="O262" s="3"/>
      <c r="P262" s="8"/>
      <c r="Q262" s="8"/>
      <c r="R262" s="3"/>
      <c r="S262" s="3"/>
      <c r="T262" s="3"/>
      <c r="U262" s="5" t="str">
        <f t="shared" si="13"/>
        <v/>
      </c>
    </row>
    <row r="263" spans="1:21" ht="28" customHeight="1" x14ac:dyDescent="0.35">
      <c r="A263" s="4">
        <v>9</v>
      </c>
      <c r="B263" s="4" t="s">
        <v>81</v>
      </c>
      <c r="C263" s="4" t="s">
        <v>82</v>
      </c>
      <c r="D263" s="4" t="s">
        <v>83</v>
      </c>
      <c r="E263" s="4" t="s">
        <v>84</v>
      </c>
      <c r="F263" s="4" t="s">
        <v>57</v>
      </c>
      <c r="G263" s="4" t="s">
        <v>58</v>
      </c>
      <c r="H263" s="4" t="s">
        <v>85</v>
      </c>
      <c r="I263" s="3"/>
      <c r="J263" s="3"/>
      <c r="K263" s="3"/>
      <c r="L263" s="3"/>
      <c r="M263" s="3"/>
      <c r="N263" s="3"/>
      <c r="O263" s="3"/>
      <c r="P263" s="8"/>
      <c r="Q263" s="8"/>
      <c r="R263" s="3"/>
      <c r="S263" s="3"/>
      <c r="T263" s="3"/>
      <c r="U263" s="5" t="str">
        <f t="shared" si="13"/>
        <v/>
      </c>
    </row>
    <row r="264" spans="1:21" ht="28" customHeight="1" x14ac:dyDescent="0.35">
      <c r="A264" s="4">
        <v>10</v>
      </c>
      <c r="B264" s="4" t="s">
        <v>86</v>
      </c>
      <c r="C264" s="4" t="s">
        <v>87</v>
      </c>
      <c r="D264" s="4" t="s">
        <v>88</v>
      </c>
      <c r="E264" s="4" t="s">
        <v>69</v>
      </c>
      <c r="F264" s="4" t="s">
        <v>57</v>
      </c>
      <c r="G264" s="4" t="s">
        <v>58</v>
      </c>
      <c r="H264" s="4" t="s">
        <v>59</v>
      </c>
      <c r="I264" s="3"/>
      <c r="J264" s="3"/>
      <c r="K264" s="3"/>
      <c r="L264" s="3"/>
      <c r="M264" s="3"/>
      <c r="N264" s="3"/>
      <c r="O264" s="3"/>
      <c r="P264" s="8"/>
      <c r="Q264" s="8"/>
      <c r="R264" s="3"/>
      <c r="S264" s="3"/>
      <c r="T264" s="3"/>
      <c r="U264" s="5" t="str">
        <f t="shared" si="13"/>
        <v/>
      </c>
    </row>
    <row r="265" spans="1:21" ht="28" customHeight="1" x14ac:dyDescent="0.35">
      <c r="A265" s="4">
        <v>11</v>
      </c>
      <c r="B265" s="4" t="s">
        <v>89</v>
      </c>
      <c r="C265" s="4" t="s">
        <v>90</v>
      </c>
      <c r="D265" s="4" t="s">
        <v>91</v>
      </c>
      <c r="E265" s="4" t="s">
        <v>84</v>
      </c>
      <c r="F265" s="4" t="s">
        <v>57</v>
      </c>
      <c r="G265" s="4" t="s">
        <v>58</v>
      </c>
      <c r="H265" s="4" t="s">
        <v>59</v>
      </c>
      <c r="I265" s="3"/>
      <c r="J265" s="3"/>
      <c r="K265" s="3"/>
      <c r="L265" s="3"/>
      <c r="M265" s="3"/>
      <c r="N265" s="3"/>
      <c r="O265" s="3"/>
      <c r="P265" s="8"/>
      <c r="Q265" s="8"/>
      <c r="R265" s="3"/>
      <c r="S265" s="3"/>
      <c r="T265" s="3"/>
      <c r="U265" s="5" t="str">
        <f t="shared" si="13"/>
        <v/>
      </c>
    </row>
    <row r="266" spans="1:21" ht="28" customHeight="1" x14ac:dyDescent="0.35">
      <c r="A266" s="4">
        <v>12</v>
      </c>
      <c r="B266" s="4" t="s">
        <v>92</v>
      </c>
      <c r="C266" s="4" t="s">
        <v>93</v>
      </c>
      <c r="D266" s="4" t="s">
        <v>94</v>
      </c>
      <c r="E266" s="4" t="s">
        <v>69</v>
      </c>
      <c r="F266" s="4" t="s">
        <v>95</v>
      </c>
      <c r="G266" s="4" t="s">
        <v>96</v>
      </c>
      <c r="H266" s="4" t="s">
        <v>59</v>
      </c>
      <c r="I266" s="3"/>
      <c r="J266" s="3"/>
      <c r="K266" s="3"/>
      <c r="L266" s="3"/>
      <c r="M266" s="3"/>
      <c r="N266" s="3"/>
      <c r="O266" s="3"/>
      <c r="P266" s="8"/>
      <c r="Q266" s="8"/>
      <c r="R266" s="3"/>
      <c r="S266" s="3"/>
      <c r="T266" s="3"/>
      <c r="U266" s="5" t="str">
        <f t="shared" si="13"/>
        <v/>
      </c>
    </row>
    <row r="267" spans="1:21" ht="28" customHeight="1" x14ac:dyDescent="0.35">
      <c r="A267" s="4">
        <v>13</v>
      </c>
      <c r="B267" s="4" t="s">
        <v>97</v>
      </c>
      <c r="C267" s="4" t="s">
        <v>98</v>
      </c>
      <c r="D267" s="4" t="s">
        <v>99</v>
      </c>
      <c r="E267" s="4" t="s">
        <v>69</v>
      </c>
      <c r="F267" s="4" t="s">
        <v>95</v>
      </c>
      <c r="G267" s="4" t="s">
        <v>96</v>
      </c>
      <c r="H267" s="4" t="s">
        <v>59</v>
      </c>
      <c r="I267" s="3"/>
      <c r="J267" s="3"/>
      <c r="K267" s="3"/>
      <c r="L267" s="3"/>
      <c r="M267" s="3"/>
      <c r="N267" s="3"/>
      <c r="O267" s="3"/>
      <c r="P267" s="8"/>
      <c r="Q267" s="8"/>
      <c r="R267" s="3"/>
      <c r="S267" s="3"/>
      <c r="T267" s="3"/>
      <c r="U267" s="5" t="str">
        <f t="shared" si="13"/>
        <v/>
      </c>
    </row>
    <row r="268" spans="1:21" ht="28" customHeight="1" x14ac:dyDescent="0.35">
      <c r="A268" s="4">
        <v>14</v>
      </c>
      <c r="B268" s="4" t="s">
        <v>97</v>
      </c>
      <c r="C268" s="4" t="s">
        <v>100</v>
      </c>
      <c r="D268" s="4" t="s">
        <v>101</v>
      </c>
      <c r="E268" s="4" t="s">
        <v>69</v>
      </c>
      <c r="F268" s="4" t="s">
        <v>95</v>
      </c>
      <c r="G268" s="4" t="s">
        <v>102</v>
      </c>
      <c r="H268" s="4" t="s">
        <v>59</v>
      </c>
      <c r="I268" s="3"/>
      <c r="J268" s="3"/>
      <c r="K268" s="3"/>
      <c r="L268" s="3"/>
      <c r="M268" s="3"/>
      <c r="N268" s="3"/>
      <c r="O268" s="3"/>
      <c r="P268" s="8"/>
      <c r="Q268" s="8"/>
      <c r="R268" s="3"/>
      <c r="S268" s="3"/>
      <c r="T268" s="3"/>
      <c r="U268" s="5" t="str">
        <f t="shared" si="13"/>
        <v/>
      </c>
    </row>
    <row r="269" spans="1:21" ht="28" customHeight="1" x14ac:dyDescent="0.35">
      <c r="A269" s="4">
        <v>15</v>
      </c>
      <c r="B269" s="4" t="s">
        <v>103</v>
      </c>
      <c r="C269" s="4" t="s">
        <v>104</v>
      </c>
      <c r="D269" s="4" t="s">
        <v>105</v>
      </c>
      <c r="E269" s="4" t="s">
        <v>69</v>
      </c>
      <c r="F269" s="4" t="s">
        <v>95</v>
      </c>
      <c r="G269" s="4" t="s">
        <v>96</v>
      </c>
      <c r="H269" s="4" t="s">
        <v>85</v>
      </c>
      <c r="I269" s="3"/>
      <c r="J269" s="3"/>
      <c r="K269" s="3"/>
      <c r="L269" s="3"/>
      <c r="M269" s="3"/>
      <c r="N269" s="3"/>
      <c r="O269" s="3"/>
      <c r="P269" s="8"/>
      <c r="Q269" s="8"/>
      <c r="R269" s="3"/>
      <c r="S269" s="3"/>
      <c r="T269" s="3"/>
      <c r="U269" s="5" t="str">
        <f t="shared" si="13"/>
        <v/>
      </c>
    </row>
    <row r="270" spans="1:21" ht="28" customHeight="1" x14ac:dyDescent="0.35">
      <c r="A270" s="4">
        <v>16</v>
      </c>
      <c r="B270" s="4" t="s">
        <v>106</v>
      </c>
      <c r="C270" s="4" t="s">
        <v>107</v>
      </c>
      <c r="D270" s="4" t="s">
        <v>108</v>
      </c>
      <c r="E270" s="4" t="s">
        <v>109</v>
      </c>
      <c r="F270" s="4" t="s">
        <v>95</v>
      </c>
      <c r="G270" s="4" t="s">
        <v>96</v>
      </c>
      <c r="H270" s="4" t="s">
        <v>59</v>
      </c>
      <c r="I270" s="3"/>
      <c r="J270" s="3"/>
      <c r="K270" s="3"/>
      <c r="L270" s="3"/>
      <c r="M270" s="3"/>
      <c r="N270" s="3"/>
      <c r="O270" s="3"/>
      <c r="P270" s="8"/>
      <c r="Q270" s="8"/>
      <c r="R270" s="3"/>
      <c r="S270" s="3"/>
      <c r="T270" s="3"/>
      <c r="U270" s="5" t="str">
        <f t="shared" si="13"/>
        <v/>
      </c>
    </row>
    <row r="272" spans="1:21" ht="28" customHeight="1" x14ac:dyDescent="0.35">
      <c r="A272" s="9" t="s">
        <v>110</v>
      </c>
      <c r="B272" s="16"/>
      <c r="C272" s="17"/>
      <c r="D272" s="17"/>
      <c r="E272" s="17"/>
      <c r="F272" s="17"/>
      <c r="G272" s="17"/>
      <c r="H272" s="17"/>
      <c r="I272" s="17"/>
      <c r="J272" s="17"/>
      <c r="K272" s="17"/>
      <c r="L272" s="17"/>
      <c r="M272" s="17"/>
      <c r="N272" s="17"/>
      <c r="O272" s="17"/>
      <c r="P272" s="17"/>
      <c r="Q272" s="17"/>
      <c r="R272" s="17"/>
      <c r="S272" s="17"/>
      <c r="T272" s="17"/>
      <c r="U272" s="18"/>
    </row>
  </sheetData>
  <sheetProtection sheet="1" objects="1" scenarios="1" formatCells="0" formatColumns="0" formatRows="0" insertRows="0" sort="0" autoFilter="0"/>
  <autoFilter ref="A4:O16" xr:uid="{00000000-0009-0000-0000-000010000000}"/>
  <mergeCells count="26">
    <mergeCell ref="A1:U1"/>
    <mergeCell ref="B104:U104"/>
    <mergeCell ref="B251:U251"/>
    <mergeCell ref="A168:U168"/>
    <mergeCell ref="B2:U2"/>
    <mergeCell ref="A126:U126"/>
    <mergeCell ref="A231:U231"/>
    <mergeCell ref="A147:U147"/>
    <mergeCell ref="A63:U63"/>
    <mergeCell ref="B230:U230"/>
    <mergeCell ref="B146:U146"/>
    <mergeCell ref="B83:U83"/>
    <mergeCell ref="A21:U21"/>
    <mergeCell ref="A210:U210"/>
    <mergeCell ref="B167:U167"/>
    <mergeCell ref="B272:U272"/>
    <mergeCell ref="A42:U42"/>
    <mergeCell ref="B41:U41"/>
    <mergeCell ref="B188:U188"/>
    <mergeCell ref="A252:U252"/>
    <mergeCell ref="B62:U62"/>
    <mergeCell ref="B209:U209"/>
    <mergeCell ref="A84:U84"/>
    <mergeCell ref="B125:U125"/>
    <mergeCell ref="A189:U189"/>
    <mergeCell ref="A105:U105"/>
  </mergeCells>
  <conditionalFormatting sqref="G5:G16">
    <cfRule type="colorScale" priority="53">
      <colorScale>
        <cfvo type="min"/>
        <cfvo type="percentile" val="50"/>
        <cfvo type="max"/>
        <color rgb="FFF8696B"/>
        <color rgb="FFFFEB84"/>
        <color rgb="FF63BE7B"/>
      </colorScale>
    </cfRule>
  </conditionalFormatting>
  <conditionalFormatting sqref="H5:H16">
    <cfRule type="containsText" dxfId="51" priority="49" operator="containsText" text="Red">
      <formula>NOT(ISERROR(SEARCH("Red",H5)))</formula>
    </cfRule>
    <cfRule type="containsText" dxfId="50" priority="50" operator="containsText" text="Amber">
      <formula>NOT(ISERROR(SEARCH("Amber",H5)))</formula>
    </cfRule>
    <cfRule type="containsText" dxfId="49" priority="51" operator="containsText" text="Green">
      <formula>NOT(ISERROR(SEARCH("Green",H5)))</formula>
    </cfRule>
    <cfRule type="containsText" dxfId="48" priority="52" operator="containsText" text="Not Started">
      <formula>NOT(ISERROR(SEARCH("Not Started",H5)))</formula>
    </cfRule>
  </conditionalFormatting>
  <conditionalFormatting sqref="U24:U39">
    <cfRule type="containsText" dxfId="47" priority="1" operator="containsText" text="Red">
      <formula>NOT(ISERROR(SEARCH("Red",U24)))</formula>
    </cfRule>
    <cfRule type="containsText" dxfId="46" priority="2" operator="containsText" text="Amber">
      <formula>NOT(ISERROR(SEARCH("Amber",U24)))</formula>
    </cfRule>
    <cfRule type="containsText" dxfId="45" priority="3" operator="containsText" text="Green">
      <formula>NOT(ISERROR(SEARCH("Green",U24)))</formula>
    </cfRule>
    <cfRule type="containsText" dxfId="44" priority="4" operator="containsText" text="Grey">
      <formula>NOT(ISERROR(SEARCH("Grey",U24)))</formula>
    </cfRule>
  </conditionalFormatting>
  <conditionalFormatting sqref="U45:U60">
    <cfRule type="containsText" dxfId="43" priority="5" operator="containsText" text="Red">
      <formula>NOT(ISERROR(SEARCH("Red",U45)))</formula>
    </cfRule>
    <cfRule type="containsText" dxfId="42" priority="6" operator="containsText" text="Amber">
      <formula>NOT(ISERROR(SEARCH("Amber",U45)))</formula>
    </cfRule>
    <cfRule type="containsText" dxfId="41" priority="7" operator="containsText" text="Green">
      <formula>NOT(ISERROR(SEARCH("Green",U45)))</formula>
    </cfRule>
    <cfRule type="containsText" dxfId="40" priority="8" operator="containsText" text="Grey">
      <formula>NOT(ISERROR(SEARCH("Grey",U45)))</formula>
    </cfRule>
  </conditionalFormatting>
  <conditionalFormatting sqref="U66:U81">
    <cfRule type="containsText" dxfId="39" priority="9" operator="containsText" text="Red">
      <formula>NOT(ISERROR(SEARCH("Red",U66)))</formula>
    </cfRule>
    <cfRule type="containsText" dxfId="38" priority="10" operator="containsText" text="Amber">
      <formula>NOT(ISERROR(SEARCH("Amber",U66)))</formula>
    </cfRule>
    <cfRule type="containsText" dxfId="37" priority="11" operator="containsText" text="Green">
      <formula>NOT(ISERROR(SEARCH("Green",U66)))</formula>
    </cfRule>
    <cfRule type="containsText" dxfId="36" priority="12" operator="containsText" text="Grey">
      <formula>NOT(ISERROR(SEARCH("Grey",U66)))</formula>
    </cfRule>
  </conditionalFormatting>
  <conditionalFormatting sqref="U87:U102">
    <cfRule type="containsText" dxfId="35" priority="13" operator="containsText" text="Red">
      <formula>NOT(ISERROR(SEARCH("Red",U87)))</formula>
    </cfRule>
    <cfRule type="containsText" dxfId="34" priority="14" operator="containsText" text="Amber">
      <formula>NOT(ISERROR(SEARCH("Amber",U87)))</formula>
    </cfRule>
    <cfRule type="containsText" dxfId="33" priority="15" operator="containsText" text="Green">
      <formula>NOT(ISERROR(SEARCH("Green",U87)))</formula>
    </cfRule>
    <cfRule type="containsText" dxfId="32" priority="16" operator="containsText" text="Grey">
      <formula>NOT(ISERROR(SEARCH("Grey",U87)))</formula>
    </cfRule>
  </conditionalFormatting>
  <conditionalFormatting sqref="U108:U123">
    <cfRule type="containsText" dxfId="31" priority="17" operator="containsText" text="Red">
      <formula>NOT(ISERROR(SEARCH("Red",U108)))</formula>
    </cfRule>
    <cfRule type="containsText" dxfId="30" priority="18" operator="containsText" text="Amber">
      <formula>NOT(ISERROR(SEARCH("Amber",U108)))</formula>
    </cfRule>
    <cfRule type="containsText" dxfId="29" priority="19" operator="containsText" text="Green">
      <formula>NOT(ISERROR(SEARCH("Green",U108)))</formula>
    </cfRule>
    <cfRule type="containsText" dxfId="28" priority="20" operator="containsText" text="Grey">
      <formula>NOT(ISERROR(SEARCH("Grey",U108)))</formula>
    </cfRule>
  </conditionalFormatting>
  <conditionalFormatting sqref="U129:U144">
    <cfRule type="containsText" dxfId="27" priority="21" operator="containsText" text="Red">
      <formula>NOT(ISERROR(SEARCH("Red",U129)))</formula>
    </cfRule>
    <cfRule type="containsText" dxfId="26" priority="22" operator="containsText" text="Amber">
      <formula>NOT(ISERROR(SEARCH("Amber",U129)))</formula>
    </cfRule>
    <cfRule type="containsText" dxfId="25" priority="23" operator="containsText" text="Green">
      <formula>NOT(ISERROR(SEARCH("Green",U129)))</formula>
    </cfRule>
    <cfRule type="containsText" dxfId="24" priority="24" operator="containsText" text="Grey">
      <formula>NOT(ISERROR(SEARCH("Grey",U129)))</formula>
    </cfRule>
  </conditionalFormatting>
  <conditionalFormatting sqref="U150:U165">
    <cfRule type="containsText" dxfId="23" priority="26" operator="containsText" text="Amber">
      <formula>NOT(ISERROR(SEARCH("Amber",U150)))</formula>
    </cfRule>
    <cfRule type="containsText" dxfId="22" priority="27" operator="containsText" text="Green">
      <formula>NOT(ISERROR(SEARCH("Green",U150)))</formula>
    </cfRule>
    <cfRule type="containsText" dxfId="21" priority="28" operator="containsText" text="Grey">
      <formula>NOT(ISERROR(SEARCH("Grey",U150)))</formula>
    </cfRule>
    <cfRule type="containsText" dxfId="20" priority="25" operator="containsText" text="Red">
      <formula>NOT(ISERROR(SEARCH("Red",U150)))</formula>
    </cfRule>
  </conditionalFormatting>
  <conditionalFormatting sqref="U171:U186">
    <cfRule type="containsText" dxfId="19" priority="29" operator="containsText" text="Red">
      <formula>NOT(ISERROR(SEARCH("Red",U171)))</formula>
    </cfRule>
    <cfRule type="containsText" dxfId="18" priority="30" operator="containsText" text="Amber">
      <formula>NOT(ISERROR(SEARCH("Amber",U171)))</formula>
    </cfRule>
    <cfRule type="containsText" dxfId="17" priority="31" operator="containsText" text="Green">
      <formula>NOT(ISERROR(SEARCH("Green",U171)))</formula>
    </cfRule>
    <cfRule type="containsText" dxfId="16" priority="32" operator="containsText" text="Grey">
      <formula>NOT(ISERROR(SEARCH("Grey",U171)))</formula>
    </cfRule>
  </conditionalFormatting>
  <conditionalFormatting sqref="U192:U207">
    <cfRule type="containsText" dxfId="15" priority="34" operator="containsText" text="Amber">
      <formula>NOT(ISERROR(SEARCH("Amber",U192)))</formula>
    </cfRule>
    <cfRule type="containsText" dxfId="14" priority="35" operator="containsText" text="Green">
      <formula>NOT(ISERROR(SEARCH("Green",U192)))</formula>
    </cfRule>
    <cfRule type="containsText" dxfId="13" priority="36" operator="containsText" text="Grey">
      <formula>NOT(ISERROR(SEARCH("Grey",U192)))</formula>
    </cfRule>
    <cfRule type="containsText" dxfId="12" priority="33" operator="containsText" text="Red">
      <formula>NOT(ISERROR(SEARCH("Red",U192)))</formula>
    </cfRule>
  </conditionalFormatting>
  <conditionalFormatting sqref="U213:U228">
    <cfRule type="containsText" dxfId="11" priority="37" operator="containsText" text="Red">
      <formula>NOT(ISERROR(SEARCH("Red",U213)))</formula>
    </cfRule>
    <cfRule type="containsText" dxfId="10" priority="38" operator="containsText" text="Amber">
      <formula>NOT(ISERROR(SEARCH("Amber",U213)))</formula>
    </cfRule>
    <cfRule type="containsText" dxfId="9" priority="39" operator="containsText" text="Green">
      <formula>NOT(ISERROR(SEARCH("Green",U213)))</formula>
    </cfRule>
    <cfRule type="containsText" dxfId="8" priority="40" operator="containsText" text="Grey">
      <formula>NOT(ISERROR(SEARCH("Grey",U213)))</formula>
    </cfRule>
  </conditionalFormatting>
  <conditionalFormatting sqref="U234:U249">
    <cfRule type="containsText" dxfId="7" priority="42" operator="containsText" text="Amber">
      <formula>NOT(ISERROR(SEARCH("Amber",U234)))</formula>
    </cfRule>
    <cfRule type="containsText" dxfId="6" priority="43" operator="containsText" text="Green">
      <formula>NOT(ISERROR(SEARCH("Green",U234)))</formula>
    </cfRule>
    <cfRule type="containsText" dxfId="5" priority="44" operator="containsText" text="Grey">
      <formula>NOT(ISERROR(SEARCH("Grey",U234)))</formula>
    </cfRule>
    <cfRule type="containsText" dxfId="4" priority="41" operator="containsText" text="Red">
      <formula>NOT(ISERROR(SEARCH("Red",U234)))</formula>
    </cfRule>
  </conditionalFormatting>
  <conditionalFormatting sqref="U255:U270">
    <cfRule type="containsText" dxfId="3" priority="45" operator="containsText" text="Red">
      <formula>NOT(ISERROR(SEARCH("Red",U255)))</formula>
    </cfRule>
    <cfRule type="containsText" dxfId="2" priority="46" operator="containsText" text="Amber">
      <formula>NOT(ISERROR(SEARCH("Amber",U255)))</formula>
    </cfRule>
    <cfRule type="containsText" dxfId="1" priority="48" operator="containsText" text="Grey">
      <formula>NOT(ISERROR(SEARCH("Grey",U255)))</formula>
    </cfRule>
    <cfRule type="containsText" dxfId="0" priority="47" operator="containsText" text="Green">
      <formula>NOT(ISERROR(SEARCH("Green",U255)))</formula>
    </cfRule>
  </conditionalFormatting>
  <dataValidations count="4">
    <dataValidation type="list" allowBlank="1" showInputMessage="1" showErrorMessage="1" sqref="I24:I39 I45:I60 I66:I81 I87:I102 I108:I123 I129:I144 I150:I165 I171:I186 I192:I207 I213:I228 I234:I249 I255:I270" xr:uid="{00000000-0002-0000-1000-000000000000}">
      <formula1>"2,1,0,NA"</formula1>
    </dataValidation>
    <dataValidation type="list" allowBlank="1" showInputMessage="1" showErrorMessage="1" sqref="H24:H39 H45:H60 H66:H81 H87:H102 H108:H123 H129:H144 H150:H165 H171:H186 H192:H207 H213:H228 H234:H249 H255:H270" xr:uid="{00000000-0002-0000-1000-000001000000}">
      <formula1>"Critical,High,Medium,Low"</formula1>
    </dataValidation>
    <dataValidation type="list" allowBlank="1" showInputMessage="1" showErrorMessage="1" sqref="S24:S39 S45:S60 S66:S81 S87:S102 S108:S123 S129:S144 S150:S165 S171:S186 S192:S207 S213:S228 S234:S249 S255:S270" xr:uid="{00000000-0002-0000-1000-000002000000}">
      <formula1>"Yes,No,N/A"</formula1>
    </dataValidation>
    <dataValidation type="list" allowBlank="1" showInputMessage="1" showErrorMessage="1" sqref="T24:T39 T45:T60 T66:T81 T87:T102 T108:T123 T129:T144 T150:T165 T171:T186 T192:T207 T213:T228 T234:T249 T255:T270" xr:uid="{00000000-0002-0000-1000-000003000000}">
      <formula1>"Not Started,In Progress,Completed,Verified,Closed"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82"/>
  <sheetViews>
    <sheetView workbookViewId="0">
      <pane ySplit="22" topLeftCell="A23" activePane="bottomLeft" state="frozen"/>
      <selection pane="bottomLeft"/>
    </sheetView>
  </sheetViews>
  <sheetFormatPr defaultRowHeight="14.5" x14ac:dyDescent="0.35"/>
  <cols>
    <col min="1" max="1" width="5" customWidth="1"/>
    <col min="2" max="2" width="20" customWidth="1"/>
    <col min="3" max="3" width="50" customWidth="1"/>
    <col min="4" max="4" width="38" customWidth="1"/>
    <col min="5" max="6" width="18" customWidth="1"/>
    <col min="7" max="7" width="34" customWidth="1"/>
    <col min="8" max="8" width="12" customWidth="1"/>
    <col min="9" max="9" width="14" customWidth="1"/>
    <col min="10" max="10" width="32" customWidth="1"/>
    <col min="11" max="11" width="34" customWidth="1"/>
    <col min="12" max="12" width="28" customWidth="1"/>
    <col min="13" max="13" width="26" customWidth="1"/>
    <col min="14" max="14" width="30" customWidth="1"/>
    <col min="15" max="15" width="20" customWidth="1"/>
    <col min="16" max="17" width="13" customWidth="1"/>
    <col min="18" max="18" width="18" customWidth="1"/>
    <col min="19" max="19" width="14" customWidth="1"/>
    <col min="20" max="20" width="16" customWidth="1"/>
    <col min="21" max="21" width="12" customWidth="1"/>
  </cols>
  <sheetData>
    <row r="1" spans="1:21" ht="28" customHeight="1" x14ac:dyDescent="0.35">
      <c r="A1" s="26" t="s">
        <v>682</v>
      </c>
      <c r="B1" s="23"/>
      <c r="C1" s="23"/>
      <c r="D1" s="23"/>
      <c r="E1" s="23"/>
      <c r="F1" s="23"/>
      <c r="G1" s="23"/>
      <c r="H1" s="23"/>
      <c r="I1" s="23"/>
      <c r="J1" s="23"/>
      <c r="K1" s="23"/>
      <c r="L1" s="23"/>
      <c r="M1" s="23"/>
      <c r="N1" s="23"/>
      <c r="O1" s="23"/>
      <c r="P1" s="23"/>
      <c r="Q1" s="23"/>
      <c r="R1" s="23"/>
      <c r="S1" s="23"/>
      <c r="T1" s="23"/>
      <c r="U1" s="23"/>
    </row>
    <row r="2" spans="1:21" x14ac:dyDescent="0.35">
      <c r="A2" s="27" t="s">
        <v>683</v>
      </c>
      <c r="B2" s="23"/>
      <c r="C2" s="23"/>
      <c r="D2" s="23"/>
      <c r="E2" s="23"/>
      <c r="F2" s="23"/>
      <c r="G2" s="23"/>
      <c r="H2" s="23"/>
      <c r="I2" s="23"/>
      <c r="J2" s="23"/>
      <c r="K2" s="23"/>
      <c r="L2" s="23"/>
      <c r="M2" s="23"/>
      <c r="N2" s="23"/>
      <c r="O2" s="23"/>
      <c r="P2" s="23"/>
      <c r="Q2" s="23"/>
      <c r="R2" s="23"/>
      <c r="S2" s="23"/>
      <c r="T2" s="23"/>
      <c r="U2" s="23"/>
    </row>
    <row r="4" spans="1:21" ht="29" x14ac:dyDescent="0.35">
      <c r="A4" s="11" t="s">
        <v>3</v>
      </c>
      <c r="B4" s="11" t="s">
        <v>4</v>
      </c>
      <c r="C4" s="11" t="s">
        <v>5</v>
      </c>
      <c r="D4" s="11" t="s">
        <v>6</v>
      </c>
      <c r="E4" s="11" t="s">
        <v>7</v>
      </c>
      <c r="F4" s="11" t="s">
        <v>8</v>
      </c>
      <c r="G4" s="11" t="s">
        <v>9</v>
      </c>
      <c r="H4" s="11" t="s">
        <v>10</v>
      </c>
      <c r="I4" s="11" t="s">
        <v>11</v>
      </c>
      <c r="J4" s="11" t="s">
        <v>12</v>
      </c>
      <c r="K4" s="11" t="s">
        <v>13</v>
      </c>
      <c r="L4" s="11" t="s">
        <v>14</v>
      </c>
      <c r="M4" s="11" t="s">
        <v>684</v>
      </c>
      <c r="N4" s="11" t="s">
        <v>685</v>
      </c>
    </row>
    <row r="5" spans="1:21" x14ac:dyDescent="0.35">
      <c r="A5" t="s">
        <v>18</v>
      </c>
      <c r="B5" s="12">
        <v>46050</v>
      </c>
      <c r="E5">
        <f>SUMIF(I24:I40,"&gt;=0",I24:I40)</f>
        <v>0</v>
      </c>
      <c r="F5">
        <f>COUNT(I24:I40)*2</f>
        <v>0</v>
      </c>
      <c r="G5" s="13" t="str">
        <f t="shared" ref="G5:G16" si="0">IF(F5=0,"",E5/F5)</f>
        <v/>
      </c>
      <c r="H5" t="str">
        <f t="shared" ref="H5:H16" si="1">IF(G5="","Not Started",IF(G5&gt;=0.9,"Green",IF(G5&gt;=0.75,"Amber","Red")))</f>
        <v>Not Started</v>
      </c>
      <c r="I5">
        <f>COUNTIFS(H24:H40,"Critical",I24:I40,"&lt;2")+COUNTIFS(H24:H40,"High",I24:I40,"&lt;2")</f>
        <v>0</v>
      </c>
      <c r="J5">
        <f>COUNTIF(T24:T40,"In Progress")+COUNTIF(T24:T40,"Not Started")</f>
        <v>0</v>
      </c>
      <c r="K5">
        <f ca="1">COUNTIFS(P24:P40,"&lt;"&amp;TODAY(),Q24:Q40,"")</f>
        <v>0</v>
      </c>
    </row>
    <row r="6" spans="1:21" x14ac:dyDescent="0.35">
      <c r="A6" t="s">
        <v>19</v>
      </c>
      <c r="B6" s="12">
        <v>46081</v>
      </c>
      <c r="E6">
        <f>SUMIF(I46:I62,"&gt;=0",I46:I62)</f>
        <v>0</v>
      </c>
      <c r="F6">
        <f>COUNT(I46:I62)*2</f>
        <v>0</v>
      </c>
      <c r="G6" s="13" t="str">
        <f t="shared" si="0"/>
        <v/>
      </c>
      <c r="H6" t="str">
        <f t="shared" si="1"/>
        <v>Not Started</v>
      </c>
      <c r="I6">
        <f>COUNTIFS(H46:H62,"Critical",I46:I62,"&lt;2")+COUNTIFS(H46:H62,"High",I46:I62,"&lt;2")</f>
        <v>0</v>
      </c>
      <c r="J6">
        <f>COUNTIF(T46:T62,"In Progress")+COUNTIF(T46:T62,"Not Started")</f>
        <v>0</v>
      </c>
      <c r="K6">
        <f ca="1">COUNTIFS(P46:P62,"&lt;"&amp;TODAY(),Q46:Q62,"")</f>
        <v>0</v>
      </c>
    </row>
    <row r="7" spans="1:21" x14ac:dyDescent="0.35">
      <c r="A7" t="s">
        <v>20</v>
      </c>
      <c r="B7" s="12">
        <v>46109</v>
      </c>
      <c r="E7">
        <f>SUMIF(I68:I84,"&gt;=0",I68:I84)</f>
        <v>0</v>
      </c>
      <c r="F7">
        <f>COUNT(I68:I84)*2</f>
        <v>0</v>
      </c>
      <c r="G7" s="13" t="str">
        <f t="shared" si="0"/>
        <v/>
      </c>
      <c r="H7" t="str">
        <f t="shared" si="1"/>
        <v>Not Started</v>
      </c>
      <c r="I7">
        <f>COUNTIFS(H68:H84,"Critical",I68:I84,"&lt;2")+COUNTIFS(H68:H84,"High",I68:I84,"&lt;2")</f>
        <v>0</v>
      </c>
      <c r="J7">
        <f>COUNTIF(T68:T84,"In Progress")+COUNTIF(T68:T84,"Not Started")</f>
        <v>0</v>
      </c>
      <c r="K7">
        <f ca="1">COUNTIFS(P68:P84,"&lt;"&amp;TODAY(),Q68:Q84,"")</f>
        <v>0</v>
      </c>
    </row>
    <row r="8" spans="1:21" x14ac:dyDescent="0.35">
      <c r="A8" t="s">
        <v>21</v>
      </c>
      <c r="B8" s="12">
        <v>46140</v>
      </c>
      <c r="E8">
        <f>SUMIF(I90:I106,"&gt;=0",I90:I106)</f>
        <v>0</v>
      </c>
      <c r="F8">
        <f>COUNT(I90:I106)*2</f>
        <v>0</v>
      </c>
      <c r="G8" s="13" t="str">
        <f t="shared" si="0"/>
        <v/>
      </c>
      <c r="H8" t="str">
        <f t="shared" si="1"/>
        <v>Not Started</v>
      </c>
      <c r="I8">
        <f>COUNTIFS(H90:H106,"Critical",I90:I106,"&lt;2")+COUNTIFS(H90:H106,"High",I90:I106,"&lt;2")</f>
        <v>0</v>
      </c>
      <c r="J8">
        <f>COUNTIF(T90:T106,"In Progress")+COUNTIF(T90:T106,"Not Started")</f>
        <v>0</v>
      </c>
      <c r="K8">
        <f ca="1">COUNTIFS(P90:P106,"&lt;"&amp;TODAY(),Q90:Q106,"")</f>
        <v>0</v>
      </c>
    </row>
    <row r="9" spans="1:21" x14ac:dyDescent="0.35">
      <c r="A9" t="s">
        <v>22</v>
      </c>
      <c r="B9" s="12">
        <v>46170</v>
      </c>
      <c r="E9">
        <f>SUMIF(I112:I128,"&gt;=0",I112:I128)</f>
        <v>0</v>
      </c>
      <c r="F9">
        <f>COUNT(I112:I128)*2</f>
        <v>0</v>
      </c>
      <c r="G9" s="13" t="str">
        <f t="shared" si="0"/>
        <v/>
      </c>
      <c r="H9" t="str">
        <f t="shared" si="1"/>
        <v>Not Started</v>
      </c>
      <c r="I9">
        <f>COUNTIFS(H112:H128,"Critical",I112:I128,"&lt;2")+COUNTIFS(H112:H128,"High",I112:I128,"&lt;2")</f>
        <v>0</v>
      </c>
      <c r="J9">
        <f>COUNTIF(T112:T128,"In Progress")+COUNTIF(T112:T128,"Not Started")</f>
        <v>0</v>
      </c>
      <c r="K9">
        <f ca="1">COUNTIFS(P112:P128,"&lt;"&amp;TODAY(),Q112:Q128,"")</f>
        <v>0</v>
      </c>
    </row>
    <row r="10" spans="1:21" x14ac:dyDescent="0.35">
      <c r="A10" t="s">
        <v>23</v>
      </c>
      <c r="B10" s="12">
        <v>46201</v>
      </c>
      <c r="E10">
        <f>SUMIF(I134:I150,"&gt;=0",I134:I150)</f>
        <v>0</v>
      </c>
      <c r="F10">
        <f>COUNT(I134:I150)*2</f>
        <v>0</v>
      </c>
      <c r="G10" s="13" t="str">
        <f t="shared" si="0"/>
        <v/>
      </c>
      <c r="H10" t="str">
        <f t="shared" si="1"/>
        <v>Not Started</v>
      </c>
      <c r="I10">
        <f>COUNTIFS(H134:H150,"Critical",I134:I150,"&lt;2")+COUNTIFS(H134:H150,"High",I134:I150,"&lt;2")</f>
        <v>0</v>
      </c>
      <c r="J10">
        <f>COUNTIF(T134:T150,"In Progress")+COUNTIF(T134:T150,"Not Started")</f>
        <v>0</v>
      </c>
      <c r="K10">
        <f ca="1">COUNTIFS(P134:P150,"&lt;"&amp;TODAY(),Q134:Q150,"")</f>
        <v>0</v>
      </c>
    </row>
    <row r="11" spans="1:21" x14ac:dyDescent="0.35">
      <c r="A11" t="s">
        <v>24</v>
      </c>
      <c r="B11" s="12">
        <v>46231</v>
      </c>
      <c r="E11">
        <f>SUMIF(I156:I172,"&gt;=0",I156:I172)</f>
        <v>0</v>
      </c>
      <c r="F11">
        <f>COUNT(I156:I172)*2</f>
        <v>0</v>
      </c>
      <c r="G11" s="13" t="str">
        <f t="shared" si="0"/>
        <v/>
      </c>
      <c r="H11" t="str">
        <f t="shared" si="1"/>
        <v>Not Started</v>
      </c>
      <c r="I11">
        <f>COUNTIFS(H156:H172,"Critical",I156:I172,"&lt;2")+COUNTIFS(H156:H172,"High",I156:I172,"&lt;2")</f>
        <v>0</v>
      </c>
      <c r="J11">
        <f>COUNTIF(T156:T172,"In Progress")+COUNTIF(T156:T172,"Not Started")</f>
        <v>0</v>
      </c>
      <c r="K11">
        <f ca="1">COUNTIFS(P156:P172,"&lt;"&amp;TODAY(),Q156:Q172,"")</f>
        <v>0</v>
      </c>
    </row>
    <row r="12" spans="1:21" x14ac:dyDescent="0.35">
      <c r="A12" t="s">
        <v>25</v>
      </c>
      <c r="B12" s="12">
        <v>46262</v>
      </c>
      <c r="E12">
        <f>SUMIF(I178:I194,"&gt;=0",I178:I194)</f>
        <v>0</v>
      </c>
      <c r="F12">
        <f>COUNT(I178:I194)*2</f>
        <v>0</v>
      </c>
      <c r="G12" s="13" t="str">
        <f t="shared" si="0"/>
        <v/>
      </c>
      <c r="H12" t="str">
        <f t="shared" si="1"/>
        <v>Not Started</v>
      </c>
      <c r="I12">
        <f>COUNTIFS(H178:H194,"Critical",I178:I194,"&lt;2")+COUNTIFS(H178:H194,"High",I178:I194,"&lt;2")</f>
        <v>0</v>
      </c>
      <c r="J12">
        <f>COUNTIF(T178:T194,"In Progress")+COUNTIF(T178:T194,"Not Started")</f>
        <v>0</v>
      </c>
      <c r="K12">
        <f ca="1">COUNTIFS(P178:P194,"&lt;"&amp;TODAY(),Q178:Q194,"")</f>
        <v>0</v>
      </c>
    </row>
    <row r="13" spans="1:21" x14ac:dyDescent="0.35">
      <c r="A13" t="s">
        <v>26</v>
      </c>
      <c r="B13" s="12">
        <v>46293</v>
      </c>
      <c r="E13">
        <f>SUMIF(I200:I216,"&gt;=0",I200:I216)</f>
        <v>0</v>
      </c>
      <c r="F13">
        <f>COUNT(I200:I216)*2</f>
        <v>0</v>
      </c>
      <c r="G13" s="13" t="str">
        <f t="shared" si="0"/>
        <v/>
      </c>
      <c r="H13" t="str">
        <f t="shared" si="1"/>
        <v>Not Started</v>
      </c>
      <c r="I13">
        <f>COUNTIFS(H200:H216,"Critical",I200:I216,"&lt;2")+COUNTIFS(H200:H216,"High",I200:I216,"&lt;2")</f>
        <v>0</v>
      </c>
      <c r="J13">
        <f>COUNTIF(T200:T216,"In Progress")+COUNTIF(T200:T216,"Not Started")</f>
        <v>0</v>
      </c>
      <c r="K13">
        <f ca="1">COUNTIFS(P200:P216,"&lt;"&amp;TODAY(),Q200:Q216,"")</f>
        <v>0</v>
      </c>
    </row>
    <row r="14" spans="1:21" x14ac:dyDescent="0.35">
      <c r="A14" t="s">
        <v>27</v>
      </c>
      <c r="B14" s="12">
        <v>46323</v>
      </c>
      <c r="E14">
        <f>SUMIF(I222:I238,"&gt;=0",I222:I238)</f>
        <v>0</v>
      </c>
      <c r="F14">
        <f>COUNT(I222:I238)*2</f>
        <v>0</v>
      </c>
      <c r="G14" s="13" t="str">
        <f t="shared" si="0"/>
        <v/>
      </c>
      <c r="H14" t="str">
        <f t="shared" si="1"/>
        <v>Not Started</v>
      </c>
      <c r="I14">
        <f>COUNTIFS(H222:H238,"Critical",I222:I238,"&lt;2")+COUNTIFS(H222:H238,"High",I222:I238,"&lt;2")</f>
        <v>0</v>
      </c>
      <c r="J14">
        <f>COUNTIF(T222:T238,"In Progress")+COUNTIF(T222:T238,"Not Started")</f>
        <v>0</v>
      </c>
      <c r="K14">
        <f ca="1">COUNTIFS(P222:P238,"&lt;"&amp;TODAY(),Q222:Q238,"")</f>
        <v>0</v>
      </c>
    </row>
    <row r="15" spans="1:21" x14ac:dyDescent="0.35">
      <c r="A15" t="s">
        <v>28</v>
      </c>
      <c r="B15" s="12">
        <v>46354</v>
      </c>
      <c r="E15">
        <f>SUMIF(I244:I260,"&gt;=0",I244:I260)</f>
        <v>0</v>
      </c>
      <c r="F15">
        <f>COUNT(I244:I260)*2</f>
        <v>0</v>
      </c>
      <c r="G15" s="13" t="str">
        <f t="shared" si="0"/>
        <v/>
      </c>
      <c r="H15" t="str">
        <f t="shared" si="1"/>
        <v>Not Started</v>
      </c>
      <c r="I15">
        <f>COUNTIFS(H244:H260,"Critical",I244:I260,"&lt;2")+COUNTIFS(H244:H260,"High",I244:I260,"&lt;2")</f>
        <v>0</v>
      </c>
      <c r="J15">
        <f>COUNTIF(T244:T260,"In Progress")+COUNTIF(T244:T260,"Not Started")</f>
        <v>0</v>
      </c>
      <c r="K15">
        <f ca="1">COUNTIFS(P244:P260,"&lt;"&amp;TODAY(),Q244:Q260,"")</f>
        <v>0</v>
      </c>
    </row>
    <row r="16" spans="1:21" x14ac:dyDescent="0.35">
      <c r="A16" t="s">
        <v>29</v>
      </c>
      <c r="B16" s="12">
        <v>46384</v>
      </c>
      <c r="E16">
        <f>SUMIF(I266:I282,"&gt;=0",I266:I282)</f>
        <v>0</v>
      </c>
      <c r="F16">
        <f>COUNT(I266:I282)*2</f>
        <v>0</v>
      </c>
      <c r="G16" s="13" t="str">
        <f t="shared" si="0"/>
        <v/>
      </c>
      <c r="H16" t="str">
        <f t="shared" si="1"/>
        <v>Not Started</v>
      </c>
      <c r="I16">
        <f>COUNTIFS(H266:H282,"Critical",I266:I282,"&lt;2")+COUNTIFS(H266:H282,"High",I266:I282,"&lt;2")</f>
        <v>0</v>
      </c>
      <c r="J16">
        <f>COUNTIF(T266:T282,"In Progress")+COUNTIF(T266:T282,"Not Started")</f>
        <v>0</v>
      </c>
      <c r="K16">
        <f ca="1">COUNTIFS(P266:P282,"&lt;"&amp;TODAY(),Q266:Q282,"")</f>
        <v>0</v>
      </c>
    </row>
    <row r="21" spans="1:21" ht="22" customHeight="1" x14ac:dyDescent="0.35">
      <c r="A21" s="26" t="s">
        <v>686</v>
      </c>
      <c r="B21" s="23"/>
      <c r="C21" s="23"/>
      <c r="D21" s="23"/>
      <c r="E21" s="23"/>
      <c r="F21" s="23"/>
      <c r="G21" s="23"/>
      <c r="H21" s="23"/>
      <c r="I21" s="23"/>
      <c r="J21" s="23"/>
      <c r="K21" s="23"/>
      <c r="L21" s="23"/>
      <c r="M21" s="23"/>
      <c r="N21" s="23"/>
      <c r="O21" s="23"/>
      <c r="P21" s="23"/>
      <c r="Q21" s="23"/>
      <c r="R21" s="23"/>
      <c r="S21" s="23"/>
      <c r="T21" s="23"/>
      <c r="U21" s="23"/>
    </row>
    <row r="22" spans="1:21" x14ac:dyDescent="0.35">
      <c r="A22" t="s">
        <v>31</v>
      </c>
      <c r="B22" t="s">
        <v>18</v>
      </c>
      <c r="C22" t="s">
        <v>32</v>
      </c>
      <c r="E22" t="s">
        <v>33</v>
      </c>
    </row>
    <row r="23" spans="1:21" ht="29" x14ac:dyDescent="0.35">
      <c r="A23" s="11" t="s">
        <v>34</v>
      </c>
      <c r="B23" s="11" t="s">
        <v>35</v>
      </c>
      <c r="C23" s="11" t="s">
        <v>36</v>
      </c>
      <c r="D23" s="11" t="s">
        <v>37</v>
      </c>
      <c r="E23" s="11" t="s">
        <v>38</v>
      </c>
      <c r="F23" s="11" t="s">
        <v>39</v>
      </c>
      <c r="G23" s="11" t="s">
        <v>40</v>
      </c>
      <c r="H23" s="11" t="s">
        <v>41</v>
      </c>
      <c r="I23" s="11" t="s">
        <v>42</v>
      </c>
      <c r="J23" s="11" t="s">
        <v>43</v>
      </c>
      <c r="K23" s="11" t="s">
        <v>44</v>
      </c>
      <c r="L23" s="11" t="s">
        <v>45</v>
      </c>
      <c r="M23" s="11" t="s">
        <v>46</v>
      </c>
      <c r="N23" s="11" t="s">
        <v>47</v>
      </c>
      <c r="O23" s="11" t="s">
        <v>48</v>
      </c>
      <c r="P23" s="11" t="s">
        <v>4</v>
      </c>
      <c r="Q23" s="11" t="s">
        <v>49</v>
      </c>
      <c r="R23" s="11" t="s">
        <v>50</v>
      </c>
      <c r="S23" s="11" t="s">
        <v>51</v>
      </c>
      <c r="T23" s="11" t="s">
        <v>52</v>
      </c>
      <c r="U23" s="11" t="s">
        <v>10</v>
      </c>
    </row>
    <row r="24" spans="1:21" ht="29" x14ac:dyDescent="0.35">
      <c r="A24" s="14">
        <v>1</v>
      </c>
      <c r="B24" s="14" t="s">
        <v>687</v>
      </c>
      <c r="C24" s="14" t="s">
        <v>688</v>
      </c>
      <c r="D24" s="14" t="s">
        <v>689</v>
      </c>
      <c r="E24" s="14" t="s">
        <v>690</v>
      </c>
      <c r="F24" s="14" t="s">
        <v>167</v>
      </c>
      <c r="G24" s="14" t="s">
        <v>691</v>
      </c>
      <c r="H24" s="14" t="s">
        <v>59</v>
      </c>
      <c r="I24" s="15"/>
      <c r="J24" s="15"/>
      <c r="K24" s="15"/>
      <c r="L24" s="15"/>
      <c r="M24" s="15"/>
      <c r="N24" s="15"/>
      <c r="O24" s="15"/>
      <c r="P24" s="15"/>
      <c r="Q24" s="15"/>
      <c r="R24" s="15"/>
      <c r="S24" s="15"/>
      <c r="T24" s="15"/>
      <c r="U24" s="14" t="str">
        <f t="shared" ref="U24:U40" si="2">IF(I24="","",IF(I24="NA","Grey",IF(I24=2,"Green",IF(I24=1,"Amber","Red"))))</f>
        <v/>
      </c>
    </row>
    <row r="25" spans="1:21" ht="29" x14ac:dyDescent="0.35">
      <c r="A25" s="14">
        <v>2</v>
      </c>
      <c r="B25" s="14" t="s">
        <v>692</v>
      </c>
      <c r="C25" s="14" t="s">
        <v>693</v>
      </c>
      <c r="D25" s="14" t="s">
        <v>694</v>
      </c>
      <c r="E25" s="14" t="s">
        <v>69</v>
      </c>
      <c r="F25" s="14" t="s">
        <v>167</v>
      </c>
      <c r="G25" s="14" t="s">
        <v>691</v>
      </c>
      <c r="H25" s="14" t="s">
        <v>76</v>
      </c>
      <c r="I25" s="15"/>
      <c r="J25" s="15"/>
      <c r="K25" s="15"/>
      <c r="L25" s="15"/>
      <c r="M25" s="15"/>
      <c r="N25" s="15"/>
      <c r="O25" s="15"/>
      <c r="P25" s="15"/>
      <c r="Q25" s="15"/>
      <c r="R25" s="15"/>
      <c r="S25" s="15"/>
      <c r="T25" s="15"/>
      <c r="U25" s="14" t="str">
        <f t="shared" si="2"/>
        <v/>
      </c>
    </row>
    <row r="26" spans="1:21" ht="29" x14ac:dyDescent="0.35">
      <c r="A26" s="14">
        <v>3</v>
      </c>
      <c r="B26" s="14" t="s">
        <v>695</v>
      </c>
      <c r="C26" s="14" t="s">
        <v>696</v>
      </c>
      <c r="D26" s="14" t="s">
        <v>697</v>
      </c>
      <c r="E26" s="14" t="s">
        <v>69</v>
      </c>
      <c r="F26" s="14" t="s">
        <v>284</v>
      </c>
      <c r="G26" s="14" t="s">
        <v>691</v>
      </c>
      <c r="H26" s="14" t="s">
        <v>76</v>
      </c>
      <c r="I26" s="15"/>
      <c r="J26" s="15"/>
      <c r="K26" s="15"/>
      <c r="L26" s="15"/>
      <c r="M26" s="15"/>
      <c r="N26" s="15"/>
      <c r="O26" s="15"/>
      <c r="P26" s="15"/>
      <c r="Q26" s="15"/>
      <c r="R26" s="15"/>
      <c r="S26" s="15"/>
      <c r="T26" s="15"/>
      <c r="U26" s="14" t="str">
        <f t="shared" si="2"/>
        <v/>
      </c>
    </row>
    <row r="27" spans="1:21" ht="29" x14ac:dyDescent="0.35">
      <c r="A27" s="14">
        <v>4</v>
      </c>
      <c r="B27" s="14" t="s">
        <v>698</v>
      </c>
      <c r="C27" s="14" t="s">
        <v>699</v>
      </c>
      <c r="D27" s="14" t="s">
        <v>700</v>
      </c>
      <c r="E27" s="14" t="s">
        <v>69</v>
      </c>
      <c r="F27" s="14" t="s">
        <v>284</v>
      </c>
      <c r="G27" s="14" t="s">
        <v>691</v>
      </c>
      <c r="H27" s="14" t="s">
        <v>76</v>
      </c>
      <c r="I27" s="15"/>
      <c r="J27" s="15"/>
      <c r="K27" s="15"/>
      <c r="L27" s="15"/>
      <c r="M27" s="15"/>
      <c r="N27" s="15"/>
      <c r="O27" s="15"/>
      <c r="P27" s="15"/>
      <c r="Q27" s="15"/>
      <c r="R27" s="15"/>
      <c r="S27" s="15"/>
      <c r="T27" s="15"/>
      <c r="U27" s="14" t="str">
        <f t="shared" si="2"/>
        <v/>
      </c>
    </row>
    <row r="28" spans="1:21" ht="29" x14ac:dyDescent="0.35">
      <c r="A28" s="14">
        <v>5</v>
      </c>
      <c r="B28" s="14" t="s">
        <v>701</v>
      </c>
      <c r="C28" s="14" t="s">
        <v>702</v>
      </c>
      <c r="D28" s="14" t="s">
        <v>703</v>
      </c>
      <c r="E28" s="14" t="s">
        <v>69</v>
      </c>
      <c r="F28" s="14" t="s">
        <v>284</v>
      </c>
      <c r="G28" s="14" t="s">
        <v>691</v>
      </c>
      <c r="H28" s="14" t="s">
        <v>76</v>
      </c>
      <c r="I28" s="15"/>
      <c r="J28" s="15"/>
      <c r="K28" s="15"/>
      <c r="L28" s="15"/>
      <c r="M28" s="15"/>
      <c r="N28" s="15"/>
      <c r="O28" s="15"/>
      <c r="P28" s="15"/>
      <c r="Q28" s="15"/>
      <c r="R28" s="15"/>
      <c r="S28" s="15"/>
      <c r="T28" s="15"/>
      <c r="U28" s="14" t="str">
        <f t="shared" si="2"/>
        <v/>
      </c>
    </row>
    <row r="29" spans="1:21" ht="29" x14ac:dyDescent="0.35">
      <c r="A29" s="14">
        <v>6</v>
      </c>
      <c r="B29" s="14" t="s">
        <v>704</v>
      </c>
      <c r="C29" s="14" t="s">
        <v>705</v>
      </c>
      <c r="D29" s="14" t="s">
        <v>706</v>
      </c>
      <c r="E29" s="14" t="s">
        <v>69</v>
      </c>
      <c r="F29" s="14" t="s">
        <v>707</v>
      </c>
      <c r="G29" s="14" t="s">
        <v>691</v>
      </c>
      <c r="H29" s="14" t="s">
        <v>85</v>
      </c>
      <c r="I29" s="15"/>
      <c r="J29" s="15"/>
      <c r="K29" s="15"/>
      <c r="L29" s="15"/>
      <c r="M29" s="15"/>
      <c r="N29" s="15"/>
      <c r="O29" s="15"/>
      <c r="P29" s="15"/>
      <c r="Q29" s="15"/>
      <c r="R29" s="15"/>
      <c r="S29" s="15"/>
      <c r="T29" s="15"/>
      <c r="U29" s="14" t="str">
        <f t="shared" si="2"/>
        <v/>
      </c>
    </row>
    <row r="30" spans="1:21" ht="29" x14ac:dyDescent="0.35">
      <c r="A30" s="14">
        <v>7</v>
      </c>
      <c r="B30" s="14" t="s">
        <v>708</v>
      </c>
      <c r="C30" s="14" t="s">
        <v>709</v>
      </c>
      <c r="D30" s="14" t="s">
        <v>710</v>
      </c>
      <c r="E30" s="14" t="s">
        <v>69</v>
      </c>
      <c r="F30" s="14" t="s">
        <v>711</v>
      </c>
      <c r="G30" s="14" t="s">
        <v>691</v>
      </c>
      <c r="H30" s="14" t="s">
        <v>76</v>
      </c>
      <c r="I30" s="15"/>
      <c r="J30" s="15"/>
      <c r="K30" s="15"/>
      <c r="L30" s="15"/>
      <c r="M30" s="15"/>
      <c r="N30" s="15"/>
      <c r="O30" s="15"/>
      <c r="P30" s="15"/>
      <c r="Q30" s="15"/>
      <c r="R30" s="15"/>
      <c r="S30" s="15"/>
      <c r="T30" s="15"/>
      <c r="U30" s="14" t="str">
        <f t="shared" si="2"/>
        <v/>
      </c>
    </row>
    <row r="31" spans="1:21" ht="29" x14ac:dyDescent="0.35">
      <c r="A31" s="14">
        <v>8</v>
      </c>
      <c r="B31" s="14" t="s">
        <v>712</v>
      </c>
      <c r="C31" s="14" t="s">
        <v>713</v>
      </c>
      <c r="D31" s="14" t="s">
        <v>714</v>
      </c>
      <c r="E31" s="14" t="s">
        <v>69</v>
      </c>
      <c r="F31" s="14" t="s">
        <v>167</v>
      </c>
      <c r="G31" s="14" t="s">
        <v>691</v>
      </c>
      <c r="H31" s="14" t="s">
        <v>76</v>
      </c>
      <c r="I31" s="15"/>
      <c r="J31" s="15"/>
      <c r="K31" s="15"/>
      <c r="L31" s="15"/>
      <c r="M31" s="15"/>
      <c r="N31" s="15"/>
      <c r="O31" s="15"/>
      <c r="P31" s="15"/>
      <c r="Q31" s="15"/>
      <c r="R31" s="15"/>
      <c r="S31" s="15"/>
      <c r="T31" s="15"/>
      <c r="U31" s="14" t="str">
        <f t="shared" si="2"/>
        <v/>
      </c>
    </row>
    <row r="32" spans="1:21" ht="29" x14ac:dyDescent="0.35">
      <c r="A32" s="14">
        <v>9</v>
      </c>
      <c r="B32" s="14" t="s">
        <v>715</v>
      </c>
      <c r="C32" s="14" t="s">
        <v>716</v>
      </c>
      <c r="D32" s="14" t="s">
        <v>717</v>
      </c>
      <c r="E32" s="14" t="s">
        <v>69</v>
      </c>
      <c r="F32" s="14" t="s">
        <v>95</v>
      </c>
      <c r="G32" s="14" t="s">
        <v>691</v>
      </c>
      <c r="H32" s="14" t="s">
        <v>59</v>
      </c>
      <c r="I32" s="15"/>
      <c r="J32" s="15"/>
      <c r="K32" s="15"/>
      <c r="L32" s="15"/>
      <c r="M32" s="15"/>
      <c r="N32" s="15"/>
      <c r="O32" s="15"/>
      <c r="P32" s="15"/>
      <c r="Q32" s="15"/>
      <c r="R32" s="15"/>
      <c r="S32" s="15"/>
      <c r="T32" s="15"/>
      <c r="U32" s="14" t="str">
        <f t="shared" si="2"/>
        <v/>
      </c>
    </row>
    <row r="33" spans="1:21" ht="29" x14ac:dyDescent="0.35">
      <c r="A33" s="14">
        <v>10</v>
      </c>
      <c r="B33" s="14" t="s">
        <v>718</v>
      </c>
      <c r="C33" s="14" t="s">
        <v>719</v>
      </c>
      <c r="D33" s="14" t="s">
        <v>720</v>
      </c>
      <c r="E33" s="14" t="s">
        <v>69</v>
      </c>
      <c r="F33" s="14" t="s">
        <v>167</v>
      </c>
      <c r="G33" s="14" t="s">
        <v>691</v>
      </c>
      <c r="H33" s="14" t="s">
        <v>59</v>
      </c>
      <c r="I33" s="15"/>
      <c r="J33" s="15"/>
      <c r="K33" s="15"/>
      <c r="L33" s="15"/>
      <c r="M33" s="15"/>
      <c r="N33" s="15"/>
      <c r="O33" s="15"/>
      <c r="P33" s="15"/>
      <c r="Q33" s="15"/>
      <c r="R33" s="15"/>
      <c r="S33" s="15"/>
      <c r="T33" s="15"/>
      <c r="U33" s="14" t="str">
        <f t="shared" si="2"/>
        <v/>
      </c>
    </row>
    <row r="34" spans="1:21" ht="29" x14ac:dyDescent="0.35">
      <c r="A34" s="14">
        <v>11</v>
      </c>
      <c r="B34" s="14" t="s">
        <v>721</v>
      </c>
      <c r="C34" s="14" t="s">
        <v>722</v>
      </c>
      <c r="D34" s="14" t="s">
        <v>723</v>
      </c>
      <c r="E34" s="14" t="s">
        <v>690</v>
      </c>
      <c r="F34" s="14" t="s">
        <v>167</v>
      </c>
      <c r="G34" s="14" t="s">
        <v>691</v>
      </c>
      <c r="H34" s="14" t="s">
        <v>59</v>
      </c>
      <c r="I34" s="15"/>
      <c r="J34" s="15"/>
      <c r="K34" s="15"/>
      <c r="L34" s="15"/>
      <c r="M34" s="15"/>
      <c r="N34" s="15"/>
      <c r="O34" s="15"/>
      <c r="P34" s="15"/>
      <c r="Q34" s="15"/>
      <c r="R34" s="15"/>
      <c r="S34" s="15"/>
      <c r="T34" s="15"/>
      <c r="U34" s="14" t="str">
        <f t="shared" si="2"/>
        <v/>
      </c>
    </row>
    <row r="35" spans="1:21" ht="29" x14ac:dyDescent="0.35">
      <c r="A35" s="14">
        <v>12</v>
      </c>
      <c r="B35" s="14" t="s">
        <v>724</v>
      </c>
      <c r="C35" s="14" t="s">
        <v>725</v>
      </c>
      <c r="D35" s="14" t="s">
        <v>726</v>
      </c>
      <c r="E35" s="14" t="s">
        <v>690</v>
      </c>
      <c r="F35" s="14" t="s">
        <v>167</v>
      </c>
      <c r="G35" s="14" t="s">
        <v>691</v>
      </c>
      <c r="H35" s="14" t="s">
        <v>59</v>
      </c>
      <c r="I35" s="15"/>
      <c r="J35" s="15"/>
      <c r="K35" s="15"/>
      <c r="L35" s="15"/>
      <c r="M35" s="15"/>
      <c r="N35" s="15"/>
      <c r="O35" s="15"/>
      <c r="P35" s="15"/>
      <c r="Q35" s="15"/>
      <c r="R35" s="15"/>
      <c r="S35" s="15"/>
      <c r="T35" s="15"/>
      <c r="U35" s="14" t="str">
        <f t="shared" si="2"/>
        <v/>
      </c>
    </row>
    <row r="36" spans="1:21" ht="29" x14ac:dyDescent="0.35">
      <c r="A36" s="14">
        <v>13</v>
      </c>
      <c r="B36" s="14" t="s">
        <v>727</v>
      </c>
      <c r="C36" s="14" t="s">
        <v>728</v>
      </c>
      <c r="D36" s="14" t="s">
        <v>729</v>
      </c>
      <c r="E36" s="14" t="s">
        <v>690</v>
      </c>
      <c r="F36" s="14" t="s">
        <v>167</v>
      </c>
      <c r="G36" s="14" t="s">
        <v>691</v>
      </c>
      <c r="H36" s="14" t="s">
        <v>59</v>
      </c>
      <c r="I36" s="15"/>
      <c r="J36" s="15"/>
      <c r="K36" s="15"/>
      <c r="L36" s="15"/>
      <c r="M36" s="15"/>
      <c r="N36" s="15"/>
      <c r="O36" s="15"/>
      <c r="P36" s="15"/>
      <c r="Q36" s="15"/>
      <c r="R36" s="15"/>
      <c r="S36" s="15"/>
      <c r="T36" s="15"/>
      <c r="U36" s="14" t="str">
        <f t="shared" si="2"/>
        <v/>
      </c>
    </row>
    <row r="37" spans="1:21" ht="29" x14ac:dyDescent="0.35">
      <c r="A37" s="14">
        <v>14</v>
      </c>
      <c r="B37" s="14" t="s">
        <v>730</v>
      </c>
      <c r="C37" s="14" t="s">
        <v>731</v>
      </c>
      <c r="D37" s="14" t="s">
        <v>732</v>
      </c>
      <c r="E37" s="14" t="s">
        <v>690</v>
      </c>
      <c r="F37" s="14" t="s">
        <v>167</v>
      </c>
      <c r="G37" s="14" t="s">
        <v>691</v>
      </c>
      <c r="H37" s="14" t="s">
        <v>59</v>
      </c>
      <c r="I37" s="15"/>
      <c r="J37" s="15"/>
      <c r="K37" s="15"/>
      <c r="L37" s="15"/>
      <c r="M37" s="15"/>
      <c r="N37" s="15"/>
      <c r="O37" s="15"/>
      <c r="P37" s="15"/>
      <c r="Q37" s="15"/>
      <c r="R37" s="15"/>
      <c r="S37" s="15"/>
      <c r="T37" s="15"/>
      <c r="U37" s="14" t="str">
        <f t="shared" si="2"/>
        <v/>
      </c>
    </row>
    <row r="38" spans="1:21" ht="29" x14ac:dyDescent="0.35">
      <c r="A38" s="14">
        <v>15</v>
      </c>
      <c r="B38" s="14" t="s">
        <v>733</v>
      </c>
      <c r="C38" s="14" t="s">
        <v>734</v>
      </c>
      <c r="D38" s="14" t="s">
        <v>735</v>
      </c>
      <c r="E38" s="14" t="s">
        <v>69</v>
      </c>
      <c r="F38" s="14" t="s">
        <v>95</v>
      </c>
      <c r="G38" s="14" t="s">
        <v>691</v>
      </c>
      <c r="H38" s="14" t="s">
        <v>76</v>
      </c>
      <c r="I38" s="15"/>
      <c r="J38" s="15"/>
      <c r="K38" s="15"/>
      <c r="L38" s="15"/>
      <c r="M38" s="15"/>
      <c r="N38" s="15"/>
      <c r="O38" s="15"/>
      <c r="P38" s="15"/>
      <c r="Q38" s="15"/>
      <c r="R38" s="15"/>
      <c r="S38" s="15"/>
      <c r="T38" s="15"/>
      <c r="U38" s="14" t="str">
        <f t="shared" si="2"/>
        <v/>
      </c>
    </row>
    <row r="39" spans="1:21" ht="29" x14ac:dyDescent="0.35">
      <c r="A39" s="14">
        <v>16</v>
      </c>
      <c r="B39" s="14" t="s">
        <v>736</v>
      </c>
      <c r="C39" s="14" t="s">
        <v>737</v>
      </c>
      <c r="D39" s="14" t="s">
        <v>738</v>
      </c>
      <c r="E39" s="14" t="s">
        <v>690</v>
      </c>
      <c r="F39" s="14" t="s">
        <v>167</v>
      </c>
      <c r="G39" s="14" t="s">
        <v>691</v>
      </c>
      <c r="H39" s="14" t="s">
        <v>59</v>
      </c>
      <c r="I39" s="15"/>
      <c r="J39" s="15"/>
      <c r="K39" s="15"/>
      <c r="L39" s="15"/>
      <c r="M39" s="15"/>
      <c r="N39" s="15"/>
      <c r="O39" s="15"/>
      <c r="P39" s="15"/>
      <c r="Q39" s="15"/>
      <c r="R39" s="15"/>
      <c r="S39" s="15"/>
      <c r="T39" s="15"/>
      <c r="U39" s="14" t="str">
        <f t="shared" si="2"/>
        <v/>
      </c>
    </row>
    <row r="40" spans="1:21" ht="29" x14ac:dyDescent="0.35">
      <c r="A40" s="14">
        <v>17</v>
      </c>
      <c r="B40" s="14" t="s">
        <v>739</v>
      </c>
      <c r="C40" s="14" t="s">
        <v>740</v>
      </c>
      <c r="D40" s="14" t="s">
        <v>741</v>
      </c>
      <c r="E40" s="14" t="s">
        <v>69</v>
      </c>
      <c r="F40" s="14" t="s">
        <v>95</v>
      </c>
      <c r="G40" s="14" t="s">
        <v>691</v>
      </c>
      <c r="H40" s="14" t="s">
        <v>59</v>
      </c>
      <c r="I40" s="15"/>
      <c r="J40" s="15"/>
      <c r="K40" s="15"/>
      <c r="L40" s="15"/>
      <c r="M40" s="15"/>
      <c r="N40" s="15"/>
      <c r="O40" s="15"/>
      <c r="P40" s="15"/>
      <c r="Q40" s="15"/>
      <c r="R40" s="15"/>
      <c r="S40" s="15"/>
      <c r="T40" s="15"/>
      <c r="U40" s="14" t="str">
        <f t="shared" si="2"/>
        <v/>
      </c>
    </row>
    <row r="43" spans="1:21" ht="22" customHeight="1" x14ac:dyDescent="0.35">
      <c r="A43" s="26" t="s">
        <v>742</v>
      </c>
      <c r="B43" s="23"/>
      <c r="C43" s="23"/>
      <c r="D43" s="23"/>
      <c r="E43" s="23"/>
      <c r="F43" s="23"/>
      <c r="G43" s="23"/>
      <c r="H43" s="23"/>
      <c r="I43" s="23"/>
      <c r="J43" s="23"/>
      <c r="K43" s="23"/>
      <c r="L43" s="23"/>
      <c r="M43" s="23"/>
      <c r="N43" s="23"/>
      <c r="O43" s="23"/>
      <c r="P43" s="23"/>
      <c r="Q43" s="23"/>
      <c r="R43" s="23"/>
      <c r="S43" s="23"/>
      <c r="T43" s="23"/>
      <c r="U43" s="23"/>
    </row>
    <row r="44" spans="1:21" x14ac:dyDescent="0.35">
      <c r="A44" t="s">
        <v>31</v>
      </c>
      <c r="B44" t="s">
        <v>19</v>
      </c>
      <c r="C44" t="s">
        <v>32</v>
      </c>
      <c r="E44" t="s">
        <v>33</v>
      </c>
    </row>
    <row r="45" spans="1:21" ht="29" x14ac:dyDescent="0.35">
      <c r="A45" s="11" t="s">
        <v>34</v>
      </c>
      <c r="B45" s="11" t="s">
        <v>35</v>
      </c>
      <c r="C45" s="11" t="s">
        <v>36</v>
      </c>
      <c r="D45" s="11" t="s">
        <v>37</v>
      </c>
      <c r="E45" s="11" t="s">
        <v>38</v>
      </c>
      <c r="F45" s="11" t="s">
        <v>39</v>
      </c>
      <c r="G45" s="11" t="s">
        <v>40</v>
      </c>
      <c r="H45" s="11" t="s">
        <v>41</v>
      </c>
      <c r="I45" s="11" t="s">
        <v>42</v>
      </c>
      <c r="J45" s="11" t="s">
        <v>43</v>
      </c>
      <c r="K45" s="11" t="s">
        <v>44</v>
      </c>
      <c r="L45" s="11" t="s">
        <v>45</v>
      </c>
      <c r="M45" s="11" t="s">
        <v>46</v>
      </c>
      <c r="N45" s="11" t="s">
        <v>47</v>
      </c>
      <c r="O45" s="11" t="s">
        <v>48</v>
      </c>
      <c r="P45" s="11" t="s">
        <v>4</v>
      </c>
      <c r="Q45" s="11" t="s">
        <v>49</v>
      </c>
      <c r="R45" s="11" t="s">
        <v>50</v>
      </c>
      <c r="S45" s="11" t="s">
        <v>51</v>
      </c>
      <c r="T45" s="11" t="s">
        <v>52</v>
      </c>
      <c r="U45" s="11" t="s">
        <v>10</v>
      </c>
    </row>
    <row r="46" spans="1:21" ht="29" x14ac:dyDescent="0.35">
      <c r="A46" s="14">
        <v>1</v>
      </c>
      <c r="B46" s="14" t="s">
        <v>687</v>
      </c>
      <c r="C46" s="14" t="s">
        <v>688</v>
      </c>
      <c r="D46" s="14" t="s">
        <v>689</v>
      </c>
      <c r="E46" s="14" t="s">
        <v>690</v>
      </c>
      <c r="F46" s="14" t="s">
        <v>167</v>
      </c>
      <c r="G46" s="14" t="s">
        <v>691</v>
      </c>
      <c r="H46" s="14" t="s">
        <v>59</v>
      </c>
      <c r="I46" s="15"/>
      <c r="J46" s="15"/>
      <c r="K46" s="15"/>
      <c r="L46" s="15"/>
      <c r="M46" s="15"/>
      <c r="N46" s="15"/>
      <c r="O46" s="15"/>
      <c r="P46" s="15"/>
      <c r="Q46" s="15"/>
      <c r="R46" s="15"/>
      <c r="S46" s="15"/>
      <c r="T46" s="15"/>
      <c r="U46" s="14" t="str">
        <f t="shared" ref="U46:U62" si="3">IF(I46="","",IF(I46="NA","Grey",IF(I46=2,"Green",IF(I46=1,"Amber","Red"))))</f>
        <v/>
      </c>
    </row>
    <row r="47" spans="1:21" ht="29" x14ac:dyDescent="0.35">
      <c r="A47" s="14">
        <v>2</v>
      </c>
      <c r="B47" s="14" t="s">
        <v>692</v>
      </c>
      <c r="C47" s="14" t="s">
        <v>693</v>
      </c>
      <c r="D47" s="14" t="s">
        <v>694</v>
      </c>
      <c r="E47" s="14" t="s">
        <v>69</v>
      </c>
      <c r="F47" s="14" t="s">
        <v>167</v>
      </c>
      <c r="G47" s="14" t="s">
        <v>691</v>
      </c>
      <c r="H47" s="14" t="s">
        <v>76</v>
      </c>
      <c r="I47" s="15"/>
      <c r="J47" s="15"/>
      <c r="K47" s="15"/>
      <c r="L47" s="15"/>
      <c r="M47" s="15"/>
      <c r="N47" s="15"/>
      <c r="O47" s="15"/>
      <c r="P47" s="15"/>
      <c r="Q47" s="15"/>
      <c r="R47" s="15"/>
      <c r="S47" s="15"/>
      <c r="T47" s="15"/>
      <c r="U47" s="14" t="str">
        <f t="shared" si="3"/>
        <v/>
      </c>
    </row>
    <row r="48" spans="1:21" ht="29" x14ac:dyDescent="0.35">
      <c r="A48" s="14">
        <v>3</v>
      </c>
      <c r="B48" s="14" t="s">
        <v>695</v>
      </c>
      <c r="C48" s="14" t="s">
        <v>696</v>
      </c>
      <c r="D48" s="14" t="s">
        <v>697</v>
      </c>
      <c r="E48" s="14" t="s">
        <v>69</v>
      </c>
      <c r="F48" s="14" t="s">
        <v>284</v>
      </c>
      <c r="G48" s="14" t="s">
        <v>691</v>
      </c>
      <c r="H48" s="14" t="s">
        <v>76</v>
      </c>
      <c r="I48" s="15"/>
      <c r="J48" s="15"/>
      <c r="K48" s="15"/>
      <c r="L48" s="15"/>
      <c r="M48" s="15"/>
      <c r="N48" s="15"/>
      <c r="O48" s="15"/>
      <c r="P48" s="15"/>
      <c r="Q48" s="15"/>
      <c r="R48" s="15"/>
      <c r="S48" s="15"/>
      <c r="T48" s="15"/>
      <c r="U48" s="14" t="str">
        <f t="shared" si="3"/>
        <v/>
      </c>
    </row>
    <row r="49" spans="1:21" ht="29" x14ac:dyDescent="0.35">
      <c r="A49" s="14">
        <v>4</v>
      </c>
      <c r="B49" s="14" t="s">
        <v>698</v>
      </c>
      <c r="C49" s="14" t="s">
        <v>699</v>
      </c>
      <c r="D49" s="14" t="s">
        <v>700</v>
      </c>
      <c r="E49" s="14" t="s">
        <v>69</v>
      </c>
      <c r="F49" s="14" t="s">
        <v>284</v>
      </c>
      <c r="G49" s="14" t="s">
        <v>691</v>
      </c>
      <c r="H49" s="14" t="s">
        <v>76</v>
      </c>
      <c r="I49" s="15"/>
      <c r="J49" s="15"/>
      <c r="K49" s="15"/>
      <c r="L49" s="15"/>
      <c r="M49" s="15"/>
      <c r="N49" s="15"/>
      <c r="O49" s="15"/>
      <c r="P49" s="15"/>
      <c r="Q49" s="15"/>
      <c r="R49" s="15"/>
      <c r="S49" s="15"/>
      <c r="T49" s="15"/>
      <c r="U49" s="14" t="str">
        <f t="shared" si="3"/>
        <v/>
      </c>
    </row>
    <row r="50" spans="1:21" ht="29" x14ac:dyDescent="0.35">
      <c r="A50" s="14">
        <v>5</v>
      </c>
      <c r="B50" s="14" t="s">
        <v>701</v>
      </c>
      <c r="C50" s="14" t="s">
        <v>702</v>
      </c>
      <c r="D50" s="14" t="s">
        <v>703</v>
      </c>
      <c r="E50" s="14" t="s">
        <v>69</v>
      </c>
      <c r="F50" s="14" t="s">
        <v>284</v>
      </c>
      <c r="G50" s="14" t="s">
        <v>691</v>
      </c>
      <c r="H50" s="14" t="s">
        <v>76</v>
      </c>
      <c r="I50" s="15"/>
      <c r="J50" s="15"/>
      <c r="K50" s="15"/>
      <c r="L50" s="15"/>
      <c r="M50" s="15"/>
      <c r="N50" s="15"/>
      <c r="O50" s="15"/>
      <c r="P50" s="15"/>
      <c r="Q50" s="15"/>
      <c r="R50" s="15"/>
      <c r="S50" s="15"/>
      <c r="T50" s="15"/>
      <c r="U50" s="14" t="str">
        <f t="shared" si="3"/>
        <v/>
      </c>
    </row>
    <row r="51" spans="1:21" ht="29" x14ac:dyDescent="0.35">
      <c r="A51" s="14">
        <v>6</v>
      </c>
      <c r="B51" s="14" t="s">
        <v>704</v>
      </c>
      <c r="C51" s="14" t="s">
        <v>705</v>
      </c>
      <c r="D51" s="14" t="s">
        <v>706</v>
      </c>
      <c r="E51" s="14" t="s">
        <v>69</v>
      </c>
      <c r="F51" s="14" t="s">
        <v>707</v>
      </c>
      <c r="G51" s="14" t="s">
        <v>691</v>
      </c>
      <c r="H51" s="14" t="s">
        <v>85</v>
      </c>
      <c r="I51" s="15"/>
      <c r="J51" s="15"/>
      <c r="K51" s="15"/>
      <c r="L51" s="15"/>
      <c r="M51" s="15"/>
      <c r="N51" s="15"/>
      <c r="O51" s="15"/>
      <c r="P51" s="15"/>
      <c r="Q51" s="15"/>
      <c r="R51" s="15"/>
      <c r="S51" s="15"/>
      <c r="T51" s="15"/>
      <c r="U51" s="14" t="str">
        <f t="shared" si="3"/>
        <v/>
      </c>
    </row>
    <row r="52" spans="1:21" ht="29" x14ac:dyDescent="0.35">
      <c r="A52" s="14">
        <v>7</v>
      </c>
      <c r="B52" s="14" t="s">
        <v>708</v>
      </c>
      <c r="C52" s="14" t="s">
        <v>709</v>
      </c>
      <c r="D52" s="14" t="s">
        <v>710</v>
      </c>
      <c r="E52" s="14" t="s">
        <v>69</v>
      </c>
      <c r="F52" s="14" t="s">
        <v>711</v>
      </c>
      <c r="G52" s="14" t="s">
        <v>691</v>
      </c>
      <c r="H52" s="14" t="s">
        <v>76</v>
      </c>
      <c r="I52" s="15"/>
      <c r="J52" s="15"/>
      <c r="K52" s="15"/>
      <c r="L52" s="15"/>
      <c r="M52" s="15"/>
      <c r="N52" s="15"/>
      <c r="O52" s="15"/>
      <c r="P52" s="15"/>
      <c r="Q52" s="15"/>
      <c r="R52" s="15"/>
      <c r="S52" s="15"/>
      <c r="T52" s="15"/>
      <c r="U52" s="14" t="str">
        <f t="shared" si="3"/>
        <v/>
      </c>
    </row>
    <row r="53" spans="1:21" ht="29" x14ac:dyDescent="0.35">
      <c r="A53" s="14">
        <v>8</v>
      </c>
      <c r="B53" s="14" t="s">
        <v>712</v>
      </c>
      <c r="C53" s="14" t="s">
        <v>713</v>
      </c>
      <c r="D53" s="14" t="s">
        <v>714</v>
      </c>
      <c r="E53" s="14" t="s">
        <v>69</v>
      </c>
      <c r="F53" s="14" t="s">
        <v>167</v>
      </c>
      <c r="G53" s="14" t="s">
        <v>691</v>
      </c>
      <c r="H53" s="14" t="s">
        <v>76</v>
      </c>
      <c r="I53" s="15"/>
      <c r="J53" s="15"/>
      <c r="K53" s="15"/>
      <c r="L53" s="15"/>
      <c r="M53" s="15"/>
      <c r="N53" s="15"/>
      <c r="O53" s="15"/>
      <c r="P53" s="15"/>
      <c r="Q53" s="15"/>
      <c r="R53" s="15"/>
      <c r="S53" s="15"/>
      <c r="T53" s="15"/>
      <c r="U53" s="14" t="str">
        <f t="shared" si="3"/>
        <v/>
      </c>
    </row>
    <row r="54" spans="1:21" ht="29" x14ac:dyDescent="0.35">
      <c r="A54" s="14">
        <v>9</v>
      </c>
      <c r="B54" s="14" t="s">
        <v>715</v>
      </c>
      <c r="C54" s="14" t="s">
        <v>716</v>
      </c>
      <c r="D54" s="14" t="s">
        <v>717</v>
      </c>
      <c r="E54" s="14" t="s">
        <v>69</v>
      </c>
      <c r="F54" s="14" t="s">
        <v>95</v>
      </c>
      <c r="G54" s="14" t="s">
        <v>691</v>
      </c>
      <c r="H54" s="14" t="s">
        <v>59</v>
      </c>
      <c r="I54" s="15"/>
      <c r="J54" s="15"/>
      <c r="K54" s="15"/>
      <c r="L54" s="15"/>
      <c r="M54" s="15"/>
      <c r="N54" s="15"/>
      <c r="O54" s="15"/>
      <c r="P54" s="15"/>
      <c r="Q54" s="15"/>
      <c r="R54" s="15"/>
      <c r="S54" s="15"/>
      <c r="T54" s="15"/>
      <c r="U54" s="14" t="str">
        <f t="shared" si="3"/>
        <v/>
      </c>
    </row>
    <row r="55" spans="1:21" ht="29" x14ac:dyDescent="0.35">
      <c r="A55" s="14">
        <v>10</v>
      </c>
      <c r="B55" s="14" t="s">
        <v>718</v>
      </c>
      <c r="C55" s="14" t="s">
        <v>719</v>
      </c>
      <c r="D55" s="14" t="s">
        <v>720</v>
      </c>
      <c r="E55" s="14" t="s">
        <v>69</v>
      </c>
      <c r="F55" s="14" t="s">
        <v>167</v>
      </c>
      <c r="G55" s="14" t="s">
        <v>691</v>
      </c>
      <c r="H55" s="14" t="s">
        <v>59</v>
      </c>
      <c r="I55" s="15"/>
      <c r="J55" s="15"/>
      <c r="K55" s="15"/>
      <c r="L55" s="15"/>
      <c r="M55" s="15"/>
      <c r="N55" s="15"/>
      <c r="O55" s="15"/>
      <c r="P55" s="15"/>
      <c r="Q55" s="15"/>
      <c r="R55" s="15"/>
      <c r="S55" s="15"/>
      <c r="T55" s="15"/>
      <c r="U55" s="14" t="str">
        <f t="shared" si="3"/>
        <v/>
      </c>
    </row>
    <row r="56" spans="1:21" ht="29" x14ac:dyDescent="0.35">
      <c r="A56" s="14">
        <v>11</v>
      </c>
      <c r="B56" s="14" t="s">
        <v>721</v>
      </c>
      <c r="C56" s="14" t="s">
        <v>722</v>
      </c>
      <c r="D56" s="14" t="s">
        <v>723</v>
      </c>
      <c r="E56" s="14" t="s">
        <v>690</v>
      </c>
      <c r="F56" s="14" t="s">
        <v>167</v>
      </c>
      <c r="G56" s="14" t="s">
        <v>691</v>
      </c>
      <c r="H56" s="14" t="s">
        <v>59</v>
      </c>
      <c r="I56" s="15"/>
      <c r="J56" s="15"/>
      <c r="K56" s="15"/>
      <c r="L56" s="15"/>
      <c r="M56" s="15"/>
      <c r="N56" s="15"/>
      <c r="O56" s="15"/>
      <c r="P56" s="15"/>
      <c r="Q56" s="15"/>
      <c r="R56" s="15"/>
      <c r="S56" s="15"/>
      <c r="T56" s="15"/>
      <c r="U56" s="14" t="str">
        <f t="shared" si="3"/>
        <v/>
      </c>
    </row>
    <row r="57" spans="1:21" ht="29" x14ac:dyDescent="0.35">
      <c r="A57" s="14">
        <v>12</v>
      </c>
      <c r="B57" s="14" t="s">
        <v>724</v>
      </c>
      <c r="C57" s="14" t="s">
        <v>725</v>
      </c>
      <c r="D57" s="14" t="s">
        <v>726</v>
      </c>
      <c r="E57" s="14" t="s">
        <v>690</v>
      </c>
      <c r="F57" s="14" t="s">
        <v>167</v>
      </c>
      <c r="G57" s="14" t="s">
        <v>691</v>
      </c>
      <c r="H57" s="14" t="s">
        <v>59</v>
      </c>
      <c r="I57" s="15"/>
      <c r="J57" s="15"/>
      <c r="K57" s="15"/>
      <c r="L57" s="15"/>
      <c r="M57" s="15"/>
      <c r="N57" s="15"/>
      <c r="O57" s="15"/>
      <c r="P57" s="15"/>
      <c r="Q57" s="15"/>
      <c r="R57" s="15"/>
      <c r="S57" s="15"/>
      <c r="T57" s="15"/>
      <c r="U57" s="14" t="str">
        <f t="shared" si="3"/>
        <v/>
      </c>
    </row>
    <row r="58" spans="1:21" ht="29" x14ac:dyDescent="0.35">
      <c r="A58" s="14">
        <v>13</v>
      </c>
      <c r="B58" s="14" t="s">
        <v>727</v>
      </c>
      <c r="C58" s="14" t="s">
        <v>728</v>
      </c>
      <c r="D58" s="14" t="s">
        <v>729</v>
      </c>
      <c r="E58" s="14" t="s">
        <v>690</v>
      </c>
      <c r="F58" s="14" t="s">
        <v>167</v>
      </c>
      <c r="G58" s="14" t="s">
        <v>691</v>
      </c>
      <c r="H58" s="14" t="s">
        <v>59</v>
      </c>
      <c r="I58" s="15"/>
      <c r="J58" s="15"/>
      <c r="K58" s="15"/>
      <c r="L58" s="15"/>
      <c r="M58" s="15"/>
      <c r="N58" s="15"/>
      <c r="O58" s="15"/>
      <c r="P58" s="15"/>
      <c r="Q58" s="15"/>
      <c r="R58" s="15"/>
      <c r="S58" s="15"/>
      <c r="T58" s="15"/>
      <c r="U58" s="14" t="str">
        <f t="shared" si="3"/>
        <v/>
      </c>
    </row>
    <row r="59" spans="1:21" ht="29" x14ac:dyDescent="0.35">
      <c r="A59" s="14">
        <v>14</v>
      </c>
      <c r="B59" s="14" t="s">
        <v>730</v>
      </c>
      <c r="C59" s="14" t="s">
        <v>731</v>
      </c>
      <c r="D59" s="14" t="s">
        <v>732</v>
      </c>
      <c r="E59" s="14" t="s">
        <v>690</v>
      </c>
      <c r="F59" s="14" t="s">
        <v>167</v>
      </c>
      <c r="G59" s="14" t="s">
        <v>691</v>
      </c>
      <c r="H59" s="14" t="s">
        <v>59</v>
      </c>
      <c r="I59" s="15"/>
      <c r="J59" s="15"/>
      <c r="K59" s="15"/>
      <c r="L59" s="15"/>
      <c r="M59" s="15"/>
      <c r="N59" s="15"/>
      <c r="O59" s="15"/>
      <c r="P59" s="15"/>
      <c r="Q59" s="15"/>
      <c r="R59" s="15"/>
      <c r="S59" s="15"/>
      <c r="T59" s="15"/>
      <c r="U59" s="14" t="str">
        <f t="shared" si="3"/>
        <v/>
      </c>
    </row>
    <row r="60" spans="1:21" ht="29" x14ac:dyDescent="0.35">
      <c r="A60" s="14">
        <v>15</v>
      </c>
      <c r="B60" s="14" t="s">
        <v>733</v>
      </c>
      <c r="C60" s="14" t="s">
        <v>734</v>
      </c>
      <c r="D60" s="14" t="s">
        <v>735</v>
      </c>
      <c r="E60" s="14" t="s">
        <v>69</v>
      </c>
      <c r="F60" s="14" t="s">
        <v>95</v>
      </c>
      <c r="G60" s="14" t="s">
        <v>691</v>
      </c>
      <c r="H60" s="14" t="s">
        <v>76</v>
      </c>
      <c r="I60" s="15"/>
      <c r="J60" s="15"/>
      <c r="K60" s="15"/>
      <c r="L60" s="15"/>
      <c r="M60" s="15"/>
      <c r="N60" s="15"/>
      <c r="O60" s="15"/>
      <c r="P60" s="15"/>
      <c r="Q60" s="15"/>
      <c r="R60" s="15"/>
      <c r="S60" s="15"/>
      <c r="T60" s="15"/>
      <c r="U60" s="14" t="str">
        <f t="shared" si="3"/>
        <v/>
      </c>
    </row>
    <row r="61" spans="1:21" ht="29" x14ac:dyDescent="0.35">
      <c r="A61" s="14">
        <v>16</v>
      </c>
      <c r="B61" s="14" t="s">
        <v>736</v>
      </c>
      <c r="C61" s="14" t="s">
        <v>737</v>
      </c>
      <c r="D61" s="14" t="s">
        <v>738</v>
      </c>
      <c r="E61" s="14" t="s">
        <v>690</v>
      </c>
      <c r="F61" s="14" t="s">
        <v>167</v>
      </c>
      <c r="G61" s="14" t="s">
        <v>691</v>
      </c>
      <c r="H61" s="14" t="s">
        <v>59</v>
      </c>
      <c r="I61" s="15"/>
      <c r="J61" s="15"/>
      <c r="K61" s="15"/>
      <c r="L61" s="15"/>
      <c r="M61" s="15"/>
      <c r="N61" s="15"/>
      <c r="O61" s="15"/>
      <c r="P61" s="15"/>
      <c r="Q61" s="15"/>
      <c r="R61" s="15"/>
      <c r="S61" s="15"/>
      <c r="T61" s="15"/>
      <c r="U61" s="14" t="str">
        <f t="shared" si="3"/>
        <v/>
      </c>
    </row>
    <row r="62" spans="1:21" ht="29" x14ac:dyDescent="0.35">
      <c r="A62" s="14">
        <v>17</v>
      </c>
      <c r="B62" s="14" t="s">
        <v>739</v>
      </c>
      <c r="C62" s="14" t="s">
        <v>740</v>
      </c>
      <c r="D62" s="14" t="s">
        <v>741</v>
      </c>
      <c r="E62" s="14" t="s">
        <v>69</v>
      </c>
      <c r="F62" s="14" t="s">
        <v>95</v>
      </c>
      <c r="G62" s="14" t="s">
        <v>691</v>
      </c>
      <c r="H62" s="14" t="s">
        <v>59</v>
      </c>
      <c r="I62" s="15"/>
      <c r="J62" s="15"/>
      <c r="K62" s="15"/>
      <c r="L62" s="15"/>
      <c r="M62" s="15"/>
      <c r="N62" s="15"/>
      <c r="O62" s="15"/>
      <c r="P62" s="15"/>
      <c r="Q62" s="15"/>
      <c r="R62" s="15"/>
      <c r="S62" s="15"/>
      <c r="T62" s="15"/>
      <c r="U62" s="14" t="str">
        <f t="shared" si="3"/>
        <v/>
      </c>
    </row>
    <row r="65" spans="1:21" ht="22" customHeight="1" x14ac:dyDescent="0.35">
      <c r="A65" s="26" t="s">
        <v>743</v>
      </c>
      <c r="B65" s="23"/>
      <c r="C65" s="23"/>
      <c r="D65" s="23"/>
      <c r="E65" s="23"/>
      <c r="F65" s="23"/>
      <c r="G65" s="23"/>
      <c r="H65" s="23"/>
      <c r="I65" s="23"/>
      <c r="J65" s="23"/>
      <c r="K65" s="23"/>
      <c r="L65" s="23"/>
      <c r="M65" s="23"/>
      <c r="N65" s="23"/>
      <c r="O65" s="23"/>
      <c r="P65" s="23"/>
      <c r="Q65" s="23"/>
      <c r="R65" s="23"/>
      <c r="S65" s="23"/>
      <c r="T65" s="23"/>
      <c r="U65" s="23"/>
    </row>
    <row r="66" spans="1:21" x14ac:dyDescent="0.35">
      <c r="A66" t="s">
        <v>31</v>
      </c>
      <c r="B66" t="s">
        <v>20</v>
      </c>
      <c r="C66" t="s">
        <v>32</v>
      </c>
      <c r="E66" t="s">
        <v>33</v>
      </c>
    </row>
    <row r="67" spans="1:21" ht="29" x14ac:dyDescent="0.35">
      <c r="A67" s="11" t="s">
        <v>34</v>
      </c>
      <c r="B67" s="11" t="s">
        <v>35</v>
      </c>
      <c r="C67" s="11" t="s">
        <v>36</v>
      </c>
      <c r="D67" s="11" t="s">
        <v>37</v>
      </c>
      <c r="E67" s="11" t="s">
        <v>38</v>
      </c>
      <c r="F67" s="11" t="s">
        <v>39</v>
      </c>
      <c r="G67" s="11" t="s">
        <v>40</v>
      </c>
      <c r="H67" s="11" t="s">
        <v>41</v>
      </c>
      <c r="I67" s="11" t="s">
        <v>42</v>
      </c>
      <c r="J67" s="11" t="s">
        <v>43</v>
      </c>
      <c r="K67" s="11" t="s">
        <v>44</v>
      </c>
      <c r="L67" s="11" t="s">
        <v>45</v>
      </c>
      <c r="M67" s="11" t="s">
        <v>46</v>
      </c>
      <c r="N67" s="11" t="s">
        <v>47</v>
      </c>
      <c r="O67" s="11" t="s">
        <v>48</v>
      </c>
      <c r="P67" s="11" t="s">
        <v>4</v>
      </c>
      <c r="Q67" s="11" t="s">
        <v>49</v>
      </c>
      <c r="R67" s="11" t="s">
        <v>50</v>
      </c>
      <c r="S67" s="11" t="s">
        <v>51</v>
      </c>
      <c r="T67" s="11" t="s">
        <v>52</v>
      </c>
      <c r="U67" s="11" t="s">
        <v>10</v>
      </c>
    </row>
    <row r="68" spans="1:21" ht="29" x14ac:dyDescent="0.35">
      <c r="A68" s="14">
        <v>1</v>
      </c>
      <c r="B68" s="14" t="s">
        <v>687</v>
      </c>
      <c r="C68" s="14" t="s">
        <v>688</v>
      </c>
      <c r="D68" s="14" t="s">
        <v>689</v>
      </c>
      <c r="E68" s="14" t="s">
        <v>690</v>
      </c>
      <c r="F68" s="14" t="s">
        <v>167</v>
      </c>
      <c r="G68" s="14" t="s">
        <v>691</v>
      </c>
      <c r="H68" s="14" t="s">
        <v>59</v>
      </c>
      <c r="I68" s="15"/>
      <c r="J68" s="15"/>
      <c r="K68" s="15"/>
      <c r="L68" s="15"/>
      <c r="M68" s="15"/>
      <c r="N68" s="15"/>
      <c r="O68" s="15"/>
      <c r="P68" s="15"/>
      <c r="Q68" s="15"/>
      <c r="R68" s="15"/>
      <c r="S68" s="15"/>
      <c r="T68" s="15"/>
      <c r="U68" s="14" t="str">
        <f t="shared" ref="U68:U84" si="4">IF(I68="","",IF(I68="NA","Grey",IF(I68=2,"Green",IF(I68=1,"Amber","Red"))))</f>
        <v/>
      </c>
    </row>
    <row r="69" spans="1:21" ht="29" x14ac:dyDescent="0.35">
      <c r="A69" s="14">
        <v>2</v>
      </c>
      <c r="B69" s="14" t="s">
        <v>692</v>
      </c>
      <c r="C69" s="14" t="s">
        <v>693</v>
      </c>
      <c r="D69" s="14" t="s">
        <v>694</v>
      </c>
      <c r="E69" s="14" t="s">
        <v>69</v>
      </c>
      <c r="F69" s="14" t="s">
        <v>167</v>
      </c>
      <c r="G69" s="14" t="s">
        <v>691</v>
      </c>
      <c r="H69" s="14" t="s">
        <v>76</v>
      </c>
      <c r="I69" s="15"/>
      <c r="J69" s="15"/>
      <c r="K69" s="15"/>
      <c r="L69" s="15"/>
      <c r="M69" s="15"/>
      <c r="N69" s="15"/>
      <c r="O69" s="15"/>
      <c r="P69" s="15"/>
      <c r="Q69" s="15"/>
      <c r="R69" s="15"/>
      <c r="S69" s="15"/>
      <c r="T69" s="15"/>
      <c r="U69" s="14" t="str">
        <f t="shared" si="4"/>
        <v/>
      </c>
    </row>
    <row r="70" spans="1:21" ht="29" x14ac:dyDescent="0.35">
      <c r="A70" s="14">
        <v>3</v>
      </c>
      <c r="B70" s="14" t="s">
        <v>695</v>
      </c>
      <c r="C70" s="14" t="s">
        <v>696</v>
      </c>
      <c r="D70" s="14" t="s">
        <v>697</v>
      </c>
      <c r="E70" s="14" t="s">
        <v>69</v>
      </c>
      <c r="F70" s="14" t="s">
        <v>284</v>
      </c>
      <c r="G70" s="14" t="s">
        <v>691</v>
      </c>
      <c r="H70" s="14" t="s">
        <v>76</v>
      </c>
      <c r="I70" s="15"/>
      <c r="J70" s="15"/>
      <c r="K70" s="15"/>
      <c r="L70" s="15"/>
      <c r="M70" s="15"/>
      <c r="N70" s="15"/>
      <c r="O70" s="15"/>
      <c r="P70" s="15"/>
      <c r="Q70" s="15"/>
      <c r="R70" s="15"/>
      <c r="S70" s="15"/>
      <c r="T70" s="15"/>
      <c r="U70" s="14" t="str">
        <f t="shared" si="4"/>
        <v/>
      </c>
    </row>
    <row r="71" spans="1:21" ht="29" x14ac:dyDescent="0.35">
      <c r="A71" s="14">
        <v>4</v>
      </c>
      <c r="B71" s="14" t="s">
        <v>698</v>
      </c>
      <c r="C71" s="14" t="s">
        <v>699</v>
      </c>
      <c r="D71" s="14" t="s">
        <v>700</v>
      </c>
      <c r="E71" s="14" t="s">
        <v>69</v>
      </c>
      <c r="F71" s="14" t="s">
        <v>284</v>
      </c>
      <c r="G71" s="14" t="s">
        <v>691</v>
      </c>
      <c r="H71" s="14" t="s">
        <v>76</v>
      </c>
      <c r="I71" s="15"/>
      <c r="J71" s="15"/>
      <c r="K71" s="15"/>
      <c r="L71" s="15"/>
      <c r="M71" s="15"/>
      <c r="N71" s="15"/>
      <c r="O71" s="15"/>
      <c r="P71" s="15"/>
      <c r="Q71" s="15"/>
      <c r="R71" s="15"/>
      <c r="S71" s="15"/>
      <c r="T71" s="15"/>
      <c r="U71" s="14" t="str">
        <f t="shared" si="4"/>
        <v/>
      </c>
    </row>
    <row r="72" spans="1:21" ht="29" x14ac:dyDescent="0.35">
      <c r="A72" s="14">
        <v>5</v>
      </c>
      <c r="B72" s="14" t="s">
        <v>701</v>
      </c>
      <c r="C72" s="14" t="s">
        <v>702</v>
      </c>
      <c r="D72" s="14" t="s">
        <v>703</v>
      </c>
      <c r="E72" s="14" t="s">
        <v>69</v>
      </c>
      <c r="F72" s="14" t="s">
        <v>284</v>
      </c>
      <c r="G72" s="14" t="s">
        <v>691</v>
      </c>
      <c r="H72" s="14" t="s">
        <v>76</v>
      </c>
      <c r="I72" s="15"/>
      <c r="J72" s="15"/>
      <c r="K72" s="15"/>
      <c r="L72" s="15"/>
      <c r="M72" s="15"/>
      <c r="N72" s="15"/>
      <c r="O72" s="15"/>
      <c r="P72" s="15"/>
      <c r="Q72" s="15"/>
      <c r="R72" s="15"/>
      <c r="S72" s="15"/>
      <c r="T72" s="15"/>
      <c r="U72" s="14" t="str">
        <f t="shared" si="4"/>
        <v/>
      </c>
    </row>
    <row r="73" spans="1:21" ht="29" x14ac:dyDescent="0.35">
      <c r="A73" s="14">
        <v>6</v>
      </c>
      <c r="B73" s="14" t="s">
        <v>704</v>
      </c>
      <c r="C73" s="14" t="s">
        <v>705</v>
      </c>
      <c r="D73" s="14" t="s">
        <v>706</v>
      </c>
      <c r="E73" s="14" t="s">
        <v>69</v>
      </c>
      <c r="F73" s="14" t="s">
        <v>707</v>
      </c>
      <c r="G73" s="14" t="s">
        <v>691</v>
      </c>
      <c r="H73" s="14" t="s">
        <v>85</v>
      </c>
      <c r="I73" s="15"/>
      <c r="J73" s="15"/>
      <c r="K73" s="15"/>
      <c r="L73" s="15"/>
      <c r="M73" s="15"/>
      <c r="N73" s="15"/>
      <c r="O73" s="15"/>
      <c r="P73" s="15"/>
      <c r="Q73" s="15"/>
      <c r="R73" s="15"/>
      <c r="S73" s="15"/>
      <c r="T73" s="15"/>
      <c r="U73" s="14" t="str">
        <f t="shared" si="4"/>
        <v/>
      </c>
    </row>
    <row r="74" spans="1:21" ht="29" x14ac:dyDescent="0.35">
      <c r="A74" s="14">
        <v>7</v>
      </c>
      <c r="B74" s="14" t="s">
        <v>708</v>
      </c>
      <c r="C74" s="14" t="s">
        <v>709</v>
      </c>
      <c r="D74" s="14" t="s">
        <v>710</v>
      </c>
      <c r="E74" s="14" t="s">
        <v>69</v>
      </c>
      <c r="F74" s="14" t="s">
        <v>711</v>
      </c>
      <c r="G74" s="14" t="s">
        <v>691</v>
      </c>
      <c r="H74" s="14" t="s">
        <v>76</v>
      </c>
      <c r="I74" s="15"/>
      <c r="J74" s="15"/>
      <c r="K74" s="15"/>
      <c r="L74" s="15"/>
      <c r="M74" s="15"/>
      <c r="N74" s="15"/>
      <c r="O74" s="15"/>
      <c r="P74" s="15"/>
      <c r="Q74" s="15"/>
      <c r="R74" s="15"/>
      <c r="S74" s="15"/>
      <c r="T74" s="15"/>
      <c r="U74" s="14" t="str">
        <f t="shared" si="4"/>
        <v/>
      </c>
    </row>
    <row r="75" spans="1:21" ht="29" x14ac:dyDescent="0.35">
      <c r="A75" s="14">
        <v>8</v>
      </c>
      <c r="B75" s="14" t="s">
        <v>712</v>
      </c>
      <c r="C75" s="14" t="s">
        <v>713</v>
      </c>
      <c r="D75" s="14" t="s">
        <v>714</v>
      </c>
      <c r="E75" s="14" t="s">
        <v>69</v>
      </c>
      <c r="F75" s="14" t="s">
        <v>167</v>
      </c>
      <c r="G75" s="14" t="s">
        <v>691</v>
      </c>
      <c r="H75" s="14" t="s">
        <v>76</v>
      </c>
      <c r="I75" s="15"/>
      <c r="J75" s="15"/>
      <c r="K75" s="15"/>
      <c r="L75" s="15"/>
      <c r="M75" s="15"/>
      <c r="N75" s="15"/>
      <c r="O75" s="15"/>
      <c r="P75" s="15"/>
      <c r="Q75" s="15"/>
      <c r="R75" s="15"/>
      <c r="S75" s="15"/>
      <c r="T75" s="15"/>
      <c r="U75" s="14" t="str">
        <f t="shared" si="4"/>
        <v/>
      </c>
    </row>
    <row r="76" spans="1:21" ht="29" x14ac:dyDescent="0.35">
      <c r="A76" s="14">
        <v>9</v>
      </c>
      <c r="B76" s="14" t="s">
        <v>715</v>
      </c>
      <c r="C76" s="14" t="s">
        <v>716</v>
      </c>
      <c r="D76" s="14" t="s">
        <v>717</v>
      </c>
      <c r="E76" s="14" t="s">
        <v>69</v>
      </c>
      <c r="F76" s="14" t="s">
        <v>95</v>
      </c>
      <c r="G76" s="14" t="s">
        <v>691</v>
      </c>
      <c r="H76" s="14" t="s">
        <v>59</v>
      </c>
      <c r="I76" s="15"/>
      <c r="J76" s="15"/>
      <c r="K76" s="15"/>
      <c r="L76" s="15"/>
      <c r="M76" s="15"/>
      <c r="N76" s="15"/>
      <c r="O76" s="15"/>
      <c r="P76" s="15"/>
      <c r="Q76" s="15"/>
      <c r="R76" s="15"/>
      <c r="S76" s="15"/>
      <c r="T76" s="15"/>
      <c r="U76" s="14" t="str">
        <f t="shared" si="4"/>
        <v/>
      </c>
    </row>
    <row r="77" spans="1:21" ht="29" x14ac:dyDescent="0.35">
      <c r="A77" s="14">
        <v>10</v>
      </c>
      <c r="B77" s="14" t="s">
        <v>718</v>
      </c>
      <c r="C77" s="14" t="s">
        <v>719</v>
      </c>
      <c r="D77" s="14" t="s">
        <v>720</v>
      </c>
      <c r="E77" s="14" t="s">
        <v>69</v>
      </c>
      <c r="F77" s="14" t="s">
        <v>167</v>
      </c>
      <c r="G77" s="14" t="s">
        <v>691</v>
      </c>
      <c r="H77" s="14" t="s">
        <v>59</v>
      </c>
      <c r="I77" s="15"/>
      <c r="J77" s="15"/>
      <c r="K77" s="15"/>
      <c r="L77" s="15"/>
      <c r="M77" s="15"/>
      <c r="N77" s="15"/>
      <c r="O77" s="15"/>
      <c r="P77" s="15"/>
      <c r="Q77" s="15"/>
      <c r="R77" s="15"/>
      <c r="S77" s="15"/>
      <c r="T77" s="15"/>
      <c r="U77" s="14" t="str">
        <f t="shared" si="4"/>
        <v/>
      </c>
    </row>
    <row r="78" spans="1:21" ht="29" x14ac:dyDescent="0.35">
      <c r="A78" s="14">
        <v>11</v>
      </c>
      <c r="B78" s="14" t="s">
        <v>721</v>
      </c>
      <c r="C78" s="14" t="s">
        <v>722</v>
      </c>
      <c r="D78" s="14" t="s">
        <v>723</v>
      </c>
      <c r="E78" s="14" t="s">
        <v>690</v>
      </c>
      <c r="F78" s="14" t="s">
        <v>167</v>
      </c>
      <c r="G78" s="14" t="s">
        <v>691</v>
      </c>
      <c r="H78" s="14" t="s">
        <v>59</v>
      </c>
      <c r="I78" s="15"/>
      <c r="J78" s="15"/>
      <c r="K78" s="15"/>
      <c r="L78" s="15"/>
      <c r="M78" s="15"/>
      <c r="N78" s="15"/>
      <c r="O78" s="15"/>
      <c r="P78" s="15"/>
      <c r="Q78" s="15"/>
      <c r="R78" s="15"/>
      <c r="S78" s="15"/>
      <c r="T78" s="15"/>
      <c r="U78" s="14" t="str">
        <f t="shared" si="4"/>
        <v/>
      </c>
    </row>
    <row r="79" spans="1:21" ht="29" x14ac:dyDescent="0.35">
      <c r="A79" s="14">
        <v>12</v>
      </c>
      <c r="B79" s="14" t="s">
        <v>724</v>
      </c>
      <c r="C79" s="14" t="s">
        <v>725</v>
      </c>
      <c r="D79" s="14" t="s">
        <v>726</v>
      </c>
      <c r="E79" s="14" t="s">
        <v>690</v>
      </c>
      <c r="F79" s="14" t="s">
        <v>167</v>
      </c>
      <c r="G79" s="14" t="s">
        <v>691</v>
      </c>
      <c r="H79" s="14" t="s">
        <v>59</v>
      </c>
      <c r="I79" s="15"/>
      <c r="J79" s="15"/>
      <c r="K79" s="15"/>
      <c r="L79" s="15"/>
      <c r="M79" s="15"/>
      <c r="N79" s="15"/>
      <c r="O79" s="15"/>
      <c r="P79" s="15"/>
      <c r="Q79" s="15"/>
      <c r="R79" s="15"/>
      <c r="S79" s="15"/>
      <c r="T79" s="15"/>
      <c r="U79" s="14" t="str">
        <f t="shared" si="4"/>
        <v/>
      </c>
    </row>
    <row r="80" spans="1:21" ht="29" x14ac:dyDescent="0.35">
      <c r="A80" s="14">
        <v>13</v>
      </c>
      <c r="B80" s="14" t="s">
        <v>727</v>
      </c>
      <c r="C80" s="14" t="s">
        <v>728</v>
      </c>
      <c r="D80" s="14" t="s">
        <v>729</v>
      </c>
      <c r="E80" s="14" t="s">
        <v>690</v>
      </c>
      <c r="F80" s="14" t="s">
        <v>167</v>
      </c>
      <c r="G80" s="14" t="s">
        <v>691</v>
      </c>
      <c r="H80" s="14" t="s">
        <v>59</v>
      </c>
      <c r="I80" s="15"/>
      <c r="J80" s="15"/>
      <c r="K80" s="15"/>
      <c r="L80" s="15"/>
      <c r="M80" s="15"/>
      <c r="N80" s="15"/>
      <c r="O80" s="15"/>
      <c r="P80" s="15"/>
      <c r="Q80" s="15"/>
      <c r="R80" s="15"/>
      <c r="S80" s="15"/>
      <c r="T80" s="15"/>
      <c r="U80" s="14" t="str">
        <f t="shared" si="4"/>
        <v/>
      </c>
    </row>
    <row r="81" spans="1:21" ht="29" x14ac:dyDescent="0.35">
      <c r="A81" s="14">
        <v>14</v>
      </c>
      <c r="B81" s="14" t="s">
        <v>730</v>
      </c>
      <c r="C81" s="14" t="s">
        <v>731</v>
      </c>
      <c r="D81" s="14" t="s">
        <v>732</v>
      </c>
      <c r="E81" s="14" t="s">
        <v>690</v>
      </c>
      <c r="F81" s="14" t="s">
        <v>167</v>
      </c>
      <c r="G81" s="14" t="s">
        <v>691</v>
      </c>
      <c r="H81" s="14" t="s">
        <v>59</v>
      </c>
      <c r="I81" s="15"/>
      <c r="J81" s="15"/>
      <c r="K81" s="15"/>
      <c r="L81" s="15"/>
      <c r="M81" s="15"/>
      <c r="N81" s="15"/>
      <c r="O81" s="15"/>
      <c r="P81" s="15"/>
      <c r="Q81" s="15"/>
      <c r="R81" s="15"/>
      <c r="S81" s="15"/>
      <c r="T81" s="15"/>
      <c r="U81" s="14" t="str">
        <f t="shared" si="4"/>
        <v/>
      </c>
    </row>
    <row r="82" spans="1:21" ht="29" x14ac:dyDescent="0.35">
      <c r="A82" s="14">
        <v>15</v>
      </c>
      <c r="B82" s="14" t="s">
        <v>733</v>
      </c>
      <c r="C82" s="14" t="s">
        <v>734</v>
      </c>
      <c r="D82" s="14" t="s">
        <v>735</v>
      </c>
      <c r="E82" s="14" t="s">
        <v>69</v>
      </c>
      <c r="F82" s="14" t="s">
        <v>95</v>
      </c>
      <c r="G82" s="14" t="s">
        <v>691</v>
      </c>
      <c r="H82" s="14" t="s">
        <v>76</v>
      </c>
      <c r="I82" s="15"/>
      <c r="J82" s="15"/>
      <c r="K82" s="15"/>
      <c r="L82" s="15"/>
      <c r="M82" s="15"/>
      <c r="N82" s="15"/>
      <c r="O82" s="15"/>
      <c r="P82" s="15"/>
      <c r="Q82" s="15"/>
      <c r="R82" s="15"/>
      <c r="S82" s="15"/>
      <c r="T82" s="15"/>
      <c r="U82" s="14" t="str">
        <f t="shared" si="4"/>
        <v/>
      </c>
    </row>
    <row r="83" spans="1:21" ht="29" x14ac:dyDescent="0.35">
      <c r="A83" s="14">
        <v>16</v>
      </c>
      <c r="B83" s="14" t="s">
        <v>736</v>
      </c>
      <c r="C83" s="14" t="s">
        <v>737</v>
      </c>
      <c r="D83" s="14" t="s">
        <v>738</v>
      </c>
      <c r="E83" s="14" t="s">
        <v>690</v>
      </c>
      <c r="F83" s="14" t="s">
        <v>167</v>
      </c>
      <c r="G83" s="14" t="s">
        <v>691</v>
      </c>
      <c r="H83" s="14" t="s">
        <v>59</v>
      </c>
      <c r="I83" s="15"/>
      <c r="J83" s="15"/>
      <c r="K83" s="15"/>
      <c r="L83" s="15"/>
      <c r="M83" s="15"/>
      <c r="N83" s="15"/>
      <c r="O83" s="15"/>
      <c r="P83" s="15"/>
      <c r="Q83" s="15"/>
      <c r="R83" s="15"/>
      <c r="S83" s="15"/>
      <c r="T83" s="15"/>
      <c r="U83" s="14" t="str">
        <f t="shared" si="4"/>
        <v/>
      </c>
    </row>
    <row r="84" spans="1:21" ht="29" x14ac:dyDescent="0.35">
      <c r="A84" s="14">
        <v>17</v>
      </c>
      <c r="B84" s="14" t="s">
        <v>739</v>
      </c>
      <c r="C84" s="14" t="s">
        <v>740</v>
      </c>
      <c r="D84" s="14" t="s">
        <v>741</v>
      </c>
      <c r="E84" s="14" t="s">
        <v>69</v>
      </c>
      <c r="F84" s="14" t="s">
        <v>95</v>
      </c>
      <c r="G84" s="14" t="s">
        <v>691</v>
      </c>
      <c r="H84" s="14" t="s">
        <v>59</v>
      </c>
      <c r="I84" s="15"/>
      <c r="J84" s="15"/>
      <c r="K84" s="15"/>
      <c r="L84" s="15"/>
      <c r="M84" s="15"/>
      <c r="N84" s="15"/>
      <c r="O84" s="15"/>
      <c r="P84" s="15"/>
      <c r="Q84" s="15"/>
      <c r="R84" s="15"/>
      <c r="S84" s="15"/>
      <c r="T84" s="15"/>
      <c r="U84" s="14" t="str">
        <f t="shared" si="4"/>
        <v/>
      </c>
    </row>
    <row r="87" spans="1:21" ht="22" customHeight="1" x14ac:dyDescent="0.35">
      <c r="A87" s="26" t="s">
        <v>744</v>
      </c>
      <c r="B87" s="23"/>
      <c r="C87" s="23"/>
      <c r="D87" s="23"/>
      <c r="E87" s="23"/>
      <c r="F87" s="23"/>
      <c r="G87" s="23"/>
      <c r="H87" s="23"/>
      <c r="I87" s="23"/>
      <c r="J87" s="23"/>
      <c r="K87" s="23"/>
      <c r="L87" s="23"/>
      <c r="M87" s="23"/>
      <c r="N87" s="23"/>
      <c r="O87" s="23"/>
      <c r="P87" s="23"/>
      <c r="Q87" s="23"/>
      <c r="R87" s="23"/>
      <c r="S87" s="23"/>
      <c r="T87" s="23"/>
      <c r="U87" s="23"/>
    </row>
    <row r="88" spans="1:21" x14ac:dyDescent="0.35">
      <c r="A88" t="s">
        <v>31</v>
      </c>
      <c r="B88" t="s">
        <v>21</v>
      </c>
      <c r="C88" t="s">
        <v>32</v>
      </c>
      <c r="E88" t="s">
        <v>33</v>
      </c>
    </row>
    <row r="89" spans="1:21" ht="29" x14ac:dyDescent="0.35">
      <c r="A89" s="11" t="s">
        <v>34</v>
      </c>
      <c r="B89" s="11" t="s">
        <v>35</v>
      </c>
      <c r="C89" s="11" t="s">
        <v>36</v>
      </c>
      <c r="D89" s="11" t="s">
        <v>37</v>
      </c>
      <c r="E89" s="11" t="s">
        <v>38</v>
      </c>
      <c r="F89" s="11" t="s">
        <v>39</v>
      </c>
      <c r="G89" s="11" t="s">
        <v>40</v>
      </c>
      <c r="H89" s="11" t="s">
        <v>41</v>
      </c>
      <c r="I89" s="11" t="s">
        <v>42</v>
      </c>
      <c r="J89" s="11" t="s">
        <v>43</v>
      </c>
      <c r="K89" s="11" t="s">
        <v>44</v>
      </c>
      <c r="L89" s="11" t="s">
        <v>45</v>
      </c>
      <c r="M89" s="11" t="s">
        <v>46</v>
      </c>
      <c r="N89" s="11" t="s">
        <v>47</v>
      </c>
      <c r="O89" s="11" t="s">
        <v>48</v>
      </c>
      <c r="P89" s="11" t="s">
        <v>4</v>
      </c>
      <c r="Q89" s="11" t="s">
        <v>49</v>
      </c>
      <c r="R89" s="11" t="s">
        <v>50</v>
      </c>
      <c r="S89" s="11" t="s">
        <v>51</v>
      </c>
      <c r="T89" s="11" t="s">
        <v>52</v>
      </c>
      <c r="U89" s="11" t="s">
        <v>10</v>
      </c>
    </row>
    <row r="90" spans="1:21" ht="29" x14ac:dyDescent="0.35">
      <c r="A90" s="14">
        <v>1</v>
      </c>
      <c r="B90" s="14" t="s">
        <v>687</v>
      </c>
      <c r="C90" s="14" t="s">
        <v>688</v>
      </c>
      <c r="D90" s="14" t="s">
        <v>689</v>
      </c>
      <c r="E90" s="14" t="s">
        <v>690</v>
      </c>
      <c r="F90" s="14" t="s">
        <v>167</v>
      </c>
      <c r="G90" s="14" t="s">
        <v>691</v>
      </c>
      <c r="H90" s="14" t="s">
        <v>59</v>
      </c>
      <c r="I90" s="15"/>
      <c r="J90" s="15"/>
      <c r="K90" s="15"/>
      <c r="L90" s="15"/>
      <c r="M90" s="15"/>
      <c r="N90" s="15"/>
      <c r="O90" s="15"/>
      <c r="P90" s="15"/>
      <c r="Q90" s="15"/>
      <c r="R90" s="15"/>
      <c r="S90" s="15"/>
      <c r="T90" s="15"/>
      <c r="U90" s="14" t="str">
        <f t="shared" ref="U90:U106" si="5">IF(I90="","",IF(I90="NA","Grey",IF(I90=2,"Green",IF(I90=1,"Amber","Red"))))</f>
        <v/>
      </c>
    </row>
    <row r="91" spans="1:21" ht="29" x14ac:dyDescent="0.35">
      <c r="A91" s="14">
        <v>2</v>
      </c>
      <c r="B91" s="14" t="s">
        <v>692</v>
      </c>
      <c r="C91" s="14" t="s">
        <v>693</v>
      </c>
      <c r="D91" s="14" t="s">
        <v>694</v>
      </c>
      <c r="E91" s="14" t="s">
        <v>69</v>
      </c>
      <c r="F91" s="14" t="s">
        <v>167</v>
      </c>
      <c r="G91" s="14" t="s">
        <v>691</v>
      </c>
      <c r="H91" s="14" t="s">
        <v>76</v>
      </c>
      <c r="I91" s="15"/>
      <c r="J91" s="15"/>
      <c r="K91" s="15"/>
      <c r="L91" s="15"/>
      <c r="M91" s="15"/>
      <c r="N91" s="15"/>
      <c r="O91" s="15"/>
      <c r="P91" s="15"/>
      <c r="Q91" s="15"/>
      <c r="R91" s="15"/>
      <c r="S91" s="15"/>
      <c r="T91" s="15"/>
      <c r="U91" s="14" t="str">
        <f t="shared" si="5"/>
        <v/>
      </c>
    </row>
    <row r="92" spans="1:21" ht="29" x14ac:dyDescent="0.35">
      <c r="A92" s="14">
        <v>3</v>
      </c>
      <c r="B92" s="14" t="s">
        <v>695</v>
      </c>
      <c r="C92" s="14" t="s">
        <v>696</v>
      </c>
      <c r="D92" s="14" t="s">
        <v>697</v>
      </c>
      <c r="E92" s="14" t="s">
        <v>69</v>
      </c>
      <c r="F92" s="14" t="s">
        <v>284</v>
      </c>
      <c r="G92" s="14" t="s">
        <v>691</v>
      </c>
      <c r="H92" s="14" t="s">
        <v>76</v>
      </c>
      <c r="I92" s="15"/>
      <c r="J92" s="15"/>
      <c r="K92" s="15"/>
      <c r="L92" s="15"/>
      <c r="M92" s="15"/>
      <c r="N92" s="15"/>
      <c r="O92" s="15"/>
      <c r="P92" s="15"/>
      <c r="Q92" s="15"/>
      <c r="R92" s="15"/>
      <c r="S92" s="15"/>
      <c r="T92" s="15"/>
      <c r="U92" s="14" t="str">
        <f t="shared" si="5"/>
        <v/>
      </c>
    </row>
    <row r="93" spans="1:21" ht="29" x14ac:dyDescent="0.35">
      <c r="A93" s="14">
        <v>4</v>
      </c>
      <c r="B93" s="14" t="s">
        <v>698</v>
      </c>
      <c r="C93" s="14" t="s">
        <v>699</v>
      </c>
      <c r="D93" s="14" t="s">
        <v>700</v>
      </c>
      <c r="E93" s="14" t="s">
        <v>69</v>
      </c>
      <c r="F93" s="14" t="s">
        <v>284</v>
      </c>
      <c r="G93" s="14" t="s">
        <v>691</v>
      </c>
      <c r="H93" s="14" t="s">
        <v>76</v>
      </c>
      <c r="I93" s="15"/>
      <c r="J93" s="15"/>
      <c r="K93" s="15"/>
      <c r="L93" s="15"/>
      <c r="M93" s="15"/>
      <c r="N93" s="15"/>
      <c r="O93" s="15"/>
      <c r="P93" s="15"/>
      <c r="Q93" s="15"/>
      <c r="R93" s="15"/>
      <c r="S93" s="15"/>
      <c r="T93" s="15"/>
      <c r="U93" s="14" t="str">
        <f t="shared" si="5"/>
        <v/>
      </c>
    </row>
    <row r="94" spans="1:21" ht="29" x14ac:dyDescent="0.35">
      <c r="A94" s="14">
        <v>5</v>
      </c>
      <c r="B94" s="14" t="s">
        <v>701</v>
      </c>
      <c r="C94" s="14" t="s">
        <v>702</v>
      </c>
      <c r="D94" s="14" t="s">
        <v>703</v>
      </c>
      <c r="E94" s="14" t="s">
        <v>69</v>
      </c>
      <c r="F94" s="14" t="s">
        <v>284</v>
      </c>
      <c r="G94" s="14" t="s">
        <v>691</v>
      </c>
      <c r="H94" s="14" t="s">
        <v>76</v>
      </c>
      <c r="I94" s="15"/>
      <c r="J94" s="15"/>
      <c r="K94" s="15"/>
      <c r="L94" s="15"/>
      <c r="M94" s="15"/>
      <c r="N94" s="15"/>
      <c r="O94" s="15"/>
      <c r="P94" s="15"/>
      <c r="Q94" s="15"/>
      <c r="R94" s="15"/>
      <c r="S94" s="15"/>
      <c r="T94" s="15"/>
      <c r="U94" s="14" t="str">
        <f t="shared" si="5"/>
        <v/>
      </c>
    </row>
    <row r="95" spans="1:21" ht="29" x14ac:dyDescent="0.35">
      <c r="A95" s="14">
        <v>6</v>
      </c>
      <c r="B95" s="14" t="s">
        <v>704</v>
      </c>
      <c r="C95" s="14" t="s">
        <v>705</v>
      </c>
      <c r="D95" s="14" t="s">
        <v>706</v>
      </c>
      <c r="E95" s="14" t="s">
        <v>69</v>
      </c>
      <c r="F95" s="14" t="s">
        <v>707</v>
      </c>
      <c r="G95" s="14" t="s">
        <v>691</v>
      </c>
      <c r="H95" s="14" t="s">
        <v>85</v>
      </c>
      <c r="I95" s="15"/>
      <c r="J95" s="15"/>
      <c r="K95" s="15"/>
      <c r="L95" s="15"/>
      <c r="M95" s="15"/>
      <c r="N95" s="15"/>
      <c r="O95" s="15"/>
      <c r="P95" s="15"/>
      <c r="Q95" s="15"/>
      <c r="R95" s="15"/>
      <c r="S95" s="15"/>
      <c r="T95" s="15"/>
      <c r="U95" s="14" t="str">
        <f t="shared" si="5"/>
        <v/>
      </c>
    </row>
    <row r="96" spans="1:21" ht="29" x14ac:dyDescent="0.35">
      <c r="A96" s="14">
        <v>7</v>
      </c>
      <c r="B96" s="14" t="s">
        <v>708</v>
      </c>
      <c r="C96" s="14" t="s">
        <v>709</v>
      </c>
      <c r="D96" s="14" t="s">
        <v>710</v>
      </c>
      <c r="E96" s="14" t="s">
        <v>69</v>
      </c>
      <c r="F96" s="14" t="s">
        <v>711</v>
      </c>
      <c r="G96" s="14" t="s">
        <v>691</v>
      </c>
      <c r="H96" s="14" t="s">
        <v>76</v>
      </c>
      <c r="I96" s="15"/>
      <c r="J96" s="15"/>
      <c r="K96" s="15"/>
      <c r="L96" s="15"/>
      <c r="M96" s="15"/>
      <c r="N96" s="15"/>
      <c r="O96" s="15"/>
      <c r="P96" s="15"/>
      <c r="Q96" s="15"/>
      <c r="R96" s="15"/>
      <c r="S96" s="15"/>
      <c r="T96" s="15"/>
      <c r="U96" s="14" t="str">
        <f t="shared" si="5"/>
        <v/>
      </c>
    </row>
    <row r="97" spans="1:21" ht="29" x14ac:dyDescent="0.35">
      <c r="A97" s="14">
        <v>8</v>
      </c>
      <c r="B97" s="14" t="s">
        <v>712</v>
      </c>
      <c r="C97" s="14" t="s">
        <v>713</v>
      </c>
      <c r="D97" s="14" t="s">
        <v>714</v>
      </c>
      <c r="E97" s="14" t="s">
        <v>69</v>
      </c>
      <c r="F97" s="14" t="s">
        <v>167</v>
      </c>
      <c r="G97" s="14" t="s">
        <v>691</v>
      </c>
      <c r="H97" s="14" t="s">
        <v>76</v>
      </c>
      <c r="I97" s="15"/>
      <c r="J97" s="15"/>
      <c r="K97" s="15"/>
      <c r="L97" s="15"/>
      <c r="M97" s="15"/>
      <c r="N97" s="15"/>
      <c r="O97" s="15"/>
      <c r="P97" s="15"/>
      <c r="Q97" s="15"/>
      <c r="R97" s="15"/>
      <c r="S97" s="15"/>
      <c r="T97" s="15"/>
      <c r="U97" s="14" t="str">
        <f t="shared" si="5"/>
        <v/>
      </c>
    </row>
    <row r="98" spans="1:21" ht="29" x14ac:dyDescent="0.35">
      <c r="A98" s="14">
        <v>9</v>
      </c>
      <c r="B98" s="14" t="s">
        <v>715</v>
      </c>
      <c r="C98" s="14" t="s">
        <v>716</v>
      </c>
      <c r="D98" s="14" t="s">
        <v>717</v>
      </c>
      <c r="E98" s="14" t="s">
        <v>69</v>
      </c>
      <c r="F98" s="14" t="s">
        <v>95</v>
      </c>
      <c r="G98" s="14" t="s">
        <v>691</v>
      </c>
      <c r="H98" s="14" t="s">
        <v>59</v>
      </c>
      <c r="I98" s="15"/>
      <c r="J98" s="15"/>
      <c r="K98" s="15"/>
      <c r="L98" s="15"/>
      <c r="M98" s="15"/>
      <c r="N98" s="15"/>
      <c r="O98" s="15"/>
      <c r="P98" s="15"/>
      <c r="Q98" s="15"/>
      <c r="R98" s="15"/>
      <c r="S98" s="15"/>
      <c r="T98" s="15"/>
      <c r="U98" s="14" t="str">
        <f t="shared" si="5"/>
        <v/>
      </c>
    </row>
    <row r="99" spans="1:21" ht="29" x14ac:dyDescent="0.35">
      <c r="A99" s="14">
        <v>10</v>
      </c>
      <c r="B99" s="14" t="s">
        <v>718</v>
      </c>
      <c r="C99" s="14" t="s">
        <v>719</v>
      </c>
      <c r="D99" s="14" t="s">
        <v>720</v>
      </c>
      <c r="E99" s="14" t="s">
        <v>69</v>
      </c>
      <c r="F99" s="14" t="s">
        <v>167</v>
      </c>
      <c r="G99" s="14" t="s">
        <v>691</v>
      </c>
      <c r="H99" s="14" t="s">
        <v>59</v>
      </c>
      <c r="I99" s="15"/>
      <c r="J99" s="15"/>
      <c r="K99" s="15"/>
      <c r="L99" s="15"/>
      <c r="M99" s="15"/>
      <c r="N99" s="15"/>
      <c r="O99" s="15"/>
      <c r="P99" s="15"/>
      <c r="Q99" s="15"/>
      <c r="R99" s="15"/>
      <c r="S99" s="15"/>
      <c r="T99" s="15"/>
      <c r="U99" s="14" t="str">
        <f t="shared" si="5"/>
        <v/>
      </c>
    </row>
    <row r="100" spans="1:21" ht="29" x14ac:dyDescent="0.35">
      <c r="A100" s="14">
        <v>11</v>
      </c>
      <c r="B100" s="14" t="s">
        <v>721</v>
      </c>
      <c r="C100" s="14" t="s">
        <v>722</v>
      </c>
      <c r="D100" s="14" t="s">
        <v>723</v>
      </c>
      <c r="E100" s="14" t="s">
        <v>690</v>
      </c>
      <c r="F100" s="14" t="s">
        <v>167</v>
      </c>
      <c r="G100" s="14" t="s">
        <v>691</v>
      </c>
      <c r="H100" s="14" t="s">
        <v>59</v>
      </c>
      <c r="I100" s="15"/>
      <c r="J100" s="15"/>
      <c r="K100" s="15"/>
      <c r="L100" s="15"/>
      <c r="M100" s="15"/>
      <c r="N100" s="15"/>
      <c r="O100" s="15"/>
      <c r="P100" s="15"/>
      <c r="Q100" s="15"/>
      <c r="R100" s="15"/>
      <c r="S100" s="15"/>
      <c r="T100" s="15"/>
      <c r="U100" s="14" t="str">
        <f t="shared" si="5"/>
        <v/>
      </c>
    </row>
    <row r="101" spans="1:21" ht="29" x14ac:dyDescent="0.35">
      <c r="A101" s="14">
        <v>12</v>
      </c>
      <c r="B101" s="14" t="s">
        <v>724</v>
      </c>
      <c r="C101" s="14" t="s">
        <v>725</v>
      </c>
      <c r="D101" s="14" t="s">
        <v>726</v>
      </c>
      <c r="E101" s="14" t="s">
        <v>690</v>
      </c>
      <c r="F101" s="14" t="s">
        <v>167</v>
      </c>
      <c r="G101" s="14" t="s">
        <v>691</v>
      </c>
      <c r="H101" s="14" t="s">
        <v>59</v>
      </c>
      <c r="I101" s="15"/>
      <c r="J101" s="15"/>
      <c r="K101" s="15"/>
      <c r="L101" s="15"/>
      <c r="M101" s="15"/>
      <c r="N101" s="15"/>
      <c r="O101" s="15"/>
      <c r="P101" s="15"/>
      <c r="Q101" s="15"/>
      <c r="R101" s="15"/>
      <c r="S101" s="15"/>
      <c r="T101" s="15"/>
      <c r="U101" s="14" t="str">
        <f t="shared" si="5"/>
        <v/>
      </c>
    </row>
    <row r="102" spans="1:21" ht="29" x14ac:dyDescent="0.35">
      <c r="A102" s="14">
        <v>13</v>
      </c>
      <c r="B102" s="14" t="s">
        <v>727</v>
      </c>
      <c r="C102" s="14" t="s">
        <v>728</v>
      </c>
      <c r="D102" s="14" t="s">
        <v>729</v>
      </c>
      <c r="E102" s="14" t="s">
        <v>690</v>
      </c>
      <c r="F102" s="14" t="s">
        <v>167</v>
      </c>
      <c r="G102" s="14" t="s">
        <v>691</v>
      </c>
      <c r="H102" s="14" t="s">
        <v>59</v>
      </c>
      <c r="I102" s="15"/>
      <c r="J102" s="15"/>
      <c r="K102" s="15"/>
      <c r="L102" s="15"/>
      <c r="M102" s="15"/>
      <c r="N102" s="15"/>
      <c r="O102" s="15"/>
      <c r="P102" s="15"/>
      <c r="Q102" s="15"/>
      <c r="R102" s="15"/>
      <c r="S102" s="15"/>
      <c r="T102" s="15"/>
      <c r="U102" s="14" t="str">
        <f t="shared" si="5"/>
        <v/>
      </c>
    </row>
    <row r="103" spans="1:21" ht="29" x14ac:dyDescent="0.35">
      <c r="A103" s="14">
        <v>14</v>
      </c>
      <c r="B103" s="14" t="s">
        <v>730</v>
      </c>
      <c r="C103" s="14" t="s">
        <v>731</v>
      </c>
      <c r="D103" s="14" t="s">
        <v>732</v>
      </c>
      <c r="E103" s="14" t="s">
        <v>690</v>
      </c>
      <c r="F103" s="14" t="s">
        <v>167</v>
      </c>
      <c r="G103" s="14" t="s">
        <v>691</v>
      </c>
      <c r="H103" s="14" t="s">
        <v>59</v>
      </c>
      <c r="I103" s="15"/>
      <c r="J103" s="15"/>
      <c r="K103" s="15"/>
      <c r="L103" s="15"/>
      <c r="M103" s="15"/>
      <c r="N103" s="15"/>
      <c r="O103" s="15"/>
      <c r="P103" s="15"/>
      <c r="Q103" s="15"/>
      <c r="R103" s="15"/>
      <c r="S103" s="15"/>
      <c r="T103" s="15"/>
      <c r="U103" s="14" t="str">
        <f t="shared" si="5"/>
        <v/>
      </c>
    </row>
    <row r="104" spans="1:21" ht="29" x14ac:dyDescent="0.35">
      <c r="A104" s="14">
        <v>15</v>
      </c>
      <c r="B104" s="14" t="s">
        <v>733</v>
      </c>
      <c r="C104" s="14" t="s">
        <v>734</v>
      </c>
      <c r="D104" s="14" t="s">
        <v>735</v>
      </c>
      <c r="E104" s="14" t="s">
        <v>69</v>
      </c>
      <c r="F104" s="14" t="s">
        <v>95</v>
      </c>
      <c r="G104" s="14" t="s">
        <v>691</v>
      </c>
      <c r="H104" s="14" t="s">
        <v>76</v>
      </c>
      <c r="I104" s="15"/>
      <c r="J104" s="15"/>
      <c r="K104" s="15"/>
      <c r="L104" s="15"/>
      <c r="M104" s="15"/>
      <c r="N104" s="15"/>
      <c r="O104" s="15"/>
      <c r="P104" s="15"/>
      <c r="Q104" s="15"/>
      <c r="R104" s="15"/>
      <c r="S104" s="15"/>
      <c r="T104" s="15"/>
      <c r="U104" s="14" t="str">
        <f t="shared" si="5"/>
        <v/>
      </c>
    </row>
    <row r="105" spans="1:21" ht="29" x14ac:dyDescent="0.35">
      <c r="A105" s="14">
        <v>16</v>
      </c>
      <c r="B105" s="14" t="s">
        <v>736</v>
      </c>
      <c r="C105" s="14" t="s">
        <v>737</v>
      </c>
      <c r="D105" s="14" t="s">
        <v>738</v>
      </c>
      <c r="E105" s="14" t="s">
        <v>690</v>
      </c>
      <c r="F105" s="14" t="s">
        <v>167</v>
      </c>
      <c r="G105" s="14" t="s">
        <v>691</v>
      </c>
      <c r="H105" s="14" t="s">
        <v>59</v>
      </c>
      <c r="I105" s="15"/>
      <c r="J105" s="15"/>
      <c r="K105" s="15"/>
      <c r="L105" s="15"/>
      <c r="M105" s="15"/>
      <c r="N105" s="15"/>
      <c r="O105" s="15"/>
      <c r="P105" s="15"/>
      <c r="Q105" s="15"/>
      <c r="R105" s="15"/>
      <c r="S105" s="15"/>
      <c r="T105" s="15"/>
      <c r="U105" s="14" t="str">
        <f t="shared" si="5"/>
        <v/>
      </c>
    </row>
    <row r="106" spans="1:21" ht="29" x14ac:dyDescent="0.35">
      <c r="A106" s="14">
        <v>17</v>
      </c>
      <c r="B106" s="14" t="s">
        <v>739</v>
      </c>
      <c r="C106" s="14" t="s">
        <v>740</v>
      </c>
      <c r="D106" s="14" t="s">
        <v>741</v>
      </c>
      <c r="E106" s="14" t="s">
        <v>69</v>
      </c>
      <c r="F106" s="14" t="s">
        <v>95</v>
      </c>
      <c r="G106" s="14" t="s">
        <v>691</v>
      </c>
      <c r="H106" s="14" t="s">
        <v>59</v>
      </c>
      <c r="I106" s="15"/>
      <c r="J106" s="15"/>
      <c r="K106" s="15"/>
      <c r="L106" s="15"/>
      <c r="M106" s="15"/>
      <c r="N106" s="15"/>
      <c r="O106" s="15"/>
      <c r="P106" s="15"/>
      <c r="Q106" s="15"/>
      <c r="R106" s="15"/>
      <c r="S106" s="15"/>
      <c r="T106" s="15"/>
      <c r="U106" s="14" t="str">
        <f t="shared" si="5"/>
        <v/>
      </c>
    </row>
    <row r="109" spans="1:21" ht="22" customHeight="1" x14ac:dyDescent="0.35">
      <c r="A109" s="26" t="s">
        <v>745</v>
      </c>
      <c r="B109" s="23"/>
      <c r="C109" s="23"/>
      <c r="D109" s="23"/>
      <c r="E109" s="23"/>
      <c r="F109" s="23"/>
      <c r="G109" s="23"/>
      <c r="H109" s="23"/>
      <c r="I109" s="23"/>
      <c r="J109" s="23"/>
      <c r="K109" s="23"/>
      <c r="L109" s="23"/>
      <c r="M109" s="23"/>
      <c r="N109" s="23"/>
      <c r="O109" s="23"/>
      <c r="P109" s="23"/>
      <c r="Q109" s="23"/>
      <c r="R109" s="23"/>
      <c r="S109" s="23"/>
      <c r="T109" s="23"/>
      <c r="U109" s="23"/>
    </row>
    <row r="110" spans="1:21" x14ac:dyDescent="0.35">
      <c r="A110" t="s">
        <v>31</v>
      </c>
      <c r="B110" t="s">
        <v>22</v>
      </c>
      <c r="C110" t="s">
        <v>32</v>
      </c>
      <c r="E110" t="s">
        <v>33</v>
      </c>
    </row>
    <row r="111" spans="1:21" ht="29" x14ac:dyDescent="0.35">
      <c r="A111" s="11" t="s">
        <v>34</v>
      </c>
      <c r="B111" s="11" t="s">
        <v>35</v>
      </c>
      <c r="C111" s="11" t="s">
        <v>36</v>
      </c>
      <c r="D111" s="11" t="s">
        <v>37</v>
      </c>
      <c r="E111" s="11" t="s">
        <v>38</v>
      </c>
      <c r="F111" s="11" t="s">
        <v>39</v>
      </c>
      <c r="G111" s="11" t="s">
        <v>40</v>
      </c>
      <c r="H111" s="11" t="s">
        <v>41</v>
      </c>
      <c r="I111" s="11" t="s">
        <v>42</v>
      </c>
      <c r="J111" s="11" t="s">
        <v>43</v>
      </c>
      <c r="K111" s="11" t="s">
        <v>44</v>
      </c>
      <c r="L111" s="11" t="s">
        <v>45</v>
      </c>
      <c r="M111" s="11" t="s">
        <v>46</v>
      </c>
      <c r="N111" s="11" t="s">
        <v>47</v>
      </c>
      <c r="O111" s="11" t="s">
        <v>48</v>
      </c>
      <c r="P111" s="11" t="s">
        <v>4</v>
      </c>
      <c r="Q111" s="11" t="s">
        <v>49</v>
      </c>
      <c r="R111" s="11" t="s">
        <v>50</v>
      </c>
      <c r="S111" s="11" t="s">
        <v>51</v>
      </c>
      <c r="T111" s="11" t="s">
        <v>52</v>
      </c>
      <c r="U111" s="11" t="s">
        <v>10</v>
      </c>
    </row>
    <row r="112" spans="1:21" ht="29" x14ac:dyDescent="0.35">
      <c r="A112" s="14">
        <v>1</v>
      </c>
      <c r="B112" s="14" t="s">
        <v>687</v>
      </c>
      <c r="C112" s="14" t="s">
        <v>688</v>
      </c>
      <c r="D112" s="14" t="s">
        <v>689</v>
      </c>
      <c r="E112" s="14" t="s">
        <v>690</v>
      </c>
      <c r="F112" s="14" t="s">
        <v>167</v>
      </c>
      <c r="G112" s="14" t="s">
        <v>691</v>
      </c>
      <c r="H112" s="14" t="s">
        <v>59</v>
      </c>
      <c r="I112" s="15"/>
      <c r="J112" s="15"/>
      <c r="K112" s="15"/>
      <c r="L112" s="15"/>
      <c r="M112" s="15"/>
      <c r="N112" s="15"/>
      <c r="O112" s="15"/>
      <c r="P112" s="15"/>
      <c r="Q112" s="15"/>
      <c r="R112" s="15"/>
      <c r="S112" s="15"/>
      <c r="T112" s="15"/>
      <c r="U112" s="14" t="str">
        <f t="shared" ref="U112:U128" si="6">IF(I112="","",IF(I112="NA","Grey",IF(I112=2,"Green",IF(I112=1,"Amber","Red"))))</f>
        <v/>
      </c>
    </row>
    <row r="113" spans="1:21" ht="29" x14ac:dyDescent="0.35">
      <c r="A113" s="14">
        <v>2</v>
      </c>
      <c r="B113" s="14" t="s">
        <v>692</v>
      </c>
      <c r="C113" s="14" t="s">
        <v>693</v>
      </c>
      <c r="D113" s="14" t="s">
        <v>694</v>
      </c>
      <c r="E113" s="14" t="s">
        <v>69</v>
      </c>
      <c r="F113" s="14" t="s">
        <v>167</v>
      </c>
      <c r="G113" s="14" t="s">
        <v>691</v>
      </c>
      <c r="H113" s="14" t="s">
        <v>76</v>
      </c>
      <c r="I113" s="15"/>
      <c r="J113" s="15"/>
      <c r="K113" s="15"/>
      <c r="L113" s="15"/>
      <c r="M113" s="15"/>
      <c r="N113" s="15"/>
      <c r="O113" s="15"/>
      <c r="P113" s="15"/>
      <c r="Q113" s="15"/>
      <c r="R113" s="15"/>
      <c r="S113" s="15"/>
      <c r="T113" s="15"/>
      <c r="U113" s="14" t="str">
        <f t="shared" si="6"/>
        <v/>
      </c>
    </row>
    <row r="114" spans="1:21" ht="29" x14ac:dyDescent="0.35">
      <c r="A114" s="14">
        <v>3</v>
      </c>
      <c r="B114" s="14" t="s">
        <v>695</v>
      </c>
      <c r="C114" s="14" t="s">
        <v>696</v>
      </c>
      <c r="D114" s="14" t="s">
        <v>697</v>
      </c>
      <c r="E114" s="14" t="s">
        <v>69</v>
      </c>
      <c r="F114" s="14" t="s">
        <v>284</v>
      </c>
      <c r="G114" s="14" t="s">
        <v>691</v>
      </c>
      <c r="H114" s="14" t="s">
        <v>76</v>
      </c>
      <c r="I114" s="15"/>
      <c r="J114" s="15"/>
      <c r="K114" s="15"/>
      <c r="L114" s="15"/>
      <c r="M114" s="15"/>
      <c r="N114" s="15"/>
      <c r="O114" s="15"/>
      <c r="P114" s="15"/>
      <c r="Q114" s="15"/>
      <c r="R114" s="15"/>
      <c r="S114" s="15"/>
      <c r="T114" s="15"/>
      <c r="U114" s="14" t="str">
        <f t="shared" si="6"/>
        <v/>
      </c>
    </row>
    <row r="115" spans="1:21" ht="29" x14ac:dyDescent="0.35">
      <c r="A115" s="14">
        <v>4</v>
      </c>
      <c r="B115" s="14" t="s">
        <v>698</v>
      </c>
      <c r="C115" s="14" t="s">
        <v>699</v>
      </c>
      <c r="D115" s="14" t="s">
        <v>700</v>
      </c>
      <c r="E115" s="14" t="s">
        <v>69</v>
      </c>
      <c r="F115" s="14" t="s">
        <v>284</v>
      </c>
      <c r="G115" s="14" t="s">
        <v>691</v>
      </c>
      <c r="H115" s="14" t="s">
        <v>76</v>
      </c>
      <c r="I115" s="15"/>
      <c r="J115" s="15"/>
      <c r="K115" s="15"/>
      <c r="L115" s="15"/>
      <c r="M115" s="15"/>
      <c r="N115" s="15"/>
      <c r="O115" s="15"/>
      <c r="P115" s="15"/>
      <c r="Q115" s="15"/>
      <c r="R115" s="15"/>
      <c r="S115" s="15"/>
      <c r="T115" s="15"/>
      <c r="U115" s="14" t="str">
        <f t="shared" si="6"/>
        <v/>
      </c>
    </row>
    <row r="116" spans="1:21" ht="29" x14ac:dyDescent="0.35">
      <c r="A116" s="14">
        <v>5</v>
      </c>
      <c r="B116" s="14" t="s">
        <v>701</v>
      </c>
      <c r="C116" s="14" t="s">
        <v>702</v>
      </c>
      <c r="D116" s="14" t="s">
        <v>703</v>
      </c>
      <c r="E116" s="14" t="s">
        <v>69</v>
      </c>
      <c r="F116" s="14" t="s">
        <v>284</v>
      </c>
      <c r="G116" s="14" t="s">
        <v>691</v>
      </c>
      <c r="H116" s="14" t="s">
        <v>76</v>
      </c>
      <c r="I116" s="15"/>
      <c r="J116" s="15"/>
      <c r="K116" s="15"/>
      <c r="L116" s="15"/>
      <c r="M116" s="15"/>
      <c r="N116" s="15"/>
      <c r="O116" s="15"/>
      <c r="P116" s="15"/>
      <c r="Q116" s="15"/>
      <c r="R116" s="15"/>
      <c r="S116" s="15"/>
      <c r="T116" s="15"/>
      <c r="U116" s="14" t="str">
        <f t="shared" si="6"/>
        <v/>
      </c>
    </row>
    <row r="117" spans="1:21" ht="29" x14ac:dyDescent="0.35">
      <c r="A117" s="14">
        <v>6</v>
      </c>
      <c r="B117" s="14" t="s">
        <v>704</v>
      </c>
      <c r="C117" s="14" t="s">
        <v>705</v>
      </c>
      <c r="D117" s="14" t="s">
        <v>706</v>
      </c>
      <c r="E117" s="14" t="s">
        <v>69</v>
      </c>
      <c r="F117" s="14" t="s">
        <v>707</v>
      </c>
      <c r="G117" s="14" t="s">
        <v>691</v>
      </c>
      <c r="H117" s="14" t="s">
        <v>85</v>
      </c>
      <c r="I117" s="15"/>
      <c r="J117" s="15"/>
      <c r="K117" s="15"/>
      <c r="L117" s="15"/>
      <c r="M117" s="15"/>
      <c r="N117" s="15"/>
      <c r="O117" s="15"/>
      <c r="P117" s="15"/>
      <c r="Q117" s="15"/>
      <c r="R117" s="15"/>
      <c r="S117" s="15"/>
      <c r="T117" s="15"/>
      <c r="U117" s="14" t="str">
        <f t="shared" si="6"/>
        <v/>
      </c>
    </row>
    <row r="118" spans="1:21" ht="29" x14ac:dyDescent="0.35">
      <c r="A118" s="14">
        <v>7</v>
      </c>
      <c r="B118" s="14" t="s">
        <v>708</v>
      </c>
      <c r="C118" s="14" t="s">
        <v>709</v>
      </c>
      <c r="D118" s="14" t="s">
        <v>710</v>
      </c>
      <c r="E118" s="14" t="s">
        <v>69</v>
      </c>
      <c r="F118" s="14" t="s">
        <v>711</v>
      </c>
      <c r="G118" s="14" t="s">
        <v>691</v>
      </c>
      <c r="H118" s="14" t="s">
        <v>76</v>
      </c>
      <c r="I118" s="15"/>
      <c r="J118" s="15"/>
      <c r="K118" s="15"/>
      <c r="L118" s="15"/>
      <c r="M118" s="15"/>
      <c r="N118" s="15"/>
      <c r="O118" s="15"/>
      <c r="P118" s="15"/>
      <c r="Q118" s="15"/>
      <c r="R118" s="15"/>
      <c r="S118" s="15"/>
      <c r="T118" s="15"/>
      <c r="U118" s="14" t="str">
        <f t="shared" si="6"/>
        <v/>
      </c>
    </row>
    <row r="119" spans="1:21" ht="29" x14ac:dyDescent="0.35">
      <c r="A119" s="14">
        <v>8</v>
      </c>
      <c r="B119" s="14" t="s">
        <v>712</v>
      </c>
      <c r="C119" s="14" t="s">
        <v>713</v>
      </c>
      <c r="D119" s="14" t="s">
        <v>714</v>
      </c>
      <c r="E119" s="14" t="s">
        <v>69</v>
      </c>
      <c r="F119" s="14" t="s">
        <v>167</v>
      </c>
      <c r="G119" s="14" t="s">
        <v>691</v>
      </c>
      <c r="H119" s="14" t="s">
        <v>76</v>
      </c>
      <c r="I119" s="15"/>
      <c r="J119" s="15"/>
      <c r="K119" s="15"/>
      <c r="L119" s="15"/>
      <c r="M119" s="15"/>
      <c r="N119" s="15"/>
      <c r="O119" s="15"/>
      <c r="P119" s="15"/>
      <c r="Q119" s="15"/>
      <c r="R119" s="15"/>
      <c r="S119" s="15"/>
      <c r="T119" s="15"/>
      <c r="U119" s="14" t="str">
        <f t="shared" si="6"/>
        <v/>
      </c>
    </row>
    <row r="120" spans="1:21" ht="29" x14ac:dyDescent="0.35">
      <c r="A120" s="14">
        <v>9</v>
      </c>
      <c r="B120" s="14" t="s">
        <v>715</v>
      </c>
      <c r="C120" s="14" t="s">
        <v>716</v>
      </c>
      <c r="D120" s="14" t="s">
        <v>717</v>
      </c>
      <c r="E120" s="14" t="s">
        <v>69</v>
      </c>
      <c r="F120" s="14" t="s">
        <v>95</v>
      </c>
      <c r="G120" s="14" t="s">
        <v>691</v>
      </c>
      <c r="H120" s="14" t="s">
        <v>59</v>
      </c>
      <c r="I120" s="15"/>
      <c r="J120" s="15"/>
      <c r="K120" s="15"/>
      <c r="L120" s="15"/>
      <c r="M120" s="15"/>
      <c r="N120" s="15"/>
      <c r="O120" s="15"/>
      <c r="P120" s="15"/>
      <c r="Q120" s="15"/>
      <c r="R120" s="15"/>
      <c r="S120" s="15"/>
      <c r="T120" s="15"/>
      <c r="U120" s="14" t="str">
        <f t="shared" si="6"/>
        <v/>
      </c>
    </row>
    <row r="121" spans="1:21" ht="29" x14ac:dyDescent="0.35">
      <c r="A121" s="14">
        <v>10</v>
      </c>
      <c r="B121" s="14" t="s">
        <v>718</v>
      </c>
      <c r="C121" s="14" t="s">
        <v>719</v>
      </c>
      <c r="D121" s="14" t="s">
        <v>720</v>
      </c>
      <c r="E121" s="14" t="s">
        <v>69</v>
      </c>
      <c r="F121" s="14" t="s">
        <v>167</v>
      </c>
      <c r="G121" s="14" t="s">
        <v>691</v>
      </c>
      <c r="H121" s="14" t="s">
        <v>59</v>
      </c>
      <c r="I121" s="15"/>
      <c r="J121" s="15"/>
      <c r="K121" s="15"/>
      <c r="L121" s="15"/>
      <c r="M121" s="15"/>
      <c r="N121" s="15"/>
      <c r="O121" s="15"/>
      <c r="P121" s="15"/>
      <c r="Q121" s="15"/>
      <c r="R121" s="15"/>
      <c r="S121" s="15"/>
      <c r="T121" s="15"/>
      <c r="U121" s="14" t="str">
        <f t="shared" si="6"/>
        <v/>
      </c>
    </row>
    <row r="122" spans="1:21" ht="29" x14ac:dyDescent="0.35">
      <c r="A122" s="14">
        <v>11</v>
      </c>
      <c r="B122" s="14" t="s">
        <v>721</v>
      </c>
      <c r="C122" s="14" t="s">
        <v>722</v>
      </c>
      <c r="D122" s="14" t="s">
        <v>723</v>
      </c>
      <c r="E122" s="14" t="s">
        <v>690</v>
      </c>
      <c r="F122" s="14" t="s">
        <v>167</v>
      </c>
      <c r="G122" s="14" t="s">
        <v>691</v>
      </c>
      <c r="H122" s="14" t="s">
        <v>59</v>
      </c>
      <c r="I122" s="15"/>
      <c r="J122" s="15"/>
      <c r="K122" s="15"/>
      <c r="L122" s="15"/>
      <c r="M122" s="15"/>
      <c r="N122" s="15"/>
      <c r="O122" s="15"/>
      <c r="P122" s="15"/>
      <c r="Q122" s="15"/>
      <c r="R122" s="15"/>
      <c r="S122" s="15"/>
      <c r="T122" s="15"/>
      <c r="U122" s="14" t="str">
        <f t="shared" si="6"/>
        <v/>
      </c>
    </row>
    <row r="123" spans="1:21" ht="29" x14ac:dyDescent="0.35">
      <c r="A123" s="14">
        <v>12</v>
      </c>
      <c r="B123" s="14" t="s">
        <v>724</v>
      </c>
      <c r="C123" s="14" t="s">
        <v>725</v>
      </c>
      <c r="D123" s="14" t="s">
        <v>726</v>
      </c>
      <c r="E123" s="14" t="s">
        <v>690</v>
      </c>
      <c r="F123" s="14" t="s">
        <v>167</v>
      </c>
      <c r="G123" s="14" t="s">
        <v>691</v>
      </c>
      <c r="H123" s="14" t="s">
        <v>59</v>
      </c>
      <c r="I123" s="15"/>
      <c r="J123" s="15"/>
      <c r="K123" s="15"/>
      <c r="L123" s="15"/>
      <c r="M123" s="15"/>
      <c r="N123" s="15"/>
      <c r="O123" s="15"/>
      <c r="P123" s="15"/>
      <c r="Q123" s="15"/>
      <c r="R123" s="15"/>
      <c r="S123" s="15"/>
      <c r="T123" s="15"/>
      <c r="U123" s="14" t="str">
        <f t="shared" si="6"/>
        <v/>
      </c>
    </row>
    <row r="124" spans="1:21" ht="29" x14ac:dyDescent="0.35">
      <c r="A124" s="14">
        <v>13</v>
      </c>
      <c r="B124" s="14" t="s">
        <v>727</v>
      </c>
      <c r="C124" s="14" t="s">
        <v>728</v>
      </c>
      <c r="D124" s="14" t="s">
        <v>729</v>
      </c>
      <c r="E124" s="14" t="s">
        <v>690</v>
      </c>
      <c r="F124" s="14" t="s">
        <v>167</v>
      </c>
      <c r="G124" s="14" t="s">
        <v>691</v>
      </c>
      <c r="H124" s="14" t="s">
        <v>59</v>
      </c>
      <c r="I124" s="15"/>
      <c r="J124" s="15"/>
      <c r="K124" s="15"/>
      <c r="L124" s="15"/>
      <c r="M124" s="15"/>
      <c r="N124" s="15"/>
      <c r="O124" s="15"/>
      <c r="P124" s="15"/>
      <c r="Q124" s="15"/>
      <c r="R124" s="15"/>
      <c r="S124" s="15"/>
      <c r="T124" s="15"/>
      <c r="U124" s="14" t="str">
        <f t="shared" si="6"/>
        <v/>
      </c>
    </row>
    <row r="125" spans="1:21" ht="29" x14ac:dyDescent="0.35">
      <c r="A125" s="14">
        <v>14</v>
      </c>
      <c r="B125" s="14" t="s">
        <v>730</v>
      </c>
      <c r="C125" s="14" t="s">
        <v>731</v>
      </c>
      <c r="D125" s="14" t="s">
        <v>732</v>
      </c>
      <c r="E125" s="14" t="s">
        <v>690</v>
      </c>
      <c r="F125" s="14" t="s">
        <v>167</v>
      </c>
      <c r="G125" s="14" t="s">
        <v>691</v>
      </c>
      <c r="H125" s="14" t="s">
        <v>59</v>
      </c>
      <c r="I125" s="15"/>
      <c r="J125" s="15"/>
      <c r="K125" s="15"/>
      <c r="L125" s="15"/>
      <c r="M125" s="15"/>
      <c r="N125" s="15"/>
      <c r="O125" s="15"/>
      <c r="P125" s="15"/>
      <c r="Q125" s="15"/>
      <c r="R125" s="15"/>
      <c r="S125" s="15"/>
      <c r="T125" s="15"/>
      <c r="U125" s="14" t="str">
        <f t="shared" si="6"/>
        <v/>
      </c>
    </row>
    <row r="126" spans="1:21" ht="29" x14ac:dyDescent="0.35">
      <c r="A126" s="14">
        <v>15</v>
      </c>
      <c r="B126" s="14" t="s">
        <v>733</v>
      </c>
      <c r="C126" s="14" t="s">
        <v>734</v>
      </c>
      <c r="D126" s="14" t="s">
        <v>735</v>
      </c>
      <c r="E126" s="14" t="s">
        <v>69</v>
      </c>
      <c r="F126" s="14" t="s">
        <v>95</v>
      </c>
      <c r="G126" s="14" t="s">
        <v>691</v>
      </c>
      <c r="H126" s="14" t="s">
        <v>76</v>
      </c>
      <c r="I126" s="15"/>
      <c r="J126" s="15"/>
      <c r="K126" s="15"/>
      <c r="L126" s="15"/>
      <c r="M126" s="15"/>
      <c r="N126" s="15"/>
      <c r="O126" s="15"/>
      <c r="P126" s="15"/>
      <c r="Q126" s="15"/>
      <c r="R126" s="15"/>
      <c r="S126" s="15"/>
      <c r="T126" s="15"/>
      <c r="U126" s="14" t="str">
        <f t="shared" si="6"/>
        <v/>
      </c>
    </row>
    <row r="127" spans="1:21" ht="29" x14ac:dyDescent="0.35">
      <c r="A127" s="14">
        <v>16</v>
      </c>
      <c r="B127" s="14" t="s">
        <v>736</v>
      </c>
      <c r="C127" s="14" t="s">
        <v>737</v>
      </c>
      <c r="D127" s="14" t="s">
        <v>738</v>
      </c>
      <c r="E127" s="14" t="s">
        <v>690</v>
      </c>
      <c r="F127" s="14" t="s">
        <v>167</v>
      </c>
      <c r="G127" s="14" t="s">
        <v>691</v>
      </c>
      <c r="H127" s="14" t="s">
        <v>59</v>
      </c>
      <c r="I127" s="15"/>
      <c r="J127" s="15"/>
      <c r="K127" s="15"/>
      <c r="L127" s="15"/>
      <c r="M127" s="15"/>
      <c r="N127" s="15"/>
      <c r="O127" s="15"/>
      <c r="P127" s="15"/>
      <c r="Q127" s="15"/>
      <c r="R127" s="15"/>
      <c r="S127" s="15"/>
      <c r="T127" s="15"/>
      <c r="U127" s="14" t="str">
        <f t="shared" si="6"/>
        <v/>
      </c>
    </row>
    <row r="128" spans="1:21" ht="29" x14ac:dyDescent="0.35">
      <c r="A128" s="14">
        <v>17</v>
      </c>
      <c r="B128" s="14" t="s">
        <v>739</v>
      </c>
      <c r="C128" s="14" t="s">
        <v>740</v>
      </c>
      <c r="D128" s="14" t="s">
        <v>741</v>
      </c>
      <c r="E128" s="14" t="s">
        <v>69</v>
      </c>
      <c r="F128" s="14" t="s">
        <v>95</v>
      </c>
      <c r="G128" s="14" t="s">
        <v>691</v>
      </c>
      <c r="H128" s="14" t="s">
        <v>59</v>
      </c>
      <c r="I128" s="15"/>
      <c r="J128" s="15"/>
      <c r="K128" s="15"/>
      <c r="L128" s="15"/>
      <c r="M128" s="15"/>
      <c r="N128" s="15"/>
      <c r="O128" s="15"/>
      <c r="P128" s="15"/>
      <c r="Q128" s="15"/>
      <c r="R128" s="15"/>
      <c r="S128" s="15"/>
      <c r="T128" s="15"/>
      <c r="U128" s="14" t="str">
        <f t="shared" si="6"/>
        <v/>
      </c>
    </row>
    <row r="131" spans="1:21" ht="22" customHeight="1" x14ac:dyDescent="0.35">
      <c r="A131" s="26" t="s">
        <v>746</v>
      </c>
      <c r="B131" s="23"/>
      <c r="C131" s="23"/>
      <c r="D131" s="23"/>
      <c r="E131" s="23"/>
      <c r="F131" s="23"/>
      <c r="G131" s="23"/>
      <c r="H131" s="23"/>
      <c r="I131" s="23"/>
      <c r="J131" s="23"/>
      <c r="K131" s="23"/>
      <c r="L131" s="23"/>
      <c r="M131" s="23"/>
      <c r="N131" s="23"/>
      <c r="O131" s="23"/>
      <c r="P131" s="23"/>
      <c r="Q131" s="23"/>
      <c r="R131" s="23"/>
      <c r="S131" s="23"/>
      <c r="T131" s="23"/>
      <c r="U131" s="23"/>
    </row>
    <row r="132" spans="1:21" x14ac:dyDescent="0.35">
      <c r="A132" t="s">
        <v>31</v>
      </c>
      <c r="B132" t="s">
        <v>23</v>
      </c>
      <c r="C132" t="s">
        <v>32</v>
      </c>
      <c r="E132" t="s">
        <v>33</v>
      </c>
    </row>
    <row r="133" spans="1:21" ht="29" x14ac:dyDescent="0.35">
      <c r="A133" s="11" t="s">
        <v>34</v>
      </c>
      <c r="B133" s="11" t="s">
        <v>35</v>
      </c>
      <c r="C133" s="11" t="s">
        <v>36</v>
      </c>
      <c r="D133" s="11" t="s">
        <v>37</v>
      </c>
      <c r="E133" s="11" t="s">
        <v>38</v>
      </c>
      <c r="F133" s="11" t="s">
        <v>39</v>
      </c>
      <c r="G133" s="11" t="s">
        <v>40</v>
      </c>
      <c r="H133" s="11" t="s">
        <v>41</v>
      </c>
      <c r="I133" s="11" t="s">
        <v>42</v>
      </c>
      <c r="J133" s="11" t="s">
        <v>43</v>
      </c>
      <c r="K133" s="11" t="s">
        <v>44</v>
      </c>
      <c r="L133" s="11" t="s">
        <v>45</v>
      </c>
      <c r="M133" s="11" t="s">
        <v>46</v>
      </c>
      <c r="N133" s="11" t="s">
        <v>47</v>
      </c>
      <c r="O133" s="11" t="s">
        <v>48</v>
      </c>
      <c r="P133" s="11" t="s">
        <v>4</v>
      </c>
      <c r="Q133" s="11" t="s">
        <v>49</v>
      </c>
      <c r="R133" s="11" t="s">
        <v>50</v>
      </c>
      <c r="S133" s="11" t="s">
        <v>51</v>
      </c>
      <c r="T133" s="11" t="s">
        <v>52</v>
      </c>
      <c r="U133" s="11" t="s">
        <v>10</v>
      </c>
    </row>
    <row r="134" spans="1:21" ht="29" x14ac:dyDescent="0.35">
      <c r="A134" s="14">
        <v>1</v>
      </c>
      <c r="B134" s="14" t="s">
        <v>687</v>
      </c>
      <c r="C134" s="14" t="s">
        <v>688</v>
      </c>
      <c r="D134" s="14" t="s">
        <v>689</v>
      </c>
      <c r="E134" s="14" t="s">
        <v>690</v>
      </c>
      <c r="F134" s="14" t="s">
        <v>167</v>
      </c>
      <c r="G134" s="14" t="s">
        <v>691</v>
      </c>
      <c r="H134" s="14" t="s">
        <v>59</v>
      </c>
      <c r="I134" s="15"/>
      <c r="J134" s="15"/>
      <c r="K134" s="15"/>
      <c r="L134" s="15"/>
      <c r="M134" s="15"/>
      <c r="N134" s="15"/>
      <c r="O134" s="15"/>
      <c r="P134" s="15"/>
      <c r="Q134" s="15"/>
      <c r="R134" s="15"/>
      <c r="S134" s="15"/>
      <c r="T134" s="15"/>
      <c r="U134" s="14" t="str">
        <f t="shared" ref="U134:U150" si="7">IF(I134="","",IF(I134="NA","Grey",IF(I134=2,"Green",IF(I134=1,"Amber","Red"))))</f>
        <v/>
      </c>
    </row>
    <row r="135" spans="1:21" ht="29" x14ac:dyDescent="0.35">
      <c r="A135" s="14">
        <v>2</v>
      </c>
      <c r="B135" s="14" t="s">
        <v>692</v>
      </c>
      <c r="C135" s="14" t="s">
        <v>693</v>
      </c>
      <c r="D135" s="14" t="s">
        <v>694</v>
      </c>
      <c r="E135" s="14" t="s">
        <v>69</v>
      </c>
      <c r="F135" s="14" t="s">
        <v>167</v>
      </c>
      <c r="G135" s="14" t="s">
        <v>691</v>
      </c>
      <c r="H135" s="14" t="s">
        <v>76</v>
      </c>
      <c r="I135" s="15"/>
      <c r="J135" s="15"/>
      <c r="K135" s="15"/>
      <c r="L135" s="15"/>
      <c r="M135" s="15"/>
      <c r="N135" s="15"/>
      <c r="O135" s="15"/>
      <c r="P135" s="15"/>
      <c r="Q135" s="15"/>
      <c r="R135" s="15"/>
      <c r="S135" s="15"/>
      <c r="T135" s="15"/>
      <c r="U135" s="14" t="str">
        <f t="shared" si="7"/>
        <v/>
      </c>
    </row>
    <row r="136" spans="1:21" ht="29" x14ac:dyDescent="0.35">
      <c r="A136" s="14">
        <v>3</v>
      </c>
      <c r="B136" s="14" t="s">
        <v>695</v>
      </c>
      <c r="C136" s="14" t="s">
        <v>696</v>
      </c>
      <c r="D136" s="14" t="s">
        <v>697</v>
      </c>
      <c r="E136" s="14" t="s">
        <v>69</v>
      </c>
      <c r="F136" s="14" t="s">
        <v>284</v>
      </c>
      <c r="G136" s="14" t="s">
        <v>691</v>
      </c>
      <c r="H136" s="14" t="s">
        <v>76</v>
      </c>
      <c r="I136" s="15"/>
      <c r="J136" s="15"/>
      <c r="K136" s="15"/>
      <c r="L136" s="15"/>
      <c r="M136" s="15"/>
      <c r="N136" s="15"/>
      <c r="O136" s="15"/>
      <c r="P136" s="15"/>
      <c r="Q136" s="15"/>
      <c r="R136" s="15"/>
      <c r="S136" s="15"/>
      <c r="T136" s="15"/>
      <c r="U136" s="14" t="str">
        <f t="shared" si="7"/>
        <v/>
      </c>
    </row>
    <row r="137" spans="1:21" ht="29" x14ac:dyDescent="0.35">
      <c r="A137" s="14">
        <v>4</v>
      </c>
      <c r="B137" s="14" t="s">
        <v>698</v>
      </c>
      <c r="C137" s="14" t="s">
        <v>699</v>
      </c>
      <c r="D137" s="14" t="s">
        <v>700</v>
      </c>
      <c r="E137" s="14" t="s">
        <v>69</v>
      </c>
      <c r="F137" s="14" t="s">
        <v>284</v>
      </c>
      <c r="G137" s="14" t="s">
        <v>691</v>
      </c>
      <c r="H137" s="14" t="s">
        <v>76</v>
      </c>
      <c r="I137" s="15"/>
      <c r="J137" s="15"/>
      <c r="K137" s="15"/>
      <c r="L137" s="15"/>
      <c r="M137" s="15"/>
      <c r="N137" s="15"/>
      <c r="O137" s="15"/>
      <c r="P137" s="15"/>
      <c r="Q137" s="15"/>
      <c r="R137" s="15"/>
      <c r="S137" s="15"/>
      <c r="T137" s="15"/>
      <c r="U137" s="14" t="str">
        <f t="shared" si="7"/>
        <v/>
      </c>
    </row>
    <row r="138" spans="1:21" ht="29" x14ac:dyDescent="0.35">
      <c r="A138" s="14">
        <v>5</v>
      </c>
      <c r="B138" s="14" t="s">
        <v>701</v>
      </c>
      <c r="C138" s="14" t="s">
        <v>702</v>
      </c>
      <c r="D138" s="14" t="s">
        <v>703</v>
      </c>
      <c r="E138" s="14" t="s">
        <v>69</v>
      </c>
      <c r="F138" s="14" t="s">
        <v>284</v>
      </c>
      <c r="G138" s="14" t="s">
        <v>691</v>
      </c>
      <c r="H138" s="14" t="s">
        <v>76</v>
      </c>
      <c r="I138" s="15"/>
      <c r="J138" s="15"/>
      <c r="K138" s="15"/>
      <c r="L138" s="15"/>
      <c r="M138" s="15"/>
      <c r="N138" s="15"/>
      <c r="O138" s="15"/>
      <c r="P138" s="15"/>
      <c r="Q138" s="15"/>
      <c r="R138" s="15"/>
      <c r="S138" s="15"/>
      <c r="T138" s="15"/>
      <c r="U138" s="14" t="str">
        <f t="shared" si="7"/>
        <v/>
      </c>
    </row>
    <row r="139" spans="1:21" ht="29" x14ac:dyDescent="0.35">
      <c r="A139" s="14">
        <v>6</v>
      </c>
      <c r="B139" s="14" t="s">
        <v>704</v>
      </c>
      <c r="C139" s="14" t="s">
        <v>705</v>
      </c>
      <c r="D139" s="14" t="s">
        <v>706</v>
      </c>
      <c r="E139" s="14" t="s">
        <v>69</v>
      </c>
      <c r="F139" s="14" t="s">
        <v>707</v>
      </c>
      <c r="G139" s="14" t="s">
        <v>691</v>
      </c>
      <c r="H139" s="14" t="s">
        <v>85</v>
      </c>
      <c r="I139" s="15"/>
      <c r="J139" s="15"/>
      <c r="K139" s="15"/>
      <c r="L139" s="15"/>
      <c r="M139" s="15"/>
      <c r="N139" s="15"/>
      <c r="O139" s="15"/>
      <c r="P139" s="15"/>
      <c r="Q139" s="15"/>
      <c r="R139" s="15"/>
      <c r="S139" s="15"/>
      <c r="T139" s="15"/>
      <c r="U139" s="14" t="str">
        <f t="shared" si="7"/>
        <v/>
      </c>
    </row>
    <row r="140" spans="1:21" ht="29" x14ac:dyDescent="0.35">
      <c r="A140" s="14">
        <v>7</v>
      </c>
      <c r="B140" s="14" t="s">
        <v>708</v>
      </c>
      <c r="C140" s="14" t="s">
        <v>709</v>
      </c>
      <c r="D140" s="14" t="s">
        <v>710</v>
      </c>
      <c r="E140" s="14" t="s">
        <v>69</v>
      </c>
      <c r="F140" s="14" t="s">
        <v>711</v>
      </c>
      <c r="G140" s="14" t="s">
        <v>691</v>
      </c>
      <c r="H140" s="14" t="s">
        <v>76</v>
      </c>
      <c r="I140" s="15"/>
      <c r="J140" s="15"/>
      <c r="K140" s="15"/>
      <c r="L140" s="15"/>
      <c r="M140" s="15"/>
      <c r="N140" s="15"/>
      <c r="O140" s="15"/>
      <c r="P140" s="15"/>
      <c r="Q140" s="15"/>
      <c r="R140" s="15"/>
      <c r="S140" s="15"/>
      <c r="T140" s="15"/>
      <c r="U140" s="14" t="str">
        <f t="shared" si="7"/>
        <v/>
      </c>
    </row>
    <row r="141" spans="1:21" ht="29" x14ac:dyDescent="0.35">
      <c r="A141" s="14">
        <v>8</v>
      </c>
      <c r="B141" s="14" t="s">
        <v>712</v>
      </c>
      <c r="C141" s="14" t="s">
        <v>713</v>
      </c>
      <c r="D141" s="14" t="s">
        <v>714</v>
      </c>
      <c r="E141" s="14" t="s">
        <v>69</v>
      </c>
      <c r="F141" s="14" t="s">
        <v>167</v>
      </c>
      <c r="G141" s="14" t="s">
        <v>691</v>
      </c>
      <c r="H141" s="14" t="s">
        <v>76</v>
      </c>
      <c r="I141" s="15"/>
      <c r="J141" s="15"/>
      <c r="K141" s="15"/>
      <c r="L141" s="15"/>
      <c r="M141" s="15"/>
      <c r="N141" s="15"/>
      <c r="O141" s="15"/>
      <c r="P141" s="15"/>
      <c r="Q141" s="15"/>
      <c r="R141" s="15"/>
      <c r="S141" s="15"/>
      <c r="T141" s="15"/>
      <c r="U141" s="14" t="str">
        <f t="shared" si="7"/>
        <v/>
      </c>
    </row>
    <row r="142" spans="1:21" ht="29" x14ac:dyDescent="0.35">
      <c r="A142" s="14">
        <v>9</v>
      </c>
      <c r="B142" s="14" t="s">
        <v>715</v>
      </c>
      <c r="C142" s="14" t="s">
        <v>716</v>
      </c>
      <c r="D142" s="14" t="s">
        <v>717</v>
      </c>
      <c r="E142" s="14" t="s">
        <v>69</v>
      </c>
      <c r="F142" s="14" t="s">
        <v>95</v>
      </c>
      <c r="G142" s="14" t="s">
        <v>691</v>
      </c>
      <c r="H142" s="14" t="s">
        <v>59</v>
      </c>
      <c r="I142" s="15"/>
      <c r="J142" s="15"/>
      <c r="K142" s="15"/>
      <c r="L142" s="15"/>
      <c r="M142" s="15"/>
      <c r="N142" s="15"/>
      <c r="O142" s="15"/>
      <c r="P142" s="15"/>
      <c r="Q142" s="15"/>
      <c r="R142" s="15"/>
      <c r="S142" s="15"/>
      <c r="T142" s="15"/>
      <c r="U142" s="14" t="str">
        <f t="shared" si="7"/>
        <v/>
      </c>
    </row>
    <row r="143" spans="1:21" ht="29" x14ac:dyDescent="0.35">
      <c r="A143" s="14">
        <v>10</v>
      </c>
      <c r="B143" s="14" t="s">
        <v>718</v>
      </c>
      <c r="C143" s="14" t="s">
        <v>719</v>
      </c>
      <c r="D143" s="14" t="s">
        <v>720</v>
      </c>
      <c r="E143" s="14" t="s">
        <v>69</v>
      </c>
      <c r="F143" s="14" t="s">
        <v>167</v>
      </c>
      <c r="G143" s="14" t="s">
        <v>691</v>
      </c>
      <c r="H143" s="14" t="s">
        <v>59</v>
      </c>
      <c r="I143" s="15"/>
      <c r="J143" s="15"/>
      <c r="K143" s="15"/>
      <c r="L143" s="15"/>
      <c r="M143" s="15"/>
      <c r="N143" s="15"/>
      <c r="O143" s="15"/>
      <c r="P143" s="15"/>
      <c r="Q143" s="15"/>
      <c r="R143" s="15"/>
      <c r="S143" s="15"/>
      <c r="T143" s="15"/>
      <c r="U143" s="14" t="str">
        <f t="shared" si="7"/>
        <v/>
      </c>
    </row>
    <row r="144" spans="1:21" ht="29" x14ac:dyDescent="0.35">
      <c r="A144" s="14">
        <v>11</v>
      </c>
      <c r="B144" s="14" t="s">
        <v>721</v>
      </c>
      <c r="C144" s="14" t="s">
        <v>722</v>
      </c>
      <c r="D144" s="14" t="s">
        <v>723</v>
      </c>
      <c r="E144" s="14" t="s">
        <v>690</v>
      </c>
      <c r="F144" s="14" t="s">
        <v>167</v>
      </c>
      <c r="G144" s="14" t="s">
        <v>691</v>
      </c>
      <c r="H144" s="14" t="s">
        <v>59</v>
      </c>
      <c r="I144" s="15"/>
      <c r="J144" s="15"/>
      <c r="K144" s="15"/>
      <c r="L144" s="15"/>
      <c r="M144" s="15"/>
      <c r="N144" s="15"/>
      <c r="O144" s="15"/>
      <c r="P144" s="15"/>
      <c r="Q144" s="15"/>
      <c r="R144" s="15"/>
      <c r="S144" s="15"/>
      <c r="T144" s="15"/>
      <c r="U144" s="14" t="str">
        <f t="shared" si="7"/>
        <v/>
      </c>
    </row>
    <row r="145" spans="1:21" ht="29" x14ac:dyDescent="0.35">
      <c r="A145" s="14">
        <v>12</v>
      </c>
      <c r="B145" s="14" t="s">
        <v>724</v>
      </c>
      <c r="C145" s="14" t="s">
        <v>725</v>
      </c>
      <c r="D145" s="14" t="s">
        <v>726</v>
      </c>
      <c r="E145" s="14" t="s">
        <v>690</v>
      </c>
      <c r="F145" s="14" t="s">
        <v>167</v>
      </c>
      <c r="G145" s="14" t="s">
        <v>691</v>
      </c>
      <c r="H145" s="14" t="s">
        <v>59</v>
      </c>
      <c r="I145" s="15"/>
      <c r="J145" s="15"/>
      <c r="K145" s="15"/>
      <c r="L145" s="15"/>
      <c r="M145" s="15"/>
      <c r="N145" s="15"/>
      <c r="O145" s="15"/>
      <c r="P145" s="15"/>
      <c r="Q145" s="15"/>
      <c r="R145" s="15"/>
      <c r="S145" s="15"/>
      <c r="T145" s="15"/>
      <c r="U145" s="14" t="str">
        <f t="shared" si="7"/>
        <v/>
      </c>
    </row>
    <row r="146" spans="1:21" ht="29" x14ac:dyDescent="0.35">
      <c r="A146" s="14">
        <v>13</v>
      </c>
      <c r="B146" s="14" t="s">
        <v>727</v>
      </c>
      <c r="C146" s="14" t="s">
        <v>728</v>
      </c>
      <c r="D146" s="14" t="s">
        <v>729</v>
      </c>
      <c r="E146" s="14" t="s">
        <v>690</v>
      </c>
      <c r="F146" s="14" t="s">
        <v>167</v>
      </c>
      <c r="G146" s="14" t="s">
        <v>691</v>
      </c>
      <c r="H146" s="14" t="s">
        <v>59</v>
      </c>
      <c r="I146" s="15"/>
      <c r="J146" s="15"/>
      <c r="K146" s="15"/>
      <c r="L146" s="15"/>
      <c r="M146" s="15"/>
      <c r="N146" s="15"/>
      <c r="O146" s="15"/>
      <c r="P146" s="15"/>
      <c r="Q146" s="15"/>
      <c r="R146" s="15"/>
      <c r="S146" s="15"/>
      <c r="T146" s="15"/>
      <c r="U146" s="14" t="str">
        <f t="shared" si="7"/>
        <v/>
      </c>
    </row>
    <row r="147" spans="1:21" ht="29" x14ac:dyDescent="0.35">
      <c r="A147" s="14">
        <v>14</v>
      </c>
      <c r="B147" s="14" t="s">
        <v>730</v>
      </c>
      <c r="C147" s="14" t="s">
        <v>731</v>
      </c>
      <c r="D147" s="14" t="s">
        <v>732</v>
      </c>
      <c r="E147" s="14" t="s">
        <v>690</v>
      </c>
      <c r="F147" s="14" t="s">
        <v>167</v>
      </c>
      <c r="G147" s="14" t="s">
        <v>691</v>
      </c>
      <c r="H147" s="14" t="s">
        <v>59</v>
      </c>
      <c r="I147" s="15"/>
      <c r="J147" s="15"/>
      <c r="K147" s="15"/>
      <c r="L147" s="15"/>
      <c r="M147" s="15"/>
      <c r="N147" s="15"/>
      <c r="O147" s="15"/>
      <c r="P147" s="15"/>
      <c r="Q147" s="15"/>
      <c r="R147" s="15"/>
      <c r="S147" s="15"/>
      <c r="T147" s="15"/>
      <c r="U147" s="14" t="str">
        <f t="shared" si="7"/>
        <v/>
      </c>
    </row>
    <row r="148" spans="1:21" ht="29" x14ac:dyDescent="0.35">
      <c r="A148" s="14">
        <v>15</v>
      </c>
      <c r="B148" s="14" t="s">
        <v>733</v>
      </c>
      <c r="C148" s="14" t="s">
        <v>734</v>
      </c>
      <c r="D148" s="14" t="s">
        <v>735</v>
      </c>
      <c r="E148" s="14" t="s">
        <v>69</v>
      </c>
      <c r="F148" s="14" t="s">
        <v>95</v>
      </c>
      <c r="G148" s="14" t="s">
        <v>691</v>
      </c>
      <c r="H148" s="14" t="s">
        <v>76</v>
      </c>
      <c r="I148" s="15"/>
      <c r="J148" s="15"/>
      <c r="K148" s="15"/>
      <c r="L148" s="15"/>
      <c r="M148" s="15"/>
      <c r="N148" s="15"/>
      <c r="O148" s="15"/>
      <c r="P148" s="15"/>
      <c r="Q148" s="15"/>
      <c r="R148" s="15"/>
      <c r="S148" s="15"/>
      <c r="T148" s="15"/>
      <c r="U148" s="14" t="str">
        <f t="shared" si="7"/>
        <v/>
      </c>
    </row>
    <row r="149" spans="1:21" ht="29" x14ac:dyDescent="0.35">
      <c r="A149" s="14">
        <v>16</v>
      </c>
      <c r="B149" s="14" t="s">
        <v>736</v>
      </c>
      <c r="C149" s="14" t="s">
        <v>737</v>
      </c>
      <c r="D149" s="14" t="s">
        <v>738</v>
      </c>
      <c r="E149" s="14" t="s">
        <v>690</v>
      </c>
      <c r="F149" s="14" t="s">
        <v>167</v>
      </c>
      <c r="G149" s="14" t="s">
        <v>691</v>
      </c>
      <c r="H149" s="14" t="s">
        <v>59</v>
      </c>
      <c r="I149" s="15"/>
      <c r="J149" s="15"/>
      <c r="K149" s="15"/>
      <c r="L149" s="15"/>
      <c r="M149" s="15"/>
      <c r="N149" s="15"/>
      <c r="O149" s="15"/>
      <c r="P149" s="15"/>
      <c r="Q149" s="15"/>
      <c r="R149" s="15"/>
      <c r="S149" s="15"/>
      <c r="T149" s="15"/>
      <c r="U149" s="14" t="str">
        <f t="shared" si="7"/>
        <v/>
      </c>
    </row>
    <row r="150" spans="1:21" ht="29" x14ac:dyDescent="0.35">
      <c r="A150" s="14">
        <v>17</v>
      </c>
      <c r="B150" s="14" t="s">
        <v>739</v>
      </c>
      <c r="C150" s="14" t="s">
        <v>740</v>
      </c>
      <c r="D150" s="14" t="s">
        <v>741</v>
      </c>
      <c r="E150" s="14" t="s">
        <v>69</v>
      </c>
      <c r="F150" s="14" t="s">
        <v>95</v>
      </c>
      <c r="G150" s="14" t="s">
        <v>691</v>
      </c>
      <c r="H150" s="14" t="s">
        <v>59</v>
      </c>
      <c r="I150" s="15"/>
      <c r="J150" s="15"/>
      <c r="K150" s="15"/>
      <c r="L150" s="15"/>
      <c r="M150" s="15"/>
      <c r="N150" s="15"/>
      <c r="O150" s="15"/>
      <c r="P150" s="15"/>
      <c r="Q150" s="15"/>
      <c r="R150" s="15"/>
      <c r="S150" s="15"/>
      <c r="T150" s="15"/>
      <c r="U150" s="14" t="str">
        <f t="shared" si="7"/>
        <v/>
      </c>
    </row>
    <row r="153" spans="1:21" ht="22" customHeight="1" x14ac:dyDescent="0.35">
      <c r="A153" s="26" t="s">
        <v>747</v>
      </c>
      <c r="B153" s="23"/>
      <c r="C153" s="23"/>
      <c r="D153" s="23"/>
      <c r="E153" s="23"/>
      <c r="F153" s="23"/>
      <c r="G153" s="23"/>
      <c r="H153" s="23"/>
      <c r="I153" s="23"/>
      <c r="J153" s="23"/>
      <c r="K153" s="23"/>
      <c r="L153" s="23"/>
      <c r="M153" s="23"/>
      <c r="N153" s="23"/>
      <c r="O153" s="23"/>
      <c r="P153" s="23"/>
      <c r="Q153" s="23"/>
      <c r="R153" s="23"/>
      <c r="S153" s="23"/>
      <c r="T153" s="23"/>
      <c r="U153" s="23"/>
    </row>
    <row r="154" spans="1:21" x14ac:dyDescent="0.35">
      <c r="A154" t="s">
        <v>31</v>
      </c>
      <c r="B154" t="s">
        <v>24</v>
      </c>
      <c r="C154" t="s">
        <v>32</v>
      </c>
      <c r="E154" t="s">
        <v>33</v>
      </c>
    </row>
    <row r="155" spans="1:21" ht="29" x14ac:dyDescent="0.35">
      <c r="A155" s="11" t="s">
        <v>34</v>
      </c>
      <c r="B155" s="11" t="s">
        <v>35</v>
      </c>
      <c r="C155" s="11" t="s">
        <v>36</v>
      </c>
      <c r="D155" s="11" t="s">
        <v>37</v>
      </c>
      <c r="E155" s="11" t="s">
        <v>38</v>
      </c>
      <c r="F155" s="11" t="s">
        <v>39</v>
      </c>
      <c r="G155" s="11" t="s">
        <v>40</v>
      </c>
      <c r="H155" s="11" t="s">
        <v>41</v>
      </c>
      <c r="I155" s="11" t="s">
        <v>42</v>
      </c>
      <c r="J155" s="11" t="s">
        <v>43</v>
      </c>
      <c r="K155" s="11" t="s">
        <v>44</v>
      </c>
      <c r="L155" s="11" t="s">
        <v>45</v>
      </c>
      <c r="M155" s="11" t="s">
        <v>46</v>
      </c>
      <c r="N155" s="11" t="s">
        <v>47</v>
      </c>
      <c r="O155" s="11" t="s">
        <v>48</v>
      </c>
      <c r="P155" s="11" t="s">
        <v>4</v>
      </c>
      <c r="Q155" s="11" t="s">
        <v>49</v>
      </c>
      <c r="R155" s="11" t="s">
        <v>50</v>
      </c>
      <c r="S155" s="11" t="s">
        <v>51</v>
      </c>
      <c r="T155" s="11" t="s">
        <v>52</v>
      </c>
      <c r="U155" s="11" t="s">
        <v>10</v>
      </c>
    </row>
    <row r="156" spans="1:21" ht="29" x14ac:dyDescent="0.35">
      <c r="A156" s="14">
        <v>1</v>
      </c>
      <c r="B156" s="14" t="s">
        <v>687</v>
      </c>
      <c r="C156" s="14" t="s">
        <v>688</v>
      </c>
      <c r="D156" s="14" t="s">
        <v>689</v>
      </c>
      <c r="E156" s="14" t="s">
        <v>690</v>
      </c>
      <c r="F156" s="14" t="s">
        <v>167</v>
      </c>
      <c r="G156" s="14" t="s">
        <v>691</v>
      </c>
      <c r="H156" s="14" t="s">
        <v>59</v>
      </c>
      <c r="I156" s="15"/>
      <c r="J156" s="15"/>
      <c r="K156" s="15"/>
      <c r="L156" s="15"/>
      <c r="M156" s="15"/>
      <c r="N156" s="15"/>
      <c r="O156" s="15"/>
      <c r="P156" s="15"/>
      <c r="Q156" s="15"/>
      <c r="R156" s="15"/>
      <c r="S156" s="15"/>
      <c r="T156" s="15"/>
      <c r="U156" s="14" t="str">
        <f t="shared" ref="U156:U172" si="8">IF(I156="","",IF(I156="NA","Grey",IF(I156=2,"Green",IF(I156=1,"Amber","Red"))))</f>
        <v/>
      </c>
    </row>
    <row r="157" spans="1:21" ht="29" x14ac:dyDescent="0.35">
      <c r="A157" s="14">
        <v>2</v>
      </c>
      <c r="B157" s="14" t="s">
        <v>692</v>
      </c>
      <c r="C157" s="14" t="s">
        <v>693</v>
      </c>
      <c r="D157" s="14" t="s">
        <v>694</v>
      </c>
      <c r="E157" s="14" t="s">
        <v>69</v>
      </c>
      <c r="F157" s="14" t="s">
        <v>167</v>
      </c>
      <c r="G157" s="14" t="s">
        <v>691</v>
      </c>
      <c r="H157" s="14" t="s">
        <v>76</v>
      </c>
      <c r="I157" s="15"/>
      <c r="J157" s="15"/>
      <c r="K157" s="15"/>
      <c r="L157" s="15"/>
      <c r="M157" s="15"/>
      <c r="N157" s="15"/>
      <c r="O157" s="15"/>
      <c r="P157" s="15"/>
      <c r="Q157" s="15"/>
      <c r="R157" s="15"/>
      <c r="S157" s="15"/>
      <c r="T157" s="15"/>
      <c r="U157" s="14" t="str">
        <f t="shared" si="8"/>
        <v/>
      </c>
    </row>
    <row r="158" spans="1:21" ht="29" x14ac:dyDescent="0.35">
      <c r="A158" s="14">
        <v>3</v>
      </c>
      <c r="B158" s="14" t="s">
        <v>695</v>
      </c>
      <c r="C158" s="14" t="s">
        <v>696</v>
      </c>
      <c r="D158" s="14" t="s">
        <v>697</v>
      </c>
      <c r="E158" s="14" t="s">
        <v>69</v>
      </c>
      <c r="F158" s="14" t="s">
        <v>284</v>
      </c>
      <c r="G158" s="14" t="s">
        <v>691</v>
      </c>
      <c r="H158" s="14" t="s">
        <v>76</v>
      </c>
      <c r="I158" s="15"/>
      <c r="J158" s="15"/>
      <c r="K158" s="15"/>
      <c r="L158" s="15"/>
      <c r="M158" s="15"/>
      <c r="N158" s="15"/>
      <c r="O158" s="15"/>
      <c r="P158" s="15"/>
      <c r="Q158" s="15"/>
      <c r="R158" s="15"/>
      <c r="S158" s="15"/>
      <c r="T158" s="15"/>
      <c r="U158" s="14" t="str">
        <f t="shared" si="8"/>
        <v/>
      </c>
    </row>
    <row r="159" spans="1:21" ht="29" x14ac:dyDescent="0.35">
      <c r="A159" s="14">
        <v>4</v>
      </c>
      <c r="B159" s="14" t="s">
        <v>698</v>
      </c>
      <c r="C159" s="14" t="s">
        <v>699</v>
      </c>
      <c r="D159" s="14" t="s">
        <v>700</v>
      </c>
      <c r="E159" s="14" t="s">
        <v>69</v>
      </c>
      <c r="F159" s="14" t="s">
        <v>284</v>
      </c>
      <c r="G159" s="14" t="s">
        <v>691</v>
      </c>
      <c r="H159" s="14" t="s">
        <v>76</v>
      </c>
      <c r="I159" s="15"/>
      <c r="J159" s="15"/>
      <c r="K159" s="15"/>
      <c r="L159" s="15"/>
      <c r="M159" s="15"/>
      <c r="N159" s="15"/>
      <c r="O159" s="15"/>
      <c r="P159" s="15"/>
      <c r="Q159" s="15"/>
      <c r="R159" s="15"/>
      <c r="S159" s="15"/>
      <c r="T159" s="15"/>
      <c r="U159" s="14" t="str">
        <f t="shared" si="8"/>
        <v/>
      </c>
    </row>
    <row r="160" spans="1:21" ht="29" x14ac:dyDescent="0.35">
      <c r="A160" s="14">
        <v>5</v>
      </c>
      <c r="B160" s="14" t="s">
        <v>701</v>
      </c>
      <c r="C160" s="14" t="s">
        <v>702</v>
      </c>
      <c r="D160" s="14" t="s">
        <v>703</v>
      </c>
      <c r="E160" s="14" t="s">
        <v>69</v>
      </c>
      <c r="F160" s="14" t="s">
        <v>284</v>
      </c>
      <c r="G160" s="14" t="s">
        <v>691</v>
      </c>
      <c r="H160" s="14" t="s">
        <v>76</v>
      </c>
      <c r="I160" s="15"/>
      <c r="J160" s="15"/>
      <c r="K160" s="15"/>
      <c r="L160" s="15"/>
      <c r="M160" s="15"/>
      <c r="N160" s="15"/>
      <c r="O160" s="15"/>
      <c r="P160" s="15"/>
      <c r="Q160" s="15"/>
      <c r="R160" s="15"/>
      <c r="S160" s="15"/>
      <c r="T160" s="15"/>
      <c r="U160" s="14" t="str">
        <f t="shared" si="8"/>
        <v/>
      </c>
    </row>
    <row r="161" spans="1:21" ht="29" x14ac:dyDescent="0.35">
      <c r="A161" s="14">
        <v>6</v>
      </c>
      <c r="B161" s="14" t="s">
        <v>704</v>
      </c>
      <c r="C161" s="14" t="s">
        <v>705</v>
      </c>
      <c r="D161" s="14" t="s">
        <v>706</v>
      </c>
      <c r="E161" s="14" t="s">
        <v>69</v>
      </c>
      <c r="F161" s="14" t="s">
        <v>707</v>
      </c>
      <c r="G161" s="14" t="s">
        <v>691</v>
      </c>
      <c r="H161" s="14" t="s">
        <v>85</v>
      </c>
      <c r="I161" s="15"/>
      <c r="J161" s="15"/>
      <c r="K161" s="15"/>
      <c r="L161" s="15"/>
      <c r="M161" s="15"/>
      <c r="N161" s="15"/>
      <c r="O161" s="15"/>
      <c r="P161" s="15"/>
      <c r="Q161" s="15"/>
      <c r="R161" s="15"/>
      <c r="S161" s="15"/>
      <c r="T161" s="15"/>
      <c r="U161" s="14" t="str">
        <f t="shared" si="8"/>
        <v/>
      </c>
    </row>
    <row r="162" spans="1:21" ht="29" x14ac:dyDescent="0.35">
      <c r="A162" s="14">
        <v>7</v>
      </c>
      <c r="B162" s="14" t="s">
        <v>708</v>
      </c>
      <c r="C162" s="14" t="s">
        <v>709</v>
      </c>
      <c r="D162" s="14" t="s">
        <v>710</v>
      </c>
      <c r="E162" s="14" t="s">
        <v>69</v>
      </c>
      <c r="F162" s="14" t="s">
        <v>711</v>
      </c>
      <c r="G162" s="14" t="s">
        <v>691</v>
      </c>
      <c r="H162" s="14" t="s">
        <v>76</v>
      </c>
      <c r="I162" s="15"/>
      <c r="J162" s="15"/>
      <c r="K162" s="15"/>
      <c r="L162" s="15"/>
      <c r="M162" s="15"/>
      <c r="N162" s="15"/>
      <c r="O162" s="15"/>
      <c r="P162" s="15"/>
      <c r="Q162" s="15"/>
      <c r="R162" s="15"/>
      <c r="S162" s="15"/>
      <c r="T162" s="15"/>
      <c r="U162" s="14" t="str">
        <f t="shared" si="8"/>
        <v/>
      </c>
    </row>
    <row r="163" spans="1:21" ht="29" x14ac:dyDescent="0.35">
      <c r="A163" s="14">
        <v>8</v>
      </c>
      <c r="B163" s="14" t="s">
        <v>712</v>
      </c>
      <c r="C163" s="14" t="s">
        <v>713</v>
      </c>
      <c r="D163" s="14" t="s">
        <v>714</v>
      </c>
      <c r="E163" s="14" t="s">
        <v>69</v>
      </c>
      <c r="F163" s="14" t="s">
        <v>167</v>
      </c>
      <c r="G163" s="14" t="s">
        <v>691</v>
      </c>
      <c r="H163" s="14" t="s">
        <v>76</v>
      </c>
      <c r="I163" s="15"/>
      <c r="J163" s="15"/>
      <c r="K163" s="15"/>
      <c r="L163" s="15"/>
      <c r="M163" s="15"/>
      <c r="N163" s="15"/>
      <c r="O163" s="15"/>
      <c r="P163" s="15"/>
      <c r="Q163" s="15"/>
      <c r="R163" s="15"/>
      <c r="S163" s="15"/>
      <c r="T163" s="15"/>
      <c r="U163" s="14" t="str">
        <f t="shared" si="8"/>
        <v/>
      </c>
    </row>
    <row r="164" spans="1:21" ht="29" x14ac:dyDescent="0.35">
      <c r="A164" s="14">
        <v>9</v>
      </c>
      <c r="B164" s="14" t="s">
        <v>715</v>
      </c>
      <c r="C164" s="14" t="s">
        <v>716</v>
      </c>
      <c r="D164" s="14" t="s">
        <v>717</v>
      </c>
      <c r="E164" s="14" t="s">
        <v>69</v>
      </c>
      <c r="F164" s="14" t="s">
        <v>95</v>
      </c>
      <c r="G164" s="14" t="s">
        <v>691</v>
      </c>
      <c r="H164" s="14" t="s">
        <v>59</v>
      </c>
      <c r="I164" s="15"/>
      <c r="J164" s="15"/>
      <c r="K164" s="15"/>
      <c r="L164" s="15"/>
      <c r="M164" s="15"/>
      <c r="N164" s="15"/>
      <c r="O164" s="15"/>
      <c r="P164" s="15"/>
      <c r="Q164" s="15"/>
      <c r="R164" s="15"/>
      <c r="S164" s="15"/>
      <c r="T164" s="15"/>
      <c r="U164" s="14" t="str">
        <f t="shared" si="8"/>
        <v/>
      </c>
    </row>
    <row r="165" spans="1:21" ht="29" x14ac:dyDescent="0.35">
      <c r="A165" s="14">
        <v>10</v>
      </c>
      <c r="B165" s="14" t="s">
        <v>718</v>
      </c>
      <c r="C165" s="14" t="s">
        <v>719</v>
      </c>
      <c r="D165" s="14" t="s">
        <v>720</v>
      </c>
      <c r="E165" s="14" t="s">
        <v>69</v>
      </c>
      <c r="F165" s="14" t="s">
        <v>167</v>
      </c>
      <c r="G165" s="14" t="s">
        <v>691</v>
      </c>
      <c r="H165" s="14" t="s">
        <v>59</v>
      </c>
      <c r="I165" s="15"/>
      <c r="J165" s="15"/>
      <c r="K165" s="15"/>
      <c r="L165" s="15"/>
      <c r="M165" s="15"/>
      <c r="N165" s="15"/>
      <c r="O165" s="15"/>
      <c r="P165" s="15"/>
      <c r="Q165" s="15"/>
      <c r="R165" s="15"/>
      <c r="S165" s="15"/>
      <c r="T165" s="15"/>
      <c r="U165" s="14" t="str">
        <f t="shared" si="8"/>
        <v/>
      </c>
    </row>
    <row r="166" spans="1:21" ht="29" x14ac:dyDescent="0.35">
      <c r="A166" s="14">
        <v>11</v>
      </c>
      <c r="B166" s="14" t="s">
        <v>721</v>
      </c>
      <c r="C166" s="14" t="s">
        <v>722</v>
      </c>
      <c r="D166" s="14" t="s">
        <v>723</v>
      </c>
      <c r="E166" s="14" t="s">
        <v>690</v>
      </c>
      <c r="F166" s="14" t="s">
        <v>167</v>
      </c>
      <c r="G166" s="14" t="s">
        <v>691</v>
      </c>
      <c r="H166" s="14" t="s">
        <v>59</v>
      </c>
      <c r="I166" s="15"/>
      <c r="J166" s="15"/>
      <c r="K166" s="15"/>
      <c r="L166" s="15"/>
      <c r="M166" s="15"/>
      <c r="N166" s="15"/>
      <c r="O166" s="15"/>
      <c r="P166" s="15"/>
      <c r="Q166" s="15"/>
      <c r="R166" s="15"/>
      <c r="S166" s="15"/>
      <c r="T166" s="15"/>
      <c r="U166" s="14" t="str">
        <f t="shared" si="8"/>
        <v/>
      </c>
    </row>
    <row r="167" spans="1:21" ht="29" x14ac:dyDescent="0.35">
      <c r="A167" s="14">
        <v>12</v>
      </c>
      <c r="B167" s="14" t="s">
        <v>724</v>
      </c>
      <c r="C167" s="14" t="s">
        <v>725</v>
      </c>
      <c r="D167" s="14" t="s">
        <v>726</v>
      </c>
      <c r="E167" s="14" t="s">
        <v>690</v>
      </c>
      <c r="F167" s="14" t="s">
        <v>167</v>
      </c>
      <c r="G167" s="14" t="s">
        <v>691</v>
      </c>
      <c r="H167" s="14" t="s">
        <v>59</v>
      </c>
      <c r="I167" s="15"/>
      <c r="J167" s="15"/>
      <c r="K167" s="15"/>
      <c r="L167" s="15"/>
      <c r="M167" s="15"/>
      <c r="N167" s="15"/>
      <c r="O167" s="15"/>
      <c r="P167" s="15"/>
      <c r="Q167" s="15"/>
      <c r="R167" s="15"/>
      <c r="S167" s="15"/>
      <c r="T167" s="15"/>
      <c r="U167" s="14" t="str">
        <f t="shared" si="8"/>
        <v/>
      </c>
    </row>
    <row r="168" spans="1:21" ht="29" x14ac:dyDescent="0.35">
      <c r="A168" s="14">
        <v>13</v>
      </c>
      <c r="B168" s="14" t="s">
        <v>727</v>
      </c>
      <c r="C168" s="14" t="s">
        <v>728</v>
      </c>
      <c r="D168" s="14" t="s">
        <v>729</v>
      </c>
      <c r="E168" s="14" t="s">
        <v>690</v>
      </c>
      <c r="F168" s="14" t="s">
        <v>167</v>
      </c>
      <c r="G168" s="14" t="s">
        <v>691</v>
      </c>
      <c r="H168" s="14" t="s">
        <v>59</v>
      </c>
      <c r="I168" s="15"/>
      <c r="J168" s="15"/>
      <c r="K168" s="15"/>
      <c r="L168" s="15"/>
      <c r="M168" s="15"/>
      <c r="N168" s="15"/>
      <c r="O168" s="15"/>
      <c r="P168" s="15"/>
      <c r="Q168" s="15"/>
      <c r="R168" s="15"/>
      <c r="S168" s="15"/>
      <c r="T168" s="15"/>
      <c r="U168" s="14" t="str">
        <f t="shared" si="8"/>
        <v/>
      </c>
    </row>
    <row r="169" spans="1:21" ht="29" x14ac:dyDescent="0.35">
      <c r="A169" s="14">
        <v>14</v>
      </c>
      <c r="B169" s="14" t="s">
        <v>730</v>
      </c>
      <c r="C169" s="14" t="s">
        <v>731</v>
      </c>
      <c r="D169" s="14" t="s">
        <v>732</v>
      </c>
      <c r="E169" s="14" t="s">
        <v>690</v>
      </c>
      <c r="F169" s="14" t="s">
        <v>167</v>
      </c>
      <c r="G169" s="14" t="s">
        <v>691</v>
      </c>
      <c r="H169" s="14" t="s">
        <v>59</v>
      </c>
      <c r="I169" s="15"/>
      <c r="J169" s="15"/>
      <c r="K169" s="15"/>
      <c r="L169" s="15"/>
      <c r="M169" s="15"/>
      <c r="N169" s="15"/>
      <c r="O169" s="15"/>
      <c r="P169" s="15"/>
      <c r="Q169" s="15"/>
      <c r="R169" s="15"/>
      <c r="S169" s="15"/>
      <c r="T169" s="15"/>
      <c r="U169" s="14" t="str">
        <f t="shared" si="8"/>
        <v/>
      </c>
    </row>
    <row r="170" spans="1:21" ht="29" x14ac:dyDescent="0.35">
      <c r="A170" s="14">
        <v>15</v>
      </c>
      <c r="B170" s="14" t="s">
        <v>733</v>
      </c>
      <c r="C170" s="14" t="s">
        <v>734</v>
      </c>
      <c r="D170" s="14" t="s">
        <v>735</v>
      </c>
      <c r="E170" s="14" t="s">
        <v>69</v>
      </c>
      <c r="F170" s="14" t="s">
        <v>95</v>
      </c>
      <c r="G170" s="14" t="s">
        <v>691</v>
      </c>
      <c r="H170" s="14" t="s">
        <v>76</v>
      </c>
      <c r="I170" s="15"/>
      <c r="J170" s="15"/>
      <c r="K170" s="15"/>
      <c r="L170" s="15"/>
      <c r="M170" s="15"/>
      <c r="N170" s="15"/>
      <c r="O170" s="15"/>
      <c r="P170" s="15"/>
      <c r="Q170" s="15"/>
      <c r="R170" s="15"/>
      <c r="S170" s="15"/>
      <c r="T170" s="15"/>
      <c r="U170" s="14" t="str">
        <f t="shared" si="8"/>
        <v/>
      </c>
    </row>
    <row r="171" spans="1:21" ht="29" x14ac:dyDescent="0.35">
      <c r="A171" s="14">
        <v>16</v>
      </c>
      <c r="B171" s="14" t="s">
        <v>736</v>
      </c>
      <c r="C171" s="14" t="s">
        <v>737</v>
      </c>
      <c r="D171" s="14" t="s">
        <v>738</v>
      </c>
      <c r="E171" s="14" t="s">
        <v>690</v>
      </c>
      <c r="F171" s="14" t="s">
        <v>167</v>
      </c>
      <c r="G171" s="14" t="s">
        <v>691</v>
      </c>
      <c r="H171" s="14" t="s">
        <v>59</v>
      </c>
      <c r="I171" s="15"/>
      <c r="J171" s="15"/>
      <c r="K171" s="15"/>
      <c r="L171" s="15"/>
      <c r="M171" s="15"/>
      <c r="N171" s="15"/>
      <c r="O171" s="15"/>
      <c r="P171" s="15"/>
      <c r="Q171" s="15"/>
      <c r="R171" s="15"/>
      <c r="S171" s="15"/>
      <c r="T171" s="15"/>
      <c r="U171" s="14" t="str">
        <f t="shared" si="8"/>
        <v/>
      </c>
    </row>
    <row r="172" spans="1:21" ht="29" x14ac:dyDescent="0.35">
      <c r="A172" s="14">
        <v>17</v>
      </c>
      <c r="B172" s="14" t="s">
        <v>739</v>
      </c>
      <c r="C172" s="14" t="s">
        <v>740</v>
      </c>
      <c r="D172" s="14" t="s">
        <v>741</v>
      </c>
      <c r="E172" s="14" t="s">
        <v>69</v>
      </c>
      <c r="F172" s="14" t="s">
        <v>95</v>
      </c>
      <c r="G172" s="14" t="s">
        <v>691</v>
      </c>
      <c r="H172" s="14" t="s">
        <v>59</v>
      </c>
      <c r="I172" s="15"/>
      <c r="J172" s="15"/>
      <c r="K172" s="15"/>
      <c r="L172" s="15"/>
      <c r="M172" s="15"/>
      <c r="N172" s="15"/>
      <c r="O172" s="15"/>
      <c r="P172" s="15"/>
      <c r="Q172" s="15"/>
      <c r="R172" s="15"/>
      <c r="S172" s="15"/>
      <c r="T172" s="15"/>
      <c r="U172" s="14" t="str">
        <f t="shared" si="8"/>
        <v/>
      </c>
    </row>
    <row r="175" spans="1:21" ht="22" customHeight="1" x14ac:dyDescent="0.35">
      <c r="A175" s="26" t="s">
        <v>748</v>
      </c>
      <c r="B175" s="23"/>
      <c r="C175" s="23"/>
      <c r="D175" s="23"/>
      <c r="E175" s="23"/>
      <c r="F175" s="23"/>
      <c r="G175" s="23"/>
      <c r="H175" s="23"/>
      <c r="I175" s="23"/>
      <c r="J175" s="23"/>
      <c r="K175" s="23"/>
      <c r="L175" s="23"/>
      <c r="M175" s="23"/>
      <c r="N175" s="23"/>
      <c r="O175" s="23"/>
      <c r="P175" s="23"/>
      <c r="Q175" s="23"/>
      <c r="R175" s="23"/>
      <c r="S175" s="23"/>
      <c r="T175" s="23"/>
      <c r="U175" s="23"/>
    </row>
    <row r="176" spans="1:21" x14ac:dyDescent="0.35">
      <c r="A176" t="s">
        <v>31</v>
      </c>
      <c r="B176" t="s">
        <v>25</v>
      </c>
      <c r="C176" t="s">
        <v>32</v>
      </c>
      <c r="E176" t="s">
        <v>33</v>
      </c>
    </row>
    <row r="177" spans="1:21" ht="29" x14ac:dyDescent="0.35">
      <c r="A177" s="11" t="s">
        <v>34</v>
      </c>
      <c r="B177" s="11" t="s">
        <v>35</v>
      </c>
      <c r="C177" s="11" t="s">
        <v>36</v>
      </c>
      <c r="D177" s="11" t="s">
        <v>37</v>
      </c>
      <c r="E177" s="11" t="s">
        <v>38</v>
      </c>
      <c r="F177" s="11" t="s">
        <v>39</v>
      </c>
      <c r="G177" s="11" t="s">
        <v>40</v>
      </c>
      <c r="H177" s="11" t="s">
        <v>41</v>
      </c>
      <c r="I177" s="11" t="s">
        <v>42</v>
      </c>
      <c r="J177" s="11" t="s">
        <v>43</v>
      </c>
      <c r="K177" s="11" t="s">
        <v>44</v>
      </c>
      <c r="L177" s="11" t="s">
        <v>45</v>
      </c>
      <c r="M177" s="11" t="s">
        <v>46</v>
      </c>
      <c r="N177" s="11" t="s">
        <v>47</v>
      </c>
      <c r="O177" s="11" t="s">
        <v>48</v>
      </c>
      <c r="P177" s="11" t="s">
        <v>4</v>
      </c>
      <c r="Q177" s="11" t="s">
        <v>49</v>
      </c>
      <c r="R177" s="11" t="s">
        <v>50</v>
      </c>
      <c r="S177" s="11" t="s">
        <v>51</v>
      </c>
      <c r="T177" s="11" t="s">
        <v>52</v>
      </c>
      <c r="U177" s="11" t="s">
        <v>10</v>
      </c>
    </row>
    <row r="178" spans="1:21" ht="29" x14ac:dyDescent="0.35">
      <c r="A178" s="14">
        <v>1</v>
      </c>
      <c r="B178" s="14" t="s">
        <v>687</v>
      </c>
      <c r="C178" s="14" t="s">
        <v>688</v>
      </c>
      <c r="D178" s="14" t="s">
        <v>689</v>
      </c>
      <c r="E178" s="14" t="s">
        <v>690</v>
      </c>
      <c r="F178" s="14" t="s">
        <v>167</v>
      </c>
      <c r="G178" s="14" t="s">
        <v>691</v>
      </c>
      <c r="H178" s="14" t="s">
        <v>59</v>
      </c>
      <c r="I178" s="15"/>
      <c r="J178" s="15"/>
      <c r="K178" s="15"/>
      <c r="L178" s="15"/>
      <c r="M178" s="15"/>
      <c r="N178" s="15"/>
      <c r="O178" s="15"/>
      <c r="P178" s="15"/>
      <c r="Q178" s="15"/>
      <c r="R178" s="15"/>
      <c r="S178" s="15"/>
      <c r="T178" s="15"/>
      <c r="U178" s="14" t="str">
        <f t="shared" ref="U178:U194" si="9">IF(I178="","",IF(I178="NA","Grey",IF(I178=2,"Green",IF(I178=1,"Amber","Red"))))</f>
        <v/>
      </c>
    </row>
    <row r="179" spans="1:21" ht="29" x14ac:dyDescent="0.35">
      <c r="A179" s="14">
        <v>2</v>
      </c>
      <c r="B179" s="14" t="s">
        <v>692</v>
      </c>
      <c r="C179" s="14" t="s">
        <v>693</v>
      </c>
      <c r="D179" s="14" t="s">
        <v>694</v>
      </c>
      <c r="E179" s="14" t="s">
        <v>69</v>
      </c>
      <c r="F179" s="14" t="s">
        <v>167</v>
      </c>
      <c r="G179" s="14" t="s">
        <v>691</v>
      </c>
      <c r="H179" s="14" t="s">
        <v>76</v>
      </c>
      <c r="I179" s="15"/>
      <c r="J179" s="15"/>
      <c r="K179" s="15"/>
      <c r="L179" s="15"/>
      <c r="M179" s="15"/>
      <c r="N179" s="15"/>
      <c r="O179" s="15"/>
      <c r="P179" s="15"/>
      <c r="Q179" s="15"/>
      <c r="R179" s="15"/>
      <c r="S179" s="15"/>
      <c r="T179" s="15"/>
      <c r="U179" s="14" t="str">
        <f t="shared" si="9"/>
        <v/>
      </c>
    </row>
    <row r="180" spans="1:21" ht="29" x14ac:dyDescent="0.35">
      <c r="A180" s="14">
        <v>3</v>
      </c>
      <c r="B180" s="14" t="s">
        <v>695</v>
      </c>
      <c r="C180" s="14" t="s">
        <v>696</v>
      </c>
      <c r="D180" s="14" t="s">
        <v>697</v>
      </c>
      <c r="E180" s="14" t="s">
        <v>69</v>
      </c>
      <c r="F180" s="14" t="s">
        <v>284</v>
      </c>
      <c r="G180" s="14" t="s">
        <v>691</v>
      </c>
      <c r="H180" s="14" t="s">
        <v>76</v>
      </c>
      <c r="I180" s="15"/>
      <c r="J180" s="15"/>
      <c r="K180" s="15"/>
      <c r="L180" s="15"/>
      <c r="M180" s="15"/>
      <c r="N180" s="15"/>
      <c r="O180" s="15"/>
      <c r="P180" s="15"/>
      <c r="Q180" s="15"/>
      <c r="R180" s="15"/>
      <c r="S180" s="15"/>
      <c r="T180" s="15"/>
      <c r="U180" s="14" t="str">
        <f t="shared" si="9"/>
        <v/>
      </c>
    </row>
    <row r="181" spans="1:21" ht="29" x14ac:dyDescent="0.35">
      <c r="A181" s="14">
        <v>4</v>
      </c>
      <c r="B181" s="14" t="s">
        <v>698</v>
      </c>
      <c r="C181" s="14" t="s">
        <v>699</v>
      </c>
      <c r="D181" s="14" t="s">
        <v>700</v>
      </c>
      <c r="E181" s="14" t="s">
        <v>69</v>
      </c>
      <c r="F181" s="14" t="s">
        <v>284</v>
      </c>
      <c r="G181" s="14" t="s">
        <v>691</v>
      </c>
      <c r="H181" s="14" t="s">
        <v>76</v>
      </c>
      <c r="I181" s="15"/>
      <c r="J181" s="15"/>
      <c r="K181" s="15"/>
      <c r="L181" s="15"/>
      <c r="M181" s="15"/>
      <c r="N181" s="15"/>
      <c r="O181" s="15"/>
      <c r="P181" s="15"/>
      <c r="Q181" s="15"/>
      <c r="R181" s="15"/>
      <c r="S181" s="15"/>
      <c r="T181" s="15"/>
      <c r="U181" s="14" t="str">
        <f t="shared" si="9"/>
        <v/>
      </c>
    </row>
    <row r="182" spans="1:21" ht="29" x14ac:dyDescent="0.35">
      <c r="A182" s="14">
        <v>5</v>
      </c>
      <c r="B182" s="14" t="s">
        <v>701</v>
      </c>
      <c r="C182" s="14" t="s">
        <v>702</v>
      </c>
      <c r="D182" s="14" t="s">
        <v>703</v>
      </c>
      <c r="E182" s="14" t="s">
        <v>69</v>
      </c>
      <c r="F182" s="14" t="s">
        <v>284</v>
      </c>
      <c r="G182" s="14" t="s">
        <v>691</v>
      </c>
      <c r="H182" s="14" t="s">
        <v>76</v>
      </c>
      <c r="I182" s="15"/>
      <c r="J182" s="15"/>
      <c r="K182" s="15"/>
      <c r="L182" s="15"/>
      <c r="M182" s="15"/>
      <c r="N182" s="15"/>
      <c r="O182" s="15"/>
      <c r="P182" s="15"/>
      <c r="Q182" s="15"/>
      <c r="R182" s="15"/>
      <c r="S182" s="15"/>
      <c r="T182" s="15"/>
      <c r="U182" s="14" t="str">
        <f t="shared" si="9"/>
        <v/>
      </c>
    </row>
    <row r="183" spans="1:21" ht="29" x14ac:dyDescent="0.35">
      <c r="A183" s="14">
        <v>6</v>
      </c>
      <c r="B183" s="14" t="s">
        <v>704</v>
      </c>
      <c r="C183" s="14" t="s">
        <v>705</v>
      </c>
      <c r="D183" s="14" t="s">
        <v>706</v>
      </c>
      <c r="E183" s="14" t="s">
        <v>69</v>
      </c>
      <c r="F183" s="14" t="s">
        <v>707</v>
      </c>
      <c r="G183" s="14" t="s">
        <v>691</v>
      </c>
      <c r="H183" s="14" t="s">
        <v>85</v>
      </c>
      <c r="I183" s="15"/>
      <c r="J183" s="15"/>
      <c r="K183" s="15"/>
      <c r="L183" s="15"/>
      <c r="M183" s="15"/>
      <c r="N183" s="15"/>
      <c r="O183" s="15"/>
      <c r="P183" s="15"/>
      <c r="Q183" s="15"/>
      <c r="R183" s="15"/>
      <c r="S183" s="15"/>
      <c r="T183" s="15"/>
      <c r="U183" s="14" t="str">
        <f t="shared" si="9"/>
        <v/>
      </c>
    </row>
    <row r="184" spans="1:21" ht="29" x14ac:dyDescent="0.35">
      <c r="A184" s="14">
        <v>7</v>
      </c>
      <c r="B184" s="14" t="s">
        <v>708</v>
      </c>
      <c r="C184" s="14" t="s">
        <v>709</v>
      </c>
      <c r="D184" s="14" t="s">
        <v>710</v>
      </c>
      <c r="E184" s="14" t="s">
        <v>69</v>
      </c>
      <c r="F184" s="14" t="s">
        <v>711</v>
      </c>
      <c r="G184" s="14" t="s">
        <v>691</v>
      </c>
      <c r="H184" s="14" t="s">
        <v>76</v>
      </c>
      <c r="I184" s="15"/>
      <c r="J184" s="15"/>
      <c r="K184" s="15"/>
      <c r="L184" s="15"/>
      <c r="M184" s="15"/>
      <c r="N184" s="15"/>
      <c r="O184" s="15"/>
      <c r="P184" s="15"/>
      <c r="Q184" s="15"/>
      <c r="R184" s="15"/>
      <c r="S184" s="15"/>
      <c r="T184" s="15"/>
      <c r="U184" s="14" t="str">
        <f t="shared" si="9"/>
        <v/>
      </c>
    </row>
    <row r="185" spans="1:21" ht="29" x14ac:dyDescent="0.35">
      <c r="A185" s="14">
        <v>8</v>
      </c>
      <c r="B185" s="14" t="s">
        <v>712</v>
      </c>
      <c r="C185" s="14" t="s">
        <v>713</v>
      </c>
      <c r="D185" s="14" t="s">
        <v>714</v>
      </c>
      <c r="E185" s="14" t="s">
        <v>69</v>
      </c>
      <c r="F185" s="14" t="s">
        <v>167</v>
      </c>
      <c r="G185" s="14" t="s">
        <v>691</v>
      </c>
      <c r="H185" s="14" t="s">
        <v>76</v>
      </c>
      <c r="I185" s="15"/>
      <c r="J185" s="15"/>
      <c r="K185" s="15"/>
      <c r="L185" s="15"/>
      <c r="M185" s="15"/>
      <c r="N185" s="15"/>
      <c r="O185" s="15"/>
      <c r="P185" s="15"/>
      <c r="Q185" s="15"/>
      <c r="R185" s="15"/>
      <c r="S185" s="15"/>
      <c r="T185" s="15"/>
      <c r="U185" s="14" t="str">
        <f t="shared" si="9"/>
        <v/>
      </c>
    </row>
    <row r="186" spans="1:21" ht="29" x14ac:dyDescent="0.35">
      <c r="A186" s="14">
        <v>9</v>
      </c>
      <c r="B186" s="14" t="s">
        <v>715</v>
      </c>
      <c r="C186" s="14" t="s">
        <v>716</v>
      </c>
      <c r="D186" s="14" t="s">
        <v>717</v>
      </c>
      <c r="E186" s="14" t="s">
        <v>69</v>
      </c>
      <c r="F186" s="14" t="s">
        <v>95</v>
      </c>
      <c r="G186" s="14" t="s">
        <v>691</v>
      </c>
      <c r="H186" s="14" t="s">
        <v>59</v>
      </c>
      <c r="I186" s="15"/>
      <c r="J186" s="15"/>
      <c r="K186" s="15"/>
      <c r="L186" s="15"/>
      <c r="M186" s="15"/>
      <c r="N186" s="15"/>
      <c r="O186" s="15"/>
      <c r="P186" s="15"/>
      <c r="Q186" s="15"/>
      <c r="R186" s="15"/>
      <c r="S186" s="15"/>
      <c r="T186" s="15"/>
      <c r="U186" s="14" t="str">
        <f t="shared" si="9"/>
        <v/>
      </c>
    </row>
    <row r="187" spans="1:21" ht="29" x14ac:dyDescent="0.35">
      <c r="A187" s="14">
        <v>10</v>
      </c>
      <c r="B187" s="14" t="s">
        <v>718</v>
      </c>
      <c r="C187" s="14" t="s">
        <v>719</v>
      </c>
      <c r="D187" s="14" t="s">
        <v>720</v>
      </c>
      <c r="E187" s="14" t="s">
        <v>69</v>
      </c>
      <c r="F187" s="14" t="s">
        <v>167</v>
      </c>
      <c r="G187" s="14" t="s">
        <v>691</v>
      </c>
      <c r="H187" s="14" t="s">
        <v>59</v>
      </c>
      <c r="I187" s="15"/>
      <c r="J187" s="15"/>
      <c r="K187" s="15"/>
      <c r="L187" s="15"/>
      <c r="M187" s="15"/>
      <c r="N187" s="15"/>
      <c r="O187" s="15"/>
      <c r="P187" s="15"/>
      <c r="Q187" s="15"/>
      <c r="R187" s="15"/>
      <c r="S187" s="15"/>
      <c r="T187" s="15"/>
      <c r="U187" s="14" t="str">
        <f t="shared" si="9"/>
        <v/>
      </c>
    </row>
    <row r="188" spans="1:21" ht="29" x14ac:dyDescent="0.35">
      <c r="A188" s="14">
        <v>11</v>
      </c>
      <c r="B188" s="14" t="s">
        <v>721</v>
      </c>
      <c r="C188" s="14" t="s">
        <v>722</v>
      </c>
      <c r="D188" s="14" t="s">
        <v>723</v>
      </c>
      <c r="E188" s="14" t="s">
        <v>690</v>
      </c>
      <c r="F188" s="14" t="s">
        <v>167</v>
      </c>
      <c r="G188" s="14" t="s">
        <v>691</v>
      </c>
      <c r="H188" s="14" t="s">
        <v>59</v>
      </c>
      <c r="I188" s="15"/>
      <c r="J188" s="15"/>
      <c r="K188" s="15"/>
      <c r="L188" s="15"/>
      <c r="M188" s="15"/>
      <c r="N188" s="15"/>
      <c r="O188" s="15"/>
      <c r="P188" s="15"/>
      <c r="Q188" s="15"/>
      <c r="R188" s="15"/>
      <c r="S188" s="15"/>
      <c r="T188" s="15"/>
      <c r="U188" s="14" t="str">
        <f t="shared" si="9"/>
        <v/>
      </c>
    </row>
    <row r="189" spans="1:21" ht="29" x14ac:dyDescent="0.35">
      <c r="A189" s="14">
        <v>12</v>
      </c>
      <c r="B189" s="14" t="s">
        <v>724</v>
      </c>
      <c r="C189" s="14" t="s">
        <v>725</v>
      </c>
      <c r="D189" s="14" t="s">
        <v>726</v>
      </c>
      <c r="E189" s="14" t="s">
        <v>690</v>
      </c>
      <c r="F189" s="14" t="s">
        <v>167</v>
      </c>
      <c r="G189" s="14" t="s">
        <v>691</v>
      </c>
      <c r="H189" s="14" t="s">
        <v>59</v>
      </c>
      <c r="I189" s="15"/>
      <c r="J189" s="15"/>
      <c r="K189" s="15"/>
      <c r="L189" s="15"/>
      <c r="M189" s="15"/>
      <c r="N189" s="15"/>
      <c r="O189" s="15"/>
      <c r="P189" s="15"/>
      <c r="Q189" s="15"/>
      <c r="R189" s="15"/>
      <c r="S189" s="15"/>
      <c r="T189" s="15"/>
      <c r="U189" s="14" t="str">
        <f t="shared" si="9"/>
        <v/>
      </c>
    </row>
    <row r="190" spans="1:21" ht="29" x14ac:dyDescent="0.35">
      <c r="A190" s="14">
        <v>13</v>
      </c>
      <c r="B190" s="14" t="s">
        <v>727</v>
      </c>
      <c r="C190" s="14" t="s">
        <v>728</v>
      </c>
      <c r="D190" s="14" t="s">
        <v>729</v>
      </c>
      <c r="E190" s="14" t="s">
        <v>690</v>
      </c>
      <c r="F190" s="14" t="s">
        <v>167</v>
      </c>
      <c r="G190" s="14" t="s">
        <v>691</v>
      </c>
      <c r="H190" s="14" t="s">
        <v>59</v>
      </c>
      <c r="I190" s="15"/>
      <c r="J190" s="15"/>
      <c r="K190" s="15"/>
      <c r="L190" s="15"/>
      <c r="M190" s="15"/>
      <c r="N190" s="15"/>
      <c r="O190" s="15"/>
      <c r="P190" s="15"/>
      <c r="Q190" s="15"/>
      <c r="R190" s="15"/>
      <c r="S190" s="15"/>
      <c r="T190" s="15"/>
      <c r="U190" s="14" t="str">
        <f t="shared" si="9"/>
        <v/>
      </c>
    </row>
    <row r="191" spans="1:21" ht="29" x14ac:dyDescent="0.35">
      <c r="A191" s="14">
        <v>14</v>
      </c>
      <c r="B191" s="14" t="s">
        <v>730</v>
      </c>
      <c r="C191" s="14" t="s">
        <v>731</v>
      </c>
      <c r="D191" s="14" t="s">
        <v>732</v>
      </c>
      <c r="E191" s="14" t="s">
        <v>690</v>
      </c>
      <c r="F191" s="14" t="s">
        <v>167</v>
      </c>
      <c r="G191" s="14" t="s">
        <v>691</v>
      </c>
      <c r="H191" s="14" t="s">
        <v>59</v>
      </c>
      <c r="I191" s="15"/>
      <c r="J191" s="15"/>
      <c r="K191" s="15"/>
      <c r="L191" s="15"/>
      <c r="M191" s="15"/>
      <c r="N191" s="15"/>
      <c r="O191" s="15"/>
      <c r="P191" s="15"/>
      <c r="Q191" s="15"/>
      <c r="R191" s="15"/>
      <c r="S191" s="15"/>
      <c r="T191" s="15"/>
      <c r="U191" s="14" t="str">
        <f t="shared" si="9"/>
        <v/>
      </c>
    </row>
    <row r="192" spans="1:21" ht="29" x14ac:dyDescent="0.35">
      <c r="A192" s="14">
        <v>15</v>
      </c>
      <c r="B192" s="14" t="s">
        <v>733</v>
      </c>
      <c r="C192" s="14" t="s">
        <v>734</v>
      </c>
      <c r="D192" s="14" t="s">
        <v>735</v>
      </c>
      <c r="E192" s="14" t="s">
        <v>69</v>
      </c>
      <c r="F192" s="14" t="s">
        <v>95</v>
      </c>
      <c r="G192" s="14" t="s">
        <v>691</v>
      </c>
      <c r="H192" s="14" t="s">
        <v>76</v>
      </c>
      <c r="I192" s="15"/>
      <c r="J192" s="15"/>
      <c r="K192" s="15"/>
      <c r="L192" s="15"/>
      <c r="M192" s="15"/>
      <c r="N192" s="15"/>
      <c r="O192" s="15"/>
      <c r="P192" s="15"/>
      <c r="Q192" s="15"/>
      <c r="R192" s="15"/>
      <c r="S192" s="15"/>
      <c r="T192" s="15"/>
      <c r="U192" s="14" t="str">
        <f t="shared" si="9"/>
        <v/>
      </c>
    </row>
    <row r="193" spans="1:21" ht="29" x14ac:dyDescent="0.35">
      <c r="A193" s="14">
        <v>16</v>
      </c>
      <c r="B193" s="14" t="s">
        <v>736</v>
      </c>
      <c r="C193" s="14" t="s">
        <v>737</v>
      </c>
      <c r="D193" s="14" t="s">
        <v>738</v>
      </c>
      <c r="E193" s="14" t="s">
        <v>690</v>
      </c>
      <c r="F193" s="14" t="s">
        <v>167</v>
      </c>
      <c r="G193" s="14" t="s">
        <v>691</v>
      </c>
      <c r="H193" s="14" t="s">
        <v>59</v>
      </c>
      <c r="I193" s="15"/>
      <c r="J193" s="15"/>
      <c r="K193" s="15"/>
      <c r="L193" s="15"/>
      <c r="M193" s="15"/>
      <c r="N193" s="15"/>
      <c r="O193" s="15"/>
      <c r="P193" s="15"/>
      <c r="Q193" s="15"/>
      <c r="R193" s="15"/>
      <c r="S193" s="15"/>
      <c r="T193" s="15"/>
      <c r="U193" s="14" t="str">
        <f t="shared" si="9"/>
        <v/>
      </c>
    </row>
    <row r="194" spans="1:21" ht="29" x14ac:dyDescent="0.35">
      <c r="A194" s="14">
        <v>17</v>
      </c>
      <c r="B194" s="14" t="s">
        <v>739</v>
      </c>
      <c r="C194" s="14" t="s">
        <v>740</v>
      </c>
      <c r="D194" s="14" t="s">
        <v>741</v>
      </c>
      <c r="E194" s="14" t="s">
        <v>69</v>
      </c>
      <c r="F194" s="14" t="s">
        <v>95</v>
      </c>
      <c r="G194" s="14" t="s">
        <v>691</v>
      </c>
      <c r="H194" s="14" t="s">
        <v>59</v>
      </c>
      <c r="I194" s="15"/>
      <c r="J194" s="15"/>
      <c r="K194" s="15"/>
      <c r="L194" s="15"/>
      <c r="M194" s="15"/>
      <c r="N194" s="15"/>
      <c r="O194" s="15"/>
      <c r="P194" s="15"/>
      <c r="Q194" s="15"/>
      <c r="R194" s="15"/>
      <c r="S194" s="15"/>
      <c r="T194" s="15"/>
      <c r="U194" s="14" t="str">
        <f t="shared" si="9"/>
        <v/>
      </c>
    </row>
    <row r="197" spans="1:21" ht="22" customHeight="1" x14ac:dyDescent="0.35">
      <c r="A197" s="26" t="s">
        <v>749</v>
      </c>
      <c r="B197" s="23"/>
      <c r="C197" s="23"/>
      <c r="D197" s="23"/>
      <c r="E197" s="23"/>
      <c r="F197" s="23"/>
      <c r="G197" s="23"/>
      <c r="H197" s="23"/>
      <c r="I197" s="23"/>
      <c r="J197" s="23"/>
      <c r="K197" s="23"/>
      <c r="L197" s="23"/>
      <c r="M197" s="23"/>
      <c r="N197" s="23"/>
      <c r="O197" s="23"/>
      <c r="P197" s="23"/>
      <c r="Q197" s="23"/>
      <c r="R197" s="23"/>
      <c r="S197" s="23"/>
      <c r="T197" s="23"/>
      <c r="U197" s="23"/>
    </row>
    <row r="198" spans="1:21" x14ac:dyDescent="0.35">
      <c r="A198" t="s">
        <v>31</v>
      </c>
      <c r="B198" t="s">
        <v>26</v>
      </c>
      <c r="C198" t="s">
        <v>32</v>
      </c>
      <c r="E198" t="s">
        <v>33</v>
      </c>
    </row>
    <row r="199" spans="1:21" ht="29" x14ac:dyDescent="0.35">
      <c r="A199" s="11" t="s">
        <v>34</v>
      </c>
      <c r="B199" s="11" t="s">
        <v>35</v>
      </c>
      <c r="C199" s="11" t="s">
        <v>36</v>
      </c>
      <c r="D199" s="11" t="s">
        <v>37</v>
      </c>
      <c r="E199" s="11" t="s">
        <v>38</v>
      </c>
      <c r="F199" s="11" t="s">
        <v>39</v>
      </c>
      <c r="G199" s="11" t="s">
        <v>40</v>
      </c>
      <c r="H199" s="11" t="s">
        <v>41</v>
      </c>
      <c r="I199" s="11" t="s">
        <v>42</v>
      </c>
      <c r="J199" s="11" t="s">
        <v>43</v>
      </c>
      <c r="K199" s="11" t="s">
        <v>44</v>
      </c>
      <c r="L199" s="11" t="s">
        <v>45</v>
      </c>
      <c r="M199" s="11" t="s">
        <v>46</v>
      </c>
      <c r="N199" s="11" t="s">
        <v>47</v>
      </c>
      <c r="O199" s="11" t="s">
        <v>48</v>
      </c>
      <c r="P199" s="11" t="s">
        <v>4</v>
      </c>
      <c r="Q199" s="11" t="s">
        <v>49</v>
      </c>
      <c r="R199" s="11" t="s">
        <v>50</v>
      </c>
      <c r="S199" s="11" t="s">
        <v>51</v>
      </c>
      <c r="T199" s="11" t="s">
        <v>52</v>
      </c>
      <c r="U199" s="11" t="s">
        <v>10</v>
      </c>
    </row>
    <row r="200" spans="1:21" ht="29" x14ac:dyDescent="0.35">
      <c r="A200" s="14">
        <v>1</v>
      </c>
      <c r="B200" s="14" t="s">
        <v>687</v>
      </c>
      <c r="C200" s="14" t="s">
        <v>688</v>
      </c>
      <c r="D200" s="14" t="s">
        <v>689</v>
      </c>
      <c r="E200" s="14" t="s">
        <v>690</v>
      </c>
      <c r="F200" s="14" t="s">
        <v>167</v>
      </c>
      <c r="G200" s="14" t="s">
        <v>691</v>
      </c>
      <c r="H200" s="14" t="s">
        <v>59</v>
      </c>
      <c r="I200" s="15"/>
      <c r="J200" s="15"/>
      <c r="K200" s="15"/>
      <c r="L200" s="15"/>
      <c r="M200" s="15"/>
      <c r="N200" s="15"/>
      <c r="O200" s="15"/>
      <c r="P200" s="15"/>
      <c r="Q200" s="15"/>
      <c r="R200" s="15"/>
      <c r="S200" s="15"/>
      <c r="T200" s="15"/>
      <c r="U200" s="14" t="str">
        <f t="shared" ref="U200:U216" si="10">IF(I200="","",IF(I200="NA","Grey",IF(I200=2,"Green",IF(I200=1,"Amber","Red"))))</f>
        <v/>
      </c>
    </row>
    <row r="201" spans="1:21" ht="29" x14ac:dyDescent="0.35">
      <c r="A201" s="14">
        <v>2</v>
      </c>
      <c r="B201" s="14" t="s">
        <v>692</v>
      </c>
      <c r="C201" s="14" t="s">
        <v>693</v>
      </c>
      <c r="D201" s="14" t="s">
        <v>694</v>
      </c>
      <c r="E201" s="14" t="s">
        <v>69</v>
      </c>
      <c r="F201" s="14" t="s">
        <v>167</v>
      </c>
      <c r="G201" s="14" t="s">
        <v>691</v>
      </c>
      <c r="H201" s="14" t="s">
        <v>76</v>
      </c>
      <c r="I201" s="15"/>
      <c r="J201" s="15"/>
      <c r="K201" s="15"/>
      <c r="L201" s="15"/>
      <c r="M201" s="15"/>
      <c r="N201" s="15"/>
      <c r="O201" s="15"/>
      <c r="P201" s="15"/>
      <c r="Q201" s="15"/>
      <c r="R201" s="15"/>
      <c r="S201" s="15"/>
      <c r="T201" s="15"/>
      <c r="U201" s="14" t="str">
        <f t="shared" si="10"/>
        <v/>
      </c>
    </row>
    <row r="202" spans="1:21" ht="29" x14ac:dyDescent="0.35">
      <c r="A202" s="14">
        <v>3</v>
      </c>
      <c r="B202" s="14" t="s">
        <v>695</v>
      </c>
      <c r="C202" s="14" t="s">
        <v>696</v>
      </c>
      <c r="D202" s="14" t="s">
        <v>697</v>
      </c>
      <c r="E202" s="14" t="s">
        <v>69</v>
      </c>
      <c r="F202" s="14" t="s">
        <v>284</v>
      </c>
      <c r="G202" s="14" t="s">
        <v>691</v>
      </c>
      <c r="H202" s="14" t="s">
        <v>76</v>
      </c>
      <c r="I202" s="15"/>
      <c r="J202" s="15"/>
      <c r="K202" s="15"/>
      <c r="L202" s="15"/>
      <c r="M202" s="15"/>
      <c r="N202" s="15"/>
      <c r="O202" s="15"/>
      <c r="P202" s="15"/>
      <c r="Q202" s="15"/>
      <c r="R202" s="15"/>
      <c r="S202" s="15"/>
      <c r="T202" s="15"/>
      <c r="U202" s="14" t="str">
        <f t="shared" si="10"/>
        <v/>
      </c>
    </row>
    <row r="203" spans="1:21" ht="29" x14ac:dyDescent="0.35">
      <c r="A203" s="14">
        <v>4</v>
      </c>
      <c r="B203" s="14" t="s">
        <v>698</v>
      </c>
      <c r="C203" s="14" t="s">
        <v>699</v>
      </c>
      <c r="D203" s="14" t="s">
        <v>700</v>
      </c>
      <c r="E203" s="14" t="s">
        <v>69</v>
      </c>
      <c r="F203" s="14" t="s">
        <v>284</v>
      </c>
      <c r="G203" s="14" t="s">
        <v>691</v>
      </c>
      <c r="H203" s="14" t="s">
        <v>76</v>
      </c>
      <c r="I203" s="15"/>
      <c r="J203" s="15"/>
      <c r="K203" s="15"/>
      <c r="L203" s="15"/>
      <c r="M203" s="15"/>
      <c r="N203" s="15"/>
      <c r="O203" s="15"/>
      <c r="P203" s="15"/>
      <c r="Q203" s="15"/>
      <c r="R203" s="15"/>
      <c r="S203" s="15"/>
      <c r="T203" s="15"/>
      <c r="U203" s="14" t="str">
        <f t="shared" si="10"/>
        <v/>
      </c>
    </row>
    <row r="204" spans="1:21" ht="29" x14ac:dyDescent="0.35">
      <c r="A204" s="14">
        <v>5</v>
      </c>
      <c r="B204" s="14" t="s">
        <v>701</v>
      </c>
      <c r="C204" s="14" t="s">
        <v>702</v>
      </c>
      <c r="D204" s="14" t="s">
        <v>703</v>
      </c>
      <c r="E204" s="14" t="s">
        <v>69</v>
      </c>
      <c r="F204" s="14" t="s">
        <v>284</v>
      </c>
      <c r="G204" s="14" t="s">
        <v>691</v>
      </c>
      <c r="H204" s="14" t="s">
        <v>76</v>
      </c>
      <c r="I204" s="15"/>
      <c r="J204" s="15"/>
      <c r="K204" s="15"/>
      <c r="L204" s="15"/>
      <c r="M204" s="15"/>
      <c r="N204" s="15"/>
      <c r="O204" s="15"/>
      <c r="P204" s="15"/>
      <c r="Q204" s="15"/>
      <c r="R204" s="15"/>
      <c r="S204" s="15"/>
      <c r="T204" s="15"/>
      <c r="U204" s="14" t="str">
        <f t="shared" si="10"/>
        <v/>
      </c>
    </row>
    <row r="205" spans="1:21" ht="29" x14ac:dyDescent="0.35">
      <c r="A205" s="14">
        <v>6</v>
      </c>
      <c r="B205" s="14" t="s">
        <v>704</v>
      </c>
      <c r="C205" s="14" t="s">
        <v>705</v>
      </c>
      <c r="D205" s="14" t="s">
        <v>706</v>
      </c>
      <c r="E205" s="14" t="s">
        <v>69</v>
      </c>
      <c r="F205" s="14" t="s">
        <v>707</v>
      </c>
      <c r="G205" s="14" t="s">
        <v>691</v>
      </c>
      <c r="H205" s="14" t="s">
        <v>85</v>
      </c>
      <c r="I205" s="15"/>
      <c r="J205" s="15"/>
      <c r="K205" s="15"/>
      <c r="L205" s="15"/>
      <c r="M205" s="15"/>
      <c r="N205" s="15"/>
      <c r="O205" s="15"/>
      <c r="P205" s="15"/>
      <c r="Q205" s="15"/>
      <c r="R205" s="15"/>
      <c r="S205" s="15"/>
      <c r="T205" s="15"/>
      <c r="U205" s="14" t="str">
        <f t="shared" si="10"/>
        <v/>
      </c>
    </row>
    <row r="206" spans="1:21" ht="29" x14ac:dyDescent="0.35">
      <c r="A206" s="14">
        <v>7</v>
      </c>
      <c r="B206" s="14" t="s">
        <v>708</v>
      </c>
      <c r="C206" s="14" t="s">
        <v>709</v>
      </c>
      <c r="D206" s="14" t="s">
        <v>710</v>
      </c>
      <c r="E206" s="14" t="s">
        <v>69</v>
      </c>
      <c r="F206" s="14" t="s">
        <v>711</v>
      </c>
      <c r="G206" s="14" t="s">
        <v>691</v>
      </c>
      <c r="H206" s="14" t="s">
        <v>76</v>
      </c>
      <c r="I206" s="15"/>
      <c r="J206" s="15"/>
      <c r="K206" s="15"/>
      <c r="L206" s="15"/>
      <c r="M206" s="15"/>
      <c r="N206" s="15"/>
      <c r="O206" s="15"/>
      <c r="P206" s="15"/>
      <c r="Q206" s="15"/>
      <c r="R206" s="15"/>
      <c r="S206" s="15"/>
      <c r="T206" s="15"/>
      <c r="U206" s="14" t="str">
        <f t="shared" si="10"/>
        <v/>
      </c>
    </row>
    <row r="207" spans="1:21" ht="29" x14ac:dyDescent="0.35">
      <c r="A207" s="14">
        <v>8</v>
      </c>
      <c r="B207" s="14" t="s">
        <v>712</v>
      </c>
      <c r="C207" s="14" t="s">
        <v>713</v>
      </c>
      <c r="D207" s="14" t="s">
        <v>714</v>
      </c>
      <c r="E207" s="14" t="s">
        <v>69</v>
      </c>
      <c r="F207" s="14" t="s">
        <v>167</v>
      </c>
      <c r="G207" s="14" t="s">
        <v>691</v>
      </c>
      <c r="H207" s="14" t="s">
        <v>76</v>
      </c>
      <c r="I207" s="15"/>
      <c r="J207" s="15"/>
      <c r="K207" s="15"/>
      <c r="L207" s="15"/>
      <c r="M207" s="15"/>
      <c r="N207" s="15"/>
      <c r="O207" s="15"/>
      <c r="P207" s="15"/>
      <c r="Q207" s="15"/>
      <c r="R207" s="15"/>
      <c r="S207" s="15"/>
      <c r="T207" s="15"/>
      <c r="U207" s="14" t="str">
        <f t="shared" si="10"/>
        <v/>
      </c>
    </row>
    <row r="208" spans="1:21" ht="29" x14ac:dyDescent="0.35">
      <c r="A208" s="14">
        <v>9</v>
      </c>
      <c r="B208" s="14" t="s">
        <v>715</v>
      </c>
      <c r="C208" s="14" t="s">
        <v>716</v>
      </c>
      <c r="D208" s="14" t="s">
        <v>717</v>
      </c>
      <c r="E208" s="14" t="s">
        <v>69</v>
      </c>
      <c r="F208" s="14" t="s">
        <v>95</v>
      </c>
      <c r="G208" s="14" t="s">
        <v>691</v>
      </c>
      <c r="H208" s="14" t="s">
        <v>59</v>
      </c>
      <c r="I208" s="15"/>
      <c r="J208" s="15"/>
      <c r="K208" s="15"/>
      <c r="L208" s="15"/>
      <c r="M208" s="15"/>
      <c r="N208" s="15"/>
      <c r="O208" s="15"/>
      <c r="P208" s="15"/>
      <c r="Q208" s="15"/>
      <c r="R208" s="15"/>
      <c r="S208" s="15"/>
      <c r="T208" s="15"/>
      <c r="U208" s="14" t="str">
        <f t="shared" si="10"/>
        <v/>
      </c>
    </row>
    <row r="209" spans="1:21" ht="29" x14ac:dyDescent="0.35">
      <c r="A209" s="14">
        <v>10</v>
      </c>
      <c r="B209" s="14" t="s">
        <v>718</v>
      </c>
      <c r="C209" s="14" t="s">
        <v>719</v>
      </c>
      <c r="D209" s="14" t="s">
        <v>720</v>
      </c>
      <c r="E209" s="14" t="s">
        <v>69</v>
      </c>
      <c r="F209" s="14" t="s">
        <v>167</v>
      </c>
      <c r="G209" s="14" t="s">
        <v>691</v>
      </c>
      <c r="H209" s="14" t="s">
        <v>59</v>
      </c>
      <c r="I209" s="15"/>
      <c r="J209" s="15"/>
      <c r="K209" s="15"/>
      <c r="L209" s="15"/>
      <c r="M209" s="15"/>
      <c r="N209" s="15"/>
      <c r="O209" s="15"/>
      <c r="P209" s="15"/>
      <c r="Q209" s="15"/>
      <c r="R209" s="15"/>
      <c r="S209" s="15"/>
      <c r="T209" s="15"/>
      <c r="U209" s="14" t="str">
        <f t="shared" si="10"/>
        <v/>
      </c>
    </row>
    <row r="210" spans="1:21" ht="29" x14ac:dyDescent="0.35">
      <c r="A210" s="14">
        <v>11</v>
      </c>
      <c r="B210" s="14" t="s">
        <v>721</v>
      </c>
      <c r="C210" s="14" t="s">
        <v>722</v>
      </c>
      <c r="D210" s="14" t="s">
        <v>723</v>
      </c>
      <c r="E210" s="14" t="s">
        <v>690</v>
      </c>
      <c r="F210" s="14" t="s">
        <v>167</v>
      </c>
      <c r="G210" s="14" t="s">
        <v>691</v>
      </c>
      <c r="H210" s="14" t="s">
        <v>59</v>
      </c>
      <c r="I210" s="15"/>
      <c r="J210" s="15"/>
      <c r="K210" s="15"/>
      <c r="L210" s="15"/>
      <c r="M210" s="15"/>
      <c r="N210" s="15"/>
      <c r="O210" s="15"/>
      <c r="P210" s="15"/>
      <c r="Q210" s="15"/>
      <c r="R210" s="15"/>
      <c r="S210" s="15"/>
      <c r="T210" s="15"/>
      <c r="U210" s="14" t="str">
        <f t="shared" si="10"/>
        <v/>
      </c>
    </row>
    <row r="211" spans="1:21" ht="29" x14ac:dyDescent="0.35">
      <c r="A211" s="14">
        <v>12</v>
      </c>
      <c r="B211" s="14" t="s">
        <v>724</v>
      </c>
      <c r="C211" s="14" t="s">
        <v>725</v>
      </c>
      <c r="D211" s="14" t="s">
        <v>726</v>
      </c>
      <c r="E211" s="14" t="s">
        <v>690</v>
      </c>
      <c r="F211" s="14" t="s">
        <v>167</v>
      </c>
      <c r="G211" s="14" t="s">
        <v>691</v>
      </c>
      <c r="H211" s="14" t="s">
        <v>59</v>
      </c>
      <c r="I211" s="15"/>
      <c r="J211" s="15"/>
      <c r="K211" s="15"/>
      <c r="L211" s="15"/>
      <c r="M211" s="15"/>
      <c r="N211" s="15"/>
      <c r="O211" s="15"/>
      <c r="P211" s="15"/>
      <c r="Q211" s="15"/>
      <c r="R211" s="15"/>
      <c r="S211" s="15"/>
      <c r="T211" s="15"/>
      <c r="U211" s="14" t="str">
        <f t="shared" si="10"/>
        <v/>
      </c>
    </row>
    <row r="212" spans="1:21" ht="29" x14ac:dyDescent="0.35">
      <c r="A212" s="14">
        <v>13</v>
      </c>
      <c r="B212" s="14" t="s">
        <v>727</v>
      </c>
      <c r="C212" s="14" t="s">
        <v>728</v>
      </c>
      <c r="D212" s="14" t="s">
        <v>729</v>
      </c>
      <c r="E212" s="14" t="s">
        <v>690</v>
      </c>
      <c r="F212" s="14" t="s">
        <v>167</v>
      </c>
      <c r="G212" s="14" t="s">
        <v>691</v>
      </c>
      <c r="H212" s="14" t="s">
        <v>59</v>
      </c>
      <c r="I212" s="15"/>
      <c r="J212" s="15"/>
      <c r="K212" s="15"/>
      <c r="L212" s="15"/>
      <c r="M212" s="15"/>
      <c r="N212" s="15"/>
      <c r="O212" s="15"/>
      <c r="P212" s="15"/>
      <c r="Q212" s="15"/>
      <c r="R212" s="15"/>
      <c r="S212" s="15"/>
      <c r="T212" s="15"/>
      <c r="U212" s="14" t="str">
        <f t="shared" si="10"/>
        <v/>
      </c>
    </row>
    <row r="213" spans="1:21" ht="29" x14ac:dyDescent="0.35">
      <c r="A213" s="14">
        <v>14</v>
      </c>
      <c r="B213" s="14" t="s">
        <v>730</v>
      </c>
      <c r="C213" s="14" t="s">
        <v>731</v>
      </c>
      <c r="D213" s="14" t="s">
        <v>732</v>
      </c>
      <c r="E213" s="14" t="s">
        <v>690</v>
      </c>
      <c r="F213" s="14" t="s">
        <v>167</v>
      </c>
      <c r="G213" s="14" t="s">
        <v>691</v>
      </c>
      <c r="H213" s="14" t="s">
        <v>59</v>
      </c>
      <c r="I213" s="15"/>
      <c r="J213" s="15"/>
      <c r="K213" s="15"/>
      <c r="L213" s="15"/>
      <c r="M213" s="15"/>
      <c r="N213" s="15"/>
      <c r="O213" s="15"/>
      <c r="P213" s="15"/>
      <c r="Q213" s="15"/>
      <c r="R213" s="15"/>
      <c r="S213" s="15"/>
      <c r="T213" s="15"/>
      <c r="U213" s="14" t="str">
        <f t="shared" si="10"/>
        <v/>
      </c>
    </row>
    <row r="214" spans="1:21" ht="29" x14ac:dyDescent="0.35">
      <c r="A214" s="14">
        <v>15</v>
      </c>
      <c r="B214" s="14" t="s">
        <v>733</v>
      </c>
      <c r="C214" s="14" t="s">
        <v>734</v>
      </c>
      <c r="D214" s="14" t="s">
        <v>735</v>
      </c>
      <c r="E214" s="14" t="s">
        <v>69</v>
      </c>
      <c r="F214" s="14" t="s">
        <v>95</v>
      </c>
      <c r="G214" s="14" t="s">
        <v>691</v>
      </c>
      <c r="H214" s="14" t="s">
        <v>76</v>
      </c>
      <c r="I214" s="15"/>
      <c r="J214" s="15"/>
      <c r="K214" s="15"/>
      <c r="L214" s="15"/>
      <c r="M214" s="15"/>
      <c r="N214" s="15"/>
      <c r="O214" s="15"/>
      <c r="P214" s="15"/>
      <c r="Q214" s="15"/>
      <c r="R214" s="15"/>
      <c r="S214" s="15"/>
      <c r="T214" s="15"/>
      <c r="U214" s="14" t="str">
        <f t="shared" si="10"/>
        <v/>
      </c>
    </row>
    <row r="215" spans="1:21" ht="29" x14ac:dyDescent="0.35">
      <c r="A215" s="14">
        <v>16</v>
      </c>
      <c r="B215" s="14" t="s">
        <v>736</v>
      </c>
      <c r="C215" s="14" t="s">
        <v>737</v>
      </c>
      <c r="D215" s="14" t="s">
        <v>738</v>
      </c>
      <c r="E215" s="14" t="s">
        <v>690</v>
      </c>
      <c r="F215" s="14" t="s">
        <v>167</v>
      </c>
      <c r="G215" s="14" t="s">
        <v>691</v>
      </c>
      <c r="H215" s="14" t="s">
        <v>59</v>
      </c>
      <c r="I215" s="15"/>
      <c r="J215" s="15"/>
      <c r="K215" s="15"/>
      <c r="L215" s="15"/>
      <c r="M215" s="15"/>
      <c r="N215" s="15"/>
      <c r="O215" s="15"/>
      <c r="P215" s="15"/>
      <c r="Q215" s="15"/>
      <c r="R215" s="15"/>
      <c r="S215" s="15"/>
      <c r="T215" s="15"/>
      <c r="U215" s="14" t="str">
        <f t="shared" si="10"/>
        <v/>
      </c>
    </row>
    <row r="216" spans="1:21" ht="29" x14ac:dyDescent="0.35">
      <c r="A216" s="14">
        <v>17</v>
      </c>
      <c r="B216" s="14" t="s">
        <v>739</v>
      </c>
      <c r="C216" s="14" t="s">
        <v>740</v>
      </c>
      <c r="D216" s="14" t="s">
        <v>741</v>
      </c>
      <c r="E216" s="14" t="s">
        <v>69</v>
      </c>
      <c r="F216" s="14" t="s">
        <v>95</v>
      </c>
      <c r="G216" s="14" t="s">
        <v>691</v>
      </c>
      <c r="H216" s="14" t="s">
        <v>59</v>
      </c>
      <c r="I216" s="15"/>
      <c r="J216" s="15"/>
      <c r="K216" s="15"/>
      <c r="L216" s="15"/>
      <c r="M216" s="15"/>
      <c r="N216" s="15"/>
      <c r="O216" s="15"/>
      <c r="P216" s="15"/>
      <c r="Q216" s="15"/>
      <c r="R216" s="15"/>
      <c r="S216" s="15"/>
      <c r="T216" s="15"/>
      <c r="U216" s="14" t="str">
        <f t="shared" si="10"/>
        <v/>
      </c>
    </row>
    <row r="219" spans="1:21" ht="22" customHeight="1" x14ac:dyDescent="0.35">
      <c r="A219" s="26" t="s">
        <v>750</v>
      </c>
      <c r="B219" s="23"/>
      <c r="C219" s="23"/>
      <c r="D219" s="23"/>
      <c r="E219" s="23"/>
      <c r="F219" s="23"/>
      <c r="G219" s="23"/>
      <c r="H219" s="23"/>
      <c r="I219" s="23"/>
      <c r="J219" s="23"/>
      <c r="K219" s="23"/>
      <c r="L219" s="23"/>
      <c r="M219" s="23"/>
      <c r="N219" s="23"/>
      <c r="O219" s="23"/>
      <c r="P219" s="23"/>
      <c r="Q219" s="23"/>
      <c r="R219" s="23"/>
      <c r="S219" s="23"/>
      <c r="T219" s="23"/>
      <c r="U219" s="23"/>
    </row>
    <row r="220" spans="1:21" x14ac:dyDescent="0.35">
      <c r="A220" t="s">
        <v>31</v>
      </c>
      <c r="B220" t="s">
        <v>27</v>
      </c>
      <c r="C220" t="s">
        <v>32</v>
      </c>
      <c r="E220" t="s">
        <v>33</v>
      </c>
    </row>
    <row r="221" spans="1:21" ht="29" x14ac:dyDescent="0.35">
      <c r="A221" s="11" t="s">
        <v>34</v>
      </c>
      <c r="B221" s="11" t="s">
        <v>35</v>
      </c>
      <c r="C221" s="11" t="s">
        <v>36</v>
      </c>
      <c r="D221" s="11" t="s">
        <v>37</v>
      </c>
      <c r="E221" s="11" t="s">
        <v>38</v>
      </c>
      <c r="F221" s="11" t="s">
        <v>39</v>
      </c>
      <c r="G221" s="11" t="s">
        <v>40</v>
      </c>
      <c r="H221" s="11" t="s">
        <v>41</v>
      </c>
      <c r="I221" s="11" t="s">
        <v>42</v>
      </c>
      <c r="J221" s="11" t="s">
        <v>43</v>
      </c>
      <c r="K221" s="11" t="s">
        <v>44</v>
      </c>
      <c r="L221" s="11" t="s">
        <v>45</v>
      </c>
      <c r="M221" s="11" t="s">
        <v>46</v>
      </c>
      <c r="N221" s="11" t="s">
        <v>47</v>
      </c>
      <c r="O221" s="11" t="s">
        <v>48</v>
      </c>
      <c r="P221" s="11" t="s">
        <v>4</v>
      </c>
      <c r="Q221" s="11" t="s">
        <v>49</v>
      </c>
      <c r="R221" s="11" t="s">
        <v>50</v>
      </c>
      <c r="S221" s="11" t="s">
        <v>51</v>
      </c>
      <c r="T221" s="11" t="s">
        <v>52</v>
      </c>
      <c r="U221" s="11" t="s">
        <v>10</v>
      </c>
    </row>
    <row r="222" spans="1:21" ht="29" x14ac:dyDescent="0.35">
      <c r="A222" s="14">
        <v>1</v>
      </c>
      <c r="B222" s="14" t="s">
        <v>687</v>
      </c>
      <c r="C222" s="14" t="s">
        <v>688</v>
      </c>
      <c r="D222" s="14" t="s">
        <v>689</v>
      </c>
      <c r="E222" s="14" t="s">
        <v>690</v>
      </c>
      <c r="F222" s="14" t="s">
        <v>167</v>
      </c>
      <c r="G222" s="14" t="s">
        <v>691</v>
      </c>
      <c r="H222" s="14" t="s">
        <v>59</v>
      </c>
      <c r="I222" s="15"/>
      <c r="J222" s="15"/>
      <c r="K222" s="15"/>
      <c r="L222" s="15"/>
      <c r="M222" s="15"/>
      <c r="N222" s="15"/>
      <c r="O222" s="15"/>
      <c r="P222" s="15"/>
      <c r="Q222" s="15"/>
      <c r="R222" s="15"/>
      <c r="S222" s="15"/>
      <c r="T222" s="15"/>
      <c r="U222" s="14" t="str">
        <f t="shared" ref="U222:U238" si="11">IF(I222="","",IF(I222="NA","Grey",IF(I222=2,"Green",IF(I222=1,"Amber","Red"))))</f>
        <v/>
      </c>
    </row>
    <row r="223" spans="1:21" ht="29" x14ac:dyDescent="0.35">
      <c r="A223" s="14">
        <v>2</v>
      </c>
      <c r="B223" s="14" t="s">
        <v>692</v>
      </c>
      <c r="C223" s="14" t="s">
        <v>693</v>
      </c>
      <c r="D223" s="14" t="s">
        <v>694</v>
      </c>
      <c r="E223" s="14" t="s">
        <v>69</v>
      </c>
      <c r="F223" s="14" t="s">
        <v>167</v>
      </c>
      <c r="G223" s="14" t="s">
        <v>691</v>
      </c>
      <c r="H223" s="14" t="s">
        <v>76</v>
      </c>
      <c r="I223" s="15"/>
      <c r="J223" s="15"/>
      <c r="K223" s="15"/>
      <c r="L223" s="15"/>
      <c r="M223" s="15"/>
      <c r="N223" s="15"/>
      <c r="O223" s="15"/>
      <c r="P223" s="15"/>
      <c r="Q223" s="15"/>
      <c r="R223" s="15"/>
      <c r="S223" s="15"/>
      <c r="T223" s="15"/>
      <c r="U223" s="14" t="str">
        <f t="shared" si="11"/>
        <v/>
      </c>
    </row>
    <row r="224" spans="1:21" ht="29" x14ac:dyDescent="0.35">
      <c r="A224" s="14">
        <v>3</v>
      </c>
      <c r="B224" s="14" t="s">
        <v>695</v>
      </c>
      <c r="C224" s="14" t="s">
        <v>696</v>
      </c>
      <c r="D224" s="14" t="s">
        <v>697</v>
      </c>
      <c r="E224" s="14" t="s">
        <v>69</v>
      </c>
      <c r="F224" s="14" t="s">
        <v>284</v>
      </c>
      <c r="G224" s="14" t="s">
        <v>691</v>
      </c>
      <c r="H224" s="14" t="s">
        <v>76</v>
      </c>
      <c r="I224" s="15"/>
      <c r="J224" s="15"/>
      <c r="K224" s="15"/>
      <c r="L224" s="15"/>
      <c r="M224" s="15"/>
      <c r="N224" s="15"/>
      <c r="O224" s="15"/>
      <c r="P224" s="15"/>
      <c r="Q224" s="15"/>
      <c r="R224" s="15"/>
      <c r="S224" s="15"/>
      <c r="T224" s="15"/>
      <c r="U224" s="14" t="str">
        <f t="shared" si="11"/>
        <v/>
      </c>
    </row>
    <row r="225" spans="1:21" ht="29" x14ac:dyDescent="0.35">
      <c r="A225" s="14">
        <v>4</v>
      </c>
      <c r="B225" s="14" t="s">
        <v>698</v>
      </c>
      <c r="C225" s="14" t="s">
        <v>699</v>
      </c>
      <c r="D225" s="14" t="s">
        <v>700</v>
      </c>
      <c r="E225" s="14" t="s">
        <v>69</v>
      </c>
      <c r="F225" s="14" t="s">
        <v>284</v>
      </c>
      <c r="G225" s="14" t="s">
        <v>691</v>
      </c>
      <c r="H225" s="14" t="s">
        <v>76</v>
      </c>
      <c r="I225" s="15"/>
      <c r="J225" s="15"/>
      <c r="K225" s="15"/>
      <c r="L225" s="15"/>
      <c r="M225" s="15"/>
      <c r="N225" s="15"/>
      <c r="O225" s="15"/>
      <c r="P225" s="15"/>
      <c r="Q225" s="15"/>
      <c r="R225" s="15"/>
      <c r="S225" s="15"/>
      <c r="T225" s="15"/>
      <c r="U225" s="14" t="str">
        <f t="shared" si="11"/>
        <v/>
      </c>
    </row>
    <row r="226" spans="1:21" ht="29" x14ac:dyDescent="0.35">
      <c r="A226" s="14">
        <v>5</v>
      </c>
      <c r="B226" s="14" t="s">
        <v>701</v>
      </c>
      <c r="C226" s="14" t="s">
        <v>702</v>
      </c>
      <c r="D226" s="14" t="s">
        <v>703</v>
      </c>
      <c r="E226" s="14" t="s">
        <v>69</v>
      </c>
      <c r="F226" s="14" t="s">
        <v>284</v>
      </c>
      <c r="G226" s="14" t="s">
        <v>691</v>
      </c>
      <c r="H226" s="14" t="s">
        <v>76</v>
      </c>
      <c r="I226" s="15"/>
      <c r="J226" s="15"/>
      <c r="K226" s="15"/>
      <c r="L226" s="15"/>
      <c r="M226" s="15"/>
      <c r="N226" s="15"/>
      <c r="O226" s="15"/>
      <c r="P226" s="15"/>
      <c r="Q226" s="15"/>
      <c r="R226" s="15"/>
      <c r="S226" s="15"/>
      <c r="T226" s="15"/>
      <c r="U226" s="14" t="str">
        <f t="shared" si="11"/>
        <v/>
      </c>
    </row>
    <row r="227" spans="1:21" ht="29" x14ac:dyDescent="0.35">
      <c r="A227" s="14">
        <v>6</v>
      </c>
      <c r="B227" s="14" t="s">
        <v>704</v>
      </c>
      <c r="C227" s="14" t="s">
        <v>705</v>
      </c>
      <c r="D227" s="14" t="s">
        <v>706</v>
      </c>
      <c r="E227" s="14" t="s">
        <v>69</v>
      </c>
      <c r="F227" s="14" t="s">
        <v>707</v>
      </c>
      <c r="G227" s="14" t="s">
        <v>691</v>
      </c>
      <c r="H227" s="14" t="s">
        <v>85</v>
      </c>
      <c r="I227" s="15"/>
      <c r="J227" s="15"/>
      <c r="K227" s="15"/>
      <c r="L227" s="15"/>
      <c r="M227" s="15"/>
      <c r="N227" s="15"/>
      <c r="O227" s="15"/>
      <c r="P227" s="15"/>
      <c r="Q227" s="15"/>
      <c r="R227" s="15"/>
      <c r="S227" s="15"/>
      <c r="T227" s="15"/>
      <c r="U227" s="14" t="str">
        <f t="shared" si="11"/>
        <v/>
      </c>
    </row>
    <row r="228" spans="1:21" ht="29" x14ac:dyDescent="0.35">
      <c r="A228" s="14">
        <v>7</v>
      </c>
      <c r="B228" s="14" t="s">
        <v>708</v>
      </c>
      <c r="C228" s="14" t="s">
        <v>709</v>
      </c>
      <c r="D228" s="14" t="s">
        <v>710</v>
      </c>
      <c r="E228" s="14" t="s">
        <v>69</v>
      </c>
      <c r="F228" s="14" t="s">
        <v>711</v>
      </c>
      <c r="G228" s="14" t="s">
        <v>691</v>
      </c>
      <c r="H228" s="14" t="s">
        <v>76</v>
      </c>
      <c r="I228" s="15"/>
      <c r="J228" s="15"/>
      <c r="K228" s="15"/>
      <c r="L228" s="15"/>
      <c r="M228" s="15"/>
      <c r="N228" s="15"/>
      <c r="O228" s="15"/>
      <c r="P228" s="15"/>
      <c r="Q228" s="15"/>
      <c r="R228" s="15"/>
      <c r="S228" s="15"/>
      <c r="T228" s="15"/>
      <c r="U228" s="14" t="str">
        <f t="shared" si="11"/>
        <v/>
      </c>
    </row>
    <row r="229" spans="1:21" ht="29" x14ac:dyDescent="0.35">
      <c r="A229" s="14">
        <v>8</v>
      </c>
      <c r="B229" s="14" t="s">
        <v>712</v>
      </c>
      <c r="C229" s="14" t="s">
        <v>713</v>
      </c>
      <c r="D229" s="14" t="s">
        <v>714</v>
      </c>
      <c r="E229" s="14" t="s">
        <v>69</v>
      </c>
      <c r="F229" s="14" t="s">
        <v>167</v>
      </c>
      <c r="G229" s="14" t="s">
        <v>691</v>
      </c>
      <c r="H229" s="14" t="s">
        <v>76</v>
      </c>
      <c r="I229" s="15"/>
      <c r="J229" s="15"/>
      <c r="K229" s="15"/>
      <c r="L229" s="15"/>
      <c r="M229" s="15"/>
      <c r="N229" s="15"/>
      <c r="O229" s="15"/>
      <c r="P229" s="15"/>
      <c r="Q229" s="15"/>
      <c r="R229" s="15"/>
      <c r="S229" s="15"/>
      <c r="T229" s="15"/>
      <c r="U229" s="14" t="str">
        <f t="shared" si="11"/>
        <v/>
      </c>
    </row>
    <row r="230" spans="1:21" ht="29" x14ac:dyDescent="0.35">
      <c r="A230" s="14">
        <v>9</v>
      </c>
      <c r="B230" s="14" t="s">
        <v>715</v>
      </c>
      <c r="C230" s="14" t="s">
        <v>716</v>
      </c>
      <c r="D230" s="14" t="s">
        <v>717</v>
      </c>
      <c r="E230" s="14" t="s">
        <v>69</v>
      </c>
      <c r="F230" s="14" t="s">
        <v>95</v>
      </c>
      <c r="G230" s="14" t="s">
        <v>691</v>
      </c>
      <c r="H230" s="14" t="s">
        <v>59</v>
      </c>
      <c r="I230" s="15"/>
      <c r="J230" s="15"/>
      <c r="K230" s="15"/>
      <c r="L230" s="15"/>
      <c r="M230" s="15"/>
      <c r="N230" s="15"/>
      <c r="O230" s="15"/>
      <c r="P230" s="15"/>
      <c r="Q230" s="15"/>
      <c r="R230" s="15"/>
      <c r="S230" s="15"/>
      <c r="T230" s="15"/>
      <c r="U230" s="14" t="str">
        <f t="shared" si="11"/>
        <v/>
      </c>
    </row>
    <row r="231" spans="1:21" ht="29" x14ac:dyDescent="0.35">
      <c r="A231" s="14">
        <v>10</v>
      </c>
      <c r="B231" s="14" t="s">
        <v>718</v>
      </c>
      <c r="C231" s="14" t="s">
        <v>719</v>
      </c>
      <c r="D231" s="14" t="s">
        <v>720</v>
      </c>
      <c r="E231" s="14" t="s">
        <v>69</v>
      </c>
      <c r="F231" s="14" t="s">
        <v>167</v>
      </c>
      <c r="G231" s="14" t="s">
        <v>691</v>
      </c>
      <c r="H231" s="14" t="s">
        <v>59</v>
      </c>
      <c r="I231" s="15"/>
      <c r="J231" s="15"/>
      <c r="K231" s="15"/>
      <c r="L231" s="15"/>
      <c r="M231" s="15"/>
      <c r="N231" s="15"/>
      <c r="O231" s="15"/>
      <c r="P231" s="15"/>
      <c r="Q231" s="15"/>
      <c r="R231" s="15"/>
      <c r="S231" s="15"/>
      <c r="T231" s="15"/>
      <c r="U231" s="14" t="str">
        <f t="shared" si="11"/>
        <v/>
      </c>
    </row>
    <row r="232" spans="1:21" ht="29" x14ac:dyDescent="0.35">
      <c r="A232" s="14">
        <v>11</v>
      </c>
      <c r="B232" s="14" t="s">
        <v>721</v>
      </c>
      <c r="C232" s="14" t="s">
        <v>722</v>
      </c>
      <c r="D232" s="14" t="s">
        <v>723</v>
      </c>
      <c r="E232" s="14" t="s">
        <v>690</v>
      </c>
      <c r="F232" s="14" t="s">
        <v>167</v>
      </c>
      <c r="G232" s="14" t="s">
        <v>691</v>
      </c>
      <c r="H232" s="14" t="s">
        <v>59</v>
      </c>
      <c r="I232" s="15"/>
      <c r="J232" s="15"/>
      <c r="K232" s="15"/>
      <c r="L232" s="15"/>
      <c r="M232" s="15"/>
      <c r="N232" s="15"/>
      <c r="O232" s="15"/>
      <c r="P232" s="15"/>
      <c r="Q232" s="15"/>
      <c r="R232" s="15"/>
      <c r="S232" s="15"/>
      <c r="T232" s="15"/>
      <c r="U232" s="14" t="str">
        <f t="shared" si="11"/>
        <v/>
      </c>
    </row>
    <row r="233" spans="1:21" ht="29" x14ac:dyDescent="0.35">
      <c r="A233" s="14">
        <v>12</v>
      </c>
      <c r="B233" s="14" t="s">
        <v>724</v>
      </c>
      <c r="C233" s="14" t="s">
        <v>725</v>
      </c>
      <c r="D233" s="14" t="s">
        <v>726</v>
      </c>
      <c r="E233" s="14" t="s">
        <v>690</v>
      </c>
      <c r="F233" s="14" t="s">
        <v>167</v>
      </c>
      <c r="G233" s="14" t="s">
        <v>691</v>
      </c>
      <c r="H233" s="14" t="s">
        <v>59</v>
      </c>
      <c r="I233" s="15"/>
      <c r="J233" s="15"/>
      <c r="K233" s="15"/>
      <c r="L233" s="15"/>
      <c r="M233" s="15"/>
      <c r="N233" s="15"/>
      <c r="O233" s="15"/>
      <c r="P233" s="15"/>
      <c r="Q233" s="15"/>
      <c r="R233" s="15"/>
      <c r="S233" s="15"/>
      <c r="T233" s="15"/>
      <c r="U233" s="14" t="str">
        <f t="shared" si="11"/>
        <v/>
      </c>
    </row>
    <row r="234" spans="1:21" ht="29" x14ac:dyDescent="0.35">
      <c r="A234" s="14">
        <v>13</v>
      </c>
      <c r="B234" s="14" t="s">
        <v>727</v>
      </c>
      <c r="C234" s="14" t="s">
        <v>728</v>
      </c>
      <c r="D234" s="14" t="s">
        <v>729</v>
      </c>
      <c r="E234" s="14" t="s">
        <v>690</v>
      </c>
      <c r="F234" s="14" t="s">
        <v>167</v>
      </c>
      <c r="G234" s="14" t="s">
        <v>691</v>
      </c>
      <c r="H234" s="14" t="s">
        <v>59</v>
      </c>
      <c r="I234" s="15"/>
      <c r="J234" s="15"/>
      <c r="K234" s="15"/>
      <c r="L234" s="15"/>
      <c r="M234" s="15"/>
      <c r="N234" s="15"/>
      <c r="O234" s="15"/>
      <c r="P234" s="15"/>
      <c r="Q234" s="15"/>
      <c r="R234" s="15"/>
      <c r="S234" s="15"/>
      <c r="T234" s="15"/>
      <c r="U234" s="14" t="str">
        <f t="shared" si="11"/>
        <v/>
      </c>
    </row>
    <row r="235" spans="1:21" ht="29" x14ac:dyDescent="0.35">
      <c r="A235" s="14">
        <v>14</v>
      </c>
      <c r="B235" s="14" t="s">
        <v>730</v>
      </c>
      <c r="C235" s="14" t="s">
        <v>731</v>
      </c>
      <c r="D235" s="14" t="s">
        <v>732</v>
      </c>
      <c r="E235" s="14" t="s">
        <v>690</v>
      </c>
      <c r="F235" s="14" t="s">
        <v>167</v>
      </c>
      <c r="G235" s="14" t="s">
        <v>691</v>
      </c>
      <c r="H235" s="14" t="s">
        <v>59</v>
      </c>
      <c r="I235" s="15"/>
      <c r="J235" s="15"/>
      <c r="K235" s="15"/>
      <c r="L235" s="15"/>
      <c r="M235" s="15"/>
      <c r="N235" s="15"/>
      <c r="O235" s="15"/>
      <c r="P235" s="15"/>
      <c r="Q235" s="15"/>
      <c r="R235" s="15"/>
      <c r="S235" s="15"/>
      <c r="T235" s="15"/>
      <c r="U235" s="14" t="str">
        <f t="shared" si="11"/>
        <v/>
      </c>
    </row>
    <row r="236" spans="1:21" ht="29" x14ac:dyDescent="0.35">
      <c r="A236" s="14">
        <v>15</v>
      </c>
      <c r="B236" s="14" t="s">
        <v>733</v>
      </c>
      <c r="C236" s="14" t="s">
        <v>734</v>
      </c>
      <c r="D236" s="14" t="s">
        <v>735</v>
      </c>
      <c r="E236" s="14" t="s">
        <v>69</v>
      </c>
      <c r="F236" s="14" t="s">
        <v>95</v>
      </c>
      <c r="G236" s="14" t="s">
        <v>691</v>
      </c>
      <c r="H236" s="14" t="s">
        <v>76</v>
      </c>
      <c r="I236" s="15"/>
      <c r="J236" s="15"/>
      <c r="K236" s="15"/>
      <c r="L236" s="15"/>
      <c r="M236" s="15"/>
      <c r="N236" s="15"/>
      <c r="O236" s="15"/>
      <c r="P236" s="15"/>
      <c r="Q236" s="15"/>
      <c r="R236" s="15"/>
      <c r="S236" s="15"/>
      <c r="T236" s="15"/>
      <c r="U236" s="14" t="str">
        <f t="shared" si="11"/>
        <v/>
      </c>
    </row>
    <row r="237" spans="1:21" ht="29" x14ac:dyDescent="0.35">
      <c r="A237" s="14">
        <v>16</v>
      </c>
      <c r="B237" s="14" t="s">
        <v>736</v>
      </c>
      <c r="C237" s="14" t="s">
        <v>737</v>
      </c>
      <c r="D237" s="14" t="s">
        <v>738</v>
      </c>
      <c r="E237" s="14" t="s">
        <v>690</v>
      </c>
      <c r="F237" s="14" t="s">
        <v>167</v>
      </c>
      <c r="G237" s="14" t="s">
        <v>691</v>
      </c>
      <c r="H237" s="14" t="s">
        <v>59</v>
      </c>
      <c r="I237" s="15"/>
      <c r="J237" s="15"/>
      <c r="K237" s="15"/>
      <c r="L237" s="15"/>
      <c r="M237" s="15"/>
      <c r="N237" s="15"/>
      <c r="O237" s="15"/>
      <c r="P237" s="15"/>
      <c r="Q237" s="15"/>
      <c r="R237" s="15"/>
      <c r="S237" s="15"/>
      <c r="T237" s="15"/>
      <c r="U237" s="14" t="str">
        <f t="shared" si="11"/>
        <v/>
      </c>
    </row>
    <row r="238" spans="1:21" ht="29" x14ac:dyDescent="0.35">
      <c r="A238" s="14">
        <v>17</v>
      </c>
      <c r="B238" s="14" t="s">
        <v>739</v>
      </c>
      <c r="C238" s="14" t="s">
        <v>740</v>
      </c>
      <c r="D238" s="14" t="s">
        <v>741</v>
      </c>
      <c r="E238" s="14" t="s">
        <v>69</v>
      </c>
      <c r="F238" s="14" t="s">
        <v>95</v>
      </c>
      <c r="G238" s="14" t="s">
        <v>691</v>
      </c>
      <c r="H238" s="14" t="s">
        <v>59</v>
      </c>
      <c r="I238" s="15"/>
      <c r="J238" s="15"/>
      <c r="K238" s="15"/>
      <c r="L238" s="15"/>
      <c r="M238" s="15"/>
      <c r="N238" s="15"/>
      <c r="O238" s="15"/>
      <c r="P238" s="15"/>
      <c r="Q238" s="15"/>
      <c r="R238" s="15"/>
      <c r="S238" s="15"/>
      <c r="T238" s="15"/>
      <c r="U238" s="14" t="str">
        <f t="shared" si="11"/>
        <v/>
      </c>
    </row>
    <row r="241" spans="1:21" ht="22" customHeight="1" x14ac:dyDescent="0.35">
      <c r="A241" s="26" t="s">
        <v>751</v>
      </c>
      <c r="B241" s="23"/>
      <c r="C241" s="23"/>
      <c r="D241" s="23"/>
      <c r="E241" s="23"/>
      <c r="F241" s="23"/>
      <c r="G241" s="23"/>
      <c r="H241" s="23"/>
      <c r="I241" s="23"/>
      <c r="J241" s="23"/>
      <c r="K241" s="23"/>
      <c r="L241" s="23"/>
      <c r="M241" s="23"/>
      <c r="N241" s="23"/>
      <c r="O241" s="23"/>
      <c r="P241" s="23"/>
      <c r="Q241" s="23"/>
      <c r="R241" s="23"/>
      <c r="S241" s="23"/>
      <c r="T241" s="23"/>
      <c r="U241" s="23"/>
    </row>
    <row r="242" spans="1:21" x14ac:dyDescent="0.35">
      <c r="A242" t="s">
        <v>31</v>
      </c>
      <c r="B242" t="s">
        <v>28</v>
      </c>
      <c r="C242" t="s">
        <v>32</v>
      </c>
      <c r="E242" t="s">
        <v>33</v>
      </c>
    </row>
    <row r="243" spans="1:21" ht="29" x14ac:dyDescent="0.35">
      <c r="A243" s="11" t="s">
        <v>34</v>
      </c>
      <c r="B243" s="11" t="s">
        <v>35</v>
      </c>
      <c r="C243" s="11" t="s">
        <v>36</v>
      </c>
      <c r="D243" s="11" t="s">
        <v>37</v>
      </c>
      <c r="E243" s="11" t="s">
        <v>38</v>
      </c>
      <c r="F243" s="11" t="s">
        <v>39</v>
      </c>
      <c r="G243" s="11" t="s">
        <v>40</v>
      </c>
      <c r="H243" s="11" t="s">
        <v>41</v>
      </c>
      <c r="I243" s="11" t="s">
        <v>42</v>
      </c>
      <c r="J243" s="11" t="s">
        <v>43</v>
      </c>
      <c r="K243" s="11" t="s">
        <v>44</v>
      </c>
      <c r="L243" s="11" t="s">
        <v>45</v>
      </c>
      <c r="M243" s="11" t="s">
        <v>46</v>
      </c>
      <c r="N243" s="11" t="s">
        <v>47</v>
      </c>
      <c r="O243" s="11" t="s">
        <v>48</v>
      </c>
      <c r="P243" s="11" t="s">
        <v>4</v>
      </c>
      <c r="Q243" s="11" t="s">
        <v>49</v>
      </c>
      <c r="R243" s="11" t="s">
        <v>50</v>
      </c>
      <c r="S243" s="11" t="s">
        <v>51</v>
      </c>
      <c r="T243" s="11" t="s">
        <v>52</v>
      </c>
      <c r="U243" s="11" t="s">
        <v>10</v>
      </c>
    </row>
    <row r="244" spans="1:21" ht="29" x14ac:dyDescent="0.35">
      <c r="A244" s="14">
        <v>1</v>
      </c>
      <c r="B244" s="14" t="s">
        <v>687</v>
      </c>
      <c r="C244" s="14" t="s">
        <v>688</v>
      </c>
      <c r="D244" s="14" t="s">
        <v>689</v>
      </c>
      <c r="E244" s="14" t="s">
        <v>690</v>
      </c>
      <c r="F244" s="14" t="s">
        <v>167</v>
      </c>
      <c r="G244" s="14" t="s">
        <v>691</v>
      </c>
      <c r="H244" s="14" t="s">
        <v>59</v>
      </c>
      <c r="I244" s="15"/>
      <c r="J244" s="15"/>
      <c r="K244" s="15"/>
      <c r="L244" s="15"/>
      <c r="M244" s="15"/>
      <c r="N244" s="15"/>
      <c r="O244" s="15"/>
      <c r="P244" s="15"/>
      <c r="Q244" s="15"/>
      <c r="R244" s="15"/>
      <c r="S244" s="15"/>
      <c r="T244" s="15"/>
      <c r="U244" s="14" t="str">
        <f t="shared" ref="U244:U260" si="12">IF(I244="","",IF(I244="NA","Grey",IF(I244=2,"Green",IF(I244=1,"Amber","Red"))))</f>
        <v/>
      </c>
    </row>
    <row r="245" spans="1:21" ht="29" x14ac:dyDescent="0.35">
      <c r="A245" s="14">
        <v>2</v>
      </c>
      <c r="B245" s="14" t="s">
        <v>692</v>
      </c>
      <c r="C245" s="14" t="s">
        <v>693</v>
      </c>
      <c r="D245" s="14" t="s">
        <v>694</v>
      </c>
      <c r="E245" s="14" t="s">
        <v>69</v>
      </c>
      <c r="F245" s="14" t="s">
        <v>167</v>
      </c>
      <c r="G245" s="14" t="s">
        <v>691</v>
      </c>
      <c r="H245" s="14" t="s">
        <v>76</v>
      </c>
      <c r="I245" s="15"/>
      <c r="J245" s="15"/>
      <c r="K245" s="15"/>
      <c r="L245" s="15"/>
      <c r="M245" s="15"/>
      <c r="N245" s="15"/>
      <c r="O245" s="15"/>
      <c r="P245" s="15"/>
      <c r="Q245" s="15"/>
      <c r="R245" s="15"/>
      <c r="S245" s="15"/>
      <c r="T245" s="15"/>
      <c r="U245" s="14" t="str">
        <f t="shared" si="12"/>
        <v/>
      </c>
    </row>
    <row r="246" spans="1:21" ht="29" x14ac:dyDescent="0.35">
      <c r="A246" s="14">
        <v>3</v>
      </c>
      <c r="B246" s="14" t="s">
        <v>695</v>
      </c>
      <c r="C246" s="14" t="s">
        <v>696</v>
      </c>
      <c r="D246" s="14" t="s">
        <v>697</v>
      </c>
      <c r="E246" s="14" t="s">
        <v>69</v>
      </c>
      <c r="F246" s="14" t="s">
        <v>284</v>
      </c>
      <c r="G246" s="14" t="s">
        <v>691</v>
      </c>
      <c r="H246" s="14" t="s">
        <v>76</v>
      </c>
      <c r="I246" s="15"/>
      <c r="J246" s="15"/>
      <c r="K246" s="15"/>
      <c r="L246" s="15"/>
      <c r="M246" s="15"/>
      <c r="N246" s="15"/>
      <c r="O246" s="15"/>
      <c r="P246" s="15"/>
      <c r="Q246" s="15"/>
      <c r="R246" s="15"/>
      <c r="S246" s="15"/>
      <c r="T246" s="15"/>
      <c r="U246" s="14" t="str">
        <f t="shared" si="12"/>
        <v/>
      </c>
    </row>
    <row r="247" spans="1:21" ht="29" x14ac:dyDescent="0.35">
      <c r="A247" s="14">
        <v>4</v>
      </c>
      <c r="B247" s="14" t="s">
        <v>698</v>
      </c>
      <c r="C247" s="14" t="s">
        <v>699</v>
      </c>
      <c r="D247" s="14" t="s">
        <v>700</v>
      </c>
      <c r="E247" s="14" t="s">
        <v>69</v>
      </c>
      <c r="F247" s="14" t="s">
        <v>284</v>
      </c>
      <c r="G247" s="14" t="s">
        <v>691</v>
      </c>
      <c r="H247" s="14" t="s">
        <v>76</v>
      </c>
      <c r="I247" s="15"/>
      <c r="J247" s="15"/>
      <c r="K247" s="15"/>
      <c r="L247" s="15"/>
      <c r="M247" s="15"/>
      <c r="N247" s="15"/>
      <c r="O247" s="15"/>
      <c r="P247" s="15"/>
      <c r="Q247" s="15"/>
      <c r="R247" s="15"/>
      <c r="S247" s="15"/>
      <c r="T247" s="15"/>
      <c r="U247" s="14" t="str">
        <f t="shared" si="12"/>
        <v/>
      </c>
    </row>
    <row r="248" spans="1:21" ht="29" x14ac:dyDescent="0.35">
      <c r="A248" s="14">
        <v>5</v>
      </c>
      <c r="B248" s="14" t="s">
        <v>701</v>
      </c>
      <c r="C248" s="14" t="s">
        <v>702</v>
      </c>
      <c r="D248" s="14" t="s">
        <v>703</v>
      </c>
      <c r="E248" s="14" t="s">
        <v>69</v>
      </c>
      <c r="F248" s="14" t="s">
        <v>284</v>
      </c>
      <c r="G248" s="14" t="s">
        <v>691</v>
      </c>
      <c r="H248" s="14" t="s">
        <v>76</v>
      </c>
      <c r="I248" s="15"/>
      <c r="J248" s="15"/>
      <c r="K248" s="15"/>
      <c r="L248" s="15"/>
      <c r="M248" s="15"/>
      <c r="N248" s="15"/>
      <c r="O248" s="15"/>
      <c r="P248" s="15"/>
      <c r="Q248" s="15"/>
      <c r="R248" s="15"/>
      <c r="S248" s="15"/>
      <c r="T248" s="15"/>
      <c r="U248" s="14" t="str">
        <f t="shared" si="12"/>
        <v/>
      </c>
    </row>
    <row r="249" spans="1:21" ht="29" x14ac:dyDescent="0.35">
      <c r="A249" s="14">
        <v>6</v>
      </c>
      <c r="B249" s="14" t="s">
        <v>704</v>
      </c>
      <c r="C249" s="14" t="s">
        <v>705</v>
      </c>
      <c r="D249" s="14" t="s">
        <v>706</v>
      </c>
      <c r="E249" s="14" t="s">
        <v>69</v>
      </c>
      <c r="F249" s="14" t="s">
        <v>707</v>
      </c>
      <c r="G249" s="14" t="s">
        <v>691</v>
      </c>
      <c r="H249" s="14" t="s">
        <v>85</v>
      </c>
      <c r="I249" s="15"/>
      <c r="J249" s="15"/>
      <c r="K249" s="15"/>
      <c r="L249" s="15"/>
      <c r="M249" s="15"/>
      <c r="N249" s="15"/>
      <c r="O249" s="15"/>
      <c r="P249" s="15"/>
      <c r="Q249" s="15"/>
      <c r="R249" s="15"/>
      <c r="S249" s="15"/>
      <c r="T249" s="15"/>
      <c r="U249" s="14" t="str">
        <f t="shared" si="12"/>
        <v/>
      </c>
    </row>
    <row r="250" spans="1:21" ht="29" x14ac:dyDescent="0.35">
      <c r="A250" s="14">
        <v>7</v>
      </c>
      <c r="B250" s="14" t="s">
        <v>708</v>
      </c>
      <c r="C250" s="14" t="s">
        <v>709</v>
      </c>
      <c r="D250" s="14" t="s">
        <v>710</v>
      </c>
      <c r="E250" s="14" t="s">
        <v>69</v>
      </c>
      <c r="F250" s="14" t="s">
        <v>711</v>
      </c>
      <c r="G250" s="14" t="s">
        <v>691</v>
      </c>
      <c r="H250" s="14" t="s">
        <v>76</v>
      </c>
      <c r="I250" s="15"/>
      <c r="J250" s="15"/>
      <c r="K250" s="15"/>
      <c r="L250" s="15"/>
      <c r="M250" s="15"/>
      <c r="N250" s="15"/>
      <c r="O250" s="15"/>
      <c r="P250" s="15"/>
      <c r="Q250" s="15"/>
      <c r="R250" s="15"/>
      <c r="S250" s="15"/>
      <c r="T250" s="15"/>
      <c r="U250" s="14" t="str">
        <f t="shared" si="12"/>
        <v/>
      </c>
    </row>
    <row r="251" spans="1:21" ht="29" x14ac:dyDescent="0.35">
      <c r="A251" s="14">
        <v>8</v>
      </c>
      <c r="B251" s="14" t="s">
        <v>712</v>
      </c>
      <c r="C251" s="14" t="s">
        <v>713</v>
      </c>
      <c r="D251" s="14" t="s">
        <v>714</v>
      </c>
      <c r="E251" s="14" t="s">
        <v>69</v>
      </c>
      <c r="F251" s="14" t="s">
        <v>167</v>
      </c>
      <c r="G251" s="14" t="s">
        <v>691</v>
      </c>
      <c r="H251" s="14" t="s">
        <v>76</v>
      </c>
      <c r="I251" s="15"/>
      <c r="J251" s="15"/>
      <c r="K251" s="15"/>
      <c r="L251" s="15"/>
      <c r="M251" s="15"/>
      <c r="N251" s="15"/>
      <c r="O251" s="15"/>
      <c r="P251" s="15"/>
      <c r="Q251" s="15"/>
      <c r="R251" s="15"/>
      <c r="S251" s="15"/>
      <c r="T251" s="15"/>
      <c r="U251" s="14" t="str">
        <f t="shared" si="12"/>
        <v/>
      </c>
    </row>
    <row r="252" spans="1:21" ht="29" x14ac:dyDescent="0.35">
      <c r="A252" s="14">
        <v>9</v>
      </c>
      <c r="B252" s="14" t="s">
        <v>715</v>
      </c>
      <c r="C252" s="14" t="s">
        <v>716</v>
      </c>
      <c r="D252" s="14" t="s">
        <v>717</v>
      </c>
      <c r="E252" s="14" t="s">
        <v>69</v>
      </c>
      <c r="F252" s="14" t="s">
        <v>95</v>
      </c>
      <c r="G252" s="14" t="s">
        <v>691</v>
      </c>
      <c r="H252" s="14" t="s">
        <v>59</v>
      </c>
      <c r="I252" s="15"/>
      <c r="J252" s="15"/>
      <c r="K252" s="15"/>
      <c r="L252" s="15"/>
      <c r="M252" s="15"/>
      <c r="N252" s="15"/>
      <c r="O252" s="15"/>
      <c r="P252" s="15"/>
      <c r="Q252" s="15"/>
      <c r="R252" s="15"/>
      <c r="S252" s="15"/>
      <c r="T252" s="15"/>
      <c r="U252" s="14" t="str">
        <f t="shared" si="12"/>
        <v/>
      </c>
    </row>
    <row r="253" spans="1:21" ht="29" x14ac:dyDescent="0.35">
      <c r="A253" s="14">
        <v>10</v>
      </c>
      <c r="B253" s="14" t="s">
        <v>718</v>
      </c>
      <c r="C253" s="14" t="s">
        <v>719</v>
      </c>
      <c r="D253" s="14" t="s">
        <v>720</v>
      </c>
      <c r="E253" s="14" t="s">
        <v>69</v>
      </c>
      <c r="F253" s="14" t="s">
        <v>167</v>
      </c>
      <c r="G253" s="14" t="s">
        <v>691</v>
      </c>
      <c r="H253" s="14" t="s">
        <v>59</v>
      </c>
      <c r="I253" s="15"/>
      <c r="J253" s="15"/>
      <c r="K253" s="15"/>
      <c r="L253" s="15"/>
      <c r="M253" s="15"/>
      <c r="N253" s="15"/>
      <c r="O253" s="15"/>
      <c r="P253" s="15"/>
      <c r="Q253" s="15"/>
      <c r="R253" s="15"/>
      <c r="S253" s="15"/>
      <c r="T253" s="15"/>
      <c r="U253" s="14" t="str">
        <f t="shared" si="12"/>
        <v/>
      </c>
    </row>
    <row r="254" spans="1:21" ht="29" x14ac:dyDescent="0.35">
      <c r="A254" s="14">
        <v>11</v>
      </c>
      <c r="B254" s="14" t="s">
        <v>721</v>
      </c>
      <c r="C254" s="14" t="s">
        <v>722</v>
      </c>
      <c r="D254" s="14" t="s">
        <v>723</v>
      </c>
      <c r="E254" s="14" t="s">
        <v>690</v>
      </c>
      <c r="F254" s="14" t="s">
        <v>167</v>
      </c>
      <c r="G254" s="14" t="s">
        <v>691</v>
      </c>
      <c r="H254" s="14" t="s">
        <v>59</v>
      </c>
      <c r="I254" s="15"/>
      <c r="J254" s="15"/>
      <c r="K254" s="15"/>
      <c r="L254" s="15"/>
      <c r="M254" s="15"/>
      <c r="N254" s="15"/>
      <c r="O254" s="15"/>
      <c r="P254" s="15"/>
      <c r="Q254" s="15"/>
      <c r="R254" s="15"/>
      <c r="S254" s="15"/>
      <c r="T254" s="15"/>
      <c r="U254" s="14" t="str">
        <f t="shared" si="12"/>
        <v/>
      </c>
    </row>
    <row r="255" spans="1:21" ht="29" x14ac:dyDescent="0.35">
      <c r="A255" s="14">
        <v>12</v>
      </c>
      <c r="B255" s="14" t="s">
        <v>724</v>
      </c>
      <c r="C255" s="14" t="s">
        <v>725</v>
      </c>
      <c r="D255" s="14" t="s">
        <v>726</v>
      </c>
      <c r="E255" s="14" t="s">
        <v>690</v>
      </c>
      <c r="F255" s="14" t="s">
        <v>167</v>
      </c>
      <c r="G255" s="14" t="s">
        <v>691</v>
      </c>
      <c r="H255" s="14" t="s">
        <v>59</v>
      </c>
      <c r="I255" s="15"/>
      <c r="J255" s="15"/>
      <c r="K255" s="15"/>
      <c r="L255" s="15"/>
      <c r="M255" s="15"/>
      <c r="N255" s="15"/>
      <c r="O255" s="15"/>
      <c r="P255" s="15"/>
      <c r="Q255" s="15"/>
      <c r="R255" s="15"/>
      <c r="S255" s="15"/>
      <c r="T255" s="15"/>
      <c r="U255" s="14" t="str">
        <f t="shared" si="12"/>
        <v/>
      </c>
    </row>
    <row r="256" spans="1:21" ht="29" x14ac:dyDescent="0.35">
      <c r="A256" s="14">
        <v>13</v>
      </c>
      <c r="B256" s="14" t="s">
        <v>727</v>
      </c>
      <c r="C256" s="14" t="s">
        <v>728</v>
      </c>
      <c r="D256" s="14" t="s">
        <v>729</v>
      </c>
      <c r="E256" s="14" t="s">
        <v>690</v>
      </c>
      <c r="F256" s="14" t="s">
        <v>167</v>
      </c>
      <c r="G256" s="14" t="s">
        <v>691</v>
      </c>
      <c r="H256" s="14" t="s">
        <v>59</v>
      </c>
      <c r="I256" s="15"/>
      <c r="J256" s="15"/>
      <c r="K256" s="15"/>
      <c r="L256" s="15"/>
      <c r="M256" s="15"/>
      <c r="N256" s="15"/>
      <c r="O256" s="15"/>
      <c r="P256" s="15"/>
      <c r="Q256" s="15"/>
      <c r="R256" s="15"/>
      <c r="S256" s="15"/>
      <c r="T256" s="15"/>
      <c r="U256" s="14" t="str">
        <f t="shared" si="12"/>
        <v/>
      </c>
    </row>
    <row r="257" spans="1:21" ht="29" x14ac:dyDescent="0.35">
      <c r="A257" s="14">
        <v>14</v>
      </c>
      <c r="B257" s="14" t="s">
        <v>730</v>
      </c>
      <c r="C257" s="14" t="s">
        <v>731</v>
      </c>
      <c r="D257" s="14" t="s">
        <v>732</v>
      </c>
      <c r="E257" s="14" t="s">
        <v>690</v>
      </c>
      <c r="F257" s="14" t="s">
        <v>167</v>
      </c>
      <c r="G257" s="14" t="s">
        <v>691</v>
      </c>
      <c r="H257" s="14" t="s">
        <v>59</v>
      </c>
      <c r="I257" s="15"/>
      <c r="J257" s="15"/>
      <c r="K257" s="15"/>
      <c r="L257" s="15"/>
      <c r="M257" s="15"/>
      <c r="N257" s="15"/>
      <c r="O257" s="15"/>
      <c r="P257" s="15"/>
      <c r="Q257" s="15"/>
      <c r="R257" s="15"/>
      <c r="S257" s="15"/>
      <c r="T257" s="15"/>
      <c r="U257" s="14" t="str">
        <f t="shared" si="12"/>
        <v/>
      </c>
    </row>
    <row r="258" spans="1:21" ht="29" x14ac:dyDescent="0.35">
      <c r="A258" s="14">
        <v>15</v>
      </c>
      <c r="B258" s="14" t="s">
        <v>733</v>
      </c>
      <c r="C258" s="14" t="s">
        <v>734</v>
      </c>
      <c r="D258" s="14" t="s">
        <v>735</v>
      </c>
      <c r="E258" s="14" t="s">
        <v>69</v>
      </c>
      <c r="F258" s="14" t="s">
        <v>95</v>
      </c>
      <c r="G258" s="14" t="s">
        <v>691</v>
      </c>
      <c r="H258" s="14" t="s">
        <v>76</v>
      </c>
      <c r="I258" s="15"/>
      <c r="J258" s="15"/>
      <c r="K258" s="15"/>
      <c r="L258" s="15"/>
      <c r="M258" s="15"/>
      <c r="N258" s="15"/>
      <c r="O258" s="15"/>
      <c r="P258" s="15"/>
      <c r="Q258" s="15"/>
      <c r="R258" s="15"/>
      <c r="S258" s="15"/>
      <c r="T258" s="15"/>
      <c r="U258" s="14" t="str">
        <f t="shared" si="12"/>
        <v/>
      </c>
    </row>
    <row r="259" spans="1:21" ht="29" x14ac:dyDescent="0.35">
      <c r="A259" s="14">
        <v>16</v>
      </c>
      <c r="B259" s="14" t="s">
        <v>736</v>
      </c>
      <c r="C259" s="14" t="s">
        <v>737</v>
      </c>
      <c r="D259" s="14" t="s">
        <v>738</v>
      </c>
      <c r="E259" s="14" t="s">
        <v>690</v>
      </c>
      <c r="F259" s="14" t="s">
        <v>167</v>
      </c>
      <c r="G259" s="14" t="s">
        <v>691</v>
      </c>
      <c r="H259" s="14" t="s">
        <v>59</v>
      </c>
      <c r="I259" s="15"/>
      <c r="J259" s="15"/>
      <c r="K259" s="15"/>
      <c r="L259" s="15"/>
      <c r="M259" s="15"/>
      <c r="N259" s="15"/>
      <c r="O259" s="15"/>
      <c r="P259" s="15"/>
      <c r="Q259" s="15"/>
      <c r="R259" s="15"/>
      <c r="S259" s="15"/>
      <c r="T259" s="15"/>
      <c r="U259" s="14" t="str">
        <f t="shared" si="12"/>
        <v/>
      </c>
    </row>
    <row r="260" spans="1:21" ht="29" x14ac:dyDescent="0.35">
      <c r="A260" s="14">
        <v>17</v>
      </c>
      <c r="B260" s="14" t="s">
        <v>739</v>
      </c>
      <c r="C260" s="14" t="s">
        <v>740</v>
      </c>
      <c r="D260" s="14" t="s">
        <v>741</v>
      </c>
      <c r="E260" s="14" t="s">
        <v>69</v>
      </c>
      <c r="F260" s="14" t="s">
        <v>95</v>
      </c>
      <c r="G260" s="14" t="s">
        <v>691</v>
      </c>
      <c r="H260" s="14" t="s">
        <v>59</v>
      </c>
      <c r="I260" s="15"/>
      <c r="J260" s="15"/>
      <c r="K260" s="15"/>
      <c r="L260" s="15"/>
      <c r="M260" s="15"/>
      <c r="N260" s="15"/>
      <c r="O260" s="15"/>
      <c r="P260" s="15"/>
      <c r="Q260" s="15"/>
      <c r="R260" s="15"/>
      <c r="S260" s="15"/>
      <c r="T260" s="15"/>
      <c r="U260" s="14" t="str">
        <f t="shared" si="12"/>
        <v/>
      </c>
    </row>
    <row r="263" spans="1:21" ht="22" customHeight="1" x14ac:dyDescent="0.35">
      <c r="A263" s="26" t="s">
        <v>752</v>
      </c>
      <c r="B263" s="23"/>
      <c r="C263" s="23"/>
      <c r="D263" s="23"/>
      <c r="E263" s="23"/>
      <c r="F263" s="23"/>
      <c r="G263" s="23"/>
      <c r="H263" s="23"/>
      <c r="I263" s="23"/>
      <c r="J263" s="23"/>
      <c r="K263" s="23"/>
      <c r="L263" s="23"/>
      <c r="M263" s="23"/>
      <c r="N263" s="23"/>
      <c r="O263" s="23"/>
      <c r="P263" s="23"/>
      <c r="Q263" s="23"/>
      <c r="R263" s="23"/>
      <c r="S263" s="23"/>
      <c r="T263" s="23"/>
      <c r="U263" s="23"/>
    </row>
    <row r="264" spans="1:21" x14ac:dyDescent="0.35">
      <c r="A264" t="s">
        <v>31</v>
      </c>
      <c r="B264" t="s">
        <v>29</v>
      </c>
      <c r="C264" t="s">
        <v>32</v>
      </c>
      <c r="E264" t="s">
        <v>33</v>
      </c>
    </row>
    <row r="265" spans="1:21" ht="29" x14ac:dyDescent="0.35">
      <c r="A265" s="11" t="s">
        <v>34</v>
      </c>
      <c r="B265" s="11" t="s">
        <v>35</v>
      </c>
      <c r="C265" s="11" t="s">
        <v>36</v>
      </c>
      <c r="D265" s="11" t="s">
        <v>37</v>
      </c>
      <c r="E265" s="11" t="s">
        <v>38</v>
      </c>
      <c r="F265" s="11" t="s">
        <v>39</v>
      </c>
      <c r="G265" s="11" t="s">
        <v>40</v>
      </c>
      <c r="H265" s="11" t="s">
        <v>41</v>
      </c>
      <c r="I265" s="11" t="s">
        <v>42</v>
      </c>
      <c r="J265" s="11" t="s">
        <v>43</v>
      </c>
      <c r="K265" s="11" t="s">
        <v>44</v>
      </c>
      <c r="L265" s="11" t="s">
        <v>45</v>
      </c>
      <c r="M265" s="11" t="s">
        <v>46</v>
      </c>
      <c r="N265" s="11" t="s">
        <v>47</v>
      </c>
      <c r="O265" s="11" t="s">
        <v>48</v>
      </c>
      <c r="P265" s="11" t="s">
        <v>4</v>
      </c>
      <c r="Q265" s="11" t="s">
        <v>49</v>
      </c>
      <c r="R265" s="11" t="s">
        <v>50</v>
      </c>
      <c r="S265" s="11" t="s">
        <v>51</v>
      </c>
      <c r="T265" s="11" t="s">
        <v>52</v>
      </c>
      <c r="U265" s="11" t="s">
        <v>10</v>
      </c>
    </row>
    <row r="266" spans="1:21" ht="29" x14ac:dyDescent="0.35">
      <c r="A266" s="14">
        <v>1</v>
      </c>
      <c r="B266" s="14" t="s">
        <v>687</v>
      </c>
      <c r="C266" s="14" t="s">
        <v>688</v>
      </c>
      <c r="D266" s="14" t="s">
        <v>689</v>
      </c>
      <c r="E266" s="14" t="s">
        <v>690</v>
      </c>
      <c r="F266" s="14" t="s">
        <v>167</v>
      </c>
      <c r="G266" s="14" t="s">
        <v>691</v>
      </c>
      <c r="H266" s="14" t="s">
        <v>59</v>
      </c>
      <c r="I266" s="15"/>
      <c r="J266" s="15"/>
      <c r="K266" s="15"/>
      <c r="L266" s="15"/>
      <c r="M266" s="15"/>
      <c r="N266" s="15"/>
      <c r="O266" s="15"/>
      <c r="P266" s="15"/>
      <c r="Q266" s="15"/>
      <c r="R266" s="15"/>
      <c r="S266" s="15"/>
      <c r="T266" s="15"/>
      <c r="U266" s="14" t="str">
        <f t="shared" ref="U266:U282" si="13">IF(I266="","",IF(I266="NA","Grey",IF(I266=2,"Green",IF(I266=1,"Amber","Red"))))</f>
        <v/>
      </c>
    </row>
    <row r="267" spans="1:21" ht="29" x14ac:dyDescent="0.35">
      <c r="A267" s="14">
        <v>2</v>
      </c>
      <c r="B267" s="14" t="s">
        <v>692</v>
      </c>
      <c r="C267" s="14" t="s">
        <v>693</v>
      </c>
      <c r="D267" s="14" t="s">
        <v>694</v>
      </c>
      <c r="E267" s="14" t="s">
        <v>69</v>
      </c>
      <c r="F267" s="14" t="s">
        <v>167</v>
      </c>
      <c r="G267" s="14" t="s">
        <v>691</v>
      </c>
      <c r="H267" s="14" t="s">
        <v>76</v>
      </c>
      <c r="I267" s="15"/>
      <c r="J267" s="15"/>
      <c r="K267" s="15"/>
      <c r="L267" s="15"/>
      <c r="M267" s="15"/>
      <c r="N267" s="15"/>
      <c r="O267" s="15"/>
      <c r="P267" s="15"/>
      <c r="Q267" s="15"/>
      <c r="R267" s="15"/>
      <c r="S267" s="15"/>
      <c r="T267" s="15"/>
      <c r="U267" s="14" t="str">
        <f t="shared" si="13"/>
        <v/>
      </c>
    </row>
    <row r="268" spans="1:21" ht="29" x14ac:dyDescent="0.35">
      <c r="A268" s="14">
        <v>3</v>
      </c>
      <c r="B268" s="14" t="s">
        <v>695</v>
      </c>
      <c r="C268" s="14" t="s">
        <v>696</v>
      </c>
      <c r="D268" s="14" t="s">
        <v>697</v>
      </c>
      <c r="E268" s="14" t="s">
        <v>69</v>
      </c>
      <c r="F268" s="14" t="s">
        <v>284</v>
      </c>
      <c r="G268" s="14" t="s">
        <v>691</v>
      </c>
      <c r="H268" s="14" t="s">
        <v>76</v>
      </c>
      <c r="I268" s="15"/>
      <c r="J268" s="15"/>
      <c r="K268" s="15"/>
      <c r="L268" s="15"/>
      <c r="M268" s="15"/>
      <c r="N268" s="15"/>
      <c r="O268" s="15"/>
      <c r="P268" s="15"/>
      <c r="Q268" s="15"/>
      <c r="R268" s="15"/>
      <c r="S268" s="15"/>
      <c r="T268" s="15"/>
      <c r="U268" s="14" t="str">
        <f t="shared" si="13"/>
        <v/>
      </c>
    </row>
    <row r="269" spans="1:21" ht="29" x14ac:dyDescent="0.35">
      <c r="A269" s="14">
        <v>4</v>
      </c>
      <c r="B269" s="14" t="s">
        <v>698</v>
      </c>
      <c r="C269" s="14" t="s">
        <v>699</v>
      </c>
      <c r="D269" s="14" t="s">
        <v>700</v>
      </c>
      <c r="E269" s="14" t="s">
        <v>69</v>
      </c>
      <c r="F269" s="14" t="s">
        <v>284</v>
      </c>
      <c r="G269" s="14" t="s">
        <v>691</v>
      </c>
      <c r="H269" s="14" t="s">
        <v>76</v>
      </c>
      <c r="I269" s="15"/>
      <c r="J269" s="15"/>
      <c r="K269" s="15"/>
      <c r="L269" s="15"/>
      <c r="M269" s="15"/>
      <c r="N269" s="15"/>
      <c r="O269" s="15"/>
      <c r="P269" s="15"/>
      <c r="Q269" s="15"/>
      <c r="R269" s="15"/>
      <c r="S269" s="15"/>
      <c r="T269" s="15"/>
      <c r="U269" s="14" t="str">
        <f t="shared" si="13"/>
        <v/>
      </c>
    </row>
    <row r="270" spans="1:21" ht="29" x14ac:dyDescent="0.35">
      <c r="A270" s="14">
        <v>5</v>
      </c>
      <c r="B270" s="14" t="s">
        <v>701</v>
      </c>
      <c r="C270" s="14" t="s">
        <v>702</v>
      </c>
      <c r="D270" s="14" t="s">
        <v>703</v>
      </c>
      <c r="E270" s="14" t="s">
        <v>69</v>
      </c>
      <c r="F270" s="14" t="s">
        <v>284</v>
      </c>
      <c r="G270" s="14" t="s">
        <v>691</v>
      </c>
      <c r="H270" s="14" t="s">
        <v>76</v>
      </c>
      <c r="I270" s="15"/>
      <c r="J270" s="15"/>
      <c r="K270" s="15"/>
      <c r="L270" s="15"/>
      <c r="M270" s="15"/>
      <c r="N270" s="15"/>
      <c r="O270" s="15"/>
      <c r="P270" s="15"/>
      <c r="Q270" s="15"/>
      <c r="R270" s="15"/>
      <c r="S270" s="15"/>
      <c r="T270" s="15"/>
      <c r="U270" s="14" t="str">
        <f t="shared" si="13"/>
        <v/>
      </c>
    </row>
    <row r="271" spans="1:21" ht="29" x14ac:dyDescent="0.35">
      <c r="A271" s="14">
        <v>6</v>
      </c>
      <c r="B271" s="14" t="s">
        <v>704</v>
      </c>
      <c r="C271" s="14" t="s">
        <v>705</v>
      </c>
      <c r="D271" s="14" t="s">
        <v>706</v>
      </c>
      <c r="E271" s="14" t="s">
        <v>69</v>
      </c>
      <c r="F271" s="14" t="s">
        <v>707</v>
      </c>
      <c r="G271" s="14" t="s">
        <v>691</v>
      </c>
      <c r="H271" s="14" t="s">
        <v>85</v>
      </c>
      <c r="I271" s="15"/>
      <c r="J271" s="15"/>
      <c r="K271" s="15"/>
      <c r="L271" s="15"/>
      <c r="M271" s="15"/>
      <c r="N271" s="15"/>
      <c r="O271" s="15"/>
      <c r="P271" s="15"/>
      <c r="Q271" s="15"/>
      <c r="R271" s="15"/>
      <c r="S271" s="15"/>
      <c r="T271" s="15"/>
      <c r="U271" s="14" t="str">
        <f t="shared" si="13"/>
        <v/>
      </c>
    </row>
    <row r="272" spans="1:21" ht="29" x14ac:dyDescent="0.35">
      <c r="A272" s="14">
        <v>7</v>
      </c>
      <c r="B272" s="14" t="s">
        <v>708</v>
      </c>
      <c r="C272" s="14" t="s">
        <v>709</v>
      </c>
      <c r="D272" s="14" t="s">
        <v>710</v>
      </c>
      <c r="E272" s="14" t="s">
        <v>69</v>
      </c>
      <c r="F272" s="14" t="s">
        <v>711</v>
      </c>
      <c r="G272" s="14" t="s">
        <v>691</v>
      </c>
      <c r="H272" s="14" t="s">
        <v>76</v>
      </c>
      <c r="I272" s="15"/>
      <c r="J272" s="15"/>
      <c r="K272" s="15"/>
      <c r="L272" s="15"/>
      <c r="M272" s="15"/>
      <c r="N272" s="15"/>
      <c r="O272" s="15"/>
      <c r="P272" s="15"/>
      <c r="Q272" s="15"/>
      <c r="R272" s="15"/>
      <c r="S272" s="15"/>
      <c r="T272" s="15"/>
      <c r="U272" s="14" t="str">
        <f t="shared" si="13"/>
        <v/>
      </c>
    </row>
    <row r="273" spans="1:21" ht="29" x14ac:dyDescent="0.35">
      <c r="A273" s="14">
        <v>8</v>
      </c>
      <c r="B273" s="14" t="s">
        <v>712</v>
      </c>
      <c r="C273" s="14" t="s">
        <v>713</v>
      </c>
      <c r="D273" s="14" t="s">
        <v>714</v>
      </c>
      <c r="E273" s="14" t="s">
        <v>69</v>
      </c>
      <c r="F273" s="14" t="s">
        <v>167</v>
      </c>
      <c r="G273" s="14" t="s">
        <v>691</v>
      </c>
      <c r="H273" s="14" t="s">
        <v>76</v>
      </c>
      <c r="I273" s="15"/>
      <c r="J273" s="15"/>
      <c r="K273" s="15"/>
      <c r="L273" s="15"/>
      <c r="M273" s="15"/>
      <c r="N273" s="15"/>
      <c r="O273" s="15"/>
      <c r="P273" s="15"/>
      <c r="Q273" s="15"/>
      <c r="R273" s="15"/>
      <c r="S273" s="15"/>
      <c r="T273" s="15"/>
      <c r="U273" s="14" t="str">
        <f t="shared" si="13"/>
        <v/>
      </c>
    </row>
    <row r="274" spans="1:21" ht="29" x14ac:dyDescent="0.35">
      <c r="A274" s="14">
        <v>9</v>
      </c>
      <c r="B274" s="14" t="s">
        <v>715</v>
      </c>
      <c r="C274" s="14" t="s">
        <v>716</v>
      </c>
      <c r="D274" s="14" t="s">
        <v>717</v>
      </c>
      <c r="E274" s="14" t="s">
        <v>69</v>
      </c>
      <c r="F274" s="14" t="s">
        <v>95</v>
      </c>
      <c r="G274" s="14" t="s">
        <v>691</v>
      </c>
      <c r="H274" s="14" t="s">
        <v>59</v>
      </c>
      <c r="I274" s="15"/>
      <c r="J274" s="15"/>
      <c r="K274" s="15"/>
      <c r="L274" s="15"/>
      <c r="M274" s="15"/>
      <c r="N274" s="15"/>
      <c r="O274" s="15"/>
      <c r="P274" s="15"/>
      <c r="Q274" s="15"/>
      <c r="R274" s="15"/>
      <c r="S274" s="15"/>
      <c r="T274" s="15"/>
      <c r="U274" s="14" t="str">
        <f t="shared" si="13"/>
        <v/>
      </c>
    </row>
    <row r="275" spans="1:21" ht="29" x14ac:dyDescent="0.35">
      <c r="A275" s="14">
        <v>10</v>
      </c>
      <c r="B275" s="14" t="s">
        <v>718</v>
      </c>
      <c r="C275" s="14" t="s">
        <v>719</v>
      </c>
      <c r="D275" s="14" t="s">
        <v>720</v>
      </c>
      <c r="E275" s="14" t="s">
        <v>69</v>
      </c>
      <c r="F275" s="14" t="s">
        <v>167</v>
      </c>
      <c r="G275" s="14" t="s">
        <v>691</v>
      </c>
      <c r="H275" s="14" t="s">
        <v>59</v>
      </c>
      <c r="I275" s="15"/>
      <c r="J275" s="15"/>
      <c r="K275" s="15"/>
      <c r="L275" s="15"/>
      <c r="M275" s="15"/>
      <c r="N275" s="15"/>
      <c r="O275" s="15"/>
      <c r="P275" s="15"/>
      <c r="Q275" s="15"/>
      <c r="R275" s="15"/>
      <c r="S275" s="15"/>
      <c r="T275" s="15"/>
      <c r="U275" s="14" t="str">
        <f t="shared" si="13"/>
        <v/>
      </c>
    </row>
    <row r="276" spans="1:21" ht="29" x14ac:dyDescent="0.35">
      <c r="A276" s="14">
        <v>11</v>
      </c>
      <c r="B276" s="14" t="s">
        <v>721</v>
      </c>
      <c r="C276" s="14" t="s">
        <v>722</v>
      </c>
      <c r="D276" s="14" t="s">
        <v>723</v>
      </c>
      <c r="E276" s="14" t="s">
        <v>690</v>
      </c>
      <c r="F276" s="14" t="s">
        <v>167</v>
      </c>
      <c r="G276" s="14" t="s">
        <v>691</v>
      </c>
      <c r="H276" s="14" t="s">
        <v>59</v>
      </c>
      <c r="I276" s="15"/>
      <c r="J276" s="15"/>
      <c r="K276" s="15"/>
      <c r="L276" s="15"/>
      <c r="M276" s="15"/>
      <c r="N276" s="15"/>
      <c r="O276" s="15"/>
      <c r="P276" s="15"/>
      <c r="Q276" s="15"/>
      <c r="R276" s="15"/>
      <c r="S276" s="15"/>
      <c r="T276" s="15"/>
      <c r="U276" s="14" t="str">
        <f t="shared" si="13"/>
        <v/>
      </c>
    </row>
    <row r="277" spans="1:21" ht="29" x14ac:dyDescent="0.35">
      <c r="A277" s="14">
        <v>12</v>
      </c>
      <c r="B277" s="14" t="s">
        <v>724</v>
      </c>
      <c r="C277" s="14" t="s">
        <v>725</v>
      </c>
      <c r="D277" s="14" t="s">
        <v>726</v>
      </c>
      <c r="E277" s="14" t="s">
        <v>690</v>
      </c>
      <c r="F277" s="14" t="s">
        <v>167</v>
      </c>
      <c r="G277" s="14" t="s">
        <v>691</v>
      </c>
      <c r="H277" s="14" t="s">
        <v>59</v>
      </c>
      <c r="I277" s="15"/>
      <c r="J277" s="15"/>
      <c r="K277" s="15"/>
      <c r="L277" s="15"/>
      <c r="M277" s="15"/>
      <c r="N277" s="15"/>
      <c r="O277" s="15"/>
      <c r="P277" s="15"/>
      <c r="Q277" s="15"/>
      <c r="R277" s="15"/>
      <c r="S277" s="15"/>
      <c r="T277" s="15"/>
      <c r="U277" s="14" t="str">
        <f t="shared" si="13"/>
        <v/>
      </c>
    </row>
    <row r="278" spans="1:21" ht="29" x14ac:dyDescent="0.35">
      <c r="A278" s="14">
        <v>13</v>
      </c>
      <c r="B278" s="14" t="s">
        <v>727</v>
      </c>
      <c r="C278" s="14" t="s">
        <v>728</v>
      </c>
      <c r="D278" s="14" t="s">
        <v>729</v>
      </c>
      <c r="E278" s="14" t="s">
        <v>690</v>
      </c>
      <c r="F278" s="14" t="s">
        <v>167</v>
      </c>
      <c r="G278" s="14" t="s">
        <v>691</v>
      </c>
      <c r="H278" s="14" t="s">
        <v>59</v>
      </c>
      <c r="I278" s="15"/>
      <c r="J278" s="15"/>
      <c r="K278" s="15"/>
      <c r="L278" s="15"/>
      <c r="M278" s="15"/>
      <c r="N278" s="15"/>
      <c r="O278" s="15"/>
      <c r="P278" s="15"/>
      <c r="Q278" s="15"/>
      <c r="R278" s="15"/>
      <c r="S278" s="15"/>
      <c r="T278" s="15"/>
      <c r="U278" s="14" t="str">
        <f t="shared" si="13"/>
        <v/>
      </c>
    </row>
    <row r="279" spans="1:21" ht="29" x14ac:dyDescent="0.35">
      <c r="A279" s="14">
        <v>14</v>
      </c>
      <c r="B279" s="14" t="s">
        <v>730</v>
      </c>
      <c r="C279" s="14" t="s">
        <v>731</v>
      </c>
      <c r="D279" s="14" t="s">
        <v>732</v>
      </c>
      <c r="E279" s="14" t="s">
        <v>690</v>
      </c>
      <c r="F279" s="14" t="s">
        <v>167</v>
      </c>
      <c r="G279" s="14" t="s">
        <v>691</v>
      </c>
      <c r="H279" s="14" t="s">
        <v>59</v>
      </c>
      <c r="I279" s="15"/>
      <c r="J279" s="15"/>
      <c r="K279" s="15"/>
      <c r="L279" s="15"/>
      <c r="M279" s="15"/>
      <c r="N279" s="15"/>
      <c r="O279" s="15"/>
      <c r="P279" s="15"/>
      <c r="Q279" s="15"/>
      <c r="R279" s="15"/>
      <c r="S279" s="15"/>
      <c r="T279" s="15"/>
      <c r="U279" s="14" t="str">
        <f t="shared" si="13"/>
        <v/>
      </c>
    </row>
    <row r="280" spans="1:21" ht="29" x14ac:dyDescent="0.35">
      <c r="A280" s="14">
        <v>15</v>
      </c>
      <c r="B280" s="14" t="s">
        <v>733</v>
      </c>
      <c r="C280" s="14" t="s">
        <v>734</v>
      </c>
      <c r="D280" s="14" t="s">
        <v>735</v>
      </c>
      <c r="E280" s="14" t="s">
        <v>69</v>
      </c>
      <c r="F280" s="14" t="s">
        <v>95</v>
      </c>
      <c r="G280" s="14" t="s">
        <v>691</v>
      </c>
      <c r="H280" s="14" t="s">
        <v>76</v>
      </c>
      <c r="I280" s="15"/>
      <c r="J280" s="15"/>
      <c r="K280" s="15"/>
      <c r="L280" s="15"/>
      <c r="M280" s="15"/>
      <c r="N280" s="15"/>
      <c r="O280" s="15"/>
      <c r="P280" s="15"/>
      <c r="Q280" s="15"/>
      <c r="R280" s="15"/>
      <c r="S280" s="15"/>
      <c r="T280" s="15"/>
      <c r="U280" s="14" t="str">
        <f t="shared" si="13"/>
        <v/>
      </c>
    </row>
    <row r="281" spans="1:21" ht="29" x14ac:dyDescent="0.35">
      <c r="A281" s="14">
        <v>16</v>
      </c>
      <c r="B281" s="14" t="s">
        <v>736</v>
      </c>
      <c r="C281" s="14" t="s">
        <v>737</v>
      </c>
      <c r="D281" s="14" t="s">
        <v>738</v>
      </c>
      <c r="E281" s="14" t="s">
        <v>690</v>
      </c>
      <c r="F281" s="14" t="s">
        <v>167</v>
      </c>
      <c r="G281" s="14" t="s">
        <v>691</v>
      </c>
      <c r="H281" s="14" t="s">
        <v>59</v>
      </c>
      <c r="I281" s="15"/>
      <c r="J281" s="15"/>
      <c r="K281" s="15"/>
      <c r="L281" s="15"/>
      <c r="M281" s="15"/>
      <c r="N281" s="15"/>
      <c r="O281" s="15"/>
      <c r="P281" s="15"/>
      <c r="Q281" s="15"/>
      <c r="R281" s="15"/>
      <c r="S281" s="15"/>
      <c r="T281" s="15"/>
      <c r="U281" s="14" t="str">
        <f t="shared" si="13"/>
        <v/>
      </c>
    </row>
    <row r="282" spans="1:21" ht="29" x14ac:dyDescent="0.35">
      <c r="A282" s="14">
        <v>17</v>
      </c>
      <c r="B282" s="14" t="s">
        <v>739</v>
      </c>
      <c r="C282" s="14" t="s">
        <v>740</v>
      </c>
      <c r="D282" s="14" t="s">
        <v>741</v>
      </c>
      <c r="E282" s="14" t="s">
        <v>69</v>
      </c>
      <c r="F282" s="14" t="s">
        <v>95</v>
      </c>
      <c r="G282" s="14" t="s">
        <v>691</v>
      </c>
      <c r="H282" s="14" t="s">
        <v>59</v>
      </c>
      <c r="I282" s="15"/>
      <c r="J282" s="15"/>
      <c r="K282" s="15"/>
      <c r="L282" s="15"/>
      <c r="M282" s="15"/>
      <c r="N282" s="15"/>
      <c r="O282" s="15"/>
      <c r="P282" s="15"/>
      <c r="Q282" s="15"/>
      <c r="R282" s="15"/>
      <c r="S282" s="15"/>
      <c r="T282" s="15"/>
      <c r="U282" s="14" t="str">
        <f t="shared" si="13"/>
        <v/>
      </c>
    </row>
  </sheetData>
  <mergeCells count="14">
    <mergeCell ref="A1:U1"/>
    <mergeCell ref="A197:U197"/>
    <mergeCell ref="A241:U241"/>
    <mergeCell ref="A263:U263"/>
    <mergeCell ref="A2:U2"/>
    <mergeCell ref="A65:U65"/>
    <mergeCell ref="A43:U43"/>
    <mergeCell ref="A175:U175"/>
    <mergeCell ref="A219:U219"/>
    <mergeCell ref="A109:U109"/>
    <mergeCell ref="A87:U87"/>
    <mergeCell ref="A131:U131"/>
    <mergeCell ref="A153:U153"/>
    <mergeCell ref="A21:U21"/>
  </mergeCells>
  <dataValidations count="3">
    <dataValidation type="list" allowBlank="1" sqref="I24:I40 I266:I282 I244:I260 I222:I238 I200:I216 I178:I194 I156:I172 I134:I150 I112:I128 I90:I106 I68:I84 I46:I62" xr:uid="{00000000-0002-0000-1100-000000000000}">
      <formula1>"0,1,2,NA"</formula1>
    </dataValidation>
    <dataValidation type="list" allowBlank="1" sqref="H24:H40 H266:H282 H244:H260 H222:H238 H200:H216 H178:H194 H156:H172 H134:H150 H112:H128 H90:H106 H68:H84 H46:H62" xr:uid="{00000000-0002-0000-1100-000001000000}">
      <formula1>"Low,Medium,High,Critical"</formula1>
    </dataValidation>
    <dataValidation type="list" allowBlank="1" sqref="T24:T40 T266:T282 T244:T260 T222:T238 T200:T216 T178:T194 T156:T172 T134:T150 T112:T128 T90:T106 T68:T84 T46:T62" xr:uid="{00000000-0002-0000-1100-000002000000}">
      <formula1>"Not Started,In Progress,Complete,Closed,Escalated"</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22"/>
  <sheetViews>
    <sheetView workbookViewId="0">
      <pane ySplit="22" topLeftCell="A23" activePane="bottomLeft" state="frozen"/>
      <selection pane="bottomLeft"/>
    </sheetView>
  </sheetViews>
  <sheetFormatPr defaultRowHeight="14.5" x14ac:dyDescent="0.35"/>
  <cols>
    <col min="1" max="1" width="5" customWidth="1"/>
    <col min="2" max="2" width="20" customWidth="1"/>
    <col min="3" max="3" width="50" customWidth="1"/>
    <col min="4" max="4" width="38" customWidth="1"/>
    <col min="5" max="6" width="18" customWidth="1"/>
    <col min="7" max="7" width="34" customWidth="1"/>
    <col min="8" max="8" width="12" customWidth="1"/>
    <col min="9" max="9" width="14" customWidth="1"/>
    <col min="10" max="10" width="32" customWidth="1"/>
    <col min="11" max="11" width="34" customWidth="1"/>
    <col min="12" max="12" width="28" customWidth="1"/>
    <col min="13" max="13" width="26" customWidth="1"/>
    <col min="14" max="14" width="30" customWidth="1"/>
    <col min="15" max="15" width="20" customWidth="1"/>
    <col min="16" max="17" width="13" customWidth="1"/>
    <col min="18" max="18" width="18" customWidth="1"/>
    <col min="19" max="19" width="14" customWidth="1"/>
    <col min="20" max="20" width="16" customWidth="1"/>
    <col min="21" max="21" width="12" customWidth="1"/>
  </cols>
  <sheetData>
    <row r="1" spans="1:21" ht="28" customHeight="1" x14ac:dyDescent="0.35">
      <c r="A1" s="26" t="s">
        <v>753</v>
      </c>
      <c r="B1" s="23"/>
      <c r="C1" s="23"/>
      <c r="D1" s="23"/>
      <c r="E1" s="23"/>
      <c r="F1" s="23"/>
      <c r="G1" s="23"/>
      <c r="H1" s="23"/>
      <c r="I1" s="23"/>
      <c r="J1" s="23"/>
      <c r="K1" s="23"/>
      <c r="L1" s="23"/>
      <c r="M1" s="23"/>
      <c r="N1" s="23"/>
      <c r="O1" s="23"/>
      <c r="P1" s="23"/>
      <c r="Q1" s="23"/>
      <c r="R1" s="23"/>
      <c r="S1" s="23"/>
      <c r="T1" s="23"/>
      <c r="U1" s="23"/>
    </row>
    <row r="2" spans="1:21" x14ac:dyDescent="0.35">
      <c r="A2" s="27" t="s">
        <v>683</v>
      </c>
      <c r="B2" s="23"/>
      <c r="C2" s="23"/>
      <c r="D2" s="23"/>
      <c r="E2" s="23"/>
      <c r="F2" s="23"/>
      <c r="G2" s="23"/>
      <c r="H2" s="23"/>
      <c r="I2" s="23"/>
      <c r="J2" s="23"/>
      <c r="K2" s="23"/>
      <c r="L2" s="23"/>
      <c r="M2" s="23"/>
      <c r="N2" s="23"/>
      <c r="O2" s="23"/>
      <c r="P2" s="23"/>
      <c r="Q2" s="23"/>
      <c r="R2" s="23"/>
      <c r="S2" s="23"/>
      <c r="T2" s="23"/>
      <c r="U2" s="23"/>
    </row>
    <row r="4" spans="1:21" ht="29" x14ac:dyDescent="0.35">
      <c r="A4" s="11" t="s">
        <v>3</v>
      </c>
      <c r="B4" s="11" t="s">
        <v>4</v>
      </c>
      <c r="C4" s="11" t="s">
        <v>5</v>
      </c>
      <c r="D4" s="11" t="s">
        <v>6</v>
      </c>
      <c r="E4" s="11" t="s">
        <v>7</v>
      </c>
      <c r="F4" s="11" t="s">
        <v>8</v>
      </c>
      <c r="G4" s="11" t="s">
        <v>9</v>
      </c>
      <c r="H4" s="11" t="s">
        <v>10</v>
      </c>
      <c r="I4" s="11" t="s">
        <v>11</v>
      </c>
      <c r="J4" s="11" t="s">
        <v>12</v>
      </c>
      <c r="K4" s="11" t="s">
        <v>13</v>
      </c>
      <c r="L4" s="11" t="s">
        <v>14</v>
      </c>
      <c r="M4" s="11" t="s">
        <v>684</v>
      </c>
      <c r="N4" s="11" t="s">
        <v>685</v>
      </c>
    </row>
    <row r="5" spans="1:21" x14ac:dyDescent="0.35">
      <c r="A5" t="s">
        <v>18</v>
      </c>
      <c r="B5" s="12">
        <v>46050</v>
      </c>
      <c r="E5">
        <f>SUMIF(I24:I35,"&gt;=0",I24:I35)</f>
        <v>0</v>
      </c>
      <c r="F5">
        <f>COUNT(I24:I35)*2</f>
        <v>0</v>
      </c>
      <c r="G5" s="13" t="str">
        <f t="shared" ref="G5:G16" si="0">IF(F5=0,"",E5/F5)</f>
        <v/>
      </c>
      <c r="H5" t="str">
        <f t="shared" ref="H5:H16" si="1">IF(G5="","Not Started",IF(G5&gt;=0.9,"Green",IF(G5&gt;=0.75,"Amber","Red")))</f>
        <v>Not Started</v>
      </c>
      <c r="I5">
        <f>COUNTIFS(H24:H35,"Critical",I24:I35,"&lt;2")+COUNTIFS(H24:H35,"High",I24:I35,"&lt;2")</f>
        <v>0</v>
      </c>
      <c r="J5">
        <f>COUNTIF(T24:T35,"In Progress")+COUNTIF(T24:T35,"Not Started")</f>
        <v>0</v>
      </c>
      <c r="K5">
        <f ca="1">COUNTIFS(P24:P35,"&lt;"&amp;TODAY(),Q24:Q35,"")</f>
        <v>0</v>
      </c>
    </row>
    <row r="6" spans="1:21" x14ac:dyDescent="0.35">
      <c r="A6" t="s">
        <v>19</v>
      </c>
      <c r="B6" s="12">
        <v>46081</v>
      </c>
      <c r="E6">
        <f>SUMIF(I41:I52,"&gt;=0",I41:I52)</f>
        <v>0</v>
      </c>
      <c r="F6">
        <f>COUNT(I41:I52)*2</f>
        <v>0</v>
      </c>
      <c r="G6" s="13" t="str">
        <f t="shared" si="0"/>
        <v/>
      </c>
      <c r="H6" t="str">
        <f t="shared" si="1"/>
        <v>Not Started</v>
      </c>
      <c r="I6">
        <f>COUNTIFS(H41:H52,"Critical",I41:I52,"&lt;2")+COUNTIFS(H41:H52,"High",I41:I52,"&lt;2")</f>
        <v>0</v>
      </c>
      <c r="J6">
        <f>COUNTIF(T41:T52,"In Progress")+COUNTIF(T41:T52,"Not Started")</f>
        <v>0</v>
      </c>
      <c r="K6">
        <f ca="1">COUNTIFS(P41:P52,"&lt;"&amp;TODAY(),Q41:Q52,"")</f>
        <v>0</v>
      </c>
    </row>
    <row r="7" spans="1:21" x14ac:dyDescent="0.35">
      <c r="A7" t="s">
        <v>20</v>
      </c>
      <c r="B7" s="12">
        <v>46109</v>
      </c>
      <c r="E7">
        <f>SUMIF(I58:I69,"&gt;=0",I58:I69)</f>
        <v>0</v>
      </c>
      <c r="F7">
        <f>COUNT(I58:I69)*2</f>
        <v>0</v>
      </c>
      <c r="G7" s="13" t="str">
        <f t="shared" si="0"/>
        <v/>
      </c>
      <c r="H7" t="str">
        <f t="shared" si="1"/>
        <v>Not Started</v>
      </c>
      <c r="I7">
        <f>COUNTIFS(H58:H69,"Critical",I58:I69,"&lt;2")+COUNTIFS(H58:H69,"High",I58:I69,"&lt;2")</f>
        <v>0</v>
      </c>
      <c r="J7">
        <f>COUNTIF(T58:T69,"In Progress")+COUNTIF(T58:T69,"Not Started")</f>
        <v>0</v>
      </c>
      <c r="K7">
        <f ca="1">COUNTIFS(P58:P69,"&lt;"&amp;TODAY(),Q58:Q69,"")</f>
        <v>0</v>
      </c>
    </row>
    <row r="8" spans="1:21" x14ac:dyDescent="0.35">
      <c r="A8" t="s">
        <v>21</v>
      </c>
      <c r="B8" s="12">
        <v>46140</v>
      </c>
      <c r="E8">
        <f>SUMIF(I75:I86,"&gt;=0",I75:I86)</f>
        <v>0</v>
      </c>
      <c r="F8">
        <f>COUNT(I75:I86)*2</f>
        <v>0</v>
      </c>
      <c r="G8" s="13" t="str">
        <f t="shared" si="0"/>
        <v/>
      </c>
      <c r="H8" t="str">
        <f t="shared" si="1"/>
        <v>Not Started</v>
      </c>
      <c r="I8">
        <f>COUNTIFS(H75:H86,"Critical",I75:I86,"&lt;2")+COUNTIFS(H75:H86,"High",I75:I86,"&lt;2")</f>
        <v>0</v>
      </c>
      <c r="J8">
        <f>COUNTIF(T75:T86,"In Progress")+COUNTIF(T75:T86,"Not Started")</f>
        <v>0</v>
      </c>
      <c r="K8">
        <f ca="1">COUNTIFS(P75:P86,"&lt;"&amp;TODAY(),Q75:Q86,"")</f>
        <v>0</v>
      </c>
    </row>
    <row r="9" spans="1:21" x14ac:dyDescent="0.35">
      <c r="A9" t="s">
        <v>22</v>
      </c>
      <c r="B9" s="12">
        <v>46170</v>
      </c>
      <c r="E9">
        <f>SUMIF(I92:I103,"&gt;=0",I92:I103)</f>
        <v>0</v>
      </c>
      <c r="F9">
        <f>COUNT(I92:I103)*2</f>
        <v>0</v>
      </c>
      <c r="G9" s="13" t="str">
        <f t="shared" si="0"/>
        <v/>
      </c>
      <c r="H9" t="str">
        <f t="shared" si="1"/>
        <v>Not Started</v>
      </c>
      <c r="I9">
        <f>COUNTIFS(H92:H103,"Critical",I92:I103,"&lt;2")+COUNTIFS(H92:H103,"High",I92:I103,"&lt;2")</f>
        <v>0</v>
      </c>
      <c r="J9">
        <f>COUNTIF(T92:T103,"In Progress")+COUNTIF(T92:T103,"Not Started")</f>
        <v>0</v>
      </c>
      <c r="K9">
        <f ca="1">COUNTIFS(P92:P103,"&lt;"&amp;TODAY(),Q92:Q103,"")</f>
        <v>0</v>
      </c>
    </row>
    <row r="10" spans="1:21" x14ac:dyDescent="0.35">
      <c r="A10" t="s">
        <v>23</v>
      </c>
      <c r="B10" s="12">
        <v>46201</v>
      </c>
      <c r="E10">
        <f>SUMIF(I109:I120,"&gt;=0",I109:I120)</f>
        <v>0</v>
      </c>
      <c r="F10">
        <f>COUNT(I109:I120)*2</f>
        <v>0</v>
      </c>
      <c r="G10" s="13" t="str">
        <f t="shared" si="0"/>
        <v/>
      </c>
      <c r="H10" t="str">
        <f t="shared" si="1"/>
        <v>Not Started</v>
      </c>
      <c r="I10">
        <f>COUNTIFS(H109:H120,"Critical",I109:I120,"&lt;2")+COUNTIFS(H109:H120,"High",I109:I120,"&lt;2")</f>
        <v>0</v>
      </c>
      <c r="J10">
        <f>COUNTIF(T109:T120,"In Progress")+COUNTIF(T109:T120,"Not Started")</f>
        <v>0</v>
      </c>
      <c r="K10">
        <f ca="1">COUNTIFS(P109:P120,"&lt;"&amp;TODAY(),Q109:Q120,"")</f>
        <v>0</v>
      </c>
    </row>
    <row r="11" spans="1:21" x14ac:dyDescent="0.35">
      <c r="A11" t="s">
        <v>24</v>
      </c>
      <c r="B11" s="12">
        <v>46231</v>
      </c>
      <c r="E11">
        <f>SUMIF(I126:I137,"&gt;=0",I126:I137)</f>
        <v>0</v>
      </c>
      <c r="F11">
        <f>COUNT(I126:I137)*2</f>
        <v>0</v>
      </c>
      <c r="G11" s="13" t="str">
        <f t="shared" si="0"/>
        <v/>
      </c>
      <c r="H11" t="str">
        <f t="shared" si="1"/>
        <v>Not Started</v>
      </c>
      <c r="I11">
        <f>COUNTIFS(H126:H137,"Critical",I126:I137,"&lt;2")+COUNTIFS(H126:H137,"High",I126:I137,"&lt;2")</f>
        <v>0</v>
      </c>
      <c r="J11">
        <f>COUNTIF(T126:T137,"In Progress")+COUNTIF(T126:T137,"Not Started")</f>
        <v>0</v>
      </c>
      <c r="K11">
        <f ca="1">COUNTIFS(P126:P137,"&lt;"&amp;TODAY(),Q126:Q137,"")</f>
        <v>0</v>
      </c>
    </row>
    <row r="12" spans="1:21" x14ac:dyDescent="0.35">
      <c r="A12" t="s">
        <v>25</v>
      </c>
      <c r="B12" s="12">
        <v>46262</v>
      </c>
      <c r="E12">
        <f>SUMIF(I143:I154,"&gt;=0",I143:I154)</f>
        <v>0</v>
      </c>
      <c r="F12">
        <f>COUNT(I143:I154)*2</f>
        <v>0</v>
      </c>
      <c r="G12" s="13" t="str">
        <f t="shared" si="0"/>
        <v/>
      </c>
      <c r="H12" t="str">
        <f t="shared" si="1"/>
        <v>Not Started</v>
      </c>
      <c r="I12">
        <f>COUNTIFS(H143:H154,"Critical",I143:I154,"&lt;2")+COUNTIFS(H143:H154,"High",I143:I154,"&lt;2")</f>
        <v>0</v>
      </c>
      <c r="J12">
        <f>COUNTIF(T143:T154,"In Progress")+COUNTIF(T143:T154,"Not Started")</f>
        <v>0</v>
      </c>
      <c r="K12">
        <f ca="1">COUNTIFS(P143:P154,"&lt;"&amp;TODAY(),Q143:Q154,"")</f>
        <v>0</v>
      </c>
    </row>
    <row r="13" spans="1:21" x14ac:dyDescent="0.35">
      <c r="A13" t="s">
        <v>26</v>
      </c>
      <c r="B13" s="12">
        <v>46293</v>
      </c>
      <c r="E13">
        <f>SUMIF(I160:I171,"&gt;=0",I160:I171)</f>
        <v>0</v>
      </c>
      <c r="F13">
        <f>COUNT(I160:I171)*2</f>
        <v>0</v>
      </c>
      <c r="G13" s="13" t="str">
        <f t="shared" si="0"/>
        <v/>
      </c>
      <c r="H13" t="str">
        <f t="shared" si="1"/>
        <v>Not Started</v>
      </c>
      <c r="I13">
        <f>COUNTIFS(H160:H171,"Critical",I160:I171,"&lt;2")+COUNTIFS(H160:H171,"High",I160:I171,"&lt;2")</f>
        <v>0</v>
      </c>
      <c r="J13">
        <f>COUNTIF(T160:T171,"In Progress")+COUNTIF(T160:T171,"Not Started")</f>
        <v>0</v>
      </c>
      <c r="K13">
        <f ca="1">COUNTIFS(P160:P171,"&lt;"&amp;TODAY(),Q160:Q171,"")</f>
        <v>0</v>
      </c>
    </row>
    <row r="14" spans="1:21" x14ac:dyDescent="0.35">
      <c r="A14" t="s">
        <v>27</v>
      </c>
      <c r="B14" s="12">
        <v>46323</v>
      </c>
      <c r="E14">
        <f>SUMIF(I177:I188,"&gt;=0",I177:I188)</f>
        <v>0</v>
      </c>
      <c r="F14">
        <f>COUNT(I177:I188)*2</f>
        <v>0</v>
      </c>
      <c r="G14" s="13" t="str">
        <f t="shared" si="0"/>
        <v/>
      </c>
      <c r="H14" t="str">
        <f t="shared" si="1"/>
        <v>Not Started</v>
      </c>
      <c r="I14">
        <f>COUNTIFS(H177:H188,"Critical",I177:I188,"&lt;2")+COUNTIFS(H177:H188,"High",I177:I188,"&lt;2")</f>
        <v>0</v>
      </c>
      <c r="J14">
        <f>COUNTIF(T177:T188,"In Progress")+COUNTIF(T177:T188,"Not Started")</f>
        <v>0</v>
      </c>
      <c r="K14">
        <f ca="1">COUNTIFS(P177:P188,"&lt;"&amp;TODAY(),Q177:Q188,"")</f>
        <v>0</v>
      </c>
    </row>
    <row r="15" spans="1:21" x14ac:dyDescent="0.35">
      <c r="A15" t="s">
        <v>28</v>
      </c>
      <c r="B15" s="12">
        <v>46354</v>
      </c>
      <c r="E15">
        <f>SUMIF(I194:I205,"&gt;=0",I194:I205)</f>
        <v>0</v>
      </c>
      <c r="F15">
        <f>COUNT(I194:I205)*2</f>
        <v>0</v>
      </c>
      <c r="G15" s="13" t="str">
        <f t="shared" si="0"/>
        <v/>
      </c>
      <c r="H15" t="str">
        <f t="shared" si="1"/>
        <v>Not Started</v>
      </c>
      <c r="I15">
        <f>COUNTIFS(H194:H205,"Critical",I194:I205,"&lt;2")+COUNTIFS(H194:H205,"High",I194:I205,"&lt;2")</f>
        <v>0</v>
      </c>
      <c r="J15">
        <f>COUNTIF(T194:T205,"In Progress")+COUNTIF(T194:T205,"Not Started")</f>
        <v>0</v>
      </c>
      <c r="K15">
        <f ca="1">COUNTIFS(P194:P205,"&lt;"&amp;TODAY(),Q194:Q205,"")</f>
        <v>0</v>
      </c>
    </row>
    <row r="16" spans="1:21" x14ac:dyDescent="0.35">
      <c r="A16" t="s">
        <v>29</v>
      </c>
      <c r="B16" s="12">
        <v>46384</v>
      </c>
      <c r="E16">
        <f>SUMIF(I211:I222,"&gt;=0",I211:I222)</f>
        <v>0</v>
      </c>
      <c r="F16">
        <f>COUNT(I211:I222)*2</f>
        <v>0</v>
      </c>
      <c r="G16" s="13" t="str">
        <f t="shared" si="0"/>
        <v/>
      </c>
      <c r="H16" t="str">
        <f t="shared" si="1"/>
        <v>Not Started</v>
      </c>
      <c r="I16">
        <f>COUNTIFS(H211:H222,"Critical",I211:I222,"&lt;2")+COUNTIFS(H211:H222,"High",I211:I222,"&lt;2")</f>
        <v>0</v>
      </c>
      <c r="J16">
        <f>COUNTIF(T211:T222,"In Progress")+COUNTIF(T211:T222,"Not Started")</f>
        <v>0</v>
      </c>
      <c r="K16">
        <f ca="1">COUNTIFS(P211:P222,"&lt;"&amp;TODAY(),Q211:Q222,"")</f>
        <v>0</v>
      </c>
    </row>
    <row r="21" spans="1:21" ht="22" customHeight="1" x14ac:dyDescent="0.35">
      <c r="A21" s="26" t="s">
        <v>754</v>
      </c>
      <c r="B21" s="23"/>
      <c r="C21" s="23"/>
      <c r="D21" s="23"/>
      <c r="E21" s="23"/>
      <c r="F21" s="23"/>
      <c r="G21" s="23"/>
      <c r="H21" s="23"/>
      <c r="I21" s="23"/>
      <c r="J21" s="23"/>
      <c r="K21" s="23"/>
      <c r="L21" s="23"/>
      <c r="M21" s="23"/>
      <c r="N21" s="23"/>
      <c r="O21" s="23"/>
      <c r="P21" s="23"/>
      <c r="Q21" s="23"/>
      <c r="R21" s="23"/>
      <c r="S21" s="23"/>
      <c r="T21" s="23"/>
      <c r="U21" s="23"/>
    </row>
    <row r="22" spans="1:21" x14ac:dyDescent="0.35">
      <c r="A22" t="s">
        <v>31</v>
      </c>
      <c r="B22" t="s">
        <v>18</v>
      </c>
      <c r="C22" t="s">
        <v>32</v>
      </c>
      <c r="E22" t="s">
        <v>33</v>
      </c>
    </row>
    <row r="23" spans="1:21" ht="29" x14ac:dyDescent="0.35">
      <c r="A23" s="11" t="s">
        <v>34</v>
      </c>
      <c r="B23" s="11" t="s">
        <v>35</v>
      </c>
      <c r="C23" s="11" t="s">
        <v>36</v>
      </c>
      <c r="D23" s="11" t="s">
        <v>37</v>
      </c>
      <c r="E23" s="11" t="s">
        <v>38</v>
      </c>
      <c r="F23" s="11" t="s">
        <v>39</v>
      </c>
      <c r="G23" s="11" t="s">
        <v>40</v>
      </c>
      <c r="H23" s="11" t="s">
        <v>41</v>
      </c>
      <c r="I23" s="11" t="s">
        <v>42</v>
      </c>
      <c r="J23" s="11" t="s">
        <v>43</v>
      </c>
      <c r="K23" s="11" t="s">
        <v>44</v>
      </c>
      <c r="L23" s="11" t="s">
        <v>45</v>
      </c>
      <c r="M23" s="11" t="s">
        <v>46</v>
      </c>
      <c r="N23" s="11" t="s">
        <v>47</v>
      </c>
      <c r="O23" s="11" t="s">
        <v>48</v>
      </c>
      <c r="P23" s="11" t="s">
        <v>4</v>
      </c>
      <c r="Q23" s="11" t="s">
        <v>49</v>
      </c>
      <c r="R23" s="11" t="s">
        <v>50</v>
      </c>
      <c r="S23" s="11" t="s">
        <v>51</v>
      </c>
      <c r="T23" s="11" t="s">
        <v>52</v>
      </c>
      <c r="U23" s="11" t="s">
        <v>10</v>
      </c>
    </row>
    <row r="24" spans="1:21" ht="29" x14ac:dyDescent="0.35">
      <c r="A24" s="14">
        <v>1</v>
      </c>
      <c r="B24" s="14" t="s">
        <v>755</v>
      </c>
      <c r="C24" s="14" t="s">
        <v>756</v>
      </c>
      <c r="D24" s="14" t="s">
        <v>757</v>
      </c>
      <c r="E24" s="14" t="s">
        <v>690</v>
      </c>
      <c r="F24" s="14" t="s">
        <v>167</v>
      </c>
      <c r="G24" s="14" t="s">
        <v>691</v>
      </c>
      <c r="H24" s="14" t="s">
        <v>59</v>
      </c>
      <c r="I24" s="15"/>
      <c r="J24" s="15"/>
      <c r="K24" s="15"/>
      <c r="L24" s="15"/>
      <c r="M24" s="15"/>
      <c r="N24" s="15"/>
      <c r="O24" s="15"/>
      <c r="P24" s="15"/>
      <c r="Q24" s="15"/>
      <c r="R24" s="15"/>
      <c r="S24" s="15"/>
      <c r="T24" s="15"/>
      <c r="U24" s="14" t="str">
        <f t="shared" ref="U24:U35" si="2">IF(I24="","",IF(I24="NA","Grey",IF(I24=2,"Green",IF(I24=1,"Amber","Red"))))</f>
        <v/>
      </c>
    </row>
    <row r="25" spans="1:21" ht="29" x14ac:dyDescent="0.35">
      <c r="A25" s="14">
        <v>2</v>
      </c>
      <c r="B25" s="14" t="s">
        <v>758</v>
      </c>
      <c r="C25" s="14" t="s">
        <v>759</v>
      </c>
      <c r="D25" s="14" t="s">
        <v>760</v>
      </c>
      <c r="E25" s="14" t="s">
        <v>69</v>
      </c>
      <c r="F25" s="14" t="s">
        <v>284</v>
      </c>
      <c r="G25" s="14" t="s">
        <v>691</v>
      </c>
      <c r="H25" s="14" t="s">
        <v>76</v>
      </c>
      <c r="I25" s="15"/>
      <c r="J25" s="15"/>
      <c r="K25" s="15"/>
      <c r="L25" s="15"/>
      <c r="M25" s="15"/>
      <c r="N25" s="15"/>
      <c r="O25" s="15"/>
      <c r="P25" s="15"/>
      <c r="Q25" s="15"/>
      <c r="R25" s="15"/>
      <c r="S25" s="15"/>
      <c r="T25" s="15"/>
      <c r="U25" s="14" t="str">
        <f t="shared" si="2"/>
        <v/>
      </c>
    </row>
    <row r="26" spans="1:21" ht="29" x14ac:dyDescent="0.35">
      <c r="A26" s="14">
        <v>3</v>
      </c>
      <c r="B26" s="14" t="s">
        <v>761</v>
      </c>
      <c r="C26" s="14" t="s">
        <v>762</v>
      </c>
      <c r="D26" s="14" t="s">
        <v>763</v>
      </c>
      <c r="E26" s="14" t="s">
        <v>690</v>
      </c>
      <c r="F26" s="14" t="s">
        <v>167</v>
      </c>
      <c r="G26" s="14" t="s">
        <v>691</v>
      </c>
      <c r="H26" s="14" t="s">
        <v>59</v>
      </c>
      <c r="I26" s="15"/>
      <c r="J26" s="15"/>
      <c r="K26" s="15"/>
      <c r="L26" s="15"/>
      <c r="M26" s="15"/>
      <c r="N26" s="15"/>
      <c r="O26" s="15"/>
      <c r="P26" s="15"/>
      <c r="Q26" s="15"/>
      <c r="R26" s="15"/>
      <c r="S26" s="15"/>
      <c r="T26" s="15"/>
      <c r="U26" s="14" t="str">
        <f t="shared" si="2"/>
        <v/>
      </c>
    </row>
    <row r="27" spans="1:21" ht="29" x14ac:dyDescent="0.35">
      <c r="A27" s="14">
        <v>4</v>
      </c>
      <c r="B27" s="14" t="s">
        <v>764</v>
      </c>
      <c r="C27" s="14" t="s">
        <v>765</v>
      </c>
      <c r="D27" s="14" t="s">
        <v>70</v>
      </c>
      <c r="E27" s="14" t="s">
        <v>690</v>
      </c>
      <c r="F27" s="14" t="s">
        <v>167</v>
      </c>
      <c r="G27" s="14" t="s">
        <v>691</v>
      </c>
      <c r="H27" s="14" t="s">
        <v>59</v>
      </c>
      <c r="I27" s="15"/>
      <c r="J27" s="15"/>
      <c r="K27" s="15"/>
      <c r="L27" s="15"/>
      <c r="M27" s="15"/>
      <c r="N27" s="15"/>
      <c r="O27" s="15"/>
      <c r="P27" s="15"/>
      <c r="Q27" s="15"/>
      <c r="R27" s="15"/>
      <c r="S27" s="15"/>
      <c r="T27" s="15"/>
      <c r="U27" s="14" t="str">
        <f t="shared" si="2"/>
        <v/>
      </c>
    </row>
    <row r="28" spans="1:21" ht="29" x14ac:dyDescent="0.35">
      <c r="A28" s="14">
        <v>5</v>
      </c>
      <c r="B28" s="14" t="s">
        <v>450</v>
      </c>
      <c r="C28" s="14" t="s">
        <v>766</v>
      </c>
      <c r="D28" s="14" t="s">
        <v>767</v>
      </c>
      <c r="E28" s="14" t="s">
        <v>690</v>
      </c>
      <c r="F28" s="14" t="s">
        <v>167</v>
      </c>
      <c r="G28" s="14" t="s">
        <v>691</v>
      </c>
      <c r="H28" s="14" t="s">
        <v>59</v>
      </c>
      <c r="I28" s="15"/>
      <c r="J28" s="15"/>
      <c r="K28" s="15"/>
      <c r="L28" s="15"/>
      <c r="M28" s="15"/>
      <c r="N28" s="15"/>
      <c r="O28" s="15"/>
      <c r="P28" s="15"/>
      <c r="Q28" s="15"/>
      <c r="R28" s="15"/>
      <c r="S28" s="15"/>
      <c r="T28" s="15"/>
      <c r="U28" s="14" t="str">
        <f t="shared" si="2"/>
        <v/>
      </c>
    </row>
    <row r="29" spans="1:21" ht="29" x14ac:dyDescent="0.35">
      <c r="A29" s="14">
        <v>6</v>
      </c>
      <c r="B29" s="14" t="s">
        <v>768</v>
      </c>
      <c r="C29" s="14" t="s">
        <v>769</v>
      </c>
      <c r="D29" s="14" t="s">
        <v>770</v>
      </c>
      <c r="E29" s="14" t="s">
        <v>690</v>
      </c>
      <c r="F29" s="14" t="s">
        <v>167</v>
      </c>
      <c r="G29" s="14" t="s">
        <v>691</v>
      </c>
      <c r="H29" s="14" t="s">
        <v>59</v>
      </c>
      <c r="I29" s="15"/>
      <c r="J29" s="15"/>
      <c r="K29" s="15"/>
      <c r="L29" s="15"/>
      <c r="M29" s="15"/>
      <c r="N29" s="15"/>
      <c r="O29" s="15"/>
      <c r="P29" s="15"/>
      <c r="Q29" s="15"/>
      <c r="R29" s="15"/>
      <c r="S29" s="15"/>
      <c r="T29" s="15"/>
      <c r="U29" s="14" t="str">
        <f t="shared" si="2"/>
        <v/>
      </c>
    </row>
    <row r="30" spans="1:21" ht="29" x14ac:dyDescent="0.35">
      <c r="A30" s="14">
        <v>7</v>
      </c>
      <c r="B30" s="14" t="s">
        <v>708</v>
      </c>
      <c r="C30" s="14" t="s">
        <v>771</v>
      </c>
      <c r="D30" s="14" t="s">
        <v>772</v>
      </c>
      <c r="E30" s="14" t="s">
        <v>69</v>
      </c>
      <c r="F30" s="14" t="s">
        <v>773</v>
      </c>
      <c r="G30" s="14" t="s">
        <v>691</v>
      </c>
      <c r="H30" s="14" t="s">
        <v>59</v>
      </c>
      <c r="I30" s="15"/>
      <c r="J30" s="15"/>
      <c r="K30" s="15"/>
      <c r="L30" s="15"/>
      <c r="M30" s="15"/>
      <c r="N30" s="15"/>
      <c r="O30" s="15"/>
      <c r="P30" s="15"/>
      <c r="Q30" s="15"/>
      <c r="R30" s="15"/>
      <c r="S30" s="15"/>
      <c r="T30" s="15"/>
      <c r="U30" s="14" t="str">
        <f t="shared" si="2"/>
        <v/>
      </c>
    </row>
    <row r="31" spans="1:21" ht="29" x14ac:dyDescent="0.35">
      <c r="A31" s="14">
        <v>8</v>
      </c>
      <c r="B31" s="14" t="s">
        <v>774</v>
      </c>
      <c r="C31" s="14" t="s">
        <v>775</v>
      </c>
      <c r="D31" s="14" t="s">
        <v>776</v>
      </c>
      <c r="E31" s="14" t="s">
        <v>69</v>
      </c>
      <c r="F31" s="14" t="s">
        <v>284</v>
      </c>
      <c r="G31" s="14" t="s">
        <v>691</v>
      </c>
      <c r="H31" s="14" t="s">
        <v>76</v>
      </c>
      <c r="I31" s="15"/>
      <c r="J31" s="15"/>
      <c r="K31" s="15"/>
      <c r="L31" s="15"/>
      <c r="M31" s="15"/>
      <c r="N31" s="15"/>
      <c r="O31" s="15"/>
      <c r="P31" s="15"/>
      <c r="Q31" s="15"/>
      <c r="R31" s="15"/>
      <c r="S31" s="15"/>
      <c r="T31" s="15"/>
      <c r="U31" s="14" t="str">
        <f t="shared" si="2"/>
        <v/>
      </c>
    </row>
    <row r="32" spans="1:21" ht="29" x14ac:dyDescent="0.35">
      <c r="A32" s="14">
        <v>9</v>
      </c>
      <c r="B32" s="14" t="s">
        <v>777</v>
      </c>
      <c r="C32" s="14" t="s">
        <v>778</v>
      </c>
      <c r="D32" s="14" t="s">
        <v>779</v>
      </c>
      <c r="E32" s="14" t="s">
        <v>69</v>
      </c>
      <c r="F32" s="14" t="s">
        <v>95</v>
      </c>
      <c r="G32" s="14" t="s">
        <v>691</v>
      </c>
      <c r="H32" s="14" t="s">
        <v>59</v>
      </c>
      <c r="I32" s="15"/>
      <c r="J32" s="15"/>
      <c r="K32" s="15"/>
      <c r="L32" s="15"/>
      <c r="M32" s="15"/>
      <c r="N32" s="15"/>
      <c r="O32" s="15"/>
      <c r="P32" s="15"/>
      <c r="Q32" s="15"/>
      <c r="R32" s="15"/>
      <c r="S32" s="15"/>
      <c r="T32" s="15"/>
      <c r="U32" s="14" t="str">
        <f t="shared" si="2"/>
        <v/>
      </c>
    </row>
    <row r="33" spans="1:21" ht="29" x14ac:dyDescent="0.35">
      <c r="A33" s="14">
        <v>10</v>
      </c>
      <c r="B33" s="14" t="s">
        <v>780</v>
      </c>
      <c r="C33" s="14" t="s">
        <v>781</v>
      </c>
      <c r="D33" s="14" t="s">
        <v>782</v>
      </c>
      <c r="E33" s="14" t="s">
        <v>690</v>
      </c>
      <c r="F33" s="14" t="s">
        <v>167</v>
      </c>
      <c r="G33" s="14" t="s">
        <v>691</v>
      </c>
      <c r="H33" s="14" t="s">
        <v>59</v>
      </c>
      <c r="I33" s="15"/>
      <c r="J33" s="15"/>
      <c r="K33" s="15"/>
      <c r="L33" s="15"/>
      <c r="M33" s="15"/>
      <c r="N33" s="15"/>
      <c r="O33" s="15"/>
      <c r="P33" s="15"/>
      <c r="Q33" s="15"/>
      <c r="R33" s="15"/>
      <c r="S33" s="15"/>
      <c r="T33" s="15"/>
      <c r="U33" s="14" t="str">
        <f t="shared" si="2"/>
        <v/>
      </c>
    </row>
    <row r="34" spans="1:21" ht="29" x14ac:dyDescent="0.35">
      <c r="A34" s="14">
        <v>11</v>
      </c>
      <c r="B34" s="14" t="s">
        <v>783</v>
      </c>
      <c r="C34" s="14" t="s">
        <v>784</v>
      </c>
      <c r="D34" s="14" t="s">
        <v>741</v>
      </c>
      <c r="E34" s="14" t="s">
        <v>69</v>
      </c>
      <c r="F34" s="14" t="s">
        <v>284</v>
      </c>
      <c r="G34" s="14" t="s">
        <v>691</v>
      </c>
      <c r="H34" s="14" t="s">
        <v>76</v>
      </c>
      <c r="I34" s="15"/>
      <c r="J34" s="15"/>
      <c r="K34" s="15"/>
      <c r="L34" s="15"/>
      <c r="M34" s="15"/>
      <c r="N34" s="15"/>
      <c r="O34" s="15"/>
      <c r="P34" s="15"/>
      <c r="Q34" s="15"/>
      <c r="R34" s="15"/>
      <c r="S34" s="15"/>
      <c r="T34" s="15"/>
      <c r="U34" s="14" t="str">
        <f t="shared" si="2"/>
        <v/>
      </c>
    </row>
    <row r="35" spans="1:21" ht="29" x14ac:dyDescent="0.35">
      <c r="A35" s="14">
        <v>12</v>
      </c>
      <c r="B35" s="14" t="s">
        <v>712</v>
      </c>
      <c r="C35" s="14" t="s">
        <v>785</v>
      </c>
      <c r="D35" s="14" t="s">
        <v>786</v>
      </c>
      <c r="E35" s="14" t="s">
        <v>690</v>
      </c>
      <c r="F35" s="14" t="s">
        <v>167</v>
      </c>
      <c r="G35" s="14" t="s">
        <v>691</v>
      </c>
      <c r="H35" s="14" t="s">
        <v>59</v>
      </c>
      <c r="I35" s="15"/>
      <c r="J35" s="15"/>
      <c r="K35" s="15"/>
      <c r="L35" s="15"/>
      <c r="M35" s="15"/>
      <c r="N35" s="15"/>
      <c r="O35" s="15"/>
      <c r="P35" s="15"/>
      <c r="Q35" s="15"/>
      <c r="R35" s="15"/>
      <c r="S35" s="15"/>
      <c r="T35" s="15"/>
      <c r="U35" s="14" t="str">
        <f t="shared" si="2"/>
        <v/>
      </c>
    </row>
    <row r="38" spans="1:21" ht="22" customHeight="1" x14ac:dyDescent="0.35">
      <c r="A38" s="26" t="s">
        <v>787</v>
      </c>
      <c r="B38" s="23"/>
      <c r="C38" s="23"/>
      <c r="D38" s="23"/>
      <c r="E38" s="23"/>
      <c r="F38" s="23"/>
      <c r="G38" s="23"/>
      <c r="H38" s="23"/>
      <c r="I38" s="23"/>
      <c r="J38" s="23"/>
      <c r="K38" s="23"/>
      <c r="L38" s="23"/>
      <c r="M38" s="23"/>
      <c r="N38" s="23"/>
      <c r="O38" s="23"/>
      <c r="P38" s="23"/>
      <c r="Q38" s="23"/>
      <c r="R38" s="23"/>
      <c r="S38" s="23"/>
      <c r="T38" s="23"/>
      <c r="U38" s="23"/>
    </row>
    <row r="39" spans="1:21" x14ac:dyDescent="0.35">
      <c r="A39" t="s">
        <v>31</v>
      </c>
      <c r="B39" t="s">
        <v>19</v>
      </c>
      <c r="C39" t="s">
        <v>32</v>
      </c>
      <c r="E39" t="s">
        <v>33</v>
      </c>
    </row>
    <row r="40" spans="1:21" ht="29" x14ac:dyDescent="0.35">
      <c r="A40" s="11" t="s">
        <v>34</v>
      </c>
      <c r="B40" s="11" t="s">
        <v>35</v>
      </c>
      <c r="C40" s="11" t="s">
        <v>36</v>
      </c>
      <c r="D40" s="11" t="s">
        <v>37</v>
      </c>
      <c r="E40" s="11" t="s">
        <v>38</v>
      </c>
      <c r="F40" s="11" t="s">
        <v>39</v>
      </c>
      <c r="G40" s="11" t="s">
        <v>40</v>
      </c>
      <c r="H40" s="11" t="s">
        <v>41</v>
      </c>
      <c r="I40" s="11" t="s">
        <v>42</v>
      </c>
      <c r="J40" s="11" t="s">
        <v>43</v>
      </c>
      <c r="K40" s="11" t="s">
        <v>44</v>
      </c>
      <c r="L40" s="11" t="s">
        <v>45</v>
      </c>
      <c r="M40" s="11" t="s">
        <v>46</v>
      </c>
      <c r="N40" s="11" t="s">
        <v>47</v>
      </c>
      <c r="O40" s="11" t="s">
        <v>48</v>
      </c>
      <c r="P40" s="11" t="s">
        <v>4</v>
      </c>
      <c r="Q40" s="11" t="s">
        <v>49</v>
      </c>
      <c r="R40" s="11" t="s">
        <v>50</v>
      </c>
      <c r="S40" s="11" t="s">
        <v>51</v>
      </c>
      <c r="T40" s="11" t="s">
        <v>52</v>
      </c>
      <c r="U40" s="11" t="s">
        <v>10</v>
      </c>
    </row>
    <row r="41" spans="1:21" ht="29" x14ac:dyDescent="0.35">
      <c r="A41" s="14">
        <v>1</v>
      </c>
      <c r="B41" s="14" t="s">
        <v>755</v>
      </c>
      <c r="C41" s="14" t="s">
        <v>756</v>
      </c>
      <c r="D41" s="14" t="s">
        <v>757</v>
      </c>
      <c r="E41" s="14" t="s">
        <v>690</v>
      </c>
      <c r="F41" s="14" t="s">
        <v>167</v>
      </c>
      <c r="G41" s="14" t="s">
        <v>691</v>
      </c>
      <c r="H41" s="14" t="s">
        <v>59</v>
      </c>
      <c r="I41" s="15"/>
      <c r="J41" s="15"/>
      <c r="K41" s="15"/>
      <c r="L41" s="15"/>
      <c r="M41" s="15"/>
      <c r="N41" s="15"/>
      <c r="O41" s="15"/>
      <c r="P41" s="15"/>
      <c r="Q41" s="15"/>
      <c r="R41" s="15"/>
      <c r="S41" s="15"/>
      <c r="T41" s="15"/>
      <c r="U41" s="14" t="str">
        <f t="shared" ref="U41:U52" si="3">IF(I41="","",IF(I41="NA","Grey",IF(I41=2,"Green",IF(I41=1,"Amber","Red"))))</f>
        <v/>
      </c>
    </row>
    <row r="42" spans="1:21" ht="29" x14ac:dyDescent="0.35">
      <c r="A42" s="14">
        <v>2</v>
      </c>
      <c r="B42" s="14" t="s">
        <v>758</v>
      </c>
      <c r="C42" s="14" t="s">
        <v>759</v>
      </c>
      <c r="D42" s="14" t="s">
        <v>760</v>
      </c>
      <c r="E42" s="14" t="s">
        <v>69</v>
      </c>
      <c r="F42" s="14" t="s">
        <v>284</v>
      </c>
      <c r="G42" s="14" t="s">
        <v>691</v>
      </c>
      <c r="H42" s="14" t="s">
        <v>76</v>
      </c>
      <c r="I42" s="15"/>
      <c r="J42" s="15"/>
      <c r="K42" s="15"/>
      <c r="L42" s="15"/>
      <c r="M42" s="15"/>
      <c r="N42" s="15"/>
      <c r="O42" s="15"/>
      <c r="P42" s="15"/>
      <c r="Q42" s="15"/>
      <c r="R42" s="15"/>
      <c r="S42" s="15"/>
      <c r="T42" s="15"/>
      <c r="U42" s="14" t="str">
        <f t="shared" si="3"/>
        <v/>
      </c>
    </row>
    <row r="43" spans="1:21" ht="29" x14ac:dyDescent="0.35">
      <c r="A43" s="14">
        <v>3</v>
      </c>
      <c r="B43" s="14" t="s">
        <v>761</v>
      </c>
      <c r="C43" s="14" t="s">
        <v>762</v>
      </c>
      <c r="D43" s="14" t="s">
        <v>763</v>
      </c>
      <c r="E43" s="14" t="s">
        <v>690</v>
      </c>
      <c r="F43" s="14" t="s">
        <v>167</v>
      </c>
      <c r="G43" s="14" t="s">
        <v>691</v>
      </c>
      <c r="H43" s="14" t="s">
        <v>59</v>
      </c>
      <c r="I43" s="15"/>
      <c r="J43" s="15"/>
      <c r="K43" s="15"/>
      <c r="L43" s="15"/>
      <c r="M43" s="15"/>
      <c r="N43" s="15"/>
      <c r="O43" s="15"/>
      <c r="P43" s="15"/>
      <c r="Q43" s="15"/>
      <c r="R43" s="15"/>
      <c r="S43" s="15"/>
      <c r="T43" s="15"/>
      <c r="U43" s="14" t="str">
        <f t="shared" si="3"/>
        <v/>
      </c>
    </row>
    <row r="44" spans="1:21" ht="29" x14ac:dyDescent="0.35">
      <c r="A44" s="14">
        <v>4</v>
      </c>
      <c r="B44" s="14" t="s">
        <v>764</v>
      </c>
      <c r="C44" s="14" t="s">
        <v>765</v>
      </c>
      <c r="D44" s="14" t="s">
        <v>70</v>
      </c>
      <c r="E44" s="14" t="s">
        <v>690</v>
      </c>
      <c r="F44" s="14" t="s">
        <v>167</v>
      </c>
      <c r="G44" s="14" t="s">
        <v>691</v>
      </c>
      <c r="H44" s="14" t="s">
        <v>59</v>
      </c>
      <c r="I44" s="15"/>
      <c r="J44" s="15"/>
      <c r="K44" s="15"/>
      <c r="L44" s="15"/>
      <c r="M44" s="15"/>
      <c r="N44" s="15"/>
      <c r="O44" s="15"/>
      <c r="P44" s="15"/>
      <c r="Q44" s="15"/>
      <c r="R44" s="15"/>
      <c r="S44" s="15"/>
      <c r="T44" s="15"/>
      <c r="U44" s="14" t="str">
        <f t="shared" si="3"/>
        <v/>
      </c>
    </row>
    <row r="45" spans="1:21" ht="29" x14ac:dyDescent="0.35">
      <c r="A45" s="14">
        <v>5</v>
      </c>
      <c r="B45" s="14" t="s">
        <v>450</v>
      </c>
      <c r="C45" s="14" t="s">
        <v>766</v>
      </c>
      <c r="D45" s="14" t="s">
        <v>767</v>
      </c>
      <c r="E45" s="14" t="s">
        <v>690</v>
      </c>
      <c r="F45" s="14" t="s">
        <v>167</v>
      </c>
      <c r="G45" s="14" t="s">
        <v>691</v>
      </c>
      <c r="H45" s="14" t="s">
        <v>59</v>
      </c>
      <c r="I45" s="15"/>
      <c r="J45" s="15"/>
      <c r="K45" s="15"/>
      <c r="L45" s="15"/>
      <c r="M45" s="15"/>
      <c r="N45" s="15"/>
      <c r="O45" s="15"/>
      <c r="P45" s="15"/>
      <c r="Q45" s="15"/>
      <c r="R45" s="15"/>
      <c r="S45" s="15"/>
      <c r="T45" s="15"/>
      <c r="U45" s="14" t="str">
        <f t="shared" si="3"/>
        <v/>
      </c>
    </row>
    <row r="46" spans="1:21" ht="29" x14ac:dyDescent="0.35">
      <c r="A46" s="14">
        <v>6</v>
      </c>
      <c r="B46" s="14" t="s">
        <v>768</v>
      </c>
      <c r="C46" s="14" t="s">
        <v>769</v>
      </c>
      <c r="D46" s="14" t="s">
        <v>770</v>
      </c>
      <c r="E46" s="14" t="s">
        <v>690</v>
      </c>
      <c r="F46" s="14" t="s">
        <v>167</v>
      </c>
      <c r="G46" s="14" t="s">
        <v>691</v>
      </c>
      <c r="H46" s="14" t="s">
        <v>59</v>
      </c>
      <c r="I46" s="15"/>
      <c r="J46" s="15"/>
      <c r="K46" s="15"/>
      <c r="L46" s="15"/>
      <c r="M46" s="15"/>
      <c r="N46" s="15"/>
      <c r="O46" s="15"/>
      <c r="P46" s="15"/>
      <c r="Q46" s="15"/>
      <c r="R46" s="15"/>
      <c r="S46" s="15"/>
      <c r="T46" s="15"/>
      <c r="U46" s="14" t="str">
        <f t="shared" si="3"/>
        <v/>
      </c>
    </row>
    <row r="47" spans="1:21" ht="29" x14ac:dyDescent="0.35">
      <c r="A47" s="14">
        <v>7</v>
      </c>
      <c r="B47" s="14" t="s">
        <v>708</v>
      </c>
      <c r="C47" s="14" t="s">
        <v>771</v>
      </c>
      <c r="D47" s="14" t="s">
        <v>772</v>
      </c>
      <c r="E47" s="14" t="s">
        <v>69</v>
      </c>
      <c r="F47" s="14" t="s">
        <v>773</v>
      </c>
      <c r="G47" s="14" t="s">
        <v>691</v>
      </c>
      <c r="H47" s="14" t="s">
        <v>59</v>
      </c>
      <c r="I47" s="15"/>
      <c r="J47" s="15"/>
      <c r="K47" s="15"/>
      <c r="L47" s="15"/>
      <c r="M47" s="15"/>
      <c r="N47" s="15"/>
      <c r="O47" s="15"/>
      <c r="P47" s="15"/>
      <c r="Q47" s="15"/>
      <c r="R47" s="15"/>
      <c r="S47" s="15"/>
      <c r="T47" s="15"/>
      <c r="U47" s="14" t="str">
        <f t="shared" si="3"/>
        <v/>
      </c>
    </row>
    <row r="48" spans="1:21" ht="29" x14ac:dyDescent="0.35">
      <c r="A48" s="14">
        <v>8</v>
      </c>
      <c r="B48" s="14" t="s">
        <v>774</v>
      </c>
      <c r="C48" s="14" t="s">
        <v>775</v>
      </c>
      <c r="D48" s="14" t="s">
        <v>776</v>
      </c>
      <c r="E48" s="14" t="s">
        <v>69</v>
      </c>
      <c r="F48" s="14" t="s">
        <v>284</v>
      </c>
      <c r="G48" s="14" t="s">
        <v>691</v>
      </c>
      <c r="H48" s="14" t="s">
        <v>76</v>
      </c>
      <c r="I48" s="15"/>
      <c r="J48" s="15"/>
      <c r="K48" s="15"/>
      <c r="L48" s="15"/>
      <c r="M48" s="15"/>
      <c r="N48" s="15"/>
      <c r="O48" s="15"/>
      <c r="P48" s="15"/>
      <c r="Q48" s="15"/>
      <c r="R48" s="15"/>
      <c r="S48" s="15"/>
      <c r="T48" s="15"/>
      <c r="U48" s="14" t="str">
        <f t="shared" si="3"/>
        <v/>
      </c>
    </row>
    <row r="49" spans="1:21" ht="29" x14ac:dyDescent="0.35">
      <c r="A49" s="14">
        <v>9</v>
      </c>
      <c r="B49" s="14" t="s">
        <v>777</v>
      </c>
      <c r="C49" s="14" t="s">
        <v>778</v>
      </c>
      <c r="D49" s="14" t="s">
        <v>779</v>
      </c>
      <c r="E49" s="14" t="s">
        <v>69</v>
      </c>
      <c r="F49" s="14" t="s">
        <v>95</v>
      </c>
      <c r="G49" s="14" t="s">
        <v>691</v>
      </c>
      <c r="H49" s="14" t="s">
        <v>59</v>
      </c>
      <c r="I49" s="15"/>
      <c r="J49" s="15"/>
      <c r="K49" s="15"/>
      <c r="L49" s="15"/>
      <c r="M49" s="15"/>
      <c r="N49" s="15"/>
      <c r="O49" s="15"/>
      <c r="P49" s="15"/>
      <c r="Q49" s="15"/>
      <c r="R49" s="15"/>
      <c r="S49" s="15"/>
      <c r="T49" s="15"/>
      <c r="U49" s="14" t="str">
        <f t="shared" si="3"/>
        <v/>
      </c>
    </row>
    <row r="50" spans="1:21" ht="29" x14ac:dyDescent="0.35">
      <c r="A50" s="14">
        <v>10</v>
      </c>
      <c r="B50" s="14" t="s">
        <v>780</v>
      </c>
      <c r="C50" s="14" t="s">
        <v>781</v>
      </c>
      <c r="D50" s="14" t="s">
        <v>782</v>
      </c>
      <c r="E50" s="14" t="s">
        <v>690</v>
      </c>
      <c r="F50" s="14" t="s">
        <v>167</v>
      </c>
      <c r="G50" s="14" t="s">
        <v>691</v>
      </c>
      <c r="H50" s="14" t="s">
        <v>59</v>
      </c>
      <c r="I50" s="15"/>
      <c r="J50" s="15"/>
      <c r="K50" s="15"/>
      <c r="L50" s="15"/>
      <c r="M50" s="15"/>
      <c r="N50" s="15"/>
      <c r="O50" s="15"/>
      <c r="P50" s="15"/>
      <c r="Q50" s="15"/>
      <c r="R50" s="15"/>
      <c r="S50" s="15"/>
      <c r="T50" s="15"/>
      <c r="U50" s="14" t="str">
        <f t="shared" si="3"/>
        <v/>
      </c>
    </row>
    <row r="51" spans="1:21" ht="29" x14ac:dyDescent="0.35">
      <c r="A51" s="14">
        <v>11</v>
      </c>
      <c r="B51" s="14" t="s">
        <v>783</v>
      </c>
      <c r="C51" s="14" t="s">
        <v>784</v>
      </c>
      <c r="D51" s="14" t="s">
        <v>741</v>
      </c>
      <c r="E51" s="14" t="s">
        <v>69</v>
      </c>
      <c r="F51" s="14" t="s">
        <v>284</v>
      </c>
      <c r="G51" s="14" t="s">
        <v>691</v>
      </c>
      <c r="H51" s="14" t="s">
        <v>76</v>
      </c>
      <c r="I51" s="15"/>
      <c r="J51" s="15"/>
      <c r="K51" s="15"/>
      <c r="L51" s="15"/>
      <c r="M51" s="15"/>
      <c r="N51" s="15"/>
      <c r="O51" s="15"/>
      <c r="P51" s="15"/>
      <c r="Q51" s="15"/>
      <c r="R51" s="15"/>
      <c r="S51" s="15"/>
      <c r="T51" s="15"/>
      <c r="U51" s="14" t="str">
        <f t="shared" si="3"/>
        <v/>
      </c>
    </row>
    <row r="52" spans="1:21" ht="29" x14ac:dyDescent="0.35">
      <c r="A52" s="14">
        <v>12</v>
      </c>
      <c r="B52" s="14" t="s">
        <v>712</v>
      </c>
      <c r="C52" s="14" t="s">
        <v>785</v>
      </c>
      <c r="D52" s="14" t="s">
        <v>786</v>
      </c>
      <c r="E52" s="14" t="s">
        <v>690</v>
      </c>
      <c r="F52" s="14" t="s">
        <v>167</v>
      </c>
      <c r="G52" s="14" t="s">
        <v>691</v>
      </c>
      <c r="H52" s="14" t="s">
        <v>59</v>
      </c>
      <c r="I52" s="15"/>
      <c r="J52" s="15"/>
      <c r="K52" s="15"/>
      <c r="L52" s="15"/>
      <c r="M52" s="15"/>
      <c r="N52" s="15"/>
      <c r="O52" s="15"/>
      <c r="P52" s="15"/>
      <c r="Q52" s="15"/>
      <c r="R52" s="15"/>
      <c r="S52" s="15"/>
      <c r="T52" s="15"/>
      <c r="U52" s="14" t="str">
        <f t="shared" si="3"/>
        <v/>
      </c>
    </row>
    <row r="55" spans="1:21" ht="22" customHeight="1" x14ac:dyDescent="0.35">
      <c r="A55" s="26" t="s">
        <v>788</v>
      </c>
      <c r="B55" s="23"/>
      <c r="C55" s="23"/>
      <c r="D55" s="23"/>
      <c r="E55" s="23"/>
      <c r="F55" s="23"/>
      <c r="G55" s="23"/>
      <c r="H55" s="23"/>
      <c r="I55" s="23"/>
      <c r="J55" s="23"/>
      <c r="K55" s="23"/>
      <c r="L55" s="23"/>
      <c r="M55" s="23"/>
      <c r="N55" s="23"/>
      <c r="O55" s="23"/>
      <c r="P55" s="23"/>
      <c r="Q55" s="23"/>
      <c r="R55" s="23"/>
      <c r="S55" s="23"/>
      <c r="T55" s="23"/>
      <c r="U55" s="23"/>
    </row>
    <row r="56" spans="1:21" x14ac:dyDescent="0.35">
      <c r="A56" t="s">
        <v>31</v>
      </c>
      <c r="B56" t="s">
        <v>20</v>
      </c>
      <c r="C56" t="s">
        <v>32</v>
      </c>
      <c r="E56" t="s">
        <v>33</v>
      </c>
    </row>
    <row r="57" spans="1:21" ht="29" x14ac:dyDescent="0.35">
      <c r="A57" s="11" t="s">
        <v>34</v>
      </c>
      <c r="B57" s="11" t="s">
        <v>35</v>
      </c>
      <c r="C57" s="11" t="s">
        <v>36</v>
      </c>
      <c r="D57" s="11" t="s">
        <v>37</v>
      </c>
      <c r="E57" s="11" t="s">
        <v>38</v>
      </c>
      <c r="F57" s="11" t="s">
        <v>39</v>
      </c>
      <c r="G57" s="11" t="s">
        <v>40</v>
      </c>
      <c r="H57" s="11" t="s">
        <v>41</v>
      </c>
      <c r="I57" s="11" t="s">
        <v>42</v>
      </c>
      <c r="J57" s="11" t="s">
        <v>43</v>
      </c>
      <c r="K57" s="11" t="s">
        <v>44</v>
      </c>
      <c r="L57" s="11" t="s">
        <v>45</v>
      </c>
      <c r="M57" s="11" t="s">
        <v>46</v>
      </c>
      <c r="N57" s="11" t="s">
        <v>47</v>
      </c>
      <c r="O57" s="11" t="s">
        <v>48</v>
      </c>
      <c r="P57" s="11" t="s">
        <v>4</v>
      </c>
      <c r="Q57" s="11" t="s">
        <v>49</v>
      </c>
      <c r="R57" s="11" t="s">
        <v>50</v>
      </c>
      <c r="S57" s="11" t="s">
        <v>51</v>
      </c>
      <c r="T57" s="11" t="s">
        <v>52</v>
      </c>
      <c r="U57" s="11" t="s">
        <v>10</v>
      </c>
    </row>
    <row r="58" spans="1:21" ht="29" x14ac:dyDescent="0.35">
      <c r="A58" s="14">
        <v>1</v>
      </c>
      <c r="B58" s="14" t="s">
        <v>755</v>
      </c>
      <c r="C58" s="14" t="s">
        <v>756</v>
      </c>
      <c r="D58" s="14" t="s">
        <v>757</v>
      </c>
      <c r="E58" s="14" t="s">
        <v>690</v>
      </c>
      <c r="F58" s="14" t="s">
        <v>167</v>
      </c>
      <c r="G58" s="14" t="s">
        <v>691</v>
      </c>
      <c r="H58" s="14" t="s">
        <v>59</v>
      </c>
      <c r="I58" s="15"/>
      <c r="J58" s="15"/>
      <c r="K58" s="15"/>
      <c r="L58" s="15"/>
      <c r="M58" s="15"/>
      <c r="N58" s="15"/>
      <c r="O58" s="15"/>
      <c r="P58" s="15"/>
      <c r="Q58" s="15"/>
      <c r="R58" s="15"/>
      <c r="S58" s="15"/>
      <c r="T58" s="15"/>
      <c r="U58" s="14" t="str">
        <f t="shared" ref="U58:U69" si="4">IF(I58="","",IF(I58="NA","Grey",IF(I58=2,"Green",IF(I58=1,"Amber","Red"))))</f>
        <v/>
      </c>
    </row>
    <row r="59" spans="1:21" ht="29" x14ac:dyDescent="0.35">
      <c r="A59" s="14">
        <v>2</v>
      </c>
      <c r="B59" s="14" t="s">
        <v>758</v>
      </c>
      <c r="C59" s="14" t="s">
        <v>759</v>
      </c>
      <c r="D59" s="14" t="s">
        <v>760</v>
      </c>
      <c r="E59" s="14" t="s">
        <v>69</v>
      </c>
      <c r="F59" s="14" t="s">
        <v>284</v>
      </c>
      <c r="G59" s="14" t="s">
        <v>691</v>
      </c>
      <c r="H59" s="14" t="s">
        <v>76</v>
      </c>
      <c r="I59" s="15"/>
      <c r="J59" s="15"/>
      <c r="K59" s="15"/>
      <c r="L59" s="15"/>
      <c r="M59" s="15"/>
      <c r="N59" s="15"/>
      <c r="O59" s="15"/>
      <c r="P59" s="15"/>
      <c r="Q59" s="15"/>
      <c r="R59" s="15"/>
      <c r="S59" s="15"/>
      <c r="T59" s="15"/>
      <c r="U59" s="14" t="str">
        <f t="shared" si="4"/>
        <v/>
      </c>
    </row>
    <row r="60" spans="1:21" ht="29" x14ac:dyDescent="0.35">
      <c r="A60" s="14">
        <v>3</v>
      </c>
      <c r="B60" s="14" t="s">
        <v>761</v>
      </c>
      <c r="C60" s="14" t="s">
        <v>762</v>
      </c>
      <c r="D60" s="14" t="s">
        <v>763</v>
      </c>
      <c r="E60" s="14" t="s">
        <v>690</v>
      </c>
      <c r="F60" s="14" t="s">
        <v>167</v>
      </c>
      <c r="G60" s="14" t="s">
        <v>691</v>
      </c>
      <c r="H60" s="14" t="s">
        <v>59</v>
      </c>
      <c r="I60" s="15"/>
      <c r="J60" s="15"/>
      <c r="K60" s="15"/>
      <c r="L60" s="15"/>
      <c r="M60" s="15"/>
      <c r="N60" s="15"/>
      <c r="O60" s="15"/>
      <c r="P60" s="15"/>
      <c r="Q60" s="15"/>
      <c r="R60" s="15"/>
      <c r="S60" s="15"/>
      <c r="T60" s="15"/>
      <c r="U60" s="14" t="str">
        <f t="shared" si="4"/>
        <v/>
      </c>
    </row>
    <row r="61" spans="1:21" ht="29" x14ac:dyDescent="0.35">
      <c r="A61" s="14">
        <v>4</v>
      </c>
      <c r="B61" s="14" t="s">
        <v>764</v>
      </c>
      <c r="C61" s="14" t="s">
        <v>765</v>
      </c>
      <c r="D61" s="14" t="s">
        <v>70</v>
      </c>
      <c r="E61" s="14" t="s">
        <v>690</v>
      </c>
      <c r="F61" s="14" t="s">
        <v>167</v>
      </c>
      <c r="G61" s="14" t="s">
        <v>691</v>
      </c>
      <c r="H61" s="14" t="s">
        <v>59</v>
      </c>
      <c r="I61" s="15"/>
      <c r="J61" s="15"/>
      <c r="K61" s="15"/>
      <c r="L61" s="15"/>
      <c r="M61" s="15"/>
      <c r="N61" s="15"/>
      <c r="O61" s="15"/>
      <c r="P61" s="15"/>
      <c r="Q61" s="15"/>
      <c r="R61" s="15"/>
      <c r="S61" s="15"/>
      <c r="T61" s="15"/>
      <c r="U61" s="14" t="str">
        <f t="shared" si="4"/>
        <v/>
      </c>
    </row>
    <row r="62" spans="1:21" ht="29" x14ac:dyDescent="0.35">
      <c r="A62" s="14">
        <v>5</v>
      </c>
      <c r="B62" s="14" t="s">
        <v>450</v>
      </c>
      <c r="C62" s="14" t="s">
        <v>766</v>
      </c>
      <c r="D62" s="14" t="s">
        <v>767</v>
      </c>
      <c r="E62" s="14" t="s">
        <v>690</v>
      </c>
      <c r="F62" s="14" t="s">
        <v>167</v>
      </c>
      <c r="G62" s="14" t="s">
        <v>691</v>
      </c>
      <c r="H62" s="14" t="s">
        <v>59</v>
      </c>
      <c r="I62" s="15"/>
      <c r="J62" s="15"/>
      <c r="K62" s="15"/>
      <c r="L62" s="15"/>
      <c r="M62" s="15"/>
      <c r="N62" s="15"/>
      <c r="O62" s="15"/>
      <c r="P62" s="15"/>
      <c r="Q62" s="15"/>
      <c r="R62" s="15"/>
      <c r="S62" s="15"/>
      <c r="T62" s="15"/>
      <c r="U62" s="14" t="str">
        <f t="shared" si="4"/>
        <v/>
      </c>
    </row>
    <row r="63" spans="1:21" ht="29" x14ac:dyDescent="0.35">
      <c r="A63" s="14">
        <v>6</v>
      </c>
      <c r="B63" s="14" t="s">
        <v>768</v>
      </c>
      <c r="C63" s="14" t="s">
        <v>769</v>
      </c>
      <c r="D63" s="14" t="s">
        <v>770</v>
      </c>
      <c r="E63" s="14" t="s">
        <v>690</v>
      </c>
      <c r="F63" s="14" t="s">
        <v>167</v>
      </c>
      <c r="G63" s="14" t="s">
        <v>691</v>
      </c>
      <c r="H63" s="14" t="s">
        <v>59</v>
      </c>
      <c r="I63" s="15"/>
      <c r="J63" s="15"/>
      <c r="K63" s="15"/>
      <c r="L63" s="15"/>
      <c r="M63" s="15"/>
      <c r="N63" s="15"/>
      <c r="O63" s="15"/>
      <c r="P63" s="15"/>
      <c r="Q63" s="15"/>
      <c r="R63" s="15"/>
      <c r="S63" s="15"/>
      <c r="T63" s="15"/>
      <c r="U63" s="14" t="str">
        <f t="shared" si="4"/>
        <v/>
      </c>
    </row>
    <row r="64" spans="1:21" ht="29" x14ac:dyDescent="0.35">
      <c r="A64" s="14">
        <v>7</v>
      </c>
      <c r="B64" s="14" t="s">
        <v>708</v>
      </c>
      <c r="C64" s="14" t="s">
        <v>771</v>
      </c>
      <c r="D64" s="14" t="s">
        <v>772</v>
      </c>
      <c r="E64" s="14" t="s">
        <v>69</v>
      </c>
      <c r="F64" s="14" t="s">
        <v>773</v>
      </c>
      <c r="G64" s="14" t="s">
        <v>691</v>
      </c>
      <c r="H64" s="14" t="s">
        <v>59</v>
      </c>
      <c r="I64" s="15"/>
      <c r="J64" s="15"/>
      <c r="K64" s="15"/>
      <c r="L64" s="15"/>
      <c r="M64" s="15"/>
      <c r="N64" s="15"/>
      <c r="O64" s="15"/>
      <c r="P64" s="15"/>
      <c r="Q64" s="15"/>
      <c r="R64" s="15"/>
      <c r="S64" s="15"/>
      <c r="T64" s="15"/>
      <c r="U64" s="14" t="str">
        <f t="shared" si="4"/>
        <v/>
      </c>
    </row>
    <row r="65" spans="1:21" ht="29" x14ac:dyDescent="0.35">
      <c r="A65" s="14">
        <v>8</v>
      </c>
      <c r="B65" s="14" t="s">
        <v>774</v>
      </c>
      <c r="C65" s="14" t="s">
        <v>775</v>
      </c>
      <c r="D65" s="14" t="s">
        <v>776</v>
      </c>
      <c r="E65" s="14" t="s">
        <v>69</v>
      </c>
      <c r="F65" s="14" t="s">
        <v>284</v>
      </c>
      <c r="G65" s="14" t="s">
        <v>691</v>
      </c>
      <c r="H65" s="14" t="s">
        <v>76</v>
      </c>
      <c r="I65" s="15"/>
      <c r="J65" s="15"/>
      <c r="K65" s="15"/>
      <c r="L65" s="15"/>
      <c r="M65" s="15"/>
      <c r="N65" s="15"/>
      <c r="O65" s="15"/>
      <c r="P65" s="15"/>
      <c r="Q65" s="15"/>
      <c r="R65" s="15"/>
      <c r="S65" s="15"/>
      <c r="T65" s="15"/>
      <c r="U65" s="14" t="str">
        <f t="shared" si="4"/>
        <v/>
      </c>
    </row>
    <row r="66" spans="1:21" ht="29" x14ac:dyDescent="0.35">
      <c r="A66" s="14">
        <v>9</v>
      </c>
      <c r="B66" s="14" t="s">
        <v>777</v>
      </c>
      <c r="C66" s="14" t="s">
        <v>778</v>
      </c>
      <c r="D66" s="14" t="s">
        <v>779</v>
      </c>
      <c r="E66" s="14" t="s">
        <v>69</v>
      </c>
      <c r="F66" s="14" t="s">
        <v>95</v>
      </c>
      <c r="G66" s="14" t="s">
        <v>691</v>
      </c>
      <c r="H66" s="14" t="s">
        <v>59</v>
      </c>
      <c r="I66" s="15"/>
      <c r="J66" s="15"/>
      <c r="K66" s="15"/>
      <c r="L66" s="15"/>
      <c r="M66" s="15"/>
      <c r="N66" s="15"/>
      <c r="O66" s="15"/>
      <c r="P66" s="15"/>
      <c r="Q66" s="15"/>
      <c r="R66" s="15"/>
      <c r="S66" s="15"/>
      <c r="T66" s="15"/>
      <c r="U66" s="14" t="str">
        <f t="shared" si="4"/>
        <v/>
      </c>
    </row>
    <row r="67" spans="1:21" ht="29" x14ac:dyDescent="0.35">
      <c r="A67" s="14">
        <v>10</v>
      </c>
      <c r="B67" s="14" t="s">
        <v>780</v>
      </c>
      <c r="C67" s="14" t="s">
        <v>781</v>
      </c>
      <c r="D67" s="14" t="s">
        <v>782</v>
      </c>
      <c r="E67" s="14" t="s">
        <v>690</v>
      </c>
      <c r="F67" s="14" t="s">
        <v>167</v>
      </c>
      <c r="G67" s="14" t="s">
        <v>691</v>
      </c>
      <c r="H67" s="14" t="s">
        <v>59</v>
      </c>
      <c r="I67" s="15"/>
      <c r="J67" s="15"/>
      <c r="K67" s="15"/>
      <c r="L67" s="15"/>
      <c r="M67" s="15"/>
      <c r="N67" s="15"/>
      <c r="O67" s="15"/>
      <c r="P67" s="15"/>
      <c r="Q67" s="15"/>
      <c r="R67" s="15"/>
      <c r="S67" s="15"/>
      <c r="T67" s="15"/>
      <c r="U67" s="14" t="str">
        <f t="shared" si="4"/>
        <v/>
      </c>
    </row>
    <row r="68" spans="1:21" ht="29" x14ac:dyDescent="0.35">
      <c r="A68" s="14">
        <v>11</v>
      </c>
      <c r="B68" s="14" t="s">
        <v>783</v>
      </c>
      <c r="C68" s="14" t="s">
        <v>784</v>
      </c>
      <c r="D68" s="14" t="s">
        <v>741</v>
      </c>
      <c r="E68" s="14" t="s">
        <v>69</v>
      </c>
      <c r="F68" s="14" t="s">
        <v>284</v>
      </c>
      <c r="G68" s="14" t="s">
        <v>691</v>
      </c>
      <c r="H68" s="14" t="s">
        <v>76</v>
      </c>
      <c r="I68" s="15"/>
      <c r="J68" s="15"/>
      <c r="K68" s="15"/>
      <c r="L68" s="15"/>
      <c r="M68" s="15"/>
      <c r="N68" s="15"/>
      <c r="O68" s="15"/>
      <c r="P68" s="15"/>
      <c r="Q68" s="15"/>
      <c r="R68" s="15"/>
      <c r="S68" s="15"/>
      <c r="T68" s="15"/>
      <c r="U68" s="14" t="str">
        <f t="shared" si="4"/>
        <v/>
      </c>
    </row>
    <row r="69" spans="1:21" ht="29" x14ac:dyDescent="0.35">
      <c r="A69" s="14">
        <v>12</v>
      </c>
      <c r="B69" s="14" t="s">
        <v>712</v>
      </c>
      <c r="C69" s="14" t="s">
        <v>785</v>
      </c>
      <c r="D69" s="14" t="s">
        <v>786</v>
      </c>
      <c r="E69" s="14" t="s">
        <v>690</v>
      </c>
      <c r="F69" s="14" t="s">
        <v>167</v>
      </c>
      <c r="G69" s="14" t="s">
        <v>691</v>
      </c>
      <c r="H69" s="14" t="s">
        <v>59</v>
      </c>
      <c r="I69" s="15"/>
      <c r="J69" s="15"/>
      <c r="K69" s="15"/>
      <c r="L69" s="15"/>
      <c r="M69" s="15"/>
      <c r="N69" s="15"/>
      <c r="O69" s="15"/>
      <c r="P69" s="15"/>
      <c r="Q69" s="15"/>
      <c r="R69" s="15"/>
      <c r="S69" s="15"/>
      <c r="T69" s="15"/>
      <c r="U69" s="14" t="str">
        <f t="shared" si="4"/>
        <v/>
      </c>
    </row>
    <row r="72" spans="1:21" ht="22" customHeight="1" x14ac:dyDescent="0.35">
      <c r="A72" s="26" t="s">
        <v>789</v>
      </c>
      <c r="B72" s="23"/>
      <c r="C72" s="23"/>
      <c r="D72" s="23"/>
      <c r="E72" s="23"/>
      <c r="F72" s="23"/>
      <c r="G72" s="23"/>
      <c r="H72" s="23"/>
      <c r="I72" s="23"/>
      <c r="J72" s="23"/>
      <c r="K72" s="23"/>
      <c r="L72" s="23"/>
      <c r="M72" s="23"/>
      <c r="N72" s="23"/>
      <c r="O72" s="23"/>
      <c r="P72" s="23"/>
      <c r="Q72" s="23"/>
      <c r="R72" s="23"/>
      <c r="S72" s="23"/>
      <c r="T72" s="23"/>
      <c r="U72" s="23"/>
    </row>
    <row r="73" spans="1:21" x14ac:dyDescent="0.35">
      <c r="A73" t="s">
        <v>31</v>
      </c>
      <c r="B73" t="s">
        <v>21</v>
      </c>
      <c r="C73" t="s">
        <v>32</v>
      </c>
      <c r="E73" t="s">
        <v>33</v>
      </c>
    </row>
    <row r="74" spans="1:21" ht="29" x14ac:dyDescent="0.35">
      <c r="A74" s="11" t="s">
        <v>34</v>
      </c>
      <c r="B74" s="11" t="s">
        <v>35</v>
      </c>
      <c r="C74" s="11" t="s">
        <v>36</v>
      </c>
      <c r="D74" s="11" t="s">
        <v>37</v>
      </c>
      <c r="E74" s="11" t="s">
        <v>38</v>
      </c>
      <c r="F74" s="11" t="s">
        <v>39</v>
      </c>
      <c r="G74" s="11" t="s">
        <v>40</v>
      </c>
      <c r="H74" s="11" t="s">
        <v>41</v>
      </c>
      <c r="I74" s="11" t="s">
        <v>42</v>
      </c>
      <c r="J74" s="11" t="s">
        <v>43</v>
      </c>
      <c r="K74" s="11" t="s">
        <v>44</v>
      </c>
      <c r="L74" s="11" t="s">
        <v>45</v>
      </c>
      <c r="M74" s="11" t="s">
        <v>46</v>
      </c>
      <c r="N74" s="11" t="s">
        <v>47</v>
      </c>
      <c r="O74" s="11" t="s">
        <v>48</v>
      </c>
      <c r="P74" s="11" t="s">
        <v>4</v>
      </c>
      <c r="Q74" s="11" t="s">
        <v>49</v>
      </c>
      <c r="R74" s="11" t="s">
        <v>50</v>
      </c>
      <c r="S74" s="11" t="s">
        <v>51</v>
      </c>
      <c r="T74" s="11" t="s">
        <v>52</v>
      </c>
      <c r="U74" s="11" t="s">
        <v>10</v>
      </c>
    </row>
    <row r="75" spans="1:21" ht="29" x14ac:dyDescent="0.35">
      <c r="A75" s="14">
        <v>1</v>
      </c>
      <c r="B75" s="14" t="s">
        <v>755</v>
      </c>
      <c r="C75" s="14" t="s">
        <v>756</v>
      </c>
      <c r="D75" s="14" t="s">
        <v>757</v>
      </c>
      <c r="E75" s="14" t="s">
        <v>690</v>
      </c>
      <c r="F75" s="14" t="s">
        <v>167</v>
      </c>
      <c r="G75" s="14" t="s">
        <v>691</v>
      </c>
      <c r="H75" s="14" t="s">
        <v>59</v>
      </c>
      <c r="I75" s="15"/>
      <c r="J75" s="15"/>
      <c r="K75" s="15"/>
      <c r="L75" s="15"/>
      <c r="M75" s="15"/>
      <c r="N75" s="15"/>
      <c r="O75" s="15"/>
      <c r="P75" s="15"/>
      <c r="Q75" s="15"/>
      <c r="R75" s="15"/>
      <c r="S75" s="15"/>
      <c r="T75" s="15"/>
      <c r="U75" s="14" t="str">
        <f t="shared" ref="U75:U86" si="5">IF(I75="","",IF(I75="NA","Grey",IF(I75=2,"Green",IF(I75=1,"Amber","Red"))))</f>
        <v/>
      </c>
    </row>
    <row r="76" spans="1:21" ht="29" x14ac:dyDescent="0.35">
      <c r="A76" s="14">
        <v>2</v>
      </c>
      <c r="B76" s="14" t="s">
        <v>758</v>
      </c>
      <c r="C76" s="14" t="s">
        <v>759</v>
      </c>
      <c r="D76" s="14" t="s">
        <v>760</v>
      </c>
      <c r="E76" s="14" t="s">
        <v>69</v>
      </c>
      <c r="F76" s="14" t="s">
        <v>284</v>
      </c>
      <c r="G76" s="14" t="s">
        <v>691</v>
      </c>
      <c r="H76" s="14" t="s">
        <v>76</v>
      </c>
      <c r="I76" s="15"/>
      <c r="J76" s="15"/>
      <c r="K76" s="15"/>
      <c r="L76" s="15"/>
      <c r="M76" s="15"/>
      <c r="N76" s="15"/>
      <c r="O76" s="15"/>
      <c r="P76" s="15"/>
      <c r="Q76" s="15"/>
      <c r="R76" s="15"/>
      <c r="S76" s="15"/>
      <c r="T76" s="15"/>
      <c r="U76" s="14" t="str">
        <f t="shared" si="5"/>
        <v/>
      </c>
    </row>
    <row r="77" spans="1:21" ht="29" x14ac:dyDescent="0.35">
      <c r="A77" s="14">
        <v>3</v>
      </c>
      <c r="B77" s="14" t="s">
        <v>761</v>
      </c>
      <c r="C77" s="14" t="s">
        <v>762</v>
      </c>
      <c r="D77" s="14" t="s">
        <v>763</v>
      </c>
      <c r="E77" s="14" t="s">
        <v>690</v>
      </c>
      <c r="F77" s="14" t="s">
        <v>167</v>
      </c>
      <c r="G77" s="14" t="s">
        <v>691</v>
      </c>
      <c r="H77" s="14" t="s">
        <v>59</v>
      </c>
      <c r="I77" s="15"/>
      <c r="J77" s="15"/>
      <c r="K77" s="15"/>
      <c r="L77" s="15"/>
      <c r="M77" s="15"/>
      <c r="N77" s="15"/>
      <c r="O77" s="15"/>
      <c r="P77" s="15"/>
      <c r="Q77" s="15"/>
      <c r="R77" s="15"/>
      <c r="S77" s="15"/>
      <c r="T77" s="15"/>
      <c r="U77" s="14" t="str">
        <f t="shared" si="5"/>
        <v/>
      </c>
    </row>
    <row r="78" spans="1:21" ht="29" x14ac:dyDescent="0.35">
      <c r="A78" s="14">
        <v>4</v>
      </c>
      <c r="B78" s="14" t="s">
        <v>764</v>
      </c>
      <c r="C78" s="14" t="s">
        <v>765</v>
      </c>
      <c r="D78" s="14" t="s">
        <v>70</v>
      </c>
      <c r="E78" s="14" t="s">
        <v>690</v>
      </c>
      <c r="F78" s="14" t="s">
        <v>167</v>
      </c>
      <c r="G78" s="14" t="s">
        <v>691</v>
      </c>
      <c r="H78" s="14" t="s">
        <v>59</v>
      </c>
      <c r="I78" s="15"/>
      <c r="J78" s="15"/>
      <c r="K78" s="15"/>
      <c r="L78" s="15"/>
      <c r="M78" s="15"/>
      <c r="N78" s="15"/>
      <c r="O78" s="15"/>
      <c r="P78" s="15"/>
      <c r="Q78" s="15"/>
      <c r="R78" s="15"/>
      <c r="S78" s="15"/>
      <c r="T78" s="15"/>
      <c r="U78" s="14" t="str">
        <f t="shared" si="5"/>
        <v/>
      </c>
    </row>
    <row r="79" spans="1:21" ht="29" x14ac:dyDescent="0.35">
      <c r="A79" s="14">
        <v>5</v>
      </c>
      <c r="B79" s="14" t="s">
        <v>450</v>
      </c>
      <c r="C79" s="14" t="s">
        <v>766</v>
      </c>
      <c r="D79" s="14" t="s">
        <v>767</v>
      </c>
      <c r="E79" s="14" t="s">
        <v>690</v>
      </c>
      <c r="F79" s="14" t="s">
        <v>167</v>
      </c>
      <c r="G79" s="14" t="s">
        <v>691</v>
      </c>
      <c r="H79" s="14" t="s">
        <v>59</v>
      </c>
      <c r="I79" s="15"/>
      <c r="J79" s="15"/>
      <c r="K79" s="15"/>
      <c r="L79" s="15"/>
      <c r="M79" s="15"/>
      <c r="N79" s="15"/>
      <c r="O79" s="15"/>
      <c r="P79" s="15"/>
      <c r="Q79" s="15"/>
      <c r="R79" s="15"/>
      <c r="S79" s="15"/>
      <c r="T79" s="15"/>
      <c r="U79" s="14" t="str">
        <f t="shared" si="5"/>
        <v/>
      </c>
    </row>
    <row r="80" spans="1:21" ht="29" x14ac:dyDescent="0.35">
      <c r="A80" s="14">
        <v>6</v>
      </c>
      <c r="B80" s="14" t="s">
        <v>768</v>
      </c>
      <c r="C80" s="14" t="s">
        <v>769</v>
      </c>
      <c r="D80" s="14" t="s">
        <v>770</v>
      </c>
      <c r="E80" s="14" t="s">
        <v>690</v>
      </c>
      <c r="F80" s="14" t="s">
        <v>167</v>
      </c>
      <c r="G80" s="14" t="s">
        <v>691</v>
      </c>
      <c r="H80" s="14" t="s">
        <v>59</v>
      </c>
      <c r="I80" s="15"/>
      <c r="J80" s="15"/>
      <c r="K80" s="15"/>
      <c r="L80" s="15"/>
      <c r="M80" s="15"/>
      <c r="N80" s="15"/>
      <c r="O80" s="15"/>
      <c r="P80" s="15"/>
      <c r="Q80" s="15"/>
      <c r="R80" s="15"/>
      <c r="S80" s="15"/>
      <c r="T80" s="15"/>
      <c r="U80" s="14" t="str">
        <f t="shared" si="5"/>
        <v/>
      </c>
    </row>
    <row r="81" spans="1:21" ht="29" x14ac:dyDescent="0.35">
      <c r="A81" s="14">
        <v>7</v>
      </c>
      <c r="B81" s="14" t="s">
        <v>708</v>
      </c>
      <c r="C81" s="14" t="s">
        <v>771</v>
      </c>
      <c r="D81" s="14" t="s">
        <v>772</v>
      </c>
      <c r="E81" s="14" t="s">
        <v>69</v>
      </c>
      <c r="F81" s="14" t="s">
        <v>773</v>
      </c>
      <c r="G81" s="14" t="s">
        <v>691</v>
      </c>
      <c r="H81" s="14" t="s">
        <v>59</v>
      </c>
      <c r="I81" s="15"/>
      <c r="J81" s="15"/>
      <c r="K81" s="15"/>
      <c r="L81" s="15"/>
      <c r="M81" s="15"/>
      <c r="N81" s="15"/>
      <c r="O81" s="15"/>
      <c r="P81" s="15"/>
      <c r="Q81" s="15"/>
      <c r="R81" s="15"/>
      <c r="S81" s="15"/>
      <c r="T81" s="15"/>
      <c r="U81" s="14" t="str">
        <f t="shared" si="5"/>
        <v/>
      </c>
    </row>
    <row r="82" spans="1:21" ht="29" x14ac:dyDescent="0.35">
      <c r="A82" s="14">
        <v>8</v>
      </c>
      <c r="B82" s="14" t="s">
        <v>774</v>
      </c>
      <c r="C82" s="14" t="s">
        <v>775</v>
      </c>
      <c r="D82" s="14" t="s">
        <v>776</v>
      </c>
      <c r="E82" s="14" t="s">
        <v>69</v>
      </c>
      <c r="F82" s="14" t="s">
        <v>284</v>
      </c>
      <c r="G82" s="14" t="s">
        <v>691</v>
      </c>
      <c r="H82" s="14" t="s">
        <v>76</v>
      </c>
      <c r="I82" s="15"/>
      <c r="J82" s="15"/>
      <c r="K82" s="15"/>
      <c r="L82" s="15"/>
      <c r="M82" s="15"/>
      <c r="N82" s="15"/>
      <c r="O82" s="15"/>
      <c r="P82" s="15"/>
      <c r="Q82" s="15"/>
      <c r="R82" s="15"/>
      <c r="S82" s="15"/>
      <c r="T82" s="15"/>
      <c r="U82" s="14" t="str">
        <f t="shared" si="5"/>
        <v/>
      </c>
    </row>
    <row r="83" spans="1:21" ht="29" x14ac:dyDescent="0.35">
      <c r="A83" s="14">
        <v>9</v>
      </c>
      <c r="B83" s="14" t="s">
        <v>777</v>
      </c>
      <c r="C83" s="14" t="s">
        <v>778</v>
      </c>
      <c r="D83" s="14" t="s">
        <v>779</v>
      </c>
      <c r="E83" s="14" t="s">
        <v>69</v>
      </c>
      <c r="F83" s="14" t="s">
        <v>95</v>
      </c>
      <c r="G83" s="14" t="s">
        <v>691</v>
      </c>
      <c r="H83" s="14" t="s">
        <v>59</v>
      </c>
      <c r="I83" s="15"/>
      <c r="J83" s="15"/>
      <c r="K83" s="15"/>
      <c r="L83" s="15"/>
      <c r="M83" s="15"/>
      <c r="N83" s="15"/>
      <c r="O83" s="15"/>
      <c r="P83" s="15"/>
      <c r="Q83" s="15"/>
      <c r="R83" s="15"/>
      <c r="S83" s="15"/>
      <c r="T83" s="15"/>
      <c r="U83" s="14" t="str">
        <f t="shared" si="5"/>
        <v/>
      </c>
    </row>
    <row r="84" spans="1:21" ht="29" x14ac:dyDescent="0.35">
      <c r="A84" s="14">
        <v>10</v>
      </c>
      <c r="B84" s="14" t="s">
        <v>780</v>
      </c>
      <c r="C84" s="14" t="s">
        <v>781</v>
      </c>
      <c r="D84" s="14" t="s">
        <v>782</v>
      </c>
      <c r="E84" s="14" t="s">
        <v>690</v>
      </c>
      <c r="F84" s="14" t="s">
        <v>167</v>
      </c>
      <c r="G84" s="14" t="s">
        <v>691</v>
      </c>
      <c r="H84" s="14" t="s">
        <v>59</v>
      </c>
      <c r="I84" s="15"/>
      <c r="J84" s="15"/>
      <c r="K84" s="15"/>
      <c r="L84" s="15"/>
      <c r="M84" s="15"/>
      <c r="N84" s="15"/>
      <c r="O84" s="15"/>
      <c r="P84" s="15"/>
      <c r="Q84" s="15"/>
      <c r="R84" s="15"/>
      <c r="S84" s="15"/>
      <c r="T84" s="15"/>
      <c r="U84" s="14" t="str">
        <f t="shared" si="5"/>
        <v/>
      </c>
    </row>
    <row r="85" spans="1:21" ht="29" x14ac:dyDescent="0.35">
      <c r="A85" s="14">
        <v>11</v>
      </c>
      <c r="B85" s="14" t="s">
        <v>783</v>
      </c>
      <c r="C85" s="14" t="s">
        <v>784</v>
      </c>
      <c r="D85" s="14" t="s">
        <v>741</v>
      </c>
      <c r="E85" s="14" t="s">
        <v>69</v>
      </c>
      <c r="F85" s="14" t="s">
        <v>284</v>
      </c>
      <c r="G85" s="14" t="s">
        <v>691</v>
      </c>
      <c r="H85" s="14" t="s">
        <v>76</v>
      </c>
      <c r="I85" s="15"/>
      <c r="J85" s="15"/>
      <c r="K85" s="15"/>
      <c r="L85" s="15"/>
      <c r="M85" s="15"/>
      <c r="N85" s="15"/>
      <c r="O85" s="15"/>
      <c r="P85" s="15"/>
      <c r="Q85" s="15"/>
      <c r="R85" s="15"/>
      <c r="S85" s="15"/>
      <c r="T85" s="15"/>
      <c r="U85" s="14" t="str">
        <f t="shared" si="5"/>
        <v/>
      </c>
    </row>
    <row r="86" spans="1:21" ht="29" x14ac:dyDescent="0.35">
      <c r="A86" s="14">
        <v>12</v>
      </c>
      <c r="B86" s="14" t="s">
        <v>712</v>
      </c>
      <c r="C86" s="14" t="s">
        <v>785</v>
      </c>
      <c r="D86" s="14" t="s">
        <v>786</v>
      </c>
      <c r="E86" s="14" t="s">
        <v>690</v>
      </c>
      <c r="F86" s="14" t="s">
        <v>167</v>
      </c>
      <c r="G86" s="14" t="s">
        <v>691</v>
      </c>
      <c r="H86" s="14" t="s">
        <v>59</v>
      </c>
      <c r="I86" s="15"/>
      <c r="J86" s="15"/>
      <c r="K86" s="15"/>
      <c r="L86" s="15"/>
      <c r="M86" s="15"/>
      <c r="N86" s="15"/>
      <c r="O86" s="15"/>
      <c r="P86" s="15"/>
      <c r="Q86" s="15"/>
      <c r="R86" s="15"/>
      <c r="S86" s="15"/>
      <c r="T86" s="15"/>
      <c r="U86" s="14" t="str">
        <f t="shared" si="5"/>
        <v/>
      </c>
    </row>
    <row r="89" spans="1:21" ht="22" customHeight="1" x14ac:dyDescent="0.35">
      <c r="A89" s="26" t="s">
        <v>790</v>
      </c>
      <c r="B89" s="23"/>
      <c r="C89" s="23"/>
      <c r="D89" s="23"/>
      <c r="E89" s="23"/>
      <c r="F89" s="23"/>
      <c r="G89" s="23"/>
      <c r="H89" s="23"/>
      <c r="I89" s="23"/>
      <c r="J89" s="23"/>
      <c r="K89" s="23"/>
      <c r="L89" s="23"/>
      <c r="M89" s="23"/>
      <c r="N89" s="23"/>
      <c r="O89" s="23"/>
      <c r="P89" s="23"/>
      <c r="Q89" s="23"/>
      <c r="R89" s="23"/>
      <c r="S89" s="23"/>
      <c r="T89" s="23"/>
      <c r="U89" s="23"/>
    </row>
    <row r="90" spans="1:21" x14ac:dyDescent="0.35">
      <c r="A90" t="s">
        <v>31</v>
      </c>
      <c r="B90" t="s">
        <v>22</v>
      </c>
      <c r="C90" t="s">
        <v>32</v>
      </c>
      <c r="E90" t="s">
        <v>33</v>
      </c>
    </row>
    <row r="91" spans="1:21" ht="29" x14ac:dyDescent="0.35">
      <c r="A91" s="11" t="s">
        <v>34</v>
      </c>
      <c r="B91" s="11" t="s">
        <v>35</v>
      </c>
      <c r="C91" s="11" t="s">
        <v>36</v>
      </c>
      <c r="D91" s="11" t="s">
        <v>37</v>
      </c>
      <c r="E91" s="11" t="s">
        <v>38</v>
      </c>
      <c r="F91" s="11" t="s">
        <v>39</v>
      </c>
      <c r="G91" s="11" t="s">
        <v>40</v>
      </c>
      <c r="H91" s="11" t="s">
        <v>41</v>
      </c>
      <c r="I91" s="11" t="s">
        <v>42</v>
      </c>
      <c r="J91" s="11" t="s">
        <v>43</v>
      </c>
      <c r="K91" s="11" t="s">
        <v>44</v>
      </c>
      <c r="L91" s="11" t="s">
        <v>45</v>
      </c>
      <c r="M91" s="11" t="s">
        <v>46</v>
      </c>
      <c r="N91" s="11" t="s">
        <v>47</v>
      </c>
      <c r="O91" s="11" t="s">
        <v>48</v>
      </c>
      <c r="P91" s="11" t="s">
        <v>4</v>
      </c>
      <c r="Q91" s="11" t="s">
        <v>49</v>
      </c>
      <c r="R91" s="11" t="s">
        <v>50</v>
      </c>
      <c r="S91" s="11" t="s">
        <v>51</v>
      </c>
      <c r="T91" s="11" t="s">
        <v>52</v>
      </c>
      <c r="U91" s="11" t="s">
        <v>10</v>
      </c>
    </row>
    <row r="92" spans="1:21" ht="29" x14ac:dyDescent="0.35">
      <c r="A92" s="14">
        <v>1</v>
      </c>
      <c r="B92" s="14" t="s">
        <v>755</v>
      </c>
      <c r="C92" s="14" t="s">
        <v>756</v>
      </c>
      <c r="D92" s="14" t="s">
        <v>757</v>
      </c>
      <c r="E92" s="14" t="s">
        <v>690</v>
      </c>
      <c r="F92" s="14" t="s">
        <v>167</v>
      </c>
      <c r="G92" s="14" t="s">
        <v>691</v>
      </c>
      <c r="H92" s="14" t="s">
        <v>59</v>
      </c>
      <c r="I92" s="15"/>
      <c r="J92" s="15"/>
      <c r="K92" s="15"/>
      <c r="L92" s="15"/>
      <c r="M92" s="15"/>
      <c r="N92" s="15"/>
      <c r="O92" s="15"/>
      <c r="P92" s="15"/>
      <c r="Q92" s="15"/>
      <c r="R92" s="15"/>
      <c r="S92" s="15"/>
      <c r="T92" s="15"/>
      <c r="U92" s="14" t="str">
        <f t="shared" ref="U92:U103" si="6">IF(I92="","",IF(I92="NA","Grey",IF(I92=2,"Green",IF(I92=1,"Amber","Red"))))</f>
        <v/>
      </c>
    </row>
    <row r="93" spans="1:21" ht="29" x14ac:dyDescent="0.35">
      <c r="A93" s="14">
        <v>2</v>
      </c>
      <c r="B93" s="14" t="s">
        <v>758</v>
      </c>
      <c r="C93" s="14" t="s">
        <v>759</v>
      </c>
      <c r="D93" s="14" t="s">
        <v>760</v>
      </c>
      <c r="E93" s="14" t="s">
        <v>69</v>
      </c>
      <c r="F93" s="14" t="s">
        <v>284</v>
      </c>
      <c r="G93" s="14" t="s">
        <v>691</v>
      </c>
      <c r="H93" s="14" t="s">
        <v>76</v>
      </c>
      <c r="I93" s="15"/>
      <c r="J93" s="15"/>
      <c r="K93" s="15"/>
      <c r="L93" s="15"/>
      <c r="M93" s="15"/>
      <c r="N93" s="15"/>
      <c r="O93" s="15"/>
      <c r="P93" s="15"/>
      <c r="Q93" s="15"/>
      <c r="R93" s="15"/>
      <c r="S93" s="15"/>
      <c r="T93" s="15"/>
      <c r="U93" s="14" t="str">
        <f t="shared" si="6"/>
        <v/>
      </c>
    </row>
    <row r="94" spans="1:21" ht="29" x14ac:dyDescent="0.35">
      <c r="A94" s="14">
        <v>3</v>
      </c>
      <c r="B94" s="14" t="s">
        <v>761</v>
      </c>
      <c r="C94" s="14" t="s">
        <v>762</v>
      </c>
      <c r="D94" s="14" t="s">
        <v>763</v>
      </c>
      <c r="E94" s="14" t="s">
        <v>690</v>
      </c>
      <c r="F94" s="14" t="s">
        <v>167</v>
      </c>
      <c r="G94" s="14" t="s">
        <v>691</v>
      </c>
      <c r="H94" s="14" t="s">
        <v>59</v>
      </c>
      <c r="I94" s="15"/>
      <c r="J94" s="15"/>
      <c r="K94" s="15"/>
      <c r="L94" s="15"/>
      <c r="M94" s="15"/>
      <c r="N94" s="15"/>
      <c r="O94" s="15"/>
      <c r="P94" s="15"/>
      <c r="Q94" s="15"/>
      <c r="R94" s="15"/>
      <c r="S94" s="15"/>
      <c r="T94" s="15"/>
      <c r="U94" s="14" t="str">
        <f t="shared" si="6"/>
        <v/>
      </c>
    </row>
    <row r="95" spans="1:21" ht="29" x14ac:dyDescent="0.35">
      <c r="A95" s="14">
        <v>4</v>
      </c>
      <c r="B95" s="14" t="s">
        <v>764</v>
      </c>
      <c r="C95" s="14" t="s">
        <v>765</v>
      </c>
      <c r="D95" s="14" t="s">
        <v>70</v>
      </c>
      <c r="E95" s="14" t="s">
        <v>690</v>
      </c>
      <c r="F95" s="14" t="s">
        <v>167</v>
      </c>
      <c r="G95" s="14" t="s">
        <v>691</v>
      </c>
      <c r="H95" s="14" t="s">
        <v>59</v>
      </c>
      <c r="I95" s="15"/>
      <c r="J95" s="15"/>
      <c r="K95" s="15"/>
      <c r="L95" s="15"/>
      <c r="M95" s="15"/>
      <c r="N95" s="15"/>
      <c r="O95" s="15"/>
      <c r="P95" s="15"/>
      <c r="Q95" s="15"/>
      <c r="R95" s="15"/>
      <c r="S95" s="15"/>
      <c r="T95" s="15"/>
      <c r="U95" s="14" t="str">
        <f t="shared" si="6"/>
        <v/>
      </c>
    </row>
    <row r="96" spans="1:21" ht="29" x14ac:dyDescent="0.35">
      <c r="A96" s="14">
        <v>5</v>
      </c>
      <c r="B96" s="14" t="s">
        <v>450</v>
      </c>
      <c r="C96" s="14" t="s">
        <v>766</v>
      </c>
      <c r="D96" s="14" t="s">
        <v>767</v>
      </c>
      <c r="E96" s="14" t="s">
        <v>690</v>
      </c>
      <c r="F96" s="14" t="s">
        <v>167</v>
      </c>
      <c r="G96" s="14" t="s">
        <v>691</v>
      </c>
      <c r="H96" s="14" t="s">
        <v>59</v>
      </c>
      <c r="I96" s="15"/>
      <c r="J96" s="15"/>
      <c r="K96" s="15"/>
      <c r="L96" s="15"/>
      <c r="M96" s="15"/>
      <c r="N96" s="15"/>
      <c r="O96" s="15"/>
      <c r="P96" s="15"/>
      <c r="Q96" s="15"/>
      <c r="R96" s="15"/>
      <c r="S96" s="15"/>
      <c r="T96" s="15"/>
      <c r="U96" s="14" t="str">
        <f t="shared" si="6"/>
        <v/>
      </c>
    </row>
    <row r="97" spans="1:21" ht="29" x14ac:dyDescent="0.35">
      <c r="A97" s="14">
        <v>6</v>
      </c>
      <c r="B97" s="14" t="s">
        <v>768</v>
      </c>
      <c r="C97" s="14" t="s">
        <v>769</v>
      </c>
      <c r="D97" s="14" t="s">
        <v>770</v>
      </c>
      <c r="E97" s="14" t="s">
        <v>690</v>
      </c>
      <c r="F97" s="14" t="s">
        <v>167</v>
      </c>
      <c r="G97" s="14" t="s">
        <v>691</v>
      </c>
      <c r="H97" s="14" t="s">
        <v>59</v>
      </c>
      <c r="I97" s="15"/>
      <c r="J97" s="15"/>
      <c r="K97" s="15"/>
      <c r="L97" s="15"/>
      <c r="M97" s="15"/>
      <c r="N97" s="15"/>
      <c r="O97" s="15"/>
      <c r="P97" s="15"/>
      <c r="Q97" s="15"/>
      <c r="R97" s="15"/>
      <c r="S97" s="15"/>
      <c r="T97" s="15"/>
      <c r="U97" s="14" t="str">
        <f t="shared" si="6"/>
        <v/>
      </c>
    </row>
    <row r="98" spans="1:21" ht="29" x14ac:dyDescent="0.35">
      <c r="A98" s="14">
        <v>7</v>
      </c>
      <c r="B98" s="14" t="s">
        <v>708</v>
      </c>
      <c r="C98" s="14" t="s">
        <v>771</v>
      </c>
      <c r="D98" s="14" t="s">
        <v>772</v>
      </c>
      <c r="E98" s="14" t="s">
        <v>69</v>
      </c>
      <c r="F98" s="14" t="s">
        <v>773</v>
      </c>
      <c r="G98" s="14" t="s">
        <v>691</v>
      </c>
      <c r="H98" s="14" t="s">
        <v>59</v>
      </c>
      <c r="I98" s="15"/>
      <c r="J98" s="15"/>
      <c r="K98" s="15"/>
      <c r="L98" s="15"/>
      <c r="M98" s="15"/>
      <c r="N98" s="15"/>
      <c r="O98" s="15"/>
      <c r="P98" s="15"/>
      <c r="Q98" s="15"/>
      <c r="R98" s="15"/>
      <c r="S98" s="15"/>
      <c r="T98" s="15"/>
      <c r="U98" s="14" t="str">
        <f t="shared" si="6"/>
        <v/>
      </c>
    </row>
    <row r="99" spans="1:21" ht="29" x14ac:dyDescent="0.35">
      <c r="A99" s="14">
        <v>8</v>
      </c>
      <c r="B99" s="14" t="s">
        <v>774</v>
      </c>
      <c r="C99" s="14" t="s">
        <v>775</v>
      </c>
      <c r="D99" s="14" t="s">
        <v>776</v>
      </c>
      <c r="E99" s="14" t="s">
        <v>69</v>
      </c>
      <c r="F99" s="14" t="s">
        <v>284</v>
      </c>
      <c r="G99" s="14" t="s">
        <v>691</v>
      </c>
      <c r="H99" s="14" t="s">
        <v>76</v>
      </c>
      <c r="I99" s="15"/>
      <c r="J99" s="15"/>
      <c r="K99" s="15"/>
      <c r="L99" s="15"/>
      <c r="M99" s="15"/>
      <c r="N99" s="15"/>
      <c r="O99" s="15"/>
      <c r="P99" s="15"/>
      <c r="Q99" s="15"/>
      <c r="R99" s="15"/>
      <c r="S99" s="15"/>
      <c r="T99" s="15"/>
      <c r="U99" s="14" t="str">
        <f t="shared" si="6"/>
        <v/>
      </c>
    </row>
    <row r="100" spans="1:21" ht="29" x14ac:dyDescent="0.35">
      <c r="A100" s="14">
        <v>9</v>
      </c>
      <c r="B100" s="14" t="s">
        <v>777</v>
      </c>
      <c r="C100" s="14" t="s">
        <v>778</v>
      </c>
      <c r="D100" s="14" t="s">
        <v>779</v>
      </c>
      <c r="E100" s="14" t="s">
        <v>69</v>
      </c>
      <c r="F100" s="14" t="s">
        <v>95</v>
      </c>
      <c r="G100" s="14" t="s">
        <v>691</v>
      </c>
      <c r="H100" s="14" t="s">
        <v>59</v>
      </c>
      <c r="I100" s="15"/>
      <c r="J100" s="15"/>
      <c r="K100" s="15"/>
      <c r="L100" s="15"/>
      <c r="M100" s="15"/>
      <c r="N100" s="15"/>
      <c r="O100" s="15"/>
      <c r="P100" s="15"/>
      <c r="Q100" s="15"/>
      <c r="R100" s="15"/>
      <c r="S100" s="15"/>
      <c r="T100" s="15"/>
      <c r="U100" s="14" t="str">
        <f t="shared" si="6"/>
        <v/>
      </c>
    </row>
    <row r="101" spans="1:21" ht="29" x14ac:dyDescent="0.35">
      <c r="A101" s="14">
        <v>10</v>
      </c>
      <c r="B101" s="14" t="s">
        <v>780</v>
      </c>
      <c r="C101" s="14" t="s">
        <v>781</v>
      </c>
      <c r="D101" s="14" t="s">
        <v>782</v>
      </c>
      <c r="E101" s="14" t="s">
        <v>690</v>
      </c>
      <c r="F101" s="14" t="s">
        <v>167</v>
      </c>
      <c r="G101" s="14" t="s">
        <v>691</v>
      </c>
      <c r="H101" s="14" t="s">
        <v>59</v>
      </c>
      <c r="I101" s="15"/>
      <c r="J101" s="15"/>
      <c r="K101" s="15"/>
      <c r="L101" s="15"/>
      <c r="M101" s="15"/>
      <c r="N101" s="15"/>
      <c r="O101" s="15"/>
      <c r="P101" s="15"/>
      <c r="Q101" s="15"/>
      <c r="R101" s="15"/>
      <c r="S101" s="15"/>
      <c r="T101" s="15"/>
      <c r="U101" s="14" t="str">
        <f t="shared" si="6"/>
        <v/>
      </c>
    </row>
    <row r="102" spans="1:21" ht="29" x14ac:dyDescent="0.35">
      <c r="A102" s="14">
        <v>11</v>
      </c>
      <c r="B102" s="14" t="s">
        <v>783</v>
      </c>
      <c r="C102" s="14" t="s">
        <v>784</v>
      </c>
      <c r="D102" s="14" t="s">
        <v>741</v>
      </c>
      <c r="E102" s="14" t="s">
        <v>69</v>
      </c>
      <c r="F102" s="14" t="s">
        <v>284</v>
      </c>
      <c r="G102" s="14" t="s">
        <v>691</v>
      </c>
      <c r="H102" s="14" t="s">
        <v>76</v>
      </c>
      <c r="I102" s="15"/>
      <c r="J102" s="15"/>
      <c r="K102" s="15"/>
      <c r="L102" s="15"/>
      <c r="M102" s="15"/>
      <c r="N102" s="15"/>
      <c r="O102" s="15"/>
      <c r="P102" s="15"/>
      <c r="Q102" s="15"/>
      <c r="R102" s="15"/>
      <c r="S102" s="15"/>
      <c r="T102" s="15"/>
      <c r="U102" s="14" t="str">
        <f t="shared" si="6"/>
        <v/>
      </c>
    </row>
    <row r="103" spans="1:21" ht="29" x14ac:dyDescent="0.35">
      <c r="A103" s="14">
        <v>12</v>
      </c>
      <c r="B103" s="14" t="s">
        <v>712</v>
      </c>
      <c r="C103" s="14" t="s">
        <v>785</v>
      </c>
      <c r="D103" s="14" t="s">
        <v>786</v>
      </c>
      <c r="E103" s="14" t="s">
        <v>690</v>
      </c>
      <c r="F103" s="14" t="s">
        <v>167</v>
      </c>
      <c r="G103" s="14" t="s">
        <v>691</v>
      </c>
      <c r="H103" s="14" t="s">
        <v>59</v>
      </c>
      <c r="I103" s="15"/>
      <c r="J103" s="15"/>
      <c r="K103" s="15"/>
      <c r="L103" s="15"/>
      <c r="M103" s="15"/>
      <c r="N103" s="15"/>
      <c r="O103" s="15"/>
      <c r="P103" s="15"/>
      <c r="Q103" s="15"/>
      <c r="R103" s="15"/>
      <c r="S103" s="15"/>
      <c r="T103" s="15"/>
      <c r="U103" s="14" t="str">
        <f t="shared" si="6"/>
        <v/>
      </c>
    </row>
    <row r="106" spans="1:21" ht="22" customHeight="1" x14ac:dyDescent="0.35">
      <c r="A106" s="26" t="s">
        <v>791</v>
      </c>
      <c r="B106" s="23"/>
      <c r="C106" s="23"/>
      <c r="D106" s="23"/>
      <c r="E106" s="23"/>
      <c r="F106" s="23"/>
      <c r="G106" s="23"/>
      <c r="H106" s="23"/>
      <c r="I106" s="23"/>
      <c r="J106" s="23"/>
      <c r="K106" s="23"/>
      <c r="L106" s="23"/>
      <c r="M106" s="23"/>
      <c r="N106" s="23"/>
      <c r="O106" s="23"/>
      <c r="P106" s="23"/>
      <c r="Q106" s="23"/>
      <c r="R106" s="23"/>
      <c r="S106" s="23"/>
      <c r="T106" s="23"/>
      <c r="U106" s="23"/>
    </row>
    <row r="107" spans="1:21" x14ac:dyDescent="0.35">
      <c r="A107" t="s">
        <v>31</v>
      </c>
      <c r="B107" t="s">
        <v>23</v>
      </c>
      <c r="C107" t="s">
        <v>32</v>
      </c>
      <c r="E107" t="s">
        <v>33</v>
      </c>
    </row>
    <row r="108" spans="1:21" ht="29" x14ac:dyDescent="0.35">
      <c r="A108" s="11" t="s">
        <v>34</v>
      </c>
      <c r="B108" s="11" t="s">
        <v>35</v>
      </c>
      <c r="C108" s="11" t="s">
        <v>36</v>
      </c>
      <c r="D108" s="11" t="s">
        <v>37</v>
      </c>
      <c r="E108" s="11" t="s">
        <v>38</v>
      </c>
      <c r="F108" s="11" t="s">
        <v>39</v>
      </c>
      <c r="G108" s="11" t="s">
        <v>40</v>
      </c>
      <c r="H108" s="11" t="s">
        <v>41</v>
      </c>
      <c r="I108" s="11" t="s">
        <v>42</v>
      </c>
      <c r="J108" s="11" t="s">
        <v>43</v>
      </c>
      <c r="K108" s="11" t="s">
        <v>44</v>
      </c>
      <c r="L108" s="11" t="s">
        <v>45</v>
      </c>
      <c r="M108" s="11" t="s">
        <v>46</v>
      </c>
      <c r="N108" s="11" t="s">
        <v>47</v>
      </c>
      <c r="O108" s="11" t="s">
        <v>48</v>
      </c>
      <c r="P108" s="11" t="s">
        <v>4</v>
      </c>
      <c r="Q108" s="11" t="s">
        <v>49</v>
      </c>
      <c r="R108" s="11" t="s">
        <v>50</v>
      </c>
      <c r="S108" s="11" t="s">
        <v>51</v>
      </c>
      <c r="T108" s="11" t="s">
        <v>52</v>
      </c>
      <c r="U108" s="11" t="s">
        <v>10</v>
      </c>
    </row>
    <row r="109" spans="1:21" ht="29" x14ac:dyDescent="0.35">
      <c r="A109" s="14">
        <v>1</v>
      </c>
      <c r="B109" s="14" t="s">
        <v>755</v>
      </c>
      <c r="C109" s="14" t="s">
        <v>756</v>
      </c>
      <c r="D109" s="14" t="s">
        <v>757</v>
      </c>
      <c r="E109" s="14" t="s">
        <v>690</v>
      </c>
      <c r="F109" s="14" t="s">
        <v>167</v>
      </c>
      <c r="G109" s="14" t="s">
        <v>691</v>
      </c>
      <c r="H109" s="14" t="s">
        <v>59</v>
      </c>
      <c r="I109" s="15"/>
      <c r="J109" s="15"/>
      <c r="K109" s="15"/>
      <c r="L109" s="15"/>
      <c r="M109" s="15"/>
      <c r="N109" s="15"/>
      <c r="O109" s="15"/>
      <c r="P109" s="15"/>
      <c r="Q109" s="15"/>
      <c r="R109" s="15"/>
      <c r="S109" s="15"/>
      <c r="T109" s="15"/>
      <c r="U109" s="14" t="str">
        <f t="shared" ref="U109:U120" si="7">IF(I109="","",IF(I109="NA","Grey",IF(I109=2,"Green",IF(I109=1,"Amber","Red"))))</f>
        <v/>
      </c>
    </row>
    <row r="110" spans="1:21" ht="29" x14ac:dyDescent="0.35">
      <c r="A110" s="14">
        <v>2</v>
      </c>
      <c r="B110" s="14" t="s">
        <v>758</v>
      </c>
      <c r="C110" s="14" t="s">
        <v>759</v>
      </c>
      <c r="D110" s="14" t="s">
        <v>760</v>
      </c>
      <c r="E110" s="14" t="s">
        <v>69</v>
      </c>
      <c r="F110" s="14" t="s">
        <v>284</v>
      </c>
      <c r="G110" s="14" t="s">
        <v>691</v>
      </c>
      <c r="H110" s="14" t="s">
        <v>76</v>
      </c>
      <c r="I110" s="15"/>
      <c r="J110" s="15"/>
      <c r="K110" s="15"/>
      <c r="L110" s="15"/>
      <c r="M110" s="15"/>
      <c r="N110" s="15"/>
      <c r="O110" s="15"/>
      <c r="P110" s="15"/>
      <c r="Q110" s="15"/>
      <c r="R110" s="15"/>
      <c r="S110" s="15"/>
      <c r="T110" s="15"/>
      <c r="U110" s="14" t="str">
        <f t="shared" si="7"/>
        <v/>
      </c>
    </row>
    <row r="111" spans="1:21" ht="29" x14ac:dyDescent="0.35">
      <c r="A111" s="14">
        <v>3</v>
      </c>
      <c r="B111" s="14" t="s">
        <v>761</v>
      </c>
      <c r="C111" s="14" t="s">
        <v>762</v>
      </c>
      <c r="D111" s="14" t="s">
        <v>763</v>
      </c>
      <c r="E111" s="14" t="s">
        <v>690</v>
      </c>
      <c r="F111" s="14" t="s">
        <v>167</v>
      </c>
      <c r="G111" s="14" t="s">
        <v>691</v>
      </c>
      <c r="H111" s="14" t="s">
        <v>59</v>
      </c>
      <c r="I111" s="15"/>
      <c r="J111" s="15"/>
      <c r="K111" s="15"/>
      <c r="L111" s="15"/>
      <c r="M111" s="15"/>
      <c r="N111" s="15"/>
      <c r="O111" s="15"/>
      <c r="P111" s="15"/>
      <c r="Q111" s="15"/>
      <c r="R111" s="15"/>
      <c r="S111" s="15"/>
      <c r="T111" s="15"/>
      <c r="U111" s="14" t="str">
        <f t="shared" si="7"/>
        <v/>
      </c>
    </row>
    <row r="112" spans="1:21" ht="29" x14ac:dyDescent="0.35">
      <c r="A112" s="14">
        <v>4</v>
      </c>
      <c r="B112" s="14" t="s">
        <v>764</v>
      </c>
      <c r="C112" s="14" t="s">
        <v>765</v>
      </c>
      <c r="D112" s="14" t="s">
        <v>70</v>
      </c>
      <c r="E112" s="14" t="s">
        <v>690</v>
      </c>
      <c r="F112" s="14" t="s">
        <v>167</v>
      </c>
      <c r="G112" s="14" t="s">
        <v>691</v>
      </c>
      <c r="H112" s="14" t="s">
        <v>59</v>
      </c>
      <c r="I112" s="15"/>
      <c r="J112" s="15"/>
      <c r="K112" s="15"/>
      <c r="L112" s="15"/>
      <c r="M112" s="15"/>
      <c r="N112" s="15"/>
      <c r="O112" s="15"/>
      <c r="P112" s="15"/>
      <c r="Q112" s="15"/>
      <c r="R112" s="15"/>
      <c r="S112" s="15"/>
      <c r="T112" s="15"/>
      <c r="U112" s="14" t="str">
        <f t="shared" si="7"/>
        <v/>
      </c>
    </row>
    <row r="113" spans="1:21" ht="29" x14ac:dyDescent="0.35">
      <c r="A113" s="14">
        <v>5</v>
      </c>
      <c r="B113" s="14" t="s">
        <v>450</v>
      </c>
      <c r="C113" s="14" t="s">
        <v>766</v>
      </c>
      <c r="D113" s="14" t="s">
        <v>767</v>
      </c>
      <c r="E113" s="14" t="s">
        <v>690</v>
      </c>
      <c r="F113" s="14" t="s">
        <v>167</v>
      </c>
      <c r="G113" s="14" t="s">
        <v>691</v>
      </c>
      <c r="H113" s="14" t="s">
        <v>59</v>
      </c>
      <c r="I113" s="15"/>
      <c r="J113" s="15"/>
      <c r="K113" s="15"/>
      <c r="L113" s="15"/>
      <c r="M113" s="15"/>
      <c r="N113" s="15"/>
      <c r="O113" s="15"/>
      <c r="P113" s="15"/>
      <c r="Q113" s="15"/>
      <c r="R113" s="15"/>
      <c r="S113" s="15"/>
      <c r="T113" s="15"/>
      <c r="U113" s="14" t="str">
        <f t="shared" si="7"/>
        <v/>
      </c>
    </row>
    <row r="114" spans="1:21" ht="29" x14ac:dyDescent="0.35">
      <c r="A114" s="14">
        <v>6</v>
      </c>
      <c r="B114" s="14" t="s">
        <v>768</v>
      </c>
      <c r="C114" s="14" t="s">
        <v>769</v>
      </c>
      <c r="D114" s="14" t="s">
        <v>770</v>
      </c>
      <c r="E114" s="14" t="s">
        <v>690</v>
      </c>
      <c r="F114" s="14" t="s">
        <v>167</v>
      </c>
      <c r="G114" s="14" t="s">
        <v>691</v>
      </c>
      <c r="H114" s="14" t="s">
        <v>59</v>
      </c>
      <c r="I114" s="15"/>
      <c r="J114" s="15"/>
      <c r="K114" s="15"/>
      <c r="L114" s="15"/>
      <c r="M114" s="15"/>
      <c r="N114" s="15"/>
      <c r="O114" s="15"/>
      <c r="P114" s="15"/>
      <c r="Q114" s="15"/>
      <c r="R114" s="15"/>
      <c r="S114" s="15"/>
      <c r="T114" s="15"/>
      <c r="U114" s="14" t="str">
        <f t="shared" si="7"/>
        <v/>
      </c>
    </row>
    <row r="115" spans="1:21" ht="29" x14ac:dyDescent="0.35">
      <c r="A115" s="14">
        <v>7</v>
      </c>
      <c r="B115" s="14" t="s">
        <v>708</v>
      </c>
      <c r="C115" s="14" t="s">
        <v>771</v>
      </c>
      <c r="D115" s="14" t="s">
        <v>772</v>
      </c>
      <c r="E115" s="14" t="s">
        <v>69</v>
      </c>
      <c r="F115" s="14" t="s">
        <v>773</v>
      </c>
      <c r="G115" s="14" t="s">
        <v>691</v>
      </c>
      <c r="H115" s="14" t="s">
        <v>59</v>
      </c>
      <c r="I115" s="15"/>
      <c r="J115" s="15"/>
      <c r="K115" s="15"/>
      <c r="L115" s="15"/>
      <c r="M115" s="15"/>
      <c r="N115" s="15"/>
      <c r="O115" s="15"/>
      <c r="P115" s="15"/>
      <c r="Q115" s="15"/>
      <c r="R115" s="15"/>
      <c r="S115" s="15"/>
      <c r="T115" s="15"/>
      <c r="U115" s="14" t="str">
        <f t="shared" si="7"/>
        <v/>
      </c>
    </row>
    <row r="116" spans="1:21" ht="29" x14ac:dyDescent="0.35">
      <c r="A116" s="14">
        <v>8</v>
      </c>
      <c r="B116" s="14" t="s">
        <v>774</v>
      </c>
      <c r="C116" s="14" t="s">
        <v>775</v>
      </c>
      <c r="D116" s="14" t="s">
        <v>776</v>
      </c>
      <c r="E116" s="14" t="s">
        <v>69</v>
      </c>
      <c r="F116" s="14" t="s">
        <v>284</v>
      </c>
      <c r="G116" s="14" t="s">
        <v>691</v>
      </c>
      <c r="H116" s="14" t="s">
        <v>76</v>
      </c>
      <c r="I116" s="15"/>
      <c r="J116" s="15"/>
      <c r="K116" s="15"/>
      <c r="L116" s="15"/>
      <c r="M116" s="15"/>
      <c r="N116" s="15"/>
      <c r="O116" s="15"/>
      <c r="P116" s="15"/>
      <c r="Q116" s="15"/>
      <c r="R116" s="15"/>
      <c r="S116" s="15"/>
      <c r="T116" s="15"/>
      <c r="U116" s="14" t="str">
        <f t="shared" si="7"/>
        <v/>
      </c>
    </row>
    <row r="117" spans="1:21" ht="29" x14ac:dyDescent="0.35">
      <c r="A117" s="14">
        <v>9</v>
      </c>
      <c r="B117" s="14" t="s">
        <v>777</v>
      </c>
      <c r="C117" s="14" t="s">
        <v>778</v>
      </c>
      <c r="D117" s="14" t="s">
        <v>779</v>
      </c>
      <c r="E117" s="14" t="s">
        <v>69</v>
      </c>
      <c r="F117" s="14" t="s">
        <v>95</v>
      </c>
      <c r="G117" s="14" t="s">
        <v>691</v>
      </c>
      <c r="H117" s="14" t="s">
        <v>59</v>
      </c>
      <c r="I117" s="15"/>
      <c r="J117" s="15"/>
      <c r="K117" s="15"/>
      <c r="L117" s="15"/>
      <c r="M117" s="15"/>
      <c r="N117" s="15"/>
      <c r="O117" s="15"/>
      <c r="P117" s="15"/>
      <c r="Q117" s="15"/>
      <c r="R117" s="15"/>
      <c r="S117" s="15"/>
      <c r="T117" s="15"/>
      <c r="U117" s="14" t="str">
        <f t="shared" si="7"/>
        <v/>
      </c>
    </row>
    <row r="118" spans="1:21" ht="29" x14ac:dyDescent="0.35">
      <c r="A118" s="14">
        <v>10</v>
      </c>
      <c r="B118" s="14" t="s">
        <v>780</v>
      </c>
      <c r="C118" s="14" t="s">
        <v>781</v>
      </c>
      <c r="D118" s="14" t="s">
        <v>782</v>
      </c>
      <c r="E118" s="14" t="s">
        <v>690</v>
      </c>
      <c r="F118" s="14" t="s">
        <v>167</v>
      </c>
      <c r="G118" s="14" t="s">
        <v>691</v>
      </c>
      <c r="H118" s="14" t="s">
        <v>59</v>
      </c>
      <c r="I118" s="15"/>
      <c r="J118" s="15"/>
      <c r="K118" s="15"/>
      <c r="L118" s="15"/>
      <c r="M118" s="15"/>
      <c r="N118" s="15"/>
      <c r="O118" s="15"/>
      <c r="P118" s="15"/>
      <c r="Q118" s="15"/>
      <c r="R118" s="15"/>
      <c r="S118" s="15"/>
      <c r="T118" s="15"/>
      <c r="U118" s="14" t="str">
        <f t="shared" si="7"/>
        <v/>
      </c>
    </row>
    <row r="119" spans="1:21" ht="29" x14ac:dyDescent="0.35">
      <c r="A119" s="14">
        <v>11</v>
      </c>
      <c r="B119" s="14" t="s">
        <v>783</v>
      </c>
      <c r="C119" s="14" t="s">
        <v>784</v>
      </c>
      <c r="D119" s="14" t="s">
        <v>741</v>
      </c>
      <c r="E119" s="14" t="s">
        <v>69</v>
      </c>
      <c r="F119" s="14" t="s">
        <v>284</v>
      </c>
      <c r="G119" s="14" t="s">
        <v>691</v>
      </c>
      <c r="H119" s="14" t="s">
        <v>76</v>
      </c>
      <c r="I119" s="15"/>
      <c r="J119" s="15"/>
      <c r="K119" s="15"/>
      <c r="L119" s="15"/>
      <c r="M119" s="15"/>
      <c r="N119" s="15"/>
      <c r="O119" s="15"/>
      <c r="P119" s="15"/>
      <c r="Q119" s="15"/>
      <c r="R119" s="15"/>
      <c r="S119" s="15"/>
      <c r="T119" s="15"/>
      <c r="U119" s="14" t="str">
        <f t="shared" si="7"/>
        <v/>
      </c>
    </row>
    <row r="120" spans="1:21" ht="29" x14ac:dyDescent="0.35">
      <c r="A120" s="14">
        <v>12</v>
      </c>
      <c r="B120" s="14" t="s">
        <v>712</v>
      </c>
      <c r="C120" s="14" t="s">
        <v>785</v>
      </c>
      <c r="D120" s="14" t="s">
        <v>786</v>
      </c>
      <c r="E120" s="14" t="s">
        <v>690</v>
      </c>
      <c r="F120" s="14" t="s">
        <v>167</v>
      </c>
      <c r="G120" s="14" t="s">
        <v>691</v>
      </c>
      <c r="H120" s="14" t="s">
        <v>59</v>
      </c>
      <c r="I120" s="15"/>
      <c r="J120" s="15"/>
      <c r="K120" s="15"/>
      <c r="L120" s="15"/>
      <c r="M120" s="15"/>
      <c r="N120" s="15"/>
      <c r="O120" s="15"/>
      <c r="P120" s="15"/>
      <c r="Q120" s="15"/>
      <c r="R120" s="15"/>
      <c r="S120" s="15"/>
      <c r="T120" s="15"/>
      <c r="U120" s="14" t="str">
        <f t="shared" si="7"/>
        <v/>
      </c>
    </row>
    <row r="123" spans="1:21" ht="22" customHeight="1" x14ac:dyDescent="0.35">
      <c r="A123" s="26" t="s">
        <v>792</v>
      </c>
      <c r="B123" s="23"/>
      <c r="C123" s="23"/>
      <c r="D123" s="23"/>
      <c r="E123" s="23"/>
      <c r="F123" s="23"/>
      <c r="G123" s="23"/>
      <c r="H123" s="23"/>
      <c r="I123" s="23"/>
      <c r="J123" s="23"/>
      <c r="K123" s="23"/>
      <c r="L123" s="23"/>
      <c r="M123" s="23"/>
      <c r="N123" s="23"/>
      <c r="O123" s="23"/>
      <c r="P123" s="23"/>
      <c r="Q123" s="23"/>
      <c r="R123" s="23"/>
      <c r="S123" s="23"/>
      <c r="T123" s="23"/>
      <c r="U123" s="23"/>
    </row>
    <row r="124" spans="1:21" x14ac:dyDescent="0.35">
      <c r="A124" t="s">
        <v>31</v>
      </c>
      <c r="B124" t="s">
        <v>24</v>
      </c>
      <c r="C124" t="s">
        <v>32</v>
      </c>
      <c r="E124" t="s">
        <v>33</v>
      </c>
    </row>
    <row r="125" spans="1:21" ht="29" x14ac:dyDescent="0.35">
      <c r="A125" s="11" t="s">
        <v>34</v>
      </c>
      <c r="B125" s="11" t="s">
        <v>35</v>
      </c>
      <c r="C125" s="11" t="s">
        <v>36</v>
      </c>
      <c r="D125" s="11" t="s">
        <v>37</v>
      </c>
      <c r="E125" s="11" t="s">
        <v>38</v>
      </c>
      <c r="F125" s="11" t="s">
        <v>39</v>
      </c>
      <c r="G125" s="11" t="s">
        <v>40</v>
      </c>
      <c r="H125" s="11" t="s">
        <v>41</v>
      </c>
      <c r="I125" s="11" t="s">
        <v>42</v>
      </c>
      <c r="J125" s="11" t="s">
        <v>43</v>
      </c>
      <c r="K125" s="11" t="s">
        <v>44</v>
      </c>
      <c r="L125" s="11" t="s">
        <v>45</v>
      </c>
      <c r="M125" s="11" t="s">
        <v>46</v>
      </c>
      <c r="N125" s="11" t="s">
        <v>47</v>
      </c>
      <c r="O125" s="11" t="s">
        <v>48</v>
      </c>
      <c r="P125" s="11" t="s">
        <v>4</v>
      </c>
      <c r="Q125" s="11" t="s">
        <v>49</v>
      </c>
      <c r="R125" s="11" t="s">
        <v>50</v>
      </c>
      <c r="S125" s="11" t="s">
        <v>51</v>
      </c>
      <c r="T125" s="11" t="s">
        <v>52</v>
      </c>
      <c r="U125" s="11" t="s">
        <v>10</v>
      </c>
    </row>
    <row r="126" spans="1:21" ht="29" x14ac:dyDescent="0.35">
      <c r="A126" s="14">
        <v>1</v>
      </c>
      <c r="B126" s="14" t="s">
        <v>755</v>
      </c>
      <c r="C126" s="14" t="s">
        <v>756</v>
      </c>
      <c r="D126" s="14" t="s">
        <v>757</v>
      </c>
      <c r="E126" s="14" t="s">
        <v>690</v>
      </c>
      <c r="F126" s="14" t="s">
        <v>167</v>
      </c>
      <c r="G126" s="14" t="s">
        <v>691</v>
      </c>
      <c r="H126" s="14" t="s">
        <v>59</v>
      </c>
      <c r="I126" s="15"/>
      <c r="J126" s="15"/>
      <c r="K126" s="15"/>
      <c r="L126" s="15"/>
      <c r="M126" s="15"/>
      <c r="N126" s="15"/>
      <c r="O126" s="15"/>
      <c r="P126" s="15"/>
      <c r="Q126" s="15"/>
      <c r="R126" s="15"/>
      <c r="S126" s="15"/>
      <c r="T126" s="15"/>
      <c r="U126" s="14" t="str">
        <f t="shared" ref="U126:U137" si="8">IF(I126="","",IF(I126="NA","Grey",IF(I126=2,"Green",IF(I126=1,"Amber","Red"))))</f>
        <v/>
      </c>
    </row>
    <row r="127" spans="1:21" ht="29" x14ac:dyDescent="0.35">
      <c r="A127" s="14">
        <v>2</v>
      </c>
      <c r="B127" s="14" t="s">
        <v>758</v>
      </c>
      <c r="C127" s="14" t="s">
        <v>759</v>
      </c>
      <c r="D127" s="14" t="s">
        <v>760</v>
      </c>
      <c r="E127" s="14" t="s">
        <v>69</v>
      </c>
      <c r="F127" s="14" t="s">
        <v>284</v>
      </c>
      <c r="G127" s="14" t="s">
        <v>691</v>
      </c>
      <c r="H127" s="14" t="s">
        <v>76</v>
      </c>
      <c r="I127" s="15"/>
      <c r="J127" s="15"/>
      <c r="K127" s="15"/>
      <c r="L127" s="15"/>
      <c r="M127" s="15"/>
      <c r="N127" s="15"/>
      <c r="O127" s="15"/>
      <c r="P127" s="15"/>
      <c r="Q127" s="15"/>
      <c r="R127" s="15"/>
      <c r="S127" s="15"/>
      <c r="T127" s="15"/>
      <c r="U127" s="14" t="str">
        <f t="shared" si="8"/>
        <v/>
      </c>
    </row>
    <row r="128" spans="1:21" ht="29" x14ac:dyDescent="0.35">
      <c r="A128" s="14">
        <v>3</v>
      </c>
      <c r="B128" s="14" t="s">
        <v>761</v>
      </c>
      <c r="C128" s="14" t="s">
        <v>762</v>
      </c>
      <c r="D128" s="14" t="s">
        <v>763</v>
      </c>
      <c r="E128" s="14" t="s">
        <v>690</v>
      </c>
      <c r="F128" s="14" t="s">
        <v>167</v>
      </c>
      <c r="G128" s="14" t="s">
        <v>691</v>
      </c>
      <c r="H128" s="14" t="s">
        <v>59</v>
      </c>
      <c r="I128" s="15"/>
      <c r="J128" s="15"/>
      <c r="K128" s="15"/>
      <c r="L128" s="15"/>
      <c r="M128" s="15"/>
      <c r="N128" s="15"/>
      <c r="O128" s="15"/>
      <c r="P128" s="15"/>
      <c r="Q128" s="15"/>
      <c r="R128" s="15"/>
      <c r="S128" s="15"/>
      <c r="T128" s="15"/>
      <c r="U128" s="14" t="str">
        <f t="shared" si="8"/>
        <v/>
      </c>
    </row>
    <row r="129" spans="1:21" ht="29" x14ac:dyDescent="0.35">
      <c r="A129" s="14">
        <v>4</v>
      </c>
      <c r="B129" s="14" t="s">
        <v>764</v>
      </c>
      <c r="C129" s="14" t="s">
        <v>765</v>
      </c>
      <c r="D129" s="14" t="s">
        <v>70</v>
      </c>
      <c r="E129" s="14" t="s">
        <v>690</v>
      </c>
      <c r="F129" s="14" t="s">
        <v>167</v>
      </c>
      <c r="G129" s="14" t="s">
        <v>691</v>
      </c>
      <c r="H129" s="14" t="s">
        <v>59</v>
      </c>
      <c r="I129" s="15"/>
      <c r="J129" s="15"/>
      <c r="K129" s="15"/>
      <c r="L129" s="15"/>
      <c r="M129" s="15"/>
      <c r="N129" s="15"/>
      <c r="O129" s="15"/>
      <c r="P129" s="15"/>
      <c r="Q129" s="15"/>
      <c r="R129" s="15"/>
      <c r="S129" s="15"/>
      <c r="T129" s="15"/>
      <c r="U129" s="14" t="str">
        <f t="shared" si="8"/>
        <v/>
      </c>
    </row>
    <row r="130" spans="1:21" ht="29" x14ac:dyDescent="0.35">
      <c r="A130" s="14">
        <v>5</v>
      </c>
      <c r="B130" s="14" t="s">
        <v>450</v>
      </c>
      <c r="C130" s="14" t="s">
        <v>766</v>
      </c>
      <c r="D130" s="14" t="s">
        <v>767</v>
      </c>
      <c r="E130" s="14" t="s">
        <v>690</v>
      </c>
      <c r="F130" s="14" t="s">
        <v>167</v>
      </c>
      <c r="G130" s="14" t="s">
        <v>691</v>
      </c>
      <c r="H130" s="14" t="s">
        <v>59</v>
      </c>
      <c r="I130" s="15"/>
      <c r="J130" s="15"/>
      <c r="K130" s="15"/>
      <c r="L130" s="15"/>
      <c r="M130" s="15"/>
      <c r="N130" s="15"/>
      <c r="O130" s="15"/>
      <c r="P130" s="15"/>
      <c r="Q130" s="15"/>
      <c r="R130" s="15"/>
      <c r="S130" s="15"/>
      <c r="T130" s="15"/>
      <c r="U130" s="14" t="str">
        <f t="shared" si="8"/>
        <v/>
      </c>
    </row>
    <row r="131" spans="1:21" ht="29" x14ac:dyDescent="0.35">
      <c r="A131" s="14">
        <v>6</v>
      </c>
      <c r="B131" s="14" t="s">
        <v>768</v>
      </c>
      <c r="C131" s="14" t="s">
        <v>769</v>
      </c>
      <c r="D131" s="14" t="s">
        <v>770</v>
      </c>
      <c r="E131" s="14" t="s">
        <v>690</v>
      </c>
      <c r="F131" s="14" t="s">
        <v>167</v>
      </c>
      <c r="G131" s="14" t="s">
        <v>691</v>
      </c>
      <c r="H131" s="14" t="s">
        <v>59</v>
      </c>
      <c r="I131" s="15"/>
      <c r="J131" s="15"/>
      <c r="K131" s="15"/>
      <c r="L131" s="15"/>
      <c r="M131" s="15"/>
      <c r="N131" s="15"/>
      <c r="O131" s="15"/>
      <c r="P131" s="15"/>
      <c r="Q131" s="15"/>
      <c r="R131" s="15"/>
      <c r="S131" s="15"/>
      <c r="T131" s="15"/>
      <c r="U131" s="14" t="str">
        <f t="shared" si="8"/>
        <v/>
      </c>
    </row>
    <row r="132" spans="1:21" ht="29" x14ac:dyDescent="0.35">
      <c r="A132" s="14">
        <v>7</v>
      </c>
      <c r="B132" s="14" t="s">
        <v>708</v>
      </c>
      <c r="C132" s="14" t="s">
        <v>771</v>
      </c>
      <c r="D132" s="14" t="s">
        <v>772</v>
      </c>
      <c r="E132" s="14" t="s">
        <v>69</v>
      </c>
      <c r="F132" s="14" t="s">
        <v>773</v>
      </c>
      <c r="G132" s="14" t="s">
        <v>691</v>
      </c>
      <c r="H132" s="14" t="s">
        <v>59</v>
      </c>
      <c r="I132" s="15"/>
      <c r="J132" s="15"/>
      <c r="K132" s="15"/>
      <c r="L132" s="15"/>
      <c r="M132" s="15"/>
      <c r="N132" s="15"/>
      <c r="O132" s="15"/>
      <c r="P132" s="15"/>
      <c r="Q132" s="15"/>
      <c r="R132" s="15"/>
      <c r="S132" s="15"/>
      <c r="T132" s="15"/>
      <c r="U132" s="14" t="str">
        <f t="shared" si="8"/>
        <v/>
      </c>
    </row>
    <row r="133" spans="1:21" ht="29" x14ac:dyDescent="0.35">
      <c r="A133" s="14">
        <v>8</v>
      </c>
      <c r="B133" s="14" t="s">
        <v>774</v>
      </c>
      <c r="C133" s="14" t="s">
        <v>775</v>
      </c>
      <c r="D133" s="14" t="s">
        <v>776</v>
      </c>
      <c r="E133" s="14" t="s">
        <v>69</v>
      </c>
      <c r="F133" s="14" t="s">
        <v>284</v>
      </c>
      <c r="G133" s="14" t="s">
        <v>691</v>
      </c>
      <c r="H133" s="14" t="s">
        <v>76</v>
      </c>
      <c r="I133" s="15"/>
      <c r="J133" s="15"/>
      <c r="K133" s="15"/>
      <c r="L133" s="15"/>
      <c r="M133" s="15"/>
      <c r="N133" s="15"/>
      <c r="O133" s="15"/>
      <c r="P133" s="15"/>
      <c r="Q133" s="15"/>
      <c r="R133" s="15"/>
      <c r="S133" s="15"/>
      <c r="T133" s="15"/>
      <c r="U133" s="14" t="str">
        <f t="shared" si="8"/>
        <v/>
      </c>
    </row>
    <row r="134" spans="1:21" ht="29" x14ac:dyDescent="0.35">
      <c r="A134" s="14">
        <v>9</v>
      </c>
      <c r="B134" s="14" t="s">
        <v>777</v>
      </c>
      <c r="C134" s="14" t="s">
        <v>778</v>
      </c>
      <c r="D134" s="14" t="s">
        <v>779</v>
      </c>
      <c r="E134" s="14" t="s">
        <v>69</v>
      </c>
      <c r="F134" s="14" t="s">
        <v>95</v>
      </c>
      <c r="G134" s="14" t="s">
        <v>691</v>
      </c>
      <c r="H134" s="14" t="s">
        <v>59</v>
      </c>
      <c r="I134" s="15"/>
      <c r="J134" s="15"/>
      <c r="K134" s="15"/>
      <c r="L134" s="15"/>
      <c r="M134" s="15"/>
      <c r="N134" s="15"/>
      <c r="O134" s="15"/>
      <c r="P134" s="15"/>
      <c r="Q134" s="15"/>
      <c r="R134" s="15"/>
      <c r="S134" s="15"/>
      <c r="T134" s="15"/>
      <c r="U134" s="14" t="str">
        <f t="shared" si="8"/>
        <v/>
      </c>
    </row>
    <row r="135" spans="1:21" ht="29" x14ac:dyDescent="0.35">
      <c r="A135" s="14">
        <v>10</v>
      </c>
      <c r="B135" s="14" t="s">
        <v>780</v>
      </c>
      <c r="C135" s="14" t="s">
        <v>781</v>
      </c>
      <c r="D135" s="14" t="s">
        <v>782</v>
      </c>
      <c r="E135" s="14" t="s">
        <v>690</v>
      </c>
      <c r="F135" s="14" t="s">
        <v>167</v>
      </c>
      <c r="G135" s="14" t="s">
        <v>691</v>
      </c>
      <c r="H135" s="14" t="s">
        <v>59</v>
      </c>
      <c r="I135" s="15"/>
      <c r="J135" s="15"/>
      <c r="K135" s="15"/>
      <c r="L135" s="15"/>
      <c r="M135" s="15"/>
      <c r="N135" s="15"/>
      <c r="O135" s="15"/>
      <c r="P135" s="15"/>
      <c r="Q135" s="15"/>
      <c r="R135" s="15"/>
      <c r="S135" s="15"/>
      <c r="T135" s="15"/>
      <c r="U135" s="14" t="str">
        <f t="shared" si="8"/>
        <v/>
      </c>
    </row>
    <row r="136" spans="1:21" ht="29" x14ac:dyDescent="0.35">
      <c r="A136" s="14">
        <v>11</v>
      </c>
      <c r="B136" s="14" t="s">
        <v>783</v>
      </c>
      <c r="C136" s="14" t="s">
        <v>784</v>
      </c>
      <c r="D136" s="14" t="s">
        <v>741</v>
      </c>
      <c r="E136" s="14" t="s">
        <v>69</v>
      </c>
      <c r="F136" s="14" t="s">
        <v>284</v>
      </c>
      <c r="G136" s="14" t="s">
        <v>691</v>
      </c>
      <c r="H136" s="14" t="s">
        <v>76</v>
      </c>
      <c r="I136" s="15"/>
      <c r="J136" s="15"/>
      <c r="K136" s="15"/>
      <c r="L136" s="15"/>
      <c r="M136" s="15"/>
      <c r="N136" s="15"/>
      <c r="O136" s="15"/>
      <c r="P136" s="15"/>
      <c r="Q136" s="15"/>
      <c r="R136" s="15"/>
      <c r="S136" s="15"/>
      <c r="T136" s="15"/>
      <c r="U136" s="14" t="str">
        <f t="shared" si="8"/>
        <v/>
      </c>
    </row>
    <row r="137" spans="1:21" ht="29" x14ac:dyDescent="0.35">
      <c r="A137" s="14">
        <v>12</v>
      </c>
      <c r="B137" s="14" t="s">
        <v>712</v>
      </c>
      <c r="C137" s="14" t="s">
        <v>785</v>
      </c>
      <c r="D137" s="14" t="s">
        <v>786</v>
      </c>
      <c r="E137" s="14" t="s">
        <v>690</v>
      </c>
      <c r="F137" s="14" t="s">
        <v>167</v>
      </c>
      <c r="G137" s="14" t="s">
        <v>691</v>
      </c>
      <c r="H137" s="14" t="s">
        <v>59</v>
      </c>
      <c r="I137" s="15"/>
      <c r="J137" s="15"/>
      <c r="K137" s="15"/>
      <c r="L137" s="15"/>
      <c r="M137" s="15"/>
      <c r="N137" s="15"/>
      <c r="O137" s="15"/>
      <c r="P137" s="15"/>
      <c r="Q137" s="15"/>
      <c r="R137" s="15"/>
      <c r="S137" s="15"/>
      <c r="T137" s="15"/>
      <c r="U137" s="14" t="str">
        <f t="shared" si="8"/>
        <v/>
      </c>
    </row>
    <row r="140" spans="1:21" ht="22" customHeight="1" x14ac:dyDescent="0.35">
      <c r="A140" s="26" t="s">
        <v>793</v>
      </c>
      <c r="B140" s="23"/>
      <c r="C140" s="23"/>
      <c r="D140" s="23"/>
      <c r="E140" s="23"/>
      <c r="F140" s="23"/>
      <c r="G140" s="23"/>
      <c r="H140" s="23"/>
      <c r="I140" s="23"/>
      <c r="J140" s="23"/>
      <c r="K140" s="23"/>
      <c r="L140" s="23"/>
      <c r="M140" s="23"/>
      <c r="N140" s="23"/>
      <c r="O140" s="23"/>
      <c r="P140" s="23"/>
      <c r="Q140" s="23"/>
      <c r="R140" s="23"/>
      <c r="S140" s="23"/>
      <c r="T140" s="23"/>
      <c r="U140" s="23"/>
    </row>
    <row r="141" spans="1:21" x14ac:dyDescent="0.35">
      <c r="A141" t="s">
        <v>31</v>
      </c>
      <c r="B141" t="s">
        <v>25</v>
      </c>
      <c r="C141" t="s">
        <v>32</v>
      </c>
      <c r="E141" t="s">
        <v>33</v>
      </c>
    </row>
    <row r="142" spans="1:21" ht="29" x14ac:dyDescent="0.35">
      <c r="A142" s="11" t="s">
        <v>34</v>
      </c>
      <c r="B142" s="11" t="s">
        <v>35</v>
      </c>
      <c r="C142" s="11" t="s">
        <v>36</v>
      </c>
      <c r="D142" s="11" t="s">
        <v>37</v>
      </c>
      <c r="E142" s="11" t="s">
        <v>38</v>
      </c>
      <c r="F142" s="11" t="s">
        <v>39</v>
      </c>
      <c r="G142" s="11" t="s">
        <v>40</v>
      </c>
      <c r="H142" s="11" t="s">
        <v>41</v>
      </c>
      <c r="I142" s="11" t="s">
        <v>42</v>
      </c>
      <c r="J142" s="11" t="s">
        <v>43</v>
      </c>
      <c r="K142" s="11" t="s">
        <v>44</v>
      </c>
      <c r="L142" s="11" t="s">
        <v>45</v>
      </c>
      <c r="M142" s="11" t="s">
        <v>46</v>
      </c>
      <c r="N142" s="11" t="s">
        <v>47</v>
      </c>
      <c r="O142" s="11" t="s">
        <v>48</v>
      </c>
      <c r="P142" s="11" t="s">
        <v>4</v>
      </c>
      <c r="Q142" s="11" t="s">
        <v>49</v>
      </c>
      <c r="R142" s="11" t="s">
        <v>50</v>
      </c>
      <c r="S142" s="11" t="s">
        <v>51</v>
      </c>
      <c r="T142" s="11" t="s">
        <v>52</v>
      </c>
      <c r="U142" s="11" t="s">
        <v>10</v>
      </c>
    </row>
    <row r="143" spans="1:21" ht="29" x14ac:dyDescent="0.35">
      <c r="A143" s="14">
        <v>1</v>
      </c>
      <c r="B143" s="14" t="s">
        <v>755</v>
      </c>
      <c r="C143" s="14" t="s">
        <v>756</v>
      </c>
      <c r="D143" s="14" t="s">
        <v>757</v>
      </c>
      <c r="E143" s="14" t="s">
        <v>690</v>
      </c>
      <c r="F143" s="14" t="s">
        <v>167</v>
      </c>
      <c r="G143" s="14" t="s">
        <v>691</v>
      </c>
      <c r="H143" s="14" t="s">
        <v>59</v>
      </c>
      <c r="I143" s="15"/>
      <c r="J143" s="15"/>
      <c r="K143" s="15"/>
      <c r="L143" s="15"/>
      <c r="M143" s="15"/>
      <c r="N143" s="15"/>
      <c r="O143" s="15"/>
      <c r="P143" s="15"/>
      <c r="Q143" s="15"/>
      <c r="R143" s="15"/>
      <c r="S143" s="15"/>
      <c r="T143" s="15"/>
      <c r="U143" s="14" t="str">
        <f t="shared" ref="U143:U154" si="9">IF(I143="","",IF(I143="NA","Grey",IF(I143=2,"Green",IF(I143=1,"Amber","Red"))))</f>
        <v/>
      </c>
    </row>
    <row r="144" spans="1:21" ht="29" x14ac:dyDescent="0.35">
      <c r="A144" s="14">
        <v>2</v>
      </c>
      <c r="B144" s="14" t="s">
        <v>758</v>
      </c>
      <c r="C144" s="14" t="s">
        <v>759</v>
      </c>
      <c r="D144" s="14" t="s">
        <v>760</v>
      </c>
      <c r="E144" s="14" t="s">
        <v>69</v>
      </c>
      <c r="F144" s="14" t="s">
        <v>284</v>
      </c>
      <c r="G144" s="14" t="s">
        <v>691</v>
      </c>
      <c r="H144" s="14" t="s">
        <v>76</v>
      </c>
      <c r="I144" s="15"/>
      <c r="J144" s="15"/>
      <c r="K144" s="15"/>
      <c r="L144" s="15"/>
      <c r="M144" s="15"/>
      <c r="N144" s="15"/>
      <c r="O144" s="15"/>
      <c r="P144" s="15"/>
      <c r="Q144" s="15"/>
      <c r="R144" s="15"/>
      <c r="S144" s="15"/>
      <c r="T144" s="15"/>
      <c r="U144" s="14" t="str">
        <f t="shared" si="9"/>
        <v/>
      </c>
    </row>
    <row r="145" spans="1:21" ht="29" x14ac:dyDescent="0.35">
      <c r="A145" s="14">
        <v>3</v>
      </c>
      <c r="B145" s="14" t="s">
        <v>761</v>
      </c>
      <c r="C145" s="14" t="s">
        <v>762</v>
      </c>
      <c r="D145" s="14" t="s">
        <v>763</v>
      </c>
      <c r="E145" s="14" t="s">
        <v>690</v>
      </c>
      <c r="F145" s="14" t="s">
        <v>167</v>
      </c>
      <c r="G145" s="14" t="s">
        <v>691</v>
      </c>
      <c r="H145" s="14" t="s">
        <v>59</v>
      </c>
      <c r="I145" s="15"/>
      <c r="J145" s="15"/>
      <c r="K145" s="15"/>
      <c r="L145" s="15"/>
      <c r="M145" s="15"/>
      <c r="N145" s="15"/>
      <c r="O145" s="15"/>
      <c r="P145" s="15"/>
      <c r="Q145" s="15"/>
      <c r="R145" s="15"/>
      <c r="S145" s="15"/>
      <c r="T145" s="15"/>
      <c r="U145" s="14" t="str">
        <f t="shared" si="9"/>
        <v/>
      </c>
    </row>
    <row r="146" spans="1:21" ht="29" x14ac:dyDescent="0.35">
      <c r="A146" s="14">
        <v>4</v>
      </c>
      <c r="B146" s="14" t="s">
        <v>764</v>
      </c>
      <c r="C146" s="14" t="s">
        <v>765</v>
      </c>
      <c r="D146" s="14" t="s">
        <v>70</v>
      </c>
      <c r="E146" s="14" t="s">
        <v>690</v>
      </c>
      <c r="F146" s="14" t="s">
        <v>167</v>
      </c>
      <c r="G146" s="14" t="s">
        <v>691</v>
      </c>
      <c r="H146" s="14" t="s">
        <v>59</v>
      </c>
      <c r="I146" s="15"/>
      <c r="J146" s="15"/>
      <c r="K146" s="15"/>
      <c r="L146" s="15"/>
      <c r="M146" s="15"/>
      <c r="N146" s="15"/>
      <c r="O146" s="15"/>
      <c r="P146" s="15"/>
      <c r="Q146" s="15"/>
      <c r="R146" s="15"/>
      <c r="S146" s="15"/>
      <c r="T146" s="15"/>
      <c r="U146" s="14" t="str">
        <f t="shared" si="9"/>
        <v/>
      </c>
    </row>
    <row r="147" spans="1:21" ht="29" x14ac:dyDescent="0.35">
      <c r="A147" s="14">
        <v>5</v>
      </c>
      <c r="B147" s="14" t="s">
        <v>450</v>
      </c>
      <c r="C147" s="14" t="s">
        <v>766</v>
      </c>
      <c r="D147" s="14" t="s">
        <v>767</v>
      </c>
      <c r="E147" s="14" t="s">
        <v>690</v>
      </c>
      <c r="F147" s="14" t="s">
        <v>167</v>
      </c>
      <c r="G147" s="14" t="s">
        <v>691</v>
      </c>
      <c r="H147" s="14" t="s">
        <v>59</v>
      </c>
      <c r="I147" s="15"/>
      <c r="J147" s="15"/>
      <c r="K147" s="15"/>
      <c r="L147" s="15"/>
      <c r="M147" s="15"/>
      <c r="N147" s="15"/>
      <c r="O147" s="15"/>
      <c r="P147" s="15"/>
      <c r="Q147" s="15"/>
      <c r="R147" s="15"/>
      <c r="S147" s="15"/>
      <c r="T147" s="15"/>
      <c r="U147" s="14" t="str">
        <f t="shared" si="9"/>
        <v/>
      </c>
    </row>
    <row r="148" spans="1:21" ht="29" x14ac:dyDescent="0.35">
      <c r="A148" s="14">
        <v>6</v>
      </c>
      <c r="B148" s="14" t="s">
        <v>768</v>
      </c>
      <c r="C148" s="14" t="s">
        <v>769</v>
      </c>
      <c r="D148" s="14" t="s">
        <v>770</v>
      </c>
      <c r="E148" s="14" t="s">
        <v>690</v>
      </c>
      <c r="F148" s="14" t="s">
        <v>167</v>
      </c>
      <c r="G148" s="14" t="s">
        <v>691</v>
      </c>
      <c r="H148" s="14" t="s">
        <v>59</v>
      </c>
      <c r="I148" s="15"/>
      <c r="J148" s="15"/>
      <c r="K148" s="15"/>
      <c r="L148" s="15"/>
      <c r="M148" s="15"/>
      <c r="N148" s="15"/>
      <c r="O148" s="15"/>
      <c r="P148" s="15"/>
      <c r="Q148" s="15"/>
      <c r="R148" s="15"/>
      <c r="S148" s="15"/>
      <c r="T148" s="15"/>
      <c r="U148" s="14" t="str">
        <f t="shared" si="9"/>
        <v/>
      </c>
    </row>
    <row r="149" spans="1:21" ht="29" x14ac:dyDescent="0.35">
      <c r="A149" s="14">
        <v>7</v>
      </c>
      <c r="B149" s="14" t="s">
        <v>708</v>
      </c>
      <c r="C149" s="14" t="s">
        <v>771</v>
      </c>
      <c r="D149" s="14" t="s">
        <v>772</v>
      </c>
      <c r="E149" s="14" t="s">
        <v>69</v>
      </c>
      <c r="F149" s="14" t="s">
        <v>773</v>
      </c>
      <c r="G149" s="14" t="s">
        <v>691</v>
      </c>
      <c r="H149" s="14" t="s">
        <v>59</v>
      </c>
      <c r="I149" s="15"/>
      <c r="J149" s="15"/>
      <c r="K149" s="15"/>
      <c r="L149" s="15"/>
      <c r="M149" s="15"/>
      <c r="N149" s="15"/>
      <c r="O149" s="15"/>
      <c r="P149" s="15"/>
      <c r="Q149" s="15"/>
      <c r="R149" s="15"/>
      <c r="S149" s="15"/>
      <c r="T149" s="15"/>
      <c r="U149" s="14" t="str">
        <f t="shared" si="9"/>
        <v/>
      </c>
    </row>
    <row r="150" spans="1:21" ht="29" x14ac:dyDescent="0.35">
      <c r="A150" s="14">
        <v>8</v>
      </c>
      <c r="B150" s="14" t="s">
        <v>774</v>
      </c>
      <c r="C150" s="14" t="s">
        <v>775</v>
      </c>
      <c r="D150" s="14" t="s">
        <v>776</v>
      </c>
      <c r="E150" s="14" t="s">
        <v>69</v>
      </c>
      <c r="F150" s="14" t="s">
        <v>284</v>
      </c>
      <c r="G150" s="14" t="s">
        <v>691</v>
      </c>
      <c r="H150" s="14" t="s">
        <v>76</v>
      </c>
      <c r="I150" s="15"/>
      <c r="J150" s="15"/>
      <c r="K150" s="15"/>
      <c r="L150" s="15"/>
      <c r="M150" s="15"/>
      <c r="N150" s="15"/>
      <c r="O150" s="15"/>
      <c r="P150" s="15"/>
      <c r="Q150" s="15"/>
      <c r="R150" s="15"/>
      <c r="S150" s="15"/>
      <c r="T150" s="15"/>
      <c r="U150" s="14" t="str">
        <f t="shared" si="9"/>
        <v/>
      </c>
    </row>
    <row r="151" spans="1:21" ht="29" x14ac:dyDescent="0.35">
      <c r="A151" s="14">
        <v>9</v>
      </c>
      <c r="B151" s="14" t="s">
        <v>777</v>
      </c>
      <c r="C151" s="14" t="s">
        <v>778</v>
      </c>
      <c r="D151" s="14" t="s">
        <v>779</v>
      </c>
      <c r="E151" s="14" t="s">
        <v>69</v>
      </c>
      <c r="F151" s="14" t="s">
        <v>95</v>
      </c>
      <c r="G151" s="14" t="s">
        <v>691</v>
      </c>
      <c r="H151" s="14" t="s">
        <v>59</v>
      </c>
      <c r="I151" s="15"/>
      <c r="J151" s="15"/>
      <c r="K151" s="15"/>
      <c r="L151" s="15"/>
      <c r="M151" s="15"/>
      <c r="N151" s="15"/>
      <c r="O151" s="15"/>
      <c r="P151" s="15"/>
      <c r="Q151" s="15"/>
      <c r="R151" s="15"/>
      <c r="S151" s="15"/>
      <c r="T151" s="15"/>
      <c r="U151" s="14" t="str">
        <f t="shared" si="9"/>
        <v/>
      </c>
    </row>
    <row r="152" spans="1:21" ht="29" x14ac:dyDescent="0.35">
      <c r="A152" s="14">
        <v>10</v>
      </c>
      <c r="B152" s="14" t="s">
        <v>780</v>
      </c>
      <c r="C152" s="14" t="s">
        <v>781</v>
      </c>
      <c r="D152" s="14" t="s">
        <v>782</v>
      </c>
      <c r="E152" s="14" t="s">
        <v>690</v>
      </c>
      <c r="F152" s="14" t="s">
        <v>167</v>
      </c>
      <c r="G152" s="14" t="s">
        <v>691</v>
      </c>
      <c r="H152" s="14" t="s">
        <v>59</v>
      </c>
      <c r="I152" s="15"/>
      <c r="J152" s="15"/>
      <c r="K152" s="15"/>
      <c r="L152" s="15"/>
      <c r="M152" s="15"/>
      <c r="N152" s="15"/>
      <c r="O152" s="15"/>
      <c r="P152" s="15"/>
      <c r="Q152" s="15"/>
      <c r="R152" s="15"/>
      <c r="S152" s="15"/>
      <c r="T152" s="15"/>
      <c r="U152" s="14" t="str">
        <f t="shared" si="9"/>
        <v/>
      </c>
    </row>
    <row r="153" spans="1:21" ht="29" x14ac:dyDescent="0.35">
      <c r="A153" s="14">
        <v>11</v>
      </c>
      <c r="B153" s="14" t="s">
        <v>783</v>
      </c>
      <c r="C153" s="14" t="s">
        <v>784</v>
      </c>
      <c r="D153" s="14" t="s">
        <v>741</v>
      </c>
      <c r="E153" s="14" t="s">
        <v>69</v>
      </c>
      <c r="F153" s="14" t="s">
        <v>284</v>
      </c>
      <c r="G153" s="14" t="s">
        <v>691</v>
      </c>
      <c r="H153" s="14" t="s">
        <v>76</v>
      </c>
      <c r="I153" s="15"/>
      <c r="J153" s="15"/>
      <c r="K153" s="15"/>
      <c r="L153" s="15"/>
      <c r="M153" s="15"/>
      <c r="N153" s="15"/>
      <c r="O153" s="15"/>
      <c r="P153" s="15"/>
      <c r="Q153" s="15"/>
      <c r="R153" s="15"/>
      <c r="S153" s="15"/>
      <c r="T153" s="15"/>
      <c r="U153" s="14" t="str">
        <f t="shared" si="9"/>
        <v/>
      </c>
    </row>
    <row r="154" spans="1:21" ht="29" x14ac:dyDescent="0.35">
      <c r="A154" s="14">
        <v>12</v>
      </c>
      <c r="B154" s="14" t="s">
        <v>712</v>
      </c>
      <c r="C154" s="14" t="s">
        <v>785</v>
      </c>
      <c r="D154" s="14" t="s">
        <v>786</v>
      </c>
      <c r="E154" s="14" t="s">
        <v>690</v>
      </c>
      <c r="F154" s="14" t="s">
        <v>167</v>
      </c>
      <c r="G154" s="14" t="s">
        <v>691</v>
      </c>
      <c r="H154" s="14" t="s">
        <v>59</v>
      </c>
      <c r="I154" s="15"/>
      <c r="J154" s="15"/>
      <c r="K154" s="15"/>
      <c r="L154" s="15"/>
      <c r="M154" s="15"/>
      <c r="N154" s="15"/>
      <c r="O154" s="15"/>
      <c r="P154" s="15"/>
      <c r="Q154" s="15"/>
      <c r="R154" s="15"/>
      <c r="S154" s="15"/>
      <c r="T154" s="15"/>
      <c r="U154" s="14" t="str">
        <f t="shared" si="9"/>
        <v/>
      </c>
    </row>
    <row r="157" spans="1:21" ht="22" customHeight="1" x14ac:dyDescent="0.35">
      <c r="A157" s="26" t="s">
        <v>794</v>
      </c>
      <c r="B157" s="23"/>
      <c r="C157" s="23"/>
      <c r="D157" s="23"/>
      <c r="E157" s="23"/>
      <c r="F157" s="23"/>
      <c r="G157" s="23"/>
      <c r="H157" s="23"/>
      <c r="I157" s="23"/>
      <c r="J157" s="23"/>
      <c r="K157" s="23"/>
      <c r="L157" s="23"/>
      <c r="M157" s="23"/>
      <c r="N157" s="23"/>
      <c r="O157" s="23"/>
      <c r="P157" s="23"/>
      <c r="Q157" s="23"/>
      <c r="R157" s="23"/>
      <c r="S157" s="23"/>
      <c r="T157" s="23"/>
      <c r="U157" s="23"/>
    </row>
    <row r="158" spans="1:21" x14ac:dyDescent="0.35">
      <c r="A158" t="s">
        <v>31</v>
      </c>
      <c r="B158" t="s">
        <v>26</v>
      </c>
      <c r="C158" t="s">
        <v>32</v>
      </c>
      <c r="E158" t="s">
        <v>33</v>
      </c>
    </row>
    <row r="159" spans="1:21" ht="29" x14ac:dyDescent="0.35">
      <c r="A159" s="11" t="s">
        <v>34</v>
      </c>
      <c r="B159" s="11" t="s">
        <v>35</v>
      </c>
      <c r="C159" s="11" t="s">
        <v>36</v>
      </c>
      <c r="D159" s="11" t="s">
        <v>37</v>
      </c>
      <c r="E159" s="11" t="s">
        <v>38</v>
      </c>
      <c r="F159" s="11" t="s">
        <v>39</v>
      </c>
      <c r="G159" s="11" t="s">
        <v>40</v>
      </c>
      <c r="H159" s="11" t="s">
        <v>41</v>
      </c>
      <c r="I159" s="11" t="s">
        <v>42</v>
      </c>
      <c r="J159" s="11" t="s">
        <v>43</v>
      </c>
      <c r="K159" s="11" t="s">
        <v>44</v>
      </c>
      <c r="L159" s="11" t="s">
        <v>45</v>
      </c>
      <c r="M159" s="11" t="s">
        <v>46</v>
      </c>
      <c r="N159" s="11" t="s">
        <v>47</v>
      </c>
      <c r="O159" s="11" t="s">
        <v>48</v>
      </c>
      <c r="P159" s="11" t="s">
        <v>4</v>
      </c>
      <c r="Q159" s="11" t="s">
        <v>49</v>
      </c>
      <c r="R159" s="11" t="s">
        <v>50</v>
      </c>
      <c r="S159" s="11" t="s">
        <v>51</v>
      </c>
      <c r="T159" s="11" t="s">
        <v>52</v>
      </c>
      <c r="U159" s="11" t="s">
        <v>10</v>
      </c>
    </row>
    <row r="160" spans="1:21" ht="29" x14ac:dyDescent="0.35">
      <c r="A160" s="14">
        <v>1</v>
      </c>
      <c r="B160" s="14" t="s">
        <v>755</v>
      </c>
      <c r="C160" s="14" t="s">
        <v>756</v>
      </c>
      <c r="D160" s="14" t="s">
        <v>757</v>
      </c>
      <c r="E160" s="14" t="s">
        <v>690</v>
      </c>
      <c r="F160" s="14" t="s">
        <v>167</v>
      </c>
      <c r="G160" s="14" t="s">
        <v>691</v>
      </c>
      <c r="H160" s="14" t="s">
        <v>59</v>
      </c>
      <c r="I160" s="15"/>
      <c r="J160" s="15"/>
      <c r="K160" s="15"/>
      <c r="L160" s="15"/>
      <c r="M160" s="15"/>
      <c r="N160" s="15"/>
      <c r="O160" s="15"/>
      <c r="P160" s="15"/>
      <c r="Q160" s="15"/>
      <c r="R160" s="15"/>
      <c r="S160" s="15"/>
      <c r="T160" s="15"/>
      <c r="U160" s="14" t="str">
        <f t="shared" ref="U160:U171" si="10">IF(I160="","",IF(I160="NA","Grey",IF(I160=2,"Green",IF(I160=1,"Amber","Red"))))</f>
        <v/>
      </c>
    </row>
    <row r="161" spans="1:21" ht="29" x14ac:dyDescent="0.35">
      <c r="A161" s="14">
        <v>2</v>
      </c>
      <c r="B161" s="14" t="s">
        <v>758</v>
      </c>
      <c r="C161" s="14" t="s">
        <v>759</v>
      </c>
      <c r="D161" s="14" t="s">
        <v>760</v>
      </c>
      <c r="E161" s="14" t="s">
        <v>69</v>
      </c>
      <c r="F161" s="14" t="s">
        <v>284</v>
      </c>
      <c r="G161" s="14" t="s">
        <v>691</v>
      </c>
      <c r="H161" s="14" t="s">
        <v>76</v>
      </c>
      <c r="I161" s="15"/>
      <c r="J161" s="15"/>
      <c r="K161" s="15"/>
      <c r="L161" s="15"/>
      <c r="M161" s="15"/>
      <c r="N161" s="15"/>
      <c r="O161" s="15"/>
      <c r="P161" s="15"/>
      <c r="Q161" s="15"/>
      <c r="R161" s="15"/>
      <c r="S161" s="15"/>
      <c r="T161" s="15"/>
      <c r="U161" s="14" t="str">
        <f t="shared" si="10"/>
        <v/>
      </c>
    </row>
    <row r="162" spans="1:21" ht="29" x14ac:dyDescent="0.35">
      <c r="A162" s="14">
        <v>3</v>
      </c>
      <c r="B162" s="14" t="s">
        <v>761</v>
      </c>
      <c r="C162" s="14" t="s">
        <v>762</v>
      </c>
      <c r="D162" s="14" t="s">
        <v>763</v>
      </c>
      <c r="E162" s="14" t="s">
        <v>690</v>
      </c>
      <c r="F162" s="14" t="s">
        <v>167</v>
      </c>
      <c r="G162" s="14" t="s">
        <v>691</v>
      </c>
      <c r="H162" s="14" t="s">
        <v>59</v>
      </c>
      <c r="I162" s="15"/>
      <c r="J162" s="15"/>
      <c r="K162" s="15"/>
      <c r="L162" s="15"/>
      <c r="M162" s="15"/>
      <c r="N162" s="15"/>
      <c r="O162" s="15"/>
      <c r="P162" s="15"/>
      <c r="Q162" s="15"/>
      <c r="R162" s="15"/>
      <c r="S162" s="15"/>
      <c r="T162" s="15"/>
      <c r="U162" s="14" t="str">
        <f t="shared" si="10"/>
        <v/>
      </c>
    </row>
    <row r="163" spans="1:21" ht="29" x14ac:dyDescent="0.35">
      <c r="A163" s="14">
        <v>4</v>
      </c>
      <c r="B163" s="14" t="s">
        <v>764</v>
      </c>
      <c r="C163" s="14" t="s">
        <v>765</v>
      </c>
      <c r="D163" s="14" t="s">
        <v>70</v>
      </c>
      <c r="E163" s="14" t="s">
        <v>690</v>
      </c>
      <c r="F163" s="14" t="s">
        <v>167</v>
      </c>
      <c r="G163" s="14" t="s">
        <v>691</v>
      </c>
      <c r="H163" s="14" t="s">
        <v>59</v>
      </c>
      <c r="I163" s="15"/>
      <c r="J163" s="15"/>
      <c r="K163" s="15"/>
      <c r="L163" s="15"/>
      <c r="M163" s="15"/>
      <c r="N163" s="15"/>
      <c r="O163" s="15"/>
      <c r="P163" s="15"/>
      <c r="Q163" s="15"/>
      <c r="R163" s="15"/>
      <c r="S163" s="15"/>
      <c r="T163" s="15"/>
      <c r="U163" s="14" t="str">
        <f t="shared" si="10"/>
        <v/>
      </c>
    </row>
    <row r="164" spans="1:21" ht="29" x14ac:dyDescent="0.35">
      <c r="A164" s="14">
        <v>5</v>
      </c>
      <c r="B164" s="14" t="s">
        <v>450</v>
      </c>
      <c r="C164" s="14" t="s">
        <v>766</v>
      </c>
      <c r="D164" s="14" t="s">
        <v>767</v>
      </c>
      <c r="E164" s="14" t="s">
        <v>690</v>
      </c>
      <c r="F164" s="14" t="s">
        <v>167</v>
      </c>
      <c r="G164" s="14" t="s">
        <v>691</v>
      </c>
      <c r="H164" s="14" t="s">
        <v>59</v>
      </c>
      <c r="I164" s="15"/>
      <c r="J164" s="15"/>
      <c r="K164" s="15"/>
      <c r="L164" s="15"/>
      <c r="M164" s="15"/>
      <c r="N164" s="15"/>
      <c r="O164" s="15"/>
      <c r="P164" s="15"/>
      <c r="Q164" s="15"/>
      <c r="R164" s="15"/>
      <c r="S164" s="15"/>
      <c r="T164" s="15"/>
      <c r="U164" s="14" t="str">
        <f t="shared" si="10"/>
        <v/>
      </c>
    </row>
    <row r="165" spans="1:21" ht="29" x14ac:dyDescent="0.35">
      <c r="A165" s="14">
        <v>6</v>
      </c>
      <c r="B165" s="14" t="s">
        <v>768</v>
      </c>
      <c r="C165" s="14" t="s">
        <v>769</v>
      </c>
      <c r="D165" s="14" t="s">
        <v>770</v>
      </c>
      <c r="E165" s="14" t="s">
        <v>690</v>
      </c>
      <c r="F165" s="14" t="s">
        <v>167</v>
      </c>
      <c r="G165" s="14" t="s">
        <v>691</v>
      </c>
      <c r="H165" s="14" t="s">
        <v>59</v>
      </c>
      <c r="I165" s="15"/>
      <c r="J165" s="15"/>
      <c r="K165" s="15"/>
      <c r="L165" s="15"/>
      <c r="M165" s="15"/>
      <c r="N165" s="15"/>
      <c r="O165" s="15"/>
      <c r="P165" s="15"/>
      <c r="Q165" s="15"/>
      <c r="R165" s="15"/>
      <c r="S165" s="15"/>
      <c r="T165" s="15"/>
      <c r="U165" s="14" t="str">
        <f t="shared" si="10"/>
        <v/>
      </c>
    </row>
    <row r="166" spans="1:21" ht="29" x14ac:dyDescent="0.35">
      <c r="A166" s="14">
        <v>7</v>
      </c>
      <c r="B166" s="14" t="s">
        <v>708</v>
      </c>
      <c r="C166" s="14" t="s">
        <v>771</v>
      </c>
      <c r="D166" s="14" t="s">
        <v>772</v>
      </c>
      <c r="E166" s="14" t="s">
        <v>69</v>
      </c>
      <c r="F166" s="14" t="s">
        <v>773</v>
      </c>
      <c r="G166" s="14" t="s">
        <v>691</v>
      </c>
      <c r="H166" s="14" t="s">
        <v>59</v>
      </c>
      <c r="I166" s="15"/>
      <c r="J166" s="15"/>
      <c r="K166" s="15"/>
      <c r="L166" s="15"/>
      <c r="M166" s="15"/>
      <c r="N166" s="15"/>
      <c r="O166" s="15"/>
      <c r="P166" s="15"/>
      <c r="Q166" s="15"/>
      <c r="R166" s="15"/>
      <c r="S166" s="15"/>
      <c r="T166" s="15"/>
      <c r="U166" s="14" t="str">
        <f t="shared" si="10"/>
        <v/>
      </c>
    </row>
    <row r="167" spans="1:21" ht="29" x14ac:dyDescent="0.35">
      <c r="A167" s="14">
        <v>8</v>
      </c>
      <c r="B167" s="14" t="s">
        <v>774</v>
      </c>
      <c r="C167" s="14" t="s">
        <v>775</v>
      </c>
      <c r="D167" s="14" t="s">
        <v>776</v>
      </c>
      <c r="E167" s="14" t="s">
        <v>69</v>
      </c>
      <c r="F167" s="14" t="s">
        <v>284</v>
      </c>
      <c r="G167" s="14" t="s">
        <v>691</v>
      </c>
      <c r="H167" s="14" t="s">
        <v>76</v>
      </c>
      <c r="I167" s="15"/>
      <c r="J167" s="15"/>
      <c r="K167" s="15"/>
      <c r="L167" s="15"/>
      <c r="M167" s="15"/>
      <c r="N167" s="15"/>
      <c r="O167" s="15"/>
      <c r="P167" s="15"/>
      <c r="Q167" s="15"/>
      <c r="R167" s="15"/>
      <c r="S167" s="15"/>
      <c r="T167" s="15"/>
      <c r="U167" s="14" t="str">
        <f t="shared" si="10"/>
        <v/>
      </c>
    </row>
    <row r="168" spans="1:21" ht="29" x14ac:dyDescent="0.35">
      <c r="A168" s="14">
        <v>9</v>
      </c>
      <c r="B168" s="14" t="s">
        <v>777</v>
      </c>
      <c r="C168" s="14" t="s">
        <v>778</v>
      </c>
      <c r="D168" s="14" t="s">
        <v>779</v>
      </c>
      <c r="E168" s="14" t="s">
        <v>69</v>
      </c>
      <c r="F168" s="14" t="s">
        <v>95</v>
      </c>
      <c r="G168" s="14" t="s">
        <v>691</v>
      </c>
      <c r="H168" s="14" t="s">
        <v>59</v>
      </c>
      <c r="I168" s="15"/>
      <c r="J168" s="15"/>
      <c r="K168" s="15"/>
      <c r="L168" s="15"/>
      <c r="M168" s="15"/>
      <c r="N168" s="15"/>
      <c r="O168" s="15"/>
      <c r="P168" s="15"/>
      <c r="Q168" s="15"/>
      <c r="R168" s="15"/>
      <c r="S168" s="15"/>
      <c r="T168" s="15"/>
      <c r="U168" s="14" t="str">
        <f t="shared" si="10"/>
        <v/>
      </c>
    </row>
    <row r="169" spans="1:21" ht="29" x14ac:dyDescent="0.35">
      <c r="A169" s="14">
        <v>10</v>
      </c>
      <c r="B169" s="14" t="s">
        <v>780</v>
      </c>
      <c r="C169" s="14" t="s">
        <v>781</v>
      </c>
      <c r="D169" s="14" t="s">
        <v>782</v>
      </c>
      <c r="E169" s="14" t="s">
        <v>690</v>
      </c>
      <c r="F169" s="14" t="s">
        <v>167</v>
      </c>
      <c r="G169" s="14" t="s">
        <v>691</v>
      </c>
      <c r="H169" s="14" t="s">
        <v>59</v>
      </c>
      <c r="I169" s="15"/>
      <c r="J169" s="15"/>
      <c r="K169" s="15"/>
      <c r="L169" s="15"/>
      <c r="M169" s="15"/>
      <c r="N169" s="15"/>
      <c r="O169" s="15"/>
      <c r="P169" s="15"/>
      <c r="Q169" s="15"/>
      <c r="R169" s="15"/>
      <c r="S169" s="15"/>
      <c r="T169" s="15"/>
      <c r="U169" s="14" t="str">
        <f t="shared" si="10"/>
        <v/>
      </c>
    </row>
    <row r="170" spans="1:21" ht="29" x14ac:dyDescent="0.35">
      <c r="A170" s="14">
        <v>11</v>
      </c>
      <c r="B170" s="14" t="s">
        <v>783</v>
      </c>
      <c r="C170" s="14" t="s">
        <v>784</v>
      </c>
      <c r="D170" s="14" t="s">
        <v>741</v>
      </c>
      <c r="E170" s="14" t="s">
        <v>69</v>
      </c>
      <c r="F170" s="14" t="s">
        <v>284</v>
      </c>
      <c r="G170" s="14" t="s">
        <v>691</v>
      </c>
      <c r="H170" s="14" t="s">
        <v>76</v>
      </c>
      <c r="I170" s="15"/>
      <c r="J170" s="15"/>
      <c r="K170" s="15"/>
      <c r="L170" s="15"/>
      <c r="M170" s="15"/>
      <c r="N170" s="15"/>
      <c r="O170" s="15"/>
      <c r="P170" s="15"/>
      <c r="Q170" s="15"/>
      <c r="R170" s="15"/>
      <c r="S170" s="15"/>
      <c r="T170" s="15"/>
      <c r="U170" s="14" t="str">
        <f t="shared" si="10"/>
        <v/>
      </c>
    </row>
    <row r="171" spans="1:21" ht="29" x14ac:dyDescent="0.35">
      <c r="A171" s="14">
        <v>12</v>
      </c>
      <c r="B171" s="14" t="s">
        <v>712</v>
      </c>
      <c r="C171" s="14" t="s">
        <v>785</v>
      </c>
      <c r="D171" s="14" t="s">
        <v>786</v>
      </c>
      <c r="E171" s="14" t="s">
        <v>690</v>
      </c>
      <c r="F171" s="14" t="s">
        <v>167</v>
      </c>
      <c r="G171" s="14" t="s">
        <v>691</v>
      </c>
      <c r="H171" s="14" t="s">
        <v>59</v>
      </c>
      <c r="I171" s="15"/>
      <c r="J171" s="15"/>
      <c r="K171" s="15"/>
      <c r="L171" s="15"/>
      <c r="M171" s="15"/>
      <c r="N171" s="15"/>
      <c r="O171" s="15"/>
      <c r="P171" s="15"/>
      <c r="Q171" s="15"/>
      <c r="R171" s="15"/>
      <c r="S171" s="15"/>
      <c r="T171" s="15"/>
      <c r="U171" s="14" t="str">
        <f t="shared" si="10"/>
        <v/>
      </c>
    </row>
    <row r="174" spans="1:21" ht="22" customHeight="1" x14ac:dyDescent="0.35">
      <c r="A174" s="26" t="s">
        <v>795</v>
      </c>
      <c r="B174" s="23"/>
      <c r="C174" s="23"/>
      <c r="D174" s="23"/>
      <c r="E174" s="23"/>
      <c r="F174" s="23"/>
      <c r="G174" s="23"/>
      <c r="H174" s="23"/>
      <c r="I174" s="23"/>
      <c r="J174" s="23"/>
      <c r="K174" s="23"/>
      <c r="L174" s="23"/>
      <c r="M174" s="23"/>
      <c r="N174" s="23"/>
      <c r="O174" s="23"/>
      <c r="P174" s="23"/>
      <c r="Q174" s="23"/>
      <c r="R174" s="23"/>
      <c r="S174" s="23"/>
      <c r="T174" s="23"/>
      <c r="U174" s="23"/>
    </row>
    <row r="175" spans="1:21" x14ac:dyDescent="0.35">
      <c r="A175" t="s">
        <v>31</v>
      </c>
      <c r="B175" t="s">
        <v>27</v>
      </c>
      <c r="C175" t="s">
        <v>32</v>
      </c>
      <c r="E175" t="s">
        <v>33</v>
      </c>
    </row>
    <row r="176" spans="1:21" ht="29" x14ac:dyDescent="0.35">
      <c r="A176" s="11" t="s">
        <v>34</v>
      </c>
      <c r="B176" s="11" t="s">
        <v>35</v>
      </c>
      <c r="C176" s="11" t="s">
        <v>36</v>
      </c>
      <c r="D176" s="11" t="s">
        <v>37</v>
      </c>
      <c r="E176" s="11" t="s">
        <v>38</v>
      </c>
      <c r="F176" s="11" t="s">
        <v>39</v>
      </c>
      <c r="G176" s="11" t="s">
        <v>40</v>
      </c>
      <c r="H176" s="11" t="s">
        <v>41</v>
      </c>
      <c r="I176" s="11" t="s">
        <v>42</v>
      </c>
      <c r="J176" s="11" t="s">
        <v>43</v>
      </c>
      <c r="K176" s="11" t="s">
        <v>44</v>
      </c>
      <c r="L176" s="11" t="s">
        <v>45</v>
      </c>
      <c r="M176" s="11" t="s">
        <v>46</v>
      </c>
      <c r="N176" s="11" t="s">
        <v>47</v>
      </c>
      <c r="O176" s="11" t="s">
        <v>48</v>
      </c>
      <c r="P176" s="11" t="s">
        <v>4</v>
      </c>
      <c r="Q176" s="11" t="s">
        <v>49</v>
      </c>
      <c r="R176" s="11" t="s">
        <v>50</v>
      </c>
      <c r="S176" s="11" t="s">
        <v>51</v>
      </c>
      <c r="T176" s="11" t="s">
        <v>52</v>
      </c>
      <c r="U176" s="11" t="s">
        <v>10</v>
      </c>
    </row>
    <row r="177" spans="1:21" ht="29" x14ac:dyDescent="0.35">
      <c r="A177" s="14">
        <v>1</v>
      </c>
      <c r="B177" s="14" t="s">
        <v>755</v>
      </c>
      <c r="C177" s="14" t="s">
        <v>756</v>
      </c>
      <c r="D177" s="14" t="s">
        <v>757</v>
      </c>
      <c r="E177" s="14" t="s">
        <v>690</v>
      </c>
      <c r="F177" s="14" t="s">
        <v>167</v>
      </c>
      <c r="G177" s="14" t="s">
        <v>691</v>
      </c>
      <c r="H177" s="14" t="s">
        <v>59</v>
      </c>
      <c r="I177" s="15"/>
      <c r="J177" s="15"/>
      <c r="K177" s="15"/>
      <c r="L177" s="15"/>
      <c r="M177" s="15"/>
      <c r="N177" s="15"/>
      <c r="O177" s="15"/>
      <c r="P177" s="15"/>
      <c r="Q177" s="15"/>
      <c r="R177" s="15"/>
      <c r="S177" s="15"/>
      <c r="T177" s="15"/>
      <c r="U177" s="14" t="str">
        <f t="shared" ref="U177:U188" si="11">IF(I177="","",IF(I177="NA","Grey",IF(I177=2,"Green",IF(I177=1,"Amber","Red"))))</f>
        <v/>
      </c>
    </row>
    <row r="178" spans="1:21" ht="29" x14ac:dyDescent="0.35">
      <c r="A178" s="14">
        <v>2</v>
      </c>
      <c r="B178" s="14" t="s">
        <v>758</v>
      </c>
      <c r="C178" s="14" t="s">
        <v>759</v>
      </c>
      <c r="D178" s="14" t="s">
        <v>760</v>
      </c>
      <c r="E178" s="14" t="s">
        <v>69</v>
      </c>
      <c r="F178" s="14" t="s">
        <v>284</v>
      </c>
      <c r="G178" s="14" t="s">
        <v>691</v>
      </c>
      <c r="H178" s="14" t="s">
        <v>76</v>
      </c>
      <c r="I178" s="15"/>
      <c r="J178" s="15"/>
      <c r="K178" s="15"/>
      <c r="L178" s="15"/>
      <c r="M178" s="15"/>
      <c r="N178" s="15"/>
      <c r="O178" s="15"/>
      <c r="P178" s="15"/>
      <c r="Q178" s="15"/>
      <c r="R178" s="15"/>
      <c r="S178" s="15"/>
      <c r="T178" s="15"/>
      <c r="U178" s="14" t="str">
        <f t="shared" si="11"/>
        <v/>
      </c>
    </row>
    <row r="179" spans="1:21" ht="29" x14ac:dyDescent="0.35">
      <c r="A179" s="14">
        <v>3</v>
      </c>
      <c r="B179" s="14" t="s">
        <v>761</v>
      </c>
      <c r="C179" s="14" t="s">
        <v>762</v>
      </c>
      <c r="D179" s="14" t="s">
        <v>763</v>
      </c>
      <c r="E179" s="14" t="s">
        <v>690</v>
      </c>
      <c r="F179" s="14" t="s">
        <v>167</v>
      </c>
      <c r="G179" s="14" t="s">
        <v>691</v>
      </c>
      <c r="H179" s="14" t="s">
        <v>59</v>
      </c>
      <c r="I179" s="15"/>
      <c r="J179" s="15"/>
      <c r="K179" s="15"/>
      <c r="L179" s="15"/>
      <c r="M179" s="15"/>
      <c r="N179" s="15"/>
      <c r="O179" s="15"/>
      <c r="P179" s="15"/>
      <c r="Q179" s="15"/>
      <c r="R179" s="15"/>
      <c r="S179" s="15"/>
      <c r="T179" s="15"/>
      <c r="U179" s="14" t="str">
        <f t="shared" si="11"/>
        <v/>
      </c>
    </row>
    <row r="180" spans="1:21" ht="29" x14ac:dyDescent="0.35">
      <c r="A180" s="14">
        <v>4</v>
      </c>
      <c r="B180" s="14" t="s">
        <v>764</v>
      </c>
      <c r="C180" s="14" t="s">
        <v>765</v>
      </c>
      <c r="D180" s="14" t="s">
        <v>70</v>
      </c>
      <c r="E180" s="14" t="s">
        <v>690</v>
      </c>
      <c r="F180" s="14" t="s">
        <v>167</v>
      </c>
      <c r="G180" s="14" t="s">
        <v>691</v>
      </c>
      <c r="H180" s="14" t="s">
        <v>59</v>
      </c>
      <c r="I180" s="15"/>
      <c r="J180" s="15"/>
      <c r="K180" s="15"/>
      <c r="L180" s="15"/>
      <c r="M180" s="15"/>
      <c r="N180" s="15"/>
      <c r="O180" s="15"/>
      <c r="P180" s="15"/>
      <c r="Q180" s="15"/>
      <c r="R180" s="15"/>
      <c r="S180" s="15"/>
      <c r="T180" s="15"/>
      <c r="U180" s="14" t="str">
        <f t="shared" si="11"/>
        <v/>
      </c>
    </row>
    <row r="181" spans="1:21" ht="29" x14ac:dyDescent="0.35">
      <c r="A181" s="14">
        <v>5</v>
      </c>
      <c r="B181" s="14" t="s">
        <v>450</v>
      </c>
      <c r="C181" s="14" t="s">
        <v>766</v>
      </c>
      <c r="D181" s="14" t="s">
        <v>767</v>
      </c>
      <c r="E181" s="14" t="s">
        <v>690</v>
      </c>
      <c r="F181" s="14" t="s">
        <v>167</v>
      </c>
      <c r="G181" s="14" t="s">
        <v>691</v>
      </c>
      <c r="H181" s="14" t="s">
        <v>59</v>
      </c>
      <c r="I181" s="15"/>
      <c r="J181" s="15"/>
      <c r="K181" s="15"/>
      <c r="L181" s="15"/>
      <c r="M181" s="15"/>
      <c r="N181" s="15"/>
      <c r="O181" s="15"/>
      <c r="P181" s="15"/>
      <c r="Q181" s="15"/>
      <c r="R181" s="15"/>
      <c r="S181" s="15"/>
      <c r="T181" s="15"/>
      <c r="U181" s="14" t="str">
        <f t="shared" si="11"/>
        <v/>
      </c>
    </row>
    <row r="182" spans="1:21" ht="29" x14ac:dyDescent="0.35">
      <c r="A182" s="14">
        <v>6</v>
      </c>
      <c r="B182" s="14" t="s">
        <v>768</v>
      </c>
      <c r="C182" s="14" t="s">
        <v>769</v>
      </c>
      <c r="D182" s="14" t="s">
        <v>770</v>
      </c>
      <c r="E182" s="14" t="s">
        <v>690</v>
      </c>
      <c r="F182" s="14" t="s">
        <v>167</v>
      </c>
      <c r="G182" s="14" t="s">
        <v>691</v>
      </c>
      <c r="H182" s="14" t="s">
        <v>59</v>
      </c>
      <c r="I182" s="15"/>
      <c r="J182" s="15"/>
      <c r="K182" s="15"/>
      <c r="L182" s="15"/>
      <c r="M182" s="15"/>
      <c r="N182" s="15"/>
      <c r="O182" s="15"/>
      <c r="P182" s="15"/>
      <c r="Q182" s="15"/>
      <c r="R182" s="15"/>
      <c r="S182" s="15"/>
      <c r="T182" s="15"/>
      <c r="U182" s="14" t="str">
        <f t="shared" si="11"/>
        <v/>
      </c>
    </row>
    <row r="183" spans="1:21" ht="29" x14ac:dyDescent="0.35">
      <c r="A183" s="14">
        <v>7</v>
      </c>
      <c r="B183" s="14" t="s">
        <v>708</v>
      </c>
      <c r="C183" s="14" t="s">
        <v>771</v>
      </c>
      <c r="D183" s="14" t="s">
        <v>772</v>
      </c>
      <c r="E183" s="14" t="s">
        <v>69</v>
      </c>
      <c r="F183" s="14" t="s">
        <v>773</v>
      </c>
      <c r="G183" s="14" t="s">
        <v>691</v>
      </c>
      <c r="H183" s="14" t="s">
        <v>59</v>
      </c>
      <c r="I183" s="15"/>
      <c r="J183" s="15"/>
      <c r="K183" s="15"/>
      <c r="L183" s="15"/>
      <c r="M183" s="15"/>
      <c r="N183" s="15"/>
      <c r="O183" s="15"/>
      <c r="P183" s="15"/>
      <c r="Q183" s="15"/>
      <c r="R183" s="15"/>
      <c r="S183" s="15"/>
      <c r="T183" s="15"/>
      <c r="U183" s="14" t="str">
        <f t="shared" si="11"/>
        <v/>
      </c>
    </row>
    <row r="184" spans="1:21" ht="29" x14ac:dyDescent="0.35">
      <c r="A184" s="14">
        <v>8</v>
      </c>
      <c r="B184" s="14" t="s">
        <v>774</v>
      </c>
      <c r="C184" s="14" t="s">
        <v>775</v>
      </c>
      <c r="D184" s="14" t="s">
        <v>776</v>
      </c>
      <c r="E184" s="14" t="s">
        <v>69</v>
      </c>
      <c r="F184" s="14" t="s">
        <v>284</v>
      </c>
      <c r="G184" s="14" t="s">
        <v>691</v>
      </c>
      <c r="H184" s="14" t="s">
        <v>76</v>
      </c>
      <c r="I184" s="15"/>
      <c r="J184" s="15"/>
      <c r="K184" s="15"/>
      <c r="L184" s="15"/>
      <c r="M184" s="15"/>
      <c r="N184" s="15"/>
      <c r="O184" s="15"/>
      <c r="P184" s="15"/>
      <c r="Q184" s="15"/>
      <c r="R184" s="15"/>
      <c r="S184" s="15"/>
      <c r="T184" s="15"/>
      <c r="U184" s="14" t="str">
        <f t="shared" si="11"/>
        <v/>
      </c>
    </row>
    <row r="185" spans="1:21" ht="29" x14ac:dyDescent="0.35">
      <c r="A185" s="14">
        <v>9</v>
      </c>
      <c r="B185" s="14" t="s">
        <v>777</v>
      </c>
      <c r="C185" s="14" t="s">
        <v>778</v>
      </c>
      <c r="D185" s="14" t="s">
        <v>779</v>
      </c>
      <c r="E185" s="14" t="s">
        <v>69</v>
      </c>
      <c r="F185" s="14" t="s">
        <v>95</v>
      </c>
      <c r="G185" s="14" t="s">
        <v>691</v>
      </c>
      <c r="H185" s="14" t="s">
        <v>59</v>
      </c>
      <c r="I185" s="15"/>
      <c r="J185" s="15"/>
      <c r="K185" s="15"/>
      <c r="L185" s="15"/>
      <c r="M185" s="15"/>
      <c r="N185" s="15"/>
      <c r="O185" s="15"/>
      <c r="P185" s="15"/>
      <c r="Q185" s="15"/>
      <c r="R185" s="15"/>
      <c r="S185" s="15"/>
      <c r="T185" s="15"/>
      <c r="U185" s="14" t="str">
        <f t="shared" si="11"/>
        <v/>
      </c>
    </row>
    <row r="186" spans="1:21" ht="29" x14ac:dyDescent="0.35">
      <c r="A186" s="14">
        <v>10</v>
      </c>
      <c r="B186" s="14" t="s">
        <v>780</v>
      </c>
      <c r="C186" s="14" t="s">
        <v>781</v>
      </c>
      <c r="D186" s="14" t="s">
        <v>782</v>
      </c>
      <c r="E186" s="14" t="s">
        <v>690</v>
      </c>
      <c r="F186" s="14" t="s">
        <v>167</v>
      </c>
      <c r="G186" s="14" t="s">
        <v>691</v>
      </c>
      <c r="H186" s="14" t="s">
        <v>59</v>
      </c>
      <c r="I186" s="15"/>
      <c r="J186" s="15"/>
      <c r="K186" s="15"/>
      <c r="L186" s="15"/>
      <c r="M186" s="15"/>
      <c r="N186" s="15"/>
      <c r="O186" s="15"/>
      <c r="P186" s="15"/>
      <c r="Q186" s="15"/>
      <c r="R186" s="15"/>
      <c r="S186" s="15"/>
      <c r="T186" s="15"/>
      <c r="U186" s="14" t="str">
        <f t="shared" si="11"/>
        <v/>
      </c>
    </row>
    <row r="187" spans="1:21" ht="29" x14ac:dyDescent="0.35">
      <c r="A187" s="14">
        <v>11</v>
      </c>
      <c r="B187" s="14" t="s">
        <v>783</v>
      </c>
      <c r="C187" s="14" t="s">
        <v>784</v>
      </c>
      <c r="D187" s="14" t="s">
        <v>741</v>
      </c>
      <c r="E187" s="14" t="s">
        <v>69</v>
      </c>
      <c r="F187" s="14" t="s">
        <v>284</v>
      </c>
      <c r="G187" s="14" t="s">
        <v>691</v>
      </c>
      <c r="H187" s="14" t="s">
        <v>76</v>
      </c>
      <c r="I187" s="15"/>
      <c r="J187" s="15"/>
      <c r="K187" s="15"/>
      <c r="L187" s="15"/>
      <c r="M187" s="15"/>
      <c r="N187" s="15"/>
      <c r="O187" s="15"/>
      <c r="P187" s="15"/>
      <c r="Q187" s="15"/>
      <c r="R187" s="15"/>
      <c r="S187" s="15"/>
      <c r="T187" s="15"/>
      <c r="U187" s="14" t="str">
        <f t="shared" si="11"/>
        <v/>
      </c>
    </row>
    <row r="188" spans="1:21" ht="29" x14ac:dyDescent="0.35">
      <c r="A188" s="14">
        <v>12</v>
      </c>
      <c r="B188" s="14" t="s">
        <v>712</v>
      </c>
      <c r="C188" s="14" t="s">
        <v>785</v>
      </c>
      <c r="D188" s="14" t="s">
        <v>786</v>
      </c>
      <c r="E188" s="14" t="s">
        <v>690</v>
      </c>
      <c r="F188" s="14" t="s">
        <v>167</v>
      </c>
      <c r="G188" s="14" t="s">
        <v>691</v>
      </c>
      <c r="H188" s="14" t="s">
        <v>59</v>
      </c>
      <c r="I188" s="15"/>
      <c r="J188" s="15"/>
      <c r="K188" s="15"/>
      <c r="L188" s="15"/>
      <c r="M188" s="15"/>
      <c r="N188" s="15"/>
      <c r="O188" s="15"/>
      <c r="P188" s="15"/>
      <c r="Q188" s="15"/>
      <c r="R188" s="15"/>
      <c r="S188" s="15"/>
      <c r="T188" s="15"/>
      <c r="U188" s="14" t="str">
        <f t="shared" si="11"/>
        <v/>
      </c>
    </row>
    <row r="191" spans="1:21" ht="22" customHeight="1" x14ac:dyDescent="0.35">
      <c r="A191" s="26" t="s">
        <v>796</v>
      </c>
      <c r="B191" s="23"/>
      <c r="C191" s="23"/>
      <c r="D191" s="23"/>
      <c r="E191" s="23"/>
      <c r="F191" s="23"/>
      <c r="G191" s="23"/>
      <c r="H191" s="23"/>
      <c r="I191" s="23"/>
      <c r="J191" s="23"/>
      <c r="K191" s="23"/>
      <c r="L191" s="23"/>
      <c r="M191" s="23"/>
      <c r="N191" s="23"/>
      <c r="O191" s="23"/>
      <c r="P191" s="23"/>
      <c r="Q191" s="23"/>
      <c r="R191" s="23"/>
      <c r="S191" s="23"/>
      <c r="T191" s="23"/>
      <c r="U191" s="23"/>
    </row>
    <row r="192" spans="1:21" x14ac:dyDescent="0.35">
      <c r="A192" t="s">
        <v>31</v>
      </c>
      <c r="B192" t="s">
        <v>28</v>
      </c>
      <c r="C192" t="s">
        <v>32</v>
      </c>
      <c r="E192" t="s">
        <v>33</v>
      </c>
    </row>
    <row r="193" spans="1:21" ht="29" x14ac:dyDescent="0.35">
      <c r="A193" s="11" t="s">
        <v>34</v>
      </c>
      <c r="B193" s="11" t="s">
        <v>35</v>
      </c>
      <c r="C193" s="11" t="s">
        <v>36</v>
      </c>
      <c r="D193" s="11" t="s">
        <v>37</v>
      </c>
      <c r="E193" s="11" t="s">
        <v>38</v>
      </c>
      <c r="F193" s="11" t="s">
        <v>39</v>
      </c>
      <c r="G193" s="11" t="s">
        <v>40</v>
      </c>
      <c r="H193" s="11" t="s">
        <v>41</v>
      </c>
      <c r="I193" s="11" t="s">
        <v>42</v>
      </c>
      <c r="J193" s="11" t="s">
        <v>43</v>
      </c>
      <c r="K193" s="11" t="s">
        <v>44</v>
      </c>
      <c r="L193" s="11" t="s">
        <v>45</v>
      </c>
      <c r="M193" s="11" t="s">
        <v>46</v>
      </c>
      <c r="N193" s="11" t="s">
        <v>47</v>
      </c>
      <c r="O193" s="11" t="s">
        <v>48</v>
      </c>
      <c r="P193" s="11" t="s">
        <v>4</v>
      </c>
      <c r="Q193" s="11" t="s">
        <v>49</v>
      </c>
      <c r="R193" s="11" t="s">
        <v>50</v>
      </c>
      <c r="S193" s="11" t="s">
        <v>51</v>
      </c>
      <c r="T193" s="11" t="s">
        <v>52</v>
      </c>
      <c r="U193" s="11" t="s">
        <v>10</v>
      </c>
    </row>
    <row r="194" spans="1:21" ht="29" x14ac:dyDescent="0.35">
      <c r="A194" s="14">
        <v>1</v>
      </c>
      <c r="B194" s="14" t="s">
        <v>755</v>
      </c>
      <c r="C194" s="14" t="s">
        <v>756</v>
      </c>
      <c r="D194" s="14" t="s">
        <v>757</v>
      </c>
      <c r="E194" s="14" t="s">
        <v>690</v>
      </c>
      <c r="F194" s="14" t="s">
        <v>167</v>
      </c>
      <c r="G194" s="14" t="s">
        <v>691</v>
      </c>
      <c r="H194" s="14" t="s">
        <v>59</v>
      </c>
      <c r="I194" s="15"/>
      <c r="J194" s="15"/>
      <c r="K194" s="15"/>
      <c r="L194" s="15"/>
      <c r="M194" s="15"/>
      <c r="N194" s="15"/>
      <c r="O194" s="15"/>
      <c r="P194" s="15"/>
      <c r="Q194" s="15"/>
      <c r="R194" s="15"/>
      <c r="S194" s="15"/>
      <c r="T194" s="15"/>
      <c r="U194" s="14" t="str">
        <f t="shared" ref="U194:U205" si="12">IF(I194="","",IF(I194="NA","Grey",IF(I194=2,"Green",IF(I194=1,"Amber","Red"))))</f>
        <v/>
      </c>
    </row>
    <row r="195" spans="1:21" ht="29" x14ac:dyDescent="0.35">
      <c r="A195" s="14">
        <v>2</v>
      </c>
      <c r="B195" s="14" t="s">
        <v>758</v>
      </c>
      <c r="C195" s="14" t="s">
        <v>759</v>
      </c>
      <c r="D195" s="14" t="s">
        <v>760</v>
      </c>
      <c r="E195" s="14" t="s">
        <v>69</v>
      </c>
      <c r="F195" s="14" t="s">
        <v>284</v>
      </c>
      <c r="G195" s="14" t="s">
        <v>691</v>
      </c>
      <c r="H195" s="14" t="s">
        <v>76</v>
      </c>
      <c r="I195" s="15"/>
      <c r="J195" s="15"/>
      <c r="K195" s="15"/>
      <c r="L195" s="15"/>
      <c r="M195" s="15"/>
      <c r="N195" s="15"/>
      <c r="O195" s="15"/>
      <c r="P195" s="15"/>
      <c r="Q195" s="15"/>
      <c r="R195" s="15"/>
      <c r="S195" s="15"/>
      <c r="T195" s="15"/>
      <c r="U195" s="14" t="str">
        <f t="shared" si="12"/>
        <v/>
      </c>
    </row>
    <row r="196" spans="1:21" ht="29" x14ac:dyDescent="0.35">
      <c r="A196" s="14">
        <v>3</v>
      </c>
      <c r="B196" s="14" t="s">
        <v>761</v>
      </c>
      <c r="C196" s="14" t="s">
        <v>762</v>
      </c>
      <c r="D196" s="14" t="s">
        <v>763</v>
      </c>
      <c r="E196" s="14" t="s">
        <v>690</v>
      </c>
      <c r="F196" s="14" t="s">
        <v>167</v>
      </c>
      <c r="G196" s="14" t="s">
        <v>691</v>
      </c>
      <c r="H196" s="14" t="s">
        <v>59</v>
      </c>
      <c r="I196" s="15"/>
      <c r="J196" s="15"/>
      <c r="K196" s="15"/>
      <c r="L196" s="15"/>
      <c r="M196" s="15"/>
      <c r="N196" s="15"/>
      <c r="O196" s="15"/>
      <c r="P196" s="15"/>
      <c r="Q196" s="15"/>
      <c r="R196" s="15"/>
      <c r="S196" s="15"/>
      <c r="T196" s="15"/>
      <c r="U196" s="14" t="str">
        <f t="shared" si="12"/>
        <v/>
      </c>
    </row>
    <row r="197" spans="1:21" ht="29" x14ac:dyDescent="0.35">
      <c r="A197" s="14">
        <v>4</v>
      </c>
      <c r="B197" s="14" t="s">
        <v>764</v>
      </c>
      <c r="C197" s="14" t="s">
        <v>765</v>
      </c>
      <c r="D197" s="14" t="s">
        <v>70</v>
      </c>
      <c r="E197" s="14" t="s">
        <v>690</v>
      </c>
      <c r="F197" s="14" t="s">
        <v>167</v>
      </c>
      <c r="G197" s="14" t="s">
        <v>691</v>
      </c>
      <c r="H197" s="14" t="s">
        <v>59</v>
      </c>
      <c r="I197" s="15"/>
      <c r="J197" s="15"/>
      <c r="K197" s="15"/>
      <c r="L197" s="15"/>
      <c r="M197" s="15"/>
      <c r="N197" s="15"/>
      <c r="O197" s="15"/>
      <c r="P197" s="15"/>
      <c r="Q197" s="15"/>
      <c r="R197" s="15"/>
      <c r="S197" s="15"/>
      <c r="T197" s="15"/>
      <c r="U197" s="14" t="str">
        <f t="shared" si="12"/>
        <v/>
      </c>
    </row>
    <row r="198" spans="1:21" ht="29" x14ac:dyDescent="0.35">
      <c r="A198" s="14">
        <v>5</v>
      </c>
      <c r="B198" s="14" t="s">
        <v>450</v>
      </c>
      <c r="C198" s="14" t="s">
        <v>766</v>
      </c>
      <c r="D198" s="14" t="s">
        <v>767</v>
      </c>
      <c r="E198" s="14" t="s">
        <v>690</v>
      </c>
      <c r="F198" s="14" t="s">
        <v>167</v>
      </c>
      <c r="G198" s="14" t="s">
        <v>691</v>
      </c>
      <c r="H198" s="14" t="s">
        <v>59</v>
      </c>
      <c r="I198" s="15"/>
      <c r="J198" s="15"/>
      <c r="K198" s="15"/>
      <c r="L198" s="15"/>
      <c r="M198" s="15"/>
      <c r="N198" s="15"/>
      <c r="O198" s="15"/>
      <c r="P198" s="15"/>
      <c r="Q198" s="15"/>
      <c r="R198" s="15"/>
      <c r="S198" s="15"/>
      <c r="T198" s="15"/>
      <c r="U198" s="14" t="str">
        <f t="shared" si="12"/>
        <v/>
      </c>
    </row>
    <row r="199" spans="1:21" ht="29" x14ac:dyDescent="0.35">
      <c r="A199" s="14">
        <v>6</v>
      </c>
      <c r="B199" s="14" t="s">
        <v>768</v>
      </c>
      <c r="C199" s="14" t="s">
        <v>769</v>
      </c>
      <c r="D199" s="14" t="s">
        <v>770</v>
      </c>
      <c r="E199" s="14" t="s">
        <v>690</v>
      </c>
      <c r="F199" s="14" t="s">
        <v>167</v>
      </c>
      <c r="G199" s="14" t="s">
        <v>691</v>
      </c>
      <c r="H199" s="14" t="s">
        <v>59</v>
      </c>
      <c r="I199" s="15"/>
      <c r="J199" s="15"/>
      <c r="K199" s="15"/>
      <c r="L199" s="15"/>
      <c r="M199" s="15"/>
      <c r="N199" s="15"/>
      <c r="O199" s="15"/>
      <c r="P199" s="15"/>
      <c r="Q199" s="15"/>
      <c r="R199" s="15"/>
      <c r="S199" s="15"/>
      <c r="T199" s="15"/>
      <c r="U199" s="14" t="str">
        <f t="shared" si="12"/>
        <v/>
      </c>
    </row>
    <row r="200" spans="1:21" ht="29" x14ac:dyDescent="0.35">
      <c r="A200" s="14">
        <v>7</v>
      </c>
      <c r="B200" s="14" t="s">
        <v>708</v>
      </c>
      <c r="C200" s="14" t="s">
        <v>771</v>
      </c>
      <c r="D200" s="14" t="s">
        <v>772</v>
      </c>
      <c r="E200" s="14" t="s">
        <v>69</v>
      </c>
      <c r="F200" s="14" t="s">
        <v>773</v>
      </c>
      <c r="G200" s="14" t="s">
        <v>691</v>
      </c>
      <c r="H200" s="14" t="s">
        <v>59</v>
      </c>
      <c r="I200" s="15"/>
      <c r="J200" s="15"/>
      <c r="K200" s="15"/>
      <c r="L200" s="15"/>
      <c r="M200" s="15"/>
      <c r="N200" s="15"/>
      <c r="O200" s="15"/>
      <c r="P200" s="15"/>
      <c r="Q200" s="15"/>
      <c r="R200" s="15"/>
      <c r="S200" s="15"/>
      <c r="T200" s="15"/>
      <c r="U200" s="14" t="str">
        <f t="shared" si="12"/>
        <v/>
      </c>
    </row>
    <row r="201" spans="1:21" ht="29" x14ac:dyDescent="0.35">
      <c r="A201" s="14">
        <v>8</v>
      </c>
      <c r="B201" s="14" t="s">
        <v>774</v>
      </c>
      <c r="C201" s="14" t="s">
        <v>775</v>
      </c>
      <c r="D201" s="14" t="s">
        <v>776</v>
      </c>
      <c r="E201" s="14" t="s">
        <v>69</v>
      </c>
      <c r="F201" s="14" t="s">
        <v>284</v>
      </c>
      <c r="G201" s="14" t="s">
        <v>691</v>
      </c>
      <c r="H201" s="14" t="s">
        <v>76</v>
      </c>
      <c r="I201" s="15"/>
      <c r="J201" s="15"/>
      <c r="K201" s="15"/>
      <c r="L201" s="15"/>
      <c r="M201" s="15"/>
      <c r="N201" s="15"/>
      <c r="O201" s="15"/>
      <c r="P201" s="15"/>
      <c r="Q201" s="15"/>
      <c r="R201" s="15"/>
      <c r="S201" s="15"/>
      <c r="T201" s="15"/>
      <c r="U201" s="14" t="str">
        <f t="shared" si="12"/>
        <v/>
      </c>
    </row>
    <row r="202" spans="1:21" ht="29" x14ac:dyDescent="0.35">
      <c r="A202" s="14">
        <v>9</v>
      </c>
      <c r="B202" s="14" t="s">
        <v>777</v>
      </c>
      <c r="C202" s="14" t="s">
        <v>778</v>
      </c>
      <c r="D202" s="14" t="s">
        <v>779</v>
      </c>
      <c r="E202" s="14" t="s">
        <v>69</v>
      </c>
      <c r="F202" s="14" t="s">
        <v>95</v>
      </c>
      <c r="G202" s="14" t="s">
        <v>691</v>
      </c>
      <c r="H202" s="14" t="s">
        <v>59</v>
      </c>
      <c r="I202" s="15"/>
      <c r="J202" s="15"/>
      <c r="K202" s="15"/>
      <c r="L202" s="15"/>
      <c r="M202" s="15"/>
      <c r="N202" s="15"/>
      <c r="O202" s="15"/>
      <c r="P202" s="15"/>
      <c r="Q202" s="15"/>
      <c r="R202" s="15"/>
      <c r="S202" s="15"/>
      <c r="T202" s="15"/>
      <c r="U202" s="14" t="str">
        <f t="shared" si="12"/>
        <v/>
      </c>
    </row>
    <row r="203" spans="1:21" ht="29" x14ac:dyDescent="0.35">
      <c r="A203" s="14">
        <v>10</v>
      </c>
      <c r="B203" s="14" t="s">
        <v>780</v>
      </c>
      <c r="C203" s="14" t="s">
        <v>781</v>
      </c>
      <c r="D203" s="14" t="s">
        <v>782</v>
      </c>
      <c r="E203" s="14" t="s">
        <v>690</v>
      </c>
      <c r="F203" s="14" t="s">
        <v>167</v>
      </c>
      <c r="G203" s="14" t="s">
        <v>691</v>
      </c>
      <c r="H203" s="14" t="s">
        <v>59</v>
      </c>
      <c r="I203" s="15"/>
      <c r="J203" s="15"/>
      <c r="K203" s="15"/>
      <c r="L203" s="15"/>
      <c r="M203" s="15"/>
      <c r="N203" s="15"/>
      <c r="O203" s="15"/>
      <c r="P203" s="15"/>
      <c r="Q203" s="15"/>
      <c r="R203" s="15"/>
      <c r="S203" s="15"/>
      <c r="T203" s="15"/>
      <c r="U203" s="14" t="str">
        <f t="shared" si="12"/>
        <v/>
      </c>
    </row>
    <row r="204" spans="1:21" ht="29" x14ac:dyDescent="0.35">
      <c r="A204" s="14">
        <v>11</v>
      </c>
      <c r="B204" s="14" t="s">
        <v>783</v>
      </c>
      <c r="C204" s="14" t="s">
        <v>784</v>
      </c>
      <c r="D204" s="14" t="s">
        <v>741</v>
      </c>
      <c r="E204" s="14" t="s">
        <v>69</v>
      </c>
      <c r="F204" s="14" t="s">
        <v>284</v>
      </c>
      <c r="G204" s="14" t="s">
        <v>691</v>
      </c>
      <c r="H204" s="14" t="s">
        <v>76</v>
      </c>
      <c r="I204" s="15"/>
      <c r="J204" s="15"/>
      <c r="K204" s="15"/>
      <c r="L204" s="15"/>
      <c r="M204" s="15"/>
      <c r="N204" s="15"/>
      <c r="O204" s="15"/>
      <c r="P204" s="15"/>
      <c r="Q204" s="15"/>
      <c r="R204" s="15"/>
      <c r="S204" s="15"/>
      <c r="T204" s="15"/>
      <c r="U204" s="14" t="str">
        <f t="shared" si="12"/>
        <v/>
      </c>
    </row>
    <row r="205" spans="1:21" ht="29" x14ac:dyDescent="0.35">
      <c r="A205" s="14">
        <v>12</v>
      </c>
      <c r="B205" s="14" t="s">
        <v>712</v>
      </c>
      <c r="C205" s="14" t="s">
        <v>785</v>
      </c>
      <c r="D205" s="14" t="s">
        <v>786</v>
      </c>
      <c r="E205" s="14" t="s">
        <v>690</v>
      </c>
      <c r="F205" s="14" t="s">
        <v>167</v>
      </c>
      <c r="G205" s="14" t="s">
        <v>691</v>
      </c>
      <c r="H205" s="14" t="s">
        <v>59</v>
      </c>
      <c r="I205" s="15"/>
      <c r="J205" s="15"/>
      <c r="K205" s="15"/>
      <c r="L205" s="15"/>
      <c r="M205" s="15"/>
      <c r="N205" s="15"/>
      <c r="O205" s="15"/>
      <c r="P205" s="15"/>
      <c r="Q205" s="15"/>
      <c r="R205" s="15"/>
      <c r="S205" s="15"/>
      <c r="T205" s="15"/>
      <c r="U205" s="14" t="str">
        <f t="shared" si="12"/>
        <v/>
      </c>
    </row>
    <row r="208" spans="1:21" ht="22" customHeight="1" x14ac:dyDescent="0.35">
      <c r="A208" s="26" t="s">
        <v>797</v>
      </c>
      <c r="B208" s="23"/>
      <c r="C208" s="23"/>
      <c r="D208" s="23"/>
      <c r="E208" s="23"/>
      <c r="F208" s="23"/>
      <c r="G208" s="23"/>
      <c r="H208" s="23"/>
      <c r="I208" s="23"/>
      <c r="J208" s="23"/>
      <c r="K208" s="23"/>
      <c r="L208" s="23"/>
      <c r="M208" s="23"/>
      <c r="N208" s="23"/>
      <c r="O208" s="23"/>
      <c r="P208" s="23"/>
      <c r="Q208" s="23"/>
      <c r="R208" s="23"/>
      <c r="S208" s="23"/>
      <c r="T208" s="23"/>
      <c r="U208" s="23"/>
    </row>
    <row r="209" spans="1:21" x14ac:dyDescent="0.35">
      <c r="A209" t="s">
        <v>31</v>
      </c>
      <c r="B209" t="s">
        <v>29</v>
      </c>
      <c r="C209" t="s">
        <v>32</v>
      </c>
      <c r="E209" t="s">
        <v>33</v>
      </c>
    </row>
    <row r="210" spans="1:21" ht="29" x14ac:dyDescent="0.35">
      <c r="A210" s="11" t="s">
        <v>34</v>
      </c>
      <c r="B210" s="11" t="s">
        <v>35</v>
      </c>
      <c r="C210" s="11" t="s">
        <v>36</v>
      </c>
      <c r="D210" s="11" t="s">
        <v>37</v>
      </c>
      <c r="E210" s="11" t="s">
        <v>38</v>
      </c>
      <c r="F210" s="11" t="s">
        <v>39</v>
      </c>
      <c r="G210" s="11" t="s">
        <v>40</v>
      </c>
      <c r="H210" s="11" t="s">
        <v>41</v>
      </c>
      <c r="I210" s="11" t="s">
        <v>42</v>
      </c>
      <c r="J210" s="11" t="s">
        <v>43</v>
      </c>
      <c r="K210" s="11" t="s">
        <v>44</v>
      </c>
      <c r="L210" s="11" t="s">
        <v>45</v>
      </c>
      <c r="M210" s="11" t="s">
        <v>46</v>
      </c>
      <c r="N210" s="11" t="s">
        <v>47</v>
      </c>
      <c r="O210" s="11" t="s">
        <v>48</v>
      </c>
      <c r="P210" s="11" t="s">
        <v>4</v>
      </c>
      <c r="Q210" s="11" t="s">
        <v>49</v>
      </c>
      <c r="R210" s="11" t="s">
        <v>50</v>
      </c>
      <c r="S210" s="11" t="s">
        <v>51</v>
      </c>
      <c r="T210" s="11" t="s">
        <v>52</v>
      </c>
      <c r="U210" s="11" t="s">
        <v>10</v>
      </c>
    </row>
    <row r="211" spans="1:21" ht="29" x14ac:dyDescent="0.35">
      <c r="A211" s="14">
        <v>1</v>
      </c>
      <c r="B211" s="14" t="s">
        <v>755</v>
      </c>
      <c r="C211" s="14" t="s">
        <v>756</v>
      </c>
      <c r="D211" s="14" t="s">
        <v>757</v>
      </c>
      <c r="E211" s="14" t="s">
        <v>690</v>
      </c>
      <c r="F211" s="14" t="s">
        <v>167</v>
      </c>
      <c r="G211" s="14" t="s">
        <v>691</v>
      </c>
      <c r="H211" s="14" t="s">
        <v>59</v>
      </c>
      <c r="I211" s="15"/>
      <c r="J211" s="15"/>
      <c r="K211" s="15"/>
      <c r="L211" s="15"/>
      <c r="M211" s="15"/>
      <c r="N211" s="15"/>
      <c r="O211" s="15"/>
      <c r="P211" s="15"/>
      <c r="Q211" s="15"/>
      <c r="R211" s="15"/>
      <c r="S211" s="15"/>
      <c r="T211" s="15"/>
      <c r="U211" s="14" t="str">
        <f t="shared" ref="U211:U222" si="13">IF(I211="","",IF(I211="NA","Grey",IF(I211=2,"Green",IF(I211=1,"Amber","Red"))))</f>
        <v/>
      </c>
    </row>
    <row r="212" spans="1:21" ht="29" x14ac:dyDescent="0.35">
      <c r="A212" s="14">
        <v>2</v>
      </c>
      <c r="B212" s="14" t="s">
        <v>758</v>
      </c>
      <c r="C212" s="14" t="s">
        <v>759</v>
      </c>
      <c r="D212" s="14" t="s">
        <v>760</v>
      </c>
      <c r="E212" s="14" t="s">
        <v>69</v>
      </c>
      <c r="F212" s="14" t="s">
        <v>284</v>
      </c>
      <c r="G212" s="14" t="s">
        <v>691</v>
      </c>
      <c r="H212" s="14" t="s">
        <v>76</v>
      </c>
      <c r="I212" s="15"/>
      <c r="J212" s="15"/>
      <c r="K212" s="15"/>
      <c r="L212" s="15"/>
      <c r="M212" s="15"/>
      <c r="N212" s="15"/>
      <c r="O212" s="15"/>
      <c r="P212" s="15"/>
      <c r="Q212" s="15"/>
      <c r="R212" s="15"/>
      <c r="S212" s="15"/>
      <c r="T212" s="15"/>
      <c r="U212" s="14" t="str">
        <f t="shared" si="13"/>
        <v/>
      </c>
    </row>
    <row r="213" spans="1:21" ht="29" x14ac:dyDescent="0.35">
      <c r="A213" s="14">
        <v>3</v>
      </c>
      <c r="B213" s="14" t="s">
        <v>761</v>
      </c>
      <c r="C213" s="14" t="s">
        <v>762</v>
      </c>
      <c r="D213" s="14" t="s">
        <v>763</v>
      </c>
      <c r="E213" s="14" t="s">
        <v>690</v>
      </c>
      <c r="F213" s="14" t="s">
        <v>167</v>
      </c>
      <c r="G213" s="14" t="s">
        <v>691</v>
      </c>
      <c r="H213" s="14" t="s">
        <v>59</v>
      </c>
      <c r="I213" s="15"/>
      <c r="J213" s="15"/>
      <c r="K213" s="15"/>
      <c r="L213" s="15"/>
      <c r="M213" s="15"/>
      <c r="N213" s="15"/>
      <c r="O213" s="15"/>
      <c r="P213" s="15"/>
      <c r="Q213" s="15"/>
      <c r="R213" s="15"/>
      <c r="S213" s="15"/>
      <c r="T213" s="15"/>
      <c r="U213" s="14" t="str">
        <f t="shared" si="13"/>
        <v/>
      </c>
    </row>
    <row r="214" spans="1:21" ht="29" x14ac:dyDescent="0.35">
      <c r="A214" s="14">
        <v>4</v>
      </c>
      <c r="B214" s="14" t="s">
        <v>764</v>
      </c>
      <c r="C214" s="14" t="s">
        <v>765</v>
      </c>
      <c r="D214" s="14" t="s">
        <v>70</v>
      </c>
      <c r="E214" s="14" t="s">
        <v>690</v>
      </c>
      <c r="F214" s="14" t="s">
        <v>167</v>
      </c>
      <c r="G214" s="14" t="s">
        <v>691</v>
      </c>
      <c r="H214" s="14" t="s">
        <v>59</v>
      </c>
      <c r="I214" s="15"/>
      <c r="J214" s="15"/>
      <c r="K214" s="15"/>
      <c r="L214" s="15"/>
      <c r="M214" s="15"/>
      <c r="N214" s="15"/>
      <c r="O214" s="15"/>
      <c r="P214" s="15"/>
      <c r="Q214" s="15"/>
      <c r="R214" s="15"/>
      <c r="S214" s="15"/>
      <c r="T214" s="15"/>
      <c r="U214" s="14" t="str">
        <f t="shared" si="13"/>
        <v/>
      </c>
    </row>
    <row r="215" spans="1:21" ht="29" x14ac:dyDescent="0.35">
      <c r="A215" s="14">
        <v>5</v>
      </c>
      <c r="B215" s="14" t="s">
        <v>450</v>
      </c>
      <c r="C215" s="14" t="s">
        <v>766</v>
      </c>
      <c r="D215" s="14" t="s">
        <v>767</v>
      </c>
      <c r="E215" s="14" t="s">
        <v>690</v>
      </c>
      <c r="F215" s="14" t="s">
        <v>167</v>
      </c>
      <c r="G215" s="14" t="s">
        <v>691</v>
      </c>
      <c r="H215" s="14" t="s">
        <v>59</v>
      </c>
      <c r="I215" s="15"/>
      <c r="J215" s="15"/>
      <c r="K215" s="15"/>
      <c r="L215" s="15"/>
      <c r="M215" s="15"/>
      <c r="N215" s="15"/>
      <c r="O215" s="15"/>
      <c r="P215" s="15"/>
      <c r="Q215" s="15"/>
      <c r="R215" s="15"/>
      <c r="S215" s="15"/>
      <c r="T215" s="15"/>
      <c r="U215" s="14" t="str">
        <f t="shared" si="13"/>
        <v/>
      </c>
    </row>
    <row r="216" spans="1:21" ht="29" x14ac:dyDescent="0.35">
      <c r="A216" s="14">
        <v>6</v>
      </c>
      <c r="B216" s="14" t="s">
        <v>768</v>
      </c>
      <c r="C216" s="14" t="s">
        <v>769</v>
      </c>
      <c r="D216" s="14" t="s">
        <v>770</v>
      </c>
      <c r="E216" s="14" t="s">
        <v>690</v>
      </c>
      <c r="F216" s="14" t="s">
        <v>167</v>
      </c>
      <c r="G216" s="14" t="s">
        <v>691</v>
      </c>
      <c r="H216" s="14" t="s">
        <v>59</v>
      </c>
      <c r="I216" s="15"/>
      <c r="J216" s="15"/>
      <c r="K216" s="15"/>
      <c r="L216" s="15"/>
      <c r="M216" s="15"/>
      <c r="N216" s="15"/>
      <c r="O216" s="15"/>
      <c r="P216" s="15"/>
      <c r="Q216" s="15"/>
      <c r="R216" s="15"/>
      <c r="S216" s="15"/>
      <c r="T216" s="15"/>
      <c r="U216" s="14" t="str">
        <f t="shared" si="13"/>
        <v/>
      </c>
    </row>
    <row r="217" spans="1:21" ht="29" x14ac:dyDescent="0.35">
      <c r="A217" s="14">
        <v>7</v>
      </c>
      <c r="B217" s="14" t="s">
        <v>708</v>
      </c>
      <c r="C217" s="14" t="s">
        <v>771</v>
      </c>
      <c r="D217" s="14" t="s">
        <v>772</v>
      </c>
      <c r="E217" s="14" t="s">
        <v>69</v>
      </c>
      <c r="F217" s="14" t="s">
        <v>773</v>
      </c>
      <c r="G217" s="14" t="s">
        <v>691</v>
      </c>
      <c r="H217" s="14" t="s">
        <v>59</v>
      </c>
      <c r="I217" s="15"/>
      <c r="J217" s="15"/>
      <c r="K217" s="15"/>
      <c r="L217" s="15"/>
      <c r="M217" s="15"/>
      <c r="N217" s="15"/>
      <c r="O217" s="15"/>
      <c r="P217" s="15"/>
      <c r="Q217" s="15"/>
      <c r="R217" s="15"/>
      <c r="S217" s="15"/>
      <c r="T217" s="15"/>
      <c r="U217" s="14" t="str">
        <f t="shared" si="13"/>
        <v/>
      </c>
    </row>
    <row r="218" spans="1:21" ht="29" x14ac:dyDescent="0.35">
      <c r="A218" s="14">
        <v>8</v>
      </c>
      <c r="B218" s="14" t="s">
        <v>774</v>
      </c>
      <c r="C218" s="14" t="s">
        <v>775</v>
      </c>
      <c r="D218" s="14" t="s">
        <v>776</v>
      </c>
      <c r="E218" s="14" t="s">
        <v>69</v>
      </c>
      <c r="F218" s="14" t="s">
        <v>284</v>
      </c>
      <c r="G218" s="14" t="s">
        <v>691</v>
      </c>
      <c r="H218" s="14" t="s">
        <v>76</v>
      </c>
      <c r="I218" s="15"/>
      <c r="J218" s="15"/>
      <c r="K218" s="15"/>
      <c r="L218" s="15"/>
      <c r="M218" s="15"/>
      <c r="N218" s="15"/>
      <c r="O218" s="15"/>
      <c r="P218" s="15"/>
      <c r="Q218" s="15"/>
      <c r="R218" s="15"/>
      <c r="S218" s="15"/>
      <c r="T218" s="15"/>
      <c r="U218" s="14" t="str">
        <f t="shared" si="13"/>
        <v/>
      </c>
    </row>
    <row r="219" spans="1:21" ht="29" x14ac:dyDescent="0.35">
      <c r="A219" s="14">
        <v>9</v>
      </c>
      <c r="B219" s="14" t="s">
        <v>777</v>
      </c>
      <c r="C219" s="14" t="s">
        <v>778</v>
      </c>
      <c r="D219" s="14" t="s">
        <v>779</v>
      </c>
      <c r="E219" s="14" t="s">
        <v>69</v>
      </c>
      <c r="F219" s="14" t="s">
        <v>95</v>
      </c>
      <c r="G219" s="14" t="s">
        <v>691</v>
      </c>
      <c r="H219" s="14" t="s">
        <v>59</v>
      </c>
      <c r="I219" s="15"/>
      <c r="J219" s="15"/>
      <c r="K219" s="15"/>
      <c r="L219" s="15"/>
      <c r="M219" s="15"/>
      <c r="N219" s="15"/>
      <c r="O219" s="15"/>
      <c r="P219" s="15"/>
      <c r="Q219" s="15"/>
      <c r="R219" s="15"/>
      <c r="S219" s="15"/>
      <c r="T219" s="15"/>
      <c r="U219" s="14" t="str">
        <f t="shared" si="13"/>
        <v/>
      </c>
    </row>
    <row r="220" spans="1:21" ht="29" x14ac:dyDescent="0.35">
      <c r="A220" s="14">
        <v>10</v>
      </c>
      <c r="B220" s="14" t="s">
        <v>780</v>
      </c>
      <c r="C220" s="14" t="s">
        <v>781</v>
      </c>
      <c r="D220" s="14" t="s">
        <v>782</v>
      </c>
      <c r="E220" s="14" t="s">
        <v>690</v>
      </c>
      <c r="F220" s="14" t="s">
        <v>167</v>
      </c>
      <c r="G220" s="14" t="s">
        <v>691</v>
      </c>
      <c r="H220" s="14" t="s">
        <v>59</v>
      </c>
      <c r="I220" s="15"/>
      <c r="J220" s="15"/>
      <c r="K220" s="15"/>
      <c r="L220" s="15"/>
      <c r="M220" s="15"/>
      <c r="N220" s="15"/>
      <c r="O220" s="15"/>
      <c r="P220" s="15"/>
      <c r="Q220" s="15"/>
      <c r="R220" s="15"/>
      <c r="S220" s="15"/>
      <c r="T220" s="15"/>
      <c r="U220" s="14" t="str">
        <f t="shared" si="13"/>
        <v/>
      </c>
    </row>
    <row r="221" spans="1:21" ht="29" x14ac:dyDescent="0.35">
      <c r="A221" s="14">
        <v>11</v>
      </c>
      <c r="B221" s="14" t="s">
        <v>783</v>
      </c>
      <c r="C221" s="14" t="s">
        <v>784</v>
      </c>
      <c r="D221" s="14" t="s">
        <v>741</v>
      </c>
      <c r="E221" s="14" t="s">
        <v>69</v>
      </c>
      <c r="F221" s="14" t="s">
        <v>284</v>
      </c>
      <c r="G221" s="14" t="s">
        <v>691</v>
      </c>
      <c r="H221" s="14" t="s">
        <v>76</v>
      </c>
      <c r="I221" s="15"/>
      <c r="J221" s="15"/>
      <c r="K221" s="15"/>
      <c r="L221" s="15"/>
      <c r="M221" s="15"/>
      <c r="N221" s="15"/>
      <c r="O221" s="15"/>
      <c r="P221" s="15"/>
      <c r="Q221" s="15"/>
      <c r="R221" s="15"/>
      <c r="S221" s="15"/>
      <c r="T221" s="15"/>
      <c r="U221" s="14" t="str">
        <f t="shared" si="13"/>
        <v/>
      </c>
    </row>
    <row r="222" spans="1:21" ht="29" x14ac:dyDescent="0.35">
      <c r="A222" s="14">
        <v>12</v>
      </c>
      <c r="B222" s="14" t="s">
        <v>712</v>
      </c>
      <c r="C222" s="14" t="s">
        <v>785</v>
      </c>
      <c r="D222" s="14" t="s">
        <v>786</v>
      </c>
      <c r="E222" s="14" t="s">
        <v>690</v>
      </c>
      <c r="F222" s="14" t="s">
        <v>167</v>
      </c>
      <c r="G222" s="14" t="s">
        <v>691</v>
      </c>
      <c r="H222" s="14" t="s">
        <v>59</v>
      </c>
      <c r="I222" s="15"/>
      <c r="J222" s="15"/>
      <c r="K222" s="15"/>
      <c r="L222" s="15"/>
      <c r="M222" s="15"/>
      <c r="N222" s="15"/>
      <c r="O222" s="15"/>
      <c r="P222" s="15"/>
      <c r="Q222" s="15"/>
      <c r="R222" s="15"/>
      <c r="S222" s="15"/>
      <c r="T222" s="15"/>
      <c r="U222" s="14" t="str">
        <f t="shared" si="13"/>
        <v/>
      </c>
    </row>
  </sheetData>
  <mergeCells count="14">
    <mergeCell ref="A89:U89"/>
    <mergeCell ref="A1:U1"/>
    <mergeCell ref="A106:U106"/>
    <mergeCell ref="A140:U140"/>
    <mergeCell ref="A157:U157"/>
    <mergeCell ref="A191:U191"/>
    <mergeCell ref="A174:U174"/>
    <mergeCell ref="A208:U208"/>
    <mergeCell ref="A123:U123"/>
    <mergeCell ref="A55:U55"/>
    <mergeCell ref="A38:U38"/>
    <mergeCell ref="A21:U21"/>
    <mergeCell ref="A2:U2"/>
    <mergeCell ref="A72:U72"/>
  </mergeCells>
  <dataValidations count="3">
    <dataValidation type="list" allowBlank="1" sqref="I24:I35 I211:I222 I194:I205 I177:I188 I160:I171 I143:I154 I126:I137 I109:I120 I92:I103 I75:I86 I58:I69 I41:I52" xr:uid="{00000000-0002-0000-1200-000000000000}">
      <formula1>"0,1,2,NA"</formula1>
    </dataValidation>
    <dataValidation type="list" allowBlank="1" sqref="H24:H35 H211:H222 H194:H205 H177:H188 H160:H171 H143:H154 H126:H137 H109:H120 H92:H103 H75:H86 H58:H69 H41:H52" xr:uid="{00000000-0002-0000-1200-000001000000}">
      <formula1>"Low,Medium,High,Critical"</formula1>
    </dataValidation>
    <dataValidation type="list" allowBlank="1" sqref="T24:T35 T211:T222 T194:T205 T177:T188 T160:T171 T143:T154 T126:T137 T109:T120 T92:T103 T75:T86 T58:T69 T41:T52" xr:uid="{00000000-0002-0000-1200-000002000000}">
      <formula1>"Not Started,In Progress,Complete,Closed,Escalated"</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198"/>
  <sheetViews>
    <sheetView workbookViewId="0">
      <pane ySplit="22" topLeftCell="A23" activePane="bottomLeft" state="frozen"/>
      <selection pane="bottomLeft"/>
    </sheetView>
  </sheetViews>
  <sheetFormatPr defaultRowHeight="14.5" x14ac:dyDescent="0.35"/>
  <cols>
    <col min="1" max="1" width="5" customWidth="1"/>
    <col min="2" max="2" width="20" customWidth="1"/>
    <col min="3" max="3" width="50" customWidth="1"/>
    <col min="4" max="4" width="38" customWidth="1"/>
    <col min="5" max="6" width="18" customWidth="1"/>
    <col min="7" max="7" width="34" customWidth="1"/>
    <col min="8" max="8" width="12" customWidth="1"/>
    <col min="9" max="9" width="14" customWidth="1"/>
    <col min="10" max="10" width="32" customWidth="1"/>
    <col min="11" max="11" width="34" customWidth="1"/>
    <col min="12" max="12" width="28" customWidth="1"/>
    <col min="13" max="13" width="26" customWidth="1"/>
    <col min="14" max="14" width="30" customWidth="1"/>
    <col min="15" max="15" width="20" customWidth="1"/>
    <col min="16" max="17" width="13" customWidth="1"/>
    <col min="18" max="18" width="18" customWidth="1"/>
    <col min="19" max="19" width="14" customWidth="1"/>
    <col min="20" max="20" width="16" customWidth="1"/>
    <col min="21" max="21" width="12" customWidth="1"/>
  </cols>
  <sheetData>
    <row r="1" spans="1:21" ht="28" customHeight="1" x14ac:dyDescent="0.35">
      <c r="A1" s="26" t="s">
        <v>798</v>
      </c>
      <c r="B1" s="23"/>
      <c r="C1" s="23"/>
      <c r="D1" s="23"/>
      <c r="E1" s="23"/>
      <c r="F1" s="23"/>
      <c r="G1" s="23"/>
      <c r="H1" s="23"/>
      <c r="I1" s="23"/>
      <c r="J1" s="23"/>
      <c r="K1" s="23"/>
      <c r="L1" s="23"/>
      <c r="M1" s="23"/>
      <c r="N1" s="23"/>
      <c r="O1" s="23"/>
      <c r="P1" s="23"/>
      <c r="Q1" s="23"/>
      <c r="R1" s="23"/>
      <c r="S1" s="23"/>
      <c r="T1" s="23"/>
      <c r="U1" s="23"/>
    </row>
    <row r="2" spans="1:21" x14ac:dyDescent="0.35">
      <c r="A2" s="27" t="s">
        <v>683</v>
      </c>
      <c r="B2" s="23"/>
      <c r="C2" s="23"/>
      <c r="D2" s="23"/>
      <c r="E2" s="23"/>
      <c r="F2" s="23"/>
      <c r="G2" s="23"/>
      <c r="H2" s="23"/>
      <c r="I2" s="23"/>
      <c r="J2" s="23"/>
      <c r="K2" s="23"/>
      <c r="L2" s="23"/>
      <c r="M2" s="23"/>
      <c r="N2" s="23"/>
      <c r="O2" s="23"/>
      <c r="P2" s="23"/>
      <c r="Q2" s="23"/>
      <c r="R2" s="23"/>
      <c r="S2" s="23"/>
      <c r="T2" s="23"/>
      <c r="U2" s="23"/>
    </row>
    <row r="4" spans="1:21" ht="29" x14ac:dyDescent="0.35">
      <c r="A4" s="11" t="s">
        <v>3</v>
      </c>
      <c r="B4" s="11" t="s">
        <v>4</v>
      </c>
      <c r="C4" s="11" t="s">
        <v>5</v>
      </c>
      <c r="D4" s="11" t="s">
        <v>6</v>
      </c>
      <c r="E4" s="11" t="s">
        <v>7</v>
      </c>
      <c r="F4" s="11" t="s">
        <v>8</v>
      </c>
      <c r="G4" s="11" t="s">
        <v>9</v>
      </c>
      <c r="H4" s="11" t="s">
        <v>10</v>
      </c>
      <c r="I4" s="11" t="s">
        <v>11</v>
      </c>
      <c r="J4" s="11" t="s">
        <v>12</v>
      </c>
      <c r="K4" s="11" t="s">
        <v>13</v>
      </c>
      <c r="L4" s="11" t="s">
        <v>14</v>
      </c>
      <c r="M4" s="11" t="s">
        <v>684</v>
      </c>
      <c r="N4" s="11" t="s">
        <v>685</v>
      </c>
    </row>
    <row r="5" spans="1:21" x14ac:dyDescent="0.35">
      <c r="A5" t="s">
        <v>18</v>
      </c>
      <c r="B5" s="12">
        <v>46050</v>
      </c>
      <c r="E5">
        <f>SUMIF(I24:I33,"&gt;=0",I24:I33)</f>
        <v>0</v>
      </c>
      <c r="F5">
        <f>COUNT(I24:I33)*2</f>
        <v>0</v>
      </c>
      <c r="G5" s="13" t="str">
        <f t="shared" ref="G5:G16" si="0">IF(F5=0,"",E5/F5)</f>
        <v/>
      </c>
      <c r="H5" t="str">
        <f t="shared" ref="H5:H16" si="1">IF(G5="","Not Started",IF(G5&gt;=0.9,"Green",IF(G5&gt;=0.75,"Amber","Red")))</f>
        <v>Not Started</v>
      </c>
      <c r="I5">
        <f>COUNTIFS(H24:H33,"Critical",I24:I33,"&lt;2")+COUNTIFS(H24:H33,"High",I24:I33,"&lt;2")</f>
        <v>0</v>
      </c>
      <c r="J5">
        <f>COUNTIF(T24:T33,"In Progress")+COUNTIF(T24:T33,"Not Started")</f>
        <v>0</v>
      </c>
      <c r="K5">
        <f ca="1">COUNTIFS(P24:P33,"&lt;"&amp;TODAY(),Q24:Q33,"")</f>
        <v>0</v>
      </c>
    </row>
    <row r="6" spans="1:21" x14ac:dyDescent="0.35">
      <c r="A6" t="s">
        <v>19</v>
      </c>
      <c r="B6" s="12">
        <v>46081</v>
      </c>
      <c r="E6">
        <f>SUMIF(I39:I48,"&gt;=0",I39:I48)</f>
        <v>0</v>
      </c>
      <c r="F6">
        <f>COUNT(I39:I48)*2</f>
        <v>0</v>
      </c>
      <c r="G6" s="13" t="str">
        <f t="shared" si="0"/>
        <v/>
      </c>
      <c r="H6" t="str">
        <f t="shared" si="1"/>
        <v>Not Started</v>
      </c>
      <c r="I6">
        <f>COUNTIFS(H39:H48,"Critical",I39:I48,"&lt;2")+COUNTIFS(H39:H48,"High",I39:I48,"&lt;2")</f>
        <v>0</v>
      </c>
      <c r="J6">
        <f>COUNTIF(T39:T48,"In Progress")+COUNTIF(T39:T48,"Not Started")</f>
        <v>0</v>
      </c>
      <c r="K6">
        <f ca="1">COUNTIFS(P39:P48,"&lt;"&amp;TODAY(),Q39:Q48,"")</f>
        <v>0</v>
      </c>
    </row>
    <row r="7" spans="1:21" x14ac:dyDescent="0.35">
      <c r="A7" t="s">
        <v>20</v>
      </c>
      <c r="B7" s="12">
        <v>46109</v>
      </c>
      <c r="E7">
        <f>SUMIF(I54:I63,"&gt;=0",I54:I63)</f>
        <v>0</v>
      </c>
      <c r="F7">
        <f>COUNT(I54:I63)*2</f>
        <v>0</v>
      </c>
      <c r="G7" s="13" t="str">
        <f t="shared" si="0"/>
        <v/>
      </c>
      <c r="H7" t="str">
        <f t="shared" si="1"/>
        <v>Not Started</v>
      </c>
      <c r="I7">
        <f>COUNTIFS(H54:H63,"Critical",I54:I63,"&lt;2")+COUNTIFS(H54:H63,"High",I54:I63,"&lt;2")</f>
        <v>0</v>
      </c>
      <c r="J7">
        <f>COUNTIF(T54:T63,"In Progress")+COUNTIF(T54:T63,"Not Started")</f>
        <v>0</v>
      </c>
      <c r="K7">
        <f ca="1">COUNTIFS(P54:P63,"&lt;"&amp;TODAY(),Q54:Q63,"")</f>
        <v>0</v>
      </c>
    </row>
    <row r="8" spans="1:21" x14ac:dyDescent="0.35">
      <c r="A8" t="s">
        <v>21</v>
      </c>
      <c r="B8" s="12">
        <v>46140</v>
      </c>
      <c r="E8">
        <f>SUMIF(I69:I78,"&gt;=0",I69:I78)</f>
        <v>0</v>
      </c>
      <c r="F8">
        <f>COUNT(I69:I78)*2</f>
        <v>0</v>
      </c>
      <c r="G8" s="13" t="str">
        <f t="shared" si="0"/>
        <v/>
      </c>
      <c r="H8" t="str">
        <f t="shared" si="1"/>
        <v>Not Started</v>
      </c>
      <c r="I8">
        <f>COUNTIFS(H69:H78,"Critical",I69:I78,"&lt;2")+COUNTIFS(H69:H78,"High",I69:I78,"&lt;2")</f>
        <v>0</v>
      </c>
      <c r="J8">
        <f>COUNTIF(T69:T78,"In Progress")+COUNTIF(T69:T78,"Not Started")</f>
        <v>0</v>
      </c>
      <c r="K8">
        <f ca="1">COUNTIFS(P69:P78,"&lt;"&amp;TODAY(),Q69:Q78,"")</f>
        <v>0</v>
      </c>
    </row>
    <row r="9" spans="1:21" x14ac:dyDescent="0.35">
      <c r="A9" t="s">
        <v>22</v>
      </c>
      <c r="B9" s="12">
        <v>46170</v>
      </c>
      <c r="E9">
        <f>SUMIF(I84:I93,"&gt;=0",I84:I93)</f>
        <v>0</v>
      </c>
      <c r="F9">
        <f>COUNT(I84:I93)*2</f>
        <v>0</v>
      </c>
      <c r="G9" s="13" t="str">
        <f t="shared" si="0"/>
        <v/>
      </c>
      <c r="H9" t="str">
        <f t="shared" si="1"/>
        <v>Not Started</v>
      </c>
      <c r="I9">
        <f>COUNTIFS(H84:H93,"Critical",I84:I93,"&lt;2")+COUNTIFS(H84:H93,"High",I84:I93,"&lt;2")</f>
        <v>0</v>
      </c>
      <c r="J9">
        <f>COUNTIF(T84:T93,"In Progress")+COUNTIF(T84:T93,"Not Started")</f>
        <v>0</v>
      </c>
      <c r="K9">
        <f ca="1">COUNTIFS(P84:P93,"&lt;"&amp;TODAY(),Q84:Q93,"")</f>
        <v>0</v>
      </c>
    </row>
    <row r="10" spans="1:21" x14ac:dyDescent="0.35">
      <c r="A10" t="s">
        <v>23</v>
      </c>
      <c r="B10" s="12">
        <v>46201</v>
      </c>
      <c r="E10">
        <f>SUMIF(I99:I108,"&gt;=0",I99:I108)</f>
        <v>0</v>
      </c>
      <c r="F10">
        <f>COUNT(I99:I108)*2</f>
        <v>0</v>
      </c>
      <c r="G10" s="13" t="str">
        <f t="shared" si="0"/>
        <v/>
      </c>
      <c r="H10" t="str">
        <f t="shared" si="1"/>
        <v>Not Started</v>
      </c>
      <c r="I10">
        <f>COUNTIFS(H99:H108,"Critical",I99:I108,"&lt;2")+COUNTIFS(H99:H108,"High",I99:I108,"&lt;2")</f>
        <v>0</v>
      </c>
      <c r="J10">
        <f>COUNTIF(T99:T108,"In Progress")+COUNTIF(T99:T108,"Not Started")</f>
        <v>0</v>
      </c>
      <c r="K10">
        <f ca="1">COUNTIFS(P99:P108,"&lt;"&amp;TODAY(),Q99:Q108,"")</f>
        <v>0</v>
      </c>
    </row>
    <row r="11" spans="1:21" x14ac:dyDescent="0.35">
      <c r="A11" t="s">
        <v>24</v>
      </c>
      <c r="B11" s="12">
        <v>46231</v>
      </c>
      <c r="E11">
        <f>SUMIF(I114:I123,"&gt;=0",I114:I123)</f>
        <v>0</v>
      </c>
      <c r="F11">
        <f>COUNT(I114:I123)*2</f>
        <v>0</v>
      </c>
      <c r="G11" s="13" t="str">
        <f t="shared" si="0"/>
        <v/>
      </c>
      <c r="H11" t="str">
        <f t="shared" si="1"/>
        <v>Not Started</v>
      </c>
      <c r="I11">
        <f>COUNTIFS(H114:H123,"Critical",I114:I123,"&lt;2")+COUNTIFS(H114:H123,"High",I114:I123,"&lt;2")</f>
        <v>0</v>
      </c>
      <c r="J11">
        <f>COUNTIF(T114:T123,"In Progress")+COUNTIF(T114:T123,"Not Started")</f>
        <v>0</v>
      </c>
      <c r="K11">
        <f ca="1">COUNTIFS(P114:P123,"&lt;"&amp;TODAY(),Q114:Q123,"")</f>
        <v>0</v>
      </c>
    </row>
    <row r="12" spans="1:21" x14ac:dyDescent="0.35">
      <c r="A12" t="s">
        <v>25</v>
      </c>
      <c r="B12" s="12">
        <v>46262</v>
      </c>
      <c r="E12">
        <f>SUMIF(I129:I138,"&gt;=0",I129:I138)</f>
        <v>0</v>
      </c>
      <c r="F12">
        <f>COUNT(I129:I138)*2</f>
        <v>0</v>
      </c>
      <c r="G12" s="13" t="str">
        <f t="shared" si="0"/>
        <v/>
      </c>
      <c r="H12" t="str">
        <f t="shared" si="1"/>
        <v>Not Started</v>
      </c>
      <c r="I12">
        <f>COUNTIFS(H129:H138,"Critical",I129:I138,"&lt;2")+COUNTIFS(H129:H138,"High",I129:I138,"&lt;2")</f>
        <v>0</v>
      </c>
      <c r="J12">
        <f>COUNTIF(T129:T138,"In Progress")+COUNTIF(T129:T138,"Not Started")</f>
        <v>0</v>
      </c>
      <c r="K12">
        <f ca="1">COUNTIFS(P129:P138,"&lt;"&amp;TODAY(),Q129:Q138,"")</f>
        <v>0</v>
      </c>
    </row>
    <row r="13" spans="1:21" x14ac:dyDescent="0.35">
      <c r="A13" t="s">
        <v>26</v>
      </c>
      <c r="B13" s="12">
        <v>46293</v>
      </c>
      <c r="E13">
        <f>SUMIF(I144:I153,"&gt;=0",I144:I153)</f>
        <v>0</v>
      </c>
      <c r="F13">
        <f>COUNT(I144:I153)*2</f>
        <v>0</v>
      </c>
      <c r="G13" s="13" t="str">
        <f t="shared" si="0"/>
        <v/>
      </c>
      <c r="H13" t="str">
        <f t="shared" si="1"/>
        <v>Not Started</v>
      </c>
      <c r="I13">
        <f>COUNTIFS(H144:H153,"Critical",I144:I153,"&lt;2")+COUNTIFS(H144:H153,"High",I144:I153,"&lt;2")</f>
        <v>0</v>
      </c>
      <c r="J13">
        <f>COUNTIF(T144:T153,"In Progress")+COUNTIF(T144:T153,"Not Started")</f>
        <v>0</v>
      </c>
      <c r="K13">
        <f ca="1">COUNTIFS(P144:P153,"&lt;"&amp;TODAY(),Q144:Q153,"")</f>
        <v>0</v>
      </c>
    </row>
    <row r="14" spans="1:21" x14ac:dyDescent="0.35">
      <c r="A14" t="s">
        <v>27</v>
      </c>
      <c r="B14" s="12">
        <v>46323</v>
      </c>
      <c r="E14">
        <f>SUMIF(I159:I168,"&gt;=0",I159:I168)</f>
        <v>0</v>
      </c>
      <c r="F14">
        <f>COUNT(I159:I168)*2</f>
        <v>0</v>
      </c>
      <c r="G14" s="13" t="str">
        <f t="shared" si="0"/>
        <v/>
      </c>
      <c r="H14" t="str">
        <f t="shared" si="1"/>
        <v>Not Started</v>
      </c>
      <c r="I14">
        <f>COUNTIFS(H159:H168,"Critical",I159:I168,"&lt;2")+COUNTIFS(H159:H168,"High",I159:I168,"&lt;2")</f>
        <v>0</v>
      </c>
      <c r="J14">
        <f>COUNTIF(T159:T168,"In Progress")+COUNTIF(T159:T168,"Not Started")</f>
        <v>0</v>
      </c>
      <c r="K14">
        <f ca="1">COUNTIFS(P159:P168,"&lt;"&amp;TODAY(),Q159:Q168,"")</f>
        <v>0</v>
      </c>
    </row>
    <row r="15" spans="1:21" x14ac:dyDescent="0.35">
      <c r="A15" t="s">
        <v>28</v>
      </c>
      <c r="B15" s="12">
        <v>46354</v>
      </c>
      <c r="E15">
        <f>SUMIF(I174:I183,"&gt;=0",I174:I183)</f>
        <v>0</v>
      </c>
      <c r="F15">
        <f>COUNT(I174:I183)*2</f>
        <v>0</v>
      </c>
      <c r="G15" s="13" t="str">
        <f t="shared" si="0"/>
        <v/>
      </c>
      <c r="H15" t="str">
        <f t="shared" si="1"/>
        <v>Not Started</v>
      </c>
      <c r="I15">
        <f>COUNTIFS(H174:H183,"Critical",I174:I183,"&lt;2")+COUNTIFS(H174:H183,"High",I174:I183,"&lt;2")</f>
        <v>0</v>
      </c>
      <c r="J15">
        <f>COUNTIF(T174:T183,"In Progress")+COUNTIF(T174:T183,"Not Started")</f>
        <v>0</v>
      </c>
      <c r="K15">
        <f ca="1">COUNTIFS(P174:P183,"&lt;"&amp;TODAY(),Q174:Q183,"")</f>
        <v>0</v>
      </c>
    </row>
    <row r="16" spans="1:21" x14ac:dyDescent="0.35">
      <c r="A16" t="s">
        <v>29</v>
      </c>
      <c r="B16" s="12">
        <v>46384</v>
      </c>
      <c r="E16">
        <f>SUMIF(I189:I198,"&gt;=0",I189:I198)</f>
        <v>0</v>
      </c>
      <c r="F16">
        <f>COUNT(I189:I198)*2</f>
        <v>0</v>
      </c>
      <c r="G16" s="13" t="str">
        <f t="shared" si="0"/>
        <v/>
      </c>
      <c r="H16" t="str">
        <f t="shared" si="1"/>
        <v>Not Started</v>
      </c>
      <c r="I16">
        <f>COUNTIFS(H189:H198,"Critical",I189:I198,"&lt;2")+COUNTIFS(H189:H198,"High",I189:I198,"&lt;2")</f>
        <v>0</v>
      </c>
      <c r="J16">
        <f>COUNTIF(T189:T198,"In Progress")+COUNTIF(T189:T198,"Not Started")</f>
        <v>0</v>
      </c>
      <c r="K16">
        <f ca="1">COUNTIFS(P189:P198,"&lt;"&amp;TODAY(),Q189:Q198,"")</f>
        <v>0</v>
      </c>
    </row>
    <row r="21" spans="1:21" ht="22" customHeight="1" x14ac:dyDescent="0.35">
      <c r="A21" s="26" t="s">
        <v>799</v>
      </c>
      <c r="B21" s="23"/>
      <c r="C21" s="23"/>
      <c r="D21" s="23"/>
      <c r="E21" s="23"/>
      <c r="F21" s="23"/>
      <c r="G21" s="23"/>
      <c r="H21" s="23"/>
      <c r="I21" s="23"/>
      <c r="J21" s="23"/>
      <c r="K21" s="23"/>
      <c r="L21" s="23"/>
      <c r="M21" s="23"/>
      <c r="N21" s="23"/>
      <c r="O21" s="23"/>
      <c r="P21" s="23"/>
      <c r="Q21" s="23"/>
      <c r="R21" s="23"/>
      <c r="S21" s="23"/>
      <c r="T21" s="23"/>
      <c r="U21" s="23"/>
    </row>
    <row r="22" spans="1:21" x14ac:dyDescent="0.35">
      <c r="A22" t="s">
        <v>31</v>
      </c>
      <c r="B22" t="s">
        <v>18</v>
      </c>
      <c r="C22" t="s">
        <v>32</v>
      </c>
      <c r="E22" t="s">
        <v>33</v>
      </c>
    </row>
    <row r="23" spans="1:21" ht="29" x14ac:dyDescent="0.35">
      <c r="A23" s="11" t="s">
        <v>34</v>
      </c>
      <c r="B23" s="11" t="s">
        <v>35</v>
      </c>
      <c r="C23" s="11" t="s">
        <v>36</v>
      </c>
      <c r="D23" s="11" t="s">
        <v>37</v>
      </c>
      <c r="E23" s="11" t="s">
        <v>38</v>
      </c>
      <c r="F23" s="11" t="s">
        <v>39</v>
      </c>
      <c r="G23" s="11" t="s">
        <v>40</v>
      </c>
      <c r="H23" s="11" t="s">
        <v>41</v>
      </c>
      <c r="I23" s="11" t="s">
        <v>42</v>
      </c>
      <c r="J23" s="11" t="s">
        <v>43</v>
      </c>
      <c r="K23" s="11" t="s">
        <v>44</v>
      </c>
      <c r="L23" s="11" t="s">
        <v>45</v>
      </c>
      <c r="M23" s="11" t="s">
        <v>46</v>
      </c>
      <c r="N23" s="11" t="s">
        <v>47</v>
      </c>
      <c r="O23" s="11" t="s">
        <v>48</v>
      </c>
      <c r="P23" s="11" t="s">
        <v>4</v>
      </c>
      <c r="Q23" s="11" t="s">
        <v>49</v>
      </c>
      <c r="R23" s="11" t="s">
        <v>50</v>
      </c>
      <c r="S23" s="11" t="s">
        <v>51</v>
      </c>
      <c r="T23" s="11" t="s">
        <v>52</v>
      </c>
      <c r="U23" s="11" t="s">
        <v>10</v>
      </c>
    </row>
    <row r="24" spans="1:21" ht="29" x14ac:dyDescent="0.35">
      <c r="A24" s="14">
        <v>1</v>
      </c>
      <c r="B24" s="14" t="s">
        <v>800</v>
      </c>
      <c r="C24" s="14" t="s">
        <v>801</v>
      </c>
      <c r="D24" s="14" t="s">
        <v>802</v>
      </c>
      <c r="E24" s="14" t="s">
        <v>69</v>
      </c>
      <c r="F24" s="14" t="s">
        <v>167</v>
      </c>
      <c r="G24" s="14" t="s">
        <v>691</v>
      </c>
      <c r="H24" s="14" t="s">
        <v>76</v>
      </c>
      <c r="I24" s="15"/>
      <c r="J24" s="15"/>
      <c r="K24" s="15"/>
      <c r="L24" s="15"/>
      <c r="M24" s="15"/>
      <c r="N24" s="15"/>
      <c r="O24" s="15"/>
      <c r="P24" s="15"/>
      <c r="Q24" s="15"/>
      <c r="R24" s="15"/>
      <c r="S24" s="15"/>
      <c r="T24" s="15"/>
      <c r="U24" s="14" t="str">
        <f t="shared" ref="U24:U33" si="2">IF(I24="","",IF(I24="NA","Grey",IF(I24=2,"Green",IF(I24=1,"Amber","Red"))))</f>
        <v/>
      </c>
    </row>
    <row r="25" spans="1:21" ht="29" x14ac:dyDescent="0.35">
      <c r="A25" s="14">
        <v>2</v>
      </c>
      <c r="B25" s="14" t="s">
        <v>803</v>
      </c>
      <c r="C25" s="14" t="s">
        <v>804</v>
      </c>
      <c r="D25" s="14" t="s">
        <v>805</v>
      </c>
      <c r="E25" s="14" t="s">
        <v>449</v>
      </c>
      <c r="F25" s="14" t="s">
        <v>284</v>
      </c>
      <c r="G25" s="14" t="s">
        <v>691</v>
      </c>
      <c r="H25" s="14" t="s">
        <v>76</v>
      </c>
      <c r="I25" s="15"/>
      <c r="J25" s="15"/>
      <c r="K25" s="15"/>
      <c r="L25" s="15"/>
      <c r="M25" s="15"/>
      <c r="N25" s="15"/>
      <c r="O25" s="15"/>
      <c r="P25" s="15"/>
      <c r="Q25" s="15"/>
      <c r="R25" s="15"/>
      <c r="S25" s="15"/>
      <c r="T25" s="15"/>
      <c r="U25" s="14" t="str">
        <f t="shared" si="2"/>
        <v/>
      </c>
    </row>
    <row r="26" spans="1:21" ht="29" x14ac:dyDescent="0.35">
      <c r="A26" s="14">
        <v>3</v>
      </c>
      <c r="B26" s="14" t="s">
        <v>806</v>
      </c>
      <c r="C26" s="14" t="s">
        <v>807</v>
      </c>
      <c r="D26" s="14" t="s">
        <v>808</v>
      </c>
      <c r="E26" s="14" t="s">
        <v>690</v>
      </c>
      <c r="F26" s="14" t="s">
        <v>167</v>
      </c>
      <c r="G26" s="14" t="s">
        <v>691</v>
      </c>
      <c r="H26" s="14" t="s">
        <v>59</v>
      </c>
      <c r="I26" s="15"/>
      <c r="J26" s="15"/>
      <c r="K26" s="15"/>
      <c r="L26" s="15"/>
      <c r="M26" s="15"/>
      <c r="N26" s="15"/>
      <c r="O26" s="15"/>
      <c r="P26" s="15"/>
      <c r="Q26" s="15"/>
      <c r="R26" s="15"/>
      <c r="S26" s="15"/>
      <c r="T26" s="15"/>
      <c r="U26" s="14" t="str">
        <f t="shared" si="2"/>
        <v/>
      </c>
    </row>
    <row r="27" spans="1:21" ht="29" x14ac:dyDescent="0.35">
      <c r="A27" s="14">
        <v>4</v>
      </c>
      <c r="B27" s="14" t="s">
        <v>768</v>
      </c>
      <c r="C27" s="14" t="s">
        <v>809</v>
      </c>
      <c r="D27" s="14" t="s">
        <v>70</v>
      </c>
      <c r="E27" s="14" t="s">
        <v>70</v>
      </c>
      <c r="F27" s="14" t="s">
        <v>810</v>
      </c>
      <c r="G27" s="14" t="s">
        <v>691</v>
      </c>
      <c r="H27" s="14" t="s">
        <v>76</v>
      </c>
      <c r="I27" s="15"/>
      <c r="J27" s="15"/>
      <c r="K27" s="15"/>
      <c r="L27" s="15"/>
      <c r="M27" s="15"/>
      <c r="N27" s="15"/>
      <c r="O27" s="15"/>
      <c r="P27" s="15"/>
      <c r="Q27" s="15"/>
      <c r="R27" s="15"/>
      <c r="S27" s="15"/>
      <c r="T27" s="15"/>
      <c r="U27" s="14" t="str">
        <f t="shared" si="2"/>
        <v/>
      </c>
    </row>
    <row r="28" spans="1:21" ht="29" x14ac:dyDescent="0.35">
      <c r="A28" s="14">
        <v>5</v>
      </c>
      <c r="B28" s="14" t="s">
        <v>811</v>
      </c>
      <c r="C28" s="14" t="s">
        <v>812</v>
      </c>
      <c r="D28" s="14" t="s">
        <v>813</v>
      </c>
      <c r="E28" s="14" t="s">
        <v>690</v>
      </c>
      <c r="F28" s="14" t="s">
        <v>167</v>
      </c>
      <c r="G28" s="14" t="s">
        <v>691</v>
      </c>
      <c r="H28" s="14" t="s">
        <v>59</v>
      </c>
      <c r="I28" s="15"/>
      <c r="J28" s="15"/>
      <c r="K28" s="15"/>
      <c r="L28" s="15"/>
      <c r="M28" s="15"/>
      <c r="N28" s="15"/>
      <c r="O28" s="15"/>
      <c r="P28" s="15"/>
      <c r="Q28" s="15"/>
      <c r="R28" s="15"/>
      <c r="S28" s="15"/>
      <c r="T28" s="15"/>
      <c r="U28" s="14" t="str">
        <f t="shared" si="2"/>
        <v/>
      </c>
    </row>
    <row r="29" spans="1:21" ht="29" x14ac:dyDescent="0.35">
      <c r="A29" s="14">
        <v>6</v>
      </c>
      <c r="B29" s="14" t="s">
        <v>814</v>
      </c>
      <c r="C29" s="14" t="s">
        <v>815</v>
      </c>
      <c r="D29" s="14" t="s">
        <v>816</v>
      </c>
      <c r="E29" s="14" t="s">
        <v>690</v>
      </c>
      <c r="F29" s="14" t="s">
        <v>167</v>
      </c>
      <c r="G29" s="14" t="s">
        <v>691</v>
      </c>
      <c r="H29" s="14" t="s">
        <v>59</v>
      </c>
      <c r="I29" s="15"/>
      <c r="J29" s="15"/>
      <c r="K29" s="15"/>
      <c r="L29" s="15"/>
      <c r="M29" s="15"/>
      <c r="N29" s="15"/>
      <c r="O29" s="15"/>
      <c r="P29" s="15"/>
      <c r="Q29" s="15"/>
      <c r="R29" s="15"/>
      <c r="S29" s="15"/>
      <c r="T29" s="15"/>
      <c r="U29" s="14" t="str">
        <f t="shared" si="2"/>
        <v/>
      </c>
    </row>
    <row r="30" spans="1:21" ht="29" x14ac:dyDescent="0.35">
      <c r="A30" s="14">
        <v>7</v>
      </c>
      <c r="B30" s="14" t="s">
        <v>817</v>
      </c>
      <c r="C30" s="14" t="s">
        <v>818</v>
      </c>
      <c r="D30" s="14" t="s">
        <v>819</v>
      </c>
      <c r="E30" s="14" t="s">
        <v>690</v>
      </c>
      <c r="F30" s="14" t="s">
        <v>167</v>
      </c>
      <c r="G30" s="14" t="s">
        <v>691</v>
      </c>
      <c r="H30" s="14" t="s">
        <v>59</v>
      </c>
      <c r="I30" s="15"/>
      <c r="J30" s="15"/>
      <c r="K30" s="15"/>
      <c r="L30" s="15"/>
      <c r="M30" s="15"/>
      <c r="N30" s="15"/>
      <c r="O30" s="15"/>
      <c r="P30" s="15"/>
      <c r="Q30" s="15"/>
      <c r="R30" s="15"/>
      <c r="S30" s="15"/>
      <c r="T30" s="15"/>
      <c r="U30" s="14" t="str">
        <f t="shared" si="2"/>
        <v/>
      </c>
    </row>
    <row r="31" spans="1:21" ht="29" x14ac:dyDescent="0.35">
      <c r="A31" s="14">
        <v>8</v>
      </c>
      <c r="B31" s="14" t="s">
        <v>820</v>
      </c>
      <c r="C31" s="14" t="s">
        <v>821</v>
      </c>
      <c r="D31" s="14" t="s">
        <v>822</v>
      </c>
      <c r="E31" s="14" t="s">
        <v>69</v>
      </c>
      <c r="F31" s="14" t="s">
        <v>167</v>
      </c>
      <c r="G31" s="14" t="s">
        <v>691</v>
      </c>
      <c r="H31" s="14" t="s">
        <v>76</v>
      </c>
      <c r="I31" s="15"/>
      <c r="J31" s="15"/>
      <c r="K31" s="15"/>
      <c r="L31" s="15"/>
      <c r="M31" s="15"/>
      <c r="N31" s="15"/>
      <c r="O31" s="15"/>
      <c r="P31" s="15"/>
      <c r="Q31" s="15"/>
      <c r="R31" s="15"/>
      <c r="S31" s="15"/>
      <c r="T31" s="15"/>
      <c r="U31" s="14" t="str">
        <f t="shared" si="2"/>
        <v/>
      </c>
    </row>
    <row r="32" spans="1:21" ht="29" x14ac:dyDescent="0.35">
      <c r="A32" s="14">
        <v>9</v>
      </c>
      <c r="B32" s="14" t="s">
        <v>823</v>
      </c>
      <c r="C32" s="14" t="s">
        <v>824</v>
      </c>
      <c r="D32" s="14" t="s">
        <v>825</v>
      </c>
      <c r="E32" s="14" t="s">
        <v>692</v>
      </c>
      <c r="F32" s="14" t="s">
        <v>167</v>
      </c>
      <c r="G32" s="14" t="s">
        <v>691</v>
      </c>
      <c r="H32" s="14" t="s">
        <v>76</v>
      </c>
      <c r="I32" s="15"/>
      <c r="J32" s="15"/>
      <c r="K32" s="15"/>
      <c r="L32" s="15"/>
      <c r="M32" s="15"/>
      <c r="N32" s="15"/>
      <c r="O32" s="15"/>
      <c r="P32" s="15"/>
      <c r="Q32" s="15"/>
      <c r="R32" s="15"/>
      <c r="S32" s="15"/>
      <c r="T32" s="15"/>
      <c r="U32" s="14" t="str">
        <f t="shared" si="2"/>
        <v/>
      </c>
    </row>
    <row r="33" spans="1:21" ht="29" x14ac:dyDescent="0.35">
      <c r="A33" s="14">
        <v>10</v>
      </c>
      <c r="B33" s="14" t="s">
        <v>826</v>
      </c>
      <c r="C33" s="14" t="s">
        <v>827</v>
      </c>
      <c r="D33" s="14" t="s">
        <v>828</v>
      </c>
      <c r="E33" s="14" t="s">
        <v>690</v>
      </c>
      <c r="F33" s="14" t="s">
        <v>167</v>
      </c>
      <c r="G33" s="14" t="s">
        <v>691</v>
      </c>
      <c r="H33" s="14" t="s">
        <v>59</v>
      </c>
      <c r="I33" s="15"/>
      <c r="J33" s="15"/>
      <c r="K33" s="15"/>
      <c r="L33" s="15"/>
      <c r="M33" s="15"/>
      <c r="N33" s="15"/>
      <c r="O33" s="15"/>
      <c r="P33" s="15"/>
      <c r="Q33" s="15"/>
      <c r="R33" s="15"/>
      <c r="S33" s="15"/>
      <c r="T33" s="15"/>
      <c r="U33" s="14" t="str">
        <f t="shared" si="2"/>
        <v/>
      </c>
    </row>
    <row r="36" spans="1:21" ht="22" customHeight="1" x14ac:dyDescent="0.35">
      <c r="A36" s="26" t="s">
        <v>829</v>
      </c>
      <c r="B36" s="23"/>
      <c r="C36" s="23"/>
      <c r="D36" s="23"/>
      <c r="E36" s="23"/>
      <c r="F36" s="23"/>
      <c r="G36" s="23"/>
      <c r="H36" s="23"/>
      <c r="I36" s="23"/>
      <c r="J36" s="23"/>
      <c r="K36" s="23"/>
      <c r="L36" s="23"/>
      <c r="M36" s="23"/>
      <c r="N36" s="23"/>
      <c r="O36" s="23"/>
      <c r="P36" s="23"/>
      <c r="Q36" s="23"/>
      <c r="R36" s="23"/>
      <c r="S36" s="23"/>
      <c r="T36" s="23"/>
      <c r="U36" s="23"/>
    </row>
    <row r="37" spans="1:21" x14ac:dyDescent="0.35">
      <c r="A37" t="s">
        <v>31</v>
      </c>
      <c r="B37" t="s">
        <v>19</v>
      </c>
      <c r="C37" t="s">
        <v>32</v>
      </c>
      <c r="E37" t="s">
        <v>33</v>
      </c>
    </row>
    <row r="38" spans="1:21" ht="29" x14ac:dyDescent="0.35">
      <c r="A38" s="11" t="s">
        <v>34</v>
      </c>
      <c r="B38" s="11" t="s">
        <v>35</v>
      </c>
      <c r="C38" s="11" t="s">
        <v>36</v>
      </c>
      <c r="D38" s="11" t="s">
        <v>37</v>
      </c>
      <c r="E38" s="11" t="s">
        <v>38</v>
      </c>
      <c r="F38" s="11" t="s">
        <v>39</v>
      </c>
      <c r="G38" s="11" t="s">
        <v>40</v>
      </c>
      <c r="H38" s="11" t="s">
        <v>41</v>
      </c>
      <c r="I38" s="11" t="s">
        <v>42</v>
      </c>
      <c r="J38" s="11" t="s">
        <v>43</v>
      </c>
      <c r="K38" s="11" t="s">
        <v>44</v>
      </c>
      <c r="L38" s="11" t="s">
        <v>45</v>
      </c>
      <c r="M38" s="11" t="s">
        <v>46</v>
      </c>
      <c r="N38" s="11" t="s">
        <v>47</v>
      </c>
      <c r="O38" s="11" t="s">
        <v>48</v>
      </c>
      <c r="P38" s="11" t="s">
        <v>4</v>
      </c>
      <c r="Q38" s="11" t="s">
        <v>49</v>
      </c>
      <c r="R38" s="11" t="s">
        <v>50</v>
      </c>
      <c r="S38" s="11" t="s">
        <v>51</v>
      </c>
      <c r="T38" s="11" t="s">
        <v>52</v>
      </c>
      <c r="U38" s="11" t="s">
        <v>10</v>
      </c>
    </row>
    <row r="39" spans="1:21" ht="29" x14ac:dyDescent="0.35">
      <c r="A39" s="14">
        <v>1</v>
      </c>
      <c r="B39" s="14" t="s">
        <v>800</v>
      </c>
      <c r="C39" s="14" t="s">
        <v>801</v>
      </c>
      <c r="D39" s="14" t="s">
        <v>802</v>
      </c>
      <c r="E39" s="14" t="s">
        <v>69</v>
      </c>
      <c r="F39" s="14" t="s">
        <v>167</v>
      </c>
      <c r="G39" s="14" t="s">
        <v>691</v>
      </c>
      <c r="H39" s="14" t="s">
        <v>76</v>
      </c>
      <c r="I39" s="15"/>
      <c r="J39" s="15"/>
      <c r="K39" s="15"/>
      <c r="L39" s="15"/>
      <c r="M39" s="15"/>
      <c r="N39" s="15"/>
      <c r="O39" s="15"/>
      <c r="P39" s="15"/>
      <c r="Q39" s="15"/>
      <c r="R39" s="15"/>
      <c r="S39" s="15"/>
      <c r="T39" s="15"/>
      <c r="U39" s="14" t="str">
        <f t="shared" ref="U39:U48" si="3">IF(I39="","",IF(I39="NA","Grey",IF(I39=2,"Green",IF(I39=1,"Amber","Red"))))</f>
        <v/>
      </c>
    </row>
    <row r="40" spans="1:21" ht="29" x14ac:dyDescent="0.35">
      <c r="A40" s="14">
        <v>2</v>
      </c>
      <c r="B40" s="14" t="s">
        <v>803</v>
      </c>
      <c r="C40" s="14" t="s">
        <v>804</v>
      </c>
      <c r="D40" s="14" t="s">
        <v>805</v>
      </c>
      <c r="E40" s="14" t="s">
        <v>449</v>
      </c>
      <c r="F40" s="14" t="s">
        <v>284</v>
      </c>
      <c r="G40" s="14" t="s">
        <v>691</v>
      </c>
      <c r="H40" s="14" t="s">
        <v>76</v>
      </c>
      <c r="I40" s="15"/>
      <c r="J40" s="15"/>
      <c r="K40" s="15"/>
      <c r="L40" s="15"/>
      <c r="M40" s="15"/>
      <c r="N40" s="15"/>
      <c r="O40" s="15"/>
      <c r="P40" s="15"/>
      <c r="Q40" s="15"/>
      <c r="R40" s="15"/>
      <c r="S40" s="15"/>
      <c r="T40" s="15"/>
      <c r="U40" s="14" t="str">
        <f t="shared" si="3"/>
        <v/>
      </c>
    </row>
    <row r="41" spans="1:21" ht="29" x14ac:dyDescent="0.35">
      <c r="A41" s="14">
        <v>3</v>
      </c>
      <c r="B41" s="14" t="s">
        <v>806</v>
      </c>
      <c r="C41" s="14" t="s">
        <v>807</v>
      </c>
      <c r="D41" s="14" t="s">
        <v>808</v>
      </c>
      <c r="E41" s="14" t="s">
        <v>690</v>
      </c>
      <c r="F41" s="14" t="s">
        <v>167</v>
      </c>
      <c r="G41" s="14" t="s">
        <v>691</v>
      </c>
      <c r="H41" s="14" t="s">
        <v>59</v>
      </c>
      <c r="I41" s="15"/>
      <c r="J41" s="15"/>
      <c r="K41" s="15"/>
      <c r="L41" s="15"/>
      <c r="M41" s="15"/>
      <c r="N41" s="15"/>
      <c r="O41" s="15"/>
      <c r="P41" s="15"/>
      <c r="Q41" s="15"/>
      <c r="R41" s="15"/>
      <c r="S41" s="15"/>
      <c r="T41" s="15"/>
      <c r="U41" s="14" t="str">
        <f t="shared" si="3"/>
        <v/>
      </c>
    </row>
    <row r="42" spans="1:21" ht="29" x14ac:dyDescent="0.35">
      <c r="A42" s="14">
        <v>4</v>
      </c>
      <c r="B42" s="14" t="s">
        <v>768</v>
      </c>
      <c r="C42" s="14" t="s">
        <v>809</v>
      </c>
      <c r="D42" s="14" t="s">
        <v>70</v>
      </c>
      <c r="E42" s="14" t="s">
        <v>70</v>
      </c>
      <c r="F42" s="14" t="s">
        <v>810</v>
      </c>
      <c r="G42" s="14" t="s">
        <v>691</v>
      </c>
      <c r="H42" s="14" t="s">
        <v>76</v>
      </c>
      <c r="I42" s="15"/>
      <c r="J42" s="15"/>
      <c r="K42" s="15"/>
      <c r="L42" s="15"/>
      <c r="M42" s="15"/>
      <c r="N42" s="15"/>
      <c r="O42" s="15"/>
      <c r="P42" s="15"/>
      <c r="Q42" s="15"/>
      <c r="R42" s="15"/>
      <c r="S42" s="15"/>
      <c r="T42" s="15"/>
      <c r="U42" s="14" t="str">
        <f t="shared" si="3"/>
        <v/>
      </c>
    </row>
    <row r="43" spans="1:21" ht="29" x14ac:dyDescent="0.35">
      <c r="A43" s="14">
        <v>5</v>
      </c>
      <c r="B43" s="14" t="s">
        <v>811</v>
      </c>
      <c r="C43" s="14" t="s">
        <v>812</v>
      </c>
      <c r="D43" s="14" t="s">
        <v>813</v>
      </c>
      <c r="E43" s="14" t="s">
        <v>690</v>
      </c>
      <c r="F43" s="14" t="s">
        <v>167</v>
      </c>
      <c r="G43" s="14" t="s">
        <v>691</v>
      </c>
      <c r="H43" s="14" t="s">
        <v>59</v>
      </c>
      <c r="I43" s="15"/>
      <c r="J43" s="15"/>
      <c r="K43" s="15"/>
      <c r="L43" s="15"/>
      <c r="M43" s="15"/>
      <c r="N43" s="15"/>
      <c r="O43" s="15"/>
      <c r="P43" s="15"/>
      <c r="Q43" s="15"/>
      <c r="R43" s="15"/>
      <c r="S43" s="15"/>
      <c r="T43" s="15"/>
      <c r="U43" s="14" t="str">
        <f t="shared" si="3"/>
        <v/>
      </c>
    </row>
    <row r="44" spans="1:21" ht="29" x14ac:dyDescent="0.35">
      <c r="A44" s="14">
        <v>6</v>
      </c>
      <c r="B44" s="14" t="s">
        <v>814</v>
      </c>
      <c r="C44" s="14" t="s">
        <v>815</v>
      </c>
      <c r="D44" s="14" t="s">
        <v>816</v>
      </c>
      <c r="E44" s="14" t="s">
        <v>690</v>
      </c>
      <c r="F44" s="14" t="s">
        <v>167</v>
      </c>
      <c r="G44" s="14" t="s">
        <v>691</v>
      </c>
      <c r="H44" s="14" t="s">
        <v>59</v>
      </c>
      <c r="I44" s="15"/>
      <c r="J44" s="15"/>
      <c r="K44" s="15"/>
      <c r="L44" s="15"/>
      <c r="M44" s="15"/>
      <c r="N44" s="15"/>
      <c r="O44" s="15"/>
      <c r="P44" s="15"/>
      <c r="Q44" s="15"/>
      <c r="R44" s="15"/>
      <c r="S44" s="15"/>
      <c r="T44" s="15"/>
      <c r="U44" s="14" t="str">
        <f t="shared" si="3"/>
        <v/>
      </c>
    </row>
    <row r="45" spans="1:21" ht="29" x14ac:dyDescent="0.35">
      <c r="A45" s="14">
        <v>7</v>
      </c>
      <c r="B45" s="14" t="s">
        <v>817</v>
      </c>
      <c r="C45" s="14" t="s">
        <v>818</v>
      </c>
      <c r="D45" s="14" t="s">
        <v>819</v>
      </c>
      <c r="E45" s="14" t="s">
        <v>690</v>
      </c>
      <c r="F45" s="14" t="s">
        <v>167</v>
      </c>
      <c r="G45" s="14" t="s">
        <v>691</v>
      </c>
      <c r="H45" s="14" t="s">
        <v>59</v>
      </c>
      <c r="I45" s="15"/>
      <c r="J45" s="15"/>
      <c r="K45" s="15"/>
      <c r="L45" s="15"/>
      <c r="M45" s="15"/>
      <c r="N45" s="15"/>
      <c r="O45" s="15"/>
      <c r="P45" s="15"/>
      <c r="Q45" s="15"/>
      <c r="R45" s="15"/>
      <c r="S45" s="15"/>
      <c r="T45" s="15"/>
      <c r="U45" s="14" t="str">
        <f t="shared" si="3"/>
        <v/>
      </c>
    </row>
    <row r="46" spans="1:21" ht="29" x14ac:dyDescent="0.35">
      <c r="A46" s="14">
        <v>8</v>
      </c>
      <c r="B46" s="14" t="s">
        <v>820</v>
      </c>
      <c r="C46" s="14" t="s">
        <v>821</v>
      </c>
      <c r="D46" s="14" t="s">
        <v>822</v>
      </c>
      <c r="E46" s="14" t="s">
        <v>69</v>
      </c>
      <c r="F46" s="14" t="s">
        <v>167</v>
      </c>
      <c r="G46" s="14" t="s">
        <v>691</v>
      </c>
      <c r="H46" s="14" t="s">
        <v>76</v>
      </c>
      <c r="I46" s="15"/>
      <c r="J46" s="15"/>
      <c r="K46" s="15"/>
      <c r="L46" s="15"/>
      <c r="M46" s="15"/>
      <c r="N46" s="15"/>
      <c r="O46" s="15"/>
      <c r="P46" s="15"/>
      <c r="Q46" s="15"/>
      <c r="R46" s="15"/>
      <c r="S46" s="15"/>
      <c r="T46" s="15"/>
      <c r="U46" s="14" t="str">
        <f t="shared" si="3"/>
        <v/>
      </c>
    </row>
    <row r="47" spans="1:21" ht="29" x14ac:dyDescent="0.35">
      <c r="A47" s="14">
        <v>9</v>
      </c>
      <c r="B47" s="14" t="s">
        <v>823</v>
      </c>
      <c r="C47" s="14" t="s">
        <v>824</v>
      </c>
      <c r="D47" s="14" t="s">
        <v>825</v>
      </c>
      <c r="E47" s="14" t="s">
        <v>692</v>
      </c>
      <c r="F47" s="14" t="s">
        <v>167</v>
      </c>
      <c r="G47" s="14" t="s">
        <v>691</v>
      </c>
      <c r="H47" s="14" t="s">
        <v>76</v>
      </c>
      <c r="I47" s="15"/>
      <c r="J47" s="15"/>
      <c r="K47" s="15"/>
      <c r="L47" s="15"/>
      <c r="M47" s="15"/>
      <c r="N47" s="15"/>
      <c r="O47" s="15"/>
      <c r="P47" s="15"/>
      <c r="Q47" s="15"/>
      <c r="R47" s="15"/>
      <c r="S47" s="15"/>
      <c r="T47" s="15"/>
      <c r="U47" s="14" t="str">
        <f t="shared" si="3"/>
        <v/>
      </c>
    </row>
    <row r="48" spans="1:21" ht="29" x14ac:dyDescent="0.35">
      <c r="A48" s="14">
        <v>10</v>
      </c>
      <c r="B48" s="14" t="s">
        <v>826</v>
      </c>
      <c r="C48" s="14" t="s">
        <v>827</v>
      </c>
      <c r="D48" s="14" t="s">
        <v>828</v>
      </c>
      <c r="E48" s="14" t="s">
        <v>690</v>
      </c>
      <c r="F48" s="14" t="s">
        <v>167</v>
      </c>
      <c r="G48" s="14" t="s">
        <v>691</v>
      </c>
      <c r="H48" s="14" t="s">
        <v>59</v>
      </c>
      <c r="I48" s="15"/>
      <c r="J48" s="15"/>
      <c r="K48" s="15"/>
      <c r="L48" s="15"/>
      <c r="M48" s="15"/>
      <c r="N48" s="15"/>
      <c r="O48" s="15"/>
      <c r="P48" s="15"/>
      <c r="Q48" s="15"/>
      <c r="R48" s="15"/>
      <c r="S48" s="15"/>
      <c r="T48" s="15"/>
      <c r="U48" s="14" t="str">
        <f t="shared" si="3"/>
        <v/>
      </c>
    </row>
    <row r="51" spans="1:21" ht="22" customHeight="1" x14ac:dyDescent="0.35">
      <c r="A51" s="26" t="s">
        <v>830</v>
      </c>
      <c r="B51" s="23"/>
      <c r="C51" s="23"/>
      <c r="D51" s="23"/>
      <c r="E51" s="23"/>
      <c r="F51" s="23"/>
      <c r="G51" s="23"/>
      <c r="H51" s="23"/>
      <c r="I51" s="23"/>
      <c r="J51" s="23"/>
      <c r="K51" s="23"/>
      <c r="L51" s="23"/>
      <c r="M51" s="23"/>
      <c r="N51" s="23"/>
      <c r="O51" s="23"/>
      <c r="P51" s="23"/>
      <c r="Q51" s="23"/>
      <c r="R51" s="23"/>
      <c r="S51" s="23"/>
      <c r="T51" s="23"/>
      <c r="U51" s="23"/>
    </row>
    <row r="52" spans="1:21" x14ac:dyDescent="0.35">
      <c r="A52" t="s">
        <v>31</v>
      </c>
      <c r="B52" t="s">
        <v>20</v>
      </c>
      <c r="C52" t="s">
        <v>32</v>
      </c>
      <c r="E52" t="s">
        <v>33</v>
      </c>
    </row>
    <row r="53" spans="1:21" ht="29" x14ac:dyDescent="0.35">
      <c r="A53" s="11" t="s">
        <v>34</v>
      </c>
      <c r="B53" s="11" t="s">
        <v>35</v>
      </c>
      <c r="C53" s="11" t="s">
        <v>36</v>
      </c>
      <c r="D53" s="11" t="s">
        <v>37</v>
      </c>
      <c r="E53" s="11" t="s">
        <v>38</v>
      </c>
      <c r="F53" s="11" t="s">
        <v>39</v>
      </c>
      <c r="G53" s="11" t="s">
        <v>40</v>
      </c>
      <c r="H53" s="11" t="s">
        <v>41</v>
      </c>
      <c r="I53" s="11" t="s">
        <v>42</v>
      </c>
      <c r="J53" s="11" t="s">
        <v>43</v>
      </c>
      <c r="K53" s="11" t="s">
        <v>44</v>
      </c>
      <c r="L53" s="11" t="s">
        <v>45</v>
      </c>
      <c r="M53" s="11" t="s">
        <v>46</v>
      </c>
      <c r="N53" s="11" t="s">
        <v>47</v>
      </c>
      <c r="O53" s="11" t="s">
        <v>48</v>
      </c>
      <c r="P53" s="11" t="s">
        <v>4</v>
      </c>
      <c r="Q53" s="11" t="s">
        <v>49</v>
      </c>
      <c r="R53" s="11" t="s">
        <v>50</v>
      </c>
      <c r="S53" s="11" t="s">
        <v>51</v>
      </c>
      <c r="T53" s="11" t="s">
        <v>52</v>
      </c>
      <c r="U53" s="11" t="s">
        <v>10</v>
      </c>
    </row>
    <row r="54" spans="1:21" ht="29" x14ac:dyDescent="0.35">
      <c r="A54" s="14">
        <v>1</v>
      </c>
      <c r="B54" s="14" t="s">
        <v>800</v>
      </c>
      <c r="C54" s="14" t="s">
        <v>801</v>
      </c>
      <c r="D54" s="14" t="s">
        <v>802</v>
      </c>
      <c r="E54" s="14" t="s">
        <v>69</v>
      </c>
      <c r="F54" s="14" t="s">
        <v>167</v>
      </c>
      <c r="G54" s="14" t="s">
        <v>691</v>
      </c>
      <c r="H54" s="14" t="s">
        <v>76</v>
      </c>
      <c r="I54" s="15"/>
      <c r="J54" s="15"/>
      <c r="K54" s="15"/>
      <c r="L54" s="15"/>
      <c r="M54" s="15"/>
      <c r="N54" s="15"/>
      <c r="O54" s="15"/>
      <c r="P54" s="15"/>
      <c r="Q54" s="15"/>
      <c r="R54" s="15"/>
      <c r="S54" s="15"/>
      <c r="T54" s="15"/>
      <c r="U54" s="14" t="str">
        <f t="shared" ref="U54:U63" si="4">IF(I54="","",IF(I54="NA","Grey",IF(I54=2,"Green",IF(I54=1,"Amber","Red"))))</f>
        <v/>
      </c>
    </row>
    <row r="55" spans="1:21" ht="29" x14ac:dyDescent="0.35">
      <c r="A55" s="14">
        <v>2</v>
      </c>
      <c r="B55" s="14" t="s">
        <v>803</v>
      </c>
      <c r="C55" s="14" t="s">
        <v>804</v>
      </c>
      <c r="D55" s="14" t="s">
        <v>805</v>
      </c>
      <c r="E55" s="14" t="s">
        <v>449</v>
      </c>
      <c r="F55" s="14" t="s">
        <v>284</v>
      </c>
      <c r="G55" s="14" t="s">
        <v>691</v>
      </c>
      <c r="H55" s="14" t="s">
        <v>76</v>
      </c>
      <c r="I55" s="15"/>
      <c r="J55" s="15"/>
      <c r="K55" s="15"/>
      <c r="L55" s="15"/>
      <c r="M55" s="15"/>
      <c r="N55" s="15"/>
      <c r="O55" s="15"/>
      <c r="P55" s="15"/>
      <c r="Q55" s="15"/>
      <c r="R55" s="15"/>
      <c r="S55" s="15"/>
      <c r="T55" s="15"/>
      <c r="U55" s="14" t="str">
        <f t="shared" si="4"/>
        <v/>
      </c>
    </row>
    <row r="56" spans="1:21" ht="29" x14ac:dyDescent="0.35">
      <c r="A56" s="14">
        <v>3</v>
      </c>
      <c r="B56" s="14" t="s">
        <v>806</v>
      </c>
      <c r="C56" s="14" t="s">
        <v>807</v>
      </c>
      <c r="D56" s="14" t="s">
        <v>808</v>
      </c>
      <c r="E56" s="14" t="s">
        <v>690</v>
      </c>
      <c r="F56" s="14" t="s">
        <v>167</v>
      </c>
      <c r="G56" s="14" t="s">
        <v>691</v>
      </c>
      <c r="H56" s="14" t="s">
        <v>59</v>
      </c>
      <c r="I56" s="15"/>
      <c r="J56" s="15"/>
      <c r="K56" s="15"/>
      <c r="L56" s="15"/>
      <c r="M56" s="15"/>
      <c r="N56" s="15"/>
      <c r="O56" s="15"/>
      <c r="P56" s="15"/>
      <c r="Q56" s="15"/>
      <c r="R56" s="15"/>
      <c r="S56" s="15"/>
      <c r="T56" s="15"/>
      <c r="U56" s="14" t="str">
        <f t="shared" si="4"/>
        <v/>
      </c>
    </row>
    <row r="57" spans="1:21" ht="29" x14ac:dyDescent="0.35">
      <c r="A57" s="14">
        <v>4</v>
      </c>
      <c r="B57" s="14" t="s">
        <v>768</v>
      </c>
      <c r="C57" s="14" t="s">
        <v>809</v>
      </c>
      <c r="D57" s="14" t="s">
        <v>70</v>
      </c>
      <c r="E57" s="14" t="s">
        <v>70</v>
      </c>
      <c r="F57" s="14" t="s">
        <v>810</v>
      </c>
      <c r="G57" s="14" t="s">
        <v>691</v>
      </c>
      <c r="H57" s="14" t="s">
        <v>76</v>
      </c>
      <c r="I57" s="15"/>
      <c r="J57" s="15"/>
      <c r="K57" s="15"/>
      <c r="L57" s="15"/>
      <c r="M57" s="15"/>
      <c r="N57" s="15"/>
      <c r="O57" s="15"/>
      <c r="P57" s="15"/>
      <c r="Q57" s="15"/>
      <c r="R57" s="15"/>
      <c r="S57" s="15"/>
      <c r="T57" s="15"/>
      <c r="U57" s="14" t="str">
        <f t="shared" si="4"/>
        <v/>
      </c>
    </row>
    <row r="58" spans="1:21" ht="29" x14ac:dyDescent="0.35">
      <c r="A58" s="14">
        <v>5</v>
      </c>
      <c r="B58" s="14" t="s">
        <v>811</v>
      </c>
      <c r="C58" s="14" t="s">
        <v>812</v>
      </c>
      <c r="D58" s="14" t="s">
        <v>813</v>
      </c>
      <c r="E58" s="14" t="s">
        <v>690</v>
      </c>
      <c r="F58" s="14" t="s">
        <v>167</v>
      </c>
      <c r="G58" s="14" t="s">
        <v>691</v>
      </c>
      <c r="H58" s="14" t="s">
        <v>59</v>
      </c>
      <c r="I58" s="15"/>
      <c r="J58" s="15"/>
      <c r="K58" s="15"/>
      <c r="L58" s="15"/>
      <c r="M58" s="15"/>
      <c r="N58" s="15"/>
      <c r="O58" s="15"/>
      <c r="P58" s="15"/>
      <c r="Q58" s="15"/>
      <c r="R58" s="15"/>
      <c r="S58" s="15"/>
      <c r="T58" s="15"/>
      <c r="U58" s="14" t="str">
        <f t="shared" si="4"/>
        <v/>
      </c>
    </row>
    <row r="59" spans="1:21" ht="29" x14ac:dyDescent="0.35">
      <c r="A59" s="14">
        <v>6</v>
      </c>
      <c r="B59" s="14" t="s">
        <v>814</v>
      </c>
      <c r="C59" s="14" t="s">
        <v>815</v>
      </c>
      <c r="D59" s="14" t="s">
        <v>816</v>
      </c>
      <c r="E59" s="14" t="s">
        <v>690</v>
      </c>
      <c r="F59" s="14" t="s">
        <v>167</v>
      </c>
      <c r="G59" s="14" t="s">
        <v>691</v>
      </c>
      <c r="H59" s="14" t="s">
        <v>59</v>
      </c>
      <c r="I59" s="15"/>
      <c r="J59" s="15"/>
      <c r="K59" s="15"/>
      <c r="L59" s="15"/>
      <c r="M59" s="15"/>
      <c r="N59" s="15"/>
      <c r="O59" s="15"/>
      <c r="P59" s="15"/>
      <c r="Q59" s="15"/>
      <c r="R59" s="15"/>
      <c r="S59" s="15"/>
      <c r="T59" s="15"/>
      <c r="U59" s="14" t="str">
        <f t="shared" si="4"/>
        <v/>
      </c>
    </row>
    <row r="60" spans="1:21" ht="29" x14ac:dyDescent="0.35">
      <c r="A60" s="14">
        <v>7</v>
      </c>
      <c r="B60" s="14" t="s">
        <v>817</v>
      </c>
      <c r="C60" s="14" t="s">
        <v>818</v>
      </c>
      <c r="D60" s="14" t="s">
        <v>819</v>
      </c>
      <c r="E60" s="14" t="s">
        <v>690</v>
      </c>
      <c r="F60" s="14" t="s">
        <v>167</v>
      </c>
      <c r="G60" s="14" t="s">
        <v>691</v>
      </c>
      <c r="H60" s="14" t="s">
        <v>59</v>
      </c>
      <c r="I60" s="15"/>
      <c r="J60" s="15"/>
      <c r="K60" s="15"/>
      <c r="L60" s="15"/>
      <c r="M60" s="15"/>
      <c r="N60" s="15"/>
      <c r="O60" s="15"/>
      <c r="P60" s="15"/>
      <c r="Q60" s="15"/>
      <c r="R60" s="15"/>
      <c r="S60" s="15"/>
      <c r="T60" s="15"/>
      <c r="U60" s="14" t="str">
        <f t="shared" si="4"/>
        <v/>
      </c>
    </row>
    <row r="61" spans="1:21" ht="29" x14ac:dyDescent="0.35">
      <c r="A61" s="14">
        <v>8</v>
      </c>
      <c r="B61" s="14" t="s">
        <v>820</v>
      </c>
      <c r="C61" s="14" t="s">
        <v>821</v>
      </c>
      <c r="D61" s="14" t="s">
        <v>822</v>
      </c>
      <c r="E61" s="14" t="s">
        <v>69</v>
      </c>
      <c r="F61" s="14" t="s">
        <v>167</v>
      </c>
      <c r="G61" s="14" t="s">
        <v>691</v>
      </c>
      <c r="H61" s="14" t="s">
        <v>76</v>
      </c>
      <c r="I61" s="15"/>
      <c r="J61" s="15"/>
      <c r="K61" s="15"/>
      <c r="L61" s="15"/>
      <c r="M61" s="15"/>
      <c r="N61" s="15"/>
      <c r="O61" s="15"/>
      <c r="P61" s="15"/>
      <c r="Q61" s="15"/>
      <c r="R61" s="15"/>
      <c r="S61" s="15"/>
      <c r="T61" s="15"/>
      <c r="U61" s="14" t="str">
        <f t="shared" si="4"/>
        <v/>
      </c>
    </row>
    <row r="62" spans="1:21" ht="29" x14ac:dyDescent="0.35">
      <c r="A62" s="14">
        <v>9</v>
      </c>
      <c r="B62" s="14" t="s">
        <v>823</v>
      </c>
      <c r="C62" s="14" t="s">
        <v>824</v>
      </c>
      <c r="D62" s="14" t="s">
        <v>825</v>
      </c>
      <c r="E62" s="14" t="s">
        <v>692</v>
      </c>
      <c r="F62" s="14" t="s">
        <v>167</v>
      </c>
      <c r="G62" s="14" t="s">
        <v>691</v>
      </c>
      <c r="H62" s="14" t="s">
        <v>76</v>
      </c>
      <c r="I62" s="15"/>
      <c r="J62" s="15"/>
      <c r="K62" s="15"/>
      <c r="L62" s="15"/>
      <c r="M62" s="15"/>
      <c r="N62" s="15"/>
      <c r="O62" s="15"/>
      <c r="P62" s="15"/>
      <c r="Q62" s="15"/>
      <c r="R62" s="15"/>
      <c r="S62" s="15"/>
      <c r="T62" s="15"/>
      <c r="U62" s="14" t="str">
        <f t="shared" si="4"/>
        <v/>
      </c>
    </row>
    <row r="63" spans="1:21" ht="29" x14ac:dyDescent="0.35">
      <c r="A63" s="14">
        <v>10</v>
      </c>
      <c r="B63" s="14" t="s">
        <v>826</v>
      </c>
      <c r="C63" s="14" t="s">
        <v>827</v>
      </c>
      <c r="D63" s="14" t="s">
        <v>828</v>
      </c>
      <c r="E63" s="14" t="s">
        <v>690</v>
      </c>
      <c r="F63" s="14" t="s">
        <v>167</v>
      </c>
      <c r="G63" s="14" t="s">
        <v>691</v>
      </c>
      <c r="H63" s="14" t="s">
        <v>59</v>
      </c>
      <c r="I63" s="15"/>
      <c r="J63" s="15"/>
      <c r="K63" s="15"/>
      <c r="L63" s="15"/>
      <c r="M63" s="15"/>
      <c r="N63" s="15"/>
      <c r="O63" s="15"/>
      <c r="P63" s="15"/>
      <c r="Q63" s="15"/>
      <c r="R63" s="15"/>
      <c r="S63" s="15"/>
      <c r="T63" s="15"/>
      <c r="U63" s="14" t="str">
        <f t="shared" si="4"/>
        <v/>
      </c>
    </row>
    <row r="66" spans="1:21" ht="22" customHeight="1" x14ac:dyDescent="0.35">
      <c r="A66" s="26" t="s">
        <v>831</v>
      </c>
      <c r="B66" s="23"/>
      <c r="C66" s="23"/>
      <c r="D66" s="23"/>
      <c r="E66" s="23"/>
      <c r="F66" s="23"/>
      <c r="G66" s="23"/>
      <c r="H66" s="23"/>
      <c r="I66" s="23"/>
      <c r="J66" s="23"/>
      <c r="K66" s="23"/>
      <c r="L66" s="23"/>
      <c r="M66" s="23"/>
      <c r="N66" s="23"/>
      <c r="O66" s="23"/>
      <c r="P66" s="23"/>
      <c r="Q66" s="23"/>
      <c r="R66" s="23"/>
      <c r="S66" s="23"/>
      <c r="T66" s="23"/>
      <c r="U66" s="23"/>
    </row>
    <row r="67" spans="1:21" x14ac:dyDescent="0.35">
      <c r="A67" t="s">
        <v>31</v>
      </c>
      <c r="B67" t="s">
        <v>21</v>
      </c>
      <c r="C67" t="s">
        <v>32</v>
      </c>
      <c r="E67" t="s">
        <v>33</v>
      </c>
    </row>
    <row r="68" spans="1:21" ht="29" x14ac:dyDescent="0.35">
      <c r="A68" s="11" t="s">
        <v>34</v>
      </c>
      <c r="B68" s="11" t="s">
        <v>35</v>
      </c>
      <c r="C68" s="11" t="s">
        <v>36</v>
      </c>
      <c r="D68" s="11" t="s">
        <v>37</v>
      </c>
      <c r="E68" s="11" t="s">
        <v>38</v>
      </c>
      <c r="F68" s="11" t="s">
        <v>39</v>
      </c>
      <c r="G68" s="11" t="s">
        <v>40</v>
      </c>
      <c r="H68" s="11" t="s">
        <v>41</v>
      </c>
      <c r="I68" s="11" t="s">
        <v>42</v>
      </c>
      <c r="J68" s="11" t="s">
        <v>43</v>
      </c>
      <c r="K68" s="11" t="s">
        <v>44</v>
      </c>
      <c r="L68" s="11" t="s">
        <v>45</v>
      </c>
      <c r="M68" s="11" t="s">
        <v>46</v>
      </c>
      <c r="N68" s="11" t="s">
        <v>47</v>
      </c>
      <c r="O68" s="11" t="s">
        <v>48</v>
      </c>
      <c r="P68" s="11" t="s">
        <v>4</v>
      </c>
      <c r="Q68" s="11" t="s">
        <v>49</v>
      </c>
      <c r="R68" s="11" t="s">
        <v>50</v>
      </c>
      <c r="S68" s="11" t="s">
        <v>51</v>
      </c>
      <c r="T68" s="11" t="s">
        <v>52</v>
      </c>
      <c r="U68" s="11" t="s">
        <v>10</v>
      </c>
    </row>
    <row r="69" spans="1:21" ht="29" x14ac:dyDescent="0.35">
      <c r="A69" s="14">
        <v>1</v>
      </c>
      <c r="B69" s="14" t="s">
        <v>800</v>
      </c>
      <c r="C69" s="14" t="s">
        <v>801</v>
      </c>
      <c r="D69" s="14" t="s">
        <v>802</v>
      </c>
      <c r="E69" s="14" t="s">
        <v>69</v>
      </c>
      <c r="F69" s="14" t="s">
        <v>167</v>
      </c>
      <c r="G69" s="14" t="s">
        <v>691</v>
      </c>
      <c r="H69" s="14" t="s">
        <v>76</v>
      </c>
      <c r="I69" s="15"/>
      <c r="J69" s="15"/>
      <c r="K69" s="15"/>
      <c r="L69" s="15"/>
      <c r="M69" s="15"/>
      <c r="N69" s="15"/>
      <c r="O69" s="15"/>
      <c r="P69" s="15"/>
      <c r="Q69" s="15"/>
      <c r="R69" s="15"/>
      <c r="S69" s="15"/>
      <c r="T69" s="15"/>
      <c r="U69" s="14" t="str">
        <f t="shared" ref="U69:U78" si="5">IF(I69="","",IF(I69="NA","Grey",IF(I69=2,"Green",IF(I69=1,"Amber","Red"))))</f>
        <v/>
      </c>
    </row>
    <row r="70" spans="1:21" ht="29" x14ac:dyDescent="0.35">
      <c r="A70" s="14">
        <v>2</v>
      </c>
      <c r="B70" s="14" t="s">
        <v>803</v>
      </c>
      <c r="C70" s="14" t="s">
        <v>804</v>
      </c>
      <c r="D70" s="14" t="s">
        <v>805</v>
      </c>
      <c r="E70" s="14" t="s">
        <v>449</v>
      </c>
      <c r="F70" s="14" t="s">
        <v>284</v>
      </c>
      <c r="G70" s="14" t="s">
        <v>691</v>
      </c>
      <c r="H70" s="14" t="s">
        <v>76</v>
      </c>
      <c r="I70" s="15"/>
      <c r="J70" s="15"/>
      <c r="K70" s="15"/>
      <c r="L70" s="15"/>
      <c r="M70" s="15"/>
      <c r="N70" s="15"/>
      <c r="O70" s="15"/>
      <c r="P70" s="15"/>
      <c r="Q70" s="15"/>
      <c r="R70" s="15"/>
      <c r="S70" s="15"/>
      <c r="T70" s="15"/>
      <c r="U70" s="14" t="str">
        <f t="shared" si="5"/>
        <v/>
      </c>
    </row>
    <row r="71" spans="1:21" ht="29" x14ac:dyDescent="0.35">
      <c r="A71" s="14">
        <v>3</v>
      </c>
      <c r="B71" s="14" t="s">
        <v>806</v>
      </c>
      <c r="C71" s="14" t="s">
        <v>807</v>
      </c>
      <c r="D71" s="14" t="s">
        <v>808</v>
      </c>
      <c r="E71" s="14" t="s">
        <v>690</v>
      </c>
      <c r="F71" s="14" t="s">
        <v>167</v>
      </c>
      <c r="G71" s="14" t="s">
        <v>691</v>
      </c>
      <c r="H71" s="14" t="s">
        <v>59</v>
      </c>
      <c r="I71" s="15"/>
      <c r="J71" s="15"/>
      <c r="K71" s="15"/>
      <c r="L71" s="15"/>
      <c r="M71" s="15"/>
      <c r="N71" s="15"/>
      <c r="O71" s="15"/>
      <c r="P71" s="15"/>
      <c r="Q71" s="15"/>
      <c r="R71" s="15"/>
      <c r="S71" s="15"/>
      <c r="T71" s="15"/>
      <c r="U71" s="14" t="str">
        <f t="shared" si="5"/>
        <v/>
      </c>
    </row>
    <row r="72" spans="1:21" ht="29" x14ac:dyDescent="0.35">
      <c r="A72" s="14">
        <v>4</v>
      </c>
      <c r="B72" s="14" t="s">
        <v>768</v>
      </c>
      <c r="C72" s="14" t="s">
        <v>809</v>
      </c>
      <c r="D72" s="14" t="s">
        <v>70</v>
      </c>
      <c r="E72" s="14" t="s">
        <v>70</v>
      </c>
      <c r="F72" s="14" t="s">
        <v>810</v>
      </c>
      <c r="G72" s="14" t="s">
        <v>691</v>
      </c>
      <c r="H72" s="14" t="s">
        <v>76</v>
      </c>
      <c r="I72" s="15"/>
      <c r="J72" s="15"/>
      <c r="K72" s="15"/>
      <c r="L72" s="15"/>
      <c r="M72" s="15"/>
      <c r="N72" s="15"/>
      <c r="O72" s="15"/>
      <c r="P72" s="15"/>
      <c r="Q72" s="15"/>
      <c r="R72" s="15"/>
      <c r="S72" s="15"/>
      <c r="T72" s="15"/>
      <c r="U72" s="14" t="str">
        <f t="shared" si="5"/>
        <v/>
      </c>
    </row>
    <row r="73" spans="1:21" ht="29" x14ac:dyDescent="0.35">
      <c r="A73" s="14">
        <v>5</v>
      </c>
      <c r="B73" s="14" t="s">
        <v>811</v>
      </c>
      <c r="C73" s="14" t="s">
        <v>812</v>
      </c>
      <c r="D73" s="14" t="s">
        <v>813</v>
      </c>
      <c r="E73" s="14" t="s">
        <v>690</v>
      </c>
      <c r="F73" s="14" t="s">
        <v>167</v>
      </c>
      <c r="G73" s="14" t="s">
        <v>691</v>
      </c>
      <c r="H73" s="14" t="s">
        <v>59</v>
      </c>
      <c r="I73" s="15"/>
      <c r="J73" s="15"/>
      <c r="K73" s="15"/>
      <c r="L73" s="15"/>
      <c r="M73" s="15"/>
      <c r="N73" s="15"/>
      <c r="O73" s="15"/>
      <c r="P73" s="15"/>
      <c r="Q73" s="15"/>
      <c r="R73" s="15"/>
      <c r="S73" s="15"/>
      <c r="T73" s="15"/>
      <c r="U73" s="14" t="str">
        <f t="shared" si="5"/>
        <v/>
      </c>
    </row>
    <row r="74" spans="1:21" ht="29" x14ac:dyDescent="0.35">
      <c r="A74" s="14">
        <v>6</v>
      </c>
      <c r="B74" s="14" t="s">
        <v>814</v>
      </c>
      <c r="C74" s="14" t="s">
        <v>815</v>
      </c>
      <c r="D74" s="14" t="s">
        <v>816</v>
      </c>
      <c r="E74" s="14" t="s">
        <v>690</v>
      </c>
      <c r="F74" s="14" t="s">
        <v>167</v>
      </c>
      <c r="G74" s="14" t="s">
        <v>691</v>
      </c>
      <c r="H74" s="14" t="s">
        <v>59</v>
      </c>
      <c r="I74" s="15"/>
      <c r="J74" s="15"/>
      <c r="K74" s="15"/>
      <c r="L74" s="15"/>
      <c r="M74" s="15"/>
      <c r="N74" s="15"/>
      <c r="O74" s="15"/>
      <c r="P74" s="15"/>
      <c r="Q74" s="15"/>
      <c r="R74" s="15"/>
      <c r="S74" s="15"/>
      <c r="T74" s="15"/>
      <c r="U74" s="14" t="str">
        <f t="shared" si="5"/>
        <v/>
      </c>
    </row>
    <row r="75" spans="1:21" ht="29" x14ac:dyDescent="0.35">
      <c r="A75" s="14">
        <v>7</v>
      </c>
      <c r="B75" s="14" t="s">
        <v>817</v>
      </c>
      <c r="C75" s="14" t="s">
        <v>818</v>
      </c>
      <c r="D75" s="14" t="s">
        <v>819</v>
      </c>
      <c r="E75" s="14" t="s">
        <v>690</v>
      </c>
      <c r="F75" s="14" t="s">
        <v>167</v>
      </c>
      <c r="G75" s="14" t="s">
        <v>691</v>
      </c>
      <c r="H75" s="14" t="s">
        <v>59</v>
      </c>
      <c r="I75" s="15"/>
      <c r="J75" s="15"/>
      <c r="K75" s="15"/>
      <c r="L75" s="15"/>
      <c r="M75" s="15"/>
      <c r="N75" s="15"/>
      <c r="O75" s="15"/>
      <c r="P75" s="15"/>
      <c r="Q75" s="15"/>
      <c r="R75" s="15"/>
      <c r="S75" s="15"/>
      <c r="T75" s="15"/>
      <c r="U75" s="14" t="str">
        <f t="shared" si="5"/>
        <v/>
      </c>
    </row>
    <row r="76" spans="1:21" ht="29" x14ac:dyDescent="0.35">
      <c r="A76" s="14">
        <v>8</v>
      </c>
      <c r="B76" s="14" t="s">
        <v>820</v>
      </c>
      <c r="C76" s="14" t="s">
        <v>821</v>
      </c>
      <c r="D76" s="14" t="s">
        <v>822</v>
      </c>
      <c r="E76" s="14" t="s">
        <v>69</v>
      </c>
      <c r="F76" s="14" t="s">
        <v>167</v>
      </c>
      <c r="G76" s="14" t="s">
        <v>691</v>
      </c>
      <c r="H76" s="14" t="s">
        <v>76</v>
      </c>
      <c r="I76" s="15"/>
      <c r="J76" s="15"/>
      <c r="K76" s="15"/>
      <c r="L76" s="15"/>
      <c r="M76" s="15"/>
      <c r="N76" s="15"/>
      <c r="O76" s="15"/>
      <c r="P76" s="15"/>
      <c r="Q76" s="15"/>
      <c r="R76" s="15"/>
      <c r="S76" s="15"/>
      <c r="T76" s="15"/>
      <c r="U76" s="14" t="str">
        <f t="shared" si="5"/>
        <v/>
      </c>
    </row>
    <row r="77" spans="1:21" ht="29" x14ac:dyDescent="0.35">
      <c r="A77" s="14">
        <v>9</v>
      </c>
      <c r="B77" s="14" t="s">
        <v>823</v>
      </c>
      <c r="C77" s="14" t="s">
        <v>824</v>
      </c>
      <c r="D77" s="14" t="s">
        <v>825</v>
      </c>
      <c r="E77" s="14" t="s">
        <v>692</v>
      </c>
      <c r="F77" s="14" t="s">
        <v>167</v>
      </c>
      <c r="G77" s="14" t="s">
        <v>691</v>
      </c>
      <c r="H77" s="14" t="s">
        <v>76</v>
      </c>
      <c r="I77" s="15"/>
      <c r="J77" s="15"/>
      <c r="K77" s="15"/>
      <c r="L77" s="15"/>
      <c r="M77" s="15"/>
      <c r="N77" s="15"/>
      <c r="O77" s="15"/>
      <c r="P77" s="15"/>
      <c r="Q77" s="15"/>
      <c r="R77" s="15"/>
      <c r="S77" s="15"/>
      <c r="T77" s="15"/>
      <c r="U77" s="14" t="str">
        <f t="shared" si="5"/>
        <v/>
      </c>
    </row>
    <row r="78" spans="1:21" ht="29" x14ac:dyDescent="0.35">
      <c r="A78" s="14">
        <v>10</v>
      </c>
      <c r="B78" s="14" t="s">
        <v>826</v>
      </c>
      <c r="C78" s="14" t="s">
        <v>827</v>
      </c>
      <c r="D78" s="14" t="s">
        <v>828</v>
      </c>
      <c r="E78" s="14" t="s">
        <v>690</v>
      </c>
      <c r="F78" s="14" t="s">
        <v>167</v>
      </c>
      <c r="G78" s="14" t="s">
        <v>691</v>
      </c>
      <c r="H78" s="14" t="s">
        <v>59</v>
      </c>
      <c r="I78" s="15"/>
      <c r="J78" s="15"/>
      <c r="K78" s="15"/>
      <c r="L78" s="15"/>
      <c r="M78" s="15"/>
      <c r="N78" s="15"/>
      <c r="O78" s="15"/>
      <c r="P78" s="15"/>
      <c r="Q78" s="15"/>
      <c r="R78" s="15"/>
      <c r="S78" s="15"/>
      <c r="T78" s="15"/>
      <c r="U78" s="14" t="str">
        <f t="shared" si="5"/>
        <v/>
      </c>
    </row>
    <row r="81" spans="1:21" ht="22" customHeight="1" x14ac:dyDescent="0.35">
      <c r="A81" s="26" t="s">
        <v>832</v>
      </c>
      <c r="B81" s="23"/>
      <c r="C81" s="23"/>
      <c r="D81" s="23"/>
      <c r="E81" s="23"/>
      <c r="F81" s="23"/>
      <c r="G81" s="23"/>
      <c r="H81" s="23"/>
      <c r="I81" s="23"/>
      <c r="J81" s="23"/>
      <c r="K81" s="23"/>
      <c r="L81" s="23"/>
      <c r="M81" s="23"/>
      <c r="N81" s="23"/>
      <c r="O81" s="23"/>
      <c r="P81" s="23"/>
      <c r="Q81" s="23"/>
      <c r="R81" s="23"/>
      <c r="S81" s="23"/>
      <c r="T81" s="23"/>
      <c r="U81" s="23"/>
    </row>
    <row r="82" spans="1:21" x14ac:dyDescent="0.35">
      <c r="A82" t="s">
        <v>31</v>
      </c>
      <c r="B82" t="s">
        <v>22</v>
      </c>
      <c r="C82" t="s">
        <v>32</v>
      </c>
      <c r="E82" t="s">
        <v>33</v>
      </c>
    </row>
    <row r="83" spans="1:21" ht="29" x14ac:dyDescent="0.35">
      <c r="A83" s="11" t="s">
        <v>34</v>
      </c>
      <c r="B83" s="11" t="s">
        <v>35</v>
      </c>
      <c r="C83" s="11" t="s">
        <v>36</v>
      </c>
      <c r="D83" s="11" t="s">
        <v>37</v>
      </c>
      <c r="E83" s="11" t="s">
        <v>38</v>
      </c>
      <c r="F83" s="11" t="s">
        <v>39</v>
      </c>
      <c r="G83" s="11" t="s">
        <v>40</v>
      </c>
      <c r="H83" s="11" t="s">
        <v>41</v>
      </c>
      <c r="I83" s="11" t="s">
        <v>42</v>
      </c>
      <c r="J83" s="11" t="s">
        <v>43</v>
      </c>
      <c r="K83" s="11" t="s">
        <v>44</v>
      </c>
      <c r="L83" s="11" t="s">
        <v>45</v>
      </c>
      <c r="M83" s="11" t="s">
        <v>46</v>
      </c>
      <c r="N83" s="11" t="s">
        <v>47</v>
      </c>
      <c r="O83" s="11" t="s">
        <v>48</v>
      </c>
      <c r="P83" s="11" t="s">
        <v>4</v>
      </c>
      <c r="Q83" s="11" t="s">
        <v>49</v>
      </c>
      <c r="R83" s="11" t="s">
        <v>50</v>
      </c>
      <c r="S83" s="11" t="s">
        <v>51</v>
      </c>
      <c r="T83" s="11" t="s">
        <v>52</v>
      </c>
      <c r="U83" s="11" t="s">
        <v>10</v>
      </c>
    </row>
    <row r="84" spans="1:21" ht="29" x14ac:dyDescent="0.35">
      <c r="A84" s="14">
        <v>1</v>
      </c>
      <c r="B84" s="14" t="s">
        <v>800</v>
      </c>
      <c r="C84" s="14" t="s">
        <v>801</v>
      </c>
      <c r="D84" s="14" t="s">
        <v>802</v>
      </c>
      <c r="E84" s="14" t="s">
        <v>69</v>
      </c>
      <c r="F84" s="14" t="s">
        <v>167</v>
      </c>
      <c r="G84" s="14" t="s">
        <v>691</v>
      </c>
      <c r="H84" s="14" t="s">
        <v>76</v>
      </c>
      <c r="I84" s="15"/>
      <c r="J84" s="15"/>
      <c r="K84" s="15"/>
      <c r="L84" s="15"/>
      <c r="M84" s="15"/>
      <c r="N84" s="15"/>
      <c r="O84" s="15"/>
      <c r="P84" s="15"/>
      <c r="Q84" s="15"/>
      <c r="R84" s="15"/>
      <c r="S84" s="15"/>
      <c r="T84" s="15"/>
      <c r="U84" s="14" t="str">
        <f t="shared" ref="U84:U93" si="6">IF(I84="","",IF(I84="NA","Grey",IF(I84=2,"Green",IF(I84=1,"Amber","Red"))))</f>
        <v/>
      </c>
    </row>
    <row r="85" spans="1:21" ht="29" x14ac:dyDescent="0.35">
      <c r="A85" s="14">
        <v>2</v>
      </c>
      <c r="B85" s="14" t="s">
        <v>803</v>
      </c>
      <c r="C85" s="14" t="s">
        <v>804</v>
      </c>
      <c r="D85" s="14" t="s">
        <v>805</v>
      </c>
      <c r="E85" s="14" t="s">
        <v>449</v>
      </c>
      <c r="F85" s="14" t="s">
        <v>284</v>
      </c>
      <c r="G85" s="14" t="s">
        <v>691</v>
      </c>
      <c r="H85" s="14" t="s">
        <v>76</v>
      </c>
      <c r="I85" s="15"/>
      <c r="J85" s="15"/>
      <c r="K85" s="15"/>
      <c r="L85" s="15"/>
      <c r="M85" s="15"/>
      <c r="N85" s="15"/>
      <c r="O85" s="15"/>
      <c r="P85" s="15"/>
      <c r="Q85" s="15"/>
      <c r="R85" s="15"/>
      <c r="S85" s="15"/>
      <c r="T85" s="15"/>
      <c r="U85" s="14" t="str">
        <f t="shared" si="6"/>
        <v/>
      </c>
    </row>
    <row r="86" spans="1:21" ht="29" x14ac:dyDescent="0.35">
      <c r="A86" s="14">
        <v>3</v>
      </c>
      <c r="B86" s="14" t="s">
        <v>806</v>
      </c>
      <c r="C86" s="14" t="s">
        <v>807</v>
      </c>
      <c r="D86" s="14" t="s">
        <v>808</v>
      </c>
      <c r="E86" s="14" t="s">
        <v>690</v>
      </c>
      <c r="F86" s="14" t="s">
        <v>167</v>
      </c>
      <c r="G86" s="14" t="s">
        <v>691</v>
      </c>
      <c r="H86" s="14" t="s">
        <v>59</v>
      </c>
      <c r="I86" s="15"/>
      <c r="J86" s="15"/>
      <c r="K86" s="15"/>
      <c r="L86" s="15"/>
      <c r="M86" s="15"/>
      <c r="N86" s="15"/>
      <c r="O86" s="15"/>
      <c r="P86" s="15"/>
      <c r="Q86" s="15"/>
      <c r="R86" s="15"/>
      <c r="S86" s="15"/>
      <c r="T86" s="15"/>
      <c r="U86" s="14" t="str">
        <f t="shared" si="6"/>
        <v/>
      </c>
    </row>
    <row r="87" spans="1:21" ht="29" x14ac:dyDescent="0.35">
      <c r="A87" s="14">
        <v>4</v>
      </c>
      <c r="B87" s="14" t="s">
        <v>768</v>
      </c>
      <c r="C87" s="14" t="s">
        <v>809</v>
      </c>
      <c r="D87" s="14" t="s">
        <v>70</v>
      </c>
      <c r="E87" s="14" t="s">
        <v>70</v>
      </c>
      <c r="F87" s="14" t="s">
        <v>810</v>
      </c>
      <c r="G87" s="14" t="s">
        <v>691</v>
      </c>
      <c r="H87" s="14" t="s">
        <v>76</v>
      </c>
      <c r="I87" s="15"/>
      <c r="J87" s="15"/>
      <c r="K87" s="15"/>
      <c r="L87" s="15"/>
      <c r="M87" s="15"/>
      <c r="N87" s="15"/>
      <c r="O87" s="15"/>
      <c r="P87" s="15"/>
      <c r="Q87" s="15"/>
      <c r="R87" s="15"/>
      <c r="S87" s="15"/>
      <c r="T87" s="15"/>
      <c r="U87" s="14" t="str">
        <f t="shared" si="6"/>
        <v/>
      </c>
    </row>
    <row r="88" spans="1:21" ht="29" x14ac:dyDescent="0.35">
      <c r="A88" s="14">
        <v>5</v>
      </c>
      <c r="B88" s="14" t="s">
        <v>811</v>
      </c>
      <c r="C88" s="14" t="s">
        <v>812</v>
      </c>
      <c r="D88" s="14" t="s">
        <v>813</v>
      </c>
      <c r="E88" s="14" t="s">
        <v>690</v>
      </c>
      <c r="F88" s="14" t="s">
        <v>167</v>
      </c>
      <c r="G88" s="14" t="s">
        <v>691</v>
      </c>
      <c r="H88" s="14" t="s">
        <v>59</v>
      </c>
      <c r="I88" s="15"/>
      <c r="J88" s="15"/>
      <c r="K88" s="15"/>
      <c r="L88" s="15"/>
      <c r="M88" s="15"/>
      <c r="N88" s="15"/>
      <c r="O88" s="15"/>
      <c r="P88" s="15"/>
      <c r="Q88" s="15"/>
      <c r="R88" s="15"/>
      <c r="S88" s="15"/>
      <c r="T88" s="15"/>
      <c r="U88" s="14" t="str">
        <f t="shared" si="6"/>
        <v/>
      </c>
    </row>
    <row r="89" spans="1:21" ht="29" x14ac:dyDescent="0.35">
      <c r="A89" s="14">
        <v>6</v>
      </c>
      <c r="B89" s="14" t="s">
        <v>814</v>
      </c>
      <c r="C89" s="14" t="s">
        <v>815</v>
      </c>
      <c r="D89" s="14" t="s">
        <v>816</v>
      </c>
      <c r="E89" s="14" t="s">
        <v>690</v>
      </c>
      <c r="F89" s="14" t="s">
        <v>167</v>
      </c>
      <c r="G89" s="14" t="s">
        <v>691</v>
      </c>
      <c r="H89" s="14" t="s">
        <v>59</v>
      </c>
      <c r="I89" s="15"/>
      <c r="J89" s="15"/>
      <c r="K89" s="15"/>
      <c r="L89" s="15"/>
      <c r="M89" s="15"/>
      <c r="N89" s="15"/>
      <c r="O89" s="15"/>
      <c r="P89" s="15"/>
      <c r="Q89" s="15"/>
      <c r="R89" s="15"/>
      <c r="S89" s="15"/>
      <c r="T89" s="15"/>
      <c r="U89" s="14" t="str">
        <f t="shared" si="6"/>
        <v/>
      </c>
    </row>
    <row r="90" spans="1:21" ht="29" x14ac:dyDescent="0.35">
      <c r="A90" s="14">
        <v>7</v>
      </c>
      <c r="B90" s="14" t="s">
        <v>817</v>
      </c>
      <c r="C90" s="14" t="s">
        <v>818</v>
      </c>
      <c r="D90" s="14" t="s">
        <v>819</v>
      </c>
      <c r="E90" s="14" t="s">
        <v>690</v>
      </c>
      <c r="F90" s="14" t="s">
        <v>167</v>
      </c>
      <c r="G90" s="14" t="s">
        <v>691</v>
      </c>
      <c r="H90" s="14" t="s">
        <v>59</v>
      </c>
      <c r="I90" s="15"/>
      <c r="J90" s="15"/>
      <c r="K90" s="15"/>
      <c r="L90" s="15"/>
      <c r="M90" s="15"/>
      <c r="N90" s="15"/>
      <c r="O90" s="15"/>
      <c r="P90" s="15"/>
      <c r="Q90" s="15"/>
      <c r="R90" s="15"/>
      <c r="S90" s="15"/>
      <c r="T90" s="15"/>
      <c r="U90" s="14" t="str">
        <f t="shared" si="6"/>
        <v/>
      </c>
    </row>
    <row r="91" spans="1:21" ht="29" x14ac:dyDescent="0.35">
      <c r="A91" s="14">
        <v>8</v>
      </c>
      <c r="B91" s="14" t="s">
        <v>820</v>
      </c>
      <c r="C91" s="14" t="s">
        <v>821</v>
      </c>
      <c r="D91" s="14" t="s">
        <v>822</v>
      </c>
      <c r="E91" s="14" t="s">
        <v>69</v>
      </c>
      <c r="F91" s="14" t="s">
        <v>167</v>
      </c>
      <c r="G91" s="14" t="s">
        <v>691</v>
      </c>
      <c r="H91" s="14" t="s">
        <v>76</v>
      </c>
      <c r="I91" s="15"/>
      <c r="J91" s="15"/>
      <c r="K91" s="15"/>
      <c r="L91" s="15"/>
      <c r="M91" s="15"/>
      <c r="N91" s="15"/>
      <c r="O91" s="15"/>
      <c r="P91" s="15"/>
      <c r="Q91" s="15"/>
      <c r="R91" s="15"/>
      <c r="S91" s="15"/>
      <c r="T91" s="15"/>
      <c r="U91" s="14" t="str">
        <f t="shared" si="6"/>
        <v/>
      </c>
    </row>
    <row r="92" spans="1:21" ht="29" x14ac:dyDescent="0.35">
      <c r="A92" s="14">
        <v>9</v>
      </c>
      <c r="B92" s="14" t="s">
        <v>823</v>
      </c>
      <c r="C92" s="14" t="s">
        <v>824</v>
      </c>
      <c r="D92" s="14" t="s">
        <v>825</v>
      </c>
      <c r="E92" s="14" t="s">
        <v>692</v>
      </c>
      <c r="F92" s="14" t="s">
        <v>167</v>
      </c>
      <c r="G92" s="14" t="s">
        <v>691</v>
      </c>
      <c r="H92" s="14" t="s">
        <v>76</v>
      </c>
      <c r="I92" s="15"/>
      <c r="J92" s="15"/>
      <c r="K92" s="15"/>
      <c r="L92" s="15"/>
      <c r="M92" s="15"/>
      <c r="N92" s="15"/>
      <c r="O92" s="15"/>
      <c r="P92" s="15"/>
      <c r="Q92" s="15"/>
      <c r="R92" s="15"/>
      <c r="S92" s="15"/>
      <c r="T92" s="15"/>
      <c r="U92" s="14" t="str">
        <f t="shared" si="6"/>
        <v/>
      </c>
    </row>
    <row r="93" spans="1:21" ht="29" x14ac:dyDescent="0.35">
      <c r="A93" s="14">
        <v>10</v>
      </c>
      <c r="B93" s="14" t="s">
        <v>826</v>
      </c>
      <c r="C93" s="14" t="s">
        <v>827</v>
      </c>
      <c r="D93" s="14" t="s">
        <v>828</v>
      </c>
      <c r="E93" s="14" t="s">
        <v>690</v>
      </c>
      <c r="F93" s="14" t="s">
        <v>167</v>
      </c>
      <c r="G93" s="14" t="s">
        <v>691</v>
      </c>
      <c r="H93" s="14" t="s">
        <v>59</v>
      </c>
      <c r="I93" s="15"/>
      <c r="J93" s="15"/>
      <c r="K93" s="15"/>
      <c r="L93" s="15"/>
      <c r="M93" s="15"/>
      <c r="N93" s="15"/>
      <c r="O93" s="15"/>
      <c r="P93" s="15"/>
      <c r="Q93" s="15"/>
      <c r="R93" s="15"/>
      <c r="S93" s="15"/>
      <c r="T93" s="15"/>
      <c r="U93" s="14" t="str">
        <f t="shared" si="6"/>
        <v/>
      </c>
    </row>
    <row r="96" spans="1:21" ht="22" customHeight="1" x14ac:dyDescent="0.35">
      <c r="A96" s="26" t="s">
        <v>833</v>
      </c>
      <c r="B96" s="23"/>
      <c r="C96" s="23"/>
      <c r="D96" s="23"/>
      <c r="E96" s="23"/>
      <c r="F96" s="23"/>
      <c r="G96" s="23"/>
      <c r="H96" s="23"/>
      <c r="I96" s="23"/>
      <c r="J96" s="23"/>
      <c r="K96" s="23"/>
      <c r="L96" s="23"/>
      <c r="M96" s="23"/>
      <c r="N96" s="23"/>
      <c r="O96" s="23"/>
      <c r="P96" s="23"/>
      <c r="Q96" s="23"/>
      <c r="R96" s="23"/>
      <c r="S96" s="23"/>
      <c r="T96" s="23"/>
      <c r="U96" s="23"/>
    </row>
    <row r="97" spans="1:21" x14ac:dyDescent="0.35">
      <c r="A97" t="s">
        <v>31</v>
      </c>
      <c r="B97" t="s">
        <v>23</v>
      </c>
      <c r="C97" t="s">
        <v>32</v>
      </c>
      <c r="E97" t="s">
        <v>33</v>
      </c>
    </row>
    <row r="98" spans="1:21" ht="29" x14ac:dyDescent="0.35">
      <c r="A98" s="11" t="s">
        <v>34</v>
      </c>
      <c r="B98" s="11" t="s">
        <v>35</v>
      </c>
      <c r="C98" s="11" t="s">
        <v>36</v>
      </c>
      <c r="D98" s="11" t="s">
        <v>37</v>
      </c>
      <c r="E98" s="11" t="s">
        <v>38</v>
      </c>
      <c r="F98" s="11" t="s">
        <v>39</v>
      </c>
      <c r="G98" s="11" t="s">
        <v>40</v>
      </c>
      <c r="H98" s="11" t="s">
        <v>41</v>
      </c>
      <c r="I98" s="11" t="s">
        <v>42</v>
      </c>
      <c r="J98" s="11" t="s">
        <v>43</v>
      </c>
      <c r="K98" s="11" t="s">
        <v>44</v>
      </c>
      <c r="L98" s="11" t="s">
        <v>45</v>
      </c>
      <c r="M98" s="11" t="s">
        <v>46</v>
      </c>
      <c r="N98" s="11" t="s">
        <v>47</v>
      </c>
      <c r="O98" s="11" t="s">
        <v>48</v>
      </c>
      <c r="P98" s="11" t="s">
        <v>4</v>
      </c>
      <c r="Q98" s="11" t="s">
        <v>49</v>
      </c>
      <c r="R98" s="11" t="s">
        <v>50</v>
      </c>
      <c r="S98" s="11" t="s">
        <v>51</v>
      </c>
      <c r="T98" s="11" t="s">
        <v>52</v>
      </c>
      <c r="U98" s="11" t="s">
        <v>10</v>
      </c>
    </row>
    <row r="99" spans="1:21" ht="29" x14ac:dyDescent="0.35">
      <c r="A99" s="14">
        <v>1</v>
      </c>
      <c r="B99" s="14" t="s">
        <v>800</v>
      </c>
      <c r="C99" s="14" t="s">
        <v>801</v>
      </c>
      <c r="D99" s="14" t="s">
        <v>802</v>
      </c>
      <c r="E99" s="14" t="s">
        <v>69</v>
      </c>
      <c r="F99" s="14" t="s">
        <v>167</v>
      </c>
      <c r="G99" s="14" t="s">
        <v>691</v>
      </c>
      <c r="H99" s="14" t="s">
        <v>76</v>
      </c>
      <c r="I99" s="15"/>
      <c r="J99" s="15"/>
      <c r="K99" s="15"/>
      <c r="L99" s="15"/>
      <c r="M99" s="15"/>
      <c r="N99" s="15"/>
      <c r="O99" s="15"/>
      <c r="P99" s="15"/>
      <c r="Q99" s="15"/>
      <c r="R99" s="15"/>
      <c r="S99" s="15"/>
      <c r="T99" s="15"/>
      <c r="U99" s="14" t="str">
        <f t="shared" ref="U99:U108" si="7">IF(I99="","",IF(I99="NA","Grey",IF(I99=2,"Green",IF(I99=1,"Amber","Red"))))</f>
        <v/>
      </c>
    </row>
    <row r="100" spans="1:21" ht="29" x14ac:dyDescent="0.35">
      <c r="A100" s="14">
        <v>2</v>
      </c>
      <c r="B100" s="14" t="s">
        <v>803</v>
      </c>
      <c r="C100" s="14" t="s">
        <v>804</v>
      </c>
      <c r="D100" s="14" t="s">
        <v>805</v>
      </c>
      <c r="E100" s="14" t="s">
        <v>449</v>
      </c>
      <c r="F100" s="14" t="s">
        <v>284</v>
      </c>
      <c r="G100" s="14" t="s">
        <v>691</v>
      </c>
      <c r="H100" s="14" t="s">
        <v>76</v>
      </c>
      <c r="I100" s="15"/>
      <c r="J100" s="15"/>
      <c r="K100" s="15"/>
      <c r="L100" s="15"/>
      <c r="M100" s="15"/>
      <c r="N100" s="15"/>
      <c r="O100" s="15"/>
      <c r="P100" s="15"/>
      <c r="Q100" s="15"/>
      <c r="R100" s="15"/>
      <c r="S100" s="15"/>
      <c r="T100" s="15"/>
      <c r="U100" s="14" t="str">
        <f t="shared" si="7"/>
        <v/>
      </c>
    </row>
    <row r="101" spans="1:21" ht="29" x14ac:dyDescent="0.35">
      <c r="A101" s="14">
        <v>3</v>
      </c>
      <c r="B101" s="14" t="s">
        <v>806</v>
      </c>
      <c r="C101" s="14" t="s">
        <v>807</v>
      </c>
      <c r="D101" s="14" t="s">
        <v>808</v>
      </c>
      <c r="E101" s="14" t="s">
        <v>690</v>
      </c>
      <c r="F101" s="14" t="s">
        <v>167</v>
      </c>
      <c r="G101" s="14" t="s">
        <v>691</v>
      </c>
      <c r="H101" s="14" t="s">
        <v>59</v>
      </c>
      <c r="I101" s="15"/>
      <c r="J101" s="15"/>
      <c r="K101" s="15"/>
      <c r="L101" s="15"/>
      <c r="M101" s="15"/>
      <c r="N101" s="15"/>
      <c r="O101" s="15"/>
      <c r="P101" s="15"/>
      <c r="Q101" s="15"/>
      <c r="R101" s="15"/>
      <c r="S101" s="15"/>
      <c r="T101" s="15"/>
      <c r="U101" s="14" t="str">
        <f t="shared" si="7"/>
        <v/>
      </c>
    </row>
    <row r="102" spans="1:21" ht="29" x14ac:dyDescent="0.35">
      <c r="A102" s="14">
        <v>4</v>
      </c>
      <c r="B102" s="14" t="s">
        <v>768</v>
      </c>
      <c r="C102" s="14" t="s">
        <v>809</v>
      </c>
      <c r="D102" s="14" t="s">
        <v>70</v>
      </c>
      <c r="E102" s="14" t="s">
        <v>70</v>
      </c>
      <c r="F102" s="14" t="s">
        <v>810</v>
      </c>
      <c r="G102" s="14" t="s">
        <v>691</v>
      </c>
      <c r="H102" s="14" t="s">
        <v>76</v>
      </c>
      <c r="I102" s="15"/>
      <c r="J102" s="15"/>
      <c r="K102" s="15"/>
      <c r="L102" s="15"/>
      <c r="M102" s="15"/>
      <c r="N102" s="15"/>
      <c r="O102" s="15"/>
      <c r="P102" s="15"/>
      <c r="Q102" s="15"/>
      <c r="R102" s="15"/>
      <c r="S102" s="15"/>
      <c r="T102" s="15"/>
      <c r="U102" s="14" t="str">
        <f t="shared" si="7"/>
        <v/>
      </c>
    </row>
    <row r="103" spans="1:21" ht="29" x14ac:dyDescent="0.35">
      <c r="A103" s="14">
        <v>5</v>
      </c>
      <c r="B103" s="14" t="s">
        <v>811</v>
      </c>
      <c r="C103" s="14" t="s">
        <v>812</v>
      </c>
      <c r="D103" s="14" t="s">
        <v>813</v>
      </c>
      <c r="E103" s="14" t="s">
        <v>690</v>
      </c>
      <c r="F103" s="14" t="s">
        <v>167</v>
      </c>
      <c r="G103" s="14" t="s">
        <v>691</v>
      </c>
      <c r="H103" s="14" t="s">
        <v>59</v>
      </c>
      <c r="I103" s="15"/>
      <c r="J103" s="15"/>
      <c r="K103" s="15"/>
      <c r="L103" s="15"/>
      <c r="M103" s="15"/>
      <c r="N103" s="15"/>
      <c r="O103" s="15"/>
      <c r="P103" s="15"/>
      <c r="Q103" s="15"/>
      <c r="R103" s="15"/>
      <c r="S103" s="15"/>
      <c r="T103" s="15"/>
      <c r="U103" s="14" t="str">
        <f t="shared" si="7"/>
        <v/>
      </c>
    </row>
    <row r="104" spans="1:21" ht="29" x14ac:dyDescent="0.35">
      <c r="A104" s="14">
        <v>6</v>
      </c>
      <c r="B104" s="14" t="s">
        <v>814</v>
      </c>
      <c r="C104" s="14" t="s">
        <v>815</v>
      </c>
      <c r="D104" s="14" t="s">
        <v>816</v>
      </c>
      <c r="E104" s="14" t="s">
        <v>690</v>
      </c>
      <c r="F104" s="14" t="s">
        <v>167</v>
      </c>
      <c r="G104" s="14" t="s">
        <v>691</v>
      </c>
      <c r="H104" s="14" t="s">
        <v>59</v>
      </c>
      <c r="I104" s="15"/>
      <c r="J104" s="15"/>
      <c r="K104" s="15"/>
      <c r="L104" s="15"/>
      <c r="M104" s="15"/>
      <c r="N104" s="15"/>
      <c r="O104" s="15"/>
      <c r="P104" s="15"/>
      <c r="Q104" s="15"/>
      <c r="R104" s="15"/>
      <c r="S104" s="15"/>
      <c r="T104" s="15"/>
      <c r="U104" s="14" t="str">
        <f t="shared" si="7"/>
        <v/>
      </c>
    </row>
    <row r="105" spans="1:21" ht="29" x14ac:dyDescent="0.35">
      <c r="A105" s="14">
        <v>7</v>
      </c>
      <c r="B105" s="14" t="s">
        <v>817</v>
      </c>
      <c r="C105" s="14" t="s">
        <v>818</v>
      </c>
      <c r="D105" s="14" t="s">
        <v>819</v>
      </c>
      <c r="E105" s="14" t="s">
        <v>690</v>
      </c>
      <c r="F105" s="14" t="s">
        <v>167</v>
      </c>
      <c r="G105" s="14" t="s">
        <v>691</v>
      </c>
      <c r="H105" s="14" t="s">
        <v>59</v>
      </c>
      <c r="I105" s="15"/>
      <c r="J105" s="15"/>
      <c r="K105" s="15"/>
      <c r="L105" s="15"/>
      <c r="M105" s="15"/>
      <c r="N105" s="15"/>
      <c r="O105" s="15"/>
      <c r="P105" s="15"/>
      <c r="Q105" s="15"/>
      <c r="R105" s="15"/>
      <c r="S105" s="15"/>
      <c r="T105" s="15"/>
      <c r="U105" s="14" t="str">
        <f t="shared" si="7"/>
        <v/>
      </c>
    </row>
    <row r="106" spans="1:21" ht="29" x14ac:dyDescent="0.35">
      <c r="A106" s="14">
        <v>8</v>
      </c>
      <c r="B106" s="14" t="s">
        <v>820</v>
      </c>
      <c r="C106" s="14" t="s">
        <v>821</v>
      </c>
      <c r="D106" s="14" t="s">
        <v>822</v>
      </c>
      <c r="E106" s="14" t="s">
        <v>69</v>
      </c>
      <c r="F106" s="14" t="s">
        <v>167</v>
      </c>
      <c r="G106" s="14" t="s">
        <v>691</v>
      </c>
      <c r="H106" s="14" t="s">
        <v>76</v>
      </c>
      <c r="I106" s="15"/>
      <c r="J106" s="15"/>
      <c r="K106" s="15"/>
      <c r="L106" s="15"/>
      <c r="M106" s="15"/>
      <c r="N106" s="15"/>
      <c r="O106" s="15"/>
      <c r="P106" s="15"/>
      <c r="Q106" s="15"/>
      <c r="R106" s="15"/>
      <c r="S106" s="15"/>
      <c r="T106" s="15"/>
      <c r="U106" s="14" t="str">
        <f t="shared" si="7"/>
        <v/>
      </c>
    </row>
    <row r="107" spans="1:21" ht="29" x14ac:dyDescent="0.35">
      <c r="A107" s="14">
        <v>9</v>
      </c>
      <c r="B107" s="14" t="s">
        <v>823</v>
      </c>
      <c r="C107" s="14" t="s">
        <v>824</v>
      </c>
      <c r="D107" s="14" t="s">
        <v>825</v>
      </c>
      <c r="E107" s="14" t="s">
        <v>692</v>
      </c>
      <c r="F107" s="14" t="s">
        <v>167</v>
      </c>
      <c r="G107" s="14" t="s">
        <v>691</v>
      </c>
      <c r="H107" s="14" t="s">
        <v>76</v>
      </c>
      <c r="I107" s="15"/>
      <c r="J107" s="15"/>
      <c r="K107" s="15"/>
      <c r="L107" s="15"/>
      <c r="M107" s="15"/>
      <c r="N107" s="15"/>
      <c r="O107" s="15"/>
      <c r="P107" s="15"/>
      <c r="Q107" s="15"/>
      <c r="R107" s="15"/>
      <c r="S107" s="15"/>
      <c r="T107" s="15"/>
      <c r="U107" s="14" t="str">
        <f t="shared" si="7"/>
        <v/>
      </c>
    </row>
    <row r="108" spans="1:21" ht="29" x14ac:dyDescent="0.35">
      <c r="A108" s="14">
        <v>10</v>
      </c>
      <c r="B108" s="14" t="s">
        <v>826</v>
      </c>
      <c r="C108" s="14" t="s">
        <v>827</v>
      </c>
      <c r="D108" s="14" t="s">
        <v>828</v>
      </c>
      <c r="E108" s="14" t="s">
        <v>690</v>
      </c>
      <c r="F108" s="14" t="s">
        <v>167</v>
      </c>
      <c r="G108" s="14" t="s">
        <v>691</v>
      </c>
      <c r="H108" s="14" t="s">
        <v>59</v>
      </c>
      <c r="I108" s="15"/>
      <c r="J108" s="15"/>
      <c r="K108" s="15"/>
      <c r="L108" s="15"/>
      <c r="M108" s="15"/>
      <c r="N108" s="15"/>
      <c r="O108" s="15"/>
      <c r="P108" s="15"/>
      <c r="Q108" s="15"/>
      <c r="R108" s="15"/>
      <c r="S108" s="15"/>
      <c r="T108" s="15"/>
      <c r="U108" s="14" t="str">
        <f t="shared" si="7"/>
        <v/>
      </c>
    </row>
    <row r="111" spans="1:21" ht="22" customHeight="1" x14ac:dyDescent="0.35">
      <c r="A111" s="26" t="s">
        <v>834</v>
      </c>
      <c r="B111" s="23"/>
      <c r="C111" s="23"/>
      <c r="D111" s="23"/>
      <c r="E111" s="23"/>
      <c r="F111" s="23"/>
      <c r="G111" s="23"/>
      <c r="H111" s="23"/>
      <c r="I111" s="23"/>
      <c r="J111" s="23"/>
      <c r="K111" s="23"/>
      <c r="L111" s="23"/>
      <c r="M111" s="23"/>
      <c r="N111" s="23"/>
      <c r="O111" s="23"/>
      <c r="P111" s="23"/>
      <c r="Q111" s="23"/>
      <c r="R111" s="23"/>
      <c r="S111" s="23"/>
      <c r="T111" s="23"/>
      <c r="U111" s="23"/>
    </row>
    <row r="112" spans="1:21" x14ac:dyDescent="0.35">
      <c r="A112" t="s">
        <v>31</v>
      </c>
      <c r="B112" t="s">
        <v>24</v>
      </c>
      <c r="C112" t="s">
        <v>32</v>
      </c>
      <c r="E112" t="s">
        <v>33</v>
      </c>
    </row>
    <row r="113" spans="1:21" ht="29" x14ac:dyDescent="0.35">
      <c r="A113" s="11" t="s">
        <v>34</v>
      </c>
      <c r="B113" s="11" t="s">
        <v>35</v>
      </c>
      <c r="C113" s="11" t="s">
        <v>36</v>
      </c>
      <c r="D113" s="11" t="s">
        <v>37</v>
      </c>
      <c r="E113" s="11" t="s">
        <v>38</v>
      </c>
      <c r="F113" s="11" t="s">
        <v>39</v>
      </c>
      <c r="G113" s="11" t="s">
        <v>40</v>
      </c>
      <c r="H113" s="11" t="s">
        <v>41</v>
      </c>
      <c r="I113" s="11" t="s">
        <v>42</v>
      </c>
      <c r="J113" s="11" t="s">
        <v>43</v>
      </c>
      <c r="K113" s="11" t="s">
        <v>44</v>
      </c>
      <c r="L113" s="11" t="s">
        <v>45</v>
      </c>
      <c r="M113" s="11" t="s">
        <v>46</v>
      </c>
      <c r="N113" s="11" t="s">
        <v>47</v>
      </c>
      <c r="O113" s="11" t="s">
        <v>48</v>
      </c>
      <c r="P113" s="11" t="s">
        <v>4</v>
      </c>
      <c r="Q113" s="11" t="s">
        <v>49</v>
      </c>
      <c r="R113" s="11" t="s">
        <v>50</v>
      </c>
      <c r="S113" s="11" t="s">
        <v>51</v>
      </c>
      <c r="T113" s="11" t="s">
        <v>52</v>
      </c>
      <c r="U113" s="11" t="s">
        <v>10</v>
      </c>
    </row>
    <row r="114" spans="1:21" ht="29" x14ac:dyDescent="0.35">
      <c r="A114" s="14">
        <v>1</v>
      </c>
      <c r="B114" s="14" t="s">
        <v>800</v>
      </c>
      <c r="C114" s="14" t="s">
        <v>801</v>
      </c>
      <c r="D114" s="14" t="s">
        <v>802</v>
      </c>
      <c r="E114" s="14" t="s">
        <v>69</v>
      </c>
      <c r="F114" s="14" t="s">
        <v>167</v>
      </c>
      <c r="G114" s="14" t="s">
        <v>691</v>
      </c>
      <c r="H114" s="14" t="s">
        <v>76</v>
      </c>
      <c r="I114" s="15"/>
      <c r="J114" s="15"/>
      <c r="K114" s="15"/>
      <c r="L114" s="15"/>
      <c r="M114" s="15"/>
      <c r="N114" s="15"/>
      <c r="O114" s="15"/>
      <c r="P114" s="15"/>
      <c r="Q114" s="15"/>
      <c r="R114" s="15"/>
      <c r="S114" s="15"/>
      <c r="T114" s="15"/>
      <c r="U114" s="14" t="str">
        <f t="shared" ref="U114:U123" si="8">IF(I114="","",IF(I114="NA","Grey",IF(I114=2,"Green",IF(I114=1,"Amber","Red"))))</f>
        <v/>
      </c>
    </row>
    <row r="115" spans="1:21" ht="29" x14ac:dyDescent="0.35">
      <c r="A115" s="14">
        <v>2</v>
      </c>
      <c r="B115" s="14" t="s">
        <v>803</v>
      </c>
      <c r="C115" s="14" t="s">
        <v>804</v>
      </c>
      <c r="D115" s="14" t="s">
        <v>805</v>
      </c>
      <c r="E115" s="14" t="s">
        <v>449</v>
      </c>
      <c r="F115" s="14" t="s">
        <v>284</v>
      </c>
      <c r="G115" s="14" t="s">
        <v>691</v>
      </c>
      <c r="H115" s="14" t="s">
        <v>76</v>
      </c>
      <c r="I115" s="15"/>
      <c r="J115" s="15"/>
      <c r="K115" s="15"/>
      <c r="L115" s="15"/>
      <c r="M115" s="15"/>
      <c r="N115" s="15"/>
      <c r="O115" s="15"/>
      <c r="P115" s="15"/>
      <c r="Q115" s="15"/>
      <c r="R115" s="15"/>
      <c r="S115" s="15"/>
      <c r="T115" s="15"/>
      <c r="U115" s="14" t="str">
        <f t="shared" si="8"/>
        <v/>
      </c>
    </row>
    <row r="116" spans="1:21" ht="29" x14ac:dyDescent="0.35">
      <c r="A116" s="14">
        <v>3</v>
      </c>
      <c r="B116" s="14" t="s">
        <v>806</v>
      </c>
      <c r="C116" s="14" t="s">
        <v>807</v>
      </c>
      <c r="D116" s="14" t="s">
        <v>808</v>
      </c>
      <c r="E116" s="14" t="s">
        <v>690</v>
      </c>
      <c r="F116" s="14" t="s">
        <v>167</v>
      </c>
      <c r="G116" s="14" t="s">
        <v>691</v>
      </c>
      <c r="H116" s="14" t="s">
        <v>59</v>
      </c>
      <c r="I116" s="15"/>
      <c r="J116" s="15"/>
      <c r="K116" s="15"/>
      <c r="L116" s="15"/>
      <c r="M116" s="15"/>
      <c r="N116" s="15"/>
      <c r="O116" s="15"/>
      <c r="P116" s="15"/>
      <c r="Q116" s="15"/>
      <c r="R116" s="15"/>
      <c r="S116" s="15"/>
      <c r="T116" s="15"/>
      <c r="U116" s="14" t="str">
        <f t="shared" si="8"/>
        <v/>
      </c>
    </row>
    <row r="117" spans="1:21" ht="29" x14ac:dyDescent="0.35">
      <c r="A117" s="14">
        <v>4</v>
      </c>
      <c r="B117" s="14" t="s">
        <v>768</v>
      </c>
      <c r="C117" s="14" t="s">
        <v>809</v>
      </c>
      <c r="D117" s="14" t="s">
        <v>70</v>
      </c>
      <c r="E117" s="14" t="s">
        <v>70</v>
      </c>
      <c r="F117" s="14" t="s">
        <v>810</v>
      </c>
      <c r="G117" s="14" t="s">
        <v>691</v>
      </c>
      <c r="H117" s="14" t="s">
        <v>76</v>
      </c>
      <c r="I117" s="15"/>
      <c r="J117" s="15"/>
      <c r="K117" s="15"/>
      <c r="L117" s="15"/>
      <c r="M117" s="15"/>
      <c r="N117" s="15"/>
      <c r="O117" s="15"/>
      <c r="P117" s="15"/>
      <c r="Q117" s="15"/>
      <c r="R117" s="15"/>
      <c r="S117" s="15"/>
      <c r="T117" s="15"/>
      <c r="U117" s="14" t="str">
        <f t="shared" si="8"/>
        <v/>
      </c>
    </row>
    <row r="118" spans="1:21" ht="29" x14ac:dyDescent="0.35">
      <c r="A118" s="14">
        <v>5</v>
      </c>
      <c r="B118" s="14" t="s">
        <v>811</v>
      </c>
      <c r="C118" s="14" t="s">
        <v>812</v>
      </c>
      <c r="D118" s="14" t="s">
        <v>813</v>
      </c>
      <c r="E118" s="14" t="s">
        <v>690</v>
      </c>
      <c r="F118" s="14" t="s">
        <v>167</v>
      </c>
      <c r="G118" s="14" t="s">
        <v>691</v>
      </c>
      <c r="H118" s="14" t="s">
        <v>59</v>
      </c>
      <c r="I118" s="15"/>
      <c r="J118" s="15"/>
      <c r="K118" s="15"/>
      <c r="L118" s="15"/>
      <c r="M118" s="15"/>
      <c r="N118" s="15"/>
      <c r="O118" s="15"/>
      <c r="P118" s="15"/>
      <c r="Q118" s="15"/>
      <c r="R118" s="15"/>
      <c r="S118" s="15"/>
      <c r="T118" s="15"/>
      <c r="U118" s="14" t="str">
        <f t="shared" si="8"/>
        <v/>
      </c>
    </row>
    <row r="119" spans="1:21" ht="29" x14ac:dyDescent="0.35">
      <c r="A119" s="14">
        <v>6</v>
      </c>
      <c r="B119" s="14" t="s">
        <v>814</v>
      </c>
      <c r="C119" s="14" t="s">
        <v>815</v>
      </c>
      <c r="D119" s="14" t="s">
        <v>816</v>
      </c>
      <c r="E119" s="14" t="s">
        <v>690</v>
      </c>
      <c r="F119" s="14" t="s">
        <v>167</v>
      </c>
      <c r="G119" s="14" t="s">
        <v>691</v>
      </c>
      <c r="H119" s="14" t="s">
        <v>59</v>
      </c>
      <c r="I119" s="15"/>
      <c r="J119" s="15"/>
      <c r="K119" s="15"/>
      <c r="L119" s="15"/>
      <c r="M119" s="15"/>
      <c r="N119" s="15"/>
      <c r="O119" s="15"/>
      <c r="P119" s="15"/>
      <c r="Q119" s="15"/>
      <c r="R119" s="15"/>
      <c r="S119" s="15"/>
      <c r="T119" s="15"/>
      <c r="U119" s="14" t="str">
        <f t="shared" si="8"/>
        <v/>
      </c>
    </row>
    <row r="120" spans="1:21" ht="29" x14ac:dyDescent="0.35">
      <c r="A120" s="14">
        <v>7</v>
      </c>
      <c r="B120" s="14" t="s">
        <v>817</v>
      </c>
      <c r="C120" s="14" t="s">
        <v>818</v>
      </c>
      <c r="D120" s="14" t="s">
        <v>819</v>
      </c>
      <c r="E120" s="14" t="s">
        <v>690</v>
      </c>
      <c r="F120" s="14" t="s">
        <v>167</v>
      </c>
      <c r="G120" s="14" t="s">
        <v>691</v>
      </c>
      <c r="H120" s="14" t="s">
        <v>59</v>
      </c>
      <c r="I120" s="15"/>
      <c r="J120" s="15"/>
      <c r="K120" s="15"/>
      <c r="L120" s="15"/>
      <c r="M120" s="15"/>
      <c r="N120" s="15"/>
      <c r="O120" s="15"/>
      <c r="P120" s="15"/>
      <c r="Q120" s="15"/>
      <c r="R120" s="15"/>
      <c r="S120" s="15"/>
      <c r="T120" s="15"/>
      <c r="U120" s="14" t="str">
        <f t="shared" si="8"/>
        <v/>
      </c>
    </row>
    <row r="121" spans="1:21" ht="29" x14ac:dyDescent="0.35">
      <c r="A121" s="14">
        <v>8</v>
      </c>
      <c r="B121" s="14" t="s">
        <v>820</v>
      </c>
      <c r="C121" s="14" t="s">
        <v>821</v>
      </c>
      <c r="D121" s="14" t="s">
        <v>822</v>
      </c>
      <c r="E121" s="14" t="s">
        <v>69</v>
      </c>
      <c r="F121" s="14" t="s">
        <v>167</v>
      </c>
      <c r="G121" s="14" t="s">
        <v>691</v>
      </c>
      <c r="H121" s="14" t="s">
        <v>76</v>
      </c>
      <c r="I121" s="15"/>
      <c r="J121" s="15"/>
      <c r="K121" s="15"/>
      <c r="L121" s="15"/>
      <c r="M121" s="15"/>
      <c r="N121" s="15"/>
      <c r="O121" s="15"/>
      <c r="P121" s="15"/>
      <c r="Q121" s="15"/>
      <c r="R121" s="15"/>
      <c r="S121" s="15"/>
      <c r="T121" s="15"/>
      <c r="U121" s="14" t="str">
        <f t="shared" si="8"/>
        <v/>
      </c>
    </row>
    <row r="122" spans="1:21" ht="29" x14ac:dyDescent="0.35">
      <c r="A122" s="14">
        <v>9</v>
      </c>
      <c r="B122" s="14" t="s">
        <v>823</v>
      </c>
      <c r="C122" s="14" t="s">
        <v>824</v>
      </c>
      <c r="D122" s="14" t="s">
        <v>825</v>
      </c>
      <c r="E122" s="14" t="s">
        <v>692</v>
      </c>
      <c r="F122" s="14" t="s">
        <v>167</v>
      </c>
      <c r="G122" s="14" t="s">
        <v>691</v>
      </c>
      <c r="H122" s="14" t="s">
        <v>76</v>
      </c>
      <c r="I122" s="15"/>
      <c r="J122" s="15"/>
      <c r="K122" s="15"/>
      <c r="L122" s="15"/>
      <c r="M122" s="15"/>
      <c r="N122" s="15"/>
      <c r="O122" s="15"/>
      <c r="P122" s="15"/>
      <c r="Q122" s="15"/>
      <c r="R122" s="15"/>
      <c r="S122" s="15"/>
      <c r="T122" s="15"/>
      <c r="U122" s="14" t="str">
        <f t="shared" si="8"/>
        <v/>
      </c>
    </row>
    <row r="123" spans="1:21" ht="29" x14ac:dyDescent="0.35">
      <c r="A123" s="14">
        <v>10</v>
      </c>
      <c r="B123" s="14" t="s">
        <v>826</v>
      </c>
      <c r="C123" s="14" t="s">
        <v>827</v>
      </c>
      <c r="D123" s="14" t="s">
        <v>828</v>
      </c>
      <c r="E123" s="14" t="s">
        <v>690</v>
      </c>
      <c r="F123" s="14" t="s">
        <v>167</v>
      </c>
      <c r="G123" s="14" t="s">
        <v>691</v>
      </c>
      <c r="H123" s="14" t="s">
        <v>59</v>
      </c>
      <c r="I123" s="15"/>
      <c r="J123" s="15"/>
      <c r="K123" s="15"/>
      <c r="L123" s="15"/>
      <c r="M123" s="15"/>
      <c r="N123" s="15"/>
      <c r="O123" s="15"/>
      <c r="P123" s="15"/>
      <c r="Q123" s="15"/>
      <c r="R123" s="15"/>
      <c r="S123" s="15"/>
      <c r="T123" s="15"/>
      <c r="U123" s="14" t="str">
        <f t="shared" si="8"/>
        <v/>
      </c>
    </row>
    <row r="126" spans="1:21" ht="22" customHeight="1" x14ac:dyDescent="0.35">
      <c r="A126" s="26" t="s">
        <v>835</v>
      </c>
      <c r="B126" s="23"/>
      <c r="C126" s="23"/>
      <c r="D126" s="23"/>
      <c r="E126" s="23"/>
      <c r="F126" s="23"/>
      <c r="G126" s="23"/>
      <c r="H126" s="23"/>
      <c r="I126" s="23"/>
      <c r="J126" s="23"/>
      <c r="K126" s="23"/>
      <c r="L126" s="23"/>
      <c r="M126" s="23"/>
      <c r="N126" s="23"/>
      <c r="O126" s="23"/>
      <c r="P126" s="23"/>
      <c r="Q126" s="23"/>
      <c r="R126" s="23"/>
      <c r="S126" s="23"/>
      <c r="T126" s="23"/>
      <c r="U126" s="23"/>
    </row>
    <row r="127" spans="1:21" x14ac:dyDescent="0.35">
      <c r="A127" t="s">
        <v>31</v>
      </c>
      <c r="B127" t="s">
        <v>25</v>
      </c>
      <c r="C127" t="s">
        <v>32</v>
      </c>
      <c r="E127" t="s">
        <v>33</v>
      </c>
    </row>
    <row r="128" spans="1:21" ht="29" x14ac:dyDescent="0.35">
      <c r="A128" s="11" t="s">
        <v>34</v>
      </c>
      <c r="B128" s="11" t="s">
        <v>35</v>
      </c>
      <c r="C128" s="11" t="s">
        <v>36</v>
      </c>
      <c r="D128" s="11" t="s">
        <v>37</v>
      </c>
      <c r="E128" s="11" t="s">
        <v>38</v>
      </c>
      <c r="F128" s="11" t="s">
        <v>39</v>
      </c>
      <c r="G128" s="11" t="s">
        <v>40</v>
      </c>
      <c r="H128" s="11" t="s">
        <v>41</v>
      </c>
      <c r="I128" s="11" t="s">
        <v>42</v>
      </c>
      <c r="J128" s="11" t="s">
        <v>43</v>
      </c>
      <c r="K128" s="11" t="s">
        <v>44</v>
      </c>
      <c r="L128" s="11" t="s">
        <v>45</v>
      </c>
      <c r="M128" s="11" t="s">
        <v>46</v>
      </c>
      <c r="N128" s="11" t="s">
        <v>47</v>
      </c>
      <c r="O128" s="11" t="s">
        <v>48</v>
      </c>
      <c r="P128" s="11" t="s">
        <v>4</v>
      </c>
      <c r="Q128" s="11" t="s">
        <v>49</v>
      </c>
      <c r="R128" s="11" t="s">
        <v>50</v>
      </c>
      <c r="S128" s="11" t="s">
        <v>51</v>
      </c>
      <c r="T128" s="11" t="s">
        <v>52</v>
      </c>
      <c r="U128" s="11" t="s">
        <v>10</v>
      </c>
    </row>
    <row r="129" spans="1:21" ht="29" x14ac:dyDescent="0.35">
      <c r="A129" s="14">
        <v>1</v>
      </c>
      <c r="B129" s="14" t="s">
        <v>800</v>
      </c>
      <c r="C129" s="14" t="s">
        <v>801</v>
      </c>
      <c r="D129" s="14" t="s">
        <v>802</v>
      </c>
      <c r="E129" s="14" t="s">
        <v>69</v>
      </c>
      <c r="F129" s="14" t="s">
        <v>167</v>
      </c>
      <c r="G129" s="14" t="s">
        <v>691</v>
      </c>
      <c r="H129" s="14" t="s">
        <v>76</v>
      </c>
      <c r="I129" s="15"/>
      <c r="J129" s="15"/>
      <c r="K129" s="15"/>
      <c r="L129" s="15"/>
      <c r="M129" s="15"/>
      <c r="N129" s="15"/>
      <c r="O129" s="15"/>
      <c r="P129" s="15"/>
      <c r="Q129" s="15"/>
      <c r="R129" s="15"/>
      <c r="S129" s="15"/>
      <c r="T129" s="15"/>
      <c r="U129" s="14" t="str">
        <f t="shared" ref="U129:U138" si="9">IF(I129="","",IF(I129="NA","Grey",IF(I129=2,"Green",IF(I129=1,"Amber","Red"))))</f>
        <v/>
      </c>
    </row>
    <row r="130" spans="1:21" ht="29" x14ac:dyDescent="0.35">
      <c r="A130" s="14">
        <v>2</v>
      </c>
      <c r="B130" s="14" t="s">
        <v>803</v>
      </c>
      <c r="C130" s="14" t="s">
        <v>804</v>
      </c>
      <c r="D130" s="14" t="s">
        <v>805</v>
      </c>
      <c r="E130" s="14" t="s">
        <v>449</v>
      </c>
      <c r="F130" s="14" t="s">
        <v>284</v>
      </c>
      <c r="G130" s="14" t="s">
        <v>691</v>
      </c>
      <c r="H130" s="14" t="s">
        <v>76</v>
      </c>
      <c r="I130" s="15"/>
      <c r="J130" s="15"/>
      <c r="K130" s="15"/>
      <c r="L130" s="15"/>
      <c r="M130" s="15"/>
      <c r="N130" s="15"/>
      <c r="O130" s="15"/>
      <c r="P130" s="15"/>
      <c r="Q130" s="15"/>
      <c r="R130" s="15"/>
      <c r="S130" s="15"/>
      <c r="T130" s="15"/>
      <c r="U130" s="14" t="str">
        <f t="shared" si="9"/>
        <v/>
      </c>
    </row>
    <row r="131" spans="1:21" ht="29" x14ac:dyDescent="0.35">
      <c r="A131" s="14">
        <v>3</v>
      </c>
      <c r="B131" s="14" t="s">
        <v>806</v>
      </c>
      <c r="C131" s="14" t="s">
        <v>807</v>
      </c>
      <c r="D131" s="14" t="s">
        <v>808</v>
      </c>
      <c r="E131" s="14" t="s">
        <v>690</v>
      </c>
      <c r="F131" s="14" t="s">
        <v>167</v>
      </c>
      <c r="G131" s="14" t="s">
        <v>691</v>
      </c>
      <c r="H131" s="14" t="s">
        <v>59</v>
      </c>
      <c r="I131" s="15"/>
      <c r="J131" s="15"/>
      <c r="K131" s="15"/>
      <c r="L131" s="15"/>
      <c r="M131" s="15"/>
      <c r="N131" s="15"/>
      <c r="O131" s="15"/>
      <c r="P131" s="15"/>
      <c r="Q131" s="15"/>
      <c r="R131" s="15"/>
      <c r="S131" s="15"/>
      <c r="T131" s="15"/>
      <c r="U131" s="14" t="str">
        <f t="shared" si="9"/>
        <v/>
      </c>
    </row>
    <row r="132" spans="1:21" ht="29" x14ac:dyDescent="0.35">
      <c r="A132" s="14">
        <v>4</v>
      </c>
      <c r="B132" s="14" t="s">
        <v>768</v>
      </c>
      <c r="C132" s="14" t="s">
        <v>809</v>
      </c>
      <c r="D132" s="14" t="s">
        <v>70</v>
      </c>
      <c r="E132" s="14" t="s">
        <v>70</v>
      </c>
      <c r="F132" s="14" t="s">
        <v>810</v>
      </c>
      <c r="G132" s="14" t="s">
        <v>691</v>
      </c>
      <c r="H132" s="14" t="s">
        <v>76</v>
      </c>
      <c r="I132" s="15"/>
      <c r="J132" s="15"/>
      <c r="K132" s="15"/>
      <c r="L132" s="15"/>
      <c r="M132" s="15"/>
      <c r="N132" s="15"/>
      <c r="O132" s="15"/>
      <c r="P132" s="15"/>
      <c r="Q132" s="15"/>
      <c r="R132" s="15"/>
      <c r="S132" s="15"/>
      <c r="T132" s="15"/>
      <c r="U132" s="14" t="str">
        <f t="shared" si="9"/>
        <v/>
      </c>
    </row>
    <row r="133" spans="1:21" ht="29" x14ac:dyDescent="0.35">
      <c r="A133" s="14">
        <v>5</v>
      </c>
      <c r="B133" s="14" t="s">
        <v>811</v>
      </c>
      <c r="C133" s="14" t="s">
        <v>812</v>
      </c>
      <c r="D133" s="14" t="s">
        <v>813</v>
      </c>
      <c r="E133" s="14" t="s">
        <v>690</v>
      </c>
      <c r="F133" s="14" t="s">
        <v>167</v>
      </c>
      <c r="G133" s="14" t="s">
        <v>691</v>
      </c>
      <c r="H133" s="14" t="s">
        <v>59</v>
      </c>
      <c r="I133" s="15"/>
      <c r="J133" s="15"/>
      <c r="K133" s="15"/>
      <c r="L133" s="15"/>
      <c r="M133" s="15"/>
      <c r="N133" s="15"/>
      <c r="O133" s="15"/>
      <c r="P133" s="15"/>
      <c r="Q133" s="15"/>
      <c r="R133" s="15"/>
      <c r="S133" s="15"/>
      <c r="T133" s="15"/>
      <c r="U133" s="14" t="str">
        <f t="shared" si="9"/>
        <v/>
      </c>
    </row>
    <row r="134" spans="1:21" ht="29" x14ac:dyDescent="0.35">
      <c r="A134" s="14">
        <v>6</v>
      </c>
      <c r="B134" s="14" t="s">
        <v>814</v>
      </c>
      <c r="C134" s="14" t="s">
        <v>815</v>
      </c>
      <c r="D134" s="14" t="s">
        <v>816</v>
      </c>
      <c r="E134" s="14" t="s">
        <v>690</v>
      </c>
      <c r="F134" s="14" t="s">
        <v>167</v>
      </c>
      <c r="G134" s="14" t="s">
        <v>691</v>
      </c>
      <c r="H134" s="14" t="s">
        <v>59</v>
      </c>
      <c r="I134" s="15"/>
      <c r="J134" s="15"/>
      <c r="K134" s="15"/>
      <c r="L134" s="15"/>
      <c r="M134" s="15"/>
      <c r="N134" s="15"/>
      <c r="O134" s="15"/>
      <c r="P134" s="15"/>
      <c r="Q134" s="15"/>
      <c r="R134" s="15"/>
      <c r="S134" s="15"/>
      <c r="T134" s="15"/>
      <c r="U134" s="14" t="str">
        <f t="shared" si="9"/>
        <v/>
      </c>
    </row>
    <row r="135" spans="1:21" ht="29" x14ac:dyDescent="0.35">
      <c r="A135" s="14">
        <v>7</v>
      </c>
      <c r="B135" s="14" t="s">
        <v>817</v>
      </c>
      <c r="C135" s="14" t="s">
        <v>818</v>
      </c>
      <c r="D135" s="14" t="s">
        <v>819</v>
      </c>
      <c r="E135" s="14" t="s">
        <v>690</v>
      </c>
      <c r="F135" s="14" t="s">
        <v>167</v>
      </c>
      <c r="G135" s="14" t="s">
        <v>691</v>
      </c>
      <c r="H135" s="14" t="s">
        <v>59</v>
      </c>
      <c r="I135" s="15"/>
      <c r="J135" s="15"/>
      <c r="K135" s="15"/>
      <c r="L135" s="15"/>
      <c r="M135" s="15"/>
      <c r="N135" s="15"/>
      <c r="O135" s="15"/>
      <c r="P135" s="15"/>
      <c r="Q135" s="15"/>
      <c r="R135" s="15"/>
      <c r="S135" s="15"/>
      <c r="T135" s="15"/>
      <c r="U135" s="14" t="str">
        <f t="shared" si="9"/>
        <v/>
      </c>
    </row>
    <row r="136" spans="1:21" ht="29" x14ac:dyDescent="0.35">
      <c r="A136" s="14">
        <v>8</v>
      </c>
      <c r="B136" s="14" t="s">
        <v>820</v>
      </c>
      <c r="C136" s="14" t="s">
        <v>821</v>
      </c>
      <c r="D136" s="14" t="s">
        <v>822</v>
      </c>
      <c r="E136" s="14" t="s">
        <v>69</v>
      </c>
      <c r="F136" s="14" t="s">
        <v>167</v>
      </c>
      <c r="G136" s="14" t="s">
        <v>691</v>
      </c>
      <c r="H136" s="14" t="s">
        <v>76</v>
      </c>
      <c r="I136" s="15"/>
      <c r="J136" s="15"/>
      <c r="K136" s="15"/>
      <c r="L136" s="15"/>
      <c r="M136" s="15"/>
      <c r="N136" s="15"/>
      <c r="O136" s="15"/>
      <c r="P136" s="15"/>
      <c r="Q136" s="15"/>
      <c r="R136" s="15"/>
      <c r="S136" s="15"/>
      <c r="T136" s="15"/>
      <c r="U136" s="14" t="str">
        <f t="shared" si="9"/>
        <v/>
      </c>
    </row>
    <row r="137" spans="1:21" ht="29" x14ac:dyDescent="0.35">
      <c r="A137" s="14">
        <v>9</v>
      </c>
      <c r="B137" s="14" t="s">
        <v>823</v>
      </c>
      <c r="C137" s="14" t="s">
        <v>824</v>
      </c>
      <c r="D137" s="14" t="s">
        <v>825</v>
      </c>
      <c r="E137" s="14" t="s">
        <v>692</v>
      </c>
      <c r="F137" s="14" t="s">
        <v>167</v>
      </c>
      <c r="G137" s="14" t="s">
        <v>691</v>
      </c>
      <c r="H137" s="14" t="s">
        <v>76</v>
      </c>
      <c r="I137" s="15"/>
      <c r="J137" s="15"/>
      <c r="K137" s="15"/>
      <c r="L137" s="15"/>
      <c r="M137" s="15"/>
      <c r="N137" s="15"/>
      <c r="O137" s="15"/>
      <c r="P137" s="15"/>
      <c r="Q137" s="15"/>
      <c r="R137" s="15"/>
      <c r="S137" s="15"/>
      <c r="T137" s="15"/>
      <c r="U137" s="14" t="str">
        <f t="shared" si="9"/>
        <v/>
      </c>
    </row>
    <row r="138" spans="1:21" ht="29" x14ac:dyDescent="0.35">
      <c r="A138" s="14">
        <v>10</v>
      </c>
      <c r="B138" s="14" t="s">
        <v>826</v>
      </c>
      <c r="C138" s="14" t="s">
        <v>827</v>
      </c>
      <c r="D138" s="14" t="s">
        <v>828</v>
      </c>
      <c r="E138" s="14" t="s">
        <v>690</v>
      </c>
      <c r="F138" s="14" t="s">
        <v>167</v>
      </c>
      <c r="G138" s="14" t="s">
        <v>691</v>
      </c>
      <c r="H138" s="14" t="s">
        <v>59</v>
      </c>
      <c r="I138" s="15"/>
      <c r="J138" s="15"/>
      <c r="K138" s="15"/>
      <c r="L138" s="15"/>
      <c r="M138" s="15"/>
      <c r="N138" s="15"/>
      <c r="O138" s="15"/>
      <c r="P138" s="15"/>
      <c r="Q138" s="15"/>
      <c r="R138" s="15"/>
      <c r="S138" s="15"/>
      <c r="T138" s="15"/>
      <c r="U138" s="14" t="str">
        <f t="shared" si="9"/>
        <v/>
      </c>
    </row>
    <row r="141" spans="1:21" ht="22" customHeight="1" x14ac:dyDescent="0.35">
      <c r="A141" s="26" t="s">
        <v>836</v>
      </c>
      <c r="B141" s="23"/>
      <c r="C141" s="23"/>
      <c r="D141" s="23"/>
      <c r="E141" s="23"/>
      <c r="F141" s="23"/>
      <c r="G141" s="23"/>
      <c r="H141" s="23"/>
      <c r="I141" s="23"/>
      <c r="J141" s="23"/>
      <c r="K141" s="23"/>
      <c r="L141" s="23"/>
      <c r="M141" s="23"/>
      <c r="N141" s="23"/>
      <c r="O141" s="23"/>
      <c r="P141" s="23"/>
      <c r="Q141" s="23"/>
      <c r="R141" s="23"/>
      <c r="S141" s="23"/>
      <c r="T141" s="23"/>
      <c r="U141" s="23"/>
    </row>
    <row r="142" spans="1:21" x14ac:dyDescent="0.35">
      <c r="A142" t="s">
        <v>31</v>
      </c>
      <c r="B142" t="s">
        <v>26</v>
      </c>
      <c r="C142" t="s">
        <v>32</v>
      </c>
      <c r="E142" t="s">
        <v>33</v>
      </c>
    </row>
    <row r="143" spans="1:21" ht="29" x14ac:dyDescent="0.35">
      <c r="A143" s="11" t="s">
        <v>34</v>
      </c>
      <c r="B143" s="11" t="s">
        <v>35</v>
      </c>
      <c r="C143" s="11" t="s">
        <v>36</v>
      </c>
      <c r="D143" s="11" t="s">
        <v>37</v>
      </c>
      <c r="E143" s="11" t="s">
        <v>38</v>
      </c>
      <c r="F143" s="11" t="s">
        <v>39</v>
      </c>
      <c r="G143" s="11" t="s">
        <v>40</v>
      </c>
      <c r="H143" s="11" t="s">
        <v>41</v>
      </c>
      <c r="I143" s="11" t="s">
        <v>42</v>
      </c>
      <c r="J143" s="11" t="s">
        <v>43</v>
      </c>
      <c r="K143" s="11" t="s">
        <v>44</v>
      </c>
      <c r="L143" s="11" t="s">
        <v>45</v>
      </c>
      <c r="M143" s="11" t="s">
        <v>46</v>
      </c>
      <c r="N143" s="11" t="s">
        <v>47</v>
      </c>
      <c r="O143" s="11" t="s">
        <v>48</v>
      </c>
      <c r="P143" s="11" t="s">
        <v>4</v>
      </c>
      <c r="Q143" s="11" t="s">
        <v>49</v>
      </c>
      <c r="R143" s="11" t="s">
        <v>50</v>
      </c>
      <c r="S143" s="11" t="s">
        <v>51</v>
      </c>
      <c r="T143" s="11" t="s">
        <v>52</v>
      </c>
      <c r="U143" s="11" t="s">
        <v>10</v>
      </c>
    </row>
    <row r="144" spans="1:21" ht="29" x14ac:dyDescent="0.35">
      <c r="A144" s="14">
        <v>1</v>
      </c>
      <c r="B144" s="14" t="s">
        <v>800</v>
      </c>
      <c r="C144" s="14" t="s">
        <v>801</v>
      </c>
      <c r="D144" s="14" t="s">
        <v>802</v>
      </c>
      <c r="E144" s="14" t="s">
        <v>69</v>
      </c>
      <c r="F144" s="14" t="s">
        <v>167</v>
      </c>
      <c r="G144" s="14" t="s">
        <v>691</v>
      </c>
      <c r="H144" s="14" t="s">
        <v>76</v>
      </c>
      <c r="I144" s="15"/>
      <c r="J144" s="15"/>
      <c r="K144" s="15"/>
      <c r="L144" s="15"/>
      <c r="M144" s="15"/>
      <c r="N144" s="15"/>
      <c r="O144" s="15"/>
      <c r="P144" s="15"/>
      <c r="Q144" s="15"/>
      <c r="R144" s="15"/>
      <c r="S144" s="15"/>
      <c r="T144" s="15"/>
      <c r="U144" s="14" t="str">
        <f t="shared" ref="U144:U153" si="10">IF(I144="","",IF(I144="NA","Grey",IF(I144=2,"Green",IF(I144=1,"Amber","Red"))))</f>
        <v/>
      </c>
    </row>
    <row r="145" spans="1:21" ht="29" x14ac:dyDescent="0.35">
      <c r="A145" s="14">
        <v>2</v>
      </c>
      <c r="B145" s="14" t="s">
        <v>803</v>
      </c>
      <c r="C145" s="14" t="s">
        <v>804</v>
      </c>
      <c r="D145" s="14" t="s">
        <v>805</v>
      </c>
      <c r="E145" s="14" t="s">
        <v>449</v>
      </c>
      <c r="F145" s="14" t="s">
        <v>284</v>
      </c>
      <c r="G145" s="14" t="s">
        <v>691</v>
      </c>
      <c r="H145" s="14" t="s">
        <v>76</v>
      </c>
      <c r="I145" s="15"/>
      <c r="J145" s="15"/>
      <c r="K145" s="15"/>
      <c r="L145" s="15"/>
      <c r="M145" s="15"/>
      <c r="N145" s="15"/>
      <c r="O145" s="15"/>
      <c r="P145" s="15"/>
      <c r="Q145" s="15"/>
      <c r="R145" s="15"/>
      <c r="S145" s="15"/>
      <c r="T145" s="15"/>
      <c r="U145" s="14" t="str">
        <f t="shared" si="10"/>
        <v/>
      </c>
    </row>
    <row r="146" spans="1:21" ht="29" x14ac:dyDescent="0.35">
      <c r="A146" s="14">
        <v>3</v>
      </c>
      <c r="B146" s="14" t="s">
        <v>806</v>
      </c>
      <c r="C146" s="14" t="s">
        <v>807</v>
      </c>
      <c r="D146" s="14" t="s">
        <v>808</v>
      </c>
      <c r="E146" s="14" t="s">
        <v>690</v>
      </c>
      <c r="F146" s="14" t="s">
        <v>167</v>
      </c>
      <c r="G146" s="14" t="s">
        <v>691</v>
      </c>
      <c r="H146" s="14" t="s">
        <v>59</v>
      </c>
      <c r="I146" s="15"/>
      <c r="J146" s="15"/>
      <c r="K146" s="15"/>
      <c r="L146" s="15"/>
      <c r="M146" s="15"/>
      <c r="N146" s="15"/>
      <c r="O146" s="15"/>
      <c r="P146" s="15"/>
      <c r="Q146" s="15"/>
      <c r="R146" s="15"/>
      <c r="S146" s="15"/>
      <c r="T146" s="15"/>
      <c r="U146" s="14" t="str">
        <f t="shared" si="10"/>
        <v/>
      </c>
    </row>
    <row r="147" spans="1:21" ht="29" x14ac:dyDescent="0.35">
      <c r="A147" s="14">
        <v>4</v>
      </c>
      <c r="B147" s="14" t="s">
        <v>768</v>
      </c>
      <c r="C147" s="14" t="s">
        <v>809</v>
      </c>
      <c r="D147" s="14" t="s">
        <v>70</v>
      </c>
      <c r="E147" s="14" t="s">
        <v>70</v>
      </c>
      <c r="F147" s="14" t="s">
        <v>810</v>
      </c>
      <c r="G147" s="14" t="s">
        <v>691</v>
      </c>
      <c r="H147" s="14" t="s">
        <v>76</v>
      </c>
      <c r="I147" s="15"/>
      <c r="J147" s="15"/>
      <c r="K147" s="15"/>
      <c r="L147" s="15"/>
      <c r="M147" s="15"/>
      <c r="N147" s="15"/>
      <c r="O147" s="15"/>
      <c r="P147" s="15"/>
      <c r="Q147" s="15"/>
      <c r="R147" s="15"/>
      <c r="S147" s="15"/>
      <c r="T147" s="15"/>
      <c r="U147" s="14" t="str">
        <f t="shared" si="10"/>
        <v/>
      </c>
    </row>
    <row r="148" spans="1:21" ht="29" x14ac:dyDescent="0.35">
      <c r="A148" s="14">
        <v>5</v>
      </c>
      <c r="B148" s="14" t="s">
        <v>811</v>
      </c>
      <c r="C148" s="14" t="s">
        <v>812</v>
      </c>
      <c r="D148" s="14" t="s">
        <v>813</v>
      </c>
      <c r="E148" s="14" t="s">
        <v>690</v>
      </c>
      <c r="F148" s="14" t="s">
        <v>167</v>
      </c>
      <c r="G148" s="14" t="s">
        <v>691</v>
      </c>
      <c r="H148" s="14" t="s">
        <v>59</v>
      </c>
      <c r="I148" s="15"/>
      <c r="J148" s="15"/>
      <c r="K148" s="15"/>
      <c r="L148" s="15"/>
      <c r="M148" s="15"/>
      <c r="N148" s="15"/>
      <c r="O148" s="15"/>
      <c r="P148" s="15"/>
      <c r="Q148" s="15"/>
      <c r="R148" s="15"/>
      <c r="S148" s="15"/>
      <c r="T148" s="15"/>
      <c r="U148" s="14" t="str">
        <f t="shared" si="10"/>
        <v/>
      </c>
    </row>
    <row r="149" spans="1:21" ht="29" x14ac:dyDescent="0.35">
      <c r="A149" s="14">
        <v>6</v>
      </c>
      <c r="B149" s="14" t="s">
        <v>814</v>
      </c>
      <c r="C149" s="14" t="s">
        <v>815</v>
      </c>
      <c r="D149" s="14" t="s">
        <v>816</v>
      </c>
      <c r="E149" s="14" t="s">
        <v>690</v>
      </c>
      <c r="F149" s="14" t="s">
        <v>167</v>
      </c>
      <c r="G149" s="14" t="s">
        <v>691</v>
      </c>
      <c r="H149" s="14" t="s">
        <v>59</v>
      </c>
      <c r="I149" s="15"/>
      <c r="J149" s="15"/>
      <c r="K149" s="15"/>
      <c r="L149" s="15"/>
      <c r="M149" s="15"/>
      <c r="N149" s="15"/>
      <c r="O149" s="15"/>
      <c r="P149" s="15"/>
      <c r="Q149" s="15"/>
      <c r="R149" s="15"/>
      <c r="S149" s="15"/>
      <c r="T149" s="15"/>
      <c r="U149" s="14" t="str">
        <f t="shared" si="10"/>
        <v/>
      </c>
    </row>
    <row r="150" spans="1:21" ht="29" x14ac:dyDescent="0.35">
      <c r="A150" s="14">
        <v>7</v>
      </c>
      <c r="B150" s="14" t="s">
        <v>817</v>
      </c>
      <c r="C150" s="14" t="s">
        <v>818</v>
      </c>
      <c r="D150" s="14" t="s">
        <v>819</v>
      </c>
      <c r="E150" s="14" t="s">
        <v>690</v>
      </c>
      <c r="F150" s="14" t="s">
        <v>167</v>
      </c>
      <c r="G150" s="14" t="s">
        <v>691</v>
      </c>
      <c r="H150" s="14" t="s">
        <v>59</v>
      </c>
      <c r="I150" s="15"/>
      <c r="J150" s="15"/>
      <c r="K150" s="15"/>
      <c r="L150" s="15"/>
      <c r="M150" s="15"/>
      <c r="N150" s="15"/>
      <c r="O150" s="15"/>
      <c r="P150" s="15"/>
      <c r="Q150" s="15"/>
      <c r="R150" s="15"/>
      <c r="S150" s="15"/>
      <c r="T150" s="15"/>
      <c r="U150" s="14" t="str">
        <f t="shared" si="10"/>
        <v/>
      </c>
    </row>
    <row r="151" spans="1:21" ht="29" x14ac:dyDescent="0.35">
      <c r="A151" s="14">
        <v>8</v>
      </c>
      <c r="B151" s="14" t="s">
        <v>820</v>
      </c>
      <c r="C151" s="14" t="s">
        <v>821</v>
      </c>
      <c r="D151" s="14" t="s">
        <v>822</v>
      </c>
      <c r="E151" s="14" t="s">
        <v>69</v>
      </c>
      <c r="F151" s="14" t="s">
        <v>167</v>
      </c>
      <c r="G151" s="14" t="s">
        <v>691</v>
      </c>
      <c r="H151" s="14" t="s">
        <v>76</v>
      </c>
      <c r="I151" s="15"/>
      <c r="J151" s="15"/>
      <c r="K151" s="15"/>
      <c r="L151" s="15"/>
      <c r="M151" s="15"/>
      <c r="N151" s="15"/>
      <c r="O151" s="15"/>
      <c r="P151" s="15"/>
      <c r="Q151" s="15"/>
      <c r="R151" s="15"/>
      <c r="S151" s="15"/>
      <c r="T151" s="15"/>
      <c r="U151" s="14" t="str">
        <f t="shared" si="10"/>
        <v/>
      </c>
    </row>
    <row r="152" spans="1:21" ht="29" x14ac:dyDescent="0.35">
      <c r="A152" s="14">
        <v>9</v>
      </c>
      <c r="B152" s="14" t="s">
        <v>823</v>
      </c>
      <c r="C152" s="14" t="s">
        <v>824</v>
      </c>
      <c r="D152" s="14" t="s">
        <v>825</v>
      </c>
      <c r="E152" s="14" t="s">
        <v>692</v>
      </c>
      <c r="F152" s="14" t="s">
        <v>167</v>
      </c>
      <c r="G152" s="14" t="s">
        <v>691</v>
      </c>
      <c r="H152" s="14" t="s">
        <v>76</v>
      </c>
      <c r="I152" s="15"/>
      <c r="J152" s="15"/>
      <c r="K152" s="15"/>
      <c r="L152" s="15"/>
      <c r="M152" s="15"/>
      <c r="N152" s="15"/>
      <c r="O152" s="15"/>
      <c r="P152" s="15"/>
      <c r="Q152" s="15"/>
      <c r="R152" s="15"/>
      <c r="S152" s="15"/>
      <c r="T152" s="15"/>
      <c r="U152" s="14" t="str">
        <f t="shared" si="10"/>
        <v/>
      </c>
    </row>
    <row r="153" spans="1:21" ht="29" x14ac:dyDescent="0.35">
      <c r="A153" s="14">
        <v>10</v>
      </c>
      <c r="B153" s="14" t="s">
        <v>826</v>
      </c>
      <c r="C153" s="14" t="s">
        <v>827</v>
      </c>
      <c r="D153" s="14" t="s">
        <v>828</v>
      </c>
      <c r="E153" s="14" t="s">
        <v>690</v>
      </c>
      <c r="F153" s="14" t="s">
        <v>167</v>
      </c>
      <c r="G153" s="14" t="s">
        <v>691</v>
      </c>
      <c r="H153" s="14" t="s">
        <v>59</v>
      </c>
      <c r="I153" s="15"/>
      <c r="J153" s="15"/>
      <c r="K153" s="15"/>
      <c r="L153" s="15"/>
      <c r="M153" s="15"/>
      <c r="N153" s="15"/>
      <c r="O153" s="15"/>
      <c r="P153" s="15"/>
      <c r="Q153" s="15"/>
      <c r="R153" s="15"/>
      <c r="S153" s="15"/>
      <c r="T153" s="15"/>
      <c r="U153" s="14" t="str">
        <f t="shared" si="10"/>
        <v/>
      </c>
    </row>
    <row r="156" spans="1:21" ht="22" customHeight="1" x14ac:dyDescent="0.35">
      <c r="A156" s="26" t="s">
        <v>837</v>
      </c>
      <c r="B156" s="23"/>
      <c r="C156" s="23"/>
      <c r="D156" s="23"/>
      <c r="E156" s="23"/>
      <c r="F156" s="23"/>
      <c r="G156" s="23"/>
      <c r="H156" s="23"/>
      <c r="I156" s="23"/>
      <c r="J156" s="23"/>
      <c r="K156" s="23"/>
      <c r="L156" s="23"/>
      <c r="M156" s="23"/>
      <c r="N156" s="23"/>
      <c r="O156" s="23"/>
      <c r="P156" s="23"/>
      <c r="Q156" s="23"/>
      <c r="R156" s="23"/>
      <c r="S156" s="23"/>
      <c r="T156" s="23"/>
      <c r="U156" s="23"/>
    </row>
    <row r="157" spans="1:21" x14ac:dyDescent="0.35">
      <c r="A157" t="s">
        <v>31</v>
      </c>
      <c r="B157" t="s">
        <v>27</v>
      </c>
      <c r="C157" t="s">
        <v>32</v>
      </c>
      <c r="E157" t="s">
        <v>33</v>
      </c>
    </row>
    <row r="158" spans="1:21" ht="29" x14ac:dyDescent="0.35">
      <c r="A158" s="11" t="s">
        <v>34</v>
      </c>
      <c r="B158" s="11" t="s">
        <v>35</v>
      </c>
      <c r="C158" s="11" t="s">
        <v>36</v>
      </c>
      <c r="D158" s="11" t="s">
        <v>37</v>
      </c>
      <c r="E158" s="11" t="s">
        <v>38</v>
      </c>
      <c r="F158" s="11" t="s">
        <v>39</v>
      </c>
      <c r="G158" s="11" t="s">
        <v>40</v>
      </c>
      <c r="H158" s="11" t="s">
        <v>41</v>
      </c>
      <c r="I158" s="11" t="s">
        <v>42</v>
      </c>
      <c r="J158" s="11" t="s">
        <v>43</v>
      </c>
      <c r="K158" s="11" t="s">
        <v>44</v>
      </c>
      <c r="L158" s="11" t="s">
        <v>45</v>
      </c>
      <c r="M158" s="11" t="s">
        <v>46</v>
      </c>
      <c r="N158" s="11" t="s">
        <v>47</v>
      </c>
      <c r="O158" s="11" t="s">
        <v>48</v>
      </c>
      <c r="P158" s="11" t="s">
        <v>4</v>
      </c>
      <c r="Q158" s="11" t="s">
        <v>49</v>
      </c>
      <c r="R158" s="11" t="s">
        <v>50</v>
      </c>
      <c r="S158" s="11" t="s">
        <v>51</v>
      </c>
      <c r="T158" s="11" t="s">
        <v>52</v>
      </c>
      <c r="U158" s="11" t="s">
        <v>10</v>
      </c>
    </row>
    <row r="159" spans="1:21" ht="29" x14ac:dyDescent="0.35">
      <c r="A159" s="14">
        <v>1</v>
      </c>
      <c r="B159" s="14" t="s">
        <v>800</v>
      </c>
      <c r="C159" s="14" t="s">
        <v>801</v>
      </c>
      <c r="D159" s="14" t="s">
        <v>802</v>
      </c>
      <c r="E159" s="14" t="s">
        <v>69</v>
      </c>
      <c r="F159" s="14" t="s">
        <v>167</v>
      </c>
      <c r="G159" s="14" t="s">
        <v>691</v>
      </c>
      <c r="H159" s="14" t="s">
        <v>76</v>
      </c>
      <c r="I159" s="15"/>
      <c r="J159" s="15"/>
      <c r="K159" s="15"/>
      <c r="L159" s="15"/>
      <c r="M159" s="15"/>
      <c r="N159" s="15"/>
      <c r="O159" s="15"/>
      <c r="P159" s="15"/>
      <c r="Q159" s="15"/>
      <c r="R159" s="15"/>
      <c r="S159" s="15"/>
      <c r="T159" s="15"/>
      <c r="U159" s="14" t="str">
        <f t="shared" ref="U159:U168" si="11">IF(I159="","",IF(I159="NA","Grey",IF(I159=2,"Green",IF(I159=1,"Amber","Red"))))</f>
        <v/>
      </c>
    </row>
    <row r="160" spans="1:21" ht="29" x14ac:dyDescent="0.35">
      <c r="A160" s="14">
        <v>2</v>
      </c>
      <c r="B160" s="14" t="s">
        <v>803</v>
      </c>
      <c r="C160" s="14" t="s">
        <v>804</v>
      </c>
      <c r="D160" s="14" t="s">
        <v>805</v>
      </c>
      <c r="E160" s="14" t="s">
        <v>449</v>
      </c>
      <c r="F160" s="14" t="s">
        <v>284</v>
      </c>
      <c r="G160" s="14" t="s">
        <v>691</v>
      </c>
      <c r="H160" s="14" t="s">
        <v>76</v>
      </c>
      <c r="I160" s="15"/>
      <c r="J160" s="15"/>
      <c r="K160" s="15"/>
      <c r="L160" s="15"/>
      <c r="M160" s="15"/>
      <c r="N160" s="15"/>
      <c r="O160" s="15"/>
      <c r="P160" s="15"/>
      <c r="Q160" s="15"/>
      <c r="R160" s="15"/>
      <c r="S160" s="15"/>
      <c r="T160" s="15"/>
      <c r="U160" s="14" t="str">
        <f t="shared" si="11"/>
        <v/>
      </c>
    </row>
    <row r="161" spans="1:21" ht="29" x14ac:dyDescent="0.35">
      <c r="A161" s="14">
        <v>3</v>
      </c>
      <c r="B161" s="14" t="s">
        <v>806</v>
      </c>
      <c r="C161" s="14" t="s">
        <v>807</v>
      </c>
      <c r="D161" s="14" t="s">
        <v>808</v>
      </c>
      <c r="E161" s="14" t="s">
        <v>690</v>
      </c>
      <c r="F161" s="14" t="s">
        <v>167</v>
      </c>
      <c r="G161" s="14" t="s">
        <v>691</v>
      </c>
      <c r="H161" s="14" t="s">
        <v>59</v>
      </c>
      <c r="I161" s="15"/>
      <c r="J161" s="15"/>
      <c r="K161" s="15"/>
      <c r="L161" s="15"/>
      <c r="M161" s="15"/>
      <c r="N161" s="15"/>
      <c r="O161" s="15"/>
      <c r="P161" s="15"/>
      <c r="Q161" s="15"/>
      <c r="R161" s="15"/>
      <c r="S161" s="15"/>
      <c r="T161" s="15"/>
      <c r="U161" s="14" t="str">
        <f t="shared" si="11"/>
        <v/>
      </c>
    </row>
    <row r="162" spans="1:21" ht="29" x14ac:dyDescent="0.35">
      <c r="A162" s="14">
        <v>4</v>
      </c>
      <c r="B162" s="14" t="s">
        <v>768</v>
      </c>
      <c r="C162" s="14" t="s">
        <v>809</v>
      </c>
      <c r="D162" s="14" t="s">
        <v>70</v>
      </c>
      <c r="E162" s="14" t="s">
        <v>70</v>
      </c>
      <c r="F162" s="14" t="s">
        <v>810</v>
      </c>
      <c r="G162" s="14" t="s">
        <v>691</v>
      </c>
      <c r="H162" s="14" t="s">
        <v>76</v>
      </c>
      <c r="I162" s="15"/>
      <c r="J162" s="15"/>
      <c r="K162" s="15"/>
      <c r="L162" s="15"/>
      <c r="M162" s="15"/>
      <c r="N162" s="15"/>
      <c r="O162" s="15"/>
      <c r="P162" s="15"/>
      <c r="Q162" s="15"/>
      <c r="R162" s="15"/>
      <c r="S162" s="15"/>
      <c r="T162" s="15"/>
      <c r="U162" s="14" t="str">
        <f t="shared" si="11"/>
        <v/>
      </c>
    </row>
    <row r="163" spans="1:21" ht="29" x14ac:dyDescent="0.35">
      <c r="A163" s="14">
        <v>5</v>
      </c>
      <c r="B163" s="14" t="s">
        <v>811</v>
      </c>
      <c r="C163" s="14" t="s">
        <v>812</v>
      </c>
      <c r="D163" s="14" t="s">
        <v>813</v>
      </c>
      <c r="E163" s="14" t="s">
        <v>690</v>
      </c>
      <c r="F163" s="14" t="s">
        <v>167</v>
      </c>
      <c r="G163" s="14" t="s">
        <v>691</v>
      </c>
      <c r="H163" s="14" t="s">
        <v>59</v>
      </c>
      <c r="I163" s="15"/>
      <c r="J163" s="15"/>
      <c r="K163" s="15"/>
      <c r="L163" s="15"/>
      <c r="M163" s="15"/>
      <c r="N163" s="15"/>
      <c r="O163" s="15"/>
      <c r="P163" s="15"/>
      <c r="Q163" s="15"/>
      <c r="R163" s="15"/>
      <c r="S163" s="15"/>
      <c r="T163" s="15"/>
      <c r="U163" s="14" t="str">
        <f t="shared" si="11"/>
        <v/>
      </c>
    </row>
    <row r="164" spans="1:21" ht="29" x14ac:dyDescent="0.35">
      <c r="A164" s="14">
        <v>6</v>
      </c>
      <c r="B164" s="14" t="s">
        <v>814</v>
      </c>
      <c r="C164" s="14" t="s">
        <v>815</v>
      </c>
      <c r="D164" s="14" t="s">
        <v>816</v>
      </c>
      <c r="E164" s="14" t="s">
        <v>690</v>
      </c>
      <c r="F164" s="14" t="s">
        <v>167</v>
      </c>
      <c r="G164" s="14" t="s">
        <v>691</v>
      </c>
      <c r="H164" s="14" t="s">
        <v>59</v>
      </c>
      <c r="I164" s="15"/>
      <c r="J164" s="15"/>
      <c r="K164" s="15"/>
      <c r="L164" s="15"/>
      <c r="M164" s="15"/>
      <c r="N164" s="15"/>
      <c r="O164" s="15"/>
      <c r="P164" s="15"/>
      <c r="Q164" s="15"/>
      <c r="R164" s="15"/>
      <c r="S164" s="15"/>
      <c r="T164" s="15"/>
      <c r="U164" s="14" t="str">
        <f t="shared" si="11"/>
        <v/>
      </c>
    </row>
    <row r="165" spans="1:21" ht="29" x14ac:dyDescent="0.35">
      <c r="A165" s="14">
        <v>7</v>
      </c>
      <c r="B165" s="14" t="s">
        <v>817</v>
      </c>
      <c r="C165" s="14" t="s">
        <v>818</v>
      </c>
      <c r="D165" s="14" t="s">
        <v>819</v>
      </c>
      <c r="E165" s="14" t="s">
        <v>690</v>
      </c>
      <c r="F165" s="14" t="s">
        <v>167</v>
      </c>
      <c r="G165" s="14" t="s">
        <v>691</v>
      </c>
      <c r="H165" s="14" t="s">
        <v>59</v>
      </c>
      <c r="I165" s="15"/>
      <c r="J165" s="15"/>
      <c r="K165" s="15"/>
      <c r="L165" s="15"/>
      <c r="M165" s="15"/>
      <c r="N165" s="15"/>
      <c r="O165" s="15"/>
      <c r="P165" s="15"/>
      <c r="Q165" s="15"/>
      <c r="R165" s="15"/>
      <c r="S165" s="15"/>
      <c r="T165" s="15"/>
      <c r="U165" s="14" t="str">
        <f t="shared" si="11"/>
        <v/>
      </c>
    </row>
    <row r="166" spans="1:21" ht="29" x14ac:dyDescent="0.35">
      <c r="A166" s="14">
        <v>8</v>
      </c>
      <c r="B166" s="14" t="s">
        <v>820</v>
      </c>
      <c r="C166" s="14" t="s">
        <v>821</v>
      </c>
      <c r="D166" s="14" t="s">
        <v>822</v>
      </c>
      <c r="E166" s="14" t="s">
        <v>69</v>
      </c>
      <c r="F166" s="14" t="s">
        <v>167</v>
      </c>
      <c r="G166" s="14" t="s">
        <v>691</v>
      </c>
      <c r="H166" s="14" t="s">
        <v>76</v>
      </c>
      <c r="I166" s="15"/>
      <c r="J166" s="15"/>
      <c r="K166" s="15"/>
      <c r="L166" s="15"/>
      <c r="M166" s="15"/>
      <c r="N166" s="15"/>
      <c r="O166" s="15"/>
      <c r="P166" s="15"/>
      <c r="Q166" s="15"/>
      <c r="R166" s="15"/>
      <c r="S166" s="15"/>
      <c r="T166" s="15"/>
      <c r="U166" s="14" t="str">
        <f t="shared" si="11"/>
        <v/>
      </c>
    </row>
    <row r="167" spans="1:21" ht="29" x14ac:dyDescent="0.35">
      <c r="A167" s="14">
        <v>9</v>
      </c>
      <c r="B167" s="14" t="s">
        <v>823</v>
      </c>
      <c r="C167" s="14" t="s">
        <v>824</v>
      </c>
      <c r="D167" s="14" t="s">
        <v>825</v>
      </c>
      <c r="E167" s="14" t="s">
        <v>692</v>
      </c>
      <c r="F167" s="14" t="s">
        <v>167</v>
      </c>
      <c r="G167" s="14" t="s">
        <v>691</v>
      </c>
      <c r="H167" s="14" t="s">
        <v>76</v>
      </c>
      <c r="I167" s="15"/>
      <c r="J167" s="15"/>
      <c r="K167" s="15"/>
      <c r="L167" s="15"/>
      <c r="M167" s="15"/>
      <c r="N167" s="15"/>
      <c r="O167" s="15"/>
      <c r="P167" s="15"/>
      <c r="Q167" s="15"/>
      <c r="R167" s="15"/>
      <c r="S167" s="15"/>
      <c r="T167" s="15"/>
      <c r="U167" s="14" t="str">
        <f t="shared" si="11"/>
        <v/>
      </c>
    </row>
    <row r="168" spans="1:21" ht="29" x14ac:dyDescent="0.35">
      <c r="A168" s="14">
        <v>10</v>
      </c>
      <c r="B168" s="14" t="s">
        <v>826</v>
      </c>
      <c r="C168" s="14" t="s">
        <v>827</v>
      </c>
      <c r="D168" s="14" t="s">
        <v>828</v>
      </c>
      <c r="E168" s="14" t="s">
        <v>690</v>
      </c>
      <c r="F168" s="14" t="s">
        <v>167</v>
      </c>
      <c r="G168" s="14" t="s">
        <v>691</v>
      </c>
      <c r="H168" s="14" t="s">
        <v>59</v>
      </c>
      <c r="I168" s="15"/>
      <c r="J168" s="15"/>
      <c r="K168" s="15"/>
      <c r="L168" s="15"/>
      <c r="M168" s="15"/>
      <c r="N168" s="15"/>
      <c r="O168" s="15"/>
      <c r="P168" s="15"/>
      <c r="Q168" s="15"/>
      <c r="R168" s="15"/>
      <c r="S168" s="15"/>
      <c r="T168" s="15"/>
      <c r="U168" s="14" t="str">
        <f t="shared" si="11"/>
        <v/>
      </c>
    </row>
    <row r="171" spans="1:21" ht="22" customHeight="1" x14ac:dyDescent="0.35">
      <c r="A171" s="26" t="s">
        <v>838</v>
      </c>
      <c r="B171" s="23"/>
      <c r="C171" s="23"/>
      <c r="D171" s="23"/>
      <c r="E171" s="23"/>
      <c r="F171" s="23"/>
      <c r="G171" s="23"/>
      <c r="H171" s="23"/>
      <c r="I171" s="23"/>
      <c r="J171" s="23"/>
      <c r="K171" s="23"/>
      <c r="L171" s="23"/>
      <c r="M171" s="23"/>
      <c r="N171" s="23"/>
      <c r="O171" s="23"/>
      <c r="P171" s="23"/>
      <c r="Q171" s="23"/>
      <c r="R171" s="23"/>
      <c r="S171" s="23"/>
      <c r="T171" s="23"/>
      <c r="U171" s="23"/>
    </row>
    <row r="172" spans="1:21" x14ac:dyDescent="0.35">
      <c r="A172" t="s">
        <v>31</v>
      </c>
      <c r="B172" t="s">
        <v>28</v>
      </c>
      <c r="C172" t="s">
        <v>32</v>
      </c>
      <c r="E172" t="s">
        <v>33</v>
      </c>
    </row>
    <row r="173" spans="1:21" ht="29" x14ac:dyDescent="0.35">
      <c r="A173" s="11" t="s">
        <v>34</v>
      </c>
      <c r="B173" s="11" t="s">
        <v>35</v>
      </c>
      <c r="C173" s="11" t="s">
        <v>36</v>
      </c>
      <c r="D173" s="11" t="s">
        <v>37</v>
      </c>
      <c r="E173" s="11" t="s">
        <v>38</v>
      </c>
      <c r="F173" s="11" t="s">
        <v>39</v>
      </c>
      <c r="G173" s="11" t="s">
        <v>40</v>
      </c>
      <c r="H173" s="11" t="s">
        <v>41</v>
      </c>
      <c r="I173" s="11" t="s">
        <v>42</v>
      </c>
      <c r="J173" s="11" t="s">
        <v>43</v>
      </c>
      <c r="K173" s="11" t="s">
        <v>44</v>
      </c>
      <c r="L173" s="11" t="s">
        <v>45</v>
      </c>
      <c r="M173" s="11" t="s">
        <v>46</v>
      </c>
      <c r="N173" s="11" t="s">
        <v>47</v>
      </c>
      <c r="O173" s="11" t="s">
        <v>48</v>
      </c>
      <c r="P173" s="11" t="s">
        <v>4</v>
      </c>
      <c r="Q173" s="11" t="s">
        <v>49</v>
      </c>
      <c r="R173" s="11" t="s">
        <v>50</v>
      </c>
      <c r="S173" s="11" t="s">
        <v>51</v>
      </c>
      <c r="T173" s="11" t="s">
        <v>52</v>
      </c>
      <c r="U173" s="11" t="s">
        <v>10</v>
      </c>
    </row>
    <row r="174" spans="1:21" ht="29" x14ac:dyDescent="0.35">
      <c r="A174" s="14">
        <v>1</v>
      </c>
      <c r="B174" s="14" t="s">
        <v>800</v>
      </c>
      <c r="C174" s="14" t="s">
        <v>801</v>
      </c>
      <c r="D174" s="14" t="s">
        <v>802</v>
      </c>
      <c r="E174" s="14" t="s">
        <v>69</v>
      </c>
      <c r="F174" s="14" t="s">
        <v>167</v>
      </c>
      <c r="G174" s="14" t="s">
        <v>691</v>
      </c>
      <c r="H174" s="14" t="s">
        <v>76</v>
      </c>
      <c r="I174" s="15"/>
      <c r="J174" s="15"/>
      <c r="K174" s="15"/>
      <c r="L174" s="15"/>
      <c r="M174" s="15"/>
      <c r="N174" s="15"/>
      <c r="O174" s="15"/>
      <c r="P174" s="15"/>
      <c r="Q174" s="15"/>
      <c r="R174" s="15"/>
      <c r="S174" s="15"/>
      <c r="T174" s="15"/>
      <c r="U174" s="14" t="str">
        <f t="shared" ref="U174:U183" si="12">IF(I174="","",IF(I174="NA","Grey",IF(I174=2,"Green",IF(I174=1,"Amber","Red"))))</f>
        <v/>
      </c>
    </row>
    <row r="175" spans="1:21" ht="29" x14ac:dyDescent="0.35">
      <c r="A175" s="14">
        <v>2</v>
      </c>
      <c r="B175" s="14" t="s">
        <v>803</v>
      </c>
      <c r="C175" s="14" t="s">
        <v>804</v>
      </c>
      <c r="D175" s="14" t="s">
        <v>805</v>
      </c>
      <c r="E175" s="14" t="s">
        <v>449</v>
      </c>
      <c r="F175" s="14" t="s">
        <v>284</v>
      </c>
      <c r="G175" s="14" t="s">
        <v>691</v>
      </c>
      <c r="H175" s="14" t="s">
        <v>76</v>
      </c>
      <c r="I175" s="15"/>
      <c r="J175" s="15"/>
      <c r="K175" s="15"/>
      <c r="L175" s="15"/>
      <c r="M175" s="15"/>
      <c r="N175" s="15"/>
      <c r="O175" s="15"/>
      <c r="P175" s="15"/>
      <c r="Q175" s="15"/>
      <c r="R175" s="15"/>
      <c r="S175" s="15"/>
      <c r="T175" s="15"/>
      <c r="U175" s="14" t="str">
        <f t="shared" si="12"/>
        <v/>
      </c>
    </row>
    <row r="176" spans="1:21" ht="29" x14ac:dyDescent="0.35">
      <c r="A176" s="14">
        <v>3</v>
      </c>
      <c r="B176" s="14" t="s">
        <v>806</v>
      </c>
      <c r="C176" s="14" t="s">
        <v>807</v>
      </c>
      <c r="D176" s="14" t="s">
        <v>808</v>
      </c>
      <c r="E176" s="14" t="s">
        <v>690</v>
      </c>
      <c r="F176" s="14" t="s">
        <v>167</v>
      </c>
      <c r="G176" s="14" t="s">
        <v>691</v>
      </c>
      <c r="H176" s="14" t="s">
        <v>59</v>
      </c>
      <c r="I176" s="15"/>
      <c r="J176" s="15"/>
      <c r="K176" s="15"/>
      <c r="L176" s="15"/>
      <c r="M176" s="15"/>
      <c r="N176" s="15"/>
      <c r="O176" s="15"/>
      <c r="P176" s="15"/>
      <c r="Q176" s="15"/>
      <c r="R176" s="15"/>
      <c r="S176" s="15"/>
      <c r="T176" s="15"/>
      <c r="U176" s="14" t="str">
        <f t="shared" si="12"/>
        <v/>
      </c>
    </row>
    <row r="177" spans="1:21" ht="29" x14ac:dyDescent="0.35">
      <c r="A177" s="14">
        <v>4</v>
      </c>
      <c r="B177" s="14" t="s">
        <v>768</v>
      </c>
      <c r="C177" s="14" t="s">
        <v>809</v>
      </c>
      <c r="D177" s="14" t="s">
        <v>70</v>
      </c>
      <c r="E177" s="14" t="s">
        <v>70</v>
      </c>
      <c r="F177" s="14" t="s">
        <v>810</v>
      </c>
      <c r="G177" s="14" t="s">
        <v>691</v>
      </c>
      <c r="H177" s="14" t="s">
        <v>76</v>
      </c>
      <c r="I177" s="15"/>
      <c r="J177" s="15"/>
      <c r="K177" s="15"/>
      <c r="L177" s="15"/>
      <c r="M177" s="15"/>
      <c r="N177" s="15"/>
      <c r="O177" s="15"/>
      <c r="P177" s="15"/>
      <c r="Q177" s="15"/>
      <c r="R177" s="15"/>
      <c r="S177" s="15"/>
      <c r="T177" s="15"/>
      <c r="U177" s="14" t="str">
        <f t="shared" si="12"/>
        <v/>
      </c>
    </row>
    <row r="178" spans="1:21" ht="29" x14ac:dyDescent="0.35">
      <c r="A178" s="14">
        <v>5</v>
      </c>
      <c r="B178" s="14" t="s">
        <v>811</v>
      </c>
      <c r="C178" s="14" t="s">
        <v>812</v>
      </c>
      <c r="D178" s="14" t="s">
        <v>813</v>
      </c>
      <c r="E178" s="14" t="s">
        <v>690</v>
      </c>
      <c r="F178" s="14" t="s">
        <v>167</v>
      </c>
      <c r="G178" s="14" t="s">
        <v>691</v>
      </c>
      <c r="H178" s="14" t="s">
        <v>59</v>
      </c>
      <c r="I178" s="15"/>
      <c r="J178" s="15"/>
      <c r="K178" s="15"/>
      <c r="L178" s="15"/>
      <c r="M178" s="15"/>
      <c r="N178" s="15"/>
      <c r="O178" s="15"/>
      <c r="P178" s="15"/>
      <c r="Q178" s="15"/>
      <c r="R178" s="15"/>
      <c r="S178" s="15"/>
      <c r="T178" s="15"/>
      <c r="U178" s="14" t="str">
        <f t="shared" si="12"/>
        <v/>
      </c>
    </row>
    <row r="179" spans="1:21" ht="29" x14ac:dyDescent="0.35">
      <c r="A179" s="14">
        <v>6</v>
      </c>
      <c r="B179" s="14" t="s">
        <v>814</v>
      </c>
      <c r="C179" s="14" t="s">
        <v>815</v>
      </c>
      <c r="D179" s="14" t="s">
        <v>816</v>
      </c>
      <c r="E179" s="14" t="s">
        <v>690</v>
      </c>
      <c r="F179" s="14" t="s">
        <v>167</v>
      </c>
      <c r="G179" s="14" t="s">
        <v>691</v>
      </c>
      <c r="H179" s="14" t="s">
        <v>59</v>
      </c>
      <c r="I179" s="15"/>
      <c r="J179" s="15"/>
      <c r="K179" s="15"/>
      <c r="L179" s="15"/>
      <c r="M179" s="15"/>
      <c r="N179" s="15"/>
      <c r="O179" s="15"/>
      <c r="P179" s="15"/>
      <c r="Q179" s="15"/>
      <c r="R179" s="15"/>
      <c r="S179" s="15"/>
      <c r="T179" s="15"/>
      <c r="U179" s="14" t="str">
        <f t="shared" si="12"/>
        <v/>
      </c>
    </row>
    <row r="180" spans="1:21" ht="29" x14ac:dyDescent="0.35">
      <c r="A180" s="14">
        <v>7</v>
      </c>
      <c r="B180" s="14" t="s">
        <v>817</v>
      </c>
      <c r="C180" s="14" t="s">
        <v>818</v>
      </c>
      <c r="D180" s="14" t="s">
        <v>819</v>
      </c>
      <c r="E180" s="14" t="s">
        <v>690</v>
      </c>
      <c r="F180" s="14" t="s">
        <v>167</v>
      </c>
      <c r="G180" s="14" t="s">
        <v>691</v>
      </c>
      <c r="H180" s="14" t="s">
        <v>59</v>
      </c>
      <c r="I180" s="15"/>
      <c r="J180" s="15"/>
      <c r="K180" s="15"/>
      <c r="L180" s="15"/>
      <c r="M180" s="15"/>
      <c r="N180" s="15"/>
      <c r="O180" s="15"/>
      <c r="P180" s="15"/>
      <c r="Q180" s="15"/>
      <c r="R180" s="15"/>
      <c r="S180" s="15"/>
      <c r="T180" s="15"/>
      <c r="U180" s="14" t="str">
        <f t="shared" si="12"/>
        <v/>
      </c>
    </row>
    <row r="181" spans="1:21" ht="29" x14ac:dyDescent="0.35">
      <c r="A181" s="14">
        <v>8</v>
      </c>
      <c r="B181" s="14" t="s">
        <v>820</v>
      </c>
      <c r="C181" s="14" t="s">
        <v>821</v>
      </c>
      <c r="D181" s="14" t="s">
        <v>822</v>
      </c>
      <c r="E181" s="14" t="s">
        <v>69</v>
      </c>
      <c r="F181" s="14" t="s">
        <v>167</v>
      </c>
      <c r="G181" s="14" t="s">
        <v>691</v>
      </c>
      <c r="H181" s="14" t="s">
        <v>76</v>
      </c>
      <c r="I181" s="15"/>
      <c r="J181" s="15"/>
      <c r="K181" s="15"/>
      <c r="L181" s="15"/>
      <c r="M181" s="15"/>
      <c r="N181" s="15"/>
      <c r="O181" s="15"/>
      <c r="P181" s="15"/>
      <c r="Q181" s="15"/>
      <c r="R181" s="15"/>
      <c r="S181" s="15"/>
      <c r="T181" s="15"/>
      <c r="U181" s="14" t="str">
        <f t="shared" si="12"/>
        <v/>
      </c>
    </row>
    <row r="182" spans="1:21" ht="29" x14ac:dyDescent="0.35">
      <c r="A182" s="14">
        <v>9</v>
      </c>
      <c r="B182" s="14" t="s">
        <v>823</v>
      </c>
      <c r="C182" s="14" t="s">
        <v>824</v>
      </c>
      <c r="D182" s="14" t="s">
        <v>825</v>
      </c>
      <c r="E182" s="14" t="s">
        <v>692</v>
      </c>
      <c r="F182" s="14" t="s">
        <v>167</v>
      </c>
      <c r="G182" s="14" t="s">
        <v>691</v>
      </c>
      <c r="H182" s="14" t="s">
        <v>76</v>
      </c>
      <c r="I182" s="15"/>
      <c r="J182" s="15"/>
      <c r="K182" s="15"/>
      <c r="L182" s="15"/>
      <c r="M182" s="15"/>
      <c r="N182" s="15"/>
      <c r="O182" s="15"/>
      <c r="P182" s="15"/>
      <c r="Q182" s="15"/>
      <c r="R182" s="15"/>
      <c r="S182" s="15"/>
      <c r="T182" s="15"/>
      <c r="U182" s="14" t="str">
        <f t="shared" si="12"/>
        <v/>
      </c>
    </row>
    <row r="183" spans="1:21" ht="29" x14ac:dyDescent="0.35">
      <c r="A183" s="14">
        <v>10</v>
      </c>
      <c r="B183" s="14" t="s">
        <v>826</v>
      </c>
      <c r="C183" s="14" t="s">
        <v>827</v>
      </c>
      <c r="D183" s="14" t="s">
        <v>828</v>
      </c>
      <c r="E183" s="14" t="s">
        <v>690</v>
      </c>
      <c r="F183" s="14" t="s">
        <v>167</v>
      </c>
      <c r="G183" s="14" t="s">
        <v>691</v>
      </c>
      <c r="H183" s="14" t="s">
        <v>59</v>
      </c>
      <c r="I183" s="15"/>
      <c r="J183" s="15"/>
      <c r="K183" s="15"/>
      <c r="L183" s="15"/>
      <c r="M183" s="15"/>
      <c r="N183" s="15"/>
      <c r="O183" s="15"/>
      <c r="P183" s="15"/>
      <c r="Q183" s="15"/>
      <c r="R183" s="15"/>
      <c r="S183" s="15"/>
      <c r="T183" s="15"/>
      <c r="U183" s="14" t="str">
        <f t="shared" si="12"/>
        <v/>
      </c>
    </row>
    <row r="186" spans="1:21" ht="22" customHeight="1" x14ac:dyDescent="0.35">
      <c r="A186" s="26" t="s">
        <v>839</v>
      </c>
      <c r="B186" s="23"/>
      <c r="C186" s="23"/>
      <c r="D186" s="23"/>
      <c r="E186" s="23"/>
      <c r="F186" s="23"/>
      <c r="G186" s="23"/>
      <c r="H186" s="23"/>
      <c r="I186" s="23"/>
      <c r="J186" s="23"/>
      <c r="K186" s="23"/>
      <c r="L186" s="23"/>
      <c r="M186" s="23"/>
      <c r="N186" s="23"/>
      <c r="O186" s="23"/>
      <c r="P186" s="23"/>
      <c r="Q186" s="23"/>
      <c r="R186" s="23"/>
      <c r="S186" s="23"/>
      <c r="T186" s="23"/>
      <c r="U186" s="23"/>
    </row>
    <row r="187" spans="1:21" x14ac:dyDescent="0.35">
      <c r="A187" t="s">
        <v>31</v>
      </c>
      <c r="B187" t="s">
        <v>29</v>
      </c>
      <c r="C187" t="s">
        <v>32</v>
      </c>
      <c r="E187" t="s">
        <v>33</v>
      </c>
    </row>
    <row r="188" spans="1:21" ht="29" x14ac:dyDescent="0.35">
      <c r="A188" s="11" t="s">
        <v>34</v>
      </c>
      <c r="B188" s="11" t="s">
        <v>35</v>
      </c>
      <c r="C188" s="11" t="s">
        <v>36</v>
      </c>
      <c r="D188" s="11" t="s">
        <v>37</v>
      </c>
      <c r="E188" s="11" t="s">
        <v>38</v>
      </c>
      <c r="F188" s="11" t="s">
        <v>39</v>
      </c>
      <c r="G188" s="11" t="s">
        <v>40</v>
      </c>
      <c r="H188" s="11" t="s">
        <v>41</v>
      </c>
      <c r="I188" s="11" t="s">
        <v>42</v>
      </c>
      <c r="J188" s="11" t="s">
        <v>43</v>
      </c>
      <c r="K188" s="11" t="s">
        <v>44</v>
      </c>
      <c r="L188" s="11" t="s">
        <v>45</v>
      </c>
      <c r="M188" s="11" t="s">
        <v>46</v>
      </c>
      <c r="N188" s="11" t="s">
        <v>47</v>
      </c>
      <c r="O188" s="11" t="s">
        <v>48</v>
      </c>
      <c r="P188" s="11" t="s">
        <v>4</v>
      </c>
      <c r="Q188" s="11" t="s">
        <v>49</v>
      </c>
      <c r="R188" s="11" t="s">
        <v>50</v>
      </c>
      <c r="S188" s="11" t="s">
        <v>51</v>
      </c>
      <c r="T188" s="11" t="s">
        <v>52</v>
      </c>
      <c r="U188" s="11" t="s">
        <v>10</v>
      </c>
    </row>
    <row r="189" spans="1:21" ht="29" x14ac:dyDescent="0.35">
      <c r="A189" s="14">
        <v>1</v>
      </c>
      <c r="B189" s="14" t="s">
        <v>800</v>
      </c>
      <c r="C189" s="14" t="s">
        <v>801</v>
      </c>
      <c r="D189" s="14" t="s">
        <v>802</v>
      </c>
      <c r="E189" s="14" t="s">
        <v>69</v>
      </c>
      <c r="F189" s="14" t="s">
        <v>167</v>
      </c>
      <c r="G189" s="14" t="s">
        <v>691</v>
      </c>
      <c r="H189" s="14" t="s">
        <v>76</v>
      </c>
      <c r="I189" s="15"/>
      <c r="J189" s="15"/>
      <c r="K189" s="15"/>
      <c r="L189" s="15"/>
      <c r="M189" s="15"/>
      <c r="N189" s="15"/>
      <c r="O189" s="15"/>
      <c r="P189" s="15"/>
      <c r="Q189" s="15"/>
      <c r="R189" s="15"/>
      <c r="S189" s="15"/>
      <c r="T189" s="15"/>
      <c r="U189" s="14" t="str">
        <f t="shared" ref="U189:U198" si="13">IF(I189="","",IF(I189="NA","Grey",IF(I189=2,"Green",IF(I189=1,"Amber","Red"))))</f>
        <v/>
      </c>
    </row>
    <row r="190" spans="1:21" ht="29" x14ac:dyDescent="0.35">
      <c r="A190" s="14">
        <v>2</v>
      </c>
      <c r="B190" s="14" t="s">
        <v>803</v>
      </c>
      <c r="C190" s="14" t="s">
        <v>804</v>
      </c>
      <c r="D190" s="14" t="s">
        <v>805</v>
      </c>
      <c r="E190" s="14" t="s">
        <v>449</v>
      </c>
      <c r="F190" s="14" t="s">
        <v>284</v>
      </c>
      <c r="G190" s="14" t="s">
        <v>691</v>
      </c>
      <c r="H190" s="14" t="s">
        <v>76</v>
      </c>
      <c r="I190" s="15"/>
      <c r="J190" s="15"/>
      <c r="K190" s="15"/>
      <c r="L190" s="15"/>
      <c r="M190" s="15"/>
      <c r="N190" s="15"/>
      <c r="O190" s="15"/>
      <c r="P190" s="15"/>
      <c r="Q190" s="15"/>
      <c r="R190" s="15"/>
      <c r="S190" s="15"/>
      <c r="T190" s="15"/>
      <c r="U190" s="14" t="str">
        <f t="shared" si="13"/>
        <v/>
      </c>
    </row>
    <row r="191" spans="1:21" ht="29" x14ac:dyDescent="0.35">
      <c r="A191" s="14">
        <v>3</v>
      </c>
      <c r="B191" s="14" t="s">
        <v>806</v>
      </c>
      <c r="C191" s="14" t="s">
        <v>807</v>
      </c>
      <c r="D191" s="14" t="s">
        <v>808</v>
      </c>
      <c r="E191" s="14" t="s">
        <v>690</v>
      </c>
      <c r="F191" s="14" t="s">
        <v>167</v>
      </c>
      <c r="G191" s="14" t="s">
        <v>691</v>
      </c>
      <c r="H191" s="14" t="s">
        <v>59</v>
      </c>
      <c r="I191" s="15"/>
      <c r="J191" s="15"/>
      <c r="K191" s="15"/>
      <c r="L191" s="15"/>
      <c r="M191" s="15"/>
      <c r="N191" s="15"/>
      <c r="O191" s="15"/>
      <c r="P191" s="15"/>
      <c r="Q191" s="15"/>
      <c r="R191" s="15"/>
      <c r="S191" s="15"/>
      <c r="T191" s="15"/>
      <c r="U191" s="14" t="str">
        <f t="shared" si="13"/>
        <v/>
      </c>
    </row>
    <row r="192" spans="1:21" ht="29" x14ac:dyDescent="0.35">
      <c r="A192" s="14">
        <v>4</v>
      </c>
      <c r="B192" s="14" t="s">
        <v>768</v>
      </c>
      <c r="C192" s="14" t="s">
        <v>809</v>
      </c>
      <c r="D192" s="14" t="s">
        <v>70</v>
      </c>
      <c r="E192" s="14" t="s">
        <v>70</v>
      </c>
      <c r="F192" s="14" t="s">
        <v>810</v>
      </c>
      <c r="G192" s="14" t="s">
        <v>691</v>
      </c>
      <c r="H192" s="14" t="s">
        <v>76</v>
      </c>
      <c r="I192" s="15"/>
      <c r="J192" s="15"/>
      <c r="K192" s="15"/>
      <c r="L192" s="15"/>
      <c r="M192" s="15"/>
      <c r="N192" s="15"/>
      <c r="O192" s="15"/>
      <c r="P192" s="15"/>
      <c r="Q192" s="15"/>
      <c r="R192" s="15"/>
      <c r="S192" s="15"/>
      <c r="T192" s="15"/>
      <c r="U192" s="14" t="str">
        <f t="shared" si="13"/>
        <v/>
      </c>
    </row>
    <row r="193" spans="1:21" ht="29" x14ac:dyDescent="0.35">
      <c r="A193" s="14">
        <v>5</v>
      </c>
      <c r="B193" s="14" t="s">
        <v>811</v>
      </c>
      <c r="C193" s="14" t="s">
        <v>812</v>
      </c>
      <c r="D193" s="14" t="s">
        <v>813</v>
      </c>
      <c r="E193" s="14" t="s">
        <v>690</v>
      </c>
      <c r="F193" s="14" t="s">
        <v>167</v>
      </c>
      <c r="G193" s="14" t="s">
        <v>691</v>
      </c>
      <c r="H193" s="14" t="s">
        <v>59</v>
      </c>
      <c r="I193" s="15"/>
      <c r="J193" s="15"/>
      <c r="K193" s="15"/>
      <c r="L193" s="15"/>
      <c r="M193" s="15"/>
      <c r="N193" s="15"/>
      <c r="O193" s="15"/>
      <c r="P193" s="15"/>
      <c r="Q193" s="15"/>
      <c r="R193" s="15"/>
      <c r="S193" s="15"/>
      <c r="T193" s="15"/>
      <c r="U193" s="14" t="str">
        <f t="shared" si="13"/>
        <v/>
      </c>
    </row>
    <row r="194" spans="1:21" ht="29" x14ac:dyDescent="0.35">
      <c r="A194" s="14">
        <v>6</v>
      </c>
      <c r="B194" s="14" t="s">
        <v>814</v>
      </c>
      <c r="C194" s="14" t="s">
        <v>815</v>
      </c>
      <c r="D194" s="14" t="s">
        <v>816</v>
      </c>
      <c r="E194" s="14" t="s">
        <v>690</v>
      </c>
      <c r="F194" s="14" t="s">
        <v>167</v>
      </c>
      <c r="G194" s="14" t="s">
        <v>691</v>
      </c>
      <c r="H194" s="14" t="s">
        <v>59</v>
      </c>
      <c r="I194" s="15"/>
      <c r="J194" s="15"/>
      <c r="K194" s="15"/>
      <c r="L194" s="15"/>
      <c r="M194" s="15"/>
      <c r="N194" s="15"/>
      <c r="O194" s="15"/>
      <c r="P194" s="15"/>
      <c r="Q194" s="15"/>
      <c r="R194" s="15"/>
      <c r="S194" s="15"/>
      <c r="T194" s="15"/>
      <c r="U194" s="14" t="str">
        <f t="shared" si="13"/>
        <v/>
      </c>
    </row>
    <row r="195" spans="1:21" ht="29" x14ac:dyDescent="0.35">
      <c r="A195" s="14">
        <v>7</v>
      </c>
      <c r="B195" s="14" t="s">
        <v>817</v>
      </c>
      <c r="C195" s="14" t="s">
        <v>818</v>
      </c>
      <c r="D195" s="14" t="s">
        <v>819</v>
      </c>
      <c r="E195" s="14" t="s">
        <v>690</v>
      </c>
      <c r="F195" s="14" t="s">
        <v>167</v>
      </c>
      <c r="G195" s="14" t="s">
        <v>691</v>
      </c>
      <c r="H195" s="14" t="s">
        <v>59</v>
      </c>
      <c r="I195" s="15"/>
      <c r="J195" s="15"/>
      <c r="K195" s="15"/>
      <c r="L195" s="15"/>
      <c r="M195" s="15"/>
      <c r="N195" s="15"/>
      <c r="O195" s="15"/>
      <c r="P195" s="15"/>
      <c r="Q195" s="15"/>
      <c r="R195" s="15"/>
      <c r="S195" s="15"/>
      <c r="T195" s="15"/>
      <c r="U195" s="14" t="str">
        <f t="shared" si="13"/>
        <v/>
      </c>
    </row>
    <row r="196" spans="1:21" ht="29" x14ac:dyDescent="0.35">
      <c r="A196" s="14">
        <v>8</v>
      </c>
      <c r="B196" s="14" t="s">
        <v>820</v>
      </c>
      <c r="C196" s="14" t="s">
        <v>821</v>
      </c>
      <c r="D196" s="14" t="s">
        <v>822</v>
      </c>
      <c r="E196" s="14" t="s">
        <v>69</v>
      </c>
      <c r="F196" s="14" t="s">
        <v>167</v>
      </c>
      <c r="G196" s="14" t="s">
        <v>691</v>
      </c>
      <c r="H196" s="14" t="s">
        <v>76</v>
      </c>
      <c r="I196" s="15"/>
      <c r="J196" s="15"/>
      <c r="K196" s="15"/>
      <c r="L196" s="15"/>
      <c r="M196" s="15"/>
      <c r="N196" s="15"/>
      <c r="O196" s="15"/>
      <c r="P196" s="15"/>
      <c r="Q196" s="15"/>
      <c r="R196" s="15"/>
      <c r="S196" s="15"/>
      <c r="T196" s="15"/>
      <c r="U196" s="14" t="str">
        <f t="shared" si="13"/>
        <v/>
      </c>
    </row>
    <row r="197" spans="1:21" ht="29" x14ac:dyDescent="0.35">
      <c r="A197" s="14">
        <v>9</v>
      </c>
      <c r="B197" s="14" t="s">
        <v>823</v>
      </c>
      <c r="C197" s="14" t="s">
        <v>824</v>
      </c>
      <c r="D197" s="14" t="s">
        <v>825</v>
      </c>
      <c r="E197" s="14" t="s">
        <v>692</v>
      </c>
      <c r="F197" s="14" t="s">
        <v>167</v>
      </c>
      <c r="G197" s="14" t="s">
        <v>691</v>
      </c>
      <c r="H197" s="14" t="s">
        <v>76</v>
      </c>
      <c r="I197" s="15"/>
      <c r="J197" s="15"/>
      <c r="K197" s="15"/>
      <c r="L197" s="15"/>
      <c r="M197" s="15"/>
      <c r="N197" s="15"/>
      <c r="O197" s="15"/>
      <c r="P197" s="15"/>
      <c r="Q197" s="15"/>
      <c r="R197" s="15"/>
      <c r="S197" s="15"/>
      <c r="T197" s="15"/>
      <c r="U197" s="14" t="str">
        <f t="shared" si="13"/>
        <v/>
      </c>
    </row>
    <row r="198" spans="1:21" ht="29" x14ac:dyDescent="0.35">
      <c r="A198" s="14">
        <v>10</v>
      </c>
      <c r="B198" s="14" t="s">
        <v>826</v>
      </c>
      <c r="C198" s="14" t="s">
        <v>827</v>
      </c>
      <c r="D198" s="14" t="s">
        <v>828</v>
      </c>
      <c r="E198" s="14" t="s">
        <v>690</v>
      </c>
      <c r="F198" s="14" t="s">
        <v>167</v>
      </c>
      <c r="G198" s="14" t="s">
        <v>691</v>
      </c>
      <c r="H198" s="14" t="s">
        <v>59</v>
      </c>
      <c r="I198" s="15"/>
      <c r="J198" s="15"/>
      <c r="K198" s="15"/>
      <c r="L198" s="15"/>
      <c r="M198" s="15"/>
      <c r="N198" s="15"/>
      <c r="O198" s="15"/>
      <c r="P198" s="15"/>
      <c r="Q198" s="15"/>
      <c r="R198" s="15"/>
      <c r="S198" s="15"/>
      <c r="T198" s="15"/>
      <c r="U198" s="14" t="str">
        <f t="shared" si="13"/>
        <v/>
      </c>
    </row>
  </sheetData>
  <mergeCells count="14">
    <mergeCell ref="A1:U1"/>
    <mergeCell ref="A126:U126"/>
    <mergeCell ref="A186:U186"/>
    <mergeCell ref="A21:U21"/>
    <mergeCell ref="A2:U2"/>
    <mergeCell ref="A96:U96"/>
    <mergeCell ref="A171:U171"/>
    <mergeCell ref="A81:U81"/>
    <mergeCell ref="A156:U156"/>
    <mergeCell ref="A51:U51"/>
    <mergeCell ref="A36:U36"/>
    <mergeCell ref="A66:U66"/>
    <mergeCell ref="A111:U111"/>
    <mergeCell ref="A141:U141"/>
  </mergeCells>
  <dataValidations count="3">
    <dataValidation type="list" allowBlank="1" sqref="I24:I33 I189:I198 I174:I183 I159:I168 I144:I153 I129:I138 I114:I123 I99:I108 I84:I93 I69:I78 I54:I63 I39:I48" xr:uid="{00000000-0002-0000-1300-000000000000}">
      <formula1>"0,1,2,NA"</formula1>
    </dataValidation>
    <dataValidation type="list" allowBlank="1" sqref="H24:H33 H189:H198 H174:H183 H159:H168 H144:H153 H129:H138 H114:H123 H99:H108 H84:H93 H69:H78 H54:H63 H39:H48" xr:uid="{00000000-0002-0000-1300-000001000000}">
      <formula1>"Low,Medium,High,Critical"</formula1>
    </dataValidation>
    <dataValidation type="list" allowBlank="1" sqref="T24:T33 T189:T198 T174:T183 T159:T168 T144:T153 T129:T138 T114:T123 T99:T108 T84:T93 T69:T78 T54:T63 T39:T48" xr:uid="{00000000-0002-0000-1300-000002000000}">
      <formula1>"Not Started,In Progress,Complete,Closed,Escalated"</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186"/>
  <sheetViews>
    <sheetView workbookViewId="0">
      <pane ySplit="22" topLeftCell="A23" activePane="bottomLeft" state="frozen"/>
      <selection pane="bottomLeft"/>
    </sheetView>
  </sheetViews>
  <sheetFormatPr defaultRowHeight="14.5" x14ac:dyDescent="0.35"/>
  <cols>
    <col min="1" max="1" width="5" customWidth="1"/>
    <col min="2" max="2" width="20" customWidth="1"/>
    <col min="3" max="3" width="50" customWidth="1"/>
    <col min="4" max="4" width="38" customWidth="1"/>
    <col min="5" max="6" width="18" customWidth="1"/>
    <col min="7" max="7" width="34" customWidth="1"/>
    <col min="8" max="8" width="12" customWidth="1"/>
    <col min="9" max="9" width="14" customWidth="1"/>
    <col min="10" max="10" width="32" customWidth="1"/>
    <col min="11" max="11" width="34" customWidth="1"/>
    <col min="12" max="12" width="28" customWidth="1"/>
    <col min="13" max="13" width="26" customWidth="1"/>
    <col min="14" max="14" width="30" customWidth="1"/>
    <col min="15" max="15" width="20" customWidth="1"/>
    <col min="16" max="17" width="13" customWidth="1"/>
    <col min="18" max="18" width="18" customWidth="1"/>
    <col min="19" max="19" width="14" customWidth="1"/>
    <col min="20" max="20" width="16" customWidth="1"/>
    <col min="21" max="21" width="12" customWidth="1"/>
  </cols>
  <sheetData>
    <row r="1" spans="1:21" ht="28" customHeight="1" x14ac:dyDescent="0.35">
      <c r="A1" s="26" t="s">
        <v>840</v>
      </c>
      <c r="B1" s="23"/>
      <c r="C1" s="23"/>
      <c r="D1" s="23"/>
      <c r="E1" s="23"/>
      <c r="F1" s="23"/>
      <c r="G1" s="23"/>
      <c r="H1" s="23"/>
      <c r="I1" s="23"/>
      <c r="J1" s="23"/>
      <c r="K1" s="23"/>
      <c r="L1" s="23"/>
      <c r="M1" s="23"/>
      <c r="N1" s="23"/>
      <c r="O1" s="23"/>
      <c r="P1" s="23"/>
      <c r="Q1" s="23"/>
      <c r="R1" s="23"/>
      <c r="S1" s="23"/>
      <c r="T1" s="23"/>
      <c r="U1" s="23"/>
    </row>
    <row r="2" spans="1:21" x14ac:dyDescent="0.35">
      <c r="A2" s="27" t="s">
        <v>683</v>
      </c>
      <c r="B2" s="23"/>
      <c r="C2" s="23"/>
      <c r="D2" s="23"/>
      <c r="E2" s="23"/>
      <c r="F2" s="23"/>
      <c r="G2" s="23"/>
      <c r="H2" s="23"/>
      <c r="I2" s="23"/>
      <c r="J2" s="23"/>
      <c r="K2" s="23"/>
      <c r="L2" s="23"/>
      <c r="M2" s="23"/>
      <c r="N2" s="23"/>
      <c r="O2" s="23"/>
      <c r="P2" s="23"/>
      <c r="Q2" s="23"/>
      <c r="R2" s="23"/>
      <c r="S2" s="23"/>
      <c r="T2" s="23"/>
      <c r="U2" s="23"/>
    </row>
    <row r="4" spans="1:21" ht="29" x14ac:dyDescent="0.35">
      <c r="A4" s="11" t="s">
        <v>3</v>
      </c>
      <c r="B4" s="11" t="s">
        <v>4</v>
      </c>
      <c r="C4" s="11" t="s">
        <v>5</v>
      </c>
      <c r="D4" s="11" t="s">
        <v>6</v>
      </c>
      <c r="E4" s="11" t="s">
        <v>7</v>
      </c>
      <c r="F4" s="11" t="s">
        <v>8</v>
      </c>
      <c r="G4" s="11" t="s">
        <v>9</v>
      </c>
      <c r="H4" s="11" t="s">
        <v>10</v>
      </c>
      <c r="I4" s="11" t="s">
        <v>11</v>
      </c>
      <c r="J4" s="11" t="s">
        <v>12</v>
      </c>
      <c r="K4" s="11" t="s">
        <v>13</v>
      </c>
      <c r="L4" s="11" t="s">
        <v>14</v>
      </c>
      <c r="M4" s="11" t="s">
        <v>684</v>
      </c>
      <c r="N4" s="11" t="s">
        <v>685</v>
      </c>
    </row>
    <row r="5" spans="1:21" x14ac:dyDescent="0.35">
      <c r="A5" t="s">
        <v>18</v>
      </c>
      <c r="B5" s="12">
        <v>46050</v>
      </c>
      <c r="E5">
        <f>SUMIF(I24:I32,"&gt;=0",I24:I32)</f>
        <v>0</v>
      </c>
      <c r="F5">
        <f>COUNT(I24:I32)*2</f>
        <v>0</v>
      </c>
      <c r="G5" s="13" t="str">
        <f t="shared" ref="G5:G16" si="0">IF(F5=0,"",E5/F5)</f>
        <v/>
      </c>
      <c r="H5" t="str">
        <f t="shared" ref="H5:H16" si="1">IF(G5="","Not Started",IF(G5&gt;=0.9,"Green",IF(G5&gt;=0.75,"Amber","Red")))</f>
        <v>Not Started</v>
      </c>
      <c r="I5">
        <f>COUNTIFS(H24:H32,"Critical",I24:I32,"&lt;2")+COUNTIFS(H24:H32,"High",I24:I32,"&lt;2")</f>
        <v>0</v>
      </c>
      <c r="J5">
        <f>COUNTIF(T24:T32,"In Progress")+COUNTIF(T24:T32,"Not Started")</f>
        <v>0</v>
      </c>
      <c r="K5">
        <f ca="1">COUNTIFS(P24:P32,"&lt;"&amp;TODAY(),Q24:Q32,"")</f>
        <v>0</v>
      </c>
    </row>
    <row r="6" spans="1:21" x14ac:dyDescent="0.35">
      <c r="A6" t="s">
        <v>19</v>
      </c>
      <c r="B6" s="12">
        <v>46081</v>
      </c>
      <c r="E6">
        <f>SUMIF(I38:I46,"&gt;=0",I38:I46)</f>
        <v>0</v>
      </c>
      <c r="F6">
        <f>COUNT(I38:I46)*2</f>
        <v>0</v>
      </c>
      <c r="G6" s="13" t="str">
        <f t="shared" si="0"/>
        <v/>
      </c>
      <c r="H6" t="str">
        <f t="shared" si="1"/>
        <v>Not Started</v>
      </c>
      <c r="I6">
        <f>COUNTIFS(H38:H46,"Critical",I38:I46,"&lt;2")+COUNTIFS(H38:H46,"High",I38:I46,"&lt;2")</f>
        <v>0</v>
      </c>
      <c r="J6">
        <f>COUNTIF(T38:T46,"In Progress")+COUNTIF(T38:T46,"Not Started")</f>
        <v>0</v>
      </c>
      <c r="K6">
        <f ca="1">COUNTIFS(P38:P46,"&lt;"&amp;TODAY(),Q38:Q46,"")</f>
        <v>0</v>
      </c>
    </row>
    <row r="7" spans="1:21" x14ac:dyDescent="0.35">
      <c r="A7" t="s">
        <v>20</v>
      </c>
      <c r="B7" s="12">
        <v>46109</v>
      </c>
      <c r="E7">
        <f>SUMIF(I52:I60,"&gt;=0",I52:I60)</f>
        <v>0</v>
      </c>
      <c r="F7">
        <f>COUNT(I52:I60)*2</f>
        <v>0</v>
      </c>
      <c r="G7" s="13" t="str">
        <f t="shared" si="0"/>
        <v/>
      </c>
      <c r="H7" t="str">
        <f t="shared" si="1"/>
        <v>Not Started</v>
      </c>
      <c r="I7">
        <f>COUNTIFS(H52:H60,"Critical",I52:I60,"&lt;2")+COUNTIFS(H52:H60,"High",I52:I60,"&lt;2")</f>
        <v>0</v>
      </c>
      <c r="J7">
        <f>COUNTIF(T52:T60,"In Progress")+COUNTIF(T52:T60,"Not Started")</f>
        <v>0</v>
      </c>
      <c r="K7">
        <f ca="1">COUNTIFS(P52:P60,"&lt;"&amp;TODAY(),Q52:Q60,"")</f>
        <v>0</v>
      </c>
    </row>
    <row r="8" spans="1:21" x14ac:dyDescent="0.35">
      <c r="A8" t="s">
        <v>21</v>
      </c>
      <c r="B8" s="12">
        <v>46140</v>
      </c>
      <c r="E8">
        <f>SUMIF(I66:I74,"&gt;=0",I66:I74)</f>
        <v>0</v>
      </c>
      <c r="F8">
        <f>COUNT(I66:I74)*2</f>
        <v>0</v>
      </c>
      <c r="G8" s="13" t="str">
        <f t="shared" si="0"/>
        <v/>
      </c>
      <c r="H8" t="str">
        <f t="shared" si="1"/>
        <v>Not Started</v>
      </c>
      <c r="I8">
        <f>COUNTIFS(H66:H74,"Critical",I66:I74,"&lt;2")+COUNTIFS(H66:H74,"High",I66:I74,"&lt;2")</f>
        <v>0</v>
      </c>
      <c r="J8">
        <f>COUNTIF(T66:T74,"In Progress")+COUNTIF(T66:T74,"Not Started")</f>
        <v>0</v>
      </c>
      <c r="K8">
        <f ca="1">COUNTIFS(P66:P74,"&lt;"&amp;TODAY(),Q66:Q74,"")</f>
        <v>0</v>
      </c>
    </row>
    <row r="9" spans="1:21" x14ac:dyDescent="0.35">
      <c r="A9" t="s">
        <v>22</v>
      </c>
      <c r="B9" s="12">
        <v>46170</v>
      </c>
      <c r="E9">
        <f>SUMIF(I80:I88,"&gt;=0",I80:I88)</f>
        <v>0</v>
      </c>
      <c r="F9">
        <f>COUNT(I80:I88)*2</f>
        <v>0</v>
      </c>
      <c r="G9" s="13" t="str">
        <f t="shared" si="0"/>
        <v/>
      </c>
      <c r="H9" t="str">
        <f t="shared" si="1"/>
        <v>Not Started</v>
      </c>
      <c r="I9">
        <f>COUNTIFS(H80:H88,"Critical",I80:I88,"&lt;2")+COUNTIFS(H80:H88,"High",I80:I88,"&lt;2")</f>
        <v>0</v>
      </c>
      <c r="J9">
        <f>COUNTIF(T80:T88,"In Progress")+COUNTIF(T80:T88,"Not Started")</f>
        <v>0</v>
      </c>
      <c r="K9">
        <f ca="1">COUNTIFS(P80:P88,"&lt;"&amp;TODAY(),Q80:Q88,"")</f>
        <v>0</v>
      </c>
    </row>
    <row r="10" spans="1:21" x14ac:dyDescent="0.35">
      <c r="A10" t="s">
        <v>23</v>
      </c>
      <c r="B10" s="12">
        <v>46201</v>
      </c>
      <c r="E10">
        <f>SUMIF(I94:I102,"&gt;=0",I94:I102)</f>
        <v>0</v>
      </c>
      <c r="F10">
        <f>COUNT(I94:I102)*2</f>
        <v>0</v>
      </c>
      <c r="G10" s="13" t="str">
        <f t="shared" si="0"/>
        <v/>
      </c>
      <c r="H10" t="str">
        <f t="shared" si="1"/>
        <v>Not Started</v>
      </c>
      <c r="I10">
        <f>COUNTIFS(H94:H102,"Critical",I94:I102,"&lt;2")+COUNTIFS(H94:H102,"High",I94:I102,"&lt;2")</f>
        <v>0</v>
      </c>
      <c r="J10">
        <f>COUNTIF(T94:T102,"In Progress")+COUNTIF(T94:T102,"Not Started")</f>
        <v>0</v>
      </c>
      <c r="K10">
        <f ca="1">COUNTIFS(P94:P102,"&lt;"&amp;TODAY(),Q94:Q102,"")</f>
        <v>0</v>
      </c>
    </row>
    <row r="11" spans="1:21" x14ac:dyDescent="0.35">
      <c r="A11" t="s">
        <v>24</v>
      </c>
      <c r="B11" s="12">
        <v>46231</v>
      </c>
      <c r="E11">
        <f>SUMIF(I108:I116,"&gt;=0",I108:I116)</f>
        <v>0</v>
      </c>
      <c r="F11">
        <f>COUNT(I108:I116)*2</f>
        <v>0</v>
      </c>
      <c r="G11" s="13" t="str">
        <f t="shared" si="0"/>
        <v/>
      </c>
      <c r="H11" t="str">
        <f t="shared" si="1"/>
        <v>Not Started</v>
      </c>
      <c r="I11">
        <f>COUNTIFS(H108:H116,"Critical",I108:I116,"&lt;2")+COUNTIFS(H108:H116,"High",I108:I116,"&lt;2")</f>
        <v>0</v>
      </c>
      <c r="J11">
        <f>COUNTIF(T108:T116,"In Progress")+COUNTIF(T108:T116,"Not Started")</f>
        <v>0</v>
      </c>
      <c r="K11">
        <f ca="1">COUNTIFS(P108:P116,"&lt;"&amp;TODAY(),Q108:Q116,"")</f>
        <v>0</v>
      </c>
    </row>
    <row r="12" spans="1:21" x14ac:dyDescent="0.35">
      <c r="A12" t="s">
        <v>25</v>
      </c>
      <c r="B12" s="12">
        <v>46262</v>
      </c>
      <c r="E12">
        <f>SUMIF(I122:I130,"&gt;=0",I122:I130)</f>
        <v>0</v>
      </c>
      <c r="F12">
        <f>COUNT(I122:I130)*2</f>
        <v>0</v>
      </c>
      <c r="G12" s="13" t="str">
        <f t="shared" si="0"/>
        <v/>
      </c>
      <c r="H12" t="str">
        <f t="shared" si="1"/>
        <v>Not Started</v>
      </c>
      <c r="I12">
        <f>COUNTIFS(H122:H130,"Critical",I122:I130,"&lt;2")+COUNTIFS(H122:H130,"High",I122:I130,"&lt;2")</f>
        <v>0</v>
      </c>
      <c r="J12">
        <f>COUNTIF(T122:T130,"In Progress")+COUNTIF(T122:T130,"Not Started")</f>
        <v>0</v>
      </c>
      <c r="K12">
        <f ca="1">COUNTIFS(P122:P130,"&lt;"&amp;TODAY(),Q122:Q130,"")</f>
        <v>0</v>
      </c>
    </row>
    <row r="13" spans="1:21" x14ac:dyDescent="0.35">
      <c r="A13" t="s">
        <v>26</v>
      </c>
      <c r="B13" s="12">
        <v>46293</v>
      </c>
      <c r="E13">
        <f>SUMIF(I136:I144,"&gt;=0",I136:I144)</f>
        <v>0</v>
      </c>
      <c r="F13">
        <f>COUNT(I136:I144)*2</f>
        <v>0</v>
      </c>
      <c r="G13" s="13" t="str">
        <f t="shared" si="0"/>
        <v/>
      </c>
      <c r="H13" t="str">
        <f t="shared" si="1"/>
        <v>Not Started</v>
      </c>
      <c r="I13">
        <f>COUNTIFS(H136:H144,"Critical",I136:I144,"&lt;2")+COUNTIFS(H136:H144,"High",I136:I144,"&lt;2")</f>
        <v>0</v>
      </c>
      <c r="J13">
        <f>COUNTIF(T136:T144,"In Progress")+COUNTIF(T136:T144,"Not Started")</f>
        <v>0</v>
      </c>
      <c r="K13">
        <f ca="1">COUNTIFS(P136:P144,"&lt;"&amp;TODAY(),Q136:Q144,"")</f>
        <v>0</v>
      </c>
    </row>
    <row r="14" spans="1:21" x14ac:dyDescent="0.35">
      <c r="A14" t="s">
        <v>27</v>
      </c>
      <c r="B14" s="12">
        <v>46323</v>
      </c>
      <c r="E14">
        <f>SUMIF(I150:I158,"&gt;=0",I150:I158)</f>
        <v>0</v>
      </c>
      <c r="F14">
        <f>COUNT(I150:I158)*2</f>
        <v>0</v>
      </c>
      <c r="G14" s="13" t="str">
        <f t="shared" si="0"/>
        <v/>
      </c>
      <c r="H14" t="str">
        <f t="shared" si="1"/>
        <v>Not Started</v>
      </c>
      <c r="I14">
        <f>COUNTIFS(H150:H158,"Critical",I150:I158,"&lt;2")+COUNTIFS(H150:H158,"High",I150:I158,"&lt;2")</f>
        <v>0</v>
      </c>
      <c r="J14">
        <f>COUNTIF(T150:T158,"In Progress")+COUNTIF(T150:T158,"Not Started")</f>
        <v>0</v>
      </c>
      <c r="K14">
        <f ca="1">COUNTIFS(P150:P158,"&lt;"&amp;TODAY(),Q150:Q158,"")</f>
        <v>0</v>
      </c>
    </row>
    <row r="15" spans="1:21" x14ac:dyDescent="0.35">
      <c r="A15" t="s">
        <v>28</v>
      </c>
      <c r="B15" s="12">
        <v>46354</v>
      </c>
      <c r="E15">
        <f>SUMIF(I164:I172,"&gt;=0",I164:I172)</f>
        <v>0</v>
      </c>
      <c r="F15">
        <f>COUNT(I164:I172)*2</f>
        <v>0</v>
      </c>
      <c r="G15" s="13" t="str">
        <f t="shared" si="0"/>
        <v/>
      </c>
      <c r="H15" t="str">
        <f t="shared" si="1"/>
        <v>Not Started</v>
      </c>
      <c r="I15">
        <f>COUNTIFS(H164:H172,"Critical",I164:I172,"&lt;2")+COUNTIFS(H164:H172,"High",I164:I172,"&lt;2")</f>
        <v>0</v>
      </c>
      <c r="J15">
        <f>COUNTIF(T164:T172,"In Progress")+COUNTIF(T164:T172,"Not Started")</f>
        <v>0</v>
      </c>
      <c r="K15">
        <f ca="1">COUNTIFS(P164:P172,"&lt;"&amp;TODAY(),Q164:Q172,"")</f>
        <v>0</v>
      </c>
    </row>
    <row r="16" spans="1:21" x14ac:dyDescent="0.35">
      <c r="A16" t="s">
        <v>29</v>
      </c>
      <c r="B16" s="12">
        <v>46384</v>
      </c>
      <c r="E16">
        <f>SUMIF(I178:I186,"&gt;=0",I178:I186)</f>
        <v>0</v>
      </c>
      <c r="F16">
        <f>COUNT(I178:I186)*2</f>
        <v>0</v>
      </c>
      <c r="G16" s="13" t="str">
        <f t="shared" si="0"/>
        <v/>
      </c>
      <c r="H16" t="str">
        <f t="shared" si="1"/>
        <v>Not Started</v>
      </c>
      <c r="I16">
        <f>COUNTIFS(H178:H186,"Critical",I178:I186,"&lt;2")+COUNTIFS(H178:H186,"High",I178:I186,"&lt;2")</f>
        <v>0</v>
      </c>
      <c r="J16">
        <f>COUNTIF(T178:T186,"In Progress")+COUNTIF(T178:T186,"Not Started")</f>
        <v>0</v>
      </c>
      <c r="K16">
        <f ca="1">COUNTIFS(P178:P186,"&lt;"&amp;TODAY(),Q178:Q186,"")</f>
        <v>0</v>
      </c>
    </row>
    <row r="21" spans="1:21" ht="22" customHeight="1" x14ac:dyDescent="0.35">
      <c r="A21" s="26" t="s">
        <v>841</v>
      </c>
      <c r="B21" s="23"/>
      <c r="C21" s="23"/>
      <c r="D21" s="23"/>
      <c r="E21" s="23"/>
      <c r="F21" s="23"/>
      <c r="G21" s="23"/>
      <c r="H21" s="23"/>
      <c r="I21" s="23"/>
      <c r="J21" s="23"/>
      <c r="K21" s="23"/>
      <c r="L21" s="23"/>
      <c r="M21" s="23"/>
      <c r="N21" s="23"/>
      <c r="O21" s="23"/>
      <c r="P21" s="23"/>
      <c r="Q21" s="23"/>
      <c r="R21" s="23"/>
      <c r="S21" s="23"/>
      <c r="T21" s="23"/>
      <c r="U21" s="23"/>
    </row>
    <row r="22" spans="1:21" x14ac:dyDescent="0.35">
      <c r="A22" t="s">
        <v>31</v>
      </c>
      <c r="B22" t="s">
        <v>18</v>
      </c>
      <c r="C22" t="s">
        <v>32</v>
      </c>
      <c r="E22" t="s">
        <v>33</v>
      </c>
    </row>
    <row r="23" spans="1:21" ht="29" x14ac:dyDescent="0.35">
      <c r="A23" s="11" t="s">
        <v>34</v>
      </c>
      <c r="B23" s="11" t="s">
        <v>35</v>
      </c>
      <c r="C23" s="11" t="s">
        <v>36</v>
      </c>
      <c r="D23" s="11" t="s">
        <v>37</v>
      </c>
      <c r="E23" s="11" t="s">
        <v>38</v>
      </c>
      <c r="F23" s="11" t="s">
        <v>39</v>
      </c>
      <c r="G23" s="11" t="s">
        <v>40</v>
      </c>
      <c r="H23" s="11" t="s">
        <v>41</v>
      </c>
      <c r="I23" s="11" t="s">
        <v>42</v>
      </c>
      <c r="J23" s="11" t="s">
        <v>43</v>
      </c>
      <c r="K23" s="11" t="s">
        <v>44</v>
      </c>
      <c r="L23" s="11" t="s">
        <v>45</v>
      </c>
      <c r="M23" s="11" t="s">
        <v>46</v>
      </c>
      <c r="N23" s="11" t="s">
        <v>47</v>
      </c>
      <c r="O23" s="11" t="s">
        <v>48</v>
      </c>
      <c r="P23" s="11" t="s">
        <v>4</v>
      </c>
      <c r="Q23" s="11" t="s">
        <v>49</v>
      </c>
      <c r="R23" s="11" t="s">
        <v>50</v>
      </c>
      <c r="S23" s="11" t="s">
        <v>51</v>
      </c>
      <c r="T23" s="11" t="s">
        <v>52</v>
      </c>
      <c r="U23" s="11" t="s">
        <v>10</v>
      </c>
    </row>
    <row r="24" spans="1:21" ht="29" x14ac:dyDescent="0.35">
      <c r="A24" s="14">
        <v>1</v>
      </c>
      <c r="B24" s="14" t="s">
        <v>842</v>
      </c>
      <c r="C24" s="14" t="s">
        <v>843</v>
      </c>
      <c r="D24" s="14" t="s">
        <v>844</v>
      </c>
      <c r="E24" s="14" t="s">
        <v>69</v>
      </c>
      <c r="F24" s="14" t="s">
        <v>284</v>
      </c>
      <c r="G24" s="14" t="s">
        <v>691</v>
      </c>
      <c r="H24" s="14" t="s">
        <v>76</v>
      </c>
      <c r="I24" s="15"/>
      <c r="J24" s="15"/>
      <c r="K24" s="15"/>
      <c r="L24" s="15"/>
      <c r="M24" s="15"/>
      <c r="N24" s="15"/>
      <c r="O24" s="15"/>
      <c r="P24" s="15"/>
      <c r="Q24" s="15"/>
      <c r="R24" s="15"/>
      <c r="S24" s="15"/>
      <c r="T24" s="15"/>
      <c r="U24" s="14" t="str">
        <f t="shared" ref="U24:U32" si="2">IF(I24="","",IF(I24="NA","Grey",IF(I24=2,"Green",IF(I24=1,"Amber","Red"))))</f>
        <v/>
      </c>
    </row>
    <row r="25" spans="1:21" ht="29" x14ac:dyDescent="0.35">
      <c r="A25" s="14">
        <v>2</v>
      </c>
      <c r="B25" s="14" t="s">
        <v>845</v>
      </c>
      <c r="C25" s="14" t="s">
        <v>846</v>
      </c>
      <c r="D25" s="14" t="s">
        <v>847</v>
      </c>
      <c r="E25" s="14" t="s">
        <v>69</v>
      </c>
      <c r="F25" s="14" t="s">
        <v>284</v>
      </c>
      <c r="G25" s="14" t="s">
        <v>691</v>
      </c>
      <c r="H25" s="14" t="s">
        <v>76</v>
      </c>
      <c r="I25" s="15"/>
      <c r="J25" s="15"/>
      <c r="K25" s="15"/>
      <c r="L25" s="15"/>
      <c r="M25" s="15"/>
      <c r="N25" s="15"/>
      <c r="O25" s="15"/>
      <c r="P25" s="15"/>
      <c r="Q25" s="15"/>
      <c r="R25" s="15"/>
      <c r="S25" s="15"/>
      <c r="T25" s="15"/>
      <c r="U25" s="14" t="str">
        <f t="shared" si="2"/>
        <v/>
      </c>
    </row>
    <row r="26" spans="1:21" ht="29" x14ac:dyDescent="0.35">
      <c r="A26" s="14">
        <v>3</v>
      </c>
      <c r="B26" s="14" t="s">
        <v>848</v>
      </c>
      <c r="C26" s="14" t="s">
        <v>849</v>
      </c>
      <c r="D26" s="14" t="s">
        <v>850</v>
      </c>
      <c r="E26" s="14" t="s">
        <v>69</v>
      </c>
      <c r="F26" s="14" t="s">
        <v>284</v>
      </c>
      <c r="G26" s="14" t="s">
        <v>691</v>
      </c>
      <c r="H26" s="14" t="s">
        <v>76</v>
      </c>
      <c r="I26" s="15"/>
      <c r="J26" s="15"/>
      <c r="K26" s="15"/>
      <c r="L26" s="15"/>
      <c r="M26" s="15"/>
      <c r="N26" s="15"/>
      <c r="O26" s="15"/>
      <c r="P26" s="15"/>
      <c r="Q26" s="15"/>
      <c r="R26" s="15"/>
      <c r="S26" s="15"/>
      <c r="T26" s="15"/>
      <c r="U26" s="14" t="str">
        <f t="shared" si="2"/>
        <v/>
      </c>
    </row>
    <row r="27" spans="1:21" ht="29" x14ac:dyDescent="0.35">
      <c r="A27" s="14">
        <v>4</v>
      </c>
      <c r="B27" s="14" t="s">
        <v>851</v>
      </c>
      <c r="C27" s="14" t="s">
        <v>852</v>
      </c>
      <c r="D27" s="14" t="s">
        <v>853</v>
      </c>
      <c r="E27" s="14" t="s">
        <v>690</v>
      </c>
      <c r="F27" s="14" t="s">
        <v>167</v>
      </c>
      <c r="G27" s="14" t="s">
        <v>691</v>
      </c>
      <c r="H27" s="14" t="s">
        <v>59</v>
      </c>
      <c r="I27" s="15"/>
      <c r="J27" s="15"/>
      <c r="K27" s="15"/>
      <c r="L27" s="15"/>
      <c r="M27" s="15"/>
      <c r="N27" s="15"/>
      <c r="O27" s="15"/>
      <c r="P27" s="15"/>
      <c r="Q27" s="15"/>
      <c r="R27" s="15"/>
      <c r="S27" s="15"/>
      <c r="T27" s="15"/>
      <c r="U27" s="14" t="str">
        <f t="shared" si="2"/>
        <v/>
      </c>
    </row>
    <row r="28" spans="1:21" ht="29" x14ac:dyDescent="0.35">
      <c r="A28" s="14">
        <v>5</v>
      </c>
      <c r="B28" s="14" t="s">
        <v>854</v>
      </c>
      <c r="C28" s="14" t="s">
        <v>855</v>
      </c>
      <c r="D28" s="14" t="s">
        <v>856</v>
      </c>
      <c r="E28" s="14" t="s">
        <v>69</v>
      </c>
      <c r="F28" s="14" t="s">
        <v>167</v>
      </c>
      <c r="G28" s="14" t="s">
        <v>691</v>
      </c>
      <c r="H28" s="14" t="s">
        <v>76</v>
      </c>
      <c r="I28" s="15"/>
      <c r="J28" s="15"/>
      <c r="K28" s="15"/>
      <c r="L28" s="15"/>
      <c r="M28" s="15"/>
      <c r="N28" s="15"/>
      <c r="O28" s="15"/>
      <c r="P28" s="15"/>
      <c r="Q28" s="15"/>
      <c r="R28" s="15"/>
      <c r="S28" s="15"/>
      <c r="T28" s="15"/>
      <c r="U28" s="14" t="str">
        <f t="shared" si="2"/>
        <v/>
      </c>
    </row>
    <row r="29" spans="1:21" ht="29" x14ac:dyDescent="0.35">
      <c r="A29" s="14">
        <v>6</v>
      </c>
      <c r="B29" s="14" t="s">
        <v>698</v>
      </c>
      <c r="C29" s="14" t="s">
        <v>857</v>
      </c>
      <c r="D29" s="14" t="s">
        <v>842</v>
      </c>
      <c r="E29" s="14" t="s">
        <v>69</v>
      </c>
      <c r="F29" s="14" t="s">
        <v>284</v>
      </c>
      <c r="G29" s="14" t="s">
        <v>691</v>
      </c>
      <c r="H29" s="14" t="s">
        <v>76</v>
      </c>
      <c r="I29" s="15"/>
      <c r="J29" s="15"/>
      <c r="K29" s="15"/>
      <c r="L29" s="15"/>
      <c r="M29" s="15"/>
      <c r="N29" s="15"/>
      <c r="O29" s="15"/>
      <c r="P29" s="15"/>
      <c r="Q29" s="15"/>
      <c r="R29" s="15"/>
      <c r="S29" s="15"/>
      <c r="T29" s="15"/>
      <c r="U29" s="14" t="str">
        <f t="shared" si="2"/>
        <v/>
      </c>
    </row>
    <row r="30" spans="1:21" ht="29" x14ac:dyDescent="0.35">
      <c r="A30" s="14">
        <v>7</v>
      </c>
      <c r="B30" s="14" t="s">
        <v>858</v>
      </c>
      <c r="C30" s="14" t="s">
        <v>859</v>
      </c>
      <c r="D30" s="14" t="s">
        <v>860</v>
      </c>
      <c r="E30" s="14" t="s">
        <v>690</v>
      </c>
      <c r="F30" s="14" t="s">
        <v>167</v>
      </c>
      <c r="G30" s="14" t="s">
        <v>691</v>
      </c>
      <c r="H30" s="14" t="s">
        <v>59</v>
      </c>
      <c r="I30" s="15"/>
      <c r="J30" s="15"/>
      <c r="K30" s="15"/>
      <c r="L30" s="15"/>
      <c r="M30" s="15"/>
      <c r="N30" s="15"/>
      <c r="O30" s="15"/>
      <c r="P30" s="15"/>
      <c r="Q30" s="15"/>
      <c r="R30" s="15"/>
      <c r="S30" s="15"/>
      <c r="T30" s="15"/>
      <c r="U30" s="14" t="str">
        <f t="shared" si="2"/>
        <v/>
      </c>
    </row>
    <row r="31" spans="1:21" ht="29" x14ac:dyDescent="0.35">
      <c r="A31" s="14">
        <v>8</v>
      </c>
      <c r="B31" s="14" t="s">
        <v>861</v>
      </c>
      <c r="C31" s="14" t="s">
        <v>862</v>
      </c>
      <c r="D31" s="14" t="s">
        <v>863</v>
      </c>
      <c r="E31" s="14" t="s">
        <v>690</v>
      </c>
      <c r="F31" s="14" t="s">
        <v>167</v>
      </c>
      <c r="G31" s="14" t="s">
        <v>691</v>
      </c>
      <c r="H31" s="14" t="s">
        <v>59</v>
      </c>
      <c r="I31" s="15"/>
      <c r="J31" s="15"/>
      <c r="K31" s="15"/>
      <c r="L31" s="15"/>
      <c r="M31" s="15"/>
      <c r="N31" s="15"/>
      <c r="O31" s="15"/>
      <c r="P31" s="15"/>
      <c r="Q31" s="15"/>
      <c r="R31" s="15"/>
      <c r="S31" s="15"/>
      <c r="T31" s="15"/>
      <c r="U31" s="14" t="str">
        <f t="shared" si="2"/>
        <v/>
      </c>
    </row>
    <row r="32" spans="1:21" ht="29" x14ac:dyDescent="0.35">
      <c r="A32" s="14">
        <v>9</v>
      </c>
      <c r="B32" s="14" t="s">
        <v>826</v>
      </c>
      <c r="C32" s="14" t="s">
        <v>864</v>
      </c>
      <c r="D32" s="14" t="s">
        <v>462</v>
      </c>
      <c r="E32" s="14" t="s">
        <v>690</v>
      </c>
      <c r="F32" s="14" t="s">
        <v>167</v>
      </c>
      <c r="G32" s="14" t="s">
        <v>691</v>
      </c>
      <c r="H32" s="14" t="s">
        <v>59</v>
      </c>
      <c r="I32" s="15"/>
      <c r="J32" s="15"/>
      <c r="K32" s="15"/>
      <c r="L32" s="15"/>
      <c r="M32" s="15"/>
      <c r="N32" s="15"/>
      <c r="O32" s="15"/>
      <c r="P32" s="15"/>
      <c r="Q32" s="15"/>
      <c r="R32" s="15"/>
      <c r="S32" s="15"/>
      <c r="T32" s="15"/>
      <c r="U32" s="14" t="str">
        <f t="shared" si="2"/>
        <v/>
      </c>
    </row>
    <row r="35" spans="1:21" ht="22" customHeight="1" x14ac:dyDescent="0.35">
      <c r="A35" s="26" t="s">
        <v>865</v>
      </c>
      <c r="B35" s="23"/>
      <c r="C35" s="23"/>
      <c r="D35" s="23"/>
      <c r="E35" s="23"/>
      <c r="F35" s="23"/>
      <c r="G35" s="23"/>
      <c r="H35" s="23"/>
      <c r="I35" s="23"/>
      <c r="J35" s="23"/>
      <c r="K35" s="23"/>
      <c r="L35" s="23"/>
      <c r="M35" s="23"/>
      <c r="N35" s="23"/>
      <c r="O35" s="23"/>
      <c r="P35" s="23"/>
      <c r="Q35" s="23"/>
      <c r="R35" s="23"/>
      <c r="S35" s="23"/>
      <c r="T35" s="23"/>
      <c r="U35" s="23"/>
    </row>
    <row r="36" spans="1:21" x14ac:dyDescent="0.35">
      <c r="A36" t="s">
        <v>31</v>
      </c>
      <c r="B36" t="s">
        <v>19</v>
      </c>
      <c r="C36" t="s">
        <v>32</v>
      </c>
      <c r="E36" t="s">
        <v>33</v>
      </c>
    </row>
    <row r="37" spans="1:21" ht="29" x14ac:dyDescent="0.35">
      <c r="A37" s="11" t="s">
        <v>34</v>
      </c>
      <c r="B37" s="11" t="s">
        <v>35</v>
      </c>
      <c r="C37" s="11" t="s">
        <v>36</v>
      </c>
      <c r="D37" s="11" t="s">
        <v>37</v>
      </c>
      <c r="E37" s="11" t="s">
        <v>38</v>
      </c>
      <c r="F37" s="11" t="s">
        <v>39</v>
      </c>
      <c r="G37" s="11" t="s">
        <v>40</v>
      </c>
      <c r="H37" s="11" t="s">
        <v>41</v>
      </c>
      <c r="I37" s="11" t="s">
        <v>42</v>
      </c>
      <c r="J37" s="11" t="s">
        <v>43</v>
      </c>
      <c r="K37" s="11" t="s">
        <v>44</v>
      </c>
      <c r="L37" s="11" t="s">
        <v>45</v>
      </c>
      <c r="M37" s="11" t="s">
        <v>46</v>
      </c>
      <c r="N37" s="11" t="s">
        <v>47</v>
      </c>
      <c r="O37" s="11" t="s">
        <v>48</v>
      </c>
      <c r="P37" s="11" t="s">
        <v>4</v>
      </c>
      <c r="Q37" s="11" t="s">
        <v>49</v>
      </c>
      <c r="R37" s="11" t="s">
        <v>50</v>
      </c>
      <c r="S37" s="11" t="s">
        <v>51</v>
      </c>
      <c r="T37" s="11" t="s">
        <v>52</v>
      </c>
      <c r="U37" s="11" t="s">
        <v>10</v>
      </c>
    </row>
    <row r="38" spans="1:21" ht="29" x14ac:dyDescent="0.35">
      <c r="A38" s="14">
        <v>1</v>
      </c>
      <c r="B38" s="14" t="s">
        <v>842</v>
      </c>
      <c r="C38" s="14" t="s">
        <v>843</v>
      </c>
      <c r="D38" s="14" t="s">
        <v>844</v>
      </c>
      <c r="E38" s="14" t="s">
        <v>69</v>
      </c>
      <c r="F38" s="14" t="s">
        <v>284</v>
      </c>
      <c r="G38" s="14" t="s">
        <v>691</v>
      </c>
      <c r="H38" s="14" t="s">
        <v>76</v>
      </c>
      <c r="I38" s="15"/>
      <c r="J38" s="15"/>
      <c r="K38" s="15"/>
      <c r="L38" s="15"/>
      <c r="M38" s="15"/>
      <c r="N38" s="15"/>
      <c r="O38" s="15"/>
      <c r="P38" s="15"/>
      <c r="Q38" s="15"/>
      <c r="R38" s="15"/>
      <c r="S38" s="15"/>
      <c r="T38" s="15"/>
      <c r="U38" s="14" t="str">
        <f t="shared" ref="U38:U46" si="3">IF(I38="","",IF(I38="NA","Grey",IF(I38=2,"Green",IF(I38=1,"Amber","Red"))))</f>
        <v/>
      </c>
    </row>
    <row r="39" spans="1:21" ht="29" x14ac:dyDescent="0.35">
      <c r="A39" s="14">
        <v>2</v>
      </c>
      <c r="B39" s="14" t="s">
        <v>845</v>
      </c>
      <c r="C39" s="14" t="s">
        <v>846</v>
      </c>
      <c r="D39" s="14" t="s">
        <v>847</v>
      </c>
      <c r="E39" s="14" t="s">
        <v>69</v>
      </c>
      <c r="F39" s="14" t="s">
        <v>284</v>
      </c>
      <c r="G39" s="14" t="s">
        <v>691</v>
      </c>
      <c r="H39" s="14" t="s">
        <v>76</v>
      </c>
      <c r="I39" s="15"/>
      <c r="J39" s="15"/>
      <c r="K39" s="15"/>
      <c r="L39" s="15"/>
      <c r="M39" s="15"/>
      <c r="N39" s="15"/>
      <c r="O39" s="15"/>
      <c r="P39" s="15"/>
      <c r="Q39" s="15"/>
      <c r="R39" s="15"/>
      <c r="S39" s="15"/>
      <c r="T39" s="15"/>
      <c r="U39" s="14" t="str">
        <f t="shared" si="3"/>
        <v/>
      </c>
    </row>
    <row r="40" spans="1:21" ht="29" x14ac:dyDescent="0.35">
      <c r="A40" s="14">
        <v>3</v>
      </c>
      <c r="B40" s="14" t="s">
        <v>848</v>
      </c>
      <c r="C40" s="14" t="s">
        <v>849</v>
      </c>
      <c r="D40" s="14" t="s">
        <v>850</v>
      </c>
      <c r="E40" s="14" t="s">
        <v>69</v>
      </c>
      <c r="F40" s="14" t="s">
        <v>284</v>
      </c>
      <c r="G40" s="14" t="s">
        <v>691</v>
      </c>
      <c r="H40" s="14" t="s">
        <v>76</v>
      </c>
      <c r="I40" s="15"/>
      <c r="J40" s="15"/>
      <c r="K40" s="15"/>
      <c r="L40" s="15"/>
      <c r="M40" s="15"/>
      <c r="N40" s="15"/>
      <c r="O40" s="15"/>
      <c r="P40" s="15"/>
      <c r="Q40" s="15"/>
      <c r="R40" s="15"/>
      <c r="S40" s="15"/>
      <c r="T40" s="15"/>
      <c r="U40" s="14" t="str">
        <f t="shared" si="3"/>
        <v/>
      </c>
    </row>
    <row r="41" spans="1:21" ht="29" x14ac:dyDescent="0.35">
      <c r="A41" s="14">
        <v>4</v>
      </c>
      <c r="B41" s="14" t="s">
        <v>851</v>
      </c>
      <c r="C41" s="14" t="s">
        <v>852</v>
      </c>
      <c r="D41" s="14" t="s">
        <v>853</v>
      </c>
      <c r="E41" s="14" t="s">
        <v>690</v>
      </c>
      <c r="F41" s="14" t="s">
        <v>167</v>
      </c>
      <c r="G41" s="14" t="s">
        <v>691</v>
      </c>
      <c r="H41" s="14" t="s">
        <v>59</v>
      </c>
      <c r="I41" s="15"/>
      <c r="J41" s="15"/>
      <c r="K41" s="15"/>
      <c r="L41" s="15"/>
      <c r="M41" s="15"/>
      <c r="N41" s="15"/>
      <c r="O41" s="15"/>
      <c r="P41" s="15"/>
      <c r="Q41" s="15"/>
      <c r="R41" s="15"/>
      <c r="S41" s="15"/>
      <c r="T41" s="15"/>
      <c r="U41" s="14" t="str">
        <f t="shared" si="3"/>
        <v/>
      </c>
    </row>
    <row r="42" spans="1:21" ht="29" x14ac:dyDescent="0.35">
      <c r="A42" s="14">
        <v>5</v>
      </c>
      <c r="B42" s="14" t="s">
        <v>854</v>
      </c>
      <c r="C42" s="14" t="s">
        <v>855</v>
      </c>
      <c r="D42" s="14" t="s">
        <v>856</v>
      </c>
      <c r="E42" s="14" t="s">
        <v>69</v>
      </c>
      <c r="F42" s="14" t="s">
        <v>167</v>
      </c>
      <c r="G42" s="14" t="s">
        <v>691</v>
      </c>
      <c r="H42" s="14" t="s">
        <v>76</v>
      </c>
      <c r="I42" s="15"/>
      <c r="J42" s="15"/>
      <c r="K42" s="15"/>
      <c r="L42" s="15"/>
      <c r="M42" s="15"/>
      <c r="N42" s="15"/>
      <c r="O42" s="15"/>
      <c r="P42" s="15"/>
      <c r="Q42" s="15"/>
      <c r="R42" s="15"/>
      <c r="S42" s="15"/>
      <c r="T42" s="15"/>
      <c r="U42" s="14" t="str">
        <f t="shared" si="3"/>
        <v/>
      </c>
    </row>
    <row r="43" spans="1:21" ht="29" x14ac:dyDescent="0.35">
      <c r="A43" s="14">
        <v>6</v>
      </c>
      <c r="B43" s="14" t="s">
        <v>698</v>
      </c>
      <c r="C43" s="14" t="s">
        <v>857</v>
      </c>
      <c r="D43" s="14" t="s">
        <v>842</v>
      </c>
      <c r="E43" s="14" t="s">
        <v>69</v>
      </c>
      <c r="F43" s="14" t="s">
        <v>284</v>
      </c>
      <c r="G43" s="14" t="s">
        <v>691</v>
      </c>
      <c r="H43" s="14" t="s">
        <v>76</v>
      </c>
      <c r="I43" s="15"/>
      <c r="J43" s="15"/>
      <c r="K43" s="15"/>
      <c r="L43" s="15"/>
      <c r="M43" s="15"/>
      <c r="N43" s="15"/>
      <c r="O43" s="15"/>
      <c r="P43" s="15"/>
      <c r="Q43" s="15"/>
      <c r="R43" s="15"/>
      <c r="S43" s="15"/>
      <c r="T43" s="15"/>
      <c r="U43" s="14" t="str">
        <f t="shared" si="3"/>
        <v/>
      </c>
    </row>
    <row r="44" spans="1:21" ht="29" x14ac:dyDescent="0.35">
      <c r="A44" s="14">
        <v>7</v>
      </c>
      <c r="B44" s="14" t="s">
        <v>858</v>
      </c>
      <c r="C44" s="14" t="s">
        <v>859</v>
      </c>
      <c r="D44" s="14" t="s">
        <v>860</v>
      </c>
      <c r="E44" s="14" t="s">
        <v>690</v>
      </c>
      <c r="F44" s="14" t="s">
        <v>167</v>
      </c>
      <c r="G44" s="14" t="s">
        <v>691</v>
      </c>
      <c r="H44" s="14" t="s">
        <v>59</v>
      </c>
      <c r="I44" s="15"/>
      <c r="J44" s="15"/>
      <c r="K44" s="15"/>
      <c r="L44" s="15"/>
      <c r="M44" s="15"/>
      <c r="N44" s="15"/>
      <c r="O44" s="15"/>
      <c r="P44" s="15"/>
      <c r="Q44" s="15"/>
      <c r="R44" s="15"/>
      <c r="S44" s="15"/>
      <c r="T44" s="15"/>
      <c r="U44" s="14" t="str">
        <f t="shared" si="3"/>
        <v/>
      </c>
    </row>
    <row r="45" spans="1:21" ht="29" x14ac:dyDescent="0.35">
      <c r="A45" s="14">
        <v>8</v>
      </c>
      <c r="B45" s="14" t="s">
        <v>861</v>
      </c>
      <c r="C45" s="14" t="s">
        <v>862</v>
      </c>
      <c r="D45" s="14" t="s">
        <v>863</v>
      </c>
      <c r="E45" s="14" t="s">
        <v>690</v>
      </c>
      <c r="F45" s="14" t="s">
        <v>167</v>
      </c>
      <c r="G45" s="14" t="s">
        <v>691</v>
      </c>
      <c r="H45" s="14" t="s">
        <v>59</v>
      </c>
      <c r="I45" s="15"/>
      <c r="J45" s="15"/>
      <c r="K45" s="15"/>
      <c r="L45" s="15"/>
      <c r="M45" s="15"/>
      <c r="N45" s="15"/>
      <c r="O45" s="15"/>
      <c r="P45" s="15"/>
      <c r="Q45" s="15"/>
      <c r="R45" s="15"/>
      <c r="S45" s="15"/>
      <c r="T45" s="15"/>
      <c r="U45" s="14" t="str">
        <f t="shared" si="3"/>
        <v/>
      </c>
    </row>
    <row r="46" spans="1:21" ht="29" x14ac:dyDescent="0.35">
      <c r="A46" s="14">
        <v>9</v>
      </c>
      <c r="B46" s="14" t="s">
        <v>826</v>
      </c>
      <c r="C46" s="14" t="s">
        <v>864</v>
      </c>
      <c r="D46" s="14" t="s">
        <v>462</v>
      </c>
      <c r="E46" s="14" t="s">
        <v>690</v>
      </c>
      <c r="F46" s="14" t="s">
        <v>167</v>
      </c>
      <c r="G46" s="14" t="s">
        <v>691</v>
      </c>
      <c r="H46" s="14" t="s">
        <v>59</v>
      </c>
      <c r="I46" s="15"/>
      <c r="J46" s="15"/>
      <c r="K46" s="15"/>
      <c r="L46" s="15"/>
      <c r="M46" s="15"/>
      <c r="N46" s="15"/>
      <c r="O46" s="15"/>
      <c r="P46" s="15"/>
      <c r="Q46" s="15"/>
      <c r="R46" s="15"/>
      <c r="S46" s="15"/>
      <c r="T46" s="15"/>
      <c r="U46" s="14" t="str">
        <f t="shared" si="3"/>
        <v/>
      </c>
    </row>
    <row r="49" spans="1:21" ht="22" customHeight="1" x14ac:dyDescent="0.35">
      <c r="A49" s="26" t="s">
        <v>866</v>
      </c>
      <c r="B49" s="23"/>
      <c r="C49" s="23"/>
      <c r="D49" s="23"/>
      <c r="E49" s="23"/>
      <c r="F49" s="23"/>
      <c r="G49" s="23"/>
      <c r="H49" s="23"/>
      <c r="I49" s="23"/>
      <c r="J49" s="23"/>
      <c r="K49" s="23"/>
      <c r="L49" s="23"/>
      <c r="M49" s="23"/>
      <c r="N49" s="23"/>
      <c r="O49" s="23"/>
      <c r="P49" s="23"/>
      <c r="Q49" s="23"/>
      <c r="R49" s="23"/>
      <c r="S49" s="23"/>
      <c r="T49" s="23"/>
      <c r="U49" s="23"/>
    </row>
    <row r="50" spans="1:21" x14ac:dyDescent="0.35">
      <c r="A50" t="s">
        <v>31</v>
      </c>
      <c r="B50" t="s">
        <v>20</v>
      </c>
      <c r="C50" t="s">
        <v>32</v>
      </c>
      <c r="E50" t="s">
        <v>33</v>
      </c>
    </row>
    <row r="51" spans="1:21" ht="29" x14ac:dyDescent="0.35">
      <c r="A51" s="11" t="s">
        <v>34</v>
      </c>
      <c r="B51" s="11" t="s">
        <v>35</v>
      </c>
      <c r="C51" s="11" t="s">
        <v>36</v>
      </c>
      <c r="D51" s="11" t="s">
        <v>37</v>
      </c>
      <c r="E51" s="11" t="s">
        <v>38</v>
      </c>
      <c r="F51" s="11" t="s">
        <v>39</v>
      </c>
      <c r="G51" s="11" t="s">
        <v>40</v>
      </c>
      <c r="H51" s="11" t="s">
        <v>41</v>
      </c>
      <c r="I51" s="11" t="s">
        <v>42</v>
      </c>
      <c r="J51" s="11" t="s">
        <v>43</v>
      </c>
      <c r="K51" s="11" t="s">
        <v>44</v>
      </c>
      <c r="L51" s="11" t="s">
        <v>45</v>
      </c>
      <c r="M51" s="11" t="s">
        <v>46</v>
      </c>
      <c r="N51" s="11" t="s">
        <v>47</v>
      </c>
      <c r="O51" s="11" t="s">
        <v>48</v>
      </c>
      <c r="P51" s="11" t="s">
        <v>4</v>
      </c>
      <c r="Q51" s="11" t="s">
        <v>49</v>
      </c>
      <c r="R51" s="11" t="s">
        <v>50</v>
      </c>
      <c r="S51" s="11" t="s">
        <v>51</v>
      </c>
      <c r="T51" s="11" t="s">
        <v>52</v>
      </c>
      <c r="U51" s="11" t="s">
        <v>10</v>
      </c>
    </row>
    <row r="52" spans="1:21" ht="29" x14ac:dyDescent="0.35">
      <c r="A52" s="14">
        <v>1</v>
      </c>
      <c r="B52" s="14" t="s">
        <v>842</v>
      </c>
      <c r="C52" s="14" t="s">
        <v>843</v>
      </c>
      <c r="D52" s="14" t="s">
        <v>844</v>
      </c>
      <c r="E52" s="14" t="s">
        <v>69</v>
      </c>
      <c r="F52" s="14" t="s">
        <v>284</v>
      </c>
      <c r="G52" s="14" t="s">
        <v>691</v>
      </c>
      <c r="H52" s="14" t="s">
        <v>76</v>
      </c>
      <c r="I52" s="15"/>
      <c r="J52" s="15"/>
      <c r="K52" s="15"/>
      <c r="L52" s="15"/>
      <c r="M52" s="15"/>
      <c r="N52" s="15"/>
      <c r="O52" s="15"/>
      <c r="P52" s="15"/>
      <c r="Q52" s="15"/>
      <c r="R52" s="15"/>
      <c r="S52" s="15"/>
      <c r="T52" s="15"/>
      <c r="U52" s="14" t="str">
        <f t="shared" ref="U52:U60" si="4">IF(I52="","",IF(I52="NA","Grey",IF(I52=2,"Green",IF(I52=1,"Amber","Red"))))</f>
        <v/>
      </c>
    </row>
    <row r="53" spans="1:21" ht="29" x14ac:dyDescent="0.35">
      <c r="A53" s="14">
        <v>2</v>
      </c>
      <c r="B53" s="14" t="s">
        <v>845</v>
      </c>
      <c r="C53" s="14" t="s">
        <v>846</v>
      </c>
      <c r="D53" s="14" t="s">
        <v>847</v>
      </c>
      <c r="E53" s="14" t="s">
        <v>69</v>
      </c>
      <c r="F53" s="14" t="s">
        <v>284</v>
      </c>
      <c r="G53" s="14" t="s">
        <v>691</v>
      </c>
      <c r="H53" s="14" t="s">
        <v>76</v>
      </c>
      <c r="I53" s="15"/>
      <c r="J53" s="15"/>
      <c r="K53" s="15"/>
      <c r="L53" s="15"/>
      <c r="M53" s="15"/>
      <c r="N53" s="15"/>
      <c r="O53" s="15"/>
      <c r="P53" s="15"/>
      <c r="Q53" s="15"/>
      <c r="R53" s="15"/>
      <c r="S53" s="15"/>
      <c r="T53" s="15"/>
      <c r="U53" s="14" t="str">
        <f t="shared" si="4"/>
        <v/>
      </c>
    </row>
    <row r="54" spans="1:21" ht="29" x14ac:dyDescent="0.35">
      <c r="A54" s="14">
        <v>3</v>
      </c>
      <c r="B54" s="14" t="s">
        <v>848</v>
      </c>
      <c r="C54" s="14" t="s">
        <v>849</v>
      </c>
      <c r="D54" s="14" t="s">
        <v>850</v>
      </c>
      <c r="E54" s="14" t="s">
        <v>69</v>
      </c>
      <c r="F54" s="14" t="s">
        <v>284</v>
      </c>
      <c r="G54" s="14" t="s">
        <v>691</v>
      </c>
      <c r="H54" s="14" t="s">
        <v>76</v>
      </c>
      <c r="I54" s="15"/>
      <c r="J54" s="15"/>
      <c r="K54" s="15"/>
      <c r="L54" s="15"/>
      <c r="M54" s="15"/>
      <c r="N54" s="15"/>
      <c r="O54" s="15"/>
      <c r="P54" s="15"/>
      <c r="Q54" s="15"/>
      <c r="R54" s="15"/>
      <c r="S54" s="15"/>
      <c r="T54" s="15"/>
      <c r="U54" s="14" t="str">
        <f t="shared" si="4"/>
        <v/>
      </c>
    </row>
    <row r="55" spans="1:21" ht="29" x14ac:dyDescent="0.35">
      <c r="A55" s="14">
        <v>4</v>
      </c>
      <c r="B55" s="14" t="s">
        <v>851</v>
      </c>
      <c r="C55" s="14" t="s">
        <v>852</v>
      </c>
      <c r="D55" s="14" t="s">
        <v>853</v>
      </c>
      <c r="E55" s="14" t="s">
        <v>690</v>
      </c>
      <c r="F55" s="14" t="s">
        <v>167</v>
      </c>
      <c r="G55" s="14" t="s">
        <v>691</v>
      </c>
      <c r="H55" s="14" t="s">
        <v>59</v>
      </c>
      <c r="I55" s="15"/>
      <c r="J55" s="15"/>
      <c r="K55" s="15"/>
      <c r="L55" s="15"/>
      <c r="M55" s="15"/>
      <c r="N55" s="15"/>
      <c r="O55" s="15"/>
      <c r="P55" s="15"/>
      <c r="Q55" s="15"/>
      <c r="R55" s="15"/>
      <c r="S55" s="15"/>
      <c r="T55" s="15"/>
      <c r="U55" s="14" t="str">
        <f t="shared" si="4"/>
        <v/>
      </c>
    </row>
    <row r="56" spans="1:21" ht="29" x14ac:dyDescent="0.35">
      <c r="A56" s="14">
        <v>5</v>
      </c>
      <c r="B56" s="14" t="s">
        <v>854</v>
      </c>
      <c r="C56" s="14" t="s">
        <v>855</v>
      </c>
      <c r="D56" s="14" t="s">
        <v>856</v>
      </c>
      <c r="E56" s="14" t="s">
        <v>69</v>
      </c>
      <c r="F56" s="14" t="s">
        <v>167</v>
      </c>
      <c r="G56" s="14" t="s">
        <v>691</v>
      </c>
      <c r="H56" s="14" t="s">
        <v>76</v>
      </c>
      <c r="I56" s="15"/>
      <c r="J56" s="15"/>
      <c r="K56" s="15"/>
      <c r="L56" s="15"/>
      <c r="M56" s="15"/>
      <c r="N56" s="15"/>
      <c r="O56" s="15"/>
      <c r="P56" s="15"/>
      <c r="Q56" s="15"/>
      <c r="R56" s="15"/>
      <c r="S56" s="15"/>
      <c r="T56" s="15"/>
      <c r="U56" s="14" t="str">
        <f t="shared" si="4"/>
        <v/>
      </c>
    </row>
    <row r="57" spans="1:21" ht="29" x14ac:dyDescent="0.35">
      <c r="A57" s="14">
        <v>6</v>
      </c>
      <c r="B57" s="14" t="s">
        <v>698</v>
      </c>
      <c r="C57" s="14" t="s">
        <v>857</v>
      </c>
      <c r="D57" s="14" t="s">
        <v>842</v>
      </c>
      <c r="E57" s="14" t="s">
        <v>69</v>
      </c>
      <c r="F57" s="14" t="s">
        <v>284</v>
      </c>
      <c r="G57" s="14" t="s">
        <v>691</v>
      </c>
      <c r="H57" s="14" t="s">
        <v>76</v>
      </c>
      <c r="I57" s="15"/>
      <c r="J57" s="15"/>
      <c r="K57" s="15"/>
      <c r="L57" s="15"/>
      <c r="M57" s="15"/>
      <c r="N57" s="15"/>
      <c r="O57" s="15"/>
      <c r="P57" s="15"/>
      <c r="Q57" s="15"/>
      <c r="R57" s="15"/>
      <c r="S57" s="15"/>
      <c r="T57" s="15"/>
      <c r="U57" s="14" t="str">
        <f t="shared" si="4"/>
        <v/>
      </c>
    </row>
    <row r="58" spans="1:21" ht="29" x14ac:dyDescent="0.35">
      <c r="A58" s="14">
        <v>7</v>
      </c>
      <c r="B58" s="14" t="s">
        <v>858</v>
      </c>
      <c r="C58" s="14" t="s">
        <v>859</v>
      </c>
      <c r="D58" s="14" t="s">
        <v>860</v>
      </c>
      <c r="E58" s="14" t="s">
        <v>690</v>
      </c>
      <c r="F58" s="14" t="s">
        <v>167</v>
      </c>
      <c r="G58" s="14" t="s">
        <v>691</v>
      </c>
      <c r="H58" s="14" t="s">
        <v>59</v>
      </c>
      <c r="I58" s="15"/>
      <c r="J58" s="15"/>
      <c r="K58" s="15"/>
      <c r="L58" s="15"/>
      <c r="M58" s="15"/>
      <c r="N58" s="15"/>
      <c r="O58" s="15"/>
      <c r="P58" s="15"/>
      <c r="Q58" s="15"/>
      <c r="R58" s="15"/>
      <c r="S58" s="15"/>
      <c r="T58" s="15"/>
      <c r="U58" s="14" t="str">
        <f t="shared" si="4"/>
        <v/>
      </c>
    </row>
    <row r="59" spans="1:21" ht="29" x14ac:dyDescent="0.35">
      <c r="A59" s="14">
        <v>8</v>
      </c>
      <c r="B59" s="14" t="s">
        <v>861</v>
      </c>
      <c r="C59" s="14" t="s">
        <v>862</v>
      </c>
      <c r="D59" s="14" t="s">
        <v>863</v>
      </c>
      <c r="E59" s="14" t="s">
        <v>690</v>
      </c>
      <c r="F59" s="14" t="s">
        <v>167</v>
      </c>
      <c r="G59" s="14" t="s">
        <v>691</v>
      </c>
      <c r="H59" s="14" t="s">
        <v>59</v>
      </c>
      <c r="I59" s="15"/>
      <c r="J59" s="15"/>
      <c r="K59" s="15"/>
      <c r="L59" s="15"/>
      <c r="M59" s="15"/>
      <c r="N59" s="15"/>
      <c r="O59" s="15"/>
      <c r="P59" s="15"/>
      <c r="Q59" s="15"/>
      <c r="R59" s="15"/>
      <c r="S59" s="15"/>
      <c r="T59" s="15"/>
      <c r="U59" s="14" t="str">
        <f t="shared" si="4"/>
        <v/>
      </c>
    </row>
    <row r="60" spans="1:21" ht="29" x14ac:dyDescent="0.35">
      <c r="A60" s="14">
        <v>9</v>
      </c>
      <c r="B60" s="14" t="s">
        <v>826</v>
      </c>
      <c r="C60" s="14" t="s">
        <v>864</v>
      </c>
      <c r="D60" s="14" t="s">
        <v>462</v>
      </c>
      <c r="E60" s="14" t="s">
        <v>690</v>
      </c>
      <c r="F60" s="14" t="s">
        <v>167</v>
      </c>
      <c r="G60" s="14" t="s">
        <v>691</v>
      </c>
      <c r="H60" s="14" t="s">
        <v>59</v>
      </c>
      <c r="I60" s="15"/>
      <c r="J60" s="15"/>
      <c r="K60" s="15"/>
      <c r="L60" s="15"/>
      <c r="M60" s="15"/>
      <c r="N60" s="15"/>
      <c r="O60" s="15"/>
      <c r="P60" s="15"/>
      <c r="Q60" s="15"/>
      <c r="R60" s="15"/>
      <c r="S60" s="15"/>
      <c r="T60" s="15"/>
      <c r="U60" s="14" t="str">
        <f t="shared" si="4"/>
        <v/>
      </c>
    </row>
    <row r="63" spans="1:21" ht="22" customHeight="1" x14ac:dyDescent="0.35">
      <c r="A63" s="26" t="s">
        <v>867</v>
      </c>
      <c r="B63" s="23"/>
      <c r="C63" s="23"/>
      <c r="D63" s="23"/>
      <c r="E63" s="23"/>
      <c r="F63" s="23"/>
      <c r="G63" s="23"/>
      <c r="H63" s="23"/>
      <c r="I63" s="23"/>
      <c r="J63" s="23"/>
      <c r="K63" s="23"/>
      <c r="L63" s="23"/>
      <c r="M63" s="23"/>
      <c r="N63" s="23"/>
      <c r="O63" s="23"/>
      <c r="P63" s="23"/>
      <c r="Q63" s="23"/>
      <c r="R63" s="23"/>
      <c r="S63" s="23"/>
      <c r="T63" s="23"/>
      <c r="U63" s="23"/>
    </row>
    <row r="64" spans="1:21" x14ac:dyDescent="0.35">
      <c r="A64" t="s">
        <v>31</v>
      </c>
      <c r="B64" t="s">
        <v>21</v>
      </c>
      <c r="C64" t="s">
        <v>32</v>
      </c>
      <c r="E64" t="s">
        <v>33</v>
      </c>
    </row>
    <row r="65" spans="1:21" ht="29" x14ac:dyDescent="0.35">
      <c r="A65" s="11" t="s">
        <v>34</v>
      </c>
      <c r="B65" s="11" t="s">
        <v>35</v>
      </c>
      <c r="C65" s="11" t="s">
        <v>36</v>
      </c>
      <c r="D65" s="11" t="s">
        <v>37</v>
      </c>
      <c r="E65" s="11" t="s">
        <v>38</v>
      </c>
      <c r="F65" s="11" t="s">
        <v>39</v>
      </c>
      <c r="G65" s="11" t="s">
        <v>40</v>
      </c>
      <c r="H65" s="11" t="s">
        <v>41</v>
      </c>
      <c r="I65" s="11" t="s">
        <v>42</v>
      </c>
      <c r="J65" s="11" t="s">
        <v>43</v>
      </c>
      <c r="K65" s="11" t="s">
        <v>44</v>
      </c>
      <c r="L65" s="11" t="s">
        <v>45</v>
      </c>
      <c r="M65" s="11" t="s">
        <v>46</v>
      </c>
      <c r="N65" s="11" t="s">
        <v>47</v>
      </c>
      <c r="O65" s="11" t="s">
        <v>48</v>
      </c>
      <c r="P65" s="11" t="s">
        <v>4</v>
      </c>
      <c r="Q65" s="11" t="s">
        <v>49</v>
      </c>
      <c r="R65" s="11" t="s">
        <v>50</v>
      </c>
      <c r="S65" s="11" t="s">
        <v>51</v>
      </c>
      <c r="T65" s="11" t="s">
        <v>52</v>
      </c>
      <c r="U65" s="11" t="s">
        <v>10</v>
      </c>
    </row>
    <row r="66" spans="1:21" ht="29" x14ac:dyDescent="0.35">
      <c r="A66" s="14">
        <v>1</v>
      </c>
      <c r="B66" s="14" t="s">
        <v>842</v>
      </c>
      <c r="C66" s="14" t="s">
        <v>843</v>
      </c>
      <c r="D66" s="14" t="s">
        <v>844</v>
      </c>
      <c r="E66" s="14" t="s">
        <v>69</v>
      </c>
      <c r="F66" s="14" t="s">
        <v>284</v>
      </c>
      <c r="G66" s="14" t="s">
        <v>691</v>
      </c>
      <c r="H66" s="14" t="s">
        <v>76</v>
      </c>
      <c r="I66" s="15"/>
      <c r="J66" s="15"/>
      <c r="K66" s="15"/>
      <c r="L66" s="15"/>
      <c r="M66" s="15"/>
      <c r="N66" s="15"/>
      <c r="O66" s="15"/>
      <c r="P66" s="15"/>
      <c r="Q66" s="15"/>
      <c r="R66" s="15"/>
      <c r="S66" s="15"/>
      <c r="T66" s="15"/>
      <c r="U66" s="14" t="str">
        <f t="shared" ref="U66:U74" si="5">IF(I66="","",IF(I66="NA","Grey",IF(I66=2,"Green",IF(I66=1,"Amber","Red"))))</f>
        <v/>
      </c>
    </row>
    <row r="67" spans="1:21" ht="29" x14ac:dyDescent="0.35">
      <c r="A67" s="14">
        <v>2</v>
      </c>
      <c r="B67" s="14" t="s">
        <v>845</v>
      </c>
      <c r="C67" s="14" t="s">
        <v>846</v>
      </c>
      <c r="D67" s="14" t="s">
        <v>847</v>
      </c>
      <c r="E67" s="14" t="s">
        <v>69</v>
      </c>
      <c r="F67" s="14" t="s">
        <v>284</v>
      </c>
      <c r="G67" s="14" t="s">
        <v>691</v>
      </c>
      <c r="H67" s="14" t="s">
        <v>76</v>
      </c>
      <c r="I67" s="15"/>
      <c r="J67" s="15"/>
      <c r="K67" s="15"/>
      <c r="L67" s="15"/>
      <c r="M67" s="15"/>
      <c r="N67" s="15"/>
      <c r="O67" s="15"/>
      <c r="P67" s="15"/>
      <c r="Q67" s="15"/>
      <c r="R67" s="15"/>
      <c r="S67" s="15"/>
      <c r="T67" s="15"/>
      <c r="U67" s="14" t="str">
        <f t="shared" si="5"/>
        <v/>
      </c>
    </row>
    <row r="68" spans="1:21" ht="29" x14ac:dyDescent="0.35">
      <c r="A68" s="14">
        <v>3</v>
      </c>
      <c r="B68" s="14" t="s">
        <v>848</v>
      </c>
      <c r="C68" s="14" t="s">
        <v>849</v>
      </c>
      <c r="D68" s="14" t="s">
        <v>850</v>
      </c>
      <c r="E68" s="14" t="s">
        <v>69</v>
      </c>
      <c r="F68" s="14" t="s">
        <v>284</v>
      </c>
      <c r="G68" s="14" t="s">
        <v>691</v>
      </c>
      <c r="H68" s="14" t="s">
        <v>76</v>
      </c>
      <c r="I68" s="15"/>
      <c r="J68" s="15"/>
      <c r="K68" s="15"/>
      <c r="L68" s="15"/>
      <c r="M68" s="15"/>
      <c r="N68" s="15"/>
      <c r="O68" s="15"/>
      <c r="P68" s="15"/>
      <c r="Q68" s="15"/>
      <c r="R68" s="15"/>
      <c r="S68" s="15"/>
      <c r="T68" s="15"/>
      <c r="U68" s="14" t="str">
        <f t="shared" si="5"/>
        <v/>
      </c>
    </row>
    <row r="69" spans="1:21" ht="29" x14ac:dyDescent="0.35">
      <c r="A69" s="14">
        <v>4</v>
      </c>
      <c r="B69" s="14" t="s">
        <v>851</v>
      </c>
      <c r="C69" s="14" t="s">
        <v>852</v>
      </c>
      <c r="D69" s="14" t="s">
        <v>853</v>
      </c>
      <c r="E69" s="14" t="s">
        <v>690</v>
      </c>
      <c r="F69" s="14" t="s">
        <v>167</v>
      </c>
      <c r="G69" s="14" t="s">
        <v>691</v>
      </c>
      <c r="H69" s="14" t="s">
        <v>59</v>
      </c>
      <c r="I69" s="15"/>
      <c r="J69" s="15"/>
      <c r="K69" s="15"/>
      <c r="L69" s="15"/>
      <c r="M69" s="15"/>
      <c r="N69" s="15"/>
      <c r="O69" s="15"/>
      <c r="P69" s="15"/>
      <c r="Q69" s="15"/>
      <c r="R69" s="15"/>
      <c r="S69" s="15"/>
      <c r="T69" s="15"/>
      <c r="U69" s="14" t="str">
        <f t="shared" si="5"/>
        <v/>
      </c>
    </row>
    <row r="70" spans="1:21" ht="29" x14ac:dyDescent="0.35">
      <c r="A70" s="14">
        <v>5</v>
      </c>
      <c r="B70" s="14" t="s">
        <v>854</v>
      </c>
      <c r="C70" s="14" t="s">
        <v>855</v>
      </c>
      <c r="D70" s="14" t="s">
        <v>856</v>
      </c>
      <c r="E70" s="14" t="s">
        <v>69</v>
      </c>
      <c r="F70" s="14" t="s">
        <v>167</v>
      </c>
      <c r="G70" s="14" t="s">
        <v>691</v>
      </c>
      <c r="H70" s="14" t="s">
        <v>76</v>
      </c>
      <c r="I70" s="15"/>
      <c r="J70" s="15"/>
      <c r="K70" s="15"/>
      <c r="L70" s="15"/>
      <c r="M70" s="15"/>
      <c r="N70" s="15"/>
      <c r="O70" s="15"/>
      <c r="P70" s="15"/>
      <c r="Q70" s="15"/>
      <c r="R70" s="15"/>
      <c r="S70" s="15"/>
      <c r="T70" s="15"/>
      <c r="U70" s="14" t="str">
        <f t="shared" si="5"/>
        <v/>
      </c>
    </row>
    <row r="71" spans="1:21" ht="29" x14ac:dyDescent="0.35">
      <c r="A71" s="14">
        <v>6</v>
      </c>
      <c r="B71" s="14" t="s">
        <v>698</v>
      </c>
      <c r="C71" s="14" t="s">
        <v>857</v>
      </c>
      <c r="D71" s="14" t="s">
        <v>842</v>
      </c>
      <c r="E71" s="14" t="s">
        <v>69</v>
      </c>
      <c r="F71" s="14" t="s">
        <v>284</v>
      </c>
      <c r="G71" s="14" t="s">
        <v>691</v>
      </c>
      <c r="H71" s="14" t="s">
        <v>76</v>
      </c>
      <c r="I71" s="15"/>
      <c r="J71" s="15"/>
      <c r="K71" s="15"/>
      <c r="L71" s="15"/>
      <c r="M71" s="15"/>
      <c r="N71" s="15"/>
      <c r="O71" s="15"/>
      <c r="P71" s="15"/>
      <c r="Q71" s="15"/>
      <c r="R71" s="15"/>
      <c r="S71" s="15"/>
      <c r="T71" s="15"/>
      <c r="U71" s="14" t="str">
        <f t="shared" si="5"/>
        <v/>
      </c>
    </row>
    <row r="72" spans="1:21" ht="29" x14ac:dyDescent="0.35">
      <c r="A72" s="14">
        <v>7</v>
      </c>
      <c r="B72" s="14" t="s">
        <v>858</v>
      </c>
      <c r="C72" s="14" t="s">
        <v>859</v>
      </c>
      <c r="D72" s="14" t="s">
        <v>860</v>
      </c>
      <c r="E72" s="14" t="s">
        <v>690</v>
      </c>
      <c r="F72" s="14" t="s">
        <v>167</v>
      </c>
      <c r="G72" s="14" t="s">
        <v>691</v>
      </c>
      <c r="H72" s="14" t="s">
        <v>59</v>
      </c>
      <c r="I72" s="15"/>
      <c r="J72" s="15"/>
      <c r="K72" s="15"/>
      <c r="L72" s="15"/>
      <c r="M72" s="15"/>
      <c r="N72" s="15"/>
      <c r="O72" s="15"/>
      <c r="P72" s="15"/>
      <c r="Q72" s="15"/>
      <c r="R72" s="15"/>
      <c r="S72" s="15"/>
      <c r="T72" s="15"/>
      <c r="U72" s="14" t="str">
        <f t="shared" si="5"/>
        <v/>
      </c>
    </row>
    <row r="73" spans="1:21" ht="29" x14ac:dyDescent="0.35">
      <c r="A73" s="14">
        <v>8</v>
      </c>
      <c r="B73" s="14" t="s">
        <v>861</v>
      </c>
      <c r="C73" s="14" t="s">
        <v>862</v>
      </c>
      <c r="D73" s="14" t="s">
        <v>863</v>
      </c>
      <c r="E73" s="14" t="s">
        <v>690</v>
      </c>
      <c r="F73" s="14" t="s">
        <v>167</v>
      </c>
      <c r="G73" s="14" t="s">
        <v>691</v>
      </c>
      <c r="H73" s="14" t="s">
        <v>59</v>
      </c>
      <c r="I73" s="15"/>
      <c r="J73" s="15"/>
      <c r="K73" s="15"/>
      <c r="L73" s="15"/>
      <c r="M73" s="15"/>
      <c r="N73" s="15"/>
      <c r="O73" s="15"/>
      <c r="P73" s="15"/>
      <c r="Q73" s="15"/>
      <c r="R73" s="15"/>
      <c r="S73" s="15"/>
      <c r="T73" s="15"/>
      <c r="U73" s="14" t="str">
        <f t="shared" si="5"/>
        <v/>
      </c>
    </row>
    <row r="74" spans="1:21" ht="29" x14ac:dyDescent="0.35">
      <c r="A74" s="14">
        <v>9</v>
      </c>
      <c r="B74" s="14" t="s">
        <v>826</v>
      </c>
      <c r="C74" s="14" t="s">
        <v>864</v>
      </c>
      <c r="D74" s="14" t="s">
        <v>462</v>
      </c>
      <c r="E74" s="14" t="s">
        <v>690</v>
      </c>
      <c r="F74" s="14" t="s">
        <v>167</v>
      </c>
      <c r="G74" s="14" t="s">
        <v>691</v>
      </c>
      <c r="H74" s="14" t="s">
        <v>59</v>
      </c>
      <c r="I74" s="15"/>
      <c r="J74" s="15"/>
      <c r="K74" s="15"/>
      <c r="L74" s="15"/>
      <c r="M74" s="15"/>
      <c r="N74" s="15"/>
      <c r="O74" s="15"/>
      <c r="P74" s="15"/>
      <c r="Q74" s="15"/>
      <c r="R74" s="15"/>
      <c r="S74" s="15"/>
      <c r="T74" s="15"/>
      <c r="U74" s="14" t="str">
        <f t="shared" si="5"/>
        <v/>
      </c>
    </row>
    <row r="77" spans="1:21" ht="22" customHeight="1" x14ac:dyDescent="0.35">
      <c r="A77" s="26" t="s">
        <v>868</v>
      </c>
      <c r="B77" s="23"/>
      <c r="C77" s="23"/>
      <c r="D77" s="23"/>
      <c r="E77" s="23"/>
      <c r="F77" s="23"/>
      <c r="G77" s="23"/>
      <c r="H77" s="23"/>
      <c r="I77" s="23"/>
      <c r="J77" s="23"/>
      <c r="K77" s="23"/>
      <c r="L77" s="23"/>
      <c r="M77" s="23"/>
      <c r="N77" s="23"/>
      <c r="O77" s="23"/>
      <c r="P77" s="23"/>
      <c r="Q77" s="23"/>
      <c r="R77" s="23"/>
      <c r="S77" s="23"/>
      <c r="T77" s="23"/>
      <c r="U77" s="23"/>
    </row>
    <row r="78" spans="1:21" x14ac:dyDescent="0.35">
      <c r="A78" t="s">
        <v>31</v>
      </c>
      <c r="B78" t="s">
        <v>22</v>
      </c>
      <c r="C78" t="s">
        <v>32</v>
      </c>
      <c r="E78" t="s">
        <v>33</v>
      </c>
    </row>
    <row r="79" spans="1:21" ht="29" x14ac:dyDescent="0.35">
      <c r="A79" s="11" t="s">
        <v>34</v>
      </c>
      <c r="B79" s="11" t="s">
        <v>35</v>
      </c>
      <c r="C79" s="11" t="s">
        <v>36</v>
      </c>
      <c r="D79" s="11" t="s">
        <v>37</v>
      </c>
      <c r="E79" s="11" t="s">
        <v>38</v>
      </c>
      <c r="F79" s="11" t="s">
        <v>39</v>
      </c>
      <c r="G79" s="11" t="s">
        <v>40</v>
      </c>
      <c r="H79" s="11" t="s">
        <v>41</v>
      </c>
      <c r="I79" s="11" t="s">
        <v>42</v>
      </c>
      <c r="J79" s="11" t="s">
        <v>43</v>
      </c>
      <c r="K79" s="11" t="s">
        <v>44</v>
      </c>
      <c r="L79" s="11" t="s">
        <v>45</v>
      </c>
      <c r="M79" s="11" t="s">
        <v>46</v>
      </c>
      <c r="N79" s="11" t="s">
        <v>47</v>
      </c>
      <c r="O79" s="11" t="s">
        <v>48</v>
      </c>
      <c r="P79" s="11" t="s">
        <v>4</v>
      </c>
      <c r="Q79" s="11" t="s">
        <v>49</v>
      </c>
      <c r="R79" s="11" t="s">
        <v>50</v>
      </c>
      <c r="S79" s="11" t="s">
        <v>51</v>
      </c>
      <c r="T79" s="11" t="s">
        <v>52</v>
      </c>
      <c r="U79" s="11" t="s">
        <v>10</v>
      </c>
    </row>
    <row r="80" spans="1:21" ht="29" x14ac:dyDescent="0.35">
      <c r="A80" s="14">
        <v>1</v>
      </c>
      <c r="B80" s="14" t="s">
        <v>842</v>
      </c>
      <c r="C80" s="14" t="s">
        <v>843</v>
      </c>
      <c r="D80" s="14" t="s">
        <v>844</v>
      </c>
      <c r="E80" s="14" t="s">
        <v>69</v>
      </c>
      <c r="F80" s="14" t="s">
        <v>284</v>
      </c>
      <c r="G80" s="14" t="s">
        <v>691</v>
      </c>
      <c r="H80" s="14" t="s">
        <v>76</v>
      </c>
      <c r="I80" s="15"/>
      <c r="J80" s="15"/>
      <c r="K80" s="15"/>
      <c r="L80" s="15"/>
      <c r="M80" s="15"/>
      <c r="N80" s="15"/>
      <c r="O80" s="15"/>
      <c r="P80" s="15"/>
      <c r="Q80" s="15"/>
      <c r="R80" s="15"/>
      <c r="S80" s="15"/>
      <c r="T80" s="15"/>
      <c r="U80" s="14" t="str">
        <f t="shared" ref="U80:U88" si="6">IF(I80="","",IF(I80="NA","Grey",IF(I80=2,"Green",IF(I80=1,"Amber","Red"))))</f>
        <v/>
      </c>
    </row>
    <row r="81" spans="1:21" ht="29" x14ac:dyDescent="0.35">
      <c r="A81" s="14">
        <v>2</v>
      </c>
      <c r="B81" s="14" t="s">
        <v>845</v>
      </c>
      <c r="C81" s="14" t="s">
        <v>846</v>
      </c>
      <c r="D81" s="14" t="s">
        <v>847</v>
      </c>
      <c r="E81" s="14" t="s">
        <v>69</v>
      </c>
      <c r="F81" s="14" t="s">
        <v>284</v>
      </c>
      <c r="G81" s="14" t="s">
        <v>691</v>
      </c>
      <c r="H81" s="14" t="s">
        <v>76</v>
      </c>
      <c r="I81" s="15"/>
      <c r="J81" s="15"/>
      <c r="K81" s="15"/>
      <c r="L81" s="15"/>
      <c r="M81" s="15"/>
      <c r="N81" s="15"/>
      <c r="O81" s="15"/>
      <c r="P81" s="15"/>
      <c r="Q81" s="15"/>
      <c r="R81" s="15"/>
      <c r="S81" s="15"/>
      <c r="T81" s="15"/>
      <c r="U81" s="14" t="str">
        <f t="shared" si="6"/>
        <v/>
      </c>
    </row>
    <row r="82" spans="1:21" ht="29" x14ac:dyDescent="0.35">
      <c r="A82" s="14">
        <v>3</v>
      </c>
      <c r="B82" s="14" t="s">
        <v>848</v>
      </c>
      <c r="C82" s="14" t="s">
        <v>849</v>
      </c>
      <c r="D82" s="14" t="s">
        <v>850</v>
      </c>
      <c r="E82" s="14" t="s">
        <v>69</v>
      </c>
      <c r="F82" s="14" t="s">
        <v>284</v>
      </c>
      <c r="G82" s="14" t="s">
        <v>691</v>
      </c>
      <c r="H82" s="14" t="s">
        <v>76</v>
      </c>
      <c r="I82" s="15"/>
      <c r="J82" s="15"/>
      <c r="K82" s="15"/>
      <c r="L82" s="15"/>
      <c r="M82" s="15"/>
      <c r="N82" s="15"/>
      <c r="O82" s="15"/>
      <c r="P82" s="15"/>
      <c r="Q82" s="15"/>
      <c r="R82" s="15"/>
      <c r="S82" s="15"/>
      <c r="T82" s="15"/>
      <c r="U82" s="14" t="str">
        <f t="shared" si="6"/>
        <v/>
      </c>
    </row>
    <row r="83" spans="1:21" ht="29" x14ac:dyDescent="0.35">
      <c r="A83" s="14">
        <v>4</v>
      </c>
      <c r="B83" s="14" t="s">
        <v>851</v>
      </c>
      <c r="C83" s="14" t="s">
        <v>852</v>
      </c>
      <c r="D83" s="14" t="s">
        <v>853</v>
      </c>
      <c r="E83" s="14" t="s">
        <v>690</v>
      </c>
      <c r="F83" s="14" t="s">
        <v>167</v>
      </c>
      <c r="G83" s="14" t="s">
        <v>691</v>
      </c>
      <c r="H83" s="14" t="s">
        <v>59</v>
      </c>
      <c r="I83" s="15"/>
      <c r="J83" s="15"/>
      <c r="K83" s="15"/>
      <c r="L83" s="15"/>
      <c r="M83" s="15"/>
      <c r="N83" s="15"/>
      <c r="O83" s="15"/>
      <c r="P83" s="15"/>
      <c r="Q83" s="15"/>
      <c r="R83" s="15"/>
      <c r="S83" s="15"/>
      <c r="T83" s="15"/>
      <c r="U83" s="14" t="str">
        <f t="shared" si="6"/>
        <v/>
      </c>
    </row>
    <row r="84" spans="1:21" ht="29" x14ac:dyDescent="0.35">
      <c r="A84" s="14">
        <v>5</v>
      </c>
      <c r="B84" s="14" t="s">
        <v>854</v>
      </c>
      <c r="C84" s="14" t="s">
        <v>855</v>
      </c>
      <c r="D84" s="14" t="s">
        <v>856</v>
      </c>
      <c r="E84" s="14" t="s">
        <v>69</v>
      </c>
      <c r="F84" s="14" t="s">
        <v>167</v>
      </c>
      <c r="G84" s="14" t="s">
        <v>691</v>
      </c>
      <c r="H84" s="14" t="s">
        <v>76</v>
      </c>
      <c r="I84" s="15"/>
      <c r="J84" s="15"/>
      <c r="K84" s="15"/>
      <c r="L84" s="15"/>
      <c r="M84" s="15"/>
      <c r="N84" s="15"/>
      <c r="O84" s="15"/>
      <c r="P84" s="15"/>
      <c r="Q84" s="15"/>
      <c r="R84" s="15"/>
      <c r="S84" s="15"/>
      <c r="T84" s="15"/>
      <c r="U84" s="14" t="str">
        <f t="shared" si="6"/>
        <v/>
      </c>
    </row>
    <row r="85" spans="1:21" ht="29" x14ac:dyDescent="0.35">
      <c r="A85" s="14">
        <v>6</v>
      </c>
      <c r="B85" s="14" t="s">
        <v>698</v>
      </c>
      <c r="C85" s="14" t="s">
        <v>857</v>
      </c>
      <c r="D85" s="14" t="s">
        <v>842</v>
      </c>
      <c r="E85" s="14" t="s">
        <v>69</v>
      </c>
      <c r="F85" s="14" t="s">
        <v>284</v>
      </c>
      <c r="G85" s="14" t="s">
        <v>691</v>
      </c>
      <c r="H85" s="14" t="s">
        <v>76</v>
      </c>
      <c r="I85" s="15"/>
      <c r="J85" s="15"/>
      <c r="K85" s="15"/>
      <c r="L85" s="15"/>
      <c r="M85" s="15"/>
      <c r="N85" s="15"/>
      <c r="O85" s="15"/>
      <c r="P85" s="15"/>
      <c r="Q85" s="15"/>
      <c r="R85" s="15"/>
      <c r="S85" s="15"/>
      <c r="T85" s="15"/>
      <c r="U85" s="14" t="str">
        <f t="shared" si="6"/>
        <v/>
      </c>
    </row>
    <row r="86" spans="1:21" ht="29" x14ac:dyDescent="0.35">
      <c r="A86" s="14">
        <v>7</v>
      </c>
      <c r="B86" s="14" t="s">
        <v>858</v>
      </c>
      <c r="C86" s="14" t="s">
        <v>859</v>
      </c>
      <c r="D86" s="14" t="s">
        <v>860</v>
      </c>
      <c r="E86" s="14" t="s">
        <v>690</v>
      </c>
      <c r="F86" s="14" t="s">
        <v>167</v>
      </c>
      <c r="G86" s="14" t="s">
        <v>691</v>
      </c>
      <c r="H86" s="14" t="s">
        <v>59</v>
      </c>
      <c r="I86" s="15"/>
      <c r="J86" s="15"/>
      <c r="K86" s="15"/>
      <c r="L86" s="15"/>
      <c r="M86" s="15"/>
      <c r="N86" s="15"/>
      <c r="O86" s="15"/>
      <c r="P86" s="15"/>
      <c r="Q86" s="15"/>
      <c r="R86" s="15"/>
      <c r="S86" s="15"/>
      <c r="T86" s="15"/>
      <c r="U86" s="14" t="str">
        <f t="shared" si="6"/>
        <v/>
      </c>
    </row>
    <row r="87" spans="1:21" ht="29" x14ac:dyDescent="0.35">
      <c r="A87" s="14">
        <v>8</v>
      </c>
      <c r="B87" s="14" t="s">
        <v>861</v>
      </c>
      <c r="C87" s="14" t="s">
        <v>862</v>
      </c>
      <c r="D87" s="14" t="s">
        <v>863</v>
      </c>
      <c r="E87" s="14" t="s">
        <v>690</v>
      </c>
      <c r="F87" s="14" t="s">
        <v>167</v>
      </c>
      <c r="G87" s="14" t="s">
        <v>691</v>
      </c>
      <c r="H87" s="14" t="s">
        <v>59</v>
      </c>
      <c r="I87" s="15"/>
      <c r="J87" s="15"/>
      <c r="K87" s="15"/>
      <c r="L87" s="15"/>
      <c r="M87" s="15"/>
      <c r="N87" s="15"/>
      <c r="O87" s="15"/>
      <c r="P87" s="15"/>
      <c r="Q87" s="15"/>
      <c r="R87" s="15"/>
      <c r="S87" s="15"/>
      <c r="T87" s="15"/>
      <c r="U87" s="14" t="str">
        <f t="shared" si="6"/>
        <v/>
      </c>
    </row>
    <row r="88" spans="1:21" ht="29" x14ac:dyDescent="0.35">
      <c r="A88" s="14">
        <v>9</v>
      </c>
      <c r="B88" s="14" t="s">
        <v>826</v>
      </c>
      <c r="C88" s="14" t="s">
        <v>864</v>
      </c>
      <c r="D88" s="14" t="s">
        <v>462</v>
      </c>
      <c r="E88" s="14" t="s">
        <v>690</v>
      </c>
      <c r="F88" s="14" t="s">
        <v>167</v>
      </c>
      <c r="G88" s="14" t="s">
        <v>691</v>
      </c>
      <c r="H88" s="14" t="s">
        <v>59</v>
      </c>
      <c r="I88" s="15"/>
      <c r="J88" s="15"/>
      <c r="K88" s="15"/>
      <c r="L88" s="15"/>
      <c r="M88" s="15"/>
      <c r="N88" s="15"/>
      <c r="O88" s="15"/>
      <c r="P88" s="15"/>
      <c r="Q88" s="15"/>
      <c r="R88" s="15"/>
      <c r="S88" s="15"/>
      <c r="T88" s="15"/>
      <c r="U88" s="14" t="str">
        <f t="shared" si="6"/>
        <v/>
      </c>
    </row>
    <row r="91" spans="1:21" ht="22" customHeight="1" x14ac:dyDescent="0.35">
      <c r="A91" s="26" t="s">
        <v>869</v>
      </c>
      <c r="B91" s="23"/>
      <c r="C91" s="23"/>
      <c r="D91" s="23"/>
      <c r="E91" s="23"/>
      <c r="F91" s="23"/>
      <c r="G91" s="23"/>
      <c r="H91" s="23"/>
      <c r="I91" s="23"/>
      <c r="J91" s="23"/>
      <c r="K91" s="23"/>
      <c r="L91" s="23"/>
      <c r="M91" s="23"/>
      <c r="N91" s="23"/>
      <c r="O91" s="23"/>
      <c r="P91" s="23"/>
      <c r="Q91" s="23"/>
      <c r="R91" s="23"/>
      <c r="S91" s="23"/>
      <c r="T91" s="23"/>
      <c r="U91" s="23"/>
    </row>
    <row r="92" spans="1:21" x14ac:dyDescent="0.35">
      <c r="A92" t="s">
        <v>31</v>
      </c>
      <c r="B92" t="s">
        <v>23</v>
      </c>
      <c r="C92" t="s">
        <v>32</v>
      </c>
      <c r="E92" t="s">
        <v>33</v>
      </c>
    </row>
    <row r="93" spans="1:21" ht="29" x14ac:dyDescent="0.35">
      <c r="A93" s="11" t="s">
        <v>34</v>
      </c>
      <c r="B93" s="11" t="s">
        <v>35</v>
      </c>
      <c r="C93" s="11" t="s">
        <v>36</v>
      </c>
      <c r="D93" s="11" t="s">
        <v>37</v>
      </c>
      <c r="E93" s="11" t="s">
        <v>38</v>
      </c>
      <c r="F93" s="11" t="s">
        <v>39</v>
      </c>
      <c r="G93" s="11" t="s">
        <v>40</v>
      </c>
      <c r="H93" s="11" t="s">
        <v>41</v>
      </c>
      <c r="I93" s="11" t="s">
        <v>42</v>
      </c>
      <c r="J93" s="11" t="s">
        <v>43</v>
      </c>
      <c r="K93" s="11" t="s">
        <v>44</v>
      </c>
      <c r="L93" s="11" t="s">
        <v>45</v>
      </c>
      <c r="M93" s="11" t="s">
        <v>46</v>
      </c>
      <c r="N93" s="11" t="s">
        <v>47</v>
      </c>
      <c r="O93" s="11" t="s">
        <v>48</v>
      </c>
      <c r="P93" s="11" t="s">
        <v>4</v>
      </c>
      <c r="Q93" s="11" t="s">
        <v>49</v>
      </c>
      <c r="R93" s="11" t="s">
        <v>50</v>
      </c>
      <c r="S93" s="11" t="s">
        <v>51</v>
      </c>
      <c r="T93" s="11" t="s">
        <v>52</v>
      </c>
      <c r="U93" s="11" t="s">
        <v>10</v>
      </c>
    </row>
    <row r="94" spans="1:21" ht="29" x14ac:dyDescent="0.35">
      <c r="A94" s="14">
        <v>1</v>
      </c>
      <c r="B94" s="14" t="s">
        <v>842</v>
      </c>
      <c r="C94" s="14" t="s">
        <v>843</v>
      </c>
      <c r="D94" s="14" t="s">
        <v>844</v>
      </c>
      <c r="E94" s="14" t="s">
        <v>69</v>
      </c>
      <c r="F94" s="14" t="s">
        <v>284</v>
      </c>
      <c r="G94" s="14" t="s">
        <v>691</v>
      </c>
      <c r="H94" s="14" t="s">
        <v>76</v>
      </c>
      <c r="I94" s="15"/>
      <c r="J94" s="15"/>
      <c r="K94" s="15"/>
      <c r="L94" s="15"/>
      <c r="M94" s="15"/>
      <c r="N94" s="15"/>
      <c r="O94" s="15"/>
      <c r="P94" s="15"/>
      <c r="Q94" s="15"/>
      <c r="R94" s="15"/>
      <c r="S94" s="15"/>
      <c r="T94" s="15"/>
      <c r="U94" s="14" t="str">
        <f t="shared" ref="U94:U102" si="7">IF(I94="","",IF(I94="NA","Grey",IF(I94=2,"Green",IF(I94=1,"Amber","Red"))))</f>
        <v/>
      </c>
    </row>
    <row r="95" spans="1:21" ht="29" x14ac:dyDescent="0.35">
      <c r="A95" s="14">
        <v>2</v>
      </c>
      <c r="B95" s="14" t="s">
        <v>845</v>
      </c>
      <c r="C95" s="14" t="s">
        <v>846</v>
      </c>
      <c r="D95" s="14" t="s">
        <v>847</v>
      </c>
      <c r="E95" s="14" t="s">
        <v>69</v>
      </c>
      <c r="F95" s="14" t="s">
        <v>284</v>
      </c>
      <c r="G95" s="14" t="s">
        <v>691</v>
      </c>
      <c r="H95" s="14" t="s">
        <v>76</v>
      </c>
      <c r="I95" s="15"/>
      <c r="J95" s="15"/>
      <c r="K95" s="15"/>
      <c r="L95" s="15"/>
      <c r="M95" s="15"/>
      <c r="N95" s="15"/>
      <c r="O95" s="15"/>
      <c r="P95" s="15"/>
      <c r="Q95" s="15"/>
      <c r="R95" s="15"/>
      <c r="S95" s="15"/>
      <c r="T95" s="15"/>
      <c r="U95" s="14" t="str">
        <f t="shared" si="7"/>
        <v/>
      </c>
    </row>
    <row r="96" spans="1:21" ht="29" x14ac:dyDescent="0.35">
      <c r="A96" s="14">
        <v>3</v>
      </c>
      <c r="B96" s="14" t="s">
        <v>848</v>
      </c>
      <c r="C96" s="14" t="s">
        <v>849</v>
      </c>
      <c r="D96" s="14" t="s">
        <v>850</v>
      </c>
      <c r="E96" s="14" t="s">
        <v>69</v>
      </c>
      <c r="F96" s="14" t="s">
        <v>284</v>
      </c>
      <c r="G96" s="14" t="s">
        <v>691</v>
      </c>
      <c r="H96" s="14" t="s">
        <v>76</v>
      </c>
      <c r="I96" s="15"/>
      <c r="J96" s="15"/>
      <c r="K96" s="15"/>
      <c r="L96" s="15"/>
      <c r="M96" s="15"/>
      <c r="N96" s="15"/>
      <c r="O96" s="15"/>
      <c r="P96" s="15"/>
      <c r="Q96" s="15"/>
      <c r="R96" s="15"/>
      <c r="S96" s="15"/>
      <c r="T96" s="15"/>
      <c r="U96" s="14" t="str">
        <f t="shared" si="7"/>
        <v/>
      </c>
    </row>
    <row r="97" spans="1:21" ht="29" x14ac:dyDescent="0.35">
      <c r="A97" s="14">
        <v>4</v>
      </c>
      <c r="B97" s="14" t="s">
        <v>851</v>
      </c>
      <c r="C97" s="14" t="s">
        <v>852</v>
      </c>
      <c r="D97" s="14" t="s">
        <v>853</v>
      </c>
      <c r="E97" s="14" t="s">
        <v>690</v>
      </c>
      <c r="F97" s="14" t="s">
        <v>167</v>
      </c>
      <c r="G97" s="14" t="s">
        <v>691</v>
      </c>
      <c r="H97" s="14" t="s">
        <v>59</v>
      </c>
      <c r="I97" s="15"/>
      <c r="J97" s="15"/>
      <c r="K97" s="15"/>
      <c r="L97" s="15"/>
      <c r="M97" s="15"/>
      <c r="N97" s="15"/>
      <c r="O97" s="15"/>
      <c r="P97" s="15"/>
      <c r="Q97" s="15"/>
      <c r="R97" s="15"/>
      <c r="S97" s="15"/>
      <c r="T97" s="15"/>
      <c r="U97" s="14" t="str">
        <f t="shared" si="7"/>
        <v/>
      </c>
    </row>
    <row r="98" spans="1:21" ht="29" x14ac:dyDescent="0.35">
      <c r="A98" s="14">
        <v>5</v>
      </c>
      <c r="B98" s="14" t="s">
        <v>854</v>
      </c>
      <c r="C98" s="14" t="s">
        <v>855</v>
      </c>
      <c r="D98" s="14" t="s">
        <v>856</v>
      </c>
      <c r="E98" s="14" t="s">
        <v>69</v>
      </c>
      <c r="F98" s="14" t="s">
        <v>167</v>
      </c>
      <c r="G98" s="14" t="s">
        <v>691</v>
      </c>
      <c r="H98" s="14" t="s">
        <v>76</v>
      </c>
      <c r="I98" s="15"/>
      <c r="J98" s="15"/>
      <c r="K98" s="15"/>
      <c r="L98" s="15"/>
      <c r="M98" s="15"/>
      <c r="N98" s="15"/>
      <c r="O98" s="15"/>
      <c r="P98" s="15"/>
      <c r="Q98" s="15"/>
      <c r="R98" s="15"/>
      <c r="S98" s="15"/>
      <c r="T98" s="15"/>
      <c r="U98" s="14" t="str">
        <f t="shared" si="7"/>
        <v/>
      </c>
    </row>
    <row r="99" spans="1:21" ht="29" x14ac:dyDescent="0.35">
      <c r="A99" s="14">
        <v>6</v>
      </c>
      <c r="B99" s="14" t="s">
        <v>698</v>
      </c>
      <c r="C99" s="14" t="s">
        <v>857</v>
      </c>
      <c r="D99" s="14" t="s">
        <v>842</v>
      </c>
      <c r="E99" s="14" t="s">
        <v>69</v>
      </c>
      <c r="F99" s="14" t="s">
        <v>284</v>
      </c>
      <c r="G99" s="14" t="s">
        <v>691</v>
      </c>
      <c r="H99" s="14" t="s">
        <v>76</v>
      </c>
      <c r="I99" s="15"/>
      <c r="J99" s="15"/>
      <c r="K99" s="15"/>
      <c r="L99" s="15"/>
      <c r="M99" s="15"/>
      <c r="N99" s="15"/>
      <c r="O99" s="15"/>
      <c r="P99" s="15"/>
      <c r="Q99" s="15"/>
      <c r="R99" s="15"/>
      <c r="S99" s="15"/>
      <c r="T99" s="15"/>
      <c r="U99" s="14" t="str">
        <f t="shared" si="7"/>
        <v/>
      </c>
    </row>
    <row r="100" spans="1:21" ht="29" x14ac:dyDescent="0.35">
      <c r="A100" s="14">
        <v>7</v>
      </c>
      <c r="B100" s="14" t="s">
        <v>858</v>
      </c>
      <c r="C100" s="14" t="s">
        <v>859</v>
      </c>
      <c r="D100" s="14" t="s">
        <v>860</v>
      </c>
      <c r="E100" s="14" t="s">
        <v>690</v>
      </c>
      <c r="F100" s="14" t="s">
        <v>167</v>
      </c>
      <c r="G100" s="14" t="s">
        <v>691</v>
      </c>
      <c r="H100" s="14" t="s">
        <v>59</v>
      </c>
      <c r="I100" s="15"/>
      <c r="J100" s="15"/>
      <c r="K100" s="15"/>
      <c r="L100" s="15"/>
      <c r="M100" s="15"/>
      <c r="N100" s="15"/>
      <c r="O100" s="15"/>
      <c r="P100" s="15"/>
      <c r="Q100" s="15"/>
      <c r="R100" s="15"/>
      <c r="S100" s="15"/>
      <c r="T100" s="15"/>
      <c r="U100" s="14" t="str">
        <f t="shared" si="7"/>
        <v/>
      </c>
    </row>
    <row r="101" spans="1:21" ht="29" x14ac:dyDescent="0.35">
      <c r="A101" s="14">
        <v>8</v>
      </c>
      <c r="B101" s="14" t="s">
        <v>861</v>
      </c>
      <c r="C101" s="14" t="s">
        <v>862</v>
      </c>
      <c r="D101" s="14" t="s">
        <v>863</v>
      </c>
      <c r="E101" s="14" t="s">
        <v>690</v>
      </c>
      <c r="F101" s="14" t="s">
        <v>167</v>
      </c>
      <c r="G101" s="14" t="s">
        <v>691</v>
      </c>
      <c r="H101" s="14" t="s">
        <v>59</v>
      </c>
      <c r="I101" s="15"/>
      <c r="J101" s="15"/>
      <c r="K101" s="15"/>
      <c r="L101" s="15"/>
      <c r="M101" s="15"/>
      <c r="N101" s="15"/>
      <c r="O101" s="15"/>
      <c r="P101" s="15"/>
      <c r="Q101" s="15"/>
      <c r="R101" s="15"/>
      <c r="S101" s="15"/>
      <c r="T101" s="15"/>
      <c r="U101" s="14" t="str">
        <f t="shared" si="7"/>
        <v/>
      </c>
    </row>
    <row r="102" spans="1:21" ht="29" x14ac:dyDescent="0.35">
      <c r="A102" s="14">
        <v>9</v>
      </c>
      <c r="B102" s="14" t="s">
        <v>826</v>
      </c>
      <c r="C102" s="14" t="s">
        <v>864</v>
      </c>
      <c r="D102" s="14" t="s">
        <v>462</v>
      </c>
      <c r="E102" s="14" t="s">
        <v>690</v>
      </c>
      <c r="F102" s="14" t="s">
        <v>167</v>
      </c>
      <c r="G102" s="14" t="s">
        <v>691</v>
      </c>
      <c r="H102" s="14" t="s">
        <v>59</v>
      </c>
      <c r="I102" s="15"/>
      <c r="J102" s="15"/>
      <c r="K102" s="15"/>
      <c r="L102" s="15"/>
      <c r="M102" s="15"/>
      <c r="N102" s="15"/>
      <c r="O102" s="15"/>
      <c r="P102" s="15"/>
      <c r="Q102" s="15"/>
      <c r="R102" s="15"/>
      <c r="S102" s="15"/>
      <c r="T102" s="15"/>
      <c r="U102" s="14" t="str">
        <f t="shared" si="7"/>
        <v/>
      </c>
    </row>
    <row r="105" spans="1:21" ht="22" customHeight="1" x14ac:dyDescent="0.35">
      <c r="A105" s="26" t="s">
        <v>870</v>
      </c>
      <c r="B105" s="23"/>
      <c r="C105" s="23"/>
      <c r="D105" s="23"/>
      <c r="E105" s="23"/>
      <c r="F105" s="23"/>
      <c r="G105" s="23"/>
      <c r="H105" s="23"/>
      <c r="I105" s="23"/>
      <c r="J105" s="23"/>
      <c r="K105" s="23"/>
      <c r="L105" s="23"/>
      <c r="M105" s="23"/>
      <c r="N105" s="23"/>
      <c r="O105" s="23"/>
      <c r="P105" s="23"/>
      <c r="Q105" s="23"/>
      <c r="R105" s="23"/>
      <c r="S105" s="23"/>
      <c r="T105" s="23"/>
      <c r="U105" s="23"/>
    </row>
    <row r="106" spans="1:21" x14ac:dyDescent="0.35">
      <c r="A106" t="s">
        <v>31</v>
      </c>
      <c r="B106" t="s">
        <v>24</v>
      </c>
      <c r="C106" t="s">
        <v>32</v>
      </c>
      <c r="E106" t="s">
        <v>33</v>
      </c>
    </row>
    <row r="107" spans="1:21" ht="29" x14ac:dyDescent="0.35">
      <c r="A107" s="11" t="s">
        <v>34</v>
      </c>
      <c r="B107" s="11" t="s">
        <v>35</v>
      </c>
      <c r="C107" s="11" t="s">
        <v>36</v>
      </c>
      <c r="D107" s="11" t="s">
        <v>37</v>
      </c>
      <c r="E107" s="11" t="s">
        <v>38</v>
      </c>
      <c r="F107" s="11" t="s">
        <v>39</v>
      </c>
      <c r="G107" s="11" t="s">
        <v>40</v>
      </c>
      <c r="H107" s="11" t="s">
        <v>41</v>
      </c>
      <c r="I107" s="11" t="s">
        <v>42</v>
      </c>
      <c r="J107" s="11" t="s">
        <v>43</v>
      </c>
      <c r="K107" s="11" t="s">
        <v>44</v>
      </c>
      <c r="L107" s="11" t="s">
        <v>45</v>
      </c>
      <c r="M107" s="11" t="s">
        <v>46</v>
      </c>
      <c r="N107" s="11" t="s">
        <v>47</v>
      </c>
      <c r="O107" s="11" t="s">
        <v>48</v>
      </c>
      <c r="P107" s="11" t="s">
        <v>4</v>
      </c>
      <c r="Q107" s="11" t="s">
        <v>49</v>
      </c>
      <c r="R107" s="11" t="s">
        <v>50</v>
      </c>
      <c r="S107" s="11" t="s">
        <v>51</v>
      </c>
      <c r="T107" s="11" t="s">
        <v>52</v>
      </c>
      <c r="U107" s="11" t="s">
        <v>10</v>
      </c>
    </row>
    <row r="108" spans="1:21" ht="29" x14ac:dyDescent="0.35">
      <c r="A108" s="14">
        <v>1</v>
      </c>
      <c r="B108" s="14" t="s">
        <v>842</v>
      </c>
      <c r="C108" s="14" t="s">
        <v>843</v>
      </c>
      <c r="D108" s="14" t="s">
        <v>844</v>
      </c>
      <c r="E108" s="14" t="s">
        <v>69</v>
      </c>
      <c r="F108" s="14" t="s">
        <v>284</v>
      </c>
      <c r="G108" s="14" t="s">
        <v>691</v>
      </c>
      <c r="H108" s="14" t="s">
        <v>76</v>
      </c>
      <c r="I108" s="15"/>
      <c r="J108" s="15"/>
      <c r="K108" s="15"/>
      <c r="L108" s="15"/>
      <c r="M108" s="15"/>
      <c r="N108" s="15"/>
      <c r="O108" s="15"/>
      <c r="P108" s="15"/>
      <c r="Q108" s="15"/>
      <c r="R108" s="15"/>
      <c r="S108" s="15"/>
      <c r="T108" s="15"/>
      <c r="U108" s="14" t="str">
        <f t="shared" ref="U108:U116" si="8">IF(I108="","",IF(I108="NA","Grey",IF(I108=2,"Green",IF(I108=1,"Amber","Red"))))</f>
        <v/>
      </c>
    </row>
    <row r="109" spans="1:21" ht="29" x14ac:dyDescent="0.35">
      <c r="A109" s="14">
        <v>2</v>
      </c>
      <c r="B109" s="14" t="s">
        <v>845</v>
      </c>
      <c r="C109" s="14" t="s">
        <v>846</v>
      </c>
      <c r="D109" s="14" t="s">
        <v>847</v>
      </c>
      <c r="E109" s="14" t="s">
        <v>69</v>
      </c>
      <c r="F109" s="14" t="s">
        <v>284</v>
      </c>
      <c r="G109" s="14" t="s">
        <v>691</v>
      </c>
      <c r="H109" s="14" t="s">
        <v>76</v>
      </c>
      <c r="I109" s="15"/>
      <c r="J109" s="15"/>
      <c r="K109" s="15"/>
      <c r="L109" s="15"/>
      <c r="M109" s="15"/>
      <c r="N109" s="15"/>
      <c r="O109" s="15"/>
      <c r="P109" s="15"/>
      <c r="Q109" s="15"/>
      <c r="R109" s="15"/>
      <c r="S109" s="15"/>
      <c r="T109" s="15"/>
      <c r="U109" s="14" t="str">
        <f t="shared" si="8"/>
        <v/>
      </c>
    </row>
    <row r="110" spans="1:21" ht="29" x14ac:dyDescent="0.35">
      <c r="A110" s="14">
        <v>3</v>
      </c>
      <c r="B110" s="14" t="s">
        <v>848</v>
      </c>
      <c r="C110" s="14" t="s">
        <v>849</v>
      </c>
      <c r="D110" s="14" t="s">
        <v>850</v>
      </c>
      <c r="E110" s="14" t="s">
        <v>69</v>
      </c>
      <c r="F110" s="14" t="s">
        <v>284</v>
      </c>
      <c r="G110" s="14" t="s">
        <v>691</v>
      </c>
      <c r="H110" s="14" t="s">
        <v>76</v>
      </c>
      <c r="I110" s="15"/>
      <c r="J110" s="15"/>
      <c r="K110" s="15"/>
      <c r="L110" s="15"/>
      <c r="M110" s="15"/>
      <c r="N110" s="15"/>
      <c r="O110" s="15"/>
      <c r="P110" s="15"/>
      <c r="Q110" s="15"/>
      <c r="R110" s="15"/>
      <c r="S110" s="15"/>
      <c r="T110" s="15"/>
      <c r="U110" s="14" t="str">
        <f t="shared" si="8"/>
        <v/>
      </c>
    </row>
    <row r="111" spans="1:21" ht="29" x14ac:dyDescent="0.35">
      <c r="A111" s="14">
        <v>4</v>
      </c>
      <c r="B111" s="14" t="s">
        <v>851</v>
      </c>
      <c r="C111" s="14" t="s">
        <v>852</v>
      </c>
      <c r="D111" s="14" t="s">
        <v>853</v>
      </c>
      <c r="E111" s="14" t="s">
        <v>690</v>
      </c>
      <c r="F111" s="14" t="s">
        <v>167</v>
      </c>
      <c r="G111" s="14" t="s">
        <v>691</v>
      </c>
      <c r="H111" s="14" t="s">
        <v>59</v>
      </c>
      <c r="I111" s="15"/>
      <c r="J111" s="15"/>
      <c r="K111" s="15"/>
      <c r="L111" s="15"/>
      <c r="M111" s="15"/>
      <c r="N111" s="15"/>
      <c r="O111" s="15"/>
      <c r="P111" s="15"/>
      <c r="Q111" s="15"/>
      <c r="R111" s="15"/>
      <c r="S111" s="15"/>
      <c r="T111" s="15"/>
      <c r="U111" s="14" t="str">
        <f t="shared" si="8"/>
        <v/>
      </c>
    </row>
    <row r="112" spans="1:21" ht="29" x14ac:dyDescent="0.35">
      <c r="A112" s="14">
        <v>5</v>
      </c>
      <c r="B112" s="14" t="s">
        <v>854</v>
      </c>
      <c r="C112" s="14" t="s">
        <v>855</v>
      </c>
      <c r="D112" s="14" t="s">
        <v>856</v>
      </c>
      <c r="E112" s="14" t="s">
        <v>69</v>
      </c>
      <c r="F112" s="14" t="s">
        <v>167</v>
      </c>
      <c r="G112" s="14" t="s">
        <v>691</v>
      </c>
      <c r="H112" s="14" t="s">
        <v>76</v>
      </c>
      <c r="I112" s="15"/>
      <c r="J112" s="15"/>
      <c r="K112" s="15"/>
      <c r="L112" s="15"/>
      <c r="M112" s="15"/>
      <c r="N112" s="15"/>
      <c r="O112" s="15"/>
      <c r="P112" s="15"/>
      <c r="Q112" s="15"/>
      <c r="R112" s="15"/>
      <c r="S112" s="15"/>
      <c r="T112" s="15"/>
      <c r="U112" s="14" t="str">
        <f t="shared" si="8"/>
        <v/>
      </c>
    </row>
    <row r="113" spans="1:21" ht="29" x14ac:dyDescent="0.35">
      <c r="A113" s="14">
        <v>6</v>
      </c>
      <c r="B113" s="14" t="s">
        <v>698</v>
      </c>
      <c r="C113" s="14" t="s">
        <v>857</v>
      </c>
      <c r="D113" s="14" t="s">
        <v>842</v>
      </c>
      <c r="E113" s="14" t="s">
        <v>69</v>
      </c>
      <c r="F113" s="14" t="s">
        <v>284</v>
      </c>
      <c r="G113" s="14" t="s">
        <v>691</v>
      </c>
      <c r="H113" s="14" t="s">
        <v>76</v>
      </c>
      <c r="I113" s="15"/>
      <c r="J113" s="15"/>
      <c r="K113" s="15"/>
      <c r="L113" s="15"/>
      <c r="M113" s="15"/>
      <c r="N113" s="15"/>
      <c r="O113" s="15"/>
      <c r="P113" s="15"/>
      <c r="Q113" s="15"/>
      <c r="R113" s="15"/>
      <c r="S113" s="15"/>
      <c r="T113" s="15"/>
      <c r="U113" s="14" t="str">
        <f t="shared" si="8"/>
        <v/>
      </c>
    </row>
    <row r="114" spans="1:21" ht="29" x14ac:dyDescent="0.35">
      <c r="A114" s="14">
        <v>7</v>
      </c>
      <c r="B114" s="14" t="s">
        <v>858</v>
      </c>
      <c r="C114" s="14" t="s">
        <v>859</v>
      </c>
      <c r="D114" s="14" t="s">
        <v>860</v>
      </c>
      <c r="E114" s="14" t="s">
        <v>690</v>
      </c>
      <c r="F114" s="14" t="s">
        <v>167</v>
      </c>
      <c r="G114" s="14" t="s">
        <v>691</v>
      </c>
      <c r="H114" s="14" t="s">
        <v>59</v>
      </c>
      <c r="I114" s="15"/>
      <c r="J114" s="15"/>
      <c r="K114" s="15"/>
      <c r="L114" s="15"/>
      <c r="M114" s="15"/>
      <c r="N114" s="15"/>
      <c r="O114" s="15"/>
      <c r="P114" s="15"/>
      <c r="Q114" s="15"/>
      <c r="R114" s="15"/>
      <c r="S114" s="15"/>
      <c r="T114" s="15"/>
      <c r="U114" s="14" t="str">
        <f t="shared" si="8"/>
        <v/>
      </c>
    </row>
    <row r="115" spans="1:21" ht="29" x14ac:dyDescent="0.35">
      <c r="A115" s="14">
        <v>8</v>
      </c>
      <c r="B115" s="14" t="s">
        <v>861</v>
      </c>
      <c r="C115" s="14" t="s">
        <v>862</v>
      </c>
      <c r="D115" s="14" t="s">
        <v>863</v>
      </c>
      <c r="E115" s="14" t="s">
        <v>690</v>
      </c>
      <c r="F115" s="14" t="s">
        <v>167</v>
      </c>
      <c r="G115" s="14" t="s">
        <v>691</v>
      </c>
      <c r="H115" s="14" t="s">
        <v>59</v>
      </c>
      <c r="I115" s="15"/>
      <c r="J115" s="15"/>
      <c r="K115" s="15"/>
      <c r="L115" s="15"/>
      <c r="M115" s="15"/>
      <c r="N115" s="15"/>
      <c r="O115" s="15"/>
      <c r="P115" s="15"/>
      <c r="Q115" s="15"/>
      <c r="R115" s="15"/>
      <c r="S115" s="15"/>
      <c r="T115" s="15"/>
      <c r="U115" s="14" t="str">
        <f t="shared" si="8"/>
        <v/>
      </c>
    </row>
    <row r="116" spans="1:21" ht="29" x14ac:dyDescent="0.35">
      <c r="A116" s="14">
        <v>9</v>
      </c>
      <c r="B116" s="14" t="s">
        <v>826</v>
      </c>
      <c r="C116" s="14" t="s">
        <v>864</v>
      </c>
      <c r="D116" s="14" t="s">
        <v>462</v>
      </c>
      <c r="E116" s="14" t="s">
        <v>690</v>
      </c>
      <c r="F116" s="14" t="s">
        <v>167</v>
      </c>
      <c r="G116" s="14" t="s">
        <v>691</v>
      </c>
      <c r="H116" s="14" t="s">
        <v>59</v>
      </c>
      <c r="I116" s="15"/>
      <c r="J116" s="15"/>
      <c r="K116" s="15"/>
      <c r="L116" s="15"/>
      <c r="M116" s="15"/>
      <c r="N116" s="15"/>
      <c r="O116" s="15"/>
      <c r="P116" s="15"/>
      <c r="Q116" s="15"/>
      <c r="R116" s="15"/>
      <c r="S116" s="15"/>
      <c r="T116" s="15"/>
      <c r="U116" s="14" t="str">
        <f t="shared" si="8"/>
        <v/>
      </c>
    </row>
    <row r="119" spans="1:21" ht="22" customHeight="1" x14ac:dyDescent="0.35">
      <c r="A119" s="26" t="s">
        <v>871</v>
      </c>
      <c r="B119" s="23"/>
      <c r="C119" s="23"/>
      <c r="D119" s="23"/>
      <c r="E119" s="23"/>
      <c r="F119" s="23"/>
      <c r="G119" s="23"/>
      <c r="H119" s="23"/>
      <c r="I119" s="23"/>
      <c r="J119" s="23"/>
      <c r="K119" s="23"/>
      <c r="L119" s="23"/>
      <c r="M119" s="23"/>
      <c r="N119" s="23"/>
      <c r="O119" s="23"/>
      <c r="P119" s="23"/>
      <c r="Q119" s="23"/>
      <c r="R119" s="23"/>
      <c r="S119" s="23"/>
      <c r="T119" s="23"/>
      <c r="U119" s="23"/>
    </row>
    <row r="120" spans="1:21" x14ac:dyDescent="0.35">
      <c r="A120" t="s">
        <v>31</v>
      </c>
      <c r="B120" t="s">
        <v>25</v>
      </c>
      <c r="C120" t="s">
        <v>32</v>
      </c>
      <c r="E120" t="s">
        <v>33</v>
      </c>
    </row>
    <row r="121" spans="1:21" ht="29" x14ac:dyDescent="0.35">
      <c r="A121" s="11" t="s">
        <v>34</v>
      </c>
      <c r="B121" s="11" t="s">
        <v>35</v>
      </c>
      <c r="C121" s="11" t="s">
        <v>36</v>
      </c>
      <c r="D121" s="11" t="s">
        <v>37</v>
      </c>
      <c r="E121" s="11" t="s">
        <v>38</v>
      </c>
      <c r="F121" s="11" t="s">
        <v>39</v>
      </c>
      <c r="G121" s="11" t="s">
        <v>40</v>
      </c>
      <c r="H121" s="11" t="s">
        <v>41</v>
      </c>
      <c r="I121" s="11" t="s">
        <v>42</v>
      </c>
      <c r="J121" s="11" t="s">
        <v>43</v>
      </c>
      <c r="K121" s="11" t="s">
        <v>44</v>
      </c>
      <c r="L121" s="11" t="s">
        <v>45</v>
      </c>
      <c r="M121" s="11" t="s">
        <v>46</v>
      </c>
      <c r="N121" s="11" t="s">
        <v>47</v>
      </c>
      <c r="O121" s="11" t="s">
        <v>48</v>
      </c>
      <c r="P121" s="11" t="s">
        <v>4</v>
      </c>
      <c r="Q121" s="11" t="s">
        <v>49</v>
      </c>
      <c r="R121" s="11" t="s">
        <v>50</v>
      </c>
      <c r="S121" s="11" t="s">
        <v>51</v>
      </c>
      <c r="T121" s="11" t="s">
        <v>52</v>
      </c>
      <c r="U121" s="11" t="s">
        <v>10</v>
      </c>
    </row>
    <row r="122" spans="1:21" ht="29" x14ac:dyDescent="0.35">
      <c r="A122" s="14">
        <v>1</v>
      </c>
      <c r="B122" s="14" t="s">
        <v>842</v>
      </c>
      <c r="C122" s="14" t="s">
        <v>843</v>
      </c>
      <c r="D122" s="14" t="s">
        <v>844</v>
      </c>
      <c r="E122" s="14" t="s">
        <v>69</v>
      </c>
      <c r="F122" s="14" t="s">
        <v>284</v>
      </c>
      <c r="G122" s="14" t="s">
        <v>691</v>
      </c>
      <c r="H122" s="14" t="s">
        <v>76</v>
      </c>
      <c r="I122" s="15"/>
      <c r="J122" s="15"/>
      <c r="K122" s="15"/>
      <c r="L122" s="15"/>
      <c r="M122" s="15"/>
      <c r="N122" s="15"/>
      <c r="O122" s="15"/>
      <c r="P122" s="15"/>
      <c r="Q122" s="15"/>
      <c r="R122" s="15"/>
      <c r="S122" s="15"/>
      <c r="T122" s="15"/>
      <c r="U122" s="14" t="str">
        <f t="shared" ref="U122:U130" si="9">IF(I122="","",IF(I122="NA","Grey",IF(I122=2,"Green",IF(I122=1,"Amber","Red"))))</f>
        <v/>
      </c>
    </row>
    <row r="123" spans="1:21" ht="29" x14ac:dyDescent="0.35">
      <c r="A123" s="14">
        <v>2</v>
      </c>
      <c r="B123" s="14" t="s">
        <v>845</v>
      </c>
      <c r="C123" s="14" t="s">
        <v>846</v>
      </c>
      <c r="D123" s="14" t="s">
        <v>847</v>
      </c>
      <c r="E123" s="14" t="s">
        <v>69</v>
      </c>
      <c r="F123" s="14" t="s">
        <v>284</v>
      </c>
      <c r="G123" s="14" t="s">
        <v>691</v>
      </c>
      <c r="H123" s="14" t="s">
        <v>76</v>
      </c>
      <c r="I123" s="15"/>
      <c r="J123" s="15"/>
      <c r="K123" s="15"/>
      <c r="L123" s="15"/>
      <c r="M123" s="15"/>
      <c r="N123" s="15"/>
      <c r="O123" s="15"/>
      <c r="P123" s="15"/>
      <c r="Q123" s="15"/>
      <c r="R123" s="15"/>
      <c r="S123" s="15"/>
      <c r="T123" s="15"/>
      <c r="U123" s="14" t="str">
        <f t="shared" si="9"/>
        <v/>
      </c>
    </row>
    <row r="124" spans="1:21" ht="29" x14ac:dyDescent="0.35">
      <c r="A124" s="14">
        <v>3</v>
      </c>
      <c r="B124" s="14" t="s">
        <v>848</v>
      </c>
      <c r="C124" s="14" t="s">
        <v>849</v>
      </c>
      <c r="D124" s="14" t="s">
        <v>850</v>
      </c>
      <c r="E124" s="14" t="s">
        <v>69</v>
      </c>
      <c r="F124" s="14" t="s">
        <v>284</v>
      </c>
      <c r="G124" s="14" t="s">
        <v>691</v>
      </c>
      <c r="H124" s="14" t="s">
        <v>76</v>
      </c>
      <c r="I124" s="15"/>
      <c r="J124" s="15"/>
      <c r="K124" s="15"/>
      <c r="L124" s="15"/>
      <c r="M124" s="15"/>
      <c r="N124" s="15"/>
      <c r="O124" s="15"/>
      <c r="P124" s="15"/>
      <c r="Q124" s="15"/>
      <c r="R124" s="15"/>
      <c r="S124" s="15"/>
      <c r="T124" s="15"/>
      <c r="U124" s="14" t="str">
        <f t="shared" si="9"/>
        <v/>
      </c>
    </row>
    <row r="125" spans="1:21" ht="29" x14ac:dyDescent="0.35">
      <c r="A125" s="14">
        <v>4</v>
      </c>
      <c r="B125" s="14" t="s">
        <v>851</v>
      </c>
      <c r="C125" s="14" t="s">
        <v>852</v>
      </c>
      <c r="D125" s="14" t="s">
        <v>853</v>
      </c>
      <c r="E125" s="14" t="s">
        <v>690</v>
      </c>
      <c r="F125" s="14" t="s">
        <v>167</v>
      </c>
      <c r="G125" s="14" t="s">
        <v>691</v>
      </c>
      <c r="H125" s="14" t="s">
        <v>59</v>
      </c>
      <c r="I125" s="15"/>
      <c r="J125" s="15"/>
      <c r="K125" s="15"/>
      <c r="L125" s="15"/>
      <c r="M125" s="15"/>
      <c r="N125" s="15"/>
      <c r="O125" s="15"/>
      <c r="P125" s="15"/>
      <c r="Q125" s="15"/>
      <c r="R125" s="15"/>
      <c r="S125" s="15"/>
      <c r="T125" s="15"/>
      <c r="U125" s="14" t="str">
        <f t="shared" si="9"/>
        <v/>
      </c>
    </row>
    <row r="126" spans="1:21" ht="29" x14ac:dyDescent="0.35">
      <c r="A126" s="14">
        <v>5</v>
      </c>
      <c r="B126" s="14" t="s">
        <v>854</v>
      </c>
      <c r="C126" s="14" t="s">
        <v>855</v>
      </c>
      <c r="D126" s="14" t="s">
        <v>856</v>
      </c>
      <c r="E126" s="14" t="s">
        <v>69</v>
      </c>
      <c r="F126" s="14" t="s">
        <v>167</v>
      </c>
      <c r="G126" s="14" t="s">
        <v>691</v>
      </c>
      <c r="H126" s="14" t="s">
        <v>76</v>
      </c>
      <c r="I126" s="15"/>
      <c r="J126" s="15"/>
      <c r="K126" s="15"/>
      <c r="L126" s="15"/>
      <c r="M126" s="15"/>
      <c r="N126" s="15"/>
      <c r="O126" s="15"/>
      <c r="P126" s="15"/>
      <c r="Q126" s="15"/>
      <c r="R126" s="15"/>
      <c r="S126" s="15"/>
      <c r="T126" s="15"/>
      <c r="U126" s="14" t="str">
        <f t="shared" si="9"/>
        <v/>
      </c>
    </row>
    <row r="127" spans="1:21" ht="29" x14ac:dyDescent="0.35">
      <c r="A127" s="14">
        <v>6</v>
      </c>
      <c r="B127" s="14" t="s">
        <v>698</v>
      </c>
      <c r="C127" s="14" t="s">
        <v>857</v>
      </c>
      <c r="D127" s="14" t="s">
        <v>842</v>
      </c>
      <c r="E127" s="14" t="s">
        <v>69</v>
      </c>
      <c r="F127" s="14" t="s">
        <v>284</v>
      </c>
      <c r="G127" s="14" t="s">
        <v>691</v>
      </c>
      <c r="H127" s="14" t="s">
        <v>76</v>
      </c>
      <c r="I127" s="15"/>
      <c r="J127" s="15"/>
      <c r="K127" s="15"/>
      <c r="L127" s="15"/>
      <c r="M127" s="15"/>
      <c r="N127" s="15"/>
      <c r="O127" s="15"/>
      <c r="P127" s="15"/>
      <c r="Q127" s="15"/>
      <c r="R127" s="15"/>
      <c r="S127" s="15"/>
      <c r="T127" s="15"/>
      <c r="U127" s="14" t="str">
        <f t="shared" si="9"/>
        <v/>
      </c>
    </row>
    <row r="128" spans="1:21" ht="29" x14ac:dyDescent="0.35">
      <c r="A128" s="14">
        <v>7</v>
      </c>
      <c r="B128" s="14" t="s">
        <v>858</v>
      </c>
      <c r="C128" s="14" t="s">
        <v>859</v>
      </c>
      <c r="D128" s="14" t="s">
        <v>860</v>
      </c>
      <c r="E128" s="14" t="s">
        <v>690</v>
      </c>
      <c r="F128" s="14" t="s">
        <v>167</v>
      </c>
      <c r="G128" s="14" t="s">
        <v>691</v>
      </c>
      <c r="H128" s="14" t="s">
        <v>59</v>
      </c>
      <c r="I128" s="15"/>
      <c r="J128" s="15"/>
      <c r="K128" s="15"/>
      <c r="L128" s="15"/>
      <c r="M128" s="15"/>
      <c r="N128" s="15"/>
      <c r="O128" s="15"/>
      <c r="P128" s="15"/>
      <c r="Q128" s="15"/>
      <c r="R128" s="15"/>
      <c r="S128" s="15"/>
      <c r="T128" s="15"/>
      <c r="U128" s="14" t="str">
        <f t="shared" si="9"/>
        <v/>
      </c>
    </row>
    <row r="129" spans="1:21" ht="29" x14ac:dyDescent="0.35">
      <c r="A129" s="14">
        <v>8</v>
      </c>
      <c r="B129" s="14" t="s">
        <v>861</v>
      </c>
      <c r="C129" s="14" t="s">
        <v>862</v>
      </c>
      <c r="D129" s="14" t="s">
        <v>863</v>
      </c>
      <c r="E129" s="14" t="s">
        <v>690</v>
      </c>
      <c r="F129" s="14" t="s">
        <v>167</v>
      </c>
      <c r="G129" s="14" t="s">
        <v>691</v>
      </c>
      <c r="H129" s="14" t="s">
        <v>59</v>
      </c>
      <c r="I129" s="15"/>
      <c r="J129" s="15"/>
      <c r="K129" s="15"/>
      <c r="L129" s="15"/>
      <c r="M129" s="15"/>
      <c r="N129" s="15"/>
      <c r="O129" s="15"/>
      <c r="P129" s="15"/>
      <c r="Q129" s="15"/>
      <c r="R129" s="15"/>
      <c r="S129" s="15"/>
      <c r="T129" s="15"/>
      <c r="U129" s="14" t="str">
        <f t="shared" si="9"/>
        <v/>
      </c>
    </row>
    <row r="130" spans="1:21" ht="29" x14ac:dyDescent="0.35">
      <c r="A130" s="14">
        <v>9</v>
      </c>
      <c r="B130" s="14" t="s">
        <v>826</v>
      </c>
      <c r="C130" s="14" t="s">
        <v>864</v>
      </c>
      <c r="D130" s="14" t="s">
        <v>462</v>
      </c>
      <c r="E130" s="14" t="s">
        <v>690</v>
      </c>
      <c r="F130" s="14" t="s">
        <v>167</v>
      </c>
      <c r="G130" s="14" t="s">
        <v>691</v>
      </c>
      <c r="H130" s="14" t="s">
        <v>59</v>
      </c>
      <c r="I130" s="15"/>
      <c r="J130" s="15"/>
      <c r="K130" s="15"/>
      <c r="L130" s="15"/>
      <c r="M130" s="15"/>
      <c r="N130" s="15"/>
      <c r="O130" s="15"/>
      <c r="P130" s="15"/>
      <c r="Q130" s="15"/>
      <c r="R130" s="15"/>
      <c r="S130" s="15"/>
      <c r="T130" s="15"/>
      <c r="U130" s="14" t="str">
        <f t="shared" si="9"/>
        <v/>
      </c>
    </row>
    <row r="133" spans="1:21" ht="22" customHeight="1" x14ac:dyDescent="0.35">
      <c r="A133" s="26" t="s">
        <v>872</v>
      </c>
      <c r="B133" s="23"/>
      <c r="C133" s="23"/>
      <c r="D133" s="23"/>
      <c r="E133" s="23"/>
      <c r="F133" s="23"/>
      <c r="G133" s="23"/>
      <c r="H133" s="23"/>
      <c r="I133" s="23"/>
      <c r="J133" s="23"/>
      <c r="K133" s="23"/>
      <c r="L133" s="23"/>
      <c r="M133" s="23"/>
      <c r="N133" s="23"/>
      <c r="O133" s="23"/>
      <c r="P133" s="23"/>
      <c r="Q133" s="23"/>
      <c r="R133" s="23"/>
      <c r="S133" s="23"/>
      <c r="T133" s="23"/>
      <c r="U133" s="23"/>
    </row>
    <row r="134" spans="1:21" x14ac:dyDescent="0.35">
      <c r="A134" t="s">
        <v>31</v>
      </c>
      <c r="B134" t="s">
        <v>26</v>
      </c>
      <c r="C134" t="s">
        <v>32</v>
      </c>
      <c r="E134" t="s">
        <v>33</v>
      </c>
    </row>
    <row r="135" spans="1:21" ht="29" x14ac:dyDescent="0.35">
      <c r="A135" s="11" t="s">
        <v>34</v>
      </c>
      <c r="B135" s="11" t="s">
        <v>35</v>
      </c>
      <c r="C135" s="11" t="s">
        <v>36</v>
      </c>
      <c r="D135" s="11" t="s">
        <v>37</v>
      </c>
      <c r="E135" s="11" t="s">
        <v>38</v>
      </c>
      <c r="F135" s="11" t="s">
        <v>39</v>
      </c>
      <c r="G135" s="11" t="s">
        <v>40</v>
      </c>
      <c r="H135" s="11" t="s">
        <v>41</v>
      </c>
      <c r="I135" s="11" t="s">
        <v>42</v>
      </c>
      <c r="J135" s="11" t="s">
        <v>43</v>
      </c>
      <c r="K135" s="11" t="s">
        <v>44</v>
      </c>
      <c r="L135" s="11" t="s">
        <v>45</v>
      </c>
      <c r="M135" s="11" t="s">
        <v>46</v>
      </c>
      <c r="N135" s="11" t="s">
        <v>47</v>
      </c>
      <c r="O135" s="11" t="s">
        <v>48</v>
      </c>
      <c r="P135" s="11" t="s">
        <v>4</v>
      </c>
      <c r="Q135" s="11" t="s">
        <v>49</v>
      </c>
      <c r="R135" s="11" t="s">
        <v>50</v>
      </c>
      <c r="S135" s="11" t="s">
        <v>51</v>
      </c>
      <c r="T135" s="11" t="s">
        <v>52</v>
      </c>
      <c r="U135" s="11" t="s">
        <v>10</v>
      </c>
    </row>
    <row r="136" spans="1:21" ht="29" x14ac:dyDescent="0.35">
      <c r="A136" s="14">
        <v>1</v>
      </c>
      <c r="B136" s="14" t="s">
        <v>842</v>
      </c>
      <c r="C136" s="14" t="s">
        <v>843</v>
      </c>
      <c r="D136" s="14" t="s">
        <v>844</v>
      </c>
      <c r="E136" s="14" t="s">
        <v>69</v>
      </c>
      <c r="F136" s="14" t="s">
        <v>284</v>
      </c>
      <c r="G136" s="14" t="s">
        <v>691</v>
      </c>
      <c r="H136" s="14" t="s">
        <v>76</v>
      </c>
      <c r="I136" s="15"/>
      <c r="J136" s="15"/>
      <c r="K136" s="15"/>
      <c r="L136" s="15"/>
      <c r="M136" s="15"/>
      <c r="N136" s="15"/>
      <c r="O136" s="15"/>
      <c r="P136" s="15"/>
      <c r="Q136" s="15"/>
      <c r="R136" s="15"/>
      <c r="S136" s="15"/>
      <c r="T136" s="15"/>
      <c r="U136" s="14" t="str">
        <f t="shared" ref="U136:U144" si="10">IF(I136="","",IF(I136="NA","Grey",IF(I136=2,"Green",IF(I136=1,"Amber","Red"))))</f>
        <v/>
      </c>
    </row>
    <row r="137" spans="1:21" ht="29" x14ac:dyDescent="0.35">
      <c r="A137" s="14">
        <v>2</v>
      </c>
      <c r="B137" s="14" t="s">
        <v>845</v>
      </c>
      <c r="C137" s="14" t="s">
        <v>846</v>
      </c>
      <c r="D137" s="14" t="s">
        <v>847</v>
      </c>
      <c r="E137" s="14" t="s">
        <v>69</v>
      </c>
      <c r="F137" s="14" t="s">
        <v>284</v>
      </c>
      <c r="G137" s="14" t="s">
        <v>691</v>
      </c>
      <c r="H137" s="14" t="s">
        <v>76</v>
      </c>
      <c r="I137" s="15"/>
      <c r="J137" s="15"/>
      <c r="K137" s="15"/>
      <c r="L137" s="15"/>
      <c r="M137" s="15"/>
      <c r="N137" s="15"/>
      <c r="O137" s="15"/>
      <c r="P137" s="15"/>
      <c r="Q137" s="15"/>
      <c r="R137" s="15"/>
      <c r="S137" s="15"/>
      <c r="T137" s="15"/>
      <c r="U137" s="14" t="str">
        <f t="shared" si="10"/>
        <v/>
      </c>
    </row>
    <row r="138" spans="1:21" ht="29" x14ac:dyDescent="0.35">
      <c r="A138" s="14">
        <v>3</v>
      </c>
      <c r="B138" s="14" t="s">
        <v>848</v>
      </c>
      <c r="C138" s="14" t="s">
        <v>849</v>
      </c>
      <c r="D138" s="14" t="s">
        <v>850</v>
      </c>
      <c r="E138" s="14" t="s">
        <v>69</v>
      </c>
      <c r="F138" s="14" t="s">
        <v>284</v>
      </c>
      <c r="G138" s="14" t="s">
        <v>691</v>
      </c>
      <c r="H138" s="14" t="s">
        <v>76</v>
      </c>
      <c r="I138" s="15"/>
      <c r="J138" s="15"/>
      <c r="K138" s="15"/>
      <c r="L138" s="15"/>
      <c r="M138" s="15"/>
      <c r="N138" s="15"/>
      <c r="O138" s="15"/>
      <c r="P138" s="15"/>
      <c r="Q138" s="15"/>
      <c r="R138" s="15"/>
      <c r="S138" s="15"/>
      <c r="T138" s="15"/>
      <c r="U138" s="14" t="str">
        <f t="shared" si="10"/>
        <v/>
      </c>
    </row>
    <row r="139" spans="1:21" ht="29" x14ac:dyDescent="0.35">
      <c r="A139" s="14">
        <v>4</v>
      </c>
      <c r="B139" s="14" t="s">
        <v>851</v>
      </c>
      <c r="C139" s="14" t="s">
        <v>852</v>
      </c>
      <c r="D139" s="14" t="s">
        <v>853</v>
      </c>
      <c r="E139" s="14" t="s">
        <v>690</v>
      </c>
      <c r="F139" s="14" t="s">
        <v>167</v>
      </c>
      <c r="G139" s="14" t="s">
        <v>691</v>
      </c>
      <c r="H139" s="14" t="s">
        <v>59</v>
      </c>
      <c r="I139" s="15"/>
      <c r="J139" s="15"/>
      <c r="K139" s="15"/>
      <c r="L139" s="15"/>
      <c r="M139" s="15"/>
      <c r="N139" s="15"/>
      <c r="O139" s="15"/>
      <c r="P139" s="15"/>
      <c r="Q139" s="15"/>
      <c r="R139" s="15"/>
      <c r="S139" s="15"/>
      <c r="T139" s="15"/>
      <c r="U139" s="14" t="str">
        <f t="shared" si="10"/>
        <v/>
      </c>
    </row>
    <row r="140" spans="1:21" ht="29" x14ac:dyDescent="0.35">
      <c r="A140" s="14">
        <v>5</v>
      </c>
      <c r="B140" s="14" t="s">
        <v>854</v>
      </c>
      <c r="C140" s="14" t="s">
        <v>855</v>
      </c>
      <c r="D140" s="14" t="s">
        <v>856</v>
      </c>
      <c r="E140" s="14" t="s">
        <v>69</v>
      </c>
      <c r="F140" s="14" t="s">
        <v>167</v>
      </c>
      <c r="G140" s="14" t="s">
        <v>691</v>
      </c>
      <c r="H140" s="14" t="s">
        <v>76</v>
      </c>
      <c r="I140" s="15"/>
      <c r="J140" s="15"/>
      <c r="K140" s="15"/>
      <c r="L140" s="15"/>
      <c r="M140" s="15"/>
      <c r="N140" s="15"/>
      <c r="O140" s="15"/>
      <c r="P140" s="15"/>
      <c r="Q140" s="15"/>
      <c r="R140" s="15"/>
      <c r="S140" s="15"/>
      <c r="T140" s="15"/>
      <c r="U140" s="14" t="str">
        <f t="shared" si="10"/>
        <v/>
      </c>
    </row>
    <row r="141" spans="1:21" ht="29" x14ac:dyDescent="0.35">
      <c r="A141" s="14">
        <v>6</v>
      </c>
      <c r="B141" s="14" t="s">
        <v>698</v>
      </c>
      <c r="C141" s="14" t="s">
        <v>857</v>
      </c>
      <c r="D141" s="14" t="s">
        <v>842</v>
      </c>
      <c r="E141" s="14" t="s">
        <v>69</v>
      </c>
      <c r="F141" s="14" t="s">
        <v>284</v>
      </c>
      <c r="G141" s="14" t="s">
        <v>691</v>
      </c>
      <c r="H141" s="14" t="s">
        <v>76</v>
      </c>
      <c r="I141" s="15"/>
      <c r="J141" s="15"/>
      <c r="K141" s="15"/>
      <c r="L141" s="15"/>
      <c r="M141" s="15"/>
      <c r="N141" s="15"/>
      <c r="O141" s="15"/>
      <c r="P141" s="15"/>
      <c r="Q141" s="15"/>
      <c r="R141" s="15"/>
      <c r="S141" s="15"/>
      <c r="T141" s="15"/>
      <c r="U141" s="14" t="str">
        <f t="shared" si="10"/>
        <v/>
      </c>
    </row>
    <row r="142" spans="1:21" ht="29" x14ac:dyDescent="0.35">
      <c r="A142" s="14">
        <v>7</v>
      </c>
      <c r="B142" s="14" t="s">
        <v>858</v>
      </c>
      <c r="C142" s="14" t="s">
        <v>859</v>
      </c>
      <c r="D142" s="14" t="s">
        <v>860</v>
      </c>
      <c r="E142" s="14" t="s">
        <v>690</v>
      </c>
      <c r="F142" s="14" t="s">
        <v>167</v>
      </c>
      <c r="G142" s="14" t="s">
        <v>691</v>
      </c>
      <c r="H142" s="14" t="s">
        <v>59</v>
      </c>
      <c r="I142" s="15"/>
      <c r="J142" s="15"/>
      <c r="K142" s="15"/>
      <c r="L142" s="15"/>
      <c r="M142" s="15"/>
      <c r="N142" s="15"/>
      <c r="O142" s="15"/>
      <c r="P142" s="15"/>
      <c r="Q142" s="15"/>
      <c r="R142" s="15"/>
      <c r="S142" s="15"/>
      <c r="T142" s="15"/>
      <c r="U142" s="14" t="str">
        <f t="shared" si="10"/>
        <v/>
      </c>
    </row>
    <row r="143" spans="1:21" ht="29" x14ac:dyDescent="0.35">
      <c r="A143" s="14">
        <v>8</v>
      </c>
      <c r="B143" s="14" t="s">
        <v>861</v>
      </c>
      <c r="C143" s="14" t="s">
        <v>862</v>
      </c>
      <c r="D143" s="14" t="s">
        <v>863</v>
      </c>
      <c r="E143" s="14" t="s">
        <v>690</v>
      </c>
      <c r="F143" s="14" t="s">
        <v>167</v>
      </c>
      <c r="G143" s="14" t="s">
        <v>691</v>
      </c>
      <c r="H143" s="14" t="s">
        <v>59</v>
      </c>
      <c r="I143" s="15"/>
      <c r="J143" s="15"/>
      <c r="K143" s="15"/>
      <c r="L143" s="15"/>
      <c r="M143" s="15"/>
      <c r="N143" s="15"/>
      <c r="O143" s="15"/>
      <c r="P143" s="15"/>
      <c r="Q143" s="15"/>
      <c r="R143" s="15"/>
      <c r="S143" s="15"/>
      <c r="T143" s="15"/>
      <c r="U143" s="14" t="str">
        <f t="shared" si="10"/>
        <v/>
      </c>
    </row>
    <row r="144" spans="1:21" ht="29" x14ac:dyDescent="0.35">
      <c r="A144" s="14">
        <v>9</v>
      </c>
      <c r="B144" s="14" t="s">
        <v>826</v>
      </c>
      <c r="C144" s="14" t="s">
        <v>864</v>
      </c>
      <c r="D144" s="14" t="s">
        <v>462</v>
      </c>
      <c r="E144" s="14" t="s">
        <v>690</v>
      </c>
      <c r="F144" s="14" t="s">
        <v>167</v>
      </c>
      <c r="G144" s="14" t="s">
        <v>691</v>
      </c>
      <c r="H144" s="14" t="s">
        <v>59</v>
      </c>
      <c r="I144" s="15"/>
      <c r="J144" s="15"/>
      <c r="K144" s="15"/>
      <c r="L144" s="15"/>
      <c r="M144" s="15"/>
      <c r="N144" s="15"/>
      <c r="O144" s="15"/>
      <c r="P144" s="15"/>
      <c r="Q144" s="15"/>
      <c r="R144" s="15"/>
      <c r="S144" s="15"/>
      <c r="T144" s="15"/>
      <c r="U144" s="14" t="str">
        <f t="shared" si="10"/>
        <v/>
      </c>
    </row>
    <row r="147" spans="1:21" ht="22" customHeight="1" x14ac:dyDescent="0.35">
      <c r="A147" s="26" t="s">
        <v>873</v>
      </c>
      <c r="B147" s="23"/>
      <c r="C147" s="23"/>
      <c r="D147" s="23"/>
      <c r="E147" s="23"/>
      <c r="F147" s="23"/>
      <c r="G147" s="23"/>
      <c r="H147" s="23"/>
      <c r="I147" s="23"/>
      <c r="J147" s="23"/>
      <c r="K147" s="23"/>
      <c r="L147" s="23"/>
      <c r="M147" s="23"/>
      <c r="N147" s="23"/>
      <c r="O147" s="23"/>
      <c r="P147" s="23"/>
      <c r="Q147" s="23"/>
      <c r="R147" s="23"/>
      <c r="S147" s="23"/>
      <c r="T147" s="23"/>
      <c r="U147" s="23"/>
    </row>
    <row r="148" spans="1:21" x14ac:dyDescent="0.35">
      <c r="A148" t="s">
        <v>31</v>
      </c>
      <c r="B148" t="s">
        <v>27</v>
      </c>
      <c r="C148" t="s">
        <v>32</v>
      </c>
      <c r="E148" t="s">
        <v>33</v>
      </c>
    </row>
    <row r="149" spans="1:21" ht="29" x14ac:dyDescent="0.35">
      <c r="A149" s="11" t="s">
        <v>34</v>
      </c>
      <c r="B149" s="11" t="s">
        <v>35</v>
      </c>
      <c r="C149" s="11" t="s">
        <v>36</v>
      </c>
      <c r="D149" s="11" t="s">
        <v>37</v>
      </c>
      <c r="E149" s="11" t="s">
        <v>38</v>
      </c>
      <c r="F149" s="11" t="s">
        <v>39</v>
      </c>
      <c r="G149" s="11" t="s">
        <v>40</v>
      </c>
      <c r="H149" s="11" t="s">
        <v>41</v>
      </c>
      <c r="I149" s="11" t="s">
        <v>42</v>
      </c>
      <c r="J149" s="11" t="s">
        <v>43</v>
      </c>
      <c r="K149" s="11" t="s">
        <v>44</v>
      </c>
      <c r="L149" s="11" t="s">
        <v>45</v>
      </c>
      <c r="M149" s="11" t="s">
        <v>46</v>
      </c>
      <c r="N149" s="11" t="s">
        <v>47</v>
      </c>
      <c r="O149" s="11" t="s">
        <v>48</v>
      </c>
      <c r="P149" s="11" t="s">
        <v>4</v>
      </c>
      <c r="Q149" s="11" t="s">
        <v>49</v>
      </c>
      <c r="R149" s="11" t="s">
        <v>50</v>
      </c>
      <c r="S149" s="11" t="s">
        <v>51</v>
      </c>
      <c r="T149" s="11" t="s">
        <v>52</v>
      </c>
      <c r="U149" s="11" t="s">
        <v>10</v>
      </c>
    </row>
    <row r="150" spans="1:21" ht="29" x14ac:dyDescent="0.35">
      <c r="A150" s="14">
        <v>1</v>
      </c>
      <c r="B150" s="14" t="s">
        <v>842</v>
      </c>
      <c r="C150" s="14" t="s">
        <v>843</v>
      </c>
      <c r="D150" s="14" t="s">
        <v>844</v>
      </c>
      <c r="E150" s="14" t="s">
        <v>69</v>
      </c>
      <c r="F150" s="14" t="s">
        <v>284</v>
      </c>
      <c r="G150" s="14" t="s">
        <v>691</v>
      </c>
      <c r="H150" s="14" t="s">
        <v>76</v>
      </c>
      <c r="I150" s="15"/>
      <c r="J150" s="15"/>
      <c r="K150" s="15"/>
      <c r="L150" s="15"/>
      <c r="M150" s="15"/>
      <c r="N150" s="15"/>
      <c r="O150" s="15"/>
      <c r="P150" s="15"/>
      <c r="Q150" s="15"/>
      <c r="R150" s="15"/>
      <c r="S150" s="15"/>
      <c r="T150" s="15"/>
      <c r="U150" s="14" t="str">
        <f t="shared" ref="U150:U158" si="11">IF(I150="","",IF(I150="NA","Grey",IF(I150=2,"Green",IF(I150=1,"Amber","Red"))))</f>
        <v/>
      </c>
    </row>
    <row r="151" spans="1:21" ht="29" x14ac:dyDescent="0.35">
      <c r="A151" s="14">
        <v>2</v>
      </c>
      <c r="B151" s="14" t="s">
        <v>845</v>
      </c>
      <c r="C151" s="14" t="s">
        <v>846</v>
      </c>
      <c r="D151" s="14" t="s">
        <v>847</v>
      </c>
      <c r="E151" s="14" t="s">
        <v>69</v>
      </c>
      <c r="F151" s="14" t="s">
        <v>284</v>
      </c>
      <c r="G151" s="14" t="s">
        <v>691</v>
      </c>
      <c r="H151" s="14" t="s">
        <v>76</v>
      </c>
      <c r="I151" s="15"/>
      <c r="J151" s="15"/>
      <c r="K151" s="15"/>
      <c r="L151" s="15"/>
      <c r="M151" s="15"/>
      <c r="N151" s="15"/>
      <c r="O151" s="15"/>
      <c r="P151" s="15"/>
      <c r="Q151" s="15"/>
      <c r="R151" s="15"/>
      <c r="S151" s="15"/>
      <c r="T151" s="15"/>
      <c r="U151" s="14" t="str">
        <f t="shared" si="11"/>
        <v/>
      </c>
    </row>
    <row r="152" spans="1:21" ht="29" x14ac:dyDescent="0.35">
      <c r="A152" s="14">
        <v>3</v>
      </c>
      <c r="B152" s="14" t="s">
        <v>848</v>
      </c>
      <c r="C152" s="14" t="s">
        <v>849</v>
      </c>
      <c r="D152" s="14" t="s">
        <v>850</v>
      </c>
      <c r="E152" s="14" t="s">
        <v>69</v>
      </c>
      <c r="F152" s="14" t="s">
        <v>284</v>
      </c>
      <c r="G152" s="14" t="s">
        <v>691</v>
      </c>
      <c r="H152" s="14" t="s">
        <v>76</v>
      </c>
      <c r="I152" s="15"/>
      <c r="J152" s="15"/>
      <c r="K152" s="15"/>
      <c r="L152" s="15"/>
      <c r="M152" s="15"/>
      <c r="N152" s="15"/>
      <c r="O152" s="15"/>
      <c r="P152" s="15"/>
      <c r="Q152" s="15"/>
      <c r="R152" s="15"/>
      <c r="S152" s="15"/>
      <c r="T152" s="15"/>
      <c r="U152" s="14" t="str">
        <f t="shared" si="11"/>
        <v/>
      </c>
    </row>
    <row r="153" spans="1:21" ht="29" x14ac:dyDescent="0.35">
      <c r="A153" s="14">
        <v>4</v>
      </c>
      <c r="B153" s="14" t="s">
        <v>851</v>
      </c>
      <c r="C153" s="14" t="s">
        <v>852</v>
      </c>
      <c r="D153" s="14" t="s">
        <v>853</v>
      </c>
      <c r="E153" s="14" t="s">
        <v>690</v>
      </c>
      <c r="F153" s="14" t="s">
        <v>167</v>
      </c>
      <c r="G153" s="14" t="s">
        <v>691</v>
      </c>
      <c r="H153" s="14" t="s">
        <v>59</v>
      </c>
      <c r="I153" s="15"/>
      <c r="J153" s="15"/>
      <c r="K153" s="15"/>
      <c r="L153" s="15"/>
      <c r="M153" s="15"/>
      <c r="N153" s="15"/>
      <c r="O153" s="15"/>
      <c r="P153" s="15"/>
      <c r="Q153" s="15"/>
      <c r="R153" s="15"/>
      <c r="S153" s="15"/>
      <c r="T153" s="15"/>
      <c r="U153" s="14" t="str">
        <f t="shared" si="11"/>
        <v/>
      </c>
    </row>
    <row r="154" spans="1:21" ht="29" x14ac:dyDescent="0.35">
      <c r="A154" s="14">
        <v>5</v>
      </c>
      <c r="B154" s="14" t="s">
        <v>854</v>
      </c>
      <c r="C154" s="14" t="s">
        <v>855</v>
      </c>
      <c r="D154" s="14" t="s">
        <v>856</v>
      </c>
      <c r="E154" s="14" t="s">
        <v>69</v>
      </c>
      <c r="F154" s="14" t="s">
        <v>167</v>
      </c>
      <c r="G154" s="14" t="s">
        <v>691</v>
      </c>
      <c r="H154" s="14" t="s">
        <v>76</v>
      </c>
      <c r="I154" s="15"/>
      <c r="J154" s="15"/>
      <c r="K154" s="15"/>
      <c r="L154" s="15"/>
      <c r="M154" s="15"/>
      <c r="N154" s="15"/>
      <c r="O154" s="15"/>
      <c r="P154" s="15"/>
      <c r="Q154" s="15"/>
      <c r="R154" s="15"/>
      <c r="S154" s="15"/>
      <c r="T154" s="15"/>
      <c r="U154" s="14" t="str">
        <f t="shared" si="11"/>
        <v/>
      </c>
    </row>
    <row r="155" spans="1:21" ht="29" x14ac:dyDescent="0.35">
      <c r="A155" s="14">
        <v>6</v>
      </c>
      <c r="B155" s="14" t="s">
        <v>698</v>
      </c>
      <c r="C155" s="14" t="s">
        <v>857</v>
      </c>
      <c r="D155" s="14" t="s">
        <v>842</v>
      </c>
      <c r="E155" s="14" t="s">
        <v>69</v>
      </c>
      <c r="F155" s="14" t="s">
        <v>284</v>
      </c>
      <c r="G155" s="14" t="s">
        <v>691</v>
      </c>
      <c r="H155" s="14" t="s">
        <v>76</v>
      </c>
      <c r="I155" s="15"/>
      <c r="J155" s="15"/>
      <c r="K155" s="15"/>
      <c r="L155" s="15"/>
      <c r="M155" s="15"/>
      <c r="N155" s="15"/>
      <c r="O155" s="15"/>
      <c r="P155" s="15"/>
      <c r="Q155" s="15"/>
      <c r="R155" s="15"/>
      <c r="S155" s="15"/>
      <c r="T155" s="15"/>
      <c r="U155" s="14" t="str">
        <f t="shared" si="11"/>
        <v/>
      </c>
    </row>
    <row r="156" spans="1:21" ht="29" x14ac:dyDescent="0.35">
      <c r="A156" s="14">
        <v>7</v>
      </c>
      <c r="B156" s="14" t="s">
        <v>858</v>
      </c>
      <c r="C156" s="14" t="s">
        <v>859</v>
      </c>
      <c r="D156" s="14" t="s">
        <v>860</v>
      </c>
      <c r="E156" s="14" t="s">
        <v>690</v>
      </c>
      <c r="F156" s="14" t="s">
        <v>167</v>
      </c>
      <c r="G156" s="14" t="s">
        <v>691</v>
      </c>
      <c r="H156" s="14" t="s">
        <v>59</v>
      </c>
      <c r="I156" s="15"/>
      <c r="J156" s="15"/>
      <c r="K156" s="15"/>
      <c r="L156" s="15"/>
      <c r="M156" s="15"/>
      <c r="N156" s="15"/>
      <c r="O156" s="15"/>
      <c r="P156" s="15"/>
      <c r="Q156" s="15"/>
      <c r="R156" s="15"/>
      <c r="S156" s="15"/>
      <c r="T156" s="15"/>
      <c r="U156" s="14" t="str">
        <f t="shared" si="11"/>
        <v/>
      </c>
    </row>
    <row r="157" spans="1:21" ht="29" x14ac:dyDescent="0.35">
      <c r="A157" s="14">
        <v>8</v>
      </c>
      <c r="B157" s="14" t="s">
        <v>861</v>
      </c>
      <c r="C157" s="14" t="s">
        <v>862</v>
      </c>
      <c r="D157" s="14" t="s">
        <v>863</v>
      </c>
      <c r="E157" s="14" t="s">
        <v>690</v>
      </c>
      <c r="F157" s="14" t="s">
        <v>167</v>
      </c>
      <c r="G157" s="14" t="s">
        <v>691</v>
      </c>
      <c r="H157" s="14" t="s">
        <v>59</v>
      </c>
      <c r="I157" s="15"/>
      <c r="J157" s="15"/>
      <c r="K157" s="15"/>
      <c r="L157" s="15"/>
      <c r="M157" s="15"/>
      <c r="N157" s="15"/>
      <c r="O157" s="15"/>
      <c r="P157" s="15"/>
      <c r="Q157" s="15"/>
      <c r="R157" s="15"/>
      <c r="S157" s="15"/>
      <c r="T157" s="15"/>
      <c r="U157" s="14" t="str">
        <f t="shared" si="11"/>
        <v/>
      </c>
    </row>
    <row r="158" spans="1:21" ht="29" x14ac:dyDescent="0.35">
      <c r="A158" s="14">
        <v>9</v>
      </c>
      <c r="B158" s="14" t="s">
        <v>826</v>
      </c>
      <c r="C158" s="14" t="s">
        <v>864</v>
      </c>
      <c r="D158" s="14" t="s">
        <v>462</v>
      </c>
      <c r="E158" s="14" t="s">
        <v>690</v>
      </c>
      <c r="F158" s="14" t="s">
        <v>167</v>
      </c>
      <c r="G158" s="14" t="s">
        <v>691</v>
      </c>
      <c r="H158" s="14" t="s">
        <v>59</v>
      </c>
      <c r="I158" s="15"/>
      <c r="J158" s="15"/>
      <c r="K158" s="15"/>
      <c r="L158" s="15"/>
      <c r="M158" s="15"/>
      <c r="N158" s="15"/>
      <c r="O158" s="15"/>
      <c r="P158" s="15"/>
      <c r="Q158" s="15"/>
      <c r="R158" s="15"/>
      <c r="S158" s="15"/>
      <c r="T158" s="15"/>
      <c r="U158" s="14" t="str">
        <f t="shared" si="11"/>
        <v/>
      </c>
    </row>
    <row r="161" spans="1:21" ht="22" customHeight="1" x14ac:dyDescent="0.35">
      <c r="A161" s="26" t="s">
        <v>874</v>
      </c>
      <c r="B161" s="23"/>
      <c r="C161" s="23"/>
      <c r="D161" s="23"/>
      <c r="E161" s="23"/>
      <c r="F161" s="23"/>
      <c r="G161" s="23"/>
      <c r="H161" s="23"/>
      <c r="I161" s="23"/>
      <c r="J161" s="23"/>
      <c r="K161" s="23"/>
      <c r="L161" s="23"/>
      <c r="M161" s="23"/>
      <c r="N161" s="23"/>
      <c r="O161" s="23"/>
      <c r="P161" s="23"/>
      <c r="Q161" s="23"/>
      <c r="R161" s="23"/>
      <c r="S161" s="23"/>
      <c r="T161" s="23"/>
      <c r="U161" s="23"/>
    </row>
    <row r="162" spans="1:21" x14ac:dyDescent="0.35">
      <c r="A162" t="s">
        <v>31</v>
      </c>
      <c r="B162" t="s">
        <v>28</v>
      </c>
      <c r="C162" t="s">
        <v>32</v>
      </c>
      <c r="E162" t="s">
        <v>33</v>
      </c>
    </row>
    <row r="163" spans="1:21" ht="29" x14ac:dyDescent="0.35">
      <c r="A163" s="11" t="s">
        <v>34</v>
      </c>
      <c r="B163" s="11" t="s">
        <v>35</v>
      </c>
      <c r="C163" s="11" t="s">
        <v>36</v>
      </c>
      <c r="D163" s="11" t="s">
        <v>37</v>
      </c>
      <c r="E163" s="11" t="s">
        <v>38</v>
      </c>
      <c r="F163" s="11" t="s">
        <v>39</v>
      </c>
      <c r="G163" s="11" t="s">
        <v>40</v>
      </c>
      <c r="H163" s="11" t="s">
        <v>41</v>
      </c>
      <c r="I163" s="11" t="s">
        <v>42</v>
      </c>
      <c r="J163" s="11" t="s">
        <v>43</v>
      </c>
      <c r="K163" s="11" t="s">
        <v>44</v>
      </c>
      <c r="L163" s="11" t="s">
        <v>45</v>
      </c>
      <c r="M163" s="11" t="s">
        <v>46</v>
      </c>
      <c r="N163" s="11" t="s">
        <v>47</v>
      </c>
      <c r="O163" s="11" t="s">
        <v>48</v>
      </c>
      <c r="P163" s="11" t="s">
        <v>4</v>
      </c>
      <c r="Q163" s="11" t="s">
        <v>49</v>
      </c>
      <c r="R163" s="11" t="s">
        <v>50</v>
      </c>
      <c r="S163" s="11" t="s">
        <v>51</v>
      </c>
      <c r="T163" s="11" t="s">
        <v>52</v>
      </c>
      <c r="U163" s="11" t="s">
        <v>10</v>
      </c>
    </row>
    <row r="164" spans="1:21" ht="29" x14ac:dyDescent="0.35">
      <c r="A164" s="14">
        <v>1</v>
      </c>
      <c r="B164" s="14" t="s">
        <v>842</v>
      </c>
      <c r="C164" s="14" t="s">
        <v>843</v>
      </c>
      <c r="D164" s="14" t="s">
        <v>844</v>
      </c>
      <c r="E164" s="14" t="s">
        <v>69</v>
      </c>
      <c r="F164" s="14" t="s">
        <v>284</v>
      </c>
      <c r="G164" s="14" t="s">
        <v>691</v>
      </c>
      <c r="H164" s="14" t="s">
        <v>76</v>
      </c>
      <c r="I164" s="15"/>
      <c r="J164" s="15"/>
      <c r="K164" s="15"/>
      <c r="L164" s="15"/>
      <c r="M164" s="15"/>
      <c r="N164" s="15"/>
      <c r="O164" s="15"/>
      <c r="P164" s="15"/>
      <c r="Q164" s="15"/>
      <c r="R164" s="15"/>
      <c r="S164" s="15"/>
      <c r="T164" s="15"/>
      <c r="U164" s="14" t="str">
        <f t="shared" ref="U164:U172" si="12">IF(I164="","",IF(I164="NA","Grey",IF(I164=2,"Green",IF(I164=1,"Amber","Red"))))</f>
        <v/>
      </c>
    </row>
    <row r="165" spans="1:21" ht="29" x14ac:dyDescent="0.35">
      <c r="A165" s="14">
        <v>2</v>
      </c>
      <c r="B165" s="14" t="s">
        <v>845</v>
      </c>
      <c r="C165" s="14" t="s">
        <v>846</v>
      </c>
      <c r="D165" s="14" t="s">
        <v>847</v>
      </c>
      <c r="E165" s="14" t="s">
        <v>69</v>
      </c>
      <c r="F165" s="14" t="s">
        <v>284</v>
      </c>
      <c r="G165" s="14" t="s">
        <v>691</v>
      </c>
      <c r="H165" s="14" t="s">
        <v>76</v>
      </c>
      <c r="I165" s="15"/>
      <c r="J165" s="15"/>
      <c r="K165" s="15"/>
      <c r="L165" s="15"/>
      <c r="M165" s="15"/>
      <c r="N165" s="15"/>
      <c r="O165" s="15"/>
      <c r="P165" s="15"/>
      <c r="Q165" s="15"/>
      <c r="R165" s="15"/>
      <c r="S165" s="15"/>
      <c r="T165" s="15"/>
      <c r="U165" s="14" t="str">
        <f t="shared" si="12"/>
        <v/>
      </c>
    </row>
    <row r="166" spans="1:21" ht="29" x14ac:dyDescent="0.35">
      <c r="A166" s="14">
        <v>3</v>
      </c>
      <c r="B166" s="14" t="s">
        <v>848</v>
      </c>
      <c r="C166" s="14" t="s">
        <v>849</v>
      </c>
      <c r="D166" s="14" t="s">
        <v>850</v>
      </c>
      <c r="E166" s="14" t="s">
        <v>69</v>
      </c>
      <c r="F166" s="14" t="s">
        <v>284</v>
      </c>
      <c r="G166" s="14" t="s">
        <v>691</v>
      </c>
      <c r="H166" s="14" t="s">
        <v>76</v>
      </c>
      <c r="I166" s="15"/>
      <c r="J166" s="15"/>
      <c r="K166" s="15"/>
      <c r="L166" s="15"/>
      <c r="M166" s="15"/>
      <c r="N166" s="15"/>
      <c r="O166" s="15"/>
      <c r="P166" s="15"/>
      <c r="Q166" s="15"/>
      <c r="R166" s="15"/>
      <c r="S166" s="15"/>
      <c r="T166" s="15"/>
      <c r="U166" s="14" t="str">
        <f t="shared" si="12"/>
        <v/>
      </c>
    </row>
    <row r="167" spans="1:21" ht="29" x14ac:dyDescent="0.35">
      <c r="A167" s="14">
        <v>4</v>
      </c>
      <c r="B167" s="14" t="s">
        <v>851</v>
      </c>
      <c r="C167" s="14" t="s">
        <v>852</v>
      </c>
      <c r="D167" s="14" t="s">
        <v>853</v>
      </c>
      <c r="E167" s="14" t="s">
        <v>690</v>
      </c>
      <c r="F167" s="14" t="s">
        <v>167</v>
      </c>
      <c r="G167" s="14" t="s">
        <v>691</v>
      </c>
      <c r="H167" s="14" t="s">
        <v>59</v>
      </c>
      <c r="I167" s="15"/>
      <c r="J167" s="15"/>
      <c r="K167" s="15"/>
      <c r="L167" s="15"/>
      <c r="M167" s="15"/>
      <c r="N167" s="15"/>
      <c r="O167" s="15"/>
      <c r="P167" s="15"/>
      <c r="Q167" s="15"/>
      <c r="R167" s="15"/>
      <c r="S167" s="15"/>
      <c r="T167" s="15"/>
      <c r="U167" s="14" t="str">
        <f t="shared" si="12"/>
        <v/>
      </c>
    </row>
    <row r="168" spans="1:21" ht="29" x14ac:dyDescent="0.35">
      <c r="A168" s="14">
        <v>5</v>
      </c>
      <c r="B168" s="14" t="s">
        <v>854</v>
      </c>
      <c r="C168" s="14" t="s">
        <v>855</v>
      </c>
      <c r="D168" s="14" t="s">
        <v>856</v>
      </c>
      <c r="E168" s="14" t="s">
        <v>69</v>
      </c>
      <c r="F168" s="14" t="s">
        <v>167</v>
      </c>
      <c r="G168" s="14" t="s">
        <v>691</v>
      </c>
      <c r="H168" s="14" t="s">
        <v>76</v>
      </c>
      <c r="I168" s="15"/>
      <c r="J168" s="15"/>
      <c r="K168" s="15"/>
      <c r="L168" s="15"/>
      <c r="M168" s="15"/>
      <c r="N168" s="15"/>
      <c r="O168" s="15"/>
      <c r="P168" s="15"/>
      <c r="Q168" s="15"/>
      <c r="R168" s="15"/>
      <c r="S168" s="15"/>
      <c r="T168" s="15"/>
      <c r="U168" s="14" t="str">
        <f t="shared" si="12"/>
        <v/>
      </c>
    </row>
    <row r="169" spans="1:21" ht="29" x14ac:dyDescent="0.35">
      <c r="A169" s="14">
        <v>6</v>
      </c>
      <c r="B169" s="14" t="s">
        <v>698</v>
      </c>
      <c r="C169" s="14" t="s">
        <v>857</v>
      </c>
      <c r="D169" s="14" t="s">
        <v>842</v>
      </c>
      <c r="E169" s="14" t="s">
        <v>69</v>
      </c>
      <c r="F169" s="14" t="s">
        <v>284</v>
      </c>
      <c r="G169" s="14" t="s">
        <v>691</v>
      </c>
      <c r="H169" s="14" t="s">
        <v>76</v>
      </c>
      <c r="I169" s="15"/>
      <c r="J169" s="15"/>
      <c r="K169" s="15"/>
      <c r="L169" s="15"/>
      <c r="M169" s="15"/>
      <c r="N169" s="15"/>
      <c r="O169" s="15"/>
      <c r="P169" s="15"/>
      <c r="Q169" s="15"/>
      <c r="R169" s="15"/>
      <c r="S169" s="15"/>
      <c r="T169" s="15"/>
      <c r="U169" s="14" t="str">
        <f t="shared" si="12"/>
        <v/>
      </c>
    </row>
    <row r="170" spans="1:21" ht="29" x14ac:dyDescent="0.35">
      <c r="A170" s="14">
        <v>7</v>
      </c>
      <c r="B170" s="14" t="s">
        <v>858</v>
      </c>
      <c r="C170" s="14" t="s">
        <v>859</v>
      </c>
      <c r="D170" s="14" t="s">
        <v>860</v>
      </c>
      <c r="E170" s="14" t="s">
        <v>690</v>
      </c>
      <c r="F170" s="14" t="s">
        <v>167</v>
      </c>
      <c r="G170" s="14" t="s">
        <v>691</v>
      </c>
      <c r="H170" s="14" t="s">
        <v>59</v>
      </c>
      <c r="I170" s="15"/>
      <c r="J170" s="15"/>
      <c r="K170" s="15"/>
      <c r="L170" s="15"/>
      <c r="M170" s="15"/>
      <c r="N170" s="15"/>
      <c r="O170" s="15"/>
      <c r="P170" s="15"/>
      <c r="Q170" s="15"/>
      <c r="R170" s="15"/>
      <c r="S170" s="15"/>
      <c r="T170" s="15"/>
      <c r="U170" s="14" t="str">
        <f t="shared" si="12"/>
        <v/>
      </c>
    </row>
    <row r="171" spans="1:21" ht="29" x14ac:dyDescent="0.35">
      <c r="A171" s="14">
        <v>8</v>
      </c>
      <c r="B171" s="14" t="s">
        <v>861</v>
      </c>
      <c r="C171" s="14" t="s">
        <v>862</v>
      </c>
      <c r="D171" s="14" t="s">
        <v>863</v>
      </c>
      <c r="E171" s="14" t="s">
        <v>690</v>
      </c>
      <c r="F171" s="14" t="s">
        <v>167</v>
      </c>
      <c r="G171" s="14" t="s">
        <v>691</v>
      </c>
      <c r="H171" s="14" t="s">
        <v>59</v>
      </c>
      <c r="I171" s="15"/>
      <c r="J171" s="15"/>
      <c r="K171" s="15"/>
      <c r="L171" s="15"/>
      <c r="M171" s="15"/>
      <c r="N171" s="15"/>
      <c r="O171" s="15"/>
      <c r="P171" s="15"/>
      <c r="Q171" s="15"/>
      <c r="R171" s="15"/>
      <c r="S171" s="15"/>
      <c r="T171" s="15"/>
      <c r="U171" s="14" t="str">
        <f t="shared" si="12"/>
        <v/>
      </c>
    </row>
    <row r="172" spans="1:21" ht="29" x14ac:dyDescent="0.35">
      <c r="A172" s="14">
        <v>9</v>
      </c>
      <c r="B172" s="14" t="s">
        <v>826</v>
      </c>
      <c r="C172" s="14" t="s">
        <v>864</v>
      </c>
      <c r="D172" s="14" t="s">
        <v>462</v>
      </c>
      <c r="E172" s="14" t="s">
        <v>690</v>
      </c>
      <c r="F172" s="14" t="s">
        <v>167</v>
      </c>
      <c r="G172" s="14" t="s">
        <v>691</v>
      </c>
      <c r="H172" s="14" t="s">
        <v>59</v>
      </c>
      <c r="I172" s="15"/>
      <c r="J172" s="15"/>
      <c r="K172" s="15"/>
      <c r="L172" s="15"/>
      <c r="M172" s="15"/>
      <c r="N172" s="15"/>
      <c r="O172" s="15"/>
      <c r="P172" s="15"/>
      <c r="Q172" s="15"/>
      <c r="R172" s="15"/>
      <c r="S172" s="15"/>
      <c r="T172" s="15"/>
      <c r="U172" s="14" t="str">
        <f t="shared" si="12"/>
        <v/>
      </c>
    </row>
    <row r="175" spans="1:21" ht="22" customHeight="1" x14ac:dyDescent="0.35">
      <c r="A175" s="26" t="s">
        <v>875</v>
      </c>
      <c r="B175" s="23"/>
      <c r="C175" s="23"/>
      <c r="D175" s="23"/>
      <c r="E175" s="23"/>
      <c r="F175" s="23"/>
      <c r="G175" s="23"/>
      <c r="H175" s="23"/>
      <c r="I175" s="23"/>
      <c r="J175" s="23"/>
      <c r="K175" s="23"/>
      <c r="L175" s="23"/>
      <c r="M175" s="23"/>
      <c r="N175" s="23"/>
      <c r="O175" s="23"/>
      <c r="P175" s="23"/>
      <c r="Q175" s="23"/>
      <c r="R175" s="23"/>
      <c r="S175" s="23"/>
      <c r="T175" s="23"/>
      <c r="U175" s="23"/>
    </row>
    <row r="176" spans="1:21" x14ac:dyDescent="0.35">
      <c r="A176" t="s">
        <v>31</v>
      </c>
      <c r="B176" t="s">
        <v>29</v>
      </c>
      <c r="C176" t="s">
        <v>32</v>
      </c>
      <c r="E176" t="s">
        <v>33</v>
      </c>
    </row>
    <row r="177" spans="1:21" ht="29" x14ac:dyDescent="0.35">
      <c r="A177" s="11" t="s">
        <v>34</v>
      </c>
      <c r="B177" s="11" t="s">
        <v>35</v>
      </c>
      <c r="C177" s="11" t="s">
        <v>36</v>
      </c>
      <c r="D177" s="11" t="s">
        <v>37</v>
      </c>
      <c r="E177" s="11" t="s">
        <v>38</v>
      </c>
      <c r="F177" s="11" t="s">
        <v>39</v>
      </c>
      <c r="G177" s="11" t="s">
        <v>40</v>
      </c>
      <c r="H177" s="11" t="s">
        <v>41</v>
      </c>
      <c r="I177" s="11" t="s">
        <v>42</v>
      </c>
      <c r="J177" s="11" t="s">
        <v>43</v>
      </c>
      <c r="K177" s="11" t="s">
        <v>44</v>
      </c>
      <c r="L177" s="11" t="s">
        <v>45</v>
      </c>
      <c r="M177" s="11" t="s">
        <v>46</v>
      </c>
      <c r="N177" s="11" t="s">
        <v>47</v>
      </c>
      <c r="O177" s="11" t="s">
        <v>48</v>
      </c>
      <c r="P177" s="11" t="s">
        <v>4</v>
      </c>
      <c r="Q177" s="11" t="s">
        <v>49</v>
      </c>
      <c r="R177" s="11" t="s">
        <v>50</v>
      </c>
      <c r="S177" s="11" t="s">
        <v>51</v>
      </c>
      <c r="T177" s="11" t="s">
        <v>52</v>
      </c>
      <c r="U177" s="11" t="s">
        <v>10</v>
      </c>
    </row>
    <row r="178" spans="1:21" ht="29" x14ac:dyDescent="0.35">
      <c r="A178" s="14">
        <v>1</v>
      </c>
      <c r="B178" s="14" t="s">
        <v>842</v>
      </c>
      <c r="C178" s="14" t="s">
        <v>843</v>
      </c>
      <c r="D178" s="14" t="s">
        <v>844</v>
      </c>
      <c r="E178" s="14" t="s">
        <v>69</v>
      </c>
      <c r="F178" s="14" t="s">
        <v>284</v>
      </c>
      <c r="G178" s="14" t="s">
        <v>691</v>
      </c>
      <c r="H178" s="14" t="s">
        <v>76</v>
      </c>
      <c r="I178" s="15"/>
      <c r="J178" s="15"/>
      <c r="K178" s="15"/>
      <c r="L178" s="15"/>
      <c r="M178" s="15"/>
      <c r="N178" s="15"/>
      <c r="O178" s="15"/>
      <c r="P178" s="15"/>
      <c r="Q178" s="15"/>
      <c r="R178" s="15"/>
      <c r="S178" s="15"/>
      <c r="T178" s="15"/>
      <c r="U178" s="14" t="str">
        <f t="shared" ref="U178:U186" si="13">IF(I178="","",IF(I178="NA","Grey",IF(I178=2,"Green",IF(I178=1,"Amber","Red"))))</f>
        <v/>
      </c>
    </row>
    <row r="179" spans="1:21" ht="29" x14ac:dyDescent="0.35">
      <c r="A179" s="14">
        <v>2</v>
      </c>
      <c r="B179" s="14" t="s">
        <v>845</v>
      </c>
      <c r="C179" s="14" t="s">
        <v>846</v>
      </c>
      <c r="D179" s="14" t="s">
        <v>847</v>
      </c>
      <c r="E179" s="14" t="s">
        <v>69</v>
      </c>
      <c r="F179" s="14" t="s">
        <v>284</v>
      </c>
      <c r="G179" s="14" t="s">
        <v>691</v>
      </c>
      <c r="H179" s="14" t="s">
        <v>76</v>
      </c>
      <c r="I179" s="15"/>
      <c r="J179" s="15"/>
      <c r="K179" s="15"/>
      <c r="L179" s="15"/>
      <c r="M179" s="15"/>
      <c r="N179" s="15"/>
      <c r="O179" s="15"/>
      <c r="P179" s="15"/>
      <c r="Q179" s="15"/>
      <c r="R179" s="15"/>
      <c r="S179" s="15"/>
      <c r="T179" s="15"/>
      <c r="U179" s="14" t="str">
        <f t="shared" si="13"/>
        <v/>
      </c>
    </row>
    <row r="180" spans="1:21" ht="29" x14ac:dyDescent="0.35">
      <c r="A180" s="14">
        <v>3</v>
      </c>
      <c r="B180" s="14" t="s">
        <v>848</v>
      </c>
      <c r="C180" s="14" t="s">
        <v>849</v>
      </c>
      <c r="D180" s="14" t="s">
        <v>850</v>
      </c>
      <c r="E180" s="14" t="s">
        <v>69</v>
      </c>
      <c r="F180" s="14" t="s">
        <v>284</v>
      </c>
      <c r="G180" s="14" t="s">
        <v>691</v>
      </c>
      <c r="H180" s="14" t="s">
        <v>76</v>
      </c>
      <c r="I180" s="15"/>
      <c r="J180" s="15"/>
      <c r="K180" s="15"/>
      <c r="L180" s="15"/>
      <c r="M180" s="15"/>
      <c r="N180" s="15"/>
      <c r="O180" s="15"/>
      <c r="P180" s="15"/>
      <c r="Q180" s="15"/>
      <c r="R180" s="15"/>
      <c r="S180" s="15"/>
      <c r="T180" s="15"/>
      <c r="U180" s="14" t="str">
        <f t="shared" si="13"/>
        <v/>
      </c>
    </row>
    <row r="181" spans="1:21" ht="29" x14ac:dyDescent="0.35">
      <c r="A181" s="14">
        <v>4</v>
      </c>
      <c r="B181" s="14" t="s">
        <v>851</v>
      </c>
      <c r="C181" s="14" t="s">
        <v>852</v>
      </c>
      <c r="D181" s="14" t="s">
        <v>853</v>
      </c>
      <c r="E181" s="14" t="s">
        <v>690</v>
      </c>
      <c r="F181" s="14" t="s">
        <v>167</v>
      </c>
      <c r="G181" s="14" t="s">
        <v>691</v>
      </c>
      <c r="H181" s="14" t="s">
        <v>59</v>
      </c>
      <c r="I181" s="15"/>
      <c r="J181" s="15"/>
      <c r="K181" s="15"/>
      <c r="L181" s="15"/>
      <c r="M181" s="15"/>
      <c r="N181" s="15"/>
      <c r="O181" s="15"/>
      <c r="P181" s="15"/>
      <c r="Q181" s="15"/>
      <c r="R181" s="15"/>
      <c r="S181" s="15"/>
      <c r="T181" s="15"/>
      <c r="U181" s="14" t="str">
        <f t="shared" si="13"/>
        <v/>
      </c>
    </row>
    <row r="182" spans="1:21" ht="29" x14ac:dyDescent="0.35">
      <c r="A182" s="14">
        <v>5</v>
      </c>
      <c r="B182" s="14" t="s">
        <v>854</v>
      </c>
      <c r="C182" s="14" t="s">
        <v>855</v>
      </c>
      <c r="D182" s="14" t="s">
        <v>856</v>
      </c>
      <c r="E182" s="14" t="s">
        <v>69</v>
      </c>
      <c r="F182" s="14" t="s">
        <v>167</v>
      </c>
      <c r="G182" s="14" t="s">
        <v>691</v>
      </c>
      <c r="H182" s="14" t="s">
        <v>76</v>
      </c>
      <c r="I182" s="15"/>
      <c r="J182" s="15"/>
      <c r="K182" s="15"/>
      <c r="L182" s="15"/>
      <c r="M182" s="15"/>
      <c r="N182" s="15"/>
      <c r="O182" s="15"/>
      <c r="P182" s="15"/>
      <c r="Q182" s="15"/>
      <c r="R182" s="15"/>
      <c r="S182" s="15"/>
      <c r="T182" s="15"/>
      <c r="U182" s="14" t="str">
        <f t="shared" si="13"/>
        <v/>
      </c>
    </row>
    <row r="183" spans="1:21" ht="29" x14ac:dyDescent="0.35">
      <c r="A183" s="14">
        <v>6</v>
      </c>
      <c r="B183" s="14" t="s">
        <v>698</v>
      </c>
      <c r="C183" s="14" t="s">
        <v>857</v>
      </c>
      <c r="D183" s="14" t="s">
        <v>842</v>
      </c>
      <c r="E183" s="14" t="s">
        <v>69</v>
      </c>
      <c r="F183" s="14" t="s">
        <v>284</v>
      </c>
      <c r="G183" s="14" t="s">
        <v>691</v>
      </c>
      <c r="H183" s="14" t="s">
        <v>76</v>
      </c>
      <c r="I183" s="15"/>
      <c r="J183" s="15"/>
      <c r="K183" s="15"/>
      <c r="L183" s="15"/>
      <c r="M183" s="15"/>
      <c r="N183" s="15"/>
      <c r="O183" s="15"/>
      <c r="P183" s="15"/>
      <c r="Q183" s="15"/>
      <c r="R183" s="15"/>
      <c r="S183" s="15"/>
      <c r="T183" s="15"/>
      <c r="U183" s="14" t="str">
        <f t="shared" si="13"/>
        <v/>
      </c>
    </row>
    <row r="184" spans="1:21" ht="29" x14ac:dyDescent="0.35">
      <c r="A184" s="14">
        <v>7</v>
      </c>
      <c r="B184" s="14" t="s">
        <v>858</v>
      </c>
      <c r="C184" s="14" t="s">
        <v>859</v>
      </c>
      <c r="D184" s="14" t="s">
        <v>860</v>
      </c>
      <c r="E184" s="14" t="s">
        <v>690</v>
      </c>
      <c r="F184" s="14" t="s">
        <v>167</v>
      </c>
      <c r="G184" s="14" t="s">
        <v>691</v>
      </c>
      <c r="H184" s="14" t="s">
        <v>59</v>
      </c>
      <c r="I184" s="15"/>
      <c r="J184" s="15"/>
      <c r="K184" s="15"/>
      <c r="L184" s="15"/>
      <c r="M184" s="15"/>
      <c r="N184" s="15"/>
      <c r="O184" s="15"/>
      <c r="P184" s="15"/>
      <c r="Q184" s="15"/>
      <c r="R184" s="15"/>
      <c r="S184" s="15"/>
      <c r="T184" s="15"/>
      <c r="U184" s="14" t="str">
        <f t="shared" si="13"/>
        <v/>
      </c>
    </row>
    <row r="185" spans="1:21" ht="29" x14ac:dyDescent="0.35">
      <c r="A185" s="14">
        <v>8</v>
      </c>
      <c r="B185" s="14" t="s">
        <v>861</v>
      </c>
      <c r="C185" s="14" t="s">
        <v>862</v>
      </c>
      <c r="D185" s="14" t="s">
        <v>863</v>
      </c>
      <c r="E185" s="14" t="s">
        <v>690</v>
      </c>
      <c r="F185" s="14" t="s">
        <v>167</v>
      </c>
      <c r="G185" s="14" t="s">
        <v>691</v>
      </c>
      <c r="H185" s="14" t="s">
        <v>59</v>
      </c>
      <c r="I185" s="15"/>
      <c r="J185" s="15"/>
      <c r="K185" s="15"/>
      <c r="L185" s="15"/>
      <c r="M185" s="15"/>
      <c r="N185" s="15"/>
      <c r="O185" s="15"/>
      <c r="P185" s="15"/>
      <c r="Q185" s="15"/>
      <c r="R185" s="15"/>
      <c r="S185" s="15"/>
      <c r="T185" s="15"/>
      <c r="U185" s="14" t="str">
        <f t="shared" si="13"/>
        <v/>
      </c>
    </row>
    <row r="186" spans="1:21" ht="29" x14ac:dyDescent="0.35">
      <c r="A186" s="14">
        <v>9</v>
      </c>
      <c r="B186" s="14" t="s">
        <v>826</v>
      </c>
      <c r="C186" s="14" t="s">
        <v>864</v>
      </c>
      <c r="D186" s="14" t="s">
        <v>462</v>
      </c>
      <c r="E186" s="14" t="s">
        <v>690</v>
      </c>
      <c r="F186" s="14" t="s">
        <v>167</v>
      </c>
      <c r="G186" s="14" t="s">
        <v>691</v>
      </c>
      <c r="H186" s="14" t="s">
        <v>59</v>
      </c>
      <c r="I186" s="15"/>
      <c r="J186" s="15"/>
      <c r="K186" s="15"/>
      <c r="L186" s="15"/>
      <c r="M186" s="15"/>
      <c r="N186" s="15"/>
      <c r="O186" s="15"/>
      <c r="P186" s="15"/>
      <c r="Q186" s="15"/>
      <c r="R186" s="15"/>
      <c r="S186" s="15"/>
      <c r="T186" s="15"/>
      <c r="U186" s="14" t="str">
        <f t="shared" si="13"/>
        <v/>
      </c>
    </row>
  </sheetData>
  <mergeCells count="14">
    <mergeCell ref="A1:U1"/>
    <mergeCell ref="A2:U2"/>
    <mergeCell ref="A147:U147"/>
    <mergeCell ref="A161:U161"/>
    <mergeCell ref="A175:U175"/>
    <mergeCell ref="A49:U49"/>
    <mergeCell ref="A63:U63"/>
    <mergeCell ref="A133:U133"/>
    <mergeCell ref="A119:U119"/>
    <mergeCell ref="A77:U77"/>
    <mergeCell ref="A91:U91"/>
    <mergeCell ref="A35:U35"/>
    <mergeCell ref="A105:U105"/>
    <mergeCell ref="A21:U21"/>
  </mergeCells>
  <dataValidations count="3">
    <dataValidation type="list" allowBlank="1" sqref="I24:I32 I178:I186 I164:I172 I150:I158 I136:I144 I122:I130 I108:I116 I94:I102 I80:I88 I66:I74 I52:I60 I38:I46" xr:uid="{00000000-0002-0000-1400-000000000000}">
      <formula1>"0,1,2,NA"</formula1>
    </dataValidation>
    <dataValidation type="list" allowBlank="1" sqref="H24:H32 H178:H186 H164:H172 H150:H158 H136:H144 H122:H130 H108:H116 H94:H102 H80:H88 H66:H74 H52:H60 H38:H46" xr:uid="{00000000-0002-0000-1400-000001000000}">
      <formula1>"Low,Medium,High,Critical"</formula1>
    </dataValidation>
    <dataValidation type="list" allowBlank="1" sqref="T24:T32 T178:T186 T164:T172 T150:T158 T136:T144 T122:T130 T108:T116 T94:T102 T80:T88 T66:T74 T52:T60 T38:T46" xr:uid="{00000000-0002-0000-1400-000002000000}">
      <formula1>"Not Started,In Progress,Complete,Closed,Escalated"</formula1>
    </dataValidation>
  </dataValidation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174"/>
  <sheetViews>
    <sheetView workbookViewId="0">
      <pane ySplit="22" topLeftCell="A23" activePane="bottomLeft" state="frozen"/>
      <selection pane="bottomLeft"/>
    </sheetView>
  </sheetViews>
  <sheetFormatPr defaultRowHeight="14.5" x14ac:dyDescent="0.35"/>
  <cols>
    <col min="1" max="1" width="5" customWidth="1"/>
    <col min="2" max="2" width="20" customWidth="1"/>
    <col min="3" max="3" width="50" customWidth="1"/>
    <col min="4" max="4" width="38" customWidth="1"/>
    <col min="5" max="6" width="18" customWidth="1"/>
    <col min="7" max="7" width="34" customWidth="1"/>
    <col min="8" max="8" width="12" customWidth="1"/>
    <col min="9" max="9" width="14" customWidth="1"/>
    <col min="10" max="10" width="32" customWidth="1"/>
    <col min="11" max="11" width="34" customWidth="1"/>
    <col min="12" max="12" width="28" customWidth="1"/>
    <col min="13" max="13" width="26" customWidth="1"/>
    <col min="14" max="14" width="30" customWidth="1"/>
    <col min="15" max="15" width="20" customWidth="1"/>
    <col min="16" max="17" width="13" customWidth="1"/>
    <col min="18" max="18" width="18" customWidth="1"/>
    <col min="19" max="19" width="14" customWidth="1"/>
    <col min="20" max="20" width="16" customWidth="1"/>
    <col min="21" max="21" width="12" customWidth="1"/>
  </cols>
  <sheetData>
    <row r="1" spans="1:21" ht="28" customHeight="1" x14ac:dyDescent="0.35">
      <c r="A1" s="26" t="s">
        <v>876</v>
      </c>
      <c r="B1" s="23"/>
      <c r="C1" s="23"/>
      <c r="D1" s="23"/>
      <c r="E1" s="23"/>
      <c r="F1" s="23"/>
      <c r="G1" s="23"/>
      <c r="H1" s="23"/>
      <c r="I1" s="23"/>
      <c r="J1" s="23"/>
      <c r="K1" s="23"/>
      <c r="L1" s="23"/>
      <c r="M1" s="23"/>
      <c r="N1" s="23"/>
      <c r="O1" s="23"/>
      <c r="P1" s="23"/>
      <c r="Q1" s="23"/>
      <c r="R1" s="23"/>
      <c r="S1" s="23"/>
      <c r="T1" s="23"/>
      <c r="U1" s="23"/>
    </row>
    <row r="2" spans="1:21" x14ac:dyDescent="0.35">
      <c r="A2" s="27" t="s">
        <v>683</v>
      </c>
      <c r="B2" s="23"/>
      <c r="C2" s="23"/>
      <c r="D2" s="23"/>
      <c r="E2" s="23"/>
      <c r="F2" s="23"/>
      <c r="G2" s="23"/>
      <c r="H2" s="23"/>
      <c r="I2" s="23"/>
      <c r="J2" s="23"/>
      <c r="K2" s="23"/>
      <c r="L2" s="23"/>
      <c r="M2" s="23"/>
      <c r="N2" s="23"/>
      <c r="O2" s="23"/>
      <c r="P2" s="23"/>
      <c r="Q2" s="23"/>
      <c r="R2" s="23"/>
      <c r="S2" s="23"/>
      <c r="T2" s="23"/>
      <c r="U2" s="23"/>
    </row>
    <row r="4" spans="1:21" ht="29" x14ac:dyDescent="0.35">
      <c r="A4" s="11" t="s">
        <v>3</v>
      </c>
      <c r="B4" s="11" t="s">
        <v>4</v>
      </c>
      <c r="C4" s="11" t="s">
        <v>5</v>
      </c>
      <c r="D4" s="11" t="s">
        <v>6</v>
      </c>
      <c r="E4" s="11" t="s">
        <v>7</v>
      </c>
      <c r="F4" s="11" t="s">
        <v>8</v>
      </c>
      <c r="G4" s="11" t="s">
        <v>9</v>
      </c>
      <c r="H4" s="11" t="s">
        <v>10</v>
      </c>
      <c r="I4" s="11" t="s">
        <v>11</v>
      </c>
      <c r="J4" s="11" t="s">
        <v>12</v>
      </c>
      <c r="K4" s="11" t="s">
        <v>13</v>
      </c>
      <c r="L4" s="11" t="s">
        <v>14</v>
      </c>
      <c r="M4" s="11" t="s">
        <v>684</v>
      </c>
      <c r="N4" s="11" t="s">
        <v>685</v>
      </c>
    </row>
    <row r="5" spans="1:21" x14ac:dyDescent="0.35">
      <c r="A5" t="s">
        <v>18</v>
      </c>
      <c r="B5" s="12">
        <v>46050</v>
      </c>
      <c r="E5">
        <f>SUMIF(I24:I31,"&gt;=0",I24:I31)</f>
        <v>0</v>
      </c>
      <c r="F5">
        <f>COUNT(I24:I31)*2</f>
        <v>0</v>
      </c>
      <c r="G5" s="13" t="str">
        <f t="shared" ref="G5:G16" si="0">IF(F5=0,"",E5/F5)</f>
        <v/>
      </c>
      <c r="H5" t="str">
        <f t="shared" ref="H5:H16" si="1">IF(G5="","Not Started",IF(G5&gt;=0.9,"Green",IF(G5&gt;=0.75,"Amber","Red")))</f>
        <v>Not Started</v>
      </c>
      <c r="I5">
        <f>COUNTIFS(H24:H31,"Critical",I24:I31,"&lt;2")+COUNTIFS(H24:H31,"High",I24:I31,"&lt;2")</f>
        <v>0</v>
      </c>
      <c r="J5">
        <f>COUNTIF(T24:T31,"In Progress")+COUNTIF(T24:T31,"Not Started")</f>
        <v>0</v>
      </c>
      <c r="K5">
        <f ca="1">COUNTIFS(P24:P31,"&lt;"&amp;TODAY(),Q24:Q31,"")</f>
        <v>0</v>
      </c>
    </row>
    <row r="6" spans="1:21" x14ac:dyDescent="0.35">
      <c r="A6" t="s">
        <v>19</v>
      </c>
      <c r="B6" s="12">
        <v>46081</v>
      </c>
      <c r="E6">
        <f>SUMIF(I37:I44,"&gt;=0",I37:I44)</f>
        <v>0</v>
      </c>
      <c r="F6">
        <f>COUNT(I37:I44)*2</f>
        <v>0</v>
      </c>
      <c r="G6" s="13" t="str">
        <f t="shared" si="0"/>
        <v/>
      </c>
      <c r="H6" t="str">
        <f t="shared" si="1"/>
        <v>Not Started</v>
      </c>
      <c r="I6">
        <f>COUNTIFS(H37:H44,"Critical",I37:I44,"&lt;2")+COUNTIFS(H37:H44,"High",I37:I44,"&lt;2")</f>
        <v>0</v>
      </c>
      <c r="J6">
        <f>COUNTIF(T37:T44,"In Progress")+COUNTIF(T37:T44,"Not Started")</f>
        <v>0</v>
      </c>
      <c r="K6">
        <f ca="1">COUNTIFS(P37:P44,"&lt;"&amp;TODAY(),Q37:Q44,"")</f>
        <v>0</v>
      </c>
    </row>
    <row r="7" spans="1:21" x14ac:dyDescent="0.35">
      <c r="A7" t="s">
        <v>20</v>
      </c>
      <c r="B7" s="12">
        <v>46109</v>
      </c>
      <c r="E7">
        <f>SUMIF(I50:I57,"&gt;=0",I50:I57)</f>
        <v>0</v>
      </c>
      <c r="F7">
        <f>COUNT(I50:I57)*2</f>
        <v>0</v>
      </c>
      <c r="G7" s="13" t="str">
        <f t="shared" si="0"/>
        <v/>
      </c>
      <c r="H7" t="str">
        <f t="shared" si="1"/>
        <v>Not Started</v>
      </c>
      <c r="I7">
        <f>COUNTIFS(H50:H57,"Critical",I50:I57,"&lt;2")+COUNTIFS(H50:H57,"High",I50:I57,"&lt;2")</f>
        <v>0</v>
      </c>
      <c r="J7">
        <f>COUNTIF(T50:T57,"In Progress")+COUNTIF(T50:T57,"Not Started")</f>
        <v>0</v>
      </c>
      <c r="K7">
        <f ca="1">COUNTIFS(P50:P57,"&lt;"&amp;TODAY(),Q50:Q57,"")</f>
        <v>0</v>
      </c>
    </row>
    <row r="8" spans="1:21" x14ac:dyDescent="0.35">
      <c r="A8" t="s">
        <v>21</v>
      </c>
      <c r="B8" s="12">
        <v>46140</v>
      </c>
      <c r="E8">
        <f>SUMIF(I63:I70,"&gt;=0",I63:I70)</f>
        <v>0</v>
      </c>
      <c r="F8">
        <f>COUNT(I63:I70)*2</f>
        <v>0</v>
      </c>
      <c r="G8" s="13" t="str">
        <f t="shared" si="0"/>
        <v/>
      </c>
      <c r="H8" t="str">
        <f t="shared" si="1"/>
        <v>Not Started</v>
      </c>
      <c r="I8">
        <f>COUNTIFS(H63:H70,"Critical",I63:I70,"&lt;2")+COUNTIFS(H63:H70,"High",I63:I70,"&lt;2")</f>
        <v>0</v>
      </c>
      <c r="J8">
        <f>COUNTIF(T63:T70,"In Progress")+COUNTIF(T63:T70,"Not Started")</f>
        <v>0</v>
      </c>
      <c r="K8">
        <f ca="1">COUNTIFS(P63:P70,"&lt;"&amp;TODAY(),Q63:Q70,"")</f>
        <v>0</v>
      </c>
    </row>
    <row r="9" spans="1:21" x14ac:dyDescent="0.35">
      <c r="A9" t="s">
        <v>22</v>
      </c>
      <c r="B9" s="12">
        <v>46170</v>
      </c>
      <c r="E9">
        <f>SUMIF(I76:I83,"&gt;=0",I76:I83)</f>
        <v>0</v>
      </c>
      <c r="F9">
        <f>COUNT(I76:I83)*2</f>
        <v>0</v>
      </c>
      <c r="G9" s="13" t="str">
        <f t="shared" si="0"/>
        <v/>
      </c>
      <c r="H9" t="str">
        <f t="shared" si="1"/>
        <v>Not Started</v>
      </c>
      <c r="I9">
        <f>COUNTIFS(H76:H83,"Critical",I76:I83,"&lt;2")+COUNTIFS(H76:H83,"High",I76:I83,"&lt;2")</f>
        <v>0</v>
      </c>
      <c r="J9">
        <f>COUNTIF(T76:T83,"In Progress")+COUNTIF(T76:T83,"Not Started")</f>
        <v>0</v>
      </c>
      <c r="K9">
        <f ca="1">COUNTIFS(P76:P83,"&lt;"&amp;TODAY(),Q76:Q83,"")</f>
        <v>0</v>
      </c>
    </row>
    <row r="10" spans="1:21" x14ac:dyDescent="0.35">
      <c r="A10" t="s">
        <v>23</v>
      </c>
      <c r="B10" s="12">
        <v>46201</v>
      </c>
      <c r="E10">
        <f>SUMIF(I89:I96,"&gt;=0",I89:I96)</f>
        <v>0</v>
      </c>
      <c r="F10">
        <f>COUNT(I89:I96)*2</f>
        <v>0</v>
      </c>
      <c r="G10" s="13" t="str">
        <f t="shared" si="0"/>
        <v/>
      </c>
      <c r="H10" t="str">
        <f t="shared" si="1"/>
        <v>Not Started</v>
      </c>
      <c r="I10">
        <f>COUNTIFS(H89:H96,"Critical",I89:I96,"&lt;2")+COUNTIFS(H89:H96,"High",I89:I96,"&lt;2")</f>
        <v>0</v>
      </c>
      <c r="J10">
        <f>COUNTIF(T89:T96,"In Progress")+COUNTIF(T89:T96,"Not Started")</f>
        <v>0</v>
      </c>
      <c r="K10">
        <f ca="1">COUNTIFS(P89:P96,"&lt;"&amp;TODAY(),Q89:Q96,"")</f>
        <v>0</v>
      </c>
    </row>
    <row r="11" spans="1:21" x14ac:dyDescent="0.35">
      <c r="A11" t="s">
        <v>24</v>
      </c>
      <c r="B11" s="12">
        <v>46231</v>
      </c>
      <c r="E11">
        <f>SUMIF(I102:I109,"&gt;=0",I102:I109)</f>
        <v>0</v>
      </c>
      <c r="F11">
        <f>COUNT(I102:I109)*2</f>
        <v>0</v>
      </c>
      <c r="G11" s="13" t="str">
        <f t="shared" si="0"/>
        <v/>
      </c>
      <c r="H11" t="str">
        <f t="shared" si="1"/>
        <v>Not Started</v>
      </c>
      <c r="I11">
        <f>COUNTIFS(H102:H109,"Critical",I102:I109,"&lt;2")+COUNTIFS(H102:H109,"High",I102:I109,"&lt;2")</f>
        <v>0</v>
      </c>
      <c r="J11">
        <f>COUNTIF(T102:T109,"In Progress")+COUNTIF(T102:T109,"Not Started")</f>
        <v>0</v>
      </c>
      <c r="K11">
        <f ca="1">COUNTIFS(P102:P109,"&lt;"&amp;TODAY(),Q102:Q109,"")</f>
        <v>0</v>
      </c>
    </row>
    <row r="12" spans="1:21" x14ac:dyDescent="0.35">
      <c r="A12" t="s">
        <v>25</v>
      </c>
      <c r="B12" s="12">
        <v>46262</v>
      </c>
      <c r="E12">
        <f>SUMIF(I115:I122,"&gt;=0",I115:I122)</f>
        <v>0</v>
      </c>
      <c r="F12">
        <f>COUNT(I115:I122)*2</f>
        <v>0</v>
      </c>
      <c r="G12" s="13" t="str">
        <f t="shared" si="0"/>
        <v/>
      </c>
      <c r="H12" t="str">
        <f t="shared" si="1"/>
        <v>Not Started</v>
      </c>
      <c r="I12">
        <f>COUNTIFS(H115:H122,"Critical",I115:I122,"&lt;2")+COUNTIFS(H115:H122,"High",I115:I122,"&lt;2")</f>
        <v>0</v>
      </c>
      <c r="J12">
        <f>COUNTIF(T115:T122,"In Progress")+COUNTIF(T115:T122,"Not Started")</f>
        <v>0</v>
      </c>
      <c r="K12">
        <f ca="1">COUNTIFS(P115:P122,"&lt;"&amp;TODAY(),Q115:Q122,"")</f>
        <v>0</v>
      </c>
    </row>
    <row r="13" spans="1:21" x14ac:dyDescent="0.35">
      <c r="A13" t="s">
        <v>26</v>
      </c>
      <c r="B13" s="12">
        <v>46293</v>
      </c>
      <c r="E13">
        <f>SUMIF(I128:I135,"&gt;=0",I128:I135)</f>
        <v>0</v>
      </c>
      <c r="F13">
        <f>COUNT(I128:I135)*2</f>
        <v>0</v>
      </c>
      <c r="G13" s="13" t="str">
        <f t="shared" si="0"/>
        <v/>
      </c>
      <c r="H13" t="str">
        <f t="shared" si="1"/>
        <v>Not Started</v>
      </c>
      <c r="I13">
        <f>COUNTIFS(H128:H135,"Critical",I128:I135,"&lt;2")+COUNTIFS(H128:H135,"High",I128:I135,"&lt;2")</f>
        <v>0</v>
      </c>
      <c r="J13">
        <f>COUNTIF(T128:T135,"In Progress")+COUNTIF(T128:T135,"Not Started")</f>
        <v>0</v>
      </c>
      <c r="K13">
        <f ca="1">COUNTIFS(P128:P135,"&lt;"&amp;TODAY(),Q128:Q135,"")</f>
        <v>0</v>
      </c>
    </row>
    <row r="14" spans="1:21" x14ac:dyDescent="0.35">
      <c r="A14" t="s">
        <v>27</v>
      </c>
      <c r="B14" s="12">
        <v>46323</v>
      </c>
      <c r="E14">
        <f>SUMIF(I141:I148,"&gt;=0",I141:I148)</f>
        <v>0</v>
      </c>
      <c r="F14">
        <f>COUNT(I141:I148)*2</f>
        <v>0</v>
      </c>
      <c r="G14" s="13" t="str">
        <f t="shared" si="0"/>
        <v/>
      </c>
      <c r="H14" t="str">
        <f t="shared" si="1"/>
        <v>Not Started</v>
      </c>
      <c r="I14">
        <f>COUNTIFS(H141:H148,"Critical",I141:I148,"&lt;2")+COUNTIFS(H141:H148,"High",I141:I148,"&lt;2")</f>
        <v>0</v>
      </c>
      <c r="J14">
        <f>COUNTIF(T141:T148,"In Progress")+COUNTIF(T141:T148,"Not Started")</f>
        <v>0</v>
      </c>
      <c r="K14">
        <f ca="1">COUNTIFS(P141:P148,"&lt;"&amp;TODAY(),Q141:Q148,"")</f>
        <v>0</v>
      </c>
    </row>
    <row r="15" spans="1:21" x14ac:dyDescent="0.35">
      <c r="A15" t="s">
        <v>28</v>
      </c>
      <c r="B15" s="12">
        <v>46354</v>
      </c>
      <c r="E15">
        <f>SUMIF(I154:I161,"&gt;=0",I154:I161)</f>
        <v>0</v>
      </c>
      <c r="F15">
        <f>COUNT(I154:I161)*2</f>
        <v>0</v>
      </c>
      <c r="G15" s="13" t="str">
        <f t="shared" si="0"/>
        <v/>
      </c>
      <c r="H15" t="str">
        <f t="shared" si="1"/>
        <v>Not Started</v>
      </c>
      <c r="I15">
        <f>COUNTIFS(H154:H161,"Critical",I154:I161,"&lt;2")+COUNTIFS(H154:H161,"High",I154:I161,"&lt;2")</f>
        <v>0</v>
      </c>
      <c r="J15">
        <f>COUNTIF(T154:T161,"In Progress")+COUNTIF(T154:T161,"Not Started")</f>
        <v>0</v>
      </c>
      <c r="K15">
        <f ca="1">COUNTIFS(P154:P161,"&lt;"&amp;TODAY(),Q154:Q161,"")</f>
        <v>0</v>
      </c>
    </row>
    <row r="16" spans="1:21" x14ac:dyDescent="0.35">
      <c r="A16" t="s">
        <v>29</v>
      </c>
      <c r="B16" s="12">
        <v>46384</v>
      </c>
      <c r="E16">
        <f>SUMIF(I167:I174,"&gt;=0",I167:I174)</f>
        <v>0</v>
      </c>
      <c r="F16">
        <f>COUNT(I167:I174)*2</f>
        <v>0</v>
      </c>
      <c r="G16" s="13" t="str">
        <f t="shared" si="0"/>
        <v/>
      </c>
      <c r="H16" t="str">
        <f t="shared" si="1"/>
        <v>Not Started</v>
      </c>
      <c r="I16">
        <f>COUNTIFS(H167:H174,"Critical",I167:I174,"&lt;2")+COUNTIFS(H167:H174,"High",I167:I174,"&lt;2")</f>
        <v>0</v>
      </c>
      <c r="J16">
        <f>COUNTIF(T167:T174,"In Progress")+COUNTIF(T167:T174,"Not Started")</f>
        <v>0</v>
      </c>
      <c r="K16">
        <f ca="1">COUNTIFS(P167:P174,"&lt;"&amp;TODAY(),Q167:Q174,"")</f>
        <v>0</v>
      </c>
    </row>
    <row r="21" spans="1:21" ht="22" customHeight="1" x14ac:dyDescent="0.35">
      <c r="A21" s="26" t="s">
        <v>877</v>
      </c>
      <c r="B21" s="23"/>
      <c r="C21" s="23"/>
      <c r="D21" s="23"/>
      <c r="E21" s="23"/>
      <c r="F21" s="23"/>
      <c r="G21" s="23"/>
      <c r="H21" s="23"/>
      <c r="I21" s="23"/>
      <c r="J21" s="23"/>
      <c r="K21" s="23"/>
      <c r="L21" s="23"/>
      <c r="M21" s="23"/>
      <c r="N21" s="23"/>
      <c r="O21" s="23"/>
      <c r="P21" s="23"/>
      <c r="Q21" s="23"/>
      <c r="R21" s="23"/>
      <c r="S21" s="23"/>
      <c r="T21" s="23"/>
      <c r="U21" s="23"/>
    </row>
    <row r="22" spans="1:21" x14ac:dyDescent="0.35">
      <c r="A22" t="s">
        <v>31</v>
      </c>
      <c r="B22" t="s">
        <v>18</v>
      </c>
      <c r="C22" t="s">
        <v>32</v>
      </c>
      <c r="E22" t="s">
        <v>33</v>
      </c>
    </row>
    <row r="23" spans="1:21" ht="29" x14ac:dyDescent="0.35">
      <c r="A23" s="11" t="s">
        <v>34</v>
      </c>
      <c r="B23" s="11" t="s">
        <v>35</v>
      </c>
      <c r="C23" s="11" t="s">
        <v>36</v>
      </c>
      <c r="D23" s="11" t="s">
        <v>37</v>
      </c>
      <c r="E23" s="11" t="s">
        <v>38</v>
      </c>
      <c r="F23" s="11" t="s">
        <v>39</v>
      </c>
      <c r="G23" s="11" t="s">
        <v>40</v>
      </c>
      <c r="H23" s="11" t="s">
        <v>41</v>
      </c>
      <c r="I23" s="11" t="s">
        <v>42</v>
      </c>
      <c r="J23" s="11" t="s">
        <v>43</v>
      </c>
      <c r="K23" s="11" t="s">
        <v>44</v>
      </c>
      <c r="L23" s="11" t="s">
        <v>45</v>
      </c>
      <c r="M23" s="11" t="s">
        <v>46</v>
      </c>
      <c r="N23" s="11" t="s">
        <v>47</v>
      </c>
      <c r="O23" s="11" t="s">
        <v>48</v>
      </c>
      <c r="P23" s="11" t="s">
        <v>4</v>
      </c>
      <c r="Q23" s="11" t="s">
        <v>49</v>
      </c>
      <c r="R23" s="11" t="s">
        <v>50</v>
      </c>
      <c r="S23" s="11" t="s">
        <v>51</v>
      </c>
      <c r="T23" s="11" t="s">
        <v>52</v>
      </c>
      <c r="U23" s="11" t="s">
        <v>10</v>
      </c>
    </row>
    <row r="24" spans="1:21" ht="29" x14ac:dyDescent="0.35">
      <c r="A24" s="14">
        <v>1</v>
      </c>
      <c r="B24" s="14" t="s">
        <v>878</v>
      </c>
      <c r="C24" s="14" t="s">
        <v>879</v>
      </c>
      <c r="D24" s="14" t="s">
        <v>880</v>
      </c>
      <c r="E24" s="14" t="s">
        <v>690</v>
      </c>
      <c r="F24" s="14" t="s">
        <v>167</v>
      </c>
      <c r="G24" s="14" t="s">
        <v>691</v>
      </c>
      <c r="H24" s="14" t="s">
        <v>59</v>
      </c>
      <c r="I24" s="15"/>
      <c r="J24" s="15"/>
      <c r="K24" s="15"/>
      <c r="L24" s="15"/>
      <c r="M24" s="15"/>
      <c r="N24" s="15"/>
      <c r="O24" s="15"/>
      <c r="P24" s="15"/>
      <c r="Q24" s="15"/>
      <c r="R24" s="15"/>
      <c r="S24" s="15"/>
      <c r="T24" s="15"/>
      <c r="U24" s="14" t="str">
        <f t="shared" ref="U24:U31" si="2">IF(I24="","",IF(I24="NA","Grey",IF(I24=2,"Green",IF(I24=1,"Amber","Red"))))</f>
        <v/>
      </c>
    </row>
    <row r="25" spans="1:21" ht="29" x14ac:dyDescent="0.35">
      <c r="A25" s="14">
        <v>2</v>
      </c>
      <c r="B25" s="14" t="s">
        <v>881</v>
      </c>
      <c r="C25" s="14" t="s">
        <v>882</v>
      </c>
      <c r="D25" s="14" t="s">
        <v>883</v>
      </c>
      <c r="E25" s="14" t="s">
        <v>69</v>
      </c>
      <c r="F25" s="14" t="s">
        <v>284</v>
      </c>
      <c r="G25" s="14" t="s">
        <v>691</v>
      </c>
      <c r="H25" s="14" t="s">
        <v>76</v>
      </c>
      <c r="I25" s="15"/>
      <c r="J25" s="15"/>
      <c r="K25" s="15"/>
      <c r="L25" s="15"/>
      <c r="M25" s="15"/>
      <c r="N25" s="15"/>
      <c r="O25" s="15"/>
      <c r="P25" s="15"/>
      <c r="Q25" s="15"/>
      <c r="R25" s="15"/>
      <c r="S25" s="15"/>
      <c r="T25" s="15"/>
      <c r="U25" s="14" t="str">
        <f t="shared" si="2"/>
        <v/>
      </c>
    </row>
    <row r="26" spans="1:21" ht="29" x14ac:dyDescent="0.35">
      <c r="A26" s="14">
        <v>3</v>
      </c>
      <c r="B26" s="14" t="s">
        <v>884</v>
      </c>
      <c r="C26" s="14" t="s">
        <v>885</v>
      </c>
      <c r="D26" s="14" t="s">
        <v>886</v>
      </c>
      <c r="E26" s="14" t="s">
        <v>69</v>
      </c>
      <c r="F26" s="14" t="s">
        <v>284</v>
      </c>
      <c r="G26" s="14" t="s">
        <v>691</v>
      </c>
      <c r="H26" s="14" t="s">
        <v>76</v>
      </c>
      <c r="I26" s="15"/>
      <c r="J26" s="15"/>
      <c r="K26" s="15"/>
      <c r="L26" s="15"/>
      <c r="M26" s="15"/>
      <c r="N26" s="15"/>
      <c r="O26" s="15"/>
      <c r="P26" s="15"/>
      <c r="Q26" s="15"/>
      <c r="R26" s="15"/>
      <c r="S26" s="15"/>
      <c r="T26" s="15"/>
      <c r="U26" s="14" t="str">
        <f t="shared" si="2"/>
        <v/>
      </c>
    </row>
    <row r="27" spans="1:21" ht="29" x14ac:dyDescent="0.35">
      <c r="A27" s="14">
        <v>4</v>
      </c>
      <c r="B27" s="14" t="s">
        <v>848</v>
      </c>
      <c r="C27" s="14" t="s">
        <v>887</v>
      </c>
      <c r="D27" s="14" t="s">
        <v>888</v>
      </c>
      <c r="E27" s="14" t="s">
        <v>69</v>
      </c>
      <c r="F27" s="14" t="s">
        <v>284</v>
      </c>
      <c r="G27" s="14" t="s">
        <v>691</v>
      </c>
      <c r="H27" s="14" t="s">
        <v>76</v>
      </c>
      <c r="I27" s="15"/>
      <c r="J27" s="15"/>
      <c r="K27" s="15"/>
      <c r="L27" s="15"/>
      <c r="M27" s="15"/>
      <c r="N27" s="15"/>
      <c r="O27" s="15"/>
      <c r="P27" s="15"/>
      <c r="Q27" s="15"/>
      <c r="R27" s="15"/>
      <c r="S27" s="15"/>
      <c r="T27" s="15"/>
      <c r="U27" s="14" t="str">
        <f t="shared" si="2"/>
        <v/>
      </c>
    </row>
    <row r="28" spans="1:21" ht="29" x14ac:dyDescent="0.35">
      <c r="A28" s="14">
        <v>5</v>
      </c>
      <c r="B28" s="14" t="s">
        <v>823</v>
      </c>
      <c r="C28" s="14" t="s">
        <v>889</v>
      </c>
      <c r="D28" s="14" t="s">
        <v>890</v>
      </c>
      <c r="E28" s="14" t="s">
        <v>69</v>
      </c>
      <c r="F28" s="14" t="s">
        <v>284</v>
      </c>
      <c r="G28" s="14" t="s">
        <v>691</v>
      </c>
      <c r="H28" s="14" t="s">
        <v>76</v>
      </c>
      <c r="I28" s="15"/>
      <c r="J28" s="15"/>
      <c r="K28" s="15"/>
      <c r="L28" s="15"/>
      <c r="M28" s="15"/>
      <c r="N28" s="15"/>
      <c r="O28" s="15"/>
      <c r="P28" s="15"/>
      <c r="Q28" s="15"/>
      <c r="R28" s="15"/>
      <c r="S28" s="15"/>
      <c r="T28" s="15"/>
      <c r="U28" s="14" t="str">
        <f t="shared" si="2"/>
        <v/>
      </c>
    </row>
    <row r="29" spans="1:21" ht="29" x14ac:dyDescent="0.35">
      <c r="A29" s="14">
        <v>6</v>
      </c>
      <c r="B29" s="14" t="s">
        <v>698</v>
      </c>
      <c r="C29" s="14" t="s">
        <v>891</v>
      </c>
      <c r="D29" s="14" t="s">
        <v>853</v>
      </c>
      <c r="E29" s="14" t="s">
        <v>690</v>
      </c>
      <c r="F29" s="14" t="s">
        <v>167</v>
      </c>
      <c r="G29" s="14" t="s">
        <v>691</v>
      </c>
      <c r="H29" s="14" t="s">
        <v>59</v>
      </c>
      <c r="I29" s="15"/>
      <c r="J29" s="15"/>
      <c r="K29" s="15"/>
      <c r="L29" s="15"/>
      <c r="M29" s="15"/>
      <c r="N29" s="15"/>
      <c r="O29" s="15"/>
      <c r="P29" s="15"/>
      <c r="Q29" s="15"/>
      <c r="R29" s="15"/>
      <c r="S29" s="15"/>
      <c r="T29" s="15"/>
      <c r="U29" s="14" t="str">
        <f t="shared" si="2"/>
        <v/>
      </c>
    </row>
    <row r="30" spans="1:21" ht="29" x14ac:dyDescent="0.35">
      <c r="A30" s="14">
        <v>7</v>
      </c>
      <c r="B30" s="14" t="s">
        <v>892</v>
      </c>
      <c r="C30" s="14" t="s">
        <v>893</v>
      </c>
      <c r="D30" s="14" t="s">
        <v>449</v>
      </c>
      <c r="E30" s="14" t="s">
        <v>690</v>
      </c>
      <c r="F30" s="14" t="s">
        <v>167</v>
      </c>
      <c r="G30" s="14" t="s">
        <v>691</v>
      </c>
      <c r="H30" s="14" t="s">
        <v>59</v>
      </c>
      <c r="I30" s="15"/>
      <c r="J30" s="15"/>
      <c r="K30" s="15"/>
      <c r="L30" s="15"/>
      <c r="M30" s="15"/>
      <c r="N30" s="15"/>
      <c r="O30" s="15"/>
      <c r="P30" s="15"/>
      <c r="Q30" s="15"/>
      <c r="R30" s="15"/>
      <c r="S30" s="15"/>
      <c r="T30" s="15"/>
      <c r="U30" s="14" t="str">
        <f t="shared" si="2"/>
        <v/>
      </c>
    </row>
    <row r="31" spans="1:21" ht="29" x14ac:dyDescent="0.35">
      <c r="A31" s="14">
        <v>8</v>
      </c>
      <c r="B31" s="14" t="s">
        <v>861</v>
      </c>
      <c r="C31" s="14" t="s">
        <v>894</v>
      </c>
      <c r="D31" s="14" t="s">
        <v>895</v>
      </c>
      <c r="E31" s="14" t="s">
        <v>690</v>
      </c>
      <c r="F31" s="14" t="s">
        <v>167</v>
      </c>
      <c r="G31" s="14" t="s">
        <v>691</v>
      </c>
      <c r="H31" s="14" t="s">
        <v>59</v>
      </c>
      <c r="I31" s="15"/>
      <c r="J31" s="15"/>
      <c r="K31" s="15"/>
      <c r="L31" s="15"/>
      <c r="M31" s="15"/>
      <c r="N31" s="15"/>
      <c r="O31" s="15"/>
      <c r="P31" s="15"/>
      <c r="Q31" s="15"/>
      <c r="R31" s="15"/>
      <c r="S31" s="15"/>
      <c r="T31" s="15"/>
      <c r="U31" s="14" t="str">
        <f t="shared" si="2"/>
        <v/>
      </c>
    </row>
    <row r="34" spans="1:21" ht="22" customHeight="1" x14ac:dyDescent="0.35">
      <c r="A34" s="26" t="s">
        <v>896</v>
      </c>
      <c r="B34" s="23"/>
      <c r="C34" s="23"/>
      <c r="D34" s="23"/>
      <c r="E34" s="23"/>
      <c r="F34" s="23"/>
      <c r="G34" s="23"/>
      <c r="H34" s="23"/>
      <c r="I34" s="23"/>
      <c r="J34" s="23"/>
      <c r="K34" s="23"/>
      <c r="L34" s="23"/>
      <c r="M34" s="23"/>
      <c r="N34" s="23"/>
      <c r="O34" s="23"/>
      <c r="P34" s="23"/>
      <c r="Q34" s="23"/>
      <c r="R34" s="23"/>
      <c r="S34" s="23"/>
      <c r="T34" s="23"/>
      <c r="U34" s="23"/>
    </row>
    <row r="35" spans="1:21" x14ac:dyDescent="0.35">
      <c r="A35" t="s">
        <v>31</v>
      </c>
      <c r="B35" t="s">
        <v>19</v>
      </c>
      <c r="C35" t="s">
        <v>32</v>
      </c>
      <c r="E35" t="s">
        <v>33</v>
      </c>
    </row>
    <row r="36" spans="1:21" ht="29" x14ac:dyDescent="0.35">
      <c r="A36" s="11" t="s">
        <v>34</v>
      </c>
      <c r="B36" s="11" t="s">
        <v>35</v>
      </c>
      <c r="C36" s="11" t="s">
        <v>36</v>
      </c>
      <c r="D36" s="11" t="s">
        <v>37</v>
      </c>
      <c r="E36" s="11" t="s">
        <v>38</v>
      </c>
      <c r="F36" s="11" t="s">
        <v>39</v>
      </c>
      <c r="G36" s="11" t="s">
        <v>40</v>
      </c>
      <c r="H36" s="11" t="s">
        <v>41</v>
      </c>
      <c r="I36" s="11" t="s">
        <v>42</v>
      </c>
      <c r="J36" s="11" t="s">
        <v>43</v>
      </c>
      <c r="K36" s="11" t="s">
        <v>44</v>
      </c>
      <c r="L36" s="11" t="s">
        <v>45</v>
      </c>
      <c r="M36" s="11" t="s">
        <v>46</v>
      </c>
      <c r="N36" s="11" t="s">
        <v>47</v>
      </c>
      <c r="O36" s="11" t="s">
        <v>48</v>
      </c>
      <c r="P36" s="11" t="s">
        <v>4</v>
      </c>
      <c r="Q36" s="11" t="s">
        <v>49</v>
      </c>
      <c r="R36" s="11" t="s">
        <v>50</v>
      </c>
      <c r="S36" s="11" t="s">
        <v>51</v>
      </c>
      <c r="T36" s="11" t="s">
        <v>52</v>
      </c>
      <c r="U36" s="11" t="s">
        <v>10</v>
      </c>
    </row>
    <row r="37" spans="1:21" ht="29" x14ac:dyDescent="0.35">
      <c r="A37" s="14">
        <v>1</v>
      </c>
      <c r="B37" s="14" t="s">
        <v>878</v>
      </c>
      <c r="C37" s="14" t="s">
        <v>879</v>
      </c>
      <c r="D37" s="14" t="s">
        <v>880</v>
      </c>
      <c r="E37" s="14" t="s">
        <v>690</v>
      </c>
      <c r="F37" s="14" t="s">
        <v>167</v>
      </c>
      <c r="G37" s="14" t="s">
        <v>691</v>
      </c>
      <c r="H37" s="14" t="s">
        <v>59</v>
      </c>
      <c r="I37" s="15"/>
      <c r="J37" s="15"/>
      <c r="K37" s="15"/>
      <c r="L37" s="15"/>
      <c r="M37" s="15"/>
      <c r="N37" s="15"/>
      <c r="O37" s="15"/>
      <c r="P37" s="15"/>
      <c r="Q37" s="15"/>
      <c r="R37" s="15"/>
      <c r="S37" s="15"/>
      <c r="T37" s="15"/>
      <c r="U37" s="14" t="str">
        <f t="shared" ref="U37:U44" si="3">IF(I37="","",IF(I37="NA","Grey",IF(I37=2,"Green",IF(I37=1,"Amber","Red"))))</f>
        <v/>
      </c>
    </row>
    <row r="38" spans="1:21" ht="29" x14ac:dyDescent="0.35">
      <c r="A38" s="14">
        <v>2</v>
      </c>
      <c r="B38" s="14" t="s">
        <v>881</v>
      </c>
      <c r="C38" s="14" t="s">
        <v>882</v>
      </c>
      <c r="D38" s="14" t="s">
        <v>883</v>
      </c>
      <c r="E38" s="14" t="s">
        <v>69</v>
      </c>
      <c r="F38" s="14" t="s">
        <v>284</v>
      </c>
      <c r="G38" s="14" t="s">
        <v>691</v>
      </c>
      <c r="H38" s="14" t="s">
        <v>76</v>
      </c>
      <c r="I38" s="15"/>
      <c r="J38" s="15"/>
      <c r="K38" s="15"/>
      <c r="L38" s="15"/>
      <c r="M38" s="15"/>
      <c r="N38" s="15"/>
      <c r="O38" s="15"/>
      <c r="P38" s="15"/>
      <c r="Q38" s="15"/>
      <c r="R38" s="15"/>
      <c r="S38" s="15"/>
      <c r="T38" s="15"/>
      <c r="U38" s="14" t="str">
        <f t="shared" si="3"/>
        <v/>
      </c>
    </row>
    <row r="39" spans="1:21" ht="29" x14ac:dyDescent="0.35">
      <c r="A39" s="14">
        <v>3</v>
      </c>
      <c r="B39" s="14" t="s">
        <v>884</v>
      </c>
      <c r="C39" s="14" t="s">
        <v>885</v>
      </c>
      <c r="D39" s="14" t="s">
        <v>886</v>
      </c>
      <c r="E39" s="14" t="s">
        <v>69</v>
      </c>
      <c r="F39" s="14" t="s">
        <v>284</v>
      </c>
      <c r="G39" s="14" t="s">
        <v>691</v>
      </c>
      <c r="H39" s="14" t="s">
        <v>76</v>
      </c>
      <c r="I39" s="15"/>
      <c r="J39" s="15"/>
      <c r="K39" s="15"/>
      <c r="L39" s="15"/>
      <c r="M39" s="15"/>
      <c r="N39" s="15"/>
      <c r="O39" s="15"/>
      <c r="P39" s="15"/>
      <c r="Q39" s="15"/>
      <c r="R39" s="15"/>
      <c r="S39" s="15"/>
      <c r="T39" s="15"/>
      <c r="U39" s="14" t="str">
        <f t="shared" si="3"/>
        <v/>
      </c>
    </row>
    <row r="40" spans="1:21" ht="29" x14ac:dyDescent="0.35">
      <c r="A40" s="14">
        <v>4</v>
      </c>
      <c r="B40" s="14" t="s">
        <v>848</v>
      </c>
      <c r="C40" s="14" t="s">
        <v>887</v>
      </c>
      <c r="D40" s="14" t="s">
        <v>888</v>
      </c>
      <c r="E40" s="14" t="s">
        <v>69</v>
      </c>
      <c r="F40" s="14" t="s">
        <v>284</v>
      </c>
      <c r="G40" s="14" t="s">
        <v>691</v>
      </c>
      <c r="H40" s="14" t="s">
        <v>76</v>
      </c>
      <c r="I40" s="15"/>
      <c r="J40" s="15"/>
      <c r="K40" s="15"/>
      <c r="L40" s="15"/>
      <c r="M40" s="15"/>
      <c r="N40" s="15"/>
      <c r="O40" s="15"/>
      <c r="P40" s="15"/>
      <c r="Q40" s="15"/>
      <c r="R40" s="15"/>
      <c r="S40" s="15"/>
      <c r="T40" s="15"/>
      <c r="U40" s="14" t="str">
        <f t="shared" si="3"/>
        <v/>
      </c>
    </row>
    <row r="41" spans="1:21" ht="29" x14ac:dyDescent="0.35">
      <c r="A41" s="14">
        <v>5</v>
      </c>
      <c r="B41" s="14" t="s">
        <v>823</v>
      </c>
      <c r="C41" s="14" t="s">
        <v>889</v>
      </c>
      <c r="D41" s="14" t="s">
        <v>890</v>
      </c>
      <c r="E41" s="14" t="s">
        <v>69</v>
      </c>
      <c r="F41" s="14" t="s">
        <v>284</v>
      </c>
      <c r="G41" s="14" t="s">
        <v>691</v>
      </c>
      <c r="H41" s="14" t="s">
        <v>76</v>
      </c>
      <c r="I41" s="15"/>
      <c r="J41" s="15"/>
      <c r="K41" s="15"/>
      <c r="L41" s="15"/>
      <c r="M41" s="15"/>
      <c r="N41" s="15"/>
      <c r="O41" s="15"/>
      <c r="P41" s="15"/>
      <c r="Q41" s="15"/>
      <c r="R41" s="15"/>
      <c r="S41" s="15"/>
      <c r="T41" s="15"/>
      <c r="U41" s="14" t="str">
        <f t="shared" si="3"/>
        <v/>
      </c>
    </row>
    <row r="42" spans="1:21" ht="29" x14ac:dyDescent="0.35">
      <c r="A42" s="14">
        <v>6</v>
      </c>
      <c r="B42" s="14" t="s">
        <v>698</v>
      </c>
      <c r="C42" s="14" t="s">
        <v>891</v>
      </c>
      <c r="D42" s="14" t="s">
        <v>853</v>
      </c>
      <c r="E42" s="14" t="s">
        <v>690</v>
      </c>
      <c r="F42" s="14" t="s">
        <v>167</v>
      </c>
      <c r="G42" s="14" t="s">
        <v>691</v>
      </c>
      <c r="H42" s="14" t="s">
        <v>59</v>
      </c>
      <c r="I42" s="15"/>
      <c r="J42" s="15"/>
      <c r="K42" s="15"/>
      <c r="L42" s="15"/>
      <c r="M42" s="15"/>
      <c r="N42" s="15"/>
      <c r="O42" s="15"/>
      <c r="P42" s="15"/>
      <c r="Q42" s="15"/>
      <c r="R42" s="15"/>
      <c r="S42" s="15"/>
      <c r="T42" s="15"/>
      <c r="U42" s="14" t="str">
        <f t="shared" si="3"/>
        <v/>
      </c>
    </row>
    <row r="43" spans="1:21" ht="29" x14ac:dyDescent="0.35">
      <c r="A43" s="14">
        <v>7</v>
      </c>
      <c r="B43" s="14" t="s">
        <v>892</v>
      </c>
      <c r="C43" s="14" t="s">
        <v>893</v>
      </c>
      <c r="D43" s="14" t="s">
        <v>449</v>
      </c>
      <c r="E43" s="14" t="s">
        <v>690</v>
      </c>
      <c r="F43" s="14" t="s">
        <v>167</v>
      </c>
      <c r="G43" s="14" t="s">
        <v>691</v>
      </c>
      <c r="H43" s="14" t="s">
        <v>59</v>
      </c>
      <c r="I43" s="15"/>
      <c r="J43" s="15"/>
      <c r="K43" s="15"/>
      <c r="L43" s="15"/>
      <c r="M43" s="15"/>
      <c r="N43" s="15"/>
      <c r="O43" s="15"/>
      <c r="P43" s="15"/>
      <c r="Q43" s="15"/>
      <c r="R43" s="15"/>
      <c r="S43" s="15"/>
      <c r="T43" s="15"/>
      <c r="U43" s="14" t="str">
        <f t="shared" si="3"/>
        <v/>
      </c>
    </row>
    <row r="44" spans="1:21" ht="29" x14ac:dyDescent="0.35">
      <c r="A44" s="14">
        <v>8</v>
      </c>
      <c r="B44" s="14" t="s">
        <v>861</v>
      </c>
      <c r="C44" s="14" t="s">
        <v>894</v>
      </c>
      <c r="D44" s="14" t="s">
        <v>895</v>
      </c>
      <c r="E44" s="14" t="s">
        <v>690</v>
      </c>
      <c r="F44" s="14" t="s">
        <v>167</v>
      </c>
      <c r="G44" s="14" t="s">
        <v>691</v>
      </c>
      <c r="H44" s="14" t="s">
        <v>59</v>
      </c>
      <c r="I44" s="15"/>
      <c r="J44" s="15"/>
      <c r="K44" s="15"/>
      <c r="L44" s="15"/>
      <c r="M44" s="15"/>
      <c r="N44" s="15"/>
      <c r="O44" s="15"/>
      <c r="P44" s="15"/>
      <c r="Q44" s="15"/>
      <c r="R44" s="15"/>
      <c r="S44" s="15"/>
      <c r="T44" s="15"/>
      <c r="U44" s="14" t="str">
        <f t="shared" si="3"/>
        <v/>
      </c>
    </row>
    <row r="47" spans="1:21" ht="22" customHeight="1" x14ac:dyDescent="0.35">
      <c r="A47" s="26" t="s">
        <v>897</v>
      </c>
      <c r="B47" s="23"/>
      <c r="C47" s="23"/>
      <c r="D47" s="23"/>
      <c r="E47" s="23"/>
      <c r="F47" s="23"/>
      <c r="G47" s="23"/>
      <c r="H47" s="23"/>
      <c r="I47" s="23"/>
      <c r="J47" s="23"/>
      <c r="K47" s="23"/>
      <c r="L47" s="23"/>
      <c r="M47" s="23"/>
      <c r="N47" s="23"/>
      <c r="O47" s="23"/>
      <c r="P47" s="23"/>
      <c r="Q47" s="23"/>
      <c r="R47" s="23"/>
      <c r="S47" s="23"/>
      <c r="T47" s="23"/>
      <c r="U47" s="23"/>
    </row>
    <row r="48" spans="1:21" x14ac:dyDescent="0.35">
      <c r="A48" t="s">
        <v>31</v>
      </c>
      <c r="B48" t="s">
        <v>20</v>
      </c>
      <c r="C48" t="s">
        <v>32</v>
      </c>
      <c r="E48" t="s">
        <v>33</v>
      </c>
    </row>
    <row r="49" spans="1:21" ht="29" x14ac:dyDescent="0.35">
      <c r="A49" s="11" t="s">
        <v>34</v>
      </c>
      <c r="B49" s="11" t="s">
        <v>35</v>
      </c>
      <c r="C49" s="11" t="s">
        <v>36</v>
      </c>
      <c r="D49" s="11" t="s">
        <v>37</v>
      </c>
      <c r="E49" s="11" t="s">
        <v>38</v>
      </c>
      <c r="F49" s="11" t="s">
        <v>39</v>
      </c>
      <c r="G49" s="11" t="s">
        <v>40</v>
      </c>
      <c r="H49" s="11" t="s">
        <v>41</v>
      </c>
      <c r="I49" s="11" t="s">
        <v>42</v>
      </c>
      <c r="J49" s="11" t="s">
        <v>43</v>
      </c>
      <c r="K49" s="11" t="s">
        <v>44</v>
      </c>
      <c r="L49" s="11" t="s">
        <v>45</v>
      </c>
      <c r="M49" s="11" t="s">
        <v>46</v>
      </c>
      <c r="N49" s="11" t="s">
        <v>47</v>
      </c>
      <c r="O49" s="11" t="s">
        <v>48</v>
      </c>
      <c r="P49" s="11" t="s">
        <v>4</v>
      </c>
      <c r="Q49" s="11" t="s">
        <v>49</v>
      </c>
      <c r="R49" s="11" t="s">
        <v>50</v>
      </c>
      <c r="S49" s="11" t="s">
        <v>51</v>
      </c>
      <c r="T49" s="11" t="s">
        <v>52</v>
      </c>
      <c r="U49" s="11" t="s">
        <v>10</v>
      </c>
    </row>
    <row r="50" spans="1:21" ht="29" x14ac:dyDescent="0.35">
      <c r="A50" s="14">
        <v>1</v>
      </c>
      <c r="B50" s="14" t="s">
        <v>878</v>
      </c>
      <c r="C50" s="14" t="s">
        <v>879</v>
      </c>
      <c r="D50" s="14" t="s">
        <v>880</v>
      </c>
      <c r="E50" s="14" t="s">
        <v>690</v>
      </c>
      <c r="F50" s="14" t="s">
        <v>167</v>
      </c>
      <c r="G50" s="14" t="s">
        <v>691</v>
      </c>
      <c r="H50" s="14" t="s">
        <v>59</v>
      </c>
      <c r="I50" s="15"/>
      <c r="J50" s="15"/>
      <c r="K50" s="15"/>
      <c r="L50" s="15"/>
      <c r="M50" s="15"/>
      <c r="N50" s="15"/>
      <c r="O50" s="15"/>
      <c r="P50" s="15"/>
      <c r="Q50" s="15"/>
      <c r="R50" s="15"/>
      <c r="S50" s="15"/>
      <c r="T50" s="15"/>
      <c r="U50" s="14" t="str">
        <f t="shared" ref="U50:U57" si="4">IF(I50="","",IF(I50="NA","Grey",IF(I50=2,"Green",IF(I50=1,"Amber","Red"))))</f>
        <v/>
      </c>
    </row>
    <row r="51" spans="1:21" ht="29" x14ac:dyDescent="0.35">
      <c r="A51" s="14">
        <v>2</v>
      </c>
      <c r="B51" s="14" t="s">
        <v>881</v>
      </c>
      <c r="C51" s="14" t="s">
        <v>882</v>
      </c>
      <c r="D51" s="14" t="s">
        <v>883</v>
      </c>
      <c r="E51" s="14" t="s">
        <v>69</v>
      </c>
      <c r="F51" s="14" t="s">
        <v>284</v>
      </c>
      <c r="G51" s="14" t="s">
        <v>691</v>
      </c>
      <c r="H51" s="14" t="s">
        <v>76</v>
      </c>
      <c r="I51" s="15"/>
      <c r="J51" s="15"/>
      <c r="K51" s="15"/>
      <c r="L51" s="15"/>
      <c r="M51" s="15"/>
      <c r="N51" s="15"/>
      <c r="O51" s="15"/>
      <c r="P51" s="15"/>
      <c r="Q51" s="15"/>
      <c r="R51" s="15"/>
      <c r="S51" s="15"/>
      <c r="T51" s="15"/>
      <c r="U51" s="14" t="str">
        <f t="shared" si="4"/>
        <v/>
      </c>
    </row>
    <row r="52" spans="1:21" ht="29" x14ac:dyDescent="0.35">
      <c r="A52" s="14">
        <v>3</v>
      </c>
      <c r="B52" s="14" t="s">
        <v>884</v>
      </c>
      <c r="C52" s="14" t="s">
        <v>885</v>
      </c>
      <c r="D52" s="14" t="s">
        <v>886</v>
      </c>
      <c r="E52" s="14" t="s">
        <v>69</v>
      </c>
      <c r="F52" s="14" t="s">
        <v>284</v>
      </c>
      <c r="G52" s="14" t="s">
        <v>691</v>
      </c>
      <c r="H52" s="14" t="s">
        <v>76</v>
      </c>
      <c r="I52" s="15"/>
      <c r="J52" s="15"/>
      <c r="K52" s="15"/>
      <c r="L52" s="15"/>
      <c r="M52" s="15"/>
      <c r="N52" s="15"/>
      <c r="O52" s="15"/>
      <c r="P52" s="15"/>
      <c r="Q52" s="15"/>
      <c r="R52" s="15"/>
      <c r="S52" s="15"/>
      <c r="T52" s="15"/>
      <c r="U52" s="14" t="str">
        <f t="shared" si="4"/>
        <v/>
      </c>
    </row>
    <row r="53" spans="1:21" ht="29" x14ac:dyDescent="0.35">
      <c r="A53" s="14">
        <v>4</v>
      </c>
      <c r="B53" s="14" t="s">
        <v>848</v>
      </c>
      <c r="C53" s="14" t="s">
        <v>887</v>
      </c>
      <c r="D53" s="14" t="s">
        <v>888</v>
      </c>
      <c r="E53" s="14" t="s">
        <v>69</v>
      </c>
      <c r="F53" s="14" t="s">
        <v>284</v>
      </c>
      <c r="G53" s="14" t="s">
        <v>691</v>
      </c>
      <c r="H53" s="14" t="s">
        <v>76</v>
      </c>
      <c r="I53" s="15"/>
      <c r="J53" s="15"/>
      <c r="K53" s="15"/>
      <c r="L53" s="15"/>
      <c r="M53" s="15"/>
      <c r="N53" s="15"/>
      <c r="O53" s="15"/>
      <c r="P53" s="15"/>
      <c r="Q53" s="15"/>
      <c r="R53" s="15"/>
      <c r="S53" s="15"/>
      <c r="T53" s="15"/>
      <c r="U53" s="14" t="str">
        <f t="shared" si="4"/>
        <v/>
      </c>
    </row>
    <row r="54" spans="1:21" ht="29" x14ac:dyDescent="0.35">
      <c r="A54" s="14">
        <v>5</v>
      </c>
      <c r="B54" s="14" t="s">
        <v>823</v>
      </c>
      <c r="C54" s="14" t="s">
        <v>889</v>
      </c>
      <c r="D54" s="14" t="s">
        <v>890</v>
      </c>
      <c r="E54" s="14" t="s">
        <v>69</v>
      </c>
      <c r="F54" s="14" t="s">
        <v>284</v>
      </c>
      <c r="G54" s="14" t="s">
        <v>691</v>
      </c>
      <c r="H54" s="14" t="s">
        <v>76</v>
      </c>
      <c r="I54" s="15"/>
      <c r="J54" s="15"/>
      <c r="K54" s="15"/>
      <c r="L54" s="15"/>
      <c r="M54" s="15"/>
      <c r="N54" s="15"/>
      <c r="O54" s="15"/>
      <c r="P54" s="15"/>
      <c r="Q54" s="15"/>
      <c r="R54" s="15"/>
      <c r="S54" s="15"/>
      <c r="T54" s="15"/>
      <c r="U54" s="14" t="str">
        <f t="shared" si="4"/>
        <v/>
      </c>
    </row>
    <row r="55" spans="1:21" ht="29" x14ac:dyDescent="0.35">
      <c r="A55" s="14">
        <v>6</v>
      </c>
      <c r="B55" s="14" t="s">
        <v>698</v>
      </c>
      <c r="C55" s="14" t="s">
        <v>891</v>
      </c>
      <c r="D55" s="14" t="s">
        <v>853</v>
      </c>
      <c r="E55" s="14" t="s">
        <v>690</v>
      </c>
      <c r="F55" s="14" t="s">
        <v>167</v>
      </c>
      <c r="G55" s="14" t="s">
        <v>691</v>
      </c>
      <c r="H55" s="14" t="s">
        <v>59</v>
      </c>
      <c r="I55" s="15"/>
      <c r="J55" s="15"/>
      <c r="K55" s="15"/>
      <c r="L55" s="15"/>
      <c r="M55" s="15"/>
      <c r="N55" s="15"/>
      <c r="O55" s="15"/>
      <c r="P55" s="15"/>
      <c r="Q55" s="15"/>
      <c r="R55" s="15"/>
      <c r="S55" s="15"/>
      <c r="T55" s="15"/>
      <c r="U55" s="14" t="str">
        <f t="shared" si="4"/>
        <v/>
      </c>
    </row>
    <row r="56" spans="1:21" ht="29" x14ac:dyDescent="0.35">
      <c r="A56" s="14">
        <v>7</v>
      </c>
      <c r="B56" s="14" t="s">
        <v>892</v>
      </c>
      <c r="C56" s="14" t="s">
        <v>893</v>
      </c>
      <c r="D56" s="14" t="s">
        <v>449</v>
      </c>
      <c r="E56" s="14" t="s">
        <v>690</v>
      </c>
      <c r="F56" s="14" t="s">
        <v>167</v>
      </c>
      <c r="G56" s="14" t="s">
        <v>691</v>
      </c>
      <c r="H56" s="14" t="s">
        <v>59</v>
      </c>
      <c r="I56" s="15"/>
      <c r="J56" s="15"/>
      <c r="K56" s="15"/>
      <c r="L56" s="15"/>
      <c r="M56" s="15"/>
      <c r="N56" s="15"/>
      <c r="O56" s="15"/>
      <c r="P56" s="15"/>
      <c r="Q56" s="15"/>
      <c r="R56" s="15"/>
      <c r="S56" s="15"/>
      <c r="T56" s="15"/>
      <c r="U56" s="14" t="str">
        <f t="shared" si="4"/>
        <v/>
      </c>
    </row>
    <row r="57" spans="1:21" ht="29" x14ac:dyDescent="0.35">
      <c r="A57" s="14">
        <v>8</v>
      </c>
      <c r="B57" s="14" t="s">
        <v>861</v>
      </c>
      <c r="C57" s="14" t="s">
        <v>894</v>
      </c>
      <c r="D57" s="14" t="s">
        <v>895</v>
      </c>
      <c r="E57" s="14" t="s">
        <v>690</v>
      </c>
      <c r="F57" s="14" t="s">
        <v>167</v>
      </c>
      <c r="G57" s="14" t="s">
        <v>691</v>
      </c>
      <c r="H57" s="14" t="s">
        <v>59</v>
      </c>
      <c r="I57" s="15"/>
      <c r="J57" s="15"/>
      <c r="K57" s="15"/>
      <c r="L57" s="15"/>
      <c r="M57" s="15"/>
      <c r="N57" s="15"/>
      <c r="O57" s="15"/>
      <c r="P57" s="15"/>
      <c r="Q57" s="15"/>
      <c r="R57" s="15"/>
      <c r="S57" s="15"/>
      <c r="T57" s="15"/>
      <c r="U57" s="14" t="str">
        <f t="shared" si="4"/>
        <v/>
      </c>
    </row>
    <row r="60" spans="1:21" ht="22" customHeight="1" x14ac:dyDescent="0.35">
      <c r="A60" s="26" t="s">
        <v>898</v>
      </c>
      <c r="B60" s="23"/>
      <c r="C60" s="23"/>
      <c r="D60" s="23"/>
      <c r="E60" s="23"/>
      <c r="F60" s="23"/>
      <c r="G60" s="23"/>
      <c r="H60" s="23"/>
      <c r="I60" s="23"/>
      <c r="J60" s="23"/>
      <c r="K60" s="23"/>
      <c r="L60" s="23"/>
      <c r="M60" s="23"/>
      <c r="N60" s="23"/>
      <c r="O60" s="23"/>
      <c r="P60" s="23"/>
      <c r="Q60" s="23"/>
      <c r="R60" s="23"/>
      <c r="S60" s="23"/>
      <c r="T60" s="23"/>
      <c r="U60" s="23"/>
    </row>
    <row r="61" spans="1:21" x14ac:dyDescent="0.35">
      <c r="A61" t="s">
        <v>31</v>
      </c>
      <c r="B61" t="s">
        <v>21</v>
      </c>
      <c r="C61" t="s">
        <v>32</v>
      </c>
      <c r="E61" t="s">
        <v>33</v>
      </c>
    </row>
    <row r="62" spans="1:21" ht="29" x14ac:dyDescent="0.35">
      <c r="A62" s="11" t="s">
        <v>34</v>
      </c>
      <c r="B62" s="11" t="s">
        <v>35</v>
      </c>
      <c r="C62" s="11" t="s">
        <v>36</v>
      </c>
      <c r="D62" s="11" t="s">
        <v>37</v>
      </c>
      <c r="E62" s="11" t="s">
        <v>38</v>
      </c>
      <c r="F62" s="11" t="s">
        <v>39</v>
      </c>
      <c r="G62" s="11" t="s">
        <v>40</v>
      </c>
      <c r="H62" s="11" t="s">
        <v>41</v>
      </c>
      <c r="I62" s="11" t="s">
        <v>42</v>
      </c>
      <c r="J62" s="11" t="s">
        <v>43</v>
      </c>
      <c r="K62" s="11" t="s">
        <v>44</v>
      </c>
      <c r="L62" s="11" t="s">
        <v>45</v>
      </c>
      <c r="M62" s="11" t="s">
        <v>46</v>
      </c>
      <c r="N62" s="11" t="s">
        <v>47</v>
      </c>
      <c r="O62" s="11" t="s">
        <v>48</v>
      </c>
      <c r="P62" s="11" t="s">
        <v>4</v>
      </c>
      <c r="Q62" s="11" t="s">
        <v>49</v>
      </c>
      <c r="R62" s="11" t="s">
        <v>50</v>
      </c>
      <c r="S62" s="11" t="s">
        <v>51</v>
      </c>
      <c r="T62" s="11" t="s">
        <v>52</v>
      </c>
      <c r="U62" s="11" t="s">
        <v>10</v>
      </c>
    </row>
    <row r="63" spans="1:21" ht="29" x14ac:dyDescent="0.35">
      <c r="A63" s="14">
        <v>1</v>
      </c>
      <c r="B63" s="14" t="s">
        <v>878</v>
      </c>
      <c r="C63" s="14" t="s">
        <v>879</v>
      </c>
      <c r="D63" s="14" t="s">
        <v>880</v>
      </c>
      <c r="E63" s="14" t="s">
        <v>690</v>
      </c>
      <c r="F63" s="14" t="s">
        <v>167</v>
      </c>
      <c r="G63" s="14" t="s">
        <v>691</v>
      </c>
      <c r="H63" s="14" t="s">
        <v>59</v>
      </c>
      <c r="I63" s="15"/>
      <c r="J63" s="15"/>
      <c r="K63" s="15"/>
      <c r="L63" s="15"/>
      <c r="M63" s="15"/>
      <c r="N63" s="15"/>
      <c r="O63" s="15"/>
      <c r="P63" s="15"/>
      <c r="Q63" s="15"/>
      <c r="R63" s="15"/>
      <c r="S63" s="15"/>
      <c r="T63" s="15"/>
      <c r="U63" s="14" t="str">
        <f t="shared" ref="U63:U70" si="5">IF(I63="","",IF(I63="NA","Grey",IF(I63=2,"Green",IF(I63=1,"Amber","Red"))))</f>
        <v/>
      </c>
    </row>
    <row r="64" spans="1:21" ht="29" x14ac:dyDescent="0.35">
      <c r="A64" s="14">
        <v>2</v>
      </c>
      <c r="B64" s="14" t="s">
        <v>881</v>
      </c>
      <c r="C64" s="14" t="s">
        <v>882</v>
      </c>
      <c r="D64" s="14" t="s">
        <v>883</v>
      </c>
      <c r="E64" s="14" t="s">
        <v>69</v>
      </c>
      <c r="F64" s="14" t="s">
        <v>284</v>
      </c>
      <c r="G64" s="14" t="s">
        <v>691</v>
      </c>
      <c r="H64" s="14" t="s">
        <v>76</v>
      </c>
      <c r="I64" s="15"/>
      <c r="J64" s="15"/>
      <c r="K64" s="15"/>
      <c r="L64" s="15"/>
      <c r="M64" s="15"/>
      <c r="N64" s="15"/>
      <c r="O64" s="15"/>
      <c r="P64" s="15"/>
      <c r="Q64" s="15"/>
      <c r="R64" s="15"/>
      <c r="S64" s="15"/>
      <c r="T64" s="15"/>
      <c r="U64" s="14" t="str">
        <f t="shared" si="5"/>
        <v/>
      </c>
    </row>
    <row r="65" spans="1:21" ht="29" x14ac:dyDescent="0.35">
      <c r="A65" s="14">
        <v>3</v>
      </c>
      <c r="B65" s="14" t="s">
        <v>884</v>
      </c>
      <c r="C65" s="14" t="s">
        <v>885</v>
      </c>
      <c r="D65" s="14" t="s">
        <v>886</v>
      </c>
      <c r="E65" s="14" t="s">
        <v>69</v>
      </c>
      <c r="F65" s="14" t="s">
        <v>284</v>
      </c>
      <c r="G65" s="14" t="s">
        <v>691</v>
      </c>
      <c r="H65" s="14" t="s">
        <v>76</v>
      </c>
      <c r="I65" s="15"/>
      <c r="J65" s="15"/>
      <c r="K65" s="15"/>
      <c r="L65" s="15"/>
      <c r="M65" s="15"/>
      <c r="N65" s="15"/>
      <c r="O65" s="15"/>
      <c r="P65" s="15"/>
      <c r="Q65" s="15"/>
      <c r="R65" s="15"/>
      <c r="S65" s="15"/>
      <c r="T65" s="15"/>
      <c r="U65" s="14" t="str">
        <f t="shared" si="5"/>
        <v/>
      </c>
    </row>
    <row r="66" spans="1:21" ht="29" x14ac:dyDescent="0.35">
      <c r="A66" s="14">
        <v>4</v>
      </c>
      <c r="B66" s="14" t="s">
        <v>848</v>
      </c>
      <c r="C66" s="14" t="s">
        <v>887</v>
      </c>
      <c r="D66" s="14" t="s">
        <v>888</v>
      </c>
      <c r="E66" s="14" t="s">
        <v>69</v>
      </c>
      <c r="F66" s="14" t="s">
        <v>284</v>
      </c>
      <c r="G66" s="14" t="s">
        <v>691</v>
      </c>
      <c r="H66" s="14" t="s">
        <v>76</v>
      </c>
      <c r="I66" s="15"/>
      <c r="J66" s="15"/>
      <c r="K66" s="15"/>
      <c r="L66" s="15"/>
      <c r="M66" s="15"/>
      <c r="N66" s="15"/>
      <c r="O66" s="15"/>
      <c r="P66" s="15"/>
      <c r="Q66" s="15"/>
      <c r="R66" s="15"/>
      <c r="S66" s="15"/>
      <c r="T66" s="15"/>
      <c r="U66" s="14" t="str">
        <f t="shared" si="5"/>
        <v/>
      </c>
    </row>
    <row r="67" spans="1:21" ht="29" x14ac:dyDescent="0.35">
      <c r="A67" s="14">
        <v>5</v>
      </c>
      <c r="B67" s="14" t="s">
        <v>823</v>
      </c>
      <c r="C67" s="14" t="s">
        <v>889</v>
      </c>
      <c r="D67" s="14" t="s">
        <v>890</v>
      </c>
      <c r="E67" s="14" t="s">
        <v>69</v>
      </c>
      <c r="F67" s="14" t="s">
        <v>284</v>
      </c>
      <c r="G67" s="14" t="s">
        <v>691</v>
      </c>
      <c r="H67" s="14" t="s">
        <v>76</v>
      </c>
      <c r="I67" s="15"/>
      <c r="J67" s="15"/>
      <c r="K67" s="15"/>
      <c r="L67" s="15"/>
      <c r="M67" s="15"/>
      <c r="N67" s="15"/>
      <c r="O67" s="15"/>
      <c r="P67" s="15"/>
      <c r="Q67" s="15"/>
      <c r="R67" s="15"/>
      <c r="S67" s="15"/>
      <c r="T67" s="15"/>
      <c r="U67" s="14" t="str">
        <f t="shared" si="5"/>
        <v/>
      </c>
    </row>
    <row r="68" spans="1:21" ht="29" x14ac:dyDescent="0.35">
      <c r="A68" s="14">
        <v>6</v>
      </c>
      <c r="B68" s="14" t="s">
        <v>698</v>
      </c>
      <c r="C68" s="14" t="s">
        <v>891</v>
      </c>
      <c r="D68" s="14" t="s">
        <v>853</v>
      </c>
      <c r="E68" s="14" t="s">
        <v>690</v>
      </c>
      <c r="F68" s="14" t="s">
        <v>167</v>
      </c>
      <c r="G68" s="14" t="s">
        <v>691</v>
      </c>
      <c r="H68" s="14" t="s">
        <v>59</v>
      </c>
      <c r="I68" s="15"/>
      <c r="J68" s="15"/>
      <c r="K68" s="15"/>
      <c r="L68" s="15"/>
      <c r="M68" s="15"/>
      <c r="N68" s="15"/>
      <c r="O68" s="15"/>
      <c r="P68" s="15"/>
      <c r="Q68" s="15"/>
      <c r="R68" s="15"/>
      <c r="S68" s="15"/>
      <c r="T68" s="15"/>
      <c r="U68" s="14" t="str">
        <f t="shared" si="5"/>
        <v/>
      </c>
    </row>
    <row r="69" spans="1:21" ht="29" x14ac:dyDescent="0.35">
      <c r="A69" s="14">
        <v>7</v>
      </c>
      <c r="B69" s="14" t="s">
        <v>892</v>
      </c>
      <c r="C69" s="14" t="s">
        <v>893</v>
      </c>
      <c r="D69" s="14" t="s">
        <v>449</v>
      </c>
      <c r="E69" s="14" t="s">
        <v>690</v>
      </c>
      <c r="F69" s="14" t="s">
        <v>167</v>
      </c>
      <c r="G69" s="14" t="s">
        <v>691</v>
      </c>
      <c r="H69" s="14" t="s">
        <v>59</v>
      </c>
      <c r="I69" s="15"/>
      <c r="J69" s="15"/>
      <c r="K69" s="15"/>
      <c r="L69" s="15"/>
      <c r="M69" s="15"/>
      <c r="N69" s="15"/>
      <c r="O69" s="15"/>
      <c r="P69" s="15"/>
      <c r="Q69" s="15"/>
      <c r="R69" s="15"/>
      <c r="S69" s="15"/>
      <c r="T69" s="15"/>
      <c r="U69" s="14" t="str">
        <f t="shared" si="5"/>
        <v/>
      </c>
    </row>
    <row r="70" spans="1:21" ht="29" x14ac:dyDescent="0.35">
      <c r="A70" s="14">
        <v>8</v>
      </c>
      <c r="B70" s="14" t="s">
        <v>861</v>
      </c>
      <c r="C70" s="14" t="s">
        <v>894</v>
      </c>
      <c r="D70" s="14" t="s">
        <v>895</v>
      </c>
      <c r="E70" s="14" t="s">
        <v>690</v>
      </c>
      <c r="F70" s="14" t="s">
        <v>167</v>
      </c>
      <c r="G70" s="14" t="s">
        <v>691</v>
      </c>
      <c r="H70" s="14" t="s">
        <v>59</v>
      </c>
      <c r="I70" s="15"/>
      <c r="J70" s="15"/>
      <c r="K70" s="15"/>
      <c r="L70" s="15"/>
      <c r="M70" s="15"/>
      <c r="N70" s="15"/>
      <c r="O70" s="15"/>
      <c r="P70" s="15"/>
      <c r="Q70" s="15"/>
      <c r="R70" s="15"/>
      <c r="S70" s="15"/>
      <c r="T70" s="15"/>
      <c r="U70" s="14" t="str">
        <f t="shared" si="5"/>
        <v/>
      </c>
    </row>
    <row r="73" spans="1:21" ht="22" customHeight="1" x14ac:dyDescent="0.35">
      <c r="A73" s="26" t="s">
        <v>899</v>
      </c>
      <c r="B73" s="23"/>
      <c r="C73" s="23"/>
      <c r="D73" s="23"/>
      <c r="E73" s="23"/>
      <c r="F73" s="23"/>
      <c r="G73" s="23"/>
      <c r="H73" s="23"/>
      <c r="I73" s="23"/>
      <c r="J73" s="23"/>
      <c r="K73" s="23"/>
      <c r="L73" s="23"/>
      <c r="M73" s="23"/>
      <c r="N73" s="23"/>
      <c r="O73" s="23"/>
      <c r="P73" s="23"/>
      <c r="Q73" s="23"/>
      <c r="R73" s="23"/>
      <c r="S73" s="23"/>
      <c r="T73" s="23"/>
      <c r="U73" s="23"/>
    </row>
    <row r="74" spans="1:21" x14ac:dyDescent="0.35">
      <c r="A74" t="s">
        <v>31</v>
      </c>
      <c r="B74" t="s">
        <v>22</v>
      </c>
      <c r="C74" t="s">
        <v>32</v>
      </c>
      <c r="E74" t="s">
        <v>33</v>
      </c>
    </row>
    <row r="75" spans="1:21" ht="29" x14ac:dyDescent="0.35">
      <c r="A75" s="11" t="s">
        <v>34</v>
      </c>
      <c r="B75" s="11" t="s">
        <v>35</v>
      </c>
      <c r="C75" s="11" t="s">
        <v>36</v>
      </c>
      <c r="D75" s="11" t="s">
        <v>37</v>
      </c>
      <c r="E75" s="11" t="s">
        <v>38</v>
      </c>
      <c r="F75" s="11" t="s">
        <v>39</v>
      </c>
      <c r="G75" s="11" t="s">
        <v>40</v>
      </c>
      <c r="H75" s="11" t="s">
        <v>41</v>
      </c>
      <c r="I75" s="11" t="s">
        <v>42</v>
      </c>
      <c r="J75" s="11" t="s">
        <v>43</v>
      </c>
      <c r="K75" s="11" t="s">
        <v>44</v>
      </c>
      <c r="L75" s="11" t="s">
        <v>45</v>
      </c>
      <c r="M75" s="11" t="s">
        <v>46</v>
      </c>
      <c r="N75" s="11" t="s">
        <v>47</v>
      </c>
      <c r="O75" s="11" t="s">
        <v>48</v>
      </c>
      <c r="P75" s="11" t="s">
        <v>4</v>
      </c>
      <c r="Q75" s="11" t="s">
        <v>49</v>
      </c>
      <c r="R75" s="11" t="s">
        <v>50</v>
      </c>
      <c r="S75" s="11" t="s">
        <v>51</v>
      </c>
      <c r="T75" s="11" t="s">
        <v>52</v>
      </c>
      <c r="U75" s="11" t="s">
        <v>10</v>
      </c>
    </row>
    <row r="76" spans="1:21" ht="29" x14ac:dyDescent="0.35">
      <c r="A76" s="14">
        <v>1</v>
      </c>
      <c r="B76" s="14" t="s">
        <v>878</v>
      </c>
      <c r="C76" s="14" t="s">
        <v>879</v>
      </c>
      <c r="D76" s="14" t="s">
        <v>880</v>
      </c>
      <c r="E76" s="14" t="s">
        <v>690</v>
      </c>
      <c r="F76" s="14" t="s">
        <v>167</v>
      </c>
      <c r="G76" s="14" t="s">
        <v>691</v>
      </c>
      <c r="H76" s="14" t="s">
        <v>59</v>
      </c>
      <c r="I76" s="15"/>
      <c r="J76" s="15"/>
      <c r="K76" s="15"/>
      <c r="L76" s="15"/>
      <c r="M76" s="15"/>
      <c r="N76" s="15"/>
      <c r="O76" s="15"/>
      <c r="P76" s="15"/>
      <c r="Q76" s="15"/>
      <c r="R76" s="15"/>
      <c r="S76" s="15"/>
      <c r="T76" s="15"/>
      <c r="U76" s="14" t="str">
        <f t="shared" ref="U76:U83" si="6">IF(I76="","",IF(I76="NA","Grey",IF(I76=2,"Green",IF(I76=1,"Amber","Red"))))</f>
        <v/>
      </c>
    </row>
    <row r="77" spans="1:21" ht="29" x14ac:dyDescent="0.35">
      <c r="A77" s="14">
        <v>2</v>
      </c>
      <c r="B77" s="14" t="s">
        <v>881</v>
      </c>
      <c r="C77" s="14" t="s">
        <v>882</v>
      </c>
      <c r="D77" s="14" t="s">
        <v>883</v>
      </c>
      <c r="E77" s="14" t="s">
        <v>69</v>
      </c>
      <c r="F77" s="14" t="s">
        <v>284</v>
      </c>
      <c r="G77" s="14" t="s">
        <v>691</v>
      </c>
      <c r="H77" s="14" t="s">
        <v>76</v>
      </c>
      <c r="I77" s="15"/>
      <c r="J77" s="15"/>
      <c r="K77" s="15"/>
      <c r="L77" s="15"/>
      <c r="M77" s="15"/>
      <c r="N77" s="15"/>
      <c r="O77" s="15"/>
      <c r="P77" s="15"/>
      <c r="Q77" s="15"/>
      <c r="R77" s="15"/>
      <c r="S77" s="15"/>
      <c r="T77" s="15"/>
      <c r="U77" s="14" t="str">
        <f t="shared" si="6"/>
        <v/>
      </c>
    </row>
    <row r="78" spans="1:21" ht="29" x14ac:dyDescent="0.35">
      <c r="A78" s="14">
        <v>3</v>
      </c>
      <c r="B78" s="14" t="s">
        <v>884</v>
      </c>
      <c r="C78" s="14" t="s">
        <v>885</v>
      </c>
      <c r="D78" s="14" t="s">
        <v>886</v>
      </c>
      <c r="E78" s="14" t="s">
        <v>69</v>
      </c>
      <c r="F78" s="14" t="s">
        <v>284</v>
      </c>
      <c r="G78" s="14" t="s">
        <v>691</v>
      </c>
      <c r="H78" s="14" t="s">
        <v>76</v>
      </c>
      <c r="I78" s="15"/>
      <c r="J78" s="15"/>
      <c r="K78" s="15"/>
      <c r="L78" s="15"/>
      <c r="M78" s="15"/>
      <c r="N78" s="15"/>
      <c r="O78" s="15"/>
      <c r="P78" s="15"/>
      <c r="Q78" s="15"/>
      <c r="R78" s="15"/>
      <c r="S78" s="15"/>
      <c r="T78" s="15"/>
      <c r="U78" s="14" t="str">
        <f t="shared" si="6"/>
        <v/>
      </c>
    </row>
    <row r="79" spans="1:21" ht="29" x14ac:dyDescent="0.35">
      <c r="A79" s="14">
        <v>4</v>
      </c>
      <c r="B79" s="14" t="s">
        <v>848</v>
      </c>
      <c r="C79" s="14" t="s">
        <v>887</v>
      </c>
      <c r="D79" s="14" t="s">
        <v>888</v>
      </c>
      <c r="E79" s="14" t="s">
        <v>69</v>
      </c>
      <c r="F79" s="14" t="s">
        <v>284</v>
      </c>
      <c r="G79" s="14" t="s">
        <v>691</v>
      </c>
      <c r="H79" s="14" t="s">
        <v>76</v>
      </c>
      <c r="I79" s="15"/>
      <c r="J79" s="15"/>
      <c r="K79" s="15"/>
      <c r="L79" s="15"/>
      <c r="M79" s="15"/>
      <c r="N79" s="15"/>
      <c r="O79" s="15"/>
      <c r="P79" s="15"/>
      <c r="Q79" s="15"/>
      <c r="R79" s="15"/>
      <c r="S79" s="15"/>
      <c r="T79" s="15"/>
      <c r="U79" s="14" t="str">
        <f t="shared" si="6"/>
        <v/>
      </c>
    </row>
    <row r="80" spans="1:21" ht="29" x14ac:dyDescent="0.35">
      <c r="A80" s="14">
        <v>5</v>
      </c>
      <c r="B80" s="14" t="s">
        <v>823</v>
      </c>
      <c r="C80" s="14" t="s">
        <v>889</v>
      </c>
      <c r="D80" s="14" t="s">
        <v>890</v>
      </c>
      <c r="E80" s="14" t="s">
        <v>69</v>
      </c>
      <c r="F80" s="14" t="s">
        <v>284</v>
      </c>
      <c r="G80" s="14" t="s">
        <v>691</v>
      </c>
      <c r="H80" s="14" t="s">
        <v>76</v>
      </c>
      <c r="I80" s="15"/>
      <c r="J80" s="15"/>
      <c r="K80" s="15"/>
      <c r="L80" s="15"/>
      <c r="M80" s="15"/>
      <c r="N80" s="15"/>
      <c r="O80" s="15"/>
      <c r="P80" s="15"/>
      <c r="Q80" s="15"/>
      <c r="R80" s="15"/>
      <c r="S80" s="15"/>
      <c r="T80" s="15"/>
      <c r="U80" s="14" t="str">
        <f t="shared" si="6"/>
        <v/>
      </c>
    </row>
    <row r="81" spans="1:21" ht="29" x14ac:dyDescent="0.35">
      <c r="A81" s="14">
        <v>6</v>
      </c>
      <c r="B81" s="14" t="s">
        <v>698</v>
      </c>
      <c r="C81" s="14" t="s">
        <v>891</v>
      </c>
      <c r="D81" s="14" t="s">
        <v>853</v>
      </c>
      <c r="E81" s="14" t="s">
        <v>690</v>
      </c>
      <c r="F81" s="14" t="s">
        <v>167</v>
      </c>
      <c r="G81" s="14" t="s">
        <v>691</v>
      </c>
      <c r="H81" s="14" t="s">
        <v>59</v>
      </c>
      <c r="I81" s="15"/>
      <c r="J81" s="15"/>
      <c r="K81" s="15"/>
      <c r="L81" s="15"/>
      <c r="M81" s="15"/>
      <c r="N81" s="15"/>
      <c r="O81" s="15"/>
      <c r="P81" s="15"/>
      <c r="Q81" s="15"/>
      <c r="R81" s="15"/>
      <c r="S81" s="15"/>
      <c r="T81" s="15"/>
      <c r="U81" s="14" t="str">
        <f t="shared" si="6"/>
        <v/>
      </c>
    </row>
    <row r="82" spans="1:21" ht="29" x14ac:dyDescent="0.35">
      <c r="A82" s="14">
        <v>7</v>
      </c>
      <c r="B82" s="14" t="s">
        <v>892</v>
      </c>
      <c r="C82" s="14" t="s">
        <v>893</v>
      </c>
      <c r="D82" s="14" t="s">
        <v>449</v>
      </c>
      <c r="E82" s="14" t="s">
        <v>690</v>
      </c>
      <c r="F82" s="14" t="s">
        <v>167</v>
      </c>
      <c r="G82" s="14" t="s">
        <v>691</v>
      </c>
      <c r="H82" s="14" t="s">
        <v>59</v>
      </c>
      <c r="I82" s="15"/>
      <c r="J82" s="15"/>
      <c r="K82" s="15"/>
      <c r="L82" s="15"/>
      <c r="M82" s="15"/>
      <c r="N82" s="15"/>
      <c r="O82" s="15"/>
      <c r="P82" s="15"/>
      <c r="Q82" s="15"/>
      <c r="R82" s="15"/>
      <c r="S82" s="15"/>
      <c r="T82" s="15"/>
      <c r="U82" s="14" t="str">
        <f t="shared" si="6"/>
        <v/>
      </c>
    </row>
    <row r="83" spans="1:21" ht="29" x14ac:dyDescent="0.35">
      <c r="A83" s="14">
        <v>8</v>
      </c>
      <c r="B83" s="14" t="s">
        <v>861</v>
      </c>
      <c r="C83" s="14" t="s">
        <v>894</v>
      </c>
      <c r="D83" s="14" t="s">
        <v>895</v>
      </c>
      <c r="E83" s="14" t="s">
        <v>690</v>
      </c>
      <c r="F83" s="14" t="s">
        <v>167</v>
      </c>
      <c r="G83" s="14" t="s">
        <v>691</v>
      </c>
      <c r="H83" s="14" t="s">
        <v>59</v>
      </c>
      <c r="I83" s="15"/>
      <c r="J83" s="15"/>
      <c r="K83" s="15"/>
      <c r="L83" s="15"/>
      <c r="M83" s="15"/>
      <c r="N83" s="15"/>
      <c r="O83" s="15"/>
      <c r="P83" s="15"/>
      <c r="Q83" s="15"/>
      <c r="R83" s="15"/>
      <c r="S83" s="15"/>
      <c r="T83" s="15"/>
      <c r="U83" s="14" t="str">
        <f t="shared" si="6"/>
        <v/>
      </c>
    </row>
    <row r="86" spans="1:21" ht="22" customHeight="1" x14ac:dyDescent="0.35">
      <c r="A86" s="26" t="s">
        <v>900</v>
      </c>
      <c r="B86" s="23"/>
      <c r="C86" s="23"/>
      <c r="D86" s="23"/>
      <c r="E86" s="23"/>
      <c r="F86" s="23"/>
      <c r="G86" s="23"/>
      <c r="H86" s="23"/>
      <c r="I86" s="23"/>
      <c r="J86" s="23"/>
      <c r="K86" s="23"/>
      <c r="L86" s="23"/>
      <c r="M86" s="23"/>
      <c r="N86" s="23"/>
      <c r="O86" s="23"/>
      <c r="P86" s="23"/>
      <c r="Q86" s="23"/>
      <c r="R86" s="23"/>
      <c r="S86" s="23"/>
      <c r="T86" s="23"/>
      <c r="U86" s="23"/>
    </row>
    <row r="87" spans="1:21" x14ac:dyDescent="0.35">
      <c r="A87" t="s">
        <v>31</v>
      </c>
      <c r="B87" t="s">
        <v>23</v>
      </c>
      <c r="C87" t="s">
        <v>32</v>
      </c>
      <c r="E87" t="s">
        <v>33</v>
      </c>
    </row>
    <row r="88" spans="1:21" ht="29" x14ac:dyDescent="0.35">
      <c r="A88" s="11" t="s">
        <v>34</v>
      </c>
      <c r="B88" s="11" t="s">
        <v>35</v>
      </c>
      <c r="C88" s="11" t="s">
        <v>36</v>
      </c>
      <c r="D88" s="11" t="s">
        <v>37</v>
      </c>
      <c r="E88" s="11" t="s">
        <v>38</v>
      </c>
      <c r="F88" s="11" t="s">
        <v>39</v>
      </c>
      <c r="G88" s="11" t="s">
        <v>40</v>
      </c>
      <c r="H88" s="11" t="s">
        <v>41</v>
      </c>
      <c r="I88" s="11" t="s">
        <v>42</v>
      </c>
      <c r="J88" s="11" t="s">
        <v>43</v>
      </c>
      <c r="K88" s="11" t="s">
        <v>44</v>
      </c>
      <c r="L88" s="11" t="s">
        <v>45</v>
      </c>
      <c r="M88" s="11" t="s">
        <v>46</v>
      </c>
      <c r="N88" s="11" t="s">
        <v>47</v>
      </c>
      <c r="O88" s="11" t="s">
        <v>48</v>
      </c>
      <c r="P88" s="11" t="s">
        <v>4</v>
      </c>
      <c r="Q88" s="11" t="s">
        <v>49</v>
      </c>
      <c r="R88" s="11" t="s">
        <v>50</v>
      </c>
      <c r="S88" s="11" t="s">
        <v>51</v>
      </c>
      <c r="T88" s="11" t="s">
        <v>52</v>
      </c>
      <c r="U88" s="11" t="s">
        <v>10</v>
      </c>
    </row>
    <row r="89" spans="1:21" ht="29" x14ac:dyDescent="0.35">
      <c r="A89" s="14">
        <v>1</v>
      </c>
      <c r="B89" s="14" t="s">
        <v>878</v>
      </c>
      <c r="C89" s="14" t="s">
        <v>879</v>
      </c>
      <c r="D89" s="14" t="s">
        <v>880</v>
      </c>
      <c r="E89" s="14" t="s">
        <v>690</v>
      </c>
      <c r="F89" s="14" t="s">
        <v>167</v>
      </c>
      <c r="G89" s="14" t="s">
        <v>691</v>
      </c>
      <c r="H89" s="14" t="s">
        <v>59</v>
      </c>
      <c r="I89" s="15"/>
      <c r="J89" s="15"/>
      <c r="K89" s="15"/>
      <c r="L89" s="15"/>
      <c r="M89" s="15"/>
      <c r="N89" s="15"/>
      <c r="O89" s="15"/>
      <c r="P89" s="15"/>
      <c r="Q89" s="15"/>
      <c r="R89" s="15"/>
      <c r="S89" s="15"/>
      <c r="T89" s="15"/>
      <c r="U89" s="14" t="str">
        <f t="shared" ref="U89:U96" si="7">IF(I89="","",IF(I89="NA","Grey",IF(I89=2,"Green",IF(I89=1,"Amber","Red"))))</f>
        <v/>
      </c>
    </row>
    <row r="90" spans="1:21" ht="29" x14ac:dyDescent="0.35">
      <c r="A90" s="14">
        <v>2</v>
      </c>
      <c r="B90" s="14" t="s">
        <v>881</v>
      </c>
      <c r="C90" s="14" t="s">
        <v>882</v>
      </c>
      <c r="D90" s="14" t="s">
        <v>883</v>
      </c>
      <c r="E90" s="14" t="s">
        <v>69</v>
      </c>
      <c r="F90" s="14" t="s">
        <v>284</v>
      </c>
      <c r="G90" s="14" t="s">
        <v>691</v>
      </c>
      <c r="H90" s="14" t="s">
        <v>76</v>
      </c>
      <c r="I90" s="15"/>
      <c r="J90" s="15"/>
      <c r="K90" s="15"/>
      <c r="L90" s="15"/>
      <c r="M90" s="15"/>
      <c r="N90" s="15"/>
      <c r="O90" s="15"/>
      <c r="P90" s="15"/>
      <c r="Q90" s="15"/>
      <c r="R90" s="15"/>
      <c r="S90" s="15"/>
      <c r="T90" s="15"/>
      <c r="U90" s="14" t="str">
        <f t="shared" si="7"/>
        <v/>
      </c>
    </row>
    <row r="91" spans="1:21" ht="29" x14ac:dyDescent="0.35">
      <c r="A91" s="14">
        <v>3</v>
      </c>
      <c r="B91" s="14" t="s">
        <v>884</v>
      </c>
      <c r="C91" s="14" t="s">
        <v>885</v>
      </c>
      <c r="D91" s="14" t="s">
        <v>886</v>
      </c>
      <c r="E91" s="14" t="s">
        <v>69</v>
      </c>
      <c r="F91" s="14" t="s">
        <v>284</v>
      </c>
      <c r="G91" s="14" t="s">
        <v>691</v>
      </c>
      <c r="H91" s="14" t="s">
        <v>76</v>
      </c>
      <c r="I91" s="15"/>
      <c r="J91" s="15"/>
      <c r="K91" s="15"/>
      <c r="L91" s="15"/>
      <c r="M91" s="15"/>
      <c r="N91" s="15"/>
      <c r="O91" s="15"/>
      <c r="P91" s="15"/>
      <c r="Q91" s="15"/>
      <c r="R91" s="15"/>
      <c r="S91" s="15"/>
      <c r="T91" s="15"/>
      <c r="U91" s="14" t="str">
        <f t="shared" si="7"/>
        <v/>
      </c>
    </row>
    <row r="92" spans="1:21" ht="29" x14ac:dyDescent="0.35">
      <c r="A92" s="14">
        <v>4</v>
      </c>
      <c r="B92" s="14" t="s">
        <v>848</v>
      </c>
      <c r="C92" s="14" t="s">
        <v>887</v>
      </c>
      <c r="D92" s="14" t="s">
        <v>888</v>
      </c>
      <c r="E92" s="14" t="s">
        <v>69</v>
      </c>
      <c r="F92" s="14" t="s">
        <v>284</v>
      </c>
      <c r="G92" s="14" t="s">
        <v>691</v>
      </c>
      <c r="H92" s="14" t="s">
        <v>76</v>
      </c>
      <c r="I92" s="15"/>
      <c r="J92" s="15"/>
      <c r="K92" s="15"/>
      <c r="L92" s="15"/>
      <c r="M92" s="15"/>
      <c r="N92" s="15"/>
      <c r="O92" s="15"/>
      <c r="P92" s="15"/>
      <c r="Q92" s="15"/>
      <c r="R92" s="15"/>
      <c r="S92" s="15"/>
      <c r="T92" s="15"/>
      <c r="U92" s="14" t="str">
        <f t="shared" si="7"/>
        <v/>
      </c>
    </row>
    <row r="93" spans="1:21" ht="29" x14ac:dyDescent="0.35">
      <c r="A93" s="14">
        <v>5</v>
      </c>
      <c r="B93" s="14" t="s">
        <v>823</v>
      </c>
      <c r="C93" s="14" t="s">
        <v>889</v>
      </c>
      <c r="D93" s="14" t="s">
        <v>890</v>
      </c>
      <c r="E93" s="14" t="s">
        <v>69</v>
      </c>
      <c r="F93" s="14" t="s">
        <v>284</v>
      </c>
      <c r="G93" s="14" t="s">
        <v>691</v>
      </c>
      <c r="H93" s="14" t="s">
        <v>76</v>
      </c>
      <c r="I93" s="15"/>
      <c r="J93" s="15"/>
      <c r="K93" s="15"/>
      <c r="L93" s="15"/>
      <c r="M93" s="15"/>
      <c r="N93" s="15"/>
      <c r="O93" s="15"/>
      <c r="P93" s="15"/>
      <c r="Q93" s="15"/>
      <c r="R93" s="15"/>
      <c r="S93" s="15"/>
      <c r="T93" s="15"/>
      <c r="U93" s="14" t="str">
        <f t="shared" si="7"/>
        <v/>
      </c>
    </row>
    <row r="94" spans="1:21" ht="29" x14ac:dyDescent="0.35">
      <c r="A94" s="14">
        <v>6</v>
      </c>
      <c r="B94" s="14" t="s">
        <v>698</v>
      </c>
      <c r="C94" s="14" t="s">
        <v>891</v>
      </c>
      <c r="D94" s="14" t="s">
        <v>853</v>
      </c>
      <c r="E94" s="14" t="s">
        <v>690</v>
      </c>
      <c r="F94" s="14" t="s">
        <v>167</v>
      </c>
      <c r="G94" s="14" t="s">
        <v>691</v>
      </c>
      <c r="H94" s="14" t="s">
        <v>59</v>
      </c>
      <c r="I94" s="15"/>
      <c r="J94" s="15"/>
      <c r="K94" s="15"/>
      <c r="L94" s="15"/>
      <c r="M94" s="15"/>
      <c r="N94" s="15"/>
      <c r="O94" s="15"/>
      <c r="P94" s="15"/>
      <c r="Q94" s="15"/>
      <c r="R94" s="15"/>
      <c r="S94" s="15"/>
      <c r="T94" s="15"/>
      <c r="U94" s="14" t="str">
        <f t="shared" si="7"/>
        <v/>
      </c>
    </row>
    <row r="95" spans="1:21" ht="29" x14ac:dyDescent="0.35">
      <c r="A95" s="14">
        <v>7</v>
      </c>
      <c r="B95" s="14" t="s">
        <v>892</v>
      </c>
      <c r="C95" s="14" t="s">
        <v>893</v>
      </c>
      <c r="D95" s="14" t="s">
        <v>449</v>
      </c>
      <c r="E95" s="14" t="s">
        <v>690</v>
      </c>
      <c r="F95" s="14" t="s">
        <v>167</v>
      </c>
      <c r="G95" s="14" t="s">
        <v>691</v>
      </c>
      <c r="H95" s="14" t="s">
        <v>59</v>
      </c>
      <c r="I95" s="15"/>
      <c r="J95" s="15"/>
      <c r="K95" s="15"/>
      <c r="L95" s="15"/>
      <c r="M95" s="15"/>
      <c r="N95" s="15"/>
      <c r="O95" s="15"/>
      <c r="P95" s="15"/>
      <c r="Q95" s="15"/>
      <c r="R95" s="15"/>
      <c r="S95" s="15"/>
      <c r="T95" s="15"/>
      <c r="U95" s="14" t="str">
        <f t="shared" si="7"/>
        <v/>
      </c>
    </row>
    <row r="96" spans="1:21" ht="29" x14ac:dyDescent="0.35">
      <c r="A96" s="14">
        <v>8</v>
      </c>
      <c r="B96" s="14" t="s">
        <v>861</v>
      </c>
      <c r="C96" s="14" t="s">
        <v>894</v>
      </c>
      <c r="D96" s="14" t="s">
        <v>895</v>
      </c>
      <c r="E96" s="14" t="s">
        <v>690</v>
      </c>
      <c r="F96" s="14" t="s">
        <v>167</v>
      </c>
      <c r="G96" s="14" t="s">
        <v>691</v>
      </c>
      <c r="H96" s="14" t="s">
        <v>59</v>
      </c>
      <c r="I96" s="15"/>
      <c r="J96" s="15"/>
      <c r="K96" s="15"/>
      <c r="L96" s="15"/>
      <c r="M96" s="15"/>
      <c r="N96" s="15"/>
      <c r="O96" s="15"/>
      <c r="P96" s="15"/>
      <c r="Q96" s="15"/>
      <c r="R96" s="15"/>
      <c r="S96" s="15"/>
      <c r="T96" s="15"/>
      <c r="U96" s="14" t="str">
        <f t="shared" si="7"/>
        <v/>
      </c>
    </row>
    <row r="99" spans="1:21" ht="22" customHeight="1" x14ac:dyDescent="0.35">
      <c r="A99" s="26" t="s">
        <v>901</v>
      </c>
      <c r="B99" s="23"/>
      <c r="C99" s="23"/>
      <c r="D99" s="23"/>
      <c r="E99" s="23"/>
      <c r="F99" s="23"/>
      <c r="G99" s="23"/>
      <c r="H99" s="23"/>
      <c r="I99" s="23"/>
      <c r="J99" s="23"/>
      <c r="K99" s="23"/>
      <c r="L99" s="23"/>
      <c r="M99" s="23"/>
      <c r="N99" s="23"/>
      <c r="O99" s="23"/>
      <c r="P99" s="23"/>
      <c r="Q99" s="23"/>
      <c r="R99" s="23"/>
      <c r="S99" s="23"/>
      <c r="T99" s="23"/>
      <c r="U99" s="23"/>
    </row>
    <row r="100" spans="1:21" x14ac:dyDescent="0.35">
      <c r="A100" t="s">
        <v>31</v>
      </c>
      <c r="B100" t="s">
        <v>24</v>
      </c>
      <c r="C100" t="s">
        <v>32</v>
      </c>
      <c r="E100" t="s">
        <v>33</v>
      </c>
    </row>
    <row r="101" spans="1:21" ht="29" x14ac:dyDescent="0.35">
      <c r="A101" s="11" t="s">
        <v>34</v>
      </c>
      <c r="B101" s="11" t="s">
        <v>35</v>
      </c>
      <c r="C101" s="11" t="s">
        <v>36</v>
      </c>
      <c r="D101" s="11" t="s">
        <v>37</v>
      </c>
      <c r="E101" s="11" t="s">
        <v>38</v>
      </c>
      <c r="F101" s="11" t="s">
        <v>39</v>
      </c>
      <c r="G101" s="11" t="s">
        <v>40</v>
      </c>
      <c r="H101" s="11" t="s">
        <v>41</v>
      </c>
      <c r="I101" s="11" t="s">
        <v>42</v>
      </c>
      <c r="J101" s="11" t="s">
        <v>43</v>
      </c>
      <c r="K101" s="11" t="s">
        <v>44</v>
      </c>
      <c r="L101" s="11" t="s">
        <v>45</v>
      </c>
      <c r="M101" s="11" t="s">
        <v>46</v>
      </c>
      <c r="N101" s="11" t="s">
        <v>47</v>
      </c>
      <c r="O101" s="11" t="s">
        <v>48</v>
      </c>
      <c r="P101" s="11" t="s">
        <v>4</v>
      </c>
      <c r="Q101" s="11" t="s">
        <v>49</v>
      </c>
      <c r="R101" s="11" t="s">
        <v>50</v>
      </c>
      <c r="S101" s="11" t="s">
        <v>51</v>
      </c>
      <c r="T101" s="11" t="s">
        <v>52</v>
      </c>
      <c r="U101" s="11" t="s">
        <v>10</v>
      </c>
    </row>
    <row r="102" spans="1:21" ht="29" x14ac:dyDescent="0.35">
      <c r="A102" s="14">
        <v>1</v>
      </c>
      <c r="B102" s="14" t="s">
        <v>878</v>
      </c>
      <c r="C102" s="14" t="s">
        <v>879</v>
      </c>
      <c r="D102" s="14" t="s">
        <v>880</v>
      </c>
      <c r="E102" s="14" t="s">
        <v>690</v>
      </c>
      <c r="F102" s="14" t="s">
        <v>167</v>
      </c>
      <c r="G102" s="14" t="s">
        <v>691</v>
      </c>
      <c r="H102" s="14" t="s">
        <v>59</v>
      </c>
      <c r="I102" s="15"/>
      <c r="J102" s="15"/>
      <c r="K102" s="15"/>
      <c r="L102" s="15"/>
      <c r="M102" s="15"/>
      <c r="N102" s="15"/>
      <c r="O102" s="15"/>
      <c r="P102" s="15"/>
      <c r="Q102" s="15"/>
      <c r="R102" s="15"/>
      <c r="S102" s="15"/>
      <c r="T102" s="15"/>
      <c r="U102" s="14" t="str">
        <f t="shared" ref="U102:U109" si="8">IF(I102="","",IF(I102="NA","Grey",IF(I102=2,"Green",IF(I102=1,"Amber","Red"))))</f>
        <v/>
      </c>
    </row>
    <row r="103" spans="1:21" ht="29" x14ac:dyDescent="0.35">
      <c r="A103" s="14">
        <v>2</v>
      </c>
      <c r="B103" s="14" t="s">
        <v>881</v>
      </c>
      <c r="C103" s="14" t="s">
        <v>882</v>
      </c>
      <c r="D103" s="14" t="s">
        <v>883</v>
      </c>
      <c r="E103" s="14" t="s">
        <v>69</v>
      </c>
      <c r="F103" s="14" t="s">
        <v>284</v>
      </c>
      <c r="G103" s="14" t="s">
        <v>691</v>
      </c>
      <c r="H103" s="14" t="s">
        <v>76</v>
      </c>
      <c r="I103" s="15"/>
      <c r="J103" s="15"/>
      <c r="K103" s="15"/>
      <c r="L103" s="15"/>
      <c r="M103" s="15"/>
      <c r="N103" s="15"/>
      <c r="O103" s="15"/>
      <c r="P103" s="15"/>
      <c r="Q103" s="15"/>
      <c r="R103" s="15"/>
      <c r="S103" s="15"/>
      <c r="T103" s="15"/>
      <c r="U103" s="14" t="str">
        <f t="shared" si="8"/>
        <v/>
      </c>
    </row>
    <row r="104" spans="1:21" ht="29" x14ac:dyDescent="0.35">
      <c r="A104" s="14">
        <v>3</v>
      </c>
      <c r="B104" s="14" t="s">
        <v>884</v>
      </c>
      <c r="C104" s="14" t="s">
        <v>885</v>
      </c>
      <c r="D104" s="14" t="s">
        <v>886</v>
      </c>
      <c r="E104" s="14" t="s">
        <v>69</v>
      </c>
      <c r="F104" s="14" t="s">
        <v>284</v>
      </c>
      <c r="G104" s="14" t="s">
        <v>691</v>
      </c>
      <c r="H104" s="14" t="s">
        <v>76</v>
      </c>
      <c r="I104" s="15"/>
      <c r="J104" s="15"/>
      <c r="K104" s="15"/>
      <c r="L104" s="15"/>
      <c r="M104" s="15"/>
      <c r="N104" s="15"/>
      <c r="O104" s="15"/>
      <c r="P104" s="15"/>
      <c r="Q104" s="15"/>
      <c r="R104" s="15"/>
      <c r="S104" s="15"/>
      <c r="T104" s="15"/>
      <c r="U104" s="14" t="str">
        <f t="shared" si="8"/>
        <v/>
      </c>
    </row>
    <row r="105" spans="1:21" ht="29" x14ac:dyDescent="0.35">
      <c r="A105" s="14">
        <v>4</v>
      </c>
      <c r="B105" s="14" t="s">
        <v>848</v>
      </c>
      <c r="C105" s="14" t="s">
        <v>887</v>
      </c>
      <c r="D105" s="14" t="s">
        <v>888</v>
      </c>
      <c r="E105" s="14" t="s">
        <v>69</v>
      </c>
      <c r="F105" s="14" t="s">
        <v>284</v>
      </c>
      <c r="G105" s="14" t="s">
        <v>691</v>
      </c>
      <c r="H105" s="14" t="s">
        <v>76</v>
      </c>
      <c r="I105" s="15"/>
      <c r="J105" s="15"/>
      <c r="K105" s="15"/>
      <c r="L105" s="15"/>
      <c r="M105" s="15"/>
      <c r="N105" s="15"/>
      <c r="O105" s="15"/>
      <c r="P105" s="15"/>
      <c r="Q105" s="15"/>
      <c r="R105" s="15"/>
      <c r="S105" s="15"/>
      <c r="T105" s="15"/>
      <c r="U105" s="14" t="str">
        <f t="shared" si="8"/>
        <v/>
      </c>
    </row>
    <row r="106" spans="1:21" ht="29" x14ac:dyDescent="0.35">
      <c r="A106" s="14">
        <v>5</v>
      </c>
      <c r="B106" s="14" t="s">
        <v>823</v>
      </c>
      <c r="C106" s="14" t="s">
        <v>889</v>
      </c>
      <c r="D106" s="14" t="s">
        <v>890</v>
      </c>
      <c r="E106" s="14" t="s">
        <v>69</v>
      </c>
      <c r="F106" s="14" t="s">
        <v>284</v>
      </c>
      <c r="G106" s="14" t="s">
        <v>691</v>
      </c>
      <c r="H106" s="14" t="s">
        <v>76</v>
      </c>
      <c r="I106" s="15"/>
      <c r="J106" s="15"/>
      <c r="K106" s="15"/>
      <c r="L106" s="15"/>
      <c r="M106" s="15"/>
      <c r="N106" s="15"/>
      <c r="O106" s="15"/>
      <c r="P106" s="15"/>
      <c r="Q106" s="15"/>
      <c r="R106" s="15"/>
      <c r="S106" s="15"/>
      <c r="T106" s="15"/>
      <c r="U106" s="14" t="str">
        <f t="shared" si="8"/>
        <v/>
      </c>
    </row>
    <row r="107" spans="1:21" ht="29" x14ac:dyDescent="0.35">
      <c r="A107" s="14">
        <v>6</v>
      </c>
      <c r="B107" s="14" t="s">
        <v>698</v>
      </c>
      <c r="C107" s="14" t="s">
        <v>891</v>
      </c>
      <c r="D107" s="14" t="s">
        <v>853</v>
      </c>
      <c r="E107" s="14" t="s">
        <v>690</v>
      </c>
      <c r="F107" s="14" t="s">
        <v>167</v>
      </c>
      <c r="G107" s="14" t="s">
        <v>691</v>
      </c>
      <c r="H107" s="14" t="s">
        <v>59</v>
      </c>
      <c r="I107" s="15"/>
      <c r="J107" s="15"/>
      <c r="K107" s="15"/>
      <c r="L107" s="15"/>
      <c r="M107" s="15"/>
      <c r="N107" s="15"/>
      <c r="O107" s="15"/>
      <c r="P107" s="15"/>
      <c r="Q107" s="15"/>
      <c r="R107" s="15"/>
      <c r="S107" s="15"/>
      <c r="T107" s="15"/>
      <c r="U107" s="14" t="str">
        <f t="shared" si="8"/>
        <v/>
      </c>
    </row>
    <row r="108" spans="1:21" ht="29" x14ac:dyDescent="0.35">
      <c r="A108" s="14">
        <v>7</v>
      </c>
      <c r="B108" s="14" t="s">
        <v>892</v>
      </c>
      <c r="C108" s="14" t="s">
        <v>893</v>
      </c>
      <c r="D108" s="14" t="s">
        <v>449</v>
      </c>
      <c r="E108" s="14" t="s">
        <v>690</v>
      </c>
      <c r="F108" s="14" t="s">
        <v>167</v>
      </c>
      <c r="G108" s="14" t="s">
        <v>691</v>
      </c>
      <c r="H108" s="14" t="s">
        <v>59</v>
      </c>
      <c r="I108" s="15"/>
      <c r="J108" s="15"/>
      <c r="K108" s="15"/>
      <c r="L108" s="15"/>
      <c r="M108" s="15"/>
      <c r="N108" s="15"/>
      <c r="O108" s="15"/>
      <c r="P108" s="15"/>
      <c r="Q108" s="15"/>
      <c r="R108" s="15"/>
      <c r="S108" s="15"/>
      <c r="T108" s="15"/>
      <c r="U108" s="14" t="str">
        <f t="shared" si="8"/>
        <v/>
      </c>
    </row>
    <row r="109" spans="1:21" ht="29" x14ac:dyDescent="0.35">
      <c r="A109" s="14">
        <v>8</v>
      </c>
      <c r="B109" s="14" t="s">
        <v>861</v>
      </c>
      <c r="C109" s="14" t="s">
        <v>894</v>
      </c>
      <c r="D109" s="14" t="s">
        <v>895</v>
      </c>
      <c r="E109" s="14" t="s">
        <v>690</v>
      </c>
      <c r="F109" s="14" t="s">
        <v>167</v>
      </c>
      <c r="G109" s="14" t="s">
        <v>691</v>
      </c>
      <c r="H109" s="14" t="s">
        <v>59</v>
      </c>
      <c r="I109" s="15"/>
      <c r="J109" s="15"/>
      <c r="K109" s="15"/>
      <c r="L109" s="15"/>
      <c r="M109" s="15"/>
      <c r="N109" s="15"/>
      <c r="O109" s="15"/>
      <c r="P109" s="15"/>
      <c r="Q109" s="15"/>
      <c r="R109" s="15"/>
      <c r="S109" s="15"/>
      <c r="T109" s="15"/>
      <c r="U109" s="14" t="str">
        <f t="shared" si="8"/>
        <v/>
      </c>
    </row>
    <row r="112" spans="1:21" ht="22" customHeight="1" x14ac:dyDescent="0.35">
      <c r="A112" s="26" t="s">
        <v>902</v>
      </c>
      <c r="B112" s="23"/>
      <c r="C112" s="23"/>
      <c r="D112" s="23"/>
      <c r="E112" s="23"/>
      <c r="F112" s="23"/>
      <c r="G112" s="23"/>
      <c r="H112" s="23"/>
      <c r="I112" s="23"/>
      <c r="J112" s="23"/>
      <c r="K112" s="23"/>
      <c r="L112" s="23"/>
      <c r="M112" s="23"/>
      <c r="N112" s="23"/>
      <c r="O112" s="23"/>
      <c r="P112" s="23"/>
      <c r="Q112" s="23"/>
      <c r="R112" s="23"/>
      <c r="S112" s="23"/>
      <c r="T112" s="23"/>
      <c r="U112" s="23"/>
    </row>
    <row r="113" spans="1:21" x14ac:dyDescent="0.35">
      <c r="A113" t="s">
        <v>31</v>
      </c>
      <c r="B113" t="s">
        <v>25</v>
      </c>
      <c r="C113" t="s">
        <v>32</v>
      </c>
      <c r="E113" t="s">
        <v>33</v>
      </c>
    </row>
    <row r="114" spans="1:21" ht="29" x14ac:dyDescent="0.35">
      <c r="A114" s="11" t="s">
        <v>34</v>
      </c>
      <c r="B114" s="11" t="s">
        <v>35</v>
      </c>
      <c r="C114" s="11" t="s">
        <v>36</v>
      </c>
      <c r="D114" s="11" t="s">
        <v>37</v>
      </c>
      <c r="E114" s="11" t="s">
        <v>38</v>
      </c>
      <c r="F114" s="11" t="s">
        <v>39</v>
      </c>
      <c r="G114" s="11" t="s">
        <v>40</v>
      </c>
      <c r="H114" s="11" t="s">
        <v>41</v>
      </c>
      <c r="I114" s="11" t="s">
        <v>42</v>
      </c>
      <c r="J114" s="11" t="s">
        <v>43</v>
      </c>
      <c r="K114" s="11" t="s">
        <v>44</v>
      </c>
      <c r="L114" s="11" t="s">
        <v>45</v>
      </c>
      <c r="M114" s="11" t="s">
        <v>46</v>
      </c>
      <c r="N114" s="11" t="s">
        <v>47</v>
      </c>
      <c r="O114" s="11" t="s">
        <v>48</v>
      </c>
      <c r="P114" s="11" t="s">
        <v>4</v>
      </c>
      <c r="Q114" s="11" t="s">
        <v>49</v>
      </c>
      <c r="R114" s="11" t="s">
        <v>50</v>
      </c>
      <c r="S114" s="11" t="s">
        <v>51</v>
      </c>
      <c r="T114" s="11" t="s">
        <v>52</v>
      </c>
      <c r="U114" s="11" t="s">
        <v>10</v>
      </c>
    </row>
    <row r="115" spans="1:21" ht="29" x14ac:dyDescent="0.35">
      <c r="A115" s="14">
        <v>1</v>
      </c>
      <c r="B115" s="14" t="s">
        <v>878</v>
      </c>
      <c r="C115" s="14" t="s">
        <v>879</v>
      </c>
      <c r="D115" s="14" t="s">
        <v>880</v>
      </c>
      <c r="E115" s="14" t="s">
        <v>690</v>
      </c>
      <c r="F115" s="14" t="s">
        <v>167</v>
      </c>
      <c r="G115" s="14" t="s">
        <v>691</v>
      </c>
      <c r="H115" s="14" t="s">
        <v>59</v>
      </c>
      <c r="I115" s="15"/>
      <c r="J115" s="15"/>
      <c r="K115" s="15"/>
      <c r="L115" s="15"/>
      <c r="M115" s="15"/>
      <c r="N115" s="15"/>
      <c r="O115" s="15"/>
      <c r="P115" s="15"/>
      <c r="Q115" s="15"/>
      <c r="R115" s="15"/>
      <c r="S115" s="15"/>
      <c r="T115" s="15"/>
      <c r="U115" s="14" t="str">
        <f t="shared" ref="U115:U122" si="9">IF(I115="","",IF(I115="NA","Grey",IF(I115=2,"Green",IF(I115=1,"Amber","Red"))))</f>
        <v/>
      </c>
    </row>
    <row r="116" spans="1:21" ht="29" x14ac:dyDescent="0.35">
      <c r="A116" s="14">
        <v>2</v>
      </c>
      <c r="B116" s="14" t="s">
        <v>881</v>
      </c>
      <c r="C116" s="14" t="s">
        <v>882</v>
      </c>
      <c r="D116" s="14" t="s">
        <v>883</v>
      </c>
      <c r="E116" s="14" t="s">
        <v>69</v>
      </c>
      <c r="F116" s="14" t="s">
        <v>284</v>
      </c>
      <c r="G116" s="14" t="s">
        <v>691</v>
      </c>
      <c r="H116" s="14" t="s">
        <v>76</v>
      </c>
      <c r="I116" s="15"/>
      <c r="J116" s="15"/>
      <c r="K116" s="15"/>
      <c r="L116" s="15"/>
      <c r="M116" s="15"/>
      <c r="N116" s="15"/>
      <c r="O116" s="15"/>
      <c r="P116" s="15"/>
      <c r="Q116" s="15"/>
      <c r="R116" s="15"/>
      <c r="S116" s="15"/>
      <c r="T116" s="15"/>
      <c r="U116" s="14" t="str">
        <f t="shared" si="9"/>
        <v/>
      </c>
    </row>
    <row r="117" spans="1:21" ht="29" x14ac:dyDescent="0.35">
      <c r="A117" s="14">
        <v>3</v>
      </c>
      <c r="B117" s="14" t="s">
        <v>884</v>
      </c>
      <c r="C117" s="14" t="s">
        <v>885</v>
      </c>
      <c r="D117" s="14" t="s">
        <v>886</v>
      </c>
      <c r="E117" s="14" t="s">
        <v>69</v>
      </c>
      <c r="F117" s="14" t="s">
        <v>284</v>
      </c>
      <c r="G117" s="14" t="s">
        <v>691</v>
      </c>
      <c r="H117" s="14" t="s">
        <v>76</v>
      </c>
      <c r="I117" s="15"/>
      <c r="J117" s="15"/>
      <c r="K117" s="15"/>
      <c r="L117" s="15"/>
      <c r="M117" s="15"/>
      <c r="N117" s="15"/>
      <c r="O117" s="15"/>
      <c r="P117" s="15"/>
      <c r="Q117" s="15"/>
      <c r="R117" s="15"/>
      <c r="S117" s="15"/>
      <c r="T117" s="15"/>
      <c r="U117" s="14" t="str">
        <f t="shared" si="9"/>
        <v/>
      </c>
    </row>
    <row r="118" spans="1:21" ht="29" x14ac:dyDescent="0.35">
      <c r="A118" s="14">
        <v>4</v>
      </c>
      <c r="B118" s="14" t="s">
        <v>848</v>
      </c>
      <c r="C118" s="14" t="s">
        <v>887</v>
      </c>
      <c r="D118" s="14" t="s">
        <v>888</v>
      </c>
      <c r="E118" s="14" t="s">
        <v>69</v>
      </c>
      <c r="F118" s="14" t="s">
        <v>284</v>
      </c>
      <c r="G118" s="14" t="s">
        <v>691</v>
      </c>
      <c r="H118" s="14" t="s">
        <v>76</v>
      </c>
      <c r="I118" s="15"/>
      <c r="J118" s="15"/>
      <c r="K118" s="15"/>
      <c r="L118" s="15"/>
      <c r="M118" s="15"/>
      <c r="N118" s="15"/>
      <c r="O118" s="15"/>
      <c r="P118" s="15"/>
      <c r="Q118" s="15"/>
      <c r="R118" s="15"/>
      <c r="S118" s="15"/>
      <c r="T118" s="15"/>
      <c r="U118" s="14" t="str">
        <f t="shared" si="9"/>
        <v/>
      </c>
    </row>
    <row r="119" spans="1:21" ht="29" x14ac:dyDescent="0.35">
      <c r="A119" s="14">
        <v>5</v>
      </c>
      <c r="B119" s="14" t="s">
        <v>823</v>
      </c>
      <c r="C119" s="14" t="s">
        <v>889</v>
      </c>
      <c r="D119" s="14" t="s">
        <v>890</v>
      </c>
      <c r="E119" s="14" t="s">
        <v>69</v>
      </c>
      <c r="F119" s="14" t="s">
        <v>284</v>
      </c>
      <c r="G119" s="14" t="s">
        <v>691</v>
      </c>
      <c r="H119" s="14" t="s">
        <v>76</v>
      </c>
      <c r="I119" s="15"/>
      <c r="J119" s="15"/>
      <c r="K119" s="15"/>
      <c r="L119" s="15"/>
      <c r="M119" s="15"/>
      <c r="N119" s="15"/>
      <c r="O119" s="15"/>
      <c r="P119" s="15"/>
      <c r="Q119" s="15"/>
      <c r="R119" s="15"/>
      <c r="S119" s="15"/>
      <c r="T119" s="15"/>
      <c r="U119" s="14" t="str">
        <f t="shared" si="9"/>
        <v/>
      </c>
    </row>
    <row r="120" spans="1:21" ht="29" x14ac:dyDescent="0.35">
      <c r="A120" s="14">
        <v>6</v>
      </c>
      <c r="B120" s="14" t="s">
        <v>698</v>
      </c>
      <c r="C120" s="14" t="s">
        <v>891</v>
      </c>
      <c r="D120" s="14" t="s">
        <v>853</v>
      </c>
      <c r="E120" s="14" t="s">
        <v>690</v>
      </c>
      <c r="F120" s="14" t="s">
        <v>167</v>
      </c>
      <c r="G120" s="14" t="s">
        <v>691</v>
      </c>
      <c r="H120" s="14" t="s">
        <v>59</v>
      </c>
      <c r="I120" s="15"/>
      <c r="J120" s="15"/>
      <c r="K120" s="15"/>
      <c r="L120" s="15"/>
      <c r="M120" s="15"/>
      <c r="N120" s="15"/>
      <c r="O120" s="15"/>
      <c r="P120" s="15"/>
      <c r="Q120" s="15"/>
      <c r="R120" s="15"/>
      <c r="S120" s="15"/>
      <c r="T120" s="15"/>
      <c r="U120" s="14" t="str">
        <f t="shared" si="9"/>
        <v/>
      </c>
    </row>
    <row r="121" spans="1:21" ht="29" x14ac:dyDescent="0.35">
      <c r="A121" s="14">
        <v>7</v>
      </c>
      <c r="B121" s="14" t="s">
        <v>892</v>
      </c>
      <c r="C121" s="14" t="s">
        <v>893</v>
      </c>
      <c r="D121" s="14" t="s">
        <v>449</v>
      </c>
      <c r="E121" s="14" t="s">
        <v>690</v>
      </c>
      <c r="F121" s="14" t="s">
        <v>167</v>
      </c>
      <c r="G121" s="14" t="s">
        <v>691</v>
      </c>
      <c r="H121" s="14" t="s">
        <v>59</v>
      </c>
      <c r="I121" s="15"/>
      <c r="J121" s="15"/>
      <c r="K121" s="15"/>
      <c r="L121" s="15"/>
      <c r="M121" s="15"/>
      <c r="N121" s="15"/>
      <c r="O121" s="15"/>
      <c r="P121" s="15"/>
      <c r="Q121" s="15"/>
      <c r="R121" s="15"/>
      <c r="S121" s="15"/>
      <c r="T121" s="15"/>
      <c r="U121" s="14" t="str">
        <f t="shared" si="9"/>
        <v/>
      </c>
    </row>
    <row r="122" spans="1:21" ht="29" x14ac:dyDescent="0.35">
      <c r="A122" s="14">
        <v>8</v>
      </c>
      <c r="B122" s="14" t="s">
        <v>861</v>
      </c>
      <c r="C122" s="14" t="s">
        <v>894</v>
      </c>
      <c r="D122" s="14" t="s">
        <v>895</v>
      </c>
      <c r="E122" s="14" t="s">
        <v>690</v>
      </c>
      <c r="F122" s="14" t="s">
        <v>167</v>
      </c>
      <c r="G122" s="14" t="s">
        <v>691</v>
      </c>
      <c r="H122" s="14" t="s">
        <v>59</v>
      </c>
      <c r="I122" s="15"/>
      <c r="J122" s="15"/>
      <c r="K122" s="15"/>
      <c r="L122" s="15"/>
      <c r="M122" s="15"/>
      <c r="N122" s="15"/>
      <c r="O122" s="15"/>
      <c r="P122" s="15"/>
      <c r="Q122" s="15"/>
      <c r="R122" s="15"/>
      <c r="S122" s="15"/>
      <c r="T122" s="15"/>
      <c r="U122" s="14" t="str">
        <f t="shared" si="9"/>
        <v/>
      </c>
    </row>
    <row r="125" spans="1:21" ht="22" customHeight="1" x14ac:dyDescent="0.35">
      <c r="A125" s="26" t="s">
        <v>903</v>
      </c>
      <c r="B125" s="23"/>
      <c r="C125" s="23"/>
      <c r="D125" s="23"/>
      <c r="E125" s="23"/>
      <c r="F125" s="23"/>
      <c r="G125" s="23"/>
      <c r="H125" s="23"/>
      <c r="I125" s="23"/>
      <c r="J125" s="23"/>
      <c r="K125" s="23"/>
      <c r="L125" s="23"/>
      <c r="M125" s="23"/>
      <c r="N125" s="23"/>
      <c r="O125" s="23"/>
      <c r="P125" s="23"/>
      <c r="Q125" s="23"/>
      <c r="R125" s="23"/>
      <c r="S125" s="23"/>
      <c r="T125" s="23"/>
      <c r="U125" s="23"/>
    </row>
    <row r="126" spans="1:21" x14ac:dyDescent="0.35">
      <c r="A126" t="s">
        <v>31</v>
      </c>
      <c r="B126" t="s">
        <v>26</v>
      </c>
      <c r="C126" t="s">
        <v>32</v>
      </c>
      <c r="E126" t="s">
        <v>33</v>
      </c>
    </row>
    <row r="127" spans="1:21" ht="29" x14ac:dyDescent="0.35">
      <c r="A127" s="11" t="s">
        <v>34</v>
      </c>
      <c r="B127" s="11" t="s">
        <v>35</v>
      </c>
      <c r="C127" s="11" t="s">
        <v>36</v>
      </c>
      <c r="D127" s="11" t="s">
        <v>37</v>
      </c>
      <c r="E127" s="11" t="s">
        <v>38</v>
      </c>
      <c r="F127" s="11" t="s">
        <v>39</v>
      </c>
      <c r="G127" s="11" t="s">
        <v>40</v>
      </c>
      <c r="H127" s="11" t="s">
        <v>41</v>
      </c>
      <c r="I127" s="11" t="s">
        <v>42</v>
      </c>
      <c r="J127" s="11" t="s">
        <v>43</v>
      </c>
      <c r="K127" s="11" t="s">
        <v>44</v>
      </c>
      <c r="L127" s="11" t="s">
        <v>45</v>
      </c>
      <c r="M127" s="11" t="s">
        <v>46</v>
      </c>
      <c r="N127" s="11" t="s">
        <v>47</v>
      </c>
      <c r="O127" s="11" t="s">
        <v>48</v>
      </c>
      <c r="P127" s="11" t="s">
        <v>4</v>
      </c>
      <c r="Q127" s="11" t="s">
        <v>49</v>
      </c>
      <c r="R127" s="11" t="s">
        <v>50</v>
      </c>
      <c r="S127" s="11" t="s">
        <v>51</v>
      </c>
      <c r="T127" s="11" t="s">
        <v>52</v>
      </c>
      <c r="U127" s="11" t="s">
        <v>10</v>
      </c>
    </row>
    <row r="128" spans="1:21" ht="29" x14ac:dyDescent="0.35">
      <c r="A128" s="14">
        <v>1</v>
      </c>
      <c r="B128" s="14" t="s">
        <v>878</v>
      </c>
      <c r="C128" s="14" t="s">
        <v>879</v>
      </c>
      <c r="D128" s="14" t="s">
        <v>880</v>
      </c>
      <c r="E128" s="14" t="s">
        <v>690</v>
      </c>
      <c r="F128" s="14" t="s">
        <v>167</v>
      </c>
      <c r="G128" s="14" t="s">
        <v>691</v>
      </c>
      <c r="H128" s="14" t="s">
        <v>59</v>
      </c>
      <c r="I128" s="15"/>
      <c r="J128" s="15"/>
      <c r="K128" s="15"/>
      <c r="L128" s="15"/>
      <c r="M128" s="15"/>
      <c r="N128" s="15"/>
      <c r="O128" s="15"/>
      <c r="P128" s="15"/>
      <c r="Q128" s="15"/>
      <c r="R128" s="15"/>
      <c r="S128" s="15"/>
      <c r="T128" s="15"/>
      <c r="U128" s="14" t="str">
        <f t="shared" ref="U128:U135" si="10">IF(I128="","",IF(I128="NA","Grey",IF(I128=2,"Green",IF(I128=1,"Amber","Red"))))</f>
        <v/>
      </c>
    </row>
    <row r="129" spans="1:21" ht="29" x14ac:dyDescent="0.35">
      <c r="A129" s="14">
        <v>2</v>
      </c>
      <c r="B129" s="14" t="s">
        <v>881</v>
      </c>
      <c r="C129" s="14" t="s">
        <v>882</v>
      </c>
      <c r="D129" s="14" t="s">
        <v>883</v>
      </c>
      <c r="E129" s="14" t="s">
        <v>69</v>
      </c>
      <c r="F129" s="14" t="s">
        <v>284</v>
      </c>
      <c r="G129" s="14" t="s">
        <v>691</v>
      </c>
      <c r="H129" s="14" t="s">
        <v>76</v>
      </c>
      <c r="I129" s="15"/>
      <c r="J129" s="15"/>
      <c r="K129" s="15"/>
      <c r="L129" s="15"/>
      <c r="M129" s="15"/>
      <c r="N129" s="15"/>
      <c r="O129" s="15"/>
      <c r="P129" s="15"/>
      <c r="Q129" s="15"/>
      <c r="R129" s="15"/>
      <c r="S129" s="15"/>
      <c r="T129" s="15"/>
      <c r="U129" s="14" t="str">
        <f t="shared" si="10"/>
        <v/>
      </c>
    </row>
    <row r="130" spans="1:21" ht="29" x14ac:dyDescent="0.35">
      <c r="A130" s="14">
        <v>3</v>
      </c>
      <c r="B130" s="14" t="s">
        <v>884</v>
      </c>
      <c r="C130" s="14" t="s">
        <v>885</v>
      </c>
      <c r="D130" s="14" t="s">
        <v>886</v>
      </c>
      <c r="E130" s="14" t="s">
        <v>69</v>
      </c>
      <c r="F130" s="14" t="s">
        <v>284</v>
      </c>
      <c r="G130" s="14" t="s">
        <v>691</v>
      </c>
      <c r="H130" s="14" t="s">
        <v>76</v>
      </c>
      <c r="I130" s="15"/>
      <c r="J130" s="15"/>
      <c r="K130" s="15"/>
      <c r="L130" s="15"/>
      <c r="M130" s="15"/>
      <c r="N130" s="15"/>
      <c r="O130" s="15"/>
      <c r="P130" s="15"/>
      <c r="Q130" s="15"/>
      <c r="R130" s="15"/>
      <c r="S130" s="15"/>
      <c r="T130" s="15"/>
      <c r="U130" s="14" t="str">
        <f t="shared" si="10"/>
        <v/>
      </c>
    </row>
    <row r="131" spans="1:21" ht="29" x14ac:dyDescent="0.35">
      <c r="A131" s="14">
        <v>4</v>
      </c>
      <c r="B131" s="14" t="s">
        <v>848</v>
      </c>
      <c r="C131" s="14" t="s">
        <v>887</v>
      </c>
      <c r="D131" s="14" t="s">
        <v>888</v>
      </c>
      <c r="E131" s="14" t="s">
        <v>69</v>
      </c>
      <c r="F131" s="14" t="s">
        <v>284</v>
      </c>
      <c r="G131" s="14" t="s">
        <v>691</v>
      </c>
      <c r="H131" s="14" t="s">
        <v>76</v>
      </c>
      <c r="I131" s="15"/>
      <c r="J131" s="15"/>
      <c r="K131" s="15"/>
      <c r="L131" s="15"/>
      <c r="M131" s="15"/>
      <c r="N131" s="15"/>
      <c r="O131" s="15"/>
      <c r="P131" s="15"/>
      <c r="Q131" s="15"/>
      <c r="R131" s="15"/>
      <c r="S131" s="15"/>
      <c r="T131" s="15"/>
      <c r="U131" s="14" t="str">
        <f t="shared" si="10"/>
        <v/>
      </c>
    </row>
    <row r="132" spans="1:21" ht="29" x14ac:dyDescent="0.35">
      <c r="A132" s="14">
        <v>5</v>
      </c>
      <c r="B132" s="14" t="s">
        <v>823</v>
      </c>
      <c r="C132" s="14" t="s">
        <v>889</v>
      </c>
      <c r="D132" s="14" t="s">
        <v>890</v>
      </c>
      <c r="E132" s="14" t="s">
        <v>69</v>
      </c>
      <c r="F132" s="14" t="s">
        <v>284</v>
      </c>
      <c r="G132" s="14" t="s">
        <v>691</v>
      </c>
      <c r="H132" s="14" t="s">
        <v>76</v>
      </c>
      <c r="I132" s="15"/>
      <c r="J132" s="15"/>
      <c r="K132" s="15"/>
      <c r="L132" s="15"/>
      <c r="M132" s="15"/>
      <c r="N132" s="15"/>
      <c r="O132" s="15"/>
      <c r="P132" s="15"/>
      <c r="Q132" s="15"/>
      <c r="R132" s="15"/>
      <c r="S132" s="15"/>
      <c r="T132" s="15"/>
      <c r="U132" s="14" t="str">
        <f t="shared" si="10"/>
        <v/>
      </c>
    </row>
    <row r="133" spans="1:21" ht="29" x14ac:dyDescent="0.35">
      <c r="A133" s="14">
        <v>6</v>
      </c>
      <c r="B133" s="14" t="s">
        <v>698</v>
      </c>
      <c r="C133" s="14" t="s">
        <v>891</v>
      </c>
      <c r="D133" s="14" t="s">
        <v>853</v>
      </c>
      <c r="E133" s="14" t="s">
        <v>690</v>
      </c>
      <c r="F133" s="14" t="s">
        <v>167</v>
      </c>
      <c r="G133" s="14" t="s">
        <v>691</v>
      </c>
      <c r="H133" s="14" t="s">
        <v>59</v>
      </c>
      <c r="I133" s="15"/>
      <c r="J133" s="15"/>
      <c r="K133" s="15"/>
      <c r="L133" s="15"/>
      <c r="M133" s="15"/>
      <c r="N133" s="15"/>
      <c r="O133" s="15"/>
      <c r="P133" s="15"/>
      <c r="Q133" s="15"/>
      <c r="R133" s="15"/>
      <c r="S133" s="15"/>
      <c r="T133" s="15"/>
      <c r="U133" s="14" t="str">
        <f t="shared" si="10"/>
        <v/>
      </c>
    </row>
    <row r="134" spans="1:21" ht="29" x14ac:dyDescent="0.35">
      <c r="A134" s="14">
        <v>7</v>
      </c>
      <c r="B134" s="14" t="s">
        <v>892</v>
      </c>
      <c r="C134" s="14" t="s">
        <v>893</v>
      </c>
      <c r="D134" s="14" t="s">
        <v>449</v>
      </c>
      <c r="E134" s="14" t="s">
        <v>690</v>
      </c>
      <c r="F134" s="14" t="s">
        <v>167</v>
      </c>
      <c r="G134" s="14" t="s">
        <v>691</v>
      </c>
      <c r="H134" s="14" t="s">
        <v>59</v>
      </c>
      <c r="I134" s="15"/>
      <c r="J134" s="15"/>
      <c r="K134" s="15"/>
      <c r="L134" s="15"/>
      <c r="M134" s="15"/>
      <c r="N134" s="15"/>
      <c r="O134" s="15"/>
      <c r="P134" s="15"/>
      <c r="Q134" s="15"/>
      <c r="R134" s="15"/>
      <c r="S134" s="15"/>
      <c r="T134" s="15"/>
      <c r="U134" s="14" t="str">
        <f t="shared" si="10"/>
        <v/>
      </c>
    </row>
    <row r="135" spans="1:21" ht="29" x14ac:dyDescent="0.35">
      <c r="A135" s="14">
        <v>8</v>
      </c>
      <c r="B135" s="14" t="s">
        <v>861</v>
      </c>
      <c r="C135" s="14" t="s">
        <v>894</v>
      </c>
      <c r="D135" s="14" t="s">
        <v>895</v>
      </c>
      <c r="E135" s="14" t="s">
        <v>690</v>
      </c>
      <c r="F135" s="14" t="s">
        <v>167</v>
      </c>
      <c r="G135" s="14" t="s">
        <v>691</v>
      </c>
      <c r="H135" s="14" t="s">
        <v>59</v>
      </c>
      <c r="I135" s="15"/>
      <c r="J135" s="15"/>
      <c r="K135" s="15"/>
      <c r="L135" s="15"/>
      <c r="M135" s="15"/>
      <c r="N135" s="15"/>
      <c r="O135" s="15"/>
      <c r="P135" s="15"/>
      <c r="Q135" s="15"/>
      <c r="R135" s="15"/>
      <c r="S135" s="15"/>
      <c r="T135" s="15"/>
      <c r="U135" s="14" t="str">
        <f t="shared" si="10"/>
        <v/>
      </c>
    </row>
    <row r="138" spans="1:21" ht="22" customHeight="1" x14ac:dyDescent="0.35">
      <c r="A138" s="26" t="s">
        <v>904</v>
      </c>
      <c r="B138" s="23"/>
      <c r="C138" s="23"/>
      <c r="D138" s="23"/>
      <c r="E138" s="23"/>
      <c r="F138" s="23"/>
      <c r="G138" s="23"/>
      <c r="H138" s="23"/>
      <c r="I138" s="23"/>
      <c r="J138" s="23"/>
      <c r="K138" s="23"/>
      <c r="L138" s="23"/>
      <c r="M138" s="23"/>
      <c r="N138" s="23"/>
      <c r="O138" s="23"/>
      <c r="P138" s="23"/>
      <c r="Q138" s="23"/>
      <c r="R138" s="23"/>
      <c r="S138" s="23"/>
      <c r="T138" s="23"/>
      <c r="U138" s="23"/>
    </row>
    <row r="139" spans="1:21" x14ac:dyDescent="0.35">
      <c r="A139" t="s">
        <v>31</v>
      </c>
      <c r="B139" t="s">
        <v>27</v>
      </c>
      <c r="C139" t="s">
        <v>32</v>
      </c>
      <c r="E139" t="s">
        <v>33</v>
      </c>
    </row>
    <row r="140" spans="1:21" ht="29" x14ac:dyDescent="0.35">
      <c r="A140" s="11" t="s">
        <v>34</v>
      </c>
      <c r="B140" s="11" t="s">
        <v>35</v>
      </c>
      <c r="C140" s="11" t="s">
        <v>36</v>
      </c>
      <c r="D140" s="11" t="s">
        <v>37</v>
      </c>
      <c r="E140" s="11" t="s">
        <v>38</v>
      </c>
      <c r="F140" s="11" t="s">
        <v>39</v>
      </c>
      <c r="G140" s="11" t="s">
        <v>40</v>
      </c>
      <c r="H140" s="11" t="s">
        <v>41</v>
      </c>
      <c r="I140" s="11" t="s">
        <v>42</v>
      </c>
      <c r="J140" s="11" t="s">
        <v>43</v>
      </c>
      <c r="K140" s="11" t="s">
        <v>44</v>
      </c>
      <c r="L140" s="11" t="s">
        <v>45</v>
      </c>
      <c r="M140" s="11" t="s">
        <v>46</v>
      </c>
      <c r="N140" s="11" t="s">
        <v>47</v>
      </c>
      <c r="O140" s="11" t="s">
        <v>48</v>
      </c>
      <c r="P140" s="11" t="s">
        <v>4</v>
      </c>
      <c r="Q140" s="11" t="s">
        <v>49</v>
      </c>
      <c r="R140" s="11" t="s">
        <v>50</v>
      </c>
      <c r="S140" s="11" t="s">
        <v>51</v>
      </c>
      <c r="T140" s="11" t="s">
        <v>52</v>
      </c>
      <c r="U140" s="11" t="s">
        <v>10</v>
      </c>
    </row>
    <row r="141" spans="1:21" ht="29" x14ac:dyDescent="0.35">
      <c r="A141" s="14">
        <v>1</v>
      </c>
      <c r="B141" s="14" t="s">
        <v>878</v>
      </c>
      <c r="C141" s="14" t="s">
        <v>879</v>
      </c>
      <c r="D141" s="14" t="s">
        <v>880</v>
      </c>
      <c r="E141" s="14" t="s">
        <v>690</v>
      </c>
      <c r="F141" s="14" t="s">
        <v>167</v>
      </c>
      <c r="G141" s="14" t="s">
        <v>691</v>
      </c>
      <c r="H141" s="14" t="s">
        <v>59</v>
      </c>
      <c r="I141" s="15"/>
      <c r="J141" s="15"/>
      <c r="K141" s="15"/>
      <c r="L141" s="15"/>
      <c r="M141" s="15"/>
      <c r="N141" s="15"/>
      <c r="O141" s="15"/>
      <c r="P141" s="15"/>
      <c r="Q141" s="15"/>
      <c r="R141" s="15"/>
      <c r="S141" s="15"/>
      <c r="T141" s="15"/>
      <c r="U141" s="14" t="str">
        <f t="shared" ref="U141:U148" si="11">IF(I141="","",IF(I141="NA","Grey",IF(I141=2,"Green",IF(I141=1,"Amber","Red"))))</f>
        <v/>
      </c>
    </row>
    <row r="142" spans="1:21" ht="29" x14ac:dyDescent="0.35">
      <c r="A142" s="14">
        <v>2</v>
      </c>
      <c r="B142" s="14" t="s">
        <v>881</v>
      </c>
      <c r="C142" s="14" t="s">
        <v>882</v>
      </c>
      <c r="D142" s="14" t="s">
        <v>883</v>
      </c>
      <c r="E142" s="14" t="s">
        <v>69</v>
      </c>
      <c r="F142" s="14" t="s">
        <v>284</v>
      </c>
      <c r="G142" s="14" t="s">
        <v>691</v>
      </c>
      <c r="H142" s="14" t="s">
        <v>76</v>
      </c>
      <c r="I142" s="15"/>
      <c r="J142" s="15"/>
      <c r="K142" s="15"/>
      <c r="L142" s="15"/>
      <c r="M142" s="15"/>
      <c r="N142" s="15"/>
      <c r="O142" s="15"/>
      <c r="P142" s="15"/>
      <c r="Q142" s="15"/>
      <c r="R142" s="15"/>
      <c r="S142" s="15"/>
      <c r="T142" s="15"/>
      <c r="U142" s="14" t="str">
        <f t="shared" si="11"/>
        <v/>
      </c>
    </row>
    <row r="143" spans="1:21" ht="29" x14ac:dyDescent="0.35">
      <c r="A143" s="14">
        <v>3</v>
      </c>
      <c r="B143" s="14" t="s">
        <v>884</v>
      </c>
      <c r="C143" s="14" t="s">
        <v>885</v>
      </c>
      <c r="D143" s="14" t="s">
        <v>886</v>
      </c>
      <c r="E143" s="14" t="s">
        <v>69</v>
      </c>
      <c r="F143" s="14" t="s">
        <v>284</v>
      </c>
      <c r="G143" s="14" t="s">
        <v>691</v>
      </c>
      <c r="H143" s="14" t="s">
        <v>76</v>
      </c>
      <c r="I143" s="15"/>
      <c r="J143" s="15"/>
      <c r="K143" s="15"/>
      <c r="L143" s="15"/>
      <c r="M143" s="15"/>
      <c r="N143" s="15"/>
      <c r="O143" s="15"/>
      <c r="P143" s="15"/>
      <c r="Q143" s="15"/>
      <c r="R143" s="15"/>
      <c r="S143" s="15"/>
      <c r="T143" s="15"/>
      <c r="U143" s="14" t="str">
        <f t="shared" si="11"/>
        <v/>
      </c>
    </row>
    <row r="144" spans="1:21" ht="29" x14ac:dyDescent="0.35">
      <c r="A144" s="14">
        <v>4</v>
      </c>
      <c r="B144" s="14" t="s">
        <v>848</v>
      </c>
      <c r="C144" s="14" t="s">
        <v>887</v>
      </c>
      <c r="D144" s="14" t="s">
        <v>888</v>
      </c>
      <c r="E144" s="14" t="s">
        <v>69</v>
      </c>
      <c r="F144" s="14" t="s">
        <v>284</v>
      </c>
      <c r="G144" s="14" t="s">
        <v>691</v>
      </c>
      <c r="H144" s="14" t="s">
        <v>76</v>
      </c>
      <c r="I144" s="15"/>
      <c r="J144" s="15"/>
      <c r="K144" s="15"/>
      <c r="L144" s="15"/>
      <c r="M144" s="15"/>
      <c r="N144" s="15"/>
      <c r="O144" s="15"/>
      <c r="P144" s="15"/>
      <c r="Q144" s="15"/>
      <c r="R144" s="15"/>
      <c r="S144" s="15"/>
      <c r="T144" s="15"/>
      <c r="U144" s="14" t="str">
        <f t="shared" si="11"/>
        <v/>
      </c>
    </row>
    <row r="145" spans="1:21" ht="29" x14ac:dyDescent="0.35">
      <c r="A145" s="14">
        <v>5</v>
      </c>
      <c r="B145" s="14" t="s">
        <v>823</v>
      </c>
      <c r="C145" s="14" t="s">
        <v>889</v>
      </c>
      <c r="D145" s="14" t="s">
        <v>890</v>
      </c>
      <c r="E145" s="14" t="s">
        <v>69</v>
      </c>
      <c r="F145" s="14" t="s">
        <v>284</v>
      </c>
      <c r="G145" s="14" t="s">
        <v>691</v>
      </c>
      <c r="H145" s="14" t="s">
        <v>76</v>
      </c>
      <c r="I145" s="15"/>
      <c r="J145" s="15"/>
      <c r="K145" s="15"/>
      <c r="L145" s="15"/>
      <c r="M145" s="15"/>
      <c r="N145" s="15"/>
      <c r="O145" s="15"/>
      <c r="P145" s="15"/>
      <c r="Q145" s="15"/>
      <c r="R145" s="15"/>
      <c r="S145" s="15"/>
      <c r="T145" s="15"/>
      <c r="U145" s="14" t="str">
        <f t="shared" si="11"/>
        <v/>
      </c>
    </row>
    <row r="146" spans="1:21" ht="29" x14ac:dyDescent="0.35">
      <c r="A146" s="14">
        <v>6</v>
      </c>
      <c r="B146" s="14" t="s">
        <v>698</v>
      </c>
      <c r="C146" s="14" t="s">
        <v>891</v>
      </c>
      <c r="D146" s="14" t="s">
        <v>853</v>
      </c>
      <c r="E146" s="14" t="s">
        <v>690</v>
      </c>
      <c r="F146" s="14" t="s">
        <v>167</v>
      </c>
      <c r="G146" s="14" t="s">
        <v>691</v>
      </c>
      <c r="H146" s="14" t="s">
        <v>59</v>
      </c>
      <c r="I146" s="15"/>
      <c r="J146" s="15"/>
      <c r="K146" s="15"/>
      <c r="L146" s="15"/>
      <c r="M146" s="15"/>
      <c r="N146" s="15"/>
      <c r="O146" s="15"/>
      <c r="P146" s="15"/>
      <c r="Q146" s="15"/>
      <c r="R146" s="15"/>
      <c r="S146" s="15"/>
      <c r="T146" s="15"/>
      <c r="U146" s="14" t="str">
        <f t="shared" si="11"/>
        <v/>
      </c>
    </row>
    <row r="147" spans="1:21" ht="29" x14ac:dyDescent="0.35">
      <c r="A147" s="14">
        <v>7</v>
      </c>
      <c r="B147" s="14" t="s">
        <v>892</v>
      </c>
      <c r="C147" s="14" t="s">
        <v>893</v>
      </c>
      <c r="D147" s="14" t="s">
        <v>449</v>
      </c>
      <c r="E147" s="14" t="s">
        <v>690</v>
      </c>
      <c r="F147" s="14" t="s">
        <v>167</v>
      </c>
      <c r="G147" s="14" t="s">
        <v>691</v>
      </c>
      <c r="H147" s="14" t="s">
        <v>59</v>
      </c>
      <c r="I147" s="15"/>
      <c r="J147" s="15"/>
      <c r="K147" s="15"/>
      <c r="L147" s="15"/>
      <c r="M147" s="15"/>
      <c r="N147" s="15"/>
      <c r="O147" s="15"/>
      <c r="P147" s="15"/>
      <c r="Q147" s="15"/>
      <c r="R147" s="15"/>
      <c r="S147" s="15"/>
      <c r="T147" s="15"/>
      <c r="U147" s="14" t="str">
        <f t="shared" si="11"/>
        <v/>
      </c>
    </row>
    <row r="148" spans="1:21" ht="29" x14ac:dyDescent="0.35">
      <c r="A148" s="14">
        <v>8</v>
      </c>
      <c r="B148" s="14" t="s">
        <v>861</v>
      </c>
      <c r="C148" s="14" t="s">
        <v>894</v>
      </c>
      <c r="D148" s="14" t="s">
        <v>895</v>
      </c>
      <c r="E148" s="14" t="s">
        <v>690</v>
      </c>
      <c r="F148" s="14" t="s">
        <v>167</v>
      </c>
      <c r="G148" s="14" t="s">
        <v>691</v>
      </c>
      <c r="H148" s="14" t="s">
        <v>59</v>
      </c>
      <c r="I148" s="15"/>
      <c r="J148" s="15"/>
      <c r="K148" s="15"/>
      <c r="L148" s="15"/>
      <c r="M148" s="15"/>
      <c r="N148" s="15"/>
      <c r="O148" s="15"/>
      <c r="P148" s="15"/>
      <c r="Q148" s="15"/>
      <c r="R148" s="15"/>
      <c r="S148" s="15"/>
      <c r="T148" s="15"/>
      <c r="U148" s="14" t="str">
        <f t="shared" si="11"/>
        <v/>
      </c>
    </row>
    <row r="151" spans="1:21" ht="22" customHeight="1" x14ac:dyDescent="0.35">
      <c r="A151" s="26" t="s">
        <v>905</v>
      </c>
      <c r="B151" s="23"/>
      <c r="C151" s="23"/>
      <c r="D151" s="23"/>
      <c r="E151" s="23"/>
      <c r="F151" s="23"/>
      <c r="G151" s="23"/>
      <c r="H151" s="23"/>
      <c r="I151" s="23"/>
      <c r="J151" s="23"/>
      <c r="K151" s="23"/>
      <c r="L151" s="23"/>
      <c r="M151" s="23"/>
      <c r="N151" s="23"/>
      <c r="O151" s="23"/>
      <c r="P151" s="23"/>
      <c r="Q151" s="23"/>
      <c r="R151" s="23"/>
      <c r="S151" s="23"/>
      <c r="T151" s="23"/>
      <c r="U151" s="23"/>
    </row>
    <row r="152" spans="1:21" x14ac:dyDescent="0.35">
      <c r="A152" t="s">
        <v>31</v>
      </c>
      <c r="B152" t="s">
        <v>28</v>
      </c>
      <c r="C152" t="s">
        <v>32</v>
      </c>
      <c r="E152" t="s">
        <v>33</v>
      </c>
    </row>
    <row r="153" spans="1:21" ht="29" x14ac:dyDescent="0.35">
      <c r="A153" s="11" t="s">
        <v>34</v>
      </c>
      <c r="B153" s="11" t="s">
        <v>35</v>
      </c>
      <c r="C153" s="11" t="s">
        <v>36</v>
      </c>
      <c r="D153" s="11" t="s">
        <v>37</v>
      </c>
      <c r="E153" s="11" t="s">
        <v>38</v>
      </c>
      <c r="F153" s="11" t="s">
        <v>39</v>
      </c>
      <c r="G153" s="11" t="s">
        <v>40</v>
      </c>
      <c r="H153" s="11" t="s">
        <v>41</v>
      </c>
      <c r="I153" s="11" t="s">
        <v>42</v>
      </c>
      <c r="J153" s="11" t="s">
        <v>43</v>
      </c>
      <c r="K153" s="11" t="s">
        <v>44</v>
      </c>
      <c r="L153" s="11" t="s">
        <v>45</v>
      </c>
      <c r="M153" s="11" t="s">
        <v>46</v>
      </c>
      <c r="N153" s="11" t="s">
        <v>47</v>
      </c>
      <c r="O153" s="11" t="s">
        <v>48</v>
      </c>
      <c r="P153" s="11" t="s">
        <v>4</v>
      </c>
      <c r="Q153" s="11" t="s">
        <v>49</v>
      </c>
      <c r="R153" s="11" t="s">
        <v>50</v>
      </c>
      <c r="S153" s="11" t="s">
        <v>51</v>
      </c>
      <c r="T153" s="11" t="s">
        <v>52</v>
      </c>
      <c r="U153" s="11" t="s">
        <v>10</v>
      </c>
    </row>
    <row r="154" spans="1:21" ht="29" x14ac:dyDescent="0.35">
      <c r="A154" s="14">
        <v>1</v>
      </c>
      <c r="B154" s="14" t="s">
        <v>878</v>
      </c>
      <c r="C154" s="14" t="s">
        <v>879</v>
      </c>
      <c r="D154" s="14" t="s">
        <v>880</v>
      </c>
      <c r="E154" s="14" t="s">
        <v>690</v>
      </c>
      <c r="F154" s="14" t="s">
        <v>167</v>
      </c>
      <c r="G154" s="14" t="s">
        <v>691</v>
      </c>
      <c r="H154" s="14" t="s">
        <v>59</v>
      </c>
      <c r="I154" s="15"/>
      <c r="J154" s="15"/>
      <c r="K154" s="15"/>
      <c r="L154" s="15"/>
      <c r="M154" s="15"/>
      <c r="N154" s="15"/>
      <c r="O154" s="15"/>
      <c r="P154" s="15"/>
      <c r="Q154" s="15"/>
      <c r="R154" s="15"/>
      <c r="S154" s="15"/>
      <c r="T154" s="15"/>
      <c r="U154" s="14" t="str">
        <f t="shared" ref="U154:U161" si="12">IF(I154="","",IF(I154="NA","Grey",IF(I154=2,"Green",IF(I154=1,"Amber","Red"))))</f>
        <v/>
      </c>
    </row>
    <row r="155" spans="1:21" ht="29" x14ac:dyDescent="0.35">
      <c r="A155" s="14">
        <v>2</v>
      </c>
      <c r="B155" s="14" t="s">
        <v>881</v>
      </c>
      <c r="C155" s="14" t="s">
        <v>882</v>
      </c>
      <c r="D155" s="14" t="s">
        <v>883</v>
      </c>
      <c r="E155" s="14" t="s">
        <v>69</v>
      </c>
      <c r="F155" s="14" t="s">
        <v>284</v>
      </c>
      <c r="G155" s="14" t="s">
        <v>691</v>
      </c>
      <c r="H155" s="14" t="s">
        <v>76</v>
      </c>
      <c r="I155" s="15"/>
      <c r="J155" s="15"/>
      <c r="K155" s="15"/>
      <c r="L155" s="15"/>
      <c r="M155" s="15"/>
      <c r="N155" s="15"/>
      <c r="O155" s="15"/>
      <c r="P155" s="15"/>
      <c r="Q155" s="15"/>
      <c r="R155" s="15"/>
      <c r="S155" s="15"/>
      <c r="T155" s="15"/>
      <c r="U155" s="14" t="str">
        <f t="shared" si="12"/>
        <v/>
      </c>
    </row>
    <row r="156" spans="1:21" ht="29" x14ac:dyDescent="0.35">
      <c r="A156" s="14">
        <v>3</v>
      </c>
      <c r="B156" s="14" t="s">
        <v>884</v>
      </c>
      <c r="C156" s="14" t="s">
        <v>885</v>
      </c>
      <c r="D156" s="14" t="s">
        <v>886</v>
      </c>
      <c r="E156" s="14" t="s">
        <v>69</v>
      </c>
      <c r="F156" s="14" t="s">
        <v>284</v>
      </c>
      <c r="G156" s="14" t="s">
        <v>691</v>
      </c>
      <c r="H156" s="14" t="s">
        <v>76</v>
      </c>
      <c r="I156" s="15"/>
      <c r="J156" s="15"/>
      <c r="K156" s="15"/>
      <c r="L156" s="15"/>
      <c r="M156" s="15"/>
      <c r="N156" s="15"/>
      <c r="O156" s="15"/>
      <c r="P156" s="15"/>
      <c r="Q156" s="15"/>
      <c r="R156" s="15"/>
      <c r="S156" s="15"/>
      <c r="T156" s="15"/>
      <c r="U156" s="14" t="str">
        <f t="shared" si="12"/>
        <v/>
      </c>
    </row>
    <row r="157" spans="1:21" ht="29" x14ac:dyDescent="0.35">
      <c r="A157" s="14">
        <v>4</v>
      </c>
      <c r="B157" s="14" t="s">
        <v>848</v>
      </c>
      <c r="C157" s="14" t="s">
        <v>887</v>
      </c>
      <c r="D157" s="14" t="s">
        <v>888</v>
      </c>
      <c r="E157" s="14" t="s">
        <v>69</v>
      </c>
      <c r="F157" s="14" t="s">
        <v>284</v>
      </c>
      <c r="G157" s="14" t="s">
        <v>691</v>
      </c>
      <c r="H157" s="14" t="s">
        <v>76</v>
      </c>
      <c r="I157" s="15"/>
      <c r="J157" s="15"/>
      <c r="K157" s="15"/>
      <c r="L157" s="15"/>
      <c r="M157" s="15"/>
      <c r="N157" s="15"/>
      <c r="O157" s="15"/>
      <c r="P157" s="15"/>
      <c r="Q157" s="15"/>
      <c r="R157" s="15"/>
      <c r="S157" s="15"/>
      <c r="T157" s="15"/>
      <c r="U157" s="14" t="str">
        <f t="shared" si="12"/>
        <v/>
      </c>
    </row>
    <row r="158" spans="1:21" ht="29" x14ac:dyDescent="0.35">
      <c r="A158" s="14">
        <v>5</v>
      </c>
      <c r="B158" s="14" t="s">
        <v>823</v>
      </c>
      <c r="C158" s="14" t="s">
        <v>889</v>
      </c>
      <c r="D158" s="14" t="s">
        <v>890</v>
      </c>
      <c r="E158" s="14" t="s">
        <v>69</v>
      </c>
      <c r="F158" s="14" t="s">
        <v>284</v>
      </c>
      <c r="G158" s="14" t="s">
        <v>691</v>
      </c>
      <c r="H158" s="14" t="s">
        <v>76</v>
      </c>
      <c r="I158" s="15"/>
      <c r="J158" s="15"/>
      <c r="K158" s="15"/>
      <c r="L158" s="15"/>
      <c r="M158" s="15"/>
      <c r="N158" s="15"/>
      <c r="O158" s="15"/>
      <c r="P158" s="15"/>
      <c r="Q158" s="15"/>
      <c r="R158" s="15"/>
      <c r="S158" s="15"/>
      <c r="T158" s="15"/>
      <c r="U158" s="14" t="str">
        <f t="shared" si="12"/>
        <v/>
      </c>
    </row>
    <row r="159" spans="1:21" ht="29" x14ac:dyDescent="0.35">
      <c r="A159" s="14">
        <v>6</v>
      </c>
      <c r="B159" s="14" t="s">
        <v>698</v>
      </c>
      <c r="C159" s="14" t="s">
        <v>891</v>
      </c>
      <c r="D159" s="14" t="s">
        <v>853</v>
      </c>
      <c r="E159" s="14" t="s">
        <v>690</v>
      </c>
      <c r="F159" s="14" t="s">
        <v>167</v>
      </c>
      <c r="G159" s="14" t="s">
        <v>691</v>
      </c>
      <c r="H159" s="14" t="s">
        <v>59</v>
      </c>
      <c r="I159" s="15"/>
      <c r="J159" s="15"/>
      <c r="K159" s="15"/>
      <c r="L159" s="15"/>
      <c r="M159" s="15"/>
      <c r="N159" s="15"/>
      <c r="O159" s="15"/>
      <c r="P159" s="15"/>
      <c r="Q159" s="15"/>
      <c r="R159" s="15"/>
      <c r="S159" s="15"/>
      <c r="T159" s="15"/>
      <c r="U159" s="14" t="str">
        <f t="shared" si="12"/>
        <v/>
      </c>
    </row>
    <row r="160" spans="1:21" ht="29" x14ac:dyDescent="0.35">
      <c r="A160" s="14">
        <v>7</v>
      </c>
      <c r="B160" s="14" t="s">
        <v>892</v>
      </c>
      <c r="C160" s="14" t="s">
        <v>893</v>
      </c>
      <c r="D160" s="14" t="s">
        <v>449</v>
      </c>
      <c r="E160" s="14" t="s">
        <v>690</v>
      </c>
      <c r="F160" s="14" t="s">
        <v>167</v>
      </c>
      <c r="G160" s="14" t="s">
        <v>691</v>
      </c>
      <c r="H160" s="14" t="s">
        <v>59</v>
      </c>
      <c r="I160" s="15"/>
      <c r="J160" s="15"/>
      <c r="K160" s="15"/>
      <c r="L160" s="15"/>
      <c r="M160" s="15"/>
      <c r="N160" s="15"/>
      <c r="O160" s="15"/>
      <c r="P160" s="15"/>
      <c r="Q160" s="15"/>
      <c r="R160" s="15"/>
      <c r="S160" s="15"/>
      <c r="T160" s="15"/>
      <c r="U160" s="14" t="str">
        <f t="shared" si="12"/>
        <v/>
      </c>
    </row>
    <row r="161" spans="1:21" ht="29" x14ac:dyDescent="0.35">
      <c r="A161" s="14">
        <v>8</v>
      </c>
      <c r="B161" s="14" t="s">
        <v>861</v>
      </c>
      <c r="C161" s="14" t="s">
        <v>894</v>
      </c>
      <c r="D161" s="14" t="s">
        <v>895</v>
      </c>
      <c r="E161" s="14" t="s">
        <v>690</v>
      </c>
      <c r="F161" s="14" t="s">
        <v>167</v>
      </c>
      <c r="G161" s="14" t="s">
        <v>691</v>
      </c>
      <c r="H161" s="14" t="s">
        <v>59</v>
      </c>
      <c r="I161" s="15"/>
      <c r="J161" s="15"/>
      <c r="K161" s="15"/>
      <c r="L161" s="15"/>
      <c r="M161" s="15"/>
      <c r="N161" s="15"/>
      <c r="O161" s="15"/>
      <c r="P161" s="15"/>
      <c r="Q161" s="15"/>
      <c r="R161" s="15"/>
      <c r="S161" s="15"/>
      <c r="T161" s="15"/>
      <c r="U161" s="14" t="str">
        <f t="shared" si="12"/>
        <v/>
      </c>
    </row>
    <row r="164" spans="1:21" ht="22" customHeight="1" x14ac:dyDescent="0.35">
      <c r="A164" s="26" t="s">
        <v>906</v>
      </c>
      <c r="B164" s="23"/>
      <c r="C164" s="23"/>
      <c r="D164" s="23"/>
      <c r="E164" s="23"/>
      <c r="F164" s="23"/>
      <c r="G164" s="23"/>
      <c r="H164" s="23"/>
      <c r="I164" s="23"/>
      <c r="J164" s="23"/>
      <c r="K164" s="23"/>
      <c r="L164" s="23"/>
      <c r="M164" s="23"/>
      <c r="N164" s="23"/>
      <c r="O164" s="23"/>
      <c r="P164" s="23"/>
      <c r="Q164" s="23"/>
      <c r="R164" s="23"/>
      <c r="S164" s="23"/>
      <c r="T164" s="23"/>
      <c r="U164" s="23"/>
    </row>
    <row r="165" spans="1:21" x14ac:dyDescent="0.35">
      <c r="A165" t="s">
        <v>31</v>
      </c>
      <c r="B165" t="s">
        <v>29</v>
      </c>
      <c r="C165" t="s">
        <v>32</v>
      </c>
      <c r="E165" t="s">
        <v>33</v>
      </c>
    </row>
    <row r="166" spans="1:21" ht="29" x14ac:dyDescent="0.35">
      <c r="A166" s="11" t="s">
        <v>34</v>
      </c>
      <c r="B166" s="11" t="s">
        <v>35</v>
      </c>
      <c r="C166" s="11" t="s">
        <v>36</v>
      </c>
      <c r="D166" s="11" t="s">
        <v>37</v>
      </c>
      <c r="E166" s="11" t="s">
        <v>38</v>
      </c>
      <c r="F166" s="11" t="s">
        <v>39</v>
      </c>
      <c r="G166" s="11" t="s">
        <v>40</v>
      </c>
      <c r="H166" s="11" t="s">
        <v>41</v>
      </c>
      <c r="I166" s="11" t="s">
        <v>42</v>
      </c>
      <c r="J166" s="11" t="s">
        <v>43</v>
      </c>
      <c r="K166" s="11" t="s">
        <v>44</v>
      </c>
      <c r="L166" s="11" t="s">
        <v>45</v>
      </c>
      <c r="M166" s="11" t="s">
        <v>46</v>
      </c>
      <c r="N166" s="11" t="s">
        <v>47</v>
      </c>
      <c r="O166" s="11" t="s">
        <v>48</v>
      </c>
      <c r="P166" s="11" t="s">
        <v>4</v>
      </c>
      <c r="Q166" s="11" t="s">
        <v>49</v>
      </c>
      <c r="R166" s="11" t="s">
        <v>50</v>
      </c>
      <c r="S166" s="11" t="s">
        <v>51</v>
      </c>
      <c r="T166" s="11" t="s">
        <v>52</v>
      </c>
      <c r="U166" s="11" t="s">
        <v>10</v>
      </c>
    </row>
    <row r="167" spans="1:21" ht="29" x14ac:dyDescent="0.35">
      <c r="A167" s="14">
        <v>1</v>
      </c>
      <c r="B167" s="14" t="s">
        <v>878</v>
      </c>
      <c r="C167" s="14" t="s">
        <v>879</v>
      </c>
      <c r="D167" s="14" t="s">
        <v>880</v>
      </c>
      <c r="E167" s="14" t="s">
        <v>690</v>
      </c>
      <c r="F167" s="14" t="s">
        <v>167</v>
      </c>
      <c r="G167" s="14" t="s">
        <v>691</v>
      </c>
      <c r="H167" s="14" t="s">
        <v>59</v>
      </c>
      <c r="I167" s="15"/>
      <c r="J167" s="15"/>
      <c r="K167" s="15"/>
      <c r="L167" s="15"/>
      <c r="M167" s="15"/>
      <c r="N167" s="15"/>
      <c r="O167" s="15"/>
      <c r="P167" s="15"/>
      <c r="Q167" s="15"/>
      <c r="R167" s="15"/>
      <c r="S167" s="15"/>
      <c r="T167" s="15"/>
      <c r="U167" s="14" t="str">
        <f t="shared" ref="U167:U174" si="13">IF(I167="","",IF(I167="NA","Grey",IF(I167=2,"Green",IF(I167=1,"Amber","Red"))))</f>
        <v/>
      </c>
    </row>
    <row r="168" spans="1:21" ht="29" x14ac:dyDescent="0.35">
      <c r="A168" s="14">
        <v>2</v>
      </c>
      <c r="B168" s="14" t="s">
        <v>881</v>
      </c>
      <c r="C168" s="14" t="s">
        <v>882</v>
      </c>
      <c r="D168" s="14" t="s">
        <v>883</v>
      </c>
      <c r="E168" s="14" t="s">
        <v>69</v>
      </c>
      <c r="F168" s="14" t="s">
        <v>284</v>
      </c>
      <c r="G168" s="14" t="s">
        <v>691</v>
      </c>
      <c r="H168" s="14" t="s">
        <v>76</v>
      </c>
      <c r="I168" s="15"/>
      <c r="J168" s="15"/>
      <c r="K168" s="15"/>
      <c r="L168" s="15"/>
      <c r="M168" s="15"/>
      <c r="N168" s="15"/>
      <c r="O168" s="15"/>
      <c r="P168" s="15"/>
      <c r="Q168" s="15"/>
      <c r="R168" s="15"/>
      <c r="S168" s="15"/>
      <c r="T168" s="15"/>
      <c r="U168" s="14" t="str">
        <f t="shared" si="13"/>
        <v/>
      </c>
    </row>
    <row r="169" spans="1:21" ht="29" x14ac:dyDescent="0.35">
      <c r="A169" s="14">
        <v>3</v>
      </c>
      <c r="B169" s="14" t="s">
        <v>884</v>
      </c>
      <c r="C169" s="14" t="s">
        <v>885</v>
      </c>
      <c r="D169" s="14" t="s">
        <v>886</v>
      </c>
      <c r="E169" s="14" t="s">
        <v>69</v>
      </c>
      <c r="F169" s="14" t="s">
        <v>284</v>
      </c>
      <c r="G169" s="14" t="s">
        <v>691</v>
      </c>
      <c r="H169" s="14" t="s">
        <v>76</v>
      </c>
      <c r="I169" s="15"/>
      <c r="J169" s="15"/>
      <c r="K169" s="15"/>
      <c r="L169" s="15"/>
      <c r="M169" s="15"/>
      <c r="N169" s="15"/>
      <c r="O169" s="15"/>
      <c r="P169" s="15"/>
      <c r="Q169" s="15"/>
      <c r="R169" s="15"/>
      <c r="S169" s="15"/>
      <c r="T169" s="15"/>
      <c r="U169" s="14" t="str">
        <f t="shared" si="13"/>
        <v/>
      </c>
    </row>
    <row r="170" spans="1:21" ht="29" x14ac:dyDescent="0.35">
      <c r="A170" s="14">
        <v>4</v>
      </c>
      <c r="B170" s="14" t="s">
        <v>848</v>
      </c>
      <c r="C170" s="14" t="s">
        <v>887</v>
      </c>
      <c r="D170" s="14" t="s">
        <v>888</v>
      </c>
      <c r="E170" s="14" t="s">
        <v>69</v>
      </c>
      <c r="F170" s="14" t="s">
        <v>284</v>
      </c>
      <c r="G170" s="14" t="s">
        <v>691</v>
      </c>
      <c r="H170" s="14" t="s">
        <v>76</v>
      </c>
      <c r="I170" s="15"/>
      <c r="J170" s="15"/>
      <c r="K170" s="15"/>
      <c r="L170" s="15"/>
      <c r="M170" s="15"/>
      <c r="N170" s="15"/>
      <c r="O170" s="15"/>
      <c r="P170" s="15"/>
      <c r="Q170" s="15"/>
      <c r="R170" s="15"/>
      <c r="S170" s="15"/>
      <c r="T170" s="15"/>
      <c r="U170" s="14" t="str">
        <f t="shared" si="13"/>
        <v/>
      </c>
    </row>
    <row r="171" spans="1:21" ht="29" x14ac:dyDescent="0.35">
      <c r="A171" s="14">
        <v>5</v>
      </c>
      <c r="B171" s="14" t="s">
        <v>823</v>
      </c>
      <c r="C171" s="14" t="s">
        <v>889</v>
      </c>
      <c r="D171" s="14" t="s">
        <v>890</v>
      </c>
      <c r="E171" s="14" t="s">
        <v>69</v>
      </c>
      <c r="F171" s="14" t="s">
        <v>284</v>
      </c>
      <c r="G171" s="14" t="s">
        <v>691</v>
      </c>
      <c r="H171" s="14" t="s">
        <v>76</v>
      </c>
      <c r="I171" s="15"/>
      <c r="J171" s="15"/>
      <c r="K171" s="15"/>
      <c r="L171" s="15"/>
      <c r="M171" s="15"/>
      <c r="N171" s="15"/>
      <c r="O171" s="15"/>
      <c r="P171" s="15"/>
      <c r="Q171" s="15"/>
      <c r="R171" s="15"/>
      <c r="S171" s="15"/>
      <c r="T171" s="15"/>
      <c r="U171" s="14" t="str">
        <f t="shared" si="13"/>
        <v/>
      </c>
    </row>
    <row r="172" spans="1:21" ht="29" x14ac:dyDescent="0.35">
      <c r="A172" s="14">
        <v>6</v>
      </c>
      <c r="B172" s="14" t="s">
        <v>698</v>
      </c>
      <c r="C172" s="14" t="s">
        <v>891</v>
      </c>
      <c r="D172" s="14" t="s">
        <v>853</v>
      </c>
      <c r="E172" s="14" t="s">
        <v>690</v>
      </c>
      <c r="F172" s="14" t="s">
        <v>167</v>
      </c>
      <c r="G172" s="14" t="s">
        <v>691</v>
      </c>
      <c r="H172" s="14" t="s">
        <v>59</v>
      </c>
      <c r="I172" s="15"/>
      <c r="J172" s="15"/>
      <c r="K172" s="15"/>
      <c r="L172" s="15"/>
      <c r="M172" s="15"/>
      <c r="N172" s="15"/>
      <c r="O172" s="15"/>
      <c r="P172" s="15"/>
      <c r="Q172" s="15"/>
      <c r="R172" s="15"/>
      <c r="S172" s="15"/>
      <c r="T172" s="15"/>
      <c r="U172" s="14" t="str">
        <f t="shared" si="13"/>
        <v/>
      </c>
    </row>
    <row r="173" spans="1:21" ht="29" x14ac:dyDescent="0.35">
      <c r="A173" s="14">
        <v>7</v>
      </c>
      <c r="B173" s="14" t="s">
        <v>892</v>
      </c>
      <c r="C173" s="14" t="s">
        <v>893</v>
      </c>
      <c r="D173" s="14" t="s">
        <v>449</v>
      </c>
      <c r="E173" s="14" t="s">
        <v>690</v>
      </c>
      <c r="F173" s="14" t="s">
        <v>167</v>
      </c>
      <c r="G173" s="14" t="s">
        <v>691</v>
      </c>
      <c r="H173" s="14" t="s">
        <v>59</v>
      </c>
      <c r="I173" s="15"/>
      <c r="J173" s="15"/>
      <c r="K173" s="15"/>
      <c r="L173" s="15"/>
      <c r="M173" s="15"/>
      <c r="N173" s="15"/>
      <c r="O173" s="15"/>
      <c r="P173" s="15"/>
      <c r="Q173" s="15"/>
      <c r="R173" s="15"/>
      <c r="S173" s="15"/>
      <c r="T173" s="15"/>
      <c r="U173" s="14" t="str">
        <f t="shared" si="13"/>
        <v/>
      </c>
    </row>
    <row r="174" spans="1:21" ht="29" x14ac:dyDescent="0.35">
      <c r="A174" s="14">
        <v>8</v>
      </c>
      <c r="B174" s="14" t="s">
        <v>861</v>
      </c>
      <c r="C174" s="14" t="s">
        <v>894</v>
      </c>
      <c r="D174" s="14" t="s">
        <v>895</v>
      </c>
      <c r="E174" s="14" t="s">
        <v>690</v>
      </c>
      <c r="F174" s="14" t="s">
        <v>167</v>
      </c>
      <c r="G174" s="14" t="s">
        <v>691</v>
      </c>
      <c r="H174" s="14" t="s">
        <v>59</v>
      </c>
      <c r="I174" s="15"/>
      <c r="J174" s="15"/>
      <c r="K174" s="15"/>
      <c r="L174" s="15"/>
      <c r="M174" s="15"/>
      <c r="N174" s="15"/>
      <c r="O174" s="15"/>
      <c r="P174" s="15"/>
      <c r="Q174" s="15"/>
      <c r="R174" s="15"/>
      <c r="S174" s="15"/>
      <c r="T174" s="15"/>
      <c r="U174" s="14" t="str">
        <f t="shared" si="13"/>
        <v/>
      </c>
    </row>
  </sheetData>
  <mergeCells count="14">
    <mergeCell ref="A1:U1"/>
    <mergeCell ref="A151:U151"/>
    <mergeCell ref="A47:U47"/>
    <mergeCell ref="A99:U99"/>
    <mergeCell ref="A164:U164"/>
    <mergeCell ref="A138:U138"/>
    <mergeCell ref="A34:U34"/>
    <mergeCell ref="A21:U21"/>
    <mergeCell ref="A2:U2"/>
    <mergeCell ref="A86:U86"/>
    <mergeCell ref="A125:U125"/>
    <mergeCell ref="A60:U60"/>
    <mergeCell ref="A73:U73"/>
    <mergeCell ref="A112:U112"/>
  </mergeCells>
  <dataValidations count="3">
    <dataValidation type="list" allowBlank="1" sqref="I24:I31 I167:I174 I154:I161 I141:I148 I128:I135 I115:I122 I102:I109 I89:I96 I76:I83 I63:I70 I50:I57 I37:I44" xr:uid="{00000000-0002-0000-1500-000000000000}">
      <formula1>"0,1,2,NA"</formula1>
    </dataValidation>
    <dataValidation type="list" allowBlank="1" sqref="H24:H31 H167:H174 H154:H161 H141:H148 H128:H135 H115:H122 H102:H109 H89:H96 H76:H83 H63:H70 H50:H57 H37:H44" xr:uid="{00000000-0002-0000-1500-000001000000}">
      <formula1>"Low,Medium,High,Critical"</formula1>
    </dataValidation>
    <dataValidation type="list" allowBlank="1" sqref="T24:T31 T167:T174 T154:T161 T141:T148 T128:T135 T115:T122 T102:T109 T89:T96 T76:T83 T63:T70 T50:T57 T37:T44" xr:uid="{00000000-0002-0000-1500-000002000000}">
      <formula1>"Not Started,In Progress,Complete,Closed,Escalated"</formula1>
    </dataValidation>
  </dataValidation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174"/>
  <sheetViews>
    <sheetView workbookViewId="0">
      <pane ySplit="22" topLeftCell="A23" activePane="bottomLeft" state="frozen"/>
      <selection pane="bottomLeft"/>
    </sheetView>
  </sheetViews>
  <sheetFormatPr defaultRowHeight="14.5" x14ac:dyDescent="0.35"/>
  <cols>
    <col min="1" max="1" width="5" customWidth="1"/>
    <col min="2" max="2" width="20" customWidth="1"/>
    <col min="3" max="3" width="50" customWidth="1"/>
    <col min="4" max="4" width="38" customWidth="1"/>
    <col min="5" max="6" width="18" customWidth="1"/>
    <col min="7" max="7" width="34" customWidth="1"/>
    <col min="8" max="8" width="12" customWidth="1"/>
    <col min="9" max="9" width="14" customWidth="1"/>
    <col min="10" max="10" width="32" customWidth="1"/>
    <col min="11" max="11" width="34" customWidth="1"/>
    <col min="12" max="12" width="28" customWidth="1"/>
    <col min="13" max="13" width="26" customWidth="1"/>
    <col min="14" max="14" width="30" customWidth="1"/>
    <col min="15" max="15" width="20" customWidth="1"/>
    <col min="16" max="17" width="13" customWidth="1"/>
    <col min="18" max="18" width="18" customWidth="1"/>
    <col min="19" max="19" width="14" customWidth="1"/>
    <col min="20" max="20" width="16" customWidth="1"/>
    <col min="21" max="21" width="12" customWidth="1"/>
  </cols>
  <sheetData>
    <row r="1" spans="1:21" ht="28" customHeight="1" x14ac:dyDescent="0.35">
      <c r="A1" s="26" t="s">
        <v>907</v>
      </c>
      <c r="B1" s="23"/>
      <c r="C1" s="23"/>
      <c r="D1" s="23"/>
      <c r="E1" s="23"/>
      <c r="F1" s="23"/>
      <c r="G1" s="23"/>
      <c r="H1" s="23"/>
      <c r="I1" s="23"/>
      <c r="J1" s="23"/>
      <c r="K1" s="23"/>
      <c r="L1" s="23"/>
      <c r="M1" s="23"/>
      <c r="N1" s="23"/>
      <c r="O1" s="23"/>
      <c r="P1" s="23"/>
      <c r="Q1" s="23"/>
      <c r="R1" s="23"/>
      <c r="S1" s="23"/>
      <c r="T1" s="23"/>
      <c r="U1" s="23"/>
    </row>
    <row r="2" spans="1:21" x14ac:dyDescent="0.35">
      <c r="A2" s="27" t="s">
        <v>683</v>
      </c>
      <c r="B2" s="23"/>
      <c r="C2" s="23"/>
      <c r="D2" s="23"/>
      <c r="E2" s="23"/>
      <c r="F2" s="23"/>
      <c r="G2" s="23"/>
      <c r="H2" s="23"/>
      <c r="I2" s="23"/>
      <c r="J2" s="23"/>
      <c r="K2" s="23"/>
      <c r="L2" s="23"/>
      <c r="M2" s="23"/>
      <c r="N2" s="23"/>
      <c r="O2" s="23"/>
      <c r="P2" s="23"/>
      <c r="Q2" s="23"/>
      <c r="R2" s="23"/>
      <c r="S2" s="23"/>
      <c r="T2" s="23"/>
      <c r="U2" s="23"/>
    </row>
    <row r="4" spans="1:21" ht="29" x14ac:dyDescent="0.35">
      <c r="A4" s="11" t="s">
        <v>3</v>
      </c>
      <c r="B4" s="11" t="s">
        <v>4</v>
      </c>
      <c r="C4" s="11" t="s">
        <v>5</v>
      </c>
      <c r="D4" s="11" t="s">
        <v>6</v>
      </c>
      <c r="E4" s="11" t="s">
        <v>7</v>
      </c>
      <c r="F4" s="11" t="s">
        <v>8</v>
      </c>
      <c r="G4" s="11" t="s">
        <v>9</v>
      </c>
      <c r="H4" s="11" t="s">
        <v>10</v>
      </c>
      <c r="I4" s="11" t="s">
        <v>11</v>
      </c>
      <c r="J4" s="11" t="s">
        <v>12</v>
      </c>
      <c r="K4" s="11" t="s">
        <v>13</v>
      </c>
      <c r="L4" s="11" t="s">
        <v>14</v>
      </c>
      <c r="M4" s="11" t="s">
        <v>684</v>
      </c>
      <c r="N4" s="11" t="s">
        <v>685</v>
      </c>
    </row>
    <row r="5" spans="1:21" x14ac:dyDescent="0.35">
      <c r="A5" t="s">
        <v>18</v>
      </c>
      <c r="B5" s="12">
        <v>46050</v>
      </c>
      <c r="E5">
        <f>SUMIF(I24:I31,"&gt;=0",I24:I31)</f>
        <v>0</v>
      </c>
      <c r="F5">
        <f>COUNT(I24:I31)*2</f>
        <v>0</v>
      </c>
      <c r="G5" s="13" t="str">
        <f t="shared" ref="G5:G16" si="0">IF(F5=0,"",E5/F5)</f>
        <v/>
      </c>
      <c r="H5" t="str">
        <f t="shared" ref="H5:H16" si="1">IF(G5="","Not Started",IF(G5&gt;=0.9,"Green",IF(G5&gt;=0.75,"Amber","Red")))</f>
        <v>Not Started</v>
      </c>
      <c r="I5">
        <f>COUNTIFS(H24:H31,"Critical",I24:I31,"&lt;2")+COUNTIFS(H24:H31,"High",I24:I31,"&lt;2")</f>
        <v>0</v>
      </c>
      <c r="J5">
        <f>COUNTIF(T24:T31,"In Progress")+COUNTIF(T24:T31,"Not Started")</f>
        <v>0</v>
      </c>
      <c r="K5">
        <f ca="1">COUNTIFS(P24:P31,"&lt;"&amp;TODAY(),Q24:Q31,"")</f>
        <v>0</v>
      </c>
    </row>
    <row r="6" spans="1:21" x14ac:dyDescent="0.35">
      <c r="A6" t="s">
        <v>19</v>
      </c>
      <c r="B6" s="12">
        <v>46081</v>
      </c>
      <c r="E6">
        <f>SUMIF(I37:I44,"&gt;=0",I37:I44)</f>
        <v>0</v>
      </c>
      <c r="F6">
        <f>COUNT(I37:I44)*2</f>
        <v>0</v>
      </c>
      <c r="G6" s="13" t="str">
        <f t="shared" si="0"/>
        <v/>
      </c>
      <c r="H6" t="str">
        <f t="shared" si="1"/>
        <v>Not Started</v>
      </c>
      <c r="I6">
        <f>COUNTIFS(H37:H44,"Critical",I37:I44,"&lt;2")+COUNTIFS(H37:H44,"High",I37:I44,"&lt;2")</f>
        <v>0</v>
      </c>
      <c r="J6">
        <f>COUNTIF(T37:T44,"In Progress")+COUNTIF(T37:T44,"Not Started")</f>
        <v>0</v>
      </c>
      <c r="K6">
        <f ca="1">COUNTIFS(P37:P44,"&lt;"&amp;TODAY(),Q37:Q44,"")</f>
        <v>0</v>
      </c>
    </row>
    <row r="7" spans="1:21" x14ac:dyDescent="0.35">
      <c r="A7" t="s">
        <v>20</v>
      </c>
      <c r="B7" s="12">
        <v>46109</v>
      </c>
      <c r="E7">
        <f>SUMIF(I50:I57,"&gt;=0",I50:I57)</f>
        <v>0</v>
      </c>
      <c r="F7">
        <f>COUNT(I50:I57)*2</f>
        <v>0</v>
      </c>
      <c r="G7" s="13" t="str">
        <f t="shared" si="0"/>
        <v/>
      </c>
      <c r="H7" t="str">
        <f t="shared" si="1"/>
        <v>Not Started</v>
      </c>
      <c r="I7">
        <f>COUNTIFS(H50:H57,"Critical",I50:I57,"&lt;2")+COUNTIFS(H50:H57,"High",I50:I57,"&lt;2")</f>
        <v>0</v>
      </c>
      <c r="J7">
        <f>COUNTIF(T50:T57,"In Progress")+COUNTIF(T50:T57,"Not Started")</f>
        <v>0</v>
      </c>
      <c r="K7">
        <f ca="1">COUNTIFS(P50:P57,"&lt;"&amp;TODAY(),Q50:Q57,"")</f>
        <v>0</v>
      </c>
    </row>
    <row r="8" spans="1:21" x14ac:dyDescent="0.35">
      <c r="A8" t="s">
        <v>21</v>
      </c>
      <c r="B8" s="12">
        <v>46140</v>
      </c>
      <c r="E8">
        <f>SUMIF(I63:I70,"&gt;=0",I63:I70)</f>
        <v>0</v>
      </c>
      <c r="F8">
        <f>COUNT(I63:I70)*2</f>
        <v>0</v>
      </c>
      <c r="G8" s="13" t="str">
        <f t="shared" si="0"/>
        <v/>
      </c>
      <c r="H8" t="str">
        <f t="shared" si="1"/>
        <v>Not Started</v>
      </c>
      <c r="I8">
        <f>COUNTIFS(H63:H70,"Critical",I63:I70,"&lt;2")+COUNTIFS(H63:H70,"High",I63:I70,"&lt;2")</f>
        <v>0</v>
      </c>
      <c r="J8">
        <f>COUNTIF(T63:T70,"In Progress")+COUNTIF(T63:T70,"Not Started")</f>
        <v>0</v>
      </c>
      <c r="K8">
        <f ca="1">COUNTIFS(P63:P70,"&lt;"&amp;TODAY(),Q63:Q70,"")</f>
        <v>0</v>
      </c>
    </row>
    <row r="9" spans="1:21" x14ac:dyDescent="0.35">
      <c r="A9" t="s">
        <v>22</v>
      </c>
      <c r="B9" s="12">
        <v>46170</v>
      </c>
      <c r="E9">
        <f>SUMIF(I76:I83,"&gt;=0",I76:I83)</f>
        <v>0</v>
      </c>
      <c r="F9">
        <f>COUNT(I76:I83)*2</f>
        <v>0</v>
      </c>
      <c r="G9" s="13" t="str">
        <f t="shared" si="0"/>
        <v/>
      </c>
      <c r="H9" t="str">
        <f t="shared" si="1"/>
        <v>Not Started</v>
      </c>
      <c r="I9">
        <f>COUNTIFS(H76:H83,"Critical",I76:I83,"&lt;2")+COUNTIFS(H76:H83,"High",I76:I83,"&lt;2")</f>
        <v>0</v>
      </c>
      <c r="J9">
        <f>COUNTIF(T76:T83,"In Progress")+COUNTIF(T76:T83,"Not Started")</f>
        <v>0</v>
      </c>
      <c r="K9">
        <f ca="1">COUNTIFS(P76:P83,"&lt;"&amp;TODAY(),Q76:Q83,"")</f>
        <v>0</v>
      </c>
    </row>
    <row r="10" spans="1:21" x14ac:dyDescent="0.35">
      <c r="A10" t="s">
        <v>23</v>
      </c>
      <c r="B10" s="12">
        <v>46201</v>
      </c>
      <c r="E10">
        <f>SUMIF(I89:I96,"&gt;=0",I89:I96)</f>
        <v>0</v>
      </c>
      <c r="F10">
        <f>COUNT(I89:I96)*2</f>
        <v>0</v>
      </c>
      <c r="G10" s="13" t="str">
        <f t="shared" si="0"/>
        <v/>
      </c>
      <c r="H10" t="str">
        <f t="shared" si="1"/>
        <v>Not Started</v>
      </c>
      <c r="I10">
        <f>COUNTIFS(H89:H96,"Critical",I89:I96,"&lt;2")+COUNTIFS(H89:H96,"High",I89:I96,"&lt;2")</f>
        <v>0</v>
      </c>
      <c r="J10">
        <f>COUNTIF(T89:T96,"In Progress")+COUNTIF(T89:T96,"Not Started")</f>
        <v>0</v>
      </c>
      <c r="K10">
        <f ca="1">COUNTIFS(P89:P96,"&lt;"&amp;TODAY(),Q89:Q96,"")</f>
        <v>0</v>
      </c>
    </row>
    <row r="11" spans="1:21" x14ac:dyDescent="0.35">
      <c r="A11" t="s">
        <v>24</v>
      </c>
      <c r="B11" s="12">
        <v>46231</v>
      </c>
      <c r="E11">
        <f>SUMIF(I102:I109,"&gt;=0",I102:I109)</f>
        <v>0</v>
      </c>
      <c r="F11">
        <f>COUNT(I102:I109)*2</f>
        <v>0</v>
      </c>
      <c r="G11" s="13" t="str">
        <f t="shared" si="0"/>
        <v/>
      </c>
      <c r="H11" t="str">
        <f t="shared" si="1"/>
        <v>Not Started</v>
      </c>
      <c r="I11">
        <f>COUNTIFS(H102:H109,"Critical",I102:I109,"&lt;2")+COUNTIFS(H102:H109,"High",I102:I109,"&lt;2")</f>
        <v>0</v>
      </c>
      <c r="J11">
        <f>COUNTIF(T102:T109,"In Progress")+COUNTIF(T102:T109,"Not Started")</f>
        <v>0</v>
      </c>
      <c r="K11">
        <f ca="1">COUNTIFS(P102:P109,"&lt;"&amp;TODAY(),Q102:Q109,"")</f>
        <v>0</v>
      </c>
    </row>
    <row r="12" spans="1:21" x14ac:dyDescent="0.35">
      <c r="A12" t="s">
        <v>25</v>
      </c>
      <c r="B12" s="12">
        <v>46262</v>
      </c>
      <c r="E12">
        <f>SUMIF(I115:I122,"&gt;=0",I115:I122)</f>
        <v>0</v>
      </c>
      <c r="F12">
        <f>COUNT(I115:I122)*2</f>
        <v>0</v>
      </c>
      <c r="G12" s="13" t="str">
        <f t="shared" si="0"/>
        <v/>
      </c>
      <c r="H12" t="str">
        <f t="shared" si="1"/>
        <v>Not Started</v>
      </c>
      <c r="I12">
        <f>COUNTIFS(H115:H122,"Critical",I115:I122,"&lt;2")+COUNTIFS(H115:H122,"High",I115:I122,"&lt;2")</f>
        <v>0</v>
      </c>
      <c r="J12">
        <f>COUNTIF(T115:T122,"In Progress")+COUNTIF(T115:T122,"Not Started")</f>
        <v>0</v>
      </c>
      <c r="K12">
        <f ca="1">COUNTIFS(P115:P122,"&lt;"&amp;TODAY(),Q115:Q122,"")</f>
        <v>0</v>
      </c>
    </row>
    <row r="13" spans="1:21" x14ac:dyDescent="0.35">
      <c r="A13" t="s">
        <v>26</v>
      </c>
      <c r="B13" s="12">
        <v>46293</v>
      </c>
      <c r="E13">
        <f>SUMIF(I128:I135,"&gt;=0",I128:I135)</f>
        <v>0</v>
      </c>
      <c r="F13">
        <f>COUNT(I128:I135)*2</f>
        <v>0</v>
      </c>
      <c r="G13" s="13" t="str">
        <f t="shared" si="0"/>
        <v/>
      </c>
      <c r="H13" t="str">
        <f t="shared" si="1"/>
        <v>Not Started</v>
      </c>
      <c r="I13">
        <f>COUNTIFS(H128:H135,"Critical",I128:I135,"&lt;2")+COUNTIFS(H128:H135,"High",I128:I135,"&lt;2")</f>
        <v>0</v>
      </c>
      <c r="J13">
        <f>COUNTIF(T128:T135,"In Progress")+COUNTIF(T128:T135,"Not Started")</f>
        <v>0</v>
      </c>
      <c r="K13">
        <f ca="1">COUNTIFS(P128:P135,"&lt;"&amp;TODAY(),Q128:Q135,"")</f>
        <v>0</v>
      </c>
    </row>
    <row r="14" spans="1:21" x14ac:dyDescent="0.35">
      <c r="A14" t="s">
        <v>27</v>
      </c>
      <c r="B14" s="12">
        <v>46323</v>
      </c>
      <c r="E14">
        <f>SUMIF(I141:I148,"&gt;=0",I141:I148)</f>
        <v>0</v>
      </c>
      <c r="F14">
        <f>COUNT(I141:I148)*2</f>
        <v>0</v>
      </c>
      <c r="G14" s="13" t="str">
        <f t="shared" si="0"/>
        <v/>
      </c>
      <c r="H14" t="str">
        <f t="shared" si="1"/>
        <v>Not Started</v>
      </c>
      <c r="I14">
        <f>COUNTIFS(H141:H148,"Critical",I141:I148,"&lt;2")+COUNTIFS(H141:H148,"High",I141:I148,"&lt;2")</f>
        <v>0</v>
      </c>
      <c r="J14">
        <f>COUNTIF(T141:T148,"In Progress")+COUNTIF(T141:T148,"Not Started")</f>
        <v>0</v>
      </c>
      <c r="K14">
        <f ca="1">COUNTIFS(P141:P148,"&lt;"&amp;TODAY(),Q141:Q148,"")</f>
        <v>0</v>
      </c>
    </row>
    <row r="15" spans="1:21" x14ac:dyDescent="0.35">
      <c r="A15" t="s">
        <v>28</v>
      </c>
      <c r="B15" s="12">
        <v>46354</v>
      </c>
      <c r="E15">
        <f>SUMIF(I154:I161,"&gt;=0",I154:I161)</f>
        <v>0</v>
      </c>
      <c r="F15">
        <f>COUNT(I154:I161)*2</f>
        <v>0</v>
      </c>
      <c r="G15" s="13" t="str">
        <f t="shared" si="0"/>
        <v/>
      </c>
      <c r="H15" t="str">
        <f t="shared" si="1"/>
        <v>Not Started</v>
      </c>
      <c r="I15">
        <f>COUNTIFS(H154:H161,"Critical",I154:I161,"&lt;2")+COUNTIFS(H154:H161,"High",I154:I161,"&lt;2")</f>
        <v>0</v>
      </c>
      <c r="J15">
        <f>COUNTIF(T154:T161,"In Progress")+COUNTIF(T154:T161,"Not Started")</f>
        <v>0</v>
      </c>
      <c r="K15">
        <f ca="1">COUNTIFS(P154:P161,"&lt;"&amp;TODAY(),Q154:Q161,"")</f>
        <v>0</v>
      </c>
    </row>
    <row r="16" spans="1:21" x14ac:dyDescent="0.35">
      <c r="A16" t="s">
        <v>29</v>
      </c>
      <c r="B16" s="12">
        <v>46384</v>
      </c>
      <c r="E16">
        <f>SUMIF(I167:I174,"&gt;=0",I167:I174)</f>
        <v>0</v>
      </c>
      <c r="F16">
        <f>COUNT(I167:I174)*2</f>
        <v>0</v>
      </c>
      <c r="G16" s="13" t="str">
        <f t="shared" si="0"/>
        <v/>
      </c>
      <c r="H16" t="str">
        <f t="shared" si="1"/>
        <v>Not Started</v>
      </c>
      <c r="I16">
        <f>COUNTIFS(H167:H174,"Critical",I167:I174,"&lt;2")+COUNTIFS(H167:H174,"High",I167:I174,"&lt;2")</f>
        <v>0</v>
      </c>
      <c r="J16">
        <f>COUNTIF(T167:T174,"In Progress")+COUNTIF(T167:T174,"Not Started")</f>
        <v>0</v>
      </c>
      <c r="K16">
        <f ca="1">COUNTIFS(P167:P174,"&lt;"&amp;TODAY(),Q167:Q174,"")</f>
        <v>0</v>
      </c>
    </row>
    <row r="21" spans="1:21" ht="22" customHeight="1" x14ac:dyDescent="0.35">
      <c r="A21" s="26" t="s">
        <v>908</v>
      </c>
      <c r="B21" s="23"/>
      <c r="C21" s="23"/>
      <c r="D21" s="23"/>
      <c r="E21" s="23"/>
      <c r="F21" s="23"/>
      <c r="G21" s="23"/>
      <c r="H21" s="23"/>
      <c r="I21" s="23"/>
      <c r="J21" s="23"/>
      <c r="K21" s="23"/>
      <c r="L21" s="23"/>
      <c r="M21" s="23"/>
      <c r="N21" s="23"/>
      <c r="O21" s="23"/>
      <c r="P21" s="23"/>
      <c r="Q21" s="23"/>
      <c r="R21" s="23"/>
      <c r="S21" s="23"/>
      <c r="T21" s="23"/>
      <c r="U21" s="23"/>
    </row>
    <row r="22" spans="1:21" x14ac:dyDescent="0.35">
      <c r="A22" t="s">
        <v>31</v>
      </c>
      <c r="B22" t="s">
        <v>18</v>
      </c>
      <c r="C22" t="s">
        <v>32</v>
      </c>
      <c r="E22" t="s">
        <v>33</v>
      </c>
    </row>
    <row r="23" spans="1:21" ht="29" x14ac:dyDescent="0.35">
      <c r="A23" s="11" t="s">
        <v>34</v>
      </c>
      <c r="B23" s="11" t="s">
        <v>35</v>
      </c>
      <c r="C23" s="11" t="s">
        <v>36</v>
      </c>
      <c r="D23" s="11" t="s">
        <v>37</v>
      </c>
      <c r="E23" s="11" t="s">
        <v>38</v>
      </c>
      <c r="F23" s="11" t="s">
        <v>39</v>
      </c>
      <c r="G23" s="11" t="s">
        <v>40</v>
      </c>
      <c r="H23" s="11" t="s">
        <v>41</v>
      </c>
      <c r="I23" s="11" t="s">
        <v>42</v>
      </c>
      <c r="J23" s="11" t="s">
        <v>43</v>
      </c>
      <c r="K23" s="11" t="s">
        <v>44</v>
      </c>
      <c r="L23" s="11" t="s">
        <v>45</v>
      </c>
      <c r="M23" s="11" t="s">
        <v>46</v>
      </c>
      <c r="N23" s="11" t="s">
        <v>47</v>
      </c>
      <c r="O23" s="11" t="s">
        <v>48</v>
      </c>
      <c r="P23" s="11" t="s">
        <v>4</v>
      </c>
      <c r="Q23" s="11" t="s">
        <v>49</v>
      </c>
      <c r="R23" s="11" t="s">
        <v>50</v>
      </c>
      <c r="S23" s="11" t="s">
        <v>51</v>
      </c>
      <c r="T23" s="11" t="s">
        <v>52</v>
      </c>
      <c r="U23" s="11" t="s">
        <v>10</v>
      </c>
    </row>
    <row r="24" spans="1:21" ht="29" x14ac:dyDescent="0.35">
      <c r="A24" s="14">
        <v>1</v>
      </c>
      <c r="B24" s="14" t="s">
        <v>909</v>
      </c>
      <c r="C24" s="14" t="s">
        <v>910</v>
      </c>
      <c r="D24" s="14" t="s">
        <v>911</v>
      </c>
      <c r="E24" s="14" t="s">
        <v>69</v>
      </c>
      <c r="F24" s="14" t="s">
        <v>284</v>
      </c>
      <c r="G24" s="14" t="s">
        <v>691</v>
      </c>
      <c r="H24" s="14" t="s">
        <v>76</v>
      </c>
      <c r="I24" s="15"/>
      <c r="J24" s="15"/>
      <c r="K24" s="15"/>
      <c r="L24" s="15"/>
      <c r="M24" s="15"/>
      <c r="N24" s="15"/>
      <c r="O24" s="15"/>
      <c r="P24" s="15"/>
      <c r="Q24" s="15"/>
      <c r="R24" s="15"/>
      <c r="S24" s="15"/>
      <c r="T24" s="15"/>
      <c r="U24" s="14" t="str">
        <f t="shared" ref="U24:U31" si="2">IF(I24="","",IF(I24="NA","Grey",IF(I24=2,"Green",IF(I24=1,"Amber","Red"))))</f>
        <v/>
      </c>
    </row>
    <row r="25" spans="1:21" ht="29" x14ac:dyDescent="0.35">
      <c r="A25" s="14">
        <v>2</v>
      </c>
      <c r="B25" s="14" t="s">
        <v>912</v>
      </c>
      <c r="C25" s="14" t="s">
        <v>913</v>
      </c>
      <c r="D25" s="14" t="s">
        <v>911</v>
      </c>
      <c r="E25" s="14" t="s">
        <v>69</v>
      </c>
      <c r="F25" s="14" t="s">
        <v>284</v>
      </c>
      <c r="G25" s="14" t="s">
        <v>691</v>
      </c>
      <c r="H25" s="14" t="s">
        <v>76</v>
      </c>
      <c r="I25" s="15"/>
      <c r="J25" s="15"/>
      <c r="K25" s="15"/>
      <c r="L25" s="15"/>
      <c r="M25" s="15"/>
      <c r="N25" s="15"/>
      <c r="O25" s="15"/>
      <c r="P25" s="15"/>
      <c r="Q25" s="15"/>
      <c r="R25" s="15"/>
      <c r="S25" s="15"/>
      <c r="T25" s="15"/>
      <c r="U25" s="14" t="str">
        <f t="shared" si="2"/>
        <v/>
      </c>
    </row>
    <row r="26" spans="1:21" ht="29" x14ac:dyDescent="0.35">
      <c r="A26" s="14">
        <v>3</v>
      </c>
      <c r="B26" s="14" t="s">
        <v>914</v>
      </c>
      <c r="C26" s="14" t="s">
        <v>915</v>
      </c>
      <c r="D26" s="14" t="s">
        <v>916</v>
      </c>
      <c r="E26" s="14" t="s">
        <v>69</v>
      </c>
      <c r="F26" s="14" t="s">
        <v>284</v>
      </c>
      <c r="G26" s="14" t="s">
        <v>691</v>
      </c>
      <c r="H26" s="14" t="s">
        <v>76</v>
      </c>
      <c r="I26" s="15"/>
      <c r="J26" s="15"/>
      <c r="K26" s="15"/>
      <c r="L26" s="15"/>
      <c r="M26" s="15"/>
      <c r="N26" s="15"/>
      <c r="O26" s="15"/>
      <c r="P26" s="15"/>
      <c r="Q26" s="15"/>
      <c r="R26" s="15"/>
      <c r="S26" s="15"/>
      <c r="T26" s="15"/>
      <c r="U26" s="14" t="str">
        <f t="shared" si="2"/>
        <v/>
      </c>
    </row>
    <row r="27" spans="1:21" ht="29" x14ac:dyDescent="0.35">
      <c r="A27" s="14">
        <v>4</v>
      </c>
      <c r="B27" s="14" t="s">
        <v>917</v>
      </c>
      <c r="C27" s="14" t="s">
        <v>918</v>
      </c>
      <c r="D27" s="14" t="s">
        <v>70</v>
      </c>
      <c r="E27" s="14" t="s">
        <v>690</v>
      </c>
      <c r="F27" s="14" t="s">
        <v>167</v>
      </c>
      <c r="G27" s="14" t="s">
        <v>691</v>
      </c>
      <c r="H27" s="14" t="s">
        <v>59</v>
      </c>
      <c r="I27" s="15"/>
      <c r="J27" s="15"/>
      <c r="K27" s="15"/>
      <c r="L27" s="15"/>
      <c r="M27" s="15"/>
      <c r="N27" s="15"/>
      <c r="O27" s="15"/>
      <c r="P27" s="15"/>
      <c r="Q27" s="15"/>
      <c r="R27" s="15"/>
      <c r="S27" s="15"/>
      <c r="T27" s="15"/>
      <c r="U27" s="14" t="str">
        <f t="shared" si="2"/>
        <v/>
      </c>
    </row>
    <row r="28" spans="1:21" ht="29" x14ac:dyDescent="0.35">
      <c r="A28" s="14">
        <v>5</v>
      </c>
      <c r="B28" s="14" t="s">
        <v>919</v>
      </c>
      <c r="C28" s="14" t="s">
        <v>920</v>
      </c>
      <c r="D28" s="14" t="s">
        <v>921</v>
      </c>
      <c r="E28" s="14" t="s">
        <v>690</v>
      </c>
      <c r="F28" s="14" t="s">
        <v>167</v>
      </c>
      <c r="G28" s="14" t="s">
        <v>691</v>
      </c>
      <c r="H28" s="14" t="s">
        <v>59</v>
      </c>
      <c r="I28" s="15"/>
      <c r="J28" s="15"/>
      <c r="K28" s="15"/>
      <c r="L28" s="15"/>
      <c r="M28" s="15"/>
      <c r="N28" s="15"/>
      <c r="O28" s="15"/>
      <c r="P28" s="15"/>
      <c r="Q28" s="15"/>
      <c r="R28" s="15"/>
      <c r="S28" s="15"/>
      <c r="T28" s="15"/>
      <c r="U28" s="14" t="str">
        <f t="shared" si="2"/>
        <v/>
      </c>
    </row>
    <row r="29" spans="1:21" ht="29" x14ac:dyDescent="0.35">
      <c r="A29" s="14">
        <v>6</v>
      </c>
      <c r="B29" s="14" t="s">
        <v>892</v>
      </c>
      <c r="C29" s="14" t="s">
        <v>922</v>
      </c>
      <c r="D29" s="14" t="s">
        <v>449</v>
      </c>
      <c r="E29" s="14" t="s">
        <v>690</v>
      </c>
      <c r="F29" s="14" t="s">
        <v>167</v>
      </c>
      <c r="G29" s="14" t="s">
        <v>691</v>
      </c>
      <c r="H29" s="14" t="s">
        <v>59</v>
      </c>
      <c r="I29" s="15"/>
      <c r="J29" s="15"/>
      <c r="K29" s="15"/>
      <c r="L29" s="15"/>
      <c r="M29" s="15"/>
      <c r="N29" s="15"/>
      <c r="O29" s="15"/>
      <c r="P29" s="15"/>
      <c r="Q29" s="15"/>
      <c r="R29" s="15"/>
      <c r="S29" s="15"/>
      <c r="T29" s="15"/>
      <c r="U29" s="14" t="str">
        <f t="shared" si="2"/>
        <v/>
      </c>
    </row>
    <row r="30" spans="1:21" ht="29" x14ac:dyDescent="0.35">
      <c r="A30" s="14">
        <v>7</v>
      </c>
      <c r="B30" s="14" t="s">
        <v>923</v>
      </c>
      <c r="C30" s="14" t="s">
        <v>924</v>
      </c>
      <c r="D30" s="14" t="s">
        <v>925</v>
      </c>
      <c r="E30" s="14" t="s">
        <v>690</v>
      </c>
      <c r="F30" s="14" t="s">
        <v>167</v>
      </c>
      <c r="G30" s="14" t="s">
        <v>691</v>
      </c>
      <c r="H30" s="14" t="s">
        <v>59</v>
      </c>
      <c r="I30" s="15"/>
      <c r="J30" s="15"/>
      <c r="K30" s="15"/>
      <c r="L30" s="15"/>
      <c r="M30" s="15"/>
      <c r="N30" s="15"/>
      <c r="O30" s="15"/>
      <c r="P30" s="15"/>
      <c r="Q30" s="15"/>
      <c r="R30" s="15"/>
      <c r="S30" s="15"/>
      <c r="T30" s="15"/>
      <c r="U30" s="14" t="str">
        <f t="shared" si="2"/>
        <v/>
      </c>
    </row>
    <row r="31" spans="1:21" ht="29" x14ac:dyDescent="0.35">
      <c r="A31" s="14">
        <v>8</v>
      </c>
      <c r="B31" s="14" t="s">
        <v>826</v>
      </c>
      <c r="C31" s="14" t="s">
        <v>926</v>
      </c>
      <c r="D31" s="14" t="s">
        <v>927</v>
      </c>
      <c r="E31" s="14" t="s">
        <v>690</v>
      </c>
      <c r="F31" s="14" t="s">
        <v>167</v>
      </c>
      <c r="G31" s="14" t="s">
        <v>691</v>
      </c>
      <c r="H31" s="14" t="s">
        <v>59</v>
      </c>
      <c r="I31" s="15"/>
      <c r="J31" s="15"/>
      <c r="K31" s="15"/>
      <c r="L31" s="15"/>
      <c r="M31" s="15"/>
      <c r="N31" s="15"/>
      <c r="O31" s="15"/>
      <c r="P31" s="15"/>
      <c r="Q31" s="15"/>
      <c r="R31" s="15"/>
      <c r="S31" s="15"/>
      <c r="T31" s="15"/>
      <c r="U31" s="14" t="str">
        <f t="shared" si="2"/>
        <v/>
      </c>
    </row>
    <row r="34" spans="1:21" ht="22" customHeight="1" x14ac:dyDescent="0.35">
      <c r="A34" s="26" t="s">
        <v>928</v>
      </c>
      <c r="B34" s="23"/>
      <c r="C34" s="23"/>
      <c r="D34" s="23"/>
      <c r="E34" s="23"/>
      <c r="F34" s="23"/>
      <c r="G34" s="23"/>
      <c r="H34" s="23"/>
      <c r="I34" s="23"/>
      <c r="J34" s="23"/>
      <c r="K34" s="23"/>
      <c r="L34" s="23"/>
      <c r="M34" s="23"/>
      <c r="N34" s="23"/>
      <c r="O34" s="23"/>
      <c r="P34" s="23"/>
      <c r="Q34" s="23"/>
      <c r="R34" s="23"/>
      <c r="S34" s="23"/>
      <c r="T34" s="23"/>
      <c r="U34" s="23"/>
    </row>
    <row r="35" spans="1:21" x14ac:dyDescent="0.35">
      <c r="A35" t="s">
        <v>31</v>
      </c>
      <c r="B35" t="s">
        <v>19</v>
      </c>
      <c r="C35" t="s">
        <v>32</v>
      </c>
      <c r="E35" t="s">
        <v>33</v>
      </c>
    </row>
    <row r="36" spans="1:21" ht="29" x14ac:dyDescent="0.35">
      <c r="A36" s="11" t="s">
        <v>34</v>
      </c>
      <c r="B36" s="11" t="s">
        <v>35</v>
      </c>
      <c r="C36" s="11" t="s">
        <v>36</v>
      </c>
      <c r="D36" s="11" t="s">
        <v>37</v>
      </c>
      <c r="E36" s="11" t="s">
        <v>38</v>
      </c>
      <c r="F36" s="11" t="s">
        <v>39</v>
      </c>
      <c r="G36" s="11" t="s">
        <v>40</v>
      </c>
      <c r="H36" s="11" t="s">
        <v>41</v>
      </c>
      <c r="I36" s="11" t="s">
        <v>42</v>
      </c>
      <c r="J36" s="11" t="s">
        <v>43</v>
      </c>
      <c r="K36" s="11" t="s">
        <v>44</v>
      </c>
      <c r="L36" s="11" t="s">
        <v>45</v>
      </c>
      <c r="M36" s="11" t="s">
        <v>46</v>
      </c>
      <c r="N36" s="11" t="s">
        <v>47</v>
      </c>
      <c r="O36" s="11" t="s">
        <v>48</v>
      </c>
      <c r="P36" s="11" t="s">
        <v>4</v>
      </c>
      <c r="Q36" s="11" t="s">
        <v>49</v>
      </c>
      <c r="R36" s="11" t="s">
        <v>50</v>
      </c>
      <c r="S36" s="11" t="s">
        <v>51</v>
      </c>
      <c r="T36" s="11" t="s">
        <v>52</v>
      </c>
      <c r="U36" s="11" t="s">
        <v>10</v>
      </c>
    </row>
    <row r="37" spans="1:21" ht="29" x14ac:dyDescent="0.35">
      <c r="A37" s="14">
        <v>1</v>
      </c>
      <c r="B37" s="14" t="s">
        <v>909</v>
      </c>
      <c r="C37" s="14" t="s">
        <v>910</v>
      </c>
      <c r="D37" s="14" t="s">
        <v>911</v>
      </c>
      <c r="E37" s="14" t="s">
        <v>69</v>
      </c>
      <c r="F37" s="14" t="s">
        <v>284</v>
      </c>
      <c r="G37" s="14" t="s">
        <v>691</v>
      </c>
      <c r="H37" s="14" t="s">
        <v>76</v>
      </c>
      <c r="I37" s="15"/>
      <c r="J37" s="15"/>
      <c r="K37" s="15"/>
      <c r="L37" s="15"/>
      <c r="M37" s="15"/>
      <c r="N37" s="15"/>
      <c r="O37" s="15"/>
      <c r="P37" s="15"/>
      <c r="Q37" s="15"/>
      <c r="R37" s="15"/>
      <c r="S37" s="15"/>
      <c r="T37" s="15"/>
      <c r="U37" s="14" t="str">
        <f t="shared" ref="U37:U44" si="3">IF(I37="","",IF(I37="NA","Grey",IF(I37=2,"Green",IF(I37=1,"Amber","Red"))))</f>
        <v/>
      </c>
    </row>
    <row r="38" spans="1:21" ht="29" x14ac:dyDescent="0.35">
      <c r="A38" s="14">
        <v>2</v>
      </c>
      <c r="B38" s="14" t="s">
        <v>912</v>
      </c>
      <c r="C38" s="14" t="s">
        <v>913</v>
      </c>
      <c r="D38" s="14" t="s">
        <v>911</v>
      </c>
      <c r="E38" s="14" t="s">
        <v>69</v>
      </c>
      <c r="F38" s="14" t="s">
        <v>284</v>
      </c>
      <c r="G38" s="14" t="s">
        <v>691</v>
      </c>
      <c r="H38" s="14" t="s">
        <v>76</v>
      </c>
      <c r="I38" s="15"/>
      <c r="J38" s="15"/>
      <c r="K38" s="15"/>
      <c r="L38" s="15"/>
      <c r="M38" s="15"/>
      <c r="N38" s="15"/>
      <c r="O38" s="15"/>
      <c r="P38" s="15"/>
      <c r="Q38" s="15"/>
      <c r="R38" s="15"/>
      <c r="S38" s="15"/>
      <c r="T38" s="15"/>
      <c r="U38" s="14" t="str">
        <f t="shared" si="3"/>
        <v/>
      </c>
    </row>
    <row r="39" spans="1:21" ht="29" x14ac:dyDescent="0.35">
      <c r="A39" s="14">
        <v>3</v>
      </c>
      <c r="B39" s="14" t="s">
        <v>914</v>
      </c>
      <c r="C39" s="14" t="s">
        <v>915</v>
      </c>
      <c r="D39" s="14" t="s">
        <v>916</v>
      </c>
      <c r="E39" s="14" t="s">
        <v>69</v>
      </c>
      <c r="F39" s="14" t="s">
        <v>284</v>
      </c>
      <c r="G39" s="14" t="s">
        <v>691</v>
      </c>
      <c r="H39" s="14" t="s">
        <v>76</v>
      </c>
      <c r="I39" s="15"/>
      <c r="J39" s="15"/>
      <c r="K39" s="15"/>
      <c r="L39" s="15"/>
      <c r="M39" s="15"/>
      <c r="N39" s="15"/>
      <c r="O39" s="15"/>
      <c r="P39" s="15"/>
      <c r="Q39" s="15"/>
      <c r="R39" s="15"/>
      <c r="S39" s="15"/>
      <c r="T39" s="15"/>
      <c r="U39" s="14" t="str">
        <f t="shared" si="3"/>
        <v/>
      </c>
    </row>
    <row r="40" spans="1:21" ht="29" x14ac:dyDescent="0.35">
      <c r="A40" s="14">
        <v>4</v>
      </c>
      <c r="B40" s="14" t="s">
        <v>917</v>
      </c>
      <c r="C40" s="14" t="s">
        <v>918</v>
      </c>
      <c r="D40" s="14" t="s">
        <v>70</v>
      </c>
      <c r="E40" s="14" t="s">
        <v>690</v>
      </c>
      <c r="F40" s="14" t="s">
        <v>167</v>
      </c>
      <c r="G40" s="14" t="s">
        <v>691</v>
      </c>
      <c r="H40" s="14" t="s">
        <v>59</v>
      </c>
      <c r="I40" s="15"/>
      <c r="J40" s="15"/>
      <c r="K40" s="15"/>
      <c r="L40" s="15"/>
      <c r="M40" s="15"/>
      <c r="N40" s="15"/>
      <c r="O40" s="15"/>
      <c r="P40" s="15"/>
      <c r="Q40" s="15"/>
      <c r="R40" s="15"/>
      <c r="S40" s="15"/>
      <c r="T40" s="15"/>
      <c r="U40" s="14" t="str">
        <f t="shared" si="3"/>
        <v/>
      </c>
    </row>
    <row r="41" spans="1:21" ht="29" x14ac:dyDescent="0.35">
      <c r="A41" s="14">
        <v>5</v>
      </c>
      <c r="B41" s="14" t="s">
        <v>919</v>
      </c>
      <c r="C41" s="14" t="s">
        <v>920</v>
      </c>
      <c r="D41" s="14" t="s">
        <v>921</v>
      </c>
      <c r="E41" s="14" t="s">
        <v>690</v>
      </c>
      <c r="F41" s="14" t="s">
        <v>167</v>
      </c>
      <c r="G41" s="14" t="s">
        <v>691</v>
      </c>
      <c r="H41" s="14" t="s">
        <v>59</v>
      </c>
      <c r="I41" s="15"/>
      <c r="J41" s="15"/>
      <c r="K41" s="15"/>
      <c r="L41" s="15"/>
      <c r="M41" s="15"/>
      <c r="N41" s="15"/>
      <c r="O41" s="15"/>
      <c r="P41" s="15"/>
      <c r="Q41" s="15"/>
      <c r="R41" s="15"/>
      <c r="S41" s="15"/>
      <c r="T41" s="15"/>
      <c r="U41" s="14" t="str">
        <f t="shared" si="3"/>
        <v/>
      </c>
    </row>
    <row r="42" spans="1:21" ht="29" x14ac:dyDescent="0.35">
      <c r="A42" s="14">
        <v>6</v>
      </c>
      <c r="B42" s="14" t="s">
        <v>892</v>
      </c>
      <c r="C42" s="14" t="s">
        <v>922</v>
      </c>
      <c r="D42" s="14" t="s">
        <v>449</v>
      </c>
      <c r="E42" s="14" t="s">
        <v>690</v>
      </c>
      <c r="F42" s="14" t="s">
        <v>167</v>
      </c>
      <c r="G42" s="14" t="s">
        <v>691</v>
      </c>
      <c r="H42" s="14" t="s">
        <v>59</v>
      </c>
      <c r="I42" s="15"/>
      <c r="J42" s="15"/>
      <c r="K42" s="15"/>
      <c r="L42" s="15"/>
      <c r="M42" s="15"/>
      <c r="N42" s="15"/>
      <c r="O42" s="15"/>
      <c r="P42" s="15"/>
      <c r="Q42" s="15"/>
      <c r="R42" s="15"/>
      <c r="S42" s="15"/>
      <c r="T42" s="15"/>
      <c r="U42" s="14" t="str">
        <f t="shared" si="3"/>
        <v/>
      </c>
    </row>
    <row r="43" spans="1:21" ht="29" x14ac:dyDescent="0.35">
      <c r="A43" s="14">
        <v>7</v>
      </c>
      <c r="B43" s="14" t="s">
        <v>923</v>
      </c>
      <c r="C43" s="14" t="s">
        <v>924</v>
      </c>
      <c r="D43" s="14" t="s">
        <v>925</v>
      </c>
      <c r="E43" s="14" t="s">
        <v>690</v>
      </c>
      <c r="F43" s="14" t="s">
        <v>167</v>
      </c>
      <c r="G43" s="14" t="s">
        <v>691</v>
      </c>
      <c r="H43" s="14" t="s">
        <v>59</v>
      </c>
      <c r="I43" s="15"/>
      <c r="J43" s="15"/>
      <c r="K43" s="15"/>
      <c r="L43" s="15"/>
      <c r="M43" s="15"/>
      <c r="N43" s="15"/>
      <c r="O43" s="15"/>
      <c r="P43" s="15"/>
      <c r="Q43" s="15"/>
      <c r="R43" s="15"/>
      <c r="S43" s="15"/>
      <c r="T43" s="15"/>
      <c r="U43" s="14" t="str">
        <f t="shared" si="3"/>
        <v/>
      </c>
    </row>
    <row r="44" spans="1:21" ht="29" x14ac:dyDescent="0.35">
      <c r="A44" s="14">
        <v>8</v>
      </c>
      <c r="B44" s="14" t="s">
        <v>826</v>
      </c>
      <c r="C44" s="14" t="s">
        <v>926</v>
      </c>
      <c r="D44" s="14" t="s">
        <v>927</v>
      </c>
      <c r="E44" s="14" t="s">
        <v>690</v>
      </c>
      <c r="F44" s="14" t="s">
        <v>167</v>
      </c>
      <c r="G44" s="14" t="s">
        <v>691</v>
      </c>
      <c r="H44" s="14" t="s">
        <v>59</v>
      </c>
      <c r="I44" s="15"/>
      <c r="J44" s="15"/>
      <c r="K44" s="15"/>
      <c r="L44" s="15"/>
      <c r="M44" s="15"/>
      <c r="N44" s="15"/>
      <c r="O44" s="15"/>
      <c r="P44" s="15"/>
      <c r="Q44" s="15"/>
      <c r="R44" s="15"/>
      <c r="S44" s="15"/>
      <c r="T44" s="15"/>
      <c r="U44" s="14" t="str">
        <f t="shared" si="3"/>
        <v/>
      </c>
    </row>
    <row r="47" spans="1:21" ht="22" customHeight="1" x14ac:dyDescent="0.35">
      <c r="A47" s="26" t="s">
        <v>929</v>
      </c>
      <c r="B47" s="23"/>
      <c r="C47" s="23"/>
      <c r="D47" s="23"/>
      <c r="E47" s="23"/>
      <c r="F47" s="23"/>
      <c r="G47" s="23"/>
      <c r="H47" s="23"/>
      <c r="I47" s="23"/>
      <c r="J47" s="23"/>
      <c r="K47" s="23"/>
      <c r="L47" s="23"/>
      <c r="M47" s="23"/>
      <c r="N47" s="23"/>
      <c r="O47" s="23"/>
      <c r="P47" s="23"/>
      <c r="Q47" s="23"/>
      <c r="R47" s="23"/>
      <c r="S47" s="23"/>
      <c r="T47" s="23"/>
      <c r="U47" s="23"/>
    </row>
    <row r="48" spans="1:21" x14ac:dyDescent="0.35">
      <c r="A48" t="s">
        <v>31</v>
      </c>
      <c r="B48" t="s">
        <v>20</v>
      </c>
      <c r="C48" t="s">
        <v>32</v>
      </c>
      <c r="E48" t="s">
        <v>33</v>
      </c>
    </row>
    <row r="49" spans="1:21" ht="29" x14ac:dyDescent="0.35">
      <c r="A49" s="11" t="s">
        <v>34</v>
      </c>
      <c r="B49" s="11" t="s">
        <v>35</v>
      </c>
      <c r="C49" s="11" t="s">
        <v>36</v>
      </c>
      <c r="D49" s="11" t="s">
        <v>37</v>
      </c>
      <c r="E49" s="11" t="s">
        <v>38</v>
      </c>
      <c r="F49" s="11" t="s">
        <v>39</v>
      </c>
      <c r="G49" s="11" t="s">
        <v>40</v>
      </c>
      <c r="H49" s="11" t="s">
        <v>41</v>
      </c>
      <c r="I49" s="11" t="s">
        <v>42</v>
      </c>
      <c r="J49" s="11" t="s">
        <v>43</v>
      </c>
      <c r="K49" s="11" t="s">
        <v>44</v>
      </c>
      <c r="L49" s="11" t="s">
        <v>45</v>
      </c>
      <c r="M49" s="11" t="s">
        <v>46</v>
      </c>
      <c r="N49" s="11" t="s">
        <v>47</v>
      </c>
      <c r="O49" s="11" t="s">
        <v>48</v>
      </c>
      <c r="P49" s="11" t="s">
        <v>4</v>
      </c>
      <c r="Q49" s="11" t="s">
        <v>49</v>
      </c>
      <c r="R49" s="11" t="s">
        <v>50</v>
      </c>
      <c r="S49" s="11" t="s">
        <v>51</v>
      </c>
      <c r="T49" s="11" t="s">
        <v>52</v>
      </c>
      <c r="U49" s="11" t="s">
        <v>10</v>
      </c>
    </row>
    <row r="50" spans="1:21" ht="29" x14ac:dyDescent="0.35">
      <c r="A50" s="14">
        <v>1</v>
      </c>
      <c r="B50" s="14" t="s">
        <v>909</v>
      </c>
      <c r="C50" s="14" t="s">
        <v>910</v>
      </c>
      <c r="D50" s="14" t="s">
        <v>911</v>
      </c>
      <c r="E50" s="14" t="s">
        <v>69</v>
      </c>
      <c r="F50" s="14" t="s">
        <v>284</v>
      </c>
      <c r="G50" s="14" t="s">
        <v>691</v>
      </c>
      <c r="H50" s="14" t="s">
        <v>76</v>
      </c>
      <c r="I50" s="15"/>
      <c r="J50" s="15"/>
      <c r="K50" s="15"/>
      <c r="L50" s="15"/>
      <c r="M50" s="15"/>
      <c r="N50" s="15"/>
      <c r="O50" s="15"/>
      <c r="P50" s="15"/>
      <c r="Q50" s="15"/>
      <c r="R50" s="15"/>
      <c r="S50" s="15"/>
      <c r="T50" s="15"/>
      <c r="U50" s="14" t="str">
        <f t="shared" ref="U50:U57" si="4">IF(I50="","",IF(I50="NA","Grey",IF(I50=2,"Green",IF(I50=1,"Amber","Red"))))</f>
        <v/>
      </c>
    </row>
    <row r="51" spans="1:21" ht="29" x14ac:dyDescent="0.35">
      <c r="A51" s="14">
        <v>2</v>
      </c>
      <c r="B51" s="14" t="s">
        <v>912</v>
      </c>
      <c r="C51" s="14" t="s">
        <v>913</v>
      </c>
      <c r="D51" s="14" t="s">
        <v>911</v>
      </c>
      <c r="E51" s="14" t="s">
        <v>69</v>
      </c>
      <c r="F51" s="14" t="s">
        <v>284</v>
      </c>
      <c r="G51" s="14" t="s">
        <v>691</v>
      </c>
      <c r="H51" s="14" t="s">
        <v>76</v>
      </c>
      <c r="I51" s="15"/>
      <c r="J51" s="15"/>
      <c r="K51" s="15"/>
      <c r="L51" s="15"/>
      <c r="M51" s="15"/>
      <c r="N51" s="15"/>
      <c r="O51" s="15"/>
      <c r="P51" s="15"/>
      <c r="Q51" s="15"/>
      <c r="R51" s="15"/>
      <c r="S51" s="15"/>
      <c r="T51" s="15"/>
      <c r="U51" s="14" t="str">
        <f t="shared" si="4"/>
        <v/>
      </c>
    </row>
    <row r="52" spans="1:21" ht="29" x14ac:dyDescent="0.35">
      <c r="A52" s="14">
        <v>3</v>
      </c>
      <c r="B52" s="14" t="s">
        <v>914</v>
      </c>
      <c r="C52" s="14" t="s">
        <v>915</v>
      </c>
      <c r="D52" s="14" t="s">
        <v>916</v>
      </c>
      <c r="E52" s="14" t="s">
        <v>69</v>
      </c>
      <c r="F52" s="14" t="s">
        <v>284</v>
      </c>
      <c r="G52" s="14" t="s">
        <v>691</v>
      </c>
      <c r="H52" s="14" t="s">
        <v>76</v>
      </c>
      <c r="I52" s="15"/>
      <c r="J52" s="15"/>
      <c r="K52" s="15"/>
      <c r="L52" s="15"/>
      <c r="M52" s="15"/>
      <c r="N52" s="15"/>
      <c r="O52" s="15"/>
      <c r="P52" s="15"/>
      <c r="Q52" s="15"/>
      <c r="R52" s="15"/>
      <c r="S52" s="15"/>
      <c r="T52" s="15"/>
      <c r="U52" s="14" t="str">
        <f t="shared" si="4"/>
        <v/>
      </c>
    </row>
    <row r="53" spans="1:21" ht="29" x14ac:dyDescent="0.35">
      <c r="A53" s="14">
        <v>4</v>
      </c>
      <c r="B53" s="14" t="s">
        <v>917</v>
      </c>
      <c r="C53" s="14" t="s">
        <v>918</v>
      </c>
      <c r="D53" s="14" t="s">
        <v>70</v>
      </c>
      <c r="E53" s="14" t="s">
        <v>690</v>
      </c>
      <c r="F53" s="14" t="s">
        <v>167</v>
      </c>
      <c r="G53" s="14" t="s">
        <v>691</v>
      </c>
      <c r="H53" s="14" t="s">
        <v>59</v>
      </c>
      <c r="I53" s="15"/>
      <c r="J53" s="15"/>
      <c r="K53" s="15"/>
      <c r="L53" s="15"/>
      <c r="M53" s="15"/>
      <c r="N53" s="15"/>
      <c r="O53" s="15"/>
      <c r="P53" s="15"/>
      <c r="Q53" s="15"/>
      <c r="R53" s="15"/>
      <c r="S53" s="15"/>
      <c r="T53" s="15"/>
      <c r="U53" s="14" t="str">
        <f t="shared" si="4"/>
        <v/>
      </c>
    </row>
    <row r="54" spans="1:21" ht="29" x14ac:dyDescent="0.35">
      <c r="A54" s="14">
        <v>5</v>
      </c>
      <c r="B54" s="14" t="s">
        <v>919</v>
      </c>
      <c r="C54" s="14" t="s">
        <v>920</v>
      </c>
      <c r="D54" s="14" t="s">
        <v>921</v>
      </c>
      <c r="E54" s="14" t="s">
        <v>690</v>
      </c>
      <c r="F54" s="14" t="s">
        <v>167</v>
      </c>
      <c r="G54" s="14" t="s">
        <v>691</v>
      </c>
      <c r="H54" s="14" t="s">
        <v>59</v>
      </c>
      <c r="I54" s="15"/>
      <c r="J54" s="15"/>
      <c r="K54" s="15"/>
      <c r="L54" s="15"/>
      <c r="M54" s="15"/>
      <c r="N54" s="15"/>
      <c r="O54" s="15"/>
      <c r="P54" s="15"/>
      <c r="Q54" s="15"/>
      <c r="R54" s="15"/>
      <c r="S54" s="15"/>
      <c r="T54" s="15"/>
      <c r="U54" s="14" t="str">
        <f t="shared" si="4"/>
        <v/>
      </c>
    </row>
    <row r="55" spans="1:21" ht="29" x14ac:dyDescent="0.35">
      <c r="A55" s="14">
        <v>6</v>
      </c>
      <c r="B55" s="14" t="s">
        <v>892</v>
      </c>
      <c r="C55" s="14" t="s">
        <v>922</v>
      </c>
      <c r="D55" s="14" t="s">
        <v>449</v>
      </c>
      <c r="E55" s="14" t="s">
        <v>690</v>
      </c>
      <c r="F55" s="14" t="s">
        <v>167</v>
      </c>
      <c r="G55" s="14" t="s">
        <v>691</v>
      </c>
      <c r="H55" s="14" t="s">
        <v>59</v>
      </c>
      <c r="I55" s="15"/>
      <c r="J55" s="15"/>
      <c r="K55" s="15"/>
      <c r="L55" s="15"/>
      <c r="M55" s="15"/>
      <c r="N55" s="15"/>
      <c r="O55" s="15"/>
      <c r="P55" s="15"/>
      <c r="Q55" s="15"/>
      <c r="R55" s="15"/>
      <c r="S55" s="15"/>
      <c r="T55" s="15"/>
      <c r="U55" s="14" t="str">
        <f t="shared" si="4"/>
        <v/>
      </c>
    </row>
    <row r="56" spans="1:21" ht="29" x14ac:dyDescent="0.35">
      <c r="A56" s="14">
        <v>7</v>
      </c>
      <c r="B56" s="14" t="s">
        <v>923</v>
      </c>
      <c r="C56" s="14" t="s">
        <v>924</v>
      </c>
      <c r="D56" s="14" t="s">
        <v>925</v>
      </c>
      <c r="E56" s="14" t="s">
        <v>690</v>
      </c>
      <c r="F56" s="14" t="s">
        <v>167</v>
      </c>
      <c r="G56" s="14" t="s">
        <v>691</v>
      </c>
      <c r="H56" s="14" t="s">
        <v>59</v>
      </c>
      <c r="I56" s="15"/>
      <c r="J56" s="15"/>
      <c r="K56" s="15"/>
      <c r="L56" s="15"/>
      <c r="M56" s="15"/>
      <c r="N56" s="15"/>
      <c r="O56" s="15"/>
      <c r="P56" s="15"/>
      <c r="Q56" s="15"/>
      <c r="R56" s="15"/>
      <c r="S56" s="15"/>
      <c r="T56" s="15"/>
      <c r="U56" s="14" t="str">
        <f t="shared" si="4"/>
        <v/>
      </c>
    </row>
    <row r="57" spans="1:21" ht="29" x14ac:dyDescent="0.35">
      <c r="A57" s="14">
        <v>8</v>
      </c>
      <c r="B57" s="14" t="s">
        <v>826</v>
      </c>
      <c r="C57" s="14" t="s">
        <v>926</v>
      </c>
      <c r="D57" s="14" t="s">
        <v>927</v>
      </c>
      <c r="E57" s="14" t="s">
        <v>690</v>
      </c>
      <c r="F57" s="14" t="s">
        <v>167</v>
      </c>
      <c r="G57" s="14" t="s">
        <v>691</v>
      </c>
      <c r="H57" s="14" t="s">
        <v>59</v>
      </c>
      <c r="I57" s="15"/>
      <c r="J57" s="15"/>
      <c r="K57" s="15"/>
      <c r="L57" s="15"/>
      <c r="M57" s="15"/>
      <c r="N57" s="15"/>
      <c r="O57" s="15"/>
      <c r="P57" s="15"/>
      <c r="Q57" s="15"/>
      <c r="R57" s="15"/>
      <c r="S57" s="15"/>
      <c r="T57" s="15"/>
      <c r="U57" s="14" t="str">
        <f t="shared" si="4"/>
        <v/>
      </c>
    </row>
    <row r="60" spans="1:21" ht="22" customHeight="1" x14ac:dyDescent="0.35">
      <c r="A60" s="26" t="s">
        <v>930</v>
      </c>
      <c r="B60" s="23"/>
      <c r="C60" s="23"/>
      <c r="D60" s="23"/>
      <c r="E60" s="23"/>
      <c r="F60" s="23"/>
      <c r="G60" s="23"/>
      <c r="H60" s="23"/>
      <c r="I60" s="23"/>
      <c r="J60" s="23"/>
      <c r="K60" s="23"/>
      <c r="L60" s="23"/>
      <c r="M60" s="23"/>
      <c r="N60" s="23"/>
      <c r="O60" s="23"/>
      <c r="P60" s="23"/>
      <c r="Q60" s="23"/>
      <c r="R60" s="23"/>
      <c r="S60" s="23"/>
      <c r="T60" s="23"/>
      <c r="U60" s="23"/>
    </row>
    <row r="61" spans="1:21" x14ac:dyDescent="0.35">
      <c r="A61" t="s">
        <v>31</v>
      </c>
      <c r="B61" t="s">
        <v>21</v>
      </c>
      <c r="C61" t="s">
        <v>32</v>
      </c>
      <c r="E61" t="s">
        <v>33</v>
      </c>
    </row>
    <row r="62" spans="1:21" ht="29" x14ac:dyDescent="0.35">
      <c r="A62" s="11" t="s">
        <v>34</v>
      </c>
      <c r="B62" s="11" t="s">
        <v>35</v>
      </c>
      <c r="C62" s="11" t="s">
        <v>36</v>
      </c>
      <c r="D62" s="11" t="s">
        <v>37</v>
      </c>
      <c r="E62" s="11" t="s">
        <v>38</v>
      </c>
      <c r="F62" s="11" t="s">
        <v>39</v>
      </c>
      <c r="G62" s="11" t="s">
        <v>40</v>
      </c>
      <c r="H62" s="11" t="s">
        <v>41</v>
      </c>
      <c r="I62" s="11" t="s">
        <v>42</v>
      </c>
      <c r="J62" s="11" t="s">
        <v>43</v>
      </c>
      <c r="K62" s="11" t="s">
        <v>44</v>
      </c>
      <c r="L62" s="11" t="s">
        <v>45</v>
      </c>
      <c r="M62" s="11" t="s">
        <v>46</v>
      </c>
      <c r="N62" s="11" t="s">
        <v>47</v>
      </c>
      <c r="O62" s="11" t="s">
        <v>48</v>
      </c>
      <c r="P62" s="11" t="s">
        <v>4</v>
      </c>
      <c r="Q62" s="11" t="s">
        <v>49</v>
      </c>
      <c r="R62" s="11" t="s">
        <v>50</v>
      </c>
      <c r="S62" s="11" t="s">
        <v>51</v>
      </c>
      <c r="T62" s="11" t="s">
        <v>52</v>
      </c>
      <c r="U62" s="11" t="s">
        <v>10</v>
      </c>
    </row>
    <row r="63" spans="1:21" ht="29" x14ac:dyDescent="0.35">
      <c r="A63" s="14">
        <v>1</v>
      </c>
      <c r="B63" s="14" t="s">
        <v>909</v>
      </c>
      <c r="C63" s="14" t="s">
        <v>910</v>
      </c>
      <c r="D63" s="14" t="s">
        <v>911</v>
      </c>
      <c r="E63" s="14" t="s">
        <v>69</v>
      </c>
      <c r="F63" s="14" t="s">
        <v>284</v>
      </c>
      <c r="G63" s="14" t="s">
        <v>691</v>
      </c>
      <c r="H63" s="14" t="s">
        <v>76</v>
      </c>
      <c r="I63" s="15"/>
      <c r="J63" s="15"/>
      <c r="K63" s="15"/>
      <c r="L63" s="15"/>
      <c r="M63" s="15"/>
      <c r="N63" s="15"/>
      <c r="O63" s="15"/>
      <c r="P63" s="15"/>
      <c r="Q63" s="15"/>
      <c r="R63" s="15"/>
      <c r="S63" s="15"/>
      <c r="T63" s="15"/>
      <c r="U63" s="14" t="str">
        <f t="shared" ref="U63:U70" si="5">IF(I63="","",IF(I63="NA","Grey",IF(I63=2,"Green",IF(I63=1,"Amber","Red"))))</f>
        <v/>
      </c>
    </row>
    <row r="64" spans="1:21" ht="29" x14ac:dyDescent="0.35">
      <c r="A64" s="14">
        <v>2</v>
      </c>
      <c r="B64" s="14" t="s">
        <v>912</v>
      </c>
      <c r="C64" s="14" t="s">
        <v>913</v>
      </c>
      <c r="D64" s="14" t="s">
        <v>911</v>
      </c>
      <c r="E64" s="14" t="s">
        <v>69</v>
      </c>
      <c r="F64" s="14" t="s">
        <v>284</v>
      </c>
      <c r="G64" s="14" t="s">
        <v>691</v>
      </c>
      <c r="H64" s="14" t="s">
        <v>76</v>
      </c>
      <c r="I64" s="15"/>
      <c r="J64" s="15"/>
      <c r="K64" s="15"/>
      <c r="L64" s="15"/>
      <c r="M64" s="15"/>
      <c r="N64" s="15"/>
      <c r="O64" s="15"/>
      <c r="P64" s="15"/>
      <c r="Q64" s="15"/>
      <c r="R64" s="15"/>
      <c r="S64" s="15"/>
      <c r="T64" s="15"/>
      <c r="U64" s="14" t="str">
        <f t="shared" si="5"/>
        <v/>
      </c>
    </row>
    <row r="65" spans="1:21" ht="29" x14ac:dyDescent="0.35">
      <c r="A65" s="14">
        <v>3</v>
      </c>
      <c r="B65" s="14" t="s">
        <v>914</v>
      </c>
      <c r="C65" s="14" t="s">
        <v>915</v>
      </c>
      <c r="D65" s="14" t="s">
        <v>916</v>
      </c>
      <c r="E65" s="14" t="s">
        <v>69</v>
      </c>
      <c r="F65" s="14" t="s">
        <v>284</v>
      </c>
      <c r="G65" s="14" t="s">
        <v>691</v>
      </c>
      <c r="H65" s="14" t="s">
        <v>76</v>
      </c>
      <c r="I65" s="15"/>
      <c r="J65" s="15"/>
      <c r="K65" s="15"/>
      <c r="L65" s="15"/>
      <c r="M65" s="15"/>
      <c r="N65" s="15"/>
      <c r="O65" s="15"/>
      <c r="P65" s="15"/>
      <c r="Q65" s="15"/>
      <c r="R65" s="15"/>
      <c r="S65" s="15"/>
      <c r="T65" s="15"/>
      <c r="U65" s="14" t="str">
        <f t="shared" si="5"/>
        <v/>
      </c>
    </row>
    <row r="66" spans="1:21" ht="29" x14ac:dyDescent="0.35">
      <c r="A66" s="14">
        <v>4</v>
      </c>
      <c r="B66" s="14" t="s">
        <v>917</v>
      </c>
      <c r="C66" s="14" t="s">
        <v>918</v>
      </c>
      <c r="D66" s="14" t="s">
        <v>70</v>
      </c>
      <c r="E66" s="14" t="s">
        <v>690</v>
      </c>
      <c r="F66" s="14" t="s">
        <v>167</v>
      </c>
      <c r="G66" s="14" t="s">
        <v>691</v>
      </c>
      <c r="H66" s="14" t="s">
        <v>59</v>
      </c>
      <c r="I66" s="15"/>
      <c r="J66" s="15"/>
      <c r="K66" s="15"/>
      <c r="L66" s="15"/>
      <c r="M66" s="15"/>
      <c r="N66" s="15"/>
      <c r="O66" s="15"/>
      <c r="P66" s="15"/>
      <c r="Q66" s="15"/>
      <c r="R66" s="15"/>
      <c r="S66" s="15"/>
      <c r="T66" s="15"/>
      <c r="U66" s="14" t="str">
        <f t="shared" si="5"/>
        <v/>
      </c>
    </row>
    <row r="67" spans="1:21" ht="29" x14ac:dyDescent="0.35">
      <c r="A67" s="14">
        <v>5</v>
      </c>
      <c r="B67" s="14" t="s">
        <v>919</v>
      </c>
      <c r="C67" s="14" t="s">
        <v>920</v>
      </c>
      <c r="D67" s="14" t="s">
        <v>921</v>
      </c>
      <c r="E67" s="14" t="s">
        <v>690</v>
      </c>
      <c r="F67" s="14" t="s">
        <v>167</v>
      </c>
      <c r="G67" s="14" t="s">
        <v>691</v>
      </c>
      <c r="H67" s="14" t="s">
        <v>59</v>
      </c>
      <c r="I67" s="15"/>
      <c r="J67" s="15"/>
      <c r="K67" s="15"/>
      <c r="L67" s="15"/>
      <c r="M67" s="15"/>
      <c r="N67" s="15"/>
      <c r="O67" s="15"/>
      <c r="P67" s="15"/>
      <c r="Q67" s="15"/>
      <c r="R67" s="15"/>
      <c r="S67" s="15"/>
      <c r="T67" s="15"/>
      <c r="U67" s="14" t="str">
        <f t="shared" si="5"/>
        <v/>
      </c>
    </row>
    <row r="68" spans="1:21" ht="29" x14ac:dyDescent="0.35">
      <c r="A68" s="14">
        <v>6</v>
      </c>
      <c r="B68" s="14" t="s">
        <v>892</v>
      </c>
      <c r="C68" s="14" t="s">
        <v>922</v>
      </c>
      <c r="D68" s="14" t="s">
        <v>449</v>
      </c>
      <c r="E68" s="14" t="s">
        <v>690</v>
      </c>
      <c r="F68" s="14" t="s">
        <v>167</v>
      </c>
      <c r="G68" s="14" t="s">
        <v>691</v>
      </c>
      <c r="H68" s="14" t="s">
        <v>59</v>
      </c>
      <c r="I68" s="15"/>
      <c r="J68" s="15"/>
      <c r="K68" s="15"/>
      <c r="L68" s="15"/>
      <c r="M68" s="15"/>
      <c r="N68" s="15"/>
      <c r="O68" s="15"/>
      <c r="P68" s="15"/>
      <c r="Q68" s="15"/>
      <c r="R68" s="15"/>
      <c r="S68" s="15"/>
      <c r="T68" s="15"/>
      <c r="U68" s="14" t="str">
        <f t="shared" si="5"/>
        <v/>
      </c>
    </row>
    <row r="69" spans="1:21" ht="29" x14ac:dyDescent="0.35">
      <c r="A69" s="14">
        <v>7</v>
      </c>
      <c r="B69" s="14" t="s">
        <v>923</v>
      </c>
      <c r="C69" s="14" t="s">
        <v>924</v>
      </c>
      <c r="D69" s="14" t="s">
        <v>925</v>
      </c>
      <c r="E69" s="14" t="s">
        <v>690</v>
      </c>
      <c r="F69" s="14" t="s">
        <v>167</v>
      </c>
      <c r="G69" s="14" t="s">
        <v>691</v>
      </c>
      <c r="H69" s="14" t="s">
        <v>59</v>
      </c>
      <c r="I69" s="15"/>
      <c r="J69" s="15"/>
      <c r="K69" s="15"/>
      <c r="L69" s="15"/>
      <c r="M69" s="15"/>
      <c r="N69" s="15"/>
      <c r="O69" s="15"/>
      <c r="P69" s="15"/>
      <c r="Q69" s="15"/>
      <c r="R69" s="15"/>
      <c r="S69" s="15"/>
      <c r="T69" s="15"/>
      <c r="U69" s="14" t="str">
        <f t="shared" si="5"/>
        <v/>
      </c>
    </row>
    <row r="70" spans="1:21" ht="29" x14ac:dyDescent="0.35">
      <c r="A70" s="14">
        <v>8</v>
      </c>
      <c r="B70" s="14" t="s">
        <v>826</v>
      </c>
      <c r="C70" s="14" t="s">
        <v>926</v>
      </c>
      <c r="D70" s="14" t="s">
        <v>927</v>
      </c>
      <c r="E70" s="14" t="s">
        <v>690</v>
      </c>
      <c r="F70" s="14" t="s">
        <v>167</v>
      </c>
      <c r="G70" s="14" t="s">
        <v>691</v>
      </c>
      <c r="H70" s="14" t="s">
        <v>59</v>
      </c>
      <c r="I70" s="15"/>
      <c r="J70" s="15"/>
      <c r="K70" s="15"/>
      <c r="L70" s="15"/>
      <c r="M70" s="15"/>
      <c r="N70" s="15"/>
      <c r="O70" s="15"/>
      <c r="P70" s="15"/>
      <c r="Q70" s="15"/>
      <c r="R70" s="15"/>
      <c r="S70" s="15"/>
      <c r="T70" s="15"/>
      <c r="U70" s="14" t="str">
        <f t="shared" si="5"/>
        <v/>
      </c>
    </row>
    <row r="73" spans="1:21" ht="22" customHeight="1" x14ac:dyDescent="0.35">
      <c r="A73" s="26" t="s">
        <v>931</v>
      </c>
      <c r="B73" s="23"/>
      <c r="C73" s="23"/>
      <c r="D73" s="23"/>
      <c r="E73" s="23"/>
      <c r="F73" s="23"/>
      <c r="G73" s="23"/>
      <c r="H73" s="23"/>
      <c r="I73" s="23"/>
      <c r="J73" s="23"/>
      <c r="K73" s="23"/>
      <c r="L73" s="23"/>
      <c r="M73" s="23"/>
      <c r="N73" s="23"/>
      <c r="O73" s="23"/>
      <c r="P73" s="23"/>
      <c r="Q73" s="23"/>
      <c r="R73" s="23"/>
      <c r="S73" s="23"/>
      <c r="T73" s="23"/>
      <c r="U73" s="23"/>
    </row>
    <row r="74" spans="1:21" x14ac:dyDescent="0.35">
      <c r="A74" t="s">
        <v>31</v>
      </c>
      <c r="B74" t="s">
        <v>22</v>
      </c>
      <c r="C74" t="s">
        <v>32</v>
      </c>
      <c r="E74" t="s">
        <v>33</v>
      </c>
    </row>
    <row r="75" spans="1:21" ht="29" x14ac:dyDescent="0.35">
      <c r="A75" s="11" t="s">
        <v>34</v>
      </c>
      <c r="B75" s="11" t="s">
        <v>35</v>
      </c>
      <c r="C75" s="11" t="s">
        <v>36</v>
      </c>
      <c r="D75" s="11" t="s">
        <v>37</v>
      </c>
      <c r="E75" s="11" t="s">
        <v>38</v>
      </c>
      <c r="F75" s="11" t="s">
        <v>39</v>
      </c>
      <c r="G75" s="11" t="s">
        <v>40</v>
      </c>
      <c r="H75" s="11" t="s">
        <v>41</v>
      </c>
      <c r="I75" s="11" t="s">
        <v>42</v>
      </c>
      <c r="J75" s="11" t="s">
        <v>43</v>
      </c>
      <c r="K75" s="11" t="s">
        <v>44</v>
      </c>
      <c r="L75" s="11" t="s">
        <v>45</v>
      </c>
      <c r="M75" s="11" t="s">
        <v>46</v>
      </c>
      <c r="N75" s="11" t="s">
        <v>47</v>
      </c>
      <c r="O75" s="11" t="s">
        <v>48</v>
      </c>
      <c r="P75" s="11" t="s">
        <v>4</v>
      </c>
      <c r="Q75" s="11" t="s">
        <v>49</v>
      </c>
      <c r="R75" s="11" t="s">
        <v>50</v>
      </c>
      <c r="S75" s="11" t="s">
        <v>51</v>
      </c>
      <c r="T75" s="11" t="s">
        <v>52</v>
      </c>
      <c r="U75" s="11" t="s">
        <v>10</v>
      </c>
    </row>
    <row r="76" spans="1:21" ht="29" x14ac:dyDescent="0.35">
      <c r="A76" s="14">
        <v>1</v>
      </c>
      <c r="B76" s="14" t="s">
        <v>909</v>
      </c>
      <c r="C76" s="14" t="s">
        <v>910</v>
      </c>
      <c r="D76" s="14" t="s">
        <v>911</v>
      </c>
      <c r="E76" s="14" t="s">
        <v>69</v>
      </c>
      <c r="F76" s="14" t="s">
        <v>284</v>
      </c>
      <c r="G76" s="14" t="s">
        <v>691</v>
      </c>
      <c r="H76" s="14" t="s">
        <v>76</v>
      </c>
      <c r="I76" s="15"/>
      <c r="J76" s="15"/>
      <c r="K76" s="15"/>
      <c r="L76" s="15"/>
      <c r="M76" s="15"/>
      <c r="N76" s="15"/>
      <c r="O76" s="15"/>
      <c r="P76" s="15"/>
      <c r="Q76" s="15"/>
      <c r="R76" s="15"/>
      <c r="S76" s="15"/>
      <c r="T76" s="15"/>
      <c r="U76" s="14" t="str">
        <f t="shared" ref="U76:U83" si="6">IF(I76="","",IF(I76="NA","Grey",IF(I76=2,"Green",IF(I76=1,"Amber","Red"))))</f>
        <v/>
      </c>
    </row>
    <row r="77" spans="1:21" ht="29" x14ac:dyDescent="0.35">
      <c r="A77" s="14">
        <v>2</v>
      </c>
      <c r="B77" s="14" t="s">
        <v>912</v>
      </c>
      <c r="C77" s="14" t="s">
        <v>913</v>
      </c>
      <c r="D77" s="14" t="s">
        <v>911</v>
      </c>
      <c r="E77" s="14" t="s">
        <v>69</v>
      </c>
      <c r="F77" s="14" t="s">
        <v>284</v>
      </c>
      <c r="G77" s="14" t="s">
        <v>691</v>
      </c>
      <c r="H77" s="14" t="s">
        <v>76</v>
      </c>
      <c r="I77" s="15"/>
      <c r="J77" s="15"/>
      <c r="K77" s="15"/>
      <c r="L77" s="15"/>
      <c r="M77" s="15"/>
      <c r="N77" s="15"/>
      <c r="O77" s="15"/>
      <c r="P77" s="15"/>
      <c r="Q77" s="15"/>
      <c r="R77" s="15"/>
      <c r="S77" s="15"/>
      <c r="T77" s="15"/>
      <c r="U77" s="14" t="str">
        <f t="shared" si="6"/>
        <v/>
      </c>
    </row>
    <row r="78" spans="1:21" ht="29" x14ac:dyDescent="0.35">
      <c r="A78" s="14">
        <v>3</v>
      </c>
      <c r="B78" s="14" t="s">
        <v>914</v>
      </c>
      <c r="C78" s="14" t="s">
        <v>915</v>
      </c>
      <c r="D78" s="14" t="s">
        <v>916</v>
      </c>
      <c r="E78" s="14" t="s">
        <v>69</v>
      </c>
      <c r="F78" s="14" t="s">
        <v>284</v>
      </c>
      <c r="G78" s="14" t="s">
        <v>691</v>
      </c>
      <c r="H78" s="14" t="s">
        <v>76</v>
      </c>
      <c r="I78" s="15"/>
      <c r="J78" s="15"/>
      <c r="K78" s="15"/>
      <c r="L78" s="15"/>
      <c r="M78" s="15"/>
      <c r="N78" s="15"/>
      <c r="O78" s="15"/>
      <c r="P78" s="15"/>
      <c r="Q78" s="15"/>
      <c r="R78" s="15"/>
      <c r="S78" s="15"/>
      <c r="T78" s="15"/>
      <c r="U78" s="14" t="str">
        <f t="shared" si="6"/>
        <v/>
      </c>
    </row>
    <row r="79" spans="1:21" ht="29" x14ac:dyDescent="0.35">
      <c r="A79" s="14">
        <v>4</v>
      </c>
      <c r="B79" s="14" t="s">
        <v>917</v>
      </c>
      <c r="C79" s="14" t="s">
        <v>918</v>
      </c>
      <c r="D79" s="14" t="s">
        <v>70</v>
      </c>
      <c r="E79" s="14" t="s">
        <v>690</v>
      </c>
      <c r="F79" s="14" t="s">
        <v>167</v>
      </c>
      <c r="G79" s="14" t="s">
        <v>691</v>
      </c>
      <c r="H79" s="14" t="s">
        <v>59</v>
      </c>
      <c r="I79" s="15"/>
      <c r="J79" s="15"/>
      <c r="K79" s="15"/>
      <c r="L79" s="15"/>
      <c r="M79" s="15"/>
      <c r="N79" s="15"/>
      <c r="O79" s="15"/>
      <c r="P79" s="15"/>
      <c r="Q79" s="15"/>
      <c r="R79" s="15"/>
      <c r="S79" s="15"/>
      <c r="T79" s="15"/>
      <c r="U79" s="14" t="str">
        <f t="shared" si="6"/>
        <v/>
      </c>
    </row>
    <row r="80" spans="1:21" ht="29" x14ac:dyDescent="0.35">
      <c r="A80" s="14">
        <v>5</v>
      </c>
      <c r="B80" s="14" t="s">
        <v>919</v>
      </c>
      <c r="C80" s="14" t="s">
        <v>920</v>
      </c>
      <c r="D80" s="14" t="s">
        <v>921</v>
      </c>
      <c r="E80" s="14" t="s">
        <v>690</v>
      </c>
      <c r="F80" s="14" t="s">
        <v>167</v>
      </c>
      <c r="G80" s="14" t="s">
        <v>691</v>
      </c>
      <c r="H80" s="14" t="s">
        <v>59</v>
      </c>
      <c r="I80" s="15"/>
      <c r="J80" s="15"/>
      <c r="K80" s="15"/>
      <c r="L80" s="15"/>
      <c r="M80" s="15"/>
      <c r="N80" s="15"/>
      <c r="O80" s="15"/>
      <c r="P80" s="15"/>
      <c r="Q80" s="15"/>
      <c r="R80" s="15"/>
      <c r="S80" s="15"/>
      <c r="T80" s="15"/>
      <c r="U80" s="14" t="str">
        <f t="shared" si="6"/>
        <v/>
      </c>
    </row>
    <row r="81" spans="1:21" ht="29" x14ac:dyDescent="0.35">
      <c r="A81" s="14">
        <v>6</v>
      </c>
      <c r="B81" s="14" t="s">
        <v>892</v>
      </c>
      <c r="C81" s="14" t="s">
        <v>922</v>
      </c>
      <c r="D81" s="14" t="s">
        <v>449</v>
      </c>
      <c r="E81" s="14" t="s">
        <v>690</v>
      </c>
      <c r="F81" s="14" t="s">
        <v>167</v>
      </c>
      <c r="G81" s="14" t="s">
        <v>691</v>
      </c>
      <c r="H81" s="14" t="s">
        <v>59</v>
      </c>
      <c r="I81" s="15"/>
      <c r="J81" s="15"/>
      <c r="K81" s="15"/>
      <c r="L81" s="15"/>
      <c r="M81" s="15"/>
      <c r="N81" s="15"/>
      <c r="O81" s="15"/>
      <c r="P81" s="15"/>
      <c r="Q81" s="15"/>
      <c r="R81" s="15"/>
      <c r="S81" s="15"/>
      <c r="T81" s="15"/>
      <c r="U81" s="14" t="str">
        <f t="shared" si="6"/>
        <v/>
      </c>
    </row>
    <row r="82" spans="1:21" ht="29" x14ac:dyDescent="0.35">
      <c r="A82" s="14">
        <v>7</v>
      </c>
      <c r="B82" s="14" t="s">
        <v>923</v>
      </c>
      <c r="C82" s="14" t="s">
        <v>924</v>
      </c>
      <c r="D82" s="14" t="s">
        <v>925</v>
      </c>
      <c r="E82" s="14" t="s">
        <v>690</v>
      </c>
      <c r="F82" s="14" t="s">
        <v>167</v>
      </c>
      <c r="G82" s="14" t="s">
        <v>691</v>
      </c>
      <c r="H82" s="14" t="s">
        <v>59</v>
      </c>
      <c r="I82" s="15"/>
      <c r="J82" s="15"/>
      <c r="K82" s="15"/>
      <c r="L82" s="15"/>
      <c r="M82" s="15"/>
      <c r="N82" s="15"/>
      <c r="O82" s="15"/>
      <c r="P82" s="15"/>
      <c r="Q82" s="15"/>
      <c r="R82" s="15"/>
      <c r="S82" s="15"/>
      <c r="T82" s="15"/>
      <c r="U82" s="14" t="str">
        <f t="shared" si="6"/>
        <v/>
      </c>
    </row>
    <row r="83" spans="1:21" ht="29" x14ac:dyDescent="0.35">
      <c r="A83" s="14">
        <v>8</v>
      </c>
      <c r="B83" s="14" t="s">
        <v>826</v>
      </c>
      <c r="C83" s="14" t="s">
        <v>926</v>
      </c>
      <c r="D83" s="14" t="s">
        <v>927</v>
      </c>
      <c r="E83" s="14" t="s">
        <v>690</v>
      </c>
      <c r="F83" s="14" t="s">
        <v>167</v>
      </c>
      <c r="G83" s="14" t="s">
        <v>691</v>
      </c>
      <c r="H83" s="14" t="s">
        <v>59</v>
      </c>
      <c r="I83" s="15"/>
      <c r="J83" s="15"/>
      <c r="K83" s="15"/>
      <c r="L83" s="15"/>
      <c r="M83" s="15"/>
      <c r="N83" s="15"/>
      <c r="O83" s="15"/>
      <c r="P83" s="15"/>
      <c r="Q83" s="15"/>
      <c r="R83" s="15"/>
      <c r="S83" s="15"/>
      <c r="T83" s="15"/>
      <c r="U83" s="14" t="str">
        <f t="shared" si="6"/>
        <v/>
      </c>
    </row>
    <row r="86" spans="1:21" ht="22" customHeight="1" x14ac:dyDescent="0.35">
      <c r="A86" s="26" t="s">
        <v>932</v>
      </c>
      <c r="B86" s="23"/>
      <c r="C86" s="23"/>
      <c r="D86" s="23"/>
      <c r="E86" s="23"/>
      <c r="F86" s="23"/>
      <c r="G86" s="23"/>
      <c r="H86" s="23"/>
      <c r="I86" s="23"/>
      <c r="J86" s="23"/>
      <c r="K86" s="23"/>
      <c r="L86" s="23"/>
      <c r="M86" s="23"/>
      <c r="N86" s="23"/>
      <c r="O86" s="23"/>
      <c r="P86" s="23"/>
      <c r="Q86" s="23"/>
      <c r="R86" s="23"/>
      <c r="S86" s="23"/>
      <c r="T86" s="23"/>
      <c r="U86" s="23"/>
    </row>
    <row r="87" spans="1:21" x14ac:dyDescent="0.35">
      <c r="A87" t="s">
        <v>31</v>
      </c>
      <c r="B87" t="s">
        <v>23</v>
      </c>
      <c r="C87" t="s">
        <v>32</v>
      </c>
      <c r="E87" t="s">
        <v>33</v>
      </c>
    </row>
    <row r="88" spans="1:21" ht="29" x14ac:dyDescent="0.35">
      <c r="A88" s="11" t="s">
        <v>34</v>
      </c>
      <c r="B88" s="11" t="s">
        <v>35</v>
      </c>
      <c r="C88" s="11" t="s">
        <v>36</v>
      </c>
      <c r="D88" s="11" t="s">
        <v>37</v>
      </c>
      <c r="E88" s="11" t="s">
        <v>38</v>
      </c>
      <c r="F88" s="11" t="s">
        <v>39</v>
      </c>
      <c r="G88" s="11" t="s">
        <v>40</v>
      </c>
      <c r="H88" s="11" t="s">
        <v>41</v>
      </c>
      <c r="I88" s="11" t="s">
        <v>42</v>
      </c>
      <c r="J88" s="11" t="s">
        <v>43</v>
      </c>
      <c r="K88" s="11" t="s">
        <v>44</v>
      </c>
      <c r="L88" s="11" t="s">
        <v>45</v>
      </c>
      <c r="M88" s="11" t="s">
        <v>46</v>
      </c>
      <c r="N88" s="11" t="s">
        <v>47</v>
      </c>
      <c r="O88" s="11" t="s">
        <v>48</v>
      </c>
      <c r="P88" s="11" t="s">
        <v>4</v>
      </c>
      <c r="Q88" s="11" t="s">
        <v>49</v>
      </c>
      <c r="R88" s="11" t="s">
        <v>50</v>
      </c>
      <c r="S88" s="11" t="s">
        <v>51</v>
      </c>
      <c r="T88" s="11" t="s">
        <v>52</v>
      </c>
      <c r="U88" s="11" t="s">
        <v>10</v>
      </c>
    </row>
    <row r="89" spans="1:21" ht="29" x14ac:dyDescent="0.35">
      <c r="A89" s="14">
        <v>1</v>
      </c>
      <c r="B89" s="14" t="s">
        <v>909</v>
      </c>
      <c r="C89" s="14" t="s">
        <v>910</v>
      </c>
      <c r="D89" s="14" t="s">
        <v>911</v>
      </c>
      <c r="E89" s="14" t="s">
        <v>69</v>
      </c>
      <c r="F89" s="14" t="s">
        <v>284</v>
      </c>
      <c r="G89" s="14" t="s">
        <v>691</v>
      </c>
      <c r="H89" s="14" t="s">
        <v>76</v>
      </c>
      <c r="I89" s="15"/>
      <c r="J89" s="15"/>
      <c r="K89" s="15"/>
      <c r="L89" s="15"/>
      <c r="M89" s="15"/>
      <c r="N89" s="15"/>
      <c r="O89" s="15"/>
      <c r="P89" s="15"/>
      <c r="Q89" s="15"/>
      <c r="R89" s="15"/>
      <c r="S89" s="15"/>
      <c r="T89" s="15"/>
      <c r="U89" s="14" t="str">
        <f t="shared" ref="U89:U96" si="7">IF(I89="","",IF(I89="NA","Grey",IF(I89=2,"Green",IF(I89=1,"Amber","Red"))))</f>
        <v/>
      </c>
    </row>
    <row r="90" spans="1:21" ht="29" x14ac:dyDescent="0.35">
      <c r="A90" s="14">
        <v>2</v>
      </c>
      <c r="B90" s="14" t="s">
        <v>912</v>
      </c>
      <c r="C90" s="14" t="s">
        <v>913</v>
      </c>
      <c r="D90" s="14" t="s">
        <v>911</v>
      </c>
      <c r="E90" s="14" t="s">
        <v>69</v>
      </c>
      <c r="F90" s="14" t="s">
        <v>284</v>
      </c>
      <c r="G90" s="14" t="s">
        <v>691</v>
      </c>
      <c r="H90" s="14" t="s">
        <v>76</v>
      </c>
      <c r="I90" s="15"/>
      <c r="J90" s="15"/>
      <c r="K90" s="15"/>
      <c r="L90" s="15"/>
      <c r="M90" s="15"/>
      <c r="N90" s="15"/>
      <c r="O90" s="15"/>
      <c r="P90" s="15"/>
      <c r="Q90" s="15"/>
      <c r="R90" s="15"/>
      <c r="S90" s="15"/>
      <c r="T90" s="15"/>
      <c r="U90" s="14" t="str">
        <f t="shared" si="7"/>
        <v/>
      </c>
    </row>
    <row r="91" spans="1:21" ht="29" x14ac:dyDescent="0.35">
      <c r="A91" s="14">
        <v>3</v>
      </c>
      <c r="B91" s="14" t="s">
        <v>914</v>
      </c>
      <c r="C91" s="14" t="s">
        <v>915</v>
      </c>
      <c r="D91" s="14" t="s">
        <v>916</v>
      </c>
      <c r="E91" s="14" t="s">
        <v>69</v>
      </c>
      <c r="F91" s="14" t="s">
        <v>284</v>
      </c>
      <c r="G91" s="14" t="s">
        <v>691</v>
      </c>
      <c r="H91" s="14" t="s">
        <v>76</v>
      </c>
      <c r="I91" s="15"/>
      <c r="J91" s="15"/>
      <c r="K91" s="15"/>
      <c r="L91" s="15"/>
      <c r="M91" s="15"/>
      <c r="N91" s="15"/>
      <c r="O91" s="15"/>
      <c r="P91" s="15"/>
      <c r="Q91" s="15"/>
      <c r="R91" s="15"/>
      <c r="S91" s="15"/>
      <c r="T91" s="15"/>
      <c r="U91" s="14" t="str">
        <f t="shared" si="7"/>
        <v/>
      </c>
    </row>
    <row r="92" spans="1:21" ht="29" x14ac:dyDescent="0.35">
      <c r="A92" s="14">
        <v>4</v>
      </c>
      <c r="B92" s="14" t="s">
        <v>917</v>
      </c>
      <c r="C92" s="14" t="s">
        <v>918</v>
      </c>
      <c r="D92" s="14" t="s">
        <v>70</v>
      </c>
      <c r="E92" s="14" t="s">
        <v>690</v>
      </c>
      <c r="F92" s="14" t="s">
        <v>167</v>
      </c>
      <c r="G92" s="14" t="s">
        <v>691</v>
      </c>
      <c r="H92" s="14" t="s">
        <v>59</v>
      </c>
      <c r="I92" s="15"/>
      <c r="J92" s="15"/>
      <c r="K92" s="15"/>
      <c r="L92" s="15"/>
      <c r="M92" s="15"/>
      <c r="N92" s="15"/>
      <c r="O92" s="15"/>
      <c r="P92" s="15"/>
      <c r="Q92" s="15"/>
      <c r="R92" s="15"/>
      <c r="S92" s="15"/>
      <c r="T92" s="15"/>
      <c r="U92" s="14" t="str">
        <f t="shared" si="7"/>
        <v/>
      </c>
    </row>
    <row r="93" spans="1:21" ht="29" x14ac:dyDescent="0.35">
      <c r="A93" s="14">
        <v>5</v>
      </c>
      <c r="B93" s="14" t="s">
        <v>919</v>
      </c>
      <c r="C93" s="14" t="s">
        <v>920</v>
      </c>
      <c r="D93" s="14" t="s">
        <v>921</v>
      </c>
      <c r="E93" s="14" t="s">
        <v>690</v>
      </c>
      <c r="F93" s="14" t="s">
        <v>167</v>
      </c>
      <c r="G93" s="14" t="s">
        <v>691</v>
      </c>
      <c r="H93" s="14" t="s">
        <v>59</v>
      </c>
      <c r="I93" s="15"/>
      <c r="J93" s="15"/>
      <c r="K93" s="15"/>
      <c r="L93" s="15"/>
      <c r="M93" s="15"/>
      <c r="N93" s="15"/>
      <c r="O93" s="15"/>
      <c r="P93" s="15"/>
      <c r="Q93" s="15"/>
      <c r="R93" s="15"/>
      <c r="S93" s="15"/>
      <c r="T93" s="15"/>
      <c r="U93" s="14" t="str">
        <f t="shared" si="7"/>
        <v/>
      </c>
    </row>
    <row r="94" spans="1:21" ht="29" x14ac:dyDescent="0.35">
      <c r="A94" s="14">
        <v>6</v>
      </c>
      <c r="B94" s="14" t="s">
        <v>892</v>
      </c>
      <c r="C94" s="14" t="s">
        <v>922</v>
      </c>
      <c r="D94" s="14" t="s">
        <v>449</v>
      </c>
      <c r="E94" s="14" t="s">
        <v>690</v>
      </c>
      <c r="F94" s="14" t="s">
        <v>167</v>
      </c>
      <c r="G94" s="14" t="s">
        <v>691</v>
      </c>
      <c r="H94" s="14" t="s">
        <v>59</v>
      </c>
      <c r="I94" s="15"/>
      <c r="J94" s="15"/>
      <c r="K94" s="15"/>
      <c r="L94" s="15"/>
      <c r="M94" s="15"/>
      <c r="N94" s="15"/>
      <c r="O94" s="15"/>
      <c r="P94" s="15"/>
      <c r="Q94" s="15"/>
      <c r="R94" s="15"/>
      <c r="S94" s="15"/>
      <c r="T94" s="15"/>
      <c r="U94" s="14" t="str">
        <f t="shared" si="7"/>
        <v/>
      </c>
    </row>
    <row r="95" spans="1:21" ht="29" x14ac:dyDescent="0.35">
      <c r="A95" s="14">
        <v>7</v>
      </c>
      <c r="B95" s="14" t="s">
        <v>923</v>
      </c>
      <c r="C95" s="14" t="s">
        <v>924</v>
      </c>
      <c r="D95" s="14" t="s">
        <v>925</v>
      </c>
      <c r="E95" s="14" t="s">
        <v>690</v>
      </c>
      <c r="F95" s="14" t="s">
        <v>167</v>
      </c>
      <c r="G95" s="14" t="s">
        <v>691</v>
      </c>
      <c r="H95" s="14" t="s">
        <v>59</v>
      </c>
      <c r="I95" s="15"/>
      <c r="J95" s="15"/>
      <c r="K95" s="15"/>
      <c r="L95" s="15"/>
      <c r="M95" s="15"/>
      <c r="N95" s="15"/>
      <c r="O95" s="15"/>
      <c r="P95" s="15"/>
      <c r="Q95" s="15"/>
      <c r="R95" s="15"/>
      <c r="S95" s="15"/>
      <c r="T95" s="15"/>
      <c r="U95" s="14" t="str">
        <f t="shared" si="7"/>
        <v/>
      </c>
    </row>
    <row r="96" spans="1:21" ht="29" x14ac:dyDescent="0.35">
      <c r="A96" s="14">
        <v>8</v>
      </c>
      <c r="B96" s="14" t="s">
        <v>826</v>
      </c>
      <c r="C96" s="14" t="s">
        <v>926</v>
      </c>
      <c r="D96" s="14" t="s">
        <v>927</v>
      </c>
      <c r="E96" s="14" t="s">
        <v>690</v>
      </c>
      <c r="F96" s="14" t="s">
        <v>167</v>
      </c>
      <c r="G96" s="14" t="s">
        <v>691</v>
      </c>
      <c r="H96" s="14" t="s">
        <v>59</v>
      </c>
      <c r="I96" s="15"/>
      <c r="J96" s="15"/>
      <c r="K96" s="15"/>
      <c r="L96" s="15"/>
      <c r="M96" s="15"/>
      <c r="N96" s="15"/>
      <c r="O96" s="15"/>
      <c r="P96" s="15"/>
      <c r="Q96" s="15"/>
      <c r="R96" s="15"/>
      <c r="S96" s="15"/>
      <c r="T96" s="15"/>
      <c r="U96" s="14" t="str">
        <f t="shared" si="7"/>
        <v/>
      </c>
    </row>
    <row r="99" spans="1:21" ht="22" customHeight="1" x14ac:dyDescent="0.35">
      <c r="A99" s="26" t="s">
        <v>933</v>
      </c>
      <c r="B99" s="23"/>
      <c r="C99" s="23"/>
      <c r="D99" s="23"/>
      <c r="E99" s="23"/>
      <c r="F99" s="23"/>
      <c r="G99" s="23"/>
      <c r="H99" s="23"/>
      <c r="I99" s="23"/>
      <c r="J99" s="23"/>
      <c r="K99" s="23"/>
      <c r="L99" s="23"/>
      <c r="M99" s="23"/>
      <c r="N99" s="23"/>
      <c r="O99" s="23"/>
      <c r="P99" s="23"/>
      <c r="Q99" s="23"/>
      <c r="R99" s="23"/>
      <c r="S99" s="23"/>
      <c r="T99" s="23"/>
      <c r="U99" s="23"/>
    </row>
    <row r="100" spans="1:21" x14ac:dyDescent="0.35">
      <c r="A100" t="s">
        <v>31</v>
      </c>
      <c r="B100" t="s">
        <v>24</v>
      </c>
      <c r="C100" t="s">
        <v>32</v>
      </c>
      <c r="E100" t="s">
        <v>33</v>
      </c>
    </row>
    <row r="101" spans="1:21" ht="29" x14ac:dyDescent="0.35">
      <c r="A101" s="11" t="s">
        <v>34</v>
      </c>
      <c r="B101" s="11" t="s">
        <v>35</v>
      </c>
      <c r="C101" s="11" t="s">
        <v>36</v>
      </c>
      <c r="D101" s="11" t="s">
        <v>37</v>
      </c>
      <c r="E101" s="11" t="s">
        <v>38</v>
      </c>
      <c r="F101" s="11" t="s">
        <v>39</v>
      </c>
      <c r="G101" s="11" t="s">
        <v>40</v>
      </c>
      <c r="H101" s="11" t="s">
        <v>41</v>
      </c>
      <c r="I101" s="11" t="s">
        <v>42</v>
      </c>
      <c r="J101" s="11" t="s">
        <v>43</v>
      </c>
      <c r="K101" s="11" t="s">
        <v>44</v>
      </c>
      <c r="L101" s="11" t="s">
        <v>45</v>
      </c>
      <c r="M101" s="11" t="s">
        <v>46</v>
      </c>
      <c r="N101" s="11" t="s">
        <v>47</v>
      </c>
      <c r="O101" s="11" t="s">
        <v>48</v>
      </c>
      <c r="P101" s="11" t="s">
        <v>4</v>
      </c>
      <c r="Q101" s="11" t="s">
        <v>49</v>
      </c>
      <c r="R101" s="11" t="s">
        <v>50</v>
      </c>
      <c r="S101" s="11" t="s">
        <v>51</v>
      </c>
      <c r="T101" s="11" t="s">
        <v>52</v>
      </c>
      <c r="U101" s="11" t="s">
        <v>10</v>
      </c>
    </row>
    <row r="102" spans="1:21" ht="29" x14ac:dyDescent="0.35">
      <c r="A102" s="14">
        <v>1</v>
      </c>
      <c r="B102" s="14" t="s">
        <v>909</v>
      </c>
      <c r="C102" s="14" t="s">
        <v>910</v>
      </c>
      <c r="D102" s="14" t="s">
        <v>911</v>
      </c>
      <c r="E102" s="14" t="s">
        <v>69</v>
      </c>
      <c r="F102" s="14" t="s">
        <v>284</v>
      </c>
      <c r="G102" s="14" t="s">
        <v>691</v>
      </c>
      <c r="H102" s="14" t="s">
        <v>76</v>
      </c>
      <c r="I102" s="15"/>
      <c r="J102" s="15"/>
      <c r="K102" s="15"/>
      <c r="L102" s="15"/>
      <c r="M102" s="15"/>
      <c r="N102" s="15"/>
      <c r="O102" s="15"/>
      <c r="P102" s="15"/>
      <c r="Q102" s="15"/>
      <c r="R102" s="15"/>
      <c r="S102" s="15"/>
      <c r="T102" s="15"/>
      <c r="U102" s="14" t="str">
        <f t="shared" ref="U102:U109" si="8">IF(I102="","",IF(I102="NA","Grey",IF(I102=2,"Green",IF(I102=1,"Amber","Red"))))</f>
        <v/>
      </c>
    </row>
    <row r="103" spans="1:21" ht="29" x14ac:dyDescent="0.35">
      <c r="A103" s="14">
        <v>2</v>
      </c>
      <c r="B103" s="14" t="s">
        <v>912</v>
      </c>
      <c r="C103" s="14" t="s">
        <v>913</v>
      </c>
      <c r="D103" s="14" t="s">
        <v>911</v>
      </c>
      <c r="E103" s="14" t="s">
        <v>69</v>
      </c>
      <c r="F103" s="14" t="s">
        <v>284</v>
      </c>
      <c r="G103" s="14" t="s">
        <v>691</v>
      </c>
      <c r="H103" s="14" t="s">
        <v>76</v>
      </c>
      <c r="I103" s="15"/>
      <c r="J103" s="15"/>
      <c r="K103" s="15"/>
      <c r="L103" s="15"/>
      <c r="M103" s="15"/>
      <c r="N103" s="15"/>
      <c r="O103" s="15"/>
      <c r="P103" s="15"/>
      <c r="Q103" s="15"/>
      <c r="R103" s="15"/>
      <c r="S103" s="15"/>
      <c r="T103" s="15"/>
      <c r="U103" s="14" t="str">
        <f t="shared" si="8"/>
        <v/>
      </c>
    </row>
    <row r="104" spans="1:21" ht="29" x14ac:dyDescent="0.35">
      <c r="A104" s="14">
        <v>3</v>
      </c>
      <c r="B104" s="14" t="s">
        <v>914</v>
      </c>
      <c r="C104" s="14" t="s">
        <v>915</v>
      </c>
      <c r="D104" s="14" t="s">
        <v>916</v>
      </c>
      <c r="E104" s="14" t="s">
        <v>69</v>
      </c>
      <c r="F104" s="14" t="s">
        <v>284</v>
      </c>
      <c r="G104" s="14" t="s">
        <v>691</v>
      </c>
      <c r="H104" s="14" t="s">
        <v>76</v>
      </c>
      <c r="I104" s="15"/>
      <c r="J104" s="15"/>
      <c r="K104" s="15"/>
      <c r="L104" s="15"/>
      <c r="M104" s="15"/>
      <c r="N104" s="15"/>
      <c r="O104" s="15"/>
      <c r="P104" s="15"/>
      <c r="Q104" s="15"/>
      <c r="R104" s="15"/>
      <c r="S104" s="15"/>
      <c r="T104" s="15"/>
      <c r="U104" s="14" t="str">
        <f t="shared" si="8"/>
        <v/>
      </c>
    </row>
    <row r="105" spans="1:21" ht="29" x14ac:dyDescent="0.35">
      <c r="A105" s="14">
        <v>4</v>
      </c>
      <c r="B105" s="14" t="s">
        <v>917</v>
      </c>
      <c r="C105" s="14" t="s">
        <v>918</v>
      </c>
      <c r="D105" s="14" t="s">
        <v>70</v>
      </c>
      <c r="E105" s="14" t="s">
        <v>690</v>
      </c>
      <c r="F105" s="14" t="s">
        <v>167</v>
      </c>
      <c r="G105" s="14" t="s">
        <v>691</v>
      </c>
      <c r="H105" s="14" t="s">
        <v>59</v>
      </c>
      <c r="I105" s="15"/>
      <c r="J105" s="15"/>
      <c r="K105" s="15"/>
      <c r="L105" s="15"/>
      <c r="M105" s="15"/>
      <c r="N105" s="15"/>
      <c r="O105" s="15"/>
      <c r="P105" s="15"/>
      <c r="Q105" s="15"/>
      <c r="R105" s="15"/>
      <c r="S105" s="15"/>
      <c r="T105" s="15"/>
      <c r="U105" s="14" t="str">
        <f t="shared" si="8"/>
        <v/>
      </c>
    </row>
    <row r="106" spans="1:21" ht="29" x14ac:dyDescent="0.35">
      <c r="A106" s="14">
        <v>5</v>
      </c>
      <c r="B106" s="14" t="s">
        <v>919</v>
      </c>
      <c r="C106" s="14" t="s">
        <v>920</v>
      </c>
      <c r="D106" s="14" t="s">
        <v>921</v>
      </c>
      <c r="E106" s="14" t="s">
        <v>690</v>
      </c>
      <c r="F106" s="14" t="s">
        <v>167</v>
      </c>
      <c r="G106" s="14" t="s">
        <v>691</v>
      </c>
      <c r="H106" s="14" t="s">
        <v>59</v>
      </c>
      <c r="I106" s="15"/>
      <c r="J106" s="15"/>
      <c r="K106" s="15"/>
      <c r="L106" s="15"/>
      <c r="M106" s="15"/>
      <c r="N106" s="15"/>
      <c r="O106" s="15"/>
      <c r="P106" s="15"/>
      <c r="Q106" s="15"/>
      <c r="R106" s="15"/>
      <c r="S106" s="15"/>
      <c r="T106" s="15"/>
      <c r="U106" s="14" t="str">
        <f t="shared" si="8"/>
        <v/>
      </c>
    </row>
    <row r="107" spans="1:21" ht="29" x14ac:dyDescent="0.35">
      <c r="A107" s="14">
        <v>6</v>
      </c>
      <c r="B107" s="14" t="s">
        <v>892</v>
      </c>
      <c r="C107" s="14" t="s">
        <v>922</v>
      </c>
      <c r="D107" s="14" t="s">
        <v>449</v>
      </c>
      <c r="E107" s="14" t="s">
        <v>690</v>
      </c>
      <c r="F107" s="14" t="s">
        <v>167</v>
      </c>
      <c r="G107" s="14" t="s">
        <v>691</v>
      </c>
      <c r="H107" s="14" t="s">
        <v>59</v>
      </c>
      <c r="I107" s="15"/>
      <c r="J107" s="15"/>
      <c r="K107" s="15"/>
      <c r="L107" s="15"/>
      <c r="M107" s="15"/>
      <c r="N107" s="15"/>
      <c r="O107" s="15"/>
      <c r="P107" s="15"/>
      <c r="Q107" s="15"/>
      <c r="R107" s="15"/>
      <c r="S107" s="15"/>
      <c r="T107" s="15"/>
      <c r="U107" s="14" t="str">
        <f t="shared" si="8"/>
        <v/>
      </c>
    </row>
    <row r="108" spans="1:21" ht="29" x14ac:dyDescent="0.35">
      <c r="A108" s="14">
        <v>7</v>
      </c>
      <c r="B108" s="14" t="s">
        <v>923</v>
      </c>
      <c r="C108" s="14" t="s">
        <v>924</v>
      </c>
      <c r="D108" s="14" t="s">
        <v>925</v>
      </c>
      <c r="E108" s="14" t="s">
        <v>690</v>
      </c>
      <c r="F108" s="14" t="s">
        <v>167</v>
      </c>
      <c r="G108" s="14" t="s">
        <v>691</v>
      </c>
      <c r="H108" s="14" t="s">
        <v>59</v>
      </c>
      <c r="I108" s="15"/>
      <c r="J108" s="15"/>
      <c r="K108" s="15"/>
      <c r="L108" s="15"/>
      <c r="M108" s="15"/>
      <c r="N108" s="15"/>
      <c r="O108" s="15"/>
      <c r="P108" s="15"/>
      <c r="Q108" s="15"/>
      <c r="R108" s="15"/>
      <c r="S108" s="15"/>
      <c r="T108" s="15"/>
      <c r="U108" s="14" t="str">
        <f t="shared" si="8"/>
        <v/>
      </c>
    </row>
    <row r="109" spans="1:21" ht="29" x14ac:dyDescent="0.35">
      <c r="A109" s="14">
        <v>8</v>
      </c>
      <c r="B109" s="14" t="s">
        <v>826</v>
      </c>
      <c r="C109" s="14" t="s">
        <v>926</v>
      </c>
      <c r="D109" s="14" t="s">
        <v>927</v>
      </c>
      <c r="E109" s="14" t="s">
        <v>690</v>
      </c>
      <c r="F109" s="14" t="s">
        <v>167</v>
      </c>
      <c r="G109" s="14" t="s">
        <v>691</v>
      </c>
      <c r="H109" s="14" t="s">
        <v>59</v>
      </c>
      <c r="I109" s="15"/>
      <c r="J109" s="15"/>
      <c r="K109" s="15"/>
      <c r="L109" s="15"/>
      <c r="M109" s="15"/>
      <c r="N109" s="15"/>
      <c r="O109" s="15"/>
      <c r="P109" s="15"/>
      <c r="Q109" s="15"/>
      <c r="R109" s="15"/>
      <c r="S109" s="15"/>
      <c r="T109" s="15"/>
      <c r="U109" s="14" t="str">
        <f t="shared" si="8"/>
        <v/>
      </c>
    </row>
    <row r="112" spans="1:21" ht="22" customHeight="1" x14ac:dyDescent="0.35">
      <c r="A112" s="26" t="s">
        <v>934</v>
      </c>
      <c r="B112" s="23"/>
      <c r="C112" s="23"/>
      <c r="D112" s="23"/>
      <c r="E112" s="23"/>
      <c r="F112" s="23"/>
      <c r="G112" s="23"/>
      <c r="H112" s="23"/>
      <c r="I112" s="23"/>
      <c r="J112" s="23"/>
      <c r="K112" s="23"/>
      <c r="L112" s="23"/>
      <c r="M112" s="23"/>
      <c r="N112" s="23"/>
      <c r="O112" s="23"/>
      <c r="P112" s="23"/>
      <c r="Q112" s="23"/>
      <c r="R112" s="23"/>
      <c r="S112" s="23"/>
      <c r="T112" s="23"/>
      <c r="U112" s="23"/>
    </row>
    <row r="113" spans="1:21" x14ac:dyDescent="0.35">
      <c r="A113" t="s">
        <v>31</v>
      </c>
      <c r="B113" t="s">
        <v>25</v>
      </c>
      <c r="C113" t="s">
        <v>32</v>
      </c>
      <c r="E113" t="s">
        <v>33</v>
      </c>
    </row>
    <row r="114" spans="1:21" ht="29" x14ac:dyDescent="0.35">
      <c r="A114" s="11" t="s">
        <v>34</v>
      </c>
      <c r="B114" s="11" t="s">
        <v>35</v>
      </c>
      <c r="C114" s="11" t="s">
        <v>36</v>
      </c>
      <c r="D114" s="11" t="s">
        <v>37</v>
      </c>
      <c r="E114" s="11" t="s">
        <v>38</v>
      </c>
      <c r="F114" s="11" t="s">
        <v>39</v>
      </c>
      <c r="G114" s="11" t="s">
        <v>40</v>
      </c>
      <c r="H114" s="11" t="s">
        <v>41</v>
      </c>
      <c r="I114" s="11" t="s">
        <v>42</v>
      </c>
      <c r="J114" s="11" t="s">
        <v>43</v>
      </c>
      <c r="K114" s="11" t="s">
        <v>44</v>
      </c>
      <c r="L114" s="11" t="s">
        <v>45</v>
      </c>
      <c r="M114" s="11" t="s">
        <v>46</v>
      </c>
      <c r="N114" s="11" t="s">
        <v>47</v>
      </c>
      <c r="O114" s="11" t="s">
        <v>48</v>
      </c>
      <c r="P114" s="11" t="s">
        <v>4</v>
      </c>
      <c r="Q114" s="11" t="s">
        <v>49</v>
      </c>
      <c r="R114" s="11" t="s">
        <v>50</v>
      </c>
      <c r="S114" s="11" t="s">
        <v>51</v>
      </c>
      <c r="T114" s="11" t="s">
        <v>52</v>
      </c>
      <c r="U114" s="11" t="s">
        <v>10</v>
      </c>
    </row>
    <row r="115" spans="1:21" ht="29" x14ac:dyDescent="0.35">
      <c r="A115" s="14">
        <v>1</v>
      </c>
      <c r="B115" s="14" t="s">
        <v>909</v>
      </c>
      <c r="C115" s="14" t="s">
        <v>910</v>
      </c>
      <c r="D115" s="14" t="s">
        <v>911</v>
      </c>
      <c r="E115" s="14" t="s">
        <v>69</v>
      </c>
      <c r="F115" s="14" t="s">
        <v>284</v>
      </c>
      <c r="G115" s="14" t="s">
        <v>691</v>
      </c>
      <c r="H115" s="14" t="s">
        <v>76</v>
      </c>
      <c r="I115" s="15"/>
      <c r="J115" s="15"/>
      <c r="K115" s="15"/>
      <c r="L115" s="15"/>
      <c r="M115" s="15"/>
      <c r="N115" s="15"/>
      <c r="O115" s="15"/>
      <c r="P115" s="15"/>
      <c r="Q115" s="15"/>
      <c r="R115" s="15"/>
      <c r="S115" s="15"/>
      <c r="T115" s="15"/>
      <c r="U115" s="14" t="str">
        <f t="shared" ref="U115:U122" si="9">IF(I115="","",IF(I115="NA","Grey",IF(I115=2,"Green",IF(I115=1,"Amber","Red"))))</f>
        <v/>
      </c>
    </row>
    <row r="116" spans="1:21" ht="29" x14ac:dyDescent="0.35">
      <c r="A116" s="14">
        <v>2</v>
      </c>
      <c r="B116" s="14" t="s">
        <v>912</v>
      </c>
      <c r="C116" s="14" t="s">
        <v>913</v>
      </c>
      <c r="D116" s="14" t="s">
        <v>911</v>
      </c>
      <c r="E116" s="14" t="s">
        <v>69</v>
      </c>
      <c r="F116" s="14" t="s">
        <v>284</v>
      </c>
      <c r="G116" s="14" t="s">
        <v>691</v>
      </c>
      <c r="H116" s="14" t="s">
        <v>76</v>
      </c>
      <c r="I116" s="15"/>
      <c r="J116" s="15"/>
      <c r="K116" s="15"/>
      <c r="L116" s="15"/>
      <c r="M116" s="15"/>
      <c r="N116" s="15"/>
      <c r="O116" s="15"/>
      <c r="P116" s="15"/>
      <c r="Q116" s="15"/>
      <c r="R116" s="15"/>
      <c r="S116" s="15"/>
      <c r="T116" s="15"/>
      <c r="U116" s="14" t="str">
        <f t="shared" si="9"/>
        <v/>
      </c>
    </row>
    <row r="117" spans="1:21" ht="29" x14ac:dyDescent="0.35">
      <c r="A117" s="14">
        <v>3</v>
      </c>
      <c r="B117" s="14" t="s">
        <v>914</v>
      </c>
      <c r="C117" s="14" t="s">
        <v>915</v>
      </c>
      <c r="D117" s="14" t="s">
        <v>916</v>
      </c>
      <c r="E117" s="14" t="s">
        <v>69</v>
      </c>
      <c r="F117" s="14" t="s">
        <v>284</v>
      </c>
      <c r="G117" s="14" t="s">
        <v>691</v>
      </c>
      <c r="H117" s="14" t="s">
        <v>76</v>
      </c>
      <c r="I117" s="15"/>
      <c r="J117" s="15"/>
      <c r="K117" s="15"/>
      <c r="L117" s="15"/>
      <c r="M117" s="15"/>
      <c r="N117" s="15"/>
      <c r="O117" s="15"/>
      <c r="P117" s="15"/>
      <c r="Q117" s="15"/>
      <c r="R117" s="15"/>
      <c r="S117" s="15"/>
      <c r="T117" s="15"/>
      <c r="U117" s="14" t="str">
        <f t="shared" si="9"/>
        <v/>
      </c>
    </row>
    <row r="118" spans="1:21" ht="29" x14ac:dyDescent="0.35">
      <c r="A118" s="14">
        <v>4</v>
      </c>
      <c r="B118" s="14" t="s">
        <v>917</v>
      </c>
      <c r="C118" s="14" t="s">
        <v>918</v>
      </c>
      <c r="D118" s="14" t="s">
        <v>70</v>
      </c>
      <c r="E118" s="14" t="s">
        <v>690</v>
      </c>
      <c r="F118" s="14" t="s">
        <v>167</v>
      </c>
      <c r="G118" s="14" t="s">
        <v>691</v>
      </c>
      <c r="H118" s="14" t="s">
        <v>59</v>
      </c>
      <c r="I118" s="15"/>
      <c r="J118" s="15"/>
      <c r="K118" s="15"/>
      <c r="L118" s="15"/>
      <c r="M118" s="15"/>
      <c r="N118" s="15"/>
      <c r="O118" s="15"/>
      <c r="P118" s="15"/>
      <c r="Q118" s="15"/>
      <c r="R118" s="15"/>
      <c r="S118" s="15"/>
      <c r="T118" s="15"/>
      <c r="U118" s="14" t="str">
        <f t="shared" si="9"/>
        <v/>
      </c>
    </row>
    <row r="119" spans="1:21" ht="29" x14ac:dyDescent="0.35">
      <c r="A119" s="14">
        <v>5</v>
      </c>
      <c r="B119" s="14" t="s">
        <v>919</v>
      </c>
      <c r="C119" s="14" t="s">
        <v>920</v>
      </c>
      <c r="D119" s="14" t="s">
        <v>921</v>
      </c>
      <c r="E119" s="14" t="s">
        <v>690</v>
      </c>
      <c r="F119" s="14" t="s">
        <v>167</v>
      </c>
      <c r="G119" s="14" t="s">
        <v>691</v>
      </c>
      <c r="H119" s="14" t="s">
        <v>59</v>
      </c>
      <c r="I119" s="15"/>
      <c r="J119" s="15"/>
      <c r="K119" s="15"/>
      <c r="L119" s="15"/>
      <c r="M119" s="15"/>
      <c r="N119" s="15"/>
      <c r="O119" s="15"/>
      <c r="P119" s="15"/>
      <c r="Q119" s="15"/>
      <c r="R119" s="15"/>
      <c r="S119" s="15"/>
      <c r="T119" s="15"/>
      <c r="U119" s="14" t="str">
        <f t="shared" si="9"/>
        <v/>
      </c>
    </row>
    <row r="120" spans="1:21" ht="29" x14ac:dyDescent="0.35">
      <c r="A120" s="14">
        <v>6</v>
      </c>
      <c r="B120" s="14" t="s">
        <v>892</v>
      </c>
      <c r="C120" s="14" t="s">
        <v>922</v>
      </c>
      <c r="D120" s="14" t="s">
        <v>449</v>
      </c>
      <c r="E120" s="14" t="s">
        <v>690</v>
      </c>
      <c r="F120" s="14" t="s">
        <v>167</v>
      </c>
      <c r="G120" s="14" t="s">
        <v>691</v>
      </c>
      <c r="H120" s="14" t="s">
        <v>59</v>
      </c>
      <c r="I120" s="15"/>
      <c r="J120" s="15"/>
      <c r="K120" s="15"/>
      <c r="L120" s="15"/>
      <c r="M120" s="15"/>
      <c r="N120" s="15"/>
      <c r="O120" s="15"/>
      <c r="P120" s="15"/>
      <c r="Q120" s="15"/>
      <c r="R120" s="15"/>
      <c r="S120" s="15"/>
      <c r="T120" s="15"/>
      <c r="U120" s="14" t="str">
        <f t="shared" si="9"/>
        <v/>
      </c>
    </row>
    <row r="121" spans="1:21" ht="29" x14ac:dyDescent="0.35">
      <c r="A121" s="14">
        <v>7</v>
      </c>
      <c r="B121" s="14" t="s">
        <v>923</v>
      </c>
      <c r="C121" s="14" t="s">
        <v>924</v>
      </c>
      <c r="D121" s="14" t="s">
        <v>925</v>
      </c>
      <c r="E121" s="14" t="s">
        <v>690</v>
      </c>
      <c r="F121" s="14" t="s">
        <v>167</v>
      </c>
      <c r="G121" s="14" t="s">
        <v>691</v>
      </c>
      <c r="H121" s="14" t="s">
        <v>59</v>
      </c>
      <c r="I121" s="15"/>
      <c r="J121" s="15"/>
      <c r="K121" s="15"/>
      <c r="L121" s="15"/>
      <c r="M121" s="15"/>
      <c r="N121" s="15"/>
      <c r="O121" s="15"/>
      <c r="P121" s="15"/>
      <c r="Q121" s="15"/>
      <c r="R121" s="15"/>
      <c r="S121" s="15"/>
      <c r="T121" s="15"/>
      <c r="U121" s="14" t="str">
        <f t="shared" si="9"/>
        <v/>
      </c>
    </row>
    <row r="122" spans="1:21" ht="29" x14ac:dyDescent="0.35">
      <c r="A122" s="14">
        <v>8</v>
      </c>
      <c r="B122" s="14" t="s">
        <v>826</v>
      </c>
      <c r="C122" s="14" t="s">
        <v>926</v>
      </c>
      <c r="D122" s="14" t="s">
        <v>927</v>
      </c>
      <c r="E122" s="14" t="s">
        <v>690</v>
      </c>
      <c r="F122" s="14" t="s">
        <v>167</v>
      </c>
      <c r="G122" s="14" t="s">
        <v>691</v>
      </c>
      <c r="H122" s="14" t="s">
        <v>59</v>
      </c>
      <c r="I122" s="15"/>
      <c r="J122" s="15"/>
      <c r="K122" s="15"/>
      <c r="L122" s="15"/>
      <c r="M122" s="15"/>
      <c r="N122" s="15"/>
      <c r="O122" s="15"/>
      <c r="P122" s="15"/>
      <c r="Q122" s="15"/>
      <c r="R122" s="15"/>
      <c r="S122" s="15"/>
      <c r="T122" s="15"/>
      <c r="U122" s="14" t="str">
        <f t="shared" si="9"/>
        <v/>
      </c>
    </row>
    <row r="125" spans="1:21" ht="22" customHeight="1" x14ac:dyDescent="0.35">
      <c r="A125" s="26" t="s">
        <v>935</v>
      </c>
      <c r="B125" s="23"/>
      <c r="C125" s="23"/>
      <c r="D125" s="23"/>
      <c r="E125" s="23"/>
      <c r="F125" s="23"/>
      <c r="G125" s="23"/>
      <c r="H125" s="23"/>
      <c r="I125" s="23"/>
      <c r="J125" s="23"/>
      <c r="K125" s="23"/>
      <c r="L125" s="23"/>
      <c r="M125" s="23"/>
      <c r="N125" s="23"/>
      <c r="O125" s="23"/>
      <c r="P125" s="23"/>
      <c r="Q125" s="23"/>
      <c r="R125" s="23"/>
      <c r="S125" s="23"/>
      <c r="T125" s="23"/>
      <c r="U125" s="23"/>
    </row>
    <row r="126" spans="1:21" x14ac:dyDescent="0.35">
      <c r="A126" t="s">
        <v>31</v>
      </c>
      <c r="B126" t="s">
        <v>26</v>
      </c>
      <c r="C126" t="s">
        <v>32</v>
      </c>
      <c r="E126" t="s">
        <v>33</v>
      </c>
    </row>
    <row r="127" spans="1:21" ht="29" x14ac:dyDescent="0.35">
      <c r="A127" s="11" t="s">
        <v>34</v>
      </c>
      <c r="B127" s="11" t="s">
        <v>35</v>
      </c>
      <c r="C127" s="11" t="s">
        <v>36</v>
      </c>
      <c r="D127" s="11" t="s">
        <v>37</v>
      </c>
      <c r="E127" s="11" t="s">
        <v>38</v>
      </c>
      <c r="F127" s="11" t="s">
        <v>39</v>
      </c>
      <c r="G127" s="11" t="s">
        <v>40</v>
      </c>
      <c r="H127" s="11" t="s">
        <v>41</v>
      </c>
      <c r="I127" s="11" t="s">
        <v>42</v>
      </c>
      <c r="J127" s="11" t="s">
        <v>43</v>
      </c>
      <c r="K127" s="11" t="s">
        <v>44</v>
      </c>
      <c r="L127" s="11" t="s">
        <v>45</v>
      </c>
      <c r="M127" s="11" t="s">
        <v>46</v>
      </c>
      <c r="N127" s="11" t="s">
        <v>47</v>
      </c>
      <c r="O127" s="11" t="s">
        <v>48</v>
      </c>
      <c r="P127" s="11" t="s">
        <v>4</v>
      </c>
      <c r="Q127" s="11" t="s">
        <v>49</v>
      </c>
      <c r="R127" s="11" t="s">
        <v>50</v>
      </c>
      <c r="S127" s="11" t="s">
        <v>51</v>
      </c>
      <c r="T127" s="11" t="s">
        <v>52</v>
      </c>
      <c r="U127" s="11" t="s">
        <v>10</v>
      </c>
    </row>
    <row r="128" spans="1:21" ht="29" x14ac:dyDescent="0.35">
      <c r="A128" s="14">
        <v>1</v>
      </c>
      <c r="B128" s="14" t="s">
        <v>909</v>
      </c>
      <c r="C128" s="14" t="s">
        <v>910</v>
      </c>
      <c r="D128" s="14" t="s">
        <v>911</v>
      </c>
      <c r="E128" s="14" t="s">
        <v>69</v>
      </c>
      <c r="F128" s="14" t="s">
        <v>284</v>
      </c>
      <c r="G128" s="14" t="s">
        <v>691</v>
      </c>
      <c r="H128" s="14" t="s">
        <v>76</v>
      </c>
      <c r="I128" s="15"/>
      <c r="J128" s="15"/>
      <c r="K128" s="15"/>
      <c r="L128" s="15"/>
      <c r="M128" s="15"/>
      <c r="N128" s="15"/>
      <c r="O128" s="15"/>
      <c r="P128" s="15"/>
      <c r="Q128" s="15"/>
      <c r="R128" s="15"/>
      <c r="S128" s="15"/>
      <c r="T128" s="15"/>
      <c r="U128" s="14" t="str">
        <f t="shared" ref="U128:U135" si="10">IF(I128="","",IF(I128="NA","Grey",IF(I128=2,"Green",IF(I128=1,"Amber","Red"))))</f>
        <v/>
      </c>
    </row>
    <row r="129" spans="1:21" ht="29" x14ac:dyDescent="0.35">
      <c r="A129" s="14">
        <v>2</v>
      </c>
      <c r="B129" s="14" t="s">
        <v>912</v>
      </c>
      <c r="C129" s="14" t="s">
        <v>913</v>
      </c>
      <c r="D129" s="14" t="s">
        <v>911</v>
      </c>
      <c r="E129" s="14" t="s">
        <v>69</v>
      </c>
      <c r="F129" s="14" t="s">
        <v>284</v>
      </c>
      <c r="G129" s="14" t="s">
        <v>691</v>
      </c>
      <c r="H129" s="14" t="s">
        <v>76</v>
      </c>
      <c r="I129" s="15"/>
      <c r="J129" s="15"/>
      <c r="K129" s="15"/>
      <c r="L129" s="15"/>
      <c r="M129" s="15"/>
      <c r="N129" s="15"/>
      <c r="O129" s="15"/>
      <c r="P129" s="15"/>
      <c r="Q129" s="15"/>
      <c r="R129" s="15"/>
      <c r="S129" s="15"/>
      <c r="T129" s="15"/>
      <c r="U129" s="14" t="str">
        <f t="shared" si="10"/>
        <v/>
      </c>
    </row>
    <row r="130" spans="1:21" ht="29" x14ac:dyDescent="0.35">
      <c r="A130" s="14">
        <v>3</v>
      </c>
      <c r="B130" s="14" t="s">
        <v>914</v>
      </c>
      <c r="C130" s="14" t="s">
        <v>915</v>
      </c>
      <c r="D130" s="14" t="s">
        <v>916</v>
      </c>
      <c r="E130" s="14" t="s">
        <v>69</v>
      </c>
      <c r="F130" s="14" t="s">
        <v>284</v>
      </c>
      <c r="G130" s="14" t="s">
        <v>691</v>
      </c>
      <c r="H130" s="14" t="s">
        <v>76</v>
      </c>
      <c r="I130" s="15"/>
      <c r="J130" s="15"/>
      <c r="K130" s="15"/>
      <c r="L130" s="15"/>
      <c r="M130" s="15"/>
      <c r="N130" s="15"/>
      <c r="O130" s="15"/>
      <c r="P130" s="15"/>
      <c r="Q130" s="15"/>
      <c r="R130" s="15"/>
      <c r="S130" s="15"/>
      <c r="T130" s="15"/>
      <c r="U130" s="14" t="str">
        <f t="shared" si="10"/>
        <v/>
      </c>
    </row>
    <row r="131" spans="1:21" ht="29" x14ac:dyDescent="0.35">
      <c r="A131" s="14">
        <v>4</v>
      </c>
      <c r="B131" s="14" t="s">
        <v>917</v>
      </c>
      <c r="C131" s="14" t="s">
        <v>918</v>
      </c>
      <c r="D131" s="14" t="s">
        <v>70</v>
      </c>
      <c r="E131" s="14" t="s">
        <v>690</v>
      </c>
      <c r="F131" s="14" t="s">
        <v>167</v>
      </c>
      <c r="G131" s="14" t="s">
        <v>691</v>
      </c>
      <c r="H131" s="14" t="s">
        <v>59</v>
      </c>
      <c r="I131" s="15"/>
      <c r="J131" s="15"/>
      <c r="K131" s="15"/>
      <c r="L131" s="15"/>
      <c r="M131" s="15"/>
      <c r="N131" s="15"/>
      <c r="O131" s="15"/>
      <c r="P131" s="15"/>
      <c r="Q131" s="15"/>
      <c r="R131" s="15"/>
      <c r="S131" s="15"/>
      <c r="T131" s="15"/>
      <c r="U131" s="14" t="str">
        <f t="shared" si="10"/>
        <v/>
      </c>
    </row>
    <row r="132" spans="1:21" ht="29" x14ac:dyDescent="0.35">
      <c r="A132" s="14">
        <v>5</v>
      </c>
      <c r="B132" s="14" t="s">
        <v>919</v>
      </c>
      <c r="C132" s="14" t="s">
        <v>920</v>
      </c>
      <c r="D132" s="14" t="s">
        <v>921</v>
      </c>
      <c r="E132" s="14" t="s">
        <v>690</v>
      </c>
      <c r="F132" s="14" t="s">
        <v>167</v>
      </c>
      <c r="G132" s="14" t="s">
        <v>691</v>
      </c>
      <c r="H132" s="14" t="s">
        <v>59</v>
      </c>
      <c r="I132" s="15"/>
      <c r="J132" s="15"/>
      <c r="K132" s="15"/>
      <c r="L132" s="15"/>
      <c r="M132" s="15"/>
      <c r="N132" s="15"/>
      <c r="O132" s="15"/>
      <c r="P132" s="15"/>
      <c r="Q132" s="15"/>
      <c r="R132" s="15"/>
      <c r="S132" s="15"/>
      <c r="T132" s="15"/>
      <c r="U132" s="14" t="str">
        <f t="shared" si="10"/>
        <v/>
      </c>
    </row>
    <row r="133" spans="1:21" ht="29" x14ac:dyDescent="0.35">
      <c r="A133" s="14">
        <v>6</v>
      </c>
      <c r="B133" s="14" t="s">
        <v>892</v>
      </c>
      <c r="C133" s="14" t="s">
        <v>922</v>
      </c>
      <c r="D133" s="14" t="s">
        <v>449</v>
      </c>
      <c r="E133" s="14" t="s">
        <v>690</v>
      </c>
      <c r="F133" s="14" t="s">
        <v>167</v>
      </c>
      <c r="G133" s="14" t="s">
        <v>691</v>
      </c>
      <c r="H133" s="14" t="s">
        <v>59</v>
      </c>
      <c r="I133" s="15"/>
      <c r="J133" s="15"/>
      <c r="K133" s="15"/>
      <c r="L133" s="15"/>
      <c r="M133" s="15"/>
      <c r="N133" s="15"/>
      <c r="O133" s="15"/>
      <c r="P133" s="15"/>
      <c r="Q133" s="15"/>
      <c r="R133" s="15"/>
      <c r="S133" s="15"/>
      <c r="T133" s="15"/>
      <c r="U133" s="14" t="str">
        <f t="shared" si="10"/>
        <v/>
      </c>
    </row>
    <row r="134" spans="1:21" ht="29" x14ac:dyDescent="0.35">
      <c r="A134" s="14">
        <v>7</v>
      </c>
      <c r="B134" s="14" t="s">
        <v>923</v>
      </c>
      <c r="C134" s="14" t="s">
        <v>924</v>
      </c>
      <c r="D134" s="14" t="s">
        <v>925</v>
      </c>
      <c r="E134" s="14" t="s">
        <v>690</v>
      </c>
      <c r="F134" s="14" t="s">
        <v>167</v>
      </c>
      <c r="G134" s="14" t="s">
        <v>691</v>
      </c>
      <c r="H134" s="14" t="s">
        <v>59</v>
      </c>
      <c r="I134" s="15"/>
      <c r="J134" s="15"/>
      <c r="K134" s="15"/>
      <c r="L134" s="15"/>
      <c r="M134" s="15"/>
      <c r="N134" s="15"/>
      <c r="O134" s="15"/>
      <c r="P134" s="15"/>
      <c r="Q134" s="15"/>
      <c r="R134" s="15"/>
      <c r="S134" s="15"/>
      <c r="T134" s="15"/>
      <c r="U134" s="14" t="str">
        <f t="shared" si="10"/>
        <v/>
      </c>
    </row>
    <row r="135" spans="1:21" ht="29" x14ac:dyDescent="0.35">
      <c r="A135" s="14">
        <v>8</v>
      </c>
      <c r="B135" s="14" t="s">
        <v>826</v>
      </c>
      <c r="C135" s="14" t="s">
        <v>926</v>
      </c>
      <c r="D135" s="14" t="s">
        <v>927</v>
      </c>
      <c r="E135" s="14" t="s">
        <v>690</v>
      </c>
      <c r="F135" s="14" t="s">
        <v>167</v>
      </c>
      <c r="G135" s="14" t="s">
        <v>691</v>
      </c>
      <c r="H135" s="14" t="s">
        <v>59</v>
      </c>
      <c r="I135" s="15"/>
      <c r="J135" s="15"/>
      <c r="K135" s="15"/>
      <c r="L135" s="15"/>
      <c r="M135" s="15"/>
      <c r="N135" s="15"/>
      <c r="O135" s="15"/>
      <c r="P135" s="15"/>
      <c r="Q135" s="15"/>
      <c r="R135" s="15"/>
      <c r="S135" s="15"/>
      <c r="T135" s="15"/>
      <c r="U135" s="14" t="str">
        <f t="shared" si="10"/>
        <v/>
      </c>
    </row>
    <row r="138" spans="1:21" ht="22" customHeight="1" x14ac:dyDescent="0.35">
      <c r="A138" s="26" t="s">
        <v>936</v>
      </c>
      <c r="B138" s="23"/>
      <c r="C138" s="23"/>
      <c r="D138" s="23"/>
      <c r="E138" s="23"/>
      <c r="F138" s="23"/>
      <c r="G138" s="23"/>
      <c r="H138" s="23"/>
      <c r="I138" s="23"/>
      <c r="J138" s="23"/>
      <c r="K138" s="23"/>
      <c r="L138" s="23"/>
      <c r="M138" s="23"/>
      <c r="N138" s="23"/>
      <c r="O138" s="23"/>
      <c r="P138" s="23"/>
      <c r="Q138" s="23"/>
      <c r="R138" s="23"/>
      <c r="S138" s="23"/>
      <c r="T138" s="23"/>
      <c r="U138" s="23"/>
    </row>
    <row r="139" spans="1:21" x14ac:dyDescent="0.35">
      <c r="A139" t="s">
        <v>31</v>
      </c>
      <c r="B139" t="s">
        <v>27</v>
      </c>
      <c r="C139" t="s">
        <v>32</v>
      </c>
      <c r="E139" t="s">
        <v>33</v>
      </c>
    </row>
    <row r="140" spans="1:21" ht="29" x14ac:dyDescent="0.35">
      <c r="A140" s="11" t="s">
        <v>34</v>
      </c>
      <c r="B140" s="11" t="s">
        <v>35</v>
      </c>
      <c r="C140" s="11" t="s">
        <v>36</v>
      </c>
      <c r="D140" s="11" t="s">
        <v>37</v>
      </c>
      <c r="E140" s="11" t="s">
        <v>38</v>
      </c>
      <c r="F140" s="11" t="s">
        <v>39</v>
      </c>
      <c r="G140" s="11" t="s">
        <v>40</v>
      </c>
      <c r="H140" s="11" t="s">
        <v>41</v>
      </c>
      <c r="I140" s="11" t="s">
        <v>42</v>
      </c>
      <c r="J140" s="11" t="s">
        <v>43</v>
      </c>
      <c r="K140" s="11" t="s">
        <v>44</v>
      </c>
      <c r="L140" s="11" t="s">
        <v>45</v>
      </c>
      <c r="M140" s="11" t="s">
        <v>46</v>
      </c>
      <c r="N140" s="11" t="s">
        <v>47</v>
      </c>
      <c r="O140" s="11" t="s">
        <v>48</v>
      </c>
      <c r="P140" s="11" t="s">
        <v>4</v>
      </c>
      <c r="Q140" s="11" t="s">
        <v>49</v>
      </c>
      <c r="R140" s="11" t="s">
        <v>50</v>
      </c>
      <c r="S140" s="11" t="s">
        <v>51</v>
      </c>
      <c r="T140" s="11" t="s">
        <v>52</v>
      </c>
      <c r="U140" s="11" t="s">
        <v>10</v>
      </c>
    </row>
    <row r="141" spans="1:21" ht="29" x14ac:dyDescent="0.35">
      <c r="A141" s="14">
        <v>1</v>
      </c>
      <c r="B141" s="14" t="s">
        <v>909</v>
      </c>
      <c r="C141" s="14" t="s">
        <v>910</v>
      </c>
      <c r="D141" s="14" t="s">
        <v>911</v>
      </c>
      <c r="E141" s="14" t="s">
        <v>69</v>
      </c>
      <c r="F141" s="14" t="s">
        <v>284</v>
      </c>
      <c r="G141" s="14" t="s">
        <v>691</v>
      </c>
      <c r="H141" s="14" t="s">
        <v>76</v>
      </c>
      <c r="I141" s="15"/>
      <c r="J141" s="15"/>
      <c r="K141" s="15"/>
      <c r="L141" s="15"/>
      <c r="M141" s="15"/>
      <c r="N141" s="15"/>
      <c r="O141" s="15"/>
      <c r="P141" s="15"/>
      <c r="Q141" s="15"/>
      <c r="R141" s="15"/>
      <c r="S141" s="15"/>
      <c r="T141" s="15"/>
      <c r="U141" s="14" t="str">
        <f t="shared" ref="U141:U148" si="11">IF(I141="","",IF(I141="NA","Grey",IF(I141=2,"Green",IF(I141=1,"Amber","Red"))))</f>
        <v/>
      </c>
    </row>
    <row r="142" spans="1:21" ht="29" x14ac:dyDescent="0.35">
      <c r="A142" s="14">
        <v>2</v>
      </c>
      <c r="B142" s="14" t="s">
        <v>912</v>
      </c>
      <c r="C142" s="14" t="s">
        <v>913</v>
      </c>
      <c r="D142" s="14" t="s">
        <v>911</v>
      </c>
      <c r="E142" s="14" t="s">
        <v>69</v>
      </c>
      <c r="F142" s="14" t="s">
        <v>284</v>
      </c>
      <c r="G142" s="14" t="s">
        <v>691</v>
      </c>
      <c r="H142" s="14" t="s">
        <v>76</v>
      </c>
      <c r="I142" s="15"/>
      <c r="J142" s="15"/>
      <c r="K142" s="15"/>
      <c r="L142" s="15"/>
      <c r="M142" s="15"/>
      <c r="N142" s="15"/>
      <c r="O142" s="15"/>
      <c r="P142" s="15"/>
      <c r="Q142" s="15"/>
      <c r="R142" s="15"/>
      <c r="S142" s="15"/>
      <c r="T142" s="15"/>
      <c r="U142" s="14" t="str">
        <f t="shared" si="11"/>
        <v/>
      </c>
    </row>
    <row r="143" spans="1:21" ht="29" x14ac:dyDescent="0.35">
      <c r="A143" s="14">
        <v>3</v>
      </c>
      <c r="B143" s="14" t="s">
        <v>914</v>
      </c>
      <c r="C143" s="14" t="s">
        <v>915</v>
      </c>
      <c r="D143" s="14" t="s">
        <v>916</v>
      </c>
      <c r="E143" s="14" t="s">
        <v>69</v>
      </c>
      <c r="F143" s="14" t="s">
        <v>284</v>
      </c>
      <c r="G143" s="14" t="s">
        <v>691</v>
      </c>
      <c r="H143" s="14" t="s">
        <v>76</v>
      </c>
      <c r="I143" s="15"/>
      <c r="J143" s="15"/>
      <c r="K143" s="15"/>
      <c r="L143" s="15"/>
      <c r="M143" s="15"/>
      <c r="N143" s="15"/>
      <c r="O143" s="15"/>
      <c r="P143" s="15"/>
      <c r="Q143" s="15"/>
      <c r="R143" s="15"/>
      <c r="S143" s="15"/>
      <c r="T143" s="15"/>
      <c r="U143" s="14" t="str">
        <f t="shared" si="11"/>
        <v/>
      </c>
    </row>
    <row r="144" spans="1:21" ht="29" x14ac:dyDescent="0.35">
      <c r="A144" s="14">
        <v>4</v>
      </c>
      <c r="B144" s="14" t="s">
        <v>917</v>
      </c>
      <c r="C144" s="14" t="s">
        <v>918</v>
      </c>
      <c r="D144" s="14" t="s">
        <v>70</v>
      </c>
      <c r="E144" s="14" t="s">
        <v>690</v>
      </c>
      <c r="F144" s="14" t="s">
        <v>167</v>
      </c>
      <c r="G144" s="14" t="s">
        <v>691</v>
      </c>
      <c r="H144" s="14" t="s">
        <v>59</v>
      </c>
      <c r="I144" s="15"/>
      <c r="J144" s="15"/>
      <c r="K144" s="15"/>
      <c r="L144" s="15"/>
      <c r="M144" s="15"/>
      <c r="N144" s="15"/>
      <c r="O144" s="15"/>
      <c r="P144" s="15"/>
      <c r="Q144" s="15"/>
      <c r="R144" s="15"/>
      <c r="S144" s="15"/>
      <c r="T144" s="15"/>
      <c r="U144" s="14" t="str">
        <f t="shared" si="11"/>
        <v/>
      </c>
    </row>
    <row r="145" spans="1:21" ht="29" x14ac:dyDescent="0.35">
      <c r="A145" s="14">
        <v>5</v>
      </c>
      <c r="B145" s="14" t="s">
        <v>919</v>
      </c>
      <c r="C145" s="14" t="s">
        <v>920</v>
      </c>
      <c r="D145" s="14" t="s">
        <v>921</v>
      </c>
      <c r="E145" s="14" t="s">
        <v>690</v>
      </c>
      <c r="F145" s="14" t="s">
        <v>167</v>
      </c>
      <c r="G145" s="14" t="s">
        <v>691</v>
      </c>
      <c r="H145" s="14" t="s">
        <v>59</v>
      </c>
      <c r="I145" s="15"/>
      <c r="J145" s="15"/>
      <c r="K145" s="15"/>
      <c r="L145" s="15"/>
      <c r="M145" s="15"/>
      <c r="N145" s="15"/>
      <c r="O145" s="15"/>
      <c r="P145" s="15"/>
      <c r="Q145" s="15"/>
      <c r="R145" s="15"/>
      <c r="S145" s="15"/>
      <c r="T145" s="15"/>
      <c r="U145" s="14" t="str">
        <f t="shared" si="11"/>
        <v/>
      </c>
    </row>
    <row r="146" spans="1:21" ht="29" x14ac:dyDescent="0.35">
      <c r="A146" s="14">
        <v>6</v>
      </c>
      <c r="B146" s="14" t="s">
        <v>892</v>
      </c>
      <c r="C146" s="14" t="s">
        <v>922</v>
      </c>
      <c r="D146" s="14" t="s">
        <v>449</v>
      </c>
      <c r="E146" s="14" t="s">
        <v>690</v>
      </c>
      <c r="F146" s="14" t="s">
        <v>167</v>
      </c>
      <c r="G146" s="14" t="s">
        <v>691</v>
      </c>
      <c r="H146" s="14" t="s">
        <v>59</v>
      </c>
      <c r="I146" s="15"/>
      <c r="J146" s="15"/>
      <c r="K146" s="15"/>
      <c r="L146" s="15"/>
      <c r="M146" s="15"/>
      <c r="N146" s="15"/>
      <c r="O146" s="15"/>
      <c r="P146" s="15"/>
      <c r="Q146" s="15"/>
      <c r="R146" s="15"/>
      <c r="S146" s="15"/>
      <c r="T146" s="15"/>
      <c r="U146" s="14" t="str">
        <f t="shared" si="11"/>
        <v/>
      </c>
    </row>
    <row r="147" spans="1:21" ht="29" x14ac:dyDescent="0.35">
      <c r="A147" s="14">
        <v>7</v>
      </c>
      <c r="B147" s="14" t="s">
        <v>923</v>
      </c>
      <c r="C147" s="14" t="s">
        <v>924</v>
      </c>
      <c r="D147" s="14" t="s">
        <v>925</v>
      </c>
      <c r="E147" s="14" t="s">
        <v>690</v>
      </c>
      <c r="F147" s="14" t="s">
        <v>167</v>
      </c>
      <c r="G147" s="14" t="s">
        <v>691</v>
      </c>
      <c r="H147" s="14" t="s">
        <v>59</v>
      </c>
      <c r="I147" s="15"/>
      <c r="J147" s="15"/>
      <c r="K147" s="15"/>
      <c r="L147" s="15"/>
      <c r="M147" s="15"/>
      <c r="N147" s="15"/>
      <c r="O147" s="15"/>
      <c r="P147" s="15"/>
      <c r="Q147" s="15"/>
      <c r="R147" s="15"/>
      <c r="S147" s="15"/>
      <c r="T147" s="15"/>
      <c r="U147" s="14" t="str">
        <f t="shared" si="11"/>
        <v/>
      </c>
    </row>
    <row r="148" spans="1:21" ht="29" x14ac:dyDescent="0.35">
      <c r="A148" s="14">
        <v>8</v>
      </c>
      <c r="B148" s="14" t="s">
        <v>826</v>
      </c>
      <c r="C148" s="14" t="s">
        <v>926</v>
      </c>
      <c r="D148" s="14" t="s">
        <v>927</v>
      </c>
      <c r="E148" s="14" t="s">
        <v>690</v>
      </c>
      <c r="F148" s="14" t="s">
        <v>167</v>
      </c>
      <c r="G148" s="14" t="s">
        <v>691</v>
      </c>
      <c r="H148" s="14" t="s">
        <v>59</v>
      </c>
      <c r="I148" s="15"/>
      <c r="J148" s="15"/>
      <c r="K148" s="15"/>
      <c r="L148" s="15"/>
      <c r="M148" s="15"/>
      <c r="N148" s="15"/>
      <c r="O148" s="15"/>
      <c r="P148" s="15"/>
      <c r="Q148" s="15"/>
      <c r="R148" s="15"/>
      <c r="S148" s="15"/>
      <c r="T148" s="15"/>
      <c r="U148" s="14" t="str">
        <f t="shared" si="11"/>
        <v/>
      </c>
    </row>
    <row r="151" spans="1:21" ht="22" customHeight="1" x14ac:dyDescent="0.35">
      <c r="A151" s="26" t="s">
        <v>937</v>
      </c>
      <c r="B151" s="23"/>
      <c r="C151" s="23"/>
      <c r="D151" s="23"/>
      <c r="E151" s="23"/>
      <c r="F151" s="23"/>
      <c r="G151" s="23"/>
      <c r="H151" s="23"/>
      <c r="I151" s="23"/>
      <c r="J151" s="23"/>
      <c r="K151" s="23"/>
      <c r="L151" s="23"/>
      <c r="M151" s="23"/>
      <c r="N151" s="23"/>
      <c r="O151" s="23"/>
      <c r="P151" s="23"/>
      <c r="Q151" s="23"/>
      <c r="R151" s="23"/>
      <c r="S151" s="23"/>
      <c r="T151" s="23"/>
      <c r="U151" s="23"/>
    </row>
    <row r="152" spans="1:21" x14ac:dyDescent="0.35">
      <c r="A152" t="s">
        <v>31</v>
      </c>
      <c r="B152" t="s">
        <v>28</v>
      </c>
      <c r="C152" t="s">
        <v>32</v>
      </c>
      <c r="E152" t="s">
        <v>33</v>
      </c>
    </row>
    <row r="153" spans="1:21" ht="29" x14ac:dyDescent="0.35">
      <c r="A153" s="11" t="s">
        <v>34</v>
      </c>
      <c r="B153" s="11" t="s">
        <v>35</v>
      </c>
      <c r="C153" s="11" t="s">
        <v>36</v>
      </c>
      <c r="D153" s="11" t="s">
        <v>37</v>
      </c>
      <c r="E153" s="11" t="s">
        <v>38</v>
      </c>
      <c r="F153" s="11" t="s">
        <v>39</v>
      </c>
      <c r="G153" s="11" t="s">
        <v>40</v>
      </c>
      <c r="H153" s="11" t="s">
        <v>41</v>
      </c>
      <c r="I153" s="11" t="s">
        <v>42</v>
      </c>
      <c r="J153" s="11" t="s">
        <v>43</v>
      </c>
      <c r="K153" s="11" t="s">
        <v>44</v>
      </c>
      <c r="L153" s="11" t="s">
        <v>45</v>
      </c>
      <c r="M153" s="11" t="s">
        <v>46</v>
      </c>
      <c r="N153" s="11" t="s">
        <v>47</v>
      </c>
      <c r="O153" s="11" t="s">
        <v>48</v>
      </c>
      <c r="P153" s="11" t="s">
        <v>4</v>
      </c>
      <c r="Q153" s="11" t="s">
        <v>49</v>
      </c>
      <c r="R153" s="11" t="s">
        <v>50</v>
      </c>
      <c r="S153" s="11" t="s">
        <v>51</v>
      </c>
      <c r="T153" s="11" t="s">
        <v>52</v>
      </c>
      <c r="U153" s="11" t="s">
        <v>10</v>
      </c>
    </row>
    <row r="154" spans="1:21" ht="29" x14ac:dyDescent="0.35">
      <c r="A154" s="14">
        <v>1</v>
      </c>
      <c r="B154" s="14" t="s">
        <v>909</v>
      </c>
      <c r="C154" s="14" t="s">
        <v>910</v>
      </c>
      <c r="D154" s="14" t="s">
        <v>911</v>
      </c>
      <c r="E154" s="14" t="s">
        <v>69</v>
      </c>
      <c r="F154" s="14" t="s">
        <v>284</v>
      </c>
      <c r="G154" s="14" t="s">
        <v>691</v>
      </c>
      <c r="H154" s="14" t="s">
        <v>76</v>
      </c>
      <c r="I154" s="15"/>
      <c r="J154" s="15"/>
      <c r="K154" s="15"/>
      <c r="L154" s="15"/>
      <c r="M154" s="15"/>
      <c r="N154" s="15"/>
      <c r="O154" s="15"/>
      <c r="P154" s="15"/>
      <c r="Q154" s="15"/>
      <c r="R154" s="15"/>
      <c r="S154" s="15"/>
      <c r="T154" s="15"/>
      <c r="U154" s="14" t="str">
        <f t="shared" ref="U154:U161" si="12">IF(I154="","",IF(I154="NA","Grey",IF(I154=2,"Green",IF(I154=1,"Amber","Red"))))</f>
        <v/>
      </c>
    </row>
    <row r="155" spans="1:21" ht="29" x14ac:dyDescent="0.35">
      <c r="A155" s="14">
        <v>2</v>
      </c>
      <c r="B155" s="14" t="s">
        <v>912</v>
      </c>
      <c r="C155" s="14" t="s">
        <v>913</v>
      </c>
      <c r="D155" s="14" t="s">
        <v>911</v>
      </c>
      <c r="E155" s="14" t="s">
        <v>69</v>
      </c>
      <c r="F155" s="14" t="s">
        <v>284</v>
      </c>
      <c r="G155" s="14" t="s">
        <v>691</v>
      </c>
      <c r="H155" s="14" t="s">
        <v>76</v>
      </c>
      <c r="I155" s="15"/>
      <c r="J155" s="15"/>
      <c r="K155" s="15"/>
      <c r="L155" s="15"/>
      <c r="M155" s="15"/>
      <c r="N155" s="15"/>
      <c r="O155" s="15"/>
      <c r="P155" s="15"/>
      <c r="Q155" s="15"/>
      <c r="R155" s="15"/>
      <c r="S155" s="15"/>
      <c r="T155" s="15"/>
      <c r="U155" s="14" t="str">
        <f t="shared" si="12"/>
        <v/>
      </c>
    </row>
    <row r="156" spans="1:21" ht="29" x14ac:dyDescent="0.35">
      <c r="A156" s="14">
        <v>3</v>
      </c>
      <c r="B156" s="14" t="s">
        <v>914</v>
      </c>
      <c r="C156" s="14" t="s">
        <v>915</v>
      </c>
      <c r="D156" s="14" t="s">
        <v>916</v>
      </c>
      <c r="E156" s="14" t="s">
        <v>69</v>
      </c>
      <c r="F156" s="14" t="s">
        <v>284</v>
      </c>
      <c r="G156" s="14" t="s">
        <v>691</v>
      </c>
      <c r="H156" s="14" t="s">
        <v>76</v>
      </c>
      <c r="I156" s="15"/>
      <c r="J156" s="15"/>
      <c r="K156" s="15"/>
      <c r="L156" s="15"/>
      <c r="M156" s="15"/>
      <c r="N156" s="15"/>
      <c r="O156" s="15"/>
      <c r="P156" s="15"/>
      <c r="Q156" s="15"/>
      <c r="R156" s="15"/>
      <c r="S156" s="15"/>
      <c r="T156" s="15"/>
      <c r="U156" s="14" t="str">
        <f t="shared" si="12"/>
        <v/>
      </c>
    </row>
    <row r="157" spans="1:21" ht="29" x14ac:dyDescent="0.35">
      <c r="A157" s="14">
        <v>4</v>
      </c>
      <c r="B157" s="14" t="s">
        <v>917</v>
      </c>
      <c r="C157" s="14" t="s">
        <v>918</v>
      </c>
      <c r="D157" s="14" t="s">
        <v>70</v>
      </c>
      <c r="E157" s="14" t="s">
        <v>690</v>
      </c>
      <c r="F157" s="14" t="s">
        <v>167</v>
      </c>
      <c r="G157" s="14" t="s">
        <v>691</v>
      </c>
      <c r="H157" s="14" t="s">
        <v>59</v>
      </c>
      <c r="I157" s="15"/>
      <c r="J157" s="15"/>
      <c r="K157" s="15"/>
      <c r="L157" s="15"/>
      <c r="M157" s="15"/>
      <c r="N157" s="15"/>
      <c r="O157" s="15"/>
      <c r="P157" s="15"/>
      <c r="Q157" s="15"/>
      <c r="R157" s="15"/>
      <c r="S157" s="15"/>
      <c r="T157" s="15"/>
      <c r="U157" s="14" t="str">
        <f t="shared" si="12"/>
        <v/>
      </c>
    </row>
    <row r="158" spans="1:21" ht="29" x14ac:dyDescent="0.35">
      <c r="A158" s="14">
        <v>5</v>
      </c>
      <c r="B158" s="14" t="s">
        <v>919</v>
      </c>
      <c r="C158" s="14" t="s">
        <v>920</v>
      </c>
      <c r="D158" s="14" t="s">
        <v>921</v>
      </c>
      <c r="E158" s="14" t="s">
        <v>690</v>
      </c>
      <c r="F158" s="14" t="s">
        <v>167</v>
      </c>
      <c r="G158" s="14" t="s">
        <v>691</v>
      </c>
      <c r="H158" s="14" t="s">
        <v>59</v>
      </c>
      <c r="I158" s="15"/>
      <c r="J158" s="15"/>
      <c r="K158" s="15"/>
      <c r="L158" s="15"/>
      <c r="M158" s="15"/>
      <c r="N158" s="15"/>
      <c r="O158" s="15"/>
      <c r="P158" s="15"/>
      <c r="Q158" s="15"/>
      <c r="R158" s="15"/>
      <c r="S158" s="15"/>
      <c r="T158" s="15"/>
      <c r="U158" s="14" t="str">
        <f t="shared" si="12"/>
        <v/>
      </c>
    </row>
    <row r="159" spans="1:21" ht="29" x14ac:dyDescent="0.35">
      <c r="A159" s="14">
        <v>6</v>
      </c>
      <c r="B159" s="14" t="s">
        <v>892</v>
      </c>
      <c r="C159" s="14" t="s">
        <v>922</v>
      </c>
      <c r="D159" s="14" t="s">
        <v>449</v>
      </c>
      <c r="E159" s="14" t="s">
        <v>690</v>
      </c>
      <c r="F159" s="14" t="s">
        <v>167</v>
      </c>
      <c r="G159" s="14" t="s">
        <v>691</v>
      </c>
      <c r="H159" s="14" t="s">
        <v>59</v>
      </c>
      <c r="I159" s="15"/>
      <c r="J159" s="15"/>
      <c r="K159" s="15"/>
      <c r="L159" s="15"/>
      <c r="M159" s="15"/>
      <c r="N159" s="15"/>
      <c r="O159" s="15"/>
      <c r="P159" s="15"/>
      <c r="Q159" s="15"/>
      <c r="R159" s="15"/>
      <c r="S159" s="15"/>
      <c r="T159" s="15"/>
      <c r="U159" s="14" t="str">
        <f t="shared" si="12"/>
        <v/>
      </c>
    </row>
    <row r="160" spans="1:21" ht="29" x14ac:dyDescent="0.35">
      <c r="A160" s="14">
        <v>7</v>
      </c>
      <c r="B160" s="14" t="s">
        <v>923</v>
      </c>
      <c r="C160" s="14" t="s">
        <v>924</v>
      </c>
      <c r="D160" s="14" t="s">
        <v>925</v>
      </c>
      <c r="E160" s="14" t="s">
        <v>690</v>
      </c>
      <c r="F160" s="14" t="s">
        <v>167</v>
      </c>
      <c r="G160" s="14" t="s">
        <v>691</v>
      </c>
      <c r="H160" s="14" t="s">
        <v>59</v>
      </c>
      <c r="I160" s="15"/>
      <c r="J160" s="15"/>
      <c r="K160" s="15"/>
      <c r="L160" s="15"/>
      <c r="M160" s="15"/>
      <c r="N160" s="15"/>
      <c r="O160" s="15"/>
      <c r="P160" s="15"/>
      <c r="Q160" s="15"/>
      <c r="R160" s="15"/>
      <c r="S160" s="15"/>
      <c r="T160" s="15"/>
      <c r="U160" s="14" t="str">
        <f t="shared" si="12"/>
        <v/>
      </c>
    </row>
    <row r="161" spans="1:21" ht="29" x14ac:dyDescent="0.35">
      <c r="A161" s="14">
        <v>8</v>
      </c>
      <c r="B161" s="14" t="s">
        <v>826</v>
      </c>
      <c r="C161" s="14" t="s">
        <v>926</v>
      </c>
      <c r="D161" s="14" t="s">
        <v>927</v>
      </c>
      <c r="E161" s="14" t="s">
        <v>690</v>
      </c>
      <c r="F161" s="14" t="s">
        <v>167</v>
      </c>
      <c r="G161" s="14" t="s">
        <v>691</v>
      </c>
      <c r="H161" s="14" t="s">
        <v>59</v>
      </c>
      <c r="I161" s="15"/>
      <c r="J161" s="15"/>
      <c r="K161" s="15"/>
      <c r="L161" s="15"/>
      <c r="M161" s="15"/>
      <c r="N161" s="15"/>
      <c r="O161" s="15"/>
      <c r="P161" s="15"/>
      <c r="Q161" s="15"/>
      <c r="R161" s="15"/>
      <c r="S161" s="15"/>
      <c r="T161" s="15"/>
      <c r="U161" s="14" t="str">
        <f t="shared" si="12"/>
        <v/>
      </c>
    </row>
    <row r="164" spans="1:21" ht="22" customHeight="1" x14ac:dyDescent="0.35">
      <c r="A164" s="26" t="s">
        <v>938</v>
      </c>
      <c r="B164" s="23"/>
      <c r="C164" s="23"/>
      <c r="D164" s="23"/>
      <c r="E164" s="23"/>
      <c r="F164" s="23"/>
      <c r="G164" s="23"/>
      <c r="H164" s="23"/>
      <c r="I164" s="23"/>
      <c r="J164" s="23"/>
      <c r="K164" s="23"/>
      <c r="L164" s="23"/>
      <c r="M164" s="23"/>
      <c r="N164" s="23"/>
      <c r="O164" s="23"/>
      <c r="P164" s="23"/>
      <c r="Q164" s="23"/>
      <c r="R164" s="23"/>
      <c r="S164" s="23"/>
      <c r="T164" s="23"/>
      <c r="U164" s="23"/>
    </row>
    <row r="165" spans="1:21" x14ac:dyDescent="0.35">
      <c r="A165" t="s">
        <v>31</v>
      </c>
      <c r="B165" t="s">
        <v>29</v>
      </c>
      <c r="C165" t="s">
        <v>32</v>
      </c>
      <c r="E165" t="s">
        <v>33</v>
      </c>
    </row>
    <row r="166" spans="1:21" ht="29" x14ac:dyDescent="0.35">
      <c r="A166" s="11" t="s">
        <v>34</v>
      </c>
      <c r="B166" s="11" t="s">
        <v>35</v>
      </c>
      <c r="C166" s="11" t="s">
        <v>36</v>
      </c>
      <c r="D166" s="11" t="s">
        <v>37</v>
      </c>
      <c r="E166" s="11" t="s">
        <v>38</v>
      </c>
      <c r="F166" s="11" t="s">
        <v>39</v>
      </c>
      <c r="G166" s="11" t="s">
        <v>40</v>
      </c>
      <c r="H166" s="11" t="s">
        <v>41</v>
      </c>
      <c r="I166" s="11" t="s">
        <v>42</v>
      </c>
      <c r="J166" s="11" t="s">
        <v>43</v>
      </c>
      <c r="K166" s="11" t="s">
        <v>44</v>
      </c>
      <c r="L166" s="11" t="s">
        <v>45</v>
      </c>
      <c r="M166" s="11" t="s">
        <v>46</v>
      </c>
      <c r="N166" s="11" t="s">
        <v>47</v>
      </c>
      <c r="O166" s="11" t="s">
        <v>48</v>
      </c>
      <c r="P166" s="11" t="s">
        <v>4</v>
      </c>
      <c r="Q166" s="11" t="s">
        <v>49</v>
      </c>
      <c r="R166" s="11" t="s">
        <v>50</v>
      </c>
      <c r="S166" s="11" t="s">
        <v>51</v>
      </c>
      <c r="T166" s="11" t="s">
        <v>52</v>
      </c>
      <c r="U166" s="11" t="s">
        <v>10</v>
      </c>
    </row>
    <row r="167" spans="1:21" ht="29" x14ac:dyDescent="0.35">
      <c r="A167" s="14">
        <v>1</v>
      </c>
      <c r="B167" s="14" t="s">
        <v>909</v>
      </c>
      <c r="C167" s="14" t="s">
        <v>910</v>
      </c>
      <c r="D167" s="14" t="s">
        <v>911</v>
      </c>
      <c r="E167" s="14" t="s">
        <v>69</v>
      </c>
      <c r="F167" s="14" t="s">
        <v>284</v>
      </c>
      <c r="G167" s="14" t="s">
        <v>691</v>
      </c>
      <c r="H167" s="14" t="s">
        <v>76</v>
      </c>
      <c r="I167" s="15"/>
      <c r="J167" s="15"/>
      <c r="K167" s="15"/>
      <c r="L167" s="15"/>
      <c r="M167" s="15"/>
      <c r="N167" s="15"/>
      <c r="O167" s="15"/>
      <c r="P167" s="15"/>
      <c r="Q167" s="15"/>
      <c r="R167" s="15"/>
      <c r="S167" s="15"/>
      <c r="T167" s="15"/>
      <c r="U167" s="14" t="str">
        <f t="shared" ref="U167:U174" si="13">IF(I167="","",IF(I167="NA","Grey",IF(I167=2,"Green",IF(I167=1,"Amber","Red"))))</f>
        <v/>
      </c>
    </row>
    <row r="168" spans="1:21" ht="29" x14ac:dyDescent="0.35">
      <c r="A168" s="14">
        <v>2</v>
      </c>
      <c r="B168" s="14" t="s">
        <v>912</v>
      </c>
      <c r="C168" s="14" t="s">
        <v>913</v>
      </c>
      <c r="D168" s="14" t="s">
        <v>911</v>
      </c>
      <c r="E168" s="14" t="s">
        <v>69</v>
      </c>
      <c r="F168" s="14" t="s">
        <v>284</v>
      </c>
      <c r="G168" s="14" t="s">
        <v>691</v>
      </c>
      <c r="H168" s="14" t="s">
        <v>76</v>
      </c>
      <c r="I168" s="15"/>
      <c r="J168" s="15"/>
      <c r="K168" s="15"/>
      <c r="L168" s="15"/>
      <c r="M168" s="15"/>
      <c r="N168" s="15"/>
      <c r="O168" s="15"/>
      <c r="P168" s="15"/>
      <c r="Q168" s="15"/>
      <c r="R168" s="15"/>
      <c r="S168" s="15"/>
      <c r="T168" s="15"/>
      <c r="U168" s="14" t="str">
        <f t="shared" si="13"/>
        <v/>
      </c>
    </row>
    <row r="169" spans="1:21" ht="29" x14ac:dyDescent="0.35">
      <c r="A169" s="14">
        <v>3</v>
      </c>
      <c r="B169" s="14" t="s">
        <v>914</v>
      </c>
      <c r="C169" s="14" t="s">
        <v>915</v>
      </c>
      <c r="D169" s="14" t="s">
        <v>916</v>
      </c>
      <c r="E169" s="14" t="s">
        <v>69</v>
      </c>
      <c r="F169" s="14" t="s">
        <v>284</v>
      </c>
      <c r="G169" s="14" t="s">
        <v>691</v>
      </c>
      <c r="H169" s="14" t="s">
        <v>76</v>
      </c>
      <c r="I169" s="15"/>
      <c r="J169" s="15"/>
      <c r="K169" s="15"/>
      <c r="L169" s="15"/>
      <c r="M169" s="15"/>
      <c r="N169" s="15"/>
      <c r="O169" s="15"/>
      <c r="P169" s="15"/>
      <c r="Q169" s="15"/>
      <c r="R169" s="15"/>
      <c r="S169" s="15"/>
      <c r="T169" s="15"/>
      <c r="U169" s="14" t="str">
        <f t="shared" si="13"/>
        <v/>
      </c>
    </row>
    <row r="170" spans="1:21" ht="29" x14ac:dyDescent="0.35">
      <c r="A170" s="14">
        <v>4</v>
      </c>
      <c r="B170" s="14" t="s">
        <v>917</v>
      </c>
      <c r="C170" s="14" t="s">
        <v>918</v>
      </c>
      <c r="D170" s="14" t="s">
        <v>70</v>
      </c>
      <c r="E170" s="14" t="s">
        <v>690</v>
      </c>
      <c r="F170" s="14" t="s">
        <v>167</v>
      </c>
      <c r="G170" s="14" t="s">
        <v>691</v>
      </c>
      <c r="H170" s="14" t="s">
        <v>59</v>
      </c>
      <c r="I170" s="15"/>
      <c r="J170" s="15"/>
      <c r="K170" s="15"/>
      <c r="L170" s="15"/>
      <c r="M170" s="15"/>
      <c r="N170" s="15"/>
      <c r="O170" s="15"/>
      <c r="P170" s="15"/>
      <c r="Q170" s="15"/>
      <c r="R170" s="15"/>
      <c r="S170" s="15"/>
      <c r="T170" s="15"/>
      <c r="U170" s="14" t="str">
        <f t="shared" si="13"/>
        <v/>
      </c>
    </row>
    <row r="171" spans="1:21" ht="29" x14ac:dyDescent="0.35">
      <c r="A171" s="14">
        <v>5</v>
      </c>
      <c r="B171" s="14" t="s">
        <v>919</v>
      </c>
      <c r="C171" s="14" t="s">
        <v>920</v>
      </c>
      <c r="D171" s="14" t="s">
        <v>921</v>
      </c>
      <c r="E171" s="14" t="s">
        <v>690</v>
      </c>
      <c r="F171" s="14" t="s">
        <v>167</v>
      </c>
      <c r="G171" s="14" t="s">
        <v>691</v>
      </c>
      <c r="H171" s="14" t="s">
        <v>59</v>
      </c>
      <c r="I171" s="15"/>
      <c r="J171" s="15"/>
      <c r="K171" s="15"/>
      <c r="L171" s="15"/>
      <c r="M171" s="15"/>
      <c r="N171" s="15"/>
      <c r="O171" s="15"/>
      <c r="P171" s="15"/>
      <c r="Q171" s="15"/>
      <c r="R171" s="15"/>
      <c r="S171" s="15"/>
      <c r="T171" s="15"/>
      <c r="U171" s="14" t="str">
        <f t="shared" si="13"/>
        <v/>
      </c>
    </row>
    <row r="172" spans="1:21" ht="29" x14ac:dyDescent="0.35">
      <c r="A172" s="14">
        <v>6</v>
      </c>
      <c r="B172" s="14" t="s">
        <v>892</v>
      </c>
      <c r="C172" s="14" t="s">
        <v>922</v>
      </c>
      <c r="D172" s="14" t="s">
        <v>449</v>
      </c>
      <c r="E172" s="14" t="s">
        <v>690</v>
      </c>
      <c r="F172" s="14" t="s">
        <v>167</v>
      </c>
      <c r="G172" s="14" t="s">
        <v>691</v>
      </c>
      <c r="H172" s="14" t="s">
        <v>59</v>
      </c>
      <c r="I172" s="15"/>
      <c r="J172" s="15"/>
      <c r="K172" s="15"/>
      <c r="L172" s="15"/>
      <c r="M172" s="15"/>
      <c r="N172" s="15"/>
      <c r="O172" s="15"/>
      <c r="P172" s="15"/>
      <c r="Q172" s="15"/>
      <c r="R172" s="15"/>
      <c r="S172" s="15"/>
      <c r="T172" s="15"/>
      <c r="U172" s="14" t="str">
        <f t="shared" si="13"/>
        <v/>
      </c>
    </row>
    <row r="173" spans="1:21" ht="29" x14ac:dyDescent="0.35">
      <c r="A173" s="14">
        <v>7</v>
      </c>
      <c r="B173" s="14" t="s">
        <v>923</v>
      </c>
      <c r="C173" s="14" t="s">
        <v>924</v>
      </c>
      <c r="D173" s="14" t="s">
        <v>925</v>
      </c>
      <c r="E173" s="14" t="s">
        <v>690</v>
      </c>
      <c r="F173" s="14" t="s">
        <v>167</v>
      </c>
      <c r="G173" s="14" t="s">
        <v>691</v>
      </c>
      <c r="H173" s="14" t="s">
        <v>59</v>
      </c>
      <c r="I173" s="15"/>
      <c r="J173" s="15"/>
      <c r="K173" s="15"/>
      <c r="L173" s="15"/>
      <c r="M173" s="15"/>
      <c r="N173" s="15"/>
      <c r="O173" s="15"/>
      <c r="P173" s="15"/>
      <c r="Q173" s="15"/>
      <c r="R173" s="15"/>
      <c r="S173" s="15"/>
      <c r="T173" s="15"/>
      <c r="U173" s="14" t="str">
        <f t="shared" si="13"/>
        <v/>
      </c>
    </row>
    <row r="174" spans="1:21" ht="29" x14ac:dyDescent="0.35">
      <c r="A174" s="14">
        <v>8</v>
      </c>
      <c r="B174" s="14" t="s">
        <v>826</v>
      </c>
      <c r="C174" s="14" t="s">
        <v>926</v>
      </c>
      <c r="D174" s="14" t="s">
        <v>927</v>
      </c>
      <c r="E174" s="14" t="s">
        <v>690</v>
      </c>
      <c r="F174" s="14" t="s">
        <v>167</v>
      </c>
      <c r="G174" s="14" t="s">
        <v>691</v>
      </c>
      <c r="H174" s="14" t="s">
        <v>59</v>
      </c>
      <c r="I174" s="15"/>
      <c r="J174" s="15"/>
      <c r="K174" s="15"/>
      <c r="L174" s="15"/>
      <c r="M174" s="15"/>
      <c r="N174" s="15"/>
      <c r="O174" s="15"/>
      <c r="P174" s="15"/>
      <c r="Q174" s="15"/>
      <c r="R174" s="15"/>
      <c r="S174" s="15"/>
      <c r="T174" s="15"/>
      <c r="U174" s="14" t="str">
        <f t="shared" si="13"/>
        <v/>
      </c>
    </row>
  </sheetData>
  <mergeCells count="14">
    <mergeCell ref="A1:U1"/>
    <mergeCell ref="A151:U151"/>
    <mergeCell ref="A47:U47"/>
    <mergeCell ref="A99:U99"/>
    <mergeCell ref="A164:U164"/>
    <mergeCell ref="A138:U138"/>
    <mergeCell ref="A34:U34"/>
    <mergeCell ref="A21:U21"/>
    <mergeCell ref="A2:U2"/>
    <mergeCell ref="A86:U86"/>
    <mergeCell ref="A125:U125"/>
    <mergeCell ref="A60:U60"/>
    <mergeCell ref="A73:U73"/>
    <mergeCell ref="A112:U112"/>
  </mergeCells>
  <dataValidations count="3">
    <dataValidation type="list" allowBlank="1" sqref="I24:I31 I167:I174 I154:I161 I141:I148 I128:I135 I115:I122 I102:I109 I89:I96 I76:I83 I63:I70 I50:I57 I37:I44" xr:uid="{00000000-0002-0000-1600-000000000000}">
      <formula1>"0,1,2,NA"</formula1>
    </dataValidation>
    <dataValidation type="list" allowBlank="1" sqref="H24:H31 H167:H174 H154:H161 H141:H148 H128:H135 H115:H122 H102:H109 H89:H96 H76:H83 H63:H70 H50:H57 H37:H44" xr:uid="{00000000-0002-0000-1600-000001000000}">
      <formula1>"Low,Medium,High,Critical"</formula1>
    </dataValidation>
    <dataValidation type="list" allowBlank="1" sqref="T24:T31 T167:T174 T154:T161 T141:T148 T128:T135 T115:T122 T102:T109 T89:T96 T76:T83 T63:T70 T50:T57 T37:T44" xr:uid="{00000000-0002-0000-1600-000002000000}">
      <formula1>"Not Started,In Progress,Complete,Closed,Escalated"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How to Use</vt:lpstr>
      <vt:lpstr>Annual Audit Schedule</vt:lpstr>
      <vt:lpstr>Missing Audits Dashboard</vt:lpstr>
      <vt:lpstr>Master Action Tracker</vt:lpstr>
      <vt:lpstr>Inspection Evidence Matrix</vt:lpstr>
      <vt:lpstr>Equipment &amp; Maintenance</vt:lpstr>
      <vt:lpstr>Water &amp; Legionella</vt:lpstr>
      <vt:lpstr>Infection Surveillance</vt:lpstr>
      <vt:lpstr>Resident Dignity</vt:lpstr>
      <vt:lpstr>Personnel &amp; Workforce</vt:lpstr>
      <vt:lpstr>Environmental</vt:lpstr>
      <vt:lpstr>Nutrition &amp; Hydration</vt:lpstr>
      <vt:lpstr>Safeguarding &amp; Incidents</vt:lpstr>
      <vt:lpstr>Business Continuity</vt:lpstr>
      <vt:lpstr>End of Life</vt:lpstr>
      <vt:lpstr>Finance &amp; Property</vt:lpstr>
      <vt:lpstr>Consent &amp; Documentation</vt:lpstr>
      <vt:lpstr>Falls Audit</vt:lpstr>
      <vt:lpstr>Pressure Cushion Audit</vt:lpstr>
      <vt:lpstr>Controlled Drugs Audit</vt:lpstr>
      <vt:lpstr>PRN Protocol Audit</vt:lpstr>
      <vt:lpstr>Homely Remedies Audit</vt:lpstr>
      <vt:lpstr>Medication Fridge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Dursha Krishan</dc:creator>
  <cp:lastModifiedBy>Dursha Krishan</cp:lastModifiedBy>
  <dcterms:created xsi:type="dcterms:W3CDTF">2026-06-28T13:54:52Z</dcterms:created>
  <dcterms:modified xsi:type="dcterms:W3CDTF">2026-06-28T21:58:35Z</dcterms:modified>
</cp:coreProperties>
</file>