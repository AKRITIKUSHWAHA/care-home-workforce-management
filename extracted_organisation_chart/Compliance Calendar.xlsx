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9F11AF9D-50DF-4651-A0DD-11E84010EC20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Dashboard" sheetId="1" r:id="rId1"/>
    <sheet name="January" sheetId="2" state="hidden" r:id="rId2"/>
    <sheet name="February" sheetId="3" state="hidden" r:id="rId3"/>
    <sheet name="March" sheetId="4" state="hidden" r:id="rId4"/>
    <sheet name="April" sheetId="5" state="hidden" r:id="rId5"/>
    <sheet name="May" sheetId="6" state="hidden" r:id="rId6"/>
    <sheet name="June" sheetId="7" state="hidden" r:id="rId7"/>
    <sheet name="Instructions" sheetId="21" r:id="rId8"/>
    <sheet name="July" sheetId="8" r:id="rId9"/>
    <sheet name="August" sheetId="9" state="hidden" r:id="rId10"/>
    <sheet name="September" sheetId="10" state="hidden" r:id="rId11"/>
    <sheet name="October" sheetId="11" state="hidden" r:id="rId12"/>
    <sheet name="November" sheetId="12" state="hidden" r:id="rId13"/>
    <sheet name="December" sheetId="13" state="hidden" r:id="rId14"/>
    <sheet name="Weekly" sheetId="14" r:id="rId15"/>
    <sheet name="Fortnightly" sheetId="15" r:id="rId16"/>
    <sheet name="Monthly" sheetId="16" r:id="rId17"/>
    <sheet name="Quarterly" sheetId="17" r:id="rId18"/>
    <sheet name="Six Monthly" sheetId="18" r:id="rId19"/>
    <sheet name="Annual" sheetId="19" r:id="rId20"/>
    <sheet name="Compliance Trackers" sheetId="20" r:id="rId2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20" l="1"/>
  <c r="Q38" i="20"/>
  <c r="P37" i="20"/>
  <c r="Q37" i="20"/>
  <c r="P36" i="20"/>
  <c r="Q36" i="20"/>
  <c r="P35" i="20"/>
  <c r="Q35" i="20"/>
  <c r="P34" i="20"/>
  <c r="Q34" i="20"/>
  <c r="P33" i="20"/>
  <c r="Q33" i="20"/>
  <c r="P32" i="20"/>
  <c r="Q32" i="20"/>
  <c r="P31" i="20"/>
  <c r="Q31" i="20"/>
  <c r="P30" i="20"/>
  <c r="Q30" i="20"/>
  <c r="P29" i="20"/>
  <c r="Q29" i="20"/>
  <c r="P28" i="20"/>
  <c r="Q28" i="20"/>
  <c r="P27" i="20"/>
  <c r="Q27" i="20"/>
  <c r="P26" i="20"/>
  <c r="Q26" i="20"/>
  <c r="P25" i="20"/>
  <c r="Q25" i="20"/>
  <c r="P24" i="20"/>
  <c r="Q24" i="20"/>
  <c r="P23" i="20"/>
  <c r="Q23" i="20"/>
  <c r="P22" i="20"/>
  <c r="Q22" i="20"/>
  <c r="P21" i="20"/>
  <c r="Q21" i="20"/>
  <c r="P20" i="20"/>
  <c r="Q20" i="20"/>
  <c r="P19" i="20"/>
  <c r="Q19" i="20"/>
  <c r="P18" i="20"/>
  <c r="Q18" i="20"/>
  <c r="P17" i="20"/>
  <c r="Q17" i="20"/>
  <c r="P16" i="20"/>
  <c r="Q16" i="20"/>
  <c r="P15" i="20"/>
  <c r="Q15" i="20"/>
  <c r="P14" i="20"/>
  <c r="Q14" i="20"/>
  <c r="P13" i="20"/>
  <c r="Q13" i="20"/>
  <c r="P12" i="20"/>
  <c r="Q12" i="20"/>
  <c r="P11" i="20"/>
  <c r="Q11" i="20"/>
  <c r="P10" i="20"/>
  <c r="Q10" i="20"/>
  <c r="P9" i="20"/>
  <c r="Q9" i="20"/>
  <c r="P8" i="20"/>
  <c r="Q8" i="20"/>
  <c r="P7" i="20"/>
  <c r="Q7" i="20"/>
  <c r="P6" i="20"/>
  <c r="Q6" i="20"/>
  <c r="P5" i="20"/>
  <c r="Q5" i="20"/>
  <c r="P4" i="20"/>
  <c r="Q4" i="20"/>
  <c r="P3" i="20"/>
  <c r="Q3" i="20"/>
  <c r="D13" i="18"/>
  <c r="E13" i="18"/>
  <c r="D12" i="18"/>
  <c r="E12" i="18"/>
  <c r="D11" i="18"/>
  <c r="E11" i="18"/>
  <c r="D10" i="18"/>
  <c r="E10" i="18"/>
  <c r="D9" i="18"/>
  <c r="E9" i="18"/>
  <c r="D8" i="18"/>
  <c r="E8" i="18"/>
  <c r="D7" i="18"/>
  <c r="E7" i="18"/>
  <c r="D6" i="18"/>
  <c r="E6" i="18"/>
  <c r="D5" i="18"/>
  <c r="E5" i="18"/>
  <c r="D4" i="18"/>
  <c r="E4" i="18"/>
  <c r="D3" i="18"/>
  <c r="E3" i="18"/>
  <c r="F18" i="17"/>
  <c r="G18" i="17"/>
  <c r="F17" i="17"/>
  <c r="G17" i="17"/>
  <c r="F16" i="17"/>
  <c r="G16" i="17"/>
  <c r="F15" i="17"/>
  <c r="G15" i="17"/>
  <c r="F14" i="17"/>
  <c r="G14" i="17"/>
  <c r="F13" i="17"/>
  <c r="G13" i="17"/>
  <c r="F12" i="17"/>
  <c r="G12" i="17"/>
  <c r="F11" i="17"/>
  <c r="G11" i="17"/>
  <c r="F10" i="17"/>
  <c r="G10" i="17"/>
  <c r="F9" i="17"/>
  <c r="G9" i="17"/>
  <c r="F8" i="17"/>
  <c r="G8" i="17"/>
  <c r="F7" i="17"/>
  <c r="G7" i="17"/>
  <c r="F6" i="17"/>
  <c r="G6" i="17"/>
  <c r="F5" i="17"/>
  <c r="G5" i="17"/>
  <c r="F4" i="17"/>
  <c r="G4" i="17"/>
  <c r="F3" i="17"/>
  <c r="G3" i="17"/>
  <c r="N30" i="16"/>
  <c r="O30" i="16"/>
  <c r="N29" i="16"/>
  <c r="O29" i="16"/>
  <c r="N28" i="16"/>
  <c r="O28" i="16"/>
  <c r="N27" i="16"/>
  <c r="O27" i="16"/>
  <c r="N26" i="16"/>
  <c r="O26" i="16"/>
  <c r="N25" i="16"/>
  <c r="O25" i="16"/>
  <c r="N24" i="16"/>
  <c r="O24" i="16"/>
  <c r="N23" i="16"/>
  <c r="O23" i="16"/>
  <c r="N22" i="16"/>
  <c r="O22" i="16"/>
  <c r="N21" i="16"/>
  <c r="O21" i="16"/>
  <c r="N20" i="16"/>
  <c r="O20" i="16"/>
  <c r="N19" i="16"/>
  <c r="O19" i="16"/>
  <c r="N18" i="16"/>
  <c r="O18" i="16"/>
  <c r="N17" i="16"/>
  <c r="O17" i="16"/>
  <c r="N16" i="16"/>
  <c r="O16" i="16"/>
  <c r="N15" i="16"/>
  <c r="O15" i="16"/>
  <c r="N14" i="16"/>
  <c r="O14" i="16"/>
  <c r="N13" i="16"/>
  <c r="O13" i="16"/>
  <c r="N12" i="16"/>
  <c r="O12" i="16"/>
  <c r="N11" i="16"/>
  <c r="O11" i="16"/>
  <c r="N10" i="16"/>
  <c r="O10" i="16"/>
  <c r="N9" i="16"/>
  <c r="O9" i="16"/>
  <c r="N8" i="16"/>
  <c r="O8" i="16"/>
  <c r="N7" i="16"/>
  <c r="O7" i="16"/>
  <c r="N6" i="16"/>
  <c r="O6" i="16"/>
  <c r="N5" i="16"/>
  <c r="O5" i="16"/>
  <c r="N4" i="16"/>
  <c r="O4" i="16"/>
  <c r="N3" i="16"/>
  <c r="O3" i="16"/>
  <c r="Z11" i="15"/>
  <c r="AA11" i="15"/>
  <c r="Z10" i="15"/>
  <c r="AA10" i="15"/>
  <c r="Z9" i="15"/>
  <c r="AA9" i="15"/>
  <c r="Z8" i="15"/>
  <c r="AA8" i="15"/>
  <c r="Z7" i="15"/>
  <c r="AA7" i="15"/>
  <c r="Z6" i="15"/>
  <c r="AA6" i="15"/>
  <c r="Z5" i="15"/>
  <c r="AA5" i="15"/>
  <c r="Z4" i="15"/>
  <c r="AA4" i="15"/>
  <c r="Z3" i="15"/>
  <c r="AA3" i="15"/>
  <c r="BJ22" i="14"/>
  <c r="BK22" i="14"/>
  <c r="BJ21" i="14"/>
  <c r="BK21" i="14"/>
  <c r="BJ20" i="14"/>
  <c r="BK20" i="14"/>
  <c r="BJ19" i="14"/>
  <c r="BK19" i="14"/>
  <c r="BJ18" i="14"/>
  <c r="BK18" i="14"/>
  <c r="BJ17" i="14"/>
  <c r="BK17" i="14"/>
  <c r="BJ16" i="14"/>
  <c r="BK16" i="14"/>
  <c r="BJ15" i="14"/>
  <c r="BK15" i="14"/>
  <c r="BJ14" i="14"/>
  <c r="BK14" i="14"/>
  <c r="BJ13" i="14"/>
  <c r="BK13" i="14"/>
  <c r="BJ12" i="14"/>
  <c r="BK12" i="14"/>
  <c r="BJ11" i="14"/>
  <c r="BK11" i="14"/>
  <c r="BJ10" i="14"/>
  <c r="BK10" i="14"/>
  <c r="BJ9" i="14"/>
  <c r="BK9" i="14"/>
  <c r="BJ8" i="14"/>
  <c r="BK8" i="14"/>
  <c r="BJ7" i="14"/>
  <c r="BK7" i="14"/>
  <c r="BJ6" i="14"/>
  <c r="BK6" i="14"/>
  <c r="BJ5" i="14"/>
  <c r="BK5" i="14"/>
  <c r="BJ4" i="14"/>
  <c r="BK4" i="14"/>
  <c r="BJ3" i="14"/>
  <c r="BK3" i="14"/>
  <c r="AG15" i="13"/>
  <c r="AH15" i="13"/>
  <c r="AG14" i="13"/>
  <c r="AH14" i="13"/>
  <c r="AG13" i="13"/>
  <c r="AH13" i="13"/>
  <c r="AG12" i="13"/>
  <c r="AH12" i="13"/>
  <c r="AG11" i="13"/>
  <c r="AH11" i="13"/>
  <c r="AG10" i="13"/>
  <c r="AH10" i="13"/>
  <c r="AG9" i="13"/>
  <c r="AH9" i="13"/>
  <c r="AG8" i="13"/>
  <c r="AH8" i="13"/>
  <c r="AG7" i="13"/>
  <c r="AH7" i="13"/>
  <c r="AG6" i="13"/>
  <c r="AH6" i="13"/>
  <c r="AG5" i="13"/>
  <c r="AH5" i="13"/>
  <c r="AG4" i="13"/>
  <c r="AH4" i="13"/>
  <c r="AG3" i="13"/>
  <c r="AH3" i="13"/>
  <c r="AG15" i="12"/>
  <c r="AH15" i="12"/>
  <c r="AG14" i="12"/>
  <c r="AH14" i="12"/>
  <c r="AG13" i="12"/>
  <c r="AH13" i="12"/>
  <c r="AG12" i="12"/>
  <c r="AH12" i="12"/>
  <c r="AG11" i="12"/>
  <c r="AH11" i="12"/>
  <c r="AG10" i="12"/>
  <c r="AH10" i="12"/>
  <c r="AG9" i="12"/>
  <c r="AH9" i="12"/>
  <c r="AG8" i="12"/>
  <c r="AH8" i="12"/>
  <c r="AG7" i="12"/>
  <c r="AH7" i="12"/>
  <c r="AG6" i="12"/>
  <c r="AH6" i="12"/>
  <c r="AG5" i="12"/>
  <c r="AH5" i="12"/>
  <c r="AG4" i="12"/>
  <c r="AH4" i="12"/>
  <c r="AG3" i="12"/>
  <c r="AH3" i="12"/>
  <c r="AG15" i="11"/>
  <c r="AH15" i="11"/>
  <c r="AG14" i="11"/>
  <c r="AH14" i="11"/>
  <c r="AG13" i="11"/>
  <c r="AH13" i="11"/>
  <c r="AG12" i="11"/>
  <c r="AH12" i="11"/>
  <c r="AG11" i="11"/>
  <c r="AH11" i="11"/>
  <c r="AG10" i="11"/>
  <c r="AH10" i="11"/>
  <c r="AG9" i="11"/>
  <c r="AH9" i="11"/>
  <c r="AG8" i="11"/>
  <c r="AH8" i="11"/>
  <c r="AG7" i="11"/>
  <c r="AH7" i="11"/>
  <c r="AG6" i="11"/>
  <c r="AH6" i="11"/>
  <c r="AG5" i="11"/>
  <c r="AH5" i="11"/>
  <c r="AG4" i="11"/>
  <c r="AH4" i="11"/>
  <c r="AG3" i="11"/>
  <c r="AH3" i="11"/>
  <c r="AG15" i="10"/>
  <c r="AH15" i="10"/>
  <c r="AG14" i="10"/>
  <c r="AH14" i="10"/>
  <c r="AG13" i="10"/>
  <c r="AH13" i="10"/>
  <c r="AG12" i="10"/>
  <c r="AH12" i="10"/>
  <c r="AG11" i="10"/>
  <c r="AH11" i="10"/>
  <c r="AG10" i="10"/>
  <c r="AH10" i="10"/>
  <c r="AG9" i="10"/>
  <c r="AH9" i="10"/>
  <c r="AG8" i="10"/>
  <c r="AH8" i="10"/>
  <c r="AG7" i="10"/>
  <c r="AH7" i="10"/>
  <c r="AG6" i="10"/>
  <c r="AH6" i="10"/>
  <c r="AG5" i="10"/>
  <c r="AH5" i="10"/>
  <c r="AG4" i="10"/>
  <c r="AH4" i="10"/>
  <c r="AG3" i="10"/>
  <c r="AH3" i="10"/>
  <c r="AG15" i="9"/>
  <c r="AH15" i="9"/>
  <c r="AG14" i="9"/>
  <c r="AH14" i="9"/>
  <c r="AG13" i="9"/>
  <c r="AH13" i="9"/>
  <c r="AG12" i="9"/>
  <c r="AH12" i="9"/>
  <c r="AG11" i="9"/>
  <c r="AH11" i="9"/>
  <c r="AG10" i="9"/>
  <c r="AH10" i="9"/>
  <c r="AG9" i="9"/>
  <c r="AH9" i="9"/>
  <c r="AG8" i="9"/>
  <c r="AH8" i="9"/>
  <c r="AG7" i="9"/>
  <c r="AH7" i="9"/>
  <c r="AG6" i="9"/>
  <c r="AH6" i="9"/>
  <c r="AG5" i="9"/>
  <c r="AH5" i="9"/>
  <c r="AG4" i="9"/>
  <c r="AH4" i="9"/>
  <c r="AG3" i="9"/>
  <c r="AH3" i="9"/>
  <c r="AG15" i="8"/>
  <c r="AH15" i="8"/>
  <c r="AG14" i="8"/>
  <c r="AH14" i="8"/>
  <c r="AG13" i="8"/>
  <c r="AH13" i="8"/>
  <c r="AG12" i="8"/>
  <c r="AH12" i="8"/>
  <c r="AG11" i="8"/>
  <c r="AH11" i="8"/>
  <c r="AG10" i="8"/>
  <c r="AH10" i="8"/>
  <c r="AG9" i="8"/>
  <c r="AH9" i="8"/>
  <c r="AG8" i="8"/>
  <c r="AH8" i="8"/>
  <c r="AG7" i="8"/>
  <c r="AH7" i="8"/>
  <c r="AG6" i="8"/>
  <c r="AH6" i="8"/>
  <c r="AG5" i="8"/>
  <c r="AH5" i="8"/>
  <c r="AG4" i="8"/>
  <c r="AH4" i="8"/>
  <c r="AG3" i="8"/>
  <c r="AH3" i="8"/>
  <c r="AG15" i="7"/>
  <c r="AH15" i="7"/>
  <c r="AG14" i="7"/>
  <c r="AH14" i="7"/>
  <c r="AG13" i="7"/>
  <c r="AH13" i="7"/>
  <c r="AG12" i="7"/>
  <c r="AH12" i="7"/>
  <c r="AG11" i="7"/>
  <c r="AH11" i="7"/>
  <c r="AG10" i="7"/>
  <c r="AH10" i="7"/>
  <c r="AG9" i="7"/>
  <c r="AH9" i="7"/>
  <c r="AG8" i="7"/>
  <c r="AH8" i="7"/>
  <c r="AG7" i="7"/>
  <c r="AH7" i="7"/>
  <c r="AG6" i="7"/>
  <c r="AH6" i="7"/>
  <c r="AG5" i="7"/>
  <c r="AH5" i="7"/>
  <c r="AG4" i="7"/>
  <c r="AH4" i="7"/>
  <c r="AG3" i="7"/>
  <c r="AH3" i="7"/>
  <c r="AG15" i="6"/>
  <c r="AH15" i="6"/>
  <c r="AG14" i="6"/>
  <c r="AH14" i="6"/>
  <c r="AG13" i="6"/>
  <c r="AH13" i="6"/>
  <c r="AG12" i="6"/>
  <c r="AH12" i="6"/>
  <c r="AG11" i="6"/>
  <c r="AH11" i="6"/>
  <c r="AG10" i="6"/>
  <c r="AH10" i="6"/>
  <c r="AG9" i="6"/>
  <c r="AH9" i="6"/>
  <c r="AG8" i="6"/>
  <c r="AH8" i="6"/>
  <c r="AG7" i="6"/>
  <c r="AH7" i="6"/>
  <c r="AG6" i="6"/>
  <c r="AH6" i="6"/>
  <c r="AG5" i="6"/>
  <c r="AH5" i="6"/>
  <c r="AG4" i="6"/>
  <c r="AH4" i="6"/>
  <c r="AG3" i="6"/>
  <c r="AH3" i="6"/>
  <c r="AG15" i="5"/>
  <c r="AH15" i="5"/>
  <c r="AG14" i="5"/>
  <c r="AH14" i="5"/>
  <c r="AG13" i="5"/>
  <c r="AH13" i="5"/>
  <c r="AG12" i="5"/>
  <c r="AH12" i="5"/>
  <c r="AG11" i="5"/>
  <c r="AH11" i="5"/>
  <c r="AG10" i="5"/>
  <c r="AH10" i="5"/>
  <c r="AG9" i="5"/>
  <c r="AH9" i="5"/>
  <c r="AG8" i="5"/>
  <c r="AH8" i="5"/>
  <c r="AG7" i="5"/>
  <c r="AH7" i="5"/>
  <c r="AG6" i="5"/>
  <c r="AH6" i="5"/>
  <c r="AG5" i="5"/>
  <c r="AH5" i="5"/>
  <c r="AG4" i="5"/>
  <c r="AH4" i="5"/>
  <c r="AG3" i="5"/>
  <c r="AH3" i="5"/>
  <c r="AG15" i="4"/>
  <c r="AH15" i="4"/>
  <c r="AG14" i="4"/>
  <c r="AH14" i="4"/>
  <c r="AG13" i="4"/>
  <c r="AH13" i="4"/>
  <c r="AG12" i="4"/>
  <c r="AH12" i="4"/>
  <c r="AG11" i="4"/>
  <c r="AH11" i="4"/>
  <c r="AG10" i="4"/>
  <c r="AH10" i="4"/>
  <c r="AG9" i="4"/>
  <c r="AH9" i="4"/>
  <c r="AG8" i="4"/>
  <c r="AH8" i="4"/>
  <c r="AG7" i="4"/>
  <c r="AH7" i="4"/>
  <c r="AG6" i="4"/>
  <c r="AH6" i="4"/>
  <c r="AG5" i="4"/>
  <c r="AH5" i="4"/>
  <c r="AG4" i="4"/>
  <c r="AH4" i="4"/>
  <c r="AG3" i="4"/>
  <c r="AH3" i="4"/>
  <c r="AG15" i="3"/>
  <c r="AH15" i="3"/>
  <c r="AG14" i="3"/>
  <c r="AH14" i="3"/>
  <c r="AG13" i="3"/>
  <c r="AH13" i="3"/>
  <c r="AG12" i="3"/>
  <c r="AH12" i="3"/>
  <c r="AG11" i="3"/>
  <c r="AH11" i="3"/>
  <c r="AG10" i="3"/>
  <c r="AH10" i="3"/>
  <c r="AG9" i="3"/>
  <c r="AH9" i="3"/>
  <c r="AG8" i="3"/>
  <c r="AH8" i="3"/>
  <c r="AG7" i="3"/>
  <c r="AH7" i="3"/>
  <c r="AG6" i="3"/>
  <c r="AH6" i="3"/>
  <c r="AG5" i="3"/>
  <c r="AH5" i="3"/>
  <c r="AG4" i="3"/>
  <c r="AH4" i="3"/>
  <c r="AG3" i="3"/>
  <c r="AH3" i="3"/>
  <c r="AG15" i="2"/>
  <c r="AH15" i="2"/>
  <c r="AG14" i="2"/>
  <c r="AH14" i="2"/>
  <c r="AG13" i="2"/>
  <c r="AH13" i="2"/>
  <c r="AG12" i="2"/>
  <c r="AH12" i="2"/>
  <c r="AG11" i="2"/>
  <c r="AH11" i="2"/>
  <c r="AG10" i="2"/>
  <c r="AH10" i="2"/>
  <c r="AG9" i="2"/>
  <c r="AH9" i="2"/>
  <c r="AG8" i="2"/>
  <c r="AH8" i="2"/>
  <c r="AG7" i="2"/>
  <c r="AH7" i="2"/>
  <c r="AG6" i="2"/>
  <c r="AH6" i="2"/>
  <c r="AG5" i="2"/>
  <c r="AH5" i="2"/>
  <c r="AG4" i="2"/>
  <c r="AH4" i="2"/>
  <c r="AG3" i="2"/>
  <c r="AH3" i="2"/>
</calcChain>
</file>

<file path=xl/sharedStrings.xml><?xml version="1.0" encoding="utf-8"?>
<sst xmlns="http://schemas.openxmlformats.org/spreadsheetml/2006/main" count="7856" uniqueCount="326">
  <si>
    <t>Elderly Care Home Annual Compliance Calendar 2026</t>
  </si>
  <si>
    <t>Section</t>
  </si>
  <si>
    <t>What this sheet is for</t>
  </si>
  <si>
    <t>Total Tasks</t>
  </si>
  <si>
    <t>Completed</t>
  </si>
  <si>
    <t>N/A</t>
  </si>
  <si>
    <t>Completion %</t>
  </si>
  <si>
    <t>Owner</t>
  </si>
  <si>
    <t>Notes</t>
  </si>
  <si>
    <t>Daily Month Tabs</t>
  </si>
  <si>
    <t>Each month has day numbers across the top and daily tasks down the rows.</t>
  </si>
  <si>
    <t>RM</t>
  </si>
  <si>
    <t>Use dropdown tick cells: ☐ / ☑ / N/A</t>
  </si>
  <si>
    <t>Weekly</t>
  </si>
  <si>
    <t>Tasks down rows; months/weeks across columns.</t>
  </si>
  <si>
    <t>Fortnightly</t>
  </si>
  <si>
    <t>Tasks down rows; first half and second half for each month across columns.</t>
  </si>
  <si>
    <t>Monthly</t>
  </si>
  <si>
    <t>Tasks down rows; months across columns.</t>
  </si>
  <si>
    <t>RM/NI</t>
  </si>
  <si>
    <t>Quarterly</t>
  </si>
  <si>
    <t>Tasks down rows; Q1–Q4 across columns.</t>
  </si>
  <si>
    <t>NI/RM</t>
  </si>
  <si>
    <t>Six Monthly</t>
  </si>
  <si>
    <t>Tasks down rows; January and July across columns.</t>
  </si>
  <si>
    <t>Annual</t>
  </si>
  <si>
    <t>Annual statutory/governance tasks.</t>
  </si>
  <si>
    <t>NI</t>
  </si>
  <si>
    <t>Compliance Trackers</t>
  </si>
  <si>
    <t>Tracker list with monthly review columns.</t>
  </si>
  <si>
    <t>January 2026 - DAILY COMPLIANCE CHECKLIST</t>
  </si>
  <si>
    <t>Daily Task</t>
  </si>
  <si>
    <t>Notes/Evidence</t>
  </si>
  <si>
    <t>Handover</t>
  </si>
  <si>
    <t>☐</t>
  </si>
  <si>
    <t>Medication checks</t>
  </si>
  <si>
    <t>Care notes review</t>
  </si>
  <si>
    <t>Incidents review</t>
  </si>
  <si>
    <t>Safeguarding review</t>
  </si>
  <si>
    <t>Staffing review</t>
  </si>
  <si>
    <t>Dependency review</t>
  </si>
  <si>
    <t>Environmental walkaround</t>
  </si>
  <si>
    <t>Infection prevention checks</t>
  </si>
  <si>
    <t>Call bell checks</t>
  </si>
  <si>
    <t>Resident wellbeing review</t>
  </si>
  <si>
    <t>Complaints review</t>
  </si>
  <si>
    <t>Maintenance log update</t>
  </si>
  <si>
    <t>February 2026 - DAILY COMPLIANCE CHECKLIST</t>
  </si>
  <si>
    <t>March 2026 - DAILY COMPLIANCE CHECKLIST</t>
  </si>
  <si>
    <t>April 2026 - DAILY COMPLIANCE CHECKLIST</t>
  </si>
  <si>
    <t>May 2026 - DAILY COMPLIANCE CHECKLIST</t>
  </si>
  <si>
    <t>June 2026 - DAILY COMPLIANCE CHECKLIST</t>
  </si>
  <si>
    <t>July 2026 - DAILY COMPLIANCE CHECKLIST</t>
  </si>
  <si>
    <t>August 2026 - DAILY COMPLIANCE CHECKLIST</t>
  </si>
  <si>
    <t>September 2026 - DAILY COMPLIANCE CHECKLIST</t>
  </si>
  <si>
    <t>October 2026 - DAILY COMPLIANCE CHECKLIST</t>
  </si>
  <si>
    <t>November 2026 - DAILY COMPLIANCE CHECKLIST</t>
  </si>
  <si>
    <t>December 2026 - DAILY COMPLIANCE CHECKLIST</t>
  </si>
  <si>
    <t>WEEKLY COMPLIANCE CHECKLIST - TASKS DOWN ROWS, WEEKS ACROSS COLUMNS</t>
  </si>
  <si>
    <t>Task</t>
  </si>
  <si>
    <t>Jan W1</t>
  </si>
  <si>
    <t>Jan W2</t>
  </si>
  <si>
    <t>Jan W3</t>
  </si>
  <si>
    <t>Jan W4</t>
  </si>
  <si>
    <t>Jan W5</t>
  </si>
  <si>
    <t>Feb W1</t>
  </si>
  <si>
    <t>Feb W2</t>
  </si>
  <si>
    <t>Feb W3</t>
  </si>
  <si>
    <t>Feb W4</t>
  </si>
  <si>
    <t>Feb W5</t>
  </si>
  <si>
    <t>Mar W1</t>
  </si>
  <si>
    <t>Mar W2</t>
  </si>
  <si>
    <t>Mar W3</t>
  </si>
  <si>
    <t>Mar W4</t>
  </si>
  <si>
    <t>Mar W5</t>
  </si>
  <si>
    <t>Apr W1</t>
  </si>
  <si>
    <t>Apr W2</t>
  </si>
  <si>
    <t>Apr W3</t>
  </si>
  <si>
    <t>Apr W4</t>
  </si>
  <si>
    <t>Apr W5</t>
  </si>
  <si>
    <t>May W1</t>
  </si>
  <si>
    <t>May W2</t>
  </si>
  <si>
    <t>May W3</t>
  </si>
  <si>
    <t>May W4</t>
  </si>
  <si>
    <t>May W5</t>
  </si>
  <si>
    <t>Jun W1</t>
  </si>
  <si>
    <t>Jun W2</t>
  </si>
  <si>
    <t>Jun W3</t>
  </si>
  <si>
    <t>Jun W4</t>
  </si>
  <si>
    <t>Jun W5</t>
  </si>
  <si>
    <t>Jul W1</t>
  </si>
  <si>
    <t>Jul W2</t>
  </si>
  <si>
    <t>Jul W3</t>
  </si>
  <si>
    <t>Jul W4</t>
  </si>
  <si>
    <t>Jul W5</t>
  </si>
  <si>
    <t>Aug W1</t>
  </si>
  <si>
    <t>Aug W2</t>
  </si>
  <si>
    <t>Aug W3</t>
  </si>
  <si>
    <t>Aug W4</t>
  </si>
  <si>
    <t>Aug W5</t>
  </si>
  <si>
    <t>Sep W1</t>
  </si>
  <si>
    <t>Sep W2</t>
  </si>
  <si>
    <t>Sep W3</t>
  </si>
  <si>
    <t>Sep W4</t>
  </si>
  <si>
    <t>Sep W5</t>
  </si>
  <si>
    <t>Oct W1</t>
  </si>
  <si>
    <t>Oct W2</t>
  </si>
  <si>
    <t>Oct W3</t>
  </si>
  <si>
    <t>Oct W4</t>
  </si>
  <si>
    <t>Oct W5</t>
  </si>
  <si>
    <t>Nov W1</t>
  </si>
  <si>
    <t>Nov W2</t>
  </si>
  <si>
    <t>Nov W3</t>
  </si>
  <si>
    <t>Nov W4</t>
  </si>
  <si>
    <t>Nov W5</t>
  </si>
  <si>
    <t>Dec W1</t>
  </si>
  <si>
    <t>Dec W2</t>
  </si>
  <si>
    <t>Dec W3</t>
  </si>
  <si>
    <t>Dec W4</t>
  </si>
  <si>
    <t>Dec W5</t>
  </si>
  <si>
    <t>Evidence/Notes</t>
  </si>
  <si>
    <t>Fire alarm test</t>
  </si>
  <si>
    <t>Emergency lighting function test</t>
  </si>
  <si>
    <t>Water temperature checks</t>
  </si>
  <si>
    <t>Mattress checks</t>
  </si>
  <si>
    <t>Wheelchairs/hoists visual checks</t>
  </si>
  <si>
    <t>Medication audit</t>
  </si>
  <si>
    <t>Infection control audit</t>
  </si>
  <si>
    <t>Care plan audit</t>
  </si>
  <si>
    <t>Kitchen audit</t>
  </si>
  <si>
    <t>Cleaning audit</t>
  </si>
  <si>
    <t>Accidents review</t>
  </si>
  <si>
    <t>Falls review</t>
  </si>
  <si>
    <t>Governance meeting</t>
  </si>
  <si>
    <t>Occupancy review</t>
  </si>
  <si>
    <t>Dependency tool</t>
  </si>
  <si>
    <t>Resident meetings</t>
  </si>
  <si>
    <t>Activities review</t>
  </si>
  <si>
    <t>Maintenance inspection</t>
  </si>
  <si>
    <t>FORTNIGHTLY COMPLIANCE CHECKLIST</t>
  </si>
  <si>
    <t>Jan 1st Half</t>
  </si>
  <si>
    <t>Jan 2nd Half</t>
  </si>
  <si>
    <t>Feb 1st Half</t>
  </si>
  <si>
    <t>Feb 2nd Half</t>
  </si>
  <si>
    <t>Mar 1st Half</t>
  </si>
  <si>
    <t>Mar 2nd Half</t>
  </si>
  <si>
    <t>Apr 1st Half</t>
  </si>
  <si>
    <t>Apr 2nd Half</t>
  </si>
  <si>
    <t>May 1st Half</t>
  </si>
  <si>
    <t>May 2nd Half</t>
  </si>
  <si>
    <t>Jun 1st Half</t>
  </si>
  <si>
    <t>Jun 2nd Half</t>
  </si>
  <si>
    <t>Jul 1st Half</t>
  </si>
  <si>
    <t>Jul 2nd Half</t>
  </si>
  <si>
    <t>Aug 1st Half</t>
  </si>
  <si>
    <t>Aug 2nd Half</t>
  </si>
  <si>
    <t>Sep 1st Half</t>
  </si>
  <si>
    <t>Sep 2nd Half</t>
  </si>
  <si>
    <t>Oct 1st Half</t>
  </si>
  <si>
    <t>Oct 2nd Half</t>
  </si>
  <si>
    <t>Nov 1st Half</t>
  </si>
  <si>
    <t>Nov 2nd Half</t>
  </si>
  <si>
    <t>Dec 1st Half</t>
  </si>
  <si>
    <t>Dec 2nd Half</t>
  </si>
  <si>
    <t>Supervisions</t>
  </si>
  <si>
    <t>Competency observations</t>
  </si>
  <si>
    <t>Spot checks</t>
  </si>
  <si>
    <t>Night visits</t>
  </si>
  <si>
    <t>Resident weight review</t>
  </si>
  <si>
    <t>Fluid/nutrition audit</t>
  </si>
  <si>
    <t>Pressure care audit</t>
  </si>
  <si>
    <t>Documentation audit</t>
  </si>
  <si>
    <t>Family communication review</t>
  </si>
  <si>
    <t>MONTHLY COMPLIANCE CHECKLIST - MONTHS ACROSS COLUMNS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</si>
  <si>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</si>
  <si>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</si>
  <si>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</si>
  <si>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</si>
  <si>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</si>
  <si>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</si>
  <si>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</si>
  <si>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</si>
  <si>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</si>
  <si>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</si>
  <si>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</si>
  <si>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</si>
  <si>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Fire drill</t>
  </si>
  <si>
    <t>Evacuation equipment checks</t>
  </si>
  <si>
    <t>Emergency lighting inspection</t>
  </si>
  <si>
    <t>Fire door inspection</t>
  </si>
  <si>
    <t>Health &amp; safety audit</t>
  </si>
  <si>
    <t>Governance audit</t>
  </si>
  <si>
    <t>Provider/Nominated Individual visit</t>
  </si>
  <si>
    <t>KPI dashboard</t>
  </si>
  <si>
    <t>Training compliance review</t>
  </si>
  <si>
    <t>Appraisal tracker review</t>
  </si>
  <si>
    <t>Complaints audit</t>
  </si>
  <si>
    <t>Compliments audit</t>
  </si>
  <si>
    <t>Safeguarding audit</t>
  </si>
  <si>
    <t>Incidents audit</t>
  </si>
  <si>
    <t>Environmental audit</t>
  </si>
  <si>
    <t>Infection prevention audit</t>
  </si>
  <si>
    <t>Laundry audit</t>
  </si>
  <si>
    <t>Catering audit</t>
  </si>
  <si>
    <t>Maintenance audit</t>
  </si>
  <si>
    <t>Equipment register review</t>
  </si>
  <si>
    <t>Resident finance audit</t>
  </si>
  <si>
    <t>Petty cash audit</t>
  </si>
  <si>
    <t>Valuables audit</t>
  </si>
  <si>
    <t>Social media review</t>
  </si>
  <si>
    <t>Website review</t>
  </si>
  <si>
    <t>Occupancy and enquiry review</t>
  </si>
  <si>
    <t>Business continuity review</t>
  </si>
  <si>
    <t>QUARTERLY COMPLIANCE CHECKLIST</t>
  </si>
  <si>
    <t>Q1 Jan-Mar</t>
  </si>
  <si>
    <t>Q2 Apr-Jun</t>
  </si>
  <si>
    <t>Q3 Jul-Sep</t>
  </si>
  <si>
    <t>Q4 Oct-Dec</t>
  </si>
  <si>
    <t>Mock CQC inspection</t>
  </si>
  <si>
    <t>Full governance review</t>
  </si>
  <si>
    <t>Policy review programme</t>
  </si>
  <si>
    <t>Quality assurance report</t>
  </si>
  <si>
    <t>Resident survey</t>
  </si>
  <si>
    <t>Relative survey</t>
  </si>
  <si>
    <t>Staff survey</t>
  </si>
  <si>
    <t>Business risk review</t>
  </si>
  <si>
    <t>Service improvement plan review</t>
  </si>
  <si>
    <t>Emergency preparedness exercise</t>
  </si>
  <si>
    <t>Contractor review</t>
  </si>
  <si>
    <t>Health &amp; safety meeting</t>
  </si>
  <si>
    <t>Medicines competency assessments</t>
  </si>
  <si>
    <t>Moving &amp; handling competency</t>
  </si>
  <si>
    <t>Safeguarding competency</t>
  </si>
  <si>
    <t>Fire competency</t>
  </si>
  <si>
    <t>SIX-MONTHLY COMPLIANCE CHECKLIST</t>
  </si>
  <si>
    <t>Appraisals (if not annual)</t>
  </si>
  <si>
    <t>Full care plan review</t>
  </si>
  <si>
    <t>Equipment servicing review</t>
  </si>
  <si>
    <t>COSHH review</t>
  </si>
  <si>
    <t>Legionella review</t>
  </si>
  <si>
    <t>Business continuity test</t>
  </si>
  <si>
    <t>Infection prevention deep audit</t>
  </si>
  <si>
    <t>Recruitment file audit</t>
  </si>
  <si>
    <t>Personnel file audit</t>
  </si>
  <si>
    <t>HR compliance audit</t>
  </si>
  <si>
    <t>ANNUAL COMPLIANCE CHECKLIST</t>
  </si>
  <si>
    <t>Annual Task</t>
  </si>
  <si>
    <t>Suggested Due Month</t>
  </si>
  <si>
    <t>Completion Date</t>
  </si>
  <si>
    <t>Evidence Location</t>
  </si>
  <si>
    <t>RAG</t>
  </si>
  <si>
    <t>Fire Risk Assessment review</t>
  </si>
  <si>
    <t>Health &amp; Safety review</t>
  </si>
  <si>
    <t>Statement of Purpose review</t>
  </si>
  <si>
    <t>Annual Quality Report</t>
  </si>
  <si>
    <t>Annual Governance Report</t>
  </si>
  <si>
    <t>Insurance renewal</t>
  </si>
  <si>
    <t>Gas Safety Certificate</t>
  </si>
  <si>
    <t>Electrical Installation Condition Report (as required)</t>
  </si>
  <si>
    <t>As required</t>
  </si>
  <si>
    <t>LOLER</t>
  </si>
  <si>
    <t>PAT programme</t>
  </si>
  <si>
    <t>Water Risk Assessment review</t>
  </si>
  <si>
    <t>Asbestos review</t>
  </si>
  <si>
    <t>Policy review</t>
  </si>
  <si>
    <t>Staff declarations</t>
  </si>
  <si>
    <t>DBS monitoring</t>
  </si>
  <si>
    <t>Business Continuity Plan review</t>
  </si>
  <si>
    <t>Data Protection review</t>
  </si>
  <si>
    <t>GDPR audit</t>
  </si>
  <si>
    <t>CQC PIR (when requested)</t>
  </si>
  <si>
    <t>When requested</t>
  </si>
  <si>
    <t>Training needs analysis</t>
  </si>
  <si>
    <t>Budget review</t>
  </si>
  <si>
    <t>Strategic business plan review</t>
  </si>
  <si>
    <t>COMPLIANCE TRACKERS REVIEW CALENDAR</t>
  </si>
  <si>
    <t>Tracker</t>
  </si>
  <si>
    <t>CQC Action Tracker</t>
  </si>
  <si>
    <t>Audit Tracker</t>
  </si>
  <si>
    <t>Policy Review Tracker</t>
  </si>
  <si>
    <t>Training Matrix</t>
  </si>
  <si>
    <t>Supervision Tracker</t>
  </si>
  <si>
    <t>Appraisal Tracker</t>
  </si>
  <si>
    <t>Competency Tracker</t>
  </si>
  <si>
    <t>Recruitment Tracker</t>
  </si>
  <si>
    <t>DBS Tracker</t>
  </si>
  <si>
    <t>Right to Work Tracker</t>
  </si>
  <si>
    <t>Fire Action Tracker</t>
  </si>
  <si>
    <t>Health &amp; Safety Action Tracker</t>
  </si>
  <si>
    <t>Maintenance Tracker</t>
  </si>
  <si>
    <t>Equipment Service Tracker</t>
  </si>
  <si>
    <t>Medication Error Tracker</t>
  </si>
  <si>
    <t>Falls Tracker</t>
  </si>
  <si>
    <t>Pressure Ulcer Tracker</t>
  </si>
  <si>
    <t>Weight Loss Tracker</t>
  </si>
  <si>
    <t>Infection Tracker</t>
  </si>
  <si>
    <t>Hospital Admissions Tracker</t>
  </si>
  <si>
    <t>Safeguarding Tracker</t>
  </si>
  <si>
    <t>DoLS Tracker</t>
  </si>
  <si>
    <t>MCA Tracker</t>
  </si>
  <si>
    <t>Resident Review Tracker</t>
  </si>
  <si>
    <t>Care Plan Review Tracker</t>
  </si>
  <si>
    <t>Risk Assessment Review Tracker</t>
  </si>
  <si>
    <t>Social Media &amp; Marketing Tracker</t>
  </si>
  <si>
    <t>Website Review Tracker</t>
  </si>
  <si>
    <t>Occupancy &amp; Enquiry Tracker</t>
  </si>
  <si>
    <t>Complaints &amp; Compliments Tracker</t>
  </si>
  <si>
    <t>Duty of Candour Tracker</t>
  </si>
  <si>
    <t>CQC Notification Tracker</t>
  </si>
  <si>
    <t>Local Authority Action Tracker</t>
  </si>
  <si>
    <t>Fire Authority Action Tracker</t>
  </si>
  <si>
    <t>Governance Action Log</t>
  </si>
  <si>
    <t>Continuous Improvement Register</t>
  </si>
  <si>
    <t>How to use this workbook</t>
  </si>
  <si>
    <t>Step</t>
  </si>
  <si>
    <t>Instruction</t>
  </si>
  <si>
    <t>1</t>
  </si>
  <si>
    <t>Use the dropdown in each tick cell and select ☑ when completed, ☐ when outstanding, or N/A when not applicable.</t>
  </si>
  <si>
    <t>2</t>
  </si>
  <si>
    <t>Keep evidence in the named folder/location and write notes in Evidence/Notes cells.</t>
  </si>
  <si>
    <t>3</t>
  </si>
  <si>
    <t>Registered Manager should update daily, weekly and operational sheets.</t>
  </si>
  <si>
    <t>4</t>
  </si>
  <si>
    <t>Nominated Individual should review monthly, quarterly, annual and tracker sheets.</t>
  </si>
  <si>
    <t>5</t>
  </si>
  <si>
    <t>Use this as a governance evidence calendar, not a substitute for professional legal/fire/CQC advice.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</si>
</sst>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34"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zoomScaleNormal="60" zoomScaleSheetLayoutView="100" workbookViewId="0"/>
  </sheetViews>
  <sheetFormatPr defaultRowHeight="14"/>
  <cols>
    <col min="1" max="1" width="23.9140625" customWidth="1"/>
    <col min="2" max="2" width="55" customWidth="1"/>
    <col min="8" max="8" width="42" customWidth="1"/>
  </cols>
  <sheetData>
    <row r="1" spans="1:8" ht="18">
      <c r="A1" s="7" t="s">
        <v>0</v>
      </c>
      <c r="B1" s="9"/>
      <c r="C1" s="9"/>
      <c r="D1" s="9"/>
      <c r="E1" s="9"/>
      <c r="F1" s="9"/>
      <c r="G1" s="9"/>
      <c r="H1" s="9"/>
    </row>
    <row r="3" spans="1:8" ht="2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8">
      <c r="A4" s="2" t="s">
        <v>9</v>
      </c>
      <c r="B4" s="2" t="s">
        <v>10</v>
      </c>
      <c r="C4" s="2"/>
      <c r="D4" s="2"/>
      <c r="E4" s="2"/>
      <c r="F4" s="2"/>
      <c r="G4" s="2" t="s">
        <v>11</v>
      </c>
      <c r="H4" s="2" t="s">
        <v>12</v>
      </c>
    </row>
    <row r="5" spans="1:8">
      <c r="A5" s="2" t="s">
        <v>13</v>
      </c>
      <c r="B5" s="2" t="s">
        <v>14</v>
      </c>
      <c r="C5" s="2"/>
      <c r="D5" s="2"/>
      <c r="E5" s="2"/>
      <c r="F5" s="2"/>
      <c r="G5" s="2" t="s">
        <v>11</v>
      </c>
      <c r="H5" s="2"/>
    </row>
    <row r="6" spans="1:8" ht="28">
      <c r="A6" s="2" t="s">
        <v>15</v>
      </c>
      <c r="B6" s="2" t="s">
        <v>16</v>
      </c>
      <c r="C6" s="2"/>
      <c r="D6" s="2"/>
      <c r="E6" s="2"/>
      <c r="F6" s="2"/>
      <c r="G6" s="2" t="s">
        <v>11</v>
      </c>
      <c r="H6" s="2"/>
    </row>
    <row r="7" spans="1:8">
      <c r="A7" s="2" t="s">
        <v>17</v>
      </c>
      <c r="B7" s="2" t="s">
        <v>18</v>
      </c>
      <c r="C7" s="2"/>
      <c r="D7" s="2"/>
      <c r="E7" s="2"/>
      <c r="F7" s="2"/>
      <c r="G7" s="2" t="s">
        <v>19</v>
      </c>
      <c r="H7" s="2"/>
    </row>
    <row r="8" spans="1:8">
      <c r="A8" s="2" t="s">
        <v>20</v>
      </c>
      <c r="B8" s="2" t="s">
        <v>21</v>
      </c>
      <c r="C8" s="2"/>
      <c r="D8" s="2"/>
      <c r="E8" s="2"/>
      <c r="F8" s="2"/>
      <c r="G8" s="2" t="s">
        <v>22</v>
      </c>
      <c r="H8" s="2"/>
    </row>
    <row r="9" spans="1:8">
      <c r="A9" s="2" t="s">
        <v>23</v>
      </c>
      <c r="B9" s="2" t="s">
        <v>24</v>
      </c>
      <c r="C9" s="2"/>
      <c r="D9" s="2"/>
      <c r="E9" s="2"/>
      <c r="F9" s="2"/>
      <c r="G9" s="2" t="s">
        <v>19</v>
      </c>
      <c r="H9" s="2"/>
    </row>
    <row r="10" spans="1:8">
      <c r="A10" s="2" t="s">
        <v>25</v>
      </c>
      <c r="B10" s="2" t="s">
        <v>26</v>
      </c>
      <c r="C10" s="2"/>
      <c r="D10" s="2"/>
      <c r="E10" s="2"/>
      <c r="F10" s="2"/>
      <c r="G10" s="2" t="s">
        <v>27</v>
      </c>
      <c r="H10" s="2"/>
    </row>
    <row r="11" spans="1:8">
      <c r="A11" s="2" t="s">
        <v>28</v>
      </c>
      <c r="B11" s="2" t="s">
        <v>29</v>
      </c>
      <c r="C11" s="2"/>
      <c r="D11" s="2"/>
      <c r="E11" s="2"/>
      <c r="F11" s="2"/>
      <c r="G11" s="2" t="s">
        <v>19</v>
      </c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33" priority="1">
      <formula>B3="☑"</formula>
    </cfRule>
    <cfRule type="expression" dxfId="32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{B82FDCEA-F821-EDE8-CD67-B05D65A328D4}</x14:id>
        </ext>
      </extLst>
    </cfRule>
  </conditionalFormatting>
  <dataValidations count="1">
    <dataValidation type="list" sqref="B3:AF15" xr:uid="{00000000-0002-0000-01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2FDCEA-F821-EDE8-CD67-B05D65A328D4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5</v>
      </c>
      <c r="AE3" s="4" t="s">
        <v>5</v>
      </c>
      <c r="AF3" s="4" t="s">
        <v>5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5</v>
      </c>
      <c r="AE4" s="4" t="s">
        <v>5</v>
      </c>
      <c r="AF4" s="4" t="s">
        <v>5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5</v>
      </c>
      <c r="AE5" s="4" t="s">
        <v>5</v>
      </c>
      <c r="AF5" s="4" t="s">
        <v>5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5</v>
      </c>
      <c r="AE6" s="4" t="s">
        <v>5</v>
      </c>
      <c r="AF6" s="4" t="s">
        <v>5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5</v>
      </c>
      <c r="AE7" s="4" t="s">
        <v>5</v>
      </c>
      <c r="AF7" s="4" t="s">
        <v>5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5</v>
      </c>
      <c r="AE8" s="4" t="s">
        <v>5</v>
      </c>
      <c r="AF8" s="4" t="s">
        <v>5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5</v>
      </c>
      <c r="AE9" s="4" t="s">
        <v>5</v>
      </c>
      <c r="AF9" s="4" t="s">
        <v>5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5</v>
      </c>
      <c r="AE10" s="4" t="s">
        <v>5</v>
      </c>
      <c r="AF10" s="4" t="s">
        <v>5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5</v>
      </c>
      <c r="AE11" s="4" t="s">
        <v>5</v>
      </c>
      <c r="AF11" s="4" t="s">
        <v>5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5</v>
      </c>
      <c r="AE12" s="4" t="s">
        <v>5</v>
      </c>
      <c r="AF12" s="4" t="s">
        <v>5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5</v>
      </c>
      <c r="AE13" s="4" t="s">
        <v>5</v>
      </c>
      <c r="AF13" s="4" t="s">
        <v>5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5</v>
      </c>
      <c r="AE14" s="4" t="s">
        <v>5</v>
      </c>
      <c r="AF14" s="4" t="s">
        <v>5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5</v>
      </c>
      <c r="AE15" s="4" t="s">
        <v>5</v>
      </c>
      <c r="AF15" s="4" t="s">
        <v>5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31" priority="1">
      <formula>B3="☑"</formula>
    </cfRule>
    <cfRule type="expression" dxfId="30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{D1645C1C-3DD3-9BC7-BF2E-CC1E00510AA3}</x14:id>
        </ext>
      </extLst>
    </cfRule>
  </conditionalFormatting>
  <dataValidations count="1">
    <dataValidation type="list" sqref="B3:AF15" xr:uid="{00000000-0002-0000-02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645C1C-3DD3-9BC7-BF2E-CC1E00510AA3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29" priority="1">
      <formula>B3="☑"</formula>
    </cfRule>
    <cfRule type="expression" dxfId="28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{EC350C18-9257-6AAD-5B2A-897B342383E4}</x14:id>
        </ext>
      </extLst>
    </cfRule>
  </conditionalFormatting>
  <dataValidations count="1">
    <dataValidation type="list" sqref="B3:AF15" xr:uid="{00000000-0002-0000-03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350C18-9257-6AAD-5B2A-897B342383E4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49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5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5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5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5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5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5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5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5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5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5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5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5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5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27" priority="1">
      <formula>B3="☑"</formula>
    </cfRule>
    <cfRule type="expression" dxfId="26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{F8EC6370-C4BA-7217-AC6F-2D5E4E829FF2}</x14:id>
        </ext>
      </extLst>
    </cfRule>
  </conditionalFormatting>
  <dataValidations count="1">
    <dataValidation type="list" sqref="B3:AF15" xr:uid="{00000000-0002-0000-04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8EC6370-C4BA-7217-AC6F-2D5E4E829FF2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25" priority="1">
      <formula>B3="☑"</formula>
    </cfRule>
    <cfRule type="expression" dxfId="24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{FDF0CC6E-7AB4-BE85-8777-072FF69ED44A}</x14:id>
        </ext>
      </extLst>
    </cfRule>
  </conditionalFormatting>
  <dataValidations count="1">
    <dataValidation type="list" sqref="B3:AF15" xr:uid="{00000000-0002-0000-05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F0CC6E-7AB4-BE85-8777-072FF69ED44A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5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5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5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5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5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5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5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5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5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5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5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5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5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23" priority="1">
      <formula>B3="☑"</formula>
    </cfRule>
    <cfRule type="expression" dxfId="22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{30D3969F-A4FA-47D0-743B-FB1BC65503B7}</x14:id>
        </ext>
      </extLst>
    </cfRule>
  </conditionalFormatting>
  <dataValidations count="1">
    <dataValidation type="list" sqref="B3:AF15" xr:uid="{00000000-0002-0000-06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D3969F-A4FA-47D0-743B-FB1BC65503B7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"/>
  <sheetViews>
    <sheetView tabSelected="1" zoomScaleNormal="60" zoomScaleSheetLayoutView="100" workbookViewId="0">
      <selection sqref="A1:E1"/>
    </sheetView>
  </sheetViews>
  <sheetFormatPr defaultRowHeight="14"/>
  <cols>
    <col min="1" max="1" width="9.9140625" customWidth="1"/>
    <col min="2" max="2" width="90" customWidth="1"/>
  </cols>
  <sheetData>
    <row r="1" spans="1:5" ht="18">
      <c r="A1" s="7" t="s">
        <v>313</v>
      </c>
      <c r="B1" s="8"/>
      <c r="C1" s="9"/>
      <c r="D1" s="9"/>
      <c r="E1" s="9"/>
    </row>
    <row r="3" spans="1:5">
      <c r="A3" s="1" t="s">
        <v>314</v>
      </c>
      <c r="B3" s="1" t="s">
        <v>315</v>
      </c>
      <c r="C3" s="1"/>
    </row>
    <row r="4" spans="1:5">
      <c r="A4" t="s">
        <v>316</v>
      </c>
      <c r="B4" t="s">
        <v>317</v>
      </c>
    </row>
    <row r="5" spans="1:5">
      <c r="A5" t="s">
        <v>318</v>
      </c>
      <c r="B5" t="s">
        <v>319</v>
      </c>
    </row>
    <row r="6" spans="1:5">
      <c r="A6" t="s">
        <v>320</v>
      </c>
      <c r="B6" t="s">
        <v>321</v>
      </c>
    </row>
    <row r="7" spans="1:5">
      <c r="A7" t="s">
        <v>322</v>
      </c>
      <c r="B7" t="s">
        <v>323</v>
      </c>
    </row>
    <row r="8" spans="1:5">
      <c r="A8" t="s">
        <v>324</v>
      </c>
      <c r="B8" t="s">
        <v>325</v>
      </c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21" priority="1">
      <formula>B3="☑"</formula>
    </cfRule>
    <cfRule type="expression" dxfId="20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{43B4EB7C-DFB7-91F9-A485-80CE4A88C779}</x14:id>
        </ext>
      </extLst>
    </cfRule>
  </conditionalFormatting>
  <dataValidations count="1">
    <dataValidation type="list" sqref="B3:AF15" xr:uid="{00000000-0002-0000-07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B4EB7C-DFB7-91F9-A485-80CE4A88C779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19" priority="1">
      <formula>B3="☑"</formula>
    </cfRule>
    <cfRule type="expression" dxfId="18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{C7CED7CF-A8CC-8052-8D6E-A7542FEFB45A}</x14:id>
        </ext>
      </extLst>
    </cfRule>
  </conditionalFormatting>
  <dataValidations count="1">
    <dataValidation type="list" sqref="B3:AF15" xr:uid="{00000000-0002-0000-08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CED7CF-A8CC-8052-8D6E-A7542FEFB45A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5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5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5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5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5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5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5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5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5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5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5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5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5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17" priority="1">
      <formula>B3="☑"</formula>
    </cfRule>
    <cfRule type="expression" dxfId="16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{1373328E-1491-60E6-9310-4353D7297B25}</x14:id>
        </ext>
      </extLst>
    </cfRule>
  </conditionalFormatting>
  <dataValidations count="1">
    <dataValidation type="list" sqref="B3:AF15" xr:uid="{00000000-0002-0000-09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73328E-1491-60E6-9310-4353D7297B25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15" priority="1">
      <formula>B3="☑"</formula>
    </cfRule>
    <cfRule type="expression" dxfId="14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{42AB73AA-27B4-9DD2-1BEA-D0158C866707}</x14:id>
        </ext>
      </extLst>
    </cfRule>
  </conditionalFormatting>
  <dataValidations count="1">
    <dataValidation type="list" sqref="B3:AF15" xr:uid="{00000000-0002-0000-0A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AB73AA-27B4-9DD2-1BEA-D0158C866707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5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5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5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5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5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5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5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5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5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5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5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5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5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13" priority="1">
      <formula>B3="☑"</formula>
    </cfRule>
    <cfRule type="expression" dxfId="12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{9F86F551-16AB-26BA-ACB2-2A70F07E65DD}</x14:id>
        </ext>
      </extLst>
    </cfRule>
  </conditionalFormatting>
  <dataValidations count="1">
    <dataValidation type="list" sqref="B3:AF15" xr:uid="{00000000-0002-0000-0B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86F551-16AB-26BA-ACB2-2A70F07E65DD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zoomScaleNormal="60" zoomScaleSheetLayoutView="100" workbookViewId="0">
      <selection sqref="A1:AH1"/>
    </sheetView>
  </sheetViews>
  <sheetFormatPr defaultRowHeight="14"/>
  <cols>
    <col min="1" max="1" width="34" customWidth="1"/>
    <col min="2" max="32" width="5" customWidth="1"/>
    <col min="33" max="34" width="12" customWidth="1"/>
    <col min="35" max="35" width="35" customWidth="1"/>
  </cols>
  <sheetData>
    <row r="1" spans="1:35" ht="18">
      <c r="A1" s="7" t="s">
        <v>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5" ht="28">
      <c r="A2" s="1" t="s">
        <v>31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 t="s">
        <v>4</v>
      </c>
      <c r="AH2" s="1" t="s">
        <v>6</v>
      </c>
      <c r="AI2" s="1" t="s">
        <v>32</v>
      </c>
    </row>
    <row r="3" spans="1:35">
      <c r="A3" s="2" t="s">
        <v>33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s="4" t="s">
        <v>34</v>
      </c>
      <c r="O3" s="4" t="s">
        <v>34</v>
      </c>
      <c r="P3" s="4" t="s">
        <v>34</v>
      </c>
      <c r="Q3" s="4" t="s">
        <v>34</v>
      </c>
      <c r="R3" s="4" t="s">
        <v>34</v>
      </c>
      <c r="S3" s="4" t="s">
        <v>34</v>
      </c>
      <c r="T3" s="4" t="s">
        <v>34</v>
      </c>
      <c r="U3" s="4" t="s">
        <v>34</v>
      </c>
      <c r="V3" s="4" t="s">
        <v>34</v>
      </c>
      <c r="W3" s="4" t="s">
        <v>34</v>
      </c>
      <c r="X3" s="4" t="s">
        <v>34</v>
      </c>
      <c r="Y3" s="4" t="s">
        <v>34</v>
      </c>
      <c r="Z3" s="4" t="s">
        <v>34</v>
      </c>
      <c r="AA3" s="4" t="s">
        <v>34</v>
      </c>
      <c r="AB3" s="4" t="s">
        <v>34</v>
      </c>
      <c r="AC3" s="4" t="s">
        <v>34</v>
      </c>
      <c r="AD3" s="4" t="s">
        <v>34</v>
      </c>
      <c r="AE3" s="4" t="s">
        <v>34</v>
      </c>
      <c r="AF3" s="4" t="s">
        <v>34</v>
      </c>
      <c r="AG3">
        <f t="shared" ref="AG3:AG15" si="0">COUNTIF(B3:AF3,"☑")</f>
        <v>0</v>
      </c>
      <c r="AH3" s="3">
        <f t="shared" ref="AH3:AH15" si="1">IF(COUNTIF(B3:AF3,"&lt;&gt;N/A")=0,"",AG3/COUNTIF(B3:AF3,"&lt;&gt;N/A"))</f>
        <v>0</v>
      </c>
    </row>
    <row r="4" spans="1:35">
      <c r="A4" s="2" t="s">
        <v>35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s="4" t="s">
        <v>34</v>
      </c>
      <c r="O4" s="4" t="s">
        <v>34</v>
      </c>
      <c r="P4" s="4" t="s">
        <v>34</v>
      </c>
      <c r="Q4" s="4" t="s">
        <v>34</v>
      </c>
      <c r="R4" s="4" t="s">
        <v>34</v>
      </c>
      <c r="S4" s="4" t="s">
        <v>34</v>
      </c>
      <c r="T4" s="4" t="s">
        <v>34</v>
      </c>
      <c r="U4" s="4" t="s">
        <v>34</v>
      </c>
      <c r="V4" s="4" t="s">
        <v>34</v>
      </c>
      <c r="W4" s="4" t="s">
        <v>34</v>
      </c>
      <c r="X4" s="4" t="s">
        <v>34</v>
      </c>
      <c r="Y4" s="4" t="s">
        <v>34</v>
      </c>
      <c r="Z4" s="4" t="s">
        <v>34</v>
      </c>
      <c r="AA4" s="4" t="s">
        <v>34</v>
      </c>
      <c r="AB4" s="4" t="s">
        <v>34</v>
      </c>
      <c r="AC4" s="4" t="s">
        <v>34</v>
      </c>
      <c r="AD4" s="4" t="s">
        <v>34</v>
      </c>
      <c r="AE4" s="4" t="s">
        <v>34</v>
      </c>
      <c r="AF4" s="4" t="s">
        <v>34</v>
      </c>
      <c r="AG4">
        <f t="shared" si="0"/>
        <v>0</v>
      </c>
      <c r="AH4" s="3">
        <f t="shared" si="1"/>
        <v>0</v>
      </c>
    </row>
    <row r="5" spans="1:35">
      <c r="A5" s="2" t="s">
        <v>36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34</v>
      </c>
      <c r="T5" s="4" t="s">
        <v>34</v>
      </c>
      <c r="U5" s="4" t="s">
        <v>34</v>
      </c>
      <c r="V5" s="4" t="s">
        <v>34</v>
      </c>
      <c r="W5" s="4" t="s">
        <v>34</v>
      </c>
      <c r="X5" s="4" t="s">
        <v>34</v>
      </c>
      <c r="Y5" s="4" t="s">
        <v>34</v>
      </c>
      <c r="Z5" s="4" t="s">
        <v>34</v>
      </c>
      <c r="AA5" s="4" t="s">
        <v>34</v>
      </c>
      <c r="AB5" s="4" t="s">
        <v>34</v>
      </c>
      <c r="AC5" s="4" t="s">
        <v>34</v>
      </c>
      <c r="AD5" s="4" t="s">
        <v>34</v>
      </c>
      <c r="AE5" s="4" t="s">
        <v>34</v>
      </c>
      <c r="AF5" s="4" t="s">
        <v>34</v>
      </c>
      <c r="AG5">
        <f t="shared" si="0"/>
        <v>0</v>
      </c>
      <c r="AH5" s="3">
        <f t="shared" si="1"/>
        <v>0</v>
      </c>
    </row>
    <row r="6" spans="1:35">
      <c r="A6" s="2" t="s">
        <v>37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34</v>
      </c>
      <c r="T6" s="4" t="s">
        <v>34</v>
      </c>
      <c r="U6" s="4" t="s">
        <v>34</v>
      </c>
      <c r="V6" s="4" t="s">
        <v>34</v>
      </c>
      <c r="W6" s="4" t="s">
        <v>34</v>
      </c>
      <c r="X6" s="4" t="s">
        <v>34</v>
      </c>
      <c r="Y6" s="4" t="s">
        <v>34</v>
      </c>
      <c r="Z6" s="4" t="s">
        <v>34</v>
      </c>
      <c r="AA6" s="4" t="s">
        <v>34</v>
      </c>
      <c r="AB6" s="4" t="s">
        <v>34</v>
      </c>
      <c r="AC6" s="4" t="s">
        <v>34</v>
      </c>
      <c r="AD6" s="4" t="s">
        <v>34</v>
      </c>
      <c r="AE6" s="4" t="s">
        <v>34</v>
      </c>
      <c r="AF6" s="4" t="s">
        <v>34</v>
      </c>
      <c r="AG6">
        <f t="shared" si="0"/>
        <v>0</v>
      </c>
      <c r="AH6" s="3">
        <f t="shared" si="1"/>
        <v>0</v>
      </c>
    </row>
    <row r="7" spans="1:35">
      <c r="A7" s="2" t="s">
        <v>38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s="4" t="s">
        <v>34</v>
      </c>
      <c r="O7" s="4" t="s">
        <v>34</v>
      </c>
      <c r="P7" s="4" t="s">
        <v>34</v>
      </c>
      <c r="Q7" s="4" t="s">
        <v>34</v>
      </c>
      <c r="R7" s="4" t="s">
        <v>34</v>
      </c>
      <c r="S7" s="4" t="s">
        <v>34</v>
      </c>
      <c r="T7" s="4" t="s">
        <v>34</v>
      </c>
      <c r="U7" s="4" t="s">
        <v>34</v>
      </c>
      <c r="V7" s="4" t="s">
        <v>34</v>
      </c>
      <c r="W7" s="4" t="s">
        <v>34</v>
      </c>
      <c r="X7" s="4" t="s">
        <v>34</v>
      </c>
      <c r="Y7" s="4" t="s">
        <v>34</v>
      </c>
      <c r="Z7" s="4" t="s">
        <v>34</v>
      </c>
      <c r="AA7" s="4" t="s">
        <v>34</v>
      </c>
      <c r="AB7" s="4" t="s">
        <v>34</v>
      </c>
      <c r="AC7" s="4" t="s">
        <v>34</v>
      </c>
      <c r="AD7" s="4" t="s">
        <v>34</v>
      </c>
      <c r="AE7" s="4" t="s">
        <v>34</v>
      </c>
      <c r="AF7" s="4" t="s">
        <v>34</v>
      </c>
      <c r="AG7">
        <f t="shared" si="0"/>
        <v>0</v>
      </c>
      <c r="AH7" s="3">
        <f t="shared" si="1"/>
        <v>0</v>
      </c>
    </row>
    <row r="8" spans="1:35">
      <c r="A8" s="2" t="s">
        <v>39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34</v>
      </c>
      <c r="T8" s="4" t="s">
        <v>34</v>
      </c>
      <c r="U8" s="4" t="s">
        <v>34</v>
      </c>
      <c r="V8" s="4" t="s">
        <v>34</v>
      </c>
      <c r="W8" s="4" t="s">
        <v>34</v>
      </c>
      <c r="X8" s="4" t="s">
        <v>34</v>
      </c>
      <c r="Y8" s="4" t="s">
        <v>34</v>
      </c>
      <c r="Z8" s="4" t="s">
        <v>34</v>
      </c>
      <c r="AA8" s="4" t="s">
        <v>34</v>
      </c>
      <c r="AB8" s="4" t="s">
        <v>34</v>
      </c>
      <c r="AC8" s="4" t="s">
        <v>34</v>
      </c>
      <c r="AD8" s="4" t="s">
        <v>34</v>
      </c>
      <c r="AE8" s="4" t="s">
        <v>34</v>
      </c>
      <c r="AF8" s="4" t="s">
        <v>34</v>
      </c>
      <c r="AG8">
        <f t="shared" si="0"/>
        <v>0</v>
      </c>
      <c r="AH8" s="3">
        <f t="shared" si="1"/>
        <v>0</v>
      </c>
    </row>
    <row r="9" spans="1:35">
      <c r="A9" s="2" t="s">
        <v>40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34</v>
      </c>
      <c r="T9" s="4" t="s">
        <v>34</v>
      </c>
      <c r="U9" s="4" t="s">
        <v>34</v>
      </c>
      <c r="V9" s="4" t="s">
        <v>34</v>
      </c>
      <c r="W9" s="4" t="s">
        <v>34</v>
      </c>
      <c r="X9" s="4" t="s">
        <v>34</v>
      </c>
      <c r="Y9" s="4" t="s">
        <v>34</v>
      </c>
      <c r="Z9" s="4" t="s">
        <v>34</v>
      </c>
      <c r="AA9" s="4" t="s">
        <v>34</v>
      </c>
      <c r="AB9" s="4" t="s">
        <v>34</v>
      </c>
      <c r="AC9" s="4" t="s">
        <v>34</v>
      </c>
      <c r="AD9" s="4" t="s">
        <v>34</v>
      </c>
      <c r="AE9" s="4" t="s">
        <v>34</v>
      </c>
      <c r="AF9" s="4" t="s">
        <v>34</v>
      </c>
      <c r="AG9">
        <f t="shared" si="0"/>
        <v>0</v>
      </c>
      <c r="AH9" s="3">
        <f t="shared" si="1"/>
        <v>0</v>
      </c>
    </row>
    <row r="10" spans="1:35">
      <c r="A10" s="2" t="s">
        <v>41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34</v>
      </c>
      <c r="T10" s="4" t="s">
        <v>34</v>
      </c>
      <c r="U10" s="4" t="s">
        <v>34</v>
      </c>
      <c r="V10" s="4" t="s">
        <v>34</v>
      </c>
      <c r="W10" s="4" t="s">
        <v>34</v>
      </c>
      <c r="X10" s="4" t="s">
        <v>34</v>
      </c>
      <c r="Y10" s="4" t="s">
        <v>34</v>
      </c>
      <c r="Z10" s="4" t="s">
        <v>34</v>
      </c>
      <c r="AA10" s="4" t="s">
        <v>34</v>
      </c>
      <c r="AB10" s="4" t="s">
        <v>34</v>
      </c>
      <c r="AC10" s="4" t="s">
        <v>34</v>
      </c>
      <c r="AD10" s="4" t="s">
        <v>34</v>
      </c>
      <c r="AE10" s="4" t="s">
        <v>34</v>
      </c>
      <c r="AF10" s="4" t="s">
        <v>34</v>
      </c>
      <c r="AG10">
        <f t="shared" si="0"/>
        <v>0</v>
      </c>
      <c r="AH10" s="3">
        <f t="shared" si="1"/>
        <v>0</v>
      </c>
    </row>
    <row r="11" spans="1:35">
      <c r="A11" s="2" t="s">
        <v>42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34</v>
      </c>
      <c r="T11" s="4" t="s">
        <v>34</v>
      </c>
      <c r="U11" s="4" t="s">
        <v>34</v>
      </c>
      <c r="V11" s="4" t="s">
        <v>34</v>
      </c>
      <c r="W11" s="4" t="s">
        <v>34</v>
      </c>
      <c r="X11" s="4" t="s">
        <v>34</v>
      </c>
      <c r="Y11" s="4" t="s">
        <v>34</v>
      </c>
      <c r="Z11" s="4" t="s">
        <v>34</v>
      </c>
      <c r="AA11" s="4" t="s">
        <v>34</v>
      </c>
      <c r="AB11" s="4" t="s">
        <v>34</v>
      </c>
      <c r="AC11" s="4" t="s">
        <v>34</v>
      </c>
      <c r="AD11" s="4" t="s">
        <v>34</v>
      </c>
      <c r="AE11" s="4" t="s">
        <v>34</v>
      </c>
      <c r="AF11" s="4" t="s">
        <v>34</v>
      </c>
      <c r="AG11">
        <f t="shared" si="0"/>
        <v>0</v>
      </c>
      <c r="AH11" s="3">
        <f t="shared" si="1"/>
        <v>0</v>
      </c>
    </row>
    <row r="12" spans="1:35">
      <c r="A12" s="2" t="s">
        <v>43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34</v>
      </c>
      <c r="T12" s="4" t="s">
        <v>34</v>
      </c>
      <c r="U12" s="4" t="s">
        <v>34</v>
      </c>
      <c r="V12" s="4" t="s">
        <v>34</v>
      </c>
      <c r="W12" s="4" t="s">
        <v>34</v>
      </c>
      <c r="X12" s="4" t="s">
        <v>34</v>
      </c>
      <c r="Y12" s="4" t="s">
        <v>34</v>
      </c>
      <c r="Z12" s="4" t="s">
        <v>34</v>
      </c>
      <c r="AA12" s="4" t="s">
        <v>34</v>
      </c>
      <c r="AB12" s="4" t="s">
        <v>34</v>
      </c>
      <c r="AC12" s="4" t="s">
        <v>34</v>
      </c>
      <c r="AD12" s="4" t="s">
        <v>34</v>
      </c>
      <c r="AE12" s="4" t="s">
        <v>34</v>
      </c>
      <c r="AF12" s="4" t="s">
        <v>34</v>
      </c>
      <c r="AG12">
        <f t="shared" si="0"/>
        <v>0</v>
      </c>
      <c r="AH12" s="3">
        <f t="shared" si="1"/>
        <v>0</v>
      </c>
    </row>
    <row r="13" spans="1:35">
      <c r="A13" s="2" t="s">
        <v>44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34</v>
      </c>
      <c r="T13" s="4" t="s">
        <v>34</v>
      </c>
      <c r="U13" s="4" t="s">
        <v>34</v>
      </c>
      <c r="V13" s="4" t="s">
        <v>34</v>
      </c>
      <c r="W13" s="4" t="s">
        <v>34</v>
      </c>
      <c r="X13" s="4" t="s">
        <v>34</v>
      </c>
      <c r="Y13" s="4" t="s">
        <v>34</v>
      </c>
      <c r="Z13" s="4" t="s">
        <v>34</v>
      </c>
      <c r="AA13" s="4" t="s">
        <v>34</v>
      </c>
      <c r="AB13" s="4" t="s">
        <v>34</v>
      </c>
      <c r="AC13" s="4" t="s">
        <v>34</v>
      </c>
      <c r="AD13" s="4" t="s">
        <v>34</v>
      </c>
      <c r="AE13" s="4" t="s">
        <v>34</v>
      </c>
      <c r="AF13" s="4" t="s">
        <v>34</v>
      </c>
      <c r="AG13">
        <f t="shared" si="0"/>
        <v>0</v>
      </c>
      <c r="AH13" s="3">
        <f t="shared" si="1"/>
        <v>0</v>
      </c>
    </row>
    <row r="14" spans="1:35">
      <c r="A14" s="2" t="s">
        <v>45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s="4" t="s">
        <v>34</v>
      </c>
      <c r="O14" s="4" t="s">
        <v>34</v>
      </c>
      <c r="P14" s="4" t="s">
        <v>34</v>
      </c>
      <c r="Q14" s="4" t="s">
        <v>34</v>
      </c>
      <c r="R14" s="4" t="s">
        <v>34</v>
      </c>
      <c r="S14" s="4" t="s">
        <v>34</v>
      </c>
      <c r="T14" s="4" t="s">
        <v>34</v>
      </c>
      <c r="U14" s="4" t="s">
        <v>34</v>
      </c>
      <c r="V14" s="4" t="s">
        <v>34</v>
      </c>
      <c r="W14" s="4" t="s">
        <v>34</v>
      </c>
      <c r="X14" s="4" t="s">
        <v>34</v>
      </c>
      <c r="Y14" s="4" t="s">
        <v>34</v>
      </c>
      <c r="Z14" s="4" t="s">
        <v>34</v>
      </c>
      <c r="AA14" s="4" t="s">
        <v>34</v>
      </c>
      <c r="AB14" s="4" t="s">
        <v>34</v>
      </c>
      <c r="AC14" s="4" t="s">
        <v>34</v>
      </c>
      <c r="AD14" s="4" t="s">
        <v>34</v>
      </c>
      <c r="AE14" s="4" t="s">
        <v>34</v>
      </c>
      <c r="AF14" s="4" t="s">
        <v>34</v>
      </c>
      <c r="AG14">
        <f t="shared" si="0"/>
        <v>0</v>
      </c>
      <c r="AH14" s="3">
        <f t="shared" si="1"/>
        <v>0</v>
      </c>
    </row>
    <row r="15" spans="1:35">
      <c r="A15" s="2" t="s">
        <v>46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s="4" t="s">
        <v>34</v>
      </c>
      <c r="O15" s="4" t="s">
        <v>34</v>
      </c>
      <c r="P15" s="4" t="s">
        <v>34</v>
      </c>
      <c r="Q15" s="4" t="s">
        <v>34</v>
      </c>
      <c r="R15" s="4" t="s">
        <v>34</v>
      </c>
      <c r="S15" s="4" t="s">
        <v>34</v>
      </c>
      <c r="T15" s="4" t="s">
        <v>34</v>
      </c>
      <c r="U15" s="4" t="s">
        <v>34</v>
      </c>
      <c r="V15" s="4" t="s">
        <v>34</v>
      </c>
      <c r="W15" s="4" t="s">
        <v>34</v>
      </c>
      <c r="X15" s="4" t="s">
        <v>34</v>
      </c>
      <c r="Y15" s="4" t="s">
        <v>34</v>
      </c>
      <c r="Z15" s="4" t="s">
        <v>34</v>
      </c>
      <c r="AA15" s="4" t="s">
        <v>34</v>
      </c>
      <c r="AB15" s="4" t="s">
        <v>34</v>
      </c>
      <c r="AC15" s="4" t="s">
        <v>34</v>
      </c>
      <c r="AD15" s="4" t="s">
        <v>34</v>
      </c>
      <c r="AE15" s="4" t="s">
        <v>34</v>
      </c>
      <c r="AF15" s="4" t="s">
        <v>34</v>
      </c>
      <c r="AG15">
        <f t="shared" si="0"/>
        <v>0</v>
      </c>
      <c r="AH15" s="3">
        <f t="shared" si="1"/>
        <v>0</v>
      </c>
    </row>
  </sheetData>
  <mergeCells count="1">
    <mergeCell ref="A1:AH1"/>
  </mergeCells>
  <conditionalFormatting sqref="B3:AF15">
    <cfRule type="expression" dxfId="11" priority="1">
      <formula>B3="☑"</formula>
    </cfRule>
    <cfRule type="expression" dxfId="10" priority="2">
      <formula>B3="N/A"</formula>
    </cfRule>
  </conditionalFormatting>
  <conditionalFormatting sqref="AH3:AH15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{D484CD6E-06AE-CC8F-51C1-3891A63A05B3}</x14:id>
        </ext>
      </extLst>
    </cfRule>
  </conditionalFormatting>
  <dataValidations count="1">
    <dataValidation type="list" sqref="B3:AF15" xr:uid="{00000000-0002-0000-0C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84CD6E-06AE-CC8F-51C1-3891A63A05B3}">
            <x14:dataBar>
              <x14:cfvo type="min"/>
              <x14:cfvo type="max"/>
              <x14:negativeFillColor auto="1"/>
              <x14:axisColor auto="1"/>
            </x14:dataBar>
          </x14:cfRule>
          <xm:sqref>AH3:AH15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M22"/>
  <sheetViews>
    <sheetView zoomScaleNormal="60" zoomScaleSheetLayoutView="100" workbookViewId="0">
      <selection activeCell="X9" sqref="A6:X9"/>
    </sheetView>
  </sheetViews>
  <sheetFormatPr defaultRowHeight="14"/>
  <cols>
    <col min="1" max="1" width="42" customWidth="1"/>
    <col min="2" max="61" width="11" customWidth="1"/>
  </cols>
  <sheetData>
    <row r="1" spans="1:65" ht="18">
      <c r="A1" s="7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65" ht="28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80</v>
      </c>
      <c r="W2" s="1" t="s">
        <v>81</v>
      </c>
      <c r="X2" s="1" t="s">
        <v>82</v>
      </c>
      <c r="Y2" s="1" t="s">
        <v>83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" t="s">
        <v>90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108</v>
      </c>
      <c r="AY2" s="1" t="s">
        <v>109</v>
      </c>
      <c r="AZ2" s="1" t="s">
        <v>110</v>
      </c>
      <c r="BA2" s="1" t="s">
        <v>111</v>
      </c>
      <c r="BB2" s="1" t="s">
        <v>112</v>
      </c>
      <c r="BC2" s="1" t="s">
        <v>113</v>
      </c>
      <c r="BD2" s="1" t="s">
        <v>114</v>
      </c>
      <c r="BE2" s="1" t="s">
        <v>115</v>
      </c>
      <c r="BF2" s="1" t="s">
        <v>116</v>
      </c>
      <c r="BG2" s="1" t="s">
        <v>117</v>
      </c>
      <c r="BH2" s="1" t="s">
        <v>118</v>
      </c>
      <c r="BI2" s="1" t="s">
        <v>119</v>
      </c>
      <c r="BJ2" s="1" t="s">
        <v>4</v>
      </c>
      <c r="BK2" s="1" t="s">
        <v>6</v>
      </c>
      <c r="BL2" s="1" t="s">
        <v>7</v>
      </c>
      <c r="BM2" s="1" t="s">
        <v>120</v>
      </c>
    </row>
    <row r="3" spans="1:65">
      <c r="A3" s="2" t="s">
        <v>121</v>
      </c>
      <c r="B3" s="5" t="s">
        <v>34</v>
      </c>
      <c r="C3" s="5" t="s">
        <v>34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34</v>
      </c>
      <c r="O3" s="5" t="s">
        <v>34</v>
      </c>
      <c r="P3" s="5" t="s">
        <v>34</v>
      </c>
      <c r="Q3" s="5" t="s">
        <v>34</v>
      </c>
      <c r="R3" s="5" t="s">
        <v>34</v>
      </c>
      <c r="S3" s="5" t="s">
        <v>34</v>
      </c>
      <c r="T3" s="5" t="s">
        <v>34</v>
      </c>
      <c r="U3" s="5" t="s">
        <v>34</v>
      </c>
      <c r="V3" s="5" t="s">
        <v>34</v>
      </c>
      <c r="W3" s="5" t="s">
        <v>34</v>
      </c>
      <c r="X3" s="5" t="s">
        <v>34</v>
      </c>
      <c r="Y3" s="5" t="s">
        <v>34</v>
      </c>
      <c r="Z3" s="5" t="s">
        <v>34</v>
      </c>
      <c r="AA3" s="5" t="s">
        <v>34</v>
      </c>
      <c r="AB3" s="5" t="s">
        <v>34</v>
      </c>
      <c r="AC3" s="5" t="s">
        <v>34</v>
      </c>
      <c r="AD3" s="5" t="s">
        <v>34</v>
      </c>
      <c r="AE3" s="5" t="s">
        <v>34</v>
      </c>
      <c r="AF3" s="5" t="s">
        <v>34</v>
      </c>
      <c r="AG3" s="5" t="s">
        <v>34</v>
      </c>
      <c r="AH3" s="5" t="s">
        <v>34</v>
      </c>
      <c r="AI3" s="5" t="s">
        <v>34</v>
      </c>
      <c r="AJ3" s="5" t="s">
        <v>34</v>
      </c>
      <c r="AK3" s="5" t="s">
        <v>34</v>
      </c>
      <c r="AL3" s="5" t="s">
        <v>34</v>
      </c>
      <c r="AM3" s="5" t="s">
        <v>34</v>
      </c>
      <c r="AN3" s="5" t="s">
        <v>34</v>
      </c>
      <c r="AO3" s="5" t="s">
        <v>34</v>
      </c>
      <c r="AP3" s="5" t="s">
        <v>34</v>
      </c>
      <c r="AQ3" s="5" t="s">
        <v>34</v>
      </c>
      <c r="AR3" s="5" t="s">
        <v>34</v>
      </c>
      <c r="AS3" s="5" t="s">
        <v>34</v>
      </c>
      <c r="AT3" s="5" t="s">
        <v>34</v>
      </c>
      <c r="AU3" s="5" t="s">
        <v>34</v>
      </c>
      <c r="AV3" s="5" t="s">
        <v>34</v>
      </c>
      <c r="AW3" s="5" t="s">
        <v>34</v>
      </c>
      <c r="AX3" s="5" t="s">
        <v>34</v>
      </c>
      <c r="AY3" s="5" t="s">
        <v>34</v>
      </c>
      <c r="AZ3" s="5" t="s">
        <v>34</v>
      </c>
      <c r="BA3" s="5" t="s">
        <v>34</v>
      </c>
      <c r="BB3" s="5" t="s">
        <v>34</v>
      </c>
      <c r="BC3" s="5" t="s">
        <v>34</v>
      </c>
      <c r="BD3" s="5" t="s">
        <v>34</v>
      </c>
      <c r="BE3" s="5" t="s">
        <v>34</v>
      </c>
      <c r="BF3" s="5" t="s">
        <v>34</v>
      </c>
      <c r="BG3" s="5" t="s">
        <v>34</v>
      </c>
      <c r="BH3" s="5" t="s">
        <v>34</v>
      </c>
      <c r="BI3" s="5" t="s">
        <v>34</v>
      </c>
      <c r="BJ3" s="2">
        <f t="shared" ref="BJ3:BJ22" si="0">COUNTIF(B3:BI3,"☑")</f>
        <v>0</v>
      </c>
      <c r="BK3" s="6">
        <f t="shared" ref="BK3:BK22" si="1">IF(COUNTIF(B3:BI3,"&lt;&gt;N/A")=0,"",BJ3/COUNTIF(B3:BI3,"&lt;&gt;N/A"))</f>
        <v>0</v>
      </c>
      <c r="BL3" s="2" t="s">
        <v>11</v>
      </c>
      <c r="BM3" s="2"/>
    </row>
    <row r="4" spans="1:65">
      <c r="A4" s="2" t="s">
        <v>122</v>
      </c>
      <c r="B4" s="5" t="s">
        <v>34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  <c r="M4" s="5" t="s">
        <v>34</v>
      </c>
      <c r="N4" s="5" t="s">
        <v>34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  <c r="W4" s="5" t="s">
        <v>34</v>
      </c>
      <c r="X4" s="5" t="s">
        <v>34</v>
      </c>
      <c r="Y4" s="5" t="s">
        <v>34</v>
      </c>
      <c r="Z4" s="5" t="s">
        <v>34</v>
      </c>
      <c r="AA4" s="5" t="s">
        <v>34</v>
      </c>
      <c r="AB4" s="5" t="s">
        <v>34</v>
      </c>
      <c r="AC4" s="5" t="s">
        <v>34</v>
      </c>
      <c r="AD4" s="5" t="s">
        <v>34</v>
      </c>
      <c r="AE4" s="5" t="s">
        <v>34</v>
      </c>
      <c r="AF4" s="5" t="s">
        <v>34</v>
      </c>
      <c r="AG4" s="5" t="s">
        <v>34</v>
      </c>
      <c r="AH4" s="5" t="s">
        <v>34</v>
      </c>
      <c r="AI4" s="5" t="s">
        <v>34</v>
      </c>
      <c r="AJ4" s="5" t="s">
        <v>34</v>
      </c>
      <c r="AK4" s="5" t="s">
        <v>34</v>
      </c>
      <c r="AL4" s="5" t="s">
        <v>34</v>
      </c>
      <c r="AM4" s="5" t="s">
        <v>34</v>
      </c>
      <c r="AN4" s="5" t="s">
        <v>34</v>
      </c>
      <c r="AO4" s="5" t="s">
        <v>34</v>
      </c>
      <c r="AP4" s="5" t="s">
        <v>34</v>
      </c>
      <c r="AQ4" s="5" t="s">
        <v>34</v>
      </c>
      <c r="AR4" s="5" t="s">
        <v>34</v>
      </c>
      <c r="AS4" s="5" t="s">
        <v>34</v>
      </c>
      <c r="AT4" s="5" t="s">
        <v>34</v>
      </c>
      <c r="AU4" s="5" t="s">
        <v>34</v>
      </c>
      <c r="AV4" s="5" t="s">
        <v>34</v>
      </c>
      <c r="AW4" s="5" t="s">
        <v>34</v>
      </c>
      <c r="AX4" s="5" t="s">
        <v>34</v>
      </c>
      <c r="AY4" s="5" t="s">
        <v>34</v>
      </c>
      <c r="AZ4" s="5" t="s">
        <v>34</v>
      </c>
      <c r="BA4" s="5" t="s">
        <v>34</v>
      </c>
      <c r="BB4" s="5" t="s">
        <v>34</v>
      </c>
      <c r="BC4" s="5" t="s">
        <v>34</v>
      </c>
      <c r="BD4" s="5" t="s">
        <v>34</v>
      </c>
      <c r="BE4" s="5" t="s">
        <v>34</v>
      </c>
      <c r="BF4" s="5" t="s">
        <v>34</v>
      </c>
      <c r="BG4" s="5" t="s">
        <v>34</v>
      </c>
      <c r="BH4" s="5" t="s">
        <v>34</v>
      </c>
      <c r="BI4" s="5" t="s">
        <v>34</v>
      </c>
      <c r="BJ4" s="2">
        <f t="shared" si="0"/>
        <v>0</v>
      </c>
      <c r="BK4" s="6">
        <f t="shared" si="1"/>
        <v>0</v>
      </c>
      <c r="BL4" s="2" t="s">
        <v>11</v>
      </c>
      <c r="BM4" s="2"/>
    </row>
    <row r="5" spans="1:65">
      <c r="A5" s="2" t="s">
        <v>123</v>
      </c>
      <c r="B5" s="5" t="s">
        <v>34</v>
      </c>
      <c r="C5" s="5" t="s">
        <v>34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34</v>
      </c>
      <c r="Z5" s="5" t="s">
        <v>34</v>
      </c>
      <c r="AA5" s="5" t="s">
        <v>34</v>
      </c>
      <c r="AB5" s="5" t="s">
        <v>34</v>
      </c>
      <c r="AC5" s="5" t="s">
        <v>34</v>
      </c>
      <c r="AD5" s="5" t="s">
        <v>34</v>
      </c>
      <c r="AE5" s="5" t="s">
        <v>34</v>
      </c>
      <c r="AF5" s="5" t="s">
        <v>34</v>
      </c>
      <c r="AG5" s="5" t="s">
        <v>34</v>
      </c>
      <c r="AH5" s="5" t="s">
        <v>34</v>
      </c>
      <c r="AI5" s="5" t="s">
        <v>34</v>
      </c>
      <c r="AJ5" s="5" t="s">
        <v>34</v>
      </c>
      <c r="AK5" s="5" t="s">
        <v>34</v>
      </c>
      <c r="AL5" s="5" t="s">
        <v>34</v>
      </c>
      <c r="AM5" s="5" t="s">
        <v>34</v>
      </c>
      <c r="AN5" s="5" t="s">
        <v>34</v>
      </c>
      <c r="AO5" s="5" t="s">
        <v>34</v>
      </c>
      <c r="AP5" s="5" t="s">
        <v>34</v>
      </c>
      <c r="AQ5" s="5" t="s">
        <v>34</v>
      </c>
      <c r="AR5" s="5" t="s">
        <v>34</v>
      </c>
      <c r="AS5" s="5" t="s">
        <v>34</v>
      </c>
      <c r="AT5" s="5" t="s">
        <v>34</v>
      </c>
      <c r="AU5" s="5" t="s">
        <v>34</v>
      </c>
      <c r="AV5" s="5" t="s">
        <v>34</v>
      </c>
      <c r="AW5" s="5" t="s">
        <v>34</v>
      </c>
      <c r="AX5" s="5" t="s">
        <v>34</v>
      </c>
      <c r="AY5" s="5" t="s">
        <v>34</v>
      </c>
      <c r="AZ5" s="5" t="s">
        <v>34</v>
      </c>
      <c r="BA5" s="5" t="s">
        <v>34</v>
      </c>
      <c r="BB5" s="5" t="s">
        <v>34</v>
      </c>
      <c r="BC5" s="5" t="s">
        <v>34</v>
      </c>
      <c r="BD5" s="5" t="s">
        <v>34</v>
      </c>
      <c r="BE5" s="5" t="s">
        <v>34</v>
      </c>
      <c r="BF5" s="5" t="s">
        <v>34</v>
      </c>
      <c r="BG5" s="5" t="s">
        <v>34</v>
      </c>
      <c r="BH5" s="5" t="s">
        <v>34</v>
      </c>
      <c r="BI5" s="5" t="s">
        <v>34</v>
      </c>
      <c r="BJ5" s="2">
        <f t="shared" si="0"/>
        <v>0</v>
      </c>
      <c r="BK5" s="6">
        <f t="shared" si="1"/>
        <v>0</v>
      </c>
      <c r="BL5" s="2" t="s">
        <v>11</v>
      </c>
      <c r="BM5" s="2"/>
    </row>
    <row r="6" spans="1:65">
      <c r="A6" s="2" t="s">
        <v>124</v>
      </c>
      <c r="B6" s="5" t="s">
        <v>34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34</v>
      </c>
      <c r="Z6" s="5" t="s">
        <v>34</v>
      </c>
      <c r="AA6" s="5" t="s">
        <v>34</v>
      </c>
      <c r="AB6" s="5" t="s">
        <v>34</v>
      </c>
      <c r="AC6" s="5" t="s">
        <v>34</v>
      </c>
      <c r="AD6" s="5" t="s">
        <v>34</v>
      </c>
      <c r="AE6" s="5" t="s">
        <v>34</v>
      </c>
      <c r="AF6" s="5" t="s">
        <v>34</v>
      </c>
      <c r="AG6" s="5" t="s">
        <v>34</v>
      </c>
      <c r="AH6" s="5" t="s">
        <v>34</v>
      </c>
      <c r="AI6" s="5" t="s">
        <v>34</v>
      </c>
      <c r="AJ6" s="5" t="s">
        <v>34</v>
      </c>
      <c r="AK6" s="5" t="s">
        <v>34</v>
      </c>
      <c r="AL6" s="5" t="s">
        <v>34</v>
      </c>
      <c r="AM6" s="5" t="s">
        <v>34</v>
      </c>
      <c r="AN6" s="5" t="s">
        <v>34</v>
      </c>
      <c r="AO6" s="5" t="s">
        <v>34</v>
      </c>
      <c r="AP6" s="5" t="s">
        <v>34</v>
      </c>
      <c r="AQ6" s="5" t="s">
        <v>34</v>
      </c>
      <c r="AR6" s="5" t="s">
        <v>34</v>
      </c>
      <c r="AS6" s="5" t="s">
        <v>34</v>
      </c>
      <c r="AT6" s="5" t="s">
        <v>34</v>
      </c>
      <c r="AU6" s="5" t="s">
        <v>34</v>
      </c>
      <c r="AV6" s="5" t="s">
        <v>34</v>
      </c>
      <c r="AW6" s="5" t="s">
        <v>34</v>
      </c>
      <c r="AX6" s="5" t="s">
        <v>34</v>
      </c>
      <c r="AY6" s="5" t="s">
        <v>34</v>
      </c>
      <c r="AZ6" s="5" t="s">
        <v>34</v>
      </c>
      <c r="BA6" s="5" t="s">
        <v>34</v>
      </c>
      <c r="BB6" s="5" t="s">
        <v>34</v>
      </c>
      <c r="BC6" s="5" t="s">
        <v>34</v>
      </c>
      <c r="BD6" s="5" t="s">
        <v>34</v>
      </c>
      <c r="BE6" s="5" t="s">
        <v>34</v>
      </c>
      <c r="BF6" s="5" t="s">
        <v>34</v>
      </c>
      <c r="BG6" s="5" t="s">
        <v>34</v>
      </c>
      <c r="BH6" s="5" t="s">
        <v>34</v>
      </c>
      <c r="BI6" s="5" t="s">
        <v>34</v>
      </c>
      <c r="BJ6" s="2">
        <f t="shared" si="0"/>
        <v>0</v>
      </c>
      <c r="BK6" s="6">
        <f t="shared" si="1"/>
        <v>0</v>
      </c>
      <c r="BL6" s="2" t="s">
        <v>11</v>
      </c>
      <c r="BM6" s="2"/>
    </row>
    <row r="7" spans="1:65">
      <c r="A7" s="2" t="s">
        <v>125</v>
      </c>
      <c r="B7" s="5" t="s">
        <v>34</v>
      </c>
      <c r="C7" s="5" t="s">
        <v>34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  <c r="X7" s="5" t="s">
        <v>34</v>
      </c>
      <c r="Y7" s="5" t="s">
        <v>34</v>
      </c>
      <c r="Z7" s="5" t="s">
        <v>34</v>
      </c>
      <c r="AA7" s="5" t="s">
        <v>34</v>
      </c>
      <c r="AB7" s="5" t="s">
        <v>34</v>
      </c>
      <c r="AC7" s="5" t="s">
        <v>34</v>
      </c>
      <c r="AD7" s="5" t="s">
        <v>34</v>
      </c>
      <c r="AE7" s="5" t="s">
        <v>34</v>
      </c>
      <c r="AF7" s="5" t="s">
        <v>34</v>
      </c>
      <c r="AG7" s="5" t="s">
        <v>34</v>
      </c>
      <c r="AH7" s="5" t="s">
        <v>34</v>
      </c>
      <c r="AI7" s="5" t="s">
        <v>34</v>
      </c>
      <c r="AJ7" s="5" t="s">
        <v>34</v>
      </c>
      <c r="AK7" s="5" t="s">
        <v>34</v>
      </c>
      <c r="AL7" s="5" t="s">
        <v>34</v>
      </c>
      <c r="AM7" s="5" t="s">
        <v>34</v>
      </c>
      <c r="AN7" s="5" t="s">
        <v>34</v>
      </c>
      <c r="AO7" s="5" t="s">
        <v>34</v>
      </c>
      <c r="AP7" s="5" t="s">
        <v>34</v>
      </c>
      <c r="AQ7" s="5" t="s">
        <v>34</v>
      </c>
      <c r="AR7" s="5" t="s">
        <v>34</v>
      </c>
      <c r="AS7" s="5" t="s">
        <v>34</v>
      </c>
      <c r="AT7" s="5" t="s">
        <v>34</v>
      </c>
      <c r="AU7" s="5" t="s">
        <v>34</v>
      </c>
      <c r="AV7" s="5" t="s">
        <v>34</v>
      </c>
      <c r="AW7" s="5" t="s">
        <v>34</v>
      </c>
      <c r="AX7" s="5" t="s">
        <v>34</v>
      </c>
      <c r="AY7" s="5" t="s">
        <v>34</v>
      </c>
      <c r="AZ7" s="5" t="s">
        <v>34</v>
      </c>
      <c r="BA7" s="5" t="s">
        <v>34</v>
      </c>
      <c r="BB7" s="5" t="s">
        <v>34</v>
      </c>
      <c r="BC7" s="5" t="s">
        <v>34</v>
      </c>
      <c r="BD7" s="5" t="s">
        <v>34</v>
      </c>
      <c r="BE7" s="5" t="s">
        <v>34</v>
      </c>
      <c r="BF7" s="5" t="s">
        <v>34</v>
      </c>
      <c r="BG7" s="5" t="s">
        <v>34</v>
      </c>
      <c r="BH7" s="5" t="s">
        <v>34</v>
      </c>
      <c r="BI7" s="5" t="s">
        <v>34</v>
      </c>
      <c r="BJ7" s="2">
        <f t="shared" si="0"/>
        <v>0</v>
      </c>
      <c r="BK7" s="6">
        <f t="shared" si="1"/>
        <v>0</v>
      </c>
      <c r="BL7" s="2" t="s">
        <v>11</v>
      </c>
      <c r="BM7" s="2"/>
    </row>
    <row r="8" spans="1:65">
      <c r="A8" s="2" t="s">
        <v>126</v>
      </c>
      <c r="B8" s="5" t="s">
        <v>34</v>
      </c>
      <c r="C8" s="5" t="s">
        <v>34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5" t="s">
        <v>34</v>
      </c>
      <c r="AA8" s="5" t="s">
        <v>34</v>
      </c>
      <c r="AB8" s="5" t="s">
        <v>34</v>
      </c>
      <c r="AC8" s="5" t="s">
        <v>34</v>
      </c>
      <c r="AD8" s="5" t="s">
        <v>34</v>
      </c>
      <c r="AE8" s="5" t="s">
        <v>34</v>
      </c>
      <c r="AF8" s="5" t="s">
        <v>34</v>
      </c>
      <c r="AG8" s="5" t="s">
        <v>34</v>
      </c>
      <c r="AH8" s="5" t="s">
        <v>34</v>
      </c>
      <c r="AI8" s="5" t="s">
        <v>34</v>
      </c>
      <c r="AJ8" s="5" t="s">
        <v>34</v>
      </c>
      <c r="AK8" s="5" t="s">
        <v>34</v>
      </c>
      <c r="AL8" s="5" t="s">
        <v>34</v>
      </c>
      <c r="AM8" s="5" t="s">
        <v>34</v>
      </c>
      <c r="AN8" s="5" t="s">
        <v>34</v>
      </c>
      <c r="AO8" s="5" t="s">
        <v>34</v>
      </c>
      <c r="AP8" s="5" t="s">
        <v>34</v>
      </c>
      <c r="AQ8" s="5" t="s">
        <v>34</v>
      </c>
      <c r="AR8" s="5" t="s">
        <v>34</v>
      </c>
      <c r="AS8" s="5" t="s">
        <v>34</v>
      </c>
      <c r="AT8" s="5" t="s">
        <v>34</v>
      </c>
      <c r="AU8" s="5" t="s">
        <v>34</v>
      </c>
      <c r="AV8" s="5" t="s">
        <v>34</v>
      </c>
      <c r="AW8" s="5" t="s">
        <v>34</v>
      </c>
      <c r="AX8" s="5" t="s">
        <v>34</v>
      </c>
      <c r="AY8" s="5" t="s">
        <v>34</v>
      </c>
      <c r="AZ8" s="5" t="s">
        <v>34</v>
      </c>
      <c r="BA8" s="5" t="s">
        <v>34</v>
      </c>
      <c r="BB8" s="5" t="s">
        <v>34</v>
      </c>
      <c r="BC8" s="5" t="s">
        <v>34</v>
      </c>
      <c r="BD8" s="5" t="s">
        <v>34</v>
      </c>
      <c r="BE8" s="5" t="s">
        <v>34</v>
      </c>
      <c r="BF8" s="5" t="s">
        <v>34</v>
      </c>
      <c r="BG8" s="5" t="s">
        <v>34</v>
      </c>
      <c r="BH8" s="5" t="s">
        <v>34</v>
      </c>
      <c r="BI8" s="5" t="s">
        <v>34</v>
      </c>
      <c r="BJ8" s="2">
        <f t="shared" si="0"/>
        <v>0</v>
      </c>
      <c r="BK8" s="6">
        <f t="shared" si="1"/>
        <v>0</v>
      </c>
      <c r="BL8" s="2" t="s">
        <v>11</v>
      </c>
      <c r="BM8" s="2"/>
    </row>
    <row r="9" spans="1:65">
      <c r="A9" s="2" t="s">
        <v>127</v>
      </c>
      <c r="B9" s="5" t="s">
        <v>34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5" t="s">
        <v>34</v>
      </c>
      <c r="AA9" s="5" t="s">
        <v>34</v>
      </c>
      <c r="AB9" s="5" t="s">
        <v>34</v>
      </c>
      <c r="AC9" s="5" t="s">
        <v>34</v>
      </c>
      <c r="AD9" s="5" t="s">
        <v>34</v>
      </c>
      <c r="AE9" s="5" t="s">
        <v>34</v>
      </c>
      <c r="AF9" s="5" t="s">
        <v>34</v>
      </c>
      <c r="AG9" s="5" t="s">
        <v>34</v>
      </c>
      <c r="AH9" s="5" t="s">
        <v>34</v>
      </c>
      <c r="AI9" s="5" t="s">
        <v>34</v>
      </c>
      <c r="AJ9" s="5" t="s">
        <v>34</v>
      </c>
      <c r="AK9" s="5" t="s">
        <v>34</v>
      </c>
      <c r="AL9" s="5" t="s">
        <v>34</v>
      </c>
      <c r="AM9" s="5" t="s">
        <v>34</v>
      </c>
      <c r="AN9" s="5" t="s">
        <v>34</v>
      </c>
      <c r="AO9" s="5" t="s">
        <v>34</v>
      </c>
      <c r="AP9" s="5" t="s">
        <v>34</v>
      </c>
      <c r="AQ9" s="5" t="s">
        <v>34</v>
      </c>
      <c r="AR9" s="5" t="s">
        <v>34</v>
      </c>
      <c r="AS9" s="5" t="s">
        <v>34</v>
      </c>
      <c r="AT9" s="5" t="s">
        <v>34</v>
      </c>
      <c r="AU9" s="5" t="s">
        <v>34</v>
      </c>
      <c r="AV9" s="5" t="s">
        <v>34</v>
      </c>
      <c r="AW9" s="5" t="s">
        <v>34</v>
      </c>
      <c r="AX9" s="5" t="s">
        <v>34</v>
      </c>
      <c r="AY9" s="5" t="s">
        <v>34</v>
      </c>
      <c r="AZ9" s="5" t="s">
        <v>34</v>
      </c>
      <c r="BA9" s="5" t="s">
        <v>34</v>
      </c>
      <c r="BB9" s="5" t="s">
        <v>34</v>
      </c>
      <c r="BC9" s="5" t="s">
        <v>34</v>
      </c>
      <c r="BD9" s="5" t="s">
        <v>34</v>
      </c>
      <c r="BE9" s="5" t="s">
        <v>34</v>
      </c>
      <c r="BF9" s="5" t="s">
        <v>34</v>
      </c>
      <c r="BG9" s="5" t="s">
        <v>34</v>
      </c>
      <c r="BH9" s="5" t="s">
        <v>34</v>
      </c>
      <c r="BI9" s="5" t="s">
        <v>34</v>
      </c>
      <c r="BJ9" s="2">
        <f t="shared" si="0"/>
        <v>0</v>
      </c>
      <c r="BK9" s="6">
        <f t="shared" si="1"/>
        <v>0</v>
      </c>
      <c r="BL9" s="2" t="s">
        <v>11</v>
      </c>
      <c r="BM9" s="2"/>
    </row>
    <row r="10" spans="1:65">
      <c r="A10" s="2" t="s">
        <v>128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5" t="s">
        <v>34</v>
      </c>
      <c r="AA10" s="5" t="s">
        <v>34</v>
      </c>
      <c r="AB10" s="5" t="s">
        <v>34</v>
      </c>
      <c r="AC10" s="5" t="s">
        <v>34</v>
      </c>
      <c r="AD10" s="5" t="s">
        <v>34</v>
      </c>
      <c r="AE10" s="5" t="s">
        <v>34</v>
      </c>
      <c r="AF10" s="5" t="s">
        <v>34</v>
      </c>
      <c r="AG10" s="5" t="s">
        <v>34</v>
      </c>
      <c r="AH10" s="5" t="s">
        <v>34</v>
      </c>
      <c r="AI10" s="5" t="s">
        <v>34</v>
      </c>
      <c r="AJ10" s="5" t="s">
        <v>34</v>
      </c>
      <c r="AK10" s="5" t="s">
        <v>34</v>
      </c>
      <c r="AL10" s="5" t="s">
        <v>34</v>
      </c>
      <c r="AM10" s="5" t="s">
        <v>34</v>
      </c>
      <c r="AN10" s="5" t="s">
        <v>34</v>
      </c>
      <c r="AO10" s="5" t="s">
        <v>34</v>
      </c>
      <c r="AP10" s="5" t="s">
        <v>34</v>
      </c>
      <c r="AQ10" s="5" t="s">
        <v>34</v>
      </c>
      <c r="AR10" s="5" t="s">
        <v>34</v>
      </c>
      <c r="AS10" s="5" t="s">
        <v>34</v>
      </c>
      <c r="AT10" s="5" t="s">
        <v>34</v>
      </c>
      <c r="AU10" s="5" t="s">
        <v>34</v>
      </c>
      <c r="AV10" s="5" t="s">
        <v>34</v>
      </c>
      <c r="AW10" s="5" t="s">
        <v>34</v>
      </c>
      <c r="AX10" s="5" t="s">
        <v>34</v>
      </c>
      <c r="AY10" s="5" t="s">
        <v>34</v>
      </c>
      <c r="AZ10" s="5" t="s">
        <v>34</v>
      </c>
      <c r="BA10" s="5" t="s">
        <v>34</v>
      </c>
      <c r="BB10" s="5" t="s">
        <v>34</v>
      </c>
      <c r="BC10" s="5" t="s">
        <v>34</v>
      </c>
      <c r="BD10" s="5" t="s">
        <v>34</v>
      </c>
      <c r="BE10" s="5" t="s">
        <v>34</v>
      </c>
      <c r="BF10" s="5" t="s">
        <v>34</v>
      </c>
      <c r="BG10" s="5" t="s">
        <v>34</v>
      </c>
      <c r="BH10" s="5" t="s">
        <v>34</v>
      </c>
      <c r="BI10" s="5" t="s">
        <v>34</v>
      </c>
      <c r="BJ10" s="2">
        <f t="shared" si="0"/>
        <v>0</v>
      </c>
      <c r="BK10" s="6">
        <f t="shared" si="1"/>
        <v>0</v>
      </c>
      <c r="BL10" s="2" t="s">
        <v>11</v>
      </c>
      <c r="BM10" s="2"/>
    </row>
    <row r="11" spans="1:65">
      <c r="A11" s="2" t="s">
        <v>129</v>
      </c>
      <c r="B11" s="5" t="s">
        <v>34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5" t="s">
        <v>34</v>
      </c>
      <c r="AA11" s="5" t="s">
        <v>34</v>
      </c>
      <c r="AB11" s="5" t="s">
        <v>34</v>
      </c>
      <c r="AC11" s="5" t="s">
        <v>34</v>
      </c>
      <c r="AD11" s="5" t="s">
        <v>34</v>
      </c>
      <c r="AE11" s="5" t="s">
        <v>34</v>
      </c>
      <c r="AF11" s="5" t="s">
        <v>34</v>
      </c>
      <c r="AG11" s="5" t="s">
        <v>34</v>
      </c>
      <c r="AH11" s="5" t="s">
        <v>34</v>
      </c>
      <c r="AI11" s="5" t="s">
        <v>34</v>
      </c>
      <c r="AJ11" s="5" t="s">
        <v>34</v>
      </c>
      <c r="AK11" s="5" t="s">
        <v>34</v>
      </c>
      <c r="AL11" s="5" t="s">
        <v>34</v>
      </c>
      <c r="AM11" s="5" t="s">
        <v>34</v>
      </c>
      <c r="AN11" s="5" t="s">
        <v>34</v>
      </c>
      <c r="AO11" s="5" t="s">
        <v>34</v>
      </c>
      <c r="AP11" s="5" t="s">
        <v>34</v>
      </c>
      <c r="AQ11" s="5" t="s">
        <v>34</v>
      </c>
      <c r="AR11" s="5" t="s">
        <v>34</v>
      </c>
      <c r="AS11" s="5" t="s">
        <v>34</v>
      </c>
      <c r="AT11" s="5" t="s">
        <v>34</v>
      </c>
      <c r="AU11" s="5" t="s">
        <v>34</v>
      </c>
      <c r="AV11" s="5" t="s">
        <v>34</v>
      </c>
      <c r="AW11" s="5" t="s">
        <v>34</v>
      </c>
      <c r="AX11" s="5" t="s">
        <v>34</v>
      </c>
      <c r="AY11" s="5" t="s">
        <v>34</v>
      </c>
      <c r="AZ11" s="5" t="s">
        <v>34</v>
      </c>
      <c r="BA11" s="5" t="s">
        <v>34</v>
      </c>
      <c r="BB11" s="5" t="s">
        <v>34</v>
      </c>
      <c r="BC11" s="5" t="s">
        <v>34</v>
      </c>
      <c r="BD11" s="5" t="s">
        <v>34</v>
      </c>
      <c r="BE11" s="5" t="s">
        <v>34</v>
      </c>
      <c r="BF11" s="5" t="s">
        <v>34</v>
      </c>
      <c r="BG11" s="5" t="s">
        <v>34</v>
      </c>
      <c r="BH11" s="5" t="s">
        <v>34</v>
      </c>
      <c r="BI11" s="5" t="s">
        <v>34</v>
      </c>
      <c r="BJ11" s="2">
        <f t="shared" si="0"/>
        <v>0</v>
      </c>
      <c r="BK11" s="6">
        <f t="shared" si="1"/>
        <v>0</v>
      </c>
      <c r="BL11" s="2" t="s">
        <v>11</v>
      </c>
      <c r="BM11" s="2"/>
    </row>
    <row r="12" spans="1:65">
      <c r="A12" s="2" t="s">
        <v>130</v>
      </c>
      <c r="B12" s="5" t="s">
        <v>34</v>
      </c>
      <c r="C12" s="5" t="s">
        <v>34</v>
      </c>
      <c r="D12" s="5" t="s">
        <v>34</v>
      </c>
      <c r="E12" s="5" t="s">
        <v>34</v>
      </c>
      <c r="F12" s="5" t="s">
        <v>34</v>
      </c>
      <c r="G12" s="5" t="s">
        <v>34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34</v>
      </c>
      <c r="N12" s="5" t="s">
        <v>34</v>
      </c>
      <c r="O12" s="5" t="s">
        <v>34</v>
      </c>
      <c r="P12" s="5" t="s">
        <v>34</v>
      </c>
      <c r="Q12" s="5" t="s">
        <v>34</v>
      </c>
      <c r="R12" s="5" t="s">
        <v>34</v>
      </c>
      <c r="S12" s="5" t="s">
        <v>34</v>
      </c>
      <c r="T12" s="5" t="s">
        <v>34</v>
      </c>
      <c r="U12" s="5" t="s">
        <v>34</v>
      </c>
      <c r="V12" s="5" t="s">
        <v>34</v>
      </c>
      <c r="W12" s="5" t="s">
        <v>34</v>
      </c>
      <c r="X12" s="5" t="s">
        <v>34</v>
      </c>
      <c r="Y12" s="5" t="s">
        <v>34</v>
      </c>
      <c r="Z12" s="5" t="s">
        <v>34</v>
      </c>
      <c r="AA12" s="5" t="s">
        <v>34</v>
      </c>
      <c r="AB12" s="5" t="s">
        <v>34</v>
      </c>
      <c r="AC12" s="5" t="s">
        <v>34</v>
      </c>
      <c r="AD12" s="5" t="s">
        <v>34</v>
      </c>
      <c r="AE12" s="5" t="s">
        <v>34</v>
      </c>
      <c r="AF12" s="5" t="s">
        <v>34</v>
      </c>
      <c r="AG12" s="5" t="s">
        <v>34</v>
      </c>
      <c r="AH12" s="5" t="s">
        <v>34</v>
      </c>
      <c r="AI12" s="5" t="s">
        <v>34</v>
      </c>
      <c r="AJ12" s="5" t="s">
        <v>34</v>
      </c>
      <c r="AK12" s="5" t="s">
        <v>34</v>
      </c>
      <c r="AL12" s="5" t="s">
        <v>34</v>
      </c>
      <c r="AM12" s="5" t="s">
        <v>34</v>
      </c>
      <c r="AN12" s="5" t="s">
        <v>34</v>
      </c>
      <c r="AO12" s="5" t="s">
        <v>34</v>
      </c>
      <c r="AP12" s="5" t="s">
        <v>34</v>
      </c>
      <c r="AQ12" s="5" t="s">
        <v>34</v>
      </c>
      <c r="AR12" s="5" t="s">
        <v>34</v>
      </c>
      <c r="AS12" s="5" t="s">
        <v>34</v>
      </c>
      <c r="AT12" s="5" t="s">
        <v>34</v>
      </c>
      <c r="AU12" s="5" t="s">
        <v>34</v>
      </c>
      <c r="AV12" s="5" t="s">
        <v>34</v>
      </c>
      <c r="AW12" s="5" t="s">
        <v>34</v>
      </c>
      <c r="AX12" s="5" t="s">
        <v>34</v>
      </c>
      <c r="AY12" s="5" t="s">
        <v>34</v>
      </c>
      <c r="AZ12" s="5" t="s">
        <v>34</v>
      </c>
      <c r="BA12" s="5" t="s">
        <v>34</v>
      </c>
      <c r="BB12" s="5" t="s">
        <v>34</v>
      </c>
      <c r="BC12" s="5" t="s">
        <v>34</v>
      </c>
      <c r="BD12" s="5" t="s">
        <v>34</v>
      </c>
      <c r="BE12" s="5" t="s">
        <v>34</v>
      </c>
      <c r="BF12" s="5" t="s">
        <v>34</v>
      </c>
      <c r="BG12" s="5" t="s">
        <v>34</v>
      </c>
      <c r="BH12" s="5" t="s">
        <v>34</v>
      </c>
      <c r="BI12" s="5" t="s">
        <v>34</v>
      </c>
      <c r="BJ12" s="2">
        <f t="shared" si="0"/>
        <v>0</v>
      </c>
      <c r="BK12" s="6">
        <f t="shared" si="1"/>
        <v>0</v>
      </c>
      <c r="BL12" s="2" t="s">
        <v>11</v>
      </c>
      <c r="BM12" s="2"/>
    </row>
    <row r="13" spans="1:65">
      <c r="A13" s="2" t="s">
        <v>131</v>
      </c>
      <c r="B13" s="5" t="s">
        <v>34</v>
      </c>
      <c r="C13" s="5" t="s">
        <v>34</v>
      </c>
      <c r="D13" s="5" t="s">
        <v>34</v>
      </c>
      <c r="E13" s="5" t="s">
        <v>34</v>
      </c>
      <c r="F13" s="5" t="s">
        <v>34</v>
      </c>
      <c r="G13" s="5" t="s">
        <v>34</v>
      </c>
      <c r="H13" s="5" t="s">
        <v>34</v>
      </c>
      <c r="I13" s="5" t="s">
        <v>34</v>
      </c>
      <c r="J13" s="5" t="s">
        <v>34</v>
      </c>
      <c r="K13" s="5" t="s">
        <v>34</v>
      </c>
      <c r="L13" s="5" t="s">
        <v>34</v>
      </c>
      <c r="M13" s="5" t="s">
        <v>34</v>
      </c>
      <c r="N13" s="5" t="s">
        <v>34</v>
      </c>
      <c r="O13" s="5" t="s">
        <v>34</v>
      </c>
      <c r="P13" s="5" t="s">
        <v>34</v>
      </c>
      <c r="Q13" s="5" t="s">
        <v>34</v>
      </c>
      <c r="R13" s="5" t="s">
        <v>34</v>
      </c>
      <c r="S13" s="5" t="s">
        <v>34</v>
      </c>
      <c r="T13" s="5" t="s">
        <v>34</v>
      </c>
      <c r="U13" s="5" t="s">
        <v>34</v>
      </c>
      <c r="V13" s="5" t="s">
        <v>34</v>
      </c>
      <c r="W13" s="5" t="s">
        <v>34</v>
      </c>
      <c r="X13" s="5" t="s">
        <v>34</v>
      </c>
      <c r="Y13" s="5" t="s">
        <v>34</v>
      </c>
      <c r="Z13" s="5" t="s">
        <v>34</v>
      </c>
      <c r="AA13" s="5" t="s">
        <v>34</v>
      </c>
      <c r="AB13" s="5" t="s">
        <v>34</v>
      </c>
      <c r="AC13" s="5" t="s">
        <v>34</v>
      </c>
      <c r="AD13" s="5" t="s">
        <v>34</v>
      </c>
      <c r="AE13" s="5" t="s">
        <v>34</v>
      </c>
      <c r="AF13" s="5" t="s">
        <v>34</v>
      </c>
      <c r="AG13" s="5" t="s">
        <v>34</v>
      </c>
      <c r="AH13" s="5" t="s">
        <v>34</v>
      </c>
      <c r="AI13" s="5" t="s">
        <v>34</v>
      </c>
      <c r="AJ13" s="5" t="s">
        <v>34</v>
      </c>
      <c r="AK13" s="5" t="s">
        <v>34</v>
      </c>
      <c r="AL13" s="5" t="s">
        <v>34</v>
      </c>
      <c r="AM13" s="5" t="s">
        <v>34</v>
      </c>
      <c r="AN13" s="5" t="s">
        <v>34</v>
      </c>
      <c r="AO13" s="5" t="s">
        <v>34</v>
      </c>
      <c r="AP13" s="5" t="s">
        <v>34</v>
      </c>
      <c r="AQ13" s="5" t="s">
        <v>34</v>
      </c>
      <c r="AR13" s="5" t="s">
        <v>34</v>
      </c>
      <c r="AS13" s="5" t="s">
        <v>34</v>
      </c>
      <c r="AT13" s="5" t="s">
        <v>34</v>
      </c>
      <c r="AU13" s="5" t="s">
        <v>34</v>
      </c>
      <c r="AV13" s="5" t="s">
        <v>34</v>
      </c>
      <c r="AW13" s="5" t="s">
        <v>34</v>
      </c>
      <c r="AX13" s="5" t="s">
        <v>34</v>
      </c>
      <c r="AY13" s="5" t="s">
        <v>34</v>
      </c>
      <c r="AZ13" s="5" t="s">
        <v>34</v>
      </c>
      <c r="BA13" s="5" t="s">
        <v>34</v>
      </c>
      <c r="BB13" s="5" t="s">
        <v>34</v>
      </c>
      <c r="BC13" s="5" t="s">
        <v>34</v>
      </c>
      <c r="BD13" s="5" t="s">
        <v>34</v>
      </c>
      <c r="BE13" s="5" t="s">
        <v>34</v>
      </c>
      <c r="BF13" s="5" t="s">
        <v>34</v>
      </c>
      <c r="BG13" s="5" t="s">
        <v>34</v>
      </c>
      <c r="BH13" s="5" t="s">
        <v>34</v>
      </c>
      <c r="BI13" s="5" t="s">
        <v>34</v>
      </c>
      <c r="BJ13" s="2">
        <f t="shared" si="0"/>
        <v>0</v>
      </c>
      <c r="BK13" s="6">
        <f t="shared" si="1"/>
        <v>0</v>
      </c>
      <c r="BL13" s="2" t="s">
        <v>11</v>
      </c>
      <c r="BM13" s="2"/>
    </row>
    <row r="14" spans="1:65">
      <c r="A14" s="2" t="s">
        <v>132</v>
      </c>
      <c r="B14" s="5" t="s">
        <v>34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34</v>
      </c>
      <c r="K14" s="5" t="s">
        <v>34</v>
      </c>
      <c r="L14" s="5" t="s">
        <v>34</v>
      </c>
      <c r="M14" s="5" t="s">
        <v>34</v>
      </c>
      <c r="N14" s="5" t="s">
        <v>34</v>
      </c>
      <c r="O14" s="5" t="s">
        <v>34</v>
      </c>
      <c r="P14" s="5" t="s">
        <v>34</v>
      </c>
      <c r="Q14" s="5" t="s">
        <v>34</v>
      </c>
      <c r="R14" s="5" t="s">
        <v>34</v>
      </c>
      <c r="S14" s="5" t="s">
        <v>34</v>
      </c>
      <c r="T14" s="5" t="s">
        <v>34</v>
      </c>
      <c r="U14" s="5" t="s">
        <v>34</v>
      </c>
      <c r="V14" s="5" t="s">
        <v>34</v>
      </c>
      <c r="W14" s="5" t="s">
        <v>34</v>
      </c>
      <c r="X14" s="5" t="s">
        <v>34</v>
      </c>
      <c r="Y14" s="5" t="s">
        <v>34</v>
      </c>
      <c r="Z14" s="5" t="s">
        <v>34</v>
      </c>
      <c r="AA14" s="5" t="s">
        <v>34</v>
      </c>
      <c r="AB14" s="5" t="s">
        <v>34</v>
      </c>
      <c r="AC14" s="5" t="s">
        <v>34</v>
      </c>
      <c r="AD14" s="5" t="s">
        <v>34</v>
      </c>
      <c r="AE14" s="5" t="s">
        <v>34</v>
      </c>
      <c r="AF14" s="5" t="s">
        <v>34</v>
      </c>
      <c r="AG14" s="5" t="s">
        <v>34</v>
      </c>
      <c r="AH14" s="5" t="s">
        <v>34</v>
      </c>
      <c r="AI14" s="5" t="s">
        <v>34</v>
      </c>
      <c r="AJ14" s="5" t="s">
        <v>34</v>
      </c>
      <c r="AK14" s="5" t="s">
        <v>34</v>
      </c>
      <c r="AL14" s="5" t="s">
        <v>34</v>
      </c>
      <c r="AM14" s="5" t="s">
        <v>34</v>
      </c>
      <c r="AN14" s="5" t="s">
        <v>34</v>
      </c>
      <c r="AO14" s="5" t="s">
        <v>34</v>
      </c>
      <c r="AP14" s="5" t="s">
        <v>34</v>
      </c>
      <c r="AQ14" s="5" t="s">
        <v>34</v>
      </c>
      <c r="AR14" s="5" t="s">
        <v>34</v>
      </c>
      <c r="AS14" s="5" t="s">
        <v>34</v>
      </c>
      <c r="AT14" s="5" t="s">
        <v>34</v>
      </c>
      <c r="AU14" s="5" t="s">
        <v>34</v>
      </c>
      <c r="AV14" s="5" t="s">
        <v>34</v>
      </c>
      <c r="AW14" s="5" t="s">
        <v>34</v>
      </c>
      <c r="AX14" s="5" t="s">
        <v>34</v>
      </c>
      <c r="AY14" s="5" t="s">
        <v>34</v>
      </c>
      <c r="AZ14" s="5" t="s">
        <v>34</v>
      </c>
      <c r="BA14" s="5" t="s">
        <v>34</v>
      </c>
      <c r="BB14" s="5" t="s">
        <v>34</v>
      </c>
      <c r="BC14" s="5" t="s">
        <v>34</v>
      </c>
      <c r="BD14" s="5" t="s">
        <v>34</v>
      </c>
      <c r="BE14" s="5" t="s">
        <v>34</v>
      </c>
      <c r="BF14" s="5" t="s">
        <v>34</v>
      </c>
      <c r="BG14" s="5" t="s">
        <v>34</v>
      </c>
      <c r="BH14" s="5" t="s">
        <v>34</v>
      </c>
      <c r="BI14" s="5" t="s">
        <v>34</v>
      </c>
      <c r="BJ14" s="2">
        <f t="shared" si="0"/>
        <v>0</v>
      </c>
      <c r="BK14" s="6">
        <f t="shared" si="1"/>
        <v>0</v>
      </c>
      <c r="BL14" s="2" t="s">
        <v>11</v>
      </c>
      <c r="BM14" s="2"/>
    </row>
    <row r="15" spans="1:65">
      <c r="A15" s="2" t="s">
        <v>38</v>
      </c>
      <c r="B15" s="5" t="s">
        <v>34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5" t="s">
        <v>34</v>
      </c>
      <c r="O15" s="5" t="s">
        <v>34</v>
      </c>
      <c r="P15" s="5" t="s">
        <v>34</v>
      </c>
      <c r="Q15" s="5" t="s">
        <v>34</v>
      </c>
      <c r="R15" s="5" t="s">
        <v>34</v>
      </c>
      <c r="S15" s="5" t="s">
        <v>34</v>
      </c>
      <c r="T15" s="5" t="s">
        <v>34</v>
      </c>
      <c r="U15" s="5" t="s">
        <v>34</v>
      </c>
      <c r="V15" s="5" t="s">
        <v>34</v>
      </c>
      <c r="W15" s="5" t="s">
        <v>34</v>
      </c>
      <c r="X15" s="5" t="s">
        <v>34</v>
      </c>
      <c r="Y15" s="5" t="s">
        <v>34</v>
      </c>
      <c r="Z15" s="5" t="s">
        <v>34</v>
      </c>
      <c r="AA15" s="5" t="s">
        <v>34</v>
      </c>
      <c r="AB15" s="5" t="s">
        <v>34</v>
      </c>
      <c r="AC15" s="5" t="s">
        <v>34</v>
      </c>
      <c r="AD15" s="5" t="s">
        <v>34</v>
      </c>
      <c r="AE15" s="5" t="s">
        <v>34</v>
      </c>
      <c r="AF15" s="5" t="s">
        <v>34</v>
      </c>
      <c r="AG15" s="5" t="s">
        <v>34</v>
      </c>
      <c r="AH15" s="5" t="s">
        <v>34</v>
      </c>
      <c r="AI15" s="5" t="s">
        <v>34</v>
      </c>
      <c r="AJ15" s="5" t="s">
        <v>34</v>
      </c>
      <c r="AK15" s="5" t="s">
        <v>34</v>
      </c>
      <c r="AL15" s="5" t="s">
        <v>34</v>
      </c>
      <c r="AM15" s="5" t="s">
        <v>34</v>
      </c>
      <c r="AN15" s="5" t="s">
        <v>34</v>
      </c>
      <c r="AO15" s="5" t="s">
        <v>34</v>
      </c>
      <c r="AP15" s="5" t="s">
        <v>34</v>
      </c>
      <c r="AQ15" s="5" t="s">
        <v>34</v>
      </c>
      <c r="AR15" s="5" t="s">
        <v>34</v>
      </c>
      <c r="AS15" s="5" t="s">
        <v>34</v>
      </c>
      <c r="AT15" s="5" t="s">
        <v>34</v>
      </c>
      <c r="AU15" s="5" t="s">
        <v>34</v>
      </c>
      <c r="AV15" s="5" t="s">
        <v>34</v>
      </c>
      <c r="AW15" s="5" t="s">
        <v>34</v>
      </c>
      <c r="AX15" s="5" t="s">
        <v>34</v>
      </c>
      <c r="AY15" s="5" t="s">
        <v>34</v>
      </c>
      <c r="AZ15" s="5" t="s">
        <v>34</v>
      </c>
      <c r="BA15" s="5" t="s">
        <v>34</v>
      </c>
      <c r="BB15" s="5" t="s">
        <v>34</v>
      </c>
      <c r="BC15" s="5" t="s">
        <v>34</v>
      </c>
      <c r="BD15" s="5" t="s">
        <v>34</v>
      </c>
      <c r="BE15" s="5" t="s">
        <v>34</v>
      </c>
      <c r="BF15" s="5" t="s">
        <v>34</v>
      </c>
      <c r="BG15" s="5" t="s">
        <v>34</v>
      </c>
      <c r="BH15" s="5" t="s">
        <v>34</v>
      </c>
      <c r="BI15" s="5" t="s">
        <v>34</v>
      </c>
      <c r="BJ15" s="2">
        <f t="shared" si="0"/>
        <v>0</v>
      </c>
      <c r="BK15" s="6">
        <f t="shared" si="1"/>
        <v>0</v>
      </c>
      <c r="BL15" s="2" t="s">
        <v>11</v>
      </c>
      <c r="BM15" s="2"/>
    </row>
    <row r="16" spans="1:65">
      <c r="A16" s="2" t="s">
        <v>133</v>
      </c>
      <c r="B16" s="5" t="s">
        <v>34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5" t="s">
        <v>34</v>
      </c>
      <c r="I16" s="5" t="s">
        <v>34</v>
      </c>
      <c r="J16" s="5" t="s">
        <v>34</v>
      </c>
      <c r="K16" s="5" t="s">
        <v>34</v>
      </c>
      <c r="L16" s="5" t="s">
        <v>34</v>
      </c>
      <c r="M16" s="5" t="s">
        <v>34</v>
      </c>
      <c r="N16" s="5" t="s">
        <v>34</v>
      </c>
      <c r="O16" s="5" t="s">
        <v>34</v>
      </c>
      <c r="P16" s="5" t="s">
        <v>34</v>
      </c>
      <c r="Q16" s="5" t="s">
        <v>34</v>
      </c>
      <c r="R16" s="5" t="s">
        <v>34</v>
      </c>
      <c r="S16" s="5" t="s">
        <v>34</v>
      </c>
      <c r="T16" s="5" t="s">
        <v>34</v>
      </c>
      <c r="U16" s="5" t="s">
        <v>34</v>
      </c>
      <c r="V16" s="5" t="s">
        <v>34</v>
      </c>
      <c r="W16" s="5" t="s">
        <v>34</v>
      </c>
      <c r="X16" s="5" t="s">
        <v>34</v>
      </c>
      <c r="Y16" s="5" t="s">
        <v>34</v>
      </c>
      <c r="Z16" s="5" t="s">
        <v>34</v>
      </c>
      <c r="AA16" s="5" t="s">
        <v>34</v>
      </c>
      <c r="AB16" s="5" t="s">
        <v>34</v>
      </c>
      <c r="AC16" s="5" t="s">
        <v>34</v>
      </c>
      <c r="AD16" s="5" t="s">
        <v>34</v>
      </c>
      <c r="AE16" s="5" t="s">
        <v>34</v>
      </c>
      <c r="AF16" s="5" t="s">
        <v>34</v>
      </c>
      <c r="AG16" s="5" t="s">
        <v>34</v>
      </c>
      <c r="AH16" s="5" t="s">
        <v>34</v>
      </c>
      <c r="AI16" s="5" t="s">
        <v>34</v>
      </c>
      <c r="AJ16" s="5" t="s">
        <v>34</v>
      </c>
      <c r="AK16" s="5" t="s">
        <v>34</v>
      </c>
      <c r="AL16" s="5" t="s">
        <v>34</v>
      </c>
      <c r="AM16" s="5" t="s">
        <v>34</v>
      </c>
      <c r="AN16" s="5" t="s">
        <v>34</v>
      </c>
      <c r="AO16" s="5" t="s">
        <v>34</v>
      </c>
      <c r="AP16" s="5" t="s">
        <v>34</v>
      </c>
      <c r="AQ16" s="5" t="s">
        <v>34</v>
      </c>
      <c r="AR16" s="5" t="s">
        <v>34</v>
      </c>
      <c r="AS16" s="5" t="s">
        <v>34</v>
      </c>
      <c r="AT16" s="5" t="s">
        <v>34</v>
      </c>
      <c r="AU16" s="5" t="s">
        <v>34</v>
      </c>
      <c r="AV16" s="5" t="s">
        <v>34</v>
      </c>
      <c r="AW16" s="5" t="s">
        <v>34</v>
      </c>
      <c r="AX16" s="5" t="s">
        <v>34</v>
      </c>
      <c r="AY16" s="5" t="s">
        <v>34</v>
      </c>
      <c r="AZ16" s="5" t="s">
        <v>34</v>
      </c>
      <c r="BA16" s="5" t="s">
        <v>34</v>
      </c>
      <c r="BB16" s="5" t="s">
        <v>34</v>
      </c>
      <c r="BC16" s="5" t="s">
        <v>34</v>
      </c>
      <c r="BD16" s="5" t="s">
        <v>34</v>
      </c>
      <c r="BE16" s="5" t="s">
        <v>34</v>
      </c>
      <c r="BF16" s="5" t="s">
        <v>34</v>
      </c>
      <c r="BG16" s="5" t="s">
        <v>34</v>
      </c>
      <c r="BH16" s="5" t="s">
        <v>34</v>
      </c>
      <c r="BI16" s="5" t="s">
        <v>34</v>
      </c>
      <c r="BJ16" s="2">
        <f t="shared" si="0"/>
        <v>0</v>
      </c>
      <c r="BK16" s="6">
        <f t="shared" si="1"/>
        <v>0</v>
      </c>
      <c r="BL16" s="2" t="s">
        <v>11</v>
      </c>
      <c r="BM16" s="2"/>
    </row>
    <row r="17" spans="1:65">
      <c r="A17" s="2" t="s">
        <v>134</v>
      </c>
      <c r="B17" s="5" t="s">
        <v>34</v>
      </c>
      <c r="C17" s="5" t="s">
        <v>34</v>
      </c>
      <c r="D17" s="5" t="s">
        <v>34</v>
      </c>
      <c r="E17" s="5" t="s">
        <v>34</v>
      </c>
      <c r="F17" s="5" t="s">
        <v>34</v>
      </c>
      <c r="G17" s="5" t="s">
        <v>34</v>
      </c>
      <c r="H17" s="5" t="s">
        <v>34</v>
      </c>
      <c r="I17" s="5" t="s">
        <v>34</v>
      </c>
      <c r="J17" s="5" t="s">
        <v>34</v>
      </c>
      <c r="K17" s="5" t="s">
        <v>34</v>
      </c>
      <c r="L17" s="5" t="s">
        <v>34</v>
      </c>
      <c r="M17" s="5" t="s">
        <v>34</v>
      </c>
      <c r="N17" s="5" t="s">
        <v>34</v>
      </c>
      <c r="O17" s="5" t="s">
        <v>34</v>
      </c>
      <c r="P17" s="5" t="s">
        <v>34</v>
      </c>
      <c r="Q17" s="5" t="s">
        <v>34</v>
      </c>
      <c r="R17" s="5" t="s">
        <v>34</v>
      </c>
      <c r="S17" s="5" t="s">
        <v>34</v>
      </c>
      <c r="T17" s="5" t="s">
        <v>34</v>
      </c>
      <c r="U17" s="5" t="s">
        <v>34</v>
      </c>
      <c r="V17" s="5" t="s">
        <v>34</v>
      </c>
      <c r="W17" s="5" t="s">
        <v>34</v>
      </c>
      <c r="X17" s="5" t="s">
        <v>34</v>
      </c>
      <c r="Y17" s="5" t="s">
        <v>34</v>
      </c>
      <c r="Z17" s="5" t="s">
        <v>34</v>
      </c>
      <c r="AA17" s="5" t="s">
        <v>34</v>
      </c>
      <c r="AB17" s="5" t="s">
        <v>34</v>
      </c>
      <c r="AC17" s="5" t="s">
        <v>34</v>
      </c>
      <c r="AD17" s="5" t="s">
        <v>34</v>
      </c>
      <c r="AE17" s="5" t="s">
        <v>34</v>
      </c>
      <c r="AF17" s="5" t="s">
        <v>34</v>
      </c>
      <c r="AG17" s="5" t="s">
        <v>34</v>
      </c>
      <c r="AH17" s="5" t="s">
        <v>34</v>
      </c>
      <c r="AI17" s="5" t="s">
        <v>34</v>
      </c>
      <c r="AJ17" s="5" t="s">
        <v>34</v>
      </c>
      <c r="AK17" s="5" t="s">
        <v>34</v>
      </c>
      <c r="AL17" s="5" t="s">
        <v>34</v>
      </c>
      <c r="AM17" s="5" t="s">
        <v>34</v>
      </c>
      <c r="AN17" s="5" t="s">
        <v>34</v>
      </c>
      <c r="AO17" s="5" t="s">
        <v>34</v>
      </c>
      <c r="AP17" s="5" t="s">
        <v>34</v>
      </c>
      <c r="AQ17" s="5" t="s">
        <v>34</v>
      </c>
      <c r="AR17" s="5" t="s">
        <v>34</v>
      </c>
      <c r="AS17" s="5" t="s">
        <v>34</v>
      </c>
      <c r="AT17" s="5" t="s">
        <v>34</v>
      </c>
      <c r="AU17" s="5" t="s">
        <v>34</v>
      </c>
      <c r="AV17" s="5" t="s">
        <v>34</v>
      </c>
      <c r="AW17" s="5" t="s">
        <v>34</v>
      </c>
      <c r="AX17" s="5" t="s">
        <v>34</v>
      </c>
      <c r="AY17" s="5" t="s">
        <v>34</v>
      </c>
      <c r="AZ17" s="5" t="s">
        <v>34</v>
      </c>
      <c r="BA17" s="5" t="s">
        <v>34</v>
      </c>
      <c r="BB17" s="5" t="s">
        <v>34</v>
      </c>
      <c r="BC17" s="5" t="s">
        <v>34</v>
      </c>
      <c r="BD17" s="5" t="s">
        <v>34</v>
      </c>
      <c r="BE17" s="5" t="s">
        <v>34</v>
      </c>
      <c r="BF17" s="5" t="s">
        <v>34</v>
      </c>
      <c r="BG17" s="5" t="s">
        <v>34</v>
      </c>
      <c r="BH17" s="5" t="s">
        <v>34</v>
      </c>
      <c r="BI17" s="5" t="s">
        <v>34</v>
      </c>
      <c r="BJ17" s="2">
        <f t="shared" si="0"/>
        <v>0</v>
      </c>
      <c r="BK17" s="6">
        <f t="shared" si="1"/>
        <v>0</v>
      </c>
      <c r="BL17" s="2" t="s">
        <v>11</v>
      </c>
      <c r="BM17" s="2"/>
    </row>
    <row r="18" spans="1:65">
      <c r="A18" s="2" t="s">
        <v>39</v>
      </c>
      <c r="B18" s="5" t="s">
        <v>34</v>
      </c>
      <c r="C18" s="5" t="s">
        <v>34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5" t="s">
        <v>34</v>
      </c>
      <c r="O18" s="5" t="s">
        <v>34</v>
      </c>
      <c r="P18" s="5" t="s">
        <v>34</v>
      </c>
      <c r="Q18" s="5" t="s">
        <v>34</v>
      </c>
      <c r="R18" s="5" t="s">
        <v>34</v>
      </c>
      <c r="S18" s="5" t="s">
        <v>34</v>
      </c>
      <c r="T18" s="5" t="s">
        <v>34</v>
      </c>
      <c r="U18" s="5" t="s">
        <v>34</v>
      </c>
      <c r="V18" s="5" t="s">
        <v>34</v>
      </c>
      <c r="W18" s="5" t="s">
        <v>34</v>
      </c>
      <c r="X18" s="5" t="s">
        <v>34</v>
      </c>
      <c r="Y18" s="5" t="s">
        <v>34</v>
      </c>
      <c r="Z18" s="5" t="s">
        <v>34</v>
      </c>
      <c r="AA18" s="5" t="s">
        <v>34</v>
      </c>
      <c r="AB18" s="5" t="s">
        <v>34</v>
      </c>
      <c r="AC18" s="5" t="s">
        <v>34</v>
      </c>
      <c r="AD18" s="5" t="s">
        <v>34</v>
      </c>
      <c r="AE18" s="5" t="s">
        <v>34</v>
      </c>
      <c r="AF18" s="5" t="s">
        <v>34</v>
      </c>
      <c r="AG18" s="5" t="s">
        <v>34</v>
      </c>
      <c r="AH18" s="5" t="s">
        <v>34</v>
      </c>
      <c r="AI18" s="5" t="s">
        <v>34</v>
      </c>
      <c r="AJ18" s="5" t="s">
        <v>34</v>
      </c>
      <c r="AK18" s="5" t="s">
        <v>34</v>
      </c>
      <c r="AL18" s="5" t="s">
        <v>34</v>
      </c>
      <c r="AM18" s="5" t="s">
        <v>34</v>
      </c>
      <c r="AN18" s="5" t="s">
        <v>34</v>
      </c>
      <c r="AO18" s="5" t="s">
        <v>34</v>
      </c>
      <c r="AP18" s="5" t="s">
        <v>34</v>
      </c>
      <c r="AQ18" s="5" t="s">
        <v>34</v>
      </c>
      <c r="AR18" s="5" t="s">
        <v>34</v>
      </c>
      <c r="AS18" s="5" t="s">
        <v>34</v>
      </c>
      <c r="AT18" s="5" t="s">
        <v>34</v>
      </c>
      <c r="AU18" s="5" t="s">
        <v>34</v>
      </c>
      <c r="AV18" s="5" t="s">
        <v>34</v>
      </c>
      <c r="AW18" s="5" t="s">
        <v>34</v>
      </c>
      <c r="AX18" s="5" t="s">
        <v>34</v>
      </c>
      <c r="AY18" s="5" t="s">
        <v>34</v>
      </c>
      <c r="AZ18" s="5" t="s">
        <v>34</v>
      </c>
      <c r="BA18" s="5" t="s">
        <v>34</v>
      </c>
      <c r="BB18" s="5" t="s">
        <v>34</v>
      </c>
      <c r="BC18" s="5" t="s">
        <v>34</v>
      </c>
      <c r="BD18" s="5" t="s">
        <v>34</v>
      </c>
      <c r="BE18" s="5" t="s">
        <v>34</v>
      </c>
      <c r="BF18" s="5" t="s">
        <v>34</v>
      </c>
      <c r="BG18" s="5" t="s">
        <v>34</v>
      </c>
      <c r="BH18" s="5" t="s">
        <v>34</v>
      </c>
      <c r="BI18" s="5" t="s">
        <v>34</v>
      </c>
      <c r="BJ18" s="2">
        <f t="shared" si="0"/>
        <v>0</v>
      </c>
      <c r="BK18" s="6">
        <f t="shared" si="1"/>
        <v>0</v>
      </c>
      <c r="BL18" s="2" t="s">
        <v>11</v>
      </c>
      <c r="BM18" s="2"/>
    </row>
    <row r="19" spans="1:65">
      <c r="A19" s="2" t="s">
        <v>135</v>
      </c>
      <c r="B19" s="5" t="s">
        <v>34</v>
      </c>
      <c r="C19" s="5" t="s">
        <v>34</v>
      </c>
      <c r="D19" s="5" t="s">
        <v>34</v>
      </c>
      <c r="E19" s="5" t="s">
        <v>34</v>
      </c>
      <c r="F19" s="5" t="s">
        <v>34</v>
      </c>
      <c r="G19" s="5" t="s">
        <v>34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5" t="s">
        <v>34</v>
      </c>
      <c r="O19" s="5" t="s">
        <v>34</v>
      </c>
      <c r="P19" s="5" t="s">
        <v>34</v>
      </c>
      <c r="Q19" s="5" t="s">
        <v>34</v>
      </c>
      <c r="R19" s="5" t="s">
        <v>34</v>
      </c>
      <c r="S19" s="5" t="s">
        <v>34</v>
      </c>
      <c r="T19" s="5" t="s">
        <v>34</v>
      </c>
      <c r="U19" s="5" t="s">
        <v>34</v>
      </c>
      <c r="V19" s="5" t="s">
        <v>34</v>
      </c>
      <c r="W19" s="5" t="s">
        <v>34</v>
      </c>
      <c r="X19" s="5" t="s">
        <v>34</v>
      </c>
      <c r="Y19" s="5" t="s">
        <v>34</v>
      </c>
      <c r="Z19" s="5" t="s">
        <v>34</v>
      </c>
      <c r="AA19" s="5" t="s">
        <v>34</v>
      </c>
      <c r="AB19" s="5" t="s">
        <v>34</v>
      </c>
      <c r="AC19" s="5" t="s">
        <v>34</v>
      </c>
      <c r="AD19" s="5" t="s">
        <v>34</v>
      </c>
      <c r="AE19" s="5" t="s">
        <v>34</v>
      </c>
      <c r="AF19" s="5" t="s">
        <v>34</v>
      </c>
      <c r="AG19" s="5" t="s">
        <v>34</v>
      </c>
      <c r="AH19" s="5" t="s">
        <v>34</v>
      </c>
      <c r="AI19" s="5" t="s">
        <v>34</v>
      </c>
      <c r="AJ19" s="5" t="s">
        <v>34</v>
      </c>
      <c r="AK19" s="5" t="s">
        <v>34</v>
      </c>
      <c r="AL19" s="5" t="s">
        <v>34</v>
      </c>
      <c r="AM19" s="5" t="s">
        <v>34</v>
      </c>
      <c r="AN19" s="5" t="s">
        <v>34</v>
      </c>
      <c r="AO19" s="5" t="s">
        <v>34</v>
      </c>
      <c r="AP19" s="5" t="s">
        <v>34</v>
      </c>
      <c r="AQ19" s="5" t="s">
        <v>34</v>
      </c>
      <c r="AR19" s="5" t="s">
        <v>34</v>
      </c>
      <c r="AS19" s="5" t="s">
        <v>34</v>
      </c>
      <c r="AT19" s="5" t="s">
        <v>34</v>
      </c>
      <c r="AU19" s="5" t="s">
        <v>34</v>
      </c>
      <c r="AV19" s="5" t="s">
        <v>34</v>
      </c>
      <c r="AW19" s="5" t="s">
        <v>34</v>
      </c>
      <c r="AX19" s="5" t="s">
        <v>34</v>
      </c>
      <c r="AY19" s="5" t="s">
        <v>34</v>
      </c>
      <c r="AZ19" s="5" t="s">
        <v>34</v>
      </c>
      <c r="BA19" s="5" t="s">
        <v>34</v>
      </c>
      <c r="BB19" s="5" t="s">
        <v>34</v>
      </c>
      <c r="BC19" s="5" t="s">
        <v>34</v>
      </c>
      <c r="BD19" s="5" t="s">
        <v>34</v>
      </c>
      <c r="BE19" s="5" t="s">
        <v>34</v>
      </c>
      <c r="BF19" s="5" t="s">
        <v>34</v>
      </c>
      <c r="BG19" s="5" t="s">
        <v>34</v>
      </c>
      <c r="BH19" s="5" t="s">
        <v>34</v>
      </c>
      <c r="BI19" s="5" t="s">
        <v>34</v>
      </c>
      <c r="BJ19" s="2">
        <f t="shared" si="0"/>
        <v>0</v>
      </c>
      <c r="BK19" s="6">
        <f t="shared" si="1"/>
        <v>0</v>
      </c>
      <c r="BL19" s="2" t="s">
        <v>11</v>
      </c>
      <c r="BM19" s="2"/>
    </row>
    <row r="20" spans="1:65">
      <c r="A20" s="2" t="s">
        <v>136</v>
      </c>
      <c r="B20" s="5" t="s">
        <v>34</v>
      </c>
      <c r="C20" s="5" t="s">
        <v>34</v>
      </c>
      <c r="D20" s="5" t="s">
        <v>34</v>
      </c>
      <c r="E20" s="5" t="s">
        <v>34</v>
      </c>
      <c r="F20" s="5" t="s">
        <v>34</v>
      </c>
      <c r="G20" s="5" t="s">
        <v>34</v>
      </c>
      <c r="H20" s="5" t="s">
        <v>34</v>
      </c>
      <c r="I20" s="5" t="s">
        <v>34</v>
      </c>
      <c r="J20" s="5" t="s">
        <v>34</v>
      </c>
      <c r="K20" s="5" t="s">
        <v>34</v>
      </c>
      <c r="L20" s="5" t="s">
        <v>34</v>
      </c>
      <c r="M20" s="5" t="s">
        <v>34</v>
      </c>
      <c r="N20" s="5" t="s">
        <v>34</v>
      </c>
      <c r="O20" s="5" t="s">
        <v>34</v>
      </c>
      <c r="P20" s="5" t="s">
        <v>34</v>
      </c>
      <c r="Q20" s="5" t="s">
        <v>34</v>
      </c>
      <c r="R20" s="5" t="s">
        <v>34</v>
      </c>
      <c r="S20" s="5" t="s">
        <v>34</v>
      </c>
      <c r="T20" s="5" t="s">
        <v>34</v>
      </c>
      <c r="U20" s="5" t="s">
        <v>34</v>
      </c>
      <c r="V20" s="5" t="s">
        <v>34</v>
      </c>
      <c r="W20" s="5" t="s">
        <v>34</v>
      </c>
      <c r="X20" s="5" t="s">
        <v>34</v>
      </c>
      <c r="Y20" s="5" t="s">
        <v>34</v>
      </c>
      <c r="Z20" s="5" t="s">
        <v>34</v>
      </c>
      <c r="AA20" s="5" t="s">
        <v>34</v>
      </c>
      <c r="AB20" s="5" t="s">
        <v>34</v>
      </c>
      <c r="AC20" s="5" t="s">
        <v>34</v>
      </c>
      <c r="AD20" s="5" t="s">
        <v>34</v>
      </c>
      <c r="AE20" s="5" t="s">
        <v>34</v>
      </c>
      <c r="AF20" s="5" t="s">
        <v>34</v>
      </c>
      <c r="AG20" s="5" t="s">
        <v>34</v>
      </c>
      <c r="AH20" s="5" t="s">
        <v>34</v>
      </c>
      <c r="AI20" s="5" t="s">
        <v>34</v>
      </c>
      <c r="AJ20" s="5" t="s">
        <v>34</v>
      </c>
      <c r="AK20" s="5" t="s">
        <v>34</v>
      </c>
      <c r="AL20" s="5" t="s">
        <v>34</v>
      </c>
      <c r="AM20" s="5" t="s">
        <v>34</v>
      </c>
      <c r="AN20" s="5" t="s">
        <v>34</v>
      </c>
      <c r="AO20" s="5" t="s">
        <v>34</v>
      </c>
      <c r="AP20" s="5" t="s">
        <v>34</v>
      </c>
      <c r="AQ20" s="5" t="s">
        <v>34</v>
      </c>
      <c r="AR20" s="5" t="s">
        <v>34</v>
      </c>
      <c r="AS20" s="5" t="s">
        <v>34</v>
      </c>
      <c r="AT20" s="5" t="s">
        <v>34</v>
      </c>
      <c r="AU20" s="5" t="s">
        <v>34</v>
      </c>
      <c r="AV20" s="5" t="s">
        <v>34</v>
      </c>
      <c r="AW20" s="5" t="s">
        <v>34</v>
      </c>
      <c r="AX20" s="5" t="s">
        <v>34</v>
      </c>
      <c r="AY20" s="5" t="s">
        <v>34</v>
      </c>
      <c r="AZ20" s="5" t="s">
        <v>34</v>
      </c>
      <c r="BA20" s="5" t="s">
        <v>34</v>
      </c>
      <c r="BB20" s="5" t="s">
        <v>34</v>
      </c>
      <c r="BC20" s="5" t="s">
        <v>34</v>
      </c>
      <c r="BD20" s="5" t="s">
        <v>34</v>
      </c>
      <c r="BE20" s="5" t="s">
        <v>34</v>
      </c>
      <c r="BF20" s="5" t="s">
        <v>34</v>
      </c>
      <c r="BG20" s="5" t="s">
        <v>34</v>
      </c>
      <c r="BH20" s="5" t="s">
        <v>34</v>
      </c>
      <c r="BI20" s="5" t="s">
        <v>34</v>
      </c>
      <c r="BJ20" s="2">
        <f t="shared" si="0"/>
        <v>0</v>
      </c>
      <c r="BK20" s="6">
        <f t="shared" si="1"/>
        <v>0</v>
      </c>
      <c r="BL20" s="2" t="s">
        <v>11</v>
      </c>
      <c r="BM20" s="2"/>
    </row>
    <row r="21" spans="1:65">
      <c r="A21" s="2" t="s">
        <v>137</v>
      </c>
      <c r="B21" s="5" t="s">
        <v>34</v>
      </c>
      <c r="C21" s="5" t="s">
        <v>34</v>
      </c>
      <c r="D21" s="5" t="s">
        <v>34</v>
      </c>
      <c r="E21" s="5" t="s">
        <v>34</v>
      </c>
      <c r="F21" s="5" t="s">
        <v>34</v>
      </c>
      <c r="G21" s="5" t="s">
        <v>34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5" t="s">
        <v>34</v>
      </c>
      <c r="O21" s="5" t="s">
        <v>34</v>
      </c>
      <c r="P21" s="5" t="s">
        <v>34</v>
      </c>
      <c r="Q21" s="5" t="s">
        <v>34</v>
      </c>
      <c r="R21" s="5" t="s">
        <v>34</v>
      </c>
      <c r="S21" s="5" t="s">
        <v>34</v>
      </c>
      <c r="T21" s="5" t="s">
        <v>34</v>
      </c>
      <c r="U21" s="5" t="s">
        <v>34</v>
      </c>
      <c r="V21" s="5" t="s">
        <v>34</v>
      </c>
      <c r="W21" s="5" t="s">
        <v>34</v>
      </c>
      <c r="X21" s="5" t="s">
        <v>34</v>
      </c>
      <c r="Y21" s="5" t="s">
        <v>34</v>
      </c>
      <c r="Z21" s="5" t="s">
        <v>34</v>
      </c>
      <c r="AA21" s="5" t="s">
        <v>34</v>
      </c>
      <c r="AB21" s="5" t="s">
        <v>34</v>
      </c>
      <c r="AC21" s="5" t="s">
        <v>34</v>
      </c>
      <c r="AD21" s="5" t="s">
        <v>34</v>
      </c>
      <c r="AE21" s="5" t="s">
        <v>34</v>
      </c>
      <c r="AF21" s="5" t="s">
        <v>34</v>
      </c>
      <c r="AG21" s="5" t="s">
        <v>34</v>
      </c>
      <c r="AH21" s="5" t="s">
        <v>34</v>
      </c>
      <c r="AI21" s="5" t="s">
        <v>34</v>
      </c>
      <c r="AJ21" s="5" t="s">
        <v>34</v>
      </c>
      <c r="AK21" s="5" t="s">
        <v>34</v>
      </c>
      <c r="AL21" s="5" t="s">
        <v>34</v>
      </c>
      <c r="AM21" s="5" t="s">
        <v>34</v>
      </c>
      <c r="AN21" s="5" t="s">
        <v>34</v>
      </c>
      <c r="AO21" s="5" t="s">
        <v>34</v>
      </c>
      <c r="AP21" s="5" t="s">
        <v>34</v>
      </c>
      <c r="AQ21" s="5" t="s">
        <v>34</v>
      </c>
      <c r="AR21" s="5" t="s">
        <v>34</v>
      </c>
      <c r="AS21" s="5" t="s">
        <v>34</v>
      </c>
      <c r="AT21" s="5" t="s">
        <v>34</v>
      </c>
      <c r="AU21" s="5" t="s">
        <v>34</v>
      </c>
      <c r="AV21" s="5" t="s">
        <v>34</v>
      </c>
      <c r="AW21" s="5" t="s">
        <v>34</v>
      </c>
      <c r="AX21" s="5" t="s">
        <v>34</v>
      </c>
      <c r="AY21" s="5" t="s">
        <v>34</v>
      </c>
      <c r="AZ21" s="5" t="s">
        <v>34</v>
      </c>
      <c r="BA21" s="5" t="s">
        <v>34</v>
      </c>
      <c r="BB21" s="5" t="s">
        <v>34</v>
      </c>
      <c r="BC21" s="5" t="s">
        <v>34</v>
      </c>
      <c r="BD21" s="5" t="s">
        <v>34</v>
      </c>
      <c r="BE21" s="5" t="s">
        <v>34</v>
      </c>
      <c r="BF21" s="5" t="s">
        <v>34</v>
      </c>
      <c r="BG21" s="5" t="s">
        <v>34</v>
      </c>
      <c r="BH21" s="5" t="s">
        <v>34</v>
      </c>
      <c r="BI21" s="5" t="s">
        <v>34</v>
      </c>
      <c r="BJ21" s="2">
        <f t="shared" si="0"/>
        <v>0</v>
      </c>
      <c r="BK21" s="6">
        <f t="shared" si="1"/>
        <v>0</v>
      </c>
      <c r="BL21" s="2" t="s">
        <v>11</v>
      </c>
      <c r="BM21" s="2"/>
    </row>
    <row r="22" spans="1:65">
      <c r="A22" s="2" t="s">
        <v>138</v>
      </c>
      <c r="B22" s="5" t="s">
        <v>34</v>
      </c>
      <c r="C22" s="5" t="s">
        <v>34</v>
      </c>
      <c r="D22" s="5" t="s">
        <v>34</v>
      </c>
      <c r="E22" s="5" t="s">
        <v>34</v>
      </c>
      <c r="F22" s="5" t="s">
        <v>34</v>
      </c>
      <c r="G22" s="5" t="s">
        <v>34</v>
      </c>
      <c r="H22" s="5" t="s">
        <v>34</v>
      </c>
      <c r="I22" s="5" t="s">
        <v>34</v>
      </c>
      <c r="J22" s="5" t="s">
        <v>34</v>
      </c>
      <c r="K22" s="5" t="s">
        <v>34</v>
      </c>
      <c r="L22" s="5" t="s">
        <v>34</v>
      </c>
      <c r="M22" s="5" t="s">
        <v>34</v>
      </c>
      <c r="N22" s="5" t="s">
        <v>34</v>
      </c>
      <c r="O22" s="5" t="s">
        <v>34</v>
      </c>
      <c r="P22" s="5" t="s">
        <v>34</v>
      </c>
      <c r="Q22" s="5" t="s">
        <v>34</v>
      </c>
      <c r="R22" s="5" t="s">
        <v>34</v>
      </c>
      <c r="S22" s="5" t="s">
        <v>34</v>
      </c>
      <c r="T22" s="5" t="s">
        <v>34</v>
      </c>
      <c r="U22" s="5" t="s">
        <v>34</v>
      </c>
      <c r="V22" s="5" t="s">
        <v>34</v>
      </c>
      <c r="W22" s="5" t="s">
        <v>34</v>
      </c>
      <c r="X22" s="5" t="s">
        <v>34</v>
      </c>
      <c r="Y22" s="5" t="s">
        <v>34</v>
      </c>
      <c r="Z22" s="5" t="s">
        <v>34</v>
      </c>
      <c r="AA22" s="5" t="s">
        <v>34</v>
      </c>
      <c r="AB22" s="5" t="s">
        <v>34</v>
      </c>
      <c r="AC22" s="5" t="s">
        <v>34</v>
      </c>
      <c r="AD22" s="5" t="s">
        <v>34</v>
      </c>
      <c r="AE22" s="5" t="s">
        <v>34</v>
      </c>
      <c r="AF22" s="5" t="s">
        <v>34</v>
      </c>
      <c r="AG22" s="5" t="s">
        <v>34</v>
      </c>
      <c r="AH22" s="5" t="s">
        <v>34</v>
      </c>
      <c r="AI22" s="5" t="s">
        <v>34</v>
      </c>
      <c r="AJ22" s="5" t="s">
        <v>34</v>
      </c>
      <c r="AK22" s="5" t="s">
        <v>34</v>
      </c>
      <c r="AL22" s="5" t="s">
        <v>34</v>
      </c>
      <c r="AM22" s="5" t="s">
        <v>34</v>
      </c>
      <c r="AN22" s="5" t="s">
        <v>34</v>
      </c>
      <c r="AO22" s="5" t="s">
        <v>34</v>
      </c>
      <c r="AP22" s="5" t="s">
        <v>34</v>
      </c>
      <c r="AQ22" s="5" t="s">
        <v>34</v>
      </c>
      <c r="AR22" s="5" t="s">
        <v>34</v>
      </c>
      <c r="AS22" s="5" t="s">
        <v>34</v>
      </c>
      <c r="AT22" s="5" t="s">
        <v>34</v>
      </c>
      <c r="AU22" s="5" t="s">
        <v>34</v>
      </c>
      <c r="AV22" s="5" t="s">
        <v>34</v>
      </c>
      <c r="AW22" s="5" t="s">
        <v>34</v>
      </c>
      <c r="AX22" s="5" t="s">
        <v>34</v>
      </c>
      <c r="AY22" s="5" t="s">
        <v>34</v>
      </c>
      <c r="AZ22" s="5" t="s">
        <v>34</v>
      </c>
      <c r="BA22" s="5" t="s">
        <v>34</v>
      </c>
      <c r="BB22" s="5" t="s">
        <v>34</v>
      </c>
      <c r="BC22" s="5" t="s">
        <v>34</v>
      </c>
      <c r="BD22" s="5" t="s">
        <v>34</v>
      </c>
      <c r="BE22" s="5" t="s">
        <v>34</v>
      </c>
      <c r="BF22" s="5" t="s">
        <v>34</v>
      </c>
      <c r="BG22" s="5" t="s">
        <v>34</v>
      </c>
      <c r="BH22" s="5" t="s">
        <v>34</v>
      </c>
      <c r="BI22" s="5" t="s">
        <v>34</v>
      </c>
      <c r="BJ22" s="2">
        <f t="shared" si="0"/>
        <v>0</v>
      </c>
      <c r="BK22" s="6">
        <f t="shared" si="1"/>
        <v>0</v>
      </c>
      <c r="BL22" s="2" t="s">
        <v>11</v>
      </c>
      <c r="BM22" s="2"/>
    </row>
  </sheetData>
  <mergeCells count="1">
    <mergeCell ref="A1:Z1"/>
  </mergeCells>
  <conditionalFormatting sqref="B3:BI22">
    <cfRule type="expression" dxfId="9" priority="1">
      <formula>B3="☑"</formula>
    </cfRule>
    <cfRule type="expression" dxfId="8" priority="2">
      <formula>B3="N/A"</formula>
    </cfRule>
  </conditionalFormatting>
  <conditionalFormatting sqref="BK3:BK22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{CF43E337-90BF-9D14-230B-8B6F17B8FA82}</x14:id>
        </ext>
      </extLst>
    </cfRule>
  </conditionalFormatting>
  <dataValidations count="1">
    <dataValidation type="list" sqref="B3:BI22" xr:uid="{00000000-0002-0000-0D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43E337-90BF-9D14-230B-8B6F17B8FA82}">
            <x14:dataBar>
              <x14:cfvo type="min"/>
              <x14:cfvo type="max"/>
              <x14:negativeFillColor auto="1"/>
              <x14:axisColor auto="1"/>
            </x14:dataBar>
          </x14:cfRule>
          <xm:sqref>BK3:BK22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zoomScaleNormal="60" zoomScaleSheetLayoutView="100" workbookViewId="0">
      <selection activeCell="F64" sqref="F64"/>
    </sheetView>
  </sheetViews>
  <sheetFormatPr defaultRowHeight="14"/>
  <cols>
    <col min="1" max="1" width="42" customWidth="1"/>
    <col min="2" max="25" width="11" customWidth="1"/>
  </cols>
  <sheetData>
    <row r="1" spans="1:29" ht="18">
      <c r="A1" s="7" t="s">
        <v>139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9" ht="28">
      <c r="A2" s="1" t="s">
        <v>59</v>
      </c>
      <c r="B2" s="1" t="s">
        <v>140</v>
      </c>
      <c r="C2" s="1" t="s">
        <v>141</v>
      </c>
      <c r="D2" s="1" t="s">
        <v>142</v>
      </c>
      <c r="E2" s="1" t="s">
        <v>143</v>
      </c>
      <c r="F2" s="1" t="s">
        <v>144</v>
      </c>
      <c r="G2" s="1" t="s">
        <v>145</v>
      </c>
      <c r="H2" s="1" t="s">
        <v>146</v>
      </c>
      <c r="I2" s="1" t="s">
        <v>147</v>
      </c>
      <c r="J2" s="1" t="s">
        <v>148</v>
      </c>
      <c r="K2" s="1" t="s">
        <v>149</v>
      </c>
      <c r="L2" s="1" t="s">
        <v>150</v>
      </c>
      <c r="M2" s="1" t="s">
        <v>151</v>
      </c>
      <c r="N2" s="1" t="s">
        <v>152</v>
      </c>
      <c r="O2" s="1" t="s">
        <v>153</v>
      </c>
      <c r="P2" s="1" t="s">
        <v>154</v>
      </c>
      <c r="Q2" s="1" t="s">
        <v>155</v>
      </c>
      <c r="R2" s="1" t="s">
        <v>156</v>
      </c>
      <c r="S2" s="1" t="s">
        <v>157</v>
      </c>
      <c r="T2" s="1" t="s">
        <v>158</v>
      </c>
      <c r="U2" s="1" t="s">
        <v>159</v>
      </c>
      <c r="V2" s="1" t="s">
        <v>160</v>
      </c>
      <c r="W2" s="1" t="s">
        <v>161</v>
      </c>
      <c r="X2" s="1" t="s">
        <v>162</v>
      </c>
      <c r="Y2" s="1" t="s">
        <v>163</v>
      </c>
      <c r="Z2" s="1" t="s">
        <v>4</v>
      </c>
      <c r="AA2" s="1" t="s">
        <v>6</v>
      </c>
      <c r="AB2" s="1" t="s">
        <v>7</v>
      </c>
      <c r="AC2" s="1" t="s">
        <v>120</v>
      </c>
    </row>
    <row r="3" spans="1:29">
      <c r="A3" s="2" t="s">
        <v>164</v>
      </c>
      <c r="B3" s="5" t="s">
        <v>34</v>
      </c>
      <c r="C3" s="5" t="s">
        <v>34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5" t="s">
        <v>34</v>
      </c>
      <c r="O3" s="5" t="s">
        <v>34</v>
      </c>
      <c r="P3" s="5" t="s">
        <v>34</v>
      </c>
      <c r="Q3" s="5" t="s">
        <v>34</v>
      </c>
      <c r="R3" s="5" t="s">
        <v>34</v>
      </c>
      <c r="S3" s="5" t="s">
        <v>34</v>
      </c>
      <c r="T3" s="5" t="s">
        <v>34</v>
      </c>
      <c r="U3" s="5" t="s">
        <v>34</v>
      </c>
      <c r="V3" s="5" t="s">
        <v>34</v>
      </c>
      <c r="W3" s="5" t="s">
        <v>34</v>
      </c>
      <c r="X3" s="5" t="s">
        <v>34</v>
      </c>
      <c r="Y3" s="5" t="s">
        <v>34</v>
      </c>
      <c r="Z3" s="2">
        <f t="shared" ref="Z3:Z11" si="0">COUNTIF(B3:Y3,"☑")</f>
        <v>0</v>
      </c>
      <c r="AA3" s="6">
        <f t="shared" ref="AA3:AA11" si="1">IF(COUNTIF(B3:Y3,"&lt;&gt;N/A")=0,"",Z3/COUNTIF(B3:Y3,"&lt;&gt;N/A"))</f>
        <v>0</v>
      </c>
      <c r="AB3" s="2" t="s">
        <v>11</v>
      </c>
      <c r="AC3" s="2"/>
    </row>
    <row r="4" spans="1:29">
      <c r="A4" s="2" t="s">
        <v>165</v>
      </c>
      <c r="B4" s="5" t="s">
        <v>34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  <c r="M4" s="5" t="s">
        <v>34</v>
      </c>
      <c r="N4" s="5" t="s">
        <v>34</v>
      </c>
      <c r="O4" s="5" t="s">
        <v>34</v>
      </c>
      <c r="P4" s="5" t="s">
        <v>34</v>
      </c>
      <c r="Q4" s="5" t="s">
        <v>34</v>
      </c>
      <c r="R4" s="5" t="s">
        <v>34</v>
      </c>
      <c r="S4" s="5" t="s">
        <v>34</v>
      </c>
      <c r="T4" s="5" t="s">
        <v>34</v>
      </c>
      <c r="U4" s="5" t="s">
        <v>34</v>
      </c>
      <c r="V4" s="5" t="s">
        <v>34</v>
      </c>
      <c r="W4" s="5" t="s">
        <v>34</v>
      </c>
      <c r="X4" s="5" t="s">
        <v>34</v>
      </c>
      <c r="Y4" s="5" t="s">
        <v>34</v>
      </c>
      <c r="Z4" s="2">
        <f t="shared" si="0"/>
        <v>0</v>
      </c>
      <c r="AA4" s="6">
        <f t="shared" si="1"/>
        <v>0</v>
      </c>
      <c r="AB4" s="2" t="s">
        <v>11</v>
      </c>
      <c r="AC4" s="2"/>
    </row>
    <row r="5" spans="1:29">
      <c r="A5" s="2" t="s">
        <v>166</v>
      </c>
      <c r="B5" s="5" t="s">
        <v>34</v>
      </c>
      <c r="C5" s="5" t="s">
        <v>34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34</v>
      </c>
      <c r="Z5" s="2">
        <f t="shared" si="0"/>
        <v>0</v>
      </c>
      <c r="AA5" s="6">
        <f t="shared" si="1"/>
        <v>0</v>
      </c>
      <c r="AB5" s="2" t="s">
        <v>11</v>
      </c>
      <c r="AC5" s="2"/>
    </row>
    <row r="6" spans="1:29">
      <c r="A6" s="2" t="s">
        <v>167</v>
      </c>
      <c r="B6" s="5" t="s">
        <v>34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5" t="s">
        <v>34</v>
      </c>
      <c r="O6" s="5" t="s">
        <v>34</v>
      </c>
      <c r="P6" s="5" t="s">
        <v>34</v>
      </c>
      <c r="Q6" s="5" t="s">
        <v>34</v>
      </c>
      <c r="R6" s="5" t="s">
        <v>34</v>
      </c>
      <c r="S6" s="5" t="s">
        <v>34</v>
      </c>
      <c r="T6" s="5" t="s">
        <v>34</v>
      </c>
      <c r="U6" s="5" t="s">
        <v>34</v>
      </c>
      <c r="V6" s="5" t="s">
        <v>34</v>
      </c>
      <c r="W6" s="5" t="s">
        <v>34</v>
      </c>
      <c r="X6" s="5" t="s">
        <v>34</v>
      </c>
      <c r="Y6" s="5" t="s">
        <v>34</v>
      </c>
      <c r="Z6" s="2">
        <f t="shared" si="0"/>
        <v>0</v>
      </c>
      <c r="AA6" s="6">
        <f t="shared" si="1"/>
        <v>0</v>
      </c>
      <c r="AB6" s="2" t="s">
        <v>11</v>
      </c>
      <c r="AC6" s="2"/>
    </row>
    <row r="7" spans="1:29">
      <c r="A7" s="2" t="s">
        <v>168</v>
      </c>
      <c r="B7" s="5" t="s">
        <v>34</v>
      </c>
      <c r="C7" s="5" t="s">
        <v>34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5" t="s">
        <v>34</v>
      </c>
      <c r="O7" s="5" t="s">
        <v>34</v>
      </c>
      <c r="P7" s="5" t="s">
        <v>34</v>
      </c>
      <c r="Q7" s="5" t="s">
        <v>34</v>
      </c>
      <c r="R7" s="5" t="s">
        <v>34</v>
      </c>
      <c r="S7" s="5" t="s">
        <v>34</v>
      </c>
      <c r="T7" s="5" t="s">
        <v>34</v>
      </c>
      <c r="U7" s="5" t="s">
        <v>34</v>
      </c>
      <c r="V7" s="5" t="s">
        <v>34</v>
      </c>
      <c r="W7" s="5" t="s">
        <v>34</v>
      </c>
      <c r="X7" s="5" t="s">
        <v>34</v>
      </c>
      <c r="Y7" s="5" t="s">
        <v>34</v>
      </c>
      <c r="Z7" s="2">
        <f t="shared" si="0"/>
        <v>0</v>
      </c>
      <c r="AA7" s="6">
        <f t="shared" si="1"/>
        <v>0</v>
      </c>
      <c r="AB7" s="2" t="s">
        <v>11</v>
      </c>
      <c r="AC7" s="2"/>
    </row>
    <row r="8" spans="1:29">
      <c r="A8" s="2" t="s">
        <v>169</v>
      </c>
      <c r="B8" s="5" t="s">
        <v>34</v>
      </c>
      <c r="C8" s="5" t="s">
        <v>34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5" t="s">
        <v>34</v>
      </c>
      <c r="O8" s="5" t="s">
        <v>34</v>
      </c>
      <c r="P8" s="5" t="s">
        <v>34</v>
      </c>
      <c r="Q8" s="5" t="s">
        <v>34</v>
      </c>
      <c r="R8" s="5" t="s">
        <v>34</v>
      </c>
      <c r="S8" s="5" t="s">
        <v>34</v>
      </c>
      <c r="T8" s="5" t="s">
        <v>34</v>
      </c>
      <c r="U8" s="5" t="s">
        <v>34</v>
      </c>
      <c r="V8" s="5" t="s">
        <v>34</v>
      </c>
      <c r="W8" s="5" t="s">
        <v>34</v>
      </c>
      <c r="X8" s="5" t="s">
        <v>34</v>
      </c>
      <c r="Y8" s="5" t="s">
        <v>34</v>
      </c>
      <c r="Z8" s="2">
        <f t="shared" si="0"/>
        <v>0</v>
      </c>
      <c r="AA8" s="6">
        <f t="shared" si="1"/>
        <v>0</v>
      </c>
      <c r="AB8" s="2" t="s">
        <v>11</v>
      </c>
      <c r="AC8" s="2"/>
    </row>
    <row r="9" spans="1:29">
      <c r="A9" s="2" t="s">
        <v>170</v>
      </c>
      <c r="B9" s="5" t="s">
        <v>34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5" t="s">
        <v>34</v>
      </c>
      <c r="O9" s="5" t="s">
        <v>34</v>
      </c>
      <c r="P9" s="5" t="s">
        <v>34</v>
      </c>
      <c r="Q9" s="5" t="s">
        <v>34</v>
      </c>
      <c r="R9" s="5" t="s">
        <v>34</v>
      </c>
      <c r="S9" s="5" t="s">
        <v>34</v>
      </c>
      <c r="T9" s="5" t="s">
        <v>34</v>
      </c>
      <c r="U9" s="5" t="s">
        <v>34</v>
      </c>
      <c r="V9" s="5" t="s">
        <v>34</v>
      </c>
      <c r="W9" s="5" t="s">
        <v>34</v>
      </c>
      <c r="X9" s="5" t="s">
        <v>34</v>
      </c>
      <c r="Y9" s="5" t="s">
        <v>34</v>
      </c>
      <c r="Z9" s="2">
        <f t="shared" si="0"/>
        <v>0</v>
      </c>
      <c r="AA9" s="6">
        <f t="shared" si="1"/>
        <v>0</v>
      </c>
      <c r="AB9" s="2" t="s">
        <v>11</v>
      </c>
      <c r="AC9" s="2"/>
    </row>
    <row r="10" spans="1:29">
      <c r="A10" s="2" t="s">
        <v>171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34</v>
      </c>
      <c r="V10" s="5" t="s">
        <v>34</v>
      </c>
      <c r="W10" s="5" t="s">
        <v>34</v>
      </c>
      <c r="X10" s="5" t="s">
        <v>34</v>
      </c>
      <c r="Y10" s="5" t="s">
        <v>34</v>
      </c>
      <c r="Z10" s="2">
        <f t="shared" si="0"/>
        <v>0</v>
      </c>
      <c r="AA10" s="6">
        <f t="shared" si="1"/>
        <v>0</v>
      </c>
      <c r="AB10" s="2" t="s">
        <v>11</v>
      </c>
      <c r="AC10" s="2"/>
    </row>
    <row r="11" spans="1:29">
      <c r="A11" s="2" t="s">
        <v>172</v>
      </c>
      <c r="B11" s="5" t="s">
        <v>34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  <c r="J11" s="5" t="s">
        <v>34</v>
      </c>
      <c r="K11" s="5" t="s">
        <v>34</v>
      </c>
      <c r="L11" s="5" t="s">
        <v>34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  <c r="V11" s="5" t="s">
        <v>34</v>
      </c>
      <c r="W11" s="5" t="s">
        <v>34</v>
      </c>
      <c r="X11" s="5" t="s">
        <v>34</v>
      </c>
      <c r="Y11" s="5" t="s">
        <v>34</v>
      </c>
      <c r="Z11" s="2">
        <f t="shared" si="0"/>
        <v>0</v>
      </c>
      <c r="AA11" s="6">
        <f t="shared" si="1"/>
        <v>0</v>
      </c>
      <c r="AB11" s="2" t="s">
        <v>11</v>
      </c>
      <c r="AC11" s="2"/>
    </row>
  </sheetData>
  <mergeCells count="1">
    <mergeCell ref="A1:Z1"/>
  </mergeCells>
  <conditionalFormatting sqref="B3:Y11">
    <cfRule type="expression" dxfId="7" priority="1">
      <formula>B3="☑"</formula>
    </cfRule>
    <cfRule type="expression" dxfId="6" priority="2">
      <formula>B3="N/A"</formula>
    </cfRule>
  </conditionalFormatting>
  <conditionalFormatting sqref="AA3:AA11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{99770ACF-F554-D596-4C68-0FF335988BD0}</x14:id>
        </ext>
      </extLst>
    </cfRule>
  </conditionalFormatting>
  <dataValidations count="1">
    <dataValidation type="list" sqref="B3:Y11" xr:uid="{00000000-0002-0000-0E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770ACF-F554-D596-4C68-0FF335988BD0}">
            <x14:dataBar>
              <x14:cfvo type="min"/>
              <x14:cfvo type="max"/>
              <x14:negativeFillColor auto="1"/>
              <x14:axisColor auto="1"/>
            </x14:dataBar>
          </x14:cfRule>
          <xm:sqref>AA3:AA11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30"/>
  <sheetViews>
    <sheetView zoomScaleNormal="60" zoomScaleSheetLayoutView="100" workbookViewId="0">
      <selection sqref="A1:O1"/>
    </sheetView>
  </sheetViews>
  <sheetFormatPr defaultRowHeight="14"/>
  <cols>
    <col min="1" max="1" width="42" customWidth="1"/>
    <col min="2" max="13" width="11" customWidth="1"/>
  </cols>
  <sheetData>
    <row r="1" spans="1:17" ht="18">
      <c r="A1" s="7" t="s">
        <v>173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7" ht="28">
      <c r="A2" s="1" t="s">
        <v>59</v>
      </c>
      <c r="B2" s="1" t="s">
        <v>174</v>
      </c>
      <c r="C2" s="1" t="s">
        <v>175</v>
      </c>
      <c r="D2" s="1" t="s">
        <v>176</v>
      </c>
      <c r="E2" s="1" t="s">
        <v>177</v>
      </c>
      <c r="F2" s="1" t="s">
        <v>178</v>
      </c>
      <c r="G2" s="1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184</v>
      </c>
      <c r="M2" s="1" t="s">
        <v>185</v>
      </c>
      <c r="N2" s="1" t="s">
        <v>4</v>
      </c>
      <c r="O2" s="1" t="s">
        <v>6</v>
      </c>
      <c r="P2" s="1" t="s">
        <v>7</v>
      </c>
      <c r="Q2" s="1" t="s">
        <v>120</v>
      </c>
    </row>
    <row r="3" spans="1:17">
      <c r="A3" s="2" t="s">
        <v>186</v>
      </c>
      <c r="B3" s="5" t="s">
        <v>34</v>
      </c>
      <c r="C3" s="5" t="s">
        <v>34</v>
      </c>
      <c r="D3" s="5" t="s">
        <v>34</v>
      </c>
      <c r="E3" s="5" t="s">
        <v>34</v>
      </c>
      <c r="F3" s="5" t="s">
        <v>34</v>
      </c>
      <c r="G3" s="5" t="s">
        <v>34</v>
      </c>
      <c r="H3" s="5" t="s">
        <v>34</v>
      </c>
      <c r="I3" s="5" t="s">
        <v>34</v>
      </c>
      <c r="J3" s="5" t="s">
        <v>34</v>
      </c>
      <c r="K3" s="5" t="s">
        <v>34</v>
      </c>
      <c r="L3" s="5" t="s">
        <v>34</v>
      </c>
      <c r="M3" s="5" t="s">
        <v>34</v>
      </c>
      <c r="N3" s="2">
        <f t="shared" ref="N3:N30" si="0">COUNTIF(B3:M3,"☑")</f>
        <v>0</v>
      </c>
      <c r="O3" s="6">
        <f t="shared" ref="O3:O30" si="1">IF(COUNTIF(B3:M3,"&lt;&gt;N/A")=0,"",N3/COUNTIF(B3:M3,"&lt;&gt;N/A"))</f>
        <v>0</v>
      </c>
      <c r="P3" s="2" t="s">
        <v>19</v>
      </c>
      <c r="Q3" s="2"/>
    </row>
    <row r="4" spans="1:17">
      <c r="A4" s="2" t="s">
        <v>187</v>
      </c>
      <c r="B4" s="5" t="s">
        <v>34</v>
      </c>
      <c r="C4" s="5" t="s">
        <v>34</v>
      </c>
      <c r="D4" s="5" t="s">
        <v>34</v>
      </c>
      <c r="E4" s="5" t="s">
        <v>34</v>
      </c>
      <c r="F4" s="5" t="s">
        <v>34</v>
      </c>
      <c r="G4" s="5" t="s">
        <v>34</v>
      </c>
      <c r="H4" s="5" t="s">
        <v>34</v>
      </c>
      <c r="I4" s="5" t="s">
        <v>34</v>
      </c>
      <c r="J4" s="5" t="s">
        <v>34</v>
      </c>
      <c r="K4" s="5" t="s">
        <v>34</v>
      </c>
      <c r="L4" s="5" t="s">
        <v>34</v>
      </c>
      <c r="M4" s="5" t="s">
        <v>34</v>
      </c>
      <c r="N4" s="2">
        <f t="shared" si="0"/>
        <v>0</v>
      </c>
      <c r="O4" s="6">
        <f t="shared" si="1"/>
        <v>0</v>
      </c>
      <c r="P4" s="2" t="s">
        <v>19</v>
      </c>
      <c r="Q4" s="2"/>
    </row>
    <row r="5" spans="1:17">
      <c r="A5" s="2" t="s">
        <v>188</v>
      </c>
      <c r="B5" s="5" t="s">
        <v>34</v>
      </c>
      <c r="C5" s="5" t="s">
        <v>34</v>
      </c>
      <c r="D5" s="5" t="s">
        <v>34</v>
      </c>
      <c r="E5" s="5" t="s">
        <v>34</v>
      </c>
      <c r="F5" s="5" t="s">
        <v>34</v>
      </c>
      <c r="G5" s="5" t="s">
        <v>34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5" t="s">
        <v>34</v>
      </c>
      <c r="N5" s="2">
        <f t="shared" si="0"/>
        <v>0</v>
      </c>
      <c r="O5" s="6">
        <f t="shared" si="1"/>
        <v>0</v>
      </c>
      <c r="P5" s="2" t="s">
        <v>19</v>
      </c>
      <c r="Q5" s="2"/>
    </row>
    <row r="6" spans="1:17">
      <c r="A6" s="2" t="s">
        <v>189</v>
      </c>
      <c r="B6" s="5" t="s">
        <v>34</v>
      </c>
      <c r="C6" s="5" t="s">
        <v>34</v>
      </c>
      <c r="D6" s="5" t="s">
        <v>34</v>
      </c>
      <c r="E6" s="5" t="s">
        <v>34</v>
      </c>
      <c r="F6" s="5" t="s">
        <v>34</v>
      </c>
      <c r="G6" s="5" t="s">
        <v>34</v>
      </c>
      <c r="H6" s="5" t="s">
        <v>34</v>
      </c>
      <c r="I6" s="5" t="s">
        <v>34</v>
      </c>
      <c r="J6" s="5" t="s">
        <v>34</v>
      </c>
      <c r="K6" s="5" t="s">
        <v>34</v>
      </c>
      <c r="L6" s="5" t="s">
        <v>34</v>
      </c>
      <c r="M6" s="5" t="s">
        <v>34</v>
      </c>
      <c r="N6" s="2">
        <f t="shared" si="0"/>
        <v>0</v>
      </c>
      <c r="O6" s="6">
        <f t="shared" si="1"/>
        <v>0</v>
      </c>
      <c r="P6" s="2" t="s">
        <v>19</v>
      </c>
      <c r="Q6" s="2"/>
    </row>
    <row r="7" spans="1:17">
      <c r="A7" s="2" t="s">
        <v>190</v>
      </c>
      <c r="B7" s="5" t="s">
        <v>34</v>
      </c>
      <c r="C7" s="5" t="s">
        <v>34</v>
      </c>
      <c r="D7" s="5" t="s">
        <v>34</v>
      </c>
      <c r="E7" s="5" t="s">
        <v>34</v>
      </c>
      <c r="F7" s="5" t="s">
        <v>34</v>
      </c>
      <c r="G7" s="5" t="s">
        <v>34</v>
      </c>
      <c r="H7" s="5" t="s">
        <v>34</v>
      </c>
      <c r="I7" s="5" t="s">
        <v>34</v>
      </c>
      <c r="J7" s="5" t="s">
        <v>34</v>
      </c>
      <c r="K7" s="5" t="s">
        <v>34</v>
      </c>
      <c r="L7" s="5" t="s">
        <v>34</v>
      </c>
      <c r="M7" s="5" t="s">
        <v>34</v>
      </c>
      <c r="N7" s="2">
        <f t="shared" si="0"/>
        <v>0</v>
      </c>
      <c r="O7" s="6">
        <f t="shared" si="1"/>
        <v>0</v>
      </c>
      <c r="P7" s="2" t="s">
        <v>19</v>
      </c>
      <c r="Q7" s="2"/>
    </row>
    <row r="8" spans="1:17">
      <c r="A8" s="2" t="s">
        <v>191</v>
      </c>
      <c r="B8" s="5" t="s">
        <v>34</v>
      </c>
      <c r="C8" s="5" t="s">
        <v>34</v>
      </c>
      <c r="D8" s="5" t="s">
        <v>34</v>
      </c>
      <c r="E8" s="5" t="s">
        <v>34</v>
      </c>
      <c r="F8" s="5" t="s">
        <v>34</v>
      </c>
      <c r="G8" s="5" t="s">
        <v>34</v>
      </c>
      <c r="H8" s="5" t="s">
        <v>34</v>
      </c>
      <c r="I8" s="5" t="s">
        <v>34</v>
      </c>
      <c r="J8" s="5" t="s">
        <v>34</v>
      </c>
      <c r="K8" s="5" t="s">
        <v>34</v>
      </c>
      <c r="L8" s="5" t="s">
        <v>34</v>
      </c>
      <c r="M8" s="5" t="s">
        <v>34</v>
      </c>
      <c r="N8" s="2">
        <f t="shared" si="0"/>
        <v>0</v>
      </c>
      <c r="O8" s="6">
        <f t="shared" si="1"/>
        <v>0</v>
      </c>
      <c r="P8" s="2" t="s">
        <v>19</v>
      </c>
      <c r="Q8" s="2"/>
    </row>
    <row r="9" spans="1:17">
      <c r="A9" s="2" t="s">
        <v>192</v>
      </c>
      <c r="B9" s="5" t="s">
        <v>34</v>
      </c>
      <c r="C9" s="5" t="s">
        <v>34</v>
      </c>
      <c r="D9" s="5" t="s">
        <v>34</v>
      </c>
      <c r="E9" s="5" t="s">
        <v>34</v>
      </c>
      <c r="F9" s="5" t="s">
        <v>34</v>
      </c>
      <c r="G9" s="5" t="s">
        <v>34</v>
      </c>
      <c r="H9" s="5" t="s">
        <v>34</v>
      </c>
      <c r="I9" s="5" t="s">
        <v>34</v>
      </c>
      <c r="J9" s="5" t="s">
        <v>34</v>
      </c>
      <c r="K9" s="5" t="s">
        <v>34</v>
      </c>
      <c r="L9" s="5" t="s">
        <v>34</v>
      </c>
      <c r="M9" s="5" t="s">
        <v>34</v>
      </c>
      <c r="N9" s="2">
        <f t="shared" si="0"/>
        <v>0</v>
      </c>
      <c r="O9" s="6">
        <f t="shared" si="1"/>
        <v>0</v>
      </c>
      <c r="P9" s="2" t="s">
        <v>19</v>
      </c>
      <c r="Q9" s="2"/>
    </row>
    <row r="10" spans="1:17">
      <c r="A10" s="2" t="s">
        <v>193</v>
      </c>
      <c r="B10" s="5" t="s">
        <v>34</v>
      </c>
      <c r="C10" s="5" t="s">
        <v>34</v>
      </c>
      <c r="D10" s="5" t="s">
        <v>34</v>
      </c>
      <c r="E10" s="5" t="s">
        <v>34</v>
      </c>
      <c r="F10" s="5" t="s">
        <v>34</v>
      </c>
      <c r="G10" s="5" t="s">
        <v>34</v>
      </c>
      <c r="H10" s="5" t="s">
        <v>34</v>
      </c>
      <c r="I10" s="5" t="s">
        <v>34</v>
      </c>
      <c r="J10" s="5" t="s">
        <v>34</v>
      </c>
      <c r="K10" s="5" t="s">
        <v>34</v>
      </c>
      <c r="L10" s="5" t="s">
        <v>34</v>
      </c>
      <c r="M10" s="5" t="s">
        <v>34</v>
      </c>
      <c r="N10" s="2">
        <f t="shared" si="0"/>
        <v>0</v>
      </c>
      <c r="O10" s="6">
        <f t="shared" si="1"/>
        <v>0</v>
      </c>
      <c r="P10" s="2" t="s">
        <v>19</v>
      </c>
      <c r="Q10" s="2"/>
    </row>
    <row r="11" spans="1:17">
      <c r="A11" s="2" t="s">
        <v>194</v>
      </c>
      <c r="B11" s="5" t="s">
        <v>34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  <c r="J11" s="5" t="s">
        <v>34</v>
      </c>
      <c r="K11" s="5" t="s">
        <v>34</v>
      </c>
      <c r="L11" s="5" t="s">
        <v>34</v>
      </c>
      <c r="M11" s="5" t="s">
        <v>34</v>
      </c>
      <c r="N11" s="2">
        <f t="shared" si="0"/>
        <v>0</v>
      </c>
      <c r="O11" s="6">
        <f t="shared" si="1"/>
        <v>0</v>
      </c>
      <c r="P11" s="2" t="s">
        <v>19</v>
      </c>
      <c r="Q11" s="2"/>
    </row>
    <row r="12" spans="1:17">
      <c r="A12" s="2" t="s">
        <v>195</v>
      </c>
      <c r="B12" s="5" t="s">
        <v>34</v>
      </c>
      <c r="C12" s="5" t="s">
        <v>34</v>
      </c>
      <c r="D12" s="5" t="s">
        <v>34</v>
      </c>
      <c r="E12" s="5" t="s">
        <v>34</v>
      </c>
      <c r="F12" s="5" t="s">
        <v>34</v>
      </c>
      <c r="G12" s="5" t="s">
        <v>34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34</v>
      </c>
      <c r="N12" s="2">
        <f t="shared" si="0"/>
        <v>0</v>
      </c>
      <c r="O12" s="6">
        <f t="shared" si="1"/>
        <v>0</v>
      </c>
      <c r="P12" s="2" t="s">
        <v>19</v>
      </c>
      <c r="Q12" s="2"/>
    </row>
    <row r="13" spans="1:17">
      <c r="A13" s="2" t="s">
        <v>196</v>
      </c>
      <c r="B13" s="5" t="s">
        <v>34</v>
      </c>
      <c r="C13" s="5" t="s">
        <v>34</v>
      </c>
      <c r="D13" s="5" t="s">
        <v>34</v>
      </c>
      <c r="E13" s="5" t="s">
        <v>34</v>
      </c>
      <c r="F13" s="5" t="s">
        <v>34</v>
      </c>
      <c r="G13" s="5" t="s">
        <v>34</v>
      </c>
      <c r="H13" s="5" t="s">
        <v>34</v>
      </c>
      <c r="I13" s="5" t="s">
        <v>34</v>
      </c>
      <c r="J13" s="5" t="s">
        <v>34</v>
      </c>
      <c r="K13" s="5" t="s">
        <v>34</v>
      </c>
      <c r="L13" s="5" t="s">
        <v>34</v>
      </c>
      <c r="M13" s="5" t="s">
        <v>34</v>
      </c>
      <c r="N13" s="2">
        <f t="shared" si="0"/>
        <v>0</v>
      </c>
      <c r="O13" s="6">
        <f t="shared" si="1"/>
        <v>0</v>
      </c>
      <c r="P13" s="2" t="s">
        <v>19</v>
      </c>
      <c r="Q13" s="2"/>
    </row>
    <row r="14" spans="1:17">
      <c r="A14" s="2" t="s">
        <v>197</v>
      </c>
      <c r="B14" s="5" t="s">
        <v>34</v>
      </c>
      <c r="C14" s="5" t="s">
        <v>34</v>
      </c>
      <c r="D14" s="5" t="s">
        <v>34</v>
      </c>
      <c r="E14" s="5" t="s">
        <v>34</v>
      </c>
      <c r="F14" s="5" t="s">
        <v>34</v>
      </c>
      <c r="G14" s="5" t="s">
        <v>34</v>
      </c>
      <c r="H14" s="5" t="s">
        <v>34</v>
      </c>
      <c r="I14" s="5" t="s">
        <v>34</v>
      </c>
      <c r="J14" s="5" t="s">
        <v>34</v>
      </c>
      <c r="K14" s="5" t="s">
        <v>34</v>
      </c>
      <c r="L14" s="5" t="s">
        <v>34</v>
      </c>
      <c r="M14" s="5" t="s">
        <v>34</v>
      </c>
      <c r="N14" s="2">
        <f t="shared" si="0"/>
        <v>0</v>
      </c>
      <c r="O14" s="6">
        <f t="shared" si="1"/>
        <v>0</v>
      </c>
      <c r="P14" s="2" t="s">
        <v>19</v>
      </c>
      <c r="Q14" s="2"/>
    </row>
    <row r="15" spans="1:17">
      <c r="A15" s="2" t="s">
        <v>198</v>
      </c>
      <c r="B15" s="5" t="s">
        <v>34</v>
      </c>
      <c r="C15" s="5" t="s">
        <v>34</v>
      </c>
      <c r="D15" s="5" t="s">
        <v>34</v>
      </c>
      <c r="E15" s="5" t="s">
        <v>34</v>
      </c>
      <c r="F15" s="5" t="s">
        <v>34</v>
      </c>
      <c r="G15" s="5" t="s">
        <v>34</v>
      </c>
      <c r="H15" s="5" t="s">
        <v>34</v>
      </c>
      <c r="I15" s="5" t="s">
        <v>34</v>
      </c>
      <c r="J15" s="5" t="s">
        <v>34</v>
      </c>
      <c r="K15" s="5" t="s">
        <v>34</v>
      </c>
      <c r="L15" s="5" t="s">
        <v>34</v>
      </c>
      <c r="M15" s="5" t="s">
        <v>34</v>
      </c>
      <c r="N15" s="2">
        <f t="shared" si="0"/>
        <v>0</v>
      </c>
      <c r="O15" s="6">
        <f t="shared" si="1"/>
        <v>0</v>
      </c>
      <c r="P15" s="2" t="s">
        <v>19</v>
      </c>
      <c r="Q15" s="2"/>
    </row>
    <row r="16" spans="1:17">
      <c r="A16" s="2" t="s">
        <v>199</v>
      </c>
      <c r="B16" s="5" t="s">
        <v>34</v>
      </c>
      <c r="C16" s="5" t="s">
        <v>34</v>
      </c>
      <c r="D16" s="5" t="s">
        <v>34</v>
      </c>
      <c r="E16" s="5" t="s">
        <v>34</v>
      </c>
      <c r="F16" s="5" t="s">
        <v>34</v>
      </c>
      <c r="G16" s="5" t="s">
        <v>34</v>
      </c>
      <c r="H16" s="5" t="s">
        <v>34</v>
      </c>
      <c r="I16" s="5" t="s">
        <v>34</v>
      </c>
      <c r="J16" s="5" t="s">
        <v>34</v>
      </c>
      <c r="K16" s="5" t="s">
        <v>34</v>
      </c>
      <c r="L16" s="5" t="s">
        <v>34</v>
      </c>
      <c r="M16" s="5" t="s">
        <v>34</v>
      </c>
      <c r="N16" s="2">
        <f t="shared" si="0"/>
        <v>0</v>
      </c>
      <c r="O16" s="6">
        <f t="shared" si="1"/>
        <v>0</v>
      </c>
      <c r="P16" s="2" t="s">
        <v>19</v>
      </c>
      <c r="Q16" s="2"/>
    </row>
    <row r="17" spans="1:17">
      <c r="A17" s="2" t="s">
        <v>126</v>
      </c>
      <c r="B17" s="5" t="s">
        <v>34</v>
      </c>
      <c r="C17" s="5" t="s">
        <v>34</v>
      </c>
      <c r="D17" s="5" t="s">
        <v>34</v>
      </c>
      <c r="E17" s="5" t="s">
        <v>34</v>
      </c>
      <c r="F17" s="5" t="s">
        <v>34</v>
      </c>
      <c r="G17" s="5" t="s">
        <v>34</v>
      </c>
      <c r="H17" s="5" t="s">
        <v>34</v>
      </c>
      <c r="I17" s="5" t="s">
        <v>34</v>
      </c>
      <c r="J17" s="5" t="s">
        <v>34</v>
      </c>
      <c r="K17" s="5" t="s">
        <v>34</v>
      </c>
      <c r="L17" s="5" t="s">
        <v>34</v>
      </c>
      <c r="M17" s="5" t="s">
        <v>34</v>
      </c>
      <c r="N17" s="2">
        <f t="shared" si="0"/>
        <v>0</v>
      </c>
      <c r="O17" s="6">
        <f t="shared" si="1"/>
        <v>0</v>
      </c>
      <c r="P17" s="2" t="s">
        <v>19</v>
      </c>
      <c r="Q17" s="2"/>
    </row>
    <row r="18" spans="1:17">
      <c r="A18" s="2" t="s">
        <v>200</v>
      </c>
      <c r="B18" s="5" t="s">
        <v>34</v>
      </c>
      <c r="C18" s="5" t="s">
        <v>34</v>
      </c>
      <c r="D18" s="5" t="s">
        <v>34</v>
      </c>
      <c r="E18" s="5" t="s">
        <v>34</v>
      </c>
      <c r="F18" s="5" t="s">
        <v>34</v>
      </c>
      <c r="G18" s="5" t="s">
        <v>34</v>
      </c>
      <c r="H18" s="5" t="s">
        <v>34</v>
      </c>
      <c r="I18" s="5" t="s">
        <v>34</v>
      </c>
      <c r="J18" s="5" t="s">
        <v>34</v>
      </c>
      <c r="K18" s="5" t="s">
        <v>34</v>
      </c>
      <c r="L18" s="5" t="s">
        <v>34</v>
      </c>
      <c r="M18" s="5" t="s">
        <v>34</v>
      </c>
      <c r="N18" s="2">
        <f t="shared" si="0"/>
        <v>0</v>
      </c>
      <c r="O18" s="6">
        <f t="shared" si="1"/>
        <v>0</v>
      </c>
      <c r="P18" s="2" t="s">
        <v>19</v>
      </c>
      <c r="Q18" s="2"/>
    </row>
    <row r="19" spans="1:17">
      <c r="A19" s="2" t="s">
        <v>201</v>
      </c>
      <c r="B19" s="5" t="s">
        <v>34</v>
      </c>
      <c r="C19" s="5" t="s">
        <v>34</v>
      </c>
      <c r="D19" s="5" t="s">
        <v>34</v>
      </c>
      <c r="E19" s="5" t="s">
        <v>34</v>
      </c>
      <c r="F19" s="5" t="s">
        <v>34</v>
      </c>
      <c r="G19" s="5" t="s">
        <v>34</v>
      </c>
      <c r="H19" s="5" t="s">
        <v>34</v>
      </c>
      <c r="I19" s="5" t="s">
        <v>34</v>
      </c>
      <c r="J19" s="5" t="s">
        <v>34</v>
      </c>
      <c r="K19" s="5" t="s">
        <v>34</v>
      </c>
      <c r="L19" s="5" t="s">
        <v>34</v>
      </c>
      <c r="M19" s="5" t="s">
        <v>34</v>
      </c>
      <c r="N19" s="2">
        <f t="shared" si="0"/>
        <v>0</v>
      </c>
      <c r="O19" s="6">
        <f t="shared" si="1"/>
        <v>0</v>
      </c>
      <c r="P19" s="2" t="s">
        <v>19</v>
      </c>
      <c r="Q19" s="2"/>
    </row>
    <row r="20" spans="1:17">
      <c r="A20" s="2" t="s">
        <v>202</v>
      </c>
      <c r="B20" s="5" t="s">
        <v>34</v>
      </c>
      <c r="C20" s="5" t="s">
        <v>34</v>
      </c>
      <c r="D20" s="5" t="s">
        <v>34</v>
      </c>
      <c r="E20" s="5" t="s">
        <v>34</v>
      </c>
      <c r="F20" s="5" t="s">
        <v>34</v>
      </c>
      <c r="G20" s="5" t="s">
        <v>34</v>
      </c>
      <c r="H20" s="5" t="s">
        <v>34</v>
      </c>
      <c r="I20" s="5" t="s">
        <v>34</v>
      </c>
      <c r="J20" s="5" t="s">
        <v>34</v>
      </c>
      <c r="K20" s="5" t="s">
        <v>34</v>
      </c>
      <c r="L20" s="5" t="s">
        <v>34</v>
      </c>
      <c r="M20" s="5" t="s">
        <v>34</v>
      </c>
      <c r="N20" s="2">
        <f t="shared" si="0"/>
        <v>0</v>
      </c>
      <c r="O20" s="6">
        <f t="shared" si="1"/>
        <v>0</v>
      </c>
      <c r="P20" s="2" t="s">
        <v>19</v>
      </c>
      <c r="Q20" s="2"/>
    </row>
    <row r="21" spans="1:17">
      <c r="A21" s="2" t="s">
        <v>203</v>
      </c>
      <c r="B21" s="5" t="s">
        <v>34</v>
      </c>
      <c r="C21" s="5" t="s">
        <v>34</v>
      </c>
      <c r="D21" s="5" t="s">
        <v>34</v>
      </c>
      <c r="E21" s="5" t="s">
        <v>34</v>
      </c>
      <c r="F21" s="5" t="s">
        <v>34</v>
      </c>
      <c r="G21" s="5" t="s">
        <v>34</v>
      </c>
      <c r="H21" s="5" t="s">
        <v>34</v>
      </c>
      <c r="I21" s="5" t="s">
        <v>34</v>
      </c>
      <c r="J21" s="5" t="s">
        <v>34</v>
      </c>
      <c r="K21" s="5" t="s">
        <v>34</v>
      </c>
      <c r="L21" s="5" t="s">
        <v>34</v>
      </c>
      <c r="M21" s="5" t="s">
        <v>34</v>
      </c>
      <c r="N21" s="2">
        <f t="shared" si="0"/>
        <v>0</v>
      </c>
      <c r="O21" s="6">
        <f t="shared" si="1"/>
        <v>0</v>
      </c>
      <c r="P21" s="2" t="s">
        <v>19</v>
      </c>
      <c r="Q21" s="2"/>
    </row>
    <row r="22" spans="1:17">
      <c r="A22" s="2" t="s">
        <v>204</v>
      </c>
      <c r="B22" s="5" t="s">
        <v>34</v>
      </c>
      <c r="C22" s="5" t="s">
        <v>34</v>
      </c>
      <c r="D22" s="5" t="s">
        <v>34</v>
      </c>
      <c r="E22" s="5" t="s">
        <v>34</v>
      </c>
      <c r="F22" s="5" t="s">
        <v>34</v>
      </c>
      <c r="G22" s="5" t="s">
        <v>34</v>
      </c>
      <c r="H22" s="5" t="s">
        <v>34</v>
      </c>
      <c r="I22" s="5" t="s">
        <v>34</v>
      </c>
      <c r="J22" s="5" t="s">
        <v>34</v>
      </c>
      <c r="K22" s="5" t="s">
        <v>34</v>
      </c>
      <c r="L22" s="5" t="s">
        <v>34</v>
      </c>
      <c r="M22" s="5" t="s">
        <v>34</v>
      </c>
      <c r="N22" s="2">
        <f t="shared" si="0"/>
        <v>0</v>
      </c>
      <c r="O22" s="6">
        <f t="shared" si="1"/>
        <v>0</v>
      </c>
      <c r="P22" s="2" t="s">
        <v>19</v>
      </c>
      <c r="Q22" s="2"/>
    </row>
    <row r="23" spans="1:17">
      <c r="A23" s="2" t="s">
        <v>205</v>
      </c>
      <c r="B23" s="5" t="s">
        <v>34</v>
      </c>
      <c r="C23" s="5" t="s">
        <v>34</v>
      </c>
      <c r="D23" s="5" t="s">
        <v>34</v>
      </c>
      <c r="E23" s="5" t="s">
        <v>34</v>
      </c>
      <c r="F23" s="5" t="s">
        <v>34</v>
      </c>
      <c r="G23" s="5" t="s">
        <v>34</v>
      </c>
      <c r="H23" s="5" t="s">
        <v>34</v>
      </c>
      <c r="I23" s="5" t="s">
        <v>34</v>
      </c>
      <c r="J23" s="5" t="s">
        <v>34</v>
      </c>
      <c r="K23" s="5" t="s">
        <v>34</v>
      </c>
      <c r="L23" s="5" t="s">
        <v>34</v>
      </c>
      <c r="M23" s="5" t="s">
        <v>34</v>
      </c>
      <c r="N23" s="2">
        <f t="shared" si="0"/>
        <v>0</v>
      </c>
      <c r="O23" s="6">
        <f t="shared" si="1"/>
        <v>0</v>
      </c>
      <c r="P23" s="2" t="s">
        <v>19</v>
      </c>
      <c r="Q23" s="2"/>
    </row>
    <row r="24" spans="1:17">
      <c r="A24" s="2" t="s">
        <v>206</v>
      </c>
      <c r="B24" s="5" t="s">
        <v>34</v>
      </c>
      <c r="C24" s="5" t="s">
        <v>34</v>
      </c>
      <c r="D24" s="5" t="s">
        <v>34</v>
      </c>
      <c r="E24" s="5" t="s">
        <v>34</v>
      </c>
      <c r="F24" s="5" t="s">
        <v>34</v>
      </c>
      <c r="G24" s="5" t="s">
        <v>34</v>
      </c>
      <c r="H24" s="5" t="s">
        <v>34</v>
      </c>
      <c r="I24" s="5" t="s">
        <v>34</v>
      </c>
      <c r="J24" s="5" t="s">
        <v>34</v>
      </c>
      <c r="K24" s="5" t="s">
        <v>34</v>
      </c>
      <c r="L24" s="5" t="s">
        <v>34</v>
      </c>
      <c r="M24" s="5" t="s">
        <v>34</v>
      </c>
      <c r="N24" s="2">
        <f t="shared" si="0"/>
        <v>0</v>
      </c>
      <c r="O24" s="6">
        <f t="shared" si="1"/>
        <v>0</v>
      </c>
      <c r="P24" s="2" t="s">
        <v>19</v>
      </c>
      <c r="Q24" s="2"/>
    </row>
    <row r="25" spans="1:17">
      <c r="A25" s="2" t="s">
        <v>207</v>
      </c>
      <c r="B25" s="5" t="s">
        <v>34</v>
      </c>
      <c r="C25" s="5" t="s">
        <v>34</v>
      </c>
      <c r="D25" s="5" t="s">
        <v>34</v>
      </c>
      <c r="E25" s="5" t="s">
        <v>34</v>
      </c>
      <c r="F25" s="5" t="s">
        <v>34</v>
      </c>
      <c r="G25" s="5" t="s">
        <v>34</v>
      </c>
      <c r="H25" s="5" t="s">
        <v>34</v>
      </c>
      <c r="I25" s="5" t="s">
        <v>34</v>
      </c>
      <c r="J25" s="5" t="s">
        <v>34</v>
      </c>
      <c r="K25" s="5" t="s">
        <v>34</v>
      </c>
      <c r="L25" s="5" t="s">
        <v>34</v>
      </c>
      <c r="M25" s="5" t="s">
        <v>34</v>
      </c>
      <c r="N25" s="2">
        <f t="shared" si="0"/>
        <v>0</v>
      </c>
      <c r="O25" s="6">
        <f t="shared" si="1"/>
        <v>0</v>
      </c>
      <c r="P25" s="2" t="s">
        <v>19</v>
      </c>
      <c r="Q25" s="2"/>
    </row>
    <row r="26" spans="1:17">
      <c r="A26" s="2" t="s">
        <v>208</v>
      </c>
      <c r="B26" s="5" t="s">
        <v>34</v>
      </c>
      <c r="C26" s="5" t="s">
        <v>34</v>
      </c>
      <c r="D26" s="5" t="s">
        <v>34</v>
      </c>
      <c r="E26" s="5" t="s">
        <v>34</v>
      </c>
      <c r="F26" s="5" t="s">
        <v>34</v>
      </c>
      <c r="G26" s="5" t="s">
        <v>34</v>
      </c>
      <c r="H26" s="5" t="s">
        <v>34</v>
      </c>
      <c r="I26" s="5" t="s">
        <v>34</v>
      </c>
      <c r="J26" s="5" t="s">
        <v>34</v>
      </c>
      <c r="K26" s="5" t="s">
        <v>34</v>
      </c>
      <c r="L26" s="5" t="s">
        <v>34</v>
      </c>
      <c r="M26" s="5" t="s">
        <v>34</v>
      </c>
      <c r="N26" s="2">
        <f t="shared" si="0"/>
        <v>0</v>
      </c>
      <c r="O26" s="6">
        <f t="shared" si="1"/>
        <v>0</v>
      </c>
      <c r="P26" s="2" t="s">
        <v>19</v>
      </c>
      <c r="Q26" s="2"/>
    </row>
    <row r="27" spans="1:17">
      <c r="A27" s="2" t="s">
        <v>209</v>
      </c>
      <c r="B27" s="5" t="s">
        <v>34</v>
      </c>
      <c r="C27" s="5" t="s">
        <v>34</v>
      </c>
      <c r="D27" s="5" t="s">
        <v>34</v>
      </c>
      <c r="E27" s="5" t="s">
        <v>34</v>
      </c>
      <c r="F27" s="5" t="s">
        <v>34</v>
      </c>
      <c r="G27" s="5" t="s">
        <v>34</v>
      </c>
      <c r="H27" s="5" t="s">
        <v>34</v>
      </c>
      <c r="I27" s="5" t="s">
        <v>34</v>
      </c>
      <c r="J27" s="5" t="s">
        <v>34</v>
      </c>
      <c r="K27" s="5" t="s">
        <v>34</v>
      </c>
      <c r="L27" s="5" t="s">
        <v>34</v>
      </c>
      <c r="M27" s="5" t="s">
        <v>34</v>
      </c>
      <c r="N27" s="2">
        <f t="shared" si="0"/>
        <v>0</v>
      </c>
      <c r="O27" s="6">
        <f t="shared" si="1"/>
        <v>0</v>
      </c>
      <c r="P27" s="2" t="s">
        <v>19</v>
      </c>
      <c r="Q27" s="2"/>
    </row>
    <row r="28" spans="1:17">
      <c r="A28" s="2" t="s">
        <v>210</v>
      </c>
      <c r="B28" s="5" t="s">
        <v>34</v>
      </c>
      <c r="C28" s="5" t="s">
        <v>34</v>
      </c>
      <c r="D28" s="5" t="s">
        <v>34</v>
      </c>
      <c r="E28" s="5" t="s">
        <v>34</v>
      </c>
      <c r="F28" s="5" t="s">
        <v>34</v>
      </c>
      <c r="G28" s="5" t="s">
        <v>34</v>
      </c>
      <c r="H28" s="5" t="s">
        <v>34</v>
      </c>
      <c r="I28" s="5" t="s">
        <v>34</v>
      </c>
      <c r="J28" s="5" t="s">
        <v>34</v>
      </c>
      <c r="K28" s="5" t="s">
        <v>34</v>
      </c>
      <c r="L28" s="5" t="s">
        <v>34</v>
      </c>
      <c r="M28" s="5" t="s">
        <v>34</v>
      </c>
      <c r="N28" s="2">
        <f t="shared" si="0"/>
        <v>0</v>
      </c>
      <c r="O28" s="6">
        <f t="shared" si="1"/>
        <v>0</v>
      </c>
      <c r="P28" s="2" t="s">
        <v>19</v>
      </c>
      <c r="Q28" s="2"/>
    </row>
    <row r="29" spans="1:17">
      <c r="A29" s="2" t="s">
        <v>211</v>
      </c>
      <c r="B29" s="5" t="s">
        <v>34</v>
      </c>
      <c r="C29" s="5" t="s">
        <v>34</v>
      </c>
      <c r="D29" s="5" t="s">
        <v>34</v>
      </c>
      <c r="E29" s="5" t="s">
        <v>34</v>
      </c>
      <c r="F29" s="5" t="s">
        <v>34</v>
      </c>
      <c r="G29" s="5" t="s">
        <v>34</v>
      </c>
      <c r="H29" s="5" t="s">
        <v>34</v>
      </c>
      <c r="I29" s="5" t="s">
        <v>34</v>
      </c>
      <c r="J29" s="5" t="s">
        <v>34</v>
      </c>
      <c r="K29" s="5" t="s">
        <v>34</v>
      </c>
      <c r="L29" s="5" t="s">
        <v>34</v>
      </c>
      <c r="M29" s="5" t="s">
        <v>34</v>
      </c>
      <c r="N29" s="2">
        <f t="shared" si="0"/>
        <v>0</v>
      </c>
      <c r="O29" s="6">
        <f t="shared" si="1"/>
        <v>0</v>
      </c>
      <c r="P29" s="2" t="s">
        <v>19</v>
      </c>
      <c r="Q29" s="2"/>
    </row>
    <row r="30" spans="1:17">
      <c r="A30" s="2" t="s">
        <v>212</v>
      </c>
      <c r="B30" s="5" t="s">
        <v>34</v>
      </c>
      <c r="C30" s="5" t="s">
        <v>34</v>
      </c>
      <c r="D30" s="5" t="s">
        <v>34</v>
      </c>
      <c r="E30" s="5" t="s">
        <v>34</v>
      </c>
      <c r="F30" s="5" t="s">
        <v>34</v>
      </c>
      <c r="G30" s="5" t="s">
        <v>34</v>
      </c>
      <c r="H30" s="5" t="s">
        <v>34</v>
      </c>
      <c r="I30" s="5" t="s">
        <v>34</v>
      </c>
      <c r="J30" s="5" t="s">
        <v>34</v>
      </c>
      <c r="K30" s="5" t="s">
        <v>34</v>
      </c>
      <c r="L30" s="5" t="s">
        <v>34</v>
      </c>
      <c r="M30" s="5" t="s">
        <v>34</v>
      </c>
      <c r="N30" s="2">
        <f t="shared" si="0"/>
        <v>0</v>
      </c>
      <c r="O30" s="6">
        <f t="shared" si="1"/>
        <v>0</v>
      </c>
      <c r="P30" s="2" t="s">
        <v>19</v>
      </c>
      <c r="Q30" s="2"/>
    </row>
  </sheetData>
  <mergeCells count="1">
    <mergeCell ref="A1:O1"/>
  </mergeCells>
  <conditionalFormatting sqref="B3:M30">
    <cfRule type="expression" dxfId="5" priority="1">
      <formula>B3="☑"</formula>
    </cfRule>
    <cfRule type="expression" dxfId="4" priority="2">
      <formula>B3="N/A"</formula>
    </cfRule>
  </conditionalFormatting>
  <conditionalFormatting sqref="O3:O30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{832332C8-B665-6BFB-F7CA-16431E205870}</x14:id>
        </ext>
      </extLst>
    </cfRule>
  </conditionalFormatting>
  <dataValidations count="1">
    <dataValidation type="list" sqref="B3:M30" xr:uid="{00000000-0002-0000-0F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2332C8-B665-6BFB-F7CA-16431E205870}">
            <x14:dataBar>
              <x14:cfvo type="min"/>
              <x14:cfvo type="max"/>
              <x14:negativeFillColor auto="1"/>
              <x14:axisColor auto="1"/>
            </x14:dataBar>
          </x14:cfRule>
          <xm:sqref>O3:O30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zoomScaleNormal="60" zoomScaleSheetLayoutView="100" workbookViewId="0">
      <selection sqref="A1:G1"/>
    </sheetView>
  </sheetViews>
  <sheetFormatPr defaultRowHeight="14"/>
  <cols>
    <col min="1" max="1" width="42" customWidth="1"/>
    <col min="2" max="5" width="11" customWidth="1"/>
  </cols>
  <sheetData>
    <row r="1" spans="1:9" ht="18">
      <c r="A1" s="7" t="s">
        <v>213</v>
      </c>
      <c r="B1" s="9"/>
      <c r="C1" s="9"/>
      <c r="D1" s="9"/>
      <c r="E1" s="9"/>
      <c r="F1" s="9"/>
      <c r="G1" s="9"/>
    </row>
    <row r="2" spans="1:9" ht="28">
      <c r="A2" s="1" t="s">
        <v>59</v>
      </c>
      <c r="B2" s="1" t="s">
        <v>214</v>
      </c>
      <c r="C2" s="1" t="s">
        <v>215</v>
      </c>
      <c r="D2" s="1" t="s">
        <v>216</v>
      </c>
      <c r="E2" s="1" t="s">
        <v>217</v>
      </c>
      <c r="F2" s="1" t="s">
        <v>4</v>
      </c>
      <c r="G2" s="1" t="s">
        <v>6</v>
      </c>
      <c r="H2" s="1" t="s">
        <v>7</v>
      </c>
      <c r="I2" s="1" t="s">
        <v>120</v>
      </c>
    </row>
    <row r="3" spans="1:9">
      <c r="A3" s="2" t="s">
        <v>218</v>
      </c>
      <c r="B3" s="5" t="s">
        <v>34</v>
      </c>
      <c r="C3" s="5" t="s">
        <v>34</v>
      </c>
      <c r="D3" s="5" t="s">
        <v>34</v>
      </c>
      <c r="E3" s="5" t="s">
        <v>34</v>
      </c>
      <c r="F3" s="2">
        <f t="shared" ref="F3:F18" si="0">COUNTIF(B3:E3,"☑")</f>
        <v>0</v>
      </c>
      <c r="G3" s="6">
        <f t="shared" ref="G3:G18" si="1">IF(COUNTIF(B3:E3,"&lt;&gt;N/A")=0,"",F3/COUNTIF(B3:E3,"&lt;&gt;N/A"))</f>
        <v>0</v>
      </c>
      <c r="H3" s="2" t="s">
        <v>22</v>
      </c>
      <c r="I3" s="2"/>
    </row>
    <row r="4" spans="1:9">
      <c r="A4" s="2" t="s">
        <v>219</v>
      </c>
      <c r="B4" s="5" t="s">
        <v>34</v>
      </c>
      <c r="C4" s="5" t="s">
        <v>34</v>
      </c>
      <c r="D4" s="5" t="s">
        <v>34</v>
      </c>
      <c r="E4" s="5" t="s">
        <v>34</v>
      </c>
      <c r="F4" s="2">
        <f t="shared" si="0"/>
        <v>0</v>
      </c>
      <c r="G4" s="6">
        <f t="shared" si="1"/>
        <v>0</v>
      </c>
      <c r="H4" s="2" t="s">
        <v>22</v>
      </c>
      <c r="I4" s="2"/>
    </row>
    <row r="5" spans="1:9">
      <c r="A5" s="2" t="s">
        <v>220</v>
      </c>
      <c r="B5" s="5" t="s">
        <v>34</v>
      </c>
      <c r="C5" s="5" t="s">
        <v>34</v>
      </c>
      <c r="D5" s="5" t="s">
        <v>34</v>
      </c>
      <c r="E5" s="5" t="s">
        <v>34</v>
      </c>
      <c r="F5" s="2">
        <f t="shared" si="0"/>
        <v>0</v>
      </c>
      <c r="G5" s="6">
        <f t="shared" si="1"/>
        <v>0</v>
      </c>
      <c r="H5" s="2" t="s">
        <v>22</v>
      </c>
      <c r="I5" s="2"/>
    </row>
    <row r="6" spans="1:9">
      <c r="A6" s="2" t="s">
        <v>221</v>
      </c>
      <c r="B6" s="5" t="s">
        <v>34</v>
      </c>
      <c r="C6" s="5" t="s">
        <v>34</v>
      </c>
      <c r="D6" s="5" t="s">
        <v>34</v>
      </c>
      <c r="E6" s="5" t="s">
        <v>34</v>
      </c>
      <c r="F6" s="2">
        <f t="shared" si="0"/>
        <v>0</v>
      </c>
      <c r="G6" s="6">
        <f t="shared" si="1"/>
        <v>0</v>
      </c>
      <c r="H6" s="2" t="s">
        <v>22</v>
      </c>
      <c r="I6" s="2"/>
    </row>
    <row r="7" spans="1:9">
      <c r="A7" s="2" t="s">
        <v>222</v>
      </c>
      <c r="B7" s="5" t="s">
        <v>34</v>
      </c>
      <c r="C7" s="5" t="s">
        <v>34</v>
      </c>
      <c r="D7" s="5" t="s">
        <v>34</v>
      </c>
      <c r="E7" s="5" t="s">
        <v>34</v>
      </c>
      <c r="F7" s="2">
        <f t="shared" si="0"/>
        <v>0</v>
      </c>
      <c r="G7" s="6">
        <f t="shared" si="1"/>
        <v>0</v>
      </c>
      <c r="H7" s="2" t="s">
        <v>22</v>
      </c>
      <c r="I7" s="2"/>
    </row>
    <row r="8" spans="1:9">
      <c r="A8" s="2" t="s">
        <v>223</v>
      </c>
      <c r="B8" s="5" t="s">
        <v>34</v>
      </c>
      <c r="C8" s="5" t="s">
        <v>34</v>
      </c>
      <c r="D8" s="5" t="s">
        <v>34</v>
      </c>
      <c r="E8" s="5" t="s">
        <v>34</v>
      </c>
      <c r="F8" s="2">
        <f t="shared" si="0"/>
        <v>0</v>
      </c>
      <c r="G8" s="6">
        <f t="shared" si="1"/>
        <v>0</v>
      </c>
      <c r="H8" s="2" t="s">
        <v>22</v>
      </c>
      <c r="I8" s="2"/>
    </row>
    <row r="9" spans="1:9">
      <c r="A9" s="2" t="s">
        <v>224</v>
      </c>
      <c r="B9" s="5" t="s">
        <v>34</v>
      </c>
      <c r="C9" s="5" t="s">
        <v>34</v>
      </c>
      <c r="D9" s="5" t="s">
        <v>34</v>
      </c>
      <c r="E9" s="5" t="s">
        <v>34</v>
      </c>
      <c r="F9" s="2">
        <f t="shared" si="0"/>
        <v>0</v>
      </c>
      <c r="G9" s="6">
        <f t="shared" si="1"/>
        <v>0</v>
      </c>
      <c r="H9" s="2" t="s">
        <v>22</v>
      </c>
      <c r="I9" s="2"/>
    </row>
    <row r="10" spans="1:9">
      <c r="A10" s="2" t="s">
        <v>225</v>
      </c>
      <c r="B10" s="5" t="s">
        <v>34</v>
      </c>
      <c r="C10" s="5" t="s">
        <v>34</v>
      </c>
      <c r="D10" s="5" t="s">
        <v>34</v>
      </c>
      <c r="E10" s="5" t="s">
        <v>34</v>
      </c>
      <c r="F10" s="2">
        <f t="shared" si="0"/>
        <v>0</v>
      </c>
      <c r="G10" s="6">
        <f t="shared" si="1"/>
        <v>0</v>
      </c>
      <c r="H10" s="2" t="s">
        <v>22</v>
      </c>
      <c r="I10" s="2"/>
    </row>
    <row r="11" spans="1:9">
      <c r="A11" s="2" t="s">
        <v>226</v>
      </c>
      <c r="B11" s="5" t="s">
        <v>34</v>
      </c>
      <c r="C11" s="5" t="s">
        <v>34</v>
      </c>
      <c r="D11" s="5" t="s">
        <v>34</v>
      </c>
      <c r="E11" s="5" t="s">
        <v>34</v>
      </c>
      <c r="F11" s="2">
        <f t="shared" si="0"/>
        <v>0</v>
      </c>
      <c r="G11" s="6">
        <f t="shared" si="1"/>
        <v>0</v>
      </c>
      <c r="H11" s="2" t="s">
        <v>22</v>
      </c>
      <c r="I11" s="2"/>
    </row>
    <row r="12" spans="1:9">
      <c r="A12" s="2" t="s">
        <v>227</v>
      </c>
      <c r="B12" s="5" t="s">
        <v>34</v>
      </c>
      <c r="C12" s="5" t="s">
        <v>34</v>
      </c>
      <c r="D12" s="5" t="s">
        <v>34</v>
      </c>
      <c r="E12" s="5" t="s">
        <v>34</v>
      </c>
      <c r="F12" s="2">
        <f t="shared" si="0"/>
        <v>0</v>
      </c>
      <c r="G12" s="6">
        <f t="shared" si="1"/>
        <v>0</v>
      </c>
      <c r="H12" s="2" t="s">
        <v>22</v>
      </c>
      <c r="I12" s="2"/>
    </row>
    <row r="13" spans="1:9">
      <c r="A13" s="2" t="s">
        <v>228</v>
      </c>
      <c r="B13" s="5" t="s">
        <v>34</v>
      </c>
      <c r="C13" s="5" t="s">
        <v>34</v>
      </c>
      <c r="D13" s="5" t="s">
        <v>34</v>
      </c>
      <c r="E13" s="5" t="s">
        <v>34</v>
      </c>
      <c r="F13" s="2">
        <f t="shared" si="0"/>
        <v>0</v>
      </c>
      <c r="G13" s="6">
        <f t="shared" si="1"/>
        <v>0</v>
      </c>
      <c r="H13" s="2" t="s">
        <v>22</v>
      </c>
      <c r="I13" s="2"/>
    </row>
    <row r="14" spans="1:9">
      <c r="A14" s="2" t="s">
        <v>229</v>
      </c>
      <c r="B14" s="5" t="s">
        <v>34</v>
      </c>
      <c r="C14" s="5" t="s">
        <v>34</v>
      </c>
      <c r="D14" s="5" t="s">
        <v>34</v>
      </c>
      <c r="E14" s="5" t="s">
        <v>34</v>
      </c>
      <c r="F14" s="2">
        <f t="shared" si="0"/>
        <v>0</v>
      </c>
      <c r="G14" s="6">
        <f t="shared" si="1"/>
        <v>0</v>
      </c>
      <c r="H14" s="2" t="s">
        <v>22</v>
      </c>
      <c r="I14" s="2"/>
    </row>
    <row r="15" spans="1:9">
      <c r="A15" s="2" t="s">
        <v>230</v>
      </c>
      <c r="B15" s="5" t="s">
        <v>34</v>
      </c>
      <c r="C15" s="5" t="s">
        <v>34</v>
      </c>
      <c r="D15" s="5" t="s">
        <v>34</v>
      </c>
      <c r="E15" s="5" t="s">
        <v>34</v>
      </c>
      <c r="F15" s="2">
        <f t="shared" si="0"/>
        <v>0</v>
      </c>
      <c r="G15" s="6">
        <f t="shared" si="1"/>
        <v>0</v>
      </c>
      <c r="H15" s="2" t="s">
        <v>22</v>
      </c>
      <c r="I15" s="2"/>
    </row>
    <row r="16" spans="1:9">
      <c r="A16" s="2" t="s">
        <v>231</v>
      </c>
      <c r="B16" s="5" t="s">
        <v>34</v>
      </c>
      <c r="C16" s="5" t="s">
        <v>34</v>
      </c>
      <c r="D16" s="5" t="s">
        <v>34</v>
      </c>
      <c r="E16" s="5" t="s">
        <v>34</v>
      </c>
      <c r="F16" s="2">
        <f t="shared" si="0"/>
        <v>0</v>
      </c>
      <c r="G16" s="6">
        <f t="shared" si="1"/>
        <v>0</v>
      </c>
      <c r="H16" s="2" t="s">
        <v>22</v>
      </c>
      <c r="I16" s="2"/>
    </row>
    <row r="17" spans="1:9">
      <c r="A17" s="2" t="s">
        <v>232</v>
      </c>
      <c r="B17" s="5" t="s">
        <v>34</v>
      </c>
      <c r="C17" s="5" t="s">
        <v>34</v>
      </c>
      <c r="D17" s="5" t="s">
        <v>34</v>
      </c>
      <c r="E17" s="5" t="s">
        <v>34</v>
      </c>
      <c r="F17" s="2">
        <f t="shared" si="0"/>
        <v>0</v>
      </c>
      <c r="G17" s="6">
        <f t="shared" si="1"/>
        <v>0</v>
      </c>
      <c r="H17" s="2" t="s">
        <v>22</v>
      </c>
      <c r="I17" s="2"/>
    </row>
    <row r="18" spans="1:9">
      <c r="A18" s="2" t="s">
        <v>233</v>
      </c>
      <c r="B18" s="5" t="s">
        <v>34</v>
      </c>
      <c r="C18" s="5" t="s">
        <v>34</v>
      </c>
      <c r="D18" s="5" t="s">
        <v>34</v>
      </c>
      <c r="E18" s="5" t="s">
        <v>34</v>
      </c>
      <c r="F18" s="2">
        <f t="shared" si="0"/>
        <v>0</v>
      </c>
      <c r="G18" s="6">
        <f t="shared" si="1"/>
        <v>0</v>
      </c>
      <c r="H18" s="2" t="s">
        <v>22</v>
      </c>
      <c r="I18" s="2"/>
    </row>
  </sheetData>
  <mergeCells count="1">
    <mergeCell ref="A1:G1"/>
  </mergeCells>
  <conditionalFormatting sqref="B3:E18">
    <cfRule type="expression" dxfId="3" priority="1">
      <formula>B3="☑"</formula>
    </cfRule>
    <cfRule type="expression" dxfId="2" priority="2">
      <formula>B3="N/A"</formula>
    </cfRule>
  </conditionalFormatting>
  <conditionalFormatting sqref="G3:G18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{76DA33D8-60E7-CFA0-C1FD-A100181C1382}</x14:id>
        </ext>
      </extLst>
    </cfRule>
  </conditionalFormatting>
  <dataValidations count="1">
    <dataValidation type="list" sqref="B3:E18" xr:uid="{00000000-0002-0000-10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DA33D8-60E7-CFA0-C1FD-A100181C1382}">
            <x14:dataBar>
              <x14:cfvo type="min"/>
              <x14:cfvo type="max"/>
              <x14:negativeFillColor auto="1"/>
              <x14:axisColor auto="1"/>
            </x14:dataBar>
          </x14:cfRule>
          <xm:sqref>G3:G18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"/>
  <sheetViews>
    <sheetView zoomScaleNormal="60" zoomScaleSheetLayoutView="100" workbookViewId="0">
      <selection sqref="A1:E1"/>
    </sheetView>
  </sheetViews>
  <sheetFormatPr defaultRowHeight="14"/>
  <cols>
    <col min="1" max="1" width="42" customWidth="1"/>
    <col min="2" max="3" width="11" customWidth="1"/>
  </cols>
  <sheetData>
    <row r="1" spans="1:7" ht="18">
      <c r="A1" s="7" t="s">
        <v>234</v>
      </c>
      <c r="B1" s="9"/>
      <c r="C1" s="9"/>
      <c r="D1" s="9"/>
      <c r="E1" s="9"/>
    </row>
    <row r="2" spans="1:7" ht="28">
      <c r="A2" s="1" t="s">
        <v>59</v>
      </c>
      <c r="B2" s="1" t="s">
        <v>174</v>
      </c>
      <c r="C2" s="1" t="s">
        <v>180</v>
      </c>
      <c r="D2" s="1" t="s">
        <v>4</v>
      </c>
      <c r="E2" s="1" t="s">
        <v>6</v>
      </c>
      <c r="F2" s="1" t="s">
        <v>7</v>
      </c>
      <c r="G2" s="1" t="s">
        <v>120</v>
      </c>
    </row>
    <row r="3" spans="1:7">
      <c r="A3" s="2" t="s">
        <v>235</v>
      </c>
      <c r="B3" s="5" t="s">
        <v>34</v>
      </c>
      <c r="C3" s="5" t="s">
        <v>34</v>
      </c>
      <c r="D3" s="2">
        <f t="shared" ref="D3:D13" si="0">COUNTIF(B3:C3,"☑")</f>
        <v>0</v>
      </c>
      <c r="E3" s="6">
        <f t="shared" ref="E3:E13" si="1">IF(COUNTIF(B3:C3,"&lt;&gt;N/A")=0,"",D3/COUNTIF(B3:C3,"&lt;&gt;N/A"))</f>
        <v>0</v>
      </c>
      <c r="F3" s="2" t="s">
        <v>19</v>
      </c>
      <c r="G3" s="2"/>
    </row>
    <row r="4" spans="1:7">
      <c r="A4" s="2" t="s">
        <v>236</v>
      </c>
      <c r="B4" s="5" t="s">
        <v>34</v>
      </c>
      <c r="C4" s="5" t="s">
        <v>34</v>
      </c>
      <c r="D4" s="2">
        <f t="shared" si="0"/>
        <v>0</v>
      </c>
      <c r="E4" s="6">
        <f t="shared" si="1"/>
        <v>0</v>
      </c>
      <c r="F4" s="2" t="s">
        <v>19</v>
      </c>
      <c r="G4" s="2"/>
    </row>
    <row r="5" spans="1:7">
      <c r="A5" s="2" t="s">
        <v>40</v>
      </c>
      <c r="B5" s="5" t="s">
        <v>34</v>
      </c>
      <c r="C5" s="5" t="s">
        <v>34</v>
      </c>
      <c r="D5" s="2">
        <f t="shared" si="0"/>
        <v>0</v>
      </c>
      <c r="E5" s="6">
        <f t="shared" si="1"/>
        <v>0</v>
      </c>
      <c r="F5" s="2" t="s">
        <v>19</v>
      </c>
      <c r="G5" s="2"/>
    </row>
    <row r="6" spans="1:7">
      <c r="A6" s="2" t="s">
        <v>237</v>
      </c>
      <c r="B6" s="5" t="s">
        <v>34</v>
      </c>
      <c r="C6" s="5" t="s">
        <v>34</v>
      </c>
      <c r="D6" s="2">
        <f t="shared" si="0"/>
        <v>0</v>
      </c>
      <c r="E6" s="6">
        <f t="shared" si="1"/>
        <v>0</v>
      </c>
      <c r="F6" s="2" t="s">
        <v>19</v>
      </c>
      <c r="G6" s="2"/>
    </row>
    <row r="7" spans="1:7">
      <c r="A7" s="2" t="s">
        <v>238</v>
      </c>
      <c r="B7" s="5" t="s">
        <v>34</v>
      </c>
      <c r="C7" s="5" t="s">
        <v>34</v>
      </c>
      <c r="D7" s="2">
        <f t="shared" si="0"/>
        <v>0</v>
      </c>
      <c r="E7" s="6">
        <f t="shared" si="1"/>
        <v>0</v>
      </c>
      <c r="F7" s="2" t="s">
        <v>19</v>
      </c>
      <c r="G7" s="2"/>
    </row>
    <row r="8" spans="1:7">
      <c r="A8" s="2" t="s">
        <v>239</v>
      </c>
      <c r="B8" s="5" t="s">
        <v>34</v>
      </c>
      <c r="C8" s="5" t="s">
        <v>34</v>
      </c>
      <c r="D8" s="2">
        <f t="shared" si="0"/>
        <v>0</v>
      </c>
      <c r="E8" s="6">
        <f t="shared" si="1"/>
        <v>0</v>
      </c>
      <c r="F8" s="2" t="s">
        <v>19</v>
      </c>
      <c r="G8" s="2"/>
    </row>
    <row r="9" spans="1:7">
      <c r="A9" s="2" t="s">
        <v>240</v>
      </c>
      <c r="B9" s="5" t="s">
        <v>34</v>
      </c>
      <c r="C9" s="5" t="s">
        <v>34</v>
      </c>
      <c r="D9" s="2">
        <f t="shared" si="0"/>
        <v>0</v>
      </c>
      <c r="E9" s="6">
        <f t="shared" si="1"/>
        <v>0</v>
      </c>
      <c r="F9" s="2" t="s">
        <v>19</v>
      </c>
      <c r="G9" s="2"/>
    </row>
    <row r="10" spans="1:7">
      <c r="A10" s="2" t="s">
        <v>241</v>
      </c>
      <c r="B10" s="5" t="s">
        <v>34</v>
      </c>
      <c r="C10" s="5" t="s">
        <v>34</v>
      </c>
      <c r="D10" s="2">
        <f t="shared" si="0"/>
        <v>0</v>
      </c>
      <c r="E10" s="6">
        <f t="shared" si="1"/>
        <v>0</v>
      </c>
      <c r="F10" s="2" t="s">
        <v>19</v>
      </c>
      <c r="G10" s="2"/>
    </row>
    <row r="11" spans="1:7">
      <c r="A11" s="2" t="s">
        <v>242</v>
      </c>
      <c r="B11" s="5" t="s">
        <v>34</v>
      </c>
      <c r="C11" s="5" t="s">
        <v>34</v>
      </c>
      <c r="D11" s="2">
        <f t="shared" si="0"/>
        <v>0</v>
      </c>
      <c r="E11" s="6">
        <f t="shared" si="1"/>
        <v>0</v>
      </c>
      <c r="F11" s="2" t="s">
        <v>19</v>
      </c>
      <c r="G11" s="2"/>
    </row>
    <row r="12" spans="1:7">
      <c r="A12" s="2" t="s">
        <v>243</v>
      </c>
      <c r="B12" s="5" t="s">
        <v>34</v>
      </c>
      <c r="C12" s="5" t="s">
        <v>34</v>
      </c>
      <c r="D12" s="2">
        <f t="shared" si="0"/>
        <v>0</v>
      </c>
      <c r="E12" s="6">
        <f t="shared" si="1"/>
        <v>0</v>
      </c>
      <c r="F12" s="2" t="s">
        <v>19</v>
      </c>
      <c r="G12" s="2"/>
    </row>
    <row r="13" spans="1:7">
      <c r="A13" s="2" t="s">
        <v>244</v>
      </c>
      <c r="B13" s="5" t="s">
        <v>34</v>
      </c>
      <c r="C13" s="5" t="s">
        <v>34</v>
      </c>
      <c r="D13" s="2">
        <f t="shared" si="0"/>
        <v>0</v>
      </c>
      <c r="E13" s="6">
        <f t="shared" si="1"/>
        <v>0</v>
      </c>
      <c r="F13" s="2" t="s">
        <v>19</v>
      </c>
      <c r="G13" s="2"/>
    </row>
  </sheetData>
  <mergeCells count="1">
    <mergeCell ref="A1:E1"/>
  </mergeCells>
  <conditionalFormatting sqref="B3:C13">
    <cfRule type="expression" dxfId="1" priority="1">
      <formula>B3="☑"</formula>
    </cfRule>
    <cfRule type="expression" dxfId="0" priority="2">
      <formula>B3="N/A"</formula>
    </cfRule>
  </conditionalFormatting>
  <conditionalFormatting sqref="E3:E13">
    <cfRule type="dataBar" priority="3">
      <dataBar>
        <cfvo type="min"/>
        <cfvo type="max"/>
        <color rgb="FF0F766E"/>
      </dataBar>
    </cfRule>
    <cfRule type="dataBar" priority="4">
      <dataBar>
        <cfvo type="min"/>
        <cfvo type="max"/>
        <color rgb="FF0F766E"/>
      </dataBar>
      <extLst>
        <ext xmlns:x14="http://schemas.microsoft.com/office/spreadsheetml/2009/9/main" uri="{B025F937-C7B1-47D3-B67F-A62EFF666E3E}">
          <x14:id>{C0EA8470-EF61-CCFE-0CE2-353E420F7AFE}</x14:id>
        </ext>
      </extLst>
    </cfRule>
  </conditionalFormatting>
  <dataValidations count="1">
    <dataValidation type="list" sqref="B3:C13" xr:uid="{00000000-0002-0000-1100-000000000000}">
      <formula1>"☐,☑,N/A"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EA8470-EF61-CCFE-0CE2-353E420F7AFE}">
            <x14:dataBar>
              <x14:cfvo type="min"/>
              <x14:cfvo type="max"/>
              <x14:negativeFillColor auto="1"/>
              <x14:axisColor auto="1"/>
            </x14:dataBar>
          </x14:cfRule>
          <xm:sqref>E3:E13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4"/>
  <sheetViews>
    <sheetView zoomScaleNormal="60" zoomScaleSheetLayoutView="100" workbookViewId="0">
      <selection sqref="A1:H1"/>
    </sheetView>
  </sheetViews>
  <sheetFormatPr defaultRowHeight="14"/>
  <cols>
    <col min="1" max="1" width="48" customWidth="1"/>
    <col min="2" max="2" width="18" customWidth="1"/>
    <col min="3" max="3" width="12" customWidth="1"/>
    <col min="4" max="4" width="16" customWidth="1"/>
    <col min="5" max="8" width="20" customWidth="1"/>
  </cols>
  <sheetData>
    <row r="1" spans="1:8" ht="18">
      <c r="A1" s="7" t="s">
        <v>245</v>
      </c>
      <c r="B1" s="9"/>
      <c r="C1" s="9"/>
      <c r="D1" s="9"/>
      <c r="E1" s="9"/>
      <c r="F1" s="9"/>
      <c r="G1" s="9"/>
      <c r="H1" s="9"/>
    </row>
    <row r="2" spans="1:8" ht="28">
      <c r="A2" s="1" t="s">
        <v>246</v>
      </c>
      <c r="B2" s="1" t="s">
        <v>247</v>
      </c>
      <c r="C2" s="1" t="s">
        <v>4</v>
      </c>
      <c r="D2" s="1" t="s">
        <v>248</v>
      </c>
      <c r="E2" s="1" t="s">
        <v>7</v>
      </c>
      <c r="F2" s="1" t="s">
        <v>249</v>
      </c>
      <c r="G2" s="1" t="s">
        <v>8</v>
      </c>
      <c r="H2" s="1" t="s">
        <v>250</v>
      </c>
    </row>
    <row r="3" spans="1:8">
      <c r="A3" s="2" t="s">
        <v>251</v>
      </c>
      <c r="B3" s="2" t="s">
        <v>174</v>
      </c>
      <c r="C3" s="2" t="s">
        <v>34</v>
      </c>
      <c r="D3" s="2"/>
      <c r="E3" s="2" t="s">
        <v>22</v>
      </c>
      <c r="F3" s="2"/>
      <c r="G3" s="2"/>
      <c r="H3" s="2"/>
    </row>
    <row r="4" spans="1:8">
      <c r="A4" s="2" t="s">
        <v>252</v>
      </c>
      <c r="B4" s="2" t="s">
        <v>174</v>
      </c>
      <c r="C4" s="2" t="s">
        <v>34</v>
      </c>
      <c r="D4" s="2"/>
      <c r="E4" s="2" t="s">
        <v>22</v>
      </c>
      <c r="F4" s="2"/>
      <c r="G4" s="2"/>
      <c r="H4" s="2"/>
    </row>
    <row r="5" spans="1:8">
      <c r="A5" s="2" t="s">
        <v>253</v>
      </c>
      <c r="B5" s="2" t="s">
        <v>174</v>
      </c>
      <c r="C5" s="2" t="s">
        <v>34</v>
      </c>
      <c r="D5" s="2"/>
      <c r="E5" s="2" t="s">
        <v>22</v>
      </c>
      <c r="F5" s="2"/>
      <c r="G5" s="2"/>
      <c r="H5" s="2"/>
    </row>
    <row r="6" spans="1:8">
      <c r="A6" s="2" t="s">
        <v>254</v>
      </c>
      <c r="B6" s="2" t="s">
        <v>174</v>
      </c>
      <c r="C6" s="2" t="s">
        <v>34</v>
      </c>
      <c r="D6" s="2"/>
      <c r="E6" s="2" t="s">
        <v>22</v>
      </c>
      <c r="F6" s="2"/>
      <c r="G6" s="2"/>
      <c r="H6" s="2"/>
    </row>
    <row r="7" spans="1:8">
      <c r="A7" s="2" t="s">
        <v>255</v>
      </c>
      <c r="B7" s="2" t="s">
        <v>174</v>
      </c>
      <c r="C7" s="2" t="s">
        <v>34</v>
      </c>
      <c r="D7" s="2"/>
      <c r="E7" s="2" t="s">
        <v>22</v>
      </c>
      <c r="F7" s="2"/>
      <c r="G7" s="2"/>
      <c r="H7" s="2"/>
    </row>
    <row r="8" spans="1:8">
      <c r="A8" s="2" t="s">
        <v>256</v>
      </c>
      <c r="B8" s="2" t="s">
        <v>178</v>
      </c>
      <c r="C8" s="2" t="s">
        <v>34</v>
      </c>
      <c r="D8" s="2"/>
      <c r="E8" s="2" t="s">
        <v>22</v>
      </c>
      <c r="F8" s="2"/>
      <c r="G8" s="2"/>
      <c r="H8" s="2"/>
    </row>
    <row r="9" spans="1:8">
      <c r="A9" s="2" t="s">
        <v>257</v>
      </c>
      <c r="B9" s="2" t="s">
        <v>178</v>
      </c>
      <c r="C9" s="2" t="s">
        <v>34</v>
      </c>
      <c r="D9" s="2"/>
      <c r="E9" s="2" t="s">
        <v>22</v>
      </c>
      <c r="F9" s="2"/>
      <c r="G9" s="2"/>
      <c r="H9" s="2"/>
    </row>
    <row r="10" spans="1:8">
      <c r="A10" s="2" t="s">
        <v>258</v>
      </c>
      <c r="B10" s="2" t="s">
        <v>259</v>
      </c>
      <c r="C10" s="2" t="s">
        <v>34</v>
      </c>
      <c r="D10" s="2"/>
      <c r="E10" s="2" t="s">
        <v>22</v>
      </c>
      <c r="F10" s="2"/>
      <c r="G10" s="2"/>
      <c r="H10" s="2"/>
    </row>
    <row r="11" spans="1:8">
      <c r="A11" s="2" t="s">
        <v>260</v>
      </c>
      <c r="B11" s="2" t="s">
        <v>174</v>
      </c>
      <c r="C11" s="2" t="s">
        <v>34</v>
      </c>
      <c r="D11" s="2"/>
      <c r="E11" s="2" t="s">
        <v>22</v>
      </c>
      <c r="F11" s="2"/>
      <c r="G11" s="2"/>
      <c r="H11" s="2"/>
    </row>
    <row r="12" spans="1:8">
      <c r="A12" s="2" t="s">
        <v>261</v>
      </c>
      <c r="B12" s="2" t="s">
        <v>174</v>
      </c>
      <c r="C12" s="2" t="s">
        <v>34</v>
      </c>
      <c r="D12" s="2"/>
      <c r="E12" s="2" t="s">
        <v>22</v>
      </c>
      <c r="F12" s="2"/>
      <c r="G12" s="2"/>
      <c r="H12" s="2"/>
    </row>
    <row r="13" spans="1:8">
      <c r="A13" s="2" t="s">
        <v>262</v>
      </c>
      <c r="B13" s="2" t="s">
        <v>174</v>
      </c>
      <c r="C13" s="2" t="s">
        <v>34</v>
      </c>
      <c r="D13" s="2"/>
      <c r="E13" s="2" t="s">
        <v>22</v>
      </c>
      <c r="F13" s="2"/>
      <c r="G13" s="2"/>
      <c r="H13" s="2"/>
    </row>
    <row r="14" spans="1:8">
      <c r="A14" s="2" t="s">
        <v>263</v>
      </c>
      <c r="B14" s="2" t="s">
        <v>174</v>
      </c>
      <c r="C14" s="2" t="s">
        <v>34</v>
      </c>
      <c r="D14" s="2"/>
      <c r="E14" s="2" t="s">
        <v>22</v>
      </c>
      <c r="F14" s="2"/>
      <c r="G14" s="2"/>
      <c r="H14" s="2"/>
    </row>
    <row r="15" spans="1:8">
      <c r="A15" s="2" t="s">
        <v>264</v>
      </c>
      <c r="B15" s="2" t="s">
        <v>174</v>
      </c>
      <c r="C15" s="2" t="s">
        <v>34</v>
      </c>
      <c r="D15" s="2"/>
      <c r="E15" s="2" t="s">
        <v>22</v>
      </c>
      <c r="F15" s="2"/>
      <c r="G15" s="2"/>
      <c r="H15" s="2"/>
    </row>
    <row r="16" spans="1:8">
      <c r="A16" s="2" t="s">
        <v>265</v>
      </c>
      <c r="B16" s="2" t="s">
        <v>174</v>
      </c>
      <c r="C16" s="2" t="s">
        <v>34</v>
      </c>
      <c r="D16" s="2"/>
      <c r="E16" s="2" t="s">
        <v>22</v>
      </c>
      <c r="F16" s="2"/>
      <c r="G16" s="2"/>
      <c r="H16" s="2"/>
    </row>
    <row r="17" spans="1:8">
      <c r="A17" s="2" t="s">
        <v>266</v>
      </c>
      <c r="B17" s="2" t="s">
        <v>174</v>
      </c>
      <c r="C17" s="2" t="s">
        <v>34</v>
      </c>
      <c r="D17" s="2"/>
      <c r="E17" s="2" t="s">
        <v>22</v>
      </c>
      <c r="F17" s="2"/>
      <c r="G17" s="2"/>
      <c r="H17" s="2"/>
    </row>
    <row r="18" spans="1:8">
      <c r="A18" s="2" t="s">
        <v>267</v>
      </c>
      <c r="B18" s="2" t="s">
        <v>174</v>
      </c>
      <c r="C18" s="2" t="s">
        <v>34</v>
      </c>
      <c r="D18" s="2"/>
      <c r="E18" s="2" t="s">
        <v>22</v>
      </c>
      <c r="F18" s="2"/>
      <c r="G18" s="2"/>
      <c r="H18" s="2"/>
    </row>
    <row r="19" spans="1:8">
      <c r="A19" s="2" t="s">
        <v>268</v>
      </c>
      <c r="B19" s="2" t="s">
        <v>174</v>
      </c>
      <c r="C19" s="2" t="s">
        <v>34</v>
      </c>
      <c r="D19" s="2"/>
      <c r="E19" s="2" t="s">
        <v>22</v>
      </c>
      <c r="F19" s="2"/>
      <c r="G19" s="2"/>
      <c r="H19" s="2"/>
    </row>
    <row r="20" spans="1:8">
      <c r="A20" s="2" t="s">
        <v>269</v>
      </c>
      <c r="B20" s="2" t="s">
        <v>174</v>
      </c>
      <c r="C20" s="2" t="s">
        <v>34</v>
      </c>
      <c r="D20" s="2"/>
      <c r="E20" s="2" t="s">
        <v>22</v>
      </c>
      <c r="F20" s="2"/>
      <c r="G20" s="2"/>
      <c r="H20" s="2"/>
    </row>
    <row r="21" spans="1:8">
      <c r="A21" s="2" t="s">
        <v>270</v>
      </c>
      <c r="B21" s="2" t="s">
        <v>271</v>
      </c>
      <c r="C21" s="2" t="s">
        <v>34</v>
      </c>
      <c r="D21" s="2"/>
      <c r="E21" s="2" t="s">
        <v>22</v>
      </c>
      <c r="F21" s="2"/>
      <c r="G21" s="2"/>
      <c r="H21" s="2"/>
    </row>
    <row r="22" spans="1:8">
      <c r="A22" s="2" t="s">
        <v>272</v>
      </c>
      <c r="B22" s="2" t="s">
        <v>174</v>
      </c>
      <c r="C22" s="2" t="s">
        <v>34</v>
      </c>
      <c r="D22" s="2"/>
      <c r="E22" s="2" t="s">
        <v>22</v>
      </c>
      <c r="F22" s="2"/>
      <c r="G22" s="2"/>
      <c r="H22" s="2"/>
    </row>
    <row r="23" spans="1:8">
      <c r="A23" s="2" t="s">
        <v>273</v>
      </c>
      <c r="B23" s="2" t="s">
        <v>174</v>
      </c>
      <c r="C23" s="2" t="s">
        <v>34</v>
      </c>
      <c r="D23" s="2"/>
      <c r="E23" s="2" t="s">
        <v>22</v>
      </c>
      <c r="F23" s="2"/>
      <c r="G23" s="2"/>
      <c r="H23" s="2"/>
    </row>
    <row r="24" spans="1:8">
      <c r="A24" s="2" t="s">
        <v>274</v>
      </c>
      <c r="B24" s="2" t="s">
        <v>174</v>
      </c>
      <c r="C24" s="2" t="s">
        <v>34</v>
      </c>
      <c r="D24" s="2"/>
      <c r="E24" s="2" t="s">
        <v>22</v>
      </c>
      <c r="F24" s="2"/>
      <c r="G24" s="2"/>
      <c r="H24" s="2"/>
    </row>
  </sheetData>
  <mergeCells count="1">
    <mergeCell ref="A1:H1"/>
  </mergeCells>
  <dataValidations count="1">
    <dataValidation type="list" sqref="C3:C24" xr:uid="{00000000-0002-0000-1200-000000000000}">
      <formula1>"☐,☑,N/A"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38"/>
  <sheetViews>
    <sheetView zoomScaleNormal="60" zoomScaleSheetLayoutView="100" workbookViewId="0">
      <selection sqref="A1:R1"/>
    </sheetView>
  </sheetViews>
  <sheetFormatPr defaultRowHeight="14"/>
  <cols>
    <col min="1" max="1" width="39.9140625" customWidth="1"/>
    <col min="2" max="13" width="9.9140625" customWidth="1"/>
    <col min="14" max="17" width="18" customWidth="1"/>
  </cols>
  <sheetData>
    <row r="1" spans="1:18" ht="18">
      <c r="A1" s="7" t="s">
        <v>275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8">
      <c r="A2" s="1" t="s">
        <v>276</v>
      </c>
      <c r="B2" s="1" t="s">
        <v>174</v>
      </c>
      <c r="C2" s="1" t="s">
        <v>175</v>
      </c>
      <c r="D2" s="1" t="s">
        <v>176</v>
      </c>
      <c r="E2" s="1" t="s">
        <v>177</v>
      </c>
      <c r="F2" s="1" t="s">
        <v>178</v>
      </c>
      <c r="G2" s="1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184</v>
      </c>
      <c r="M2" s="1" t="s">
        <v>185</v>
      </c>
      <c r="N2" s="1" t="s">
        <v>7</v>
      </c>
      <c r="O2" s="1" t="s">
        <v>120</v>
      </c>
      <c r="P2" s="1" t="s">
        <v>6</v>
      </c>
      <c r="Q2" s="1" t="s">
        <v>250</v>
      </c>
    </row>
    <row r="3" spans="1:18">
      <c r="A3" t="s">
        <v>277</v>
      </c>
      <c r="B3" s="4" t="s">
        <v>34</v>
      </c>
      <c r="C3" s="4" t="s">
        <v>34</v>
      </c>
      <c r="D3" s="4" t="s">
        <v>34</v>
      </c>
      <c r="E3" s="4" t="s">
        <v>34</v>
      </c>
      <c r="F3" s="4" t="s">
        <v>34</v>
      </c>
      <c r="G3" s="4" t="s">
        <v>34</v>
      </c>
      <c r="H3" s="4" t="s">
        <v>34</v>
      </c>
      <c r="I3" s="4" t="s">
        <v>34</v>
      </c>
      <c r="J3" s="4" t="s">
        <v>34</v>
      </c>
      <c r="K3" s="4" t="s">
        <v>34</v>
      </c>
      <c r="L3" s="4" t="s">
        <v>34</v>
      </c>
      <c r="M3" s="4" t="s">
        <v>34</v>
      </c>
      <c r="N3" t="s">
        <v>19</v>
      </c>
      <c r="P3" s="3">
        <f t="shared" ref="P3:P38" si="0">COUNTIF(B3:M3,"☑")/COUNTIF(B3:M3,"&lt;&gt;N/A")</f>
        <v>0</v>
      </c>
      <c r="Q3" t="str">
        <f t="shared" ref="Q3:Q38" si="1">IF(P3&gt;=0.95,"Green",IF(P3&gt;=0.75,"Amber","Red"))</f>
        <v>Red</v>
      </c>
    </row>
    <row r="4" spans="1:18">
      <c r="A4" t="s">
        <v>278</v>
      </c>
      <c r="B4" s="4" t="s">
        <v>34</v>
      </c>
      <c r="C4" s="4" t="s">
        <v>34</v>
      </c>
      <c r="D4" s="4" t="s">
        <v>34</v>
      </c>
      <c r="E4" s="4" t="s">
        <v>34</v>
      </c>
      <c r="F4" s="4" t="s">
        <v>34</v>
      </c>
      <c r="G4" s="4" t="s">
        <v>34</v>
      </c>
      <c r="H4" s="4" t="s">
        <v>34</v>
      </c>
      <c r="I4" s="4" t="s">
        <v>34</v>
      </c>
      <c r="J4" s="4" t="s">
        <v>34</v>
      </c>
      <c r="K4" s="4" t="s">
        <v>34</v>
      </c>
      <c r="L4" s="4" t="s">
        <v>34</v>
      </c>
      <c r="M4" s="4" t="s">
        <v>34</v>
      </c>
      <c r="N4" t="s">
        <v>19</v>
      </c>
      <c r="P4" s="3">
        <f t="shared" si="0"/>
        <v>0</v>
      </c>
      <c r="Q4" t="str">
        <f t="shared" si="1"/>
        <v>Red</v>
      </c>
    </row>
    <row r="5" spans="1:18">
      <c r="A5" t="s">
        <v>279</v>
      </c>
      <c r="B5" s="4" t="s">
        <v>34</v>
      </c>
      <c r="C5" s="4" t="s">
        <v>34</v>
      </c>
      <c r="D5" s="4" t="s">
        <v>34</v>
      </c>
      <c r="E5" s="4" t="s">
        <v>34</v>
      </c>
      <c r="F5" s="4" t="s">
        <v>34</v>
      </c>
      <c r="G5" s="4" t="s">
        <v>34</v>
      </c>
      <c r="H5" s="4" t="s">
        <v>34</v>
      </c>
      <c r="I5" s="4" t="s">
        <v>34</v>
      </c>
      <c r="J5" s="4" t="s">
        <v>34</v>
      </c>
      <c r="K5" s="4" t="s">
        <v>34</v>
      </c>
      <c r="L5" s="4" t="s">
        <v>34</v>
      </c>
      <c r="M5" s="4" t="s">
        <v>34</v>
      </c>
      <c r="N5" t="s">
        <v>19</v>
      </c>
      <c r="P5" s="3">
        <f t="shared" si="0"/>
        <v>0</v>
      </c>
      <c r="Q5" t="str">
        <f t="shared" si="1"/>
        <v>Red</v>
      </c>
    </row>
    <row r="6" spans="1:18">
      <c r="A6" t="s">
        <v>280</v>
      </c>
      <c r="B6" s="4" t="s">
        <v>34</v>
      </c>
      <c r="C6" s="4" t="s">
        <v>34</v>
      </c>
      <c r="D6" s="4" t="s">
        <v>34</v>
      </c>
      <c r="E6" s="4" t="s">
        <v>34</v>
      </c>
      <c r="F6" s="4" t="s">
        <v>34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t="s">
        <v>19</v>
      </c>
      <c r="P6" s="3">
        <f t="shared" si="0"/>
        <v>0</v>
      </c>
      <c r="Q6" t="str">
        <f t="shared" si="1"/>
        <v>Red</v>
      </c>
    </row>
    <row r="7" spans="1:18">
      <c r="A7" t="s">
        <v>281</v>
      </c>
      <c r="B7" s="4" t="s">
        <v>34</v>
      </c>
      <c r="C7" s="4" t="s">
        <v>34</v>
      </c>
      <c r="D7" s="4" t="s">
        <v>34</v>
      </c>
      <c r="E7" s="4" t="s">
        <v>34</v>
      </c>
      <c r="F7" s="4" t="s">
        <v>34</v>
      </c>
      <c r="G7" s="4" t="s">
        <v>34</v>
      </c>
      <c r="H7" s="4" t="s">
        <v>34</v>
      </c>
      <c r="I7" s="4" t="s">
        <v>34</v>
      </c>
      <c r="J7" s="4" t="s">
        <v>34</v>
      </c>
      <c r="K7" s="4" t="s">
        <v>34</v>
      </c>
      <c r="L7" s="4" t="s">
        <v>34</v>
      </c>
      <c r="M7" s="4" t="s">
        <v>34</v>
      </c>
      <c r="N7" t="s">
        <v>19</v>
      </c>
      <c r="P7" s="3">
        <f t="shared" si="0"/>
        <v>0</v>
      </c>
      <c r="Q7" t="str">
        <f t="shared" si="1"/>
        <v>Red</v>
      </c>
    </row>
    <row r="8" spans="1:18">
      <c r="A8" t="s">
        <v>282</v>
      </c>
      <c r="B8" s="4" t="s">
        <v>34</v>
      </c>
      <c r="C8" s="4" t="s">
        <v>34</v>
      </c>
      <c r="D8" s="4" t="s">
        <v>34</v>
      </c>
      <c r="E8" s="4" t="s">
        <v>34</v>
      </c>
      <c r="F8" s="4" t="s">
        <v>34</v>
      </c>
      <c r="G8" s="4" t="s">
        <v>34</v>
      </c>
      <c r="H8" s="4" t="s">
        <v>34</v>
      </c>
      <c r="I8" s="4" t="s">
        <v>34</v>
      </c>
      <c r="J8" s="4" t="s">
        <v>34</v>
      </c>
      <c r="K8" s="4" t="s">
        <v>34</v>
      </c>
      <c r="L8" s="4" t="s">
        <v>34</v>
      </c>
      <c r="M8" s="4" t="s">
        <v>34</v>
      </c>
      <c r="N8" t="s">
        <v>19</v>
      </c>
      <c r="P8" s="3">
        <f t="shared" si="0"/>
        <v>0</v>
      </c>
      <c r="Q8" t="str">
        <f t="shared" si="1"/>
        <v>Red</v>
      </c>
    </row>
    <row r="9" spans="1:18">
      <c r="A9" t="s">
        <v>283</v>
      </c>
      <c r="B9" s="4" t="s">
        <v>34</v>
      </c>
      <c r="C9" s="4" t="s">
        <v>34</v>
      </c>
      <c r="D9" s="4" t="s">
        <v>34</v>
      </c>
      <c r="E9" s="4" t="s">
        <v>34</v>
      </c>
      <c r="F9" s="4" t="s">
        <v>34</v>
      </c>
      <c r="G9" s="4" t="s">
        <v>34</v>
      </c>
      <c r="H9" s="4" t="s">
        <v>34</v>
      </c>
      <c r="I9" s="4" t="s">
        <v>34</v>
      </c>
      <c r="J9" s="4" t="s">
        <v>34</v>
      </c>
      <c r="K9" s="4" t="s">
        <v>34</v>
      </c>
      <c r="L9" s="4" t="s">
        <v>34</v>
      </c>
      <c r="M9" s="4" t="s">
        <v>34</v>
      </c>
      <c r="N9" t="s">
        <v>19</v>
      </c>
      <c r="P9" s="3">
        <f t="shared" si="0"/>
        <v>0</v>
      </c>
      <c r="Q9" t="str">
        <f t="shared" si="1"/>
        <v>Red</v>
      </c>
    </row>
    <row r="10" spans="1:18">
      <c r="A10" t="s">
        <v>284</v>
      </c>
      <c r="B10" s="4" t="s">
        <v>34</v>
      </c>
      <c r="C10" s="4" t="s">
        <v>34</v>
      </c>
      <c r="D10" s="4" t="s">
        <v>34</v>
      </c>
      <c r="E10" s="4" t="s">
        <v>34</v>
      </c>
      <c r="F10" s="4" t="s">
        <v>34</v>
      </c>
      <c r="G10" s="4" t="s">
        <v>34</v>
      </c>
      <c r="H10" s="4" t="s">
        <v>34</v>
      </c>
      <c r="I10" s="4" t="s">
        <v>34</v>
      </c>
      <c r="J10" s="4" t="s">
        <v>34</v>
      </c>
      <c r="K10" s="4" t="s">
        <v>34</v>
      </c>
      <c r="L10" s="4" t="s">
        <v>34</v>
      </c>
      <c r="M10" s="4" t="s">
        <v>34</v>
      </c>
      <c r="N10" t="s">
        <v>19</v>
      </c>
      <c r="P10" s="3">
        <f t="shared" si="0"/>
        <v>0</v>
      </c>
      <c r="Q10" t="str">
        <f t="shared" si="1"/>
        <v>Red</v>
      </c>
    </row>
    <row r="11" spans="1:18">
      <c r="A11" t="s">
        <v>285</v>
      </c>
      <c r="B11" s="4" t="s">
        <v>34</v>
      </c>
      <c r="C11" s="4" t="s">
        <v>34</v>
      </c>
      <c r="D11" s="4" t="s">
        <v>34</v>
      </c>
      <c r="E11" s="4" t="s">
        <v>34</v>
      </c>
      <c r="F11" s="4" t="s">
        <v>34</v>
      </c>
      <c r="G11" s="4" t="s">
        <v>34</v>
      </c>
      <c r="H11" s="4" t="s">
        <v>34</v>
      </c>
      <c r="I11" s="4" t="s">
        <v>34</v>
      </c>
      <c r="J11" s="4" t="s">
        <v>34</v>
      </c>
      <c r="K11" s="4" t="s">
        <v>34</v>
      </c>
      <c r="L11" s="4" t="s">
        <v>34</v>
      </c>
      <c r="M11" s="4" t="s">
        <v>34</v>
      </c>
      <c r="N11" t="s">
        <v>19</v>
      </c>
      <c r="P11" s="3">
        <f t="shared" si="0"/>
        <v>0</v>
      </c>
      <c r="Q11" t="str">
        <f t="shared" si="1"/>
        <v>Red</v>
      </c>
    </row>
    <row r="12" spans="1:18">
      <c r="A12" t="s">
        <v>286</v>
      </c>
      <c r="B12" s="4" t="s">
        <v>34</v>
      </c>
      <c r="C12" s="4" t="s">
        <v>34</v>
      </c>
      <c r="D12" s="4" t="s">
        <v>34</v>
      </c>
      <c r="E12" s="4" t="s">
        <v>34</v>
      </c>
      <c r="F12" s="4" t="s">
        <v>34</v>
      </c>
      <c r="G12" s="4" t="s">
        <v>34</v>
      </c>
      <c r="H12" s="4" t="s">
        <v>34</v>
      </c>
      <c r="I12" s="4" t="s">
        <v>34</v>
      </c>
      <c r="J12" s="4" t="s">
        <v>34</v>
      </c>
      <c r="K12" s="4" t="s">
        <v>34</v>
      </c>
      <c r="L12" s="4" t="s">
        <v>34</v>
      </c>
      <c r="M12" s="4" t="s">
        <v>34</v>
      </c>
      <c r="N12" t="s">
        <v>19</v>
      </c>
      <c r="P12" s="3">
        <f t="shared" si="0"/>
        <v>0</v>
      </c>
      <c r="Q12" t="str">
        <f t="shared" si="1"/>
        <v>Red</v>
      </c>
    </row>
    <row r="13" spans="1:18">
      <c r="A13" t="s">
        <v>287</v>
      </c>
      <c r="B13" s="4" t="s">
        <v>34</v>
      </c>
      <c r="C13" s="4" t="s">
        <v>34</v>
      </c>
      <c r="D13" s="4" t="s">
        <v>34</v>
      </c>
      <c r="E13" s="4" t="s">
        <v>34</v>
      </c>
      <c r="F13" s="4" t="s">
        <v>34</v>
      </c>
      <c r="G13" s="4" t="s">
        <v>34</v>
      </c>
      <c r="H13" s="4" t="s">
        <v>34</v>
      </c>
      <c r="I13" s="4" t="s">
        <v>34</v>
      </c>
      <c r="J13" s="4" t="s">
        <v>34</v>
      </c>
      <c r="K13" s="4" t="s">
        <v>34</v>
      </c>
      <c r="L13" s="4" t="s">
        <v>34</v>
      </c>
      <c r="M13" s="4" t="s">
        <v>34</v>
      </c>
      <c r="N13" t="s">
        <v>19</v>
      </c>
      <c r="P13" s="3">
        <f t="shared" si="0"/>
        <v>0</v>
      </c>
      <c r="Q13" t="str">
        <f t="shared" si="1"/>
        <v>Red</v>
      </c>
    </row>
    <row r="14" spans="1:18">
      <c r="A14" t="s">
        <v>288</v>
      </c>
      <c r="B14" s="4" t="s">
        <v>34</v>
      </c>
      <c r="C14" s="4" t="s">
        <v>34</v>
      </c>
      <c r="D14" s="4" t="s">
        <v>34</v>
      </c>
      <c r="E14" s="4" t="s">
        <v>34</v>
      </c>
      <c r="F14" s="4" t="s">
        <v>34</v>
      </c>
      <c r="G14" s="4" t="s">
        <v>34</v>
      </c>
      <c r="H14" s="4" t="s">
        <v>34</v>
      </c>
      <c r="I14" s="4" t="s">
        <v>34</v>
      </c>
      <c r="J14" s="4" t="s">
        <v>34</v>
      </c>
      <c r="K14" s="4" t="s">
        <v>34</v>
      </c>
      <c r="L14" s="4" t="s">
        <v>34</v>
      </c>
      <c r="M14" s="4" t="s">
        <v>34</v>
      </c>
      <c r="N14" t="s">
        <v>19</v>
      </c>
      <c r="P14" s="3">
        <f t="shared" si="0"/>
        <v>0</v>
      </c>
      <c r="Q14" t="str">
        <f t="shared" si="1"/>
        <v>Red</v>
      </c>
    </row>
    <row r="15" spans="1:18">
      <c r="A15" t="s">
        <v>289</v>
      </c>
      <c r="B15" s="4" t="s">
        <v>34</v>
      </c>
      <c r="C15" s="4" t="s">
        <v>34</v>
      </c>
      <c r="D15" s="4" t="s">
        <v>34</v>
      </c>
      <c r="E15" s="4" t="s">
        <v>34</v>
      </c>
      <c r="F15" s="4" t="s">
        <v>34</v>
      </c>
      <c r="G15" s="4" t="s">
        <v>34</v>
      </c>
      <c r="H15" s="4" t="s">
        <v>34</v>
      </c>
      <c r="I15" s="4" t="s">
        <v>34</v>
      </c>
      <c r="J15" s="4" t="s">
        <v>34</v>
      </c>
      <c r="K15" s="4" t="s">
        <v>34</v>
      </c>
      <c r="L15" s="4" t="s">
        <v>34</v>
      </c>
      <c r="M15" s="4" t="s">
        <v>34</v>
      </c>
      <c r="N15" t="s">
        <v>19</v>
      </c>
      <c r="P15" s="3">
        <f t="shared" si="0"/>
        <v>0</v>
      </c>
      <c r="Q15" t="str">
        <f t="shared" si="1"/>
        <v>Red</v>
      </c>
    </row>
    <row r="16" spans="1:18">
      <c r="A16" t="s">
        <v>290</v>
      </c>
      <c r="B16" s="4" t="s">
        <v>34</v>
      </c>
      <c r="C16" s="4" t="s">
        <v>34</v>
      </c>
      <c r="D16" s="4" t="s">
        <v>34</v>
      </c>
      <c r="E16" s="4" t="s">
        <v>34</v>
      </c>
      <c r="F16" s="4" t="s">
        <v>34</v>
      </c>
      <c r="G16" s="4" t="s">
        <v>34</v>
      </c>
      <c r="H16" s="4" t="s">
        <v>34</v>
      </c>
      <c r="I16" s="4" t="s">
        <v>34</v>
      </c>
      <c r="J16" s="4" t="s">
        <v>34</v>
      </c>
      <c r="K16" s="4" t="s">
        <v>34</v>
      </c>
      <c r="L16" s="4" t="s">
        <v>34</v>
      </c>
      <c r="M16" s="4" t="s">
        <v>34</v>
      </c>
      <c r="N16" t="s">
        <v>19</v>
      </c>
      <c r="P16" s="3">
        <f t="shared" si="0"/>
        <v>0</v>
      </c>
      <c r="Q16" t="str">
        <f t="shared" si="1"/>
        <v>Red</v>
      </c>
    </row>
    <row r="17" spans="1:17">
      <c r="A17" t="s">
        <v>291</v>
      </c>
      <c r="B17" s="4" t="s">
        <v>34</v>
      </c>
      <c r="C17" s="4" t="s">
        <v>34</v>
      </c>
      <c r="D17" s="4" t="s">
        <v>34</v>
      </c>
      <c r="E17" s="4" t="s">
        <v>34</v>
      </c>
      <c r="F17" s="4" t="s">
        <v>34</v>
      </c>
      <c r="G17" s="4" t="s">
        <v>34</v>
      </c>
      <c r="H17" s="4" t="s">
        <v>34</v>
      </c>
      <c r="I17" s="4" t="s">
        <v>34</v>
      </c>
      <c r="J17" s="4" t="s">
        <v>34</v>
      </c>
      <c r="K17" s="4" t="s">
        <v>34</v>
      </c>
      <c r="L17" s="4" t="s">
        <v>34</v>
      </c>
      <c r="M17" s="4" t="s">
        <v>34</v>
      </c>
      <c r="N17" t="s">
        <v>19</v>
      </c>
      <c r="P17" s="3">
        <f t="shared" si="0"/>
        <v>0</v>
      </c>
      <c r="Q17" t="str">
        <f t="shared" si="1"/>
        <v>Red</v>
      </c>
    </row>
    <row r="18" spans="1:17">
      <c r="A18" t="s">
        <v>292</v>
      </c>
      <c r="B18" s="4" t="s">
        <v>34</v>
      </c>
      <c r="C18" s="4" t="s">
        <v>34</v>
      </c>
      <c r="D18" s="4" t="s">
        <v>34</v>
      </c>
      <c r="E18" s="4" t="s">
        <v>34</v>
      </c>
      <c r="F18" s="4" t="s">
        <v>34</v>
      </c>
      <c r="G18" s="4" t="s">
        <v>34</v>
      </c>
      <c r="H18" s="4" t="s">
        <v>34</v>
      </c>
      <c r="I18" s="4" t="s">
        <v>34</v>
      </c>
      <c r="J18" s="4" t="s">
        <v>34</v>
      </c>
      <c r="K18" s="4" t="s">
        <v>34</v>
      </c>
      <c r="L18" s="4" t="s">
        <v>34</v>
      </c>
      <c r="M18" s="4" t="s">
        <v>34</v>
      </c>
      <c r="N18" t="s">
        <v>19</v>
      </c>
      <c r="P18" s="3">
        <f t="shared" si="0"/>
        <v>0</v>
      </c>
      <c r="Q18" t="str">
        <f t="shared" si="1"/>
        <v>Red</v>
      </c>
    </row>
    <row r="19" spans="1:17">
      <c r="A19" t="s">
        <v>293</v>
      </c>
      <c r="B19" s="4" t="s">
        <v>34</v>
      </c>
      <c r="C19" s="4" t="s">
        <v>34</v>
      </c>
      <c r="D19" s="4" t="s">
        <v>34</v>
      </c>
      <c r="E19" s="4" t="s">
        <v>34</v>
      </c>
      <c r="F19" s="4" t="s">
        <v>34</v>
      </c>
      <c r="G19" s="4" t="s">
        <v>34</v>
      </c>
      <c r="H19" s="4" t="s">
        <v>34</v>
      </c>
      <c r="I19" s="4" t="s">
        <v>34</v>
      </c>
      <c r="J19" s="4" t="s">
        <v>34</v>
      </c>
      <c r="K19" s="4" t="s">
        <v>34</v>
      </c>
      <c r="L19" s="4" t="s">
        <v>34</v>
      </c>
      <c r="M19" s="4" t="s">
        <v>34</v>
      </c>
      <c r="N19" t="s">
        <v>19</v>
      </c>
      <c r="P19" s="3">
        <f t="shared" si="0"/>
        <v>0</v>
      </c>
      <c r="Q19" t="str">
        <f t="shared" si="1"/>
        <v>Red</v>
      </c>
    </row>
    <row r="20" spans="1:17">
      <c r="A20" t="s">
        <v>294</v>
      </c>
      <c r="B20" s="4" t="s">
        <v>34</v>
      </c>
      <c r="C20" s="4" t="s">
        <v>34</v>
      </c>
      <c r="D20" s="4" t="s">
        <v>34</v>
      </c>
      <c r="E20" s="4" t="s">
        <v>34</v>
      </c>
      <c r="F20" s="4" t="s">
        <v>34</v>
      </c>
      <c r="G20" s="4" t="s">
        <v>34</v>
      </c>
      <c r="H20" s="4" t="s">
        <v>34</v>
      </c>
      <c r="I20" s="4" t="s">
        <v>34</v>
      </c>
      <c r="J20" s="4" t="s">
        <v>34</v>
      </c>
      <c r="K20" s="4" t="s">
        <v>34</v>
      </c>
      <c r="L20" s="4" t="s">
        <v>34</v>
      </c>
      <c r="M20" s="4" t="s">
        <v>34</v>
      </c>
      <c r="N20" t="s">
        <v>19</v>
      </c>
      <c r="P20" s="3">
        <f t="shared" si="0"/>
        <v>0</v>
      </c>
      <c r="Q20" t="str">
        <f t="shared" si="1"/>
        <v>Red</v>
      </c>
    </row>
    <row r="21" spans="1:17">
      <c r="A21" t="s">
        <v>295</v>
      </c>
      <c r="B21" s="4" t="s">
        <v>34</v>
      </c>
      <c r="C21" s="4" t="s">
        <v>34</v>
      </c>
      <c r="D21" s="4" t="s">
        <v>34</v>
      </c>
      <c r="E21" s="4" t="s">
        <v>34</v>
      </c>
      <c r="F21" s="4" t="s">
        <v>34</v>
      </c>
      <c r="G21" s="4" t="s">
        <v>34</v>
      </c>
      <c r="H21" s="4" t="s">
        <v>34</v>
      </c>
      <c r="I21" s="4" t="s">
        <v>34</v>
      </c>
      <c r="J21" s="4" t="s">
        <v>34</v>
      </c>
      <c r="K21" s="4" t="s">
        <v>34</v>
      </c>
      <c r="L21" s="4" t="s">
        <v>34</v>
      </c>
      <c r="M21" s="4" t="s">
        <v>34</v>
      </c>
      <c r="N21" t="s">
        <v>19</v>
      </c>
      <c r="P21" s="3">
        <f t="shared" si="0"/>
        <v>0</v>
      </c>
      <c r="Q21" t="str">
        <f t="shared" si="1"/>
        <v>Red</v>
      </c>
    </row>
    <row r="22" spans="1:17">
      <c r="A22" t="s">
        <v>296</v>
      </c>
      <c r="B22" s="4" t="s">
        <v>34</v>
      </c>
      <c r="C22" s="4" t="s">
        <v>34</v>
      </c>
      <c r="D22" s="4" t="s">
        <v>34</v>
      </c>
      <c r="E22" s="4" t="s">
        <v>34</v>
      </c>
      <c r="F22" s="4" t="s">
        <v>34</v>
      </c>
      <c r="G22" s="4" t="s">
        <v>34</v>
      </c>
      <c r="H22" s="4" t="s">
        <v>34</v>
      </c>
      <c r="I22" s="4" t="s">
        <v>34</v>
      </c>
      <c r="J22" s="4" t="s">
        <v>34</v>
      </c>
      <c r="K22" s="4" t="s">
        <v>34</v>
      </c>
      <c r="L22" s="4" t="s">
        <v>34</v>
      </c>
      <c r="M22" s="4" t="s">
        <v>34</v>
      </c>
      <c r="N22" t="s">
        <v>19</v>
      </c>
      <c r="P22" s="3">
        <f t="shared" si="0"/>
        <v>0</v>
      </c>
      <c r="Q22" t="str">
        <f t="shared" si="1"/>
        <v>Red</v>
      </c>
    </row>
    <row r="23" spans="1:17">
      <c r="A23" t="s">
        <v>297</v>
      </c>
      <c r="B23" s="4" t="s">
        <v>34</v>
      </c>
      <c r="C23" s="4" t="s">
        <v>34</v>
      </c>
      <c r="D23" s="4" t="s">
        <v>34</v>
      </c>
      <c r="E23" s="4" t="s">
        <v>34</v>
      </c>
      <c r="F23" s="4" t="s">
        <v>34</v>
      </c>
      <c r="G23" s="4" t="s">
        <v>34</v>
      </c>
      <c r="H23" s="4" t="s">
        <v>34</v>
      </c>
      <c r="I23" s="4" t="s">
        <v>34</v>
      </c>
      <c r="J23" s="4" t="s">
        <v>34</v>
      </c>
      <c r="K23" s="4" t="s">
        <v>34</v>
      </c>
      <c r="L23" s="4" t="s">
        <v>34</v>
      </c>
      <c r="M23" s="4" t="s">
        <v>34</v>
      </c>
      <c r="N23" t="s">
        <v>19</v>
      </c>
      <c r="P23" s="3">
        <f t="shared" si="0"/>
        <v>0</v>
      </c>
      <c r="Q23" t="str">
        <f t="shared" si="1"/>
        <v>Red</v>
      </c>
    </row>
    <row r="24" spans="1:17">
      <c r="A24" t="s">
        <v>298</v>
      </c>
      <c r="B24" s="4" t="s">
        <v>34</v>
      </c>
      <c r="C24" s="4" t="s">
        <v>34</v>
      </c>
      <c r="D24" s="4" t="s">
        <v>34</v>
      </c>
      <c r="E24" s="4" t="s">
        <v>34</v>
      </c>
      <c r="F24" s="4" t="s">
        <v>34</v>
      </c>
      <c r="G24" s="4" t="s">
        <v>34</v>
      </c>
      <c r="H24" s="4" t="s">
        <v>34</v>
      </c>
      <c r="I24" s="4" t="s">
        <v>34</v>
      </c>
      <c r="J24" s="4" t="s">
        <v>34</v>
      </c>
      <c r="K24" s="4" t="s">
        <v>34</v>
      </c>
      <c r="L24" s="4" t="s">
        <v>34</v>
      </c>
      <c r="M24" s="4" t="s">
        <v>34</v>
      </c>
      <c r="N24" t="s">
        <v>19</v>
      </c>
      <c r="P24" s="3">
        <f t="shared" si="0"/>
        <v>0</v>
      </c>
      <c r="Q24" t="str">
        <f t="shared" si="1"/>
        <v>Red</v>
      </c>
    </row>
    <row r="25" spans="1:17">
      <c r="A25" t="s">
        <v>299</v>
      </c>
      <c r="B25" s="4" t="s">
        <v>34</v>
      </c>
      <c r="C25" s="4" t="s">
        <v>34</v>
      </c>
      <c r="D25" s="4" t="s">
        <v>34</v>
      </c>
      <c r="E25" s="4" t="s">
        <v>34</v>
      </c>
      <c r="F25" s="4" t="s">
        <v>34</v>
      </c>
      <c r="G25" s="4" t="s">
        <v>34</v>
      </c>
      <c r="H25" s="4" t="s">
        <v>34</v>
      </c>
      <c r="I25" s="4" t="s">
        <v>34</v>
      </c>
      <c r="J25" s="4" t="s">
        <v>34</v>
      </c>
      <c r="K25" s="4" t="s">
        <v>34</v>
      </c>
      <c r="L25" s="4" t="s">
        <v>34</v>
      </c>
      <c r="M25" s="4" t="s">
        <v>34</v>
      </c>
      <c r="N25" t="s">
        <v>19</v>
      </c>
      <c r="P25" s="3">
        <f t="shared" si="0"/>
        <v>0</v>
      </c>
      <c r="Q25" t="str">
        <f t="shared" si="1"/>
        <v>Red</v>
      </c>
    </row>
    <row r="26" spans="1:17">
      <c r="A26" t="s">
        <v>300</v>
      </c>
      <c r="B26" s="4" t="s">
        <v>34</v>
      </c>
      <c r="C26" s="4" t="s">
        <v>34</v>
      </c>
      <c r="D26" s="4" t="s">
        <v>34</v>
      </c>
      <c r="E26" s="4" t="s">
        <v>34</v>
      </c>
      <c r="F26" s="4" t="s">
        <v>34</v>
      </c>
      <c r="G26" s="4" t="s">
        <v>34</v>
      </c>
      <c r="H26" s="4" t="s">
        <v>34</v>
      </c>
      <c r="I26" s="4" t="s">
        <v>34</v>
      </c>
      <c r="J26" s="4" t="s">
        <v>34</v>
      </c>
      <c r="K26" s="4" t="s">
        <v>34</v>
      </c>
      <c r="L26" s="4" t="s">
        <v>34</v>
      </c>
      <c r="M26" s="4" t="s">
        <v>34</v>
      </c>
      <c r="N26" t="s">
        <v>19</v>
      </c>
      <c r="P26" s="3">
        <f t="shared" si="0"/>
        <v>0</v>
      </c>
      <c r="Q26" t="str">
        <f t="shared" si="1"/>
        <v>Red</v>
      </c>
    </row>
    <row r="27" spans="1:17">
      <c r="A27" t="s">
        <v>301</v>
      </c>
      <c r="B27" s="4" t="s">
        <v>34</v>
      </c>
      <c r="C27" s="4" t="s">
        <v>34</v>
      </c>
      <c r="D27" s="4" t="s">
        <v>34</v>
      </c>
      <c r="E27" s="4" t="s">
        <v>34</v>
      </c>
      <c r="F27" s="4" t="s">
        <v>34</v>
      </c>
      <c r="G27" s="4" t="s">
        <v>34</v>
      </c>
      <c r="H27" s="4" t="s">
        <v>34</v>
      </c>
      <c r="I27" s="4" t="s">
        <v>34</v>
      </c>
      <c r="J27" s="4" t="s">
        <v>34</v>
      </c>
      <c r="K27" s="4" t="s">
        <v>34</v>
      </c>
      <c r="L27" s="4" t="s">
        <v>34</v>
      </c>
      <c r="M27" s="4" t="s">
        <v>34</v>
      </c>
      <c r="N27" t="s">
        <v>19</v>
      </c>
      <c r="P27" s="3">
        <f t="shared" si="0"/>
        <v>0</v>
      </c>
      <c r="Q27" t="str">
        <f t="shared" si="1"/>
        <v>Red</v>
      </c>
    </row>
    <row r="28" spans="1:17">
      <c r="A28" t="s">
        <v>302</v>
      </c>
      <c r="B28" s="4" t="s">
        <v>34</v>
      </c>
      <c r="C28" s="4" t="s">
        <v>34</v>
      </c>
      <c r="D28" s="4" t="s">
        <v>34</v>
      </c>
      <c r="E28" s="4" t="s">
        <v>34</v>
      </c>
      <c r="F28" s="4" t="s">
        <v>34</v>
      </c>
      <c r="G28" s="4" t="s">
        <v>34</v>
      </c>
      <c r="H28" s="4" t="s">
        <v>34</v>
      </c>
      <c r="I28" s="4" t="s">
        <v>34</v>
      </c>
      <c r="J28" s="4" t="s">
        <v>34</v>
      </c>
      <c r="K28" s="4" t="s">
        <v>34</v>
      </c>
      <c r="L28" s="4" t="s">
        <v>34</v>
      </c>
      <c r="M28" s="4" t="s">
        <v>34</v>
      </c>
      <c r="N28" t="s">
        <v>19</v>
      </c>
      <c r="P28" s="3">
        <f t="shared" si="0"/>
        <v>0</v>
      </c>
      <c r="Q28" t="str">
        <f t="shared" si="1"/>
        <v>Red</v>
      </c>
    </row>
    <row r="29" spans="1:17">
      <c r="A29" t="s">
        <v>303</v>
      </c>
      <c r="B29" s="4" t="s">
        <v>34</v>
      </c>
      <c r="C29" s="4" t="s">
        <v>34</v>
      </c>
      <c r="D29" s="4" t="s">
        <v>34</v>
      </c>
      <c r="E29" s="4" t="s">
        <v>34</v>
      </c>
      <c r="F29" s="4" t="s">
        <v>34</v>
      </c>
      <c r="G29" s="4" t="s">
        <v>34</v>
      </c>
      <c r="H29" s="4" t="s">
        <v>34</v>
      </c>
      <c r="I29" s="4" t="s">
        <v>34</v>
      </c>
      <c r="J29" s="4" t="s">
        <v>34</v>
      </c>
      <c r="K29" s="4" t="s">
        <v>34</v>
      </c>
      <c r="L29" s="4" t="s">
        <v>34</v>
      </c>
      <c r="M29" s="4" t="s">
        <v>34</v>
      </c>
      <c r="N29" t="s">
        <v>19</v>
      </c>
      <c r="P29" s="3">
        <f t="shared" si="0"/>
        <v>0</v>
      </c>
      <c r="Q29" t="str">
        <f t="shared" si="1"/>
        <v>Red</v>
      </c>
    </row>
    <row r="30" spans="1:17">
      <c r="A30" t="s">
        <v>304</v>
      </c>
      <c r="B30" s="4" t="s">
        <v>34</v>
      </c>
      <c r="C30" s="4" t="s">
        <v>34</v>
      </c>
      <c r="D30" s="4" t="s">
        <v>34</v>
      </c>
      <c r="E30" s="4" t="s">
        <v>34</v>
      </c>
      <c r="F30" s="4" t="s">
        <v>34</v>
      </c>
      <c r="G30" s="4" t="s">
        <v>34</v>
      </c>
      <c r="H30" s="4" t="s">
        <v>34</v>
      </c>
      <c r="I30" s="4" t="s">
        <v>34</v>
      </c>
      <c r="J30" s="4" t="s">
        <v>34</v>
      </c>
      <c r="K30" s="4" t="s">
        <v>34</v>
      </c>
      <c r="L30" s="4" t="s">
        <v>34</v>
      </c>
      <c r="M30" s="4" t="s">
        <v>34</v>
      </c>
      <c r="N30" t="s">
        <v>19</v>
      </c>
      <c r="P30" s="3">
        <f t="shared" si="0"/>
        <v>0</v>
      </c>
      <c r="Q30" t="str">
        <f t="shared" si="1"/>
        <v>Red</v>
      </c>
    </row>
    <row r="31" spans="1:17">
      <c r="A31" t="s">
        <v>305</v>
      </c>
      <c r="B31" s="4" t="s">
        <v>34</v>
      </c>
      <c r="C31" s="4" t="s">
        <v>34</v>
      </c>
      <c r="D31" s="4" t="s">
        <v>34</v>
      </c>
      <c r="E31" s="4" t="s">
        <v>34</v>
      </c>
      <c r="F31" s="4" t="s">
        <v>34</v>
      </c>
      <c r="G31" s="4" t="s">
        <v>34</v>
      </c>
      <c r="H31" s="4" t="s">
        <v>34</v>
      </c>
      <c r="I31" s="4" t="s">
        <v>34</v>
      </c>
      <c r="J31" s="4" t="s">
        <v>34</v>
      </c>
      <c r="K31" s="4" t="s">
        <v>34</v>
      </c>
      <c r="L31" s="4" t="s">
        <v>34</v>
      </c>
      <c r="M31" s="4" t="s">
        <v>34</v>
      </c>
      <c r="N31" t="s">
        <v>19</v>
      </c>
      <c r="P31" s="3">
        <f t="shared" si="0"/>
        <v>0</v>
      </c>
      <c r="Q31" t="str">
        <f t="shared" si="1"/>
        <v>Red</v>
      </c>
    </row>
    <row r="32" spans="1:17">
      <c r="A32" t="s">
        <v>306</v>
      </c>
      <c r="B32" s="4" t="s">
        <v>34</v>
      </c>
      <c r="C32" s="4" t="s">
        <v>34</v>
      </c>
      <c r="D32" s="4" t="s">
        <v>34</v>
      </c>
      <c r="E32" s="4" t="s">
        <v>34</v>
      </c>
      <c r="F32" s="4" t="s">
        <v>34</v>
      </c>
      <c r="G32" s="4" t="s">
        <v>34</v>
      </c>
      <c r="H32" s="4" t="s">
        <v>34</v>
      </c>
      <c r="I32" s="4" t="s">
        <v>34</v>
      </c>
      <c r="J32" s="4" t="s">
        <v>34</v>
      </c>
      <c r="K32" s="4" t="s">
        <v>34</v>
      </c>
      <c r="L32" s="4" t="s">
        <v>34</v>
      </c>
      <c r="M32" s="4" t="s">
        <v>34</v>
      </c>
      <c r="N32" t="s">
        <v>19</v>
      </c>
      <c r="P32" s="3">
        <f t="shared" si="0"/>
        <v>0</v>
      </c>
      <c r="Q32" t="str">
        <f t="shared" si="1"/>
        <v>Red</v>
      </c>
    </row>
    <row r="33" spans="1:17">
      <c r="A33" t="s">
        <v>307</v>
      </c>
      <c r="B33" s="4" t="s">
        <v>34</v>
      </c>
      <c r="C33" s="4" t="s">
        <v>34</v>
      </c>
      <c r="D33" s="4" t="s">
        <v>34</v>
      </c>
      <c r="E33" s="4" t="s">
        <v>34</v>
      </c>
      <c r="F33" s="4" t="s">
        <v>34</v>
      </c>
      <c r="G33" s="4" t="s">
        <v>34</v>
      </c>
      <c r="H33" s="4" t="s">
        <v>34</v>
      </c>
      <c r="I33" s="4" t="s">
        <v>34</v>
      </c>
      <c r="J33" s="4" t="s">
        <v>34</v>
      </c>
      <c r="K33" s="4" t="s">
        <v>34</v>
      </c>
      <c r="L33" s="4" t="s">
        <v>34</v>
      </c>
      <c r="M33" s="4" t="s">
        <v>34</v>
      </c>
      <c r="N33" t="s">
        <v>19</v>
      </c>
      <c r="P33" s="3">
        <f t="shared" si="0"/>
        <v>0</v>
      </c>
      <c r="Q33" t="str">
        <f t="shared" si="1"/>
        <v>Red</v>
      </c>
    </row>
    <row r="34" spans="1:17">
      <c r="A34" t="s">
        <v>308</v>
      </c>
      <c r="B34" s="4" t="s">
        <v>34</v>
      </c>
      <c r="C34" s="4" t="s">
        <v>34</v>
      </c>
      <c r="D34" s="4" t="s">
        <v>34</v>
      </c>
      <c r="E34" s="4" t="s">
        <v>34</v>
      </c>
      <c r="F34" s="4" t="s">
        <v>34</v>
      </c>
      <c r="G34" s="4" t="s">
        <v>34</v>
      </c>
      <c r="H34" s="4" t="s">
        <v>34</v>
      </c>
      <c r="I34" s="4" t="s">
        <v>34</v>
      </c>
      <c r="J34" s="4" t="s">
        <v>34</v>
      </c>
      <c r="K34" s="4" t="s">
        <v>34</v>
      </c>
      <c r="L34" s="4" t="s">
        <v>34</v>
      </c>
      <c r="M34" s="4" t="s">
        <v>34</v>
      </c>
      <c r="N34" t="s">
        <v>19</v>
      </c>
      <c r="P34" s="3">
        <f t="shared" si="0"/>
        <v>0</v>
      </c>
      <c r="Q34" t="str">
        <f t="shared" si="1"/>
        <v>Red</v>
      </c>
    </row>
    <row r="35" spans="1:17">
      <c r="A35" t="s">
        <v>309</v>
      </c>
      <c r="B35" s="4" t="s">
        <v>34</v>
      </c>
      <c r="C35" s="4" t="s">
        <v>34</v>
      </c>
      <c r="D35" s="4" t="s">
        <v>34</v>
      </c>
      <c r="E35" s="4" t="s">
        <v>34</v>
      </c>
      <c r="F35" s="4" t="s">
        <v>34</v>
      </c>
      <c r="G35" s="4" t="s">
        <v>34</v>
      </c>
      <c r="H35" s="4" t="s">
        <v>34</v>
      </c>
      <c r="I35" s="4" t="s">
        <v>34</v>
      </c>
      <c r="J35" s="4" t="s">
        <v>34</v>
      </c>
      <c r="K35" s="4" t="s">
        <v>34</v>
      </c>
      <c r="L35" s="4" t="s">
        <v>34</v>
      </c>
      <c r="M35" s="4" t="s">
        <v>34</v>
      </c>
      <c r="N35" t="s">
        <v>19</v>
      </c>
      <c r="P35" s="3">
        <f t="shared" si="0"/>
        <v>0</v>
      </c>
      <c r="Q35" t="str">
        <f t="shared" si="1"/>
        <v>Red</v>
      </c>
    </row>
    <row r="36" spans="1:17">
      <c r="A36" t="s">
        <v>310</v>
      </c>
      <c r="B36" s="4" t="s">
        <v>34</v>
      </c>
      <c r="C36" s="4" t="s">
        <v>34</v>
      </c>
      <c r="D36" s="4" t="s">
        <v>34</v>
      </c>
      <c r="E36" s="4" t="s">
        <v>34</v>
      </c>
      <c r="F36" s="4" t="s">
        <v>34</v>
      </c>
      <c r="G36" s="4" t="s">
        <v>34</v>
      </c>
      <c r="H36" s="4" t="s">
        <v>34</v>
      </c>
      <c r="I36" s="4" t="s">
        <v>34</v>
      </c>
      <c r="J36" s="4" t="s">
        <v>34</v>
      </c>
      <c r="K36" s="4" t="s">
        <v>34</v>
      </c>
      <c r="L36" s="4" t="s">
        <v>34</v>
      </c>
      <c r="M36" s="4" t="s">
        <v>34</v>
      </c>
      <c r="N36" t="s">
        <v>19</v>
      </c>
      <c r="P36" s="3">
        <f t="shared" si="0"/>
        <v>0</v>
      </c>
      <c r="Q36" t="str">
        <f t="shared" si="1"/>
        <v>Red</v>
      </c>
    </row>
    <row r="37" spans="1:17">
      <c r="A37" t="s">
        <v>311</v>
      </c>
      <c r="B37" s="4" t="s">
        <v>34</v>
      </c>
      <c r="C37" s="4" t="s">
        <v>34</v>
      </c>
      <c r="D37" s="4" t="s">
        <v>34</v>
      </c>
      <c r="E37" s="4" t="s">
        <v>34</v>
      </c>
      <c r="F37" s="4" t="s">
        <v>34</v>
      </c>
      <c r="G37" s="4" t="s">
        <v>34</v>
      </c>
      <c r="H37" s="4" t="s">
        <v>34</v>
      </c>
      <c r="I37" s="4" t="s">
        <v>34</v>
      </c>
      <c r="J37" s="4" t="s">
        <v>34</v>
      </c>
      <c r="K37" s="4" t="s">
        <v>34</v>
      </c>
      <c r="L37" s="4" t="s">
        <v>34</v>
      </c>
      <c r="M37" s="4" t="s">
        <v>34</v>
      </c>
      <c r="N37" t="s">
        <v>19</v>
      </c>
      <c r="P37" s="3">
        <f t="shared" si="0"/>
        <v>0</v>
      </c>
      <c r="Q37" t="str">
        <f t="shared" si="1"/>
        <v>Red</v>
      </c>
    </row>
    <row r="38" spans="1:17">
      <c r="A38" t="s">
        <v>312</v>
      </c>
      <c r="B38" s="4" t="s">
        <v>34</v>
      </c>
      <c r="C38" s="4" t="s">
        <v>34</v>
      </c>
      <c r="D38" s="4" t="s">
        <v>34</v>
      </c>
      <c r="E38" s="4" t="s">
        <v>34</v>
      </c>
      <c r="F38" s="4" t="s">
        <v>34</v>
      </c>
      <c r="G38" s="4" t="s">
        <v>34</v>
      </c>
      <c r="H38" s="4" t="s">
        <v>34</v>
      </c>
      <c r="I38" s="4" t="s">
        <v>34</v>
      </c>
      <c r="J38" s="4" t="s">
        <v>34</v>
      </c>
      <c r="K38" s="4" t="s">
        <v>34</v>
      </c>
      <c r="L38" s="4" t="s">
        <v>34</v>
      </c>
      <c r="M38" s="4" t="s">
        <v>34</v>
      </c>
      <c r="N38" t="s">
        <v>19</v>
      </c>
      <c r="P38" s="3">
        <f t="shared" si="0"/>
        <v>0</v>
      </c>
      <c r="Q38" t="str">
        <f t="shared" si="1"/>
        <v>Red</v>
      </c>
    </row>
  </sheetData>
  <mergeCells count="1">
    <mergeCell ref="A1:R1"/>
  </mergeCells>
  <dataValidations count="1">
    <dataValidation type="list" sqref="B3:M38" xr:uid="{00000000-0002-0000-1300-000000000000}">
      <formula1>"☐,☑,N/A"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</vt:lpstr>
      <vt:lpstr>January</vt:lpstr>
      <vt:lpstr>February</vt:lpstr>
      <vt:lpstr>March</vt:lpstr>
      <vt:lpstr>April</vt:lpstr>
      <vt:lpstr>May</vt:lpstr>
      <vt:lpstr>June</vt:lpstr>
      <vt:lpstr>Instructions</vt:lpstr>
      <vt:lpstr>July</vt:lpstr>
      <vt:lpstr>August</vt:lpstr>
      <vt:lpstr>September</vt:lpstr>
      <vt:lpstr>October</vt:lpstr>
      <vt:lpstr>November</vt:lpstr>
      <vt:lpstr>December</vt:lpstr>
      <vt:lpstr>Weekly</vt:lpstr>
      <vt:lpstr>Fortnightly</vt:lpstr>
      <vt:lpstr>Monthly</vt:lpstr>
      <vt:lpstr>Quarterly</vt:lpstr>
      <vt:lpstr>Six Monthly</vt:lpstr>
      <vt:lpstr>Annual</vt:lpstr>
      <vt:lpstr>Compliance Trackers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2026-06-26T20:46:13Z</dcterms:created>
  <dcterms:modified xsi:type="dcterms:W3CDTF">2026-06-27T00:28:12Z</dcterms:modified>
</cp:coreProperties>
</file>